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Rating」的副本" sheetId="1" r:id="rId5"/>
    <sheet state="visible" name="「Finishing」的副本" sheetId="2" r:id="rId6"/>
    <sheet state="visible" name="Cal" sheetId="3" r:id="rId7"/>
    <sheet state="visible" name="DataPull" sheetId="4" r:id="rId8"/>
  </sheets>
  <definedNames>
    <definedName hidden="1" localSheetId="0" name="_xlnm._FilterDatabase">'「Rating」的副本'!$A$1:$CC$6</definedName>
    <definedName hidden="1" localSheetId="1" name="_xlnm._FilterDatabase">'「Finishing」的副本'!$A$1:$DB$6</definedName>
    <definedName hidden="1" localSheetId="2" name="_xlnm._FilterDatabase">Cal!$A$1:$J$6920</definedName>
    <definedName hidden="1" localSheetId="3" name="_xlnm._FilterDatabase">DataPull!$A$1:$E$7047</definedName>
  </definedNames>
  <calcPr/>
</workbook>
</file>

<file path=xl/sharedStrings.xml><?xml version="1.0" encoding="utf-8"?>
<sst xmlns="http://schemas.openxmlformats.org/spreadsheetml/2006/main" count="34702" uniqueCount="1893">
  <si>
    <t>NBA ID</t>
  </si>
  <si>
    <t>Season</t>
  </si>
  <si>
    <t>Player</t>
  </si>
  <si>
    <t>Team(s)</t>
  </si>
  <si>
    <t>Current Team</t>
  </si>
  <si>
    <t>PLAYER_LAST_NAME</t>
  </si>
  <si>
    <t>PLAYER_FIRST_NAME</t>
  </si>
  <si>
    <t>Primary_Position</t>
  </si>
  <si>
    <t>Second_Position</t>
  </si>
  <si>
    <t>Overall</t>
  </si>
  <si>
    <t>Layup</t>
  </si>
  <si>
    <t>ST   Dunk</t>
  </si>
  <si>
    <t>Dunk</t>
  </si>
  <si>
    <t>Close</t>
  </si>
  <si>
    <t>Mid</t>
  </si>
  <si>
    <t>3PT</t>
  </si>
  <si>
    <t>FT</t>
  </si>
  <si>
    <t>PHook</t>
  </si>
  <si>
    <t>PFade</t>
  </si>
  <si>
    <t>PostC</t>
  </si>
  <si>
    <t>Foul</t>
  </si>
  <si>
    <t>SHOTIQ</t>
  </si>
  <si>
    <t>Ball</t>
  </si>
  <si>
    <t>SPD/BALL</t>
  </si>
  <si>
    <t>Hands</t>
  </si>
  <si>
    <t>Pass</t>
  </si>
  <si>
    <t>Pass   IQ</t>
  </si>
  <si>
    <t>Vision</t>
  </si>
  <si>
    <t>OCNST</t>
  </si>
  <si>
    <t>ID</t>
  </si>
  <si>
    <t>PD</t>
  </si>
  <si>
    <t>STL</t>
  </si>
  <si>
    <t>BLK</t>
  </si>
  <si>
    <t>OREB</t>
  </si>
  <si>
    <t>DREB</t>
  </si>
  <si>
    <t>HelpDIQ</t>
  </si>
  <si>
    <t>PSPER</t>
  </si>
  <si>
    <t>DCNST</t>
  </si>
  <si>
    <t>SPEED</t>
  </si>
  <si>
    <t>Agility</t>
  </si>
  <si>
    <t>STR</t>
  </si>
  <si>
    <t>VERT</t>
  </si>
  <si>
    <t>STAM</t>
  </si>
  <si>
    <t>INTNGBL</t>
  </si>
  <si>
    <t>HSTL</t>
  </si>
  <si>
    <t>Aerial Wizard</t>
  </si>
  <si>
    <t>Ankle Assassin</t>
  </si>
  <si>
    <t>Bail Out</t>
  </si>
  <si>
    <t>Boxout Beast</t>
  </si>
  <si>
    <t>Break Starter</t>
  </si>
  <si>
    <t>Brick Wall</t>
  </si>
  <si>
    <t>Challenger</t>
  </si>
  <si>
    <t>Deadeye</t>
  </si>
  <si>
    <t>Dimer</t>
  </si>
  <si>
    <t>Float Game</t>
  </si>
  <si>
    <t>Glove</t>
  </si>
  <si>
    <t>Handles for Days</t>
  </si>
  <si>
    <t>High Flying Denier</t>
  </si>
  <si>
    <t>Hook Specialist</t>
  </si>
  <si>
    <t>Immovable Enforcer</t>
  </si>
  <si>
    <t>Interceptor</t>
  </si>
  <si>
    <t>Layup Mixmaster</t>
  </si>
  <si>
    <t>Lightning Launch</t>
  </si>
  <si>
    <t>Limitless Range</t>
  </si>
  <si>
    <t>Mini Marksman</t>
  </si>
  <si>
    <t>Off Ball Pest</t>
  </si>
  <si>
    <t>On-Ball Menace</t>
  </si>
  <si>
    <t>Paint Patroller</t>
  </si>
  <si>
    <t>Paint Prodigy</t>
  </si>
  <si>
    <t>Physical Finisher</t>
  </si>
  <si>
    <t>Pick Dodger</t>
  </si>
  <si>
    <t>Pogo Stick</t>
  </si>
  <si>
    <t>Posterizer</t>
  </si>
  <si>
    <t>Post Fade Phenom</t>
  </si>
  <si>
    <t>Post Lockdown</t>
  </si>
  <si>
    <t>Post Powerhouse</t>
  </si>
  <si>
    <t>Post Up Poet</t>
  </si>
  <si>
    <t>Rebound Chaser</t>
  </si>
  <si>
    <t>Rise Up</t>
  </si>
  <si>
    <t>Set Shot Specialist</t>
  </si>
  <si>
    <t>Shifty Shooter</t>
  </si>
  <si>
    <t>Slippery Off Ball</t>
  </si>
  <si>
    <t>Strong Handle</t>
  </si>
  <si>
    <t>Unpluckable</t>
  </si>
  <si>
    <t>Versatile Visionary</t>
  </si>
  <si>
    <t>2013-14</t>
  </si>
  <si>
    <t>Kevin Garnett</t>
  </si>
  <si>
    <t>BRK</t>
  </si>
  <si>
    <t xml:space="preserve">Garnett </t>
  </si>
  <si>
    <t>Kevin</t>
  </si>
  <si>
    <t>2014-15</t>
  </si>
  <si>
    <t>BRK/MIN</t>
  </si>
  <si>
    <t>2015-16</t>
  </si>
  <si>
    <t>MIN</t>
  </si>
  <si>
    <t>Ray Allen</t>
  </si>
  <si>
    <t>MIA</t>
  </si>
  <si>
    <t xml:space="preserve">Allen </t>
  </si>
  <si>
    <t>Ray</t>
  </si>
  <si>
    <t>Steve Nash</t>
  </si>
  <si>
    <t>LAL</t>
  </si>
  <si>
    <t xml:space="preserve">Nash </t>
  </si>
  <si>
    <t>Steve</t>
  </si>
  <si>
    <t>Layup Rating</t>
  </si>
  <si>
    <t>Finishing Talent</t>
  </si>
  <si>
    <t>Rim Shot Creation</t>
  </si>
  <si>
    <t>Drives Per 75 Possessions</t>
  </si>
  <si>
    <t>Rim Shot Making</t>
  </si>
  <si>
    <t>Rim Shot Making Efficiency</t>
  </si>
  <si>
    <t>Paint Shooting Talent</t>
  </si>
  <si>
    <t>Rim Makes Consistency</t>
  </si>
  <si>
    <t>DRIVES</t>
  </si>
  <si>
    <t>DRIVE_FGM</t>
  </si>
  <si>
    <t>Stable Rim FG%</t>
  </si>
  <si>
    <t>Contact Finish Rate</t>
  </si>
  <si>
    <t>Rim Attempt Consistency</t>
  </si>
  <si>
    <t>less_than_5ft_FGM</t>
  </si>
  <si>
    <t>Rim FG%</t>
  </si>
  <si>
    <t>Drive Foul Drawn Rate</t>
  </si>
  <si>
    <t>less_than_5ft_FG_PCT</t>
  </si>
  <si>
    <t>Standing Dunk Rating</t>
  </si>
  <si>
    <t>Standing Dunk</t>
  </si>
  <si>
    <t>Standing_dunk_PG</t>
  </si>
  <si>
    <t>Standing_dunk_FGM</t>
  </si>
  <si>
    <t>dunkScore_total</t>
  </si>
  <si>
    <t>dunkScore_average</t>
  </si>
  <si>
    <t>dunkScore_max</t>
  </si>
  <si>
    <t>Putback Frequency%</t>
  </si>
  <si>
    <t>Putback Scoring Impact Per 75 Possessions</t>
  </si>
  <si>
    <t>Stable Putback Points Per 75</t>
  </si>
  <si>
    <t>Offensive Rebound</t>
  </si>
  <si>
    <t>Offensive Rebounding Crashing Skill</t>
  </si>
  <si>
    <t>PLAYER_HEIGHT_INCHES</t>
  </si>
  <si>
    <t>Putback per Offensive Rebound</t>
  </si>
  <si>
    <t>Driving Dunk Rating</t>
  </si>
  <si>
    <t>Driving Dunk</t>
  </si>
  <si>
    <t>Drving Dunk_PG</t>
  </si>
  <si>
    <t>Drving Dunk_FGM</t>
  </si>
  <si>
    <t>jumpSubscore_average</t>
  </si>
  <si>
    <t>powerSubscore_average</t>
  </si>
  <si>
    <t>styleSubscore_average</t>
  </si>
  <si>
    <t>hangTime_average</t>
  </si>
  <si>
    <t>takeoffDistance_average</t>
  </si>
  <si>
    <t>Post Hook Rating</t>
  </si>
  <si>
    <t>Post Hook</t>
  </si>
  <si>
    <t>Hook_Shot_FGM</t>
  </si>
  <si>
    <t>Hook_Shot_PG</t>
  </si>
  <si>
    <t>Hook_Shot_FG%</t>
  </si>
  <si>
    <t>Post Up Shot Making</t>
  </si>
  <si>
    <t>Post Up Impact Per 75 Possessions</t>
  </si>
  <si>
    <t>POST_TOUCHES</t>
  </si>
  <si>
    <t>Stable Post Up PPP</t>
  </si>
  <si>
    <t>Post Fade</t>
  </si>
  <si>
    <t>Fadeway_Shot_FGM</t>
  </si>
  <si>
    <t>Fadeway_Shot_PG</t>
  </si>
  <si>
    <t>Fadeway_Shot_FG%</t>
  </si>
  <si>
    <t>Post Up Frequency%</t>
  </si>
  <si>
    <t>Post Control</t>
  </si>
  <si>
    <t>PTS_PER_POST_TOUCH</t>
  </si>
  <si>
    <t>Post Up Shot Quality</t>
  </si>
  <si>
    <t>Post Up Draw Foul Rate</t>
  </si>
  <si>
    <t>Draw Foul</t>
  </si>
  <si>
    <t>FTA_per100</t>
  </si>
  <si>
    <t>FTA</t>
  </si>
  <si>
    <t>Fouls Drawn / 75</t>
  </si>
  <si>
    <t>Stable Fouls Drawn Per 75</t>
  </si>
  <si>
    <t>Stable Shooting Fouls Drawn Per 75</t>
  </si>
  <si>
    <t>Stable Non Shooting Fouls Drawn Per 75</t>
  </si>
  <si>
    <t>Stable FTA Per 75</t>
  </si>
  <si>
    <t>Isolation Foul Drawn Rate</t>
  </si>
  <si>
    <t>Playmaking Talent</t>
  </si>
  <si>
    <t>Touches Per 75</t>
  </si>
  <si>
    <t>TOUCHES</t>
  </si>
  <si>
    <t xml:space="preserve"> </t>
  </si>
  <si>
    <t>Rotation Role</t>
  </si>
  <si>
    <t>average</t>
  </si>
  <si>
    <t>stdev</t>
  </si>
  <si>
    <t>Key Rotation</t>
  </si>
  <si>
    <t>Rotation</t>
  </si>
  <si>
    <t>Starter</t>
  </si>
  <si>
    <t>Derek Fisher</t>
  </si>
  <si>
    <t>Kobe Bryant</t>
  </si>
  <si>
    <t>Too Few Games</t>
  </si>
  <si>
    <t>Jermaine ONeal</t>
  </si>
  <si>
    <t>Tim Duncan</t>
  </si>
  <si>
    <t>Star</t>
  </si>
  <si>
    <t>Chauncey Billups</t>
  </si>
  <si>
    <t>Stephen Jackson</t>
  </si>
  <si>
    <t>Garbage Time</t>
  </si>
  <si>
    <t>Antawn Jamison</t>
  </si>
  <si>
    <t>Vince Carter</t>
  </si>
  <si>
    <t>2016-17</t>
  </si>
  <si>
    <t>2017-18</t>
  </si>
  <si>
    <t>2018-19</t>
  </si>
  <si>
    <t>2019-20</t>
  </si>
  <si>
    <t>Dirk Nowitzki</t>
  </si>
  <si>
    <t>Paul Pierce</t>
  </si>
  <si>
    <t>Al Harrington</t>
  </si>
  <si>
    <t>Nazr Mohammed</t>
  </si>
  <si>
    <t>Rashard Lewis</t>
  </si>
  <si>
    <t>Elton Brand</t>
  </si>
  <si>
    <t>Andre Miller</t>
  </si>
  <si>
    <t>Shawn Marion</t>
  </si>
  <si>
    <t>Jason Terry</t>
  </si>
  <si>
    <t>Metta World Peace</t>
  </si>
  <si>
    <t>Andrei Kirilenko</t>
  </si>
  <si>
    <t>Manu Ginobili</t>
  </si>
  <si>
    <t>Kenyon Martin</t>
  </si>
  <si>
    <t>Mike Miller</t>
  </si>
  <si>
    <t>Jamal Crawford</t>
  </si>
  <si>
    <t>Hedo Turkoglu</t>
  </si>
  <si>
    <t>Tyson Chandler</t>
  </si>
  <si>
    <t>Pau Gasol</t>
  </si>
  <si>
    <t>Jason Richardson</t>
  </si>
  <si>
    <t>Shane Battier</t>
  </si>
  <si>
    <t>Joe Johnson</t>
  </si>
  <si>
    <t>2021-22</t>
  </si>
  <si>
    <t>Richard Jefferson</t>
  </si>
  <si>
    <t>Jason Collins</t>
  </si>
  <si>
    <t>Zach Randolph</t>
  </si>
  <si>
    <t>Brendan Haywood</t>
  </si>
  <si>
    <t>Gerald Wallace</t>
  </si>
  <si>
    <t>Samuel Dalembert</t>
  </si>
  <si>
    <t>Jamaal Tinsley</t>
  </si>
  <si>
    <t>Tony Parker</t>
  </si>
  <si>
    <t>Mike James</t>
  </si>
  <si>
    <t>Earl Watson</t>
  </si>
  <si>
    <t>Chris Andersen</t>
  </si>
  <si>
    <t>Mike Dunleavy</t>
  </si>
  <si>
    <t>Drew Gooden</t>
  </si>
  <si>
    <t>Nene</t>
  </si>
  <si>
    <t>Amare Stoudemire</t>
  </si>
  <si>
    <t>Caron Butler</t>
  </si>
  <si>
    <t>Melvin Ely</t>
  </si>
  <si>
    <t>Tayshaun Prince</t>
  </si>
  <si>
    <t>John Salmons</t>
  </si>
  <si>
    <t>Roger Mason Jr</t>
  </si>
  <si>
    <t>Carlos Boozer</t>
  </si>
  <si>
    <t>Matt Barnes</t>
  </si>
  <si>
    <t>Rasual Butler</t>
  </si>
  <si>
    <t>Luis Scola</t>
  </si>
  <si>
    <t>Jannero Pargo</t>
  </si>
  <si>
    <t>Reggie Evans</t>
  </si>
  <si>
    <t>LeBron James</t>
  </si>
  <si>
    <t>2020-21</t>
  </si>
  <si>
    <t>2022-23</t>
  </si>
  <si>
    <t>2023-24</t>
  </si>
  <si>
    <t>2024-25</t>
  </si>
  <si>
    <t>2025-26</t>
  </si>
  <si>
    <t>Lebron James</t>
  </si>
  <si>
    <t>Carmelo Anthony</t>
  </si>
  <si>
    <t>Chris Bosh</t>
  </si>
  <si>
    <t>Dwyane Wade</t>
  </si>
  <si>
    <t>Chris Kaman</t>
  </si>
  <si>
    <t>Kirk Hinrich</t>
  </si>
  <si>
    <t>Nick Collison</t>
  </si>
  <si>
    <t>Luke Ridnour</t>
  </si>
  <si>
    <t>David West</t>
  </si>
  <si>
    <t>Dahntay Jones</t>
  </si>
  <si>
    <t>Boris Diaw</t>
  </si>
  <si>
    <t>Travis Outlaw</t>
  </si>
  <si>
    <t>Kendrick Perkins</t>
  </si>
  <si>
    <t>Leandro Barbosa</t>
  </si>
  <si>
    <t>Steve Blake</t>
  </si>
  <si>
    <t>Willie Green</t>
  </si>
  <si>
    <t>Zaza Pachulia</t>
  </si>
  <si>
    <t>Keith Bogans</t>
  </si>
  <si>
    <t>Matt Bonner</t>
  </si>
  <si>
    <t>Mo Williams</t>
  </si>
  <si>
    <t>James Jones</t>
  </si>
  <si>
    <t>Kyle Korver</t>
  </si>
  <si>
    <t>Udonis Haslem</t>
  </si>
  <si>
    <t>Josh Powell</t>
  </si>
  <si>
    <t>Dwight Howard</t>
  </si>
  <si>
    <t>Emeka Okafor</t>
  </si>
  <si>
    <t>Ben Gordon</t>
  </si>
  <si>
    <t>Shaun Livingston</t>
  </si>
  <si>
    <t>Devin Harris</t>
  </si>
  <si>
    <t>Josh Childress</t>
  </si>
  <si>
    <t>Luol Deng</t>
  </si>
  <si>
    <t>Andre Iguodala</t>
  </si>
  <si>
    <t>Andris Biedrins</t>
  </si>
  <si>
    <t>Sebastian Telfair</t>
  </si>
  <si>
    <t>Kris Humphries</t>
  </si>
  <si>
    <t>Al Jefferson</t>
  </si>
  <si>
    <t>Josh Smith</t>
  </si>
  <si>
    <t>JR Smith</t>
  </si>
  <si>
    <t>Dorell Wright</t>
  </si>
  <si>
    <t>Jameer Nelson</t>
  </si>
  <si>
    <t>Tony Allen</t>
  </si>
  <si>
    <t>Kevin Martin</t>
  </si>
  <si>
    <t>Sasha Vujacic</t>
  </si>
  <si>
    <t>Beno Udrih</t>
  </si>
  <si>
    <t>Anderson Varejao</t>
  </si>
  <si>
    <t>Royal Ivey</t>
  </si>
  <si>
    <t>Trevor Ariza</t>
  </si>
  <si>
    <t>Earl Barron</t>
  </si>
  <si>
    <t>Damien Wilkins</t>
  </si>
  <si>
    <t>Andrew Bogut</t>
  </si>
  <si>
    <t>Marvin Williams</t>
  </si>
  <si>
    <t>Chris Paul</t>
  </si>
  <si>
    <t>Raymond Felton</t>
  </si>
  <si>
    <t>Martell Webster</t>
  </si>
  <si>
    <t>Charlie Villanueva</t>
  </si>
  <si>
    <t>Channing Frye</t>
  </si>
  <si>
    <t>Deron Williams</t>
  </si>
  <si>
    <t>Andrew Bynum</t>
  </si>
  <si>
    <t>Danny Granger</t>
  </si>
  <si>
    <t>Gerald Green</t>
  </si>
  <si>
    <t>Nate Robinson</t>
  </si>
  <si>
    <t>Jarrett Jack</t>
  </si>
  <si>
    <t>Francisco Garcia</t>
  </si>
  <si>
    <t>Jason Maxiell</t>
  </si>
  <si>
    <t>Ian Mahinmi</t>
  </si>
  <si>
    <t>David Lee</t>
  </si>
  <si>
    <t>Brandon Bass</t>
  </si>
  <si>
    <t>CJ Miles</t>
  </si>
  <si>
    <t>Ersan Ilyasova</t>
  </si>
  <si>
    <t>Ronny Turiaf</t>
  </si>
  <si>
    <t>Monta Ellis</t>
  </si>
  <si>
    <t>Lou Williams</t>
  </si>
  <si>
    <t>Andray Blatche</t>
  </si>
  <si>
    <t>Ryan Gomes</t>
  </si>
  <si>
    <t>Amir Johnson</t>
  </si>
  <si>
    <t>Marcin Gortat</t>
  </si>
  <si>
    <t>Ronnie Price</t>
  </si>
  <si>
    <t>Jose Calderon</t>
  </si>
  <si>
    <t>Shavlik Randolph</t>
  </si>
  <si>
    <t>Alan Anderson</t>
  </si>
  <si>
    <t>Will Bynum</t>
  </si>
  <si>
    <t>Chuck Hayes</t>
  </si>
  <si>
    <t>John Lucas</t>
  </si>
  <si>
    <t>Andrea Bargnani</t>
  </si>
  <si>
    <t>LaMarcus Aldridge</t>
  </si>
  <si>
    <t>Tyrus Thomas</t>
  </si>
  <si>
    <t>Randy Foye</t>
  </si>
  <si>
    <t>Rudy Gay</t>
  </si>
  <si>
    <t>JJ Redick</t>
  </si>
  <si>
    <t>Hilton Armstrong</t>
  </si>
  <si>
    <t>Thabo Sefolosha</t>
  </si>
  <si>
    <t>Ronnie Brewer</t>
  </si>
  <si>
    <t>Shawne Williams</t>
  </si>
  <si>
    <t>Rajon Rondo</t>
  </si>
  <si>
    <t>Kyle Lowry</t>
  </si>
  <si>
    <t>Shannon Brown</t>
  </si>
  <si>
    <t>Jordan Farmar</t>
  </si>
  <si>
    <t>Sergio Rodriguez</t>
  </si>
  <si>
    <t>Joel Freeland</t>
  </si>
  <si>
    <t>Steve Novak</t>
  </si>
  <si>
    <t>Solomon Jones</t>
  </si>
  <si>
    <t>PJ Tucker</t>
  </si>
  <si>
    <t>Paul Millsap</t>
  </si>
  <si>
    <t>Ryan Hollins</t>
  </si>
  <si>
    <t>Lou Amundson</t>
  </si>
  <si>
    <t>JJ Barea</t>
  </si>
  <si>
    <t>Mike Harris</t>
  </si>
  <si>
    <t>Greg Oden</t>
  </si>
  <si>
    <t>Kevin Durant</t>
  </si>
  <si>
    <t>Al Horford</t>
  </si>
  <si>
    <t>Mike Conley</t>
  </si>
  <si>
    <t>Jeff Green</t>
  </si>
  <si>
    <t>Corey Brewer</t>
  </si>
  <si>
    <t>Brandan Wright</t>
  </si>
  <si>
    <t>Joakim Noah</t>
  </si>
  <si>
    <t>Spencer Hawes</t>
  </si>
  <si>
    <t>Thaddeus Young</t>
  </si>
  <si>
    <t>Rodney Stuckey</t>
  </si>
  <si>
    <t>Nick Young</t>
  </si>
  <si>
    <t>Marco Belinelli</t>
  </si>
  <si>
    <t>Jason Smith</t>
  </si>
  <si>
    <t>Jared Dudley</t>
  </si>
  <si>
    <t>Wilson Chandler</t>
  </si>
  <si>
    <t>Aaron Brooks</t>
  </si>
  <si>
    <t>Arron Afflalo</t>
  </si>
  <si>
    <t>Tiago Splitter</t>
  </si>
  <si>
    <t>Carl Landry</t>
  </si>
  <si>
    <t>Glen Davis</t>
  </si>
  <si>
    <t>Josh McRoberts</t>
  </si>
  <si>
    <t>Marc Gasol</t>
  </si>
  <si>
    <t>Aaron Gray</t>
  </si>
  <si>
    <t>Ramon Sessions</t>
  </si>
  <si>
    <t>Joel Anthony</t>
  </si>
  <si>
    <t>Mustafa Shakur</t>
  </si>
  <si>
    <t>CJ Watson</t>
  </si>
  <si>
    <t>Anthony Tolliver</t>
  </si>
  <si>
    <t>Andre Ingram</t>
  </si>
  <si>
    <t>Michael Beasley</t>
  </si>
  <si>
    <t>OJ Mayo</t>
  </si>
  <si>
    <t>Derrick Rose</t>
  </si>
  <si>
    <t>Russell Westbrook</t>
  </si>
  <si>
    <t>Kevin Love</t>
  </si>
  <si>
    <t>Danilo Gallinari</t>
  </si>
  <si>
    <t>Eric Gordon</t>
  </si>
  <si>
    <t>DJ Augustin</t>
  </si>
  <si>
    <t>Brook Lopez</t>
  </si>
  <si>
    <t>Jerryd Bayless</t>
  </si>
  <si>
    <t>Jason Thompson</t>
  </si>
  <si>
    <t>Brandon Rush</t>
  </si>
  <si>
    <t>Anthony Randolph</t>
  </si>
  <si>
    <t>Robin Lopez</t>
  </si>
  <si>
    <t>Marreese Speights</t>
  </si>
  <si>
    <t>Roy Hibbert</t>
  </si>
  <si>
    <t>JaVale McGee</t>
  </si>
  <si>
    <t>JJ Hickson</t>
  </si>
  <si>
    <t>Alexis Ajinca</t>
  </si>
  <si>
    <t>Ryan Anderson</t>
  </si>
  <si>
    <t>Courtney Lee</t>
  </si>
  <si>
    <t>Kosta Koufos</t>
  </si>
  <si>
    <t>Serge Ibaka</t>
  </si>
  <si>
    <t>Nicolas Batum</t>
  </si>
  <si>
    <t>George Hill</t>
  </si>
  <si>
    <t>Darrell Arthur</t>
  </si>
  <si>
    <t>DJ White</t>
  </si>
  <si>
    <t>Nikola Pekovic</t>
  </si>
  <si>
    <t>Joey Dorsey</t>
  </si>
  <si>
    <t>Mario Chalmers</t>
  </si>
  <si>
    <t>DeAndre Jordan</t>
  </si>
  <si>
    <t>Omer Asik</t>
  </si>
  <si>
    <t>Luc Mbah a Moute</t>
  </si>
  <si>
    <t>Sonny Weems</t>
  </si>
  <si>
    <t>Chris Douglas-Roberts</t>
  </si>
  <si>
    <t>Goran Dragic</t>
  </si>
  <si>
    <t>Henry Walker</t>
  </si>
  <si>
    <t>Sasha Kaun</t>
  </si>
  <si>
    <t>Anthony Morrow</t>
  </si>
  <si>
    <t>Bobby Brown</t>
  </si>
  <si>
    <t>Othyus Jeffers</t>
  </si>
  <si>
    <t>Cartier Martin</t>
  </si>
  <si>
    <t>Greg Stiemsma</t>
  </si>
  <si>
    <t>Blake Griffin</t>
  </si>
  <si>
    <t>Hasheem Thabeet</t>
  </si>
  <si>
    <t>James Harden</t>
  </si>
  <si>
    <t>Tyreke Evans</t>
  </si>
  <si>
    <t>Ricky Rubio</t>
  </si>
  <si>
    <t>Stephen Curry</t>
  </si>
  <si>
    <t>Jordan Hill</t>
  </si>
  <si>
    <t>DeMar DeRozan</t>
  </si>
  <si>
    <t>Brandon Jennings</t>
  </si>
  <si>
    <t>Gerald Henderson</t>
  </si>
  <si>
    <t>Tyler Hansbrough</t>
  </si>
  <si>
    <t>Earl Clark</t>
  </si>
  <si>
    <t>Austin Daye</t>
  </si>
  <si>
    <t>James Johnson</t>
  </si>
  <si>
    <t>Jrue Holiday</t>
  </si>
  <si>
    <t>Ty Lawson</t>
  </si>
  <si>
    <t>Jeff Teague</t>
  </si>
  <si>
    <t>Eric Maynor</t>
  </si>
  <si>
    <t>Darren Collison</t>
  </si>
  <si>
    <t>Omri Casspi</t>
  </si>
  <si>
    <t>Byron Mullens</t>
  </si>
  <si>
    <t>Taj Gibson</t>
  </si>
  <si>
    <t>DeMarre Carroll</t>
  </si>
  <si>
    <t>Wayne Ellington</t>
  </si>
  <si>
    <t>Toney Douglas</t>
  </si>
  <si>
    <t>Victor Claver</t>
  </si>
  <si>
    <t>Jeff Ayres</t>
  </si>
  <si>
    <t>Dante Cunningham</t>
  </si>
  <si>
    <t>DeJuan Blair</t>
  </si>
  <si>
    <t>Jonas Jerebko</t>
  </si>
  <si>
    <t>Jodie Meeks</t>
  </si>
  <si>
    <t>Patrick Beverley</t>
  </si>
  <si>
    <t>Marcus Thornton</t>
  </si>
  <si>
    <t>Chase Budinger</t>
  </si>
  <si>
    <t>Nick Calathes</t>
  </si>
  <si>
    <t>Danny Green</t>
  </si>
  <si>
    <t>AJ Price</t>
  </si>
  <si>
    <t>Nando De Colo</t>
  </si>
  <si>
    <t>Patty Mills</t>
  </si>
  <si>
    <t>Lester Hudson</t>
  </si>
  <si>
    <t>Garrett Temple</t>
  </si>
  <si>
    <t>Jerel McNeal</t>
  </si>
  <si>
    <t>Wesley Matthews</t>
  </si>
  <si>
    <t>Alonzo Gee</t>
  </si>
  <si>
    <t>Dionte Christmas</t>
  </si>
  <si>
    <t>Reggie Williams</t>
  </si>
  <si>
    <t>Shane Edwards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</si>
  <si>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</si>
  <si>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</si>
  <si>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</si>
  <si>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</si>
  <si>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</si>
  <si>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</si>
  <si>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</si>
  <si>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</si>
  <si>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</si>
  <si>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</si>
  <si>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Cole Aldrich</t>
  </si>
  <si>
    <t>Xavier Henry</t>
  </si>
  <si>
    <t>Ed Davis</t>
  </si>
  <si>
    <t>Patrick Patterson</t>
  </si>
  <si>
    <t>Larry Sanders</t>
  </si>
  <si>
    <t>Luke Babbitt</t>
  </si>
  <si>
    <t>Kevin Seraphin</t>
  </si>
  <si>
    <t>Eric Bledsoe</t>
  </si>
  <si>
    <t>Avery Bradley</t>
  </si>
  <si>
    <t>James Anderson</t>
  </si>
  <si>
    <t>Elliot Williams</t>
  </si>
  <si>
    <t>Trevor Booker</t>
  </si>
  <si>
    <t>Damion James</t>
  </si>
  <si>
    <t>Quincy Pondexter</t>
  </si>
  <si>
    <t>Jordan Crawford</t>
  </si>
  <si>
    <t>Greivis Vasquez</t>
  </si>
  <si>
    <t>Daniel Orton</t>
  </si>
  <si>
    <t>Tibor Pleiss</t>
  </si>
  <si>
    <t>Dexter Pittman</t>
  </si>
  <si>
    <t>Hassan Whiteside</t>
  </si>
  <si>
    <t>Nemanja Bjelica</t>
  </si>
  <si>
    <t>Landry Fields</t>
  </si>
  <si>
    <t>Lance Stephenson</t>
  </si>
  <si>
    <t>Jarvis Varnado</t>
  </si>
  <si>
    <t>Jerome Jordan</t>
  </si>
  <si>
    <t>Jeremy Evans</t>
  </si>
  <si>
    <t>Hamady Ndiaye</t>
  </si>
  <si>
    <t>Donald Sloan</t>
  </si>
  <si>
    <t>Timofey Mozgov</t>
  </si>
  <si>
    <t>Gary Neal</t>
  </si>
  <si>
    <t>Jeremy Lin</t>
  </si>
  <si>
    <t>Ish Smith</t>
  </si>
  <si>
    <t>Jeff Adrien</t>
  </si>
  <si>
    <t>Elijah Millsap</t>
  </si>
  <si>
    <t>Manny Harris</t>
  </si>
  <si>
    <t>Lance Thomas</t>
  </si>
  <si>
    <t>Arinze Onuaku</t>
  </si>
  <si>
    <t>Kyrie Irving</t>
  </si>
  <si>
    <t>Derrick Williams</t>
  </si>
  <si>
    <t>Enes Freedom</t>
  </si>
  <si>
    <t>Tristan Thompson</t>
  </si>
  <si>
    <t>Jonas Valanciunas</t>
  </si>
  <si>
    <t>Jan Vesely</t>
  </si>
  <si>
    <t>Bismack Biyombo</t>
  </si>
  <si>
    <t>Brandon Knight</t>
  </si>
  <si>
    <t>Kemba Walker</t>
  </si>
  <si>
    <t>Jimmer Fredette</t>
  </si>
  <si>
    <t>Klay Thompson</t>
  </si>
  <si>
    <t>Alec Burks</t>
  </si>
  <si>
    <t>Markieff Morris</t>
  </si>
  <si>
    <t>Marcus Morris Sr</t>
  </si>
  <si>
    <t>Kawhi Leonard</t>
  </si>
  <si>
    <t>Nikola Vucevic</t>
  </si>
  <si>
    <t>Iman Shumpert</t>
  </si>
  <si>
    <t>Chris Singleton</t>
  </si>
  <si>
    <t>Tobias Harris</t>
  </si>
  <si>
    <t>Donatas Motiejunas</t>
  </si>
  <si>
    <t>Kenneth Faried</t>
  </si>
  <si>
    <t>Nikola Mirotic</t>
  </si>
  <si>
    <t>Reggie Jackson</t>
  </si>
  <si>
    <t>MarShon Brooks</t>
  </si>
  <si>
    <t>Jordan Hamilton</t>
  </si>
  <si>
    <t>Norris Cole</t>
  </si>
  <si>
    <t>Cory Joseph</t>
  </si>
  <si>
    <t>Jimmy Butler</t>
  </si>
  <si>
    <t>Bojan Bogdanovic</t>
  </si>
  <si>
    <t>Justin Harper</t>
  </si>
  <si>
    <t>Kyle Singler</t>
  </si>
  <si>
    <t>Shelvin Mack</t>
  </si>
  <si>
    <t>Chandler Parsons</t>
  </si>
  <si>
    <t>Jeremy Tyler</t>
  </si>
  <si>
    <t>Jon Leuer</t>
  </si>
  <si>
    <t>Darius Morris</t>
  </si>
  <si>
    <t>Davis Bertans</t>
  </si>
  <si>
    <t>Malcolm Lee</t>
  </si>
  <si>
    <t>Josh Harrellson</t>
  </si>
  <si>
    <t>Andrew Goudelock</t>
  </si>
  <si>
    <t>Lavoy Allen</t>
  </si>
  <si>
    <t>DeAndre Liggins</t>
  </si>
  <si>
    <t>ETwaun Moore</t>
  </si>
  <si>
    <t>Isaiah Thomas</t>
  </si>
  <si>
    <t>Dwight Buycks</t>
  </si>
  <si>
    <t>Chris Wright</t>
  </si>
  <si>
    <t>Xavier Silas</t>
  </si>
  <si>
    <t>Julyan Stone</t>
  </si>
  <si>
    <t>Jeremy Pargo</t>
  </si>
  <si>
    <t>Malcolm Thomas</t>
  </si>
  <si>
    <t>Brad Wanamaker</t>
  </si>
  <si>
    <t>Greg Smith</t>
  </si>
  <si>
    <t>Gustavo Ayon</t>
  </si>
  <si>
    <t>Anthony Davis</t>
  </si>
  <si>
    <t>Michael Kidd-Gilchrist</t>
  </si>
  <si>
    <t>Bradley Beal</t>
  </si>
  <si>
    <t>Dion Waiters</t>
  </si>
  <si>
    <t>Thomas Robinson</t>
  </si>
  <si>
    <t>Damian Lillard</t>
  </si>
  <si>
    <t>Terrence Ross</t>
  </si>
  <si>
    <t>Andre Drummond</t>
  </si>
  <si>
    <t>Harrison Barnes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</si>
  <si>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</si>
  <si>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</si>
  <si>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</si>
  <si>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</si>
  <si>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</si>
  <si>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</si>
  <si>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</si>
  <si>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</si>
  <si>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</si>
  <si>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</si>
  <si>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Evan Fournier</t>
  </si>
  <si>
    <t>Jared Sullinger</t>
  </si>
  <si>
    <t>John Jenkins</t>
  </si>
  <si>
    <t>Jared Cunningham</t>
  </si>
  <si>
    <t>Tony Wroten</t>
  </si>
  <si>
    <t>Miles Plumlee</t>
  </si>
  <si>
    <t>Arnett Moultrie</t>
  </si>
  <si>
    <t>Perry Jones</t>
  </si>
  <si>
    <t>Marquis Teague</t>
  </si>
  <si>
    <t>Festus Ezeli</t>
  </si>
  <si>
    <t>Jeffery Taylor</t>
  </si>
  <si>
    <t>Tomas Satoransky</t>
  </si>
  <si>
    <t>Bernard James</t>
  </si>
  <si>
    <t>Jae Crowder</t>
  </si>
  <si>
    <t>Draymond Green</t>
  </si>
  <si>
    <t>Orlando Johnson</t>
  </si>
  <si>
    <t>Quincy Acy</t>
  </si>
  <si>
    <t>Quincy Miller</t>
  </si>
  <si>
    <t>Khris Middleton</t>
  </si>
  <si>
    <t>Will Barton</t>
  </si>
  <si>
    <t>Tyshawn Taylor</t>
  </si>
  <si>
    <t>Doron Lamb</t>
  </si>
  <si>
    <t>Mike Scott</t>
  </si>
  <si>
    <t>Justin Hamilton</t>
  </si>
  <si>
    <t>Darius Miller</t>
  </si>
  <si>
    <t>Kostas Papanikolaou</t>
  </si>
  <si>
    <t>Kyle OQuinn</t>
  </si>
  <si>
    <t>Furkan Aldemir</t>
  </si>
  <si>
    <t>Tornike Shengelia</t>
  </si>
  <si>
    <t>Darius Johnson-Odom</t>
  </si>
  <si>
    <t>Robbie Hummel</t>
  </si>
  <si>
    <t>Robert Sacre</t>
  </si>
  <si>
    <t>Ognjen Kuzmic</t>
  </si>
  <si>
    <t>Hollis Thompson</t>
  </si>
  <si>
    <t>Viacheslav Kravtsov</t>
  </si>
  <si>
    <t>Mirza Teletovic</t>
  </si>
  <si>
    <t>Chris Copeland</t>
  </si>
  <si>
    <t>Pablo Prigioni</t>
  </si>
  <si>
    <t>Alexey Shved</t>
  </si>
  <si>
    <t>Kent Bazemore</t>
  </si>
  <si>
    <t>Maalik Wayns</t>
  </si>
  <si>
    <t>Chris Smith</t>
  </si>
  <si>
    <t>Brian Roberts</t>
  </si>
  <si>
    <t>Henry Sims</t>
  </si>
  <si>
    <t>Scott Machado</t>
  </si>
  <si>
    <t>Willie Reed</t>
  </si>
  <si>
    <t>Chris Johnson</t>
  </si>
  <si>
    <t>Diante Garrett</t>
  </si>
  <si>
    <t>Justin Holiday</t>
  </si>
  <si>
    <t>JaMychal Green</t>
  </si>
  <si>
    <t>James Nunnally</t>
  </si>
  <si>
    <t>Jorge Gutierrez</t>
  </si>
  <si>
    <t>Toure Murry</t>
  </si>
  <si>
    <t>Glen Rice</t>
  </si>
  <si>
    <t>Aron Baynes</t>
  </si>
  <si>
    <t>Nerlens Noel</t>
  </si>
  <si>
    <t>Alex Len</t>
  </si>
  <si>
    <t>Allen Crabbe</t>
  </si>
  <si>
    <t>Andre Roberson</t>
  </si>
  <si>
    <t>Anthony Bennett</t>
  </si>
  <si>
    <t>Archie Goodwin</t>
  </si>
  <si>
    <t>Ben McLemore</t>
  </si>
  <si>
    <t>Brandon Paul</t>
  </si>
  <si>
    <t>Carrick Felix</t>
  </si>
  <si>
    <t>CJ McCollum</t>
  </si>
  <si>
    <t>Cody Zeller</t>
  </si>
  <si>
    <t>Dennis Schroder</t>
  </si>
  <si>
    <t>Dewayne Dedmon</t>
  </si>
  <si>
    <t>DJ Stephens</t>
  </si>
  <si>
    <t>Erick Green</t>
  </si>
  <si>
    <t>Gorgui Dieng</t>
  </si>
  <si>
    <t>Isaiah Canaan</t>
  </si>
  <si>
    <t>Jamaal Franklin</t>
  </si>
  <si>
    <t>James Southerland</t>
  </si>
  <si>
    <t>Jeff Withey</t>
  </si>
  <si>
    <t>Kelly Olynyk</t>
  </si>
  <si>
    <t>Kentavious Caldwell-Pope</t>
  </si>
  <si>
    <t>Lorenzo Brown</t>
  </si>
  <si>
    <t>Mason Plumlee</t>
  </si>
  <si>
    <t>Michael Carter-Williams</t>
  </si>
  <si>
    <t>Mike Muscala</t>
  </si>
  <si>
    <t>Nate Wolters</t>
  </si>
  <si>
    <t>Otto Porter Jr</t>
  </si>
  <si>
    <t>Peyton Siva</t>
  </si>
  <si>
    <t>Ray McCallum</t>
  </si>
  <si>
    <t>Reggie Bullock</t>
  </si>
  <si>
    <t>Ricky Ledo</t>
  </si>
  <si>
    <t>Robert Covington</t>
  </si>
  <si>
    <t>Rudy Gobert</t>
  </si>
  <si>
    <t>Shabazz Muhammad</t>
  </si>
  <si>
    <t>Shane Larkin</t>
  </si>
  <si>
    <t>Steven Adams</t>
  </si>
  <si>
    <t>Tim Hardaway Jr</t>
  </si>
  <si>
    <t>Tony Snell</t>
  </si>
  <si>
    <t>Trey Burke</t>
  </si>
  <si>
    <t>Vander Blue</t>
  </si>
  <si>
    <t>Victor Oladipo</t>
  </si>
  <si>
    <t>Giannis Antetokounmpo</t>
  </si>
  <si>
    <t>Sergey Karasev</t>
  </si>
  <si>
    <t>Pierre Jackson</t>
  </si>
  <si>
    <t>Grant Jerrett</t>
  </si>
  <si>
    <t>Lucas Nogueira</t>
  </si>
  <si>
    <t>Erik Murphy</t>
  </si>
  <si>
    <t>Phil Pressey</t>
  </si>
  <si>
    <t>James Ennis</t>
  </si>
  <si>
    <t>Nemanja Nedovic</t>
  </si>
  <si>
    <t>Alex Abrines</t>
  </si>
  <si>
    <t>Adonis Thomas</t>
  </si>
  <si>
    <t>Matthew Dellavedova</t>
  </si>
  <si>
    <t>Solomon Hill</t>
  </si>
  <si>
    <t>Raul Neto</t>
  </si>
  <si>
    <t>Ryan Kelly</t>
  </si>
  <si>
    <t>Joffrey Lauvergne</t>
  </si>
  <si>
    <t>Gal Mekel</t>
  </si>
  <si>
    <t>Gigi Datome</t>
  </si>
  <si>
    <t>Vitor Faverani</t>
  </si>
  <si>
    <t>Pero Antic</t>
  </si>
  <si>
    <t>Miroslav Raduljica</t>
  </si>
  <si>
    <t>Ian Clark</t>
  </si>
  <si>
    <t>Elias Harris</t>
  </si>
  <si>
    <t>Seth Curry</t>
  </si>
  <si>
    <t>Brandon Davies</t>
  </si>
  <si>
    <t>Kalin Lucas</t>
  </si>
  <si>
    <t>Patrick Christopher</t>
  </si>
  <si>
    <t>Chris Babb</t>
  </si>
  <si>
    <t>Larry Drew II</t>
  </si>
  <si>
    <t>Troy Daniels</t>
  </si>
  <si>
    <t>Rodney McGruder</t>
  </si>
  <si>
    <t>Trey McKinney-Jones</t>
  </si>
  <si>
    <t>Jonathon Simmons</t>
  </si>
  <si>
    <t>Thanasis Antetokounmpo</t>
  </si>
  <si>
    <t>Norvel Pelle</t>
  </si>
  <si>
    <t>Reggie Hearn</t>
  </si>
  <si>
    <t>Josh Magette</t>
  </si>
  <si>
    <t>CJ Williams</t>
  </si>
  <si>
    <t>PJ Hairston</t>
  </si>
  <si>
    <t>Will Cherry</t>
  </si>
  <si>
    <t>Casper Ware</t>
  </si>
  <si>
    <t>Scotty Hopson</t>
  </si>
  <si>
    <t>Russ Smith</t>
  </si>
  <si>
    <t>Shabazz Napier</t>
  </si>
  <si>
    <t>Jordan McRae</t>
  </si>
  <si>
    <t>Zach LaVine</t>
  </si>
  <si>
    <t>Tyler Ennis</t>
  </si>
  <si>
    <t>Markel Brown</t>
  </si>
  <si>
    <t>Elfrid Payton</t>
  </si>
  <si>
    <t>Semaj Christon</t>
  </si>
  <si>
    <t>Jordan Clarkson</t>
  </si>
  <si>
    <t>Devyn Marble</t>
  </si>
  <si>
    <t>KJ McDaniels</t>
  </si>
  <si>
    <t>Nick Johnson</t>
  </si>
  <si>
    <t>CJ Wilcox</t>
  </si>
  <si>
    <t>Jabari Brown</t>
  </si>
  <si>
    <t>Gary Harris</t>
  </si>
  <si>
    <t>Spencer Dinwiddie</t>
  </si>
  <si>
    <t>Nik Stauskas</t>
  </si>
  <si>
    <t>Rodney Hood</t>
  </si>
  <si>
    <t>Jordan Adams</t>
  </si>
  <si>
    <t>Khem Birch</t>
  </si>
  <si>
    <t>Cleanthony Early</t>
  </si>
  <si>
    <t>Glenn Robinson</t>
  </si>
  <si>
    <t>James Young</t>
  </si>
  <si>
    <t>Jerami Grant</t>
  </si>
  <si>
    <t>Joe Harris</t>
  </si>
  <si>
    <t>Doug McDermott</t>
  </si>
  <si>
    <t>Doug Mcdermott</t>
  </si>
  <si>
    <t>Cory Jefferson</t>
  </si>
  <si>
    <t>Sean Kilpatrick</t>
  </si>
  <si>
    <t>Aaron Gordon</t>
  </si>
  <si>
    <t>TJ Warren</t>
  </si>
  <si>
    <t>Lamar Patterson</t>
  </si>
  <si>
    <t>Marcus Smart</t>
  </si>
  <si>
    <t>Kyle Anderson</t>
  </si>
  <si>
    <t>Dwight Powell</t>
  </si>
  <si>
    <t>Adreian Payne</t>
  </si>
  <si>
    <t>Noah Vonleh</t>
  </si>
  <si>
    <t>Julius Randle</t>
  </si>
  <si>
    <t>Alex Kirk</t>
  </si>
  <si>
    <t>Cameron Bairstow</t>
  </si>
  <si>
    <t>Johnny OBryant</t>
  </si>
  <si>
    <t>James Michael McAdoo</t>
  </si>
  <si>
    <t>Jarnell Stokes</t>
  </si>
  <si>
    <t>Keith Appling</t>
  </si>
  <si>
    <t>Andrew Wiggins</t>
  </si>
  <si>
    <t>Jabari Parker</t>
  </si>
  <si>
    <t>Joel Embiid</t>
  </si>
  <si>
    <t>Bryce Cotton</t>
  </si>
  <si>
    <t>Mitch McGary</t>
  </si>
  <si>
    <t>Dante Exum</t>
  </si>
  <si>
    <t>Andre Dawkins</t>
  </si>
  <si>
    <t>JaKarr Sampson</t>
  </si>
  <si>
    <t>Eric Moreland</t>
  </si>
  <si>
    <t>Josh Huestis</t>
  </si>
  <si>
    <t>Shayne Whittington</t>
  </si>
  <si>
    <t>Jamil Wilson</t>
  </si>
  <si>
    <t>Dario Saric</t>
  </si>
  <si>
    <t>Jerrelle Benimon</t>
  </si>
  <si>
    <t>Clint Capela</t>
  </si>
  <si>
    <t>Bogdan Bogdanovic</t>
  </si>
  <si>
    <t>Jusuf Nurkic</t>
  </si>
  <si>
    <t>Vasilije Micic</t>
  </si>
  <si>
    <t>Damien Inglis</t>
  </si>
  <si>
    <t>Bruno Caboclo</t>
  </si>
  <si>
    <t>Nikola Jokic</t>
  </si>
  <si>
    <t>Kristaps Porzingis</t>
  </si>
  <si>
    <t>Edy Tavares</t>
  </si>
  <si>
    <t>Damjan Rudez</t>
  </si>
  <si>
    <t>Tyler Johnson</t>
  </si>
  <si>
    <t>Sim Bhullar</t>
  </si>
  <si>
    <t>Jack Cooley</t>
  </si>
  <si>
    <t>Tim Frazier</t>
  </si>
  <si>
    <t>Tarik Black</t>
  </si>
  <si>
    <t>David Wear</t>
  </si>
  <si>
    <t>Travis Wear</t>
  </si>
  <si>
    <t>Langston Galloway</t>
  </si>
  <si>
    <t>Zoran Dragic</t>
  </si>
  <si>
    <t>Joe Ingles</t>
  </si>
  <si>
    <t>David Stockton</t>
  </si>
  <si>
    <t>John Holland</t>
  </si>
  <si>
    <t>Jarell Eddie</t>
  </si>
  <si>
    <t>Drew Gordon</t>
  </si>
  <si>
    <t>Xavier Munford</t>
  </si>
  <si>
    <t>Omari Johnson</t>
  </si>
  <si>
    <t>Greg Whittington</t>
  </si>
  <si>
    <t>TJ McConnell</t>
  </si>
  <si>
    <t>TJ Mcconnell</t>
  </si>
  <si>
    <t>Jahlil Okafor</t>
  </si>
  <si>
    <t>Emmanuel Mudiay</t>
  </si>
  <si>
    <t>Tyus Jones</t>
  </si>
  <si>
    <t>Cliff Alexander</t>
  </si>
  <si>
    <t>Justin Anderson</t>
  </si>
  <si>
    <t>Anthony Brown</t>
  </si>
  <si>
    <t>Montrezl Harrell</t>
  </si>
  <si>
    <t>Andrew Harrison</t>
  </si>
  <si>
    <t>Aaron Harrison</t>
  </si>
  <si>
    <t>Delon Wright</t>
  </si>
  <si>
    <t>RJ Hunter</t>
  </si>
  <si>
    <t>Sam Dekker</t>
  </si>
  <si>
    <t>DAngelo Russell</t>
  </si>
  <si>
    <t>Karl-Anthony Towns</t>
  </si>
  <si>
    <t>Richaun Holmes</t>
  </si>
  <si>
    <t>Justise Winslow</t>
  </si>
  <si>
    <t>Willie Cauley-Stein</t>
  </si>
  <si>
    <t>Kelly Oubre Jr</t>
  </si>
  <si>
    <t>Frank Kaminsky</t>
  </si>
  <si>
    <t>Devin Booker</t>
  </si>
  <si>
    <t>Cameron Payne</t>
  </si>
  <si>
    <t>Myles Turner</t>
  </si>
  <si>
    <t>Trey Lyles</t>
  </si>
  <si>
    <t>Stanley Johnson</t>
  </si>
  <si>
    <t>Jerian Grant</t>
  </si>
  <si>
    <t>Bobby Portis</t>
  </si>
  <si>
    <t>Kevon Looney</t>
  </si>
  <si>
    <t>Rashad Vaughn</t>
  </si>
  <si>
    <t>Christian Wood</t>
  </si>
  <si>
    <t>Jordan Mickey</t>
  </si>
  <si>
    <t>Rakeem Christmas</t>
  </si>
  <si>
    <t>Dakari Johnson</t>
  </si>
  <si>
    <t>Rondae Hollis-Jefferson</t>
  </si>
  <si>
    <t>Terry Rozier</t>
  </si>
  <si>
    <t>Norman Powell</t>
  </si>
  <si>
    <t>Branden Dawson</t>
  </si>
  <si>
    <t>Chasson Randle</t>
  </si>
  <si>
    <t>Jarell Martin</t>
  </si>
  <si>
    <t>Michael Frazier II</t>
  </si>
  <si>
    <t>Quinn Cook</t>
  </si>
  <si>
    <t>Chris McCullough</t>
  </si>
  <si>
    <t>Pat Connaughton</t>
  </si>
  <si>
    <t>Willy Hernangomez</t>
  </si>
  <si>
    <t>Josh Richardson</t>
  </si>
  <si>
    <t>Darrun Hilliard</t>
  </si>
  <si>
    <t>Joe Young</t>
  </si>
  <si>
    <t>Treveon Graham</t>
  </si>
  <si>
    <t>Larry Nance Jr</t>
  </si>
  <si>
    <t>Vincent Hunter</t>
  </si>
  <si>
    <t>Keifer Sykes</t>
  </si>
  <si>
    <t>Mario Hezonja</t>
  </si>
  <si>
    <t>Alan Williams</t>
  </si>
  <si>
    <t>Bryce Dejean-Jones</t>
  </si>
  <si>
    <t>Royce ONeale</t>
  </si>
  <si>
    <t>Cedi Osman</t>
  </si>
  <si>
    <t>Luis Montero</t>
  </si>
  <si>
    <t>Cristiano Felicio</t>
  </si>
  <si>
    <t>Boban Marjanovic</t>
  </si>
  <si>
    <t>Duje Dukan</t>
  </si>
  <si>
    <t>Axel Toupane</t>
  </si>
  <si>
    <t>Maurice Ndour</t>
  </si>
  <si>
    <t>Salah Mejri</t>
  </si>
  <si>
    <t>Malcolm Miller</t>
  </si>
  <si>
    <t>Coty Clarke</t>
  </si>
  <si>
    <t>JJ OBrien</t>
  </si>
  <si>
    <t>Marcelo Huertas</t>
  </si>
  <si>
    <t>Jordan Sibert</t>
  </si>
  <si>
    <t>Jacob Pullen</t>
  </si>
  <si>
    <t>Jonathan Gibson</t>
  </si>
  <si>
    <t>Malcolm Delaney</t>
  </si>
  <si>
    <t>Walt Lemon Jr</t>
  </si>
  <si>
    <t>Alex Stepheson</t>
  </si>
  <si>
    <t>Briante Weber</t>
  </si>
  <si>
    <t>Julian Washburn</t>
  </si>
  <si>
    <t>Ben Simmons</t>
  </si>
  <si>
    <t>Dragan Bender</t>
  </si>
  <si>
    <t>Domantas Sabonis</t>
  </si>
  <si>
    <t>Wade Baldwin IV</t>
  </si>
  <si>
    <t>Malik Beasley</t>
  </si>
  <si>
    <t>Marquese Chriss</t>
  </si>
  <si>
    <t>Deyonta Davis</t>
  </si>
  <si>
    <t>Kris Dunn</t>
  </si>
  <si>
    <t>Henry Ellenson</t>
  </si>
  <si>
    <t>Buddy Hield</t>
  </si>
  <si>
    <t>Brandon Ingram</t>
  </si>
  <si>
    <t>Demetrius Jackson</t>
  </si>
  <si>
    <t>Brice Johnson</t>
  </si>
  <si>
    <t>Damian Jones</t>
  </si>
  <si>
    <t>Skal Labissiere</t>
  </si>
  <si>
    <t>Caris LeVert</t>
  </si>
  <si>
    <t>Thon Maker</t>
  </si>
  <si>
    <t>Dejounte Murray</t>
  </si>
  <si>
    <t>Jamal Murray</t>
  </si>
  <si>
    <t>Jakob Poeltl</t>
  </si>
  <si>
    <t>Taurean Prince</t>
  </si>
  <si>
    <t>Zhou Qi</t>
  </si>
  <si>
    <t>Diamond Stone</t>
  </si>
  <si>
    <t>Tyler Ulis</t>
  </si>
  <si>
    <t>Denzel Valentine</t>
  </si>
  <si>
    <t>Stephen Zimmerman</t>
  </si>
  <si>
    <t>Ron Baker</t>
  </si>
  <si>
    <t>Jaylen Brown</t>
  </si>
  <si>
    <t>Cat Barber</t>
  </si>
  <si>
    <t>DeAndre Bembry</t>
  </si>
  <si>
    <t>Joel Bolomboy</t>
  </si>
  <si>
    <t>Malcolm Brogdon</t>
  </si>
  <si>
    <t>Cheick Diallo</t>
  </si>
  <si>
    <t>Kay Felder</t>
  </si>
  <si>
    <t>Michael Gbinije</t>
  </si>
  <si>
    <t>Daniel Hamilton</t>
  </si>
  <si>
    <t>AJ Hammons</t>
  </si>
  <si>
    <t>Jake Layman</t>
  </si>
  <si>
    <t>Patrick McCaw</t>
  </si>
  <si>
    <t>Georges Niang</t>
  </si>
  <si>
    <t>Chinanu Onuaku</t>
  </si>
  <si>
    <t>Marcus Paige</t>
  </si>
  <si>
    <t>Gary Payton II</t>
  </si>
  <si>
    <t>Malachi Richardson</t>
  </si>
  <si>
    <t>Wayne Selden</t>
  </si>
  <si>
    <t>Pascal Siakam</t>
  </si>
  <si>
    <t>Jarrod Uthoff</t>
  </si>
  <si>
    <t>Isaiah Whitehead</t>
  </si>
  <si>
    <t>Troy Williams</t>
  </si>
  <si>
    <t>Kyle Wiltjer</t>
  </si>
  <si>
    <t>Furkan Korkmaz</t>
  </si>
  <si>
    <t>Timothe Luwawu-Cabarrot</t>
  </si>
  <si>
    <t>Ante Zizic</t>
  </si>
  <si>
    <t>Ben Bentil</t>
  </si>
  <si>
    <t>Yogi Ferrell</t>
  </si>
  <si>
    <t>Damion Lee</t>
  </si>
  <si>
    <t>Sheldon Mac</t>
  </si>
  <si>
    <t>Alex Poythress</t>
  </si>
  <si>
    <t>Tim Quarterman</t>
  </si>
  <si>
    <t>Isaiah Taylor</t>
  </si>
  <si>
    <t>Tyrone Wallace</t>
  </si>
  <si>
    <t>James Webb III</t>
  </si>
  <si>
    <t>Petr Cornelie</t>
  </si>
  <si>
    <t>Juancho Hernangomez</t>
  </si>
  <si>
    <t>Guerschon Yabusele</t>
  </si>
  <si>
    <t>Ivica Zubac</t>
  </si>
  <si>
    <t>Dorian Finney-Smith</t>
  </si>
  <si>
    <t>Fred VanVleet</t>
  </si>
  <si>
    <t>Georgios Papagiannis</t>
  </si>
  <si>
    <t>Paul Zipser</t>
  </si>
  <si>
    <t>Abdel Nader</t>
  </si>
  <si>
    <t>Shawn Long</t>
  </si>
  <si>
    <t>Daniel Ochefu</t>
  </si>
  <si>
    <t>Marshall Plumlee</t>
  </si>
  <si>
    <t>Mindaugas Kuzminskas</t>
  </si>
  <si>
    <t>Nicolas Brussino</t>
  </si>
  <si>
    <t>Ryan Arcidiacono</t>
  </si>
  <si>
    <t>Bryn Forbes</t>
  </si>
  <si>
    <t>Okaro White</t>
  </si>
  <si>
    <t>Matt Costello</t>
  </si>
  <si>
    <t>Kyle Collinsworth</t>
  </si>
  <si>
    <t>Mike Tobey</t>
  </si>
  <si>
    <t>Danuel House Jr</t>
  </si>
  <si>
    <t>Jameel Warney</t>
  </si>
  <si>
    <t>Patricio Garino</t>
  </si>
  <si>
    <t>Marcus Georges-Hunt</t>
  </si>
  <si>
    <t>Nicolas Laprovittola</t>
  </si>
  <si>
    <t>Jalen Jones</t>
  </si>
  <si>
    <t>Derrick Jones Jr</t>
  </si>
  <si>
    <t>Shaquille Harrison</t>
  </si>
  <si>
    <t>Alex Caruso</t>
  </si>
  <si>
    <t>Josh Gray</t>
  </si>
  <si>
    <t>Myke Henry</t>
  </si>
  <si>
    <t>David Nwaba</t>
  </si>
  <si>
    <t>Alfonzo McKinnie</t>
  </si>
  <si>
    <t>Jordan Loyd</t>
  </si>
  <si>
    <t>Gabe York</t>
  </si>
  <si>
    <t>Paris Bass</t>
  </si>
  <si>
    <t>Mitchell Creek</t>
  </si>
  <si>
    <t>Markelle Fultz</t>
  </si>
  <si>
    <t>Lonzo Ball</t>
  </si>
  <si>
    <t>Josh Jackson</t>
  </si>
  <si>
    <t>DeAaron Fox</t>
  </si>
  <si>
    <t>Jayson Tatum</t>
  </si>
  <si>
    <t>Malik Monk</t>
  </si>
  <si>
    <t>Jonathan Isaac</t>
  </si>
  <si>
    <t>Dennis Smith Jr</t>
  </si>
  <si>
    <t>Frank Ntilikina</t>
  </si>
  <si>
    <t>Lauri Markkanen</t>
  </si>
  <si>
    <t>Donovan Mitchell</t>
  </si>
  <si>
    <t>Luke Kennard</t>
  </si>
  <si>
    <t>Zach Collins</t>
  </si>
  <si>
    <t>John Collins</t>
  </si>
  <si>
    <t>Justin Jackson</t>
  </si>
  <si>
    <t>Justin Patton</t>
  </si>
  <si>
    <t>OG Anunoby</t>
  </si>
  <si>
    <t>Xavier Tillman</t>
  </si>
  <si>
    <t>Harry Giles</t>
  </si>
  <si>
    <t>Jarrett Allen</t>
  </si>
  <si>
    <t>Ike Anigbogu</t>
  </si>
  <si>
    <t>TJ Leaf</t>
  </si>
  <si>
    <t>Bam Adebayo</t>
  </si>
  <si>
    <t>Terrance Ferguson</t>
  </si>
  <si>
    <t>DJ Wilson</t>
  </si>
  <si>
    <t>Isaiah Hartenstein</t>
  </si>
  <si>
    <t>Jawun Evans</t>
  </si>
  <si>
    <t>Anzejs Pasecniks</t>
  </si>
  <si>
    <t>Jordan Bell</t>
  </si>
  <si>
    <t>Tony Bradley</t>
  </si>
  <si>
    <t>Ivan Rabb</t>
  </si>
  <si>
    <t>Kyle Kuzma</t>
  </si>
  <si>
    <t>Tyler Lydon</t>
  </si>
  <si>
    <t>Semi Ojeleye</t>
  </si>
  <si>
    <t>Derrick White</t>
  </si>
  <si>
    <t>Frank Jackson</t>
  </si>
  <si>
    <t>Caleb Swanigan</t>
  </si>
  <si>
    <t>Josh Hart</t>
  </si>
  <si>
    <t>Johnathan Motley</t>
  </si>
  <si>
    <t>Dwayne Bacon</t>
  </si>
  <si>
    <t>PJ Dozier</t>
  </si>
  <si>
    <t>Alec Peters</t>
  </si>
  <si>
    <t>Edmond Sumner</t>
  </si>
  <si>
    <t>Wes Iwundu</t>
  </si>
  <si>
    <t>Frank Mason</t>
  </si>
  <si>
    <t>Jonah Bolden</t>
  </si>
  <si>
    <t>Sindarius Thornwell</t>
  </si>
  <si>
    <t>Dillon Brooks</t>
  </si>
  <si>
    <t>Tyler Dorsey</t>
  </si>
  <si>
    <t>Jaron Blossomgame</t>
  </si>
  <si>
    <t>Thomas Bryant</t>
  </si>
  <si>
    <t>Cameron Oliver</t>
  </si>
  <si>
    <t>Monte Morris</t>
  </si>
  <si>
    <t>Devin Robinson</t>
  </si>
  <si>
    <t>Damyean Dotson</t>
  </si>
  <si>
    <t>Kobi Simmons</t>
  </si>
  <si>
    <t>Sterling Brown</t>
  </si>
  <si>
    <t>Sasha Vezenkov</t>
  </si>
  <si>
    <t>Vlatko Cancar</t>
  </si>
  <si>
    <t>Charles Cooke</t>
  </si>
  <si>
    <t>Nigel Williams-Goss</t>
  </si>
  <si>
    <t>Davon Reed</t>
  </si>
  <si>
    <t>Chance Comanche</t>
  </si>
  <si>
    <t>Luke Kornet</t>
  </si>
  <si>
    <t>Isaiah Hicks</t>
  </si>
  <si>
    <t>Kadeem Allen</t>
  </si>
  <si>
    <t>Jabari Bird</t>
  </si>
  <si>
    <t>Chris Boucher</t>
  </si>
  <si>
    <t>Eric Mika</t>
  </si>
  <si>
    <t>Jacob Wiley</t>
  </si>
  <si>
    <t>Milos Teodosic</t>
  </si>
  <si>
    <t>Tyler Cavanaugh</t>
  </si>
  <si>
    <t>Daniel Theis</t>
  </si>
  <si>
    <t>Maxi Kleber</t>
  </si>
  <si>
    <t>Antonio Blakeney</t>
  </si>
  <si>
    <t>Torrey Craig</t>
  </si>
  <si>
    <t>Matt Williams Jr</t>
  </si>
  <si>
    <t>Derrick Walton Jr</t>
  </si>
  <si>
    <t>Gian Clavell</t>
  </si>
  <si>
    <t>Mangok Mathiang</t>
  </si>
  <si>
    <t>Milton Doyle</t>
  </si>
  <si>
    <t>Antonius Cleveland</t>
  </si>
  <si>
    <t>Ben Moore</t>
  </si>
  <si>
    <t>Nigel Hayes</t>
  </si>
  <si>
    <t>Nigel Hayes-Davis</t>
  </si>
  <si>
    <t>Jamel Artis</t>
  </si>
  <si>
    <t>Xavier Rathan-Mayes</t>
  </si>
  <si>
    <t>Troy Caupain</t>
  </si>
  <si>
    <t>London Perrantes</t>
  </si>
  <si>
    <t>Andrew White</t>
  </si>
  <si>
    <t>Naz Mitrou-Long</t>
  </si>
  <si>
    <t>Isaiah Briscoe</t>
  </si>
  <si>
    <t>Amile Jefferson</t>
  </si>
  <si>
    <t>Jaylen Morris</t>
  </si>
  <si>
    <t>Mychal Mulder</t>
  </si>
  <si>
    <t>Erik McCree</t>
  </si>
  <si>
    <t>Amida Brimah</t>
  </si>
  <si>
    <t>Craig Sword</t>
  </si>
  <si>
    <t>Dusty Hannahs</t>
  </si>
  <si>
    <t>Billy Garrett</t>
  </si>
  <si>
    <t>Rodney Purvis</t>
  </si>
  <si>
    <t>Tahjere McCall</t>
  </si>
  <si>
    <t>Paul Watson</t>
  </si>
  <si>
    <t>Aaron Jackson</t>
  </si>
  <si>
    <t>Rawle Alkins</t>
  </si>
  <si>
    <t>Grayson Allen</t>
  </si>
  <si>
    <t>Kostas Antetokounmpo</t>
  </si>
  <si>
    <t>Udoka Azubuike</t>
  </si>
  <si>
    <t>Marvin Bagley</t>
  </si>
  <si>
    <t>Mo Bamba</t>
  </si>
  <si>
    <t>Keita Bates-Diop</t>
  </si>
  <si>
    <t>Brian Bowen II</t>
  </si>
  <si>
    <t>Mikal Bridges</t>
  </si>
  <si>
    <t>Miles Bridges</t>
  </si>
  <si>
    <t>Bruce Brown</t>
  </si>
  <si>
    <t>Troy Brown Jr</t>
  </si>
  <si>
    <t>Jalen Brunson</t>
  </si>
  <si>
    <t>Jevon Carter</t>
  </si>
  <si>
    <t>Wendell Carter Jr</t>
  </si>
  <si>
    <t>Hamidou Diallo</t>
  </si>
  <si>
    <t>Donte DiVincenzo</t>
  </si>
  <si>
    <t>Trevon Duval</t>
  </si>
  <si>
    <t>Jacob Evans</t>
  </si>
  <si>
    <t>Bruno Fernando</t>
  </si>
  <si>
    <t>Melvin Frazier Jr</t>
  </si>
  <si>
    <t>Shai Gilgeous-Alexander</t>
  </si>
  <si>
    <t>Devonte Graham</t>
  </si>
  <si>
    <t>Devon Hall</t>
  </si>
  <si>
    <t>Kevin Hervey</t>
  </si>
  <si>
    <t>Aaron Holiday</t>
  </si>
  <si>
    <t>Kevin Huerter</t>
  </si>
  <si>
    <t>Chandler Hutchison</t>
  </si>
  <si>
    <t>Jaren Jackson Jr</t>
  </si>
  <si>
    <t>Alize Johnson</t>
  </si>
  <si>
    <t>George King</t>
  </si>
  <si>
    <t>Kevin Knox II</t>
  </si>
  <si>
    <t>Caleb Martin</t>
  </si>
  <si>
    <t>Cody Martin</t>
  </si>
  <si>
    <t>Yante Maten</t>
  </si>
  <si>
    <t>DeAnthony Melton</t>
  </si>
  <si>
    <t>Chimezie Metu</t>
  </si>
  <si>
    <t>Shake Milton</t>
  </si>
  <si>
    <t>Svi Mykhailiuk</t>
  </si>
  <si>
    <t>Malik Newman</t>
  </si>
  <si>
    <t>Josh Okogie</t>
  </si>
  <si>
    <t>Jontay Porter</t>
  </si>
  <si>
    <t>Michael Porter Jr</t>
  </si>
  <si>
    <t>Jerome Robinson</t>
  </si>
  <si>
    <t>Mitchell Robinson</t>
  </si>
  <si>
    <t>Collin Sexton</t>
  </si>
  <si>
    <t>Landry Shamet</t>
  </si>
  <si>
    <t>Anfernee Simons</t>
  </si>
  <si>
    <t>Zhaire Smith</t>
  </si>
  <si>
    <t>Omari Spellman</t>
  </si>
  <si>
    <t>Khyri Thomas</t>
  </si>
  <si>
    <t>Gary Trent Jr</t>
  </si>
  <si>
    <t>Allonzo Trier</t>
  </si>
  <si>
    <t>Jarred Vanderbilt</t>
  </si>
  <si>
    <t>Moritz Wagner</t>
  </si>
  <si>
    <t>Lonnie Walker IV</t>
  </si>
  <si>
    <t>PJ Washington</t>
  </si>
  <si>
    <t>Kenrich Williams</t>
  </si>
  <si>
    <t>Trae Young</t>
  </si>
  <si>
    <t>Deandre Ayton</t>
  </si>
  <si>
    <t>Luka Doncic</t>
  </si>
  <si>
    <t>Theo Pinson</t>
  </si>
  <si>
    <t>Ray Spalding</t>
  </si>
  <si>
    <t>Carsen Edwards</t>
  </si>
  <si>
    <t>Shamorie Ponds</t>
  </si>
  <si>
    <t>Bonzie Colson</t>
  </si>
  <si>
    <t>Goga Bitadze</t>
  </si>
  <si>
    <t>Oshae Brissett</t>
  </si>
  <si>
    <t>Vince Edwards</t>
  </si>
  <si>
    <t>Donte Grantham</t>
  </si>
  <si>
    <t>Terence Davis</t>
  </si>
  <si>
    <t>Robert Williams</t>
  </si>
  <si>
    <t>Dzanan Musa</t>
  </si>
  <si>
    <t>Elie Okobo</t>
  </si>
  <si>
    <t>Rui Hachimura</t>
  </si>
  <si>
    <t>Deng Adel</t>
  </si>
  <si>
    <t>Ky Bowman</t>
  </si>
  <si>
    <t>Rodions Kurucs</t>
  </si>
  <si>
    <t>Isaac Bonga</t>
  </si>
  <si>
    <t>Tyler Cook</t>
  </si>
  <si>
    <t>Arnoldas Kulboka</t>
  </si>
  <si>
    <t>Elijah Bryant</t>
  </si>
  <si>
    <t>Tyler Davis</t>
  </si>
  <si>
    <t>Marcus Derrickson</t>
  </si>
  <si>
    <t>Jack McVeigh</t>
  </si>
  <si>
    <t>Brandon Sampson</t>
  </si>
  <si>
    <t>Kelan Martin</t>
  </si>
  <si>
    <t>Gary Clark</t>
  </si>
  <si>
    <t>Jock Landale</t>
  </si>
  <si>
    <t>Angel Delgado</t>
  </si>
  <si>
    <t>Wenyen Gabriel</t>
  </si>
  <si>
    <t>Thomas Welsh</t>
  </si>
  <si>
    <t>Jaylen Adams</t>
  </si>
  <si>
    <t>JP Macura</t>
  </si>
  <si>
    <t>Jared Terrell</t>
  </si>
  <si>
    <t>Deonte Burton</t>
  </si>
  <si>
    <t>Duncan Robinson</t>
  </si>
  <si>
    <t>Daryl Macon</t>
  </si>
  <si>
    <t>Kendrick Nunn</t>
  </si>
  <si>
    <t>Yuta Watanabe</t>
  </si>
  <si>
    <t>Johnathan Williams</t>
  </si>
  <si>
    <t>Joe Chealey</t>
  </si>
  <si>
    <t>Emanuel Terry</t>
  </si>
  <si>
    <t>Ryan Broekhoff</t>
  </si>
  <si>
    <t>DeVaughn Akoon-Purcell</t>
  </si>
  <si>
    <t>Zach Lofton</t>
  </si>
  <si>
    <t>Jordan McLaughlin</t>
  </si>
  <si>
    <t>Brandon Goodwin</t>
  </si>
  <si>
    <t>BJ Johnson</t>
  </si>
  <si>
    <t>Chris Chiozza</t>
  </si>
  <si>
    <t>Jemerrio Jones</t>
  </si>
  <si>
    <t>Gabe Vincent</t>
  </si>
  <si>
    <t>Kaiser Gates</t>
  </si>
  <si>
    <t>Drew Eubanks</t>
  </si>
  <si>
    <t>Cam Reynolds</t>
  </si>
  <si>
    <t>Juan Toscano-Anderson</t>
  </si>
  <si>
    <t>Trayvon Palmer</t>
  </si>
  <si>
    <t>Haywood Highsmith</t>
  </si>
  <si>
    <t>Alen Smailagic</t>
  </si>
  <si>
    <t>Isaac Humphries</t>
  </si>
  <si>
    <t>Dairis Bertans</t>
  </si>
  <si>
    <t>Zylan Cheatham</t>
  </si>
  <si>
    <t>Chris Clemons</t>
  </si>
  <si>
    <t>Amir Coffey</t>
  </si>
  <si>
    <t>Jarron Cumberland</t>
  </si>
  <si>
    <t>Javin DeLaurier</t>
  </si>
  <si>
    <t>Mamadi Diakite</t>
  </si>
  <si>
    <t>CJ Elleby</t>
  </si>
  <si>
    <t>Tacko Fall</t>
  </si>
  <si>
    <t>Robert Franks</t>
  </si>
  <si>
    <t>Jared Harper</t>
  </si>
  <si>
    <t>Dewan Hernandez</t>
  </si>
  <si>
    <t>DaQuan Jeffries</t>
  </si>
  <si>
    <t>Terance Mann</t>
  </si>
  <si>
    <t>Andrew Nembhard</t>
  </si>
  <si>
    <t>Reggie Perry</t>
  </si>
  <si>
    <t>Jalen Pickett</t>
  </si>
  <si>
    <t>Myles Powell</t>
  </si>
  <si>
    <t>Justin Robinson</t>
  </si>
  <si>
    <t>Marial Shayok</t>
  </si>
  <si>
    <t>Max Strus</t>
  </si>
  <si>
    <t>Lindell Wigginton</t>
  </si>
  <si>
    <t>Justin Wright-Foreman</t>
  </si>
  <si>
    <t>Bol Bol</t>
  </si>
  <si>
    <t>Zion Williamson</t>
  </si>
  <si>
    <t>RJ Barrett</t>
  </si>
  <si>
    <t>Cam Reddish</t>
  </si>
  <si>
    <t>Ja Morant</t>
  </si>
  <si>
    <t>DeAndre Hunter</t>
  </si>
  <si>
    <t>Coby White</t>
  </si>
  <si>
    <t>Jarrett Culver</t>
  </si>
  <si>
    <t>Brandon Clarke</t>
  </si>
  <si>
    <t>Sekou Doumbouya</t>
  </si>
  <si>
    <t>Darius Garland</t>
  </si>
  <si>
    <t>Jaxson Hayes</t>
  </si>
  <si>
    <t>Nickeil Alexander-Walker</t>
  </si>
  <si>
    <t>Tyler Herro</t>
  </si>
  <si>
    <t>Keldon Johnson</t>
  </si>
  <si>
    <t>Romeo Langford</t>
  </si>
  <si>
    <t>Nassir Little</t>
  </si>
  <si>
    <t>Chuma Okeke</t>
  </si>
  <si>
    <t>KZ Okpala</t>
  </si>
  <si>
    <t>Kevin Porter Jr</t>
  </si>
  <si>
    <t>Charles Bassey</t>
  </si>
  <si>
    <t>Darius Bazley</t>
  </si>
  <si>
    <t>Jordan Bone</t>
  </si>
  <si>
    <t>Ignas Brazdeikis</t>
  </si>
  <si>
    <t>Moses Brown</t>
  </si>
  <si>
    <t>Nic Claxton</t>
  </si>
  <si>
    <t>Luguentz Dort</t>
  </si>
  <si>
    <t>Devon Dotson</t>
  </si>
  <si>
    <t>Daniel Gafford</t>
  </si>
  <si>
    <t>Quentin Grimes</t>
  </si>
  <si>
    <t>Kyle Guy</t>
  </si>
  <si>
    <t>Jaylen Hoard</t>
  </si>
  <si>
    <t>Talen Horton-Tucker</t>
  </si>
  <si>
    <t>Ty Jerome</t>
  </si>
  <si>
    <t>Cameron Johnson</t>
  </si>
  <si>
    <t>Mfiondu Kabengele</t>
  </si>
  <si>
    <t>Louis King</t>
  </si>
  <si>
    <t>Jalen Lecque</t>
  </si>
  <si>
    <t>Jalen McDaniels</t>
  </si>
  <si>
    <t>Zach Norvell Jr</t>
  </si>
  <si>
    <t>Jaylen Nowell</t>
  </si>
  <si>
    <t>Jordan Nwora</t>
  </si>
  <si>
    <t>Miye Oni</t>
  </si>
  <si>
    <t>Eric Paschall</t>
  </si>
  <si>
    <t>Jordan Poole</t>
  </si>
  <si>
    <t>Neemias Queta</t>
  </si>
  <si>
    <t>Naz Reid</t>
  </si>
  <si>
    <t>Isaiah Roby</t>
  </si>
  <si>
    <t>Luka Samanic</t>
  </si>
  <si>
    <t>Admiral Schofield</t>
  </si>
  <si>
    <t>Matisse Thybulle</t>
  </si>
  <si>
    <t>Killian Tillie</t>
  </si>
  <si>
    <t>Tremont Waters</t>
  </si>
  <si>
    <t>Quinndary Weatherspoon</t>
  </si>
  <si>
    <t>Grant Williams</t>
  </si>
  <si>
    <t>Dylan Windler</t>
  </si>
  <si>
    <t>Deividas Sirvydis</t>
  </si>
  <si>
    <t>Adam Mokoka</t>
  </si>
  <si>
    <t>Didi Louzada</t>
  </si>
  <si>
    <t>Justin James</t>
  </si>
  <si>
    <t>Jarrell Brantley</t>
  </si>
  <si>
    <t>Marques Bolden</t>
  </si>
  <si>
    <t>Armoni Brooks</t>
  </si>
  <si>
    <t>Charlie Brown Jr</t>
  </si>
  <si>
    <t>Devontae Cacok</t>
  </si>
  <si>
    <t>John Konchar</t>
  </si>
  <si>
    <t>Vic Law</t>
  </si>
  <si>
    <t>Jeremiah Martin</t>
  </si>
  <si>
    <t>Garrison Mathews</t>
  </si>
  <si>
    <t>Josh Reaves</t>
  </si>
  <si>
    <t>Rayjon Tucker</t>
  </si>
  <si>
    <t>Dean Wade</t>
  </si>
  <si>
    <t>Kyle Alexander</t>
  </si>
  <si>
    <t>Chris Silva</t>
  </si>
  <si>
    <t>Vincent Poirier</t>
  </si>
  <si>
    <t>William Howard</t>
  </si>
  <si>
    <t>Nicolo Melli</t>
  </si>
  <si>
    <t>Marko Guduric</t>
  </si>
  <si>
    <t>Stanton Kidd</t>
  </si>
  <si>
    <t>Donta Hall</t>
  </si>
  <si>
    <t>Matt Thomas</t>
  </si>
  <si>
    <t>Tariq Owens</t>
  </si>
  <si>
    <t>Javonte Green</t>
  </si>
  <si>
    <t>Dakota Mathias</t>
  </si>
  <si>
    <t>Juwan Morgan</t>
  </si>
  <si>
    <t>Hassani Gravett</t>
  </si>
  <si>
    <t>Matt Mooney</t>
  </si>
  <si>
    <t>Shaq Buchanan</t>
  </si>
  <si>
    <t>Tyler Hall</t>
  </si>
  <si>
    <t>Keljin Blevins</t>
  </si>
  <si>
    <t>Jaysean Paige</t>
  </si>
  <si>
    <t>Xavier Moon</t>
  </si>
  <si>
    <t>Ahmad Caver</t>
  </si>
  <si>
    <t>Devin Cannady</t>
  </si>
  <si>
    <t>Anthony Edwards</t>
  </si>
  <si>
    <t>LaMelo Ball</t>
  </si>
  <si>
    <t>James Wiseman</t>
  </si>
  <si>
    <t>Killian Hayes</t>
  </si>
  <si>
    <t>Deni Avdija</t>
  </si>
  <si>
    <t>Obi Toppin</t>
  </si>
  <si>
    <t>Onyeka Okongwu</t>
  </si>
  <si>
    <t>Tyrese Haliburton</t>
  </si>
  <si>
    <t>Devin Vassell</t>
  </si>
  <si>
    <t>Isaac Okoro</t>
  </si>
  <si>
    <t>Patrick Williams</t>
  </si>
  <si>
    <t>Precious Achiuwa</t>
  </si>
  <si>
    <t>Aaron Nesmith</t>
  </si>
  <si>
    <t>Cole Anthony</t>
  </si>
  <si>
    <t>Vernon Carey Jr</t>
  </si>
  <si>
    <t>Theo Maledon</t>
  </si>
  <si>
    <t>Tyrese Maxey</t>
  </si>
  <si>
    <t>Tyrell Terry</t>
  </si>
  <si>
    <t>Saddiq Bey</t>
  </si>
  <si>
    <t>RJ Hampton</t>
  </si>
  <si>
    <t>Josh Green</t>
  </si>
  <si>
    <t>Jaden McDaniels</t>
  </si>
  <si>
    <t>Kira Lewis Jr</t>
  </si>
  <si>
    <t>Nico Mannion</t>
  </si>
  <si>
    <t>Jahmius Ramsey</t>
  </si>
  <si>
    <t>Daniel Oturu</t>
  </si>
  <si>
    <t>Jalen Smith</t>
  </si>
  <si>
    <t>Tyler Bey</t>
  </si>
  <si>
    <t>Elijah Hughes</t>
  </si>
  <si>
    <t>Isaiah Stewart</t>
  </si>
  <si>
    <t>Zeke Nnaji</t>
  </si>
  <si>
    <t>Immanuel Quickley</t>
  </si>
  <si>
    <t>Paul Reed</t>
  </si>
  <si>
    <t>Leandro Bolmaro</t>
  </si>
  <si>
    <t>Filip Petrusev</t>
  </si>
  <si>
    <t>Brandon Boston</t>
  </si>
  <si>
    <t>Aleksej Pokusevski</t>
  </si>
  <si>
    <t>Isaiah Joe</t>
  </si>
  <si>
    <t>Cassius Stanley</t>
  </si>
  <si>
    <t>Tre Jones</t>
  </si>
  <si>
    <t>Malachi Flynn</t>
  </si>
  <si>
    <t>Payton Pritchard</t>
  </si>
  <si>
    <t>Grant Riller</t>
  </si>
  <si>
    <t>Ashton Hagans</t>
  </si>
  <si>
    <t>Lamar Stevens</t>
  </si>
  <si>
    <t>Jay Scrubb</t>
  </si>
  <si>
    <t>Nate Hinton</t>
  </si>
  <si>
    <t>Nick Richards</t>
  </si>
  <si>
    <t>Omer Yurtseven</t>
  </si>
  <si>
    <t>Markus Howard</t>
  </si>
  <si>
    <t>Karim Mane</t>
  </si>
  <si>
    <t>Jared Butler</t>
  </si>
  <si>
    <t>Cassius Winston</t>
  </si>
  <si>
    <t>Desmond Bane</t>
  </si>
  <si>
    <t>Robert Woodard II</t>
  </si>
  <si>
    <t>Skylar Mays</t>
  </si>
  <si>
    <t>Josh Hall</t>
  </si>
  <si>
    <t>Mason Jones</t>
  </si>
  <si>
    <t>Jalen Harris</t>
  </si>
  <si>
    <t>Jalen Green</t>
  </si>
  <si>
    <t>Isaiah Todd</t>
  </si>
  <si>
    <t>Daishen Nix</t>
  </si>
  <si>
    <t>Jonathan Kuminga</t>
  </si>
  <si>
    <t>Naji Marshall</t>
  </si>
  <si>
    <t>Nathan Knight</t>
  </si>
  <si>
    <t>Ty-Shon Alexander</t>
  </si>
  <si>
    <t>Trent Forrest</t>
  </si>
  <si>
    <t>Anthony Lamb</t>
  </si>
  <si>
    <t>Malik Fitts</t>
  </si>
  <si>
    <t>Saben Lee</t>
  </si>
  <si>
    <t>Sam Merrill</t>
  </si>
  <si>
    <t>Trevelin Queen</t>
  </si>
  <si>
    <t>Ayo Dosunmu</t>
  </si>
  <si>
    <t>Vit Krejci</t>
  </si>
  <si>
    <t>Marko Simonovic</t>
  </si>
  <si>
    <t>Sean McDermott</t>
  </si>
  <si>
    <t>JaeSean Tate</t>
  </si>
  <si>
    <t>Jon Teske</t>
  </si>
  <si>
    <t>Jordan Ford</t>
  </si>
  <si>
    <t>Anthony Gill</t>
  </si>
  <si>
    <t>Will Magnay</t>
  </si>
  <si>
    <t>Facundo Campazzo</t>
  </si>
  <si>
    <t>Nate Darling</t>
  </si>
  <si>
    <t>Xavier Sneed</t>
  </si>
  <si>
    <t>Brodric Thomas</t>
  </si>
  <si>
    <t>Freddie Gillespie</t>
  </si>
  <si>
    <t>Ade Murkey</t>
  </si>
  <si>
    <t>Kylor Kelley</t>
  </si>
  <si>
    <t>Kevon Harris</t>
  </si>
  <si>
    <t>Zavier Simpson</t>
  </si>
  <si>
    <t>Trevon Scott</t>
  </si>
  <si>
    <t>Jeff Dowtin Jr</t>
  </si>
  <si>
    <t>Braxton Key</t>
  </si>
  <si>
    <t>Rob Edwards</t>
  </si>
  <si>
    <t>Pat Spencer</t>
  </si>
  <si>
    <t>Brandon Williams</t>
  </si>
  <si>
    <t>Lindy Waters</t>
  </si>
  <si>
    <t>Matt Ryan</t>
  </si>
  <si>
    <t>Gabriel Deck</t>
  </si>
  <si>
    <t>David Johnson</t>
  </si>
  <si>
    <t>Jeremiah Robinson-Earl</t>
  </si>
  <si>
    <t>Josh Christopher</t>
  </si>
  <si>
    <t>Herbert Jones</t>
  </si>
  <si>
    <t>Trey Murphy</t>
  </si>
  <si>
    <t>Jaden Springer</t>
  </si>
  <si>
    <t>Franz Wagner</t>
  </si>
  <si>
    <t>Ziaire Williams</t>
  </si>
  <si>
    <t>Ochai Agbaji</t>
  </si>
  <si>
    <t>Greg Brown</t>
  </si>
  <si>
    <t>Sharife Cooper</t>
  </si>
  <si>
    <t>Chris Duarte</t>
  </si>
  <si>
    <t>Bones Hyland</t>
  </si>
  <si>
    <t>Kai Jones</t>
  </si>
  <si>
    <t>Miles McBride</t>
  </si>
  <si>
    <t>Moses Moody</t>
  </si>
  <si>
    <t>Marcus Bagley</t>
  </si>
  <si>
    <t>Isaiah Jackson</t>
  </si>
  <si>
    <t>Tre Mann</t>
  </si>
  <si>
    <t>Terrence Shannon Jr</t>
  </si>
  <si>
    <t>James Bouknight</t>
  </si>
  <si>
    <t>Johnny Juzang</t>
  </si>
  <si>
    <t>DayRon Sharpe</t>
  </si>
  <si>
    <t>JT Thor</t>
  </si>
  <si>
    <t>Justin Champagnie</t>
  </si>
  <si>
    <t>Jalen Johnson</t>
  </si>
  <si>
    <t>Keon Johnson</t>
  </si>
  <si>
    <t>Jason Preston</t>
  </si>
  <si>
    <t>Joel Ayayi</t>
  </si>
  <si>
    <t>Kessler Edwards</t>
  </si>
  <si>
    <t>Corey Kispert</t>
  </si>
  <si>
    <t>Davion Mitchell</t>
  </si>
  <si>
    <t>Austin Reaves</t>
  </si>
  <si>
    <t>Cam Thomas</t>
  </si>
  <si>
    <t>David Duke Jr</t>
  </si>
  <si>
    <t>Joshua Primo</t>
  </si>
  <si>
    <t>RaiQuan Gray</t>
  </si>
  <si>
    <t>Aaron Henry</t>
  </si>
  <si>
    <t>Scottie Barnes</t>
  </si>
  <si>
    <t>Luka Garza</t>
  </si>
  <si>
    <t>DJ Steward</t>
  </si>
  <si>
    <t>Trendon Watford</t>
  </si>
  <si>
    <t>Sandro Mamukelashvili</t>
  </si>
  <si>
    <t>Sam Hauser</t>
  </si>
  <si>
    <t>Ariel Hukporti</t>
  </si>
  <si>
    <t>Scottie Lewis</t>
  </si>
  <si>
    <t>Julian Champagnie</t>
  </si>
  <si>
    <t>Alperen Sengun</t>
  </si>
  <si>
    <t>Jericho Sims</t>
  </si>
  <si>
    <t>Joe Wieskamp</t>
  </si>
  <si>
    <t>Josh Giddey</t>
  </si>
  <si>
    <t>Yves Pons</t>
  </si>
  <si>
    <t>Santi Aldama</t>
  </si>
  <si>
    <t>Marcus Garrett</t>
  </si>
  <si>
    <t>Usman Garuba</t>
  </si>
  <si>
    <t>Isaiah Livers</t>
  </si>
  <si>
    <t>Moses Wright</t>
  </si>
  <si>
    <t>Scotty Pippen Jr</t>
  </si>
  <si>
    <t>Jalen Suggs</t>
  </si>
  <si>
    <t>Jalen Wilson</t>
  </si>
  <si>
    <t>McKinley Wright IV</t>
  </si>
  <si>
    <t>Cade Cunningham</t>
  </si>
  <si>
    <t>Evan Mobley</t>
  </si>
  <si>
    <t>Aaron Wiggins</t>
  </si>
  <si>
    <t>Isaiah Mobley</t>
  </si>
  <si>
    <t>Chaundee Brown Jr</t>
  </si>
  <si>
    <t>EJ Liddell</t>
  </si>
  <si>
    <t>JaQuori McLaughlin</t>
  </si>
  <si>
    <t>Javonte Smart</t>
  </si>
  <si>
    <t>Malcolm Cazalon</t>
  </si>
  <si>
    <t>DeJon Jarreau</t>
  </si>
  <si>
    <t>Gui Santos</t>
  </si>
  <si>
    <t>RJ Nembhard Jr</t>
  </si>
  <si>
    <t>Duane Washington Jr</t>
  </si>
  <si>
    <t>DJ Carton</t>
  </si>
  <si>
    <t>Moussa Cisse</t>
  </si>
  <si>
    <t>Darius Days</t>
  </si>
  <si>
    <t>Hunter Dickinson</t>
  </si>
  <si>
    <t>Tyson Etienne</t>
  </si>
  <si>
    <t>Feron Hunt</t>
  </si>
  <si>
    <t>Dalano Banton</t>
  </si>
  <si>
    <t>Jose Alvarado</t>
  </si>
  <si>
    <t>Carlik Jones</t>
  </si>
  <si>
    <t>AJ Lawson</t>
  </si>
  <si>
    <t>MJ Walker</t>
  </si>
  <si>
    <t>Ibou Badji</t>
  </si>
  <si>
    <t>Jay Huff</t>
  </si>
  <si>
    <t>Mac McClung</t>
  </si>
  <si>
    <t>Eugene Omoruyi</t>
  </si>
  <si>
    <t>Jordan Schakel</t>
  </si>
  <si>
    <t>Stanley Umude</t>
  </si>
  <si>
    <t>Colin Castleton</t>
  </si>
  <si>
    <t>Terry Taylor</t>
  </si>
  <si>
    <t>Ethan Thompson</t>
  </si>
  <si>
    <t>Georgios Kalaitzakis</t>
  </si>
  <si>
    <t>Ish Wainright</t>
  </si>
  <si>
    <t>Jamorko Pickett</t>
  </si>
  <si>
    <t>Jordan Goodwin</t>
  </si>
  <si>
    <t>Jaime Echenique</t>
  </si>
  <si>
    <t>Micah Potter</t>
  </si>
  <si>
    <t>Dru Smith</t>
  </si>
  <si>
    <t>Kevin Pangos</t>
  </si>
  <si>
    <t>MarJon Beauchamp</t>
  </si>
  <si>
    <t>Dyson Daniels</t>
  </si>
  <si>
    <t>Michael Foster Jr</t>
  </si>
  <si>
    <t>Jaden Hardy</t>
  </si>
  <si>
    <t>Scoot Henderson</t>
  </si>
  <si>
    <t>Aleem Ford</t>
  </si>
  <si>
    <t>Phillip Wheeler</t>
  </si>
  <si>
    <t>Cameron McGriff</t>
  </si>
  <si>
    <t>Malcolm Hill</t>
  </si>
  <si>
    <t>Keaton Wallace</t>
  </si>
  <si>
    <t>Alex Antetokounmpo</t>
  </si>
  <si>
    <t>Olivier Sarr</t>
  </si>
  <si>
    <t>Henri Drell</t>
  </si>
  <si>
    <t>Gabriel Lundberg</t>
  </si>
  <si>
    <t>Jaden Ivey</t>
  </si>
  <si>
    <t>Paolo Banchero</t>
  </si>
  <si>
    <t>Jabari Smith Jr</t>
  </si>
  <si>
    <t>Chet Holmgren</t>
  </si>
  <si>
    <t>Bennedict Mathurin</t>
  </si>
  <si>
    <t>Johnny Davis</t>
  </si>
  <si>
    <t>Keegan Murray</t>
  </si>
  <si>
    <t>AJ Griffin</t>
  </si>
  <si>
    <t>Shaedon Sharpe</t>
  </si>
  <si>
    <t>TyTy Washington Jr</t>
  </si>
  <si>
    <t>Malaki Branham</t>
  </si>
  <si>
    <t>Blake Wesley</t>
  </si>
  <si>
    <t>Jalen Duren</t>
  </si>
  <si>
    <t>Tari Eason</t>
  </si>
  <si>
    <t>Nikola Jovic</t>
  </si>
  <si>
    <t>Max Christie</t>
  </si>
  <si>
    <t>Mark Williams</t>
  </si>
  <si>
    <t>Jeremy Sochan</t>
  </si>
  <si>
    <t>Wendell Moore Jr</t>
  </si>
  <si>
    <t>Kendall Brown</t>
  </si>
  <si>
    <t>Kennedy Chandler</t>
  </si>
  <si>
    <t>Jalen Williams</t>
  </si>
  <si>
    <t>Orlando Robinson</t>
  </si>
  <si>
    <t>Patrick Baldwin Jr</t>
  </si>
  <si>
    <t>Walker Kessler</t>
  </si>
  <si>
    <t>Jaylin Williams</t>
  </si>
  <si>
    <t>JD Davison</t>
  </si>
  <si>
    <t>Bryce McGowens</t>
  </si>
  <si>
    <t>Jamaree Bouyea</t>
  </si>
  <si>
    <t>Julian Strawther</t>
  </si>
  <si>
    <t>Caleb Love</t>
  </si>
  <si>
    <t>Harrison Ingram</t>
  </si>
  <si>
    <t>Christian Braun</t>
  </si>
  <si>
    <t>Oscar Tshiebwe</t>
  </si>
  <si>
    <t>Christian Koloko</t>
  </si>
  <si>
    <t>Jabari Walker</t>
  </si>
  <si>
    <t>Ryan Rollins</t>
  </si>
  <si>
    <t>Leonard Miller</t>
  </si>
  <si>
    <t>Jordan Hall</t>
  </si>
  <si>
    <t>Keon Ellis</t>
  </si>
  <si>
    <t>Drew Timme</t>
  </si>
  <si>
    <t>Josh Minott</t>
  </si>
  <si>
    <t>Jaime Jaquez Jr</t>
  </si>
  <si>
    <t>Ousmane Dieng</t>
  </si>
  <si>
    <t>Terquavion Smith</t>
  </si>
  <si>
    <t>Jared Rhoden</t>
  </si>
  <si>
    <t>Ron Harper Jr</t>
  </si>
  <si>
    <t>Kris Murray</t>
  </si>
  <si>
    <t>Marcus Sasser</t>
  </si>
  <si>
    <t>Buddy Boeheim</t>
  </si>
  <si>
    <t>Dalen Terry</t>
  </si>
  <si>
    <t>Isaiah Wong</t>
  </si>
  <si>
    <t>Jacob Toppin</t>
  </si>
  <si>
    <t>Trevor Keels</t>
  </si>
  <si>
    <t>Peyton Watson</t>
  </si>
  <si>
    <t>Tyrese Martin</t>
  </si>
  <si>
    <t>Alondes Williams</t>
  </si>
  <si>
    <t>Caleb Houstan</t>
  </si>
  <si>
    <t>Moussa Diabate</t>
  </si>
  <si>
    <t>Trayce Jackson-Davis</t>
  </si>
  <si>
    <t>John Butler Jr</t>
  </si>
  <si>
    <t>Dereon Seabron</t>
  </si>
  <si>
    <t>Collin Gillespie</t>
  </si>
  <si>
    <t>Jake LaRavia</t>
  </si>
  <si>
    <t>David Roddy</t>
  </si>
  <si>
    <t>Dominick Barlow</t>
  </si>
  <si>
    <t>Keion Brooks Jr</t>
  </si>
  <si>
    <t>Javon Freeman-Liberty</t>
  </si>
  <si>
    <t>Mouhamed Gueye</t>
  </si>
  <si>
    <t>Quenton Jackson</t>
  </si>
  <si>
    <t>Vince Williams Jr</t>
  </si>
  <si>
    <t>Luke Travers</t>
  </si>
  <si>
    <t>Baylor Scheierman</t>
  </si>
  <si>
    <t>Pete Nance</t>
  </si>
  <si>
    <t>Kenneth Lofton Jr</t>
  </si>
  <si>
    <t>Karlo Matkovic</t>
  </si>
  <si>
    <t>Jermaine Samuels Jr</t>
  </si>
  <si>
    <t>AJ Green</t>
  </si>
  <si>
    <t>Jules Bernard</t>
  </si>
  <si>
    <t>Jamal Cain</t>
  </si>
  <si>
    <t>Jack White</t>
  </si>
  <si>
    <t>Jaylen Sims</t>
  </si>
  <si>
    <t>Justin Minaya</t>
  </si>
  <si>
    <t>Cole Swider</t>
  </si>
  <si>
    <t>Trevor Hudgins</t>
  </si>
  <si>
    <t>Lester Quinones</t>
  </si>
  <si>
    <t>Chima Moneke</t>
  </si>
  <si>
    <t>Sidy Cissoko</t>
  </si>
  <si>
    <t>Simone Fontecchio</t>
  </si>
  <si>
    <t>Mouhamadou Gueye</t>
  </si>
  <si>
    <t>Daeqwon Plowden</t>
  </si>
  <si>
    <t>Jacob Gilyard</t>
  </si>
  <si>
    <t>Dmytro Skapintsev</t>
  </si>
  <si>
    <t>Taze Moore</t>
  </si>
  <si>
    <t>Javonte Cooke</t>
  </si>
  <si>
    <t>Alex Morales</t>
  </si>
  <si>
    <t>Jeenathan Williams</t>
  </si>
  <si>
    <t>Nate Williams</t>
  </si>
  <si>
    <t>Donovan Williams</t>
  </si>
  <si>
    <t>Xavier Cooks</t>
  </si>
  <si>
    <t>Victor Wembanyama</t>
  </si>
  <si>
    <t>Brandon Miller</t>
  </si>
  <si>
    <t>Taylor Hendricks</t>
  </si>
  <si>
    <t>Amen Thompson</t>
  </si>
  <si>
    <t>Ausar Thompson</t>
  </si>
  <si>
    <t>Anthony Black</t>
  </si>
  <si>
    <t>Gradey Dick</t>
  </si>
  <si>
    <t>Rayan Rupert</t>
  </si>
  <si>
    <t>GG Jackson</t>
  </si>
  <si>
    <t>Cam Whitmore</t>
  </si>
  <si>
    <t>Jarace Walker</t>
  </si>
  <si>
    <t>Cason Wallace</t>
  </si>
  <si>
    <t>Keyonte George</t>
  </si>
  <si>
    <t>Jalen Hood-Schifino</t>
  </si>
  <si>
    <t>Maxwell Lewis</t>
  </si>
  <si>
    <t>Jordan Hawkins</t>
  </si>
  <si>
    <t>Kobe Bufkin</t>
  </si>
  <si>
    <t>Jett Howard</t>
  </si>
  <si>
    <t>Trey Alexander</t>
  </si>
  <si>
    <t>Dereck Lively II</t>
  </si>
  <si>
    <t>Dariq Whitehead</t>
  </si>
  <si>
    <t>Brice Sensabaugh</t>
  </si>
  <si>
    <t>Noah Clowney</t>
  </si>
  <si>
    <t>Bilal Coulibaly</t>
  </si>
  <si>
    <t>Colby Jones</t>
  </si>
  <si>
    <t>Nick Smith Jr</t>
  </si>
  <si>
    <t>Emoni Bates</t>
  </si>
  <si>
    <t>Amari Bailey</t>
  </si>
  <si>
    <t>Reece Beekman</t>
  </si>
  <si>
    <t>Adem Bona</t>
  </si>
  <si>
    <t>Kobe Brown</t>
  </si>
  <si>
    <t>Toumani Camara</t>
  </si>
  <si>
    <t>Jaylen Clark</t>
  </si>
  <si>
    <t>Ricky Council IV</t>
  </si>
  <si>
    <t>Zach Edey</t>
  </si>
  <si>
    <t>Adam Flagler</t>
  </si>
  <si>
    <t>DaRon Holmes II</t>
  </si>
  <si>
    <t>Andre Jackson Jr</t>
  </si>
  <si>
    <t>Keyontae Johnson</t>
  </si>
  <si>
    <t>Ryan Kalkbrenner</t>
  </si>
  <si>
    <t>Bobi Klintman</t>
  </si>
  <si>
    <t>Chris Livingston</t>
  </si>
  <si>
    <t>Seth Lundy</t>
  </si>
  <si>
    <t>Kevin McCullar Jr</t>
  </si>
  <si>
    <t>Kevin Mccullar Jr</t>
  </si>
  <si>
    <t>Jordan Miller</t>
  </si>
  <si>
    <t>Julian Phillips</t>
  </si>
  <si>
    <t>Brandin Podziemski</t>
  </si>
  <si>
    <t>Olivier-Maxence Prosper</t>
  </si>
  <si>
    <t>Adama Sanogo</t>
  </si>
  <si>
    <t>Ben Sheppard</t>
  </si>
  <si>
    <t>Jalen Slawson</t>
  </si>
  <si>
    <t>NaeQwan Tomlin</t>
  </si>
  <si>
    <t>Tristan Vukcevic</t>
  </si>
  <si>
    <t>Jordan Walsh</t>
  </si>
  <si>
    <t>Leaky Black</t>
  </si>
  <si>
    <t>Jalen Bridges</t>
  </si>
  <si>
    <t>Johni Broome</t>
  </si>
  <si>
    <t>Tristan da Silva</t>
  </si>
  <si>
    <t>Tosan Evbuomwan</t>
  </si>
  <si>
    <t>Alex Fudge</t>
  </si>
  <si>
    <t>Jazian Gortman</t>
  </si>
  <si>
    <t>PJ Hall</t>
  </si>
  <si>
    <t>DMoi Hodge</t>
  </si>
  <si>
    <t>Dillon Jones</t>
  </si>
  <si>
    <t>Pelle Larsson</t>
  </si>
  <si>
    <t>Jaylen Martin</t>
  </si>
  <si>
    <t>Emanuel Miller</t>
  </si>
  <si>
    <t>Tristen Newton</t>
  </si>
  <si>
    <t>Markquis Nowell</t>
  </si>
  <si>
    <t>Norchad Omier</t>
  </si>
  <si>
    <t>Drew Peterson</t>
  </si>
  <si>
    <t>Antonio Reeves</t>
  </si>
  <si>
    <t>Mark Sears</t>
  </si>
  <si>
    <t>Isaiah Stevens</t>
  </si>
  <si>
    <t>Hunter Tyson</t>
  </si>
  <si>
    <t>Anton Watson</t>
  </si>
  <si>
    <t>Matas Buzelis</t>
  </si>
  <si>
    <t>Ronald Holland II</t>
  </si>
  <si>
    <t>Andrew Funk</t>
  </si>
  <si>
    <t>Timmy Allen</t>
  </si>
  <si>
    <t>Craig Porter Jr</t>
  </si>
  <si>
    <t>Liam Robbins</t>
  </si>
  <si>
    <t>Malachi Smith</t>
  </si>
  <si>
    <t>Duop Reath</t>
  </si>
  <si>
    <t>Nathan Mensah</t>
  </si>
  <si>
    <t>Damion Baugh</t>
  </si>
  <si>
    <t>Yuri Collins</t>
  </si>
  <si>
    <t>Tyler Smith</t>
  </si>
  <si>
    <t>Dexter Dennis</t>
  </si>
  <si>
    <t>Onuralp Bitim</t>
  </si>
  <si>
    <t>Miles Norris</t>
  </si>
  <si>
    <t>Elijah Harkless</t>
  </si>
  <si>
    <t>Trey Jemison</t>
  </si>
  <si>
    <t>Malik Williams</t>
  </si>
  <si>
    <t>Alex Reese</t>
  </si>
  <si>
    <t>Jackson Rowe</t>
  </si>
  <si>
    <t>Myron Gardner</t>
  </si>
  <si>
    <t>Zaccharie Risacher</t>
  </si>
  <si>
    <t>Alex Sarr</t>
  </si>
  <si>
    <t>Nikola Topic</t>
  </si>
  <si>
    <t>Dalton Knecht</t>
  </si>
  <si>
    <t>Cody Williams</t>
  </si>
  <si>
    <t>Reed Sheppard</t>
  </si>
  <si>
    <t>Stephon Castle</t>
  </si>
  <si>
    <t>Rob Dillingham</t>
  </si>
  <si>
    <t>JaKobe Walter</t>
  </si>
  <si>
    <t>Bub Carrington</t>
  </si>
  <si>
    <t>Isaiah Collier</t>
  </si>
  <si>
    <t>Devin Carter</t>
  </si>
  <si>
    <t>Donovan Clingan</t>
  </si>
  <si>
    <t>Kyle Filipowski</t>
  </si>
  <si>
    <t>Jared McCain</t>
  </si>
  <si>
    <t>Kyshawn George</t>
  </si>
  <si>
    <t>Yves Missi</t>
  </si>
  <si>
    <t>Tidjane Salaun</t>
  </si>
  <si>
    <t>Kelel Ware</t>
  </si>
  <si>
    <t>Johnny Furphy</t>
  </si>
  <si>
    <t>Tyler Kolek</t>
  </si>
  <si>
    <t>Ulrich Chomche</t>
  </si>
  <si>
    <t>Trentyn Flowers</t>
  </si>
  <si>
    <t>Jaylon Tyson</t>
  </si>
  <si>
    <t>Hunter Sallis</t>
  </si>
  <si>
    <t>Cam Spencer</t>
  </si>
  <si>
    <t>Oso Ighodaro</t>
  </si>
  <si>
    <t>Ryan Dunn</t>
  </si>
  <si>
    <t>Jamal Shead</t>
  </si>
  <si>
    <t>Justin Edwards</t>
  </si>
  <si>
    <t>Ajay Mitchell</t>
  </si>
  <si>
    <t>Keshad Johnson</t>
  </si>
  <si>
    <t>Cam Christie</t>
  </si>
  <si>
    <t>KJ Simpson</t>
  </si>
  <si>
    <t>Bronny James</t>
  </si>
  <si>
    <t>David Jones Garcia</t>
  </si>
  <si>
    <t>AJ Johnson</t>
  </si>
  <si>
    <t>Pacome Dadiet</t>
  </si>
  <si>
    <t>Payton Sandfort</t>
  </si>
  <si>
    <t>Nique Clifford</t>
  </si>
  <si>
    <t>Jamir Watkins</t>
  </si>
  <si>
    <t>Nikola Durisic</t>
  </si>
  <si>
    <t>Quinten Post</t>
  </si>
  <si>
    <t>Jonathan Mogbo</t>
  </si>
  <si>
    <t>NFaly Dante</t>
  </si>
  <si>
    <t>Jaylen Wells</t>
  </si>
  <si>
    <t>Branden Carlson</t>
  </si>
  <si>
    <t>Walter Clayton Jr</t>
  </si>
  <si>
    <t>Isaiah Crawford</t>
  </si>
  <si>
    <t>Cui Yongxi</t>
  </si>
  <si>
    <t>Zyon Pullin</t>
  </si>
  <si>
    <t>Blake Hinson</t>
  </si>
  <si>
    <t>Jesse Edwards</t>
  </si>
  <si>
    <t>Tristan Enaruna</t>
  </si>
  <si>
    <t>Enrique Freeman</t>
  </si>
  <si>
    <t>Isaac Jones</t>
  </si>
  <si>
    <t>Chaz Lanier</t>
  </si>
  <si>
    <t>Jamison Battle</t>
  </si>
  <si>
    <t>Armel Traore</t>
  </si>
  <si>
    <t>Riley Minix</t>
  </si>
  <si>
    <t>Quincy Olivari</t>
  </si>
  <si>
    <t>Jahmir Young</t>
  </si>
  <si>
    <t>Tolu Smith</t>
  </si>
  <si>
    <t>Daniss Jenkins</t>
  </si>
  <si>
    <t>Spencer Jones</t>
  </si>
  <si>
    <t>RayJ Dennis</t>
  </si>
  <si>
    <t>Boo Buie</t>
  </si>
  <si>
    <t>Josh Oduro</t>
  </si>
  <si>
    <t>Malevy Leons</t>
  </si>
  <si>
    <t>Cormac Ryan</t>
  </si>
  <si>
    <t>Alex Ducas</t>
  </si>
  <si>
    <t>Yuki Kawamura</t>
  </si>
  <si>
    <t>Cooper Flagg</t>
  </si>
  <si>
    <t>Dylan Harper</t>
  </si>
  <si>
    <t>VJ Edgecombe</t>
  </si>
  <si>
    <t>Ace Bailey</t>
  </si>
  <si>
    <t>Jeremiah Fears</t>
  </si>
  <si>
    <t>Tre Johnson</t>
  </si>
  <si>
    <t>Nolan Traore</t>
  </si>
  <si>
    <t>Kon Knueppel</t>
  </si>
  <si>
    <t>Derik Queen</t>
  </si>
  <si>
    <t>Rasheer Fleming</t>
  </si>
  <si>
    <t>Asa Newell</t>
  </si>
  <si>
    <t>Noa Essengue</t>
  </si>
  <si>
    <t>Egor Demin</t>
  </si>
  <si>
    <t>Kasparas Jakucionis</t>
  </si>
  <si>
    <t>Jase Richardson</t>
  </si>
  <si>
    <t>Will Riley</t>
  </si>
  <si>
    <t>Liam McNeeley</t>
  </si>
  <si>
    <t>Khaman Maluach</t>
  </si>
  <si>
    <t>Hugo Gonzalez</t>
  </si>
  <si>
    <t>Joan Beringer</t>
  </si>
  <si>
    <t>Collin Murray-Boyles</t>
  </si>
  <si>
    <t>Carter Bryant</t>
  </si>
  <si>
    <t>Noah Penda</t>
  </si>
  <si>
    <t>Amari Williams</t>
  </si>
  <si>
    <t>Danny Wolf</t>
  </si>
  <si>
    <t>Maxime Raynaud</t>
  </si>
  <si>
    <t>Adou Thiero</t>
  </si>
  <si>
    <t>Micah Peavy</t>
  </si>
  <si>
    <t>Tyrese Proctor</t>
  </si>
  <si>
    <t>Ben Saraf</t>
  </si>
  <si>
    <t>Kam Jones</t>
  </si>
  <si>
    <t>Julian Reese</t>
  </si>
  <si>
    <t>Sion James</t>
  </si>
  <si>
    <t>Vladislav Goldin</t>
  </si>
  <si>
    <t>Mohamed Diawara</t>
  </si>
  <si>
    <t>Koby Brea</t>
  </si>
  <si>
    <t>Alex Toohey</t>
  </si>
  <si>
    <t>Yang Hansen</t>
  </si>
  <si>
    <t>Cedric Coward</t>
  </si>
  <si>
    <t>John Tonje</t>
  </si>
  <si>
    <t>Rocco Zikarsky</t>
  </si>
  <si>
    <t>Javon Small</t>
  </si>
  <si>
    <t>Max Shulga</t>
  </si>
  <si>
    <t>Alijah Martin</t>
  </si>
  <si>
    <t>Kobe Sanders</t>
  </si>
  <si>
    <t>Tamar Bates</t>
  </si>
  <si>
    <t>Dylan Cardwell</t>
  </si>
  <si>
    <t>Keshon Gilbert</t>
  </si>
  <si>
    <t>Chucky Hepburn</t>
  </si>
  <si>
    <t>Curtis Jones</t>
  </si>
  <si>
    <t>Miles Kelly</t>
  </si>
  <si>
    <t>Jahmai Mashack</t>
  </si>
  <si>
    <t>Eli NDiaye</t>
  </si>
  <si>
    <t>Ryan Nembhard</t>
  </si>
  <si>
    <t>Yanic Konan Niederhauser</t>
  </si>
  <si>
    <t>Lachlan Olbrich</t>
  </si>
  <si>
    <t>Sean Pedulla</t>
  </si>
  <si>
    <t>Will Richard</t>
  </si>
  <si>
    <t>Chris Youngblood</t>
  </si>
  <si>
    <t>Drake Powell</t>
  </si>
  <si>
    <t>Brooks Barnhizer</t>
  </si>
  <si>
    <t>John Poulakidas</t>
  </si>
  <si>
    <t>Taelon Peter</t>
  </si>
  <si>
    <t>Bez Mbeng</t>
  </si>
  <si>
    <t>LJ Cryer</t>
  </si>
  <si>
    <t>Chris Manon</t>
  </si>
  <si>
    <t>CJ Huntley</t>
  </si>
  <si>
    <t>Chaney Johnson</t>
  </si>
  <si>
    <t>Hayden Gray</t>
  </si>
  <si>
    <t>Lawson Lovering</t>
  </si>
  <si>
    <t>Jahmyl Telfort</t>
  </si>
  <si>
    <t>Jayson Kent</t>
  </si>
  <si>
    <t>GP</t>
  </si>
  <si>
    <t>John Lucas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</si>
</sst>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1.0"/>
      <color rgb="FFB0AEB1"/>
      <name val="Ubuntu"/>
    </font>
    <font>
      <b/>
      <sz val="11.0"/>
      <color rgb="FFFFFF00"/>
      <name val="Ubuntu"/>
    </font>
    <font>
      <b/>
      <sz val="11.0"/>
      <color rgb="FF0000FF"/>
      <name val="Ubuntu"/>
    </font>
    <font>
      <b/>
      <sz val="11.0"/>
      <color rgb="FF4A86E8"/>
      <name val="Ubuntu"/>
    </font>
    <font>
      <b/>
      <sz val="11.0"/>
      <color rgb="FF000000"/>
      <name val="Ubuntu"/>
    </font>
    <font>
      <b/>
      <sz val="11.0"/>
      <color rgb="FFFFFFFF"/>
      <name val="Ubuntu"/>
    </font>
    <font>
      <b/>
      <sz val="11.0"/>
      <color rgb="FFFFFFFF"/>
      <name val="Arial"/>
    </font>
    <font>
      <sz val="11.0"/>
      <color rgb="FF000000"/>
      <name val="Ubuntu"/>
    </font>
    <font>
      <color rgb="FF000000"/>
      <name val="Arial"/>
    </font>
    <font>
      <sz val="11.0"/>
      <color rgb="FF333333"/>
      <name val="Ubuntu"/>
    </font>
    <font>
      <b/>
      <color rgb="FFFFFFFF"/>
      <name val="Arial"/>
    </font>
    <font>
      <b/>
      <sz val="9.0"/>
      <color rgb="FFFFFFFF"/>
      <name val="Google Sans Mono"/>
    </font>
    <font>
      <b/>
      <color theme="1"/>
      <name val="Arial"/>
    </font>
    <font>
      <b/>
      <color rgb="FFFFFF00"/>
      <name val="Arial"/>
    </font>
    <font>
      <b/>
      <sz val="11.0"/>
      <color rgb="FF666666"/>
      <name val="Ubuntu"/>
    </font>
    <font>
      <color theme="1"/>
      <name val="Arial"/>
      <scheme val="minor"/>
    </font>
    <font>
      <color theme="1"/>
      <name val="Arial"/>
    </font>
    <font>
      <b/>
      <sz val="11.0"/>
      <color rgb="FF333333"/>
      <name val="Ubuntu"/>
    </font>
    <font>
      <sz val="11.0"/>
      <color theme="1"/>
      <name val="Ubuntu"/>
    </font>
    <font>
      <sz val="11.0"/>
      <color rgb="FF333333"/>
      <name val="Docs-Ubuntu"/>
    </font>
    <font>
      <sz val="11.0"/>
      <color rgb="FF000000"/>
      <name val="新細明體"/>
    </font>
    <font>
      <b/>
      <sz val="11.0"/>
      <color rgb="FFFFFFFF"/>
      <name val="新細明體"/>
    </font>
    <font>
      <b/>
      <sz val="12.0"/>
      <color rgb="FFFFFFFF"/>
      <name val="新細明體"/>
    </font>
    <font>
      <sz val="12.0"/>
      <color rgb="FF000000"/>
      <name val="新細明體"/>
    </font>
    <font>
      <color rgb="FF000000"/>
      <name val="新細明體"/>
    </font>
  </fonts>
  <fills count="54">
    <fill>
      <patternFill patternType="none"/>
    </fill>
    <fill>
      <patternFill patternType="lightGray"/>
    </fill>
    <fill>
      <patternFill patternType="solid">
        <fgColor rgb="FF112D64"/>
        <bgColor rgb="FF112D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434343"/>
        <bgColor rgb="FF434343"/>
      </patternFill>
    </fill>
    <fill>
      <patternFill patternType="solid">
        <fgColor rgb="FF990000"/>
        <bgColor rgb="FF9900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1F1205"/>
        <bgColor rgb="FF1F1205"/>
      </patternFill>
    </fill>
    <fill>
      <patternFill patternType="solid">
        <fgColor rgb="FF0D0600"/>
        <bgColor rgb="FF0D0600"/>
      </patternFill>
    </fill>
    <fill>
      <patternFill patternType="solid">
        <fgColor rgb="FF190D00"/>
        <bgColor rgb="FF190D00"/>
      </patternFill>
    </fill>
    <fill>
      <patternFill patternType="solid">
        <fgColor rgb="FF009A00"/>
        <bgColor rgb="FF009A00"/>
      </patternFill>
    </fill>
    <fill>
      <patternFill patternType="solid">
        <fgColor rgb="FF858585"/>
        <bgColor rgb="FF858585"/>
      </patternFill>
    </fill>
    <fill>
      <patternFill patternType="solid">
        <fgColor rgb="FF2E1F0E"/>
        <bgColor rgb="FF2E1F0E"/>
      </patternFill>
    </fill>
    <fill>
      <patternFill patternType="solid">
        <fgColor rgb="FF28190A"/>
        <bgColor rgb="FF28190A"/>
      </patternFill>
    </fill>
    <fill>
      <patternFill patternType="solid">
        <fgColor rgb="FF100800"/>
        <bgColor rgb="FF100800"/>
      </patternFill>
    </fill>
    <fill>
      <patternFill patternType="solid">
        <fgColor rgb="FF170B00"/>
        <bgColor rgb="FF170B00"/>
      </patternFill>
    </fill>
    <fill>
      <patternFill patternType="solid">
        <fgColor rgb="FF0F0700"/>
        <bgColor rgb="FF0F0700"/>
      </patternFill>
    </fill>
    <fill>
      <patternFill patternType="solid">
        <fgColor rgb="FFD70E00"/>
        <bgColor rgb="FFD70E00"/>
      </patternFill>
    </fill>
    <fill>
      <patternFill patternType="solid">
        <fgColor rgb="FFFEB0E7"/>
        <bgColor rgb="FFFEB0E7"/>
      </patternFill>
    </fill>
    <fill>
      <patternFill patternType="solid">
        <fgColor rgb="FF322210"/>
        <bgColor rgb="FF322210"/>
      </patternFill>
    </fill>
    <fill>
      <patternFill patternType="solid">
        <fgColor rgb="FF382614"/>
        <bgColor rgb="FF382614"/>
      </patternFill>
    </fill>
    <fill>
      <patternFill patternType="solid">
        <fgColor rgb="FF140A00"/>
        <bgColor rgb="FF140A00"/>
      </patternFill>
    </fill>
    <fill>
      <patternFill patternType="solid">
        <fgColor rgb="FFEAB342"/>
        <bgColor rgb="FFEAB342"/>
      </patternFill>
    </fill>
    <fill>
      <patternFill patternType="solid">
        <fgColor rgb="FFA8E4FA"/>
        <bgColor rgb="FFA8E4FA"/>
      </patternFill>
    </fill>
    <fill>
      <patternFill patternType="solid">
        <fgColor rgb="FFB200FF"/>
        <bgColor rgb="FFB200FF"/>
      </patternFill>
    </fill>
    <fill>
      <patternFill patternType="solid">
        <fgColor rgb="FFF3F3F3"/>
        <bgColor rgb="FFF3F3F3"/>
      </patternFill>
    </fill>
    <fill>
      <patternFill patternType="solid">
        <fgColor rgb="FF392815"/>
        <bgColor rgb="FF392815"/>
      </patternFill>
    </fill>
    <fill>
      <patternFill patternType="solid">
        <fgColor rgb="FF3A2815"/>
        <bgColor rgb="FF3A2815"/>
      </patternFill>
    </fill>
    <fill>
      <patternFill patternType="solid">
        <fgColor rgb="FF150A00"/>
        <bgColor rgb="FF150A00"/>
      </patternFill>
    </fill>
    <fill>
      <patternFill patternType="solid">
        <fgColor rgb="FF110800"/>
        <bgColor rgb="FF110800"/>
      </patternFill>
    </fill>
    <fill>
      <patternFill patternType="solid">
        <fgColor rgb="FF004DFE"/>
        <bgColor rgb="FF004DFE"/>
      </patternFill>
    </fill>
    <fill>
      <patternFill patternType="solid">
        <fgColor rgb="FF160B00"/>
        <bgColor rgb="FF160B00"/>
      </patternFill>
    </fill>
    <fill>
      <patternFill patternType="solid">
        <fgColor rgb="FF1B0F02"/>
        <bgColor rgb="FF1B0F02"/>
      </patternFill>
    </fill>
    <fill>
      <patternFill patternType="solid">
        <fgColor rgb="FF090400"/>
        <bgColor rgb="FF090400"/>
      </patternFill>
    </fill>
    <fill>
      <patternFill patternType="solid">
        <fgColor rgb="FF040200"/>
        <bgColor rgb="FF040200"/>
      </patternFill>
    </fill>
    <fill>
      <patternFill patternType="solid">
        <fgColor rgb="FF30200F"/>
        <bgColor rgb="FF30200F"/>
      </patternFill>
    </fill>
    <fill>
      <patternFill patternType="solid">
        <fgColor rgb="FFD5A6BD"/>
        <bgColor rgb="FFD5A6BD"/>
      </patternFill>
    </fill>
    <fill>
      <patternFill patternType="solid">
        <fgColor rgb="FF060300"/>
        <bgColor rgb="FF060300"/>
      </patternFill>
    </fill>
    <fill>
      <patternFill patternType="solid">
        <fgColor rgb="FF0E0700"/>
        <bgColor rgb="FF0E0700"/>
      </patternFill>
    </fill>
    <fill>
      <patternFill patternType="solid">
        <fgColor rgb="FF312110"/>
        <bgColor rgb="FF312110"/>
      </patternFill>
    </fill>
    <fill>
      <patternFill patternType="solid">
        <fgColor rgb="FFCFE2F3"/>
        <bgColor rgb="FFCFE2F3"/>
      </patternFill>
    </fill>
    <fill>
      <patternFill patternType="solid">
        <fgColor rgb="FFED174C"/>
        <bgColor rgb="FFED174C"/>
      </patternFill>
    </fill>
    <fill>
      <patternFill patternType="solid">
        <fgColor rgb="FFD9EAD3"/>
        <bgColor rgb="FFD9EAD3"/>
      </patternFill>
    </fill>
    <fill>
      <patternFill patternType="solid">
        <fgColor rgb="FF4EA72E"/>
        <bgColor rgb="FF4EA72E"/>
      </patternFill>
    </fill>
    <fill>
      <patternFill patternType="solid">
        <fgColor rgb="FF1D1E22"/>
        <bgColor rgb="FF1D1E22"/>
      </patternFill>
    </fill>
    <fill>
      <patternFill patternType="solid">
        <fgColor rgb="FFDAF2D0"/>
        <bgColor rgb="FFDAF2D0"/>
      </patternFill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D973"/>
      </top>
      <bottom style="thin">
        <color rgb="FF8ED973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3" xfId="0" applyAlignment="1" applyBorder="1" applyFill="1" applyFont="1" applyNumberFormat="1">
      <alignment horizontal="center" shrinkToFit="0" vertical="center" wrapText="1"/>
    </xf>
    <xf borderId="1" fillId="4" fontId="3" numFmtId="1" xfId="0" applyAlignment="1" applyBorder="1" applyFill="1" applyFont="1" applyNumberFormat="1">
      <alignment horizontal="center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1" fillId="5" fontId="4" numFmtId="3" xfId="0" applyAlignment="1" applyBorder="1" applyFill="1" applyFont="1" applyNumberFormat="1">
      <alignment horizontal="center" readingOrder="0" shrinkToFit="0" vertical="center" wrapText="1"/>
    </xf>
    <xf borderId="1" fillId="4" fontId="3" numFmtId="3" xfId="0" applyAlignment="1" applyBorder="1" applyFont="1" applyNumberFormat="1">
      <alignment horizontal="center" readingOrder="0" shrinkToFit="0" vertical="center" wrapText="1"/>
    </xf>
    <xf borderId="1" fillId="6" fontId="2" numFmtId="3" xfId="0" applyAlignment="1" applyBorder="1" applyFill="1" applyFont="1" applyNumberFormat="1">
      <alignment horizontal="center" readingOrder="0" shrinkToFit="0" vertical="center" wrapText="1"/>
    </xf>
    <xf borderId="1" fillId="7" fontId="5" numFmtId="3" xfId="0" applyAlignment="1" applyBorder="1" applyFill="1" applyFont="1" applyNumberFormat="1">
      <alignment horizontal="center" readingOrder="0" shrinkToFit="0" vertical="center" wrapText="1"/>
    </xf>
    <xf borderId="1" fillId="8" fontId="2" numFmtId="3" xfId="0" applyAlignment="1" applyBorder="1" applyFill="1" applyFont="1" applyNumberFormat="1">
      <alignment horizontal="center" readingOrder="0" shrinkToFit="0" vertical="center" wrapText="1"/>
    </xf>
    <xf borderId="1" fillId="9" fontId="6" numFmtId="3" xfId="0" applyAlignment="1" applyBorder="1" applyFill="1" applyFont="1" applyNumberFormat="1">
      <alignment horizontal="center" shrinkToFit="0" vertical="center" wrapText="1"/>
    </xf>
    <xf borderId="1" fillId="9" fontId="6" numFmtId="3" xfId="0" applyAlignment="1" applyBorder="1" applyFont="1" applyNumberFormat="1">
      <alignment horizontal="center" readingOrder="0" shrinkToFit="0" vertical="center" wrapText="1"/>
    </xf>
    <xf borderId="1" fillId="3" fontId="2" numFmtId="3" xfId="0" applyAlignment="1" applyBorder="1" applyFont="1" applyNumberFormat="1">
      <alignment horizontal="center" readingOrder="0" shrinkToFit="0" vertical="center" wrapText="1"/>
    </xf>
    <xf borderId="1" fillId="10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" fillId="13" fontId="6" numFmtId="0" xfId="0" applyAlignment="1" applyBorder="1" applyFill="1" applyFont="1">
      <alignment horizontal="center" readingOrder="0" shrinkToFit="0" vertical="center" wrapText="1"/>
    </xf>
    <xf borderId="1" fillId="13" fontId="7" numFmtId="0" xfId="0" applyAlignment="1" applyBorder="1" applyFont="1">
      <alignment horizontal="center" readingOrder="0" shrinkToFit="0" vertical="center" wrapText="1"/>
    </xf>
    <xf borderId="0" fillId="0" fontId="8" numFmtId="1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8" numFmtId="10" xfId="0" applyAlignment="1" applyFont="1" applyNumberFormat="1">
      <alignment horizontal="center"/>
    </xf>
    <xf borderId="0" fillId="14" fontId="11" numFmtId="1" xfId="0" applyAlignment="1" applyFill="1" applyFont="1" applyNumberFormat="1">
      <alignment horizontal="right" vertical="bottom"/>
    </xf>
    <xf borderId="0" fillId="14" fontId="11" numFmtId="3" xfId="0" applyAlignment="1" applyFont="1" applyNumberFormat="1">
      <alignment horizontal="right" vertical="bottom"/>
    </xf>
    <xf borderId="0" fillId="15" fontId="11" numFmtId="3" xfId="0" applyAlignment="1" applyFill="1" applyFont="1" applyNumberFormat="1">
      <alignment horizontal="right" vertical="bottom"/>
    </xf>
    <xf borderId="0" fillId="16" fontId="11" numFmtId="3" xfId="0" applyAlignment="1" applyFill="1" applyFont="1" applyNumberFormat="1">
      <alignment horizontal="right" vertical="bottom"/>
    </xf>
    <xf borderId="0" fillId="17" fontId="11" numFmtId="3" xfId="0" applyAlignment="1" applyFill="1" applyFont="1" applyNumberFormat="1">
      <alignment horizontal="right" vertical="bottom"/>
    </xf>
    <xf borderId="0" fillId="18" fontId="11" numFmtId="3" xfId="0" applyAlignment="1" applyFill="1" applyFont="1" applyNumberFormat="1">
      <alignment horizontal="right" vertical="bottom"/>
    </xf>
    <xf borderId="0" fillId="0" fontId="11" numFmtId="3" xfId="0" applyAlignment="1" applyFont="1" applyNumberFormat="1">
      <alignment horizontal="right" vertical="bottom"/>
    </xf>
    <xf borderId="0" fillId="19" fontId="11" numFmtId="3" xfId="0" applyAlignment="1" applyFill="1" applyFont="1" applyNumberFormat="1">
      <alignment horizontal="right" vertical="bottom"/>
    </xf>
    <xf borderId="0" fillId="20" fontId="11" numFmtId="3" xfId="0" applyAlignment="1" applyFill="1" applyFont="1" applyNumberFormat="1">
      <alignment horizontal="right" vertical="bottom"/>
    </xf>
    <xf borderId="0" fillId="21" fontId="11" numFmtId="3" xfId="0" applyAlignment="1" applyFill="1" applyFont="1" applyNumberFormat="1">
      <alignment horizontal="right" vertical="bottom"/>
    </xf>
    <xf borderId="0" fillId="22" fontId="11" numFmtId="3" xfId="0" applyAlignment="1" applyFill="1" applyFont="1" applyNumberFormat="1">
      <alignment horizontal="right" vertical="bottom"/>
    </xf>
    <xf borderId="0" fillId="23" fontId="11" numFmtId="3" xfId="0" applyAlignment="1" applyFill="1" applyFont="1" applyNumberFormat="1">
      <alignment horizontal="right" vertical="bottom"/>
    </xf>
    <xf borderId="0" fillId="24" fontId="11" numFmtId="3" xfId="0" applyAlignment="1" applyFill="1" applyFont="1" applyNumberFormat="1">
      <alignment horizontal="right" vertical="bottom"/>
    </xf>
    <xf borderId="0" fillId="25" fontId="11" numFmtId="3" xfId="0" applyAlignment="1" applyFill="1" applyFont="1" applyNumberFormat="1">
      <alignment horizontal="right" vertical="bottom"/>
    </xf>
    <xf borderId="0" fillId="26" fontId="11" numFmtId="3" xfId="0" applyAlignment="1" applyFill="1" applyFont="1" applyNumberFormat="1">
      <alignment horizontal="right" vertical="bottom"/>
    </xf>
    <xf borderId="0" fillId="27" fontId="11" numFmtId="3" xfId="0" applyAlignment="1" applyFill="1" applyFont="1" applyNumberFormat="1">
      <alignment horizontal="right" vertical="bottom"/>
    </xf>
    <xf borderId="0" fillId="28" fontId="11" numFmtId="3" xfId="0" applyAlignment="1" applyFill="1" applyFont="1" applyNumberFormat="1">
      <alignment horizontal="right" vertical="bottom"/>
    </xf>
    <xf borderId="0" fillId="29" fontId="11" numFmtId="3" xfId="0" applyAlignment="1" applyFill="1" applyFont="1" applyNumberFormat="1">
      <alignment horizontal="right" vertical="bottom"/>
    </xf>
    <xf borderId="0" fillId="30" fontId="11" numFmtId="3" xfId="0" applyAlignment="1" applyFill="1" applyFont="1" applyNumberFormat="1">
      <alignment horizontal="right" vertical="bottom"/>
    </xf>
    <xf borderId="0" fillId="31" fontId="11" numFmtId="3" xfId="0" applyAlignment="1" applyFill="1" applyFont="1" applyNumberFormat="1">
      <alignment horizontal="right" vertical="bottom"/>
    </xf>
    <xf borderId="0" fillId="32" fontId="11" numFmtId="3" xfId="0" applyAlignment="1" applyFill="1" applyFont="1" applyNumberFormat="1">
      <alignment horizontal="right" vertical="bottom"/>
    </xf>
    <xf borderId="0" fillId="29" fontId="12" numFmtId="3" xfId="0" applyAlignment="1" applyFont="1" applyNumberFormat="1">
      <alignment horizontal="right" vertical="bottom"/>
    </xf>
    <xf borderId="0" fillId="14" fontId="13" numFmtId="3" xfId="0" applyAlignment="1" applyFont="1" applyNumberFormat="1">
      <alignment horizontal="right" vertical="bottom"/>
    </xf>
    <xf borderId="0" fillId="33" fontId="11" numFmtId="1" xfId="0" applyAlignment="1" applyFill="1" applyFont="1" applyNumberFormat="1">
      <alignment horizontal="right" vertical="bottom"/>
    </xf>
    <xf borderId="0" fillId="33" fontId="11" numFmtId="3" xfId="0" applyAlignment="1" applyFont="1" applyNumberFormat="1">
      <alignment horizontal="right" vertical="bottom"/>
    </xf>
    <xf borderId="0" fillId="34" fontId="11" numFmtId="3" xfId="0" applyAlignment="1" applyFill="1" applyFont="1" applyNumberFormat="1">
      <alignment horizontal="right" vertical="bottom"/>
    </xf>
    <xf borderId="0" fillId="35" fontId="11" numFmtId="3" xfId="0" applyAlignment="1" applyFill="1" applyFont="1" applyNumberFormat="1">
      <alignment horizontal="right" vertical="bottom"/>
    </xf>
    <xf borderId="0" fillId="36" fontId="11" numFmtId="3" xfId="0" applyAlignment="1" applyFill="1" applyFont="1" applyNumberFormat="1">
      <alignment horizontal="right" vertical="bottom"/>
    </xf>
    <xf borderId="0" fillId="37" fontId="11" numFmtId="3" xfId="0" applyAlignment="1" applyFill="1" applyFont="1" applyNumberFormat="1">
      <alignment horizontal="right" vertical="bottom"/>
    </xf>
    <xf borderId="0" fillId="38" fontId="11" numFmtId="3" xfId="0" applyAlignment="1" applyFill="1" applyFont="1" applyNumberFormat="1">
      <alignment horizontal="right" vertical="bottom"/>
    </xf>
    <xf borderId="0" fillId="33" fontId="13" numFmtId="3" xfId="0" applyAlignment="1" applyFont="1" applyNumberFormat="1">
      <alignment horizontal="right" vertical="bottom"/>
    </xf>
    <xf borderId="0" fillId="39" fontId="11" numFmtId="3" xfId="0" applyAlignment="1" applyFill="1" applyFont="1" applyNumberFormat="1">
      <alignment horizontal="right" vertical="bottom"/>
    </xf>
    <xf borderId="0" fillId="40" fontId="11" numFmtId="3" xfId="0" applyAlignment="1" applyFill="1" applyFont="1" applyNumberFormat="1">
      <alignment horizontal="right" vertical="bottom"/>
    </xf>
    <xf borderId="0" fillId="41" fontId="11" numFmtId="3" xfId="0" applyAlignment="1" applyFill="1" applyFont="1" applyNumberFormat="1">
      <alignment horizontal="right" vertical="bottom"/>
    </xf>
    <xf borderId="0" fillId="42" fontId="11" numFmtId="3" xfId="0" applyAlignment="1" applyFill="1" applyFont="1" applyNumberFormat="1">
      <alignment horizontal="right" vertical="bottom"/>
    </xf>
    <xf borderId="0" fillId="43" fontId="11" numFmtId="3" xfId="0" applyAlignment="1" applyFill="1" applyFont="1" applyNumberFormat="1">
      <alignment horizontal="right" vertical="bottom"/>
    </xf>
    <xf borderId="0" fillId="44" fontId="14" numFmtId="3" xfId="0" applyAlignment="1" applyFill="1" applyFont="1" applyNumberFormat="1">
      <alignment horizontal="right" vertical="bottom"/>
    </xf>
    <xf borderId="0" fillId="45" fontId="11" numFmtId="3" xfId="0" applyAlignment="1" applyFill="1" applyFont="1" applyNumberFormat="1">
      <alignment horizontal="right" vertical="bottom"/>
    </xf>
    <xf borderId="0" fillId="46" fontId="11" numFmtId="3" xfId="0" applyAlignment="1" applyFill="1" applyFont="1" applyNumberFormat="1">
      <alignment horizontal="right" vertical="bottom"/>
    </xf>
    <xf borderId="0" fillId="47" fontId="11" numFmtId="3" xfId="0" applyAlignment="1" applyFill="1" applyFont="1" applyNumberFormat="1">
      <alignment horizontal="right" vertical="bottom"/>
    </xf>
    <xf borderId="0" fillId="2" fontId="1" numFmtId="0" xfId="0" applyAlignment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2" numFmtId="10" xfId="0" applyAlignment="1" applyBorder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wrapText="1"/>
    </xf>
    <xf borderId="0" fillId="0" fontId="16" numFmtId="0" xfId="0" applyAlignment="1" applyFont="1">
      <alignment readingOrder="0"/>
    </xf>
    <xf borderId="2" fillId="0" fontId="10" numFmtId="0" xfId="0" applyAlignment="1" applyBorder="1" applyFont="1">
      <alignment horizontal="center"/>
    </xf>
    <xf borderId="0" fillId="0" fontId="11" numFmtId="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Font="1"/>
    <xf borderId="0" fillId="0" fontId="17" numFmtId="0" xfId="0" applyAlignment="1" applyFont="1">
      <alignment horizontal="right" vertical="bottom"/>
    </xf>
    <xf borderId="0" fillId="15" fontId="11" numFmtId="4" xfId="0" applyAlignment="1" applyFont="1" applyNumberFormat="1">
      <alignment horizontal="right" vertical="bottom"/>
    </xf>
    <xf borderId="0" fillId="16" fontId="11" numFmtId="4" xfId="0" applyAlignment="1" applyFont="1" applyNumberFormat="1">
      <alignment horizontal="right" vertical="bottom"/>
    </xf>
    <xf borderId="0" fillId="19" fontId="11" numFmtId="4" xfId="0" applyAlignment="1" applyFont="1" applyNumberFormat="1">
      <alignment horizontal="right" vertical="bottom"/>
    </xf>
    <xf borderId="0" fillId="21" fontId="11" numFmtId="4" xfId="0" applyAlignment="1" applyFont="1" applyNumberFormat="1">
      <alignment horizontal="right" vertical="bottom"/>
    </xf>
    <xf borderId="0" fillId="22" fontId="11" numFmtId="4" xfId="0" applyAlignment="1" applyFont="1" applyNumberFormat="1">
      <alignment horizontal="right" vertical="bottom"/>
    </xf>
    <xf borderId="0" fillId="0" fontId="16" numFmtId="0" xfId="0" applyFont="1"/>
    <xf borderId="0" fillId="0" fontId="17" numFmtId="0" xfId="0" applyFont="1"/>
    <xf borderId="0" fillId="2" fontId="1" numFmtId="1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vertical="center"/>
    </xf>
    <xf borderId="3" fillId="48" fontId="16" numFmtId="4" xfId="0" applyAlignment="1" applyBorder="1" applyFill="1" applyFont="1" applyNumberFormat="1">
      <alignment readingOrder="0"/>
    </xf>
    <xf borderId="2" fillId="48" fontId="16" numFmtId="0" xfId="0" applyBorder="1" applyFont="1"/>
    <xf borderId="2" fillId="48" fontId="16" numFmtId="0" xfId="0" applyBorder="1" applyFont="1"/>
    <xf borderId="0" fillId="0" fontId="10" numFmtId="1" xfId="0" applyAlignment="1" applyFont="1" applyNumberFormat="1">
      <alignment horizontal="center"/>
    </xf>
    <xf borderId="2" fillId="0" fontId="10" numFmtId="10" xfId="0" applyAlignment="1" applyBorder="1" applyFont="1" applyNumberFormat="1">
      <alignment horizontal="center"/>
    </xf>
    <xf borderId="1" fillId="0" fontId="10" numFmtId="10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49" fontId="18" numFmtId="0" xfId="0" applyAlignment="1" applyBorder="1" applyFill="1" applyFont="1">
      <alignment horizontal="center" vertical="bottom"/>
    </xf>
    <xf borderId="2" fillId="0" fontId="10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 vertical="bottom"/>
    </xf>
    <xf borderId="0" fillId="0" fontId="8" numFmtId="1" xfId="0" applyAlignment="1" applyFont="1" applyNumberFormat="1">
      <alignment horizontal="center" readingOrder="0" vertical="bottom"/>
    </xf>
    <xf borderId="2" fillId="0" fontId="10" numFmtId="0" xfId="0" applyAlignment="1" applyBorder="1" applyFont="1">
      <alignment horizontal="center" readingOrder="0"/>
    </xf>
    <xf borderId="0" fillId="0" fontId="10" numFmtId="10" xfId="0" applyAlignment="1" applyFont="1" applyNumberFormat="1">
      <alignment horizontal="center"/>
    </xf>
    <xf borderId="0" fillId="50" fontId="10" numFmtId="1" xfId="0" applyAlignment="1" applyFill="1" applyFont="1" applyNumberFormat="1">
      <alignment horizontal="center" vertical="bottom"/>
    </xf>
    <xf borderId="2" fillId="50" fontId="10" numFmtId="10" xfId="0" applyAlignment="1" applyBorder="1" applyFont="1" applyNumberFormat="1">
      <alignment horizontal="center" vertical="bottom"/>
    </xf>
    <xf borderId="2" fillId="50" fontId="10" numFmtId="0" xfId="0" applyAlignment="1" applyBorder="1" applyFont="1">
      <alignment horizontal="center" vertical="bottom"/>
    </xf>
    <xf borderId="0" fillId="50" fontId="19" numFmtId="1" xfId="0" applyAlignment="1" applyFont="1" applyNumberFormat="1">
      <alignment horizontal="center" vertical="bottom"/>
    </xf>
    <xf borderId="2" fillId="50" fontId="19" numFmtId="10" xfId="0" applyAlignment="1" applyBorder="1" applyFont="1" applyNumberFormat="1">
      <alignment horizontal="center" vertical="bottom"/>
    </xf>
    <xf borderId="2" fillId="50" fontId="19" numFmtId="0" xfId="0" applyAlignment="1" applyBorder="1" applyFont="1">
      <alignment horizontal="center" vertical="bottom"/>
    </xf>
    <xf borderId="0" fillId="50" fontId="8" numFmtId="1" xfId="0" applyAlignment="1" applyFont="1" applyNumberFormat="1">
      <alignment horizontal="center" readingOrder="0" vertical="bottom"/>
    </xf>
    <xf borderId="2" fillId="50" fontId="8" numFmtId="10" xfId="0" applyAlignment="1" applyBorder="1" applyFont="1" applyNumberFormat="1">
      <alignment horizontal="center" vertical="bottom"/>
    </xf>
    <xf borderId="2" fillId="50" fontId="8" numFmtId="0" xfId="0" applyAlignment="1" applyBorder="1" applyFont="1">
      <alignment horizontal="center" readingOrder="0" vertical="bottom"/>
    </xf>
    <xf borderId="0" fillId="0" fontId="19" numFmtId="1" xfId="0" applyAlignment="1" applyFont="1" applyNumberFormat="1">
      <alignment horizontal="center" vertical="bottom"/>
    </xf>
    <xf borderId="2" fillId="0" fontId="19" numFmtId="0" xfId="0" applyAlignment="1" applyBorder="1" applyFont="1">
      <alignment horizontal="center" vertical="bottom"/>
    </xf>
    <xf borderId="2" fillId="0" fontId="10" numFmtId="10" xfId="0" applyAlignment="1" applyBorder="1" applyFont="1" applyNumberFormat="1">
      <alignment horizontal="center" vertical="bottom"/>
    </xf>
    <xf borderId="2" fillId="0" fontId="19" numFmtId="10" xfId="0" applyAlignment="1" applyBorder="1" applyFont="1" applyNumberFormat="1">
      <alignment horizontal="center" vertical="bottom"/>
    </xf>
    <xf borderId="2" fillId="50" fontId="8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bottom"/>
    </xf>
    <xf borderId="0" fillId="50" fontId="8" numFmtId="10" xfId="0" applyAlignment="1" applyFont="1" applyNumberFormat="1">
      <alignment horizontal="center" vertical="bottom"/>
    </xf>
    <xf borderId="0" fillId="50" fontId="8" numFmtId="0" xfId="0" applyAlignment="1" applyFont="1">
      <alignment horizontal="center" readingOrder="0" vertical="bottom"/>
    </xf>
    <xf borderId="0" fillId="0" fontId="10" numFmtId="10" xfId="0" applyAlignment="1" applyFont="1" applyNumberFormat="1">
      <alignment horizontal="center" vertical="bottom"/>
    </xf>
    <xf borderId="2" fillId="0" fontId="10" numFmtId="1" xfId="0" applyAlignment="1" applyBorder="1" applyFont="1" applyNumberFormat="1">
      <alignment horizontal="center"/>
    </xf>
    <xf borderId="0" fillId="14" fontId="20" numFmtId="1" xfId="0" applyAlignment="1" applyFont="1" applyNumberFormat="1">
      <alignment horizontal="center"/>
    </xf>
    <xf borderId="0" fillId="14" fontId="10" numFmtId="10" xfId="0" applyAlignment="1" applyFont="1" applyNumberFormat="1">
      <alignment horizontal="center"/>
    </xf>
    <xf borderId="0" fillId="50" fontId="19" numFmtId="10" xfId="0" applyAlignment="1" applyFont="1" applyNumberFormat="1">
      <alignment horizontal="center" vertical="bottom"/>
    </xf>
    <xf borderId="0" fillId="50" fontId="1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50" fontId="8" numFmtId="0" xfId="0" applyAlignment="1" applyFont="1">
      <alignment horizontal="center"/>
    </xf>
    <xf borderId="0" fillId="50" fontId="10" numFmtId="10" xfId="0" applyAlignment="1" applyFont="1" applyNumberFormat="1">
      <alignment horizontal="center" vertical="bottom"/>
    </xf>
    <xf borderId="0" fillId="50" fontId="10" numFmtId="0" xfId="0" applyAlignment="1" applyFont="1">
      <alignment horizontal="center" vertical="bottom"/>
    </xf>
    <xf borderId="0" fillId="0" fontId="19" numFmtId="10" xfId="0" applyAlignment="1" applyFont="1" applyNumberFormat="1">
      <alignment horizontal="center" vertical="bottom"/>
    </xf>
    <xf borderId="0" fillId="3" fontId="10" numFmtId="0" xfId="0" applyAlignment="1" applyFont="1">
      <alignment horizontal="center"/>
    </xf>
    <xf borderId="0" fillId="50" fontId="10" numFmtId="1" xfId="0" applyAlignment="1" applyFont="1" applyNumberFormat="1">
      <alignment horizontal="center" readingOrder="0" vertical="bottom"/>
    </xf>
    <xf borderId="0" fillId="50" fontId="10" numFmtId="0" xfId="0" applyAlignment="1" applyFont="1">
      <alignment horizontal="center" readingOrder="0" vertical="bottom"/>
    </xf>
    <xf borderId="0" fillId="0" fontId="10" numFmtId="1" xfId="0" applyAlignment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21" numFmtId="0" xfId="0" applyAlignment="1" applyFont="1">
      <alignment readingOrder="0" shrinkToFit="0" wrapText="0"/>
    </xf>
    <xf borderId="4" fillId="51" fontId="22" numFmtId="0" xfId="0" applyAlignment="1" applyBorder="1" applyFill="1" applyFont="1">
      <alignment readingOrder="0" shrinkToFit="0" wrapText="0"/>
    </xf>
    <xf borderId="0" fillId="52" fontId="11" numFmtId="0" xfId="0" applyAlignment="1" applyFill="1" applyFont="1">
      <alignment horizontal="center" readingOrder="0"/>
    </xf>
    <xf borderId="4" fillId="51" fontId="23" numFmtId="0" xfId="0" applyAlignment="1" applyBorder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4" fillId="53" fontId="21" numFmtId="0" xfId="0" applyAlignment="1" applyBorder="1" applyFill="1" applyFont="1">
      <alignment readingOrder="0" shrinkToFit="0" wrapText="0"/>
    </xf>
    <xf borderId="5" fillId="0" fontId="9" numFmtId="0" xfId="0" applyAlignment="1" applyBorder="1" applyFont="1">
      <alignment horizontal="center" readingOrder="0"/>
    </xf>
    <xf borderId="4" fillId="53" fontId="24" numFmtId="0" xfId="0" applyAlignment="1" applyBorder="1" applyFont="1">
      <alignment horizontal="right" shrinkToFit="0" wrapText="0"/>
    </xf>
    <xf borderId="0" fillId="0" fontId="17" numFmtId="0" xfId="0" applyAlignment="1" applyFont="1">
      <alignment horizontal="right" vertical="bottom"/>
    </xf>
    <xf borderId="4" fillId="0" fontId="21" numFmtId="0" xfId="0" applyAlignment="1" applyBorder="1" applyFont="1">
      <alignment readingOrder="0" shrinkToFit="0" wrapText="0"/>
    </xf>
    <xf borderId="4" fillId="0" fontId="24" numFmtId="0" xfId="0" applyAlignment="1" applyBorder="1" applyFont="1">
      <alignment horizontal="right" shrinkToFit="0" wrapText="0"/>
    </xf>
    <xf borderId="5" fillId="0" fontId="25" numFmtId="0" xfId="0" applyAlignment="1" applyBorder="1" applyFont="1">
      <alignment horizontal="center" readingOrder="0"/>
    </xf>
    <xf borderId="0" fillId="0" fontId="16" numFmtId="1" xfId="0" applyFont="1" applyNumberFormat="1"/>
    <xf borderId="2" fillId="0" fontId="8" numFmtId="10" xfId="0" applyAlignment="1" applyBorder="1" applyFont="1" applyNumberFormat="1">
      <alignment horizontal="center" vertical="bottom"/>
    </xf>
    <xf borderId="0" fillId="50" fontId="8" numFmtId="1" xfId="0" applyAlignment="1" applyFont="1" applyNumberFormat="1">
      <alignment horizontal="center" vertical="bottom"/>
    </xf>
    <xf borderId="2" fillId="0" fontId="10" numFmtId="0" xfId="0" applyAlignment="1" applyBorder="1" applyFont="1">
      <alignment horizontal="center" readingOrder="0" vertical="bottom"/>
    </xf>
    <xf borderId="0" fillId="50" fontId="19" numFmtId="1" xfId="0" applyAlignment="1" applyFont="1" applyNumberFormat="1">
      <alignment horizontal="center" readingOrder="0" vertical="bottom"/>
    </xf>
    <xf borderId="2" fillId="50" fontId="19" numFmtId="0" xfId="0" applyAlignment="1" applyBorder="1" applyFont="1">
      <alignment horizontal="center" readingOrder="0" vertical="bottom"/>
    </xf>
    <xf borderId="0" fillId="0" fontId="16" numFmtId="1" xfId="0" applyAlignment="1" applyFont="1" applyNumberFormat="1">
      <alignment readingOrder="0"/>
    </xf>
    <xf borderId="0" fillId="50" fontId="1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19" numFmtId="1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14" fontId="17" numFmtId="0" xfId="0" applyAlignment="1" applyFont="1">
      <alignment horizontal="right" vertical="bottom"/>
    </xf>
    <xf borderId="0" fillId="33" fontId="17" numFmtId="0" xfId="0" applyAlignment="1" applyFont="1">
      <alignment horizontal="right" vertical="bottom"/>
    </xf>
    <xf borderId="0" fillId="14" fontId="17" numFmtId="0" xfId="0" applyAlignment="1" applyFont="1">
      <alignment vertical="bottom"/>
    </xf>
    <xf borderId="0" fillId="33" fontId="17" numFmtId="0" xfId="0" applyAlignment="1" applyFont="1">
      <alignment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color rgb="FFFFFFFF"/>
      </font>
      <fill>
        <patternFill patternType="solid">
          <fgColor rgb="FF4C1130"/>
          <bgColor rgb="FF4C1130"/>
        </patternFill>
      </fill>
      <border/>
    </dxf>
    <dxf>
      <font>
        <color rgb="FFFFFF00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EB0E7"/>
          <bgColor rgb="FFFEB0E7"/>
        </patternFill>
      </fill>
      <border/>
    </dxf>
    <dxf>
      <font/>
      <fill>
        <patternFill patternType="solid">
          <fgColor rgb="FFA8E4FA"/>
          <bgColor rgb="FFA8E4FA"/>
        </patternFill>
      </fill>
      <border/>
    </dxf>
    <dxf>
      <font>
        <color rgb="FFFFFFFF"/>
      </font>
      <fill>
        <patternFill patternType="solid">
          <fgColor rgb="FFB200FF"/>
          <bgColor rgb="FFB200FF"/>
        </patternFill>
      </fill>
      <border/>
    </dxf>
    <dxf>
      <font>
        <color rgb="FFFFFFFF"/>
      </font>
      <fill>
        <patternFill patternType="solid">
          <fgColor rgb="FFD70E00"/>
          <bgColor rgb="FFD70E00"/>
        </patternFill>
      </fill>
      <border/>
    </dxf>
    <dxf>
      <font>
        <color rgb="FFFFFFFF"/>
      </font>
      <fill>
        <patternFill patternType="solid">
          <fgColor rgb="FF009A00"/>
          <bgColor rgb="FF009A00"/>
        </patternFill>
      </fill>
      <border/>
    </dxf>
    <dxf>
      <font>
        <color rgb="FFFFFFFF"/>
      </font>
      <fill>
        <patternFill patternType="solid">
          <fgColor rgb="FF004DFE"/>
          <bgColor rgb="FF004DFE"/>
        </patternFill>
      </fill>
      <border/>
    </dxf>
    <dxf>
      <font>
        <color rgb="FFFFFFFF"/>
      </font>
      <fill>
        <patternFill patternType="solid">
          <fgColor rgb="FF858585"/>
          <bgColor rgb="FF858585"/>
        </patternFill>
      </fill>
      <border/>
    </dxf>
    <dxf>
      <font/>
      <fill>
        <patternFill patternType="solid">
          <fgColor rgb="FFEAB342"/>
          <bgColor rgb="FFEAB342"/>
        </patternFill>
      </fill>
      <border/>
    </dxf>
    <dxf>
      <font>
        <color rgb="FFFFFFFF"/>
      </font>
      <fill>
        <patternFill patternType="solid">
          <fgColor rgb="FF660000"/>
          <bgColor rgb="FF660000"/>
        </patternFill>
      </fill>
      <border/>
    </dxf>
    <dxf>
      <font/>
      <fill>
        <patternFill patternType="solid">
          <fgColor rgb="FF60482E"/>
          <bgColor rgb="FF60482E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theme="0"/>
      </font>
      <fill>
        <patternFill patternType="solid">
          <fgColor rgb="FF4C1130"/>
          <bgColor rgb="FF4C113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DataPull-style">
      <tableStyleElement dxfId="15" type="firstRowStripe"/>
      <tableStyleElement dxfId="1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6302:J6922" displayName="Table_1" name="Table_1" id="1">
  <tableColumns count="1">
    <tableColumn name="Column1" id="1"/>
  </tableColumns>
  <tableStyleInfo name="DataPu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9.75"/>
    <col customWidth="1" min="3" max="3" width="22.5"/>
    <col customWidth="1" min="4" max="4" width="15.38"/>
    <col customWidth="1" min="5" max="5" width="11.63"/>
    <col customWidth="1" min="6" max="6" width="17.88"/>
    <col customWidth="1" min="7" max="7" width="16.25"/>
    <col customWidth="1" min="8" max="9" width="7.13"/>
    <col customWidth="1" min="10" max="10" width="12.0"/>
    <col customWidth="1" min="11" max="11" width="8.75"/>
    <col customWidth="1" min="12" max="13" width="8.13"/>
    <col customWidth="1" min="14" max="14" width="8.38"/>
    <col customWidth="1" min="15" max="15" width="6.75"/>
    <col customWidth="1" min="16" max="16" width="6.88"/>
    <col customWidth="1" min="17" max="17" width="5.75"/>
    <col customWidth="1" min="18" max="18" width="9.25"/>
    <col customWidth="1" min="19" max="19" width="8.88"/>
    <col customWidth="1" min="20" max="20" width="8.63"/>
    <col customWidth="1" min="21" max="21" width="7.25"/>
    <col customWidth="1" min="22" max="22" width="10.5"/>
    <col customWidth="1" min="23" max="23" width="9.75"/>
    <col customWidth="1" min="24" max="24" width="8.13"/>
    <col customWidth="1" min="25" max="25" width="8.88"/>
    <col customWidth="1" min="26" max="27" width="7.38"/>
    <col customWidth="1" min="28" max="28" width="9.0"/>
    <col customWidth="1" min="29" max="29" width="9.63"/>
    <col customWidth="1" min="30" max="30" width="5.38"/>
    <col customWidth="1" min="31" max="31" width="6.0"/>
    <col customWidth="1" min="32" max="32" width="6.63"/>
    <col customWidth="1" min="33" max="33" width="7.0"/>
    <col customWidth="1" min="34" max="34" width="8.5"/>
    <col customWidth="1" min="35" max="35" width="8.38"/>
    <col customWidth="1" min="36" max="36" width="9.0"/>
    <col customWidth="1" min="37" max="37" width="9.25"/>
    <col customWidth="1" min="38" max="38" width="9.63"/>
    <col customWidth="1" min="39" max="40" width="9.38"/>
    <col customWidth="1" min="41" max="41" width="6.88"/>
    <col customWidth="1" min="42" max="42" width="8.25"/>
    <col customWidth="1" min="43" max="43" width="8.5"/>
    <col customWidth="1" min="44" max="44" width="11.5"/>
    <col customWidth="1" min="45" max="45" width="8.0"/>
    <col customWidth="1" min="46" max="51" width="12.63"/>
    <col customWidth="1" min="52" max="52" width="13.0"/>
    <col customWidth="1" min="54" max="60" width="12.63"/>
    <col customWidth="1" min="61" max="61" width="13.13"/>
    <col customWidth="1" min="62" max="63" width="12.63"/>
    <col customWidth="1" min="66" max="85" width="12.63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8" t="s">
        <v>22</v>
      </c>
      <c r="X1" s="8" t="s">
        <v>23</v>
      </c>
      <c r="Y1" s="5" t="s">
        <v>24</v>
      </c>
      <c r="Z1" s="8" t="s">
        <v>25</v>
      </c>
      <c r="AA1" s="8" t="s">
        <v>26</v>
      </c>
      <c r="AB1" s="8" t="s">
        <v>27</v>
      </c>
      <c r="AC1" s="6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9" t="s">
        <v>35</v>
      </c>
      <c r="AK1" s="9" t="s">
        <v>36</v>
      </c>
      <c r="AL1" s="9" t="s">
        <v>37</v>
      </c>
      <c r="AM1" s="11" t="s">
        <v>38</v>
      </c>
      <c r="AN1" s="12" t="s">
        <v>39</v>
      </c>
      <c r="AO1" s="11" t="s">
        <v>40</v>
      </c>
      <c r="AP1" s="11" t="s">
        <v>41</v>
      </c>
      <c r="AQ1" s="11" t="s">
        <v>42</v>
      </c>
      <c r="AR1" s="13" t="s">
        <v>43</v>
      </c>
      <c r="AS1" s="11" t="s">
        <v>44</v>
      </c>
      <c r="AT1" s="14" t="s">
        <v>45</v>
      </c>
      <c r="AU1" s="15" t="s">
        <v>46</v>
      </c>
      <c r="AV1" s="15" t="s">
        <v>47</v>
      </c>
      <c r="AW1" s="16" t="s">
        <v>48</v>
      </c>
      <c r="AX1" s="15" t="s">
        <v>49</v>
      </c>
      <c r="AY1" s="17" t="s">
        <v>50</v>
      </c>
      <c r="AZ1" s="18" t="s">
        <v>51</v>
      </c>
      <c r="BA1" s="19" t="s">
        <v>52</v>
      </c>
      <c r="BB1" s="15" t="s">
        <v>53</v>
      </c>
      <c r="BC1" s="14" t="s">
        <v>54</v>
      </c>
      <c r="BD1" s="18" t="s">
        <v>55</v>
      </c>
      <c r="BE1" s="15" t="s">
        <v>56</v>
      </c>
      <c r="BF1" s="18" t="s">
        <v>57</v>
      </c>
      <c r="BG1" s="14" t="s">
        <v>58</v>
      </c>
      <c r="BH1" s="18" t="s">
        <v>59</v>
      </c>
      <c r="BI1" s="18" t="s">
        <v>60</v>
      </c>
      <c r="BJ1" s="14" t="s">
        <v>61</v>
      </c>
      <c r="BK1" s="15" t="s">
        <v>62</v>
      </c>
      <c r="BL1" s="19" t="s">
        <v>63</v>
      </c>
      <c r="BM1" s="19" t="s">
        <v>64</v>
      </c>
      <c r="BN1" s="18" t="s">
        <v>65</v>
      </c>
      <c r="BO1" s="18" t="s">
        <v>66</v>
      </c>
      <c r="BP1" s="18" t="s">
        <v>67</v>
      </c>
      <c r="BQ1" s="14" t="s">
        <v>68</v>
      </c>
      <c r="BR1" s="14" t="s">
        <v>69</v>
      </c>
      <c r="BS1" s="18" t="s">
        <v>70</v>
      </c>
      <c r="BT1" s="17" t="s">
        <v>71</v>
      </c>
      <c r="BU1" s="14" t="s">
        <v>72</v>
      </c>
      <c r="BV1" s="14" t="s">
        <v>73</v>
      </c>
      <c r="BW1" s="18" t="s">
        <v>74</v>
      </c>
      <c r="BX1" s="14" t="s">
        <v>75</v>
      </c>
      <c r="BY1" s="14" t="s">
        <v>76</v>
      </c>
      <c r="BZ1" s="16" t="s">
        <v>77</v>
      </c>
      <c r="CA1" s="14" t="s">
        <v>78</v>
      </c>
      <c r="CB1" s="20" t="s">
        <v>79</v>
      </c>
      <c r="CC1" s="20" t="s">
        <v>80</v>
      </c>
      <c r="CD1" s="17" t="s">
        <v>81</v>
      </c>
      <c r="CE1" s="15" t="s">
        <v>82</v>
      </c>
      <c r="CF1" s="15" t="s">
        <v>83</v>
      </c>
      <c r="CG1" s="15" t="s">
        <v>84</v>
      </c>
    </row>
    <row r="2">
      <c r="A2" s="21">
        <v>708.0</v>
      </c>
      <c r="B2" s="22" t="s">
        <v>85</v>
      </c>
      <c r="C2" s="22" t="s">
        <v>86</v>
      </c>
      <c r="D2" s="23" t="s">
        <v>87</v>
      </c>
      <c r="E2" s="23"/>
      <c r="F2" s="24" t="s">
        <v>88</v>
      </c>
      <c r="G2" s="25" t="s">
        <v>89</v>
      </c>
      <c r="H2" s="24"/>
      <c r="I2" s="24"/>
      <c r="J2" s="26"/>
      <c r="K2" s="27">
        <v>63.683083706868516</v>
      </c>
      <c r="L2" s="28">
        <v>65.65339813925664</v>
      </c>
      <c r="M2" s="29">
        <v>60.466227678846806</v>
      </c>
      <c r="N2" s="30">
        <v>62.78232952674145</v>
      </c>
      <c r="O2" s="31">
        <v>82.28010518929119</v>
      </c>
      <c r="P2" s="32">
        <v>25.0</v>
      </c>
      <c r="Q2" s="31">
        <v>80.97746251302037</v>
      </c>
      <c r="R2" s="33">
        <v>60.98386489760256</v>
      </c>
      <c r="S2" s="34">
        <v>67.13168063631609</v>
      </c>
      <c r="T2" s="35">
        <v>78.35218861176409</v>
      </c>
      <c r="U2" s="36">
        <v>52.80113292198893</v>
      </c>
      <c r="V2" s="37">
        <v>62.26603165481057</v>
      </c>
      <c r="W2" s="38">
        <v>48.73212918257976</v>
      </c>
      <c r="X2" s="36">
        <v>51.14270720267558</v>
      </c>
      <c r="Y2" s="39">
        <v>87.22357857392093</v>
      </c>
      <c r="Z2" s="40">
        <v>58.90977263215271</v>
      </c>
      <c r="AA2" s="41">
        <v>66.71256499942075</v>
      </c>
      <c r="AB2" s="42">
        <v>69.13941080101836</v>
      </c>
      <c r="AC2" s="43">
        <v>42.02285945389973</v>
      </c>
      <c r="AD2" s="31">
        <v>82.49609469886074</v>
      </c>
      <c r="AE2" s="43">
        <v>57.51877383379519</v>
      </c>
      <c r="AF2" s="42">
        <v>72.28255495621252</v>
      </c>
      <c r="AG2" s="44">
        <v>75.88464912536811</v>
      </c>
      <c r="AH2" s="32">
        <v>67.86932198376964</v>
      </c>
      <c r="AI2" s="45">
        <v>93.8085409114077</v>
      </c>
      <c r="AJ2" s="46">
        <v>91.05207586862835</v>
      </c>
      <c r="AK2" s="37">
        <v>60.09476587520888</v>
      </c>
      <c r="AL2" s="45">
        <v>94.10669462084041</v>
      </c>
      <c r="AM2" s="43">
        <v>64.07619440349468</v>
      </c>
      <c r="AN2" s="43">
        <v>56.88122807629789</v>
      </c>
      <c r="AO2" s="43">
        <v>81.21439568329451</v>
      </c>
      <c r="AP2" s="43">
        <v>72.43063844899262</v>
      </c>
      <c r="AQ2" s="47">
        <v>87.44928752807103</v>
      </c>
      <c r="AR2" s="43">
        <v>70.0</v>
      </c>
      <c r="AS2" s="32">
        <v>82.50044567070469</v>
      </c>
      <c r="AT2" s="48">
        <v>0.0</v>
      </c>
      <c r="AU2" s="48">
        <v>0.0</v>
      </c>
      <c r="AV2" s="48">
        <v>0.0</v>
      </c>
      <c r="AW2" s="48">
        <v>0.0</v>
      </c>
      <c r="AX2" s="48">
        <v>0.0</v>
      </c>
      <c r="AY2" s="48">
        <v>0.0</v>
      </c>
      <c r="AZ2" s="48">
        <v>0.0</v>
      </c>
      <c r="BA2" s="48">
        <v>0.0</v>
      </c>
      <c r="BB2" s="48">
        <v>1.0</v>
      </c>
      <c r="BC2" s="48">
        <v>0.0</v>
      </c>
      <c r="BD2" s="48">
        <v>1.0</v>
      </c>
      <c r="BE2" s="48">
        <v>0.0</v>
      </c>
      <c r="BF2" s="48">
        <v>1.0</v>
      </c>
      <c r="BG2" s="48">
        <v>1.0</v>
      </c>
      <c r="BH2" s="48">
        <v>0.0</v>
      </c>
      <c r="BI2" s="48">
        <v>0.0</v>
      </c>
      <c r="BJ2" s="48">
        <v>0.0</v>
      </c>
      <c r="BK2" s="48">
        <v>0.0</v>
      </c>
      <c r="BL2" s="48">
        <v>0.0</v>
      </c>
      <c r="BM2" s="48">
        <v>0.0</v>
      </c>
      <c r="BN2" s="48">
        <v>0.0</v>
      </c>
      <c r="BO2" s="48">
        <v>0.0</v>
      </c>
      <c r="BP2" s="48">
        <v>1.0</v>
      </c>
      <c r="BQ2" s="48">
        <v>0.0</v>
      </c>
      <c r="BR2" s="48">
        <v>0.0</v>
      </c>
      <c r="BS2" s="48">
        <v>0.0</v>
      </c>
      <c r="BT2" s="27">
        <v>2.0</v>
      </c>
      <c r="BU2" s="48">
        <v>0.0</v>
      </c>
      <c r="BV2" s="48">
        <v>1.0</v>
      </c>
      <c r="BW2" s="27">
        <v>2.0</v>
      </c>
      <c r="BX2" s="27">
        <v>2.0</v>
      </c>
      <c r="BY2" s="27">
        <v>2.0</v>
      </c>
      <c r="BZ2" s="48">
        <v>3.0</v>
      </c>
      <c r="CA2" s="48">
        <v>0.0</v>
      </c>
      <c r="CB2" s="48">
        <v>0.0</v>
      </c>
      <c r="CC2" s="48">
        <v>0.0</v>
      </c>
      <c r="CD2" s="48">
        <v>0.0</v>
      </c>
      <c r="CE2" s="48">
        <v>0.0</v>
      </c>
      <c r="CF2" s="48">
        <v>1.0</v>
      </c>
      <c r="CG2" s="48">
        <v>0.0</v>
      </c>
    </row>
    <row r="3">
      <c r="A3" s="21">
        <v>708.0</v>
      </c>
      <c r="B3" s="22" t="s">
        <v>90</v>
      </c>
      <c r="C3" s="22" t="s">
        <v>86</v>
      </c>
      <c r="D3" s="23" t="s">
        <v>91</v>
      </c>
      <c r="E3" s="23"/>
      <c r="F3" s="24" t="s">
        <v>88</v>
      </c>
      <c r="G3" s="25" t="s">
        <v>89</v>
      </c>
      <c r="H3" s="24"/>
      <c r="I3" s="24"/>
      <c r="J3" s="49"/>
      <c r="K3" s="50">
        <v>69.07860984824866</v>
      </c>
      <c r="L3" s="28">
        <v>47.179968718641454</v>
      </c>
      <c r="M3" s="29">
        <v>47.649174167071344</v>
      </c>
      <c r="N3" s="51">
        <v>69.37612657983419</v>
      </c>
      <c r="O3" s="46">
        <v>90.00159643240765</v>
      </c>
      <c r="P3" s="32">
        <v>25.102320025906725</v>
      </c>
      <c r="Q3" s="31">
        <v>80.01800629387944</v>
      </c>
      <c r="R3" s="33">
        <v>45.66268632199589</v>
      </c>
      <c r="S3" s="52">
        <v>69.42196894820542</v>
      </c>
      <c r="T3" s="35">
        <v>71.92596841371277</v>
      </c>
      <c r="U3" s="36">
        <v>60.32234283154776</v>
      </c>
      <c r="V3" s="37">
        <v>75.79273810242749</v>
      </c>
      <c r="W3" s="53">
        <v>59.15233497782705</v>
      </c>
      <c r="X3" s="54">
        <v>53.09422182145175</v>
      </c>
      <c r="Y3" s="46">
        <v>91.31401080066603</v>
      </c>
      <c r="Z3" s="40">
        <v>71.84193095480096</v>
      </c>
      <c r="AA3" s="41">
        <v>71.44829367088742</v>
      </c>
      <c r="AB3" s="42">
        <v>70.86465641519565</v>
      </c>
      <c r="AC3" s="43">
        <v>65.69470704352932</v>
      </c>
      <c r="AD3" s="44">
        <v>76.22868819969219</v>
      </c>
      <c r="AE3" s="37">
        <v>62.439436777583914</v>
      </c>
      <c r="AF3" s="42">
        <v>79.55709918828848</v>
      </c>
      <c r="AG3" s="44">
        <v>56.57833692428824</v>
      </c>
      <c r="AH3" s="32">
        <v>60.02684401095877</v>
      </c>
      <c r="AI3" s="45">
        <v>94.03713907005599</v>
      </c>
      <c r="AJ3" s="55">
        <v>84.05482872092789</v>
      </c>
      <c r="AK3" s="37">
        <v>72.37034463512285</v>
      </c>
      <c r="AL3" s="45">
        <v>93.93091010311528</v>
      </c>
      <c r="AM3" s="43">
        <v>64.20458686878177</v>
      </c>
      <c r="AN3" s="43">
        <v>57.638270559383336</v>
      </c>
      <c r="AO3" s="43">
        <v>79.05725810286481</v>
      </c>
      <c r="AP3" s="43">
        <v>65.13597777502314</v>
      </c>
      <c r="AQ3" s="47">
        <v>87.25614059122464</v>
      </c>
      <c r="AR3" s="43">
        <v>89.88981272093818</v>
      </c>
      <c r="AS3" s="32">
        <v>78.01275263924191</v>
      </c>
      <c r="AT3" s="56">
        <v>0.0</v>
      </c>
      <c r="AU3" s="56">
        <v>0.0</v>
      </c>
      <c r="AV3" s="56">
        <v>0.0</v>
      </c>
      <c r="AW3" s="56">
        <v>0.0</v>
      </c>
      <c r="AX3" s="56">
        <v>1.0</v>
      </c>
      <c r="AY3" s="56">
        <v>0.0</v>
      </c>
      <c r="AZ3" s="56">
        <v>0.0</v>
      </c>
      <c r="BA3" s="50">
        <v>2.0</v>
      </c>
      <c r="BB3" s="50">
        <v>2.0</v>
      </c>
      <c r="BC3" s="56">
        <v>0.0</v>
      </c>
      <c r="BD3" s="50">
        <v>2.0</v>
      </c>
      <c r="BE3" s="56">
        <v>0.0</v>
      </c>
      <c r="BF3" s="56">
        <v>0.0</v>
      </c>
      <c r="BG3" s="56">
        <v>0.0</v>
      </c>
      <c r="BH3" s="56">
        <v>0.0</v>
      </c>
      <c r="BI3" s="56">
        <v>0.0</v>
      </c>
      <c r="BJ3" s="56">
        <v>0.0</v>
      </c>
      <c r="BK3" s="56">
        <v>0.0</v>
      </c>
      <c r="BL3" s="56">
        <v>0.0</v>
      </c>
      <c r="BM3" s="56">
        <v>0.0</v>
      </c>
      <c r="BN3" s="56">
        <v>1.0</v>
      </c>
      <c r="BO3" s="56">
        <v>0.0</v>
      </c>
      <c r="BP3" s="56">
        <v>0.0</v>
      </c>
      <c r="BQ3" s="56">
        <v>0.0</v>
      </c>
      <c r="BR3" s="56">
        <v>0.0</v>
      </c>
      <c r="BS3" s="56">
        <v>0.0</v>
      </c>
      <c r="BT3" s="56">
        <v>1.0</v>
      </c>
      <c r="BU3" s="56">
        <v>0.0</v>
      </c>
      <c r="BV3" s="56">
        <v>1.0</v>
      </c>
      <c r="BW3" s="56">
        <v>1.0</v>
      </c>
      <c r="BX3" s="56">
        <v>1.0</v>
      </c>
      <c r="BY3" s="56">
        <v>1.0</v>
      </c>
      <c r="BZ3" s="56">
        <v>3.0</v>
      </c>
      <c r="CA3" s="56">
        <v>0.0</v>
      </c>
      <c r="CB3" s="56">
        <v>0.0</v>
      </c>
      <c r="CC3" s="56">
        <v>1.0</v>
      </c>
      <c r="CD3" s="56">
        <v>0.0</v>
      </c>
      <c r="CE3" s="56">
        <v>0.0</v>
      </c>
      <c r="CF3" s="56">
        <v>0.0</v>
      </c>
      <c r="CG3" s="56">
        <v>0.0</v>
      </c>
    </row>
    <row r="4">
      <c r="A4" s="21">
        <v>708.0</v>
      </c>
      <c r="B4" s="22" t="s">
        <v>92</v>
      </c>
      <c r="C4" s="22" t="s">
        <v>86</v>
      </c>
      <c r="D4" s="23" t="s">
        <v>93</v>
      </c>
      <c r="E4" s="23"/>
      <c r="F4" s="24" t="s">
        <v>88</v>
      </c>
      <c r="G4" s="25" t="s">
        <v>89</v>
      </c>
      <c r="H4" s="24"/>
      <c r="I4" s="24"/>
      <c r="J4" s="26"/>
      <c r="K4" s="27">
        <v>65.24525583154531</v>
      </c>
      <c r="L4" s="28">
        <v>36.917467734597146</v>
      </c>
      <c r="M4" s="29">
        <v>39.97319365617997</v>
      </c>
      <c r="N4" s="33">
        <v>72.71404295282862</v>
      </c>
      <c r="O4" s="44">
        <v>78.91220236798007</v>
      </c>
      <c r="P4" s="32">
        <v>25.0</v>
      </c>
      <c r="Q4" s="31">
        <v>71.4289671208941</v>
      </c>
      <c r="R4" s="33">
        <v>54.02929847394468</v>
      </c>
      <c r="S4" s="57">
        <v>60.401338300556354</v>
      </c>
      <c r="T4" s="35">
        <v>81.38256933125518</v>
      </c>
      <c r="U4" s="36">
        <v>50.802472279788404</v>
      </c>
      <c r="V4" s="37">
        <v>72.51908587994583</v>
      </c>
      <c r="W4" s="36">
        <v>50.32258071658017</v>
      </c>
      <c r="X4" s="58">
        <v>63.26355823761465</v>
      </c>
      <c r="Y4" s="55">
        <v>85.82135239875603</v>
      </c>
      <c r="Z4" s="40">
        <v>72.8473132425116</v>
      </c>
      <c r="AA4" s="41">
        <v>68.85282815032349</v>
      </c>
      <c r="AB4" s="42">
        <v>72.30619764268202</v>
      </c>
      <c r="AC4" s="43">
        <v>56.33121070967256</v>
      </c>
      <c r="AD4" s="33">
        <v>74.30209313559999</v>
      </c>
      <c r="AE4" s="33">
        <v>72.39094961893191</v>
      </c>
      <c r="AF4" s="42">
        <v>76.96279904627394</v>
      </c>
      <c r="AG4" s="44">
        <v>51.93978612354755</v>
      </c>
      <c r="AH4" s="32">
        <v>43.30443348972949</v>
      </c>
      <c r="AI4" s="31">
        <v>82.16964512380443</v>
      </c>
      <c r="AJ4" s="31">
        <v>80.54908543167821</v>
      </c>
      <c r="AK4" s="37">
        <v>66.31765554625233</v>
      </c>
      <c r="AL4" s="40">
        <v>95.17702918352168</v>
      </c>
      <c r="AM4" s="43">
        <v>73.33007541843278</v>
      </c>
      <c r="AN4" s="43">
        <v>63.72187325017017</v>
      </c>
      <c r="AO4" s="43">
        <v>77.25115846289457</v>
      </c>
      <c r="AP4" s="43">
        <v>61.59935721746726</v>
      </c>
      <c r="AQ4" s="47">
        <v>85.25334994281971</v>
      </c>
      <c r="AR4" s="43">
        <v>87.23370245967803</v>
      </c>
      <c r="AS4" s="32">
        <v>70.86105606343693</v>
      </c>
      <c r="AT4" s="48">
        <v>0.0</v>
      </c>
      <c r="AU4" s="48">
        <v>0.0</v>
      </c>
      <c r="AV4" s="48">
        <v>0.0</v>
      </c>
      <c r="AW4" s="48">
        <v>0.0</v>
      </c>
      <c r="AX4" s="48">
        <v>1.0</v>
      </c>
      <c r="AY4" s="48">
        <v>0.0</v>
      </c>
      <c r="AZ4" s="48">
        <v>0.0</v>
      </c>
      <c r="BA4" s="48">
        <v>0.0</v>
      </c>
      <c r="BB4" s="48">
        <v>0.0</v>
      </c>
      <c r="BC4" s="48">
        <v>0.0</v>
      </c>
      <c r="BD4" s="48">
        <v>0.0</v>
      </c>
      <c r="BE4" s="48">
        <v>0.0</v>
      </c>
      <c r="BF4" s="48">
        <v>0.0</v>
      </c>
      <c r="BG4" s="48">
        <v>0.0</v>
      </c>
      <c r="BH4" s="48">
        <v>0.0</v>
      </c>
      <c r="BI4" s="48">
        <v>0.0</v>
      </c>
      <c r="BJ4" s="48">
        <v>0.0</v>
      </c>
      <c r="BK4" s="48">
        <v>0.0</v>
      </c>
      <c r="BL4" s="48">
        <v>0.0</v>
      </c>
      <c r="BM4" s="48">
        <v>0.0</v>
      </c>
      <c r="BN4" s="48">
        <v>0.0</v>
      </c>
      <c r="BO4" s="48">
        <v>0.0</v>
      </c>
      <c r="BP4" s="48">
        <v>0.0</v>
      </c>
      <c r="BQ4" s="48">
        <v>1.0</v>
      </c>
      <c r="BR4" s="48">
        <v>0.0</v>
      </c>
      <c r="BS4" s="48">
        <v>0.0</v>
      </c>
      <c r="BT4" s="48">
        <v>0.0</v>
      </c>
      <c r="BU4" s="48">
        <v>0.0</v>
      </c>
      <c r="BV4" s="48">
        <v>1.0</v>
      </c>
      <c r="BW4" s="48">
        <v>1.0</v>
      </c>
      <c r="BX4" s="48">
        <v>1.0</v>
      </c>
      <c r="BY4" s="27">
        <v>2.0</v>
      </c>
      <c r="BZ4" s="27">
        <v>2.0</v>
      </c>
      <c r="CA4" s="48">
        <v>0.0</v>
      </c>
      <c r="CB4" s="48">
        <v>0.0</v>
      </c>
      <c r="CC4" s="48">
        <v>0.0</v>
      </c>
      <c r="CD4" s="48">
        <v>0.0</v>
      </c>
      <c r="CE4" s="48">
        <v>0.0</v>
      </c>
      <c r="CF4" s="48">
        <v>1.0</v>
      </c>
      <c r="CG4" s="48">
        <v>0.0</v>
      </c>
    </row>
    <row r="5">
      <c r="A5" s="21">
        <v>951.0</v>
      </c>
      <c r="B5" s="22" t="s">
        <v>85</v>
      </c>
      <c r="C5" s="22" t="s">
        <v>94</v>
      </c>
      <c r="D5" s="23" t="s">
        <v>95</v>
      </c>
      <c r="E5" s="23"/>
      <c r="F5" s="24" t="s">
        <v>96</v>
      </c>
      <c r="G5" s="25" t="s">
        <v>97</v>
      </c>
      <c r="H5" s="24"/>
      <c r="I5" s="24"/>
      <c r="J5" s="49"/>
      <c r="K5" s="50">
        <v>72.09130639933933</v>
      </c>
      <c r="L5" s="28">
        <v>38.27142385590143</v>
      </c>
      <c r="M5" s="29">
        <v>61.52449138257037</v>
      </c>
      <c r="N5" s="31">
        <v>83.16238212626229</v>
      </c>
      <c r="O5" s="39">
        <v>87.11953358804384</v>
      </c>
      <c r="P5" s="32">
        <v>81.06065709997641</v>
      </c>
      <c r="Q5" s="31">
        <v>88.93874674870612</v>
      </c>
      <c r="R5" s="33">
        <v>46.92543979894846</v>
      </c>
      <c r="S5" s="54">
        <v>52.9952640871312</v>
      </c>
      <c r="T5" s="35">
        <v>61.468663973264746</v>
      </c>
      <c r="U5" s="36">
        <v>56.629812442111906</v>
      </c>
      <c r="V5" s="37">
        <v>92.68186182966971</v>
      </c>
      <c r="W5" s="44">
        <v>74.70681775861644</v>
      </c>
      <c r="X5" s="59">
        <v>40.401920812993154</v>
      </c>
      <c r="Y5" s="31">
        <v>81.06378427440643</v>
      </c>
      <c r="Z5" s="40">
        <v>71.24214110621287</v>
      </c>
      <c r="AA5" s="41">
        <v>73.60104476290874</v>
      </c>
      <c r="AB5" s="42">
        <v>72.27341881982973</v>
      </c>
      <c r="AC5" s="43">
        <v>91.6603599132845</v>
      </c>
      <c r="AD5" s="60">
        <v>32.830801336640484</v>
      </c>
      <c r="AE5" s="61">
        <v>67.41950268146994</v>
      </c>
      <c r="AF5" s="42">
        <v>61.00750069402676</v>
      </c>
      <c r="AG5" s="44">
        <v>35.31309060782147</v>
      </c>
      <c r="AH5" s="32">
        <v>39.00366350729493</v>
      </c>
      <c r="AI5" s="37">
        <v>62.19903072791217</v>
      </c>
      <c r="AJ5" s="37">
        <v>61.2178005709528</v>
      </c>
      <c r="AK5" s="37">
        <v>56.929035804072676</v>
      </c>
      <c r="AL5" s="53">
        <v>58.0912069205408</v>
      </c>
      <c r="AM5" s="43">
        <v>58.13163840934422</v>
      </c>
      <c r="AN5" s="43">
        <v>70.00004716867726</v>
      </c>
      <c r="AO5" s="43">
        <v>64.53035311619166</v>
      </c>
      <c r="AP5" s="43">
        <v>72.74194584083399</v>
      </c>
      <c r="AQ5" s="47">
        <v>89.33265106716554</v>
      </c>
      <c r="AR5" s="43">
        <v>81.12279928585434</v>
      </c>
      <c r="AS5" s="32">
        <v>58.53362840195476</v>
      </c>
      <c r="AT5" s="56">
        <v>0.0</v>
      </c>
      <c r="AU5" s="56">
        <v>1.0</v>
      </c>
      <c r="AV5" s="56">
        <v>0.0</v>
      </c>
      <c r="AW5" s="56">
        <v>0.0</v>
      </c>
      <c r="AX5" s="56">
        <v>1.0</v>
      </c>
      <c r="AY5" s="56">
        <v>0.0</v>
      </c>
      <c r="AZ5" s="56">
        <v>0.0</v>
      </c>
      <c r="BA5" s="56">
        <v>1.0</v>
      </c>
      <c r="BB5" s="50">
        <v>2.0</v>
      </c>
      <c r="BC5" s="56">
        <v>1.0</v>
      </c>
      <c r="BD5" s="56">
        <v>0.0</v>
      </c>
      <c r="BE5" s="56">
        <v>0.0</v>
      </c>
      <c r="BF5" s="56">
        <v>0.0</v>
      </c>
      <c r="BG5" s="56">
        <v>0.0</v>
      </c>
      <c r="BH5" s="56">
        <v>0.0</v>
      </c>
      <c r="BI5" s="56">
        <v>0.0</v>
      </c>
      <c r="BJ5" s="56">
        <v>0.0</v>
      </c>
      <c r="BK5" s="56">
        <v>0.0</v>
      </c>
      <c r="BL5" s="56">
        <v>0.0</v>
      </c>
      <c r="BM5" s="56">
        <v>0.0</v>
      </c>
      <c r="BN5" s="56">
        <v>1.0</v>
      </c>
      <c r="BO5" s="56">
        <v>0.0</v>
      </c>
      <c r="BP5" s="56">
        <v>0.0</v>
      </c>
      <c r="BQ5" s="56">
        <v>1.0</v>
      </c>
      <c r="BR5" s="56">
        <v>1.0</v>
      </c>
      <c r="BS5" s="56">
        <v>0.0</v>
      </c>
      <c r="BT5" s="56">
        <v>0.0</v>
      </c>
      <c r="BU5" s="56">
        <v>0.0</v>
      </c>
      <c r="BV5" s="56">
        <v>0.0</v>
      </c>
      <c r="BW5" s="56">
        <v>0.0</v>
      </c>
      <c r="BX5" s="56">
        <v>0.0</v>
      </c>
      <c r="BY5" s="56">
        <v>0.0</v>
      </c>
      <c r="BZ5" s="56">
        <v>0.0</v>
      </c>
      <c r="CA5" s="56">
        <v>0.0</v>
      </c>
      <c r="CB5" s="50">
        <v>2.0</v>
      </c>
      <c r="CC5" s="56">
        <v>0.0</v>
      </c>
      <c r="CD5" s="56">
        <v>1.0</v>
      </c>
      <c r="CE5" s="50">
        <v>2.0</v>
      </c>
      <c r="CF5" s="56">
        <v>1.0</v>
      </c>
      <c r="CG5" s="56">
        <v>0.0</v>
      </c>
    </row>
    <row r="6">
      <c r="A6" s="21">
        <v>959.0</v>
      </c>
      <c r="B6" s="22" t="s">
        <v>85</v>
      </c>
      <c r="C6" s="22" t="s">
        <v>98</v>
      </c>
      <c r="D6" s="23" t="s">
        <v>99</v>
      </c>
      <c r="E6" s="23"/>
      <c r="F6" s="24" t="s">
        <v>100</v>
      </c>
      <c r="G6" s="25" t="s">
        <v>101</v>
      </c>
      <c r="H6" s="24"/>
      <c r="I6" s="24"/>
      <c r="J6" s="26"/>
      <c r="K6" s="27">
        <v>72.80019885550306</v>
      </c>
      <c r="L6" s="28">
        <v>29.752626654385033</v>
      </c>
      <c r="M6" s="29">
        <v>63.434646515371966</v>
      </c>
      <c r="N6" s="44">
        <v>75.35221988097055</v>
      </c>
      <c r="O6" s="31">
        <v>82.88830451862322</v>
      </c>
      <c r="P6" s="32">
        <v>77.67143033804751</v>
      </c>
      <c r="Q6" s="31">
        <v>87.42081281872065</v>
      </c>
      <c r="R6" s="33">
        <v>54.47175609279292</v>
      </c>
      <c r="S6" s="34">
        <v>67.16837806884054</v>
      </c>
      <c r="T6" s="35">
        <v>56.89437569786274</v>
      </c>
      <c r="U6" s="36">
        <v>62.24448373025587</v>
      </c>
      <c r="V6" s="37">
        <v>67.44257339345562</v>
      </c>
      <c r="W6" s="39">
        <v>86.6336038571655</v>
      </c>
      <c r="X6" s="55">
        <v>85.69673197323826</v>
      </c>
      <c r="Y6" s="62">
        <v>98.0</v>
      </c>
      <c r="Z6" s="40">
        <v>90.34115132207606</v>
      </c>
      <c r="AA6" s="41">
        <v>94.66228474833389</v>
      </c>
      <c r="AB6" s="42">
        <v>91.83225766640244</v>
      </c>
      <c r="AC6" s="43">
        <v>72.35090355429354</v>
      </c>
      <c r="AD6" s="63">
        <v>34.828638855222856</v>
      </c>
      <c r="AE6" s="44">
        <v>75.90795543568238</v>
      </c>
      <c r="AF6" s="42">
        <v>53.616334802146135</v>
      </c>
      <c r="AG6" s="44">
        <v>39.260242111300755</v>
      </c>
      <c r="AH6" s="32">
        <v>34.52367232199206</v>
      </c>
      <c r="AI6" s="64">
        <v>48.5546224371096</v>
      </c>
      <c r="AJ6" s="65">
        <v>67.62310378957766</v>
      </c>
      <c r="AK6" s="37">
        <v>52.71950009533404</v>
      </c>
      <c r="AL6" s="43">
        <v>57.15979315960913</v>
      </c>
      <c r="AM6" s="43">
        <v>83.91390429844279</v>
      </c>
      <c r="AN6" s="43">
        <v>89.49803453348005</v>
      </c>
      <c r="AO6" s="43">
        <v>40.51338114971436</v>
      </c>
      <c r="AP6" s="43">
        <v>49.18234478114201</v>
      </c>
      <c r="AQ6" s="47">
        <v>88.12357659611965</v>
      </c>
      <c r="AR6" s="43">
        <v>63.01839095456906</v>
      </c>
      <c r="AS6" s="32">
        <v>60.31161497511999</v>
      </c>
      <c r="AT6" s="48">
        <v>0.0</v>
      </c>
      <c r="AU6" s="27">
        <v>2.0</v>
      </c>
      <c r="AV6" s="48">
        <v>1.0</v>
      </c>
      <c r="AW6" s="48">
        <v>0.0</v>
      </c>
      <c r="AX6" s="48">
        <v>3.0</v>
      </c>
      <c r="AY6" s="48">
        <v>0.0</v>
      </c>
      <c r="AZ6" s="48">
        <v>0.0</v>
      </c>
      <c r="BA6" s="48">
        <v>0.0</v>
      </c>
      <c r="BB6" s="48">
        <v>3.0</v>
      </c>
      <c r="BC6" s="48">
        <v>1.0</v>
      </c>
      <c r="BD6" s="48">
        <v>0.0</v>
      </c>
      <c r="BE6" s="27">
        <v>2.0</v>
      </c>
      <c r="BF6" s="48">
        <v>0.0</v>
      </c>
      <c r="BG6" s="48">
        <v>0.0</v>
      </c>
      <c r="BH6" s="48">
        <v>0.0</v>
      </c>
      <c r="BI6" s="48">
        <v>0.0</v>
      </c>
      <c r="BJ6" s="48">
        <v>0.0</v>
      </c>
      <c r="BK6" s="48">
        <v>3.0</v>
      </c>
      <c r="BL6" s="48">
        <v>0.0</v>
      </c>
      <c r="BM6" s="48">
        <v>1.0</v>
      </c>
      <c r="BN6" s="27">
        <v>2.0</v>
      </c>
      <c r="BO6" s="48">
        <v>1.0</v>
      </c>
      <c r="BP6" s="48">
        <v>0.0</v>
      </c>
      <c r="BQ6" s="48">
        <v>1.0</v>
      </c>
      <c r="BR6" s="48">
        <v>0.0</v>
      </c>
      <c r="BS6" s="48">
        <v>0.0</v>
      </c>
      <c r="BT6" s="48">
        <v>0.0</v>
      </c>
      <c r="BU6" s="48">
        <v>0.0</v>
      </c>
      <c r="BV6" s="48">
        <v>1.0</v>
      </c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>
        <v>0.0</v>
      </c>
      <c r="CC6" s="48">
        <v>0.0</v>
      </c>
      <c r="CD6" s="27">
        <v>2.0</v>
      </c>
      <c r="CE6" s="48">
        <v>0.0</v>
      </c>
      <c r="CF6" s="27">
        <v>2.0</v>
      </c>
      <c r="CG6" s="48">
        <v>0.0</v>
      </c>
    </row>
  </sheetData>
  <autoFilter ref="$A$1:$CC$6">
    <sortState ref="A1:CC6">
      <sortCondition ref="A1:A6"/>
      <sortCondition ref="B1:B6"/>
      <sortCondition ref="F1:F6"/>
      <sortCondition ref="G1:G6"/>
      <sortCondition ref="C1:C6"/>
    </sortState>
  </autoFilter>
  <conditionalFormatting sqref="L1:L6 J2:K6 M2:AS6">
    <cfRule type="cellIs" dxfId="1" priority="1" operator="between">
      <formula>98.5</formula>
      <formula>100</formula>
    </cfRule>
  </conditionalFormatting>
  <conditionalFormatting sqref="L1:L6 J2:K6 M2:AS6">
    <cfRule type="cellIs" dxfId="2" priority="2" operator="between">
      <formula>96.5</formula>
      <formula>98.5</formula>
    </cfRule>
  </conditionalFormatting>
  <conditionalFormatting sqref="L1:L6 J2:K6 M2:AS6">
    <cfRule type="cellIs" dxfId="3" priority="3" operator="between">
      <formula>94.5</formula>
      <formula>96.5</formula>
    </cfRule>
  </conditionalFormatting>
  <conditionalFormatting sqref="L1:L6 J2:K6 M2:AS6">
    <cfRule type="cellIs" dxfId="4" priority="4" operator="between">
      <formula>91.5</formula>
      <formula>94.5</formula>
    </cfRule>
  </conditionalFormatting>
  <conditionalFormatting sqref="L1:L6 J2:K6 M2:AS6">
    <cfRule type="cellIs" dxfId="5" priority="5" operator="between">
      <formula>89.5</formula>
      <formula>91.5</formula>
    </cfRule>
  </conditionalFormatting>
  <conditionalFormatting sqref="L1:L6 J2:K6 M2:AS6">
    <cfRule type="cellIs" dxfId="6" priority="6" operator="between">
      <formula>86.5</formula>
      <formula>89.5</formula>
    </cfRule>
  </conditionalFormatting>
  <conditionalFormatting sqref="L1:L6 J2:K6 M2:AS6">
    <cfRule type="cellIs" dxfId="7" priority="7" operator="between">
      <formula>79.5</formula>
      <formula>83.5</formula>
    </cfRule>
  </conditionalFormatting>
  <conditionalFormatting sqref="L1:L6 J2:K6 M2:AS6">
    <cfRule type="cellIs" dxfId="8" priority="8" operator="between">
      <formula>83.5</formula>
      <formula>86.5</formula>
    </cfRule>
  </conditionalFormatting>
  <conditionalFormatting sqref="L1:L6 J2:K6 M2:AS6">
    <cfRule type="cellIs" dxfId="9" priority="9" operator="between">
      <formula>69.5</formula>
      <formula>74.5</formula>
    </cfRule>
  </conditionalFormatting>
  <conditionalFormatting sqref="L1:L6 J2:K6 M2:AS6">
    <cfRule type="cellIs" dxfId="10" priority="10" operator="between">
      <formula>79.5</formula>
      <formula>74.5</formula>
    </cfRule>
  </conditionalFormatting>
  <conditionalFormatting sqref="L1:L6 J2:K6 M2:AS6">
    <cfRule type="colorScale" priority="11">
      <colorScale>
        <cfvo type="percent" val="0.5"/>
        <cfvo type="percent" val="50"/>
        <cfvo type="percent" val="69.5"/>
        <color rgb="FF000000"/>
        <color rgb="FF180C00"/>
        <color rgb="FF60482E"/>
      </colorScale>
    </cfRule>
  </conditionalFormatting>
  <conditionalFormatting sqref="AU1:AV6 BA1:BA6 BL1:BL6 AT2:AT6 AW2:AZ6 BB2:BK6 BM2:CG6">
    <cfRule type="cellIs" dxfId="11" priority="12" operator="equal">
      <formula>5</formula>
    </cfRule>
  </conditionalFormatting>
  <conditionalFormatting sqref="AU1:AV6 AT2:AT6 AW2:CG6">
    <cfRule type="cellIs" dxfId="1" priority="13" operator="equal">
      <formula>4</formula>
    </cfRule>
  </conditionalFormatting>
  <conditionalFormatting sqref="AU1:AV6 AT2:AT6 AW2:CG6">
    <cfRule type="cellIs" dxfId="9" priority="14" operator="equal">
      <formula>2</formula>
    </cfRule>
  </conditionalFormatting>
  <conditionalFormatting sqref="AU1:AV6 AT2:AT6 AW2:CG6">
    <cfRule type="cellIs" dxfId="10" priority="15" operator="equal">
      <formula>3</formula>
    </cfRule>
  </conditionalFormatting>
  <conditionalFormatting sqref="AU1:AV6 AT2:AT6 AW2:CG6">
    <cfRule type="cellIs" dxfId="12" priority="16" operator="equal">
      <formula>1</formula>
    </cfRule>
  </conditionalFormatting>
  <conditionalFormatting sqref="AR3">
    <cfRule type="colorScale" priority="17">
      <colorScale>
        <cfvo type="percent" val="0.005"/>
        <cfvo type="percent" val="0.695"/>
        <color rgb="FFFFFFFF"/>
        <color rgb="FF60482E"/>
      </colorScale>
    </cfRule>
  </conditionalFormatting>
  <conditionalFormatting sqref="L1:L6 AU1:AV6 D2:E6 J2:K6 M2:AT6 AW2:CG6">
    <cfRule type="cellIs" dxfId="13" priority="18" operator="lessThanOrEqual">
      <formula>0</formula>
    </cfRule>
  </conditionalFormatting>
  <conditionalFormatting sqref="AU1:AV6 D2:E6 J2:AT6 AW2:CG6">
    <cfRule type="cellIs" dxfId="14" priority="19" operator="between">
      <formula>0.985</formula>
      <formula>1.001</formula>
    </cfRule>
  </conditionalFormatting>
  <conditionalFormatting sqref="AU1:AV6 D2:E6 J2:AT6 AW2:CG6">
    <cfRule type="cellIs" dxfId="2" priority="20" operator="between">
      <formula>0.965</formula>
      <formula>0.985</formula>
    </cfRule>
  </conditionalFormatting>
  <conditionalFormatting sqref="AU1:AV6 D2:E6 J2:AT6 AW2:CG6">
    <cfRule type="cellIs" dxfId="3" priority="21" operator="between">
      <formula>0.945</formula>
      <formula>0.965</formula>
    </cfRule>
  </conditionalFormatting>
  <conditionalFormatting sqref="AU1:AV6 D2:E6 J2:AT6 AW2:CG6">
    <cfRule type="cellIs" dxfId="4" priority="22" operator="between">
      <formula>0.915</formula>
      <formula>0.945</formula>
    </cfRule>
  </conditionalFormatting>
  <conditionalFormatting sqref="AU1:AV6 D2:E6 J2:AT6 AW2:CG6">
    <cfRule type="cellIs" dxfId="5" priority="23" operator="between">
      <formula>0.895</formula>
      <formula>0.915</formula>
    </cfRule>
  </conditionalFormatting>
  <conditionalFormatting sqref="AU1:AV6 D2:E6 J2:AT6 AW2:CG6">
    <cfRule type="cellIs" dxfId="6" priority="24" operator="between">
      <formula>0.865</formula>
      <formula>0.895</formula>
    </cfRule>
  </conditionalFormatting>
  <conditionalFormatting sqref="AU1:AV6 D2:E6 J2:AT6 AW2:CG6">
    <cfRule type="cellIs" dxfId="7" priority="25" operator="between">
      <formula>0.795</formula>
      <formula>0.835</formula>
    </cfRule>
  </conditionalFormatting>
  <conditionalFormatting sqref="AU1:AV6 D2:E6 J2:AT6 AW2:CG6">
    <cfRule type="cellIs" dxfId="8" priority="26" operator="between">
      <formula>0.835</formula>
      <formula>0.865</formula>
    </cfRule>
  </conditionalFormatting>
  <conditionalFormatting sqref="AU1:AV6 D2:E6 J2:AT6 AW2:CG6">
    <cfRule type="cellIs" dxfId="9" priority="27" operator="between">
      <formula>0.695</formula>
      <formula>0.745</formula>
    </cfRule>
  </conditionalFormatting>
  <conditionalFormatting sqref="AU1:AV6 D2:E6 J2:AT6 AW2:CG6">
    <cfRule type="cellIs" dxfId="10" priority="28" operator="between">
      <formula>0.795</formula>
      <formula>0.745</formula>
    </cfRule>
  </conditionalFormatting>
  <conditionalFormatting sqref="AU1:AV6 D2:E6 J2:AT6 AW2:CG6">
    <cfRule type="colorScale" priority="29">
      <colorScale>
        <cfvo type="percent" val="0.005"/>
        <cfvo type="percent" val="0.5"/>
        <cfvo type="percent" val="0.695"/>
        <color rgb="FF000000"/>
        <color rgb="FF180C00"/>
        <color rgb="FF60482E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7.75"/>
    <col customWidth="1" min="3" max="3" width="23.13"/>
    <col customWidth="1" min="4" max="4" width="12.38"/>
    <col hidden="1" min="26" max="26" width="12.63"/>
    <col customWidth="1" hidden="1" min="27" max="27" width="12.88"/>
    <col hidden="1" min="28" max="29" width="12.63"/>
    <col customWidth="1" hidden="1" min="30" max="32" width="14.38"/>
    <col hidden="1" min="33" max="35" width="12.63"/>
    <col customWidth="1" hidden="1" min="36" max="38" width="14.38"/>
    <col hidden="1" min="39" max="39" width="12.63"/>
    <col hidden="1" min="41" max="55" width="12.63"/>
    <col hidden="1" min="57" max="66" width="12.63"/>
    <col hidden="1" min="68" max="76" width="12.63"/>
    <col hidden="1" min="78" max="87" width="12.63"/>
    <col hidden="1" min="89" max="100" width="12.63"/>
    <col hidden="1" min="102" max="103" width="12.63"/>
    <col customWidth="1" hidden="1" min="104" max="104" width="15.38"/>
    <col customWidth="1" hidden="1" min="105" max="105" width="16.13"/>
    <col customWidth="1" min="106" max="106" width="16.13"/>
  </cols>
  <sheetData>
    <row r="1" ht="48.0" customHeight="1">
      <c r="A1" s="66" t="s">
        <v>0</v>
      </c>
      <c r="B1" s="67" t="s">
        <v>1</v>
      </c>
      <c r="C1" s="67" t="s">
        <v>2</v>
      </c>
      <c r="D1" s="68" t="s">
        <v>102</v>
      </c>
      <c r="E1" s="69"/>
      <c r="F1" s="69" t="s">
        <v>10</v>
      </c>
      <c r="G1" s="70" t="s">
        <v>103</v>
      </c>
      <c r="H1" s="71" t="s">
        <v>104</v>
      </c>
      <c r="I1" s="70" t="s">
        <v>105</v>
      </c>
      <c r="J1" s="70" t="s">
        <v>106</v>
      </c>
      <c r="K1" s="70" t="s">
        <v>107</v>
      </c>
      <c r="L1" s="70" t="s">
        <v>108</v>
      </c>
      <c r="M1" s="70" t="s">
        <v>108</v>
      </c>
      <c r="N1" s="70" t="s">
        <v>108</v>
      </c>
      <c r="O1" s="70" t="s">
        <v>109</v>
      </c>
      <c r="P1" s="72" t="s">
        <v>110</v>
      </c>
      <c r="Q1" s="73" t="s">
        <v>111</v>
      </c>
      <c r="R1" s="74" t="s">
        <v>112</v>
      </c>
      <c r="S1" s="74" t="s">
        <v>113</v>
      </c>
      <c r="T1" s="74" t="s">
        <v>114</v>
      </c>
      <c r="U1" s="75" t="s">
        <v>115</v>
      </c>
      <c r="V1" s="76" t="s">
        <v>116</v>
      </c>
      <c r="W1" s="76" t="s">
        <v>117</v>
      </c>
      <c r="X1" s="77" t="s">
        <v>118</v>
      </c>
      <c r="Y1" s="78" t="s">
        <v>119</v>
      </c>
      <c r="Z1" s="2"/>
      <c r="AA1" s="69" t="s">
        <v>120</v>
      </c>
      <c r="AB1" s="73" t="s">
        <v>121</v>
      </c>
      <c r="AC1" s="73" t="s">
        <v>122</v>
      </c>
      <c r="AD1" s="73" t="s">
        <v>123</v>
      </c>
      <c r="AE1" s="79" t="s">
        <v>124</v>
      </c>
      <c r="AF1" s="79" t="s">
        <v>125</v>
      </c>
      <c r="AG1" s="74" t="s">
        <v>126</v>
      </c>
      <c r="AH1" s="74" t="s">
        <v>127</v>
      </c>
      <c r="AI1" s="74" t="s">
        <v>128</v>
      </c>
      <c r="AJ1" s="79" t="s">
        <v>129</v>
      </c>
      <c r="AK1" s="74" t="s">
        <v>130</v>
      </c>
      <c r="AL1" s="79" t="s">
        <v>131</v>
      </c>
      <c r="AM1" s="76" t="s">
        <v>132</v>
      </c>
      <c r="AN1" s="78" t="s">
        <v>133</v>
      </c>
      <c r="AO1" s="66"/>
      <c r="AP1" s="69" t="s">
        <v>134</v>
      </c>
      <c r="AQ1" s="72" t="s">
        <v>135</v>
      </c>
      <c r="AR1" s="72" t="s">
        <v>136</v>
      </c>
      <c r="AS1" s="71" t="s">
        <v>104</v>
      </c>
      <c r="AT1" s="72" t="s">
        <v>125</v>
      </c>
      <c r="AU1" s="72" t="s">
        <v>123</v>
      </c>
      <c r="AV1" s="80" t="s">
        <v>124</v>
      </c>
      <c r="AW1" s="80" t="s">
        <v>137</v>
      </c>
      <c r="AX1" s="80" t="s">
        <v>138</v>
      </c>
      <c r="AY1" s="80" t="s">
        <v>139</v>
      </c>
      <c r="AZ1" s="80" t="s">
        <v>140</v>
      </c>
      <c r="BA1" s="80" t="s">
        <v>141</v>
      </c>
      <c r="BB1" s="80" t="s">
        <v>110</v>
      </c>
      <c r="BC1" s="80" t="s">
        <v>111</v>
      </c>
      <c r="BD1" s="78" t="s">
        <v>142</v>
      </c>
      <c r="BE1" s="66"/>
      <c r="BF1" s="69" t="s">
        <v>143</v>
      </c>
      <c r="BG1" s="81" t="s">
        <v>144</v>
      </c>
      <c r="BH1" s="81" t="s">
        <v>145</v>
      </c>
      <c r="BI1" s="81" t="s">
        <v>146</v>
      </c>
      <c r="BJ1" s="82" t="s">
        <v>147</v>
      </c>
      <c r="BK1" s="83" t="s">
        <v>148</v>
      </c>
      <c r="BL1" s="83" t="s">
        <v>149</v>
      </c>
      <c r="BM1" s="84" t="s">
        <v>148</v>
      </c>
      <c r="BN1" s="84" t="s">
        <v>150</v>
      </c>
      <c r="BO1" s="78" t="s">
        <v>151</v>
      </c>
      <c r="BP1" s="66"/>
      <c r="BQ1" s="69" t="s">
        <v>151</v>
      </c>
      <c r="BR1" s="81" t="s">
        <v>152</v>
      </c>
      <c r="BS1" s="81" t="s">
        <v>153</v>
      </c>
      <c r="BT1" s="82" t="s">
        <v>147</v>
      </c>
      <c r="BU1" s="85" t="s">
        <v>154</v>
      </c>
      <c r="BV1" s="83" t="s">
        <v>155</v>
      </c>
      <c r="BW1" s="84" t="s">
        <v>148</v>
      </c>
      <c r="BX1" s="84" t="s">
        <v>150</v>
      </c>
      <c r="BY1" s="78" t="s">
        <v>156</v>
      </c>
      <c r="BZ1" s="66"/>
      <c r="CA1" s="69" t="s">
        <v>156</v>
      </c>
      <c r="CB1" s="81" t="s">
        <v>149</v>
      </c>
      <c r="CC1" s="82" t="s">
        <v>155</v>
      </c>
      <c r="CD1" s="82" t="s">
        <v>148</v>
      </c>
      <c r="CE1" s="82" t="s">
        <v>147</v>
      </c>
      <c r="CF1" s="82" t="s">
        <v>150</v>
      </c>
      <c r="CG1" s="85" t="s">
        <v>157</v>
      </c>
      <c r="CH1" s="84" t="s">
        <v>158</v>
      </c>
      <c r="CI1" s="84" t="s">
        <v>159</v>
      </c>
      <c r="CJ1" s="78" t="s">
        <v>160</v>
      </c>
      <c r="CK1" s="66"/>
      <c r="CL1" s="69" t="s">
        <v>160</v>
      </c>
      <c r="CM1" s="86" t="s">
        <v>161</v>
      </c>
      <c r="CN1" s="81" t="s">
        <v>162</v>
      </c>
      <c r="CO1" s="82" t="s">
        <v>163</v>
      </c>
      <c r="CP1" s="82" t="s">
        <v>164</v>
      </c>
      <c r="CQ1" s="87" t="s">
        <v>165</v>
      </c>
      <c r="CR1" s="82" t="s">
        <v>166</v>
      </c>
      <c r="CS1" s="82" t="s">
        <v>167</v>
      </c>
      <c r="CT1" s="84" t="s">
        <v>117</v>
      </c>
      <c r="CU1" s="84" t="s">
        <v>168</v>
      </c>
      <c r="CV1" s="88" t="s">
        <v>159</v>
      </c>
      <c r="CW1" s="78" t="s">
        <v>24</v>
      </c>
      <c r="CX1" s="66"/>
      <c r="CY1" s="69" t="s">
        <v>24</v>
      </c>
      <c r="CZ1" s="82" t="s">
        <v>169</v>
      </c>
      <c r="DA1" s="82" t="s">
        <v>170</v>
      </c>
      <c r="DB1" s="81" t="s">
        <v>171</v>
      </c>
    </row>
    <row r="2">
      <c r="A2" s="89">
        <v>708.0</v>
      </c>
      <c r="B2" s="90" t="s">
        <v>85</v>
      </c>
      <c r="C2" s="24" t="s">
        <v>86</v>
      </c>
      <c r="D2" s="91">
        <f t="shared" ref="D2:D6" si="1">IF(E2 &lt;= PERCENTILE(E:E, 0.25),
   25 + (E2 - MIN(E:E)) * (66 - 25) / (PERCENTILE(E:E, 0.25) - MIN(E:E)),
IF(E2 &lt;= PERCENTILE(E:E, 0.5),
   66 + (E2 - PERCENTILE(E:E, 0.25)) * (73 - 66) / (PERCENTILE(E:E, 0.5) - PERCENTILE(E:E, 0.25)),
IF(E2 &lt;= PERCENTILE(E:E, 0.75),
   73 + (E2 - PERCENTILE(E:E, 0.5)) * (80 - 73) / (PERCENTILE(E:E, 0.75) - PERCENTILE(E:E, 0.5)),
IF(E2 &lt;= PERCENTILE(E:E, 0.85),
   80 + (E2 - PERCENTILE(E:E, 0.75)) * (84.45 - 80) / (PERCENTILE(E:E, 0.85) - PERCENTILE(E:E, 0.75)),
IF(E2 &lt;= PERCENTILE(E:E, 0.92),
   84.45 + (E2 - PERCENTILE(E:E, 0.85)) * (89 - 84.45) / (PERCENTILE(E:E, 0.92) - PERCENTILE(E:E, 0.85)),
IF(E2 &lt;= PERCENTILE(E:E, 0.96),
   89 + (E2 - PERCENTILE(E:E, 0.92)) * (94 - 89) / (PERCENTILE(E:E, 0.96) - PERCENTILE(E:E, 0.92)),
IF(E2 &lt;= PERCENTILE(E:E, 0.99),
   94 + (E2 - PERCENTILE(E:E, 0.96)) * (98 - 94) / (PERCENTILE(E:E, 0.99) - PERCENTILE(E:E, 0.96)),
   98 + (E2 - PERCENTILE(E:E, 0.99)) * (100 - 98) / (PERCENTILE(E:E, 1) - PERCENTILE(E:E, 0.99))
)))))))
</f>
        <v>25</v>
      </c>
      <c r="E2" s="92">
        <f t="shared" ref="E2:E6" si="2">(F2-MEDIAN(F:F))/STDEV(F:F)</f>
        <v>-1.292881878</v>
      </c>
      <c r="F2" s="92">
        <f t="shared" ref="F2:F6" si="3">iferror(if(ISBLANK(G2:Q2),-0.5,AVERAGE(G2:Q2))*0.8+iferror(AVERAGE(R2:U2, 0)*0.15, 0)+iferror(AVERAGE(V2:X2, 0)*0.5, 0), -1)</f>
        <v>-0.8535078751</v>
      </c>
      <c r="G2" s="93">
        <v>-1.009553077748243</v>
      </c>
      <c r="H2" s="94">
        <v>-1.0846131182150947</v>
      </c>
      <c r="I2" s="93">
        <v>-1.0530508268243322</v>
      </c>
      <c r="J2" s="93">
        <v>-1.019608883646146</v>
      </c>
      <c r="K2" s="93">
        <v>-1.4463518274335108</v>
      </c>
      <c r="L2" s="93">
        <v>-0.6571290395186046</v>
      </c>
      <c r="M2" s="93">
        <v>-0.6571290395186046</v>
      </c>
      <c r="N2" s="93">
        <v>-0.6571290395186046</v>
      </c>
      <c r="O2" s="93">
        <v>0.1796218474029822</v>
      </c>
      <c r="P2" s="94">
        <v>-0.8131430739231867</v>
      </c>
      <c r="Q2" s="93">
        <v>-0.7036954935513667</v>
      </c>
      <c r="R2" s="93">
        <v>-1.1155261898234925</v>
      </c>
      <c r="S2" s="93">
        <v>-0.451907963252229</v>
      </c>
      <c r="T2" s="93">
        <v>0.40596451920341664</v>
      </c>
      <c r="U2" s="93">
        <v>-0.5388853715877076</v>
      </c>
      <c r="V2" s="93">
        <v>-0.24619974759048377</v>
      </c>
      <c r="W2" s="93">
        <v>-0.913121510713184</v>
      </c>
      <c r="X2" s="93">
        <v>-0.06980180803039907</v>
      </c>
      <c r="Y2" s="95">
        <f t="shared" ref="Y2:Y6" si="4">IF(Z2 &lt;= PERCENTILE(Z:Z, 0.25),
   25 + (Z2 - MIN(Z:Z)) * (30 - 25) / (PERCENTILE(Z:Z, 0.25) - MIN(Z:Z)),
IF(Z2 &lt;= PERCENTILE(Z:Z, 0.4),
   30 + (Z2 - PERCENTILE(Z:Z, 0.25)) * (40 - 30) / (PERCENTILE(Z:Z, 0.4) - PERCENTILE(Z:Z, 0.25)),
IF(Z2 &lt;= PERCENTILE(Z:Z, 0.55),
   40 + (Z2 - PERCENTILE(Z:Z, 0.4)) * (50 - 40) / (PERCENTILE(Z:Z, 0.55) - PERCENTILE(Z:Z, 0.4)),
IF(Z2 &lt;= PERCENTILE(Z:Z, 0.7),
   50 + (Z2 - PERCENTILE(Z:Z, 0.55)) * (65 - 50) / (PERCENTILE(Z:Z, 0.7) - PERCENTILE(Z:Z, 0.55)),
IF(Z2 &lt;= PERCENTILE(Z:Z, 0.85),
   65 + (Z2 - PERCENTILE(Z:Z, 0.7)) * (80 - 65) / (PERCENTILE(Z:Z, 0.85) - PERCENTILE(Z:Z, 0.7)),
IF(Z2 &lt;= PERCENTILE(Z:Z, 0.95),
   80 + (Z2 - PERCENTILE(Z:Z, 0.85)) * (90 - 80) / (PERCENTILE(Z:Z, 0.95) - PERCENTILE(Z:Z, 0.85)),
IF(Z2 &lt;= PERCENTILE(Z:Z, 0.99),
   90 + (Z2 - PERCENTILE(Z:Z, 0.95)) * (96 - 90) / (PERCENTILE(Z:Z, 0.99) - PERCENTILE(Z:Z, 0.95)),
   96 + (Z2 - PERCENTILE(Z:Z, 0.99)) * (100 - 96) / (PERCENTILE(Z:Z, 1) - PERCENTILE(Z:Z, 0.99))
)))))))
</f>
        <v>100</v>
      </c>
      <c r="Z2" s="94">
        <f t="shared" ref="Z2:Z6" si="5">(AA2-MEDIAN(AA:AA))/STDEV(AA:AA)</f>
        <v>2.021910697</v>
      </c>
      <c r="AA2" s="94">
        <f t="shared" ref="AA2:AA6" si="6">IFERROR(AVERAGE(AB2:AD2)*0.7+AVERAGE(AE2:AL2)*0.25+AM2*0.05, -1)</f>
        <v>0.01262882257</v>
      </c>
      <c r="AB2" s="93">
        <v>0.031148611246160047</v>
      </c>
      <c r="AC2" s="93">
        <v>-6.022097208320624E-4</v>
      </c>
      <c r="AG2" s="93">
        <v>0.15826429181784252</v>
      </c>
      <c r="AH2" s="93">
        <v>-1.1667743715126069</v>
      </c>
      <c r="AI2" s="93">
        <v>-0.003899204064858839</v>
      </c>
      <c r="AJ2" s="93">
        <v>0.3144166365192731</v>
      </c>
      <c r="AK2" s="93">
        <v>-1.1854735153553653</v>
      </c>
      <c r="AL2" s="93">
        <v>1.289887320795803</v>
      </c>
      <c r="AM2" s="93">
        <v>0.5334006754653359</v>
      </c>
      <c r="AN2" s="96">
        <f t="shared" ref="AN2:AN6" si="7">IF(AO2 &lt;= PERCENTILE(AO:AO, 0.15),
   25 + (AO2 - MIN(AO:AO)) * (41 - 25) / (PERCENTILE(AO:AO, 0.15) - MIN(AO:AO)),
IF(AO2 &lt;= PERCENTILE(AO:AO, 0.3),
   41 + (AO2 - PERCENTILE(AO:AO, 0.15)) * (55 - 41) / (PERCENTILE(AO:AO, 0.3) - PERCENTILE(AO:AO, 0.15)),
IF(AO2 &lt;= PERCENTILE(AO:AO, 0.5),
   55 + (AO2 - PERCENTILE(AO:AO, 0.3)) * (65 - 55) / (PERCENTILE(AO:AO, 0.5) - PERCENTILE(AO:AO, 0.3)),
IF(AO2 &lt;= PERCENTILE(AO:AO, 0.7),
   65 + (AO2 - PERCENTILE(AO:AO, 0.5)) * (75 - 65) / (PERCENTILE(AO:AO, 0.7) - PERCENTILE(AO:AO, 0.5)),
IF(AO2 &lt;= PERCENTILE(AO:AO, 0.85),
   75 + (AO2 - PERCENTILE(AO:AO, 0.7)) * (80 - 75) / (PERCENTILE(AO:AO, 0.85) - PERCENTILE(AO:AO, 0.7)),
IF(AO2 &lt;= PERCENTILE(AO:AO, 0.95),
   80 + (AO2 - PERCENTILE(AO:AO, 0.85)) * (90 - 80) / (PERCENTILE(AO:AO, 0.95) - PERCENTILE(AO:AO, 0.85)),
   90 + (AO2 - PERCENTILE(AO:AO, 0.95)) * (100 - 90) / (PERCENTILE(AO:AO, 1) - PERCENTILE(AO:AO, 0.95))
))))))
</f>
        <v>65</v>
      </c>
      <c r="AO2" s="94">
        <f t="shared" ref="AO2:AO6" si="8">(AP2-MEDIAN(AP:AP))/STDEV(AP:AP)</f>
        <v>0</v>
      </c>
      <c r="AP2" s="94">
        <f t="shared" ref="AP2:AP6" si="9">IFERROR(AQ2*0.4+AVERAGE(AR2:AU2)*0.45+AVERAGE(AV2:BC2)*0.15, -1)</f>
        <v>-0.3915939828</v>
      </c>
      <c r="AQ2" s="93">
        <v>-0.041478275311456037</v>
      </c>
      <c r="AR2" s="93">
        <v>-0.07863974020651258</v>
      </c>
      <c r="AS2" s="94">
        <v>-1.0846131182150947</v>
      </c>
      <c r="AT2" s="94"/>
      <c r="AU2" s="94"/>
      <c r="AV2" s="94"/>
      <c r="AW2" s="94"/>
      <c r="AX2" s="94"/>
      <c r="AY2" s="94"/>
      <c r="AZ2" s="94"/>
      <c r="BA2" s="94"/>
      <c r="BB2" s="94">
        <v>-0.8096342262676153</v>
      </c>
      <c r="BC2" s="94">
        <v>-0.7006428342669376</v>
      </c>
      <c r="BD2" s="97">
        <f t="shared" ref="BD2:BD6" si="10">IF(BE2 &lt;= PERCENTILE(BE:BE, 0.05),
   25 + (BE2 - MIN(BE:BE)) * (26 - 25) / (PERCENTILE(BE:BE, 0.05) - MIN(BE:BE)),
IF(BE2 &lt;= PERCENTILE(BE:BE, 0.15),
   26 + (BE2 - PERCENTILE(BE:BE, 0.05)) * (28 - 26) / (PERCENTILE(BE:BE, 0.15) - PERCENTILE(BE:BE, 0.05)),
IF(BE2 &lt;= PERCENTILE(BE:BE, 0.25),
   28 + (BE2 - PERCENTILE(BE:BE, 0.15)) * (35 - 28) / (PERCENTILE(BE:BE, 0.25) - PERCENTILE(BE:BE, 0.15)),
IF(BE2 &lt;= PERCENTILE(BE:BE, 0.4),
   35 + (BE2 - PERCENTILE(BE:BE, 0.25)) * (44 - 35) / (PERCENTILE(BE:BE, 0.4) - PERCENTILE(BE:BE, 0.25)),
IF(BE2 &lt;= PERCENTILE(BE:BE, 0.6),
   44 + (BE2 - PERCENTILE(BE:BE, 0.4)) * (56 - 44) / (PERCENTILE(BE:BE, 0.6) - PERCENTILE(BE:BE, 0.4)),
IF(BE2 &lt;= PERCENTILE(BE:BE, 0.8),
   56 + (BE2 - PERCENTILE(BE:BE, 0.6)) * (69 - 56) / (PERCENTILE(BE:BE, 0.8) - PERCENTILE(BE:BE, 0.6)),
IF(BE2 &lt;= PERCENTILE(BE:BE, 0.95),
   69 + (BE2 - PERCENTILE(BE:BE, 0.8)) * (86 - 69) / (PERCENTILE(BE:BE, 0.95) - PERCENTILE(BE:BE, 0.8)),
   86 + (BE2 - PERCENTILE(BE:BE, 0.95)) * (100 - 86) / (PERCENTILE(BE:BE, 1) - PERCENTILE(BE:BE, 0.95))
)))))))
</f>
        <v>100</v>
      </c>
      <c r="BE2" s="94">
        <f t="shared" ref="BE2:BE6" si="11">(BF2-AVERAGE(BF:BF))/STDEV(BF:BF)</f>
        <v>1.278248848</v>
      </c>
      <c r="BF2" s="94">
        <f t="shared" ref="BF2:BF6" si="12">IFERROR(AVERAGE(BG2:BJ2),"")*0.9+IFERROR(AVERAGE(BK2:BN2), 0)*0.1</f>
        <v>0.0611399124</v>
      </c>
      <c r="BG2" s="93">
        <v>-0.20065135586614544</v>
      </c>
      <c r="BH2" s="93">
        <v>-0.18072242100310665</v>
      </c>
      <c r="BI2" s="93">
        <v>0.34369438920997775</v>
      </c>
      <c r="BJ2" s="93">
        <v>0.26364684585339626</v>
      </c>
      <c r="BK2" s="93">
        <v>-0.182141610851279</v>
      </c>
      <c r="BL2" s="93">
        <v>0.9154582083090225</v>
      </c>
      <c r="BM2" s="93">
        <v>-0.17910011454125552</v>
      </c>
      <c r="BN2" s="93">
        <v>-0.14232711050500665</v>
      </c>
      <c r="BO2" s="97">
        <f t="shared" ref="BO2:BO6" si="13">IF(BP2 &lt;= PERCENTILE(BP:BP, 0.1),
   25 + (BP2 - MIN(BP:BP)) * (34 - 25) / (PERCENTILE(BP:BP, 0.1) - MIN(BP:BP)),
IF(BP2 &lt;= PERCENTILE(BP:BP, 0.2),
   34 + (BP2 - PERCENTILE(BP:BP, 0.1)) * (41 - 34) / (PERCENTILE(BP:BP, 0.2) - PERCENTILE(BP:BP, 0.1)),
IF(BP2 &lt;= PERCENTILE(BP:BP, 0.35),
   41 + (BP2 - PERCENTILE(BP:BP, 0.2)) * (49 - 41) / (PERCENTILE(BP:BP, 0.35) - PERCENTILE(BP:BP, 0.2)),
IF(BP2 &lt;= PERCENTILE(BP:BP, 0.55),
   49 + (BP2 - PERCENTILE(BP:BP, 0.35)) * (58 - 49) / (PERCENTILE(BP:BP, 0.55) - PERCENTILE(BP:BP, 0.35)),
IF(BP2 &lt;= PERCENTILE(BP:BP, 0.75),
   58 + (BP2 - PERCENTILE(BP:BP, 0.55)) * (67 - 58) / (PERCENTILE(BP:BP, 0.75) - PERCENTILE(BP:BP, 0.55)),
IF(BP2 &lt;= PERCENTILE(BP:BP, 0.88),
   67 + (BP2 - PERCENTILE(BP:BP, 0.75)) * (78 - 67) / (PERCENTILE(BP:BP, 0.88) - PERCENTILE(BP:BP, 0.75)),
IF(BP2 &lt;= PERCENTILE(BP:BP, 0.96),
   78 + (BP2 - PERCENTILE(BP:BP, 0.88)) * (88 - 78) / (PERCENTILE(BP:BP, 0.96) - PERCENTILE(BP:BP, 0.88)),
   88 + (BP2 - PERCENTILE(BP:BP, 0.96)) * (100 - 88) / (PERCENTILE(BP:BP, 1) - PERCENTILE(BP:BP, 0.96))
)))))))
</f>
        <v>57.97377464</v>
      </c>
      <c r="BP2" s="92">
        <f t="shared" ref="BP2:BP6" si="14">(BQ2-AVERAGE(BQ:BQ))/STDEV(BQ:BQ)</f>
        <v>0.4752859467</v>
      </c>
      <c r="BQ2" s="93">
        <f t="shared" ref="BQ2:BQ6" si="15">BR2*0.3+BS2*0.3+BT2*0.3+IFERROR(AVERAGE(BU2:BX2)*0.1, 0)</f>
        <v>0.008625524935</v>
      </c>
      <c r="BR2" s="93">
        <v>-0.19134729489186608</v>
      </c>
      <c r="BS2" s="93">
        <v>-0.17153482343364562</v>
      </c>
      <c r="BT2" s="93">
        <v>0.26364684585339626</v>
      </c>
      <c r="BU2" s="93">
        <v>0.028676406161646413</v>
      </c>
      <c r="BV2" s="93">
        <v>1.8285950859420974</v>
      </c>
      <c r="BW2" s="93">
        <v>-0.17910011454125552</v>
      </c>
      <c r="BX2" s="93">
        <v>-0.14232711050500665</v>
      </c>
      <c r="BY2" s="98">
        <f t="shared" ref="BY2:BY6" si="16">IF(BZ2 &lt;= PERCENTILE(BZ:BZ, 0.1),
   25 + (BZ2 - MIN(BZ:BZ)) * (29 - 25) / (PERCENTILE(BZ:BZ, 0.1) - MIN(BZ:BZ)),
IF(BZ2 &lt;= PERCENTILE(BZ:BZ, 0.2),
   29 + (BZ2 - PERCENTILE(BZ:BZ, 0.1)) * (36 - 29) / (PERCENTILE(BZ:BZ, 0.2) - PERCENTILE(BZ:BZ, 0.1)),
IF(BZ2 &lt;= PERCENTILE(BZ:BZ, 0.3),
   36 + (BZ2 - PERCENTILE(BZ:BZ, 0.2)) * (43 - 36) / (PERCENTILE(BZ:BZ, 0.3) - PERCENTILE(BZ:BZ, 0.2)),
IF(BZ2 &lt;= PERCENTILE(BZ:BZ, 0.4),
   43 + (BZ2 - PERCENTILE(BZ:BZ, 0.3)) * (49 - 43) / (PERCENTILE(BZ:BZ, 0.4) - PERCENTILE(BZ:BZ, 0.3)),
IF(BZ2 &lt;= PERCENTILE(BZ:BZ, 0.5),
   49 + (BZ2 - PERCENTILE(BZ:BZ, 0.4)) * (55 - 49) / (PERCENTILE(BZ:BZ, 0.5) - PERCENTILE(BZ:BZ, 0.4)),
IF(BZ2 &lt;= PERCENTILE(BZ:BZ, 0.6),
   55 + (BZ2 - PERCENTILE(BZ:BZ, 0.5)) * (60 - 55) / (PERCENTILE(BZ:BZ, 0.6) - PERCENTILE(BZ:BZ, 0.5)),
IF(BZ2 &lt;= PERCENTILE(BZ:BZ, 0.7),
   60 + (BZ2 - PERCENTILE(BZ:BZ, 0.6)) * (66 - 60) / (PERCENTILE(BZ:BZ, 0.7) - PERCENTILE(BZ:BZ, 0.6)),
IF(BZ2 &lt;= PERCENTILE(BZ:BZ, 0.8),
   66 + (BZ2 - PERCENTILE(BZ:BZ, 0.7)) * (71 - 66) / (PERCENTILE(BZ:BZ, 0.8) - PERCENTILE(BZ:BZ, 0.7)),
IF(BZ2 &lt;= PERCENTILE(BZ:BZ, 0.9),
   71 + (BZ2 - PERCENTILE(BZ:BZ, 0.8)) * (81 - 71) / (PERCENTILE(BZ:BZ, 0.9) - PERCENTILE(BZ:BZ, 0.8)),
IF(BZ2 &lt;= PERCENTILE(BZ:BZ, 0.95),
   81 + (BZ2 - PERCENTILE(BZ:BZ, 0.9)) * (88 - 81) / (PERCENTILE(BZ:BZ, 0.95) - PERCENTILE(BZ:BZ, 0.9)),
   88 + (BZ2 - PERCENTILE(BZ:BZ, 0.95)) * (100 - 88) / (PERCENTILE(BZ:BZ, 1) - PERCENTILE(BZ:BZ, 0.95))
))))))))))
</f>
        <v>69.34213388</v>
      </c>
      <c r="BZ2" s="94">
        <f t="shared" ref="BZ2:BZ6" si="17">(CA2-MEDIAN(CA:CA))/STDEV(CA:CA)</f>
        <v>0.8992264541</v>
      </c>
      <c r="CA2" s="94">
        <f t="shared" ref="CA2:CA6" si="18">IFERROR(AVERAGE(CB2:CF2)*0.9+AVERAGE(CG2:CI2)*0.1, -1)</f>
        <v>0.4341758003</v>
      </c>
      <c r="CB2" s="93">
        <v>0.9154582083090225</v>
      </c>
      <c r="CC2" s="93">
        <v>1.8469333723555599</v>
      </c>
      <c r="CD2" s="93">
        <v>-0.182141610851279</v>
      </c>
      <c r="CE2" s="93">
        <v>0.26364684585339626</v>
      </c>
      <c r="CF2" s="93">
        <v>-0.14232711050500665</v>
      </c>
      <c r="CG2" s="93">
        <v>0.3589090943546471</v>
      </c>
      <c r="CH2" s="93">
        <v>-2.1493834474074385</v>
      </c>
      <c r="CI2" s="93">
        <v>0.22727195446483778</v>
      </c>
      <c r="CJ2" s="99">
        <f t="shared" ref="CJ2:CJ6" si="19">IF(CK2 &lt;= PERCENTILE(CK:CK, 0.1),
   25 + (CK2 - MIN(CK:CK)) * (40 - 25) / (PERCENTILE(CK:CK, 0.1) - MIN(CK:CK)),
IF(CK2 &lt;= PERCENTILE(CK:CK, 0.2),
   40 + (CK2 - PERCENTILE(CK:CK, 0.1)) * (47 - 40) / (PERCENTILE(CK:CK, 0.2) - PERCENTILE(CK:CK, 0.1)),
IF(CK2 &lt;= PERCENTILE(CK:CK, 0.3),
   47 + (CK2 - PERCENTILE(CK:CK, 0.2)) * (50 - 47) / (PERCENTILE(CK:CK, 0.3) - PERCENTILE(CK:CK, 0.2)),
IF(CK2 &lt;= PERCENTILE(CK:CK, 0.4),
   50 + (CK2 - PERCENTILE(CK:CK, 0.3)) * (56 - 50) / (PERCENTILE(CK:CK, 0.4) - PERCENTILE(CK:CK, 0.3)),
IF(CK2 &lt;= PERCENTILE(CK:CK, 0.5),
   56 + (CK2 - PERCENTILE(CK:CK, 0.4)) * (61 - 56) / (PERCENTILE(CK:CK, 0.5) - PERCENTILE(CK:CK, 0.4)),
IF(CK2 &lt;= PERCENTILE(CK:CK, 0.6),
   61 + (CK2 - PERCENTILE(CK:CK, 0.5)) * (66 - 61) / (PERCENTILE(CK:CK, 0.6) - PERCENTILE(CK:CK, 0.5)),
IF(CK2 &lt;= PERCENTILE(CK:CK, 0.7),
   66 + (CK2 - PERCENTILE(CK:CK, 0.6)) * (70 - 66) / (PERCENTILE(CK:CK, 0.7) - PERCENTILE(CK:CK, 0.6)),
IF(CK2 &lt;= PERCENTILE(CK:CK, 0.8),
   70 + (CK2 - PERCENTILE(CK:CK, 0.7)) * (75 - 70) / (PERCENTILE(CK:CK, 0.8) - PERCENTILE(CK:CK, 0.7)),
IF(CK2 &lt;= PERCENTILE(CK:CK, 0.9),
   75 + (CK2 - PERCENTILE(CK:CK, 0.8)) * (84 - 75) / (PERCENTILE(CK:CK, 0.9) - PERCENTILE(CK:CK, 0.8)),
IF(CK2 &lt;= PERCENTILE(CK:CK, 0.95),
   84 + (CK2 - PERCENTILE(CK:CK, 0.9)) * (90 - 84) / (PERCENTILE(CK:CK, 0.95) - PERCENTILE(CK:CK, 0.9)),
   90 + (CK2 - PERCENTILE(CK:CK, 0.95)) * (100 - 90) / (PERCENTILE(CK:CK, 1) - PERCENTILE(CK:CK, 0.95))
))))))))))</f>
        <v>48.01845826</v>
      </c>
      <c r="CK2" s="94">
        <f t="shared" ref="CK2:CK6" si="20">(CL2-MEDIAN(CL:CL))/STDEV(CL:CL)</f>
        <v>-0.7568272561</v>
      </c>
      <c r="CL2" s="94">
        <f t="shared" ref="CL2:CL6" si="21">IFERROR(AVERAGE(CM2:CS2)*0.85+IFERROR(AVERAGE(CT2:CU2), 0)*0.1+CV2*0.05,-1)</f>
        <v>-0.5451179667</v>
      </c>
      <c r="CM2" s="93">
        <v>-0.6496650423936463</v>
      </c>
      <c r="CN2" s="93">
        <v>-0.52025117055675</v>
      </c>
      <c r="CO2" s="93">
        <v>-0.17917076634412582</v>
      </c>
      <c r="CP2" s="93">
        <v>-0.28076874995244006</v>
      </c>
      <c r="CQ2" s="100">
        <v>-0.7628479030125827</v>
      </c>
      <c r="CR2" s="93">
        <v>-0.6632013777417858</v>
      </c>
      <c r="CS2" s="93">
        <v>-0.8581424640654705</v>
      </c>
      <c r="CT2" s="93">
        <v>-0.9079591484115265</v>
      </c>
      <c r="CU2" s="93">
        <v>-0.7161282754248197</v>
      </c>
      <c r="CV2" s="94">
        <v>0.22727195446483778</v>
      </c>
      <c r="CW2" s="91">
        <f t="shared" ref="CW2:CW6" si="22">IF(CX2 &lt;= PERCENTILE(CX:CX, 0.1),
   25 + (CX2 - MIN(CX:CX)) * (62 - 25) / (PERCENTILE(CX:CX, 0.1) - MIN(CX:CX)),
IF(CX2 &lt;= PERCENTILE(CX:CX, 0.2),
   62 + (CX2 - PERCENTILE(CX:CX, 0.1)) * (70 - 62) / (PERCENTILE(CX:CX, 0.2) - PERCENTILE(CX:CX, 0.1)),
IF(CX2 &lt;= PERCENTILE(CX:CX, 0.3),
   70 + (CX2 - PERCENTILE(CX:CX, 0.2)) * (75 - 70) / (PERCENTILE(CX:CX, 0.3) - PERCENTILE(CX:CX, 0.2)),
IF(CX2 &lt;= PERCENTILE(CX:CX, 0.4),
   75 + (CX2 - PERCENTILE(CX:CX, 0.3)) * (78 - 75) / (PERCENTILE(CX:CX, 0.4) - PERCENTILE(CX:CX, 0.3)),
IF(CX2 &lt;= PERCENTILE(CX:CX, 0.5),
   78 + (CX2 - PERCENTILE(CX:CX, 0.4)) * (80 - 78) / (PERCENTILE(CX:CX, 0.5) - PERCENTILE(CX:CX, 0.4)),
IF(CX2 &lt;= PERCENTILE(CX:CX, 0.6),
   80 + (CX2 - PERCENTILE(CX:CX, 0.5)) * (83 - 80) / (PERCENTILE(CX:CX, 0.6) - PERCENTILE(CX:CX, 0.5)),
IF(CX2 &lt;= PERCENTILE(CX:CX, 0.7),
   83 + (CX2 - PERCENTILE(CX:CX, 0.6)) * (85 - 83) / (PERCENTILE(CX:CX, 0.7) - PERCENTILE(CX:CX, 0.6)),
IF(CX2 &lt;= PERCENTILE(CX:CX, 0.8),
   85 + (CX2 - PERCENTILE(CX:CX, 0.7)) * (90 - 85) / (PERCENTILE(CX:CX, 0.8) - PERCENTILE(CX:CX, 0.7)),
IF(CX2 &lt;= PERCENTILE(CX:CX, 0.88),
   90 + (CX2 - PERCENTILE(CX:CX, 0.8)) * (95 - 90) / (PERCENTILE(CX:CX, 0.88) - PERCENTILE(CX:CX, 0.8)),
IF(CX2 &lt;= PERCENTILE(CX:CX, 0.94),
   95 + (CX2 - PERCENTILE(CX:CX, 0.88)) * (98 - 95) / (PERCENTILE(CX:CX, 0.94) - PERCENTILE(CX:CX, 0.88)),
IF(CX2 &lt;= PERCENTILE(CX:CX, 0.98),
   98,
   98 + (CX2 - PERCENTILE(CX:CX, 0.98)) * (100 - 98) / (PERCENTILE(CX:CX, 1) - PERCENTILE(CX:CX, 0.98))
)))))))))))
</f>
        <v>80</v>
      </c>
      <c r="CX2" s="93">
        <f t="shared" ref="CX2:CX6" si="23">(CY2-MEDIAN(CY:CY))/STDEV(CY:CY)</f>
        <v>0</v>
      </c>
      <c r="CY2" s="101">
        <f t="shared" ref="CY2:CY6" si="24">IFERROR(AVERAGE(CZ2:DB2), -2)</f>
        <v>0.4230232354</v>
      </c>
      <c r="CZ2" s="93">
        <v>-0.5369576523240805</v>
      </c>
      <c r="DA2" s="93">
        <v>1.3418201940062748</v>
      </c>
      <c r="DB2" s="93">
        <v>0.46420716444192167</v>
      </c>
    </row>
    <row r="3">
      <c r="A3" s="89">
        <v>708.0</v>
      </c>
      <c r="B3" s="90" t="s">
        <v>90</v>
      </c>
      <c r="C3" s="24" t="s">
        <v>86</v>
      </c>
      <c r="D3" s="91">
        <f t="shared" si="1"/>
        <v>73</v>
      </c>
      <c r="E3" s="92">
        <f t="shared" si="2"/>
        <v>0</v>
      </c>
      <c r="F3" s="92">
        <f t="shared" si="3"/>
        <v>-0.4648918921</v>
      </c>
      <c r="G3" s="93">
        <v>-0.9864257979975534</v>
      </c>
      <c r="H3" s="93">
        <v>-1.2085768358027877</v>
      </c>
      <c r="I3" s="93">
        <v>-1.050972171739763</v>
      </c>
      <c r="J3" s="93">
        <v>-0.7251960593166306</v>
      </c>
      <c r="K3" s="93">
        <v>-0.9570514370331662</v>
      </c>
      <c r="L3" s="93">
        <v>-0.10183865463186405</v>
      </c>
      <c r="M3" s="93">
        <v>-0.10183865463186405</v>
      </c>
      <c r="N3" s="93">
        <v>-0.10183865463186405</v>
      </c>
      <c r="O3" s="93">
        <v>-0.22847268475750213</v>
      </c>
      <c r="P3" s="93">
        <v>-0.8131430739231867</v>
      </c>
      <c r="Q3" s="93">
        <v>-0.8214644168915931</v>
      </c>
      <c r="R3" s="93">
        <v>-1.2437634286566768</v>
      </c>
      <c r="S3" s="93">
        <v>0.15671152849656697</v>
      </c>
      <c r="T3" s="93">
        <v>-0.4033684590082473</v>
      </c>
      <c r="U3" s="93">
        <v>-0.705290572877423</v>
      </c>
      <c r="V3" s="93">
        <v>-0.3360142027859122</v>
      </c>
      <c r="W3" s="93">
        <v>1.454797704300108</v>
      </c>
      <c r="X3" s="93">
        <v>-0.18189001232504995</v>
      </c>
      <c r="Y3" s="95">
        <f t="shared" si="4"/>
        <v>67.68412186</v>
      </c>
      <c r="Z3" s="94">
        <f t="shared" si="5"/>
        <v>0.6137771203</v>
      </c>
      <c r="AA3" s="94">
        <f t="shared" si="6"/>
        <v>-0.3305443311</v>
      </c>
      <c r="AB3" s="93">
        <v>-0.4154367931177827</v>
      </c>
      <c r="AC3" s="93">
        <v>-0.38838591238212766</v>
      </c>
      <c r="AG3" s="93">
        <v>0.11512386041430674</v>
      </c>
      <c r="AH3" s="93">
        <v>-1.318187159075289</v>
      </c>
      <c r="AI3" s="93">
        <v>-0.2181744939395078</v>
      </c>
      <c r="AJ3" s="93">
        <v>-0.03042321055183042</v>
      </c>
      <c r="AK3" s="93">
        <v>-1.4365355316759878</v>
      </c>
      <c r="AL3" s="93">
        <v>1.289887320795803</v>
      </c>
      <c r="AM3" s="93">
        <v>0.34779666176068064</v>
      </c>
      <c r="AN3" s="96">
        <f t="shared" si="7"/>
        <v>48.35695052</v>
      </c>
      <c r="AO3" s="94">
        <f t="shared" si="8"/>
        <v>-1.236838516</v>
      </c>
      <c r="AP3" s="94">
        <f t="shared" si="9"/>
        <v>-0.7552280358</v>
      </c>
      <c r="AQ3" s="93">
        <v>-0.5944375662228343</v>
      </c>
      <c r="AR3" s="93">
        <v>-0.5485011523164048</v>
      </c>
      <c r="AS3" s="93">
        <v>-1.2085768358027877</v>
      </c>
      <c r="BB3" s="93">
        <v>-0.8096342262676153</v>
      </c>
      <c r="BC3" s="93">
        <v>-0.8185052673156</v>
      </c>
      <c r="BD3" s="97">
        <f t="shared" si="10"/>
        <v>25</v>
      </c>
      <c r="BE3" s="94">
        <f t="shared" si="11"/>
        <v>-1.124489957</v>
      </c>
      <c r="BF3" s="94">
        <f t="shared" si="12"/>
        <v>-0.2247193685</v>
      </c>
      <c r="BG3" s="93">
        <v>-0.2180216346062122</v>
      </c>
      <c r="BH3" s="93">
        <v>-0.1352903281595875</v>
      </c>
      <c r="BI3" s="93">
        <v>0.08462814045309434</v>
      </c>
      <c r="BJ3" s="93">
        <v>-0.49580012068014556</v>
      </c>
      <c r="BK3" s="93">
        <v>-1.1844827869158072</v>
      </c>
      <c r="BL3" s="93">
        <v>0.9154582083090225</v>
      </c>
      <c r="BM3" s="93">
        <v>-1.1666497030385818</v>
      </c>
      <c r="BN3" s="93">
        <v>-0.6727449703831523</v>
      </c>
      <c r="BO3" s="97">
        <f t="shared" si="13"/>
        <v>100</v>
      </c>
      <c r="BP3" s="92">
        <f t="shared" si="14"/>
        <v>1.073780085</v>
      </c>
      <c r="BQ3" s="93">
        <f t="shared" si="15"/>
        <v>0.1070783086</v>
      </c>
      <c r="BR3" s="93">
        <v>0.2793635737255041</v>
      </c>
      <c r="BS3" s="93">
        <v>0.5232802330322637</v>
      </c>
      <c r="BT3" s="93">
        <v>-0.49580012068014556</v>
      </c>
      <c r="BU3" s="93">
        <v>0.36311885659582366</v>
      </c>
      <c r="BV3" s="93">
        <v>2.0772839272343275</v>
      </c>
      <c r="BW3" s="93">
        <v>-1.1666497030385818</v>
      </c>
      <c r="BX3" s="93">
        <v>-0.6727449703831523</v>
      </c>
      <c r="BY3" s="98">
        <f t="shared" si="16"/>
        <v>55</v>
      </c>
      <c r="BZ3" s="94">
        <f t="shared" si="17"/>
        <v>0</v>
      </c>
      <c r="CA3" s="94">
        <f t="shared" si="18"/>
        <v>0.08956665058</v>
      </c>
      <c r="CB3" s="93">
        <v>0.9154582083090225</v>
      </c>
      <c r="CC3" s="93">
        <v>2.0978857359906873</v>
      </c>
      <c r="CD3" s="93">
        <v>-1.1844827869158072</v>
      </c>
      <c r="CE3" s="93">
        <v>-0.49580012068014556</v>
      </c>
      <c r="CF3" s="93">
        <v>-0.6727449703831523</v>
      </c>
      <c r="CG3" s="93">
        <v>0.4731401449288875</v>
      </c>
      <c r="CH3" s="93">
        <v>-1.9905241608657842</v>
      </c>
      <c r="CI3" s="93">
        <v>0.638676775314563</v>
      </c>
      <c r="CJ3" s="99">
        <f t="shared" si="19"/>
        <v>73.21634386</v>
      </c>
      <c r="CK3" s="94">
        <f t="shared" si="20"/>
        <v>0.7870894329</v>
      </c>
      <c r="CL3" s="94">
        <f t="shared" si="21"/>
        <v>-0.2937013855</v>
      </c>
      <c r="CM3" s="93">
        <v>-0.5766876491759192</v>
      </c>
      <c r="CN3" s="93">
        <v>-0.46116912686644645</v>
      </c>
      <c r="CO3" s="93">
        <v>-0.17917076634412582</v>
      </c>
      <c r="CP3" s="93">
        <v>-0.28913650907010424</v>
      </c>
      <c r="CQ3" s="100">
        <v>-0.8758079048181896</v>
      </c>
      <c r="CR3" s="93">
        <v>0.14873289715139662</v>
      </c>
      <c r="CS3" s="93">
        <v>-0.7543032966124019</v>
      </c>
      <c r="CT3" s="93">
        <v>1.4588837968052197</v>
      </c>
      <c r="CU3" s="93">
        <v>-0.7161282754248197</v>
      </c>
      <c r="CV3" s="93">
        <v>0.638676775314563</v>
      </c>
      <c r="CW3" s="91">
        <f t="shared" si="22"/>
        <v>86.32255209</v>
      </c>
      <c r="CX3" s="93">
        <f t="shared" si="23"/>
        <v>0.4817995063</v>
      </c>
      <c r="CY3" s="101">
        <f t="shared" si="24"/>
        <v>0.7727119597</v>
      </c>
      <c r="CZ3" s="93">
        <v>0.40983502198435146</v>
      </c>
      <c r="DA3" s="93">
        <v>1.4343567205766077</v>
      </c>
      <c r="DB3" s="93">
        <v>0.47394413662079476</v>
      </c>
    </row>
    <row r="4">
      <c r="A4" s="89">
        <v>708.0</v>
      </c>
      <c r="B4" s="90" t="s">
        <v>92</v>
      </c>
      <c r="C4" s="24" t="s">
        <v>86</v>
      </c>
      <c r="D4" s="91">
        <f t="shared" si="1"/>
        <v>66</v>
      </c>
      <c r="E4" s="92">
        <f t="shared" si="2"/>
        <v>-0.9491766019</v>
      </c>
      <c r="F4" s="92">
        <f t="shared" si="3"/>
        <v>-0.7501965316</v>
      </c>
      <c r="G4" s="93">
        <v>-0.8707893992441047</v>
      </c>
      <c r="H4" s="93">
        <v>-1.8903772825351006</v>
      </c>
      <c r="I4" s="93">
        <v>-1.1154104793614055</v>
      </c>
      <c r="J4" s="93">
        <v>-0.21384746969168283</v>
      </c>
      <c r="K4" s="93">
        <v>-0.025050693413462582</v>
      </c>
      <c r="L4" s="93">
        <v>-0.5954301078645222</v>
      </c>
      <c r="M4" s="93">
        <v>-0.5954301078645222</v>
      </c>
      <c r="N4" s="93">
        <v>-0.5954301078645222</v>
      </c>
      <c r="O4" s="93">
        <v>-0.9196226836690247</v>
      </c>
      <c r="P4" s="93">
        <v>-0.8652737668859972</v>
      </c>
      <c r="Q4" s="93">
        <v>-0.8214644168915931</v>
      </c>
      <c r="R4" s="93">
        <v>-0.5583574969620704</v>
      </c>
      <c r="S4" s="93">
        <v>-0.2951423365896602</v>
      </c>
      <c r="T4" s="93">
        <v>-0.5642084166232498</v>
      </c>
      <c r="U4" s="93">
        <v>-0.954898374811996</v>
      </c>
      <c r="V4" s="93">
        <v>0.18829225968610167</v>
      </c>
      <c r="W4" s="93">
        <v>-0.913121510713184</v>
      </c>
      <c r="X4" s="93">
        <v>0.24286528815994474</v>
      </c>
      <c r="Y4" s="95">
        <f t="shared" si="4"/>
        <v>30</v>
      </c>
      <c r="Z4" s="94">
        <f t="shared" si="5"/>
        <v>-0.06321479325</v>
      </c>
      <c r="AA4" s="94">
        <f t="shared" si="6"/>
        <v>-0.4955325494</v>
      </c>
      <c r="AB4" s="93">
        <v>-0.5765656027101185</v>
      </c>
      <c r="AC4" s="93">
        <v>-0.5047210231805164</v>
      </c>
      <c r="AG4" s="93">
        <v>-0.6514484206792894</v>
      </c>
      <c r="AH4" s="93">
        <v>0.04452792898884871</v>
      </c>
      <c r="AI4" s="93">
        <v>-0.7707791888793918</v>
      </c>
      <c r="AJ4" s="93">
        <v>-0.5158736961232683</v>
      </c>
      <c r="AK4" s="93">
        <v>-0.9971770031148982</v>
      </c>
      <c r="AL4" s="93">
        <v>1.289887320795803</v>
      </c>
      <c r="AM4" s="93">
        <v>-1.007592058244901</v>
      </c>
      <c r="AN4" s="96">
        <f t="shared" si="7"/>
        <v>25</v>
      </c>
      <c r="AO4" s="94">
        <f t="shared" si="8"/>
        <v>-1.921716732</v>
      </c>
      <c r="AP4" s="94">
        <f t="shared" si="9"/>
        <v>-0.9565841858</v>
      </c>
      <c r="AQ4" s="93">
        <v>-0.6667796087931951</v>
      </c>
      <c r="AR4" s="93">
        <v>-0.6156242111892466</v>
      </c>
      <c r="AS4" s="93">
        <v>-1.8903772825351006</v>
      </c>
      <c r="BB4" s="93">
        <v>-0.8617881488953314</v>
      </c>
      <c r="BC4" s="93">
        <v>-0.8185052673156</v>
      </c>
      <c r="BD4" s="97">
        <f t="shared" si="10"/>
        <v>55.29641282</v>
      </c>
      <c r="BE4" s="94">
        <f t="shared" si="11"/>
        <v>0.3364839508</v>
      </c>
      <c r="BF4" s="94">
        <f t="shared" si="12"/>
        <v>-0.05090399166</v>
      </c>
      <c r="BG4" s="93">
        <v>-0.3569838645267463</v>
      </c>
      <c r="BH4" s="93">
        <v>-0.36754365856059884</v>
      </c>
      <c r="BI4" s="93">
        <v>0.430049805462272</v>
      </c>
      <c r="BJ4" s="93">
        <v>-0.10724585873275208</v>
      </c>
      <c r="BK4" s="93">
        <v>0.5974570816433541</v>
      </c>
      <c r="BL4" s="93">
        <v>0.13741514477458247</v>
      </c>
      <c r="BM4" s="93">
        <v>0.588994009845554</v>
      </c>
      <c r="BN4" s="93">
        <v>0.2554862844036026</v>
      </c>
      <c r="BO4" s="97">
        <f t="shared" si="13"/>
        <v>43.13613048</v>
      </c>
      <c r="BP4" s="92">
        <f t="shared" si="14"/>
        <v>-0.6185139419</v>
      </c>
      <c r="BQ4" s="93">
        <f t="shared" si="15"/>
        <v>-0.1713054669</v>
      </c>
      <c r="BR4" s="93">
        <v>-0.37963164233881413</v>
      </c>
      <c r="BS4" s="93">
        <v>-0.3487258579094879</v>
      </c>
      <c r="BT4" s="93">
        <v>-0.10724585873275208</v>
      </c>
      <c r="BU4" s="93">
        <v>-0.1385448190554421</v>
      </c>
      <c r="BV4" s="93">
        <v>2.4690861583268044</v>
      </c>
      <c r="BW4" s="93">
        <v>0.588994009845554</v>
      </c>
      <c r="BX4" s="93">
        <v>0.2554862844036026</v>
      </c>
      <c r="BY4" s="98">
        <f t="shared" si="16"/>
        <v>100</v>
      </c>
      <c r="BZ4" s="94">
        <f t="shared" si="17"/>
        <v>1.345287902</v>
      </c>
      <c r="CA4" s="94">
        <f t="shared" si="18"/>
        <v>0.6051192322</v>
      </c>
      <c r="CB4" s="93">
        <v>0.13741514477458247</v>
      </c>
      <c r="CC4" s="93">
        <v>2.493254082472445</v>
      </c>
      <c r="CD4" s="93">
        <v>0.5974570816433541</v>
      </c>
      <c r="CE4" s="93">
        <v>-0.10724585873275208</v>
      </c>
      <c r="CF4" s="93">
        <v>0.2554862844036026</v>
      </c>
      <c r="CG4" s="93">
        <v>0.6505628405016438</v>
      </c>
      <c r="CH4" s="93">
        <v>-1.2756573714283395</v>
      </c>
      <c r="CI4" s="93">
        <v>0.5462911313342739</v>
      </c>
      <c r="CJ4" s="99">
        <f t="shared" si="19"/>
        <v>25</v>
      </c>
      <c r="CK4" s="94">
        <f t="shared" si="20"/>
        <v>-1.145815768</v>
      </c>
      <c r="CL4" s="94">
        <f t="shared" si="21"/>
        <v>-0.6084621631</v>
      </c>
      <c r="CM4" s="93">
        <v>-0.7591311322202373</v>
      </c>
      <c r="CN4" s="93">
        <v>-0.6974973016276607</v>
      </c>
      <c r="CO4" s="93">
        <v>-0.5915538876385208</v>
      </c>
      <c r="CP4" s="93">
        <v>-0.7242599831886296</v>
      </c>
      <c r="CQ4" s="100">
        <v>-1.158207909332207</v>
      </c>
      <c r="CR4" s="93">
        <v>0.2736458625195786</v>
      </c>
      <c r="CS4" s="93">
        <v>-0.9100620477920045</v>
      </c>
      <c r="CT4" s="93">
        <v>-0.9079591484115265</v>
      </c>
      <c r="CU4" s="93">
        <v>-0.7161282754248197</v>
      </c>
      <c r="CV4" s="93">
        <v>0.5462911313342739</v>
      </c>
      <c r="CW4" s="91">
        <f t="shared" si="22"/>
        <v>74.07401399</v>
      </c>
      <c r="CX4" s="93">
        <f t="shared" si="23"/>
        <v>-0.1604199465</v>
      </c>
      <c r="CY4" s="101">
        <f t="shared" si="24"/>
        <v>0.3065908901</v>
      </c>
      <c r="CZ4" s="93">
        <v>-0.13457076574299695</v>
      </c>
      <c r="DA4" s="93">
        <v>1.198697032910827</v>
      </c>
      <c r="DB4" s="93">
        <v>-0.14435359673765957</v>
      </c>
    </row>
    <row r="5">
      <c r="A5" s="89">
        <v>951.0</v>
      </c>
      <c r="B5" s="90" t="s">
        <v>85</v>
      </c>
      <c r="C5" s="24" t="s">
        <v>94</v>
      </c>
      <c r="D5" s="91">
        <f t="shared" si="1"/>
        <v>80</v>
      </c>
      <c r="E5" s="92">
        <f t="shared" si="2"/>
        <v>0.7663529848</v>
      </c>
      <c r="F5" s="92">
        <f t="shared" si="3"/>
        <v>-0.2345405943</v>
      </c>
      <c r="G5" s="93">
        <v>-0.7204620808646213</v>
      </c>
      <c r="H5" s="93">
        <v>-0.3904162997240123</v>
      </c>
      <c r="I5" s="93">
        <v>-0.030352525216332336</v>
      </c>
      <c r="J5" s="93">
        <v>-0.6167281766689143</v>
      </c>
      <c r="K5" s="93">
        <v>-0.514351083813807</v>
      </c>
      <c r="L5" s="93">
        <v>0.14495707198446509</v>
      </c>
      <c r="M5" s="93">
        <v>0.14495707198446509</v>
      </c>
      <c r="N5" s="93">
        <v>0.14495707198446509</v>
      </c>
      <c r="O5" s="93">
        <v>-0.25320568670662125</v>
      </c>
      <c r="P5" s="93">
        <v>0.07307870644459168</v>
      </c>
      <c r="Q5" s="93">
        <v>0.0029180464899916255</v>
      </c>
      <c r="R5" s="93">
        <v>-0.6180541426257934</v>
      </c>
      <c r="S5" s="93">
        <v>-0.021131829481977456</v>
      </c>
      <c r="T5" s="93">
        <v>-0.026934515653984845</v>
      </c>
      <c r="U5" s="93">
        <v>-0.5388853715877076</v>
      </c>
      <c r="V5" s="93">
        <v>0.028492514728001992</v>
      </c>
      <c r="W5" s="93">
        <v>-0.586032936479348</v>
      </c>
      <c r="X5" s="93">
        <v>0.1425758422120986</v>
      </c>
      <c r="Y5" s="95">
        <f t="shared" si="4"/>
        <v>41.70803082</v>
      </c>
      <c r="Z5" s="94">
        <f t="shared" si="5"/>
        <v>0</v>
      </c>
      <c r="AA5" s="94">
        <f t="shared" si="6"/>
        <v>-0.4801266105</v>
      </c>
      <c r="AB5" s="93">
        <v>-0.47282513626025846</v>
      </c>
      <c r="AC5" s="93">
        <v>-0.38838591238212766</v>
      </c>
      <c r="AG5" s="93">
        <v>-0.6514484206792894</v>
      </c>
      <c r="AH5" s="93">
        <v>0.04452792898884871</v>
      </c>
      <c r="AI5" s="93">
        <v>-0.8610003635634544</v>
      </c>
      <c r="AJ5" s="93">
        <v>-0.664135886055629</v>
      </c>
      <c r="AK5" s="93">
        <v>-0.4532093010868829</v>
      </c>
      <c r="AL5" s="93">
        <v>-0.49448932993896827</v>
      </c>
      <c r="AM5" s="93">
        <v>-1.007592058244901</v>
      </c>
      <c r="AN5" s="96">
        <f t="shared" si="7"/>
        <v>76.08460352</v>
      </c>
      <c r="AO5" s="94">
        <f t="shared" si="8"/>
        <v>0.1372843498</v>
      </c>
      <c r="AP5" s="94">
        <f t="shared" si="9"/>
        <v>-0.3512319922</v>
      </c>
      <c r="AQ5" s="93">
        <v>-0.478867992310241</v>
      </c>
      <c r="AR5" s="93">
        <v>-0.34713197569787957</v>
      </c>
      <c r="AS5" s="93">
        <v>-0.3904162997240123</v>
      </c>
      <c r="BB5" s="93">
        <v>0.07698245840355857</v>
      </c>
      <c r="BC5" s="93">
        <v>0.006531764025037216</v>
      </c>
      <c r="BD5" s="97">
        <f t="shared" si="10"/>
        <v>35</v>
      </c>
      <c r="BE5" s="94">
        <f t="shared" si="11"/>
        <v>-0.9039885347</v>
      </c>
      <c r="BF5" s="94">
        <f t="shared" si="12"/>
        <v>-0.1984858145</v>
      </c>
      <c r="BG5" s="93">
        <v>-0.33961358578667955</v>
      </c>
      <c r="BH5" s="93">
        <v>-0.38319873443897173</v>
      </c>
      <c r="BI5" s="93">
        <v>0.24006788959323502</v>
      </c>
      <c r="BJ5" s="93">
        <v>-0.3721692191514295</v>
      </c>
      <c r="BK5" s="93">
        <v>0.04060087271861616</v>
      </c>
      <c r="BL5" s="93">
        <v>-0.3164433089538408</v>
      </c>
      <c r="BM5" s="93">
        <v>0.04035534956926146</v>
      </c>
      <c r="BN5" s="93">
        <v>-0.009722645535470234</v>
      </c>
      <c r="BO5" s="97">
        <f t="shared" si="13"/>
        <v>25</v>
      </c>
      <c r="BP5" s="92">
        <f t="shared" si="14"/>
        <v>-1.415427745</v>
      </c>
      <c r="BQ5" s="93">
        <f t="shared" si="15"/>
        <v>-0.3023984505</v>
      </c>
      <c r="BR5" s="93">
        <v>-0.28548946861534014</v>
      </c>
      <c r="BS5" s="93">
        <v>-0.3421722169083266</v>
      </c>
      <c r="BT5" s="93">
        <v>-0.3721692191514295</v>
      </c>
      <c r="BU5" s="93">
        <v>0.36311885659582366</v>
      </c>
      <c r="BV5" s="93">
        <v>-0.4917187257372995</v>
      </c>
      <c r="BW5" s="93">
        <v>0.04035534956926146</v>
      </c>
      <c r="BX5" s="93">
        <v>-0.009722645535470234</v>
      </c>
      <c r="BY5" s="98">
        <f t="shared" si="16"/>
        <v>36.89293915</v>
      </c>
      <c r="BZ5" s="94">
        <f t="shared" si="17"/>
        <v>-0.7894732918</v>
      </c>
      <c r="CA5" s="94">
        <f t="shared" si="18"/>
        <v>-0.2129819661</v>
      </c>
      <c r="CB5" s="93">
        <v>-0.3164433089538408</v>
      </c>
      <c r="CC5" s="93">
        <v>-0.49449952986275514</v>
      </c>
      <c r="CD5" s="93">
        <v>0.04060087271861616</v>
      </c>
      <c r="CE5" s="93">
        <v>-0.3721692191514295</v>
      </c>
      <c r="CF5" s="93">
        <v>-0.009722645535470234</v>
      </c>
      <c r="CG5" s="93">
        <v>0.10614251436058299</v>
      </c>
      <c r="CH5" s="93">
        <v>0.2902413101965396</v>
      </c>
      <c r="CI5" s="93">
        <v>-0.5637801221163885</v>
      </c>
      <c r="CJ5" s="99">
        <f t="shared" si="19"/>
        <v>61</v>
      </c>
      <c r="CK5" s="94">
        <f t="shared" si="20"/>
        <v>0</v>
      </c>
      <c r="CL5" s="94">
        <f t="shared" si="21"/>
        <v>-0.4218736734</v>
      </c>
      <c r="CM5" s="93">
        <v>-0.3212667729138739</v>
      </c>
      <c r="CN5" s="93">
        <v>-0.10667686472462495</v>
      </c>
      <c r="CO5" s="93">
        <v>-0.5130047216776837</v>
      </c>
      <c r="CP5" s="93">
        <v>-0.6991567058356378</v>
      </c>
      <c r="CQ5" s="100">
        <v>-1.1299679088808052</v>
      </c>
      <c r="CR5" s="93">
        <v>0.33610234520366966</v>
      </c>
      <c r="CS5" s="93">
        <v>-0.4817254820480973</v>
      </c>
      <c r="CT5" s="93">
        <v>-0.5810192429122534</v>
      </c>
      <c r="CU5" s="93">
        <v>-0.2116978337888577</v>
      </c>
      <c r="CV5" s="93">
        <v>-0.5637801221163885</v>
      </c>
      <c r="CW5" s="91">
        <f t="shared" si="22"/>
        <v>25</v>
      </c>
      <c r="CX5" s="93">
        <f t="shared" si="23"/>
        <v>-0.8662114998</v>
      </c>
      <c r="CY5" s="101">
        <f t="shared" si="24"/>
        <v>-0.2056706309</v>
      </c>
      <c r="CZ5" s="93">
        <v>0.09029249440525564</v>
      </c>
      <c r="DA5" s="93">
        <v>-0.679794456466929</v>
      </c>
      <c r="DB5" s="93">
        <v>-0.027509930591180048</v>
      </c>
    </row>
    <row r="6">
      <c r="A6" s="89">
        <v>959.0</v>
      </c>
      <c r="B6" s="90" t="s">
        <v>85</v>
      </c>
      <c r="C6" s="24" t="s">
        <v>98</v>
      </c>
      <c r="D6" s="91">
        <f t="shared" si="1"/>
        <v>100</v>
      </c>
      <c r="E6" s="92">
        <f t="shared" si="2"/>
        <v>0.9466771032</v>
      </c>
      <c r="F6" s="92">
        <f t="shared" si="3"/>
        <v>-0.1803385549</v>
      </c>
      <c r="G6" s="93">
        <v>-0.83609847961807</v>
      </c>
      <c r="H6" s="93">
        <v>0.08064582710922205</v>
      </c>
      <c r="I6" s="93">
        <v>2.4723481966048704</v>
      </c>
      <c r="J6" s="93">
        <v>-0.709700647509814</v>
      </c>
      <c r="K6" s="93">
        <v>-1.1667516043475996</v>
      </c>
      <c r="L6" s="93">
        <v>0.3670732259391613</v>
      </c>
      <c r="M6" s="93">
        <v>0.3670732259391613</v>
      </c>
      <c r="N6" s="93">
        <v>0.3670732259391613</v>
      </c>
      <c r="O6" s="93">
        <v>-0.3878631417629427</v>
      </c>
      <c r="P6" s="93">
        <v>1.7933915742173379</v>
      </c>
      <c r="Q6" s="93">
        <v>0.4739937398508974</v>
      </c>
      <c r="R6" s="93">
        <v>-0.9961328984960449</v>
      </c>
      <c r="S6" s="93">
        <v>-0.734481298707027</v>
      </c>
      <c r="T6" s="93">
        <v>0.0859956673522956</v>
      </c>
      <c r="U6" s="93">
        <v>-0.954898374811996</v>
      </c>
      <c r="V6" s="93">
        <v>-0.8445739750613251</v>
      </c>
      <c r="W6" s="93">
        <v>-0.6668579123518016</v>
      </c>
      <c r="X6" s="93">
        <v>-0.9488093048674023</v>
      </c>
      <c r="Y6" s="95">
        <f t="shared" si="4"/>
        <v>25</v>
      </c>
      <c r="Z6" s="94">
        <f t="shared" si="5"/>
        <v>-0.5742369897</v>
      </c>
      <c r="AA6" s="94">
        <f t="shared" si="6"/>
        <v>-0.6200726511</v>
      </c>
      <c r="AB6" s="93">
        <v>-0.5765656027101185</v>
      </c>
      <c r="AC6" s="93">
        <v>-0.5047210231805164</v>
      </c>
      <c r="AG6" s="93">
        <v>-0.6514484206792894</v>
      </c>
      <c r="AH6" s="93">
        <v>0.04452792898884871</v>
      </c>
      <c r="AI6" s="93">
        <v>-0.6805580141953291</v>
      </c>
      <c r="AJ6" s="93">
        <v>-0.8497563357711501</v>
      </c>
      <c r="AK6" s="93">
        <v>-1.3633091102491395</v>
      </c>
      <c r="AL6" s="93">
        <v>-1.0892815468505588</v>
      </c>
      <c r="AM6" s="93">
        <v>-1.007592058244901</v>
      </c>
      <c r="AN6" s="96">
        <f t="shared" si="7"/>
        <v>100</v>
      </c>
      <c r="AO6" s="94">
        <f t="shared" si="8"/>
        <v>0.3850811934</v>
      </c>
      <c r="AP6" s="94">
        <f t="shared" si="9"/>
        <v>-0.2783790131</v>
      </c>
      <c r="AQ6" s="93">
        <v>-0.7840236088210212</v>
      </c>
      <c r="AR6" s="93">
        <v>-0.6827472700620884</v>
      </c>
      <c r="AS6" s="93">
        <v>0.08064582710922205</v>
      </c>
      <c r="BB6" s="93">
        <v>1.7980619051181903</v>
      </c>
      <c r="BC6" s="93">
        <v>0.4779814962196873</v>
      </c>
      <c r="BD6" s="97">
        <f t="shared" si="10"/>
        <v>58.74855414</v>
      </c>
      <c r="BE6" s="94">
        <f t="shared" si="11"/>
        <v>0.4137456937</v>
      </c>
      <c r="BF6" s="94">
        <f t="shared" si="12"/>
        <v>-0.04171198702</v>
      </c>
      <c r="BG6" s="93">
        <v>-0.3569838645267463</v>
      </c>
      <c r="BH6" s="93">
        <v>-0.18626867649309467</v>
      </c>
      <c r="BI6" s="93">
        <v>0.430049805462272</v>
      </c>
      <c r="BK6" s="93">
        <v>0.04060087271861616</v>
      </c>
      <c r="BL6" s="93">
        <v>-0.38128023091504415</v>
      </c>
      <c r="BM6" s="93">
        <v>0.04035534956926146</v>
      </c>
      <c r="BN6" s="93">
        <v>-0.009722645535470234</v>
      </c>
      <c r="BO6" s="97">
        <f t="shared" si="13"/>
        <v>67</v>
      </c>
      <c r="BP6" s="92">
        <f t="shared" si="14"/>
        <v>0.4848756556</v>
      </c>
      <c r="BQ6" s="93">
        <f t="shared" si="15"/>
        <v>0.01020304003</v>
      </c>
      <c r="BR6" s="93">
        <v>-0.28548946861534014</v>
      </c>
      <c r="BS6" s="93">
        <v>0.2997933282720949</v>
      </c>
      <c r="BU6" s="93">
        <v>0.6975613070300007</v>
      </c>
      <c r="BV6" s="93">
        <v>-0.4917187257372995</v>
      </c>
      <c r="BW6" s="93">
        <v>0.04035534956926146</v>
      </c>
      <c r="BX6" s="93">
        <v>-0.009722645535470234</v>
      </c>
      <c r="BY6" s="98">
        <f t="shared" si="16"/>
        <v>25</v>
      </c>
      <c r="BZ6" s="94">
        <f t="shared" si="17"/>
        <v>-0.9049055155</v>
      </c>
      <c r="CA6" s="94">
        <f t="shared" si="18"/>
        <v>-0.2572188769</v>
      </c>
      <c r="CB6" s="93">
        <v>-0.38128023091504415</v>
      </c>
      <c r="CC6" s="93">
        <v>-0.49449952986275514</v>
      </c>
      <c r="CD6" s="93">
        <v>0.04060087271861616</v>
      </c>
      <c r="CF6" s="93">
        <v>-0.009722645535470234</v>
      </c>
      <c r="CG6" s="93">
        <v>-0.7785405156186409</v>
      </c>
      <c r="CI6" s="93">
        <v>-0.5637801221163885</v>
      </c>
      <c r="CJ6" s="99">
        <f t="shared" si="19"/>
        <v>100</v>
      </c>
      <c r="CK6" s="94">
        <f t="shared" si="20"/>
        <v>1.22357787</v>
      </c>
      <c r="CL6" s="94">
        <f t="shared" si="21"/>
        <v>-0.2226221419</v>
      </c>
      <c r="CM6" s="93">
        <v>-0.1388232898695559</v>
      </c>
      <c r="CN6" s="93">
        <v>-0.10667686472462495</v>
      </c>
      <c r="CO6" s="93">
        <v>-0.19880805783433525</v>
      </c>
      <c r="CP6" s="93">
        <v>-0.22219443612879256</v>
      </c>
      <c r="CQ6" s="100">
        <v>-0.24040789466165063</v>
      </c>
      <c r="CR6" s="93">
        <v>0.023819931783214926</v>
      </c>
      <c r="CS6" s="93">
        <v>-0.15073813579144146</v>
      </c>
      <c r="CT6" s="93">
        <v>-0.6618074821089849</v>
      </c>
      <c r="CU6" s="93">
        <v>-0.7161282754248197</v>
      </c>
      <c r="CV6" s="93">
        <v>-0.5637801221163885</v>
      </c>
      <c r="CW6" s="91">
        <f t="shared" si="22"/>
        <v>100</v>
      </c>
      <c r="CX6" s="93">
        <f t="shared" si="23"/>
        <v>1.821476481</v>
      </c>
      <c r="CY6" s="101">
        <f t="shared" si="24"/>
        <v>1.745045734</v>
      </c>
      <c r="CZ6" s="93">
        <v>2.4099345464609137</v>
      </c>
      <c r="DA6" s="93">
        <v>1.8692783954571717</v>
      </c>
      <c r="DB6" s="93">
        <v>0.9559242594750234</v>
      </c>
    </row>
  </sheetData>
  <autoFilter ref="$A$1:$DB$6">
    <sortState ref="A1:DB6">
      <sortCondition ref="A1:A6"/>
      <sortCondition ref="B1:B6"/>
      <sortCondition descending="1" ref="CI1:CI6"/>
      <sortCondition descending="1" ref="CF1:CF6"/>
      <sortCondition descending="1" ref="CH1:CH6"/>
      <sortCondition descending="1" ref="CB1:CB6"/>
      <sortCondition descending="1" ref="CC1:CC6"/>
      <sortCondition descending="1" ref="CD1:CD6"/>
      <sortCondition descending="1" ref="CE1:CE6"/>
      <sortCondition descending="1" ref="CG1:CG6"/>
      <sortCondition descending="1" ref="T1:T6"/>
      <sortCondition descending="1" ref="X1:X6"/>
      <sortCondition descending="1" ref="U1:U6"/>
      <sortCondition descending="1" ref="S1:S6"/>
      <sortCondition descending="1" ref="W1:W6"/>
      <sortCondition descending="1" ref="BU1:BU6"/>
      <sortCondition descending="1" ref="BO1:BO6"/>
      <sortCondition descending="1" ref="BN1:BN6"/>
      <sortCondition descending="1" ref="BM1:BM6"/>
      <sortCondition descending="1" ref="BK1:BK6"/>
      <sortCondition descending="1" ref="BJ1:BJ6"/>
      <sortCondition descending="1" ref="BG1:BG6"/>
      <sortCondition descending="1" ref="BB1:BB6"/>
      <sortCondition descending="1" ref="AU1:AU6"/>
      <sortCondition descending="1" ref="AT1:AT6"/>
      <sortCondition descending="1" ref="BA1:BA6"/>
      <sortCondition descending="1" ref="AZ1:AZ6"/>
      <sortCondition descending="1" ref="AY1:AY6"/>
      <sortCondition descending="1" ref="AX1:AX6"/>
      <sortCondition descending="1" ref="AW1:AW6"/>
      <sortCondition descending="1" ref="AV1:AV6"/>
      <sortCondition descending="1" ref="AR1:AR6"/>
      <sortCondition descending="1" ref="AQ1:AQ6"/>
      <sortCondition descending="1" ref="AN1:AN6"/>
      <sortCondition ref="C1:C6"/>
      <sortCondition descending="1" ref="AP1:AP6"/>
      <sortCondition descending="1" ref="AA1:AA6"/>
      <sortCondition descending="1" ref="AC1:AC6"/>
      <sortCondition descending="1" ref="AF1:AF6"/>
      <sortCondition descending="1" ref="AD1:AD6"/>
      <sortCondition descending="1" ref="AE1:AE6"/>
      <sortCondition descending="1" ref="AB1:AB6"/>
      <sortCondition descending="1" ref="Y1:Y6"/>
    </sortState>
  </autoFilter>
  <conditionalFormatting sqref="Y1:Y6 D2:D6 AN2:AN6 BD2:BD6 BO2:BO6 BY2:BY6 CJ2:CJ6 CW2:CW6">
    <cfRule type="cellIs" dxfId="13" priority="1" operator="lessThanOrEqual">
      <formula>0</formula>
    </cfRule>
  </conditionalFormatting>
  <conditionalFormatting sqref="Y1:Y6 D2:D6 AN2:AN6 BD2:BD6 BO2:BO6 BY2:BY6 CJ2:CJ6 CW2:CW6">
    <cfRule type="cellIs" dxfId="1" priority="2" operator="between">
      <formula>98.5</formula>
      <formula>100</formula>
    </cfRule>
  </conditionalFormatting>
  <conditionalFormatting sqref="Y1:Y6 D2:D6 AN2:AN6 BD2:BD6 BO2:BO6 BY2:BY6 CJ2:CJ6 CW2:CW6">
    <cfRule type="cellIs" dxfId="2" priority="3" operator="between">
      <formula>96.5</formula>
      <formula>98.5</formula>
    </cfRule>
  </conditionalFormatting>
  <conditionalFormatting sqref="Y1:Y6 D2:D6 AN2:AN6 BD2:BD6 BO2:BO6 BY2:BY6 CJ2:CJ6 CW2:CW6">
    <cfRule type="cellIs" dxfId="3" priority="4" operator="between">
      <formula>94.5</formula>
      <formula>96.5</formula>
    </cfRule>
  </conditionalFormatting>
  <conditionalFormatting sqref="Y1:Y6 D2:D6 AN2:AN6 BD2:BD6 BO2:BO6 BY2:BY6 CJ2:CJ6 CW2:CW6">
    <cfRule type="cellIs" dxfId="4" priority="5" operator="between">
      <formula>91.5</formula>
      <formula>94.5</formula>
    </cfRule>
  </conditionalFormatting>
  <conditionalFormatting sqref="Y1:Y6 D2:D6 AN2:AN6 BD2:BD6 BO2:BO6 BY2:BY6 CJ2:CJ6 CW2:CW6">
    <cfRule type="cellIs" dxfId="5" priority="6" operator="between">
      <formula>89.5</formula>
      <formula>91.5</formula>
    </cfRule>
  </conditionalFormatting>
  <conditionalFormatting sqref="Y1:Y6 D2:D6 AN2:AN6 BD2:BD6 BO2:BO6 BY2:BY6 CJ2:CJ6 CW2:CW6">
    <cfRule type="cellIs" dxfId="6" priority="7" operator="between">
      <formula>86.5</formula>
      <formula>89.5</formula>
    </cfRule>
  </conditionalFormatting>
  <conditionalFormatting sqref="Y1:Y6 D2:D6 AN2:AN6 BD2:BD6 BO2:BO6 BY2:BY6 CJ2:CJ6 CW2:CW6">
    <cfRule type="cellIs" dxfId="7" priority="8" operator="between">
      <formula>79.5</formula>
      <formula>83.5</formula>
    </cfRule>
  </conditionalFormatting>
  <conditionalFormatting sqref="Y1:Y6 D2:D6 AN2:AN6 BD2:BD6 BO2:BO6 BY2:BY6 CJ2:CJ6 CW2:CW6">
    <cfRule type="cellIs" dxfId="8" priority="9" operator="between">
      <formula>83.5</formula>
      <formula>86.5</formula>
    </cfRule>
  </conditionalFormatting>
  <conditionalFormatting sqref="Y1:Y6 D2:D6 AN2:AN6 BD2:BD6 BO2:BO6 BY2:BY6 CJ2:CJ6 CW2:CW6">
    <cfRule type="cellIs" dxfId="9" priority="10" operator="between">
      <formula>69.5</formula>
      <formula>74.5</formula>
    </cfRule>
  </conditionalFormatting>
  <conditionalFormatting sqref="Y1:Y6 D2:D6 AN2:AN6 BD2:BD6 BO2:BO6 BY2:BY6 CJ2:CJ6 CW2:CW6">
    <cfRule type="cellIs" dxfId="10" priority="11" operator="between">
      <formula>79.5</formula>
      <formula>74.5</formula>
    </cfRule>
  </conditionalFormatting>
  <conditionalFormatting sqref="Y1:Y6 D2:D6 AN2:AN6 BD2:BD6 BO2:BO6 BY2:BY6 CJ2:CJ6 CW2:CW6">
    <cfRule type="colorScale" priority="12">
      <colorScale>
        <cfvo type="percent" val="0.5"/>
        <cfvo type="percent" val="50"/>
        <cfvo type="percent" val="69.5"/>
        <color rgb="FF000000"/>
        <color rgb="FF180C00"/>
        <color rgb="FF60482E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75"/>
    <col customWidth="1" min="3" max="3" width="16.5"/>
    <col customWidth="1" min="6" max="6" width="31.0"/>
    <col customWidth="1" min="8" max="8" width="27.5"/>
  </cols>
  <sheetData>
    <row r="1">
      <c r="A1" s="102" t="s">
        <v>172</v>
      </c>
      <c r="B1" s="67" t="s">
        <v>1</v>
      </c>
      <c r="C1" s="67" t="s">
        <v>2</v>
      </c>
      <c r="D1" s="1" t="s">
        <v>173</v>
      </c>
      <c r="E1" s="1" t="s">
        <v>93</v>
      </c>
      <c r="F1" s="1" t="str">
        <f>DataPull!D1</f>
        <v/>
      </c>
      <c r="G1" s="100" t="str">
        <f>H1</f>
        <v/>
      </c>
      <c r="H1" s="103" t="str">
        <f>F1</f>
        <v/>
      </c>
      <c r="I1" s="93" t="str">
        <f>CONCAT("INV_", H1)</f>
        <v>INV_</v>
      </c>
      <c r="J1" s="100" t="str">
        <f>I1</f>
        <v>INV_</v>
      </c>
      <c r="K1" s="100"/>
      <c r="L1" s="104" t="s">
        <v>174</v>
      </c>
      <c r="M1" s="105" t="str">
        <f>SUBTOTAL(1, F:F)</f>
        <v>#DIV/0!</v>
      </c>
      <c r="N1" s="106" t="s">
        <v>175</v>
      </c>
      <c r="O1" s="105" t="str">
        <f>SUBTOTAL(7, F:F)</f>
        <v>#DIV/0!</v>
      </c>
      <c r="P1" s="93" t="str">
        <f>IF(#REF!="2023-24", IF(L1&lt;500, IF(O1&gt;0, O1*L1/500, O1), O1), IF(L1&lt;1000, IF(O1&gt;0, O1*L1/1000, O1), O1))</f>
        <v>#REF!</v>
      </c>
    </row>
    <row r="2">
      <c r="A2" s="107">
        <v>708.0</v>
      </c>
      <c r="B2" s="108" t="s">
        <v>85</v>
      </c>
      <c r="C2" s="109" t="s">
        <v>86</v>
      </c>
      <c r="D2" s="110" t="s">
        <v>176</v>
      </c>
      <c r="E2" s="110">
        <v>1107.0</v>
      </c>
      <c r="F2" s="111" t="str">
        <f>DataPull!D2</f>
        <v/>
      </c>
      <c r="G2" s="94" t="str">
        <f t="shared" ref="G2:G6920" si="2">if(F2&lt;&gt;"", (F2-$M$1)/$O$1,)</f>
        <v/>
      </c>
      <c r="H2" s="94" t="str">
        <f t="shared" ref="H2:H6920" si="3">if(F2&lt;&gt;"",IFERROR(IF(B2 = "2025-26", if(OR(E2 &gt;= 200, OR(D2 &lt;&gt; "Too Few Games"), D2 = "Rotation"), G2, if(G2 &gt; 0, G2*E2/1000, G2-1)), if(OR(E2 &gt;= 1000, D2 &lt;&gt; "Garbage Time"), G2, if(G2 &gt; 0, G2*E2/1000, G2-1))), ),)</f>
        <v/>
      </c>
      <c r="I2" s="94" t="str">
        <f t="shared" ref="I2:J2" si="1">if(G2 = "", , -G2)</f>
        <v/>
      </c>
      <c r="J2" s="94" t="str">
        <f t="shared" si="1"/>
        <v/>
      </c>
      <c r="K2" s="100"/>
      <c r="L2" s="100"/>
      <c r="N2" s="100"/>
    </row>
    <row r="3">
      <c r="A3" s="107">
        <v>708.0</v>
      </c>
      <c r="B3" s="108" t="s">
        <v>90</v>
      </c>
      <c r="C3" s="108" t="s">
        <v>86</v>
      </c>
      <c r="D3" s="112" t="s">
        <v>177</v>
      </c>
      <c r="E3" s="112">
        <v>954.1</v>
      </c>
      <c r="F3" s="111" t="str">
        <f>DataPull!D3</f>
        <v/>
      </c>
      <c r="G3" s="94" t="str">
        <f t="shared" si="2"/>
        <v/>
      </c>
      <c r="H3" s="94" t="str">
        <f t="shared" si="3"/>
        <v/>
      </c>
      <c r="I3" s="94" t="str">
        <f t="shared" ref="I3:J3" si="4">if(G3 = "", , -G3)</f>
        <v/>
      </c>
      <c r="J3" s="94" t="str">
        <f t="shared" si="4"/>
        <v/>
      </c>
      <c r="K3" s="100"/>
      <c r="M3" s="100"/>
      <c r="N3" s="100"/>
    </row>
    <row r="4">
      <c r="A4" s="107">
        <v>708.0</v>
      </c>
      <c r="B4" s="108" t="s">
        <v>92</v>
      </c>
      <c r="C4" s="108" t="s">
        <v>86</v>
      </c>
      <c r="D4" s="112" t="s">
        <v>177</v>
      </c>
      <c r="E4" s="112">
        <v>554.8</v>
      </c>
      <c r="F4" s="111" t="str">
        <f>DataPull!D4</f>
        <v/>
      </c>
      <c r="G4" s="94" t="str">
        <f t="shared" si="2"/>
        <v/>
      </c>
      <c r="H4" s="94" t="str">
        <f t="shared" si="3"/>
        <v/>
      </c>
      <c r="I4" s="94" t="str">
        <f t="shared" ref="I4:J4" si="5">if(G4 = "", , -G4)</f>
        <v/>
      </c>
      <c r="J4" s="94" t="str">
        <f t="shared" si="5"/>
        <v/>
      </c>
      <c r="K4" s="100"/>
      <c r="M4" s="100"/>
      <c r="N4" s="100"/>
      <c r="O4" s="100"/>
      <c r="P4" s="100"/>
    </row>
    <row r="5">
      <c r="A5" s="107">
        <v>951.0</v>
      </c>
      <c r="B5" s="108" t="s">
        <v>85</v>
      </c>
      <c r="C5" s="108" t="s">
        <v>94</v>
      </c>
      <c r="D5" s="112" t="s">
        <v>178</v>
      </c>
      <c r="E5" s="112">
        <v>1934.5</v>
      </c>
      <c r="F5" s="111" t="str">
        <f>DataPull!D5</f>
        <v/>
      </c>
      <c r="G5" s="94" t="str">
        <f t="shared" si="2"/>
        <v/>
      </c>
      <c r="H5" s="94" t="str">
        <f t="shared" si="3"/>
        <v/>
      </c>
      <c r="I5" s="94" t="str">
        <f t="shared" ref="I5:J5" si="6">if(G5 = "", , -G5)</f>
        <v/>
      </c>
      <c r="J5" s="94" t="str">
        <f t="shared" si="6"/>
        <v/>
      </c>
      <c r="K5" s="100"/>
      <c r="M5" s="100"/>
      <c r="N5" s="100"/>
      <c r="O5" s="100"/>
      <c r="P5" s="100"/>
    </row>
    <row r="6">
      <c r="A6" s="107">
        <v>959.0</v>
      </c>
      <c r="B6" s="108" t="s">
        <v>85</v>
      </c>
      <c r="C6" s="108" t="s">
        <v>98</v>
      </c>
      <c r="D6" s="112" t="s">
        <v>177</v>
      </c>
      <c r="E6" s="112">
        <v>312.0</v>
      </c>
      <c r="F6" s="111" t="str">
        <f>DataPull!D6</f>
        <v/>
      </c>
      <c r="G6" s="94" t="str">
        <f t="shared" si="2"/>
        <v/>
      </c>
      <c r="H6" s="94" t="str">
        <f t="shared" si="3"/>
        <v/>
      </c>
      <c r="I6" s="94" t="str">
        <f t="shared" ref="I6:J6" si="7">if(G6 = "", , -G6)</f>
        <v/>
      </c>
      <c r="J6" s="94" t="str">
        <f t="shared" si="7"/>
        <v/>
      </c>
      <c r="K6" s="100"/>
      <c r="M6" s="100"/>
      <c r="N6" s="100"/>
      <c r="O6" s="100"/>
      <c r="P6" s="100"/>
    </row>
    <row r="7">
      <c r="A7" s="107">
        <v>965.0</v>
      </c>
      <c r="B7" s="108" t="s">
        <v>85</v>
      </c>
      <c r="C7" s="108" t="s">
        <v>179</v>
      </c>
      <c r="D7" s="112" t="s">
        <v>177</v>
      </c>
      <c r="E7" s="112">
        <v>1425.6</v>
      </c>
      <c r="F7" s="111" t="str">
        <f>DataPull!D7</f>
        <v/>
      </c>
      <c r="G7" s="94" t="str">
        <f t="shared" si="2"/>
        <v/>
      </c>
      <c r="H7" s="94" t="str">
        <f t="shared" si="3"/>
        <v/>
      </c>
      <c r="I7" s="94" t="str">
        <f t="shared" ref="I7:J7" si="8">if(G7 = "", , -G7)</f>
        <v/>
      </c>
      <c r="J7" s="94" t="str">
        <f t="shared" si="8"/>
        <v/>
      </c>
      <c r="K7" s="100"/>
      <c r="M7" s="100"/>
      <c r="N7" s="100"/>
      <c r="O7" s="100"/>
      <c r="P7" s="100"/>
    </row>
    <row r="8">
      <c r="A8" s="107">
        <v>977.0</v>
      </c>
      <c r="B8" s="108" t="s">
        <v>85</v>
      </c>
      <c r="C8" s="108" t="s">
        <v>180</v>
      </c>
      <c r="D8" s="112" t="s">
        <v>181</v>
      </c>
      <c r="E8" s="112">
        <v>177.0</v>
      </c>
      <c r="F8" s="111" t="str">
        <f>DataPull!D8</f>
        <v/>
      </c>
      <c r="G8" s="94" t="str">
        <f t="shared" si="2"/>
        <v/>
      </c>
      <c r="H8" s="94" t="str">
        <f t="shared" si="3"/>
        <v/>
      </c>
      <c r="I8" s="94" t="str">
        <f t="shared" ref="I8:J8" si="9">if(G8 = "", , -G8)</f>
        <v/>
      </c>
      <c r="J8" s="94" t="str">
        <f t="shared" si="9"/>
        <v/>
      </c>
      <c r="K8" s="100"/>
      <c r="M8" s="100"/>
      <c r="N8" s="100"/>
      <c r="O8" s="100"/>
      <c r="P8" s="100"/>
    </row>
    <row r="9">
      <c r="A9" s="107">
        <v>977.0</v>
      </c>
      <c r="B9" s="108" t="s">
        <v>90</v>
      </c>
      <c r="C9" s="108" t="s">
        <v>180</v>
      </c>
      <c r="D9" s="112" t="s">
        <v>178</v>
      </c>
      <c r="E9" s="112">
        <v>1207.5</v>
      </c>
      <c r="F9" s="111" t="str">
        <f>DataPull!D9</f>
        <v/>
      </c>
      <c r="G9" s="94" t="str">
        <f t="shared" si="2"/>
        <v/>
      </c>
      <c r="H9" s="94" t="str">
        <f t="shared" si="3"/>
        <v/>
      </c>
      <c r="I9" s="94" t="str">
        <f t="shared" ref="I9:J9" si="10">if(G9 = "", , -G9)</f>
        <v/>
      </c>
      <c r="J9" s="94" t="str">
        <f t="shared" si="10"/>
        <v/>
      </c>
      <c r="K9" s="100"/>
      <c r="M9" s="100"/>
      <c r="N9" s="100"/>
      <c r="O9" s="100"/>
      <c r="P9" s="100"/>
    </row>
    <row r="10">
      <c r="A10" s="107">
        <v>977.0</v>
      </c>
      <c r="B10" s="108" t="s">
        <v>92</v>
      </c>
      <c r="C10" s="108" t="s">
        <v>180</v>
      </c>
      <c r="D10" s="112" t="s">
        <v>178</v>
      </c>
      <c r="E10" s="112">
        <v>1861.2</v>
      </c>
      <c r="F10" s="111" t="str">
        <f>DataPull!D10</f>
        <v/>
      </c>
      <c r="G10" s="94" t="str">
        <f t="shared" si="2"/>
        <v/>
      </c>
      <c r="H10" s="94" t="str">
        <f t="shared" si="3"/>
        <v/>
      </c>
      <c r="I10" s="94" t="str">
        <f t="shared" ref="I10:J10" si="11">if(G10 = "", , -G10)</f>
        <v/>
      </c>
      <c r="J10" s="94" t="str">
        <f t="shared" si="11"/>
        <v/>
      </c>
      <c r="K10" s="100"/>
      <c r="M10" s="100"/>
      <c r="N10" s="100"/>
      <c r="O10" s="100"/>
      <c r="P10" s="100"/>
    </row>
    <row r="11">
      <c r="A11" s="107">
        <v>979.0</v>
      </c>
      <c r="B11" s="108" t="s">
        <v>85</v>
      </c>
      <c r="C11" s="108" t="s">
        <v>182</v>
      </c>
      <c r="D11" s="112" t="s">
        <v>177</v>
      </c>
      <c r="E11" s="112">
        <v>884.4</v>
      </c>
      <c r="F11" s="111" t="str">
        <f>DataPull!D11</f>
        <v/>
      </c>
      <c r="G11" s="94" t="str">
        <f t="shared" si="2"/>
        <v/>
      </c>
      <c r="H11" s="94" t="str">
        <f t="shared" si="3"/>
        <v/>
      </c>
      <c r="I11" s="94" t="str">
        <f t="shared" ref="I11:J11" si="12">if(G11 = "", , -G11)</f>
        <v/>
      </c>
      <c r="J11" s="94" t="str">
        <f t="shared" si="12"/>
        <v/>
      </c>
      <c r="K11" s="100"/>
      <c r="M11" s="100"/>
      <c r="N11" s="100"/>
      <c r="O11" s="100"/>
      <c r="P11" s="100"/>
    </row>
    <row r="12">
      <c r="A12" s="107">
        <v>1495.0</v>
      </c>
      <c r="B12" s="108" t="s">
        <v>85</v>
      </c>
      <c r="C12" s="108" t="s">
        <v>183</v>
      </c>
      <c r="D12" s="112" t="s">
        <v>184</v>
      </c>
      <c r="E12" s="112">
        <v>2160.8</v>
      </c>
      <c r="F12" s="111" t="str">
        <f>DataPull!D12</f>
        <v/>
      </c>
      <c r="G12" s="94" t="str">
        <f t="shared" si="2"/>
        <v/>
      </c>
      <c r="H12" s="94" t="str">
        <f t="shared" si="3"/>
        <v/>
      </c>
      <c r="I12" s="94" t="str">
        <f t="shared" ref="I12:J12" si="13">if(G12 = "", , -G12)</f>
        <v/>
      </c>
      <c r="J12" s="94" t="str">
        <f t="shared" si="13"/>
        <v/>
      </c>
      <c r="K12" s="100"/>
      <c r="M12" s="100"/>
      <c r="N12" s="100"/>
      <c r="O12" s="100"/>
      <c r="P12" s="100"/>
    </row>
    <row r="13">
      <c r="A13" s="107">
        <v>1495.0</v>
      </c>
      <c r="B13" s="108" t="s">
        <v>90</v>
      </c>
      <c r="C13" s="108" t="s">
        <v>183</v>
      </c>
      <c r="D13" s="112" t="s">
        <v>184</v>
      </c>
      <c r="E13" s="112">
        <v>2225.3</v>
      </c>
      <c r="F13" s="111" t="str">
        <f>DataPull!D13</f>
        <v/>
      </c>
      <c r="G13" s="94" t="str">
        <f t="shared" si="2"/>
        <v/>
      </c>
      <c r="H13" s="94" t="str">
        <f t="shared" si="3"/>
        <v/>
      </c>
      <c r="I13" s="94" t="str">
        <f t="shared" ref="I13:J13" si="14">if(G13 = "", , -G13)</f>
        <v/>
      </c>
      <c r="J13" s="94" t="str">
        <f t="shared" si="14"/>
        <v/>
      </c>
      <c r="K13" s="100"/>
      <c r="M13" s="100"/>
      <c r="N13" s="100"/>
      <c r="O13" s="100"/>
      <c r="P13" s="100"/>
    </row>
    <row r="14">
      <c r="A14" s="107">
        <v>1495.0</v>
      </c>
      <c r="B14" s="108" t="s">
        <v>92</v>
      </c>
      <c r="C14" s="108" t="s">
        <v>183</v>
      </c>
      <c r="D14" s="112" t="s">
        <v>178</v>
      </c>
      <c r="E14" s="112">
        <v>1537.2</v>
      </c>
      <c r="F14" s="111" t="str">
        <f>DataPull!D14</f>
        <v/>
      </c>
      <c r="G14" s="94" t="str">
        <f t="shared" si="2"/>
        <v/>
      </c>
      <c r="H14" s="94" t="str">
        <f t="shared" si="3"/>
        <v/>
      </c>
      <c r="I14" s="94" t="str">
        <f t="shared" ref="I14:J14" si="15">if(G14 = "", , -G14)</f>
        <v/>
      </c>
      <c r="J14" s="94" t="str">
        <f t="shared" si="15"/>
        <v/>
      </c>
      <c r="K14" s="100"/>
      <c r="M14" s="100"/>
      <c r="N14" s="100"/>
      <c r="O14" s="100"/>
      <c r="P14" s="100"/>
    </row>
    <row r="15">
      <c r="A15" s="107">
        <v>1497.0</v>
      </c>
      <c r="B15" s="108" t="s">
        <v>85</v>
      </c>
      <c r="C15" s="108" t="s">
        <v>185</v>
      </c>
      <c r="D15" s="112" t="s">
        <v>177</v>
      </c>
      <c r="E15" s="112">
        <v>309.7</v>
      </c>
      <c r="F15" s="111" t="str">
        <f>DataPull!D15</f>
        <v/>
      </c>
      <c r="G15" s="94" t="str">
        <f t="shared" si="2"/>
        <v/>
      </c>
      <c r="H15" s="94" t="str">
        <f t="shared" si="3"/>
        <v/>
      </c>
      <c r="I15" s="94" t="str">
        <f t="shared" ref="I15:J15" si="16">if(G15 = "", , -G15)</f>
        <v/>
      </c>
      <c r="J15" s="94" t="str">
        <f t="shared" si="16"/>
        <v/>
      </c>
      <c r="K15" s="100"/>
      <c r="L15" s="100"/>
      <c r="N15" s="100"/>
      <c r="O15" s="100"/>
      <c r="P15" s="100"/>
    </row>
    <row r="16">
      <c r="A16" s="107">
        <v>1536.0</v>
      </c>
      <c r="B16" s="108" t="s">
        <v>85</v>
      </c>
      <c r="C16" s="108" t="s">
        <v>186</v>
      </c>
      <c r="D16" s="112" t="s">
        <v>187</v>
      </c>
      <c r="E16" s="112">
        <v>107.1</v>
      </c>
      <c r="F16" s="111" t="str">
        <f>DataPull!D16</f>
        <v/>
      </c>
      <c r="G16" s="94" t="str">
        <f t="shared" si="2"/>
        <v/>
      </c>
      <c r="H16" s="94" t="str">
        <f t="shared" si="3"/>
        <v/>
      </c>
      <c r="I16" s="94" t="str">
        <f t="shared" ref="I16:J16" si="17">if(G16 = "", , -G16)</f>
        <v/>
      </c>
      <c r="J16" s="94" t="str">
        <f t="shared" si="17"/>
        <v/>
      </c>
      <c r="K16" s="100"/>
      <c r="M16" s="100"/>
      <c r="N16" s="100"/>
      <c r="O16" s="100"/>
      <c r="P16" s="100"/>
    </row>
    <row r="17">
      <c r="A17" s="107">
        <v>1712.0</v>
      </c>
      <c r="B17" s="108" t="s">
        <v>85</v>
      </c>
      <c r="C17" s="108" t="s">
        <v>188</v>
      </c>
      <c r="D17" s="112" t="s">
        <v>187</v>
      </c>
      <c r="E17" s="112">
        <v>248.6</v>
      </c>
      <c r="F17" s="111" t="str">
        <f>DataPull!D17</f>
        <v/>
      </c>
      <c r="G17" s="94" t="str">
        <f t="shared" si="2"/>
        <v/>
      </c>
      <c r="H17" s="94" t="str">
        <f t="shared" si="3"/>
        <v/>
      </c>
      <c r="I17" s="94" t="str">
        <f t="shared" ref="I17:J17" si="18">if(G17 = "", , -G17)</f>
        <v/>
      </c>
      <c r="J17" s="94" t="str">
        <f t="shared" si="18"/>
        <v/>
      </c>
      <c r="K17" s="100"/>
      <c r="M17" s="100"/>
      <c r="N17" s="100"/>
      <c r="O17" s="100"/>
      <c r="P17" s="100"/>
    </row>
    <row r="18">
      <c r="A18" s="107">
        <v>1713.0</v>
      </c>
      <c r="B18" s="108" t="s">
        <v>85</v>
      </c>
      <c r="C18" s="108" t="s">
        <v>189</v>
      </c>
      <c r="D18" s="112" t="s">
        <v>178</v>
      </c>
      <c r="E18" s="112">
        <v>1976.4</v>
      </c>
      <c r="F18" s="111" t="str">
        <f>DataPull!D18</f>
        <v/>
      </c>
      <c r="G18" s="94" t="str">
        <f t="shared" si="2"/>
        <v/>
      </c>
      <c r="H18" s="94" t="str">
        <f t="shared" si="3"/>
        <v/>
      </c>
      <c r="I18" s="94" t="str">
        <f t="shared" ref="I18:J18" si="19">if(G18 = "", , -G18)</f>
        <v/>
      </c>
      <c r="J18" s="94" t="str">
        <f t="shared" si="19"/>
        <v/>
      </c>
      <c r="K18" s="100"/>
      <c r="M18" s="100"/>
      <c r="N18" s="100"/>
      <c r="O18" s="100"/>
      <c r="P18" s="100"/>
    </row>
    <row r="19">
      <c r="A19" s="107">
        <v>1713.0</v>
      </c>
      <c r="B19" s="108" t="s">
        <v>90</v>
      </c>
      <c r="C19" s="108" t="s">
        <v>189</v>
      </c>
      <c r="D19" s="112" t="s">
        <v>177</v>
      </c>
      <c r="E19" s="112">
        <v>1089.0</v>
      </c>
      <c r="F19" s="111" t="str">
        <f>DataPull!D19</f>
        <v/>
      </c>
      <c r="G19" s="94" t="str">
        <f t="shared" si="2"/>
        <v/>
      </c>
      <c r="H19" s="94" t="str">
        <f t="shared" si="3"/>
        <v/>
      </c>
      <c r="I19" s="94" t="str">
        <f t="shared" ref="I19:J19" si="20">if(G19 = "", , -G19)</f>
        <v/>
      </c>
      <c r="J19" s="94" t="str">
        <f t="shared" si="20"/>
        <v/>
      </c>
      <c r="K19" s="100"/>
      <c r="M19" s="100"/>
      <c r="N19" s="100"/>
      <c r="O19" s="100"/>
      <c r="P19" s="100"/>
    </row>
    <row r="20">
      <c r="A20" s="107">
        <v>1713.0</v>
      </c>
      <c r="B20" s="108" t="s">
        <v>92</v>
      </c>
      <c r="C20" s="108" t="s">
        <v>189</v>
      </c>
      <c r="D20" s="112" t="s">
        <v>177</v>
      </c>
      <c r="E20" s="112">
        <v>1008.0</v>
      </c>
      <c r="F20" s="111" t="str">
        <f>DataPull!D20</f>
        <v/>
      </c>
      <c r="G20" s="94" t="str">
        <f t="shared" si="2"/>
        <v/>
      </c>
      <c r="H20" s="94" t="str">
        <f t="shared" si="3"/>
        <v/>
      </c>
      <c r="I20" s="94" t="str">
        <f t="shared" ref="I20:J20" si="21">if(G20 = "", , -G20)</f>
        <v/>
      </c>
      <c r="J20" s="94" t="str">
        <f t="shared" si="21"/>
        <v/>
      </c>
      <c r="K20" s="100"/>
      <c r="M20" s="100"/>
      <c r="N20" s="100"/>
      <c r="O20" s="100"/>
      <c r="P20" s="100"/>
    </row>
    <row r="21">
      <c r="A21" s="107">
        <v>1713.0</v>
      </c>
      <c r="B21" s="108" t="s">
        <v>190</v>
      </c>
      <c r="C21" s="108" t="s">
        <v>189</v>
      </c>
      <c r="D21" s="112" t="s">
        <v>178</v>
      </c>
      <c r="E21" s="112">
        <v>1803.1</v>
      </c>
      <c r="F21" s="111" t="str">
        <f>DataPull!D21</f>
        <v/>
      </c>
      <c r="G21" s="94" t="str">
        <f t="shared" si="2"/>
        <v/>
      </c>
      <c r="H21" s="94" t="str">
        <f t="shared" si="3"/>
        <v/>
      </c>
      <c r="I21" s="94" t="str">
        <f t="shared" ref="I21:J21" si="22">if(G21 = "", , -G21)</f>
        <v/>
      </c>
      <c r="J21" s="94" t="str">
        <f t="shared" si="22"/>
        <v/>
      </c>
      <c r="K21" s="100"/>
      <c r="M21" s="100"/>
      <c r="N21" s="100"/>
      <c r="O21" s="100"/>
      <c r="P21" s="100"/>
    </row>
    <row r="22">
      <c r="A22" s="107">
        <v>1713.0</v>
      </c>
      <c r="B22" s="108" t="s">
        <v>191</v>
      </c>
      <c r="C22" s="108" t="s">
        <v>189</v>
      </c>
      <c r="D22" s="112" t="s">
        <v>176</v>
      </c>
      <c r="E22" s="112">
        <v>1026.6</v>
      </c>
      <c r="F22" s="111" t="str">
        <f>DataPull!D22</f>
        <v/>
      </c>
      <c r="G22" s="94" t="str">
        <f t="shared" si="2"/>
        <v/>
      </c>
      <c r="H22" s="94" t="str">
        <f t="shared" si="3"/>
        <v/>
      </c>
      <c r="I22" s="94" t="str">
        <f t="shared" ref="I22:J22" si="23">if(G22 = "", , -G22)</f>
        <v/>
      </c>
      <c r="J22" s="94" t="str">
        <f t="shared" si="23"/>
        <v/>
      </c>
      <c r="K22" s="100"/>
      <c r="M22" s="100"/>
      <c r="N22" s="100"/>
      <c r="O22" s="100"/>
      <c r="P22" s="100"/>
    </row>
    <row r="23">
      <c r="A23" s="107">
        <v>1713.0</v>
      </c>
      <c r="B23" s="108" t="s">
        <v>192</v>
      </c>
      <c r="C23" s="108" t="s">
        <v>189</v>
      </c>
      <c r="D23" s="112" t="s">
        <v>177</v>
      </c>
      <c r="E23" s="112">
        <v>1330.0</v>
      </c>
      <c r="F23" s="111" t="str">
        <f>DataPull!D23</f>
        <v/>
      </c>
      <c r="G23" s="94" t="str">
        <f t="shared" si="2"/>
        <v/>
      </c>
      <c r="H23" s="94" t="str">
        <f t="shared" si="3"/>
        <v/>
      </c>
      <c r="I23" s="94" t="str">
        <f t="shared" ref="I23:J23" si="24">if(G23 = "", , -G23)</f>
        <v/>
      </c>
      <c r="J23" s="94" t="str">
        <f t="shared" si="24"/>
        <v/>
      </c>
      <c r="K23" s="100"/>
      <c r="M23" s="100"/>
      <c r="N23" s="100"/>
      <c r="O23" s="100"/>
      <c r="P23" s="100"/>
    </row>
    <row r="24">
      <c r="A24" s="107">
        <v>1713.0</v>
      </c>
      <c r="B24" s="108" t="s">
        <v>193</v>
      </c>
      <c r="C24" s="108" t="s">
        <v>189</v>
      </c>
      <c r="D24" s="112" t="s">
        <v>177</v>
      </c>
      <c r="E24" s="112">
        <v>876.0</v>
      </c>
      <c r="F24" s="111" t="str">
        <f>DataPull!D24</f>
        <v/>
      </c>
      <c r="G24" s="94" t="str">
        <f t="shared" si="2"/>
        <v/>
      </c>
      <c r="H24" s="94" t="str">
        <f t="shared" si="3"/>
        <v/>
      </c>
      <c r="I24" s="94" t="str">
        <f t="shared" ref="I24:J24" si="25">if(G24 = "", , -G24)</f>
        <v/>
      </c>
      <c r="J24" s="94" t="str">
        <f t="shared" si="25"/>
        <v/>
      </c>
      <c r="K24" s="100"/>
      <c r="M24" s="100"/>
      <c r="N24" s="100"/>
      <c r="O24" s="100"/>
      <c r="P24" s="100"/>
    </row>
    <row r="25">
      <c r="A25" s="107">
        <v>1717.0</v>
      </c>
      <c r="B25" s="108" t="s">
        <v>85</v>
      </c>
      <c r="C25" s="108" t="s">
        <v>194</v>
      </c>
      <c r="D25" s="112" t="s">
        <v>184</v>
      </c>
      <c r="E25" s="112">
        <v>2632.0</v>
      </c>
      <c r="F25" s="111" t="str">
        <f>DataPull!D25</f>
        <v/>
      </c>
      <c r="G25" s="94" t="str">
        <f t="shared" si="2"/>
        <v/>
      </c>
      <c r="H25" s="94" t="str">
        <f t="shared" si="3"/>
        <v/>
      </c>
      <c r="I25" s="94" t="str">
        <f t="shared" ref="I25:J25" si="26">if(G25 = "", , -G25)</f>
        <v/>
      </c>
      <c r="J25" s="94" t="str">
        <f t="shared" si="26"/>
        <v/>
      </c>
      <c r="K25" s="100"/>
      <c r="M25" s="100"/>
      <c r="N25" s="100"/>
      <c r="O25" s="100"/>
      <c r="P25" s="100"/>
    </row>
    <row r="26">
      <c r="A26" s="107">
        <v>1717.0</v>
      </c>
      <c r="B26" s="108" t="s">
        <v>90</v>
      </c>
      <c r="C26" s="108" t="s">
        <v>194</v>
      </c>
      <c r="D26" s="112" t="s">
        <v>184</v>
      </c>
      <c r="E26" s="112">
        <v>2279.2</v>
      </c>
      <c r="F26" s="111" t="str">
        <f>DataPull!D26</f>
        <v/>
      </c>
      <c r="G26" s="94" t="str">
        <f t="shared" si="2"/>
        <v/>
      </c>
      <c r="H26" s="94" t="str">
        <f t="shared" si="3"/>
        <v/>
      </c>
      <c r="I26" s="94" t="str">
        <f t="shared" ref="I26:J26" si="27">if(G26 = "", , -G26)</f>
        <v/>
      </c>
      <c r="J26" s="94" t="str">
        <f t="shared" si="27"/>
        <v/>
      </c>
      <c r="K26" s="100"/>
      <c r="M26" s="100"/>
      <c r="N26" s="100"/>
      <c r="O26" s="100"/>
      <c r="P26" s="100"/>
    </row>
    <row r="27">
      <c r="A27" s="107">
        <v>1717.0</v>
      </c>
      <c r="B27" s="108" t="s">
        <v>92</v>
      </c>
      <c r="C27" s="108" t="s">
        <v>194</v>
      </c>
      <c r="D27" s="112" t="s">
        <v>178</v>
      </c>
      <c r="E27" s="112">
        <v>2362.5</v>
      </c>
      <c r="F27" s="111" t="str">
        <f>DataPull!D27</f>
        <v/>
      </c>
      <c r="G27" s="94" t="str">
        <f t="shared" si="2"/>
        <v/>
      </c>
      <c r="H27" s="94" t="str">
        <f t="shared" si="3"/>
        <v/>
      </c>
      <c r="I27" s="94" t="str">
        <f t="shared" ref="I27:J27" si="28">if(G27 = "", , -G27)</f>
        <v/>
      </c>
      <c r="J27" s="94" t="str">
        <f t="shared" si="28"/>
        <v/>
      </c>
      <c r="K27" s="100"/>
      <c r="M27" s="100"/>
      <c r="N27" s="100"/>
      <c r="O27" s="100"/>
      <c r="P27" s="100"/>
    </row>
    <row r="28">
      <c r="A28" s="107">
        <v>1717.0</v>
      </c>
      <c r="B28" s="108" t="s">
        <v>190</v>
      </c>
      <c r="C28" s="108" t="s">
        <v>194</v>
      </c>
      <c r="D28" s="112" t="s">
        <v>176</v>
      </c>
      <c r="E28" s="112">
        <v>1425.6</v>
      </c>
      <c r="F28" s="111" t="str">
        <f>DataPull!D28</f>
        <v/>
      </c>
      <c r="G28" s="94" t="str">
        <f t="shared" si="2"/>
        <v/>
      </c>
      <c r="H28" s="94" t="str">
        <f t="shared" si="3"/>
        <v/>
      </c>
      <c r="I28" s="94" t="str">
        <f t="shared" ref="I28:J28" si="29">if(G28 = "", , -G28)</f>
        <v/>
      </c>
      <c r="J28" s="94" t="str">
        <f t="shared" si="29"/>
        <v/>
      </c>
      <c r="K28" s="100"/>
      <c r="M28" s="100"/>
      <c r="N28" s="100"/>
      <c r="O28" s="100"/>
      <c r="P28" s="100"/>
    </row>
    <row r="29">
      <c r="A29" s="107">
        <v>1717.0</v>
      </c>
      <c r="B29" s="108" t="s">
        <v>191</v>
      </c>
      <c r="C29" s="108" t="s">
        <v>194</v>
      </c>
      <c r="D29" s="112" t="s">
        <v>176</v>
      </c>
      <c r="E29" s="112">
        <v>1901.9</v>
      </c>
      <c r="F29" s="111" t="str">
        <f>DataPull!D29</f>
        <v/>
      </c>
      <c r="G29" s="94" t="str">
        <f t="shared" si="2"/>
        <v/>
      </c>
      <c r="H29" s="94" t="str">
        <f t="shared" si="3"/>
        <v/>
      </c>
      <c r="I29" s="94" t="str">
        <f t="shared" ref="I29:J29" si="30">if(G29 = "", , -G29)</f>
        <v/>
      </c>
      <c r="J29" s="94" t="str">
        <f t="shared" si="30"/>
        <v/>
      </c>
      <c r="K29" s="100"/>
      <c r="M29" s="100"/>
      <c r="N29" s="100"/>
      <c r="O29" s="100"/>
      <c r="P29" s="100"/>
    </row>
    <row r="30">
      <c r="A30" s="107">
        <v>1717.0</v>
      </c>
      <c r="B30" s="108" t="s">
        <v>192</v>
      </c>
      <c r="C30" s="108" t="s">
        <v>194</v>
      </c>
      <c r="D30" s="112" t="s">
        <v>177</v>
      </c>
      <c r="E30" s="112">
        <v>795.6</v>
      </c>
      <c r="F30" s="111" t="str">
        <f>DataPull!D30</f>
        <v/>
      </c>
      <c r="G30" s="94" t="str">
        <f t="shared" si="2"/>
        <v/>
      </c>
      <c r="H30" s="94" t="str">
        <f t="shared" si="3"/>
        <v/>
      </c>
      <c r="I30" s="94" t="str">
        <f t="shared" ref="I30:J30" si="31">if(G30 = "", , -G30)</f>
        <v/>
      </c>
      <c r="J30" s="94" t="str">
        <f t="shared" si="31"/>
        <v/>
      </c>
      <c r="K30" s="100"/>
      <c r="M30" s="100"/>
      <c r="N30" s="100"/>
      <c r="O30" s="100"/>
      <c r="P30" s="100"/>
    </row>
    <row r="31">
      <c r="A31" s="107">
        <v>1718.0</v>
      </c>
      <c r="B31" s="108" t="s">
        <v>85</v>
      </c>
      <c r="C31" s="108" t="s">
        <v>195</v>
      </c>
      <c r="D31" s="112" t="s">
        <v>178</v>
      </c>
      <c r="E31" s="112">
        <v>2100.0</v>
      </c>
      <c r="F31" s="111" t="str">
        <f>DataPull!D31</f>
        <v/>
      </c>
      <c r="G31" s="94" t="str">
        <f t="shared" si="2"/>
        <v/>
      </c>
      <c r="H31" s="94" t="str">
        <f t="shared" si="3"/>
        <v/>
      </c>
      <c r="I31" s="94" t="str">
        <f t="shared" ref="I31:J31" si="32">if(G31 = "", , -G31)</f>
        <v/>
      </c>
      <c r="J31" s="94" t="str">
        <f t="shared" si="32"/>
        <v/>
      </c>
      <c r="K31" s="100"/>
      <c r="M31" s="100"/>
      <c r="N31" s="100"/>
      <c r="O31" s="100"/>
      <c r="P31" s="100"/>
    </row>
    <row r="32">
      <c r="A32" s="107">
        <v>1718.0</v>
      </c>
      <c r="B32" s="108" t="s">
        <v>90</v>
      </c>
      <c r="C32" s="108" t="s">
        <v>195</v>
      </c>
      <c r="D32" s="112" t="s">
        <v>178</v>
      </c>
      <c r="E32" s="112">
        <v>1912.6</v>
      </c>
      <c r="F32" s="111" t="str">
        <f>DataPull!D32</f>
        <v/>
      </c>
      <c r="G32" s="94" t="str">
        <f t="shared" si="2"/>
        <v/>
      </c>
      <c r="H32" s="94" t="str">
        <f t="shared" si="3"/>
        <v/>
      </c>
      <c r="I32" s="94" t="str">
        <f t="shared" ref="I32:J32" si="33">if(G32 = "", , -G32)</f>
        <v/>
      </c>
      <c r="J32" s="94" t="str">
        <f t="shared" si="33"/>
        <v/>
      </c>
      <c r="K32" s="100"/>
      <c r="M32" s="100"/>
      <c r="N32" s="100"/>
      <c r="O32" s="100"/>
      <c r="P32" s="100"/>
    </row>
    <row r="33">
      <c r="A33" s="107">
        <v>1718.0</v>
      </c>
      <c r="B33" s="108" t="s">
        <v>92</v>
      </c>
      <c r="C33" s="108" t="s">
        <v>195</v>
      </c>
      <c r="D33" s="112" t="s">
        <v>177</v>
      </c>
      <c r="E33" s="112">
        <v>1230.8</v>
      </c>
      <c r="F33" s="111" t="str">
        <f>DataPull!D33</f>
        <v/>
      </c>
      <c r="G33" s="94" t="str">
        <f t="shared" si="2"/>
        <v/>
      </c>
      <c r="H33" s="94" t="str">
        <f t="shared" si="3"/>
        <v/>
      </c>
      <c r="I33" s="94" t="str">
        <f t="shared" ref="I33:J33" si="34">if(G33 = "", , -G33)</f>
        <v/>
      </c>
      <c r="J33" s="94" t="str">
        <f t="shared" si="34"/>
        <v/>
      </c>
      <c r="K33" s="100"/>
      <c r="M33" s="100"/>
      <c r="N33" s="100"/>
      <c r="O33" s="100"/>
      <c r="P33" s="100"/>
    </row>
    <row r="34">
      <c r="A34" s="107">
        <v>1718.0</v>
      </c>
      <c r="B34" s="108" t="s">
        <v>190</v>
      </c>
      <c r="C34" s="108" t="s">
        <v>195</v>
      </c>
      <c r="D34" s="112" t="s">
        <v>187</v>
      </c>
      <c r="E34" s="112">
        <v>277.5</v>
      </c>
      <c r="F34" s="111" t="str">
        <f>DataPull!D34</f>
        <v/>
      </c>
      <c r="G34" s="94" t="str">
        <f t="shared" si="2"/>
        <v/>
      </c>
      <c r="H34" s="94" t="str">
        <f t="shared" si="3"/>
        <v/>
      </c>
      <c r="I34" s="94" t="str">
        <f t="shared" ref="I34:J34" si="35">if(G34 = "", , -G34)</f>
        <v/>
      </c>
      <c r="J34" s="94" t="str">
        <f t="shared" si="35"/>
        <v/>
      </c>
      <c r="K34" s="100"/>
      <c r="M34" s="100"/>
      <c r="N34" s="100"/>
      <c r="O34" s="100"/>
      <c r="P34" s="100"/>
    </row>
    <row r="35">
      <c r="A35" s="107">
        <v>1733.0</v>
      </c>
      <c r="B35" s="108" t="s">
        <v>85</v>
      </c>
      <c r="C35" s="108" t="s">
        <v>196</v>
      </c>
      <c r="D35" s="112" t="s">
        <v>177</v>
      </c>
      <c r="E35" s="112">
        <v>510.0</v>
      </c>
      <c r="F35" s="111" t="str">
        <f>DataPull!D35</f>
        <v/>
      </c>
      <c r="G35" s="94" t="str">
        <f t="shared" si="2"/>
        <v/>
      </c>
      <c r="H35" s="94" t="str">
        <f t="shared" si="3"/>
        <v/>
      </c>
      <c r="I35" s="94" t="str">
        <f t="shared" ref="I35:J35" si="36">if(G35 = "", , -G35)</f>
        <v/>
      </c>
      <c r="J35" s="94" t="str">
        <f t="shared" si="36"/>
        <v/>
      </c>
      <c r="K35" s="100"/>
      <c r="M35" s="100"/>
      <c r="N35" s="100"/>
      <c r="O35" s="100"/>
      <c r="P35" s="100"/>
    </row>
    <row r="36">
      <c r="A36" s="107">
        <v>1737.0</v>
      </c>
      <c r="B36" s="108" t="s">
        <v>85</v>
      </c>
      <c r="C36" s="108" t="s">
        <v>197</v>
      </c>
      <c r="D36" s="112" t="s">
        <v>187</v>
      </c>
      <c r="E36" s="112">
        <v>560.0</v>
      </c>
      <c r="F36" s="111" t="str">
        <f>DataPull!D36</f>
        <v/>
      </c>
      <c r="G36" s="94" t="str">
        <f t="shared" si="2"/>
        <v/>
      </c>
      <c r="H36" s="94" t="str">
        <f t="shared" si="3"/>
        <v/>
      </c>
      <c r="I36" s="94" t="str">
        <f t="shared" ref="I36:J36" si="37">if(G36 = "", , -G36)</f>
        <v/>
      </c>
      <c r="J36" s="94" t="str">
        <f t="shared" si="37"/>
        <v/>
      </c>
      <c r="K36" s="100"/>
      <c r="L36" s="100"/>
      <c r="N36" s="100"/>
      <c r="O36" s="100"/>
      <c r="P36" s="100"/>
    </row>
    <row r="37">
      <c r="A37" s="107">
        <v>1737.0</v>
      </c>
      <c r="B37" s="108" t="s">
        <v>90</v>
      </c>
      <c r="C37" s="108" t="s">
        <v>197</v>
      </c>
      <c r="D37" s="112" t="s">
        <v>187</v>
      </c>
      <c r="E37" s="112">
        <v>128.8</v>
      </c>
      <c r="F37" s="111" t="str">
        <f>DataPull!D37</f>
        <v/>
      </c>
      <c r="G37" s="94" t="str">
        <f t="shared" si="2"/>
        <v/>
      </c>
      <c r="H37" s="94" t="str">
        <f t="shared" si="3"/>
        <v/>
      </c>
      <c r="I37" s="94" t="str">
        <f t="shared" ref="I37:J37" si="38">if(G37 = "", , -G37)</f>
        <v/>
      </c>
      <c r="J37" s="94" t="str">
        <f t="shared" si="38"/>
        <v/>
      </c>
      <c r="K37" s="100"/>
      <c r="L37" s="100"/>
      <c r="M37" s="100"/>
      <c r="N37" s="100"/>
      <c r="O37" s="100"/>
      <c r="P37" s="100"/>
    </row>
    <row r="38">
      <c r="A38" s="107">
        <v>1737.0</v>
      </c>
      <c r="B38" s="108" t="s">
        <v>92</v>
      </c>
      <c r="C38" s="108" t="s">
        <v>197</v>
      </c>
      <c r="D38" s="112" t="s">
        <v>181</v>
      </c>
      <c r="E38" s="112">
        <v>19.5</v>
      </c>
      <c r="F38" s="111" t="str">
        <f>DataPull!D38</f>
        <v/>
      </c>
      <c r="G38" s="94" t="str">
        <f t="shared" si="2"/>
        <v/>
      </c>
      <c r="H38" s="94" t="str">
        <f t="shared" si="3"/>
        <v/>
      </c>
      <c r="I38" s="94" t="str">
        <f t="shared" ref="I38:J38" si="39">if(G38 = "", , -G38)</f>
        <v/>
      </c>
      <c r="J38" s="94" t="str">
        <f t="shared" si="39"/>
        <v/>
      </c>
      <c r="K38" s="100"/>
      <c r="M38" s="100"/>
      <c r="N38" s="100"/>
      <c r="O38" s="100"/>
      <c r="P38" s="100"/>
    </row>
    <row r="39">
      <c r="A39" s="107">
        <v>1740.0</v>
      </c>
      <c r="B39" s="108" t="s">
        <v>85</v>
      </c>
      <c r="C39" s="108" t="s">
        <v>198</v>
      </c>
      <c r="D39" s="112" t="s">
        <v>177</v>
      </c>
      <c r="E39" s="112">
        <v>972.0</v>
      </c>
      <c r="F39" s="111" t="str">
        <f>DataPull!D39</f>
        <v/>
      </c>
      <c r="G39" s="94" t="str">
        <f t="shared" si="2"/>
        <v/>
      </c>
      <c r="H39" s="94" t="str">
        <f t="shared" si="3"/>
        <v/>
      </c>
      <c r="I39" s="94" t="str">
        <f t="shared" ref="I39:J39" si="40">if(G39 = "", , -G39)</f>
        <v/>
      </c>
      <c r="J39" s="94" t="str">
        <f t="shared" si="40"/>
        <v/>
      </c>
      <c r="K39" s="100"/>
      <c r="M39" s="100"/>
      <c r="N39" s="100"/>
      <c r="O39" s="100"/>
      <c r="P39" s="100"/>
    </row>
    <row r="40">
      <c r="A40" s="107">
        <v>1882.0</v>
      </c>
      <c r="B40" s="108" t="s">
        <v>85</v>
      </c>
      <c r="C40" s="108" t="s">
        <v>199</v>
      </c>
      <c r="D40" s="112" t="s">
        <v>177</v>
      </c>
      <c r="E40" s="112">
        <v>1416.2</v>
      </c>
      <c r="F40" s="111" t="str">
        <f>DataPull!D40</f>
        <v/>
      </c>
      <c r="G40" s="94" t="str">
        <f t="shared" si="2"/>
        <v/>
      </c>
      <c r="H40" s="94" t="str">
        <f t="shared" si="3"/>
        <v/>
      </c>
      <c r="I40" s="94" t="str">
        <f t="shared" ref="I40:J40" si="41">if(G40 = "", , -G40)</f>
        <v/>
      </c>
      <c r="J40" s="94" t="str">
        <f t="shared" si="41"/>
        <v/>
      </c>
      <c r="K40" s="100"/>
      <c r="M40" s="100"/>
      <c r="N40" s="100"/>
      <c r="O40" s="100"/>
      <c r="P40" s="100"/>
    </row>
    <row r="41">
      <c r="A41" s="107">
        <v>1882.0</v>
      </c>
      <c r="B41" s="108" t="s">
        <v>90</v>
      </c>
      <c r="C41" s="108" t="s">
        <v>199</v>
      </c>
      <c r="D41" s="112" t="s">
        <v>177</v>
      </c>
      <c r="E41" s="112">
        <v>486.0</v>
      </c>
      <c r="F41" s="111" t="str">
        <f>DataPull!D41</f>
        <v/>
      </c>
      <c r="G41" s="94" t="str">
        <f t="shared" si="2"/>
        <v/>
      </c>
      <c r="H41" s="94" t="str">
        <f t="shared" si="3"/>
        <v/>
      </c>
      <c r="I41" s="94" t="str">
        <f t="shared" ref="I41:J41" si="42">if(G41 = "", , -G41)</f>
        <v/>
      </c>
      <c r="J41" s="94" t="str">
        <f t="shared" si="42"/>
        <v/>
      </c>
      <c r="K41" s="100"/>
      <c r="M41" s="100"/>
      <c r="N41" s="100"/>
      <c r="O41" s="100"/>
      <c r="P41" s="100"/>
    </row>
    <row r="42">
      <c r="A42" s="107">
        <v>1882.0</v>
      </c>
      <c r="B42" s="108" t="s">
        <v>92</v>
      </c>
      <c r="C42" s="108" t="s">
        <v>199</v>
      </c>
      <c r="D42" s="112" t="s">
        <v>187</v>
      </c>
      <c r="E42" s="112">
        <v>224.4</v>
      </c>
      <c r="F42" s="111" t="str">
        <f>DataPull!D42</f>
        <v/>
      </c>
      <c r="G42" s="94" t="str">
        <f t="shared" si="2"/>
        <v/>
      </c>
      <c r="H42" s="94" t="str">
        <f t="shared" si="3"/>
        <v/>
      </c>
      <c r="I42" s="94" t="str">
        <f t="shared" ref="I42:J42" si="43">if(G42 = "", , -G42)</f>
        <v/>
      </c>
      <c r="J42" s="94" t="str">
        <f t="shared" si="43"/>
        <v/>
      </c>
      <c r="K42" s="100"/>
      <c r="L42" s="100"/>
      <c r="N42" s="100"/>
      <c r="O42" s="100"/>
      <c r="P42" s="100"/>
    </row>
    <row r="43">
      <c r="A43" s="107">
        <v>1889.0</v>
      </c>
      <c r="B43" s="108" t="s">
        <v>85</v>
      </c>
      <c r="C43" s="108" t="s">
        <v>200</v>
      </c>
      <c r="D43" s="112" t="s">
        <v>177</v>
      </c>
      <c r="E43" s="112">
        <v>980.2</v>
      </c>
      <c r="F43" s="111" t="str">
        <f>DataPull!D43</f>
        <v/>
      </c>
      <c r="G43" s="94" t="str">
        <f t="shared" si="2"/>
        <v/>
      </c>
      <c r="H43" s="94" t="str">
        <f t="shared" si="3"/>
        <v/>
      </c>
      <c r="I43" s="94" t="str">
        <f t="shared" ref="I43:J43" si="44">if(G43 = "", , -G43)</f>
        <v/>
      </c>
      <c r="J43" s="94" t="str">
        <f t="shared" si="44"/>
        <v/>
      </c>
      <c r="K43" s="100"/>
      <c r="L43" s="100"/>
      <c r="M43" s="100"/>
      <c r="N43" s="100"/>
      <c r="O43" s="100"/>
      <c r="P43" s="100"/>
    </row>
    <row r="44">
      <c r="A44" s="107">
        <v>1889.0</v>
      </c>
      <c r="B44" s="108" t="s">
        <v>90</v>
      </c>
      <c r="C44" s="108" t="s">
        <v>200</v>
      </c>
      <c r="D44" s="112" t="s">
        <v>177</v>
      </c>
      <c r="E44" s="112">
        <v>1255.5</v>
      </c>
      <c r="F44" s="111" t="str">
        <f>DataPull!D44</f>
        <v/>
      </c>
      <c r="G44" s="94" t="str">
        <f t="shared" si="2"/>
        <v/>
      </c>
      <c r="H44" s="94" t="str">
        <f t="shared" si="3"/>
        <v/>
      </c>
      <c r="I44" s="94" t="str">
        <f t="shared" ref="I44:J44" si="45">if(G44 = "", , -G44)</f>
        <v/>
      </c>
      <c r="J44" s="94" t="str">
        <f t="shared" si="45"/>
        <v/>
      </c>
      <c r="K44" s="100"/>
      <c r="M44" s="100"/>
      <c r="N44" s="100"/>
      <c r="O44" s="100"/>
      <c r="P44" s="100"/>
    </row>
    <row r="45">
      <c r="A45" s="107">
        <v>1889.0</v>
      </c>
      <c r="B45" s="108" t="s">
        <v>92</v>
      </c>
      <c r="C45" s="108" t="s">
        <v>200</v>
      </c>
      <c r="D45" s="112" t="s">
        <v>187</v>
      </c>
      <c r="E45" s="112">
        <v>460.2</v>
      </c>
      <c r="F45" s="111" t="str">
        <f>DataPull!D45</f>
        <v/>
      </c>
      <c r="G45" s="94" t="str">
        <f t="shared" si="2"/>
        <v/>
      </c>
      <c r="H45" s="94" t="str">
        <f t="shared" si="3"/>
        <v/>
      </c>
      <c r="I45" s="94" t="str">
        <f t="shared" ref="I45:J45" si="46">if(G45 = "", , -G45)</f>
        <v/>
      </c>
      <c r="J45" s="94" t="str">
        <f t="shared" si="46"/>
        <v/>
      </c>
      <c r="K45" s="100"/>
      <c r="M45" s="100"/>
      <c r="N45" s="100"/>
      <c r="O45" s="100"/>
      <c r="P45" s="100"/>
    </row>
    <row r="46">
      <c r="A46" s="107">
        <v>1890.0</v>
      </c>
      <c r="B46" s="108" t="s">
        <v>85</v>
      </c>
      <c r="C46" s="108" t="s">
        <v>201</v>
      </c>
      <c r="D46" s="112" t="s">
        <v>178</v>
      </c>
      <c r="E46" s="112">
        <v>2409.2</v>
      </c>
      <c r="F46" s="111" t="str">
        <f>DataPull!D46</f>
        <v/>
      </c>
      <c r="G46" s="94" t="str">
        <f t="shared" si="2"/>
        <v/>
      </c>
      <c r="H46" s="94" t="str">
        <f t="shared" si="3"/>
        <v/>
      </c>
      <c r="I46" s="94" t="str">
        <f t="shared" ref="I46:J46" si="47">if(G46 = "", , -G46)</f>
        <v/>
      </c>
      <c r="J46" s="94" t="str">
        <f t="shared" si="47"/>
        <v/>
      </c>
      <c r="K46" s="100"/>
      <c r="L46" s="100"/>
      <c r="N46" s="100"/>
      <c r="O46" s="100"/>
      <c r="P46" s="100"/>
    </row>
    <row r="47">
      <c r="A47" s="107">
        <v>1890.0</v>
      </c>
      <c r="B47" s="108" t="s">
        <v>90</v>
      </c>
      <c r="C47" s="108" t="s">
        <v>201</v>
      </c>
      <c r="D47" s="112" t="s">
        <v>177</v>
      </c>
      <c r="E47" s="112">
        <v>1100.1</v>
      </c>
      <c r="F47" s="111" t="str">
        <f>DataPull!D47</f>
        <v/>
      </c>
      <c r="G47" s="94" t="str">
        <f t="shared" si="2"/>
        <v/>
      </c>
      <c r="H47" s="94" t="str">
        <f t="shared" si="3"/>
        <v/>
      </c>
      <c r="I47" s="94" t="str">
        <f t="shared" ref="I47:J47" si="48">if(G47 = "", , -G47)</f>
        <v/>
      </c>
      <c r="J47" s="94" t="str">
        <f t="shared" si="48"/>
        <v/>
      </c>
      <c r="K47" s="100"/>
      <c r="M47" s="100"/>
      <c r="N47" s="100"/>
      <c r="O47" s="100"/>
      <c r="P47" s="100"/>
    </row>
    <row r="48">
      <c r="A48" s="107">
        <v>1891.0</v>
      </c>
      <c r="B48" s="108" t="s">
        <v>85</v>
      </c>
      <c r="C48" s="108" t="s">
        <v>202</v>
      </c>
      <c r="D48" s="112" t="s">
        <v>177</v>
      </c>
      <c r="E48" s="112">
        <v>570.5</v>
      </c>
      <c r="F48" s="111" t="str">
        <f>DataPull!D48</f>
        <v/>
      </c>
      <c r="G48" s="94" t="str">
        <f t="shared" si="2"/>
        <v/>
      </c>
      <c r="H48" s="94" t="str">
        <f t="shared" si="3"/>
        <v/>
      </c>
      <c r="I48" s="94" t="str">
        <f t="shared" ref="I48:J48" si="49">if(G48 = "", , -G48)</f>
        <v/>
      </c>
      <c r="J48" s="94" t="str">
        <f t="shared" si="49"/>
        <v/>
      </c>
      <c r="K48" s="100"/>
      <c r="M48" s="100"/>
      <c r="N48" s="100"/>
      <c r="O48" s="100"/>
      <c r="P48" s="100"/>
    </row>
    <row r="49">
      <c r="A49" s="107">
        <v>1891.0</v>
      </c>
      <c r="B49" s="108" t="s">
        <v>90</v>
      </c>
      <c r="C49" s="108" t="s">
        <v>202</v>
      </c>
      <c r="D49" s="112" t="s">
        <v>177</v>
      </c>
      <c r="E49" s="112">
        <v>1640.1</v>
      </c>
      <c r="F49" s="111" t="str">
        <f>DataPull!D49</f>
        <v/>
      </c>
      <c r="G49" s="94" t="str">
        <f t="shared" si="2"/>
        <v/>
      </c>
      <c r="H49" s="94" t="str">
        <f t="shared" si="3"/>
        <v/>
      </c>
      <c r="I49" s="94" t="str">
        <f t="shared" ref="I49:J49" si="50">if(G49 = "", , -G49)</f>
        <v/>
      </c>
      <c r="J49" s="94" t="str">
        <f t="shared" si="50"/>
        <v/>
      </c>
      <c r="K49" s="100"/>
      <c r="M49" s="100"/>
      <c r="N49" s="100"/>
      <c r="O49" s="100"/>
      <c r="P49" s="100"/>
    </row>
    <row r="50">
      <c r="A50" s="107">
        <v>1891.0</v>
      </c>
      <c r="B50" s="108" t="s">
        <v>92</v>
      </c>
      <c r="C50" s="108" t="s">
        <v>202</v>
      </c>
      <c r="D50" s="112" t="s">
        <v>177</v>
      </c>
      <c r="E50" s="112">
        <v>1260.0</v>
      </c>
      <c r="F50" s="111" t="str">
        <f>DataPull!D50</f>
        <v/>
      </c>
      <c r="G50" s="94" t="str">
        <f t="shared" si="2"/>
        <v/>
      </c>
      <c r="H50" s="94" t="str">
        <f t="shared" si="3"/>
        <v/>
      </c>
      <c r="I50" s="94" t="str">
        <f t="shared" ref="I50:J50" si="51">if(G50 = "", , -G50)</f>
        <v/>
      </c>
      <c r="J50" s="94" t="str">
        <f t="shared" si="51"/>
        <v/>
      </c>
      <c r="K50" s="100"/>
      <c r="M50" s="100"/>
      <c r="N50" s="100"/>
      <c r="O50" s="100"/>
      <c r="P50" s="100"/>
    </row>
    <row r="51">
      <c r="A51" s="107">
        <v>1891.0</v>
      </c>
      <c r="B51" s="108" t="s">
        <v>190</v>
      </c>
      <c r="C51" s="108" t="s">
        <v>202</v>
      </c>
      <c r="D51" s="112" t="s">
        <v>177</v>
      </c>
      <c r="E51" s="112">
        <v>1361.6</v>
      </c>
      <c r="F51" s="111" t="str">
        <f>DataPull!D51</f>
        <v/>
      </c>
      <c r="G51" s="94" t="str">
        <f t="shared" si="2"/>
        <v/>
      </c>
      <c r="H51" s="94" t="str">
        <f t="shared" si="3"/>
        <v/>
      </c>
      <c r="I51" s="94" t="str">
        <f t="shared" ref="I51:J51" si="52">if(G51 = "", , -G51)</f>
        <v/>
      </c>
      <c r="J51" s="94" t="str">
        <f t="shared" si="52"/>
        <v/>
      </c>
      <c r="K51" s="100"/>
      <c r="L51" s="100"/>
      <c r="N51" s="100"/>
      <c r="O51" s="100"/>
      <c r="P51" s="100"/>
    </row>
    <row r="52">
      <c r="A52" s="107">
        <v>1891.0</v>
      </c>
      <c r="B52" s="108" t="s">
        <v>191</v>
      </c>
      <c r="C52" s="108" t="s">
        <v>202</v>
      </c>
      <c r="D52" s="112" t="s">
        <v>177</v>
      </c>
      <c r="E52" s="112">
        <v>816.0</v>
      </c>
      <c r="F52" s="111" t="str">
        <f>DataPull!D52</f>
        <v/>
      </c>
      <c r="G52" s="94" t="str">
        <f t="shared" si="2"/>
        <v/>
      </c>
      <c r="H52" s="94" t="str">
        <f t="shared" si="3"/>
        <v/>
      </c>
      <c r="I52" s="94" t="str">
        <f t="shared" ref="I52:J52" si="53">if(G52 = "", , -G52)</f>
        <v/>
      </c>
      <c r="J52" s="94" t="str">
        <f t="shared" si="53"/>
        <v/>
      </c>
      <c r="K52" s="100"/>
      <c r="M52" s="100"/>
      <c r="N52" s="100"/>
      <c r="O52" s="100"/>
      <c r="P52" s="100"/>
    </row>
    <row r="53">
      <c r="A53" s="107">
        <v>1897.0</v>
      </c>
      <c r="B53" s="108" t="s">
        <v>85</v>
      </c>
      <c r="C53" s="108" t="s">
        <v>203</v>
      </c>
      <c r="D53" s="112" t="s">
        <v>177</v>
      </c>
      <c r="E53" s="112">
        <v>388.6</v>
      </c>
      <c r="F53" s="111" t="str">
        <f>DataPull!D53</f>
        <v/>
      </c>
      <c r="G53" s="94" t="str">
        <f t="shared" si="2"/>
        <v/>
      </c>
      <c r="H53" s="94" t="str">
        <f t="shared" si="3"/>
        <v/>
      </c>
      <c r="I53" s="94" t="str">
        <f t="shared" ref="I53:J53" si="54">if(G53 = "", , -G53)</f>
        <v/>
      </c>
      <c r="J53" s="94" t="str">
        <f t="shared" si="54"/>
        <v/>
      </c>
      <c r="K53" s="100"/>
      <c r="M53" s="100"/>
      <c r="N53" s="100"/>
      <c r="O53" s="100"/>
      <c r="P53" s="100"/>
    </row>
    <row r="54">
      <c r="A54" s="107">
        <v>1897.0</v>
      </c>
      <c r="B54" s="108" t="s">
        <v>92</v>
      </c>
      <c r="C54" s="108" t="s">
        <v>203</v>
      </c>
      <c r="D54" s="112" t="s">
        <v>177</v>
      </c>
      <c r="E54" s="112">
        <v>591.5</v>
      </c>
      <c r="F54" s="111" t="str">
        <f>DataPull!D54</f>
        <v/>
      </c>
      <c r="G54" s="94" t="str">
        <f t="shared" si="2"/>
        <v/>
      </c>
      <c r="H54" s="94" t="str">
        <f t="shared" si="3"/>
        <v/>
      </c>
      <c r="I54" s="94" t="str">
        <f t="shared" ref="I54:J54" si="55">if(G54 = "", , -G54)</f>
        <v/>
      </c>
      <c r="J54" s="94" t="str">
        <f t="shared" si="55"/>
        <v/>
      </c>
      <c r="K54" s="100"/>
      <c r="M54" s="100"/>
      <c r="N54" s="100"/>
      <c r="O54" s="100"/>
      <c r="P54" s="100"/>
    </row>
    <row r="55">
      <c r="A55" s="107">
        <v>1897.0</v>
      </c>
      <c r="B55" s="108" t="s">
        <v>190</v>
      </c>
      <c r="C55" s="108" t="s">
        <v>203</v>
      </c>
      <c r="D55" s="112" t="s">
        <v>187</v>
      </c>
      <c r="E55" s="112">
        <v>160.0</v>
      </c>
      <c r="F55" s="111" t="str">
        <f>DataPull!D55</f>
        <v/>
      </c>
      <c r="G55" s="94" t="str">
        <f t="shared" si="2"/>
        <v/>
      </c>
      <c r="H55" s="94" t="str">
        <f t="shared" si="3"/>
        <v/>
      </c>
      <c r="I55" s="94" t="str">
        <f t="shared" ref="I55:J55" si="56">if(G55 = "", , -G55)</f>
        <v/>
      </c>
      <c r="J55" s="94" t="str">
        <f t="shared" si="56"/>
        <v/>
      </c>
      <c r="K55" s="100"/>
      <c r="M55" s="100"/>
      <c r="N55" s="100"/>
      <c r="O55" s="100"/>
      <c r="P55" s="100"/>
    </row>
    <row r="56">
      <c r="A56" s="107">
        <v>1905.0</v>
      </c>
      <c r="B56" s="108" t="s">
        <v>85</v>
      </c>
      <c r="C56" s="108" t="s">
        <v>204</v>
      </c>
      <c r="D56" s="112" t="s">
        <v>177</v>
      </c>
      <c r="E56" s="112">
        <v>859.5</v>
      </c>
      <c r="F56" s="111" t="str">
        <f>DataPull!D56</f>
        <v/>
      </c>
      <c r="G56" s="94" t="str">
        <f t="shared" si="2"/>
        <v/>
      </c>
      <c r="H56" s="94" t="str">
        <f t="shared" si="3"/>
        <v/>
      </c>
      <c r="I56" s="94" t="str">
        <f t="shared" ref="I56:J56" si="57">if(G56 = "", , -G56)</f>
        <v/>
      </c>
      <c r="J56" s="94" t="str">
        <f t="shared" si="57"/>
        <v/>
      </c>
      <c r="K56" s="100"/>
      <c r="L56" s="100"/>
      <c r="N56" s="100"/>
      <c r="O56" s="100"/>
      <c r="P56" s="100"/>
    </row>
    <row r="57">
      <c r="A57" s="107">
        <v>1905.0</v>
      </c>
      <c r="B57" s="108" t="s">
        <v>90</v>
      </c>
      <c r="C57" s="108" t="s">
        <v>204</v>
      </c>
      <c r="D57" s="112" t="s">
        <v>181</v>
      </c>
      <c r="E57" s="112">
        <v>36.4</v>
      </c>
      <c r="F57" s="111" t="str">
        <f>DataPull!D57</f>
        <v/>
      </c>
      <c r="G57" s="94" t="str">
        <f t="shared" si="2"/>
        <v/>
      </c>
      <c r="H57" s="94" t="str">
        <f t="shared" si="3"/>
        <v/>
      </c>
      <c r="I57" s="94" t="str">
        <f t="shared" ref="I57:J57" si="58">if(G57 = "", , -G57)</f>
        <v/>
      </c>
      <c r="J57" s="94" t="str">
        <f t="shared" si="58"/>
        <v/>
      </c>
      <c r="K57" s="100"/>
      <c r="M57" s="100"/>
      <c r="N57" s="100"/>
      <c r="O57" s="100"/>
      <c r="P57" s="100"/>
    </row>
    <row r="58">
      <c r="A58" s="107">
        <v>1938.0</v>
      </c>
      <c r="B58" s="108" t="s">
        <v>85</v>
      </c>
      <c r="C58" s="108" t="s">
        <v>205</v>
      </c>
      <c r="D58" s="112" t="s">
        <v>176</v>
      </c>
      <c r="E58" s="112">
        <v>1550.4</v>
      </c>
      <c r="F58" s="111" t="str">
        <f>DataPull!D58</f>
        <v/>
      </c>
      <c r="G58" s="94" t="str">
        <f t="shared" si="2"/>
        <v/>
      </c>
      <c r="H58" s="94" t="str">
        <f t="shared" si="3"/>
        <v/>
      </c>
      <c r="I58" s="94" t="str">
        <f t="shared" ref="I58:J58" si="59">if(G58 = "", , -G58)</f>
        <v/>
      </c>
      <c r="J58" s="94" t="str">
        <f t="shared" si="59"/>
        <v/>
      </c>
      <c r="K58" s="100"/>
      <c r="M58" s="100"/>
      <c r="N58" s="100"/>
      <c r="O58" s="100"/>
      <c r="P58" s="100"/>
    </row>
    <row r="59">
      <c r="A59" s="107">
        <v>1938.0</v>
      </c>
      <c r="B59" s="108" t="s">
        <v>90</v>
      </c>
      <c r="C59" s="108" t="s">
        <v>205</v>
      </c>
      <c r="D59" s="112" t="s">
        <v>176</v>
      </c>
      <c r="E59" s="112">
        <v>1589.0</v>
      </c>
      <c r="F59" s="111" t="str">
        <f>DataPull!D59</f>
        <v/>
      </c>
      <c r="G59" s="94" t="str">
        <f t="shared" si="2"/>
        <v/>
      </c>
      <c r="H59" s="94" t="str">
        <f t="shared" si="3"/>
        <v/>
      </c>
      <c r="I59" s="94" t="str">
        <f t="shared" ref="I59:J59" si="60">if(G59 = "", , -G59)</f>
        <v/>
      </c>
      <c r="J59" s="94" t="str">
        <f t="shared" si="60"/>
        <v/>
      </c>
      <c r="K59" s="100"/>
      <c r="M59" s="100"/>
      <c r="N59" s="100"/>
      <c r="O59" s="100"/>
      <c r="P59" s="100"/>
    </row>
    <row r="60">
      <c r="A60" s="107">
        <v>1938.0</v>
      </c>
      <c r="B60" s="108" t="s">
        <v>92</v>
      </c>
      <c r="C60" s="108" t="s">
        <v>205</v>
      </c>
      <c r="D60" s="112" t="s">
        <v>176</v>
      </c>
      <c r="E60" s="112">
        <v>1136.8</v>
      </c>
      <c r="F60" s="111" t="str">
        <f>DataPull!D60</f>
        <v/>
      </c>
      <c r="G60" s="94" t="str">
        <f t="shared" si="2"/>
        <v/>
      </c>
      <c r="H60" s="94" t="str">
        <f t="shared" si="3"/>
        <v/>
      </c>
      <c r="I60" s="94" t="str">
        <f t="shared" ref="I60:J60" si="61">if(G60 = "", , -G60)</f>
        <v/>
      </c>
      <c r="J60" s="94" t="str">
        <f t="shared" si="61"/>
        <v/>
      </c>
      <c r="K60" s="100"/>
      <c r="M60" s="100"/>
      <c r="N60" s="100"/>
      <c r="O60" s="100"/>
      <c r="P60" s="100"/>
    </row>
    <row r="61">
      <c r="A61" s="107">
        <v>1938.0</v>
      </c>
      <c r="B61" s="108" t="s">
        <v>190</v>
      </c>
      <c r="C61" s="108" t="s">
        <v>205</v>
      </c>
      <c r="D61" s="112" t="s">
        <v>176</v>
      </c>
      <c r="E61" s="112">
        <v>1290.3</v>
      </c>
      <c r="F61" s="111" t="str">
        <f>DataPull!D61</f>
        <v/>
      </c>
      <c r="G61" s="94" t="str">
        <f t="shared" si="2"/>
        <v/>
      </c>
      <c r="H61" s="94" t="str">
        <f t="shared" si="3"/>
        <v/>
      </c>
      <c r="I61" s="94" t="str">
        <f t="shared" ref="I61:J61" si="62">if(G61 = "", , -G61)</f>
        <v/>
      </c>
      <c r="J61" s="94" t="str">
        <f t="shared" si="62"/>
        <v/>
      </c>
      <c r="K61" s="100"/>
      <c r="L61" s="100"/>
      <c r="N61" s="100"/>
      <c r="O61" s="100"/>
      <c r="P61" s="100"/>
    </row>
    <row r="62">
      <c r="A62" s="107">
        <v>1938.0</v>
      </c>
      <c r="B62" s="108" t="s">
        <v>191</v>
      </c>
      <c r="C62" s="108" t="s">
        <v>205</v>
      </c>
      <c r="D62" s="112" t="s">
        <v>177</v>
      </c>
      <c r="E62" s="112">
        <v>1300.0</v>
      </c>
      <c r="F62" s="111" t="str">
        <f>DataPull!D62</f>
        <v/>
      </c>
      <c r="G62" s="94" t="str">
        <f t="shared" si="2"/>
        <v/>
      </c>
      <c r="H62" s="94" t="str">
        <f t="shared" si="3"/>
        <v/>
      </c>
      <c r="I62" s="94" t="str">
        <f t="shared" ref="I62:J62" si="63">if(G62 = "", , -G62)</f>
        <v/>
      </c>
      <c r="J62" s="94" t="str">
        <f t="shared" si="63"/>
        <v/>
      </c>
      <c r="K62" s="100"/>
      <c r="M62" s="100"/>
      <c r="N62" s="100"/>
      <c r="O62" s="100"/>
      <c r="P62" s="100"/>
    </row>
    <row r="63">
      <c r="A63" s="107">
        <v>2030.0</v>
      </c>
      <c r="B63" s="108" t="s">
        <v>85</v>
      </c>
      <c r="C63" s="108" t="s">
        <v>206</v>
      </c>
      <c r="D63" s="112" t="s">
        <v>177</v>
      </c>
      <c r="E63" s="112">
        <v>633.6</v>
      </c>
      <c r="F63" s="111" t="str">
        <f>DataPull!D63</f>
        <v/>
      </c>
      <c r="G63" s="94" t="str">
        <f t="shared" si="2"/>
        <v/>
      </c>
      <c r="H63" s="94" t="str">
        <f t="shared" si="3"/>
        <v/>
      </c>
      <c r="I63" s="94" t="str">
        <f t="shared" ref="I63:J63" si="64">if(G63 = "", , -G63)</f>
        <v/>
      </c>
      <c r="J63" s="94" t="str">
        <f t="shared" si="64"/>
        <v/>
      </c>
      <c r="K63" s="100"/>
      <c r="N63" s="100"/>
      <c r="O63" s="100"/>
      <c r="P63" s="100"/>
    </row>
    <row r="64">
      <c r="A64" s="107">
        <v>2030.0</v>
      </c>
      <c r="B64" s="108" t="s">
        <v>90</v>
      </c>
      <c r="C64" s="108" t="s">
        <v>206</v>
      </c>
      <c r="D64" s="112" t="s">
        <v>187</v>
      </c>
      <c r="E64" s="112">
        <v>104.5</v>
      </c>
      <c r="F64" s="111" t="str">
        <f>DataPull!D64</f>
        <v/>
      </c>
      <c r="G64" s="94" t="str">
        <f t="shared" si="2"/>
        <v/>
      </c>
      <c r="H64" s="94" t="str">
        <f t="shared" si="3"/>
        <v/>
      </c>
      <c r="I64" s="94" t="str">
        <f t="shared" ref="I64:J64" si="65">if(G64 = "", , -G64)</f>
        <v/>
      </c>
      <c r="J64" s="94" t="str">
        <f t="shared" si="65"/>
        <v/>
      </c>
      <c r="K64" s="100"/>
      <c r="M64" s="100"/>
      <c r="N64" s="100"/>
      <c r="O64" s="100"/>
      <c r="P64" s="100"/>
    </row>
    <row r="65">
      <c r="A65" s="107">
        <v>2034.0</v>
      </c>
      <c r="B65" s="108" t="s">
        <v>85</v>
      </c>
      <c r="C65" s="108" t="s">
        <v>207</v>
      </c>
      <c r="D65" s="112" t="s">
        <v>176</v>
      </c>
      <c r="E65" s="112">
        <v>1705.6</v>
      </c>
      <c r="F65" s="111" t="str">
        <f>DataPull!D65</f>
        <v/>
      </c>
      <c r="G65" s="94" t="str">
        <f t="shared" si="2"/>
        <v/>
      </c>
      <c r="H65" s="94" t="str">
        <f t="shared" si="3"/>
        <v/>
      </c>
      <c r="I65" s="94" t="str">
        <f t="shared" ref="I65:J65" si="66">if(G65 = "", , -G65)</f>
        <v/>
      </c>
      <c r="J65" s="94" t="str">
        <f t="shared" si="66"/>
        <v/>
      </c>
      <c r="K65" s="100"/>
      <c r="M65" s="100"/>
      <c r="N65" s="100"/>
      <c r="O65" s="100"/>
      <c r="P65" s="100"/>
    </row>
    <row r="66">
      <c r="A66" s="107">
        <v>2034.0</v>
      </c>
      <c r="B66" s="108" t="s">
        <v>90</v>
      </c>
      <c r="C66" s="108" t="s">
        <v>207</v>
      </c>
      <c r="D66" s="112" t="s">
        <v>177</v>
      </c>
      <c r="E66" s="112">
        <v>702.0</v>
      </c>
      <c r="F66" s="111" t="str">
        <f>DataPull!D66</f>
        <v/>
      </c>
      <c r="G66" s="94" t="str">
        <f t="shared" si="2"/>
        <v/>
      </c>
      <c r="H66" s="94" t="str">
        <f t="shared" si="3"/>
        <v/>
      </c>
      <c r="I66" s="94" t="str">
        <f t="shared" ref="I66:J66" si="67">if(G66 = "", , -G66)</f>
        <v/>
      </c>
      <c r="J66" s="94" t="str">
        <f t="shared" si="67"/>
        <v/>
      </c>
      <c r="K66" s="100"/>
      <c r="L66" s="100"/>
      <c r="N66" s="100"/>
      <c r="O66" s="100"/>
      <c r="P66" s="100"/>
    </row>
    <row r="67">
      <c r="A67" s="107">
        <v>2034.0</v>
      </c>
      <c r="B67" s="108" t="s">
        <v>92</v>
      </c>
      <c r="C67" s="108" t="s">
        <v>207</v>
      </c>
      <c r="D67" s="112" t="s">
        <v>187</v>
      </c>
      <c r="E67" s="112">
        <v>371.3</v>
      </c>
      <c r="F67" s="111" t="str">
        <f>DataPull!D67</f>
        <v/>
      </c>
      <c r="G67" s="94" t="str">
        <f t="shared" si="2"/>
        <v/>
      </c>
      <c r="H67" s="94" t="str">
        <f t="shared" si="3"/>
        <v/>
      </c>
      <c r="I67" s="94" t="str">
        <f t="shared" ref="I67:J67" si="68">if(G67 = "", , -G67)</f>
        <v/>
      </c>
      <c r="J67" s="94" t="str">
        <f t="shared" si="68"/>
        <v/>
      </c>
      <c r="K67" s="100"/>
      <c r="M67" s="100"/>
      <c r="N67" s="100"/>
      <c r="O67" s="100"/>
      <c r="P67" s="100"/>
    </row>
    <row r="68">
      <c r="A68" s="107">
        <v>2034.0</v>
      </c>
      <c r="B68" s="108" t="s">
        <v>190</v>
      </c>
      <c r="C68" s="108" t="s">
        <v>207</v>
      </c>
      <c r="D68" s="112" t="s">
        <v>187</v>
      </c>
      <c r="E68" s="112">
        <v>150.0</v>
      </c>
      <c r="F68" s="111" t="str">
        <f>DataPull!D68</f>
        <v/>
      </c>
      <c r="G68" s="94" t="str">
        <f t="shared" si="2"/>
        <v/>
      </c>
      <c r="H68" s="94" t="str">
        <f t="shared" si="3"/>
        <v/>
      </c>
      <c r="I68" s="94" t="str">
        <f t="shared" ref="I68:J68" si="69">if(G68 = "", , -G68)</f>
        <v/>
      </c>
      <c r="J68" s="94" t="str">
        <f t="shared" si="69"/>
        <v/>
      </c>
      <c r="K68" s="100"/>
      <c r="M68" s="100"/>
      <c r="N68" s="100"/>
      <c r="O68" s="100"/>
      <c r="P68" s="100"/>
    </row>
    <row r="69">
      <c r="A69" s="107">
        <v>2037.0</v>
      </c>
      <c r="B69" s="108" t="s">
        <v>85</v>
      </c>
      <c r="C69" s="108" t="s">
        <v>208</v>
      </c>
      <c r="D69" s="112" t="s">
        <v>178</v>
      </c>
      <c r="E69" s="112">
        <v>2097.6</v>
      </c>
      <c r="F69" s="111" t="str">
        <f>DataPull!D69</f>
        <v/>
      </c>
      <c r="G69" s="94" t="str">
        <f t="shared" si="2"/>
        <v/>
      </c>
      <c r="H69" s="94" t="str">
        <f t="shared" si="3"/>
        <v/>
      </c>
      <c r="I69" s="94" t="str">
        <f t="shared" ref="I69:J69" si="70">if(G69 = "", , -G69)</f>
        <v/>
      </c>
      <c r="J69" s="94" t="str">
        <f t="shared" si="70"/>
        <v/>
      </c>
      <c r="K69" s="100"/>
      <c r="M69" s="100"/>
      <c r="N69" s="100"/>
      <c r="O69" s="100"/>
      <c r="P69" s="100"/>
    </row>
    <row r="70">
      <c r="A70" s="107">
        <v>2037.0</v>
      </c>
      <c r="B70" s="108" t="s">
        <v>90</v>
      </c>
      <c r="C70" s="108" t="s">
        <v>208</v>
      </c>
      <c r="D70" s="112" t="s">
        <v>176</v>
      </c>
      <c r="E70" s="112">
        <v>1702.4</v>
      </c>
      <c r="F70" s="111" t="str">
        <f>DataPull!D70</f>
        <v/>
      </c>
      <c r="G70" s="94" t="str">
        <f t="shared" si="2"/>
        <v/>
      </c>
      <c r="H70" s="94" t="str">
        <f t="shared" si="3"/>
        <v/>
      </c>
      <c r="I70" s="94" t="str">
        <f t="shared" ref="I70:J70" si="71">if(G70 = "", , -G70)</f>
        <v/>
      </c>
      <c r="J70" s="94" t="str">
        <f t="shared" si="71"/>
        <v/>
      </c>
      <c r="K70" s="100"/>
      <c r="M70" s="100"/>
      <c r="N70" s="100"/>
      <c r="O70" s="100"/>
      <c r="P70" s="100"/>
    </row>
    <row r="71">
      <c r="A71" s="107">
        <v>2037.0</v>
      </c>
      <c r="B71" s="108" t="s">
        <v>92</v>
      </c>
      <c r="C71" s="108" t="s">
        <v>208</v>
      </c>
      <c r="D71" s="112" t="s">
        <v>178</v>
      </c>
      <c r="E71" s="112">
        <v>2125.1</v>
      </c>
      <c r="F71" s="111" t="str">
        <f>DataPull!D71</f>
        <v/>
      </c>
      <c r="G71" s="94" t="str">
        <f t="shared" si="2"/>
        <v/>
      </c>
      <c r="H71" s="94" t="str">
        <f t="shared" si="3"/>
        <v/>
      </c>
      <c r="I71" s="94" t="str">
        <f t="shared" ref="I71:J71" si="72">if(G71 = "", , -G71)</f>
        <v/>
      </c>
      <c r="J71" s="94" t="str">
        <f t="shared" si="72"/>
        <v/>
      </c>
      <c r="K71" s="100"/>
      <c r="M71" s="100"/>
      <c r="N71" s="100"/>
      <c r="O71" s="100"/>
      <c r="P71" s="100"/>
    </row>
    <row r="72">
      <c r="A72" s="107">
        <v>2037.0</v>
      </c>
      <c r="B72" s="108" t="s">
        <v>190</v>
      </c>
      <c r="C72" s="108" t="s">
        <v>208</v>
      </c>
      <c r="D72" s="112" t="s">
        <v>176</v>
      </c>
      <c r="E72" s="112">
        <v>2156.6</v>
      </c>
      <c r="F72" s="111" t="str">
        <f>DataPull!D72</f>
        <v/>
      </c>
      <c r="G72" s="94" t="str">
        <f t="shared" si="2"/>
        <v/>
      </c>
      <c r="H72" s="94" t="str">
        <f t="shared" si="3"/>
        <v/>
      </c>
      <c r="I72" s="94" t="str">
        <f t="shared" ref="I72:J72" si="73">if(G72 = "", , -G72)</f>
        <v/>
      </c>
      <c r="J72" s="94" t="str">
        <f t="shared" si="73"/>
        <v/>
      </c>
      <c r="K72" s="100"/>
      <c r="M72" s="100"/>
      <c r="N72" s="100"/>
      <c r="O72" s="100"/>
      <c r="P72" s="100"/>
    </row>
    <row r="73">
      <c r="A73" s="107">
        <v>2037.0</v>
      </c>
      <c r="B73" s="108" t="s">
        <v>191</v>
      </c>
      <c r="C73" s="108" t="s">
        <v>208</v>
      </c>
      <c r="D73" s="112" t="s">
        <v>176</v>
      </c>
      <c r="E73" s="112">
        <v>1656.0</v>
      </c>
      <c r="F73" s="111" t="str">
        <f>DataPull!D73</f>
        <v/>
      </c>
      <c r="G73" s="94" t="str">
        <f t="shared" si="2"/>
        <v/>
      </c>
      <c r="H73" s="94" t="str">
        <f t="shared" si="3"/>
        <v/>
      </c>
      <c r="I73" s="94" t="str">
        <f t="shared" ref="I73:J73" si="74">if(G73 = "", , -G73)</f>
        <v/>
      </c>
      <c r="J73" s="94" t="str">
        <f t="shared" si="74"/>
        <v/>
      </c>
      <c r="K73" s="100"/>
      <c r="M73" s="100"/>
      <c r="N73" s="100"/>
      <c r="O73" s="100"/>
      <c r="P73" s="100"/>
    </row>
    <row r="74">
      <c r="A74" s="107">
        <v>2037.0</v>
      </c>
      <c r="B74" s="108" t="s">
        <v>192</v>
      </c>
      <c r="C74" s="108" t="s">
        <v>208</v>
      </c>
      <c r="D74" s="112" t="s">
        <v>177</v>
      </c>
      <c r="E74" s="112">
        <v>1209.6</v>
      </c>
      <c r="F74" s="111" t="str">
        <f>DataPull!D74</f>
        <v/>
      </c>
      <c r="G74" s="94" t="str">
        <f t="shared" si="2"/>
        <v/>
      </c>
      <c r="H74" s="94" t="str">
        <f t="shared" si="3"/>
        <v/>
      </c>
      <c r="I74" s="94" t="str">
        <f t="shared" ref="I74:J74" si="75">if(G74 = "", , -G74)</f>
        <v/>
      </c>
      <c r="J74" s="94" t="str">
        <f t="shared" si="75"/>
        <v/>
      </c>
      <c r="K74" s="100"/>
      <c r="M74" s="100"/>
      <c r="N74" s="100"/>
      <c r="O74" s="100"/>
      <c r="P74" s="100"/>
    </row>
    <row r="75">
      <c r="A75" s="107">
        <v>2037.0</v>
      </c>
      <c r="B75" s="108" t="s">
        <v>193</v>
      </c>
      <c r="C75" s="108" t="s">
        <v>208</v>
      </c>
      <c r="D75" s="112" t="s">
        <v>181</v>
      </c>
      <c r="E75" s="112">
        <v>6.0</v>
      </c>
      <c r="F75" s="111" t="str">
        <f>DataPull!D75</f>
        <v/>
      </c>
      <c r="G75" s="94" t="str">
        <f t="shared" si="2"/>
        <v/>
      </c>
      <c r="H75" s="94" t="str">
        <f t="shared" si="3"/>
        <v/>
      </c>
      <c r="I75" s="94" t="str">
        <f t="shared" ref="I75:J75" si="76">if(G75 = "", , -G75)</f>
        <v/>
      </c>
      <c r="J75" s="94" t="str">
        <f t="shared" si="76"/>
        <v/>
      </c>
      <c r="K75" s="100"/>
      <c r="M75" s="100"/>
      <c r="N75" s="100"/>
      <c r="O75" s="100"/>
      <c r="P75" s="100"/>
    </row>
    <row r="76">
      <c r="A76" s="107">
        <v>2045.0</v>
      </c>
      <c r="B76" s="108" t="s">
        <v>85</v>
      </c>
      <c r="C76" s="108" t="s">
        <v>209</v>
      </c>
      <c r="D76" s="112" t="s">
        <v>177</v>
      </c>
      <c r="E76" s="112">
        <v>391.4</v>
      </c>
      <c r="F76" s="111" t="str">
        <f>DataPull!D76</f>
        <v/>
      </c>
      <c r="G76" s="94" t="str">
        <f t="shared" si="2"/>
        <v/>
      </c>
      <c r="H76" s="94" t="str">
        <f t="shared" si="3"/>
        <v/>
      </c>
      <c r="I76" s="94" t="str">
        <f t="shared" ref="I76:J76" si="77">if(G76 = "", , -G76)</f>
        <v/>
      </c>
      <c r="J76" s="94" t="str">
        <f t="shared" si="77"/>
        <v/>
      </c>
      <c r="K76" s="100"/>
      <c r="L76" s="100"/>
      <c r="N76" s="100"/>
      <c r="O76" s="100"/>
      <c r="P76" s="100"/>
    </row>
    <row r="77">
      <c r="A77" s="107">
        <v>2045.0</v>
      </c>
      <c r="B77" s="108" t="s">
        <v>90</v>
      </c>
      <c r="C77" s="108" t="s">
        <v>209</v>
      </c>
      <c r="D77" s="112" t="s">
        <v>177</v>
      </c>
      <c r="E77" s="112">
        <v>706.8</v>
      </c>
      <c r="F77" s="111" t="str">
        <f>DataPull!D77</f>
        <v/>
      </c>
      <c r="G77" s="94" t="str">
        <f t="shared" si="2"/>
        <v/>
      </c>
      <c r="H77" s="94" t="str">
        <f t="shared" si="3"/>
        <v/>
      </c>
      <c r="I77" s="94" t="str">
        <f t="shared" ref="I77:J77" si="78">if(G77 = "", , -G77)</f>
        <v/>
      </c>
      <c r="J77" s="94" t="str">
        <f t="shared" si="78"/>
        <v/>
      </c>
      <c r="K77" s="100"/>
      <c r="L77" s="100"/>
      <c r="N77" s="100"/>
      <c r="O77" s="100"/>
      <c r="P77" s="100"/>
    </row>
    <row r="78">
      <c r="A78" s="107">
        <v>2199.0</v>
      </c>
      <c r="B78" s="108" t="s">
        <v>85</v>
      </c>
      <c r="C78" s="108" t="s">
        <v>210</v>
      </c>
      <c r="D78" s="112" t="s">
        <v>178</v>
      </c>
      <c r="E78" s="112">
        <v>1661.0</v>
      </c>
      <c r="F78" s="111" t="str">
        <f>DataPull!D78</f>
        <v/>
      </c>
      <c r="G78" s="94" t="str">
        <f t="shared" si="2"/>
        <v/>
      </c>
      <c r="H78" s="94" t="str">
        <f t="shared" si="3"/>
        <v/>
      </c>
      <c r="I78" s="94" t="str">
        <f t="shared" ref="I78:J78" si="79">if(G78 = "", , -G78)</f>
        <v/>
      </c>
      <c r="J78" s="94" t="str">
        <f t="shared" si="79"/>
        <v/>
      </c>
      <c r="K78" s="100"/>
      <c r="M78" s="100"/>
      <c r="N78" s="100"/>
      <c r="O78" s="100"/>
      <c r="P78" s="100"/>
    </row>
    <row r="79">
      <c r="A79" s="107">
        <v>2199.0</v>
      </c>
      <c r="B79" s="108" t="s">
        <v>90</v>
      </c>
      <c r="C79" s="108" t="s">
        <v>210</v>
      </c>
      <c r="D79" s="112" t="s">
        <v>178</v>
      </c>
      <c r="E79" s="112">
        <v>2287.5</v>
      </c>
      <c r="F79" s="111" t="str">
        <f>DataPull!D79</f>
        <v/>
      </c>
      <c r="G79" s="94" t="str">
        <f t="shared" si="2"/>
        <v/>
      </c>
      <c r="H79" s="94" t="str">
        <f t="shared" si="3"/>
        <v/>
      </c>
      <c r="I79" s="94" t="str">
        <f t="shared" ref="I79:J79" si="80">if(G79 = "", , -G79)</f>
        <v/>
      </c>
      <c r="J79" s="94" t="str">
        <f t="shared" si="80"/>
        <v/>
      </c>
      <c r="K79" s="100"/>
      <c r="M79" s="100"/>
      <c r="N79" s="100"/>
      <c r="O79" s="100"/>
      <c r="P79" s="100"/>
    </row>
    <row r="80">
      <c r="A80" s="107">
        <v>2199.0</v>
      </c>
      <c r="B80" s="108" t="s">
        <v>92</v>
      </c>
      <c r="C80" s="108" t="s">
        <v>210</v>
      </c>
      <c r="D80" s="112" t="s">
        <v>176</v>
      </c>
      <c r="E80" s="112">
        <v>1617.0</v>
      </c>
      <c r="F80" s="111" t="str">
        <f>DataPull!D80</f>
        <v/>
      </c>
      <c r="G80" s="94" t="str">
        <f t="shared" si="2"/>
        <v/>
      </c>
      <c r="H80" s="94" t="str">
        <f t="shared" si="3"/>
        <v/>
      </c>
      <c r="I80" s="94" t="str">
        <f t="shared" ref="I80:J80" si="81">if(G80 = "", , -G80)</f>
        <v/>
      </c>
      <c r="J80" s="94" t="str">
        <f t="shared" si="81"/>
        <v/>
      </c>
      <c r="K80" s="100"/>
      <c r="L80" s="100"/>
      <c r="N80" s="100"/>
      <c r="O80" s="100"/>
      <c r="P80" s="100"/>
    </row>
    <row r="81">
      <c r="A81" s="107">
        <v>2199.0</v>
      </c>
      <c r="B81" s="108" t="s">
        <v>190</v>
      </c>
      <c r="C81" s="108" t="s">
        <v>210</v>
      </c>
      <c r="D81" s="112" t="s">
        <v>178</v>
      </c>
      <c r="E81" s="112">
        <v>1297.2</v>
      </c>
      <c r="F81" s="111" t="str">
        <f>DataPull!D81</f>
        <v/>
      </c>
      <c r="G81" s="94" t="str">
        <f t="shared" si="2"/>
        <v/>
      </c>
      <c r="H81" s="94" t="str">
        <f t="shared" si="3"/>
        <v/>
      </c>
      <c r="I81" s="94" t="str">
        <f t="shared" ref="I81:J81" si="82">if(G81 = "", , -G81)</f>
        <v/>
      </c>
      <c r="J81" s="94" t="str">
        <f t="shared" si="82"/>
        <v/>
      </c>
      <c r="K81" s="100"/>
      <c r="L81" s="100"/>
      <c r="N81" s="100"/>
      <c r="O81" s="100"/>
      <c r="P81" s="100"/>
    </row>
    <row r="82">
      <c r="A82" s="107">
        <v>2199.0</v>
      </c>
      <c r="B82" s="108" t="s">
        <v>191</v>
      </c>
      <c r="C82" s="108" t="s">
        <v>210</v>
      </c>
      <c r="D82" s="112" t="s">
        <v>176</v>
      </c>
      <c r="E82" s="112">
        <v>1150.0</v>
      </c>
      <c r="F82" s="111" t="str">
        <f>DataPull!D82</f>
        <v/>
      </c>
      <c r="G82" s="94" t="str">
        <f t="shared" si="2"/>
        <v/>
      </c>
      <c r="H82" s="94" t="str">
        <f t="shared" si="3"/>
        <v/>
      </c>
      <c r="I82" s="94" t="str">
        <f t="shared" ref="I82:J82" si="83">if(G82 = "", , -G82)</f>
        <v/>
      </c>
      <c r="J82" s="94" t="str">
        <f t="shared" si="83"/>
        <v/>
      </c>
      <c r="K82" s="100"/>
      <c r="M82" s="100"/>
      <c r="N82" s="100"/>
      <c r="O82" s="100"/>
      <c r="P82" s="100"/>
    </row>
    <row r="83">
      <c r="A83" s="107">
        <v>2199.0</v>
      </c>
      <c r="B83" s="108" t="s">
        <v>192</v>
      </c>
      <c r="C83" s="108" t="s">
        <v>210</v>
      </c>
      <c r="D83" s="112" t="s">
        <v>177</v>
      </c>
      <c r="E83" s="112">
        <v>874.5</v>
      </c>
      <c r="F83" s="111" t="str">
        <f>DataPull!D83</f>
        <v/>
      </c>
      <c r="G83" s="94" t="str">
        <f t="shared" si="2"/>
        <v/>
      </c>
      <c r="H83" s="94" t="str">
        <f t="shared" si="3"/>
        <v/>
      </c>
      <c r="I83" s="94" t="str">
        <f t="shared" ref="I83:J83" si="84">if(G83 = "", , -G83)</f>
        <v/>
      </c>
      <c r="J83" s="94" t="str">
        <f t="shared" si="84"/>
        <v/>
      </c>
      <c r="K83" s="100"/>
      <c r="M83" s="100"/>
      <c r="N83" s="100"/>
      <c r="O83" s="100"/>
      <c r="P83" s="100"/>
    </row>
    <row r="84">
      <c r="A84" s="107">
        <v>2199.0</v>
      </c>
      <c r="B84" s="108" t="s">
        <v>193</v>
      </c>
      <c r="C84" s="108" t="s">
        <v>210</v>
      </c>
      <c r="D84" s="112" t="s">
        <v>187</v>
      </c>
      <c r="E84" s="112">
        <v>218.4</v>
      </c>
      <c r="F84" s="111" t="str">
        <f>DataPull!D84</f>
        <v/>
      </c>
      <c r="G84" s="94" t="str">
        <f t="shared" si="2"/>
        <v/>
      </c>
      <c r="H84" s="94" t="str">
        <f t="shared" si="3"/>
        <v/>
      </c>
      <c r="I84" s="94" t="str">
        <f t="shared" ref="I84:J84" si="85">if(G84 = "", , -G84)</f>
        <v/>
      </c>
      <c r="J84" s="94" t="str">
        <f t="shared" si="85"/>
        <v/>
      </c>
      <c r="K84" s="100"/>
      <c r="M84" s="100"/>
      <c r="N84" s="100"/>
      <c r="O84" s="100"/>
      <c r="P84" s="100"/>
    </row>
    <row r="85">
      <c r="A85" s="107">
        <v>2200.0</v>
      </c>
      <c r="B85" s="108" t="s">
        <v>85</v>
      </c>
      <c r="C85" s="108" t="s">
        <v>211</v>
      </c>
      <c r="D85" s="112" t="s">
        <v>178</v>
      </c>
      <c r="E85" s="112">
        <v>1884.0</v>
      </c>
      <c r="F85" s="111" t="str">
        <f>DataPull!D85</f>
        <v/>
      </c>
      <c r="G85" s="94" t="str">
        <f t="shared" si="2"/>
        <v/>
      </c>
      <c r="H85" s="94" t="str">
        <f t="shared" si="3"/>
        <v/>
      </c>
      <c r="I85" s="94" t="str">
        <f t="shared" ref="I85:J85" si="86">if(G85 = "", , -G85)</f>
        <v/>
      </c>
      <c r="J85" s="94" t="str">
        <f t="shared" si="86"/>
        <v/>
      </c>
      <c r="K85" s="100"/>
      <c r="M85" s="100"/>
      <c r="N85" s="100"/>
      <c r="O85" s="100"/>
      <c r="P85" s="100"/>
    </row>
    <row r="86">
      <c r="A86" s="107">
        <v>2200.0</v>
      </c>
      <c r="B86" s="108" t="s">
        <v>90</v>
      </c>
      <c r="C86" s="108" t="s">
        <v>211</v>
      </c>
      <c r="D86" s="112" t="s">
        <v>178</v>
      </c>
      <c r="E86" s="112">
        <v>2683.2</v>
      </c>
      <c r="F86" s="111" t="str">
        <f>DataPull!D86</f>
        <v/>
      </c>
      <c r="G86" s="94" t="str">
        <f t="shared" si="2"/>
        <v/>
      </c>
      <c r="H86" s="94" t="str">
        <f t="shared" si="3"/>
        <v/>
      </c>
      <c r="I86" s="94" t="str">
        <f t="shared" ref="I86:J86" si="87">if(G86 = "", , -G86)</f>
        <v/>
      </c>
      <c r="J86" s="94" t="str">
        <f t="shared" si="87"/>
        <v/>
      </c>
      <c r="K86" s="100"/>
      <c r="M86" s="100"/>
      <c r="N86" s="100"/>
      <c r="O86" s="100"/>
      <c r="P86" s="100"/>
    </row>
    <row r="87">
      <c r="A87" s="107">
        <v>2200.0</v>
      </c>
      <c r="B87" s="108" t="s">
        <v>92</v>
      </c>
      <c r="C87" s="108" t="s">
        <v>211</v>
      </c>
      <c r="D87" s="112" t="s">
        <v>178</v>
      </c>
      <c r="E87" s="112">
        <v>2289.6</v>
      </c>
      <c r="F87" s="111" t="str">
        <f>DataPull!D87</f>
        <v/>
      </c>
      <c r="G87" s="94" t="str">
        <f t="shared" si="2"/>
        <v/>
      </c>
      <c r="H87" s="94" t="str">
        <f t="shared" si="3"/>
        <v/>
      </c>
      <c r="I87" s="94" t="str">
        <f t="shared" ref="I87:J87" si="88">if(G87 = "", , -G87)</f>
        <v/>
      </c>
      <c r="J87" s="94" t="str">
        <f t="shared" si="88"/>
        <v/>
      </c>
      <c r="K87" s="100"/>
      <c r="M87" s="100"/>
      <c r="N87" s="100"/>
      <c r="O87" s="100"/>
      <c r="P87" s="100"/>
    </row>
    <row r="88">
      <c r="A88" s="107">
        <v>2200.0</v>
      </c>
      <c r="B88" s="108" t="s">
        <v>190</v>
      </c>
      <c r="C88" s="108" t="s">
        <v>211</v>
      </c>
      <c r="D88" s="112" t="s">
        <v>184</v>
      </c>
      <c r="E88" s="112">
        <v>1625.6</v>
      </c>
      <c r="F88" s="111" t="str">
        <f>DataPull!D88</f>
        <v/>
      </c>
      <c r="G88" s="94" t="str">
        <f t="shared" si="2"/>
        <v/>
      </c>
      <c r="H88" s="94" t="str">
        <f t="shared" si="3"/>
        <v/>
      </c>
      <c r="I88" s="94" t="str">
        <f t="shared" ref="I88:J88" si="89">if(G88 = "", , -G88)</f>
        <v/>
      </c>
      <c r="J88" s="94" t="str">
        <f t="shared" si="89"/>
        <v/>
      </c>
      <c r="K88" s="100"/>
      <c r="M88" s="100"/>
      <c r="N88" s="100"/>
      <c r="O88" s="100"/>
      <c r="P88" s="100"/>
    </row>
    <row r="89">
      <c r="A89" s="107">
        <v>2200.0</v>
      </c>
      <c r="B89" s="108" t="s">
        <v>191</v>
      </c>
      <c r="C89" s="108" t="s">
        <v>211</v>
      </c>
      <c r="D89" s="112" t="s">
        <v>184</v>
      </c>
      <c r="E89" s="112">
        <v>1809.5</v>
      </c>
      <c r="F89" s="111" t="str">
        <f>DataPull!D89</f>
        <v/>
      </c>
      <c r="G89" s="94" t="str">
        <f t="shared" si="2"/>
        <v/>
      </c>
      <c r="H89" s="94" t="str">
        <f t="shared" si="3"/>
        <v/>
      </c>
      <c r="I89" s="94" t="str">
        <f t="shared" ref="I89:J89" si="90">if(G89 = "", , -G89)</f>
        <v/>
      </c>
      <c r="J89" s="94" t="str">
        <f t="shared" si="90"/>
        <v/>
      </c>
      <c r="K89" s="100"/>
      <c r="M89" s="100"/>
      <c r="N89" s="100"/>
      <c r="O89" s="100"/>
      <c r="P89" s="100"/>
    </row>
    <row r="90">
      <c r="A90" s="107">
        <v>2200.0</v>
      </c>
      <c r="B90" s="108" t="s">
        <v>192</v>
      </c>
      <c r="C90" s="108" t="s">
        <v>211</v>
      </c>
      <c r="D90" s="112" t="s">
        <v>177</v>
      </c>
      <c r="E90" s="112">
        <v>360.0</v>
      </c>
      <c r="F90" s="111" t="str">
        <f>DataPull!D90</f>
        <v/>
      </c>
      <c r="G90" s="94" t="str">
        <f t="shared" si="2"/>
        <v/>
      </c>
      <c r="H90" s="94" t="str">
        <f t="shared" si="3"/>
        <v/>
      </c>
      <c r="I90" s="94" t="str">
        <f t="shared" ref="I90:J90" si="91">if(G90 = "", , -G90)</f>
        <v/>
      </c>
      <c r="J90" s="94" t="str">
        <f t="shared" si="91"/>
        <v/>
      </c>
      <c r="K90" s="100"/>
      <c r="N90" s="100"/>
      <c r="O90" s="100"/>
      <c r="P90" s="100"/>
    </row>
    <row r="91">
      <c r="A91" s="107">
        <v>2202.0</v>
      </c>
      <c r="B91" s="108" t="s">
        <v>90</v>
      </c>
      <c r="C91" s="108" t="s">
        <v>212</v>
      </c>
      <c r="D91" s="112" t="s">
        <v>176</v>
      </c>
      <c r="E91" s="112">
        <v>416.1</v>
      </c>
      <c r="F91" s="111" t="str">
        <f>DataPull!D91</f>
        <v/>
      </c>
      <c r="G91" s="94" t="str">
        <f t="shared" si="2"/>
        <v/>
      </c>
      <c r="H91" s="94" t="str">
        <f t="shared" si="3"/>
        <v/>
      </c>
      <c r="I91" s="94" t="str">
        <f t="shared" ref="I91:J91" si="92">if(G91 = "", , -G91)</f>
        <v/>
      </c>
      <c r="J91" s="94" t="str">
        <f t="shared" si="92"/>
        <v/>
      </c>
      <c r="K91" s="100"/>
      <c r="M91" s="100"/>
      <c r="N91" s="100"/>
      <c r="O91" s="100"/>
      <c r="P91" s="100"/>
    </row>
    <row r="92">
      <c r="A92" s="107">
        <v>2203.0</v>
      </c>
      <c r="B92" s="108" t="s">
        <v>85</v>
      </c>
      <c r="C92" s="108" t="s">
        <v>213</v>
      </c>
      <c r="D92" s="112" t="s">
        <v>176</v>
      </c>
      <c r="E92" s="112">
        <v>1467.3</v>
      </c>
      <c r="F92" s="111" t="str">
        <f>DataPull!D92</f>
        <v/>
      </c>
      <c r="G92" s="94" t="str">
        <f t="shared" si="2"/>
        <v/>
      </c>
      <c r="H92" s="94" t="str">
        <f t="shared" si="3"/>
        <v/>
      </c>
      <c r="I92" s="94" t="str">
        <f t="shared" ref="I92:J92" si="93">if(G92 = "", , -G92)</f>
        <v/>
      </c>
      <c r="J92" s="94" t="str">
        <f t="shared" si="93"/>
        <v/>
      </c>
      <c r="K92" s="100"/>
      <c r="M92" s="100"/>
      <c r="N92" s="100"/>
      <c r="O92" s="100"/>
      <c r="P92" s="100"/>
    </row>
    <row r="93">
      <c r="A93" s="107">
        <v>2207.0</v>
      </c>
      <c r="B93" s="108" t="s">
        <v>85</v>
      </c>
      <c r="C93" s="108" t="s">
        <v>214</v>
      </c>
      <c r="D93" s="112" t="s">
        <v>178</v>
      </c>
      <c r="E93" s="112">
        <v>2575.4</v>
      </c>
      <c r="F93" s="111" t="str">
        <f>DataPull!D93</f>
        <v/>
      </c>
      <c r="G93" s="94" t="str">
        <f t="shared" si="2"/>
        <v/>
      </c>
      <c r="H93" s="94" t="str">
        <f t="shared" si="3"/>
        <v/>
      </c>
      <c r="I93" s="94" t="str">
        <f t="shared" ref="I93:J93" si="94">if(G93 = "", , -G93)</f>
        <v/>
      </c>
      <c r="J93" s="94" t="str">
        <f t="shared" si="94"/>
        <v/>
      </c>
      <c r="K93" s="100"/>
      <c r="M93" s="100"/>
      <c r="N93" s="100"/>
      <c r="O93" s="100"/>
      <c r="P93" s="100"/>
    </row>
    <row r="94">
      <c r="A94" s="107">
        <v>2207.0</v>
      </c>
      <c r="B94" s="108" t="s">
        <v>90</v>
      </c>
      <c r="C94" s="108" t="s">
        <v>214</v>
      </c>
      <c r="D94" s="112" t="s">
        <v>178</v>
      </c>
      <c r="E94" s="112">
        <v>2792.0</v>
      </c>
      <c r="F94" s="111" t="str">
        <f>DataPull!D94</f>
        <v/>
      </c>
      <c r="G94" s="94" t="str">
        <f t="shared" si="2"/>
        <v/>
      </c>
      <c r="H94" s="94" t="str">
        <f t="shared" si="3"/>
        <v/>
      </c>
      <c r="I94" s="94" t="str">
        <f t="shared" ref="I94:J94" si="95">if(G94 = "", , -G94)</f>
        <v/>
      </c>
      <c r="J94" s="94" t="str">
        <f t="shared" si="95"/>
        <v/>
      </c>
      <c r="K94" s="100"/>
      <c r="M94" s="100"/>
      <c r="N94" s="100"/>
      <c r="O94" s="100"/>
      <c r="P94" s="100"/>
    </row>
    <row r="95">
      <c r="A95" s="107">
        <v>2207.0</v>
      </c>
      <c r="B95" s="108" t="s">
        <v>92</v>
      </c>
      <c r="C95" s="108" t="s">
        <v>214</v>
      </c>
      <c r="D95" s="112" t="s">
        <v>178</v>
      </c>
      <c r="E95" s="112">
        <v>2705.4</v>
      </c>
      <c r="F95" s="111" t="str">
        <f>DataPull!D95</f>
        <v/>
      </c>
      <c r="G95" s="94" t="str">
        <f t="shared" si="2"/>
        <v/>
      </c>
      <c r="H95" s="94" t="str">
        <f t="shared" si="3"/>
        <v/>
      </c>
      <c r="I95" s="94" t="str">
        <f t="shared" ref="I95:J95" si="96">if(G95 = "", , -G95)</f>
        <v/>
      </c>
      <c r="J95" s="94" t="str">
        <f t="shared" si="96"/>
        <v/>
      </c>
      <c r="K95" s="100"/>
      <c r="M95" s="100"/>
      <c r="N95" s="100"/>
      <c r="O95" s="100"/>
      <c r="P95" s="100"/>
    </row>
    <row r="96">
      <c r="A96" s="107">
        <v>2207.0</v>
      </c>
      <c r="B96" s="108" t="s">
        <v>190</v>
      </c>
      <c r="C96" s="108" t="s">
        <v>214</v>
      </c>
      <c r="D96" s="112" t="s">
        <v>176</v>
      </c>
      <c r="E96" s="112">
        <v>1840.8</v>
      </c>
      <c r="F96" s="111" t="str">
        <f>DataPull!D96</f>
        <v/>
      </c>
      <c r="G96" s="94" t="str">
        <f t="shared" si="2"/>
        <v/>
      </c>
      <c r="H96" s="94" t="str">
        <f t="shared" si="3"/>
        <v/>
      </c>
      <c r="I96" s="94" t="str">
        <f t="shared" ref="I96:J96" si="97">if(G96 = "", , -G96)</f>
        <v/>
      </c>
      <c r="J96" s="94" t="str">
        <f t="shared" si="97"/>
        <v/>
      </c>
      <c r="K96" s="100"/>
      <c r="M96" s="100"/>
      <c r="N96" s="100"/>
      <c r="O96" s="100"/>
      <c r="P96" s="100"/>
    </row>
    <row r="97">
      <c r="A97" s="107">
        <v>2207.0</v>
      </c>
      <c r="B97" s="108" t="s">
        <v>191</v>
      </c>
      <c r="C97" s="108" t="s">
        <v>214</v>
      </c>
      <c r="D97" s="112" t="s">
        <v>177</v>
      </c>
      <c r="E97" s="112">
        <v>1204.5</v>
      </c>
      <c r="F97" s="111" t="str">
        <f>DataPull!D97</f>
        <v/>
      </c>
      <c r="G97" s="94" t="str">
        <f t="shared" si="2"/>
        <v/>
      </c>
      <c r="H97" s="94" t="str">
        <f t="shared" si="3"/>
        <v/>
      </c>
      <c r="I97" s="94" t="str">
        <f t="shared" ref="I97:J97" si="98">if(G97 = "", , -G97)</f>
        <v/>
      </c>
      <c r="J97" s="94" t="str">
        <f t="shared" si="98"/>
        <v/>
      </c>
      <c r="K97" s="100"/>
      <c r="M97" s="100"/>
      <c r="N97" s="100"/>
      <c r="O97" s="100"/>
      <c r="P97" s="100"/>
    </row>
    <row r="98">
      <c r="A98" s="107">
        <v>2207.0</v>
      </c>
      <c r="B98" s="108" t="s">
        <v>215</v>
      </c>
      <c r="C98" s="108" t="s">
        <v>214</v>
      </c>
      <c r="D98" s="112" t="s">
        <v>181</v>
      </c>
      <c r="E98" s="112">
        <v>2.0</v>
      </c>
      <c r="F98" s="111" t="str">
        <f>DataPull!D98</f>
        <v/>
      </c>
      <c r="G98" s="94" t="str">
        <f t="shared" si="2"/>
        <v/>
      </c>
      <c r="H98" s="94" t="str">
        <f t="shared" si="3"/>
        <v/>
      </c>
      <c r="I98" s="94" t="str">
        <f t="shared" ref="I98:J98" si="99">if(G98 = "", , -G98)</f>
        <v/>
      </c>
      <c r="J98" s="94" t="str">
        <f t="shared" si="99"/>
        <v/>
      </c>
      <c r="K98" s="100"/>
      <c r="M98" s="100"/>
      <c r="N98" s="100"/>
      <c r="O98" s="100"/>
      <c r="P98" s="100"/>
    </row>
    <row r="99">
      <c r="A99" s="107">
        <v>2210.0</v>
      </c>
      <c r="B99" s="108" t="s">
        <v>85</v>
      </c>
      <c r="C99" s="108" t="s">
        <v>216</v>
      </c>
      <c r="D99" s="112" t="s">
        <v>178</v>
      </c>
      <c r="E99" s="112">
        <v>2214.0</v>
      </c>
      <c r="F99" s="111" t="str">
        <f>DataPull!D99</f>
        <v/>
      </c>
      <c r="G99" s="94" t="str">
        <f t="shared" si="2"/>
        <v/>
      </c>
      <c r="H99" s="94" t="str">
        <f t="shared" si="3"/>
        <v/>
      </c>
      <c r="I99" s="94" t="str">
        <f t="shared" ref="I99:J99" si="100">if(G99 = "", , -G99)</f>
        <v/>
      </c>
      <c r="J99" s="94" t="str">
        <f t="shared" si="100"/>
        <v/>
      </c>
      <c r="K99" s="100"/>
      <c r="M99" s="100"/>
      <c r="N99" s="100"/>
      <c r="O99" s="100"/>
      <c r="P99" s="100"/>
    </row>
    <row r="100">
      <c r="A100" s="107">
        <v>2210.0</v>
      </c>
      <c r="B100" s="108" t="s">
        <v>90</v>
      </c>
      <c r="C100" s="108" t="s">
        <v>216</v>
      </c>
      <c r="D100" s="112" t="s">
        <v>177</v>
      </c>
      <c r="E100" s="112">
        <v>1243.2</v>
      </c>
      <c r="F100" s="111" t="str">
        <f>DataPull!D100</f>
        <v/>
      </c>
      <c r="G100" s="94" t="str">
        <f t="shared" si="2"/>
        <v/>
      </c>
      <c r="H100" s="94" t="str">
        <f t="shared" si="3"/>
        <v/>
      </c>
      <c r="I100" s="94" t="str">
        <f t="shared" ref="I100:J100" si="101">if(G100 = "", , -G100)</f>
        <v/>
      </c>
      <c r="J100" s="94" t="str">
        <f t="shared" si="101"/>
        <v/>
      </c>
      <c r="K100" s="100"/>
      <c r="M100" s="100"/>
      <c r="N100" s="100"/>
      <c r="O100" s="100"/>
      <c r="P100" s="100"/>
    </row>
    <row r="101">
      <c r="A101" s="107">
        <v>2210.0</v>
      </c>
      <c r="B101" s="108" t="s">
        <v>92</v>
      </c>
      <c r="C101" s="108" t="s">
        <v>216</v>
      </c>
      <c r="D101" s="112" t="s">
        <v>177</v>
      </c>
      <c r="E101" s="112">
        <v>1324.6</v>
      </c>
      <c r="F101" s="111" t="str">
        <f>DataPull!D101</f>
        <v/>
      </c>
      <c r="G101" s="94" t="str">
        <f t="shared" si="2"/>
        <v/>
      </c>
      <c r="H101" s="94" t="str">
        <f t="shared" si="3"/>
        <v/>
      </c>
      <c r="I101" s="94" t="str">
        <f t="shared" ref="I101:J101" si="102">if(G101 = "", , -G101)</f>
        <v/>
      </c>
      <c r="J101" s="94" t="str">
        <f t="shared" si="102"/>
        <v/>
      </c>
      <c r="K101" s="100"/>
      <c r="M101" s="100"/>
      <c r="N101" s="100"/>
      <c r="O101" s="100"/>
      <c r="P101" s="100"/>
    </row>
    <row r="102">
      <c r="A102" s="107">
        <v>2210.0</v>
      </c>
      <c r="B102" s="108" t="s">
        <v>190</v>
      </c>
      <c r="C102" s="108" t="s">
        <v>216</v>
      </c>
      <c r="D102" s="112" t="s">
        <v>177</v>
      </c>
      <c r="E102" s="112">
        <v>1611.6</v>
      </c>
      <c r="F102" s="111" t="str">
        <f>DataPull!D102</f>
        <v/>
      </c>
      <c r="G102" s="94" t="str">
        <f t="shared" si="2"/>
        <v/>
      </c>
      <c r="H102" s="94" t="str">
        <f t="shared" si="3"/>
        <v/>
      </c>
      <c r="I102" s="94" t="str">
        <f t="shared" ref="I102:J102" si="103">if(G102 = "", , -G102)</f>
        <v/>
      </c>
      <c r="J102" s="94" t="str">
        <f t="shared" si="103"/>
        <v/>
      </c>
      <c r="K102" s="100"/>
      <c r="M102" s="100"/>
      <c r="N102" s="100"/>
      <c r="O102" s="100"/>
      <c r="P102" s="100"/>
    </row>
    <row r="103">
      <c r="A103" s="107">
        <v>2210.0</v>
      </c>
      <c r="B103" s="108" t="s">
        <v>191</v>
      </c>
      <c r="C103" s="108" t="s">
        <v>216</v>
      </c>
      <c r="D103" s="112" t="s">
        <v>187</v>
      </c>
      <c r="E103" s="112">
        <v>164.0</v>
      </c>
      <c r="F103" s="111" t="str">
        <f>DataPull!D103</f>
        <v/>
      </c>
      <c r="G103" s="94" t="str">
        <f t="shared" si="2"/>
        <v/>
      </c>
      <c r="H103" s="94" t="str">
        <f t="shared" si="3"/>
        <v/>
      </c>
      <c r="I103" s="94" t="str">
        <f t="shared" ref="I103:J103" si="104">if(G103 = "", , -G103)</f>
        <v/>
      </c>
      <c r="J103" s="94" t="str">
        <f t="shared" si="104"/>
        <v/>
      </c>
      <c r="K103" s="100"/>
      <c r="L103" s="100"/>
      <c r="N103" s="100"/>
      <c r="O103" s="100"/>
      <c r="P103" s="100"/>
    </row>
    <row r="104">
      <c r="A104" s="107">
        <v>2215.0</v>
      </c>
      <c r="B104" s="108" t="s">
        <v>85</v>
      </c>
      <c r="C104" s="108" t="s">
        <v>217</v>
      </c>
      <c r="D104" s="112" t="s">
        <v>187</v>
      </c>
      <c r="E104" s="112">
        <v>171.6</v>
      </c>
      <c r="F104" s="111" t="str">
        <f>DataPull!D104</f>
        <v/>
      </c>
      <c r="G104" s="94" t="str">
        <f t="shared" si="2"/>
        <v/>
      </c>
      <c r="H104" s="94" t="str">
        <f t="shared" si="3"/>
        <v/>
      </c>
      <c r="I104" s="94" t="str">
        <f t="shared" ref="I104:J104" si="105">if(G104 = "", , -G104)</f>
        <v/>
      </c>
      <c r="J104" s="94" t="str">
        <f t="shared" si="105"/>
        <v/>
      </c>
      <c r="K104" s="100"/>
      <c r="M104" s="100"/>
      <c r="N104" s="100"/>
      <c r="O104" s="100"/>
      <c r="P104" s="100"/>
    </row>
    <row r="105">
      <c r="A105" s="107">
        <v>2216.0</v>
      </c>
      <c r="B105" s="108" t="s">
        <v>85</v>
      </c>
      <c r="C105" s="108" t="s">
        <v>218</v>
      </c>
      <c r="D105" s="112" t="s">
        <v>178</v>
      </c>
      <c r="E105" s="112">
        <v>2701.8</v>
      </c>
      <c r="F105" s="111" t="str">
        <f>DataPull!D105</f>
        <v/>
      </c>
      <c r="G105" s="94" t="str">
        <f t="shared" si="2"/>
        <v/>
      </c>
      <c r="H105" s="94" t="str">
        <f t="shared" si="3"/>
        <v/>
      </c>
      <c r="I105" s="94" t="str">
        <f t="shared" ref="I105:J105" si="106">if(G105 = "", , -G105)</f>
        <v/>
      </c>
      <c r="J105" s="94" t="str">
        <f t="shared" si="106"/>
        <v/>
      </c>
      <c r="K105" s="100"/>
      <c r="M105" s="100"/>
      <c r="N105" s="100"/>
      <c r="O105" s="100"/>
      <c r="P105" s="100"/>
    </row>
    <row r="106">
      <c r="A106" s="107">
        <v>2216.0</v>
      </c>
      <c r="B106" s="108" t="s">
        <v>90</v>
      </c>
      <c r="C106" s="108" t="s">
        <v>218</v>
      </c>
      <c r="D106" s="112" t="s">
        <v>178</v>
      </c>
      <c r="E106" s="112">
        <v>2300.4</v>
      </c>
      <c r="F106" s="111" t="str">
        <f>DataPull!D106</f>
        <v/>
      </c>
      <c r="G106" s="94" t="str">
        <f t="shared" si="2"/>
        <v/>
      </c>
      <c r="H106" s="94" t="str">
        <f t="shared" si="3"/>
        <v/>
      </c>
      <c r="I106" s="94" t="str">
        <f t="shared" ref="I106:J106" si="107">if(G106 = "", , -G106)</f>
        <v/>
      </c>
      <c r="J106" s="94" t="str">
        <f t="shared" si="107"/>
        <v/>
      </c>
      <c r="K106" s="100"/>
      <c r="M106" s="100"/>
      <c r="N106" s="100"/>
      <c r="O106" s="100"/>
      <c r="P106" s="100"/>
    </row>
    <row r="107">
      <c r="A107" s="107">
        <v>2216.0</v>
      </c>
      <c r="B107" s="108" t="s">
        <v>92</v>
      </c>
      <c r="C107" s="108" t="s">
        <v>218</v>
      </c>
      <c r="D107" s="112" t="s">
        <v>178</v>
      </c>
      <c r="E107" s="112">
        <v>2019.6</v>
      </c>
      <c r="F107" s="111" t="str">
        <f>DataPull!D107</f>
        <v/>
      </c>
      <c r="G107" s="94" t="str">
        <f t="shared" si="2"/>
        <v/>
      </c>
      <c r="H107" s="94" t="str">
        <f t="shared" si="3"/>
        <v/>
      </c>
      <c r="I107" s="94" t="str">
        <f t="shared" ref="I107:J107" si="108">if(G107 = "", , -G107)</f>
        <v/>
      </c>
      <c r="J107" s="94" t="str">
        <f t="shared" si="108"/>
        <v/>
      </c>
      <c r="K107" s="100"/>
      <c r="M107" s="100"/>
      <c r="N107" s="100"/>
      <c r="O107" s="100"/>
      <c r="P107" s="100"/>
    </row>
    <row r="108">
      <c r="A108" s="107">
        <v>2216.0</v>
      </c>
      <c r="B108" s="108" t="s">
        <v>190</v>
      </c>
      <c r="C108" s="108" t="s">
        <v>218</v>
      </c>
      <c r="D108" s="112" t="s">
        <v>176</v>
      </c>
      <c r="E108" s="112">
        <v>1788.5</v>
      </c>
      <c r="F108" s="111" t="str">
        <f>DataPull!D108</f>
        <v/>
      </c>
      <c r="G108" s="94" t="str">
        <f t="shared" si="2"/>
        <v/>
      </c>
      <c r="H108" s="94" t="str">
        <f t="shared" si="3"/>
        <v/>
      </c>
      <c r="I108" s="94" t="str">
        <f t="shared" ref="I108:J108" si="109">if(G108 = "", , -G108)</f>
        <v/>
      </c>
      <c r="J108" s="94" t="str">
        <f t="shared" si="109"/>
        <v/>
      </c>
      <c r="K108" s="100"/>
      <c r="L108" s="100"/>
      <c r="N108" s="100"/>
      <c r="O108" s="100"/>
      <c r="P108" s="100"/>
    </row>
    <row r="109">
      <c r="A109" s="107">
        <v>2216.0</v>
      </c>
      <c r="B109" s="108" t="s">
        <v>191</v>
      </c>
      <c r="C109" s="108" t="s">
        <v>218</v>
      </c>
      <c r="D109" s="112" t="s">
        <v>178</v>
      </c>
      <c r="E109" s="112">
        <v>1510.4</v>
      </c>
      <c r="F109" s="111" t="str">
        <f>DataPull!D109</f>
        <v/>
      </c>
      <c r="G109" s="94" t="str">
        <f t="shared" si="2"/>
        <v/>
      </c>
      <c r="H109" s="94" t="str">
        <f t="shared" si="3"/>
        <v/>
      </c>
      <c r="I109" s="94" t="str">
        <f t="shared" ref="I109:J109" si="110">if(G109 = "", , -G109)</f>
        <v/>
      </c>
      <c r="J109" s="94" t="str">
        <f t="shared" si="110"/>
        <v/>
      </c>
      <c r="K109" s="100"/>
      <c r="M109" s="100"/>
      <c r="N109" s="100"/>
      <c r="O109" s="100"/>
      <c r="P109" s="100"/>
    </row>
    <row r="110">
      <c r="A110" s="107">
        <v>2217.0</v>
      </c>
      <c r="B110" s="108" t="s">
        <v>90</v>
      </c>
      <c r="C110" s="108" t="s">
        <v>219</v>
      </c>
      <c r="D110" s="112" t="s">
        <v>187</v>
      </c>
      <c r="E110" s="112">
        <v>118.8</v>
      </c>
      <c r="F110" s="111" t="str">
        <f>DataPull!D110</f>
        <v/>
      </c>
      <c r="G110" s="94" t="str">
        <f t="shared" si="2"/>
        <v/>
      </c>
      <c r="H110" s="94" t="str">
        <f t="shared" si="3"/>
        <v/>
      </c>
      <c r="I110" s="94" t="str">
        <f t="shared" ref="I110:J110" si="111">if(G110 = "", , -G110)</f>
        <v/>
      </c>
      <c r="J110" s="94" t="str">
        <f t="shared" si="111"/>
        <v/>
      </c>
      <c r="K110" s="100"/>
      <c r="M110" s="100"/>
      <c r="N110" s="100"/>
      <c r="O110" s="100"/>
      <c r="P110" s="100"/>
    </row>
    <row r="111">
      <c r="A111" s="107">
        <v>2222.0</v>
      </c>
      <c r="B111" s="108" t="s">
        <v>85</v>
      </c>
      <c r="C111" s="108" t="s">
        <v>220</v>
      </c>
      <c r="D111" s="112" t="s">
        <v>176</v>
      </c>
      <c r="E111" s="112">
        <v>1415.2</v>
      </c>
      <c r="F111" s="111" t="str">
        <f>DataPull!D111</f>
        <v/>
      </c>
      <c r="G111" s="94" t="str">
        <f t="shared" si="2"/>
        <v/>
      </c>
      <c r="H111" s="94" t="str">
        <f t="shared" si="3"/>
        <v/>
      </c>
      <c r="I111" s="94" t="str">
        <f t="shared" ref="I111:J111" si="112">if(G111 = "", , -G111)</f>
        <v/>
      </c>
      <c r="J111" s="94" t="str">
        <f t="shared" si="112"/>
        <v/>
      </c>
      <c r="K111" s="100"/>
      <c r="M111" s="100"/>
      <c r="N111" s="100"/>
      <c r="O111" s="100"/>
      <c r="P111" s="100"/>
    </row>
    <row r="112">
      <c r="A112" s="107">
        <v>2222.0</v>
      </c>
      <c r="B112" s="108" t="s">
        <v>90</v>
      </c>
      <c r="C112" s="108" t="s">
        <v>220</v>
      </c>
      <c r="D112" s="112" t="s">
        <v>187</v>
      </c>
      <c r="E112" s="112">
        <v>284.8</v>
      </c>
      <c r="F112" s="111" t="str">
        <f>DataPull!D112</f>
        <v/>
      </c>
      <c r="G112" s="94" t="str">
        <f t="shared" si="2"/>
        <v/>
      </c>
      <c r="H112" s="94" t="str">
        <f t="shared" si="3"/>
        <v/>
      </c>
      <c r="I112" s="94" t="str">
        <f t="shared" ref="I112:J112" si="113">if(G112 = "", , -G112)</f>
        <v/>
      </c>
      <c r="J112" s="94" t="str">
        <f t="shared" si="113"/>
        <v/>
      </c>
      <c r="K112" s="100"/>
      <c r="M112" s="100"/>
      <c r="N112" s="100"/>
      <c r="O112" s="100"/>
      <c r="P112" s="100"/>
    </row>
    <row r="113">
      <c r="A113" s="107">
        <v>2223.0</v>
      </c>
      <c r="B113" s="108" t="s">
        <v>85</v>
      </c>
      <c r="C113" s="108" t="s">
        <v>221</v>
      </c>
      <c r="D113" s="112" t="s">
        <v>176</v>
      </c>
      <c r="E113" s="112">
        <v>1616.0</v>
      </c>
      <c r="F113" s="111" t="str">
        <f>DataPull!D113</f>
        <v/>
      </c>
      <c r="G113" s="94" t="str">
        <f t="shared" si="2"/>
        <v/>
      </c>
      <c r="H113" s="94" t="str">
        <f t="shared" si="3"/>
        <v/>
      </c>
      <c r="I113" s="94" t="str">
        <f t="shared" ref="I113:J113" si="114">if(G113 = "", , -G113)</f>
        <v/>
      </c>
      <c r="J113" s="94" t="str">
        <f t="shared" si="114"/>
        <v/>
      </c>
      <c r="K113" s="100"/>
      <c r="M113" s="100"/>
      <c r="N113" s="100"/>
      <c r="O113" s="100"/>
      <c r="P113" s="100"/>
    </row>
    <row r="114">
      <c r="A114" s="107">
        <v>2223.0</v>
      </c>
      <c r="B114" s="108" t="s">
        <v>90</v>
      </c>
      <c r="C114" s="108" t="s">
        <v>221</v>
      </c>
      <c r="D114" s="112" t="s">
        <v>177</v>
      </c>
      <c r="E114" s="112">
        <v>544.0</v>
      </c>
      <c r="F114" s="111" t="str">
        <f>DataPull!D114</f>
        <v/>
      </c>
      <c r="G114" s="94" t="str">
        <f t="shared" si="2"/>
        <v/>
      </c>
      <c r="H114" s="94" t="str">
        <f t="shared" si="3"/>
        <v/>
      </c>
      <c r="I114" s="94" t="str">
        <f t="shared" ref="I114:J114" si="115">if(G114 = "", , -G114)</f>
        <v/>
      </c>
      <c r="J114" s="94" t="str">
        <f t="shared" si="115"/>
        <v/>
      </c>
      <c r="K114" s="100"/>
      <c r="M114" s="100"/>
      <c r="N114" s="100"/>
      <c r="O114" s="100"/>
      <c r="P114" s="100"/>
    </row>
    <row r="115">
      <c r="A115" s="107">
        <v>2224.0</v>
      </c>
      <c r="B115" s="108" t="s">
        <v>85</v>
      </c>
      <c r="C115" s="108" t="s">
        <v>222</v>
      </c>
      <c r="D115" s="112" t="s">
        <v>181</v>
      </c>
      <c r="E115" s="112">
        <v>110.4</v>
      </c>
      <c r="F115" s="111" t="str">
        <f>DataPull!D115</f>
        <v/>
      </c>
      <c r="G115" s="94" t="str">
        <f t="shared" si="2"/>
        <v/>
      </c>
      <c r="H115" s="94" t="str">
        <f t="shared" si="3"/>
        <v/>
      </c>
      <c r="I115" s="94" t="str">
        <f t="shared" ref="I115:J115" si="116">if(G115 = "", , -G115)</f>
        <v/>
      </c>
      <c r="J115" s="94" t="str">
        <f t="shared" si="116"/>
        <v/>
      </c>
      <c r="K115" s="100"/>
      <c r="M115" s="100"/>
      <c r="N115" s="100"/>
      <c r="O115" s="100"/>
      <c r="P115" s="100"/>
    </row>
    <row r="116">
      <c r="A116" s="107">
        <v>2225.0</v>
      </c>
      <c r="B116" s="108" t="s">
        <v>85</v>
      </c>
      <c r="C116" s="108" t="s">
        <v>223</v>
      </c>
      <c r="D116" s="112" t="s">
        <v>178</v>
      </c>
      <c r="E116" s="112">
        <v>1999.2</v>
      </c>
      <c r="F116" s="111" t="str">
        <f>DataPull!D116</f>
        <v/>
      </c>
      <c r="G116" s="94" t="str">
        <f t="shared" si="2"/>
        <v/>
      </c>
      <c r="H116" s="94" t="str">
        <f t="shared" si="3"/>
        <v/>
      </c>
      <c r="I116" s="94" t="str">
        <f t="shared" ref="I116:J116" si="117">if(G116 = "", , -G116)</f>
        <v/>
      </c>
      <c r="J116" s="94" t="str">
        <f t="shared" si="117"/>
        <v/>
      </c>
      <c r="K116" s="100"/>
      <c r="M116" s="100"/>
      <c r="N116" s="100"/>
      <c r="O116" s="100"/>
      <c r="P116" s="100"/>
    </row>
    <row r="117">
      <c r="A117" s="107">
        <v>2225.0</v>
      </c>
      <c r="B117" s="108" t="s">
        <v>90</v>
      </c>
      <c r="C117" s="108" t="s">
        <v>223</v>
      </c>
      <c r="D117" s="112" t="s">
        <v>178</v>
      </c>
      <c r="E117" s="112">
        <v>1951.6</v>
      </c>
      <c r="F117" s="111" t="str">
        <f>DataPull!D117</f>
        <v/>
      </c>
      <c r="G117" s="94" t="str">
        <f t="shared" si="2"/>
        <v/>
      </c>
      <c r="H117" s="94" t="str">
        <f t="shared" si="3"/>
        <v/>
      </c>
      <c r="I117" s="94" t="str">
        <f t="shared" ref="I117:J117" si="118">if(G117 = "", , -G117)</f>
        <v/>
      </c>
      <c r="J117" s="94" t="str">
        <f t="shared" si="118"/>
        <v/>
      </c>
      <c r="K117" s="100"/>
      <c r="M117" s="100"/>
      <c r="N117" s="100"/>
      <c r="O117" s="100"/>
      <c r="P117" s="100"/>
    </row>
    <row r="118">
      <c r="A118" s="107">
        <v>2225.0</v>
      </c>
      <c r="B118" s="108" t="s">
        <v>92</v>
      </c>
      <c r="C118" s="108" t="s">
        <v>223</v>
      </c>
      <c r="D118" s="112" t="s">
        <v>178</v>
      </c>
      <c r="E118" s="112">
        <v>1980.0</v>
      </c>
      <c r="F118" s="111" t="str">
        <f>DataPull!D118</f>
        <v/>
      </c>
      <c r="G118" s="94" t="str">
        <f t="shared" si="2"/>
        <v/>
      </c>
      <c r="H118" s="94" t="str">
        <f t="shared" si="3"/>
        <v/>
      </c>
      <c r="I118" s="94" t="str">
        <f t="shared" ref="I118:J118" si="119">if(G118 = "", , -G118)</f>
        <v/>
      </c>
      <c r="J118" s="94" t="str">
        <f t="shared" si="119"/>
        <v/>
      </c>
      <c r="K118" s="100"/>
      <c r="M118" s="100"/>
      <c r="N118" s="100"/>
      <c r="O118" s="100"/>
      <c r="P118" s="100"/>
    </row>
    <row r="119">
      <c r="A119" s="107">
        <v>2225.0</v>
      </c>
      <c r="B119" s="108" t="s">
        <v>190</v>
      </c>
      <c r="C119" s="108" t="s">
        <v>223</v>
      </c>
      <c r="D119" s="112" t="s">
        <v>178</v>
      </c>
      <c r="E119" s="112">
        <v>1587.6</v>
      </c>
      <c r="F119" s="111" t="str">
        <f>DataPull!D119</f>
        <v/>
      </c>
      <c r="G119" s="94" t="str">
        <f t="shared" si="2"/>
        <v/>
      </c>
      <c r="H119" s="94" t="str">
        <f t="shared" si="3"/>
        <v/>
      </c>
      <c r="I119" s="94" t="str">
        <f t="shared" ref="I119:J119" si="120">if(G119 = "", , -G119)</f>
        <v/>
      </c>
      <c r="J119" s="94" t="str">
        <f t="shared" si="120"/>
        <v/>
      </c>
      <c r="K119" s="100"/>
      <c r="M119" s="100"/>
      <c r="N119" s="100"/>
      <c r="O119" s="100"/>
      <c r="P119" s="100"/>
    </row>
    <row r="120">
      <c r="A120" s="107">
        <v>2225.0</v>
      </c>
      <c r="B120" s="108" t="s">
        <v>191</v>
      </c>
      <c r="C120" s="108" t="s">
        <v>223</v>
      </c>
      <c r="D120" s="112" t="s">
        <v>177</v>
      </c>
      <c r="E120" s="112">
        <v>1072.5</v>
      </c>
      <c r="F120" s="111" t="str">
        <f>DataPull!D120</f>
        <v/>
      </c>
      <c r="G120" s="94" t="str">
        <f t="shared" si="2"/>
        <v/>
      </c>
      <c r="H120" s="94" t="str">
        <f t="shared" si="3"/>
        <v/>
      </c>
      <c r="I120" s="94" t="str">
        <f t="shared" ref="I120:J120" si="121">if(G120 = "", , -G120)</f>
        <v/>
      </c>
      <c r="J120" s="94" t="str">
        <f t="shared" si="121"/>
        <v/>
      </c>
      <c r="K120" s="100"/>
      <c r="M120" s="100"/>
      <c r="N120" s="100"/>
      <c r="O120" s="100"/>
      <c r="P120" s="100"/>
    </row>
    <row r="121">
      <c r="A121" s="107">
        <v>2225.0</v>
      </c>
      <c r="B121" s="108" t="s">
        <v>192</v>
      </c>
      <c r="C121" s="108" t="s">
        <v>223</v>
      </c>
      <c r="D121" s="112" t="s">
        <v>177</v>
      </c>
      <c r="E121" s="112">
        <v>1002.4</v>
      </c>
      <c r="F121" s="111" t="str">
        <f>DataPull!D121</f>
        <v/>
      </c>
      <c r="G121" s="94" t="str">
        <f t="shared" si="2"/>
        <v/>
      </c>
      <c r="H121" s="94" t="str">
        <f t="shared" si="3"/>
        <v/>
      </c>
      <c r="I121" s="94" t="str">
        <f t="shared" ref="I121:J121" si="122">if(G121 = "", , -G121)</f>
        <v/>
      </c>
      <c r="J121" s="94" t="str">
        <f t="shared" si="122"/>
        <v/>
      </c>
      <c r="K121" s="100"/>
      <c r="M121" s="100"/>
      <c r="N121" s="100"/>
      <c r="O121" s="100"/>
      <c r="P121" s="100"/>
    </row>
    <row r="122">
      <c r="A122" s="107">
        <v>2229.0</v>
      </c>
      <c r="B122" s="108" t="s">
        <v>85</v>
      </c>
      <c r="C122" s="108" t="s">
        <v>224</v>
      </c>
      <c r="D122" s="112" t="s">
        <v>187</v>
      </c>
      <c r="E122" s="112">
        <v>77.0</v>
      </c>
      <c r="F122" s="111" t="str">
        <f>DataPull!D122</f>
        <v/>
      </c>
      <c r="G122" s="94" t="str">
        <f t="shared" si="2"/>
        <v/>
      </c>
      <c r="H122" s="94" t="str">
        <f t="shared" si="3"/>
        <v/>
      </c>
      <c r="I122" s="94" t="str">
        <f t="shared" ref="I122:J122" si="123">if(G122 = "", , -G122)</f>
        <v/>
      </c>
      <c r="J122" s="94" t="str">
        <f t="shared" si="123"/>
        <v/>
      </c>
      <c r="K122" s="100"/>
      <c r="L122" s="100"/>
      <c r="M122" s="100"/>
      <c r="N122" s="100"/>
      <c r="O122" s="100"/>
      <c r="P122" s="100"/>
    </row>
    <row r="123">
      <c r="A123" s="107">
        <v>2248.0</v>
      </c>
      <c r="B123" s="108" t="s">
        <v>85</v>
      </c>
      <c r="C123" s="108" t="s">
        <v>225</v>
      </c>
      <c r="D123" s="112" t="s">
        <v>187</v>
      </c>
      <c r="E123" s="112">
        <v>160.8</v>
      </c>
      <c r="F123" s="111" t="str">
        <f>DataPull!D123</f>
        <v/>
      </c>
      <c r="G123" s="94" t="str">
        <f t="shared" si="2"/>
        <v/>
      </c>
      <c r="H123" s="94" t="str">
        <f t="shared" si="3"/>
        <v/>
      </c>
      <c r="I123" s="94" t="str">
        <f t="shared" ref="I123:J123" si="124">if(G123 = "", , -G123)</f>
        <v/>
      </c>
      <c r="J123" s="94" t="str">
        <f t="shared" si="124"/>
        <v/>
      </c>
      <c r="K123" s="100"/>
      <c r="M123" s="100"/>
      <c r="N123" s="100"/>
      <c r="O123" s="100"/>
      <c r="P123" s="100"/>
    </row>
    <row r="124">
      <c r="A124" s="107">
        <v>2365.0</v>
      </c>
      <c r="B124" s="108" t="s">
        <v>85</v>
      </c>
      <c r="C124" s="108" t="s">
        <v>226</v>
      </c>
      <c r="D124" s="112" t="s">
        <v>177</v>
      </c>
      <c r="E124" s="112">
        <v>1396.8</v>
      </c>
      <c r="F124" s="111" t="str">
        <f>DataPull!D124</f>
        <v/>
      </c>
      <c r="G124" s="94" t="str">
        <f t="shared" si="2"/>
        <v/>
      </c>
      <c r="H124" s="94" t="str">
        <f t="shared" si="3"/>
        <v/>
      </c>
      <c r="I124" s="94" t="str">
        <f t="shared" ref="I124:J124" si="125">if(G124 = "", , -G124)</f>
        <v/>
      </c>
      <c r="J124" s="94" t="str">
        <f t="shared" si="125"/>
        <v/>
      </c>
      <c r="K124" s="100"/>
      <c r="M124" s="100"/>
      <c r="N124" s="100"/>
      <c r="O124" s="100"/>
      <c r="P124" s="100"/>
    </row>
    <row r="125">
      <c r="A125" s="107">
        <v>2365.0</v>
      </c>
      <c r="B125" s="108" t="s">
        <v>90</v>
      </c>
      <c r="C125" s="108" t="s">
        <v>226</v>
      </c>
      <c r="D125" s="112" t="s">
        <v>177</v>
      </c>
      <c r="E125" s="112">
        <v>1134.0</v>
      </c>
      <c r="F125" s="111" t="str">
        <f>DataPull!D125</f>
        <v/>
      </c>
      <c r="G125" s="94" t="str">
        <f t="shared" si="2"/>
        <v/>
      </c>
      <c r="H125" s="94" t="str">
        <f t="shared" si="3"/>
        <v/>
      </c>
      <c r="I125" s="94" t="str">
        <f t="shared" ref="I125:J125" si="126">if(G125 = "", , -G125)</f>
        <v/>
      </c>
      <c r="J125" s="94" t="str">
        <f t="shared" si="126"/>
        <v/>
      </c>
      <c r="K125" s="100"/>
      <c r="M125" s="100"/>
      <c r="N125" s="100"/>
      <c r="O125" s="100"/>
      <c r="P125" s="100"/>
    </row>
    <row r="126">
      <c r="A126" s="107">
        <v>2365.0</v>
      </c>
      <c r="B126" s="108" t="s">
        <v>92</v>
      </c>
      <c r="C126" s="108" t="s">
        <v>226</v>
      </c>
      <c r="D126" s="112" t="s">
        <v>177</v>
      </c>
      <c r="E126" s="112">
        <v>402.3</v>
      </c>
      <c r="F126" s="111" t="str">
        <f>DataPull!D126</f>
        <v/>
      </c>
      <c r="G126" s="94" t="str">
        <f t="shared" si="2"/>
        <v/>
      </c>
      <c r="H126" s="94" t="str">
        <f t="shared" si="3"/>
        <v/>
      </c>
      <c r="I126" s="94" t="str">
        <f t="shared" ref="I126:J126" si="127">if(G126 = "", , -G126)</f>
        <v/>
      </c>
      <c r="J126" s="94" t="str">
        <f t="shared" si="127"/>
        <v/>
      </c>
      <c r="K126" s="100"/>
      <c r="M126" s="100"/>
      <c r="N126" s="100"/>
      <c r="O126" s="100"/>
      <c r="P126" s="100"/>
    </row>
    <row r="127">
      <c r="A127" s="107">
        <v>2365.0</v>
      </c>
      <c r="B127" s="108" t="s">
        <v>190</v>
      </c>
      <c r="C127" s="108" t="s">
        <v>226</v>
      </c>
      <c r="D127" s="112" t="s">
        <v>187</v>
      </c>
      <c r="E127" s="112">
        <v>114.0</v>
      </c>
      <c r="F127" s="111" t="str">
        <f>DataPull!D127</f>
        <v/>
      </c>
      <c r="G127" s="94" t="str">
        <f t="shared" si="2"/>
        <v/>
      </c>
      <c r="H127" s="94" t="str">
        <f t="shared" si="3"/>
        <v/>
      </c>
      <c r="I127" s="94" t="str">
        <f t="shared" ref="I127:J127" si="128">if(G127 = "", , -G127)</f>
        <v/>
      </c>
      <c r="J127" s="94" t="str">
        <f t="shared" si="128"/>
        <v/>
      </c>
      <c r="K127" s="100"/>
      <c r="M127" s="100"/>
      <c r="N127" s="100"/>
      <c r="O127" s="100"/>
      <c r="P127" s="100"/>
    </row>
    <row r="128">
      <c r="A128" s="107">
        <v>2399.0</v>
      </c>
      <c r="B128" s="108" t="s">
        <v>85</v>
      </c>
      <c r="C128" s="108" t="s">
        <v>227</v>
      </c>
      <c r="D128" s="112" t="s">
        <v>178</v>
      </c>
      <c r="E128" s="112">
        <v>2583.0</v>
      </c>
      <c r="F128" s="111" t="str">
        <f>DataPull!D128</f>
        <v/>
      </c>
      <c r="G128" s="94" t="str">
        <f t="shared" si="2"/>
        <v/>
      </c>
      <c r="H128" s="94" t="str">
        <f t="shared" si="3"/>
        <v/>
      </c>
      <c r="I128" s="94" t="str">
        <f t="shared" ref="I128:J128" si="129">if(G128 = "", , -G128)</f>
        <v/>
      </c>
      <c r="J128" s="94" t="str">
        <f t="shared" si="129"/>
        <v/>
      </c>
      <c r="K128" s="100"/>
      <c r="M128" s="100"/>
      <c r="N128" s="100"/>
      <c r="O128" s="100"/>
      <c r="P128" s="100"/>
    </row>
    <row r="129">
      <c r="A129" s="107">
        <v>2399.0</v>
      </c>
      <c r="B129" s="108" t="s">
        <v>90</v>
      </c>
      <c r="C129" s="108" t="s">
        <v>227</v>
      </c>
      <c r="D129" s="112" t="s">
        <v>178</v>
      </c>
      <c r="E129" s="112">
        <v>1839.6</v>
      </c>
      <c r="F129" s="111" t="str">
        <f>DataPull!D129</f>
        <v/>
      </c>
      <c r="G129" s="94" t="str">
        <f t="shared" si="2"/>
        <v/>
      </c>
      <c r="H129" s="94" t="str">
        <f t="shared" si="3"/>
        <v/>
      </c>
      <c r="I129" s="94" t="str">
        <f t="shared" ref="I129:J129" si="130">if(G129 = "", , -G129)</f>
        <v/>
      </c>
      <c r="J129" s="94" t="str">
        <f t="shared" si="130"/>
        <v/>
      </c>
      <c r="K129" s="100"/>
      <c r="M129" s="100"/>
      <c r="N129" s="100"/>
      <c r="O129" s="100"/>
      <c r="P129" s="100"/>
    </row>
    <row r="130">
      <c r="A130" s="107">
        <v>2399.0</v>
      </c>
      <c r="B130" s="108" t="s">
        <v>92</v>
      </c>
      <c r="C130" s="108" t="s">
        <v>227</v>
      </c>
      <c r="D130" s="112" t="s">
        <v>176</v>
      </c>
      <c r="E130" s="112">
        <v>703.7</v>
      </c>
      <c r="F130" s="111" t="str">
        <f>DataPull!D130</f>
        <v/>
      </c>
      <c r="G130" s="94" t="str">
        <f t="shared" si="2"/>
        <v/>
      </c>
      <c r="H130" s="94" t="str">
        <f t="shared" si="3"/>
        <v/>
      </c>
      <c r="I130" s="94" t="str">
        <f t="shared" ref="I130:J130" si="131">if(G130 = "", , -G130)</f>
        <v/>
      </c>
      <c r="J130" s="94" t="str">
        <f t="shared" si="131"/>
        <v/>
      </c>
      <c r="K130" s="100"/>
      <c r="M130" s="100"/>
      <c r="N130" s="100"/>
      <c r="O130" s="100"/>
      <c r="P130" s="100"/>
    </row>
    <row r="131">
      <c r="A131" s="107">
        <v>2399.0</v>
      </c>
      <c r="B131" s="108" t="s">
        <v>190</v>
      </c>
      <c r="C131" s="108" t="s">
        <v>227</v>
      </c>
      <c r="D131" s="112" t="s">
        <v>177</v>
      </c>
      <c r="E131" s="112">
        <v>842.7</v>
      </c>
      <c r="F131" s="111" t="str">
        <f>DataPull!D131</f>
        <v/>
      </c>
      <c r="G131" s="94" t="str">
        <f t="shared" si="2"/>
        <v/>
      </c>
      <c r="H131" s="94" t="str">
        <f t="shared" si="3"/>
        <v/>
      </c>
      <c r="I131" s="94" t="str">
        <f t="shared" ref="I131:J131" si="132">if(G131 = "", , -G131)</f>
        <v/>
      </c>
      <c r="J131" s="94" t="str">
        <f t="shared" si="132"/>
        <v/>
      </c>
      <c r="K131" s="100"/>
      <c r="M131" s="100"/>
      <c r="N131" s="100"/>
      <c r="O131" s="100"/>
      <c r="P131" s="100"/>
    </row>
    <row r="132">
      <c r="A132" s="107">
        <v>2400.0</v>
      </c>
      <c r="B132" s="108" t="s">
        <v>85</v>
      </c>
      <c r="C132" s="108" t="s">
        <v>228</v>
      </c>
      <c r="D132" s="112" t="s">
        <v>177</v>
      </c>
      <c r="E132" s="112">
        <v>396.0</v>
      </c>
      <c r="F132" s="111" t="str">
        <f>DataPull!D132</f>
        <v/>
      </c>
      <c r="G132" s="94" t="str">
        <f t="shared" si="2"/>
        <v/>
      </c>
      <c r="H132" s="94" t="str">
        <f t="shared" si="3"/>
        <v/>
      </c>
      <c r="I132" s="94" t="str">
        <f t="shared" ref="I132:J132" si="133">if(G132 = "", , -G132)</f>
        <v/>
      </c>
      <c r="J132" s="94" t="str">
        <f t="shared" si="133"/>
        <v/>
      </c>
      <c r="K132" s="100"/>
      <c r="M132" s="100"/>
      <c r="N132" s="100"/>
      <c r="O132" s="100"/>
      <c r="P132" s="100"/>
    </row>
    <row r="133">
      <c r="A133" s="107">
        <v>2400.0</v>
      </c>
      <c r="B133" s="108" t="s">
        <v>90</v>
      </c>
      <c r="C133" s="108" t="s">
        <v>228</v>
      </c>
      <c r="D133" s="112" t="s">
        <v>177</v>
      </c>
      <c r="E133" s="112">
        <v>861.9</v>
      </c>
      <c r="F133" s="111" t="str">
        <f>DataPull!D133</f>
        <v/>
      </c>
      <c r="G133" s="94" t="str">
        <f t="shared" si="2"/>
        <v/>
      </c>
      <c r="H133" s="94" t="str">
        <f t="shared" si="3"/>
        <v/>
      </c>
      <c r="I133" s="94" t="str">
        <f t="shared" ref="I133:J133" si="134">if(G133 = "", , -G133)</f>
        <v/>
      </c>
      <c r="J133" s="94" t="str">
        <f t="shared" si="134"/>
        <v/>
      </c>
      <c r="K133" s="100"/>
      <c r="M133" s="100"/>
      <c r="N133" s="100"/>
      <c r="O133" s="100"/>
      <c r="P133" s="100"/>
    </row>
    <row r="134">
      <c r="A134" s="107">
        <v>2400.0</v>
      </c>
      <c r="B134" s="108" t="s">
        <v>92</v>
      </c>
      <c r="C134" s="108" t="s">
        <v>228</v>
      </c>
      <c r="D134" s="112" t="s">
        <v>177</v>
      </c>
      <c r="E134" s="112">
        <v>306.0</v>
      </c>
      <c r="F134" s="111" t="str">
        <f>DataPull!D134</f>
        <v/>
      </c>
      <c r="G134" s="94" t="str">
        <f t="shared" si="2"/>
        <v/>
      </c>
      <c r="H134" s="94" t="str">
        <f t="shared" si="3"/>
        <v/>
      </c>
      <c r="I134" s="94" t="str">
        <f t="shared" ref="I134:J134" si="135">if(G134 = "", , -G134)</f>
        <v/>
      </c>
      <c r="J134" s="94" t="str">
        <f t="shared" si="135"/>
        <v/>
      </c>
      <c r="K134" s="100"/>
      <c r="L134" s="100"/>
      <c r="N134" s="100"/>
      <c r="O134" s="100"/>
      <c r="P134" s="100"/>
    </row>
    <row r="135">
      <c r="A135" s="107">
        <v>2403.0</v>
      </c>
      <c r="B135" s="108" t="s">
        <v>85</v>
      </c>
      <c r="C135" s="108" t="s">
        <v>229</v>
      </c>
      <c r="D135" s="112" t="s">
        <v>178</v>
      </c>
      <c r="E135" s="112">
        <v>1558.2</v>
      </c>
      <c r="F135" s="111" t="str">
        <f>DataPull!D135</f>
        <v/>
      </c>
      <c r="G135" s="94" t="str">
        <f t="shared" si="2"/>
        <v/>
      </c>
      <c r="H135" s="94" t="str">
        <f t="shared" si="3"/>
        <v/>
      </c>
      <c r="I135" s="94" t="str">
        <f t="shared" ref="I135:J135" si="136">if(G135 = "", , -G135)</f>
        <v/>
      </c>
      <c r="J135" s="94" t="str">
        <f t="shared" si="136"/>
        <v/>
      </c>
      <c r="K135" s="100"/>
      <c r="M135" s="100"/>
      <c r="N135" s="100"/>
      <c r="O135" s="100"/>
      <c r="P135" s="100"/>
    </row>
    <row r="136">
      <c r="A136" s="107">
        <v>2403.0</v>
      </c>
      <c r="B136" s="108" t="s">
        <v>90</v>
      </c>
      <c r="C136" s="108" t="s">
        <v>229</v>
      </c>
      <c r="D136" s="112" t="s">
        <v>178</v>
      </c>
      <c r="E136" s="112">
        <v>1695.1</v>
      </c>
      <c r="F136" s="111" t="str">
        <f>DataPull!D136</f>
        <v/>
      </c>
      <c r="G136" s="94" t="str">
        <f t="shared" si="2"/>
        <v/>
      </c>
      <c r="H136" s="94" t="str">
        <f t="shared" si="3"/>
        <v/>
      </c>
      <c r="I136" s="94" t="str">
        <f t="shared" ref="I136:J136" si="137">if(G136 = "", , -G136)</f>
        <v/>
      </c>
      <c r="J136" s="94" t="str">
        <f t="shared" si="137"/>
        <v/>
      </c>
      <c r="K136" s="100"/>
      <c r="M136" s="100"/>
      <c r="N136" s="100"/>
      <c r="O136" s="100"/>
      <c r="P136" s="100"/>
    </row>
    <row r="137">
      <c r="A137" s="107">
        <v>2403.0</v>
      </c>
      <c r="B137" s="108" t="s">
        <v>92</v>
      </c>
      <c r="C137" s="108" t="s">
        <v>229</v>
      </c>
      <c r="D137" s="112" t="s">
        <v>177</v>
      </c>
      <c r="E137" s="112">
        <v>1094.4</v>
      </c>
      <c r="F137" s="111" t="str">
        <f>DataPull!D137</f>
        <v/>
      </c>
      <c r="G137" s="94" t="str">
        <f t="shared" si="2"/>
        <v/>
      </c>
      <c r="H137" s="94" t="str">
        <f t="shared" si="3"/>
        <v/>
      </c>
      <c r="I137" s="94" t="str">
        <f t="shared" ref="I137:J137" si="138">if(G137 = "", , -G137)</f>
        <v/>
      </c>
      <c r="J137" s="94" t="str">
        <f t="shared" si="138"/>
        <v/>
      </c>
      <c r="K137" s="100"/>
      <c r="M137" s="100"/>
      <c r="N137" s="100"/>
      <c r="O137" s="100"/>
      <c r="P137" s="100"/>
    </row>
    <row r="138">
      <c r="A138" s="107">
        <v>2403.0</v>
      </c>
      <c r="B138" s="108" t="s">
        <v>190</v>
      </c>
      <c r="C138" s="108" t="s">
        <v>229</v>
      </c>
      <c r="D138" s="112" t="s">
        <v>177</v>
      </c>
      <c r="E138" s="112">
        <v>1199.3</v>
      </c>
      <c r="F138" s="111" t="str">
        <f>DataPull!D138</f>
        <v/>
      </c>
      <c r="G138" s="94" t="str">
        <f t="shared" si="2"/>
        <v/>
      </c>
      <c r="H138" s="94" t="str">
        <f t="shared" si="3"/>
        <v/>
      </c>
      <c r="I138" s="94" t="str">
        <f t="shared" ref="I138:J138" si="139">if(G138 = "", , -G138)</f>
        <v/>
      </c>
      <c r="J138" s="94" t="str">
        <f t="shared" si="139"/>
        <v/>
      </c>
      <c r="K138" s="100"/>
      <c r="M138" s="100"/>
      <c r="N138" s="100"/>
      <c r="O138" s="100"/>
      <c r="P138" s="100"/>
    </row>
    <row r="139">
      <c r="A139" s="107">
        <v>2403.0</v>
      </c>
      <c r="B139" s="108" t="s">
        <v>191</v>
      </c>
      <c r="C139" s="108" t="s">
        <v>229</v>
      </c>
      <c r="D139" s="112" t="s">
        <v>177</v>
      </c>
      <c r="E139" s="112">
        <v>759.2</v>
      </c>
      <c r="F139" s="111" t="str">
        <f>DataPull!D139</f>
        <v/>
      </c>
      <c r="G139" s="94" t="str">
        <f t="shared" si="2"/>
        <v/>
      </c>
      <c r="H139" s="94" t="str">
        <f t="shared" si="3"/>
        <v/>
      </c>
      <c r="I139" s="94" t="str">
        <f t="shared" ref="I139:J139" si="140">if(G139 = "", , -G139)</f>
        <v/>
      </c>
      <c r="J139" s="94" t="str">
        <f t="shared" si="140"/>
        <v/>
      </c>
      <c r="K139" s="100"/>
      <c r="M139" s="100"/>
      <c r="N139" s="100"/>
      <c r="O139" s="100"/>
      <c r="P139" s="100"/>
    </row>
    <row r="140">
      <c r="A140" s="107">
        <v>2403.0</v>
      </c>
      <c r="B140" s="108" t="s">
        <v>192</v>
      </c>
      <c r="C140" s="108" t="s">
        <v>229</v>
      </c>
      <c r="D140" s="112" t="s">
        <v>177</v>
      </c>
      <c r="E140" s="112">
        <v>546.0</v>
      </c>
      <c r="F140" s="111" t="str">
        <f>DataPull!D140</f>
        <v/>
      </c>
      <c r="G140" s="94" t="str">
        <f t="shared" si="2"/>
        <v/>
      </c>
      <c r="H140" s="94" t="str">
        <f t="shared" si="3"/>
        <v/>
      </c>
      <c r="I140" s="94" t="str">
        <f t="shared" ref="I140:J140" si="141">if(G140 = "", , -G140)</f>
        <v/>
      </c>
      <c r="J140" s="94" t="str">
        <f t="shared" si="141"/>
        <v/>
      </c>
      <c r="K140" s="100"/>
      <c r="M140" s="100"/>
      <c r="N140" s="100"/>
      <c r="O140" s="100"/>
      <c r="P140" s="100"/>
    </row>
    <row r="141">
      <c r="A141" s="107">
        <v>2405.0</v>
      </c>
      <c r="B141" s="108" t="s">
        <v>85</v>
      </c>
      <c r="C141" s="108" t="s">
        <v>230</v>
      </c>
      <c r="D141" s="112" t="s">
        <v>177</v>
      </c>
      <c r="E141" s="112">
        <v>1469.0</v>
      </c>
      <c r="F141" s="111" t="str">
        <f>DataPull!D141</f>
        <v/>
      </c>
      <c r="G141" s="94" t="str">
        <f t="shared" si="2"/>
        <v/>
      </c>
      <c r="H141" s="94" t="str">
        <f t="shared" si="3"/>
        <v/>
      </c>
      <c r="I141" s="94" t="str">
        <f t="shared" ref="I141:J141" si="142">if(G141 = "", , -G141)</f>
        <v/>
      </c>
      <c r="J141" s="94" t="str">
        <f t="shared" si="142"/>
        <v/>
      </c>
      <c r="K141" s="100"/>
      <c r="M141" s="100"/>
      <c r="N141" s="100"/>
      <c r="O141" s="100"/>
      <c r="P141" s="100"/>
    </row>
    <row r="142">
      <c r="A142" s="107">
        <v>2405.0</v>
      </c>
      <c r="B142" s="108" t="s">
        <v>90</v>
      </c>
      <c r="C142" s="108" t="s">
        <v>230</v>
      </c>
      <c r="D142" s="112" t="s">
        <v>176</v>
      </c>
      <c r="E142" s="112">
        <v>1244.9</v>
      </c>
      <c r="F142" s="111" t="str">
        <f>DataPull!D142</f>
        <v/>
      </c>
      <c r="G142" s="94" t="str">
        <f t="shared" si="2"/>
        <v/>
      </c>
      <c r="H142" s="94" t="str">
        <f t="shared" si="3"/>
        <v/>
      </c>
      <c r="I142" s="94" t="str">
        <f t="shared" ref="I142:J142" si="143">if(G142 = "", , -G142)</f>
        <v/>
      </c>
      <c r="J142" s="94" t="str">
        <f t="shared" si="143"/>
        <v/>
      </c>
      <c r="K142" s="100"/>
      <c r="L142" s="100"/>
      <c r="N142" s="100"/>
      <c r="O142" s="100"/>
      <c r="P142" s="100"/>
    </row>
    <row r="143">
      <c r="A143" s="107">
        <v>2405.0</v>
      </c>
      <c r="B143" s="108" t="s">
        <v>92</v>
      </c>
      <c r="C143" s="108" t="s">
        <v>230</v>
      </c>
      <c r="D143" s="112" t="s">
        <v>177</v>
      </c>
      <c r="E143" s="112">
        <v>764.4</v>
      </c>
      <c r="F143" s="111" t="str">
        <f>DataPull!D143</f>
        <v/>
      </c>
      <c r="G143" s="94" t="str">
        <f t="shared" si="2"/>
        <v/>
      </c>
      <c r="H143" s="94" t="str">
        <f t="shared" si="3"/>
        <v/>
      </c>
      <c r="I143" s="94" t="str">
        <f t="shared" ref="I143:J143" si="144">if(G143 = "", , -G143)</f>
        <v/>
      </c>
      <c r="J143" s="94" t="str">
        <f t="shared" si="144"/>
        <v/>
      </c>
      <c r="K143" s="100"/>
      <c r="M143" s="100"/>
      <c r="N143" s="100"/>
      <c r="O143" s="100"/>
      <c r="P143" s="100"/>
    </row>
    <row r="144">
      <c r="A144" s="107">
        <v>2406.0</v>
      </c>
      <c r="B144" s="108" t="s">
        <v>85</v>
      </c>
      <c r="C144" s="108" t="s">
        <v>231</v>
      </c>
      <c r="D144" s="112" t="s">
        <v>176</v>
      </c>
      <c r="E144" s="112">
        <v>1416.8</v>
      </c>
      <c r="F144" s="111" t="str">
        <f>DataPull!D144</f>
        <v/>
      </c>
      <c r="G144" s="94" t="str">
        <f t="shared" si="2"/>
        <v/>
      </c>
      <c r="H144" s="94" t="str">
        <f t="shared" si="3"/>
        <v/>
      </c>
      <c r="I144" s="94" t="str">
        <f t="shared" ref="I144:J144" si="145">if(G144 = "", , -G144)</f>
        <v/>
      </c>
      <c r="J144" s="94" t="str">
        <f t="shared" si="145"/>
        <v/>
      </c>
      <c r="K144" s="100"/>
      <c r="M144" s="100"/>
      <c r="N144" s="100"/>
      <c r="O144" s="100"/>
      <c r="P144" s="100"/>
    </row>
    <row r="145">
      <c r="A145" s="107">
        <v>2406.0</v>
      </c>
      <c r="B145" s="108" t="s">
        <v>90</v>
      </c>
      <c r="C145" s="108" t="s">
        <v>231</v>
      </c>
      <c r="D145" s="112" t="s">
        <v>176</v>
      </c>
      <c r="E145" s="112">
        <v>1622.4</v>
      </c>
      <c r="F145" s="111" t="str">
        <f>DataPull!D145</f>
        <v/>
      </c>
      <c r="G145" s="94" t="str">
        <f t="shared" si="2"/>
        <v/>
      </c>
      <c r="H145" s="94" t="str">
        <f t="shared" si="3"/>
        <v/>
      </c>
      <c r="I145" s="94" t="str">
        <f t="shared" ref="I145:J145" si="146">if(G145 = "", , -G145)</f>
        <v/>
      </c>
      <c r="J145" s="94" t="str">
        <f t="shared" si="146"/>
        <v/>
      </c>
      <c r="K145" s="100"/>
      <c r="M145" s="100"/>
      <c r="N145" s="100"/>
      <c r="O145" s="100"/>
      <c r="P145" s="100"/>
    </row>
    <row r="146">
      <c r="A146" s="107">
        <v>2406.0</v>
      </c>
      <c r="B146" s="108" t="s">
        <v>92</v>
      </c>
      <c r="C146" s="108" t="s">
        <v>231</v>
      </c>
      <c r="D146" s="112" t="s">
        <v>187</v>
      </c>
      <c r="E146" s="112">
        <v>175.1</v>
      </c>
      <c r="F146" s="111" t="str">
        <f>DataPull!D146</f>
        <v/>
      </c>
      <c r="G146" s="94" t="str">
        <f t="shared" si="2"/>
        <v/>
      </c>
      <c r="H146" s="94" t="str">
        <f t="shared" si="3"/>
        <v/>
      </c>
      <c r="I146" s="94" t="str">
        <f t="shared" ref="I146:J146" si="147">if(G146 = "", , -G146)</f>
        <v/>
      </c>
      <c r="J146" s="94" t="str">
        <f t="shared" si="147"/>
        <v/>
      </c>
      <c r="K146" s="100"/>
      <c r="M146" s="100"/>
      <c r="N146" s="100"/>
      <c r="O146" s="100"/>
      <c r="P146" s="100"/>
    </row>
    <row r="147">
      <c r="A147" s="107">
        <v>2408.0</v>
      </c>
      <c r="B147" s="108" t="s">
        <v>85</v>
      </c>
      <c r="C147" s="108" t="s">
        <v>232</v>
      </c>
      <c r="D147" s="112" t="s">
        <v>181</v>
      </c>
      <c r="E147" s="112">
        <v>27.2</v>
      </c>
      <c r="F147" s="111" t="str">
        <f>DataPull!D147</f>
        <v/>
      </c>
      <c r="G147" s="94" t="str">
        <f t="shared" si="2"/>
        <v/>
      </c>
      <c r="H147" s="94" t="str">
        <f t="shared" si="3"/>
        <v/>
      </c>
      <c r="I147" s="94" t="str">
        <f t="shared" ref="I147:J147" si="148">if(G147 = "", , -G147)</f>
        <v/>
      </c>
      <c r="J147" s="94" t="str">
        <f t="shared" si="148"/>
        <v/>
      </c>
      <c r="K147" s="100"/>
      <c r="M147" s="100"/>
      <c r="N147" s="100"/>
      <c r="O147" s="100"/>
      <c r="P147" s="100"/>
    </row>
    <row r="148">
      <c r="A148" s="107">
        <v>2419.0</v>
      </c>
      <c r="B148" s="108" t="s">
        <v>85</v>
      </c>
      <c r="C148" s="108" t="s">
        <v>233</v>
      </c>
      <c r="D148" s="112" t="s">
        <v>178</v>
      </c>
      <c r="E148" s="112">
        <v>1945.6</v>
      </c>
      <c r="F148" s="111" t="str">
        <f>DataPull!D148</f>
        <v/>
      </c>
      <c r="G148" s="94" t="str">
        <f t="shared" si="2"/>
        <v/>
      </c>
      <c r="H148" s="94" t="str">
        <f t="shared" si="3"/>
        <v/>
      </c>
      <c r="I148" s="94" t="str">
        <f t="shared" ref="I148:J148" si="149">if(G148 = "", , -G148)</f>
        <v/>
      </c>
      <c r="J148" s="94" t="str">
        <f t="shared" si="149"/>
        <v/>
      </c>
      <c r="K148" s="100"/>
      <c r="M148" s="100"/>
      <c r="N148" s="100"/>
      <c r="O148" s="100"/>
      <c r="P148" s="100"/>
    </row>
    <row r="149">
      <c r="A149" s="107">
        <v>2419.0</v>
      </c>
      <c r="B149" s="108" t="s">
        <v>90</v>
      </c>
      <c r="C149" s="108" t="s">
        <v>233</v>
      </c>
      <c r="D149" s="112" t="s">
        <v>176</v>
      </c>
      <c r="E149" s="112">
        <v>1397.8</v>
      </c>
      <c r="F149" s="111" t="str">
        <f>DataPull!D149</f>
        <v/>
      </c>
      <c r="G149" s="94" t="str">
        <f t="shared" si="2"/>
        <v/>
      </c>
      <c r="H149" s="94" t="str">
        <f t="shared" si="3"/>
        <v/>
      </c>
      <c r="I149" s="94" t="str">
        <f t="shared" ref="I149:J149" si="150">if(G149 = "", , -G149)</f>
        <v/>
      </c>
      <c r="J149" s="94" t="str">
        <f t="shared" si="150"/>
        <v/>
      </c>
      <c r="K149" s="100"/>
      <c r="M149" s="100"/>
      <c r="N149" s="100"/>
      <c r="O149" s="100"/>
      <c r="P149" s="100"/>
    </row>
    <row r="150">
      <c r="A150" s="107">
        <v>2419.0</v>
      </c>
      <c r="B150" s="108" t="s">
        <v>92</v>
      </c>
      <c r="C150" s="108" t="s">
        <v>233</v>
      </c>
      <c r="D150" s="112" t="s">
        <v>177</v>
      </c>
      <c r="E150" s="112">
        <v>1463.0</v>
      </c>
      <c r="F150" s="111" t="str">
        <f>DataPull!D150</f>
        <v/>
      </c>
      <c r="G150" s="94" t="str">
        <f t="shared" si="2"/>
        <v/>
      </c>
      <c r="H150" s="94" t="str">
        <f t="shared" si="3"/>
        <v/>
      </c>
      <c r="I150" s="94" t="str">
        <f t="shared" ref="I150:J150" si="151">if(G150 = "", , -G150)</f>
        <v/>
      </c>
      <c r="J150" s="94" t="str">
        <f t="shared" si="151"/>
        <v/>
      </c>
      <c r="K150" s="100"/>
      <c r="L150" s="100"/>
      <c r="N150" s="100"/>
      <c r="O150" s="100"/>
      <c r="P150" s="100"/>
    </row>
    <row r="151">
      <c r="A151" s="107">
        <v>2422.0</v>
      </c>
      <c r="B151" s="108" t="s">
        <v>85</v>
      </c>
      <c r="C151" s="108" t="s">
        <v>234</v>
      </c>
      <c r="D151" s="112" t="s">
        <v>177</v>
      </c>
      <c r="E151" s="112">
        <v>1723.8</v>
      </c>
      <c r="F151" s="111" t="str">
        <f>DataPull!D151</f>
        <v/>
      </c>
      <c r="G151" s="94" t="str">
        <f t="shared" si="2"/>
        <v/>
      </c>
      <c r="H151" s="94" t="str">
        <f t="shared" si="3"/>
        <v/>
      </c>
      <c r="I151" s="94" t="str">
        <f t="shared" ref="I151:J151" si="152">if(G151 = "", , -G151)</f>
        <v/>
      </c>
      <c r="J151" s="94" t="str">
        <f t="shared" si="152"/>
        <v/>
      </c>
      <c r="K151" s="100"/>
      <c r="M151" s="100"/>
      <c r="N151" s="100"/>
      <c r="O151" s="100"/>
      <c r="P151" s="100"/>
    </row>
    <row r="152">
      <c r="A152" s="107">
        <v>2422.0</v>
      </c>
      <c r="B152" s="108" t="s">
        <v>90</v>
      </c>
      <c r="C152" s="108" t="s">
        <v>234</v>
      </c>
      <c r="D152" s="112" t="s">
        <v>187</v>
      </c>
      <c r="E152" s="112">
        <v>268.8</v>
      </c>
      <c r="F152" s="111" t="str">
        <f>DataPull!D152</f>
        <v/>
      </c>
      <c r="G152" s="94" t="str">
        <f t="shared" si="2"/>
        <v/>
      </c>
      <c r="H152" s="94" t="str">
        <f t="shared" si="3"/>
        <v/>
      </c>
      <c r="I152" s="94" t="str">
        <f t="shared" ref="I152:J152" si="153">if(G152 = "", , -G152)</f>
        <v/>
      </c>
      <c r="J152" s="94" t="str">
        <f t="shared" si="153"/>
        <v/>
      </c>
      <c r="K152" s="100"/>
      <c r="M152" s="100"/>
      <c r="N152" s="100"/>
      <c r="O152" s="100"/>
      <c r="P152" s="100"/>
    </row>
    <row r="153">
      <c r="A153" s="107">
        <v>2427.0</v>
      </c>
      <c r="B153" s="108" t="s">
        <v>85</v>
      </c>
      <c r="C153" s="108" t="s">
        <v>235</v>
      </c>
      <c r="D153" s="112" t="s">
        <v>187</v>
      </c>
      <c r="E153" s="112">
        <v>260.0</v>
      </c>
      <c r="F153" s="111" t="str">
        <f>DataPull!D153</f>
        <v/>
      </c>
      <c r="G153" s="94" t="str">
        <f t="shared" si="2"/>
        <v/>
      </c>
      <c r="H153" s="94" t="str">
        <f t="shared" si="3"/>
        <v/>
      </c>
      <c r="I153" s="94" t="str">
        <f t="shared" ref="I153:J153" si="154">if(G153 = "", , -G153)</f>
        <v/>
      </c>
      <c r="J153" s="94" t="str">
        <f t="shared" si="154"/>
        <v/>
      </c>
      <c r="K153" s="100"/>
      <c r="M153" s="100"/>
      <c r="N153" s="100"/>
      <c r="O153" s="100"/>
      <c r="P153" s="100"/>
    </row>
    <row r="154">
      <c r="A154" s="107">
        <v>2430.0</v>
      </c>
      <c r="B154" s="108" t="s">
        <v>85</v>
      </c>
      <c r="C154" s="108" t="s">
        <v>236</v>
      </c>
      <c r="D154" s="112" t="s">
        <v>176</v>
      </c>
      <c r="E154" s="112">
        <v>2143.2</v>
      </c>
      <c r="F154" s="111" t="str">
        <f>DataPull!D154</f>
        <v/>
      </c>
      <c r="G154" s="94" t="str">
        <f t="shared" si="2"/>
        <v/>
      </c>
      <c r="H154" s="94" t="str">
        <f t="shared" si="3"/>
        <v/>
      </c>
      <c r="I154" s="94" t="str">
        <f t="shared" ref="I154:J154" si="155">if(G154 = "", , -G154)</f>
        <v/>
      </c>
      <c r="J154" s="94" t="str">
        <f t="shared" si="155"/>
        <v/>
      </c>
      <c r="K154" s="100"/>
      <c r="M154" s="100"/>
      <c r="N154" s="100"/>
      <c r="O154" s="100"/>
      <c r="P154" s="100"/>
    </row>
    <row r="155">
      <c r="A155" s="107">
        <v>2430.0</v>
      </c>
      <c r="B155" s="108" t="s">
        <v>90</v>
      </c>
      <c r="C155" s="108" t="s">
        <v>236</v>
      </c>
      <c r="D155" s="112" t="s">
        <v>176</v>
      </c>
      <c r="E155" s="112">
        <v>1689.8</v>
      </c>
      <c r="F155" s="111" t="str">
        <f>DataPull!D155</f>
        <v/>
      </c>
      <c r="G155" s="94" t="str">
        <f t="shared" si="2"/>
        <v/>
      </c>
      <c r="H155" s="94" t="str">
        <f t="shared" si="3"/>
        <v/>
      </c>
      <c r="I155" s="94" t="str">
        <f t="shared" ref="I155:J155" si="156">if(G155 = "", , -G155)</f>
        <v/>
      </c>
      <c r="J155" s="94" t="str">
        <f t="shared" si="156"/>
        <v/>
      </c>
      <c r="K155" s="100"/>
      <c r="M155" s="100"/>
      <c r="N155" s="100"/>
      <c r="O155" s="100"/>
      <c r="P155" s="100"/>
    </row>
    <row r="156">
      <c r="A156" s="107">
        <v>2440.0</v>
      </c>
      <c r="B156" s="108" t="s">
        <v>85</v>
      </c>
      <c r="C156" s="108" t="s">
        <v>237</v>
      </c>
      <c r="D156" s="112" t="s">
        <v>176</v>
      </c>
      <c r="E156" s="112">
        <v>1732.5</v>
      </c>
      <c r="F156" s="111" t="str">
        <f>DataPull!D156</f>
        <v/>
      </c>
      <c r="G156" s="94" t="str">
        <f t="shared" si="2"/>
        <v/>
      </c>
      <c r="H156" s="94" t="str">
        <f t="shared" si="3"/>
        <v/>
      </c>
      <c r="I156" s="94" t="str">
        <f t="shared" ref="I156:J156" si="157">if(G156 = "", , -G156)</f>
        <v/>
      </c>
      <c r="J156" s="94" t="str">
        <f t="shared" si="157"/>
        <v/>
      </c>
      <c r="K156" s="100"/>
      <c r="M156" s="100"/>
      <c r="N156" s="100"/>
      <c r="O156" s="100"/>
      <c r="P156" s="100"/>
    </row>
    <row r="157">
      <c r="A157" s="107">
        <v>2440.0</v>
      </c>
      <c r="B157" s="108" t="s">
        <v>90</v>
      </c>
      <c r="C157" s="108" t="s">
        <v>237</v>
      </c>
      <c r="D157" s="112" t="s">
        <v>178</v>
      </c>
      <c r="E157" s="112">
        <v>2272.4</v>
      </c>
      <c r="F157" s="111" t="str">
        <f>DataPull!D157</f>
        <v/>
      </c>
      <c r="G157" s="94" t="str">
        <f t="shared" si="2"/>
        <v/>
      </c>
      <c r="H157" s="94" t="str">
        <f t="shared" si="3"/>
        <v/>
      </c>
      <c r="I157" s="94" t="str">
        <f t="shared" ref="I157:J157" si="158">if(G157 = "", , -G157)</f>
        <v/>
      </c>
      <c r="J157" s="94" t="str">
        <f t="shared" si="158"/>
        <v/>
      </c>
      <c r="K157" s="100"/>
      <c r="M157" s="100"/>
      <c r="N157" s="100"/>
      <c r="O157" s="100"/>
      <c r="P157" s="100"/>
    </row>
    <row r="158">
      <c r="A158" s="107">
        <v>2440.0</v>
      </c>
      <c r="B158" s="108" t="s">
        <v>92</v>
      </c>
      <c r="C158" s="108" t="s">
        <v>237</v>
      </c>
      <c r="D158" s="112" t="s">
        <v>176</v>
      </c>
      <c r="E158" s="112">
        <v>2188.8</v>
      </c>
      <c r="F158" s="111" t="str">
        <f>DataPull!D158</f>
        <v/>
      </c>
      <c r="G158" s="94" t="str">
        <f t="shared" si="2"/>
        <v/>
      </c>
      <c r="H158" s="94" t="str">
        <f t="shared" si="3"/>
        <v/>
      </c>
      <c r="I158" s="94" t="str">
        <f t="shared" ref="I158:J158" si="159">if(G158 = "", , -G158)</f>
        <v/>
      </c>
      <c r="J158" s="94" t="str">
        <f t="shared" si="159"/>
        <v/>
      </c>
      <c r="K158" s="100"/>
      <c r="M158" s="100"/>
      <c r="N158" s="100"/>
      <c r="O158" s="100"/>
      <c r="P158" s="100"/>
    </row>
    <row r="159">
      <c r="A159" s="107">
        <v>2440.0</v>
      </c>
      <c r="B159" s="108" t="s">
        <v>190</v>
      </c>
      <c r="C159" s="108" t="s">
        <v>237</v>
      </c>
      <c r="D159" s="112" t="s">
        <v>176</v>
      </c>
      <c r="E159" s="112">
        <v>1776.0</v>
      </c>
      <c r="F159" s="111" t="str">
        <f>DataPull!D159</f>
        <v/>
      </c>
      <c r="G159" s="94" t="str">
        <f t="shared" si="2"/>
        <v/>
      </c>
      <c r="H159" s="94" t="str">
        <f t="shared" si="3"/>
        <v/>
      </c>
      <c r="I159" s="94" t="str">
        <f t="shared" ref="I159:J159" si="160">if(G159 = "", , -G159)</f>
        <v/>
      </c>
      <c r="J159" s="94" t="str">
        <f t="shared" si="160"/>
        <v/>
      </c>
      <c r="K159" s="100"/>
      <c r="M159" s="100"/>
      <c r="N159" s="100"/>
      <c r="O159" s="100"/>
      <c r="P159" s="100"/>
    </row>
    <row r="160">
      <c r="A160" s="107">
        <v>2446.0</v>
      </c>
      <c r="B160" s="108" t="s">
        <v>85</v>
      </c>
      <c r="C160" s="108" t="s">
        <v>238</v>
      </c>
      <c r="D160" s="112" t="s">
        <v>187</v>
      </c>
      <c r="E160" s="112">
        <v>380.0</v>
      </c>
      <c r="F160" s="111" t="str">
        <f>DataPull!D160</f>
        <v/>
      </c>
      <c r="G160" s="94" t="str">
        <f t="shared" si="2"/>
        <v/>
      </c>
      <c r="H160" s="94" t="str">
        <f t="shared" si="3"/>
        <v/>
      </c>
      <c r="I160" s="94" t="str">
        <f t="shared" ref="I160:J160" si="161">if(G160 = "", , -G160)</f>
        <v/>
      </c>
      <c r="J160" s="94" t="str">
        <f t="shared" si="161"/>
        <v/>
      </c>
      <c r="K160" s="100"/>
      <c r="M160" s="100"/>
      <c r="N160" s="100"/>
      <c r="O160" s="100"/>
      <c r="P160" s="100"/>
    </row>
    <row r="161">
      <c r="A161" s="107">
        <v>2446.0</v>
      </c>
      <c r="B161" s="108" t="s">
        <v>90</v>
      </c>
      <c r="C161" s="108" t="s">
        <v>238</v>
      </c>
      <c r="D161" s="112" t="s">
        <v>176</v>
      </c>
      <c r="E161" s="112">
        <v>1507.5</v>
      </c>
      <c r="F161" s="111" t="str">
        <f>DataPull!D161</f>
        <v/>
      </c>
      <c r="G161" s="94" t="str">
        <f t="shared" si="2"/>
        <v/>
      </c>
      <c r="H161" s="94" t="str">
        <f t="shared" si="3"/>
        <v/>
      </c>
      <c r="I161" s="94" t="str">
        <f t="shared" ref="I161:J161" si="162">if(G161 = "", , -G161)</f>
        <v/>
      </c>
      <c r="J161" s="94" t="str">
        <f t="shared" si="162"/>
        <v/>
      </c>
      <c r="K161" s="100"/>
      <c r="M161" s="100"/>
      <c r="N161" s="100"/>
      <c r="O161" s="100"/>
      <c r="P161" s="100"/>
    </row>
    <row r="162">
      <c r="A162" s="107">
        <v>2446.0</v>
      </c>
      <c r="B162" s="108" t="s">
        <v>92</v>
      </c>
      <c r="C162" s="108" t="s">
        <v>238</v>
      </c>
      <c r="D162" s="112" t="s">
        <v>187</v>
      </c>
      <c r="E162" s="112">
        <v>432.4</v>
      </c>
      <c r="F162" s="111" t="str">
        <f>DataPull!D162</f>
        <v/>
      </c>
      <c r="G162" s="94" t="str">
        <f t="shared" si="2"/>
        <v/>
      </c>
      <c r="H162" s="94" t="str">
        <f t="shared" si="3"/>
        <v/>
      </c>
      <c r="I162" s="94" t="str">
        <f t="shared" ref="I162:J162" si="163">if(G162 = "", , -G162)</f>
        <v/>
      </c>
      <c r="J162" s="94" t="str">
        <f t="shared" si="163"/>
        <v/>
      </c>
      <c r="K162" s="100"/>
      <c r="M162" s="100"/>
      <c r="N162" s="100"/>
      <c r="O162" s="100"/>
      <c r="P162" s="100"/>
    </row>
    <row r="163">
      <c r="A163" s="107">
        <v>2449.0</v>
      </c>
      <c r="B163" s="108" t="s">
        <v>85</v>
      </c>
      <c r="C163" s="108" t="s">
        <v>239</v>
      </c>
      <c r="D163" s="112" t="s">
        <v>177</v>
      </c>
      <c r="E163" s="112">
        <v>1402.2</v>
      </c>
      <c r="F163" s="111" t="str">
        <f>DataPull!D163</f>
        <v/>
      </c>
      <c r="G163" s="94" t="str">
        <f t="shared" si="2"/>
        <v/>
      </c>
      <c r="H163" s="94" t="str">
        <f t="shared" si="3"/>
        <v/>
      </c>
      <c r="I163" s="94" t="str">
        <f t="shared" ref="I163:J163" si="164">if(G163 = "", , -G163)</f>
        <v/>
      </c>
      <c r="J163" s="94" t="str">
        <f t="shared" si="164"/>
        <v/>
      </c>
      <c r="K163" s="100"/>
      <c r="M163" s="100"/>
      <c r="N163" s="100"/>
      <c r="O163" s="100"/>
      <c r="P163" s="100"/>
    </row>
    <row r="164">
      <c r="A164" s="107">
        <v>2449.0</v>
      </c>
      <c r="B164" s="108" t="s">
        <v>90</v>
      </c>
      <c r="C164" s="108" t="s">
        <v>239</v>
      </c>
      <c r="D164" s="112" t="s">
        <v>176</v>
      </c>
      <c r="E164" s="112">
        <v>1660.5</v>
      </c>
      <c r="F164" s="111" t="str">
        <f>DataPull!D164</f>
        <v/>
      </c>
      <c r="G164" s="94" t="str">
        <f t="shared" si="2"/>
        <v/>
      </c>
      <c r="H164" s="94" t="str">
        <f t="shared" si="3"/>
        <v/>
      </c>
      <c r="I164" s="94" t="str">
        <f t="shared" ref="I164:J164" si="165">if(G164 = "", , -G164)</f>
        <v/>
      </c>
      <c r="J164" s="94" t="str">
        <f t="shared" si="165"/>
        <v/>
      </c>
      <c r="K164" s="100"/>
      <c r="M164" s="100"/>
      <c r="N164" s="100"/>
      <c r="O164" s="100"/>
      <c r="P164" s="100"/>
    </row>
    <row r="165">
      <c r="A165" s="107">
        <v>2449.0</v>
      </c>
      <c r="B165" s="108" t="s">
        <v>92</v>
      </c>
      <c r="C165" s="108" t="s">
        <v>239</v>
      </c>
      <c r="D165" s="112" t="s">
        <v>177</v>
      </c>
      <c r="E165" s="112">
        <v>1634.0</v>
      </c>
      <c r="F165" s="111" t="str">
        <f>DataPull!D165</f>
        <v/>
      </c>
      <c r="G165" s="94" t="str">
        <f t="shared" si="2"/>
        <v/>
      </c>
      <c r="H165" s="94" t="str">
        <f t="shared" si="3"/>
        <v/>
      </c>
      <c r="I165" s="94" t="str">
        <f t="shared" ref="I165:J165" si="166">if(G165 = "", , -G165)</f>
        <v/>
      </c>
      <c r="J165" s="94" t="str">
        <f t="shared" si="166"/>
        <v/>
      </c>
      <c r="K165" s="100"/>
      <c r="M165" s="100"/>
      <c r="N165" s="100"/>
      <c r="O165" s="100"/>
      <c r="P165" s="100"/>
    </row>
    <row r="166">
      <c r="A166" s="107">
        <v>2449.0</v>
      </c>
      <c r="B166" s="108" t="s">
        <v>190</v>
      </c>
      <c r="C166" s="108" t="s">
        <v>239</v>
      </c>
      <c r="D166" s="112" t="s">
        <v>177</v>
      </c>
      <c r="E166" s="112">
        <v>460.8</v>
      </c>
      <c r="F166" s="111" t="str">
        <f>DataPull!D166</f>
        <v/>
      </c>
      <c r="G166" s="94" t="str">
        <f t="shared" si="2"/>
        <v/>
      </c>
      <c r="H166" s="94" t="str">
        <f t="shared" si="3"/>
        <v/>
      </c>
      <c r="I166" s="94" t="str">
        <f t="shared" ref="I166:J166" si="167">if(G166 = "", , -G166)</f>
        <v/>
      </c>
      <c r="J166" s="94" t="str">
        <f t="shared" si="167"/>
        <v/>
      </c>
      <c r="K166" s="100"/>
      <c r="L166" s="100"/>
      <c r="N166" s="100"/>
      <c r="O166" s="100"/>
      <c r="P166" s="100"/>
    </row>
    <row r="167">
      <c r="A167" s="107">
        <v>2457.0</v>
      </c>
      <c r="B167" s="108" t="s">
        <v>85</v>
      </c>
      <c r="C167" s="108" t="s">
        <v>240</v>
      </c>
      <c r="D167" s="112" t="s">
        <v>187</v>
      </c>
      <c r="E167" s="112">
        <v>240.7</v>
      </c>
      <c r="F167" s="111" t="str">
        <f>DataPull!D167</f>
        <v/>
      </c>
      <c r="G167" s="94" t="str">
        <f t="shared" si="2"/>
        <v/>
      </c>
      <c r="H167" s="94" t="str">
        <f t="shared" si="3"/>
        <v/>
      </c>
      <c r="I167" s="94" t="str">
        <f t="shared" ref="I167:J167" si="168">if(G167 = "", , -G167)</f>
        <v/>
      </c>
      <c r="J167" s="94" t="str">
        <f t="shared" si="168"/>
        <v/>
      </c>
      <c r="K167" s="100"/>
      <c r="L167" s="100"/>
      <c r="N167" s="100"/>
      <c r="O167" s="100"/>
      <c r="P167" s="100"/>
    </row>
    <row r="168">
      <c r="A168" s="107">
        <v>2457.0</v>
      </c>
      <c r="B168" s="108" t="s">
        <v>90</v>
      </c>
      <c r="C168" s="108" t="s">
        <v>240</v>
      </c>
      <c r="D168" s="112" t="s">
        <v>187</v>
      </c>
      <c r="E168" s="112">
        <v>72.9</v>
      </c>
      <c r="F168" s="111" t="str">
        <f>DataPull!D168</f>
        <v/>
      </c>
      <c r="G168" s="94" t="str">
        <f t="shared" si="2"/>
        <v/>
      </c>
      <c r="H168" s="94" t="str">
        <f t="shared" si="3"/>
        <v/>
      </c>
      <c r="I168" s="94" t="str">
        <f t="shared" ref="I168:J168" si="169">if(G168 = "", , -G168)</f>
        <v/>
      </c>
      <c r="J168" s="94" t="str">
        <f t="shared" si="169"/>
        <v/>
      </c>
      <c r="K168" s="100"/>
      <c r="M168" s="100"/>
      <c r="N168" s="100"/>
      <c r="O168" s="100"/>
      <c r="P168" s="100"/>
    </row>
    <row r="169">
      <c r="A169" s="107">
        <v>2501.0</v>
      </c>
      <c r="B169" s="108" t="s">
        <v>85</v>
      </c>
      <c r="C169" s="108" t="s">
        <v>241</v>
      </c>
      <c r="D169" s="112" t="s">
        <v>177</v>
      </c>
      <c r="E169" s="112">
        <v>896.4</v>
      </c>
      <c r="F169" s="111" t="str">
        <f>DataPull!D169</f>
        <v/>
      </c>
      <c r="G169" s="94" t="str">
        <f t="shared" si="2"/>
        <v/>
      </c>
      <c r="H169" s="94" t="str">
        <f t="shared" si="3"/>
        <v/>
      </c>
      <c r="I169" s="94" t="str">
        <f t="shared" ref="I169:J169" si="170">if(G169 = "", , -G169)</f>
        <v/>
      </c>
      <c r="J169" s="94" t="str">
        <f t="shared" si="170"/>
        <v/>
      </c>
      <c r="K169" s="100"/>
      <c r="M169" s="100"/>
      <c r="N169" s="100"/>
      <c r="O169" s="100"/>
      <c r="P169" s="100"/>
    </row>
    <row r="170">
      <c r="A170" s="107">
        <v>2501.0</v>
      </c>
      <c r="B170" s="108" t="s">
        <v>90</v>
      </c>
      <c r="C170" s="108" t="s">
        <v>241</v>
      </c>
      <c r="D170" s="112" t="s">
        <v>177</v>
      </c>
      <c r="E170" s="112">
        <v>766.1</v>
      </c>
      <c r="F170" s="111" t="str">
        <f>DataPull!D170</f>
        <v/>
      </c>
      <c r="G170" s="94" t="str">
        <f t="shared" si="2"/>
        <v/>
      </c>
      <c r="H170" s="94" t="str">
        <f t="shared" si="3"/>
        <v/>
      </c>
      <c r="I170" s="94" t="str">
        <f t="shared" ref="I170:J170" si="171">if(G170 = "", , -G170)</f>
        <v/>
      </c>
      <c r="J170" s="94" t="str">
        <f t="shared" si="171"/>
        <v/>
      </c>
      <c r="K170" s="100"/>
      <c r="M170" s="100"/>
      <c r="N170" s="100"/>
      <c r="O170" s="100"/>
      <c r="P170" s="100"/>
    </row>
    <row r="171">
      <c r="A171" s="107">
        <v>2544.0</v>
      </c>
      <c r="B171" s="108" t="s">
        <v>85</v>
      </c>
      <c r="C171" s="108" t="s">
        <v>242</v>
      </c>
      <c r="D171" s="112" t="s">
        <v>184</v>
      </c>
      <c r="E171" s="112">
        <v>2902.9</v>
      </c>
      <c r="F171" s="111" t="str">
        <f>DataPull!D171</f>
        <v/>
      </c>
      <c r="G171" s="94" t="str">
        <f t="shared" si="2"/>
        <v/>
      </c>
      <c r="H171" s="94" t="str">
        <f t="shared" si="3"/>
        <v/>
      </c>
      <c r="I171" s="94" t="str">
        <f t="shared" ref="I171:J171" si="172">if(G171 = "", , -G171)</f>
        <v/>
      </c>
      <c r="J171" s="94" t="str">
        <f t="shared" si="172"/>
        <v/>
      </c>
      <c r="K171" s="100"/>
      <c r="M171" s="100"/>
      <c r="N171" s="100"/>
      <c r="O171" s="100"/>
      <c r="P171" s="100"/>
    </row>
    <row r="172">
      <c r="A172" s="107">
        <v>2544.0</v>
      </c>
      <c r="B172" s="108" t="s">
        <v>90</v>
      </c>
      <c r="C172" s="108" t="s">
        <v>242</v>
      </c>
      <c r="D172" s="112" t="s">
        <v>184</v>
      </c>
      <c r="E172" s="112">
        <v>2490.9</v>
      </c>
      <c r="F172" s="111" t="str">
        <f>DataPull!D172</f>
        <v/>
      </c>
      <c r="G172" s="94" t="str">
        <f t="shared" si="2"/>
        <v/>
      </c>
      <c r="H172" s="94" t="str">
        <f t="shared" si="3"/>
        <v/>
      </c>
      <c r="I172" s="94" t="str">
        <f t="shared" ref="I172:J172" si="173">if(G172 = "", , -G172)</f>
        <v/>
      </c>
      <c r="J172" s="94" t="str">
        <f t="shared" si="173"/>
        <v/>
      </c>
      <c r="K172" s="100"/>
      <c r="L172" s="100"/>
      <c r="M172" s="100"/>
      <c r="N172" s="100"/>
      <c r="O172" s="100"/>
      <c r="P172" s="100"/>
    </row>
    <row r="173">
      <c r="A173" s="107">
        <v>2544.0</v>
      </c>
      <c r="B173" s="108" t="s">
        <v>92</v>
      </c>
      <c r="C173" s="108" t="s">
        <v>242</v>
      </c>
      <c r="D173" s="112" t="s">
        <v>184</v>
      </c>
      <c r="E173" s="112">
        <v>2705.6</v>
      </c>
      <c r="F173" s="111" t="str">
        <f>DataPull!D173</f>
        <v/>
      </c>
      <c r="G173" s="94" t="str">
        <f t="shared" si="2"/>
        <v/>
      </c>
      <c r="H173" s="94" t="str">
        <f t="shared" si="3"/>
        <v/>
      </c>
      <c r="I173" s="94" t="str">
        <f t="shared" ref="I173:J173" si="174">if(G173 = "", , -G173)</f>
        <v/>
      </c>
      <c r="J173" s="94" t="str">
        <f t="shared" si="174"/>
        <v/>
      </c>
      <c r="K173" s="100"/>
      <c r="L173" s="100"/>
      <c r="M173" s="100"/>
      <c r="N173" s="100"/>
      <c r="O173" s="100"/>
      <c r="P173" s="100"/>
    </row>
    <row r="174">
      <c r="A174" s="107">
        <v>2544.0</v>
      </c>
      <c r="B174" s="108" t="s">
        <v>190</v>
      </c>
      <c r="C174" s="108" t="s">
        <v>242</v>
      </c>
      <c r="D174" s="112" t="s">
        <v>184</v>
      </c>
      <c r="E174" s="112">
        <v>2797.2</v>
      </c>
      <c r="F174" s="111" t="str">
        <f>DataPull!D174</f>
        <v/>
      </c>
      <c r="G174" s="94" t="str">
        <f t="shared" si="2"/>
        <v/>
      </c>
      <c r="H174" s="94" t="str">
        <f t="shared" si="3"/>
        <v/>
      </c>
      <c r="I174" s="94" t="str">
        <f t="shared" ref="I174:J174" si="175">if(G174 = "", , -G174)</f>
        <v/>
      </c>
      <c r="J174" s="94" t="str">
        <f t="shared" si="175"/>
        <v/>
      </c>
      <c r="K174" s="100"/>
      <c r="M174" s="100"/>
      <c r="N174" s="100"/>
      <c r="O174" s="100"/>
      <c r="P174" s="100"/>
    </row>
    <row r="175">
      <c r="A175" s="107">
        <v>2544.0</v>
      </c>
      <c r="B175" s="108" t="s">
        <v>191</v>
      </c>
      <c r="C175" s="108" t="s">
        <v>242</v>
      </c>
      <c r="D175" s="112" t="s">
        <v>184</v>
      </c>
      <c r="E175" s="112">
        <v>3025.8</v>
      </c>
      <c r="F175" s="111" t="str">
        <f>DataPull!D175</f>
        <v/>
      </c>
      <c r="G175" s="94" t="str">
        <f t="shared" si="2"/>
        <v/>
      </c>
      <c r="H175" s="94" t="str">
        <f t="shared" si="3"/>
        <v/>
      </c>
      <c r="I175" s="94" t="str">
        <f t="shared" ref="I175:J175" si="176">if(G175 = "", , -G175)</f>
        <v/>
      </c>
      <c r="J175" s="94" t="str">
        <f t="shared" si="176"/>
        <v/>
      </c>
      <c r="K175" s="100"/>
      <c r="M175" s="100"/>
      <c r="N175" s="100"/>
      <c r="O175" s="100"/>
      <c r="P175" s="100"/>
    </row>
    <row r="176">
      <c r="A176" s="107">
        <v>2544.0</v>
      </c>
      <c r="B176" s="108" t="s">
        <v>192</v>
      </c>
      <c r="C176" s="108" t="s">
        <v>242</v>
      </c>
      <c r="D176" s="112" t="s">
        <v>184</v>
      </c>
      <c r="E176" s="112">
        <v>1936.0</v>
      </c>
      <c r="F176" s="111" t="str">
        <f>DataPull!D176</f>
        <v/>
      </c>
      <c r="G176" s="94" t="str">
        <f t="shared" si="2"/>
        <v/>
      </c>
      <c r="H176" s="94" t="str">
        <f t="shared" si="3"/>
        <v/>
      </c>
      <c r="I176" s="94" t="str">
        <f t="shared" ref="I176:J176" si="177">if(G176 = "", , -G176)</f>
        <v/>
      </c>
      <c r="J176" s="94" t="str">
        <f t="shared" si="177"/>
        <v/>
      </c>
      <c r="K176" s="100"/>
      <c r="M176" s="100"/>
      <c r="N176" s="100"/>
      <c r="O176" s="100"/>
      <c r="P176" s="100"/>
    </row>
    <row r="177">
      <c r="A177" s="107">
        <v>2544.0</v>
      </c>
      <c r="B177" s="108" t="s">
        <v>193</v>
      </c>
      <c r="C177" s="108" t="s">
        <v>242</v>
      </c>
      <c r="D177" s="112" t="s">
        <v>184</v>
      </c>
      <c r="E177" s="112">
        <v>2318.2</v>
      </c>
      <c r="F177" s="111" t="str">
        <f>DataPull!D177</f>
        <v/>
      </c>
      <c r="G177" s="94" t="str">
        <f t="shared" si="2"/>
        <v/>
      </c>
      <c r="H177" s="94" t="str">
        <f t="shared" si="3"/>
        <v/>
      </c>
      <c r="I177" s="94" t="str">
        <f t="shared" ref="I177:J177" si="178">if(G177 = "", , -G177)</f>
        <v/>
      </c>
      <c r="J177" s="94" t="str">
        <f t="shared" si="178"/>
        <v/>
      </c>
      <c r="K177" s="100"/>
      <c r="M177" s="100"/>
      <c r="N177" s="100"/>
      <c r="O177" s="100"/>
      <c r="P177" s="100"/>
    </row>
    <row r="178">
      <c r="A178" s="107">
        <v>2544.0</v>
      </c>
      <c r="B178" s="108" t="s">
        <v>243</v>
      </c>
      <c r="C178" s="108" t="s">
        <v>242</v>
      </c>
      <c r="D178" s="112" t="s">
        <v>184</v>
      </c>
      <c r="E178" s="112">
        <v>1503.0</v>
      </c>
      <c r="F178" s="111" t="str">
        <f>DataPull!D178</f>
        <v/>
      </c>
      <c r="G178" s="94" t="str">
        <f t="shared" si="2"/>
        <v/>
      </c>
      <c r="H178" s="94" t="str">
        <f t="shared" si="3"/>
        <v/>
      </c>
      <c r="I178" s="94" t="str">
        <f t="shared" ref="I178:J178" si="179">if(G178 = "", , -G178)</f>
        <v/>
      </c>
      <c r="J178" s="94" t="str">
        <f t="shared" si="179"/>
        <v/>
      </c>
      <c r="K178" s="100"/>
      <c r="M178" s="100"/>
      <c r="N178" s="100"/>
      <c r="O178" s="100"/>
      <c r="P178" s="100"/>
    </row>
    <row r="179">
      <c r="A179" s="107">
        <v>2544.0</v>
      </c>
      <c r="B179" s="108" t="s">
        <v>215</v>
      </c>
      <c r="C179" s="108" t="s">
        <v>242</v>
      </c>
      <c r="D179" s="112" t="s">
        <v>184</v>
      </c>
      <c r="E179" s="112">
        <v>2083.2</v>
      </c>
      <c r="F179" s="111" t="str">
        <f>DataPull!D179</f>
        <v/>
      </c>
      <c r="G179" s="94" t="str">
        <f t="shared" si="2"/>
        <v/>
      </c>
      <c r="H179" s="94" t="str">
        <f t="shared" si="3"/>
        <v/>
      </c>
      <c r="I179" s="94" t="str">
        <f t="shared" ref="I179:J179" si="180">if(G179 = "", , -G179)</f>
        <v/>
      </c>
      <c r="J179" s="94" t="str">
        <f t="shared" si="180"/>
        <v/>
      </c>
      <c r="K179" s="100"/>
      <c r="M179" s="100"/>
      <c r="N179" s="100"/>
      <c r="O179" s="100"/>
      <c r="P179" s="100"/>
    </row>
    <row r="180">
      <c r="A180" s="107">
        <v>2544.0</v>
      </c>
      <c r="B180" s="108" t="s">
        <v>244</v>
      </c>
      <c r="C180" s="108" t="s">
        <v>242</v>
      </c>
      <c r="D180" s="112" t="s">
        <v>184</v>
      </c>
      <c r="E180" s="112">
        <v>1952.5</v>
      </c>
      <c r="F180" s="111" t="str">
        <f>DataPull!D180</f>
        <v/>
      </c>
      <c r="G180" s="94" t="str">
        <f t="shared" si="2"/>
        <v/>
      </c>
      <c r="H180" s="94" t="str">
        <f t="shared" si="3"/>
        <v/>
      </c>
      <c r="I180" s="94" t="str">
        <f t="shared" ref="I180:J180" si="181">if(G180 = "", , -G180)</f>
        <v/>
      </c>
      <c r="J180" s="94" t="str">
        <f t="shared" si="181"/>
        <v/>
      </c>
      <c r="K180" s="100"/>
      <c r="M180" s="100"/>
      <c r="N180" s="100"/>
      <c r="O180" s="100"/>
      <c r="P180" s="100"/>
    </row>
    <row r="181">
      <c r="A181" s="107">
        <v>2544.0</v>
      </c>
      <c r="B181" s="108" t="s">
        <v>245</v>
      </c>
      <c r="C181" s="108" t="s">
        <v>242</v>
      </c>
      <c r="D181" s="112" t="s">
        <v>184</v>
      </c>
      <c r="E181" s="112">
        <v>2506.3</v>
      </c>
      <c r="F181" s="111" t="str">
        <f>DataPull!D181</f>
        <v/>
      </c>
      <c r="G181" s="94" t="str">
        <f t="shared" si="2"/>
        <v/>
      </c>
      <c r="H181" s="94" t="str">
        <f t="shared" si="3"/>
        <v/>
      </c>
      <c r="I181" s="94" t="str">
        <f t="shared" ref="I181:J181" si="182">if(G181 = "", , -G181)</f>
        <v/>
      </c>
      <c r="J181" s="94" t="str">
        <f t="shared" si="182"/>
        <v/>
      </c>
      <c r="K181" s="100"/>
      <c r="M181" s="100"/>
      <c r="N181" s="100"/>
      <c r="O181" s="100"/>
      <c r="P181" s="100"/>
    </row>
    <row r="182">
      <c r="A182" s="107">
        <v>2544.0</v>
      </c>
      <c r="B182" s="108" t="s">
        <v>246</v>
      </c>
      <c r="C182" s="108" t="s">
        <v>242</v>
      </c>
      <c r="D182" s="112" t="s">
        <v>184</v>
      </c>
      <c r="E182" s="112">
        <v>2443.0</v>
      </c>
      <c r="F182" s="111" t="str">
        <f>DataPull!D182</f>
        <v/>
      </c>
      <c r="G182" s="94" t="str">
        <f t="shared" si="2"/>
        <v/>
      </c>
      <c r="H182" s="94" t="str">
        <f t="shared" si="3"/>
        <v/>
      </c>
      <c r="I182" s="94" t="str">
        <f t="shared" ref="I182:J182" si="183">if(G182 = "", , -G182)</f>
        <v/>
      </c>
      <c r="J182" s="94" t="str">
        <f t="shared" si="183"/>
        <v/>
      </c>
      <c r="K182" s="100"/>
      <c r="M182" s="100"/>
      <c r="N182" s="100"/>
      <c r="O182" s="100"/>
      <c r="P182" s="100"/>
    </row>
    <row r="183">
      <c r="A183" s="89">
        <v>2544.0</v>
      </c>
      <c r="B183" s="113" t="s">
        <v>247</v>
      </c>
      <c r="C183" s="113" t="s">
        <v>248</v>
      </c>
      <c r="D183" s="112" t="s">
        <v>184</v>
      </c>
      <c r="E183" s="112">
        <v>1992.0</v>
      </c>
      <c r="F183" s="111" t="str">
        <f>DataPull!D183</f>
        <v/>
      </c>
      <c r="G183" s="94" t="str">
        <f t="shared" si="2"/>
        <v/>
      </c>
      <c r="H183" s="94" t="str">
        <f t="shared" si="3"/>
        <v/>
      </c>
      <c r="I183" s="94" t="str">
        <f t="shared" ref="I183:J183" si="184">if(G183 = "", , -G183)</f>
        <v/>
      </c>
      <c r="J183" s="94" t="str">
        <f t="shared" si="184"/>
        <v/>
      </c>
      <c r="K183" s="100"/>
      <c r="M183" s="100"/>
      <c r="N183" s="100"/>
      <c r="O183" s="100"/>
      <c r="P183" s="100"/>
    </row>
    <row r="184">
      <c r="A184" s="107">
        <v>2546.0</v>
      </c>
      <c r="B184" s="108" t="s">
        <v>85</v>
      </c>
      <c r="C184" s="108" t="s">
        <v>249</v>
      </c>
      <c r="D184" s="112" t="s">
        <v>178</v>
      </c>
      <c r="E184" s="112">
        <v>2979.9</v>
      </c>
      <c r="F184" s="111" t="str">
        <f>DataPull!D184</f>
        <v/>
      </c>
      <c r="G184" s="94" t="str">
        <f t="shared" si="2"/>
        <v/>
      </c>
      <c r="H184" s="94" t="str">
        <f t="shared" si="3"/>
        <v/>
      </c>
      <c r="I184" s="94" t="str">
        <f t="shared" ref="I184:J184" si="185">if(G184 = "", , -G184)</f>
        <v/>
      </c>
      <c r="J184" s="94" t="str">
        <f t="shared" si="185"/>
        <v/>
      </c>
      <c r="K184" s="100"/>
      <c r="M184" s="100"/>
      <c r="N184" s="100"/>
      <c r="O184" s="100"/>
      <c r="P184" s="100"/>
    </row>
    <row r="185">
      <c r="A185" s="107">
        <v>2546.0</v>
      </c>
      <c r="B185" s="108" t="s">
        <v>90</v>
      </c>
      <c r="C185" s="108" t="s">
        <v>249</v>
      </c>
      <c r="D185" s="112" t="s">
        <v>178</v>
      </c>
      <c r="E185" s="112">
        <v>1428.0</v>
      </c>
      <c r="F185" s="111" t="str">
        <f>DataPull!D185</f>
        <v/>
      </c>
      <c r="G185" s="94" t="str">
        <f t="shared" si="2"/>
        <v/>
      </c>
      <c r="H185" s="94" t="str">
        <f t="shared" si="3"/>
        <v/>
      </c>
      <c r="I185" s="94" t="str">
        <f t="shared" ref="I185:J185" si="186">if(G185 = "", , -G185)</f>
        <v/>
      </c>
      <c r="J185" s="94" t="str">
        <f t="shared" si="186"/>
        <v/>
      </c>
      <c r="K185" s="100"/>
      <c r="M185" s="100"/>
      <c r="N185" s="100"/>
      <c r="O185" s="100"/>
      <c r="P185" s="100"/>
    </row>
    <row r="186">
      <c r="A186" s="107">
        <v>2546.0</v>
      </c>
      <c r="B186" s="108" t="s">
        <v>92</v>
      </c>
      <c r="C186" s="108" t="s">
        <v>249</v>
      </c>
      <c r="D186" s="112" t="s">
        <v>178</v>
      </c>
      <c r="E186" s="112">
        <v>2527.2</v>
      </c>
      <c r="F186" s="111" t="str">
        <f>DataPull!D186</f>
        <v/>
      </c>
      <c r="G186" s="94" t="str">
        <f t="shared" si="2"/>
        <v/>
      </c>
      <c r="H186" s="94" t="str">
        <f t="shared" si="3"/>
        <v/>
      </c>
      <c r="I186" s="94" t="str">
        <f t="shared" ref="I186:J186" si="187">if(G186 = "", , -G186)</f>
        <v/>
      </c>
      <c r="J186" s="94" t="str">
        <f t="shared" si="187"/>
        <v/>
      </c>
      <c r="K186" s="100"/>
      <c r="M186" s="100"/>
      <c r="N186" s="100"/>
      <c r="O186" s="100"/>
      <c r="P186" s="100"/>
    </row>
    <row r="187">
      <c r="A187" s="107">
        <v>2546.0</v>
      </c>
      <c r="B187" s="108" t="s">
        <v>190</v>
      </c>
      <c r="C187" s="108" t="s">
        <v>249</v>
      </c>
      <c r="D187" s="112" t="s">
        <v>178</v>
      </c>
      <c r="E187" s="112">
        <v>2538.2</v>
      </c>
      <c r="F187" s="111" t="str">
        <f>DataPull!D187</f>
        <v/>
      </c>
      <c r="G187" s="94" t="str">
        <f t="shared" si="2"/>
        <v/>
      </c>
      <c r="H187" s="94" t="str">
        <f t="shared" si="3"/>
        <v/>
      </c>
      <c r="I187" s="94" t="str">
        <f t="shared" ref="I187:J187" si="188">if(G187 = "", , -G187)</f>
        <v/>
      </c>
      <c r="J187" s="94" t="str">
        <f t="shared" si="188"/>
        <v/>
      </c>
      <c r="K187" s="100"/>
      <c r="M187" s="100"/>
      <c r="N187" s="100"/>
      <c r="O187" s="100"/>
      <c r="P187" s="100"/>
    </row>
    <row r="188">
      <c r="A188" s="107">
        <v>2546.0</v>
      </c>
      <c r="B188" s="108" t="s">
        <v>191</v>
      </c>
      <c r="C188" s="108" t="s">
        <v>249</v>
      </c>
      <c r="D188" s="112" t="s">
        <v>178</v>
      </c>
      <c r="E188" s="112">
        <v>2503.8</v>
      </c>
      <c r="F188" s="111" t="str">
        <f>DataPull!D188</f>
        <v/>
      </c>
      <c r="G188" s="94" t="str">
        <f t="shared" si="2"/>
        <v/>
      </c>
      <c r="H188" s="94" t="str">
        <f t="shared" si="3"/>
        <v/>
      </c>
      <c r="I188" s="94" t="str">
        <f t="shared" ref="I188:J188" si="189">if(G188 = "", , -G188)</f>
        <v/>
      </c>
      <c r="J188" s="94" t="str">
        <f t="shared" si="189"/>
        <v/>
      </c>
      <c r="K188" s="100"/>
      <c r="M188" s="100"/>
      <c r="N188" s="100"/>
      <c r="O188" s="100"/>
      <c r="P188" s="100"/>
    </row>
    <row r="189">
      <c r="A189" s="107">
        <v>2546.0</v>
      </c>
      <c r="B189" s="108" t="s">
        <v>192</v>
      </c>
      <c r="C189" s="108" t="s">
        <v>249</v>
      </c>
      <c r="D189" s="112" t="s">
        <v>176</v>
      </c>
      <c r="E189" s="112">
        <v>294.0</v>
      </c>
      <c r="F189" s="111" t="str">
        <f>DataPull!D189</f>
        <v/>
      </c>
      <c r="G189" s="94" t="str">
        <f t="shared" si="2"/>
        <v/>
      </c>
      <c r="H189" s="94" t="str">
        <f t="shared" si="3"/>
        <v/>
      </c>
      <c r="I189" s="94" t="str">
        <f t="shared" ref="I189:J189" si="190">if(G189 = "", , -G189)</f>
        <v/>
      </c>
      <c r="J189" s="94" t="str">
        <f t="shared" si="190"/>
        <v/>
      </c>
      <c r="K189" s="100"/>
      <c r="M189" s="100"/>
      <c r="N189" s="100"/>
      <c r="O189" s="100"/>
      <c r="P189" s="100"/>
    </row>
    <row r="190">
      <c r="A190" s="107">
        <v>2546.0</v>
      </c>
      <c r="B190" s="108" t="s">
        <v>193</v>
      </c>
      <c r="C190" s="108" t="s">
        <v>249</v>
      </c>
      <c r="D190" s="112" t="s">
        <v>178</v>
      </c>
      <c r="E190" s="112">
        <v>1902.4</v>
      </c>
      <c r="F190" s="111" t="str">
        <f>DataPull!D190</f>
        <v/>
      </c>
      <c r="G190" s="94" t="str">
        <f t="shared" si="2"/>
        <v/>
      </c>
      <c r="H190" s="94" t="str">
        <f t="shared" si="3"/>
        <v/>
      </c>
      <c r="I190" s="94" t="str">
        <f t="shared" ref="I190:J190" si="191">if(G190 = "", , -G190)</f>
        <v/>
      </c>
      <c r="J190" s="94" t="str">
        <f t="shared" si="191"/>
        <v/>
      </c>
      <c r="K190" s="100"/>
      <c r="M190" s="100"/>
      <c r="N190" s="100"/>
      <c r="O190" s="100"/>
      <c r="P190" s="100"/>
    </row>
    <row r="191">
      <c r="A191" s="107">
        <v>2546.0</v>
      </c>
      <c r="B191" s="108" t="s">
        <v>243</v>
      </c>
      <c r="C191" s="108" t="s">
        <v>249</v>
      </c>
      <c r="D191" s="112" t="s">
        <v>176</v>
      </c>
      <c r="E191" s="112">
        <v>1690.5</v>
      </c>
      <c r="F191" s="111" t="str">
        <f>DataPull!D191</f>
        <v/>
      </c>
      <c r="G191" s="94" t="str">
        <f t="shared" si="2"/>
        <v/>
      </c>
      <c r="H191" s="94" t="str">
        <f t="shared" si="3"/>
        <v/>
      </c>
      <c r="I191" s="94" t="str">
        <f t="shared" ref="I191:J191" si="192">if(G191 = "", , -G191)</f>
        <v/>
      </c>
      <c r="J191" s="94" t="str">
        <f t="shared" si="192"/>
        <v/>
      </c>
      <c r="K191" s="100"/>
      <c r="M191" s="100"/>
      <c r="N191" s="100"/>
      <c r="O191" s="100"/>
      <c r="P191" s="100"/>
    </row>
    <row r="192">
      <c r="A192" s="107">
        <v>2546.0</v>
      </c>
      <c r="B192" s="108" t="s">
        <v>215</v>
      </c>
      <c r="C192" s="108" t="s">
        <v>249</v>
      </c>
      <c r="D192" s="112" t="s">
        <v>178</v>
      </c>
      <c r="E192" s="112">
        <v>1794.0</v>
      </c>
      <c r="F192" s="111" t="str">
        <f>DataPull!D192</f>
        <v/>
      </c>
      <c r="G192" s="94" t="str">
        <f t="shared" si="2"/>
        <v/>
      </c>
      <c r="H192" s="94" t="str">
        <f t="shared" si="3"/>
        <v/>
      </c>
      <c r="I192" s="94" t="str">
        <f t="shared" ref="I192:J192" si="193">if(G192 = "", , -G192)</f>
        <v/>
      </c>
      <c r="J192" s="94" t="str">
        <f t="shared" si="193"/>
        <v/>
      </c>
      <c r="K192" s="100"/>
      <c r="M192" s="100"/>
      <c r="N192" s="100"/>
      <c r="O192" s="100"/>
      <c r="P192" s="100"/>
    </row>
    <row r="193">
      <c r="A193" s="107">
        <v>2547.0</v>
      </c>
      <c r="B193" s="108" t="s">
        <v>85</v>
      </c>
      <c r="C193" s="108" t="s">
        <v>250</v>
      </c>
      <c r="D193" s="112" t="s">
        <v>184</v>
      </c>
      <c r="E193" s="112">
        <v>2528.0</v>
      </c>
      <c r="F193" s="111" t="str">
        <f>DataPull!D193</f>
        <v/>
      </c>
      <c r="G193" s="94" t="str">
        <f t="shared" si="2"/>
        <v/>
      </c>
      <c r="H193" s="94" t="str">
        <f t="shared" si="3"/>
        <v/>
      </c>
      <c r="I193" s="94" t="str">
        <f t="shared" ref="I193:J193" si="194">if(G193 = "", , -G193)</f>
        <v/>
      </c>
      <c r="J193" s="94" t="str">
        <f t="shared" si="194"/>
        <v/>
      </c>
      <c r="K193" s="100"/>
      <c r="M193" s="100"/>
      <c r="N193" s="100"/>
      <c r="O193" s="100"/>
      <c r="P193" s="100"/>
    </row>
    <row r="194">
      <c r="A194" s="107">
        <v>2547.0</v>
      </c>
      <c r="B194" s="108" t="s">
        <v>90</v>
      </c>
      <c r="C194" s="108" t="s">
        <v>250</v>
      </c>
      <c r="D194" s="112" t="s">
        <v>178</v>
      </c>
      <c r="E194" s="112">
        <v>1557.6</v>
      </c>
      <c r="F194" s="111" t="str">
        <f>DataPull!D194</f>
        <v/>
      </c>
      <c r="G194" s="94" t="str">
        <f t="shared" si="2"/>
        <v/>
      </c>
      <c r="H194" s="94" t="str">
        <f t="shared" si="3"/>
        <v/>
      </c>
      <c r="I194" s="94" t="str">
        <f t="shared" ref="I194:J194" si="195">if(G194 = "", , -G194)</f>
        <v/>
      </c>
      <c r="J194" s="94" t="str">
        <f t="shared" si="195"/>
        <v/>
      </c>
      <c r="K194" s="100"/>
      <c r="M194" s="100"/>
      <c r="N194" s="100"/>
      <c r="O194" s="100"/>
      <c r="P194" s="100"/>
    </row>
    <row r="195">
      <c r="A195" s="107">
        <v>2547.0</v>
      </c>
      <c r="B195" s="108" t="s">
        <v>92</v>
      </c>
      <c r="C195" s="108" t="s">
        <v>250</v>
      </c>
      <c r="D195" s="112" t="s">
        <v>184</v>
      </c>
      <c r="E195" s="112">
        <v>1775.5</v>
      </c>
      <c r="F195" s="111" t="str">
        <f>DataPull!D195</f>
        <v/>
      </c>
      <c r="G195" s="94" t="str">
        <f t="shared" si="2"/>
        <v/>
      </c>
      <c r="H195" s="94" t="str">
        <f t="shared" si="3"/>
        <v/>
      </c>
      <c r="I195" s="94" t="str">
        <f t="shared" ref="I195:J195" si="196">if(G195 = "", , -G195)</f>
        <v/>
      </c>
      <c r="J195" s="94" t="str">
        <f t="shared" si="196"/>
        <v/>
      </c>
      <c r="K195" s="100"/>
      <c r="M195" s="100"/>
      <c r="N195" s="100"/>
      <c r="O195" s="100"/>
      <c r="P195" s="100"/>
    </row>
    <row r="196">
      <c r="A196" s="107">
        <v>2548.0</v>
      </c>
      <c r="B196" s="108" t="s">
        <v>85</v>
      </c>
      <c r="C196" s="108" t="s">
        <v>251</v>
      </c>
      <c r="D196" s="112" t="s">
        <v>178</v>
      </c>
      <c r="E196" s="112">
        <v>1776.6</v>
      </c>
      <c r="F196" s="111" t="str">
        <f>DataPull!D196</f>
        <v/>
      </c>
      <c r="G196" s="94" t="str">
        <f t="shared" si="2"/>
        <v/>
      </c>
      <c r="H196" s="94" t="str">
        <f t="shared" si="3"/>
        <v/>
      </c>
      <c r="I196" s="94" t="str">
        <f t="shared" ref="I196:J196" si="197">if(G196 = "", , -G196)</f>
        <v/>
      </c>
      <c r="J196" s="94" t="str">
        <f t="shared" si="197"/>
        <v/>
      </c>
      <c r="K196" s="100"/>
      <c r="L196" s="100"/>
      <c r="N196" s="100"/>
      <c r="O196" s="100"/>
      <c r="P196" s="100"/>
    </row>
    <row r="197">
      <c r="A197" s="107">
        <v>2548.0</v>
      </c>
      <c r="B197" s="108" t="s">
        <v>90</v>
      </c>
      <c r="C197" s="108" t="s">
        <v>251</v>
      </c>
      <c r="D197" s="112" t="s">
        <v>178</v>
      </c>
      <c r="E197" s="112">
        <v>1971.6</v>
      </c>
      <c r="F197" s="111" t="str">
        <f>DataPull!D197</f>
        <v/>
      </c>
      <c r="G197" s="94" t="str">
        <f t="shared" si="2"/>
        <v/>
      </c>
      <c r="H197" s="94" t="str">
        <f t="shared" si="3"/>
        <v/>
      </c>
      <c r="I197" s="94" t="str">
        <f t="shared" ref="I197:J197" si="198">if(G197 = "", , -G197)</f>
        <v/>
      </c>
      <c r="J197" s="94" t="str">
        <f t="shared" si="198"/>
        <v/>
      </c>
      <c r="K197" s="100"/>
      <c r="N197" s="100"/>
      <c r="O197" s="100"/>
      <c r="P197" s="100"/>
    </row>
    <row r="198">
      <c r="A198" s="107">
        <v>2548.0</v>
      </c>
      <c r="B198" s="108" t="s">
        <v>92</v>
      </c>
      <c r="C198" s="108" t="s">
        <v>251</v>
      </c>
      <c r="D198" s="112" t="s">
        <v>178</v>
      </c>
      <c r="E198" s="112">
        <v>2257.0</v>
      </c>
      <c r="F198" s="111" t="str">
        <f>DataPull!D198</f>
        <v/>
      </c>
      <c r="G198" s="94" t="str">
        <f t="shared" si="2"/>
        <v/>
      </c>
      <c r="H198" s="94" t="str">
        <f t="shared" si="3"/>
        <v/>
      </c>
      <c r="I198" s="94" t="str">
        <f t="shared" ref="I198:J198" si="199">if(G198 = "", , -G198)</f>
        <v/>
      </c>
      <c r="J198" s="94" t="str">
        <f t="shared" si="199"/>
        <v/>
      </c>
      <c r="K198" s="100"/>
      <c r="M198" s="100"/>
      <c r="N198" s="100"/>
      <c r="O198" s="100"/>
      <c r="P198" s="100"/>
    </row>
    <row r="199">
      <c r="A199" s="107">
        <v>2548.0</v>
      </c>
      <c r="B199" s="108" t="s">
        <v>190</v>
      </c>
      <c r="C199" s="108" t="s">
        <v>251</v>
      </c>
      <c r="D199" s="112" t="s">
        <v>178</v>
      </c>
      <c r="E199" s="112">
        <v>1794.0</v>
      </c>
      <c r="F199" s="111" t="str">
        <f>DataPull!D199</f>
        <v/>
      </c>
      <c r="G199" s="94" t="str">
        <f t="shared" si="2"/>
        <v/>
      </c>
      <c r="H199" s="94" t="str">
        <f t="shared" si="3"/>
        <v/>
      </c>
      <c r="I199" s="94" t="str">
        <f t="shared" ref="I199:J199" si="200">if(G199 = "", , -G199)</f>
        <v/>
      </c>
      <c r="J199" s="94" t="str">
        <f t="shared" si="200"/>
        <v/>
      </c>
      <c r="K199" s="100"/>
      <c r="M199" s="100"/>
      <c r="N199" s="100"/>
      <c r="O199" s="100"/>
      <c r="P199" s="100"/>
    </row>
    <row r="200">
      <c r="A200" s="107">
        <v>2548.0</v>
      </c>
      <c r="B200" s="108" t="s">
        <v>191</v>
      </c>
      <c r="C200" s="108" t="s">
        <v>251</v>
      </c>
      <c r="D200" s="112" t="s">
        <v>176</v>
      </c>
      <c r="E200" s="112">
        <v>1534.3</v>
      </c>
      <c r="F200" s="111" t="str">
        <f>DataPull!D200</f>
        <v/>
      </c>
      <c r="G200" s="94" t="str">
        <f t="shared" si="2"/>
        <v/>
      </c>
      <c r="H200" s="94" t="str">
        <f t="shared" si="3"/>
        <v/>
      </c>
      <c r="I200" s="94" t="str">
        <f t="shared" ref="I200:J200" si="201">if(G200 = "", , -G200)</f>
        <v/>
      </c>
      <c r="J200" s="94" t="str">
        <f t="shared" si="201"/>
        <v/>
      </c>
      <c r="K200" s="100"/>
      <c r="M200" s="100"/>
      <c r="N200" s="100"/>
      <c r="O200" s="100"/>
      <c r="P200" s="100"/>
    </row>
    <row r="201">
      <c r="A201" s="107">
        <v>2548.0</v>
      </c>
      <c r="B201" s="108" t="s">
        <v>192</v>
      </c>
      <c r="C201" s="108" t="s">
        <v>251</v>
      </c>
      <c r="D201" s="112" t="s">
        <v>178</v>
      </c>
      <c r="E201" s="112">
        <v>1886.4</v>
      </c>
      <c r="F201" s="111" t="str">
        <f>DataPull!D201</f>
        <v/>
      </c>
      <c r="G201" s="94" t="str">
        <f t="shared" si="2"/>
        <v/>
      </c>
      <c r="H201" s="94" t="str">
        <f t="shared" si="3"/>
        <v/>
      </c>
      <c r="I201" s="94" t="str">
        <f t="shared" ref="I201:J201" si="202">if(G201 = "", , -G201)</f>
        <v/>
      </c>
      <c r="J201" s="94" t="str">
        <f t="shared" si="202"/>
        <v/>
      </c>
      <c r="K201" s="100"/>
      <c r="M201" s="100"/>
      <c r="N201" s="100"/>
      <c r="O201" s="100"/>
      <c r="P201" s="100"/>
    </row>
    <row r="202">
      <c r="A202" s="107">
        <v>2549.0</v>
      </c>
      <c r="B202" s="108" t="s">
        <v>85</v>
      </c>
      <c r="C202" s="108" t="s">
        <v>252</v>
      </c>
      <c r="D202" s="112" t="s">
        <v>177</v>
      </c>
      <c r="E202" s="112">
        <v>737.1</v>
      </c>
      <c r="F202" s="111" t="str">
        <f>DataPull!D202</f>
        <v/>
      </c>
      <c r="G202" s="94" t="str">
        <f t="shared" si="2"/>
        <v/>
      </c>
      <c r="H202" s="94" t="str">
        <f t="shared" si="3"/>
        <v/>
      </c>
      <c r="I202" s="94" t="str">
        <f t="shared" ref="I202:J202" si="203">if(G202 = "", , -G202)</f>
        <v/>
      </c>
      <c r="J202" s="94" t="str">
        <f t="shared" si="203"/>
        <v/>
      </c>
      <c r="K202" s="100"/>
      <c r="M202" s="100"/>
      <c r="N202" s="100"/>
      <c r="O202" s="100"/>
      <c r="P202" s="100"/>
    </row>
    <row r="203">
      <c r="A203" s="107">
        <v>2549.0</v>
      </c>
      <c r="B203" s="108" t="s">
        <v>90</v>
      </c>
      <c r="C203" s="108" t="s">
        <v>252</v>
      </c>
      <c r="D203" s="112" t="s">
        <v>176</v>
      </c>
      <c r="E203" s="112">
        <v>1398.6</v>
      </c>
      <c r="F203" s="111" t="str">
        <f>DataPull!D203</f>
        <v/>
      </c>
      <c r="G203" s="94" t="str">
        <f t="shared" si="2"/>
        <v/>
      </c>
      <c r="H203" s="94" t="str">
        <f t="shared" si="3"/>
        <v/>
      </c>
      <c r="I203" s="94" t="str">
        <f t="shared" ref="I203:J203" si="204">if(G203 = "", , -G203)</f>
        <v/>
      </c>
      <c r="J203" s="94" t="str">
        <f t="shared" si="204"/>
        <v/>
      </c>
      <c r="K203" s="100"/>
      <c r="M203" s="100"/>
      <c r="N203" s="100"/>
      <c r="O203" s="100"/>
      <c r="P203" s="100"/>
    </row>
    <row r="204">
      <c r="A204" s="107">
        <v>2549.0</v>
      </c>
      <c r="B204" s="108" t="s">
        <v>92</v>
      </c>
      <c r="C204" s="108" t="s">
        <v>252</v>
      </c>
      <c r="D204" s="112" t="s">
        <v>187</v>
      </c>
      <c r="E204" s="112">
        <v>112.0</v>
      </c>
      <c r="F204" s="111" t="str">
        <f>DataPull!D204</f>
        <v/>
      </c>
      <c r="G204" s="94" t="str">
        <f t="shared" si="2"/>
        <v/>
      </c>
      <c r="H204" s="94" t="str">
        <f t="shared" si="3"/>
        <v/>
      </c>
      <c r="I204" s="94" t="str">
        <f t="shared" ref="I204:J204" si="205">if(G204 = "", , -G204)</f>
        <v/>
      </c>
      <c r="J204" s="94" t="str">
        <f t="shared" si="205"/>
        <v/>
      </c>
      <c r="K204" s="100"/>
      <c r="M204" s="100"/>
      <c r="N204" s="100"/>
      <c r="O204" s="100"/>
      <c r="P204" s="100"/>
    </row>
    <row r="205">
      <c r="A205" s="107">
        <v>2550.0</v>
      </c>
      <c r="B205" s="108" t="s">
        <v>85</v>
      </c>
      <c r="C205" s="108" t="s">
        <v>253</v>
      </c>
      <c r="D205" s="112" t="s">
        <v>176</v>
      </c>
      <c r="E205" s="112">
        <v>2117.0</v>
      </c>
      <c r="F205" s="111" t="str">
        <f>DataPull!D205</f>
        <v/>
      </c>
      <c r="G205" s="94" t="str">
        <f t="shared" si="2"/>
        <v/>
      </c>
      <c r="H205" s="94" t="str">
        <f t="shared" si="3"/>
        <v/>
      </c>
      <c r="I205" s="94" t="str">
        <f t="shared" ref="I205:J205" si="206">if(G205 = "", , -G205)</f>
        <v/>
      </c>
      <c r="J205" s="94" t="str">
        <f t="shared" si="206"/>
        <v/>
      </c>
      <c r="K205" s="100"/>
      <c r="M205" s="100"/>
      <c r="N205" s="100"/>
      <c r="O205" s="100"/>
      <c r="P205" s="100"/>
    </row>
    <row r="206">
      <c r="A206" s="107">
        <v>2550.0</v>
      </c>
      <c r="B206" s="108" t="s">
        <v>90</v>
      </c>
      <c r="C206" s="108" t="s">
        <v>253</v>
      </c>
      <c r="D206" s="112" t="s">
        <v>176</v>
      </c>
      <c r="E206" s="112">
        <v>1610.4</v>
      </c>
      <c r="F206" s="111" t="str">
        <f>DataPull!D206</f>
        <v/>
      </c>
      <c r="G206" s="94" t="str">
        <f t="shared" si="2"/>
        <v/>
      </c>
      <c r="H206" s="94" t="str">
        <f t="shared" si="3"/>
        <v/>
      </c>
      <c r="I206" s="94" t="str">
        <f t="shared" ref="I206:J206" si="207">if(G206 = "", , -G206)</f>
        <v/>
      </c>
      <c r="J206" s="94" t="str">
        <f t="shared" si="207"/>
        <v/>
      </c>
      <c r="K206" s="100"/>
      <c r="M206" s="100"/>
      <c r="N206" s="100"/>
      <c r="O206" s="100"/>
      <c r="P206" s="100"/>
    </row>
    <row r="207">
      <c r="A207" s="107">
        <v>2550.0</v>
      </c>
      <c r="B207" s="108" t="s">
        <v>92</v>
      </c>
      <c r="C207" s="108" t="s">
        <v>253</v>
      </c>
      <c r="D207" s="112" t="s">
        <v>177</v>
      </c>
      <c r="E207" s="112">
        <v>630.2</v>
      </c>
      <c r="F207" s="111" t="str">
        <f>DataPull!D207</f>
        <v/>
      </c>
      <c r="G207" s="94" t="str">
        <f t="shared" si="2"/>
        <v/>
      </c>
      <c r="H207" s="94" t="str">
        <f t="shared" si="3"/>
        <v/>
      </c>
      <c r="I207" s="94" t="str">
        <f t="shared" ref="I207:J207" si="208">if(G207 = "", , -G207)</f>
        <v/>
      </c>
      <c r="J207" s="94" t="str">
        <f t="shared" si="208"/>
        <v/>
      </c>
      <c r="K207" s="100"/>
      <c r="M207" s="100"/>
      <c r="N207" s="100"/>
      <c r="O207" s="100"/>
      <c r="P207" s="100"/>
    </row>
    <row r="208">
      <c r="A208" s="107">
        <v>2555.0</v>
      </c>
      <c r="B208" s="108" t="s">
        <v>85</v>
      </c>
      <c r="C208" s="108" t="s">
        <v>254</v>
      </c>
      <c r="D208" s="112" t="s">
        <v>177</v>
      </c>
      <c r="E208" s="112">
        <v>1352.7</v>
      </c>
      <c r="F208" s="111" t="str">
        <f>DataPull!D208</f>
        <v/>
      </c>
      <c r="G208" s="94" t="str">
        <f t="shared" si="2"/>
        <v/>
      </c>
      <c r="H208" s="94" t="str">
        <f t="shared" si="3"/>
        <v/>
      </c>
      <c r="I208" s="94" t="str">
        <f t="shared" ref="I208:J208" si="209">if(G208 = "", , -G208)</f>
        <v/>
      </c>
      <c r="J208" s="94" t="str">
        <f t="shared" si="209"/>
        <v/>
      </c>
      <c r="K208" s="100"/>
      <c r="M208" s="100"/>
      <c r="N208" s="100"/>
      <c r="O208" s="100"/>
      <c r="P208" s="100"/>
    </row>
    <row r="209">
      <c r="A209" s="107">
        <v>2555.0</v>
      </c>
      <c r="B209" s="108" t="s">
        <v>90</v>
      </c>
      <c r="C209" s="108" t="s">
        <v>254</v>
      </c>
      <c r="D209" s="112" t="s">
        <v>177</v>
      </c>
      <c r="E209" s="112">
        <v>1102.2</v>
      </c>
      <c r="F209" s="111" t="str">
        <f>DataPull!D209</f>
        <v/>
      </c>
      <c r="G209" s="94" t="str">
        <f t="shared" si="2"/>
        <v/>
      </c>
      <c r="H209" s="94" t="str">
        <f t="shared" si="3"/>
        <v/>
      </c>
      <c r="I209" s="94" t="str">
        <f t="shared" ref="I209:J209" si="210">if(G209 = "", , -G209)</f>
        <v/>
      </c>
      <c r="J209" s="94" t="str">
        <f t="shared" si="210"/>
        <v/>
      </c>
      <c r="K209" s="100"/>
      <c r="M209" s="100"/>
      <c r="N209" s="100"/>
      <c r="O209" s="100"/>
      <c r="P209" s="100"/>
    </row>
    <row r="210">
      <c r="A210" s="107">
        <v>2555.0</v>
      </c>
      <c r="B210" s="108" t="s">
        <v>92</v>
      </c>
      <c r="C210" s="108" t="s">
        <v>254</v>
      </c>
      <c r="D210" s="112" t="s">
        <v>177</v>
      </c>
      <c r="E210" s="112">
        <v>702.1</v>
      </c>
      <c r="F210" s="111" t="str">
        <f>DataPull!D210</f>
        <v/>
      </c>
      <c r="G210" s="94" t="str">
        <f t="shared" si="2"/>
        <v/>
      </c>
      <c r="H210" s="94" t="str">
        <f t="shared" si="3"/>
        <v/>
      </c>
      <c r="I210" s="94" t="str">
        <f t="shared" ref="I210:J210" si="211">if(G210 = "", , -G210)</f>
        <v/>
      </c>
      <c r="J210" s="94" t="str">
        <f t="shared" si="211"/>
        <v/>
      </c>
      <c r="K210" s="100"/>
      <c r="M210" s="100"/>
      <c r="N210" s="100"/>
      <c r="O210" s="100"/>
      <c r="P210" s="100"/>
    </row>
    <row r="211">
      <c r="A211" s="107">
        <v>2555.0</v>
      </c>
      <c r="B211" s="108" t="s">
        <v>190</v>
      </c>
      <c r="C211" s="108" t="s">
        <v>254</v>
      </c>
      <c r="D211" s="112" t="s">
        <v>187</v>
      </c>
      <c r="E211" s="112">
        <v>128.0</v>
      </c>
      <c r="F211" s="111" t="str">
        <f>DataPull!D211</f>
        <v/>
      </c>
      <c r="G211" s="94" t="str">
        <f t="shared" si="2"/>
        <v/>
      </c>
      <c r="H211" s="94" t="str">
        <f t="shared" si="3"/>
        <v/>
      </c>
      <c r="I211" s="94" t="str">
        <f t="shared" ref="I211:J211" si="212">if(G211 = "", , -G211)</f>
        <v/>
      </c>
      <c r="J211" s="94" t="str">
        <f t="shared" si="212"/>
        <v/>
      </c>
      <c r="K211" s="100"/>
      <c r="M211" s="100"/>
      <c r="N211" s="100"/>
      <c r="O211" s="100"/>
      <c r="P211" s="100"/>
    </row>
    <row r="212">
      <c r="A212" s="107">
        <v>2555.0</v>
      </c>
      <c r="B212" s="108" t="s">
        <v>191</v>
      </c>
      <c r="C212" s="108" t="s">
        <v>254</v>
      </c>
      <c r="D212" s="112" t="s">
        <v>187</v>
      </c>
      <c r="E212" s="112">
        <v>75.0</v>
      </c>
      <c r="F212" s="111" t="str">
        <f>DataPull!D212</f>
        <v/>
      </c>
      <c r="G212" s="94" t="str">
        <f t="shared" si="2"/>
        <v/>
      </c>
      <c r="H212" s="94" t="str">
        <f t="shared" si="3"/>
        <v/>
      </c>
      <c r="I212" s="94" t="str">
        <f t="shared" ref="I212:J212" si="213">if(G212 = "", , -G212)</f>
        <v/>
      </c>
      <c r="J212" s="94" t="str">
        <f t="shared" si="213"/>
        <v/>
      </c>
      <c r="K212" s="100"/>
      <c r="M212" s="100"/>
      <c r="N212" s="100"/>
      <c r="O212" s="100"/>
      <c r="P212" s="100"/>
    </row>
    <row r="213">
      <c r="A213" s="107">
        <v>2557.0</v>
      </c>
      <c r="B213" s="108" t="s">
        <v>85</v>
      </c>
      <c r="C213" s="108" t="s">
        <v>255</v>
      </c>
      <c r="D213" s="112" t="s">
        <v>176</v>
      </c>
      <c r="E213" s="112">
        <v>1140.7</v>
      </c>
      <c r="F213" s="111" t="str">
        <f>DataPull!D213</f>
        <v/>
      </c>
      <c r="G213" s="94" t="str">
        <f t="shared" si="2"/>
        <v/>
      </c>
      <c r="H213" s="94" t="str">
        <f t="shared" si="3"/>
        <v/>
      </c>
      <c r="I213" s="94" t="str">
        <f t="shared" ref="I213:J213" si="214">if(G213 = "", , -G213)</f>
        <v/>
      </c>
      <c r="J213" s="94" t="str">
        <f t="shared" si="214"/>
        <v/>
      </c>
      <c r="K213" s="100"/>
      <c r="L213" s="100"/>
      <c r="N213" s="100"/>
      <c r="O213" s="100"/>
      <c r="P213" s="100"/>
    </row>
    <row r="214">
      <c r="A214" s="107">
        <v>2557.0</v>
      </c>
      <c r="B214" s="108" t="s">
        <v>90</v>
      </c>
      <c r="C214" s="108" t="s">
        <v>255</v>
      </c>
      <c r="D214" s="112" t="s">
        <v>177</v>
      </c>
      <c r="E214" s="112">
        <v>681.5</v>
      </c>
      <c r="F214" s="111" t="str">
        <f>DataPull!D214</f>
        <v/>
      </c>
      <c r="G214" s="94" t="str">
        <f t="shared" si="2"/>
        <v/>
      </c>
      <c r="H214" s="94" t="str">
        <f t="shared" si="3"/>
        <v/>
      </c>
      <c r="I214" s="94" t="str">
        <f t="shared" ref="I214:J214" si="215">if(G214 = "", , -G214)</f>
        <v/>
      </c>
      <c r="J214" s="94" t="str">
        <f t="shared" si="215"/>
        <v/>
      </c>
      <c r="K214" s="100"/>
      <c r="M214" s="100"/>
      <c r="N214" s="100"/>
      <c r="O214" s="100"/>
      <c r="P214" s="100"/>
    </row>
    <row r="215">
      <c r="A215" s="107">
        <v>2561.0</v>
      </c>
      <c r="B215" s="108" t="s">
        <v>85</v>
      </c>
      <c r="C215" s="108" t="s">
        <v>256</v>
      </c>
      <c r="D215" s="112" t="s">
        <v>178</v>
      </c>
      <c r="E215" s="112">
        <v>2472.0</v>
      </c>
      <c r="F215" s="111" t="str">
        <f>DataPull!D215</f>
        <v/>
      </c>
      <c r="G215" s="94" t="str">
        <f t="shared" si="2"/>
        <v/>
      </c>
      <c r="H215" s="94" t="str">
        <f t="shared" si="3"/>
        <v/>
      </c>
      <c r="I215" s="94" t="str">
        <f t="shared" ref="I215:J215" si="216">if(G215 = "", , -G215)</f>
        <v/>
      </c>
      <c r="J215" s="94" t="str">
        <f t="shared" si="216"/>
        <v/>
      </c>
      <c r="K215" s="100"/>
      <c r="M215" s="100"/>
      <c r="N215" s="100"/>
      <c r="O215" s="100"/>
      <c r="P215" s="100"/>
    </row>
    <row r="216">
      <c r="A216" s="107">
        <v>2561.0</v>
      </c>
      <c r="B216" s="108" t="s">
        <v>90</v>
      </c>
      <c r="C216" s="108" t="s">
        <v>256</v>
      </c>
      <c r="D216" s="112" t="s">
        <v>178</v>
      </c>
      <c r="E216" s="112">
        <v>1894.2</v>
      </c>
      <c r="F216" s="111" t="str">
        <f>DataPull!D216</f>
        <v/>
      </c>
      <c r="G216" s="94" t="str">
        <f t="shared" si="2"/>
        <v/>
      </c>
      <c r="H216" s="94" t="str">
        <f t="shared" si="3"/>
        <v/>
      </c>
      <c r="I216" s="94" t="str">
        <f t="shared" ref="I216:J216" si="217">if(G216 = "", , -G216)</f>
        <v/>
      </c>
      <c r="J216" s="94" t="str">
        <f t="shared" si="217"/>
        <v/>
      </c>
      <c r="K216" s="100"/>
      <c r="M216" s="100"/>
      <c r="N216" s="100"/>
      <c r="O216" s="100"/>
      <c r="P216" s="100"/>
    </row>
    <row r="217">
      <c r="A217" s="107">
        <v>2561.0</v>
      </c>
      <c r="B217" s="108" t="s">
        <v>92</v>
      </c>
      <c r="C217" s="108" t="s">
        <v>256</v>
      </c>
      <c r="D217" s="112" t="s">
        <v>177</v>
      </c>
      <c r="E217" s="112">
        <v>1404.0</v>
      </c>
      <c r="F217" s="111" t="str">
        <f>DataPull!D217</f>
        <v/>
      </c>
      <c r="G217" s="94" t="str">
        <f t="shared" si="2"/>
        <v/>
      </c>
      <c r="H217" s="94" t="str">
        <f t="shared" si="3"/>
        <v/>
      </c>
      <c r="I217" s="94" t="str">
        <f t="shared" ref="I217:J217" si="218">if(G217 = "", , -G217)</f>
        <v/>
      </c>
      <c r="J217" s="94" t="str">
        <f t="shared" si="218"/>
        <v/>
      </c>
      <c r="K217" s="100"/>
      <c r="M217" s="100"/>
      <c r="N217" s="100"/>
      <c r="O217" s="100"/>
      <c r="P217" s="100"/>
    </row>
    <row r="218">
      <c r="A218" s="107">
        <v>2561.0</v>
      </c>
      <c r="B218" s="108" t="s">
        <v>190</v>
      </c>
      <c r="C218" s="108" t="s">
        <v>256</v>
      </c>
      <c r="D218" s="112" t="s">
        <v>177</v>
      </c>
      <c r="E218" s="112">
        <v>856.8</v>
      </c>
      <c r="F218" s="111" t="str">
        <f>DataPull!D218</f>
        <v/>
      </c>
      <c r="G218" s="94" t="str">
        <f t="shared" si="2"/>
        <v/>
      </c>
      <c r="H218" s="94" t="str">
        <f t="shared" si="3"/>
        <v/>
      </c>
      <c r="I218" s="94" t="str">
        <f t="shared" ref="I218:J218" si="219">if(G218 = "", , -G218)</f>
        <v/>
      </c>
      <c r="J218" s="94" t="str">
        <f t="shared" si="219"/>
        <v/>
      </c>
      <c r="K218" s="100"/>
      <c r="M218" s="100"/>
      <c r="N218" s="100"/>
      <c r="O218" s="100"/>
      <c r="P218" s="100"/>
    </row>
    <row r="219">
      <c r="A219" s="107">
        <v>2561.0</v>
      </c>
      <c r="B219" s="108" t="s">
        <v>191</v>
      </c>
      <c r="C219" s="108" t="s">
        <v>256</v>
      </c>
      <c r="D219" s="112" t="s">
        <v>177</v>
      </c>
      <c r="E219" s="112">
        <v>1000.1</v>
      </c>
      <c r="F219" s="111" t="str">
        <f>DataPull!D219</f>
        <v/>
      </c>
      <c r="G219" s="94" t="str">
        <f t="shared" si="2"/>
        <v/>
      </c>
      <c r="H219" s="94" t="str">
        <f t="shared" si="3"/>
        <v/>
      </c>
      <c r="I219" s="94" t="str">
        <f t="shared" ref="I219:J219" si="220">if(G219 = "", , -G219)</f>
        <v/>
      </c>
      <c r="J219" s="94" t="str">
        <f t="shared" si="220"/>
        <v/>
      </c>
      <c r="K219" s="100"/>
      <c r="M219" s="100"/>
      <c r="N219" s="100"/>
      <c r="O219" s="100"/>
      <c r="P219" s="100"/>
    </row>
    <row r="220">
      <c r="A220" s="107">
        <v>2563.0</v>
      </c>
      <c r="B220" s="108" t="s">
        <v>90</v>
      </c>
      <c r="C220" s="108" t="s">
        <v>257</v>
      </c>
      <c r="D220" s="112" t="s">
        <v>187</v>
      </c>
      <c r="E220" s="112">
        <v>122.1</v>
      </c>
      <c r="F220" s="111" t="str">
        <f>DataPull!D220</f>
        <v/>
      </c>
      <c r="G220" s="94" t="str">
        <f t="shared" si="2"/>
        <v/>
      </c>
      <c r="H220" s="94" t="str">
        <f t="shared" si="3"/>
        <v/>
      </c>
      <c r="I220" s="94" t="str">
        <f t="shared" ref="I220:J220" si="221">if(G220 = "", , -G220)</f>
        <v/>
      </c>
      <c r="J220" s="94" t="str">
        <f t="shared" si="221"/>
        <v/>
      </c>
      <c r="K220" s="100"/>
      <c r="M220" s="100"/>
      <c r="N220" s="100"/>
      <c r="O220" s="100"/>
      <c r="P220" s="100"/>
    </row>
    <row r="221">
      <c r="A221" s="107">
        <v>2563.0</v>
      </c>
      <c r="B221" s="108" t="s">
        <v>92</v>
      </c>
      <c r="C221" s="108" t="s">
        <v>257</v>
      </c>
      <c r="D221" s="112" t="s">
        <v>181</v>
      </c>
      <c r="E221" s="112">
        <v>42.4</v>
      </c>
      <c r="F221" s="111" t="str">
        <f>DataPull!D221</f>
        <v/>
      </c>
      <c r="G221" s="94" t="str">
        <f t="shared" si="2"/>
        <v/>
      </c>
      <c r="H221" s="94" t="str">
        <f t="shared" si="3"/>
        <v/>
      </c>
      <c r="I221" s="94" t="str">
        <f t="shared" ref="I221:J221" si="222">if(G221 = "", , -G221)</f>
        <v/>
      </c>
      <c r="J221" s="94" t="str">
        <f t="shared" si="222"/>
        <v/>
      </c>
      <c r="K221" s="100"/>
      <c r="M221" s="100"/>
      <c r="N221" s="100"/>
      <c r="O221" s="100"/>
      <c r="P221" s="100"/>
    </row>
    <row r="222">
      <c r="A222" s="107">
        <v>2563.0</v>
      </c>
      <c r="B222" s="108" t="s">
        <v>190</v>
      </c>
      <c r="C222" s="108" t="s">
        <v>257</v>
      </c>
      <c r="D222" s="112" t="s">
        <v>181</v>
      </c>
      <c r="E222" s="112">
        <v>12.0</v>
      </c>
      <c r="F222" s="111" t="str">
        <f>DataPull!D222</f>
        <v/>
      </c>
      <c r="G222" s="94" t="str">
        <f t="shared" si="2"/>
        <v/>
      </c>
      <c r="H222" s="94" t="str">
        <f t="shared" si="3"/>
        <v/>
      </c>
      <c r="I222" s="94" t="str">
        <f t="shared" ref="I222:J222" si="223">if(G222 = "", , -G222)</f>
        <v/>
      </c>
      <c r="J222" s="94" t="str">
        <f t="shared" si="223"/>
        <v/>
      </c>
      <c r="K222" s="100"/>
      <c r="L222" s="100"/>
      <c r="N222" s="100"/>
      <c r="O222" s="100"/>
      <c r="P222" s="100"/>
    </row>
    <row r="223">
      <c r="A223" s="107">
        <v>2564.0</v>
      </c>
      <c r="B223" s="108" t="s">
        <v>85</v>
      </c>
      <c r="C223" s="108" t="s">
        <v>258</v>
      </c>
      <c r="D223" s="112" t="s">
        <v>178</v>
      </c>
      <c r="E223" s="112">
        <v>1975.0</v>
      </c>
      <c r="F223" s="111" t="str">
        <f>DataPull!D223</f>
        <v/>
      </c>
      <c r="G223" s="94" t="str">
        <f t="shared" si="2"/>
        <v/>
      </c>
      <c r="H223" s="94" t="str">
        <f t="shared" si="3"/>
        <v/>
      </c>
      <c r="I223" s="94" t="str">
        <f t="shared" ref="I223:J223" si="224">if(G223 = "", , -G223)</f>
        <v/>
      </c>
      <c r="J223" s="94" t="str">
        <f t="shared" si="224"/>
        <v/>
      </c>
      <c r="K223" s="100"/>
      <c r="M223" s="100"/>
      <c r="N223" s="100"/>
      <c r="O223" s="100"/>
      <c r="P223" s="100"/>
    </row>
    <row r="224">
      <c r="A224" s="107">
        <v>2564.0</v>
      </c>
      <c r="B224" s="108" t="s">
        <v>90</v>
      </c>
      <c r="C224" s="108" t="s">
        <v>258</v>
      </c>
      <c r="D224" s="112" t="s">
        <v>178</v>
      </c>
      <c r="E224" s="112">
        <v>1984.5</v>
      </c>
      <c r="F224" s="111" t="str">
        <f>DataPull!D224</f>
        <v/>
      </c>
      <c r="G224" s="94" t="str">
        <f t="shared" si="2"/>
        <v/>
      </c>
      <c r="H224" s="94" t="str">
        <f t="shared" si="3"/>
        <v/>
      </c>
      <c r="I224" s="94" t="str">
        <f t="shared" ref="I224:J224" si="225">if(G224 = "", , -G224)</f>
        <v/>
      </c>
      <c r="J224" s="94" t="str">
        <f t="shared" si="225"/>
        <v/>
      </c>
      <c r="K224" s="100"/>
      <c r="M224" s="100"/>
      <c r="N224" s="100"/>
      <c r="O224" s="100"/>
      <c r="P224" s="100"/>
    </row>
    <row r="225">
      <c r="A225" s="107">
        <v>2564.0</v>
      </c>
      <c r="B225" s="108" t="s">
        <v>92</v>
      </c>
      <c r="C225" s="108" t="s">
        <v>258</v>
      </c>
      <c r="D225" s="112" t="s">
        <v>177</v>
      </c>
      <c r="E225" s="112">
        <v>1383.2</v>
      </c>
      <c r="F225" s="111" t="str">
        <f>DataPull!D225</f>
        <v/>
      </c>
      <c r="G225" s="94" t="str">
        <f t="shared" si="2"/>
        <v/>
      </c>
      <c r="H225" s="94" t="str">
        <f t="shared" si="3"/>
        <v/>
      </c>
      <c r="I225" s="94" t="str">
        <f t="shared" ref="I225:J225" si="226">if(G225 = "", , -G225)</f>
        <v/>
      </c>
      <c r="J225" s="94" t="str">
        <f t="shared" si="226"/>
        <v/>
      </c>
      <c r="K225" s="100"/>
      <c r="M225" s="100"/>
      <c r="N225" s="100"/>
      <c r="O225" s="100"/>
      <c r="P225" s="100"/>
    </row>
    <row r="226">
      <c r="A226" s="107">
        <v>2564.0</v>
      </c>
      <c r="B226" s="108" t="s">
        <v>190</v>
      </c>
      <c r="C226" s="108" t="s">
        <v>258</v>
      </c>
      <c r="D226" s="112" t="s">
        <v>177</v>
      </c>
      <c r="E226" s="112">
        <v>1284.8</v>
      </c>
      <c r="F226" s="111" t="str">
        <f>DataPull!D226</f>
        <v/>
      </c>
      <c r="G226" s="94" t="str">
        <f t="shared" si="2"/>
        <v/>
      </c>
      <c r="H226" s="94" t="str">
        <f t="shared" si="3"/>
        <v/>
      </c>
      <c r="I226" s="94" t="str">
        <f t="shared" ref="I226:J226" si="227">if(G226 = "", , -G226)</f>
        <v/>
      </c>
      <c r="J226" s="94" t="str">
        <f t="shared" si="227"/>
        <v/>
      </c>
      <c r="K226" s="100"/>
      <c r="M226" s="100"/>
      <c r="N226" s="100"/>
      <c r="O226" s="100"/>
      <c r="P226" s="100"/>
    </row>
    <row r="227">
      <c r="A227" s="107">
        <v>2566.0</v>
      </c>
      <c r="B227" s="108" t="s">
        <v>85</v>
      </c>
      <c r="C227" s="108" t="s">
        <v>259</v>
      </c>
      <c r="D227" s="112" t="s">
        <v>177</v>
      </c>
      <c r="E227" s="112">
        <v>1064.7</v>
      </c>
      <c r="F227" s="111" t="str">
        <f>DataPull!D227</f>
        <v/>
      </c>
      <c r="G227" s="94" t="str">
        <f t="shared" si="2"/>
        <v/>
      </c>
      <c r="H227" s="94" t="str">
        <f t="shared" si="3"/>
        <v/>
      </c>
      <c r="I227" s="94" t="str">
        <f t="shared" ref="I227:J227" si="228">if(G227 = "", , -G227)</f>
        <v/>
      </c>
      <c r="J227" s="94" t="str">
        <f t="shared" si="228"/>
        <v/>
      </c>
      <c r="K227" s="100"/>
      <c r="M227" s="100"/>
      <c r="N227" s="100"/>
      <c r="O227" s="100"/>
      <c r="P227" s="100"/>
    </row>
    <row r="228">
      <c r="A228" s="107">
        <v>2570.0</v>
      </c>
      <c r="B228" s="108" t="s">
        <v>85</v>
      </c>
      <c r="C228" s="108" t="s">
        <v>260</v>
      </c>
      <c r="D228" s="112" t="s">
        <v>177</v>
      </c>
      <c r="E228" s="112">
        <v>1209.0</v>
      </c>
      <c r="F228" s="111" t="str">
        <f>DataPull!D228</f>
        <v/>
      </c>
      <c r="G228" s="94" t="str">
        <f t="shared" si="2"/>
        <v/>
      </c>
      <c r="H228" s="94" t="str">
        <f t="shared" si="3"/>
        <v/>
      </c>
      <c r="I228" s="94" t="str">
        <f t="shared" ref="I228:J228" si="229">if(G228 = "", , -G228)</f>
        <v/>
      </c>
      <c r="J228" s="94" t="str">
        <f t="shared" si="229"/>
        <v/>
      </c>
      <c r="K228" s="100"/>
      <c r="L228" s="100"/>
      <c r="N228" s="100"/>
      <c r="O228" s="100"/>
      <c r="P228" s="100"/>
    </row>
    <row r="229">
      <c r="A229" s="107">
        <v>2570.0</v>
      </c>
      <c r="B229" s="108" t="s">
        <v>90</v>
      </c>
      <c r="C229" s="108" t="s">
        <v>260</v>
      </c>
      <c r="D229" s="112" t="s">
        <v>177</v>
      </c>
      <c r="E229" s="112">
        <v>1149.2</v>
      </c>
      <c r="F229" s="111" t="str">
        <f>DataPull!D229</f>
        <v/>
      </c>
      <c r="G229" s="94" t="str">
        <f t="shared" si="2"/>
        <v/>
      </c>
      <c r="H229" s="94" t="str">
        <f t="shared" si="3"/>
        <v/>
      </c>
      <c r="I229" s="94" t="str">
        <f t="shared" ref="I229:J229" si="230">if(G229 = "", , -G229)</f>
        <v/>
      </c>
      <c r="J229" s="94" t="str">
        <f t="shared" si="230"/>
        <v/>
      </c>
      <c r="K229" s="100"/>
      <c r="L229" s="100"/>
      <c r="M229" s="100"/>
      <c r="N229" s="100"/>
      <c r="O229" s="100"/>
      <c r="P229" s="100"/>
    </row>
    <row r="230">
      <c r="A230" s="107">
        <v>2570.0</v>
      </c>
      <c r="B230" s="108" t="s">
        <v>92</v>
      </c>
      <c r="C230" s="108" t="s">
        <v>260</v>
      </c>
      <c r="D230" s="112" t="s">
        <v>177</v>
      </c>
      <c r="E230" s="112">
        <v>540.2</v>
      </c>
      <c r="F230" s="111" t="str">
        <f>DataPull!D230</f>
        <v/>
      </c>
      <c r="G230" s="94" t="str">
        <f t="shared" si="2"/>
        <v/>
      </c>
      <c r="H230" s="94" t="str">
        <f t="shared" si="3"/>
        <v/>
      </c>
      <c r="I230" s="94" t="str">
        <f t="shared" ref="I230:J230" si="231">if(G230 = "", , -G230)</f>
        <v/>
      </c>
      <c r="J230" s="94" t="str">
        <f t="shared" si="231"/>
        <v/>
      </c>
      <c r="K230" s="100"/>
      <c r="M230" s="100"/>
      <c r="N230" s="100"/>
      <c r="O230" s="100"/>
      <c r="P230" s="100"/>
    </row>
    <row r="231">
      <c r="A231" s="107">
        <v>2570.0</v>
      </c>
      <c r="B231" s="108" t="s">
        <v>191</v>
      </c>
      <c r="C231" s="108" t="s">
        <v>260</v>
      </c>
      <c r="D231" s="112" t="s">
        <v>181</v>
      </c>
      <c r="E231" s="112">
        <v>14.5</v>
      </c>
      <c r="F231" s="111" t="str">
        <f>DataPull!D231</f>
        <v/>
      </c>
      <c r="G231" s="94" t="str">
        <f t="shared" si="2"/>
        <v/>
      </c>
      <c r="H231" s="94" t="str">
        <f t="shared" si="3"/>
        <v/>
      </c>
      <c r="I231" s="94" t="str">
        <f t="shared" ref="I231:J231" si="232">if(G231 = "", , -G231)</f>
        <v/>
      </c>
      <c r="J231" s="94" t="str">
        <f t="shared" si="232"/>
        <v/>
      </c>
      <c r="K231" s="100"/>
      <c r="M231" s="100"/>
      <c r="N231" s="100"/>
      <c r="O231" s="100"/>
      <c r="P231" s="100"/>
    </row>
    <row r="232">
      <c r="A232" s="107">
        <v>2571.0</v>
      </c>
      <c r="B232" s="108" t="s">
        <v>85</v>
      </c>
      <c r="C232" s="108" t="s">
        <v>261</v>
      </c>
      <c r="D232" s="112" t="s">
        <v>177</v>
      </c>
      <c r="E232" s="112">
        <v>368.0</v>
      </c>
      <c r="F232" s="111" t="str">
        <f>DataPull!D232</f>
        <v/>
      </c>
      <c r="G232" s="94" t="str">
        <f t="shared" si="2"/>
        <v/>
      </c>
      <c r="H232" s="94" t="str">
        <f t="shared" si="3"/>
        <v/>
      </c>
      <c r="I232" s="94" t="str">
        <f t="shared" ref="I232:J232" si="233">if(G232 = "", , -G232)</f>
        <v/>
      </c>
      <c r="J232" s="94" t="str">
        <f t="shared" si="233"/>
        <v/>
      </c>
      <c r="K232" s="100"/>
      <c r="M232" s="100"/>
      <c r="N232" s="100"/>
      <c r="O232" s="100"/>
      <c r="P232" s="100"/>
    </row>
    <row r="233">
      <c r="A233" s="107">
        <v>2571.0</v>
      </c>
      <c r="B233" s="108" t="s">
        <v>90</v>
      </c>
      <c r="C233" s="108" t="s">
        <v>261</v>
      </c>
      <c r="D233" s="112" t="s">
        <v>177</v>
      </c>
      <c r="E233" s="112">
        <v>983.4</v>
      </c>
      <c r="F233" s="111" t="str">
        <f>DataPull!D233</f>
        <v/>
      </c>
      <c r="G233" s="94" t="str">
        <f t="shared" si="2"/>
        <v/>
      </c>
      <c r="H233" s="94" t="str">
        <f t="shared" si="3"/>
        <v/>
      </c>
      <c r="I233" s="94" t="str">
        <f t="shared" ref="I233:J233" si="234">if(G233 = "", , -G233)</f>
        <v/>
      </c>
      <c r="J233" s="94" t="str">
        <f t="shared" si="234"/>
        <v/>
      </c>
      <c r="K233" s="100"/>
      <c r="M233" s="100"/>
      <c r="N233" s="100"/>
      <c r="O233" s="100"/>
      <c r="P233" s="100"/>
    </row>
    <row r="234">
      <c r="A234" s="107">
        <v>2571.0</v>
      </c>
      <c r="B234" s="108" t="s">
        <v>92</v>
      </c>
      <c r="C234" s="108" t="s">
        <v>261</v>
      </c>
      <c r="D234" s="112" t="s">
        <v>177</v>
      </c>
      <c r="E234" s="112">
        <v>1081.2</v>
      </c>
      <c r="F234" s="111" t="str">
        <f>DataPull!D234</f>
        <v/>
      </c>
      <c r="G234" s="94" t="str">
        <f t="shared" si="2"/>
        <v/>
      </c>
      <c r="H234" s="94" t="str">
        <f t="shared" si="3"/>
        <v/>
      </c>
      <c r="I234" s="94" t="str">
        <f t="shared" ref="I234:J234" si="235">if(G234 = "", , -G234)</f>
        <v/>
      </c>
      <c r="J234" s="94" t="str">
        <f t="shared" si="235"/>
        <v/>
      </c>
      <c r="K234" s="100"/>
      <c r="M234" s="100"/>
      <c r="N234" s="100"/>
      <c r="O234" s="100"/>
      <c r="P234" s="100"/>
    </row>
    <row r="235">
      <c r="A235" s="107">
        <v>2571.0</v>
      </c>
      <c r="B235" s="108" t="s">
        <v>190</v>
      </c>
      <c r="C235" s="108" t="s">
        <v>261</v>
      </c>
      <c r="D235" s="112" t="s">
        <v>177</v>
      </c>
      <c r="E235" s="112">
        <v>964.8</v>
      </c>
      <c r="F235" s="111" t="str">
        <f>DataPull!D235</f>
        <v/>
      </c>
      <c r="G235" s="94" t="str">
        <f t="shared" si="2"/>
        <v/>
      </c>
      <c r="H235" s="94" t="str">
        <f t="shared" si="3"/>
        <v/>
      </c>
      <c r="I235" s="94" t="str">
        <f t="shared" ref="I235:J235" si="236">if(G235 = "", , -G235)</f>
        <v/>
      </c>
      <c r="J235" s="94" t="str">
        <f t="shared" si="236"/>
        <v/>
      </c>
      <c r="K235" s="100"/>
      <c r="M235" s="100"/>
      <c r="N235" s="100"/>
      <c r="O235" s="100"/>
      <c r="P235" s="100"/>
    </row>
    <row r="236">
      <c r="A236" s="107">
        <v>2581.0</v>
      </c>
      <c r="B236" s="108" t="s">
        <v>85</v>
      </c>
      <c r="C236" s="108" t="s">
        <v>262</v>
      </c>
      <c r="D236" s="112" t="s">
        <v>177</v>
      </c>
      <c r="E236" s="112">
        <v>1496.0</v>
      </c>
      <c r="F236" s="111" t="str">
        <f>DataPull!D236</f>
        <v/>
      </c>
      <c r="G236" s="94" t="str">
        <f t="shared" si="2"/>
        <v/>
      </c>
      <c r="H236" s="94" t="str">
        <f t="shared" si="3"/>
        <v/>
      </c>
      <c r="I236" s="94" t="str">
        <f t="shared" ref="I236:J236" si="237">if(G236 = "", , -G236)</f>
        <v/>
      </c>
      <c r="J236" s="94" t="str">
        <f t="shared" si="237"/>
        <v/>
      </c>
      <c r="K236" s="100"/>
      <c r="M236" s="100"/>
      <c r="N236" s="100"/>
      <c r="O236" s="100"/>
      <c r="P236" s="100"/>
    </row>
    <row r="237">
      <c r="A237" s="107">
        <v>2581.0</v>
      </c>
      <c r="B237" s="108" t="s">
        <v>90</v>
      </c>
      <c r="C237" s="108" t="s">
        <v>262</v>
      </c>
      <c r="D237" s="112" t="s">
        <v>177</v>
      </c>
      <c r="E237" s="112">
        <v>1530.9</v>
      </c>
      <c r="F237" s="111" t="str">
        <f>DataPull!D237</f>
        <v/>
      </c>
      <c r="G237" s="94" t="str">
        <f t="shared" si="2"/>
        <v/>
      </c>
      <c r="H237" s="94" t="str">
        <f t="shared" si="3"/>
        <v/>
      </c>
      <c r="I237" s="94" t="str">
        <f t="shared" ref="I237:J237" si="238">if(G237 = "", , -G237)</f>
        <v/>
      </c>
      <c r="J237" s="94" t="str">
        <f t="shared" si="238"/>
        <v/>
      </c>
      <c r="K237" s="100"/>
      <c r="M237" s="100"/>
      <c r="N237" s="100"/>
      <c r="O237" s="100"/>
      <c r="P237" s="100"/>
    </row>
    <row r="238">
      <c r="A238" s="107">
        <v>2581.0</v>
      </c>
      <c r="B238" s="108" t="s">
        <v>92</v>
      </c>
      <c r="C238" s="108" t="s">
        <v>262</v>
      </c>
      <c r="D238" s="112" t="s">
        <v>177</v>
      </c>
      <c r="E238" s="112">
        <v>986.0</v>
      </c>
      <c r="F238" s="111" t="str">
        <f>DataPull!D238</f>
        <v/>
      </c>
      <c r="G238" s="94" t="str">
        <f t="shared" si="2"/>
        <v/>
      </c>
      <c r="H238" s="94" t="str">
        <f t="shared" si="3"/>
        <v/>
      </c>
      <c r="I238" s="94" t="str">
        <f t="shared" ref="I238:J238" si="239">if(G238 = "", , -G238)</f>
        <v/>
      </c>
      <c r="J238" s="94" t="str">
        <f t="shared" si="239"/>
        <v/>
      </c>
      <c r="K238" s="100"/>
      <c r="M238" s="100"/>
      <c r="N238" s="100"/>
      <c r="O238" s="100"/>
      <c r="P238" s="100"/>
    </row>
    <row r="239">
      <c r="A239" s="107">
        <v>2584.0</v>
      </c>
      <c r="B239" s="108" t="s">
        <v>85</v>
      </c>
      <c r="C239" s="108" t="s">
        <v>263</v>
      </c>
      <c r="D239" s="112" t="s">
        <v>177</v>
      </c>
      <c r="E239" s="112">
        <v>869.0</v>
      </c>
      <c r="F239" s="111" t="str">
        <f>DataPull!D239</f>
        <v/>
      </c>
      <c r="G239" s="94" t="str">
        <f t="shared" si="2"/>
        <v/>
      </c>
      <c r="H239" s="94" t="str">
        <f t="shared" si="3"/>
        <v/>
      </c>
      <c r="I239" s="94" t="str">
        <f t="shared" ref="I239:J239" si="240">if(G239 = "", , -G239)</f>
        <v/>
      </c>
      <c r="J239" s="94" t="str">
        <f t="shared" si="240"/>
        <v/>
      </c>
      <c r="K239" s="100"/>
      <c r="M239" s="100"/>
      <c r="N239" s="100"/>
      <c r="O239" s="100"/>
      <c r="P239" s="100"/>
    </row>
    <row r="240">
      <c r="A240" s="107">
        <v>2584.0</v>
      </c>
      <c r="B240" s="108" t="s">
        <v>90</v>
      </c>
      <c r="C240" s="108" t="s">
        <v>263</v>
      </c>
      <c r="D240" s="112" t="s">
        <v>176</v>
      </c>
      <c r="E240" s="112">
        <v>951.6</v>
      </c>
      <c r="F240" s="111" t="str">
        <f>DataPull!D240</f>
        <v/>
      </c>
      <c r="G240" s="94" t="str">
        <f t="shared" si="2"/>
        <v/>
      </c>
      <c r="H240" s="94" t="str">
        <f t="shared" si="3"/>
        <v/>
      </c>
      <c r="I240" s="94" t="str">
        <f t="shared" ref="I240:J240" si="241">if(G240 = "", , -G240)</f>
        <v/>
      </c>
      <c r="J240" s="94" t="str">
        <f t="shared" si="241"/>
        <v/>
      </c>
      <c r="K240" s="100"/>
      <c r="M240" s="100"/>
      <c r="N240" s="100"/>
      <c r="O240" s="100"/>
      <c r="P240" s="100"/>
    </row>
    <row r="241">
      <c r="A241" s="107">
        <v>2585.0</v>
      </c>
      <c r="B241" s="108" t="s">
        <v>85</v>
      </c>
      <c r="C241" s="108" t="s">
        <v>264</v>
      </c>
      <c r="D241" s="112" t="s">
        <v>176</v>
      </c>
      <c r="E241" s="112">
        <v>1325.0</v>
      </c>
      <c r="F241" s="111" t="str">
        <f>DataPull!D241</f>
        <v/>
      </c>
      <c r="G241" s="94" t="str">
        <f t="shared" si="2"/>
        <v/>
      </c>
      <c r="H241" s="94" t="str">
        <f t="shared" si="3"/>
        <v/>
      </c>
      <c r="I241" s="94" t="str">
        <f t="shared" ref="I241:J241" si="242">if(G241 = "", , -G241)</f>
        <v/>
      </c>
      <c r="J241" s="94" t="str">
        <f t="shared" si="242"/>
        <v/>
      </c>
      <c r="K241" s="100"/>
      <c r="M241" s="100"/>
      <c r="N241" s="100"/>
      <c r="O241" s="100"/>
      <c r="P241" s="100"/>
    </row>
    <row r="242">
      <c r="A242" s="107">
        <v>2585.0</v>
      </c>
      <c r="B242" s="108" t="s">
        <v>90</v>
      </c>
      <c r="C242" s="108" t="s">
        <v>264</v>
      </c>
      <c r="D242" s="112" t="s">
        <v>176</v>
      </c>
      <c r="E242" s="112">
        <v>1730.1</v>
      </c>
      <c r="F242" s="111" t="str">
        <f>DataPull!D242</f>
        <v/>
      </c>
      <c r="G242" s="94" t="str">
        <f t="shared" si="2"/>
        <v/>
      </c>
      <c r="H242" s="94" t="str">
        <f t="shared" si="3"/>
        <v/>
      </c>
      <c r="I242" s="94" t="str">
        <f t="shared" ref="I242:J242" si="243">if(G242 = "", , -G242)</f>
        <v/>
      </c>
      <c r="J242" s="94" t="str">
        <f t="shared" si="243"/>
        <v/>
      </c>
      <c r="K242" s="100"/>
      <c r="M242" s="100"/>
      <c r="N242" s="100"/>
      <c r="O242" s="100"/>
      <c r="P242" s="100"/>
    </row>
    <row r="243">
      <c r="A243" s="107">
        <v>2585.0</v>
      </c>
      <c r="B243" s="108" t="s">
        <v>92</v>
      </c>
      <c r="C243" s="108" t="s">
        <v>264</v>
      </c>
      <c r="D243" s="112" t="s">
        <v>176</v>
      </c>
      <c r="E243" s="112">
        <v>2006.4</v>
      </c>
      <c r="F243" s="111" t="str">
        <f>DataPull!D243</f>
        <v/>
      </c>
      <c r="G243" s="94" t="str">
        <f t="shared" si="2"/>
        <v/>
      </c>
      <c r="H243" s="94" t="str">
        <f t="shared" si="3"/>
        <v/>
      </c>
      <c r="I243" s="94" t="str">
        <f t="shared" ref="I243:J243" si="244">if(G243 = "", , -G243)</f>
        <v/>
      </c>
      <c r="J243" s="94" t="str">
        <f t="shared" si="244"/>
        <v/>
      </c>
      <c r="K243" s="100"/>
      <c r="M243" s="100"/>
      <c r="N243" s="100"/>
      <c r="O243" s="100"/>
      <c r="P243" s="100"/>
    </row>
    <row r="244">
      <c r="A244" s="107">
        <v>2585.0</v>
      </c>
      <c r="B244" s="108" t="s">
        <v>190</v>
      </c>
      <c r="C244" s="108" t="s">
        <v>264</v>
      </c>
      <c r="D244" s="112" t="s">
        <v>176</v>
      </c>
      <c r="E244" s="112">
        <v>1267.0</v>
      </c>
      <c r="F244" s="111" t="str">
        <f>DataPull!D244</f>
        <v/>
      </c>
      <c r="G244" s="94" t="str">
        <f t="shared" si="2"/>
        <v/>
      </c>
      <c r="H244" s="94" t="str">
        <f t="shared" si="3"/>
        <v/>
      </c>
      <c r="I244" s="94" t="str">
        <f t="shared" ref="I244:J244" si="245">if(G244 = "", , -G244)</f>
        <v/>
      </c>
      <c r="J244" s="94" t="str">
        <f t="shared" si="245"/>
        <v/>
      </c>
      <c r="K244" s="100"/>
      <c r="M244" s="100"/>
      <c r="N244" s="100"/>
      <c r="O244" s="100"/>
      <c r="P244" s="100"/>
    </row>
    <row r="245">
      <c r="A245" s="107">
        <v>2585.0</v>
      </c>
      <c r="B245" s="108" t="s">
        <v>191</v>
      </c>
      <c r="C245" s="108" t="s">
        <v>264</v>
      </c>
      <c r="D245" s="112" t="s">
        <v>177</v>
      </c>
      <c r="E245" s="112">
        <v>972.9</v>
      </c>
      <c r="F245" s="111" t="str">
        <f>DataPull!D245</f>
        <v/>
      </c>
      <c r="G245" s="94" t="str">
        <f t="shared" si="2"/>
        <v/>
      </c>
      <c r="H245" s="94" t="str">
        <f t="shared" si="3"/>
        <v/>
      </c>
      <c r="I245" s="94" t="str">
        <f t="shared" ref="I245:J245" si="246">if(G245 = "", , -G245)</f>
        <v/>
      </c>
      <c r="J245" s="94" t="str">
        <f t="shared" si="246"/>
        <v/>
      </c>
      <c r="K245" s="100"/>
      <c r="M245" s="100"/>
      <c r="N245" s="100"/>
      <c r="O245" s="100"/>
      <c r="P245" s="100"/>
    </row>
    <row r="246">
      <c r="A246" s="107">
        <v>2585.0</v>
      </c>
      <c r="B246" s="108" t="s">
        <v>192</v>
      </c>
      <c r="C246" s="108" t="s">
        <v>264</v>
      </c>
      <c r="D246" s="112" t="s">
        <v>177</v>
      </c>
      <c r="E246" s="112">
        <v>877.2</v>
      </c>
      <c r="F246" s="111" t="str">
        <f>DataPull!D246</f>
        <v/>
      </c>
      <c r="G246" s="94" t="str">
        <f t="shared" si="2"/>
        <v/>
      </c>
      <c r="H246" s="94" t="str">
        <f t="shared" si="3"/>
        <v/>
      </c>
      <c r="I246" s="94" t="str">
        <f t="shared" ref="I246:J246" si="247">if(G246 = "", , -G246)</f>
        <v/>
      </c>
      <c r="J246" s="94" t="str">
        <f t="shared" si="247"/>
        <v/>
      </c>
      <c r="K246" s="100"/>
      <c r="M246" s="100"/>
      <c r="N246" s="100"/>
      <c r="O246" s="100"/>
      <c r="P246" s="100"/>
    </row>
    <row r="247">
      <c r="A247" s="107">
        <v>2586.0</v>
      </c>
      <c r="B247" s="108" t="s">
        <v>85</v>
      </c>
      <c r="C247" s="108" t="s">
        <v>265</v>
      </c>
      <c r="D247" s="112" t="s">
        <v>181</v>
      </c>
      <c r="E247" s="112">
        <v>55.2</v>
      </c>
      <c r="F247" s="111" t="str">
        <f>DataPull!D247</f>
        <v/>
      </c>
      <c r="G247" s="94" t="str">
        <f t="shared" si="2"/>
        <v/>
      </c>
      <c r="H247" s="94" t="str">
        <f t="shared" si="3"/>
        <v/>
      </c>
      <c r="I247" s="94" t="str">
        <f t="shared" ref="I247:J247" si="248">if(G247 = "", , -G247)</f>
        <v/>
      </c>
      <c r="J247" s="94" t="str">
        <f t="shared" si="248"/>
        <v/>
      </c>
      <c r="K247" s="100"/>
      <c r="M247" s="100"/>
      <c r="N247" s="100"/>
      <c r="O247" s="100"/>
      <c r="P247" s="100"/>
    </row>
    <row r="248">
      <c r="A248" s="107">
        <v>2588.0</v>
      </c>
      <c r="B248" s="108" t="s">
        <v>85</v>
      </c>
      <c r="C248" s="108" t="s">
        <v>266</v>
      </c>
      <c r="D248" s="112" t="s">
        <v>177</v>
      </c>
      <c r="E248" s="112">
        <v>689.3</v>
      </c>
      <c r="F248" s="111" t="str">
        <f>DataPull!D248</f>
        <v/>
      </c>
      <c r="G248" s="94" t="str">
        <f t="shared" si="2"/>
        <v/>
      </c>
      <c r="H248" s="94" t="str">
        <f t="shared" si="3"/>
        <v/>
      </c>
      <c r="I248" s="94" t="str">
        <f t="shared" ref="I248:J248" si="249">if(G248 = "", , -G248)</f>
        <v/>
      </c>
      <c r="J248" s="94" t="str">
        <f t="shared" si="249"/>
        <v/>
      </c>
      <c r="K248" s="100"/>
      <c r="M248" s="100"/>
      <c r="N248" s="100"/>
      <c r="O248" s="100"/>
      <c r="P248" s="100"/>
    </row>
    <row r="249">
      <c r="A249" s="107">
        <v>2588.0</v>
      </c>
      <c r="B249" s="108" t="s">
        <v>90</v>
      </c>
      <c r="C249" s="108" t="s">
        <v>266</v>
      </c>
      <c r="D249" s="112" t="s">
        <v>177</v>
      </c>
      <c r="E249" s="112">
        <v>936.0</v>
      </c>
      <c r="F249" s="111" t="str">
        <f>DataPull!D249</f>
        <v/>
      </c>
      <c r="G249" s="94" t="str">
        <f t="shared" si="2"/>
        <v/>
      </c>
      <c r="H249" s="94" t="str">
        <f t="shared" si="3"/>
        <v/>
      </c>
      <c r="I249" s="94" t="str">
        <f t="shared" ref="I249:J249" si="250">if(G249 = "", , -G249)</f>
        <v/>
      </c>
      <c r="J249" s="94" t="str">
        <f t="shared" si="250"/>
        <v/>
      </c>
      <c r="K249" s="100"/>
      <c r="M249" s="100"/>
      <c r="N249" s="100"/>
      <c r="O249" s="100"/>
      <c r="P249" s="100"/>
    </row>
    <row r="250">
      <c r="A250" s="107">
        <v>2588.0</v>
      </c>
      <c r="B250" s="108" t="s">
        <v>92</v>
      </c>
      <c r="C250" s="108" t="s">
        <v>266</v>
      </c>
      <c r="D250" s="112" t="s">
        <v>187</v>
      </c>
      <c r="E250" s="112">
        <v>207.0</v>
      </c>
      <c r="F250" s="111" t="str">
        <f>DataPull!D250</f>
        <v/>
      </c>
      <c r="G250" s="94" t="str">
        <f t="shared" si="2"/>
        <v/>
      </c>
      <c r="H250" s="94" t="str">
        <f t="shared" si="3"/>
        <v/>
      </c>
      <c r="I250" s="94" t="str">
        <f t="shared" ref="I250:J250" si="251">if(G250 = "", , -G250)</f>
        <v/>
      </c>
      <c r="J250" s="94" t="str">
        <f t="shared" si="251"/>
        <v/>
      </c>
      <c r="K250" s="100"/>
      <c r="M250" s="100"/>
      <c r="N250" s="100"/>
      <c r="O250" s="100"/>
      <c r="P250" s="100"/>
    </row>
    <row r="251">
      <c r="A251" s="107">
        <v>2590.0</v>
      </c>
      <c r="B251" s="108" t="s">
        <v>85</v>
      </c>
      <c r="C251" s="108" t="s">
        <v>267</v>
      </c>
      <c r="D251" s="112" t="s">
        <v>176</v>
      </c>
      <c r="E251" s="112">
        <v>1835.2</v>
      </c>
      <c r="F251" s="111" t="str">
        <f>DataPull!D251</f>
        <v/>
      </c>
      <c r="G251" s="94" t="str">
        <f t="shared" si="2"/>
        <v/>
      </c>
      <c r="H251" s="94" t="str">
        <f t="shared" si="3"/>
        <v/>
      </c>
      <c r="I251" s="94" t="str">
        <f t="shared" ref="I251:J251" si="252">if(G251 = "", , -G251)</f>
        <v/>
      </c>
      <c r="J251" s="94" t="str">
        <f t="shared" si="252"/>
        <v/>
      </c>
      <c r="K251" s="100"/>
      <c r="M251" s="100"/>
      <c r="N251" s="100"/>
      <c r="O251" s="100"/>
      <c r="P251" s="100"/>
    </row>
    <row r="252">
      <c r="A252" s="107">
        <v>2590.0</v>
      </c>
      <c r="B252" s="108" t="s">
        <v>90</v>
      </c>
      <c r="C252" s="108" t="s">
        <v>267</v>
      </c>
      <c r="D252" s="112" t="s">
        <v>176</v>
      </c>
      <c r="E252" s="112">
        <v>1978.8</v>
      </c>
      <c r="F252" s="111" t="str">
        <f>DataPull!D252</f>
        <v/>
      </c>
      <c r="G252" s="94" t="str">
        <f t="shared" si="2"/>
        <v/>
      </c>
      <c r="H252" s="94" t="str">
        <f t="shared" si="3"/>
        <v/>
      </c>
      <c r="I252" s="94" t="str">
        <f t="shared" ref="I252:J252" si="253">if(G252 = "", , -G252)</f>
        <v/>
      </c>
      <c r="J252" s="94" t="str">
        <f t="shared" si="253"/>
        <v/>
      </c>
      <c r="K252" s="100"/>
      <c r="M252" s="100"/>
      <c r="N252" s="100"/>
      <c r="O252" s="100"/>
      <c r="P252" s="100"/>
    </row>
    <row r="253">
      <c r="A253" s="107">
        <v>2590.0</v>
      </c>
      <c r="B253" s="108" t="s">
        <v>92</v>
      </c>
      <c r="C253" s="108" t="s">
        <v>267</v>
      </c>
      <c r="D253" s="112" t="s">
        <v>177</v>
      </c>
      <c r="E253" s="112">
        <v>746.2</v>
      </c>
      <c r="F253" s="111" t="str">
        <f>DataPull!D253</f>
        <v/>
      </c>
      <c r="G253" s="94" t="str">
        <f t="shared" si="2"/>
        <v/>
      </c>
      <c r="H253" s="94" t="str">
        <f t="shared" si="3"/>
        <v/>
      </c>
      <c r="I253" s="94" t="str">
        <f t="shared" ref="I253:J253" si="254">if(G253 = "", , -G253)</f>
        <v/>
      </c>
      <c r="J253" s="94" t="str">
        <f t="shared" si="254"/>
        <v/>
      </c>
      <c r="K253" s="100"/>
      <c r="M253" s="100"/>
      <c r="N253" s="100"/>
      <c r="O253" s="100"/>
      <c r="P253" s="100"/>
    </row>
    <row r="254">
      <c r="A254" s="107">
        <v>2592.0</v>
      </c>
      <c r="B254" s="108" t="s">
        <v>85</v>
      </c>
      <c r="C254" s="108" t="s">
        <v>268</v>
      </c>
      <c r="D254" s="112" t="s">
        <v>187</v>
      </c>
      <c r="E254" s="112">
        <v>236.0</v>
      </c>
      <c r="F254" s="111" t="str">
        <f>DataPull!D254</f>
        <v/>
      </c>
      <c r="G254" s="94" t="str">
        <f t="shared" si="2"/>
        <v/>
      </c>
      <c r="H254" s="94" t="str">
        <f t="shared" si="3"/>
        <v/>
      </c>
      <c r="I254" s="94" t="str">
        <f t="shared" ref="I254:J254" si="255">if(G254 = "", , -G254)</f>
        <v/>
      </c>
      <c r="J254" s="94" t="str">
        <f t="shared" si="255"/>
        <v/>
      </c>
      <c r="K254" s="100"/>
      <c r="L254" s="100"/>
      <c r="N254" s="100"/>
      <c r="O254" s="100"/>
      <c r="P254" s="100"/>
    </row>
    <row r="255">
      <c r="A255" s="107">
        <v>2592.0</v>
      </c>
      <c r="B255" s="108" t="s">
        <v>90</v>
      </c>
      <c r="C255" s="108" t="s">
        <v>268</v>
      </c>
      <c r="D255" s="112" t="s">
        <v>177</v>
      </c>
      <c r="E255" s="112">
        <v>666.9</v>
      </c>
      <c r="F255" s="111" t="str">
        <f>DataPull!D255</f>
        <v/>
      </c>
      <c r="G255" s="94" t="str">
        <f t="shared" si="2"/>
        <v/>
      </c>
      <c r="H255" s="94" t="str">
        <f t="shared" si="3"/>
        <v/>
      </c>
      <c r="I255" s="94" t="str">
        <f t="shared" ref="I255:J255" si="256">if(G255 = "", , -G255)</f>
        <v/>
      </c>
      <c r="J255" s="94" t="str">
        <f t="shared" si="256"/>
        <v/>
      </c>
      <c r="K255" s="100"/>
      <c r="M255" s="100"/>
      <c r="N255" s="100"/>
      <c r="O255" s="100"/>
      <c r="P255" s="100"/>
    </row>
    <row r="256">
      <c r="A256" s="107">
        <v>2592.0</v>
      </c>
      <c r="B256" s="108" t="s">
        <v>92</v>
      </c>
      <c r="C256" s="108" t="s">
        <v>268</v>
      </c>
      <c r="D256" s="112" t="s">
        <v>187</v>
      </c>
      <c r="E256" s="112">
        <v>465.6</v>
      </c>
      <c r="F256" s="111" t="str">
        <f>DataPull!D256</f>
        <v/>
      </c>
      <c r="G256" s="94" t="str">
        <f t="shared" si="2"/>
        <v/>
      </c>
      <c r="H256" s="94" t="str">
        <f t="shared" si="3"/>
        <v/>
      </c>
      <c r="I256" s="94" t="str">
        <f t="shared" ref="I256:J256" si="257">if(G256 = "", , -G256)</f>
        <v/>
      </c>
      <c r="J256" s="94" t="str">
        <f t="shared" si="257"/>
        <v/>
      </c>
      <c r="K256" s="100"/>
      <c r="L256" s="100"/>
      <c r="N256" s="100"/>
      <c r="O256" s="100"/>
      <c r="P256" s="100"/>
    </row>
    <row r="257">
      <c r="A257" s="107">
        <v>2592.0</v>
      </c>
      <c r="B257" s="108" t="s">
        <v>190</v>
      </c>
      <c r="C257" s="108" t="s">
        <v>268</v>
      </c>
      <c r="D257" s="112" t="s">
        <v>187</v>
      </c>
      <c r="E257" s="112">
        <v>379.2</v>
      </c>
      <c r="F257" s="111" t="str">
        <f>DataPull!D257</f>
        <v/>
      </c>
      <c r="G257" s="94" t="str">
        <f t="shared" si="2"/>
        <v/>
      </c>
      <c r="H257" s="94" t="str">
        <f t="shared" si="3"/>
        <v/>
      </c>
      <c r="I257" s="94" t="str">
        <f t="shared" ref="I257:J257" si="258">if(G257 = "", , -G257)</f>
        <v/>
      </c>
      <c r="J257" s="94" t="str">
        <f t="shared" si="258"/>
        <v/>
      </c>
      <c r="K257" s="100"/>
      <c r="M257" s="100"/>
      <c r="N257" s="100"/>
      <c r="O257" s="100"/>
      <c r="P257" s="100"/>
    </row>
    <row r="258">
      <c r="A258" s="107">
        <v>2594.0</v>
      </c>
      <c r="B258" s="108" t="s">
        <v>85</v>
      </c>
      <c r="C258" s="108" t="s">
        <v>269</v>
      </c>
      <c r="D258" s="112" t="s">
        <v>178</v>
      </c>
      <c r="E258" s="112">
        <v>2406.9</v>
      </c>
      <c r="F258" s="111" t="str">
        <f>DataPull!D258</f>
        <v/>
      </c>
      <c r="G258" s="94" t="str">
        <f t="shared" si="2"/>
        <v/>
      </c>
      <c r="H258" s="94" t="str">
        <f t="shared" si="3"/>
        <v/>
      </c>
      <c r="I258" s="94" t="str">
        <f t="shared" ref="I258:J258" si="259">if(G258 = "", , -G258)</f>
        <v/>
      </c>
      <c r="J258" s="94" t="str">
        <f t="shared" si="259"/>
        <v/>
      </c>
      <c r="K258" s="100"/>
      <c r="M258" s="100"/>
      <c r="N258" s="100"/>
      <c r="O258" s="100"/>
      <c r="P258" s="100"/>
    </row>
    <row r="259">
      <c r="A259" s="107">
        <v>2594.0</v>
      </c>
      <c r="B259" s="108" t="s">
        <v>90</v>
      </c>
      <c r="C259" s="108" t="s">
        <v>269</v>
      </c>
      <c r="D259" s="112" t="s">
        <v>178</v>
      </c>
      <c r="E259" s="112">
        <v>2415.0</v>
      </c>
      <c r="F259" s="111" t="str">
        <f>DataPull!D259</f>
        <v/>
      </c>
      <c r="G259" s="94" t="str">
        <f t="shared" si="2"/>
        <v/>
      </c>
      <c r="H259" s="94" t="str">
        <f t="shared" si="3"/>
        <v/>
      </c>
      <c r="I259" s="94" t="str">
        <f t="shared" ref="I259:J259" si="260">if(G259 = "", , -G259)</f>
        <v/>
      </c>
      <c r="J259" s="94" t="str">
        <f t="shared" si="260"/>
        <v/>
      </c>
      <c r="K259" s="100"/>
      <c r="M259" s="100"/>
      <c r="N259" s="100"/>
      <c r="O259" s="100"/>
      <c r="P259" s="100"/>
    </row>
    <row r="260">
      <c r="A260" s="107">
        <v>2594.0</v>
      </c>
      <c r="B260" s="108" t="s">
        <v>92</v>
      </c>
      <c r="C260" s="108" t="s">
        <v>269</v>
      </c>
      <c r="D260" s="112" t="s">
        <v>178</v>
      </c>
      <c r="E260" s="112">
        <v>2400.0</v>
      </c>
      <c r="F260" s="111" t="str">
        <f>DataPull!D260</f>
        <v/>
      </c>
      <c r="G260" s="94" t="str">
        <f t="shared" si="2"/>
        <v/>
      </c>
      <c r="H260" s="94" t="str">
        <f t="shared" si="3"/>
        <v/>
      </c>
      <c r="I260" s="94" t="str">
        <f t="shared" ref="I260:J260" si="261">if(G260 = "", , -G260)</f>
        <v/>
      </c>
      <c r="J260" s="94" t="str">
        <f t="shared" si="261"/>
        <v/>
      </c>
      <c r="K260" s="100"/>
      <c r="M260" s="100"/>
      <c r="N260" s="100"/>
      <c r="O260" s="100"/>
      <c r="P260" s="100"/>
    </row>
    <row r="261">
      <c r="A261" s="107">
        <v>2594.0</v>
      </c>
      <c r="B261" s="108" t="s">
        <v>190</v>
      </c>
      <c r="C261" s="108" t="s">
        <v>269</v>
      </c>
      <c r="D261" s="112" t="s">
        <v>176</v>
      </c>
      <c r="E261" s="112">
        <v>1755.4</v>
      </c>
      <c r="F261" s="111" t="str">
        <f>DataPull!D261</f>
        <v/>
      </c>
      <c r="G261" s="94" t="str">
        <f t="shared" si="2"/>
        <v/>
      </c>
      <c r="H261" s="94" t="str">
        <f t="shared" si="3"/>
        <v/>
      </c>
      <c r="I261" s="94" t="str">
        <f t="shared" ref="I261:J261" si="262">if(G261 = "", , -G261)</f>
        <v/>
      </c>
      <c r="J261" s="94" t="str">
        <f t="shared" si="262"/>
        <v/>
      </c>
      <c r="K261" s="100"/>
      <c r="M261" s="100"/>
      <c r="N261" s="100"/>
      <c r="O261" s="100"/>
      <c r="P261" s="100"/>
    </row>
    <row r="262">
      <c r="A262" s="107">
        <v>2594.0</v>
      </c>
      <c r="B262" s="108" t="s">
        <v>191</v>
      </c>
      <c r="C262" s="108" t="s">
        <v>269</v>
      </c>
      <c r="D262" s="112" t="s">
        <v>177</v>
      </c>
      <c r="E262" s="112">
        <v>1576.8</v>
      </c>
      <c r="F262" s="111" t="str">
        <f>DataPull!D262</f>
        <v/>
      </c>
      <c r="G262" s="94" t="str">
        <f t="shared" si="2"/>
        <v/>
      </c>
      <c r="H262" s="94" t="str">
        <f t="shared" si="3"/>
        <v/>
      </c>
      <c r="I262" s="94" t="str">
        <f t="shared" ref="I262:J262" si="263">if(G262 = "", , -G262)</f>
        <v/>
      </c>
      <c r="J262" s="94" t="str">
        <f t="shared" si="263"/>
        <v/>
      </c>
      <c r="K262" s="100"/>
      <c r="M262" s="100"/>
      <c r="N262" s="100"/>
      <c r="O262" s="100"/>
      <c r="P262" s="100"/>
    </row>
    <row r="263">
      <c r="A263" s="107">
        <v>2594.0</v>
      </c>
      <c r="B263" s="108" t="s">
        <v>192</v>
      </c>
      <c r="C263" s="108" t="s">
        <v>269</v>
      </c>
      <c r="D263" s="112" t="s">
        <v>177</v>
      </c>
      <c r="E263" s="112">
        <v>1337.0</v>
      </c>
      <c r="F263" s="111" t="str">
        <f>DataPull!D263</f>
        <v/>
      </c>
      <c r="G263" s="94" t="str">
        <f t="shared" si="2"/>
        <v/>
      </c>
      <c r="H263" s="94" t="str">
        <f t="shared" si="3"/>
        <v/>
      </c>
      <c r="I263" s="94" t="str">
        <f t="shared" ref="I263:J263" si="264">if(G263 = "", , -G263)</f>
        <v/>
      </c>
      <c r="J263" s="94" t="str">
        <f t="shared" si="264"/>
        <v/>
      </c>
      <c r="K263" s="100"/>
      <c r="M263" s="100"/>
      <c r="N263" s="100"/>
      <c r="O263" s="100"/>
      <c r="P263" s="100"/>
    </row>
    <row r="264">
      <c r="A264" s="107">
        <v>2594.0</v>
      </c>
      <c r="B264" s="108" t="s">
        <v>193</v>
      </c>
      <c r="C264" s="108" t="s">
        <v>269</v>
      </c>
      <c r="D264" s="112" t="s">
        <v>177</v>
      </c>
      <c r="E264" s="112">
        <v>962.8</v>
      </c>
      <c r="F264" s="111" t="str">
        <f>DataPull!D264</f>
        <v/>
      </c>
      <c r="G264" s="94" t="str">
        <f t="shared" si="2"/>
        <v/>
      </c>
      <c r="H264" s="94" t="str">
        <f t="shared" si="3"/>
        <v/>
      </c>
      <c r="I264" s="94" t="str">
        <f t="shared" ref="I264:J264" si="265">if(G264 = "", , -G264)</f>
        <v/>
      </c>
      <c r="J264" s="94" t="str">
        <f t="shared" si="265"/>
        <v/>
      </c>
      <c r="K264" s="100"/>
      <c r="M264" s="100"/>
      <c r="N264" s="100"/>
      <c r="O264" s="100"/>
      <c r="P264" s="100"/>
    </row>
    <row r="265">
      <c r="A265" s="107">
        <v>2617.0</v>
      </c>
      <c r="B265" s="108" t="s">
        <v>85</v>
      </c>
      <c r="C265" s="108" t="s">
        <v>270</v>
      </c>
      <c r="D265" s="112" t="s">
        <v>177</v>
      </c>
      <c r="E265" s="112">
        <v>653.2</v>
      </c>
      <c r="F265" s="111" t="str">
        <f>DataPull!D265</f>
        <v/>
      </c>
      <c r="G265" s="94" t="str">
        <f t="shared" si="2"/>
        <v/>
      </c>
      <c r="H265" s="94" t="str">
        <f t="shared" si="3"/>
        <v/>
      </c>
      <c r="I265" s="94" t="str">
        <f t="shared" ref="I265:J265" si="266">if(G265 = "", , -G265)</f>
        <v/>
      </c>
      <c r="J265" s="94" t="str">
        <f t="shared" si="266"/>
        <v/>
      </c>
      <c r="K265" s="100"/>
      <c r="M265" s="100"/>
      <c r="N265" s="100"/>
      <c r="O265" s="100"/>
      <c r="P265" s="100"/>
    </row>
    <row r="266">
      <c r="A266" s="107">
        <v>2617.0</v>
      </c>
      <c r="B266" s="108" t="s">
        <v>90</v>
      </c>
      <c r="C266" s="108" t="s">
        <v>270</v>
      </c>
      <c r="D266" s="112" t="s">
        <v>177</v>
      </c>
      <c r="E266" s="112">
        <v>992.0</v>
      </c>
      <c r="F266" s="111" t="str">
        <f>DataPull!D266</f>
        <v/>
      </c>
      <c r="G266" s="94" t="str">
        <f t="shared" si="2"/>
        <v/>
      </c>
      <c r="H266" s="94" t="str">
        <f t="shared" si="3"/>
        <v/>
      </c>
      <c r="I266" s="94" t="str">
        <f t="shared" ref="I266:J266" si="267">if(G266 = "", , -G266)</f>
        <v/>
      </c>
      <c r="J266" s="94" t="str">
        <f t="shared" si="267"/>
        <v/>
      </c>
      <c r="K266" s="100"/>
      <c r="L266" s="100"/>
      <c r="N266" s="100"/>
      <c r="O266" s="100"/>
      <c r="P266" s="100"/>
    </row>
    <row r="267">
      <c r="A267" s="107">
        <v>2617.0</v>
      </c>
      <c r="B267" s="108" t="s">
        <v>92</v>
      </c>
      <c r="C267" s="108" t="s">
        <v>270</v>
      </c>
      <c r="D267" s="112" t="s">
        <v>187</v>
      </c>
      <c r="E267" s="112">
        <v>259.0</v>
      </c>
      <c r="F267" s="111" t="str">
        <f>DataPull!D267</f>
        <v/>
      </c>
      <c r="G267" s="94" t="str">
        <f t="shared" si="2"/>
        <v/>
      </c>
      <c r="H267" s="94" t="str">
        <f t="shared" si="3"/>
        <v/>
      </c>
      <c r="I267" s="94" t="str">
        <f t="shared" ref="I267:J267" si="268">if(G267 = "", , -G267)</f>
        <v/>
      </c>
      <c r="J267" s="94" t="str">
        <f t="shared" si="268"/>
        <v/>
      </c>
      <c r="K267" s="100"/>
      <c r="M267" s="100"/>
      <c r="N267" s="100"/>
      <c r="O267" s="100"/>
      <c r="P267" s="100"/>
    </row>
    <row r="268">
      <c r="A268" s="107">
        <v>2617.0</v>
      </c>
      <c r="B268" s="108" t="s">
        <v>190</v>
      </c>
      <c r="C268" s="108" t="s">
        <v>270</v>
      </c>
      <c r="D268" s="112" t="s">
        <v>187</v>
      </c>
      <c r="E268" s="112">
        <v>129.6</v>
      </c>
      <c r="F268" s="111" t="str">
        <f>DataPull!D268</f>
        <v/>
      </c>
      <c r="G268" s="94" t="str">
        <f t="shared" si="2"/>
        <v/>
      </c>
      <c r="H268" s="94" t="str">
        <f t="shared" si="3"/>
        <v/>
      </c>
      <c r="I268" s="94" t="str">
        <f t="shared" ref="I268:J268" si="269">if(G268 = "", , -G268)</f>
        <v/>
      </c>
      <c r="J268" s="94" t="str">
        <f t="shared" si="269"/>
        <v/>
      </c>
      <c r="K268" s="100"/>
      <c r="M268" s="100"/>
      <c r="N268" s="100"/>
      <c r="O268" s="100"/>
      <c r="P268" s="100"/>
    </row>
    <row r="269">
      <c r="A269" s="107">
        <v>2617.0</v>
      </c>
      <c r="B269" s="108" t="s">
        <v>191</v>
      </c>
      <c r="C269" s="108" t="s">
        <v>270</v>
      </c>
      <c r="D269" s="112" t="s">
        <v>187</v>
      </c>
      <c r="E269" s="112">
        <v>71.4</v>
      </c>
      <c r="F269" s="111" t="str">
        <f>DataPull!D269</f>
        <v/>
      </c>
      <c r="G269" s="94" t="str">
        <f t="shared" si="2"/>
        <v/>
      </c>
      <c r="H269" s="94" t="str">
        <f t="shared" si="3"/>
        <v/>
      </c>
      <c r="I269" s="94" t="str">
        <f t="shared" ref="I269:J269" si="270">if(G269 = "", , -G269)</f>
        <v/>
      </c>
      <c r="J269" s="94" t="str">
        <f t="shared" si="270"/>
        <v/>
      </c>
      <c r="K269" s="100"/>
      <c r="M269" s="100"/>
      <c r="N269" s="100"/>
      <c r="O269" s="100"/>
      <c r="P269" s="100"/>
    </row>
    <row r="270">
      <c r="A270" s="107">
        <v>2617.0</v>
      </c>
      <c r="B270" s="108" t="s">
        <v>192</v>
      </c>
      <c r="C270" s="108" t="s">
        <v>270</v>
      </c>
      <c r="D270" s="112" t="s">
        <v>187</v>
      </c>
      <c r="E270" s="112">
        <v>75.0</v>
      </c>
      <c r="F270" s="111" t="str">
        <f>DataPull!D270</f>
        <v/>
      </c>
      <c r="G270" s="94" t="str">
        <f t="shared" si="2"/>
        <v/>
      </c>
      <c r="H270" s="94" t="str">
        <f t="shared" si="3"/>
        <v/>
      </c>
      <c r="I270" s="94" t="str">
        <f t="shared" ref="I270:J270" si="271">if(G270 = "", , -G270)</f>
        <v/>
      </c>
      <c r="J270" s="94" t="str">
        <f t="shared" si="271"/>
        <v/>
      </c>
      <c r="K270" s="100"/>
      <c r="M270" s="100"/>
      <c r="N270" s="100"/>
      <c r="O270" s="100"/>
      <c r="P270" s="100"/>
    </row>
    <row r="271">
      <c r="A271" s="107">
        <v>2617.0</v>
      </c>
      <c r="B271" s="108" t="s">
        <v>193</v>
      </c>
      <c r="C271" s="108" t="s">
        <v>270</v>
      </c>
      <c r="D271" s="112" t="s">
        <v>181</v>
      </c>
      <c r="E271" s="112">
        <v>44.0</v>
      </c>
      <c r="F271" s="111" t="str">
        <f>DataPull!D271</f>
        <v/>
      </c>
      <c r="G271" s="94" t="str">
        <f t="shared" si="2"/>
        <v/>
      </c>
      <c r="H271" s="94" t="str">
        <f t="shared" si="3"/>
        <v/>
      </c>
      <c r="I271" s="94" t="str">
        <f t="shared" ref="I271:J271" si="272">if(G271 = "", , -G271)</f>
        <v/>
      </c>
      <c r="J271" s="94" t="str">
        <f t="shared" si="272"/>
        <v/>
      </c>
      <c r="K271" s="100"/>
      <c r="M271" s="100"/>
      <c r="N271" s="100"/>
      <c r="O271" s="100"/>
      <c r="P271" s="100"/>
    </row>
    <row r="272">
      <c r="A272" s="107">
        <v>2617.0</v>
      </c>
      <c r="B272" s="108" t="s">
        <v>243</v>
      </c>
      <c r="C272" s="108" t="s">
        <v>270</v>
      </c>
      <c r="D272" s="112" t="s">
        <v>181</v>
      </c>
      <c r="E272" s="112">
        <v>2.7</v>
      </c>
      <c r="F272" s="111" t="str">
        <f>DataPull!D272</f>
        <v/>
      </c>
      <c r="G272" s="94" t="str">
        <f t="shared" si="2"/>
        <v/>
      </c>
      <c r="H272" s="94" t="str">
        <f t="shared" si="3"/>
        <v/>
      </c>
      <c r="I272" s="94" t="str">
        <f t="shared" ref="I272:J272" si="273">if(G272 = "", , -G272)</f>
        <v/>
      </c>
      <c r="J272" s="94" t="str">
        <f t="shared" si="273"/>
        <v/>
      </c>
      <c r="K272" s="100"/>
      <c r="M272" s="100"/>
      <c r="N272" s="100"/>
    </row>
    <row r="273">
      <c r="A273" s="107">
        <v>2617.0</v>
      </c>
      <c r="B273" s="108" t="s">
        <v>215</v>
      </c>
      <c r="C273" s="108" t="s">
        <v>270</v>
      </c>
      <c r="D273" s="112" t="s">
        <v>187</v>
      </c>
      <c r="E273" s="112">
        <v>83.2</v>
      </c>
      <c r="F273" s="111" t="str">
        <f>DataPull!D273</f>
        <v/>
      </c>
      <c r="G273" s="94" t="str">
        <f t="shared" si="2"/>
        <v/>
      </c>
      <c r="H273" s="94" t="str">
        <f t="shared" si="3"/>
        <v/>
      </c>
      <c r="I273" s="94" t="str">
        <f t="shared" ref="I273:J273" si="274">if(G273 = "", , -G273)</f>
        <v/>
      </c>
      <c r="J273" s="94" t="str">
        <f t="shared" si="274"/>
        <v/>
      </c>
      <c r="K273" s="100"/>
      <c r="M273" s="100"/>
      <c r="N273" s="100"/>
      <c r="O273" s="100"/>
      <c r="P273" s="100"/>
    </row>
    <row r="274">
      <c r="A274" s="107">
        <v>2617.0</v>
      </c>
      <c r="B274" s="108" t="s">
        <v>244</v>
      </c>
      <c r="C274" s="108" t="s">
        <v>270</v>
      </c>
      <c r="D274" s="112" t="s">
        <v>181</v>
      </c>
      <c r="E274" s="112">
        <v>72.1</v>
      </c>
      <c r="F274" s="111" t="str">
        <f>DataPull!D274</f>
        <v/>
      </c>
      <c r="G274" s="94" t="str">
        <f t="shared" si="2"/>
        <v/>
      </c>
      <c r="H274" s="94" t="str">
        <f t="shared" si="3"/>
        <v/>
      </c>
      <c r="I274" s="94" t="str">
        <f t="shared" ref="I274:J274" si="275">if(G274 = "", , -G274)</f>
        <v/>
      </c>
      <c r="J274" s="94" t="str">
        <f t="shared" si="275"/>
        <v/>
      </c>
      <c r="K274" s="100"/>
      <c r="M274" s="100"/>
      <c r="N274" s="100"/>
      <c r="O274" s="100"/>
      <c r="P274" s="100"/>
    </row>
    <row r="275">
      <c r="A275" s="107">
        <v>2694.0</v>
      </c>
      <c r="B275" s="108" t="s">
        <v>85</v>
      </c>
      <c r="C275" s="108" t="s">
        <v>271</v>
      </c>
      <c r="D275" s="112" t="s">
        <v>181</v>
      </c>
      <c r="E275" s="112">
        <v>19.4</v>
      </c>
      <c r="F275" s="111" t="str">
        <f>DataPull!D275</f>
        <v/>
      </c>
      <c r="G275" s="94" t="str">
        <f t="shared" si="2"/>
        <v/>
      </c>
      <c r="H275" s="94" t="str">
        <f t="shared" si="3"/>
        <v/>
      </c>
      <c r="I275" s="94" t="str">
        <f t="shared" ref="I275:J275" si="276">if(G275 = "", , -G275)</f>
        <v/>
      </c>
      <c r="J275" s="94" t="str">
        <f t="shared" si="276"/>
        <v/>
      </c>
      <c r="K275" s="100"/>
      <c r="M275" s="100"/>
      <c r="N275" s="100"/>
      <c r="O275" s="100"/>
      <c r="P275" s="100"/>
    </row>
    <row r="276">
      <c r="A276" s="107">
        <v>2730.0</v>
      </c>
      <c r="B276" s="108" t="s">
        <v>85</v>
      </c>
      <c r="C276" s="108" t="s">
        <v>272</v>
      </c>
      <c r="D276" s="112" t="s">
        <v>184</v>
      </c>
      <c r="E276" s="112">
        <v>2399.8</v>
      </c>
      <c r="F276" s="111" t="str">
        <f>DataPull!D276</f>
        <v/>
      </c>
      <c r="G276" s="94" t="str">
        <f t="shared" si="2"/>
        <v/>
      </c>
      <c r="H276" s="94" t="str">
        <f t="shared" si="3"/>
        <v/>
      </c>
      <c r="I276" s="94" t="str">
        <f t="shared" ref="I276:J276" si="277">if(G276 = "", , -G276)</f>
        <v/>
      </c>
      <c r="J276" s="94" t="str">
        <f t="shared" si="277"/>
        <v/>
      </c>
      <c r="K276" s="100"/>
      <c r="M276" s="100"/>
      <c r="N276" s="100"/>
      <c r="O276" s="100"/>
      <c r="P276" s="100"/>
    </row>
    <row r="277">
      <c r="A277" s="107">
        <v>2730.0</v>
      </c>
      <c r="B277" s="108" t="s">
        <v>90</v>
      </c>
      <c r="C277" s="108" t="s">
        <v>272</v>
      </c>
      <c r="D277" s="112" t="s">
        <v>178</v>
      </c>
      <c r="E277" s="112">
        <v>1221.8</v>
      </c>
      <c r="F277" s="111" t="str">
        <f>DataPull!D277</f>
        <v/>
      </c>
      <c r="G277" s="94" t="str">
        <f t="shared" si="2"/>
        <v/>
      </c>
      <c r="H277" s="94" t="str">
        <f t="shared" si="3"/>
        <v/>
      </c>
      <c r="I277" s="94" t="str">
        <f t="shared" ref="I277:J277" si="278">if(G277 = "", , -G277)</f>
        <v/>
      </c>
      <c r="J277" s="94" t="str">
        <f t="shared" si="278"/>
        <v/>
      </c>
      <c r="K277" s="100"/>
      <c r="M277" s="100"/>
      <c r="N277" s="100"/>
      <c r="O277" s="100"/>
      <c r="P277" s="100"/>
    </row>
    <row r="278">
      <c r="A278" s="107">
        <v>2730.0</v>
      </c>
      <c r="B278" s="108" t="s">
        <v>92</v>
      </c>
      <c r="C278" s="108" t="s">
        <v>272</v>
      </c>
      <c r="D278" s="112" t="s">
        <v>178</v>
      </c>
      <c r="E278" s="112">
        <v>2279.1</v>
      </c>
      <c r="F278" s="111" t="str">
        <f>DataPull!D278</f>
        <v/>
      </c>
      <c r="G278" s="94" t="str">
        <f t="shared" si="2"/>
        <v/>
      </c>
      <c r="H278" s="94" t="str">
        <f t="shared" si="3"/>
        <v/>
      </c>
      <c r="I278" s="94" t="str">
        <f t="shared" ref="I278:J278" si="279">if(G278 = "", , -G278)</f>
        <v/>
      </c>
      <c r="J278" s="94" t="str">
        <f t="shared" si="279"/>
        <v/>
      </c>
      <c r="K278" s="100"/>
      <c r="M278" s="100"/>
      <c r="N278" s="100"/>
      <c r="O278" s="100"/>
      <c r="P278" s="100"/>
    </row>
    <row r="279">
      <c r="A279" s="107">
        <v>2730.0</v>
      </c>
      <c r="B279" s="108" t="s">
        <v>190</v>
      </c>
      <c r="C279" s="108" t="s">
        <v>272</v>
      </c>
      <c r="D279" s="112" t="s">
        <v>184</v>
      </c>
      <c r="E279" s="112">
        <v>2197.8</v>
      </c>
      <c r="F279" s="111" t="str">
        <f>DataPull!D279</f>
        <v/>
      </c>
      <c r="G279" s="94" t="str">
        <f t="shared" si="2"/>
        <v/>
      </c>
      <c r="H279" s="94" t="str">
        <f t="shared" si="3"/>
        <v/>
      </c>
      <c r="I279" s="94" t="str">
        <f t="shared" ref="I279:J279" si="280">if(G279 = "", , -G279)</f>
        <v/>
      </c>
      <c r="J279" s="94" t="str">
        <f t="shared" si="280"/>
        <v/>
      </c>
      <c r="K279" s="100"/>
      <c r="M279" s="100"/>
      <c r="N279" s="100"/>
      <c r="O279" s="100"/>
      <c r="P279" s="100"/>
    </row>
    <row r="280">
      <c r="A280" s="107">
        <v>2730.0</v>
      </c>
      <c r="B280" s="108" t="s">
        <v>191</v>
      </c>
      <c r="C280" s="108" t="s">
        <v>272</v>
      </c>
      <c r="D280" s="112" t="s">
        <v>184</v>
      </c>
      <c r="E280" s="112">
        <v>2462.4</v>
      </c>
      <c r="F280" s="111" t="str">
        <f>DataPull!D280</f>
        <v/>
      </c>
      <c r="G280" s="94" t="str">
        <f t="shared" si="2"/>
        <v/>
      </c>
      <c r="H280" s="94" t="str">
        <f t="shared" si="3"/>
        <v/>
      </c>
      <c r="I280" s="94" t="str">
        <f t="shared" ref="I280:J280" si="281">if(G280 = "", , -G280)</f>
        <v/>
      </c>
      <c r="J280" s="94" t="str">
        <f t="shared" si="281"/>
        <v/>
      </c>
      <c r="K280" s="100"/>
      <c r="L280" s="100"/>
      <c r="M280" s="100"/>
      <c r="N280" s="100"/>
      <c r="O280" s="100"/>
      <c r="P280" s="100"/>
    </row>
    <row r="281">
      <c r="A281" s="107">
        <v>2730.0</v>
      </c>
      <c r="B281" s="108" t="s">
        <v>192</v>
      </c>
      <c r="C281" s="108" t="s">
        <v>272</v>
      </c>
      <c r="D281" s="112" t="s">
        <v>187</v>
      </c>
      <c r="E281" s="112">
        <v>229.5</v>
      </c>
      <c r="F281" s="111" t="str">
        <f>DataPull!D281</f>
        <v/>
      </c>
      <c r="G281" s="94" t="str">
        <f t="shared" si="2"/>
        <v/>
      </c>
      <c r="H281" s="94" t="str">
        <f t="shared" si="3"/>
        <v/>
      </c>
      <c r="I281" s="94" t="str">
        <f t="shared" ref="I281:J281" si="282">if(G281 = "", , -G281)</f>
        <v/>
      </c>
      <c r="J281" s="94" t="str">
        <f t="shared" si="282"/>
        <v/>
      </c>
      <c r="K281" s="100"/>
      <c r="M281" s="100"/>
      <c r="N281" s="100"/>
      <c r="O281" s="100"/>
      <c r="P281" s="100"/>
    </row>
    <row r="282">
      <c r="A282" s="107">
        <v>2730.0</v>
      </c>
      <c r="B282" s="108" t="s">
        <v>193</v>
      </c>
      <c r="C282" s="108" t="s">
        <v>272</v>
      </c>
      <c r="D282" s="112" t="s">
        <v>177</v>
      </c>
      <c r="E282" s="112">
        <v>1304.1</v>
      </c>
      <c r="F282" s="111" t="str">
        <f>DataPull!D282</f>
        <v/>
      </c>
      <c r="G282" s="94" t="str">
        <f t="shared" si="2"/>
        <v/>
      </c>
      <c r="H282" s="94" t="str">
        <f t="shared" si="3"/>
        <v/>
      </c>
      <c r="I282" s="94" t="str">
        <f t="shared" ref="I282:J282" si="283">if(G282 = "", , -G282)</f>
        <v/>
      </c>
      <c r="J282" s="94" t="str">
        <f t="shared" si="283"/>
        <v/>
      </c>
      <c r="K282" s="100"/>
      <c r="M282" s="100"/>
      <c r="N282" s="100"/>
      <c r="O282" s="100"/>
      <c r="P282" s="100"/>
    </row>
    <row r="283">
      <c r="A283" s="107">
        <v>2730.0</v>
      </c>
      <c r="B283" s="108" t="s">
        <v>243</v>
      </c>
      <c r="C283" s="108" t="s">
        <v>272</v>
      </c>
      <c r="D283" s="112" t="s">
        <v>177</v>
      </c>
      <c r="E283" s="112">
        <v>1193.7</v>
      </c>
      <c r="F283" s="111" t="str">
        <f>DataPull!D283</f>
        <v/>
      </c>
      <c r="G283" s="94" t="str">
        <f t="shared" si="2"/>
        <v/>
      </c>
      <c r="H283" s="94" t="str">
        <f t="shared" si="3"/>
        <v/>
      </c>
      <c r="I283" s="94" t="str">
        <f t="shared" ref="I283:J283" si="284">if(G283 = "", , -G283)</f>
        <v/>
      </c>
      <c r="J283" s="94" t="str">
        <f t="shared" si="284"/>
        <v/>
      </c>
      <c r="K283" s="100"/>
      <c r="M283" s="100"/>
      <c r="N283" s="100"/>
      <c r="O283" s="100"/>
      <c r="P283" s="100"/>
    </row>
    <row r="284">
      <c r="A284" s="107">
        <v>2730.0</v>
      </c>
      <c r="B284" s="108" t="s">
        <v>215</v>
      </c>
      <c r="C284" s="108" t="s">
        <v>272</v>
      </c>
      <c r="D284" s="112" t="s">
        <v>177</v>
      </c>
      <c r="E284" s="112">
        <v>972.0</v>
      </c>
      <c r="F284" s="111" t="str">
        <f>DataPull!D284</f>
        <v/>
      </c>
      <c r="G284" s="94" t="str">
        <f t="shared" si="2"/>
        <v/>
      </c>
      <c r="H284" s="94" t="str">
        <f t="shared" si="3"/>
        <v/>
      </c>
      <c r="I284" s="94" t="str">
        <f t="shared" ref="I284:J284" si="285">if(G284 = "", , -G284)</f>
        <v/>
      </c>
      <c r="J284" s="94" t="str">
        <f t="shared" si="285"/>
        <v/>
      </c>
      <c r="K284" s="100"/>
      <c r="M284" s="100"/>
      <c r="N284" s="100"/>
      <c r="O284" s="100"/>
      <c r="P284" s="100"/>
    </row>
    <row r="285">
      <c r="A285" s="107">
        <v>2731.0</v>
      </c>
      <c r="B285" s="108" t="s">
        <v>191</v>
      </c>
      <c r="C285" s="108" t="s">
        <v>273</v>
      </c>
      <c r="D285" s="112" t="s">
        <v>177</v>
      </c>
      <c r="E285" s="112">
        <v>353.6</v>
      </c>
      <c r="F285" s="111" t="str">
        <f>DataPull!D285</f>
        <v/>
      </c>
      <c r="G285" s="94" t="str">
        <f t="shared" si="2"/>
        <v/>
      </c>
      <c r="H285" s="94" t="str">
        <f t="shared" si="3"/>
        <v/>
      </c>
      <c r="I285" s="94" t="str">
        <f t="shared" ref="I285:J285" si="286">if(G285 = "", , -G285)</f>
        <v/>
      </c>
      <c r="J285" s="94" t="str">
        <f t="shared" si="286"/>
        <v/>
      </c>
      <c r="K285" s="100"/>
      <c r="L285" s="100"/>
      <c r="N285" s="100"/>
      <c r="O285" s="100"/>
      <c r="P285" s="100"/>
    </row>
    <row r="286">
      <c r="A286" s="107">
        <v>2732.0</v>
      </c>
      <c r="B286" s="108" t="s">
        <v>85</v>
      </c>
      <c r="C286" s="108" t="s">
        <v>274</v>
      </c>
      <c r="D286" s="112" t="s">
        <v>187</v>
      </c>
      <c r="E286" s="112">
        <v>279.3</v>
      </c>
      <c r="F286" s="111" t="str">
        <f>DataPull!D286</f>
        <v/>
      </c>
      <c r="G286" s="94" t="str">
        <f t="shared" si="2"/>
        <v/>
      </c>
      <c r="H286" s="94" t="str">
        <f t="shared" si="3"/>
        <v/>
      </c>
      <c r="I286" s="94" t="str">
        <f t="shared" ref="I286:J286" si="287">if(G286 = "", , -G286)</f>
        <v/>
      </c>
      <c r="J286" s="94" t="str">
        <f t="shared" si="287"/>
        <v/>
      </c>
      <c r="K286" s="100"/>
      <c r="M286" s="100"/>
      <c r="N286" s="100"/>
      <c r="O286" s="100"/>
      <c r="P286" s="100"/>
    </row>
    <row r="287">
      <c r="A287" s="107">
        <v>2732.0</v>
      </c>
      <c r="B287" s="108" t="s">
        <v>90</v>
      </c>
      <c r="C287" s="108" t="s">
        <v>274</v>
      </c>
      <c r="D287" s="112" t="s">
        <v>177</v>
      </c>
      <c r="E287" s="112">
        <v>789.6</v>
      </c>
      <c r="F287" s="111" t="str">
        <f>DataPull!D287</f>
        <v/>
      </c>
      <c r="G287" s="94" t="str">
        <f t="shared" si="2"/>
        <v/>
      </c>
      <c r="H287" s="94" t="str">
        <f t="shared" si="3"/>
        <v/>
      </c>
      <c r="I287" s="94" t="str">
        <f t="shared" ref="I287:J287" si="288">if(G287 = "", , -G287)</f>
        <v/>
      </c>
      <c r="J287" s="94" t="str">
        <f t="shared" si="288"/>
        <v/>
      </c>
      <c r="K287" s="100"/>
      <c r="M287" s="100"/>
      <c r="N287" s="100"/>
      <c r="O287" s="100"/>
      <c r="P287" s="100"/>
    </row>
    <row r="288">
      <c r="A288" s="107">
        <v>2733.0</v>
      </c>
      <c r="B288" s="108" t="s">
        <v>85</v>
      </c>
      <c r="C288" s="108" t="s">
        <v>275</v>
      </c>
      <c r="D288" s="112" t="s">
        <v>178</v>
      </c>
      <c r="E288" s="112">
        <v>1976.0</v>
      </c>
      <c r="F288" s="111" t="str">
        <f>DataPull!D288</f>
        <v/>
      </c>
      <c r="G288" s="94" t="str">
        <f t="shared" si="2"/>
        <v/>
      </c>
      <c r="H288" s="94" t="str">
        <f t="shared" si="3"/>
        <v/>
      </c>
      <c r="I288" s="94" t="str">
        <f t="shared" ref="I288:J288" si="289">if(G288 = "", , -G288)</f>
        <v/>
      </c>
      <c r="J288" s="94" t="str">
        <f t="shared" si="289"/>
        <v/>
      </c>
      <c r="K288" s="100"/>
      <c r="M288" s="100"/>
      <c r="N288" s="100"/>
      <c r="O288" s="100"/>
      <c r="P288" s="100"/>
    </row>
    <row r="289">
      <c r="A289" s="107">
        <v>2733.0</v>
      </c>
      <c r="B289" s="108" t="s">
        <v>90</v>
      </c>
      <c r="C289" s="108" t="s">
        <v>275</v>
      </c>
      <c r="D289" s="112" t="s">
        <v>176</v>
      </c>
      <c r="E289" s="112">
        <v>1466.4</v>
      </c>
      <c r="F289" s="111" t="str">
        <f>DataPull!D289</f>
        <v/>
      </c>
      <c r="G289" s="94" t="str">
        <f t="shared" si="2"/>
        <v/>
      </c>
      <c r="H289" s="94" t="str">
        <f t="shared" si="3"/>
        <v/>
      </c>
      <c r="I289" s="94" t="str">
        <f t="shared" ref="I289:J289" si="290">if(G289 = "", , -G289)</f>
        <v/>
      </c>
      <c r="J289" s="94" t="str">
        <f t="shared" si="290"/>
        <v/>
      </c>
      <c r="K289" s="100"/>
      <c r="M289" s="100"/>
      <c r="N289" s="100"/>
      <c r="O289" s="100"/>
      <c r="P289" s="100"/>
    </row>
    <row r="290">
      <c r="A290" s="107">
        <v>2733.0</v>
      </c>
      <c r="B290" s="108" t="s">
        <v>92</v>
      </c>
      <c r="C290" s="108" t="s">
        <v>275</v>
      </c>
      <c r="D290" s="112" t="s">
        <v>176</v>
      </c>
      <c r="E290" s="112">
        <v>1521.0</v>
      </c>
      <c r="F290" s="111" t="str">
        <f>DataPull!D290</f>
        <v/>
      </c>
      <c r="G290" s="94" t="str">
        <f t="shared" si="2"/>
        <v/>
      </c>
      <c r="H290" s="94" t="str">
        <f t="shared" si="3"/>
        <v/>
      </c>
      <c r="I290" s="94" t="str">
        <f t="shared" ref="I290:J290" si="291">if(G290 = "", , -G290)</f>
        <v/>
      </c>
      <c r="J290" s="94" t="str">
        <f t="shared" si="291"/>
        <v/>
      </c>
      <c r="K290" s="100"/>
      <c r="M290" s="100"/>
      <c r="N290" s="100"/>
      <c r="O290" s="100"/>
      <c r="P290" s="100"/>
    </row>
    <row r="291">
      <c r="A291" s="107">
        <v>2733.0</v>
      </c>
      <c r="B291" s="108" t="s">
        <v>190</v>
      </c>
      <c r="C291" s="108" t="s">
        <v>275</v>
      </c>
      <c r="D291" s="112" t="s">
        <v>177</v>
      </c>
      <c r="E291" s="112">
        <v>1345.2</v>
      </c>
      <c r="F291" s="111" t="str">
        <f>DataPull!D291</f>
        <v/>
      </c>
      <c r="G291" s="94" t="str">
        <f t="shared" si="2"/>
        <v/>
      </c>
      <c r="H291" s="94" t="str">
        <f t="shared" si="3"/>
        <v/>
      </c>
      <c r="I291" s="94" t="str">
        <f t="shared" ref="I291:J291" si="292">if(G291 = "", , -G291)</f>
        <v/>
      </c>
      <c r="J291" s="94" t="str">
        <f t="shared" si="292"/>
        <v/>
      </c>
      <c r="K291" s="100"/>
      <c r="L291" s="100"/>
      <c r="M291" s="100"/>
      <c r="N291" s="100"/>
      <c r="O291" s="100"/>
      <c r="P291" s="100"/>
    </row>
    <row r="292">
      <c r="A292" s="107">
        <v>2733.0</v>
      </c>
      <c r="B292" s="108" t="s">
        <v>191</v>
      </c>
      <c r="C292" s="108" t="s">
        <v>275</v>
      </c>
      <c r="D292" s="112" t="s">
        <v>177</v>
      </c>
      <c r="E292" s="112">
        <v>1128.9</v>
      </c>
      <c r="F292" s="111" t="str">
        <f>DataPull!D292</f>
        <v/>
      </c>
      <c r="G292" s="94" t="str">
        <f t="shared" si="2"/>
        <v/>
      </c>
      <c r="H292" s="94" t="str">
        <f t="shared" si="3"/>
        <v/>
      </c>
      <c r="I292" s="94" t="str">
        <f t="shared" ref="I292:J292" si="293">if(G292 = "", , -G292)</f>
        <v/>
      </c>
      <c r="J292" s="94" t="str">
        <f t="shared" si="293"/>
        <v/>
      </c>
      <c r="K292" s="100"/>
      <c r="M292" s="100"/>
      <c r="N292" s="100"/>
      <c r="O292" s="100"/>
      <c r="P292" s="100"/>
    </row>
    <row r="293">
      <c r="A293" s="107">
        <v>2733.0</v>
      </c>
      <c r="B293" s="108" t="s">
        <v>192</v>
      </c>
      <c r="C293" s="108" t="s">
        <v>275</v>
      </c>
      <c r="D293" s="112" t="s">
        <v>177</v>
      </c>
      <c r="E293" s="112">
        <v>966.4</v>
      </c>
      <c r="F293" s="111" t="str">
        <f>DataPull!D293</f>
        <v/>
      </c>
      <c r="G293" s="94" t="str">
        <f t="shared" si="2"/>
        <v/>
      </c>
      <c r="H293" s="94" t="str">
        <f t="shared" si="3"/>
        <v/>
      </c>
      <c r="I293" s="94" t="str">
        <f t="shared" ref="I293:J293" si="294">if(G293 = "", , -G293)</f>
        <v/>
      </c>
      <c r="J293" s="94" t="str">
        <f t="shared" si="294"/>
        <v/>
      </c>
      <c r="K293" s="100"/>
      <c r="M293" s="100"/>
      <c r="N293" s="100"/>
      <c r="O293" s="100"/>
      <c r="P293" s="100"/>
    </row>
    <row r="294">
      <c r="A294" s="107">
        <v>2734.0</v>
      </c>
      <c r="B294" s="108" t="s">
        <v>85</v>
      </c>
      <c r="C294" s="108" t="s">
        <v>276</v>
      </c>
      <c r="D294" s="112" t="s">
        <v>176</v>
      </c>
      <c r="E294" s="112">
        <v>816.0</v>
      </c>
      <c r="F294" s="111" t="str">
        <f>DataPull!D294</f>
        <v/>
      </c>
      <c r="G294" s="94" t="str">
        <f t="shared" si="2"/>
        <v/>
      </c>
      <c r="H294" s="94" t="str">
        <f t="shared" si="3"/>
        <v/>
      </c>
      <c r="I294" s="94" t="str">
        <f t="shared" ref="I294:J294" si="295">if(G294 = "", , -G294)</f>
        <v/>
      </c>
      <c r="J294" s="94" t="str">
        <f t="shared" si="295"/>
        <v/>
      </c>
      <c r="K294" s="100"/>
      <c r="M294" s="100"/>
      <c r="N294" s="100"/>
      <c r="O294" s="100"/>
      <c r="P294" s="100"/>
    </row>
    <row r="295">
      <c r="A295" s="107">
        <v>2734.0</v>
      </c>
      <c r="B295" s="108" t="s">
        <v>90</v>
      </c>
      <c r="C295" s="108" t="s">
        <v>276</v>
      </c>
      <c r="D295" s="112" t="s">
        <v>176</v>
      </c>
      <c r="E295" s="112">
        <v>1687.2</v>
      </c>
      <c r="F295" s="111" t="str">
        <f>DataPull!D295</f>
        <v/>
      </c>
      <c r="G295" s="94" t="str">
        <f t="shared" si="2"/>
        <v/>
      </c>
      <c r="H295" s="94" t="str">
        <f t="shared" si="3"/>
        <v/>
      </c>
      <c r="I295" s="94" t="str">
        <f t="shared" ref="I295:J295" si="296">if(G295 = "", , -G295)</f>
        <v/>
      </c>
      <c r="J295" s="94" t="str">
        <f t="shared" si="296"/>
        <v/>
      </c>
      <c r="K295" s="100"/>
      <c r="M295" s="100"/>
      <c r="N295" s="100"/>
      <c r="O295" s="100"/>
      <c r="P295" s="100"/>
    </row>
    <row r="296">
      <c r="A296" s="107">
        <v>2734.0</v>
      </c>
      <c r="B296" s="108" t="s">
        <v>92</v>
      </c>
      <c r="C296" s="108" t="s">
        <v>276</v>
      </c>
      <c r="D296" s="112" t="s">
        <v>177</v>
      </c>
      <c r="E296" s="112">
        <v>1280.0</v>
      </c>
      <c r="F296" s="111" t="str">
        <f>DataPull!D296</f>
        <v/>
      </c>
      <c r="G296" s="94" t="str">
        <f t="shared" si="2"/>
        <v/>
      </c>
      <c r="H296" s="94" t="str">
        <f t="shared" si="3"/>
        <v/>
      </c>
      <c r="I296" s="94" t="str">
        <f t="shared" ref="I296:J296" si="297">if(G296 = "", , -G296)</f>
        <v/>
      </c>
      <c r="J296" s="94" t="str">
        <f t="shared" si="297"/>
        <v/>
      </c>
      <c r="K296" s="100"/>
      <c r="M296" s="100"/>
      <c r="N296" s="100"/>
      <c r="O296" s="100"/>
      <c r="P296" s="100"/>
    </row>
    <row r="297">
      <c r="A297" s="107">
        <v>2734.0</v>
      </c>
      <c r="B297" s="108" t="s">
        <v>190</v>
      </c>
      <c r="C297" s="108" t="s">
        <v>276</v>
      </c>
      <c r="D297" s="112" t="s">
        <v>177</v>
      </c>
      <c r="E297" s="112">
        <v>1085.5</v>
      </c>
      <c r="F297" s="111" t="str">
        <f>DataPull!D297</f>
        <v/>
      </c>
      <c r="G297" s="94" t="str">
        <f t="shared" si="2"/>
        <v/>
      </c>
      <c r="H297" s="94" t="str">
        <f t="shared" si="3"/>
        <v/>
      </c>
      <c r="I297" s="94" t="str">
        <f t="shared" ref="I297:J297" si="298">if(G297 = "", , -G297)</f>
        <v/>
      </c>
      <c r="J297" s="94" t="str">
        <f t="shared" si="298"/>
        <v/>
      </c>
      <c r="K297" s="100"/>
      <c r="M297" s="100"/>
      <c r="N297" s="100"/>
      <c r="O297" s="100"/>
      <c r="P297" s="100"/>
    </row>
    <row r="298">
      <c r="A298" s="107">
        <v>2734.0</v>
      </c>
      <c r="B298" s="108" t="s">
        <v>191</v>
      </c>
      <c r="C298" s="108" t="s">
        <v>276</v>
      </c>
      <c r="D298" s="112" t="s">
        <v>177</v>
      </c>
      <c r="E298" s="112">
        <v>1341.9</v>
      </c>
      <c r="F298" s="111" t="str">
        <f>DataPull!D298</f>
        <v/>
      </c>
      <c r="G298" s="94" t="str">
        <f t="shared" si="2"/>
        <v/>
      </c>
      <c r="H298" s="94" t="str">
        <f t="shared" si="3"/>
        <v/>
      </c>
      <c r="I298" s="94" t="str">
        <f t="shared" ref="I298:J298" si="299">if(G298 = "", , -G298)</f>
        <v/>
      </c>
      <c r="J298" s="94" t="str">
        <f t="shared" si="299"/>
        <v/>
      </c>
      <c r="K298" s="100"/>
      <c r="M298" s="100"/>
      <c r="N298" s="100"/>
      <c r="O298" s="100"/>
      <c r="P298" s="100"/>
    </row>
    <row r="299">
      <c r="A299" s="107">
        <v>2734.0</v>
      </c>
      <c r="B299" s="108" t="s">
        <v>192</v>
      </c>
      <c r="C299" s="108" t="s">
        <v>276</v>
      </c>
      <c r="D299" s="112" t="s">
        <v>177</v>
      </c>
      <c r="E299" s="112">
        <v>1067.6</v>
      </c>
      <c r="F299" s="111" t="str">
        <f>DataPull!D299</f>
        <v/>
      </c>
      <c r="G299" s="94" t="str">
        <f t="shared" si="2"/>
        <v/>
      </c>
      <c r="H299" s="94" t="str">
        <f t="shared" si="3"/>
        <v/>
      </c>
      <c r="I299" s="94" t="str">
        <f t="shared" ref="I299:J299" si="300">if(G299 = "", , -G299)</f>
        <v/>
      </c>
      <c r="J299" s="94" t="str">
        <f t="shared" si="300"/>
        <v/>
      </c>
      <c r="K299" s="100"/>
      <c r="M299" s="100"/>
      <c r="N299" s="100"/>
      <c r="O299" s="100"/>
      <c r="P299" s="100"/>
    </row>
    <row r="300">
      <c r="A300" s="107">
        <v>2735.0</v>
      </c>
      <c r="B300" s="108" t="s">
        <v>85</v>
      </c>
      <c r="C300" s="108" t="s">
        <v>277</v>
      </c>
      <c r="D300" s="112" t="s">
        <v>181</v>
      </c>
      <c r="E300" s="112">
        <v>24.0</v>
      </c>
      <c r="F300" s="111" t="str">
        <f>DataPull!D300</f>
        <v/>
      </c>
      <c r="G300" s="94" t="str">
        <f t="shared" si="2"/>
        <v/>
      </c>
      <c r="H300" s="94" t="str">
        <f t="shared" si="3"/>
        <v/>
      </c>
      <c r="I300" s="94" t="str">
        <f t="shared" ref="I300:J300" si="301">if(G300 = "", , -G300)</f>
        <v/>
      </c>
      <c r="J300" s="94" t="str">
        <f t="shared" si="301"/>
        <v/>
      </c>
      <c r="K300" s="100"/>
      <c r="M300" s="100"/>
      <c r="N300" s="100"/>
      <c r="O300" s="100"/>
      <c r="P300" s="100"/>
    </row>
    <row r="301">
      <c r="A301" s="107">
        <v>2736.0</v>
      </c>
      <c r="B301" s="108" t="s">
        <v>85</v>
      </c>
      <c r="C301" s="108" t="s">
        <v>278</v>
      </c>
      <c r="D301" s="112" t="s">
        <v>178</v>
      </c>
      <c r="E301" s="112">
        <v>2211.3</v>
      </c>
      <c r="F301" s="111" t="str">
        <f>DataPull!D301</f>
        <v/>
      </c>
      <c r="G301" s="94" t="str">
        <f t="shared" si="2"/>
        <v/>
      </c>
      <c r="H301" s="94" t="str">
        <f t="shared" si="3"/>
        <v/>
      </c>
      <c r="I301" s="94" t="str">
        <f t="shared" ref="I301:J301" si="302">if(G301 = "", , -G301)</f>
        <v/>
      </c>
      <c r="J301" s="94" t="str">
        <f t="shared" si="302"/>
        <v/>
      </c>
      <c r="K301" s="100"/>
      <c r="M301" s="100"/>
      <c r="N301" s="100"/>
      <c r="O301" s="100"/>
      <c r="P301" s="100"/>
    </row>
    <row r="302">
      <c r="A302" s="107">
        <v>2736.0</v>
      </c>
      <c r="B302" s="108" t="s">
        <v>90</v>
      </c>
      <c r="C302" s="108" t="s">
        <v>278</v>
      </c>
      <c r="D302" s="112" t="s">
        <v>178</v>
      </c>
      <c r="E302" s="112">
        <v>2419.2</v>
      </c>
      <c r="F302" s="111" t="str">
        <f>DataPull!D302</f>
        <v/>
      </c>
      <c r="G302" s="94" t="str">
        <f t="shared" si="2"/>
        <v/>
      </c>
      <c r="H302" s="94" t="str">
        <f t="shared" si="3"/>
        <v/>
      </c>
      <c r="I302" s="94" t="str">
        <f t="shared" ref="I302:J302" si="303">if(G302 = "", , -G302)</f>
        <v/>
      </c>
      <c r="J302" s="94" t="str">
        <f t="shared" si="303"/>
        <v/>
      </c>
      <c r="K302" s="100"/>
      <c r="M302" s="100"/>
      <c r="N302" s="100"/>
      <c r="O302" s="100"/>
      <c r="P302" s="100"/>
    </row>
    <row r="303">
      <c r="A303" s="107">
        <v>2736.0</v>
      </c>
      <c r="B303" s="108" t="s">
        <v>92</v>
      </c>
      <c r="C303" s="108" t="s">
        <v>278</v>
      </c>
      <c r="D303" s="112" t="s">
        <v>178</v>
      </c>
      <c r="E303" s="112">
        <v>2397.6</v>
      </c>
      <c r="F303" s="111" t="str">
        <f>DataPull!D303</f>
        <v/>
      </c>
      <c r="G303" s="94" t="str">
        <f t="shared" si="2"/>
        <v/>
      </c>
      <c r="H303" s="94" t="str">
        <f t="shared" si="3"/>
        <v/>
      </c>
      <c r="I303" s="94" t="str">
        <f t="shared" ref="I303:J303" si="304">if(G303 = "", , -G303)</f>
        <v/>
      </c>
      <c r="J303" s="94" t="str">
        <f t="shared" si="304"/>
        <v/>
      </c>
      <c r="K303" s="100"/>
      <c r="M303" s="100"/>
      <c r="N303" s="100"/>
      <c r="O303" s="100"/>
      <c r="P303" s="100"/>
    </row>
    <row r="304">
      <c r="A304" s="107">
        <v>2736.0</v>
      </c>
      <c r="B304" s="108" t="s">
        <v>190</v>
      </c>
      <c r="C304" s="108" t="s">
        <v>278</v>
      </c>
      <c r="D304" s="112" t="s">
        <v>178</v>
      </c>
      <c r="E304" s="112">
        <v>1484.0</v>
      </c>
      <c r="F304" s="111" t="str">
        <f>DataPull!D304</f>
        <v/>
      </c>
      <c r="G304" s="94" t="str">
        <f t="shared" si="2"/>
        <v/>
      </c>
      <c r="H304" s="94" t="str">
        <f t="shared" si="3"/>
        <v/>
      </c>
      <c r="I304" s="94" t="str">
        <f t="shared" ref="I304:J304" si="305">if(G304 = "", , -G304)</f>
        <v/>
      </c>
      <c r="J304" s="94" t="str">
        <f t="shared" si="305"/>
        <v/>
      </c>
      <c r="K304" s="100"/>
      <c r="M304" s="100"/>
      <c r="N304" s="100"/>
      <c r="O304" s="100"/>
      <c r="P304" s="100"/>
    </row>
    <row r="305">
      <c r="A305" s="107">
        <v>2736.0</v>
      </c>
      <c r="B305" s="108" t="s">
        <v>191</v>
      </c>
      <c r="C305" s="108" t="s">
        <v>278</v>
      </c>
      <c r="D305" s="112" t="s">
        <v>181</v>
      </c>
      <c r="E305" s="112">
        <v>13.1</v>
      </c>
      <c r="F305" s="111" t="str">
        <f>DataPull!D305</f>
        <v/>
      </c>
      <c r="G305" s="94" t="str">
        <f t="shared" si="2"/>
        <v/>
      </c>
      <c r="H305" s="94" t="str">
        <f t="shared" si="3"/>
        <v/>
      </c>
      <c r="I305" s="94" t="str">
        <f t="shared" ref="I305:J305" si="306">if(G305 = "", , -G305)</f>
        <v/>
      </c>
      <c r="J305" s="94" t="str">
        <f t="shared" si="306"/>
        <v/>
      </c>
      <c r="K305" s="100"/>
      <c r="M305" s="100"/>
      <c r="N305" s="100"/>
      <c r="O305" s="100"/>
      <c r="P305" s="100"/>
    </row>
    <row r="306">
      <c r="A306" s="107">
        <v>2736.0</v>
      </c>
      <c r="B306" s="108" t="s">
        <v>192</v>
      </c>
      <c r="C306" s="108" t="s">
        <v>278</v>
      </c>
      <c r="D306" s="112" t="s">
        <v>177</v>
      </c>
      <c r="E306" s="112">
        <v>391.6</v>
      </c>
      <c r="F306" s="111" t="str">
        <f>DataPull!D306</f>
        <v/>
      </c>
      <c r="G306" s="94" t="str">
        <f t="shared" si="2"/>
        <v/>
      </c>
      <c r="H306" s="94" t="str">
        <f t="shared" si="3"/>
        <v/>
      </c>
      <c r="I306" s="94" t="str">
        <f t="shared" ref="I306:J306" si="307">if(G306 = "", , -G306)</f>
        <v/>
      </c>
      <c r="J306" s="94" t="str">
        <f t="shared" si="307"/>
        <v/>
      </c>
      <c r="K306" s="100"/>
      <c r="M306" s="100"/>
      <c r="N306" s="100"/>
      <c r="O306" s="100"/>
      <c r="P306" s="100"/>
    </row>
    <row r="307">
      <c r="A307" s="107">
        <v>2738.0</v>
      </c>
      <c r="B307" s="108" t="s">
        <v>85</v>
      </c>
      <c r="C307" s="108" t="s">
        <v>279</v>
      </c>
      <c r="D307" s="112" t="s">
        <v>184</v>
      </c>
      <c r="E307" s="112">
        <v>2041.2</v>
      </c>
      <c r="F307" s="111" t="str">
        <f>DataPull!D307</f>
        <v/>
      </c>
      <c r="G307" s="94" t="str">
        <f t="shared" si="2"/>
        <v/>
      </c>
      <c r="H307" s="94" t="str">
        <f t="shared" si="3"/>
        <v/>
      </c>
      <c r="I307" s="94" t="str">
        <f t="shared" ref="I307:J307" si="308">if(G307 = "", , -G307)</f>
        <v/>
      </c>
      <c r="J307" s="94" t="str">
        <f t="shared" si="308"/>
        <v/>
      </c>
      <c r="K307" s="100"/>
      <c r="M307" s="100"/>
      <c r="N307" s="100"/>
      <c r="O307" s="100"/>
      <c r="P307" s="100"/>
    </row>
    <row r="308">
      <c r="A308" s="107">
        <v>2738.0</v>
      </c>
      <c r="B308" s="108" t="s">
        <v>90</v>
      </c>
      <c r="C308" s="108" t="s">
        <v>279</v>
      </c>
      <c r="D308" s="112" t="s">
        <v>178</v>
      </c>
      <c r="E308" s="112">
        <v>2071.3</v>
      </c>
      <c r="F308" s="111" t="str">
        <f>DataPull!D308</f>
        <v/>
      </c>
      <c r="G308" s="94" t="str">
        <f t="shared" si="2"/>
        <v/>
      </c>
      <c r="H308" s="94" t="str">
        <f t="shared" si="3"/>
        <v/>
      </c>
      <c r="I308" s="94" t="str">
        <f t="shared" ref="I308:J308" si="309">if(G308 = "", , -G308)</f>
        <v/>
      </c>
      <c r="J308" s="94" t="str">
        <f t="shared" si="309"/>
        <v/>
      </c>
      <c r="K308" s="100"/>
      <c r="M308" s="100"/>
      <c r="N308" s="100"/>
      <c r="O308" s="100"/>
      <c r="P308" s="100"/>
    </row>
    <row r="309">
      <c r="A309" s="107">
        <v>2738.0</v>
      </c>
      <c r="B309" s="108" t="s">
        <v>92</v>
      </c>
      <c r="C309" s="108" t="s">
        <v>279</v>
      </c>
      <c r="D309" s="112" t="s">
        <v>178</v>
      </c>
      <c r="E309" s="112">
        <v>1729.0</v>
      </c>
      <c r="F309" s="111" t="str">
        <f>DataPull!D309</f>
        <v/>
      </c>
      <c r="G309" s="94" t="str">
        <f t="shared" si="2"/>
        <v/>
      </c>
      <c r="H309" s="94" t="str">
        <f t="shared" si="3"/>
        <v/>
      </c>
      <c r="I309" s="94" t="str">
        <f t="shared" ref="I309:J309" si="310">if(G309 = "", , -G309)</f>
        <v/>
      </c>
      <c r="J309" s="94" t="str">
        <f t="shared" si="310"/>
        <v/>
      </c>
      <c r="K309" s="100"/>
      <c r="M309" s="100"/>
      <c r="N309" s="100"/>
      <c r="O309" s="100"/>
      <c r="P309" s="100"/>
    </row>
    <row r="310">
      <c r="A310" s="107">
        <v>2738.0</v>
      </c>
      <c r="B310" s="108" t="s">
        <v>190</v>
      </c>
      <c r="C310" s="108" t="s">
        <v>279</v>
      </c>
      <c r="D310" s="112" t="s">
        <v>184</v>
      </c>
      <c r="E310" s="112">
        <v>1998.8</v>
      </c>
      <c r="F310" s="111" t="str">
        <f>DataPull!D310</f>
        <v/>
      </c>
      <c r="G310" s="94" t="str">
        <f t="shared" si="2"/>
        <v/>
      </c>
      <c r="H310" s="94" t="str">
        <f t="shared" si="3"/>
        <v/>
      </c>
      <c r="I310" s="94" t="str">
        <f t="shared" ref="I310:J310" si="311">if(G310 = "", , -G310)</f>
        <v/>
      </c>
      <c r="J310" s="94" t="str">
        <f t="shared" si="311"/>
        <v/>
      </c>
      <c r="K310" s="100"/>
      <c r="M310" s="100"/>
      <c r="N310" s="100"/>
      <c r="O310" s="100"/>
      <c r="P310" s="100"/>
    </row>
    <row r="311">
      <c r="A311" s="107">
        <v>2738.0</v>
      </c>
      <c r="B311" s="108" t="s">
        <v>191</v>
      </c>
      <c r="C311" s="108" t="s">
        <v>279</v>
      </c>
      <c r="D311" s="112" t="s">
        <v>178</v>
      </c>
      <c r="E311" s="112">
        <v>1625.6</v>
      </c>
      <c r="F311" s="111" t="str">
        <f>DataPull!D311</f>
        <v/>
      </c>
      <c r="G311" s="94" t="str">
        <f t="shared" si="2"/>
        <v/>
      </c>
      <c r="H311" s="94" t="str">
        <f t="shared" si="3"/>
        <v/>
      </c>
      <c r="I311" s="94" t="str">
        <f t="shared" ref="I311:J311" si="312">if(G311 = "", , -G311)</f>
        <v/>
      </c>
      <c r="J311" s="94" t="str">
        <f t="shared" si="312"/>
        <v/>
      </c>
      <c r="K311" s="100"/>
      <c r="M311" s="100"/>
      <c r="N311" s="100"/>
      <c r="O311" s="100"/>
      <c r="P311" s="100"/>
    </row>
    <row r="312">
      <c r="A312" s="107">
        <v>2738.0</v>
      </c>
      <c r="B312" s="108" t="s">
        <v>192</v>
      </c>
      <c r="C312" s="108" t="s">
        <v>279</v>
      </c>
      <c r="D312" s="112" t="s">
        <v>176</v>
      </c>
      <c r="E312" s="112">
        <v>1577.6</v>
      </c>
      <c r="F312" s="111" t="str">
        <f>DataPull!D312</f>
        <v/>
      </c>
      <c r="G312" s="94" t="str">
        <f t="shared" si="2"/>
        <v/>
      </c>
      <c r="H312" s="94" t="str">
        <f t="shared" si="3"/>
        <v/>
      </c>
      <c r="I312" s="94" t="str">
        <f t="shared" ref="I312:J312" si="313">if(G312 = "", , -G312)</f>
        <v/>
      </c>
      <c r="J312" s="94" t="str">
        <f t="shared" si="313"/>
        <v/>
      </c>
      <c r="K312" s="100"/>
      <c r="M312" s="100"/>
      <c r="N312" s="100"/>
      <c r="O312" s="100"/>
      <c r="P312" s="100"/>
    </row>
    <row r="313">
      <c r="A313" s="107">
        <v>2738.0</v>
      </c>
      <c r="B313" s="108" t="s">
        <v>193</v>
      </c>
      <c r="C313" s="108" t="s">
        <v>279</v>
      </c>
      <c r="D313" s="112" t="s">
        <v>177</v>
      </c>
      <c r="E313" s="112">
        <v>417.9</v>
      </c>
      <c r="F313" s="111" t="str">
        <f>DataPull!D313</f>
        <v/>
      </c>
      <c r="G313" s="94" t="str">
        <f t="shared" si="2"/>
        <v/>
      </c>
      <c r="H313" s="94" t="str">
        <f t="shared" si="3"/>
        <v/>
      </c>
      <c r="I313" s="94" t="str">
        <f t="shared" ref="I313:J313" si="314">if(G313 = "", , -G313)</f>
        <v/>
      </c>
      <c r="J313" s="94" t="str">
        <f t="shared" si="314"/>
        <v/>
      </c>
      <c r="K313" s="100"/>
      <c r="M313" s="100"/>
      <c r="N313" s="100"/>
      <c r="O313" s="100"/>
      <c r="P313" s="100"/>
    </row>
    <row r="314">
      <c r="A314" s="107">
        <v>2738.0</v>
      </c>
      <c r="B314" s="108" t="s">
        <v>243</v>
      </c>
      <c r="C314" s="108" t="s">
        <v>279</v>
      </c>
      <c r="D314" s="112" t="s">
        <v>177</v>
      </c>
      <c r="E314" s="112">
        <v>1341.9</v>
      </c>
      <c r="F314" s="111" t="str">
        <f>DataPull!D314</f>
        <v/>
      </c>
      <c r="G314" s="94" t="str">
        <f t="shared" si="2"/>
        <v/>
      </c>
      <c r="H314" s="94" t="str">
        <f t="shared" si="3"/>
        <v/>
      </c>
      <c r="I314" s="94" t="str">
        <f t="shared" ref="I314:J314" si="315">if(G314 = "", , -G314)</f>
        <v/>
      </c>
      <c r="J314" s="94" t="str">
        <f t="shared" si="315"/>
        <v/>
      </c>
      <c r="K314" s="100"/>
      <c r="L314" s="100"/>
      <c r="N314" s="100"/>
      <c r="O314" s="100"/>
      <c r="P314" s="100"/>
    </row>
    <row r="315">
      <c r="A315" s="107">
        <v>2738.0</v>
      </c>
      <c r="B315" s="108" t="s">
        <v>215</v>
      </c>
      <c r="C315" s="108" t="s">
        <v>279</v>
      </c>
      <c r="D315" s="112" t="s">
        <v>177</v>
      </c>
      <c r="E315" s="112">
        <v>601.4</v>
      </c>
      <c r="F315" s="111" t="str">
        <f>DataPull!D315</f>
        <v/>
      </c>
      <c r="G315" s="94" t="str">
        <f t="shared" si="2"/>
        <v/>
      </c>
      <c r="H315" s="94" t="str">
        <f t="shared" si="3"/>
        <v/>
      </c>
      <c r="I315" s="94" t="str">
        <f t="shared" ref="I315:J315" si="316">if(G315 = "", , -G315)</f>
        <v/>
      </c>
      <c r="J315" s="94" t="str">
        <f t="shared" si="316"/>
        <v/>
      </c>
      <c r="K315" s="100"/>
      <c r="L315" s="100"/>
      <c r="N315" s="100"/>
      <c r="O315" s="100"/>
      <c r="P315" s="100"/>
    </row>
    <row r="316">
      <c r="A316" s="107">
        <v>2738.0</v>
      </c>
      <c r="B316" s="108" t="s">
        <v>244</v>
      </c>
      <c r="C316" s="108" t="s">
        <v>279</v>
      </c>
      <c r="D316" s="112" t="s">
        <v>181</v>
      </c>
      <c r="E316" s="112">
        <v>112.8</v>
      </c>
      <c r="F316" s="111" t="str">
        <f>DataPull!D316</f>
        <v/>
      </c>
      <c r="G316" s="94" t="str">
        <f t="shared" si="2"/>
        <v/>
      </c>
      <c r="H316" s="94" t="str">
        <f t="shared" si="3"/>
        <v/>
      </c>
      <c r="I316" s="94" t="str">
        <f t="shared" ref="I316:J316" si="317">if(G316 = "", , -G316)</f>
        <v/>
      </c>
      <c r="J316" s="94" t="str">
        <f t="shared" si="317"/>
        <v/>
      </c>
      <c r="K316" s="100"/>
      <c r="M316" s="100"/>
      <c r="N316" s="100"/>
      <c r="O316" s="100"/>
      <c r="P316" s="100"/>
    </row>
    <row r="317">
      <c r="A317" s="107">
        <v>2740.0</v>
      </c>
      <c r="B317" s="108" t="s">
        <v>85</v>
      </c>
      <c r="C317" s="108" t="s">
        <v>280</v>
      </c>
      <c r="D317" s="112" t="s">
        <v>181</v>
      </c>
      <c r="E317" s="112">
        <v>44.4</v>
      </c>
      <c r="F317" s="111" t="str">
        <f>DataPull!D317</f>
        <v/>
      </c>
      <c r="G317" s="94" t="str">
        <f t="shared" si="2"/>
        <v/>
      </c>
      <c r="H317" s="94" t="str">
        <f t="shared" si="3"/>
        <v/>
      </c>
      <c r="I317" s="94" t="str">
        <f t="shared" ref="I317:J317" si="318">if(G317 = "", , -G317)</f>
        <v/>
      </c>
      <c r="J317" s="94" t="str">
        <f t="shared" si="318"/>
        <v/>
      </c>
      <c r="K317" s="100"/>
      <c r="M317" s="100"/>
      <c r="N317" s="100"/>
      <c r="O317" s="100"/>
      <c r="P317" s="100"/>
    </row>
    <row r="318">
      <c r="A318" s="107">
        <v>2742.0</v>
      </c>
      <c r="B318" s="108" t="s">
        <v>90</v>
      </c>
      <c r="C318" s="108" t="s">
        <v>281</v>
      </c>
      <c r="D318" s="112" t="s">
        <v>177</v>
      </c>
      <c r="E318" s="112">
        <v>326.4</v>
      </c>
      <c r="F318" s="111" t="str">
        <f>DataPull!D318</f>
        <v/>
      </c>
      <c r="G318" s="94" t="str">
        <f t="shared" si="2"/>
        <v/>
      </c>
      <c r="H318" s="94" t="str">
        <f t="shared" si="3"/>
        <v/>
      </c>
      <c r="I318" s="94" t="str">
        <f t="shared" ref="I318:J318" si="319">if(G318 = "", , -G318)</f>
        <v/>
      </c>
      <c r="J318" s="94" t="str">
        <f t="shared" si="319"/>
        <v/>
      </c>
      <c r="K318" s="100"/>
      <c r="M318" s="100"/>
      <c r="N318" s="100"/>
      <c r="O318" s="100"/>
      <c r="P318" s="100"/>
    </row>
    <row r="319">
      <c r="A319" s="107">
        <v>2743.0</v>
      </c>
      <c r="B319" s="108" t="s">
        <v>85</v>
      </c>
      <c r="C319" s="108" t="s">
        <v>282</v>
      </c>
      <c r="D319" s="112" t="s">
        <v>177</v>
      </c>
      <c r="E319" s="112">
        <v>1373.1</v>
      </c>
      <c r="F319" s="111" t="str">
        <f>DataPull!D319</f>
        <v/>
      </c>
      <c r="G319" s="94" t="str">
        <f t="shared" si="2"/>
        <v/>
      </c>
      <c r="H319" s="94" t="str">
        <f t="shared" si="3"/>
        <v/>
      </c>
      <c r="I319" s="94" t="str">
        <f t="shared" ref="I319:J319" si="320">if(G319 = "", , -G319)</f>
        <v/>
      </c>
      <c r="J319" s="94" t="str">
        <f t="shared" si="320"/>
        <v/>
      </c>
      <c r="K319" s="100"/>
      <c r="M319" s="100"/>
      <c r="N319" s="100"/>
      <c r="O319" s="100"/>
      <c r="P319" s="100"/>
    </row>
    <row r="320">
      <c r="A320" s="107">
        <v>2743.0</v>
      </c>
      <c r="B320" s="108" t="s">
        <v>90</v>
      </c>
      <c r="C320" s="108" t="s">
        <v>282</v>
      </c>
      <c r="D320" s="112" t="s">
        <v>176</v>
      </c>
      <c r="E320" s="112">
        <v>1344.0</v>
      </c>
      <c r="F320" s="111" t="str">
        <f>DataPull!D320</f>
        <v/>
      </c>
      <c r="G320" s="94" t="str">
        <f t="shared" si="2"/>
        <v/>
      </c>
      <c r="H320" s="94" t="str">
        <f t="shared" si="3"/>
        <v/>
      </c>
      <c r="I320" s="94" t="str">
        <f t="shared" ref="I320:J320" si="321">if(G320 = "", , -G320)</f>
        <v/>
      </c>
      <c r="J320" s="94" t="str">
        <f t="shared" si="321"/>
        <v/>
      </c>
      <c r="K320" s="100"/>
      <c r="L320" s="100"/>
      <c r="N320" s="100"/>
      <c r="O320" s="100"/>
      <c r="P320" s="100"/>
    </row>
    <row r="321">
      <c r="A321" s="107">
        <v>2743.0</v>
      </c>
      <c r="B321" s="108" t="s">
        <v>92</v>
      </c>
      <c r="C321" s="108" t="s">
        <v>282</v>
      </c>
      <c r="D321" s="112" t="s">
        <v>177</v>
      </c>
      <c r="E321" s="112">
        <v>832.1</v>
      </c>
      <c r="F321" s="111" t="str">
        <f>DataPull!D321</f>
        <v/>
      </c>
      <c r="G321" s="94" t="str">
        <f t="shared" si="2"/>
        <v/>
      </c>
      <c r="H321" s="94" t="str">
        <f t="shared" si="3"/>
        <v/>
      </c>
      <c r="I321" s="94" t="str">
        <f t="shared" ref="I321:J321" si="322">if(G321 = "", , -G321)</f>
        <v/>
      </c>
      <c r="J321" s="94" t="str">
        <f t="shared" si="322"/>
        <v/>
      </c>
      <c r="K321" s="100"/>
      <c r="M321" s="100"/>
      <c r="N321" s="100"/>
      <c r="O321" s="100"/>
      <c r="P321" s="100"/>
    </row>
    <row r="322">
      <c r="A322" s="107">
        <v>2743.0</v>
      </c>
      <c r="B322" s="108" t="s">
        <v>190</v>
      </c>
      <c r="C322" s="108" t="s">
        <v>282</v>
      </c>
      <c r="D322" s="112" t="s">
        <v>177</v>
      </c>
      <c r="E322" s="112">
        <v>688.8</v>
      </c>
      <c r="F322" s="111" t="str">
        <f>DataPull!D322</f>
        <v/>
      </c>
      <c r="G322" s="94" t="str">
        <f t="shared" si="2"/>
        <v/>
      </c>
      <c r="H322" s="94" t="str">
        <f t="shared" si="3"/>
        <v/>
      </c>
      <c r="I322" s="94" t="str">
        <f t="shared" ref="I322:J322" si="323">if(G322 = "", , -G322)</f>
        <v/>
      </c>
      <c r="J322" s="94" t="str">
        <f t="shared" si="323"/>
        <v/>
      </c>
      <c r="K322" s="100"/>
      <c r="M322" s="100"/>
      <c r="N322" s="100"/>
      <c r="O322" s="100"/>
      <c r="P322" s="100"/>
    </row>
    <row r="323">
      <c r="A323" s="107">
        <v>2744.0</v>
      </c>
      <c r="B323" s="108" t="s">
        <v>85</v>
      </c>
      <c r="C323" s="108" t="s">
        <v>283</v>
      </c>
      <c r="D323" s="112" t="s">
        <v>178</v>
      </c>
      <c r="E323" s="112">
        <v>2555.0</v>
      </c>
      <c r="F323" s="111" t="str">
        <f>DataPull!D323</f>
        <v/>
      </c>
      <c r="G323" s="94" t="str">
        <f t="shared" si="2"/>
        <v/>
      </c>
      <c r="H323" s="94" t="str">
        <f t="shared" si="3"/>
        <v/>
      </c>
      <c r="I323" s="94" t="str">
        <f t="shared" ref="I323:J323" si="324">if(G323 = "", , -G323)</f>
        <v/>
      </c>
      <c r="J323" s="94" t="str">
        <f t="shared" si="324"/>
        <v/>
      </c>
      <c r="K323" s="100"/>
      <c r="M323" s="100"/>
      <c r="N323" s="100"/>
      <c r="O323" s="100"/>
      <c r="P323" s="100"/>
    </row>
    <row r="324">
      <c r="A324" s="107">
        <v>2744.0</v>
      </c>
      <c r="B324" s="108" t="s">
        <v>90</v>
      </c>
      <c r="C324" s="108" t="s">
        <v>283</v>
      </c>
      <c r="D324" s="112" t="s">
        <v>178</v>
      </c>
      <c r="E324" s="112">
        <v>1989.0</v>
      </c>
      <c r="F324" s="111" t="str">
        <f>DataPull!D324</f>
        <v/>
      </c>
      <c r="G324" s="94" t="str">
        <f t="shared" si="2"/>
        <v/>
      </c>
      <c r="H324" s="94" t="str">
        <f t="shared" si="3"/>
        <v/>
      </c>
      <c r="I324" s="94" t="str">
        <f t="shared" ref="I324:J324" si="325">if(G324 = "", , -G324)</f>
        <v/>
      </c>
      <c r="J324" s="94" t="str">
        <f t="shared" si="325"/>
        <v/>
      </c>
      <c r="K324" s="100"/>
      <c r="M324" s="100"/>
      <c r="N324" s="100"/>
      <c r="O324" s="100"/>
      <c r="P324" s="100"/>
    </row>
    <row r="325">
      <c r="A325" s="107">
        <v>2744.0</v>
      </c>
      <c r="B325" s="108" t="s">
        <v>92</v>
      </c>
      <c r="C325" s="108" t="s">
        <v>283</v>
      </c>
      <c r="D325" s="112" t="s">
        <v>176</v>
      </c>
      <c r="E325" s="112">
        <v>1095.1</v>
      </c>
      <c r="F325" s="111" t="str">
        <f>DataPull!D325</f>
        <v/>
      </c>
      <c r="G325" s="94" t="str">
        <f t="shared" si="2"/>
        <v/>
      </c>
      <c r="H325" s="94" t="str">
        <f t="shared" si="3"/>
        <v/>
      </c>
      <c r="I325" s="94" t="str">
        <f t="shared" ref="I325:J325" si="326">if(G325 = "", , -G325)</f>
        <v/>
      </c>
      <c r="J325" s="94" t="str">
        <f t="shared" si="326"/>
        <v/>
      </c>
      <c r="K325" s="100"/>
      <c r="M325" s="100"/>
      <c r="N325" s="100"/>
      <c r="O325" s="100"/>
      <c r="P325" s="100"/>
    </row>
    <row r="326">
      <c r="A326" s="107">
        <v>2744.0</v>
      </c>
      <c r="B326" s="108" t="s">
        <v>190</v>
      </c>
      <c r="C326" s="108" t="s">
        <v>283</v>
      </c>
      <c r="D326" s="112" t="s">
        <v>177</v>
      </c>
      <c r="E326" s="112">
        <v>930.6</v>
      </c>
      <c r="F326" s="111" t="str">
        <f>DataPull!D326</f>
        <v/>
      </c>
      <c r="G326" s="94" t="str">
        <f t="shared" si="2"/>
        <v/>
      </c>
      <c r="H326" s="94" t="str">
        <f t="shared" si="3"/>
        <v/>
      </c>
      <c r="I326" s="94" t="str">
        <f t="shared" ref="I326:J326" si="327">if(G326 = "", , -G326)</f>
        <v/>
      </c>
      <c r="J326" s="94" t="str">
        <f t="shared" si="327"/>
        <v/>
      </c>
      <c r="K326" s="100"/>
      <c r="M326" s="100"/>
      <c r="N326" s="100"/>
      <c r="O326" s="100"/>
      <c r="P326" s="100"/>
    </row>
    <row r="327">
      <c r="A327" s="107">
        <v>2744.0</v>
      </c>
      <c r="B327" s="108" t="s">
        <v>191</v>
      </c>
      <c r="C327" s="108" t="s">
        <v>283</v>
      </c>
      <c r="D327" s="112" t="s">
        <v>177</v>
      </c>
      <c r="E327" s="112">
        <v>482.4</v>
      </c>
      <c r="F327" s="111" t="str">
        <f>DataPull!D327</f>
        <v/>
      </c>
      <c r="G327" s="94" t="str">
        <f t="shared" si="2"/>
        <v/>
      </c>
      <c r="H327" s="94" t="str">
        <f t="shared" si="3"/>
        <v/>
      </c>
      <c r="I327" s="94" t="str">
        <f t="shared" ref="I327:J327" si="328">if(G327 = "", , -G327)</f>
        <v/>
      </c>
      <c r="J327" s="94" t="str">
        <f t="shared" si="328"/>
        <v/>
      </c>
      <c r="K327" s="100"/>
      <c r="L327" s="100"/>
      <c r="N327" s="100"/>
      <c r="O327" s="100"/>
      <c r="P327" s="100"/>
    </row>
    <row r="328">
      <c r="A328" s="107">
        <v>2746.0</v>
      </c>
      <c r="B328" s="108" t="s">
        <v>85</v>
      </c>
      <c r="C328" s="108" t="s">
        <v>284</v>
      </c>
      <c r="D328" s="112" t="s">
        <v>178</v>
      </c>
      <c r="E328" s="112">
        <v>2733.5</v>
      </c>
      <c r="F328" s="111" t="str">
        <f>DataPull!D328</f>
        <v/>
      </c>
      <c r="G328" s="94" t="str">
        <f t="shared" si="2"/>
        <v/>
      </c>
      <c r="H328" s="94" t="str">
        <f t="shared" si="3"/>
        <v/>
      </c>
      <c r="I328" s="94" t="str">
        <f t="shared" ref="I328:J328" si="329">if(G328 = "", , -G328)</f>
        <v/>
      </c>
      <c r="J328" s="94" t="str">
        <f t="shared" si="329"/>
        <v/>
      </c>
      <c r="K328" s="100"/>
      <c r="M328" s="100"/>
      <c r="N328" s="100"/>
      <c r="O328" s="100"/>
      <c r="P328" s="100"/>
    </row>
    <row r="329">
      <c r="A329" s="107">
        <v>2746.0</v>
      </c>
      <c r="B329" s="108" t="s">
        <v>90</v>
      </c>
      <c r="C329" s="108" t="s">
        <v>284</v>
      </c>
      <c r="D329" s="112" t="s">
        <v>176</v>
      </c>
      <c r="E329" s="112">
        <v>2299.1</v>
      </c>
      <c r="F329" s="111" t="str">
        <f>DataPull!D329</f>
        <v/>
      </c>
      <c r="G329" s="94" t="str">
        <f t="shared" si="2"/>
        <v/>
      </c>
      <c r="H329" s="94" t="str">
        <f t="shared" si="3"/>
        <v/>
      </c>
      <c r="I329" s="94" t="str">
        <f t="shared" ref="I329:J329" si="330">if(G329 = "", , -G329)</f>
        <v/>
      </c>
      <c r="J329" s="94" t="str">
        <f t="shared" si="330"/>
        <v/>
      </c>
      <c r="K329" s="100"/>
      <c r="M329" s="100"/>
      <c r="N329" s="100"/>
      <c r="O329" s="100"/>
      <c r="P329" s="100"/>
    </row>
    <row r="330">
      <c r="A330" s="107">
        <v>2746.0</v>
      </c>
      <c r="B330" s="108" t="s">
        <v>92</v>
      </c>
      <c r="C330" s="108" t="s">
        <v>284</v>
      </c>
      <c r="D330" s="112" t="s">
        <v>177</v>
      </c>
      <c r="E330" s="112">
        <v>880.0</v>
      </c>
      <c r="F330" s="111" t="str">
        <f>DataPull!D330</f>
        <v/>
      </c>
      <c r="G330" s="94" t="str">
        <f t="shared" si="2"/>
        <v/>
      </c>
      <c r="H330" s="94" t="str">
        <f t="shared" si="3"/>
        <v/>
      </c>
      <c r="I330" s="94" t="str">
        <f t="shared" ref="I330:J330" si="331">if(G330 = "", , -G330)</f>
        <v/>
      </c>
      <c r="J330" s="94" t="str">
        <f t="shared" si="331"/>
        <v/>
      </c>
      <c r="K330" s="100"/>
      <c r="M330" s="100"/>
      <c r="N330" s="100"/>
      <c r="O330" s="100"/>
      <c r="P330" s="100"/>
    </row>
    <row r="331">
      <c r="A331" s="107">
        <v>2746.0</v>
      </c>
      <c r="B331" s="108" t="s">
        <v>191</v>
      </c>
      <c r="C331" s="108" t="s">
        <v>284</v>
      </c>
      <c r="D331" s="112" t="s">
        <v>181</v>
      </c>
      <c r="E331" s="112">
        <v>11.7</v>
      </c>
      <c r="F331" s="111" t="str">
        <f>DataPull!D331</f>
        <v/>
      </c>
      <c r="G331" s="94" t="str">
        <f t="shared" si="2"/>
        <v/>
      </c>
      <c r="H331" s="94" t="str">
        <f t="shared" si="3"/>
        <v/>
      </c>
      <c r="I331" s="94" t="str">
        <f t="shared" ref="I331:J331" si="332">if(G331 = "", , -G331)</f>
        <v/>
      </c>
      <c r="J331" s="94" t="str">
        <f t="shared" si="332"/>
        <v/>
      </c>
      <c r="K331" s="100"/>
      <c r="M331" s="100"/>
      <c r="N331" s="100"/>
      <c r="O331" s="100"/>
    </row>
    <row r="332">
      <c r="A332" s="107">
        <v>2747.0</v>
      </c>
      <c r="B332" s="108" t="s">
        <v>85</v>
      </c>
      <c r="C332" s="108" t="s">
        <v>285</v>
      </c>
      <c r="D332" s="112" t="s">
        <v>178</v>
      </c>
      <c r="E332" s="112">
        <v>2419.8</v>
      </c>
      <c r="F332" s="111" t="str">
        <f>DataPull!D332</f>
        <v/>
      </c>
      <c r="G332" s="94" t="str">
        <f t="shared" si="2"/>
        <v/>
      </c>
      <c r="H332" s="94" t="str">
        <f t="shared" si="3"/>
        <v/>
      </c>
      <c r="I332" s="94" t="str">
        <f t="shared" ref="I332:J332" si="333">if(G332 = "", , -G332)</f>
        <v/>
      </c>
      <c r="J332" s="94" t="str">
        <f t="shared" si="333"/>
        <v/>
      </c>
      <c r="K332" s="100"/>
      <c r="L332" s="100"/>
      <c r="M332" s="100"/>
      <c r="N332" s="100"/>
      <c r="O332" s="100"/>
      <c r="P332" s="100"/>
    </row>
    <row r="333">
      <c r="A333" s="107">
        <v>2747.0</v>
      </c>
      <c r="B333" s="108" t="s">
        <v>90</v>
      </c>
      <c r="C333" s="108" t="s">
        <v>285</v>
      </c>
      <c r="D333" s="112" t="s">
        <v>178</v>
      </c>
      <c r="E333" s="112">
        <v>2079.0</v>
      </c>
      <c r="F333" s="111" t="str">
        <f>DataPull!D333</f>
        <v/>
      </c>
      <c r="G333" s="94" t="str">
        <f t="shared" si="2"/>
        <v/>
      </c>
      <c r="H333" s="94" t="str">
        <f t="shared" si="3"/>
        <v/>
      </c>
      <c r="I333" s="94" t="str">
        <f t="shared" ref="I333:J333" si="334">if(G333 = "", , -G333)</f>
        <v/>
      </c>
      <c r="J333" s="94" t="str">
        <f t="shared" si="334"/>
        <v/>
      </c>
      <c r="K333" s="100"/>
      <c r="M333" s="100"/>
      <c r="N333" s="100"/>
      <c r="O333" s="100"/>
      <c r="P333" s="100"/>
    </row>
    <row r="334">
      <c r="A334" s="107">
        <v>2747.0</v>
      </c>
      <c r="B334" s="108" t="s">
        <v>92</v>
      </c>
      <c r="C334" s="108" t="s">
        <v>285</v>
      </c>
      <c r="D334" s="112" t="s">
        <v>178</v>
      </c>
      <c r="E334" s="112">
        <v>2363.9</v>
      </c>
      <c r="F334" s="111" t="str">
        <f>DataPull!D334</f>
        <v/>
      </c>
      <c r="G334" s="94" t="str">
        <f t="shared" si="2"/>
        <v/>
      </c>
      <c r="H334" s="94" t="str">
        <f t="shared" si="3"/>
        <v/>
      </c>
      <c r="I334" s="94" t="str">
        <f t="shared" ref="I334:J334" si="335">if(G334 = "", , -G334)</f>
        <v/>
      </c>
      <c r="J334" s="94" t="str">
        <f t="shared" si="335"/>
        <v/>
      </c>
      <c r="K334" s="100"/>
      <c r="M334" s="100"/>
      <c r="N334" s="100"/>
      <c r="O334" s="100"/>
      <c r="P334" s="100"/>
    </row>
    <row r="335">
      <c r="A335" s="107">
        <v>2747.0</v>
      </c>
      <c r="B335" s="108" t="s">
        <v>190</v>
      </c>
      <c r="C335" s="108" t="s">
        <v>285</v>
      </c>
      <c r="D335" s="112" t="s">
        <v>178</v>
      </c>
      <c r="E335" s="112">
        <v>1189.0</v>
      </c>
      <c r="F335" s="111" t="str">
        <f>DataPull!D335</f>
        <v/>
      </c>
      <c r="G335" s="94" t="str">
        <f t="shared" si="2"/>
        <v/>
      </c>
      <c r="H335" s="94" t="str">
        <f t="shared" si="3"/>
        <v/>
      </c>
      <c r="I335" s="94" t="str">
        <f t="shared" ref="I335:J335" si="336">if(G335 = "", , -G335)</f>
        <v/>
      </c>
      <c r="J335" s="94" t="str">
        <f t="shared" si="336"/>
        <v/>
      </c>
      <c r="K335" s="100"/>
      <c r="L335" s="100"/>
      <c r="N335" s="100"/>
      <c r="O335" s="100"/>
      <c r="P335" s="100"/>
    </row>
    <row r="336">
      <c r="A336" s="107">
        <v>2747.0</v>
      </c>
      <c r="B336" s="108" t="s">
        <v>191</v>
      </c>
      <c r="C336" s="108" t="s">
        <v>285</v>
      </c>
      <c r="D336" s="112" t="s">
        <v>178</v>
      </c>
      <c r="E336" s="112">
        <v>2248.0</v>
      </c>
      <c r="F336" s="111" t="str">
        <f>DataPull!D336</f>
        <v/>
      </c>
      <c r="G336" s="94" t="str">
        <f t="shared" si="2"/>
        <v/>
      </c>
      <c r="H336" s="94" t="str">
        <f t="shared" si="3"/>
        <v/>
      </c>
      <c r="I336" s="94" t="str">
        <f t="shared" ref="I336:J336" si="337">if(G336 = "", , -G336)</f>
        <v/>
      </c>
      <c r="J336" s="94" t="str">
        <f t="shared" si="337"/>
        <v/>
      </c>
      <c r="K336" s="100"/>
      <c r="M336" s="100"/>
      <c r="N336" s="100"/>
      <c r="O336" s="100"/>
      <c r="P336" s="100"/>
    </row>
    <row r="337">
      <c r="A337" s="107">
        <v>2747.0</v>
      </c>
      <c r="B337" s="108" t="s">
        <v>192</v>
      </c>
      <c r="C337" s="108" t="s">
        <v>285</v>
      </c>
      <c r="D337" s="112" t="s">
        <v>187</v>
      </c>
      <c r="E337" s="112">
        <v>222.2</v>
      </c>
      <c r="F337" s="111" t="str">
        <f>DataPull!D337</f>
        <v/>
      </c>
      <c r="G337" s="94" t="str">
        <f t="shared" si="2"/>
        <v/>
      </c>
      <c r="H337" s="94" t="str">
        <f t="shared" si="3"/>
        <v/>
      </c>
      <c r="I337" s="94" t="str">
        <f t="shared" ref="I337:J337" si="338">if(G337 = "", , -G337)</f>
        <v/>
      </c>
      <c r="J337" s="94" t="str">
        <f t="shared" si="338"/>
        <v/>
      </c>
      <c r="K337" s="100"/>
      <c r="L337" s="100"/>
      <c r="M337" s="100"/>
      <c r="N337" s="100"/>
      <c r="O337" s="100"/>
      <c r="P337" s="100"/>
    </row>
    <row r="338">
      <c r="A338" s="107">
        <v>2747.0</v>
      </c>
      <c r="B338" s="108" t="s">
        <v>193</v>
      </c>
      <c r="C338" s="108" t="s">
        <v>285</v>
      </c>
      <c r="D338" s="112" t="s">
        <v>181</v>
      </c>
      <c r="E338" s="112">
        <v>79.2</v>
      </c>
      <c r="F338" s="111" t="str">
        <f>DataPull!D338</f>
        <v/>
      </c>
      <c r="G338" s="94" t="str">
        <f t="shared" si="2"/>
        <v/>
      </c>
      <c r="H338" s="94" t="str">
        <f t="shared" si="3"/>
        <v/>
      </c>
      <c r="I338" s="94" t="str">
        <f t="shared" ref="I338:J338" si="339">if(G338 = "", , -G338)</f>
        <v/>
      </c>
      <c r="J338" s="94" t="str">
        <f t="shared" si="339"/>
        <v/>
      </c>
      <c r="K338" s="100"/>
      <c r="M338" s="100"/>
      <c r="N338" s="100"/>
      <c r="O338" s="100"/>
      <c r="P338" s="100"/>
    </row>
    <row r="339">
      <c r="A339" s="107">
        <v>2748.0</v>
      </c>
      <c r="B339" s="108" t="s">
        <v>85</v>
      </c>
      <c r="C339" s="108" t="s">
        <v>286</v>
      </c>
      <c r="D339" s="112" t="s">
        <v>176</v>
      </c>
      <c r="E339" s="112">
        <v>986.0</v>
      </c>
      <c r="F339" s="111" t="str">
        <f>DataPull!D339</f>
        <v/>
      </c>
      <c r="G339" s="94" t="str">
        <f t="shared" si="2"/>
        <v/>
      </c>
      <c r="H339" s="94" t="str">
        <f t="shared" si="3"/>
        <v/>
      </c>
      <c r="I339" s="94" t="str">
        <f t="shared" ref="I339:J339" si="340">if(G339 = "", , -G339)</f>
        <v/>
      </c>
      <c r="J339" s="94" t="str">
        <f t="shared" si="340"/>
        <v/>
      </c>
      <c r="K339" s="100"/>
      <c r="M339" s="100"/>
      <c r="N339" s="100"/>
      <c r="O339" s="100"/>
      <c r="P339" s="100"/>
    </row>
    <row r="340">
      <c r="A340" s="107">
        <v>2748.0</v>
      </c>
      <c r="B340" s="108" t="s">
        <v>90</v>
      </c>
      <c r="C340" s="108" t="s">
        <v>286</v>
      </c>
      <c r="D340" s="112" t="s">
        <v>177</v>
      </c>
      <c r="E340" s="112">
        <v>590.4</v>
      </c>
      <c r="F340" s="111" t="str">
        <f>DataPull!D340</f>
        <v/>
      </c>
      <c r="G340" s="94" t="str">
        <f t="shared" si="2"/>
        <v/>
      </c>
      <c r="H340" s="94" t="str">
        <f t="shared" si="3"/>
        <v/>
      </c>
      <c r="I340" s="94" t="str">
        <f t="shared" ref="I340:J340" si="341">if(G340 = "", , -G340)</f>
        <v/>
      </c>
      <c r="J340" s="94" t="str">
        <f t="shared" si="341"/>
        <v/>
      </c>
      <c r="K340" s="100"/>
      <c r="M340" s="100"/>
      <c r="N340" s="100"/>
      <c r="O340" s="100"/>
      <c r="P340" s="100"/>
    </row>
    <row r="341">
      <c r="A341" s="107">
        <v>2749.0</v>
      </c>
      <c r="B341" s="108" t="s">
        <v>85</v>
      </c>
      <c r="C341" s="108" t="s">
        <v>287</v>
      </c>
      <c r="D341" s="112" t="s">
        <v>178</v>
      </c>
      <c r="E341" s="112">
        <v>2176.0</v>
      </c>
      <c r="F341" s="111" t="str">
        <f>DataPull!D341</f>
        <v/>
      </c>
      <c r="G341" s="94" t="str">
        <f t="shared" si="2"/>
        <v/>
      </c>
      <c r="H341" s="94" t="str">
        <f t="shared" si="3"/>
        <v/>
      </c>
      <c r="I341" s="94" t="str">
        <f t="shared" ref="I341:J341" si="342">if(G341 = "", , -G341)</f>
        <v/>
      </c>
      <c r="J341" s="94" t="str">
        <f t="shared" si="342"/>
        <v/>
      </c>
      <c r="K341" s="100"/>
      <c r="M341" s="100"/>
      <c r="N341" s="100"/>
      <c r="O341" s="100"/>
      <c r="P341" s="100"/>
    </row>
    <row r="342">
      <c r="A342" s="107">
        <v>2749.0</v>
      </c>
      <c r="B342" s="108" t="s">
        <v>90</v>
      </c>
      <c r="C342" s="108" t="s">
        <v>287</v>
      </c>
      <c r="D342" s="112" t="s">
        <v>177</v>
      </c>
      <c r="E342" s="112">
        <v>1404.9</v>
      </c>
      <c r="F342" s="111" t="str">
        <f>DataPull!D342</f>
        <v/>
      </c>
      <c r="G342" s="94" t="str">
        <f t="shared" si="2"/>
        <v/>
      </c>
      <c r="H342" s="94" t="str">
        <f t="shared" si="3"/>
        <v/>
      </c>
      <c r="I342" s="94" t="str">
        <f t="shared" ref="I342:J342" si="343">if(G342 = "", , -G342)</f>
        <v/>
      </c>
      <c r="J342" s="94" t="str">
        <f t="shared" si="343"/>
        <v/>
      </c>
      <c r="K342" s="100"/>
      <c r="M342" s="100"/>
      <c r="N342" s="100"/>
      <c r="O342" s="100"/>
      <c r="P342" s="100"/>
    </row>
    <row r="343">
      <c r="A343" s="107">
        <v>2749.0</v>
      </c>
      <c r="B343" s="108" t="s">
        <v>92</v>
      </c>
      <c r="C343" s="108" t="s">
        <v>287</v>
      </c>
      <c r="D343" s="112" t="s">
        <v>178</v>
      </c>
      <c r="E343" s="112">
        <v>1037.4</v>
      </c>
      <c r="F343" s="111" t="str">
        <f>DataPull!D343</f>
        <v/>
      </c>
      <c r="G343" s="94" t="str">
        <f t="shared" si="2"/>
        <v/>
      </c>
      <c r="H343" s="94" t="str">
        <f t="shared" si="3"/>
        <v/>
      </c>
      <c r="I343" s="94" t="str">
        <f t="shared" ref="I343:J343" si="344">if(G343 = "", , -G343)</f>
        <v/>
      </c>
      <c r="J343" s="94" t="str">
        <f t="shared" si="344"/>
        <v/>
      </c>
      <c r="K343" s="100"/>
      <c r="M343" s="100"/>
      <c r="N343" s="100"/>
      <c r="O343" s="100"/>
      <c r="P343" s="100"/>
    </row>
    <row r="344">
      <c r="A344" s="107">
        <v>2749.0</v>
      </c>
      <c r="B344" s="108" t="s">
        <v>190</v>
      </c>
      <c r="C344" s="108" t="s">
        <v>287</v>
      </c>
      <c r="D344" s="112" t="s">
        <v>176</v>
      </c>
      <c r="E344" s="112">
        <v>2047.5</v>
      </c>
      <c r="F344" s="111" t="str">
        <f>DataPull!D344</f>
        <v/>
      </c>
      <c r="G344" s="94" t="str">
        <f t="shared" si="2"/>
        <v/>
      </c>
      <c r="H344" s="94" t="str">
        <f t="shared" si="3"/>
        <v/>
      </c>
      <c r="I344" s="94" t="str">
        <f t="shared" ref="I344:J344" si="345">if(G344 = "", , -G344)</f>
        <v/>
      </c>
      <c r="J344" s="94" t="str">
        <f t="shared" si="345"/>
        <v/>
      </c>
      <c r="K344" s="100"/>
      <c r="M344" s="100"/>
      <c r="N344" s="100"/>
      <c r="O344" s="100"/>
      <c r="P344" s="100"/>
    </row>
    <row r="345">
      <c r="A345" s="107">
        <v>2749.0</v>
      </c>
      <c r="B345" s="108" t="s">
        <v>191</v>
      </c>
      <c r="C345" s="108" t="s">
        <v>287</v>
      </c>
      <c r="D345" s="112" t="s">
        <v>177</v>
      </c>
      <c r="E345" s="112">
        <v>1015.0</v>
      </c>
      <c r="F345" s="111" t="str">
        <f>DataPull!D345</f>
        <v/>
      </c>
      <c r="G345" s="94" t="str">
        <f t="shared" si="2"/>
        <v/>
      </c>
      <c r="H345" s="94" t="str">
        <f t="shared" si="3"/>
        <v/>
      </c>
      <c r="I345" s="94" t="str">
        <f t="shared" ref="I345:J345" si="346">if(G345 = "", , -G345)</f>
        <v/>
      </c>
      <c r="J345" s="94" t="str">
        <f t="shared" si="346"/>
        <v/>
      </c>
      <c r="K345" s="100"/>
      <c r="M345" s="100"/>
      <c r="N345" s="100"/>
      <c r="O345" s="100"/>
      <c r="P345" s="100"/>
    </row>
    <row r="346">
      <c r="A346" s="107">
        <v>2754.0</v>
      </c>
      <c r="B346" s="108" t="s">
        <v>85</v>
      </c>
      <c r="C346" s="108" t="s">
        <v>288</v>
      </c>
      <c r="D346" s="112" t="s">
        <v>176</v>
      </c>
      <c r="E346" s="112">
        <v>1276.0</v>
      </c>
      <c r="F346" s="111" t="str">
        <f>DataPull!D346</f>
        <v/>
      </c>
      <c r="G346" s="94" t="str">
        <f t="shared" si="2"/>
        <v/>
      </c>
      <c r="H346" s="94" t="str">
        <f t="shared" si="3"/>
        <v/>
      </c>
      <c r="I346" s="94" t="str">
        <f t="shared" ref="I346:J346" si="347">if(G346 = "", , -G346)</f>
        <v/>
      </c>
      <c r="J346" s="94" t="str">
        <f t="shared" si="347"/>
        <v/>
      </c>
      <c r="K346" s="100"/>
      <c r="M346" s="100"/>
      <c r="N346" s="100"/>
      <c r="O346" s="100"/>
      <c r="P346" s="100"/>
    </row>
    <row r="347">
      <c r="A347" s="107">
        <v>2754.0</v>
      </c>
      <c r="B347" s="108" t="s">
        <v>90</v>
      </c>
      <c r="C347" s="108" t="s">
        <v>288</v>
      </c>
      <c r="D347" s="112" t="s">
        <v>176</v>
      </c>
      <c r="E347" s="112">
        <v>1650.6</v>
      </c>
      <c r="F347" s="111" t="str">
        <f>DataPull!D347</f>
        <v/>
      </c>
      <c r="G347" s="94" t="str">
        <f t="shared" si="2"/>
        <v/>
      </c>
      <c r="H347" s="94" t="str">
        <f t="shared" si="3"/>
        <v/>
      </c>
      <c r="I347" s="94" t="str">
        <f t="shared" ref="I347:J347" si="348">if(G347 = "", , -G347)</f>
        <v/>
      </c>
      <c r="J347" s="94" t="str">
        <f t="shared" si="348"/>
        <v/>
      </c>
      <c r="K347" s="100"/>
      <c r="M347" s="100"/>
      <c r="O347" s="100"/>
    </row>
    <row r="348">
      <c r="A348" s="107">
        <v>2754.0</v>
      </c>
      <c r="B348" s="108" t="s">
        <v>92</v>
      </c>
      <c r="C348" s="108" t="s">
        <v>288</v>
      </c>
      <c r="D348" s="112" t="s">
        <v>176</v>
      </c>
      <c r="E348" s="112">
        <v>1619.2</v>
      </c>
      <c r="F348" s="111" t="str">
        <f>DataPull!D348</f>
        <v/>
      </c>
      <c r="G348" s="94" t="str">
        <f t="shared" si="2"/>
        <v/>
      </c>
      <c r="H348" s="94" t="str">
        <f t="shared" si="3"/>
        <v/>
      </c>
      <c r="I348" s="94" t="str">
        <f t="shared" ref="I348:J348" si="349">if(G348 = "", , -G348)</f>
        <v/>
      </c>
      <c r="J348" s="94" t="str">
        <f t="shared" si="349"/>
        <v/>
      </c>
      <c r="K348" s="100"/>
      <c r="M348" s="100"/>
      <c r="N348" s="100"/>
      <c r="O348" s="100"/>
      <c r="P348" s="100"/>
    </row>
    <row r="349">
      <c r="A349" s="107">
        <v>2754.0</v>
      </c>
      <c r="B349" s="108" t="s">
        <v>190</v>
      </c>
      <c r="C349" s="108" t="s">
        <v>288</v>
      </c>
      <c r="D349" s="112" t="s">
        <v>178</v>
      </c>
      <c r="E349" s="112">
        <v>1917.0</v>
      </c>
      <c r="F349" s="111" t="str">
        <f>DataPull!D349</f>
        <v/>
      </c>
      <c r="G349" s="94" t="str">
        <f t="shared" si="2"/>
        <v/>
      </c>
      <c r="H349" s="94" t="str">
        <f t="shared" si="3"/>
        <v/>
      </c>
      <c r="I349" s="94" t="str">
        <f t="shared" ref="I349:J349" si="350">if(G349 = "", , -G349)</f>
        <v/>
      </c>
      <c r="J349" s="94" t="str">
        <f t="shared" si="350"/>
        <v/>
      </c>
      <c r="K349" s="100"/>
      <c r="M349" s="100"/>
      <c r="N349" s="100"/>
      <c r="O349" s="100"/>
      <c r="P349" s="100"/>
    </row>
    <row r="350">
      <c r="A350" s="107">
        <v>2754.0</v>
      </c>
      <c r="B350" s="108" t="s">
        <v>191</v>
      </c>
      <c r="C350" s="108" t="s">
        <v>288</v>
      </c>
      <c r="D350" s="112" t="s">
        <v>187</v>
      </c>
      <c r="E350" s="112">
        <v>272.8</v>
      </c>
      <c r="F350" s="111" t="str">
        <f>DataPull!D350</f>
        <v/>
      </c>
      <c r="G350" s="94" t="str">
        <f t="shared" si="2"/>
        <v/>
      </c>
      <c r="H350" s="94" t="str">
        <f t="shared" si="3"/>
        <v/>
      </c>
      <c r="I350" s="94" t="str">
        <f t="shared" ref="I350:J350" si="351">if(G350 = "", , -G350)</f>
        <v/>
      </c>
      <c r="J350" s="94" t="str">
        <f t="shared" si="351"/>
        <v/>
      </c>
      <c r="K350" s="100"/>
      <c r="M350" s="100"/>
      <c r="N350" s="100"/>
      <c r="O350" s="100"/>
      <c r="P350" s="100"/>
    </row>
    <row r="351">
      <c r="A351" s="107">
        <v>2755.0</v>
      </c>
      <c r="B351" s="108" t="s">
        <v>85</v>
      </c>
      <c r="C351" s="108" t="s">
        <v>289</v>
      </c>
      <c r="D351" s="112" t="s">
        <v>178</v>
      </c>
      <c r="E351" s="112">
        <v>2176.0</v>
      </c>
      <c r="F351" s="111" t="str">
        <f>DataPull!D351</f>
        <v/>
      </c>
      <c r="G351" s="94" t="str">
        <f t="shared" si="2"/>
        <v/>
      </c>
      <c r="H351" s="94" t="str">
        <f t="shared" si="3"/>
        <v/>
      </c>
      <c r="I351" s="94" t="str">
        <f t="shared" ref="I351:J351" si="352">if(G351 = "", , -G351)</f>
        <v/>
      </c>
      <c r="J351" s="94" t="str">
        <f t="shared" si="352"/>
        <v/>
      </c>
      <c r="K351" s="100"/>
      <c r="L351" s="100"/>
      <c r="M351" s="100"/>
      <c r="N351" s="100"/>
      <c r="O351" s="100"/>
      <c r="P351" s="100"/>
    </row>
    <row r="352">
      <c r="A352" s="107">
        <v>2755.0</v>
      </c>
      <c r="B352" s="108" t="s">
        <v>90</v>
      </c>
      <c r="C352" s="108" t="s">
        <v>289</v>
      </c>
      <c r="D352" s="112" t="s">
        <v>178</v>
      </c>
      <c r="E352" s="112">
        <v>1302.6</v>
      </c>
      <c r="F352" s="111" t="str">
        <f>DataPull!D352</f>
        <v/>
      </c>
      <c r="G352" s="94" t="str">
        <f t="shared" si="2"/>
        <v/>
      </c>
      <c r="H352" s="94" t="str">
        <f t="shared" si="3"/>
        <v/>
      </c>
      <c r="I352" s="94" t="str">
        <f t="shared" ref="I352:J352" si="353">if(G352 = "", , -G352)</f>
        <v/>
      </c>
      <c r="J352" s="94" t="str">
        <f t="shared" si="353"/>
        <v/>
      </c>
      <c r="K352" s="100"/>
      <c r="M352" s="100"/>
      <c r="N352" s="100"/>
      <c r="O352" s="100"/>
      <c r="P352" s="100"/>
    </row>
    <row r="353">
      <c r="A353" s="107">
        <v>2755.0</v>
      </c>
      <c r="B353" s="108" t="s">
        <v>92</v>
      </c>
      <c r="C353" s="108" t="s">
        <v>289</v>
      </c>
      <c r="D353" s="112" t="s">
        <v>176</v>
      </c>
      <c r="E353" s="112">
        <v>1094.5</v>
      </c>
      <c r="F353" s="111" t="str">
        <f>DataPull!D353</f>
        <v/>
      </c>
      <c r="G353" s="94" t="str">
        <f t="shared" si="2"/>
        <v/>
      </c>
      <c r="H353" s="94" t="str">
        <f t="shared" si="3"/>
        <v/>
      </c>
      <c r="I353" s="94" t="str">
        <f t="shared" ref="I353:J353" si="354">if(G353 = "", , -G353)</f>
        <v/>
      </c>
      <c r="J353" s="94" t="str">
        <f t="shared" si="354"/>
        <v/>
      </c>
      <c r="K353" s="100"/>
      <c r="L353" s="100"/>
      <c r="N353" s="100"/>
      <c r="O353" s="100"/>
      <c r="P353" s="100"/>
    </row>
    <row r="354">
      <c r="A354" s="107">
        <v>2756.0</v>
      </c>
      <c r="B354" s="108" t="s">
        <v>85</v>
      </c>
      <c r="C354" s="108" t="s">
        <v>290</v>
      </c>
      <c r="D354" s="112" t="s">
        <v>181</v>
      </c>
      <c r="E354" s="112">
        <v>10.4</v>
      </c>
      <c r="F354" s="111" t="str">
        <f>DataPull!D354</f>
        <v/>
      </c>
      <c r="G354" s="94" t="str">
        <f t="shared" si="2"/>
        <v/>
      </c>
      <c r="H354" s="94" t="str">
        <f t="shared" si="3"/>
        <v/>
      </c>
      <c r="I354" s="94" t="str">
        <f t="shared" ref="I354:J354" si="355">if(G354 = "", , -G354)</f>
        <v/>
      </c>
      <c r="J354" s="94" t="str">
        <f t="shared" si="355"/>
        <v/>
      </c>
      <c r="K354" s="100"/>
      <c r="M354" s="100"/>
      <c r="N354" s="100"/>
      <c r="O354" s="100"/>
      <c r="P354" s="100"/>
    </row>
    <row r="355">
      <c r="A355" s="107">
        <v>2756.0</v>
      </c>
      <c r="B355" s="108" t="s">
        <v>92</v>
      </c>
      <c r="C355" s="108" t="s">
        <v>290</v>
      </c>
      <c r="D355" s="112" t="s">
        <v>177</v>
      </c>
      <c r="E355" s="112">
        <v>908.9</v>
      </c>
      <c r="F355" s="111" t="str">
        <f>DataPull!D355</f>
        <v/>
      </c>
      <c r="G355" s="94" t="str">
        <f t="shared" si="2"/>
        <v/>
      </c>
      <c r="H355" s="94" t="str">
        <f t="shared" si="3"/>
        <v/>
      </c>
      <c r="I355" s="94" t="str">
        <f t="shared" ref="I355:J355" si="356">if(G355 = "", , -G355)</f>
        <v/>
      </c>
      <c r="J355" s="94" t="str">
        <f t="shared" si="356"/>
        <v/>
      </c>
      <c r="K355" s="100"/>
      <c r="M355" s="100"/>
      <c r="N355" s="100"/>
      <c r="O355" s="100"/>
      <c r="P355" s="100"/>
    </row>
    <row r="356">
      <c r="A356" s="107">
        <v>2756.0</v>
      </c>
      <c r="B356" s="108" t="s">
        <v>190</v>
      </c>
      <c r="C356" s="108" t="s">
        <v>290</v>
      </c>
      <c r="D356" s="112" t="s">
        <v>187</v>
      </c>
      <c r="E356" s="112">
        <v>407.4</v>
      </c>
      <c r="F356" s="111" t="str">
        <f>DataPull!D356</f>
        <v/>
      </c>
      <c r="G356" s="94" t="str">
        <f t="shared" si="2"/>
        <v/>
      </c>
      <c r="H356" s="94" t="str">
        <f t="shared" si="3"/>
        <v/>
      </c>
      <c r="I356" s="94" t="str">
        <f t="shared" ref="I356:J356" si="357">if(G356 = "", , -G356)</f>
        <v/>
      </c>
      <c r="J356" s="94" t="str">
        <f t="shared" si="357"/>
        <v/>
      </c>
      <c r="K356" s="100"/>
      <c r="M356" s="100"/>
      <c r="N356" s="100"/>
      <c r="O356" s="100"/>
      <c r="P356" s="100"/>
    </row>
    <row r="357">
      <c r="A357" s="107">
        <v>2757.0</v>
      </c>
      <c r="B357" s="108" t="s">
        <v>85</v>
      </c>
      <c r="C357" s="108" t="s">
        <v>291</v>
      </c>
      <c r="D357" s="112" t="s">
        <v>177</v>
      </c>
      <c r="E357" s="112">
        <v>643.7</v>
      </c>
      <c r="F357" s="111" t="str">
        <f>DataPull!D357</f>
        <v/>
      </c>
      <c r="G357" s="94" t="str">
        <f t="shared" si="2"/>
        <v/>
      </c>
      <c r="H357" s="94" t="str">
        <f t="shared" si="3"/>
        <v/>
      </c>
      <c r="I357" s="94" t="str">
        <f t="shared" ref="I357:J357" si="358">if(G357 = "", , -G357)</f>
        <v/>
      </c>
      <c r="J357" s="94" t="str">
        <f t="shared" si="358"/>
        <v/>
      </c>
      <c r="K357" s="100"/>
      <c r="M357" s="100"/>
      <c r="O357" s="100"/>
    </row>
    <row r="358">
      <c r="A358" s="107">
        <v>2757.0</v>
      </c>
      <c r="B358" s="108" t="s">
        <v>90</v>
      </c>
      <c r="C358" s="108" t="s">
        <v>291</v>
      </c>
      <c r="D358" s="112" t="s">
        <v>177</v>
      </c>
      <c r="E358" s="112">
        <v>1493.1</v>
      </c>
      <c r="F358" s="111" t="str">
        <f>DataPull!D358</f>
        <v/>
      </c>
      <c r="G358" s="94" t="str">
        <f t="shared" si="2"/>
        <v/>
      </c>
      <c r="H358" s="94" t="str">
        <f t="shared" si="3"/>
        <v/>
      </c>
      <c r="I358" s="94" t="str">
        <f t="shared" ref="I358:J358" si="359">if(G358 = "", , -G358)</f>
        <v/>
      </c>
      <c r="J358" s="94" t="str">
        <f t="shared" si="359"/>
        <v/>
      </c>
      <c r="K358" s="100"/>
      <c r="L358" s="100"/>
      <c r="M358" s="100"/>
      <c r="N358" s="100"/>
      <c r="O358" s="100"/>
      <c r="P358" s="100"/>
    </row>
    <row r="359">
      <c r="A359" s="107">
        <v>2757.0</v>
      </c>
      <c r="B359" s="108" t="s">
        <v>92</v>
      </c>
      <c r="C359" s="108" t="s">
        <v>291</v>
      </c>
      <c r="D359" s="112" t="s">
        <v>177</v>
      </c>
      <c r="E359" s="112">
        <v>708.4</v>
      </c>
      <c r="F359" s="111" t="str">
        <f>DataPull!D359</f>
        <v/>
      </c>
      <c r="G359" s="94" t="str">
        <f t="shared" si="2"/>
        <v/>
      </c>
      <c r="H359" s="94" t="str">
        <f t="shared" si="3"/>
        <v/>
      </c>
      <c r="I359" s="94" t="str">
        <f t="shared" ref="I359:J359" si="360">if(G359 = "", , -G359)</f>
        <v/>
      </c>
      <c r="J359" s="94" t="str">
        <f t="shared" si="360"/>
        <v/>
      </c>
      <c r="K359" s="100"/>
      <c r="M359" s="100"/>
      <c r="N359" s="100"/>
      <c r="O359" s="100"/>
      <c r="P359" s="100"/>
    </row>
    <row r="360">
      <c r="A360" s="107">
        <v>2757.0</v>
      </c>
      <c r="B360" s="108" t="s">
        <v>190</v>
      </c>
      <c r="C360" s="108" t="s">
        <v>291</v>
      </c>
      <c r="D360" s="112" t="s">
        <v>177</v>
      </c>
      <c r="E360" s="112">
        <v>561.6</v>
      </c>
      <c r="F360" s="111" t="str">
        <f>DataPull!D360</f>
        <v/>
      </c>
      <c r="G360" s="94" t="str">
        <f t="shared" si="2"/>
        <v/>
      </c>
      <c r="H360" s="94" t="str">
        <f t="shared" si="3"/>
        <v/>
      </c>
      <c r="I360" s="94" t="str">
        <f t="shared" ref="I360:J360" si="361">if(G360 = "", , -G360)</f>
        <v/>
      </c>
      <c r="J360" s="94" t="str">
        <f t="shared" si="361"/>
        <v/>
      </c>
      <c r="K360" s="100"/>
      <c r="M360" s="100"/>
      <c r="N360" s="100"/>
      <c r="O360" s="100"/>
      <c r="P360" s="100"/>
    </row>
    <row r="361">
      <c r="A361" s="107">
        <v>2760.0</v>
      </c>
      <c r="B361" s="108" t="s">
        <v>85</v>
      </c>
      <c r="C361" s="108" t="s">
        <v>292</v>
      </c>
      <c r="D361" s="112" t="s">
        <v>176</v>
      </c>
      <c r="E361" s="112">
        <v>1800.5</v>
      </c>
      <c r="F361" s="111" t="str">
        <f>DataPull!D361</f>
        <v/>
      </c>
      <c r="G361" s="94" t="str">
        <f t="shared" si="2"/>
        <v/>
      </c>
      <c r="H361" s="94" t="str">
        <f t="shared" si="3"/>
        <v/>
      </c>
      <c r="I361" s="94" t="str">
        <f t="shared" ref="I361:J361" si="362">if(G361 = "", , -G361)</f>
        <v/>
      </c>
      <c r="J361" s="94" t="str">
        <f t="shared" si="362"/>
        <v/>
      </c>
      <c r="K361" s="100"/>
      <c r="M361" s="100"/>
      <c r="N361" s="100"/>
      <c r="O361" s="100"/>
      <c r="P361" s="100"/>
    </row>
    <row r="362">
      <c r="A362" s="107">
        <v>2760.0</v>
      </c>
      <c r="B362" s="108" t="s">
        <v>90</v>
      </c>
      <c r="C362" s="108" t="s">
        <v>292</v>
      </c>
      <c r="D362" s="112" t="s">
        <v>176</v>
      </c>
      <c r="E362" s="112">
        <v>634.4</v>
      </c>
      <c r="F362" s="111" t="str">
        <f>DataPull!D362</f>
        <v/>
      </c>
      <c r="G362" s="94" t="str">
        <f t="shared" si="2"/>
        <v/>
      </c>
      <c r="H362" s="94" t="str">
        <f t="shared" si="3"/>
        <v/>
      </c>
      <c r="I362" s="94" t="str">
        <f t="shared" ref="I362:J362" si="363">if(G362 = "", , -G362)</f>
        <v/>
      </c>
      <c r="J362" s="94" t="str">
        <f t="shared" si="363"/>
        <v/>
      </c>
      <c r="K362" s="100"/>
      <c r="M362" s="100"/>
      <c r="N362" s="100"/>
      <c r="O362" s="100"/>
      <c r="P362" s="100"/>
    </row>
    <row r="363">
      <c r="A363" s="107">
        <v>2760.0</v>
      </c>
      <c r="B363" s="108" t="s">
        <v>92</v>
      </c>
      <c r="C363" s="108" t="s">
        <v>292</v>
      </c>
      <c r="D363" s="112" t="s">
        <v>187</v>
      </c>
      <c r="E363" s="112">
        <v>498.2</v>
      </c>
      <c r="F363" s="111" t="str">
        <f>DataPull!D363</f>
        <v/>
      </c>
      <c r="G363" s="94" t="str">
        <f t="shared" si="2"/>
        <v/>
      </c>
      <c r="H363" s="94" t="str">
        <f t="shared" si="3"/>
        <v/>
      </c>
      <c r="I363" s="94" t="str">
        <f t="shared" ref="I363:J363" si="364">if(G363 = "", , -G363)</f>
        <v/>
      </c>
      <c r="J363" s="94" t="str">
        <f t="shared" si="364"/>
        <v/>
      </c>
      <c r="K363" s="100"/>
      <c r="M363" s="100"/>
      <c r="N363" s="100"/>
      <c r="O363" s="100"/>
      <c r="P363" s="100"/>
    </row>
    <row r="364">
      <c r="A364" s="107">
        <v>2760.0</v>
      </c>
      <c r="B364" s="108" t="s">
        <v>190</v>
      </c>
      <c r="C364" s="108" t="s">
        <v>292</v>
      </c>
      <c r="D364" s="112" t="s">
        <v>187</v>
      </c>
      <c r="E364" s="112">
        <v>92.4</v>
      </c>
      <c r="F364" s="111" t="str">
        <f>DataPull!D364</f>
        <v/>
      </c>
      <c r="G364" s="94" t="str">
        <f t="shared" si="2"/>
        <v/>
      </c>
      <c r="H364" s="94" t="str">
        <f t="shared" si="3"/>
        <v/>
      </c>
      <c r="I364" s="94" t="str">
        <f t="shared" ref="I364:J364" si="365">if(G364 = "", , -G364)</f>
        <v/>
      </c>
      <c r="J364" s="94" t="str">
        <f t="shared" si="365"/>
        <v/>
      </c>
      <c r="K364" s="100"/>
      <c r="M364" s="100"/>
      <c r="N364" s="100"/>
      <c r="O364" s="100"/>
      <c r="P364" s="100"/>
    </row>
    <row r="365">
      <c r="A365" s="107">
        <v>2760.0</v>
      </c>
      <c r="B365" s="108" t="s">
        <v>243</v>
      </c>
      <c r="C365" s="108" t="s">
        <v>292</v>
      </c>
      <c r="D365" s="112" t="s">
        <v>181</v>
      </c>
      <c r="E365" s="112">
        <v>36.0</v>
      </c>
      <c r="F365" s="111" t="str">
        <f>DataPull!D365</f>
        <v/>
      </c>
      <c r="G365" s="94" t="str">
        <f t="shared" si="2"/>
        <v/>
      </c>
      <c r="H365" s="94" t="str">
        <f t="shared" si="3"/>
        <v/>
      </c>
      <c r="I365" s="94" t="str">
        <f t="shared" ref="I365:J365" si="366">if(G365 = "", , -G365)</f>
        <v/>
      </c>
      <c r="J365" s="94" t="str">
        <f t="shared" si="366"/>
        <v/>
      </c>
      <c r="K365" s="100"/>
      <c r="M365" s="100"/>
      <c r="N365" s="100"/>
      <c r="O365" s="100"/>
      <c r="P365" s="100"/>
    </row>
    <row r="366">
      <c r="A366" s="107">
        <v>2767.0</v>
      </c>
      <c r="B366" s="108" t="s">
        <v>85</v>
      </c>
      <c r="C366" s="108" t="s">
        <v>293</v>
      </c>
      <c r="D366" s="112" t="s">
        <v>181</v>
      </c>
      <c r="E366" s="112">
        <v>4.8</v>
      </c>
      <c r="F366" s="111" t="str">
        <f>DataPull!D366</f>
        <v/>
      </c>
      <c r="G366" s="94" t="str">
        <f t="shared" si="2"/>
        <v/>
      </c>
      <c r="H366" s="94" t="str">
        <f t="shared" si="3"/>
        <v/>
      </c>
      <c r="I366" s="94" t="str">
        <f t="shared" ref="I366:J366" si="367">if(G366 = "", , -G366)</f>
        <v/>
      </c>
      <c r="J366" s="94" t="str">
        <f t="shared" si="367"/>
        <v/>
      </c>
      <c r="K366" s="100"/>
      <c r="M366" s="100"/>
      <c r="N366" s="100"/>
      <c r="O366" s="100"/>
      <c r="P366" s="100"/>
    </row>
    <row r="367">
      <c r="A367" s="107">
        <v>2772.0</v>
      </c>
      <c r="B367" s="108" t="s">
        <v>85</v>
      </c>
      <c r="C367" s="108" t="s">
        <v>294</v>
      </c>
      <c r="D367" s="112" t="s">
        <v>178</v>
      </c>
      <c r="E367" s="112">
        <v>2725.8</v>
      </c>
      <c r="F367" s="111" t="str">
        <f>DataPull!D367</f>
        <v/>
      </c>
      <c r="G367" s="94" t="str">
        <f t="shared" si="2"/>
        <v/>
      </c>
      <c r="H367" s="94" t="str">
        <f t="shared" si="3"/>
        <v/>
      </c>
      <c r="I367" s="94" t="str">
        <f t="shared" ref="I367:J367" si="368">if(G367 = "", , -G367)</f>
        <v/>
      </c>
      <c r="J367" s="94" t="str">
        <f t="shared" si="368"/>
        <v/>
      </c>
      <c r="K367" s="100"/>
      <c r="M367" s="100"/>
      <c r="N367" s="100"/>
      <c r="P367" s="100"/>
    </row>
    <row r="368">
      <c r="A368" s="107">
        <v>2772.0</v>
      </c>
      <c r="B368" s="108" t="s">
        <v>90</v>
      </c>
      <c r="C368" s="108" t="s">
        <v>294</v>
      </c>
      <c r="D368" s="112" t="s">
        <v>178</v>
      </c>
      <c r="E368" s="112">
        <v>2927.4</v>
      </c>
      <c r="F368" s="111" t="str">
        <f>DataPull!D368</f>
        <v/>
      </c>
      <c r="G368" s="94" t="str">
        <f t="shared" si="2"/>
        <v/>
      </c>
      <c r="H368" s="94" t="str">
        <f t="shared" si="3"/>
        <v/>
      </c>
      <c r="I368" s="94" t="str">
        <f t="shared" ref="I368:J368" si="369">if(G368 = "", , -G368)</f>
        <v/>
      </c>
      <c r="J368" s="94" t="str">
        <f t="shared" si="369"/>
        <v/>
      </c>
      <c r="K368" s="100"/>
      <c r="M368" s="100"/>
      <c r="N368" s="100"/>
      <c r="O368" s="100"/>
      <c r="P368" s="100"/>
    </row>
    <row r="369">
      <c r="A369" s="107">
        <v>2772.0</v>
      </c>
      <c r="B369" s="108" t="s">
        <v>92</v>
      </c>
      <c r="C369" s="108" t="s">
        <v>294</v>
      </c>
      <c r="D369" s="112" t="s">
        <v>178</v>
      </c>
      <c r="E369" s="112">
        <v>2859.3</v>
      </c>
      <c r="F369" s="111" t="str">
        <f>DataPull!D369</f>
        <v/>
      </c>
      <c r="G369" s="94" t="str">
        <f t="shared" si="2"/>
        <v/>
      </c>
      <c r="H369" s="94" t="str">
        <f t="shared" si="3"/>
        <v/>
      </c>
      <c r="I369" s="94" t="str">
        <f t="shared" ref="I369:J369" si="370">if(G369 = "", , -G369)</f>
        <v/>
      </c>
      <c r="J369" s="94" t="str">
        <f t="shared" si="370"/>
        <v/>
      </c>
      <c r="K369" s="100"/>
      <c r="M369" s="100"/>
      <c r="N369" s="100"/>
      <c r="O369" s="100"/>
      <c r="P369" s="100"/>
    </row>
    <row r="370">
      <c r="A370" s="107">
        <v>2772.0</v>
      </c>
      <c r="B370" s="108" t="s">
        <v>190</v>
      </c>
      <c r="C370" s="108" t="s">
        <v>294</v>
      </c>
      <c r="D370" s="112" t="s">
        <v>184</v>
      </c>
      <c r="E370" s="112">
        <v>2776.0</v>
      </c>
      <c r="F370" s="111" t="str">
        <f>DataPull!D370</f>
        <v/>
      </c>
      <c r="G370" s="94" t="str">
        <f t="shared" si="2"/>
        <v/>
      </c>
      <c r="H370" s="94" t="str">
        <f t="shared" si="3"/>
        <v/>
      </c>
      <c r="I370" s="94" t="str">
        <f t="shared" ref="I370:J370" si="371">if(G370 = "", , -G370)</f>
        <v/>
      </c>
      <c r="J370" s="94" t="str">
        <f t="shared" si="371"/>
        <v/>
      </c>
      <c r="K370" s="100"/>
      <c r="M370" s="100"/>
      <c r="N370" s="100"/>
      <c r="O370" s="100"/>
      <c r="P370" s="100"/>
    </row>
    <row r="371">
      <c r="A371" s="107">
        <v>2772.0</v>
      </c>
      <c r="B371" s="108" t="s">
        <v>191</v>
      </c>
      <c r="C371" s="108" t="s">
        <v>294</v>
      </c>
      <c r="D371" s="112" t="s">
        <v>178</v>
      </c>
      <c r="E371" s="112">
        <v>2271.3</v>
      </c>
      <c r="F371" s="111" t="str">
        <f>DataPull!D371</f>
        <v/>
      </c>
      <c r="G371" s="94" t="str">
        <f t="shared" si="2"/>
        <v/>
      </c>
      <c r="H371" s="94" t="str">
        <f t="shared" si="3"/>
        <v/>
      </c>
      <c r="I371" s="94" t="str">
        <f t="shared" ref="I371:J371" si="372">if(G371 = "", , -G371)</f>
        <v/>
      </c>
      <c r="J371" s="94" t="str">
        <f t="shared" si="372"/>
        <v/>
      </c>
      <c r="K371" s="100"/>
      <c r="M371" s="100"/>
      <c r="N371" s="100"/>
      <c r="O371" s="100"/>
      <c r="P371" s="100"/>
    </row>
    <row r="372">
      <c r="A372" s="107">
        <v>2772.0</v>
      </c>
      <c r="B372" s="108" t="s">
        <v>192</v>
      </c>
      <c r="C372" s="108" t="s">
        <v>294</v>
      </c>
      <c r="D372" s="112" t="s">
        <v>178</v>
      </c>
      <c r="E372" s="112">
        <v>2346.0</v>
      </c>
      <c r="F372" s="111" t="str">
        <f>DataPull!D372</f>
        <v/>
      </c>
      <c r="G372" s="94" t="str">
        <f t="shared" si="2"/>
        <v/>
      </c>
      <c r="H372" s="94" t="str">
        <f t="shared" si="3"/>
        <v/>
      </c>
      <c r="I372" s="94" t="str">
        <f t="shared" ref="I372:J372" si="373">if(G372 = "", , -G372)</f>
        <v/>
      </c>
      <c r="J372" s="94" t="str">
        <f t="shared" si="373"/>
        <v/>
      </c>
      <c r="K372" s="100"/>
      <c r="M372" s="100"/>
      <c r="N372" s="100"/>
      <c r="O372" s="100"/>
      <c r="P372" s="100"/>
    </row>
    <row r="373">
      <c r="A373" s="107">
        <v>2772.0</v>
      </c>
      <c r="B373" s="108" t="s">
        <v>193</v>
      </c>
      <c r="C373" s="108" t="s">
        <v>294</v>
      </c>
      <c r="D373" s="112" t="s">
        <v>176</v>
      </c>
      <c r="E373" s="112">
        <v>1494.6</v>
      </c>
      <c r="F373" s="111" t="str">
        <f>DataPull!D373</f>
        <v/>
      </c>
      <c r="G373" s="94" t="str">
        <f t="shared" si="2"/>
        <v/>
      </c>
      <c r="H373" s="94" t="str">
        <f t="shared" si="3"/>
        <v/>
      </c>
      <c r="I373" s="94" t="str">
        <f t="shared" ref="I373:J373" si="374">if(G373 = "", , -G373)</f>
        <v/>
      </c>
      <c r="J373" s="94" t="str">
        <f t="shared" si="374"/>
        <v/>
      </c>
      <c r="K373" s="100"/>
      <c r="M373" s="100"/>
      <c r="N373" s="100"/>
      <c r="O373" s="100"/>
      <c r="P373" s="100"/>
    </row>
    <row r="374">
      <c r="A374" s="107">
        <v>2772.0</v>
      </c>
      <c r="B374" s="108" t="s">
        <v>243</v>
      </c>
      <c r="C374" s="108" t="s">
        <v>294</v>
      </c>
      <c r="D374" s="112" t="s">
        <v>176</v>
      </c>
      <c r="E374" s="112">
        <v>840.0</v>
      </c>
      <c r="F374" s="111" t="str">
        <f>DataPull!D374</f>
        <v/>
      </c>
      <c r="G374" s="94" t="str">
        <f t="shared" si="2"/>
        <v/>
      </c>
      <c r="H374" s="94" t="str">
        <f t="shared" si="3"/>
        <v/>
      </c>
      <c r="I374" s="94" t="str">
        <f t="shared" ref="I374:J374" si="375">if(G374 = "", , -G374)</f>
        <v/>
      </c>
      <c r="J374" s="94" t="str">
        <f t="shared" si="375"/>
        <v/>
      </c>
      <c r="K374" s="100"/>
      <c r="M374" s="100"/>
      <c r="N374" s="100"/>
      <c r="O374" s="100"/>
      <c r="P374" s="100"/>
    </row>
    <row r="375">
      <c r="A375" s="107">
        <v>2772.0</v>
      </c>
      <c r="B375" s="108" t="s">
        <v>215</v>
      </c>
      <c r="C375" s="108" t="s">
        <v>294</v>
      </c>
      <c r="D375" s="112" t="s">
        <v>177</v>
      </c>
      <c r="E375" s="112">
        <v>463.2</v>
      </c>
      <c r="F375" s="111" t="str">
        <f>DataPull!D375</f>
        <v/>
      </c>
      <c r="G375" s="94" t="str">
        <f t="shared" si="2"/>
        <v/>
      </c>
      <c r="H375" s="94" t="str">
        <f t="shared" si="3"/>
        <v/>
      </c>
      <c r="I375" s="94" t="str">
        <f t="shared" ref="I375:J375" si="376">if(G375 = "", , -G375)</f>
        <v/>
      </c>
      <c r="J375" s="94" t="str">
        <f t="shared" si="376"/>
        <v/>
      </c>
      <c r="K375" s="100"/>
      <c r="M375" s="100"/>
      <c r="N375" s="100"/>
      <c r="O375" s="100"/>
      <c r="P375" s="100"/>
    </row>
    <row r="376">
      <c r="A376" s="107">
        <v>2853.0</v>
      </c>
      <c r="B376" s="108" t="s">
        <v>90</v>
      </c>
      <c r="C376" s="108" t="s">
        <v>295</v>
      </c>
      <c r="D376" s="112" t="s">
        <v>187</v>
      </c>
      <c r="E376" s="112">
        <v>142.4</v>
      </c>
      <c r="F376" s="111" t="str">
        <f>DataPull!D376</f>
        <v/>
      </c>
      <c r="G376" s="94" t="str">
        <f t="shared" si="2"/>
        <v/>
      </c>
      <c r="H376" s="94" t="str">
        <f t="shared" si="3"/>
        <v/>
      </c>
      <c r="I376" s="94" t="str">
        <f t="shared" ref="I376:J376" si="377">if(G376 = "", , -G376)</f>
        <v/>
      </c>
      <c r="J376" s="94" t="str">
        <f t="shared" si="377"/>
        <v/>
      </c>
      <c r="K376" s="100"/>
      <c r="M376" s="100"/>
      <c r="N376" s="100"/>
      <c r="O376" s="100"/>
      <c r="P376" s="100"/>
    </row>
    <row r="377">
      <c r="A377" s="107">
        <v>2863.0</v>
      </c>
      <c r="B377" s="108" t="s">
        <v>191</v>
      </c>
      <c r="C377" s="108" t="s">
        <v>296</v>
      </c>
      <c r="D377" s="112" t="s">
        <v>187</v>
      </c>
      <c r="E377" s="112">
        <v>152.0</v>
      </c>
      <c r="F377" s="111" t="str">
        <f>DataPull!D377</f>
        <v/>
      </c>
      <c r="G377" s="94" t="str">
        <f t="shared" si="2"/>
        <v/>
      </c>
      <c r="H377" s="94" t="str">
        <f t="shared" si="3"/>
        <v/>
      </c>
      <c r="I377" s="94" t="str">
        <f t="shared" ref="I377:J377" si="378">if(G377 = "", , -G377)</f>
        <v/>
      </c>
      <c r="J377" s="94" t="str">
        <f t="shared" si="378"/>
        <v/>
      </c>
      <c r="K377" s="100"/>
      <c r="M377" s="100"/>
      <c r="N377" s="100"/>
      <c r="O377" s="100"/>
      <c r="P377" s="100"/>
    </row>
    <row r="378">
      <c r="A378" s="107">
        <v>101106.0</v>
      </c>
      <c r="B378" s="108" t="s">
        <v>85</v>
      </c>
      <c r="C378" s="108" t="s">
        <v>297</v>
      </c>
      <c r="D378" s="112" t="s">
        <v>176</v>
      </c>
      <c r="E378" s="112">
        <v>1768.8</v>
      </c>
      <c r="F378" s="111" t="str">
        <f>DataPull!D378</f>
        <v/>
      </c>
      <c r="G378" s="94" t="str">
        <f t="shared" si="2"/>
        <v/>
      </c>
      <c r="H378" s="94" t="str">
        <f t="shared" si="3"/>
        <v/>
      </c>
      <c r="I378" s="94" t="str">
        <f t="shared" ref="I378:J378" si="379">if(G378 = "", , -G378)</f>
        <v/>
      </c>
      <c r="J378" s="94" t="str">
        <f t="shared" si="379"/>
        <v/>
      </c>
      <c r="K378" s="100"/>
      <c r="M378" s="100"/>
      <c r="N378" s="100"/>
      <c r="O378" s="100"/>
      <c r="P378" s="100"/>
    </row>
    <row r="379">
      <c r="A379" s="107">
        <v>101106.0</v>
      </c>
      <c r="B379" s="108" t="s">
        <v>90</v>
      </c>
      <c r="C379" s="108" t="s">
        <v>297</v>
      </c>
      <c r="D379" s="112" t="s">
        <v>176</v>
      </c>
      <c r="E379" s="112">
        <v>1581.2</v>
      </c>
      <c r="F379" s="111" t="str">
        <f>DataPull!D379</f>
        <v/>
      </c>
      <c r="G379" s="94" t="str">
        <f t="shared" si="2"/>
        <v/>
      </c>
      <c r="H379" s="94" t="str">
        <f t="shared" si="3"/>
        <v/>
      </c>
      <c r="I379" s="94" t="str">
        <f t="shared" ref="I379:J379" si="380">if(G379 = "", , -G379)</f>
        <v/>
      </c>
      <c r="J379" s="94" t="str">
        <f t="shared" si="380"/>
        <v/>
      </c>
      <c r="K379" s="100"/>
      <c r="M379" s="100"/>
      <c r="N379" s="100"/>
      <c r="O379" s="100"/>
      <c r="P379" s="100"/>
    </row>
    <row r="380">
      <c r="A380" s="107">
        <v>101106.0</v>
      </c>
      <c r="B380" s="108" t="s">
        <v>92</v>
      </c>
      <c r="C380" s="108" t="s">
        <v>297</v>
      </c>
      <c r="D380" s="112" t="s">
        <v>176</v>
      </c>
      <c r="E380" s="112">
        <v>1449.0</v>
      </c>
      <c r="F380" s="111" t="str">
        <f>DataPull!D380</f>
        <v/>
      </c>
      <c r="G380" s="94" t="str">
        <f t="shared" si="2"/>
        <v/>
      </c>
      <c r="H380" s="94" t="str">
        <f t="shared" si="3"/>
        <v/>
      </c>
      <c r="I380" s="94" t="str">
        <f t="shared" ref="I380:J380" si="381">if(G380 = "", , -G380)</f>
        <v/>
      </c>
      <c r="J380" s="94" t="str">
        <f t="shared" si="381"/>
        <v/>
      </c>
      <c r="K380" s="100"/>
      <c r="L380" s="100"/>
      <c r="N380" s="100"/>
      <c r="O380" s="100"/>
      <c r="P380" s="100"/>
    </row>
    <row r="381">
      <c r="A381" s="107">
        <v>101106.0</v>
      </c>
      <c r="B381" s="108" t="s">
        <v>190</v>
      </c>
      <c r="C381" s="108" t="s">
        <v>297</v>
      </c>
      <c r="D381" s="112" t="s">
        <v>176</v>
      </c>
      <c r="E381" s="112">
        <v>583.2</v>
      </c>
      <c r="F381" s="111" t="str">
        <f>DataPull!D381</f>
        <v/>
      </c>
      <c r="G381" s="94" t="str">
        <f t="shared" si="2"/>
        <v/>
      </c>
      <c r="H381" s="94" t="str">
        <f t="shared" si="3"/>
        <v/>
      </c>
      <c r="I381" s="94" t="str">
        <f t="shared" ref="I381:J381" si="382">if(G381 = "", , -G381)</f>
        <v/>
      </c>
      <c r="J381" s="94" t="str">
        <f t="shared" si="382"/>
        <v/>
      </c>
      <c r="K381" s="100"/>
      <c r="M381" s="100"/>
      <c r="N381" s="100"/>
      <c r="O381" s="100"/>
      <c r="P381" s="100"/>
    </row>
    <row r="382">
      <c r="A382" s="107">
        <v>101106.0</v>
      </c>
      <c r="B382" s="108" t="s">
        <v>191</v>
      </c>
      <c r="C382" s="108" t="s">
        <v>297</v>
      </c>
      <c r="D382" s="112" t="s">
        <v>187</v>
      </c>
      <c r="E382" s="112">
        <v>216.0</v>
      </c>
      <c r="F382" s="111" t="str">
        <f>DataPull!D382</f>
        <v/>
      </c>
      <c r="G382" s="94" t="str">
        <f t="shared" si="2"/>
        <v/>
      </c>
      <c r="H382" s="94" t="str">
        <f t="shared" si="3"/>
        <v/>
      </c>
      <c r="I382" s="94" t="str">
        <f t="shared" ref="I382:J382" si="383">if(G382 = "", , -G382)</f>
        <v/>
      </c>
      <c r="J382" s="94" t="str">
        <f t="shared" si="383"/>
        <v/>
      </c>
      <c r="K382" s="100"/>
      <c r="L382" s="100"/>
      <c r="N382" s="100"/>
      <c r="O382" s="100"/>
      <c r="P382" s="100"/>
    </row>
    <row r="383">
      <c r="A383" s="107">
        <v>101106.0</v>
      </c>
      <c r="B383" s="108" t="s">
        <v>192</v>
      </c>
      <c r="C383" s="108" t="s">
        <v>297</v>
      </c>
      <c r="D383" s="112" t="s">
        <v>187</v>
      </c>
      <c r="E383" s="112">
        <v>134.2</v>
      </c>
      <c r="F383" s="111" t="str">
        <f>DataPull!D383</f>
        <v/>
      </c>
      <c r="G383" s="94" t="str">
        <f t="shared" si="2"/>
        <v/>
      </c>
      <c r="H383" s="94" t="str">
        <f t="shared" si="3"/>
        <v/>
      </c>
      <c r="I383" s="94" t="str">
        <f t="shared" ref="I383:J383" si="384">if(G383 = "", , -G383)</f>
        <v/>
      </c>
      <c r="J383" s="94" t="str">
        <f t="shared" si="384"/>
        <v/>
      </c>
      <c r="K383" s="100"/>
      <c r="L383" s="100"/>
      <c r="M383" s="100"/>
      <c r="N383" s="100"/>
      <c r="O383" s="100"/>
      <c r="P383" s="100"/>
    </row>
    <row r="384">
      <c r="A384" s="107">
        <v>101107.0</v>
      </c>
      <c r="B384" s="108" t="s">
        <v>85</v>
      </c>
      <c r="C384" s="108" t="s">
        <v>298</v>
      </c>
      <c r="D384" s="112" t="s">
        <v>176</v>
      </c>
      <c r="E384" s="112">
        <v>1676.4</v>
      </c>
      <c r="F384" s="111" t="str">
        <f>DataPull!D384</f>
        <v/>
      </c>
      <c r="G384" s="94" t="str">
        <f t="shared" si="2"/>
        <v/>
      </c>
      <c r="H384" s="94" t="str">
        <f t="shared" si="3"/>
        <v/>
      </c>
      <c r="I384" s="94" t="str">
        <f t="shared" ref="I384:J384" si="385">if(G384 = "", , -G384)</f>
        <v/>
      </c>
      <c r="J384" s="94" t="str">
        <f t="shared" si="385"/>
        <v/>
      </c>
      <c r="K384" s="100"/>
      <c r="M384" s="100"/>
      <c r="N384" s="100"/>
      <c r="O384" s="100"/>
      <c r="P384" s="100"/>
    </row>
    <row r="385">
      <c r="A385" s="107">
        <v>101107.0</v>
      </c>
      <c r="B385" s="108" t="s">
        <v>90</v>
      </c>
      <c r="C385" s="108" t="s">
        <v>298</v>
      </c>
      <c r="D385" s="112" t="s">
        <v>176</v>
      </c>
      <c r="E385" s="112">
        <v>2035.8</v>
      </c>
      <c r="F385" s="111" t="str">
        <f>DataPull!D385</f>
        <v/>
      </c>
      <c r="G385" s="94" t="str">
        <f t="shared" si="2"/>
        <v/>
      </c>
      <c r="H385" s="94" t="str">
        <f t="shared" si="3"/>
        <v/>
      </c>
      <c r="I385" s="94" t="str">
        <f t="shared" ref="I385:J385" si="386">if(G385 = "", , -G385)</f>
        <v/>
      </c>
      <c r="J385" s="94" t="str">
        <f t="shared" si="386"/>
        <v/>
      </c>
      <c r="K385" s="100"/>
      <c r="M385" s="100"/>
      <c r="N385" s="100"/>
      <c r="O385" s="100"/>
      <c r="P385" s="100"/>
    </row>
    <row r="386">
      <c r="A386" s="107">
        <v>101107.0</v>
      </c>
      <c r="B386" s="108" t="s">
        <v>92</v>
      </c>
      <c r="C386" s="108" t="s">
        <v>298</v>
      </c>
      <c r="D386" s="112" t="s">
        <v>178</v>
      </c>
      <c r="E386" s="112">
        <v>2340.9</v>
      </c>
      <c r="F386" s="111" t="str">
        <f>DataPull!D386</f>
        <v/>
      </c>
      <c r="G386" s="94" t="str">
        <f t="shared" si="2"/>
        <v/>
      </c>
      <c r="H386" s="94" t="str">
        <f t="shared" si="3"/>
        <v/>
      </c>
      <c r="I386" s="94" t="str">
        <f t="shared" ref="I386:J386" si="387">if(G386 = "", , -G386)</f>
        <v/>
      </c>
      <c r="J386" s="94" t="str">
        <f t="shared" si="387"/>
        <v/>
      </c>
      <c r="K386" s="100"/>
      <c r="M386" s="100"/>
      <c r="N386" s="100"/>
      <c r="O386" s="100"/>
      <c r="P386" s="100"/>
    </row>
    <row r="387">
      <c r="A387" s="107">
        <v>101107.0</v>
      </c>
      <c r="B387" s="108" t="s">
        <v>190</v>
      </c>
      <c r="C387" s="108" t="s">
        <v>298</v>
      </c>
      <c r="D387" s="112" t="s">
        <v>178</v>
      </c>
      <c r="E387" s="112">
        <v>2295.2</v>
      </c>
      <c r="F387" s="111" t="str">
        <f>DataPull!D387</f>
        <v/>
      </c>
      <c r="G387" s="94" t="str">
        <f t="shared" si="2"/>
        <v/>
      </c>
      <c r="H387" s="94" t="str">
        <f t="shared" si="3"/>
        <v/>
      </c>
      <c r="I387" s="94" t="str">
        <f t="shared" ref="I387:J387" si="388">if(G387 = "", , -G387)</f>
        <v/>
      </c>
      <c r="J387" s="94" t="str">
        <f t="shared" si="388"/>
        <v/>
      </c>
      <c r="K387" s="100"/>
      <c r="M387" s="100"/>
      <c r="N387" s="100"/>
      <c r="O387" s="100"/>
      <c r="P387" s="100"/>
    </row>
    <row r="388">
      <c r="A388" s="107">
        <v>101107.0</v>
      </c>
      <c r="B388" s="108" t="s">
        <v>191</v>
      </c>
      <c r="C388" s="108" t="s">
        <v>298</v>
      </c>
      <c r="D388" s="112" t="s">
        <v>178</v>
      </c>
      <c r="E388" s="112">
        <v>2004.6</v>
      </c>
      <c r="F388" s="111" t="str">
        <f>DataPull!D388</f>
        <v/>
      </c>
      <c r="G388" s="94" t="str">
        <f t="shared" si="2"/>
        <v/>
      </c>
      <c r="H388" s="94" t="str">
        <f t="shared" si="3"/>
        <v/>
      </c>
      <c r="I388" s="94" t="str">
        <f t="shared" ref="I388:J388" si="389">if(G388 = "", , -G388)</f>
        <v/>
      </c>
      <c r="J388" s="94" t="str">
        <f t="shared" si="389"/>
        <v/>
      </c>
      <c r="K388" s="100"/>
      <c r="M388" s="100"/>
      <c r="N388" s="100"/>
      <c r="O388" s="100"/>
      <c r="P388" s="100"/>
    </row>
    <row r="389">
      <c r="A389" s="107">
        <v>101107.0</v>
      </c>
      <c r="B389" s="108" t="s">
        <v>192</v>
      </c>
      <c r="C389" s="108" t="s">
        <v>298</v>
      </c>
      <c r="D389" s="112" t="s">
        <v>178</v>
      </c>
      <c r="E389" s="112">
        <v>2130.0</v>
      </c>
      <c r="F389" s="111" t="str">
        <f>DataPull!D389</f>
        <v/>
      </c>
      <c r="G389" s="94" t="str">
        <f t="shared" si="2"/>
        <v/>
      </c>
      <c r="H389" s="94" t="str">
        <f t="shared" si="3"/>
        <v/>
      </c>
      <c r="I389" s="94" t="str">
        <f t="shared" ref="I389:J389" si="390">if(G389 = "", , -G389)</f>
        <v/>
      </c>
      <c r="J389" s="94" t="str">
        <f t="shared" si="390"/>
        <v/>
      </c>
      <c r="K389" s="100"/>
      <c r="M389" s="100"/>
      <c r="N389" s="100"/>
      <c r="O389" s="100"/>
      <c r="P389" s="100"/>
    </row>
    <row r="390">
      <c r="A390" s="107">
        <v>101107.0</v>
      </c>
      <c r="B390" s="108" t="s">
        <v>193</v>
      </c>
      <c r="C390" s="108" t="s">
        <v>298</v>
      </c>
      <c r="D390" s="112" t="s">
        <v>177</v>
      </c>
      <c r="E390" s="112">
        <v>1131.0</v>
      </c>
      <c r="F390" s="111" t="str">
        <f>DataPull!D390</f>
        <v/>
      </c>
      <c r="G390" s="94" t="str">
        <f t="shared" si="2"/>
        <v/>
      </c>
      <c r="H390" s="94" t="str">
        <f t="shared" si="3"/>
        <v/>
      </c>
      <c r="I390" s="94" t="str">
        <f t="shared" ref="I390:J390" si="391">if(G390 = "", , -G390)</f>
        <v/>
      </c>
      <c r="J390" s="94" t="str">
        <f t="shared" si="391"/>
        <v/>
      </c>
      <c r="K390" s="100"/>
      <c r="M390" s="100"/>
      <c r="N390" s="100"/>
      <c r="O390" s="100"/>
      <c r="P390" s="100"/>
    </row>
    <row r="391">
      <c r="A391" s="107">
        <v>101108.0</v>
      </c>
      <c r="B391" s="108" t="s">
        <v>85</v>
      </c>
      <c r="C391" s="108" t="s">
        <v>299</v>
      </c>
      <c r="D391" s="112" t="s">
        <v>184</v>
      </c>
      <c r="E391" s="112">
        <v>2170.0</v>
      </c>
      <c r="F391" s="111" t="str">
        <f>DataPull!D391</f>
        <v/>
      </c>
      <c r="G391" s="94" t="str">
        <f t="shared" si="2"/>
        <v/>
      </c>
      <c r="H391" s="94" t="str">
        <f t="shared" si="3"/>
        <v/>
      </c>
      <c r="I391" s="94" t="str">
        <f t="shared" ref="I391:J391" si="392">if(G391 = "", , -G391)</f>
        <v/>
      </c>
      <c r="J391" s="94" t="str">
        <f t="shared" si="392"/>
        <v/>
      </c>
      <c r="K391" s="100"/>
      <c r="M391" s="100"/>
      <c r="N391" s="100"/>
      <c r="O391" s="100"/>
      <c r="P391" s="100"/>
    </row>
    <row r="392">
      <c r="A392" s="107">
        <v>101108.0</v>
      </c>
      <c r="B392" s="108" t="s">
        <v>90</v>
      </c>
      <c r="C392" s="108" t="s">
        <v>299</v>
      </c>
      <c r="D392" s="112" t="s">
        <v>184</v>
      </c>
      <c r="E392" s="112">
        <v>2853.6</v>
      </c>
      <c r="F392" s="111" t="str">
        <f>DataPull!D392</f>
        <v/>
      </c>
      <c r="G392" s="94" t="str">
        <f t="shared" si="2"/>
        <v/>
      </c>
      <c r="H392" s="94" t="str">
        <f t="shared" si="3"/>
        <v/>
      </c>
      <c r="I392" s="94" t="str">
        <f t="shared" ref="I392:J392" si="393">if(G392 = "", , -G392)</f>
        <v/>
      </c>
      <c r="J392" s="94" t="str">
        <f t="shared" si="393"/>
        <v/>
      </c>
      <c r="K392" s="100"/>
      <c r="M392" s="100"/>
      <c r="N392" s="100"/>
      <c r="O392" s="100"/>
      <c r="P392" s="100"/>
    </row>
    <row r="393">
      <c r="A393" s="107">
        <v>101108.0</v>
      </c>
      <c r="B393" s="108" t="s">
        <v>92</v>
      </c>
      <c r="C393" s="108" t="s">
        <v>299</v>
      </c>
      <c r="D393" s="112" t="s">
        <v>184</v>
      </c>
      <c r="E393" s="112">
        <v>2419.8</v>
      </c>
      <c r="F393" s="111" t="str">
        <f>DataPull!D393</f>
        <v/>
      </c>
      <c r="G393" s="94" t="str">
        <f t="shared" si="2"/>
        <v/>
      </c>
      <c r="H393" s="94" t="str">
        <f t="shared" si="3"/>
        <v/>
      </c>
      <c r="I393" s="94" t="str">
        <f t="shared" ref="I393:J393" si="394">if(G393 = "", , -G393)</f>
        <v/>
      </c>
      <c r="J393" s="94" t="str">
        <f t="shared" si="394"/>
        <v/>
      </c>
      <c r="K393" s="100"/>
      <c r="M393" s="100"/>
      <c r="N393" s="100"/>
      <c r="O393" s="100"/>
      <c r="P393" s="100"/>
    </row>
    <row r="394">
      <c r="A394" s="107">
        <v>101108.0</v>
      </c>
      <c r="B394" s="108" t="s">
        <v>190</v>
      </c>
      <c r="C394" s="108" t="s">
        <v>299</v>
      </c>
      <c r="D394" s="112" t="s">
        <v>184</v>
      </c>
      <c r="E394" s="112">
        <v>1921.5</v>
      </c>
      <c r="F394" s="111" t="str">
        <f>DataPull!D394</f>
        <v/>
      </c>
      <c r="G394" s="94" t="str">
        <f t="shared" si="2"/>
        <v/>
      </c>
      <c r="H394" s="94" t="str">
        <f t="shared" si="3"/>
        <v/>
      </c>
      <c r="I394" s="94" t="str">
        <f t="shared" ref="I394:J394" si="395">if(G394 = "", , -G394)</f>
        <v/>
      </c>
      <c r="J394" s="94" t="str">
        <f t="shared" si="395"/>
        <v/>
      </c>
      <c r="K394" s="100"/>
      <c r="L394" s="100"/>
      <c r="N394" s="100"/>
      <c r="O394" s="100"/>
      <c r="P394" s="100"/>
    </row>
    <row r="395">
      <c r="A395" s="107">
        <v>101108.0</v>
      </c>
      <c r="B395" s="108" t="s">
        <v>191</v>
      </c>
      <c r="C395" s="108" t="s">
        <v>299</v>
      </c>
      <c r="D395" s="112" t="s">
        <v>184</v>
      </c>
      <c r="E395" s="112">
        <v>1844.4</v>
      </c>
      <c r="F395" s="111" t="str">
        <f>DataPull!D395</f>
        <v/>
      </c>
      <c r="G395" s="94" t="str">
        <f t="shared" si="2"/>
        <v/>
      </c>
      <c r="H395" s="94" t="str">
        <f t="shared" si="3"/>
        <v/>
      </c>
      <c r="I395" s="94" t="str">
        <f t="shared" ref="I395:J395" si="396">if(G395 = "", , -G395)</f>
        <v/>
      </c>
      <c r="J395" s="94" t="str">
        <f t="shared" si="396"/>
        <v/>
      </c>
      <c r="K395" s="100"/>
      <c r="L395" s="100"/>
      <c r="N395" s="100"/>
      <c r="O395" s="100"/>
      <c r="P395" s="100"/>
    </row>
    <row r="396">
      <c r="A396" s="107">
        <v>101108.0</v>
      </c>
      <c r="B396" s="108" t="s">
        <v>192</v>
      </c>
      <c r="C396" s="108" t="s">
        <v>299</v>
      </c>
      <c r="D396" s="112" t="s">
        <v>184</v>
      </c>
      <c r="E396" s="112">
        <v>1856.0</v>
      </c>
      <c r="F396" s="111" t="str">
        <f>DataPull!D396</f>
        <v/>
      </c>
      <c r="G396" s="94" t="str">
        <f t="shared" si="2"/>
        <v/>
      </c>
      <c r="H396" s="94" t="str">
        <f t="shared" si="3"/>
        <v/>
      </c>
      <c r="I396" s="94" t="str">
        <f t="shared" ref="I396:J396" si="397">if(G396 = "", , -G396)</f>
        <v/>
      </c>
      <c r="J396" s="94" t="str">
        <f t="shared" si="397"/>
        <v/>
      </c>
      <c r="K396" s="100"/>
      <c r="N396" s="100"/>
      <c r="O396" s="100"/>
      <c r="P396" s="100"/>
    </row>
    <row r="397">
      <c r="A397" s="107">
        <v>101108.0</v>
      </c>
      <c r="B397" s="108" t="s">
        <v>193</v>
      </c>
      <c r="C397" s="108" t="s">
        <v>299</v>
      </c>
      <c r="D397" s="112" t="s">
        <v>184</v>
      </c>
      <c r="E397" s="112">
        <v>2205.0</v>
      </c>
      <c r="F397" s="111" t="str">
        <f>DataPull!D397</f>
        <v/>
      </c>
      <c r="G397" s="94" t="str">
        <f t="shared" si="2"/>
        <v/>
      </c>
      <c r="H397" s="94" t="str">
        <f t="shared" si="3"/>
        <v/>
      </c>
      <c r="I397" s="94" t="str">
        <f t="shared" ref="I397:J397" si="398">if(G397 = "", , -G397)</f>
        <v/>
      </c>
      <c r="J397" s="94" t="str">
        <f t="shared" si="398"/>
        <v/>
      </c>
      <c r="K397" s="100"/>
      <c r="M397" s="100"/>
      <c r="N397" s="100"/>
      <c r="O397" s="100"/>
      <c r="P397" s="100"/>
    </row>
    <row r="398">
      <c r="A398" s="107">
        <v>101108.0</v>
      </c>
      <c r="B398" s="108" t="s">
        <v>243</v>
      </c>
      <c r="C398" s="108" t="s">
        <v>299</v>
      </c>
      <c r="D398" s="112" t="s">
        <v>184</v>
      </c>
      <c r="E398" s="112">
        <v>2198.0</v>
      </c>
      <c r="F398" s="111" t="str">
        <f>DataPull!D398</f>
        <v/>
      </c>
      <c r="G398" s="94" t="str">
        <f t="shared" si="2"/>
        <v/>
      </c>
      <c r="H398" s="94" t="str">
        <f t="shared" si="3"/>
        <v/>
      </c>
      <c r="I398" s="94" t="str">
        <f t="shared" ref="I398:J398" si="399">if(G398 = "", , -G398)</f>
        <v/>
      </c>
      <c r="J398" s="94" t="str">
        <f t="shared" si="399"/>
        <v/>
      </c>
      <c r="K398" s="100"/>
      <c r="M398" s="100"/>
      <c r="N398" s="100"/>
      <c r="O398" s="100"/>
      <c r="P398" s="100"/>
    </row>
    <row r="399">
      <c r="A399" s="107">
        <v>101108.0</v>
      </c>
      <c r="B399" s="108" t="s">
        <v>215</v>
      </c>
      <c r="C399" s="108" t="s">
        <v>299</v>
      </c>
      <c r="D399" s="112" t="s">
        <v>184</v>
      </c>
      <c r="E399" s="112">
        <v>2138.5</v>
      </c>
      <c r="F399" s="111" t="str">
        <f>DataPull!D399</f>
        <v/>
      </c>
      <c r="G399" s="94" t="str">
        <f t="shared" si="2"/>
        <v/>
      </c>
      <c r="H399" s="94" t="str">
        <f t="shared" si="3"/>
        <v/>
      </c>
      <c r="I399" s="94" t="str">
        <f t="shared" ref="I399:J399" si="400">if(G399 = "", , -G399)</f>
        <v/>
      </c>
      <c r="J399" s="94" t="str">
        <f t="shared" si="400"/>
        <v/>
      </c>
      <c r="K399" s="100"/>
      <c r="M399" s="100"/>
      <c r="N399" s="100"/>
      <c r="O399" s="100"/>
      <c r="P399" s="100"/>
    </row>
    <row r="400">
      <c r="A400" s="107">
        <v>101108.0</v>
      </c>
      <c r="B400" s="108" t="s">
        <v>244</v>
      </c>
      <c r="C400" s="108" t="s">
        <v>299</v>
      </c>
      <c r="D400" s="112" t="s">
        <v>184</v>
      </c>
      <c r="E400" s="112">
        <v>1888.0</v>
      </c>
      <c r="F400" s="111" t="str">
        <f>DataPull!D400</f>
        <v/>
      </c>
      <c r="G400" s="94" t="str">
        <f t="shared" si="2"/>
        <v/>
      </c>
      <c r="H400" s="94" t="str">
        <f t="shared" si="3"/>
        <v/>
      </c>
      <c r="I400" s="94" t="str">
        <f t="shared" ref="I400:J400" si="401">if(G400 = "", , -G400)</f>
        <v/>
      </c>
      <c r="J400" s="94" t="str">
        <f t="shared" si="401"/>
        <v/>
      </c>
      <c r="K400" s="100"/>
      <c r="M400" s="100"/>
      <c r="N400" s="100"/>
      <c r="O400" s="100"/>
      <c r="P400" s="100"/>
    </row>
    <row r="401">
      <c r="A401" s="107">
        <v>101108.0</v>
      </c>
      <c r="B401" s="108" t="s">
        <v>245</v>
      </c>
      <c r="C401" s="108" t="s">
        <v>299</v>
      </c>
      <c r="D401" s="112" t="s">
        <v>176</v>
      </c>
      <c r="E401" s="112">
        <v>1531.2</v>
      </c>
      <c r="F401" s="111" t="str">
        <f>DataPull!D401</f>
        <v/>
      </c>
      <c r="G401" s="94" t="str">
        <f t="shared" si="2"/>
        <v/>
      </c>
      <c r="H401" s="94" t="str">
        <f t="shared" si="3"/>
        <v/>
      </c>
      <c r="I401" s="94" t="str">
        <f t="shared" ref="I401:J401" si="402">if(G401 = "", , -G401)</f>
        <v/>
      </c>
      <c r="J401" s="94" t="str">
        <f t="shared" si="402"/>
        <v/>
      </c>
      <c r="K401" s="100"/>
      <c r="N401" s="100"/>
      <c r="O401" s="100"/>
    </row>
    <row r="402">
      <c r="A402" s="107">
        <v>101108.0</v>
      </c>
      <c r="B402" s="108" t="s">
        <v>246</v>
      </c>
      <c r="C402" s="108" t="s">
        <v>299</v>
      </c>
      <c r="D402" s="112" t="s">
        <v>178</v>
      </c>
      <c r="E402" s="112">
        <v>2296.0</v>
      </c>
      <c r="F402" s="111" t="str">
        <f>DataPull!D402</f>
        <v/>
      </c>
      <c r="G402" s="94" t="str">
        <f t="shared" si="2"/>
        <v/>
      </c>
      <c r="H402" s="94" t="str">
        <f t="shared" si="3"/>
        <v/>
      </c>
      <c r="I402" s="94" t="str">
        <f t="shared" ref="I402:J402" si="403">if(G402 = "", , -G402)</f>
        <v/>
      </c>
      <c r="J402" s="94" t="str">
        <f t="shared" si="403"/>
        <v/>
      </c>
      <c r="K402" s="100"/>
      <c r="L402" s="100"/>
      <c r="M402" s="100"/>
      <c r="N402" s="100"/>
      <c r="O402" s="100"/>
      <c r="P402" s="100"/>
    </row>
    <row r="403">
      <c r="A403" s="114">
        <v>101108.0</v>
      </c>
      <c r="B403" s="113" t="s">
        <v>247</v>
      </c>
      <c r="C403" s="113" t="s">
        <v>299</v>
      </c>
      <c r="D403" s="112" t="s">
        <v>177</v>
      </c>
      <c r="E403" s="112">
        <v>227.2</v>
      </c>
      <c r="F403" s="111" t="str">
        <f>DataPull!D403</f>
        <v/>
      </c>
      <c r="G403" s="94" t="str">
        <f t="shared" si="2"/>
        <v/>
      </c>
      <c r="H403" s="94" t="str">
        <f t="shared" si="3"/>
        <v/>
      </c>
      <c r="I403" s="94" t="str">
        <f t="shared" ref="I403:J403" si="404">if(G403 = "", , -G403)</f>
        <v/>
      </c>
      <c r="J403" s="94" t="str">
        <f t="shared" si="404"/>
        <v/>
      </c>
      <c r="K403" s="100"/>
      <c r="M403" s="100"/>
      <c r="N403" s="100"/>
      <c r="O403" s="100"/>
      <c r="P403" s="100"/>
    </row>
    <row r="404">
      <c r="A404" s="107">
        <v>101109.0</v>
      </c>
      <c r="B404" s="108" t="s">
        <v>85</v>
      </c>
      <c r="C404" s="108" t="s">
        <v>300</v>
      </c>
      <c r="D404" s="112" t="s">
        <v>178</v>
      </c>
      <c r="E404" s="112">
        <v>2015.0</v>
      </c>
      <c r="F404" s="111" t="str">
        <f>DataPull!D404</f>
        <v/>
      </c>
      <c r="G404" s="94" t="str">
        <f t="shared" si="2"/>
        <v/>
      </c>
      <c r="H404" s="94" t="str">
        <f t="shared" si="3"/>
        <v/>
      </c>
      <c r="I404" s="94" t="str">
        <f t="shared" ref="I404:J404" si="405">if(G404 = "", , -G404)</f>
        <v/>
      </c>
      <c r="J404" s="94" t="str">
        <f t="shared" si="405"/>
        <v/>
      </c>
      <c r="K404" s="100"/>
      <c r="M404" s="100"/>
      <c r="N404" s="100"/>
      <c r="O404" s="100"/>
      <c r="P404" s="100"/>
    </row>
    <row r="405">
      <c r="A405" s="107">
        <v>101109.0</v>
      </c>
      <c r="B405" s="108" t="s">
        <v>90</v>
      </c>
      <c r="C405" s="108" t="s">
        <v>300</v>
      </c>
      <c r="D405" s="112" t="s">
        <v>187</v>
      </c>
      <c r="E405" s="112">
        <v>281.3</v>
      </c>
      <c r="F405" s="111" t="str">
        <f>DataPull!D405</f>
        <v/>
      </c>
      <c r="G405" s="94" t="str">
        <f t="shared" si="2"/>
        <v/>
      </c>
      <c r="H405" s="94" t="str">
        <f t="shared" si="3"/>
        <v/>
      </c>
      <c r="I405" s="94" t="str">
        <f t="shared" ref="I405:J405" si="406">if(G405 = "", , -G405)</f>
        <v/>
      </c>
      <c r="J405" s="94" t="str">
        <f t="shared" si="406"/>
        <v/>
      </c>
      <c r="K405" s="100"/>
      <c r="L405" s="100"/>
      <c r="N405" s="100"/>
      <c r="O405" s="100"/>
      <c r="P405" s="100"/>
    </row>
    <row r="406">
      <c r="A406" s="107">
        <v>101109.0</v>
      </c>
      <c r="B406" s="108" t="s">
        <v>92</v>
      </c>
      <c r="C406" s="108" t="s">
        <v>300</v>
      </c>
      <c r="D406" s="112" t="s">
        <v>178</v>
      </c>
      <c r="E406" s="112">
        <v>2192.0</v>
      </c>
      <c r="F406" s="111" t="str">
        <f>DataPull!D406</f>
        <v/>
      </c>
      <c r="G406" s="94" t="str">
        <f t="shared" si="2"/>
        <v/>
      </c>
      <c r="H406" s="94" t="str">
        <f t="shared" si="3"/>
        <v/>
      </c>
      <c r="I406" s="94" t="str">
        <f t="shared" ref="I406:J406" si="407">if(G406 = "", , -G406)</f>
        <v/>
      </c>
      <c r="J406" s="94" t="str">
        <f t="shared" si="407"/>
        <v/>
      </c>
      <c r="K406" s="100"/>
      <c r="M406" s="100"/>
      <c r="N406" s="100"/>
      <c r="O406" s="100"/>
      <c r="P406" s="100"/>
    </row>
    <row r="407">
      <c r="A407" s="107">
        <v>101109.0</v>
      </c>
      <c r="B407" s="108" t="s">
        <v>190</v>
      </c>
      <c r="C407" s="108" t="s">
        <v>300</v>
      </c>
      <c r="D407" s="112" t="s">
        <v>176</v>
      </c>
      <c r="E407" s="112">
        <v>1696.0</v>
      </c>
      <c r="F407" s="111" t="str">
        <f>DataPull!D407</f>
        <v/>
      </c>
      <c r="G407" s="94" t="str">
        <f t="shared" si="2"/>
        <v/>
      </c>
      <c r="H407" s="94" t="str">
        <f t="shared" si="3"/>
        <v/>
      </c>
      <c r="I407" s="94" t="str">
        <f t="shared" ref="I407:J407" si="408">if(G407 = "", , -G407)</f>
        <v/>
      </c>
      <c r="J407" s="94" t="str">
        <f t="shared" si="408"/>
        <v/>
      </c>
      <c r="K407" s="100"/>
      <c r="M407" s="100"/>
      <c r="N407" s="100"/>
      <c r="O407" s="100"/>
      <c r="P407" s="100"/>
    </row>
    <row r="408">
      <c r="A408" s="107">
        <v>101109.0</v>
      </c>
      <c r="B408" s="108" t="s">
        <v>191</v>
      </c>
      <c r="C408" s="108" t="s">
        <v>300</v>
      </c>
      <c r="D408" s="112" t="s">
        <v>177</v>
      </c>
      <c r="E408" s="112">
        <v>1361.2</v>
      </c>
      <c r="F408" s="111" t="str">
        <f>DataPull!D408</f>
        <v/>
      </c>
      <c r="G408" s="94" t="str">
        <f t="shared" si="2"/>
        <v/>
      </c>
      <c r="H408" s="94" t="str">
        <f t="shared" si="3"/>
        <v/>
      </c>
      <c r="I408" s="94" t="str">
        <f t="shared" ref="I408:J408" si="409">if(G408 = "", , -G408)</f>
        <v/>
      </c>
      <c r="J408" s="94" t="str">
        <f t="shared" si="409"/>
        <v/>
      </c>
      <c r="K408" s="100"/>
      <c r="M408" s="100"/>
      <c r="N408" s="100"/>
      <c r="O408" s="100"/>
      <c r="P408" s="100"/>
    </row>
    <row r="409">
      <c r="A409" s="107">
        <v>101109.0</v>
      </c>
      <c r="B409" s="108" t="s">
        <v>192</v>
      </c>
      <c r="C409" s="108" t="s">
        <v>300</v>
      </c>
      <c r="D409" s="112" t="s">
        <v>177</v>
      </c>
      <c r="E409" s="112">
        <v>379.5</v>
      </c>
      <c r="F409" s="111" t="str">
        <f>DataPull!D409</f>
        <v/>
      </c>
      <c r="G409" s="94" t="str">
        <f t="shared" si="2"/>
        <v/>
      </c>
      <c r="H409" s="94" t="str">
        <f t="shared" si="3"/>
        <v/>
      </c>
      <c r="I409" s="94" t="str">
        <f t="shared" ref="I409:J409" si="410">if(G409 = "", , -G409)</f>
        <v/>
      </c>
      <c r="J409" s="94" t="str">
        <f t="shared" si="410"/>
        <v/>
      </c>
      <c r="K409" s="100"/>
      <c r="L409" s="100"/>
      <c r="M409" s="100"/>
      <c r="N409" s="100"/>
      <c r="O409" s="100"/>
      <c r="P409" s="100"/>
    </row>
    <row r="410">
      <c r="A410" s="107">
        <v>101110.0</v>
      </c>
      <c r="B410" s="108" t="s">
        <v>85</v>
      </c>
      <c r="C410" s="108" t="s">
        <v>301</v>
      </c>
      <c r="D410" s="112" t="s">
        <v>176</v>
      </c>
      <c r="E410" s="112">
        <v>2160.6</v>
      </c>
      <c r="F410" s="111" t="str">
        <f>DataPull!D410</f>
        <v/>
      </c>
      <c r="G410" s="94" t="str">
        <f t="shared" si="2"/>
        <v/>
      </c>
      <c r="H410" s="94" t="str">
        <f t="shared" si="3"/>
        <v/>
      </c>
      <c r="I410" s="94" t="str">
        <f t="shared" ref="I410:J410" si="411">if(G410 = "", , -G410)</f>
        <v/>
      </c>
      <c r="J410" s="94" t="str">
        <f t="shared" si="411"/>
        <v/>
      </c>
      <c r="K410" s="100"/>
      <c r="M410" s="100"/>
      <c r="N410" s="100"/>
      <c r="O410" s="100"/>
      <c r="P410" s="100"/>
    </row>
    <row r="411">
      <c r="A411" s="107">
        <v>101110.0</v>
      </c>
      <c r="B411" s="108" t="s">
        <v>90</v>
      </c>
      <c r="C411" s="108" t="s">
        <v>301</v>
      </c>
      <c r="D411" s="112" t="s">
        <v>177</v>
      </c>
      <c r="E411" s="112">
        <v>352.0</v>
      </c>
      <c r="F411" s="111" t="str">
        <f>DataPull!D411</f>
        <v/>
      </c>
      <c r="G411" s="94" t="str">
        <f t="shared" si="2"/>
        <v/>
      </c>
      <c r="H411" s="94" t="str">
        <f t="shared" si="3"/>
        <v/>
      </c>
      <c r="I411" s="94" t="str">
        <f t="shared" ref="I411:J411" si="412">if(G411 = "", , -G411)</f>
        <v/>
      </c>
      <c r="J411" s="94" t="str">
        <f t="shared" si="412"/>
        <v/>
      </c>
      <c r="K411" s="100"/>
      <c r="M411" s="100"/>
      <c r="N411" s="100"/>
      <c r="O411" s="100"/>
      <c r="P411" s="100"/>
    </row>
    <row r="412">
      <c r="A412" s="107">
        <v>101111.0</v>
      </c>
      <c r="B412" s="108" t="s">
        <v>85</v>
      </c>
      <c r="C412" s="108" t="s">
        <v>302</v>
      </c>
      <c r="D412" s="112" t="s">
        <v>187</v>
      </c>
      <c r="E412" s="112">
        <v>180.0</v>
      </c>
      <c r="F412" s="111" t="str">
        <f>DataPull!D412</f>
        <v/>
      </c>
      <c r="G412" s="94" t="str">
        <f t="shared" si="2"/>
        <v/>
      </c>
      <c r="H412" s="94" t="str">
        <f t="shared" si="3"/>
        <v/>
      </c>
      <c r="I412" s="94" t="str">
        <f t="shared" ref="I412:J412" si="413">if(G412 = "", , -G412)</f>
        <v/>
      </c>
      <c r="J412" s="94" t="str">
        <f t="shared" si="413"/>
        <v/>
      </c>
      <c r="K412" s="100"/>
      <c r="M412" s="100"/>
      <c r="N412" s="100"/>
      <c r="O412" s="100"/>
      <c r="P412" s="100"/>
    </row>
    <row r="413">
      <c r="A413" s="107">
        <v>101111.0</v>
      </c>
      <c r="B413" s="108" t="s">
        <v>90</v>
      </c>
      <c r="C413" s="108" t="s">
        <v>302</v>
      </c>
      <c r="D413" s="112" t="s">
        <v>177</v>
      </c>
      <c r="E413" s="112">
        <v>678.4</v>
      </c>
      <c r="F413" s="111" t="str">
        <f>DataPull!D413</f>
        <v/>
      </c>
      <c r="G413" s="94" t="str">
        <f t="shared" si="2"/>
        <v/>
      </c>
      <c r="H413" s="94" t="str">
        <f t="shared" si="3"/>
        <v/>
      </c>
      <c r="I413" s="94" t="str">
        <f t="shared" ref="I413:J413" si="414">if(G413 = "", , -G413)</f>
        <v/>
      </c>
      <c r="J413" s="94" t="str">
        <f t="shared" si="414"/>
        <v/>
      </c>
      <c r="K413" s="100"/>
      <c r="N413" s="100"/>
      <c r="O413" s="100"/>
      <c r="P413" s="100"/>
    </row>
    <row r="414">
      <c r="A414" s="107">
        <v>101111.0</v>
      </c>
      <c r="B414" s="108" t="s">
        <v>92</v>
      </c>
      <c r="C414" s="108" t="s">
        <v>302</v>
      </c>
      <c r="D414" s="112" t="s">
        <v>177</v>
      </c>
      <c r="E414" s="112">
        <v>663.4</v>
      </c>
      <c r="F414" s="111" t="str">
        <f>DataPull!D414</f>
        <v/>
      </c>
      <c r="G414" s="94" t="str">
        <f t="shared" si="2"/>
        <v/>
      </c>
      <c r="H414" s="94" t="str">
        <f t="shared" si="3"/>
        <v/>
      </c>
      <c r="I414" s="94" t="str">
        <f t="shared" ref="I414:J414" si="415">if(G414 = "", , -G414)</f>
        <v/>
      </c>
      <c r="J414" s="94" t="str">
        <f t="shared" si="415"/>
        <v/>
      </c>
      <c r="K414" s="100"/>
      <c r="M414" s="100"/>
      <c r="N414" s="100"/>
      <c r="O414" s="100"/>
    </row>
    <row r="415">
      <c r="A415" s="107">
        <v>101112.0</v>
      </c>
      <c r="B415" s="108" t="s">
        <v>85</v>
      </c>
      <c r="C415" s="108" t="s">
        <v>303</v>
      </c>
      <c r="D415" s="112" t="s">
        <v>184</v>
      </c>
      <c r="E415" s="112">
        <v>2312.4</v>
      </c>
      <c r="F415" s="111" t="str">
        <f>DataPull!D415</f>
        <v/>
      </c>
      <c r="G415" s="94" t="str">
        <f t="shared" si="2"/>
        <v/>
      </c>
      <c r="H415" s="94" t="str">
        <f t="shared" si="3"/>
        <v/>
      </c>
      <c r="I415" s="94" t="str">
        <f t="shared" ref="I415:J415" si="416">if(G415 = "", , -G415)</f>
        <v/>
      </c>
      <c r="J415" s="94" t="str">
        <f t="shared" si="416"/>
        <v/>
      </c>
      <c r="K415" s="100"/>
      <c r="M415" s="100"/>
      <c r="N415" s="100"/>
      <c r="O415" s="100"/>
      <c r="P415" s="100"/>
    </row>
    <row r="416">
      <c r="A416" s="107">
        <v>101112.0</v>
      </c>
      <c r="B416" s="108" t="s">
        <v>90</v>
      </c>
      <c r="C416" s="108" t="s">
        <v>303</v>
      </c>
      <c r="D416" s="112" t="s">
        <v>176</v>
      </c>
      <c r="E416" s="112">
        <v>1867.5</v>
      </c>
      <c r="F416" s="111" t="str">
        <f>DataPull!D416</f>
        <v/>
      </c>
      <c r="G416" s="94" t="str">
        <f t="shared" si="2"/>
        <v/>
      </c>
      <c r="H416" s="94" t="str">
        <f t="shared" si="3"/>
        <v/>
      </c>
      <c r="I416" s="94" t="str">
        <f t="shared" ref="I416:J416" si="417">if(G416 = "", , -G416)</f>
        <v/>
      </c>
      <c r="J416" s="94" t="str">
        <f t="shared" si="417"/>
        <v/>
      </c>
      <c r="K416" s="100"/>
      <c r="M416" s="100"/>
      <c r="N416" s="100"/>
      <c r="O416" s="100"/>
      <c r="P416" s="100"/>
    </row>
    <row r="417">
      <c r="A417" s="107">
        <v>101112.0</v>
      </c>
      <c r="B417" s="108" t="s">
        <v>92</v>
      </c>
      <c r="C417" s="108" t="s">
        <v>303</v>
      </c>
      <c r="D417" s="112" t="s">
        <v>177</v>
      </c>
      <c r="E417" s="112">
        <v>1197.0</v>
      </c>
      <c r="F417" s="111" t="str">
        <f>DataPull!D417</f>
        <v/>
      </c>
      <c r="G417" s="94" t="str">
        <f t="shared" si="2"/>
        <v/>
      </c>
      <c r="H417" s="94" t="str">
        <f t="shared" si="3"/>
        <v/>
      </c>
      <c r="I417" s="94" t="str">
        <f t="shared" ref="I417:J417" si="418">if(G417 = "", , -G417)</f>
        <v/>
      </c>
      <c r="J417" s="94" t="str">
        <f t="shared" si="418"/>
        <v/>
      </c>
      <c r="K417" s="100"/>
      <c r="M417" s="100"/>
      <c r="N417" s="100"/>
      <c r="O417" s="100"/>
      <c r="P417" s="100"/>
    </row>
    <row r="418">
      <c r="A418" s="107">
        <v>101112.0</v>
      </c>
      <c r="B418" s="108" t="s">
        <v>190</v>
      </c>
      <c r="C418" s="108" t="s">
        <v>303</v>
      </c>
      <c r="D418" s="112" t="s">
        <v>177</v>
      </c>
      <c r="E418" s="112">
        <v>1398.6</v>
      </c>
      <c r="F418" s="111" t="str">
        <f>DataPull!D418</f>
        <v/>
      </c>
      <c r="G418" s="94" t="str">
        <f t="shared" si="2"/>
        <v/>
      </c>
      <c r="H418" s="94" t="str">
        <f t="shared" si="3"/>
        <v/>
      </c>
      <c r="I418" s="94" t="str">
        <f t="shared" ref="I418:J418" si="419">if(G418 = "", , -G418)</f>
        <v/>
      </c>
      <c r="J418" s="94" t="str">
        <f t="shared" si="419"/>
        <v/>
      </c>
      <c r="K418" s="100"/>
      <c r="M418" s="100"/>
      <c r="N418" s="100"/>
      <c r="O418" s="100"/>
      <c r="P418" s="100"/>
    </row>
    <row r="419">
      <c r="A419" s="107">
        <v>101112.0</v>
      </c>
      <c r="B419" s="108" t="s">
        <v>191</v>
      </c>
      <c r="C419" s="108" t="s">
        <v>303</v>
      </c>
      <c r="D419" s="112" t="s">
        <v>177</v>
      </c>
      <c r="E419" s="112">
        <v>694.3</v>
      </c>
      <c r="F419" s="111" t="str">
        <f>DataPull!D419</f>
        <v/>
      </c>
      <c r="G419" s="94" t="str">
        <f t="shared" si="2"/>
        <v/>
      </c>
      <c r="H419" s="94" t="str">
        <f t="shared" si="3"/>
        <v/>
      </c>
      <c r="I419" s="94" t="str">
        <f t="shared" ref="I419:J419" si="420">if(G419 = "", , -G419)</f>
        <v/>
      </c>
      <c r="J419" s="94" t="str">
        <f t="shared" si="420"/>
        <v/>
      </c>
      <c r="K419" s="100"/>
      <c r="M419" s="100"/>
      <c r="N419" s="100"/>
      <c r="O419" s="100"/>
      <c r="P419" s="100"/>
    </row>
    <row r="420">
      <c r="A420" s="107">
        <v>101112.0</v>
      </c>
      <c r="B420" s="108" t="s">
        <v>192</v>
      </c>
      <c r="C420" s="108" t="s">
        <v>303</v>
      </c>
      <c r="D420" s="112" t="s">
        <v>187</v>
      </c>
      <c r="E420" s="112">
        <v>342.0</v>
      </c>
      <c r="F420" s="111" t="str">
        <f>DataPull!D420</f>
        <v/>
      </c>
      <c r="G420" s="94" t="str">
        <f t="shared" si="2"/>
        <v/>
      </c>
      <c r="H420" s="94" t="str">
        <f t="shared" si="3"/>
        <v/>
      </c>
      <c r="I420" s="94" t="str">
        <f t="shared" ref="I420:J420" si="421">if(G420 = "", , -G420)</f>
        <v/>
      </c>
      <c r="J420" s="94" t="str">
        <f t="shared" si="421"/>
        <v/>
      </c>
      <c r="K420" s="100"/>
      <c r="M420" s="100"/>
      <c r="N420" s="100"/>
      <c r="O420" s="100"/>
      <c r="P420" s="100"/>
    </row>
    <row r="421">
      <c r="A421" s="107">
        <v>101114.0</v>
      </c>
      <c r="B421" s="108" t="s">
        <v>85</v>
      </c>
      <c r="C421" s="108" t="s">
        <v>304</v>
      </c>
      <c r="D421" s="112" t="s">
        <v>184</v>
      </c>
      <c r="E421" s="112">
        <v>2060.8</v>
      </c>
      <c r="F421" s="111" t="str">
        <f>DataPull!D421</f>
        <v/>
      </c>
      <c r="G421" s="94" t="str">
        <f t="shared" si="2"/>
        <v/>
      </c>
      <c r="H421" s="94" t="str">
        <f t="shared" si="3"/>
        <v/>
      </c>
      <c r="I421" s="94" t="str">
        <f t="shared" ref="I421:J421" si="422">if(G421 = "", , -G421)</f>
        <v/>
      </c>
      <c r="J421" s="94" t="str">
        <f t="shared" si="422"/>
        <v/>
      </c>
      <c r="K421" s="100"/>
      <c r="M421" s="100"/>
      <c r="N421" s="100"/>
      <c r="O421" s="100"/>
      <c r="P421" s="100"/>
    </row>
    <row r="422">
      <c r="A422" s="107">
        <v>101114.0</v>
      </c>
      <c r="B422" s="108" t="s">
        <v>90</v>
      </c>
      <c r="C422" s="108" t="s">
        <v>304</v>
      </c>
      <c r="D422" s="112" t="s">
        <v>178</v>
      </c>
      <c r="E422" s="112">
        <v>2114.8</v>
      </c>
      <c r="F422" s="111" t="str">
        <f>DataPull!D422</f>
        <v/>
      </c>
      <c r="G422" s="94" t="str">
        <f t="shared" si="2"/>
        <v/>
      </c>
      <c r="H422" s="94" t="str">
        <f t="shared" si="3"/>
        <v/>
      </c>
      <c r="I422" s="94" t="str">
        <f t="shared" ref="I422:J422" si="423">if(G422 = "", , -G422)</f>
        <v/>
      </c>
      <c r="J422" s="94" t="str">
        <f t="shared" si="423"/>
        <v/>
      </c>
      <c r="K422" s="100"/>
      <c r="M422" s="100"/>
      <c r="N422" s="100"/>
      <c r="O422" s="100"/>
      <c r="P422" s="100"/>
    </row>
    <row r="423">
      <c r="A423" s="107">
        <v>101114.0</v>
      </c>
      <c r="B423" s="108" t="s">
        <v>92</v>
      </c>
      <c r="C423" s="108" t="s">
        <v>304</v>
      </c>
      <c r="D423" s="112" t="s">
        <v>178</v>
      </c>
      <c r="E423" s="112">
        <v>2106.0</v>
      </c>
      <c r="F423" s="111" t="str">
        <f>DataPull!D423</f>
        <v/>
      </c>
      <c r="G423" s="94" t="str">
        <f t="shared" si="2"/>
        <v/>
      </c>
      <c r="H423" s="94" t="str">
        <f t="shared" si="3"/>
        <v/>
      </c>
      <c r="I423" s="94" t="str">
        <f t="shared" ref="I423:J423" si="424">if(G423 = "", , -G423)</f>
        <v/>
      </c>
      <c r="J423" s="94" t="str">
        <f t="shared" si="424"/>
        <v/>
      </c>
      <c r="K423" s="100"/>
      <c r="M423" s="100"/>
      <c r="N423" s="100"/>
      <c r="O423" s="100"/>
      <c r="P423" s="100"/>
    </row>
    <row r="424">
      <c r="A424" s="107">
        <v>101114.0</v>
      </c>
      <c r="B424" s="108" t="s">
        <v>190</v>
      </c>
      <c r="C424" s="108" t="s">
        <v>304</v>
      </c>
      <c r="D424" s="112" t="s">
        <v>178</v>
      </c>
      <c r="E424" s="112">
        <v>1657.6</v>
      </c>
      <c r="F424" s="111" t="str">
        <f>DataPull!D424</f>
        <v/>
      </c>
      <c r="G424" s="94" t="str">
        <f t="shared" si="2"/>
        <v/>
      </c>
      <c r="H424" s="94" t="str">
        <f t="shared" si="3"/>
        <v/>
      </c>
      <c r="I424" s="94" t="str">
        <f t="shared" ref="I424:J424" si="425">if(G424 = "", , -G424)</f>
        <v/>
      </c>
      <c r="J424" s="94" t="str">
        <f t="shared" si="425"/>
        <v/>
      </c>
      <c r="K424" s="100"/>
      <c r="M424" s="100"/>
      <c r="N424" s="100"/>
      <c r="O424" s="100"/>
      <c r="P424" s="100"/>
    </row>
    <row r="425">
      <c r="A425" s="107">
        <v>101115.0</v>
      </c>
      <c r="B425" s="108" t="s">
        <v>85</v>
      </c>
      <c r="C425" s="108" t="s">
        <v>305</v>
      </c>
      <c r="D425" s="112" t="s">
        <v>177</v>
      </c>
      <c r="E425" s="112">
        <v>514.8</v>
      </c>
      <c r="F425" s="111" t="str">
        <f>DataPull!D425</f>
        <v/>
      </c>
      <c r="G425" s="94" t="str">
        <f t="shared" si="2"/>
        <v/>
      </c>
      <c r="H425" s="94" t="str">
        <f t="shared" si="3"/>
        <v/>
      </c>
      <c r="I425" s="94" t="str">
        <f t="shared" ref="I425:J425" si="426">if(G425 = "", , -G425)</f>
        <v/>
      </c>
      <c r="J425" s="94" t="str">
        <f t="shared" si="426"/>
        <v/>
      </c>
      <c r="K425" s="100"/>
      <c r="M425" s="100"/>
      <c r="N425" s="100"/>
      <c r="O425" s="100"/>
      <c r="P425" s="100"/>
    </row>
    <row r="426">
      <c r="A426" s="107">
        <v>101122.0</v>
      </c>
      <c r="B426" s="108" t="s">
        <v>85</v>
      </c>
      <c r="C426" s="108" t="s">
        <v>306</v>
      </c>
      <c r="D426" s="112" t="s">
        <v>176</v>
      </c>
      <c r="E426" s="112">
        <v>848.7</v>
      </c>
      <c r="F426" s="111" t="str">
        <f>DataPull!D426</f>
        <v/>
      </c>
      <c r="G426" s="94" t="str">
        <f t="shared" si="2"/>
        <v/>
      </c>
      <c r="H426" s="94" t="str">
        <f t="shared" si="3"/>
        <v/>
      </c>
      <c r="I426" s="94" t="str">
        <f t="shared" ref="I426:J426" si="427">if(G426 = "", , -G426)</f>
        <v/>
      </c>
      <c r="J426" s="94" t="str">
        <f t="shared" si="427"/>
        <v/>
      </c>
      <c r="K426" s="100"/>
      <c r="M426" s="100"/>
      <c r="N426" s="100"/>
      <c r="O426" s="100"/>
      <c r="P426" s="100"/>
    </row>
    <row r="427">
      <c r="A427" s="107">
        <v>101122.0</v>
      </c>
      <c r="B427" s="108" t="s">
        <v>90</v>
      </c>
      <c r="C427" s="108" t="s">
        <v>306</v>
      </c>
      <c r="D427" s="112" t="s">
        <v>177</v>
      </c>
      <c r="E427" s="112">
        <v>612.0</v>
      </c>
      <c r="F427" s="111" t="str">
        <f>DataPull!D427</f>
        <v/>
      </c>
      <c r="G427" s="94" t="str">
        <f t="shared" si="2"/>
        <v/>
      </c>
      <c r="H427" s="94" t="str">
        <f t="shared" si="3"/>
        <v/>
      </c>
      <c r="I427" s="94" t="str">
        <f t="shared" ref="I427:J427" si="428">if(G427 = "", , -G427)</f>
        <v/>
      </c>
      <c r="J427" s="94" t="str">
        <f t="shared" si="428"/>
        <v/>
      </c>
      <c r="K427" s="100"/>
      <c r="L427" s="100"/>
      <c r="N427" s="100"/>
      <c r="O427" s="100"/>
      <c r="P427" s="100"/>
    </row>
    <row r="428">
      <c r="A428" s="107">
        <v>101123.0</v>
      </c>
      <c r="B428" s="108" t="s">
        <v>85</v>
      </c>
      <c r="C428" s="108" t="s">
        <v>307</v>
      </c>
      <c r="D428" s="112" t="s">
        <v>178</v>
      </c>
      <c r="E428" s="112">
        <v>2328.8</v>
      </c>
      <c r="F428" s="111" t="str">
        <f>DataPull!D428</f>
        <v/>
      </c>
      <c r="G428" s="94" t="str">
        <f t="shared" si="2"/>
        <v/>
      </c>
      <c r="H428" s="94" t="str">
        <f t="shared" si="3"/>
        <v/>
      </c>
      <c r="I428" s="94" t="str">
        <f t="shared" ref="I428:J428" si="429">if(G428 = "", , -G428)</f>
        <v/>
      </c>
      <c r="J428" s="94" t="str">
        <f t="shared" si="429"/>
        <v/>
      </c>
      <c r="K428" s="100"/>
      <c r="M428" s="100"/>
      <c r="N428" s="100"/>
      <c r="O428" s="100"/>
      <c r="P428" s="100"/>
    </row>
    <row r="429">
      <c r="A429" s="107">
        <v>101123.0</v>
      </c>
      <c r="B429" s="108" t="s">
        <v>90</v>
      </c>
      <c r="C429" s="108" t="s">
        <v>307</v>
      </c>
      <c r="D429" s="112" t="s">
        <v>177</v>
      </c>
      <c r="E429" s="112">
        <v>1443.0</v>
      </c>
      <c r="F429" s="111" t="str">
        <f>DataPull!D429</f>
        <v/>
      </c>
      <c r="G429" s="94" t="str">
        <f t="shared" si="2"/>
        <v/>
      </c>
      <c r="H429" s="94" t="str">
        <f t="shared" si="3"/>
        <v/>
      </c>
      <c r="I429" s="94" t="str">
        <f t="shared" ref="I429:J429" si="430">if(G429 = "", , -G429)</f>
        <v/>
      </c>
      <c r="J429" s="94" t="str">
        <f t="shared" si="430"/>
        <v/>
      </c>
      <c r="K429" s="100"/>
      <c r="M429" s="100"/>
      <c r="N429" s="100"/>
      <c r="O429" s="100"/>
      <c r="P429" s="100"/>
    </row>
    <row r="430">
      <c r="A430" s="107">
        <v>101123.0</v>
      </c>
      <c r="B430" s="108" t="s">
        <v>92</v>
      </c>
      <c r="C430" s="108" t="s">
        <v>307</v>
      </c>
      <c r="D430" s="112" t="s">
        <v>176</v>
      </c>
      <c r="E430" s="112">
        <v>1559.4</v>
      </c>
      <c r="F430" s="111" t="str">
        <f>DataPull!D430</f>
        <v/>
      </c>
      <c r="G430" s="94" t="str">
        <f t="shared" si="2"/>
        <v/>
      </c>
      <c r="H430" s="94" t="str">
        <f t="shared" si="3"/>
        <v/>
      </c>
      <c r="I430" s="94" t="str">
        <f t="shared" ref="I430:J430" si="431">if(G430 = "", , -G430)</f>
        <v/>
      </c>
      <c r="J430" s="94" t="str">
        <f t="shared" si="431"/>
        <v/>
      </c>
      <c r="K430" s="100"/>
      <c r="M430" s="100"/>
      <c r="N430" s="100"/>
      <c r="O430" s="100"/>
      <c r="P430" s="100"/>
    </row>
    <row r="431">
      <c r="A431" s="107">
        <v>101123.0</v>
      </c>
      <c r="B431" s="108" t="s">
        <v>190</v>
      </c>
      <c r="C431" s="108" t="s">
        <v>307</v>
      </c>
      <c r="D431" s="112" t="s">
        <v>187</v>
      </c>
      <c r="E431" s="112">
        <v>535.8</v>
      </c>
      <c r="F431" s="111" t="str">
        <f>DataPull!D431</f>
        <v/>
      </c>
      <c r="G431" s="94" t="str">
        <f t="shared" si="2"/>
        <v/>
      </c>
      <c r="H431" s="94" t="str">
        <f t="shared" si="3"/>
        <v/>
      </c>
      <c r="I431" s="94" t="str">
        <f t="shared" ref="I431:J431" si="432">if(G431 = "", , -G431)</f>
        <v/>
      </c>
      <c r="J431" s="94" t="str">
        <f t="shared" si="432"/>
        <v/>
      </c>
      <c r="K431" s="100"/>
      <c r="M431" s="100"/>
      <c r="N431" s="100"/>
      <c r="O431" s="100"/>
      <c r="P431" s="100"/>
    </row>
    <row r="432">
      <c r="A432" s="107">
        <v>101123.0</v>
      </c>
      <c r="B432" s="108" t="s">
        <v>191</v>
      </c>
      <c r="C432" s="108" t="s">
        <v>307</v>
      </c>
      <c r="D432" s="112" t="s">
        <v>176</v>
      </c>
      <c r="E432" s="112">
        <v>930.7</v>
      </c>
      <c r="F432" s="111" t="str">
        <f>DataPull!D432</f>
        <v/>
      </c>
      <c r="G432" s="94" t="str">
        <f t="shared" si="2"/>
        <v/>
      </c>
      <c r="H432" s="94" t="str">
        <f t="shared" si="3"/>
        <v/>
      </c>
      <c r="I432" s="94" t="str">
        <f t="shared" ref="I432:J432" si="433">if(G432 = "", , -G432)</f>
        <v/>
      </c>
      <c r="J432" s="94" t="str">
        <f t="shared" si="433"/>
        <v/>
      </c>
      <c r="K432" s="100"/>
      <c r="M432" s="100"/>
      <c r="N432" s="100"/>
      <c r="O432" s="100"/>
      <c r="P432" s="100"/>
    </row>
    <row r="433">
      <c r="A433" s="107">
        <v>101123.0</v>
      </c>
      <c r="B433" s="108" t="s">
        <v>192</v>
      </c>
      <c r="C433" s="108" t="s">
        <v>307</v>
      </c>
      <c r="D433" s="112" t="s">
        <v>177</v>
      </c>
      <c r="E433" s="112">
        <v>1474.6</v>
      </c>
      <c r="F433" s="111" t="str">
        <f>DataPull!D433</f>
        <v/>
      </c>
      <c r="G433" s="94" t="str">
        <f t="shared" si="2"/>
        <v/>
      </c>
      <c r="H433" s="94" t="str">
        <f t="shared" si="3"/>
        <v/>
      </c>
      <c r="I433" s="94" t="str">
        <f t="shared" ref="I433:J433" si="434">if(G433 = "", , -G433)</f>
        <v/>
      </c>
      <c r="J433" s="94" t="str">
        <f t="shared" si="434"/>
        <v/>
      </c>
      <c r="K433" s="100"/>
      <c r="L433" s="100"/>
      <c r="N433" s="100"/>
      <c r="O433" s="100"/>
      <c r="P433" s="100"/>
    </row>
    <row r="434">
      <c r="A434" s="107">
        <v>101126.0</v>
      </c>
      <c r="B434" s="108" t="s">
        <v>85</v>
      </c>
      <c r="C434" s="108" t="s">
        <v>308</v>
      </c>
      <c r="D434" s="112" t="s">
        <v>177</v>
      </c>
      <c r="E434" s="112">
        <v>866.8</v>
      </c>
      <c r="F434" s="111" t="str">
        <f>DataPull!D434</f>
        <v/>
      </c>
      <c r="G434" s="94" t="str">
        <f t="shared" si="2"/>
        <v/>
      </c>
      <c r="H434" s="94" t="str">
        <f t="shared" si="3"/>
        <v/>
      </c>
      <c r="I434" s="94" t="str">
        <f t="shared" ref="I434:J434" si="435">if(G434 = "", , -G434)</f>
        <v/>
      </c>
      <c r="J434" s="94" t="str">
        <f t="shared" si="435"/>
        <v/>
      </c>
      <c r="K434" s="100"/>
      <c r="M434" s="100"/>
      <c r="N434" s="100"/>
      <c r="O434" s="100"/>
      <c r="P434" s="100"/>
    </row>
    <row r="435">
      <c r="A435" s="107">
        <v>101126.0</v>
      </c>
      <c r="B435" s="108" t="s">
        <v>90</v>
      </c>
      <c r="C435" s="108" t="s">
        <v>308</v>
      </c>
      <c r="D435" s="112" t="s">
        <v>177</v>
      </c>
      <c r="E435" s="112">
        <v>592.2</v>
      </c>
      <c r="F435" s="111" t="str">
        <f>DataPull!D435</f>
        <v/>
      </c>
      <c r="G435" s="94" t="str">
        <f t="shared" si="2"/>
        <v/>
      </c>
      <c r="H435" s="94" t="str">
        <f t="shared" si="3"/>
        <v/>
      </c>
      <c r="I435" s="94" t="str">
        <f t="shared" ref="I435:J435" si="436">if(G435 = "", , -G435)</f>
        <v/>
      </c>
      <c r="J435" s="94" t="str">
        <f t="shared" si="436"/>
        <v/>
      </c>
      <c r="K435" s="100"/>
      <c r="M435" s="100"/>
      <c r="N435" s="100"/>
      <c r="O435" s="100"/>
      <c r="P435" s="100"/>
    </row>
    <row r="436">
      <c r="A436" s="107">
        <v>101126.0</v>
      </c>
      <c r="B436" s="108" t="s">
        <v>92</v>
      </c>
      <c r="C436" s="108" t="s">
        <v>308</v>
      </c>
      <c r="D436" s="112" t="s">
        <v>181</v>
      </c>
      <c r="E436" s="112">
        <v>23.2</v>
      </c>
      <c r="F436" s="111" t="str">
        <f>DataPull!D436</f>
        <v/>
      </c>
      <c r="G436" s="94" t="str">
        <f t="shared" si="2"/>
        <v/>
      </c>
      <c r="H436" s="94" t="str">
        <f t="shared" si="3"/>
        <v/>
      </c>
      <c r="I436" s="94" t="str">
        <f t="shared" ref="I436:J436" si="437">if(G436 = "", , -G436)</f>
        <v/>
      </c>
      <c r="J436" s="94" t="str">
        <f t="shared" si="437"/>
        <v/>
      </c>
      <c r="K436" s="100"/>
      <c r="M436" s="100"/>
      <c r="N436" s="100"/>
      <c r="O436" s="100"/>
      <c r="P436" s="100"/>
    </row>
    <row r="437">
      <c r="A437" s="107">
        <v>101127.0</v>
      </c>
      <c r="B437" s="108" t="s">
        <v>85</v>
      </c>
      <c r="C437" s="108" t="s">
        <v>309</v>
      </c>
      <c r="D437" s="112" t="s">
        <v>176</v>
      </c>
      <c r="E437" s="112">
        <v>2256.0</v>
      </c>
      <c r="F437" s="111" t="str">
        <f>DataPull!D437</f>
        <v/>
      </c>
      <c r="G437" s="94" t="str">
        <f t="shared" si="2"/>
        <v/>
      </c>
      <c r="H437" s="94" t="str">
        <f t="shared" si="3"/>
        <v/>
      </c>
      <c r="I437" s="94" t="str">
        <f t="shared" ref="I437:J437" si="438">if(G437 = "", , -G437)</f>
        <v/>
      </c>
      <c r="J437" s="94" t="str">
        <f t="shared" si="438"/>
        <v/>
      </c>
      <c r="K437" s="100"/>
      <c r="M437" s="100"/>
      <c r="N437" s="100"/>
      <c r="O437" s="100"/>
      <c r="P437" s="100"/>
    </row>
    <row r="438">
      <c r="A438" s="107">
        <v>101127.0</v>
      </c>
      <c r="B438" s="108" t="s">
        <v>90</v>
      </c>
      <c r="C438" s="108" t="s">
        <v>309</v>
      </c>
      <c r="D438" s="112" t="s">
        <v>178</v>
      </c>
      <c r="E438" s="112">
        <v>2240.0</v>
      </c>
      <c r="F438" s="111" t="str">
        <f>DataPull!D438</f>
        <v/>
      </c>
      <c r="G438" s="94" t="str">
        <f t="shared" si="2"/>
        <v/>
      </c>
      <c r="H438" s="94" t="str">
        <f t="shared" si="3"/>
        <v/>
      </c>
      <c r="I438" s="94" t="str">
        <f t="shared" ref="I438:J438" si="439">if(G438 = "", , -G438)</f>
        <v/>
      </c>
      <c r="J438" s="94" t="str">
        <f t="shared" si="439"/>
        <v/>
      </c>
      <c r="K438" s="100"/>
      <c r="M438" s="100"/>
      <c r="N438" s="100"/>
      <c r="O438" s="100"/>
      <c r="P438" s="100"/>
    </row>
    <row r="439">
      <c r="A439" s="107">
        <v>101127.0</v>
      </c>
      <c r="B439" s="108" t="s">
        <v>92</v>
      </c>
      <c r="C439" s="108" t="s">
        <v>309</v>
      </c>
      <c r="D439" s="112" t="s">
        <v>178</v>
      </c>
      <c r="E439" s="112">
        <v>1027.2</v>
      </c>
      <c r="F439" s="111" t="str">
        <f>DataPull!D439</f>
        <v/>
      </c>
      <c r="G439" s="94" t="str">
        <f t="shared" si="2"/>
        <v/>
      </c>
      <c r="H439" s="94" t="str">
        <f t="shared" si="3"/>
        <v/>
      </c>
      <c r="I439" s="94" t="str">
        <f t="shared" ref="I439:J439" si="440">if(G439 = "", , -G439)</f>
        <v/>
      </c>
      <c r="J439" s="94" t="str">
        <f t="shared" si="440"/>
        <v/>
      </c>
      <c r="K439" s="100"/>
      <c r="M439" s="100"/>
      <c r="N439" s="100"/>
      <c r="O439" s="100"/>
      <c r="P439" s="100"/>
    </row>
    <row r="440">
      <c r="A440" s="107">
        <v>101127.0</v>
      </c>
      <c r="B440" s="108" t="s">
        <v>190</v>
      </c>
      <c r="C440" s="108" t="s">
        <v>309</v>
      </c>
      <c r="D440" s="112" t="s">
        <v>181</v>
      </c>
      <c r="E440" s="112">
        <v>33.0</v>
      </c>
      <c r="F440" s="111" t="str">
        <f>DataPull!D440</f>
        <v/>
      </c>
      <c r="G440" s="94" t="str">
        <f t="shared" si="2"/>
        <v/>
      </c>
      <c r="H440" s="94" t="str">
        <f t="shared" si="3"/>
        <v/>
      </c>
      <c r="I440" s="94" t="str">
        <f t="shared" ref="I440:J440" si="441">if(G440 = "", , -G440)</f>
        <v/>
      </c>
      <c r="J440" s="94" t="str">
        <f t="shared" si="441"/>
        <v/>
      </c>
      <c r="K440" s="100"/>
      <c r="M440" s="100"/>
      <c r="N440" s="100"/>
      <c r="O440" s="100"/>
      <c r="P440" s="100"/>
    </row>
    <row r="441">
      <c r="A441" s="107">
        <v>101127.0</v>
      </c>
      <c r="B441" s="108" t="s">
        <v>191</v>
      </c>
      <c r="C441" s="108" t="s">
        <v>309</v>
      </c>
      <c r="D441" s="112" t="s">
        <v>178</v>
      </c>
      <c r="E441" s="112">
        <v>1550.0</v>
      </c>
      <c r="F441" s="111" t="str">
        <f>DataPull!D441</f>
        <v/>
      </c>
      <c r="G441" s="94" t="str">
        <f t="shared" si="2"/>
        <v/>
      </c>
      <c r="H441" s="94" t="str">
        <f t="shared" si="3"/>
        <v/>
      </c>
      <c r="I441" s="94" t="str">
        <f t="shared" ref="I441:J441" si="442">if(G441 = "", , -G441)</f>
        <v/>
      </c>
      <c r="J441" s="94" t="str">
        <f t="shared" si="442"/>
        <v/>
      </c>
      <c r="K441" s="100"/>
      <c r="M441" s="100"/>
      <c r="N441" s="100"/>
      <c r="O441" s="100"/>
      <c r="P441" s="100"/>
    </row>
    <row r="442">
      <c r="A442" s="107">
        <v>101128.0</v>
      </c>
      <c r="B442" s="108" t="s">
        <v>85</v>
      </c>
      <c r="C442" s="108" t="s">
        <v>310</v>
      </c>
      <c r="D442" s="112" t="s">
        <v>177</v>
      </c>
      <c r="E442" s="112">
        <v>1083.5</v>
      </c>
      <c r="F442" s="111" t="str">
        <f>DataPull!D442</f>
        <v/>
      </c>
      <c r="G442" s="94" t="str">
        <f t="shared" si="2"/>
        <v/>
      </c>
      <c r="H442" s="94" t="str">
        <f t="shared" si="3"/>
        <v/>
      </c>
      <c r="I442" s="94" t="str">
        <f t="shared" ref="I442:J442" si="443">if(G442 = "", , -G442)</f>
        <v/>
      </c>
      <c r="J442" s="94" t="str">
        <f t="shared" si="443"/>
        <v/>
      </c>
      <c r="K442" s="100"/>
      <c r="M442" s="100"/>
      <c r="N442" s="100"/>
      <c r="O442" s="100"/>
      <c r="P442" s="100"/>
    </row>
    <row r="443">
      <c r="A443" s="107">
        <v>101128.0</v>
      </c>
      <c r="B443" s="108" t="s">
        <v>90</v>
      </c>
      <c r="C443" s="108" t="s">
        <v>310</v>
      </c>
      <c r="D443" s="112" t="s">
        <v>187</v>
      </c>
      <c r="E443" s="112">
        <v>200.2</v>
      </c>
      <c r="F443" s="111" t="str">
        <f>DataPull!D443</f>
        <v/>
      </c>
      <c r="G443" s="94" t="str">
        <f t="shared" si="2"/>
        <v/>
      </c>
      <c r="H443" s="94" t="str">
        <f t="shared" si="3"/>
        <v/>
      </c>
      <c r="I443" s="94" t="str">
        <f t="shared" ref="I443:J443" si="444">if(G443 = "", , -G443)</f>
        <v/>
      </c>
      <c r="J443" s="94" t="str">
        <f t="shared" si="444"/>
        <v/>
      </c>
      <c r="K443" s="100"/>
      <c r="M443" s="100"/>
      <c r="N443" s="100"/>
      <c r="O443" s="100"/>
      <c r="P443" s="100"/>
    </row>
    <row r="444">
      <c r="A444" s="107">
        <v>101131.0</v>
      </c>
      <c r="B444" s="108" t="s">
        <v>85</v>
      </c>
      <c r="C444" s="108" t="s">
        <v>311</v>
      </c>
      <c r="D444" s="112" t="s">
        <v>177</v>
      </c>
      <c r="E444" s="112">
        <v>489.6</v>
      </c>
      <c r="F444" s="111" t="str">
        <f>DataPull!D444</f>
        <v/>
      </c>
      <c r="G444" s="94" t="str">
        <f t="shared" si="2"/>
        <v/>
      </c>
      <c r="H444" s="94" t="str">
        <f t="shared" si="3"/>
        <v/>
      </c>
      <c r="I444" s="94" t="str">
        <f t="shared" ref="I444:J444" si="445">if(G444 = "", , -G444)</f>
        <v/>
      </c>
      <c r="J444" s="94" t="str">
        <f t="shared" si="445"/>
        <v/>
      </c>
      <c r="K444" s="100"/>
      <c r="L444" s="100"/>
      <c r="N444" s="100"/>
      <c r="O444" s="100"/>
      <c r="P444" s="100"/>
    </row>
    <row r="445">
      <c r="A445" s="107">
        <v>101131.0</v>
      </c>
      <c r="B445" s="108" t="s">
        <v>90</v>
      </c>
      <c r="C445" s="108" t="s">
        <v>311</v>
      </c>
      <c r="D445" s="112" t="s">
        <v>177</v>
      </c>
      <c r="E445" s="112">
        <v>878.4</v>
      </c>
      <c r="F445" s="111" t="str">
        <f>DataPull!D445</f>
        <v/>
      </c>
      <c r="G445" s="94" t="str">
        <f t="shared" si="2"/>
        <v/>
      </c>
      <c r="H445" s="94" t="str">
        <f t="shared" si="3"/>
        <v/>
      </c>
      <c r="I445" s="94" t="str">
        <f t="shared" ref="I445:J445" si="446">if(G445 = "", , -G445)</f>
        <v/>
      </c>
      <c r="J445" s="94" t="str">
        <f t="shared" si="446"/>
        <v/>
      </c>
      <c r="K445" s="100"/>
      <c r="M445" s="100"/>
      <c r="N445" s="100"/>
      <c r="O445" s="100"/>
      <c r="P445" s="100"/>
    </row>
    <row r="446">
      <c r="A446" s="107">
        <v>101133.0</v>
      </c>
      <c r="B446" s="108" t="s">
        <v>85</v>
      </c>
      <c r="C446" s="108" t="s">
        <v>312</v>
      </c>
      <c r="D446" s="112" t="s">
        <v>177</v>
      </c>
      <c r="E446" s="112">
        <v>1247.4</v>
      </c>
      <c r="F446" s="111" t="str">
        <f>DataPull!D446</f>
        <v/>
      </c>
      <c r="G446" s="94" t="str">
        <f t="shared" si="2"/>
        <v/>
      </c>
      <c r="H446" s="94" t="str">
        <f t="shared" si="3"/>
        <v/>
      </c>
      <c r="I446" s="94" t="str">
        <f t="shared" ref="I446:J446" si="447">if(G446 = "", , -G446)</f>
        <v/>
      </c>
      <c r="J446" s="94" t="str">
        <f t="shared" si="447"/>
        <v/>
      </c>
      <c r="K446" s="100"/>
      <c r="M446" s="100"/>
      <c r="N446" s="100"/>
      <c r="O446" s="100"/>
      <c r="P446" s="100"/>
    </row>
    <row r="447">
      <c r="A447" s="107">
        <v>101133.0</v>
      </c>
      <c r="B447" s="108" t="s">
        <v>90</v>
      </c>
      <c r="C447" s="108" t="s">
        <v>312</v>
      </c>
      <c r="D447" s="112" t="s">
        <v>176</v>
      </c>
      <c r="E447" s="112">
        <v>1146.8</v>
      </c>
      <c r="F447" s="111" t="str">
        <f>DataPull!D447</f>
        <v/>
      </c>
      <c r="G447" s="94" t="str">
        <f t="shared" si="2"/>
        <v/>
      </c>
      <c r="H447" s="94" t="str">
        <f t="shared" si="3"/>
        <v/>
      </c>
      <c r="I447" s="94" t="str">
        <f t="shared" ref="I447:J447" si="448">if(G447 = "", , -G447)</f>
        <v/>
      </c>
      <c r="J447" s="94" t="str">
        <f t="shared" si="448"/>
        <v/>
      </c>
      <c r="K447" s="100"/>
      <c r="M447" s="100"/>
      <c r="N447" s="100"/>
      <c r="O447" s="100"/>
      <c r="P447" s="100"/>
    </row>
    <row r="448">
      <c r="A448" s="107">
        <v>101133.0</v>
      </c>
      <c r="B448" s="108" t="s">
        <v>92</v>
      </c>
      <c r="C448" s="108" t="s">
        <v>312</v>
      </c>
      <c r="D448" s="112" t="s">
        <v>178</v>
      </c>
      <c r="E448" s="112">
        <v>1817.6</v>
      </c>
      <c r="F448" s="111" t="str">
        <f>DataPull!D448</f>
        <v/>
      </c>
      <c r="G448" s="94" t="str">
        <f t="shared" si="2"/>
        <v/>
      </c>
      <c r="H448" s="94" t="str">
        <f t="shared" si="3"/>
        <v/>
      </c>
      <c r="I448" s="94" t="str">
        <f t="shared" ref="I448:J448" si="449">if(G448 = "", , -G448)</f>
        <v/>
      </c>
      <c r="J448" s="94" t="str">
        <f t="shared" si="449"/>
        <v/>
      </c>
      <c r="K448" s="100"/>
      <c r="L448" s="100"/>
      <c r="N448" s="100"/>
      <c r="O448" s="100"/>
      <c r="P448" s="100"/>
    </row>
    <row r="449">
      <c r="A449" s="107">
        <v>101133.0</v>
      </c>
      <c r="B449" s="108" t="s">
        <v>190</v>
      </c>
      <c r="C449" s="108" t="s">
        <v>312</v>
      </c>
      <c r="D449" s="112" t="s">
        <v>177</v>
      </c>
      <c r="E449" s="112">
        <v>554.9</v>
      </c>
      <c r="F449" s="111" t="str">
        <f>DataPull!D449</f>
        <v/>
      </c>
      <c r="G449" s="94" t="str">
        <f t="shared" si="2"/>
        <v/>
      </c>
      <c r="H449" s="94" t="str">
        <f t="shared" si="3"/>
        <v/>
      </c>
      <c r="I449" s="94" t="str">
        <f t="shared" ref="I449:J449" si="450">if(G449 = "", , -G449)</f>
        <v/>
      </c>
      <c r="J449" s="94" t="str">
        <f t="shared" si="450"/>
        <v/>
      </c>
      <c r="K449" s="100"/>
      <c r="N449" s="100"/>
      <c r="O449" s="100"/>
      <c r="P449" s="100"/>
    </row>
    <row r="450">
      <c r="A450" s="107">
        <v>101133.0</v>
      </c>
      <c r="B450" s="108" t="s">
        <v>191</v>
      </c>
      <c r="C450" s="108" t="s">
        <v>312</v>
      </c>
      <c r="D450" s="112" t="s">
        <v>177</v>
      </c>
      <c r="E450" s="112">
        <v>1147.3</v>
      </c>
      <c r="F450" s="111" t="str">
        <f>DataPull!D450</f>
        <v/>
      </c>
      <c r="G450" s="94" t="str">
        <f t="shared" si="2"/>
        <v/>
      </c>
      <c r="H450" s="94" t="str">
        <f t="shared" si="3"/>
        <v/>
      </c>
      <c r="I450" s="94" t="str">
        <f t="shared" ref="I450:J450" si="451">if(G450 = "", , -G450)</f>
        <v/>
      </c>
      <c r="J450" s="94" t="str">
        <f t="shared" si="451"/>
        <v/>
      </c>
      <c r="K450" s="100"/>
      <c r="M450" s="100"/>
      <c r="O450" s="100"/>
    </row>
    <row r="451">
      <c r="A451" s="107">
        <v>101133.0</v>
      </c>
      <c r="B451" s="108" t="s">
        <v>192</v>
      </c>
      <c r="C451" s="108" t="s">
        <v>312</v>
      </c>
      <c r="D451" s="112" t="s">
        <v>177</v>
      </c>
      <c r="E451" s="112">
        <v>496.4</v>
      </c>
      <c r="F451" s="111" t="str">
        <f>DataPull!D451</f>
        <v/>
      </c>
      <c r="G451" s="94" t="str">
        <f t="shared" si="2"/>
        <v/>
      </c>
      <c r="H451" s="94" t="str">
        <f t="shared" si="3"/>
        <v/>
      </c>
      <c r="I451" s="94" t="str">
        <f t="shared" ref="I451:J451" si="452">if(G451 = "", , -G451)</f>
        <v/>
      </c>
      <c r="J451" s="94" t="str">
        <f t="shared" si="452"/>
        <v/>
      </c>
      <c r="K451" s="100"/>
      <c r="M451" s="100"/>
      <c r="N451" s="100"/>
      <c r="O451" s="100"/>
      <c r="P451" s="100"/>
    </row>
    <row r="452">
      <c r="A452" s="107">
        <v>101133.0</v>
      </c>
      <c r="B452" s="108" t="s">
        <v>193</v>
      </c>
      <c r="C452" s="108" t="s">
        <v>312</v>
      </c>
      <c r="D452" s="112" t="s">
        <v>177</v>
      </c>
      <c r="E452" s="112">
        <v>809.4</v>
      </c>
      <c r="F452" s="111" t="str">
        <f>DataPull!D452</f>
        <v/>
      </c>
      <c r="G452" s="94" t="str">
        <f t="shared" si="2"/>
        <v/>
      </c>
      <c r="H452" s="94" t="str">
        <f t="shared" si="3"/>
        <v/>
      </c>
      <c r="I452" s="94" t="str">
        <f t="shared" ref="I452:J452" si="453">if(G452 = "", , -G452)</f>
        <v/>
      </c>
      <c r="J452" s="94" t="str">
        <f t="shared" si="453"/>
        <v/>
      </c>
      <c r="K452" s="100"/>
      <c r="N452" s="100"/>
      <c r="O452" s="100"/>
      <c r="P452" s="100"/>
    </row>
    <row r="453">
      <c r="A453" s="107">
        <v>101135.0</v>
      </c>
      <c r="B453" s="108" t="s">
        <v>85</v>
      </c>
      <c r="C453" s="108" t="s">
        <v>313</v>
      </c>
      <c r="D453" s="112" t="s">
        <v>178</v>
      </c>
      <c r="E453" s="112">
        <v>2290.8</v>
      </c>
      <c r="F453" s="111" t="str">
        <f>DataPull!D453</f>
        <v/>
      </c>
      <c r="G453" s="94" t="str">
        <f t="shared" si="2"/>
        <v/>
      </c>
      <c r="H453" s="94" t="str">
        <f t="shared" si="3"/>
        <v/>
      </c>
      <c r="I453" s="94" t="str">
        <f t="shared" ref="I453:J453" si="454">if(G453 = "", , -G453)</f>
        <v/>
      </c>
      <c r="J453" s="94" t="str">
        <f t="shared" si="454"/>
        <v/>
      </c>
      <c r="K453" s="100"/>
      <c r="M453" s="100"/>
      <c r="N453" s="100"/>
      <c r="O453" s="100"/>
      <c r="P453" s="100"/>
    </row>
    <row r="454">
      <c r="A454" s="107">
        <v>101135.0</v>
      </c>
      <c r="B454" s="108" t="s">
        <v>90</v>
      </c>
      <c r="C454" s="108" t="s">
        <v>313</v>
      </c>
      <c r="D454" s="112" t="s">
        <v>177</v>
      </c>
      <c r="E454" s="112">
        <v>906.5</v>
      </c>
      <c r="F454" s="111" t="str">
        <f>DataPull!D454</f>
        <v/>
      </c>
      <c r="G454" s="94" t="str">
        <f t="shared" si="2"/>
        <v/>
      </c>
      <c r="H454" s="94" t="str">
        <f t="shared" si="3"/>
        <v/>
      </c>
      <c r="I454" s="94" t="str">
        <f t="shared" ref="I454:J454" si="455">if(G454 = "", , -G454)</f>
        <v/>
      </c>
      <c r="J454" s="94" t="str">
        <f t="shared" si="455"/>
        <v/>
      </c>
      <c r="K454" s="100"/>
      <c r="L454" s="100"/>
      <c r="M454" s="100"/>
      <c r="N454" s="100"/>
      <c r="O454" s="100"/>
      <c r="P454" s="100"/>
    </row>
    <row r="455">
      <c r="A455" s="107">
        <v>101135.0</v>
      </c>
      <c r="B455" s="108" t="s">
        <v>92</v>
      </c>
      <c r="C455" s="108" t="s">
        <v>313</v>
      </c>
      <c r="D455" s="112" t="s">
        <v>177</v>
      </c>
      <c r="E455" s="112">
        <v>902.0</v>
      </c>
      <c r="F455" s="111" t="str">
        <f>DataPull!D455</f>
        <v/>
      </c>
      <c r="G455" s="94" t="str">
        <f t="shared" si="2"/>
        <v/>
      </c>
      <c r="H455" s="94" t="str">
        <f t="shared" si="3"/>
        <v/>
      </c>
      <c r="I455" s="94" t="str">
        <f t="shared" ref="I455:J455" si="456">if(G455 = "", , -G455)</f>
        <v/>
      </c>
      <c r="J455" s="94" t="str">
        <f t="shared" si="456"/>
        <v/>
      </c>
      <c r="K455" s="100"/>
      <c r="M455" s="100"/>
      <c r="N455" s="100"/>
      <c r="O455" s="100"/>
      <c r="P455" s="100"/>
    </row>
    <row r="456">
      <c r="A456" s="107">
        <v>101135.0</v>
      </c>
      <c r="B456" s="108" t="s">
        <v>190</v>
      </c>
      <c r="C456" s="108" t="s">
        <v>313</v>
      </c>
      <c r="D456" s="112" t="s">
        <v>177</v>
      </c>
      <c r="E456" s="112">
        <v>1477.3</v>
      </c>
      <c r="F456" s="111" t="str">
        <f>DataPull!D456</f>
        <v/>
      </c>
      <c r="G456" s="94" t="str">
        <f t="shared" si="2"/>
        <v/>
      </c>
      <c r="H456" s="94" t="str">
        <f t="shared" si="3"/>
        <v/>
      </c>
      <c r="I456" s="94" t="str">
        <f t="shared" ref="I456:J456" si="457">if(G456 = "", , -G456)</f>
        <v/>
      </c>
      <c r="J456" s="94" t="str">
        <f t="shared" si="457"/>
        <v/>
      </c>
      <c r="K456" s="100"/>
      <c r="M456" s="100"/>
      <c r="N456" s="100"/>
      <c r="O456" s="100"/>
      <c r="P456" s="100"/>
    </row>
    <row r="457">
      <c r="A457" s="107">
        <v>101138.0</v>
      </c>
      <c r="B457" s="108" t="s">
        <v>85</v>
      </c>
      <c r="C457" s="108" t="s">
        <v>314</v>
      </c>
      <c r="D457" s="112" t="s">
        <v>178</v>
      </c>
      <c r="E457" s="112">
        <v>2263.2</v>
      </c>
      <c r="F457" s="111" t="str">
        <f>DataPull!D457</f>
        <v/>
      </c>
      <c r="G457" s="94" t="str">
        <f t="shared" si="2"/>
        <v/>
      </c>
      <c r="H457" s="94" t="str">
        <f t="shared" si="3"/>
        <v/>
      </c>
      <c r="I457" s="94" t="str">
        <f t="shared" ref="I457:J457" si="458">if(G457 = "", , -G457)</f>
        <v/>
      </c>
      <c r="J457" s="94" t="str">
        <f t="shared" si="458"/>
        <v/>
      </c>
      <c r="K457" s="100"/>
      <c r="M457" s="100"/>
      <c r="N457" s="100"/>
      <c r="O457" s="100"/>
      <c r="P457" s="100"/>
    </row>
    <row r="458">
      <c r="A458" s="107">
        <v>101138.0</v>
      </c>
      <c r="B458" s="108" t="s">
        <v>90</v>
      </c>
      <c r="C458" s="108" t="s">
        <v>314</v>
      </c>
      <c r="D458" s="112" t="s">
        <v>176</v>
      </c>
      <c r="E458" s="112">
        <v>1927.0</v>
      </c>
      <c r="F458" s="111" t="str">
        <f>DataPull!D458</f>
        <v/>
      </c>
      <c r="G458" s="94" t="str">
        <f t="shared" si="2"/>
        <v/>
      </c>
      <c r="H458" s="94" t="str">
        <f t="shared" si="3"/>
        <v/>
      </c>
      <c r="I458" s="94" t="str">
        <f t="shared" ref="I458:J458" si="459">if(G458 = "", , -G458)</f>
        <v/>
      </c>
      <c r="J458" s="94" t="str">
        <f t="shared" si="459"/>
        <v/>
      </c>
      <c r="K458" s="100"/>
      <c r="M458" s="100"/>
      <c r="N458" s="100"/>
      <c r="O458" s="100"/>
      <c r="P458" s="100"/>
    </row>
    <row r="459">
      <c r="A459" s="107">
        <v>101138.0</v>
      </c>
      <c r="B459" s="108" t="s">
        <v>92</v>
      </c>
      <c r="C459" s="108" t="s">
        <v>314</v>
      </c>
      <c r="D459" s="112" t="s">
        <v>176</v>
      </c>
      <c r="E459" s="112">
        <v>1339.8</v>
      </c>
      <c r="F459" s="111" t="str">
        <f>DataPull!D459</f>
        <v/>
      </c>
      <c r="G459" s="94" t="str">
        <f t="shared" si="2"/>
        <v/>
      </c>
      <c r="H459" s="94" t="str">
        <f t="shared" si="3"/>
        <v/>
      </c>
      <c r="I459" s="94" t="str">
        <f t="shared" ref="I459:J459" si="460">if(G459 = "", , -G459)</f>
        <v/>
      </c>
      <c r="J459" s="94" t="str">
        <f t="shared" si="460"/>
        <v/>
      </c>
      <c r="K459" s="100"/>
      <c r="M459" s="100"/>
      <c r="N459" s="100"/>
      <c r="O459" s="100"/>
      <c r="P459" s="100"/>
    </row>
    <row r="460">
      <c r="A460" s="107">
        <v>101138.0</v>
      </c>
      <c r="B460" s="108" t="s">
        <v>190</v>
      </c>
      <c r="C460" s="108" t="s">
        <v>314</v>
      </c>
      <c r="D460" s="112" t="s">
        <v>187</v>
      </c>
      <c r="E460" s="112">
        <v>577.2</v>
      </c>
      <c r="F460" s="111" t="str">
        <f>DataPull!D460</f>
        <v/>
      </c>
      <c r="G460" s="94" t="str">
        <f t="shared" si="2"/>
        <v/>
      </c>
      <c r="H460" s="94" t="str">
        <f t="shared" si="3"/>
        <v/>
      </c>
      <c r="I460" s="94" t="str">
        <f t="shared" ref="I460:J460" si="461">if(G460 = "", , -G460)</f>
        <v/>
      </c>
      <c r="J460" s="94" t="str">
        <f t="shared" si="461"/>
        <v/>
      </c>
      <c r="K460" s="100"/>
      <c r="M460" s="100"/>
      <c r="N460" s="100"/>
      <c r="O460" s="100"/>
      <c r="P460" s="100"/>
    </row>
    <row r="461">
      <c r="A461" s="107">
        <v>101139.0</v>
      </c>
      <c r="B461" s="108" t="s">
        <v>85</v>
      </c>
      <c r="C461" s="108" t="s">
        <v>315</v>
      </c>
      <c r="D461" s="112" t="s">
        <v>177</v>
      </c>
      <c r="E461" s="112">
        <v>984.3</v>
      </c>
      <c r="F461" s="111" t="str">
        <f>DataPull!D461</f>
        <v/>
      </c>
      <c r="G461" s="94" t="str">
        <f t="shared" si="2"/>
        <v/>
      </c>
      <c r="H461" s="94" t="str">
        <f t="shared" si="3"/>
        <v/>
      </c>
      <c r="I461" s="94" t="str">
        <f t="shared" ref="I461:J461" si="462">if(G461 = "", , -G461)</f>
        <v/>
      </c>
      <c r="J461" s="94" t="str">
        <f t="shared" si="462"/>
        <v/>
      </c>
      <c r="K461" s="100"/>
      <c r="M461" s="100"/>
      <c r="N461" s="100"/>
      <c r="O461" s="100"/>
      <c r="P461" s="100"/>
    </row>
    <row r="462">
      <c r="A462" s="107">
        <v>101139.0</v>
      </c>
      <c r="B462" s="108" t="s">
        <v>90</v>
      </c>
      <c r="C462" s="108" t="s">
        <v>315</v>
      </c>
      <c r="D462" s="112" t="s">
        <v>178</v>
      </c>
      <c r="E462" s="112">
        <v>1841.0</v>
      </c>
      <c r="F462" s="111" t="str">
        <f>DataPull!D462</f>
        <v/>
      </c>
      <c r="G462" s="94" t="str">
        <f t="shared" si="2"/>
        <v/>
      </c>
      <c r="H462" s="94" t="str">
        <f t="shared" si="3"/>
        <v/>
      </c>
      <c r="I462" s="94" t="str">
        <f t="shared" ref="I462:J462" si="463">if(G462 = "", , -G462)</f>
        <v/>
      </c>
      <c r="J462" s="94" t="str">
        <f t="shared" si="463"/>
        <v/>
      </c>
      <c r="K462" s="100"/>
      <c r="M462" s="100"/>
      <c r="N462" s="100"/>
      <c r="O462" s="100"/>
      <c r="P462" s="100"/>
    </row>
    <row r="463">
      <c r="A463" s="107">
        <v>101139.0</v>
      </c>
      <c r="B463" s="108" t="s">
        <v>92</v>
      </c>
      <c r="C463" s="108" t="s">
        <v>315</v>
      </c>
      <c r="D463" s="112" t="s">
        <v>178</v>
      </c>
      <c r="E463" s="112">
        <v>1465.6</v>
      </c>
      <c r="F463" s="111" t="str">
        <f>DataPull!D463</f>
        <v/>
      </c>
      <c r="G463" s="94" t="str">
        <f t="shared" si="2"/>
        <v/>
      </c>
      <c r="H463" s="94" t="str">
        <f t="shared" si="3"/>
        <v/>
      </c>
      <c r="I463" s="94" t="str">
        <f t="shared" ref="I463:J463" si="464">if(G463 = "", , -G463)</f>
        <v/>
      </c>
      <c r="J463" s="94" t="str">
        <f t="shared" si="464"/>
        <v/>
      </c>
      <c r="K463" s="100"/>
      <c r="M463" s="100"/>
      <c r="N463" s="100"/>
      <c r="O463" s="100"/>
      <c r="P463" s="100"/>
    </row>
    <row r="464">
      <c r="A464" s="107">
        <v>101139.0</v>
      </c>
      <c r="B464" s="108" t="s">
        <v>190</v>
      </c>
      <c r="C464" s="108" t="s">
        <v>315</v>
      </c>
      <c r="D464" s="112" t="s">
        <v>176</v>
      </c>
      <c r="E464" s="112">
        <v>1778.4</v>
      </c>
      <c r="F464" s="111" t="str">
        <f>DataPull!D464</f>
        <v/>
      </c>
      <c r="G464" s="94" t="str">
        <f t="shared" si="2"/>
        <v/>
      </c>
      <c r="H464" s="94" t="str">
        <f t="shared" si="3"/>
        <v/>
      </c>
      <c r="I464" s="94" t="str">
        <f t="shared" ref="I464:J464" si="465">if(G464 = "", , -G464)</f>
        <v/>
      </c>
      <c r="J464" s="94" t="str">
        <f t="shared" si="465"/>
        <v/>
      </c>
      <c r="K464" s="100"/>
      <c r="L464" s="100"/>
      <c r="N464" s="100"/>
      <c r="O464" s="100"/>
      <c r="P464" s="100"/>
    </row>
    <row r="465">
      <c r="A465" s="107">
        <v>101139.0</v>
      </c>
      <c r="B465" s="108" t="s">
        <v>191</v>
      </c>
      <c r="C465" s="108" t="s">
        <v>315</v>
      </c>
      <c r="D465" s="112" t="s">
        <v>177</v>
      </c>
      <c r="E465" s="112">
        <v>1337.0</v>
      </c>
      <c r="F465" s="111" t="str">
        <f>DataPull!D465</f>
        <v/>
      </c>
      <c r="G465" s="94" t="str">
        <f t="shared" si="2"/>
        <v/>
      </c>
      <c r="H465" s="94" t="str">
        <f t="shared" si="3"/>
        <v/>
      </c>
      <c r="I465" s="94" t="str">
        <f t="shared" ref="I465:J465" si="466">if(G465 = "", , -G465)</f>
        <v/>
      </c>
      <c r="J465" s="94" t="str">
        <f t="shared" si="466"/>
        <v/>
      </c>
      <c r="K465" s="100"/>
      <c r="L465" s="100"/>
      <c r="N465" s="100"/>
      <c r="O465" s="100"/>
      <c r="P465" s="100"/>
    </row>
    <row r="466">
      <c r="A466" s="107">
        <v>101139.0</v>
      </c>
      <c r="B466" s="108" t="s">
        <v>192</v>
      </c>
      <c r="C466" s="108" t="s">
        <v>315</v>
      </c>
      <c r="D466" s="112" t="s">
        <v>177</v>
      </c>
      <c r="E466" s="112">
        <v>858.6</v>
      </c>
      <c r="F466" s="111" t="str">
        <f>DataPull!D466</f>
        <v/>
      </c>
      <c r="G466" s="94" t="str">
        <f t="shared" si="2"/>
        <v/>
      </c>
      <c r="H466" s="94" t="str">
        <f t="shared" si="3"/>
        <v/>
      </c>
      <c r="I466" s="94" t="str">
        <f t="shared" ref="I466:J466" si="467">if(G466 = "", , -G466)</f>
        <v/>
      </c>
      <c r="J466" s="94" t="str">
        <f t="shared" si="467"/>
        <v/>
      </c>
      <c r="K466" s="100"/>
      <c r="M466" s="100"/>
      <c r="N466" s="100"/>
      <c r="O466" s="100"/>
      <c r="P466" s="100"/>
    </row>
    <row r="467">
      <c r="A467" s="107">
        <v>101139.0</v>
      </c>
      <c r="B467" s="108" t="s">
        <v>193</v>
      </c>
      <c r="C467" s="108" t="s">
        <v>315</v>
      </c>
      <c r="D467" s="112" t="s">
        <v>187</v>
      </c>
      <c r="E467" s="112">
        <v>161.0</v>
      </c>
      <c r="F467" s="111" t="str">
        <f>DataPull!D467</f>
        <v/>
      </c>
      <c r="G467" s="94" t="str">
        <f t="shared" si="2"/>
        <v/>
      </c>
      <c r="H467" s="94" t="str">
        <f t="shared" si="3"/>
        <v/>
      </c>
      <c r="I467" s="94" t="str">
        <f t="shared" ref="I467:J467" si="468">if(G467 = "", , -G467)</f>
        <v/>
      </c>
      <c r="J467" s="94" t="str">
        <f t="shared" si="468"/>
        <v/>
      </c>
      <c r="K467" s="100"/>
      <c r="M467" s="100"/>
      <c r="N467" s="100"/>
      <c r="O467" s="100"/>
      <c r="P467" s="100"/>
    </row>
    <row r="468">
      <c r="A468" s="107">
        <v>101139.0</v>
      </c>
      <c r="B468" s="108" t="s">
        <v>215</v>
      </c>
      <c r="C468" s="108" t="s">
        <v>315</v>
      </c>
      <c r="D468" s="112" t="s">
        <v>181</v>
      </c>
      <c r="E468" s="112">
        <v>2.0</v>
      </c>
      <c r="F468" s="111" t="str">
        <f>DataPull!D468</f>
        <v/>
      </c>
      <c r="G468" s="94" t="str">
        <f t="shared" si="2"/>
        <v/>
      </c>
      <c r="H468" s="94" t="str">
        <f t="shared" si="3"/>
        <v/>
      </c>
      <c r="I468" s="94" t="str">
        <f t="shared" ref="I468:J468" si="469">if(G468 = "", , -G468)</f>
        <v/>
      </c>
      <c r="J468" s="94" t="str">
        <f t="shared" si="469"/>
        <v/>
      </c>
      <c r="K468" s="100"/>
      <c r="M468" s="100"/>
      <c r="N468" s="100"/>
      <c r="O468" s="100"/>
      <c r="P468" s="100"/>
    </row>
    <row r="469">
      <c r="A469" s="107">
        <v>101141.0</v>
      </c>
      <c r="B469" s="108" t="s">
        <v>85</v>
      </c>
      <c r="C469" s="108" t="s">
        <v>316</v>
      </c>
      <c r="D469" s="112" t="s">
        <v>178</v>
      </c>
      <c r="E469" s="112">
        <v>1479.5</v>
      </c>
      <c r="F469" s="111" t="str">
        <f>DataPull!D469</f>
        <v/>
      </c>
      <c r="G469" s="94" t="str">
        <f t="shared" si="2"/>
        <v/>
      </c>
      <c r="H469" s="94" t="str">
        <f t="shared" si="3"/>
        <v/>
      </c>
      <c r="I469" s="94" t="str">
        <f t="shared" ref="I469:J469" si="470">if(G469 = "", , -G469)</f>
        <v/>
      </c>
      <c r="J469" s="94" t="str">
        <f t="shared" si="470"/>
        <v/>
      </c>
      <c r="K469" s="100"/>
      <c r="M469" s="100"/>
      <c r="N469" s="100"/>
      <c r="O469" s="100"/>
      <c r="P469" s="100"/>
    </row>
    <row r="470">
      <c r="A470" s="107">
        <v>101141.0</v>
      </c>
      <c r="B470" s="108" t="s">
        <v>90</v>
      </c>
      <c r="C470" s="108" t="s">
        <v>316</v>
      </c>
      <c r="D470" s="112" t="s">
        <v>176</v>
      </c>
      <c r="E470" s="112">
        <v>1316.6</v>
      </c>
      <c r="F470" s="111" t="str">
        <f>DataPull!D470</f>
        <v/>
      </c>
      <c r="G470" s="94" t="str">
        <f t="shared" si="2"/>
        <v/>
      </c>
      <c r="H470" s="94" t="str">
        <f t="shared" si="3"/>
        <v/>
      </c>
      <c r="I470" s="94" t="str">
        <f t="shared" ref="I470:J470" si="471">if(G470 = "", , -G470)</f>
        <v/>
      </c>
      <c r="J470" s="94" t="str">
        <f t="shared" si="471"/>
        <v/>
      </c>
      <c r="K470" s="100"/>
      <c r="M470" s="100"/>
      <c r="N470" s="100"/>
      <c r="O470" s="100"/>
      <c r="P470" s="100"/>
    </row>
    <row r="471">
      <c r="A471" s="107">
        <v>101141.0</v>
      </c>
      <c r="B471" s="108" t="s">
        <v>92</v>
      </c>
      <c r="C471" s="108" t="s">
        <v>316</v>
      </c>
      <c r="D471" s="112" t="s">
        <v>176</v>
      </c>
      <c r="E471" s="112">
        <v>1879.6</v>
      </c>
      <c r="F471" s="111" t="str">
        <f>DataPull!D471</f>
        <v/>
      </c>
      <c r="G471" s="94" t="str">
        <f t="shared" si="2"/>
        <v/>
      </c>
      <c r="H471" s="94" t="str">
        <f t="shared" si="3"/>
        <v/>
      </c>
      <c r="I471" s="94" t="str">
        <f t="shared" ref="I471:J471" si="472">if(G471 = "", , -G471)</f>
        <v/>
      </c>
      <c r="J471" s="94" t="str">
        <f t="shared" si="472"/>
        <v/>
      </c>
      <c r="K471" s="100"/>
      <c r="L471" s="100"/>
      <c r="M471" s="100"/>
      <c r="N471" s="100"/>
      <c r="O471" s="100"/>
      <c r="P471" s="100"/>
    </row>
    <row r="472">
      <c r="A472" s="107">
        <v>101141.0</v>
      </c>
      <c r="B472" s="108" t="s">
        <v>190</v>
      </c>
      <c r="C472" s="108" t="s">
        <v>316</v>
      </c>
      <c r="D472" s="112" t="s">
        <v>178</v>
      </c>
      <c r="E472" s="112">
        <v>2140.2</v>
      </c>
      <c r="F472" s="111" t="str">
        <f>DataPull!D472</f>
        <v/>
      </c>
      <c r="G472" s="94" t="str">
        <f t="shared" si="2"/>
        <v/>
      </c>
      <c r="H472" s="94" t="str">
        <f t="shared" si="3"/>
        <v/>
      </c>
      <c r="I472" s="94" t="str">
        <f t="shared" ref="I472:J472" si="473">if(G472 = "", , -G472)</f>
        <v/>
      </c>
      <c r="J472" s="94" t="str">
        <f t="shared" si="473"/>
        <v/>
      </c>
      <c r="K472" s="100"/>
      <c r="M472" s="100"/>
      <c r="N472" s="100"/>
      <c r="O472" s="100"/>
      <c r="P472" s="100"/>
    </row>
    <row r="473">
      <c r="A473" s="107">
        <v>101141.0</v>
      </c>
      <c r="B473" s="108" t="s">
        <v>191</v>
      </c>
      <c r="C473" s="108" t="s">
        <v>316</v>
      </c>
      <c r="D473" s="112" t="s">
        <v>178</v>
      </c>
      <c r="E473" s="112">
        <v>1731.9</v>
      </c>
      <c r="F473" s="111" t="str">
        <f>DataPull!D473</f>
        <v/>
      </c>
      <c r="G473" s="94" t="str">
        <f t="shared" si="2"/>
        <v/>
      </c>
      <c r="H473" s="94" t="str">
        <f t="shared" si="3"/>
        <v/>
      </c>
      <c r="I473" s="94" t="str">
        <f t="shared" ref="I473:J473" si="474">if(G473 = "", , -G473)</f>
        <v/>
      </c>
      <c r="J473" s="94" t="str">
        <f t="shared" si="474"/>
        <v/>
      </c>
      <c r="K473" s="100"/>
      <c r="M473" s="100"/>
      <c r="N473" s="100"/>
      <c r="O473" s="100"/>
      <c r="P473" s="100"/>
    </row>
    <row r="474">
      <c r="A474" s="107">
        <v>101141.0</v>
      </c>
      <c r="B474" s="108" t="s">
        <v>192</v>
      </c>
      <c r="C474" s="108" t="s">
        <v>316</v>
      </c>
      <c r="D474" s="112" t="s">
        <v>177</v>
      </c>
      <c r="E474" s="112">
        <v>1232.8</v>
      </c>
      <c r="F474" s="111" t="str">
        <f>DataPull!D474</f>
        <v/>
      </c>
      <c r="G474" s="94" t="str">
        <f t="shared" si="2"/>
        <v/>
      </c>
      <c r="H474" s="94" t="str">
        <f t="shared" si="3"/>
        <v/>
      </c>
      <c r="I474" s="94" t="str">
        <f t="shared" ref="I474:J474" si="475">if(G474 = "", , -G474)</f>
        <v/>
      </c>
      <c r="J474" s="94" t="str">
        <f t="shared" si="475"/>
        <v/>
      </c>
      <c r="K474" s="100"/>
      <c r="M474" s="100"/>
      <c r="N474" s="100"/>
      <c r="O474" s="100"/>
      <c r="P474" s="100"/>
    </row>
    <row r="475">
      <c r="A475" s="107">
        <v>101141.0</v>
      </c>
      <c r="B475" s="108" t="s">
        <v>193</v>
      </c>
      <c r="C475" s="108" t="s">
        <v>316</v>
      </c>
      <c r="D475" s="112" t="s">
        <v>177</v>
      </c>
      <c r="E475" s="112">
        <v>989.1</v>
      </c>
      <c r="F475" s="111" t="str">
        <f>DataPull!D475</f>
        <v/>
      </c>
      <c r="G475" s="94" t="str">
        <f t="shared" si="2"/>
        <v/>
      </c>
      <c r="H475" s="94" t="str">
        <f t="shared" si="3"/>
        <v/>
      </c>
      <c r="I475" s="94" t="str">
        <f t="shared" ref="I475:J475" si="476">if(G475 = "", , -G475)</f>
        <v/>
      </c>
      <c r="J475" s="94" t="str">
        <f t="shared" si="476"/>
        <v/>
      </c>
      <c r="K475" s="100"/>
      <c r="L475" s="100"/>
      <c r="N475" s="100"/>
      <c r="O475" s="100"/>
      <c r="P475" s="100"/>
    </row>
    <row r="476">
      <c r="A476" s="107">
        <v>101141.0</v>
      </c>
      <c r="B476" s="108" t="s">
        <v>243</v>
      </c>
      <c r="C476" s="108" t="s">
        <v>316</v>
      </c>
      <c r="D476" s="112" t="s">
        <v>187</v>
      </c>
      <c r="E476" s="112">
        <v>147.9</v>
      </c>
      <c r="F476" s="111" t="str">
        <f>DataPull!D476</f>
        <v/>
      </c>
      <c r="G476" s="94" t="str">
        <f t="shared" si="2"/>
        <v/>
      </c>
      <c r="H476" s="94" t="str">
        <f t="shared" si="3"/>
        <v/>
      </c>
      <c r="I476" s="94" t="str">
        <f t="shared" ref="I476:J476" si="477">if(G476 = "", , -G476)</f>
        <v/>
      </c>
      <c r="J476" s="94" t="str">
        <f t="shared" si="477"/>
        <v/>
      </c>
      <c r="K476" s="100"/>
      <c r="M476" s="100"/>
      <c r="N476" s="100"/>
      <c r="O476" s="100"/>
      <c r="P476" s="100"/>
    </row>
    <row r="477">
      <c r="A477" s="107">
        <v>101142.0</v>
      </c>
      <c r="B477" s="108" t="s">
        <v>85</v>
      </c>
      <c r="C477" s="108" t="s">
        <v>317</v>
      </c>
      <c r="D477" s="112" t="s">
        <v>176</v>
      </c>
      <c r="E477" s="112">
        <v>604.5</v>
      </c>
      <c r="F477" s="111" t="str">
        <f>DataPull!D477</f>
        <v/>
      </c>
      <c r="G477" s="94" t="str">
        <f t="shared" si="2"/>
        <v/>
      </c>
      <c r="H477" s="94" t="str">
        <f t="shared" si="3"/>
        <v/>
      </c>
      <c r="I477" s="94" t="str">
        <f t="shared" ref="I477:J477" si="478">if(G477 = "", , -G477)</f>
        <v/>
      </c>
      <c r="J477" s="94" t="str">
        <f t="shared" si="478"/>
        <v/>
      </c>
      <c r="K477" s="100"/>
      <c r="M477" s="100"/>
      <c r="N477" s="100"/>
      <c r="O477" s="100"/>
      <c r="P477" s="100"/>
    </row>
    <row r="478">
      <c r="A478" s="107">
        <v>101142.0</v>
      </c>
      <c r="B478" s="108" t="s">
        <v>90</v>
      </c>
      <c r="C478" s="108" t="s">
        <v>317</v>
      </c>
      <c r="D478" s="112" t="s">
        <v>181</v>
      </c>
      <c r="E478" s="112">
        <v>19.4</v>
      </c>
      <c r="F478" s="111" t="str">
        <f>DataPull!D478</f>
        <v/>
      </c>
      <c r="G478" s="94" t="str">
        <f t="shared" si="2"/>
        <v/>
      </c>
      <c r="H478" s="94" t="str">
        <f t="shared" si="3"/>
        <v/>
      </c>
      <c r="I478" s="94" t="str">
        <f t="shared" ref="I478:J478" si="479">if(G478 = "", , -G478)</f>
        <v/>
      </c>
      <c r="J478" s="94" t="str">
        <f t="shared" si="479"/>
        <v/>
      </c>
      <c r="K478" s="100"/>
      <c r="M478" s="100"/>
      <c r="N478" s="100"/>
      <c r="O478" s="100"/>
      <c r="P478" s="100"/>
    </row>
    <row r="479">
      <c r="A479" s="107">
        <v>101145.0</v>
      </c>
      <c r="B479" s="108" t="s">
        <v>85</v>
      </c>
      <c r="C479" s="108" t="s">
        <v>318</v>
      </c>
      <c r="D479" s="112" t="s">
        <v>178</v>
      </c>
      <c r="E479" s="112">
        <v>3025.8</v>
      </c>
      <c r="F479" s="111" t="str">
        <f>DataPull!D479</f>
        <v/>
      </c>
      <c r="G479" s="94" t="str">
        <f t="shared" si="2"/>
        <v/>
      </c>
      <c r="H479" s="94" t="str">
        <f t="shared" si="3"/>
        <v/>
      </c>
      <c r="I479" s="94" t="str">
        <f t="shared" ref="I479:J479" si="480">if(G479 = "", , -G479)</f>
        <v/>
      </c>
      <c r="J479" s="94" t="str">
        <f t="shared" si="480"/>
        <v/>
      </c>
      <c r="K479" s="100"/>
      <c r="L479" s="100"/>
      <c r="N479" s="100"/>
      <c r="O479" s="100"/>
      <c r="P479" s="100"/>
    </row>
    <row r="480">
      <c r="A480" s="107">
        <v>101145.0</v>
      </c>
      <c r="B480" s="108" t="s">
        <v>90</v>
      </c>
      <c r="C480" s="108" t="s">
        <v>318</v>
      </c>
      <c r="D480" s="112" t="s">
        <v>178</v>
      </c>
      <c r="E480" s="112">
        <v>2696.0</v>
      </c>
      <c r="F480" s="111" t="str">
        <f>DataPull!D480</f>
        <v/>
      </c>
      <c r="G480" s="94" t="str">
        <f t="shared" si="2"/>
        <v/>
      </c>
      <c r="H480" s="94" t="str">
        <f t="shared" si="3"/>
        <v/>
      </c>
      <c r="I480" s="94" t="str">
        <f t="shared" ref="I480:J480" si="481">if(G480 = "", , -G480)</f>
        <v/>
      </c>
      <c r="J480" s="94" t="str">
        <f t="shared" si="481"/>
        <v/>
      </c>
      <c r="K480" s="100"/>
      <c r="M480" s="100"/>
      <c r="N480" s="100"/>
      <c r="O480" s="100"/>
      <c r="P480" s="100"/>
    </row>
    <row r="481">
      <c r="A481" s="107">
        <v>101145.0</v>
      </c>
      <c r="B481" s="108" t="s">
        <v>92</v>
      </c>
      <c r="C481" s="108" t="s">
        <v>318</v>
      </c>
      <c r="D481" s="112" t="s">
        <v>178</v>
      </c>
      <c r="E481" s="112">
        <v>2737.8</v>
      </c>
      <c r="F481" s="111" t="str">
        <f>DataPull!D481</f>
        <v/>
      </c>
      <c r="G481" s="94" t="str">
        <f t="shared" si="2"/>
        <v/>
      </c>
      <c r="H481" s="94" t="str">
        <f t="shared" si="3"/>
        <v/>
      </c>
      <c r="I481" s="94" t="str">
        <f t="shared" ref="I481:J481" si="482">if(G481 = "", , -G481)</f>
        <v/>
      </c>
      <c r="J481" s="94" t="str">
        <f t="shared" si="482"/>
        <v/>
      </c>
      <c r="K481" s="100"/>
      <c r="M481" s="100"/>
      <c r="N481" s="100"/>
      <c r="O481" s="100"/>
      <c r="P481" s="100"/>
    </row>
    <row r="482">
      <c r="A482" s="107">
        <v>101145.0</v>
      </c>
      <c r="B482" s="108" t="s">
        <v>190</v>
      </c>
      <c r="C482" s="108" t="s">
        <v>318</v>
      </c>
      <c r="D482" s="112" t="s">
        <v>178</v>
      </c>
      <c r="E482" s="112">
        <v>1998.0</v>
      </c>
      <c r="F482" s="111" t="str">
        <f>DataPull!D482</f>
        <v/>
      </c>
      <c r="G482" s="94" t="str">
        <f t="shared" si="2"/>
        <v/>
      </c>
      <c r="H482" s="94" t="str">
        <f t="shared" si="3"/>
        <v/>
      </c>
      <c r="I482" s="94" t="str">
        <f t="shared" ref="I482:J482" si="483">if(G482 = "", , -G482)</f>
        <v/>
      </c>
      <c r="J482" s="94" t="str">
        <f t="shared" si="483"/>
        <v/>
      </c>
      <c r="K482" s="100"/>
      <c r="M482" s="100"/>
      <c r="N482" s="100"/>
      <c r="O482" s="100"/>
      <c r="P482" s="100"/>
    </row>
    <row r="483">
      <c r="A483" s="107">
        <v>101150.0</v>
      </c>
      <c r="B483" s="108" t="s">
        <v>85</v>
      </c>
      <c r="C483" s="108" t="s">
        <v>319</v>
      </c>
      <c r="D483" s="112" t="s">
        <v>176</v>
      </c>
      <c r="E483" s="112">
        <v>1446.0</v>
      </c>
      <c r="F483" s="111" t="str">
        <f>DataPull!D483</f>
        <v/>
      </c>
      <c r="G483" s="94" t="str">
        <f t="shared" si="2"/>
        <v/>
      </c>
      <c r="H483" s="94" t="str">
        <f t="shared" si="3"/>
        <v/>
      </c>
      <c r="I483" s="94" t="str">
        <f t="shared" ref="I483:J483" si="484">if(G483 = "", , -G483)</f>
        <v/>
      </c>
      <c r="J483" s="94" t="str">
        <f t="shared" si="484"/>
        <v/>
      </c>
      <c r="K483" s="100"/>
      <c r="M483" s="100"/>
      <c r="N483" s="100"/>
      <c r="O483" s="100"/>
      <c r="P483" s="100"/>
    </row>
    <row r="484">
      <c r="A484" s="107">
        <v>101150.0</v>
      </c>
      <c r="B484" s="108" t="s">
        <v>90</v>
      </c>
      <c r="C484" s="108" t="s">
        <v>319</v>
      </c>
      <c r="D484" s="112" t="s">
        <v>176</v>
      </c>
      <c r="E484" s="112">
        <v>2016.0</v>
      </c>
      <c r="F484" s="111" t="str">
        <f>DataPull!D484</f>
        <v/>
      </c>
      <c r="G484" s="94" t="str">
        <f t="shared" si="2"/>
        <v/>
      </c>
      <c r="H484" s="94" t="str">
        <f t="shared" si="3"/>
        <v/>
      </c>
      <c r="I484" s="94" t="str">
        <f t="shared" ref="I484:J484" si="485">if(G484 = "", , -G484)</f>
        <v/>
      </c>
      <c r="J484" s="94" t="str">
        <f t="shared" si="485"/>
        <v/>
      </c>
      <c r="K484" s="100"/>
      <c r="L484" s="100"/>
      <c r="M484" s="100"/>
      <c r="N484" s="100"/>
      <c r="O484" s="100"/>
      <c r="P484" s="100"/>
    </row>
    <row r="485">
      <c r="A485" s="107">
        <v>101150.0</v>
      </c>
      <c r="B485" s="108" t="s">
        <v>92</v>
      </c>
      <c r="C485" s="108" t="s">
        <v>319</v>
      </c>
      <c r="D485" s="112" t="s">
        <v>178</v>
      </c>
      <c r="E485" s="112">
        <v>1909.5</v>
      </c>
      <c r="F485" s="111" t="str">
        <f>DataPull!D485</f>
        <v/>
      </c>
      <c r="G485" s="94" t="str">
        <f t="shared" si="2"/>
        <v/>
      </c>
      <c r="H485" s="94" t="str">
        <f t="shared" si="3"/>
        <v/>
      </c>
      <c r="I485" s="94" t="str">
        <f t="shared" ref="I485:J485" si="486">if(G485 = "", , -G485)</f>
        <v/>
      </c>
      <c r="J485" s="94" t="str">
        <f t="shared" si="486"/>
        <v/>
      </c>
      <c r="K485" s="100"/>
      <c r="M485" s="100"/>
      <c r="N485" s="100"/>
      <c r="O485" s="100"/>
      <c r="P485" s="100"/>
    </row>
    <row r="486">
      <c r="A486" s="107">
        <v>101150.0</v>
      </c>
      <c r="B486" s="108" t="s">
        <v>190</v>
      </c>
      <c r="C486" s="108" t="s">
        <v>319</v>
      </c>
      <c r="D486" s="112" t="s">
        <v>176</v>
      </c>
      <c r="E486" s="112">
        <v>1992.6</v>
      </c>
      <c r="F486" s="111" t="str">
        <f>DataPull!D486</f>
        <v/>
      </c>
      <c r="G486" s="94" t="str">
        <f t="shared" si="2"/>
        <v/>
      </c>
      <c r="H486" s="94" t="str">
        <f t="shared" si="3"/>
        <v/>
      </c>
      <c r="I486" s="94" t="str">
        <f t="shared" ref="I486:J486" si="487">if(G486 = "", , -G486)</f>
        <v/>
      </c>
      <c r="J486" s="94" t="str">
        <f t="shared" si="487"/>
        <v/>
      </c>
      <c r="K486" s="100"/>
      <c r="M486" s="100"/>
      <c r="N486" s="100"/>
      <c r="O486" s="100"/>
      <c r="P486" s="100"/>
    </row>
    <row r="487">
      <c r="A487" s="107">
        <v>101150.0</v>
      </c>
      <c r="B487" s="108" t="s">
        <v>191</v>
      </c>
      <c r="C487" s="108" t="s">
        <v>319</v>
      </c>
      <c r="D487" s="112" t="s">
        <v>178</v>
      </c>
      <c r="E487" s="112">
        <v>2591.2</v>
      </c>
      <c r="F487" s="111" t="str">
        <f>DataPull!D487</f>
        <v/>
      </c>
      <c r="G487" s="94" t="str">
        <f t="shared" si="2"/>
        <v/>
      </c>
      <c r="H487" s="94" t="str">
        <f t="shared" si="3"/>
        <v/>
      </c>
      <c r="I487" s="94" t="str">
        <f t="shared" ref="I487:J487" si="488">if(G487 = "", , -G487)</f>
        <v/>
      </c>
      <c r="J487" s="94" t="str">
        <f t="shared" si="488"/>
        <v/>
      </c>
      <c r="K487" s="100"/>
      <c r="M487" s="100"/>
      <c r="N487" s="100"/>
      <c r="O487" s="100"/>
      <c r="P487" s="100"/>
    </row>
    <row r="488">
      <c r="A488" s="107">
        <v>101150.0</v>
      </c>
      <c r="B488" s="108" t="s">
        <v>192</v>
      </c>
      <c r="C488" s="108" t="s">
        <v>319</v>
      </c>
      <c r="D488" s="112" t="s">
        <v>176</v>
      </c>
      <c r="E488" s="112">
        <v>1995.0</v>
      </c>
      <c r="F488" s="111" t="str">
        <f>DataPull!D488</f>
        <v/>
      </c>
      <c r="G488" s="94" t="str">
        <f t="shared" si="2"/>
        <v/>
      </c>
      <c r="H488" s="94" t="str">
        <f t="shared" si="3"/>
        <v/>
      </c>
      <c r="I488" s="94" t="str">
        <f t="shared" ref="I488:J488" si="489">if(G488 = "", , -G488)</f>
        <v/>
      </c>
      <c r="J488" s="94" t="str">
        <f t="shared" si="489"/>
        <v/>
      </c>
      <c r="K488" s="100"/>
      <c r="L488" s="100"/>
      <c r="M488" s="100"/>
      <c r="N488" s="100"/>
      <c r="O488" s="100"/>
      <c r="P488" s="100"/>
    </row>
    <row r="489">
      <c r="A489" s="107">
        <v>101150.0</v>
      </c>
      <c r="B489" s="108" t="s">
        <v>193</v>
      </c>
      <c r="C489" s="108" t="s">
        <v>319</v>
      </c>
      <c r="D489" s="112" t="s">
        <v>178</v>
      </c>
      <c r="E489" s="112">
        <v>1865.5</v>
      </c>
      <c r="F489" s="111" t="str">
        <f>DataPull!D489</f>
        <v/>
      </c>
      <c r="G489" s="94" t="str">
        <f t="shared" si="2"/>
        <v/>
      </c>
      <c r="H489" s="94" t="str">
        <f t="shared" si="3"/>
        <v/>
      </c>
      <c r="I489" s="94" t="str">
        <f t="shared" ref="I489:J489" si="490">if(G489 = "", , -G489)</f>
        <v/>
      </c>
      <c r="J489" s="94" t="str">
        <f t="shared" si="490"/>
        <v/>
      </c>
      <c r="K489" s="100"/>
      <c r="M489" s="100"/>
      <c r="N489" s="100"/>
      <c r="O489" s="100"/>
      <c r="P489" s="100"/>
    </row>
    <row r="490">
      <c r="A490" s="107">
        <v>101150.0</v>
      </c>
      <c r="B490" s="108" t="s">
        <v>243</v>
      </c>
      <c r="C490" s="108" t="s">
        <v>319</v>
      </c>
      <c r="D490" s="112" t="s">
        <v>176</v>
      </c>
      <c r="E490" s="112">
        <v>1425.6</v>
      </c>
      <c r="F490" s="111" t="str">
        <f>DataPull!D490</f>
        <v/>
      </c>
      <c r="G490" s="94" t="str">
        <f t="shared" si="2"/>
        <v/>
      </c>
      <c r="H490" s="94" t="str">
        <f t="shared" si="3"/>
        <v/>
      </c>
      <c r="I490" s="94" t="str">
        <f t="shared" ref="I490:J490" si="491">if(G490 = "", , -G490)</f>
        <v/>
      </c>
      <c r="J490" s="94" t="str">
        <f t="shared" si="491"/>
        <v/>
      </c>
      <c r="K490" s="100"/>
      <c r="M490" s="100"/>
      <c r="N490" s="100"/>
      <c r="O490" s="100"/>
      <c r="P490" s="100"/>
    </row>
    <row r="491">
      <c r="A491" s="107">
        <v>101150.0</v>
      </c>
      <c r="B491" s="108" t="s">
        <v>215</v>
      </c>
      <c r="C491" s="108" t="s">
        <v>319</v>
      </c>
      <c r="D491" s="112" t="s">
        <v>177</v>
      </c>
      <c r="E491" s="112">
        <v>800.8</v>
      </c>
      <c r="F491" s="111" t="str">
        <f>DataPull!D491</f>
        <v/>
      </c>
      <c r="G491" s="94" t="str">
        <f t="shared" si="2"/>
        <v/>
      </c>
      <c r="H491" s="94" t="str">
        <f t="shared" si="3"/>
        <v/>
      </c>
      <c r="I491" s="94" t="str">
        <f t="shared" ref="I491:J491" si="492">if(G491 = "", , -G491)</f>
        <v/>
      </c>
      <c r="J491" s="94" t="str">
        <f t="shared" si="492"/>
        <v/>
      </c>
      <c r="K491" s="100"/>
      <c r="M491" s="100"/>
      <c r="N491" s="100"/>
      <c r="O491" s="100"/>
      <c r="P491" s="100"/>
    </row>
    <row r="492">
      <c r="A492" s="107">
        <v>101154.0</v>
      </c>
      <c r="B492" s="108" t="s">
        <v>85</v>
      </c>
      <c r="C492" s="108" t="s">
        <v>320</v>
      </c>
      <c r="D492" s="112" t="s">
        <v>176</v>
      </c>
      <c r="E492" s="112">
        <v>1620.6</v>
      </c>
      <c r="F492" s="111" t="str">
        <f>DataPull!D492</f>
        <v/>
      </c>
      <c r="G492" s="94" t="str">
        <f t="shared" si="2"/>
        <v/>
      </c>
      <c r="H492" s="94" t="str">
        <f t="shared" si="3"/>
        <v/>
      </c>
      <c r="I492" s="94" t="str">
        <f t="shared" ref="I492:J492" si="493">if(G492 = "", , -G492)</f>
        <v/>
      </c>
      <c r="J492" s="94" t="str">
        <f t="shared" si="493"/>
        <v/>
      </c>
      <c r="K492" s="100"/>
      <c r="M492" s="100"/>
      <c r="N492" s="100"/>
      <c r="O492" s="100"/>
      <c r="P492" s="100"/>
    </row>
    <row r="493">
      <c r="A493" s="107">
        <v>101155.0</v>
      </c>
      <c r="B493" s="108" t="s">
        <v>85</v>
      </c>
      <c r="C493" s="108" t="s">
        <v>321</v>
      </c>
      <c r="D493" s="112" t="s">
        <v>181</v>
      </c>
      <c r="E493" s="112">
        <v>34.5</v>
      </c>
      <c r="F493" s="111" t="str">
        <f>DataPull!D493</f>
        <v/>
      </c>
      <c r="G493" s="94" t="str">
        <f t="shared" si="2"/>
        <v/>
      </c>
      <c r="H493" s="94" t="str">
        <f t="shared" si="3"/>
        <v/>
      </c>
      <c r="I493" s="94" t="str">
        <f t="shared" ref="I493:J493" si="494">if(G493 = "", , -G493)</f>
        <v/>
      </c>
      <c r="J493" s="94" t="str">
        <f t="shared" si="494"/>
        <v/>
      </c>
      <c r="K493" s="100"/>
      <c r="M493" s="100"/>
      <c r="N493" s="100"/>
      <c r="O493" s="100"/>
      <c r="P493" s="100"/>
    </row>
    <row r="494">
      <c r="A494" s="107">
        <v>101161.0</v>
      </c>
      <c r="B494" s="108" t="s">
        <v>85</v>
      </c>
      <c r="C494" s="108" t="s">
        <v>322</v>
      </c>
      <c r="D494" s="112" t="s">
        <v>178</v>
      </c>
      <c r="E494" s="112">
        <v>2217.6</v>
      </c>
      <c r="F494" s="111" t="str">
        <f>DataPull!D494</f>
        <v/>
      </c>
      <c r="G494" s="94" t="str">
        <f t="shared" si="2"/>
        <v/>
      </c>
      <c r="H494" s="94" t="str">
        <f t="shared" si="3"/>
        <v/>
      </c>
      <c r="I494" s="94" t="str">
        <f t="shared" ref="I494:J494" si="495">if(G494 = "", , -G494)</f>
        <v/>
      </c>
      <c r="J494" s="94" t="str">
        <f t="shared" si="495"/>
        <v/>
      </c>
      <c r="K494" s="100"/>
      <c r="L494" s="100"/>
      <c r="M494" s="100"/>
      <c r="N494" s="100"/>
      <c r="O494" s="100"/>
      <c r="P494" s="100"/>
    </row>
    <row r="495">
      <c r="A495" s="107">
        <v>101161.0</v>
      </c>
      <c r="B495" s="108" t="s">
        <v>90</v>
      </c>
      <c r="C495" s="108" t="s">
        <v>322</v>
      </c>
      <c r="D495" s="112" t="s">
        <v>178</v>
      </c>
      <c r="E495" s="112">
        <v>1980.0</v>
      </c>
      <c r="F495" s="111" t="str">
        <f>DataPull!D495</f>
        <v/>
      </c>
      <c r="G495" s="94" t="str">
        <f t="shared" si="2"/>
        <v/>
      </c>
      <c r="H495" s="94" t="str">
        <f t="shared" si="3"/>
        <v/>
      </c>
      <c r="I495" s="94" t="str">
        <f t="shared" ref="I495:J495" si="496">if(G495 = "", , -G495)</f>
        <v/>
      </c>
      <c r="J495" s="94" t="str">
        <f t="shared" si="496"/>
        <v/>
      </c>
      <c r="K495" s="100"/>
      <c r="M495" s="100"/>
      <c r="N495" s="100"/>
      <c r="O495" s="100"/>
      <c r="P495" s="100"/>
    </row>
    <row r="496">
      <c r="A496" s="107">
        <v>101161.0</v>
      </c>
      <c r="B496" s="108" t="s">
        <v>92</v>
      </c>
      <c r="C496" s="108" t="s">
        <v>322</v>
      </c>
      <c r="D496" s="112" t="s">
        <v>176</v>
      </c>
      <c r="E496" s="112">
        <v>1801.2</v>
      </c>
      <c r="F496" s="111" t="str">
        <f>DataPull!D496</f>
        <v/>
      </c>
      <c r="G496" s="94" t="str">
        <f t="shared" si="2"/>
        <v/>
      </c>
      <c r="H496" s="94" t="str">
        <f t="shared" si="3"/>
        <v/>
      </c>
      <c r="I496" s="94" t="str">
        <f t="shared" ref="I496:J496" si="497">if(G496 = "", , -G496)</f>
        <v/>
      </c>
      <c r="J496" s="94" t="str">
        <f t="shared" si="497"/>
        <v/>
      </c>
      <c r="K496" s="100"/>
      <c r="M496" s="100"/>
      <c r="N496" s="100"/>
      <c r="O496" s="100"/>
      <c r="P496" s="100"/>
    </row>
    <row r="497">
      <c r="A497" s="107">
        <v>101161.0</v>
      </c>
      <c r="B497" s="108" t="s">
        <v>190</v>
      </c>
      <c r="C497" s="108" t="s">
        <v>322</v>
      </c>
      <c r="D497" s="112" t="s">
        <v>176</v>
      </c>
      <c r="E497" s="112">
        <v>1608.0</v>
      </c>
      <c r="F497" s="111" t="str">
        <f>DataPull!D497</f>
        <v/>
      </c>
      <c r="G497" s="94" t="str">
        <f t="shared" si="2"/>
        <v/>
      </c>
      <c r="H497" s="94" t="str">
        <f t="shared" si="3"/>
        <v/>
      </c>
      <c r="I497" s="94" t="str">
        <f t="shared" ref="I497:J497" si="498">if(G497 = "", , -G497)</f>
        <v/>
      </c>
      <c r="J497" s="94" t="str">
        <f t="shared" si="498"/>
        <v/>
      </c>
      <c r="K497" s="100"/>
      <c r="M497" s="100"/>
      <c r="N497" s="100"/>
      <c r="O497" s="100"/>
      <c r="P497" s="100"/>
    </row>
    <row r="498">
      <c r="A498" s="107">
        <v>101161.0</v>
      </c>
      <c r="B498" s="108" t="s">
        <v>191</v>
      </c>
      <c r="C498" s="108" t="s">
        <v>322</v>
      </c>
      <c r="D498" s="112" t="s">
        <v>177</v>
      </c>
      <c r="E498" s="112">
        <v>1169.2</v>
      </c>
      <c r="F498" s="111" t="str">
        <f>DataPull!D498</f>
        <v/>
      </c>
      <c r="G498" s="94" t="str">
        <f t="shared" si="2"/>
        <v/>
      </c>
      <c r="H498" s="94" t="str">
        <f t="shared" si="3"/>
        <v/>
      </c>
      <c r="I498" s="94" t="str">
        <f t="shared" ref="I498:J498" si="499">if(G498 = "", , -G498)</f>
        <v/>
      </c>
      <c r="J498" s="94" t="str">
        <f t="shared" si="499"/>
        <v/>
      </c>
      <c r="K498" s="100"/>
      <c r="M498" s="100"/>
      <c r="N498" s="100"/>
      <c r="O498" s="100"/>
      <c r="P498" s="100"/>
    </row>
    <row r="499">
      <c r="A499" s="107">
        <v>101161.0</v>
      </c>
      <c r="B499" s="108" t="s">
        <v>192</v>
      </c>
      <c r="C499" s="108" t="s">
        <v>322</v>
      </c>
      <c r="D499" s="112" t="s">
        <v>177</v>
      </c>
      <c r="E499" s="112">
        <v>530.4</v>
      </c>
      <c r="F499" s="111" t="str">
        <f>DataPull!D499</f>
        <v/>
      </c>
      <c r="G499" s="94" t="str">
        <f t="shared" si="2"/>
        <v/>
      </c>
      <c r="H499" s="94" t="str">
        <f t="shared" si="3"/>
        <v/>
      </c>
      <c r="I499" s="94" t="str">
        <f t="shared" ref="I499:J499" si="500">if(G499 = "", , -G499)</f>
        <v/>
      </c>
      <c r="J499" s="94" t="str">
        <f t="shared" si="500"/>
        <v/>
      </c>
      <c r="K499" s="100"/>
      <c r="M499" s="100"/>
      <c r="N499" s="100"/>
      <c r="O499" s="100"/>
      <c r="P499" s="100"/>
    </row>
    <row r="500">
      <c r="A500" s="107">
        <v>101162.0</v>
      </c>
      <c r="B500" s="108" t="s">
        <v>85</v>
      </c>
      <c r="C500" s="108" t="s">
        <v>323</v>
      </c>
      <c r="D500" s="112" t="s">
        <v>178</v>
      </c>
      <c r="E500" s="112">
        <v>2656.8</v>
      </c>
      <c r="F500" s="111" t="str">
        <f>DataPull!D500</f>
        <v/>
      </c>
      <c r="G500" s="94" t="str">
        <f t="shared" si="2"/>
        <v/>
      </c>
      <c r="H500" s="94" t="str">
        <f t="shared" si="3"/>
        <v/>
      </c>
      <c r="I500" s="94" t="str">
        <f t="shared" ref="I500:J500" si="501">if(G500 = "", , -G500)</f>
        <v/>
      </c>
      <c r="J500" s="94" t="str">
        <f t="shared" si="501"/>
        <v/>
      </c>
      <c r="K500" s="100"/>
      <c r="M500" s="100"/>
      <c r="N500" s="100"/>
      <c r="O500" s="100"/>
      <c r="P500" s="100"/>
    </row>
    <row r="501">
      <c r="A501" s="107">
        <v>101162.0</v>
      </c>
      <c r="B501" s="108" t="s">
        <v>90</v>
      </c>
      <c r="C501" s="108" t="s">
        <v>323</v>
      </c>
      <c r="D501" s="112" t="s">
        <v>178</v>
      </c>
      <c r="E501" s="112">
        <v>2451.8</v>
      </c>
      <c r="F501" s="111" t="str">
        <f>DataPull!D501</f>
        <v/>
      </c>
      <c r="G501" s="94" t="str">
        <f t="shared" si="2"/>
        <v/>
      </c>
      <c r="H501" s="94" t="str">
        <f t="shared" si="3"/>
        <v/>
      </c>
      <c r="I501" s="94" t="str">
        <f t="shared" ref="I501:J501" si="502">if(G501 = "", , -G501)</f>
        <v/>
      </c>
      <c r="J501" s="94" t="str">
        <f t="shared" si="502"/>
        <v/>
      </c>
      <c r="K501" s="100"/>
      <c r="L501" s="100"/>
      <c r="M501" s="100"/>
      <c r="N501" s="100"/>
      <c r="O501" s="100"/>
      <c r="P501" s="100"/>
    </row>
    <row r="502">
      <c r="A502" s="107">
        <v>101162.0</v>
      </c>
      <c r="B502" s="108" t="s">
        <v>92</v>
      </c>
      <c r="C502" s="108" t="s">
        <v>323</v>
      </c>
      <c r="D502" s="112" t="s">
        <v>178</v>
      </c>
      <c r="E502" s="112">
        <v>2257.5</v>
      </c>
      <c r="F502" s="111" t="str">
        <f>DataPull!D502</f>
        <v/>
      </c>
      <c r="G502" s="94" t="str">
        <f t="shared" si="2"/>
        <v/>
      </c>
      <c r="H502" s="94" t="str">
        <f t="shared" si="3"/>
        <v/>
      </c>
      <c r="I502" s="94" t="str">
        <f t="shared" ref="I502:J502" si="503">if(G502 = "", , -G502)</f>
        <v/>
      </c>
      <c r="J502" s="94" t="str">
        <f t="shared" si="503"/>
        <v/>
      </c>
      <c r="K502" s="100"/>
      <c r="M502" s="100"/>
      <c r="N502" s="100"/>
      <c r="O502" s="100"/>
      <c r="P502" s="100"/>
    </row>
    <row r="503">
      <c r="A503" s="107">
        <v>101162.0</v>
      </c>
      <c r="B503" s="108" t="s">
        <v>190</v>
      </c>
      <c r="C503" s="108" t="s">
        <v>323</v>
      </c>
      <c r="D503" s="112" t="s">
        <v>184</v>
      </c>
      <c r="E503" s="112">
        <v>2558.4</v>
      </c>
      <c r="F503" s="111" t="str">
        <f>DataPull!D503</f>
        <v/>
      </c>
      <c r="G503" s="94" t="str">
        <f t="shared" si="2"/>
        <v/>
      </c>
      <c r="H503" s="94" t="str">
        <f t="shared" si="3"/>
        <v/>
      </c>
      <c r="I503" s="94" t="str">
        <f t="shared" ref="I503:J503" si="504">if(G503 = "", , -G503)</f>
        <v/>
      </c>
      <c r="J503" s="94" t="str">
        <f t="shared" si="504"/>
        <v/>
      </c>
      <c r="K503" s="100"/>
      <c r="M503" s="100"/>
      <c r="N503" s="100"/>
      <c r="O503" s="100"/>
      <c r="P503" s="100"/>
    </row>
    <row r="504">
      <c r="A504" s="107">
        <v>101162.0</v>
      </c>
      <c r="B504" s="108" t="s">
        <v>191</v>
      </c>
      <c r="C504" s="108" t="s">
        <v>323</v>
      </c>
      <c r="D504" s="112" t="s">
        <v>176</v>
      </c>
      <c r="E504" s="112">
        <v>2074.6</v>
      </c>
      <c r="F504" s="111" t="str">
        <f>DataPull!D504</f>
        <v/>
      </c>
      <c r="G504" s="94" t="str">
        <f t="shared" si="2"/>
        <v/>
      </c>
      <c r="H504" s="94" t="str">
        <f t="shared" si="3"/>
        <v/>
      </c>
      <c r="I504" s="94" t="str">
        <f t="shared" ref="I504:J504" si="505">if(G504 = "", , -G504)</f>
        <v/>
      </c>
      <c r="J504" s="94" t="str">
        <f t="shared" si="505"/>
        <v/>
      </c>
      <c r="K504" s="100"/>
      <c r="M504" s="100"/>
      <c r="N504" s="100"/>
      <c r="O504" s="100"/>
      <c r="P504" s="100"/>
    </row>
    <row r="505">
      <c r="A505" s="107">
        <v>101162.0</v>
      </c>
      <c r="B505" s="108" t="s">
        <v>192</v>
      </c>
      <c r="C505" s="108" t="s">
        <v>323</v>
      </c>
      <c r="D505" s="112" t="s">
        <v>177</v>
      </c>
      <c r="E505" s="112">
        <v>752.0</v>
      </c>
      <c r="F505" s="111" t="str">
        <f>DataPull!D505</f>
        <v/>
      </c>
      <c r="G505" s="94" t="str">
        <f t="shared" si="2"/>
        <v/>
      </c>
      <c r="H505" s="94" t="str">
        <f t="shared" si="3"/>
        <v/>
      </c>
      <c r="I505" s="94" t="str">
        <f t="shared" ref="I505:J505" si="506">if(G505 = "", , -G505)</f>
        <v/>
      </c>
      <c r="J505" s="94" t="str">
        <f t="shared" si="506"/>
        <v/>
      </c>
      <c r="K505" s="100"/>
      <c r="M505" s="100"/>
      <c r="N505" s="100"/>
      <c r="O505" s="100"/>
      <c r="P505" s="100"/>
    </row>
    <row r="506">
      <c r="A506" s="107">
        <v>101179.0</v>
      </c>
      <c r="B506" s="108" t="s">
        <v>85</v>
      </c>
      <c r="C506" s="108" t="s">
        <v>324</v>
      </c>
      <c r="D506" s="112" t="s">
        <v>177</v>
      </c>
      <c r="E506" s="112">
        <v>378.2</v>
      </c>
      <c r="F506" s="111" t="str">
        <f>DataPull!D506</f>
        <v/>
      </c>
      <c r="G506" s="94" t="str">
        <f t="shared" si="2"/>
        <v/>
      </c>
      <c r="H506" s="94" t="str">
        <f t="shared" si="3"/>
        <v/>
      </c>
      <c r="I506" s="94" t="str">
        <f t="shared" ref="I506:J506" si="507">if(G506 = "", , -G506)</f>
        <v/>
      </c>
      <c r="J506" s="94" t="str">
        <f t="shared" si="507"/>
        <v/>
      </c>
      <c r="K506" s="100"/>
      <c r="M506" s="100"/>
      <c r="N506" s="100"/>
      <c r="O506" s="100"/>
      <c r="P506" s="100"/>
    </row>
    <row r="507">
      <c r="A507" s="107">
        <v>101179.0</v>
      </c>
      <c r="B507" s="108" t="s">
        <v>90</v>
      </c>
      <c r="C507" s="108" t="s">
        <v>324</v>
      </c>
      <c r="D507" s="112" t="s">
        <v>176</v>
      </c>
      <c r="E507" s="112">
        <v>980.4</v>
      </c>
      <c r="F507" s="111" t="str">
        <f>DataPull!D507</f>
        <v/>
      </c>
      <c r="G507" s="94" t="str">
        <f t="shared" si="2"/>
        <v/>
      </c>
      <c r="H507" s="94" t="str">
        <f t="shared" si="3"/>
        <v/>
      </c>
      <c r="I507" s="94" t="str">
        <f t="shared" ref="I507:J507" si="508">if(G507 = "", , -G507)</f>
        <v/>
      </c>
      <c r="J507" s="94" t="str">
        <f t="shared" si="508"/>
        <v/>
      </c>
      <c r="K507" s="100"/>
      <c r="M507" s="100"/>
      <c r="N507" s="100"/>
      <c r="O507" s="100"/>
      <c r="P507" s="100"/>
    </row>
    <row r="508">
      <c r="A508" s="107">
        <v>101179.0</v>
      </c>
      <c r="B508" s="108" t="s">
        <v>92</v>
      </c>
      <c r="C508" s="108" t="s">
        <v>324</v>
      </c>
      <c r="D508" s="112" t="s">
        <v>177</v>
      </c>
      <c r="E508" s="112">
        <v>1209.0</v>
      </c>
      <c r="F508" s="111" t="str">
        <f>DataPull!D508</f>
        <v/>
      </c>
      <c r="G508" s="94" t="str">
        <f t="shared" si="2"/>
        <v/>
      </c>
      <c r="H508" s="94" t="str">
        <f t="shared" si="3"/>
        <v/>
      </c>
      <c r="I508" s="94" t="str">
        <f t="shared" ref="I508:J508" si="509">if(G508 = "", , -G508)</f>
        <v/>
      </c>
      <c r="J508" s="94" t="str">
        <f t="shared" si="509"/>
        <v/>
      </c>
      <c r="K508" s="100"/>
      <c r="M508" s="100"/>
      <c r="N508" s="100"/>
      <c r="O508" s="100"/>
      <c r="P508" s="100"/>
    </row>
    <row r="509">
      <c r="A509" s="107">
        <v>101179.0</v>
      </c>
      <c r="B509" s="108" t="s">
        <v>190</v>
      </c>
      <c r="C509" s="108" t="s">
        <v>324</v>
      </c>
      <c r="D509" s="112" t="s">
        <v>187</v>
      </c>
      <c r="E509" s="112">
        <v>134.4</v>
      </c>
      <c r="F509" s="111" t="str">
        <f>DataPull!D509</f>
        <v/>
      </c>
      <c r="G509" s="94" t="str">
        <f t="shared" si="2"/>
        <v/>
      </c>
      <c r="H509" s="94" t="str">
        <f t="shared" si="3"/>
        <v/>
      </c>
      <c r="I509" s="94" t="str">
        <f t="shared" ref="I509:J509" si="510">if(G509 = "", , -G509)</f>
        <v/>
      </c>
      <c r="J509" s="94" t="str">
        <f t="shared" si="510"/>
        <v/>
      </c>
      <c r="K509" s="100"/>
      <c r="M509" s="100"/>
      <c r="N509" s="100"/>
      <c r="O509" s="100"/>
      <c r="P509" s="100"/>
    </row>
    <row r="510">
      <c r="A510" s="107">
        <v>101181.0</v>
      </c>
      <c r="B510" s="108" t="s">
        <v>85</v>
      </c>
      <c r="C510" s="108" t="s">
        <v>325</v>
      </c>
      <c r="D510" s="112" t="s">
        <v>178</v>
      </c>
      <c r="E510" s="112">
        <v>2470.5</v>
      </c>
      <c r="F510" s="111" t="str">
        <f>DataPull!D510</f>
        <v/>
      </c>
      <c r="G510" s="94" t="str">
        <f t="shared" si="2"/>
        <v/>
      </c>
      <c r="H510" s="94" t="str">
        <f t="shared" si="3"/>
        <v/>
      </c>
      <c r="I510" s="94" t="str">
        <f t="shared" ref="I510:J510" si="511">if(G510 = "", , -G510)</f>
        <v/>
      </c>
      <c r="J510" s="94" t="str">
        <f t="shared" si="511"/>
        <v/>
      </c>
      <c r="K510" s="100"/>
      <c r="M510" s="100"/>
      <c r="N510" s="100"/>
      <c r="O510" s="100"/>
      <c r="P510" s="100"/>
    </row>
    <row r="511">
      <c r="A511" s="107">
        <v>101181.0</v>
      </c>
      <c r="B511" s="108" t="s">
        <v>90</v>
      </c>
      <c r="C511" s="108" t="s">
        <v>325</v>
      </c>
      <c r="D511" s="112" t="s">
        <v>178</v>
      </c>
      <c r="E511" s="112">
        <v>1268.4</v>
      </c>
      <c r="F511" s="111" t="str">
        <f>DataPull!D511</f>
        <v/>
      </c>
      <c r="G511" s="94" t="str">
        <f t="shared" si="2"/>
        <v/>
      </c>
      <c r="H511" s="94" t="str">
        <f t="shared" si="3"/>
        <v/>
      </c>
      <c r="I511" s="94" t="str">
        <f t="shared" ref="I511:J511" si="512">if(G511 = "", , -G511)</f>
        <v/>
      </c>
      <c r="J511" s="94" t="str">
        <f t="shared" si="512"/>
        <v/>
      </c>
      <c r="K511" s="100"/>
      <c r="L511" s="100"/>
      <c r="N511" s="100"/>
      <c r="O511" s="100"/>
      <c r="P511" s="100"/>
    </row>
    <row r="512">
      <c r="A512" s="107">
        <v>101181.0</v>
      </c>
      <c r="B512" s="108" t="s">
        <v>92</v>
      </c>
      <c r="C512" s="108" t="s">
        <v>325</v>
      </c>
      <c r="D512" s="112" t="s">
        <v>178</v>
      </c>
      <c r="E512" s="112">
        <v>2023.2</v>
      </c>
      <c r="F512" s="111" t="str">
        <f>DataPull!D512</f>
        <v/>
      </c>
      <c r="G512" s="94" t="str">
        <f t="shared" si="2"/>
        <v/>
      </c>
      <c r="H512" s="94" t="str">
        <f t="shared" si="3"/>
        <v/>
      </c>
      <c r="I512" s="94" t="str">
        <f t="shared" ref="I512:J512" si="513">if(G512 = "", , -G512)</f>
        <v/>
      </c>
      <c r="J512" s="94" t="str">
        <f t="shared" si="513"/>
        <v/>
      </c>
      <c r="K512" s="100"/>
      <c r="M512" s="100"/>
      <c r="N512" s="100"/>
      <c r="O512" s="100"/>
      <c r="P512" s="100"/>
    </row>
    <row r="513">
      <c r="A513" s="107">
        <v>101181.0</v>
      </c>
      <c r="B513" s="108" t="s">
        <v>190</v>
      </c>
      <c r="C513" s="108" t="s">
        <v>325</v>
      </c>
      <c r="D513" s="112" t="s">
        <v>187</v>
      </c>
      <c r="E513" s="112">
        <v>537.1</v>
      </c>
      <c r="F513" s="111" t="str">
        <f>DataPull!D513</f>
        <v/>
      </c>
      <c r="G513" s="94" t="str">
        <f t="shared" si="2"/>
        <v/>
      </c>
      <c r="H513" s="94" t="str">
        <f t="shared" si="3"/>
        <v/>
      </c>
      <c r="I513" s="94" t="str">
        <f t="shared" ref="I513:J513" si="514">if(G513 = "", , -G513)</f>
        <v/>
      </c>
      <c r="J513" s="94" t="str">
        <f t="shared" si="514"/>
        <v/>
      </c>
      <c r="K513" s="100"/>
      <c r="M513" s="100"/>
      <c r="N513" s="100"/>
      <c r="O513" s="100"/>
      <c r="P513" s="100"/>
    </row>
    <row r="514">
      <c r="A514" s="107">
        <v>101181.0</v>
      </c>
      <c r="B514" s="108" t="s">
        <v>191</v>
      </c>
      <c r="C514" s="108" t="s">
        <v>325</v>
      </c>
      <c r="D514" s="112" t="s">
        <v>177</v>
      </c>
      <c r="E514" s="112">
        <v>912.0</v>
      </c>
      <c r="F514" s="111" t="str">
        <f>DataPull!D514</f>
        <v/>
      </c>
      <c r="G514" s="94" t="str">
        <f t="shared" si="2"/>
        <v/>
      </c>
      <c r="H514" s="94" t="str">
        <f t="shared" si="3"/>
        <v/>
      </c>
      <c r="I514" s="94" t="str">
        <f t="shared" ref="I514:J514" si="515">if(G514 = "", , -G514)</f>
        <v/>
      </c>
      <c r="J514" s="94" t="str">
        <f t="shared" si="515"/>
        <v/>
      </c>
      <c r="K514" s="100"/>
      <c r="M514" s="100"/>
      <c r="N514" s="100"/>
      <c r="O514" s="100"/>
      <c r="P514" s="100"/>
    </row>
    <row r="515">
      <c r="A515" s="107">
        <v>101181.0</v>
      </c>
      <c r="B515" s="108" t="s">
        <v>192</v>
      </c>
      <c r="C515" s="108" t="s">
        <v>325</v>
      </c>
      <c r="D515" s="112" t="s">
        <v>177</v>
      </c>
      <c r="E515" s="112">
        <v>632.1</v>
      </c>
      <c r="F515" s="111" t="str">
        <f>DataPull!D515</f>
        <v/>
      </c>
      <c r="G515" s="94" t="str">
        <f t="shared" si="2"/>
        <v/>
      </c>
      <c r="H515" s="94" t="str">
        <f t="shared" si="3"/>
        <v/>
      </c>
      <c r="I515" s="94" t="str">
        <f t="shared" ref="I515:J515" si="516">if(G515 = "", , -G515)</f>
        <v/>
      </c>
      <c r="J515" s="94" t="str">
        <f t="shared" si="516"/>
        <v/>
      </c>
      <c r="K515" s="100"/>
      <c r="M515" s="100"/>
      <c r="N515" s="100"/>
      <c r="O515" s="100"/>
      <c r="P515" s="100"/>
    </row>
    <row r="516">
      <c r="A516" s="107">
        <v>101183.0</v>
      </c>
      <c r="B516" s="108" t="s">
        <v>85</v>
      </c>
      <c r="C516" s="108" t="s">
        <v>326</v>
      </c>
      <c r="D516" s="112" t="s">
        <v>187</v>
      </c>
      <c r="E516" s="112">
        <v>95.2</v>
      </c>
      <c r="F516" s="111" t="str">
        <f>DataPull!D516</f>
        <v/>
      </c>
      <c r="G516" s="94" t="str">
        <f t="shared" si="2"/>
        <v/>
      </c>
      <c r="H516" s="94" t="str">
        <f t="shared" si="3"/>
        <v/>
      </c>
      <c r="I516" s="94" t="str">
        <f t="shared" ref="I516:J516" si="517">if(G516 = "", , -G516)</f>
        <v/>
      </c>
      <c r="J516" s="94" t="str">
        <f t="shared" si="517"/>
        <v/>
      </c>
      <c r="K516" s="100"/>
      <c r="M516" s="100"/>
      <c r="N516" s="100"/>
      <c r="O516" s="100"/>
      <c r="P516" s="100"/>
    </row>
    <row r="517">
      <c r="A517" s="107">
        <v>101183.0</v>
      </c>
      <c r="B517" s="108" t="s">
        <v>90</v>
      </c>
      <c r="C517" s="108" t="s">
        <v>326</v>
      </c>
      <c r="D517" s="112" t="s">
        <v>187</v>
      </c>
      <c r="E517" s="112">
        <v>126.0</v>
      </c>
      <c r="F517" s="111" t="str">
        <f>DataPull!D517</f>
        <v/>
      </c>
      <c r="G517" s="94" t="str">
        <f t="shared" si="2"/>
        <v/>
      </c>
      <c r="H517" s="94" t="str">
        <f t="shared" si="3"/>
        <v/>
      </c>
      <c r="I517" s="94" t="str">
        <f t="shared" ref="I517:J517" si="518">if(G517 = "", , -G517)</f>
        <v/>
      </c>
      <c r="J517" s="94" t="str">
        <f t="shared" si="518"/>
        <v/>
      </c>
      <c r="K517" s="100"/>
      <c r="M517" s="100"/>
      <c r="N517" s="100"/>
      <c r="O517" s="100"/>
      <c r="P517" s="100"/>
    </row>
    <row r="518">
      <c r="A518" s="107">
        <v>101187.0</v>
      </c>
      <c r="B518" s="108" t="s">
        <v>85</v>
      </c>
      <c r="C518" s="108" t="s">
        <v>327</v>
      </c>
      <c r="D518" s="112" t="s">
        <v>176</v>
      </c>
      <c r="E518" s="112">
        <v>1770.6</v>
      </c>
      <c r="F518" s="111" t="str">
        <f>DataPull!D518</f>
        <v/>
      </c>
      <c r="G518" s="94" t="str">
        <f t="shared" si="2"/>
        <v/>
      </c>
      <c r="H518" s="94" t="str">
        <f t="shared" si="3"/>
        <v/>
      </c>
      <c r="I518" s="94" t="str">
        <f t="shared" ref="I518:J518" si="519">if(G518 = "", , -G518)</f>
        <v/>
      </c>
      <c r="J518" s="94" t="str">
        <f t="shared" si="519"/>
        <v/>
      </c>
      <c r="K518" s="100"/>
      <c r="L518" s="100"/>
      <c r="M518" s="100"/>
      <c r="N518" s="100"/>
      <c r="O518" s="100"/>
      <c r="P518" s="100"/>
    </row>
    <row r="519">
      <c r="A519" s="107">
        <v>101187.0</v>
      </c>
      <c r="B519" s="108" t="s">
        <v>90</v>
      </c>
      <c r="C519" s="108" t="s">
        <v>327</v>
      </c>
      <c r="D519" s="112" t="s">
        <v>176</v>
      </c>
      <c r="E519" s="112">
        <v>1746.4</v>
      </c>
      <c r="F519" s="111" t="str">
        <f>DataPull!D519</f>
        <v/>
      </c>
      <c r="G519" s="94" t="str">
        <f t="shared" si="2"/>
        <v/>
      </c>
      <c r="H519" s="94" t="str">
        <f t="shared" si="3"/>
        <v/>
      </c>
      <c r="I519" s="94" t="str">
        <f t="shared" ref="I519:J519" si="520">if(G519 = "", , -G519)</f>
        <v/>
      </c>
      <c r="J519" s="94" t="str">
        <f t="shared" si="520"/>
        <v/>
      </c>
      <c r="K519" s="100"/>
      <c r="M519" s="100"/>
      <c r="N519" s="100"/>
      <c r="O519" s="100"/>
      <c r="P519" s="100"/>
    </row>
    <row r="520">
      <c r="A520" s="107">
        <v>101187.0</v>
      </c>
      <c r="B520" s="108" t="s">
        <v>92</v>
      </c>
      <c r="C520" s="108" t="s">
        <v>327</v>
      </c>
      <c r="D520" s="112" t="s">
        <v>187</v>
      </c>
      <c r="E520" s="112">
        <v>192.4</v>
      </c>
      <c r="F520" s="111" t="str">
        <f>DataPull!D520</f>
        <v/>
      </c>
      <c r="G520" s="94" t="str">
        <f t="shared" si="2"/>
        <v/>
      </c>
      <c r="H520" s="94" t="str">
        <f t="shared" si="3"/>
        <v/>
      </c>
      <c r="I520" s="94" t="str">
        <f t="shared" ref="I520:J520" si="521">if(G520 = "", , -G520)</f>
        <v/>
      </c>
      <c r="J520" s="94" t="str">
        <f t="shared" si="521"/>
        <v/>
      </c>
      <c r="K520" s="100"/>
      <c r="M520" s="100"/>
      <c r="N520" s="100"/>
      <c r="O520" s="100"/>
      <c r="P520" s="100"/>
    </row>
    <row r="521">
      <c r="A521" s="107">
        <v>101187.0</v>
      </c>
      <c r="B521" s="108" t="s">
        <v>190</v>
      </c>
      <c r="C521" s="108" t="s">
        <v>327</v>
      </c>
      <c r="D521" s="112" t="s">
        <v>187</v>
      </c>
      <c r="E521" s="112">
        <v>309.0</v>
      </c>
      <c r="F521" s="111" t="str">
        <f>DataPull!D521</f>
        <v/>
      </c>
      <c r="G521" s="94" t="str">
        <f t="shared" si="2"/>
        <v/>
      </c>
      <c r="H521" s="94" t="str">
        <f t="shared" si="3"/>
        <v/>
      </c>
      <c r="I521" s="94" t="str">
        <f t="shared" ref="I521:J521" si="522">if(G521 = "", , -G521)</f>
        <v/>
      </c>
      <c r="J521" s="94" t="str">
        <f t="shared" si="522"/>
        <v/>
      </c>
      <c r="K521" s="100"/>
      <c r="L521" s="100"/>
      <c r="M521" s="100"/>
      <c r="N521" s="100"/>
      <c r="O521" s="100"/>
      <c r="P521" s="100"/>
    </row>
    <row r="522">
      <c r="A522" s="107">
        <v>101198.0</v>
      </c>
      <c r="B522" s="108" t="s">
        <v>85</v>
      </c>
      <c r="C522" s="108" t="s">
        <v>328</v>
      </c>
      <c r="D522" s="112" t="s">
        <v>177</v>
      </c>
      <c r="E522" s="112">
        <v>1052.8</v>
      </c>
      <c r="F522" s="111" t="str">
        <f>DataPull!D522</f>
        <v/>
      </c>
      <c r="G522" s="94" t="str">
        <f t="shared" si="2"/>
        <v/>
      </c>
      <c r="H522" s="94" t="str">
        <f t="shared" si="3"/>
        <v/>
      </c>
      <c r="I522" s="94" t="str">
        <f t="shared" ref="I522:J522" si="523">if(G522 = "", , -G522)</f>
        <v/>
      </c>
      <c r="J522" s="94" t="str">
        <f t="shared" si="523"/>
        <v/>
      </c>
      <c r="K522" s="100"/>
      <c r="M522" s="100"/>
      <c r="N522" s="100"/>
      <c r="O522" s="100"/>
      <c r="P522" s="100"/>
    </row>
    <row r="523">
      <c r="A523" s="107">
        <v>101198.0</v>
      </c>
      <c r="B523" s="108" t="s">
        <v>90</v>
      </c>
      <c r="C523" s="108" t="s">
        <v>328</v>
      </c>
      <c r="D523" s="112" t="s">
        <v>181</v>
      </c>
      <c r="E523" s="112">
        <v>66.5</v>
      </c>
      <c r="F523" s="111" t="str">
        <f>DataPull!D523</f>
        <v/>
      </c>
      <c r="G523" s="94" t="str">
        <f t="shared" si="2"/>
        <v/>
      </c>
      <c r="H523" s="94" t="str">
        <f t="shared" si="3"/>
        <v/>
      </c>
      <c r="I523" s="94" t="str">
        <f t="shared" ref="I523:J523" si="524">if(G523 = "", , -G523)</f>
        <v/>
      </c>
      <c r="J523" s="94" t="str">
        <f t="shared" si="524"/>
        <v/>
      </c>
      <c r="K523" s="100"/>
      <c r="M523" s="100"/>
      <c r="N523" s="100"/>
      <c r="O523" s="100"/>
      <c r="P523" s="100"/>
    </row>
    <row r="524">
      <c r="A524" s="107">
        <v>101236.0</v>
      </c>
      <c r="B524" s="108" t="s">
        <v>85</v>
      </c>
      <c r="C524" s="108" t="s">
        <v>329</v>
      </c>
      <c r="D524" s="112" t="s">
        <v>177</v>
      </c>
      <c r="E524" s="112">
        <v>756.4</v>
      </c>
      <c r="F524" s="111" t="str">
        <f>DataPull!D524</f>
        <v/>
      </c>
      <c r="G524" s="94" t="str">
        <f t="shared" si="2"/>
        <v/>
      </c>
      <c r="H524" s="94" t="str">
        <f t="shared" si="3"/>
        <v/>
      </c>
      <c r="I524" s="94" t="str">
        <f t="shared" ref="I524:J524" si="525">if(G524 = "", , -G524)</f>
        <v/>
      </c>
      <c r="J524" s="94" t="str">
        <f t="shared" si="525"/>
        <v/>
      </c>
      <c r="K524" s="100"/>
      <c r="L524" s="100"/>
      <c r="M524" s="100"/>
      <c r="N524" s="100"/>
      <c r="O524" s="100"/>
      <c r="P524" s="100"/>
    </row>
    <row r="525">
      <c r="A525" s="107">
        <v>101236.0</v>
      </c>
      <c r="B525" s="108" t="s">
        <v>90</v>
      </c>
      <c r="C525" s="108" t="s">
        <v>329</v>
      </c>
      <c r="D525" s="112" t="s">
        <v>187</v>
      </c>
      <c r="E525" s="112">
        <v>255.2</v>
      </c>
      <c r="F525" s="111" t="str">
        <f>DataPull!D525</f>
        <v/>
      </c>
      <c r="G525" s="94" t="str">
        <f t="shared" si="2"/>
        <v/>
      </c>
      <c r="H525" s="94" t="str">
        <f t="shared" si="3"/>
        <v/>
      </c>
      <c r="I525" s="94" t="str">
        <f t="shared" ref="I525:J525" si="526">if(G525 = "", , -G525)</f>
        <v/>
      </c>
      <c r="J525" s="94" t="str">
        <f t="shared" si="526"/>
        <v/>
      </c>
      <c r="K525" s="100"/>
      <c r="L525" s="100"/>
      <c r="M525" s="100"/>
      <c r="N525" s="100"/>
      <c r="O525" s="100"/>
      <c r="P525" s="100"/>
    </row>
    <row r="526">
      <c r="A526" s="107">
        <v>101236.0</v>
      </c>
      <c r="B526" s="108" t="s">
        <v>92</v>
      </c>
      <c r="C526" s="108" t="s">
        <v>329</v>
      </c>
      <c r="D526" s="112" t="s">
        <v>181</v>
      </c>
      <c r="E526" s="112">
        <v>23.8</v>
      </c>
      <c r="F526" s="111" t="str">
        <f>DataPull!D526</f>
        <v/>
      </c>
      <c r="G526" s="94" t="str">
        <f t="shared" si="2"/>
        <v/>
      </c>
      <c r="H526" s="94" t="str">
        <f t="shared" si="3"/>
        <v/>
      </c>
      <c r="I526" s="94" t="str">
        <f t="shared" ref="I526:J526" si="527">if(G526 = "", , -G526)</f>
        <v/>
      </c>
      <c r="J526" s="94" t="str">
        <f t="shared" si="527"/>
        <v/>
      </c>
      <c r="K526" s="100"/>
      <c r="L526" s="100"/>
      <c r="M526" s="100"/>
      <c r="N526" s="100"/>
      <c r="O526" s="100"/>
      <c r="P526" s="100"/>
    </row>
    <row r="527">
      <c r="A527" s="107">
        <v>101249.0</v>
      </c>
      <c r="B527" s="108" t="s">
        <v>85</v>
      </c>
      <c r="C527" s="115" t="s">
        <v>330</v>
      </c>
      <c r="D527" s="112" t="s">
        <v>177</v>
      </c>
      <c r="E527" s="112"/>
      <c r="F527" s="111" t="str">
        <f>DataPull!D527</f>
        <v/>
      </c>
      <c r="G527" s="94" t="str">
        <f t="shared" si="2"/>
        <v/>
      </c>
      <c r="H527" s="94" t="str">
        <f t="shared" si="3"/>
        <v/>
      </c>
      <c r="I527" s="94" t="str">
        <f t="shared" ref="I527:J527" si="528">if(G527 = "", , -G527)</f>
        <v/>
      </c>
      <c r="J527" s="94" t="str">
        <f t="shared" si="528"/>
        <v/>
      </c>
      <c r="K527" s="100"/>
      <c r="L527" s="100"/>
      <c r="N527" s="100"/>
      <c r="O527" s="100"/>
    </row>
    <row r="528">
      <c r="A528" s="107">
        <v>101249.0</v>
      </c>
      <c r="B528" s="108" t="s">
        <v>90</v>
      </c>
      <c r="C528" s="115" t="s">
        <v>330</v>
      </c>
      <c r="D528" s="112" t="s">
        <v>187</v>
      </c>
      <c r="E528" s="112"/>
      <c r="F528" s="111" t="str">
        <f>DataPull!D528</f>
        <v/>
      </c>
      <c r="G528" s="94" t="str">
        <f t="shared" si="2"/>
        <v/>
      </c>
      <c r="H528" s="94" t="str">
        <f t="shared" si="3"/>
        <v/>
      </c>
      <c r="I528" s="94" t="str">
        <f t="shared" ref="I528:J528" si="529">if(G528 = "", , -G528)</f>
        <v/>
      </c>
      <c r="J528" s="94" t="str">
        <f t="shared" si="529"/>
        <v/>
      </c>
      <c r="N528" s="100"/>
      <c r="O528" s="100"/>
    </row>
    <row r="529">
      <c r="A529" s="107">
        <v>101249.0</v>
      </c>
      <c r="B529" s="108" t="s">
        <v>190</v>
      </c>
      <c r="C529" s="115" t="s">
        <v>330</v>
      </c>
      <c r="D529" s="112" t="s">
        <v>181</v>
      </c>
      <c r="E529" s="112"/>
      <c r="F529" s="111" t="str">
        <f>DataPull!D529</f>
        <v/>
      </c>
      <c r="G529" s="94" t="str">
        <f t="shared" si="2"/>
        <v/>
      </c>
      <c r="H529" s="94" t="str">
        <f t="shared" si="3"/>
        <v/>
      </c>
      <c r="I529" s="94" t="str">
        <f t="shared" ref="I529:J529" si="530">if(G529 = "", , -G529)</f>
        <v/>
      </c>
      <c r="J529" s="94" t="str">
        <f t="shared" si="530"/>
        <v/>
      </c>
      <c r="K529" s="100"/>
      <c r="M529" s="100"/>
      <c r="N529" s="100"/>
      <c r="O529" s="100"/>
      <c r="P529" s="100"/>
    </row>
    <row r="530">
      <c r="A530" s="107">
        <v>200745.0</v>
      </c>
      <c r="B530" s="108" t="s">
        <v>85</v>
      </c>
      <c r="C530" s="108" t="s">
        <v>331</v>
      </c>
      <c r="D530" s="112" t="s">
        <v>178</v>
      </c>
      <c r="E530" s="112">
        <v>1255.8</v>
      </c>
      <c r="F530" s="111" t="str">
        <f>DataPull!D530</f>
        <v/>
      </c>
      <c r="G530" s="94" t="str">
        <f t="shared" si="2"/>
        <v/>
      </c>
      <c r="H530" s="94" t="str">
        <f t="shared" si="3"/>
        <v/>
      </c>
      <c r="I530" s="94" t="str">
        <f t="shared" ref="I530:J530" si="531">if(G530 = "", , -G530)</f>
        <v/>
      </c>
      <c r="J530" s="94" t="str">
        <f t="shared" si="531"/>
        <v/>
      </c>
      <c r="K530" s="100"/>
      <c r="M530" s="100"/>
      <c r="N530" s="100"/>
      <c r="O530" s="100"/>
      <c r="P530" s="100"/>
    </row>
    <row r="531">
      <c r="A531" s="107">
        <v>200745.0</v>
      </c>
      <c r="B531" s="108" t="s">
        <v>90</v>
      </c>
      <c r="C531" s="108" t="s">
        <v>331</v>
      </c>
      <c r="D531" s="112" t="s">
        <v>178</v>
      </c>
      <c r="E531" s="112">
        <v>785.9</v>
      </c>
      <c r="F531" s="111" t="str">
        <f>DataPull!D531</f>
        <v/>
      </c>
      <c r="G531" s="94" t="str">
        <f t="shared" si="2"/>
        <v/>
      </c>
      <c r="H531" s="94" t="str">
        <f t="shared" si="3"/>
        <v/>
      </c>
      <c r="I531" s="94" t="str">
        <f t="shared" ref="I531:J531" si="532">if(G531 = "", , -G531)</f>
        <v/>
      </c>
      <c r="J531" s="94" t="str">
        <f t="shared" si="532"/>
        <v/>
      </c>
      <c r="K531" s="100"/>
      <c r="M531" s="100"/>
      <c r="N531" s="100"/>
      <c r="O531" s="100"/>
      <c r="P531" s="100"/>
    </row>
    <row r="532">
      <c r="A532" s="107">
        <v>200745.0</v>
      </c>
      <c r="B532" s="108" t="s">
        <v>92</v>
      </c>
      <c r="C532" s="108" t="s">
        <v>331</v>
      </c>
      <c r="D532" s="112" t="s">
        <v>177</v>
      </c>
      <c r="E532" s="112">
        <v>634.8</v>
      </c>
      <c r="F532" s="111" t="str">
        <f>DataPull!D532</f>
        <v/>
      </c>
      <c r="G532" s="94" t="str">
        <f t="shared" si="2"/>
        <v/>
      </c>
      <c r="H532" s="94" t="str">
        <f t="shared" si="3"/>
        <v/>
      </c>
      <c r="I532" s="94" t="str">
        <f t="shared" ref="I532:J532" si="533">if(G532 = "", , -G532)</f>
        <v/>
      </c>
      <c r="J532" s="94" t="str">
        <f t="shared" si="533"/>
        <v/>
      </c>
      <c r="K532" s="100"/>
      <c r="M532" s="100"/>
      <c r="N532" s="100"/>
      <c r="O532" s="100"/>
      <c r="P532" s="100"/>
    </row>
    <row r="533">
      <c r="A533" s="107">
        <v>200746.0</v>
      </c>
      <c r="B533" s="108" t="s">
        <v>85</v>
      </c>
      <c r="C533" s="108" t="s">
        <v>332</v>
      </c>
      <c r="D533" s="112" t="s">
        <v>184</v>
      </c>
      <c r="E533" s="112">
        <v>2497.8</v>
      </c>
      <c r="F533" s="111" t="str">
        <f>DataPull!D533</f>
        <v/>
      </c>
      <c r="G533" s="94" t="str">
        <f t="shared" si="2"/>
        <v/>
      </c>
      <c r="H533" s="94" t="str">
        <f t="shared" si="3"/>
        <v/>
      </c>
      <c r="I533" s="94" t="str">
        <f t="shared" ref="I533:J533" si="534">if(G533 = "", , -G533)</f>
        <v/>
      </c>
      <c r="J533" s="94" t="str">
        <f t="shared" si="534"/>
        <v/>
      </c>
      <c r="K533" s="100"/>
      <c r="L533" s="100"/>
      <c r="N533" s="100"/>
      <c r="O533" s="100"/>
      <c r="P533" s="100"/>
    </row>
    <row r="534">
      <c r="A534" s="107">
        <v>200746.0</v>
      </c>
      <c r="B534" s="108" t="s">
        <v>90</v>
      </c>
      <c r="C534" s="108" t="s">
        <v>332</v>
      </c>
      <c r="D534" s="112" t="s">
        <v>184</v>
      </c>
      <c r="E534" s="112">
        <v>2513.4</v>
      </c>
      <c r="F534" s="111" t="str">
        <f>DataPull!D534</f>
        <v/>
      </c>
      <c r="G534" s="94" t="str">
        <f t="shared" si="2"/>
        <v/>
      </c>
      <c r="H534" s="94" t="str">
        <f t="shared" si="3"/>
        <v/>
      </c>
      <c r="I534" s="94" t="str">
        <f t="shared" ref="I534:J534" si="535">if(G534 = "", , -G534)</f>
        <v/>
      </c>
      <c r="J534" s="94" t="str">
        <f t="shared" si="535"/>
        <v/>
      </c>
      <c r="K534" s="100"/>
      <c r="M534" s="100"/>
      <c r="N534" s="100"/>
      <c r="O534" s="100"/>
      <c r="P534" s="100"/>
    </row>
    <row r="535">
      <c r="A535" s="107">
        <v>200746.0</v>
      </c>
      <c r="B535" s="108" t="s">
        <v>92</v>
      </c>
      <c r="C535" s="108" t="s">
        <v>332</v>
      </c>
      <c r="D535" s="112" t="s">
        <v>184</v>
      </c>
      <c r="E535" s="112">
        <v>2264.4</v>
      </c>
      <c r="F535" s="111" t="str">
        <f>DataPull!D535</f>
        <v/>
      </c>
      <c r="G535" s="94" t="str">
        <f t="shared" si="2"/>
        <v/>
      </c>
      <c r="H535" s="94" t="str">
        <f t="shared" si="3"/>
        <v/>
      </c>
      <c r="I535" s="94" t="str">
        <f t="shared" ref="I535:J535" si="536">if(G535 = "", , -G535)</f>
        <v/>
      </c>
      <c r="J535" s="94" t="str">
        <f t="shared" si="536"/>
        <v/>
      </c>
      <c r="K535" s="100"/>
      <c r="M535" s="100"/>
      <c r="N535" s="100"/>
      <c r="O535" s="100"/>
      <c r="P535" s="100"/>
    </row>
    <row r="536">
      <c r="A536" s="107">
        <v>200746.0</v>
      </c>
      <c r="B536" s="108" t="s">
        <v>190</v>
      </c>
      <c r="C536" s="108" t="s">
        <v>332</v>
      </c>
      <c r="D536" s="112" t="s">
        <v>184</v>
      </c>
      <c r="E536" s="112">
        <v>2332.8</v>
      </c>
      <c r="F536" s="111" t="str">
        <f>DataPull!D536</f>
        <v/>
      </c>
      <c r="G536" s="94" t="str">
        <f t="shared" si="2"/>
        <v/>
      </c>
      <c r="H536" s="94" t="str">
        <f t="shared" si="3"/>
        <v/>
      </c>
      <c r="I536" s="94" t="str">
        <f t="shared" ref="I536:J536" si="537">if(G536 = "", , -G536)</f>
        <v/>
      </c>
      <c r="J536" s="94" t="str">
        <f t="shared" si="537"/>
        <v/>
      </c>
      <c r="K536" s="100"/>
      <c r="M536" s="100"/>
      <c r="N536" s="100"/>
      <c r="O536" s="100"/>
      <c r="P536" s="100"/>
    </row>
    <row r="537">
      <c r="A537" s="107">
        <v>200746.0</v>
      </c>
      <c r="B537" s="108" t="s">
        <v>191</v>
      </c>
      <c r="C537" s="108" t="s">
        <v>332</v>
      </c>
      <c r="D537" s="112" t="s">
        <v>184</v>
      </c>
      <c r="E537" s="112">
        <v>2505.0</v>
      </c>
      <c r="F537" s="111" t="str">
        <f>DataPull!D537</f>
        <v/>
      </c>
      <c r="G537" s="94" t="str">
        <f t="shared" si="2"/>
        <v/>
      </c>
      <c r="H537" s="94" t="str">
        <f t="shared" si="3"/>
        <v/>
      </c>
      <c r="I537" s="94" t="str">
        <f t="shared" ref="I537:J537" si="538">if(G537 = "", , -G537)</f>
        <v/>
      </c>
      <c r="J537" s="94" t="str">
        <f t="shared" si="538"/>
        <v/>
      </c>
      <c r="K537" s="100"/>
      <c r="M537" s="100"/>
      <c r="N537" s="100"/>
      <c r="O537" s="100"/>
      <c r="P537" s="100"/>
    </row>
    <row r="538">
      <c r="A538" s="107">
        <v>200746.0</v>
      </c>
      <c r="B538" s="108" t="s">
        <v>192</v>
      </c>
      <c r="C538" s="108" t="s">
        <v>332</v>
      </c>
      <c r="D538" s="112" t="s">
        <v>184</v>
      </c>
      <c r="E538" s="112">
        <v>2689.2</v>
      </c>
      <c r="F538" s="111" t="str">
        <f>DataPull!D538</f>
        <v/>
      </c>
      <c r="G538" s="94" t="str">
        <f t="shared" si="2"/>
        <v/>
      </c>
      <c r="H538" s="94" t="str">
        <f t="shared" si="3"/>
        <v/>
      </c>
      <c r="I538" s="94" t="str">
        <f t="shared" ref="I538:J538" si="539">if(G538 = "", , -G538)</f>
        <v/>
      </c>
      <c r="J538" s="94" t="str">
        <f t="shared" si="539"/>
        <v/>
      </c>
      <c r="K538" s="100"/>
      <c r="L538" s="100"/>
      <c r="M538" s="100"/>
      <c r="N538" s="100"/>
      <c r="O538" s="100"/>
      <c r="P538" s="100"/>
    </row>
    <row r="539">
      <c r="A539" s="107">
        <v>200746.0</v>
      </c>
      <c r="B539" s="108" t="s">
        <v>193</v>
      </c>
      <c r="C539" s="108" t="s">
        <v>332</v>
      </c>
      <c r="D539" s="112" t="s">
        <v>184</v>
      </c>
      <c r="E539" s="112">
        <v>1754.3</v>
      </c>
      <c r="F539" s="111" t="str">
        <f>DataPull!D539</f>
        <v/>
      </c>
      <c r="G539" s="94" t="str">
        <f t="shared" si="2"/>
        <v/>
      </c>
      <c r="H539" s="94" t="str">
        <f t="shared" si="3"/>
        <v/>
      </c>
      <c r="I539" s="94" t="str">
        <f t="shared" ref="I539:J539" si="540">if(G539 = "", , -G539)</f>
        <v/>
      </c>
      <c r="J539" s="94" t="str">
        <f t="shared" si="540"/>
        <v/>
      </c>
      <c r="K539" s="100"/>
      <c r="L539" s="100"/>
      <c r="N539" s="100"/>
      <c r="O539" s="100"/>
      <c r="P539" s="100"/>
    </row>
    <row r="540">
      <c r="A540" s="107">
        <v>200746.0</v>
      </c>
      <c r="B540" s="108" t="s">
        <v>243</v>
      </c>
      <c r="C540" s="108" t="s">
        <v>332</v>
      </c>
      <c r="D540" s="112" t="s">
        <v>176</v>
      </c>
      <c r="E540" s="112">
        <v>673.4</v>
      </c>
      <c r="F540" s="111" t="str">
        <f>DataPull!D540</f>
        <v/>
      </c>
      <c r="G540" s="94" t="str">
        <f t="shared" si="2"/>
        <v/>
      </c>
      <c r="H540" s="94" t="str">
        <f t="shared" si="3"/>
        <v/>
      </c>
      <c r="I540" s="94" t="str">
        <f t="shared" ref="I540:J540" si="541">if(G540 = "", , -G540)</f>
        <v/>
      </c>
      <c r="J540" s="94" t="str">
        <f t="shared" si="541"/>
        <v/>
      </c>
      <c r="K540" s="100"/>
      <c r="L540" s="100"/>
      <c r="M540" s="100"/>
      <c r="N540" s="100"/>
      <c r="O540" s="100"/>
      <c r="P540" s="100"/>
    </row>
    <row r="541">
      <c r="A541" s="107">
        <v>200746.0</v>
      </c>
      <c r="B541" s="108" t="s">
        <v>215</v>
      </c>
      <c r="C541" s="108" t="s">
        <v>332</v>
      </c>
      <c r="D541" s="112" t="s">
        <v>177</v>
      </c>
      <c r="E541" s="112">
        <v>1048.1</v>
      </c>
      <c r="F541" s="111" t="str">
        <f>DataPull!D541</f>
        <v/>
      </c>
      <c r="G541" s="94" t="str">
        <f t="shared" si="2"/>
        <v/>
      </c>
      <c r="H541" s="94" t="str">
        <f t="shared" si="3"/>
        <v/>
      </c>
      <c r="I541" s="94" t="str">
        <f t="shared" ref="I541:J541" si="542">if(G541 = "", , -G541)</f>
        <v/>
      </c>
      <c r="J541" s="94" t="str">
        <f t="shared" si="542"/>
        <v/>
      </c>
      <c r="K541" s="100"/>
      <c r="L541" s="100"/>
      <c r="M541" s="100"/>
      <c r="N541" s="100"/>
      <c r="O541" s="100"/>
      <c r="P541" s="100"/>
    </row>
    <row r="542">
      <c r="A542" s="107">
        <v>200748.0</v>
      </c>
      <c r="B542" s="108" t="s">
        <v>90</v>
      </c>
      <c r="C542" s="108" t="s">
        <v>333</v>
      </c>
      <c r="D542" s="112" t="s">
        <v>181</v>
      </c>
      <c r="E542" s="112">
        <v>6.6</v>
      </c>
      <c r="F542" s="111" t="str">
        <f>DataPull!D542</f>
        <v/>
      </c>
      <c r="G542" s="94" t="str">
        <f t="shared" si="2"/>
        <v/>
      </c>
      <c r="H542" s="94" t="str">
        <f t="shared" si="3"/>
        <v/>
      </c>
      <c r="I542" s="94" t="str">
        <f t="shared" ref="I542:J542" si="543">if(G542 = "", , -G542)</f>
        <v/>
      </c>
      <c r="J542" s="94" t="str">
        <f t="shared" si="543"/>
        <v/>
      </c>
      <c r="K542" s="100"/>
      <c r="L542" s="100"/>
      <c r="M542" s="100"/>
      <c r="N542" s="100"/>
      <c r="O542" s="100"/>
      <c r="P542" s="100"/>
    </row>
    <row r="543">
      <c r="A543" s="107">
        <v>200751.0</v>
      </c>
      <c r="B543" s="108" t="s">
        <v>85</v>
      </c>
      <c r="C543" s="108" t="s">
        <v>334</v>
      </c>
      <c r="D543" s="112" t="s">
        <v>178</v>
      </c>
      <c r="E543" s="112">
        <v>2486.7</v>
      </c>
      <c r="F543" s="111" t="str">
        <f>DataPull!D543</f>
        <v/>
      </c>
      <c r="G543" s="94" t="str">
        <f t="shared" si="2"/>
        <v/>
      </c>
      <c r="H543" s="94" t="str">
        <f t="shared" si="3"/>
        <v/>
      </c>
      <c r="I543" s="94" t="str">
        <f t="shared" ref="I543:J543" si="544">if(G543 = "", , -G543)</f>
        <v/>
      </c>
      <c r="J543" s="94" t="str">
        <f t="shared" si="544"/>
        <v/>
      </c>
      <c r="N543" s="100"/>
      <c r="O543" s="100"/>
    </row>
    <row r="544">
      <c r="A544" s="107">
        <v>200751.0</v>
      </c>
      <c r="B544" s="108" t="s">
        <v>90</v>
      </c>
      <c r="C544" s="108" t="s">
        <v>334</v>
      </c>
      <c r="D544" s="112" t="s">
        <v>176</v>
      </c>
      <c r="E544" s="112">
        <v>1085.0</v>
      </c>
      <c r="F544" s="111" t="str">
        <f>DataPull!D544</f>
        <v/>
      </c>
      <c r="G544" s="94" t="str">
        <f t="shared" si="2"/>
        <v/>
      </c>
      <c r="H544" s="94" t="str">
        <f t="shared" si="3"/>
        <v/>
      </c>
      <c r="I544" s="94" t="str">
        <f t="shared" ref="I544:J544" si="545">if(G544 = "", , -G544)</f>
        <v/>
      </c>
      <c r="J544" s="94" t="str">
        <f t="shared" si="545"/>
        <v/>
      </c>
      <c r="N544" s="100"/>
      <c r="O544" s="100"/>
    </row>
    <row r="545">
      <c r="A545" s="107">
        <v>200751.0</v>
      </c>
      <c r="B545" s="108" t="s">
        <v>92</v>
      </c>
      <c r="C545" s="108" t="s">
        <v>334</v>
      </c>
      <c r="D545" s="112" t="s">
        <v>177</v>
      </c>
      <c r="E545" s="112">
        <v>1644.3</v>
      </c>
      <c r="F545" s="111" t="str">
        <f>DataPull!D545</f>
        <v/>
      </c>
      <c r="G545" s="94" t="str">
        <f t="shared" si="2"/>
        <v/>
      </c>
      <c r="H545" s="94" t="str">
        <f t="shared" si="3"/>
        <v/>
      </c>
      <c r="I545" s="94" t="str">
        <f t="shared" ref="I545:J545" si="546">if(G545 = "", , -G545)</f>
        <v/>
      </c>
      <c r="J545" s="94" t="str">
        <f t="shared" si="546"/>
        <v/>
      </c>
      <c r="K545" s="100"/>
      <c r="M545" s="100"/>
      <c r="N545" s="100"/>
      <c r="O545" s="100"/>
      <c r="P545" s="100"/>
    </row>
    <row r="546">
      <c r="A546" s="107">
        <v>200751.0</v>
      </c>
      <c r="B546" s="108" t="s">
        <v>190</v>
      </c>
      <c r="C546" s="108" t="s">
        <v>334</v>
      </c>
      <c r="D546" s="112" t="s">
        <v>176</v>
      </c>
      <c r="E546" s="112">
        <v>1283.4</v>
      </c>
      <c r="F546" s="111" t="str">
        <f>DataPull!D546</f>
        <v/>
      </c>
      <c r="G546" s="94" t="str">
        <f t="shared" si="2"/>
        <v/>
      </c>
      <c r="H546" s="94" t="str">
        <f t="shared" si="3"/>
        <v/>
      </c>
      <c r="I546" s="94" t="str">
        <f t="shared" ref="I546:J546" si="547">if(G546 = "", , -G546)</f>
        <v/>
      </c>
      <c r="J546" s="94" t="str">
        <f t="shared" si="547"/>
        <v/>
      </c>
      <c r="K546" s="100"/>
      <c r="M546" s="100"/>
      <c r="N546" s="100"/>
      <c r="O546" s="100"/>
      <c r="P546" s="100"/>
    </row>
    <row r="547">
      <c r="A547" s="107">
        <v>200752.0</v>
      </c>
      <c r="B547" s="108" t="s">
        <v>85</v>
      </c>
      <c r="C547" s="108" t="s">
        <v>335</v>
      </c>
      <c r="D547" s="112" t="s">
        <v>178</v>
      </c>
      <c r="E547" s="112">
        <v>2533.1</v>
      </c>
      <c r="F547" s="111" t="str">
        <f>DataPull!D547</f>
        <v/>
      </c>
      <c r="G547" s="94" t="str">
        <f t="shared" si="2"/>
        <v/>
      </c>
      <c r="H547" s="94" t="str">
        <f t="shared" si="3"/>
        <v/>
      </c>
      <c r="I547" s="94" t="str">
        <f t="shared" ref="I547:J547" si="548">if(G547 = "", , -G547)</f>
        <v/>
      </c>
      <c r="J547" s="94" t="str">
        <f t="shared" si="548"/>
        <v/>
      </c>
      <c r="K547" s="100"/>
      <c r="M547" s="100"/>
      <c r="N547" s="100"/>
      <c r="O547" s="100"/>
      <c r="P547" s="100"/>
    </row>
    <row r="548">
      <c r="A548" s="107">
        <v>200752.0</v>
      </c>
      <c r="B548" s="108" t="s">
        <v>90</v>
      </c>
      <c r="C548" s="108" t="s">
        <v>335</v>
      </c>
      <c r="D548" s="112" t="s">
        <v>178</v>
      </c>
      <c r="E548" s="112">
        <v>2407.2</v>
      </c>
      <c r="F548" s="111" t="str">
        <f>DataPull!D548</f>
        <v/>
      </c>
      <c r="G548" s="94" t="str">
        <f t="shared" si="2"/>
        <v/>
      </c>
      <c r="H548" s="94" t="str">
        <f t="shared" si="3"/>
        <v/>
      </c>
      <c r="I548" s="94" t="str">
        <f t="shared" ref="I548:J548" si="549">if(G548 = "", , -G548)</f>
        <v/>
      </c>
      <c r="J548" s="94" t="str">
        <f t="shared" si="549"/>
        <v/>
      </c>
      <c r="K548" s="100"/>
      <c r="M548" s="100"/>
      <c r="N548" s="100"/>
      <c r="O548" s="100"/>
      <c r="P548" s="100"/>
    </row>
    <row r="549">
      <c r="A549" s="107">
        <v>200752.0</v>
      </c>
      <c r="B549" s="108" t="s">
        <v>92</v>
      </c>
      <c r="C549" s="108" t="s">
        <v>335</v>
      </c>
      <c r="D549" s="112" t="s">
        <v>178</v>
      </c>
      <c r="E549" s="112">
        <v>2380.0</v>
      </c>
      <c r="F549" s="111" t="str">
        <f>DataPull!D549</f>
        <v/>
      </c>
      <c r="G549" s="94" t="str">
        <f t="shared" si="2"/>
        <v/>
      </c>
      <c r="H549" s="94" t="str">
        <f t="shared" si="3"/>
        <v/>
      </c>
      <c r="I549" s="94" t="str">
        <f t="shared" ref="I549:J549" si="550">if(G549 = "", , -G549)</f>
        <v/>
      </c>
      <c r="J549" s="94" t="str">
        <f t="shared" si="550"/>
        <v/>
      </c>
      <c r="K549" s="100"/>
      <c r="L549" s="100"/>
      <c r="M549" s="100"/>
      <c r="N549" s="100"/>
      <c r="O549" s="100"/>
      <c r="P549" s="100"/>
    </row>
    <row r="550">
      <c r="A550" s="107">
        <v>200752.0</v>
      </c>
      <c r="B550" s="108" t="s">
        <v>190</v>
      </c>
      <c r="C550" s="108" t="s">
        <v>335</v>
      </c>
      <c r="D550" s="112" t="s">
        <v>184</v>
      </c>
      <c r="E550" s="112">
        <v>1014.0</v>
      </c>
      <c r="F550" s="111" t="str">
        <f>DataPull!D550</f>
        <v/>
      </c>
      <c r="G550" s="94" t="str">
        <f t="shared" si="2"/>
        <v/>
      </c>
      <c r="H550" s="94" t="str">
        <f t="shared" si="3"/>
        <v/>
      </c>
      <c r="I550" s="94" t="str">
        <f t="shared" ref="I550:J550" si="551">if(G550 = "", , -G550)</f>
        <v/>
      </c>
      <c r="J550" s="94" t="str">
        <f t="shared" si="551"/>
        <v/>
      </c>
      <c r="K550" s="100"/>
      <c r="M550" s="100"/>
      <c r="N550" s="100"/>
      <c r="O550" s="100"/>
      <c r="P550" s="100"/>
    </row>
    <row r="551">
      <c r="A551" s="107">
        <v>200752.0</v>
      </c>
      <c r="B551" s="108" t="s">
        <v>191</v>
      </c>
      <c r="C551" s="108" t="s">
        <v>335</v>
      </c>
      <c r="D551" s="112" t="s">
        <v>176</v>
      </c>
      <c r="E551" s="112">
        <v>1231.2</v>
      </c>
      <c r="F551" s="111" t="str">
        <f>DataPull!D551</f>
        <v/>
      </c>
      <c r="G551" s="94" t="str">
        <f t="shared" si="2"/>
        <v/>
      </c>
      <c r="H551" s="94" t="str">
        <f t="shared" si="3"/>
        <v/>
      </c>
      <c r="I551" s="94" t="str">
        <f t="shared" ref="I551:J551" si="552">if(G551 = "", , -G551)</f>
        <v/>
      </c>
      <c r="J551" s="94" t="str">
        <f t="shared" si="552"/>
        <v/>
      </c>
      <c r="K551" s="100"/>
      <c r="M551" s="100"/>
      <c r="N551" s="100"/>
      <c r="O551" s="100"/>
      <c r="P551" s="100"/>
    </row>
    <row r="552">
      <c r="A552" s="107">
        <v>200752.0</v>
      </c>
      <c r="B552" s="108" t="s">
        <v>192</v>
      </c>
      <c r="C552" s="108" t="s">
        <v>335</v>
      </c>
      <c r="D552" s="112" t="s">
        <v>184</v>
      </c>
      <c r="E552" s="112">
        <v>1842.3</v>
      </c>
      <c r="F552" s="111" t="str">
        <f>DataPull!D552</f>
        <v/>
      </c>
      <c r="G552" s="94" t="str">
        <f t="shared" si="2"/>
        <v/>
      </c>
      <c r="H552" s="94" t="str">
        <f t="shared" si="3"/>
        <v/>
      </c>
      <c r="I552" s="94" t="str">
        <f t="shared" ref="I552:J552" si="553">if(G552 = "", , -G552)</f>
        <v/>
      </c>
      <c r="J552" s="94" t="str">
        <f t="shared" si="553"/>
        <v/>
      </c>
      <c r="K552" s="100"/>
      <c r="M552" s="100"/>
      <c r="N552" s="100"/>
      <c r="O552" s="100"/>
      <c r="P552" s="100"/>
    </row>
    <row r="553">
      <c r="A553" s="107">
        <v>200752.0</v>
      </c>
      <c r="B553" s="108" t="s">
        <v>193</v>
      </c>
      <c r="C553" s="108" t="s">
        <v>335</v>
      </c>
      <c r="D553" s="112" t="s">
        <v>176</v>
      </c>
      <c r="E553" s="112">
        <v>1460.6</v>
      </c>
      <c r="F553" s="111" t="str">
        <f>DataPull!D553</f>
        <v/>
      </c>
      <c r="G553" s="94" t="str">
        <f t="shared" si="2"/>
        <v/>
      </c>
      <c r="H553" s="94" t="str">
        <f t="shared" si="3"/>
        <v/>
      </c>
      <c r="I553" s="94" t="str">
        <f t="shared" ref="I553:J553" si="554">if(G553 = "", , -G553)</f>
        <v/>
      </c>
      <c r="J553" s="94" t="str">
        <f t="shared" si="554"/>
        <v/>
      </c>
      <c r="K553" s="100"/>
      <c r="M553" s="100"/>
      <c r="N553" s="100"/>
      <c r="O553" s="100"/>
      <c r="P553" s="100"/>
    </row>
    <row r="554">
      <c r="A554" s="107">
        <v>200752.0</v>
      </c>
      <c r="B554" s="108" t="s">
        <v>243</v>
      </c>
      <c r="C554" s="108" t="s">
        <v>335</v>
      </c>
      <c r="D554" s="112" t="s">
        <v>176</v>
      </c>
      <c r="E554" s="112">
        <v>1360.8</v>
      </c>
      <c r="F554" s="111" t="str">
        <f>DataPull!D554</f>
        <v/>
      </c>
      <c r="G554" s="94" t="str">
        <f t="shared" si="2"/>
        <v/>
      </c>
      <c r="H554" s="94" t="str">
        <f t="shared" si="3"/>
        <v/>
      </c>
      <c r="I554" s="94" t="str">
        <f t="shared" ref="I554:J554" si="555">if(G554 = "", , -G554)</f>
        <v/>
      </c>
      <c r="J554" s="94" t="str">
        <f t="shared" si="555"/>
        <v/>
      </c>
      <c r="K554" s="100"/>
      <c r="M554" s="100"/>
      <c r="N554" s="100"/>
      <c r="O554" s="100"/>
      <c r="P554" s="100"/>
    </row>
    <row r="555">
      <c r="A555" s="107">
        <v>200752.0</v>
      </c>
      <c r="B555" s="108" t="s">
        <v>215</v>
      </c>
      <c r="C555" s="108" t="s">
        <v>335</v>
      </c>
      <c r="D555" s="112" t="s">
        <v>177</v>
      </c>
      <c r="E555" s="112">
        <v>1039.5</v>
      </c>
      <c r="F555" s="111" t="str">
        <f>DataPull!D555</f>
        <v/>
      </c>
      <c r="G555" s="94" t="str">
        <f t="shared" si="2"/>
        <v/>
      </c>
      <c r="H555" s="94" t="str">
        <f t="shared" si="3"/>
        <v/>
      </c>
      <c r="I555" s="94" t="str">
        <f t="shared" ref="I555:J555" si="556">if(G555 = "", , -G555)</f>
        <v/>
      </c>
      <c r="J555" s="94" t="str">
        <f t="shared" si="556"/>
        <v/>
      </c>
      <c r="K555" s="100"/>
      <c r="M555" s="100"/>
      <c r="N555" s="100"/>
      <c r="O555" s="100"/>
      <c r="P555" s="100"/>
    </row>
    <row r="556">
      <c r="A556" s="107">
        <v>200752.0</v>
      </c>
      <c r="B556" s="108" t="s">
        <v>244</v>
      </c>
      <c r="C556" s="108" t="s">
        <v>335</v>
      </c>
      <c r="D556" s="112" t="s">
        <v>177</v>
      </c>
      <c r="E556" s="112">
        <v>817.6</v>
      </c>
      <c r="F556" s="111" t="str">
        <f>DataPull!D556</f>
        <v/>
      </c>
      <c r="G556" s="94" t="str">
        <f t="shared" si="2"/>
        <v/>
      </c>
      <c r="H556" s="94" t="str">
        <f t="shared" si="3"/>
        <v/>
      </c>
      <c r="I556" s="94" t="str">
        <f t="shared" ref="I556:J556" si="557">if(G556 = "", , -G556)</f>
        <v/>
      </c>
      <c r="J556" s="94" t="str">
        <f t="shared" si="557"/>
        <v/>
      </c>
      <c r="K556" s="100"/>
      <c r="M556" s="100"/>
      <c r="N556" s="100"/>
      <c r="O556" s="100"/>
      <c r="P556" s="100"/>
    </row>
    <row r="557">
      <c r="A557" s="107">
        <v>200755.0</v>
      </c>
      <c r="B557" s="108" t="s">
        <v>85</v>
      </c>
      <c r="C557" s="108" t="s">
        <v>336</v>
      </c>
      <c r="D557" s="112" t="s">
        <v>178</v>
      </c>
      <c r="E557" s="112">
        <v>987.0</v>
      </c>
      <c r="F557" s="111" t="str">
        <f>DataPull!D557</f>
        <v/>
      </c>
      <c r="G557" s="94" t="str">
        <f t="shared" si="2"/>
        <v/>
      </c>
      <c r="H557" s="94" t="str">
        <f t="shared" si="3"/>
        <v/>
      </c>
      <c r="I557" s="94" t="str">
        <f t="shared" ref="I557:J557" si="558">if(G557 = "", , -G557)</f>
        <v/>
      </c>
      <c r="J557" s="94" t="str">
        <f t="shared" si="558"/>
        <v/>
      </c>
      <c r="K557" s="100"/>
      <c r="M557" s="100"/>
      <c r="N557" s="100"/>
      <c r="O557" s="100"/>
      <c r="P557" s="100"/>
    </row>
    <row r="558">
      <c r="A558" s="107">
        <v>200755.0</v>
      </c>
      <c r="B558" s="108" t="s">
        <v>90</v>
      </c>
      <c r="C558" s="116" t="s">
        <v>336</v>
      </c>
      <c r="D558" s="24" t="s">
        <v>178</v>
      </c>
      <c r="E558" s="112">
        <v>2410.2</v>
      </c>
      <c r="F558" s="111" t="str">
        <f>DataPull!D558</f>
        <v/>
      </c>
      <c r="G558" s="94" t="str">
        <f t="shared" si="2"/>
        <v/>
      </c>
      <c r="H558" s="94" t="str">
        <f t="shared" si="3"/>
        <v/>
      </c>
      <c r="I558" s="94" t="str">
        <f t="shared" ref="I558:J558" si="559">if(G558 = "", , -G558)</f>
        <v/>
      </c>
      <c r="J558" s="94" t="str">
        <f t="shared" si="559"/>
        <v/>
      </c>
      <c r="K558" s="100"/>
      <c r="L558" s="100"/>
      <c r="N558" s="100"/>
      <c r="O558" s="100"/>
      <c r="P558" s="100"/>
    </row>
    <row r="559">
      <c r="A559" s="107">
        <v>200755.0</v>
      </c>
      <c r="B559" s="108" t="s">
        <v>92</v>
      </c>
      <c r="C559" s="108" t="s">
        <v>336</v>
      </c>
      <c r="D559" s="112" t="s">
        <v>178</v>
      </c>
      <c r="E559" s="112">
        <v>2100.0</v>
      </c>
      <c r="F559" s="111" t="str">
        <f>DataPull!D559</f>
        <v/>
      </c>
      <c r="G559" s="94" t="str">
        <f t="shared" si="2"/>
        <v/>
      </c>
      <c r="H559" s="94" t="str">
        <f t="shared" si="3"/>
        <v/>
      </c>
      <c r="I559" s="94" t="str">
        <f t="shared" ref="I559:J559" si="560">if(G559 = "", , -G559)</f>
        <v/>
      </c>
      <c r="J559" s="94" t="str">
        <f t="shared" si="560"/>
        <v/>
      </c>
      <c r="K559" s="100"/>
      <c r="M559" s="100"/>
      <c r="N559" s="100"/>
      <c r="O559" s="100"/>
      <c r="P559" s="100"/>
    </row>
    <row r="560">
      <c r="A560" s="107">
        <v>200755.0</v>
      </c>
      <c r="B560" s="108" t="s">
        <v>190</v>
      </c>
      <c r="C560" s="108" t="s">
        <v>336</v>
      </c>
      <c r="D560" s="112" t="s">
        <v>178</v>
      </c>
      <c r="E560" s="112">
        <v>2199.6</v>
      </c>
      <c r="F560" s="111" t="str">
        <f>DataPull!D560</f>
        <v/>
      </c>
      <c r="G560" s="94" t="str">
        <f t="shared" si="2"/>
        <v/>
      </c>
      <c r="H560" s="94" t="str">
        <f t="shared" si="3"/>
        <v/>
      </c>
      <c r="I560" s="94" t="str">
        <f t="shared" ref="I560:J560" si="561">if(G560 = "", , -G560)</f>
        <v/>
      </c>
      <c r="J560" s="94" t="str">
        <f t="shared" si="561"/>
        <v/>
      </c>
      <c r="K560" s="100"/>
      <c r="L560" s="100"/>
      <c r="M560" s="100"/>
      <c r="N560" s="100"/>
      <c r="O560" s="100"/>
      <c r="P560" s="100"/>
    </row>
    <row r="561">
      <c r="A561" s="107">
        <v>200755.0</v>
      </c>
      <c r="B561" s="108" t="s">
        <v>191</v>
      </c>
      <c r="C561" s="108" t="s">
        <v>336</v>
      </c>
      <c r="D561" s="112" t="s">
        <v>178</v>
      </c>
      <c r="E561" s="112">
        <v>2114.0</v>
      </c>
      <c r="F561" s="111" t="str">
        <f>DataPull!D561</f>
        <v/>
      </c>
      <c r="G561" s="94" t="str">
        <f t="shared" si="2"/>
        <v/>
      </c>
      <c r="H561" s="94" t="str">
        <f t="shared" si="3"/>
        <v/>
      </c>
      <c r="I561" s="94" t="str">
        <f t="shared" ref="I561:J561" si="562">if(G561 = "", , -G561)</f>
        <v/>
      </c>
      <c r="J561" s="94" t="str">
        <f t="shared" si="562"/>
        <v/>
      </c>
      <c r="K561" s="100"/>
      <c r="M561" s="100"/>
      <c r="N561" s="100"/>
      <c r="O561" s="100"/>
      <c r="P561" s="100"/>
    </row>
    <row r="562">
      <c r="A562" s="107">
        <v>200755.0</v>
      </c>
      <c r="B562" s="108" t="s">
        <v>192</v>
      </c>
      <c r="C562" s="108" t="s">
        <v>336</v>
      </c>
      <c r="D562" s="112" t="s">
        <v>176</v>
      </c>
      <c r="E562" s="112">
        <v>2378.8</v>
      </c>
      <c r="F562" s="111" t="str">
        <f>DataPull!D562</f>
        <v/>
      </c>
      <c r="G562" s="94" t="str">
        <f t="shared" si="2"/>
        <v/>
      </c>
      <c r="H562" s="94" t="str">
        <f t="shared" si="3"/>
        <v/>
      </c>
      <c r="I562" s="94" t="str">
        <f t="shared" ref="I562:J562" si="563">if(G562 = "", , -G562)</f>
        <v/>
      </c>
      <c r="J562" s="94" t="str">
        <f t="shared" si="563"/>
        <v/>
      </c>
      <c r="K562" s="100"/>
      <c r="M562" s="100"/>
      <c r="N562" s="100"/>
      <c r="O562" s="100"/>
      <c r="P562" s="100"/>
    </row>
    <row r="563">
      <c r="A563" s="107">
        <v>200755.0</v>
      </c>
      <c r="B563" s="108" t="s">
        <v>193</v>
      </c>
      <c r="C563" s="108" t="s">
        <v>336</v>
      </c>
      <c r="D563" s="112" t="s">
        <v>176</v>
      </c>
      <c r="E563" s="112">
        <v>1578.0</v>
      </c>
      <c r="F563" s="111" t="str">
        <f>DataPull!D563</f>
        <v/>
      </c>
      <c r="G563" s="94" t="str">
        <f t="shared" si="2"/>
        <v/>
      </c>
      <c r="H563" s="94" t="str">
        <f t="shared" si="3"/>
        <v/>
      </c>
      <c r="I563" s="94" t="str">
        <f t="shared" ref="I563:J563" si="564">if(G563 = "", , -G563)</f>
        <v/>
      </c>
      <c r="J563" s="94" t="str">
        <f t="shared" si="564"/>
        <v/>
      </c>
      <c r="K563" s="100"/>
      <c r="L563" s="100"/>
      <c r="N563" s="100"/>
      <c r="O563" s="100"/>
      <c r="P563" s="100"/>
    </row>
    <row r="564">
      <c r="A564" s="107">
        <v>200755.0</v>
      </c>
      <c r="B564" s="108" t="s">
        <v>243</v>
      </c>
      <c r="C564" s="108" t="s">
        <v>336</v>
      </c>
      <c r="D564" s="112" t="s">
        <v>177</v>
      </c>
      <c r="E564" s="112">
        <v>721.6</v>
      </c>
      <c r="F564" s="111" t="str">
        <f>DataPull!D564</f>
        <v/>
      </c>
      <c r="G564" s="94" t="str">
        <f t="shared" si="2"/>
        <v/>
      </c>
      <c r="H564" s="94" t="str">
        <f t="shared" si="3"/>
        <v/>
      </c>
      <c r="I564" s="94" t="str">
        <f t="shared" ref="I564:J564" si="565">if(G564 = "", , -G564)</f>
        <v/>
      </c>
      <c r="J564" s="94" t="str">
        <f t="shared" si="565"/>
        <v/>
      </c>
      <c r="K564" s="100"/>
      <c r="L564" s="100"/>
      <c r="N564" s="100"/>
      <c r="O564" s="100"/>
      <c r="P564" s="100"/>
    </row>
    <row r="565">
      <c r="A565" s="107">
        <v>200756.0</v>
      </c>
      <c r="B565" s="108" t="s">
        <v>85</v>
      </c>
      <c r="C565" s="108" t="s">
        <v>337</v>
      </c>
      <c r="D565" s="112" t="s">
        <v>187</v>
      </c>
      <c r="E565" s="112">
        <v>96.0</v>
      </c>
      <c r="F565" s="111" t="str">
        <f>DataPull!D565</f>
        <v/>
      </c>
      <c r="G565" s="94" t="str">
        <f t="shared" si="2"/>
        <v/>
      </c>
      <c r="H565" s="94" t="str">
        <f t="shared" si="3"/>
        <v/>
      </c>
      <c r="I565" s="94" t="str">
        <f t="shared" ref="I565:J565" si="566">if(G565 = "", , -G565)</f>
        <v/>
      </c>
      <c r="J565" s="94" t="str">
        <f t="shared" si="566"/>
        <v/>
      </c>
      <c r="K565" s="100"/>
      <c r="M565" s="100"/>
      <c r="N565" s="100"/>
      <c r="O565" s="100"/>
      <c r="P565" s="100"/>
    </row>
    <row r="566">
      <c r="A566" s="107">
        <v>200757.0</v>
      </c>
      <c r="B566" s="108" t="s">
        <v>85</v>
      </c>
      <c r="C566" s="108" t="s">
        <v>338</v>
      </c>
      <c r="D566" s="112" t="s">
        <v>176</v>
      </c>
      <c r="E566" s="112">
        <v>1586.0</v>
      </c>
      <c r="F566" s="111" t="str">
        <f>DataPull!D566</f>
        <v/>
      </c>
      <c r="G566" s="94" t="str">
        <f t="shared" si="2"/>
        <v/>
      </c>
      <c r="H566" s="94" t="str">
        <f t="shared" si="3"/>
        <v/>
      </c>
      <c r="I566" s="94" t="str">
        <f t="shared" ref="I566:J566" si="567">if(G566 = "", , -G566)</f>
        <v/>
      </c>
      <c r="J566" s="94" t="str">
        <f t="shared" si="567"/>
        <v/>
      </c>
      <c r="K566" s="100"/>
      <c r="L566" s="100"/>
      <c r="M566" s="100"/>
      <c r="N566" s="100"/>
      <c r="O566" s="100"/>
      <c r="P566" s="100"/>
    </row>
    <row r="567">
      <c r="A567" s="107">
        <v>200757.0</v>
      </c>
      <c r="B567" s="108" t="s">
        <v>90</v>
      </c>
      <c r="C567" s="108" t="s">
        <v>338</v>
      </c>
      <c r="D567" s="112" t="s">
        <v>176</v>
      </c>
      <c r="E567" s="112">
        <v>977.6</v>
      </c>
      <c r="F567" s="111" t="str">
        <f>DataPull!D567</f>
        <v/>
      </c>
      <c r="G567" s="94" t="str">
        <f t="shared" si="2"/>
        <v/>
      </c>
      <c r="H567" s="94" t="str">
        <f t="shared" si="3"/>
        <v/>
      </c>
      <c r="I567" s="94" t="str">
        <f t="shared" ref="I567:J567" si="568">if(G567 = "", , -G567)</f>
        <v/>
      </c>
      <c r="J567" s="94" t="str">
        <f t="shared" si="568"/>
        <v/>
      </c>
      <c r="K567" s="100"/>
      <c r="L567" s="100"/>
      <c r="M567" s="100"/>
      <c r="N567" s="100"/>
      <c r="O567" s="100"/>
      <c r="P567" s="100"/>
    </row>
    <row r="568">
      <c r="A568" s="107">
        <v>200757.0</v>
      </c>
      <c r="B568" s="108" t="s">
        <v>92</v>
      </c>
      <c r="C568" s="108" t="s">
        <v>338</v>
      </c>
      <c r="D568" s="112" t="s">
        <v>176</v>
      </c>
      <c r="E568" s="112">
        <v>1755.0</v>
      </c>
      <c r="F568" s="111" t="str">
        <f>DataPull!D568</f>
        <v/>
      </c>
      <c r="G568" s="94" t="str">
        <f t="shared" si="2"/>
        <v/>
      </c>
      <c r="H568" s="94" t="str">
        <f t="shared" si="3"/>
        <v/>
      </c>
      <c r="I568" s="94" t="str">
        <f t="shared" ref="I568:J568" si="569">if(G568 = "", , -G568)</f>
        <v/>
      </c>
      <c r="J568" s="94" t="str">
        <f t="shared" si="569"/>
        <v/>
      </c>
      <c r="K568" s="100"/>
      <c r="L568" s="100"/>
      <c r="M568" s="100"/>
      <c r="N568" s="100"/>
      <c r="O568" s="100"/>
      <c r="P568" s="100"/>
    </row>
    <row r="569">
      <c r="A569" s="107">
        <v>200757.0</v>
      </c>
      <c r="B569" s="108" t="s">
        <v>190</v>
      </c>
      <c r="C569" s="108" t="s">
        <v>338</v>
      </c>
      <c r="D569" s="112" t="s">
        <v>176</v>
      </c>
      <c r="E569" s="112">
        <v>1593.4</v>
      </c>
      <c r="F569" s="111" t="str">
        <f>DataPull!D569</f>
        <v/>
      </c>
      <c r="G569" s="94" t="str">
        <f t="shared" si="2"/>
        <v/>
      </c>
      <c r="H569" s="94" t="str">
        <f t="shared" si="3"/>
        <v/>
      </c>
      <c r="I569" s="94" t="str">
        <f t="shared" ref="I569:J569" si="570">if(G569 = "", , -G569)</f>
        <v/>
      </c>
      <c r="J569" s="94" t="str">
        <f t="shared" si="570"/>
        <v/>
      </c>
      <c r="K569" s="100"/>
      <c r="L569" s="100"/>
      <c r="M569" s="100"/>
      <c r="N569" s="100"/>
      <c r="O569" s="100"/>
      <c r="P569" s="100"/>
    </row>
    <row r="570">
      <c r="A570" s="107">
        <v>200757.0</v>
      </c>
      <c r="B570" s="108" t="s">
        <v>191</v>
      </c>
      <c r="C570" s="108" t="s">
        <v>338</v>
      </c>
      <c r="D570" s="112" t="s">
        <v>177</v>
      </c>
      <c r="E570" s="112">
        <v>805.6</v>
      </c>
      <c r="F570" s="111" t="str">
        <f>DataPull!D570</f>
        <v/>
      </c>
      <c r="G570" s="94" t="str">
        <f t="shared" si="2"/>
        <v/>
      </c>
      <c r="H570" s="94" t="str">
        <f t="shared" si="3"/>
        <v/>
      </c>
      <c r="I570" s="94" t="str">
        <f t="shared" ref="I570:J570" si="571">if(G570 = "", , -G570)</f>
        <v/>
      </c>
      <c r="J570" s="94" t="str">
        <f t="shared" si="571"/>
        <v/>
      </c>
      <c r="K570" s="100"/>
      <c r="L570" s="100"/>
      <c r="M570" s="100"/>
      <c r="N570" s="100"/>
      <c r="O570" s="100"/>
      <c r="P570" s="100"/>
    </row>
    <row r="571">
      <c r="A571" s="107">
        <v>200757.0</v>
      </c>
      <c r="B571" s="108" t="s">
        <v>192</v>
      </c>
      <c r="C571" s="108" t="s">
        <v>338</v>
      </c>
      <c r="D571" s="112" t="s">
        <v>177</v>
      </c>
      <c r="E571" s="112">
        <v>610.0</v>
      </c>
      <c r="F571" s="111" t="str">
        <f>DataPull!D571</f>
        <v/>
      </c>
      <c r="G571" s="94" t="str">
        <f t="shared" si="2"/>
        <v/>
      </c>
      <c r="H571" s="94" t="str">
        <f t="shared" si="3"/>
        <v/>
      </c>
      <c r="I571" s="94" t="str">
        <f t="shared" ref="I571:J571" si="572">if(G571 = "", , -G571)</f>
        <v/>
      </c>
      <c r="J571" s="94" t="str">
        <f t="shared" si="572"/>
        <v/>
      </c>
      <c r="K571" s="100"/>
      <c r="L571" s="100"/>
      <c r="M571" s="100"/>
      <c r="N571" s="100"/>
      <c r="O571" s="100"/>
      <c r="P571" s="100"/>
    </row>
    <row r="572">
      <c r="A572" s="107">
        <v>200757.0</v>
      </c>
      <c r="B572" s="108" t="s">
        <v>193</v>
      </c>
      <c r="C572" s="108" t="s">
        <v>338</v>
      </c>
      <c r="D572" s="112" t="s">
        <v>187</v>
      </c>
      <c r="E572" s="112">
        <v>434.6</v>
      </c>
      <c r="F572" s="111" t="str">
        <f>DataPull!D572</f>
        <v/>
      </c>
      <c r="G572" s="94" t="str">
        <f t="shared" si="2"/>
        <v/>
      </c>
      <c r="H572" s="94" t="str">
        <f t="shared" si="3"/>
        <v/>
      </c>
      <c r="I572" s="94" t="str">
        <f t="shared" ref="I572:J572" si="573">if(G572 = "", , -G572)</f>
        <v/>
      </c>
      <c r="J572" s="94" t="str">
        <f t="shared" si="573"/>
        <v/>
      </c>
      <c r="K572" s="100"/>
      <c r="L572" s="100"/>
      <c r="M572" s="100"/>
      <c r="N572" s="100"/>
      <c r="O572" s="100"/>
      <c r="P572" s="100"/>
    </row>
    <row r="573">
      <c r="A573" s="107">
        <v>200758.0</v>
      </c>
      <c r="B573" s="108" t="s">
        <v>85</v>
      </c>
      <c r="C573" s="108" t="s">
        <v>339</v>
      </c>
      <c r="D573" s="112" t="s">
        <v>187</v>
      </c>
      <c r="E573" s="112">
        <v>160.8</v>
      </c>
      <c r="F573" s="111" t="str">
        <f>DataPull!D573</f>
        <v/>
      </c>
      <c r="G573" s="94" t="str">
        <f t="shared" si="2"/>
        <v/>
      </c>
      <c r="H573" s="94" t="str">
        <f t="shared" si="3"/>
        <v/>
      </c>
      <c r="I573" s="94" t="str">
        <f t="shared" ref="I573:J573" si="574">if(G573 = "", , -G573)</f>
        <v/>
      </c>
      <c r="J573" s="94" t="str">
        <f t="shared" si="574"/>
        <v/>
      </c>
      <c r="K573" s="100"/>
      <c r="M573" s="100"/>
      <c r="O573" s="100"/>
    </row>
    <row r="574">
      <c r="A574" s="107">
        <v>200761.0</v>
      </c>
      <c r="B574" s="108" t="s">
        <v>85</v>
      </c>
      <c r="C574" s="108" t="s">
        <v>340</v>
      </c>
      <c r="D574" s="112" t="s">
        <v>177</v>
      </c>
      <c r="E574" s="112">
        <v>752.4</v>
      </c>
      <c r="F574" s="111" t="str">
        <f>DataPull!D574</f>
        <v/>
      </c>
      <c r="G574" s="94" t="str">
        <f t="shared" si="2"/>
        <v/>
      </c>
      <c r="H574" s="94" t="str">
        <f t="shared" si="3"/>
        <v/>
      </c>
      <c r="I574" s="94" t="str">
        <f t="shared" ref="I574:J574" si="575">if(G574 = "", , -G574)</f>
        <v/>
      </c>
      <c r="J574" s="94" t="str">
        <f t="shared" si="575"/>
        <v/>
      </c>
      <c r="K574" s="100"/>
      <c r="L574" s="100"/>
      <c r="M574" s="100"/>
      <c r="N574" s="100"/>
      <c r="O574" s="100"/>
      <c r="P574" s="100"/>
    </row>
    <row r="575">
      <c r="A575" s="107">
        <v>200761.0</v>
      </c>
      <c r="B575" s="108" t="s">
        <v>90</v>
      </c>
      <c r="C575" s="108" t="s">
        <v>340</v>
      </c>
      <c r="D575" s="112" t="s">
        <v>177</v>
      </c>
      <c r="E575" s="112">
        <v>1083.6</v>
      </c>
      <c r="F575" s="111" t="str">
        <f>DataPull!D575</f>
        <v/>
      </c>
      <c r="G575" s="94" t="str">
        <f t="shared" si="2"/>
        <v/>
      </c>
      <c r="H575" s="94" t="str">
        <f t="shared" si="3"/>
        <v/>
      </c>
      <c r="I575" s="94" t="str">
        <f t="shared" ref="I575:J575" si="576">if(G575 = "", , -G575)</f>
        <v/>
      </c>
      <c r="J575" s="94" t="str">
        <f t="shared" si="576"/>
        <v/>
      </c>
      <c r="K575" s="100"/>
      <c r="L575" s="100"/>
      <c r="M575" s="100"/>
      <c r="N575" s="100"/>
      <c r="O575" s="100"/>
      <c r="P575" s="100"/>
    </row>
    <row r="576">
      <c r="A576" s="107">
        <v>200765.0</v>
      </c>
      <c r="B576" s="108" t="s">
        <v>85</v>
      </c>
      <c r="C576" s="108" t="s">
        <v>341</v>
      </c>
      <c r="D576" s="112" t="s">
        <v>178</v>
      </c>
      <c r="E576" s="112">
        <v>999.0</v>
      </c>
      <c r="F576" s="111" t="str">
        <f>DataPull!D576</f>
        <v/>
      </c>
      <c r="G576" s="94" t="str">
        <f t="shared" si="2"/>
        <v/>
      </c>
      <c r="H576" s="94" t="str">
        <f t="shared" si="3"/>
        <v/>
      </c>
      <c r="I576" s="94" t="str">
        <f t="shared" ref="I576:J576" si="577">if(G576 = "", , -G576)</f>
        <v/>
      </c>
      <c r="J576" s="94" t="str">
        <f t="shared" si="577"/>
        <v/>
      </c>
      <c r="K576" s="100"/>
      <c r="L576" s="100"/>
      <c r="M576" s="100"/>
      <c r="N576" s="100"/>
      <c r="O576" s="100"/>
      <c r="P576" s="100"/>
    </row>
    <row r="577">
      <c r="A577" s="107">
        <v>200765.0</v>
      </c>
      <c r="B577" s="108" t="s">
        <v>90</v>
      </c>
      <c r="C577" s="108" t="s">
        <v>341</v>
      </c>
      <c r="D577" s="112" t="s">
        <v>178</v>
      </c>
      <c r="E577" s="112">
        <v>2019.6</v>
      </c>
      <c r="F577" s="111" t="str">
        <f>DataPull!D577</f>
        <v/>
      </c>
      <c r="G577" s="94" t="str">
        <f t="shared" si="2"/>
        <v/>
      </c>
      <c r="H577" s="94" t="str">
        <f t="shared" si="3"/>
        <v/>
      </c>
      <c r="I577" s="94" t="str">
        <f t="shared" ref="I577:J577" si="578">if(G577 = "", , -G577)</f>
        <v/>
      </c>
      <c r="J577" s="94" t="str">
        <f t="shared" si="578"/>
        <v/>
      </c>
      <c r="K577" s="100"/>
      <c r="L577" s="100"/>
      <c r="M577" s="100"/>
      <c r="N577" s="100"/>
      <c r="O577" s="100"/>
      <c r="P577" s="100"/>
    </row>
    <row r="578">
      <c r="A578" s="107">
        <v>200765.0</v>
      </c>
      <c r="B578" s="108" t="s">
        <v>92</v>
      </c>
      <c r="C578" s="108" t="s">
        <v>341</v>
      </c>
      <c r="D578" s="112" t="s">
        <v>178</v>
      </c>
      <c r="E578" s="112">
        <v>2534.4</v>
      </c>
      <c r="F578" s="111" t="str">
        <f>DataPull!D578</f>
        <v/>
      </c>
      <c r="G578" s="94" t="str">
        <f t="shared" si="2"/>
        <v/>
      </c>
      <c r="H578" s="94" t="str">
        <f t="shared" si="3"/>
        <v/>
      </c>
      <c r="I578" s="94" t="str">
        <f t="shared" ref="I578:J578" si="579">if(G578 = "", , -G578)</f>
        <v/>
      </c>
      <c r="J578" s="94" t="str">
        <f t="shared" si="579"/>
        <v/>
      </c>
      <c r="N578" s="100"/>
      <c r="O578" s="100"/>
    </row>
    <row r="579">
      <c r="A579" s="107">
        <v>200765.0</v>
      </c>
      <c r="B579" s="108" t="s">
        <v>190</v>
      </c>
      <c r="C579" s="108" t="s">
        <v>341</v>
      </c>
      <c r="D579" s="112" t="s">
        <v>178</v>
      </c>
      <c r="E579" s="112">
        <v>1842.3</v>
      </c>
      <c r="F579" s="111" t="str">
        <f>DataPull!D579</f>
        <v/>
      </c>
      <c r="G579" s="94" t="str">
        <f t="shared" si="2"/>
        <v/>
      </c>
      <c r="H579" s="94" t="str">
        <f t="shared" si="3"/>
        <v/>
      </c>
      <c r="I579" s="94" t="str">
        <f t="shared" ref="I579:J579" si="580">if(G579 = "", , -G579)</f>
        <v/>
      </c>
      <c r="J579" s="94" t="str">
        <f t="shared" si="580"/>
        <v/>
      </c>
      <c r="N579" s="100"/>
      <c r="O579" s="100"/>
      <c r="P579" s="100"/>
    </row>
    <row r="580">
      <c r="A580" s="107">
        <v>200765.0</v>
      </c>
      <c r="B580" s="108" t="s">
        <v>191</v>
      </c>
      <c r="C580" s="108" t="s">
        <v>341</v>
      </c>
      <c r="D580" s="112" t="s">
        <v>176</v>
      </c>
      <c r="E580" s="112">
        <v>1703.0</v>
      </c>
      <c r="F580" s="111" t="str">
        <f>DataPull!D580</f>
        <v/>
      </c>
      <c r="G580" s="94" t="str">
        <f t="shared" si="2"/>
        <v/>
      </c>
      <c r="H580" s="94" t="str">
        <f t="shared" si="3"/>
        <v/>
      </c>
      <c r="I580" s="94" t="str">
        <f t="shared" ref="I580:J580" si="581">if(G580 = "", , -G580)</f>
        <v/>
      </c>
      <c r="J580" s="94" t="str">
        <f t="shared" si="581"/>
        <v/>
      </c>
      <c r="K580" s="100"/>
      <c r="M580" s="100"/>
      <c r="O580" s="100"/>
    </row>
    <row r="581">
      <c r="A581" s="107">
        <v>200765.0</v>
      </c>
      <c r="B581" s="108" t="s">
        <v>192</v>
      </c>
      <c r="C581" s="108" t="s">
        <v>341</v>
      </c>
      <c r="D581" s="112" t="s">
        <v>178</v>
      </c>
      <c r="E581" s="112">
        <v>1370.8</v>
      </c>
      <c r="F581" s="111" t="str">
        <f>DataPull!D581</f>
        <v/>
      </c>
      <c r="G581" s="94" t="str">
        <f t="shared" si="2"/>
        <v/>
      </c>
      <c r="H581" s="94" t="str">
        <f t="shared" si="3"/>
        <v/>
      </c>
      <c r="I581" s="94" t="str">
        <f t="shared" ref="I581:J581" si="582">if(G581 = "", , -G581)</f>
        <v/>
      </c>
      <c r="J581" s="94" t="str">
        <f t="shared" si="582"/>
        <v/>
      </c>
      <c r="K581" s="100"/>
      <c r="L581" s="100"/>
      <c r="N581" s="100"/>
      <c r="O581" s="100"/>
    </row>
    <row r="582">
      <c r="A582" s="107">
        <v>200765.0</v>
      </c>
      <c r="B582" s="108" t="s">
        <v>193</v>
      </c>
      <c r="C582" s="108" t="s">
        <v>341</v>
      </c>
      <c r="D582" s="112" t="s">
        <v>176</v>
      </c>
      <c r="E582" s="112">
        <v>984.0</v>
      </c>
      <c r="F582" s="111" t="str">
        <f>DataPull!D582</f>
        <v/>
      </c>
      <c r="G582" s="94" t="str">
        <f t="shared" si="2"/>
        <v/>
      </c>
      <c r="H582" s="94" t="str">
        <f t="shared" si="3"/>
        <v/>
      </c>
      <c r="I582" s="94" t="str">
        <f t="shared" ref="I582:J582" si="583">if(G582 = "", , -G582)</f>
        <v/>
      </c>
      <c r="J582" s="94" t="str">
        <f t="shared" si="583"/>
        <v/>
      </c>
      <c r="K582" s="100"/>
      <c r="M582" s="100"/>
      <c r="N582" s="100"/>
      <c r="O582" s="100"/>
      <c r="P582" s="100"/>
    </row>
    <row r="583">
      <c r="A583" s="107">
        <v>200765.0</v>
      </c>
      <c r="B583" s="108" t="s">
        <v>243</v>
      </c>
      <c r="C583" s="108" t="s">
        <v>341</v>
      </c>
      <c r="D583" s="112" t="s">
        <v>177</v>
      </c>
      <c r="E583" s="112">
        <v>769.5</v>
      </c>
      <c r="F583" s="111" t="str">
        <f>DataPull!D583</f>
        <v/>
      </c>
      <c r="G583" s="94" t="str">
        <f t="shared" si="2"/>
        <v/>
      </c>
      <c r="H583" s="94" t="str">
        <f t="shared" si="3"/>
        <v/>
      </c>
      <c r="I583" s="94" t="str">
        <f t="shared" ref="I583:J583" si="584">if(G583 = "", , -G583)</f>
        <v/>
      </c>
      <c r="J583" s="94" t="str">
        <f t="shared" si="584"/>
        <v/>
      </c>
      <c r="K583" s="100"/>
      <c r="M583" s="100"/>
      <c r="N583" s="100"/>
      <c r="O583" s="100"/>
      <c r="P583" s="100"/>
    </row>
    <row r="584">
      <c r="A584" s="107">
        <v>200765.0</v>
      </c>
      <c r="B584" s="108" t="s">
        <v>215</v>
      </c>
      <c r="C584" s="108" t="s">
        <v>341</v>
      </c>
      <c r="D584" s="112" t="s">
        <v>177</v>
      </c>
      <c r="E584" s="112">
        <v>698.1</v>
      </c>
      <c r="F584" s="111" t="str">
        <f>DataPull!D584</f>
        <v/>
      </c>
      <c r="G584" s="94" t="str">
        <f t="shared" si="2"/>
        <v/>
      </c>
      <c r="H584" s="94" t="str">
        <f t="shared" si="3"/>
        <v/>
      </c>
      <c r="I584" s="94" t="str">
        <f t="shared" ref="I584:J584" si="585">if(G584 = "", , -G584)</f>
        <v/>
      </c>
      <c r="J584" s="94" t="str">
        <f t="shared" si="585"/>
        <v/>
      </c>
      <c r="K584" s="100"/>
      <c r="M584" s="100"/>
      <c r="N584" s="100"/>
      <c r="O584" s="100"/>
      <c r="P584" s="100"/>
    </row>
    <row r="585">
      <c r="A585" s="107">
        <v>200768.0</v>
      </c>
      <c r="B585" s="108" t="s">
        <v>85</v>
      </c>
      <c r="C585" s="108" t="s">
        <v>342</v>
      </c>
      <c r="D585" s="112" t="s">
        <v>184</v>
      </c>
      <c r="E585" s="112">
        <v>2859.8</v>
      </c>
      <c r="F585" s="111" t="str">
        <f>DataPull!D585</f>
        <v/>
      </c>
      <c r="G585" s="94" t="str">
        <f t="shared" si="2"/>
        <v/>
      </c>
      <c r="H585" s="94" t="str">
        <f t="shared" si="3"/>
        <v/>
      </c>
      <c r="I585" s="94" t="str">
        <f t="shared" ref="I585:J585" si="586">if(G585 = "", , -G585)</f>
        <v/>
      </c>
      <c r="J585" s="94" t="str">
        <f t="shared" si="586"/>
        <v/>
      </c>
      <c r="K585" s="100"/>
      <c r="L585" s="100"/>
      <c r="N585" s="100"/>
      <c r="O585" s="100"/>
      <c r="P585" s="100"/>
    </row>
    <row r="586">
      <c r="A586" s="107">
        <v>200768.0</v>
      </c>
      <c r="B586" s="108" t="s">
        <v>90</v>
      </c>
      <c r="C586" s="108" t="s">
        <v>342</v>
      </c>
      <c r="D586" s="112" t="s">
        <v>184</v>
      </c>
      <c r="E586" s="112">
        <v>2415.0</v>
      </c>
      <c r="F586" s="111" t="str">
        <f>DataPull!D586</f>
        <v/>
      </c>
      <c r="G586" s="94" t="str">
        <f t="shared" si="2"/>
        <v/>
      </c>
      <c r="H586" s="94" t="str">
        <f t="shared" si="3"/>
        <v/>
      </c>
      <c r="I586" s="94" t="str">
        <f t="shared" ref="I586:J586" si="587">if(G586 = "", , -G586)</f>
        <v/>
      </c>
      <c r="J586" s="94" t="str">
        <f t="shared" si="587"/>
        <v/>
      </c>
      <c r="K586" s="100"/>
      <c r="M586" s="100"/>
      <c r="N586" s="100"/>
      <c r="O586" s="100"/>
      <c r="P586" s="100"/>
    </row>
    <row r="587">
      <c r="A587" s="107">
        <v>200768.0</v>
      </c>
      <c r="B587" s="108" t="s">
        <v>92</v>
      </c>
      <c r="C587" s="108" t="s">
        <v>342</v>
      </c>
      <c r="D587" s="112" t="s">
        <v>184</v>
      </c>
      <c r="E587" s="112">
        <v>2849.0</v>
      </c>
      <c r="F587" s="111" t="str">
        <f>DataPull!D587</f>
        <v/>
      </c>
      <c r="G587" s="94" t="str">
        <f t="shared" si="2"/>
        <v/>
      </c>
      <c r="H587" s="94" t="str">
        <f t="shared" si="3"/>
        <v/>
      </c>
      <c r="I587" s="94" t="str">
        <f t="shared" ref="I587:J587" si="588">if(G587 = "", , -G587)</f>
        <v/>
      </c>
      <c r="J587" s="94" t="str">
        <f t="shared" si="588"/>
        <v/>
      </c>
      <c r="K587" s="100"/>
      <c r="M587" s="100"/>
      <c r="N587" s="100"/>
      <c r="O587" s="100"/>
      <c r="P587" s="100"/>
    </row>
    <row r="588">
      <c r="A588" s="107">
        <v>200768.0</v>
      </c>
      <c r="B588" s="108" t="s">
        <v>190</v>
      </c>
      <c r="C588" s="108" t="s">
        <v>342</v>
      </c>
      <c r="D588" s="112" t="s">
        <v>184</v>
      </c>
      <c r="E588" s="112">
        <v>2244.0</v>
      </c>
      <c r="F588" s="111" t="str">
        <f>DataPull!D588</f>
        <v/>
      </c>
      <c r="G588" s="94" t="str">
        <f t="shared" si="2"/>
        <v/>
      </c>
      <c r="H588" s="94" t="str">
        <f t="shared" si="3"/>
        <v/>
      </c>
      <c r="I588" s="94" t="str">
        <f t="shared" ref="I588:J588" si="589">if(G588 = "", , -G588)</f>
        <v/>
      </c>
      <c r="J588" s="94" t="str">
        <f t="shared" si="589"/>
        <v/>
      </c>
      <c r="K588" s="100"/>
      <c r="M588" s="100"/>
      <c r="N588" s="100"/>
      <c r="O588" s="100"/>
      <c r="P588" s="100"/>
    </row>
    <row r="589">
      <c r="A589" s="107">
        <v>200768.0</v>
      </c>
      <c r="B589" s="108" t="s">
        <v>191</v>
      </c>
      <c r="C589" s="108" t="s">
        <v>342</v>
      </c>
      <c r="D589" s="112" t="s">
        <v>184</v>
      </c>
      <c r="E589" s="112">
        <v>2511.6</v>
      </c>
      <c r="F589" s="111" t="str">
        <f>DataPull!D589</f>
        <v/>
      </c>
      <c r="G589" s="94" t="str">
        <f t="shared" si="2"/>
        <v/>
      </c>
      <c r="H589" s="94" t="str">
        <f t="shared" si="3"/>
        <v/>
      </c>
      <c r="I589" s="94" t="str">
        <f t="shared" ref="I589:J589" si="590">if(G589 = "", , -G589)</f>
        <v/>
      </c>
      <c r="J589" s="94" t="str">
        <f t="shared" si="590"/>
        <v/>
      </c>
      <c r="K589" s="100"/>
      <c r="L589" s="100"/>
      <c r="N589" s="100"/>
      <c r="O589" s="100"/>
      <c r="P589" s="100"/>
    </row>
    <row r="590">
      <c r="A590" s="107">
        <v>200768.0</v>
      </c>
      <c r="B590" s="108" t="s">
        <v>192</v>
      </c>
      <c r="C590" s="108" t="s">
        <v>342</v>
      </c>
      <c r="D590" s="112" t="s">
        <v>184</v>
      </c>
      <c r="E590" s="112">
        <v>2216.5</v>
      </c>
      <c r="F590" s="111" t="str">
        <f>DataPull!D590</f>
        <v/>
      </c>
      <c r="G590" s="94" t="str">
        <f t="shared" si="2"/>
        <v/>
      </c>
      <c r="H590" s="94" t="str">
        <f t="shared" si="3"/>
        <v/>
      </c>
      <c r="I590" s="94" t="str">
        <f t="shared" ref="I590:J590" si="591">if(G590 = "", , -G590)</f>
        <v/>
      </c>
      <c r="J590" s="94" t="str">
        <f t="shared" si="591"/>
        <v/>
      </c>
      <c r="K590" s="100"/>
      <c r="L590" s="100"/>
      <c r="N590" s="100"/>
      <c r="O590" s="100"/>
      <c r="P590" s="100"/>
    </row>
    <row r="591">
      <c r="A591" s="107">
        <v>200768.0</v>
      </c>
      <c r="B591" s="108" t="s">
        <v>193</v>
      </c>
      <c r="C591" s="108" t="s">
        <v>342</v>
      </c>
      <c r="D591" s="112" t="s">
        <v>184</v>
      </c>
      <c r="E591" s="112">
        <v>2099.6</v>
      </c>
      <c r="F591" s="111" t="str">
        <f>DataPull!D591</f>
        <v/>
      </c>
      <c r="G591" s="94" t="str">
        <f t="shared" si="2"/>
        <v/>
      </c>
      <c r="H591" s="94" t="str">
        <f t="shared" si="3"/>
        <v/>
      </c>
      <c r="I591" s="94" t="str">
        <f t="shared" ref="I591:J591" si="592">if(G591 = "", , -G591)</f>
        <v/>
      </c>
      <c r="J591" s="94" t="str">
        <f t="shared" si="592"/>
        <v/>
      </c>
      <c r="K591" s="100"/>
      <c r="M591" s="100"/>
      <c r="N591" s="100"/>
      <c r="O591" s="100"/>
      <c r="P591" s="100"/>
    </row>
    <row r="592">
      <c r="A592" s="107">
        <v>200768.0</v>
      </c>
      <c r="B592" s="108" t="s">
        <v>243</v>
      </c>
      <c r="C592" s="108" t="s">
        <v>342</v>
      </c>
      <c r="D592" s="112" t="s">
        <v>184</v>
      </c>
      <c r="E592" s="112">
        <v>1600.8</v>
      </c>
      <c r="F592" s="111" t="str">
        <f>DataPull!D592</f>
        <v/>
      </c>
      <c r="G592" s="94" t="str">
        <f t="shared" si="2"/>
        <v/>
      </c>
      <c r="H592" s="94" t="str">
        <f t="shared" si="3"/>
        <v/>
      </c>
      <c r="I592" s="94" t="str">
        <f t="shared" ref="I592:J592" si="593">if(G592 = "", , -G592)</f>
        <v/>
      </c>
      <c r="J592" s="94" t="str">
        <f t="shared" si="593"/>
        <v/>
      </c>
      <c r="K592" s="100"/>
      <c r="L592" s="100"/>
      <c r="M592" s="100"/>
      <c r="N592" s="100"/>
      <c r="O592" s="100"/>
      <c r="P592" s="100"/>
    </row>
    <row r="593">
      <c r="A593" s="107">
        <v>200768.0</v>
      </c>
      <c r="B593" s="108" t="s">
        <v>215</v>
      </c>
      <c r="C593" s="108" t="s">
        <v>342</v>
      </c>
      <c r="D593" s="112" t="s">
        <v>184</v>
      </c>
      <c r="E593" s="112">
        <v>2135.7</v>
      </c>
      <c r="F593" s="111" t="str">
        <f>DataPull!D593</f>
        <v/>
      </c>
      <c r="G593" s="94" t="str">
        <f t="shared" si="2"/>
        <v/>
      </c>
      <c r="H593" s="94" t="str">
        <f t="shared" si="3"/>
        <v/>
      </c>
      <c r="I593" s="94" t="str">
        <f t="shared" ref="I593:J593" si="594">if(G593 = "", , -G593)</f>
        <v/>
      </c>
      <c r="J593" s="94" t="str">
        <f t="shared" si="594"/>
        <v/>
      </c>
      <c r="K593" s="100"/>
      <c r="L593" s="100"/>
      <c r="M593" s="100"/>
      <c r="N593" s="100"/>
      <c r="O593" s="100"/>
      <c r="P593" s="100"/>
    </row>
    <row r="594">
      <c r="A594" s="107">
        <v>200768.0</v>
      </c>
      <c r="B594" s="108" t="s">
        <v>244</v>
      </c>
      <c r="C594" s="108" t="s">
        <v>342</v>
      </c>
      <c r="D594" s="112" t="s">
        <v>184</v>
      </c>
      <c r="E594" s="112">
        <v>1716.0</v>
      </c>
      <c r="F594" s="111" t="str">
        <f>DataPull!D594</f>
        <v/>
      </c>
      <c r="G594" s="94" t="str">
        <f t="shared" si="2"/>
        <v/>
      </c>
      <c r="H594" s="94" t="str">
        <f t="shared" si="3"/>
        <v/>
      </c>
      <c r="I594" s="94" t="str">
        <f t="shared" ref="I594:J594" si="595">if(G594 = "", , -G594)</f>
        <v/>
      </c>
      <c r="J594" s="94" t="str">
        <f t="shared" si="595"/>
        <v/>
      </c>
      <c r="K594" s="100"/>
      <c r="L594" s="100"/>
      <c r="M594" s="100"/>
      <c r="N594" s="100"/>
      <c r="O594" s="100"/>
      <c r="P594" s="100"/>
    </row>
    <row r="595">
      <c r="A595" s="107">
        <v>200768.0</v>
      </c>
      <c r="B595" s="108" t="s">
        <v>245</v>
      </c>
      <c r="C595" s="108" t="s">
        <v>342</v>
      </c>
      <c r="D595" s="112" t="s">
        <v>176</v>
      </c>
      <c r="E595" s="112">
        <v>1692.0</v>
      </c>
      <c r="F595" s="111" t="str">
        <f>DataPull!D595</f>
        <v/>
      </c>
      <c r="G595" s="94" t="str">
        <f t="shared" si="2"/>
        <v/>
      </c>
      <c r="H595" s="94" t="str">
        <f t="shared" si="3"/>
        <v/>
      </c>
      <c r="I595" s="94" t="str">
        <f t="shared" ref="I595:J595" si="596">if(G595 = "", , -G595)</f>
        <v/>
      </c>
      <c r="J595" s="94" t="str">
        <f t="shared" si="596"/>
        <v/>
      </c>
      <c r="K595" s="100"/>
      <c r="L595" s="100"/>
      <c r="N595" s="100"/>
      <c r="O595" s="100"/>
      <c r="P595" s="100"/>
    </row>
    <row r="596">
      <c r="A596" s="107">
        <v>200768.0</v>
      </c>
      <c r="B596" s="108" t="s">
        <v>246</v>
      </c>
      <c r="C596" s="108" t="s">
        <v>342</v>
      </c>
      <c r="D596" s="112" t="s">
        <v>177</v>
      </c>
      <c r="E596" s="112">
        <v>658.0</v>
      </c>
      <c r="F596" s="111" t="str">
        <f>DataPull!D596</f>
        <v/>
      </c>
      <c r="G596" s="94" t="str">
        <f t="shared" si="2"/>
        <v/>
      </c>
      <c r="H596" s="94" t="str">
        <f t="shared" si="3"/>
        <v/>
      </c>
      <c r="I596" s="94" t="str">
        <f t="shared" ref="I596:J596" si="597">if(G596 = "", , -G596)</f>
        <v/>
      </c>
      <c r="J596" s="94" t="str">
        <f t="shared" si="597"/>
        <v/>
      </c>
      <c r="K596" s="100"/>
      <c r="L596" s="100"/>
      <c r="N596" s="100"/>
      <c r="O596" s="100"/>
      <c r="P596" s="100"/>
    </row>
    <row r="597">
      <c r="A597" s="114">
        <v>200768.0</v>
      </c>
      <c r="B597" s="113" t="s">
        <v>247</v>
      </c>
      <c r="C597" s="113" t="s">
        <v>342</v>
      </c>
      <c r="D597" s="112" t="s">
        <v>187</v>
      </c>
      <c r="E597" s="112">
        <v>117.6</v>
      </c>
      <c r="F597" s="111" t="str">
        <f>DataPull!D597</f>
        <v/>
      </c>
      <c r="G597" s="94" t="str">
        <f t="shared" si="2"/>
        <v/>
      </c>
      <c r="H597" s="94" t="str">
        <f t="shared" si="3"/>
        <v/>
      </c>
      <c r="I597" s="94" t="str">
        <f t="shared" ref="I597:J597" si="598">if(G597 = "", , -G597)</f>
        <v/>
      </c>
      <c r="J597" s="94" t="str">
        <f t="shared" si="598"/>
        <v/>
      </c>
      <c r="N597" s="100"/>
      <c r="O597" s="100"/>
    </row>
    <row r="598">
      <c r="A598" s="107">
        <v>200769.0</v>
      </c>
      <c r="B598" s="108" t="s">
        <v>85</v>
      </c>
      <c r="C598" s="108" t="s">
        <v>343</v>
      </c>
      <c r="D598" s="112" t="s">
        <v>187</v>
      </c>
      <c r="E598" s="112">
        <v>252.3</v>
      </c>
      <c r="F598" s="111" t="str">
        <f>DataPull!D598</f>
        <v/>
      </c>
      <c r="G598" s="94" t="str">
        <f t="shared" si="2"/>
        <v/>
      </c>
      <c r="H598" s="94" t="str">
        <f t="shared" si="3"/>
        <v/>
      </c>
      <c r="I598" s="94" t="str">
        <f t="shared" ref="I598:J598" si="599">if(G598 = "", , -G598)</f>
        <v/>
      </c>
      <c r="J598" s="94" t="str">
        <f t="shared" si="599"/>
        <v/>
      </c>
      <c r="K598" s="100"/>
      <c r="L598" s="100"/>
      <c r="N598" s="100"/>
      <c r="O598" s="100"/>
    </row>
    <row r="599">
      <c r="A599" s="107">
        <v>200769.0</v>
      </c>
      <c r="B599" s="108" t="s">
        <v>90</v>
      </c>
      <c r="C599" s="108" t="s">
        <v>343</v>
      </c>
      <c r="D599" s="112" t="s">
        <v>181</v>
      </c>
      <c r="E599" s="112">
        <v>89.0</v>
      </c>
      <c r="F599" s="111" t="str">
        <f>DataPull!D599</f>
        <v/>
      </c>
      <c r="G599" s="94" t="str">
        <f t="shared" si="2"/>
        <v/>
      </c>
      <c r="H599" s="94" t="str">
        <f t="shared" si="3"/>
        <v/>
      </c>
      <c r="I599" s="94" t="str">
        <f t="shared" ref="I599:J599" si="600">if(G599 = "", , -G599)</f>
        <v/>
      </c>
      <c r="J599" s="94" t="str">
        <f t="shared" si="600"/>
        <v/>
      </c>
      <c r="K599" s="100"/>
      <c r="M599" s="100"/>
      <c r="O599" s="100"/>
      <c r="P599" s="100"/>
    </row>
    <row r="600">
      <c r="A600" s="107">
        <v>200770.0</v>
      </c>
      <c r="B600" s="108" t="s">
        <v>85</v>
      </c>
      <c r="C600" s="108" t="s">
        <v>344</v>
      </c>
      <c r="D600" s="112" t="s">
        <v>177</v>
      </c>
      <c r="E600" s="112">
        <v>914.3</v>
      </c>
      <c r="F600" s="111" t="str">
        <f>DataPull!D600</f>
        <v/>
      </c>
      <c r="G600" s="94" t="str">
        <f t="shared" si="2"/>
        <v/>
      </c>
      <c r="H600" s="94" t="str">
        <f t="shared" si="3"/>
        <v/>
      </c>
      <c r="I600" s="94" t="str">
        <f t="shared" ref="I600:J600" si="601">if(G600 = "", , -G600)</f>
        <v/>
      </c>
      <c r="J600" s="94" t="str">
        <f t="shared" si="601"/>
        <v/>
      </c>
      <c r="N600" s="100"/>
      <c r="O600" s="100"/>
    </row>
    <row r="601">
      <c r="A601" s="107">
        <v>200770.0</v>
      </c>
      <c r="B601" s="108" t="s">
        <v>90</v>
      </c>
      <c r="C601" s="108" t="s">
        <v>344</v>
      </c>
      <c r="D601" s="112" t="s">
        <v>177</v>
      </c>
      <c r="E601" s="112">
        <v>529.2</v>
      </c>
      <c r="F601" s="111" t="str">
        <f>DataPull!D601</f>
        <v/>
      </c>
      <c r="G601" s="94" t="str">
        <f t="shared" si="2"/>
        <v/>
      </c>
      <c r="H601" s="94" t="str">
        <f t="shared" si="3"/>
        <v/>
      </c>
      <c r="I601" s="94" t="str">
        <f t="shared" ref="I601:J601" si="602">if(G601 = "", , -G601)</f>
        <v/>
      </c>
      <c r="J601" s="94" t="str">
        <f t="shared" si="602"/>
        <v/>
      </c>
      <c r="K601" s="100"/>
      <c r="M601" s="100"/>
      <c r="N601" s="100"/>
      <c r="O601" s="100"/>
      <c r="P601" s="100"/>
    </row>
    <row r="602">
      <c r="A602" s="107">
        <v>200770.0</v>
      </c>
      <c r="B602" s="108" t="s">
        <v>92</v>
      </c>
      <c r="C602" s="108" t="s">
        <v>344</v>
      </c>
      <c r="D602" s="112" t="s">
        <v>187</v>
      </c>
      <c r="E602" s="112">
        <v>291.6</v>
      </c>
      <c r="F602" s="111" t="str">
        <f>DataPull!D602</f>
        <v/>
      </c>
      <c r="G602" s="94" t="str">
        <f t="shared" si="2"/>
        <v/>
      </c>
      <c r="H602" s="94" t="str">
        <f t="shared" si="3"/>
        <v/>
      </c>
      <c r="I602" s="94" t="str">
        <f t="shared" ref="I602:J602" si="603">if(G602 = "", , -G602)</f>
        <v/>
      </c>
      <c r="J602" s="94" t="str">
        <f t="shared" si="603"/>
        <v/>
      </c>
      <c r="K602" s="100"/>
      <c r="M602" s="100"/>
      <c r="N602" s="100"/>
      <c r="O602" s="100"/>
      <c r="P602" s="100"/>
    </row>
    <row r="603">
      <c r="A603" s="107">
        <v>200770.0</v>
      </c>
      <c r="B603" s="108" t="s">
        <v>190</v>
      </c>
      <c r="C603" s="108" t="s">
        <v>344</v>
      </c>
      <c r="D603" s="112" t="s">
        <v>181</v>
      </c>
      <c r="E603" s="112">
        <v>35.4</v>
      </c>
      <c r="F603" s="111" t="str">
        <f>DataPull!D603</f>
        <v/>
      </c>
      <c r="G603" s="94" t="str">
        <f t="shared" si="2"/>
        <v/>
      </c>
      <c r="H603" s="94" t="str">
        <f t="shared" si="3"/>
        <v/>
      </c>
      <c r="I603" s="94" t="str">
        <f t="shared" ref="I603:J603" si="604">if(G603 = "", , -G603)</f>
        <v/>
      </c>
      <c r="J603" s="94" t="str">
        <f t="shared" si="604"/>
        <v/>
      </c>
      <c r="K603" s="100"/>
      <c r="M603" s="100"/>
      <c r="N603" s="100"/>
      <c r="O603" s="100"/>
      <c r="P603" s="100"/>
    </row>
    <row r="604">
      <c r="A604" s="107">
        <v>200771.0</v>
      </c>
      <c r="B604" s="108" t="s">
        <v>190</v>
      </c>
      <c r="C604" s="108" t="s">
        <v>345</v>
      </c>
      <c r="D604" s="112" t="s">
        <v>176</v>
      </c>
      <c r="E604" s="112">
        <v>1516.4</v>
      </c>
      <c r="F604" s="111" t="str">
        <f>DataPull!D604</f>
        <v/>
      </c>
      <c r="G604" s="94" t="str">
        <f t="shared" si="2"/>
        <v/>
      </c>
      <c r="H604" s="94" t="str">
        <f t="shared" si="3"/>
        <v/>
      </c>
      <c r="I604" s="94" t="str">
        <f t="shared" ref="I604:J604" si="605">if(G604 = "", , -G604)</f>
        <v/>
      </c>
      <c r="J604" s="94" t="str">
        <f t="shared" si="605"/>
        <v/>
      </c>
      <c r="K604" s="100"/>
      <c r="M604" s="100"/>
      <c r="N604" s="100"/>
      <c r="O604" s="100"/>
      <c r="P604" s="100"/>
    </row>
    <row r="605">
      <c r="A605" s="107">
        <v>200777.0</v>
      </c>
      <c r="B605" s="108" t="s">
        <v>85</v>
      </c>
      <c r="C605" s="108" t="s">
        <v>346</v>
      </c>
      <c r="D605" s="112" t="s">
        <v>187</v>
      </c>
      <c r="E605" s="112">
        <v>728.0</v>
      </c>
      <c r="F605" s="111" t="str">
        <f>DataPull!D605</f>
        <v/>
      </c>
      <c r="G605" s="94" t="str">
        <f t="shared" si="2"/>
        <v/>
      </c>
      <c r="H605" s="94" t="str">
        <f t="shared" si="3"/>
        <v/>
      </c>
      <c r="I605" s="94" t="str">
        <f t="shared" ref="I605:J605" si="606">if(G605 = "", , -G605)</f>
        <v/>
      </c>
      <c r="J605" s="94" t="str">
        <f t="shared" si="606"/>
        <v/>
      </c>
      <c r="K605" s="100"/>
      <c r="M605" s="100"/>
      <c r="N605" s="100"/>
      <c r="O605" s="100"/>
      <c r="P605" s="100"/>
    </row>
    <row r="606">
      <c r="A606" s="107">
        <v>200777.0</v>
      </c>
      <c r="B606" s="108" t="s">
        <v>90</v>
      </c>
      <c r="C606" s="108" t="s">
        <v>346</v>
      </c>
      <c r="D606" s="112" t="s">
        <v>177</v>
      </c>
      <c r="E606" s="112">
        <v>614.4</v>
      </c>
      <c r="F606" s="111" t="str">
        <f>DataPull!D606</f>
        <v/>
      </c>
      <c r="G606" s="94" t="str">
        <f t="shared" si="2"/>
        <v/>
      </c>
      <c r="H606" s="94" t="str">
        <f t="shared" si="3"/>
        <v/>
      </c>
      <c r="I606" s="94" t="str">
        <f t="shared" ref="I606:J606" si="607">if(G606 = "", , -G606)</f>
        <v/>
      </c>
      <c r="J606" s="94" t="str">
        <f t="shared" si="607"/>
        <v/>
      </c>
      <c r="K606" s="100"/>
      <c r="M606" s="100"/>
      <c r="N606" s="100"/>
      <c r="O606" s="100"/>
      <c r="P606" s="100"/>
    </row>
    <row r="607">
      <c r="A607" s="107">
        <v>200779.0</v>
      </c>
      <c r="B607" s="108" t="s">
        <v>85</v>
      </c>
      <c r="C607" s="108" t="s">
        <v>347</v>
      </c>
      <c r="D607" s="112" t="s">
        <v>177</v>
      </c>
      <c r="E607" s="112">
        <v>540.0</v>
      </c>
      <c r="F607" s="111" t="str">
        <f>DataPull!D607</f>
        <v/>
      </c>
      <c r="G607" s="94" t="str">
        <f t="shared" si="2"/>
        <v/>
      </c>
      <c r="H607" s="94" t="str">
        <f t="shared" si="3"/>
        <v/>
      </c>
      <c r="I607" s="94" t="str">
        <f t="shared" ref="I607:J607" si="608">if(G607 = "", , -G607)</f>
        <v/>
      </c>
      <c r="J607" s="94" t="str">
        <f t="shared" si="608"/>
        <v/>
      </c>
      <c r="K607" s="100"/>
      <c r="M607" s="100"/>
      <c r="N607" s="100"/>
      <c r="O607" s="100"/>
      <c r="P607" s="100"/>
    </row>
    <row r="608">
      <c r="A608" s="107">
        <v>200779.0</v>
      </c>
      <c r="B608" s="108" t="s">
        <v>90</v>
      </c>
      <c r="C608" s="108" t="s">
        <v>347</v>
      </c>
      <c r="D608" s="112" t="s">
        <v>187</v>
      </c>
      <c r="E608" s="112">
        <v>196.0</v>
      </c>
      <c r="F608" s="111" t="str">
        <f>DataPull!D608</f>
        <v/>
      </c>
      <c r="G608" s="94" t="str">
        <f t="shared" si="2"/>
        <v/>
      </c>
      <c r="H608" s="94" t="str">
        <f t="shared" si="3"/>
        <v/>
      </c>
      <c r="I608" s="94" t="str">
        <f t="shared" ref="I608:J608" si="609">if(G608 = "", , -G608)</f>
        <v/>
      </c>
      <c r="J608" s="94" t="str">
        <f t="shared" si="609"/>
        <v/>
      </c>
      <c r="K608" s="100"/>
      <c r="M608" s="100"/>
      <c r="N608" s="100"/>
      <c r="O608" s="100"/>
      <c r="P608" s="100"/>
    </row>
    <row r="609">
      <c r="A609" s="107">
        <v>200779.0</v>
      </c>
      <c r="B609" s="108" t="s">
        <v>92</v>
      </c>
      <c r="C609" s="108" t="s">
        <v>347</v>
      </c>
      <c r="D609" s="112" t="s">
        <v>181</v>
      </c>
      <c r="E609" s="112">
        <v>44.0</v>
      </c>
      <c r="F609" s="111" t="str">
        <f>DataPull!D609</f>
        <v/>
      </c>
      <c r="G609" s="94" t="str">
        <f t="shared" si="2"/>
        <v/>
      </c>
      <c r="H609" s="94" t="str">
        <f t="shared" si="3"/>
        <v/>
      </c>
      <c r="I609" s="94" t="str">
        <f t="shared" ref="I609:J609" si="610">if(G609 = "", , -G609)</f>
        <v/>
      </c>
      <c r="J609" s="94" t="str">
        <f t="shared" si="610"/>
        <v/>
      </c>
      <c r="K609" s="100"/>
      <c r="L609" s="100"/>
      <c r="N609" s="100"/>
      <c r="O609" s="100"/>
      <c r="P609" s="100"/>
    </row>
    <row r="610">
      <c r="A610" s="107">
        <v>200779.0</v>
      </c>
      <c r="B610" s="108" t="s">
        <v>190</v>
      </c>
      <c r="C610" s="108" t="s">
        <v>347</v>
      </c>
      <c r="D610" s="112" t="s">
        <v>181</v>
      </c>
      <c r="E610" s="112">
        <v>21.6</v>
      </c>
      <c r="F610" s="111" t="str">
        <f>DataPull!D610</f>
        <v/>
      </c>
      <c r="G610" s="94" t="str">
        <f t="shared" si="2"/>
        <v/>
      </c>
      <c r="H610" s="94" t="str">
        <f t="shared" si="3"/>
        <v/>
      </c>
      <c r="I610" s="94" t="str">
        <f t="shared" ref="I610:J610" si="611">if(G610 = "", , -G610)</f>
        <v/>
      </c>
      <c r="J610" s="94" t="str">
        <f t="shared" si="611"/>
        <v/>
      </c>
      <c r="K610" s="100"/>
      <c r="M610" s="100"/>
      <c r="N610" s="100"/>
      <c r="O610" s="100"/>
      <c r="P610" s="100"/>
    </row>
    <row r="611">
      <c r="A611" s="107">
        <v>200780.0</v>
      </c>
      <c r="B611" s="108" t="s">
        <v>85</v>
      </c>
      <c r="C611" s="108" t="s">
        <v>348</v>
      </c>
      <c r="D611" s="112" t="s">
        <v>187</v>
      </c>
      <c r="E611" s="112">
        <v>84.7</v>
      </c>
      <c r="F611" s="111" t="str">
        <f>DataPull!D611</f>
        <v/>
      </c>
      <c r="G611" s="94" t="str">
        <f t="shared" si="2"/>
        <v/>
      </c>
      <c r="H611" s="94" t="str">
        <f t="shared" si="3"/>
        <v/>
      </c>
      <c r="I611" s="94" t="str">
        <f t="shared" ref="I611:J611" si="612">if(G611 = "", , -G611)</f>
        <v/>
      </c>
      <c r="J611" s="94" t="str">
        <f t="shared" si="612"/>
        <v/>
      </c>
      <c r="K611" s="100"/>
      <c r="M611" s="100"/>
      <c r="N611" s="100"/>
      <c r="O611" s="100"/>
      <c r="P611" s="100"/>
    </row>
    <row r="612">
      <c r="A612" s="107">
        <v>200782.0</v>
      </c>
      <c r="B612" s="108" t="s">
        <v>85</v>
      </c>
      <c r="C612" s="108" t="s">
        <v>349</v>
      </c>
      <c r="D612" s="112" t="s">
        <v>178</v>
      </c>
      <c r="E612" s="112">
        <v>2486.7</v>
      </c>
      <c r="F612" s="111" t="str">
        <f>DataPull!D612</f>
        <v/>
      </c>
      <c r="G612" s="94" t="str">
        <f t="shared" si="2"/>
        <v/>
      </c>
      <c r="H612" s="94" t="str">
        <f t="shared" si="3"/>
        <v/>
      </c>
      <c r="I612" s="94" t="str">
        <f t="shared" ref="I612:J612" si="613">if(G612 = "", , -G612)</f>
        <v/>
      </c>
      <c r="J612" s="94" t="str">
        <f t="shared" si="613"/>
        <v/>
      </c>
      <c r="K612" s="100"/>
      <c r="M612" s="100"/>
      <c r="N612" s="100"/>
      <c r="O612" s="100"/>
      <c r="P612" s="100"/>
    </row>
    <row r="613">
      <c r="A613" s="107">
        <v>200782.0</v>
      </c>
      <c r="B613" s="108" t="s">
        <v>90</v>
      </c>
      <c r="C613" s="108" t="s">
        <v>349</v>
      </c>
      <c r="D613" s="112" t="s">
        <v>178</v>
      </c>
      <c r="E613" s="112">
        <v>2386.8</v>
      </c>
      <c r="F613" s="111" t="str">
        <f>DataPull!D613</f>
        <v/>
      </c>
      <c r="G613" s="94" t="str">
        <f t="shared" si="2"/>
        <v/>
      </c>
      <c r="H613" s="94" t="str">
        <f t="shared" si="3"/>
        <v/>
      </c>
      <c r="I613" s="94" t="str">
        <f t="shared" ref="I613:J613" si="614">if(G613 = "", , -G613)</f>
        <v/>
      </c>
      <c r="J613" s="94" t="str">
        <f t="shared" si="614"/>
        <v/>
      </c>
      <c r="K613" s="100"/>
      <c r="M613" s="100"/>
      <c r="N613" s="100"/>
      <c r="O613" s="100"/>
      <c r="P613" s="100"/>
    </row>
    <row r="614">
      <c r="A614" s="107">
        <v>200782.0</v>
      </c>
      <c r="B614" s="108" t="s">
        <v>92</v>
      </c>
      <c r="C614" s="108" t="s">
        <v>349</v>
      </c>
      <c r="D614" s="112" t="s">
        <v>178</v>
      </c>
      <c r="E614" s="112">
        <v>2542.0</v>
      </c>
      <c r="F614" s="111" t="str">
        <f>DataPull!D614</f>
        <v/>
      </c>
      <c r="G614" s="94" t="str">
        <f t="shared" si="2"/>
        <v/>
      </c>
      <c r="H614" s="94" t="str">
        <f t="shared" si="3"/>
        <v/>
      </c>
      <c r="I614" s="94" t="str">
        <f t="shared" ref="I614:J614" si="615">if(G614 = "", , -G614)</f>
        <v/>
      </c>
      <c r="J614" s="94" t="str">
        <f t="shared" si="615"/>
        <v/>
      </c>
      <c r="K614" s="100"/>
      <c r="L614" s="100"/>
      <c r="M614" s="100"/>
      <c r="N614" s="100"/>
      <c r="O614" s="100"/>
      <c r="P614" s="100"/>
    </row>
    <row r="615">
      <c r="A615" s="107">
        <v>200782.0</v>
      </c>
      <c r="B615" s="108" t="s">
        <v>190</v>
      </c>
      <c r="C615" s="108" t="s">
        <v>349</v>
      </c>
      <c r="D615" s="112" t="s">
        <v>178</v>
      </c>
      <c r="E615" s="112">
        <v>2235.6</v>
      </c>
      <c r="F615" s="111" t="str">
        <f>DataPull!D615</f>
        <v/>
      </c>
      <c r="G615" s="94" t="str">
        <f t="shared" si="2"/>
        <v/>
      </c>
      <c r="H615" s="94" t="str">
        <f t="shared" si="3"/>
        <v/>
      </c>
      <c r="I615" s="94" t="str">
        <f t="shared" ref="I615:J615" si="616">if(G615 = "", , -G615)</f>
        <v/>
      </c>
      <c r="J615" s="94" t="str">
        <f t="shared" si="616"/>
        <v/>
      </c>
      <c r="N615" s="100"/>
      <c r="O615" s="100"/>
      <c r="P615" s="100"/>
    </row>
    <row r="616">
      <c r="A616" s="107">
        <v>200782.0</v>
      </c>
      <c r="B616" s="108" t="s">
        <v>191</v>
      </c>
      <c r="C616" s="108" t="s">
        <v>349</v>
      </c>
      <c r="D616" s="112" t="s">
        <v>178</v>
      </c>
      <c r="E616" s="112">
        <v>2279.6</v>
      </c>
      <c r="F616" s="111" t="str">
        <f>DataPull!D616</f>
        <v/>
      </c>
      <c r="G616" s="94" t="str">
        <f t="shared" si="2"/>
        <v/>
      </c>
      <c r="H616" s="94" t="str">
        <f t="shared" si="3"/>
        <v/>
      </c>
      <c r="I616" s="94" t="str">
        <f t="shared" ref="I616:J616" si="617">if(G616 = "", , -G616)</f>
        <v/>
      </c>
      <c r="J616" s="94" t="str">
        <f t="shared" si="617"/>
        <v/>
      </c>
      <c r="K616" s="100"/>
      <c r="M616" s="100"/>
      <c r="N616" s="100"/>
      <c r="O616" s="100"/>
      <c r="P616" s="100"/>
    </row>
    <row r="617">
      <c r="A617" s="107">
        <v>200782.0</v>
      </c>
      <c r="B617" s="108" t="s">
        <v>192</v>
      </c>
      <c r="C617" s="108" t="s">
        <v>349</v>
      </c>
      <c r="D617" s="112" t="s">
        <v>178</v>
      </c>
      <c r="E617" s="112">
        <v>2804.4</v>
      </c>
      <c r="F617" s="111" t="str">
        <f>DataPull!D617</f>
        <v/>
      </c>
      <c r="G617" s="94" t="str">
        <f t="shared" si="2"/>
        <v/>
      </c>
      <c r="H617" s="94" t="str">
        <f t="shared" si="3"/>
        <v/>
      </c>
      <c r="I617" s="94" t="str">
        <f t="shared" ref="I617:J617" si="618">if(G617 = "", , -G617)</f>
        <v/>
      </c>
      <c r="J617" s="94" t="str">
        <f t="shared" si="618"/>
        <v/>
      </c>
      <c r="K617" s="100"/>
      <c r="M617" s="100"/>
      <c r="N617" s="100"/>
      <c r="O617" s="100"/>
      <c r="P617" s="100"/>
    </row>
    <row r="618">
      <c r="A618" s="107">
        <v>200782.0</v>
      </c>
      <c r="B618" s="108" t="s">
        <v>193</v>
      </c>
      <c r="C618" s="108" t="s">
        <v>349</v>
      </c>
      <c r="D618" s="112" t="s">
        <v>178</v>
      </c>
      <c r="E618" s="112">
        <v>2469.6</v>
      </c>
      <c r="F618" s="111" t="str">
        <f>DataPull!D618</f>
        <v/>
      </c>
      <c r="G618" s="94" t="str">
        <f t="shared" si="2"/>
        <v/>
      </c>
      <c r="H618" s="94" t="str">
        <f t="shared" si="3"/>
        <v/>
      </c>
      <c r="I618" s="94" t="str">
        <f t="shared" ref="I618:J618" si="619">if(G618 = "", , -G618)</f>
        <v/>
      </c>
      <c r="J618" s="94" t="str">
        <f t="shared" si="619"/>
        <v/>
      </c>
      <c r="K618" s="100"/>
      <c r="M618" s="100"/>
      <c r="N618" s="100"/>
      <c r="O618" s="100"/>
      <c r="P618" s="100"/>
    </row>
    <row r="619">
      <c r="A619" s="107">
        <v>200782.0</v>
      </c>
      <c r="B619" s="108" t="s">
        <v>243</v>
      </c>
      <c r="C619" s="108" t="s">
        <v>349</v>
      </c>
      <c r="D619" s="112" t="s">
        <v>176</v>
      </c>
      <c r="E619" s="112">
        <v>1357.2</v>
      </c>
      <c r="F619" s="111" t="str">
        <f>DataPull!D619</f>
        <v/>
      </c>
      <c r="G619" s="94" t="str">
        <f t="shared" si="2"/>
        <v/>
      </c>
      <c r="H619" s="94" t="str">
        <f t="shared" si="3"/>
        <v/>
      </c>
      <c r="I619" s="94" t="str">
        <f t="shared" ref="I619:J619" si="620">if(G619 = "", , -G619)</f>
        <v/>
      </c>
      <c r="J619" s="94" t="str">
        <f t="shared" si="620"/>
        <v/>
      </c>
      <c r="K619" s="100"/>
      <c r="L619" s="100"/>
      <c r="N619" s="100"/>
      <c r="O619" s="100"/>
      <c r="P619" s="100"/>
    </row>
    <row r="620">
      <c r="A620" s="107">
        <v>200782.0</v>
      </c>
      <c r="B620" s="108" t="s">
        <v>215</v>
      </c>
      <c r="C620" s="108" t="s">
        <v>349</v>
      </c>
      <c r="D620" s="112" t="s">
        <v>178</v>
      </c>
      <c r="E620" s="112">
        <v>1980.9</v>
      </c>
      <c r="F620" s="111" t="str">
        <f>DataPull!D620</f>
        <v/>
      </c>
      <c r="G620" s="94" t="str">
        <f t="shared" si="2"/>
        <v/>
      </c>
      <c r="H620" s="94" t="str">
        <f t="shared" si="3"/>
        <v/>
      </c>
      <c r="I620" s="94" t="str">
        <f t="shared" ref="I620:J620" si="621">if(G620 = "", , -G620)</f>
        <v/>
      </c>
      <c r="J620" s="94" t="str">
        <f t="shared" si="621"/>
        <v/>
      </c>
      <c r="K620" s="100"/>
      <c r="M620" s="100"/>
      <c r="N620" s="100"/>
      <c r="O620" s="100"/>
      <c r="P620" s="100"/>
    </row>
    <row r="621">
      <c r="A621" s="107">
        <v>200782.0</v>
      </c>
      <c r="B621" s="108" t="s">
        <v>244</v>
      </c>
      <c r="C621" s="108" t="s">
        <v>349</v>
      </c>
      <c r="D621" s="112" t="s">
        <v>176</v>
      </c>
      <c r="E621" s="112">
        <v>1920.0</v>
      </c>
      <c r="F621" s="111" t="str">
        <f>DataPull!D621</f>
        <v/>
      </c>
      <c r="G621" s="94" t="str">
        <f t="shared" si="2"/>
        <v/>
      </c>
      <c r="H621" s="94" t="str">
        <f t="shared" si="3"/>
        <v/>
      </c>
      <c r="I621" s="94" t="str">
        <f t="shared" ref="I621:J621" si="622">if(G621 = "", , -G621)</f>
        <v/>
      </c>
      <c r="J621" s="94" t="str">
        <f t="shared" si="622"/>
        <v/>
      </c>
      <c r="K621" s="100"/>
      <c r="L621" s="100"/>
      <c r="M621" s="100"/>
      <c r="N621" s="100"/>
      <c r="O621" s="100"/>
      <c r="P621" s="100"/>
    </row>
    <row r="622">
      <c r="A622" s="107">
        <v>200782.0</v>
      </c>
      <c r="B622" s="108" t="s">
        <v>245</v>
      </c>
      <c r="C622" s="108" t="s">
        <v>349</v>
      </c>
      <c r="D622" s="112" t="s">
        <v>177</v>
      </c>
      <c r="E622" s="112">
        <v>486.7</v>
      </c>
      <c r="F622" s="111" t="str">
        <f>DataPull!D622</f>
        <v/>
      </c>
      <c r="G622" s="94" t="str">
        <f t="shared" si="2"/>
        <v/>
      </c>
      <c r="H622" s="94" t="str">
        <f t="shared" si="3"/>
        <v/>
      </c>
      <c r="I622" s="94" t="str">
        <f t="shared" ref="I622:J622" si="623">if(G622 = "", , -G622)</f>
        <v/>
      </c>
      <c r="J622" s="94" t="str">
        <f t="shared" si="623"/>
        <v/>
      </c>
      <c r="K622" s="100"/>
      <c r="M622" s="100"/>
      <c r="N622" s="100"/>
      <c r="O622" s="100"/>
      <c r="P622" s="100"/>
    </row>
    <row r="623">
      <c r="A623" s="107">
        <v>200782.0</v>
      </c>
      <c r="B623" s="108" t="s">
        <v>246</v>
      </c>
      <c r="C623" s="108" t="s">
        <v>349</v>
      </c>
      <c r="D623" s="112" t="s">
        <v>181</v>
      </c>
      <c r="E623" s="112">
        <v>57.9</v>
      </c>
      <c r="F623" s="111" t="str">
        <f>DataPull!D623</f>
        <v/>
      </c>
      <c r="G623" s="94" t="str">
        <f t="shared" si="2"/>
        <v/>
      </c>
      <c r="H623" s="94" t="str">
        <f t="shared" si="3"/>
        <v/>
      </c>
      <c r="I623" s="94" t="str">
        <f t="shared" ref="I623:J623" si="624">if(G623 = "", , -G623)</f>
        <v/>
      </c>
      <c r="J623" s="94" t="str">
        <f t="shared" si="624"/>
        <v/>
      </c>
      <c r="K623" s="100"/>
      <c r="M623" s="100"/>
      <c r="N623" s="100"/>
      <c r="O623" s="100"/>
      <c r="P623" s="100"/>
    </row>
    <row r="624">
      <c r="A624" s="107">
        <v>200794.0</v>
      </c>
      <c r="B624" s="108" t="s">
        <v>85</v>
      </c>
      <c r="C624" s="108" t="s">
        <v>350</v>
      </c>
      <c r="D624" s="112" t="s">
        <v>184</v>
      </c>
      <c r="E624" s="112">
        <v>2479.0</v>
      </c>
      <c r="F624" s="111" t="str">
        <f>DataPull!D624</f>
        <v/>
      </c>
      <c r="G624" s="94" t="str">
        <f t="shared" si="2"/>
        <v/>
      </c>
      <c r="H624" s="94" t="str">
        <f t="shared" si="3"/>
        <v/>
      </c>
      <c r="I624" s="94" t="str">
        <f t="shared" ref="I624:J624" si="625">if(G624 = "", , -G624)</f>
        <v/>
      </c>
      <c r="J624" s="94" t="str">
        <f t="shared" si="625"/>
        <v/>
      </c>
      <c r="K624" s="100"/>
      <c r="M624" s="100"/>
      <c r="N624" s="100"/>
      <c r="O624" s="100"/>
      <c r="P624" s="100"/>
    </row>
    <row r="625">
      <c r="A625" s="107">
        <v>200794.0</v>
      </c>
      <c r="B625" s="108" t="s">
        <v>90</v>
      </c>
      <c r="C625" s="108" t="s">
        <v>350</v>
      </c>
      <c r="D625" s="112" t="s">
        <v>184</v>
      </c>
      <c r="E625" s="112">
        <v>2387.1</v>
      </c>
      <c r="F625" s="111" t="str">
        <f>DataPull!D625</f>
        <v/>
      </c>
      <c r="G625" s="94" t="str">
        <f t="shared" si="2"/>
        <v/>
      </c>
      <c r="H625" s="94" t="str">
        <f t="shared" si="3"/>
        <v/>
      </c>
      <c r="I625" s="94" t="str">
        <f t="shared" ref="I625:J625" si="626">if(G625 = "", , -G625)</f>
        <v/>
      </c>
      <c r="J625" s="94" t="str">
        <f t="shared" si="626"/>
        <v/>
      </c>
      <c r="K625" s="100"/>
      <c r="M625" s="100"/>
      <c r="N625" s="100"/>
      <c r="O625" s="100"/>
      <c r="P625" s="100"/>
    </row>
    <row r="626">
      <c r="A626" s="107">
        <v>200794.0</v>
      </c>
      <c r="B626" s="108" t="s">
        <v>92</v>
      </c>
      <c r="C626" s="108" t="s">
        <v>350</v>
      </c>
      <c r="D626" s="112" t="s">
        <v>184</v>
      </c>
      <c r="E626" s="112">
        <v>2648.7</v>
      </c>
      <c r="F626" s="111" t="str">
        <f>DataPull!D626</f>
        <v/>
      </c>
      <c r="G626" s="94" t="str">
        <f t="shared" si="2"/>
        <v/>
      </c>
      <c r="H626" s="94" t="str">
        <f t="shared" si="3"/>
        <v/>
      </c>
      <c r="I626" s="94" t="str">
        <f t="shared" ref="I626:J626" si="627">if(G626 = "", , -G626)</f>
        <v/>
      </c>
      <c r="J626" s="94" t="str">
        <f t="shared" si="627"/>
        <v/>
      </c>
      <c r="K626" s="100"/>
      <c r="M626" s="100"/>
      <c r="N626" s="100"/>
      <c r="O626" s="100"/>
      <c r="P626" s="100"/>
    </row>
    <row r="627">
      <c r="A627" s="107">
        <v>200794.0</v>
      </c>
      <c r="B627" s="108" t="s">
        <v>190</v>
      </c>
      <c r="C627" s="108" t="s">
        <v>350</v>
      </c>
      <c r="D627" s="112" t="s">
        <v>184</v>
      </c>
      <c r="E627" s="112">
        <v>2346.0</v>
      </c>
      <c r="F627" s="111" t="str">
        <f>DataPull!D627</f>
        <v/>
      </c>
      <c r="G627" s="94" t="str">
        <f t="shared" si="2"/>
        <v/>
      </c>
      <c r="H627" s="94" t="str">
        <f t="shared" si="3"/>
        <v/>
      </c>
      <c r="I627" s="94" t="str">
        <f t="shared" ref="I627:J627" si="628">if(G627 = "", , -G627)</f>
        <v/>
      </c>
      <c r="J627" s="94" t="str">
        <f t="shared" si="628"/>
        <v/>
      </c>
      <c r="K627" s="100"/>
      <c r="M627" s="100"/>
      <c r="N627" s="100"/>
      <c r="O627" s="100"/>
      <c r="P627" s="100"/>
    </row>
    <row r="628">
      <c r="A628" s="107">
        <v>200794.0</v>
      </c>
      <c r="B628" s="108" t="s">
        <v>191</v>
      </c>
      <c r="C628" s="108" t="s">
        <v>350</v>
      </c>
      <c r="D628" s="112" t="s">
        <v>176</v>
      </c>
      <c r="E628" s="112">
        <v>1143.8</v>
      </c>
      <c r="F628" s="111" t="str">
        <f>DataPull!D628</f>
        <v/>
      </c>
      <c r="G628" s="94" t="str">
        <f t="shared" si="2"/>
        <v/>
      </c>
      <c r="H628" s="94" t="str">
        <f t="shared" si="3"/>
        <v/>
      </c>
      <c r="I628" s="94" t="str">
        <f t="shared" ref="I628:J628" si="629">if(G628 = "", , -G628)</f>
        <v/>
      </c>
      <c r="J628" s="94" t="str">
        <f t="shared" si="629"/>
        <v/>
      </c>
      <c r="K628" s="100"/>
      <c r="M628" s="100"/>
      <c r="N628" s="100"/>
      <c r="O628" s="100"/>
      <c r="P628" s="100"/>
    </row>
    <row r="629">
      <c r="A629" s="107">
        <v>200794.0</v>
      </c>
      <c r="B629" s="108" t="s">
        <v>192</v>
      </c>
      <c r="C629" s="108" t="s">
        <v>350</v>
      </c>
      <c r="D629" s="112" t="s">
        <v>184</v>
      </c>
      <c r="E629" s="112">
        <v>1897.0</v>
      </c>
      <c r="F629" s="111" t="str">
        <f>DataPull!D629</f>
        <v/>
      </c>
      <c r="G629" s="94" t="str">
        <f t="shared" si="2"/>
        <v/>
      </c>
      <c r="H629" s="94" t="str">
        <f t="shared" si="3"/>
        <v/>
      </c>
      <c r="I629" s="94" t="str">
        <f t="shared" ref="I629:J629" si="630">if(G629 = "", , -G629)</f>
        <v/>
      </c>
      <c r="J629" s="94" t="str">
        <f t="shared" si="630"/>
        <v/>
      </c>
      <c r="K629" s="100"/>
      <c r="L629" s="100"/>
      <c r="N629" s="100"/>
      <c r="O629" s="100"/>
      <c r="P629" s="100"/>
    </row>
    <row r="630">
      <c r="A630" s="107">
        <v>200794.0</v>
      </c>
      <c r="B630" s="108" t="s">
        <v>193</v>
      </c>
      <c r="C630" s="108" t="s">
        <v>350</v>
      </c>
      <c r="D630" s="112" t="s">
        <v>176</v>
      </c>
      <c r="E630" s="112">
        <v>1239.3</v>
      </c>
      <c r="F630" s="111" t="str">
        <f>DataPull!D630</f>
        <v/>
      </c>
      <c r="G630" s="94" t="str">
        <f t="shared" si="2"/>
        <v/>
      </c>
      <c r="H630" s="94" t="str">
        <f t="shared" si="3"/>
        <v/>
      </c>
      <c r="I630" s="94" t="str">
        <f t="shared" ref="I630:J630" si="631">if(G630 = "", , -G630)</f>
        <v/>
      </c>
      <c r="J630" s="94" t="str">
        <f t="shared" si="631"/>
        <v/>
      </c>
      <c r="K630" s="100"/>
      <c r="L630" s="100"/>
      <c r="N630" s="100"/>
      <c r="O630" s="100"/>
      <c r="P630" s="100"/>
    </row>
    <row r="631">
      <c r="A631" s="107">
        <v>200794.0</v>
      </c>
      <c r="B631" s="108" t="s">
        <v>243</v>
      </c>
      <c r="C631" s="108" t="s">
        <v>350</v>
      </c>
      <c r="D631" s="112" t="s">
        <v>177</v>
      </c>
      <c r="E631" s="112">
        <v>1164.8</v>
      </c>
      <c r="F631" s="111" t="str">
        <f>DataPull!D631</f>
        <v/>
      </c>
      <c r="G631" s="94" t="str">
        <f t="shared" si="2"/>
        <v/>
      </c>
      <c r="H631" s="94" t="str">
        <f t="shared" si="3"/>
        <v/>
      </c>
      <c r="I631" s="94" t="str">
        <f t="shared" ref="I631:J631" si="632">if(G631 = "", , -G631)</f>
        <v/>
      </c>
      <c r="J631" s="94" t="str">
        <f t="shared" si="632"/>
        <v/>
      </c>
      <c r="K631" s="100"/>
      <c r="M631" s="100"/>
      <c r="N631" s="100"/>
      <c r="O631" s="100"/>
      <c r="P631" s="100"/>
    </row>
    <row r="632">
      <c r="A632" s="107">
        <v>200794.0</v>
      </c>
      <c r="B632" s="108" t="s">
        <v>215</v>
      </c>
      <c r="C632" s="108" t="s">
        <v>350</v>
      </c>
      <c r="D632" s="112" t="s">
        <v>187</v>
      </c>
      <c r="E632" s="112">
        <v>376.2</v>
      </c>
      <c r="F632" s="111" t="str">
        <f>DataPull!D632</f>
        <v/>
      </c>
      <c r="G632" s="94" t="str">
        <f t="shared" si="2"/>
        <v/>
      </c>
      <c r="H632" s="94" t="str">
        <f t="shared" si="3"/>
        <v/>
      </c>
      <c r="I632" s="94" t="str">
        <f t="shared" ref="I632:J632" si="633">if(G632 = "", , -G632)</f>
        <v/>
      </c>
      <c r="J632" s="94" t="str">
        <f t="shared" si="633"/>
        <v/>
      </c>
      <c r="K632" s="100"/>
      <c r="M632" s="100"/>
      <c r="N632" s="100"/>
      <c r="O632" s="100"/>
      <c r="P632" s="100"/>
    </row>
    <row r="633">
      <c r="A633" s="107">
        <v>200797.0</v>
      </c>
      <c r="B633" s="108" t="s">
        <v>85</v>
      </c>
      <c r="C633" s="108" t="s">
        <v>351</v>
      </c>
      <c r="D633" s="112" t="s">
        <v>187</v>
      </c>
      <c r="E633" s="112">
        <v>481.9</v>
      </c>
      <c r="F633" s="111" t="str">
        <f>DataPull!D633</f>
        <v/>
      </c>
      <c r="G633" s="94" t="str">
        <f t="shared" si="2"/>
        <v/>
      </c>
      <c r="H633" s="94" t="str">
        <f t="shared" si="3"/>
        <v/>
      </c>
      <c r="I633" s="94" t="str">
        <f t="shared" ref="I633:J633" si="634">if(G633 = "", , -G633)</f>
        <v/>
      </c>
      <c r="J633" s="94" t="str">
        <f t="shared" si="634"/>
        <v/>
      </c>
      <c r="K633" s="100"/>
      <c r="M633" s="100"/>
      <c r="N633" s="100"/>
      <c r="O633" s="100"/>
      <c r="P633" s="100"/>
    </row>
    <row r="634">
      <c r="A634" s="107">
        <v>200797.0</v>
      </c>
      <c r="B634" s="108" t="s">
        <v>90</v>
      </c>
      <c r="C634" s="108" t="s">
        <v>351</v>
      </c>
      <c r="D634" s="112" t="s">
        <v>187</v>
      </c>
      <c r="E634" s="112">
        <v>441.6</v>
      </c>
      <c r="F634" s="111" t="str">
        <f>DataPull!D634</f>
        <v/>
      </c>
      <c r="G634" s="94" t="str">
        <f t="shared" si="2"/>
        <v/>
      </c>
      <c r="H634" s="94" t="str">
        <f t="shared" si="3"/>
        <v/>
      </c>
      <c r="I634" s="94" t="str">
        <f t="shared" ref="I634:J634" si="635">if(G634 = "", , -G634)</f>
        <v/>
      </c>
      <c r="J634" s="94" t="str">
        <f t="shared" si="635"/>
        <v/>
      </c>
      <c r="K634" s="100"/>
      <c r="M634" s="100"/>
      <c r="N634" s="100"/>
      <c r="O634" s="100"/>
      <c r="P634" s="100"/>
    </row>
    <row r="635">
      <c r="A635" s="107">
        <v>200797.0</v>
      </c>
      <c r="B635" s="108" t="s">
        <v>92</v>
      </c>
      <c r="C635" s="108" t="s">
        <v>351</v>
      </c>
      <c r="D635" s="112" t="s">
        <v>177</v>
      </c>
      <c r="E635" s="112">
        <v>458.8</v>
      </c>
      <c r="F635" s="111" t="str">
        <f>DataPull!D635</f>
        <v/>
      </c>
      <c r="G635" s="94" t="str">
        <f t="shared" si="2"/>
        <v/>
      </c>
      <c r="H635" s="94" t="str">
        <f t="shared" si="3"/>
        <v/>
      </c>
      <c r="I635" s="94" t="str">
        <f t="shared" ref="I635:J635" si="636">if(G635 = "", , -G635)</f>
        <v/>
      </c>
      <c r="J635" s="94" t="str">
        <f t="shared" si="636"/>
        <v/>
      </c>
      <c r="K635" s="100"/>
      <c r="M635" s="100"/>
      <c r="N635" s="100"/>
      <c r="O635" s="100"/>
      <c r="P635" s="100"/>
    </row>
    <row r="636">
      <c r="A636" s="107">
        <v>200811.0</v>
      </c>
      <c r="B636" s="108" t="s">
        <v>85</v>
      </c>
      <c r="C636" s="108" t="s">
        <v>352</v>
      </c>
      <c r="D636" s="112" t="s">
        <v>187</v>
      </c>
      <c r="E636" s="112">
        <v>184.3</v>
      </c>
      <c r="F636" s="111" t="str">
        <f>DataPull!D636</f>
        <v/>
      </c>
      <c r="G636" s="94" t="str">
        <f t="shared" si="2"/>
        <v/>
      </c>
      <c r="H636" s="94" t="str">
        <f t="shared" si="3"/>
        <v/>
      </c>
      <c r="I636" s="94" t="str">
        <f t="shared" ref="I636:J636" si="637">if(G636 = "", , -G636)</f>
        <v/>
      </c>
      <c r="J636" s="94" t="str">
        <f t="shared" si="637"/>
        <v/>
      </c>
      <c r="K636" s="100"/>
      <c r="L636" s="100"/>
      <c r="N636" s="100"/>
      <c r="O636" s="100"/>
      <c r="P636" s="100"/>
    </row>
    <row r="637">
      <c r="A637" s="107">
        <v>200811.0</v>
      </c>
      <c r="B637" s="108" t="s">
        <v>90</v>
      </c>
      <c r="C637" s="108" t="s">
        <v>352</v>
      </c>
      <c r="D637" s="112" t="s">
        <v>177</v>
      </c>
      <c r="E637" s="112">
        <v>938.1</v>
      </c>
      <c r="F637" s="111" t="str">
        <f>DataPull!D637</f>
        <v/>
      </c>
      <c r="G637" s="94" t="str">
        <f t="shared" si="2"/>
        <v/>
      </c>
      <c r="H637" s="94" t="str">
        <f t="shared" si="3"/>
        <v/>
      </c>
      <c r="I637" s="94" t="str">
        <f t="shared" ref="I637:J637" si="638">if(G637 = "", , -G637)</f>
        <v/>
      </c>
      <c r="J637" s="94" t="str">
        <f t="shared" si="638"/>
        <v/>
      </c>
      <c r="K637" s="100"/>
      <c r="M637" s="100"/>
      <c r="N637" s="100"/>
      <c r="O637" s="100"/>
      <c r="P637" s="100"/>
    </row>
    <row r="638">
      <c r="A638" s="107">
        <v>200811.0</v>
      </c>
      <c r="B638" s="108" t="s">
        <v>92</v>
      </c>
      <c r="C638" s="108" t="s">
        <v>352</v>
      </c>
      <c r="D638" s="112" t="s">
        <v>187</v>
      </c>
      <c r="E638" s="112">
        <v>203.0</v>
      </c>
      <c r="F638" s="111" t="str">
        <f>DataPull!D638</f>
        <v/>
      </c>
      <c r="G638" s="94" t="str">
        <f t="shared" si="2"/>
        <v/>
      </c>
      <c r="H638" s="94" t="str">
        <f t="shared" si="3"/>
        <v/>
      </c>
      <c r="I638" s="94" t="str">
        <f t="shared" ref="I638:J638" si="639">if(G638 = "", , -G638)</f>
        <v/>
      </c>
      <c r="J638" s="94" t="str">
        <f t="shared" si="639"/>
        <v/>
      </c>
      <c r="K638" s="100"/>
      <c r="L638" s="100"/>
      <c r="N638" s="100"/>
      <c r="O638" s="100"/>
      <c r="P638" s="100"/>
    </row>
    <row r="639">
      <c r="A639" s="107">
        <v>200826.0</v>
      </c>
      <c r="B639" s="108" t="s">
        <v>85</v>
      </c>
      <c r="C639" s="108" t="s">
        <v>353</v>
      </c>
      <c r="D639" s="112" t="s">
        <v>177</v>
      </c>
      <c r="E639" s="112">
        <v>1469.4</v>
      </c>
      <c r="F639" s="111" t="str">
        <f>DataPull!D639</f>
        <v/>
      </c>
      <c r="G639" s="94" t="str">
        <f t="shared" si="2"/>
        <v/>
      </c>
      <c r="H639" s="94" t="str">
        <f t="shared" si="3"/>
        <v/>
      </c>
      <c r="I639" s="94" t="str">
        <f t="shared" ref="I639:J639" si="640">if(G639 = "", , -G639)</f>
        <v/>
      </c>
      <c r="J639" s="94" t="str">
        <f t="shared" si="640"/>
        <v/>
      </c>
      <c r="K639" s="100"/>
      <c r="M639" s="100"/>
      <c r="N639" s="100"/>
      <c r="O639" s="100"/>
      <c r="P639" s="100"/>
    </row>
    <row r="640">
      <c r="A640" s="107">
        <v>200826.0</v>
      </c>
      <c r="B640" s="108" t="s">
        <v>90</v>
      </c>
      <c r="C640" s="108" t="s">
        <v>353</v>
      </c>
      <c r="D640" s="112" t="s">
        <v>177</v>
      </c>
      <c r="E640" s="112">
        <v>1362.9</v>
      </c>
      <c r="F640" s="111" t="str">
        <f>DataPull!D640</f>
        <v/>
      </c>
      <c r="G640" s="94" t="str">
        <f t="shared" si="2"/>
        <v/>
      </c>
      <c r="H640" s="94" t="str">
        <f t="shared" si="3"/>
        <v/>
      </c>
      <c r="I640" s="94" t="str">
        <f t="shared" ref="I640:J640" si="641">if(G640 = "", , -G640)</f>
        <v/>
      </c>
      <c r="J640" s="94" t="str">
        <f t="shared" si="641"/>
        <v/>
      </c>
      <c r="K640" s="100"/>
      <c r="M640" s="100"/>
      <c r="N640" s="100"/>
      <c r="O640" s="100"/>
      <c r="P640" s="100"/>
    </row>
    <row r="641">
      <c r="A641" s="107">
        <v>200826.0</v>
      </c>
      <c r="B641" s="108" t="s">
        <v>92</v>
      </c>
      <c r="C641" s="108" t="s">
        <v>353</v>
      </c>
      <c r="D641" s="112" t="s">
        <v>176</v>
      </c>
      <c r="E641" s="112">
        <v>1665.0</v>
      </c>
      <c r="F641" s="111" t="str">
        <f>DataPull!D641</f>
        <v/>
      </c>
      <c r="G641" s="94" t="str">
        <f t="shared" si="2"/>
        <v/>
      </c>
      <c r="H641" s="94" t="str">
        <f t="shared" si="3"/>
        <v/>
      </c>
      <c r="I641" s="94" t="str">
        <f t="shared" ref="I641:J641" si="642">if(G641 = "", , -G641)</f>
        <v/>
      </c>
      <c r="J641" s="94" t="str">
        <f t="shared" si="642"/>
        <v/>
      </c>
      <c r="K641" s="100"/>
      <c r="M641" s="100"/>
      <c r="N641" s="100"/>
      <c r="O641" s="100"/>
      <c r="P641" s="100"/>
    </row>
    <row r="642">
      <c r="A642" s="107">
        <v>200826.0</v>
      </c>
      <c r="B642" s="108" t="s">
        <v>190</v>
      </c>
      <c r="C642" s="108" t="s">
        <v>353</v>
      </c>
      <c r="D642" s="112" t="s">
        <v>176</v>
      </c>
      <c r="E642" s="112">
        <v>770.0</v>
      </c>
      <c r="F642" s="111" t="str">
        <f>DataPull!D642</f>
        <v/>
      </c>
      <c r="G642" s="94" t="str">
        <f t="shared" si="2"/>
        <v/>
      </c>
      <c r="H642" s="94" t="str">
        <f t="shared" si="3"/>
        <v/>
      </c>
      <c r="I642" s="94" t="str">
        <f t="shared" ref="I642:J642" si="643">if(G642 = "", , -G642)</f>
        <v/>
      </c>
      <c r="J642" s="94" t="str">
        <f t="shared" si="643"/>
        <v/>
      </c>
      <c r="K642" s="100"/>
      <c r="M642" s="100"/>
      <c r="N642" s="100"/>
      <c r="O642" s="100"/>
      <c r="P642" s="100"/>
    </row>
    <row r="643">
      <c r="A643" s="107">
        <v>200826.0</v>
      </c>
      <c r="B643" s="108" t="s">
        <v>191</v>
      </c>
      <c r="C643" s="108" t="s">
        <v>353</v>
      </c>
      <c r="D643" s="112" t="s">
        <v>176</v>
      </c>
      <c r="E643" s="112">
        <v>1600.8</v>
      </c>
      <c r="F643" s="111" t="str">
        <f>DataPull!D643</f>
        <v/>
      </c>
      <c r="G643" s="94" t="str">
        <f t="shared" si="2"/>
        <v/>
      </c>
      <c r="H643" s="94" t="str">
        <f t="shared" si="3"/>
        <v/>
      </c>
      <c r="I643" s="94" t="str">
        <f t="shared" ref="I643:J643" si="644">if(G643 = "", , -G643)</f>
        <v/>
      </c>
      <c r="J643" s="94" t="str">
        <f t="shared" si="644"/>
        <v/>
      </c>
      <c r="K643" s="100"/>
      <c r="M643" s="100"/>
      <c r="N643" s="100"/>
      <c r="O643" s="100"/>
      <c r="P643" s="100"/>
    </row>
    <row r="644">
      <c r="A644" s="107">
        <v>200826.0</v>
      </c>
      <c r="B644" s="108" t="s">
        <v>192</v>
      </c>
      <c r="C644" s="108" t="s">
        <v>353</v>
      </c>
      <c r="D644" s="112" t="s">
        <v>176</v>
      </c>
      <c r="E644" s="112">
        <v>752.4</v>
      </c>
      <c r="F644" s="111" t="str">
        <f>DataPull!D644</f>
        <v/>
      </c>
      <c r="G644" s="94" t="str">
        <f t="shared" si="2"/>
        <v/>
      </c>
      <c r="H644" s="94" t="str">
        <f t="shared" si="3"/>
        <v/>
      </c>
      <c r="I644" s="94" t="str">
        <f t="shared" ref="I644:J644" si="645">if(G644 = "", , -G644)</f>
        <v/>
      </c>
      <c r="J644" s="94" t="str">
        <f t="shared" si="645"/>
        <v/>
      </c>
      <c r="K644" s="100"/>
      <c r="M644" s="100"/>
      <c r="N644" s="100"/>
      <c r="O644" s="100"/>
      <c r="P644" s="100"/>
    </row>
    <row r="645">
      <c r="A645" s="107">
        <v>200826.0</v>
      </c>
      <c r="B645" s="108" t="s">
        <v>193</v>
      </c>
      <c r="C645" s="108" t="s">
        <v>353</v>
      </c>
      <c r="D645" s="112" t="s">
        <v>177</v>
      </c>
      <c r="E645" s="112">
        <v>449.5</v>
      </c>
      <c r="F645" s="111" t="str">
        <f>DataPull!D645</f>
        <v/>
      </c>
      <c r="G645" s="94" t="str">
        <f t="shared" si="2"/>
        <v/>
      </c>
      <c r="H645" s="94" t="str">
        <f t="shared" si="3"/>
        <v/>
      </c>
      <c r="I645" s="94" t="str">
        <f t="shared" ref="I645:J645" si="646">if(G645 = "", , -G645)</f>
        <v/>
      </c>
      <c r="J645" s="94" t="str">
        <f t="shared" si="646"/>
        <v/>
      </c>
      <c r="K645" s="100"/>
      <c r="M645" s="100"/>
      <c r="N645" s="100"/>
      <c r="O645" s="100"/>
      <c r="P645" s="100"/>
    </row>
    <row r="646">
      <c r="A646" s="107">
        <v>200839.0</v>
      </c>
      <c r="B646" s="108" t="s">
        <v>85</v>
      </c>
      <c r="C646" s="108" t="s">
        <v>354</v>
      </c>
      <c r="D646" s="112" t="s">
        <v>187</v>
      </c>
      <c r="E646" s="112">
        <v>224.0</v>
      </c>
      <c r="F646" s="111" t="str">
        <f>DataPull!D646</f>
        <v/>
      </c>
      <c r="G646" s="94" t="str">
        <f t="shared" si="2"/>
        <v/>
      </c>
      <c r="H646" s="94" t="str">
        <f t="shared" si="3"/>
        <v/>
      </c>
      <c r="I646" s="94" t="str">
        <f t="shared" ref="I646:J646" si="647">if(G646 = "", , -G646)</f>
        <v/>
      </c>
      <c r="J646" s="94" t="str">
        <f t="shared" si="647"/>
        <v/>
      </c>
      <c r="K646" s="100"/>
      <c r="M646" s="100"/>
      <c r="N646" s="100"/>
      <c r="O646" s="100"/>
      <c r="P646" s="100"/>
    </row>
    <row r="647">
      <c r="A647" s="107">
        <v>201141.0</v>
      </c>
      <c r="B647" s="108" t="s">
        <v>85</v>
      </c>
      <c r="C647" s="108" t="s">
        <v>355</v>
      </c>
      <c r="D647" s="112" t="s">
        <v>187</v>
      </c>
      <c r="E647" s="112">
        <v>211.6</v>
      </c>
      <c r="F647" s="111" t="str">
        <f>DataPull!D647</f>
        <v/>
      </c>
      <c r="G647" s="94" t="str">
        <f t="shared" si="2"/>
        <v/>
      </c>
      <c r="H647" s="94" t="str">
        <f t="shared" si="3"/>
        <v/>
      </c>
      <c r="I647" s="94" t="str">
        <f t="shared" ref="I647:J647" si="648">if(G647 = "", , -G647)</f>
        <v/>
      </c>
      <c r="J647" s="94" t="str">
        <f t="shared" si="648"/>
        <v/>
      </c>
      <c r="K647" s="100"/>
      <c r="M647" s="100"/>
      <c r="N647" s="100"/>
      <c r="O647" s="100"/>
      <c r="P647" s="100"/>
    </row>
    <row r="648">
      <c r="A648" s="107">
        <v>201142.0</v>
      </c>
      <c r="B648" s="108" t="s">
        <v>85</v>
      </c>
      <c r="C648" s="108" t="s">
        <v>356</v>
      </c>
      <c r="D648" s="112" t="s">
        <v>184</v>
      </c>
      <c r="E648" s="112">
        <v>3118.5</v>
      </c>
      <c r="F648" s="111" t="str">
        <f>DataPull!D648</f>
        <v/>
      </c>
      <c r="G648" s="94" t="str">
        <f t="shared" si="2"/>
        <v/>
      </c>
      <c r="H648" s="94" t="str">
        <f t="shared" si="3"/>
        <v/>
      </c>
      <c r="I648" s="94" t="str">
        <f t="shared" ref="I648:J648" si="649">if(G648 = "", , -G648)</f>
        <v/>
      </c>
      <c r="J648" s="94" t="str">
        <f t="shared" si="649"/>
        <v/>
      </c>
      <c r="K648" s="100"/>
      <c r="M648" s="100"/>
      <c r="N648" s="100"/>
      <c r="O648" s="100"/>
      <c r="P648" s="100"/>
    </row>
    <row r="649">
      <c r="A649" s="107">
        <v>201142.0</v>
      </c>
      <c r="B649" s="108" t="s">
        <v>90</v>
      </c>
      <c r="C649" s="108" t="s">
        <v>356</v>
      </c>
      <c r="D649" s="112" t="s">
        <v>184</v>
      </c>
      <c r="E649" s="112">
        <v>912.6</v>
      </c>
      <c r="F649" s="111" t="str">
        <f>DataPull!D649</f>
        <v/>
      </c>
      <c r="G649" s="94" t="str">
        <f t="shared" si="2"/>
        <v/>
      </c>
      <c r="H649" s="94" t="str">
        <f t="shared" si="3"/>
        <v/>
      </c>
      <c r="I649" s="94" t="str">
        <f t="shared" ref="I649:J649" si="650">if(G649 = "", , -G649)</f>
        <v/>
      </c>
      <c r="J649" s="94" t="str">
        <f t="shared" si="650"/>
        <v/>
      </c>
      <c r="K649" s="100"/>
      <c r="L649" s="100"/>
      <c r="M649" s="100"/>
      <c r="N649" s="100"/>
      <c r="O649" s="100"/>
      <c r="P649" s="100"/>
    </row>
    <row r="650">
      <c r="A650" s="107">
        <v>201142.0</v>
      </c>
      <c r="B650" s="108" t="s">
        <v>92</v>
      </c>
      <c r="C650" s="108" t="s">
        <v>356</v>
      </c>
      <c r="D650" s="112" t="s">
        <v>184</v>
      </c>
      <c r="E650" s="112">
        <v>2577.6</v>
      </c>
      <c r="F650" s="111" t="str">
        <f>DataPull!D650</f>
        <v/>
      </c>
      <c r="G650" s="94" t="str">
        <f t="shared" si="2"/>
        <v/>
      </c>
      <c r="H650" s="94" t="str">
        <f t="shared" si="3"/>
        <v/>
      </c>
      <c r="I650" s="94" t="str">
        <f t="shared" ref="I650:J650" si="651">if(G650 = "", , -G650)</f>
        <v/>
      </c>
      <c r="J650" s="94" t="str">
        <f t="shared" si="651"/>
        <v/>
      </c>
      <c r="K650" s="100"/>
      <c r="M650" s="100"/>
      <c r="N650" s="100"/>
      <c r="O650" s="100"/>
      <c r="P650" s="100"/>
    </row>
    <row r="651">
      <c r="A651" s="107">
        <v>201142.0</v>
      </c>
      <c r="B651" s="108" t="s">
        <v>190</v>
      </c>
      <c r="C651" s="108" t="s">
        <v>356</v>
      </c>
      <c r="D651" s="112" t="s">
        <v>184</v>
      </c>
      <c r="E651" s="112">
        <v>2070.8</v>
      </c>
      <c r="F651" s="111" t="str">
        <f>DataPull!D651</f>
        <v/>
      </c>
      <c r="G651" s="94" t="str">
        <f t="shared" si="2"/>
        <v/>
      </c>
      <c r="H651" s="94" t="str">
        <f t="shared" si="3"/>
        <v/>
      </c>
      <c r="I651" s="94" t="str">
        <f t="shared" ref="I651:J651" si="652">if(G651 = "", , -G651)</f>
        <v/>
      </c>
      <c r="J651" s="94" t="str">
        <f t="shared" si="652"/>
        <v/>
      </c>
      <c r="K651" s="100"/>
      <c r="L651" s="100"/>
      <c r="N651" s="100"/>
      <c r="O651" s="100"/>
      <c r="P651" s="100"/>
    </row>
    <row r="652">
      <c r="A652" s="107">
        <v>201142.0</v>
      </c>
      <c r="B652" s="108" t="s">
        <v>191</v>
      </c>
      <c r="C652" s="108" t="s">
        <v>356</v>
      </c>
      <c r="D652" s="112" t="s">
        <v>184</v>
      </c>
      <c r="E652" s="112">
        <v>2325.6</v>
      </c>
      <c r="F652" s="111" t="str">
        <f>DataPull!D652</f>
        <v/>
      </c>
      <c r="G652" s="94" t="str">
        <f t="shared" si="2"/>
        <v/>
      </c>
      <c r="H652" s="94" t="str">
        <f t="shared" si="3"/>
        <v/>
      </c>
      <c r="I652" s="94" t="str">
        <f t="shared" ref="I652:J652" si="653">if(G652 = "", , -G652)</f>
        <v/>
      </c>
      <c r="J652" s="94" t="str">
        <f t="shared" si="653"/>
        <v/>
      </c>
      <c r="K652" s="100"/>
      <c r="M652" s="100"/>
      <c r="N652" s="100"/>
      <c r="O652" s="100"/>
      <c r="P652" s="100"/>
    </row>
    <row r="653">
      <c r="A653" s="107">
        <v>201142.0</v>
      </c>
      <c r="B653" s="108" t="s">
        <v>192</v>
      </c>
      <c r="C653" s="108" t="s">
        <v>356</v>
      </c>
      <c r="D653" s="112" t="s">
        <v>184</v>
      </c>
      <c r="E653" s="112">
        <v>2698.8</v>
      </c>
      <c r="F653" s="111" t="str">
        <f>DataPull!D653</f>
        <v/>
      </c>
      <c r="G653" s="94" t="str">
        <f t="shared" si="2"/>
        <v/>
      </c>
      <c r="H653" s="94" t="str">
        <f t="shared" si="3"/>
        <v/>
      </c>
      <c r="I653" s="94" t="str">
        <f t="shared" ref="I653:J653" si="654">if(G653 = "", , -G653)</f>
        <v/>
      </c>
      <c r="J653" s="94" t="str">
        <f t="shared" si="654"/>
        <v/>
      </c>
      <c r="K653" s="100"/>
      <c r="M653" s="100"/>
      <c r="N653" s="100"/>
      <c r="O653" s="100"/>
      <c r="P653" s="100"/>
    </row>
    <row r="654">
      <c r="A654" s="107">
        <v>201142.0</v>
      </c>
      <c r="B654" s="108" t="s">
        <v>243</v>
      </c>
      <c r="C654" s="108" t="s">
        <v>356</v>
      </c>
      <c r="D654" s="112" t="s">
        <v>184</v>
      </c>
      <c r="E654" s="112">
        <v>1158.5</v>
      </c>
      <c r="F654" s="111" t="str">
        <f>DataPull!D654</f>
        <v/>
      </c>
      <c r="G654" s="94" t="str">
        <f t="shared" si="2"/>
        <v/>
      </c>
      <c r="H654" s="94" t="str">
        <f t="shared" si="3"/>
        <v/>
      </c>
      <c r="I654" s="94" t="str">
        <f t="shared" ref="I654:J654" si="655">if(G654 = "", , -G654)</f>
        <v/>
      </c>
      <c r="J654" s="94" t="str">
        <f t="shared" si="655"/>
        <v/>
      </c>
      <c r="K654" s="100"/>
      <c r="L654" s="100"/>
      <c r="M654" s="100"/>
      <c r="N654" s="100"/>
      <c r="O654" s="100"/>
      <c r="P654" s="100"/>
    </row>
    <row r="655">
      <c r="A655" s="107">
        <v>201142.0</v>
      </c>
      <c r="B655" s="108" t="s">
        <v>215</v>
      </c>
      <c r="C655" s="108" t="s">
        <v>356</v>
      </c>
      <c r="D655" s="112" t="s">
        <v>184</v>
      </c>
      <c r="E655" s="112">
        <v>2046.0</v>
      </c>
      <c r="F655" s="111" t="str">
        <f>DataPull!D655</f>
        <v/>
      </c>
      <c r="G655" s="94" t="str">
        <f t="shared" si="2"/>
        <v/>
      </c>
      <c r="H655" s="94" t="str">
        <f t="shared" si="3"/>
        <v/>
      </c>
      <c r="I655" s="94" t="str">
        <f t="shared" ref="I655:J655" si="656">if(G655 = "", , -G655)</f>
        <v/>
      </c>
      <c r="J655" s="94" t="str">
        <f t="shared" si="656"/>
        <v/>
      </c>
      <c r="K655" s="100"/>
      <c r="L655" s="100"/>
      <c r="M655" s="100"/>
      <c r="N655" s="100"/>
      <c r="O655" s="100"/>
      <c r="P655" s="100"/>
    </row>
    <row r="656">
      <c r="A656" s="107">
        <v>201142.0</v>
      </c>
      <c r="B656" s="108" t="s">
        <v>244</v>
      </c>
      <c r="C656" s="108" t="s">
        <v>356</v>
      </c>
      <c r="D656" s="112" t="s">
        <v>184</v>
      </c>
      <c r="E656" s="112">
        <v>1673.2</v>
      </c>
      <c r="F656" s="111" t="str">
        <f>DataPull!D656</f>
        <v/>
      </c>
      <c r="G656" s="94" t="str">
        <f t="shared" si="2"/>
        <v/>
      </c>
      <c r="H656" s="94" t="str">
        <f t="shared" si="3"/>
        <v/>
      </c>
      <c r="I656" s="94" t="str">
        <f t="shared" ref="I656:J656" si="657">if(G656 = "", , -G656)</f>
        <v/>
      </c>
      <c r="J656" s="94" t="str">
        <f t="shared" si="657"/>
        <v/>
      </c>
      <c r="K656" s="100"/>
      <c r="M656" s="100"/>
      <c r="N656" s="100"/>
      <c r="O656" s="100"/>
      <c r="P656" s="100"/>
    </row>
    <row r="657">
      <c r="A657" s="107">
        <v>201142.0</v>
      </c>
      <c r="B657" s="108" t="s">
        <v>245</v>
      </c>
      <c r="C657" s="108" t="s">
        <v>356</v>
      </c>
      <c r="D657" s="112" t="s">
        <v>184</v>
      </c>
      <c r="E657" s="112">
        <v>2790.0</v>
      </c>
      <c r="F657" s="111" t="str">
        <f>DataPull!D657</f>
        <v/>
      </c>
      <c r="G657" s="94" t="str">
        <f t="shared" si="2"/>
        <v/>
      </c>
      <c r="H657" s="94" t="str">
        <f t="shared" si="3"/>
        <v/>
      </c>
      <c r="I657" s="94" t="str">
        <f t="shared" ref="I657:J657" si="658">if(G657 = "", , -G657)</f>
        <v/>
      </c>
      <c r="J657" s="94" t="str">
        <f t="shared" si="658"/>
        <v/>
      </c>
      <c r="K657" s="100"/>
      <c r="M657" s="100"/>
      <c r="N657" s="100"/>
      <c r="O657" s="100"/>
      <c r="P657" s="100"/>
    </row>
    <row r="658">
      <c r="A658" s="107">
        <v>201142.0</v>
      </c>
      <c r="B658" s="108" t="s">
        <v>246</v>
      </c>
      <c r="C658" s="108" t="s">
        <v>356</v>
      </c>
      <c r="D658" s="112" t="s">
        <v>184</v>
      </c>
      <c r="E658" s="112">
        <v>2263.0</v>
      </c>
      <c r="F658" s="111" t="str">
        <f>DataPull!D658</f>
        <v/>
      </c>
      <c r="G658" s="94" t="str">
        <f t="shared" si="2"/>
        <v/>
      </c>
      <c r="H658" s="94" t="str">
        <f t="shared" si="3"/>
        <v/>
      </c>
      <c r="I658" s="94" t="str">
        <f t="shared" ref="I658:J658" si="659">if(G658 = "", , -G658)</f>
        <v/>
      </c>
      <c r="J658" s="94" t="str">
        <f t="shared" si="659"/>
        <v/>
      </c>
      <c r="K658" s="100"/>
      <c r="M658" s="100"/>
      <c r="N658" s="100"/>
      <c r="O658" s="100"/>
      <c r="P658" s="100"/>
    </row>
    <row r="659">
      <c r="A659" s="114">
        <v>201142.0</v>
      </c>
      <c r="B659" s="113" t="s">
        <v>247</v>
      </c>
      <c r="C659" s="113" t="s">
        <v>356</v>
      </c>
      <c r="D659" s="112" t="s">
        <v>184</v>
      </c>
      <c r="E659" s="112">
        <v>2839.2</v>
      </c>
      <c r="F659" s="111" t="str">
        <f>DataPull!D659</f>
        <v/>
      </c>
      <c r="G659" s="94" t="str">
        <f t="shared" si="2"/>
        <v/>
      </c>
      <c r="H659" s="94" t="str">
        <f t="shared" si="3"/>
        <v/>
      </c>
      <c r="I659" s="94" t="str">
        <f t="shared" ref="I659:J659" si="660">if(G659 = "", , -G659)</f>
        <v/>
      </c>
      <c r="J659" s="94" t="str">
        <f t="shared" si="660"/>
        <v/>
      </c>
      <c r="K659" s="100"/>
      <c r="L659" s="100"/>
      <c r="M659" s="100"/>
      <c r="N659" s="100"/>
      <c r="O659" s="100"/>
      <c r="P659" s="100"/>
    </row>
    <row r="660">
      <c r="A660" s="107">
        <v>201143.0</v>
      </c>
      <c r="B660" s="108" t="s">
        <v>85</v>
      </c>
      <c r="C660" s="108" t="s">
        <v>357</v>
      </c>
      <c r="D660" s="112" t="s">
        <v>178</v>
      </c>
      <c r="E660" s="112">
        <v>957.0</v>
      </c>
      <c r="F660" s="111" t="str">
        <f>DataPull!D660</f>
        <v/>
      </c>
      <c r="G660" s="94" t="str">
        <f t="shared" si="2"/>
        <v/>
      </c>
      <c r="H660" s="94" t="str">
        <f t="shared" si="3"/>
        <v/>
      </c>
      <c r="I660" s="94" t="str">
        <f t="shared" ref="I660:J660" si="661">if(G660 = "", , -G660)</f>
        <v/>
      </c>
      <c r="J660" s="94" t="str">
        <f t="shared" si="661"/>
        <v/>
      </c>
      <c r="K660" s="100"/>
      <c r="M660" s="100"/>
      <c r="N660" s="100"/>
      <c r="O660" s="100"/>
      <c r="P660" s="100"/>
    </row>
    <row r="661">
      <c r="A661" s="107">
        <v>201143.0</v>
      </c>
      <c r="B661" s="108" t="s">
        <v>90</v>
      </c>
      <c r="C661" s="108" t="s">
        <v>357</v>
      </c>
      <c r="D661" s="112" t="s">
        <v>178</v>
      </c>
      <c r="E661" s="112">
        <v>2318.0</v>
      </c>
      <c r="F661" s="111" t="str">
        <f>DataPull!D661</f>
        <v/>
      </c>
      <c r="G661" s="94" t="str">
        <f t="shared" si="2"/>
        <v/>
      </c>
      <c r="H661" s="94" t="str">
        <f t="shared" si="3"/>
        <v/>
      </c>
      <c r="I661" s="94" t="str">
        <f t="shared" ref="I661:J661" si="662">if(G661 = "", , -G661)</f>
        <v/>
      </c>
      <c r="J661" s="94" t="str">
        <f t="shared" si="662"/>
        <v/>
      </c>
      <c r="K661" s="100"/>
      <c r="M661" s="100"/>
      <c r="N661" s="100"/>
      <c r="O661" s="100"/>
      <c r="P661" s="100"/>
    </row>
    <row r="662">
      <c r="A662" s="107">
        <v>201143.0</v>
      </c>
      <c r="B662" s="108" t="s">
        <v>92</v>
      </c>
      <c r="C662" s="108" t="s">
        <v>357</v>
      </c>
      <c r="D662" s="112" t="s">
        <v>184</v>
      </c>
      <c r="E662" s="112">
        <v>2632.2</v>
      </c>
      <c r="F662" s="111" t="str">
        <f>DataPull!D662</f>
        <v/>
      </c>
      <c r="G662" s="94" t="str">
        <f t="shared" si="2"/>
        <v/>
      </c>
      <c r="H662" s="94" t="str">
        <f t="shared" si="3"/>
        <v/>
      </c>
      <c r="I662" s="94" t="str">
        <f t="shared" ref="I662:J662" si="663">if(G662 = "", , -G662)</f>
        <v/>
      </c>
      <c r="J662" s="94" t="str">
        <f t="shared" si="663"/>
        <v/>
      </c>
      <c r="K662" s="100"/>
      <c r="M662" s="100"/>
      <c r="N662" s="100"/>
      <c r="O662" s="100"/>
      <c r="P662" s="100"/>
    </row>
    <row r="663">
      <c r="A663" s="107">
        <v>201143.0</v>
      </c>
      <c r="B663" s="108" t="s">
        <v>190</v>
      </c>
      <c r="C663" s="108" t="s">
        <v>357</v>
      </c>
      <c r="D663" s="112" t="s">
        <v>184</v>
      </c>
      <c r="E663" s="112">
        <v>2196.4</v>
      </c>
      <c r="F663" s="111" t="str">
        <f>DataPull!D663</f>
        <v/>
      </c>
      <c r="G663" s="94" t="str">
        <f t="shared" si="2"/>
        <v/>
      </c>
      <c r="H663" s="94" t="str">
        <f t="shared" si="3"/>
        <v/>
      </c>
      <c r="I663" s="94" t="str">
        <f t="shared" ref="I663:J663" si="664">if(G663 = "", , -G663)</f>
        <v/>
      </c>
      <c r="J663" s="94" t="str">
        <f t="shared" si="664"/>
        <v/>
      </c>
      <c r="K663" s="100"/>
      <c r="L663" s="100"/>
      <c r="M663" s="100"/>
      <c r="N663" s="100"/>
      <c r="O663" s="100"/>
      <c r="P663" s="100"/>
    </row>
    <row r="664">
      <c r="A664" s="107">
        <v>201143.0</v>
      </c>
      <c r="B664" s="108" t="s">
        <v>191</v>
      </c>
      <c r="C664" s="108" t="s">
        <v>357</v>
      </c>
      <c r="D664" s="112" t="s">
        <v>184</v>
      </c>
      <c r="E664" s="112">
        <v>2275.2</v>
      </c>
      <c r="F664" s="111" t="str">
        <f>DataPull!D664</f>
        <v/>
      </c>
      <c r="G664" s="94" t="str">
        <f t="shared" si="2"/>
        <v/>
      </c>
      <c r="H664" s="94" t="str">
        <f t="shared" si="3"/>
        <v/>
      </c>
      <c r="I664" s="94" t="str">
        <f t="shared" ref="I664:J664" si="665">if(G664 = "", , -G664)</f>
        <v/>
      </c>
      <c r="J664" s="94" t="str">
        <f t="shared" si="665"/>
        <v/>
      </c>
      <c r="K664" s="100"/>
      <c r="M664" s="100"/>
      <c r="N664" s="100"/>
      <c r="O664" s="100"/>
      <c r="P664" s="100"/>
    </row>
    <row r="665">
      <c r="A665" s="107">
        <v>201143.0</v>
      </c>
      <c r="B665" s="108" t="s">
        <v>192</v>
      </c>
      <c r="C665" s="108" t="s">
        <v>357</v>
      </c>
      <c r="D665" s="112" t="s">
        <v>184</v>
      </c>
      <c r="E665" s="112">
        <v>1972.0</v>
      </c>
      <c r="F665" s="111" t="str">
        <f>DataPull!D665</f>
        <v/>
      </c>
      <c r="G665" s="94" t="str">
        <f t="shared" si="2"/>
        <v/>
      </c>
      <c r="H665" s="94" t="str">
        <f t="shared" si="3"/>
        <v/>
      </c>
      <c r="I665" s="94" t="str">
        <f t="shared" ref="I665:J665" si="666">if(G665 = "", , -G665)</f>
        <v/>
      </c>
      <c r="J665" s="94" t="str">
        <f t="shared" si="666"/>
        <v/>
      </c>
      <c r="K665" s="100"/>
      <c r="M665" s="100"/>
      <c r="N665" s="100"/>
      <c r="O665" s="100"/>
      <c r="P665" s="100"/>
    </row>
    <row r="666">
      <c r="A666" s="107">
        <v>201143.0</v>
      </c>
      <c r="B666" s="108" t="s">
        <v>193</v>
      </c>
      <c r="C666" s="108" t="s">
        <v>357</v>
      </c>
      <c r="D666" s="112" t="s">
        <v>178</v>
      </c>
      <c r="E666" s="112">
        <v>2023.4</v>
      </c>
      <c r="F666" s="111" t="str">
        <f>DataPull!D666</f>
        <v/>
      </c>
      <c r="G666" s="94" t="str">
        <f t="shared" si="2"/>
        <v/>
      </c>
      <c r="H666" s="94" t="str">
        <f t="shared" si="3"/>
        <v/>
      </c>
      <c r="I666" s="94" t="str">
        <f t="shared" ref="I666:J666" si="667">if(G666 = "", , -G666)</f>
        <v/>
      </c>
      <c r="J666" s="94" t="str">
        <f t="shared" si="667"/>
        <v/>
      </c>
      <c r="K666" s="100"/>
      <c r="M666" s="100"/>
      <c r="N666" s="100"/>
      <c r="O666" s="100"/>
      <c r="P666" s="100"/>
    </row>
    <row r="667">
      <c r="A667" s="107">
        <v>201143.0</v>
      </c>
      <c r="B667" s="108" t="s">
        <v>243</v>
      </c>
      <c r="C667" s="108" t="s">
        <v>357</v>
      </c>
      <c r="D667" s="112" t="s">
        <v>184</v>
      </c>
      <c r="E667" s="112">
        <v>781.2</v>
      </c>
      <c r="F667" s="111" t="str">
        <f>DataPull!D667</f>
        <v/>
      </c>
      <c r="G667" s="94" t="str">
        <f t="shared" si="2"/>
        <v/>
      </c>
      <c r="H667" s="94" t="str">
        <f t="shared" si="3"/>
        <v/>
      </c>
      <c r="I667" s="94" t="str">
        <f t="shared" ref="I667:J667" si="668">if(G667 = "", , -G667)</f>
        <v/>
      </c>
      <c r="J667" s="94" t="str">
        <f t="shared" si="668"/>
        <v/>
      </c>
      <c r="K667" s="100"/>
      <c r="M667" s="100"/>
      <c r="N667" s="100"/>
      <c r="O667" s="100"/>
      <c r="P667" s="100"/>
    </row>
    <row r="668">
      <c r="A668" s="107">
        <v>201143.0</v>
      </c>
      <c r="B668" s="108" t="s">
        <v>215</v>
      </c>
      <c r="C668" s="108" t="s">
        <v>357</v>
      </c>
      <c r="D668" s="112" t="s">
        <v>176</v>
      </c>
      <c r="E668" s="112">
        <v>2007.9</v>
      </c>
      <c r="F668" s="111" t="str">
        <f>DataPull!D668</f>
        <v/>
      </c>
      <c r="G668" s="94" t="str">
        <f t="shared" si="2"/>
        <v/>
      </c>
      <c r="H668" s="94" t="str">
        <f t="shared" si="3"/>
        <v/>
      </c>
      <c r="I668" s="94" t="str">
        <f t="shared" ref="I668:J668" si="669">if(G668 = "", , -G668)</f>
        <v/>
      </c>
      <c r="J668" s="94" t="str">
        <f t="shared" si="669"/>
        <v/>
      </c>
      <c r="K668" s="100"/>
      <c r="M668" s="100"/>
      <c r="N668" s="100"/>
      <c r="O668" s="100"/>
      <c r="P668" s="100"/>
    </row>
    <row r="669">
      <c r="A669" s="107">
        <v>201143.0</v>
      </c>
      <c r="B669" s="108" t="s">
        <v>244</v>
      </c>
      <c r="C669" s="108" t="s">
        <v>357</v>
      </c>
      <c r="D669" s="112" t="s">
        <v>184</v>
      </c>
      <c r="E669" s="112">
        <v>1921.5</v>
      </c>
      <c r="F669" s="111" t="str">
        <f>DataPull!D669</f>
        <v/>
      </c>
      <c r="G669" s="94" t="str">
        <f t="shared" si="2"/>
        <v/>
      </c>
      <c r="H669" s="94" t="str">
        <f t="shared" si="3"/>
        <v/>
      </c>
      <c r="I669" s="94" t="str">
        <f t="shared" ref="I669:J669" si="670">if(G669 = "", , -G669)</f>
        <v/>
      </c>
      <c r="J669" s="94" t="str">
        <f t="shared" si="670"/>
        <v/>
      </c>
      <c r="K669" s="100"/>
      <c r="M669" s="100"/>
      <c r="N669" s="100"/>
      <c r="O669" s="100"/>
      <c r="P669" s="100"/>
    </row>
    <row r="670">
      <c r="A670" s="107">
        <v>201143.0</v>
      </c>
      <c r="B670" s="108" t="s">
        <v>245</v>
      </c>
      <c r="C670" s="108" t="s">
        <v>357</v>
      </c>
      <c r="D670" s="112" t="s">
        <v>176</v>
      </c>
      <c r="E670" s="112">
        <v>1742.0</v>
      </c>
      <c r="F670" s="111" t="str">
        <f>DataPull!D670</f>
        <v/>
      </c>
      <c r="G670" s="94" t="str">
        <f t="shared" si="2"/>
        <v/>
      </c>
      <c r="H670" s="94" t="str">
        <f t="shared" si="3"/>
        <v/>
      </c>
      <c r="I670" s="94" t="str">
        <f t="shared" ref="I670:J670" si="671">if(G670 = "", , -G670)</f>
        <v/>
      </c>
      <c r="J670" s="94" t="str">
        <f t="shared" si="671"/>
        <v/>
      </c>
      <c r="K670" s="100"/>
      <c r="M670" s="100"/>
      <c r="N670" s="100"/>
      <c r="O670" s="100"/>
      <c r="P670" s="100"/>
    </row>
    <row r="671">
      <c r="A671" s="107">
        <v>201143.0</v>
      </c>
      <c r="B671" s="108" t="s">
        <v>246</v>
      </c>
      <c r="C671" s="108" t="s">
        <v>357</v>
      </c>
      <c r="D671" s="112" t="s">
        <v>176</v>
      </c>
      <c r="E671" s="112">
        <v>1656.0</v>
      </c>
      <c r="F671" s="111" t="str">
        <f>DataPull!D671</f>
        <v/>
      </c>
      <c r="G671" s="94" t="str">
        <f t="shared" si="2"/>
        <v/>
      </c>
      <c r="H671" s="94" t="str">
        <f t="shared" si="3"/>
        <v/>
      </c>
      <c r="I671" s="94" t="str">
        <f t="shared" ref="I671:J671" si="672">if(G671 = "", , -G671)</f>
        <v/>
      </c>
      <c r="J671" s="94" t="str">
        <f t="shared" si="672"/>
        <v/>
      </c>
      <c r="K671" s="100"/>
      <c r="M671" s="100"/>
      <c r="N671" s="100"/>
      <c r="O671" s="100"/>
      <c r="P671" s="100"/>
    </row>
    <row r="672">
      <c r="A672" s="114">
        <v>201143.0</v>
      </c>
      <c r="B672" s="113" t="s">
        <v>247</v>
      </c>
      <c r="C672" s="113" t="s">
        <v>357</v>
      </c>
      <c r="D672" s="112" t="s">
        <v>176</v>
      </c>
      <c r="E672" s="112">
        <v>967.5</v>
      </c>
      <c r="F672" s="111" t="str">
        <f>DataPull!D672</f>
        <v/>
      </c>
      <c r="G672" s="94" t="str">
        <f t="shared" si="2"/>
        <v/>
      </c>
      <c r="H672" s="94" t="str">
        <f t="shared" si="3"/>
        <v/>
      </c>
      <c r="I672" s="94" t="str">
        <f t="shared" ref="I672:J672" si="673">if(G672 = "", , -G672)</f>
        <v/>
      </c>
      <c r="J672" s="94" t="str">
        <f t="shared" si="673"/>
        <v/>
      </c>
      <c r="K672" s="100"/>
      <c r="M672" s="100"/>
      <c r="N672" s="100"/>
      <c r="O672" s="100"/>
      <c r="P672" s="100"/>
    </row>
    <row r="673">
      <c r="A673" s="107">
        <v>201144.0</v>
      </c>
      <c r="B673" s="108" t="s">
        <v>85</v>
      </c>
      <c r="C673" s="108" t="s">
        <v>358</v>
      </c>
      <c r="D673" s="112" t="s">
        <v>184</v>
      </c>
      <c r="E673" s="112">
        <v>2445.5</v>
      </c>
      <c r="F673" s="111" t="str">
        <f>DataPull!D673</f>
        <v/>
      </c>
      <c r="G673" s="94" t="str">
        <f t="shared" si="2"/>
        <v/>
      </c>
      <c r="H673" s="94" t="str">
        <f t="shared" si="3"/>
        <v/>
      </c>
      <c r="I673" s="94" t="str">
        <f t="shared" ref="I673:J673" si="674">if(G673 = "", , -G673)</f>
        <v/>
      </c>
      <c r="J673" s="94" t="str">
        <f t="shared" si="674"/>
        <v/>
      </c>
      <c r="K673" s="100"/>
      <c r="L673" s="100"/>
      <c r="M673" s="100"/>
      <c r="N673" s="100"/>
      <c r="O673" s="100"/>
      <c r="P673" s="100"/>
    </row>
    <row r="674">
      <c r="A674" s="107">
        <v>201144.0</v>
      </c>
      <c r="B674" s="108" t="s">
        <v>90</v>
      </c>
      <c r="C674" s="108" t="s">
        <v>358</v>
      </c>
      <c r="D674" s="112" t="s">
        <v>184</v>
      </c>
      <c r="E674" s="112">
        <v>2226.0</v>
      </c>
      <c r="F674" s="111" t="str">
        <f>DataPull!D674</f>
        <v/>
      </c>
      <c r="G674" s="94" t="str">
        <f t="shared" si="2"/>
        <v/>
      </c>
      <c r="H674" s="94" t="str">
        <f t="shared" si="3"/>
        <v/>
      </c>
      <c r="I674" s="94" t="str">
        <f t="shared" ref="I674:J674" si="675">if(G674 = "", , -G674)</f>
        <v/>
      </c>
      <c r="J674" s="94" t="str">
        <f t="shared" si="675"/>
        <v/>
      </c>
      <c r="K674" s="100"/>
      <c r="M674" s="100"/>
      <c r="N674" s="100"/>
      <c r="O674" s="100"/>
      <c r="P674" s="100"/>
    </row>
    <row r="675">
      <c r="A675" s="107">
        <v>201144.0</v>
      </c>
      <c r="B675" s="108" t="s">
        <v>92</v>
      </c>
      <c r="C675" s="108" t="s">
        <v>358</v>
      </c>
      <c r="D675" s="112" t="s">
        <v>184</v>
      </c>
      <c r="E675" s="112">
        <v>1758.4</v>
      </c>
      <c r="F675" s="111" t="str">
        <f>DataPull!D675</f>
        <v/>
      </c>
      <c r="G675" s="94" t="str">
        <f t="shared" si="2"/>
        <v/>
      </c>
      <c r="H675" s="94" t="str">
        <f t="shared" si="3"/>
        <v/>
      </c>
      <c r="I675" s="94" t="str">
        <f t="shared" ref="I675:J675" si="676">if(G675 = "", , -G675)</f>
        <v/>
      </c>
      <c r="J675" s="94" t="str">
        <f t="shared" si="676"/>
        <v/>
      </c>
      <c r="K675" s="100"/>
      <c r="M675" s="100"/>
      <c r="N675" s="100"/>
      <c r="O675" s="100"/>
      <c r="P675" s="100"/>
    </row>
    <row r="676">
      <c r="A676" s="107">
        <v>201144.0</v>
      </c>
      <c r="B676" s="108" t="s">
        <v>190</v>
      </c>
      <c r="C676" s="108" t="s">
        <v>358</v>
      </c>
      <c r="D676" s="112" t="s">
        <v>184</v>
      </c>
      <c r="E676" s="112">
        <v>2290.8</v>
      </c>
      <c r="F676" s="111" t="str">
        <f>DataPull!D676</f>
        <v/>
      </c>
      <c r="G676" s="94" t="str">
        <f t="shared" si="2"/>
        <v/>
      </c>
      <c r="H676" s="94" t="str">
        <f t="shared" si="3"/>
        <v/>
      </c>
      <c r="I676" s="94" t="str">
        <f t="shared" ref="I676:J676" si="677">if(G676 = "", , -G676)</f>
        <v/>
      </c>
      <c r="J676" s="94" t="str">
        <f t="shared" si="677"/>
        <v/>
      </c>
      <c r="K676" s="100"/>
      <c r="M676" s="100"/>
      <c r="N676" s="100"/>
      <c r="O676" s="100"/>
      <c r="P676" s="100"/>
    </row>
    <row r="677">
      <c r="A677" s="107">
        <v>201144.0</v>
      </c>
      <c r="B677" s="108" t="s">
        <v>191</v>
      </c>
      <c r="C677" s="108" t="s">
        <v>358</v>
      </c>
      <c r="D677" s="112" t="s">
        <v>184</v>
      </c>
      <c r="E677" s="112">
        <v>373.2</v>
      </c>
      <c r="F677" s="111" t="str">
        <f>DataPull!D677</f>
        <v/>
      </c>
      <c r="G677" s="94" t="str">
        <f t="shared" si="2"/>
        <v/>
      </c>
      <c r="H677" s="94" t="str">
        <f t="shared" si="3"/>
        <v/>
      </c>
      <c r="I677" s="94" t="str">
        <f t="shared" ref="I677:J677" si="678">if(G677 = "", , -G677)</f>
        <v/>
      </c>
      <c r="J677" s="94" t="str">
        <f t="shared" si="678"/>
        <v/>
      </c>
      <c r="K677" s="100"/>
      <c r="M677" s="100"/>
      <c r="N677" s="100"/>
      <c r="O677" s="100"/>
      <c r="P677" s="100"/>
    </row>
    <row r="678">
      <c r="A678" s="107">
        <v>201144.0</v>
      </c>
      <c r="B678" s="108" t="s">
        <v>192</v>
      </c>
      <c r="C678" s="108" t="s">
        <v>358</v>
      </c>
      <c r="D678" s="112" t="s">
        <v>184</v>
      </c>
      <c r="E678" s="112">
        <v>2345.0</v>
      </c>
      <c r="F678" s="111" t="str">
        <f>DataPull!D678</f>
        <v/>
      </c>
      <c r="G678" s="94" t="str">
        <f t="shared" si="2"/>
        <v/>
      </c>
      <c r="H678" s="94" t="str">
        <f t="shared" si="3"/>
        <v/>
      </c>
      <c r="I678" s="94" t="str">
        <f t="shared" ref="I678:J678" si="679">if(G678 = "", , -G678)</f>
        <v/>
      </c>
      <c r="J678" s="94" t="str">
        <f t="shared" si="679"/>
        <v/>
      </c>
      <c r="K678" s="100"/>
      <c r="M678" s="100"/>
      <c r="N678" s="100"/>
      <c r="O678" s="100"/>
      <c r="P678" s="100"/>
    </row>
    <row r="679">
      <c r="A679" s="107">
        <v>201144.0</v>
      </c>
      <c r="B679" s="108" t="s">
        <v>193</v>
      </c>
      <c r="C679" s="108" t="s">
        <v>358</v>
      </c>
      <c r="D679" s="112" t="s">
        <v>178</v>
      </c>
      <c r="E679" s="112">
        <v>1363.0</v>
      </c>
      <c r="F679" s="111" t="str">
        <f>DataPull!D679</f>
        <v/>
      </c>
      <c r="G679" s="94" t="str">
        <f t="shared" si="2"/>
        <v/>
      </c>
      <c r="H679" s="94" t="str">
        <f t="shared" si="3"/>
        <v/>
      </c>
      <c r="I679" s="94" t="str">
        <f t="shared" ref="I679:J679" si="680">if(G679 = "", , -G679)</f>
        <v/>
      </c>
      <c r="J679" s="94" t="str">
        <f t="shared" si="680"/>
        <v/>
      </c>
      <c r="K679" s="100"/>
      <c r="L679" s="100"/>
      <c r="M679" s="100"/>
      <c r="N679" s="100"/>
      <c r="O679" s="100"/>
      <c r="P679" s="100"/>
    </row>
    <row r="680">
      <c r="A680" s="107">
        <v>201144.0</v>
      </c>
      <c r="B680" s="108" t="s">
        <v>243</v>
      </c>
      <c r="C680" s="108" t="s">
        <v>358</v>
      </c>
      <c r="D680" s="112" t="s">
        <v>184</v>
      </c>
      <c r="E680" s="112">
        <v>1499.4</v>
      </c>
      <c r="F680" s="111" t="str">
        <f>DataPull!D680</f>
        <v/>
      </c>
      <c r="G680" s="94" t="str">
        <f t="shared" si="2"/>
        <v/>
      </c>
      <c r="H680" s="94" t="str">
        <f t="shared" si="3"/>
        <v/>
      </c>
      <c r="I680" s="94" t="str">
        <f t="shared" ref="I680:J680" si="681">if(G680 = "", , -G680)</f>
        <v/>
      </c>
      <c r="J680" s="94" t="str">
        <f t="shared" si="681"/>
        <v/>
      </c>
      <c r="K680" s="100"/>
      <c r="L680" s="100"/>
      <c r="N680" s="100"/>
      <c r="O680" s="100"/>
      <c r="P680" s="100"/>
    </row>
    <row r="681">
      <c r="A681" s="107">
        <v>201144.0</v>
      </c>
      <c r="B681" s="108" t="s">
        <v>215</v>
      </c>
      <c r="C681" s="108" t="s">
        <v>358</v>
      </c>
      <c r="D681" s="112" t="s">
        <v>184</v>
      </c>
      <c r="E681" s="112">
        <v>2059.2</v>
      </c>
      <c r="F681" s="111" t="str">
        <f>DataPull!D681</f>
        <v/>
      </c>
      <c r="G681" s="94" t="str">
        <f t="shared" si="2"/>
        <v/>
      </c>
      <c r="H681" s="94" t="str">
        <f t="shared" si="3"/>
        <v/>
      </c>
      <c r="I681" s="94" t="str">
        <f t="shared" ref="I681:J681" si="682">if(G681 = "", , -G681)</f>
        <v/>
      </c>
      <c r="J681" s="94" t="str">
        <f t="shared" si="682"/>
        <v/>
      </c>
      <c r="K681" s="100"/>
      <c r="L681" s="100"/>
      <c r="N681" s="100"/>
      <c r="O681" s="100"/>
      <c r="P681" s="100"/>
    </row>
    <row r="682">
      <c r="A682" s="107">
        <v>201144.0</v>
      </c>
      <c r="B682" s="108" t="s">
        <v>244</v>
      </c>
      <c r="C682" s="108" t="s">
        <v>358</v>
      </c>
      <c r="D682" s="112" t="s">
        <v>184</v>
      </c>
      <c r="E682" s="112">
        <v>2030.1</v>
      </c>
      <c r="F682" s="111" t="str">
        <f>DataPull!D682</f>
        <v/>
      </c>
      <c r="G682" s="94" t="str">
        <f t="shared" si="2"/>
        <v/>
      </c>
      <c r="H682" s="94" t="str">
        <f t="shared" si="3"/>
        <v/>
      </c>
      <c r="I682" s="94" t="str">
        <f t="shared" ref="I682:J682" si="683">if(G682 = "", , -G682)</f>
        <v/>
      </c>
      <c r="J682" s="94" t="str">
        <f t="shared" si="683"/>
        <v/>
      </c>
      <c r="K682" s="100"/>
      <c r="M682" s="100"/>
      <c r="N682" s="100"/>
      <c r="O682" s="100"/>
      <c r="P682" s="100"/>
    </row>
    <row r="683">
      <c r="A683" s="107">
        <v>201144.0</v>
      </c>
      <c r="B683" s="108" t="s">
        <v>245</v>
      </c>
      <c r="C683" s="108" t="s">
        <v>358</v>
      </c>
      <c r="D683" s="112" t="s">
        <v>184</v>
      </c>
      <c r="E683" s="112">
        <v>2196.4</v>
      </c>
      <c r="F683" s="111" t="str">
        <f>DataPull!D683</f>
        <v/>
      </c>
      <c r="G683" s="94" t="str">
        <f t="shared" si="2"/>
        <v/>
      </c>
      <c r="H683" s="94" t="str">
        <f t="shared" si="3"/>
        <v/>
      </c>
      <c r="I683" s="94" t="str">
        <f t="shared" ref="I683:J683" si="684">if(G683 = "", , -G683)</f>
        <v/>
      </c>
      <c r="J683" s="94" t="str">
        <f t="shared" si="684"/>
        <v/>
      </c>
      <c r="K683" s="100"/>
      <c r="M683" s="100"/>
      <c r="N683" s="100"/>
      <c r="O683" s="100"/>
      <c r="P683" s="100"/>
    </row>
    <row r="684">
      <c r="A684" s="107">
        <v>201144.0</v>
      </c>
      <c r="B684" s="108" t="s">
        <v>246</v>
      </c>
      <c r="C684" s="108" t="s">
        <v>358</v>
      </c>
      <c r="D684" s="112" t="s">
        <v>176</v>
      </c>
      <c r="E684" s="112">
        <v>1753.7</v>
      </c>
      <c r="F684" s="111" t="str">
        <f>DataPull!D684</f>
        <v/>
      </c>
      <c r="G684" s="94" t="str">
        <f t="shared" si="2"/>
        <v/>
      </c>
      <c r="H684" s="94" t="str">
        <f t="shared" si="3"/>
        <v/>
      </c>
      <c r="I684" s="94" t="str">
        <f t="shared" ref="I684:J684" si="685">if(G684 = "", , -G684)</f>
        <v/>
      </c>
      <c r="J684" s="94" t="str">
        <f t="shared" si="685"/>
        <v/>
      </c>
      <c r="K684" s="100"/>
      <c r="M684" s="100"/>
      <c r="N684" s="100"/>
      <c r="O684" s="100"/>
      <c r="P684" s="100"/>
    </row>
    <row r="685">
      <c r="A685" s="114">
        <v>201144.0</v>
      </c>
      <c r="B685" s="113" t="s">
        <v>247</v>
      </c>
      <c r="C685" s="113" t="s">
        <v>358</v>
      </c>
      <c r="D685" s="112" t="s">
        <v>176</v>
      </c>
      <c r="E685" s="112">
        <v>993.6</v>
      </c>
      <c r="F685" s="111" t="str">
        <f>DataPull!D685</f>
        <v/>
      </c>
      <c r="G685" s="94" t="str">
        <f t="shared" si="2"/>
        <v/>
      </c>
      <c r="H685" s="94" t="str">
        <f t="shared" si="3"/>
        <v/>
      </c>
      <c r="I685" s="94" t="str">
        <f t="shared" ref="I685:J685" si="686">if(G685 = "", , -G685)</f>
        <v/>
      </c>
      <c r="J685" s="94" t="str">
        <f t="shared" si="686"/>
        <v/>
      </c>
      <c r="K685" s="100"/>
      <c r="M685" s="100"/>
      <c r="N685" s="100"/>
      <c r="O685" s="100"/>
      <c r="P685" s="100"/>
    </row>
    <row r="686">
      <c r="A686" s="107">
        <v>201145.0</v>
      </c>
      <c r="B686" s="108" t="s">
        <v>85</v>
      </c>
      <c r="C686" s="108" t="s">
        <v>359</v>
      </c>
      <c r="D686" s="112" t="s">
        <v>178</v>
      </c>
      <c r="E686" s="112">
        <v>2804.4</v>
      </c>
      <c r="F686" s="111" t="str">
        <f>DataPull!D686</f>
        <v/>
      </c>
      <c r="G686" s="94" t="str">
        <f t="shared" si="2"/>
        <v/>
      </c>
      <c r="H686" s="94" t="str">
        <f t="shared" si="3"/>
        <v/>
      </c>
      <c r="I686" s="94" t="str">
        <f t="shared" ref="I686:J686" si="687">if(G686 = "", , -G686)</f>
        <v/>
      </c>
      <c r="J686" s="94" t="str">
        <f t="shared" si="687"/>
        <v/>
      </c>
      <c r="K686" s="100"/>
      <c r="M686" s="100"/>
      <c r="N686" s="100"/>
      <c r="O686" s="100"/>
      <c r="P686" s="100"/>
    </row>
    <row r="687">
      <c r="A687" s="107">
        <v>201145.0</v>
      </c>
      <c r="B687" s="108" t="s">
        <v>90</v>
      </c>
      <c r="C687" s="108" t="s">
        <v>359</v>
      </c>
      <c r="D687" s="112" t="s">
        <v>178</v>
      </c>
      <c r="E687" s="112">
        <v>2457.0</v>
      </c>
      <c r="F687" s="111" t="str">
        <f>DataPull!D687</f>
        <v/>
      </c>
      <c r="G687" s="94" t="str">
        <f t="shared" si="2"/>
        <v/>
      </c>
      <c r="H687" s="94" t="str">
        <f t="shared" si="3"/>
        <v/>
      </c>
      <c r="I687" s="94" t="str">
        <f t="shared" ref="I687:J687" si="688">if(G687 = "", , -G687)</f>
        <v/>
      </c>
      <c r="J687" s="94" t="str">
        <f t="shared" si="688"/>
        <v/>
      </c>
      <c r="K687" s="100"/>
      <c r="L687" s="100"/>
      <c r="N687" s="100"/>
      <c r="O687" s="100"/>
      <c r="P687" s="100"/>
    </row>
    <row r="688">
      <c r="A688" s="107">
        <v>201145.0</v>
      </c>
      <c r="B688" s="108" t="s">
        <v>92</v>
      </c>
      <c r="C688" s="108" t="s">
        <v>359</v>
      </c>
      <c r="D688" s="112" t="s">
        <v>178</v>
      </c>
      <c r="E688" s="112">
        <v>2256.0</v>
      </c>
      <c r="F688" s="111" t="str">
        <f>DataPull!D688</f>
        <v/>
      </c>
      <c r="G688" s="94" t="str">
        <f t="shared" si="2"/>
        <v/>
      </c>
      <c r="H688" s="94" t="str">
        <f t="shared" si="3"/>
        <v/>
      </c>
      <c r="I688" s="94" t="str">
        <f t="shared" ref="I688:J688" si="689">if(G688 = "", , -G688)</f>
        <v/>
      </c>
      <c r="J688" s="94" t="str">
        <f t="shared" si="689"/>
        <v/>
      </c>
      <c r="K688" s="100"/>
      <c r="L688" s="100"/>
      <c r="N688" s="100"/>
      <c r="O688" s="100"/>
      <c r="P688" s="100"/>
    </row>
    <row r="689">
      <c r="A689" s="107">
        <v>201145.0</v>
      </c>
      <c r="B689" s="108" t="s">
        <v>190</v>
      </c>
      <c r="C689" s="108" t="s">
        <v>359</v>
      </c>
      <c r="D689" s="112" t="s">
        <v>176</v>
      </c>
      <c r="E689" s="112">
        <v>1531.8</v>
      </c>
      <c r="F689" s="111" t="str">
        <f>DataPull!D689</f>
        <v/>
      </c>
      <c r="G689" s="94" t="str">
        <f t="shared" si="2"/>
        <v/>
      </c>
      <c r="H689" s="94" t="str">
        <f t="shared" si="3"/>
        <v/>
      </c>
      <c r="I689" s="94" t="str">
        <f t="shared" ref="I689:J689" si="690">if(G689 = "", , -G689)</f>
        <v/>
      </c>
      <c r="J689" s="94" t="str">
        <f t="shared" si="690"/>
        <v/>
      </c>
      <c r="K689" s="100"/>
      <c r="M689" s="100"/>
      <c r="N689" s="100"/>
      <c r="O689" s="100"/>
      <c r="P689" s="100"/>
    </row>
    <row r="690">
      <c r="A690" s="107">
        <v>201145.0</v>
      </c>
      <c r="B690" s="108" t="s">
        <v>191</v>
      </c>
      <c r="C690" s="108" t="s">
        <v>359</v>
      </c>
      <c r="D690" s="112" t="s">
        <v>176</v>
      </c>
      <c r="E690" s="112">
        <v>1825.2</v>
      </c>
      <c r="F690" s="111" t="str">
        <f>DataPull!D690</f>
        <v/>
      </c>
      <c r="G690" s="94" t="str">
        <f t="shared" si="2"/>
        <v/>
      </c>
      <c r="H690" s="94" t="str">
        <f t="shared" si="3"/>
        <v/>
      </c>
      <c r="I690" s="94" t="str">
        <f t="shared" ref="I690:J690" si="691">if(G690 = "", , -G690)</f>
        <v/>
      </c>
      <c r="J690" s="94" t="str">
        <f t="shared" si="691"/>
        <v/>
      </c>
      <c r="K690" s="100"/>
      <c r="L690" s="100"/>
      <c r="M690" s="100"/>
      <c r="N690" s="100"/>
      <c r="O690" s="100"/>
      <c r="P690" s="100"/>
    </row>
    <row r="691">
      <c r="A691" s="107">
        <v>201145.0</v>
      </c>
      <c r="B691" s="108" t="s">
        <v>192</v>
      </c>
      <c r="C691" s="108" t="s">
        <v>359</v>
      </c>
      <c r="D691" s="112" t="s">
        <v>176</v>
      </c>
      <c r="E691" s="112">
        <v>2094.4</v>
      </c>
      <c r="F691" s="111" t="str">
        <f>DataPull!D691</f>
        <v/>
      </c>
      <c r="G691" s="94" t="str">
        <f t="shared" si="2"/>
        <v/>
      </c>
      <c r="H691" s="94" t="str">
        <f t="shared" si="3"/>
        <v/>
      </c>
      <c r="I691" s="94" t="str">
        <f t="shared" ref="I691:J691" si="692">if(G691 = "", , -G691)</f>
        <v/>
      </c>
      <c r="J691" s="94" t="str">
        <f t="shared" si="692"/>
        <v/>
      </c>
      <c r="K691" s="100"/>
      <c r="L691" s="100"/>
      <c r="N691" s="100"/>
      <c r="O691" s="100"/>
      <c r="P691" s="100"/>
    </row>
    <row r="692">
      <c r="A692" s="107">
        <v>201145.0</v>
      </c>
      <c r="B692" s="108" t="s">
        <v>193</v>
      </c>
      <c r="C692" s="108" t="s">
        <v>359</v>
      </c>
      <c r="D692" s="112" t="s">
        <v>177</v>
      </c>
      <c r="E692" s="112">
        <v>960.0</v>
      </c>
      <c r="F692" s="111" t="str">
        <f>DataPull!D692</f>
        <v/>
      </c>
      <c r="G692" s="94" t="str">
        <f t="shared" si="2"/>
        <v/>
      </c>
      <c r="H692" s="94" t="str">
        <f t="shared" si="3"/>
        <v/>
      </c>
      <c r="I692" s="94" t="str">
        <f t="shared" ref="I692:J692" si="693">if(G692 = "", , -G692)</f>
        <v/>
      </c>
      <c r="J692" s="94" t="str">
        <f t="shared" si="693"/>
        <v/>
      </c>
      <c r="K692" s="100"/>
      <c r="M692" s="100"/>
      <c r="N692" s="100"/>
      <c r="O692" s="100"/>
      <c r="P692" s="100"/>
    </row>
    <row r="693">
      <c r="A693" s="107">
        <v>201145.0</v>
      </c>
      <c r="B693" s="108" t="s">
        <v>243</v>
      </c>
      <c r="C693" s="108" t="s">
        <v>359</v>
      </c>
      <c r="D693" s="112" t="s">
        <v>176</v>
      </c>
      <c r="E693" s="112">
        <v>1836.0</v>
      </c>
      <c r="F693" s="111" t="str">
        <f>DataPull!D693</f>
        <v/>
      </c>
      <c r="G693" s="94" t="str">
        <f t="shared" si="2"/>
        <v/>
      </c>
      <c r="H693" s="94" t="str">
        <f t="shared" si="3"/>
        <v/>
      </c>
      <c r="I693" s="94" t="str">
        <f t="shared" ref="I693:J693" si="694">if(G693 = "", , -G693)</f>
        <v/>
      </c>
      <c r="J693" s="94" t="str">
        <f t="shared" si="694"/>
        <v/>
      </c>
      <c r="K693" s="100"/>
      <c r="M693" s="100"/>
      <c r="N693" s="100"/>
      <c r="O693" s="100"/>
      <c r="P693" s="100"/>
    </row>
    <row r="694">
      <c r="A694" s="107">
        <v>201145.0</v>
      </c>
      <c r="B694" s="108" t="s">
        <v>215</v>
      </c>
      <c r="C694" s="108" t="s">
        <v>359</v>
      </c>
      <c r="D694" s="112" t="s">
        <v>176</v>
      </c>
      <c r="E694" s="112">
        <v>1852.5</v>
      </c>
      <c r="F694" s="111" t="str">
        <f>DataPull!D694</f>
        <v/>
      </c>
      <c r="G694" s="94" t="str">
        <f t="shared" si="2"/>
        <v/>
      </c>
      <c r="H694" s="94" t="str">
        <f t="shared" si="3"/>
        <v/>
      </c>
      <c r="I694" s="94" t="str">
        <f t="shared" ref="I694:J694" si="695">if(G694 = "", , -G694)</f>
        <v/>
      </c>
      <c r="J694" s="94" t="str">
        <f t="shared" si="695"/>
        <v/>
      </c>
      <c r="K694" s="100"/>
      <c r="M694" s="100"/>
      <c r="N694" s="100"/>
      <c r="O694" s="100"/>
      <c r="P694" s="100"/>
    </row>
    <row r="695">
      <c r="A695" s="107">
        <v>201145.0</v>
      </c>
      <c r="B695" s="108" t="s">
        <v>244</v>
      </c>
      <c r="C695" s="108" t="s">
        <v>359</v>
      </c>
      <c r="D695" s="112" t="s">
        <v>177</v>
      </c>
      <c r="E695" s="112">
        <v>1092.0</v>
      </c>
      <c r="F695" s="111" t="str">
        <f>DataPull!D695</f>
        <v/>
      </c>
      <c r="G695" s="94" t="str">
        <f t="shared" si="2"/>
        <v/>
      </c>
      <c r="H695" s="94" t="str">
        <f t="shared" si="3"/>
        <v/>
      </c>
      <c r="I695" s="94" t="str">
        <f t="shared" ref="I695:J695" si="696">if(G695 = "", , -G695)</f>
        <v/>
      </c>
      <c r="J695" s="94" t="str">
        <f t="shared" si="696"/>
        <v/>
      </c>
      <c r="K695" s="100"/>
      <c r="L695" s="100"/>
      <c r="N695" s="100"/>
      <c r="O695" s="100"/>
      <c r="P695" s="100"/>
    </row>
    <row r="696">
      <c r="A696" s="107">
        <v>201145.0</v>
      </c>
      <c r="B696" s="108" t="s">
        <v>245</v>
      </c>
      <c r="C696" s="108" t="s">
        <v>359</v>
      </c>
      <c r="D696" s="112" t="s">
        <v>177</v>
      </c>
      <c r="E696" s="112">
        <v>1310.4</v>
      </c>
      <c r="F696" s="111" t="str">
        <f>DataPull!D696</f>
        <v/>
      </c>
      <c r="G696" s="94" t="str">
        <f t="shared" si="2"/>
        <v/>
      </c>
      <c r="H696" s="94" t="str">
        <f t="shared" si="3"/>
        <v/>
      </c>
      <c r="I696" s="94" t="str">
        <f t="shared" ref="I696:J696" si="697">if(G696 = "", , -G696)</f>
        <v/>
      </c>
      <c r="J696" s="94" t="str">
        <f t="shared" si="697"/>
        <v/>
      </c>
      <c r="K696" s="100"/>
      <c r="M696" s="100"/>
      <c r="N696" s="100"/>
      <c r="O696" s="100"/>
      <c r="P696" s="100"/>
    </row>
    <row r="697">
      <c r="A697" s="107">
        <v>201145.0</v>
      </c>
      <c r="B697" s="108" t="s">
        <v>246</v>
      </c>
      <c r="C697" s="108" t="s">
        <v>359</v>
      </c>
      <c r="D697" s="112" t="s">
        <v>177</v>
      </c>
      <c r="E697" s="112">
        <v>396.8</v>
      </c>
      <c r="F697" s="111" t="str">
        <f>DataPull!D697</f>
        <v/>
      </c>
      <c r="G697" s="94" t="str">
        <f t="shared" si="2"/>
        <v/>
      </c>
      <c r="H697" s="94" t="str">
        <f t="shared" si="3"/>
        <v/>
      </c>
      <c r="I697" s="94" t="str">
        <f t="shared" ref="I697:J697" si="698">if(G697 = "", , -G697)</f>
        <v/>
      </c>
      <c r="J697" s="94" t="str">
        <f t="shared" si="698"/>
        <v/>
      </c>
      <c r="K697" s="100"/>
      <c r="M697" s="100"/>
      <c r="N697" s="100"/>
      <c r="O697" s="100"/>
      <c r="P697" s="100"/>
    </row>
    <row r="698">
      <c r="A698" s="114">
        <v>201145.0</v>
      </c>
      <c r="B698" s="113" t="s">
        <v>247</v>
      </c>
      <c r="C698" s="113" t="s">
        <v>359</v>
      </c>
      <c r="D698" s="112" t="s">
        <v>187</v>
      </c>
      <c r="E698" s="112">
        <v>174.0</v>
      </c>
      <c r="F698" s="111" t="str">
        <f>DataPull!D698</f>
        <v/>
      </c>
      <c r="G698" s="94" t="str">
        <f t="shared" si="2"/>
        <v/>
      </c>
      <c r="H698" s="94" t="str">
        <f t="shared" si="3"/>
        <v/>
      </c>
      <c r="I698" s="94" t="str">
        <f t="shared" ref="I698:J698" si="699">if(G698 = "", , -G698)</f>
        <v/>
      </c>
      <c r="J698" s="94" t="str">
        <f t="shared" si="699"/>
        <v/>
      </c>
      <c r="K698" s="100"/>
      <c r="M698" s="100"/>
      <c r="N698" s="100"/>
      <c r="O698" s="100"/>
      <c r="P698" s="100"/>
    </row>
    <row r="699">
      <c r="A699" s="107">
        <v>201147.0</v>
      </c>
      <c r="B699" s="108" t="s">
        <v>85</v>
      </c>
      <c r="C699" s="108" t="s">
        <v>360</v>
      </c>
      <c r="D699" s="112" t="s">
        <v>178</v>
      </c>
      <c r="E699" s="112">
        <v>2608.2</v>
      </c>
      <c r="F699" s="111" t="str">
        <f>DataPull!D699</f>
        <v/>
      </c>
      <c r="G699" s="94" t="str">
        <f t="shared" si="2"/>
        <v/>
      </c>
      <c r="H699" s="94" t="str">
        <f t="shared" si="3"/>
        <v/>
      </c>
      <c r="I699" s="94" t="str">
        <f t="shared" ref="I699:J699" si="700">if(G699 = "", , -G699)</f>
        <v/>
      </c>
      <c r="J699" s="94" t="str">
        <f t="shared" si="700"/>
        <v/>
      </c>
      <c r="K699" s="100"/>
      <c r="M699" s="100"/>
      <c r="N699" s="100"/>
      <c r="O699" s="100"/>
      <c r="P699" s="100"/>
    </row>
    <row r="700">
      <c r="A700" s="107">
        <v>201147.0</v>
      </c>
      <c r="B700" s="108" t="s">
        <v>90</v>
      </c>
      <c r="C700" s="108" t="s">
        <v>360</v>
      </c>
      <c r="D700" s="112" t="s">
        <v>176</v>
      </c>
      <c r="E700" s="112">
        <v>2088.0</v>
      </c>
      <c r="F700" s="111" t="str">
        <f>DataPull!D700</f>
        <v/>
      </c>
      <c r="G700" s="94" t="str">
        <f t="shared" si="2"/>
        <v/>
      </c>
      <c r="H700" s="94" t="str">
        <f t="shared" si="3"/>
        <v/>
      </c>
      <c r="I700" s="94" t="str">
        <f t="shared" ref="I700:J700" si="701">if(G700 = "", , -G700)</f>
        <v/>
      </c>
      <c r="J700" s="94" t="str">
        <f t="shared" si="701"/>
        <v/>
      </c>
      <c r="K700" s="100"/>
      <c r="M700" s="100"/>
      <c r="N700" s="100"/>
      <c r="O700" s="100"/>
      <c r="P700" s="100"/>
    </row>
    <row r="701">
      <c r="A701" s="107">
        <v>201147.0</v>
      </c>
      <c r="B701" s="108" t="s">
        <v>92</v>
      </c>
      <c r="C701" s="108" t="s">
        <v>360</v>
      </c>
      <c r="D701" s="112" t="s">
        <v>176</v>
      </c>
      <c r="E701" s="112">
        <v>1672.8</v>
      </c>
      <c r="F701" s="111" t="str">
        <f>DataPull!D701</f>
        <v/>
      </c>
      <c r="G701" s="94" t="str">
        <f t="shared" si="2"/>
        <v/>
      </c>
      <c r="H701" s="94" t="str">
        <f t="shared" si="3"/>
        <v/>
      </c>
      <c r="I701" s="94" t="str">
        <f t="shared" ref="I701:J701" si="702">if(G701 = "", , -G701)</f>
        <v/>
      </c>
      <c r="J701" s="94" t="str">
        <f t="shared" si="702"/>
        <v/>
      </c>
      <c r="K701" s="100"/>
      <c r="L701" s="100"/>
      <c r="N701" s="100"/>
      <c r="O701" s="100"/>
      <c r="P701" s="100"/>
    </row>
    <row r="702">
      <c r="A702" s="107">
        <v>201147.0</v>
      </c>
      <c r="B702" s="108" t="s">
        <v>190</v>
      </c>
      <c r="C702" s="108" t="s">
        <v>360</v>
      </c>
      <c r="D702" s="112" t="s">
        <v>177</v>
      </c>
      <c r="E702" s="112">
        <v>1279.2</v>
      </c>
      <c r="F702" s="111" t="str">
        <f>DataPull!D702</f>
        <v/>
      </c>
      <c r="G702" s="94" t="str">
        <f t="shared" si="2"/>
        <v/>
      </c>
      <c r="H702" s="94" t="str">
        <f t="shared" si="3"/>
        <v/>
      </c>
      <c r="I702" s="94" t="str">
        <f t="shared" ref="I702:J702" si="703">if(G702 = "", , -G702)</f>
        <v/>
      </c>
      <c r="J702" s="94" t="str">
        <f t="shared" si="703"/>
        <v/>
      </c>
      <c r="K702" s="100"/>
      <c r="L702" s="100"/>
      <c r="N702" s="100"/>
      <c r="O702" s="100"/>
      <c r="P702" s="100"/>
    </row>
    <row r="703">
      <c r="A703" s="107">
        <v>201147.0</v>
      </c>
      <c r="B703" s="108" t="s">
        <v>191</v>
      </c>
      <c r="C703" s="108" t="s">
        <v>360</v>
      </c>
      <c r="D703" s="112" t="s">
        <v>177</v>
      </c>
      <c r="E703" s="112">
        <v>1209.6</v>
      </c>
      <c r="F703" s="111" t="str">
        <f>DataPull!D703</f>
        <v/>
      </c>
      <c r="G703" s="94" t="str">
        <f t="shared" si="2"/>
        <v/>
      </c>
      <c r="H703" s="94" t="str">
        <f t="shared" si="3"/>
        <v/>
      </c>
      <c r="I703" s="94" t="str">
        <f t="shared" ref="I703:J703" si="704">if(G703 = "", , -G703)</f>
        <v/>
      </c>
      <c r="J703" s="94" t="str">
        <f t="shared" si="704"/>
        <v/>
      </c>
      <c r="K703" s="100"/>
      <c r="M703" s="100"/>
      <c r="N703" s="100"/>
      <c r="O703" s="100"/>
      <c r="P703" s="100"/>
    </row>
    <row r="704">
      <c r="A704" s="107">
        <v>201147.0</v>
      </c>
      <c r="B704" s="108" t="s">
        <v>192</v>
      </c>
      <c r="C704" s="108" t="s">
        <v>360</v>
      </c>
      <c r="D704" s="112" t="s">
        <v>177</v>
      </c>
      <c r="E704" s="112">
        <v>492.9</v>
      </c>
      <c r="F704" s="111" t="str">
        <f>DataPull!D704</f>
        <v/>
      </c>
      <c r="G704" s="94" t="str">
        <f t="shared" si="2"/>
        <v/>
      </c>
      <c r="H704" s="94" t="str">
        <f t="shared" si="3"/>
        <v/>
      </c>
      <c r="I704" s="94" t="str">
        <f t="shared" ref="I704:J704" si="705">if(G704 = "", , -G704)</f>
        <v/>
      </c>
      <c r="J704" s="94" t="str">
        <f t="shared" si="705"/>
        <v/>
      </c>
      <c r="K704" s="100"/>
      <c r="M704" s="100"/>
      <c r="N704" s="100"/>
      <c r="O704" s="100"/>
      <c r="P704" s="100"/>
    </row>
    <row r="705">
      <c r="A705" s="107">
        <v>201147.0</v>
      </c>
      <c r="B705" s="108" t="s">
        <v>193</v>
      </c>
      <c r="C705" s="108" t="s">
        <v>360</v>
      </c>
      <c r="D705" s="112" t="s">
        <v>181</v>
      </c>
      <c r="E705" s="112">
        <v>32.5</v>
      </c>
      <c r="F705" s="111" t="str">
        <f>DataPull!D705</f>
        <v/>
      </c>
      <c r="G705" s="94" t="str">
        <f t="shared" si="2"/>
        <v/>
      </c>
      <c r="H705" s="94" t="str">
        <f t="shared" si="3"/>
        <v/>
      </c>
      <c r="I705" s="94" t="str">
        <f t="shared" ref="I705:J705" si="706">if(G705 = "", , -G705)</f>
        <v/>
      </c>
      <c r="J705" s="94" t="str">
        <f t="shared" si="706"/>
        <v/>
      </c>
      <c r="K705" s="100"/>
      <c r="M705" s="100"/>
      <c r="N705" s="100"/>
      <c r="O705" s="100"/>
      <c r="P705" s="100"/>
    </row>
    <row r="706">
      <c r="A706" s="107">
        <v>201148.0</v>
      </c>
      <c r="B706" s="108" t="s">
        <v>85</v>
      </c>
      <c r="C706" s="108" t="s">
        <v>361</v>
      </c>
      <c r="D706" s="112" t="s">
        <v>177</v>
      </c>
      <c r="E706" s="112">
        <v>1078.8</v>
      </c>
      <c r="F706" s="111" t="str">
        <f>DataPull!D706</f>
        <v/>
      </c>
      <c r="G706" s="94" t="str">
        <f t="shared" si="2"/>
        <v/>
      </c>
      <c r="H706" s="94" t="str">
        <f t="shared" si="3"/>
        <v/>
      </c>
      <c r="I706" s="94" t="str">
        <f t="shared" ref="I706:J706" si="707">if(G706 = "", , -G706)</f>
        <v/>
      </c>
      <c r="J706" s="94" t="str">
        <f t="shared" si="707"/>
        <v/>
      </c>
      <c r="K706" s="100"/>
      <c r="M706" s="100"/>
      <c r="N706" s="100"/>
      <c r="O706" s="100"/>
      <c r="P706" s="100"/>
    </row>
    <row r="707">
      <c r="A707" s="107">
        <v>201148.0</v>
      </c>
      <c r="B707" s="108" t="s">
        <v>90</v>
      </c>
      <c r="C707" s="108" t="s">
        <v>361</v>
      </c>
      <c r="D707" s="112" t="s">
        <v>176</v>
      </c>
      <c r="E707" s="112">
        <v>1447.5</v>
      </c>
      <c r="F707" s="111" t="str">
        <f>DataPull!D707</f>
        <v/>
      </c>
      <c r="G707" s="94" t="str">
        <f t="shared" si="2"/>
        <v/>
      </c>
      <c r="H707" s="94" t="str">
        <f t="shared" si="3"/>
        <v/>
      </c>
      <c r="I707" s="94" t="str">
        <f t="shared" ref="I707:J707" si="708">if(G707 = "", , -G707)</f>
        <v/>
      </c>
      <c r="J707" s="94" t="str">
        <f t="shared" si="708"/>
        <v/>
      </c>
      <c r="K707" s="100"/>
      <c r="L707" s="100"/>
      <c r="N707" s="100"/>
      <c r="O707" s="100"/>
      <c r="P707" s="100"/>
    </row>
    <row r="708">
      <c r="A708" s="107">
        <v>201148.0</v>
      </c>
      <c r="B708" s="108" t="s">
        <v>92</v>
      </c>
      <c r="C708" s="108" t="s">
        <v>361</v>
      </c>
      <c r="D708" s="112" t="s">
        <v>187</v>
      </c>
      <c r="E708" s="112">
        <v>212.4</v>
      </c>
      <c r="F708" s="111" t="str">
        <f>DataPull!D708</f>
        <v/>
      </c>
      <c r="G708" s="94" t="str">
        <f t="shared" si="2"/>
        <v/>
      </c>
      <c r="H708" s="94" t="str">
        <f t="shared" si="3"/>
        <v/>
      </c>
      <c r="I708" s="94" t="str">
        <f t="shared" ref="I708:J708" si="709">if(G708 = "", , -G708)</f>
        <v/>
      </c>
      <c r="J708" s="94" t="str">
        <f t="shared" si="709"/>
        <v/>
      </c>
      <c r="K708" s="100"/>
      <c r="M708" s="100"/>
      <c r="N708" s="100"/>
      <c r="O708" s="100"/>
      <c r="P708" s="100"/>
    </row>
    <row r="709">
      <c r="A709" s="107">
        <v>201148.0</v>
      </c>
      <c r="B709" s="108" t="s">
        <v>190</v>
      </c>
      <c r="C709" s="108" t="s">
        <v>361</v>
      </c>
      <c r="D709" s="112" t="s">
        <v>177</v>
      </c>
      <c r="E709" s="112">
        <v>448.0</v>
      </c>
      <c r="F709" s="111" t="str">
        <f>DataPull!D709</f>
        <v/>
      </c>
      <c r="G709" s="94" t="str">
        <f t="shared" si="2"/>
        <v/>
      </c>
      <c r="H709" s="94" t="str">
        <f t="shared" si="3"/>
        <v/>
      </c>
      <c r="I709" s="94" t="str">
        <f t="shared" ref="I709:J709" si="710">if(G709 = "", , -G709)</f>
        <v/>
      </c>
      <c r="J709" s="94" t="str">
        <f t="shared" si="710"/>
        <v/>
      </c>
      <c r="K709" s="100"/>
      <c r="M709" s="100"/>
      <c r="N709" s="100"/>
      <c r="O709" s="100"/>
      <c r="P709" s="100"/>
    </row>
    <row r="710">
      <c r="A710" s="107">
        <v>201148.0</v>
      </c>
      <c r="B710" s="108" t="s">
        <v>191</v>
      </c>
      <c r="C710" s="108" t="s">
        <v>361</v>
      </c>
      <c r="D710" s="112" t="s">
        <v>177</v>
      </c>
      <c r="E710" s="112">
        <v>380.8</v>
      </c>
      <c r="F710" s="111" t="str">
        <f>DataPull!D710</f>
        <v/>
      </c>
      <c r="G710" s="94" t="str">
        <f t="shared" si="2"/>
        <v/>
      </c>
      <c r="H710" s="94" t="str">
        <f t="shared" si="3"/>
        <v/>
      </c>
      <c r="I710" s="94" t="str">
        <f t="shared" ref="I710:J710" si="711">if(G710 = "", , -G710)</f>
        <v/>
      </c>
      <c r="J710" s="94" t="str">
        <f t="shared" si="711"/>
        <v/>
      </c>
      <c r="K710" s="100"/>
      <c r="M710" s="100"/>
      <c r="N710" s="100"/>
      <c r="O710" s="100"/>
      <c r="P710" s="100"/>
    </row>
    <row r="711">
      <c r="A711" s="107">
        <v>201149.0</v>
      </c>
      <c r="B711" s="108" t="s">
        <v>85</v>
      </c>
      <c r="C711" s="108" t="s">
        <v>362</v>
      </c>
      <c r="D711" s="112" t="s">
        <v>184</v>
      </c>
      <c r="E711" s="112">
        <v>2816.0</v>
      </c>
      <c r="F711" s="111" t="str">
        <f>DataPull!D711</f>
        <v/>
      </c>
      <c r="G711" s="94" t="str">
        <f t="shared" si="2"/>
        <v/>
      </c>
      <c r="H711" s="94" t="str">
        <f t="shared" si="3"/>
        <v/>
      </c>
      <c r="I711" s="94" t="str">
        <f t="shared" ref="I711:J711" si="712">if(G711 = "", , -G711)</f>
        <v/>
      </c>
      <c r="J711" s="94" t="str">
        <f t="shared" si="712"/>
        <v/>
      </c>
      <c r="K711" s="100"/>
      <c r="M711" s="100"/>
      <c r="N711" s="100"/>
      <c r="O711" s="100"/>
      <c r="P711" s="100"/>
    </row>
    <row r="712">
      <c r="A712" s="107">
        <v>201149.0</v>
      </c>
      <c r="B712" s="108" t="s">
        <v>90</v>
      </c>
      <c r="C712" s="108" t="s">
        <v>362</v>
      </c>
      <c r="D712" s="112" t="s">
        <v>184</v>
      </c>
      <c r="E712" s="112">
        <v>2050.2</v>
      </c>
      <c r="F712" s="111" t="str">
        <f>DataPull!D712</f>
        <v/>
      </c>
      <c r="G712" s="94" t="str">
        <f t="shared" si="2"/>
        <v/>
      </c>
      <c r="H712" s="94" t="str">
        <f t="shared" si="3"/>
        <v/>
      </c>
      <c r="I712" s="94" t="str">
        <f t="shared" ref="I712:J712" si="713">if(G712 = "", , -G712)</f>
        <v/>
      </c>
      <c r="J712" s="94" t="str">
        <f t="shared" si="713"/>
        <v/>
      </c>
      <c r="K712" s="100"/>
      <c r="M712" s="100"/>
      <c r="N712" s="100"/>
      <c r="O712" s="100"/>
      <c r="P712" s="100"/>
    </row>
    <row r="713">
      <c r="A713" s="107">
        <v>201149.0</v>
      </c>
      <c r="B713" s="108" t="s">
        <v>92</v>
      </c>
      <c r="C713" s="108" t="s">
        <v>362</v>
      </c>
      <c r="D713" s="112" t="s">
        <v>177</v>
      </c>
      <c r="E713" s="112">
        <v>635.1</v>
      </c>
      <c r="F713" s="111" t="str">
        <f>DataPull!D713</f>
        <v/>
      </c>
      <c r="G713" s="94" t="str">
        <f t="shared" si="2"/>
        <v/>
      </c>
      <c r="H713" s="94" t="str">
        <f t="shared" si="3"/>
        <v/>
      </c>
      <c r="I713" s="94" t="str">
        <f t="shared" ref="I713:J713" si="714">if(G713 = "", , -G713)</f>
        <v/>
      </c>
      <c r="J713" s="94" t="str">
        <f t="shared" si="714"/>
        <v/>
      </c>
      <c r="K713" s="100"/>
      <c r="M713" s="100"/>
      <c r="N713" s="100"/>
      <c r="O713" s="100"/>
      <c r="P713" s="100"/>
    </row>
    <row r="714">
      <c r="A714" s="107">
        <v>201149.0</v>
      </c>
      <c r="B714" s="108" t="s">
        <v>190</v>
      </c>
      <c r="C714" s="108" t="s">
        <v>362</v>
      </c>
      <c r="D714" s="112" t="s">
        <v>176</v>
      </c>
      <c r="E714" s="112">
        <v>1016.6</v>
      </c>
      <c r="F714" s="111" t="str">
        <f>DataPull!D714</f>
        <v/>
      </c>
      <c r="G714" s="94" t="str">
        <f t="shared" si="2"/>
        <v/>
      </c>
      <c r="H714" s="94" t="str">
        <f t="shared" si="3"/>
        <v/>
      </c>
      <c r="I714" s="94" t="str">
        <f t="shared" ref="I714:J714" si="715">if(G714 = "", , -G714)</f>
        <v/>
      </c>
      <c r="J714" s="94" t="str">
        <f t="shared" si="715"/>
        <v/>
      </c>
      <c r="K714" s="100"/>
      <c r="L714" s="100"/>
      <c r="N714" s="100"/>
      <c r="O714" s="100"/>
      <c r="P714" s="100"/>
    </row>
    <row r="715">
      <c r="A715" s="107">
        <v>201149.0</v>
      </c>
      <c r="B715" s="108" t="s">
        <v>191</v>
      </c>
      <c r="C715" s="108" t="s">
        <v>362</v>
      </c>
      <c r="D715" s="112" t="s">
        <v>181</v>
      </c>
      <c r="E715" s="112">
        <v>39.9</v>
      </c>
      <c r="F715" s="111" t="str">
        <f>DataPull!D715</f>
        <v/>
      </c>
      <c r="G715" s="94" t="str">
        <f t="shared" si="2"/>
        <v/>
      </c>
      <c r="H715" s="94" t="str">
        <f t="shared" si="3"/>
        <v/>
      </c>
      <c r="I715" s="94" t="str">
        <f t="shared" ref="I715:J715" si="716">if(G715 = "", , -G715)</f>
        <v/>
      </c>
      <c r="J715" s="94" t="str">
        <f t="shared" si="716"/>
        <v/>
      </c>
      <c r="K715" s="100"/>
      <c r="M715" s="100"/>
      <c r="N715" s="100"/>
      <c r="O715" s="100"/>
      <c r="P715" s="100"/>
    </row>
    <row r="716">
      <c r="A716" s="107">
        <v>201149.0</v>
      </c>
      <c r="B716" s="108" t="s">
        <v>192</v>
      </c>
      <c r="C716" s="108" t="s">
        <v>362</v>
      </c>
      <c r="D716" s="112" t="s">
        <v>177</v>
      </c>
      <c r="E716" s="112">
        <v>693.0</v>
      </c>
      <c r="F716" s="111" t="str">
        <f>DataPull!D716</f>
        <v/>
      </c>
      <c r="G716" s="94" t="str">
        <f t="shared" si="2"/>
        <v/>
      </c>
      <c r="H716" s="94" t="str">
        <f t="shared" si="3"/>
        <v/>
      </c>
      <c r="I716" s="94" t="str">
        <f t="shared" ref="I716:J716" si="717">if(G716 = "", , -G716)</f>
        <v/>
      </c>
      <c r="J716" s="94" t="str">
        <f t="shared" si="717"/>
        <v/>
      </c>
      <c r="K716" s="100"/>
      <c r="L716" s="100"/>
      <c r="M716" s="100"/>
      <c r="N716" s="100"/>
      <c r="O716" s="100"/>
      <c r="P716" s="100"/>
    </row>
    <row r="717">
      <c r="A717" s="107">
        <v>201149.0</v>
      </c>
      <c r="B717" s="108" t="s">
        <v>193</v>
      </c>
      <c r="C717" s="108" t="s">
        <v>362</v>
      </c>
      <c r="D717" s="112" t="s">
        <v>181</v>
      </c>
      <c r="E717" s="112">
        <v>50.0</v>
      </c>
      <c r="F717" s="111" t="str">
        <f>DataPull!D717</f>
        <v/>
      </c>
      <c r="G717" s="94" t="str">
        <f t="shared" si="2"/>
        <v/>
      </c>
      <c r="H717" s="94" t="str">
        <f t="shared" si="3"/>
        <v/>
      </c>
      <c r="I717" s="94" t="str">
        <f t="shared" ref="I717:J717" si="718">if(G717 = "", , -G717)</f>
        <v/>
      </c>
      <c r="J717" s="94" t="str">
        <f t="shared" si="718"/>
        <v/>
      </c>
      <c r="K717" s="100"/>
      <c r="M717" s="100"/>
      <c r="N717" s="100"/>
      <c r="O717" s="100"/>
      <c r="P717" s="100"/>
    </row>
    <row r="718">
      <c r="A718" s="107">
        <v>201150.0</v>
      </c>
      <c r="B718" s="108" t="s">
        <v>85</v>
      </c>
      <c r="C718" s="108" t="s">
        <v>363</v>
      </c>
      <c r="D718" s="112" t="s">
        <v>178</v>
      </c>
      <c r="E718" s="112">
        <v>2472.0</v>
      </c>
      <c r="F718" s="111" t="str">
        <f>DataPull!D718</f>
        <v/>
      </c>
      <c r="G718" s="94" t="str">
        <f t="shared" si="2"/>
        <v/>
      </c>
      <c r="H718" s="94" t="str">
        <f t="shared" si="3"/>
        <v/>
      </c>
      <c r="I718" s="94" t="str">
        <f t="shared" ref="I718:J718" si="719">if(G718 = "", , -G718)</f>
        <v/>
      </c>
      <c r="J718" s="94" t="str">
        <f t="shared" si="719"/>
        <v/>
      </c>
      <c r="K718" s="100"/>
      <c r="L718" s="100"/>
      <c r="N718" s="100"/>
      <c r="O718" s="100"/>
      <c r="P718" s="100"/>
    </row>
    <row r="719">
      <c r="A719" s="107">
        <v>201150.0</v>
      </c>
      <c r="B719" s="108" t="s">
        <v>90</v>
      </c>
      <c r="C719" s="108" t="s">
        <v>363</v>
      </c>
      <c r="D719" s="112" t="s">
        <v>177</v>
      </c>
      <c r="E719" s="112">
        <v>1277.5</v>
      </c>
      <c r="F719" s="111" t="str">
        <f>DataPull!D719</f>
        <v/>
      </c>
      <c r="G719" s="94" t="str">
        <f t="shared" si="2"/>
        <v/>
      </c>
      <c r="H719" s="94" t="str">
        <f t="shared" si="3"/>
        <v/>
      </c>
      <c r="I719" s="94" t="str">
        <f t="shared" ref="I719:J719" si="720">if(G719 = "", , -G719)</f>
        <v/>
      </c>
      <c r="J719" s="94" t="str">
        <f t="shared" si="720"/>
        <v/>
      </c>
      <c r="K719" s="100"/>
      <c r="L719" s="100"/>
      <c r="M719" s="100"/>
      <c r="N719" s="100"/>
      <c r="O719" s="100"/>
      <c r="P719" s="100"/>
    </row>
    <row r="720">
      <c r="A720" s="107">
        <v>201150.0</v>
      </c>
      <c r="B720" s="108" t="s">
        <v>92</v>
      </c>
      <c r="C720" s="108" t="s">
        <v>363</v>
      </c>
      <c r="D720" s="112" t="s">
        <v>177</v>
      </c>
      <c r="E720" s="112">
        <v>1037.4</v>
      </c>
      <c r="F720" s="111" t="str">
        <f>DataPull!D720</f>
        <v/>
      </c>
      <c r="G720" s="94" t="str">
        <f t="shared" si="2"/>
        <v/>
      </c>
      <c r="H720" s="94" t="str">
        <f t="shared" si="3"/>
        <v/>
      </c>
      <c r="I720" s="94" t="str">
        <f t="shared" ref="I720:J720" si="721">if(G720 = "", , -G720)</f>
        <v/>
      </c>
      <c r="J720" s="94" t="str">
        <f t="shared" si="721"/>
        <v/>
      </c>
      <c r="K720" s="100"/>
      <c r="M720" s="100"/>
      <c r="N720" s="100"/>
      <c r="O720" s="100"/>
      <c r="P720" s="100"/>
    </row>
    <row r="721">
      <c r="A721" s="107">
        <v>201150.0</v>
      </c>
      <c r="B721" s="108" t="s">
        <v>190</v>
      </c>
      <c r="C721" s="108" t="s">
        <v>363</v>
      </c>
      <c r="D721" s="112" t="s">
        <v>177</v>
      </c>
      <c r="E721" s="112">
        <v>799.2</v>
      </c>
      <c r="F721" s="111" t="str">
        <f>DataPull!D721</f>
        <v/>
      </c>
      <c r="G721" s="94" t="str">
        <f t="shared" si="2"/>
        <v/>
      </c>
      <c r="H721" s="94" t="str">
        <f t="shared" si="3"/>
        <v/>
      </c>
      <c r="I721" s="94" t="str">
        <f t="shared" ref="I721:J721" si="722">if(G721 = "", , -G721)</f>
        <v/>
      </c>
      <c r="J721" s="94" t="str">
        <f t="shared" si="722"/>
        <v/>
      </c>
      <c r="K721" s="100"/>
      <c r="M721" s="100"/>
      <c r="N721" s="100"/>
      <c r="O721" s="100"/>
      <c r="P721" s="100"/>
    </row>
    <row r="722">
      <c r="A722" s="107">
        <v>201152.0</v>
      </c>
      <c r="B722" s="108" t="s">
        <v>85</v>
      </c>
      <c r="C722" s="108" t="s">
        <v>364</v>
      </c>
      <c r="D722" s="112" t="s">
        <v>178</v>
      </c>
      <c r="E722" s="112">
        <v>2717.6</v>
      </c>
      <c r="F722" s="111" t="str">
        <f>DataPull!D722</f>
        <v/>
      </c>
      <c r="G722" s="94" t="str">
        <f t="shared" si="2"/>
        <v/>
      </c>
      <c r="H722" s="94" t="str">
        <f t="shared" si="3"/>
        <v/>
      </c>
      <c r="I722" s="94" t="str">
        <f t="shared" ref="I722:J722" si="723">if(G722 = "", , -G722)</f>
        <v/>
      </c>
      <c r="J722" s="94" t="str">
        <f t="shared" si="723"/>
        <v/>
      </c>
      <c r="K722" s="100"/>
      <c r="M722" s="100"/>
      <c r="N722" s="100"/>
      <c r="O722" s="100"/>
      <c r="P722" s="100"/>
    </row>
    <row r="723">
      <c r="A723" s="107">
        <v>201152.0</v>
      </c>
      <c r="B723" s="108" t="s">
        <v>90</v>
      </c>
      <c r="C723" s="108" t="s">
        <v>364</v>
      </c>
      <c r="D723" s="112" t="s">
        <v>178</v>
      </c>
      <c r="E723" s="112">
        <v>2432.0</v>
      </c>
      <c r="F723" s="111" t="str">
        <f>DataPull!D723</f>
        <v/>
      </c>
      <c r="G723" s="94" t="str">
        <f t="shared" si="2"/>
        <v/>
      </c>
      <c r="H723" s="94" t="str">
        <f t="shared" si="3"/>
        <v/>
      </c>
      <c r="I723" s="94" t="str">
        <f t="shared" ref="I723:J723" si="724">if(G723 = "", , -G723)</f>
        <v/>
      </c>
      <c r="J723" s="94" t="str">
        <f t="shared" si="724"/>
        <v/>
      </c>
      <c r="K723" s="100"/>
      <c r="M723" s="100"/>
      <c r="N723" s="100"/>
      <c r="O723" s="100"/>
      <c r="P723" s="100"/>
    </row>
    <row r="724">
      <c r="A724" s="107">
        <v>201152.0</v>
      </c>
      <c r="B724" s="108" t="s">
        <v>92</v>
      </c>
      <c r="C724" s="108" t="s">
        <v>364</v>
      </c>
      <c r="D724" s="112" t="s">
        <v>178</v>
      </c>
      <c r="E724" s="112">
        <v>2409.0</v>
      </c>
      <c r="F724" s="111" t="str">
        <f>DataPull!D724</f>
        <v/>
      </c>
      <c r="G724" s="94" t="str">
        <f t="shared" si="2"/>
        <v/>
      </c>
      <c r="H724" s="94" t="str">
        <f t="shared" si="3"/>
        <v/>
      </c>
      <c r="I724" s="94" t="str">
        <f t="shared" ref="I724:J724" si="725">if(G724 = "", , -G724)</f>
        <v/>
      </c>
      <c r="J724" s="94" t="str">
        <f t="shared" si="725"/>
        <v/>
      </c>
      <c r="K724" s="100"/>
      <c r="M724" s="100"/>
      <c r="N724" s="100"/>
      <c r="O724" s="100"/>
      <c r="P724" s="100"/>
    </row>
    <row r="725">
      <c r="A725" s="107">
        <v>201152.0</v>
      </c>
      <c r="B725" s="108" t="s">
        <v>190</v>
      </c>
      <c r="C725" s="108" t="s">
        <v>364</v>
      </c>
      <c r="D725" s="112" t="s">
        <v>178</v>
      </c>
      <c r="E725" s="112">
        <v>2234.8</v>
      </c>
      <c r="F725" s="111" t="str">
        <f>DataPull!D725</f>
        <v/>
      </c>
      <c r="G725" s="94" t="str">
        <f t="shared" si="2"/>
        <v/>
      </c>
      <c r="H725" s="94" t="str">
        <f t="shared" si="3"/>
        <v/>
      </c>
      <c r="I725" s="94" t="str">
        <f t="shared" ref="I725:J725" si="726">if(G725 = "", , -G725)</f>
        <v/>
      </c>
      <c r="J725" s="94" t="str">
        <f t="shared" si="726"/>
        <v/>
      </c>
      <c r="K725" s="100"/>
      <c r="M725" s="100"/>
      <c r="N725" s="100"/>
      <c r="O725" s="100"/>
      <c r="P725" s="100"/>
    </row>
    <row r="726">
      <c r="A726" s="107">
        <v>201152.0</v>
      </c>
      <c r="B726" s="108" t="s">
        <v>191</v>
      </c>
      <c r="C726" s="108" t="s">
        <v>364</v>
      </c>
      <c r="D726" s="112" t="s">
        <v>178</v>
      </c>
      <c r="E726" s="112">
        <v>2608.2</v>
      </c>
      <c r="F726" s="111" t="str">
        <f>DataPull!D726</f>
        <v/>
      </c>
      <c r="G726" s="94" t="str">
        <f t="shared" si="2"/>
        <v/>
      </c>
      <c r="H726" s="94" t="str">
        <f t="shared" si="3"/>
        <v/>
      </c>
      <c r="I726" s="94" t="str">
        <f t="shared" ref="I726:J726" si="727">if(G726 = "", , -G726)</f>
        <v/>
      </c>
      <c r="J726" s="94" t="str">
        <f t="shared" si="727"/>
        <v/>
      </c>
      <c r="K726" s="100"/>
      <c r="M726" s="100"/>
      <c r="N726" s="100"/>
      <c r="O726" s="100"/>
      <c r="P726" s="100"/>
    </row>
    <row r="727">
      <c r="A727" s="107">
        <v>201152.0</v>
      </c>
      <c r="B727" s="108" t="s">
        <v>192</v>
      </c>
      <c r="C727" s="108" t="s">
        <v>364</v>
      </c>
      <c r="D727" s="112" t="s">
        <v>184</v>
      </c>
      <c r="E727" s="112">
        <v>2486.7</v>
      </c>
      <c r="F727" s="111" t="str">
        <f>DataPull!D727</f>
        <v/>
      </c>
      <c r="G727" s="94" t="str">
        <f t="shared" si="2"/>
        <v/>
      </c>
      <c r="H727" s="94" t="str">
        <f t="shared" si="3"/>
        <v/>
      </c>
      <c r="I727" s="94" t="str">
        <f t="shared" ref="I727:J727" si="728">if(G727 = "", , -G727)</f>
        <v/>
      </c>
      <c r="J727" s="94" t="str">
        <f t="shared" si="728"/>
        <v/>
      </c>
      <c r="K727" s="100"/>
      <c r="M727" s="100"/>
      <c r="N727" s="100"/>
      <c r="O727" s="100"/>
      <c r="P727" s="100"/>
    </row>
    <row r="728">
      <c r="A728" s="107">
        <v>201152.0</v>
      </c>
      <c r="B728" s="108" t="s">
        <v>193</v>
      </c>
      <c r="C728" s="108" t="s">
        <v>364</v>
      </c>
      <c r="D728" s="112" t="s">
        <v>176</v>
      </c>
      <c r="E728" s="112">
        <v>1593.6</v>
      </c>
      <c r="F728" s="111" t="str">
        <f>DataPull!D728</f>
        <v/>
      </c>
      <c r="G728" s="94" t="str">
        <f t="shared" si="2"/>
        <v/>
      </c>
      <c r="H728" s="94" t="str">
        <f t="shared" si="3"/>
        <v/>
      </c>
      <c r="I728" s="94" t="str">
        <f t="shared" ref="I728:J728" si="729">if(G728 = "", , -G728)</f>
        <v/>
      </c>
      <c r="J728" s="94" t="str">
        <f t="shared" si="729"/>
        <v/>
      </c>
      <c r="K728" s="100"/>
      <c r="M728" s="100"/>
      <c r="N728" s="100"/>
      <c r="O728" s="100"/>
      <c r="P728" s="100"/>
    </row>
    <row r="729">
      <c r="A729" s="107">
        <v>201152.0</v>
      </c>
      <c r="B729" s="108" t="s">
        <v>243</v>
      </c>
      <c r="C729" s="108" t="s">
        <v>364</v>
      </c>
      <c r="D729" s="112" t="s">
        <v>176</v>
      </c>
      <c r="E729" s="112">
        <v>1652.4</v>
      </c>
      <c r="F729" s="111" t="str">
        <f>DataPull!D729</f>
        <v/>
      </c>
      <c r="G729" s="94" t="str">
        <f t="shared" si="2"/>
        <v/>
      </c>
      <c r="H729" s="94" t="str">
        <f t="shared" si="3"/>
        <v/>
      </c>
      <c r="I729" s="94" t="str">
        <f t="shared" ref="I729:J729" si="730">if(G729 = "", , -G729)</f>
        <v/>
      </c>
      <c r="J729" s="94" t="str">
        <f t="shared" si="730"/>
        <v/>
      </c>
      <c r="K729" s="100"/>
      <c r="M729" s="100"/>
      <c r="N729" s="100"/>
      <c r="O729" s="100"/>
      <c r="P729" s="100"/>
    </row>
    <row r="730">
      <c r="A730" s="107">
        <v>201152.0</v>
      </c>
      <c r="B730" s="108" t="s">
        <v>215</v>
      </c>
      <c r="C730" s="108" t="s">
        <v>364</v>
      </c>
      <c r="D730" s="112" t="s">
        <v>177</v>
      </c>
      <c r="E730" s="112">
        <v>847.6</v>
      </c>
      <c r="F730" s="111" t="str">
        <f>DataPull!D730</f>
        <v/>
      </c>
      <c r="G730" s="94" t="str">
        <f t="shared" si="2"/>
        <v/>
      </c>
      <c r="H730" s="94" t="str">
        <f t="shared" si="3"/>
        <v/>
      </c>
      <c r="I730" s="94" t="str">
        <f t="shared" ref="I730:J730" si="731">if(G730 = "", , -G730)</f>
        <v/>
      </c>
      <c r="J730" s="94" t="str">
        <f t="shared" si="731"/>
        <v/>
      </c>
      <c r="K730" s="100"/>
      <c r="M730" s="100"/>
      <c r="N730" s="100"/>
      <c r="O730" s="100"/>
      <c r="P730" s="100"/>
    </row>
    <row r="731">
      <c r="A731" s="107">
        <v>201152.0</v>
      </c>
      <c r="B731" s="108" t="s">
        <v>244</v>
      </c>
      <c r="C731" s="108" t="s">
        <v>364</v>
      </c>
      <c r="D731" s="112" t="s">
        <v>187</v>
      </c>
      <c r="E731" s="112">
        <v>793.8</v>
      </c>
      <c r="F731" s="111" t="str">
        <f>DataPull!D731</f>
        <v/>
      </c>
      <c r="G731" s="94" t="str">
        <f t="shared" si="2"/>
        <v/>
      </c>
      <c r="H731" s="94" t="str">
        <f t="shared" si="3"/>
        <v/>
      </c>
      <c r="I731" s="94" t="str">
        <f t="shared" ref="I731:J731" si="732">if(G731 = "", , -G731)</f>
        <v/>
      </c>
      <c r="J731" s="94" t="str">
        <f t="shared" si="732"/>
        <v/>
      </c>
      <c r="K731" s="100"/>
      <c r="M731" s="100"/>
      <c r="N731" s="100"/>
      <c r="O731" s="100"/>
      <c r="P731" s="100"/>
    </row>
    <row r="732">
      <c r="A732" s="107">
        <v>201152.0</v>
      </c>
      <c r="B732" s="108" t="s">
        <v>245</v>
      </c>
      <c r="C732" s="108" t="s">
        <v>364</v>
      </c>
      <c r="D732" s="112" t="s">
        <v>177</v>
      </c>
      <c r="E732" s="112">
        <v>438.9</v>
      </c>
      <c r="F732" s="111" t="str">
        <f>DataPull!D732</f>
        <v/>
      </c>
      <c r="G732" s="94" t="str">
        <f t="shared" si="2"/>
        <v/>
      </c>
      <c r="H732" s="94" t="str">
        <f t="shared" si="3"/>
        <v/>
      </c>
      <c r="I732" s="94" t="str">
        <f t="shared" ref="I732:J732" si="733">if(G732 = "", , -G732)</f>
        <v/>
      </c>
      <c r="J732" s="94" t="str">
        <f t="shared" si="733"/>
        <v/>
      </c>
      <c r="K732" s="100"/>
      <c r="M732" s="100"/>
      <c r="N732" s="100"/>
      <c r="O732" s="100"/>
      <c r="P732" s="100"/>
    </row>
    <row r="733">
      <c r="A733" s="107">
        <v>201155.0</v>
      </c>
      <c r="B733" s="108" t="s">
        <v>85</v>
      </c>
      <c r="C733" s="108" t="s">
        <v>365</v>
      </c>
      <c r="D733" s="112" t="s">
        <v>176</v>
      </c>
      <c r="E733" s="112">
        <v>1949.1</v>
      </c>
      <c r="F733" s="111" t="str">
        <f>DataPull!D733</f>
        <v/>
      </c>
      <c r="G733" s="94" t="str">
        <f t="shared" si="2"/>
        <v/>
      </c>
      <c r="H733" s="94" t="str">
        <f t="shared" si="3"/>
        <v/>
      </c>
      <c r="I733" s="94" t="str">
        <f t="shared" ref="I733:J733" si="734">if(G733 = "", , -G733)</f>
        <v/>
      </c>
      <c r="J733" s="94" t="str">
        <f t="shared" si="734"/>
        <v/>
      </c>
      <c r="K733" s="100"/>
      <c r="M733" s="100"/>
      <c r="N733" s="100"/>
      <c r="O733" s="100"/>
      <c r="P733" s="100"/>
    </row>
    <row r="734">
      <c r="A734" s="107">
        <v>201155.0</v>
      </c>
      <c r="B734" s="108" t="s">
        <v>90</v>
      </c>
      <c r="C734" s="108" t="s">
        <v>365</v>
      </c>
      <c r="D734" s="112" t="s">
        <v>178</v>
      </c>
      <c r="E734" s="112">
        <v>1874.4</v>
      </c>
      <c r="F734" s="111" t="str">
        <f>DataPull!D734</f>
        <v/>
      </c>
      <c r="G734" s="94" t="str">
        <f t="shared" si="2"/>
        <v/>
      </c>
      <c r="H734" s="94" t="str">
        <f t="shared" si="3"/>
        <v/>
      </c>
      <c r="I734" s="94" t="str">
        <f t="shared" ref="I734:J734" si="735">if(G734 = "", , -G734)</f>
        <v/>
      </c>
      <c r="J734" s="94" t="str">
        <f t="shared" si="735"/>
        <v/>
      </c>
      <c r="K734" s="100"/>
      <c r="M734" s="100"/>
      <c r="N734" s="100"/>
      <c r="O734" s="100"/>
      <c r="P734" s="100"/>
    </row>
    <row r="735">
      <c r="A735" s="107">
        <v>201155.0</v>
      </c>
      <c r="B735" s="108" t="s">
        <v>92</v>
      </c>
      <c r="C735" s="108" t="s">
        <v>365</v>
      </c>
      <c r="D735" s="112" t="s">
        <v>176</v>
      </c>
      <c r="E735" s="112">
        <v>1276.0</v>
      </c>
      <c r="F735" s="111" t="str">
        <f>DataPull!D735</f>
        <v/>
      </c>
      <c r="G735" s="94" t="str">
        <f t="shared" si="2"/>
        <v/>
      </c>
      <c r="H735" s="94" t="str">
        <f t="shared" si="3"/>
        <v/>
      </c>
      <c r="I735" s="94" t="str">
        <f t="shared" ref="I735:J735" si="736">if(G735 = "", , -G735)</f>
        <v/>
      </c>
      <c r="J735" s="94" t="str">
        <f t="shared" si="736"/>
        <v/>
      </c>
      <c r="K735" s="100"/>
      <c r="M735" s="100"/>
      <c r="N735" s="100"/>
      <c r="O735" s="100"/>
      <c r="P735" s="100"/>
    </row>
    <row r="736">
      <c r="A736" s="107">
        <v>201155.0</v>
      </c>
      <c r="B736" s="108" t="s">
        <v>190</v>
      </c>
      <c r="C736" s="108" t="s">
        <v>365</v>
      </c>
      <c r="D736" s="112" t="s">
        <v>177</v>
      </c>
      <c r="E736" s="112">
        <v>698.1</v>
      </c>
      <c r="F736" s="111" t="str">
        <f>DataPull!D736</f>
        <v/>
      </c>
      <c r="G736" s="94" t="str">
        <f t="shared" si="2"/>
        <v/>
      </c>
      <c r="H736" s="94" t="str">
        <f t="shared" si="3"/>
        <v/>
      </c>
      <c r="I736" s="94" t="str">
        <f t="shared" ref="I736:J736" si="737">if(G736 = "", , -G736)</f>
        <v/>
      </c>
      <c r="J736" s="94" t="str">
        <f t="shared" si="737"/>
        <v/>
      </c>
      <c r="K736" s="100"/>
      <c r="L736" s="100"/>
      <c r="M736" s="100"/>
      <c r="N736" s="100"/>
      <c r="O736" s="100"/>
      <c r="P736" s="100"/>
    </row>
    <row r="737">
      <c r="A737" s="107">
        <v>201156.0</v>
      </c>
      <c r="B737" s="108" t="s">
        <v>85</v>
      </c>
      <c r="C737" s="108" t="s">
        <v>366</v>
      </c>
      <c r="D737" s="112" t="s">
        <v>176</v>
      </c>
      <c r="E737" s="112">
        <v>1811.2</v>
      </c>
      <c r="F737" s="111" t="str">
        <f>DataPull!D737</f>
        <v/>
      </c>
      <c r="G737" s="94" t="str">
        <f t="shared" si="2"/>
        <v/>
      </c>
      <c r="H737" s="94" t="str">
        <f t="shared" si="3"/>
        <v/>
      </c>
      <c r="I737" s="94" t="str">
        <f t="shared" ref="I737:J737" si="738">if(G737 = "", , -G737)</f>
        <v/>
      </c>
      <c r="J737" s="94" t="str">
        <f t="shared" si="738"/>
        <v/>
      </c>
      <c r="K737" s="100"/>
      <c r="L737" s="100"/>
      <c r="M737" s="100"/>
      <c r="N737" s="100"/>
      <c r="O737" s="100"/>
      <c r="P737" s="100"/>
    </row>
    <row r="738">
      <c r="A738" s="107">
        <v>201156.0</v>
      </c>
      <c r="B738" s="108" t="s">
        <v>90</v>
      </c>
      <c r="C738" s="108" t="s">
        <v>366</v>
      </c>
      <c r="D738" s="112" t="s">
        <v>176</v>
      </c>
      <c r="E738" s="112">
        <v>999.6</v>
      </c>
      <c r="F738" s="111" t="str">
        <f>DataPull!D738</f>
        <v/>
      </c>
      <c r="G738" s="94" t="str">
        <f t="shared" si="2"/>
        <v/>
      </c>
      <c r="H738" s="94" t="str">
        <f t="shared" si="3"/>
        <v/>
      </c>
      <c r="I738" s="94" t="str">
        <f t="shared" ref="I738:J738" si="739">if(G738 = "", , -G738)</f>
        <v/>
      </c>
      <c r="J738" s="94" t="str">
        <f t="shared" si="739"/>
        <v/>
      </c>
      <c r="K738" s="100"/>
      <c r="M738" s="100"/>
      <c r="N738" s="100"/>
      <c r="O738" s="100"/>
      <c r="P738" s="100"/>
    </row>
    <row r="739">
      <c r="A739" s="107">
        <v>201156.0</v>
      </c>
      <c r="B739" s="108" t="s">
        <v>92</v>
      </c>
      <c r="C739" s="108" t="s">
        <v>366</v>
      </c>
      <c r="D739" s="112" t="s">
        <v>177</v>
      </c>
      <c r="E739" s="112">
        <v>1031.4</v>
      </c>
      <c r="F739" s="111" t="str">
        <f>DataPull!D739</f>
        <v/>
      </c>
      <c r="G739" s="94" t="str">
        <f t="shared" si="2"/>
        <v/>
      </c>
      <c r="H739" s="94" t="str">
        <f t="shared" si="3"/>
        <v/>
      </c>
      <c r="I739" s="94" t="str">
        <f t="shared" ref="I739:J739" si="740">if(G739 = "", , -G739)</f>
        <v/>
      </c>
      <c r="J739" s="94" t="str">
        <f t="shared" si="740"/>
        <v/>
      </c>
      <c r="K739" s="100"/>
      <c r="L739" s="100"/>
      <c r="N739" s="100"/>
      <c r="O739" s="100"/>
      <c r="P739" s="100"/>
    </row>
    <row r="740">
      <c r="A740" s="107">
        <v>201156.0</v>
      </c>
      <c r="B740" s="108" t="s">
        <v>190</v>
      </c>
      <c r="C740" s="108" t="s">
        <v>366</v>
      </c>
      <c r="D740" s="112" t="s">
        <v>176</v>
      </c>
      <c r="E740" s="112">
        <v>1554.0</v>
      </c>
      <c r="F740" s="111" t="str">
        <f>DataPull!D740</f>
        <v/>
      </c>
      <c r="G740" s="94" t="str">
        <f t="shared" si="2"/>
        <v/>
      </c>
      <c r="H740" s="94" t="str">
        <f t="shared" si="3"/>
        <v/>
      </c>
      <c r="I740" s="94" t="str">
        <f t="shared" ref="I740:J740" si="741">if(G740 = "", , -G740)</f>
        <v/>
      </c>
      <c r="J740" s="94" t="str">
        <f t="shared" si="741"/>
        <v/>
      </c>
      <c r="K740" s="100"/>
      <c r="M740" s="100"/>
      <c r="N740" s="100"/>
      <c r="O740" s="100"/>
      <c r="P740" s="100"/>
    </row>
    <row r="741">
      <c r="A741" s="107">
        <v>201156.0</v>
      </c>
      <c r="B741" s="108" t="s">
        <v>191</v>
      </c>
      <c r="C741" s="108" t="s">
        <v>366</v>
      </c>
      <c r="D741" s="112" t="s">
        <v>176</v>
      </c>
      <c r="E741" s="112">
        <v>1392.0</v>
      </c>
      <c r="F741" s="111" t="str">
        <f>DataPull!D741</f>
        <v/>
      </c>
      <c r="G741" s="94" t="str">
        <f t="shared" si="2"/>
        <v/>
      </c>
      <c r="H741" s="94" t="str">
        <f t="shared" si="3"/>
        <v/>
      </c>
      <c r="I741" s="94" t="str">
        <f t="shared" ref="I741:J741" si="742">if(G741 = "", , -G741)</f>
        <v/>
      </c>
      <c r="J741" s="94" t="str">
        <f t="shared" si="742"/>
        <v/>
      </c>
      <c r="K741" s="100"/>
      <c r="L741" s="100"/>
      <c r="M741" s="100"/>
      <c r="N741" s="100"/>
      <c r="O741" s="100"/>
      <c r="P741" s="100"/>
    </row>
    <row r="742">
      <c r="A742" s="107">
        <v>201156.0</v>
      </c>
      <c r="B742" s="108" t="s">
        <v>192</v>
      </c>
      <c r="C742" s="108" t="s">
        <v>366</v>
      </c>
      <c r="D742" s="112" t="s">
        <v>181</v>
      </c>
      <c r="E742" s="112">
        <v>37.2</v>
      </c>
      <c r="F742" s="111" t="str">
        <f>DataPull!D742</f>
        <v/>
      </c>
      <c r="G742" s="94" t="str">
        <f t="shared" si="2"/>
        <v/>
      </c>
      <c r="H742" s="94" t="str">
        <f t="shared" si="3"/>
        <v/>
      </c>
      <c r="I742" s="94" t="str">
        <f t="shared" ref="I742:J742" si="743">if(G742 = "", , -G742)</f>
        <v/>
      </c>
      <c r="J742" s="94" t="str">
        <f t="shared" si="743"/>
        <v/>
      </c>
      <c r="K742" s="100"/>
      <c r="M742" s="100"/>
      <c r="N742" s="100"/>
      <c r="O742" s="100"/>
      <c r="P742" s="100"/>
    </row>
    <row r="743">
      <c r="A743" s="107">
        <v>201158.0</v>
      </c>
      <c r="B743" s="108" t="s">
        <v>85</v>
      </c>
      <c r="C743" s="108" t="s">
        <v>367</v>
      </c>
      <c r="D743" s="112" t="s">
        <v>178</v>
      </c>
      <c r="E743" s="112">
        <v>2016.0</v>
      </c>
      <c r="F743" s="111" t="str">
        <f>DataPull!D743</f>
        <v/>
      </c>
      <c r="G743" s="94" t="str">
        <f t="shared" si="2"/>
        <v/>
      </c>
      <c r="H743" s="94" t="str">
        <f t="shared" si="3"/>
        <v/>
      </c>
      <c r="I743" s="94" t="str">
        <f t="shared" ref="I743:J743" si="744">if(G743 = "", , -G743)</f>
        <v/>
      </c>
      <c r="J743" s="94" t="str">
        <f t="shared" si="744"/>
        <v/>
      </c>
      <c r="K743" s="100"/>
      <c r="M743" s="100"/>
      <c r="N743" s="100"/>
      <c r="O743" s="100"/>
      <c r="P743" s="100"/>
    </row>
    <row r="744">
      <c r="A744" s="107">
        <v>201158.0</v>
      </c>
      <c r="B744" s="108" t="s">
        <v>90</v>
      </c>
      <c r="C744" s="108" t="s">
        <v>367</v>
      </c>
      <c r="D744" s="112" t="s">
        <v>176</v>
      </c>
      <c r="E744" s="112">
        <v>1388.8</v>
      </c>
      <c r="F744" s="111" t="str">
        <f>DataPull!D744</f>
        <v/>
      </c>
      <c r="G744" s="94" t="str">
        <f t="shared" si="2"/>
        <v/>
      </c>
      <c r="H744" s="94" t="str">
        <f t="shared" si="3"/>
        <v/>
      </c>
      <c r="I744" s="94" t="str">
        <f t="shared" ref="I744:J744" si="745">if(G744 = "", , -G744)</f>
        <v/>
      </c>
      <c r="J744" s="94" t="str">
        <f t="shared" si="745"/>
        <v/>
      </c>
      <c r="K744" s="100"/>
      <c r="M744" s="100"/>
      <c r="N744" s="100"/>
      <c r="O744" s="100"/>
      <c r="P744" s="100"/>
    </row>
    <row r="745">
      <c r="A745" s="107">
        <v>201158.0</v>
      </c>
      <c r="B745" s="108" t="s">
        <v>92</v>
      </c>
      <c r="C745" s="108" t="s">
        <v>367</v>
      </c>
      <c r="D745" s="112" t="s">
        <v>176</v>
      </c>
      <c r="E745" s="112">
        <v>1672.8</v>
      </c>
      <c r="F745" s="111" t="str">
        <f>DataPull!D745</f>
        <v/>
      </c>
      <c r="G745" s="94" t="str">
        <f t="shared" si="2"/>
        <v/>
      </c>
      <c r="H745" s="94" t="str">
        <f t="shared" si="3"/>
        <v/>
      </c>
      <c r="I745" s="94" t="str">
        <f t="shared" ref="I745:J745" si="746">if(G745 = "", , -G745)</f>
        <v/>
      </c>
      <c r="J745" s="94" t="str">
        <f t="shared" si="746"/>
        <v/>
      </c>
      <c r="K745" s="100"/>
      <c r="M745" s="100"/>
      <c r="N745" s="100"/>
      <c r="O745" s="100"/>
      <c r="P745" s="100"/>
    </row>
    <row r="746">
      <c r="A746" s="107">
        <v>201158.0</v>
      </c>
      <c r="B746" s="108" t="s">
        <v>190</v>
      </c>
      <c r="C746" s="108" t="s">
        <v>367</v>
      </c>
      <c r="D746" s="112" t="s">
        <v>176</v>
      </c>
      <c r="E746" s="112">
        <v>1776.0</v>
      </c>
      <c r="F746" s="111" t="str">
        <f>DataPull!D746</f>
        <v/>
      </c>
      <c r="G746" s="94" t="str">
        <f t="shared" si="2"/>
        <v/>
      </c>
      <c r="H746" s="94" t="str">
        <f t="shared" si="3"/>
        <v/>
      </c>
      <c r="I746" s="94" t="str">
        <f t="shared" ref="I746:J746" si="747">if(G746 = "", , -G746)</f>
        <v/>
      </c>
      <c r="J746" s="94" t="str">
        <f t="shared" si="747"/>
        <v/>
      </c>
      <c r="K746" s="100"/>
      <c r="L746" s="100"/>
      <c r="M746" s="100"/>
      <c r="N746" s="100"/>
      <c r="O746" s="100"/>
      <c r="P746" s="100"/>
    </row>
    <row r="747">
      <c r="A747" s="107">
        <v>201158.0</v>
      </c>
      <c r="B747" s="108" t="s">
        <v>191</v>
      </c>
      <c r="C747" s="108" t="s">
        <v>367</v>
      </c>
      <c r="D747" s="112" t="s">
        <v>176</v>
      </c>
      <c r="E747" s="112">
        <v>1944.0</v>
      </c>
      <c r="F747" s="111" t="str">
        <f>DataPull!D747</f>
        <v/>
      </c>
      <c r="G747" s="94" t="str">
        <f t="shared" si="2"/>
        <v/>
      </c>
      <c r="H747" s="94" t="str">
        <f t="shared" si="3"/>
        <v/>
      </c>
      <c r="I747" s="94" t="str">
        <f t="shared" ref="I747:J747" si="748">if(G747 = "", , -G747)</f>
        <v/>
      </c>
      <c r="J747" s="94" t="str">
        <f t="shared" si="748"/>
        <v/>
      </c>
      <c r="K747" s="100"/>
      <c r="M747" s="100"/>
      <c r="N747" s="100"/>
      <c r="O747" s="100"/>
      <c r="P747" s="100"/>
    </row>
    <row r="748">
      <c r="A748" s="107">
        <v>201158.0</v>
      </c>
      <c r="B748" s="108" t="s">
        <v>192</v>
      </c>
      <c r="C748" s="108" t="s">
        <v>367</v>
      </c>
      <c r="D748" s="112" t="s">
        <v>176</v>
      </c>
      <c r="E748" s="112">
        <v>1817.0</v>
      </c>
      <c r="F748" s="111" t="str">
        <f>DataPull!D748</f>
        <v/>
      </c>
      <c r="G748" s="94" t="str">
        <f t="shared" si="2"/>
        <v/>
      </c>
      <c r="H748" s="94" t="str">
        <f t="shared" si="3"/>
        <v/>
      </c>
      <c r="I748" s="94" t="str">
        <f t="shared" ref="I748:J748" si="749">if(G748 = "", , -G748)</f>
        <v/>
      </c>
      <c r="J748" s="94" t="str">
        <f t="shared" si="749"/>
        <v/>
      </c>
      <c r="K748" s="100"/>
      <c r="M748" s="100"/>
      <c r="N748" s="100"/>
      <c r="O748" s="100"/>
      <c r="P748" s="100"/>
    </row>
    <row r="749">
      <c r="A749" s="107">
        <v>201158.0</v>
      </c>
      <c r="B749" s="108" t="s">
        <v>193</v>
      </c>
      <c r="C749" s="108" t="s">
        <v>367</v>
      </c>
      <c r="D749" s="112" t="s">
        <v>177</v>
      </c>
      <c r="E749" s="112">
        <v>883.5</v>
      </c>
      <c r="F749" s="111" t="str">
        <f>DataPull!D749</f>
        <v/>
      </c>
      <c r="G749" s="94" t="str">
        <f t="shared" si="2"/>
        <v/>
      </c>
      <c r="H749" s="94" t="str">
        <f t="shared" si="3"/>
        <v/>
      </c>
      <c r="I749" s="94" t="str">
        <f t="shared" ref="I749:J749" si="750">if(G749 = "", , -G749)</f>
        <v/>
      </c>
      <c r="J749" s="94" t="str">
        <f t="shared" si="750"/>
        <v/>
      </c>
      <c r="K749" s="100"/>
      <c r="M749" s="100"/>
      <c r="N749" s="100"/>
      <c r="O749" s="100"/>
      <c r="P749" s="100"/>
    </row>
    <row r="750">
      <c r="A750" s="107">
        <v>201160.0</v>
      </c>
      <c r="B750" s="108" t="s">
        <v>85</v>
      </c>
      <c r="C750" s="108" t="s">
        <v>368</v>
      </c>
      <c r="D750" s="112" t="s">
        <v>176</v>
      </c>
      <c r="E750" s="112">
        <v>830.8</v>
      </c>
      <c r="F750" s="111" t="str">
        <f>DataPull!D750</f>
        <v/>
      </c>
      <c r="G750" s="94" t="str">
        <f t="shared" si="2"/>
        <v/>
      </c>
      <c r="H750" s="94" t="str">
        <f t="shared" si="3"/>
        <v/>
      </c>
      <c r="I750" s="94" t="str">
        <f t="shared" ref="I750:J750" si="751">if(G750 = "", , -G750)</f>
        <v/>
      </c>
      <c r="J750" s="94" t="str">
        <f t="shared" si="751"/>
        <v/>
      </c>
      <c r="K750" s="100"/>
      <c r="M750" s="100"/>
      <c r="N750" s="100"/>
      <c r="O750" s="100"/>
      <c r="P750" s="100"/>
    </row>
    <row r="751">
      <c r="A751" s="107">
        <v>201160.0</v>
      </c>
      <c r="B751" s="108" t="s">
        <v>90</v>
      </c>
      <c r="C751" s="108" t="s">
        <v>368</v>
      </c>
      <c r="D751" s="112" t="s">
        <v>176</v>
      </c>
      <c r="E751" s="112">
        <v>1787.6</v>
      </c>
      <c r="F751" s="111" t="str">
        <f>DataPull!D751</f>
        <v/>
      </c>
      <c r="G751" s="94" t="str">
        <f t="shared" si="2"/>
        <v/>
      </c>
      <c r="H751" s="94" t="str">
        <f t="shared" si="3"/>
        <v/>
      </c>
      <c r="I751" s="94" t="str">
        <f t="shared" ref="I751:J751" si="752">if(G751 = "", , -G751)</f>
        <v/>
      </c>
      <c r="J751" s="94" t="str">
        <f t="shared" si="752"/>
        <v/>
      </c>
      <c r="K751" s="100"/>
      <c r="M751" s="100"/>
      <c r="N751" s="100"/>
      <c r="O751" s="100"/>
      <c r="P751" s="100"/>
    </row>
    <row r="752">
      <c r="A752" s="107">
        <v>201160.0</v>
      </c>
      <c r="B752" s="108" t="s">
        <v>92</v>
      </c>
      <c r="C752" s="108" t="s">
        <v>368</v>
      </c>
      <c r="D752" s="112" t="s">
        <v>177</v>
      </c>
      <c r="E752" s="112">
        <v>1178.0</v>
      </c>
      <c r="F752" s="111" t="str">
        <f>DataPull!D752</f>
        <v/>
      </c>
      <c r="G752" s="94" t="str">
        <f t="shared" si="2"/>
        <v/>
      </c>
      <c r="H752" s="94" t="str">
        <f t="shared" si="3"/>
        <v/>
      </c>
      <c r="I752" s="94" t="str">
        <f t="shared" ref="I752:J752" si="753">if(G752 = "", , -G752)</f>
        <v/>
      </c>
      <c r="J752" s="94" t="str">
        <f t="shared" si="753"/>
        <v/>
      </c>
      <c r="K752" s="100"/>
      <c r="L752" s="100"/>
      <c r="M752" s="100"/>
      <c r="N752" s="100"/>
      <c r="O752" s="100"/>
      <c r="P752" s="100"/>
    </row>
    <row r="753">
      <c r="A753" s="107">
        <v>201160.0</v>
      </c>
      <c r="B753" s="108" t="s">
        <v>190</v>
      </c>
      <c r="C753" s="108" t="s">
        <v>368</v>
      </c>
      <c r="D753" s="112" t="s">
        <v>177</v>
      </c>
      <c r="E753" s="112">
        <v>1065.6</v>
      </c>
      <c r="F753" s="111" t="str">
        <f>DataPull!D753</f>
        <v/>
      </c>
      <c r="G753" s="94" t="str">
        <f t="shared" si="2"/>
        <v/>
      </c>
      <c r="H753" s="94" t="str">
        <f t="shared" si="3"/>
        <v/>
      </c>
      <c r="I753" s="94" t="str">
        <f t="shared" ref="I753:J753" si="754">if(G753 = "", , -G753)</f>
        <v/>
      </c>
      <c r="J753" s="94" t="str">
        <f t="shared" si="754"/>
        <v/>
      </c>
      <c r="K753" s="100"/>
      <c r="M753" s="100"/>
      <c r="N753" s="100"/>
      <c r="O753" s="100"/>
      <c r="P753" s="100"/>
    </row>
    <row r="754">
      <c r="A754" s="107">
        <v>201160.0</v>
      </c>
      <c r="B754" s="108" t="s">
        <v>191</v>
      </c>
      <c r="C754" s="108" t="s">
        <v>368</v>
      </c>
      <c r="D754" s="112" t="s">
        <v>187</v>
      </c>
      <c r="E754" s="112">
        <v>283.8</v>
      </c>
      <c r="F754" s="111" t="str">
        <f>DataPull!D754</f>
        <v/>
      </c>
      <c r="G754" s="94" t="str">
        <f t="shared" si="2"/>
        <v/>
      </c>
      <c r="H754" s="94" t="str">
        <f t="shared" si="3"/>
        <v/>
      </c>
      <c r="I754" s="94" t="str">
        <f t="shared" ref="I754:J754" si="755">if(G754 = "", , -G754)</f>
        <v/>
      </c>
      <c r="J754" s="94" t="str">
        <f t="shared" si="755"/>
        <v/>
      </c>
      <c r="K754" s="100"/>
      <c r="L754" s="100"/>
      <c r="N754" s="100"/>
      <c r="O754" s="100"/>
      <c r="P754" s="100"/>
    </row>
    <row r="755">
      <c r="A755" s="107">
        <v>201160.0</v>
      </c>
      <c r="B755" s="108" t="s">
        <v>192</v>
      </c>
      <c r="C755" s="108" t="s">
        <v>368</v>
      </c>
      <c r="D755" s="112" t="s">
        <v>187</v>
      </c>
      <c r="E755" s="112">
        <v>190.0</v>
      </c>
      <c r="F755" s="111" t="str">
        <f>DataPull!D755</f>
        <v/>
      </c>
      <c r="G755" s="94" t="str">
        <f t="shared" si="2"/>
        <v/>
      </c>
      <c r="H755" s="94" t="str">
        <f t="shared" si="3"/>
        <v/>
      </c>
      <c r="I755" s="94" t="str">
        <f t="shared" ref="I755:J755" si="756">if(G755 = "", , -G755)</f>
        <v/>
      </c>
      <c r="J755" s="94" t="str">
        <f t="shared" si="756"/>
        <v/>
      </c>
      <c r="K755" s="100"/>
      <c r="L755" s="100"/>
      <c r="M755" s="100"/>
      <c r="N755" s="100"/>
      <c r="O755" s="100"/>
      <c r="P755" s="100"/>
    </row>
    <row r="756">
      <c r="A756" s="107">
        <v>201162.0</v>
      </c>
      <c r="B756" s="108" t="s">
        <v>85</v>
      </c>
      <c r="C756" s="108" t="s">
        <v>369</v>
      </c>
      <c r="D756" s="112" t="s">
        <v>176</v>
      </c>
      <c r="E756" s="112">
        <v>1731.6</v>
      </c>
      <c r="F756" s="111" t="str">
        <f>DataPull!D756</f>
        <v/>
      </c>
      <c r="G756" s="94" t="str">
        <f t="shared" si="2"/>
        <v/>
      </c>
      <c r="H756" s="94" t="str">
        <f t="shared" si="3"/>
        <v/>
      </c>
      <c r="I756" s="94" t="str">
        <f t="shared" ref="I756:J756" si="757">if(G756 = "", , -G756)</f>
        <v/>
      </c>
      <c r="J756" s="94" t="str">
        <f t="shared" si="757"/>
        <v/>
      </c>
      <c r="K756" s="100"/>
      <c r="M756" s="100"/>
      <c r="N756" s="100"/>
      <c r="O756" s="100"/>
      <c r="P756" s="100"/>
    </row>
    <row r="757">
      <c r="A757" s="107">
        <v>201162.0</v>
      </c>
      <c r="B757" s="108" t="s">
        <v>90</v>
      </c>
      <c r="C757" s="108" t="s">
        <v>369</v>
      </c>
      <c r="D757" s="112" t="s">
        <v>176</v>
      </c>
      <c r="E757" s="112">
        <v>1713.6</v>
      </c>
      <c r="F757" s="111" t="str">
        <f>DataPull!D757</f>
        <v/>
      </c>
      <c r="G757" s="94" t="str">
        <f t="shared" si="2"/>
        <v/>
      </c>
      <c r="H757" s="94" t="str">
        <f t="shared" si="3"/>
        <v/>
      </c>
      <c r="I757" s="94" t="str">
        <f t="shared" ref="I757:J757" si="758">if(G757 = "", , -G757)</f>
        <v/>
      </c>
      <c r="J757" s="94" t="str">
        <f t="shared" si="758"/>
        <v/>
      </c>
      <c r="K757" s="100"/>
      <c r="M757" s="100"/>
      <c r="N757" s="100"/>
      <c r="O757" s="100"/>
      <c r="P757" s="100"/>
    </row>
    <row r="758">
      <c r="A758" s="107">
        <v>201162.0</v>
      </c>
      <c r="B758" s="108" t="s">
        <v>92</v>
      </c>
      <c r="C758" s="108" t="s">
        <v>369</v>
      </c>
      <c r="D758" s="112" t="s">
        <v>176</v>
      </c>
      <c r="E758" s="112">
        <v>2097.9</v>
      </c>
      <c r="F758" s="111" t="str">
        <f>DataPull!D758</f>
        <v/>
      </c>
      <c r="G758" s="94" t="str">
        <f t="shared" si="2"/>
        <v/>
      </c>
      <c r="H758" s="94" t="str">
        <f t="shared" si="3"/>
        <v/>
      </c>
      <c r="I758" s="94" t="str">
        <f t="shared" ref="I758:J758" si="759">if(G758 = "", , -G758)</f>
        <v/>
      </c>
      <c r="J758" s="94" t="str">
        <f t="shared" si="759"/>
        <v/>
      </c>
      <c r="K758" s="100"/>
      <c r="M758" s="100"/>
      <c r="N758" s="100"/>
      <c r="O758" s="100"/>
      <c r="P758" s="100"/>
    </row>
    <row r="759">
      <c r="A759" s="107">
        <v>201162.0</v>
      </c>
      <c r="B759" s="108" t="s">
        <v>190</v>
      </c>
      <c r="C759" s="108" t="s">
        <v>369</v>
      </c>
      <c r="D759" s="112" t="s">
        <v>176</v>
      </c>
      <c r="E759" s="112">
        <v>1363.2</v>
      </c>
      <c r="F759" s="111" t="str">
        <f>DataPull!D759</f>
        <v/>
      </c>
      <c r="G759" s="94" t="str">
        <f t="shared" si="2"/>
        <v/>
      </c>
      <c r="H759" s="94" t="str">
        <f t="shared" si="3"/>
        <v/>
      </c>
      <c r="I759" s="94" t="str">
        <f t="shared" ref="I759:J759" si="760">if(G759 = "", , -G759)</f>
        <v/>
      </c>
      <c r="J759" s="94" t="str">
        <f t="shared" si="760"/>
        <v/>
      </c>
      <c r="K759" s="100"/>
      <c r="M759" s="100"/>
      <c r="N759" s="100"/>
      <c r="O759" s="100"/>
      <c r="P759" s="100"/>
    </row>
    <row r="760">
      <c r="A760" s="107">
        <v>201162.0</v>
      </c>
      <c r="B760" s="108" t="s">
        <v>191</v>
      </c>
      <c r="C760" s="108" t="s">
        <v>369</v>
      </c>
      <c r="D760" s="112" t="s">
        <v>177</v>
      </c>
      <c r="E760" s="112">
        <v>686.4</v>
      </c>
      <c r="F760" s="111" t="str">
        <f>DataPull!D760</f>
        <v/>
      </c>
      <c r="G760" s="94" t="str">
        <f t="shared" si="2"/>
        <v/>
      </c>
      <c r="H760" s="94" t="str">
        <f t="shared" si="3"/>
        <v/>
      </c>
      <c r="I760" s="94" t="str">
        <f t="shared" ref="I760:J760" si="761">if(G760 = "", , -G760)</f>
        <v/>
      </c>
      <c r="J760" s="94" t="str">
        <f t="shared" si="761"/>
        <v/>
      </c>
      <c r="K760" s="100"/>
      <c r="L760" s="100"/>
      <c r="N760" s="100"/>
      <c r="O760" s="100"/>
      <c r="P760" s="100"/>
    </row>
    <row r="761">
      <c r="A761" s="107">
        <v>201162.0</v>
      </c>
      <c r="B761" s="108" t="s">
        <v>192</v>
      </c>
      <c r="C761" s="108" t="s">
        <v>369</v>
      </c>
      <c r="D761" s="112" t="s">
        <v>176</v>
      </c>
      <c r="E761" s="112">
        <v>1221.3</v>
      </c>
      <c r="F761" s="111" t="str">
        <f>DataPull!D761</f>
        <v/>
      </c>
      <c r="G761" s="94" t="str">
        <f t="shared" si="2"/>
        <v/>
      </c>
      <c r="H761" s="94" t="str">
        <f t="shared" si="3"/>
        <v/>
      </c>
      <c r="I761" s="94" t="str">
        <f t="shared" ref="I761:J761" si="762">if(G761 = "", , -G761)</f>
        <v/>
      </c>
      <c r="J761" s="94" t="str">
        <f t="shared" si="762"/>
        <v/>
      </c>
      <c r="K761" s="100"/>
      <c r="M761" s="100"/>
      <c r="N761" s="100"/>
      <c r="O761" s="100"/>
      <c r="P761" s="100"/>
    </row>
    <row r="762">
      <c r="A762" s="107">
        <v>201162.0</v>
      </c>
      <c r="B762" s="108" t="s">
        <v>193</v>
      </c>
      <c r="C762" s="108" t="s">
        <v>369</v>
      </c>
      <c r="D762" s="112" t="s">
        <v>187</v>
      </c>
      <c r="E762" s="112">
        <v>364.5</v>
      </c>
      <c r="F762" s="111" t="str">
        <f>DataPull!D762</f>
        <v/>
      </c>
      <c r="G762" s="94" t="str">
        <f t="shared" si="2"/>
        <v/>
      </c>
      <c r="H762" s="94" t="str">
        <f t="shared" si="3"/>
        <v/>
      </c>
      <c r="I762" s="94" t="str">
        <f t="shared" ref="I762:J762" si="763">if(G762 = "", , -G762)</f>
        <v/>
      </c>
      <c r="J762" s="94" t="str">
        <f t="shared" si="763"/>
        <v/>
      </c>
      <c r="K762" s="100"/>
      <c r="M762" s="100"/>
      <c r="N762" s="100"/>
      <c r="O762" s="100"/>
      <c r="P762" s="100"/>
    </row>
    <row r="763">
      <c r="A763" s="107">
        <v>201162.0</v>
      </c>
      <c r="B763" s="108" t="s">
        <v>243</v>
      </c>
      <c r="C763" s="108" t="s">
        <v>369</v>
      </c>
      <c r="D763" s="112" t="s">
        <v>187</v>
      </c>
      <c r="E763" s="112">
        <v>80.4</v>
      </c>
      <c r="F763" s="111" t="str">
        <f>DataPull!D763</f>
        <v/>
      </c>
      <c r="G763" s="94" t="str">
        <f t="shared" si="2"/>
        <v/>
      </c>
      <c r="H763" s="94" t="str">
        <f t="shared" si="3"/>
        <v/>
      </c>
      <c r="I763" s="94" t="str">
        <f t="shared" ref="I763:J763" si="764">if(G763 = "", , -G763)</f>
        <v/>
      </c>
      <c r="J763" s="94" t="str">
        <f t="shared" si="764"/>
        <v/>
      </c>
      <c r="K763" s="100"/>
      <c r="M763" s="100"/>
      <c r="N763" s="100"/>
      <c r="O763" s="100"/>
      <c r="P763" s="100"/>
    </row>
    <row r="764">
      <c r="A764" s="107">
        <v>201163.0</v>
      </c>
      <c r="B764" s="108" t="s">
        <v>85</v>
      </c>
      <c r="C764" s="108" t="s">
        <v>370</v>
      </c>
      <c r="D764" s="112" t="s">
        <v>178</v>
      </c>
      <c r="E764" s="112">
        <v>1928.2</v>
      </c>
      <c r="F764" s="111" t="str">
        <f>DataPull!D764</f>
        <v/>
      </c>
      <c r="G764" s="94" t="str">
        <f t="shared" si="2"/>
        <v/>
      </c>
      <c r="H764" s="94" t="str">
        <f t="shared" si="3"/>
        <v/>
      </c>
      <c r="I764" s="94" t="str">
        <f t="shared" ref="I764:J764" si="765">if(G764 = "", , -G764)</f>
        <v/>
      </c>
      <c r="J764" s="94" t="str">
        <f t="shared" si="765"/>
        <v/>
      </c>
      <c r="K764" s="100"/>
      <c r="M764" s="100"/>
      <c r="N764" s="100"/>
      <c r="O764" s="100"/>
      <c r="P764" s="100"/>
    </row>
    <row r="765">
      <c r="A765" s="107">
        <v>201163.0</v>
      </c>
      <c r="B765" s="108" t="s">
        <v>90</v>
      </c>
      <c r="C765" s="108" t="s">
        <v>370</v>
      </c>
      <c r="D765" s="112" t="s">
        <v>178</v>
      </c>
      <c r="E765" s="112">
        <v>2472.6</v>
      </c>
      <c r="F765" s="111" t="str">
        <f>DataPull!D765</f>
        <v/>
      </c>
      <c r="G765" s="94" t="str">
        <f t="shared" si="2"/>
        <v/>
      </c>
      <c r="H765" s="94" t="str">
        <f t="shared" si="3"/>
        <v/>
      </c>
      <c r="I765" s="94" t="str">
        <f t="shared" ref="I765:J765" si="766">if(G765 = "", , -G765)</f>
        <v/>
      </c>
      <c r="J765" s="94" t="str">
        <f t="shared" si="766"/>
        <v/>
      </c>
      <c r="K765" s="100"/>
      <c r="N765" s="100"/>
      <c r="O765" s="100"/>
      <c r="P765" s="100"/>
    </row>
    <row r="766">
      <c r="A766" s="107">
        <v>201163.0</v>
      </c>
      <c r="B766" s="108" t="s">
        <v>190</v>
      </c>
      <c r="C766" s="108" t="s">
        <v>370</v>
      </c>
      <c r="D766" s="112" t="s">
        <v>178</v>
      </c>
      <c r="E766" s="112">
        <v>2193.9</v>
      </c>
      <c r="F766" s="111" t="str">
        <f>DataPull!D766</f>
        <v/>
      </c>
      <c r="G766" s="94" t="str">
        <f t="shared" si="2"/>
        <v/>
      </c>
      <c r="H766" s="94" t="str">
        <f t="shared" si="3"/>
        <v/>
      </c>
      <c r="I766" s="94" t="str">
        <f t="shared" ref="I766:J766" si="767">if(G766 = "", , -G766)</f>
        <v/>
      </c>
      <c r="J766" s="94" t="str">
        <f t="shared" si="767"/>
        <v/>
      </c>
      <c r="K766" s="100"/>
      <c r="M766" s="100"/>
      <c r="N766" s="100"/>
      <c r="O766" s="100"/>
      <c r="P766" s="100"/>
    </row>
    <row r="767">
      <c r="A767" s="107">
        <v>201163.0</v>
      </c>
      <c r="B767" s="108" t="s">
        <v>191</v>
      </c>
      <c r="C767" s="108" t="s">
        <v>370</v>
      </c>
      <c r="D767" s="112" t="s">
        <v>178</v>
      </c>
      <c r="E767" s="112">
        <v>2345.8</v>
      </c>
      <c r="F767" s="111" t="str">
        <f>DataPull!D767</f>
        <v/>
      </c>
      <c r="G767" s="94" t="str">
        <f t="shared" si="2"/>
        <v/>
      </c>
      <c r="H767" s="94" t="str">
        <f t="shared" si="3"/>
        <v/>
      </c>
      <c r="I767" s="94" t="str">
        <f t="shared" ref="I767:J767" si="768">if(G767 = "", , -G767)</f>
        <v/>
      </c>
      <c r="J767" s="94" t="str">
        <f t="shared" si="768"/>
        <v/>
      </c>
      <c r="K767" s="100"/>
      <c r="M767" s="100"/>
      <c r="N767" s="100"/>
      <c r="O767" s="100"/>
      <c r="P767" s="100"/>
    </row>
    <row r="768">
      <c r="A768" s="107">
        <v>201163.0</v>
      </c>
      <c r="B768" s="108" t="s">
        <v>192</v>
      </c>
      <c r="C768" s="108" t="s">
        <v>370</v>
      </c>
      <c r="D768" s="112" t="s">
        <v>176</v>
      </c>
      <c r="E768" s="112">
        <v>1178.1</v>
      </c>
      <c r="F768" s="111" t="str">
        <f>DataPull!D768</f>
        <v/>
      </c>
      <c r="G768" s="94" t="str">
        <f t="shared" si="2"/>
        <v/>
      </c>
      <c r="H768" s="94" t="str">
        <f t="shared" si="3"/>
        <v/>
      </c>
      <c r="I768" s="94" t="str">
        <f t="shared" ref="I768:J768" si="769">if(G768 = "", , -G768)</f>
        <v/>
      </c>
      <c r="J768" s="94" t="str">
        <f t="shared" si="769"/>
        <v/>
      </c>
      <c r="K768" s="100"/>
      <c r="L768" s="100"/>
      <c r="M768" s="100"/>
      <c r="N768" s="100"/>
      <c r="O768" s="100"/>
      <c r="P768" s="100"/>
    </row>
    <row r="769">
      <c r="A769" s="107">
        <v>201163.0</v>
      </c>
      <c r="B769" s="108" t="s">
        <v>193</v>
      </c>
      <c r="C769" s="108" t="s">
        <v>370</v>
      </c>
      <c r="D769" s="112" t="s">
        <v>176</v>
      </c>
      <c r="E769" s="112">
        <v>735.0</v>
      </c>
      <c r="F769" s="111" t="str">
        <f>DataPull!D769</f>
        <v/>
      </c>
      <c r="G769" s="94" t="str">
        <f t="shared" si="2"/>
        <v/>
      </c>
      <c r="H769" s="94" t="str">
        <f t="shared" si="3"/>
        <v/>
      </c>
      <c r="I769" s="94" t="str">
        <f t="shared" ref="I769:J769" si="770">if(G769 = "", , -G769)</f>
        <v/>
      </c>
      <c r="J769" s="94" t="str">
        <f t="shared" si="770"/>
        <v/>
      </c>
      <c r="K769" s="100"/>
      <c r="M769" s="100"/>
      <c r="N769" s="100"/>
      <c r="O769" s="100"/>
      <c r="P769" s="100"/>
    </row>
    <row r="770">
      <c r="A770" s="107">
        <v>201166.0</v>
      </c>
      <c r="B770" s="108" t="s">
        <v>85</v>
      </c>
      <c r="C770" s="108" t="s">
        <v>371</v>
      </c>
      <c r="D770" s="112" t="s">
        <v>177</v>
      </c>
      <c r="E770" s="112">
        <v>1555.2</v>
      </c>
      <c r="F770" s="111" t="str">
        <f>DataPull!D770</f>
        <v/>
      </c>
      <c r="G770" s="94" t="str">
        <f t="shared" si="2"/>
        <v/>
      </c>
      <c r="H770" s="94" t="str">
        <f t="shared" si="3"/>
        <v/>
      </c>
      <c r="I770" s="94" t="str">
        <f t="shared" ref="I770:J770" si="771">if(G770 = "", , -G770)</f>
        <v/>
      </c>
      <c r="J770" s="94" t="str">
        <f t="shared" si="771"/>
        <v/>
      </c>
      <c r="K770" s="100"/>
      <c r="M770" s="100"/>
      <c r="N770" s="100"/>
      <c r="O770" s="100"/>
      <c r="P770" s="100"/>
    </row>
    <row r="771">
      <c r="A771" s="107">
        <v>201166.0</v>
      </c>
      <c r="B771" s="108" t="s">
        <v>90</v>
      </c>
      <c r="C771" s="108" t="s">
        <v>371</v>
      </c>
      <c r="D771" s="112" t="s">
        <v>177</v>
      </c>
      <c r="E771" s="112">
        <v>1886.0</v>
      </c>
      <c r="F771" s="111" t="str">
        <f>DataPull!D771</f>
        <v/>
      </c>
      <c r="G771" s="94" t="str">
        <f t="shared" si="2"/>
        <v/>
      </c>
      <c r="H771" s="94" t="str">
        <f t="shared" si="3"/>
        <v/>
      </c>
      <c r="I771" s="94" t="str">
        <f t="shared" ref="I771:J771" si="772">if(G771 = "", , -G771)</f>
        <v/>
      </c>
      <c r="J771" s="94" t="str">
        <f t="shared" si="772"/>
        <v/>
      </c>
      <c r="K771" s="100"/>
      <c r="M771" s="100"/>
      <c r="N771" s="100"/>
      <c r="O771" s="100"/>
      <c r="P771" s="100"/>
    </row>
    <row r="772">
      <c r="A772" s="107">
        <v>201166.0</v>
      </c>
      <c r="B772" s="108" t="s">
        <v>92</v>
      </c>
      <c r="C772" s="108" t="s">
        <v>371</v>
      </c>
      <c r="D772" s="112" t="s">
        <v>177</v>
      </c>
      <c r="E772" s="112">
        <v>1110.9</v>
      </c>
      <c r="F772" s="111" t="str">
        <f>DataPull!D772</f>
        <v/>
      </c>
      <c r="G772" s="94" t="str">
        <f t="shared" si="2"/>
        <v/>
      </c>
      <c r="H772" s="94" t="str">
        <f t="shared" si="3"/>
        <v/>
      </c>
      <c r="I772" s="94" t="str">
        <f t="shared" ref="I772:J772" si="773">if(G772 = "", , -G772)</f>
        <v/>
      </c>
      <c r="J772" s="94" t="str">
        <f t="shared" si="773"/>
        <v/>
      </c>
      <c r="K772" s="100"/>
      <c r="L772" s="100"/>
      <c r="M772" s="100"/>
      <c r="N772" s="100"/>
      <c r="O772" s="100"/>
      <c r="P772" s="100"/>
    </row>
    <row r="773">
      <c r="A773" s="107">
        <v>201166.0</v>
      </c>
      <c r="B773" s="108" t="s">
        <v>190</v>
      </c>
      <c r="C773" s="108" t="s">
        <v>371</v>
      </c>
      <c r="D773" s="112" t="s">
        <v>177</v>
      </c>
      <c r="E773" s="112">
        <v>890.5</v>
      </c>
      <c r="F773" s="111" t="str">
        <f>DataPull!D773</f>
        <v/>
      </c>
      <c r="G773" s="94" t="str">
        <f t="shared" si="2"/>
        <v/>
      </c>
      <c r="H773" s="94" t="str">
        <f t="shared" si="3"/>
        <v/>
      </c>
      <c r="I773" s="94" t="str">
        <f t="shared" ref="I773:J773" si="774">if(G773 = "", , -G773)</f>
        <v/>
      </c>
      <c r="J773" s="94" t="str">
        <f t="shared" si="774"/>
        <v/>
      </c>
      <c r="K773" s="100"/>
      <c r="M773" s="100"/>
      <c r="N773" s="100"/>
      <c r="O773" s="100"/>
      <c r="P773" s="100"/>
    </row>
    <row r="774">
      <c r="A774" s="107">
        <v>201166.0</v>
      </c>
      <c r="B774" s="108" t="s">
        <v>191</v>
      </c>
      <c r="C774" s="108" t="s">
        <v>371</v>
      </c>
      <c r="D774" s="112" t="s">
        <v>187</v>
      </c>
      <c r="E774" s="112">
        <v>188.8</v>
      </c>
      <c r="F774" s="111" t="str">
        <f>DataPull!D774</f>
        <v/>
      </c>
      <c r="G774" s="94" t="str">
        <f t="shared" si="2"/>
        <v/>
      </c>
      <c r="H774" s="94" t="str">
        <f t="shared" si="3"/>
        <v/>
      </c>
      <c r="I774" s="94" t="str">
        <f t="shared" ref="I774:J774" si="775">if(G774 = "", , -G774)</f>
        <v/>
      </c>
      <c r="J774" s="94" t="str">
        <f t="shared" si="775"/>
        <v/>
      </c>
      <c r="K774" s="100"/>
      <c r="M774" s="100"/>
      <c r="N774" s="100"/>
      <c r="O774" s="100"/>
      <c r="P774" s="100"/>
    </row>
    <row r="775">
      <c r="A775" s="107">
        <v>201167.0</v>
      </c>
      <c r="B775" s="108" t="s">
        <v>85</v>
      </c>
      <c r="C775" s="108" t="s">
        <v>372</v>
      </c>
      <c r="D775" s="112" t="s">
        <v>178</v>
      </c>
      <c r="E775" s="112">
        <v>2555.0</v>
      </c>
      <c r="F775" s="111" t="str">
        <f>DataPull!D775</f>
        <v/>
      </c>
      <c r="G775" s="94" t="str">
        <f t="shared" si="2"/>
        <v/>
      </c>
      <c r="H775" s="94" t="str">
        <f t="shared" si="3"/>
        <v/>
      </c>
      <c r="I775" s="94" t="str">
        <f t="shared" ref="I775:J775" si="776">if(G775 = "", , -G775)</f>
        <v/>
      </c>
      <c r="J775" s="94" t="str">
        <f t="shared" si="776"/>
        <v/>
      </c>
      <c r="K775" s="100"/>
      <c r="L775" s="100"/>
      <c r="N775" s="100"/>
      <c r="O775" s="100"/>
      <c r="P775" s="100"/>
    </row>
    <row r="776">
      <c r="A776" s="107">
        <v>201167.0</v>
      </c>
      <c r="B776" s="108" t="s">
        <v>90</v>
      </c>
      <c r="C776" s="108" t="s">
        <v>372</v>
      </c>
      <c r="D776" s="112" t="s">
        <v>178</v>
      </c>
      <c r="E776" s="112">
        <v>2503.8</v>
      </c>
      <c r="F776" s="111" t="str">
        <f>DataPull!D776</f>
        <v/>
      </c>
      <c r="G776" s="94" t="str">
        <f t="shared" si="2"/>
        <v/>
      </c>
      <c r="H776" s="94" t="str">
        <f t="shared" si="3"/>
        <v/>
      </c>
      <c r="I776" s="94" t="str">
        <f t="shared" ref="I776:J776" si="777">if(G776 = "", , -G776)</f>
        <v/>
      </c>
      <c r="J776" s="94" t="str">
        <f t="shared" si="777"/>
        <v/>
      </c>
      <c r="K776" s="100"/>
      <c r="M776" s="100"/>
      <c r="N776" s="100"/>
      <c r="O776" s="100"/>
      <c r="P776" s="100"/>
    </row>
    <row r="777">
      <c r="A777" s="107">
        <v>201167.0</v>
      </c>
      <c r="B777" s="108" t="s">
        <v>92</v>
      </c>
      <c r="C777" s="108" t="s">
        <v>372</v>
      </c>
      <c r="D777" s="112" t="s">
        <v>178</v>
      </c>
      <c r="E777" s="112">
        <v>2371.4</v>
      </c>
      <c r="F777" s="111" t="str">
        <f>DataPull!D777</f>
        <v/>
      </c>
      <c r="G777" s="94" t="str">
        <f t="shared" si="2"/>
        <v/>
      </c>
      <c r="H777" s="94" t="str">
        <f t="shared" si="3"/>
        <v/>
      </c>
      <c r="I777" s="94" t="str">
        <f t="shared" ref="I777:J777" si="778">if(G777 = "", , -G777)</f>
        <v/>
      </c>
      <c r="J777" s="94" t="str">
        <f t="shared" si="778"/>
        <v/>
      </c>
      <c r="K777" s="100"/>
      <c r="M777" s="100"/>
      <c r="N777" s="100"/>
      <c r="O777" s="100"/>
      <c r="P777" s="100"/>
    </row>
    <row r="778">
      <c r="A778" s="107">
        <v>201167.0</v>
      </c>
      <c r="B778" s="108" t="s">
        <v>190</v>
      </c>
      <c r="C778" s="108" t="s">
        <v>372</v>
      </c>
      <c r="D778" s="112" t="s">
        <v>176</v>
      </c>
      <c r="E778" s="112">
        <v>1579.9</v>
      </c>
      <c r="F778" s="111" t="str">
        <f>DataPull!D778</f>
        <v/>
      </c>
      <c r="G778" s="94" t="str">
        <f t="shared" si="2"/>
        <v/>
      </c>
      <c r="H778" s="94" t="str">
        <f t="shared" si="3"/>
        <v/>
      </c>
      <c r="I778" s="94" t="str">
        <f t="shared" ref="I778:J778" si="779">if(G778 = "", , -G778)</f>
        <v/>
      </c>
      <c r="J778" s="94" t="str">
        <f t="shared" si="779"/>
        <v/>
      </c>
      <c r="K778" s="100"/>
      <c r="M778" s="100"/>
      <c r="N778" s="100"/>
      <c r="O778" s="100"/>
      <c r="P778" s="100"/>
    </row>
    <row r="779">
      <c r="A779" s="107">
        <v>201167.0</v>
      </c>
      <c r="B779" s="108" t="s">
        <v>191</v>
      </c>
      <c r="C779" s="108" t="s">
        <v>372</v>
      </c>
      <c r="D779" s="112" t="s">
        <v>177</v>
      </c>
      <c r="E779" s="112">
        <v>683.7</v>
      </c>
      <c r="F779" s="111" t="str">
        <f>DataPull!D779</f>
        <v/>
      </c>
      <c r="G779" s="94" t="str">
        <f t="shared" si="2"/>
        <v/>
      </c>
      <c r="H779" s="94" t="str">
        <f t="shared" si="3"/>
        <v/>
      </c>
      <c r="I779" s="94" t="str">
        <f t="shared" ref="I779:J779" si="780">if(G779 = "", , -G779)</f>
        <v/>
      </c>
      <c r="J779" s="94" t="str">
        <f t="shared" si="780"/>
        <v/>
      </c>
      <c r="K779" s="100"/>
      <c r="M779" s="100"/>
      <c r="N779" s="100"/>
      <c r="O779" s="100"/>
      <c r="P779" s="100"/>
    </row>
    <row r="780">
      <c r="A780" s="107">
        <v>201168.0</v>
      </c>
      <c r="B780" s="108" t="s">
        <v>85</v>
      </c>
      <c r="C780" s="108" t="s">
        <v>373</v>
      </c>
      <c r="D780" s="112" t="s">
        <v>176</v>
      </c>
      <c r="E780" s="112">
        <v>1268.5</v>
      </c>
      <c r="F780" s="111" t="str">
        <f>DataPull!D780</f>
        <v/>
      </c>
      <c r="G780" s="94" t="str">
        <f t="shared" si="2"/>
        <v/>
      </c>
      <c r="H780" s="94" t="str">
        <f t="shared" si="3"/>
        <v/>
      </c>
      <c r="I780" s="94" t="str">
        <f t="shared" ref="I780:J780" si="781">if(G780 = "", , -G780)</f>
        <v/>
      </c>
      <c r="J780" s="94" t="str">
        <f t="shared" si="781"/>
        <v/>
      </c>
      <c r="K780" s="100"/>
      <c r="M780" s="100"/>
      <c r="N780" s="100"/>
      <c r="O780" s="100"/>
      <c r="P780" s="100"/>
    </row>
    <row r="781">
      <c r="A781" s="107">
        <v>201168.0</v>
      </c>
      <c r="B781" s="108" t="s">
        <v>90</v>
      </c>
      <c r="C781" s="108" t="s">
        <v>373</v>
      </c>
      <c r="D781" s="112" t="s">
        <v>176</v>
      </c>
      <c r="E781" s="112">
        <v>1029.6</v>
      </c>
      <c r="F781" s="111" t="str">
        <f>DataPull!D781</f>
        <v/>
      </c>
      <c r="G781" s="94" t="str">
        <f t="shared" si="2"/>
        <v/>
      </c>
      <c r="H781" s="94" t="str">
        <f t="shared" si="3"/>
        <v/>
      </c>
      <c r="I781" s="94" t="str">
        <f t="shared" ref="I781:J781" si="782">if(G781 = "", , -G781)</f>
        <v/>
      </c>
      <c r="J781" s="94" t="str">
        <f t="shared" si="782"/>
        <v/>
      </c>
      <c r="K781" s="100"/>
      <c r="M781" s="100"/>
      <c r="N781" s="100"/>
      <c r="O781" s="100"/>
      <c r="P781" s="100"/>
    </row>
    <row r="782">
      <c r="A782" s="107">
        <v>201168.0</v>
      </c>
      <c r="B782" s="108" t="s">
        <v>92</v>
      </c>
      <c r="C782" s="108" t="s">
        <v>373</v>
      </c>
      <c r="D782" s="112" t="s">
        <v>177</v>
      </c>
      <c r="E782" s="112">
        <v>579.6</v>
      </c>
      <c r="F782" s="111" t="str">
        <f>DataPull!D782</f>
        <v/>
      </c>
      <c r="G782" s="94" t="str">
        <f t="shared" si="2"/>
        <v/>
      </c>
      <c r="H782" s="94" t="str">
        <f t="shared" si="3"/>
        <v/>
      </c>
      <c r="I782" s="94" t="str">
        <f t="shared" ref="I782:J782" si="783">if(G782 = "", , -G782)</f>
        <v/>
      </c>
      <c r="J782" s="94" t="str">
        <f t="shared" si="783"/>
        <v/>
      </c>
      <c r="K782" s="100"/>
      <c r="M782" s="100"/>
      <c r="N782" s="100"/>
      <c r="O782" s="100"/>
      <c r="P782" s="100"/>
    </row>
    <row r="783">
      <c r="A783" s="107">
        <v>201168.0</v>
      </c>
      <c r="B783" s="108" t="s">
        <v>190</v>
      </c>
      <c r="C783" s="108" t="s">
        <v>373</v>
      </c>
      <c r="D783" s="112" t="s">
        <v>181</v>
      </c>
      <c r="E783" s="112">
        <v>76.0</v>
      </c>
      <c r="F783" s="111" t="str">
        <f>DataPull!D783</f>
        <v/>
      </c>
      <c r="G783" s="94" t="str">
        <f t="shared" si="2"/>
        <v/>
      </c>
      <c r="H783" s="94" t="str">
        <f t="shared" si="3"/>
        <v/>
      </c>
      <c r="I783" s="94" t="str">
        <f t="shared" ref="I783:J783" si="784">if(G783 = "", , -G783)</f>
        <v/>
      </c>
      <c r="J783" s="94" t="str">
        <f t="shared" si="784"/>
        <v/>
      </c>
      <c r="K783" s="100"/>
      <c r="M783" s="100"/>
      <c r="N783" s="100"/>
      <c r="O783" s="100"/>
      <c r="P783" s="100"/>
    </row>
    <row r="784">
      <c r="A784" s="107">
        <v>201171.0</v>
      </c>
      <c r="B784" s="108" t="s">
        <v>85</v>
      </c>
      <c r="C784" s="108" t="s">
        <v>374</v>
      </c>
      <c r="D784" s="112" t="s">
        <v>187</v>
      </c>
      <c r="E784" s="112">
        <v>232.2</v>
      </c>
      <c r="F784" s="111" t="str">
        <f>DataPull!D784</f>
        <v/>
      </c>
      <c r="G784" s="94" t="str">
        <f t="shared" si="2"/>
        <v/>
      </c>
      <c r="H784" s="94" t="str">
        <f t="shared" si="3"/>
        <v/>
      </c>
      <c r="I784" s="94" t="str">
        <f t="shared" ref="I784:J784" si="785">if(G784 = "", , -G784)</f>
        <v/>
      </c>
      <c r="J784" s="94" t="str">
        <f t="shared" si="785"/>
        <v/>
      </c>
      <c r="K784" s="100"/>
      <c r="N784" s="100"/>
      <c r="O784" s="100"/>
      <c r="P784" s="100"/>
    </row>
    <row r="785">
      <c r="A785" s="107">
        <v>201171.0</v>
      </c>
      <c r="B785" s="108" t="s">
        <v>90</v>
      </c>
      <c r="C785" s="108" t="s">
        <v>374</v>
      </c>
      <c r="D785" s="112" t="s">
        <v>177</v>
      </c>
      <c r="E785" s="112">
        <v>1190.0</v>
      </c>
      <c r="F785" s="111" t="str">
        <f>DataPull!D785</f>
        <v/>
      </c>
      <c r="G785" s="94" t="str">
        <f t="shared" si="2"/>
        <v/>
      </c>
      <c r="H785" s="94" t="str">
        <f t="shared" si="3"/>
        <v/>
      </c>
      <c r="I785" s="94" t="str">
        <f t="shared" ref="I785:J785" si="786">if(G785 = "", , -G785)</f>
        <v/>
      </c>
      <c r="J785" s="94" t="str">
        <f t="shared" si="786"/>
        <v/>
      </c>
      <c r="K785" s="100"/>
      <c r="M785" s="100"/>
      <c r="N785" s="100"/>
      <c r="O785" s="100"/>
      <c r="P785" s="100"/>
    </row>
    <row r="786">
      <c r="A786" s="107">
        <v>201171.0</v>
      </c>
      <c r="B786" s="108" t="s">
        <v>92</v>
      </c>
      <c r="C786" s="108" t="s">
        <v>374</v>
      </c>
      <c r="D786" s="112" t="s">
        <v>177</v>
      </c>
      <c r="E786" s="112">
        <v>568.8</v>
      </c>
      <c r="F786" s="111" t="str">
        <f>DataPull!D786</f>
        <v/>
      </c>
      <c r="G786" s="94" t="str">
        <f t="shared" si="2"/>
        <v/>
      </c>
      <c r="H786" s="94" t="str">
        <f t="shared" si="3"/>
        <v/>
      </c>
      <c r="I786" s="94" t="str">
        <f t="shared" ref="I786:J786" si="787">if(G786 = "", , -G786)</f>
        <v/>
      </c>
      <c r="J786" s="94" t="str">
        <f t="shared" si="787"/>
        <v/>
      </c>
      <c r="K786" s="100"/>
      <c r="L786" s="100"/>
      <c r="N786" s="100"/>
      <c r="O786" s="100"/>
      <c r="P786" s="100"/>
    </row>
    <row r="787">
      <c r="A787" s="107">
        <v>201175.0</v>
      </c>
      <c r="B787" s="108" t="s">
        <v>85</v>
      </c>
      <c r="C787" s="108" t="s">
        <v>375</v>
      </c>
      <c r="D787" s="112" t="s">
        <v>176</v>
      </c>
      <c r="E787" s="112">
        <v>1659.2</v>
      </c>
      <c r="F787" s="111" t="str">
        <f>DataPull!D787</f>
        <v/>
      </c>
      <c r="G787" s="94" t="str">
        <f t="shared" si="2"/>
        <v/>
      </c>
      <c r="H787" s="94" t="str">
        <f t="shared" si="3"/>
        <v/>
      </c>
      <c r="I787" s="94" t="str">
        <f t="shared" ref="I787:J787" si="788">if(G787 = "", , -G787)</f>
        <v/>
      </c>
      <c r="J787" s="94" t="str">
        <f t="shared" si="788"/>
        <v/>
      </c>
      <c r="K787" s="100"/>
      <c r="M787" s="100"/>
      <c r="N787" s="100"/>
      <c r="O787" s="100"/>
      <c r="P787" s="100"/>
    </row>
    <row r="788">
      <c r="A788" s="107">
        <v>201175.0</v>
      </c>
      <c r="B788" s="108" t="s">
        <v>90</v>
      </c>
      <c r="C788" s="108" t="s">
        <v>375</v>
      </c>
      <c r="D788" s="112" t="s">
        <v>177</v>
      </c>
      <c r="E788" s="112">
        <v>902.8</v>
      </c>
      <c r="F788" s="111" t="str">
        <f>DataPull!D788</f>
        <v/>
      </c>
      <c r="G788" s="94" t="str">
        <f t="shared" si="2"/>
        <v/>
      </c>
      <c r="H788" s="94" t="str">
        <f t="shared" si="3"/>
        <v/>
      </c>
      <c r="I788" s="94" t="str">
        <f t="shared" ref="I788:J788" si="789">if(G788 = "", , -G788)</f>
        <v/>
      </c>
      <c r="J788" s="94" t="str">
        <f t="shared" si="789"/>
        <v/>
      </c>
      <c r="K788" s="100"/>
      <c r="M788" s="100"/>
      <c r="N788" s="100"/>
      <c r="O788" s="100"/>
      <c r="P788" s="100"/>
    </row>
    <row r="789">
      <c r="A789" s="107">
        <v>201177.0</v>
      </c>
      <c r="B789" s="108" t="s">
        <v>85</v>
      </c>
      <c r="C789" s="108" t="s">
        <v>376</v>
      </c>
      <c r="D789" s="112" t="s">
        <v>178</v>
      </c>
      <c r="E789" s="112">
        <v>2363.4</v>
      </c>
      <c r="F789" s="111" t="str">
        <f>DataPull!D789</f>
        <v/>
      </c>
      <c r="G789" s="94" t="str">
        <f t="shared" si="2"/>
        <v/>
      </c>
      <c r="H789" s="94" t="str">
        <f t="shared" si="3"/>
        <v/>
      </c>
      <c r="I789" s="94" t="str">
        <f t="shared" ref="I789:J789" si="790">if(G789 = "", , -G789)</f>
        <v/>
      </c>
      <c r="J789" s="94" t="str">
        <f t="shared" si="790"/>
        <v/>
      </c>
      <c r="K789" s="100"/>
      <c r="L789" s="100"/>
      <c r="M789" s="100"/>
      <c r="N789" s="100"/>
      <c r="O789" s="100"/>
      <c r="P789" s="100"/>
    </row>
    <row r="790">
      <c r="A790" s="107">
        <v>201177.0</v>
      </c>
      <c r="B790" s="108" t="s">
        <v>90</v>
      </c>
      <c r="C790" s="108" t="s">
        <v>376</v>
      </c>
      <c r="D790" s="112" t="s">
        <v>187</v>
      </c>
      <c r="E790" s="112">
        <v>295.8</v>
      </c>
      <c r="F790" s="111" t="str">
        <f>DataPull!D790</f>
        <v/>
      </c>
      <c r="G790" s="94" t="str">
        <f t="shared" si="2"/>
        <v/>
      </c>
      <c r="H790" s="94" t="str">
        <f t="shared" si="3"/>
        <v/>
      </c>
      <c r="I790" s="94" t="str">
        <f t="shared" ref="I790:J790" si="791">if(G790 = "", , -G790)</f>
        <v/>
      </c>
      <c r="J790" s="94" t="str">
        <f t="shared" si="791"/>
        <v/>
      </c>
      <c r="K790" s="100"/>
      <c r="L790" s="100"/>
      <c r="N790" s="100"/>
      <c r="O790" s="100"/>
      <c r="P790" s="100"/>
    </row>
    <row r="791">
      <c r="A791" s="107">
        <v>201177.0</v>
      </c>
      <c r="B791" s="108" t="s">
        <v>92</v>
      </c>
      <c r="C791" s="108" t="s">
        <v>376</v>
      </c>
      <c r="D791" s="112" t="s">
        <v>177</v>
      </c>
      <c r="E791" s="112">
        <v>596.4</v>
      </c>
      <c r="F791" s="111" t="str">
        <f>DataPull!D791</f>
        <v/>
      </c>
      <c r="G791" s="94" t="str">
        <f t="shared" si="2"/>
        <v/>
      </c>
      <c r="H791" s="94" t="str">
        <f t="shared" si="3"/>
        <v/>
      </c>
      <c r="I791" s="94" t="str">
        <f t="shared" ref="I791:J791" si="792">if(G791 = "", , -G791)</f>
        <v/>
      </c>
      <c r="J791" s="94" t="str">
        <f t="shared" si="792"/>
        <v/>
      </c>
      <c r="K791" s="100"/>
      <c r="M791" s="100"/>
      <c r="N791" s="100"/>
      <c r="O791" s="100"/>
      <c r="P791" s="100"/>
    </row>
    <row r="792">
      <c r="A792" s="107">
        <v>201177.0</v>
      </c>
      <c r="B792" s="108" t="s">
        <v>190</v>
      </c>
      <c r="C792" s="108" t="s">
        <v>376</v>
      </c>
      <c r="D792" s="112" t="s">
        <v>177</v>
      </c>
      <c r="E792" s="112">
        <v>380.6</v>
      </c>
      <c r="F792" s="111" t="str">
        <f>DataPull!D792</f>
        <v/>
      </c>
      <c r="G792" s="94" t="str">
        <f t="shared" si="2"/>
        <v/>
      </c>
      <c r="H792" s="94" t="str">
        <f t="shared" si="3"/>
        <v/>
      </c>
      <c r="I792" s="94" t="str">
        <f t="shared" ref="I792:J792" si="793">if(G792 = "", , -G792)</f>
        <v/>
      </c>
      <c r="J792" s="94" t="str">
        <f t="shared" si="793"/>
        <v/>
      </c>
      <c r="K792" s="100"/>
      <c r="M792" s="100"/>
      <c r="N792" s="100"/>
      <c r="O792" s="100"/>
      <c r="P792" s="100"/>
    </row>
    <row r="793">
      <c r="A793" s="107">
        <v>201177.0</v>
      </c>
      <c r="B793" s="108" t="s">
        <v>191</v>
      </c>
      <c r="C793" s="108" t="s">
        <v>376</v>
      </c>
      <c r="D793" s="112" t="s">
        <v>181</v>
      </c>
      <c r="E793" s="112">
        <v>5.8</v>
      </c>
      <c r="F793" s="111" t="str">
        <f>DataPull!D793</f>
        <v/>
      </c>
      <c r="G793" s="94" t="str">
        <f t="shared" si="2"/>
        <v/>
      </c>
      <c r="H793" s="94" t="str">
        <f t="shared" si="3"/>
        <v/>
      </c>
      <c r="I793" s="94" t="str">
        <f t="shared" ref="I793:J793" si="794">if(G793 = "", , -G793)</f>
        <v/>
      </c>
      <c r="J793" s="94" t="str">
        <f t="shared" si="794"/>
        <v/>
      </c>
      <c r="K793" s="100"/>
      <c r="M793" s="100"/>
      <c r="N793" s="100"/>
      <c r="O793" s="100"/>
      <c r="P793" s="100"/>
    </row>
    <row r="794">
      <c r="A794" s="107">
        <v>201188.0</v>
      </c>
      <c r="B794" s="108" t="s">
        <v>85</v>
      </c>
      <c r="C794" s="108" t="s">
        <v>377</v>
      </c>
      <c r="D794" s="112" t="s">
        <v>178</v>
      </c>
      <c r="E794" s="112">
        <v>1970.6</v>
      </c>
      <c r="F794" s="111" t="str">
        <f>DataPull!D794</f>
        <v/>
      </c>
      <c r="G794" s="94" t="str">
        <f t="shared" si="2"/>
        <v/>
      </c>
      <c r="H794" s="94" t="str">
        <f t="shared" si="3"/>
        <v/>
      </c>
      <c r="I794" s="94" t="str">
        <f t="shared" ref="I794:J794" si="795">if(G794 = "", , -G794)</f>
        <v/>
      </c>
      <c r="J794" s="94" t="str">
        <f t="shared" si="795"/>
        <v/>
      </c>
      <c r="K794" s="100"/>
      <c r="N794" s="100"/>
      <c r="O794" s="100"/>
      <c r="P794" s="100"/>
    </row>
    <row r="795">
      <c r="A795" s="107">
        <v>201188.0</v>
      </c>
      <c r="B795" s="108" t="s">
        <v>90</v>
      </c>
      <c r="C795" s="108" t="s">
        <v>377</v>
      </c>
      <c r="D795" s="112" t="s">
        <v>184</v>
      </c>
      <c r="E795" s="112">
        <v>2689.2</v>
      </c>
      <c r="F795" s="111" t="str">
        <f>DataPull!D795</f>
        <v/>
      </c>
      <c r="G795" s="94" t="str">
        <f t="shared" si="2"/>
        <v/>
      </c>
      <c r="H795" s="94" t="str">
        <f t="shared" si="3"/>
        <v/>
      </c>
      <c r="I795" s="94" t="str">
        <f t="shared" ref="I795:J795" si="796">if(G795 = "", , -G795)</f>
        <v/>
      </c>
      <c r="J795" s="94" t="str">
        <f t="shared" si="796"/>
        <v/>
      </c>
      <c r="K795" s="100"/>
      <c r="M795" s="100"/>
      <c r="N795" s="100"/>
      <c r="O795" s="100"/>
      <c r="P795" s="100"/>
    </row>
    <row r="796">
      <c r="A796" s="107">
        <v>201188.0</v>
      </c>
      <c r="B796" s="108" t="s">
        <v>92</v>
      </c>
      <c r="C796" s="108" t="s">
        <v>377</v>
      </c>
      <c r="D796" s="112" t="s">
        <v>178</v>
      </c>
      <c r="E796" s="112">
        <v>1788.8</v>
      </c>
      <c r="F796" s="111" t="str">
        <f>DataPull!D796</f>
        <v/>
      </c>
      <c r="G796" s="94" t="str">
        <f t="shared" si="2"/>
        <v/>
      </c>
      <c r="H796" s="94" t="str">
        <f t="shared" si="3"/>
        <v/>
      </c>
      <c r="I796" s="94" t="str">
        <f t="shared" ref="I796:J796" si="797">if(G796 = "", , -G796)</f>
        <v/>
      </c>
      <c r="J796" s="94" t="str">
        <f t="shared" si="797"/>
        <v/>
      </c>
      <c r="K796" s="100"/>
      <c r="M796" s="100"/>
      <c r="N796" s="100"/>
      <c r="O796" s="100"/>
      <c r="P796" s="100"/>
    </row>
    <row r="797">
      <c r="A797" s="107">
        <v>201188.0</v>
      </c>
      <c r="B797" s="108" t="s">
        <v>190</v>
      </c>
      <c r="C797" s="108" t="s">
        <v>377</v>
      </c>
      <c r="D797" s="112" t="s">
        <v>184</v>
      </c>
      <c r="E797" s="112">
        <v>2530.8</v>
      </c>
      <c r="F797" s="111" t="str">
        <f>DataPull!D797</f>
        <v/>
      </c>
      <c r="G797" s="94" t="str">
        <f t="shared" si="2"/>
        <v/>
      </c>
      <c r="H797" s="94" t="str">
        <f t="shared" si="3"/>
        <v/>
      </c>
      <c r="I797" s="94" t="str">
        <f t="shared" ref="I797:J797" si="798">if(G797 = "", , -G797)</f>
        <v/>
      </c>
      <c r="J797" s="94" t="str">
        <f t="shared" si="798"/>
        <v/>
      </c>
      <c r="K797" s="100"/>
      <c r="M797" s="100"/>
      <c r="N797" s="100"/>
      <c r="O797" s="100"/>
      <c r="P797" s="100"/>
    </row>
    <row r="798">
      <c r="A798" s="107">
        <v>201188.0</v>
      </c>
      <c r="B798" s="108" t="s">
        <v>191</v>
      </c>
      <c r="C798" s="108" t="s">
        <v>377</v>
      </c>
      <c r="D798" s="112" t="s">
        <v>184</v>
      </c>
      <c r="E798" s="112">
        <v>2409.0</v>
      </c>
      <c r="F798" s="111" t="str">
        <f>DataPull!D798</f>
        <v/>
      </c>
      <c r="G798" s="94" t="str">
        <f t="shared" si="2"/>
        <v/>
      </c>
      <c r="H798" s="94" t="str">
        <f t="shared" si="3"/>
        <v/>
      </c>
      <c r="I798" s="94" t="str">
        <f t="shared" ref="I798:J798" si="799">if(G798 = "", , -G798)</f>
        <v/>
      </c>
      <c r="J798" s="94" t="str">
        <f t="shared" si="799"/>
        <v/>
      </c>
      <c r="K798" s="100"/>
      <c r="M798" s="100"/>
      <c r="N798" s="100"/>
      <c r="O798" s="100"/>
      <c r="P798" s="100"/>
    </row>
    <row r="799">
      <c r="A799" s="107">
        <v>201188.0</v>
      </c>
      <c r="B799" s="108" t="s">
        <v>192</v>
      </c>
      <c r="C799" s="108" t="s">
        <v>377</v>
      </c>
      <c r="D799" s="112" t="s">
        <v>184</v>
      </c>
      <c r="E799" s="112">
        <v>2433.2</v>
      </c>
      <c r="F799" s="111" t="str">
        <f>DataPull!D799</f>
        <v/>
      </c>
      <c r="G799" s="94" t="str">
        <f t="shared" si="2"/>
        <v/>
      </c>
      <c r="H799" s="94" t="str">
        <f t="shared" si="3"/>
        <v/>
      </c>
      <c r="I799" s="94" t="str">
        <f t="shared" ref="I799:J799" si="800">if(G799 = "", , -G799)</f>
        <v/>
      </c>
      <c r="J799" s="94" t="str">
        <f t="shared" si="800"/>
        <v/>
      </c>
      <c r="K799" s="100"/>
      <c r="M799" s="100"/>
      <c r="N799" s="100"/>
      <c r="O799" s="100"/>
      <c r="P799" s="100"/>
    </row>
    <row r="800">
      <c r="A800" s="107">
        <v>201188.0</v>
      </c>
      <c r="B800" s="108" t="s">
        <v>193</v>
      </c>
      <c r="C800" s="108" t="s">
        <v>377</v>
      </c>
      <c r="D800" s="112" t="s">
        <v>176</v>
      </c>
      <c r="E800" s="112">
        <v>1161.6</v>
      </c>
      <c r="F800" s="111" t="str">
        <f>DataPull!D800</f>
        <v/>
      </c>
      <c r="G800" s="94" t="str">
        <f t="shared" si="2"/>
        <v/>
      </c>
      <c r="H800" s="94" t="str">
        <f t="shared" si="3"/>
        <v/>
      </c>
      <c r="I800" s="94" t="str">
        <f t="shared" ref="I800:J800" si="801">if(G800 = "", , -G800)</f>
        <v/>
      </c>
      <c r="J800" s="94" t="str">
        <f t="shared" si="801"/>
        <v/>
      </c>
      <c r="K800" s="100"/>
      <c r="M800" s="100"/>
      <c r="N800" s="100"/>
      <c r="O800" s="100"/>
      <c r="P800" s="100"/>
    </row>
    <row r="801">
      <c r="A801" s="107">
        <v>201188.0</v>
      </c>
      <c r="B801" s="108" t="s">
        <v>243</v>
      </c>
      <c r="C801" s="108" t="s">
        <v>377</v>
      </c>
      <c r="D801" s="112" t="s">
        <v>177</v>
      </c>
      <c r="E801" s="112">
        <v>993.2</v>
      </c>
      <c r="F801" s="111" t="str">
        <f>DataPull!D801</f>
        <v/>
      </c>
      <c r="G801" s="94" t="str">
        <f t="shared" si="2"/>
        <v/>
      </c>
      <c r="H801" s="94" t="str">
        <f t="shared" si="3"/>
        <v/>
      </c>
      <c r="I801" s="94" t="str">
        <f t="shared" ref="I801:J801" si="802">if(G801 = "", , -G801)</f>
        <v/>
      </c>
      <c r="J801" s="94" t="str">
        <f t="shared" si="802"/>
        <v/>
      </c>
      <c r="K801" s="100"/>
      <c r="M801" s="100"/>
      <c r="N801" s="100"/>
      <c r="O801" s="100"/>
      <c r="P801" s="100"/>
    </row>
    <row r="802">
      <c r="A802" s="107">
        <v>201189.0</v>
      </c>
      <c r="B802" s="108" t="s">
        <v>85</v>
      </c>
      <c r="C802" s="108" t="s">
        <v>378</v>
      </c>
      <c r="D802" s="112" t="s">
        <v>177</v>
      </c>
      <c r="E802" s="112">
        <v>355.2</v>
      </c>
      <c r="F802" s="111" t="str">
        <f>DataPull!D802</f>
        <v/>
      </c>
      <c r="G802" s="94" t="str">
        <f t="shared" si="2"/>
        <v/>
      </c>
      <c r="H802" s="94" t="str">
        <f t="shared" si="3"/>
        <v/>
      </c>
      <c r="I802" s="94" t="str">
        <f t="shared" ref="I802:J802" si="803">if(G802 = "", , -G802)</f>
        <v/>
      </c>
      <c r="J802" s="94" t="str">
        <f t="shared" si="803"/>
        <v/>
      </c>
      <c r="K802" s="100"/>
      <c r="M802" s="100"/>
      <c r="N802" s="100"/>
      <c r="O802" s="100"/>
      <c r="P802" s="100"/>
    </row>
    <row r="803">
      <c r="A803" s="107">
        <v>201196.0</v>
      </c>
      <c r="B803" s="108" t="s">
        <v>85</v>
      </c>
      <c r="C803" s="108" t="s">
        <v>379</v>
      </c>
      <c r="D803" s="112" t="s">
        <v>176</v>
      </c>
      <c r="E803" s="112">
        <v>2216.1</v>
      </c>
      <c r="F803" s="111" t="str">
        <f>DataPull!D803</f>
        <v/>
      </c>
      <c r="G803" s="94" t="str">
        <f t="shared" si="2"/>
        <v/>
      </c>
      <c r="H803" s="94" t="str">
        <f t="shared" si="3"/>
        <v/>
      </c>
      <c r="I803" s="94" t="str">
        <f t="shared" ref="I803:J803" si="804">if(G803 = "", , -G803)</f>
        <v/>
      </c>
      <c r="J803" s="94" t="str">
        <f t="shared" si="804"/>
        <v/>
      </c>
      <c r="K803" s="100"/>
      <c r="M803" s="100"/>
      <c r="N803" s="100"/>
      <c r="O803" s="100"/>
      <c r="P803" s="100"/>
    </row>
    <row r="804">
      <c r="A804" s="107">
        <v>201196.0</v>
      </c>
      <c r="B804" s="108" t="s">
        <v>90</v>
      </c>
      <c r="C804" s="108" t="s">
        <v>379</v>
      </c>
      <c r="D804" s="112" t="s">
        <v>177</v>
      </c>
      <c r="E804" s="112">
        <v>1190.4</v>
      </c>
      <c r="F804" s="111" t="str">
        <f>DataPull!D804</f>
        <v/>
      </c>
      <c r="G804" s="94" t="str">
        <f t="shared" si="2"/>
        <v/>
      </c>
      <c r="H804" s="94" t="str">
        <f t="shared" si="3"/>
        <v/>
      </c>
      <c r="I804" s="94" t="str">
        <f t="shared" ref="I804:J804" si="805">if(G804 = "", , -G804)</f>
        <v/>
      </c>
      <c r="J804" s="94" t="str">
        <f t="shared" si="805"/>
        <v/>
      </c>
      <c r="K804" s="100"/>
      <c r="M804" s="100"/>
      <c r="N804" s="100"/>
      <c r="O804" s="100"/>
      <c r="P804" s="100"/>
    </row>
    <row r="805">
      <c r="A805" s="107">
        <v>201196.0</v>
      </c>
      <c r="B805" s="108" t="s">
        <v>92</v>
      </c>
      <c r="C805" s="108" t="s">
        <v>379</v>
      </c>
      <c r="D805" s="112" t="s">
        <v>177</v>
      </c>
      <c r="E805" s="112">
        <v>1664.6</v>
      </c>
      <c r="F805" s="111" t="str">
        <f>DataPull!D805</f>
        <v/>
      </c>
      <c r="G805" s="94" t="str">
        <f t="shared" si="2"/>
        <v/>
      </c>
      <c r="H805" s="94" t="str">
        <f t="shared" si="3"/>
        <v/>
      </c>
      <c r="I805" s="94" t="str">
        <f t="shared" ref="I805:J805" si="806">if(G805 = "", , -G805)</f>
        <v/>
      </c>
      <c r="J805" s="94" t="str">
        <f t="shared" si="806"/>
        <v/>
      </c>
      <c r="K805" s="100"/>
      <c r="M805" s="100"/>
      <c r="N805" s="100"/>
      <c r="O805" s="100"/>
      <c r="P805" s="100"/>
    </row>
    <row r="806">
      <c r="A806" s="107">
        <v>201196.0</v>
      </c>
      <c r="B806" s="108" t="s">
        <v>190</v>
      </c>
      <c r="C806" s="108" t="s">
        <v>379</v>
      </c>
      <c r="D806" s="112" t="s">
        <v>177</v>
      </c>
      <c r="E806" s="112">
        <v>810.0</v>
      </c>
      <c r="F806" s="111" t="str">
        <f>DataPull!D806</f>
        <v/>
      </c>
      <c r="G806" s="94" t="str">
        <f t="shared" si="2"/>
        <v/>
      </c>
      <c r="H806" s="94" t="str">
        <f t="shared" si="3"/>
        <v/>
      </c>
      <c r="I806" s="94" t="str">
        <f t="shared" ref="I806:J806" si="807">if(G806 = "", , -G806)</f>
        <v/>
      </c>
      <c r="J806" s="94" t="str">
        <f t="shared" si="807"/>
        <v/>
      </c>
      <c r="K806" s="100"/>
      <c r="M806" s="100"/>
      <c r="N806" s="100"/>
      <c r="O806" s="100"/>
      <c r="P806" s="100"/>
    </row>
    <row r="807">
      <c r="A807" s="107">
        <v>201196.0</v>
      </c>
      <c r="B807" s="108" t="s">
        <v>191</v>
      </c>
      <c r="C807" s="108" t="s">
        <v>379</v>
      </c>
      <c r="D807" s="112" t="s">
        <v>187</v>
      </c>
      <c r="E807" s="112">
        <v>392.0</v>
      </c>
      <c r="F807" s="111" t="str">
        <f>DataPull!D807</f>
        <v/>
      </c>
      <c r="G807" s="94" t="str">
        <f t="shared" si="2"/>
        <v/>
      </c>
      <c r="H807" s="94" t="str">
        <f t="shared" si="3"/>
        <v/>
      </c>
      <c r="I807" s="94" t="str">
        <f t="shared" ref="I807:J807" si="808">if(G807 = "", , -G807)</f>
        <v/>
      </c>
      <c r="J807" s="94" t="str">
        <f t="shared" si="808"/>
        <v/>
      </c>
      <c r="K807" s="100"/>
      <c r="M807" s="100"/>
      <c r="N807" s="100"/>
      <c r="O807" s="100"/>
      <c r="P807" s="100"/>
    </row>
    <row r="808">
      <c r="A808" s="107">
        <v>201202.0</v>
      </c>
      <c r="B808" s="108" t="s">
        <v>85</v>
      </c>
      <c r="C808" s="108" t="s">
        <v>380</v>
      </c>
      <c r="D808" s="112" t="s">
        <v>187</v>
      </c>
      <c r="E808" s="112">
        <v>184.8</v>
      </c>
      <c r="F808" s="111" t="str">
        <f>DataPull!D808</f>
        <v/>
      </c>
      <c r="G808" s="94" t="str">
        <f t="shared" si="2"/>
        <v/>
      </c>
      <c r="H808" s="94" t="str">
        <f t="shared" si="3"/>
        <v/>
      </c>
      <c r="I808" s="94" t="str">
        <f t="shared" ref="I808:J808" si="809">if(G808 = "", , -G808)</f>
        <v/>
      </c>
      <c r="J808" s="94" t="str">
        <f t="shared" si="809"/>
        <v/>
      </c>
      <c r="K808" s="100"/>
      <c r="M808" s="100"/>
      <c r="N808" s="100"/>
      <c r="O808" s="100"/>
      <c r="P808" s="100"/>
    </row>
    <row r="809">
      <c r="A809" s="107">
        <v>201202.0</v>
      </c>
      <c r="B809" s="108" t="s">
        <v>90</v>
      </c>
      <c r="C809" s="108" t="s">
        <v>380</v>
      </c>
      <c r="D809" s="112" t="s">
        <v>187</v>
      </c>
      <c r="E809" s="112">
        <v>406.7</v>
      </c>
      <c r="F809" s="111" t="str">
        <f>DataPull!D809</f>
        <v/>
      </c>
      <c r="G809" s="94" t="str">
        <f t="shared" si="2"/>
        <v/>
      </c>
      <c r="H809" s="94" t="str">
        <f t="shared" si="3"/>
        <v/>
      </c>
      <c r="I809" s="94" t="str">
        <f t="shared" ref="I809:J809" si="810">if(G809 = "", , -G809)</f>
        <v/>
      </c>
      <c r="J809" s="94" t="str">
        <f t="shared" si="810"/>
        <v/>
      </c>
      <c r="K809" s="100"/>
      <c r="M809" s="100"/>
      <c r="N809" s="100"/>
      <c r="O809" s="100"/>
    </row>
    <row r="810">
      <c r="A810" s="107">
        <v>201202.0</v>
      </c>
      <c r="B810" s="108" t="s">
        <v>92</v>
      </c>
      <c r="C810" s="108" t="s">
        <v>380</v>
      </c>
      <c r="D810" s="112" t="s">
        <v>187</v>
      </c>
      <c r="E810" s="112">
        <v>95.0</v>
      </c>
      <c r="F810" s="111" t="str">
        <f>DataPull!D810</f>
        <v/>
      </c>
      <c r="G810" s="94" t="str">
        <f t="shared" si="2"/>
        <v/>
      </c>
      <c r="H810" s="94" t="str">
        <f t="shared" si="3"/>
        <v/>
      </c>
      <c r="I810" s="94" t="str">
        <f t="shared" ref="I810:J810" si="811">if(G810 = "", , -G810)</f>
        <v/>
      </c>
      <c r="J810" s="94" t="str">
        <f t="shared" si="811"/>
        <v/>
      </c>
      <c r="K810" s="100"/>
      <c r="N810" s="100"/>
      <c r="O810" s="100"/>
      <c r="P810" s="100"/>
    </row>
    <row r="811">
      <c r="A811" s="107">
        <v>201202.0</v>
      </c>
      <c r="B811" s="108" t="s">
        <v>190</v>
      </c>
      <c r="C811" s="108" t="s">
        <v>380</v>
      </c>
      <c r="D811" s="112" t="s">
        <v>187</v>
      </c>
      <c r="E811" s="112">
        <v>121.6</v>
      </c>
      <c r="F811" s="111" t="str">
        <f>DataPull!D811</f>
        <v/>
      </c>
      <c r="G811" s="94" t="str">
        <f t="shared" si="2"/>
        <v/>
      </c>
      <c r="H811" s="94" t="str">
        <f t="shared" si="3"/>
        <v/>
      </c>
      <c r="I811" s="94" t="str">
        <f t="shared" ref="I811:J811" si="812">if(G811 = "", , -G811)</f>
        <v/>
      </c>
      <c r="J811" s="94" t="str">
        <f t="shared" si="812"/>
        <v/>
      </c>
      <c r="K811" s="100"/>
      <c r="M811" s="100"/>
      <c r="N811" s="100"/>
      <c r="O811" s="100"/>
      <c r="P811" s="100"/>
    </row>
    <row r="812">
      <c r="A812" s="107">
        <v>201203.0</v>
      </c>
      <c r="B812" s="108" t="s">
        <v>85</v>
      </c>
      <c r="C812" s="108" t="s">
        <v>381</v>
      </c>
      <c r="D812" s="112" t="s">
        <v>181</v>
      </c>
      <c r="E812" s="112">
        <v>11.4</v>
      </c>
      <c r="F812" s="111" t="str">
        <f>DataPull!D812</f>
        <v/>
      </c>
      <c r="G812" s="94" t="str">
        <f t="shared" si="2"/>
        <v/>
      </c>
      <c r="H812" s="94" t="str">
        <f t="shared" si="3"/>
        <v/>
      </c>
      <c r="I812" s="94" t="str">
        <f t="shared" ref="I812:J812" si="813">if(G812 = "", , -G812)</f>
        <v/>
      </c>
      <c r="J812" s="94" t="str">
        <f t="shared" si="813"/>
        <v/>
      </c>
      <c r="K812" s="100"/>
      <c r="N812" s="100"/>
      <c r="O812" s="100"/>
      <c r="P812" s="100"/>
    </row>
    <row r="813">
      <c r="A813" s="107">
        <v>201228.0</v>
      </c>
      <c r="B813" s="108" t="s">
        <v>85</v>
      </c>
      <c r="C813" s="108" t="s">
        <v>382</v>
      </c>
      <c r="D813" s="112" t="s">
        <v>177</v>
      </c>
      <c r="E813" s="112">
        <v>1190.7</v>
      </c>
      <c r="F813" s="111" t="str">
        <f>DataPull!D813</f>
        <v/>
      </c>
      <c r="G813" s="94" t="str">
        <f t="shared" si="2"/>
        <v/>
      </c>
      <c r="H813" s="94" t="str">
        <f t="shared" si="3"/>
        <v/>
      </c>
      <c r="I813" s="94" t="str">
        <f t="shared" ref="I813:J813" si="814">if(G813 = "", , -G813)</f>
        <v/>
      </c>
      <c r="J813" s="94" t="str">
        <f t="shared" si="814"/>
        <v/>
      </c>
      <c r="K813" s="100"/>
      <c r="L813" s="100"/>
      <c r="M813" s="100"/>
      <c r="N813" s="100"/>
      <c r="O813" s="100"/>
      <c r="P813" s="100"/>
    </row>
    <row r="814">
      <c r="A814" s="107">
        <v>201228.0</v>
      </c>
      <c r="B814" s="108" t="s">
        <v>90</v>
      </c>
      <c r="C814" s="108" t="s">
        <v>382</v>
      </c>
      <c r="D814" s="112" t="s">
        <v>176</v>
      </c>
      <c r="E814" s="112">
        <v>1419.3</v>
      </c>
      <c r="F814" s="111" t="str">
        <f>DataPull!D814</f>
        <v/>
      </c>
      <c r="G814" s="94" t="str">
        <f t="shared" si="2"/>
        <v/>
      </c>
      <c r="H814" s="94" t="str">
        <f t="shared" si="3"/>
        <v/>
      </c>
      <c r="I814" s="94" t="str">
        <f t="shared" ref="I814:J814" si="815">if(G814 = "", , -G814)</f>
        <v/>
      </c>
      <c r="J814" s="94" t="str">
        <f t="shared" si="815"/>
        <v/>
      </c>
      <c r="K814" s="100"/>
      <c r="L814" s="100"/>
      <c r="N814" s="100"/>
      <c r="O814" s="100"/>
    </row>
    <row r="815">
      <c r="A815" s="107">
        <v>201228.0</v>
      </c>
      <c r="B815" s="108" t="s">
        <v>92</v>
      </c>
      <c r="C815" s="108" t="s">
        <v>382</v>
      </c>
      <c r="D815" s="112" t="s">
        <v>176</v>
      </c>
      <c r="E815" s="112">
        <v>656.7</v>
      </c>
      <c r="F815" s="111" t="str">
        <f>DataPull!D815</f>
        <v/>
      </c>
      <c r="G815" s="94" t="str">
        <f t="shared" si="2"/>
        <v/>
      </c>
      <c r="H815" s="94" t="str">
        <f t="shared" si="3"/>
        <v/>
      </c>
      <c r="I815" s="94" t="str">
        <f t="shared" ref="I815:J815" si="816">if(G815 = "", , -G815)</f>
        <v/>
      </c>
      <c r="J815" s="94" t="str">
        <f t="shared" si="816"/>
        <v/>
      </c>
      <c r="K815" s="100"/>
      <c r="M815" s="100"/>
      <c r="N815" s="100"/>
      <c r="O815" s="100"/>
      <c r="P815" s="100"/>
    </row>
    <row r="816">
      <c r="A816" s="107">
        <v>201228.0</v>
      </c>
      <c r="B816" s="108" t="s">
        <v>190</v>
      </c>
      <c r="C816" s="108" t="s">
        <v>382</v>
      </c>
      <c r="D816" s="112" t="s">
        <v>177</v>
      </c>
      <c r="E816" s="112">
        <v>1010.6</v>
      </c>
      <c r="F816" s="111" t="str">
        <f>DataPull!D816</f>
        <v/>
      </c>
      <c r="G816" s="94" t="str">
        <f t="shared" si="2"/>
        <v/>
      </c>
      <c r="H816" s="94" t="str">
        <f t="shared" si="3"/>
        <v/>
      </c>
      <c r="I816" s="94" t="str">
        <f t="shared" ref="I816:J816" si="817">if(G816 = "", , -G816)</f>
        <v/>
      </c>
      <c r="J816" s="94" t="str">
        <f t="shared" si="817"/>
        <v/>
      </c>
      <c r="K816" s="100"/>
      <c r="M816" s="100"/>
      <c r="N816" s="100"/>
      <c r="O816" s="100"/>
      <c r="P816" s="100"/>
    </row>
    <row r="817">
      <c r="A817" s="107">
        <v>201229.0</v>
      </c>
      <c r="B817" s="108" t="s">
        <v>85</v>
      </c>
      <c r="C817" s="108" t="s">
        <v>383</v>
      </c>
      <c r="D817" s="112" t="s">
        <v>177</v>
      </c>
      <c r="E817" s="112">
        <v>1299.2</v>
      </c>
      <c r="F817" s="111" t="str">
        <f>DataPull!D817</f>
        <v/>
      </c>
      <c r="G817" s="94" t="str">
        <f t="shared" si="2"/>
        <v/>
      </c>
      <c r="H817" s="94" t="str">
        <f t="shared" si="3"/>
        <v/>
      </c>
      <c r="I817" s="94" t="str">
        <f t="shared" ref="I817:J817" si="818">if(G817 = "", , -G817)</f>
        <v/>
      </c>
      <c r="J817" s="94" t="str">
        <f t="shared" si="818"/>
        <v/>
      </c>
      <c r="K817" s="100"/>
      <c r="M817" s="100"/>
      <c r="N817" s="100"/>
      <c r="O817" s="100"/>
      <c r="P817" s="100"/>
    </row>
    <row r="818">
      <c r="A818" s="107">
        <v>201229.0</v>
      </c>
      <c r="B818" s="108" t="s">
        <v>90</v>
      </c>
      <c r="C818" s="108" t="s">
        <v>383</v>
      </c>
      <c r="D818" s="112" t="s">
        <v>176</v>
      </c>
      <c r="E818" s="112">
        <v>1436.4</v>
      </c>
      <c r="F818" s="111" t="str">
        <f>DataPull!D818</f>
        <v/>
      </c>
      <c r="G818" s="94" t="str">
        <f t="shared" si="2"/>
        <v/>
      </c>
      <c r="H818" s="94" t="str">
        <f t="shared" si="3"/>
        <v/>
      </c>
      <c r="I818" s="94" t="str">
        <f t="shared" ref="I818:J818" si="819">if(G818 = "", , -G818)</f>
        <v/>
      </c>
      <c r="J818" s="94" t="str">
        <f t="shared" si="819"/>
        <v/>
      </c>
      <c r="K818" s="100"/>
      <c r="M818" s="100"/>
      <c r="N818" s="100"/>
      <c r="O818" s="100"/>
      <c r="P818" s="100"/>
    </row>
    <row r="819">
      <c r="A819" s="107">
        <v>201229.0</v>
      </c>
      <c r="B819" s="108" t="s">
        <v>92</v>
      </c>
      <c r="C819" s="108" t="s">
        <v>383</v>
      </c>
      <c r="D819" s="112" t="s">
        <v>177</v>
      </c>
      <c r="E819" s="112">
        <v>1339.2</v>
      </c>
      <c r="F819" s="111" t="str">
        <f>DataPull!D819</f>
        <v/>
      </c>
      <c r="G819" s="94" t="str">
        <f t="shared" si="2"/>
        <v/>
      </c>
      <c r="H819" s="94" t="str">
        <f t="shared" si="3"/>
        <v/>
      </c>
      <c r="I819" s="94" t="str">
        <f t="shared" ref="I819:J819" si="820">if(G819 = "", , -G819)</f>
        <v/>
      </c>
      <c r="J819" s="94" t="str">
        <f t="shared" si="820"/>
        <v/>
      </c>
      <c r="K819" s="100"/>
      <c r="M819" s="100"/>
      <c r="N819" s="100"/>
      <c r="O819" s="100"/>
      <c r="P819" s="100"/>
    </row>
    <row r="820">
      <c r="A820" s="107">
        <v>201229.0</v>
      </c>
      <c r="B820" s="108" t="s">
        <v>190</v>
      </c>
      <c r="C820" s="108" t="s">
        <v>383</v>
      </c>
      <c r="D820" s="112" t="s">
        <v>176</v>
      </c>
      <c r="E820" s="112">
        <v>1475.5</v>
      </c>
      <c r="F820" s="111" t="str">
        <f>DataPull!D820</f>
        <v/>
      </c>
      <c r="G820" s="94" t="str">
        <f t="shared" si="2"/>
        <v/>
      </c>
      <c r="H820" s="94" t="str">
        <f t="shared" si="3"/>
        <v/>
      </c>
      <c r="I820" s="94" t="str">
        <f t="shared" ref="I820:J820" si="821">if(G820 = "", , -G820)</f>
        <v/>
      </c>
      <c r="J820" s="94" t="str">
        <f t="shared" si="821"/>
        <v/>
      </c>
      <c r="K820" s="100"/>
      <c r="M820" s="100"/>
      <c r="N820" s="100"/>
      <c r="O820" s="100"/>
      <c r="P820" s="100"/>
    </row>
    <row r="821">
      <c r="A821" s="107">
        <v>201229.0</v>
      </c>
      <c r="B821" s="108" t="s">
        <v>191</v>
      </c>
      <c r="C821" s="108" t="s">
        <v>383</v>
      </c>
      <c r="D821" s="112" t="s">
        <v>176</v>
      </c>
      <c r="E821" s="112">
        <v>1753.8</v>
      </c>
      <c r="F821" s="111" t="str">
        <f>DataPull!D821</f>
        <v/>
      </c>
      <c r="G821" s="94" t="str">
        <f t="shared" si="2"/>
        <v/>
      </c>
      <c r="H821" s="94" t="str">
        <f t="shared" si="3"/>
        <v/>
      </c>
      <c r="I821" s="94" t="str">
        <f t="shared" ref="I821:J821" si="822">if(G821 = "", , -G821)</f>
        <v/>
      </c>
      <c r="J821" s="94" t="str">
        <f t="shared" si="822"/>
        <v/>
      </c>
      <c r="K821" s="100"/>
      <c r="L821" s="100"/>
      <c r="N821" s="100"/>
      <c r="O821" s="100"/>
      <c r="P821" s="100"/>
    </row>
    <row r="822">
      <c r="A822" s="107">
        <v>201229.0</v>
      </c>
      <c r="B822" s="108" t="s">
        <v>192</v>
      </c>
      <c r="C822" s="108" t="s">
        <v>383</v>
      </c>
      <c r="D822" s="112" t="s">
        <v>177</v>
      </c>
      <c r="E822" s="112">
        <v>1079.0</v>
      </c>
      <c r="F822" s="111" t="str">
        <f>DataPull!D822</f>
        <v/>
      </c>
      <c r="G822" s="94" t="str">
        <f t="shared" si="2"/>
        <v/>
      </c>
      <c r="H822" s="94" t="str">
        <f t="shared" si="3"/>
        <v/>
      </c>
      <c r="I822" s="94" t="str">
        <f t="shared" ref="I822:J822" si="823">if(G822 = "", , -G822)</f>
        <v/>
      </c>
      <c r="J822" s="94" t="str">
        <f t="shared" si="823"/>
        <v/>
      </c>
      <c r="K822" s="100"/>
      <c r="M822" s="100"/>
      <c r="N822" s="100"/>
      <c r="O822" s="100"/>
      <c r="P822" s="100"/>
    </row>
    <row r="823">
      <c r="A823" s="107">
        <v>201229.0</v>
      </c>
      <c r="B823" s="108" t="s">
        <v>193</v>
      </c>
      <c r="C823" s="108" t="s">
        <v>383</v>
      </c>
      <c r="D823" s="112" t="s">
        <v>177</v>
      </c>
      <c r="E823" s="112">
        <v>874.5</v>
      </c>
      <c r="F823" s="111" t="str">
        <f>DataPull!D823</f>
        <v/>
      </c>
      <c r="G823" s="94" t="str">
        <f t="shared" si="2"/>
        <v/>
      </c>
      <c r="H823" s="94" t="str">
        <f t="shared" si="3"/>
        <v/>
      </c>
      <c r="I823" s="94" t="str">
        <f t="shared" ref="I823:J823" si="824">if(G823 = "", , -G823)</f>
        <v/>
      </c>
      <c r="J823" s="94" t="str">
        <f t="shared" si="824"/>
        <v/>
      </c>
      <c r="K823" s="100"/>
      <c r="M823" s="100"/>
      <c r="N823" s="100"/>
      <c r="O823" s="100"/>
      <c r="P823" s="100"/>
    </row>
    <row r="824">
      <c r="A824" s="107">
        <v>201229.0</v>
      </c>
      <c r="B824" s="108" t="s">
        <v>243</v>
      </c>
      <c r="C824" s="108" t="s">
        <v>383</v>
      </c>
      <c r="D824" s="112" t="s">
        <v>187</v>
      </c>
      <c r="E824" s="112">
        <v>99.0</v>
      </c>
      <c r="F824" s="111" t="str">
        <f>DataPull!D824</f>
        <v/>
      </c>
      <c r="G824" s="94" t="str">
        <f t="shared" si="2"/>
        <v/>
      </c>
      <c r="H824" s="94" t="str">
        <f t="shared" si="3"/>
        <v/>
      </c>
      <c r="I824" s="94" t="str">
        <f t="shared" ref="I824:J824" si="825">if(G824 = "", , -G824)</f>
        <v/>
      </c>
      <c r="J824" s="94" t="str">
        <f t="shared" si="825"/>
        <v/>
      </c>
      <c r="K824" s="100"/>
      <c r="M824" s="100"/>
      <c r="N824" s="100"/>
      <c r="O824" s="100"/>
      <c r="P824" s="100"/>
    </row>
    <row r="825">
      <c r="A825" s="107">
        <v>201281.0</v>
      </c>
      <c r="B825" s="108" t="s">
        <v>191</v>
      </c>
      <c r="C825" s="108" t="s">
        <v>384</v>
      </c>
      <c r="D825" s="112" t="s">
        <v>181</v>
      </c>
      <c r="E825" s="112">
        <v>64.2</v>
      </c>
      <c r="F825" s="111" t="str">
        <f>DataPull!D825</f>
        <v/>
      </c>
      <c r="G825" s="94" t="str">
        <f t="shared" si="2"/>
        <v/>
      </c>
      <c r="H825" s="94" t="str">
        <f t="shared" si="3"/>
        <v/>
      </c>
      <c r="I825" s="94" t="str">
        <f t="shared" ref="I825:J825" si="826">if(G825 = "", , -G825)</f>
        <v/>
      </c>
      <c r="J825" s="94" t="str">
        <f t="shared" si="826"/>
        <v/>
      </c>
      <c r="K825" s="100"/>
      <c r="M825" s="100"/>
      <c r="N825" s="100"/>
      <c r="O825" s="100"/>
      <c r="P825" s="100"/>
    </row>
    <row r="826">
      <c r="A826" s="107">
        <v>201281.0</v>
      </c>
      <c r="B826" s="108" t="s">
        <v>192</v>
      </c>
      <c r="C826" s="108" t="s">
        <v>384</v>
      </c>
      <c r="D826" s="112" t="s">
        <v>181</v>
      </c>
      <c r="E826" s="112">
        <v>14.8</v>
      </c>
      <c r="F826" s="111" t="str">
        <f>DataPull!D826</f>
        <v/>
      </c>
      <c r="G826" s="94" t="str">
        <f t="shared" si="2"/>
        <v/>
      </c>
      <c r="H826" s="94" t="str">
        <f t="shared" si="3"/>
        <v/>
      </c>
      <c r="I826" s="94" t="str">
        <f t="shared" ref="I826:J826" si="827">if(G826 = "", , -G826)</f>
        <v/>
      </c>
      <c r="J826" s="94" t="str">
        <f t="shared" si="827"/>
        <v/>
      </c>
      <c r="K826" s="100"/>
      <c r="M826" s="100"/>
      <c r="N826" s="100"/>
      <c r="O826" s="100"/>
      <c r="P826" s="100"/>
    </row>
    <row r="827">
      <c r="A827" s="107">
        <v>201563.0</v>
      </c>
      <c r="B827" s="108" t="s">
        <v>85</v>
      </c>
      <c r="C827" s="108" t="s">
        <v>385</v>
      </c>
      <c r="D827" s="112" t="s">
        <v>177</v>
      </c>
      <c r="E827" s="112">
        <v>830.5</v>
      </c>
      <c r="F827" s="111" t="str">
        <f>DataPull!D827</f>
        <v/>
      </c>
      <c r="G827" s="94" t="str">
        <f t="shared" si="2"/>
        <v/>
      </c>
      <c r="H827" s="94" t="str">
        <f t="shared" si="3"/>
        <v/>
      </c>
      <c r="I827" s="94" t="str">
        <f t="shared" ref="I827:J827" si="828">if(G827 = "", , -G827)</f>
        <v/>
      </c>
      <c r="J827" s="94" t="str">
        <f t="shared" si="828"/>
        <v/>
      </c>
      <c r="K827" s="100"/>
      <c r="M827" s="100"/>
      <c r="N827" s="100"/>
      <c r="O827" s="100"/>
      <c r="P827" s="100"/>
    </row>
    <row r="828">
      <c r="A828" s="107">
        <v>201563.0</v>
      </c>
      <c r="B828" s="108" t="s">
        <v>90</v>
      </c>
      <c r="C828" s="108" t="s">
        <v>385</v>
      </c>
      <c r="D828" s="112" t="s">
        <v>177</v>
      </c>
      <c r="E828" s="112">
        <v>504.0</v>
      </c>
      <c r="F828" s="111" t="str">
        <f>DataPull!D828</f>
        <v/>
      </c>
      <c r="G828" s="94" t="str">
        <f t="shared" si="2"/>
        <v/>
      </c>
      <c r="H828" s="94" t="str">
        <f t="shared" si="3"/>
        <v/>
      </c>
      <c r="I828" s="94" t="str">
        <f t="shared" ref="I828:J828" si="829">if(G828 = "", , -G828)</f>
        <v/>
      </c>
      <c r="J828" s="94" t="str">
        <f t="shared" si="829"/>
        <v/>
      </c>
      <c r="K828" s="100"/>
      <c r="M828" s="100"/>
      <c r="N828" s="100"/>
      <c r="O828" s="100"/>
      <c r="P828" s="100"/>
    </row>
    <row r="829">
      <c r="A829" s="107">
        <v>201563.0</v>
      </c>
      <c r="B829" s="108" t="s">
        <v>92</v>
      </c>
      <c r="C829" s="108" t="s">
        <v>385</v>
      </c>
      <c r="D829" s="112" t="s">
        <v>177</v>
      </c>
      <c r="E829" s="112">
        <v>362.0</v>
      </c>
      <c r="F829" s="111" t="str">
        <f>DataPull!D829</f>
        <v/>
      </c>
      <c r="G829" s="94" t="str">
        <f t="shared" si="2"/>
        <v/>
      </c>
      <c r="H829" s="94" t="str">
        <f t="shared" si="3"/>
        <v/>
      </c>
      <c r="I829" s="94" t="str">
        <f t="shared" ref="I829:J829" si="830">if(G829 = "", , -G829)</f>
        <v/>
      </c>
      <c r="J829" s="94" t="str">
        <f t="shared" si="830"/>
        <v/>
      </c>
      <c r="K829" s="100"/>
      <c r="M829" s="100"/>
      <c r="N829" s="100"/>
      <c r="O829" s="100"/>
      <c r="P829" s="100"/>
    </row>
    <row r="830">
      <c r="A830" s="107">
        <v>201563.0</v>
      </c>
      <c r="B830" s="108" t="s">
        <v>190</v>
      </c>
      <c r="C830" s="108" t="s">
        <v>385</v>
      </c>
      <c r="D830" s="112" t="s">
        <v>177</v>
      </c>
      <c r="E830" s="112">
        <v>935.2</v>
      </c>
      <c r="F830" s="111" t="str">
        <f>DataPull!D830</f>
        <v/>
      </c>
      <c r="G830" s="94" t="str">
        <f t="shared" si="2"/>
        <v/>
      </c>
      <c r="H830" s="94" t="str">
        <f t="shared" si="3"/>
        <v/>
      </c>
      <c r="I830" s="94" t="str">
        <f t="shared" ref="I830:J830" si="831">if(G830 = "", , -G830)</f>
        <v/>
      </c>
      <c r="J830" s="94" t="str">
        <f t="shared" si="831"/>
        <v/>
      </c>
      <c r="K830" s="100"/>
      <c r="M830" s="100"/>
      <c r="N830" s="100"/>
      <c r="O830" s="100"/>
      <c r="P830" s="100"/>
    </row>
    <row r="831">
      <c r="A831" s="107">
        <v>201563.0</v>
      </c>
      <c r="B831" s="108" t="s">
        <v>191</v>
      </c>
      <c r="C831" s="108" t="s">
        <v>385</v>
      </c>
      <c r="D831" s="112" t="s">
        <v>176</v>
      </c>
      <c r="E831" s="112">
        <v>1650.2</v>
      </c>
      <c r="F831" s="111" t="str">
        <f>DataPull!D831</f>
        <v/>
      </c>
      <c r="G831" s="94" t="str">
        <f t="shared" si="2"/>
        <v/>
      </c>
      <c r="H831" s="94" t="str">
        <f t="shared" si="3"/>
        <v/>
      </c>
      <c r="I831" s="94" t="str">
        <f t="shared" ref="I831:J831" si="832">if(G831 = "", , -G831)</f>
        <v/>
      </c>
      <c r="J831" s="94" t="str">
        <f t="shared" si="832"/>
        <v/>
      </c>
      <c r="K831" s="100"/>
      <c r="M831" s="100"/>
      <c r="N831" s="100"/>
      <c r="O831" s="100"/>
      <c r="P831" s="100"/>
    </row>
    <row r="832">
      <c r="A832" s="107">
        <v>201563.0</v>
      </c>
      <c r="B832" s="108" t="s">
        <v>192</v>
      </c>
      <c r="C832" s="108" t="s">
        <v>385</v>
      </c>
      <c r="D832" s="112" t="s">
        <v>187</v>
      </c>
      <c r="E832" s="112">
        <v>278.2</v>
      </c>
      <c r="F832" s="111" t="str">
        <f>DataPull!D832</f>
        <v/>
      </c>
      <c r="G832" s="94" t="str">
        <f t="shared" si="2"/>
        <v/>
      </c>
      <c r="H832" s="94" t="str">
        <f t="shared" si="3"/>
        <v/>
      </c>
      <c r="I832" s="94" t="str">
        <f t="shared" ref="I832:J832" si="833">if(G832 = "", , -G832)</f>
        <v/>
      </c>
      <c r="J832" s="94" t="str">
        <f t="shared" si="833"/>
        <v/>
      </c>
      <c r="K832" s="100"/>
      <c r="M832" s="100"/>
      <c r="N832" s="100"/>
      <c r="O832" s="100"/>
      <c r="P832" s="100"/>
    </row>
    <row r="833">
      <c r="A833" s="107">
        <v>201564.0</v>
      </c>
      <c r="B833" s="108" t="s">
        <v>85</v>
      </c>
      <c r="C833" s="108" t="s">
        <v>386</v>
      </c>
      <c r="D833" s="112" t="s">
        <v>176</v>
      </c>
      <c r="E833" s="112">
        <v>1346.8</v>
      </c>
      <c r="F833" s="111" t="str">
        <f>DataPull!D833</f>
        <v/>
      </c>
      <c r="G833" s="94" t="str">
        <f t="shared" si="2"/>
        <v/>
      </c>
      <c r="H833" s="94" t="str">
        <f t="shared" si="3"/>
        <v/>
      </c>
      <c r="I833" s="94" t="str">
        <f t="shared" ref="I833:J833" si="834">if(G833 = "", , -G833)</f>
        <v/>
      </c>
      <c r="J833" s="94" t="str">
        <f t="shared" si="834"/>
        <v/>
      </c>
      <c r="K833" s="100"/>
      <c r="M833" s="100"/>
      <c r="N833" s="100"/>
      <c r="O833" s="100"/>
      <c r="P833" s="100"/>
    </row>
    <row r="834">
      <c r="A834" s="107">
        <v>201564.0</v>
      </c>
      <c r="B834" s="108" t="s">
        <v>90</v>
      </c>
      <c r="C834" s="108" t="s">
        <v>386</v>
      </c>
      <c r="D834" s="112" t="s">
        <v>176</v>
      </c>
      <c r="E834" s="112">
        <v>1696.9</v>
      </c>
      <c r="F834" s="111" t="str">
        <f>DataPull!D834</f>
        <v/>
      </c>
      <c r="G834" s="94" t="str">
        <f t="shared" si="2"/>
        <v/>
      </c>
      <c r="H834" s="94" t="str">
        <f t="shared" si="3"/>
        <v/>
      </c>
      <c r="I834" s="94" t="str">
        <f t="shared" ref="I834:J834" si="835">if(G834 = "", , -G834)</f>
        <v/>
      </c>
      <c r="J834" s="94" t="str">
        <f t="shared" si="835"/>
        <v/>
      </c>
      <c r="K834" s="100"/>
      <c r="L834" s="100"/>
      <c r="M834" s="100"/>
      <c r="N834" s="100"/>
      <c r="O834" s="100"/>
      <c r="P834" s="100"/>
    </row>
    <row r="835">
      <c r="A835" s="107">
        <v>201564.0</v>
      </c>
      <c r="B835" s="108" t="s">
        <v>92</v>
      </c>
      <c r="C835" s="108" t="s">
        <v>386</v>
      </c>
      <c r="D835" s="112" t="s">
        <v>176</v>
      </c>
      <c r="E835" s="112">
        <v>1090.6</v>
      </c>
      <c r="F835" s="111" t="str">
        <f>DataPull!D835</f>
        <v/>
      </c>
      <c r="G835" s="94" t="str">
        <f t="shared" si="2"/>
        <v/>
      </c>
      <c r="H835" s="94" t="str">
        <f t="shared" si="3"/>
        <v/>
      </c>
      <c r="I835" s="94" t="str">
        <f t="shared" ref="I835:J835" si="836">if(G835 = "", , -G835)</f>
        <v/>
      </c>
      <c r="J835" s="94" t="str">
        <f t="shared" si="836"/>
        <v/>
      </c>
      <c r="K835" s="100"/>
      <c r="L835" s="100"/>
      <c r="N835" s="100"/>
      <c r="O835" s="100"/>
      <c r="P835" s="100"/>
    </row>
    <row r="836">
      <c r="A836" s="107">
        <v>201565.0</v>
      </c>
      <c r="B836" s="108" t="s">
        <v>85</v>
      </c>
      <c r="C836" s="108" t="s">
        <v>387</v>
      </c>
      <c r="D836" s="112" t="s">
        <v>178</v>
      </c>
      <c r="E836" s="112">
        <v>311.0</v>
      </c>
      <c r="F836" s="111" t="str">
        <f>DataPull!D836</f>
        <v/>
      </c>
      <c r="G836" s="94" t="str">
        <f t="shared" si="2"/>
        <v/>
      </c>
      <c r="H836" s="94" t="str">
        <f t="shared" si="3"/>
        <v/>
      </c>
      <c r="I836" s="94" t="str">
        <f t="shared" ref="I836:J836" si="837">if(G836 = "", , -G836)</f>
        <v/>
      </c>
      <c r="J836" s="94" t="str">
        <f t="shared" si="837"/>
        <v/>
      </c>
      <c r="K836" s="100"/>
      <c r="M836" s="100"/>
      <c r="N836" s="100"/>
      <c r="O836" s="100"/>
      <c r="P836" s="100"/>
    </row>
    <row r="837">
      <c r="A837" s="107">
        <v>201565.0</v>
      </c>
      <c r="B837" s="108" t="s">
        <v>90</v>
      </c>
      <c r="C837" s="108" t="s">
        <v>387</v>
      </c>
      <c r="D837" s="112" t="s">
        <v>178</v>
      </c>
      <c r="E837" s="112">
        <v>1530.0</v>
      </c>
      <c r="F837" s="111" t="str">
        <f>DataPull!D837</f>
        <v/>
      </c>
      <c r="G837" s="94" t="str">
        <f t="shared" si="2"/>
        <v/>
      </c>
      <c r="H837" s="94" t="str">
        <f t="shared" si="3"/>
        <v/>
      </c>
      <c r="I837" s="94" t="str">
        <f t="shared" ref="I837:J837" si="838">if(G837 = "", , -G837)</f>
        <v/>
      </c>
      <c r="J837" s="94" t="str">
        <f t="shared" si="838"/>
        <v/>
      </c>
      <c r="K837" s="100"/>
      <c r="N837" s="100"/>
      <c r="O837" s="100"/>
      <c r="P837" s="100"/>
    </row>
    <row r="838">
      <c r="A838" s="107">
        <v>201565.0</v>
      </c>
      <c r="B838" s="108" t="s">
        <v>92</v>
      </c>
      <c r="C838" s="108" t="s">
        <v>387</v>
      </c>
      <c r="D838" s="112" t="s">
        <v>178</v>
      </c>
      <c r="E838" s="112">
        <v>2098.8</v>
      </c>
      <c r="F838" s="111" t="str">
        <f>DataPull!D838</f>
        <v/>
      </c>
      <c r="G838" s="94" t="str">
        <f t="shared" si="2"/>
        <v/>
      </c>
      <c r="H838" s="94" t="str">
        <f t="shared" si="3"/>
        <v/>
      </c>
      <c r="I838" s="94" t="str">
        <f t="shared" ref="I838:J838" si="839">if(G838 = "", , -G838)</f>
        <v/>
      </c>
      <c r="J838" s="94" t="str">
        <f t="shared" si="839"/>
        <v/>
      </c>
      <c r="K838" s="100"/>
      <c r="M838" s="100"/>
      <c r="N838" s="100"/>
      <c r="O838" s="100"/>
      <c r="P838" s="100"/>
    </row>
    <row r="839">
      <c r="A839" s="107">
        <v>201565.0</v>
      </c>
      <c r="B839" s="108" t="s">
        <v>190</v>
      </c>
      <c r="C839" s="108" t="s">
        <v>387</v>
      </c>
      <c r="D839" s="112" t="s">
        <v>178</v>
      </c>
      <c r="E839" s="112">
        <v>2080.0</v>
      </c>
      <c r="F839" s="111" t="str">
        <f>DataPull!D839</f>
        <v/>
      </c>
      <c r="G839" s="94" t="str">
        <f t="shared" si="2"/>
        <v/>
      </c>
      <c r="H839" s="94" t="str">
        <f t="shared" si="3"/>
        <v/>
      </c>
      <c r="I839" s="94" t="str">
        <f t="shared" ref="I839:J839" si="840">if(G839 = "", , -G839)</f>
        <v/>
      </c>
      <c r="J839" s="94" t="str">
        <f t="shared" si="840"/>
        <v/>
      </c>
      <c r="K839" s="100"/>
      <c r="M839" s="100"/>
      <c r="N839" s="100"/>
      <c r="O839" s="100"/>
      <c r="P839" s="100"/>
    </row>
    <row r="840">
      <c r="A840" s="107">
        <v>201565.0</v>
      </c>
      <c r="B840" s="108" t="s">
        <v>191</v>
      </c>
      <c r="C840" s="108" t="s">
        <v>387</v>
      </c>
      <c r="D840" s="112" t="s">
        <v>177</v>
      </c>
      <c r="E840" s="112">
        <v>420.0</v>
      </c>
      <c r="F840" s="111" t="str">
        <f>DataPull!D840</f>
        <v/>
      </c>
      <c r="G840" s="94" t="str">
        <f t="shared" si="2"/>
        <v/>
      </c>
      <c r="H840" s="94" t="str">
        <f t="shared" si="3"/>
        <v/>
      </c>
      <c r="I840" s="94" t="str">
        <f t="shared" ref="I840:J840" si="841">if(G840 = "", , -G840)</f>
        <v/>
      </c>
      <c r="J840" s="94" t="str">
        <f t="shared" si="841"/>
        <v/>
      </c>
      <c r="K840" s="100"/>
      <c r="M840" s="100"/>
      <c r="N840" s="100"/>
      <c r="O840" s="100"/>
      <c r="P840" s="100"/>
    </row>
    <row r="841">
      <c r="A841" s="107">
        <v>201565.0</v>
      </c>
      <c r="B841" s="108" t="s">
        <v>192</v>
      </c>
      <c r="C841" s="108" t="s">
        <v>387</v>
      </c>
      <c r="D841" s="112" t="s">
        <v>176</v>
      </c>
      <c r="E841" s="112">
        <v>1392.3</v>
      </c>
      <c r="F841" s="111" t="str">
        <f>DataPull!D841</f>
        <v/>
      </c>
      <c r="G841" s="94" t="str">
        <f t="shared" si="2"/>
        <v/>
      </c>
      <c r="H841" s="94" t="str">
        <f t="shared" si="3"/>
        <v/>
      </c>
      <c r="I841" s="94" t="str">
        <f t="shared" ref="I841:J841" si="842">if(G841 = "", , -G841)</f>
        <v/>
      </c>
      <c r="J841" s="94" t="str">
        <f t="shared" si="842"/>
        <v/>
      </c>
      <c r="K841" s="100"/>
      <c r="M841" s="100"/>
      <c r="N841" s="100"/>
      <c r="O841" s="100"/>
      <c r="P841" s="100"/>
    </row>
    <row r="842">
      <c r="A842" s="107">
        <v>201565.0</v>
      </c>
      <c r="B842" s="108" t="s">
        <v>193</v>
      </c>
      <c r="C842" s="108" t="s">
        <v>387</v>
      </c>
      <c r="D842" s="112" t="s">
        <v>176</v>
      </c>
      <c r="E842" s="112">
        <v>1300.0</v>
      </c>
      <c r="F842" s="111" t="str">
        <f>DataPull!D842</f>
        <v/>
      </c>
      <c r="G842" s="94" t="str">
        <f t="shared" si="2"/>
        <v/>
      </c>
      <c r="H842" s="94" t="str">
        <f t="shared" si="3"/>
        <v/>
      </c>
      <c r="I842" s="94" t="str">
        <f t="shared" ref="I842:J842" si="843">if(G842 = "", , -G842)</f>
        <v/>
      </c>
      <c r="J842" s="94" t="str">
        <f t="shared" si="843"/>
        <v/>
      </c>
      <c r="K842" s="100"/>
      <c r="M842" s="100"/>
      <c r="N842" s="100"/>
      <c r="O842" s="100"/>
      <c r="P842" s="100"/>
    </row>
    <row r="843">
      <c r="A843" s="107">
        <v>201565.0</v>
      </c>
      <c r="B843" s="108" t="s">
        <v>243</v>
      </c>
      <c r="C843" s="108" t="s">
        <v>387</v>
      </c>
      <c r="D843" s="112" t="s">
        <v>178</v>
      </c>
      <c r="E843" s="112">
        <v>1280.0</v>
      </c>
      <c r="F843" s="111" t="str">
        <f>DataPull!D843</f>
        <v/>
      </c>
      <c r="G843" s="94" t="str">
        <f t="shared" si="2"/>
        <v/>
      </c>
      <c r="H843" s="94" t="str">
        <f t="shared" si="3"/>
        <v/>
      </c>
      <c r="I843" s="94" t="str">
        <f t="shared" ref="I843:J843" si="844">if(G843 = "", , -G843)</f>
        <v/>
      </c>
      <c r="J843" s="94" t="str">
        <f t="shared" si="844"/>
        <v/>
      </c>
      <c r="K843" s="100"/>
      <c r="L843" s="100"/>
      <c r="M843" s="100"/>
      <c r="N843" s="100"/>
      <c r="O843" s="100"/>
      <c r="P843" s="100"/>
    </row>
    <row r="844">
      <c r="A844" s="107">
        <v>201565.0</v>
      </c>
      <c r="B844" s="108" t="s">
        <v>215</v>
      </c>
      <c r="C844" s="108" t="s">
        <v>387</v>
      </c>
      <c r="D844" s="112" t="s">
        <v>176</v>
      </c>
      <c r="E844" s="112">
        <v>637.0</v>
      </c>
      <c r="F844" s="111" t="str">
        <f>DataPull!D844</f>
        <v/>
      </c>
      <c r="G844" s="94" t="str">
        <f t="shared" si="2"/>
        <v/>
      </c>
      <c r="H844" s="94" t="str">
        <f t="shared" si="3"/>
        <v/>
      </c>
      <c r="I844" s="94" t="str">
        <f t="shared" ref="I844:J844" si="845">if(G844 = "", , -G844)</f>
        <v/>
      </c>
      <c r="J844" s="94" t="str">
        <f t="shared" si="845"/>
        <v/>
      </c>
      <c r="K844" s="100"/>
      <c r="N844" s="100"/>
      <c r="O844" s="100"/>
      <c r="P844" s="100"/>
    </row>
    <row r="845">
      <c r="A845" s="107">
        <v>201565.0</v>
      </c>
      <c r="B845" s="108" t="s">
        <v>244</v>
      </c>
      <c r="C845" s="108" t="s">
        <v>387</v>
      </c>
      <c r="D845" s="112" t="s">
        <v>177</v>
      </c>
      <c r="E845" s="112">
        <v>337.5</v>
      </c>
      <c r="F845" s="111" t="str">
        <f>DataPull!D845</f>
        <v/>
      </c>
      <c r="G845" s="94" t="str">
        <f t="shared" si="2"/>
        <v/>
      </c>
      <c r="H845" s="94" t="str">
        <f t="shared" si="3"/>
        <v/>
      </c>
      <c r="I845" s="94" t="str">
        <f t="shared" ref="I845:J845" si="846">if(G845 = "", , -G845)</f>
        <v/>
      </c>
      <c r="J845" s="94" t="str">
        <f t="shared" si="846"/>
        <v/>
      </c>
      <c r="K845" s="100"/>
      <c r="L845" s="100"/>
      <c r="N845" s="100"/>
      <c r="O845" s="100"/>
      <c r="P845" s="100"/>
    </row>
    <row r="846">
      <c r="A846" s="107">
        <v>201565.0</v>
      </c>
      <c r="B846" s="108" t="s">
        <v>245</v>
      </c>
      <c r="C846" s="108" t="s">
        <v>387</v>
      </c>
      <c r="D846" s="112" t="s">
        <v>177</v>
      </c>
      <c r="E846" s="112">
        <v>398.4</v>
      </c>
      <c r="F846" s="111" t="str">
        <f>DataPull!D846</f>
        <v/>
      </c>
      <c r="G846" s="94" t="str">
        <f t="shared" si="2"/>
        <v/>
      </c>
      <c r="H846" s="94" t="str">
        <f t="shared" si="3"/>
        <v/>
      </c>
      <c r="I846" s="94" t="str">
        <f t="shared" ref="I846:J846" si="847">if(G846 = "", , -G846)</f>
        <v/>
      </c>
      <c r="J846" s="94" t="str">
        <f t="shared" si="847"/>
        <v/>
      </c>
      <c r="K846" s="100"/>
      <c r="M846" s="100"/>
      <c r="N846" s="100"/>
      <c r="O846" s="100"/>
      <c r="P846" s="100"/>
    </row>
    <row r="847">
      <c r="A847" s="107">
        <v>201566.0</v>
      </c>
      <c r="B847" s="108" t="s">
        <v>85</v>
      </c>
      <c r="C847" s="108" t="s">
        <v>388</v>
      </c>
      <c r="D847" s="112" t="s">
        <v>184</v>
      </c>
      <c r="E847" s="112">
        <v>1412.2</v>
      </c>
      <c r="F847" s="111" t="str">
        <f>DataPull!D847</f>
        <v/>
      </c>
      <c r="G847" s="94" t="str">
        <f t="shared" si="2"/>
        <v/>
      </c>
      <c r="H847" s="94" t="str">
        <f t="shared" si="3"/>
        <v/>
      </c>
      <c r="I847" s="94" t="str">
        <f t="shared" ref="I847:J847" si="848">if(G847 = "", , -G847)</f>
        <v/>
      </c>
      <c r="J847" s="94" t="str">
        <f t="shared" si="848"/>
        <v/>
      </c>
      <c r="K847" s="100"/>
      <c r="M847" s="100"/>
      <c r="N847" s="100"/>
      <c r="O847" s="100"/>
      <c r="P847" s="100"/>
    </row>
    <row r="848">
      <c r="A848" s="107">
        <v>201566.0</v>
      </c>
      <c r="B848" s="108" t="s">
        <v>90</v>
      </c>
      <c r="C848" s="108" t="s">
        <v>388</v>
      </c>
      <c r="D848" s="112" t="s">
        <v>184</v>
      </c>
      <c r="E848" s="112">
        <v>2304.8</v>
      </c>
      <c r="F848" s="111" t="str">
        <f>DataPull!D848</f>
        <v/>
      </c>
      <c r="G848" s="94" t="str">
        <f t="shared" si="2"/>
        <v/>
      </c>
      <c r="H848" s="94" t="str">
        <f t="shared" si="3"/>
        <v/>
      </c>
      <c r="I848" s="94" t="str">
        <f t="shared" ref="I848:J848" si="849">if(G848 = "", , -G848)</f>
        <v/>
      </c>
      <c r="J848" s="94" t="str">
        <f t="shared" si="849"/>
        <v/>
      </c>
      <c r="K848" s="100"/>
      <c r="L848" s="100"/>
      <c r="N848" s="100"/>
      <c r="O848" s="100"/>
      <c r="P848" s="100"/>
    </row>
    <row r="849">
      <c r="A849" s="107">
        <v>201566.0</v>
      </c>
      <c r="B849" s="108" t="s">
        <v>92</v>
      </c>
      <c r="C849" s="108" t="s">
        <v>388</v>
      </c>
      <c r="D849" s="112" t="s">
        <v>184</v>
      </c>
      <c r="E849" s="112">
        <v>2752.0</v>
      </c>
      <c r="F849" s="111" t="str">
        <f>DataPull!D849</f>
        <v/>
      </c>
      <c r="G849" s="94" t="str">
        <f t="shared" si="2"/>
        <v/>
      </c>
      <c r="H849" s="94" t="str">
        <f t="shared" si="3"/>
        <v/>
      </c>
      <c r="I849" s="94" t="str">
        <f t="shared" ref="I849:J849" si="850">if(G849 = "", , -G849)</f>
        <v/>
      </c>
      <c r="J849" s="94" t="str">
        <f t="shared" si="850"/>
        <v/>
      </c>
      <c r="K849" s="100"/>
      <c r="M849" s="100"/>
      <c r="N849" s="100"/>
      <c r="O849" s="100"/>
      <c r="P849" s="100"/>
    </row>
    <row r="850">
      <c r="A850" s="107">
        <v>201566.0</v>
      </c>
      <c r="B850" s="108" t="s">
        <v>190</v>
      </c>
      <c r="C850" s="108" t="s">
        <v>388</v>
      </c>
      <c r="D850" s="112" t="s">
        <v>184</v>
      </c>
      <c r="E850" s="112">
        <v>2802.6</v>
      </c>
      <c r="F850" s="111" t="str">
        <f>DataPull!D850</f>
        <v/>
      </c>
      <c r="G850" s="94" t="str">
        <f t="shared" si="2"/>
        <v/>
      </c>
      <c r="H850" s="94" t="str">
        <f t="shared" si="3"/>
        <v/>
      </c>
      <c r="I850" s="94" t="str">
        <f t="shared" ref="I850:J850" si="851">if(G850 = "", , -G850)</f>
        <v/>
      </c>
      <c r="J850" s="94" t="str">
        <f t="shared" si="851"/>
        <v/>
      </c>
      <c r="K850" s="100"/>
      <c r="L850" s="100"/>
      <c r="N850" s="100"/>
      <c r="O850" s="100"/>
      <c r="P850" s="100"/>
    </row>
    <row r="851">
      <c r="A851" s="107">
        <v>201566.0</v>
      </c>
      <c r="B851" s="108" t="s">
        <v>191</v>
      </c>
      <c r="C851" s="108" t="s">
        <v>388</v>
      </c>
      <c r="D851" s="112" t="s">
        <v>184</v>
      </c>
      <c r="E851" s="112">
        <v>2912.0</v>
      </c>
      <c r="F851" s="111" t="str">
        <f>DataPull!D851</f>
        <v/>
      </c>
      <c r="G851" s="94" t="str">
        <f t="shared" si="2"/>
        <v/>
      </c>
      <c r="H851" s="94" t="str">
        <f t="shared" si="3"/>
        <v/>
      </c>
      <c r="I851" s="94" t="str">
        <f t="shared" ref="I851:J851" si="852">if(G851 = "", , -G851)</f>
        <v/>
      </c>
      <c r="J851" s="94" t="str">
        <f t="shared" si="852"/>
        <v/>
      </c>
      <c r="K851" s="100"/>
      <c r="L851" s="100"/>
      <c r="M851" s="100"/>
      <c r="N851" s="100"/>
      <c r="O851" s="100"/>
      <c r="P851" s="100"/>
    </row>
    <row r="852">
      <c r="A852" s="107">
        <v>201566.0</v>
      </c>
      <c r="B852" s="108" t="s">
        <v>192</v>
      </c>
      <c r="C852" s="108" t="s">
        <v>388</v>
      </c>
      <c r="D852" s="112" t="s">
        <v>184</v>
      </c>
      <c r="E852" s="112">
        <v>2628.0</v>
      </c>
      <c r="F852" s="111" t="str">
        <f>DataPull!D852</f>
        <v/>
      </c>
      <c r="G852" s="94" t="str">
        <f t="shared" si="2"/>
        <v/>
      </c>
      <c r="H852" s="94" t="str">
        <f t="shared" si="3"/>
        <v/>
      </c>
      <c r="I852" s="94" t="str">
        <f t="shared" ref="I852:J852" si="853">if(G852 = "", , -G852)</f>
        <v/>
      </c>
      <c r="J852" s="94" t="str">
        <f t="shared" si="853"/>
        <v/>
      </c>
      <c r="K852" s="100"/>
      <c r="M852" s="100"/>
      <c r="N852" s="100"/>
      <c r="O852" s="100"/>
      <c r="P852" s="100"/>
    </row>
    <row r="853">
      <c r="A853" s="107">
        <v>201566.0</v>
      </c>
      <c r="B853" s="108" t="s">
        <v>193</v>
      </c>
      <c r="C853" s="108" t="s">
        <v>388</v>
      </c>
      <c r="D853" s="112" t="s">
        <v>184</v>
      </c>
      <c r="E853" s="112">
        <v>2052.0</v>
      </c>
      <c r="F853" s="111" t="str">
        <f>DataPull!D853</f>
        <v/>
      </c>
      <c r="G853" s="94" t="str">
        <f t="shared" si="2"/>
        <v/>
      </c>
      <c r="H853" s="94" t="str">
        <f t="shared" si="3"/>
        <v/>
      </c>
      <c r="I853" s="94" t="str">
        <f t="shared" ref="I853:J853" si="854">if(G853 = "", , -G853)</f>
        <v/>
      </c>
      <c r="J853" s="94" t="str">
        <f t="shared" si="854"/>
        <v/>
      </c>
      <c r="K853" s="100"/>
      <c r="L853" s="100"/>
      <c r="N853" s="100"/>
      <c r="O853" s="100"/>
      <c r="P853" s="100"/>
    </row>
    <row r="854">
      <c r="A854" s="107">
        <v>201566.0</v>
      </c>
      <c r="B854" s="108" t="s">
        <v>243</v>
      </c>
      <c r="C854" s="108" t="s">
        <v>388</v>
      </c>
      <c r="D854" s="112" t="s">
        <v>184</v>
      </c>
      <c r="E854" s="112">
        <v>2366.0</v>
      </c>
      <c r="F854" s="111" t="str">
        <f>DataPull!D854</f>
        <v/>
      </c>
      <c r="G854" s="94" t="str">
        <f t="shared" si="2"/>
        <v/>
      </c>
      <c r="H854" s="94" t="str">
        <f t="shared" si="3"/>
        <v/>
      </c>
      <c r="I854" s="94" t="str">
        <f t="shared" ref="I854:J854" si="855">if(G854 = "", , -G854)</f>
        <v/>
      </c>
      <c r="J854" s="94" t="str">
        <f t="shared" si="855"/>
        <v/>
      </c>
      <c r="K854" s="100"/>
      <c r="M854" s="100"/>
      <c r="N854" s="100"/>
      <c r="O854" s="100"/>
      <c r="P854" s="100"/>
    </row>
    <row r="855">
      <c r="A855" s="107">
        <v>201566.0</v>
      </c>
      <c r="B855" s="108" t="s">
        <v>215</v>
      </c>
      <c r="C855" s="108" t="s">
        <v>388</v>
      </c>
      <c r="D855" s="112" t="s">
        <v>178</v>
      </c>
      <c r="E855" s="112">
        <v>2675.4</v>
      </c>
      <c r="F855" s="111" t="str">
        <f>DataPull!D855</f>
        <v/>
      </c>
      <c r="G855" s="94" t="str">
        <f t="shared" si="2"/>
        <v/>
      </c>
      <c r="H855" s="94" t="str">
        <f t="shared" si="3"/>
        <v/>
      </c>
      <c r="I855" s="94" t="str">
        <f t="shared" ref="I855:J855" si="856">if(G855 = "", , -G855)</f>
        <v/>
      </c>
      <c r="J855" s="94" t="str">
        <f t="shared" si="856"/>
        <v/>
      </c>
      <c r="K855" s="100"/>
      <c r="N855" s="100"/>
      <c r="O855" s="100"/>
      <c r="P855" s="100"/>
    </row>
    <row r="856">
      <c r="A856" s="107">
        <v>201566.0</v>
      </c>
      <c r="B856" s="108" t="s">
        <v>244</v>
      </c>
      <c r="C856" s="108" t="s">
        <v>388</v>
      </c>
      <c r="D856" s="112" t="s">
        <v>176</v>
      </c>
      <c r="E856" s="112">
        <v>2124.3</v>
      </c>
      <c r="F856" s="111" t="str">
        <f>DataPull!D856</f>
        <v/>
      </c>
      <c r="G856" s="94" t="str">
        <f t="shared" si="2"/>
        <v/>
      </c>
      <c r="H856" s="94" t="str">
        <f t="shared" si="3"/>
        <v/>
      </c>
      <c r="I856" s="94" t="str">
        <f t="shared" ref="I856:J856" si="857">if(G856 = "", , -G856)</f>
        <v/>
      </c>
      <c r="J856" s="94" t="str">
        <f t="shared" si="857"/>
        <v/>
      </c>
      <c r="K856" s="100"/>
      <c r="M856" s="100"/>
      <c r="N856" s="100"/>
      <c r="O856" s="100"/>
      <c r="P856" s="100"/>
    </row>
    <row r="857">
      <c r="A857" s="107">
        <v>201566.0</v>
      </c>
      <c r="B857" s="108" t="s">
        <v>245</v>
      </c>
      <c r="C857" s="108" t="s">
        <v>388</v>
      </c>
      <c r="D857" s="112" t="s">
        <v>176</v>
      </c>
      <c r="E857" s="112">
        <v>1530.0</v>
      </c>
      <c r="F857" s="111" t="str">
        <f>DataPull!D857</f>
        <v/>
      </c>
      <c r="G857" s="94" t="str">
        <f t="shared" si="2"/>
        <v/>
      </c>
      <c r="H857" s="94" t="str">
        <f t="shared" si="3"/>
        <v/>
      </c>
      <c r="I857" s="94" t="str">
        <f t="shared" ref="I857:J857" si="858">if(G857 = "", , -G857)</f>
        <v/>
      </c>
      <c r="J857" s="94" t="str">
        <f t="shared" si="858"/>
        <v/>
      </c>
      <c r="K857" s="100"/>
      <c r="M857" s="100"/>
      <c r="N857" s="100"/>
      <c r="O857" s="100"/>
      <c r="P857" s="100"/>
    </row>
    <row r="858">
      <c r="A858" s="107">
        <v>201566.0</v>
      </c>
      <c r="B858" s="108" t="s">
        <v>246</v>
      </c>
      <c r="C858" s="108" t="s">
        <v>388</v>
      </c>
      <c r="D858" s="112" t="s">
        <v>176</v>
      </c>
      <c r="E858" s="112">
        <v>2092.5</v>
      </c>
      <c r="F858" s="111" t="str">
        <f>DataPull!D858</f>
        <v/>
      </c>
      <c r="G858" s="94" t="str">
        <f t="shared" si="2"/>
        <v/>
      </c>
      <c r="H858" s="94" t="str">
        <f t="shared" si="3"/>
        <v/>
      </c>
      <c r="I858" s="94" t="str">
        <f t="shared" ref="I858:J858" si="859">if(G858 = "", , -G858)</f>
        <v/>
      </c>
      <c r="J858" s="94" t="str">
        <f t="shared" si="859"/>
        <v/>
      </c>
      <c r="K858" s="100"/>
      <c r="M858" s="100"/>
      <c r="N858" s="100"/>
      <c r="O858" s="100"/>
      <c r="P858" s="100"/>
    </row>
    <row r="859">
      <c r="A859" s="114">
        <v>201566.0</v>
      </c>
      <c r="B859" s="113" t="s">
        <v>247</v>
      </c>
      <c r="C859" s="113" t="s">
        <v>388</v>
      </c>
      <c r="D859" s="112" t="s">
        <v>178</v>
      </c>
      <c r="E859" s="112">
        <v>1849.6</v>
      </c>
      <c r="F859" s="111" t="str">
        <f>DataPull!D859</f>
        <v/>
      </c>
      <c r="G859" s="94" t="str">
        <f t="shared" si="2"/>
        <v/>
      </c>
      <c r="H859" s="94" t="str">
        <f t="shared" si="3"/>
        <v/>
      </c>
      <c r="I859" s="94" t="str">
        <f t="shared" ref="I859:J859" si="860">if(G859 = "", , -G859)</f>
        <v/>
      </c>
      <c r="J859" s="94" t="str">
        <f t="shared" si="860"/>
        <v/>
      </c>
      <c r="K859" s="100"/>
      <c r="M859" s="100"/>
      <c r="N859" s="100"/>
      <c r="O859" s="100"/>
      <c r="P859" s="100"/>
    </row>
    <row r="860">
      <c r="A860" s="107">
        <v>201567.0</v>
      </c>
      <c r="B860" s="108" t="s">
        <v>85</v>
      </c>
      <c r="C860" s="108" t="s">
        <v>389</v>
      </c>
      <c r="D860" s="112" t="s">
        <v>184</v>
      </c>
      <c r="E860" s="112">
        <v>2795.1</v>
      </c>
      <c r="F860" s="111" t="str">
        <f>DataPull!D860</f>
        <v/>
      </c>
      <c r="G860" s="94" t="str">
        <f t="shared" si="2"/>
        <v/>
      </c>
      <c r="H860" s="94" t="str">
        <f t="shared" si="3"/>
        <v/>
      </c>
      <c r="I860" s="94" t="str">
        <f t="shared" ref="I860:J860" si="861">if(G860 = "", , -G860)</f>
        <v/>
      </c>
      <c r="J860" s="94" t="str">
        <f t="shared" si="861"/>
        <v/>
      </c>
      <c r="K860" s="100"/>
      <c r="M860" s="100"/>
      <c r="N860" s="100"/>
      <c r="O860" s="100"/>
      <c r="P860" s="100"/>
    </row>
    <row r="861">
      <c r="A861" s="107">
        <v>201567.0</v>
      </c>
      <c r="B861" s="108" t="s">
        <v>90</v>
      </c>
      <c r="C861" s="108" t="s">
        <v>389</v>
      </c>
      <c r="D861" s="112" t="s">
        <v>184</v>
      </c>
      <c r="E861" s="112">
        <v>2535.0</v>
      </c>
      <c r="F861" s="111" t="str">
        <f>DataPull!D861</f>
        <v/>
      </c>
      <c r="G861" s="94" t="str">
        <f t="shared" si="2"/>
        <v/>
      </c>
      <c r="H861" s="94" t="str">
        <f t="shared" si="3"/>
        <v/>
      </c>
      <c r="I861" s="94" t="str">
        <f t="shared" ref="I861:J861" si="862">if(G861 = "", , -G861)</f>
        <v/>
      </c>
      <c r="J861" s="94" t="str">
        <f t="shared" si="862"/>
        <v/>
      </c>
      <c r="K861" s="100"/>
      <c r="M861" s="100"/>
      <c r="N861" s="100"/>
      <c r="O861" s="100"/>
      <c r="P861" s="100"/>
    </row>
    <row r="862">
      <c r="A862" s="107">
        <v>201567.0</v>
      </c>
      <c r="B862" s="108" t="s">
        <v>92</v>
      </c>
      <c r="C862" s="108" t="s">
        <v>389</v>
      </c>
      <c r="D862" s="112" t="s">
        <v>184</v>
      </c>
      <c r="E862" s="112">
        <v>2425.5</v>
      </c>
      <c r="F862" s="111" t="str">
        <f>DataPull!D862</f>
        <v/>
      </c>
      <c r="G862" s="94" t="str">
        <f t="shared" si="2"/>
        <v/>
      </c>
      <c r="H862" s="94" t="str">
        <f t="shared" si="3"/>
        <v/>
      </c>
      <c r="I862" s="94" t="str">
        <f t="shared" ref="I862:J862" si="863">if(G862 = "", , -G862)</f>
        <v/>
      </c>
      <c r="J862" s="94" t="str">
        <f t="shared" si="863"/>
        <v/>
      </c>
      <c r="K862" s="100"/>
      <c r="M862" s="100"/>
      <c r="N862" s="100"/>
      <c r="O862" s="100"/>
      <c r="P862" s="100"/>
    </row>
    <row r="863">
      <c r="A863" s="107">
        <v>201567.0</v>
      </c>
      <c r="B863" s="108" t="s">
        <v>190</v>
      </c>
      <c r="C863" s="108" t="s">
        <v>389</v>
      </c>
      <c r="D863" s="112" t="s">
        <v>184</v>
      </c>
      <c r="E863" s="112">
        <v>1884.0</v>
      </c>
      <c r="F863" s="111" t="str">
        <f>DataPull!D863</f>
        <v/>
      </c>
      <c r="G863" s="94" t="str">
        <f t="shared" si="2"/>
        <v/>
      </c>
      <c r="H863" s="94" t="str">
        <f t="shared" si="3"/>
        <v/>
      </c>
      <c r="I863" s="94" t="str">
        <f t="shared" ref="I863:J863" si="864">if(G863 = "", , -G863)</f>
        <v/>
      </c>
      <c r="J863" s="94" t="str">
        <f t="shared" si="864"/>
        <v/>
      </c>
      <c r="K863" s="100"/>
      <c r="M863" s="100"/>
      <c r="N863" s="100"/>
      <c r="O863" s="100"/>
      <c r="P863" s="100"/>
    </row>
    <row r="864">
      <c r="A864" s="107">
        <v>201567.0</v>
      </c>
      <c r="B864" s="108" t="s">
        <v>191</v>
      </c>
      <c r="C864" s="108" t="s">
        <v>389</v>
      </c>
      <c r="D864" s="112" t="s">
        <v>184</v>
      </c>
      <c r="E864" s="112">
        <v>1652.0</v>
      </c>
      <c r="F864" s="111" t="str">
        <f>DataPull!D864</f>
        <v/>
      </c>
      <c r="G864" s="94" t="str">
        <f t="shared" si="2"/>
        <v/>
      </c>
      <c r="H864" s="94" t="str">
        <f t="shared" si="3"/>
        <v/>
      </c>
      <c r="I864" s="94" t="str">
        <f t="shared" ref="I864:J864" si="865">if(G864 = "", , -G864)</f>
        <v/>
      </c>
      <c r="J864" s="94" t="str">
        <f t="shared" si="865"/>
        <v/>
      </c>
      <c r="K864" s="100"/>
      <c r="M864" s="100"/>
      <c r="N864" s="100"/>
      <c r="P864" s="100"/>
    </row>
    <row r="865">
      <c r="A865" s="107">
        <v>201567.0</v>
      </c>
      <c r="B865" s="108" t="s">
        <v>192</v>
      </c>
      <c r="C865" s="108" t="s">
        <v>389</v>
      </c>
      <c r="D865" s="112" t="s">
        <v>176</v>
      </c>
      <c r="E865" s="112">
        <v>598.4</v>
      </c>
      <c r="F865" s="111" t="str">
        <f>DataPull!D865</f>
        <v/>
      </c>
      <c r="G865" s="94" t="str">
        <f t="shared" si="2"/>
        <v/>
      </c>
      <c r="H865" s="94" t="str">
        <f t="shared" si="3"/>
        <v/>
      </c>
      <c r="I865" s="94" t="str">
        <f t="shared" ref="I865:J865" si="866">if(G865 = "", , -G865)</f>
        <v/>
      </c>
      <c r="J865" s="94" t="str">
        <f t="shared" si="866"/>
        <v/>
      </c>
      <c r="K865" s="100"/>
      <c r="L865" s="100"/>
      <c r="N865" s="100"/>
      <c r="O865" s="100"/>
      <c r="P865" s="100"/>
    </row>
    <row r="866">
      <c r="A866" s="107">
        <v>201567.0</v>
      </c>
      <c r="B866" s="108" t="s">
        <v>193</v>
      </c>
      <c r="C866" s="108" t="s">
        <v>389</v>
      </c>
      <c r="D866" s="112" t="s">
        <v>178</v>
      </c>
      <c r="E866" s="112">
        <v>1780.8</v>
      </c>
      <c r="F866" s="111" t="str">
        <f>DataPull!D866</f>
        <v/>
      </c>
      <c r="G866" s="94" t="str">
        <f t="shared" si="2"/>
        <v/>
      </c>
      <c r="H866" s="94" t="str">
        <f t="shared" si="3"/>
        <v/>
      </c>
      <c r="I866" s="94" t="str">
        <f t="shared" ref="I866:J866" si="867">if(G866 = "", , -G866)</f>
        <v/>
      </c>
      <c r="J866" s="94" t="str">
        <f t="shared" si="867"/>
        <v/>
      </c>
      <c r="K866" s="100"/>
      <c r="M866" s="100"/>
      <c r="N866" s="100"/>
      <c r="O866" s="100"/>
      <c r="P866" s="100"/>
    </row>
    <row r="867">
      <c r="A867" s="107">
        <v>201567.0</v>
      </c>
      <c r="B867" s="108" t="s">
        <v>243</v>
      </c>
      <c r="C867" s="108" t="s">
        <v>389</v>
      </c>
      <c r="D867" s="112" t="s">
        <v>176</v>
      </c>
      <c r="E867" s="112">
        <v>622.5</v>
      </c>
      <c r="F867" s="111" t="str">
        <f>DataPull!D867</f>
        <v/>
      </c>
      <c r="G867" s="94" t="str">
        <f t="shared" si="2"/>
        <v/>
      </c>
      <c r="H867" s="94" t="str">
        <f t="shared" si="3"/>
        <v/>
      </c>
      <c r="I867" s="94" t="str">
        <f t="shared" ref="I867:J867" si="868">if(G867 = "", , -G867)</f>
        <v/>
      </c>
      <c r="J867" s="94" t="str">
        <f t="shared" si="868"/>
        <v/>
      </c>
      <c r="K867" s="100"/>
      <c r="L867" s="100"/>
      <c r="M867" s="100"/>
      <c r="N867" s="100"/>
      <c r="O867" s="100"/>
      <c r="P867" s="100"/>
    </row>
    <row r="868">
      <c r="A868" s="107">
        <v>201567.0</v>
      </c>
      <c r="B868" s="108" t="s">
        <v>215</v>
      </c>
      <c r="C868" s="108" t="s">
        <v>389</v>
      </c>
      <c r="D868" s="112" t="s">
        <v>177</v>
      </c>
      <c r="E868" s="112">
        <v>1665.0</v>
      </c>
      <c r="F868" s="111" t="str">
        <f>DataPull!D868</f>
        <v/>
      </c>
      <c r="G868" s="94" t="str">
        <f t="shared" si="2"/>
        <v/>
      </c>
      <c r="H868" s="94" t="str">
        <f t="shared" si="3"/>
        <v/>
      </c>
      <c r="I868" s="94" t="str">
        <f t="shared" ref="I868:J868" si="869">if(G868 = "", , -G868)</f>
        <v/>
      </c>
      <c r="J868" s="94" t="str">
        <f t="shared" si="869"/>
        <v/>
      </c>
      <c r="K868" s="100"/>
      <c r="M868" s="100"/>
      <c r="N868" s="100"/>
      <c r="O868" s="100"/>
      <c r="P868" s="100"/>
    </row>
    <row r="869">
      <c r="A869" s="107">
        <v>201567.0</v>
      </c>
      <c r="B869" s="108" t="s">
        <v>244</v>
      </c>
      <c r="C869" s="108" t="s">
        <v>389</v>
      </c>
      <c r="D869" s="112" t="s">
        <v>177</v>
      </c>
      <c r="E869" s="112">
        <v>1240.0</v>
      </c>
      <c r="F869" s="111" t="str">
        <f>DataPull!D869</f>
        <v/>
      </c>
      <c r="G869" s="94" t="str">
        <f t="shared" si="2"/>
        <v/>
      </c>
      <c r="H869" s="94" t="str">
        <f t="shared" si="3"/>
        <v/>
      </c>
      <c r="I869" s="94" t="str">
        <f t="shared" ref="I869:J869" si="870">if(G869 = "", , -G869)</f>
        <v/>
      </c>
      <c r="J869" s="94" t="str">
        <f t="shared" si="870"/>
        <v/>
      </c>
      <c r="K869" s="100"/>
      <c r="L869" s="100"/>
      <c r="N869" s="100"/>
      <c r="O869" s="100"/>
      <c r="P869" s="100"/>
    </row>
    <row r="870">
      <c r="A870" s="107">
        <v>201567.0</v>
      </c>
      <c r="B870" s="108" t="s">
        <v>245</v>
      </c>
      <c r="C870" s="108" t="s">
        <v>389</v>
      </c>
      <c r="D870" s="112" t="s">
        <v>177</v>
      </c>
      <c r="E870" s="112">
        <v>924.0</v>
      </c>
      <c r="F870" s="111" t="str">
        <f>DataPull!D870</f>
        <v/>
      </c>
      <c r="G870" s="94" t="str">
        <f t="shared" si="2"/>
        <v/>
      </c>
      <c r="H870" s="94" t="str">
        <f t="shared" si="3"/>
        <v/>
      </c>
      <c r="I870" s="94" t="str">
        <f t="shared" ref="I870:J870" si="871">if(G870 = "", , -G870)</f>
        <v/>
      </c>
      <c r="J870" s="94" t="str">
        <f t="shared" si="871"/>
        <v/>
      </c>
      <c r="K870" s="100"/>
      <c r="M870" s="100"/>
      <c r="N870" s="100"/>
      <c r="O870" s="100"/>
      <c r="P870" s="100"/>
    </row>
    <row r="871">
      <c r="A871" s="107">
        <v>201567.0</v>
      </c>
      <c r="B871" s="108" t="s">
        <v>246</v>
      </c>
      <c r="C871" s="108" t="s">
        <v>389</v>
      </c>
      <c r="D871" s="112" t="s">
        <v>187</v>
      </c>
      <c r="E871" s="112">
        <v>250.7</v>
      </c>
      <c r="F871" s="111" t="str">
        <f>DataPull!D871</f>
        <v/>
      </c>
      <c r="G871" s="94" t="str">
        <f t="shared" si="2"/>
        <v/>
      </c>
      <c r="H871" s="94" t="str">
        <f t="shared" si="3"/>
        <v/>
      </c>
      <c r="I871" s="94" t="str">
        <f t="shared" ref="I871:J871" si="872">if(G871 = "", , -G871)</f>
        <v/>
      </c>
      <c r="J871" s="94" t="str">
        <f t="shared" si="872"/>
        <v/>
      </c>
      <c r="K871" s="100"/>
      <c r="L871" s="100"/>
      <c r="M871" s="100"/>
      <c r="N871" s="100"/>
      <c r="O871" s="100"/>
      <c r="P871" s="100"/>
    </row>
    <row r="872">
      <c r="A872" s="114">
        <v>201567.0</v>
      </c>
      <c r="B872" s="113" t="s">
        <v>247</v>
      </c>
      <c r="C872" s="113" t="s">
        <v>389</v>
      </c>
      <c r="D872" s="112" t="s">
        <v>177</v>
      </c>
      <c r="E872" s="112">
        <v>614.2</v>
      </c>
      <c r="F872" s="111" t="str">
        <f>DataPull!D872</f>
        <v/>
      </c>
      <c r="G872" s="94" t="str">
        <f t="shared" si="2"/>
        <v/>
      </c>
      <c r="H872" s="94" t="str">
        <f t="shared" si="3"/>
        <v/>
      </c>
      <c r="I872" s="94" t="str">
        <f t="shared" ref="I872:J872" si="873">if(G872 = "", , -G872)</f>
        <v/>
      </c>
      <c r="J872" s="94" t="str">
        <f t="shared" si="873"/>
        <v/>
      </c>
      <c r="K872" s="100"/>
      <c r="M872" s="100"/>
      <c r="N872" s="100"/>
      <c r="O872" s="100"/>
      <c r="P872" s="100"/>
    </row>
    <row r="873">
      <c r="A873" s="107">
        <v>201568.0</v>
      </c>
      <c r="B873" s="108" t="s">
        <v>90</v>
      </c>
      <c r="C873" s="108" t="s">
        <v>390</v>
      </c>
      <c r="D873" s="112" t="s">
        <v>176</v>
      </c>
      <c r="E873" s="112">
        <v>1427.8</v>
      </c>
      <c r="F873" s="111" t="str">
        <f>DataPull!D873</f>
        <v/>
      </c>
      <c r="G873" s="94" t="str">
        <f t="shared" si="2"/>
        <v/>
      </c>
      <c r="H873" s="94" t="str">
        <f t="shared" si="3"/>
        <v/>
      </c>
      <c r="I873" s="94" t="str">
        <f t="shared" ref="I873:J873" si="874">if(G873 = "", , -G873)</f>
        <v/>
      </c>
      <c r="J873" s="94" t="str">
        <f t="shared" si="874"/>
        <v/>
      </c>
      <c r="K873" s="100"/>
      <c r="M873" s="100"/>
      <c r="N873" s="100"/>
      <c r="O873" s="100"/>
      <c r="P873" s="100"/>
    </row>
    <row r="874">
      <c r="A874" s="107">
        <v>201568.0</v>
      </c>
      <c r="B874" s="108" t="s">
        <v>92</v>
      </c>
      <c r="C874" s="108" t="s">
        <v>390</v>
      </c>
      <c r="D874" s="112" t="s">
        <v>184</v>
      </c>
      <c r="E874" s="112">
        <v>1839.1</v>
      </c>
      <c r="F874" s="111" t="str">
        <f>DataPull!D874</f>
        <v/>
      </c>
      <c r="G874" s="94" t="str">
        <f t="shared" si="2"/>
        <v/>
      </c>
      <c r="H874" s="94" t="str">
        <f t="shared" si="3"/>
        <v/>
      </c>
      <c r="I874" s="94" t="str">
        <f t="shared" ref="I874:J874" si="875">if(G874 = "", , -G874)</f>
        <v/>
      </c>
      <c r="J874" s="94" t="str">
        <f t="shared" si="875"/>
        <v/>
      </c>
      <c r="K874" s="100"/>
      <c r="M874" s="100"/>
      <c r="N874" s="100"/>
      <c r="O874" s="100"/>
      <c r="P874" s="100"/>
    </row>
    <row r="875">
      <c r="A875" s="107">
        <v>201568.0</v>
      </c>
      <c r="B875" s="108" t="s">
        <v>190</v>
      </c>
      <c r="C875" s="108" t="s">
        <v>390</v>
      </c>
      <c r="D875" s="112" t="s">
        <v>184</v>
      </c>
      <c r="E875" s="112">
        <v>2135.7</v>
      </c>
      <c r="F875" s="111" t="str">
        <f>DataPull!D875</f>
        <v/>
      </c>
      <c r="G875" s="94" t="str">
        <f t="shared" si="2"/>
        <v/>
      </c>
      <c r="H875" s="94" t="str">
        <f t="shared" si="3"/>
        <v/>
      </c>
      <c r="I875" s="94" t="str">
        <f t="shared" ref="I875:J875" si="876">if(G875 = "", , -G875)</f>
        <v/>
      </c>
      <c r="J875" s="94" t="str">
        <f t="shared" si="876"/>
        <v/>
      </c>
      <c r="K875" s="100"/>
      <c r="M875" s="100"/>
      <c r="N875" s="100"/>
      <c r="O875" s="100"/>
      <c r="P875" s="100"/>
    </row>
    <row r="876">
      <c r="A876" s="107">
        <v>201568.0</v>
      </c>
      <c r="B876" s="108" t="s">
        <v>191</v>
      </c>
      <c r="C876" s="108" t="s">
        <v>390</v>
      </c>
      <c r="D876" s="112" t="s">
        <v>178</v>
      </c>
      <c r="E876" s="112">
        <v>672.0</v>
      </c>
      <c r="F876" s="111" t="str">
        <f>DataPull!D876</f>
        <v/>
      </c>
      <c r="G876" s="94" t="str">
        <f t="shared" si="2"/>
        <v/>
      </c>
      <c r="H876" s="94" t="str">
        <f t="shared" si="3"/>
        <v/>
      </c>
      <c r="I876" s="94" t="str">
        <f t="shared" ref="I876:J876" si="877">if(G876 = "", , -G876)</f>
        <v/>
      </c>
      <c r="J876" s="94" t="str">
        <f t="shared" si="877"/>
        <v/>
      </c>
      <c r="K876" s="100"/>
      <c r="M876" s="100"/>
      <c r="N876" s="100"/>
      <c r="O876" s="100"/>
      <c r="P876" s="100"/>
    </row>
    <row r="877">
      <c r="A877" s="107">
        <v>201568.0</v>
      </c>
      <c r="B877" s="108" t="s">
        <v>192</v>
      </c>
      <c r="C877" s="108" t="s">
        <v>390</v>
      </c>
      <c r="D877" s="112" t="s">
        <v>184</v>
      </c>
      <c r="E877" s="112">
        <v>2060.4</v>
      </c>
      <c r="F877" s="111" t="str">
        <f>DataPull!D877</f>
        <v/>
      </c>
      <c r="G877" s="94" t="str">
        <f t="shared" si="2"/>
        <v/>
      </c>
      <c r="H877" s="94" t="str">
        <f t="shared" si="3"/>
        <v/>
      </c>
      <c r="I877" s="94" t="str">
        <f t="shared" ref="I877:J877" si="878">if(G877 = "", , -G877)</f>
        <v/>
      </c>
      <c r="J877" s="94" t="str">
        <f t="shared" si="878"/>
        <v/>
      </c>
      <c r="K877" s="100"/>
      <c r="M877" s="100"/>
      <c r="N877" s="100"/>
      <c r="O877" s="100"/>
      <c r="P877" s="100"/>
    </row>
    <row r="878">
      <c r="A878" s="107">
        <v>201568.0</v>
      </c>
      <c r="B878" s="108" t="s">
        <v>193</v>
      </c>
      <c r="C878" s="108" t="s">
        <v>390</v>
      </c>
      <c r="D878" s="112" t="s">
        <v>184</v>
      </c>
      <c r="E878" s="112">
        <v>1835.2</v>
      </c>
      <c r="F878" s="111" t="str">
        <f>DataPull!D878</f>
        <v/>
      </c>
      <c r="G878" s="94" t="str">
        <f t="shared" si="2"/>
        <v/>
      </c>
      <c r="H878" s="94" t="str">
        <f t="shared" si="3"/>
        <v/>
      </c>
      <c r="I878" s="94" t="str">
        <f t="shared" ref="I878:J878" si="879">if(G878 = "", , -G878)</f>
        <v/>
      </c>
      <c r="J878" s="94" t="str">
        <f t="shared" si="879"/>
        <v/>
      </c>
      <c r="K878" s="100"/>
      <c r="M878" s="100"/>
      <c r="N878" s="100"/>
      <c r="O878" s="100"/>
      <c r="P878" s="100"/>
    </row>
    <row r="879">
      <c r="A879" s="107">
        <v>201568.0</v>
      </c>
      <c r="B879" s="108" t="s">
        <v>243</v>
      </c>
      <c r="C879" s="108" t="s">
        <v>390</v>
      </c>
      <c r="D879" s="112" t="s">
        <v>176</v>
      </c>
      <c r="E879" s="112">
        <v>1224.0</v>
      </c>
      <c r="F879" s="111" t="str">
        <f>DataPull!D879</f>
        <v/>
      </c>
      <c r="G879" s="94" t="str">
        <f t="shared" si="2"/>
        <v/>
      </c>
      <c r="H879" s="94" t="str">
        <f t="shared" si="3"/>
        <v/>
      </c>
      <c r="I879" s="94" t="str">
        <f t="shared" ref="I879:J879" si="880">if(G879 = "", , -G879)</f>
        <v/>
      </c>
      <c r="J879" s="94" t="str">
        <f t="shared" si="880"/>
        <v/>
      </c>
      <c r="K879" s="100"/>
      <c r="L879" s="100"/>
      <c r="N879" s="100"/>
      <c r="O879" s="100"/>
      <c r="P879" s="100"/>
    </row>
    <row r="880">
      <c r="A880" s="107">
        <v>201568.0</v>
      </c>
      <c r="B880" s="108" t="s">
        <v>215</v>
      </c>
      <c r="C880" s="108" t="s">
        <v>390</v>
      </c>
      <c r="D880" s="112" t="s">
        <v>176</v>
      </c>
      <c r="E880" s="112">
        <v>1669.8</v>
      </c>
      <c r="F880" s="111" t="str">
        <f>DataPull!D880</f>
        <v/>
      </c>
      <c r="G880" s="94" t="str">
        <f t="shared" si="2"/>
        <v/>
      </c>
      <c r="H880" s="94" t="str">
        <f t="shared" si="3"/>
        <v/>
      </c>
      <c r="I880" s="94" t="str">
        <f t="shared" ref="I880:J880" si="881">if(G880 = "", , -G880)</f>
        <v/>
      </c>
      <c r="J880" s="94" t="str">
        <f t="shared" si="881"/>
        <v/>
      </c>
      <c r="K880" s="100"/>
      <c r="N880" s="100"/>
      <c r="O880" s="100"/>
      <c r="P880" s="100"/>
    </row>
    <row r="881">
      <c r="A881" s="107">
        <v>201568.0</v>
      </c>
      <c r="B881" s="108" t="s">
        <v>245</v>
      </c>
      <c r="C881" s="108" t="s">
        <v>390</v>
      </c>
      <c r="D881" s="112" t="s">
        <v>177</v>
      </c>
      <c r="E881" s="112">
        <v>627.2</v>
      </c>
      <c r="F881" s="111" t="str">
        <f>DataPull!D881</f>
        <v/>
      </c>
      <c r="G881" s="94" t="str">
        <f t="shared" si="2"/>
        <v/>
      </c>
      <c r="H881" s="94" t="str">
        <f t="shared" si="3"/>
        <v/>
      </c>
      <c r="I881" s="94" t="str">
        <f t="shared" ref="I881:J881" si="882">if(G881 = "", , -G881)</f>
        <v/>
      </c>
      <c r="J881" s="94" t="str">
        <f t="shared" si="882"/>
        <v/>
      </c>
      <c r="K881" s="100"/>
      <c r="N881" s="100"/>
      <c r="O881" s="100"/>
      <c r="P881" s="100"/>
    </row>
    <row r="882">
      <c r="A882" s="107">
        <v>201569.0</v>
      </c>
      <c r="B882" s="108" t="s">
        <v>85</v>
      </c>
      <c r="C882" s="108" t="s">
        <v>391</v>
      </c>
      <c r="D882" s="112" t="s">
        <v>178</v>
      </c>
      <c r="E882" s="112">
        <v>2054.4</v>
      </c>
      <c r="F882" s="111" t="str">
        <f>DataPull!D882</f>
        <v/>
      </c>
      <c r="G882" s="94" t="str">
        <f t="shared" si="2"/>
        <v/>
      </c>
      <c r="H882" s="94" t="str">
        <f t="shared" si="3"/>
        <v/>
      </c>
      <c r="I882" s="94" t="str">
        <f t="shared" ref="I882:J882" si="883">if(G882 = "", , -G882)</f>
        <v/>
      </c>
      <c r="J882" s="94" t="str">
        <f t="shared" si="883"/>
        <v/>
      </c>
      <c r="K882" s="100"/>
      <c r="N882" s="100"/>
      <c r="O882" s="100"/>
      <c r="P882" s="100"/>
    </row>
    <row r="883">
      <c r="A883" s="107">
        <v>201569.0</v>
      </c>
      <c r="B883" s="108" t="s">
        <v>90</v>
      </c>
      <c r="C883" s="108" t="s">
        <v>391</v>
      </c>
      <c r="D883" s="112" t="s">
        <v>178</v>
      </c>
      <c r="E883" s="112">
        <v>2019.1</v>
      </c>
      <c r="F883" s="111" t="str">
        <f>DataPull!D883</f>
        <v/>
      </c>
      <c r="G883" s="94" t="str">
        <f t="shared" si="2"/>
        <v/>
      </c>
      <c r="H883" s="94" t="str">
        <f t="shared" si="3"/>
        <v/>
      </c>
      <c r="I883" s="94" t="str">
        <f t="shared" ref="I883:J883" si="884">if(G883 = "", , -G883)</f>
        <v/>
      </c>
      <c r="J883" s="94" t="str">
        <f t="shared" si="884"/>
        <v/>
      </c>
      <c r="K883" s="100"/>
      <c r="M883" s="100"/>
      <c r="N883" s="100"/>
      <c r="O883" s="100"/>
      <c r="P883" s="100"/>
    </row>
    <row r="884">
      <c r="A884" s="107">
        <v>201569.0</v>
      </c>
      <c r="B884" s="108" t="s">
        <v>92</v>
      </c>
      <c r="C884" s="108" t="s">
        <v>391</v>
      </c>
      <c r="D884" s="112" t="s">
        <v>178</v>
      </c>
      <c r="E884" s="112">
        <v>1480.5</v>
      </c>
      <c r="F884" s="111" t="str">
        <f>DataPull!D884</f>
        <v/>
      </c>
      <c r="G884" s="94" t="str">
        <f t="shared" si="2"/>
        <v/>
      </c>
      <c r="H884" s="94" t="str">
        <f t="shared" si="3"/>
        <v/>
      </c>
      <c r="I884" s="94" t="str">
        <f t="shared" ref="I884:J884" si="885">if(G884 = "", , -G884)</f>
        <v/>
      </c>
      <c r="J884" s="94" t="str">
        <f t="shared" si="885"/>
        <v/>
      </c>
      <c r="K884" s="100"/>
      <c r="L884" s="100"/>
      <c r="M884" s="100"/>
      <c r="N884" s="100"/>
      <c r="O884" s="100"/>
      <c r="P884" s="100"/>
    </row>
    <row r="885">
      <c r="A885" s="107">
        <v>201569.0</v>
      </c>
      <c r="B885" s="108" t="s">
        <v>190</v>
      </c>
      <c r="C885" s="108" t="s">
        <v>391</v>
      </c>
      <c r="D885" s="112" t="s">
        <v>178</v>
      </c>
      <c r="E885" s="112">
        <v>2325.0</v>
      </c>
      <c r="F885" s="111" t="str">
        <f>DataPull!D885</f>
        <v/>
      </c>
      <c r="G885" s="94" t="str">
        <f t="shared" si="2"/>
        <v/>
      </c>
      <c r="H885" s="94" t="str">
        <f t="shared" si="3"/>
        <v/>
      </c>
      <c r="I885" s="94" t="str">
        <f t="shared" ref="I885:J885" si="886">if(G885 = "", , -G885)</f>
        <v/>
      </c>
      <c r="J885" s="94" t="str">
        <f t="shared" si="886"/>
        <v/>
      </c>
      <c r="K885" s="100"/>
      <c r="M885" s="100"/>
      <c r="N885" s="100"/>
      <c r="O885" s="100"/>
      <c r="P885" s="100"/>
    </row>
    <row r="886">
      <c r="A886" s="107">
        <v>201569.0</v>
      </c>
      <c r="B886" s="108" t="s">
        <v>191</v>
      </c>
      <c r="C886" s="108" t="s">
        <v>391</v>
      </c>
      <c r="D886" s="112" t="s">
        <v>178</v>
      </c>
      <c r="E886" s="112">
        <v>2152.8</v>
      </c>
      <c r="F886" s="111" t="str">
        <f>DataPull!D886</f>
        <v/>
      </c>
      <c r="G886" s="94" t="str">
        <f t="shared" si="2"/>
        <v/>
      </c>
      <c r="H886" s="94" t="str">
        <f t="shared" si="3"/>
        <v/>
      </c>
      <c r="I886" s="94" t="str">
        <f t="shared" ref="I886:J886" si="887">if(G886 = "", , -G886)</f>
        <v/>
      </c>
      <c r="J886" s="94" t="str">
        <f t="shared" si="887"/>
        <v/>
      </c>
      <c r="K886" s="100"/>
      <c r="L886" s="100"/>
      <c r="M886" s="100"/>
      <c r="N886" s="100"/>
      <c r="O886" s="100"/>
      <c r="P886" s="100"/>
    </row>
    <row r="887">
      <c r="A887" s="107">
        <v>201569.0</v>
      </c>
      <c r="B887" s="108" t="s">
        <v>192</v>
      </c>
      <c r="C887" s="108" t="s">
        <v>391</v>
      </c>
      <c r="D887" s="112" t="s">
        <v>178</v>
      </c>
      <c r="E887" s="112">
        <v>2155.6</v>
      </c>
      <c r="F887" s="111" t="str">
        <f>DataPull!D887</f>
        <v/>
      </c>
      <c r="G887" s="94" t="str">
        <f t="shared" si="2"/>
        <v/>
      </c>
      <c r="H887" s="94" t="str">
        <f t="shared" si="3"/>
        <v/>
      </c>
      <c r="I887" s="94" t="str">
        <f t="shared" ref="I887:J887" si="888">if(G887 = "", , -G887)</f>
        <v/>
      </c>
      <c r="J887" s="94" t="str">
        <f t="shared" si="888"/>
        <v/>
      </c>
      <c r="K887" s="100"/>
      <c r="M887" s="100"/>
      <c r="N887" s="100"/>
      <c r="O887" s="100"/>
      <c r="P887" s="100"/>
    </row>
    <row r="888">
      <c r="A888" s="107">
        <v>201569.0</v>
      </c>
      <c r="B888" s="108" t="s">
        <v>193</v>
      </c>
      <c r="C888" s="108" t="s">
        <v>391</v>
      </c>
      <c r="D888" s="112" t="s">
        <v>176</v>
      </c>
      <c r="E888" s="112">
        <v>1015.2</v>
      </c>
      <c r="F888" s="111" t="str">
        <f>DataPull!D888</f>
        <v/>
      </c>
      <c r="G888" s="94" t="str">
        <f t="shared" si="2"/>
        <v/>
      </c>
      <c r="H888" s="94" t="str">
        <f t="shared" si="3"/>
        <v/>
      </c>
      <c r="I888" s="94" t="str">
        <f t="shared" ref="I888:J888" si="889">if(G888 = "", , -G888)</f>
        <v/>
      </c>
      <c r="J888" s="94" t="str">
        <f t="shared" si="889"/>
        <v/>
      </c>
      <c r="K888" s="100"/>
      <c r="M888" s="100"/>
      <c r="N888" s="100"/>
      <c r="O888" s="100"/>
      <c r="P888" s="100"/>
    </row>
    <row r="889">
      <c r="A889" s="107">
        <v>201569.0</v>
      </c>
      <c r="B889" s="108" t="s">
        <v>243</v>
      </c>
      <c r="C889" s="108" t="s">
        <v>391</v>
      </c>
      <c r="D889" s="112" t="s">
        <v>176</v>
      </c>
      <c r="E889" s="112">
        <v>788.4</v>
      </c>
      <c r="F889" s="111" t="str">
        <f>DataPull!D889</f>
        <v/>
      </c>
      <c r="G889" s="94" t="str">
        <f t="shared" si="2"/>
        <v/>
      </c>
      <c r="H889" s="94" t="str">
        <f t="shared" si="3"/>
        <v/>
      </c>
      <c r="I889" s="94" t="str">
        <f t="shared" ref="I889:J889" si="890">if(G889 = "", , -G889)</f>
        <v/>
      </c>
      <c r="J889" s="94" t="str">
        <f t="shared" si="890"/>
        <v/>
      </c>
      <c r="K889" s="100"/>
      <c r="M889" s="100"/>
      <c r="N889" s="100"/>
      <c r="O889" s="100"/>
      <c r="P889" s="100"/>
    </row>
    <row r="890">
      <c r="A890" s="107">
        <v>201569.0</v>
      </c>
      <c r="B890" s="108" t="s">
        <v>215</v>
      </c>
      <c r="C890" s="108" t="s">
        <v>391</v>
      </c>
      <c r="D890" s="112" t="s">
        <v>178</v>
      </c>
      <c r="E890" s="112">
        <v>1670.1</v>
      </c>
      <c r="F890" s="111" t="str">
        <f>DataPull!D890</f>
        <v/>
      </c>
      <c r="G890" s="94" t="str">
        <f t="shared" si="2"/>
        <v/>
      </c>
      <c r="H890" s="94" t="str">
        <f t="shared" si="3"/>
        <v/>
      </c>
      <c r="I890" s="94" t="str">
        <f t="shared" ref="I890:J890" si="891">if(G890 = "", , -G890)</f>
        <v/>
      </c>
      <c r="J890" s="94" t="str">
        <f t="shared" si="891"/>
        <v/>
      </c>
      <c r="K890" s="100"/>
      <c r="M890" s="100"/>
      <c r="N890" s="100"/>
      <c r="O890" s="100"/>
      <c r="P890" s="100"/>
    </row>
    <row r="891">
      <c r="A891" s="107">
        <v>201569.0</v>
      </c>
      <c r="B891" s="108" t="s">
        <v>244</v>
      </c>
      <c r="C891" s="108" t="s">
        <v>391</v>
      </c>
      <c r="D891" s="112" t="s">
        <v>178</v>
      </c>
      <c r="E891" s="112">
        <v>1966.5</v>
      </c>
      <c r="F891" s="111" t="str">
        <f>DataPull!D891</f>
        <v/>
      </c>
      <c r="G891" s="94" t="str">
        <f t="shared" si="2"/>
        <v/>
      </c>
      <c r="H891" s="94" t="str">
        <f t="shared" si="3"/>
        <v/>
      </c>
      <c r="I891" s="94" t="str">
        <f t="shared" ref="I891:J891" si="892">if(G891 = "", , -G891)</f>
        <v/>
      </c>
      <c r="J891" s="94" t="str">
        <f t="shared" si="892"/>
        <v/>
      </c>
      <c r="K891" s="100"/>
      <c r="M891" s="100"/>
      <c r="N891" s="100"/>
      <c r="O891" s="100"/>
      <c r="P891" s="100"/>
    </row>
    <row r="892">
      <c r="A892" s="107">
        <v>201569.0</v>
      </c>
      <c r="B892" s="108" t="s">
        <v>245</v>
      </c>
      <c r="C892" s="108" t="s">
        <v>391</v>
      </c>
      <c r="D892" s="112" t="s">
        <v>178</v>
      </c>
      <c r="E892" s="112">
        <v>1890.4</v>
      </c>
      <c r="F892" s="111" t="str">
        <f>DataPull!D892</f>
        <v/>
      </c>
      <c r="G892" s="94" t="str">
        <f t="shared" si="2"/>
        <v/>
      </c>
      <c r="H892" s="94" t="str">
        <f t="shared" si="3"/>
        <v/>
      </c>
      <c r="I892" s="94" t="str">
        <f t="shared" ref="I892:J892" si="893">if(G892 = "", , -G892)</f>
        <v/>
      </c>
      <c r="J892" s="94" t="str">
        <f t="shared" si="893"/>
        <v/>
      </c>
      <c r="K892" s="100"/>
      <c r="M892" s="100"/>
      <c r="N892" s="100"/>
      <c r="O892" s="100"/>
      <c r="P892" s="100"/>
    </row>
    <row r="893">
      <c r="A893" s="107">
        <v>201569.0</v>
      </c>
      <c r="B893" s="108" t="s">
        <v>246</v>
      </c>
      <c r="C893" s="108" t="s">
        <v>391</v>
      </c>
      <c r="D893" s="112" t="s">
        <v>177</v>
      </c>
      <c r="E893" s="112">
        <v>768.3</v>
      </c>
      <c r="F893" s="111" t="str">
        <f>DataPull!D893</f>
        <v/>
      </c>
      <c r="G893" s="94" t="str">
        <f t="shared" si="2"/>
        <v/>
      </c>
      <c r="H893" s="94" t="str">
        <f t="shared" si="3"/>
        <v/>
      </c>
      <c r="I893" s="94" t="str">
        <f t="shared" ref="I893:J893" si="894">if(G893 = "", , -G893)</f>
        <v/>
      </c>
      <c r="J893" s="94" t="str">
        <f t="shared" si="894"/>
        <v/>
      </c>
      <c r="K893" s="100"/>
      <c r="L893" s="100"/>
      <c r="M893" s="100"/>
      <c r="N893" s="100"/>
      <c r="O893" s="100"/>
      <c r="P893" s="100"/>
    </row>
    <row r="894">
      <c r="A894" s="114">
        <v>201569.0</v>
      </c>
      <c r="B894" s="113" t="s">
        <v>247</v>
      </c>
      <c r="C894" s="113" t="s">
        <v>391</v>
      </c>
      <c r="D894" s="112" t="s">
        <v>177</v>
      </c>
      <c r="E894" s="112">
        <v>73.8</v>
      </c>
      <c r="F894" s="111" t="str">
        <f>DataPull!D894</f>
        <v/>
      </c>
      <c r="G894" s="94" t="str">
        <f t="shared" si="2"/>
        <v/>
      </c>
      <c r="H894" s="94" t="str">
        <f t="shared" si="3"/>
        <v/>
      </c>
      <c r="I894" s="94" t="str">
        <f t="shared" ref="I894:J894" si="895">if(G894 = "", , -G894)</f>
        <v/>
      </c>
      <c r="J894" s="94" t="str">
        <f t="shared" si="895"/>
        <v/>
      </c>
      <c r="K894" s="100"/>
      <c r="M894" s="100"/>
      <c r="N894" s="100"/>
      <c r="O894" s="100"/>
      <c r="P894" s="100"/>
    </row>
    <row r="895">
      <c r="A895" s="107">
        <v>201571.0</v>
      </c>
      <c r="B895" s="108" t="s">
        <v>85</v>
      </c>
      <c r="C895" s="108" t="s">
        <v>392</v>
      </c>
      <c r="D895" s="112" t="s">
        <v>176</v>
      </c>
      <c r="E895" s="112">
        <v>1938.3</v>
      </c>
      <c r="F895" s="111" t="str">
        <f>DataPull!D895</f>
        <v/>
      </c>
      <c r="G895" s="94" t="str">
        <f t="shared" si="2"/>
        <v/>
      </c>
      <c r="H895" s="94" t="str">
        <f t="shared" si="3"/>
        <v/>
      </c>
      <c r="I895" s="94" t="str">
        <f t="shared" ref="I895:J895" si="896">if(G895 = "", , -G895)</f>
        <v/>
      </c>
      <c r="J895" s="94" t="str">
        <f t="shared" si="896"/>
        <v/>
      </c>
      <c r="K895" s="100"/>
      <c r="M895" s="100"/>
      <c r="N895" s="100"/>
      <c r="O895" s="100"/>
      <c r="P895" s="100"/>
    </row>
    <row r="896">
      <c r="A896" s="107">
        <v>201571.0</v>
      </c>
      <c r="B896" s="108" t="s">
        <v>90</v>
      </c>
      <c r="C896" s="108" t="s">
        <v>392</v>
      </c>
      <c r="D896" s="112" t="s">
        <v>176</v>
      </c>
      <c r="E896" s="112">
        <v>1959.8</v>
      </c>
      <c r="F896" s="111" t="str">
        <f>DataPull!D896</f>
        <v/>
      </c>
      <c r="G896" s="94" t="str">
        <f t="shared" si="2"/>
        <v/>
      </c>
      <c r="H896" s="94" t="str">
        <f t="shared" si="3"/>
        <v/>
      </c>
      <c r="I896" s="94" t="str">
        <f t="shared" ref="I896:J896" si="897">if(G896 = "", , -G896)</f>
        <v/>
      </c>
      <c r="J896" s="94" t="str">
        <f t="shared" si="897"/>
        <v/>
      </c>
      <c r="K896" s="100"/>
      <c r="M896" s="100"/>
      <c r="N896" s="100"/>
      <c r="O896" s="100"/>
      <c r="P896" s="100"/>
    </row>
    <row r="897">
      <c r="A897" s="107">
        <v>201571.0</v>
      </c>
      <c r="B897" s="108" t="s">
        <v>92</v>
      </c>
      <c r="C897" s="108" t="s">
        <v>392</v>
      </c>
      <c r="D897" s="112" t="s">
        <v>177</v>
      </c>
      <c r="E897" s="112">
        <v>1178.0</v>
      </c>
      <c r="F897" s="111" t="str">
        <f>DataPull!D897</f>
        <v/>
      </c>
      <c r="G897" s="94" t="str">
        <f t="shared" si="2"/>
        <v/>
      </c>
      <c r="H897" s="94" t="str">
        <f t="shared" si="3"/>
        <v/>
      </c>
      <c r="I897" s="94" t="str">
        <f t="shared" ref="I897:J897" si="898">if(G897 = "", , -G897)</f>
        <v/>
      </c>
      <c r="J897" s="94" t="str">
        <f t="shared" si="898"/>
        <v/>
      </c>
      <c r="K897" s="100"/>
      <c r="M897" s="100"/>
      <c r="N897" s="100"/>
      <c r="O897" s="100"/>
      <c r="P897" s="100"/>
    </row>
    <row r="898">
      <c r="A898" s="107">
        <v>201571.0</v>
      </c>
      <c r="B898" s="108" t="s">
        <v>190</v>
      </c>
      <c r="C898" s="108" t="s">
        <v>392</v>
      </c>
      <c r="D898" s="112" t="s">
        <v>177</v>
      </c>
      <c r="E898" s="112">
        <v>1536.6</v>
      </c>
      <c r="F898" s="111" t="str">
        <f>DataPull!D898</f>
        <v/>
      </c>
      <c r="G898" s="94" t="str">
        <f t="shared" si="2"/>
        <v/>
      </c>
      <c r="H898" s="94" t="str">
        <f t="shared" si="3"/>
        <v/>
      </c>
      <c r="I898" s="94" t="str">
        <f t="shared" ref="I898:J898" si="899">if(G898 = "", , -G898)</f>
        <v/>
      </c>
      <c r="J898" s="94" t="str">
        <f t="shared" si="899"/>
        <v/>
      </c>
      <c r="K898" s="100"/>
      <c r="M898" s="100"/>
      <c r="N898" s="100"/>
      <c r="O898" s="100"/>
      <c r="P898" s="100"/>
    </row>
    <row r="899">
      <c r="A899" s="107">
        <v>201571.0</v>
      </c>
      <c r="B899" s="108" t="s">
        <v>191</v>
      </c>
      <c r="C899" s="108" t="s">
        <v>392</v>
      </c>
      <c r="D899" s="112" t="s">
        <v>176</v>
      </c>
      <c r="E899" s="112">
        <v>1762.5</v>
      </c>
      <c r="F899" s="111" t="str">
        <f>DataPull!D899</f>
        <v/>
      </c>
      <c r="G899" s="94" t="str">
        <f t="shared" si="2"/>
        <v/>
      </c>
      <c r="H899" s="94" t="str">
        <f t="shared" si="3"/>
        <v/>
      </c>
      <c r="I899" s="94" t="str">
        <f t="shared" ref="I899:J899" si="900">if(G899 = "", , -G899)</f>
        <v/>
      </c>
      <c r="J899" s="94" t="str">
        <f t="shared" si="900"/>
        <v/>
      </c>
      <c r="K899" s="100"/>
      <c r="M899" s="100"/>
      <c r="N899" s="100"/>
      <c r="O899" s="100"/>
      <c r="P899" s="100"/>
    </row>
    <row r="900">
      <c r="A900" s="107">
        <v>201571.0</v>
      </c>
      <c r="B900" s="108" t="s">
        <v>192</v>
      </c>
      <c r="C900" s="108" t="s">
        <v>392</v>
      </c>
      <c r="D900" s="112" t="s">
        <v>178</v>
      </c>
      <c r="E900" s="112">
        <v>2268.0</v>
      </c>
      <c r="F900" s="111" t="str">
        <f>DataPull!D900</f>
        <v/>
      </c>
      <c r="G900" s="94" t="str">
        <f t="shared" si="2"/>
        <v/>
      </c>
      <c r="H900" s="94" t="str">
        <f t="shared" si="3"/>
        <v/>
      </c>
      <c r="I900" s="94" t="str">
        <f t="shared" ref="I900:J900" si="901">if(G900 = "", , -G900)</f>
        <v/>
      </c>
      <c r="J900" s="94" t="str">
        <f t="shared" si="901"/>
        <v/>
      </c>
      <c r="K900" s="100"/>
      <c r="M900" s="100"/>
      <c r="N900" s="100"/>
      <c r="O900" s="100"/>
      <c r="P900" s="100"/>
    </row>
    <row r="901">
      <c r="A901" s="107">
        <v>201571.0</v>
      </c>
      <c r="B901" s="108" t="s">
        <v>193</v>
      </c>
      <c r="C901" s="108" t="s">
        <v>392</v>
      </c>
      <c r="D901" s="112" t="s">
        <v>176</v>
      </c>
      <c r="E901" s="112">
        <v>1419.3</v>
      </c>
      <c r="F901" s="111" t="str">
        <f>DataPull!D901</f>
        <v/>
      </c>
      <c r="G901" s="94" t="str">
        <f t="shared" si="2"/>
        <v/>
      </c>
      <c r="H901" s="94" t="str">
        <f t="shared" si="3"/>
        <v/>
      </c>
      <c r="I901" s="94" t="str">
        <f t="shared" ref="I901:J901" si="902">if(G901 = "", , -G901)</f>
        <v/>
      </c>
      <c r="J901" s="94" t="str">
        <f t="shared" si="902"/>
        <v/>
      </c>
      <c r="K901" s="100"/>
      <c r="M901" s="100"/>
      <c r="N901" s="100"/>
      <c r="O901" s="100"/>
      <c r="P901" s="100"/>
    </row>
    <row r="902">
      <c r="A902" s="107">
        <v>201571.0</v>
      </c>
      <c r="B902" s="108" t="s">
        <v>243</v>
      </c>
      <c r="C902" s="108" t="s">
        <v>392</v>
      </c>
      <c r="D902" s="112" t="s">
        <v>177</v>
      </c>
      <c r="E902" s="112">
        <v>1128.6</v>
      </c>
      <c r="F902" s="111" t="str">
        <f>DataPull!D902</f>
        <v/>
      </c>
      <c r="G902" s="94" t="str">
        <f t="shared" si="2"/>
        <v/>
      </c>
      <c r="H902" s="94" t="str">
        <f t="shared" si="3"/>
        <v/>
      </c>
      <c r="I902" s="94" t="str">
        <f t="shared" ref="I902:J902" si="903">if(G902 = "", , -G902)</f>
        <v/>
      </c>
      <c r="J902" s="94" t="str">
        <f t="shared" si="903"/>
        <v/>
      </c>
      <c r="K902" s="100"/>
      <c r="L902" s="100"/>
      <c r="M902" s="100"/>
      <c r="N902" s="100"/>
      <c r="O902" s="100"/>
      <c r="P902" s="100"/>
    </row>
    <row r="903">
      <c r="A903" s="107">
        <v>201571.0</v>
      </c>
      <c r="B903" s="108" t="s">
        <v>215</v>
      </c>
      <c r="C903" s="108" t="s">
        <v>392</v>
      </c>
      <c r="D903" s="112" t="s">
        <v>177</v>
      </c>
      <c r="E903" s="112">
        <v>885.5</v>
      </c>
      <c r="F903" s="111" t="str">
        <f>DataPull!D903</f>
        <v/>
      </c>
      <c r="G903" s="94" t="str">
        <f t="shared" si="2"/>
        <v/>
      </c>
      <c r="H903" s="94" t="str">
        <f t="shared" si="3"/>
        <v/>
      </c>
      <c r="I903" s="94" t="str">
        <f t="shared" ref="I903:J903" si="904">if(G903 = "", , -G903)</f>
        <v/>
      </c>
      <c r="J903" s="94" t="str">
        <f t="shared" si="904"/>
        <v/>
      </c>
      <c r="K903" s="100"/>
      <c r="L903" s="100"/>
      <c r="M903" s="100"/>
      <c r="N903" s="100"/>
      <c r="O903" s="100"/>
      <c r="P903" s="100"/>
    </row>
    <row r="904">
      <c r="A904" s="107">
        <v>201572.0</v>
      </c>
      <c r="B904" s="108" t="s">
        <v>85</v>
      </c>
      <c r="C904" s="108" t="s">
        <v>393</v>
      </c>
      <c r="D904" s="112" t="s">
        <v>178</v>
      </c>
      <c r="E904" s="112">
        <v>533.8</v>
      </c>
      <c r="F904" s="111" t="str">
        <f>DataPull!D904</f>
        <v/>
      </c>
      <c r="G904" s="94" t="str">
        <f t="shared" si="2"/>
        <v/>
      </c>
      <c r="H904" s="94" t="str">
        <f t="shared" si="3"/>
        <v/>
      </c>
      <c r="I904" s="94" t="str">
        <f t="shared" ref="I904:J904" si="905">if(G904 = "", , -G904)</f>
        <v/>
      </c>
      <c r="J904" s="94" t="str">
        <f t="shared" si="905"/>
        <v/>
      </c>
      <c r="K904" s="100"/>
      <c r="M904" s="100"/>
      <c r="N904" s="100"/>
      <c r="O904" s="100"/>
      <c r="P904" s="100"/>
    </row>
    <row r="905">
      <c r="A905" s="107">
        <v>201572.0</v>
      </c>
      <c r="B905" s="108" t="s">
        <v>90</v>
      </c>
      <c r="C905" s="108" t="s">
        <v>393</v>
      </c>
      <c r="D905" s="112" t="s">
        <v>178</v>
      </c>
      <c r="E905" s="112">
        <v>2102.4</v>
      </c>
      <c r="F905" s="111" t="str">
        <f>DataPull!D905</f>
        <v/>
      </c>
      <c r="G905" s="94" t="str">
        <f t="shared" si="2"/>
        <v/>
      </c>
      <c r="H905" s="94" t="str">
        <f t="shared" si="3"/>
        <v/>
      </c>
      <c r="I905" s="94" t="str">
        <f t="shared" ref="I905:J905" si="906">if(G905 = "", , -G905)</f>
        <v/>
      </c>
      <c r="J905" s="94" t="str">
        <f t="shared" si="906"/>
        <v/>
      </c>
      <c r="K905" s="100"/>
      <c r="M905" s="100"/>
      <c r="N905" s="100"/>
      <c r="O905" s="100"/>
      <c r="P905" s="100"/>
    </row>
    <row r="906">
      <c r="A906" s="107">
        <v>201572.0</v>
      </c>
      <c r="B906" s="108" t="s">
        <v>92</v>
      </c>
      <c r="C906" s="108" t="s">
        <v>393</v>
      </c>
      <c r="D906" s="112" t="s">
        <v>178</v>
      </c>
      <c r="E906" s="112">
        <v>2460.1</v>
      </c>
      <c r="F906" s="111" t="str">
        <f>DataPull!D906</f>
        <v/>
      </c>
      <c r="G906" s="94" t="str">
        <f t="shared" si="2"/>
        <v/>
      </c>
      <c r="H906" s="94" t="str">
        <f t="shared" si="3"/>
        <v/>
      </c>
      <c r="I906" s="94" t="str">
        <f t="shared" ref="I906:J906" si="907">if(G906 = "", , -G906)</f>
        <v/>
      </c>
      <c r="J906" s="94" t="str">
        <f t="shared" si="907"/>
        <v/>
      </c>
      <c r="K906" s="100"/>
      <c r="N906" s="100"/>
      <c r="O906" s="100"/>
      <c r="P906" s="100"/>
    </row>
    <row r="907">
      <c r="A907" s="107">
        <v>201572.0</v>
      </c>
      <c r="B907" s="108" t="s">
        <v>190</v>
      </c>
      <c r="C907" s="108" t="s">
        <v>393</v>
      </c>
      <c r="D907" s="112" t="s">
        <v>178</v>
      </c>
      <c r="E907" s="112">
        <v>2220.0</v>
      </c>
      <c r="F907" s="111" t="str">
        <f>DataPull!D907</f>
        <v/>
      </c>
      <c r="G907" s="94" t="str">
        <f t="shared" si="2"/>
        <v/>
      </c>
      <c r="H907" s="94" t="str">
        <f t="shared" si="3"/>
        <v/>
      </c>
      <c r="I907" s="94" t="str">
        <f t="shared" ref="I907:J907" si="908">if(G907 = "", , -G907)</f>
        <v/>
      </c>
      <c r="J907" s="94" t="str">
        <f t="shared" si="908"/>
        <v/>
      </c>
      <c r="K907" s="100"/>
      <c r="M907" s="100"/>
      <c r="N907" s="100"/>
      <c r="O907" s="100"/>
      <c r="P907" s="100"/>
    </row>
    <row r="908">
      <c r="A908" s="107">
        <v>201572.0</v>
      </c>
      <c r="B908" s="108" t="s">
        <v>191</v>
      </c>
      <c r="C908" s="108" t="s">
        <v>393</v>
      </c>
      <c r="D908" s="112" t="s">
        <v>176</v>
      </c>
      <c r="E908" s="112">
        <v>1731.6</v>
      </c>
      <c r="F908" s="111" t="str">
        <f>DataPull!D908</f>
        <v/>
      </c>
      <c r="G908" s="94" t="str">
        <f t="shared" si="2"/>
        <v/>
      </c>
      <c r="H908" s="94" t="str">
        <f t="shared" si="3"/>
        <v/>
      </c>
      <c r="I908" s="94" t="str">
        <f t="shared" ref="I908:J908" si="909">if(G908 = "", , -G908)</f>
        <v/>
      </c>
      <c r="J908" s="94" t="str">
        <f t="shared" si="909"/>
        <v/>
      </c>
      <c r="K908" s="100"/>
      <c r="N908" s="100"/>
      <c r="O908" s="100"/>
      <c r="P908" s="100"/>
    </row>
    <row r="909">
      <c r="A909" s="107">
        <v>201572.0</v>
      </c>
      <c r="B909" s="108" t="s">
        <v>192</v>
      </c>
      <c r="C909" s="108" t="s">
        <v>393</v>
      </c>
      <c r="D909" s="112" t="s">
        <v>184</v>
      </c>
      <c r="E909" s="112">
        <v>2324.7</v>
      </c>
      <c r="F909" s="111" t="str">
        <f>DataPull!D909</f>
        <v/>
      </c>
      <c r="G909" s="94" t="str">
        <f t="shared" si="2"/>
        <v/>
      </c>
      <c r="H909" s="94" t="str">
        <f t="shared" si="3"/>
        <v/>
      </c>
      <c r="I909" s="94" t="str">
        <f t="shared" ref="I909:J909" si="910">if(G909 = "", , -G909)</f>
        <v/>
      </c>
      <c r="J909" s="94" t="str">
        <f t="shared" si="910"/>
        <v/>
      </c>
      <c r="N909" s="100"/>
      <c r="O909" s="100"/>
    </row>
    <row r="910">
      <c r="A910" s="107">
        <v>201572.0</v>
      </c>
      <c r="B910" s="108" t="s">
        <v>193</v>
      </c>
      <c r="C910" s="108" t="s">
        <v>393</v>
      </c>
      <c r="D910" s="112" t="s">
        <v>184</v>
      </c>
      <c r="E910" s="112">
        <v>1815.6</v>
      </c>
      <c r="F910" s="111" t="str">
        <f>DataPull!D910</f>
        <v/>
      </c>
      <c r="G910" s="94" t="str">
        <f t="shared" si="2"/>
        <v/>
      </c>
      <c r="H910" s="94" t="str">
        <f t="shared" si="3"/>
        <v/>
      </c>
      <c r="I910" s="94" t="str">
        <f t="shared" ref="I910:J910" si="911">if(G910 = "", , -G910)</f>
        <v/>
      </c>
      <c r="J910" s="94" t="str">
        <f t="shared" si="911"/>
        <v/>
      </c>
      <c r="K910" s="100"/>
      <c r="M910" s="100"/>
      <c r="N910" s="100"/>
      <c r="O910" s="100"/>
      <c r="P910" s="100"/>
    </row>
    <row r="911">
      <c r="A911" s="107">
        <v>201572.0</v>
      </c>
      <c r="B911" s="108" t="s">
        <v>243</v>
      </c>
      <c r="C911" s="108" t="s">
        <v>393</v>
      </c>
      <c r="D911" s="112" t="s">
        <v>184</v>
      </c>
      <c r="E911" s="112">
        <v>1904.0</v>
      </c>
      <c r="F911" s="111" t="str">
        <f>DataPull!D911</f>
        <v/>
      </c>
      <c r="G911" s="94" t="str">
        <f t="shared" si="2"/>
        <v/>
      </c>
      <c r="H911" s="94" t="str">
        <f t="shared" si="3"/>
        <v/>
      </c>
      <c r="I911" s="94" t="str">
        <f t="shared" ref="I911:J911" si="912">if(G911 = "", , -G911)</f>
        <v/>
      </c>
      <c r="J911" s="94" t="str">
        <f t="shared" si="912"/>
        <v/>
      </c>
      <c r="K911" s="100"/>
      <c r="M911" s="100"/>
      <c r="N911" s="100"/>
      <c r="O911" s="100"/>
      <c r="P911" s="100"/>
    </row>
    <row r="912">
      <c r="A912" s="107">
        <v>201572.0</v>
      </c>
      <c r="B912" s="108" t="s">
        <v>215</v>
      </c>
      <c r="C912" s="108" t="s">
        <v>393</v>
      </c>
      <c r="D912" s="112" t="s">
        <v>187</v>
      </c>
      <c r="E912" s="112">
        <v>299.0</v>
      </c>
      <c r="F912" s="111" t="str">
        <f>DataPull!D912</f>
        <v/>
      </c>
      <c r="G912" s="94" t="str">
        <f t="shared" si="2"/>
        <v/>
      </c>
      <c r="H912" s="94" t="str">
        <f t="shared" si="3"/>
        <v/>
      </c>
      <c r="I912" s="94" t="str">
        <f t="shared" ref="I912:J912" si="913">if(G912 = "", , -G912)</f>
        <v/>
      </c>
      <c r="J912" s="94" t="str">
        <f t="shared" si="913"/>
        <v/>
      </c>
      <c r="K912" s="100"/>
      <c r="M912" s="100"/>
      <c r="N912" s="100"/>
      <c r="O912" s="100"/>
      <c r="P912" s="100"/>
    </row>
    <row r="913">
      <c r="A913" s="107">
        <v>201572.0</v>
      </c>
      <c r="B913" s="108" t="s">
        <v>244</v>
      </c>
      <c r="C913" s="108" t="s">
        <v>393</v>
      </c>
      <c r="D913" s="112" t="s">
        <v>184</v>
      </c>
      <c r="E913" s="112">
        <v>2371.2</v>
      </c>
      <c r="F913" s="111" t="str">
        <f>DataPull!D913</f>
        <v/>
      </c>
      <c r="G913" s="94" t="str">
        <f t="shared" si="2"/>
        <v/>
      </c>
      <c r="H913" s="94" t="str">
        <f t="shared" si="3"/>
        <v/>
      </c>
      <c r="I913" s="94" t="str">
        <f t="shared" ref="I913:J913" si="914">if(G913 = "", , -G913)</f>
        <v/>
      </c>
      <c r="J913" s="94" t="str">
        <f t="shared" si="914"/>
        <v/>
      </c>
      <c r="K913" s="100"/>
      <c r="M913" s="100"/>
      <c r="N913" s="100"/>
      <c r="O913" s="100"/>
      <c r="P913" s="100"/>
    </row>
    <row r="914">
      <c r="A914" s="107">
        <v>201572.0</v>
      </c>
      <c r="B914" s="108" t="s">
        <v>245</v>
      </c>
      <c r="C914" s="108" t="s">
        <v>393</v>
      </c>
      <c r="D914" s="112" t="s">
        <v>184</v>
      </c>
      <c r="E914" s="112">
        <v>2409.5</v>
      </c>
      <c r="F914" s="111" t="str">
        <f>DataPull!D914</f>
        <v/>
      </c>
      <c r="G914" s="94" t="str">
        <f t="shared" si="2"/>
        <v/>
      </c>
      <c r="H914" s="94" t="str">
        <f t="shared" si="3"/>
        <v/>
      </c>
      <c r="I914" s="94" t="str">
        <f t="shared" ref="I914:J914" si="915">if(G914 = "", , -G914)</f>
        <v/>
      </c>
      <c r="J914" s="94" t="str">
        <f t="shared" si="915"/>
        <v/>
      </c>
      <c r="K914" s="100"/>
      <c r="M914" s="100"/>
      <c r="N914" s="100"/>
      <c r="O914" s="100"/>
      <c r="P914" s="100"/>
    </row>
    <row r="915">
      <c r="A915" s="107">
        <v>201572.0</v>
      </c>
      <c r="B915" s="108" t="s">
        <v>246</v>
      </c>
      <c r="C915" s="108" t="s">
        <v>393</v>
      </c>
      <c r="D915" s="112" t="s">
        <v>184</v>
      </c>
      <c r="E915" s="112">
        <v>2544.0</v>
      </c>
      <c r="F915" s="111" t="str">
        <f>DataPull!D915</f>
        <v/>
      </c>
      <c r="G915" s="94" t="str">
        <f t="shared" si="2"/>
        <v/>
      </c>
      <c r="H915" s="94" t="str">
        <f t="shared" si="3"/>
        <v/>
      </c>
      <c r="I915" s="94" t="str">
        <f t="shared" ref="I915:J915" si="916">if(G915 = "", , -G915)</f>
        <v/>
      </c>
      <c r="J915" s="94" t="str">
        <f t="shared" si="916"/>
        <v/>
      </c>
      <c r="K915" s="100"/>
      <c r="M915" s="100"/>
      <c r="N915" s="100"/>
      <c r="O915" s="100"/>
      <c r="P915" s="100"/>
    </row>
    <row r="916">
      <c r="A916" s="114">
        <v>201572.0</v>
      </c>
      <c r="B916" s="113" t="s">
        <v>247</v>
      </c>
      <c r="C916" s="113" t="s">
        <v>393</v>
      </c>
      <c r="D916" s="112" t="s">
        <v>177</v>
      </c>
      <c r="E916" s="112">
        <v>1635.0</v>
      </c>
      <c r="F916" s="111" t="str">
        <f>DataPull!D916</f>
        <v/>
      </c>
      <c r="G916" s="94" t="str">
        <f t="shared" si="2"/>
        <v/>
      </c>
      <c r="H916" s="94" t="str">
        <f t="shared" si="3"/>
        <v/>
      </c>
      <c r="I916" s="94" t="str">
        <f t="shared" ref="I916:J916" si="917">if(G916 = "", , -G916)</f>
        <v/>
      </c>
      <c r="J916" s="94" t="str">
        <f t="shared" si="917"/>
        <v/>
      </c>
      <c r="K916" s="100"/>
      <c r="M916" s="100"/>
      <c r="N916" s="100"/>
      <c r="O916" s="100"/>
      <c r="P916" s="100"/>
    </row>
    <row r="917">
      <c r="A917" s="107">
        <v>201573.0</v>
      </c>
      <c r="B917" s="108" t="s">
        <v>85</v>
      </c>
      <c r="C917" s="108" t="s">
        <v>394</v>
      </c>
      <c r="D917" s="112" t="s">
        <v>176</v>
      </c>
      <c r="E917" s="112">
        <v>1684.8</v>
      </c>
      <c r="F917" s="111" t="str">
        <f>DataPull!D917</f>
        <v/>
      </c>
      <c r="G917" s="94" t="str">
        <f t="shared" si="2"/>
        <v/>
      </c>
      <c r="H917" s="94" t="str">
        <f t="shared" si="3"/>
        <v/>
      </c>
      <c r="I917" s="94" t="str">
        <f t="shared" ref="I917:J917" si="918">if(G917 = "", , -G917)</f>
        <v/>
      </c>
      <c r="J917" s="94" t="str">
        <f t="shared" si="918"/>
        <v/>
      </c>
      <c r="K917" s="100"/>
      <c r="M917" s="100"/>
      <c r="N917" s="100"/>
      <c r="O917" s="100"/>
      <c r="P917" s="100"/>
    </row>
    <row r="918">
      <c r="A918" s="107">
        <v>201573.0</v>
      </c>
      <c r="B918" s="108" t="s">
        <v>90</v>
      </c>
      <c r="C918" s="108" t="s">
        <v>394</v>
      </c>
      <c r="D918" s="112" t="s">
        <v>176</v>
      </c>
      <c r="E918" s="112">
        <v>1717.1</v>
      </c>
      <c r="F918" s="111" t="str">
        <f>DataPull!D918</f>
        <v/>
      </c>
      <c r="G918" s="94" t="str">
        <f t="shared" si="2"/>
        <v/>
      </c>
      <c r="H918" s="94" t="str">
        <f t="shared" si="3"/>
        <v/>
      </c>
      <c r="I918" s="94" t="str">
        <f t="shared" ref="I918:J918" si="919">if(G918 = "", , -G918)</f>
        <v/>
      </c>
      <c r="J918" s="94" t="str">
        <f t="shared" si="919"/>
        <v/>
      </c>
      <c r="K918" s="100"/>
      <c r="M918" s="100"/>
      <c r="N918" s="100"/>
      <c r="O918" s="100"/>
      <c r="P918" s="100"/>
    </row>
    <row r="919">
      <c r="A919" s="107">
        <v>201573.0</v>
      </c>
      <c r="B919" s="108" t="s">
        <v>92</v>
      </c>
      <c r="C919" s="108" t="s">
        <v>394</v>
      </c>
      <c r="D919" s="112" t="s">
        <v>176</v>
      </c>
      <c r="E919" s="112">
        <v>1502.8</v>
      </c>
      <c r="F919" s="111" t="str">
        <f>DataPull!D919</f>
        <v/>
      </c>
      <c r="G919" s="94" t="str">
        <f t="shared" si="2"/>
        <v/>
      </c>
      <c r="H919" s="94" t="str">
        <f t="shared" si="3"/>
        <v/>
      </c>
      <c r="I919" s="94" t="str">
        <f t="shared" ref="I919:J919" si="920">if(G919 = "", , -G919)</f>
        <v/>
      </c>
      <c r="J919" s="94" t="str">
        <f t="shared" si="920"/>
        <v/>
      </c>
      <c r="K919" s="100"/>
      <c r="M919" s="100"/>
      <c r="N919" s="100"/>
      <c r="O919" s="100"/>
      <c r="P919" s="100"/>
    </row>
    <row r="920">
      <c r="A920" s="107">
        <v>201573.0</v>
      </c>
      <c r="B920" s="108" t="s">
        <v>190</v>
      </c>
      <c r="C920" s="108" t="s">
        <v>394</v>
      </c>
      <c r="D920" s="112" t="s">
        <v>181</v>
      </c>
      <c r="E920" s="112">
        <v>71.4</v>
      </c>
      <c r="F920" s="111" t="str">
        <f>DataPull!D920</f>
        <v/>
      </c>
      <c r="G920" s="94" t="str">
        <f t="shared" si="2"/>
        <v/>
      </c>
      <c r="H920" s="94" t="str">
        <f t="shared" si="3"/>
        <v/>
      </c>
      <c r="I920" s="94" t="str">
        <f t="shared" ref="I920:J920" si="921">if(G920 = "", , -G920)</f>
        <v/>
      </c>
      <c r="J920" s="94" t="str">
        <f t="shared" si="921"/>
        <v/>
      </c>
      <c r="K920" s="100"/>
      <c r="M920" s="100"/>
      <c r="N920" s="100"/>
      <c r="O920" s="100"/>
      <c r="P920" s="100"/>
    </row>
    <row r="921">
      <c r="A921" s="107">
        <v>201573.0</v>
      </c>
      <c r="B921" s="108" t="s">
        <v>191</v>
      </c>
      <c r="C921" s="108" t="s">
        <v>394</v>
      </c>
      <c r="D921" s="112" t="s">
        <v>176</v>
      </c>
      <c r="E921" s="112">
        <v>924.3</v>
      </c>
      <c r="F921" s="111" t="str">
        <f>DataPull!D921</f>
        <v/>
      </c>
      <c r="G921" s="94" t="str">
        <f t="shared" si="2"/>
        <v/>
      </c>
      <c r="H921" s="94" t="str">
        <f t="shared" si="3"/>
        <v/>
      </c>
      <c r="I921" s="94" t="str">
        <f t="shared" ref="I921:J921" si="922">if(G921 = "", , -G921)</f>
        <v/>
      </c>
      <c r="J921" s="94" t="str">
        <f t="shared" si="922"/>
        <v/>
      </c>
      <c r="K921" s="100"/>
      <c r="M921" s="100"/>
      <c r="N921" s="100"/>
      <c r="O921" s="100"/>
      <c r="P921" s="100"/>
    </row>
    <row r="922">
      <c r="A922" s="107">
        <v>201573.0</v>
      </c>
      <c r="B922" s="108" t="s">
        <v>192</v>
      </c>
      <c r="C922" s="108" t="s">
        <v>394</v>
      </c>
      <c r="D922" s="112" t="s">
        <v>177</v>
      </c>
      <c r="E922" s="112">
        <v>656.2</v>
      </c>
      <c r="F922" s="111" t="str">
        <f>DataPull!D922</f>
        <v/>
      </c>
      <c r="G922" s="94" t="str">
        <f t="shared" si="2"/>
        <v/>
      </c>
      <c r="H922" s="94" t="str">
        <f t="shared" si="3"/>
        <v/>
      </c>
      <c r="I922" s="94" t="str">
        <f t="shared" ref="I922:J922" si="923">if(G922 = "", , -G922)</f>
        <v/>
      </c>
      <c r="J922" s="94" t="str">
        <f t="shared" si="923"/>
        <v/>
      </c>
      <c r="K922" s="100"/>
      <c r="M922" s="100"/>
      <c r="N922" s="100"/>
      <c r="O922" s="100"/>
      <c r="P922" s="100"/>
    </row>
    <row r="923">
      <c r="A923" s="107">
        <v>201574.0</v>
      </c>
      <c r="B923" s="108" t="s">
        <v>85</v>
      </c>
      <c r="C923" s="108" t="s">
        <v>395</v>
      </c>
      <c r="D923" s="112" t="s">
        <v>176</v>
      </c>
      <c r="E923" s="112">
        <v>2009.0</v>
      </c>
      <c r="F923" s="111" t="str">
        <f>DataPull!D923</f>
        <v/>
      </c>
      <c r="G923" s="94" t="str">
        <f t="shared" si="2"/>
        <v/>
      </c>
      <c r="H923" s="94" t="str">
        <f t="shared" si="3"/>
        <v/>
      </c>
      <c r="I923" s="94" t="str">
        <f t="shared" ref="I923:J923" si="924">if(G923 = "", , -G923)</f>
        <v/>
      </c>
      <c r="J923" s="94" t="str">
        <f t="shared" si="924"/>
        <v/>
      </c>
      <c r="K923" s="100"/>
      <c r="L923" s="100"/>
      <c r="M923" s="100"/>
      <c r="N923" s="100"/>
      <c r="O923" s="100"/>
      <c r="P923" s="100"/>
    </row>
    <row r="924">
      <c r="A924" s="107">
        <v>201574.0</v>
      </c>
      <c r="B924" s="108" t="s">
        <v>90</v>
      </c>
      <c r="C924" s="108" t="s">
        <v>395</v>
      </c>
      <c r="D924" s="112" t="s">
        <v>178</v>
      </c>
      <c r="E924" s="112">
        <v>1992.6</v>
      </c>
      <c r="F924" s="111" t="str">
        <f>DataPull!D924</f>
        <v/>
      </c>
      <c r="G924" s="94" t="str">
        <f t="shared" si="2"/>
        <v/>
      </c>
      <c r="H924" s="94" t="str">
        <f t="shared" si="3"/>
        <v/>
      </c>
      <c r="I924" s="94" t="str">
        <f t="shared" ref="I924:J924" si="925">if(G924 = "", , -G924)</f>
        <v/>
      </c>
      <c r="J924" s="94" t="str">
        <f t="shared" si="925"/>
        <v/>
      </c>
      <c r="K924" s="100"/>
      <c r="L924" s="100"/>
      <c r="M924" s="100"/>
      <c r="N924" s="100"/>
      <c r="O924" s="100"/>
      <c r="P924" s="100"/>
    </row>
    <row r="925">
      <c r="A925" s="107">
        <v>201574.0</v>
      </c>
      <c r="B925" s="108" t="s">
        <v>92</v>
      </c>
      <c r="C925" s="108" t="s">
        <v>395</v>
      </c>
      <c r="D925" s="112" t="s">
        <v>187</v>
      </c>
      <c r="E925" s="112">
        <v>470.0</v>
      </c>
      <c r="F925" s="111" t="str">
        <f>DataPull!D925</f>
        <v/>
      </c>
      <c r="G925" s="94" t="str">
        <f t="shared" si="2"/>
        <v/>
      </c>
      <c r="H925" s="94" t="str">
        <f t="shared" si="3"/>
        <v/>
      </c>
      <c r="I925" s="94" t="str">
        <f t="shared" ref="I925:J925" si="926">if(G925 = "", , -G925)</f>
        <v/>
      </c>
      <c r="J925" s="94" t="str">
        <f t="shared" si="926"/>
        <v/>
      </c>
      <c r="K925" s="100"/>
      <c r="M925" s="100"/>
      <c r="N925" s="100"/>
      <c r="O925" s="100"/>
      <c r="P925" s="100"/>
    </row>
    <row r="926">
      <c r="A926" s="107">
        <v>201575.0</v>
      </c>
      <c r="B926" s="108" t="s">
        <v>85</v>
      </c>
      <c r="C926" s="108" t="s">
        <v>396</v>
      </c>
      <c r="D926" s="112" t="s">
        <v>187</v>
      </c>
      <c r="E926" s="112">
        <v>418.0</v>
      </c>
      <c r="F926" s="111" t="str">
        <f>DataPull!D926</f>
        <v/>
      </c>
      <c r="G926" s="94" t="str">
        <f t="shared" si="2"/>
        <v/>
      </c>
      <c r="H926" s="94" t="str">
        <f t="shared" si="3"/>
        <v/>
      </c>
      <c r="I926" s="94" t="str">
        <f t="shared" ref="I926:J926" si="927">if(G926 = "", , -G926)</f>
        <v/>
      </c>
      <c r="J926" s="94" t="str">
        <f t="shared" si="927"/>
        <v/>
      </c>
      <c r="K926" s="100"/>
      <c r="M926" s="100"/>
      <c r="N926" s="100"/>
      <c r="O926" s="100"/>
      <c r="P926" s="100"/>
    </row>
    <row r="927">
      <c r="A927" s="107">
        <v>201575.0</v>
      </c>
      <c r="B927" s="108" t="s">
        <v>90</v>
      </c>
      <c r="C927" s="108" t="s">
        <v>396</v>
      </c>
      <c r="D927" s="112" t="s">
        <v>187</v>
      </c>
      <c r="E927" s="112">
        <v>270.6</v>
      </c>
      <c r="F927" s="111" t="str">
        <f>DataPull!D927</f>
        <v/>
      </c>
      <c r="G927" s="94" t="str">
        <f t="shared" si="2"/>
        <v/>
      </c>
      <c r="H927" s="94" t="str">
        <f t="shared" si="3"/>
        <v/>
      </c>
      <c r="I927" s="94" t="str">
        <f t="shared" ref="I927:J927" si="928">if(G927 = "", , -G927)</f>
        <v/>
      </c>
      <c r="J927" s="94" t="str">
        <f t="shared" si="928"/>
        <v/>
      </c>
      <c r="K927" s="100"/>
      <c r="M927" s="100"/>
      <c r="N927" s="100"/>
      <c r="O927" s="100"/>
      <c r="P927" s="100"/>
    </row>
    <row r="928">
      <c r="A928" s="107">
        <v>201575.0</v>
      </c>
      <c r="B928" s="108" t="s">
        <v>92</v>
      </c>
      <c r="C928" s="108" t="s">
        <v>396</v>
      </c>
      <c r="D928" s="112" t="s">
        <v>177</v>
      </c>
      <c r="E928" s="112">
        <v>1051.2</v>
      </c>
      <c r="F928" s="111" t="str">
        <f>DataPull!D928</f>
        <v/>
      </c>
      <c r="G928" s="94" t="str">
        <f t="shared" si="2"/>
        <v/>
      </c>
      <c r="H928" s="94" t="str">
        <f t="shared" si="3"/>
        <v/>
      </c>
      <c r="I928" s="94" t="str">
        <f t="shared" ref="I928:J928" si="929">if(G928 = "", , -G928)</f>
        <v/>
      </c>
      <c r="J928" s="94" t="str">
        <f t="shared" si="929"/>
        <v/>
      </c>
      <c r="K928" s="100"/>
      <c r="L928" s="100"/>
      <c r="N928" s="100"/>
      <c r="O928" s="100"/>
      <c r="P928" s="100"/>
    </row>
    <row r="929">
      <c r="A929" s="107">
        <v>201575.0</v>
      </c>
      <c r="B929" s="108" t="s">
        <v>190</v>
      </c>
      <c r="C929" s="108" t="s">
        <v>396</v>
      </c>
      <c r="D929" s="112" t="s">
        <v>176</v>
      </c>
      <c r="E929" s="112">
        <v>1029.3</v>
      </c>
      <c r="F929" s="111" t="str">
        <f>DataPull!D929</f>
        <v/>
      </c>
      <c r="G929" s="94" t="str">
        <f t="shared" si="2"/>
        <v/>
      </c>
      <c r="H929" s="94" t="str">
        <f t="shared" si="3"/>
        <v/>
      </c>
      <c r="I929" s="94" t="str">
        <f t="shared" ref="I929:J929" si="930">if(G929 = "", , -G929)</f>
        <v/>
      </c>
      <c r="J929" s="94" t="str">
        <f t="shared" si="930"/>
        <v/>
      </c>
      <c r="K929" s="100"/>
      <c r="M929" s="100"/>
      <c r="N929" s="100"/>
      <c r="O929" s="100"/>
      <c r="P929" s="100"/>
    </row>
    <row r="930">
      <c r="A930" s="107">
        <v>201576.0</v>
      </c>
      <c r="B930" s="108" t="s">
        <v>85</v>
      </c>
      <c r="C930" s="108" t="s">
        <v>397</v>
      </c>
      <c r="D930" s="112" t="s">
        <v>177</v>
      </c>
      <c r="E930" s="112">
        <v>528.9</v>
      </c>
      <c r="F930" s="111" t="str">
        <f>DataPull!D930</f>
        <v/>
      </c>
      <c r="G930" s="94" t="str">
        <f t="shared" si="2"/>
        <v/>
      </c>
      <c r="H930" s="94" t="str">
        <f t="shared" si="3"/>
        <v/>
      </c>
      <c r="I930" s="94" t="str">
        <f t="shared" ref="I930:J930" si="931">if(G930 = "", , -G930)</f>
        <v/>
      </c>
      <c r="J930" s="94" t="str">
        <f t="shared" si="931"/>
        <v/>
      </c>
      <c r="K930" s="100"/>
      <c r="M930" s="100"/>
      <c r="N930" s="100"/>
      <c r="O930" s="100"/>
    </row>
    <row r="931">
      <c r="A931" s="107">
        <v>201577.0</v>
      </c>
      <c r="B931" s="108" t="s">
        <v>85</v>
      </c>
      <c r="C931" s="108" t="s">
        <v>398</v>
      </c>
      <c r="D931" s="112" t="s">
        <v>178</v>
      </c>
      <c r="E931" s="112">
        <v>2607.6</v>
      </c>
      <c r="F931" s="111" t="str">
        <f>DataPull!D931</f>
        <v/>
      </c>
      <c r="G931" s="94" t="str">
        <f t="shared" si="2"/>
        <v/>
      </c>
      <c r="H931" s="94" t="str">
        <f t="shared" si="3"/>
        <v/>
      </c>
      <c r="I931" s="94" t="str">
        <f t="shared" ref="I931:J931" si="932">if(G931 = "", , -G931)</f>
        <v/>
      </c>
      <c r="J931" s="94" t="str">
        <f t="shared" si="932"/>
        <v/>
      </c>
      <c r="K931" s="100"/>
      <c r="N931" s="100"/>
      <c r="O931" s="100"/>
    </row>
    <row r="932">
      <c r="A932" s="107">
        <v>201577.0</v>
      </c>
      <c r="B932" s="108" t="s">
        <v>90</v>
      </c>
      <c r="C932" s="108" t="s">
        <v>398</v>
      </c>
      <c r="D932" s="112" t="s">
        <v>176</v>
      </c>
      <c r="E932" s="112">
        <v>1640.2</v>
      </c>
      <c r="F932" s="111" t="str">
        <f>DataPull!D932</f>
        <v/>
      </c>
      <c r="G932" s="94" t="str">
        <f t="shared" si="2"/>
        <v/>
      </c>
      <c r="H932" s="94" t="str">
        <f t="shared" si="3"/>
        <v/>
      </c>
      <c r="I932" s="94" t="str">
        <f t="shared" ref="I932:J932" si="933">if(G932 = "", , -G932)</f>
        <v/>
      </c>
      <c r="J932" s="94" t="str">
        <f t="shared" si="933"/>
        <v/>
      </c>
      <c r="K932" s="100"/>
      <c r="M932" s="100"/>
      <c r="N932" s="100"/>
      <c r="O932" s="100"/>
      <c r="P932" s="100"/>
    </row>
    <row r="933">
      <c r="A933" s="107">
        <v>201577.0</v>
      </c>
      <c r="B933" s="108" t="s">
        <v>92</v>
      </c>
      <c r="C933" s="108" t="s">
        <v>398</v>
      </c>
      <c r="D933" s="112" t="s">
        <v>178</v>
      </c>
      <c r="E933" s="112">
        <v>2222.2</v>
      </c>
      <c r="F933" s="111" t="str">
        <f>DataPull!D933</f>
        <v/>
      </c>
      <c r="G933" s="94" t="str">
        <f t="shared" si="2"/>
        <v/>
      </c>
      <c r="H933" s="94" t="str">
        <f t="shared" si="3"/>
        <v/>
      </c>
      <c r="I933" s="94" t="str">
        <f t="shared" ref="I933:J933" si="934">if(G933 = "", , -G933)</f>
        <v/>
      </c>
      <c r="J933" s="94" t="str">
        <f t="shared" si="934"/>
        <v/>
      </c>
      <c r="K933" s="100"/>
      <c r="M933" s="100"/>
      <c r="N933" s="100"/>
      <c r="O933" s="100"/>
    </row>
    <row r="934">
      <c r="A934" s="107">
        <v>201577.0</v>
      </c>
      <c r="B934" s="108" t="s">
        <v>190</v>
      </c>
      <c r="C934" s="108" t="s">
        <v>398</v>
      </c>
      <c r="D934" s="112" t="s">
        <v>178</v>
      </c>
      <c r="E934" s="112">
        <v>2268.0</v>
      </c>
      <c r="F934" s="111" t="str">
        <f>DataPull!D934</f>
        <v/>
      </c>
      <c r="G934" s="94" t="str">
        <f t="shared" si="2"/>
        <v/>
      </c>
      <c r="H934" s="94" t="str">
        <f t="shared" si="3"/>
        <v/>
      </c>
      <c r="I934" s="94" t="str">
        <f t="shared" ref="I934:J934" si="935">if(G934 = "", , -G934)</f>
        <v/>
      </c>
      <c r="J934" s="94" t="str">
        <f t="shared" si="935"/>
        <v/>
      </c>
      <c r="K934" s="100"/>
      <c r="M934" s="100"/>
      <c r="N934" s="100"/>
      <c r="O934" s="100"/>
      <c r="P934" s="100"/>
    </row>
    <row r="935">
      <c r="A935" s="107">
        <v>201577.0</v>
      </c>
      <c r="B935" s="108" t="s">
        <v>191</v>
      </c>
      <c r="C935" s="108" t="s">
        <v>398</v>
      </c>
      <c r="D935" s="112" t="s">
        <v>176</v>
      </c>
      <c r="E935" s="112">
        <v>1689.6</v>
      </c>
      <c r="F935" s="111" t="str">
        <f>DataPull!D935</f>
        <v/>
      </c>
      <c r="G935" s="94" t="str">
        <f t="shared" si="2"/>
        <v/>
      </c>
      <c r="H935" s="94" t="str">
        <f t="shared" si="3"/>
        <v/>
      </c>
      <c r="I935" s="94" t="str">
        <f t="shared" ref="I935:J935" si="936">if(G935 = "", , -G935)</f>
        <v/>
      </c>
      <c r="J935" s="94" t="str">
        <f t="shared" si="936"/>
        <v/>
      </c>
      <c r="K935" s="100"/>
      <c r="L935" s="100"/>
      <c r="N935" s="100"/>
      <c r="O935" s="100"/>
      <c r="P935" s="100"/>
    </row>
    <row r="936">
      <c r="A936" s="107">
        <v>201577.0</v>
      </c>
      <c r="B936" s="108" t="s">
        <v>192</v>
      </c>
      <c r="C936" s="108" t="s">
        <v>398</v>
      </c>
      <c r="D936" s="112" t="s">
        <v>176</v>
      </c>
      <c r="E936" s="112">
        <v>1605.8</v>
      </c>
      <c r="F936" s="111" t="str">
        <f>DataPull!D936</f>
        <v/>
      </c>
      <c r="G936" s="94" t="str">
        <f t="shared" si="2"/>
        <v/>
      </c>
      <c r="H936" s="94" t="str">
        <f t="shared" si="3"/>
        <v/>
      </c>
      <c r="I936" s="94" t="str">
        <f t="shared" ref="I936:J936" si="937">if(G936 = "", , -G936)</f>
        <v/>
      </c>
      <c r="J936" s="94" t="str">
        <f t="shared" si="937"/>
        <v/>
      </c>
      <c r="K936" s="100"/>
      <c r="M936" s="100"/>
      <c r="N936" s="100"/>
      <c r="O936" s="100"/>
      <c r="P936" s="100"/>
    </row>
    <row r="937">
      <c r="A937" s="107">
        <v>201577.0</v>
      </c>
      <c r="B937" s="108" t="s">
        <v>193</v>
      </c>
      <c r="C937" s="108" t="s">
        <v>398</v>
      </c>
      <c r="D937" s="112" t="s">
        <v>177</v>
      </c>
      <c r="E937" s="112">
        <v>957.0</v>
      </c>
      <c r="F937" s="111" t="str">
        <f>DataPull!D937</f>
        <v/>
      </c>
      <c r="G937" s="94" t="str">
        <f t="shared" si="2"/>
        <v/>
      </c>
      <c r="H937" s="94" t="str">
        <f t="shared" si="3"/>
        <v/>
      </c>
      <c r="I937" s="94" t="str">
        <f t="shared" ref="I937:J937" si="938">if(G937 = "", , -G937)</f>
        <v/>
      </c>
      <c r="J937" s="94" t="str">
        <f t="shared" si="938"/>
        <v/>
      </c>
      <c r="K937" s="100"/>
      <c r="M937" s="100"/>
      <c r="N937" s="100"/>
      <c r="O937" s="100"/>
      <c r="P937" s="100"/>
    </row>
    <row r="938">
      <c r="A938" s="107">
        <v>201577.0</v>
      </c>
      <c r="B938" s="108" t="s">
        <v>243</v>
      </c>
      <c r="C938" s="108" t="s">
        <v>398</v>
      </c>
      <c r="D938" s="112" t="s">
        <v>177</v>
      </c>
      <c r="E938" s="112">
        <v>1356.1</v>
      </c>
      <c r="F938" s="111" t="str">
        <f>DataPull!D938</f>
        <v/>
      </c>
      <c r="G938" s="94" t="str">
        <f t="shared" si="2"/>
        <v/>
      </c>
      <c r="H938" s="94" t="str">
        <f t="shared" si="3"/>
        <v/>
      </c>
      <c r="I938" s="94" t="str">
        <f t="shared" ref="I938:J938" si="939">if(G938 = "", , -G938)</f>
        <v/>
      </c>
      <c r="J938" s="94" t="str">
        <f t="shared" si="939"/>
        <v/>
      </c>
      <c r="K938" s="100"/>
      <c r="M938" s="100"/>
      <c r="N938" s="100"/>
      <c r="O938" s="100"/>
      <c r="P938" s="100"/>
    </row>
    <row r="939">
      <c r="A939" s="107">
        <v>201577.0</v>
      </c>
      <c r="B939" s="108" t="s">
        <v>215</v>
      </c>
      <c r="C939" s="108" t="s">
        <v>398</v>
      </c>
      <c r="D939" s="112" t="s">
        <v>177</v>
      </c>
      <c r="E939" s="112">
        <v>612.0</v>
      </c>
      <c r="F939" s="111" t="str">
        <f>DataPull!D939</f>
        <v/>
      </c>
      <c r="G939" s="94" t="str">
        <f t="shared" si="2"/>
        <v/>
      </c>
      <c r="H939" s="94" t="str">
        <f t="shared" si="3"/>
        <v/>
      </c>
      <c r="I939" s="94" t="str">
        <f t="shared" ref="I939:J939" si="940">if(G939 = "", , -G939)</f>
        <v/>
      </c>
      <c r="J939" s="94" t="str">
        <f t="shared" si="940"/>
        <v/>
      </c>
      <c r="K939" s="100"/>
      <c r="M939" s="100"/>
      <c r="N939" s="100"/>
      <c r="O939" s="100"/>
      <c r="P939" s="100"/>
    </row>
    <row r="940">
      <c r="A940" s="107">
        <v>201577.0</v>
      </c>
      <c r="B940" s="108" t="s">
        <v>244</v>
      </c>
      <c r="C940" s="108" t="s">
        <v>398</v>
      </c>
      <c r="D940" s="112" t="s">
        <v>187</v>
      </c>
      <c r="E940" s="112">
        <v>299.7</v>
      </c>
      <c r="F940" s="111" t="str">
        <f>DataPull!D940</f>
        <v/>
      </c>
      <c r="G940" s="94" t="str">
        <f t="shared" si="2"/>
        <v/>
      </c>
      <c r="H940" s="94" t="str">
        <f t="shared" si="3"/>
        <v/>
      </c>
      <c r="I940" s="94" t="str">
        <f t="shared" ref="I940:J940" si="941">if(G940 = "", , -G940)</f>
        <v/>
      </c>
      <c r="J940" s="94" t="str">
        <f t="shared" si="941"/>
        <v/>
      </c>
      <c r="K940" s="100"/>
      <c r="M940" s="100"/>
      <c r="N940" s="100"/>
      <c r="O940" s="100"/>
      <c r="P940" s="100"/>
    </row>
    <row r="941">
      <c r="A941" s="107">
        <v>201577.0</v>
      </c>
      <c r="B941" s="108" t="s">
        <v>245</v>
      </c>
      <c r="C941" s="108" t="s">
        <v>398</v>
      </c>
      <c r="D941" s="112" t="s">
        <v>187</v>
      </c>
      <c r="E941" s="112">
        <v>64.0</v>
      </c>
      <c r="F941" s="111" t="str">
        <f>DataPull!D941</f>
        <v/>
      </c>
      <c r="G941" s="94" t="str">
        <f t="shared" si="2"/>
        <v/>
      </c>
      <c r="H941" s="94" t="str">
        <f t="shared" si="3"/>
        <v/>
      </c>
      <c r="I941" s="94" t="str">
        <f t="shared" ref="I941:J941" si="942">if(G941 = "", , -G941)</f>
        <v/>
      </c>
      <c r="J941" s="94" t="str">
        <f t="shared" si="942"/>
        <v/>
      </c>
      <c r="K941" s="100"/>
      <c r="M941" s="100"/>
      <c r="N941" s="100"/>
      <c r="O941" s="100"/>
      <c r="P941" s="100"/>
    </row>
    <row r="942">
      <c r="A942" s="107">
        <v>201578.0</v>
      </c>
      <c r="B942" s="108" t="s">
        <v>85</v>
      </c>
      <c r="C942" s="108" t="s">
        <v>399</v>
      </c>
      <c r="D942" s="112" t="s">
        <v>187</v>
      </c>
      <c r="E942" s="112">
        <v>979.6</v>
      </c>
      <c r="F942" s="111" t="str">
        <f>DataPull!D942</f>
        <v/>
      </c>
      <c r="G942" s="94" t="str">
        <f t="shared" si="2"/>
        <v/>
      </c>
      <c r="H942" s="94" t="str">
        <f t="shared" si="3"/>
        <v/>
      </c>
      <c r="I942" s="94" t="str">
        <f t="shared" ref="I942:J942" si="943">if(G942 = "", , -G942)</f>
        <v/>
      </c>
      <c r="J942" s="94" t="str">
        <f t="shared" si="943"/>
        <v/>
      </c>
      <c r="K942" s="100"/>
      <c r="L942" s="100"/>
      <c r="M942" s="100"/>
      <c r="N942" s="100"/>
      <c r="O942" s="100"/>
      <c r="P942" s="100"/>
    </row>
    <row r="943">
      <c r="A943" s="107">
        <v>201578.0</v>
      </c>
      <c r="B943" s="108" t="s">
        <v>90</v>
      </c>
      <c r="C943" s="108" t="s">
        <v>399</v>
      </c>
      <c r="D943" s="112" t="s">
        <v>177</v>
      </c>
      <c r="E943" s="112">
        <v>1208.4</v>
      </c>
      <c r="F943" s="111" t="str">
        <f>DataPull!D943</f>
        <v/>
      </c>
      <c r="G943" s="94" t="str">
        <f t="shared" si="2"/>
        <v/>
      </c>
      <c r="H943" s="94" t="str">
        <f t="shared" si="3"/>
        <v/>
      </c>
      <c r="I943" s="94" t="str">
        <f t="shared" ref="I943:J943" si="944">if(G943 = "", , -G943)</f>
        <v/>
      </c>
      <c r="J943" s="94" t="str">
        <f t="shared" si="944"/>
        <v/>
      </c>
      <c r="K943" s="100"/>
      <c r="L943" s="100"/>
      <c r="N943" s="100"/>
      <c r="O943" s="100"/>
      <c r="P943" s="100"/>
    </row>
    <row r="944">
      <c r="A944" s="107">
        <v>201578.0</v>
      </c>
      <c r="B944" s="108" t="s">
        <v>92</v>
      </c>
      <c r="C944" s="108" t="s">
        <v>399</v>
      </c>
      <c r="D944" s="112" t="s">
        <v>187</v>
      </c>
      <c r="E944" s="112">
        <v>835.2</v>
      </c>
      <c r="F944" s="111" t="str">
        <f>DataPull!D944</f>
        <v/>
      </c>
      <c r="G944" s="94" t="str">
        <f t="shared" si="2"/>
        <v/>
      </c>
      <c r="H944" s="94" t="str">
        <f t="shared" si="3"/>
        <v/>
      </c>
      <c r="I944" s="94" t="str">
        <f t="shared" ref="I944:J944" si="945">if(G944 = "", , -G944)</f>
        <v/>
      </c>
      <c r="J944" s="94" t="str">
        <f t="shared" si="945"/>
        <v/>
      </c>
      <c r="K944" s="100"/>
      <c r="N944" s="100"/>
      <c r="O944" s="100"/>
      <c r="P944" s="100"/>
    </row>
    <row r="945">
      <c r="A945" s="107">
        <v>201578.0</v>
      </c>
      <c r="B945" s="108" t="s">
        <v>190</v>
      </c>
      <c r="C945" s="108" t="s">
        <v>399</v>
      </c>
      <c r="D945" s="112" t="s">
        <v>177</v>
      </c>
      <c r="E945" s="112">
        <v>1287.4</v>
      </c>
      <c r="F945" s="111" t="str">
        <f>DataPull!D945</f>
        <v/>
      </c>
      <c r="G945" s="94" t="str">
        <f t="shared" si="2"/>
        <v/>
      </c>
      <c r="H945" s="94" t="str">
        <f t="shared" si="3"/>
        <v/>
      </c>
      <c r="I945" s="94" t="str">
        <f t="shared" ref="I945:J945" si="946">if(G945 = "", , -G945)</f>
        <v/>
      </c>
      <c r="J945" s="94" t="str">
        <f t="shared" si="946"/>
        <v/>
      </c>
      <c r="K945" s="100"/>
      <c r="M945" s="100"/>
      <c r="N945" s="100"/>
      <c r="O945" s="100"/>
      <c r="P945" s="100"/>
    </row>
    <row r="946">
      <c r="A946" s="107">
        <v>201578.0</v>
      </c>
      <c r="B946" s="108" t="s">
        <v>191</v>
      </c>
      <c r="C946" s="108" t="s">
        <v>399</v>
      </c>
      <c r="D946" s="112" t="s">
        <v>177</v>
      </c>
      <c r="E946" s="112">
        <v>676.0</v>
      </c>
      <c r="F946" s="111" t="str">
        <f>DataPull!D946</f>
        <v/>
      </c>
      <c r="G946" s="94" t="str">
        <f t="shared" si="2"/>
        <v/>
      </c>
      <c r="H946" s="94" t="str">
        <f t="shared" si="3"/>
        <v/>
      </c>
      <c r="I946" s="94" t="str">
        <f t="shared" ref="I946:J946" si="947">if(G946 = "", , -G946)</f>
        <v/>
      </c>
      <c r="J946" s="94" t="str">
        <f t="shared" si="947"/>
        <v/>
      </c>
      <c r="K946" s="100"/>
      <c r="L946" s="100"/>
      <c r="M946" s="100"/>
      <c r="N946" s="100"/>
      <c r="O946" s="100"/>
      <c r="P946" s="100"/>
    </row>
    <row r="947">
      <c r="A947" s="107">
        <v>201579.0</v>
      </c>
      <c r="B947" s="108" t="s">
        <v>85</v>
      </c>
      <c r="C947" s="108" t="s">
        <v>400</v>
      </c>
      <c r="D947" s="112" t="s">
        <v>178</v>
      </c>
      <c r="E947" s="112">
        <v>2405.7</v>
      </c>
      <c r="F947" s="111" t="str">
        <f>DataPull!D947</f>
        <v/>
      </c>
      <c r="G947" s="94" t="str">
        <f t="shared" si="2"/>
        <v/>
      </c>
      <c r="H947" s="94" t="str">
        <f t="shared" si="3"/>
        <v/>
      </c>
      <c r="I947" s="94" t="str">
        <f t="shared" ref="I947:J947" si="948">if(G947 = "", , -G947)</f>
        <v/>
      </c>
      <c r="J947" s="94" t="str">
        <f t="shared" si="948"/>
        <v/>
      </c>
      <c r="K947" s="100"/>
      <c r="M947" s="100"/>
      <c r="N947" s="100"/>
      <c r="O947" s="100"/>
      <c r="P947" s="100"/>
    </row>
    <row r="948">
      <c r="A948" s="107">
        <v>201579.0</v>
      </c>
      <c r="B948" s="108" t="s">
        <v>90</v>
      </c>
      <c r="C948" s="108" t="s">
        <v>400</v>
      </c>
      <c r="D948" s="112" t="s">
        <v>176</v>
      </c>
      <c r="E948" s="112">
        <v>1922.8</v>
      </c>
      <c r="F948" s="111" t="str">
        <f>DataPull!D948</f>
        <v/>
      </c>
      <c r="G948" s="94" t="str">
        <f t="shared" si="2"/>
        <v/>
      </c>
      <c r="H948" s="94" t="str">
        <f t="shared" si="3"/>
        <v/>
      </c>
      <c r="I948" s="94" t="str">
        <f t="shared" ref="I948:J948" si="949">if(G948 = "", , -G948)</f>
        <v/>
      </c>
      <c r="J948" s="94" t="str">
        <f t="shared" si="949"/>
        <v/>
      </c>
      <c r="K948" s="100"/>
      <c r="N948" s="100"/>
      <c r="O948" s="100"/>
      <c r="P948" s="100"/>
    </row>
    <row r="949">
      <c r="A949" s="107">
        <v>201579.0</v>
      </c>
      <c r="B949" s="108" t="s">
        <v>92</v>
      </c>
      <c r="C949" s="108" t="s">
        <v>400</v>
      </c>
      <c r="D949" s="112" t="s">
        <v>176</v>
      </c>
      <c r="E949" s="112">
        <v>1879.2</v>
      </c>
      <c r="F949" s="111" t="str">
        <f>DataPull!D949</f>
        <v/>
      </c>
      <c r="G949" s="94" t="str">
        <f t="shared" si="2"/>
        <v/>
      </c>
      <c r="H949" s="94" t="str">
        <f t="shared" si="3"/>
        <v/>
      </c>
      <c r="I949" s="94" t="str">
        <f t="shared" ref="I949:J949" si="950">if(G949 = "", , -G949)</f>
        <v/>
      </c>
      <c r="J949" s="94" t="str">
        <f t="shared" si="950"/>
        <v/>
      </c>
      <c r="K949" s="100"/>
      <c r="M949" s="100"/>
      <c r="N949" s="100"/>
      <c r="O949" s="100"/>
      <c r="P949" s="100"/>
    </row>
    <row r="950">
      <c r="A950" s="107">
        <v>201579.0</v>
      </c>
      <c r="B950" s="108" t="s">
        <v>190</v>
      </c>
      <c r="C950" s="108" t="s">
        <v>400</v>
      </c>
      <c r="D950" s="112" t="s">
        <v>177</v>
      </c>
      <c r="E950" s="112">
        <v>681.6</v>
      </c>
      <c r="F950" s="111" t="str">
        <f>DataPull!D950</f>
        <v/>
      </c>
      <c r="G950" s="94" t="str">
        <f t="shared" si="2"/>
        <v/>
      </c>
      <c r="H950" s="94" t="str">
        <f t="shared" si="3"/>
        <v/>
      </c>
      <c r="I950" s="94" t="str">
        <f t="shared" ref="I950:J950" si="951">if(G950 = "", , -G950)</f>
        <v/>
      </c>
      <c r="J950" s="94" t="str">
        <f t="shared" si="951"/>
        <v/>
      </c>
      <c r="K950" s="100"/>
      <c r="N950" s="100"/>
      <c r="O950" s="100"/>
    </row>
    <row r="951">
      <c r="A951" s="107">
        <v>201580.0</v>
      </c>
      <c r="B951" s="108" t="s">
        <v>85</v>
      </c>
      <c r="C951" s="108" t="s">
        <v>401</v>
      </c>
      <c r="D951" s="112" t="s">
        <v>181</v>
      </c>
      <c r="E951" s="112">
        <v>79.5</v>
      </c>
      <c r="F951" s="111" t="str">
        <f>DataPull!D951</f>
        <v/>
      </c>
      <c r="G951" s="94" t="str">
        <f t="shared" si="2"/>
        <v/>
      </c>
      <c r="H951" s="94" t="str">
        <f t="shared" si="3"/>
        <v/>
      </c>
      <c r="I951" s="94" t="str">
        <f t="shared" ref="I951:J951" si="952">if(G951 = "", , -G951)</f>
        <v/>
      </c>
      <c r="J951" s="94" t="str">
        <f t="shared" si="952"/>
        <v/>
      </c>
      <c r="K951" s="100"/>
      <c r="M951" s="100"/>
      <c r="N951" s="100"/>
      <c r="O951" s="100"/>
      <c r="P951" s="100"/>
    </row>
    <row r="952">
      <c r="A952" s="107">
        <v>201580.0</v>
      </c>
      <c r="B952" s="108" t="s">
        <v>90</v>
      </c>
      <c r="C952" s="108" t="s">
        <v>401</v>
      </c>
      <c r="D952" s="112" t="s">
        <v>187</v>
      </c>
      <c r="E952" s="112">
        <v>255.3</v>
      </c>
      <c r="F952" s="111" t="str">
        <f>DataPull!D952</f>
        <v/>
      </c>
      <c r="G952" s="94" t="str">
        <f t="shared" si="2"/>
        <v/>
      </c>
      <c r="H952" s="94" t="str">
        <f t="shared" si="3"/>
        <v/>
      </c>
      <c r="I952" s="94" t="str">
        <f t="shared" ref="I952:J952" si="953">if(G952 = "", , -G952)</f>
        <v/>
      </c>
      <c r="J952" s="94" t="str">
        <f t="shared" si="953"/>
        <v/>
      </c>
      <c r="K952" s="100"/>
      <c r="M952" s="100"/>
      <c r="N952" s="100"/>
      <c r="O952" s="100"/>
      <c r="P952" s="100"/>
    </row>
    <row r="953">
      <c r="A953" s="107">
        <v>201580.0</v>
      </c>
      <c r="B953" s="108" t="s">
        <v>92</v>
      </c>
      <c r="C953" s="108" t="s">
        <v>401</v>
      </c>
      <c r="D953" s="112" t="s">
        <v>177</v>
      </c>
      <c r="E953" s="112">
        <v>370.6</v>
      </c>
      <c r="F953" s="111" t="str">
        <f>DataPull!D953</f>
        <v/>
      </c>
      <c r="G953" s="94" t="str">
        <f t="shared" si="2"/>
        <v/>
      </c>
      <c r="H953" s="94" t="str">
        <f t="shared" si="3"/>
        <v/>
      </c>
      <c r="I953" s="94" t="str">
        <f t="shared" ref="I953:J953" si="954">if(G953 = "", , -G953)</f>
        <v/>
      </c>
      <c r="J953" s="94" t="str">
        <f t="shared" si="954"/>
        <v/>
      </c>
      <c r="K953" s="100"/>
      <c r="M953" s="100"/>
      <c r="N953" s="100"/>
      <c r="O953" s="100"/>
      <c r="P953" s="100"/>
    </row>
    <row r="954">
      <c r="A954" s="107">
        <v>201580.0</v>
      </c>
      <c r="B954" s="108" t="s">
        <v>190</v>
      </c>
      <c r="C954" s="108" t="s">
        <v>401</v>
      </c>
      <c r="D954" s="112" t="s">
        <v>187</v>
      </c>
      <c r="E954" s="112">
        <v>739.2</v>
      </c>
      <c r="F954" s="111" t="str">
        <f>DataPull!D954</f>
        <v/>
      </c>
      <c r="G954" s="94" t="str">
        <f t="shared" si="2"/>
        <v/>
      </c>
      <c r="H954" s="94" t="str">
        <f t="shared" si="3"/>
        <v/>
      </c>
      <c r="I954" s="94" t="str">
        <f t="shared" ref="I954:J954" si="955">if(G954 = "", , -G954)</f>
        <v/>
      </c>
      <c r="J954" s="94" t="str">
        <f t="shared" si="955"/>
        <v/>
      </c>
      <c r="K954" s="100"/>
      <c r="M954" s="100"/>
      <c r="N954" s="100"/>
      <c r="O954" s="100"/>
      <c r="P954" s="100"/>
    </row>
    <row r="955">
      <c r="A955" s="107">
        <v>201580.0</v>
      </c>
      <c r="B955" s="108" t="s">
        <v>191</v>
      </c>
      <c r="C955" s="108" t="s">
        <v>401</v>
      </c>
      <c r="D955" s="112" t="s">
        <v>187</v>
      </c>
      <c r="E955" s="112">
        <v>617.5</v>
      </c>
      <c r="F955" s="111" t="str">
        <f>DataPull!D955</f>
        <v/>
      </c>
      <c r="G955" s="94" t="str">
        <f t="shared" si="2"/>
        <v/>
      </c>
      <c r="H955" s="94" t="str">
        <f t="shared" si="3"/>
        <v/>
      </c>
      <c r="I955" s="94" t="str">
        <f t="shared" ref="I955:J955" si="956">if(G955 = "", , -G955)</f>
        <v/>
      </c>
      <c r="J955" s="94" t="str">
        <f t="shared" si="956"/>
        <v/>
      </c>
      <c r="K955" s="100"/>
      <c r="M955" s="100"/>
      <c r="N955" s="100"/>
      <c r="O955" s="100"/>
      <c r="P955" s="100"/>
    </row>
    <row r="956">
      <c r="A956" s="107">
        <v>201580.0</v>
      </c>
      <c r="B956" s="108" t="s">
        <v>192</v>
      </c>
      <c r="C956" s="108" t="s">
        <v>401</v>
      </c>
      <c r="D956" s="112" t="s">
        <v>176</v>
      </c>
      <c r="E956" s="112">
        <v>1672.5</v>
      </c>
      <c r="F956" s="111" t="str">
        <f>DataPull!D956</f>
        <v/>
      </c>
      <c r="G956" s="94" t="str">
        <f t="shared" si="2"/>
        <v/>
      </c>
      <c r="H956" s="94" t="str">
        <f t="shared" si="3"/>
        <v/>
      </c>
      <c r="I956" s="94" t="str">
        <f t="shared" ref="I956:J956" si="957">if(G956 = "", , -G956)</f>
        <v/>
      </c>
      <c r="J956" s="94" t="str">
        <f t="shared" si="957"/>
        <v/>
      </c>
      <c r="K956" s="100"/>
      <c r="M956" s="100"/>
      <c r="N956" s="100"/>
      <c r="O956" s="100"/>
      <c r="P956" s="100"/>
    </row>
    <row r="957">
      <c r="A957" s="107">
        <v>201580.0</v>
      </c>
      <c r="B957" s="108" t="s">
        <v>193</v>
      </c>
      <c r="C957" s="108" t="s">
        <v>401</v>
      </c>
      <c r="D957" s="112" t="s">
        <v>177</v>
      </c>
      <c r="E957" s="112">
        <v>1128.8</v>
      </c>
      <c r="F957" s="111" t="str">
        <f>DataPull!D957</f>
        <v/>
      </c>
      <c r="G957" s="94" t="str">
        <f t="shared" si="2"/>
        <v/>
      </c>
      <c r="H957" s="94" t="str">
        <f t="shared" si="3"/>
        <v/>
      </c>
      <c r="I957" s="94" t="str">
        <f t="shared" ref="I957:J957" si="958">if(G957 = "", , -G957)</f>
        <v/>
      </c>
      <c r="J957" s="94" t="str">
        <f t="shared" si="958"/>
        <v/>
      </c>
      <c r="K957" s="100"/>
      <c r="M957" s="100"/>
      <c r="N957" s="100"/>
      <c r="O957" s="100"/>
      <c r="P957" s="100"/>
    </row>
    <row r="958">
      <c r="A958" s="107">
        <v>201580.0</v>
      </c>
      <c r="B958" s="108" t="s">
        <v>243</v>
      </c>
      <c r="C958" s="108" t="s">
        <v>401</v>
      </c>
      <c r="D958" s="112" t="s">
        <v>177</v>
      </c>
      <c r="E958" s="112">
        <v>676.2</v>
      </c>
      <c r="F958" s="111" t="str">
        <f>DataPull!D958</f>
        <v/>
      </c>
      <c r="G958" s="94" t="str">
        <f t="shared" si="2"/>
        <v/>
      </c>
      <c r="H958" s="94" t="str">
        <f t="shared" si="3"/>
        <v/>
      </c>
      <c r="I958" s="94" t="str">
        <f t="shared" ref="I958:J958" si="959">if(G958 = "", , -G958)</f>
        <v/>
      </c>
      <c r="J958" s="94" t="str">
        <f t="shared" si="959"/>
        <v/>
      </c>
      <c r="K958" s="100"/>
      <c r="L958" s="100"/>
      <c r="N958" s="100"/>
      <c r="O958" s="100"/>
    </row>
    <row r="959">
      <c r="A959" s="107">
        <v>201580.0</v>
      </c>
      <c r="B959" s="108" t="s">
        <v>215</v>
      </c>
      <c r="C959" s="108" t="s">
        <v>401</v>
      </c>
      <c r="D959" s="112" t="s">
        <v>177</v>
      </c>
      <c r="E959" s="112">
        <v>1169.2</v>
      </c>
      <c r="F959" s="111" t="str">
        <f>DataPull!D959</f>
        <v/>
      </c>
      <c r="G959" s="94" t="str">
        <f t="shared" si="2"/>
        <v/>
      </c>
      <c r="H959" s="94" t="str">
        <f t="shared" si="3"/>
        <v/>
      </c>
      <c r="I959" s="94" t="str">
        <f t="shared" ref="I959:J959" si="960">if(G959 = "", , -G959)</f>
        <v/>
      </c>
      <c r="J959" s="94" t="str">
        <f t="shared" si="960"/>
        <v/>
      </c>
      <c r="K959" s="100"/>
      <c r="M959" s="100"/>
      <c r="N959" s="100"/>
      <c r="O959" s="100"/>
      <c r="P959" s="100"/>
    </row>
    <row r="960">
      <c r="A960" s="107">
        <v>201580.0</v>
      </c>
      <c r="B960" s="108" t="s">
        <v>244</v>
      </c>
      <c r="C960" s="108" t="s">
        <v>401</v>
      </c>
      <c r="D960" s="112" t="s">
        <v>187</v>
      </c>
      <c r="E960" s="112">
        <v>352.8</v>
      </c>
      <c r="F960" s="111" t="str">
        <f>DataPull!D960</f>
        <v/>
      </c>
      <c r="G960" s="94" t="str">
        <f t="shared" si="2"/>
        <v/>
      </c>
      <c r="H960" s="94" t="str">
        <f t="shared" si="3"/>
        <v/>
      </c>
      <c r="I960" s="94" t="str">
        <f t="shared" ref="I960:J960" si="961">if(G960 = "", , -G960)</f>
        <v/>
      </c>
      <c r="J960" s="94" t="str">
        <f t="shared" si="961"/>
        <v/>
      </c>
      <c r="K960" s="100"/>
      <c r="L960" s="100"/>
      <c r="M960" s="100"/>
      <c r="N960" s="100"/>
      <c r="O960" s="100"/>
      <c r="P960" s="100"/>
    </row>
    <row r="961">
      <c r="A961" s="107">
        <v>201580.0</v>
      </c>
      <c r="B961" s="108" t="s">
        <v>245</v>
      </c>
      <c r="C961" s="108" t="s">
        <v>401</v>
      </c>
      <c r="D961" s="112" t="s">
        <v>187</v>
      </c>
      <c r="E961" s="112">
        <v>340.4</v>
      </c>
      <c r="F961" s="111" t="str">
        <f>DataPull!D961</f>
        <v/>
      </c>
      <c r="G961" s="94" t="str">
        <f t="shared" si="2"/>
        <v/>
      </c>
      <c r="H961" s="94" t="str">
        <f t="shared" si="3"/>
        <v/>
      </c>
      <c r="I961" s="94" t="str">
        <f t="shared" ref="I961:J961" si="962">if(G961 = "", , -G961)</f>
        <v/>
      </c>
      <c r="J961" s="94" t="str">
        <f t="shared" si="962"/>
        <v/>
      </c>
      <c r="K961" s="100"/>
      <c r="L961" s="100"/>
      <c r="N961" s="100"/>
      <c r="O961" s="100"/>
      <c r="P961" s="100"/>
    </row>
    <row r="962">
      <c r="A962" s="107">
        <v>201581.0</v>
      </c>
      <c r="B962" s="108" t="s">
        <v>85</v>
      </c>
      <c r="C962" s="108" t="s">
        <v>402</v>
      </c>
      <c r="D962" s="112" t="s">
        <v>176</v>
      </c>
      <c r="E962" s="112">
        <v>1856.1</v>
      </c>
      <c r="F962" s="111" t="str">
        <f>DataPull!D962</f>
        <v/>
      </c>
      <c r="G962" s="94" t="str">
        <f t="shared" si="2"/>
        <v/>
      </c>
      <c r="H962" s="94" t="str">
        <f t="shared" si="3"/>
        <v/>
      </c>
      <c r="I962" s="94" t="str">
        <f t="shared" ref="I962:J962" si="963">if(G962 = "", , -G962)</f>
        <v/>
      </c>
      <c r="J962" s="94" t="str">
        <f t="shared" si="963"/>
        <v/>
      </c>
      <c r="K962" s="100"/>
      <c r="M962" s="100"/>
      <c r="N962" s="100"/>
      <c r="O962" s="100"/>
      <c r="P962" s="100"/>
    </row>
    <row r="963">
      <c r="A963" s="107">
        <v>201581.0</v>
      </c>
      <c r="B963" s="108" t="s">
        <v>90</v>
      </c>
      <c r="C963" s="108" t="s">
        <v>402</v>
      </c>
      <c r="D963" s="112" t="s">
        <v>177</v>
      </c>
      <c r="E963" s="112">
        <v>1408.9</v>
      </c>
      <c r="F963" s="111" t="str">
        <f>DataPull!D963</f>
        <v/>
      </c>
      <c r="G963" s="94" t="str">
        <f t="shared" si="2"/>
        <v/>
      </c>
      <c r="H963" s="94" t="str">
        <f t="shared" si="3"/>
        <v/>
      </c>
      <c r="I963" s="94" t="str">
        <f t="shared" ref="I963:J963" si="964">if(G963 = "", , -G963)</f>
        <v/>
      </c>
      <c r="J963" s="94" t="str">
        <f t="shared" si="964"/>
        <v/>
      </c>
      <c r="K963" s="100"/>
      <c r="L963" s="100"/>
      <c r="M963" s="100"/>
      <c r="N963" s="100"/>
      <c r="O963" s="100"/>
      <c r="P963" s="100"/>
    </row>
    <row r="964">
      <c r="A964" s="107">
        <v>201581.0</v>
      </c>
      <c r="B964" s="108" t="s">
        <v>92</v>
      </c>
      <c r="C964" s="108" t="s">
        <v>402</v>
      </c>
      <c r="D964" s="112" t="s">
        <v>177</v>
      </c>
      <c r="E964" s="112">
        <v>437.5</v>
      </c>
      <c r="F964" s="111" t="str">
        <f>DataPull!D964</f>
        <v/>
      </c>
      <c r="G964" s="94" t="str">
        <f t="shared" si="2"/>
        <v/>
      </c>
      <c r="H964" s="94" t="str">
        <f t="shared" si="3"/>
        <v/>
      </c>
      <c r="I964" s="94" t="str">
        <f t="shared" ref="I964:J964" si="965">if(G964 = "", , -G964)</f>
        <v/>
      </c>
      <c r="J964" s="94" t="str">
        <f t="shared" si="965"/>
        <v/>
      </c>
      <c r="K964" s="100"/>
      <c r="M964" s="100"/>
      <c r="N964" s="100"/>
      <c r="O964" s="100"/>
      <c r="P964" s="100"/>
    </row>
    <row r="965">
      <c r="A965" s="107">
        <v>201582.0</v>
      </c>
      <c r="B965" s="108" t="s">
        <v>85</v>
      </c>
      <c r="C965" s="108" t="s">
        <v>403</v>
      </c>
      <c r="D965" s="112" t="s">
        <v>177</v>
      </c>
      <c r="E965" s="112">
        <v>952.0</v>
      </c>
      <c r="F965" s="111" t="str">
        <f>DataPull!D965</f>
        <v/>
      </c>
      <c r="G965" s="94" t="str">
        <f t="shared" si="2"/>
        <v/>
      </c>
      <c r="H965" s="94" t="str">
        <f t="shared" si="3"/>
        <v/>
      </c>
      <c r="I965" s="94" t="str">
        <f t="shared" ref="I965:J965" si="966">if(G965 = "", , -G965)</f>
        <v/>
      </c>
      <c r="J965" s="94" t="str">
        <f t="shared" si="966"/>
        <v/>
      </c>
      <c r="K965" s="100"/>
      <c r="M965" s="100"/>
      <c r="N965" s="100"/>
      <c r="O965" s="100"/>
      <c r="P965" s="100"/>
    </row>
    <row r="966">
      <c r="A966" s="107">
        <v>201582.0</v>
      </c>
      <c r="B966" s="108" t="s">
        <v>90</v>
      </c>
      <c r="C966" s="108" t="s">
        <v>403</v>
      </c>
      <c r="D966" s="112" t="s">
        <v>177</v>
      </c>
      <c r="E966" s="112">
        <v>958.8</v>
      </c>
      <c r="F966" s="111" t="str">
        <f>DataPull!D966</f>
        <v/>
      </c>
      <c r="G966" s="94" t="str">
        <f t="shared" si="2"/>
        <v/>
      </c>
      <c r="H966" s="94" t="str">
        <f t="shared" si="3"/>
        <v/>
      </c>
      <c r="I966" s="94" t="str">
        <f t="shared" ref="I966:J966" si="967">if(G966 = "", , -G966)</f>
        <v/>
      </c>
      <c r="J966" s="94" t="str">
        <f t="shared" si="967"/>
        <v/>
      </c>
      <c r="K966" s="100"/>
      <c r="M966" s="100"/>
      <c r="N966" s="100"/>
      <c r="O966" s="100"/>
      <c r="P966" s="100"/>
    </row>
    <row r="967">
      <c r="A967" s="107">
        <v>201582.0</v>
      </c>
      <c r="B967" s="108" t="s">
        <v>92</v>
      </c>
      <c r="C967" s="108" t="s">
        <v>403</v>
      </c>
      <c r="D967" s="112" t="s">
        <v>177</v>
      </c>
      <c r="E967" s="112">
        <v>861.4</v>
      </c>
      <c r="F967" s="111" t="str">
        <f>DataPull!D967</f>
        <v/>
      </c>
      <c r="G967" s="94" t="str">
        <f t="shared" si="2"/>
        <v/>
      </c>
      <c r="H967" s="94" t="str">
        <f t="shared" si="3"/>
        <v/>
      </c>
      <c r="I967" s="94" t="str">
        <f t="shared" ref="I967:J967" si="968">if(G967 = "", , -G967)</f>
        <v/>
      </c>
      <c r="J967" s="94" t="str">
        <f t="shared" si="968"/>
        <v/>
      </c>
      <c r="K967" s="100"/>
      <c r="L967" s="100"/>
      <c r="N967" s="100"/>
      <c r="O967" s="100"/>
      <c r="P967" s="100"/>
    </row>
    <row r="968">
      <c r="A968" s="107">
        <v>201582.0</v>
      </c>
      <c r="B968" s="108" t="s">
        <v>190</v>
      </c>
      <c r="C968" s="108" t="s">
        <v>403</v>
      </c>
      <c r="D968" s="112" t="s">
        <v>177</v>
      </c>
      <c r="E968" s="112">
        <v>585.0</v>
      </c>
      <c r="F968" s="111" t="str">
        <f>DataPull!D968</f>
        <v/>
      </c>
      <c r="G968" s="94" t="str">
        <f t="shared" si="2"/>
        <v/>
      </c>
      <c r="H968" s="94" t="str">
        <f t="shared" si="3"/>
        <v/>
      </c>
      <c r="I968" s="94" t="str">
        <f t="shared" ref="I968:J968" si="969">if(G968 = "", , -G968)</f>
        <v/>
      </c>
      <c r="J968" s="94" t="str">
        <f t="shared" si="969"/>
        <v/>
      </c>
      <c r="K968" s="100"/>
      <c r="M968" s="100"/>
      <c r="N968" s="100"/>
      <c r="O968" s="100"/>
      <c r="P968" s="100"/>
    </row>
    <row r="969">
      <c r="A969" s="107">
        <v>201583.0</v>
      </c>
      <c r="B969" s="108" t="s">
        <v>85</v>
      </c>
      <c r="C969" s="108" t="s">
        <v>404</v>
      </c>
      <c r="D969" s="112" t="s">
        <v>178</v>
      </c>
      <c r="E969" s="112">
        <v>794.2</v>
      </c>
      <c r="F969" s="111" t="str">
        <f>DataPull!D969</f>
        <v/>
      </c>
      <c r="G969" s="94" t="str">
        <f t="shared" si="2"/>
        <v/>
      </c>
      <c r="H969" s="94" t="str">
        <f t="shared" si="3"/>
        <v/>
      </c>
      <c r="I969" s="94" t="str">
        <f t="shared" ref="I969:J969" si="970">if(G969 = "", , -G969)</f>
        <v/>
      </c>
      <c r="J969" s="94" t="str">
        <f t="shared" si="970"/>
        <v/>
      </c>
      <c r="K969" s="100"/>
      <c r="M969" s="100"/>
      <c r="N969" s="100"/>
      <c r="O969" s="100"/>
      <c r="P969" s="100"/>
    </row>
    <row r="970">
      <c r="A970" s="107">
        <v>201583.0</v>
      </c>
      <c r="B970" s="108" t="s">
        <v>90</v>
      </c>
      <c r="C970" s="108" t="s">
        <v>404</v>
      </c>
      <c r="D970" s="112" t="s">
        <v>176</v>
      </c>
      <c r="E970" s="112">
        <v>1677.5</v>
      </c>
      <c r="F970" s="111" t="str">
        <f>DataPull!D970</f>
        <v/>
      </c>
      <c r="G970" s="94" t="str">
        <f t="shared" si="2"/>
        <v/>
      </c>
      <c r="H970" s="94" t="str">
        <f t="shared" si="3"/>
        <v/>
      </c>
      <c r="I970" s="94" t="str">
        <f t="shared" ref="I970:J970" si="971">if(G970 = "", , -G970)</f>
        <v/>
      </c>
      <c r="J970" s="94" t="str">
        <f t="shared" si="971"/>
        <v/>
      </c>
      <c r="K970" s="100"/>
      <c r="M970" s="100"/>
      <c r="N970" s="100"/>
      <c r="O970" s="100"/>
    </row>
    <row r="971">
      <c r="A971" s="107">
        <v>201583.0</v>
      </c>
      <c r="B971" s="108" t="s">
        <v>92</v>
      </c>
      <c r="C971" s="108" t="s">
        <v>404</v>
      </c>
      <c r="D971" s="112" t="s">
        <v>178</v>
      </c>
      <c r="E971" s="112">
        <v>2006.4</v>
      </c>
      <c r="F971" s="111" t="str">
        <f>DataPull!D971</f>
        <v/>
      </c>
      <c r="G971" s="94" t="str">
        <f t="shared" si="2"/>
        <v/>
      </c>
      <c r="H971" s="94" t="str">
        <f t="shared" si="3"/>
        <v/>
      </c>
      <c r="I971" s="94" t="str">
        <f t="shared" ref="I971:J971" si="972">if(G971 = "", , -G971)</f>
        <v/>
      </c>
      <c r="J971" s="94" t="str">
        <f t="shared" si="972"/>
        <v/>
      </c>
      <c r="K971" s="100"/>
      <c r="N971" s="100"/>
      <c r="O971" s="100"/>
      <c r="P971" s="100"/>
    </row>
    <row r="972">
      <c r="A972" s="107">
        <v>201583.0</v>
      </c>
      <c r="B972" s="108" t="s">
        <v>190</v>
      </c>
      <c r="C972" s="108" t="s">
        <v>404</v>
      </c>
      <c r="D972" s="112" t="s">
        <v>178</v>
      </c>
      <c r="E972" s="112">
        <v>2116.8</v>
      </c>
      <c r="F972" s="111" t="str">
        <f>DataPull!D972</f>
        <v/>
      </c>
      <c r="G972" s="94" t="str">
        <f t="shared" si="2"/>
        <v/>
      </c>
      <c r="H972" s="94" t="str">
        <f t="shared" si="3"/>
        <v/>
      </c>
      <c r="I972" s="94" t="str">
        <f t="shared" ref="I972:J972" si="973">if(G972 = "", , -G972)</f>
        <v/>
      </c>
      <c r="J972" s="94" t="str">
        <f t="shared" si="973"/>
        <v/>
      </c>
      <c r="K972" s="100"/>
      <c r="M972" s="100"/>
      <c r="N972" s="100"/>
      <c r="O972" s="100"/>
      <c r="P972" s="100"/>
    </row>
    <row r="973">
      <c r="A973" s="107">
        <v>201583.0</v>
      </c>
      <c r="B973" s="108" t="s">
        <v>191</v>
      </c>
      <c r="C973" s="108" t="s">
        <v>404</v>
      </c>
      <c r="D973" s="112" t="s">
        <v>176</v>
      </c>
      <c r="E973" s="112">
        <v>1722.6</v>
      </c>
      <c r="F973" s="111" t="str">
        <f>DataPull!D973</f>
        <v/>
      </c>
      <c r="G973" s="94" t="str">
        <f t="shared" si="2"/>
        <v/>
      </c>
      <c r="H973" s="94" t="str">
        <f t="shared" si="3"/>
        <v/>
      </c>
      <c r="I973" s="94" t="str">
        <f t="shared" ref="I973:J973" si="974">if(G973 = "", , -G973)</f>
        <v/>
      </c>
      <c r="J973" s="94" t="str">
        <f t="shared" si="974"/>
        <v/>
      </c>
      <c r="K973" s="100"/>
      <c r="M973" s="100"/>
      <c r="N973" s="100"/>
      <c r="O973" s="100"/>
      <c r="P973" s="100"/>
    </row>
    <row r="974">
      <c r="A974" s="107">
        <v>201583.0</v>
      </c>
      <c r="B974" s="108" t="s">
        <v>192</v>
      </c>
      <c r="C974" s="108" t="s">
        <v>404</v>
      </c>
      <c r="D974" s="112" t="s">
        <v>187</v>
      </c>
      <c r="E974" s="112">
        <v>322.5</v>
      </c>
      <c r="F974" s="111" t="str">
        <f>DataPull!D974</f>
        <v/>
      </c>
      <c r="G974" s="94" t="str">
        <f t="shared" si="2"/>
        <v/>
      </c>
      <c r="H974" s="94" t="str">
        <f t="shared" si="3"/>
        <v/>
      </c>
      <c r="I974" s="94" t="str">
        <f t="shared" ref="I974:J974" si="975">if(G974 = "", , -G974)</f>
        <v/>
      </c>
      <c r="J974" s="94" t="str">
        <f t="shared" si="975"/>
        <v/>
      </c>
      <c r="K974" s="100"/>
      <c r="M974" s="100"/>
      <c r="N974" s="100"/>
      <c r="O974" s="100"/>
      <c r="P974" s="100"/>
    </row>
    <row r="975">
      <c r="A975" s="107">
        <v>201583.0</v>
      </c>
      <c r="B975" s="108" t="s">
        <v>193</v>
      </c>
      <c r="C975" s="108" t="s">
        <v>404</v>
      </c>
      <c r="D975" s="112" t="s">
        <v>181</v>
      </c>
      <c r="E975" s="112">
        <v>14.0</v>
      </c>
      <c r="F975" s="111" t="str">
        <f>DataPull!D975</f>
        <v/>
      </c>
      <c r="G975" s="94" t="str">
        <f t="shared" si="2"/>
        <v/>
      </c>
      <c r="H975" s="94" t="str">
        <f t="shared" si="3"/>
        <v/>
      </c>
      <c r="I975" s="94" t="str">
        <f t="shared" ref="I975:J975" si="976">if(G975 = "", , -G975)</f>
        <v/>
      </c>
      <c r="J975" s="94" t="str">
        <f t="shared" si="976"/>
        <v/>
      </c>
      <c r="K975" s="100"/>
      <c r="M975" s="100"/>
      <c r="N975" s="100"/>
      <c r="O975" s="100"/>
      <c r="P975" s="100"/>
    </row>
    <row r="976">
      <c r="A976" s="107">
        <v>201584.0</v>
      </c>
      <c r="B976" s="108" t="s">
        <v>85</v>
      </c>
      <c r="C976" s="108" t="s">
        <v>405</v>
      </c>
      <c r="D976" s="112" t="s">
        <v>178</v>
      </c>
      <c r="E976" s="112">
        <v>1975.0</v>
      </c>
      <c r="F976" s="111" t="str">
        <f>DataPull!D976</f>
        <v/>
      </c>
      <c r="G976" s="94" t="str">
        <f t="shared" si="2"/>
        <v/>
      </c>
      <c r="H976" s="94" t="str">
        <f t="shared" si="3"/>
        <v/>
      </c>
      <c r="I976" s="94" t="str">
        <f t="shared" ref="I976:J976" si="977">if(G976 = "", , -G976)</f>
        <v/>
      </c>
      <c r="J976" s="94" t="str">
        <f t="shared" si="977"/>
        <v/>
      </c>
      <c r="K976" s="100"/>
      <c r="M976" s="100"/>
      <c r="N976" s="100"/>
      <c r="O976" s="100"/>
      <c r="P976" s="100"/>
    </row>
    <row r="977">
      <c r="A977" s="107">
        <v>201584.0</v>
      </c>
      <c r="B977" s="108" t="s">
        <v>90</v>
      </c>
      <c r="C977" s="108" t="s">
        <v>405</v>
      </c>
      <c r="D977" s="112" t="s">
        <v>178</v>
      </c>
      <c r="E977" s="112">
        <v>2356.2</v>
      </c>
      <c r="F977" s="111" t="str">
        <f>DataPull!D977</f>
        <v/>
      </c>
      <c r="G977" s="94" t="str">
        <f t="shared" si="2"/>
        <v/>
      </c>
      <c r="H977" s="94" t="str">
        <f t="shared" si="3"/>
        <v/>
      </c>
      <c r="I977" s="94" t="str">
        <f t="shared" ref="I977:J977" si="978">if(G977 = "", , -G977)</f>
        <v/>
      </c>
      <c r="J977" s="94" t="str">
        <f t="shared" si="978"/>
        <v/>
      </c>
      <c r="K977" s="100"/>
      <c r="M977" s="100"/>
      <c r="N977" s="100"/>
      <c r="O977" s="100"/>
    </row>
    <row r="978">
      <c r="A978" s="107">
        <v>201584.0</v>
      </c>
      <c r="B978" s="108" t="s">
        <v>92</v>
      </c>
      <c r="C978" s="108" t="s">
        <v>405</v>
      </c>
      <c r="D978" s="112" t="s">
        <v>178</v>
      </c>
      <c r="E978" s="112">
        <v>2338.4</v>
      </c>
      <c r="F978" s="111" t="str">
        <f>DataPull!D978</f>
        <v/>
      </c>
      <c r="G978" s="94" t="str">
        <f t="shared" si="2"/>
        <v/>
      </c>
      <c r="H978" s="94" t="str">
        <f t="shared" si="3"/>
        <v/>
      </c>
      <c r="I978" s="94" t="str">
        <f t="shared" ref="I978:J978" si="979">if(G978 = "", , -G978)</f>
        <v/>
      </c>
      <c r="J978" s="94" t="str">
        <f t="shared" si="979"/>
        <v/>
      </c>
      <c r="K978" s="100"/>
      <c r="M978" s="100"/>
      <c r="N978" s="100"/>
      <c r="O978" s="100"/>
      <c r="P978" s="100"/>
    </row>
    <row r="979">
      <c r="A979" s="107">
        <v>201584.0</v>
      </c>
      <c r="B979" s="108" t="s">
        <v>190</v>
      </c>
      <c r="C979" s="108" t="s">
        <v>405</v>
      </c>
      <c r="D979" s="112" t="s">
        <v>178</v>
      </c>
      <c r="E979" s="112">
        <v>2456.3</v>
      </c>
      <c r="F979" s="111" t="str">
        <f>DataPull!D979</f>
        <v/>
      </c>
      <c r="G979" s="94" t="str">
        <f t="shared" si="2"/>
        <v/>
      </c>
      <c r="H979" s="94" t="str">
        <f t="shared" si="3"/>
        <v/>
      </c>
      <c r="I979" s="94" t="str">
        <f t="shared" ref="I979:J979" si="980">if(G979 = "", , -G979)</f>
        <v/>
      </c>
      <c r="J979" s="94" t="str">
        <f t="shared" si="980"/>
        <v/>
      </c>
      <c r="K979" s="100"/>
      <c r="M979" s="100"/>
      <c r="N979" s="100"/>
      <c r="O979" s="100"/>
      <c r="P979" s="100"/>
    </row>
    <row r="980">
      <c r="A980" s="107">
        <v>201584.0</v>
      </c>
      <c r="B980" s="108" t="s">
        <v>191</v>
      </c>
      <c r="C980" s="108" t="s">
        <v>405</v>
      </c>
      <c r="D980" s="112" t="s">
        <v>178</v>
      </c>
      <c r="E980" s="112">
        <v>2310.4</v>
      </c>
      <c r="F980" s="111" t="str">
        <f>DataPull!D980</f>
        <v/>
      </c>
      <c r="G980" s="94" t="str">
        <f t="shared" si="2"/>
        <v/>
      </c>
      <c r="H980" s="94" t="str">
        <f t="shared" si="3"/>
        <v/>
      </c>
      <c r="I980" s="94" t="str">
        <f t="shared" ref="I980:J980" si="981">if(G980 = "", , -G980)</f>
        <v/>
      </c>
      <c r="J980" s="94" t="str">
        <f t="shared" si="981"/>
        <v/>
      </c>
      <c r="K980" s="100"/>
      <c r="M980" s="100"/>
      <c r="N980" s="100"/>
      <c r="O980" s="100"/>
      <c r="P980" s="100"/>
    </row>
    <row r="981">
      <c r="A981" s="107">
        <v>201584.0</v>
      </c>
      <c r="B981" s="108" t="s">
        <v>192</v>
      </c>
      <c r="C981" s="108" t="s">
        <v>405</v>
      </c>
      <c r="D981" s="112" t="s">
        <v>187</v>
      </c>
      <c r="E981" s="112">
        <v>428.4</v>
      </c>
      <c r="F981" s="111" t="str">
        <f>DataPull!D981</f>
        <v/>
      </c>
      <c r="G981" s="94" t="str">
        <f t="shared" si="2"/>
        <v/>
      </c>
      <c r="H981" s="94" t="str">
        <f t="shared" si="3"/>
        <v/>
      </c>
      <c r="I981" s="94" t="str">
        <f t="shared" ref="I981:J981" si="982">if(G981 = "", , -G981)</f>
        <v/>
      </c>
      <c r="J981" s="94" t="str">
        <f t="shared" si="982"/>
        <v/>
      </c>
      <c r="K981" s="100"/>
      <c r="N981" s="100"/>
    </row>
    <row r="982">
      <c r="A982" s="107">
        <v>201584.0</v>
      </c>
      <c r="B982" s="108" t="s">
        <v>193</v>
      </c>
      <c r="C982" s="108" t="s">
        <v>405</v>
      </c>
      <c r="D982" s="112" t="s">
        <v>177</v>
      </c>
      <c r="E982" s="112">
        <v>345.6</v>
      </c>
      <c r="F982" s="111" t="str">
        <f>DataPull!D982</f>
        <v/>
      </c>
      <c r="G982" s="94" t="str">
        <f t="shared" si="2"/>
        <v/>
      </c>
      <c r="H982" s="94" t="str">
        <f t="shared" si="3"/>
        <v/>
      </c>
      <c r="I982" s="94" t="str">
        <f t="shared" ref="I982:J982" si="983">if(G982 = "", , -G982)</f>
        <v/>
      </c>
      <c r="J982" s="94" t="str">
        <f t="shared" si="983"/>
        <v/>
      </c>
      <c r="K982" s="100"/>
      <c r="N982" s="100"/>
      <c r="O982" s="100"/>
    </row>
    <row r="983">
      <c r="A983" s="107">
        <v>201585.0</v>
      </c>
      <c r="B983" s="108" t="s">
        <v>85</v>
      </c>
      <c r="C983" s="108" t="s">
        <v>406</v>
      </c>
      <c r="D983" s="112" t="s">
        <v>177</v>
      </c>
      <c r="E983" s="112">
        <v>1352.0</v>
      </c>
      <c r="F983" s="111" t="str">
        <f>DataPull!D983</f>
        <v/>
      </c>
      <c r="G983" s="94" t="str">
        <f t="shared" si="2"/>
        <v/>
      </c>
      <c r="H983" s="94" t="str">
        <f t="shared" si="3"/>
        <v/>
      </c>
      <c r="I983" s="94" t="str">
        <f t="shared" ref="I983:J983" si="984">if(G983 = "", , -G983)</f>
        <v/>
      </c>
      <c r="J983" s="94" t="str">
        <f t="shared" si="984"/>
        <v/>
      </c>
      <c r="K983" s="100"/>
      <c r="M983" s="100"/>
      <c r="N983" s="100"/>
      <c r="O983" s="100"/>
      <c r="P983" s="100"/>
    </row>
    <row r="984">
      <c r="A984" s="107">
        <v>201585.0</v>
      </c>
      <c r="B984" s="108" t="s">
        <v>90</v>
      </c>
      <c r="C984" s="108" t="s">
        <v>406</v>
      </c>
      <c r="D984" s="112" t="s">
        <v>177</v>
      </c>
      <c r="E984" s="112">
        <v>1344.6</v>
      </c>
      <c r="F984" s="111" t="str">
        <f>DataPull!D984</f>
        <v/>
      </c>
      <c r="G984" s="94" t="str">
        <f t="shared" si="2"/>
        <v/>
      </c>
      <c r="H984" s="94" t="str">
        <f t="shared" si="3"/>
        <v/>
      </c>
      <c r="I984" s="94" t="str">
        <f t="shared" ref="I984:J984" si="985">if(G984 = "", , -G984)</f>
        <v/>
      </c>
      <c r="J984" s="94" t="str">
        <f t="shared" si="985"/>
        <v/>
      </c>
      <c r="K984" s="100"/>
      <c r="M984" s="100"/>
      <c r="N984" s="100"/>
      <c r="O984" s="100"/>
      <c r="P984" s="100"/>
    </row>
    <row r="985">
      <c r="A985" s="107">
        <v>201585.0</v>
      </c>
      <c r="B985" s="108" t="s">
        <v>92</v>
      </c>
      <c r="C985" s="108" t="s">
        <v>406</v>
      </c>
      <c r="D985" s="112" t="s">
        <v>177</v>
      </c>
      <c r="E985" s="112">
        <v>1482.0</v>
      </c>
      <c r="F985" s="111" t="str">
        <f>DataPull!D985</f>
        <v/>
      </c>
      <c r="G985" s="94" t="str">
        <f t="shared" si="2"/>
        <v/>
      </c>
      <c r="H985" s="94" t="str">
        <f t="shared" si="3"/>
        <v/>
      </c>
      <c r="I985" s="94" t="str">
        <f t="shared" ref="I985:J985" si="986">if(G985 = "", , -G985)</f>
        <v/>
      </c>
      <c r="J985" s="94" t="str">
        <f t="shared" si="986"/>
        <v/>
      </c>
      <c r="K985" s="100"/>
      <c r="M985" s="100"/>
      <c r="N985" s="100"/>
      <c r="O985" s="100"/>
      <c r="P985" s="100"/>
    </row>
    <row r="986">
      <c r="A986" s="107">
        <v>201585.0</v>
      </c>
      <c r="B986" s="108" t="s">
        <v>190</v>
      </c>
      <c r="C986" s="108" t="s">
        <v>406</v>
      </c>
      <c r="D986" s="112" t="s">
        <v>177</v>
      </c>
      <c r="E986" s="112">
        <v>1420.0</v>
      </c>
      <c r="F986" s="111" t="str">
        <f>DataPull!D986</f>
        <v/>
      </c>
      <c r="G986" s="94" t="str">
        <f t="shared" si="2"/>
        <v/>
      </c>
      <c r="H986" s="94" t="str">
        <f t="shared" si="3"/>
        <v/>
      </c>
      <c r="I986" s="94" t="str">
        <f t="shared" ref="I986:J986" si="987">if(G986 = "", , -G986)</f>
        <v/>
      </c>
      <c r="J986" s="94" t="str">
        <f t="shared" si="987"/>
        <v/>
      </c>
      <c r="K986" s="100"/>
      <c r="M986" s="100"/>
      <c r="N986" s="100"/>
      <c r="O986" s="100"/>
      <c r="P986" s="100"/>
    </row>
    <row r="987">
      <c r="A987" s="107">
        <v>201585.0</v>
      </c>
      <c r="B987" s="108" t="s">
        <v>191</v>
      </c>
      <c r="C987" s="108" t="s">
        <v>406</v>
      </c>
      <c r="D987" s="112" t="s">
        <v>176</v>
      </c>
      <c r="E987" s="112">
        <v>1391.6</v>
      </c>
      <c r="F987" s="111" t="str">
        <f>DataPull!D987</f>
        <v/>
      </c>
      <c r="G987" s="94" t="str">
        <f t="shared" si="2"/>
        <v/>
      </c>
      <c r="H987" s="94" t="str">
        <f t="shared" si="3"/>
        <v/>
      </c>
      <c r="I987" s="94" t="str">
        <f t="shared" ref="I987:J987" si="988">if(G987 = "", , -G987)</f>
        <v/>
      </c>
      <c r="J987" s="94" t="str">
        <f t="shared" si="988"/>
        <v/>
      </c>
      <c r="K987" s="100"/>
      <c r="M987" s="100"/>
      <c r="N987" s="100"/>
      <c r="O987" s="100"/>
    </row>
    <row r="988">
      <c r="A988" s="107">
        <v>201585.0</v>
      </c>
      <c r="B988" s="108" t="s">
        <v>192</v>
      </c>
      <c r="C988" s="108" t="s">
        <v>406</v>
      </c>
      <c r="D988" s="112" t="s">
        <v>177</v>
      </c>
      <c r="E988" s="112">
        <v>499.8</v>
      </c>
      <c r="F988" s="111" t="str">
        <f>DataPull!D988</f>
        <v/>
      </c>
      <c r="G988" s="94" t="str">
        <f t="shared" si="2"/>
        <v/>
      </c>
      <c r="H988" s="94" t="str">
        <f t="shared" si="3"/>
        <v/>
      </c>
      <c r="I988" s="94" t="str">
        <f t="shared" ref="I988:J988" si="989">if(G988 = "", , -G988)</f>
        <v/>
      </c>
      <c r="J988" s="94" t="str">
        <f t="shared" si="989"/>
        <v/>
      </c>
      <c r="K988" s="100"/>
      <c r="N988" s="100"/>
      <c r="O988" s="100"/>
      <c r="P988" s="100"/>
    </row>
    <row r="989">
      <c r="A989" s="107">
        <v>201586.0</v>
      </c>
      <c r="B989" s="108" t="s">
        <v>85</v>
      </c>
      <c r="C989" s="108" t="s">
        <v>407</v>
      </c>
      <c r="D989" s="112" t="s">
        <v>178</v>
      </c>
      <c r="E989" s="112">
        <v>2664.9</v>
      </c>
      <c r="F989" s="111" t="str">
        <f>DataPull!D989</f>
        <v/>
      </c>
      <c r="G989" s="94" t="str">
        <f t="shared" si="2"/>
        <v/>
      </c>
      <c r="H989" s="94" t="str">
        <f t="shared" si="3"/>
        <v/>
      </c>
      <c r="I989" s="94" t="str">
        <f t="shared" ref="I989:J989" si="990">if(G989 = "", , -G989)</f>
        <v/>
      </c>
      <c r="J989" s="94" t="str">
        <f t="shared" si="990"/>
        <v/>
      </c>
      <c r="K989" s="100"/>
      <c r="M989" s="100"/>
      <c r="N989" s="100"/>
      <c r="O989" s="100"/>
      <c r="P989" s="100"/>
    </row>
    <row r="990">
      <c r="A990" s="107">
        <v>201586.0</v>
      </c>
      <c r="B990" s="108" t="s">
        <v>90</v>
      </c>
      <c r="C990" s="108" t="s">
        <v>407</v>
      </c>
      <c r="D990" s="112" t="s">
        <v>178</v>
      </c>
      <c r="E990" s="112">
        <v>2118.4</v>
      </c>
      <c r="F990" s="111" t="str">
        <f>DataPull!D990</f>
        <v/>
      </c>
      <c r="G990" s="94" t="str">
        <f t="shared" si="2"/>
        <v/>
      </c>
      <c r="H990" s="94" t="str">
        <f t="shared" si="3"/>
        <v/>
      </c>
      <c r="I990" s="94" t="str">
        <f t="shared" ref="I990:J990" si="991">if(G990 = "", , -G990)</f>
        <v/>
      </c>
      <c r="J990" s="94" t="str">
        <f t="shared" si="991"/>
        <v/>
      </c>
      <c r="K990" s="100"/>
      <c r="M990" s="100"/>
      <c r="N990" s="100"/>
      <c r="O990" s="100"/>
      <c r="P990" s="100"/>
    </row>
    <row r="991">
      <c r="A991" s="107">
        <v>201586.0</v>
      </c>
      <c r="B991" s="108" t="s">
        <v>92</v>
      </c>
      <c r="C991" s="108" t="s">
        <v>407</v>
      </c>
      <c r="D991" s="112" t="s">
        <v>178</v>
      </c>
      <c r="E991" s="112">
        <v>2503.8</v>
      </c>
      <c r="F991" s="111" t="str">
        <f>DataPull!D991</f>
        <v/>
      </c>
      <c r="G991" s="94" t="str">
        <f t="shared" si="2"/>
        <v/>
      </c>
      <c r="H991" s="94" t="str">
        <f t="shared" si="3"/>
        <v/>
      </c>
      <c r="I991" s="94" t="str">
        <f t="shared" ref="I991:J991" si="992">if(G991 = "", , -G991)</f>
        <v/>
      </c>
      <c r="J991" s="94" t="str">
        <f t="shared" si="992"/>
        <v/>
      </c>
      <c r="K991" s="100"/>
      <c r="M991" s="100"/>
      <c r="N991" s="100"/>
      <c r="O991" s="100"/>
      <c r="P991" s="100"/>
    </row>
    <row r="992">
      <c r="A992" s="107">
        <v>201586.0</v>
      </c>
      <c r="B992" s="108" t="s">
        <v>190</v>
      </c>
      <c r="C992" s="108" t="s">
        <v>407</v>
      </c>
      <c r="D992" s="112" t="s">
        <v>178</v>
      </c>
      <c r="E992" s="112">
        <v>2425.3</v>
      </c>
      <c r="F992" s="111" t="str">
        <f>DataPull!D992</f>
        <v/>
      </c>
      <c r="G992" s="94" t="str">
        <f t="shared" si="2"/>
        <v/>
      </c>
      <c r="H992" s="94" t="str">
        <f t="shared" si="3"/>
        <v/>
      </c>
      <c r="I992" s="94" t="str">
        <f t="shared" ref="I992:J992" si="993">if(G992 = "", , -G992)</f>
        <v/>
      </c>
      <c r="J992" s="94" t="str">
        <f t="shared" si="993"/>
        <v/>
      </c>
      <c r="K992" s="100"/>
      <c r="M992" s="100"/>
      <c r="N992" s="100"/>
      <c r="O992" s="100"/>
      <c r="P992" s="100"/>
    </row>
    <row r="993">
      <c r="A993" s="107">
        <v>201586.0</v>
      </c>
      <c r="B993" s="108" t="s">
        <v>191</v>
      </c>
      <c r="C993" s="108" t="s">
        <v>407</v>
      </c>
      <c r="D993" s="112" t="s">
        <v>178</v>
      </c>
      <c r="E993" s="112">
        <v>2090.0</v>
      </c>
      <c r="F993" s="111" t="str">
        <f>DataPull!D993</f>
        <v/>
      </c>
      <c r="G993" s="94" t="str">
        <f t="shared" si="2"/>
        <v/>
      </c>
      <c r="H993" s="94" t="str">
        <f t="shared" si="3"/>
        <v/>
      </c>
      <c r="I993" s="94" t="str">
        <f t="shared" ref="I993:J993" si="994">if(G993 = "", , -G993)</f>
        <v/>
      </c>
      <c r="J993" s="94" t="str">
        <f t="shared" si="994"/>
        <v/>
      </c>
      <c r="K993" s="100"/>
      <c r="M993" s="100"/>
      <c r="N993" s="100"/>
      <c r="O993" s="100"/>
      <c r="P993" s="100"/>
    </row>
    <row r="994">
      <c r="A994" s="107">
        <v>201586.0</v>
      </c>
      <c r="B994" s="108" t="s">
        <v>192</v>
      </c>
      <c r="C994" s="108" t="s">
        <v>407</v>
      </c>
      <c r="D994" s="112" t="s">
        <v>176</v>
      </c>
      <c r="E994" s="112">
        <v>2012.8</v>
      </c>
      <c r="F994" s="111" t="str">
        <f>DataPull!D994</f>
        <v/>
      </c>
      <c r="G994" s="94" t="str">
        <f t="shared" si="2"/>
        <v/>
      </c>
      <c r="H994" s="94" t="str">
        <f t="shared" si="3"/>
        <v/>
      </c>
      <c r="I994" s="94" t="str">
        <f t="shared" ref="I994:J994" si="995">if(G994 = "", , -G994)</f>
        <v/>
      </c>
      <c r="J994" s="94" t="str">
        <f t="shared" si="995"/>
        <v/>
      </c>
      <c r="K994" s="100"/>
      <c r="M994" s="100"/>
      <c r="N994" s="100"/>
      <c r="O994" s="100"/>
      <c r="P994" s="100"/>
    </row>
    <row r="995">
      <c r="A995" s="107">
        <v>201586.0</v>
      </c>
      <c r="B995" s="108" t="s">
        <v>193</v>
      </c>
      <c r="C995" s="108" t="s">
        <v>407</v>
      </c>
      <c r="D995" s="112" t="s">
        <v>176</v>
      </c>
      <c r="E995" s="112">
        <v>1485.0</v>
      </c>
      <c r="F995" s="111" t="str">
        <f>DataPull!D995</f>
        <v/>
      </c>
      <c r="G995" s="94" t="str">
        <f t="shared" si="2"/>
        <v/>
      </c>
      <c r="H995" s="94" t="str">
        <f t="shared" si="3"/>
        <v/>
      </c>
      <c r="I995" s="94" t="str">
        <f t="shared" ref="I995:J995" si="996">if(G995 = "", , -G995)</f>
        <v/>
      </c>
      <c r="J995" s="94" t="str">
        <f t="shared" si="996"/>
        <v/>
      </c>
      <c r="K995" s="100"/>
      <c r="N995" s="100"/>
      <c r="O995" s="100"/>
      <c r="P995" s="100"/>
    </row>
    <row r="996">
      <c r="A996" s="107">
        <v>201586.0</v>
      </c>
      <c r="B996" s="108" t="s">
        <v>243</v>
      </c>
      <c r="C996" s="108" t="s">
        <v>407</v>
      </c>
      <c r="D996" s="112" t="s">
        <v>184</v>
      </c>
      <c r="E996" s="112">
        <v>955.3</v>
      </c>
      <c r="F996" s="111" t="str">
        <f>DataPull!D996</f>
        <v/>
      </c>
      <c r="G996" s="94" t="str">
        <f t="shared" si="2"/>
        <v/>
      </c>
      <c r="H996" s="94" t="str">
        <f t="shared" si="3"/>
        <v/>
      </c>
      <c r="I996" s="94" t="str">
        <f t="shared" ref="I996:J996" si="997">if(G996 = "", , -G996)</f>
        <v/>
      </c>
      <c r="J996" s="94" t="str">
        <f t="shared" si="997"/>
        <v/>
      </c>
      <c r="K996" s="100"/>
      <c r="M996" s="100"/>
      <c r="N996" s="100"/>
      <c r="O996" s="100"/>
      <c r="P996" s="100"/>
    </row>
    <row r="997">
      <c r="A997" s="107">
        <v>201586.0</v>
      </c>
      <c r="B997" s="108" t="s">
        <v>215</v>
      </c>
      <c r="C997" s="108" t="s">
        <v>407</v>
      </c>
      <c r="D997" s="112" t="s">
        <v>177</v>
      </c>
      <c r="E997" s="112">
        <v>880.2</v>
      </c>
      <c r="F997" s="111" t="str">
        <f>DataPull!D997</f>
        <v/>
      </c>
      <c r="G997" s="94" t="str">
        <f t="shared" si="2"/>
        <v/>
      </c>
      <c r="H997" s="94" t="str">
        <f t="shared" si="3"/>
        <v/>
      </c>
      <c r="I997" s="94" t="str">
        <f t="shared" ref="I997:J997" si="998">if(G997 = "", , -G997)</f>
        <v/>
      </c>
      <c r="J997" s="94" t="str">
        <f t="shared" si="998"/>
        <v/>
      </c>
      <c r="K997" s="100"/>
      <c r="L997" s="100"/>
      <c r="N997" s="100"/>
      <c r="O997" s="100"/>
      <c r="P997" s="100"/>
    </row>
    <row r="998">
      <c r="A998" s="107">
        <v>201586.0</v>
      </c>
      <c r="B998" s="108" t="s">
        <v>244</v>
      </c>
      <c r="C998" s="108" t="s">
        <v>407</v>
      </c>
      <c r="D998" s="112" t="s">
        <v>187</v>
      </c>
      <c r="E998" s="112">
        <v>185.6</v>
      </c>
      <c r="F998" s="111" t="str">
        <f>DataPull!D998</f>
        <v/>
      </c>
      <c r="G998" s="94" t="str">
        <f t="shared" si="2"/>
        <v/>
      </c>
      <c r="H998" s="94" t="str">
        <f t="shared" si="3"/>
        <v/>
      </c>
      <c r="I998" s="94" t="str">
        <f t="shared" ref="I998:J998" si="999">if(G998 = "", , -G998)</f>
        <v/>
      </c>
      <c r="J998" s="94" t="str">
        <f t="shared" si="999"/>
        <v/>
      </c>
      <c r="K998" s="100"/>
      <c r="L998" s="100"/>
      <c r="M998" s="100"/>
      <c r="N998" s="100"/>
      <c r="O998" s="100"/>
      <c r="P998" s="100"/>
    </row>
    <row r="999">
      <c r="A999" s="107">
        <v>201587.0</v>
      </c>
      <c r="B999" s="108" t="s">
        <v>85</v>
      </c>
      <c r="C999" s="108" t="s">
        <v>408</v>
      </c>
      <c r="D999" s="112" t="s">
        <v>184</v>
      </c>
      <c r="E999" s="112">
        <v>2952.0</v>
      </c>
      <c r="F999" s="111" t="str">
        <f>DataPull!D999</f>
        <v/>
      </c>
      <c r="G999" s="94" t="str">
        <f t="shared" si="2"/>
        <v/>
      </c>
      <c r="H999" s="94" t="str">
        <f t="shared" si="3"/>
        <v/>
      </c>
      <c r="I999" s="94" t="str">
        <f t="shared" ref="I999:J999" si="1000">if(G999 = "", , -G999)</f>
        <v/>
      </c>
      <c r="J999" s="94" t="str">
        <f t="shared" si="1000"/>
        <v/>
      </c>
      <c r="K999" s="100"/>
      <c r="M999" s="100"/>
      <c r="N999" s="100"/>
      <c r="O999" s="100"/>
      <c r="P999" s="100"/>
    </row>
    <row r="1000">
      <c r="A1000" s="107">
        <v>201587.0</v>
      </c>
      <c r="B1000" s="108" t="s">
        <v>90</v>
      </c>
      <c r="C1000" s="108" t="s">
        <v>408</v>
      </c>
      <c r="D1000" s="112" t="s">
        <v>178</v>
      </c>
      <c r="E1000" s="112">
        <v>2378.5</v>
      </c>
      <c r="F1000" s="111" t="str">
        <f>DataPull!D1000</f>
        <v/>
      </c>
      <c r="G1000" s="94" t="str">
        <f t="shared" si="2"/>
        <v/>
      </c>
      <c r="H1000" s="94" t="str">
        <f t="shared" si="3"/>
        <v/>
      </c>
      <c r="I1000" s="94" t="str">
        <f t="shared" ref="I1000:J1000" si="1001">if(G1000 = "", , -G1000)</f>
        <v/>
      </c>
      <c r="J1000" s="94" t="str">
        <f t="shared" si="1001"/>
        <v/>
      </c>
      <c r="K1000" s="100"/>
      <c r="M1000" s="100"/>
      <c r="O1000" s="100"/>
      <c r="P1000" s="100"/>
    </row>
    <row r="1001">
      <c r="A1001" s="107">
        <v>201587.0</v>
      </c>
      <c r="B1001" s="108" t="s">
        <v>92</v>
      </c>
      <c r="C1001" s="108" t="s">
        <v>408</v>
      </c>
      <c r="D1001" s="112" t="s">
        <v>178</v>
      </c>
      <c r="E1001" s="112">
        <v>2450.0</v>
      </c>
      <c r="F1001" s="111" t="str">
        <f>DataPull!D1001</f>
        <v/>
      </c>
      <c r="G1001" s="94" t="str">
        <f t="shared" si="2"/>
        <v/>
      </c>
      <c r="H1001" s="94" t="str">
        <f t="shared" si="3"/>
        <v/>
      </c>
      <c r="I1001" s="94" t="str">
        <f t="shared" ref="I1001:J1001" si="1002">if(G1001 = "", , -G1001)</f>
        <v/>
      </c>
      <c r="J1001" s="94" t="str">
        <f t="shared" si="1002"/>
        <v/>
      </c>
      <c r="K1001" s="100"/>
      <c r="M1001" s="100"/>
      <c r="O1001" s="100"/>
    </row>
    <row r="1002">
      <c r="A1002" s="107">
        <v>201587.0</v>
      </c>
      <c r="B1002" s="108" t="s">
        <v>190</v>
      </c>
      <c r="C1002" s="108" t="s">
        <v>408</v>
      </c>
      <c r="D1002" s="112" t="s">
        <v>184</v>
      </c>
      <c r="E1002" s="112">
        <v>2618.0</v>
      </c>
      <c r="F1002" s="111" t="str">
        <f>DataPull!D1002</f>
        <v/>
      </c>
      <c r="G1002" s="94" t="str">
        <f t="shared" si="2"/>
        <v/>
      </c>
      <c r="H1002" s="94" t="str">
        <f t="shared" si="3"/>
        <v/>
      </c>
      <c r="I1002" s="94" t="str">
        <f t="shared" ref="I1002:J1002" si="1003">if(G1002 = "", , -G1002)</f>
        <v/>
      </c>
      <c r="J1002" s="94" t="str">
        <f t="shared" si="1003"/>
        <v/>
      </c>
      <c r="K1002" s="100"/>
      <c r="N1002" s="100"/>
      <c r="P1002" s="100"/>
    </row>
    <row r="1003">
      <c r="A1003" s="107">
        <v>201587.0</v>
      </c>
      <c r="B1003" s="108" t="s">
        <v>191</v>
      </c>
      <c r="C1003" s="108" t="s">
        <v>408</v>
      </c>
      <c r="D1003" s="112" t="s">
        <v>178</v>
      </c>
      <c r="E1003" s="112">
        <v>1984.0</v>
      </c>
      <c r="F1003" s="111" t="str">
        <f>DataPull!D1003</f>
        <v/>
      </c>
      <c r="G1003" s="94" t="str">
        <f t="shared" si="2"/>
        <v/>
      </c>
      <c r="H1003" s="94" t="str">
        <f t="shared" si="3"/>
        <v/>
      </c>
      <c r="I1003" s="94" t="str">
        <f t="shared" ref="I1003:J1003" si="1004">if(G1003 = "", , -G1003)</f>
        <v/>
      </c>
      <c r="J1003" s="94" t="str">
        <f t="shared" si="1004"/>
        <v/>
      </c>
      <c r="K1003" s="100"/>
      <c r="N1003" s="100"/>
      <c r="O1003" s="100"/>
    </row>
    <row r="1004">
      <c r="A1004" s="107">
        <v>201587.0</v>
      </c>
      <c r="B1004" s="108" t="s">
        <v>192</v>
      </c>
      <c r="C1004" s="108" t="s">
        <v>408</v>
      </c>
      <c r="D1004" s="112" t="s">
        <v>178</v>
      </c>
      <c r="E1004" s="112">
        <v>2355.0</v>
      </c>
      <c r="F1004" s="111" t="str">
        <f>DataPull!D1004</f>
        <v/>
      </c>
      <c r="G1004" s="94" t="str">
        <f t="shared" si="2"/>
        <v/>
      </c>
      <c r="H1004" s="94" t="str">
        <f t="shared" si="3"/>
        <v/>
      </c>
      <c r="I1004" s="94" t="str">
        <f t="shared" ref="I1004:J1004" si="1005">if(G1004 = "", , -G1004)</f>
        <v/>
      </c>
      <c r="J1004" s="94" t="str">
        <f t="shared" si="1005"/>
        <v/>
      </c>
      <c r="K1004" s="100"/>
      <c r="M1004" s="100"/>
      <c r="N1004" s="100"/>
      <c r="O1004" s="100"/>
      <c r="P1004" s="100"/>
    </row>
    <row r="1005">
      <c r="A1005" s="107">
        <v>201587.0</v>
      </c>
      <c r="B1005" s="108" t="s">
        <v>193</v>
      </c>
      <c r="C1005" s="108" t="s">
        <v>408</v>
      </c>
      <c r="D1005" s="112" t="s">
        <v>176</v>
      </c>
      <c r="E1005" s="112">
        <v>506.0</v>
      </c>
      <c r="F1005" s="111" t="str">
        <f>DataPull!D1005</f>
        <v/>
      </c>
      <c r="G1005" s="94" t="str">
        <f t="shared" si="2"/>
        <v/>
      </c>
      <c r="H1005" s="94" t="str">
        <f t="shared" si="3"/>
        <v/>
      </c>
      <c r="I1005" s="94" t="str">
        <f t="shared" ref="I1005:J1005" si="1006">if(G1005 = "", , -G1005)</f>
        <v/>
      </c>
      <c r="J1005" s="94" t="str">
        <f t="shared" si="1006"/>
        <v/>
      </c>
      <c r="K1005" s="100"/>
      <c r="M1005" s="100"/>
      <c r="N1005" s="100"/>
      <c r="O1005" s="100"/>
      <c r="P1005" s="100"/>
    </row>
    <row r="1006">
      <c r="A1006" s="107">
        <v>201587.0</v>
      </c>
      <c r="B1006" s="108" t="s">
        <v>243</v>
      </c>
      <c r="C1006" s="108" t="s">
        <v>408</v>
      </c>
      <c r="D1006" s="112" t="s">
        <v>178</v>
      </c>
      <c r="E1006" s="112">
        <v>1835.8</v>
      </c>
      <c r="F1006" s="111" t="str">
        <f>DataPull!D1006</f>
        <v/>
      </c>
      <c r="G1006" s="94" t="str">
        <f t="shared" si="2"/>
        <v/>
      </c>
      <c r="H1006" s="94" t="str">
        <f t="shared" si="3"/>
        <v/>
      </c>
      <c r="I1006" s="94" t="str">
        <f t="shared" ref="I1006:J1006" si="1007">if(G1006 = "", , -G1006)</f>
        <v/>
      </c>
      <c r="J1006" s="94" t="str">
        <f t="shared" si="1007"/>
        <v/>
      </c>
      <c r="K1006" s="100"/>
      <c r="M1006" s="100"/>
      <c r="N1006" s="100"/>
      <c r="O1006" s="100"/>
      <c r="P1006" s="100"/>
    </row>
    <row r="1007">
      <c r="A1007" s="107">
        <v>201587.0</v>
      </c>
      <c r="B1007" s="108" t="s">
        <v>215</v>
      </c>
      <c r="C1007" s="108" t="s">
        <v>408</v>
      </c>
      <c r="D1007" s="112" t="s">
        <v>176</v>
      </c>
      <c r="E1007" s="112">
        <v>1463.2</v>
      </c>
      <c r="F1007" s="111" t="str">
        <f>DataPull!D1007</f>
        <v/>
      </c>
      <c r="G1007" s="94" t="str">
        <f t="shared" si="2"/>
        <v/>
      </c>
      <c r="H1007" s="94" t="str">
        <f t="shared" si="3"/>
        <v/>
      </c>
      <c r="I1007" s="94" t="str">
        <f t="shared" ref="I1007:J1007" si="1008">if(G1007 = "", , -G1007)</f>
        <v/>
      </c>
      <c r="J1007" s="94" t="str">
        <f t="shared" si="1008"/>
        <v/>
      </c>
      <c r="K1007" s="100"/>
      <c r="L1007" s="100"/>
      <c r="N1007" s="100"/>
      <c r="O1007" s="100"/>
      <c r="P1007" s="100"/>
    </row>
    <row r="1008">
      <c r="A1008" s="107">
        <v>201587.0</v>
      </c>
      <c r="B1008" s="108" t="s">
        <v>244</v>
      </c>
      <c r="C1008" s="108" t="s">
        <v>408</v>
      </c>
      <c r="D1008" s="112" t="s">
        <v>176</v>
      </c>
      <c r="E1008" s="112">
        <v>1708.2</v>
      </c>
      <c r="F1008" s="111" t="str">
        <f>DataPull!D1008</f>
        <v/>
      </c>
      <c r="G1008" s="94" t="str">
        <f t="shared" si="2"/>
        <v/>
      </c>
      <c r="H1008" s="94" t="str">
        <f t="shared" si="3"/>
        <v/>
      </c>
      <c r="I1008" s="94" t="str">
        <f t="shared" ref="I1008:J1008" si="1009">if(G1008 = "", , -G1008)</f>
        <v/>
      </c>
      <c r="J1008" s="94" t="str">
        <f t="shared" si="1009"/>
        <v/>
      </c>
      <c r="K1008" s="100"/>
      <c r="M1008" s="100"/>
      <c r="N1008" s="100"/>
      <c r="O1008" s="100"/>
      <c r="P1008" s="100"/>
    </row>
    <row r="1009">
      <c r="A1009" s="107">
        <v>201587.0</v>
      </c>
      <c r="B1009" s="108" t="s">
        <v>245</v>
      </c>
      <c r="C1009" s="108" t="s">
        <v>408</v>
      </c>
      <c r="D1009" s="112" t="s">
        <v>176</v>
      </c>
      <c r="E1009" s="112">
        <v>1530.0</v>
      </c>
      <c r="F1009" s="111" t="str">
        <f>DataPull!D1009</f>
        <v/>
      </c>
      <c r="G1009" s="94" t="str">
        <f t="shared" si="2"/>
        <v/>
      </c>
      <c r="H1009" s="94" t="str">
        <f t="shared" si="3"/>
        <v/>
      </c>
      <c r="I1009" s="94" t="str">
        <f t="shared" ref="I1009:J1009" si="1010">if(G1009 = "", , -G1009)</f>
        <v/>
      </c>
      <c r="J1009" s="94" t="str">
        <f t="shared" si="1010"/>
        <v/>
      </c>
      <c r="K1009" s="100"/>
      <c r="M1009" s="100"/>
      <c r="N1009" s="100"/>
      <c r="O1009" s="100"/>
      <c r="P1009" s="100"/>
    </row>
    <row r="1010">
      <c r="A1010" s="107">
        <v>201587.0</v>
      </c>
      <c r="B1010" s="108" t="s">
        <v>246</v>
      </c>
      <c r="C1010" s="108" t="s">
        <v>408</v>
      </c>
      <c r="D1010" s="112" t="s">
        <v>177</v>
      </c>
      <c r="E1010" s="112">
        <v>1365.0</v>
      </c>
      <c r="F1010" s="111" t="str">
        <f>DataPull!D1010</f>
        <v/>
      </c>
      <c r="G1010" s="94" t="str">
        <f t="shared" si="2"/>
        <v/>
      </c>
      <c r="H1010" s="94" t="str">
        <f t="shared" si="3"/>
        <v/>
      </c>
      <c r="I1010" s="94" t="str">
        <f t="shared" ref="I1010:J1010" si="1011">if(G1010 = "", , -G1010)</f>
        <v/>
      </c>
      <c r="J1010" s="94" t="str">
        <f t="shared" si="1011"/>
        <v/>
      </c>
      <c r="K1010" s="100"/>
      <c r="M1010" s="100"/>
      <c r="N1010" s="100"/>
      <c r="O1010" s="100"/>
      <c r="P1010" s="100"/>
    </row>
    <row r="1011">
      <c r="A1011" s="114">
        <v>201587.0</v>
      </c>
      <c r="B1011" s="113" t="s">
        <v>247</v>
      </c>
      <c r="C1011" s="113" t="s">
        <v>408</v>
      </c>
      <c r="D1011" s="112" t="s">
        <v>177</v>
      </c>
      <c r="E1011" s="112">
        <v>1295.0</v>
      </c>
      <c r="F1011" s="111" t="str">
        <f>DataPull!D1011</f>
        <v/>
      </c>
      <c r="G1011" s="94" t="str">
        <f t="shared" si="2"/>
        <v/>
      </c>
      <c r="H1011" s="94" t="str">
        <f t="shared" si="3"/>
        <v/>
      </c>
      <c r="I1011" s="94" t="str">
        <f t="shared" ref="I1011:J1011" si="1012">if(G1011 = "", , -G1011)</f>
        <v/>
      </c>
      <c r="J1011" s="94" t="str">
        <f t="shared" si="1012"/>
        <v/>
      </c>
      <c r="K1011" s="100"/>
      <c r="L1011" s="100"/>
      <c r="M1011" s="100"/>
      <c r="N1011" s="100"/>
      <c r="O1011" s="100"/>
      <c r="P1011" s="100"/>
    </row>
    <row r="1012">
      <c r="A1012" s="107">
        <v>201588.0</v>
      </c>
      <c r="B1012" s="108" t="s">
        <v>85</v>
      </c>
      <c r="C1012" s="108" t="s">
        <v>409</v>
      </c>
      <c r="D1012" s="112" t="s">
        <v>178</v>
      </c>
      <c r="E1012" s="112">
        <v>2432.0</v>
      </c>
      <c r="F1012" s="111" t="str">
        <f>DataPull!D1012</f>
        <v/>
      </c>
      <c r="G1012" s="94" t="str">
        <f t="shared" si="2"/>
        <v/>
      </c>
      <c r="H1012" s="94" t="str">
        <f t="shared" si="3"/>
        <v/>
      </c>
      <c r="I1012" s="94" t="str">
        <f t="shared" ref="I1012:J1012" si="1013">if(G1012 = "", , -G1012)</f>
        <v/>
      </c>
      <c r="J1012" s="94" t="str">
        <f t="shared" si="1013"/>
        <v/>
      </c>
      <c r="K1012" s="100"/>
      <c r="M1012" s="100"/>
      <c r="N1012" s="100"/>
      <c r="O1012" s="100"/>
      <c r="P1012" s="100"/>
    </row>
    <row r="1013">
      <c r="A1013" s="107">
        <v>201588.0</v>
      </c>
      <c r="B1013" s="108" t="s">
        <v>90</v>
      </c>
      <c r="C1013" s="108" t="s">
        <v>409</v>
      </c>
      <c r="D1013" s="112" t="s">
        <v>184</v>
      </c>
      <c r="E1013" s="112">
        <v>1268.5</v>
      </c>
      <c r="F1013" s="111" t="str">
        <f>DataPull!D1013</f>
        <v/>
      </c>
      <c r="G1013" s="94" t="str">
        <f t="shared" si="2"/>
        <v/>
      </c>
      <c r="H1013" s="94" t="str">
        <f t="shared" si="3"/>
        <v/>
      </c>
      <c r="I1013" s="94" t="str">
        <f t="shared" ref="I1013:J1013" si="1014">if(G1013 = "", , -G1013)</f>
        <v/>
      </c>
      <c r="J1013" s="94" t="str">
        <f t="shared" si="1014"/>
        <v/>
      </c>
      <c r="K1013" s="100"/>
      <c r="M1013" s="100"/>
      <c r="N1013" s="100"/>
      <c r="O1013" s="100"/>
      <c r="P1013" s="100"/>
    </row>
    <row r="1014">
      <c r="A1014" s="107">
        <v>201588.0</v>
      </c>
      <c r="B1014" s="108" t="s">
        <v>92</v>
      </c>
      <c r="C1014" s="108" t="s">
        <v>409</v>
      </c>
      <c r="D1014" s="112" t="s">
        <v>178</v>
      </c>
      <c r="E1014" s="112">
        <v>2523.4</v>
      </c>
      <c r="F1014" s="111" t="str">
        <f>DataPull!D1014</f>
        <v/>
      </c>
      <c r="G1014" s="94" t="str">
        <f t="shared" si="2"/>
        <v/>
      </c>
      <c r="H1014" s="94" t="str">
        <f t="shared" si="3"/>
        <v/>
      </c>
      <c r="I1014" s="94" t="str">
        <f t="shared" ref="I1014:J1014" si="1015">if(G1014 = "", , -G1014)</f>
        <v/>
      </c>
      <c r="J1014" s="94" t="str">
        <f t="shared" si="1015"/>
        <v/>
      </c>
      <c r="K1014" s="100"/>
      <c r="M1014" s="100"/>
      <c r="N1014" s="100"/>
      <c r="O1014" s="100"/>
      <c r="P1014" s="100"/>
    </row>
    <row r="1015">
      <c r="A1015" s="107">
        <v>201588.0</v>
      </c>
      <c r="B1015" s="108" t="s">
        <v>190</v>
      </c>
      <c r="C1015" s="108" t="s">
        <v>409</v>
      </c>
      <c r="D1015" s="112" t="s">
        <v>184</v>
      </c>
      <c r="E1015" s="112">
        <v>1543.5</v>
      </c>
      <c r="F1015" s="111" t="str">
        <f>DataPull!D1015</f>
        <v/>
      </c>
      <c r="G1015" s="94" t="str">
        <f t="shared" si="2"/>
        <v/>
      </c>
      <c r="H1015" s="94" t="str">
        <f t="shared" si="3"/>
        <v/>
      </c>
      <c r="I1015" s="94" t="str">
        <f t="shared" ref="I1015:J1015" si="1016">if(G1015 = "", , -G1015)</f>
        <v/>
      </c>
      <c r="J1015" s="94" t="str">
        <f t="shared" si="1016"/>
        <v/>
      </c>
      <c r="K1015" s="100"/>
      <c r="M1015" s="100"/>
      <c r="N1015" s="100"/>
      <c r="O1015" s="100"/>
      <c r="P1015" s="100"/>
    </row>
    <row r="1016">
      <c r="A1016" s="107">
        <v>201588.0</v>
      </c>
      <c r="B1016" s="108" t="s">
        <v>191</v>
      </c>
      <c r="C1016" s="108" t="s">
        <v>409</v>
      </c>
      <c r="D1016" s="112" t="s">
        <v>178</v>
      </c>
      <c r="E1016" s="112">
        <v>1809.0</v>
      </c>
      <c r="F1016" s="111" t="str">
        <f>DataPull!D1016</f>
        <v/>
      </c>
      <c r="G1016" s="94" t="str">
        <f t="shared" si="2"/>
        <v/>
      </c>
      <c r="H1016" s="94" t="str">
        <f t="shared" si="3"/>
        <v/>
      </c>
      <c r="I1016" s="94" t="str">
        <f t="shared" ref="I1016:J1016" si="1017">if(G1016 = "", , -G1016)</f>
        <v/>
      </c>
      <c r="J1016" s="94" t="str">
        <f t="shared" si="1017"/>
        <v/>
      </c>
      <c r="K1016" s="100"/>
      <c r="M1016" s="100"/>
      <c r="N1016" s="100"/>
      <c r="O1016" s="100"/>
      <c r="P1016" s="100"/>
    </row>
    <row r="1017">
      <c r="A1017" s="107">
        <v>201588.0</v>
      </c>
      <c r="B1017" s="108" t="s">
        <v>192</v>
      </c>
      <c r="C1017" s="108" t="s">
        <v>409</v>
      </c>
      <c r="D1017" s="112" t="s">
        <v>177</v>
      </c>
      <c r="E1017" s="112">
        <v>1302.0</v>
      </c>
      <c r="F1017" s="111" t="str">
        <f>DataPull!D1017</f>
        <v/>
      </c>
      <c r="G1017" s="94" t="str">
        <f t="shared" si="2"/>
        <v/>
      </c>
      <c r="H1017" s="94" t="str">
        <f t="shared" si="3"/>
        <v/>
      </c>
      <c r="I1017" s="94" t="str">
        <f t="shared" ref="I1017:J1017" si="1018">if(G1017 = "", , -G1017)</f>
        <v/>
      </c>
      <c r="J1017" s="94" t="str">
        <f t="shared" si="1018"/>
        <v/>
      </c>
      <c r="K1017" s="100"/>
      <c r="M1017" s="100"/>
      <c r="N1017" s="100"/>
      <c r="O1017" s="100"/>
    </row>
    <row r="1018">
      <c r="A1018" s="107">
        <v>201588.0</v>
      </c>
      <c r="B1018" s="108" t="s">
        <v>193</v>
      </c>
      <c r="C1018" s="108" t="s">
        <v>409</v>
      </c>
      <c r="D1018" s="112" t="s">
        <v>176</v>
      </c>
      <c r="E1018" s="112">
        <v>1268.5</v>
      </c>
      <c r="F1018" s="111" t="str">
        <f>DataPull!D1018</f>
        <v/>
      </c>
      <c r="G1018" s="94" t="str">
        <f t="shared" si="2"/>
        <v/>
      </c>
      <c r="H1018" s="94" t="str">
        <f t="shared" si="3"/>
        <v/>
      </c>
      <c r="I1018" s="94" t="str">
        <f t="shared" ref="I1018:J1018" si="1019">if(G1018 = "", , -G1018)</f>
        <v/>
      </c>
      <c r="J1018" s="94" t="str">
        <f t="shared" si="1019"/>
        <v/>
      </c>
      <c r="K1018" s="100"/>
      <c r="M1018" s="100"/>
      <c r="N1018" s="100"/>
      <c r="O1018" s="100"/>
    </row>
    <row r="1019">
      <c r="A1019" s="107">
        <v>201588.0</v>
      </c>
      <c r="B1019" s="108" t="s">
        <v>243</v>
      </c>
      <c r="C1019" s="108" t="s">
        <v>409</v>
      </c>
      <c r="D1019" s="112" t="s">
        <v>177</v>
      </c>
      <c r="E1019" s="112">
        <v>672.0</v>
      </c>
      <c r="F1019" s="111" t="str">
        <f>DataPull!D1019</f>
        <v/>
      </c>
      <c r="G1019" s="94" t="str">
        <f t="shared" si="2"/>
        <v/>
      </c>
      <c r="H1019" s="94" t="str">
        <f t="shared" si="3"/>
        <v/>
      </c>
      <c r="I1019" s="94" t="str">
        <f t="shared" ref="I1019:J1019" si="1020">if(G1019 = "", , -G1019)</f>
        <v/>
      </c>
      <c r="J1019" s="94" t="str">
        <f t="shared" si="1020"/>
        <v/>
      </c>
      <c r="K1019" s="100"/>
      <c r="M1019" s="100"/>
      <c r="N1019" s="100"/>
      <c r="O1019" s="100"/>
      <c r="P1019" s="100"/>
    </row>
    <row r="1020">
      <c r="A1020" s="107">
        <v>201588.0</v>
      </c>
      <c r="B1020" s="108" t="s">
        <v>215</v>
      </c>
      <c r="C1020" s="108" t="s">
        <v>409</v>
      </c>
      <c r="D1020" s="112" t="s">
        <v>176</v>
      </c>
      <c r="E1020" s="112">
        <v>1252.8</v>
      </c>
      <c r="F1020" s="111" t="str">
        <f>DataPull!D1020</f>
        <v/>
      </c>
      <c r="G1020" s="94" t="str">
        <f t="shared" si="2"/>
        <v/>
      </c>
      <c r="H1020" s="94" t="str">
        <f t="shared" si="3"/>
        <v/>
      </c>
      <c r="I1020" s="94" t="str">
        <f t="shared" ref="I1020:J1020" si="1021">if(G1020 = "", , -G1020)</f>
        <v/>
      </c>
      <c r="J1020" s="94" t="str">
        <f t="shared" si="1021"/>
        <v/>
      </c>
      <c r="K1020" s="100"/>
      <c r="M1020" s="100"/>
      <c r="N1020" s="100"/>
      <c r="O1020" s="100"/>
    </row>
    <row r="1021">
      <c r="A1021" s="107">
        <v>201588.0</v>
      </c>
      <c r="B1021" s="108" t="s">
        <v>244</v>
      </c>
      <c r="C1021" s="108" t="s">
        <v>409</v>
      </c>
      <c r="D1021" s="112" t="s">
        <v>177</v>
      </c>
      <c r="E1021" s="112">
        <v>832.6</v>
      </c>
      <c r="F1021" s="111" t="str">
        <f>DataPull!D1021</f>
        <v/>
      </c>
      <c r="G1021" s="94" t="str">
        <f t="shared" si="2"/>
        <v/>
      </c>
      <c r="H1021" s="94" t="str">
        <f t="shared" si="3"/>
        <v/>
      </c>
      <c r="I1021" s="94" t="str">
        <f t="shared" ref="I1021:J1021" si="1022">if(G1021 = "", , -G1021)</f>
        <v/>
      </c>
      <c r="J1021" s="94" t="str">
        <f t="shared" si="1022"/>
        <v/>
      </c>
      <c r="N1021" s="100"/>
      <c r="O1021" s="100"/>
    </row>
    <row r="1022">
      <c r="A1022" s="107">
        <v>201589.0</v>
      </c>
      <c r="B1022" s="108" t="s">
        <v>85</v>
      </c>
      <c r="C1022" s="108" t="s">
        <v>410</v>
      </c>
      <c r="D1022" s="112" t="s">
        <v>177</v>
      </c>
      <c r="E1022" s="112">
        <v>1162.8</v>
      </c>
      <c r="F1022" s="111" t="str">
        <f>DataPull!D1022</f>
        <v/>
      </c>
      <c r="G1022" s="94" t="str">
        <f t="shared" si="2"/>
        <v/>
      </c>
      <c r="H1022" s="94" t="str">
        <f t="shared" si="3"/>
        <v/>
      </c>
      <c r="I1022" s="94" t="str">
        <f t="shared" ref="I1022:J1022" si="1023">if(G1022 = "", , -G1022)</f>
        <v/>
      </c>
      <c r="J1022" s="94" t="str">
        <f t="shared" si="1023"/>
        <v/>
      </c>
      <c r="K1022" s="100"/>
      <c r="M1022" s="100"/>
      <c r="N1022" s="100"/>
      <c r="O1022" s="100"/>
      <c r="P1022" s="100"/>
    </row>
    <row r="1023">
      <c r="A1023" s="107">
        <v>201589.0</v>
      </c>
      <c r="B1023" s="108" t="s">
        <v>90</v>
      </c>
      <c r="C1023" s="108" t="s">
        <v>410</v>
      </c>
      <c r="D1023" s="112" t="s">
        <v>177</v>
      </c>
      <c r="E1023" s="112">
        <v>986.0</v>
      </c>
      <c r="F1023" s="111" t="str">
        <f>DataPull!D1023</f>
        <v/>
      </c>
      <c r="G1023" s="94" t="str">
        <f t="shared" si="2"/>
        <v/>
      </c>
      <c r="H1023" s="94" t="str">
        <f t="shared" si="3"/>
        <v/>
      </c>
      <c r="I1023" s="94" t="str">
        <f t="shared" ref="I1023:J1023" si="1024">if(G1023 = "", , -G1023)</f>
        <v/>
      </c>
      <c r="J1023" s="94" t="str">
        <f t="shared" si="1024"/>
        <v/>
      </c>
      <c r="K1023" s="100"/>
      <c r="L1023" s="100"/>
      <c r="M1023" s="100"/>
      <c r="N1023" s="100"/>
      <c r="O1023" s="100"/>
      <c r="P1023" s="100"/>
    </row>
    <row r="1024">
      <c r="A1024" s="107">
        <v>201589.0</v>
      </c>
      <c r="B1024" s="108" t="s">
        <v>92</v>
      </c>
      <c r="C1024" s="108" t="s">
        <v>410</v>
      </c>
      <c r="D1024" s="112" t="s">
        <v>176</v>
      </c>
      <c r="E1024" s="112">
        <v>1519.0</v>
      </c>
      <c r="F1024" s="111" t="str">
        <f>DataPull!D1024</f>
        <v/>
      </c>
      <c r="G1024" s="94" t="str">
        <f t="shared" si="2"/>
        <v/>
      </c>
      <c r="H1024" s="94" t="str">
        <f t="shared" si="3"/>
        <v/>
      </c>
      <c r="I1024" s="94" t="str">
        <f t="shared" ref="I1024:J1024" si="1025">if(G1024 = "", , -G1024)</f>
        <v/>
      </c>
      <c r="J1024" s="94" t="str">
        <f t="shared" si="1025"/>
        <v/>
      </c>
      <c r="K1024" s="100"/>
      <c r="M1024" s="100"/>
      <c r="N1024" s="100"/>
      <c r="O1024" s="100"/>
      <c r="P1024" s="100"/>
    </row>
    <row r="1025">
      <c r="A1025" s="107">
        <v>201589.0</v>
      </c>
      <c r="B1025" s="108" t="s">
        <v>190</v>
      </c>
      <c r="C1025" s="108" t="s">
        <v>410</v>
      </c>
      <c r="D1025" s="112" t="s">
        <v>177</v>
      </c>
      <c r="E1025" s="112">
        <v>639.6</v>
      </c>
      <c r="F1025" s="111" t="str">
        <f>DataPull!D1025</f>
        <v/>
      </c>
      <c r="G1025" s="94" t="str">
        <f t="shared" si="2"/>
        <v/>
      </c>
      <c r="H1025" s="94" t="str">
        <f t="shared" si="3"/>
        <v/>
      </c>
      <c r="I1025" s="94" t="str">
        <f t="shared" ref="I1025:J1025" si="1026">if(G1025 = "", , -G1025)</f>
        <v/>
      </c>
      <c r="J1025" s="94" t="str">
        <f t="shared" si="1026"/>
        <v/>
      </c>
      <c r="K1025" s="100"/>
      <c r="M1025" s="100"/>
      <c r="N1025" s="100"/>
      <c r="O1025" s="100"/>
      <c r="P1025" s="100"/>
    </row>
    <row r="1026">
      <c r="A1026" s="107">
        <v>201589.0</v>
      </c>
      <c r="B1026" s="108" t="s">
        <v>191</v>
      </c>
      <c r="C1026" s="108" t="s">
        <v>410</v>
      </c>
      <c r="D1026" s="112" t="s">
        <v>187</v>
      </c>
      <c r="E1026" s="112">
        <v>140.6</v>
      </c>
      <c r="F1026" s="111" t="str">
        <f>DataPull!D1026</f>
        <v/>
      </c>
      <c r="G1026" s="94" t="str">
        <f t="shared" si="2"/>
        <v/>
      </c>
      <c r="H1026" s="94" t="str">
        <f t="shared" si="3"/>
        <v/>
      </c>
      <c r="I1026" s="94" t="str">
        <f t="shared" ref="I1026:J1026" si="1027">if(G1026 = "", , -G1026)</f>
        <v/>
      </c>
      <c r="J1026" s="94" t="str">
        <f t="shared" si="1027"/>
        <v/>
      </c>
      <c r="K1026" s="100"/>
      <c r="L1026" s="100"/>
      <c r="M1026" s="100"/>
      <c r="N1026" s="100"/>
      <c r="O1026" s="100"/>
      <c r="P1026" s="100"/>
    </row>
    <row r="1027">
      <c r="A1027" s="107">
        <v>201591.0</v>
      </c>
      <c r="B1027" s="108" t="s">
        <v>85</v>
      </c>
      <c r="C1027" s="108" t="s">
        <v>411</v>
      </c>
      <c r="D1027" s="112" t="s">
        <v>181</v>
      </c>
      <c r="E1027" s="112">
        <v>10.2</v>
      </c>
      <c r="F1027" s="111" t="str">
        <f>DataPull!D1027</f>
        <v/>
      </c>
      <c r="G1027" s="94" t="str">
        <f t="shared" si="2"/>
        <v/>
      </c>
      <c r="H1027" s="94" t="str">
        <f t="shared" si="3"/>
        <v/>
      </c>
      <c r="I1027" s="94" t="str">
        <f t="shared" ref="I1027:J1027" si="1028">if(G1027 = "", , -G1027)</f>
        <v/>
      </c>
      <c r="J1027" s="94" t="str">
        <f t="shared" si="1028"/>
        <v/>
      </c>
      <c r="K1027" s="100"/>
      <c r="L1027" s="100"/>
      <c r="N1027" s="100"/>
      <c r="O1027" s="100"/>
      <c r="P1027" s="100"/>
    </row>
    <row r="1028">
      <c r="A1028" s="107">
        <v>201593.0</v>
      </c>
      <c r="B1028" s="108" t="s">
        <v>85</v>
      </c>
      <c r="C1028" s="108" t="s">
        <v>412</v>
      </c>
      <c r="D1028" s="112" t="s">
        <v>178</v>
      </c>
      <c r="E1028" s="112">
        <v>1663.2</v>
      </c>
      <c r="F1028" s="111" t="str">
        <f>DataPull!D1028</f>
        <v/>
      </c>
      <c r="G1028" s="94" t="str">
        <f t="shared" si="2"/>
        <v/>
      </c>
      <c r="H1028" s="94" t="str">
        <f t="shared" si="3"/>
        <v/>
      </c>
      <c r="I1028" s="94" t="str">
        <f t="shared" ref="I1028:J1028" si="1029">if(G1028 = "", , -G1028)</f>
        <v/>
      </c>
      <c r="J1028" s="94" t="str">
        <f t="shared" si="1029"/>
        <v/>
      </c>
      <c r="K1028" s="100"/>
      <c r="M1028" s="100"/>
      <c r="N1028" s="100"/>
      <c r="O1028" s="100"/>
      <c r="P1028" s="100"/>
    </row>
    <row r="1029">
      <c r="A1029" s="107">
        <v>201593.0</v>
      </c>
      <c r="B1029" s="108" t="s">
        <v>90</v>
      </c>
      <c r="C1029" s="108" t="s">
        <v>412</v>
      </c>
      <c r="D1029" s="112" t="s">
        <v>176</v>
      </c>
      <c r="E1029" s="112">
        <v>815.3</v>
      </c>
      <c r="F1029" s="111" t="str">
        <f>DataPull!D1029</f>
        <v/>
      </c>
      <c r="G1029" s="94" t="str">
        <f t="shared" si="2"/>
        <v/>
      </c>
      <c r="H1029" s="94" t="str">
        <f t="shared" si="3"/>
        <v/>
      </c>
      <c r="I1029" s="94" t="str">
        <f t="shared" ref="I1029:J1029" si="1030">if(G1029 = "", , -G1029)</f>
        <v/>
      </c>
      <c r="J1029" s="94" t="str">
        <f t="shared" si="1030"/>
        <v/>
      </c>
      <c r="K1029" s="100"/>
      <c r="M1029" s="100"/>
      <c r="N1029" s="100"/>
      <c r="O1029" s="100"/>
      <c r="P1029" s="100"/>
    </row>
    <row r="1030">
      <c r="A1030" s="107">
        <v>201593.0</v>
      </c>
      <c r="B1030" s="108" t="s">
        <v>92</v>
      </c>
      <c r="C1030" s="108" t="s">
        <v>412</v>
      </c>
      <c r="D1030" s="112" t="s">
        <v>187</v>
      </c>
      <c r="E1030" s="112">
        <v>156.0</v>
      </c>
      <c r="F1030" s="111" t="str">
        <f>DataPull!D1030</f>
        <v/>
      </c>
      <c r="G1030" s="94" t="str">
        <f t="shared" si="2"/>
        <v/>
      </c>
      <c r="H1030" s="94" t="str">
        <f t="shared" si="3"/>
        <v/>
      </c>
      <c r="I1030" s="94" t="str">
        <f t="shared" ref="I1030:J1030" si="1031">if(G1030 = "", , -G1030)</f>
        <v/>
      </c>
      <c r="J1030" s="94" t="str">
        <f t="shared" si="1031"/>
        <v/>
      </c>
      <c r="K1030" s="100"/>
      <c r="M1030" s="100"/>
      <c r="N1030" s="100"/>
      <c r="O1030" s="100"/>
      <c r="P1030" s="100"/>
    </row>
    <row r="1031">
      <c r="A1031" s="107">
        <v>201595.0</v>
      </c>
      <c r="B1031" s="108" t="s">
        <v>90</v>
      </c>
      <c r="C1031" s="108" t="s">
        <v>413</v>
      </c>
      <c r="D1031" s="112" t="s">
        <v>177</v>
      </c>
      <c r="E1031" s="112">
        <v>855.6</v>
      </c>
      <c r="F1031" s="111" t="str">
        <f>DataPull!D1031</f>
        <v/>
      </c>
      <c r="G1031" s="94" t="str">
        <f t="shared" si="2"/>
        <v/>
      </c>
      <c r="H1031" s="94" t="str">
        <f t="shared" si="3"/>
        <v/>
      </c>
      <c r="I1031" s="94" t="str">
        <f t="shared" ref="I1031:J1031" si="1032">if(G1031 = "", , -G1031)</f>
        <v/>
      </c>
      <c r="J1031" s="94" t="str">
        <f t="shared" si="1032"/>
        <v/>
      </c>
      <c r="K1031" s="100"/>
      <c r="L1031" s="100"/>
      <c r="M1031" s="100"/>
      <c r="N1031" s="100"/>
      <c r="O1031" s="100"/>
      <c r="P1031" s="100"/>
    </row>
    <row r="1032">
      <c r="A1032" s="107">
        <v>201596.0</v>
      </c>
      <c r="B1032" s="108" t="s">
        <v>85</v>
      </c>
      <c r="C1032" s="108" t="s">
        <v>414</v>
      </c>
      <c r="D1032" s="112" t="s">
        <v>178</v>
      </c>
      <c r="E1032" s="112">
        <v>2175.4</v>
      </c>
      <c r="F1032" s="111" t="str">
        <f>DataPull!D1032</f>
        <v/>
      </c>
      <c r="G1032" s="94" t="str">
        <f t="shared" si="2"/>
        <v/>
      </c>
      <c r="H1032" s="94" t="str">
        <f t="shared" si="3"/>
        <v/>
      </c>
      <c r="I1032" s="94" t="str">
        <f t="shared" ref="I1032:J1032" si="1033">if(G1032 = "", , -G1032)</f>
        <v/>
      </c>
      <c r="J1032" s="94" t="str">
        <f t="shared" si="1033"/>
        <v/>
      </c>
      <c r="K1032" s="100"/>
      <c r="M1032" s="100"/>
      <c r="N1032" s="100"/>
      <c r="O1032" s="100"/>
      <c r="P1032" s="100"/>
    </row>
    <row r="1033">
      <c r="A1033" s="107">
        <v>201596.0</v>
      </c>
      <c r="B1033" s="108" t="s">
        <v>90</v>
      </c>
      <c r="C1033" s="108" t="s">
        <v>414</v>
      </c>
      <c r="D1033" s="112" t="s">
        <v>178</v>
      </c>
      <c r="E1033" s="112">
        <v>2368.0</v>
      </c>
      <c r="F1033" s="111" t="str">
        <f>DataPull!D1033</f>
        <v/>
      </c>
      <c r="G1033" s="94" t="str">
        <f t="shared" si="2"/>
        <v/>
      </c>
      <c r="H1033" s="94" t="str">
        <f t="shared" si="3"/>
        <v/>
      </c>
      <c r="I1033" s="94" t="str">
        <f t="shared" ref="I1033:J1033" si="1034">if(G1033 = "", , -G1033)</f>
        <v/>
      </c>
      <c r="J1033" s="94" t="str">
        <f t="shared" si="1034"/>
        <v/>
      </c>
      <c r="K1033" s="100"/>
      <c r="M1033" s="100"/>
      <c r="N1033" s="100"/>
      <c r="O1033" s="100"/>
      <c r="P1033" s="100"/>
    </row>
    <row r="1034">
      <c r="A1034" s="107">
        <v>201596.0</v>
      </c>
      <c r="B1034" s="108" t="s">
        <v>92</v>
      </c>
      <c r="C1034" s="108" t="s">
        <v>414</v>
      </c>
      <c r="D1034" s="112" t="s">
        <v>176</v>
      </c>
      <c r="E1034" s="112">
        <v>1372.5</v>
      </c>
      <c r="F1034" s="111" t="str">
        <f>DataPull!D1034</f>
        <v/>
      </c>
      <c r="G1034" s="94" t="str">
        <f t="shared" si="2"/>
        <v/>
      </c>
      <c r="H1034" s="94" t="str">
        <f t="shared" si="3"/>
        <v/>
      </c>
      <c r="I1034" s="94" t="str">
        <f t="shared" ref="I1034:J1034" si="1035">if(G1034 = "", , -G1034)</f>
        <v/>
      </c>
      <c r="J1034" s="94" t="str">
        <f t="shared" si="1035"/>
        <v/>
      </c>
      <c r="K1034" s="100"/>
      <c r="L1034" s="100"/>
      <c r="N1034" s="100"/>
      <c r="O1034" s="100"/>
      <c r="P1034" s="100"/>
    </row>
    <row r="1035">
      <c r="A1035" s="107">
        <v>201596.0</v>
      </c>
      <c r="B1035" s="108" t="s">
        <v>191</v>
      </c>
      <c r="C1035" s="108" t="s">
        <v>414</v>
      </c>
      <c r="D1035" s="112" t="s">
        <v>176</v>
      </c>
      <c r="E1035" s="112">
        <v>1419.0</v>
      </c>
      <c r="F1035" s="111" t="str">
        <f>DataPull!D1035</f>
        <v/>
      </c>
      <c r="G1035" s="94" t="str">
        <f t="shared" si="2"/>
        <v/>
      </c>
      <c r="H1035" s="94" t="str">
        <f t="shared" si="3"/>
        <v/>
      </c>
      <c r="I1035" s="94" t="str">
        <f t="shared" ref="I1035:J1035" si="1036">if(G1035 = "", , -G1035)</f>
        <v/>
      </c>
      <c r="J1035" s="94" t="str">
        <f t="shared" si="1036"/>
        <v/>
      </c>
      <c r="K1035" s="100"/>
      <c r="M1035" s="100"/>
      <c r="N1035" s="100"/>
      <c r="O1035" s="100"/>
      <c r="P1035" s="100"/>
    </row>
    <row r="1036">
      <c r="A1036" s="107">
        <v>201599.0</v>
      </c>
      <c r="B1036" s="108" t="s">
        <v>85</v>
      </c>
      <c r="C1036" s="108" t="s">
        <v>415</v>
      </c>
      <c r="D1036" s="112" t="s">
        <v>184</v>
      </c>
      <c r="E1036" s="112">
        <v>2870.0</v>
      </c>
      <c r="F1036" s="111" t="str">
        <f>DataPull!D1036</f>
        <v/>
      </c>
      <c r="G1036" s="94" t="str">
        <f t="shared" si="2"/>
        <v/>
      </c>
      <c r="H1036" s="94" t="str">
        <f t="shared" si="3"/>
        <v/>
      </c>
      <c r="I1036" s="94" t="str">
        <f t="shared" ref="I1036:J1036" si="1037">if(G1036 = "", , -G1036)</f>
        <v/>
      </c>
      <c r="J1036" s="94" t="str">
        <f t="shared" si="1037"/>
        <v/>
      </c>
      <c r="K1036" s="100"/>
      <c r="M1036" s="100"/>
      <c r="N1036" s="100"/>
      <c r="O1036" s="100"/>
      <c r="P1036" s="100"/>
    </row>
    <row r="1037">
      <c r="A1037" s="107">
        <v>201599.0</v>
      </c>
      <c r="B1037" s="108" t="s">
        <v>90</v>
      </c>
      <c r="C1037" s="108" t="s">
        <v>415</v>
      </c>
      <c r="D1037" s="112" t="s">
        <v>184</v>
      </c>
      <c r="E1037" s="112">
        <v>2820.8</v>
      </c>
      <c r="F1037" s="111" t="str">
        <f>DataPull!D1037</f>
        <v/>
      </c>
      <c r="G1037" s="94" t="str">
        <f t="shared" si="2"/>
        <v/>
      </c>
      <c r="H1037" s="94" t="str">
        <f t="shared" si="3"/>
        <v/>
      </c>
      <c r="I1037" s="94" t="str">
        <f t="shared" ref="I1037:J1037" si="1038">if(G1037 = "", , -G1037)</f>
        <v/>
      </c>
      <c r="J1037" s="94" t="str">
        <f t="shared" si="1038"/>
        <v/>
      </c>
      <c r="K1037" s="100"/>
      <c r="M1037" s="100"/>
      <c r="N1037" s="100"/>
      <c r="O1037" s="100"/>
      <c r="P1037" s="100"/>
    </row>
    <row r="1038">
      <c r="A1038" s="107">
        <v>201599.0</v>
      </c>
      <c r="B1038" s="108" t="s">
        <v>92</v>
      </c>
      <c r="C1038" s="108" t="s">
        <v>415</v>
      </c>
      <c r="D1038" s="112" t="s">
        <v>184</v>
      </c>
      <c r="E1038" s="112">
        <v>2594.9</v>
      </c>
      <c r="F1038" s="111" t="str">
        <f>DataPull!D1038</f>
        <v/>
      </c>
      <c r="G1038" s="94" t="str">
        <f t="shared" si="2"/>
        <v/>
      </c>
      <c r="H1038" s="94" t="str">
        <f t="shared" si="3"/>
        <v/>
      </c>
      <c r="I1038" s="94" t="str">
        <f t="shared" ref="I1038:J1038" si="1039">if(G1038 = "", , -G1038)</f>
        <v/>
      </c>
      <c r="J1038" s="94" t="str">
        <f t="shared" si="1039"/>
        <v/>
      </c>
      <c r="K1038" s="100"/>
      <c r="M1038" s="100"/>
      <c r="N1038" s="100"/>
      <c r="O1038" s="100"/>
      <c r="P1038" s="100"/>
    </row>
    <row r="1039">
      <c r="A1039" s="107">
        <v>201599.0</v>
      </c>
      <c r="B1039" s="108" t="s">
        <v>190</v>
      </c>
      <c r="C1039" s="108" t="s">
        <v>415</v>
      </c>
      <c r="D1039" s="112" t="s">
        <v>184</v>
      </c>
      <c r="E1039" s="112">
        <v>2567.7</v>
      </c>
      <c r="F1039" s="111" t="str">
        <f>DataPull!D1039</f>
        <v/>
      </c>
      <c r="G1039" s="94" t="str">
        <f t="shared" si="2"/>
        <v/>
      </c>
      <c r="H1039" s="94" t="str">
        <f t="shared" si="3"/>
        <v/>
      </c>
      <c r="I1039" s="94" t="str">
        <f t="shared" ref="I1039:J1039" si="1040">if(G1039 = "", , -G1039)</f>
        <v/>
      </c>
      <c r="J1039" s="94" t="str">
        <f t="shared" si="1040"/>
        <v/>
      </c>
      <c r="K1039" s="100"/>
      <c r="L1039" s="100"/>
      <c r="N1039" s="100"/>
      <c r="O1039" s="100"/>
      <c r="P1039" s="100"/>
    </row>
    <row r="1040">
      <c r="A1040" s="107">
        <v>201599.0</v>
      </c>
      <c r="B1040" s="108" t="s">
        <v>191</v>
      </c>
      <c r="C1040" s="108" t="s">
        <v>415</v>
      </c>
      <c r="D1040" s="112" t="s">
        <v>176</v>
      </c>
      <c r="E1040" s="112">
        <v>2425.5</v>
      </c>
      <c r="F1040" s="111" t="str">
        <f>DataPull!D1040</f>
        <v/>
      </c>
      <c r="G1040" s="94" t="str">
        <f t="shared" si="2"/>
        <v/>
      </c>
      <c r="H1040" s="94" t="str">
        <f t="shared" si="3"/>
        <v/>
      </c>
      <c r="I1040" s="94" t="str">
        <f t="shared" ref="I1040:J1040" si="1041">if(G1040 = "", , -G1040)</f>
        <v/>
      </c>
      <c r="J1040" s="94" t="str">
        <f t="shared" si="1041"/>
        <v/>
      </c>
      <c r="K1040" s="100"/>
      <c r="L1040" s="100"/>
      <c r="M1040" s="100"/>
      <c r="N1040" s="100"/>
      <c r="O1040" s="100"/>
      <c r="P1040" s="100"/>
    </row>
    <row r="1041">
      <c r="A1041" s="107">
        <v>201599.0</v>
      </c>
      <c r="B1041" s="108" t="s">
        <v>192</v>
      </c>
      <c r="C1041" s="108" t="s">
        <v>415</v>
      </c>
      <c r="D1041" s="112" t="s">
        <v>178</v>
      </c>
      <c r="E1041" s="112">
        <v>2049.3</v>
      </c>
      <c r="F1041" s="111" t="str">
        <f>DataPull!D1041</f>
        <v/>
      </c>
      <c r="G1041" s="94" t="str">
        <f t="shared" si="2"/>
        <v/>
      </c>
      <c r="H1041" s="94" t="str">
        <f t="shared" si="3"/>
        <v/>
      </c>
      <c r="I1041" s="94" t="str">
        <f t="shared" ref="I1041:J1041" si="1042">if(G1041 = "", , -G1041)</f>
        <v/>
      </c>
      <c r="J1041" s="94" t="str">
        <f t="shared" si="1042"/>
        <v/>
      </c>
      <c r="K1041" s="100"/>
      <c r="M1041" s="100"/>
      <c r="N1041" s="100"/>
      <c r="O1041" s="100"/>
      <c r="P1041" s="100"/>
    </row>
    <row r="1042">
      <c r="A1042" s="107">
        <v>201599.0</v>
      </c>
      <c r="B1042" s="108" t="s">
        <v>193</v>
      </c>
      <c r="C1042" s="108" t="s">
        <v>415</v>
      </c>
      <c r="D1042" s="112" t="s">
        <v>176</v>
      </c>
      <c r="E1042" s="112">
        <v>1232.0</v>
      </c>
      <c r="F1042" s="111" t="str">
        <f>DataPull!D1042</f>
        <v/>
      </c>
      <c r="G1042" s="94" t="str">
        <f t="shared" si="2"/>
        <v/>
      </c>
      <c r="H1042" s="94" t="str">
        <f t="shared" si="3"/>
        <v/>
      </c>
      <c r="I1042" s="94" t="str">
        <f t="shared" ref="I1042:J1042" si="1043">if(G1042 = "", , -G1042)</f>
        <v/>
      </c>
      <c r="J1042" s="94" t="str">
        <f t="shared" si="1043"/>
        <v/>
      </c>
      <c r="K1042" s="100"/>
      <c r="L1042" s="100"/>
      <c r="M1042" s="100"/>
      <c r="N1042" s="100"/>
      <c r="O1042" s="100"/>
      <c r="P1042" s="100"/>
    </row>
    <row r="1043">
      <c r="A1043" s="107">
        <v>201599.0</v>
      </c>
      <c r="B1043" s="108" t="s">
        <v>243</v>
      </c>
      <c r="C1043" s="108" t="s">
        <v>415</v>
      </c>
      <c r="D1043" s="112" t="s">
        <v>177</v>
      </c>
      <c r="E1043" s="112">
        <v>1248.3</v>
      </c>
      <c r="F1043" s="111" t="str">
        <f>DataPull!D1043</f>
        <v/>
      </c>
      <c r="G1043" s="94" t="str">
        <f t="shared" si="2"/>
        <v/>
      </c>
      <c r="H1043" s="94" t="str">
        <f t="shared" si="3"/>
        <v/>
      </c>
      <c r="I1043" s="94" t="str">
        <f t="shared" ref="I1043:J1043" si="1044">if(G1043 = "", , -G1043)</f>
        <v/>
      </c>
      <c r="J1043" s="94" t="str">
        <f t="shared" si="1044"/>
        <v/>
      </c>
      <c r="K1043" s="100"/>
      <c r="N1043" s="100"/>
      <c r="O1043" s="100"/>
      <c r="P1043" s="100"/>
    </row>
    <row r="1044">
      <c r="A1044" s="107">
        <v>201599.0</v>
      </c>
      <c r="B1044" s="108" t="s">
        <v>215</v>
      </c>
      <c r="C1044" s="108" t="s">
        <v>415</v>
      </c>
      <c r="D1044" s="112" t="s">
        <v>177</v>
      </c>
      <c r="E1044" s="112">
        <v>624.0</v>
      </c>
      <c r="F1044" s="111" t="str">
        <f>DataPull!D1044</f>
        <v/>
      </c>
      <c r="G1044" s="94" t="str">
        <f t="shared" si="2"/>
        <v/>
      </c>
      <c r="H1044" s="94" t="str">
        <f t="shared" si="3"/>
        <v/>
      </c>
      <c r="I1044" s="94" t="str">
        <f t="shared" ref="I1044:J1044" si="1045">if(G1044 = "", , -G1044)</f>
        <v/>
      </c>
      <c r="J1044" s="94" t="str">
        <f t="shared" si="1045"/>
        <v/>
      </c>
      <c r="K1044" s="100"/>
      <c r="M1044" s="100"/>
      <c r="N1044" s="100"/>
      <c r="O1044" s="100"/>
      <c r="P1044" s="100"/>
    </row>
    <row r="1045">
      <c r="A1045" s="107">
        <v>201599.0</v>
      </c>
      <c r="B1045" s="108" t="s">
        <v>244</v>
      </c>
      <c r="C1045" s="108" t="s">
        <v>415</v>
      </c>
      <c r="D1045" s="112" t="s">
        <v>187</v>
      </c>
      <c r="E1045" s="112">
        <v>585.0</v>
      </c>
      <c r="F1045" s="111" t="str">
        <f>DataPull!D1045</f>
        <v/>
      </c>
      <c r="G1045" s="94" t="str">
        <f t="shared" si="2"/>
        <v/>
      </c>
      <c r="H1045" s="94" t="str">
        <f t="shared" si="3"/>
        <v/>
      </c>
      <c r="I1045" s="94" t="str">
        <f t="shared" ref="I1045:J1045" si="1046">if(G1045 = "", , -G1045)</f>
        <v/>
      </c>
      <c r="J1045" s="94" t="str">
        <f t="shared" si="1046"/>
        <v/>
      </c>
      <c r="K1045" s="100"/>
      <c r="M1045" s="100"/>
      <c r="N1045" s="100"/>
      <c r="O1045" s="100"/>
      <c r="P1045" s="100"/>
    </row>
    <row r="1046">
      <c r="A1046" s="107">
        <v>201599.0</v>
      </c>
      <c r="B1046" s="108" t="s">
        <v>245</v>
      </c>
      <c r="C1046" s="108" t="s">
        <v>415</v>
      </c>
      <c r="D1046" s="112" t="s">
        <v>187</v>
      </c>
      <c r="E1046" s="112">
        <v>396.0</v>
      </c>
      <c r="F1046" s="111" t="str">
        <f>DataPull!D1046</f>
        <v/>
      </c>
      <c r="G1046" s="94" t="str">
        <f t="shared" si="2"/>
        <v/>
      </c>
      <c r="H1046" s="94" t="str">
        <f t="shared" si="3"/>
        <v/>
      </c>
      <c r="I1046" s="94" t="str">
        <f t="shared" ref="I1046:J1046" si="1047">if(G1046 = "", , -G1046)</f>
        <v/>
      </c>
      <c r="J1046" s="94" t="str">
        <f t="shared" si="1047"/>
        <v/>
      </c>
      <c r="K1046" s="100"/>
      <c r="N1046" s="100"/>
      <c r="O1046" s="100"/>
      <c r="P1046" s="100"/>
    </row>
    <row r="1047">
      <c r="A1047" s="107">
        <v>201599.0</v>
      </c>
      <c r="B1047" s="108" t="s">
        <v>246</v>
      </c>
      <c r="C1047" s="108" t="s">
        <v>415</v>
      </c>
      <c r="D1047" s="112" t="s">
        <v>177</v>
      </c>
      <c r="E1047" s="112">
        <v>688.8</v>
      </c>
      <c r="F1047" s="111" t="str">
        <f>DataPull!D1047</f>
        <v/>
      </c>
      <c r="G1047" s="94" t="str">
        <f t="shared" si="2"/>
        <v/>
      </c>
      <c r="H1047" s="94" t="str">
        <f t="shared" si="3"/>
        <v/>
      </c>
      <c r="I1047" s="94" t="str">
        <f t="shared" ref="I1047:J1047" si="1048">if(G1047 = "", , -G1047)</f>
        <v/>
      </c>
      <c r="J1047" s="94" t="str">
        <f t="shared" si="1048"/>
        <v/>
      </c>
      <c r="K1047" s="100"/>
      <c r="N1047" s="100"/>
      <c r="O1047" s="100"/>
      <c r="P1047" s="100"/>
    </row>
    <row r="1048">
      <c r="A1048" s="114">
        <v>201599.0</v>
      </c>
      <c r="B1048" s="113" t="s">
        <v>247</v>
      </c>
      <c r="C1048" s="113" t="s">
        <v>415</v>
      </c>
      <c r="D1048" s="112" t="s">
        <v>181</v>
      </c>
      <c r="E1048" s="112">
        <v>199.2</v>
      </c>
      <c r="F1048" s="111" t="str">
        <f>DataPull!D1048</f>
        <v/>
      </c>
      <c r="G1048" s="94" t="str">
        <f t="shared" si="2"/>
        <v/>
      </c>
      <c r="H1048" s="94" t="str">
        <f t="shared" si="3"/>
        <v/>
      </c>
      <c r="I1048" s="94" t="str">
        <f t="shared" ref="I1048:J1048" si="1049">if(G1048 = "", , -G1048)</f>
        <v/>
      </c>
      <c r="J1048" s="94" t="str">
        <f t="shared" si="1049"/>
        <v/>
      </c>
      <c r="K1048" s="100"/>
      <c r="M1048" s="100"/>
      <c r="N1048" s="100"/>
      <c r="O1048" s="100"/>
      <c r="P1048" s="100"/>
    </row>
    <row r="1049">
      <c r="A1049" s="107">
        <v>201600.0</v>
      </c>
      <c r="B1049" s="108" t="s">
        <v>85</v>
      </c>
      <c r="C1049" s="108" t="s">
        <v>416</v>
      </c>
      <c r="D1049" s="112" t="s">
        <v>176</v>
      </c>
      <c r="E1049" s="112">
        <v>969.6</v>
      </c>
      <c r="F1049" s="111" t="str">
        <f>DataPull!D1049</f>
        <v/>
      </c>
      <c r="G1049" s="94" t="str">
        <f t="shared" si="2"/>
        <v/>
      </c>
      <c r="H1049" s="94" t="str">
        <f t="shared" si="3"/>
        <v/>
      </c>
      <c r="I1049" s="94" t="str">
        <f t="shared" ref="I1049:J1049" si="1050">if(G1049 = "", , -G1049)</f>
        <v/>
      </c>
      <c r="J1049" s="94" t="str">
        <f t="shared" si="1050"/>
        <v/>
      </c>
      <c r="K1049" s="100"/>
      <c r="N1049" s="100"/>
      <c r="O1049" s="100"/>
      <c r="P1049" s="100"/>
    </row>
    <row r="1050">
      <c r="A1050" s="107">
        <v>201600.0</v>
      </c>
      <c r="B1050" s="108" t="s">
        <v>90</v>
      </c>
      <c r="C1050" s="108" t="s">
        <v>416</v>
      </c>
      <c r="D1050" s="112" t="s">
        <v>176</v>
      </c>
      <c r="E1050" s="112">
        <v>1983.6</v>
      </c>
      <c r="F1050" s="111" t="str">
        <f>DataPull!D1050</f>
        <v/>
      </c>
      <c r="G1050" s="94" t="str">
        <f t="shared" si="2"/>
        <v/>
      </c>
      <c r="H1050" s="94" t="str">
        <f t="shared" si="3"/>
        <v/>
      </c>
      <c r="I1050" s="94" t="str">
        <f t="shared" ref="I1050:J1050" si="1051">if(G1050 = "", , -G1050)</f>
        <v/>
      </c>
      <c r="J1050" s="94" t="str">
        <f t="shared" si="1051"/>
        <v/>
      </c>
      <c r="K1050" s="100"/>
      <c r="M1050" s="100"/>
      <c r="N1050" s="100"/>
      <c r="O1050" s="100"/>
      <c r="P1050" s="100"/>
    </row>
    <row r="1051">
      <c r="A1051" s="107">
        <v>201600.0</v>
      </c>
      <c r="B1051" s="108" t="s">
        <v>92</v>
      </c>
      <c r="C1051" s="108" t="s">
        <v>416</v>
      </c>
      <c r="D1051" s="112" t="s">
        <v>177</v>
      </c>
      <c r="E1051" s="112">
        <v>1176.4</v>
      </c>
      <c r="F1051" s="111" t="str">
        <f>DataPull!D1051</f>
        <v/>
      </c>
      <c r="G1051" s="94" t="str">
        <f t="shared" si="2"/>
        <v/>
      </c>
      <c r="H1051" s="94" t="str">
        <f t="shared" si="3"/>
        <v/>
      </c>
      <c r="I1051" s="94" t="str">
        <f t="shared" ref="I1051:J1051" si="1052">if(G1051 = "", , -G1051)</f>
        <v/>
      </c>
      <c r="J1051" s="94" t="str">
        <f t="shared" si="1052"/>
        <v/>
      </c>
      <c r="K1051" s="100"/>
      <c r="N1051" s="100"/>
      <c r="O1051" s="100"/>
    </row>
    <row r="1052">
      <c r="A1052" s="107">
        <v>201600.0</v>
      </c>
      <c r="B1052" s="108" t="s">
        <v>190</v>
      </c>
      <c r="C1052" s="108" t="s">
        <v>416</v>
      </c>
      <c r="D1052" s="112" t="s">
        <v>177</v>
      </c>
      <c r="E1052" s="112">
        <v>483.6</v>
      </c>
      <c r="F1052" s="111" t="str">
        <f>DataPull!D1052</f>
        <v/>
      </c>
      <c r="G1052" s="94" t="str">
        <f t="shared" si="2"/>
        <v/>
      </c>
      <c r="H1052" s="94" t="str">
        <f t="shared" si="3"/>
        <v/>
      </c>
      <c r="I1052" s="94" t="str">
        <f t="shared" ref="I1052:J1052" si="1053">if(G1052 = "", , -G1052)</f>
        <v/>
      </c>
      <c r="J1052" s="94" t="str">
        <f t="shared" si="1053"/>
        <v/>
      </c>
      <c r="K1052" s="100"/>
      <c r="N1052" s="100"/>
      <c r="O1052" s="100"/>
      <c r="P1052" s="100"/>
    </row>
    <row r="1053">
      <c r="A1053" s="107">
        <v>201600.0</v>
      </c>
      <c r="B1053" s="108" t="s">
        <v>191</v>
      </c>
      <c r="C1053" s="108" t="s">
        <v>416</v>
      </c>
      <c r="D1053" s="112" t="s">
        <v>187</v>
      </c>
      <c r="E1053" s="112">
        <v>181.8</v>
      </c>
      <c r="F1053" s="111" t="str">
        <f>DataPull!D1053</f>
        <v/>
      </c>
      <c r="G1053" s="94" t="str">
        <f t="shared" si="2"/>
        <v/>
      </c>
      <c r="H1053" s="94" t="str">
        <f t="shared" si="3"/>
        <v/>
      </c>
      <c r="I1053" s="94" t="str">
        <f t="shared" ref="I1053:J1053" si="1054">if(G1053 = "", , -G1053)</f>
        <v/>
      </c>
      <c r="J1053" s="94" t="str">
        <f t="shared" si="1054"/>
        <v/>
      </c>
      <c r="M1053" s="100"/>
      <c r="N1053" s="100"/>
      <c r="O1053" s="100"/>
      <c r="P1053" s="100"/>
    </row>
    <row r="1054">
      <c r="A1054" s="107">
        <v>201601.0</v>
      </c>
      <c r="B1054" s="108" t="s">
        <v>85</v>
      </c>
      <c r="C1054" s="108" t="s">
        <v>417</v>
      </c>
      <c r="D1054" s="112" t="s">
        <v>177</v>
      </c>
      <c r="E1054" s="112">
        <v>1004.8</v>
      </c>
      <c r="F1054" s="111" t="str">
        <f>DataPull!D1054</f>
        <v/>
      </c>
      <c r="G1054" s="94" t="str">
        <f t="shared" si="2"/>
        <v/>
      </c>
      <c r="H1054" s="94" t="str">
        <f t="shared" si="3"/>
        <v/>
      </c>
      <c r="I1054" s="94" t="str">
        <f t="shared" ref="I1054:J1054" si="1055">if(G1054 = "", , -G1054)</f>
        <v/>
      </c>
      <c r="J1054" s="94" t="str">
        <f t="shared" si="1055"/>
        <v/>
      </c>
      <c r="K1054" s="100"/>
      <c r="M1054" s="100"/>
      <c r="N1054" s="100"/>
      <c r="O1054" s="100"/>
    </row>
    <row r="1055">
      <c r="A1055" s="107">
        <v>201601.0</v>
      </c>
      <c r="B1055" s="108" t="s">
        <v>90</v>
      </c>
      <c r="C1055" s="108" t="s">
        <v>417</v>
      </c>
      <c r="D1055" s="112" t="s">
        <v>178</v>
      </c>
      <c r="E1055" s="112">
        <v>1916.2</v>
      </c>
      <c r="F1055" s="111" t="str">
        <f>DataPull!D1055</f>
        <v/>
      </c>
      <c r="G1055" s="94" t="str">
        <f t="shared" si="2"/>
        <v/>
      </c>
      <c r="H1055" s="94" t="str">
        <f t="shared" si="3"/>
        <v/>
      </c>
      <c r="I1055" s="94" t="str">
        <f t="shared" ref="I1055:J1055" si="1056">if(G1055 = "", , -G1055)</f>
        <v/>
      </c>
      <c r="J1055" s="94" t="str">
        <f t="shared" si="1056"/>
        <v/>
      </c>
      <c r="K1055" s="100"/>
      <c r="M1055" s="100"/>
      <c r="N1055" s="100"/>
      <c r="O1055" s="100"/>
      <c r="P1055" s="100"/>
    </row>
    <row r="1056">
      <c r="A1056" s="107">
        <v>201601.0</v>
      </c>
      <c r="B1056" s="108" t="s">
        <v>92</v>
      </c>
      <c r="C1056" s="108" t="s">
        <v>417</v>
      </c>
      <c r="D1056" s="112" t="s">
        <v>177</v>
      </c>
      <c r="E1056" s="112">
        <v>1275.0</v>
      </c>
      <c r="F1056" s="111" t="str">
        <f>DataPull!D1056</f>
        <v/>
      </c>
      <c r="G1056" s="94" t="str">
        <f t="shared" si="2"/>
        <v/>
      </c>
      <c r="H1056" s="94" t="str">
        <f t="shared" si="3"/>
        <v/>
      </c>
      <c r="I1056" s="94" t="str">
        <f t="shared" ref="I1056:J1056" si="1057">if(G1056 = "", , -G1056)</f>
        <v/>
      </c>
      <c r="J1056" s="94" t="str">
        <f t="shared" si="1057"/>
        <v/>
      </c>
      <c r="K1056" s="100"/>
      <c r="M1056" s="100"/>
      <c r="N1056" s="100"/>
      <c r="O1056" s="100"/>
      <c r="P1056" s="100"/>
    </row>
    <row r="1057">
      <c r="A1057" s="107">
        <v>201601.0</v>
      </c>
      <c r="B1057" s="108" t="s">
        <v>190</v>
      </c>
      <c r="C1057" s="108" t="s">
        <v>417</v>
      </c>
      <c r="D1057" s="112" t="s">
        <v>176</v>
      </c>
      <c r="E1057" s="112">
        <v>1784.0</v>
      </c>
      <c r="F1057" s="111" t="str">
        <f>DataPull!D1057</f>
        <v/>
      </c>
      <c r="G1057" s="94" t="str">
        <f t="shared" si="2"/>
        <v/>
      </c>
      <c r="H1057" s="94" t="str">
        <f t="shared" si="3"/>
        <v/>
      </c>
      <c r="I1057" s="94" t="str">
        <f t="shared" ref="I1057:J1057" si="1058">if(G1057 = "", , -G1057)</f>
        <v/>
      </c>
      <c r="J1057" s="94" t="str">
        <f t="shared" si="1058"/>
        <v/>
      </c>
      <c r="K1057" s="100"/>
      <c r="N1057" s="100"/>
      <c r="O1057" s="100"/>
    </row>
    <row r="1058">
      <c r="A1058" s="107">
        <v>201601.0</v>
      </c>
      <c r="B1058" s="108" t="s">
        <v>191</v>
      </c>
      <c r="C1058" s="108" t="s">
        <v>417</v>
      </c>
      <c r="D1058" s="112" t="s">
        <v>176</v>
      </c>
      <c r="E1058" s="112">
        <v>1561.6</v>
      </c>
      <c r="F1058" s="111" t="str">
        <f>DataPull!D1058</f>
        <v/>
      </c>
      <c r="G1058" s="94" t="str">
        <f t="shared" si="2"/>
        <v/>
      </c>
      <c r="H1058" s="94" t="str">
        <f t="shared" si="3"/>
        <v/>
      </c>
      <c r="I1058" s="94" t="str">
        <f t="shared" ref="I1058:J1058" si="1059">if(G1058 = "", , -G1058)</f>
        <v/>
      </c>
      <c r="J1058" s="94" t="str">
        <f t="shared" si="1059"/>
        <v/>
      </c>
      <c r="K1058" s="100"/>
      <c r="M1058" s="100"/>
      <c r="N1058" s="100"/>
      <c r="O1058" s="100"/>
      <c r="P1058" s="100"/>
    </row>
    <row r="1059">
      <c r="A1059" s="107">
        <v>201601.0</v>
      </c>
      <c r="B1059" s="108" t="s">
        <v>192</v>
      </c>
      <c r="C1059" s="108" t="s">
        <v>417</v>
      </c>
      <c r="D1059" s="112" t="s">
        <v>181</v>
      </c>
      <c r="E1059" s="112">
        <v>61.2</v>
      </c>
      <c r="F1059" s="111" t="str">
        <f>DataPull!D1059</f>
        <v/>
      </c>
      <c r="G1059" s="94" t="str">
        <f t="shared" si="2"/>
        <v/>
      </c>
      <c r="H1059" s="94" t="str">
        <f t="shared" si="3"/>
        <v/>
      </c>
      <c r="I1059" s="94" t="str">
        <f t="shared" ref="I1059:J1059" si="1060">if(G1059 = "", , -G1059)</f>
        <v/>
      </c>
      <c r="J1059" s="94" t="str">
        <f t="shared" si="1060"/>
        <v/>
      </c>
      <c r="K1059" s="100"/>
      <c r="M1059" s="100"/>
      <c r="N1059" s="100"/>
      <c r="O1059" s="100"/>
    </row>
    <row r="1060">
      <c r="A1060" s="107">
        <v>201601.0</v>
      </c>
      <c r="B1060" s="108" t="s">
        <v>193</v>
      </c>
      <c r="C1060" s="108" t="s">
        <v>417</v>
      </c>
      <c r="D1060" s="112" t="s">
        <v>181</v>
      </c>
      <c r="E1060" s="112">
        <v>24.6</v>
      </c>
      <c r="F1060" s="111" t="str">
        <f>DataPull!D1060</f>
        <v/>
      </c>
      <c r="G1060" s="94" t="str">
        <f t="shared" si="2"/>
        <v/>
      </c>
      <c r="H1060" s="94" t="str">
        <f t="shared" si="3"/>
        <v/>
      </c>
      <c r="I1060" s="94" t="str">
        <f t="shared" ref="I1060:J1060" si="1061">if(G1060 = "", , -G1060)</f>
        <v/>
      </c>
      <c r="J1060" s="94" t="str">
        <f t="shared" si="1061"/>
        <v/>
      </c>
      <c r="K1060" s="100"/>
      <c r="N1060" s="100"/>
      <c r="O1060" s="100"/>
      <c r="P1060" s="100"/>
    </row>
    <row r="1061">
      <c r="A1061" s="107">
        <v>201603.0</v>
      </c>
      <c r="B1061" s="108" t="s">
        <v>92</v>
      </c>
      <c r="C1061" s="108" t="s">
        <v>418</v>
      </c>
      <c r="D1061" s="112" t="s">
        <v>177</v>
      </c>
      <c r="E1061" s="112">
        <v>498.8</v>
      </c>
      <c r="F1061" s="111" t="str">
        <f>DataPull!D1061</f>
        <v/>
      </c>
      <c r="G1061" s="94" t="str">
        <f t="shared" si="2"/>
        <v/>
      </c>
      <c r="H1061" s="94" t="str">
        <f t="shared" si="3"/>
        <v/>
      </c>
      <c r="I1061" s="94" t="str">
        <f t="shared" ref="I1061:J1061" si="1062">if(G1061 = "", , -G1061)</f>
        <v/>
      </c>
      <c r="J1061" s="94" t="str">
        <f t="shared" si="1062"/>
        <v/>
      </c>
      <c r="K1061" s="100"/>
      <c r="M1061" s="100"/>
      <c r="N1061" s="100"/>
      <c r="O1061" s="100"/>
    </row>
    <row r="1062">
      <c r="A1062" s="107">
        <v>201604.0</v>
      </c>
      <c r="B1062" s="108" t="s">
        <v>85</v>
      </c>
      <c r="C1062" s="108" t="s">
        <v>419</v>
      </c>
      <c r="D1062" s="112" t="s">
        <v>177</v>
      </c>
      <c r="E1062" s="112">
        <v>1014.3</v>
      </c>
      <c r="F1062" s="111" t="str">
        <f>DataPull!D1062</f>
        <v/>
      </c>
      <c r="G1062" s="94" t="str">
        <f t="shared" si="2"/>
        <v/>
      </c>
      <c r="H1062" s="94" t="str">
        <f t="shared" si="3"/>
        <v/>
      </c>
      <c r="I1062" s="94" t="str">
        <f t="shared" ref="I1062:J1062" si="1063">if(G1062 = "", , -G1062)</f>
        <v/>
      </c>
      <c r="J1062" s="94" t="str">
        <f t="shared" si="1063"/>
        <v/>
      </c>
      <c r="K1062" s="100"/>
      <c r="M1062" s="100"/>
      <c r="N1062" s="100"/>
      <c r="O1062" s="100"/>
      <c r="P1062" s="100"/>
    </row>
    <row r="1063">
      <c r="A1063" s="107">
        <v>201604.0</v>
      </c>
      <c r="B1063" s="108" t="s">
        <v>90</v>
      </c>
      <c r="C1063" s="108" t="s">
        <v>419</v>
      </c>
      <c r="D1063" s="112" t="s">
        <v>187</v>
      </c>
      <c r="E1063" s="112">
        <v>102.0</v>
      </c>
      <c r="F1063" s="111" t="str">
        <f>DataPull!D1063</f>
        <v/>
      </c>
      <c r="G1063" s="94" t="str">
        <f t="shared" si="2"/>
        <v/>
      </c>
      <c r="H1063" s="94" t="str">
        <f t="shared" si="3"/>
        <v/>
      </c>
      <c r="I1063" s="94" t="str">
        <f t="shared" ref="I1063:J1063" si="1064">if(G1063 = "", , -G1063)</f>
        <v/>
      </c>
      <c r="J1063" s="94" t="str">
        <f t="shared" si="1064"/>
        <v/>
      </c>
      <c r="K1063" s="100"/>
      <c r="N1063" s="100"/>
      <c r="O1063" s="100"/>
      <c r="P1063" s="100"/>
    </row>
    <row r="1064">
      <c r="A1064" s="107">
        <v>201609.0</v>
      </c>
      <c r="B1064" s="108" t="s">
        <v>85</v>
      </c>
      <c r="C1064" s="108" t="s">
        <v>420</v>
      </c>
      <c r="D1064" s="112" t="s">
        <v>184</v>
      </c>
      <c r="E1064" s="112">
        <v>2667.6</v>
      </c>
      <c r="F1064" s="111" t="str">
        <f>DataPull!D1064</f>
        <v/>
      </c>
      <c r="G1064" s="94" t="str">
        <f t="shared" si="2"/>
        <v/>
      </c>
      <c r="H1064" s="94" t="str">
        <f t="shared" si="3"/>
        <v/>
      </c>
      <c r="I1064" s="94" t="str">
        <f t="shared" ref="I1064:J1064" si="1065">if(G1064 = "", , -G1064)</f>
        <v/>
      </c>
      <c r="J1064" s="94" t="str">
        <f t="shared" si="1065"/>
        <v/>
      </c>
      <c r="K1064" s="100"/>
      <c r="L1064" s="100"/>
      <c r="M1064" s="100"/>
      <c r="N1064" s="100"/>
      <c r="O1064" s="100"/>
      <c r="P1064" s="100"/>
    </row>
    <row r="1065">
      <c r="A1065" s="107">
        <v>201609.0</v>
      </c>
      <c r="B1065" s="108" t="s">
        <v>90</v>
      </c>
      <c r="C1065" s="108" t="s">
        <v>420</v>
      </c>
      <c r="D1065" s="112" t="s">
        <v>178</v>
      </c>
      <c r="E1065" s="112">
        <v>2636.4</v>
      </c>
      <c r="F1065" s="111" t="str">
        <f>DataPull!D1065</f>
        <v/>
      </c>
      <c r="G1065" s="94" t="str">
        <f t="shared" si="2"/>
        <v/>
      </c>
      <c r="H1065" s="94" t="str">
        <f t="shared" si="3"/>
        <v/>
      </c>
      <c r="I1065" s="94" t="str">
        <f t="shared" ref="I1065:J1065" si="1066">if(G1065 = "", , -G1065)</f>
        <v/>
      </c>
      <c r="J1065" s="94" t="str">
        <f t="shared" si="1066"/>
        <v/>
      </c>
      <c r="K1065" s="100"/>
      <c r="M1065" s="100"/>
      <c r="N1065" s="100"/>
      <c r="O1065" s="100"/>
      <c r="P1065" s="100"/>
    </row>
    <row r="1066">
      <c r="A1066" s="107">
        <v>201609.0</v>
      </c>
      <c r="B1066" s="108" t="s">
        <v>92</v>
      </c>
      <c r="C1066" s="108" t="s">
        <v>420</v>
      </c>
      <c r="D1066" s="112" t="s">
        <v>178</v>
      </c>
      <c r="E1066" s="112">
        <v>2361.6</v>
      </c>
      <c r="F1066" s="111" t="str">
        <f>DataPull!D1066</f>
        <v/>
      </c>
      <c r="G1066" s="94" t="str">
        <f t="shared" si="2"/>
        <v/>
      </c>
      <c r="H1066" s="94" t="str">
        <f t="shared" si="3"/>
        <v/>
      </c>
      <c r="I1066" s="94" t="str">
        <f t="shared" ref="I1066:J1066" si="1067">if(G1066 = "", , -G1066)</f>
        <v/>
      </c>
      <c r="J1066" s="94" t="str">
        <f t="shared" si="1067"/>
        <v/>
      </c>
      <c r="K1066" s="100"/>
      <c r="L1066" s="100"/>
      <c r="N1066" s="100"/>
      <c r="O1066" s="100"/>
      <c r="P1066" s="100"/>
    </row>
    <row r="1067">
      <c r="A1067" s="107">
        <v>201609.0</v>
      </c>
      <c r="B1067" s="108" t="s">
        <v>190</v>
      </c>
      <c r="C1067" s="108" t="s">
        <v>420</v>
      </c>
      <c r="D1067" s="112" t="s">
        <v>184</v>
      </c>
      <c r="E1067" s="112">
        <v>2460.1</v>
      </c>
      <c r="F1067" s="111" t="str">
        <f>DataPull!D1067</f>
        <v/>
      </c>
      <c r="G1067" s="94" t="str">
        <f t="shared" si="2"/>
        <v/>
      </c>
      <c r="H1067" s="94" t="str">
        <f t="shared" si="3"/>
        <v/>
      </c>
      <c r="I1067" s="94" t="str">
        <f t="shared" ref="I1067:J1067" si="1068">if(G1067 = "", , -G1067)</f>
        <v/>
      </c>
      <c r="J1067" s="94" t="str">
        <f t="shared" si="1068"/>
        <v/>
      </c>
      <c r="K1067" s="100"/>
      <c r="N1067" s="100"/>
      <c r="O1067" s="100"/>
      <c r="P1067" s="100"/>
    </row>
    <row r="1068">
      <c r="A1068" s="107">
        <v>201609.0</v>
      </c>
      <c r="B1068" s="108" t="s">
        <v>191</v>
      </c>
      <c r="C1068" s="108" t="s">
        <v>420</v>
      </c>
      <c r="D1068" s="112" t="s">
        <v>178</v>
      </c>
      <c r="E1068" s="112">
        <v>2377.5</v>
      </c>
      <c r="F1068" s="111" t="str">
        <f>DataPull!D1068</f>
        <v/>
      </c>
      <c r="G1068" s="94" t="str">
        <f t="shared" si="2"/>
        <v/>
      </c>
      <c r="H1068" s="94" t="str">
        <f t="shared" si="3"/>
        <v/>
      </c>
      <c r="I1068" s="94" t="str">
        <f t="shared" ref="I1068:J1068" si="1069">if(G1068 = "", , -G1068)</f>
        <v/>
      </c>
      <c r="J1068" s="94" t="str">
        <f t="shared" si="1069"/>
        <v/>
      </c>
      <c r="K1068" s="100"/>
      <c r="L1068" s="100"/>
      <c r="N1068" s="100"/>
      <c r="O1068" s="100"/>
      <c r="P1068" s="100"/>
    </row>
    <row r="1069">
      <c r="A1069" s="107">
        <v>201609.0</v>
      </c>
      <c r="B1069" s="108" t="s">
        <v>192</v>
      </c>
      <c r="C1069" s="108" t="s">
        <v>420</v>
      </c>
      <c r="D1069" s="112" t="s">
        <v>178</v>
      </c>
      <c r="E1069" s="112">
        <v>990.0</v>
      </c>
      <c r="F1069" s="111" t="str">
        <f>DataPull!D1069</f>
        <v/>
      </c>
      <c r="G1069" s="94" t="str">
        <f t="shared" si="2"/>
        <v/>
      </c>
      <c r="H1069" s="94" t="str">
        <f t="shared" si="3"/>
        <v/>
      </c>
      <c r="I1069" s="94" t="str">
        <f t="shared" ref="I1069:J1069" si="1070">if(G1069 = "", , -G1069)</f>
        <v/>
      </c>
      <c r="J1069" s="94" t="str">
        <f t="shared" si="1070"/>
        <v/>
      </c>
      <c r="K1069" s="100"/>
      <c r="M1069" s="100"/>
      <c r="N1069" s="100"/>
      <c r="O1069" s="100"/>
      <c r="P1069" s="100"/>
    </row>
    <row r="1070">
      <c r="A1070" s="107">
        <v>201609.0</v>
      </c>
      <c r="B1070" s="108" t="s">
        <v>193</v>
      </c>
      <c r="C1070" s="108" t="s">
        <v>420</v>
      </c>
      <c r="D1070" s="112" t="s">
        <v>176</v>
      </c>
      <c r="E1070" s="112">
        <v>1663.8</v>
      </c>
      <c r="F1070" s="111" t="str">
        <f>DataPull!D1070</f>
        <v/>
      </c>
      <c r="G1070" s="94" t="str">
        <f t="shared" si="2"/>
        <v/>
      </c>
      <c r="H1070" s="94" t="str">
        <f t="shared" si="3"/>
        <v/>
      </c>
      <c r="I1070" s="94" t="str">
        <f t="shared" ref="I1070:J1070" si="1071">if(G1070 = "", , -G1070)</f>
        <v/>
      </c>
      <c r="J1070" s="94" t="str">
        <f t="shared" si="1071"/>
        <v/>
      </c>
      <c r="K1070" s="100"/>
      <c r="L1070" s="100"/>
      <c r="M1070" s="100"/>
      <c r="N1070" s="100"/>
      <c r="O1070" s="100"/>
      <c r="P1070" s="100"/>
    </row>
    <row r="1071">
      <c r="A1071" s="107">
        <v>201609.0</v>
      </c>
      <c r="B1071" s="108" t="s">
        <v>243</v>
      </c>
      <c r="C1071" s="108" t="s">
        <v>420</v>
      </c>
      <c r="D1071" s="112" t="s">
        <v>176</v>
      </c>
      <c r="E1071" s="112">
        <v>1335.0</v>
      </c>
      <c r="F1071" s="111" t="str">
        <f>DataPull!D1071</f>
        <v/>
      </c>
      <c r="G1071" s="94" t="str">
        <f t="shared" si="2"/>
        <v/>
      </c>
      <c r="H1071" s="94" t="str">
        <f t="shared" si="3"/>
        <v/>
      </c>
      <c r="I1071" s="94" t="str">
        <f t="shared" ref="I1071:J1071" si="1072">if(G1071 = "", , -G1071)</f>
        <v/>
      </c>
      <c r="J1071" s="94" t="str">
        <f t="shared" si="1072"/>
        <v/>
      </c>
      <c r="K1071" s="100"/>
      <c r="M1071" s="100"/>
      <c r="N1071" s="100"/>
      <c r="O1071" s="100"/>
      <c r="P1071" s="100"/>
    </row>
    <row r="1072">
      <c r="A1072" s="107">
        <v>201609.0</v>
      </c>
      <c r="B1072" s="108" t="s">
        <v>215</v>
      </c>
      <c r="C1072" s="108" t="s">
        <v>420</v>
      </c>
      <c r="D1072" s="112" t="s">
        <v>176</v>
      </c>
      <c r="E1072" s="112">
        <v>497.7</v>
      </c>
      <c r="F1072" s="111" t="str">
        <f>DataPull!D1072</f>
        <v/>
      </c>
      <c r="G1072" s="94" t="str">
        <f t="shared" si="2"/>
        <v/>
      </c>
      <c r="H1072" s="94" t="str">
        <f t="shared" si="3"/>
        <v/>
      </c>
      <c r="I1072" s="94" t="str">
        <f t="shared" ref="I1072:J1072" si="1073">if(G1072 = "", , -G1072)</f>
        <v/>
      </c>
      <c r="J1072" s="94" t="str">
        <f t="shared" si="1073"/>
        <v/>
      </c>
      <c r="K1072" s="100"/>
      <c r="M1072" s="100"/>
      <c r="N1072" s="100"/>
      <c r="O1072" s="100"/>
      <c r="P1072" s="100"/>
    </row>
    <row r="1073">
      <c r="A1073" s="107">
        <v>201609.0</v>
      </c>
      <c r="B1073" s="108" t="s">
        <v>244</v>
      </c>
      <c r="C1073" s="108" t="s">
        <v>420</v>
      </c>
      <c r="D1073" s="112" t="s">
        <v>177</v>
      </c>
      <c r="E1073" s="112">
        <v>870.0</v>
      </c>
      <c r="F1073" s="111" t="str">
        <f>DataPull!D1073</f>
        <v/>
      </c>
      <c r="G1073" s="94" t="str">
        <f t="shared" si="2"/>
        <v/>
      </c>
      <c r="H1073" s="94" t="str">
        <f t="shared" si="3"/>
        <v/>
      </c>
      <c r="I1073" s="94" t="str">
        <f t="shared" ref="I1073:J1073" si="1074">if(G1073 = "", , -G1073)</f>
        <v/>
      </c>
      <c r="J1073" s="94" t="str">
        <f t="shared" si="1074"/>
        <v/>
      </c>
      <c r="K1073" s="100"/>
      <c r="M1073" s="100"/>
      <c r="N1073" s="100"/>
      <c r="O1073" s="100"/>
      <c r="P1073" s="100"/>
    </row>
    <row r="1074">
      <c r="A1074" s="107">
        <v>201611.0</v>
      </c>
      <c r="B1074" s="108" t="s">
        <v>90</v>
      </c>
      <c r="C1074" s="108" t="s">
        <v>421</v>
      </c>
      <c r="D1074" s="112" t="s">
        <v>176</v>
      </c>
      <c r="E1074" s="112">
        <v>626.4</v>
      </c>
      <c r="F1074" s="111" t="str">
        <f>DataPull!D1074</f>
        <v/>
      </c>
      <c r="G1074" s="94" t="str">
        <f t="shared" si="2"/>
        <v/>
      </c>
      <c r="H1074" s="94" t="str">
        <f t="shared" si="3"/>
        <v/>
      </c>
      <c r="I1074" s="94" t="str">
        <f t="shared" ref="I1074:J1074" si="1075">if(G1074 = "", , -G1074)</f>
        <v/>
      </c>
      <c r="J1074" s="94" t="str">
        <f t="shared" si="1075"/>
        <v/>
      </c>
      <c r="K1074" s="100"/>
      <c r="M1074" s="100"/>
      <c r="N1074" s="100"/>
      <c r="O1074" s="100"/>
      <c r="P1074" s="100"/>
    </row>
    <row r="1075">
      <c r="A1075" s="107">
        <v>201619.0</v>
      </c>
      <c r="B1075" s="108" t="s">
        <v>92</v>
      </c>
      <c r="C1075" s="108" t="s">
        <v>422</v>
      </c>
      <c r="D1075" s="112" t="s">
        <v>187</v>
      </c>
      <c r="E1075" s="112">
        <v>95.0</v>
      </c>
      <c r="F1075" s="111" t="str">
        <f>DataPull!D1075</f>
        <v/>
      </c>
      <c r="G1075" s="94" t="str">
        <f t="shared" si="2"/>
        <v/>
      </c>
      <c r="H1075" s="94" t="str">
        <f t="shared" si="3"/>
        <v/>
      </c>
      <c r="I1075" s="94" t="str">
        <f t="shared" ref="I1075:J1075" si="1076">if(G1075 = "", , -G1075)</f>
        <v/>
      </c>
      <c r="J1075" s="94" t="str">
        <f t="shared" si="1076"/>
        <v/>
      </c>
      <c r="K1075" s="100"/>
      <c r="M1075" s="100"/>
      <c r="N1075" s="100"/>
      <c r="O1075" s="100"/>
    </row>
    <row r="1076">
      <c r="A1076" s="107">
        <v>201627.0</v>
      </c>
      <c r="B1076" s="108" t="s">
        <v>85</v>
      </c>
      <c r="C1076" s="108" t="s">
        <v>423</v>
      </c>
      <c r="D1076" s="112" t="s">
        <v>177</v>
      </c>
      <c r="E1076" s="112">
        <v>1428.8</v>
      </c>
      <c r="F1076" s="111" t="str">
        <f>DataPull!D1076</f>
        <v/>
      </c>
      <c r="G1076" s="94" t="str">
        <f t="shared" si="2"/>
        <v/>
      </c>
      <c r="H1076" s="94" t="str">
        <f t="shared" si="3"/>
        <v/>
      </c>
      <c r="I1076" s="94" t="str">
        <f t="shared" ref="I1076:J1076" si="1077">if(G1076 = "", , -G1076)</f>
        <v/>
      </c>
      <c r="J1076" s="94" t="str">
        <f t="shared" si="1077"/>
        <v/>
      </c>
      <c r="K1076" s="100"/>
      <c r="M1076" s="100"/>
      <c r="N1076" s="100"/>
      <c r="O1076" s="100"/>
      <c r="P1076" s="100"/>
    </row>
    <row r="1077">
      <c r="A1077" s="107">
        <v>201627.0</v>
      </c>
      <c r="B1077" s="108" t="s">
        <v>90</v>
      </c>
      <c r="C1077" s="108" t="s">
        <v>423</v>
      </c>
      <c r="D1077" s="112" t="s">
        <v>176</v>
      </c>
      <c r="E1077" s="112">
        <v>1805.6</v>
      </c>
      <c r="F1077" s="111" t="str">
        <f>DataPull!D1077</f>
        <v/>
      </c>
      <c r="G1077" s="94" t="str">
        <f t="shared" si="2"/>
        <v/>
      </c>
      <c r="H1077" s="94" t="str">
        <f t="shared" si="3"/>
        <v/>
      </c>
      <c r="I1077" s="94" t="str">
        <f t="shared" ref="I1077:J1077" si="1078">if(G1077 = "", , -G1077)</f>
        <v/>
      </c>
      <c r="J1077" s="94" t="str">
        <f t="shared" si="1078"/>
        <v/>
      </c>
      <c r="K1077" s="100"/>
      <c r="M1077" s="100"/>
      <c r="N1077" s="100"/>
      <c r="O1077" s="100"/>
      <c r="P1077" s="100"/>
    </row>
    <row r="1078">
      <c r="A1078" s="107">
        <v>201627.0</v>
      </c>
      <c r="B1078" s="108" t="s">
        <v>92</v>
      </c>
      <c r="C1078" s="108" t="s">
        <v>423</v>
      </c>
      <c r="D1078" s="112" t="s">
        <v>177</v>
      </c>
      <c r="E1078" s="112">
        <v>924.8</v>
      </c>
      <c r="F1078" s="111" t="str">
        <f>DataPull!D1078</f>
        <v/>
      </c>
      <c r="G1078" s="94" t="str">
        <f t="shared" si="2"/>
        <v/>
      </c>
      <c r="H1078" s="94" t="str">
        <f t="shared" si="3"/>
        <v/>
      </c>
      <c r="I1078" s="94" t="str">
        <f t="shared" ref="I1078:J1078" si="1079">if(G1078 = "", , -G1078)</f>
        <v/>
      </c>
      <c r="J1078" s="94" t="str">
        <f t="shared" si="1079"/>
        <v/>
      </c>
      <c r="K1078" s="100"/>
      <c r="M1078" s="100"/>
      <c r="N1078" s="100"/>
      <c r="O1078" s="100"/>
      <c r="P1078" s="100"/>
    </row>
    <row r="1079">
      <c r="A1079" s="107">
        <v>201627.0</v>
      </c>
      <c r="B1079" s="108" t="s">
        <v>190</v>
      </c>
      <c r="C1079" s="108" t="s">
        <v>423</v>
      </c>
      <c r="D1079" s="112" t="s">
        <v>177</v>
      </c>
      <c r="E1079" s="112">
        <v>715.4</v>
      </c>
      <c r="F1079" s="111" t="str">
        <f>DataPull!D1079</f>
        <v/>
      </c>
      <c r="G1079" s="94" t="str">
        <f t="shared" si="2"/>
        <v/>
      </c>
      <c r="H1079" s="94" t="str">
        <f t="shared" si="3"/>
        <v/>
      </c>
      <c r="I1079" s="94" t="str">
        <f t="shared" ref="I1079:J1079" si="1080">if(G1079 = "", , -G1079)</f>
        <v/>
      </c>
      <c r="J1079" s="94" t="str">
        <f t="shared" si="1080"/>
        <v/>
      </c>
      <c r="N1079" s="100"/>
      <c r="O1079" s="100"/>
      <c r="P1079" s="100"/>
    </row>
    <row r="1080">
      <c r="A1080" s="107">
        <v>201628.0</v>
      </c>
      <c r="B1080" s="108" t="s">
        <v>190</v>
      </c>
      <c r="C1080" s="108" t="s">
        <v>424</v>
      </c>
      <c r="D1080" s="112" t="s">
        <v>187</v>
      </c>
      <c r="E1080" s="112">
        <v>122.5</v>
      </c>
      <c r="F1080" s="111" t="str">
        <f>DataPull!D1080</f>
        <v/>
      </c>
      <c r="G1080" s="94" t="str">
        <f t="shared" si="2"/>
        <v/>
      </c>
      <c r="H1080" s="94" t="str">
        <f t="shared" si="3"/>
        <v/>
      </c>
      <c r="I1080" s="94" t="str">
        <f t="shared" ref="I1080:J1080" si="1081">if(G1080 = "", , -G1080)</f>
        <v/>
      </c>
      <c r="J1080" s="94" t="str">
        <f t="shared" si="1081"/>
        <v/>
      </c>
      <c r="K1080" s="100"/>
      <c r="M1080" s="100"/>
      <c r="N1080" s="100"/>
      <c r="O1080" s="100"/>
    </row>
    <row r="1081">
      <c r="A1081" s="107">
        <v>201628.0</v>
      </c>
      <c r="B1081" s="108" t="s">
        <v>191</v>
      </c>
      <c r="C1081" s="108" t="s">
        <v>424</v>
      </c>
      <c r="D1081" s="112" t="s">
        <v>187</v>
      </c>
      <c r="E1081" s="112">
        <v>114.0</v>
      </c>
      <c r="F1081" s="111" t="str">
        <f>DataPull!D1081</f>
        <v/>
      </c>
      <c r="G1081" s="94" t="str">
        <f t="shared" si="2"/>
        <v/>
      </c>
      <c r="H1081" s="94" t="str">
        <f t="shared" si="3"/>
        <v/>
      </c>
      <c r="I1081" s="94" t="str">
        <f t="shared" ref="I1081:J1081" si="1082">if(G1081 = "", , -G1081)</f>
        <v/>
      </c>
      <c r="J1081" s="94" t="str">
        <f t="shared" si="1082"/>
        <v/>
      </c>
      <c r="K1081" s="100"/>
      <c r="M1081" s="100"/>
      <c r="O1081" s="100"/>
      <c r="P1081" s="100"/>
    </row>
    <row r="1082">
      <c r="A1082" s="107">
        <v>201785.0</v>
      </c>
      <c r="B1082" s="108" t="s">
        <v>85</v>
      </c>
      <c r="C1082" s="108" t="s">
        <v>425</v>
      </c>
      <c r="D1082" s="112" t="s">
        <v>181</v>
      </c>
      <c r="E1082" s="112">
        <v>46.8</v>
      </c>
      <c r="F1082" s="111" t="str">
        <f>DataPull!D1082</f>
        <v/>
      </c>
      <c r="G1082" s="94" t="str">
        <f t="shared" si="2"/>
        <v/>
      </c>
      <c r="H1082" s="94" t="str">
        <f t="shared" si="3"/>
        <v/>
      </c>
      <c r="I1082" s="94" t="str">
        <f t="shared" ref="I1082:J1082" si="1083">if(G1082 = "", , -G1082)</f>
        <v/>
      </c>
      <c r="J1082" s="94" t="str">
        <f t="shared" si="1083"/>
        <v/>
      </c>
      <c r="K1082" s="100"/>
      <c r="N1082" s="100"/>
      <c r="O1082" s="100"/>
      <c r="P1082" s="100"/>
    </row>
    <row r="1083">
      <c r="A1083" s="107">
        <v>201858.0</v>
      </c>
      <c r="B1083" s="108" t="s">
        <v>85</v>
      </c>
      <c r="C1083" s="108" t="s">
        <v>426</v>
      </c>
      <c r="D1083" s="112" t="s">
        <v>177</v>
      </c>
      <c r="E1083" s="112">
        <v>867.3</v>
      </c>
      <c r="F1083" s="111" t="str">
        <f>DataPull!D1083</f>
        <v/>
      </c>
      <c r="G1083" s="94" t="str">
        <f t="shared" si="2"/>
        <v/>
      </c>
      <c r="H1083" s="94" t="str">
        <f t="shared" si="3"/>
        <v/>
      </c>
      <c r="I1083" s="94" t="str">
        <f t="shared" ref="I1083:J1083" si="1084">if(G1083 = "", , -G1083)</f>
        <v/>
      </c>
      <c r="J1083" s="94" t="str">
        <f t="shared" si="1084"/>
        <v/>
      </c>
      <c r="K1083" s="100"/>
      <c r="M1083" s="100"/>
      <c r="N1083" s="100"/>
      <c r="O1083" s="100"/>
      <c r="P1083" s="100"/>
    </row>
    <row r="1084">
      <c r="A1084" s="107">
        <v>201858.0</v>
      </c>
      <c r="B1084" s="108" t="s">
        <v>90</v>
      </c>
      <c r="C1084" s="108" t="s">
        <v>426</v>
      </c>
      <c r="D1084" s="112" t="s">
        <v>187</v>
      </c>
      <c r="E1084" s="112">
        <v>197.8</v>
      </c>
      <c r="F1084" s="111" t="str">
        <f>DataPull!D1084</f>
        <v/>
      </c>
      <c r="G1084" s="94" t="str">
        <f t="shared" si="2"/>
        <v/>
      </c>
      <c r="H1084" s="94" t="str">
        <f t="shared" si="3"/>
        <v/>
      </c>
      <c r="I1084" s="94" t="str">
        <f t="shared" ref="I1084:J1084" si="1085">if(G1084 = "", , -G1084)</f>
        <v/>
      </c>
      <c r="J1084" s="94" t="str">
        <f t="shared" si="1085"/>
        <v/>
      </c>
      <c r="K1084" s="100"/>
      <c r="M1084" s="100"/>
      <c r="N1084" s="100"/>
      <c r="O1084" s="100"/>
      <c r="P1084" s="100"/>
    </row>
    <row r="1085">
      <c r="A1085" s="107">
        <v>201880.0</v>
      </c>
      <c r="B1085" s="108" t="s">
        <v>85</v>
      </c>
      <c r="C1085" s="108" t="s">
        <v>427</v>
      </c>
      <c r="D1085" s="112" t="s">
        <v>177</v>
      </c>
      <c r="E1085" s="112">
        <v>1006.5</v>
      </c>
      <c r="F1085" s="111" t="str">
        <f>DataPull!D1085</f>
        <v/>
      </c>
      <c r="G1085" s="94" t="str">
        <f t="shared" si="2"/>
        <v/>
      </c>
      <c r="H1085" s="94" t="str">
        <f t="shared" si="3"/>
        <v/>
      </c>
      <c r="I1085" s="94" t="str">
        <f t="shared" ref="I1085:J1085" si="1086">if(G1085 = "", , -G1085)</f>
        <v/>
      </c>
      <c r="J1085" s="94" t="str">
        <f t="shared" si="1086"/>
        <v/>
      </c>
      <c r="K1085" s="100"/>
      <c r="M1085" s="100"/>
      <c r="N1085" s="100"/>
      <c r="O1085" s="100"/>
      <c r="P1085" s="100"/>
    </row>
    <row r="1086">
      <c r="A1086" s="107">
        <v>201880.0</v>
      </c>
      <c r="B1086" s="108" t="s">
        <v>90</v>
      </c>
      <c r="C1086" s="108" t="s">
        <v>427</v>
      </c>
      <c r="D1086" s="112" t="s">
        <v>187</v>
      </c>
      <c r="E1086" s="112">
        <v>66.3</v>
      </c>
      <c r="F1086" s="111" t="str">
        <f>DataPull!D1086</f>
        <v/>
      </c>
      <c r="G1086" s="94" t="str">
        <f t="shared" si="2"/>
        <v/>
      </c>
      <c r="H1086" s="94" t="str">
        <f t="shared" si="3"/>
        <v/>
      </c>
      <c r="I1086" s="94" t="str">
        <f t="shared" ref="I1086:J1086" si="1087">if(G1086 = "", , -G1086)</f>
        <v/>
      </c>
      <c r="J1086" s="94" t="str">
        <f t="shared" si="1087"/>
        <v/>
      </c>
      <c r="K1086" s="100"/>
      <c r="M1086" s="100"/>
      <c r="N1086" s="100"/>
      <c r="O1086" s="100"/>
      <c r="P1086" s="100"/>
    </row>
    <row r="1087">
      <c r="A1087" s="107">
        <v>201933.0</v>
      </c>
      <c r="B1087" s="108" t="s">
        <v>85</v>
      </c>
      <c r="C1087" s="108" t="s">
        <v>428</v>
      </c>
      <c r="D1087" s="112" t="s">
        <v>184</v>
      </c>
      <c r="E1087" s="112">
        <v>2864.0</v>
      </c>
      <c r="F1087" s="111" t="str">
        <f>DataPull!D1087</f>
        <v/>
      </c>
      <c r="G1087" s="94" t="str">
        <f t="shared" si="2"/>
        <v/>
      </c>
      <c r="H1087" s="94" t="str">
        <f t="shared" si="3"/>
        <v/>
      </c>
      <c r="I1087" s="94" t="str">
        <f t="shared" ref="I1087:J1087" si="1088">if(G1087 = "", , -G1087)</f>
        <v/>
      </c>
      <c r="J1087" s="94" t="str">
        <f t="shared" si="1088"/>
        <v/>
      </c>
      <c r="K1087" s="100"/>
      <c r="N1087" s="100"/>
      <c r="O1087" s="100"/>
      <c r="P1087" s="100"/>
    </row>
    <row r="1088">
      <c r="A1088" s="107">
        <v>201933.0</v>
      </c>
      <c r="B1088" s="108" t="s">
        <v>90</v>
      </c>
      <c r="C1088" s="108" t="s">
        <v>428</v>
      </c>
      <c r="D1088" s="112" t="s">
        <v>178</v>
      </c>
      <c r="E1088" s="112">
        <v>2358.4</v>
      </c>
      <c r="F1088" s="111" t="str">
        <f>DataPull!D1088</f>
        <v/>
      </c>
      <c r="G1088" s="94" t="str">
        <f t="shared" si="2"/>
        <v/>
      </c>
      <c r="H1088" s="94" t="str">
        <f t="shared" si="3"/>
        <v/>
      </c>
      <c r="I1088" s="94" t="str">
        <f t="shared" ref="I1088:J1088" si="1089">if(G1088 = "", , -G1088)</f>
        <v/>
      </c>
      <c r="J1088" s="94" t="str">
        <f t="shared" si="1089"/>
        <v/>
      </c>
      <c r="K1088" s="100"/>
      <c r="N1088" s="100"/>
      <c r="O1088" s="100"/>
      <c r="P1088" s="100"/>
    </row>
    <row r="1089">
      <c r="A1089" s="107">
        <v>201933.0</v>
      </c>
      <c r="B1089" s="108" t="s">
        <v>92</v>
      </c>
      <c r="C1089" s="108" t="s">
        <v>428</v>
      </c>
      <c r="D1089" s="112" t="s">
        <v>178</v>
      </c>
      <c r="E1089" s="112">
        <v>1169.0</v>
      </c>
      <c r="F1089" s="111" t="str">
        <f>DataPull!D1089</f>
        <v/>
      </c>
      <c r="G1089" s="94" t="str">
        <f t="shared" si="2"/>
        <v/>
      </c>
      <c r="H1089" s="94" t="str">
        <f t="shared" si="3"/>
        <v/>
      </c>
      <c r="I1089" s="94" t="str">
        <f t="shared" ref="I1089:J1089" si="1090">if(G1089 = "", , -G1089)</f>
        <v/>
      </c>
      <c r="J1089" s="94" t="str">
        <f t="shared" si="1090"/>
        <v/>
      </c>
      <c r="N1089" s="100"/>
      <c r="O1089" s="100"/>
    </row>
    <row r="1090">
      <c r="A1090" s="107">
        <v>201933.0</v>
      </c>
      <c r="B1090" s="108" t="s">
        <v>190</v>
      </c>
      <c r="C1090" s="108" t="s">
        <v>428</v>
      </c>
      <c r="D1090" s="112" t="s">
        <v>184</v>
      </c>
      <c r="E1090" s="112">
        <v>2074.0</v>
      </c>
      <c r="F1090" s="111" t="str">
        <f>DataPull!D1090</f>
        <v/>
      </c>
      <c r="G1090" s="94" t="str">
        <f t="shared" si="2"/>
        <v/>
      </c>
      <c r="H1090" s="94" t="str">
        <f t="shared" si="3"/>
        <v/>
      </c>
      <c r="I1090" s="94" t="str">
        <f t="shared" ref="I1090:J1090" si="1091">if(G1090 = "", , -G1090)</f>
        <v/>
      </c>
      <c r="J1090" s="94" t="str">
        <f t="shared" si="1091"/>
        <v/>
      </c>
      <c r="K1090" s="100"/>
      <c r="M1090" s="100"/>
      <c r="N1090" s="100"/>
      <c r="O1090" s="100"/>
      <c r="P1090" s="100"/>
    </row>
    <row r="1091">
      <c r="A1091" s="107">
        <v>201933.0</v>
      </c>
      <c r="B1091" s="108" t="s">
        <v>191</v>
      </c>
      <c r="C1091" s="108" t="s">
        <v>428</v>
      </c>
      <c r="D1091" s="112" t="s">
        <v>184</v>
      </c>
      <c r="E1091" s="112">
        <v>1972.0</v>
      </c>
      <c r="F1091" s="111" t="str">
        <f>DataPull!D1091</f>
        <v/>
      </c>
      <c r="G1091" s="94" t="str">
        <f t="shared" si="2"/>
        <v/>
      </c>
      <c r="H1091" s="94" t="str">
        <f t="shared" si="3"/>
        <v/>
      </c>
      <c r="I1091" s="94" t="str">
        <f t="shared" ref="I1091:J1091" si="1092">if(G1091 = "", , -G1091)</f>
        <v/>
      </c>
      <c r="J1091" s="94" t="str">
        <f t="shared" si="1092"/>
        <v/>
      </c>
      <c r="K1091" s="100"/>
      <c r="N1091" s="100"/>
      <c r="O1091" s="100"/>
    </row>
    <row r="1092">
      <c r="A1092" s="107">
        <v>201933.0</v>
      </c>
      <c r="B1092" s="108" t="s">
        <v>192</v>
      </c>
      <c r="C1092" s="108" t="s">
        <v>428</v>
      </c>
      <c r="D1092" s="112" t="s">
        <v>184</v>
      </c>
      <c r="E1092" s="112">
        <v>2625.0</v>
      </c>
      <c r="F1092" s="111" t="str">
        <f>DataPull!D1092</f>
        <v/>
      </c>
      <c r="G1092" s="94" t="str">
        <f t="shared" si="2"/>
        <v/>
      </c>
      <c r="H1092" s="94" t="str">
        <f t="shared" si="3"/>
        <v/>
      </c>
      <c r="I1092" s="94" t="str">
        <f t="shared" ref="I1092:J1092" si="1093">if(G1092 = "", , -G1092)</f>
        <v/>
      </c>
      <c r="J1092" s="94" t="str">
        <f t="shared" si="1093"/>
        <v/>
      </c>
      <c r="K1092" s="100"/>
      <c r="N1092" s="100"/>
      <c r="O1092" s="100"/>
      <c r="P1092" s="100"/>
    </row>
    <row r="1093">
      <c r="A1093" s="107">
        <v>201933.0</v>
      </c>
      <c r="B1093" s="108" t="s">
        <v>193</v>
      </c>
      <c r="C1093" s="108" t="s">
        <v>428</v>
      </c>
      <c r="D1093" s="112" t="s">
        <v>178</v>
      </c>
      <c r="E1093" s="112">
        <v>513.0</v>
      </c>
      <c r="F1093" s="111" t="str">
        <f>DataPull!D1093</f>
        <v/>
      </c>
      <c r="G1093" s="94" t="str">
        <f t="shared" si="2"/>
        <v/>
      </c>
      <c r="H1093" s="94" t="str">
        <f t="shared" si="3"/>
        <v/>
      </c>
      <c r="I1093" s="94" t="str">
        <f t="shared" ref="I1093:J1093" si="1094">if(G1093 = "", , -G1093)</f>
        <v/>
      </c>
      <c r="J1093" s="94" t="str">
        <f t="shared" si="1094"/>
        <v/>
      </c>
      <c r="M1093" s="100"/>
      <c r="N1093" s="100"/>
      <c r="O1093" s="100"/>
      <c r="P1093" s="100"/>
    </row>
    <row r="1094">
      <c r="A1094" s="107">
        <v>201933.0</v>
      </c>
      <c r="B1094" s="108" t="s">
        <v>243</v>
      </c>
      <c r="C1094" s="108" t="s">
        <v>428</v>
      </c>
      <c r="D1094" s="112" t="s">
        <v>177</v>
      </c>
      <c r="E1094" s="112">
        <v>1186.8</v>
      </c>
      <c r="F1094" s="111" t="str">
        <f>DataPull!D1094</f>
        <v/>
      </c>
      <c r="G1094" s="94" t="str">
        <f t="shared" si="2"/>
        <v/>
      </c>
      <c r="H1094" s="94" t="str">
        <f t="shared" si="3"/>
        <v/>
      </c>
      <c r="I1094" s="94" t="str">
        <f t="shared" ref="I1094:J1094" si="1095">if(G1094 = "", , -G1094)</f>
        <v/>
      </c>
      <c r="J1094" s="94" t="str">
        <f t="shared" si="1095"/>
        <v/>
      </c>
      <c r="K1094" s="100"/>
      <c r="L1094" s="100"/>
      <c r="N1094" s="100"/>
      <c r="O1094" s="100"/>
      <c r="P1094" s="100"/>
    </row>
    <row r="1095">
      <c r="A1095" s="107">
        <v>201933.0</v>
      </c>
      <c r="B1095" s="108" t="s">
        <v>215</v>
      </c>
      <c r="C1095" s="108" t="s">
        <v>428</v>
      </c>
      <c r="D1095" s="112" t="s">
        <v>177</v>
      </c>
      <c r="E1095" s="112">
        <v>957.6</v>
      </c>
      <c r="F1095" s="111" t="str">
        <f>DataPull!D1095</f>
        <v/>
      </c>
      <c r="G1095" s="94" t="str">
        <f t="shared" si="2"/>
        <v/>
      </c>
      <c r="H1095" s="94" t="str">
        <f t="shared" si="3"/>
        <v/>
      </c>
      <c r="I1095" s="94" t="str">
        <f t="shared" ref="I1095:J1095" si="1096">if(G1095 = "", , -G1095)</f>
        <v/>
      </c>
      <c r="J1095" s="94" t="str">
        <f t="shared" si="1096"/>
        <v/>
      </c>
      <c r="K1095" s="100"/>
      <c r="M1095" s="100"/>
      <c r="N1095" s="100"/>
      <c r="O1095" s="100"/>
      <c r="P1095" s="100"/>
    </row>
    <row r="1096">
      <c r="A1096" s="107">
        <v>201933.0</v>
      </c>
      <c r="B1096" s="108" t="s">
        <v>244</v>
      </c>
      <c r="C1096" s="108" t="s">
        <v>428</v>
      </c>
      <c r="D1096" s="112" t="s">
        <v>177</v>
      </c>
      <c r="E1096" s="112">
        <v>569.9</v>
      </c>
      <c r="F1096" s="111" t="str">
        <f>DataPull!D1096</f>
        <v/>
      </c>
      <c r="G1096" s="94" t="str">
        <f t="shared" si="2"/>
        <v/>
      </c>
      <c r="H1096" s="94" t="str">
        <f t="shared" si="3"/>
        <v/>
      </c>
      <c r="I1096" s="94" t="str">
        <f t="shared" ref="I1096:J1096" si="1097">if(G1096 = "", , -G1096)</f>
        <v/>
      </c>
      <c r="J1096" s="94" t="str">
        <f t="shared" si="1097"/>
        <v/>
      </c>
      <c r="K1096" s="100"/>
      <c r="M1096" s="100"/>
      <c r="N1096" s="100"/>
      <c r="O1096" s="100"/>
      <c r="P1096" s="100"/>
    </row>
    <row r="1097">
      <c r="A1097" s="107">
        <v>201934.0</v>
      </c>
      <c r="B1097" s="108" t="s">
        <v>85</v>
      </c>
      <c r="C1097" s="108" t="s">
        <v>429</v>
      </c>
      <c r="D1097" s="112" t="s">
        <v>187</v>
      </c>
      <c r="E1097" s="112">
        <v>193.2</v>
      </c>
      <c r="F1097" s="111" t="str">
        <f>DataPull!D1097</f>
        <v/>
      </c>
      <c r="G1097" s="94" t="str">
        <f t="shared" si="2"/>
        <v/>
      </c>
      <c r="H1097" s="94" t="str">
        <f t="shared" si="3"/>
        <v/>
      </c>
      <c r="I1097" s="94" t="str">
        <f t="shared" ref="I1097:J1097" si="1098">if(G1097 = "", , -G1097)</f>
        <v/>
      </c>
      <c r="J1097" s="94" t="str">
        <f t="shared" si="1098"/>
        <v/>
      </c>
      <c r="K1097" s="100"/>
      <c r="M1097" s="100"/>
      <c r="N1097" s="100"/>
      <c r="O1097" s="100"/>
      <c r="P1097" s="100"/>
    </row>
    <row r="1098">
      <c r="A1098" s="107">
        <v>201935.0</v>
      </c>
      <c r="B1098" s="108" t="s">
        <v>85</v>
      </c>
      <c r="C1098" s="108" t="s">
        <v>430</v>
      </c>
      <c r="D1098" s="112" t="s">
        <v>184</v>
      </c>
      <c r="E1098" s="112">
        <v>2774.0</v>
      </c>
      <c r="F1098" s="111" t="str">
        <f>DataPull!D1098</f>
        <v/>
      </c>
      <c r="G1098" s="94" t="str">
        <f t="shared" si="2"/>
        <v/>
      </c>
      <c r="H1098" s="94" t="str">
        <f t="shared" si="3"/>
        <v/>
      </c>
      <c r="I1098" s="94" t="str">
        <f t="shared" ref="I1098:J1098" si="1099">if(G1098 = "", , -G1098)</f>
        <v/>
      </c>
      <c r="J1098" s="94" t="str">
        <f t="shared" si="1099"/>
        <v/>
      </c>
      <c r="K1098" s="100"/>
      <c r="L1098" s="100"/>
      <c r="N1098" s="100"/>
      <c r="O1098" s="100"/>
      <c r="P1098" s="100"/>
    </row>
    <row r="1099">
      <c r="A1099" s="107">
        <v>201935.0</v>
      </c>
      <c r="B1099" s="108" t="s">
        <v>90</v>
      </c>
      <c r="C1099" s="108" t="s">
        <v>430</v>
      </c>
      <c r="D1099" s="112" t="s">
        <v>184</v>
      </c>
      <c r="E1099" s="112">
        <v>2980.8</v>
      </c>
      <c r="F1099" s="111" t="str">
        <f>DataPull!D1099</f>
        <v/>
      </c>
      <c r="G1099" s="94" t="str">
        <f t="shared" si="2"/>
        <v/>
      </c>
      <c r="H1099" s="94" t="str">
        <f t="shared" si="3"/>
        <v/>
      </c>
      <c r="I1099" s="94" t="str">
        <f t="shared" ref="I1099:J1099" si="1100">if(G1099 = "", , -G1099)</f>
        <v/>
      </c>
      <c r="J1099" s="94" t="str">
        <f t="shared" si="1100"/>
        <v/>
      </c>
      <c r="K1099" s="100"/>
      <c r="M1099" s="100"/>
      <c r="N1099" s="100"/>
      <c r="O1099" s="100"/>
      <c r="P1099" s="100"/>
    </row>
    <row r="1100">
      <c r="A1100" s="107">
        <v>201935.0</v>
      </c>
      <c r="B1100" s="108" t="s">
        <v>92</v>
      </c>
      <c r="C1100" s="108" t="s">
        <v>430</v>
      </c>
      <c r="D1100" s="112" t="s">
        <v>184</v>
      </c>
      <c r="E1100" s="112">
        <v>3124.2</v>
      </c>
      <c r="F1100" s="111" t="str">
        <f>DataPull!D1100</f>
        <v/>
      </c>
      <c r="G1100" s="94" t="str">
        <f t="shared" si="2"/>
        <v/>
      </c>
      <c r="H1100" s="94" t="str">
        <f t="shared" si="3"/>
        <v/>
      </c>
      <c r="I1100" s="94" t="str">
        <f t="shared" ref="I1100:J1100" si="1101">if(G1100 = "", , -G1100)</f>
        <v/>
      </c>
      <c r="J1100" s="94" t="str">
        <f t="shared" si="1101"/>
        <v/>
      </c>
      <c r="K1100" s="100"/>
      <c r="M1100" s="100"/>
      <c r="N1100" s="100"/>
      <c r="O1100" s="100"/>
      <c r="P1100" s="100"/>
    </row>
    <row r="1101">
      <c r="A1101" s="107">
        <v>201935.0</v>
      </c>
      <c r="B1101" s="108" t="s">
        <v>190</v>
      </c>
      <c r="C1101" s="108" t="s">
        <v>430</v>
      </c>
      <c r="D1101" s="112" t="s">
        <v>184</v>
      </c>
      <c r="E1101" s="112">
        <v>2948.4</v>
      </c>
      <c r="F1101" s="111" t="str">
        <f>DataPull!D1101</f>
        <v/>
      </c>
      <c r="G1101" s="94" t="str">
        <f t="shared" si="2"/>
        <v/>
      </c>
      <c r="H1101" s="94" t="str">
        <f t="shared" si="3"/>
        <v/>
      </c>
      <c r="I1101" s="94" t="str">
        <f t="shared" ref="I1101:J1101" si="1102">if(G1101 = "", , -G1101)</f>
        <v/>
      </c>
      <c r="J1101" s="94" t="str">
        <f t="shared" si="1102"/>
        <v/>
      </c>
      <c r="K1101" s="100"/>
      <c r="M1101" s="100"/>
      <c r="N1101" s="100"/>
      <c r="O1101" s="100"/>
      <c r="P1101" s="100"/>
    </row>
    <row r="1102">
      <c r="A1102" s="107">
        <v>201935.0</v>
      </c>
      <c r="B1102" s="108" t="s">
        <v>191</v>
      </c>
      <c r="C1102" s="108" t="s">
        <v>430</v>
      </c>
      <c r="D1102" s="112" t="s">
        <v>184</v>
      </c>
      <c r="E1102" s="112">
        <v>2548.8</v>
      </c>
      <c r="F1102" s="111" t="str">
        <f>DataPull!D1102</f>
        <v/>
      </c>
      <c r="G1102" s="94" t="str">
        <f t="shared" si="2"/>
        <v/>
      </c>
      <c r="H1102" s="94" t="str">
        <f t="shared" si="3"/>
        <v/>
      </c>
      <c r="I1102" s="94" t="str">
        <f t="shared" ref="I1102:J1102" si="1103">if(G1102 = "", , -G1102)</f>
        <v/>
      </c>
      <c r="J1102" s="94" t="str">
        <f t="shared" si="1103"/>
        <v/>
      </c>
      <c r="K1102" s="100"/>
      <c r="M1102" s="100"/>
      <c r="N1102" s="100"/>
      <c r="O1102" s="100"/>
      <c r="P1102" s="100"/>
    </row>
    <row r="1103">
      <c r="A1103" s="107">
        <v>201935.0</v>
      </c>
      <c r="B1103" s="108" t="s">
        <v>192</v>
      </c>
      <c r="C1103" s="108" t="s">
        <v>430</v>
      </c>
      <c r="D1103" s="112" t="s">
        <v>184</v>
      </c>
      <c r="E1103" s="112">
        <v>2870.4</v>
      </c>
      <c r="F1103" s="111" t="str">
        <f>DataPull!D1103</f>
        <v/>
      </c>
      <c r="G1103" s="94" t="str">
        <f t="shared" si="2"/>
        <v/>
      </c>
      <c r="H1103" s="94" t="str">
        <f t="shared" si="3"/>
        <v/>
      </c>
      <c r="I1103" s="94" t="str">
        <f t="shared" ref="I1103:J1103" si="1104">if(G1103 = "", , -G1103)</f>
        <v/>
      </c>
      <c r="J1103" s="94" t="str">
        <f t="shared" si="1104"/>
        <v/>
      </c>
      <c r="K1103" s="100"/>
      <c r="M1103" s="100"/>
      <c r="N1103" s="100"/>
      <c r="O1103" s="100"/>
      <c r="P1103" s="100"/>
    </row>
    <row r="1104">
      <c r="A1104" s="107">
        <v>201935.0</v>
      </c>
      <c r="B1104" s="108" t="s">
        <v>193</v>
      </c>
      <c r="C1104" s="108" t="s">
        <v>430</v>
      </c>
      <c r="D1104" s="112" t="s">
        <v>184</v>
      </c>
      <c r="E1104" s="112">
        <v>2482.0</v>
      </c>
      <c r="F1104" s="111" t="str">
        <f>DataPull!D1104</f>
        <v/>
      </c>
      <c r="G1104" s="94" t="str">
        <f t="shared" si="2"/>
        <v/>
      </c>
      <c r="H1104" s="94" t="str">
        <f t="shared" si="3"/>
        <v/>
      </c>
      <c r="I1104" s="94" t="str">
        <f t="shared" ref="I1104:J1104" si="1105">if(G1104 = "", , -G1104)</f>
        <v/>
      </c>
      <c r="J1104" s="94" t="str">
        <f t="shared" si="1105"/>
        <v/>
      </c>
      <c r="K1104" s="100"/>
      <c r="M1104" s="100"/>
      <c r="N1104" s="100"/>
      <c r="O1104" s="100"/>
      <c r="P1104" s="100"/>
    </row>
    <row r="1105">
      <c r="A1105" s="107">
        <v>201935.0</v>
      </c>
      <c r="B1105" s="108" t="s">
        <v>243</v>
      </c>
      <c r="C1105" s="108" t="s">
        <v>430</v>
      </c>
      <c r="D1105" s="112" t="s">
        <v>184</v>
      </c>
      <c r="E1105" s="112">
        <v>1610.4</v>
      </c>
      <c r="F1105" s="111" t="str">
        <f>DataPull!D1105</f>
        <v/>
      </c>
      <c r="G1105" s="94" t="str">
        <f t="shared" si="2"/>
        <v/>
      </c>
      <c r="H1105" s="94" t="str">
        <f t="shared" si="3"/>
        <v/>
      </c>
      <c r="I1105" s="94" t="str">
        <f t="shared" ref="I1105:J1105" si="1106">if(G1105 = "", , -G1105)</f>
        <v/>
      </c>
      <c r="J1105" s="94" t="str">
        <f t="shared" si="1106"/>
        <v/>
      </c>
      <c r="K1105" s="100"/>
      <c r="L1105" s="100"/>
      <c r="N1105" s="100"/>
      <c r="O1105" s="100"/>
      <c r="P1105" s="100"/>
    </row>
    <row r="1106">
      <c r="A1106" s="107">
        <v>201935.0</v>
      </c>
      <c r="B1106" s="108" t="s">
        <v>215</v>
      </c>
      <c r="C1106" s="108" t="s">
        <v>430</v>
      </c>
      <c r="D1106" s="112" t="s">
        <v>184</v>
      </c>
      <c r="E1106" s="112">
        <v>2418.0</v>
      </c>
      <c r="F1106" s="111" t="str">
        <f>DataPull!D1106</f>
        <v/>
      </c>
      <c r="G1106" s="94" t="str">
        <f t="shared" si="2"/>
        <v/>
      </c>
      <c r="H1106" s="94" t="str">
        <f t="shared" si="3"/>
        <v/>
      </c>
      <c r="I1106" s="94" t="str">
        <f t="shared" ref="I1106:J1106" si="1107">if(G1106 = "", , -G1106)</f>
        <v/>
      </c>
      <c r="J1106" s="94" t="str">
        <f t="shared" si="1107"/>
        <v/>
      </c>
      <c r="K1106" s="100"/>
      <c r="M1106" s="100"/>
      <c r="N1106" s="100"/>
      <c r="O1106" s="100"/>
      <c r="P1106" s="100"/>
    </row>
    <row r="1107">
      <c r="A1107" s="107">
        <v>201935.0</v>
      </c>
      <c r="B1107" s="108" t="s">
        <v>244</v>
      </c>
      <c r="C1107" s="108" t="s">
        <v>430</v>
      </c>
      <c r="D1107" s="112" t="s">
        <v>184</v>
      </c>
      <c r="E1107" s="112">
        <v>2134.4</v>
      </c>
      <c r="F1107" s="111" t="str">
        <f>DataPull!D1107</f>
        <v/>
      </c>
      <c r="G1107" s="94" t="str">
        <f t="shared" si="2"/>
        <v/>
      </c>
      <c r="H1107" s="94" t="str">
        <f t="shared" si="3"/>
        <v/>
      </c>
      <c r="I1107" s="94" t="str">
        <f t="shared" ref="I1107:J1107" si="1108">if(G1107 = "", , -G1107)</f>
        <v/>
      </c>
      <c r="J1107" s="94" t="str">
        <f t="shared" si="1108"/>
        <v/>
      </c>
      <c r="K1107" s="100"/>
      <c r="L1107" s="100"/>
      <c r="M1107" s="100"/>
      <c r="N1107" s="100"/>
      <c r="O1107" s="100"/>
      <c r="P1107" s="100"/>
    </row>
    <row r="1108">
      <c r="A1108" s="107">
        <v>201935.0</v>
      </c>
      <c r="B1108" s="108" t="s">
        <v>245</v>
      </c>
      <c r="C1108" s="108" t="s">
        <v>430</v>
      </c>
      <c r="D1108" s="112" t="s">
        <v>184</v>
      </c>
      <c r="E1108" s="112">
        <v>2469.6</v>
      </c>
      <c r="F1108" s="111" t="str">
        <f>DataPull!D1108</f>
        <v/>
      </c>
      <c r="G1108" s="94" t="str">
        <f t="shared" si="2"/>
        <v/>
      </c>
      <c r="H1108" s="94" t="str">
        <f t="shared" si="3"/>
        <v/>
      </c>
      <c r="I1108" s="94" t="str">
        <f t="shared" ref="I1108:J1108" si="1109">if(G1108 = "", , -G1108)</f>
        <v/>
      </c>
      <c r="J1108" s="94" t="str">
        <f t="shared" si="1109"/>
        <v/>
      </c>
      <c r="K1108" s="100"/>
      <c r="N1108" s="100"/>
      <c r="O1108" s="100"/>
      <c r="P1108" s="100"/>
    </row>
    <row r="1109">
      <c r="A1109" s="107">
        <v>201935.0</v>
      </c>
      <c r="B1109" s="108" t="s">
        <v>246</v>
      </c>
      <c r="C1109" s="108" t="s">
        <v>430</v>
      </c>
      <c r="D1109" s="112" t="s">
        <v>184</v>
      </c>
      <c r="E1109" s="112">
        <v>2788.7</v>
      </c>
      <c r="F1109" s="111" t="str">
        <f>DataPull!D1109</f>
        <v/>
      </c>
      <c r="G1109" s="94" t="str">
        <f t="shared" si="2"/>
        <v/>
      </c>
      <c r="H1109" s="94" t="str">
        <f t="shared" si="3"/>
        <v/>
      </c>
      <c r="I1109" s="94" t="str">
        <f t="shared" ref="I1109:J1109" si="1110">if(G1109 = "", , -G1109)</f>
        <v/>
      </c>
      <c r="J1109" s="94" t="str">
        <f t="shared" si="1110"/>
        <v/>
      </c>
      <c r="K1109" s="100"/>
      <c r="N1109" s="100"/>
      <c r="O1109" s="100"/>
      <c r="P1109" s="100"/>
    </row>
    <row r="1110">
      <c r="A1110" s="114">
        <v>201935.0</v>
      </c>
      <c r="B1110" s="113" t="s">
        <v>247</v>
      </c>
      <c r="C1110" s="113" t="s">
        <v>430</v>
      </c>
      <c r="D1110" s="112" t="s">
        <v>184</v>
      </c>
      <c r="E1110" s="112">
        <v>2436.0</v>
      </c>
      <c r="F1110" s="111" t="str">
        <f>DataPull!D1110</f>
        <v/>
      </c>
      <c r="G1110" s="94" t="str">
        <f t="shared" si="2"/>
        <v/>
      </c>
      <c r="H1110" s="94" t="str">
        <f t="shared" si="3"/>
        <v/>
      </c>
      <c r="I1110" s="94" t="str">
        <f t="shared" ref="I1110:J1110" si="1111">if(G1110 = "", , -G1110)</f>
        <v/>
      </c>
      <c r="J1110" s="94" t="str">
        <f t="shared" si="1111"/>
        <v/>
      </c>
      <c r="K1110" s="100"/>
      <c r="L1110" s="100"/>
      <c r="M1110" s="100"/>
      <c r="N1110" s="100"/>
      <c r="O1110" s="100"/>
      <c r="P1110" s="100"/>
    </row>
    <row r="1111">
      <c r="A1111" s="107">
        <v>201936.0</v>
      </c>
      <c r="B1111" s="108" t="s">
        <v>85</v>
      </c>
      <c r="C1111" s="108" t="s">
        <v>431</v>
      </c>
      <c r="D1111" s="112" t="s">
        <v>178</v>
      </c>
      <c r="E1111" s="112">
        <v>2030.4</v>
      </c>
      <c r="F1111" s="111" t="str">
        <f>DataPull!D1111</f>
        <v/>
      </c>
      <c r="G1111" s="94" t="str">
        <f t="shared" si="2"/>
        <v/>
      </c>
      <c r="H1111" s="94" t="str">
        <f t="shared" si="3"/>
        <v/>
      </c>
      <c r="I1111" s="94" t="str">
        <f t="shared" ref="I1111:J1111" si="1112">if(G1111 = "", , -G1111)</f>
        <v/>
      </c>
      <c r="J1111" s="94" t="str">
        <f t="shared" si="1112"/>
        <v/>
      </c>
      <c r="K1111" s="100"/>
      <c r="N1111" s="100"/>
      <c r="O1111" s="100"/>
      <c r="P1111" s="100"/>
    </row>
    <row r="1112">
      <c r="A1112" s="107">
        <v>201936.0</v>
      </c>
      <c r="B1112" s="108" t="s">
        <v>90</v>
      </c>
      <c r="C1112" s="108" t="s">
        <v>431</v>
      </c>
      <c r="D1112" s="112" t="s">
        <v>178</v>
      </c>
      <c r="E1112" s="112">
        <v>2686.0</v>
      </c>
      <c r="F1112" s="111" t="str">
        <f>DataPull!D1112</f>
        <v/>
      </c>
      <c r="G1112" s="94" t="str">
        <f t="shared" si="2"/>
        <v/>
      </c>
      <c r="H1112" s="94" t="str">
        <f t="shared" si="3"/>
        <v/>
      </c>
      <c r="I1112" s="94" t="str">
        <f t="shared" ref="I1112:J1112" si="1113">if(G1112 = "", , -G1112)</f>
        <v/>
      </c>
      <c r="J1112" s="94" t="str">
        <f t="shared" si="1113"/>
        <v/>
      </c>
      <c r="K1112" s="100"/>
      <c r="M1112" s="100"/>
      <c r="N1112" s="100"/>
      <c r="O1112" s="100"/>
      <c r="P1112" s="100"/>
    </row>
    <row r="1113">
      <c r="A1113" s="107">
        <v>201936.0</v>
      </c>
      <c r="B1113" s="108" t="s">
        <v>92</v>
      </c>
      <c r="C1113" s="108" t="s">
        <v>431</v>
      </c>
      <c r="D1113" s="112" t="s">
        <v>178</v>
      </c>
      <c r="E1113" s="112">
        <v>765.0</v>
      </c>
      <c r="F1113" s="111" t="str">
        <f>DataPull!D1113</f>
        <v/>
      </c>
      <c r="G1113" s="94" t="str">
        <f t="shared" si="2"/>
        <v/>
      </c>
      <c r="H1113" s="94" t="str">
        <f t="shared" si="3"/>
        <v/>
      </c>
      <c r="I1113" s="94" t="str">
        <f t="shared" ref="I1113:J1113" si="1114">if(G1113 = "", , -G1113)</f>
        <v/>
      </c>
      <c r="J1113" s="94" t="str">
        <f t="shared" si="1114"/>
        <v/>
      </c>
      <c r="K1113" s="100"/>
      <c r="M1113" s="100"/>
      <c r="N1113" s="100"/>
      <c r="O1113" s="100"/>
      <c r="P1113" s="100"/>
    </row>
    <row r="1114">
      <c r="A1114" s="107">
        <v>201936.0</v>
      </c>
      <c r="B1114" s="108" t="s">
        <v>190</v>
      </c>
      <c r="C1114" s="108" t="s">
        <v>431</v>
      </c>
      <c r="D1114" s="112" t="s">
        <v>177</v>
      </c>
      <c r="E1114" s="112">
        <v>788.0</v>
      </c>
      <c r="F1114" s="111" t="str">
        <f>DataPull!D1114</f>
        <v/>
      </c>
      <c r="G1114" s="94" t="str">
        <f t="shared" si="2"/>
        <v/>
      </c>
      <c r="H1114" s="94" t="str">
        <f t="shared" si="3"/>
        <v/>
      </c>
      <c r="I1114" s="94" t="str">
        <f t="shared" ref="I1114:J1114" si="1115">if(G1114 = "", , -G1114)</f>
        <v/>
      </c>
      <c r="J1114" s="94" t="str">
        <f t="shared" si="1115"/>
        <v/>
      </c>
      <c r="K1114" s="100"/>
      <c r="N1114" s="100"/>
      <c r="O1114" s="100"/>
      <c r="P1114" s="100"/>
    </row>
    <row r="1115">
      <c r="A1115" s="107">
        <v>201936.0</v>
      </c>
      <c r="B1115" s="108" t="s">
        <v>191</v>
      </c>
      <c r="C1115" s="108" t="s">
        <v>431</v>
      </c>
      <c r="D1115" s="112" t="s">
        <v>184</v>
      </c>
      <c r="E1115" s="112">
        <v>1606.8</v>
      </c>
      <c r="F1115" s="111" t="str">
        <f>DataPull!D1115</f>
        <v/>
      </c>
      <c r="G1115" s="94" t="str">
        <f t="shared" si="2"/>
        <v/>
      </c>
      <c r="H1115" s="94" t="str">
        <f t="shared" si="3"/>
        <v/>
      </c>
      <c r="I1115" s="94" t="str">
        <f t="shared" ref="I1115:J1115" si="1116">if(G1115 = "", , -G1115)</f>
        <v/>
      </c>
      <c r="J1115" s="94" t="str">
        <f t="shared" si="1116"/>
        <v/>
      </c>
      <c r="K1115" s="100"/>
      <c r="M1115" s="100"/>
      <c r="N1115" s="100"/>
      <c r="O1115" s="100"/>
      <c r="P1115" s="100"/>
    </row>
    <row r="1116">
      <c r="A1116" s="107">
        <v>201936.0</v>
      </c>
      <c r="B1116" s="108" t="s">
        <v>192</v>
      </c>
      <c r="C1116" s="108" t="s">
        <v>431</v>
      </c>
      <c r="D1116" s="112" t="s">
        <v>176</v>
      </c>
      <c r="E1116" s="112">
        <v>1400.7</v>
      </c>
      <c r="F1116" s="111" t="str">
        <f>DataPull!D1116</f>
        <v/>
      </c>
      <c r="G1116" s="94" t="str">
        <f t="shared" si="2"/>
        <v/>
      </c>
      <c r="H1116" s="94" t="str">
        <f t="shared" si="3"/>
        <v/>
      </c>
      <c r="I1116" s="94" t="str">
        <f t="shared" ref="I1116:J1116" si="1117">if(G1116 = "", , -G1116)</f>
        <v/>
      </c>
      <c r="J1116" s="94" t="str">
        <f t="shared" si="1117"/>
        <v/>
      </c>
      <c r="K1116" s="100"/>
      <c r="N1116" s="100"/>
      <c r="O1116" s="100"/>
      <c r="P1116" s="100"/>
    </row>
    <row r="1117">
      <c r="A1117" s="107">
        <v>201937.0</v>
      </c>
      <c r="B1117" s="108" t="s">
        <v>85</v>
      </c>
      <c r="C1117" s="108" t="s">
        <v>432</v>
      </c>
      <c r="D1117" s="112" t="s">
        <v>184</v>
      </c>
      <c r="E1117" s="112">
        <v>2640.4</v>
      </c>
      <c r="F1117" s="111" t="str">
        <f>DataPull!D1117</f>
        <v/>
      </c>
      <c r="G1117" s="94" t="str">
        <f t="shared" si="2"/>
        <v/>
      </c>
      <c r="H1117" s="94" t="str">
        <f t="shared" si="3"/>
        <v/>
      </c>
      <c r="I1117" s="94" t="str">
        <f t="shared" ref="I1117:J1117" si="1118">if(G1117 = "", , -G1117)</f>
        <v/>
      </c>
      <c r="J1117" s="94" t="str">
        <f t="shared" si="1118"/>
        <v/>
      </c>
      <c r="K1117" s="100"/>
      <c r="M1117" s="100"/>
      <c r="N1117" s="100"/>
      <c r="O1117" s="100"/>
      <c r="P1117" s="100"/>
    </row>
    <row r="1118">
      <c r="A1118" s="107">
        <v>201937.0</v>
      </c>
      <c r="B1118" s="108" t="s">
        <v>90</v>
      </c>
      <c r="C1118" s="108" t="s">
        <v>432</v>
      </c>
      <c r="D1118" s="112" t="s">
        <v>184</v>
      </c>
      <c r="E1118" s="112">
        <v>693.0</v>
      </c>
      <c r="F1118" s="111" t="str">
        <f>DataPull!D1118</f>
        <v/>
      </c>
      <c r="G1118" s="94" t="str">
        <f t="shared" si="2"/>
        <v/>
      </c>
      <c r="H1118" s="94" t="str">
        <f t="shared" si="3"/>
        <v/>
      </c>
      <c r="I1118" s="94" t="str">
        <f t="shared" ref="I1118:J1118" si="1119">if(G1118 = "", , -G1118)</f>
        <v/>
      </c>
      <c r="J1118" s="94" t="str">
        <f t="shared" si="1119"/>
        <v/>
      </c>
      <c r="K1118" s="100"/>
      <c r="N1118" s="100"/>
      <c r="O1118" s="100"/>
      <c r="P1118" s="100"/>
    </row>
    <row r="1119">
      <c r="A1119" s="107">
        <v>201937.0</v>
      </c>
      <c r="B1119" s="108" t="s">
        <v>92</v>
      </c>
      <c r="C1119" s="108" t="s">
        <v>432</v>
      </c>
      <c r="D1119" s="112" t="s">
        <v>184</v>
      </c>
      <c r="E1119" s="112">
        <v>2325.6</v>
      </c>
      <c r="F1119" s="111" t="str">
        <f>DataPull!D1119</f>
        <v/>
      </c>
      <c r="G1119" s="94" t="str">
        <f t="shared" si="2"/>
        <v/>
      </c>
      <c r="H1119" s="94" t="str">
        <f t="shared" si="3"/>
        <v/>
      </c>
      <c r="I1119" s="94" t="str">
        <f t="shared" ref="I1119:J1119" si="1120">if(G1119 = "", , -G1119)</f>
        <v/>
      </c>
      <c r="J1119" s="94" t="str">
        <f t="shared" si="1120"/>
        <v/>
      </c>
      <c r="K1119" s="100"/>
      <c r="N1119" s="100"/>
      <c r="O1119" s="100"/>
      <c r="P1119" s="100"/>
    </row>
    <row r="1120">
      <c r="A1120" s="107">
        <v>201937.0</v>
      </c>
      <c r="B1120" s="108" t="s">
        <v>190</v>
      </c>
      <c r="C1120" s="108" t="s">
        <v>432</v>
      </c>
      <c r="D1120" s="112" t="s">
        <v>184</v>
      </c>
      <c r="E1120" s="112">
        <v>2467.5</v>
      </c>
      <c r="F1120" s="111" t="str">
        <f>DataPull!D1120</f>
        <v/>
      </c>
      <c r="G1120" s="94" t="str">
        <f t="shared" si="2"/>
        <v/>
      </c>
      <c r="H1120" s="94" t="str">
        <f t="shared" si="3"/>
        <v/>
      </c>
      <c r="I1120" s="94" t="str">
        <f t="shared" ref="I1120:J1120" si="1121">if(G1120 = "", , -G1120)</f>
        <v/>
      </c>
      <c r="J1120" s="94" t="str">
        <f t="shared" si="1121"/>
        <v/>
      </c>
      <c r="K1120" s="100"/>
      <c r="N1120" s="100"/>
      <c r="O1120" s="100"/>
      <c r="P1120" s="100"/>
    </row>
    <row r="1121">
      <c r="A1121" s="107">
        <v>201937.0</v>
      </c>
      <c r="B1121" s="108" t="s">
        <v>191</v>
      </c>
      <c r="C1121" s="108" t="s">
        <v>432</v>
      </c>
      <c r="D1121" s="112" t="s">
        <v>184</v>
      </c>
      <c r="E1121" s="112">
        <v>2256.1</v>
      </c>
      <c r="F1121" s="111" t="str">
        <f>DataPull!D1121</f>
        <v/>
      </c>
      <c r="G1121" s="94" t="str">
        <f t="shared" si="2"/>
        <v/>
      </c>
      <c r="H1121" s="94" t="str">
        <f t="shared" si="3"/>
        <v/>
      </c>
      <c r="I1121" s="94" t="str">
        <f t="shared" ref="I1121:J1121" si="1122">if(G1121 = "", , -G1121)</f>
        <v/>
      </c>
      <c r="J1121" s="94" t="str">
        <f t="shared" si="1122"/>
        <v/>
      </c>
      <c r="K1121" s="100"/>
      <c r="M1121" s="100"/>
      <c r="N1121" s="100"/>
      <c r="O1121" s="100"/>
    </row>
    <row r="1122">
      <c r="A1122" s="107">
        <v>201937.0</v>
      </c>
      <c r="B1122" s="108" t="s">
        <v>192</v>
      </c>
      <c r="C1122" s="108" t="s">
        <v>432</v>
      </c>
      <c r="D1122" s="112" t="s">
        <v>184</v>
      </c>
      <c r="E1122" s="112">
        <v>1897.2</v>
      </c>
      <c r="F1122" s="111" t="str">
        <f>DataPull!D1122</f>
        <v/>
      </c>
      <c r="G1122" s="94" t="str">
        <f t="shared" si="2"/>
        <v/>
      </c>
      <c r="H1122" s="94" t="str">
        <f t="shared" si="3"/>
        <v/>
      </c>
      <c r="I1122" s="94" t="str">
        <f t="shared" ref="I1122:J1122" si="1123">if(G1122 = "", , -G1122)</f>
        <v/>
      </c>
      <c r="J1122" s="94" t="str">
        <f t="shared" si="1123"/>
        <v/>
      </c>
      <c r="K1122" s="100"/>
      <c r="M1122" s="100"/>
      <c r="N1122" s="100"/>
      <c r="O1122" s="100"/>
    </row>
    <row r="1123">
      <c r="A1123" s="107">
        <v>201937.0</v>
      </c>
      <c r="B1123" s="108" t="s">
        <v>193</v>
      </c>
      <c r="C1123" s="108" t="s">
        <v>432</v>
      </c>
      <c r="D1123" s="112" t="s">
        <v>184</v>
      </c>
      <c r="E1123" s="112">
        <v>2015.0</v>
      </c>
      <c r="F1123" s="111" t="str">
        <f>DataPull!D1123</f>
        <v/>
      </c>
      <c r="G1123" s="94" t="str">
        <f t="shared" si="2"/>
        <v/>
      </c>
      <c r="H1123" s="94" t="str">
        <f t="shared" si="3"/>
        <v/>
      </c>
      <c r="I1123" s="94" t="str">
        <f t="shared" ref="I1123:J1123" si="1124">if(G1123 = "", , -G1123)</f>
        <v/>
      </c>
      <c r="J1123" s="94" t="str">
        <f t="shared" si="1124"/>
        <v/>
      </c>
      <c r="K1123" s="100"/>
      <c r="M1123" s="100"/>
      <c r="N1123" s="100"/>
      <c r="O1123" s="100"/>
      <c r="P1123" s="100"/>
    </row>
    <row r="1124">
      <c r="A1124" s="107">
        <v>201937.0</v>
      </c>
      <c r="B1124" s="108" t="s">
        <v>243</v>
      </c>
      <c r="C1124" s="108" t="s">
        <v>432</v>
      </c>
      <c r="D1124" s="112" t="s">
        <v>178</v>
      </c>
      <c r="E1124" s="112">
        <v>1774.8</v>
      </c>
      <c r="F1124" s="111" t="str">
        <f>DataPull!D1124</f>
        <v/>
      </c>
      <c r="G1124" s="94" t="str">
        <f t="shared" si="2"/>
        <v/>
      </c>
      <c r="H1124" s="94" t="str">
        <f t="shared" si="3"/>
        <v/>
      </c>
      <c r="I1124" s="94" t="str">
        <f t="shared" ref="I1124:J1124" si="1125">if(G1124 = "", , -G1124)</f>
        <v/>
      </c>
      <c r="J1124" s="94" t="str">
        <f t="shared" si="1125"/>
        <v/>
      </c>
      <c r="K1124" s="100"/>
      <c r="M1124" s="100"/>
      <c r="N1124" s="100"/>
      <c r="O1124" s="100"/>
    </row>
    <row r="1125">
      <c r="A1125" s="107">
        <v>201937.0</v>
      </c>
      <c r="B1125" s="108" t="s">
        <v>215</v>
      </c>
      <c r="C1125" s="108" t="s">
        <v>432</v>
      </c>
      <c r="D1125" s="112" t="s">
        <v>176</v>
      </c>
      <c r="E1125" s="112">
        <v>969.0</v>
      </c>
      <c r="F1125" s="111" t="str">
        <f>DataPull!D1125</f>
        <v/>
      </c>
      <c r="G1125" s="94" t="str">
        <f t="shared" si="2"/>
        <v/>
      </c>
      <c r="H1125" s="94" t="str">
        <f t="shared" si="3"/>
        <v/>
      </c>
      <c r="I1125" s="94" t="str">
        <f t="shared" ref="I1125:J1125" si="1126">if(G1125 = "", , -G1125)</f>
        <v/>
      </c>
      <c r="J1125" s="94" t="str">
        <f t="shared" si="1126"/>
        <v/>
      </c>
      <c r="K1125" s="100"/>
      <c r="M1125" s="100"/>
      <c r="N1125" s="100"/>
      <c r="O1125" s="100"/>
      <c r="P1125" s="100"/>
    </row>
    <row r="1126">
      <c r="A1126" s="107">
        <v>201937.0</v>
      </c>
      <c r="B1126" s="108" t="s">
        <v>244</v>
      </c>
      <c r="C1126" s="108" t="s">
        <v>432</v>
      </c>
      <c r="D1126" s="112" t="s">
        <v>177</v>
      </c>
      <c r="E1126" s="112">
        <v>567.6</v>
      </c>
      <c r="F1126" s="111" t="str">
        <f>DataPull!D1126</f>
        <v/>
      </c>
      <c r="G1126" s="94" t="str">
        <f t="shared" si="2"/>
        <v/>
      </c>
      <c r="H1126" s="94" t="str">
        <f t="shared" si="3"/>
        <v/>
      </c>
      <c r="I1126" s="94" t="str">
        <f t="shared" ref="I1126:J1126" si="1127">if(G1126 = "", , -G1126)</f>
        <v/>
      </c>
      <c r="J1126" s="94" t="str">
        <f t="shared" si="1127"/>
        <v/>
      </c>
      <c r="K1126" s="100"/>
      <c r="N1126" s="100"/>
      <c r="O1126" s="100"/>
      <c r="P1126" s="100"/>
    </row>
    <row r="1127">
      <c r="A1127" s="107">
        <v>201939.0</v>
      </c>
      <c r="B1127" s="108" t="s">
        <v>85</v>
      </c>
      <c r="C1127" s="108" t="s">
        <v>433</v>
      </c>
      <c r="D1127" s="112" t="s">
        <v>184</v>
      </c>
      <c r="E1127" s="112">
        <v>2847.0</v>
      </c>
      <c r="F1127" s="111" t="str">
        <f>DataPull!D1127</f>
        <v/>
      </c>
      <c r="G1127" s="94" t="str">
        <f t="shared" si="2"/>
        <v/>
      </c>
      <c r="H1127" s="94" t="str">
        <f t="shared" si="3"/>
        <v/>
      </c>
      <c r="I1127" s="94" t="str">
        <f t="shared" ref="I1127:J1127" si="1128">if(G1127 = "", , -G1127)</f>
        <v/>
      </c>
      <c r="J1127" s="94" t="str">
        <f t="shared" si="1128"/>
        <v/>
      </c>
      <c r="K1127" s="100"/>
      <c r="M1127" s="100"/>
      <c r="N1127" s="100"/>
      <c r="O1127" s="100"/>
      <c r="P1127" s="100"/>
    </row>
    <row r="1128">
      <c r="A1128" s="107">
        <v>201939.0</v>
      </c>
      <c r="B1128" s="108" t="s">
        <v>90</v>
      </c>
      <c r="C1128" s="108" t="s">
        <v>433</v>
      </c>
      <c r="D1128" s="112" t="s">
        <v>184</v>
      </c>
      <c r="E1128" s="112">
        <v>2616.0</v>
      </c>
      <c r="F1128" s="111" t="str">
        <f>DataPull!D1128</f>
        <v/>
      </c>
      <c r="G1128" s="94" t="str">
        <f t="shared" si="2"/>
        <v/>
      </c>
      <c r="H1128" s="94" t="str">
        <f t="shared" si="3"/>
        <v/>
      </c>
      <c r="I1128" s="94" t="str">
        <f t="shared" ref="I1128:J1128" si="1129">if(G1128 = "", , -G1128)</f>
        <v/>
      </c>
      <c r="J1128" s="94" t="str">
        <f t="shared" si="1129"/>
        <v/>
      </c>
      <c r="K1128" s="100"/>
      <c r="M1128" s="100"/>
      <c r="N1128" s="100"/>
      <c r="O1128" s="100"/>
      <c r="P1128" s="100"/>
    </row>
    <row r="1129">
      <c r="A1129" s="107">
        <v>201939.0</v>
      </c>
      <c r="B1129" s="108" t="s">
        <v>92</v>
      </c>
      <c r="C1129" s="108" t="s">
        <v>433</v>
      </c>
      <c r="D1129" s="112" t="s">
        <v>184</v>
      </c>
      <c r="E1129" s="112">
        <v>2701.8</v>
      </c>
      <c r="F1129" s="111" t="str">
        <f>DataPull!D1129</f>
        <v/>
      </c>
      <c r="G1129" s="94" t="str">
        <f t="shared" si="2"/>
        <v/>
      </c>
      <c r="H1129" s="94" t="str">
        <f t="shared" si="3"/>
        <v/>
      </c>
      <c r="I1129" s="94" t="str">
        <f t="shared" ref="I1129:J1129" si="1130">if(G1129 = "", , -G1129)</f>
        <v/>
      </c>
      <c r="J1129" s="94" t="str">
        <f t="shared" si="1130"/>
        <v/>
      </c>
      <c r="K1129" s="100"/>
      <c r="N1129" s="100"/>
      <c r="O1129" s="100"/>
      <c r="P1129" s="100"/>
    </row>
    <row r="1130">
      <c r="A1130" s="107">
        <v>201939.0</v>
      </c>
      <c r="B1130" s="108" t="s">
        <v>190</v>
      </c>
      <c r="C1130" s="108" t="s">
        <v>433</v>
      </c>
      <c r="D1130" s="112" t="s">
        <v>184</v>
      </c>
      <c r="E1130" s="112">
        <v>2638.6</v>
      </c>
      <c r="F1130" s="111" t="str">
        <f>DataPull!D1130</f>
        <v/>
      </c>
      <c r="G1130" s="94" t="str">
        <f t="shared" si="2"/>
        <v/>
      </c>
      <c r="H1130" s="94" t="str">
        <f t="shared" si="3"/>
        <v/>
      </c>
      <c r="I1130" s="94" t="str">
        <f t="shared" ref="I1130:J1130" si="1131">if(G1130 = "", , -G1130)</f>
        <v/>
      </c>
      <c r="J1130" s="94" t="str">
        <f t="shared" si="1131"/>
        <v/>
      </c>
      <c r="K1130" s="100"/>
      <c r="M1130" s="100"/>
      <c r="N1130" s="100"/>
      <c r="O1130" s="100"/>
      <c r="P1130" s="100"/>
    </row>
    <row r="1131">
      <c r="A1131" s="107">
        <v>201939.0</v>
      </c>
      <c r="B1131" s="108" t="s">
        <v>191</v>
      </c>
      <c r="C1131" s="108" t="s">
        <v>433</v>
      </c>
      <c r="D1131" s="112" t="s">
        <v>184</v>
      </c>
      <c r="E1131" s="112">
        <v>1632.0</v>
      </c>
      <c r="F1131" s="111" t="str">
        <f>DataPull!D1131</f>
        <v/>
      </c>
      <c r="G1131" s="94" t="str">
        <f t="shared" si="2"/>
        <v/>
      </c>
      <c r="H1131" s="94" t="str">
        <f t="shared" si="3"/>
        <v/>
      </c>
      <c r="I1131" s="94" t="str">
        <f t="shared" ref="I1131:J1131" si="1132">if(G1131 = "", , -G1131)</f>
        <v/>
      </c>
      <c r="J1131" s="94" t="str">
        <f t="shared" si="1132"/>
        <v/>
      </c>
      <c r="K1131" s="100"/>
      <c r="M1131" s="100"/>
      <c r="N1131" s="100"/>
      <c r="O1131" s="100"/>
      <c r="P1131" s="100"/>
    </row>
    <row r="1132">
      <c r="A1132" s="107">
        <v>201939.0</v>
      </c>
      <c r="B1132" s="108" t="s">
        <v>192</v>
      </c>
      <c r="C1132" s="108" t="s">
        <v>433</v>
      </c>
      <c r="D1132" s="112" t="s">
        <v>184</v>
      </c>
      <c r="E1132" s="112">
        <v>2332.2</v>
      </c>
      <c r="F1132" s="111" t="str">
        <f>DataPull!D1132</f>
        <v/>
      </c>
      <c r="G1132" s="94" t="str">
        <f t="shared" si="2"/>
        <v/>
      </c>
      <c r="H1132" s="94" t="str">
        <f t="shared" si="3"/>
        <v/>
      </c>
      <c r="I1132" s="94" t="str">
        <f t="shared" ref="I1132:J1132" si="1133">if(G1132 = "", , -G1132)</f>
        <v/>
      </c>
      <c r="J1132" s="94" t="str">
        <f t="shared" si="1133"/>
        <v/>
      </c>
      <c r="N1132" s="100"/>
      <c r="O1132" s="100"/>
      <c r="P1132" s="100"/>
    </row>
    <row r="1133">
      <c r="A1133" s="107">
        <v>201939.0</v>
      </c>
      <c r="B1133" s="108" t="s">
        <v>193</v>
      </c>
      <c r="C1133" s="108" t="s">
        <v>433</v>
      </c>
      <c r="D1133" s="112" t="s">
        <v>181</v>
      </c>
      <c r="E1133" s="112">
        <v>139.5</v>
      </c>
      <c r="F1133" s="111" t="str">
        <f>DataPull!D1133</f>
        <v/>
      </c>
      <c r="G1133" s="94" t="str">
        <f t="shared" si="2"/>
        <v/>
      </c>
      <c r="H1133" s="94" t="str">
        <f t="shared" si="3"/>
        <v/>
      </c>
      <c r="I1133" s="94" t="str">
        <f t="shared" ref="I1133:J1133" si="1134">if(G1133 = "", , -G1133)</f>
        <v/>
      </c>
      <c r="J1133" s="94" t="str">
        <f t="shared" si="1134"/>
        <v/>
      </c>
      <c r="K1133" s="100"/>
      <c r="N1133" s="100"/>
      <c r="O1133" s="100"/>
      <c r="P1133" s="100"/>
    </row>
    <row r="1134">
      <c r="A1134" s="107">
        <v>201939.0</v>
      </c>
      <c r="B1134" s="108" t="s">
        <v>243</v>
      </c>
      <c r="C1134" s="108" t="s">
        <v>433</v>
      </c>
      <c r="D1134" s="112" t="s">
        <v>184</v>
      </c>
      <c r="E1134" s="112">
        <v>2154.6</v>
      </c>
      <c r="F1134" s="111" t="str">
        <f>DataPull!D1134</f>
        <v/>
      </c>
      <c r="G1134" s="94" t="str">
        <f t="shared" si="2"/>
        <v/>
      </c>
      <c r="H1134" s="94" t="str">
        <f t="shared" si="3"/>
        <v/>
      </c>
      <c r="I1134" s="94" t="str">
        <f t="shared" ref="I1134:J1134" si="1135">if(G1134 = "", , -G1134)</f>
        <v/>
      </c>
      <c r="J1134" s="94" t="str">
        <f t="shared" si="1135"/>
        <v/>
      </c>
      <c r="K1134" s="100"/>
      <c r="M1134" s="100"/>
      <c r="N1134" s="100"/>
      <c r="O1134" s="100"/>
      <c r="P1134" s="100"/>
    </row>
    <row r="1135">
      <c r="A1135" s="107">
        <v>201939.0</v>
      </c>
      <c r="B1135" s="108" t="s">
        <v>215</v>
      </c>
      <c r="C1135" s="108" t="s">
        <v>433</v>
      </c>
      <c r="D1135" s="112" t="s">
        <v>184</v>
      </c>
      <c r="E1135" s="112">
        <v>2208.0</v>
      </c>
      <c r="F1135" s="111" t="str">
        <f>DataPull!D1135</f>
        <v/>
      </c>
      <c r="G1135" s="94" t="str">
        <f t="shared" si="2"/>
        <v/>
      </c>
      <c r="H1135" s="94" t="str">
        <f t="shared" si="3"/>
        <v/>
      </c>
      <c r="I1135" s="94" t="str">
        <f t="shared" ref="I1135:J1135" si="1136">if(G1135 = "", , -G1135)</f>
        <v/>
      </c>
      <c r="J1135" s="94" t="str">
        <f t="shared" si="1136"/>
        <v/>
      </c>
      <c r="K1135" s="100"/>
      <c r="M1135" s="100"/>
      <c r="N1135" s="100"/>
      <c r="O1135" s="100"/>
      <c r="P1135" s="100"/>
    </row>
    <row r="1136">
      <c r="A1136" s="107">
        <v>201939.0</v>
      </c>
      <c r="B1136" s="108" t="s">
        <v>244</v>
      </c>
      <c r="C1136" s="108" t="s">
        <v>433</v>
      </c>
      <c r="D1136" s="112" t="s">
        <v>184</v>
      </c>
      <c r="E1136" s="112">
        <v>1943.2</v>
      </c>
      <c r="F1136" s="111" t="str">
        <f>DataPull!D1136</f>
        <v/>
      </c>
      <c r="G1136" s="94" t="str">
        <f t="shared" si="2"/>
        <v/>
      </c>
      <c r="H1136" s="94" t="str">
        <f t="shared" si="3"/>
        <v/>
      </c>
      <c r="I1136" s="94" t="str">
        <f t="shared" ref="I1136:J1136" si="1137">if(G1136 = "", , -G1136)</f>
        <v/>
      </c>
      <c r="J1136" s="94" t="str">
        <f t="shared" si="1137"/>
        <v/>
      </c>
      <c r="K1136" s="100"/>
      <c r="M1136" s="100"/>
      <c r="N1136" s="100"/>
      <c r="O1136" s="100"/>
      <c r="P1136" s="100"/>
    </row>
    <row r="1137">
      <c r="A1137" s="107">
        <v>201939.0</v>
      </c>
      <c r="B1137" s="108" t="s">
        <v>245</v>
      </c>
      <c r="C1137" s="108" t="s">
        <v>433</v>
      </c>
      <c r="D1137" s="112" t="s">
        <v>184</v>
      </c>
      <c r="E1137" s="112">
        <v>2419.8</v>
      </c>
      <c r="F1137" s="111" t="str">
        <f>DataPull!D1137</f>
        <v/>
      </c>
      <c r="G1137" s="94" t="str">
        <f t="shared" si="2"/>
        <v/>
      </c>
      <c r="H1137" s="94" t="str">
        <f t="shared" si="3"/>
        <v/>
      </c>
      <c r="I1137" s="94" t="str">
        <f t="shared" ref="I1137:J1137" si="1138">if(G1137 = "", , -G1137)</f>
        <v/>
      </c>
      <c r="J1137" s="94" t="str">
        <f t="shared" si="1138"/>
        <v/>
      </c>
      <c r="K1137" s="100"/>
      <c r="M1137" s="100"/>
      <c r="N1137" s="100"/>
      <c r="O1137" s="100"/>
      <c r="P1137" s="100"/>
    </row>
    <row r="1138">
      <c r="A1138" s="107">
        <v>201939.0</v>
      </c>
      <c r="B1138" s="108" t="s">
        <v>246</v>
      </c>
      <c r="C1138" s="108" t="s">
        <v>433</v>
      </c>
      <c r="D1138" s="112" t="s">
        <v>184</v>
      </c>
      <c r="E1138" s="112">
        <v>2254.0</v>
      </c>
      <c r="F1138" s="111" t="str">
        <f>DataPull!D1138</f>
        <v/>
      </c>
      <c r="G1138" s="94" t="str">
        <f t="shared" si="2"/>
        <v/>
      </c>
      <c r="H1138" s="94" t="str">
        <f t="shared" si="3"/>
        <v/>
      </c>
      <c r="I1138" s="94" t="str">
        <f t="shared" ref="I1138:J1138" si="1139">if(G1138 = "", , -G1138)</f>
        <v/>
      </c>
      <c r="J1138" s="94" t="str">
        <f t="shared" si="1139"/>
        <v/>
      </c>
      <c r="K1138" s="100"/>
      <c r="M1138" s="100"/>
      <c r="N1138" s="100"/>
      <c r="O1138" s="100"/>
      <c r="P1138" s="100"/>
    </row>
    <row r="1139">
      <c r="A1139" s="114">
        <v>201939.0</v>
      </c>
      <c r="B1139" s="113" t="s">
        <v>247</v>
      </c>
      <c r="C1139" s="113" t="s">
        <v>433</v>
      </c>
      <c r="D1139" s="112" t="s">
        <v>184</v>
      </c>
      <c r="E1139" s="112">
        <v>1328.7</v>
      </c>
      <c r="F1139" s="111" t="str">
        <f>DataPull!D1139</f>
        <v/>
      </c>
      <c r="G1139" s="94" t="str">
        <f t="shared" si="2"/>
        <v/>
      </c>
      <c r="H1139" s="94" t="str">
        <f t="shared" si="3"/>
        <v/>
      </c>
      <c r="I1139" s="94" t="str">
        <f t="shared" ref="I1139:J1139" si="1140">if(G1139 = "", , -G1139)</f>
        <v/>
      </c>
      <c r="J1139" s="94" t="str">
        <f t="shared" si="1140"/>
        <v/>
      </c>
      <c r="K1139" s="100"/>
      <c r="M1139" s="100"/>
      <c r="N1139" s="100"/>
      <c r="O1139" s="100"/>
      <c r="P1139" s="100"/>
    </row>
    <row r="1140">
      <c r="A1140" s="107">
        <v>201941.0</v>
      </c>
      <c r="B1140" s="108" t="s">
        <v>85</v>
      </c>
      <c r="C1140" s="108" t="s">
        <v>434</v>
      </c>
      <c r="D1140" s="112" t="s">
        <v>177</v>
      </c>
      <c r="E1140" s="112">
        <v>1497.6</v>
      </c>
      <c r="F1140" s="111" t="str">
        <f>DataPull!D1140</f>
        <v/>
      </c>
      <c r="G1140" s="94" t="str">
        <f t="shared" si="2"/>
        <v/>
      </c>
      <c r="H1140" s="94" t="str">
        <f t="shared" si="3"/>
        <v/>
      </c>
      <c r="I1140" s="94" t="str">
        <f t="shared" ref="I1140:J1140" si="1141">if(G1140 = "", , -G1140)</f>
        <v/>
      </c>
      <c r="J1140" s="94" t="str">
        <f t="shared" si="1141"/>
        <v/>
      </c>
      <c r="K1140" s="100"/>
      <c r="M1140" s="100"/>
      <c r="N1140" s="100"/>
      <c r="O1140" s="100"/>
      <c r="P1140" s="100"/>
    </row>
    <row r="1141">
      <c r="A1141" s="107">
        <v>201941.0</v>
      </c>
      <c r="B1141" s="108" t="s">
        <v>90</v>
      </c>
      <c r="C1141" s="108" t="s">
        <v>434</v>
      </c>
      <c r="D1141" s="112" t="s">
        <v>178</v>
      </c>
      <c r="E1141" s="112">
        <v>1876.0</v>
      </c>
      <c r="F1141" s="111" t="str">
        <f>DataPull!D1141</f>
        <v/>
      </c>
      <c r="G1141" s="94" t="str">
        <f t="shared" si="2"/>
        <v/>
      </c>
      <c r="H1141" s="94" t="str">
        <f t="shared" si="3"/>
        <v/>
      </c>
      <c r="I1141" s="94" t="str">
        <f t="shared" ref="I1141:J1141" si="1142">if(G1141 = "", , -G1141)</f>
        <v/>
      </c>
      <c r="J1141" s="94" t="str">
        <f t="shared" si="1142"/>
        <v/>
      </c>
      <c r="K1141" s="100"/>
      <c r="N1141" s="100"/>
      <c r="O1141" s="100"/>
      <c r="P1141" s="100"/>
    </row>
    <row r="1142">
      <c r="A1142" s="107">
        <v>201941.0</v>
      </c>
      <c r="B1142" s="108" t="s">
        <v>92</v>
      </c>
      <c r="C1142" s="108" t="s">
        <v>434</v>
      </c>
      <c r="D1142" s="112" t="s">
        <v>177</v>
      </c>
      <c r="E1142" s="112">
        <v>1511.1</v>
      </c>
      <c r="F1142" s="111" t="str">
        <f>DataPull!D1142</f>
        <v/>
      </c>
      <c r="G1142" s="94" t="str">
        <f t="shared" si="2"/>
        <v/>
      </c>
      <c r="H1142" s="94" t="str">
        <f t="shared" si="3"/>
        <v/>
      </c>
      <c r="I1142" s="94" t="str">
        <f t="shared" ref="I1142:J1142" si="1143">if(G1142 = "", , -G1142)</f>
        <v/>
      </c>
      <c r="J1142" s="94" t="str">
        <f t="shared" si="1143"/>
        <v/>
      </c>
      <c r="K1142" s="100"/>
      <c r="M1142" s="100"/>
      <c r="N1142" s="100"/>
      <c r="O1142" s="100"/>
      <c r="P1142" s="100"/>
    </row>
    <row r="1143">
      <c r="A1143" s="107">
        <v>201941.0</v>
      </c>
      <c r="B1143" s="108" t="s">
        <v>190</v>
      </c>
      <c r="C1143" s="108" t="s">
        <v>434</v>
      </c>
      <c r="D1143" s="112" t="s">
        <v>181</v>
      </c>
      <c r="E1143" s="112">
        <v>46.9</v>
      </c>
      <c r="F1143" s="111" t="str">
        <f>DataPull!D1143</f>
        <v/>
      </c>
      <c r="G1143" s="94" t="str">
        <f t="shared" si="2"/>
        <v/>
      </c>
      <c r="H1143" s="94" t="str">
        <f t="shared" si="3"/>
        <v/>
      </c>
      <c r="I1143" s="94" t="str">
        <f t="shared" ref="I1143:J1143" si="1144">if(G1143 = "", , -G1143)</f>
        <v/>
      </c>
      <c r="J1143" s="94" t="str">
        <f t="shared" si="1144"/>
        <v/>
      </c>
      <c r="K1143" s="100"/>
      <c r="M1143" s="100"/>
      <c r="N1143" s="100"/>
      <c r="O1143" s="100"/>
      <c r="P1143" s="100"/>
    </row>
    <row r="1144">
      <c r="A1144" s="107">
        <v>201942.0</v>
      </c>
      <c r="B1144" s="108" t="s">
        <v>85</v>
      </c>
      <c r="C1144" s="108" t="s">
        <v>435</v>
      </c>
      <c r="D1144" s="112" t="s">
        <v>178</v>
      </c>
      <c r="E1144" s="112">
        <v>3017.8</v>
      </c>
      <c r="F1144" s="111" t="str">
        <f>DataPull!D1144</f>
        <v/>
      </c>
      <c r="G1144" s="94" t="str">
        <f t="shared" si="2"/>
        <v/>
      </c>
      <c r="H1144" s="94" t="str">
        <f t="shared" si="3"/>
        <v/>
      </c>
      <c r="I1144" s="94" t="str">
        <f t="shared" ref="I1144:J1144" si="1145">if(G1144 = "", , -G1144)</f>
        <v/>
      </c>
      <c r="J1144" s="94" t="str">
        <f t="shared" si="1145"/>
        <v/>
      </c>
      <c r="K1144" s="100"/>
      <c r="M1144" s="100"/>
      <c r="N1144" s="100"/>
      <c r="O1144" s="100"/>
      <c r="P1144" s="100"/>
    </row>
    <row r="1145">
      <c r="A1145" s="107">
        <v>201942.0</v>
      </c>
      <c r="B1145" s="108" t="s">
        <v>90</v>
      </c>
      <c r="C1145" s="108" t="s">
        <v>435</v>
      </c>
      <c r="D1145" s="112" t="s">
        <v>178</v>
      </c>
      <c r="E1145" s="112">
        <v>2100.0</v>
      </c>
      <c r="F1145" s="111" t="str">
        <f>DataPull!D1145</f>
        <v/>
      </c>
      <c r="G1145" s="94" t="str">
        <f t="shared" si="2"/>
        <v/>
      </c>
      <c r="H1145" s="94" t="str">
        <f t="shared" si="3"/>
        <v/>
      </c>
      <c r="I1145" s="94" t="str">
        <f t="shared" ref="I1145:J1145" si="1146">if(G1145 = "", , -G1145)</f>
        <v/>
      </c>
      <c r="J1145" s="94" t="str">
        <f t="shared" si="1146"/>
        <v/>
      </c>
      <c r="K1145" s="100"/>
      <c r="N1145" s="100"/>
      <c r="O1145" s="100"/>
      <c r="P1145" s="100"/>
    </row>
    <row r="1146">
      <c r="A1146" s="107">
        <v>201942.0</v>
      </c>
      <c r="B1146" s="108" t="s">
        <v>92</v>
      </c>
      <c r="C1146" s="108" t="s">
        <v>435</v>
      </c>
      <c r="D1146" s="112" t="s">
        <v>178</v>
      </c>
      <c r="E1146" s="112">
        <v>2800.2</v>
      </c>
      <c r="F1146" s="111" t="str">
        <f>DataPull!D1146</f>
        <v/>
      </c>
      <c r="G1146" s="94" t="str">
        <f t="shared" si="2"/>
        <v/>
      </c>
      <c r="H1146" s="94" t="str">
        <f t="shared" si="3"/>
        <v/>
      </c>
      <c r="I1146" s="94" t="str">
        <f t="shared" ref="I1146:J1146" si="1147">if(G1146 = "", , -G1146)</f>
        <v/>
      </c>
      <c r="J1146" s="94" t="str">
        <f t="shared" si="1147"/>
        <v/>
      </c>
      <c r="K1146" s="100"/>
      <c r="M1146" s="100"/>
      <c r="N1146" s="100"/>
      <c r="O1146" s="100"/>
      <c r="P1146" s="100"/>
    </row>
    <row r="1147">
      <c r="A1147" s="107">
        <v>201942.0</v>
      </c>
      <c r="B1147" s="108" t="s">
        <v>190</v>
      </c>
      <c r="C1147" s="108" t="s">
        <v>435</v>
      </c>
      <c r="D1147" s="112" t="s">
        <v>184</v>
      </c>
      <c r="E1147" s="112">
        <v>2619.6</v>
      </c>
      <c r="F1147" s="111" t="str">
        <f>DataPull!D1147</f>
        <v/>
      </c>
      <c r="G1147" s="94" t="str">
        <f t="shared" si="2"/>
        <v/>
      </c>
      <c r="H1147" s="94" t="str">
        <f t="shared" si="3"/>
        <v/>
      </c>
      <c r="I1147" s="94" t="str">
        <f t="shared" ref="I1147:J1147" si="1148">if(G1147 = "", , -G1147)</f>
        <v/>
      </c>
      <c r="J1147" s="94" t="str">
        <f t="shared" si="1148"/>
        <v/>
      </c>
      <c r="K1147" s="100"/>
      <c r="M1147" s="100"/>
      <c r="N1147" s="100"/>
      <c r="O1147" s="100"/>
    </row>
    <row r="1148">
      <c r="A1148" s="107">
        <v>201942.0</v>
      </c>
      <c r="B1148" s="108" t="s">
        <v>191</v>
      </c>
      <c r="C1148" s="108" t="s">
        <v>435</v>
      </c>
      <c r="D1148" s="112" t="s">
        <v>184</v>
      </c>
      <c r="E1148" s="112">
        <v>2712.0</v>
      </c>
      <c r="F1148" s="111" t="str">
        <f>DataPull!D1148</f>
        <v/>
      </c>
      <c r="G1148" s="94" t="str">
        <f t="shared" si="2"/>
        <v/>
      </c>
      <c r="H1148" s="94" t="str">
        <f t="shared" si="3"/>
        <v/>
      </c>
      <c r="I1148" s="94" t="str">
        <f t="shared" ref="I1148:J1148" si="1149">if(G1148 = "", , -G1148)</f>
        <v/>
      </c>
      <c r="J1148" s="94" t="str">
        <f t="shared" si="1149"/>
        <v/>
      </c>
      <c r="K1148" s="100"/>
      <c r="L1148" s="100"/>
      <c r="N1148" s="100"/>
      <c r="O1148" s="100"/>
      <c r="P1148" s="100"/>
    </row>
    <row r="1149">
      <c r="A1149" s="107">
        <v>201942.0</v>
      </c>
      <c r="B1149" s="108" t="s">
        <v>192</v>
      </c>
      <c r="C1149" s="108" t="s">
        <v>435</v>
      </c>
      <c r="D1149" s="112" t="s">
        <v>184</v>
      </c>
      <c r="E1149" s="112">
        <v>2687.3</v>
      </c>
      <c r="F1149" s="111" t="str">
        <f>DataPull!D1149</f>
        <v/>
      </c>
      <c r="G1149" s="94" t="str">
        <f t="shared" si="2"/>
        <v/>
      </c>
      <c r="H1149" s="94" t="str">
        <f t="shared" si="3"/>
        <v/>
      </c>
      <c r="I1149" s="94" t="str">
        <f t="shared" ref="I1149:J1149" si="1150">if(G1149 = "", , -G1149)</f>
        <v/>
      </c>
      <c r="J1149" s="94" t="str">
        <f t="shared" si="1150"/>
        <v/>
      </c>
      <c r="K1149" s="100"/>
      <c r="M1149" s="100"/>
      <c r="N1149" s="100"/>
      <c r="O1149" s="100"/>
      <c r="P1149" s="100"/>
    </row>
    <row r="1150">
      <c r="A1150" s="107">
        <v>201942.0</v>
      </c>
      <c r="B1150" s="108" t="s">
        <v>193</v>
      </c>
      <c r="C1150" s="108" t="s">
        <v>435</v>
      </c>
      <c r="D1150" s="112" t="s">
        <v>184</v>
      </c>
      <c r="E1150" s="112">
        <v>2318.8</v>
      </c>
      <c r="F1150" s="111" t="str">
        <f>DataPull!D1150</f>
        <v/>
      </c>
      <c r="G1150" s="94" t="str">
        <f t="shared" si="2"/>
        <v/>
      </c>
      <c r="H1150" s="94" t="str">
        <f t="shared" si="3"/>
        <v/>
      </c>
      <c r="I1150" s="94" t="str">
        <f t="shared" ref="I1150:J1150" si="1151">if(G1150 = "", , -G1150)</f>
        <v/>
      </c>
      <c r="J1150" s="94" t="str">
        <f t="shared" si="1151"/>
        <v/>
      </c>
      <c r="K1150" s="100"/>
      <c r="M1150" s="100"/>
      <c r="N1150" s="100"/>
      <c r="O1150" s="100"/>
    </row>
    <row r="1151">
      <c r="A1151" s="107">
        <v>201942.0</v>
      </c>
      <c r="B1151" s="108" t="s">
        <v>243</v>
      </c>
      <c r="C1151" s="108" t="s">
        <v>435</v>
      </c>
      <c r="D1151" s="112" t="s">
        <v>184</v>
      </c>
      <c r="E1151" s="112">
        <v>2055.7</v>
      </c>
      <c r="F1151" s="111" t="str">
        <f>DataPull!D1151</f>
        <v/>
      </c>
      <c r="G1151" s="94" t="str">
        <f t="shared" si="2"/>
        <v/>
      </c>
      <c r="H1151" s="94" t="str">
        <f t="shared" si="3"/>
        <v/>
      </c>
      <c r="I1151" s="94" t="str">
        <f t="shared" ref="I1151:J1151" si="1152">if(G1151 = "", , -G1151)</f>
        <v/>
      </c>
      <c r="J1151" s="94" t="str">
        <f t="shared" si="1152"/>
        <v/>
      </c>
      <c r="M1151" s="100"/>
      <c r="N1151" s="100"/>
      <c r="O1151" s="100"/>
    </row>
    <row r="1152">
      <c r="A1152" s="107">
        <v>201942.0</v>
      </c>
      <c r="B1152" s="108" t="s">
        <v>215</v>
      </c>
      <c r="C1152" s="108" t="s">
        <v>435</v>
      </c>
      <c r="D1152" s="112" t="s">
        <v>184</v>
      </c>
      <c r="E1152" s="112">
        <v>2743.6</v>
      </c>
      <c r="F1152" s="111" t="str">
        <f>DataPull!D1152</f>
        <v/>
      </c>
      <c r="G1152" s="94" t="str">
        <f t="shared" si="2"/>
        <v/>
      </c>
      <c r="H1152" s="94" t="str">
        <f t="shared" si="3"/>
        <v/>
      </c>
      <c r="I1152" s="94" t="str">
        <f t="shared" ref="I1152:J1152" si="1153">if(G1152 = "", , -G1152)</f>
        <v/>
      </c>
      <c r="J1152" s="94" t="str">
        <f t="shared" si="1153"/>
        <v/>
      </c>
      <c r="K1152" s="100"/>
      <c r="M1152" s="100"/>
      <c r="N1152" s="100"/>
      <c r="O1152" s="100"/>
      <c r="P1152" s="100"/>
    </row>
    <row r="1153">
      <c r="A1153" s="107">
        <v>201942.0</v>
      </c>
      <c r="B1153" s="108" t="s">
        <v>244</v>
      </c>
      <c r="C1153" s="108" t="s">
        <v>435</v>
      </c>
      <c r="D1153" s="112" t="s">
        <v>184</v>
      </c>
      <c r="E1153" s="112">
        <v>2678.8</v>
      </c>
      <c r="F1153" s="111" t="str">
        <f>DataPull!D1153</f>
        <v/>
      </c>
      <c r="G1153" s="94" t="str">
        <f t="shared" si="2"/>
        <v/>
      </c>
      <c r="H1153" s="94" t="str">
        <f t="shared" si="3"/>
        <v/>
      </c>
      <c r="I1153" s="94" t="str">
        <f t="shared" ref="I1153:J1153" si="1154">if(G1153 = "", , -G1153)</f>
        <v/>
      </c>
      <c r="J1153" s="94" t="str">
        <f t="shared" si="1154"/>
        <v/>
      </c>
      <c r="K1153" s="100"/>
      <c r="M1153" s="100"/>
      <c r="N1153" s="100"/>
      <c r="O1153" s="100"/>
    </row>
    <row r="1154">
      <c r="A1154" s="107">
        <v>201942.0</v>
      </c>
      <c r="B1154" s="108" t="s">
        <v>245</v>
      </c>
      <c r="C1154" s="108" t="s">
        <v>435</v>
      </c>
      <c r="D1154" s="112" t="s">
        <v>184</v>
      </c>
      <c r="E1154" s="112">
        <v>2986.2</v>
      </c>
      <c r="F1154" s="111" t="str">
        <f>DataPull!D1154</f>
        <v/>
      </c>
      <c r="G1154" s="94" t="str">
        <f t="shared" si="2"/>
        <v/>
      </c>
      <c r="H1154" s="94" t="str">
        <f t="shared" si="3"/>
        <v/>
      </c>
      <c r="I1154" s="94" t="str">
        <f t="shared" ref="I1154:J1154" si="1155">if(G1154 = "", , -G1154)</f>
        <v/>
      </c>
      <c r="J1154" s="94" t="str">
        <f t="shared" si="1155"/>
        <v/>
      </c>
      <c r="M1154" s="100"/>
      <c r="N1154" s="100"/>
      <c r="O1154" s="100"/>
      <c r="P1154" s="100"/>
    </row>
    <row r="1155">
      <c r="A1155" s="107">
        <v>201942.0</v>
      </c>
      <c r="B1155" s="108" t="s">
        <v>246</v>
      </c>
      <c r="C1155" s="108" t="s">
        <v>435</v>
      </c>
      <c r="D1155" s="112" t="s">
        <v>178</v>
      </c>
      <c r="E1155" s="112">
        <v>2764.3</v>
      </c>
      <c r="F1155" s="111" t="str">
        <f>DataPull!D1155</f>
        <v/>
      </c>
      <c r="G1155" s="94" t="str">
        <f t="shared" si="2"/>
        <v/>
      </c>
      <c r="H1155" s="94" t="str">
        <f t="shared" si="3"/>
        <v/>
      </c>
      <c r="I1155" s="94" t="str">
        <f t="shared" ref="I1155:J1155" si="1156">if(G1155 = "", , -G1155)</f>
        <v/>
      </c>
      <c r="J1155" s="94" t="str">
        <f t="shared" si="1156"/>
        <v/>
      </c>
      <c r="K1155" s="100"/>
      <c r="L1155" s="100"/>
      <c r="M1155" s="100"/>
      <c r="N1155" s="100"/>
      <c r="O1155" s="100"/>
      <c r="P1155" s="100"/>
    </row>
    <row r="1156">
      <c r="A1156" s="114">
        <v>201942.0</v>
      </c>
      <c r="B1156" s="113" t="s">
        <v>247</v>
      </c>
      <c r="C1156" s="113" t="s">
        <v>435</v>
      </c>
      <c r="D1156" s="112" t="s">
        <v>178</v>
      </c>
      <c r="E1156" s="112">
        <v>2402.4</v>
      </c>
      <c r="F1156" s="111" t="str">
        <f>DataPull!D1156</f>
        <v/>
      </c>
      <c r="G1156" s="94" t="str">
        <f t="shared" si="2"/>
        <v/>
      </c>
      <c r="H1156" s="94" t="str">
        <f t="shared" si="3"/>
        <v/>
      </c>
      <c r="I1156" s="94" t="str">
        <f t="shared" ref="I1156:J1156" si="1157">if(G1156 = "", , -G1156)</f>
        <v/>
      </c>
      <c r="J1156" s="94" t="str">
        <f t="shared" si="1157"/>
        <v/>
      </c>
      <c r="K1156" s="100"/>
      <c r="L1156" s="100"/>
      <c r="N1156" s="100"/>
      <c r="O1156" s="100"/>
      <c r="P1156" s="100"/>
    </row>
    <row r="1157">
      <c r="A1157" s="107">
        <v>201943.0</v>
      </c>
      <c r="B1157" s="108" t="s">
        <v>85</v>
      </c>
      <c r="C1157" s="108" t="s">
        <v>436</v>
      </c>
      <c r="D1157" s="112" t="s">
        <v>178</v>
      </c>
      <c r="E1157" s="112">
        <v>2728.0</v>
      </c>
      <c r="F1157" s="111" t="str">
        <f>DataPull!D1157</f>
        <v/>
      </c>
      <c r="G1157" s="94" t="str">
        <f t="shared" si="2"/>
        <v/>
      </c>
      <c r="H1157" s="94" t="str">
        <f t="shared" si="3"/>
        <v/>
      </c>
      <c r="I1157" s="94" t="str">
        <f t="shared" ref="I1157:J1157" si="1158">if(G1157 = "", , -G1157)</f>
        <v/>
      </c>
      <c r="J1157" s="94" t="str">
        <f t="shared" si="1158"/>
        <v/>
      </c>
      <c r="K1157" s="100"/>
      <c r="M1157" s="100"/>
      <c r="N1157" s="100"/>
      <c r="O1157" s="100"/>
      <c r="P1157" s="100"/>
    </row>
    <row r="1158">
      <c r="A1158" s="107">
        <v>201943.0</v>
      </c>
      <c r="B1158" s="108" t="s">
        <v>90</v>
      </c>
      <c r="C1158" s="108" t="s">
        <v>436</v>
      </c>
      <c r="D1158" s="112" t="s">
        <v>176</v>
      </c>
      <c r="E1158" s="112">
        <v>1172.6</v>
      </c>
      <c r="F1158" s="111" t="str">
        <f>DataPull!D1158</f>
        <v/>
      </c>
      <c r="G1158" s="94" t="str">
        <f t="shared" si="2"/>
        <v/>
      </c>
      <c r="H1158" s="94" t="str">
        <f t="shared" si="3"/>
        <v/>
      </c>
      <c r="I1158" s="94" t="str">
        <f t="shared" ref="I1158:J1158" si="1159">if(G1158 = "", , -G1158)</f>
        <v/>
      </c>
      <c r="J1158" s="94" t="str">
        <f t="shared" si="1159"/>
        <v/>
      </c>
      <c r="K1158" s="100"/>
      <c r="M1158" s="100"/>
      <c r="N1158" s="100"/>
      <c r="O1158" s="100"/>
      <c r="P1158" s="100"/>
    </row>
    <row r="1159">
      <c r="A1159" s="107">
        <v>201943.0</v>
      </c>
      <c r="B1159" s="108" t="s">
        <v>92</v>
      </c>
      <c r="C1159" s="108" t="s">
        <v>436</v>
      </c>
      <c r="D1159" s="112" t="s">
        <v>177</v>
      </c>
      <c r="E1159" s="112">
        <v>868.8</v>
      </c>
      <c r="F1159" s="111" t="str">
        <f>DataPull!D1159</f>
        <v/>
      </c>
      <c r="G1159" s="94" t="str">
        <f t="shared" si="2"/>
        <v/>
      </c>
      <c r="H1159" s="94" t="str">
        <f t="shared" si="3"/>
        <v/>
      </c>
      <c r="I1159" s="94" t="str">
        <f t="shared" ref="I1159:J1159" si="1160">if(G1159 = "", , -G1159)</f>
        <v/>
      </c>
      <c r="J1159" s="94" t="str">
        <f t="shared" si="1160"/>
        <v/>
      </c>
      <c r="K1159" s="100"/>
      <c r="M1159" s="100"/>
      <c r="N1159" s="100"/>
      <c r="O1159" s="100"/>
      <c r="P1159" s="100"/>
    </row>
    <row r="1160">
      <c r="A1160" s="107">
        <v>201943.0</v>
      </c>
      <c r="B1160" s="108" t="s">
        <v>190</v>
      </c>
      <c r="C1160" s="108" t="s">
        <v>436</v>
      </c>
      <c r="D1160" s="112" t="s">
        <v>178</v>
      </c>
      <c r="E1160" s="112">
        <v>1798.2</v>
      </c>
      <c r="F1160" s="111" t="str">
        <f>DataPull!D1160</f>
        <v/>
      </c>
      <c r="G1160" s="94" t="str">
        <f t="shared" si="2"/>
        <v/>
      </c>
      <c r="H1160" s="94" t="str">
        <f t="shared" si="3"/>
        <v/>
      </c>
      <c r="I1160" s="94" t="str">
        <f t="shared" ref="I1160:J1160" si="1161">if(G1160 = "", , -G1160)</f>
        <v/>
      </c>
      <c r="J1160" s="94" t="str">
        <f t="shared" si="1161"/>
        <v/>
      </c>
      <c r="K1160" s="100"/>
      <c r="M1160" s="100"/>
      <c r="N1160" s="100"/>
      <c r="O1160" s="100"/>
      <c r="P1160" s="100"/>
    </row>
    <row r="1161">
      <c r="A1161" s="107">
        <v>201943.0</v>
      </c>
      <c r="B1161" s="108" t="s">
        <v>191</v>
      </c>
      <c r="C1161" s="108" t="s">
        <v>436</v>
      </c>
      <c r="D1161" s="112" t="s">
        <v>187</v>
      </c>
      <c r="E1161" s="112">
        <v>205.8</v>
      </c>
      <c r="F1161" s="111" t="str">
        <f>DataPull!D1161</f>
        <v/>
      </c>
      <c r="G1161" s="94" t="str">
        <f t="shared" si="2"/>
        <v/>
      </c>
      <c r="H1161" s="94" t="str">
        <f t="shared" si="3"/>
        <v/>
      </c>
      <c r="I1161" s="94" t="str">
        <f t="shared" ref="I1161:J1161" si="1162">if(G1161 = "", , -G1161)</f>
        <v/>
      </c>
      <c r="J1161" s="94" t="str">
        <f t="shared" si="1162"/>
        <v/>
      </c>
      <c r="K1161" s="100"/>
      <c r="M1161" s="100"/>
      <c r="N1161" s="100"/>
      <c r="O1161" s="100"/>
      <c r="P1161" s="100"/>
    </row>
    <row r="1162">
      <c r="A1162" s="107">
        <v>201945.0</v>
      </c>
      <c r="B1162" s="108" t="s">
        <v>85</v>
      </c>
      <c r="C1162" s="108" t="s">
        <v>437</v>
      </c>
      <c r="D1162" s="112" t="s">
        <v>178</v>
      </c>
      <c r="E1162" s="112">
        <v>2464.0</v>
      </c>
      <c r="F1162" s="111" t="str">
        <f>DataPull!D1162</f>
        <v/>
      </c>
      <c r="G1162" s="94" t="str">
        <f t="shared" si="2"/>
        <v/>
      </c>
      <c r="H1162" s="94" t="str">
        <f t="shared" si="3"/>
        <v/>
      </c>
      <c r="I1162" s="94" t="str">
        <f t="shared" ref="I1162:J1162" si="1163">if(G1162 = "", , -G1162)</f>
        <v/>
      </c>
      <c r="J1162" s="94" t="str">
        <f t="shared" si="1163"/>
        <v/>
      </c>
      <c r="K1162" s="100"/>
      <c r="M1162" s="100"/>
      <c r="N1162" s="100"/>
      <c r="O1162" s="100"/>
      <c r="P1162" s="100"/>
    </row>
    <row r="1163">
      <c r="A1163" s="107">
        <v>201945.0</v>
      </c>
      <c r="B1163" s="108" t="s">
        <v>90</v>
      </c>
      <c r="C1163" s="108" t="s">
        <v>437</v>
      </c>
      <c r="D1163" s="112" t="s">
        <v>178</v>
      </c>
      <c r="E1163" s="112">
        <v>2312.0</v>
      </c>
      <c r="F1163" s="111" t="str">
        <f>DataPull!D1163</f>
        <v/>
      </c>
      <c r="G1163" s="94" t="str">
        <f t="shared" si="2"/>
        <v/>
      </c>
      <c r="H1163" s="94" t="str">
        <f t="shared" si="3"/>
        <v/>
      </c>
      <c r="I1163" s="94" t="str">
        <f t="shared" ref="I1163:J1163" si="1164">if(G1163 = "", , -G1163)</f>
        <v/>
      </c>
      <c r="J1163" s="94" t="str">
        <f t="shared" si="1164"/>
        <v/>
      </c>
      <c r="K1163" s="100"/>
      <c r="L1163" s="100"/>
      <c r="N1163" s="100"/>
      <c r="O1163" s="100"/>
      <c r="P1163" s="100"/>
    </row>
    <row r="1164">
      <c r="A1164" s="107">
        <v>201945.0</v>
      </c>
      <c r="B1164" s="108" t="s">
        <v>92</v>
      </c>
      <c r="C1164" s="108" t="s">
        <v>437</v>
      </c>
      <c r="D1164" s="112" t="s">
        <v>177</v>
      </c>
      <c r="E1164" s="112">
        <v>1432.8</v>
      </c>
      <c r="F1164" s="111" t="str">
        <f>DataPull!D1164</f>
        <v/>
      </c>
      <c r="G1164" s="94" t="str">
        <f t="shared" si="2"/>
        <v/>
      </c>
      <c r="H1164" s="94" t="str">
        <f t="shared" si="3"/>
        <v/>
      </c>
      <c r="I1164" s="94" t="str">
        <f t="shared" ref="I1164:J1164" si="1165">if(G1164 = "", , -G1164)</f>
        <v/>
      </c>
      <c r="J1164" s="94" t="str">
        <f t="shared" si="1165"/>
        <v/>
      </c>
      <c r="K1164" s="100"/>
      <c r="M1164" s="100"/>
      <c r="N1164" s="100"/>
      <c r="O1164" s="100"/>
      <c r="P1164" s="100"/>
    </row>
    <row r="1165">
      <c r="A1165" s="107">
        <v>201945.0</v>
      </c>
      <c r="B1165" s="108" t="s">
        <v>190</v>
      </c>
      <c r="C1165" s="108" t="s">
        <v>437</v>
      </c>
      <c r="D1165" s="112" t="s">
        <v>176</v>
      </c>
      <c r="E1165" s="112">
        <v>1670.4</v>
      </c>
      <c r="F1165" s="111" t="str">
        <f>DataPull!D1165</f>
        <v/>
      </c>
      <c r="G1165" s="94" t="str">
        <f t="shared" si="2"/>
        <v/>
      </c>
      <c r="H1165" s="94" t="str">
        <f t="shared" si="3"/>
        <v/>
      </c>
      <c r="I1165" s="94" t="str">
        <f t="shared" ref="I1165:J1165" si="1166">if(G1165 = "", , -G1165)</f>
        <v/>
      </c>
      <c r="J1165" s="94" t="str">
        <f t="shared" si="1166"/>
        <v/>
      </c>
      <c r="K1165" s="100"/>
      <c r="M1165" s="100"/>
      <c r="N1165" s="100"/>
      <c r="O1165" s="100"/>
      <c r="P1165" s="100"/>
    </row>
    <row r="1166">
      <c r="A1166" s="107">
        <v>201946.0</v>
      </c>
      <c r="B1166" s="108" t="s">
        <v>85</v>
      </c>
      <c r="C1166" s="108" t="s">
        <v>438</v>
      </c>
      <c r="D1166" s="112" t="s">
        <v>177</v>
      </c>
      <c r="E1166" s="112">
        <v>979.2</v>
      </c>
      <c r="F1166" s="111" t="str">
        <f>DataPull!D1166</f>
        <v/>
      </c>
      <c r="G1166" s="94" t="str">
        <f t="shared" si="2"/>
        <v/>
      </c>
      <c r="H1166" s="94" t="str">
        <f t="shared" si="3"/>
        <v/>
      </c>
      <c r="I1166" s="94" t="str">
        <f t="shared" ref="I1166:J1166" si="1167">if(G1166 = "", , -G1166)</f>
        <v/>
      </c>
      <c r="J1166" s="94" t="str">
        <f t="shared" si="1167"/>
        <v/>
      </c>
      <c r="K1166" s="100"/>
      <c r="L1166" s="100"/>
      <c r="M1166" s="100"/>
      <c r="N1166" s="100"/>
      <c r="O1166" s="100"/>
      <c r="P1166" s="100"/>
    </row>
    <row r="1167">
      <c r="A1167" s="107">
        <v>201946.0</v>
      </c>
      <c r="B1167" s="108" t="s">
        <v>90</v>
      </c>
      <c r="C1167" s="108" t="s">
        <v>438</v>
      </c>
      <c r="D1167" s="112" t="s">
        <v>177</v>
      </c>
      <c r="E1167" s="112">
        <v>1058.2</v>
      </c>
      <c r="F1167" s="111" t="str">
        <f>DataPull!D1167</f>
        <v/>
      </c>
      <c r="G1167" s="94" t="str">
        <f t="shared" si="2"/>
        <v/>
      </c>
      <c r="H1167" s="94" t="str">
        <f t="shared" si="3"/>
        <v/>
      </c>
      <c r="I1167" s="94" t="str">
        <f t="shared" ref="I1167:J1167" si="1168">if(G1167 = "", , -G1167)</f>
        <v/>
      </c>
      <c r="J1167" s="94" t="str">
        <f t="shared" si="1168"/>
        <v/>
      </c>
      <c r="K1167" s="100"/>
      <c r="M1167" s="100"/>
      <c r="N1167" s="100"/>
      <c r="O1167" s="100"/>
      <c r="P1167" s="100"/>
    </row>
    <row r="1168">
      <c r="A1168" s="107">
        <v>201946.0</v>
      </c>
      <c r="B1168" s="108" t="s">
        <v>92</v>
      </c>
      <c r="C1168" s="108" t="s">
        <v>438</v>
      </c>
      <c r="D1168" s="112" t="s">
        <v>187</v>
      </c>
      <c r="E1168" s="112">
        <v>343.2</v>
      </c>
      <c r="F1168" s="111" t="str">
        <f>DataPull!D1168</f>
        <v/>
      </c>
      <c r="G1168" s="94" t="str">
        <f t="shared" si="2"/>
        <v/>
      </c>
      <c r="H1168" s="94" t="str">
        <f t="shared" si="3"/>
        <v/>
      </c>
      <c r="I1168" s="94" t="str">
        <f t="shared" ref="I1168:J1168" si="1169">if(G1168 = "", , -G1168)</f>
        <v/>
      </c>
      <c r="J1168" s="94" t="str">
        <f t="shared" si="1169"/>
        <v/>
      </c>
      <c r="K1168" s="100"/>
      <c r="M1168" s="100"/>
      <c r="N1168" s="100"/>
      <c r="O1168" s="100"/>
      <c r="P1168" s="100"/>
    </row>
    <row r="1169">
      <c r="A1169" s="107">
        <v>201947.0</v>
      </c>
      <c r="B1169" s="108" t="s">
        <v>85</v>
      </c>
      <c r="C1169" s="108" t="s">
        <v>439</v>
      </c>
      <c r="D1169" s="112" t="s">
        <v>177</v>
      </c>
      <c r="E1169" s="112">
        <v>766.8</v>
      </c>
      <c r="F1169" s="111" t="str">
        <f>DataPull!D1169</f>
        <v/>
      </c>
      <c r="G1169" s="94" t="str">
        <f t="shared" si="2"/>
        <v/>
      </c>
      <c r="H1169" s="94" t="str">
        <f t="shared" si="3"/>
        <v/>
      </c>
      <c r="I1169" s="94" t="str">
        <f t="shared" ref="I1169:J1169" si="1170">if(G1169 = "", , -G1169)</f>
        <v/>
      </c>
      <c r="J1169" s="94" t="str">
        <f t="shared" si="1170"/>
        <v/>
      </c>
      <c r="K1169" s="100"/>
      <c r="M1169" s="100"/>
      <c r="N1169" s="100"/>
      <c r="O1169" s="100"/>
      <c r="P1169" s="100"/>
    </row>
    <row r="1170">
      <c r="A1170" s="107">
        <v>201947.0</v>
      </c>
      <c r="B1170" s="108" t="s">
        <v>90</v>
      </c>
      <c r="C1170" s="108" t="s">
        <v>439</v>
      </c>
      <c r="D1170" s="112" t="s">
        <v>187</v>
      </c>
      <c r="E1170" s="112">
        <v>93.0</v>
      </c>
      <c r="F1170" s="111" t="str">
        <f>DataPull!D1170</f>
        <v/>
      </c>
      <c r="G1170" s="94" t="str">
        <f t="shared" si="2"/>
        <v/>
      </c>
      <c r="H1170" s="94" t="str">
        <f t="shared" si="3"/>
        <v/>
      </c>
      <c r="I1170" s="94" t="str">
        <f t="shared" ref="I1170:J1170" si="1171">if(G1170 = "", , -G1170)</f>
        <v/>
      </c>
      <c r="J1170" s="94" t="str">
        <f t="shared" si="1171"/>
        <v/>
      </c>
      <c r="K1170" s="100"/>
      <c r="M1170" s="100"/>
      <c r="N1170" s="100"/>
      <c r="O1170" s="100"/>
      <c r="P1170" s="100"/>
    </row>
    <row r="1171">
      <c r="A1171" s="107">
        <v>201948.0</v>
      </c>
      <c r="B1171" s="108" t="s">
        <v>85</v>
      </c>
      <c r="C1171" s="108" t="s">
        <v>440</v>
      </c>
      <c r="D1171" s="112" t="s">
        <v>187</v>
      </c>
      <c r="E1171" s="112">
        <v>147.4</v>
      </c>
      <c r="F1171" s="111" t="str">
        <f>DataPull!D1171</f>
        <v/>
      </c>
      <c r="G1171" s="94" t="str">
        <f t="shared" si="2"/>
        <v/>
      </c>
      <c r="H1171" s="94" t="str">
        <f t="shared" si="3"/>
        <v/>
      </c>
      <c r="I1171" s="94" t="str">
        <f t="shared" ref="I1171:J1171" si="1172">if(G1171 = "", , -G1171)</f>
        <v/>
      </c>
      <c r="J1171" s="94" t="str">
        <f t="shared" si="1172"/>
        <v/>
      </c>
      <c r="K1171" s="100"/>
      <c r="L1171" s="100"/>
      <c r="N1171" s="100"/>
      <c r="O1171" s="100"/>
      <c r="P1171" s="100"/>
    </row>
    <row r="1172">
      <c r="A1172" s="107">
        <v>201948.0</v>
      </c>
      <c r="B1172" s="108" t="s">
        <v>90</v>
      </c>
      <c r="C1172" s="108" t="s">
        <v>440</v>
      </c>
      <c r="D1172" s="112" t="s">
        <v>187</v>
      </c>
      <c r="E1172" s="112">
        <v>343.4</v>
      </c>
      <c r="F1172" s="111" t="str">
        <f>DataPull!D1172</f>
        <v/>
      </c>
      <c r="G1172" s="94" t="str">
        <f t="shared" si="2"/>
        <v/>
      </c>
      <c r="H1172" s="94" t="str">
        <f t="shared" si="3"/>
        <v/>
      </c>
      <c r="I1172" s="94" t="str">
        <f t="shared" ref="I1172:J1172" si="1173">if(G1172 = "", , -G1172)</f>
        <v/>
      </c>
      <c r="J1172" s="94" t="str">
        <f t="shared" si="1173"/>
        <v/>
      </c>
      <c r="K1172" s="100"/>
      <c r="M1172" s="100"/>
      <c r="N1172" s="100"/>
      <c r="O1172" s="100"/>
      <c r="P1172" s="100"/>
    </row>
    <row r="1173">
      <c r="A1173" s="107">
        <v>201949.0</v>
      </c>
      <c r="B1173" s="108" t="s">
        <v>85</v>
      </c>
      <c r="C1173" s="108" t="s">
        <v>441</v>
      </c>
      <c r="D1173" s="112" t="s">
        <v>177</v>
      </c>
      <c r="E1173" s="112">
        <v>956.8</v>
      </c>
      <c r="F1173" s="111" t="str">
        <f>DataPull!D1173</f>
        <v/>
      </c>
      <c r="G1173" s="94" t="str">
        <f t="shared" si="2"/>
        <v/>
      </c>
      <c r="H1173" s="94" t="str">
        <f t="shared" si="3"/>
        <v/>
      </c>
      <c r="I1173" s="94" t="str">
        <f t="shared" ref="I1173:J1173" si="1174">if(G1173 = "", , -G1173)</f>
        <v/>
      </c>
      <c r="J1173" s="94" t="str">
        <f t="shared" si="1174"/>
        <v/>
      </c>
      <c r="K1173" s="100"/>
      <c r="M1173" s="100"/>
      <c r="O1173" s="100"/>
    </row>
    <row r="1174">
      <c r="A1174" s="107">
        <v>201949.0</v>
      </c>
      <c r="B1174" s="108" t="s">
        <v>90</v>
      </c>
      <c r="C1174" s="108" t="s">
        <v>441</v>
      </c>
      <c r="D1174" s="112" t="s">
        <v>177</v>
      </c>
      <c r="E1174" s="112">
        <v>1372.0</v>
      </c>
      <c r="F1174" s="111" t="str">
        <f>DataPull!D1174</f>
        <v/>
      </c>
      <c r="G1174" s="94" t="str">
        <f t="shared" si="2"/>
        <v/>
      </c>
      <c r="H1174" s="94" t="str">
        <f t="shared" si="3"/>
        <v/>
      </c>
      <c r="I1174" s="94" t="str">
        <f t="shared" ref="I1174:J1174" si="1175">if(G1174 = "", , -G1174)</f>
        <v/>
      </c>
      <c r="J1174" s="94" t="str">
        <f t="shared" si="1175"/>
        <v/>
      </c>
      <c r="K1174" s="100"/>
      <c r="L1174" s="100"/>
      <c r="M1174" s="100"/>
      <c r="N1174" s="100"/>
      <c r="O1174" s="100"/>
      <c r="P1174" s="100"/>
    </row>
    <row r="1175">
      <c r="A1175" s="107">
        <v>201949.0</v>
      </c>
      <c r="B1175" s="108" t="s">
        <v>92</v>
      </c>
      <c r="C1175" s="108" t="s">
        <v>441</v>
      </c>
      <c r="D1175" s="112" t="s">
        <v>177</v>
      </c>
      <c r="E1175" s="112">
        <v>923.4</v>
      </c>
      <c r="F1175" s="111" t="str">
        <f>DataPull!D1175</f>
        <v/>
      </c>
      <c r="G1175" s="94" t="str">
        <f t="shared" si="2"/>
        <v/>
      </c>
      <c r="H1175" s="94" t="str">
        <f t="shared" si="3"/>
        <v/>
      </c>
      <c r="I1175" s="94" t="str">
        <f t="shared" ref="I1175:J1175" si="1176">if(G1175 = "", , -G1175)</f>
        <v/>
      </c>
      <c r="J1175" s="94" t="str">
        <f t="shared" si="1176"/>
        <v/>
      </c>
      <c r="K1175" s="100"/>
      <c r="M1175" s="100"/>
      <c r="N1175" s="100"/>
      <c r="O1175" s="100"/>
      <c r="P1175" s="100"/>
    </row>
    <row r="1176">
      <c r="A1176" s="107">
        <v>201949.0</v>
      </c>
      <c r="B1176" s="108" t="s">
        <v>190</v>
      </c>
      <c r="C1176" s="108" t="s">
        <v>441</v>
      </c>
      <c r="D1176" s="112" t="s">
        <v>176</v>
      </c>
      <c r="E1176" s="112">
        <v>2082.4</v>
      </c>
      <c r="F1176" s="111" t="str">
        <f>DataPull!D1176</f>
        <v/>
      </c>
      <c r="G1176" s="94" t="str">
        <f t="shared" si="2"/>
        <v/>
      </c>
      <c r="H1176" s="94" t="str">
        <f t="shared" si="3"/>
        <v/>
      </c>
      <c r="I1176" s="94" t="str">
        <f t="shared" ref="I1176:J1176" si="1177">if(G1176 = "", , -G1176)</f>
        <v/>
      </c>
      <c r="J1176" s="94" t="str">
        <f t="shared" si="1177"/>
        <v/>
      </c>
      <c r="K1176" s="100"/>
      <c r="L1176" s="100"/>
      <c r="M1176" s="100"/>
      <c r="N1176" s="100"/>
      <c r="O1176" s="100"/>
      <c r="P1176" s="100"/>
    </row>
    <row r="1177">
      <c r="A1177" s="107">
        <v>201949.0</v>
      </c>
      <c r="B1177" s="108" t="s">
        <v>191</v>
      </c>
      <c r="C1177" s="108" t="s">
        <v>441</v>
      </c>
      <c r="D1177" s="112" t="s">
        <v>178</v>
      </c>
      <c r="E1177" s="112">
        <v>1941.8</v>
      </c>
      <c r="F1177" s="111" t="str">
        <f>DataPull!D1177</f>
        <v/>
      </c>
      <c r="G1177" s="94" t="str">
        <f t="shared" si="2"/>
        <v/>
      </c>
      <c r="H1177" s="94" t="str">
        <f t="shared" si="3"/>
        <v/>
      </c>
      <c r="I1177" s="94" t="str">
        <f t="shared" ref="I1177:J1177" si="1178">if(G1177 = "", , -G1177)</f>
        <v/>
      </c>
      <c r="J1177" s="94" t="str">
        <f t="shared" si="1178"/>
        <v/>
      </c>
      <c r="K1177" s="100"/>
      <c r="L1177" s="100"/>
      <c r="M1177" s="100"/>
      <c r="N1177" s="100"/>
      <c r="O1177" s="100"/>
      <c r="P1177" s="100"/>
    </row>
    <row r="1178">
      <c r="A1178" s="107">
        <v>201949.0</v>
      </c>
      <c r="B1178" s="108" t="s">
        <v>192</v>
      </c>
      <c r="C1178" s="108" t="s">
        <v>441</v>
      </c>
      <c r="D1178" s="112" t="s">
        <v>176</v>
      </c>
      <c r="E1178" s="112">
        <v>1166.0</v>
      </c>
      <c r="F1178" s="111" t="str">
        <f>DataPull!D1178</f>
        <v/>
      </c>
      <c r="G1178" s="94" t="str">
        <f t="shared" si="2"/>
        <v/>
      </c>
      <c r="H1178" s="94" t="str">
        <f t="shared" si="3"/>
        <v/>
      </c>
      <c r="I1178" s="94" t="str">
        <f t="shared" ref="I1178:J1178" si="1179">if(G1178 = "", , -G1178)</f>
        <v/>
      </c>
      <c r="J1178" s="94" t="str">
        <f t="shared" si="1179"/>
        <v/>
      </c>
      <c r="K1178" s="100"/>
      <c r="L1178" s="100"/>
      <c r="N1178" s="100"/>
      <c r="O1178" s="100"/>
      <c r="P1178" s="100"/>
    </row>
    <row r="1179">
      <c r="A1179" s="107">
        <v>201949.0</v>
      </c>
      <c r="B1179" s="108" t="s">
        <v>193</v>
      </c>
      <c r="C1179" s="108" t="s">
        <v>441</v>
      </c>
      <c r="D1179" s="112" t="s">
        <v>187</v>
      </c>
      <c r="E1179" s="112">
        <v>620.8</v>
      </c>
      <c r="F1179" s="111" t="str">
        <f>DataPull!D1179</f>
        <v/>
      </c>
      <c r="G1179" s="94" t="str">
        <f t="shared" si="2"/>
        <v/>
      </c>
      <c r="H1179" s="94" t="str">
        <f t="shared" si="3"/>
        <v/>
      </c>
      <c r="I1179" s="94" t="str">
        <f t="shared" ref="I1179:J1179" si="1180">if(G1179 = "", , -G1179)</f>
        <v/>
      </c>
      <c r="J1179" s="94" t="str">
        <f t="shared" si="1180"/>
        <v/>
      </c>
      <c r="K1179" s="100"/>
      <c r="M1179" s="100"/>
      <c r="N1179" s="100"/>
      <c r="O1179" s="100"/>
      <c r="P1179" s="100"/>
    </row>
    <row r="1180">
      <c r="A1180" s="107">
        <v>201949.0</v>
      </c>
      <c r="B1180" s="108" t="s">
        <v>243</v>
      </c>
      <c r="C1180" s="108" t="s">
        <v>441</v>
      </c>
      <c r="D1180" s="112" t="s">
        <v>177</v>
      </c>
      <c r="E1180" s="112">
        <v>1045.5</v>
      </c>
      <c r="F1180" s="111" t="str">
        <f>DataPull!D1180</f>
        <v/>
      </c>
      <c r="G1180" s="94" t="str">
        <f t="shared" si="2"/>
        <v/>
      </c>
      <c r="H1180" s="94" t="str">
        <f t="shared" si="3"/>
        <v/>
      </c>
      <c r="I1180" s="94" t="str">
        <f t="shared" ref="I1180:J1180" si="1181">if(G1180 = "", , -G1180)</f>
        <v/>
      </c>
      <c r="J1180" s="94" t="str">
        <f t="shared" si="1181"/>
        <v/>
      </c>
      <c r="K1180" s="100"/>
      <c r="M1180" s="100"/>
      <c r="N1180" s="100"/>
      <c r="O1180" s="100"/>
      <c r="P1180" s="100"/>
    </row>
    <row r="1181">
      <c r="A1181" s="107">
        <v>201949.0</v>
      </c>
      <c r="B1181" s="108" t="s">
        <v>215</v>
      </c>
      <c r="C1181" s="108" t="s">
        <v>441</v>
      </c>
      <c r="D1181" s="112" t="s">
        <v>177</v>
      </c>
      <c r="E1181" s="112">
        <v>1190.4</v>
      </c>
      <c r="F1181" s="111" t="str">
        <f>DataPull!D1181</f>
        <v/>
      </c>
      <c r="G1181" s="94" t="str">
        <f t="shared" si="2"/>
        <v/>
      </c>
      <c r="H1181" s="94" t="str">
        <f t="shared" si="3"/>
        <v/>
      </c>
      <c r="I1181" s="94" t="str">
        <f t="shared" ref="I1181:J1181" si="1182">if(G1181 = "", , -G1181)</f>
        <v/>
      </c>
      <c r="J1181" s="94" t="str">
        <f t="shared" si="1182"/>
        <v/>
      </c>
      <c r="K1181" s="100"/>
      <c r="L1181" s="100"/>
      <c r="N1181" s="100"/>
      <c r="O1181" s="100"/>
      <c r="P1181" s="100"/>
    </row>
    <row r="1182">
      <c r="A1182" s="107">
        <v>201949.0</v>
      </c>
      <c r="B1182" s="108" t="s">
        <v>244</v>
      </c>
      <c r="C1182" s="108" t="s">
        <v>441</v>
      </c>
      <c r="D1182" s="112" t="s">
        <v>187</v>
      </c>
      <c r="E1182" s="112">
        <v>162.0</v>
      </c>
      <c r="F1182" s="111" t="str">
        <f>DataPull!D1182</f>
        <v/>
      </c>
      <c r="G1182" s="94" t="str">
        <f t="shared" si="2"/>
        <v/>
      </c>
      <c r="H1182" s="94" t="str">
        <f t="shared" si="3"/>
        <v/>
      </c>
      <c r="I1182" s="94" t="str">
        <f t="shared" ref="I1182:J1182" si="1183">if(G1182 = "", , -G1182)</f>
        <v/>
      </c>
      <c r="J1182" s="94" t="str">
        <f t="shared" si="1183"/>
        <v/>
      </c>
      <c r="K1182" s="100"/>
      <c r="M1182" s="100"/>
      <c r="N1182" s="100"/>
      <c r="O1182" s="100"/>
      <c r="P1182" s="100"/>
    </row>
    <row r="1183">
      <c r="A1183" s="107">
        <v>201949.0</v>
      </c>
      <c r="B1183" s="108" t="s">
        <v>245</v>
      </c>
      <c r="C1183" s="108" t="s">
        <v>441</v>
      </c>
      <c r="D1183" s="112" t="s">
        <v>187</v>
      </c>
      <c r="E1183" s="112">
        <v>46.8</v>
      </c>
      <c r="F1183" s="111" t="str">
        <f>DataPull!D1183</f>
        <v/>
      </c>
      <c r="G1183" s="94" t="str">
        <f t="shared" si="2"/>
        <v/>
      </c>
      <c r="H1183" s="94" t="str">
        <f t="shared" si="3"/>
        <v/>
      </c>
      <c r="I1183" s="94" t="str">
        <f t="shared" ref="I1183:J1183" si="1184">if(G1183 = "", , -G1183)</f>
        <v/>
      </c>
      <c r="J1183" s="94" t="str">
        <f t="shared" si="1184"/>
        <v/>
      </c>
      <c r="K1183" s="100"/>
      <c r="L1183" s="100"/>
      <c r="N1183" s="100"/>
      <c r="O1183" s="100"/>
      <c r="P1183" s="100"/>
    </row>
    <row r="1184">
      <c r="A1184" s="107">
        <v>201949.0</v>
      </c>
      <c r="B1184" s="108" t="s">
        <v>246</v>
      </c>
      <c r="C1184" s="108" t="s">
        <v>441</v>
      </c>
      <c r="D1184" s="112" t="s">
        <v>187</v>
      </c>
      <c r="E1184" s="112">
        <v>37.2</v>
      </c>
      <c r="F1184" s="111" t="str">
        <f>DataPull!D1184</f>
        <v/>
      </c>
      <c r="G1184" s="94" t="str">
        <f t="shared" si="2"/>
        <v/>
      </c>
      <c r="H1184" s="94" t="str">
        <f t="shared" si="3"/>
        <v/>
      </c>
      <c r="I1184" s="94" t="str">
        <f t="shared" ref="I1184:J1184" si="1185">if(G1184 = "", , -G1184)</f>
        <v/>
      </c>
      <c r="J1184" s="94" t="str">
        <f t="shared" si="1185"/>
        <v/>
      </c>
      <c r="K1184" s="100"/>
      <c r="N1184" s="100"/>
      <c r="O1184" s="100"/>
      <c r="P1184" s="100"/>
    </row>
    <row r="1185">
      <c r="A1185" s="107">
        <v>201950.0</v>
      </c>
      <c r="B1185" s="108" t="s">
        <v>85</v>
      </c>
      <c r="C1185" s="108" t="s">
        <v>442</v>
      </c>
      <c r="D1185" s="112" t="s">
        <v>178</v>
      </c>
      <c r="E1185" s="112">
        <v>1142.4</v>
      </c>
      <c r="F1185" s="111" t="str">
        <f>DataPull!D1185</f>
        <v/>
      </c>
      <c r="G1185" s="94" t="str">
        <f t="shared" si="2"/>
        <v/>
      </c>
      <c r="H1185" s="94" t="str">
        <f t="shared" si="3"/>
        <v/>
      </c>
      <c r="I1185" s="94" t="str">
        <f t="shared" ref="I1185:J1185" si="1186">if(G1185 = "", , -G1185)</f>
        <v/>
      </c>
      <c r="J1185" s="94" t="str">
        <f t="shared" si="1186"/>
        <v/>
      </c>
      <c r="K1185" s="100"/>
      <c r="M1185" s="100"/>
      <c r="N1185" s="100"/>
      <c r="O1185" s="100"/>
      <c r="P1185" s="100"/>
    </row>
    <row r="1186">
      <c r="A1186" s="107">
        <v>201950.0</v>
      </c>
      <c r="B1186" s="108" t="s">
        <v>90</v>
      </c>
      <c r="C1186" s="108" t="s">
        <v>442</v>
      </c>
      <c r="D1186" s="112" t="s">
        <v>178</v>
      </c>
      <c r="E1186" s="112">
        <v>1304.0</v>
      </c>
      <c r="F1186" s="111" t="str">
        <f>DataPull!D1186</f>
        <v/>
      </c>
      <c r="G1186" s="94" t="str">
        <f t="shared" si="2"/>
        <v/>
      </c>
      <c r="H1186" s="94" t="str">
        <f t="shared" si="3"/>
        <v/>
      </c>
      <c r="I1186" s="94" t="str">
        <f t="shared" ref="I1186:J1186" si="1187">if(G1186 = "", , -G1186)</f>
        <v/>
      </c>
      <c r="J1186" s="94" t="str">
        <f t="shared" si="1187"/>
        <v/>
      </c>
      <c r="K1186" s="100"/>
      <c r="L1186" s="100"/>
      <c r="N1186" s="100"/>
      <c r="O1186" s="100"/>
      <c r="P1186" s="100"/>
    </row>
    <row r="1187">
      <c r="A1187" s="107">
        <v>201950.0</v>
      </c>
      <c r="B1187" s="108" t="s">
        <v>92</v>
      </c>
      <c r="C1187" s="108" t="s">
        <v>442</v>
      </c>
      <c r="D1187" s="112" t="s">
        <v>176</v>
      </c>
      <c r="E1187" s="112">
        <v>1833.0</v>
      </c>
      <c r="F1187" s="111" t="str">
        <f>DataPull!D1187</f>
        <v/>
      </c>
      <c r="G1187" s="94" t="str">
        <f t="shared" si="2"/>
        <v/>
      </c>
      <c r="H1187" s="94" t="str">
        <f t="shared" si="3"/>
        <v/>
      </c>
      <c r="I1187" s="94" t="str">
        <f t="shared" ref="I1187:J1187" si="1188">if(G1187 = "", , -G1187)</f>
        <v/>
      </c>
      <c r="J1187" s="94" t="str">
        <f t="shared" si="1188"/>
        <v/>
      </c>
      <c r="K1187" s="100"/>
      <c r="M1187" s="100"/>
      <c r="N1187" s="100"/>
      <c r="O1187" s="100"/>
      <c r="P1187" s="100"/>
    </row>
    <row r="1188">
      <c r="A1188" s="107">
        <v>201950.0</v>
      </c>
      <c r="B1188" s="108" t="s">
        <v>190</v>
      </c>
      <c r="C1188" s="108" t="s">
        <v>442</v>
      </c>
      <c r="D1188" s="112" t="s">
        <v>178</v>
      </c>
      <c r="E1188" s="112">
        <v>2190.9</v>
      </c>
      <c r="F1188" s="111" t="str">
        <f>DataPull!D1188</f>
        <v/>
      </c>
      <c r="G1188" s="94" t="str">
        <f t="shared" si="2"/>
        <v/>
      </c>
      <c r="H1188" s="94" t="str">
        <f t="shared" si="3"/>
        <v/>
      </c>
      <c r="I1188" s="94" t="str">
        <f t="shared" ref="I1188:J1188" si="1189">if(G1188 = "", , -G1188)</f>
        <v/>
      </c>
      <c r="J1188" s="94" t="str">
        <f t="shared" si="1189"/>
        <v/>
      </c>
      <c r="K1188" s="100"/>
      <c r="M1188" s="100"/>
      <c r="N1188" s="100"/>
      <c r="O1188" s="100"/>
      <c r="P1188" s="100"/>
    </row>
    <row r="1189">
      <c r="A1189" s="107">
        <v>201950.0</v>
      </c>
      <c r="B1189" s="108" t="s">
        <v>191</v>
      </c>
      <c r="C1189" s="108" t="s">
        <v>442</v>
      </c>
      <c r="D1189" s="112" t="s">
        <v>184</v>
      </c>
      <c r="E1189" s="112">
        <v>2924.1</v>
      </c>
      <c r="F1189" s="111" t="str">
        <f>DataPull!D1189</f>
        <v/>
      </c>
      <c r="G1189" s="94" t="str">
        <f t="shared" si="2"/>
        <v/>
      </c>
      <c r="H1189" s="94" t="str">
        <f t="shared" si="3"/>
        <v/>
      </c>
      <c r="I1189" s="94" t="str">
        <f t="shared" ref="I1189:J1189" si="1190">if(G1189 = "", , -G1189)</f>
        <v/>
      </c>
      <c r="J1189" s="94" t="str">
        <f t="shared" si="1190"/>
        <v/>
      </c>
      <c r="K1189" s="100"/>
      <c r="M1189" s="100"/>
      <c r="N1189" s="100"/>
      <c r="O1189" s="100"/>
      <c r="P1189" s="100"/>
    </row>
    <row r="1190">
      <c r="A1190" s="107">
        <v>201950.0</v>
      </c>
      <c r="B1190" s="108" t="s">
        <v>192</v>
      </c>
      <c r="C1190" s="108" t="s">
        <v>442</v>
      </c>
      <c r="D1190" s="112" t="s">
        <v>184</v>
      </c>
      <c r="E1190" s="112">
        <v>2398.6</v>
      </c>
      <c r="F1190" s="111" t="str">
        <f>DataPull!D1190</f>
        <v/>
      </c>
      <c r="G1190" s="94" t="str">
        <f t="shared" si="2"/>
        <v/>
      </c>
      <c r="H1190" s="94" t="str">
        <f t="shared" si="3"/>
        <v/>
      </c>
      <c r="I1190" s="94" t="str">
        <f t="shared" ref="I1190:J1190" si="1191">if(G1190 = "", , -G1190)</f>
        <v/>
      </c>
      <c r="J1190" s="94" t="str">
        <f t="shared" si="1191"/>
        <v/>
      </c>
      <c r="K1190" s="100"/>
      <c r="M1190" s="100"/>
      <c r="N1190" s="100"/>
      <c r="O1190" s="100"/>
      <c r="P1190" s="100"/>
    </row>
    <row r="1191">
      <c r="A1191" s="107">
        <v>201950.0</v>
      </c>
      <c r="B1191" s="108" t="s">
        <v>193</v>
      </c>
      <c r="C1191" s="108" t="s">
        <v>442</v>
      </c>
      <c r="D1191" s="112" t="s">
        <v>184</v>
      </c>
      <c r="E1191" s="112">
        <v>2116.7</v>
      </c>
      <c r="F1191" s="111" t="str">
        <f>DataPull!D1191</f>
        <v/>
      </c>
      <c r="G1191" s="94" t="str">
        <f t="shared" si="2"/>
        <v/>
      </c>
      <c r="H1191" s="94" t="str">
        <f t="shared" si="3"/>
        <v/>
      </c>
      <c r="I1191" s="94" t="str">
        <f t="shared" ref="I1191:J1191" si="1192">if(G1191 = "", , -G1191)</f>
        <v/>
      </c>
      <c r="J1191" s="94" t="str">
        <f t="shared" si="1192"/>
        <v/>
      </c>
      <c r="K1191" s="100"/>
      <c r="M1191" s="100"/>
      <c r="N1191" s="100"/>
      <c r="O1191" s="100"/>
      <c r="P1191" s="100"/>
    </row>
    <row r="1192">
      <c r="A1192" s="107">
        <v>201950.0</v>
      </c>
      <c r="B1192" s="108" t="s">
        <v>243</v>
      </c>
      <c r="C1192" s="108" t="s">
        <v>442</v>
      </c>
      <c r="D1192" s="112" t="s">
        <v>184</v>
      </c>
      <c r="E1192" s="112">
        <v>1905.7</v>
      </c>
      <c r="F1192" s="111" t="str">
        <f>DataPull!D1192</f>
        <v/>
      </c>
      <c r="G1192" s="94" t="str">
        <f t="shared" si="2"/>
        <v/>
      </c>
      <c r="H1192" s="94" t="str">
        <f t="shared" si="3"/>
        <v/>
      </c>
      <c r="I1192" s="94" t="str">
        <f t="shared" ref="I1192:J1192" si="1193">if(G1192 = "", , -G1192)</f>
        <v/>
      </c>
      <c r="J1192" s="94" t="str">
        <f t="shared" si="1193"/>
        <v/>
      </c>
      <c r="K1192" s="100"/>
      <c r="M1192" s="100"/>
      <c r="N1192" s="100"/>
      <c r="O1192" s="100"/>
      <c r="P1192" s="100"/>
    </row>
    <row r="1193">
      <c r="A1193" s="107">
        <v>201950.0</v>
      </c>
      <c r="B1193" s="108" t="s">
        <v>215</v>
      </c>
      <c r="C1193" s="108" t="s">
        <v>442</v>
      </c>
      <c r="D1193" s="112" t="s">
        <v>184</v>
      </c>
      <c r="E1193" s="112">
        <v>2204.3</v>
      </c>
      <c r="F1193" s="111" t="str">
        <f>DataPull!D1193</f>
        <v/>
      </c>
      <c r="G1193" s="94" t="str">
        <f t="shared" si="2"/>
        <v/>
      </c>
      <c r="H1193" s="94" t="str">
        <f t="shared" si="3"/>
        <v/>
      </c>
      <c r="I1193" s="94" t="str">
        <f t="shared" ref="I1193:J1193" si="1194">if(G1193 = "", , -G1193)</f>
        <v/>
      </c>
      <c r="J1193" s="94" t="str">
        <f t="shared" si="1194"/>
        <v/>
      </c>
      <c r="K1193" s="100"/>
      <c r="M1193" s="100"/>
      <c r="N1193" s="100"/>
      <c r="O1193" s="100"/>
      <c r="P1193" s="100"/>
    </row>
    <row r="1194">
      <c r="A1194" s="107">
        <v>201950.0</v>
      </c>
      <c r="B1194" s="108" t="s">
        <v>244</v>
      </c>
      <c r="C1194" s="108" t="s">
        <v>442</v>
      </c>
      <c r="D1194" s="112" t="s">
        <v>184</v>
      </c>
      <c r="E1194" s="112">
        <v>2184.2</v>
      </c>
      <c r="F1194" s="111" t="str">
        <f>DataPull!D1194</f>
        <v/>
      </c>
      <c r="G1194" s="94" t="str">
        <f t="shared" si="2"/>
        <v/>
      </c>
      <c r="H1194" s="94" t="str">
        <f t="shared" si="3"/>
        <v/>
      </c>
      <c r="I1194" s="94" t="str">
        <f t="shared" ref="I1194:J1194" si="1195">if(G1194 = "", , -G1194)</f>
        <v/>
      </c>
      <c r="J1194" s="94" t="str">
        <f t="shared" si="1195"/>
        <v/>
      </c>
      <c r="K1194" s="100"/>
      <c r="L1194" s="100"/>
      <c r="N1194" s="100"/>
      <c r="O1194" s="100"/>
      <c r="P1194" s="100"/>
    </row>
    <row r="1195">
      <c r="A1195" s="107">
        <v>201950.0</v>
      </c>
      <c r="B1195" s="108" t="s">
        <v>245</v>
      </c>
      <c r="C1195" s="108" t="s">
        <v>442</v>
      </c>
      <c r="D1195" s="112" t="s">
        <v>184</v>
      </c>
      <c r="E1195" s="112">
        <v>2263.2</v>
      </c>
      <c r="F1195" s="111" t="str">
        <f>DataPull!D1195</f>
        <v/>
      </c>
      <c r="G1195" s="94" t="str">
        <f t="shared" si="2"/>
        <v/>
      </c>
      <c r="H1195" s="94" t="str">
        <f t="shared" si="3"/>
        <v/>
      </c>
      <c r="I1195" s="94" t="str">
        <f t="shared" ref="I1195:J1195" si="1196">if(G1195 = "", , -G1195)</f>
        <v/>
      </c>
      <c r="J1195" s="94" t="str">
        <f t="shared" si="1196"/>
        <v/>
      </c>
      <c r="K1195" s="100"/>
      <c r="M1195" s="100"/>
      <c r="N1195" s="100"/>
      <c r="O1195" s="100"/>
      <c r="P1195" s="100"/>
    </row>
    <row r="1196">
      <c r="A1196" s="107">
        <v>201950.0</v>
      </c>
      <c r="B1196" s="108" t="s">
        <v>246</v>
      </c>
      <c r="C1196" s="108" t="s">
        <v>442</v>
      </c>
      <c r="D1196" s="112" t="s">
        <v>178</v>
      </c>
      <c r="E1196" s="112">
        <v>1897.2</v>
      </c>
      <c r="F1196" s="111" t="str">
        <f>DataPull!D1196</f>
        <v/>
      </c>
      <c r="G1196" s="94" t="str">
        <f t="shared" si="2"/>
        <v/>
      </c>
      <c r="H1196" s="94" t="str">
        <f t="shared" si="3"/>
        <v/>
      </c>
      <c r="I1196" s="94" t="str">
        <f t="shared" ref="I1196:J1196" si="1197">if(G1196 = "", , -G1196)</f>
        <v/>
      </c>
      <c r="J1196" s="94" t="str">
        <f t="shared" si="1197"/>
        <v/>
      </c>
      <c r="K1196" s="100"/>
      <c r="N1196" s="100"/>
      <c r="O1196" s="100"/>
      <c r="P1196" s="100"/>
    </row>
    <row r="1197">
      <c r="A1197" s="114">
        <v>201950.0</v>
      </c>
      <c r="B1197" s="113" t="s">
        <v>247</v>
      </c>
      <c r="C1197" s="113" t="s">
        <v>442</v>
      </c>
      <c r="D1197" s="112" t="s">
        <v>184</v>
      </c>
      <c r="E1197" s="112">
        <v>1558.2</v>
      </c>
      <c r="F1197" s="111" t="str">
        <f>DataPull!D1197</f>
        <v/>
      </c>
      <c r="G1197" s="94" t="str">
        <f t="shared" si="2"/>
        <v/>
      </c>
      <c r="H1197" s="94" t="str">
        <f t="shared" si="3"/>
        <v/>
      </c>
      <c r="I1197" s="94" t="str">
        <f t="shared" ref="I1197:J1197" si="1198">if(G1197 = "", , -G1197)</f>
        <v/>
      </c>
      <c r="J1197" s="94" t="str">
        <f t="shared" si="1198"/>
        <v/>
      </c>
      <c r="K1197" s="100"/>
      <c r="L1197" s="100"/>
      <c r="M1197" s="100"/>
      <c r="N1197" s="100"/>
      <c r="O1197" s="100"/>
      <c r="P1197" s="100"/>
    </row>
    <row r="1198">
      <c r="A1198" s="107">
        <v>201951.0</v>
      </c>
      <c r="B1198" s="108" t="s">
        <v>85</v>
      </c>
      <c r="C1198" s="108" t="s">
        <v>443</v>
      </c>
      <c r="D1198" s="112" t="s">
        <v>184</v>
      </c>
      <c r="E1198" s="112">
        <v>2219.6</v>
      </c>
      <c r="F1198" s="111" t="str">
        <f>DataPull!D1198</f>
        <v/>
      </c>
      <c r="G1198" s="94" t="str">
        <f t="shared" si="2"/>
        <v/>
      </c>
      <c r="H1198" s="94" t="str">
        <f t="shared" si="3"/>
        <v/>
      </c>
      <c r="I1198" s="94" t="str">
        <f t="shared" ref="I1198:J1198" si="1199">if(G1198 = "", , -G1198)</f>
        <v/>
      </c>
      <c r="J1198" s="94" t="str">
        <f t="shared" si="1199"/>
        <v/>
      </c>
      <c r="K1198" s="100"/>
      <c r="M1198" s="100"/>
      <c r="N1198" s="100"/>
      <c r="O1198" s="100"/>
      <c r="P1198" s="100"/>
    </row>
    <row r="1199">
      <c r="A1199" s="107">
        <v>201951.0</v>
      </c>
      <c r="B1199" s="108" t="s">
        <v>90</v>
      </c>
      <c r="C1199" s="108" t="s">
        <v>443</v>
      </c>
      <c r="D1199" s="112" t="s">
        <v>178</v>
      </c>
      <c r="E1199" s="112">
        <v>2662.5</v>
      </c>
      <c r="F1199" s="111" t="str">
        <f>DataPull!D1199</f>
        <v/>
      </c>
      <c r="G1199" s="94" t="str">
        <f t="shared" si="2"/>
        <v/>
      </c>
      <c r="H1199" s="94" t="str">
        <f t="shared" si="3"/>
        <v/>
      </c>
      <c r="I1199" s="94" t="str">
        <f t="shared" ref="I1199:J1199" si="1200">if(G1199 = "", , -G1199)</f>
        <v/>
      </c>
      <c r="J1199" s="94" t="str">
        <f t="shared" si="1200"/>
        <v/>
      </c>
      <c r="K1199" s="100"/>
      <c r="M1199" s="100"/>
      <c r="N1199" s="100"/>
      <c r="O1199" s="100"/>
      <c r="P1199" s="100"/>
    </row>
    <row r="1200">
      <c r="A1200" s="107">
        <v>201951.0</v>
      </c>
      <c r="B1200" s="108" t="s">
        <v>92</v>
      </c>
      <c r="C1200" s="108" t="s">
        <v>443</v>
      </c>
      <c r="D1200" s="112" t="s">
        <v>178</v>
      </c>
      <c r="E1200" s="112">
        <v>1412.4</v>
      </c>
      <c r="F1200" s="111" t="str">
        <f>DataPull!D1200</f>
        <v/>
      </c>
      <c r="G1200" s="94" t="str">
        <f t="shared" si="2"/>
        <v/>
      </c>
      <c r="H1200" s="94" t="str">
        <f t="shared" si="3"/>
        <v/>
      </c>
      <c r="I1200" s="94" t="str">
        <f t="shared" ref="I1200:J1200" si="1201">if(G1200 = "", , -G1200)</f>
        <v/>
      </c>
      <c r="J1200" s="94" t="str">
        <f t="shared" si="1201"/>
        <v/>
      </c>
      <c r="K1200" s="100"/>
      <c r="M1200" s="100"/>
      <c r="N1200" s="100"/>
      <c r="O1200" s="100"/>
      <c r="P1200" s="100"/>
    </row>
    <row r="1201">
      <c r="A1201" s="107">
        <v>201951.0</v>
      </c>
      <c r="B1201" s="108" t="s">
        <v>190</v>
      </c>
      <c r="C1201" s="108" t="s">
        <v>443</v>
      </c>
      <c r="D1201" s="112" t="s">
        <v>176</v>
      </c>
      <c r="E1201" s="112">
        <v>1731.9</v>
      </c>
      <c r="F1201" s="111" t="str">
        <f>DataPull!D1201</f>
        <v/>
      </c>
      <c r="G1201" s="94" t="str">
        <f t="shared" si="2"/>
        <v/>
      </c>
      <c r="H1201" s="94" t="str">
        <f t="shared" si="3"/>
        <v/>
      </c>
      <c r="I1201" s="94" t="str">
        <f t="shared" ref="I1201:J1201" si="1202">if(G1201 = "", , -G1201)</f>
        <v/>
      </c>
      <c r="J1201" s="94" t="str">
        <f t="shared" si="1202"/>
        <v/>
      </c>
      <c r="K1201" s="100"/>
      <c r="M1201" s="100"/>
      <c r="N1201" s="100"/>
      <c r="O1201" s="100"/>
      <c r="P1201" s="100"/>
    </row>
    <row r="1202">
      <c r="A1202" s="107">
        <v>201952.0</v>
      </c>
      <c r="B1202" s="108" t="s">
        <v>85</v>
      </c>
      <c r="C1202" s="108" t="s">
        <v>444</v>
      </c>
      <c r="D1202" s="112" t="s">
        <v>178</v>
      </c>
      <c r="E1202" s="112">
        <v>2543.8</v>
      </c>
      <c r="F1202" s="111" t="str">
        <f>DataPull!D1202</f>
        <v/>
      </c>
      <c r="G1202" s="94" t="str">
        <f t="shared" si="2"/>
        <v/>
      </c>
      <c r="H1202" s="94" t="str">
        <f t="shared" si="3"/>
        <v/>
      </c>
      <c r="I1202" s="94" t="str">
        <f t="shared" ref="I1202:J1202" si="1203">if(G1202 = "", , -G1202)</f>
        <v/>
      </c>
      <c r="J1202" s="94" t="str">
        <f t="shared" si="1203"/>
        <v/>
      </c>
      <c r="K1202" s="100"/>
      <c r="L1202" s="100"/>
      <c r="M1202" s="100"/>
      <c r="N1202" s="100"/>
      <c r="O1202" s="100"/>
    </row>
    <row r="1203">
      <c r="A1203" s="107">
        <v>201952.0</v>
      </c>
      <c r="B1203" s="108" t="s">
        <v>90</v>
      </c>
      <c r="C1203" s="108" t="s">
        <v>444</v>
      </c>
      <c r="D1203" s="112" t="s">
        <v>184</v>
      </c>
      <c r="E1203" s="112">
        <v>2226.5</v>
      </c>
      <c r="F1203" s="111" t="str">
        <f>DataPull!D1203</f>
        <v/>
      </c>
      <c r="G1203" s="94" t="str">
        <f t="shared" si="2"/>
        <v/>
      </c>
      <c r="H1203" s="94" t="str">
        <f t="shared" si="3"/>
        <v/>
      </c>
      <c r="I1203" s="94" t="str">
        <f t="shared" ref="I1203:J1203" si="1204">if(G1203 = "", , -G1203)</f>
        <v/>
      </c>
      <c r="J1203" s="94" t="str">
        <f t="shared" si="1204"/>
        <v/>
      </c>
      <c r="K1203" s="100"/>
      <c r="M1203" s="100"/>
      <c r="N1203" s="100"/>
      <c r="O1203" s="100"/>
      <c r="P1203" s="100"/>
    </row>
    <row r="1204">
      <c r="A1204" s="107">
        <v>201952.0</v>
      </c>
      <c r="B1204" s="108" t="s">
        <v>92</v>
      </c>
      <c r="C1204" s="108" t="s">
        <v>444</v>
      </c>
      <c r="D1204" s="112" t="s">
        <v>178</v>
      </c>
      <c r="E1204" s="112">
        <v>2251.5</v>
      </c>
      <c r="F1204" s="111" t="str">
        <f>DataPull!D1204</f>
        <v/>
      </c>
      <c r="G1204" s="94" t="str">
        <f t="shared" si="2"/>
        <v/>
      </c>
      <c r="H1204" s="94" t="str">
        <f t="shared" si="3"/>
        <v/>
      </c>
      <c r="I1204" s="94" t="str">
        <f t="shared" ref="I1204:J1204" si="1205">if(G1204 = "", , -G1204)</f>
        <v/>
      </c>
      <c r="J1204" s="94" t="str">
        <f t="shared" si="1205"/>
        <v/>
      </c>
      <c r="K1204" s="100"/>
      <c r="M1204" s="100"/>
      <c r="N1204" s="100"/>
      <c r="O1204" s="100"/>
      <c r="P1204" s="100"/>
    </row>
    <row r="1205">
      <c r="A1205" s="107">
        <v>201952.0</v>
      </c>
      <c r="B1205" s="108" t="s">
        <v>190</v>
      </c>
      <c r="C1205" s="108" t="s">
        <v>444</v>
      </c>
      <c r="D1205" s="112" t="s">
        <v>184</v>
      </c>
      <c r="E1205" s="112">
        <v>2656.8</v>
      </c>
      <c r="F1205" s="111" t="str">
        <f>DataPull!D1205</f>
        <v/>
      </c>
      <c r="G1205" s="94" t="str">
        <f t="shared" si="2"/>
        <v/>
      </c>
      <c r="H1205" s="94" t="str">
        <f t="shared" si="3"/>
        <v/>
      </c>
      <c r="I1205" s="94" t="str">
        <f t="shared" ref="I1205:J1205" si="1206">if(G1205 = "", , -G1205)</f>
        <v/>
      </c>
      <c r="J1205" s="94" t="str">
        <f t="shared" si="1206"/>
        <v/>
      </c>
      <c r="K1205" s="100"/>
      <c r="M1205" s="100"/>
      <c r="N1205" s="100"/>
      <c r="O1205" s="100"/>
      <c r="P1205" s="100"/>
    </row>
    <row r="1206">
      <c r="A1206" s="107">
        <v>201952.0</v>
      </c>
      <c r="B1206" s="108" t="s">
        <v>191</v>
      </c>
      <c r="C1206" s="108" t="s">
        <v>444</v>
      </c>
      <c r="D1206" s="112" t="s">
        <v>184</v>
      </c>
      <c r="E1206" s="112">
        <v>2310.0</v>
      </c>
      <c r="F1206" s="111" t="str">
        <f>DataPull!D1206</f>
        <v/>
      </c>
      <c r="G1206" s="94" t="str">
        <f t="shared" si="2"/>
        <v/>
      </c>
      <c r="H1206" s="94" t="str">
        <f t="shared" si="3"/>
        <v/>
      </c>
      <c r="I1206" s="94" t="str">
        <f t="shared" ref="I1206:J1206" si="1207">if(G1206 = "", , -G1206)</f>
        <v/>
      </c>
      <c r="J1206" s="94" t="str">
        <f t="shared" si="1207"/>
        <v/>
      </c>
      <c r="K1206" s="100"/>
      <c r="L1206" s="100"/>
      <c r="M1206" s="100"/>
      <c r="N1206" s="100"/>
      <c r="O1206" s="100"/>
      <c r="P1206" s="100"/>
    </row>
    <row r="1207">
      <c r="A1207" s="107">
        <v>201952.0</v>
      </c>
      <c r="B1207" s="108" t="s">
        <v>192</v>
      </c>
      <c r="C1207" s="108" t="s">
        <v>444</v>
      </c>
      <c r="D1207" s="112" t="s">
        <v>178</v>
      </c>
      <c r="E1207" s="112">
        <v>1264.2</v>
      </c>
      <c r="F1207" s="111" t="str">
        <f>DataPull!D1207</f>
        <v/>
      </c>
      <c r="G1207" s="94" t="str">
        <f t="shared" si="2"/>
        <v/>
      </c>
      <c r="H1207" s="94" t="str">
        <f t="shared" si="3"/>
        <v/>
      </c>
      <c r="I1207" s="94" t="str">
        <f t="shared" ref="I1207:J1207" si="1208">if(G1207 = "", , -G1207)</f>
        <v/>
      </c>
      <c r="J1207" s="94" t="str">
        <f t="shared" si="1208"/>
        <v/>
      </c>
      <c r="K1207" s="100"/>
      <c r="M1207" s="100"/>
      <c r="N1207" s="100"/>
      <c r="O1207" s="100"/>
      <c r="P1207" s="100"/>
    </row>
    <row r="1208">
      <c r="A1208" s="107">
        <v>201952.0</v>
      </c>
      <c r="B1208" s="108" t="s">
        <v>193</v>
      </c>
      <c r="C1208" s="108" t="s">
        <v>444</v>
      </c>
      <c r="D1208" s="112" t="s">
        <v>176</v>
      </c>
      <c r="E1208" s="112">
        <v>1463.2</v>
      </c>
      <c r="F1208" s="111" t="str">
        <f>DataPull!D1208</f>
        <v/>
      </c>
      <c r="G1208" s="94" t="str">
        <f t="shared" si="2"/>
        <v/>
      </c>
      <c r="H1208" s="94" t="str">
        <f t="shared" si="3"/>
        <v/>
      </c>
      <c r="I1208" s="94" t="str">
        <f t="shared" ref="I1208:J1208" si="1209">if(G1208 = "", , -G1208)</f>
        <v/>
      </c>
      <c r="J1208" s="94" t="str">
        <f t="shared" si="1209"/>
        <v/>
      </c>
      <c r="K1208" s="100"/>
      <c r="L1208" s="100"/>
      <c r="M1208" s="100"/>
      <c r="N1208" s="100"/>
      <c r="O1208" s="100"/>
      <c r="P1208" s="100"/>
    </row>
    <row r="1209">
      <c r="A1209" s="107">
        <v>201952.0</v>
      </c>
      <c r="B1209" s="108" t="s">
        <v>243</v>
      </c>
      <c r="C1209" s="108" t="s">
        <v>444</v>
      </c>
      <c r="D1209" s="112" t="s">
        <v>177</v>
      </c>
      <c r="E1209" s="112">
        <v>951.5</v>
      </c>
      <c r="F1209" s="111" t="str">
        <f>DataPull!D1209</f>
        <v/>
      </c>
      <c r="G1209" s="94" t="str">
        <f t="shared" si="2"/>
        <v/>
      </c>
      <c r="H1209" s="94" t="str">
        <f t="shared" si="3"/>
        <v/>
      </c>
      <c r="I1209" s="94" t="str">
        <f t="shared" ref="I1209:J1209" si="1210">if(G1209 = "", , -G1209)</f>
        <v/>
      </c>
      <c r="J1209" s="94" t="str">
        <f t="shared" si="1210"/>
        <v/>
      </c>
      <c r="K1209" s="100"/>
      <c r="M1209" s="100"/>
      <c r="N1209" s="100"/>
      <c r="O1209" s="100"/>
      <c r="P1209" s="100"/>
    </row>
    <row r="1210">
      <c r="A1210" s="107">
        <v>201953.0</v>
      </c>
      <c r="B1210" s="108" t="s">
        <v>85</v>
      </c>
      <c r="C1210" s="108" t="s">
        <v>445</v>
      </c>
      <c r="D1210" s="112" t="s">
        <v>187</v>
      </c>
      <c r="E1210" s="112">
        <v>325.5</v>
      </c>
      <c r="F1210" s="111" t="str">
        <f>DataPull!D1210</f>
        <v/>
      </c>
      <c r="G1210" s="94" t="str">
        <f t="shared" si="2"/>
        <v/>
      </c>
      <c r="H1210" s="94" t="str">
        <f t="shared" si="3"/>
        <v/>
      </c>
      <c r="I1210" s="94" t="str">
        <f t="shared" ref="I1210:J1210" si="1211">if(G1210 = "", , -G1210)</f>
        <v/>
      </c>
      <c r="J1210" s="94" t="str">
        <f t="shared" si="1211"/>
        <v/>
      </c>
      <c r="K1210" s="100"/>
      <c r="M1210" s="100"/>
      <c r="N1210" s="100"/>
      <c r="O1210" s="100"/>
      <c r="P1210" s="100"/>
    </row>
    <row r="1211">
      <c r="A1211" s="107">
        <v>201954.0</v>
      </c>
      <c r="B1211" s="108" t="s">
        <v>85</v>
      </c>
      <c r="C1211" s="108" t="s">
        <v>446</v>
      </c>
      <c r="D1211" s="112" t="s">
        <v>176</v>
      </c>
      <c r="E1211" s="112">
        <v>2072.0</v>
      </c>
      <c r="F1211" s="111" t="str">
        <f>DataPull!D1211</f>
        <v/>
      </c>
      <c r="G1211" s="94" t="str">
        <f t="shared" si="2"/>
        <v/>
      </c>
      <c r="H1211" s="94" t="str">
        <f t="shared" si="3"/>
        <v/>
      </c>
      <c r="I1211" s="94" t="str">
        <f t="shared" ref="I1211:J1211" si="1212">if(G1211 = "", , -G1211)</f>
        <v/>
      </c>
      <c r="J1211" s="94" t="str">
        <f t="shared" si="1212"/>
        <v/>
      </c>
      <c r="K1211" s="100"/>
      <c r="M1211" s="100"/>
      <c r="N1211" s="100"/>
      <c r="O1211" s="100"/>
      <c r="P1211" s="100"/>
    </row>
    <row r="1212">
      <c r="A1212" s="107">
        <v>201954.0</v>
      </c>
      <c r="B1212" s="108" t="s">
        <v>90</v>
      </c>
      <c r="C1212" s="108" t="s">
        <v>446</v>
      </c>
      <c r="D1212" s="112" t="s">
        <v>178</v>
      </c>
      <c r="E1212" s="112">
        <v>1566.0</v>
      </c>
      <c r="F1212" s="111" t="str">
        <f>DataPull!D1212</f>
        <v/>
      </c>
      <c r="G1212" s="94" t="str">
        <f t="shared" si="2"/>
        <v/>
      </c>
      <c r="H1212" s="94" t="str">
        <f t="shared" si="3"/>
        <v/>
      </c>
      <c r="I1212" s="94" t="str">
        <f t="shared" ref="I1212:J1212" si="1213">if(G1212 = "", , -G1212)</f>
        <v/>
      </c>
      <c r="J1212" s="94" t="str">
        <f t="shared" si="1213"/>
        <v/>
      </c>
      <c r="K1212" s="100"/>
      <c r="L1212" s="100"/>
      <c r="M1212" s="100"/>
      <c r="N1212" s="100"/>
      <c r="O1212" s="100"/>
      <c r="P1212" s="100"/>
    </row>
    <row r="1213">
      <c r="A1213" s="107">
        <v>201954.0</v>
      </c>
      <c r="B1213" s="108" t="s">
        <v>92</v>
      </c>
      <c r="C1213" s="108" t="s">
        <v>446</v>
      </c>
      <c r="D1213" s="112" t="s">
        <v>178</v>
      </c>
      <c r="E1213" s="112">
        <v>2220.0</v>
      </c>
      <c r="F1213" s="111" t="str">
        <f>DataPull!D1213</f>
        <v/>
      </c>
      <c r="G1213" s="94" t="str">
        <f t="shared" si="2"/>
        <v/>
      </c>
      <c r="H1213" s="94" t="str">
        <f t="shared" si="3"/>
        <v/>
      </c>
      <c r="I1213" s="94" t="str">
        <f t="shared" ref="I1213:J1213" si="1214">if(G1213 = "", , -G1213)</f>
        <v/>
      </c>
      <c r="J1213" s="94" t="str">
        <f t="shared" si="1214"/>
        <v/>
      </c>
      <c r="K1213" s="100"/>
      <c r="M1213" s="100"/>
      <c r="N1213" s="100"/>
      <c r="O1213" s="100"/>
      <c r="P1213" s="100"/>
    </row>
    <row r="1214">
      <c r="A1214" s="107">
        <v>201954.0</v>
      </c>
      <c r="B1214" s="108" t="s">
        <v>190</v>
      </c>
      <c r="C1214" s="108" t="s">
        <v>446</v>
      </c>
      <c r="D1214" s="112" t="s">
        <v>178</v>
      </c>
      <c r="E1214" s="112">
        <v>2060.4</v>
      </c>
      <c r="F1214" s="111" t="str">
        <f>DataPull!D1214</f>
        <v/>
      </c>
      <c r="G1214" s="94" t="str">
        <f t="shared" si="2"/>
        <v/>
      </c>
      <c r="H1214" s="94" t="str">
        <f t="shared" si="3"/>
        <v/>
      </c>
      <c r="I1214" s="94" t="str">
        <f t="shared" ref="I1214:J1214" si="1215">if(G1214 = "", , -G1214)</f>
        <v/>
      </c>
      <c r="J1214" s="94" t="str">
        <f t="shared" si="1215"/>
        <v/>
      </c>
      <c r="K1214" s="100"/>
      <c r="M1214" s="100"/>
      <c r="N1214" s="100"/>
      <c r="O1214" s="100"/>
      <c r="P1214" s="100"/>
    </row>
    <row r="1215">
      <c r="A1215" s="107">
        <v>201954.0</v>
      </c>
      <c r="B1215" s="108" t="s">
        <v>191</v>
      </c>
      <c r="C1215" s="108" t="s">
        <v>446</v>
      </c>
      <c r="D1215" s="112" t="s">
        <v>184</v>
      </c>
      <c r="E1215" s="112">
        <v>2021.7</v>
      </c>
      <c r="F1215" s="111" t="str">
        <f>DataPull!D1215</f>
        <v/>
      </c>
      <c r="G1215" s="94" t="str">
        <f t="shared" si="2"/>
        <v/>
      </c>
      <c r="H1215" s="94" t="str">
        <f t="shared" si="3"/>
        <v/>
      </c>
      <c r="I1215" s="94" t="str">
        <f t="shared" ref="I1215:J1215" si="1216">if(G1215 = "", , -G1215)</f>
        <v/>
      </c>
      <c r="J1215" s="94" t="str">
        <f t="shared" si="1216"/>
        <v/>
      </c>
      <c r="K1215" s="100"/>
      <c r="M1215" s="100"/>
      <c r="N1215" s="100"/>
      <c r="O1215" s="100"/>
      <c r="P1215" s="100"/>
    </row>
    <row r="1216">
      <c r="A1216" s="107">
        <v>201954.0</v>
      </c>
      <c r="B1216" s="108" t="s">
        <v>192</v>
      </c>
      <c r="C1216" s="108" t="s">
        <v>446</v>
      </c>
      <c r="D1216" s="112" t="s">
        <v>176</v>
      </c>
      <c r="E1216" s="112">
        <v>2143.2</v>
      </c>
      <c r="F1216" s="111" t="str">
        <f>DataPull!D1216</f>
        <v/>
      </c>
      <c r="G1216" s="94" t="str">
        <f t="shared" si="2"/>
        <v/>
      </c>
      <c r="H1216" s="94" t="str">
        <f t="shared" si="3"/>
        <v/>
      </c>
      <c r="I1216" s="94" t="str">
        <f t="shared" ref="I1216:J1216" si="1217">if(G1216 = "", , -G1216)</f>
        <v/>
      </c>
      <c r="J1216" s="94" t="str">
        <f t="shared" si="1217"/>
        <v/>
      </c>
      <c r="K1216" s="100"/>
      <c r="M1216" s="100"/>
      <c r="N1216" s="100"/>
      <c r="O1216" s="100"/>
      <c r="P1216" s="100"/>
    </row>
    <row r="1217">
      <c r="A1217" s="107">
        <v>201954.0</v>
      </c>
      <c r="B1217" s="108" t="s">
        <v>215</v>
      </c>
      <c r="C1217" s="108" t="s">
        <v>446</v>
      </c>
      <c r="D1217" s="112" t="s">
        <v>181</v>
      </c>
      <c r="E1217" s="112">
        <v>37.2</v>
      </c>
      <c r="F1217" s="111" t="str">
        <f>DataPull!D1217</f>
        <v/>
      </c>
      <c r="G1217" s="94" t="str">
        <f t="shared" si="2"/>
        <v/>
      </c>
      <c r="H1217" s="94" t="str">
        <f t="shared" si="3"/>
        <v/>
      </c>
      <c r="I1217" s="94" t="str">
        <f t="shared" ref="I1217:J1217" si="1218">if(G1217 = "", , -G1217)</f>
        <v/>
      </c>
      <c r="J1217" s="94" t="str">
        <f t="shared" si="1218"/>
        <v/>
      </c>
      <c r="K1217" s="100"/>
      <c r="M1217" s="100"/>
      <c r="N1217" s="100"/>
      <c r="O1217" s="100"/>
      <c r="P1217" s="100"/>
    </row>
    <row r="1218">
      <c r="A1218" s="107">
        <v>201956.0</v>
      </c>
      <c r="B1218" s="108" t="s">
        <v>85</v>
      </c>
      <c r="C1218" s="108" t="s">
        <v>447</v>
      </c>
      <c r="D1218" s="112" t="s">
        <v>177</v>
      </c>
      <c r="E1218" s="112">
        <v>1285.1</v>
      </c>
      <c r="F1218" s="111" t="str">
        <f>DataPull!D1218</f>
        <v/>
      </c>
      <c r="G1218" s="94" t="str">
        <f t="shared" si="2"/>
        <v/>
      </c>
      <c r="H1218" s="94" t="str">
        <f t="shared" si="3"/>
        <v/>
      </c>
      <c r="I1218" s="94" t="str">
        <f t="shared" ref="I1218:J1218" si="1219">if(G1218 = "", , -G1218)</f>
        <v/>
      </c>
      <c r="J1218" s="94" t="str">
        <f t="shared" si="1219"/>
        <v/>
      </c>
      <c r="K1218" s="100"/>
      <c r="L1218" s="100"/>
      <c r="M1218" s="100"/>
      <c r="N1218" s="100"/>
      <c r="O1218" s="100"/>
      <c r="P1218" s="100"/>
    </row>
    <row r="1219">
      <c r="A1219" s="107">
        <v>201956.0</v>
      </c>
      <c r="B1219" s="108" t="s">
        <v>90</v>
      </c>
      <c r="C1219" s="108" t="s">
        <v>447</v>
      </c>
      <c r="D1219" s="112" t="s">
        <v>176</v>
      </c>
      <c r="E1219" s="112">
        <v>1413.7</v>
      </c>
      <c r="F1219" s="111" t="str">
        <f>DataPull!D1219</f>
        <v/>
      </c>
      <c r="G1219" s="94" t="str">
        <f t="shared" si="2"/>
        <v/>
      </c>
      <c r="H1219" s="94" t="str">
        <f t="shared" si="3"/>
        <v/>
      </c>
      <c r="I1219" s="94" t="str">
        <f t="shared" ref="I1219:J1219" si="1220">if(G1219 = "", , -G1219)</f>
        <v/>
      </c>
      <c r="J1219" s="94" t="str">
        <f t="shared" si="1220"/>
        <v/>
      </c>
      <c r="K1219" s="100"/>
      <c r="M1219" s="100"/>
      <c r="N1219" s="100"/>
      <c r="O1219" s="100"/>
      <c r="P1219" s="100"/>
    </row>
    <row r="1220">
      <c r="A1220" s="107">
        <v>201956.0</v>
      </c>
      <c r="B1220" s="108" t="s">
        <v>92</v>
      </c>
      <c r="C1220" s="108" t="s">
        <v>447</v>
      </c>
      <c r="D1220" s="112" t="s">
        <v>178</v>
      </c>
      <c r="E1220" s="112">
        <v>1883.7</v>
      </c>
      <c r="F1220" s="111" t="str">
        <f>DataPull!D1220</f>
        <v/>
      </c>
      <c r="G1220" s="94" t="str">
        <f t="shared" si="2"/>
        <v/>
      </c>
      <c r="H1220" s="94" t="str">
        <f t="shared" si="3"/>
        <v/>
      </c>
      <c r="I1220" s="94" t="str">
        <f t="shared" ref="I1220:J1220" si="1221">if(G1220 = "", , -G1220)</f>
        <v/>
      </c>
      <c r="J1220" s="94" t="str">
        <f t="shared" si="1221"/>
        <v/>
      </c>
      <c r="K1220" s="100"/>
      <c r="L1220" s="100"/>
      <c r="M1220" s="100"/>
      <c r="N1220" s="100"/>
      <c r="O1220" s="100"/>
      <c r="P1220" s="100"/>
    </row>
    <row r="1221">
      <c r="A1221" s="107">
        <v>201956.0</v>
      </c>
      <c r="B1221" s="108" t="s">
        <v>190</v>
      </c>
      <c r="C1221" s="108" t="s">
        <v>447</v>
      </c>
      <c r="D1221" s="112" t="s">
        <v>177</v>
      </c>
      <c r="E1221" s="112">
        <v>640.8</v>
      </c>
      <c r="F1221" s="111" t="str">
        <f>DataPull!D1221</f>
        <v/>
      </c>
      <c r="G1221" s="94" t="str">
        <f t="shared" si="2"/>
        <v/>
      </c>
      <c r="H1221" s="94" t="str">
        <f t="shared" si="3"/>
        <v/>
      </c>
      <c r="I1221" s="94" t="str">
        <f t="shared" ref="I1221:J1221" si="1222">if(G1221 = "", , -G1221)</f>
        <v/>
      </c>
      <c r="J1221" s="94" t="str">
        <f t="shared" si="1222"/>
        <v/>
      </c>
      <c r="K1221" s="100"/>
      <c r="M1221" s="100"/>
      <c r="N1221" s="100"/>
      <c r="O1221" s="100"/>
      <c r="P1221" s="100"/>
    </row>
    <row r="1222">
      <c r="A1222" s="107">
        <v>201956.0</v>
      </c>
      <c r="B1222" s="108" t="s">
        <v>191</v>
      </c>
      <c r="C1222" s="108" t="s">
        <v>447</v>
      </c>
      <c r="D1222" s="112" t="s">
        <v>177</v>
      </c>
      <c r="E1222" s="112">
        <v>742.0</v>
      </c>
      <c r="F1222" s="111" t="str">
        <f>DataPull!D1222</f>
        <v/>
      </c>
      <c r="G1222" s="94" t="str">
        <f t="shared" si="2"/>
        <v/>
      </c>
      <c r="H1222" s="94" t="str">
        <f t="shared" si="3"/>
        <v/>
      </c>
      <c r="I1222" s="94" t="str">
        <f t="shared" ref="I1222:J1222" si="1223">if(G1222 = "", , -G1222)</f>
        <v/>
      </c>
      <c r="J1222" s="94" t="str">
        <f t="shared" si="1223"/>
        <v/>
      </c>
      <c r="K1222" s="100"/>
      <c r="M1222" s="100"/>
      <c r="N1222" s="100"/>
      <c r="O1222" s="100"/>
      <c r="P1222" s="100"/>
    </row>
    <row r="1223">
      <c r="A1223" s="107">
        <v>201956.0</v>
      </c>
      <c r="B1223" s="108" t="s">
        <v>192</v>
      </c>
      <c r="C1223" s="108" t="s">
        <v>447</v>
      </c>
      <c r="D1223" s="112" t="s">
        <v>177</v>
      </c>
      <c r="E1223" s="112">
        <v>522.0</v>
      </c>
      <c r="F1223" s="111" t="str">
        <f>DataPull!D1223</f>
        <v/>
      </c>
      <c r="G1223" s="94" t="str">
        <f t="shared" si="2"/>
        <v/>
      </c>
      <c r="H1223" s="94" t="str">
        <f t="shared" si="3"/>
        <v/>
      </c>
      <c r="I1223" s="94" t="str">
        <f t="shared" ref="I1223:J1223" si="1224">if(G1223 = "", , -G1223)</f>
        <v/>
      </c>
      <c r="J1223" s="94" t="str">
        <f t="shared" si="1224"/>
        <v/>
      </c>
      <c r="K1223" s="100"/>
      <c r="M1223" s="100"/>
      <c r="N1223" s="100"/>
      <c r="O1223" s="100"/>
      <c r="P1223" s="100"/>
    </row>
    <row r="1224">
      <c r="A1224" s="107">
        <v>201957.0</v>
      </c>
      <c r="B1224" s="108" t="s">
        <v>85</v>
      </c>
      <c r="C1224" s="108" t="s">
        <v>448</v>
      </c>
      <c r="D1224" s="112" t="s">
        <v>187</v>
      </c>
      <c r="E1224" s="112">
        <v>414.0</v>
      </c>
      <c r="F1224" s="111" t="str">
        <f>DataPull!D1224</f>
        <v/>
      </c>
      <c r="G1224" s="94" t="str">
        <f t="shared" si="2"/>
        <v/>
      </c>
      <c r="H1224" s="94" t="str">
        <f t="shared" si="3"/>
        <v/>
      </c>
      <c r="I1224" s="94" t="str">
        <f t="shared" ref="I1224:J1224" si="1225">if(G1224 = "", , -G1224)</f>
        <v/>
      </c>
      <c r="J1224" s="94" t="str">
        <f t="shared" si="1225"/>
        <v/>
      </c>
      <c r="K1224" s="100"/>
      <c r="M1224" s="100"/>
      <c r="N1224" s="100"/>
      <c r="O1224" s="100"/>
      <c r="P1224" s="100"/>
    </row>
    <row r="1225">
      <c r="A1225" s="107">
        <v>201959.0</v>
      </c>
      <c r="B1225" s="108" t="s">
        <v>85</v>
      </c>
      <c r="C1225" s="108" t="s">
        <v>449</v>
      </c>
      <c r="D1225" s="112" t="s">
        <v>176</v>
      </c>
      <c r="E1225" s="112">
        <v>2353.4</v>
      </c>
      <c r="F1225" s="111" t="str">
        <f>DataPull!D1225</f>
        <v/>
      </c>
      <c r="G1225" s="94" t="str">
        <f t="shared" si="2"/>
        <v/>
      </c>
      <c r="H1225" s="94" t="str">
        <f t="shared" si="3"/>
        <v/>
      </c>
      <c r="I1225" s="94" t="str">
        <f t="shared" ref="I1225:J1225" si="1226">if(G1225 = "", , -G1225)</f>
        <v/>
      </c>
      <c r="J1225" s="94" t="str">
        <f t="shared" si="1226"/>
        <v/>
      </c>
      <c r="K1225" s="100"/>
      <c r="L1225" s="100"/>
      <c r="N1225" s="100"/>
      <c r="O1225" s="100"/>
      <c r="P1225" s="100"/>
    </row>
    <row r="1226">
      <c r="A1226" s="107">
        <v>201959.0</v>
      </c>
      <c r="B1226" s="108" t="s">
        <v>90</v>
      </c>
      <c r="C1226" s="108" t="s">
        <v>449</v>
      </c>
      <c r="D1226" s="112" t="s">
        <v>176</v>
      </c>
      <c r="E1226" s="112">
        <v>1692.6</v>
      </c>
      <c r="F1226" s="111" t="str">
        <f>DataPull!D1226</f>
        <v/>
      </c>
      <c r="G1226" s="94" t="str">
        <f t="shared" si="2"/>
        <v/>
      </c>
      <c r="H1226" s="94" t="str">
        <f t="shared" si="3"/>
        <v/>
      </c>
      <c r="I1226" s="94" t="str">
        <f t="shared" ref="I1226:J1226" si="1227">if(G1226 = "", , -G1226)</f>
        <v/>
      </c>
      <c r="J1226" s="94" t="str">
        <f t="shared" si="1227"/>
        <v/>
      </c>
      <c r="K1226" s="100"/>
      <c r="M1226" s="100"/>
      <c r="N1226" s="100"/>
      <c r="O1226" s="100"/>
      <c r="P1226" s="100"/>
    </row>
    <row r="1227">
      <c r="A1227" s="107">
        <v>201959.0</v>
      </c>
      <c r="B1227" s="108" t="s">
        <v>92</v>
      </c>
      <c r="C1227" s="108" t="s">
        <v>449</v>
      </c>
      <c r="D1227" s="112" t="s">
        <v>178</v>
      </c>
      <c r="E1227" s="112">
        <v>1934.5</v>
      </c>
      <c r="F1227" s="111" t="str">
        <f>DataPull!D1227</f>
        <v/>
      </c>
      <c r="G1227" s="94" t="str">
        <f t="shared" si="2"/>
        <v/>
      </c>
      <c r="H1227" s="94" t="str">
        <f t="shared" si="3"/>
        <v/>
      </c>
      <c r="I1227" s="94" t="str">
        <f t="shared" ref="I1227:J1227" si="1228">if(G1227 = "", , -G1227)</f>
        <v/>
      </c>
      <c r="J1227" s="94" t="str">
        <f t="shared" si="1228"/>
        <v/>
      </c>
      <c r="K1227" s="100"/>
      <c r="L1227" s="100"/>
      <c r="M1227" s="100"/>
      <c r="N1227" s="100"/>
      <c r="O1227" s="100"/>
      <c r="P1227" s="100"/>
    </row>
    <row r="1228">
      <c r="A1228" s="107">
        <v>201959.0</v>
      </c>
      <c r="B1228" s="108" t="s">
        <v>190</v>
      </c>
      <c r="C1228" s="108" t="s">
        <v>449</v>
      </c>
      <c r="D1228" s="112" t="s">
        <v>178</v>
      </c>
      <c r="E1228" s="112">
        <v>1989.0</v>
      </c>
      <c r="F1228" s="111" t="str">
        <f>DataPull!D1228</f>
        <v/>
      </c>
      <c r="G1228" s="94" t="str">
        <f t="shared" si="2"/>
        <v/>
      </c>
      <c r="H1228" s="94" t="str">
        <f t="shared" si="3"/>
        <v/>
      </c>
      <c r="I1228" s="94" t="str">
        <f t="shared" ref="I1228:J1228" si="1229">if(G1228 = "", , -G1228)</f>
        <v/>
      </c>
      <c r="J1228" s="94" t="str">
        <f t="shared" si="1229"/>
        <v/>
      </c>
      <c r="K1228" s="100"/>
      <c r="M1228" s="100"/>
      <c r="N1228" s="100"/>
      <c r="O1228" s="100"/>
      <c r="P1228" s="100"/>
    </row>
    <row r="1229">
      <c r="A1229" s="107">
        <v>201959.0</v>
      </c>
      <c r="B1229" s="108" t="s">
        <v>191</v>
      </c>
      <c r="C1229" s="108" t="s">
        <v>449</v>
      </c>
      <c r="D1229" s="112" t="s">
        <v>178</v>
      </c>
      <c r="E1229" s="112">
        <v>2722.4</v>
      </c>
      <c r="F1229" s="111" t="str">
        <f>DataPull!D1229</f>
        <v/>
      </c>
      <c r="G1229" s="94" t="str">
        <f t="shared" si="2"/>
        <v/>
      </c>
      <c r="H1229" s="94" t="str">
        <f t="shared" si="3"/>
        <v/>
      </c>
      <c r="I1229" s="94" t="str">
        <f t="shared" ref="I1229:J1229" si="1230">if(G1229 = "", , -G1229)</f>
        <v/>
      </c>
      <c r="J1229" s="94" t="str">
        <f t="shared" si="1230"/>
        <v/>
      </c>
      <c r="K1229" s="100"/>
      <c r="M1229" s="100"/>
      <c r="N1229" s="100"/>
      <c r="O1229" s="100"/>
      <c r="P1229" s="100"/>
    </row>
    <row r="1230">
      <c r="A1230" s="107">
        <v>201959.0</v>
      </c>
      <c r="B1230" s="108" t="s">
        <v>192</v>
      </c>
      <c r="C1230" s="108" t="s">
        <v>449</v>
      </c>
      <c r="D1230" s="112" t="s">
        <v>176</v>
      </c>
      <c r="E1230" s="112">
        <v>1687.0</v>
      </c>
      <c r="F1230" s="111" t="str">
        <f>DataPull!D1230</f>
        <v/>
      </c>
      <c r="G1230" s="94" t="str">
        <f t="shared" si="2"/>
        <v/>
      </c>
      <c r="H1230" s="94" t="str">
        <f t="shared" si="3"/>
        <v/>
      </c>
      <c r="I1230" s="94" t="str">
        <f t="shared" ref="I1230:J1230" si="1231">if(G1230 = "", , -G1230)</f>
        <v/>
      </c>
      <c r="J1230" s="94" t="str">
        <f t="shared" si="1231"/>
        <v/>
      </c>
      <c r="K1230" s="100"/>
      <c r="M1230" s="100"/>
      <c r="N1230" s="100"/>
      <c r="O1230" s="100"/>
      <c r="P1230" s="100"/>
    </row>
    <row r="1231">
      <c r="A1231" s="107">
        <v>201959.0</v>
      </c>
      <c r="B1231" s="108" t="s">
        <v>193</v>
      </c>
      <c r="C1231" s="108" t="s">
        <v>449</v>
      </c>
      <c r="D1231" s="112" t="s">
        <v>177</v>
      </c>
      <c r="E1231" s="112">
        <v>1023.0</v>
      </c>
      <c r="F1231" s="111" t="str">
        <f>DataPull!D1231</f>
        <v/>
      </c>
      <c r="G1231" s="94" t="str">
        <f t="shared" si="2"/>
        <v/>
      </c>
      <c r="H1231" s="94" t="str">
        <f t="shared" si="3"/>
        <v/>
      </c>
      <c r="I1231" s="94" t="str">
        <f t="shared" ref="I1231:J1231" si="1232">if(G1231 = "", , -G1231)</f>
        <v/>
      </c>
      <c r="J1231" s="94" t="str">
        <f t="shared" si="1232"/>
        <v/>
      </c>
      <c r="K1231" s="100"/>
      <c r="M1231" s="100"/>
      <c r="N1231" s="100"/>
      <c r="O1231" s="100"/>
      <c r="P1231" s="100"/>
    </row>
    <row r="1232">
      <c r="A1232" s="107">
        <v>201959.0</v>
      </c>
      <c r="B1232" s="108" t="s">
        <v>243</v>
      </c>
      <c r="C1232" s="108" t="s">
        <v>449</v>
      </c>
      <c r="D1232" s="112" t="s">
        <v>177</v>
      </c>
      <c r="E1232" s="112">
        <v>936.0</v>
      </c>
      <c r="F1232" s="111" t="str">
        <f>DataPull!D1232</f>
        <v/>
      </c>
      <c r="G1232" s="94" t="str">
        <f t="shared" si="2"/>
        <v/>
      </c>
      <c r="H1232" s="94" t="str">
        <f t="shared" si="3"/>
        <v/>
      </c>
      <c r="I1232" s="94" t="str">
        <f t="shared" ref="I1232:J1232" si="1233">if(G1232 = "", , -G1232)</f>
        <v/>
      </c>
      <c r="J1232" s="94" t="str">
        <f t="shared" si="1233"/>
        <v/>
      </c>
      <c r="K1232" s="100"/>
      <c r="M1232" s="100"/>
      <c r="N1232" s="100"/>
      <c r="O1232" s="100"/>
      <c r="P1232" s="100"/>
    </row>
    <row r="1233">
      <c r="A1233" s="107">
        <v>201959.0</v>
      </c>
      <c r="B1233" s="108" t="s">
        <v>215</v>
      </c>
      <c r="C1233" s="108" t="s">
        <v>449</v>
      </c>
      <c r="D1233" s="112" t="s">
        <v>177</v>
      </c>
      <c r="E1233" s="112">
        <v>946.4</v>
      </c>
      <c r="F1233" s="111" t="str">
        <f>DataPull!D1233</f>
        <v/>
      </c>
      <c r="G1233" s="94" t="str">
        <f t="shared" si="2"/>
        <v/>
      </c>
      <c r="H1233" s="94" t="str">
        <f t="shared" si="3"/>
        <v/>
      </c>
      <c r="I1233" s="94" t="str">
        <f t="shared" ref="I1233:J1233" si="1234">if(G1233 = "", , -G1233)</f>
        <v/>
      </c>
      <c r="J1233" s="94" t="str">
        <f t="shared" si="1234"/>
        <v/>
      </c>
      <c r="K1233" s="100"/>
      <c r="M1233" s="100"/>
      <c r="N1233" s="100"/>
      <c r="O1233" s="100"/>
      <c r="P1233" s="100"/>
    </row>
    <row r="1234">
      <c r="A1234" s="107">
        <v>201959.0</v>
      </c>
      <c r="B1234" s="108" t="s">
        <v>244</v>
      </c>
      <c r="C1234" s="108" t="s">
        <v>449</v>
      </c>
      <c r="D1234" s="112" t="s">
        <v>187</v>
      </c>
      <c r="E1234" s="112">
        <v>480.2</v>
      </c>
      <c r="F1234" s="111" t="str">
        <f>DataPull!D1234</f>
        <v/>
      </c>
      <c r="G1234" s="94" t="str">
        <f t="shared" si="2"/>
        <v/>
      </c>
      <c r="H1234" s="94" t="str">
        <f t="shared" si="3"/>
        <v/>
      </c>
      <c r="I1234" s="94" t="str">
        <f t="shared" ref="I1234:J1234" si="1235">if(G1234 = "", , -G1234)</f>
        <v/>
      </c>
      <c r="J1234" s="94" t="str">
        <f t="shared" si="1235"/>
        <v/>
      </c>
      <c r="K1234" s="100"/>
      <c r="M1234" s="100"/>
      <c r="N1234" s="100"/>
      <c r="O1234" s="100"/>
      <c r="P1234" s="100"/>
    </row>
    <row r="1235">
      <c r="A1235" s="107">
        <v>201959.0</v>
      </c>
      <c r="B1235" s="108" t="s">
        <v>245</v>
      </c>
      <c r="C1235" s="108" t="s">
        <v>449</v>
      </c>
      <c r="D1235" s="112" t="s">
        <v>187</v>
      </c>
      <c r="E1235" s="112">
        <v>204.0</v>
      </c>
      <c r="F1235" s="111" t="str">
        <f>DataPull!D1235</f>
        <v/>
      </c>
      <c r="G1235" s="94" t="str">
        <f t="shared" si="2"/>
        <v/>
      </c>
      <c r="H1235" s="94" t="str">
        <f t="shared" si="3"/>
        <v/>
      </c>
      <c r="I1235" s="94" t="str">
        <f t="shared" ref="I1235:J1235" si="1236">if(G1235 = "", , -G1235)</f>
        <v/>
      </c>
      <c r="J1235" s="94" t="str">
        <f t="shared" si="1236"/>
        <v/>
      </c>
      <c r="K1235" s="100"/>
      <c r="M1235" s="100"/>
      <c r="N1235" s="100"/>
      <c r="O1235" s="100"/>
      <c r="P1235" s="100"/>
    </row>
    <row r="1236">
      <c r="A1236" s="107">
        <v>201959.0</v>
      </c>
      <c r="B1236" s="108" t="s">
        <v>246</v>
      </c>
      <c r="C1236" s="108" t="s">
        <v>449</v>
      </c>
      <c r="D1236" s="112" t="s">
        <v>177</v>
      </c>
      <c r="E1236" s="112">
        <v>410.7</v>
      </c>
      <c r="F1236" s="111" t="str">
        <f>DataPull!D1236</f>
        <v/>
      </c>
      <c r="G1236" s="94" t="str">
        <f t="shared" si="2"/>
        <v/>
      </c>
      <c r="H1236" s="94" t="str">
        <f t="shared" si="3"/>
        <v/>
      </c>
      <c r="I1236" s="94" t="str">
        <f t="shared" ref="I1236:J1236" si="1237">if(G1236 = "", , -G1236)</f>
        <v/>
      </c>
      <c r="J1236" s="94" t="str">
        <f t="shared" si="1237"/>
        <v/>
      </c>
      <c r="K1236" s="100"/>
      <c r="M1236" s="100"/>
      <c r="N1236" s="100"/>
      <c r="O1236" s="100"/>
      <c r="P1236" s="100"/>
    </row>
    <row r="1237">
      <c r="A1237" s="107">
        <v>201960.0</v>
      </c>
      <c r="B1237" s="108" t="s">
        <v>85</v>
      </c>
      <c r="C1237" s="108" t="s">
        <v>450</v>
      </c>
      <c r="D1237" s="112" t="s">
        <v>178</v>
      </c>
      <c r="E1237" s="112">
        <v>2343.3</v>
      </c>
      <c r="F1237" s="111" t="str">
        <f>DataPull!D1237</f>
        <v/>
      </c>
      <c r="G1237" s="94" t="str">
        <f t="shared" si="2"/>
        <v/>
      </c>
      <c r="H1237" s="94" t="str">
        <f t="shared" si="3"/>
        <v/>
      </c>
      <c r="I1237" s="94" t="str">
        <f t="shared" ref="I1237:J1237" si="1238">if(G1237 = "", , -G1237)</f>
        <v/>
      </c>
      <c r="J1237" s="94" t="str">
        <f t="shared" si="1238"/>
        <v/>
      </c>
      <c r="K1237" s="100"/>
      <c r="M1237" s="100"/>
      <c r="N1237" s="100"/>
      <c r="O1237" s="100"/>
      <c r="P1237" s="100"/>
    </row>
    <row r="1238">
      <c r="A1238" s="107">
        <v>201960.0</v>
      </c>
      <c r="B1238" s="108" t="s">
        <v>90</v>
      </c>
      <c r="C1238" s="108" t="s">
        <v>450</v>
      </c>
      <c r="D1238" s="112" t="s">
        <v>178</v>
      </c>
      <c r="E1238" s="112">
        <v>2191.0</v>
      </c>
      <c r="F1238" s="111" t="str">
        <f>DataPull!D1238</f>
        <v/>
      </c>
      <c r="G1238" s="94" t="str">
        <f t="shared" si="2"/>
        <v/>
      </c>
      <c r="H1238" s="94" t="str">
        <f t="shared" si="3"/>
        <v/>
      </c>
      <c r="I1238" s="94" t="str">
        <f t="shared" ref="I1238:J1238" si="1239">if(G1238 = "", , -G1238)</f>
        <v/>
      </c>
      <c r="J1238" s="94" t="str">
        <f t="shared" si="1239"/>
        <v/>
      </c>
      <c r="K1238" s="100"/>
      <c r="M1238" s="100"/>
      <c r="N1238" s="100"/>
      <c r="O1238" s="100"/>
      <c r="P1238" s="100"/>
    </row>
    <row r="1239">
      <c r="A1239" s="107">
        <v>201960.0</v>
      </c>
      <c r="B1239" s="108" t="s">
        <v>92</v>
      </c>
      <c r="C1239" s="108" t="s">
        <v>450</v>
      </c>
      <c r="D1239" s="112" t="s">
        <v>178</v>
      </c>
      <c r="E1239" s="112">
        <v>785.2</v>
      </c>
      <c r="F1239" s="111" t="str">
        <f>DataPull!D1239</f>
        <v/>
      </c>
      <c r="G1239" s="94" t="str">
        <f t="shared" si="2"/>
        <v/>
      </c>
      <c r="H1239" s="94" t="str">
        <f t="shared" si="3"/>
        <v/>
      </c>
      <c r="I1239" s="94" t="str">
        <f t="shared" ref="I1239:J1239" si="1240">if(G1239 = "", , -G1239)</f>
        <v/>
      </c>
      <c r="J1239" s="94" t="str">
        <f t="shared" si="1240"/>
        <v/>
      </c>
      <c r="K1239" s="100"/>
      <c r="L1239" s="100"/>
      <c r="M1239" s="100"/>
      <c r="N1239" s="100"/>
      <c r="O1239" s="100"/>
      <c r="P1239" s="100"/>
    </row>
    <row r="1240">
      <c r="A1240" s="107">
        <v>201960.0</v>
      </c>
      <c r="B1240" s="108" t="s">
        <v>190</v>
      </c>
      <c r="C1240" s="108" t="s">
        <v>450</v>
      </c>
      <c r="D1240" s="112" t="s">
        <v>178</v>
      </c>
      <c r="E1240" s="112">
        <v>1879.2</v>
      </c>
      <c r="F1240" s="111" t="str">
        <f>DataPull!D1240</f>
        <v/>
      </c>
      <c r="G1240" s="94" t="str">
        <f t="shared" si="2"/>
        <v/>
      </c>
      <c r="H1240" s="94" t="str">
        <f t="shared" si="3"/>
        <v/>
      </c>
      <c r="I1240" s="94" t="str">
        <f t="shared" ref="I1240:J1240" si="1241">if(G1240 = "", , -G1240)</f>
        <v/>
      </c>
      <c r="J1240" s="94" t="str">
        <f t="shared" si="1241"/>
        <v/>
      </c>
      <c r="K1240" s="100"/>
      <c r="M1240" s="100"/>
      <c r="N1240" s="100"/>
      <c r="O1240" s="100"/>
      <c r="P1240" s="100"/>
    </row>
    <row r="1241">
      <c r="A1241" s="107">
        <v>201960.0</v>
      </c>
      <c r="B1241" s="108" t="s">
        <v>191</v>
      </c>
      <c r="C1241" s="108" t="s">
        <v>450</v>
      </c>
      <c r="D1241" s="112" t="s">
        <v>178</v>
      </c>
      <c r="E1241" s="112">
        <v>2182.7</v>
      </c>
      <c r="F1241" s="111" t="str">
        <f>DataPull!D1241</f>
        <v/>
      </c>
      <c r="G1241" s="94" t="str">
        <f t="shared" si="2"/>
        <v/>
      </c>
      <c r="H1241" s="94" t="str">
        <f t="shared" si="3"/>
        <v/>
      </c>
      <c r="I1241" s="94" t="str">
        <f t="shared" ref="I1241:J1241" si="1242">if(G1241 = "", , -G1241)</f>
        <v/>
      </c>
      <c r="J1241" s="94" t="str">
        <f t="shared" si="1242"/>
        <v/>
      </c>
      <c r="K1241" s="100"/>
      <c r="L1241" s="100"/>
      <c r="N1241" s="100"/>
      <c r="O1241" s="100"/>
      <c r="P1241" s="100"/>
    </row>
    <row r="1242">
      <c r="A1242" s="107">
        <v>201960.0</v>
      </c>
      <c r="B1242" s="108" t="s">
        <v>192</v>
      </c>
      <c r="C1242" s="108" t="s">
        <v>450</v>
      </c>
      <c r="D1242" s="112" t="s">
        <v>176</v>
      </c>
      <c r="E1242" s="112">
        <v>1701.8</v>
      </c>
      <c r="F1242" s="111" t="str">
        <f>DataPull!D1242</f>
        <v/>
      </c>
      <c r="G1242" s="94" t="str">
        <f t="shared" si="2"/>
        <v/>
      </c>
      <c r="H1242" s="94" t="str">
        <f t="shared" si="3"/>
        <v/>
      </c>
      <c r="I1242" s="94" t="str">
        <f t="shared" ref="I1242:J1242" si="1243">if(G1242 = "", , -G1242)</f>
        <v/>
      </c>
      <c r="J1242" s="94" t="str">
        <f t="shared" si="1243"/>
        <v/>
      </c>
      <c r="K1242" s="100"/>
      <c r="M1242" s="100"/>
      <c r="N1242" s="100"/>
      <c r="O1242" s="100"/>
      <c r="P1242" s="100"/>
    </row>
    <row r="1243">
      <c r="A1243" s="107">
        <v>201960.0</v>
      </c>
      <c r="B1243" s="108" t="s">
        <v>193</v>
      </c>
      <c r="C1243" s="108" t="s">
        <v>450</v>
      </c>
      <c r="D1243" s="112" t="s">
        <v>187</v>
      </c>
      <c r="E1243" s="112">
        <v>290.4</v>
      </c>
      <c r="F1243" s="111" t="str">
        <f>DataPull!D1243</f>
        <v/>
      </c>
      <c r="G1243" s="94" t="str">
        <f t="shared" si="2"/>
        <v/>
      </c>
      <c r="H1243" s="94" t="str">
        <f t="shared" si="3"/>
        <v/>
      </c>
      <c r="I1243" s="94" t="str">
        <f t="shared" ref="I1243:J1243" si="1244">if(G1243 = "", , -G1243)</f>
        <v/>
      </c>
      <c r="J1243" s="94" t="str">
        <f t="shared" si="1244"/>
        <v/>
      </c>
      <c r="K1243" s="100"/>
      <c r="M1243" s="100"/>
      <c r="N1243" s="100"/>
      <c r="O1243" s="100"/>
      <c r="P1243" s="100"/>
    </row>
    <row r="1244">
      <c r="A1244" s="107">
        <v>201961.0</v>
      </c>
      <c r="B1244" s="108" t="s">
        <v>85</v>
      </c>
      <c r="C1244" s="108" t="s">
        <v>451</v>
      </c>
      <c r="D1244" s="112" t="s">
        <v>187</v>
      </c>
      <c r="E1244" s="112">
        <v>391.5</v>
      </c>
      <c r="F1244" s="111" t="str">
        <f>DataPull!D1244</f>
        <v/>
      </c>
      <c r="G1244" s="94" t="str">
        <f t="shared" si="2"/>
        <v/>
      </c>
      <c r="H1244" s="94" t="str">
        <f t="shared" si="3"/>
        <v/>
      </c>
      <c r="I1244" s="94" t="str">
        <f t="shared" ref="I1244:J1244" si="1245">if(G1244 = "", , -G1244)</f>
        <v/>
      </c>
      <c r="J1244" s="94" t="str">
        <f t="shared" si="1245"/>
        <v/>
      </c>
      <c r="K1244" s="100"/>
      <c r="M1244" s="100"/>
      <c r="N1244" s="100"/>
      <c r="O1244" s="100"/>
      <c r="P1244" s="100"/>
    </row>
    <row r="1245">
      <c r="A1245" s="107">
        <v>201961.0</v>
      </c>
      <c r="B1245" s="108" t="s">
        <v>90</v>
      </c>
      <c r="C1245" s="108" t="s">
        <v>451</v>
      </c>
      <c r="D1245" s="112" t="s">
        <v>176</v>
      </c>
      <c r="E1245" s="112">
        <v>1677.0</v>
      </c>
      <c r="F1245" s="111" t="str">
        <f>DataPull!D1245</f>
        <v/>
      </c>
      <c r="G1245" s="94" t="str">
        <f t="shared" si="2"/>
        <v/>
      </c>
      <c r="H1245" s="94" t="str">
        <f t="shared" si="3"/>
        <v/>
      </c>
      <c r="I1245" s="94" t="str">
        <f t="shared" ref="I1245:J1245" si="1246">if(G1245 = "", , -G1245)</f>
        <v/>
      </c>
      <c r="J1245" s="94" t="str">
        <f t="shared" si="1246"/>
        <v/>
      </c>
      <c r="K1245" s="100"/>
      <c r="M1245" s="100"/>
      <c r="N1245" s="100"/>
      <c r="O1245" s="100"/>
      <c r="P1245" s="100"/>
    </row>
    <row r="1246">
      <c r="A1246" s="107">
        <v>201961.0</v>
      </c>
      <c r="B1246" s="108" t="s">
        <v>92</v>
      </c>
      <c r="C1246" s="108" t="s">
        <v>451</v>
      </c>
      <c r="D1246" s="112" t="s">
        <v>176</v>
      </c>
      <c r="E1246" s="112">
        <v>1611.2</v>
      </c>
      <c r="F1246" s="111" t="str">
        <f>DataPull!D1246</f>
        <v/>
      </c>
      <c r="G1246" s="94" t="str">
        <f t="shared" si="2"/>
        <v/>
      </c>
      <c r="H1246" s="94" t="str">
        <f t="shared" si="3"/>
        <v/>
      </c>
      <c r="I1246" s="94" t="str">
        <f t="shared" ref="I1246:J1246" si="1247">if(G1246 = "", , -G1246)</f>
        <v/>
      </c>
      <c r="J1246" s="94" t="str">
        <f t="shared" si="1247"/>
        <v/>
      </c>
      <c r="K1246" s="100"/>
      <c r="M1246" s="100"/>
      <c r="N1246" s="100"/>
      <c r="O1246" s="100"/>
      <c r="P1246" s="100"/>
    </row>
    <row r="1247">
      <c r="A1247" s="107">
        <v>201961.0</v>
      </c>
      <c r="B1247" s="108" t="s">
        <v>190</v>
      </c>
      <c r="C1247" s="108" t="s">
        <v>451</v>
      </c>
      <c r="D1247" s="112" t="s">
        <v>176</v>
      </c>
      <c r="E1247" s="112">
        <v>1500.4</v>
      </c>
      <c r="F1247" s="111" t="str">
        <f>DataPull!D1247</f>
        <v/>
      </c>
      <c r="G1247" s="94" t="str">
        <f t="shared" si="2"/>
        <v/>
      </c>
      <c r="H1247" s="94" t="str">
        <f t="shared" si="3"/>
        <v/>
      </c>
      <c r="I1247" s="94" t="str">
        <f t="shared" ref="I1247:J1247" si="1248">if(G1247 = "", , -G1247)</f>
        <v/>
      </c>
      <c r="J1247" s="94" t="str">
        <f t="shared" si="1248"/>
        <v/>
      </c>
      <c r="K1247" s="100"/>
      <c r="M1247" s="100"/>
      <c r="N1247" s="100"/>
      <c r="O1247" s="100"/>
      <c r="P1247" s="100"/>
    </row>
    <row r="1248">
      <c r="A1248" s="107">
        <v>201961.0</v>
      </c>
      <c r="B1248" s="108" t="s">
        <v>191</v>
      </c>
      <c r="C1248" s="108" t="s">
        <v>451</v>
      </c>
      <c r="D1248" s="112" t="s">
        <v>176</v>
      </c>
      <c r="E1248" s="112">
        <v>2040.5</v>
      </c>
      <c r="F1248" s="111" t="str">
        <f>DataPull!D1248</f>
        <v/>
      </c>
      <c r="G1248" s="94" t="str">
        <f t="shared" si="2"/>
        <v/>
      </c>
      <c r="H1248" s="94" t="str">
        <f t="shared" si="3"/>
        <v/>
      </c>
      <c r="I1248" s="94" t="str">
        <f t="shared" ref="I1248:J1248" si="1249">if(G1248 = "", , -G1248)</f>
        <v/>
      </c>
      <c r="J1248" s="94" t="str">
        <f t="shared" si="1249"/>
        <v/>
      </c>
      <c r="K1248" s="100"/>
      <c r="M1248" s="100"/>
      <c r="N1248" s="100"/>
      <c r="O1248" s="100"/>
      <c r="P1248" s="100"/>
    </row>
    <row r="1249">
      <c r="A1249" s="107">
        <v>201961.0</v>
      </c>
      <c r="B1249" s="108" t="s">
        <v>192</v>
      </c>
      <c r="C1249" s="108" t="s">
        <v>451</v>
      </c>
      <c r="D1249" s="112" t="s">
        <v>178</v>
      </c>
      <c r="E1249" s="112">
        <v>1298.5</v>
      </c>
      <c r="F1249" s="111" t="str">
        <f>DataPull!D1249</f>
        <v/>
      </c>
      <c r="G1249" s="94" t="str">
        <f t="shared" si="2"/>
        <v/>
      </c>
      <c r="H1249" s="94" t="str">
        <f t="shared" si="3"/>
        <v/>
      </c>
      <c r="I1249" s="94" t="str">
        <f t="shared" ref="I1249:J1249" si="1250">if(G1249 = "", , -G1249)</f>
        <v/>
      </c>
      <c r="J1249" s="94" t="str">
        <f t="shared" si="1250"/>
        <v/>
      </c>
      <c r="K1249" s="100"/>
      <c r="M1249" s="100"/>
      <c r="N1249" s="100"/>
      <c r="O1249" s="100"/>
      <c r="P1249" s="100"/>
    </row>
    <row r="1250">
      <c r="A1250" s="107">
        <v>201961.0</v>
      </c>
      <c r="B1250" s="108" t="s">
        <v>193</v>
      </c>
      <c r="C1250" s="108" t="s">
        <v>451</v>
      </c>
      <c r="D1250" s="112" t="s">
        <v>177</v>
      </c>
      <c r="E1250" s="112">
        <v>558.0</v>
      </c>
      <c r="F1250" s="111" t="str">
        <f>DataPull!D1250</f>
        <v/>
      </c>
      <c r="G1250" s="94" t="str">
        <f t="shared" si="2"/>
        <v/>
      </c>
      <c r="H1250" s="94" t="str">
        <f t="shared" si="3"/>
        <v/>
      </c>
      <c r="I1250" s="94" t="str">
        <f t="shared" ref="I1250:J1250" si="1251">if(G1250 = "", , -G1250)</f>
        <v/>
      </c>
      <c r="J1250" s="94" t="str">
        <f t="shared" si="1251"/>
        <v/>
      </c>
      <c r="K1250" s="100"/>
      <c r="M1250" s="100"/>
      <c r="N1250" s="100"/>
      <c r="O1250" s="100"/>
      <c r="P1250" s="100"/>
    </row>
    <row r="1251">
      <c r="A1251" s="107">
        <v>201961.0</v>
      </c>
      <c r="B1251" s="108" t="s">
        <v>243</v>
      </c>
      <c r="C1251" s="108" t="s">
        <v>451</v>
      </c>
      <c r="D1251" s="112" t="s">
        <v>176</v>
      </c>
      <c r="E1251" s="112">
        <v>1012.0</v>
      </c>
      <c r="F1251" s="111" t="str">
        <f>DataPull!D1251</f>
        <v/>
      </c>
      <c r="G1251" s="94" t="str">
        <f t="shared" si="2"/>
        <v/>
      </c>
      <c r="H1251" s="94" t="str">
        <f t="shared" si="3"/>
        <v/>
      </c>
      <c r="I1251" s="94" t="str">
        <f t="shared" ref="I1251:J1251" si="1252">if(G1251 = "", , -G1251)</f>
        <v/>
      </c>
      <c r="J1251" s="94" t="str">
        <f t="shared" si="1252"/>
        <v/>
      </c>
      <c r="K1251" s="100"/>
      <c r="M1251" s="100"/>
      <c r="N1251" s="100"/>
      <c r="O1251" s="100"/>
      <c r="P1251" s="100"/>
    </row>
    <row r="1252">
      <c r="A1252" s="107">
        <v>201961.0</v>
      </c>
      <c r="B1252" s="108" t="s">
        <v>215</v>
      </c>
      <c r="C1252" s="108" t="s">
        <v>451</v>
      </c>
      <c r="D1252" s="112" t="s">
        <v>177</v>
      </c>
      <c r="E1252" s="112">
        <v>808.4</v>
      </c>
      <c r="F1252" s="111" t="str">
        <f>DataPull!D1252</f>
        <v/>
      </c>
      <c r="G1252" s="94" t="str">
        <f t="shared" si="2"/>
        <v/>
      </c>
      <c r="H1252" s="94" t="str">
        <f t="shared" si="3"/>
        <v/>
      </c>
      <c r="I1252" s="94" t="str">
        <f t="shared" ref="I1252:J1252" si="1253">if(G1252 = "", , -G1252)</f>
        <v/>
      </c>
      <c r="J1252" s="94" t="str">
        <f t="shared" si="1253"/>
        <v/>
      </c>
      <c r="K1252" s="100"/>
      <c r="M1252" s="100"/>
      <c r="N1252" s="100"/>
      <c r="O1252" s="100"/>
      <c r="P1252" s="100"/>
    </row>
    <row r="1253">
      <c r="A1253" s="107">
        <v>201962.0</v>
      </c>
      <c r="B1253" s="108" t="s">
        <v>85</v>
      </c>
      <c r="C1253" s="108" t="s">
        <v>452</v>
      </c>
      <c r="D1253" s="112" t="s">
        <v>177</v>
      </c>
      <c r="E1253" s="112">
        <v>673.2</v>
      </c>
      <c r="F1253" s="111" t="str">
        <f>DataPull!D1253</f>
        <v/>
      </c>
      <c r="G1253" s="94" t="str">
        <f t="shared" si="2"/>
        <v/>
      </c>
      <c r="H1253" s="94" t="str">
        <f t="shared" si="3"/>
        <v/>
      </c>
      <c r="I1253" s="94" t="str">
        <f t="shared" ref="I1253:J1253" si="1254">if(G1253 = "", , -G1253)</f>
        <v/>
      </c>
      <c r="J1253" s="94" t="str">
        <f t="shared" si="1254"/>
        <v/>
      </c>
      <c r="K1253" s="100"/>
      <c r="M1253" s="100"/>
      <c r="N1253" s="100"/>
      <c r="O1253" s="100"/>
    </row>
    <row r="1254">
      <c r="A1254" s="107">
        <v>201962.0</v>
      </c>
      <c r="B1254" s="108" t="s">
        <v>90</v>
      </c>
      <c r="C1254" s="108" t="s">
        <v>452</v>
      </c>
      <c r="D1254" s="112" t="s">
        <v>187</v>
      </c>
      <c r="E1254" s="112">
        <v>176.4</v>
      </c>
      <c r="F1254" s="111" t="str">
        <f>DataPull!D1254</f>
        <v/>
      </c>
      <c r="G1254" s="94" t="str">
        <f t="shared" si="2"/>
        <v/>
      </c>
      <c r="H1254" s="94" t="str">
        <f t="shared" si="3"/>
        <v/>
      </c>
      <c r="I1254" s="94" t="str">
        <f t="shared" ref="I1254:J1254" si="1255">if(G1254 = "", , -G1254)</f>
        <v/>
      </c>
      <c r="J1254" s="94" t="str">
        <f t="shared" si="1255"/>
        <v/>
      </c>
      <c r="K1254" s="100"/>
      <c r="L1254" s="100"/>
      <c r="M1254" s="100"/>
      <c r="N1254" s="100"/>
      <c r="O1254" s="100"/>
      <c r="P1254" s="100"/>
    </row>
    <row r="1255">
      <c r="A1255" s="107">
        <v>201962.0</v>
      </c>
      <c r="B1255" s="108" t="s">
        <v>92</v>
      </c>
      <c r="C1255" s="108" t="s">
        <v>452</v>
      </c>
      <c r="D1255" s="112" t="s">
        <v>177</v>
      </c>
      <c r="E1255" s="112">
        <v>1262.7</v>
      </c>
      <c r="F1255" s="111" t="str">
        <f>DataPull!D1255</f>
        <v/>
      </c>
      <c r="G1255" s="94" t="str">
        <f t="shared" si="2"/>
        <v/>
      </c>
      <c r="H1255" s="94" t="str">
        <f t="shared" si="3"/>
        <v/>
      </c>
      <c r="I1255" s="94" t="str">
        <f t="shared" ref="I1255:J1255" si="1256">if(G1255 = "", , -G1255)</f>
        <v/>
      </c>
      <c r="J1255" s="94" t="str">
        <f t="shared" si="1256"/>
        <v/>
      </c>
      <c r="K1255" s="100"/>
      <c r="L1255" s="100"/>
      <c r="M1255" s="100"/>
      <c r="N1255" s="100"/>
      <c r="O1255" s="100"/>
      <c r="P1255" s="100"/>
    </row>
    <row r="1256">
      <c r="A1256" s="107">
        <v>201962.0</v>
      </c>
      <c r="B1256" s="108" t="s">
        <v>190</v>
      </c>
      <c r="C1256" s="108" t="s">
        <v>452</v>
      </c>
      <c r="D1256" s="112" t="s">
        <v>177</v>
      </c>
      <c r="E1256" s="112">
        <v>393.6</v>
      </c>
      <c r="F1256" s="111" t="str">
        <f>DataPull!D1256</f>
        <v/>
      </c>
      <c r="G1256" s="94" t="str">
        <f t="shared" si="2"/>
        <v/>
      </c>
      <c r="H1256" s="94" t="str">
        <f t="shared" si="3"/>
        <v/>
      </c>
      <c r="I1256" s="94" t="str">
        <f t="shared" ref="I1256:J1256" si="1257">if(G1256 = "", , -G1256)</f>
        <v/>
      </c>
      <c r="J1256" s="94" t="str">
        <f t="shared" si="1257"/>
        <v/>
      </c>
      <c r="K1256" s="100"/>
      <c r="M1256" s="100"/>
      <c r="N1256" s="100"/>
      <c r="O1256" s="100"/>
      <c r="P1256" s="100"/>
    </row>
    <row r="1257">
      <c r="A1257" s="107">
        <v>201964.0</v>
      </c>
      <c r="B1257" s="108" t="s">
        <v>85</v>
      </c>
      <c r="C1257" s="108" t="s">
        <v>453</v>
      </c>
      <c r="D1257" s="112" t="s">
        <v>187</v>
      </c>
      <c r="E1257" s="112">
        <v>182.7</v>
      </c>
      <c r="F1257" s="111" t="str">
        <f>DataPull!D1257</f>
        <v/>
      </c>
      <c r="G1257" s="94" t="str">
        <f t="shared" si="2"/>
        <v/>
      </c>
      <c r="H1257" s="94" t="str">
        <f t="shared" si="3"/>
        <v/>
      </c>
      <c r="I1257" s="94" t="str">
        <f t="shared" ref="I1257:J1257" si="1258">if(G1257 = "", , -G1257)</f>
        <v/>
      </c>
      <c r="J1257" s="94" t="str">
        <f t="shared" si="1258"/>
        <v/>
      </c>
      <c r="K1257" s="100"/>
      <c r="M1257" s="100"/>
      <c r="N1257" s="100"/>
      <c r="O1257" s="100"/>
      <c r="P1257" s="100"/>
    </row>
    <row r="1258">
      <c r="A1258" s="107">
        <v>201964.0</v>
      </c>
      <c r="B1258" s="108" t="s">
        <v>90</v>
      </c>
      <c r="C1258" s="108" t="s">
        <v>453</v>
      </c>
      <c r="D1258" s="112" t="s">
        <v>187</v>
      </c>
      <c r="E1258" s="112">
        <v>76.0</v>
      </c>
      <c r="F1258" s="111" t="str">
        <f>DataPull!D1258</f>
        <v/>
      </c>
      <c r="G1258" s="94" t="str">
        <f t="shared" si="2"/>
        <v/>
      </c>
      <c r="H1258" s="94" t="str">
        <f t="shared" si="3"/>
        <v/>
      </c>
      <c r="I1258" s="94" t="str">
        <f t="shared" ref="I1258:J1258" si="1259">if(G1258 = "", , -G1258)</f>
        <v/>
      </c>
      <c r="J1258" s="94" t="str">
        <f t="shared" si="1259"/>
        <v/>
      </c>
      <c r="K1258" s="100"/>
      <c r="M1258" s="100"/>
      <c r="N1258" s="100"/>
      <c r="O1258" s="100"/>
      <c r="P1258" s="100"/>
    </row>
    <row r="1259">
      <c r="A1259" s="107">
        <v>201965.0</v>
      </c>
      <c r="B1259" s="108" t="s">
        <v>85</v>
      </c>
      <c r="C1259" s="108" t="s">
        <v>454</v>
      </c>
      <c r="D1259" s="112" t="s">
        <v>177</v>
      </c>
      <c r="E1259" s="112">
        <v>949.0</v>
      </c>
      <c r="F1259" s="111" t="str">
        <f>DataPull!D1259</f>
        <v/>
      </c>
      <c r="G1259" s="94" t="str">
        <f t="shared" si="2"/>
        <v/>
      </c>
      <c r="H1259" s="94" t="str">
        <f t="shared" si="3"/>
        <v/>
      </c>
      <c r="I1259" s="94" t="str">
        <f t="shared" ref="I1259:J1259" si="1260">if(G1259 = "", , -G1259)</f>
        <v/>
      </c>
      <c r="J1259" s="94" t="str">
        <f t="shared" si="1260"/>
        <v/>
      </c>
      <c r="K1259" s="100"/>
      <c r="M1259" s="100"/>
      <c r="N1259" s="100"/>
      <c r="O1259" s="100"/>
      <c r="P1259" s="100"/>
    </row>
    <row r="1260">
      <c r="A1260" s="107">
        <v>201965.0</v>
      </c>
      <c r="B1260" s="108" t="s">
        <v>90</v>
      </c>
      <c r="C1260" s="108" t="s">
        <v>454</v>
      </c>
      <c r="D1260" s="112" t="s">
        <v>187</v>
      </c>
      <c r="E1260" s="112">
        <v>382.5</v>
      </c>
      <c r="F1260" s="111" t="str">
        <f>DataPull!D1260</f>
        <v/>
      </c>
      <c r="G1260" s="94" t="str">
        <f t="shared" si="2"/>
        <v/>
      </c>
      <c r="H1260" s="94" t="str">
        <f t="shared" si="3"/>
        <v/>
      </c>
      <c r="I1260" s="94" t="str">
        <f t="shared" ref="I1260:J1260" si="1261">if(G1260 = "", , -G1260)</f>
        <v/>
      </c>
      <c r="J1260" s="94" t="str">
        <f t="shared" si="1261"/>
        <v/>
      </c>
      <c r="K1260" s="100"/>
      <c r="M1260" s="100"/>
      <c r="N1260" s="100"/>
      <c r="O1260" s="100"/>
      <c r="P1260" s="100"/>
    </row>
    <row r="1261">
      <c r="A1261" s="107">
        <v>201965.0</v>
      </c>
      <c r="B1261" s="108" t="s">
        <v>92</v>
      </c>
      <c r="C1261" s="108" t="s">
        <v>454</v>
      </c>
      <c r="D1261" s="112" t="s">
        <v>187</v>
      </c>
      <c r="E1261" s="112">
        <v>107.1</v>
      </c>
      <c r="F1261" s="111" t="str">
        <f>DataPull!D1261</f>
        <v/>
      </c>
      <c r="G1261" s="94" t="str">
        <f t="shared" si="2"/>
        <v/>
      </c>
      <c r="H1261" s="94" t="str">
        <f t="shared" si="3"/>
        <v/>
      </c>
      <c r="I1261" s="94" t="str">
        <f t="shared" ref="I1261:J1261" si="1262">if(G1261 = "", , -G1261)</f>
        <v/>
      </c>
      <c r="J1261" s="94" t="str">
        <f t="shared" si="1262"/>
        <v/>
      </c>
      <c r="K1261" s="100"/>
      <c r="M1261" s="100"/>
      <c r="N1261" s="100"/>
      <c r="O1261" s="100"/>
    </row>
    <row r="1262">
      <c r="A1262" s="107">
        <v>201967.0</v>
      </c>
      <c r="B1262" s="108" t="s">
        <v>85</v>
      </c>
      <c r="C1262" s="108" t="s">
        <v>455</v>
      </c>
      <c r="D1262" s="112" t="s">
        <v>176</v>
      </c>
      <c r="E1262" s="112">
        <v>1636.2</v>
      </c>
      <c r="F1262" s="111" t="str">
        <f>DataPull!D1262</f>
        <v/>
      </c>
      <c r="G1262" s="94" t="str">
        <f t="shared" si="2"/>
        <v/>
      </c>
      <c r="H1262" s="94" t="str">
        <f t="shared" si="3"/>
        <v/>
      </c>
      <c r="I1262" s="94" t="str">
        <f t="shared" ref="I1262:J1262" si="1263">if(G1262 = "", , -G1262)</f>
        <v/>
      </c>
      <c r="J1262" s="94" t="str">
        <f t="shared" si="1263"/>
        <v/>
      </c>
      <c r="K1262" s="100"/>
      <c r="M1262" s="100"/>
      <c r="N1262" s="100"/>
      <c r="O1262" s="100"/>
      <c r="P1262" s="100"/>
    </row>
    <row r="1263">
      <c r="A1263" s="107">
        <v>201967.0</v>
      </c>
      <c r="B1263" s="108" t="s">
        <v>90</v>
      </c>
      <c r="C1263" s="108" t="s">
        <v>455</v>
      </c>
      <c r="D1263" s="112" t="s">
        <v>176</v>
      </c>
      <c r="E1263" s="112">
        <v>1650.0</v>
      </c>
      <c r="F1263" s="111" t="str">
        <f>DataPull!D1263</f>
        <v/>
      </c>
      <c r="G1263" s="94" t="str">
        <f t="shared" si="2"/>
        <v/>
      </c>
      <c r="H1263" s="94" t="str">
        <f t="shared" si="3"/>
        <v/>
      </c>
      <c r="I1263" s="94" t="str">
        <f t="shared" ref="I1263:J1263" si="1264">if(G1263 = "", , -G1263)</f>
        <v/>
      </c>
      <c r="J1263" s="94" t="str">
        <f t="shared" si="1264"/>
        <v/>
      </c>
      <c r="K1263" s="100"/>
      <c r="M1263" s="100"/>
      <c r="N1263" s="100"/>
      <c r="O1263" s="100"/>
      <c r="P1263" s="100"/>
    </row>
    <row r="1264">
      <c r="A1264" s="107">
        <v>201967.0</v>
      </c>
      <c r="B1264" s="108" t="s">
        <v>92</v>
      </c>
      <c r="C1264" s="108" t="s">
        <v>455</v>
      </c>
      <c r="D1264" s="112" t="s">
        <v>176</v>
      </c>
      <c r="E1264" s="112">
        <v>1968.0</v>
      </c>
      <c r="F1264" s="111" t="str">
        <f>DataPull!D1264</f>
        <v/>
      </c>
      <c r="G1264" s="94" t="str">
        <f t="shared" si="2"/>
        <v/>
      </c>
      <c r="H1264" s="94" t="str">
        <f t="shared" si="3"/>
        <v/>
      </c>
      <c r="I1264" s="94" t="str">
        <f t="shared" ref="I1264:J1264" si="1265">if(G1264 = "", , -G1264)</f>
        <v/>
      </c>
      <c r="J1264" s="94" t="str">
        <f t="shared" si="1265"/>
        <v/>
      </c>
      <c r="K1264" s="100"/>
      <c r="L1264" s="100"/>
      <c r="N1264" s="100"/>
      <c r="O1264" s="100"/>
      <c r="P1264" s="100"/>
    </row>
    <row r="1265">
      <c r="A1265" s="107">
        <v>201967.0</v>
      </c>
      <c r="B1265" s="108" t="s">
        <v>190</v>
      </c>
      <c r="C1265" s="108" t="s">
        <v>455</v>
      </c>
      <c r="D1265" s="112" t="s">
        <v>178</v>
      </c>
      <c r="E1265" s="112">
        <v>1650.0</v>
      </c>
      <c r="F1265" s="111" t="str">
        <f>DataPull!D1265</f>
        <v/>
      </c>
      <c r="G1265" s="94" t="str">
        <f t="shared" si="2"/>
        <v/>
      </c>
      <c r="H1265" s="94" t="str">
        <f t="shared" si="3"/>
        <v/>
      </c>
      <c r="I1265" s="94" t="str">
        <f t="shared" ref="I1265:J1265" si="1266">if(G1265 = "", , -G1265)</f>
        <v/>
      </c>
      <c r="J1265" s="94" t="str">
        <f t="shared" si="1266"/>
        <v/>
      </c>
      <c r="K1265" s="100"/>
      <c r="L1265" s="100"/>
      <c r="N1265" s="100"/>
      <c r="O1265" s="100"/>
      <c r="P1265" s="100"/>
    </row>
    <row r="1266">
      <c r="A1266" s="107">
        <v>201967.0</v>
      </c>
      <c r="B1266" s="108" t="s">
        <v>191</v>
      </c>
      <c r="C1266" s="108" t="s">
        <v>455</v>
      </c>
      <c r="D1266" s="112" t="s">
        <v>176</v>
      </c>
      <c r="E1266" s="112">
        <v>1562.2</v>
      </c>
      <c r="F1266" s="111" t="str">
        <f>DataPull!D1266</f>
        <v/>
      </c>
      <c r="G1266" s="94" t="str">
        <f t="shared" si="2"/>
        <v/>
      </c>
      <c r="H1266" s="94" t="str">
        <f t="shared" si="3"/>
        <v/>
      </c>
      <c r="I1266" s="94" t="str">
        <f t="shared" ref="I1266:J1266" si="1267">if(G1266 = "", , -G1266)</f>
        <v/>
      </c>
      <c r="J1266" s="94" t="str">
        <f t="shared" si="1267"/>
        <v/>
      </c>
      <c r="K1266" s="100"/>
      <c r="M1266" s="100"/>
      <c r="N1266" s="100"/>
      <c r="O1266" s="100"/>
      <c r="P1266" s="100"/>
    </row>
    <row r="1267">
      <c r="A1267" s="107">
        <v>201967.0</v>
      </c>
      <c r="B1267" s="108" t="s">
        <v>192</v>
      </c>
      <c r="C1267" s="108" t="s">
        <v>455</v>
      </c>
      <c r="D1267" s="112" t="s">
        <v>177</v>
      </c>
      <c r="E1267" s="112">
        <v>928.0</v>
      </c>
      <c r="F1267" s="111" t="str">
        <f>DataPull!D1267</f>
        <v/>
      </c>
      <c r="G1267" s="94" t="str">
        <f t="shared" si="2"/>
        <v/>
      </c>
      <c r="H1267" s="94" t="str">
        <f t="shared" si="3"/>
        <v/>
      </c>
      <c r="I1267" s="94" t="str">
        <f t="shared" ref="I1267:J1267" si="1268">if(G1267 = "", , -G1267)</f>
        <v/>
      </c>
      <c r="J1267" s="94" t="str">
        <f t="shared" si="1268"/>
        <v/>
      </c>
      <c r="K1267" s="100"/>
      <c r="M1267" s="100"/>
      <c r="N1267" s="100"/>
      <c r="O1267" s="100"/>
      <c r="P1267" s="100"/>
    </row>
    <row r="1268">
      <c r="A1268" s="107">
        <v>201971.0</v>
      </c>
      <c r="B1268" s="108" t="s">
        <v>85</v>
      </c>
      <c r="C1268" s="108" t="s">
        <v>456</v>
      </c>
      <c r="D1268" s="112" t="s">
        <v>177</v>
      </c>
      <c r="E1268" s="112">
        <v>1216.8</v>
      </c>
      <c r="F1268" s="111" t="str">
        <f>DataPull!D1268</f>
        <v/>
      </c>
      <c r="G1268" s="94" t="str">
        <f t="shared" si="2"/>
        <v/>
      </c>
      <c r="H1268" s="94" t="str">
        <f t="shared" si="3"/>
        <v/>
      </c>
      <c r="I1268" s="94" t="str">
        <f t="shared" ref="I1268:J1268" si="1269">if(G1268 = "", , -G1268)</f>
        <v/>
      </c>
      <c r="J1268" s="94" t="str">
        <f t="shared" si="1269"/>
        <v/>
      </c>
      <c r="K1268" s="100"/>
      <c r="M1268" s="100"/>
      <c r="N1268" s="100"/>
      <c r="O1268" s="100"/>
      <c r="P1268" s="100"/>
    </row>
    <row r="1269">
      <c r="A1269" s="107">
        <v>201971.0</v>
      </c>
      <c r="B1269" s="108" t="s">
        <v>90</v>
      </c>
      <c r="C1269" s="108" t="s">
        <v>456</v>
      </c>
      <c r="D1269" s="112" t="s">
        <v>187</v>
      </c>
      <c r="E1269" s="112">
        <v>179.8</v>
      </c>
      <c r="F1269" s="111" t="str">
        <f>DataPull!D1269</f>
        <v/>
      </c>
      <c r="G1269" s="94" t="str">
        <f t="shared" si="2"/>
        <v/>
      </c>
      <c r="H1269" s="94" t="str">
        <f t="shared" si="3"/>
        <v/>
      </c>
      <c r="I1269" s="94" t="str">
        <f t="shared" ref="I1269:J1269" si="1270">if(G1269 = "", , -G1269)</f>
        <v/>
      </c>
      <c r="J1269" s="94" t="str">
        <f t="shared" si="1270"/>
        <v/>
      </c>
      <c r="K1269" s="100"/>
      <c r="M1269" s="100"/>
      <c r="N1269" s="100"/>
      <c r="O1269" s="100"/>
      <c r="P1269" s="100"/>
    </row>
    <row r="1270">
      <c r="A1270" s="107">
        <v>201971.0</v>
      </c>
      <c r="B1270" s="108" t="s">
        <v>92</v>
      </c>
      <c r="C1270" s="108" t="s">
        <v>456</v>
      </c>
      <c r="D1270" s="112" t="s">
        <v>187</v>
      </c>
      <c r="E1270" s="112">
        <v>217.5</v>
      </c>
      <c r="F1270" s="111" t="str">
        <f>DataPull!D1270</f>
        <v/>
      </c>
      <c r="G1270" s="94" t="str">
        <f t="shared" si="2"/>
        <v/>
      </c>
      <c r="H1270" s="94" t="str">
        <f t="shared" si="3"/>
        <v/>
      </c>
      <c r="I1270" s="94" t="str">
        <f t="shared" ref="I1270:J1270" si="1271">if(G1270 = "", , -G1270)</f>
        <v/>
      </c>
      <c r="J1270" s="94" t="str">
        <f t="shared" si="1271"/>
        <v/>
      </c>
      <c r="K1270" s="100"/>
      <c r="N1270" s="100"/>
      <c r="O1270" s="100"/>
      <c r="P1270" s="100"/>
    </row>
    <row r="1271">
      <c r="A1271" s="107">
        <v>201973.0</v>
      </c>
      <c r="B1271" s="108" t="s">
        <v>85</v>
      </c>
      <c r="C1271" s="108" t="s">
        <v>457</v>
      </c>
      <c r="D1271" s="112" t="s">
        <v>187</v>
      </c>
      <c r="E1271" s="112">
        <v>742.4</v>
      </c>
      <c r="F1271" s="111" t="str">
        <f>DataPull!D1271</f>
        <v/>
      </c>
      <c r="G1271" s="94" t="str">
        <f t="shared" si="2"/>
        <v/>
      </c>
      <c r="H1271" s="94" t="str">
        <f t="shared" si="3"/>
        <v/>
      </c>
      <c r="I1271" s="94" t="str">
        <f t="shared" ref="I1271:J1271" si="1272">if(G1271 = "", , -G1271)</f>
        <v/>
      </c>
      <c r="J1271" s="94" t="str">
        <f t="shared" si="1272"/>
        <v/>
      </c>
      <c r="K1271" s="100"/>
      <c r="M1271" s="100"/>
      <c r="N1271" s="100"/>
      <c r="O1271" s="100"/>
      <c r="P1271" s="100"/>
    </row>
    <row r="1272">
      <c r="A1272" s="107">
        <v>201973.0</v>
      </c>
      <c r="B1272" s="108" t="s">
        <v>90</v>
      </c>
      <c r="C1272" s="108" t="s">
        <v>457</v>
      </c>
      <c r="D1272" s="112" t="s">
        <v>177</v>
      </c>
      <c r="E1272" s="112">
        <v>1230.0</v>
      </c>
      <c r="F1272" s="111" t="str">
        <f>DataPull!D1272</f>
        <v/>
      </c>
      <c r="G1272" s="94" t="str">
        <f t="shared" si="2"/>
        <v/>
      </c>
      <c r="H1272" s="94" t="str">
        <f t="shared" si="3"/>
        <v/>
      </c>
      <c r="I1272" s="94" t="str">
        <f t="shared" ref="I1272:J1272" si="1273">if(G1272 = "", , -G1272)</f>
        <v/>
      </c>
      <c r="J1272" s="94" t="str">
        <f t="shared" si="1273"/>
        <v/>
      </c>
      <c r="K1272" s="100"/>
      <c r="M1272" s="100"/>
      <c r="N1272" s="100"/>
      <c r="O1272" s="100"/>
      <c r="P1272" s="100"/>
    </row>
    <row r="1273">
      <c r="A1273" s="107">
        <v>201973.0</v>
      </c>
      <c r="B1273" s="108" t="s">
        <v>92</v>
      </c>
      <c r="C1273" s="108" t="s">
        <v>457</v>
      </c>
      <c r="D1273" s="112" t="s">
        <v>177</v>
      </c>
      <c r="E1273" s="112">
        <v>1177.8</v>
      </c>
      <c r="F1273" s="111" t="str">
        <f>DataPull!D1273</f>
        <v/>
      </c>
      <c r="G1273" s="94" t="str">
        <f t="shared" si="2"/>
        <v/>
      </c>
      <c r="H1273" s="94" t="str">
        <f t="shared" si="3"/>
        <v/>
      </c>
      <c r="I1273" s="94" t="str">
        <f t="shared" ref="I1273:J1273" si="1274">if(G1273 = "", , -G1273)</f>
        <v/>
      </c>
      <c r="J1273" s="94" t="str">
        <f t="shared" si="1274"/>
        <v/>
      </c>
      <c r="K1273" s="100"/>
      <c r="M1273" s="100"/>
      <c r="N1273" s="100"/>
      <c r="O1273" s="100"/>
      <c r="P1273" s="100"/>
    </row>
    <row r="1274">
      <c r="A1274" s="107">
        <v>201973.0</v>
      </c>
      <c r="B1274" s="108" t="s">
        <v>190</v>
      </c>
      <c r="C1274" s="108" t="s">
        <v>457</v>
      </c>
      <c r="D1274" s="112" t="s">
        <v>177</v>
      </c>
      <c r="E1274" s="112">
        <v>1232.4</v>
      </c>
      <c r="F1274" s="111" t="str">
        <f>DataPull!D1274</f>
        <v/>
      </c>
      <c r="G1274" s="94" t="str">
        <f t="shared" si="2"/>
        <v/>
      </c>
      <c r="H1274" s="94" t="str">
        <f t="shared" si="3"/>
        <v/>
      </c>
      <c r="I1274" s="94" t="str">
        <f t="shared" ref="I1274:J1274" si="1275">if(G1274 = "", , -G1274)</f>
        <v/>
      </c>
      <c r="J1274" s="94" t="str">
        <f t="shared" si="1275"/>
        <v/>
      </c>
      <c r="K1274" s="100"/>
      <c r="M1274" s="100"/>
      <c r="N1274" s="100"/>
      <c r="O1274" s="100"/>
      <c r="P1274" s="100"/>
    </row>
    <row r="1275">
      <c r="A1275" s="107">
        <v>201973.0</v>
      </c>
      <c r="B1275" s="108" t="s">
        <v>191</v>
      </c>
      <c r="C1275" s="108" t="s">
        <v>457</v>
      </c>
      <c r="D1275" s="112" t="s">
        <v>187</v>
      </c>
      <c r="E1275" s="112">
        <v>1132.2</v>
      </c>
      <c r="F1275" s="111" t="str">
        <f>DataPull!D1275</f>
        <v/>
      </c>
      <c r="G1275" s="94" t="str">
        <f t="shared" si="2"/>
        <v/>
      </c>
      <c r="H1275" s="94" t="str">
        <f t="shared" si="3"/>
        <v/>
      </c>
      <c r="I1275" s="94" t="str">
        <f t="shared" ref="I1275:J1275" si="1276">if(G1275 = "", , -G1275)</f>
        <v/>
      </c>
      <c r="J1275" s="94" t="str">
        <f t="shared" si="1276"/>
        <v/>
      </c>
      <c r="K1275" s="100"/>
      <c r="L1275" s="100"/>
      <c r="N1275" s="100"/>
      <c r="O1275" s="100"/>
    </row>
    <row r="1276">
      <c r="A1276" s="107">
        <v>201973.0</v>
      </c>
      <c r="B1276" s="108" t="s">
        <v>192</v>
      </c>
      <c r="C1276" s="108" t="s">
        <v>457</v>
      </c>
      <c r="D1276" s="112" t="s">
        <v>177</v>
      </c>
      <c r="E1276" s="112">
        <v>1219.1</v>
      </c>
      <c r="F1276" s="111" t="str">
        <f>DataPull!D1276</f>
        <v/>
      </c>
      <c r="G1276" s="94" t="str">
        <f t="shared" si="2"/>
        <v/>
      </c>
      <c r="H1276" s="94" t="str">
        <f t="shared" si="3"/>
        <v/>
      </c>
      <c r="I1276" s="94" t="str">
        <f t="shared" ref="I1276:J1276" si="1277">if(G1276 = "", , -G1276)</f>
        <v/>
      </c>
      <c r="J1276" s="94" t="str">
        <f t="shared" si="1277"/>
        <v/>
      </c>
      <c r="K1276" s="100"/>
      <c r="L1276" s="100"/>
      <c r="N1276" s="100"/>
      <c r="O1276" s="100"/>
      <c r="P1276" s="100"/>
    </row>
    <row r="1277">
      <c r="A1277" s="107">
        <v>201975.0</v>
      </c>
      <c r="B1277" s="108" t="s">
        <v>85</v>
      </c>
      <c r="C1277" s="108" t="s">
        <v>458</v>
      </c>
      <c r="D1277" s="112" t="s">
        <v>178</v>
      </c>
      <c r="E1277" s="112">
        <v>2556.4</v>
      </c>
      <c r="F1277" s="111" t="str">
        <f>DataPull!D1277</f>
        <v/>
      </c>
      <c r="G1277" s="94" t="str">
        <f t="shared" si="2"/>
        <v/>
      </c>
      <c r="H1277" s="94" t="str">
        <f t="shared" si="3"/>
        <v/>
      </c>
      <c r="I1277" s="94" t="str">
        <f t="shared" ref="I1277:J1277" si="1278">if(G1277 = "", , -G1277)</f>
        <v/>
      </c>
      <c r="J1277" s="94" t="str">
        <f t="shared" si="1278"/>
        <v/>
      </c>
      <c r="K1277" s="100"/>
      <c r="M1277" s="100"/>
      <c r="N1277" s="100"/>
      <c r="O1277" s="100"/>
      <c r="P1277" s="100"/>
    </row>
    <row r="1278">
      <c r="A1278" s="107">
        <v>201975.0</v>
      </c>
      <c r="B1278" s="108" t="s">
        <v>90</v>
      </c>
      <c r="C1278" s="108" t="s">
        <v>458</v>
      </c>
      <c r="D1278" s="112" t="s">
        <v>176</v>
      </c>
      <c r="E1278" s="112">
        <v>1464.0</v>
      </c>
      <c r="F1278" s="111" t="str">
        <f>DataPull!D1278</f>
        <v/>
      </c>
      <c r="G1278" s="94" t="str">
        <f t="shared" si="2"/>
        <v/>
      </c>
      <c r="H1278" s="94" t="str">
        <f t="shared" si="3"/>
        <v/>
      </c>
      <c r="I1278" s="94" t="str">
        <f t="shared" ref="I1278:J1278" si="1279">if(G1278 = "", , -G1278)</f>
        <v/>
      </c>
      <c r="J1278" s="94" t="str">
        <f t="shared" si="1279"/>
        <v/>
      </c>
      <c r="K1278" s="100"/>
      <c r="M1278" s="100"/>
      <c r="N1278" s="100"/>
      <c r="O1278" s="100"/>
      <c r="P1278" s="100"/>
    </row>
    <row r="1279">
      <c r="A1279" s="107">
        <v>201975.0</v>
      </c>
      <c r="B1279" s="108" t="s">
        <v>92</v>
      </c>
      <c r="C1279" s="108" t="s">
        <v>458</v>
      </c>
      <c r="D1279" s="112" t="s">
        <v>181</v>
      </c>
      <c r="E1279" s="112">
        <v>43.5</v>
      </c>
      <c r="F1279" s="111" t="str">
        <f>DataPull!D1279</f>
        <v/>
      </c>
      <c r="G1279" s="94" t="str">
        <f t="shared" si="2"/>
        <v/>
      </c>
      <c r="H1279" s="94" t="str">
        <f t="shared" si="3"/>
        <v/>
      </c>
      <c r="I1279" s="94" t="str">
        <f t="shared" ref="I1279:J1279" si="1280">if(G1279 = "", , -G1279)</f>
        <v/>
      </c>
      <c r="J1279" s="94" t="str">
        <f t="shared" si="1280"/>
        <v/>
      </c>
      <c r="K1279" s="100"/>
      <c r="L1279" s="100"/>
      <c r="M1279" s="100"/>
      <c r="N1279" s="100"/>
      <c r="O1279" s="100"/>
      <c r="P1279" s="100"/>
    </row>
    <row r="1280">
      <c r="A1280" s="107">
        <v>201975.0</v>
      </c>
      <c r="B1280" s="108" t="s">
        <v>190</v>
      </c>
      <c r="C1280" s="108" t="s">
        <v>458</v>
      </c>
      <c r="D1280" s="112" t="s">
        <v>177</v>
      </c>
      <c r="E1280" s="112">
        <v>738.0</v>
      </c>
      <c r="F1280" s="111" t="str">
        <f>DataPull!D1280</f>
        <v/>
      </c>
      <c r="G1280" s="94" t="str">
        <f t="shared" si="2"/>
        <v/>
      </c>
      <c r="H1280" s="94" t="str">
        <f t="shared" si="3"/>
        <v/>
      </c>
      <c r="I1280" s="94" t="str">
        <f t="shared" ref="I1280:J1280" si="1281">if(G1280 = "", , -G1280)</f>
        <v/>
      </c>
      <c r="J1280" s="94" t="str">
        <f t="shared" si="1281"/>
        <v/>
      </c>
      <c r="K1280" s="100"/>
      <c r="M1280" s="100"/>
      <c r="N1280" s="100"/>
      <c r="O1280" s="100"/>
      <c r="P1280" s="100"/>
    </row>
    <row r="1281">
      <c r="A1281" s="107">
        <v>201975.0</v>
      </c>
      <c r="B1281" s="108" t="s">
        <v>191</v>
      </c>
      <c r="C1281" s="108" t="s">
        <v>458</v>
      </c>
      <c r="D1281" s="112" t="s">
        <v>177</v>
      </c>
      <c r="E1281" s="112">
        <v>1116.5</v>
      </c>
      <c r="F1281" s="111" t="str">
        <f>DataPull!D1281</f>
        <v/>
      </c>
      <c r="G1281" s="94" t="str">
        <f t="shared" si="2"/>
        <v/>
      </c>
      <c r="H1281" s="94" t="str">
        <f t="shared" si="3"/>
        <v/>
      </c>
      <c r="I1281" s="94" t="str">
        <f t="shared" ref="I1281:J1281" si="1282">if(G1281 = "", , -G1281)</f>
        <v/>
      </c>
      <c r="J1281" s="94" t="str">
        <f t="shared" si="1282"/>
        <v/>
      </c>
      <c r="K1281" s="100"/>
      <c r="M1281" s="100"/>
      <c r="N1281" s="100"/>
      <c r="O1281" s="100"/>
      <c r="P1281" s="100"/>
    </row>
    <row r="1282">
      <c r="A1282" s="107">
        <v>201975.0</v>
      </c>
      <c r="B1282" s="108" t="s">
        <v>192</v>
      </c>
      <c r="C1282" s="108" t="s">
        <v>458</v>
      </c>
      <c r="D1282" s="112" t="s">
        <v>181</v>
      </c>
      <c r="E1282" s="112">
        <v>104.0</v>
      </c>
      <c r="F1282" s="111" t="str">
        <f>DataPull!D1282</f>
        <v/>
      </c>
      <c r="G1282" s="94" t="str">
        <f t="shared" si="2"/>
        <v/>
      </c>
      <c r="H1282" s="94" t="str">
        <f t="shared" si="3"/>
        <v/>
      </c>
      <c r="I1282" s="94" t="str">
        <f t="shared" ref="I1282:J1282" si="1283">if(G1282 = "", , -G1282)</f>
        <v/>
      </c>
      <c r="J1282" s="94" t="str">
        <f t="shared" si="1283"/>
        <v/>
      </c>
      <c r="K1282" s="100"/>
      <c r="M1282" s="100"/>
      <c r="N1282" s="100"/>
      <c r="O1282" s="100"/>
      <c r="P1282" s="100"/>
    </row>
    <row r="1283">
      <c r="A1283" s="107">
        <v>201976.0</v>
      </c>
      <c r="B1283" s="108" t="s">
        <v>85</v>
      </c>
      <c r="C1283" s="108" t="s">
        <v>459</v>
      </c>
      <c r="D1283" s="112" t="s">
        <v>178</v>
      </c>
      <c r="E1283" s="112">
        <v>1752.8</v>
      </c>
      <c r="F1283" s="111" t="str">
        <f>DataPull!D1283</f>
        <v/>
      </c>
      <c r="G1283" s="94" t="str">
        <f t="shared" si="2"/>
        <v/>
      </c>
      <c r="H1283" s="94" t="str">
        <f t="shared" si="3"/>
        <v/>
      </c>
      <c r="I1283" s="94" t="str">
        <f t="shared" ref="I1283:J1283" si="1284">if(G1283 = "", , -G1283)</f>
        <v/>
      </c>
      <c r="J1283" s="94" t="str">
        <f t="shared" si="1284"/>
        <v/>
      </c>
      <c r="K1283" s="100"/>
      <c r="N1283" s="100"/>
      <c r="P1283" s="100"/>
    </row>
    <row r="1284">
      <c r="A1284" s="107">
        <v>201976.0</v>
      </c>
      <c r="B1284" s="108" t="s">
        <v>90</v>
      </c>
      <c r="C1284" s="108" t="s">
        <v>459</v>
      </c>
      <c r="D1284" s="112" t="s">
        <v>178</v>
      </c>
      <c r="E1284" s="112">
        <v>1724.8</v>
      </c>
      <c r="F1284" s="111" t="str">
        <f>DataPull!D1284</f>
        <v/>
      </c>
      <c r="G1284" s="94" t="str">
        <f t="shared" si="2"/>
        <v/>
      </c>
      <c r="H1284" s="94" t="str">
        <f t="shared" si="3"/>
        <v/>
      </c>
      <c r="I1284" s="94" t="str">
        <f t="shared" ref="I1284:J1284" si="1285">if(G1284 = "", , -G1284)</f>
        <v/>
      </c>
      <c r="J1284" s="94" t="str">
        <f t="shared" si="1285"/>
        <v/>
      </c>
      <c r="K1284" s="100"/>
      <c r="M1284" s="100"/>
      <c r="N1284" s="100"/>
    </row>
    <row r="1285">
      <c r="A1285" s="107">
        <v>201976.0</v>
      </c>
      <c r="B1285" s="108" t="s">
        <v>92</v>
      </c>
      <c r="C1285" s="108" t="s">
        <v>459</v>
      </c>
      <c r="D1285" s="112" t="s">
        <v>178</v>
      </c>
      <c r="E1285" s="112">
        <v>2037.7</v>
      </c>
      <c r="F1285" s="111" t="str">
        <f>DataPull!D1285</f>
        <v/>
      </c>
      <c r="G1285" s="94" t="str">
        <f t="shared" si="2"/>
        <v/>
      </c>
      <c r="H1285" s="94" t="str">
        <f t="shared" si="3"/>
        <v/>
      </c>
      <c r="I1285" s="94" t="str">
        <f t="shared" ref="I1285:J1285" si="1286">if(G1285 = "", , -G1285)</f>
        <v/>
      </c>
      <c r="J1285" s="94" t="str">
        <f t="shared" si="1286"/>
        <v/>
      </c>
      <c r="K1285" s="100"/>
      <c r="M1285" s="100"/>
      <c r="N1285" s="100"/>
      <c r="O1285" s="100"/>
      <c r="P1285" s="100"/>
    </row>
    <row r="1286">
      <c r="A1286" s="107">
        <v>201976.0</v>
      </c>
      <c r="B1286" s="108" t="s">
        <v>190</v>
      </c>
      <c r="C1286" s="108" t="s">
        <v>459</v>
      </c>
      <c r="D1286" s="112" t="s">
        <v>184</v>
      </c>
      <c r="E1286" s="112">
        <v>2056.9</v>
      </c>
      <c r="F1286" s="111" t="str">
        <f>DataPull!D1286</f>
        <v/>
      </c>
      <c r="G1286" s="94" t="str">
        <f t="shared" si="2"/>
        <v/>
      </c>
      <c r="H1286" s="94" t="str">
        <f t="shared" si="3"/>
        <v/>
      </c>
      <c r="I1286" s="94" t="str">
        <f t="shared" ref="I1286:J1286" si="1287">if(G1286 = "", , -G1286)</f>
        <v/>
      </c>
      <c r="J1286" s="94" t="str">
        <f t="shared" si="1287"/>
        <v/>
      </c>
      <c r="K1286" s="100"/>
      <c r="M1286" s="100"/>
      <c r="N1286" s="100"/>
      <c r="O1286" s="100"/>
      <c r="P1286" s="100"/>
    </row>
    <row r="1287">
      <c r="A1287" s="107">
        <v>201976.0</v>
      </c>
      <c r="B1287" s="108" t="s">
        <v>191</v>
      </c>
      <c r="C1287" s="108" t="s">
        <v>459</v>
      </c>
      <c r="D1287" s="112" t="s">
        <v>176</v>
      </c>
      <c r="E1287" s="112">
        <v>333.3</v>
      </c>
      <c r="F1287" s="111" t="str">
        <f>DataPull!D1287</f>
        <v/>
      </c>
      <c r="G1287" s="94" t="str">
        <f t="shared" si="2"/>
        <v/>
      </c>
      <c r="H1287" s="94" t="str">
        <f t="shared" si="3"/>
        <v/>
      </c>
      <c r="I1287" s="94" t="str">
        <f t="shared" ref="I1287:J1287" si="1288">if(G1287 = "", , -G1287)</f>
        <v/>
      </c>
      <c r="J1287" s="94" t="str">
        <f t="shared" si="1288"/>
        <v/>
      </c>
      <c r="K1287" s="100"/>
      <c r="M1287" s="100"/>
      <c r="N1287" s="100"/>
      <c r="O1287" s="100"/>
      <c r="P1287" s="100"/>
    </row>
    <row r="1288">
      <c r="A1288" s="107">
        <v>201976.0</v>
      </c>
      <c r="B1288" s="108" t="s">
        <v>192</v>
      </c>
      <c r="C1288" s="108" t="s">
        <v>459</v>
      </c>
      <c r="D1288" s="112" t="s">
        <v>184</v>
      </c>
      <c r="E1288" s="112">
        <v>2137.2</v>
      </c>
      <c r="F1288" s="111" t="str">
        <f>DataPull!D1288</f>
        <v/>
      </c>
      <c r="G1288" s="94" t="str">
        <f t="shared" si="2"/>
        <v/>
      </c>
      <c r="H1288" s="94" t="str">
        <f t="shared" si="3"/>
        <v/>
      </c>
      <c r="I1288" s="94" t="str">
        <f t="shared" ref="I1288:J1288" si="1289">if(G1288 = "", , -G1288)</f>
        <v/>
      </c>
      <c r="J1288" s="94" t="str">
        <f t="shared" si="1289"/>
        <v/>
      </c>
      <c r="K1288" s="100"/>
      <c r="M1288" s="100"/>
      <c r="N1288" s="100"/>
      <c r="O1288" s="100"/>
      <c r="P1288" s="100"/>
    </row>
    <row r="1289">
      <c r="A1289" s="107">
        <v>201976.0</v>
      </c>
      <c r="B1289" s="108" t="s">
        <v>193</v>
      </c>
      <c r="C1289" s="108" t="s">
        <v>459</v>
      </c>
      <c r="D1289" s="112" t="s">
        <v>176</v>
      </c>
      <c r="E1289" s="112">
        <v>1341.3</v>
      </c>
      <c r="F1289" s="111" t="str">
        <f>DataPull!D1289</f>
        <v/>
      </c>
      <c r="G1289" s="94" t="str">
        <f t="shared" si="2"/>
        <v/>
      </c>
      <c r="H1289" s="94" t="str">
        <f t="shared" si="3"/>
        <v/>
      </c>
      <c r="I1289" s="94" t="str">
        <f t="shared" ref="I1289:J1289" si="1290">if(G1289 = "", , -G1289)</f>
        <v/>
      </c>
      <c r="J1289" s="94" t="str">
        <f t="shared" si="1290"/>
        <v/>
      </c>
      <c r="K1289" s="100"/>
      <c r="M1289" s="100"/>
      <c r="N1289" s="100"/>
      <c r="O1289" s="100"/>
      <c r="P1289" s="100"/>
    </row>
    <row r="1290">
      <c r="A1290" s="107">
        <v>201976.0</v>
      </c>
      <c r="B1290" s="108" t="s">
        <v>243</v>
      </c>
      <c r="C1290" s="108" t="s">
        <v>459</v>
      </c>
      <c r="D1290" s="112" t="s">
        <v>176</v>
      </c>
      <c r="E1290" s="112">
        <v>832.5</v>
      </c>
      <c r="F1290" s="111" t="str">
        <f>DataPull!D1290</f>
        <v/>
      </c>
      <c r="G1290" s="94" t="str">
        <f t="shared" si="2"/>
        <v/>
      </c>
      <c r="H1290" s="94" t="str">
        <f t="shared" si="3"/>
        <v/>
      </c>
      <c r="I1290" s="94" t="str">
        <f t="shared" ref="I1290:J1290" si="1291">if(G1290 = "", , -G1290)</f>
        <v/>
      </c>
      <c r="J1290" s="94" t="str">
        <f t="shared" si="1291"/>
        <v/>
      </c>
      <c r="K1290" s="100"/>
      <c r="M1290" s="100"/>
      <c r="N1290" s="100"/>
      <c r="O1290" s="100"/>
      <c r="P1290" s="100"/>
    </row>
    <row r="1291">
      <c r="A1291" s="107">
        <v>201976.0</v>
      </c>
      <c r="B1291" s="108" t="s">
        <v>215</v>
      </c>
      <c r="C1291" s="108" t="s">
        <v>459</v>
      </c>
      <c r="D1291" s="112" t="s">
        <v>184</v>
      </c>
      <c r="E1291" s="112">
        <v>1473.2</v>
      </c>
      <c r="F1291" s="111" t="str">
        <f>DataPull!D1291</f>
        <v/>
      </c>
      <c r="G1291" s="94" t="str">
        <f t="shared" si="2"/>
        <v/>
      </c>
      <c r="H1291" s="94" t="str">
        <f t="shared" si="3"/>
        <v/>
      </c>
      <c r="I1291" s="94" t="str">
        <f t="shared" ref="I1291:J1291" si="1292">if(G1291 = "", , -G1291)</f>
        <v/>
      </c>
      <c r="J1291" s="94" t="str">
        <f t="shared" si="1292"/>
        <v/>
      </c>
      <c r="K1291" s="100"/>
      <c r="M1291" s="100"/>
      <c r="N1291" s="100"/>
      <c r="O1291" s="100"/>
      <c r="P1291" s="100"/>
    </row>
    <row r="1292">
      <c r="A1292" s="107">
        <v>201976.0</v>
      </c>
      <c r="B1292" s="108" t="s">
        <v>244</v>
      </c>
      <c r="C1292" s="108" t="s">
        <v>459</v>
      </c>
      <c r="D1292" s="112" t="s">
        <v>176</v>
      </c>
      <c r="E1292" s="112">
        <v>1815.7</v>
      </c>
      <c r="F1292" s="111" t="str">
        <f>DataPull!D1292</f>
        <v/>
      </c>
      <c r="G1292" s="94" t="str">
        <f t="shared" si="2"/>
        <v/>
      </c>
      <c r="H1292" s="94" t="str">
        <f t="shared" si="3"/>
        <v/>
      </c>
      <c r="I1292" s="94" t="str">
        <f t="shared" ref="I1292:J1292" si="1293">if(G1292 = "", , -G1292)</f>
        <v/>
      </c>
      <c r="J1292" s="94" t="str">
        <f t="shared" si="1293"/>
        <v/>
      </c>
      <c r="K1292" s="100"/>
      <c r="M1292" s="100"/>
      <c r="N1292" s="100"/>
      <c r="O1292" s="100"/>
      <c r="P1292" s="100"/>
    </row>
    <row r="1293">
      <c r="A1293" s="107">
        <v>201976.0</v>
      </c>
      <c r="B1293" s="108" t="s">
        <v>245</v>
      </c>
      <c r="C1293" s="108" t="s">
        <v>459</v>
      </c>
      <c r="D1293" s="112" t="s">
        <v>177</v>
      </c>
      <c r="E1293" s="112">
        <v>1460.0</v>
      </c>
      <c r="F1293" s="111" t="str">
        <f>DataPull!D1293</f>
        <v/>
      </c>
      <c r="G1293" s="94" t="str">
        <f t="shared" si="2"/>
        <v/>
      </c>
      <c r="H1293" s="94" t="str">
        <f t="shared" si="3"/>
        <v/>
      </c>
      <c r="I1293" s="94" t="str">
        <f t="shared" ref="I1293:J1293" si="1294">if(G1293 = "", , -G1293)</f>
        <v/>
      </c>
      <c r="J1293" s="94" t="str">
        <f t="shared" si="1294"/>
        <v/>
      </c>
      <c r="K1293" s="100"/>
      <c r="M1293" s="100"/>
      <c r="N1293" s="100"/>
      <c r="O1293" s="100"/>
      <c r="P1293" s="100"/>
    </row>
    <row r="1294">
      <c r="A1294" s="107">
        <v>201977.0</v>
      </c>
      <c r="B1294" s="108" t="s">
        <v>85</v>
      </c>
      <c r="C1294" s="108" t="s">
        <v>460</v>
      </c>
      <c r="D1294" s="112" t="s">
        <v>176</v>
      </c>
      <c r="E1294" s="112">
        <v>1742.4</v>
      </c>
      <c r="F1294" s="111" t="str">
        <f>DataPull!D1294</f>
        <v/>
      </c>
      <c r="G1294" s="94" t="str">
        <f t="shared" si="2"/>
        <v/>
      </c>
      <c r="H1294" s="94" t="str">
        <f t="shared" si="3"/>
        <v/>
      </c>
      <c r="I1294" s="94" t="str">
        <f t="shared" ref="I1294:J1294" si="1295">if(G1294 = "", , -G1294)</f>
        <v/>
      </c>
      <c r="J1294" s="94" t="str">
        <f t="shared" si="1295"/>
        <v/>
      </c>
      <c r="K1294" s="100"/>
      <c r="M1294" s="100"/>
      <c r="N1294" s="100"/>
      <c r="O1294" s="100"/>
      <c r="P1294" s="100"/>
    </row>
    <row r="1295">
      <c r="A1295" s="107">
        <v>201977.0</v>
      </c>
      <c r="B1295" s="108" t="s">
        <v>90</v>
      </c>
      <c r="C1295" s="108" t="s">
        <v>460</v>
      </c>
      <c r="D1295" s="112" t="s">
        <v>177</v>
      </c>
      <c r="E1295" s="112">
        <v>720.0</v>
      </c>
      <c r="F1295" s="111" t="str">
        <f>DataPull!D1295</f>
        <v/>
      </c>
      <c r="G1295" s="94" t="str">
        <f t="shared" si="2"/>
        <v/>
      </c>
      <c r="H1295" s="94" t="str">
        <f t="shared" si="3"/>
        <v/>
      </c>
      <c r="I1295" s="94" t="str">
        <f t="shared" ref="I1295:J1295" si="1296">if(G1295 = "", , -G1295)</f>
        <v/>
      </c>
      <c r="J1295" s="94" t="str">
        <f t="shared" si="1296"/>
        <v/>
      </c>
      <c r="K1295" s="100"/>
      <c r="L1295" s="100"/>
      <c r="M1295" s="100"/>
      <c r="N1295" s="100"/>
      <c r="O1295" s="100"/>
      <c r="P1295" s="100"/>
    </row>
    <row r="1296">
      <c r="A1296" s="107">
        <v>201977.0</v>
      </c>
      <c r="B1296" s="108" t="s">
        <v>92</v>
      </c>
      <c r="C1296" s="108" t="s">
        <v>460</v>
      </c>
      <c r="D1296" s="112" t="s">
        <v>177</v>
      </c>
      <c r="E1296" s="112">
        <v>1110.2</v>
      </c>
      <c r="F1296" s="111" t="str">
        <f>DataPull!D1296</f>
        <v/>
      </c>
      <c r="G1296" s="94" t="str">
        <f t="shared" si="2"/>
        <v/>
      </c>
      <c r="H1296" s="94" t="str">
        <f t="shared" si="3"/>
        <v/>
      </c>
      <c r="I1296" s="94" t="str">
        <f t="shared" ref="I1296:J1296" si="1297">if(G1296 = "", , -G1296)</f>
        <v/>
      </c>
      <c r="J1296" s="94" t="str">
        <f t="shared" si="1297"/>
        <v/>
      </c>
      <c r="K1296" s="100"/>
      <c r="M1296" s="100"/>
      <c r="N1296" s="100"/>
      <c r="O1296" s="100"/>
      <c r="P1296" s="100"/>
    </row>
    <row r="1297">
      <c r="A1297" s="107">
        <v>201977.0</v>
      </c>
      <c r="B1297" s="108" t="s">
        <v>190</v>
      </c>
      <c r="C1297" s="108" t="s">
        <v>460</v>
      </c>
      <c r="D1297" s="112" t="s">
        <v>177</v>
      </c>
      <c r="E1297" s="112">
        <v>574.2</v>
      </c>
      <c r="F1297" s="111" t="str">
        <f>DataPull!D1297</f>
        <v/>
      </c>
      <c r="G1297" s="94" t="str">
        <f t="shared" si="2"/>
        <v/>
      </c>
      <c r="H1297" s="94" t="str">
        <f t="shared" si="3"/>
        <v/>
      </c>
      <c r="I1297" s="94" t="str">
        <f t="shared" ref="I1297:J1297" si="1298">if(G1297 = "", , -G1297)</f>
        <v/>
      </c>
      <c r="J1297" s="94" t="str">
        <f t="shared" si="1298"/>
        <v/>
      </c>
      <c r="K1297" s="100"/>
      <c r="L1297" s="100"/>
      <c r="M1297" s="100"/>
      <c r="N1297" s="100"/>
      <c r="O1297" s="100"/>
      <c r="P1297" s="100"/>
    </row>
    <row r="1298">
      <c r="A1298" s="107">
        <v>201978.0</v>
      </c>
      <c r="B1298" s="108" t="s">
        <v>85</v>
      </c>
      <c r="C1298" s="108" t="s">
        <v>461</v>
      </c>
      <c r="D1298" s="112" t="s">
        <v>177</v>
      </c>
      <c r="E1298" s="112">
        <v>750.3</v>
      </c>
      <c r="F1298" s="111" t="str">
        <f>DataPull!D1298</f>
        <v/>
      </c>
      <c r="G1298" s="94" t="str">
        <f t="shared" si="2"/>
        <v/>
      </c>
      <c r="H1298" s="94" t="str">
        <f t="shared" si="3"/>
        <v/>
      </c>
      <c r="I1298" s="94" t="str">
        <f t="shared" ref="I1298:J1298" si="1299">if(G1298 = "", , -G1298)</f>
        <v/>
      </c>
      <c r="J1298" s="94" t="str">
        <f t="shared" si="1299"/>
        <v/>
      </c>
      <c r="K1298" s="100"/>
      <c r="M1298" s="100"/>
      <c r="N1298" s="100"/>
      <c r="O1298" s="100"/>
      <c r="P1298" s="100"/>
    </row>
    <row r="1299">
      <c r="A1299" s="107">
        <v>201978.0</v>
      </c>
      <c r="B1299" s="108" t="s">
        <v>90</v>
      </c>
      <c r="C1299" s="108" t="s">
        <v>461</v>
      </c>
      <c r="D1299" s="112" t="s">
        <v>177</v>
      </c>
      <c r="E1299" s="112">
        <v>1286.4</v>
      </c>
      <c r="F1299" s="111" t="str">
        <f>DataPull!D1299</f>
        <v/>
      </c>
      <c r="G1299" s="94" t="str">
        <f t="shared" si="2"/>
        <v/>
      </c>
      <c r="H1299" s="94" t="str">
        <f t="shared" si="3"/>
        <v/>
      </c>
      <c r="I1299" s="94" t="str">
        <f t="shared" ref="I1299:J1299" si="1300">if(G1299 = "", , -G1299)</f>
        <v/>
      </c>
      <c r="J1299" s="94" t="str">
        <f t="shared" si="1300"/>
        <v/>
      </c>
      <c r="K1299" s="100"/>
      <c r="M1299" s="100"/>
      <c r="N1299" s="100"/>
      <c r="O1299" s="100"/>
      <c r="P1299" s="100"/>
    </row>
    <row r="1300">
      <c r="A1300" s="107">
        <v>201978.0</v>
      </c>
      <c r="B1300" s="108" t="s">
        <v>92</v>
      </c>
      <c r="C1300" s="108" t="s">
        <v>461</v>
      </c>
      <c r="D1300" s="112" t="s">
        <v>177</v>
      </c>
      <c r="E1300" s="112">
        <v>930.6</v>
      </c>
      <c r="F1300" s="111" t="str">
        <f>DataPull!D1300</f>
        <v/>
      </c>
      <c r="G1300" s="94" t="str">
        <f t="shared" si="2"/>
        <v/>
      </c>
      <c r="H1300" s="94" t="str">
        <f t="shared" si="3"/>
        <v/>
      </c>
      <c r="I1300" s="94" t="str">
        <f t="shared" ref="I1300:J1300" si="1301">if(G1300 = "", , -G1300)</f>
        <v/>
      </c>
      <c r="J1300" s="94" t="str">
        <f t="shared" si="1301"/>
        <v/>
      </c>
      <c r="K1300" s="100"/>
      <c r="L1300" s="100"/>
      <c r="N1300" s="100"/>
      <c r="O1300" s="100"/>
      <c r="P1300" s="100"/>
    </row>
    <row r="1301">
      <c r="A1301" s="107">
        <v>201979.0</v>
      </c>
      <c r="B1301" s="108" t="s">
        <v>85</v>
      </c>
      <c r="C1301" s="108" t="s">
        <v>462</v>
      </c>
      <c r="D1301" s="112" t="s">
        <v>177</v>
      </c>
      <c r="E1301" s="112">
        <v>1171.5</v>
      </c>
      <c r="F1301" s="111" t="str">
        <f>DataPull!D1301</f>
        <v/>
      </c>
      <c r="G1301" s="94" t="str">
        <f t="shared" si="2"/>
        <v/>
      </c>
      <c r="H1301" s="94" t="str">
        <f t="shared" si="3"/>
        <v/>
      </c>
      <c r="I1301" s="94" t="str">
        <f t="shared" ref="I1301:J1301" si="1302">if(G1301 = "", , -G1301)</f>
        <v/>
      </c>
      <c r="J1301" s="94" t="str">
        <f t="shared" si="1302"/>
        <v/>
      </c>
      <c r="K1301" s="100"/>
      <c r="M1301" s="100"/>
      <c r="N1301" s="100"/>
      <c r="O1301" s="100"/>
      <c r="P1301" s="100"/>
    </row>
    <row r="1302">
      <c r="A1302" s="107">
        <v>201979.0</v>
      </c>
      <c r="B1302" s="108" t="s">
        <v>90</v>
      </c>
      <c r="C1302" s="108" t="s">
        <v>462</v>
      </c>
      <c r="D1302" s="112" t="s">
        <v>177</v>
      </c>
      <c r="E1302" s="112">
        <v>835.2</v>
      </c>
      <c r="F1302" s="111" t="str">
        <f>DataPull!D1302</f>
        <v/>
      </c>
      <c r="G1302" s="94" t="str">
        <f t="shared" si="2"/>
        <v/>
      </c>
      <c r="H1302" s="94" t="str">
        <f t="shared" si="3"/>
        <v/>
      </c>
      <c r="I1302" s="94" t="str">
        <f t="shared" ref="I1302:J1302" si="1303">if(G1302 = "", , -G1302)</f>
        <v/>
      </c>
      <c r="J1302" s="94" t="str">
        <f t="shared" si="1303"/>
        <v/>
      </c>
      <c r="K1302" s="100"/>
      <c r="M1302" s="100"/>
      <c r="N1302" s="100"/>
      <c r="O1302" s="100"/>
      <c r="P1302" s="100"/>
    </row>
    <row r="1303">
      <c r="A1303" s="107">
        <v>201980.0</v>
      </c>
      <c r="B1303" s="108" t="s">
        <v>85</v>
      </c>
      <c r="C1303" s="108" t="s">
        <v>463</v>
      </c>
      <c r="D1303" s="112" t="s">
        <v>176</v>
      </c>
      <c r="E1303" s="112">
        <v>1652.4</v>
      </c>
      <c r="F1303" s="111" t="str">
        <f>DataPull!D1303</f>
        <v/>
      </c>
      <c r="G1303" s="94" t="str">
        <f t="shared" si="2"/>
        <v/>
      </c>
      <c r="H1303" s="94" t="str">
        <f t="shared" si="3"/>
        <v/>
      </c>
      <c r="I1303" s="94" t="str">
        <f t="shared" ref="I1303:J1303" si="1304">if(G1303 = "", , -G1303)</f>
        <v/>
      </c>
      <c r="J1303" s="94" t="str">
        <f t="shared" si="1304"/>
        <v/>
      </c>
      <c r="K1303" s="100"/>
      <c r="M1303" s="100"/>
      <c r="N1303" s="100"/>
      <c r="O1303" s="100"/>
      <c r="P1303" s="100"/>
    </row>
    <row r="1304">
      <c r="A1304" s="107">
        <v>201980.0</v>
      </c>
      <c r="B1304" s="108" t="s">
        <v>90</v>
      </c>
      <c r="C1304" s="108" t="s">
        <v>463</v>
      </c>
      <c r="D1304" s="112" t="s">
        <v>184</v>
      </c>
      <c r="E1304" s="112">
        <v>2308.5</v>
      </c>
      <c r="F1304" s="111" t="str">
        <f>DataPull!D1304</f>
        <v/>
      </c>
      <c r="G1304" s="94" t="str">
        <f t="shared" si="2"/>
        <v/>
      </c>
      <c r="H1304" s="94" t="str">
        <f t="shared" si="3"/>
        <v/>
      </c>
      <c r="I1304" s="94" t="str">
        <f t="shared" ref="I1304:J1304" si="1305">if(G1304 = "", , -G1304)</f>
        <v/>
      </c>
      <c r="J1304" s="94" t="str">
        <f t="shared" si="1305"/>
        <v/>
      </c>
      <c r="K1304" s="100"/>
      <c r="M1304" s="100"/>
      <c r="N1304" s="100"/>
      <c r="O1304" s="100"/>
      <c r="P1304" s="100"/>
    </row>
    <row r="1305">
      <c r="A1305" s="107">
        <v>201980.0</v>
      </c>
      <c r="B1305" s="108" t="s">
        <v>92</v>
      </c>
      <c r="C1305" s="108" t="s">
        <v>463</v>
      </c>
      <c r="D1305" s="112" t="s">
        <v>184</v>
      </c>
      <c r="E1305" s="112">
        <v>2061.9</v>
      </c>
      <c r="F1305" s="111" t="str">
        <f>DataPull!D1305</f>
        <v/>
      </c>
      <c r="G1305" s="94" t="str">
        <f t="shared" si="2"/>
        <v/>
      </c>
      <c r="H1305" s="94" t="str">
        <f t="shared" si="3"/>
        <v/>
      </c>
      <c r="I1305" s="94" t="str">
        <f t="shared" ref="I1305:J1305" si="1306">if(G1305 = "", , -G1305)</f>
        <v/>
      </c>
      <c r="J1305" s="94" t="str">
        <f t="shared" si="1306"/>
        <v/>
      </c>
      <c r="K1305" s="100"/>
      <c r="L1305" s="100"/>
      <c r="M1305" s="100"/>
      <c r="N1305" s="100"/>
      <c r="O1305" s="100"/>
      <c r="P1305" s="100"/>
    </row>
    <row r="1306">
      <c r="A1306" s="107">
        <v>201980.0</v>
      </c>
      <c r="B1306" s="108" t="s">
        <v>190</v>
      </c>
      <c r="C1306" s="108" t="s">
        <v>463</v>
      </c>
      <c r="D1306" s="112" t="s">
        <v>178</v>
      </c>
      <c r="E1306" s="112">
        <v>1808.8</v>
      </c>
      <c r="F1306" s="111" t="str">
        <f>DataPull!D1306</f>
        <v/>
      </c>
      <c r="G1306" s="94" t="str">
        <f t="shared" si="2"/>
        <v/>
      </c>
      <c r="H1306" s="94" t="str">
        <f t="shared" si="3"/>
        <v/>
      </c>
      <c r="I1306" s="94" t="str">
        <f t="shared" ref="I1306:J1306" si="1307">if(G1306 = "", , -G1306)</f>
        <v/>
      </c>
      <c r="J1306" s="94" t="str">
        <f t="shared" si="1307"/>
        <v/>
      </c>
      <c r="K1306" s="100"/>
      <c r="L1306" s="100"/>
      <c r="N1306" s="100"/>
      <c r="O1306" s="100"/>
      <c r="P1306" s="100"/>
    </row>
    <row r="1307">
      <c r="A1307" s="107">
        <v>201980.0</v>
      </c>
      <c r="B1307" s="108" t="s">
        <v>191</v>
      </c>
      <c r="C1307" s="108" t="s">
        <v>463</v>
      </c>
      <c r="D1307" s="112" t="s">
        <v>178</v>
      </c>
      <c r="E1307" s="112">
        <v>1792.0</v>
      </c>
      <c r="F1307" s="111" t="str">
        <f>DataPull!D1307</f>
        <v/>
      </c>
      <c r="G1307" s="94" t="str">
        <f t="shared" si="2"/>
        <v/>
      </c>
      <c r="H1307" s="94" t="str">
        <f t="shared" si="3"/>
        <v/>
      </c>
      <c r="I1307" s="94" t="str">
        <f t="shared" ref="I1307:J1307" si="1308">if(G1307 = "", , -G1307)</f>
        <v/>
      </c>
      <c r="J1307" s="94" t="str">
        <f t="shared" si="1308"/>
        <v/>
      </c>
      <c r="K1307" s="100"/>
      <c r="M1307" s="100"/>
      <c r="N1307" s="100"/>
      <c r="O1307" s="100"/>
      <c r="P1307" s="100"/>
    </row>
    <row r="1308">
      <c r="A1308" s="107">
        <v>201980.0</v>
      </c>
      <c r="B1308" s="108" t="s">
        <v>192</v>
      </c>
      <c r="C1308" s="108" t="s">
        <v>463</v>
      </c>
      <c r="D1308" s="112" t="s">
        <v>178</v>
      </c>
      <c r="E1308" s="112">
        <v>2216.0</v>
      </c>
      <c r="F1308" s="111" t="str">
        <f>DataPull!D1308</f>
        <v/>
      </c>
      <c r="G1308" s="94" t="str">
        <f t="shared" si="2"/>
        <v/>
      </c>
      <c r="H1308" s="94" t="str">
        <f t="shared" si="3"/>
        <v/>
      </c>
      <c r="I1308" s="94" t="str">
        <f t="shared" ref="I1308:J1308" si="1309">if(G1308 = "", , -G1308)</f>
        <v/>
      </c>
      <c r="J1308" s="94" t="str">
        <f t="shared" si="1309"/>
        <v/>
      </c>
      <c r="K1308" s="100"/>
      <c r="M1308" s="100"/>
      <c r="N1308" s="100"/>
      <c r="O1308" s="100"/>
      <c r="P1308" s="100"/>
    </row>
    <row r="1309">
      <c r="A1309" s="107">
        <v>201980.0</v>
      </c>
      <c r="B1309" s="108" t="s">
        <v>193</v>
      </c>
      <c r="C1309" s="108" t="s">
        <v>463</v>
      </c>
      <c r="D1309" s="112" t="s">
        <v>178</v>
      </c>
      <c r="E1309" s="112">
        <v>1686.4</v>
      </c>
      <c r="F1309" s="111" t="str">
        <f>DataPull!D1309</f>
        <v/>
      </c>
      <c r="G1309" s="94" t="str">
        <f t="shared" si="2"/>
        <v/>
      </c>
      <c r="H1309" s="94" t="str">
        <f t="shared" si="3"/>
        <v/>
      </c>
      <c r="I1309" s="94" t="str">
        <f t="shared" ref="I1309:J1309" si="1310">if(G1309 = "", , -G1309)</f>
        <v/>
      </c>
      <c r="J1309" s="94" t="str">
        <f t="shared" si="1310"/>
        <v/>
      </c>
      <c r="K1309" s="100"/>
      <c r="M1309" s="100"/>
      <c r="N1309" s="100"/>
      <c r="O1309" s="100"/>
      <c r="P1309" s="100"/>
    </row>
    <row r="1310">
      <c r="A1310" s="107">
        <v>201980.0</v>
      </c>
      <c r="B1310" s="108" t="s">
        <v>243</v>
      </c>
      <c r="C1310" s="108" t="s">
        <v>463</v>
      </c>
      <c r="D1310" s="112" t="s">
        <v>178</v>
      </c>
      <c r="E1310" s="112">
        <v>1932.0</v>
      </c>
      <c r="F1310" s="111" t="str">
        <f>DataPull!D1310</f>
        <v/>
      </c>
      <c r="G1310" s="94" t="str">
        <f t="shared" si="2"/>
        <v/>
      </c>
      <c r="H1310" s="94" t="str">
        <f t="shared" si="3"/>
        <v/>
      </c>
      <c r="I1310" s="94" t="str">
        <f t="shared" ref="I1310:J1310" si="1311">if(G1310 = "", , -G1310)</f>
        <v/>
      </c>
      <c r="J1310" s="94" t="str">
        <f t="shared" si="1311"/>
        <v/>
      </c>
      <c r="K1310" s="100"/>
      <c r="M1310" s="100"/>
      <c r="N1310" s="100"/>
      <c r="O1310" s="100"/>
      <c r="P1310" s="100"/>
    </row>
    <row r="1311">
      <c r="A1311" s="107">
        <v>201980.0</v>
      </c>
      <c r="B1311" s="108" t="s">
        <v>215</v>
      </c>
      <c r="C1311" s="108" t="s">
        <v>463</v>
      </c>
      <c r="D1311" s="112" t="s">
        <v>177</v>
      </c>
      <c r="E1311" s="112">
        <v>1351.6</v>
      </c>
      <c r="F1311" s="111" t="str">
        <f>DataPull!D1311</f>
        <v/>
      </c>
      <c r="G1311" s="94" t="str">
        <f t="shared" si="2"/>
        <v/>
      </c>
      <c r="H1311" s="94" t="str">
        <f t="shared" si="3"/>
        <v/>
      </c>
      <c r="I1311" s="94" t="str">
        <f t="shared" ref="I1311:J1311" si="1312">if(G1311 = "", , -G1311)</f>
        <v/>
      </c>
      <c r="J1311" s="94" t="str">
        <f t="shared" si="1312"/>
        <v/>
      </c>
      <c r="K1311" s="100"/>
      <c r="M1311" s="100"/>
      <c r="N1311" s="100"/>
      <c r="O1311" s="100"/>
      <c r="P1311" s="100"/>
    </row>
    <row r="1312">
      <c r="A1312" s="107">
        <v>201980.0</v>
      </c>
      <c r="B1312" s="108" t="s">
        <v>244</v>
      </c>
      <c r="C1312" s="108" t="s">
        <v>463</v>
      </c>
      <c r="D1312" s="112" t="s">
        <v>181</v>
      </c>
      <c r="E1312" s="112">
        <v>138.6</v>
      </c>
      <c r="F1312" s="111" t="str">
        <f>DataPull!D1312</f>
        <v/>
      </c>
      <c r="G1312" s="94" t="str">
        <f t="shared" si="2"/>
        <v/>
      </c>
      <c r="H1312" s="94" t="str">
        <f t="shared" si="3"/>
        <v/>
      </c>
      <c r="I1312" s="94" t="str">
        <f t="shared" ref="I1312:J1312" si="1313">if(G1312 = "", , -G1312)</f>
        <v/>
      </c>
      <c r="J1312" s="94" t="str">
        <f t="shared" si="1313"/>
        <v/>
      </c>
      <c r="K1312" s="100"/>
      <c r="M1312" s="100"/>
      <c r="N1312" s="100"/>
      <c r="O1312" s="100"/>
      <c r="P1312" s="100"/>
    </row>
    <row r="1313">
      <c r="A1313" s="107">
        <v>201980.0</v>
      </c>
      <c r="B1313" s="108" t="s">
        <v>245</v>
      </c>
      <c r="C1313" s="108" t="s">
        <v>463</v>
      </c>
      <c r="D1313" s="112" t="s">
        <v>181</v>
      </c>
      <c r="E1313" s="112">
        <v>18.4</v>
      </c>
      <c r="F1313" s="111" t="str">
        <f>DataPull!D1313</f>
        <v/>
      </c>
      <c r="G1313" s="94" t="str">
        <f t="shared" si="2"/>
        <v/>
      </c>
      <c r="H1313" s="94" t="str">
        <f t="shared" si="3"/>
        <v/>
      </c>
      <c r="I1313" s="94" t="str">
        <f t="shared" ref="I1313:J1313" si="1314">if(G1313 = "", , -G1313)</f>
        <v/>
      </c>
      <c r="J1313" s="94" t="str">
        <f t="shared" si="1314"/>
        <v/>
      </c>
      <c r="K1313" s="100"/>
      <c r="L1313" s="100"/>
      <c r="N1313" s="100"/>
      <c r="O1313" s="100"/>
      <c r="P1313" s="100"/>
    </row>
    <row r="1314">
      <c r="A1314" s="107">
        <v>201985.0</v>
      </c>
      <c r="B1314" s="108" t="s">
        <v>85</v>
      </c>
      <c r="C1314" s="108" t="s">
        <v>464</v>
      </c>
      <c r="D1314" s="112" t="s">
        <v>187</v>
      </c>
      <c r="E1314" s="112">
        <v>98.0</v>
      </c>
      <c r="F1314" s="111" t="str">
        <f>DataPull!D1314</f>
        <v/>
      </c>
      <c r="G1314" s="94" t="str">
        <f t="shared" si="2"/>
        <v/>
      </c>
      <c r="H1314" s="94" t="str">
        <f t="shared" si="3"/>
        <v/>
      </c>
      <c r="I1314" s="94" t="str">
        <f t="shared" ref="I1314:J1314" si="1315">if(G1314 = "", , -G1314)</f>
        <v/>
      </c>
      <c r="J1314" s="94" t="str">
        <f t="shared" si="1315"/>
        <v/>
      </c>
      <c r="K1314" s="100"/>
      <c r="M1314" s="100"/>
      <c r="N1314" s="100"/>
      <c r="O1314" s="100"/>
      <c r="P1314" s="100"/>
    </row>
    <row r="1315">
      <c r="A1315" s="107">
        <v>201985.0</v>
      </c>
      <c r="B1315" s="108" t="s">
        <v>90</v>
      </c>
      <c r="C1315" s="108" t="s">
        <v>464</v>
      </c>
      <c r="D1315" s="112" t="s">
        <v>187</v>
      </c>
      <c r="E1315" s="112">
        <v>322.4</v>
      </c>
      <c r="F1315" s="111" t="str">
        <f>DataPull!D1315</f>
        <v/>
      </c>
      <c r="G1315" s="94" t="str">
        <f t="shared" si="2"/>
        <v/>
      </c>
      <c r="H1315" s="94" t="str">
        <f t="shared" si="3"/>
        <v/>
      </c>
      <c r="I1315" s="94" t="str">
        <f t="shared" ref="I1315:J1315" si="1316">if(G1315 = "", , -G1315)</f>
        <v/>
      </c>
      <c r="J1315" s="94" t="str">
        <f t="shared" si="1316"/>
        <v/>
      </c>
      <c r="K1315" s="100"/>
      <c r="M1315" s="100"/>
      <c r="N1315" s="100"/>
      <c r="O1315" s="100"/>
      <c r="P1315" s="100"/>
    </row>
    <row r="1316">
      <c r="A1316" s="107">
        <v>201986.0</v>
      </c>
      <c r="B1316" s="108" t="s">
        <v>85</v>
      </c>
      <c r="C1316" s="108" t="s">
        <v>465</v>
      </c>
      <c r="D1316" s="112" t="s">
        <v>177</v>
      </c>
      <c r="E1316" s="112">
        <v>493.5</v>
      </c>
      <c r="F1316" s="111" t="str">
        <f>DataPull!D1316</f>
        <v/>
      </c>
      <c r="G1316" s="94" t="str">
        <f t="shared" si="2"/>
        <v/>
      </c>
      <c r="H1316" s="94" t="str">
        <f t="shared" si="3"/>
        <v/>
      </c>
      <c r="I1316" s="94" t="str">
        <f t="shared" ref="I1316:J1316" si="1317">if(G1316 = "", , -G1316)</f>
        <v/>
      </c>
      <c r="J1316" s="94" t="str">
        <f t="shared" si="1317"/>
        <v/>
      </c>
      <c r="K1316" s="100"/>
      <c r="L1316" s="100"/>
      <c r="N1316" s="100"/>
      <c r="O1316" s="100"/>
      <c r="P1316" s="100"/>
    </row>
    <row r="1317">
      <c r="A1317" s="107">
        <v>201988.0</v>
      </c>
      <c r="B1317" s="108" t="s">
        <v>85</v>
      </c>
      <c r="C1317" s="108" t="s">
        <v>466</v>
      </c>
      <c r="D1317" s="112" t="s">
        <v>176</v>
      </c>
      <c r="E1317" s="112">
        <v>1530.9</v>
      </c>
      <c r="F1317" s="111" t="str">
        <f>DataPull!D1317</f>
        <v/>
      </c>
      <c r="G1317" s="94" t="str">
        <f t="shared" si="2"/>
        <v/>
      </c>
      <c r="H1317" s="94" t="str">
        <f t="shared" si="3"/>
        <v/>
      </c>
      <c r="I1317" s="94" t="str">
        <f t="shared" ref="I1317:J1317" si="1318">if(G1317 = "", , -G1317)</f>
        <v/>
      </c>
      <c r="J1317" s="94" t="str">
        <f t="shared" si="1318"/>
        <v/>
      </c>
      <c r="K1317" s="100"/>
      <c r="L1317" s="100"/>
      <c r="N1317" s="100"/>
      <c r="O1317" s="100"/>
      <c r="P1317" s="100"/>
    </row>
    <row r="1318">
      <c r="A1318" s="107">
        <v>201988.0</v>
      </c>
      <c r="B1318" s="108" t="s">
        <v>90</v>
      </c>
      <c r="C1318" s="108" t="s">
        <v>466</v>
      </c>
      <c r="D1318" s="112" t="s">
        <v>177</v>
      </c>
      <c r="E1318" s="112">
        <v>800.7</v>
      </c>
      <c r="F1318" s="111" t="str">
        <f>DataPull!D1318</f>
        <v/>
      </c>
      <c r="G1318" s="94" t="str">
        <f t="shared" si="2"/>
        <v/>
      </c>
      <c r="H1318" s="94" t="str">
        <f t="shared" si="3"/>
        <v/>
      </c>
      <c r="I1318" s="94" t="str">
        <f t="shared" ref="I1318:J1318" si="1319">if(G1318 = "", , -G1318)</f>
        <v/>
      </c>
      <c r="J1318" s="94" t="str">
        <f t="shared" si="1319"/>
        <v/>
      </c>
      <c r="M1318" s="100"/>
      <c r="N1318" s="100"/>
      <c r="O1318" s="100"/>
      <c r="P1318" s="100"/>
    </row>
    <row r="1319">
      <c r="A1319" s="107">
        <v>201988.0</v>
      </c>
      <c r="B1319" s="108" t="s">
        <v>92</v>
      </c>
      <c r="C1319" s="108" t="s">
        <v>466</v>
      </c>
      <c r="D1319" s="112" t="s">
        <v>176</v>
      </c>
      <c r="E1319" s="112">
        <v>1660.5</v>
      </c>
      <c r="F1319" s="111" t="str">
        <f>DataPull!D1319</f>
        <v/>
      </c>
      <c r="G1319" s="94" t="str">
        <f t="shared" si="2"/>
        <v/>
      </c>
      <c r="H1319" s="94" t="str">
        <f t="shared" si="3"/>
        <v/>
      </c>
      <c r="I1319" s="94" t="str">
        <f t="shared" ref="I1319:J1319" si="1320">if(G1319 = "", , -G1319)</f>
        <v/>
      </c>
      <c r="J1319" s="94" t="str">
        <f t="shared" si="1320"/>
        <v/>
      </c>
      <c r="K1319" s="100"/>
      <c r="M1319" s="100"/>
      <c r="N1319" s="100"/>
      <c r="O1319" s="100"/>
      <c r="P1319" s="100"/>
    </row>
    <row r="1320">
      <c r="A1320" s="107">
        <v>201988.0</v>
      </c>
      <c r="B1320" s="108" t="s">
        <v>190</v>
      </c>
      <c r="C1320" s="108" t="s">
        <v>466</v>
      </c>
      <c r="D1320" s="112" t="s">
        <v>176</v>
      </c>
      <c r="E1320" s="112">
        <v>1752.0</v>
      </c>
      <c r="F1320" s="111" t="str">
        <f>DataPull!D1320</f>
        <v/>
      </c>
      <c r="G1320" s="94" t="str">
        <f t="shared" si="2"/>
        <v/>
      </c>
      <c r="H1320" s="94" t="str">
        <f t="shared" si="3"/>
        <v/>
      </c>
      <c r="I1320" s="94" t="str">
        <f t="shared" ref="I1320:J1320" si="1321">if(G1320 = "", , -G1320)</f>
        <v/>
      </c>
      <c r="J1320" s="94" t="str">
        <f t="shared" si="1321"/>
        <v/>
      </c>
      <c r="K1320" s="100"/>
      <c r="M1320" s="100"/>
      <c r="N1320" s="100"/>
      <c r="O1320" s="100"/>
      <c r="P1320" s="100"/>
    </row>
    <row r="1321">
      <c r="A1321" s="107">
        <v>201988.0</v>
      </c>
      <c r="B1321" s="108" t="s">
        <v>191</v>
      </c>
      <c r="C1321" s="108" t="s">
        <v>466</v>
      </c>
      <c r="D1321" s="112" t="s">
        <v>178</v>
      </c>
      <c r="E1321" s="112">
        <v>2107.4</v>
      </c>
      <c r="F1321" s="111" t="str">
        <f>DataPull!D1321</f>
        <v/>
      </c>
      <c r="G1321" s="94" t="str">
        <f t="shared" si="2"/>
        <v/>
      </c>
      <c r="H1321" s="94" t="str">
        <f t="shared" si="3"/>
        <v/>
      </c>
      <c r="I1321" s="94" t="str">
        <f t="shared" ref="I1321:J1321" si="1322">if(G1321 = "", , -G1321)</f>
        <v/>
      </c>
      <c r="J1321" s="94" t="str">
        <f t="shared" si="1322"/>
        <v/>
      </c>
      <c r="K1321" s="100"/>
      <c r="M1321" s="100"/>
      <c r="N1321" s="100"/>
      <c r="O1321" s="100"/>
      <c r="P1321" s="100"/>
    </row>
    <row r="1322">
      <c r="A1322" s="107">
        <v>201988.0</v>
      </c>
      <c r="B1322" s="108" t="s">
        <v>192</v>
      </c>
      <c r="C1322" s="108" t="s">
        <v>466</v>
      </c>
      <c r="D1322" s="112" t="s">
        <v>176</v>
      </c>
      <c r="E1322" s="112">
        <v>1910.6</v>
      </c>
      <c r="F1322" s="111" t="str">
        <f>DataPull!D1322</f>
        <v/>
      </c>
      <c r="G1322" s="94" t="str">
        <f t="shared" si="2"/>
        <v/>
      </c>
      <c r="H1322" s="94" t="str">
        <f t="shared" si="3"/>
        <v/>
      </c>
      <c r="I1322" s="94" t="str">
        <f t="shared" ref="I1322:J1322" si="1323">if(G1322 = "", , -G1322)</f>
        <v/>
      </c>
      <c r="J1322" s="94" t="str">
        <f t="shared" si="1323"/>
        <v/>
      </c>
      <c r="K1322" s="100"/>
      <c r="L1322" s="100"/>
      <c r="M1322" s="100"/>
      <c r="N1322" s="100"/>
      <c r="O1322" s="100"/>
      <c r="P1322" s="100"/>
    </row>
    <row r="1323">
      <c r="A1323" s="107">
        <v>201988.0</v>
      </c>
      <c r="B1323" s="108" t="s">
        <v>193</v>
      </c>
      <c r="C1323" s="108" t="s">
        <v>466</v>
      </c>
      <c r="D1323" s="112" t="s">
        <v>176</v>
      </c>
      <c r="E1323" s="112">
        <v>1485.0</v>
      </c>
      <c r="F1323" s="111" t="str">
        <f>DataPull!D1323</f>
        <v/>
      </c>
      <c r="G1323" s="94" t="str">
        <f t="shared" si="2"/>
        <v/>
      </c>
      <c r="H1323" s="94" t="str">
        <f t="shared" si="3"/>
        <v/>
      </c>
      <c r="I1323" s="94" t="str">
        <f t="shared" ref="I1323:J1323" si="1324">if(G1323 = "", , -G1323)</f>
        <v/>
      </c>
      <c r="J1323" s="94" t="str">
        <f t="shared" si="1324"/>
        <v/>
      </c>
      <c r="K1323" s="100"/>
      <c r="M1323" s="100"/>
      <c r="N1323" s="100"/>
      <c r="O1323" s="100"/>
      <c r="P1323" s="100"/>
    </row>
    <row r="1324">
      <c r="A1324" s="107">
        <v>201988.0</v>
      </c>
      <c r="B1324" s="108" t="s">
        <v>243</v>
      </c>
      <c r="C1324" s="108" t="s">
        <v>466</v>
      </c>
      <c r="D1324" s="112" t="s">
        <v>176</v>
      </c>
      <c r="E1324" s="112">
        <v>1686.4</v>
      </c>
      <c r="F1324" s="111" t="str">
        <f>DataPull!D1324</f>
        <v/>
      </c>
      <c r="G1324" s="94" t="str">
        <f t="shared" si="2"/>
        <v/>
      </c>
      <c r="H1324" s="94" t="str">
        <f t="shared" si="3"/>
        <v/>
      </c>
      <c r="I1324" s="94" t="str">
        <f t="shared" ref="I1324:J1324" si="1325">if(G1324 = "", , -G1324)</f>
        <v/>
      </c>
      <c r="J1324" s="94" t="str">
        <f t="shared" si="1325"/>
        <v/>
      </c>
      <c r="K1324" s="100"/>
      <c r="M1324" s="100"/>
      <c r="N1324" s="100"/>
      <c r="O1324" s="100"/>
      <c r="P1324" s="100"/>
    </row>
    <row r="1325">
      <c r="A1325" s="107">
        <v>201988.0</v>
      </c>
      <c r="B1325" s="108" t="s">
        <v>215</v>
      </c>
      <c r="C1325" s="108" t="s">
        <v>466</v>
      </c>
      <c r="D1325" s="112" t="s">
        <v>176</v>
      </c>
      <c r="E1325" s="112">
        <v>2349.0</v>
      </c>
      <c r="F1325" s="111" t="str">
        <f>DataPull!D1325</f>
        <v/>
      </c>
      <c r="G1325" s="94" t="str">
        <f t="shared" si="2"/>
        <v/>
      </c>
      <c r="H1325" s="94" t="str">
        <f t="shared" si="3"/>
        <v/>
      </c>
      <c r="I1325" s="94" t="str">
        <f t="shared" ref="I1325:J1325" si="1326">if(G1325 = "", , -G1325)</f>
        <v/>
      </c>
      <c r="J1325" s="94" t="str">
        <f t="shared" si="1326"/>
        <v/>
      </c>
      <c r="K1325" s="100"/>
      <c r="M1325" s="100"/>
      <c r="N1325" s="100"/>
      <c r="O1325" s="100"/>
      <c r="P1325" s="100"/>
    </row>
    <row r="1326">
      <c r="A1326" s="107">
        <v>201988.0</v>
      </c>
      <c r="B1326" s="108" t="s">
        <v>244</v>
      </c>
      <c r="C1326" s="108" t="s">
        <v>466</v>
      </c>
      <c r="D1326" s="112" t="s">
        <v>177</v>
      </c>
      <c r="E1326" s="112">
        <v>568.0</v>
      </c>
      <c r="F1326" s="111" t="str">
        <f>DataPull!D1326</f>
        <v/>
      </c>
      <c r="G1326" s="94" t="str">
        <f t="shared" si="2"/>
        <v/>
      </c>
      <c r="H1326" s="94" t="str">
        <f t="shared" si="3"/>
        <v/>
      </c>
      <c r="I1326" s="94" t="str">
        <f t="shared" ref="I1326:J1326" si="1327">if(G1326 = "", , -G1326)</f>
        <v/>
      </c>
      <c r="J1326" s="94" t="str">
        <f t="shared" si="1327"/>
        <v/>
      </c>
      <c r="K1326" s="100"/>
      <c r="M1326" s="100"/>
      <c r="N1326" s="100"/>
      <c r="O1326" s="100"/>
      <c r="P1326" s="100"/>
    </row>
    <row r="1327">
      <c r="A1327" s="107">
        <v>201988.0</v>
      </c>
      <c r="B1327" s="108" t="s">
        <v>245</v>
      </c>
      <c r="C1327" s="108" t="s">
        <v>466</v>
      </c>
      <c r="D1327" s="112" t="s">
        <v>187</v>
      </c>
      <c r="E1327" s="112">
        <v>416.0</v>
      </c>
      <c r="F1327" s="111" t="str">
        <f>DataPull!D1327</f>
        <v/>
      </c>
      <c r="G1327" s="94" t="str">
        <f t="shared" si="2"/>
        <v/>
      </c>
      <c r="H1327" s="94" t="str">
        <f t="shared" si="3"/>
        <v/>
      </c>
      <c r="I1327" s="94" t="str">
        <f t="shared" ref="I1327:J1327" si="1328">if(G1327 = "", , -G1327)</f>
        <v/>
      </c>
      <c r="J1327" s="94" t="str">
        <f t="shared" si="1328"/>
        <v/>
      </c>
      <c r="K1327" s="100"/>
      <c r="M1327" s="100"/>
      <c r="N1327" s="100"/>
      <c r="O1327" s="100"/>
      <c r="P1327" s="100"/>
    </row>
    <row r="1328">
      <c r="A1328" s="107">
        <v>201988.0</v>
      </c>
      <c r="B1328" s="108" t="s">
        <v>246</v>
      </c>
      <c r="C1328" s="108" t="s">
        <v>466</v>
      </c>
      <c r="D1328" s="112" t="s">
        <v>187</v>
      </c>
      <c r="E1328" s="112">
        <v>321.9</v>
      </c>
      <c r="F1328" s="111" t="str">
        <f>DataPull!D1328</f>
        <v/>
      </c>
      <c r="G1328" s="94" t="str">
        <f t="shared" si="2"/>
        <v/>
      </c>
      <c r="H1328" s="94" t="str">
        <f t="shared" si="3"/>
        <v/>
      </c>
      <c r="I1328" s="94" t="str">
        <f t="shared" ref="I1328:J1328" si="1329">if(G1328 = "", , -G1328)</f>
        <v/>
      </c>
      <c r="J1328" s="94" t="str">
        <f t="shared" si="1329"/>
        <v/>
      </c>
      <c r="K1328" s="100"/>
      <c r="M1328" s="100"/>
      <c r="N1328" s="100"/>
      <c r="O1328" s="100"/>
      <c r="P1328" s="100"/>
    </row>
    <row r="1329">
      <c r="A1329" s="107">
        <v>201991.0</v>
      </c>
      <c r="B1329" s="108" t="s">
        <v>90</v>
      </c>
      <c r="C1329" s="108" t="s">
        <v>467</v>
      </c>
      <c r="D1329" s="112" t="s">
        <v>181</v>
      </c>
      <c r="E1329" s="112">
        <v>55.5</v>
      </c>
      <c r="F1329" s="111" t="str">
        <f>DataPull!D1329</f>
        <v/>
      </c>
      <c r="G1329" s="94" t="str">
        <f t="shared" si="2"/>
        <v/>
      </c>
      <c r="H1329" s="94" t="str">
        <f t="shared" si="3"/>
        <v/>
      </c>
      <c r="I1329" s="94" t="str">
        <f t="shared" ref="I1329:J1329" si="1330">if(G1329 = "", , -G1329)</f>
        <v/>
      </c>
      <c r="J1329" s="94" t="str">
        <f t="shared" si="1330"/>
        <v/>
      </c>
      <c r="K1329" s="100"/>
      <c r="M1329" s="100"/>
      <c r="N1329" s="100"/>
      <c r="O1329" s="100"/>
      <c r="P1329" s="100"/>
    </row>
    <row r="1330">
      <c r="A1330" s="107">
        <v>202066.0</v>
      </c>
      <c r="B1330" s="108" t="s">
        <v>85</v>
      </c>
      <c r="C1330" s="108" t="s">
        <v>468</v>
      </c>
      <c r="D1330" s="112" t="s">
        <v>187</v>
      </c>
      <c r="E1330" s="112">
        <v>637.5</v>
      </c>
      <c r="F1330" s="111" t="str">
        <f>DataPull!D1330</f>
        <v/>
      </c>
      <c r="G1330" s="94" t="str">
        <f t="shared" si="2"/>
        <v/>
      </c>
      <c r="H1330" s="94" t="str">
        <f t="shared" si="3"/>
        <v/>
      </c>
      <c r="I1330" s="94" t="str">
        <f t="shared" ref="I1330:J1330" si="1331">if(G1330 = "", , -G1330)</f>
        <v/>
      </c>
      <c r="J1330" s="94" t="str">
        <f t="shared" si="1331"/>
        <v/>
      </c>
      <c r="K1330" s="100"/>
      <c r="M1330" s="100"/>
      <c r="N1330" s="100"/>
      <c r="O1330" s="100"/>
      <c r="P1330" s="100"/>
    </row>
    <row r="1331">
      <c r="A1331" s="107">
        <v>202066.0</v>
      </c>
      <c r="B1331" s="108" t="s">
        <v>90</v>
      </c>
      <c r="C1331" s="108" t="s">
        <v>468</v>
      </c>
      <c r="D1331" s="112" t="s">
        <v>177</v>
      </c>
      <c r="E1331" s="112">
        <v>733.2</v>
      </c>
      <c r="F1331" s="111" t="str">
        <f>DataPull!D1331</f>
        <v/>
      </c>
      <c r="G1331" s="94" t="str">
        <f t="shared" si="2"/>
        <v/>
      </c>
      <c r="H1331" s="94" t="str">
        <f t="shared" si="3"/>
        <v/>
      </c>
      <c r="I1331" s="94" t="str">
        <f t="shared" ref="I1331:J1331" si="1332">if(G1331 = "", , -G1331)</f>
        <v/>
      </c>
      <c r="J1331" s="94" t="str">
        <f t="shared" si="1332"/>
        <v/>
      </c>
      <c r="K1331" s="100"/>
      <c r="L1331" s="100"/>
      <c r="N1331" s="100"/>
      <c r="O1331" s="100"/>
      <c r="P1331" s="100"/>
    </row>
    <row r="1332">
      <c r="A1332" s="107">
        <v>202066.0</v>
      </c>
      <c r="B1332" s="108" t="s">
        <v>92</v>
      </c>
      <c r="C1332" s="108" t="s">
        <v>468</v>
      </c>
      <c r="D1332" s="112" t="s">
        <v>176</v>
      </c>
      <c r="E1332" s="112">
        <v>1952.0</v>
      </c>
      <c r="F1332" s="111" t="str">
        <f>DataPull!D1332</f>
        <v/>
      </c>
      <c r="G1332" s="94" t="str">
        <f t="shared" si="2"/>
        <v/>
      </c>
      <c r="H1332" s="94" t="str">
        <f t="shared" si="3"/>
        <v/>
      </c>
      <c r="I1332" s="94" t="str">
        <f t="shared" ref="I1332:J1332" si="1333">if(G1332 = "", , -G1332)</f>
        <v/>
      </c>
      <c r="J1332" s="94" t="str">
        <f t="shared" si="1333"/>
        <v/>
      </c>
      <c r="K1332" s="100"/>
      <c r="M1332" s="100"/>
      <c r="N1332" s="100"/>
      <c r="O1332" s="100"/>
      <c r="P1332" s="100"/>
    </row>
    <row r="1333">
      <c r="A1333" s="107">
        <v>202066.0</v>
      </c>
      <c r="B1333" s="108" t="s">
        <v>190</v>
      </c>
      <c r="C1333" s="108" t="s">
        <v>468</v>
      </c>
      <c r="D1333" s="112" t="s">
        <v>178</v>
      </c>
      <c r="E1333" s="112">
        <v>1729.0</v>
      </c>
      <c r="F1333" s="111" t="str">
        <f>DataPull!D1333</f>
        <v/>
      </c>
      <c r="G1333" s="94" t="str">
        <f t="shared" si="2"/>
        <v/>
      </c>
      <c r="H1333" s="94" t="str">
        <f t="shared" si="3"/>
        <v/>
      </c>
      <c r="I1333" s="94" t="str">
        <f t="shared" ref="I1333:J1333" si="1334">if(G1333 = "", , -G1333)</f>
        <v/>
      </c>
      <c r="J1333" s="94" t="str">
        <f t="shared" si="1334"/>
        <v/>
      </c>
      <c r="K1333" s="100"/>
      <c r="M1333" s="100"/>
      <c r="N1333" s="100"/>
      <c r="O1333" s="100"/>
      <c r="P1333" s="100"/>
    </row>
    <row r="1334">
      <c r="A1334" s="107">
        <v>202066.0</v>
      </c>
      <c r="B1334" s="108" t="s">
        <v>191</v>
      </c>
      <c r="C1334" s="108" t="s">
        <v>468</v>
      </c>
      <c r="D1334" s="112" t="s">
        <v>176</v>
      </c>
      <c r="E1334" s="112">
        <v>1612.0</v>
      </c>
      <c r="F1334" s="111" t="str">
        <f>DataPull!D1334</f>
        <v/>
      </c>
      <c r="G1334" s="94" t="str">
        <f t="shared" si="2"/>
        <v/>
      </c>
      <c r="H1334" s="94" t="str">
        <f t="shared" si="3"/>
        <v/>
      </c>
      <c r="I1334" s="94" t="str">
        <f t="shared" ref="I1334:J1334" si="1335">if(G1334 = "", , -G1334)</f>
        <v/>
      </c>
      <c r="J1334" s="94" t="str">
        <f t="shared" si="1335"/>
        <v/>
      </c>
      <c r="K1334" s="100"/>
      <c r="M1334" s="100"/>
      <c r="N1334" s="100"/>
      <c r="O1334" s="100"/>
      <c r="P1334" s="100"/>
    </row>
    <row r="1335">
      <c r="A1335" s="107">
        <v>202066.0</v>
      </c>
      <c r="B1335" s="108" t="s">
        <v>192</v>
      </c>
      <c r="C1335" s="108" t="s">
        <v>468</v>
      </c>
      <c r="D1335" s="112" t="s">
        <v>178</v>
      </c>
      <c r="E1335" s="112">
        <v>2040.0</v>
      </c>
      <c r="F1335" s="111" t="str">
        <f>DataPull!D1335</f>
        <v/>
      </c>
      <c r="G1335" s="94" t="str">
        <f t="shared" si="2"/>
        <v/>
      </c>
      <c r="H1335" s="94" t="str">
        <f t="shared" si="3"/>
        <v/>
      </c>
      <c r="I1335" s="94" t="str">
        <f t="shared" ref="I1335:J1335" si="1336">if(G1335 = "", , -G1335)</f>
        <v/>
      </c>
      <c r="J1335" s="94" t="str">
        <f t="shared" si="1336"/>
        <v/>
      </c>
      <c r="K1335" s="100"/>
      <c r="M1335" s="100"/>
      <c r="N1335" s="100"/>
      <c r="O1335" s="100"/>
      <c r="P1335" s="100"/>
    </row>
    <row r="1336">
      <c r="A1336" s="107">
        <v>202066.0</v>
      </c>
      <c r="B1336" s="108" t="s">
        <v>193</v>
      </c>
      <c r="C1336" s="108" t="s">
        <v>468</v>
      </c>
      <c r="D1336" s="112" t="s">
        <v>176</v>
      </c>
      <c r="E1336" s="112">
        <v>1729.8</v>
      </c>
      <c r="F1336" s="111" t="str">
        <f>DataPull!D1336</f>
        <v/>
      </c>
      <c r="G1336" s="94" t="str">
        <f t="shared" si="2"/>
        <v/>
      </c>
      <c r="H1336" s="94" t="str">
        <f t="shared" si="3"/>
        <v/>
      </c>
      <c r="I1336" s="94" t="str">
        <f t="shared" ref="I1336:J1336" si="1337">if(G1336 = "", , -G1336)</f>
        <v/>
      </c>
      <c r="J1336" s="94" t="str">
        <f t="shared" si="1337"/>
        <v/>
      </c>
      <c r="K1336" s="100"/>
      <c r="M1336" s="100"/>
      <c r="N1336" s="100"/>
      <c r="O1336" s="100"/>
      <c r="P1336" s="100"/>
    </row>
    <row r="1337">
      <c r="A1337" s="107">
        <v>202066.0</v>
      </c>
      <c r="B1337" s="108" t="s">
        <v>243</v>
      </c>
      <c r="C1337" s="108" t="s">
        <v>468</v>
      </c>
      <c r="D1337" s="112" t="s">
        <v>178</v>
      </c>
      <c r="E1337" s="112">
        <v>1528.8</v>
      </c>
      <c r="F1337" s="111" t="str">
        <f>DataPull!D1337</f>
        <v/>
      </c>
      <c r="G1337" s="94" t="str">
        <f t="shared" si="2"/>
        <v/>
      </c>
      <c r="H1337" s="94" t="str">
        <f t="shared" si="3"/>
        <v/>
      </c>
      <c r="I1337" s="94" t="str">
        <f t="shared" ref="I1337:J1337" si="1338">if(G1337 = "", , -G1337)</f>
        <v/>
      </c>
      <c r="J1337" s="94" t="str">
        <f t="shared" si="1338"/>
        <v/>
      </c>
      <c r="L1337" s="100"/>
      <c r="M1337" s="100"/>
      <c r="N1337" s="100"/>
      <c r="O1337" s="100"/>
    </row>
    <row r="1338">
      <c r="A1338" s="107">
        <v>202066.0</v>
      </c>
      <c r="B1338" s="108" t="s">
        <v>215</v>
      </c>
      <c r="C1338" s="108" t="s">
        <v>468</v>
      </c>
      <c r="D1338" s="112" t="s">
        <v>177</v>
      </c>
      <c r="E1338" s="112">
        <v>1097.4</v>
      </c>
      <c r="F1338" s="111" t="str">
        <f>DataPull!D1338</f>
        <v/>
      </c>
      <c r="G1338" s="94" t="str">
        <f t="shared" si="2"/>
        <v/>
      </c>
      <c r="H1338" s="94" t="str">
        <f t="shared" si="3"/>
        <v/>
      </c>
      <c r="I1338" s="94" t="str">
        <f t="shared" ref="I1338:J1338" si="1339">if(G1338 = "", , -G1338)</f>
        <v/>
      </c>
      <c r="J1338" s="94" t="str">
        <f t="shared" si="1339"/>
        <v/>
      </c>
      <c r="K1338" s="100"/>
      <c r="M1338" s="100"/>
      <c r="N1338" s="100"/>
      <c r="O1338" s="100"/>
      <c r="P1338" s="100"/>
    </row>
    <row r="1339">
      <c r="A1339" s="107">
        <v>202066.0</v>
      </c>
      <c r="B1339" s="108" t="s">
        <v>244</v>
      </c>
      <c r="C1339" s="108" t="s">
        <v>468</v>
      </c>
      <c r="D1339" s="112" t="s">
        <v>187</v>
      </c>
      <c r="E1339" s="112">
        <v>162.5</v>
      </c>
      <c r="F1339" s="111" t="str">
        <f>DataPull!D1339</f>
        <v/>
      </c>
      <c r="G1339" s="94" t="str">
        <f t="shared" si="2"/>
        <v/>
      </c>
      <c r="H1339" s="94" t="str">
        <f t="shared" si="3"/>
        <v/>
      </c>
      <c r="I1339" s="94" t="str">
        <f t="shared" ref="I1339:J1339" si="1340">if(G1339 = "", , -G1339)</f>
        <v/>
      </c>
      <c r="J1339" s="94" t="str">
        <f t="shared" si="1340"/>
        <v/>
      </c>
      <c r="K1339" s="100"/>
      <c r="M1339" s="100"/>
      <c r="N1339" s="100"/>
      <c r="O1339" s="100"/>
      <c r="P1339" s="100"/>
    </row>
    <row r="1340">
      <c r="A1340" s="107">
        <v>202066.0</v>
      </c>
      <c r="B1340" s="108" t="s">
        <v>245</v>
      </c>
      <c r="C1340" s="108" t="s">
        <v>468</v>
      </c>
      <c r="D1340" s="112" t="s">
        <v>187</v>
      </c>
      <c r="E1340" s="112">
        <v>288.9</v>
      </c>
      <c r="F1340" s="111" t="str">
        <f>DataPull!D1340</f>
        <v/>
      </c>
      <c r="G1340" s="94" t="str">
        <f t="shared" si="2"/>
        <v/>
      </c>
      <c r="H1340" s="94" t="str">
        <f t="shared" si="3"/>
        <v/>
      </c>
      <c r="I1340" s="94" t="str">
        <f t="shared" ref="I1340:J1340" si="1341">if(G1340 = "", , -G1340)</f>
        <v/>
      </c>
      <c r="J1340" s="94" t="str">
        <f t="shared" si="1341"/>
        <v/>
      </c>
      <c r="K1340" s="100"/>
      <c r="M1340" s="100"/>
      <c r="N1340" s="100"/>
      <c r="O1340" s="100"/>
      <c r="P1340" s="100"/>
    </row>
    <row r="1341">
      <c r="A1341" s="107">
        <v>202066.0</v>
      </c>
      <c r="B1341" s="108" t="s">
        <v>246</v>
      </c>
      <c r="C1341" s="108" t="s">
        <v>468</v>
      </c>
      <c r="D1341" s="112" t="s">
        <v>187</v>
      </c>
      <c r="E1341" s="112">
        <v>226.8</v>
      </c>
      <c r="F1341" s="111" t="str">
        <f>DataPull!D1341</f>
        <v/>
      </c>
      <c r="G1341" s="94" t="str">
        <f t="shared" si="2"/>
        <v/>
      </c>
      <c r="H1341" s="94" t="str">
        <f t="shared" si="3"/>
        <v/>
      </c>
      <c r="I1341" s="94" t="str">
        <f t="shared" ref="I1341:J1341" si="1342">if(G1341 = "", , -G1341)</f>
        <v/>
      </c>
      <c r="J1341" s="94" t="str">
        <f t="shared" si="1342"/>
        <v/>
      </c>
      <c r="K1341" s="100"/>
      <c r="M1341" s="100"/>
      <c r="N1341" s="100"/>
      <c r="O1341" s="100"/>
      <c r="P1341" s="100"/>
    </row>
    <row r="1342">
      <c r="A1342" s="89">
        <v>202066.0</v>
      </c>
      <c r="B1342" s="113" t="s">
        <v>247</v>
      </c>
      <c r="C1342" s="113" t="s">
        <v>468</v>
      </c>
      <c r="D1342" s="112" t="s">
        <v>187</v>
      </c>
      <c r="E1342" s="112">
        <v>72.6</v>
      </c>
      <c r="F1342" s="111" t="str">
        <f>DataPull!D1342</f>
        <v/>
      </c>
      <c r="G1342" s="94" t="str">
        <f t="shared" si="2"/>
        <v/>
      </c>
      <c r="H1342" s="94" t="str">
        <f t="shared" si="3"/>
        <v/>
      </c>
      <c r="I1342" s="94" t="str">
        <f t="shared" ref="I1342:J1342" si="1343">if(G1342 = "", , -G1342)</f>
        <v/>
      </c>
      <c r="J1342" s="94" t="str">
        <f t="shared" si="1343"/>
        <v/>
      </c>
      <c r="K1342" s="100"/>
      <c r="M1342" s="100"/>
      <c r="N1342" s="100"/>
      <c r="O1342" s="100"/>
      <c r="P1342" s="100"/>
    </row>
    <row r="1343">
      <c r="A1343" s="107">
        <v>202077.0</v>
      </c>
      <c r="B1343" s="108" t="s">
        <v>90</v>
      </c>
      <c r="C1343" s="108" t="s">
        <v>469</v>
      </c>
      <c r="D1343" s="112" t="s">
        <v>181</v>
      </c>
      <c r="E1343" s="112">
        <v>36.6</v>
      </c>
      <c r="F1343" s="111" t="str">
        <f>DataPull!D1343</f>
        <v/>
      </c>
      <c r="G1343" s="94" t="str">
        <f t="shared" si="2"/>
        <v/>
      </c>
      <c r="H1343" s="94" t="str">
        <f t="shared" si="3"/>
        <v/>
      </c>
      <c r="I1343" s="94" t="str">
        <f t="shared" ref="I1343:J1343" si="1344">if(G1343 = "", , -G1343)</f>
        <v/>
      </c>
      <c r="J1343" s="94" t="str">
        <f t="shared" si="1344"/>
        <v/>
      </c>
      <c r="K1343" s="100"/>
      <c r="L1343" s="100"/>
      <c r="N1343" s="100"/>
      <c r="O1343" s="100"/>
      <c r="P1343" s="100"/>
    </row>
    <row r="1344">
      <c r="A1344" s="107">
        <v>202083.0</v>
      </c>
      <c r="B1344" s="108" t="s">
        <v>85</v>
      </c>
      <c r="C1344" s="108" t="s">
        <v>470</v>
      </c>
      <c r="D1344" s="112" t="s">
        <v>178</v>
      </c>
      <c r="E1344" s="112">
        <v>2779.8</v>
      </c>
      <c r="F1344" s="111" t="str">
        <f>DataPull!D1344</f>
        <v/>
      </c>
      <c r="G1344" s="94" t="str">
        <f t="shared" si="2"/>
        <v/>
      </c>
      <c r="H1344" s="94" t="str">
        <f t="shared" si="3"/>
        <v/>
      </c>
      <c r="I1344" s="94" t="str">
        <f t="shared" ref="I1344:J1344" si="1345">if(G1344 = "", , -G1344)</f>
        <v/>
      </c>
      <c r="J1344" s="94" t="str">
        <f t="shared" si="1345"/>
        <v/>
      </c>
      <c r="K1344" s="100"/>
      <c r="M1344" s="100"/>
      <c r="N1344" s="100"/>
      <c r="O1344" s="100"/>
      <c r="P1344" s="100"/>
    </row>
    <row r="1345">
      <c r="A1345" s="107">
        <v>202083.0</v>
      </c>
      <c r="B1345" s="108" t="s">
        <v>90</v>
      </c>
      <c r="C1345" s="108" t="s">
        <v>470</v>
      </c>
      <c r="D1345" s="112" t="s">
        <v>178</v>
      </c>
      <c r="E1345" s="112">
        <v>2022.0</v>
      </c>
      <c r="F1345" s="111" t="str">
        <f>DataPull!D1345</f>
        <v/>
      </c>
      <c r="G1345" s="94" t="str">
        <f t="shared" si="2"/>
        <v/>
      </c>
      <c r="H1345" s="94" t="str">
        <f t="shared" si="3"/>
        <v/>
      </c>
      <c r="I1345" s="94" t="str">
        <f t="shared" ref="I1345:J1345" si="1346">if(G1345 = "", , -G1345)</f>
        <v/>
      </c>
      <c r="J1345" s="94" t="str">
        <f t="shared" si="1346"/>
        <v/>
      </c>
      <c r="K1345" s="100"/>
      <c r="M1345" s="100"/>
      <c r="N1345" s="100"/>
      <c r="O1345" s="100"/>
      <c r="P1345" s="100"/>
    </row>
    <row r="1346">
      <c r="A1346" s="107">
        <v>202083.0</v>
      </c>
      <c r="B1346" s="108" t="s">
        <v>92</v>
      </c>
      <c r="C1346" s="108" t="s">
        <v>470</v>
      </c>
      <c r="D1346" s="112" t="s">
        <v>178</v>
      </c>
      <c r="E1346" s="112">
        <v>2644.2</v>
      </c>
      <c r="F1346" s="111" t="str">
        <f>DataPull!D1346</f>
        <v/>
      </c>
      <c r="G1346" s="94" t="str">
        <f t="shared" si="2"/>
        <v/>
      </c>
      <c r="H1346" s="94" t="str">
        <f t="shared" si="3"/>
        <v/>
      </c>
      <c r="I1346" s="94" t="str">
        <f t="shared" ref="I1346:J1346" si="1347">if(G1346 = "", , -G1346)</f>
        <v/>
      </c>
      <c r="J1346" s="94" t="str">
        <f t="shared" si="1347"/>
        <v/>
      </c>
      <c r="K1346" s="100"/>
      <c r="M1346" s="100"/>
      <c r="N1346" s="100"/>
      <c r="O1346" s="100"/>
      <c r="P1346" s="100"/>
    </row>
    <row r="1347">
      <c r="A1347" s="107">
        <v>202083.0</v>
      </c>
      <c r="B1347" s="108" t="s">
        <v>190</v>
      </c>
      <c r="C1347" s="108" t="s">
        <v>470</v>
      </c>
      <c r="D1347" s="112" t="s">
        <v>178</v>
      </c>
      <c r="E1347" s="112">
        <v>2496.6</v>
      </c>
      <c r="F1347" s="111" t="str">
        <f>DataPull!D1347</f>
        <v/>
      </c>
      <c r="G1347" s="94" t="str">
        <f t="shared" si="2"/>
        <v/>
      </c>
      <c r="H1347" s="94" t="str">
        <f t="shared" si="3"/>
        <v/>
      </c>
      <c r="I1347" s="94" t="str">
        <f t="shared" ref="I1347:J1347" si="1348">if(G1347 = "", , -G1347)</f>
        <v/>
      </c>
      <c r="J1347" s="94" t="str">
        <f t="shared" si="1348"/>
        <v/>
      </c>
      <c r="K1347" s="100"/>
      <c r="M1347" s="100"/>
      <c r="N1347" s="100"/>
      <c r="O1347" s="100"/>
      <c r="P1347" s="100"/>
    </row>
    <row r="1348">
      <c r="A1348" s="107">
        <v>202083.0</v>
      </c>
      <c r="B1348" s="108" t="s">
        <v>191</v>
      </c>
      <c r="C1348" s="108" t="s">
        <v>470</v>
      </c>
      <c r="D1348" s="112" t="s">
        <v>178</v>
      </c>
      <c r="E1348" s="112">
        <v>2129.4</v>
      </c>
      <c r="F1348" s="111" t="str">
        <f>DataPull!D1348</f>
        <v/>
      </c>
      <c r="G1348" s="94" t="str">
        <f t="shared" si="2"/>
        <v/>
      </c>
      <c r="H1348" s="94" t="str">
        <f t="shared" si="3"/>
        <v/>
      </c>
      <c r="I1348" s="94" t="str">
        <f t="shared" ref="I1348:J1348" si="1349">if(G1348 = "", , -G1348)</f>
        <v/>
      </c>
      <c r="J1348" s="94" t="str">
        <f t="shared" si="1349"/>
        <v/>
      </c>
      <c r="K1348" s="100"/>
      <c r="M1348" s="100"/>
      <c r="N1348" s="100"/>
      <c r="O1348" s="100"/>
      <c r="P1348" s="100"/>
    </row>
    <row r="1349">
      <c r="A1349" s="107">
        <v>202083.0</v>
      </c>
      <c r="B1349" s="108" t="s">
        <v>192</v>
      </c>
      <c r="C1349" s="108" t="s">
        <v>470</v>
      </c>
      <c r="D1349" s="112" t="s">
        <v>178</v>
      </c>
      <c r="E1349" s="112">
        <v>2090.7</v>
      </c>
      <c r="F1349" s="111" t="str">
        <f>DataPull!D1349</f>
        <v/>
      </c>
      <c r="G1349" s="94" t="str">
        <f t="shared" si="2"/>
        <v/>
      </c>
      <c r="H1349" s="94" t="str">
        <f t="shared" si="3"/>
        <v/>
      </c>
      <c r="I1349" s="94" t="str">
        <f t="shared" ref="I1349:J1349" si="1350">if(G1349 = "", , -G1349)</f>
        <v/>
      </c>
      <c r="J1349" s="94" t="str">
        <f t="shared" si="1350"/>
        <v/>
      </c>
      <c r="K1349" s="100"/>
      <c r="M1349" s="100"/>
      <c r="N1349" s="100"/>
      <c r="O1349" s="100"/>
      <c r="P1349" s="100"/>
    </row>
    <row r="1350">
      <c r="A1350" s="107">
        <v>202083.0</v>
      </c>
      <c r="B1350" s="108" t="s">
        <v>193</v>
      </c>
      <c r="C1350" s="108" t="s">
        <v>470</v>
      </c>
      <c r="D1350" s="112" t="s">
        <v>178</v>
      </c>
      <c r="E1350" s="112">
        <v>1634.8</v>
      </c>
      <c r="F1350" s="111" t="str">
        <f>DataPull!D1350</f>
        <v/>
      </c>
      <c r="G1350" s="94" t="str">
        <f t="shared" si="2"/>
        <v/>
      </c>
      <c r="H1350" s="94" t="str">
        <f t="shared" si="3"/>
        <v/>
      </c>
      <c r="I1350" s="94" t="str">
        <f t="shared" ref="I1350:J1350" si="1351">if(G1350 = "", , -G1350)</f>
        <v/>
      </c>
      <c r="J1350" s="94" t="str">
        <f t="shared" si="1351"/>
        <v/>
      </c>
      <c r="K1350" s="100"/>
      <c r="M1350" s="100"/>
      <c r="N1350" s="100"/>
      <c r="O1350" s="100"/>
      <c r="P1350" s="100"/>
    </row>
    <row r="1351">
      <c r="A1351" s="107">
        <v>202083.0</v>
      </c>
      <c r="B1351" s="108" t="s">
        <v>243</v>
      </c>
      <c r="C1351" s="108" t="s">
        <v>470</v>
      </c>
      <c r="D1351" s="112" t="s">
        <v>177</v>
      </c>
      <c r="E1351" s="112">
        <v>1131.0</v>
      </c>
      <c r="F1351" s="111" t="str">
        <f>DataPull!D1351</f>
        <v/>
      </c>
      <c r="G1351" s="94" t="str">
        <f t="shared" si="2"/>
        <v/>
      </c>
      <c r="H1351" s="94" t="str">
        <f t="shared" si="3"/>
        <v/>
      </c>
      <c r="I1351" s="94" t="str">
        <f t="shared" ref="I1351:J1351" si="1352">if(G1351 = "", , -G1351)</f>
        <v/>
      </c>
      <c r="J1351" s="94" t="str">
        <f t="shared" si="1352"/>
        <v/>
      </c>
      <c r="K1351" s="100"/>
      <c r="M1351" s="100"/>
      <c r="N1351" s="100"/>
      <c r="O1351" s="100"/>
      <c r="P1351" s="100"/>
    </row>
    <row r="1352">
      <c r="A1352" s="107">
        <v>202083.0</v>
      </c>
      <c r="B1352" s="108" t="s">
        <v>215</v>
      </c>
      <c r="C1352" s="108" t="s">
        <v>470</v>
      </c>
      <c r="D1352" s="112" t="s">
        <v>176</v>
      </c>
      <c r="E1352" s="112">
        <v>1004.5</v>
      </c>
      <c r="F1352" s="111" t="str">
        <f>DataPull!D1352</f>
        <v/>
      </c>
      <c r="G1352" s="94" t="str">
        <f t="shared" si="2"/>
        <v/>
      </c>
      <c r="H1352" s="94" t="str">
        <f t="shared" si="3"/>
        <v/>
      </c>
      <c r="I1352" s="94" t="str">
        <f t="shared" ref="I1352:J1352" si="1353">if(G1352 = "", , -G1352)</f>
        <v/>
      </c>
      <c r="J1352" s="94" t="str">
        <f t="shared" si="1353"/>
        <v/>
      </c>
      <c r="K1352" s="100"/>
      <c r="M1352" s="100"/>
      <c r="N1352" s="100"/>
      <c r="O1352" s="100"/>
      <c r="P1352" s="100"/>
    </row>
    <row r="1353">
      <c r="A1353" s="107">
        <v>202083.0</v>
      </c>
      <c r="B1353" s="108" t="s">
        <v>244</v>
      </c>
      <c r="C1353" s="108" t="s">
        <v>470</v>
      </c>
      <c r="D1353" s="112" t="s">
        <v>177</v>
      </c>
      <c r="E1353" s="112">
        <v>821.6</v>
      </c>
      <c r="F1353" s="111" t="str">
        <f>DataPull!D1353</f>
        <v/>
      </c>
      <c r="G1353" s="94" t="str">
        <f t="shared" si="2"/>
        <v/>
      </c>
      <c r="H1353" s="94" t="str">
        <f t="shared" si="3"/>
        <v/>
      </c>
      <c r="I1353" s="94" t="str">
        <f t="shared" ref="I1353:J1353" si="1354">if(G1353 = "", , -G1353)</f>
        <v/>
      </c>
      <c r="J1353" s="94" t="str">
        <f t="shared" si="1354"/>
        <v/>
      </c>
      <c r="K1353" s="100"/>
      <c r="M1353" s="100"/>
      <c r="N1353" s="100"/>
      <c r="O1353" s="100"/>
      <c r="P1353" s="100"/>
    </row>
    <row r="1354">
      <c r="A1354" s="107">
        <v>202083.0</v>
      </c>
      <c r="B1354" s="108" t="s">
        <v>245</v>
      </c>
      <c r="C1354" s="108" t="s">
        <v>470</v>
      </c>
      <c r="D1354" s="112" t="s">
        <v>187</v>
      </c>
      <c r="E1354" s="112">
        <v>414.0</v>
      </c>
      <c r="F1354" s="111" t="str">
        <f>DataPull!D1354</f>
        <v/>
      </c>
      <c r="G1354" s="94" t="str">
        <f t="shared" si="2"/>
        <v/>
      </c>
      <c r="H1354" s="94" t="str">
        <f t="shared" si="3"/>
        <v/>
      </c>
      <c r="I1354" s="94" t="str">
        <f t="shared" ref="I1354:J1354" si="1355">if(G1354 = "", , -G1354)</f>
        <v/>
      </c>
      <c r="J1354" s="94" t="str">
        <f t="shared" si="1355"/>
        <v/>
      </c>
      <c r="K1354" s="100"/>
      <c r="M1354" s="100"/>
      <c r="N1354" s="100"/>
      <c r="O1354" s="100"/>
      <c r="P1354" s="100"/>
    </row>
    <row r="1355">
      <c r="A1355" s="107">
        <v>202087.0</v>
      </c>
      <c r="B1355" s="108" t="s">
        <v>85</v>
      </c>
      <c r="C1355" s="108" t="s">
        <v>471</v>
      </c>
      <c r="D1355" s="112" t="s">
        <v>177</v>
      </c>
      <c r="E1355" s="112">
        <v>1020.5</v>
      </c>
      <c r="F1355" s="111" t="str">
        <f>DataPull!D1355</f>
        <v/>
      </c>
      <c r="G1355" s="94" t="str">
        <f t="shared" si="2"/>
        <v/>
      </c>
      <c r="H1355" s="94" t="str">
        <f t="shared" si="3"/>
        <v/>
      </c>
      <c r="I1355" s="94" t="str">
        <f t="shared" ref="I1355:J1355" si="1356">if(G1355 = "", , -G1355)</f>
        <v/>
      </c>
      <c r="J1355" s="94" t="str">
        <f t="shared" si="1356"/>
        <v/>
      </c>
      <c r="K1355" s="100"/>
      <c r="M1355" s="100"/>
      <c r="N1355" s="100"/>
      <c r="O1355" s="100"/>
      <c r="P1355" s="100"/>
    </row>
    <row r="1356">
      <c r="A1356" s="107">
        <v>202087.0</v>
      </c>
      <c r="B1356" s="108" t="s">
        <v>90</v>
      </c>
      <c r="C1356" s="108" t="s">
        <v>471</v>
      </c>
      <c r="D1356" s="112" t="s">
        <v>177</v>
      </c>
      <c r="E1356" s="112">
        <v>658.8</v>
      </c>
      <c r="F1356" s="111" t="str">
        <f>DataPull!D1356</f>
        <v/>
      </c>
      <c r="G1356" s="94" t="str">
        <f t="shared" si="2"/>
        <v/>
      </c>
      <c r="H1356" s="94" t="str">
        <f t="shared" si="3"/>
        <v/>
      </c>
      <c r="I1356" s="94" t="str">
        <f t="shared" ref="I1356:J1356" si="1357">if(G1356 = "", , -G1356)</f>
        <v/>
      </c>
      <c r="J1356" s="94" t="str">
        <f t="shared" si="1357"/>
        <v/>
      </c>
      <c r="K1356" s="100"/>
      <c r="M1356" s="100"/>
      <c r="N1356" s="100"/>
      <c r="O1356" s="100"/>
      <c r="P1356" s="100"/>
    </row>
    <row r="1357">
      <c r="A1357" s="107">
        <v>202087.0</v>
      </c>
      <c r="B1357" s="108" t="s">
        <v>92</v>
      </c>
      <c r="C1357" s="108" t="s">
        <v>471</v>
      </c>
      <c r="D1357" s="112" t="s">
        <v>176</v>
      </c>
      <c r="E1357" s="112">
        <v>1635.2</v>
      </c>
      <c r="F1357" s="111" t="str">
        <f>DataPull!D1357</f>
        <v/>
      </c>
      <c r="G1357" s="94" t="str">
        <f t="shared" si="2"/>
        <v/>
      </c>
      <c r="H1357" s="94" t="str">
        <f t="shared" si="3"/>
        <v/>
      </c>
      <c r="I1357" s="94" t="str">
        <f t="shared" ref="I1357:J1357" si="1358">if(G1357 = "", , -G1357)</f>
        <v/>
      </c>
      <c r="J1357" s="94" t="str">
        <f t="shared" si="1358"/>
        <v/>
      </c>
      <c r="K1357" s="100"/>
      <c r="M1357" s="100"/>
      <c r="N1357" s="100"/>
      <c r="O1357" s="100"/>
      <c r="P1357" s="100"/>
    </row>
    <row r="1358">
      <c r="A1358" s="107">
        <v>202087.0</v>
      </c>
      <c r="B1358" s="108" t="s">
        <v>190</v>
      </c>
      <c r="C1358" s="108" t="s">
        <v>471</v>
      </c>
      <c r="D1358" s="112" t="s">
        <v>187</v>
      </c>
      <c r="E1358" s="112">
        <v>89.7</v>
      </c>
      <c r="F1358" s="111" t="str">
        <f>DataPull!D1358</f>
        <v/>
      </c>
      <c r="G1358" s="94" t="str">
        <f t="shared" si="2"/>
        <v/>
      </c>
      <c r="H1358" s="94" t="str">
        <f t="shared" si="3"/>
        <v/>
      </c>
      <c r="I1358" s="94" t="str">
        <f t="shared" ref="I1358:J1358" si="1359">if(G1358 = "", , -G1358)</f>
        <v/>
      </c>
      <c r="J1358" s="94" t="str">
        <f t="shared" si="1359"/>
        <v/>
      </c>
      <c r="K1358" s="100"/>
      <c r="M1358" s="100"/>
      <c r="N1358" s="100"/>
      <c r="O1358" s="100"/>
      <c r="P1358" s="100"/>
    </row>
    <row r="1359">
      <c r="A1359" s="107">
        <v>202091.0</v>
      </c>
      <c r="B1359" s="108" t="s">
        <v>85</v>
      </c>
      <c r="C1359" s="108" t="s">
        <v>472</v>
      </c>
      <c r="D1359" s="112" t="s">
        <v>187</v>
      </c>
      <c r="E1359" s="112">
        <v>198.4</v>
      </c>
      <c r="F1359" s="111" t="str">
        <f>DataPull!D1359</f>
        <v/>
      </c>
      <c r="G1359" s="94" t="str">
        <f t="shared" si="2"/>
        <v/>
      </c>
      <c r="H1359" s="94" t="str">
        <f t="shared" si="3"/>
        <v/>
      </c>
      <c r="I1359" s="94" t="str">
        <f t="shared" ref="I1359:J1359" si="1360">if(G1359 = "", , -G1359)</f>
        <v/>
      </c>
      <c r="J1359" s="94" t="str">
        <f t="shared" si="1360"/>
        <v/>
      </c>
      <c r="K1359" s="100"/>
      <c r="M1359" s="100"/>
      <c r="N1359" s="100"/>
      <c r="O1359" s="100"/>
      <c r="P1359" s="100"/>
    </row>
    <row r="1360">
      <c r="A1360" s="107">
        <v>202130.0</v>
      </c>
      <c r="B1360" s="108" t="s">
        <v>85</v>
      </c>
      <c r="C1360" s="108" t="s">
        <v>473</v>
      </c>
      <c r="D1360" s="112" t="s">
        <v>181</v>
      </c>
      <c r="E1360" s="112">
        <v>16.8</v>
      </c>
      <c r="F1360" s="111" t="str">
        <f>DataPull!D1360</f>
        <v/>
      </c>
      <c r="G1360" s="94" t="str">
        <f t="shared" si="2"/>
        <v/>
      </c>
      <c r="H1360" s="94" t="str">
        <f t="shared" si="3"/>
        <v/>
      </c>
      <c r="I1360" s="94" t="str">
        <f t="shared" ref="I1360:J1360" si="1361">if(G1360 = "", , -G1360)</f>
        <v/>
      </c>
      <c r="J1360" s="94" t="str">
        <f t="shared" si="1361"/>
        <v/>
      </c>
      <c r="K1360" s="100"/>
      <c r="M1360" s="100"/>
      <c r="N1360" s="100"/>
      <c r="O1360" s="100"/>
      <c r="P1360" s="100"/>
    </row>
    <row r="1361">
      <c r="A1361" s="107">
        <v>202130.0</v>
      </c>
      <c r="B1361" s="108" t="s">
        <v>90</v>
      </c>
      <c r="C1361" s="108" t="s">
        <v>473</v>
      </c>
      <c r="D1361" s="112" t="s">
        <v>187</v>
      </c>
      <c r="E1361" s="112">
        <v>106.0</v>
      </c>
      <c r="F1361" s="111" t="str">
        <f>DataPull!D1361</f>
        <v/>
      </c>
      <c r="G1361" s="94" t="str">
        <f t="shared" si="2"/>
        <v/>
      </c>
      <c r="H1361" s="94" t="str">
        <f t="shared" si="3"/>
        <v/>
      </c>
      <c r="I1361" s="94" t="str">
        <f t="shared" ref="I1361:J1361" si="1362">if(G1361 = "", , -G1361)</f>
        <v/>
      </c>
      <c r="J1361" s="94" t="str">
        <f t="shared" si="1362"/>
        <v/>
      </c>
      <c r="K1361" s="100"/>
      <c r="M1361" s="100"/>
      <c r="N1361" s="100"/>
      <c r="O1361" s="100"/>
      <c r="P1361" s="100"/>
    </row>
    <row r="1362">
      <c r="A1362" s="107">
        <v>202130.0</v>
      </c>
      <c r="B1362" s="108" t="s">
        <v>190</v>
      </c>
      <c r="C1362" s="108" t="s">
        <v>473</v>
      </c>
      <c r="D1362" s="112" t="s">
        <v>181</v>
      </c>
      <c r="E1362" s="112">
        <v>79.2</v>
      </c>
      <c r="F1362" s="111" t="str">
        <f>DataPull!D1362</f>
        <v/>
      </c>
      <c r="G1362" s="94" t="str">
        <f t="shared" si="2"/>
        <v/>
      </c>
      <c r="H1362" s="94" t="str">
        <f t="shared" si="3"/>
        <v/>
      </c>
      <c r="I1362" s="94" t="str">
        <f t="shared" ref="I1362:J1362" si="1363">if(G1362 = "", , -G1362)</f>
        <v/>
      </c>
      <c r="J1362" s="94" t="str">
        <f t="shared" si="1363"/>
        <v/>
      </c>
      <c r="K1362" s="100"/>
      <c r="M1362" s="100"/>
      <c r="N1362" s="100"/>
      <c r="O1362" s="100"/>
      <c r="P1362" s="100"/>
    </row>
    <row r="1363">
      <c r="A1363" s="107">
        <v>202197.0</v>
      </c>
      <c r="B1363" s="108" t="s">
        <v>85</v>
      </c>
      <c r="C1363" s="108" t="s">
        <v>474</v>
      </c>
      <c r="D1363" s="112" t="s">
        <v>181</v>
      </c>
      <c r="E1363" s="112">
        <v>11.8</v>
      </c>
      <c r="F1363" s="111" t="str">
        <f>DataPull!D1363</f>
        <v/>
      </c>
      <c r="G1363" s="94" t="str">
        <f t="shared" si="2"/>
        <v/>
      </c>
      <c r="H1363" s="94" t="str">
        <f t="shared" si="3"/>
        <v/>
      </c>
      <c r="I1363" s="94" t="str">
        <f t="shared" ref="I1363:J1363" si="1364">if(G1363 = "", , -G1363)</f>
        <v/>
      </c>
      <c r="J1363" s="94" t="str">
        <f t="shared" si="1364"/>
        <v/>
      </c>
      <c r="K1363" s="100"/>
      <c r="M1363" s="100"/>
      <c r="O1363" s="100"/>
      <c r="P1363" s="100"/>
    </row>
    <row r="1364">
      <c r="A1364" s="107">
        <v>202322.0</v>
      </c>
      <c r="B1364" s="108" t="s">
        <v>85</v>
      </c>
      <c r="C1364" s="108" t="s">
        <v>475</v>
      </c>
      <c r="D1364" s="112" t="s">
        <v>184</v>
      </c>
      <c r="E1364" s="112">
        <v>2976.6</v>
      </c>
      <c r="F1364" s="111" t="str">
        <f>DataPull!D1364</f>
        <v/>
      </c>
      <c r="G1364" s="94" t="str">
        <f t="shared" si="2"/>
        <v/>
      </c>
      <c r="H1364" s="94" t="str">
        <f t="shared" si="3"/>
        <v/>
      </c>
      <c r="I1364" s="94" t="str">
        <f t="shared" ref="I1364:J1364" si="1365">if(G1364 = "", , -G1364)</f>
        <v/>
      </c>
      <c r="J1364" s="94" t="str">
        <f t="shared" si="1365"/>
        <v/>
      </c>
      <c r="K1364" s="100"/>
      <c r="M1364" s="100"/>
      <c r="N1364" s="100"/>
      <c r="O1364" s="100"/>
      <c r="P1364" s="100"/>
    </row>
    <row r="1365">
      <c r="A1365" s="107">
        <v>202322.0</v>
      </c>
      <c r="B1365" s="108" t="s">
        <v>90</v>
      </c>
      <c r="C1365" s="108" t="s">
        <v>475</v>
      </c>
      <c r="D1365" s="112" t="s">
        <v>184</v>
      </c>
      <c r="E1365" s="112">
        <v>2836.1</v>
      </c>
      <c r="F1365" s="111" t="str">
        <f>DataPull!D1365</f>
        <v/>
      </c>
      <c r="G1365" s="94" t="str">
        <f t="shared" si="2"/>
        <v/>
      </c>
      <c r="H1365" s="94" t="str">
        <f t="shared" si="3"/>
        <v/>
      </c>
      <c r="I1365" s="94" t="str">
        <f t="shared" ref="I1365:J1365" si="1366">if(G1365 = "", , -G1365)</f>
        <v/>
      </c>
      <c r="J1365" s="94" t="str">
        <f t="shared" si="1366"/>
        <v/>
      </c>
      <c r="K1365" s="100"/>
      <c r="M1365" s="100"/>
      <c r="N1365" s="100"/>
      <c r="O1365" s="100"/>
      <c r="P1365" s="100"/>
    </row>
    <row r="1366">
      <c r="A1366" s="107">
        <v>202322.0</v>
      </c>
      <c r="B1366" s="108" t="s">
        <v>92</v>
      </c>
      <c r="C1366" s="108" t="s">
        <v>475</v>
      </c>
      <c r="D1366" s="112" t="s">
        <v>184</v>
      </c>
      <c r="E1366" s="112">
        <v>2787.4</v>
      </c>
      <c r="F1366" s="111" t="str">
        <f>DataPull!D1366</f>
        <v/>
      </c>
      <c r="G1366" s="94" t="str">
        <f t="shared" si="2"/>
        <v/>
      </c>
      <c r="H1366" s="94" t="str">
        <f t="shared" si="3"/>
        <v/>
      </c>
      <c r="I1366" s="94" t="str">
        <f t="shared" ref="I1366:J1366" si="1367">if(G1366 = "", , -G1366)</f>
        <v/>
      </c>
      <c r="J1366" s="94" t="str">
        <f t="shared" si="1367"/>
        <v/>
      </c>
      <c r="K1366" s="100"/>
      <c r="L1366" s="100"/>
      <c r="M1366" s="100"/>
      <c r="N1366" s="100"/>
      <c r="O1366" s="100"/>
      <c r="P1366" s="100"/>
    </row>
    <row r="1367">
      <c r="A1367" s="107">
        <v>202322.0</v>
      </c>
      <c r="B1367" s="108" t="s">
        <v>190</v>
      </c>
      <c r="C1367" s="108" t="s">
        <v>475</v>
      </c>
      <c r="D1367" s="112" t="s">
        <v>184</v>
      </c>
      <c r="E1367" s="112">
        <v>2839.2</v>
      </c>
      <c r="F1367" s="111" t="str">
        <f>DataPull!D1367</f>
        <v/>
      </c>
      <c r="G1367" s="94" t="str">
        <f t="shared" si="2"/>
        <v/>
      </c>
      <c r="H1367" s="94" t="str">
        <f t="shared" si="3"/>
        <v/>
      </c>
      <c r="I1367" s="94" t="str">
        <f t="shared" ref="I1367:J1367" si="1368">if(G1367 = "", , -G1367)</f>
        <v/>
      </c>
      <c r="J1367" s="94" t="str">
        <f t="shared" si="1368"/>
        <v/>
      </c>
      <c r="K1367" s="100"/>
      <c r="M1367" s="100"/>
      <c r="N1367" s="100"/>
      <c r="O1367" s="100"/>
      <c r="P1367" s="100"/>
    </row>
    <row r="1368">
      <c r="A1368" s="107">
        <v>202322.0</v>
      </c>
      <c r="B1368" s="108" t="s">
        <v>191</v>
      </c>
      <c r="C1368" s="108" t="s">
        <v>475</v>
      </c>
      <c r="D1368" s="112" t="s">
        <v>184</v>
      </c>
      <c r="E1368" s="112">
        <v>1410.4</v>
      </c>
      <c r="F1368" s="111" t="str">
        <f>DataPull!D1368</f>
        <v/>
      </c>
      <c r="G1368" s="94" t="str">
        <f t="shared" si="2"/>
        <v/>
      </c>
      <c r="H1368" s="94" t="str">
        <f t="shared" si="3"/>
        <v/>
      </c>
      <c r="I1368" s="94" t="str">
        <f t="shared" ref="I1368:J1368" si="1369">if(G1368 = "", , -G1368)</f>
        <v/>
      </c>
      <c r="J1368" s="94" t="str">
        <f t="shared" si="1369"/>
        <v/>
      </c>
      <c r="K1368" s="100"/>
      <c r="L1368" s="100"/>
      <c r="M1368" s="100"/>
      <c r="N1368" s="100"/>
      <c r="O1368" s="100"/>
      <c r="P1368" s="100"/>
    </row>
    <row r="1369">
      <c r="A1369" s="107">
        <v>202322.0</v>
      </c>
      <c r="B1369" s="108" t="s">
        <v>192</v>
      </c>
      <c r="C1369" s="108" t="s">
        <v>475</v>
      </c>
      <c r="D1369" s="112" t="s">
        <v>184</v>
      </c>
      <c r="E1369" s="112">
        <v>1104.0</v>
      </c>
      <c r="F1369" s="111" t="str">
        <f>DataPull!D1369</f>
        <v/>
      </c>
      <c r="G1369" s="94" t="str">
        <f t="shared" si="2"/>
        <v/>
      </c>
      <c r="H1369" s="94" t="str">
        <f t="shared" si="3"/>
        <v/>
      </c>
      <c r="I1369" s="94" t="str">
        <f t="shared" ref="I1369:J1369" si="1370">if(G1369 = "", , -G1369)</f>
        <v/>
      </c>
      <c r="J1369" s="94" t="str">
        <f t="shared" si="1370"/>
        <v/>
      </c>
      <c r="K1369" s="100"/>
      <c r="L1369" s="100"/>
      <c r="M1369" s="100"/>
      <c r="N1369" s="100"/>
      <c r="O1369" s="100"/>
      <c r="P1369" s="100"/>
    </row>
    <row r="1370">
      <c r="A1370" s="107">
        <v>202322.0</v>
      </c>
      <c r="B1370" s="108" t="s">
        <v>243</v>
      </c>
      <c r="C1370" s="108" t="s">
        <v>475</v>
      </c>
      <c r="D1370" s="112" t="s">
        <v>178</v>
      </c>
      <c r="E1370" s="112">
        <v>1288.0</v>
      </c>
      <c r="F1370" s="111" t="str">
        <f>DataPull!D1370</f>
        <v/>
      </c>
      <c r="G1370" s="94" t="str">
        <f t="shared" si="2"/>
        <v/>
      </c>
      <c r="H1370" s="94" t="str">
        <f t="shared" si="3"/>
        <v/>
      </c>
      <c r="I1370" s="94" t="str">
        <f t="shared" ref="I1370:J1370" si="1371">if(G1370 = "", , -G1370)</f>
        <v/>
      </c>
      <c r="J1370" s="94" t="str">
        <f t="shared" si="1371"/>
        <v/>
      </c>
      <c r="K1370" s="100"/>
      <c r="M1370" s="100"/>
      <c r="N1370" s="100"/>
      <c r="O1370" s="100"/>
      <c r="P1370" s="100"/>
    </row>
    <row r="1371">
      <c r="A1371" s="107">
        <v>202322.0</v>
      </c>
      <c r="B1371" s="108" t="s">
        <v>244</v>
      </c>
      <c r="C1371" s="108" t="s">
        <v>475</v>
      </c>
      <c r="D1371" s="112" t="s">
        <v>176</v>
      </c>
      <c r="E1371" s="112">
        <v>754.8</v>
      </c>
      <c r="F1371" s="111" t="str">
        <f>DataPull!D1371</f>
        <v/>
      </c>
      <c r="G1371" s="94" t="str">
        <f t="shared" si="2"/>
        <v/>
      </c>
      <c r="H1371" s="94" t="str">
        <f t="shared" si="3"/>
        <v/>
      </c>
      <c r="I1371" s="94" t="str">
        <f t="shared" ref="I1371:J1371" si="1372">if(G1371 = "", , -G1371)</f>
        <v/>
      </c>
      <c r="J1371" s="94" t="str">
        <f t="shared" si="1372"/>
        <v/>
      </c>
      <c r="K1371" s="100"/>
      <c r="M1371" s="100"/>
      <c r="N1371" s="100"/>
      <c r="O1371" s="100"/>
      <c r="P1371" s="100"/>
    </row>
    <row r="1372">
      <c r="A1372" s="107">
        <v>202323.0</v>
      </c>
      <c r="B1372" s="108" t="s">
        <v>85</v>
      </c>
      <c r="C1372" s="108" t="s">
        <v>476</v>
      </c>
      <c r="D1372" s="112" t="s">
        <v>178</v>
      </c>
      <c r="E1372" s="112">
        <v>2454.3</v>
      </c>
      <c r="F1372" s="111" t="str">
        <f>DataPull!D1372</f>
        <v/>
      </c>
      <c r="G1372" s="94" t="str">
        <f t="shared" si="2"/>
        <v/>
      </c>
      <c r="H1372" s="94" t="str">
        <f t="shared" si="3"/>
        <v/>
      </c>
      <c r="I1372" s="94" t="str">
        <f t="shared" ref="I1372:J1372" si="1373">if(G1372 = "", , -G1372)</f>
        <v/>
      </c>
      <c r="J1372" s="94" t="str">
        <f t="shared" si="1373"/>
        <v/>
      </c>
      <c r="K1372" s="100"/>
      <c r="M1372" s="100"/>
      <c r="N1372" s="100"/>
      <c r="O1372" s="100"/>
      <c r="P1372" s="100"/>
    </row>
    <row r="1373">
      <c r="A1373" s="107">
        <v>202323.0</v>
      </c>
      <c r="B1373" s="108" t="s">
        <v>90</v>
      </c>
      <c r="C1373" s="108" t="s">
        <v>476</v>
      </c>
      <c r="D1373" s="112" t="s">
        <v>178</v>
      </c>
      <c r="E1373" s="112">
        <v>2263.2</v>
      </c>
      <c r="F1373" s="111" t="str">
        <f>DataPull!D1373</f>
        <v/>
      </c>
      <c r="G1373" s="94" t="str">
        <f t="shared" si="2"/>
        <v/>
      </c>
      <c r="H1373" s="94" t="str">
        <f t="shared" si="3"/>
        <v/>
      </c>
      <c r="I1373" s="94" t="str">
        <f t="shared" ref="I1373:J1373" si="1374">if(G1373 = "", , -G1373)</f>
        <v/>
      </c>
      <c r="J1373" s="94" t="str">
        <f t="shared" si="1374"/>
        <v/>
      </c>
      <c r="K1373" s="100"/>
      <c r="M1373" s="100"/>
      <c r="N1373" s="100"/>
      <c r="O1373" s="100"/>
      <c r="P1373" s="100"/>
    </row>
    <row r="1374">
      <c r="A1374" s="107">
        <v>202323.0</v>
      </c>
      <c r="B1374" s="108" t="s">
        <v>92</v>
      </c>
      <c r="C1374" s="108" t="s">
        <v>476</v>
      </c>
      <c r="D1374" s="112" t="s">
        <v>178</v>
      </c>
      <c r="E1374" s="112">
        <v>2268.0</v>
      </c>
      <c r="F1374" s="111" t="str">
        <f>DataPull!D1374</f>
        <v/>
      </c>
      <c r="G1374" s="94" t="str">
        <f t="shared" si="2"/>
        <v/>
      </c>
      <c r="H1374" s="94" t="str">
        <f t="shared" si="3"/>
        <v/>
      </c>
      <c r="I1374" s="94" t="str">
        <f t="shared" ref="I1374:J1374" si="1375">if(G1374 = "", , -G1374)</f>
        <v/>
      </c>
      <c r="J1374" s="94" t="str">
        <f t="shared" si="1375"/>
        <v/>
      </c>
      <c r="K1374" s="100"/>
      <c r="M1374" s="100"/>
      <c r="N1374" s="100"/>
      <c r="O1374" s="100"/>
      <c r="P1374" s="100"/>
    </row>
    <row r="1375">
      <c r="A1375" s="107">
        <v>202323.0</v>
      </c>
      <c r="B1375" s="108" t="s">
        <v>190</v>
      </c>
      <c r="C1375" s="108" t="s">
        <v>476</v>
      </c>
      <c r="D1375" s="112" t="s">
        <v>176</v>
      </c>
      <c r="E1375" s="112">
        <v>1657.5</v>
      </c>
      <c r="F1375" s="111" t="str">
        <f>DataPull!D1375</f>
        <v/>
      </c>
      <c r="G1375" s="94" t="str">
        <f t="shared" si="2"/>
        <v/>
      </c>
      <c r="H1375" s="94" t="str">
        <f t="shared" si="3"/>
        <v/>
      </c>
      <c r="I1375" s="94" t="str">
        <f t="shared" ref="I1375:J1375" si="1376">if(G1375 = "", , -G1375)</f>
        <v/>
      </c>
      <c r="J1375" s="94" t="str">
        <f t="shared" si="1376"/>
        <v/>
      </c>
      <c r="K1375" s="100"/>
      <c r="M1375" s="100"/>
      <c r="N1375" s="100"/>
      <c r="O1375" s="100"/>
      <c r="P1375" s="100"/>
    </row>
    <row r="1376">
      <c r="A1376" s="107">
        <v>202323.0</v>
      </c>
      <c r="B1376" s="108" t="s">
        <v>191</v>
      </c>
      <c r="C1376" s="108" t="s">
        <v>476</v>
      </c>
      <c r="D1376" s="112" t="s">
        <v>178</v>
      </c>
      <c r="E1376" s="112">
        <v>2030.3</v>
      </c>
      <c r="F1376" s="111" t="str">
        <f>DataPull!D1376</f>
        <v/>
      </c>
      <c r="G1376" s="94" t="str">
        <f t="shared" si="2"/>
        <v/>
      </c>
      <c r="H1376" s="94" t="str">
        <f t="shared" si="3"/>
        <v/>
      </c>
      <c r="I1376" s="94" t="str">
        <f t="shared" ref="I1376:J1376" si="1377">if(G1376 = "", , -G1376)</f>
        <v/>
      </c>
      <c r="J1376" s="94" t="str">
        <f t="shared" si="1377"/>
        <v/>
      </c>
      <c r="K1376" s="100"/>
      <c r="M1376" s="100"/>
      <c r="N1376" s="100"/>
      <c r="O1376" s="100"/>
      <c r="P1376" s="100"/>
    </row>
    <row r="1377">
      <c r="A1377" s="107">
        <v>202323.0</v>
      </c>
      <c r="B1377" s="108" t="s">
        <v>192</v>
      </c>
      <c r="C1377" s="108" t="s">
        <v>476</v>
      </c>
      <c r="D1377" s="112" t="s">
        <v>176</v>
      </c>
      <c r="E1377" s="112">
        <v>1606.0</v>
      </c>
      <c r="F1377" s="111" t="str">
        <f>DataPull!D1377</f>
        <v/>
      </c>
      <c r="G1377" s="94" t="str">
        <f t="shared" si="2"/>
        <v/>
      </c>
      <c r="H1377" s="94" t="str">
        <f t="shared" si="3"/>
        <v/>
      </c>
      <c r="I1377" s="94" t="str">
        <f t="shared" ref="I1377:J1377" si="1378">if(G1377 = "", , -G1377)</f>
        <v/>
      </c>
      <c r="J1377" s="94" t="str">
        <f t="shared" si="1378"/>
        <v/>
      </c>
      <c r="K1377" s="100"/>
      <c r="M1377" s="100"/>
      <c r="N1377" s="100"/>
      <c r="O1377" s="100"/>
      <c r="P1377" s="100"/>
    </row>
    <row r="1378">
      <c r="A1378" s="107">
        <v>202323.0</v>
      </c>
      <c r="B1378" s="108" t="s">
        <v>193</v>
      </c>
      <c r="C1378" s="108" t="s">
        <v>476</v>
      </c>
      <c r="D1378" s="112" t="s">
        <v>187</v>
      </c>
      <c r="E1378" s="112">
        <v>250.8</v>
      </c>
      <c r="F1378" s="111" t="str">
        <f>DataPull!D1378</f>
        <v/>
      </c>
      <c r="G1378" s="94" t="str">
        <f t="shared" si="2"/>
        <v/>
      </c>
      <c r="H1378" s="94" t="str">
        <f t="shared" si="3"/>
        <v/>
      </c>
      <c r="I1378" s="94" t="str">
        <f t="shared" ref="I1378:J1378" si="1379">if(G1378 = "", , -G1378)</f>
        <v/>
      </c>
      <c r="J1378" s="94" t="str">
        <f t="shared" si="1379"/>
        <v/>
      </c>
      <c r="K1378" s="100"/>
      <c r="L1378" s="100"/>
      <c r="N1378" s="100"/>
      <c r="O1378" s="100"/>
      <c r="P1378" s="100"/>
    </row>
    <row r="1379">
      <c r="A1379" s="107">
        <v>202324.0</v>
      </c>
      <c r="B1379" s="108" t="s">
        <v>85</v>
      </c>
      <c r="C1379" s="108" t="s">
        <v>477</v>
      </c>
      <c r="D1379" s="112" t="s">
        <v>178</v>
      </c>
      <c r="E1379" s="112">
        <v>2204.6</v>
      </c>
      <c r="F1379" s="111" t="str">
        <f>DataPull!D1379</f>
        <v/>
      </c>
      <c r="G1379" s="94" t="str">
        <f t="shared" si="2"/>
        <v/>
      </c>
      <c r="H1379" s="94" t="str">
        <f t="shared" si="3"/>
        <v/>
      </c>
      <c r="I1379" s="94" t="str">
        <f t="shared" ref="I1379:J1379" si="1380">if(G1379 = "", , -G1379)</f>
        <v/>
      </c>
      <c r="J1379" s="94" t="str">
        <f t="shared" si="1380"/>
        <v/>
      </c>
      <c r="K1379" s="100"/>
      <c r="L1379" s="100"/>
      <c r="N1379" s="100"/>
      <c r="O1379" s="100"/>
      <c r="P1379" s="100"/>
    </row>
    <row r="1380">
      <c r="A1380" s="107">
        <v>202324.0</v>
      </c>
      <c r="B1380" s="108" t="s">
        <v>90</v>
      </c>
      <c r="C1380" s="108" t="s">
        <v>477</v>
      </c>
      <c r="D1380" s="112" t="s">
        <v>178</v>
      </c>
      <c r="E1380" s="112">
        <v>2279.2</v>
      </c>
      <c r="F1380" s="111" t="str">
        <f>DataPull!D1380</f>
        <v/>
      </c>
      <c r="G1380" s="94" t="str">
        <f t="shared" si="2"/>
        <v/>
      </c>
      <c r="H1380" s="94" t="str">
        <f t="shared" si="3"/>
        <v/>
      </c>
      <c r="I1380" s="94" t="str">
        <f t="shared" ref="I1380:J1380" si="1381">if(G1380 = "", , -G1380)</f>
        <v/>
      </c>
      <c r="J1380" s="94" t="str">
        <f t="shared" si="1381"/>
        <v/>
      </c>
      <c r="K1380" s="100"/>
      <c r="L1380" s="100"/>
      <c r="M1380" s="100"/>
      <c r="N1380" s="100"/>
      <c r="O1380" s="100"/>
      <c r="P1380" s="100"/>
    </row>
    <row r="1381">
      <c r="A1381" s="107">
        <v>202324.0</v>
      </c>
      <c r="B1381" s="108" t="s">
        <v>92</v>
      </c>
      <c r="C1381" s="108" t="s">
        <v>477</v>
      </c>
      <c r="D1381" s="112" t="s">
        <v>184</v>
      </c>
      <c r="E1381" s="112">
        <v>1984.0</v>
      </c>
      <c r="F1381" s="111" t="str">
        <f>DataPull!D1381</f>
        <v/>
      </c>
      <c r="G1381" s="94" t="str">
        <f t="shared" si="2"/>
        <v/>
      </c>
      <c r="H1381" s="94" t="str">
        <f t="shared" si="3"/>
        <v/>
      </c>
      <c r="I1381" s="94" t="str">
        <f t="shared" ref="I1381:J1381" si="1382">if(G1381 = "", , -G1381)</f>
        <v/>
      </c>
      <c r="J1381" s="94" t="str">
        <f t="shared" si="1382"/>
        <v/>
      </c>
      <c r="K1381" s="100"/>
      <c r="M1381" s="100"/>
      <c r="N1381" s="100"/>
      <c r="O1381" s="100"/>
      <c r="P1381" s="100"/>
    </row>
    <row r="1382">
      <c r="A1382" s="107">
        <v>202324.0</v>
      </c>
      <c r="B1382" s="108" t="s">
        <v>190</v>
      </c>
      <c r="C1382" s="108" t="s">
        <v>477</v>
      </c>
      <c r="D1382" s="112" t="s">
        <v>176</v>
      </c>
      <c r="E1382" s="112">
        <v>1185.0</v>
      </c>
      <c r="F1382" s="111" t="str">
        <f>DataPull!D1382</f>
        <v/>
      </c>
      <c r="G1382" s="94" t="str">
        <f t="shared" si="2"/>
        <v/>
      </c>
      <c r="H1382" s="94" t="str">
        <f t="shared" si="3"/>
        <v/>
      </c>
      <c r="I1382" s="94" t="str">
        <f t="shared" ref="I1382:J1382" si="1383">if(G1382 = "", , -G1382)</f>
        <v/>
      </c>
      <c r="J1382" s="94" t="str">
        <f t="shared" si="1383"/>
        <v/>
      </c>
      <c r="K1382" s="100"/>
      <c r="L1382" s="100"/>
      <c r="M1382" s="100"/>
      <c r="N1382" s="100"/>
      <c r="O1382" s="100"/>
      <c r="P1382" s="100"/>
    </row>
    <row r="1383">
      <c r="A1383" s="107">
        <v>202324.0</v>
      </c>
      <c r="B1383" s="108" t="s">
        <v>191</v>
      </c>
      <c r="C1383" s="108" t="s">
        <v>477</v>
      </c>
      <c r="D1383" s="112" t="s">
        <v>184</v>
      </c>
      <c r="E1383" s="112">
        <v>2156.0</v>
      </c>
      <c r="F1383" s="111" t="str">
        <f>DataPull!D1383</f>
        <v/>
      </c>
      <c r="G1383" s="94" t="str">
        <f t="shared" si="2"/>
        <v/>
      </c>
      <c r="H1383" s="94" t="str">
        <f t="shared" si="3"/>
        <v/>
      </c>
      <c r="I1383" s="94" t="str">
        <f t="shared" ref="I1383:J1383" si="1384">if(G1383 = "", , -G1383)</f>
        <v/>
      </c>
      <c r="J1383" s="94" t="str">
        <f t="shared" si="1384"/>
        <v/>
      </c>
      <c r="K1383" s="100"/>
      <c r="M1383" s="100"/>
      <c r="N1383" s="100"/>
      <c r="O1383" s="100"/>
      <c r="P1383" s="100"/>
    </row>
    <row r="1384">
      <c r="A1384" s="107">
        <v>202324.0</v>
      </c>
      <c r="B1384" s="108" t="s">
        <v>192</v>
      </c>
      <c r="C1384" s="108" t="s">
        <v>477</v>
      </c>
      <c r="D1384" s="112" t="s">
        <v>176</v>
      </c>
      <c r="E1384" s="112">
        <v>1763.2</v>
      </c>
      <c r="F1384" s="111" t="str">
        <f>DataPull!D1384</f>
        <v/>
      </c>
      <c r="G1384" s="94" t="str">
        <f t="shared" si="2"/>
        <v/>
      </c>
      <c r="H1384" s="94" t="str">
        <f t="shared" si="3"/>
        <v/>
      </c>
      <c r="I1384" s="94" t="str">
        <f t="shared" ref="I1384:J1384" si="1385">if(G1384 = "", , -G1384)</f>
        <v/>
      </c>
      <c r="J1384" s="94" t="str">
        <f t="shared" si="1385"/>
        <v/>
      </c>
      <c r="K1384" s="100"/>
      <c r="M1384" s="100"/>
      <c r="N1384" s="100"/>
      <c r="O1384" s="100"/>
      <c r="P1384" s="100"/>
    </row>
    <row r="1385">
      <c r="A1385" s="107">
        <v>202324.0</v>
      </c>
      <c r="B1385" s="108" t="s">
        <v>193</v>
      </c>
      <c r="C1385" s="108" t="s">
        <v>477</v>
      </c>
      <c r="D1385" s="112" t="s">
        <v>176</v>
      </c>
      <c r="E1385" s="112">
        <v>1244.4</v>
      </c>
      <c r="F1385" s="111" t="str">
        <f>DataPull!D1385</f>
        <v/>
      </c>
      <c r="G1385" s="94" t="str">
        <f t="shared" si="2"/>
        <v/>
      </c>
      <c r="H1385" s="94" t="str">
        <f t="shared" si="3"/>
        <v/>
      </c>
      <c r="I1385" s="94" t="str">
        <f t="shared" ref="I1385:J1385" si="1386">if(G1385 = "", , -G1385)</f>
        <v/>
      </c>
      <c r="J1385" s="94" t="str">
        <f t="shared" si="1386"/>
        <v/>
      </c>
      <c r="K1385" s="100"/>
      <c r="M1385" s="100"/>
      <c r="N1385" s="100"/>
      <c r="O1385" s="100"/>
      <c r="P1385" s="100"/>
    </row>
    <row r="1386">
      <c r="A1386" s="107">
        <v>202324.0</v>
      </c>
      <c r="B1386" s="108" t="s">
        <v>243</v>
      </c>
      <c r="C1386" s="108" t="s">
        <v>477</v>
      </c>
      <c r="D1386" s="112" t="s">
        <v>177</v>
      </c>
      <c r="E1386" s="112">
        <v>1040.4</v>
      </c>
      <c r="F1386" s="111" t="str">
        <f>DataPull!D1386</f>
        <v/>
      </c>
      <c r="G1386" s="94" t="str">
        <f t="shared" si="2"/>
        <v/>
      </c>
      <c r="H1386" s="94" t="str">
        <f t="shared" si="3"/>
        <v/>
      </c>
      <c r="I1386" s="94" t="str">
        <f t="shared" ref="I1386:J1386" si="1387">if(G1386 = "", , -G1386)</f>
        <v/>
      </c>
      <c r="J1386" s="94" t="str">
        <f t="shared" si="1387"/>
        <v/>
      </c>
      <c r="K1386" s="100"/>
      <c r="M1386" s="100"/>
      <c r="N1386" s="100"/>
      <c r="O1386" s="100"/>
      <c r="P1386" s="100"/>
    </row>
    <row r="1387">
      <c r="A1387" s="107">
        <v>202324.0</v>
      </c>
      <c r="B1387" s="108" t="s">
        <v>215</v>
      </c>
      <c r="C1387" s="108" t="s">
        <v>477</v>
      </c>
      <c r="D1387" s="112" t="s">
        <v>177</v>
      </c>
      <c r="E1387" s="112">
        <v>651.3</v>
      </c>
      <c r="F1387" s="111" t="str">
        <f>DataPull!D1387</f>
        <v/>
      </c>
      <c r="G1387" s="94" t="str">
        <f t="shared" si="2"/>
        <v/>
      </c>
      <c r="H1387" s="94" t="str">
        <f t="shared" si="3"/>
        <v/>
      </c>
      <c r="I1387" s="94" t="str">
        <f t="shared" ref="I1387:J1387" si="1388">if(G1387 = "", , -G1387)</f>
        <v/>
      </c>
      <c r="J1387" s="94" t="str">
        <f t="shared" si="1388"/>
        <v/>
      </c>
      <c r="K1387" s="100"/>
      <c r="M1387" s="100"/>
      <c r="N1387" s="100"/>
      <c r="O1387" s="100"/>
      <c r="P1387" s="100"/>
    </row>
    <row r="1388">
      <c r="A1388" s="107">
        <v>202325.0</v>
      </c>
      <c r="B1388" s="108" t="s">
        <v>85</v>
      </c>
      <c r="C1388" s="108" t="s">
        <v>478</v>
      </c>
      <c r="D1388" s="112" t="s">
        <v>178</v>
      </c>
      <c r="E1388" s="112">
        <v>2243.6</v>
      </c>
      <c r="F1388" s="111" t="str">
        <f>DataPull!D1388</f>
        <v/>
      </c>
      <c r="G1388" s="94" t="str">
        <f t="shared" si="2"/>
        <v/>
      </c>
      <c r="H1388" s="94" t="str">
        <f t="shared" si="3"/>
        <v/>
      </c>
      <c r="I1388" s="94" t="str">
        <f t="shared" ref="I1388:J1388" si="1389">if(G1388 = "", , -G1388)</f>
        <v/>
      </c>
      <c r="J1388" s="94" t="str">
        <f t="shared" si="1389"/>
        <v/>
      </c>
      <c r="K1388" s="100"/>
      <c r="L1388" s="100"/>
      <c r="N1388" s="100"/>
      <c r="O1388" s="100"/>
      <c r="P1388" s="100"/>
    </row>
    <row r="1389">
      <c r="A1389" s="107">
        <v>202325.0</v>
      </c>
      <c r="B1389" s="108" t="s">
        <v>90</v>
      </c>
      <c r="C1389" s="108" t="s">
        <v>478</v>
      </c>
      <c r="D1389" s="112" t="s">
        <v>178</v>
      </c>
      <c r="E1389" s="112">
        <v>2242.0</v>
      </c>
      <c r="F1389" s="111" t="str">
        <f>DataPull!D1389</f>
        <v/>
      </c>
      <c r="G1389" s="94" t="str">
        <f t="shared" si="2"/>
        <v/>
      </c>
      <c r="H1389" s="94" t="str">
        <f t="shared" si="3"/>
        <v/>
      </c>
      <c r="I1389" s="94" t="str">
        <f t="shared" ref="I1389:J1389" si="1390">if(G1389 = "", , -G1389)</f>
        <v/>
      </c>
      <c r="J1389" s="94" t="str">
        <f t="shared" si="1390"/>
        <v/>
      </c>
      <c r="K1389" s="100"/>
      <c r="L1389" s="100"/>
      <c r="M1389" s="100"/>
      <c r="N1389" s="100"/>
      <c r="O1389" s="100"/>
      <c r="P1389" s="100"/>
    </row>
    <row r="1390">
      <c r="A1390" s="107">
        <v>202325.0</v>
      </c>
      <c r="B1390" s="108" t="s">
        <v>92</v>
      </c>
      <c r="C1390" s="108" t="s">
        <v>478</v>
      </c>
      <c r="D1390" s="112" t="s">
        <v>176</v>
      </c>
      <c r="E1390" s="112">
        <v>1664.0</v>
      </c>
      <c r="F1390" s="111" t="str">
        <f>DataPull!D1390</f>
        <v/>
      </c>
      <c r="G1390" s="94" t="str">
        <f t="shared" si="2"/>
        <v/>
      </c>
      <c r="H1390" s="94" t="str">
        <f t="shared" si="3"/>
        <v/>
      </c>
      <c r="I1390" s="94" t="str">
        <f t="shared" ref="I1390:J1390" si="1391">if(G1390 = "", , -G1390)</f>
        <v/>
      </c>
      <c r="J1390" s="94" t="str">
        <f t="shared" si="1391"/>
        <v/>
      </c>
      <c r="K1390" s="100"/>
      <c r="M1390" s="100"/>
      <c r="N1390" s="100"/>
      <c r="O1390" s="100"/>
      <c r="P1390" s="100"/>
    </row>
    <row r="1391">
      <c r="A1391" s="107">
        <v>202325.0</v>
      </c>
      <c r="B1391" s="108" t="s">
        <v>190</v>
      </c>
      <c r="C1391" s="108" t="s">
        <v>478</v>
      </c>
      <c r="D1391" s="112" t="s">
        <v>187</v>
      </c>
      <c r="E1391" s="112">
        <v>809.2</v>
      </c>
      <c r="F1391" s="111" t="str">
        <f>DataPull!D1391</f>
        <v/>
      </c>
      <c r="G1391" s="94" t="str">
        <f t="shared" si="2"/>
        <v/>
      </c>
      <c r="H1391" s="94" t="str">
        <f t="shared" si="3"/>
        <v/>
      </c>
      <c r="I1391" s="94" t="str">
        <f t="shared" ref="I1391:J1391" si="1392">if(G1391 = "", , -G1391)</f>
        <v/>
      </c>
      <c r="J1391" s="94" t="str">
        <f t="shared" si="1392"/>
        <v/>
      </c>
      <c r="K1391" s="100"/>
      <c r="M1391" s="100"/>
      <c r="N1391" s="100"/>
      <c r="O1391" s="100"/>
      <c r="P1391" s="100"/>
    </row>
    <row r="1392">
      <c r="A1392" s="107">
        <v>202325.0</v>
      </c>
      <c r="B1392" s="108" t="s">
        <v>191</v>
      </c>
      <c r="C1392" s="108" t="s">
        <v>478</v>
      </c>
      <c r="D1392" s="112" t="s">
        <v>177</v>
      </c>
      <c r="E1392" s="112">
        <v>1487.4</v>
      </c>
      <c r="F1392" s="111" t="str">
        <f>DataPull!D1392</f>
        <v/>
      </c>
      <c r="G1392" s="94" t="str">
        <f t="shared" si="2"/>
        <v/>
      </c>
      <c r="H1392" s="94" t="str">
        <f t="shared" si="3"/>
        <v/>
      </c>
      <c r="I1392" s="94" t="str">
        <f t="shared" ref="I1392:J1392" si="1393">if(G1392 = "", , -G1392)</f>
        <v/>
      </c>
      <c r="J1392" s="94" t="str">
        <f t="shared" si="1393"/>
        <v/>
      </c>
      <c r="K1392" s="100"/>
      <c r="M1392" s="100"/>
      <c r="N1392" s="100"/>
      <c r="O1392" s="100"/>
      <c r="P1392" s="100"/>
    </row>
    <row r="1393">
      <c r="A1393" s="107">
        <v>202325.0</v>
      </c>
      <c r="B1393" s="108" t="s">
        <v>192</v>
      </c>
      <c r="C1393" s="108" t="s">
        <v>478</v>
      </c>
      <c r="D1393" s="112" t="s">
        <v>177</v>
      </c>
      <c r="E1393" s="112">
        <v>535.8</v>
      </c>
      <c r="F1393" s="111" t="str">
        <f>DataPull!D1393</f>
        <v/>
      </c>
      <c r="G1393" s="94" t="str">
        <f t="shared" si="2"/>
        <v/>
      </c>
      <c r="H1393" s="94" t="str">
        <f t="shared" si="3"/>
        <v/>
      </c>
      <c r="I1393" s="94" t="str">
        <f t="shared" ref="I1393:J1393" si="1394">if(G1393 = "", , -G1393)</f>
        <v/>
      </c>
      <c r="J1393" s="94" t="str">
        <f t="shared" si="1394"/>
        <v/>
      </c>
      <c r="K1393" s="100"/>
      <c r="M1393" s="100"/>
      <c r="N1393" s="100"/>
      <c r="O1393" s="100"/>
      <c r="P1393" s="100"/>
    </row>
    <row r="1394">
      <c r="A1394" s="107">
        <v>202326.0</v>
      </c>
      <c r="B1394" s="108" t="s">
        <v>85</v>
      </c>
      <c r="C1394" s="108" t="s">
        <v>479</v>
      </c>
      <c r="D1394" s="112" t="s">
        <v>184</v>
      </c>
      <c r="E1394" s="112">
        <v>2300.4</v>
      </c>
      <c r="F1394" s="111" t="str">
        <f>DataPull!D1394</f>
        <v/>
      </c>
      <c r="G1394" s="94" t="str">
        <f t="shared" si="2"/>
        <v/>
      </c>
      <c r="H1394" s="94" t="str">
        <f t="shared" si="3"/>
        <v/>
      </c>
      <c r="I1394" s="94" t="str">
        <f t="shared" ref="I1394:J1394" si="1395">if(G1394 = "", , -G1394)</f>
        <v/>
      </c>
      <c r="J1394" s="94" t="str">
        <f t="shared" si="1395"/>
        <v/>
      </c>
      <c r="K1394" s="100"/>
      <c r="M1394" s="100"/>
      <c r="N1394" s="100"/>
      <c r="O1394" s="100"/>
      <c r="P1394" s="100"/>
    </row>
    <row r="1395">
      <c r="A1395" s="107">
        <v>202326.0</v>
      </c>
      <c r="B1395" s="108" t="s">
        <v>90</v>
      </c>
      <c r="C1395" s="108" t="s">
        <v>479</v>
      </c>
      <c r="D1395" s="112" t="s">
        <v>184</v>
      </c>
      <c r="E1395" s="112">
        <v>2011.9</v>
      </c>
      <c r="F1395" s="111" t="str">
        <f>DataPull!D1395</f>
        <v/>
      </c>
      <c r="G1395" s="94" t="str">
        <f t="shared" si="2"/>
        <v/>
      </c>
      <c r="H1395" s="94" t="str">
        <f t="shared" si="3"/>
        <v/>
      </c>
      <c r="I1395" s="94" t="str">
        <f t="shared" ref="I1395:J1395" si="1396">if(G1395 = "", , -G1395)</f>
        <v/>
      </c>
      <c r="J1395" s="94" t="str">
        <f t="shared" si="1396"/>
        <v/>
      </c>
      <c r="K1395" s="100"/>
      <c r="M1395" s="100"/>
      <c r="N1395" s="100"/>
      <c r="O1395" s="100"/>
      <c r="P1395" s="100"/>
    </row>
    <row r="1396">
      <c r="A1396" s="107">
        <v>202326.0</v>
      </c>
      <c r="B1396" s="108" t="s">
        <v>92</v>
      </c>
      <c r="C1396" s="108" t="s">
        <v>479</v>
      </c>
      <c r="D1396" s="112" t="s">
        <v>184</v>
      </c>
      <c r="E1396" s="112">
        <v>2249.0</v>
      </c>
      <c r="F1396" s="111" t="str">
        <f>DataPull!D1396</f>
        <v/>
      </c>
      <c r="G1396" s="94" t="str">
        <f t="shared" si="2"/>
        <v/>
      </c>
      <c r="H1396" s="94" t="str">
        <f t="shared" si="3"/>
        <v/>
      </c>
      <c r="I1396" s="94" t="str">
        <f t="shared" ref="I1396:J1396" si="1397">if(G1396 = "", , -G1396)</f>
        <v/>
      </c>
      <c r="J1396" s="94" t="str">
        <f t="shared" si="1397"/>
        <v/>
      </c>
      <c r="K1396" s="100"/>
      <c r="M1396" s="100"/>
      <c r="N1396" s="100"/>
      <c r="O1396" s="100"/>
      <c r="P1396" s="100"/>
    </row>
    <row r="1397">
      <c r="A1397" s="107">
        <v>202326.0</v>
      </c>
      <c r="B1397" s="108" t="s">
        <v>190</v>
      </c>
      <c r="C1397" s="108" t="s">
        <v>479</v>
      </c>
      <c r="D1397" s="112" t="s">
        <v>184</v>
      </c>
      <c r="E1397" s="112">
        <v>2462.4</v>
      </c>
      <c r="F1397" s="111" t="str">
        <f>DataPull!D1397</f>
        <v/>
      </c>
      <c r="G1397" s="94" t="str">
        <f t="shared" si="2"/>
        <v/>
      </c>
      <c r="H1397" s="94" t="str">
        <f t="shared" si="3"/>
        <v/>
      </c>
      <c r="I1397" s="94" t="str">
        <f t="shared" ref="I1397:J1397" si="1398">if(G1397 = "", , -G1397)</f>
        <v/>
      </c>
      <c r="J1397" s="94" t="str">
        <f t="shared" si="1398"/>
        <v/>
      </c>
      <c r="K1397" s="100"/>
      <c r="M1397" s="100"/>
      <c r="N1397" s="100"/>
      <c r="O1397" s="100"/>
      <c r="P1397" s="100"/>
    </row>
    <row r="1398">
      <c r="A1398" s="107">
        <v>202326.0</v>
      </c>
      <c r="B1398" s="108" t="s">
        <v>191</v>
      </c>
      <c r="C1398" s="108" t="s">
        <v>479</v>
      </c>
      <c r="D1398" s="112" t="s">
        <v>184</v>
      </c>
      <c r="E1398" s="112">
        <v>1737.6</v>
      </c>
      <c r="F1398" s="111" t="str">
        <f>DataPull!D1398</f>
        <v/>
      </c>
      <c r="G1398" s="94" t="str">
        <f t="shared" si="2"/>
        <v/>
      </c>
      <c r="H1398" s="94" t="str">
        <f t="shared" si="3"/>
        <v/>
      </c>
      <c r="I1398" s="94" t="str">
        <f t="shared" ref="I1398:J1398" si="1399">if(G1398 = "", , -G1398)</f>
        <v/>
      </c>
      <c r="J1398" s="94" t="str">
        <f t="shared" si="1399"/>
        <v/>
      </c>
      <c r="K1398" s="100"/>
      <c r="M1398" s="100"/>
      <c r="N1398" s="100"/>
      <c r="O1398" s="100"/>
      <c r="P1398" s="100"/>
    </row>
    <row r="1399">
      <c r="A1399" s="107">
        <v>202326.0</v>
      </c>
      <c r="B1399" s="108" t="s">
        <v>192</v>
      </c>
      <c r="C1399" s="108" t="s">
        <v>479</v>
      </c>
      <c r="D1399" s="112" t="s">
        <v>184</v>
      </c>
      <c r="E1399" s="112">
        <v>771.0</v>
      </c>
      <c r="F1399" s="111" t="str">
        <f>DataPull!D1399</f>
        <v/>
      </c>
      <c r="G1399" s="94" t="str">
        <f t="shared" si="2"/>
        <v/>
      </c>
      <c r="H1399" s="94" t="str">
        <f t="shared" si="3"/>
        <v/>
      </c>
      <c r="I1399" s="94" t="str">
        <f t="shared" ref="I1399:J1399" si="1400">if(G1399 = "", , -G1399)</f>
        <v/>
      </c>
      <c r="J1399" s="94" t="str">
        <f t="shared" si="1400"/>
        <v/>
      </c>
      <c r="K1399" s="100"/>
      <c r="L1399" s="100"/>
      <c r="N1399" s="100"/>
      <c r="O1399" s="100"/>
      <c r="P1399" s="100"/>
    </row>
    <row r="1400">
      <c r="A1400" s="107">
        <v>202326.0</v>
      </c>
      <c r="B1400" s="108" t="s">
        <v>243</v>
      </c>
      <c r="C1400" s="108" t="s">
        <v>479</v>
      </c>
      <c r="D1400" s="112" t="s">
        <v>177</v>
      </c>
      <c r="E1400" s="112">
        <v>713.4</v>
      </c>
      <c r="F1400" s="111" t="str">
        <f>DataPull!D1400</f>
        <v/>
      </c>
      <c r="G1400" s="94" t="str">
        <f t="shared" si="2"/>
        <v/>
      </c>
      <c r="H1400" s="94" t="str">
        <f t="shared" si="3"/>
        <v/>
      </c>
      <c r="I1400" s="94" t="str">
        <f t="shared" ref="I1400:J1400" si="1401">if(G1400 = "", , -G1400)</f>
        <v/>
      </c>
      <c r="J1400" s="94" t="str">
        <f t="shared" si="1401"/>
        <v/>
      </c>
      <c r="K1400" s="100"/>
      <c r="L1400" s="100"/>
      <c r="N1400" s="100"/>
      <c r="O1400" s="100"/>
      <c r="P1400" s="100"/>
    </row>
    <row r="1401">
      <c r="A1401" s="107">
        <v>202326.0</v>
      </c>
      <c r="B1401" s="108" t="s">
        <v>215</v>
      </c>
      <c r="C1401" s="108" t="s">
        <v>479</v>
      </c>
      <c r="D1401" s="112" t="s">
        <v>177</v>
      </c>
      <c r="E1401" s="112">
        <v>715.2</v>
      </c>
      <c r="F1401" s="111" t="str">
        <f>DataPull!D1401</f>
        <v/>
      </c>
      <c r="G1401" s="94" t="str">
        <f t="shared" si="2"/>
        <v/>
      </c>
      <c r="H1401" s="94" t="str">
        <f t="shared" si="3"/>
        <v/>
      </c>
      <c r="I1401" s="94" t="str">
        <f t="shared" ref="I1401:J1401" si="1402">if(G1401 = "", , -G1401)</f>
        <v/>
      </c>
      <c r="J1401" s="94" t="str">
        <f t="shared" si="1402"/>
        <v/>
      </c>
      <c r="K1401" s="100"/>
      <c r="M1401" s="100"/>
      <c r="N1401" s="100"/>
      <c r="O1401" s="100"/>
      <c r="P1401" s="100"/>
    </row>
    <row r="1402">
      <c r="A1402" s="107">
        <v>202327.0</v>
      </c>
      <c r="B1402" s="108" t="s">
        <v>85</v>
      </c>
      <c r="C1402" s="108" t="s">
        <v>480</v>
      </c>
      <c r="D1402" s="112" t="s">
        <v>177</v>
      </c>
      <c r="E1402" s="112">
        <v>802.2</v>
      </c>
      <c r="F1402" s="111" t="str">
        <f>DataPull!D1402</f>
        <v/>
      </c>
      <c r="G1402" s="94" t="str">
        <f t="shared" si="2"/>
        <v/>
      </c>
      <c r="H1402" s="94" t="str">
        <f t="shared" si="3"/>
        <v/>
      </c>
      <c r="I1402" s="94" t="str">
        <f t="shared" ref="I1402:J1402" si="1403">if(G1402 = "", , -G1402)</f>
        <v/>
      </c>
      <c r="J1402" s="94" t="str">
        <f t="shared" si="1403"/>
        <v/>
      </c>
      <c r="K1402" s="100"/>
      <c r="M1402" s="100"/>
      <c r="N1402" s="100"/>
      <c r="O1402" s="100"/>
      <c r="P1402" s="100"/>
    </row>
    <row r="1403">
      <c r="A1403" s="107">
        <v>202327.0</v>
      </c>
      <c r="B1403" s="108" t="s">
        <v>90</v>
      </c>
      <c r="C1403" s="108" t="s">
        <v>480</v>
      </c>
      <c r="D1403" s="112" t="s">
        <v>187</v>
      </c>
      <c r="E1403" s="112">
        <v>128.7</v>
      </c>
      <c r="F1403" s="111" t="str">
        <f>DataPull!D1403</f>
        <v/>
      </c>
      <c r="G1403" s="94" t="str">
        <f t="shared" si="2"/>
        <v/>
      </c>
      <c r="H1403" s="94" t="str">
        <f t="shared" si="3"/>
        <v/>
      </c>
      <c r="I1403" s="94" t="str">
        <f t="shared" ref="I1403:J1403" si="1404">if(G1403 = "", , -G1403)</f>
        <v/>
      </c>
      <c r="J1403" s="94" t="str">
        <f t="shared" si="1404"/>
        <v/>
      </c>
      <c r="K1403" s="100"/>
      <c r="L1403" s="100"/>
      <c r="N1403" s="100"/>
      <c r="O1403" s="100"/>
      <c r="P1403" s="100"/>
    </row>
    <row r="1404">
      <c r="A1404" s="107">
        <v>202327.0</v>
      </c>
      <c r="B1404" s="108" t="s">
        <v>191</v>
      </c>
      <c r="C1404" s="108" t="s">
        <v>480</v>
      </c>
      <c r="D1404" s="112" t="s">
        <v>187</v>
      </c>
      <c r="E1404" s="112">
        <v>812.7</v>
      </c>
      <c r="F1404" s="111" t="str">
        <f>DataPull!D1404</f>
        <v/>
      </c>
      <c r="G1404" s="94" t="str">
        <f t="shared" si="2"/>
        <v/>
      </c>
      <c r="H1404" s="94" t="str">
        <f t="shared" si="3"/>
        <v/>
      </c>
      <c r="I1404" s="94" t="str">
        <f t="shared" ref="I1404:J1404" si="1405">if(G1404 = "", , -G1404)</f>
        <v/>
      </c>
      <c r="J1404" s="94" t="str">
        <f t="shared" si="1405"/>
        <v/>
      </c>
      <c r="K1404" s="100"/>
      <c r="M1404" s="100"/>
      <c r="N1404" s="100"/>
      <c r="O1404" s="100"/>
      <c r="P1404" s="100"/>
    </row>
    <row r="1405">
      <c r="A1405" s="107">
        <v>202327.0</v>
      </c>
      <c r="B1405" s="108" t="s">
        <v>192</v>
      </c>
      <c r="C1405" s="108" t="s">
        <v>480</v>
      </c>
      <c r="D1405" s="112" t="s">
        <v>187</v>
      </c>
      <c r="E1405" s="112">
        <v>321.3</v>
      </c>
      <c r="F1405" s="111" t="str">
        <f>DataPull!D1405</f>
        <v/>
      </c>
      <c r="G1405" s="94" t="str">
        <f t="shared" si="2"/>
        <v/>
      </c>
      <c r="H1405" s="94" t="str">
        <f t="shared" si="3"/>
        <v/>
      </c>
      <c r="I1405" s="94" t="str">
        <f t="shared" ref="I1405:J1405" si="1406">if(G1405 = "", , -G1405)</f>
        <v/>
      </c>
      <c r="J1405" s="94" t="str">
        <f t="shared" si="1406"/>
        <v/>
      </c>
      <c r="K1405" s="100"/>
      <c r="M1405" s="100"/>
      <c r="N1405" s="100"/>
      <c r="O1405" s="100"/>
      <c r="P1405" s="100"/>
    </row>
    <row r="1406">
      <c r="A1406" s="107">
        <v>202328.0</v>
      </c>
      <c r="B1406" s="108" t="s">
        <v>85</v>
      </c>
      <c r="C1406" s="108" t="s">
        <v>481</v>
      </c>
      <c r="D1406" s="112" t="s">
        <v>178</v>
      </c>
      <c r="E1406" s="112">
        <v>2689.6</v>
      </c>
      <c r="F1406" s="111" t="str">
        <f>DataPull!D1406</f>
        <v/>
      </c>
      <c r="G1406" s="94" t="str">
        <f t="shared" si="2"/>
        <v/>
      </c>
      <c r="H1406" s="94" t="str">
        <f t="shared" si="3"/>
        <v/>
      </c>
      <c r="I1406" s="94" t="str">
        <f t="shared" ref="I1406:J1406" si="1407">if(G1406 = "", , -G1406)</f>
        <v/>
      </c>
      <c r="J1406" s="94" t="str">
        <f t="shared" si="1407"/>
        <v/>
      </c>
      <c r="K1406" s="100"/>
      <c r="M1406" s="100"/>
      <c r="N1406" s="100"/>
      <c r="O1406" s="100"/>
      <c r="P1406" s="100"/>
    </row>
    <row r="1407">
      <c r="A1407" s="107">
        <v>202328.0</v>
      </c>
      <c r="B1407" s="108" t="s">
        <v>90</v>
      </c>
      <c r="C1407" s="108" t="s">
        <v>481</v>
      </c>
      <c r="D1407" s="112" t="s">
        <v>178</v>
      </c>
      <c r="E1407" s="112">
        <v>2139.0</v>
      </c>
      <c r="F1407" s="111" t="str">
        <f>DataPull!D1407</f>
        <v/>
      </c>
      <c r="G1407" s="94" t="str">
        <f t="shared" si="2"/>
        <v/>
      </c>
      <c r="H1407" s="94" t="str">
        <f t="shared" si="3"/>
        <v/>
      </c>
      <c r="I1407" s="94" t="str">
        <f t="shared" ref="I1407:J1407" si="1408">if(G1407 = "", , -G1407)</f>
        <v/>
      </c>
      <c r="J1407" s="94" t="str">
        <f t="shared" si="1408"/>
        <v/>
      </c>
      <c r="K1407" s="100"/>
      <c r="M1407" s="100"/>
      <c r="N1407" s="100"/>
      <c r="O1407" s="100"/>
      <c r="P1407" s="100"/>
    </row>
    <row r="1408">
      <c r="A1408" s="107">
        <v>202328.0</v>
      </c>
      <c r="B1408" s="108" t="s">
        <v>92</v>
      </c>
      <c r="C1408" s="108" t="s">
        <v>481</v>
      </c>
      <c r="D1408" s="112" t="s">
        <v>178</v>
      </c>
      <c r="E1408" s="112">
        <v>2314.7</v>
      </c>
      <c r="F1408" s="111" t="str">
        <f>DataPull!D1408</f>
        <v/>
      </c>
      <c r="G1408" s="94" t="str">
        <f t="shared" si="2"/>
        <v/>
      </c>
      <c r="H1408" s="94" t="str">
        <f t="shared" si="3"/>
        <v/>
      </c>
      <c r="I1408" s="94" t="str">
        <f t="shared" ref="I1408:J1408" si="1409">if(G1408 = "", , -G1408)</f>
        <v/>
      </c>
      <c r="J1408" s="94" t="str">
        <f t="shared" si="1409"/>
        <v/>
      </c>
      <c r="K1408" s="100"/>
      <c r="M1408" s="100"/>
      <c r="N1408" s="100"/>
      <c r="O1408" s="100"/>
      <c r="P1408" s="100"/>
    </row>
    <row r="1409">
      <c r="A1409" s="107">
        <v>202328.0</v>
      </c>
      <c r="B1409" s="108" t="s">
        <v>190</v>
      </c>
      <c r="C1409" s="108" t="s">
        <v>481</v>
      </c>
      <c r="D1409" s="112" t="s">
        <v>176</v>
      </c>
      <c r="E1409" s="112">
        <v>1822.5</v>
      </c>
      <c r="F1409" s="111" t="str">
        <f>DataPull!D1409</f>
        <v/>
      </c>
      <c r="G1409" s="94" t="str">
        <f t="shared" si="2"/>
        <v/>
      </c>
      <c r="H1409" s="94" t="str">
        <f t="shared" si="3"/>
        <v/>
      </c>
      <c r="I1409" s="94" t="str">
        <f t="shared" ref="I1409:J1409" si="1410">if(G1409 = "", , -G1409)</f>
        <v/>
      </c>
      <c r="J1409" s="94" t="str">
        <f t="shared" si="1410"/>
        <v/>
      </c>
      <c r="K1409" s="100"/>
      <c r="M1409" s="100"/>
      <c r="N1409" s="100"/>
      <c r="O1409" s="100"/>
      <c r="P1409" s="100"/>
    </row>
    <row r="1410">
      <c r="A1410" s="107">
        <v>202328.0</v>
      </c>
      <c r="B1410" s="108" t="s">
        <v>191</v>
      </c>
      <c r="C1410" s="108" t="s">
        <v>481</v>
      </c>
      <c r="D1410" s="112" t="s">
        <v>177</v>
      </c>
      <c r="E1410" s="112">
        <v>1040.4</v>
      </c>
      <c r="F1410" s="111" t="str">
        <f>DataPull!D1410</f>
        <v/>
      </c>
      <c r="G1410" s="94" t="str">
        <f t="shared" si="2"/>
        <v/>
      </c>
      <c r="H1410" s="94" t="str">
        <f t="shared" si="3"/>
        <v/>
      </c>
      <c r="I1410" s="94" t="str">
        <f t="shared" ref="I1410:J1410" si="1411">if(G1410 = "", , -G1410)</f>
        <v/>
      </c>
      <c r="J1410" s="94" t="str">
        <f t="shared" si="1411"/>
        <v/>
      </c>
      <c r="K1410" s="100"/>
      <c r="M1410" s="100"/>
      <c r="N1410" s="100"/>
      <c r="O1410" s="100"/>
      <c r="P1410" s="100"/>
    </row>
    <row r="1411">
      <c r="A1411" s="107">
        <v>202328.0</v>
      </c>
      <c r="B1411" s="108" t="s">
        <v>192</v>
      </c>
      <c r="C1411" s="108" t="s">
        <v>481</v>
      </c>
      <c r="D1411" s="112" t="s">
        <v>177</v>
      </c>
      <c r="E1411" s="112">
        <v>481.6</v>
      </c>
      <c r="F1411" s="111" t="str">
        <f>DataPull!D1411</f>
        <v/>
      </c>
      <c r="G1411" s="94" t="str">
        <f t="shared" si="2"/>
        <v/>
      </c>
      <c r="H1411" s="94" t="str">
        <f t="shared" si="3"/>
        <v/>
      </c>
      <c r="I1411" s="94" t="str">
        <f t="shared" ref="I1411:J1411" si="1412">if(G1411 = "", , -G1411)</f>
        <v/>
      </c>
      <c r="J1411" s="94" t="str">
        <f t="shared" si="1412"/>
        <v/>
      </c>
      <c r="K1411" s="100"/>
      <c r="M1411" s="100"/>
      <c r="N1411" s="100"/>
      <c r="O1411" s="100"/>
      <c r="P1411" s="100"/>
    </row>
    <row r="1412">
      <c r="A1412" s="107">
        <v>202328.0</v>
      </c>
      <c r="B1412" s="108" t="s">
        <v>215</v>
      </c>
      <c r="C1412" s="108" t="s">
        <v>481</v>
      </c>
      <c r="D1412" s="112" t="s">
        <v>181</v>
      </c>
      <c r="E1412" s="112">
        <v>194.6</v>
      </c>
      <c r="F1412" s="111" t="str">
        <f>DataPull!D1412</f>
        <v/>
      </c>
      <c r="G1412" s="94" t="str">
        <f t="shared" si="2"/>
        <v/>
      </c>
      <c r="H1412" s="94" t="str">
        <f t="shared" si="3"/>
        <v/>
      </c>
      <c r="I1412" s="94" t="str">
        <f t="shared" ref="I1412:J1412" si="1413">if(G1412 = "", , -G1412)</f>
        <v/>
      </c>
      <c r="J1412" s="94" t="str">
        <f t="shared" si="1413"/>
        <v/>
      </c>
      <c r="K1412" s="100"/>
      <c r="L1412" s="100"/>
      <c r="M1412" s="100"/>
      <c r="N1412" s="100"/>
      <c r="O1412" s="100"/>
      <c r="P1412" s="100"/>
    </row>
    <row r="1413">
      <c r="A1413" s="107">
        <v>202329.0</v>
      </c>
      <c r="B1413" s="108" t="s">
        <v>85</v>
      </c>
      <c r="C1413" s="108" t="s">
        <v>482</v>
      </c>
      <c r="D1413" s="112" t="s">
        <v>176</v>
      </c>
      <c r="E1413" s="112">
        <v>2048.0</v>
      </c>
      <c r="F1413" s="111" t="str">
        <f>DataPull!D1413</f>
        <v/>
      </c>
      <c r="G1413" s="94" t="str">
        <f t="shared" si="2"/>
        <v/>
      </c>
      <c r="H1413" s="94" t="str">
        <f t="shared" si="3"/>
        <v/>
      </c>
      <c r="I1413" s="94" t="str">
        <f t="shared" ref="I1413:J1413" si="1414">if(G1413 = "", , -G1413)</f>
        <v/>
      </c>
      <c r="J1413" s="94" t="str">
        <f t="shared" si="1414"/>
        <v/>
      </c>
      <c r="K1413" s="100"/>
      <c r="M1413" s="100"/>
      <c r="N1413" s="100"/>
      <c r="O1413" s="100"/>
      <c r="P1413" s="100"/>
    </row>
    <row r="1414">
      <c r="A1414" s="107">
        <v>202329.0</v>
      </c>
      <c r="B1414" s="108" t="s">
        <v>90</v>
      </c>
      <c r="C1414" s="108" t="s">
        <v>482</v>
      </c>
      <c r="D1414" s="112" t="s">
        <v>177</v>
      </c>
      <c r="E1414" s="112">
        <v>1369.0</v>
      </c>
      <c r="F1414" s="111" t="str">
        <f>DataPull!D1414</f>
        <v/>
      </c>
      <c r="G1414" s="94" t="str">
        <f t="shared" si="2"/>
        <v/>
      </c>
      <c r="H1414" s="94" t="str">
        <f t="shared" si="3"/>
        <v/>
      </c>
      <c r="I1414" s="94" t="str">
        <f t="shared" ref="I1414:J1414" si="1415">if(G1414 = "", , -G1414)</f>
        <v/>
      </c>
      <c r="J1414" s="94" t="str">
        <f t="shared" si="1415"/>
        <v/>
      </c>
      <c r="K1414" s="100"/>
      <c r="L1414" s="100"/>
      <c r="N1414" s="100"/>
      <c r="O1414" s="100"/>
      <c r="P1414" s="100"/>
    </row>
    <row r="1415">
      <c r="A1415" s="107">
        <v>202329.0</v>
      </c>
      <c r="B1415" s="108" t="s">
        <v>92</v>
      </c>
      <c r="C1415" s="108" t="s">
        <v>482</v>
      </c>
      <c r="D1415" s="112" t="s">
        <v>178</v>
      </c>
      <c r="E1415" s="112">
        <v>2337.0</v>
      </c>
      <c r="F1415" s="111" t="str">
        <f>DataPull!D1415</f>
        <v/>
      </c>
      <c r="G1415" s="94" t="str">
        <f t="shared" si="2"/>
        <v/>
      </c>
      <c r="H1415" s="94" t="str">
        <f t="shared" si="3"/>
        <v/>
      </c>
      <c r="I1415" s="94" t="str">
        <f t="shared" ref="I1415:J1415" si="1416">if(G1415 = "", , -G1415)</f>
        <v/>
      </c>
      <c r="J1415" s="94" t="str">
        <f t="shared" si="1416"/>
        <v/>
      </c>
      <c r="K1415" s="100"/>
      <c r="M1415" s="100"/>
      <c r="N1415" s="100"/>
      <c r="O1415" s="100"/>
      <c r="P1415" s="100"/>
    </row>
    <row r="1416">
      <c r="A1416" s="107">
        <v>202329.0</v>
      </c>
      <c r="B1416" s="108" t="s">
        <v>190</v>
      </c>
      <c r="C1416" s="108" t="s">
        <v>482</v>
      </c>
      <c r="D1416" s="112" t="s">
        <v>178</v>
      </c>
      <c r="E1416" s="112">
        <v>1775.1</v>
      </c>
      <c r="F1416" s="111" t="str">
        <f>DataPull!D1416</f>
        <v/>
      </c>
      <c r="G1416" s="94" t="str">
        <f t="shared" si="2"/>
        <v/>
      </c>
      <c r="H1416" s="94" t="str">
        <f t="shared" si="3"/>
        <v/>
      </c>
      <c r="I1416" s="94" t="str">
        <f t="shared" ref="I1416:J1416" si="1417">if(G1416 = "", , -G1416)</f>
        <v/>
      </c>
      <c r="J1416" s="94" t="str">
        <f t="shared" si="1417"/>
        <v/>
      </c>
      <c r="K1416" s="100"/>
      <c r="M1416" s="100"/>
      <c r="N1416" s="100"/>
      <c r="O1416" s="100"/>
      <c r="P1416" s="100"/>
    </row>
    <row r="1417">
      <c r="A1417" s="107">
        <v>202329.0</v>
      </c>
      <c r="B1417" s="108" t="s">
        <v>191</v>
      </c>
      <c r="C1417" s="108" t="s">
        <v>482</v>
      </c>
      <c r="D1417" s="112" t="s">
        <v>184</v>
      </c>
      <c r="E1417" s="112">
        <v>2070.0</v>
      </c>
      <c r="F1417" s="111" t="str">
        <f>DataPull!D1417</f>
        <v/>
      </c>
      <c r="G1417" s="94" t="str">
        <f t="shared" si="2"/>
        <v/>
      </c>
      <c r="H1417" s="94" t="str">
        <f t="shared" si="3"/>
        <v/>
      </c>
      <c r="I1417" s="94" t="str">
        <f t="shared" ref="I1417:J1417" si="1418">if(G1417 = "", , -G1417)</f>
        <v/>
      </c>
      <c r="J1417" s="94" t="str">
        <f t="shared" si="1418"/>
        <v/>
      </c>
      <c r="K1417" s="100"/>
      <c r="M1417" s="100"/>
      <c r="N1417" s="100"/>
      <c r="O1417" s="100"/>
      <c r="P1417" s="100"/>
    </row>
    <row r="1418">
      <c r="A1418" s="107">
        <v>202329.0</v>
      </c>
      <c r="B1418" s="108" t="s">
        <v>192</v>
      </c>
      <c r="C1418" s="108" t="s">
        <v>482</v>
      </c>
      <c r="D1418" s="112" t="s">
        <v>184</v>
      </c>
      <c r="E1418" s="112">
        <v>2292.3</v>
      </c>
      <c r="F1418" s="111" t="str">
        <f>DataPull!D1418</f>
        <v/>
      </c>
      <c r="G1418" s="94" t="str">
        <f t="shared" si="2"/>
        <v/>
      </c>
      <c r="H1418" s="94" t="str">
        <f t="shared" si="3"/>
        <v/>
      </c>
      <c r="I1418" s="94" t="str">
        <f t="shared" ref="I1418:J1418" si="1419">if(G1418 = "", , -G1418)</f>
        <v/>
      </c>
      <c r="J1418" s="94" t="str">
        <f t="shared" si="1419"/>
        <v/>
      </c>
      <c r="K1418" s="100"/>
      <c r="M1418" s="100"/>
      <c r="N1418" s="100"/>
      <c r="O1418" s="100"/>
      <c r="P1418" s="100"/>
    </row>
    <row r="1419">
      <c r="A1419" s="107">
        <v>202329.0</v>
      </c>
      <c r="B1419" s="108" t="s">
        <v>193</v>
      </c>
      <c r="C1419" s="108" t="s">
        <v>482</v>
      </c>
      <c r="D1419" s="112" t="s">
        <v>176</v>
      </c>
      <c r="E1419" s="112">
        <v>379.8</v>
      </c>
      <c r="F1419" s="111" t="str">
        <f>DataPull!D1419</f>
        <v/>
      </c>
      <c r="G1419" s="94" t="str">
        <f t="shared" si="2"/>
        <v/>
      </c>
      <c r="H1419" s="94" t="str">
        <f t="shared" si="3"/>
        <v/>
      </c>
      <c r="I1419" s="94" t="str">
        <f t="shared" ref="I1419:J1419" si="1420">if(G1419 = "", , -G1419)</f>
        <v/>
      </c>
      <c r="J1419" s="94" t="str">
        <f t="shared" si="1420"/>
        <v/>
      </c>
      <c r="K1419" s="100"/>
      <c r="N1419" s="100"/>
      <c r="O1419" s="100"/>
      <c r="P1419" s="100"/>
    </row>
    <row r="1420">
      <c r="A1420" s="107">
        <v>202329.0</v>
      </c>
      <c r="B1420" s="108" t="s">
        <v>243</v>
      </c>
      <c r="C1420" s="108" t="s">
        <v>482</v>
      </c>
      <c r="D1420" s="112" t="s">
        <v>176</v>
      </c>
      <c r="E1420" s="112">
        <v>434.7</v>
      </c>
      <c r="F1420" s="111" t="str">
        <f>DataPull!D1420</f>
        <v/>
      </c>
      <c r="G1420" s="94" t="str">
        <f t="shared" si="2"/>
        <v/>
      </c>
      <c r="H1420" s="94" t="str">
        <f t="shared" si="3"/>
        <v/>
      </c>
      <c r="I1420" s="94" t="str">
        <f t="shared" ref="I1420:J1420" si="1421">if(G1420 = "", , -G1420)</f>
        <v/>
      </c>
      <c r="J1420" s="94" t="str">
        <f t="shared" si="1421"/>
        <v/>
      </c>
      <c r="K1420" s="100"/>
      <c r="M1420" s="100"/>
      <c r="N1420" s="100"/>
      <c r="O1420" s="100"/>
      <c r="P1420" s="100"/>
    </row>
    <row r="1421">
      <c r="A1421" s="107">
        <v>202330.0</v>
      </c>
      <c r="B1421" s="108" t="s">
        <v>85</v>
      </c>
      <c r="C1421" s="108" t="s">
        <v>483</v>
      </c>
      <c r="D1421" s="112" t="s">
        <v>178</v>
      </c>
      <c r="E1421" s="112">
        <v>2802.8</v>
      </c>
      <c r="F1421" s="111" t="str">
        <f>DataPull!D1421</f>
        <v/>
      </c>
      <c r="G1421" s="94" t="str">
        <f t="shared" si="2"/>
        <v/>
      </c>
      <c r="H1421" s="94" t="str">
        <f t="shared" si="3"/>
        <v/>
      </c>
      <c r="I1421" s="94" t="str">
        <f t="shared" ref="I1421:J1421" si="1422">if(G1421 = "", , -G1421)</f>
        <v/>
      </c>
      <c r="J1421" s="94" t="str">
        <f t="shared" si="1422"/>
        <v/>
      </c>
      <c r="K1421" s="100"/>
      <c r="M1421" s="100"/>
      <c r="N1421" s="100"/>
      <c r="O1421" s="100"/>
      <c r="P1421" s="100"/>
    </row>
    <row r="1422">
      <c r="A1422" s="107">
        <v>202330.0</v>
      </c>
      <c r="B1422" s="108" t="s">
        <v>90</v>
      </c>
      <c r="C1422" s="108" t="s">
        <v>483</v>
      </c>
      <c r="D1422" s="112" t="s">
        <v>184</v>
      </c>
      <c r="E1422" s="112">
        <v>2614.4</v>
      </c>
      <c r="F1422" s="111" t="str">
        <f>DataPull!D1422</f>
        <v/>
      </c>
      <c r="G1422" s="94" t="str">
        <f t="shared" si="2"/>
        <v/>
      </c>
      <c r="H1422" s="94" t="str">
        <f t="shared" si="3"/>
        <v/>
      </c>
      <c r="I1422" s="94" t="str">
        <f t="shared" ref="I1422:J1422" si="1423">if(G1422 = "", , -G1422)</f>
        <v/>
      </c>
      <c r="J1422" s="94" t="str">
        <f t="shared" si="1423"/>
        <v/>
      </c>
      <c r="K1422" s="100"/>
      <c r="L1422" s="100"/>
      <c r="M1422" s="100"/>
      <c r="N1422" s="100"/>
      <c r="O1422" s="100"/>
      <c r="P1422" s="100"/>
    </row>
    <row r="1423">
      <c r="A1423" s="107">
        <v>202330.0</v>
      </c>
      <c r="B1423" s="108" t="s">
        <v>92</v>
      </c>
      <c r="C1423" s="108" t="s">
        <v>483</v>
      </c>
      <c r="D1423" s="112" t="s">
        <v>184</v>
      </c>
      <c r="E1423" s="112">
        <v>2896.0</v>
      </c>
      <c r="F1423" s="111" t="str">
        <f>DataPull!D1423</f>
        <v/>
      </c>
      <c r="G1423" s="94" t="str">
        <f t="shared" si="2"/>
        <v/>
      </c>
      <c r="H1423" s="94" t="str">
        <f t="shared" si="3"/>
        <v/>
      </c>
      <c r="I1423" s="94" t="str">
        <f t="shared" ref="I1423:J1423" si="1424">if(G1423 = "", , -G1423)</f>
        <v/>
      </c>
      <c r="J1423" s="94" t="str">
        <f t="shared" si="1424"/>
        <v/>
      </c>
      <c r="K1423" s="100"/>
      <c r="M1423" s="100"/>
      <c r="N1423" s="100"/>
      <c r="O1423" s="100"/>
      <c r="P1423" s="100"/>
    </row>
    <row r="1424">
      <c r="A1424" s="107">
        <v>202330.0</v>
      </c>
      <c r="B1424" s="108" t="s">
        <v>190</v>
      </c>
      <c r="C1424" s="108" t="s">
        <v>483</v>
      </c>
      <c r="D1424" s="112" t="s">
        <v>184</v>
      </c>
      <c r="E1424" s="112">
        <v>2518.5</v>
      </c>
      <c r="F1424" s="111" t="str">
        <f>DataPull!D1424</f>
        <v/>
      </c>
      <c r="G1424" s="94" t="str">
        <f t="shared" si="2"/>
        <v/>
      </c>
      <c r="H1424" s="94" t="str">
        <f t="shared" si="3"/>
        <v/>
      </c>
      <c r="I1424" s="94" t="str">
        <f t="shared" ref="I1424:J1424" si="1425">if(G1424 = "", , -G1424)</f>
        <v/>
      </c>
      <c r="J1424" s="94" t="str">
        <f t="shared" si="1425"/>
        <v/>
      </c>
      <c r="K1424" s="100"/>
      <c r="L1424" s="100"/>
      <c r="N1424" s="100"/>
      <c r="O1424" s="100"/>
      <c r="P1424" s="100"/>
    </row>
    <row r="1425">
      <c r="A1425" s="107">
        <v>202330.0</v>
      </c>
      <c r="B1425" s="108" t="s">
        <v>191</v>
      </c>
      <c r="C1425" s="108" t="s">
        <v>483</v>
      </c>
      <c r="D1425" s="112" t="s">
        <v>181</v>
      </c>
      <c r="E1425" s="112">
        <v>5.3</v>
      </c>
      <c r="F1425" s="111" t="str">
        <f>DataPull!D1425</f>
        <v/>
      </c>
      <c r="G1425" s="94" t="str">
        <f t="shared" si="2"/>
        <v/>
      </c>
      <c r="H1425" s="94" t="str">
        <f t="shared" si="3"/>
        <v/>
      </c>
      <c r="I1425" s="94" t="str">
        <f t="shared" ref="I1425:J1425" si="1426">if(G1425 = "", , -G1425)</f>
        <v/>
      </c>
      <c r="J1425" s="94" t="str">
        <f t="shared" si="1426"/>
        <v/>
      </c>
      <c r="K1425" s="100"/>
      <c r="M1425" s="100"/>
      <c r="N1425" s="100"/>
      <c r="O1425" s="100"/>
      <c r="P1425" s="100"/>
    </row>
    <row r="1426">
      <c r="A1426" s="107">
        <v>202330.0</v>
      </c>
      <c r="B1426" s="108" t="s">
        <v>192</v>
      </c>
      <c r="C1426" s="108" t="s">
        <v>483</v>
      </c>
      <c r="D1426" s="112" t="s">
        <v>176</v>
      </c>
      <c r="E1426" s="112">
        <v>1864.8</v>
      </c>
      <c r="F1426" s="111" t="str">
        <f>DataPull!D1426</f>
        <v/>
      </c>
      <c r="G1426" s="94" t="str">
        <f t="shared" si="2"/>
        <v/>
      </c>
      <c r="H1426" s="94" t="str">
        <f t="shared" si="3"/>
        <v/>
      </c>
      <c r="I1426" s="94" t="str">
        <f t="shared" ref="I1426:J1426" si="1427">if(G1426 = "", , -G1426)</f>
        <v/>
      </c>
      <c r="J1426" s="94" t="str">
        <f t="shared" si="1427"/>
        <v/>
      </c>
      <c r="K1426" s="100"/>
      <c r="M1426" s="100"/>
      <c r="N1426" s="100"/>
      <c r="O1426" s="100"/>
      <c r="P1426" s="100"/>
    </row>
    <row r="1427">
      <c r="A1427" s="107">
        <v>202330.0</v>
      </c>
      <c r="B1427" s="108" t="s">
        <v>193</v>
      </c>
      <c r="C1427" s="108" t="s">
        <v>483</v>
      </c>
      <c r="D1427" s="112" t="s">
        <v>184</v>
      </c>
      <c r="E1427" s="112">
        <v>1742.0</v>
      </c>
      <c r="F1427" s="111" t="str">
        <f>DataPull!D1427</f>
        <v/>
      </c>
      <c r="G1427" s="94" t="str">
        <f t="shared" si="2"/>
        <v/>
      </c>
      <c r="H1427" s="94" t="str">
        <f t="shared" si="3"/>
        <v/>
      </c>
      <c r="I1427" s="94" t="str">
        <f t="shared" ref="I1427:J1427" si="1428">if(G1427 = "", , -G1427)</f>
        <v/>
      </c>
      <c r="J1427" s="94" t="str">
        <f t="shared" si="1428"/>
        <v/>
      </c>
      <c r="K1427" s="100"/>
      <c r="M1427" s="100"/>
      <c r="N1427" s="100"/>
      <c r="O1427" s="100"/>
      <c r="P1427" s="100"/>
    </row>
    <row r="1428">
      <c r="A1428" s="107">
        <v>202330.0</v>
      </c>
      <c r="B1428" s="108" t="s">
        <v>243</v>
      </c>
      <c r="C1428" s="108" t="s">
        <v>483</v>
      </c>
      <c r="D1428" s="112" t="s">
        <v>178</v>
      </c>
      <c r="E1428" s="112">
        <v>1496.0</v>
      </c>
      <c r="F1428" s="111" t="str">
        <f>DataPull!D1428</f>
        <v/>
      </c>
      <c r="G1428" s="94" t="str">
        <f t="shared" si="2"/>
        <v/>
      </c>
      <c r="H1428" s="94" t="str">
        <f t="shared" si="3"/>
        <v/>
      </c>
      <c r="I1428" s="94" t="str">
        <f t="shared" ref="I1428:J1428" si="1429">if(G1428 = "", , -G1428)</f>
        <v/>
      </c>
      <c r="J1428" s="94" t="str">
        <f t="shared" si="1429"/>
        <v/>
      </c>
      <c r="K1428" s="100"/>
      <c r="M1428" s="100"/>
      <c r="N1428" s="100"/>
      <c r="O1428" s="100"/>
      <c r="P1428" s="100"/>
    </row>
    <row r="1429">
      <c r="A1429" s="107">
        <v>202330.0</v>
      </c>
      <c r="B1429" s="108" t="s">
        <v>215</v>
      </c>
      <c r="C1429" s="108" t="s">
        <v>483</v>
      </c>
      <c r="D1429" s="112" t="s">
        <v>178</v>
      </c>
      <c r="E1429" s="112">
        <v>1563.1</v>
      </c>
      <c r="F1429" s="111" t="str">
        <f>DataPull!D1429</f>
        <v/>
      </c>
      <c r="G1429" s="94" t="str">
        <f t="shared" si="2"/>
        <v/>
      </c>
      <c r="H1429" s="94" t="str">
        <f t="shared" si="3"/>
        <v/>
      </c>
      <c r="I1429" s="94" t="str">
        <f t="shared" ref="I1429:J1429" si="1430">if(G1429 = "", , -G1429)</f>
        <v/>
      </c>
      <c r="J1429" s="94" t="str">
        <f t="shared" si="1430"/>
        <v/>
      </c>
      <c r="K1429" s="100"/>
      <c r="M1429" s="100"/>
      <c r="N1429" s="100"/>
      <c r="O1429" s="100"/>
      <c r="P1429" s="100"/>
    </row>
    <row r="1430">
      <c r="A1430" s="107">
        <v>202330.0</v>
      </c>
      <c r="B1430" s="108" t="s">
        <v>244</v>
      </c>
      <c r="C1430" s="108" t="s">
        <v>483</v>
      </c>
      <c r="D1430" s="112" t="s">
        <v>178</v>
      </c>
      <c r="E1430" s="112">
        <v>1575.0</v>
      </c>
      <c r="F1430" s="111" t="str">
        <f>DataPull!D1430</f>
        <v/>
      </c>
      <c r="G1430" s="94" t="str">
        <f t="shared" si="2"/>
        <v/>
      </c>
      <c r="H1430" s="94" t="str">
        <f t="shared" si="3"/>
        <v/>
      </c>
      <c r="I1430" s="94" t="str">
        <f t="shared" ref="I1430:J1430" si="1431">if(G1430 = "", , -G1430)</f>
        <v/>
      </c>
      <c r="J1430" s="94" t="str">
        <f t="shared" si="1431"/>
        <v/>
      </c>
      <c r="K1430" s="100"/>
      <c r="M1430" s="100"/>
      <c r="N1430" s="100"/>
      <c r="O1430" s="100"/>
      <c r="P1430" s="100"/>
    </row>
    <row r="1431">
      <c r="A1431" s="107">
        <v>202330.0</v>
      </c>
      <c r="B1431" s="108" t="s">
        <v>245</v>
      </c>
      <c r="C1431" s="108" t="s">
        <v>483</v>
      </c>
      <c r="D1431" s="112" t="s">
        <v>177</v>
      </c>
      <c r="E1431" s="112">
        <v>1244.4</v>
      </c>
      <c r="F1431" s="111" t="str">
        <f>DataPull!D1431</f>
        <v/>
      </c>
      <c r="G1431" s="94" t="str">
        <f t="shared" si="2"/>
        <v/>
      </c>
      <c r="H1431" s="94" t="str">
        <f t="shared" si="3"/>
        <v/>
      </c>
      <c r="I1431" s="94" t="str">
        <f t="shared" ref="I1431:J1431" si="1432">if(G1431 = "", , -G1431)</f>
        <v/>
      </c>
      <c r="J1431" s="94" t="str">
        <f t="shared" si="1432"/>
        <v/>
      </c>
      <c r="M1431" s="100"/>
      <c r="N1431" s="100"/>
      <c r="P1431" s="100"/>
    </row>
    <row r="1432">
      <c r="A1432" s="107">
        <v>202331.0</v>
      </c>
      <c r="B1432" s="108" t="s">
        <v>85</v>
      </c>
      <c r="C1432" s="108" t="s">
        <v>484</v>
      </c>
      <c r="D1432" s="112" t="s">
        <v>184</v>
      </c>
      <c r="E1432" s="112">
        <v>2896.0</v>
      </c>
      <c r="F1432" s="111" t="str">
        <f>DataPull!D1432</f>
        <v/>
      </c>
      <c r="G1432" s="94" t="str">
        <f t="shared" si="2"/>
        <v/>
      </c>
      <c r="H1432" s="94" t="str">
        <f t="shared" si="3"/>
        <v/>
      </c>
      <c r="I1432" s="94" t="str">
        <f t="shared" ref="I1432:J1432" si="1433">if(G1432 = "", , -G1432)</f>
        <v/>
      </c>
      <c r="J1432" s="94" t="str">
        <f t="shared" si="1433"/>
        <v/>
      </c>
      <c r="N1432" s="100"/>
      <c r="P1432" s="100"/>
    </row>
    <row r="1433">
      <c r="A1433" s="107">
        <v>202331.0</v>
      </c>
      <c r="B1433" s="108" t="s">
        <v>90</v>
      </c>
      <c r="C1433" s="108" t="s">
        <v>484</v>
      </c>
      <c r="D1433" s="112" t="s">
        <v>181</v>
      </c>
      <c r="E1433" s="112">
        <v>91.2</v>
      </c>
      <c r="F1433" s="111" t="str">
        <f>DataPull!D1433</f>
        <v/>
      </c>
      <c r="G1433" s="94" t="str">
        <f t="shared" si="2"/>
        <v/>
      </c>
      <c r="H1433" s="94" t="str">
        <f t="shared" si="3"/>
        <v/>
      </c>
      <c r="I1433" s="94" t="str">
        <f t="shared" ref="I1433:J1433" si="1434">if(G1433 = "", , -G1433)</f>
        <v/>
      </c>
      <c r="J1433" s="94" t="str">
        <f t="shared" si="1434"/>
        <v/>
      </c>
      <c r="N1433" s="100"/>
      <c r="O1433" s="100"/>
      <c r="P1433" s="100"/>
    </row>
    <row r="1434">
      <c r="A1434" s="107">
        <v>202331.0</v>
      </c>
      <c r="B1434" s="108" t="s">
        <v>92</v>
      </c>
      <c r="C1434" s="108" t="s">
        <v>484</v>
      </c>
      <c r="D1434" s="112" t="s">
        <v>184</v>
      </c>
      <c r="E1434" s="112">
        <v>2818.8</v>
      </c>
      <c r="F1434" s="111" t="str">
        <f>DataPull!D1434</f>
        <v/>
      </c>
      <c r="G1434" s="94" t="str">
        <f t="shared" si="2"/>
        <v/>
      </c>
      <c r="H1434" s="94" t="str">
        <f t="shared" si="3"/>
        <v/>
      </c>
      <c r="I1434" s="94" t="str">
        <f t="shared" ref="I1434:J1434" si="1435">if(G1434 = "", , -G1434)</f>
        <v/>
      </c>
      <c r="J1434" s="94" t="str">
        <f t="shared" si="1435"/>
        <v/>
      </c>
      <c r="M1434" s="100"/>
      <c r="N1434" s="100"/>
      <c r="O1434" s="100"/>
      <c r="P1434" s="100"/>
    </row>
    <row r="1435">
      <c r="A1435" s="107">
        <v>202331.0</v>
      </c>
      <c r="B1435" s="108" t="s">
        <v>190</v>
      </c>
      <c r="C1435" s="108" t="s">
        <v>484</v>
      </c>
      <c r="D1435" s="112" t="s">
        <v>184</v>
      </c>
      <c r="E1435" s="112">
        <v>2692.5</v>
      </c>
      <c r="F1435" s="111" t="str">
        <f>DataPull!D1435</f>
        <v/>
      </c>
      <c r="G1435" s="94" t="str">
        <f t="shared" si="2"/>
        <v/>
      </c>
      <c r="H1435" s="94" t="str">
        <f t="shared" si="3"/>
        <v/>
      </c>
      <c r="I1435" s="94" t="str">
        <f t="shared" ref="I1435:J1435" si="1436">if(G1435 = "", , -G1435)</f>
        <v/>
      </c>
      <c r="J1435" s="94" t="str">
        <f t="shared" si="1436"/>
        <v/>
      </c>
      <c r="M1435" s="100"/>
      <c r="N1435" s="100"/>
      <c r="O1435" s="100"/>
    </row>
    <row r="1436">
      <c r="A1436" s="107">
        <v>202331.0</v>
      </c>
      <c r="B1436" s="108" t="s">
        <v>191</v>
      </c>
      <c r="C1436" s="108" t="s">
        <v>484</v>
      </c>
      <c r="D1436" s="112" t="s">
        <v>184</v>
      </c>
      <c r="E1436" s="112">
        <v>2891.4</v>
      </c>
      <c r="F1436" s="111" t="str">
        <f>DataPull!D1436</f>
        <v/>
      </c>
      <c r="G1436" s="94" t="str">
        <f t="shared" si="2"/>
        <v/>
      </c>
      <c r="H1436" s="94" t="str">
        <f t="shared" si="3"/>
        <v/>
      </c>
      <c r="I1436" s="94" t="str">
        <f t="shared" ref="I1436:J1436" si="1437">if(G1436 = "", , -G1436)</f>
        <v/>
      </c>
      <c r="J1436" s="94" t="str">
        <f t="shared" si="1437"/>
        <v/>
      </c>
      <c r="M1436" s="100"/>
      <c r="N1436" s="100"/>
    </row>
    <row r="1437">
      <c r="A1437" s="107">
        <v>202331.0</v>
      </c>
      <c r="B1437" s="108" t="s">
        <v>192</v>
      </c>
      <c r="C1437" s="108" t="s">
        <v>484</v>
      </c>
      <c r="D1437" s="112" t="s">
        <v>184</v>
      </c>
      <c r="E1437" s="112">
        <v>2841.3</v>
      </c>
      <c r="F1437" s="111" t="str">
        <f>DataPull!D1437</f>
        <v/>
      </c>
      <c r="G1437" s="94" t="str">
        <f t="shared" si="2"/>
        <v/>
      </c>
      <c r="H1437" s="94" t="str">
        <f t="shared" si="3"/>
        <v/>
      </c>
      <c r="I1437" s="94" t="str">
        <f t="shared" ref="I1437:J1437" si="1438">if(G1437 = "", , -G1437)</f>
        <v/>
      </c>
      <c r="J1437" s="94" t="str">
        <f t="shared" si="1438"/>
        <v/>
      </c>
      <c r="M1437" s="100"/>
      <c r="N1437" s="100"/>
      <c r="O1437" s="100"/>
    </row>
    <row r="1438">
      <c r="A1438" s="107">
        <v>202331.0</v>
      </c>
      <c r="B1438" s="108" t="s">
        <v>193</v>
      </c>
      <c r="C1438" s="108" t="s">
        <v>484</v>
      </c>
      <c r="D1438" s="112" t="s">
        <v>184</v>
      </c>
      <c r="E1438" s="112">
        <v>1420.8</v>
      </c>
      <c r="F1438" s="111" t="str">
        <f>DataPull!D1438</f>
        <v/>
      </c>
      <c r="G1438" s="94" t="str">
        <f t="shared" si="2"/>
        <v/>
      </c>
      <c r="H1438" s="94" t="str">
        <f t="shared" si="3"/>
        <v/>
      </c>
      <c r="I1438" s="94" t="str">
        <f t="shared" ref="I1438:J1438" si="1439">if(G1438 = "", , -G1438)</f>
        <v/>
      </c>
      <c r="J1438" s="94" t="str">
        <f t="shared" si="1439"/>
        <v/>
      </c>
      <c r="N1438" s="100"/>
      <c r="O1438" s="100"/>
    </row>
    <row r="1439">
      <c r="A1439" s="107">
        <v>202331.0</v>
      </c>
      <c r="B1439" s="108" t="s">
        <v>243</v>
      </c>
      <c r="C1439" s="108" t="s">
        <v>484</v>
      </c>
      <c r="D1439" s="112" t="s">
        <v>184</v>
      </c>
      <c r="E1439" s="112">
        <v>1819.8</v>
      </c>
      <c r="F1439" s="111" t="str">
        <f>DataPull!D1439</f>
        <v/>
      </c>
      <c r="G1439" s="94" t="str">
        <f t="shared" si="2"/>
        <v/>
      </c>
      <c r="H1439" s="94" t="str">
        <f t="shared" si="3"/>
        <v/>
      </c>
      <c r="I1439" s="94" t="str">
        <f t="shared" ref="I1439:J1439" si="1440">if(G1439 = "", , -G1439)</f>
        <v/>
      </c>
      <c r="J1439" s="94" t="str">
        <f t="shared" si="1440"/>
        <v/>
      </c>
      <c r="N1439" s="100"/>
      <c r="O1439" s="100"/>
      <c r="P1439" s="100"/>
    </row>
    <row r="1440">
      <c r="A1440" s="107">
        <v>202331.0</v>
      </c>
      <c r="B1440" s="108" t="s">
        <v>215</v>
      </c>
      <c r="C1440" s="108" t="s">
        <v>484</v>
      </c>
      <c r="D1440" s="112" t="s">
        <v>184</v>
      </c>
      <c r="E1440" s="112">
        <v>1078.8</v>
      </c>
      <c r="F1440" s="111" t="str">
        <f>DataPull!D1440</f>
        <v/>
      </c>
      <c r="G1440" s="94" t="str">
        <f t="shared" si="2"/>
        <v/>
      </c>
      <c r="H1440" s="94" t="str">
        <f t="shared" si="3"/>
        <v/>
      </c>
      <c r="I1440" s="94" t="str">
        <f t="shared" ref="I1440:J1440" si="1441">if(G1440 = "", , -G1440)</f>
        <v/>
      </c>
      <c r="J1440" s="94" t="str">
        <f t="shared" si="1441"/>
        <v/>
      </c>
      <c r="M1440" s="100"/>
      <c r="N1440" s="100"/>
      <c r="O1440" s="100"/>
      <c r="P1440" s="100"/>
    </row>
    <row r="1441">
      <c r="A1441" s="107">
        <v>202331.0</v>
      </c>
      <c r="B1441" s="108" t="s">
        <v>244</v>
      </c>
      <c r="C1441" s="108" t="s">
        <v>484</v>
      </c>
      <c r="D1441" s="112" t="s">
        <v>184</v>
      </c>
      <c r="E1441" s="112">
        <v>1937.6</v>
      </c>
      <c r="F1441" s="111" t="str">
        <f>DataPull!D1441</f>
        <v/>
      </c>
      <c r="G1441" s="94" t="str">
        <f t="shared" si="2"/>
        <v/>
      </c>
      <c r="H1441" s="94" t="str">
        <f t="shared" si="3"/>
        <v/>
      </c>
      <c r="I1441" s="94" t="str">
        <f t="shared" ref="I1441:J1441" si="1442">if(G1441 = "", , -G1441)</f>
        <v/>
      </c>
      <c r="J1441" s="94" t="str">
        <f t="shared" si="1442"/>
        <v/>
      </c>
      <c r="K1441" s="100"/>
      <c r="M1441" s="100"/>
      <c r="N1441" s="100"/>
      <c r="O1441" s="100"/>
      <c r="P1441" s="100"/>
    </row>
    <row r="1442">
      <c r="A1442" s="107">
        <v>202331.0</v>
      </c>
      <c r="B1442" s="108" t="s">
        <v>245</v>
      </c>
      <c r="C1442" s="108" t="s">
        <v>484</v>
      </c>
      <c r="D1442" s="112" t="s">
        <v>184</v>
      </c>
      <c r="E1442" s="112">
        <v>2501.2</v>
      </c>
      <c r="F1442" s="111" t="str">
        <f>DataPull!D1442</f>
        <v/>
      </c>
      <c r="G1442" s="94" t="str">
        <f t="shared" si="2"/>
        <v/>
      </c>
      <c r="H1442" s="94" t="str">
        <f t="shared" si="3"/>
        <v/>
      </c>
      <c r="I1442" s="94" t="str">
        <f t="shared" ref="I1442:J1442" si="1443">if(G1442 = "", , -G1442)</f>
        <v/>
      </c>
      <c r="J1442" s="94" t="str">
        <f t="shared" si="1443"/>
        <v/>
      </c>
      <c r="K1442" s="100"/>
      <c r="M1442" s="100"/>
      <c r="N1442" s="100"/>
      <c r="O1442" s="100"/>
      <c r="P1442" s="100"/>
    </row>
    <row r="1443">
      <c r="A1443" s="107">
        <v>202331.0</v>
      </c>
      <c r="B1443" s="108" t="s">
        <v>246</v>
      </c>
      <c r="C1443" s="108" t="s">
        <v>484</v>
      </c>
      <c r="D1443" s="112" t="s">
        <v>184</v>
      </c>
      <c r="E1443" s="112">
        <v>1332.5</v>
      </c>
      <c r="F1443" s="111" t="str">
        <f>DataPull!D1443</f>
        <v/>
      </c>
      <c r="G1443" s="94" t="str">
        <f t="shared" si="2"/>
        <v/>
      </c>
      <c r="H1443" s="94" t="str">
        <f t="shared" si="3"/>
        <v/>
      </c>
      <c r="I1443" s="94" t="str">
        <f t="shared" ref="I1443:J1443" si="1444">if(G1443 = "", , -G1443)</f>
        <v/>
      </c>
      <c r="J1443" s="94" t="str">
        <f t="shared" si="1444"/>
        <v/>
      </c>
      <c r="K1443" s="100"/>
      <c r="M1443" s="100"/>
      <c r="N1443" s="100"/>
      <c r="O1443" s="100"/>
      <c r="P1443" s="100"/>
    </row>
    <row r="1444">
      <c r="A1444" s="89">
        <v>202331.0</v>
      </c>
      <c r="B1444" s="113" t="s">
        <v>247</v>
      </c>
      <c r="C1444" s="113" t="s">
        <v>484</v>
      </c>
      <c r="D1444" s="112" t="s">
        <v>184</v>
      </c>
      <c r="E1444" s="112">
        <v>1135.9</v>
      </c>
      <c r="F1444" s="111" t="str">
        <f>DataPull!D1444</f>
        <v/>
      </c>
      <c r="G1444" s="94" t="str">
        <f t="shared" si="2"/>
        <v/>
      </c>
      <c r="H1444" s="94" t="str">
        <f t="shared" si="3"/>
        <v/>
      </c>
      <c r="I1444" s="94" t="str">
        <f t="shared" ref="I1444:J1444" si="1445">if(G1444 = "", , -G1444)</f>
        <v/>
      </c>
      <c r="J1444" s="94" t="str">
        <f t="shared" si="1445"/>
        <v/>
      </c>
      <c r="K1444" s="100"/>
      <c r="M1444" s="100"/>
      <c r="N1444" s="100"/>
      <c r="O1444" s="100"/>
      <c r="P1444" s="100"/>
    </row>
    <row r="1445">
      <c r="A1445" s="107">
        <v>202332.0</v>
      </c>
      <c r="B1445" s="108" t="s">
        <v>85</v>
      </c>
      <c r="C1445" s="108" t="s">
        <v>485</v>
      </c>
      <c r="D1445" s="112" t="s">
        <v>187</v>
      </c>
      <c r="E1445" s="112">
        <v>331.2</v>
      </c>
      <c r="F1445" s="111" t="str">
        <f>DataPull!D1445</f>
        <v/>
      </c>
      <c r="G1445" s="94" t="str">
        <f t="shared" si="2"/>
        <v/>
      </c>
      <c r="H1445" s="94" t="str">
        <f t="shared" si="3"/>
        <v/>
      </c>
      <c r="I1445" s="94" t="str">
        <f t="shared" ref="I1445:J1445" si="1446">if(G1445 = "", , -G1445)</f>
        <v/>
      </c>
      <c r="J1445" s="94" t="str">
        <f t="shared" si="1446"/>
        <v/>
      </c>
      <c r="K1445" s="100"/>
      <c r="M1445" s="100"/>
      <c r="N1445" s="100"/>
      <c r="O1445" s="100"/>
      <c r="P1445" s="100"/>
    </row>
    <row r="1446">
      <c r="A1446" s="107">
        <v>202332.0</v>
      </c>
      <c r="B1446" s="108" t="s">
        <v>90</v>
      </c>
      <c r="C1446" s="108" t="s">
        <v>485</v>
      </c>
      <c r="D1446" s="112" t="s">
        <v>177</v>
      </c>
      <c r="E1446" s="112">
        <v>976.0</v>
      </c>
      <c r="F1446" s="111" t="str">
        <f>DataPull!D1446</f>
        <v/>
      </c>
      <c r="G1446" s="94" t="str">
        <f t="shared" si="2"/>
        <v/>
      </c>
      <c r="H1446" s="94" t="str">
        <f t="shared" si="3"/>
        <v/>
      </c>
      <c r="I1446" s="94" t="str">
        <f t="shared" ref="I1446:J1446" si="1447">if(G1446 = "", , -G1446)</f>
        <v/>
      </c>
      <c r="J1446" s="94" t="str">
        <f t="shared" si="1447"/>
        <v/>
      </c>
      <c r="K1446" s="100"/>
      <c r="M1446" s="100"/>
      <c r="N1446" s="100"/>
      <c r="O1446" s="100"/>
      <c r="P1446" s="100"/>
    </row>
    <row r="1447">
      <c r="A1447" s="107">
        <v>202332.0</v>
      </c>
      <c r="B1447" s="108" t="s">
        <v>92</v>
      </c>
      <c r="C1447" s="108" t="s">
        <v>485</v>
      </c>
      <c r="D1447" s="112" t="s">
        <v>177</v>
      </c>
      <c r="E1447" s="112">
        <v>798.0</v>
      </c>
      <c r="F1447" s="111" t="str">
        <f>DataPull!D1447</f>
        <v/>
      </c>
      <c r="G1447" s="94" t="str">
        <f t="shared" si="2"/>
        <v/>
      </c>
      <c r="H1447" s="94" t="str">
        <f t="shared" si="3"/>
        <v/>
      </c>
      <c r="I1447" s="94" t="str">
        <f t="shared" ref="I1447:J1447" si="1448">if(G1447 = "", , -G1447)</f>
        <v/>
      </c>
      <c r="J1447" s="94" t="str">
        <f t="shared" si="1448"/>
        <v/>
      </c>
      <c r="K1447" s="100"/>
      <c r="L1447" s="100"/>
      <c r="N1447" s="100"/>
      <c r="O1447" s="100"/>
      <c r="P1447" s="100"/>
    </row>
    <row r="1448">
      <c r="A1448" s="107">
        <v>202332.0</v>
      </c>
      <c r="B1448" s="108" t="s">
        <v>190</v>
      </c>
      <c r="C1448" s="108" t="s">
        <v>485</v>
      </c>
      <c r="D1448" s="112" t="s">
        <v>187</v>
      </c>
      <c r="E1448" s="112">
        <v>533.2</v>
      </c>
      <c r="F1448" s="111" t="str">
        <f>DataPull!D1448</f>
        <v/>
      </c>
      <c r="G1448" s="94" t="str">
        <f t="shared" si="2"/>
        <v/>
      </c>
      <c r="H1448" s="94" t="str">
        <f t="shared" si="3"/>
        <v/>
      </c>
      <c r="I1448" s="94" t="str">
        <f t="shared" ref="I1448:J1448" si="1449">if(G1448 = "", , -G1448)</f>
        <v/>
      </c>
      <c r="J1448" s="94" t="str">
        <f t="shared" si="1449"/>
        <v/>
      </c>
      <c r="K1448" s="100"/>
      <c r="M1448" s="100"/>
      <c r="N1448" s="100"/>
      <c r="O1448" s="100"/>
      <c r="P1448" s="100"/>
    </row>
    <row r="1449">
      <c r="A1449" s="107">
        <v>202332.0</v>
      </c>
      <c r="B1449" s="108" t="s">
        <v>191</v>
      </c>
      <c r="C1449" s="108" t="s">
        <v>485</v>
      </c>
      <c r="D1449" s="112" t="s">
        <v>187</v>
      </c>
      <c r="E1449" s="112">
        <v>48.3</v>
      </c>
      <c r="F1449" s="111" t="str">
        <f>DataPull!D1449</f>
        <v/>
      </c>
      <c r="G1449" s="94" t="str">
        <f t="shared" si="2"/>
        <v/>
      </c>
      <c r="H1449" s="94" t="str">
        <f t="shared" si="3"/>
        <v/>
      </c>
      <c r="I1449" s="94" t="str">
        <f t="shared" ref="I1449:J1449" si="1450">if(G1449 = "", , -G1449)</f>
        <v/>
      </c>
      <c r="J1449" s="94" t="str">
        <f t="shared" si="1450"/>
        <v/>
      </c>
      <c r="K1449" s="100"/>
      <c r="M1449" s="100"/>
      <c r="N1449" s="100"/>
      <c r="O1449" s="100"/>
      <c r="P1449" s="100"/>
    </row>
    <row r="1450">
      <c r="A1450" s="107">
        <v>202333.0</v>
      </c>
      <c r="B1450" s="108" t="s">
        <v>85</v>
      </c>
      <c r="C1450" s="108" t="s">
        <v>486</v>
      </c>
      <c r="D1450" s="112" t="s">
        <v>177</v>
      </c>
      <c r="E1450" s="112">
        <v>907.3</v>
      </c>
      <c r="F1450" s="111" t="str">
        <f>DataPull!D1450</f>
        <v/>
      </c>
      <c r="G1450" s="94" t="str">
        <f t="shared" si="2"/>
        <v/>
      </c>
      <c r="H1450" s="94" t="str">
        <f t="shared" si="3"/>
        <v/>
      </c>
      <c r="I1450" s="94" t="str">
        <f t="shared" ref="I1450:J1450" si="1451">if(G1450 = "", , -G1450)</f>
        <v/>
      </c>
      <c r="J1450" s="94" t="str">
        <f t="shared" si="1451"/>
        <v/>
      </c>
      <c r="K1450" s="100"/>
      <c r="M1450" s="100"/>
      <c r="N1450" s="100"/>
      <c r="O1450" s="100"/>
      <c r="P1450" s="100"/>
    </row>
    <row r="1451">
      <c r="A1451" s="107">
        <v>202333.0</v>
      </c>
      <c r="B1451" s="108" t="s">
        <v>90</v>
      </c>
      <c r="C1451" s="108" t="s">
        <v>486</v>
      </c>
      <c r="D1451" s="112" t="s">
        <v>187</v>
      </c>
      <c r="E1451" s="112">
        <v>85.5</v>
      </c>
      <c r="F1451" s="111" t="str">
        <f>DataPull!D1451</f>
        <v/>
      </c>
      <c r="G1451" s="94" t="str">
        <f t="shared" si="2"/>
        <v/>
      </c>
      <c r="H1451" s="94" t="str">
        <f t="shared" si="3"/>
        <v/>
      </c>
      <c r="I1451" s="94" t="str">
        <f t="shared" ref="I1451:J1451" si="1452">if(G1451 = "", , -G1451)</f>
        <v/>
      </c>
      <c r="J1451" s="94" t="str">
        <f t="shared" si="1452"/>
        <v/>
      </c>
      <c r="K1451" s="100"/>
      <c r="M1451" s="100"/>
      <c r="N1451" s="100"/>
      <c r="O1451" s="100"/>
      <c r="P1451" s="100"/>
    </row>
    <row r="1452">
      <c r="A1452" s="107">
        <v>202334.0</v>
      </c>
      <c r="B1452" s="108" t="s">
        <v>85</v>
      </c>
      <c r="C1452" s="108" t="s">
        <v>487</v>
      </c>
      <c r="D1452" s="112" t="s">
        <v>177</v>
      </c>
      <c r="E1452" s="112">
        <v>957.6</v>
      </c>
      <c r="F1452" s="111" t="str">
        <f>DataPull!D1452</f>
        <v/>
      </c>
      <c r="G1452" s="94" t="str">
        <f t="shared" si="2"/>
        <v/>
      </c>
      <c r="H1452" s="94" t="str">
        <f t="shared" si="3"/>
        <v/>
      </c>
      <c r="I1452" s="94" t="str">
        <f t="shared" ref="I1452:J1452" si="1453">if(G1452 = "", , -G1452)</f>
        <v/>
      </c>
      <c r="J1452" s="94" t="str">
        <f t="shared" si="1453"/>
        <v/>
      </c>
      <c r="K1452" s="100"/>
      <c r="L1452" s="100"/>
      <c r="M1452" s="100"/>
      <c r="N1452" s="100"/>
      <c r="O1452" s="100"/>
      <c r="P1452" s="100"/>
    </row>
    <row r="1453">
      <c r="A1453" s="107">
        <v>202334.0</v>
      </c>
      <c r="B1453" s="108" t="s">
        <v>90</v>
      </c>
      <c r="C1453" s="108" t="s">
        <v>487</v>
      </c>
      <c r="D1453" s="112" t="s">
        <v>176</v>
      </c>
      <c r="E1453" s="112">
        <v>1840.7</v>
      </c>
      <c r="F1453" s="111" t="str">
        <f>DataPull!D1453</f>
        <v/>
      </c>
      <c r="G1453" s="94" t="str">
        <f t="shared" si="2"/>
        <v/>
      </c>
      <c r="H1453" s="94" t="str">
        <f t="shared" si="3"/>
        <v/>
      </c>
      <c r="I1453" s="94" t="str">
        <f t="shared" ref="I1453:J1453" si="1454">if(G1453 = "", , -G1453)</f>
        <v/>
      </c>
      <c r="J1453" s="94" t="str">
        <f t="shared" si="1454"/>
        <v/>
      </c>
      <c r="K1453" s="100"/>
      <c r="M1453" s="100"/>
      <c r="N1453" s="100"/>
      <c r="O1453" s="100"/>
      <c r="P1453" s="100"/>
    </row>
    <row r="1454">
      <c r="A1454" s="107">
        <v>202334.0</v>
      </c>
      <c r="B1454" s="108" t="s">
        <v>92</v>
      </c>
      <c r="C1454" s="108" t="s">
        <v>487</v>
      </c>
      <c r="D1454" s="112" t="s">
        <v>176</v>
      </c>
      <c r="E1454" s="112">
        <v>1684.8</v>
      </c>
      <c r="F1454" s="111" t="str">
        <f>DataPull!D1454</f>
        <v/>
      </c>
      <c r="G1454" s="94" t="str">
        <f t="shared" si="2"/>
        <v/>
      </c>
      <c r="H1454" s="94" t="str">
        <f t="shared" si="3"/>
        <v/>
      </c>
      <c r="I1454" s="94" t="str">
        <f t="shared" ref="I1454:J1454" si="1455">if(G1454 = "", , -G1454)</f>
        <v/>
      </c>
      <c r="J1454" s="94" t="str">
        <f t="shared" si="1455"/>
        <v/>
      </c>
      <c r="K1454" s="100"/>
      <c r="M1454" s="100"/>
      <c r="N1454" s="100"/>
      <c r="O1454" s="100"/>
      <c r="P1454" s="100"/>
    </row>
    <row r="1455">
      <c r="A1455" s="107">
        <v>202334.0</v>
      </c>
      <c r="B1455" s="108" t="s">
        <v>190</v>
      </c>
      <c r="C1455" s="108" t="s">
        <v>487</v>
      </c>
      <c r="D1455" s="112" t="s">
        <v>177</v>
      </c>
      <c r="E1455" s="112">
        <v>791.2</v>
      </c>
      <c r="F1455" s="111" t="str">
        <f>DataPull!D1455</f>
        <v/>
      </c>
      <c r="G1455" s="94" t="str">
        <f t="shared" si="2"/>
        <v/>
      </c>
      <c r="H1455" s="94" t="str">
        <f t="shared" si="3"/>
        <v/>
      </c>
      <c r="I1455" s="94" t="str">
        <f t="shared" ref="I1455:J1455" si="1456">if(G1455 = "", , -G1455)</f>
        <v/>
      </c>
      <c r="J1455" s="94" t="str">
        <f t="shared" si="1456"/>
        <v/>
      </c>
      <c r="K1455" s="100"/>
      <c r="M1455" s="100"/>
      <c r="N1455" s="100"/>
      <c r="O1455" s="100"/>
      <c r="P1455" s="100"/>
    </row>
    <row r="1456">
      <c r="A1456" s="107">
        <v>202334.0</v>
      </c>
      <c r="B1456" s="108" t="s">
        <v>191</v>
      </c>
      <c r="C1456" s="108" t="s">
        <v>487</v>
      </c>
      <c r="D1456" s="112" t="s">
        <v>177</v>
      </c>
      <c r="E1456" s="112">
        <v>1474.2</v>
      </c>
      <c r="F1456" s="111" t="str">
        <f>DataPull!D1456</f>
        <v/>
      </c>
      <c r="G1456" s="94" t="str">
        <f t="shared" si="2"/>
        <v/>
      </c>
      <c r="H1456" s="94" t="str">
        <f t="shared" si="3"/>
        <v/>
      </c>
      <c r="I1456" s="94" t="str">
        <f t="shared" ref="I1456:J1456" si="1457">if(G1456 = "", , -G1456)</f>
        <v/>
      </c>
      <c r="J1456" s="94" t="str">
        <f t="shared" si="1457"/>
        <v/>
      </c>
      <c r="K1456" s="100"/>
      <c r="M1456" s="100"/>
      <c r="N1456" s="100"/>
      <c r="O1456" s="100"/>
      <c r="P1456" s="100"/>
    </row>
    <row r="1457">
      <c r="A1457" s="107">
        <v>202334.0</v>
      </c>
      <c r="B1457" s="108" t="s">
        <v>192</v>
      </c>
      <c r="C1457" s="108" t="s">
        <v>487</v>
      </c>
      <c r="D1457" s="112" t="s">
        <v>177</v>
      </c>
      <c r="E1457" s="112">
        <v>1449.9</v>
      </c>
      <c r="F1457" s="111" t="str">
        <f>DataPull!D1457</f>
        <v/>
      </c>
      <c r="G1457" s="94" t="str">
        <f t="shared" si="2"/>
        <v/>
      </c>
      <c r="H1457" s="94" t="str">
        <f t="shared" si="3"/>
        <v/>
      </c>
      <c r="I1457" s="94" t="str">
        <f t="shared" ref="I1457:J1457" si="1458">if(G1457 = "", , -G1457)</f>
        <v/>
      </c>
      <c r="J1457" s="94" t="str">
        <f t="shared" si="1458"/>
        <v/>
      </c>
      <c r="K1457" s="100"/>
      <c r="M1457" s="100"/>
      <c r="N1457" s="100"/>
      <c r="O1457" s="100"/>
      <c r="P1457" s="100"/>
    </row>
    <row r="1458">
      <c r="A1458" s="107">
        <v>202334.0</v>
      </c>
      <c r="B1458" s="108" t="s">
        <v>193</v>
      </c>
      <c r="C1458" s="108" t="s">
        <v>487</v>
      </c>
      <c r="D1458" s="112" t="s">
        <v>177</v>
      </c>
      <c r="E1458" s="112">
        <v>302.4</v>
      </c>
      <c r="F1458" s="111" t="str">
        <f>DataPull!D1458</f>
        <v/>
      </c>
      <c r="G1458" s="94" t="str">
        <f t="shared" si="2"/>
        <v/>
      </c>
      <c r="H1458" s="94" t="str">
        <f t="shared" si="3"/>
        <v/>
      </c>
      <c r="I1458" s="94" t="str">
        <f t="shared" ref="I1458:J1458" si="1459">if(G1458 = "", , -G1458)</f>
        <v/>
      </c>
      <c r="J1458" s="94" t="str">
        <f t="shared" si="1459"/>
        <v/>
      </c>
      <c r="K1458" s="100"/>
      <c r="M1458" s="100"/>
      <c r="N1458" s="100"/>
      <c r="O1458" s="100"/>
      <c r="P1458" s="100"/>
    </row>
    <row r="1459">
      <c r="A1459" s="107">
        <v>202334.0</v>
      </c>
      <c r="B1459" s="108" t="s">
        <v>243</v>
      </c>
      <c r="C1459" s="108" t="s">
        <v>487</v>
      </c>
      <c r="D1459" s="112" t="s">
        <v>187</v>
      </c>
      <c r="E1459" s="112">
        <v>299.0</v>
      </c>
      <c r="F1459" s="111" t="str">
        <f>DataPull!D1459</f>
        <v/>
      </c>
      <c r="G1459" s="94" t="str">
        <f t="shared" si="2"/>
        <v/>
      </c>
      <c r="H1459" s="94" t="str">
        <f t="shared" si="3"/>
        <v/>
      </c>
      <c r="I1459" s="94" t="str">
        <f t="shared" ref="I1459:J1459" si="1460">if(G1459 = "", , -G1459)</f>
        <v/>
      </c>
      <c r="J1459" s="94" t="str">
        <f t="shared" si="1460"/>
        <v/>
      </c>
      <c r="K1459" s="100"/>
      <c r="M1459" s="100"/>
      <c r="N1459" s="100"/>
      <c r="O1459" s="100"/>
      <c r="P1459" s="100"/>
    </row>
    <row r="1460">
      <c r="A1460" s="107">
        <v>202334.0</v>
      </c>
      <c r="B1460" s="108" t="s">
        <v>215</v>
      </c>
      <c r="C1460" s="108" t="s">
        <v>487</v>
      </c>
      <c r="D1460" s="112" t="s">
        <v>187</v>
      </c>
      <c r="E1460" s="112">
        <v>201.5</v>
      </c>
      <c r="F1460" s="111" t="str">
        <f>DataPull!D1460</f>
        <v/>
      </c>
      <c r="G1460" s="94" t="str">
        <f t="shared" si="2"/>
        <v/>
      </c>
      <c r="H1460" s="94" t="str">
        <f t="shared" si="3"/>
        <v/>
      </c>
      <c r="I1460" s="94" t="str">
        <f t="shared" ref="I1460:J1460" si="1461">if(G1460 = "", , -G1460)</f>
        <v/>
      </c>
      <c r="J1460" s="94" t="str">
        <f t="shared" si="1461"/>
        <v/>
      </c>
      <c r="K1460" s="100"/>
      <c r="L1460" s="100"/>
      <c r="N1460" s="100"/>
      <c r="O1460" s="100"/>
      <c r="P1460" s="100"/>
    </row>
    <row r="1461">
      <c r="A1461" s="107">
        <v>202335.0</v>
      </c>
      <c r="B1461" s="108" t="s">
        <v>85</v>
      </c>
      <c r="C1461" s="108" t="s">
        <v>488</v>
      </c>
      <c r="D1461" s="112" t="s">
        <v>176</v>
      </c>
      <c r="E1461" s="112">
        <v>1534.0</v>
      </c>
      <c r="F1461" s="111" t="str">
        <f>DataPull!D1461</f>
        <v/>
      </c>
      <c r="G1461" s="94" t="str">
        <f t="shared" si="2"/>
        <v/>
      </c>
      <c r="H1461" s="94" t="str">
        <f t="shared" si="3"/>
        <v/>
      </c>
      <c r="I1461" s="94" t="str">
        <f t="shared" ref="I1461:J1461" si="1462">if(G1461 = "", , -G1461)</f>
        <v/>
      </c>
      <c r="J1461" s="94" t="str">
        <f t="shared" si="1462"/>
        <v/>
      </c>
      <c r="K1461" s="100"/>
      <c r="M1461" s="100"/>
      <c r="N1461" s="100"/>
      <c r="O1461" s="100"/>
      <c r="P1461" s="100"/>
    </row>
    <row r="1462">
      <c r="A1462" s="107">
        <v>202335.0</v>
      </c>
      <c r="B1462" s="108" t="s">
        <v>90</v>
      </c>
      <c r="C1462" s="108" t="s">
        <v>488</v>
      </c>
      <c r="D1462" s="112" t="s">
        <v>178</v>
      </c>
      <c r="E1462" s="112">
        <v>2154.6</v>
      </c>
      <c r="F1462" s="111" t="str">
        <f>DataPull!D1462</f>
        <v/>
      </c>
      <c r="G1462" s="94" t="str">
        <f t="shared" si="2"/>
        <v/>
      </c>
      <c r="H1462" s="94" t="str">
        <f t="shared" si="3"/>
        <v/>
      </c>
      <c r="I1462" s="94" t="str">
        <f t="shared" ref="I1462:J1462" si="1463">if(G1462 = "", , -G1462)</f>
        <v/>
      </c>
      <c r="J1462" s="94" t="str">
        <f t="shared" si="1463"/>
        <v/>
      </c>
      <c r="K1462" s="100"/>
      <c r="M1462" s="100"/>
      <c r="N1462" s="100"/>
      <c r="O1462" s="100"/>
      <c r="P1462" s="100"/>
    </row>
    <row r="1463">
      <c r="A1463" s="107">
        <v>202335.0</v>
      </c>
      <c r="B1463" s="108" t="s">
        <v>92</v>
      </c>
      <c r="C1463" s="108" t="s">
        <v>488</v>
      </c>
      <c r="D1463" s="112" t="s">
        <v>176</v>
      </c>
      <c r="E1463" s="112">
        <v>2022.4</v>
      </c>
      <c r="F1463" s="111" t="str">
        <f>DataPull!D1463</f>
        <v/>
      </c>
      <c r="G1463" s="94" t="str">
        <f t="shared" si="2"/>
        <v/>
      </c>
      <c r="H1463" s="94" t="str">
        <f t="shared" si="3"/>
        <v/>
      </c>
      <c r="I1463" s="94" t="str">
        <f t="shared" ref="I1463:J1463" si="1464">if(G1463 = "", , -G1463)</f>
        <v/>
      </c>
      <c r="J1463" s="94" t="str">
        <f t="shared" si="1464"/>
        <v/>
      </c>
      <c r="K1463" s="100"/>
      <c r="M1463" s="100"/>
      <c r="N1463" s="100"/>
      <c r="O1463" s="100"/>
      <c r="P1463" s="100"/>
    </row>
    <row r="1464">
      <c r="A1464" s="107">
        <v>202335.0</v>
      </c>
      <c r="B1464" s="108" t="s">
        <v>190</v>
      </c>
      <c r="C1464" s="108" t="s">
        <v>488</v>
      </c>
      <c r="D1464" s="112" t="s">
        <v>176</v>
      </c>
      <c r="E1464" s="112">
        <v>1599.0</v>
      </c>
      <c r="F1464" s="111" t="str">
        <f>DataPull!D1464</f>
        <v/>
      </c>
      <c r="G1464" s="94" t="str">
        <f t="shared" si="2"/>
        <v/>
      </c>
      <c r="H1464" s="94" t="str">
        <f t="shared" si="3"/>
        <v/>
      </c>
      <c r="I1464" s="94" t="str">
        <f t="shared" ref="I1464:J1464" si="1465">if(G1464 = "", , -G1464)</f>
        <v/>
      </c>
      <c r="J1464" s="94" t="str">
        <f t="shared" si="1465"/>
        <v/>
      </c>
      <c r="K1464" s="100"/>
      <c r="M1464" s="100"/>
      <c r="N1464" s="100"/>
      <c r="O1464" s="100"/>
      <c r="P1464" s="100"/>
    </row>
    <row r="1465">
      <c r="A1465" s="107">
        <v>202335.0</v>
      </c>
      <c r="B1465" s="108" t="s">
        <v>191</v>
      </c>
      <c r="C1465" s="108" t="s">
        <v>488</v>
      </c>
      <c r="D1465" s="112" t="s">
        <v>177</v>
      </c>
      <c r="E1465" s="112">
        <v>1271.0</v>
      </c>
      <c r="F1465" s="111" t="str">
        <f>DataPull!D1465</f>
        <v/>
      </c>
      <c r="G1465" s="94" t="str">
        <f t="shared" si="2"/>
        <v/>
      </c>
      <c r="H1465" s="94" t="str">
        <f t="shared" si="3"/>
        <v/>
      </c>
      <c r="I1465" s="94" t="str">
        <f t="shared" ref="I1465:J1465" si="1466">if(G1465 = "", , -G1465)</f>
        <v/>
      </c>
      <c r="J1465" s="94" t="str">
        <f t="shared" si="1466"/>
        <v/>
      </c>
      <c r="K1465" s="100"/>
      <c r="L1465" s="100"/>
      <c r="M1465" s="100"/>
      <c r="N1465" s="100"/>
      <c r="O1465" s="100"/>
      <c r="P1465" s="100"/>
    </row>
    <row r="1466">
      <c r="A1466" s="107">
        <v>202335.0</v>
      </c>
      <c r="B1466" s="108" t="s">
        <v>192</v>
      </c>
      <c r="C1466" s="108" t="s">
        <v>488</v>
      </c>
      <c r="D1466" s="112" t="s">
        <v>177</v>
      </c>
      <c r="E1466" s="112">
        <v>863.1</v>
      </c>
      <c r="F1466" s="111" t="str">
        <f>DataPull!D1466</f>
        <v/>
      </c>
      <c r="G1466" s="94" t="str">
        <f t="shared" si="2"/>
        <v/>
      </c>
      <c r="H1466" s="94" t="str">
        <f t="shared" si="3"/>
        <v/>
      </c>
      <c r="I1466" s="94" t="str">
        <f t="shared" ref="I1466:J1466" si="1467">if(G1466 = "", , -G1466)</f>
        <v/>
      </c>
      <c r="J1466" s="94" t="str">
        <f t="shared" si="1467"/>
        <v/>
      </c>
      <c r="K1466" s="100"/>
      <c r="M1466" s="100"/>
      <c r="N1466" s="100"/>
      <c r="O1466" s="100"/>
      <c r="P1466" s="100"/>
    </row>
    <row r="1467">
      <c r="A1467" s="107">
        <v>202335.0</v>
      </c>
      <c r="B1467" s="108" t="s">
        <v>193</v>
      </c>
      <c r="C1467" s="108" t="s">
        <v>488</v>
      </c>
      <c r="D1467" s="112" t="s">
        <v>177</v>
      </c>
      <c r="E1467" s="112">
        <v>778.8</v>
      </c>
      <c r="F1467" s="111" t="str">
        <f>DataPull!D1467</f>
        <v/>
      </c>
      <c r="G1467" s="94" t="str">
        <f t="shared" si="2"/>
        <v/>
      </c>
      <c r="H1467" s="94" t="str">
        <f t="shared" si="3"/>
        <v/>
      </c>
      <c r="I1467" s="94" t="str">
        <f t="shared" ref="I1467:J1467" si="1468">if(G1467 = "", , -G1467)</f>
        <v/>
      </c>
      <c r="J1467" s="94" t="str">
        <f t="shared" si="1468"/>
        <v/>
      </c>
      <c r="K1467" s="100"/>
      <c r="M1467" s="100"/>
      <c r="N1467" s="100"/>
      <c r="O1467" s="100"/>
      <c r="P1467" s="100"/>
    </row>
    <row r="1468">
      <c r="A1468" s="107">
        <v>202335.0</v>
      </c>
      <c r="B1468" s="108" t="s">
        <v>243</v>
      </c>
      <c r="C1468" s="108" t="s">
        <v>488</v>
      </c>
      <c r="D1468" s="112" t="s">
        <v>177</v>
      </c>
      <c r="E1468" s="112">
        <v>581.4</v>
      </c>
      <c r="F1468" s="111" t="str">
        <f>DataPull!D1468</f>
        <v/>
      </c>
      <c r="G1468" s="94" t="str">
        <f t="shared" si="2"/>
        <v/>
      </c>
      <c r="H1468" s="94" t="str">
        <f t="shared" si="3"/>
        <v/>
      </c>
      <c r="I1468" s="94" t="str">
        <f t="shared" ref="I1468:J1468" si="1469">if(G1468 = "", , -G1468)</f>
        <v/>
      </c>
      <c r="J1468" s="94" t="str">
        <f t="shared" si="1469"/>
        <v/>
      </c>
      <c r="K1468" s="100"/>
      <c r="M1468" s="100"/>
      <c r="N1468" s="100"/>
      <c r="O1468" s="100"/>
      <c r="P1468" s="100"/>
    </row>
    <row r="1469">
      <c r="A1469" s="107">
        <v>202336.0</v>
      </c>
      <c r="B1469" s="108" t="s">
        <v>85</v>
      </c>
      <c r="C1469" s="108" t="s">
        <v>489</v>
      </c>
      <c r="D1469" s="112" t="s">
        <v>176</v>
      </c>
      <c r="E1469" s="112">
        <v>584.2</v>
      </c>
      <c r="F1469" s="111" t="str">
        <f>DataPull!D1469</f>
        <v/>
      </c>
      <c r="G1469" s="94" t="str">
        <f t="shared" si="2"/>
        <v/>
      </c>
      <c r="H1469" s="94" t="str">
        <f t="shared" si="3"/>
        <v/>
      </c>
      <c r="I1469" s="94" t="str">
        <f t="shared" ref="I1469:J1469" si="1470">if(G1469 = "", , -G1469)</f>
        <v/>
      </c>
      <c r="J1469" s="94" t="str">
        <f t="shared" si="1470"/>
        <v/>
      </c>
      <c r="K1469" s="100"/>
      <c r="M1469" s="100"/>
      <c r="N1469" s="100"/>
      <c r="P1469" s="100"/>
    </row>
    <row r="1470">
      <c r="A1470" s="107">
        <v>202336.0</v>
      </c>
      <c r="B1470" s="108" t="s">
        <v>90</v>
      </c>
      <c r="C1470" s="108" t="s">
        <v>489</v>
      </c>
      <c r="D1470" s="112" t="s">
        <v>176</v>
      </c>
      <c r="E1470" s="112">
        <v>585.9</v>
      </c>
      <c r="F1470" s="111" t="str">
        <f>DataPull!D1470</f>
        <v/>
      </c>
      <c r="G1470" s="94" t="str">
        <f t="shared" si="2"/>
        <v/>
      </c>
      <c r="H1470" s="94" t="str">
        <f t="shared" si="3"/>
        <v/>
      </c>
      <c r="I1470" s="94" t="str">
        <f t="shared" ref="I1470:J1470" si="1471">if(G1470 = "", , -G1470)</f>
        <v/>
      </c>
      <c r="J1470" s="94" t="str">
        <f t="shared" si="1471"/>
        <v/>
      </c>
      <c r="K1470" s="100"/>
      <c r="M1470" s="100"/>
      <c r="N1470" s="100"/>
      <c r="O1470" s="100"/>
    </row>
    <row r="1471">
      <c r="A1471" s="107">
        <v>202336.0</v>
      </c>
      <c r="B1471" s="108" t="s">
        <v>190</v>
      </c>
      <c r="C1471" s="108" t="s">
        <v>489</v>
      </c>
      <c r="D1471" s="112" t="s">
        <v>181</v>
      </c>
      <c r="E1471" s="112">
        <v>12.5</v>
      </c>
      <c r="F1471" s="111" t="str">
        <f>DataPull!D1471</f>
        <v/>
      </c>
      <c r="G1471" s="94" t="str">
        <f t="shared" si="2"/>
        <v/>
      </c>
      <c r="H1471" s="94" t="str">
        <f t="shared" si="3"/>
        <v/>
      </c>
      <c r="I1471" s="94" t="str">
        <f t="shared" ref="I1471:J1471" si="1472">if(G1471 = "", , -G1471)</f>
        <v/>
      </c>
      <c r="J1471" s="94" t="str">
        <f t="shared" si="1472"/>
        <v/>
      </c>
      <c r="K1471" s="100"/>
      <c r="M1471" s="100"/>
      <c r="N1471" s="100"/>
      <c r="O1471" s="100"/>
      <c r="P1471" s="100"/>
    </row>
    <row r="1472">
      <c r="A1472" s="107">
        <v>202337.0</v>
      </c>
      <c r="B1472" s="108" t="s">
        <v>85</v>
      </c>
      <c r="C1472" s="108" t="s">
        <v>490</v>
      </c>
      <c r="D1472" s="112" t="s">
        <v>177</v>
      </c>
      <c r="E1472" s="112">
        <v>472.5</v>
      </c>
      <c r="F1472" s="111" t="str">
        <f>DataPull!D1472</f>
        <v/>
      </c>
      <c r="G1472" s="94" t="str">
        <f t="shared" si="2"/>
        <v/>
      </c>
      <c r="H1472" s="94" t="str">
        <f t="shared" si="3"/>
        <v/>
      </c>
      <c r="I1472" s="94" t="str">
        <f t="shared" ref="I1472:J1472" si="1473">if(G1472 = "", , -G1472)</f>
        <v/>
      </c>
      <c r="J1472" s="94" t="str">
        <f t="shared" si="1473"/>
        <v/>
      </c>
      <c r="K1472" s="100"/>
      <c r="M1472" s="100"/>
      <c r="N1472" s="100"/>
      <c r="O1472" s="100"/>
      <c r="P1472" s="100"/>
    </row>
    <row r="1473">
      <c r="A1473" s="107">
        <v>202337.0</v>
      </c>
      <c r="B1473" s="108" t="s">
        <v>90</v>
      </c>
      <c r="C1473" s="108" t="s">
        <v>490</v>
      </c>
      <c r="D1473" s="112" t="s">
        <v>177</v>
      </c>
      <c r="E1473" s="112">
        <v>831.6</v>
      </c>
      <c r="F1473" s="111" t="str">
        <f>DataPull!D1473</f>
        <v/>
      </c>
      <c r="G1473" s="94" t="str">
        <f t="shared" si="2"/>
        <v/>
      </c>
      <c r="H1473" s="94" t="str">
        <f t="shared" si="3"/>
        <v/>
      </c>
      <c r="I1473" s="94" t="str">
        <f t="shared" ref="I1473:J1473" si="1474">if(G1473 = "", , -G1473)</f>
        <v/>
      </c>
      <c r="J1473" s="94" t="str">
        <f t="shared" si="1474"/>
        <v/>
      </c>
      <c r="K1473" s="100"/>
      <c r="M1473" s="100"/>
      <c r="N1473" s="100"/>
      <c r="O1473" s="100"/>
      <c r="P1473" s="100"/>
    </row>
    <row r="1474">
      <c r="A1474" s="107">
        <v>202337.0</v>
      </c>
      <c r="B1474" s="108" t="s">
        <v>92</v>
      </c>
      <c r="C1474" s="108" t="s">
        <v>490</v>
      </c>
      <c r="D1474" s="112" t="s">
        <v>177</v>
      </c>
      <c r="E1474" s="112">
        <v>846.0</v>
      </c>
      <c r="F1474" s="111" t="str">
        <f>DataPull!D1474</f>
        <v/>
      </c>
      <c r="G1474" s="94" t="str">
        <f t="shared" si="2"/>
        <v/>
      </c>
      <c r="H1474" s="94" t="str">
        <f t="shared" si="3"/>
        <v/>
      </c>
      <c r="I1474" s="94" t="str">
        <f t="shared" ref="I1474:J1474" si="1475">if(G1474 = "", , -G1474)</f>
        <v/>
      </c>
      <c r="J1474" s="94" t="str">
        <f t="shared" si="1475"/>
        <v/>
      </c>
      <c r="K1474" s="100"/>
      <c r="M1474" s="100"/>
      <c r="N1474" s="100"/>
      <c r="O1474" s="100"/>
      <c r="P1474" s="100"/>
    </row>
    <row r="1475">
      <c r="A1475" s="107">
        <v>202337.0</v>
      </c>
      <c r="B1475" s="108" t="s">
        <v>190</v>
      </c>
      <c r="C1475" s="108" t="s">
        <v>490</v>
      </c>
      <c r="D1475" s="112" t="s">
        <v>177</v>
      </c>
      <c r="E1475" s="112">
        <v>1067.6</v>
      </c>
      <c r="F1475" s="111" t="str">
        <f>DataPull!D1475</f>
        <v/>
      </c>
      <c r="G1475" s="94" t="str">
        <f t="shared" si="2"/>
        <v/>
      </c>
      <c r="H1475" s="94" t="str">
        <f t="shared" si="3"/>
        <v/>
      </c>
      <c r="I1475" s="94" t="str">
        <f t="shared" ref="I1475:J1475" si="1476">if(G1475 = "", , -G1475)</f>
        <v/>
      </c>
      <c r="J1475" s="94" t="str">
        <f t="shared" si="1476"/>
        <v/>
      </c>
      <c r="K1475" s="100"/>
      <c r="M1475" s="100"/>
      <c r="N1475" s="100"/>
      <c r="O1475" s="100"/>
      <c r="P1475" s="100"/>
    </row>
    <row r="1476">
      <c r="A1476" s="107">
        <v>202337.0</v>
      </c>
      <c r="B1476" s="108" t="s">
        <v>191</v>
      </c>
      <c r="C1476" s="108" t="s">
        <v>490</v>
      </c>
      <c r="D1476" s="112" t="s">
        <v>177</v>
      </c>
      <c r="E1476" s="112">
        <v>715.0</v>
      </c>
      <c r="F1476" s="111" t="str">
        <f>DataPull!D1476</f>
        <v/>
      </c>
      <c r="G1476" s="94" t="str">
        <f t="shared" si="2"/>
        <v/>
      </c>
      <c r="H1476" s="94" t="str">
        <f t="shared" si="3"/>
        <v/>
      </c>
      <c r="I1476" s="94" t="str">
        <f t="shared" ref="I1476:J1476" si="1477">if(G1476 = "", , -G1476)</f>
        <v/>
      </c>
      <c r="J1476" s="94" t="str">
        <f t="shared" si="1477"/>
        <v/>
      </c>
      <c r="K1476" s="100"/>
      <c r="L1476" s="100"/>
      <c r="M1476" s="100"/>
      <c r="N1476" s="100"/>
      <c r="O1476" s="100"/>
      <c r="P1476" s="100"/>
    </row>
    <row r="1477">
      <c r="A1477" s="107">
        <v>202338.0</v>
      </c>
      <c r="B1477" s="108" t="s">
        <v>85</v>
      </c>
      <c r="C1477" s="108" t="s">
        <v>491</v>
      </c>
      <c r="D1477" s="112" t="s">
        <v>187</v>
      </c>
      <c r="E1477" s="112">
        <v>577.7</v>
      </c>
      <c r="F1477" s="111" t="str">
        <f>DataPull!D1477</f>
        <v/>
      </c>
      <c r="G1477" s="94" t="str">
        <f t="shared" si="2"/>
        <v/>
      </c>
      <c r="H1477" s="94" t="str">
        <f t="shared" si="3"/>
        <v/>
      </c>
      <c r="I1477" s="94" t="str">
        <f t="shared" ref="I1477:J1477" si="1478">if(G1477 = "", , -G1477)</f>
        <v/>
      </c>
      <c r="J1477" s="94" t="str">
        <f t="shared" si="1478"/>
        <v/>
      </c>
      <c r="K1477" s="100"/>
      <c r="M1477" s="100"/>
      <c r="N1477" s="100"/>
      <c r="O1477" s="100"/>
      <c r="P1477" s="100"/>
    </row>
    <row r="1478">
      <c r="A1478" s="107">
        <v>202338.0</v>
      </c>
      <c r="B1478" s="108" t="s">
        <v>90</v>
      </c>
      <c r="C1478" s="108" t="s">
        <v>491</v>
      </c>
      <c r="D1478" s="112" t="s">
        <v>177</v>
      </c>
      <c r="E1478" s="112">
        <v>1232.4</v>
      </c>
      <c r="F1478" s="111" t="str">
        <f>DataPull!D1478</f>
        <v/>
      </c>
      <c r="G1478" s="94" t="str">
        <f t="shared" si="2"/>
        <v/>
      </c>
      <c r="H1478" s="94" t="str">
        <f t="shared" si="3"/>
        <v/>
      </c>
      <c r="I1478" s="94" t="str">
        <f t="shared" ref="I1478:J1478" si="1479">if(G1478 = "", , -G1478)</f>
        <v/>
      </c>
      <c r="J1478" s="94" t="str">
        <f t="shared" si="1479"/>
        <v/>
      </c>
      <c r="K1478" s="100"/>
      <c r="L1478" s="100"/>
      <c r="M1478" s="100"/>
      <c r="N1478" s="100"/>
      <c r="O1478" s="100"/>
      <c r="P1478" s="100"/>
    </row>
    <row r="1479">
      <c r="A1479" s="107">
        <v>202338.0</v>
      </c>
      <c r="B1479" s="108" t="s">
        <v>92</v>
      </c>
      <c r="C1479" s="108" t="s">
        <v>491</v>
      </c>
      <c r="D1479" s="112" t="s">
        <v>177</v>
      </c>
      <c r="E1479" s="112">
        <v>528.0</v>
      </c>
      <c r="F1479" s="111" t="str">
        <f>DataPull!D1479</f>
        <v/>
      </c>
      <c r="G1479" s="94" t="str">
        <f t="shared" si="2"/>
        <v/>
      </c>
      <c r="H1479" s="94" t="str">
        <f t="shared" si="3"/>
        <v/>
      </c>
      <c r="I1479" s="94" t="str">
        <f t="shared" ref="I1479:J1479" si="1480">if(G1479 = "", , -G1479)</f>
        <v/>
      </c>
      <c r="J1479" s="94" t="str">
        <f t="shared" si="1480"/>
        <v/>
      </c>
      <c r="K1479" s="100"/>
      <c r="M1479" s="100"/>
      <c r="N1479" s="100"/>
      <c r="O1479" s="100"/>
      <c r="P1479" s="100"/>
    </row>
    <row r="1480">
      <c r="A1480" s="107">
        <v>202338.0</v>
      </c>
      <c r="B1480" s="108" t="s">
        <v>190</v>
      </c>
      <c r="C1480" s="108" t="s">
        <v>491</v>
      </c>
      <c r="D1480" s="112" t="s">
        <v>177</v>
      </c>
      <c r="E1480" s="112">
        <v>558.6</v>
      </c>
      <c r="F1480" s="111" t="str">
        <f>DataPull!D1480</f>
        <v/>
      </c>
      <c r="G1480" s="94" t="str">
        <f t="shared" si="2"/>
        <v/>
      </c>
      <c r="H1480" s="94" t="str">
        <f t="shared" si="3"/>
        <v/>
      </c>
      <c r="I1480" s="94" t="str">
        <f t="shared" ref="I1480:J1480" si="1481">if(G1480 = "", , -G1480)</f>
        <v/>
      </c>
      <c r="J1480" s="94" t="str">
        <f t="shared" si="1481"/>
        <v/>
      </c>
      <c r="K1480" s="100"/>
      <c r="M1480" s="100"/>
      <c r="N1480" s="100"/>
      <c r="O1480" s="100"/>
      <c r="P1480" s="100"/>
    </row>
    <row r="1481">
      <c r="A1481" s="107">
        <v>202339.0</v>
      </c>
      <c r="B1481" s="108" t="s">
        <v>85</v>
      </c>
      <c r="C1481" s="108" t="s">
        <v>492</v>
      </c>
      <c r="D1481" s="112" t="s">
        <v>178</v>
      </c>
      <c r="E1481" s="112">
        <v>1414.7</v>
      </c>
      <c r="F1481" s="111" t="str">
        <f>DataPull!D1481</f>
        <v/>
      </c>
      <c r="G1481" s="94" t="str">
        <f t="shared" si="2"/>
        <v/>
      </c>
      <c r="H1481" s="94" t="str">
        <f t="shared" si="3"/>
        <v/>
      </c>
      <c r="I1481" s="94" t="str">
        <f t="shared" ref="I1481:J1481" si="1482">if(G1481 = "", , -G1481)</f>
        <v/>
      </c>
      <c r="J1481" s="94" t="str">
        <f t="shared" si="1482"/>
        <v/>
      </c>
      <c r="K1481" s="100"/>
      <c r="N1481" s="100"/>
      <c r="O1481" s="100"/>
      <c r="P1481" s="100"/>
    </row>
    <row r="1482">
      <c r="A1482" s="107">
        <v>202339.0</v>
      </c>
      <c r="B1482" s="108" t="s">
        <v>90</v>
      </c>
      <c r="C1482" s="108" t="s">
        <v>492</v>
      </c>
      <c r="D1482" s="112" t="s">
        <v>178</v>
      </c>
      <c r="E1482" s="112">
        <v>2802.6</v>
      </c>
      <c r="F1482" s="111" t="str">
        <f>DataPull!D1482</f>
        <v/>
      </c>
      <c r="G1482" s="94" t="str">
        <f t="shared" si="2"/>
        <v/>
      </c>
      <c r="H1482" s="94" t="str">
        <f t="shared" si="3"/>
        <v/>
      </c>
      <c r="I1482" s="94" t="str">
        <f t="shared" ref="I1482:J1482" si="1483">if(G1482 = "", , -G1482)</f>
        <v/>
      </c>
      <c r="J1482" s="94" t="str">
        <f t="shared" si="1483"/>
        <v/>
      </c>
      <c r="K1482" s="100"/>
      <c r="M1482" s="100"/>
      <c r="N1482" s="100"/>
      <c r="O1482" s="100"/>
      <c r="P1482" s="100"/>
    </row>
    <row r="1483">
      <c r="A1483" s="107">
        <v>202339.0</v>
      </c>
      <c r="B1483" s="108" t="s">
        <v>92</v>
      </c>
      <c r="C1483" s="108" t="s">
        <v>492</v>
      </c>
      <c r="D1483" s="112" t="s">
        <v>184</v>
      </c>
      <c r="E1483" s="112">
        <v>1060.2</v>
      </c>
      <c r="F1483" s="111" t="str">
        <f>DataPull!D1483</f>
        <v/>
      </c>
      <c r="G1483" s="94" t="str">
        <f t="shared" si="2"/>
        <v/>
      </c>
      <c r="H1483" s="94" t="str">
        <f t="shared" si="3"/>
        <v/>
      </c>
      <c r="I1483" s="94" t="str">
        <f t="shared" ref="I1483:J1483" si="1484">if(G1483 = "", , -G1483)</f>
        <v/>
      </c>
      <c r="J1483" s="94" t="str">
        <f t="shared" si="1484"/>
        <v/>
      </c>
      <c r="K1483" s="100"/>
      <c r="M1483" s="100"/>
      <c r="N1483" s="100"/>
      <c r="O1483" s="100"/>
      <c r="P1483" s="100"/>
    </row>
    <row r="1484">
      <c r="A1484" s="107">
        <v>202339.0</v>
      </c>
      <c r="B1484" s="108" t="s">
        <v>190</v>
      </c>
      <c r="C1484" s="108" t="s">
        <v>492</v>
      </c>
      <c r="D1484" s="112" t="s">
        <v>184</v>
      </c>
      <c r="E1484" s="112">
        <v>2178.0</v>
      </c>
      <c r="F1484" s="111" t="str">
        <f>DataPull!D1484</f>
        <v/>
      </c>
      <c r="G1484" s="94" t="str">
        <f t="shared" si="2"/>
        <v/>
      </c>
      <c r="H1484" s="94" t="str">
        <f t="shared" si="3"/>
        <v/>
      </c>
      <c r="I1484" s="94" t="str">
        <f t="shared" ref="I1484:J1484" si="1485">if(G1484 = "", , -G1484)</f>
        <v/>
      </c>
      <c r="J1484" s="94" t="str">
        <f t="shared" si="1485"/>
        <v/>
      </c>
      <c r="K1484" s="100"/>
      <c r="N1484" s="100"/>
      <c r="O1484" s="100"/>
      <c r="P1484" s="100"/>
    </row>
    <row r="1485">
      <c r="A1485" s="107">
        <v>202339.0</v>
      </c>
      <c r="B1485" s="108" t="s">
        <v>191</v>
      </c>
      <c r="C1485" s="108" t="s">
        <v>492</v>
      </c>
      <c r="D1485" s="112" t="s">
        <v>184</v>
      </c>
      <c r="E1485" s="112">
        <v>2323.6</v>
      </c>
      <c r="F1485" s="111" t="str">
        <f>DataPull!D1485</f>
        <v/>
      </c>
      <c r="G1485" s="94" t="str">
        <f t="shared" si="2"/>
        <v/>
      </c>
      <c r="H1485" s="94" t="str">
        <f t="shared" si="3"/>
        <v/>
      </c>
      <c r="I1485" s="94" t="str">
        <f t="shared" ref="I1485:J1485" si="1486">if(G1485 = "", , -G1485)</f>
        <v/>
      </c>
      <c r="J1485" s="94" t="str">
        <f t="shared" si="1486"/>
        <v/>
      </c>
      <c r="K1485" s="100"/>
      <c r="M1485" s="100"/>
      <c r="N1485" s="100"/>
      <c r="O1485" s="100"/>
      <c r="P1485" s="100"/>
    </row>
    <row r="1486">
      <c r="A1486" s="107">
        <v>202339.0</v>
      </c>
      <c r="B1486" s="108" t="s">
        <v>192</v>
      </c>
      <c r="C1486" s="108" t="s">
        <v>492</v>
      </c>
      <c r="D1486" s="112" t="s">
        <v>184</v>
      </c>
      <c r="E1486" s="112">
        <v>2269.8</v>
      </c>
      <c r="F1486" s="111" t="str">
        <f>DataPull!D1486</f>
        <v/>
      </c>
      <c r="G1486" s="94" t="str">
        <f t="shared" si="2"/>
        <v/>
      </c>
      <c r="H1486" s="94" t="str">
        <f t="shared" si="3"/>
        <v/>
      </c>
      <c r="I1486" s="94" t="str">
        <f t="shared" ref="I1486:J1486" si="1487">if(G1486 = "", , -G1486)</f>
        <v/>
      </c>
      <c r="J1486" s="94" t="str">
        <f t="shared" si="1487"/>
        <v/>
      </c>
      <c r="K1486" s="100"/>
      <c r="M1486" s="100"/>
      <c r="N1486" s="100"/>
      <c r="O1486" s="100"/>
      <c r="P1486" s="100"/>
    </row>
    <row r="1487">
      <c r="A1487" s="107">
        <v>202339.0</v>
      </c>
      <c r="B1487" s="108" t="s">
        <v>193</v>
      </c>
      <c r="C1487" s="108" t="s">
        <v>492</v>
      </c>
      <c r="D1487" s="112" t="s">
        <v>184</v>
      </c>
      <c r="E1487" s="112">
        <v>1647.0</v>
      </c>
      <c r="F1487" s="111" t="str">
        <f>DataPull!D1487</f>
        <v/>
      </c>
      <c r="G1487" s="94" t="str">
        <f t="shared" si="2"/>
        <v/>
      </c>
      <c r="H1487" s="94" t="str">
        <f t="shared" si="3"/>
        <v/>
      </c>
      <c r="I1487" s="94" t="str">
        <f t="shared" ref="I1487:J1487" si="1488">if(G1487 = "", , -G1487)</f>
        <v/>
      </c>
      <c r="J1487" s="94" t="str">
        <f t="shared" si="1488"/>
        <v/>
      </c>
      <c r="K1487" s="100"/>
      <c r="M1487" s="100"/>
      <c r="N1487" s="100"/>
      <c r="O1487" s="100"/>
      <c r="P1487" s="100"/>
    </row>
    <row r="1488">
      <c r="A1488" s="107">
        <v>202339.0</v>
      </c>
      <c r="B1488" s="108" t="s">
        <v>243</v>
      </c>
      <c r="C1488" s="108" t="s">
        <v>492</v>
      </c>
      <c r="D1488" s="112" t="s">
        <v>178</v>
      </c>
      <c r="E1488" s="112">
        <v>2108.7</v>
      </c>
      <c r="F1488" s="111" t="str">
        <f>DataPull!D1488</f>
        <v/>
      </c>
      <c r="G1488" s="94" t="str">
        <f t="shared" si="2"/>
        <v/>
      </c>
      <c r="H1488" s="94" t="str">
        <f t="shared" si="3"/>
        <v/>
      </c>
      <c r="I1488" s="94" t="str">
        <f t="shared" ref="I1488:J1488" si="1489">if(G1488 = "", , -G1488)</f>
        <v/>
      </c>
      <c r="J1488" s="94" t="str">
        <f t="shared" si="1489"/>
        <v/>
      </c>
      <c r="K1488" s="100"/>
      <c r="M1488" s="100"/>
      <c r="N1488" s="100"/>
      <c r="O1488" s="100"/>
      <c r="P1488" s="100"/>
    </row>
    <row r="1489">
      <c r="A1489" s="107">
        <v>202339.0</v>
      </c>
      <c r="B1489" s="108" t="s">
        <v>215</v>
      </c>
      <c r="C1489" s="108" t="s">
        <v>492</v>
      </c>
      <c r="D1489" s="112" t="s">
        <v>176</v>
      </c>
      <c r="E1489" s="112">
        <v>1360.8</v>
      </c>
      <c r="F1489" s="111" t="str">
        <f>DataPull!D1489</f>
        <v/>
      </c>
      <c r="G1489" s="94" t="str">
        <f t="shared" si="2"/>
        <v/>
      </c>
      <c r="H1489" s="94" t="str">
        <f t="shared" si="3"/>
        <v/>
      </c>
      <c r="I1489" s="94" t="str">
        <f t="shared" ref="I1489:J1489" si="1490">if(G1489 = "", , -G1489)</f>
        <v/>
      </c>
      <c r="J1489" s="94" t="str">
        <f t="shared" si="1490"/>
        <v/>
      </c>
      <c r="K1489" s="100"/>
      <c r="M1489" s="100"/>
      <c r="N1489" s="100"/>
      <c r="O1489" s="100"/>
      <c r="P1489" s="100"/>
    </row>
    <row r="1490">
      <c r="A1490" s="107">
        <v>202340.0</v>
      </c>
      <c r="B1490" s="108" t="s">
        <v>85</v>
      </c>
      <c r="C1490" s="108" t="s">
        <v>493</v>
      </c>
      <c r="D1490" s="112" t="s">
        <v>178</v>
      </c>
      <c r="E1490" s="112">
        <v>1854.0</v>
      </c>
      <c r="F1490" s="111" t="str">
        <f>DataPull!D1490</f>
        <v/>
      </c>
      <c r="G1490" s="94" t="str">
        <f t="shared" si="2"/>
        <v/>
      </c>
      <c r="H1490" s="94" t="str">
        <f t="shared" si="3"/>
        <v/>
      </c>
      <c r="I1490" s="94" t="str">
        <f t="shared" ref="I1490:J1490" si="1491">if(G1490 = "", , -G1490)</f>
        <v/>
      </c>
      <c r="J1490" s="94" t="str">
        <f t="shared" si="1491"/>
        <v/>
      </c>
      <c r="K1490" s="100"/>
      <c r="M1490" s="100"/>
      <c r="N1490" s="100"/>
      <c r="O1490" s="100"/>
      <c r="P1490" s="100"/>
    </row>
    <row r="1491">
      <c r="A1491" s="107">
        <v>202340.0</v>
      </c>
      <c r="B1491" s="108" t="s">
        <v>90</v>
      </c>
      <c r="C1491" s="108" t="s">
        <v>493</v>
      </c>
      <c r="D1491" s="112" t="s">
        <v>178</v>
      </c>
      <c r="E1491" s="112">
        <v>2425.5</v>
      </c>
      <c r="F1491" s="111" t="str">
        <f>DataPull!D1491</f>
        <v/>
      </c>
      <c r="G1491" s="94" t="str">
        <f t="shared" si="2"/>
        <v/>
      </c>
      <c r="H1491" s="94" t="str">
        <f t="shared" si="3"/>
        <v/>
      </c>
      <c r="I1491" s="94" t="str">
        <f t="shared" ref="I1491:J1491" si="1492">if(G1491 = "", , -G1491)</f>
        <v/>
      </c>
      <c r="J1491" s="94" t="str">
        <f t="shared" si="1492"/>
        <v/>
      </c>
      <c r="K1491" s="100"/>
      <c r="L1491" s="100"/>
      <c r="M1491" s="100"/>
      <c r="N1491" s="100"/>
      <c r="O1491" s="100"/>
      <c r="P1491" s="100"/>
    </row>
    <row r="1492">
      <c r="A1492" s="107">
        <v>202340.0</v>
      </c>
      <c r="B1492" s="108" t="s">
        <v>92</v>
      </c>
      <c r="C1492" s="108" t="s">
        <v>493</v>
      </c>
      <c r="D1492" s="112" t="s">
        <v>178</v>
      </c>
      <c r="E1492" s="112">
        <v>2538.4</v>
      </c>
      <c r="F1492" s="111" t="str">
        <f>DataPull!D1492</f>
        <v/>
      </c>
      <c r="G1492" s="94" t="str">
        <f t="shared" si="2"/>
        <v/>
      </c>
      <c r="H1492" s="94" t="str">
        <f t="shared" si="3"/>
        <v/>
      </c>
      <c r="I1492" s="94" t="str">
        <f t="shared" ref="I1492:J1492" si="1493">if(G1492 = "", , -G1492)</f>
        <v/>
      </c>
      <c r="J1492" s="94" t="str">
        <f t="shared" si="1493"/>
        <v/>
      </c>
      <c r="K1492" s="100"/>
      <c r="N1492" s="100"/>
      <c r="O1492" s="100"/>
      <c r="P1492" s="100"/>
    </row>
    <row r="1493">
      <c r="A1493" s="107">
        <v>202340.0</v>
      </c>
      <c r="B1493" s="108" t="s">
        <v>190</v>
      </c>
      <c r="C1493" s="108" t="s">
        <v>493</v>
      </c>
      <c r="D1493" s="112" t="s">
        <v>178</v>
      </c>
      <c r="E1493" s="112">
        <v>1837.0</v>
      </c>
      <c r="F1493" s="111" t="str">
        <f>DataPull!D1493</f>
        <v/>
      </c>
      <c r="G1493" s="94" t="str">
        <f t="shared" si="2"/>
        <v/>
      </c>
      <c r="H1493" s="94" t="str">
        <f t="shared" si="3"/>
        <v/>
      </c>
      <c r="I1493" s="94" t="str">
        <f t="shared" ref="I1493:J1493" si="1494">if(G1493 = "", , -G1493)</f>
        <v/>
      </c>
      <c r="J1493" s="94" t="str">
        <f t="shared" si="1494"/>
        <v/>
      </c>
      <c r="K1493" s="100"/>
      <c r="L1493" s="100"/>
      <c r="N1493" s="100"/>
      <c r="O1493" s="100"/>
      <c r="P1493" s="100"/>
    </row>
    <row r="1494">
      <c r="A1494" s="107">
        <v>202340.0</v>
      </c>
      <c r="B1494" s="108" t="s">
        <v>191</v>
      </c>
      <c r="C1494" s="108" t="s">
        <v>493</v>
      </c>
      <c r="D1494" s="112" t="s">
        <v>178</v>
      </c>
      <c r="E1494" s="112">
        <v>1435.2</v>
      </c>
      <c r="F1494" s="111" t="str">
        <f>DataPull!D1494</f>
        <v/>
      </c>
      <c r="G1494" s="94" t="str">
        <f t="shared" si="2"/>
        <v/>
      </c>
      <c r="H1494" s="94" t="str">
        <f t="shared" si="3"/>
        <v/>
      </c>
      <c r="I1494" s="94" t="str">
        <f t="shared" ref="I1494:J1494" si="1495">if(G1494 = "", , -G1494)</f>
        <v/>
      </c>
      <c r="J1494" s="94" t="str">
        <f t="shared" si="1495"/>
        <v/>
      </c>
      <c r="K1494" s="100"/>
      <c r="L1494" s="100"/>
      <c r="N1494" s="100"/>
      <c r="O1494" s="100"/>
      <c r="P1494" s="100"/>
    </row>
    <row r="1495">
      <c r="A1495" s="107">
        <v>202340.0</v>
      </c>
      <c r="B1495" s="108" t="s">
        <v>192</v>
      </c>
      <c r="C1495" s="108" t="s">
        <v>493</v>
      </c>
      <c r="D1495" s="112" t="s">
        <v>178</v>
      </c>
      <c r="E1495" s="112">
        <v>1902.6</v>
      </c>
      <c r="F1495" s="111" t="str">
        <f>DataPull!D1495</f>
        <v/>
      </c>
      <c r="G1495" s="94" t="str">
        <f t="shared" si="2"/>
        <v/>
      </c>
      <c r="H1495" s="94" t="str">
        <f t="shared" si="3"/>
        <v/>
      </c>
      <c r="I1495" s="94" t="str">
        <f t="shared" ref="I1495:J1495" si="1496">if(G1495 = "", , -G1495)</f>
        <v/>
      </c>
      <c r="J1495" s="94" t="str">
        <f t="shared" si="1496"/>
        <v/>
      </c>
      <c r="K1495" s="100"/>
      <c r="M1495" s="100"/>
      <c r="N1495" s="100"/>
      <c r="O1495" s="100"/>
      <c r="P1495" s="100"/>
    </row>
    <row r="1496">
      <c r="A1496" s="107">
        <v>202340.0</v>
      </c>
      <c r="B1496" s="108" t="s">
        <v>193</v>
      </c>
      <c r="C1496" s="108" t="s">
        <v>493</v>
      </c>
      <c r="D1496" s="112" t="s">
        <v>176</v>
      </c>
      <c r="E1496" s="112">
        <v>1185.8</v>
      </c>
      <c r="F1496" s="111" t="str">
        <f>DataPull!D1496</f>
        <v/>
      </c>
      <c r="G1496" s="94" t="str">
        <f t="shared" si="2"/>
        <v/>
      </c>
      <c r="H1496" s="94" t="str">
        <f t="shared" si="3"/>
        <v/>
      </c>
      <c r="I1496" s="94" t="str">
        <f t="shared" ref="I1496:J1496" si="1497">if(G1496 = "", , -G1496)</f>
        <v/>
      </c>
      <c r="J1496" s="94" t="str">
        <f t="shared" si="1497"/>
        <v/>
      </c>
      <c r="K1496" s="100"/>
      <c r="M1496" s="100"/>
      <c r="N1496" s="100"/>
      <c r="O1496" s="100"/>
      <c r="P1496" s="100"/>
    </row>
    <row r="1497">
      <c r="A1497" s="107">
        <v>202340.0</v>
      </c>
      <c r="B1497" s="108" t="s">
        <v>243</v>
      </c>
      <c r="C1497" s="108" t="s">
        <v>493</v>
      </c>
      <c r="D1497" s="112" t="s">
        <v>176</v>
      </c>
      <c r="E1497" s="112">
        <v>602.1</v>
      </c>
      <c r="F1497" s="111" t="str">
        <f>DataPull!D1497</f>
        <v/>
      </c>
      <c r="G1497" s="94" t="str">
        <f t="shared" si="2"/>
        <v/>
      </c>
      <c r="H1497" s="94" t="str">
        <f t="shared" si="3"/>
        <v/>
      </c>
      <c r="I1497" s="94" t="str">
        <f t="shared" ref="I1497:J1497" si="1498">if(G1497 = "", , -G1497)</f>
        <v/>
      </c>
      <c r="J1497" s="94" t="str">
        <f t="shared" si="1498"/>
        <v/>
      </c>
      <c r="K1497" s="100"/>
      <c r="M1497" s="100"/>
      <c r="N1497" s="100"/>
      <c r="O1497" s="100"/>
      <c r="P1497" s="100"/>
    </row>
    <row r="1498">
      <c r="A1498" s="107">
        <v>202340.0</v>
      </c>
      <c r="B1498" s="108" t="s">
        <v>215</v>
      </c>
      <c r="C1498" s="108" t="s">
        <v>493</v>
      </c>
      <c r="D1498" s="112" t="s">
        <v>176</v>
      </c>
      <c r="E1498" s="112">
        <v>1407.4</v>
      </c>
      <c r="F1498" s="111" t="str">
        <f>DataPull!D1498</f>
        <v/>
      </c>
      <c r="G1498" s="94" t="str">
        <f t="shared" si="2"/>
        <v/>
      </c>
      <c r="H1498" s="94" t="str">
        <f t="shared" si="3"/>
        <v/>
      </c>
      <c r="I1498" s="94" t="str">
        <f t="shared" ref="I1498:J1498" si="1499">if(G1498 = "", , -G1498)</f>
        <v/>
      </c>
      <c r="J1498" s="94" t="str">
        <f t="shared" si="1499"/>
        <v/>
      </c>
      <c r="K1498" s="100"/>
      <c r="M1498" s="100"/>
      <c r="N1498" s="100"/>
      <c r="O1498" s="100"/>
      <c r="P1498" s="100"/>
    </row>
    <row r="1499">
      <c r="A1499" s="107">
        <v>202341.0</v>
      </c>
      <c r="B1499" s="108" t="s">
        <v>85</v>
      </c>
      <c r="C1499" s="108" t="s">
        <v>494</v>
      </c>
      <c r="D1499" s="112" t="s">
        <v>178</v>
      </c>
      <c r="E1499" s="112">
        <v>2312.0</v>
      </c>
      <c r="F1499" s="111" t="str">
        <f>DataPull!D1499</f>
        <v/>
      </c>
      <c r="G1499" s="94" t="str">
        <f t="shared" si="2"/>
        <v/>
      </c>
      <c r="H1499" s="94" t="str">
        <f t="shared" si="3"/>
        <v/>
      </c>
      <c r="I1499" s="94" t="str">
        <f t="shared" ref="I1499:J1499" si="1500">if(G1499 = "", , -G1499)</f>
        <v/>
      </c>
      <c r="J1499" s="94" t="str">
        <f t="shared" si="1500"/>
        <v/>
      </c>
      <c r="K1499" s="100"/>
      <c r="M1499" s="100"/>
      <c r="N1499" s="100"/>
      <c r="O1499" s="100"/>
      <c r="P1499" s="100"/>
    </row>
    <row r="1500">
      <c r="A1500" s="107">
        <v>202341.0</v>
      </c>
      <c r="B1500" s="108" t="s">
        <v>92</v>
      </c>
      <c r="C1500" s="108" t="s">
        <v>494</v>
      </c>
      <c r="D1500" s="112" t="s">
        <v>177</v>
      </c>
      <c r="E1500" s="112">
        <v>719.1</v>
      </c>
      <c r="F1500" s="111" t="str">
        <f>DataPull!D1500</f>
        <v/>
      </c>
      <c r="G1500" s="94" t="str">
        <f t="shared" si="2"/>
        <v/>
      </c>
      <c r="H1500" s="94" t="str">
        <f t="shared" si="3"/>
        <v/>
      </c>
      <c r="I1500" s="94" t="str">
        <f t="shared" ref="I1500:J1500" si="1501">if(G1500 = "", , -G1500)</f>
        <v/>
      </c>
      <c r="J1500" s="94" t="str">
        <f t="shared" si="1501"/>
        <v/>
      </c>
      <c r="K1500" s="100"/>
      <c r="M1500" s="100"/>
      <c r="N1500" s="100"/>
      <c r="O1500" s="100"/>
      <c r="P1500" s="100"/>
    </row>
    <row r="1501">
      <c r="A1501" s="107">
        <v>202343.0</v>
      </c>
      <c r="B1501" s="108" t="s">
        <v>85</v>
      </c>
      <c r="C1501" s="108" t="s">
        <v>495</v>
      </c>
      <c r="D1501" s="112" t="s">
        <v>177</v>
      </c>
      <c r="E1501" s="112">
        <v>1159.1</v>
      </c>
      <c r="F1501" s="111" t="str">
        <f>DataPull!D1501</f>
        <v/>
      </c>
      <c r="G1501" s="94" t="str">
        <f t="shared" si="2"/>
        <v/>
      </c>
      <c r="H1501" s="94" t="str">
        <f t="shared" si="3"/>
        <v/>
      </c>
      <c r="I1501" s="94" t="str">
        <f t="shared" ref="I1501:J1501" si="1502">if(G1501 = "", , -G1501)</f>
        <v/>
      </c>
      <c r="J1501" s="94" t="str">
        <f t="shared" si="1502"/>
        <v/>
      </c>
      <c r="K1501" s="100"/>
      <c r="M1501" s="100"/>
      <c r="N1501" s="100"/>
      <c r="O1501" s="100"/>
      <c r="P1501" s="100"/>
    </row>
    <row r="1502">
      <c r="A1502" s="107">
        <v>202343.0</v>
      </c>
      <c r="B1502" s="108" t="s">
        <v>90</v>
      </c>
      <c r="C1502" s="108" t="s">
        <v>495</v>
      </c>
      <c r="D1502" s="112"/>
      <c r="E1502" s="112">
        <v>118.3</v>
      </c>
      <c r="F1502" s="111" t="str">
        <f>DataPull!D1502</f>
        <v/>
      </c>
      <c r="G1502" s="94" t="str">
        <f t="shared" si="2"/>
        <v/>
      </c>
      <c r="H1502" s="94" t="str">
        <f t="shared" si="3"/>
        <v/>
      </c>
      <c r="I1502" s="94" t="str">
        <f t="shared" ref="I1502:J1502" si="1503">if(G1502 = "", , -G1502)</f>
        <v/>
      </c>
      <c r="J1502" s="94" t="str">
        <f t="shared" si="1503"/>
        <v/>
      </c>
      <c r="K1502" s="100"/>
      <c r="L1502" s="100"/>
      <c r="N1502" s="100"/>
      <c r="O1502" s="100"/>
      <c r="P1502" s="100"/>
    </row>
    <row r="1503">
      <c r="A1503" s="107">
        <v>202343.0</v>
      </c>
      <c r="B1503" s="108" t="s">
        <v>92</v>
      </c>
      <c r="C1503" s="108" t="s">
        <v>495</v>
      </c>
      <c r="D1503" s="112" t="s">
        <v>181</v>
      </c>
      <c r="E1503" s="112">
        <v>45.0</v>
      </c>
      <c r="F1503" s="111" t="str">
        <f>DataPull!D1503</f>
        <v/>
      </c>
      <c r="G1503" s="94" t="str">
        <f t="shared" si="2"/>
        <v/>
      </c>
      <c r="H1503" s="94" t="str">
        <f t="shared" si="3"/>
        <v/>
      </c>
      <c r="I1503" s="94" t="str">
        <f t="shared" ref="I1503:J1503" si="1504">if(G1503 = "", , -G1503)</f>
        <v/>
      </c>
      <c r="J1503" s="94" t="str">
        <f t="shared" si="1504"/>
        <v/>
      </c>
      <c r="K1503" s="100"/>
      <c r="L1503" s="100"/>
      <c r="M1503" s="100"/>
      <c r="N1503" s="100"/>
      <c r="O1503" s="100"/>
      <c r="P1503" s="100"/>
    </row>
    <row r="1504">
      <c r="A1504" s="107">
        <v>202344.0</v>
      </c>
      <c r="B1504" s="108" t="s">
        <v>85</v>
      </c>
      <c r="C1504" s="108" t="s">
        <v>496</v>
      </c>
      <c r="D1504" s="112" t="s">
        <v>176</v>
      </c>
      <c r="E1504" s="112">
        <v>1555.2</v>
      </c>
      <c r="F1504" s="111" t="str">
        <f>DataPull!D1504</f>
        <v/>
      </c>
      <c r="G1504" s="94" t="str">
        <f t="shared" si="2"/>
        <v/>
      </c>
      <c r="H1504" s="94" t="str">
        <f t="shared" si="3"/>
        <v/>
      </c>
      <c r="I1504" s="94" t="str">
        <f t="shared" ref="I1504:J1504" si="1505">if(G1504 = "", , -G1504)</f>
        <v/>
      </c>
      <c r="J1504" s="94" t="str">
        <f t="shared" si="1505"/>
        <v/>
      </c>
      <c r="K1504" s="100"/>
      <c r="M1504" s="100"/>
      <c r="N1504" s="100"/>
      <c r="O1504" s="100"/>
      <c r="P1504" s="100"/>
    </row>
    <row r="1505">
      <c r="A1505" s="107">
        <v>202344.0</v>
      </c>
      <c r="B1505" s="108" t="s">
        <v>90</v>
      </c>
      <c r="C1505" s="108" t="s">
        <v>496</v>
      </c>
      <c r="D1505" s="112" t="s">
        <v>177</v>
      </c>
      <c r="E1505" s="112">
        <v>1564.2</v>
      </c>
      <c r="F1505" s="111" t="str">
        <f>DataPull!D1505</f>
        <v/>
      </c>
      <c r="G1505" s="94" t="str">
        <f t="shared" si="2"/>
        <v/>
      </c>
      <c r="H1505" s="94" t="str">
        <f t="shared" si="3"/>
        <v/>
      </c>
      <c r="I1505" s="94" t="str">
        <f t="shared" ref="I1505:J1505" si="1506">if(G1505 = "", , -G1505)</f>
        <v/>
      </c>
      <c r="J1505" s="94" t="str">
        <f t="shared" si="1506"/>
        <v/>
      </c>
      <c r="K1505" s="100"/>
      <c r="M1505" s="100"/>
      <c r="N1505" s="100"/>
      <c r="O1505" s="100"/>
      <c r="P1505" s="100"/>
    </row>
    <row r="1506">
      <c r="A1506" s="107">
        <v>202344.0</v>
      </c>
      <c r="B1506" s="108" t="s">
        <v>92</v>
      </c>
      <c r="C1506" s="108" t="s">
        <v>496</v>
      </c>
      <c r="D1506" s="112" t="s">
        <v>177</v>
      </c>
      <c r="E1506" s="112">
        <v>1635.3</v>
      </c>
      <c r="F1506" s="111" t="str">
        <f>DataPull!D1506</f>
        <v/>
      </c>
      <c r="G1506" s="94" t="str">
        <f t="shared" si="2"/>
        <v/>
      </c>
      <c r="H1506" s="94" t="str">
        <f t="shared" si="3"/>
        <v/>
      </c>
      <c r="I1506" s="94" t="str">
        <f t="shared" ref="I1506:J1506" si="1507">if(G1506 = "", , -G1506)</f>
        <v/>
      </c>
      <c r="J1506" s="94" t="str">
        <f t="shared" si="1507"/>
        <v/>
      </c>
      <c r="K1506" s="100"/>
      <c r="L1506" s="100"/>
      <c r="M1506" s="100"/>
      <c r="N1506" s="100"/>
      <c r="O1506" s="100"/>
      <c r="P1506" s="100"/>
    </row>
    <row r="1507">
      <c r="A1507" s="107">
        <v>202344.0</v>
      </c>
      <c r="B1507" s="108" t="s">
        <v>190</v>
      </c>
      <c r="C1507" s="108" t="s">
        <v>496</v>
      </c>
      <c r="D1507" s="112" t="s">
        <v>178</v>
      </c>
      <c r="E1507" s="112">
        <v>1753.7</v>
      </c>
      <c r="F1507" s="111" t="str">
        <f>DataPull!D1507</f>
        <v/>
      </c>
      <c r="G1507" s="94" t="str">
        <f t="shared" si="2"/>
        <v/>
      </c>
      <c r="H1507" s="94" t="str">
        <f t="shared" si="3"/>
        <v/>
      </c>
      <c r="I1507" s="94" t="str">
        <f t="shared" ref="I1507:J1507" si="1508">if(G1507 = "", , -G1507)</f>
        <v/>
      </c>
      <c r="J1507" s="94" t="str">
        <f t="shared" si="1508"/>
        <v/>
      </c>
      <c r="K1507" s="100"/>
      <c r="M1507" s="100"/>
      <c r="N1507" s="100"/>
      <c r="O1507" s="100"/>
      <c r="P1507" s="100"/>
    </row>
    <row r="1508">
      <c r="A1508" s="107">
        <v>202344.0</v>
      </c>
      <c r="B1508" s="108" t="s">
        <v>191</v>
      </c>
      <c r="C1508" s="108" t="s">
        <v>496</v>
      </c>
      <c r="D1508" s="112" t="s">
        <v>177</v>
      </c>
      <c r="E1508" s="112">
        <v>1156.0</v>
      </c>
      <c r="F1508" s="111" t="str">
        <f>DataPull!D1508</f>
        <v/>
      </c>
      <c r="G1508" s="94" t="str">
        <f t="shared" si="2"/>
        <v/>
      </c>
      <c r="H1508" s="94" t="str">
        <f t="shared" si="3"/>
        <v/>
      </c>
      <c r="I1508" s="94" t="str">
        <f t="shared" ref="I1508:J1508" si="1509">if(G1508 = "", , -G1508)</f>
        <v/>
      </c>
      <c r="J1508" s="94" t="str">
        <f t="shared" si="1509"/>
        <v/>
      </c>
      <c r="K1508" s="100"/>
      <c r="M1508" s="100"/>
      <c r="N1508" s="100"/>
      <c r="O1508" s="100"/>
      <c r="P1508" s="100"/>
    </row>
    <row r="1509">
      <c r="A1509" s="107">
        <v>202345.0</v>
      </c>
      <c r="B1509" s="108" t="s">
        <v>85</v>
      </c>
      <c r="C1509" s="108" t="s">
        <v>497</v>
      </c>
      <c r="D1509" s="112" t="s">
        <v>181</v>
      </c>
      <c r="E1509" s="112">
        <v>50.5</v>
      </c>
      <c r="F1509" s="111" t="str">
        <f>DataPull!D1509</f>
        <v/>
      </c>
      <c r="G1509" s="94" t="str">
        <f t="shared" si="2"/>
        <v/>
      </c>
      <c r="H1509" s="94" t="str">
        <f t="shared" si="3"/>
        <v/>
      </c>
      <c r="I1509" s="94" t="str">
        <f t="shared" ref="I1509:J1509" si="1510">if(G1509 = "", , -G1509)</f>
        <v/>
      </c>
      <c r="J1509" s="94" t="str">
        <f t="shared" si="1510"/>
        <v/>
      </c>
      <c r="K1509" s="100"/>
      <c r="M1509" s="100"/>
      <c r="N1509" s="100"/>
      <c r="O1509" s="100"/>
      <c r="P1509" s="100"/>
    </row>
    <row r="1510">
      <c r="A1510" s="107">
        <v>202347.0</v>
      </c>
      <c r="B1510" s="108" t="s">
        <v>85</v>
      </c>
      <c r="C1510" s="108" t="s">
        <v>498</v>
      </c>
      <c r="D1510" s="112" t="s">
        <v>187</v>
      </c>
      <c r="E1510" s="112">
        <v>270.0</v>
      </c>
      <c r="F1510" s="111" t="str">
        <f>DataPull!D1510</f>
        <v/>
      </c>
      <c r="G1510" s="94" t="str">
        <f t="shared" si="2"/>
        <v/>
      </c>
      <c r="H1510" s="94" t="str">
        <f t="shared" si="3"/>
        <v/>
      </c>
      <c r="I1510" s="94" t="str">
        <f t="shared" ref="I1510:J1510" si="1511">if(G1510 = "", , -G1510)</f>
        <v/>
      </c>
      <c r="J1510" s="94" t="str">
        <f t="shared" si="1511"/>
        <v/>
      </c>
      <c r="K1510" s="100"/>
      <c r="M1510" s="100"/>
      <c r="N1510" s="100"/>
      <c r="O1510" s="100"/>
      <c r="P1510" s="100"/>
    </row>
    <row r="1511">
      <c r="A1511" s="107">
        <v>202347.0</v>
      </c>
      <c r="B1511" s="108" t="s">
        <v>90</v>
      </c>
      <c r="C1511" s="108" t="s">
        <v>498</v>
      </c>
      <c r="D1511" s="112" t="s">
        <v>178</v>
      </c>
      <c r="E1511" s="112">
        <v>1792.5</v>
      </c>
      <c r="F1511" s="111" t="str">
        <f>DataPull!D1511</f>
        <v/>
      </c>
      <c r="G1511" s="94" t="str">
        <f t="shared" si="2"/>
        <v/>
      </c>
      <c r="H1511" s="94" t="str">
        <f t="shared" si="3"/>
        <v/>
      </c>
      <c r="I1511" s="94" t="str">
        <f t="shared" ref="I1511:J1511" si="1512">if(G1511 = "", , -G1511)</f>
        <v/>
      </c>
      <c r="J1511" s="94" t="str">
        <f t="shared" si="1512"/>
        <v/>
      </c>
      <c r="K1511" s="100"/>
      <c r="L1511" s="100"/>
      <c r="M1511" s="100"/>
      <c r="N1511" s="100"/>
      <c r="O1511" s="100"/>
      <c r="P1511" s="100"/>
    </row>
    <row r="1512">
      <c r="A1512" s="107">
        <v>202347.0</v>
      </c>
      <c r="B1512" s="108" t="s">
        <v>191</v>
      </c>
      <c r="C1512" s="108" t="s">
        <v>498</v>
      </c>
      <c r="D1512" s="112" t="s">
        <v>187</v>
      </c>
      <c r="E1512" s="112">
        <v>195.5</v>
      </c>
      <c r="F1512" s="111" t="str">
        <f>DataPull!D1512</f>
        <v/>
      </c>
      <c r="G1512" s="94" t="str">
        <f t="shared" si="2"/>
        <v/>
      </c>
      <c r="H1512" s="94" t="str">
        <f t="shared" si="3"/>
        <v/>
      </c>
      <c r="I1512" s="94" t="str">
        <f t="shared" ref="I1512:J1512" si="1513">if(G1512 = "", , -G1512)</f>
        <v/>
      </c>
      <c r="J1512" s="94" t="str">
        <f t="shared" si="1513"/>
        <v/>
      </c>
      <c r="K1512" s="100"/>
      <c r="L1512" s="100"/>
      <c r="N1512" s="100"/>
      <c r="O1512" s="100"/>
      <c r="P1512" s="100"/>
    </row>
    <row r="1513">
      <c r="A1513" s="107">
        <v>202347.0</v>
      </c>
      <c r="B1513" s="108" t="s">
        <v>192</v>
      </c>
      <c r="C1513" s="108" t="s">
        <v>498</v>
      </c>
      <c r="D1513" s="112" t="s">
        <v>187</v>
      </c>
      <c r="E1513" s="112">
        <v>291.5</v>
      </c>
      <c r="F1513" s="111" t="str">
        <f>DataPull!D1513</f>
        <v/>
      </c>
      <c r="G1513" s="94" t="str">
        <f t="shared" si="2"/>
        <v/>
      </c>
      <c r="H1513" s="94" t="str">
        <f t="shared" si="3"/>
        <v/>
      </c>
      <c r="I1513" s="94" t="str">
        <f t="shared" ref="I1513:J1513" si="1514">if(G1513 = "", , -G1513)</f>
        <v/>
      </c>
      <c r="J1513" s="94" t="str">
        <f t="shared" si="1514"/>
        <v/>
      </c>
      <c r="K1513" s="100"/>
      <c r="M1513" s="100"/>
      <c r="N1513" s="100"/>
      <c r="O1513" s="100"/>
      <c r="P1513" s="100"/>
    </row>
    <row r="1514">
      <c r="A1514" s="107">
        <v>202348.0</v>
      </c>
      <c r="B1514" s="108" t="s">
        <v>85</v>
      </c>
      <c r="C1514" s="108" t="s">
        <v>499</v>
      </c>
      <c r="D1514" s="112" t="s">
        <v>177</v>
      </c>
      <c r="E1514" s="112">
        <v>1863.0</v>
      </c>
      <c r="F1514" s="111" t="str">
        <f>DataPull!D1514</f>
        <v/>
      </c>
      <c r="G1514" s="94" t="str">
        <f t="shared" si="2"/>
        <v/>
      </c>
      <c r="H1514" s="94" t="str">
        <f t="shared" si="3"/>
        <v/>
      </c>
      <c r="I1514" s="94" t="str">
        <f t="shared" ref="I1514:J1514" si="1515">if(G1514 = "", , -G1514)</f>
        <v/>
      </c>
      <c r="J1514" s="94" t="str">
        <f t="shared" si="1515"/>
        <v/>
      </c>
      <c r="K1514" s="100"/>
      <c r="M1514" s="100"/>
      <c r="N1514" s="100"/>
      <c r="O1514" s="100"/>
      <c r="P1514" s="100"/>
    </row>
    <row r="1515">
      <c r="A1515" s="107">
        <v>202348.0</v>
      </c>
      <c r="B1515" s="108" t="s">
        <v>190</v>
      </c>
      <c r="C1515" s="108" t="s">
        <v>499</v>
      </c>
      <c r="D1515" s="112" t="s">
        <v>176</v>
      </c>
      <c r="E1515" s="112">
        <v>442.7</v>
      </c>
      <c r="F1515" s="111" t="str">
        <f>DataPull!D1515</f>
        <v/>
      </c>
      <c r="G1515" s="94" t="str">
        <f t="shared" si="2"/>
        <v/>
      </c>
      <c r="H1515" s="94" t="str">
        <f t="shared" si="3"/>
        <v/>
      </c>
      <c r="I1515" s="94" t="str">
        <f t="shared" ref="I1515:J1515" si="1516">if(G1515 = "", , -G1515)</f>
        <v/>
      </c>
      <c r="J1515" s="94" t="str">
        <f t="shared" si="1516"/>
        <v/>
      </c>
      <c r="K1515" s="100"/>
      <c r="M1515" s="100"/>
      <c r="N1515" s="100"/>
      <c r="O1515" s="100"/>
      <c r="P1515" s="100"/>
    </row>
    <row r="1516">
      <c r="A1516" s="107">
        <v>202348.0</v>
      </c>
      <c r="B1516" s="108" t="s">
        <v>191</v>
      </c>
      <c r="C1516" s="108" t="s">
        <v>499</v>
      </c>
      <c r="D1516" s="112" t="s">
        <v>181</v>
      </c>
      <c r="E1516" s="112">
        <v>53.5</v>
      </c>
      <c r="F1516" s="111" t="str">
        <f>DataPull!D1516</f>
        <v/>
      </c>
      <c r="G1516" s="94" t="str">
        <f t="shared" si="2"/>
        <v/>
      </c>
      <c r="H1516" s="94" t="str">
        <f t="shared" si="3"/>
        <v/>
      </c>
      <c r="I1516" s="94" t="str">
        <f t="shared" ref="I1516:J1516" si="1517">if(G1516 = "", , -G1516)</f>
        <v/>
      </c>
      <c r="J1516" s="94" t="str">
        <f t="shared" si="1517"/>
        <v/>
      </c>
      <c r="K1516" s="100"/>
      <c r="L1516" s="100"/>
      <c r="M1516" s="100"/>
      <c r="N1516" s="100"/>
      <c r="O1516" s="100"/>
      <c r="P1516" s="100"/>
    </row>
    <row r="1517">
      <c r="A1517" s="107">
        <v>202349.0</v>
      </c>
      <c r="B1517" s="108" t="s">
        <v>85</v>
      </c>
      <c r="C1517" s="108" t="s">
        <v>500</v>
      </c>
      <c r="D1517" s="112" t="s">
        <v>177</v>
      </c>
      <c r="E1517" s="112">
        <v>1777.5</v>
      </c>
      <c r="F1517" s="111" t="str">
        <f>DataPull!D1517</f>
        <v/>
      </c>
      <c r="G1517" s="94" t="str">
        <f t="shared" si="2"/>
        <v/>
      </c>
      <c r="H1517" s="94" t="str">
        <f t="shared" si="3"/>
        <v/>
      </c>
      <c r="I1517" s="94" t="str">
        <f t="shared" ref="I1517:J1517" si="1518">if(G1517 = "", , -G1517)</f>
        <v/>
      </c>
      <c r="J1517" s="94" t="str">
        <f t="shared" si="1518"/>
        <v/>
      </c>
      <c r="K1517" s="100"/>
      <c r="M1517" s="100"/>
      <c r="N1517" s="100"/>
      <c r="O1517" s="100"/>
      <c r="P1517" s="100"/>
    </row>
    <row r="1518">
      <c r="A1518" s="107">
        <v>202349.0</v>
      </c>
      <c r="B1518" s="108" t="s">
        <v>90</v>
      </c>
      <c r="C1518" s="108" t="s">
        <v>500</v>
      </c>
      <c r="D1518" s="112" t="s">
        <v>176</v>
      </c>
      <c r="E1518" s="112">
        <v>1992.6</v>
      </c>
      <c r="F1518" s="111" t="str">
        <f>DataPull!D1518</f>
        <v/>
      </c>
      <c r="G1518" s="94" t="str">
        <f t="shared" si="2"/>
        <v/>
      </c>
      <c r="H1518" s="94" t="str">
        <f t="shared" si="3"/>
        <v/>
      </c>
      <c r="I1518" s="94" t="str">
        <f t="shared" ref="I1518:J1518" si="1519">if(G1518 = "", , -G1518)</f>
        <v/>
      </c>
      <c r="J1518" s="94" t="str">
        <f t="shared" si="1519"/>
        <v/>
      </c>
      <c r="K1518" s="100"/>
      <c r="M1518" s="100"/>
      <c r="N1518" s="100"/>
      <c r="O1518" s="100"/>
      <c r="P1518" s="100"/>
    </row>
    <row r="1519">
      <c r="A1519" s="107">
        <v>202349.0</v>
      </c>
      <c r="B1519" s="108" t="s">
        <v>92</v>
      </c>
      <c r="C1519" s="108" t="s">
        <v>500</v>
      </c>
      <c r="D1519" s="112" t="s">
        <v>177</v>
      </c>
      <c r="E1519" s="112">
        <v>460.0</v>
      </c>
      <c r="F1519" s="111" t="str">
        <f>DataPull!D1519</f>
        <v/>
      </c>
      <c r="G1519" s="94" t="str">
        <f t="shared" si="2"/>
        <v/>
      </c>
      <c r="H1519" s="94" t="str">
        <f t="shared" si="3"/>
        <v/>
      </c>
      <c r="I1519" s="94" t="str">
        <f t="shared" ref="I1519:J1519" si="1520">if(G1519 = "", , -G1519)</f>
        <v/>
      </c>
      <c r="J1519" s="94" t="str">
        <f t="shared" si="1520"/>
        <v/>
      </c>
      <c r="K1519" s="100"/>
      <c r="L1519" s="100"/>
      <c r="M1519" s="100"/>
      <c r="N1519" s="100"/>
      <c r="O1519" s="100"/>
      <c r="P1519" s="100"/>
    </row>
    <row r="1520">
      <c r="A1520" s="107">
        <v>202349.0</v>
      </c>
      <c r="B1520" s="108" t="s">
        <v>190</v>
      </c>
      <c r="C1520" s="108" t="s">
        <v>500</v>
      </c>
      <c r="D1520" s="112" t="s">
        <v>181</v>
      </c>
      <c r="E1520" s="112">
        <v>38.7</v>
      </c>
      <c r="F1520" s="111" t="str">
        <f>DataPull!D1520</f>
        <v/>
      </c>
      <c r="G1520" s="94" t="str">
        <f t="shared" si="2"/>
        <v/>
      </c>
      <c r="H1520" s="94" t="str">
        <f t="shared" si="3"/>
        <v/>
      </c>
      <c r="I1520" s="94" t="str">
        <f t="shared" ref="I1520:J1520" si="1521">if(G1520 = "", , -G1520)</f>
        <v/>
      </c>
      <c r="J1520" s="94" t="str">
        <f t="shared" si="1521"/>
        <v/>
      </c>
      <c r="K1520" s="100"/>
      <c r="M1520" s="100"/>
      <c r="N1520" s="100"/>
      <c r="O1520" s="100"/>
      <c r="P1520" s="100"/>
    </row>
    <row r="1521">
      <c r="A1521" s="107">
        <v>202350.0</v>
      </c>
      <c r="B1521" s="108" t="s">
        <v>85</v>
      </c>
      <c r="C1521" s="108" t="s">
        <v>501</v>
      </c>
      <c r="D1521" s="112" t="s">
        <v>187</v>
      </c>
      <c r="E1521" s="112">
        <v>250.8</v>
      </c>
      <c r="F1521" s="111" t="str">
        <f>DataPull!D1521</f>
        <v/>
      </c>
      <c r="G1521" s="94" t="str">
        <f t="shared" si="2"/>
        <v/>
      </c>
      <c r="H1521" s="94" t="str">
        <f t="shared" si="3"/>
        <v/>
      </c>
      <c r="I1521" s="94" t="str">
        <f t="shared" ref="I1521:J1521" si="1522">if(G1521 = "", , -G1521)</f>
        <v/>
      </c>
      <c r="J1521" s="94" t="str">
        <f t="shared" si="1522"/>
        <v/>
      </c>
      <c r="K1521" s="100"/>
      <c r="M1521" s="100"/>
      <c r="N1521" s="100"/>
      <c r="O1521" s="100"/>
      <c r="P1521" s="100"/>
    </row>
    <row r="1522">
      <c r="A1522" s="107">
        <v>202353.0</v>
      </c>
      <c r="B1522" s="108" t="s">
        <v>92</v>
      </c>
      <c r="C1522" s="108" t="s">
        <v>502</v>
      </c>
      <c r="D1522" s="112" t="s">
        <v>187</v>
      </c>
      <c r="E1522" s="112">
        <v>81.6</v>
      </c>
      <c r="F1522" s="111" t="str">
        <f>DataPull!D1522</f>
        <v/>
      </c>
      <c r="G1522" s="94" t="str">
        <f t="shared" si="2"/>
        <v/>
      </c>
      <c r="H1522" s="94" t="str">
        <f t="shared" si="3"/>
        <v/>
      </c>
      <c r="I1522" s="94" t="str">
        <f t="shared" ref="I1522:J1522" si="1523">if(G1522 = "", , -G1522)</f>
        <v/>
      </c>
      <c r="J1522" s="94" t="str">
        <f t="shared" si="1523"/>
        <v/>
      </c>
      <c r="K1522" s="100"/>
      <c r="L1522" s="100"/>
      <c r="N1522" s="100"/>
      <c r="O1522" s="100"/>
      <c r="P1522" s="100"/>
    </row>
    <row r="1523">
      <c r="A1523" s="107">
        <v>202354.0</v>
      </c>
      <c r="B1523" s="108" t="s">
        <v>85</v>
      </c>
      <c r="C1523" s="108" t="s">
        <v>503</v>
      </c>
      <c r="D1523" s="112" t="s">
        <v>181</v>
      </c>
      <c r="E1523" s="112">
        <v>3.0</v>
      </c>
      <c r="F1523" s="111" t="str">
        <f>DataPull!D1523</f>
        <v/>
      </c>
      <c r="G1523" s="94" t="str">
        <f t="shared" si="2"/>
        <v/>
      </c>
      <c r="H1523" s="94" t="str">
        <f t="shared" si="3"/>
        <v/>
      </c>
      <c r="I1523" s="94" t="str">
        <f t="shared" ref="I1523:J1523" si="1524">if(G1523 = "", , -G1523)</f>
        <v/>
      </c>
      <c r="J1523" s="94" t="str">
        <f t="shared" si="1524"/>
        <v/>
      </c>
      <c r="K1523" s="100"/>
      <c r="M1523" s="100"/>
      <c r="N1523" s="100"/>
      <c r="O1523" s="100"/>
      <c r="P1523" s="100"/>
    </row>
    <row r="1524">
      <c r="A1524" s="107">
        <v>202355.0</v>
      </c>
      <c r="B1524" s="108" t="s">
        <v>90</v>
      </c>
      <c r="C1524" s="108" t="s">
        <v>504</v>
      </c>
      <c r="D1524" s="112" t="s">
        <v>176</v>
      </c>
      <c r="E1524" s="112">
        <v>1142.4</v>
      </c>
      <c r="F1524" s="111" t="str">
        <f>DataPull!D1524</f>
        <v/>
      </c>
      <c r="G1524" s="94" t="str">
        <f t="shared" si="2"/>
        <v/>
      </c>
      <c r="H1524" s="94" t="str">
        <f t="shared" si="3"/>
        <v/>
      </c>
      <c r="I1524" s="94" t="str">
        <f t="shared" ref="I1524:J1524" si="1525">if(G1524 = "", , -G1524)</f>
        <v/>
      </c>
      <c r="J1524" s="94" t="str">
        <f t="shared" si="1525"/>
        <v/>
      </c>
      <c r="K1524" s="100"/>
      <c r="L1524" s="100"/>
      <c r="N1524" s="100"/>
      <c r="O1524" s="100"/>
      <c r="P1524" s="100"/>
    </row>
    <row r="1525">
      <c r="A1525" s="107">
        <v>202355.0</v>
      </c>
      <c r="B1525" s="108" t="s">
        <v>92</v>
      </c>
      <c r="C1525" s="108" t="s">
        <v>504</v>
      </c>
      <c r="D1525" s="112" t="s">
        <v>176</v>
      </c>
      <c r="E1525" s="112">
        <v>2124.3</v>
      </c>
      <c r="F1525" s="111" t="str">
        <f>DataPull!D1525</f>
        <v/>
      </c>
      <c r="G1525" s="94" t="str">
        <f t="shared" si="2"/>
        <v/>
      </c>
      <c r="H1525" s="94" t="str">
        <f t="shared" si="3"/>
        <v/>
      </c>
      <c r="I1525" s="94" t="str">
        <f t="shared" ref="I1525:J1525" si="1526">if(G1525 = "", , -G1525)</f>
        <v/>
      </c>
      <c r="J1525" s="94" t="str">
        <f t="shared" si="1526"/>
        <v/>
      </c>
      <c r="K1525" s="100"/>
      <c r="M1525" s="100"/>
      <c r="N1525" s="100"/>
      <c r="O1525" s="100"/>
      <c r="P1525" s="100"/>
    </row>
    <row r="1526">
      <c r="A1526" s="107">
        <v>202355.0</v>
      </c>
      <c r="B1526" s="108" t="s">
        <v>190</v>
      </c>
      <c r="C1526" s="108" t="s">
        <v>504</v>
      </c>
      <c r="D1526" s="112" t="s">
        <v>184</v>
      </c>
      <c r="E1526" s="112">
        <v>2510.2</v>
      </c>
      <c r="F1526" s="111" t="str">
        <f>DataPull!D1526</f>
        <v/>
      </c>
      <c r="G1526" s="94" t="str">
        <f t="shared" si="2"/>
        <v/>
      </c>
      <c r="H1526" s="94" t="str">
        <f t="shared" si="3"/>
        <v/>
      </c>
      <c r="I1526" s="94" t="str">
        <f t="shared" ref="I1526:J1526" si="1527">if(G1526 = "", , -G1526)</f>
        <v/>
      </c>
      <c r="J1526" s="94" t="str">
        <f t="shared" si="1527"/>
        <v/>
      </c>
      <c r="K1526" s="100"/>
      <c r="M1526" s="100"/>
      <c r="N1526" s="100"/>
      <c r="O1526" s="100"/>
      <c r="P1526" s="100"/>
    </row>
    <row r="1527">
      <c r="A1527" s="107">
        <v>202355.0</v>
      </c>
      <c r="B1527" s="108" t="s">
        <v>191</v>
      </c>
      <c r="C1527" s="108" t="s">
        <v>504</v>
      </c>
      <c r="D1527" s="112" t="s">
        <v>176</v>
      </c>
      <c r="E1527" s="112">
        <v>1366.2</v>
      </c>
      <c r="F1527" s="111" t="str">
        <f>DataPull!D1527</f>
        <v/>
      </c>
      <c r="G1527" s="94" t="str">
        <f t="shared" si="2"/>
        <v/>
      </c>
      <c r="H1527" s="94" t="str">
        <f t="shared" si="3"/>
        <v/>
      </c>
      <c r="I1527" s="94" t="str">
        <f t="shared" ref="I1527:J1527" si="1528">if(G1527 = "", , -G1527)</f>
        <v/>
      </c>
      <c r="J1527" s="94" t="str">
        <f t="shared" si="1528"/>
        <v/>
      </c>
      <c r="K1527" s="100"/>
      <c r="M1527" s="100"/>
      <c r="N1527" s="100"/>
      <c r="O1527" s="100"/>
      <c r="P1527" s="100"/>
    </row>
    <row r="1528">
      <c r="A1528" s="107">
        <v>202355.0</v>
      </c>
      <c r="B1528" s="108" t="s">
        <v>192</v>
      </c>
      <c r="C1528" s="108" t="s">
        <v>504</v>
      </c>
      <c r="D1528" s="112" t="s">
        <v>176</v>
      </c>
      <c r="E1528" s="112">
        <v>1677.6</v>
      </c>
      <c r="F1528" s="111" t="str">
        <f>DataPull!D1528</f>
        <v/>
      </c>
      <c r="G1528" s="94" t="str">
        <f t="shared" si="2"/>
        <v/>
      </c>
      <c r="H1528" s="94" t="str">
        <f t="shared" si="3"/>
        <v/>
      </c>
      <c r="I1528" s="94" t="str">
        <f t="shared" ref="I1528:J1528" si="1529">if(G1528 = "", , -G1528)</f>
        <v/>
      </c>
      <c r="J1528" s="94" t="str">
        <f t="shared" si="1529"/>
        <v/>
      </c>
      <c r="K1528" s="100"/>
      <c r="M1528" s="100"/>
      <c r="N1528" s="100"/>
      <c r="O1528" s="100"/>
      <c r="P1528" s="100"/>
    </row>
    <row r="1529">
      <c r="A1529" s="107">
        <v>202355.0</v>
      </c>
      <c r="B1529" s="108" t="s">
        <v>193</v>
      </c>
      <c r="C1529" s="108" t="s">
        <v>504</v>
      </c>
      <c r="D1529" s="112" t="s">
        <v>176</v>
      </c>
      <c r="E1529" s="112">
        <v>2010.0</v>
      </c>
      <c r="F1529" s="111" t="str">
        <f>DataPull!D1529</f>
        <v/>
      </c>
      <c r="G1529" s="94" t="str">
        <f t="shared" si="2"/>
        <v/>
      </c>
      <c r="H1529" s="94" t="str">
        <f t="shared" si="3"/>
        <v/>
      </c>
      <c r="I1529" s="94" t="str">
        <f t="shared" ref="I1529:J1529" si="1530">if(G1529 = "", , -G1529)</f>
        <v/>
      </c>
      <c r="J1529" s="94" t="str">
        <f t="shared" si="1530"/>
        <v/>
      </c>
      <c r="K1529" s="100"/>
      <c r="M1529" s="100"/>
      <c r="N1529" s="100"/>
      <c r="O1529" s="100"/>
      <c r="P1529" s="100"/>
    </row>
    <row r="1530">
      <c r="A1530" s="107">
        <v>202355.0</v>
      </c>
      <c r="B1530" s="108" t="s">
        <v>243</v>
      </c>
      <c r="C1530" s="108" t="s">
        <v>504</v>
      </c>
      <c r="D1530" s="112" t="s">
        <v>177</v>
      </c>
      <c r="E1530" s="112">
        <v>547.2</v>
      </c>
      <c r="F1530" s="111" t="str">
        <f>DataPull!D1530</f>
        <v/>
      </c>
      <c r="G1530" s="94" t="str">
        <f t="shared" si="2"/>
        <v/>
      </c>
      <c r="H1530" s="94" t="str">
        <f t="shared" si="3"/>
        <v/>
      </c>
      <c r="I1530" s="94" t="str">
        <f t="shared" ref="I1530:J1530" si="1531">if(G1530 = "", , -G1530)</f>
        <v/>
      </c>
      <c r="J1530" s="94" t="str">
        <f t="shared" si="1531"/>
        <v/>
      </c>
      <c r="K1530" s="100"/>
      <c r="M1530" s="100"/>
      <c r="N1530" s="100"/>
      <c r="O1530" s="100"/>
      <c r="P1530" s="100"/>
    </row>
    <row r="1531">
      <c r="A1531" s="107">
        <v>202355.0</v>
      </c>
      <c r="B1531" s="108" t="s">
        <v>215</v>
      </c>
      <c r="C1531" s="108" t="s">
        <v>504</v>
      </c>
      <c r="D1531" s="112" t="s">
        <v>177</v>
      </c>
      <c r="E1531" s="112">
        <v>1163.5</v>
      </c>
      <c r="F1531" s="111" t="str">
        <f>DataPull!D1531</f>
        <v/>
      </c>
      <c r="G1531" s="94" t="str">
        <f t="shared" si="2"/>
        <v/>
      </c>
      <c r="H1531" s="94" t="str">
        <f t="shared" si="3"/>
        <v/>
      </c>
      <c r="I1531" s="94" t="str">
        <f t="shared" ref="I1531:J1531" si="1532">if(G1531 = "", , -G1531)</f>
        <v/>
      </c>
      <c r="J1531" s="94" t="str">
        <f t="shared" si="1532"/>
        <v/>
      </c>
      <c r="K1531" s="100"/>
      <c r="M1531" s="100"/>
      <c r="N1531" s="100"/>
      <c r="O1531" s="100"/>
      <c r="P1531" s="100"/>
    </row>
    <row r="1532">
      <c r="A1532" s="107">
        <v>202357.0</v>
      </c>
      <c r="B1532" s="108" t="s">
        <v>92</v>
      </c>
      <c r="C1532" s="108" t="s">
        <v>505</v>
      </c>
      <c r="D1532" s="112" t="s">
        <v>177</v>
      </c>
      <c r="E1532" s="112">
        <v>1074.0</v>
      </c>
      <c r="F1532" s="111" t="str">
        <f>DataPull!D1532</f>
        <v/>
      </c>
      <c r="G1532" s="94" t="str">
        <f t="shared" si="2"/>
        <v/>
      </c>
      <c r="H1532" s="94" t="str">
        <f t="shared" si="3"/>
        <v/>
      </c>
      <c r="I1532" s="94" t="str">
        <f t="shared" ref="I1532:J1532" si="1533">if(G1532 = "", , -G1532)</f>
        <v/>
      </c>
      <c r="J1532" s="94" t="str">
        <f t="shared" si="1533"/>
        <v/>
      </c>
      <c r="K1532" s="100"/>
      <c r="M1532" s="100"/>
      <c r="N1532" s="100"/>
      <c r="O1532" s="100"/>
      <c r="P1532" s="100"/>
    </row>
    <row r="1533">
      <c r="A1533" s="107">
        <v>202357.0</v>
      </c>
      <c r="B1533" s="108" t="s">
        <v>190</v>
      </c>
      <c r="C1533" s="108" t="s">
        <v>505</v>
      </c>
      <c r="D1533" s="112" t="s">
        <v>177</v>
      </c>
      <c r="E1533" s="112">
        <v>1189.5</v>
      </c>
      <c r="F1533" s="111" t="str">
        <f>DataPull!D1533</f>
        <v/>
      </c>
      <c r="G1533" s="94" t="str">
        <f t="shared" si="2"/>
        <v/>
      </c>
      <c r="H1533" s="94" t="str">
        <f t="shared" si="3"/>
        <v/>
      </c>
      <c r="I1533" s="94" t="str">
        <f t="shared" ref="I1533:J1533" si="1534">if(G1533 = "", , -G1533)</f>
        <v/>
      </c>
      <c r="J1533" s="94" t="str">
        <f t="shared" si="1534"/>
        <v/>
      </c>
      <c r="K1533" s="100"/>
      <c r="M1533" s="100"/>
      <c r="N1533" s="100"/>
      <c r="O1533" s="100"/>
      <c r="P1533" s="100"/>
    </row>
    <row r="1534">
      <c r="A1534" s="107">
        <v>202357.0</v>
      </c>
      <c r="B1534" s="108" t="s">
        <v>191</v>
      </c>
      <c r="C1534" s="108" t="s">
        <v>505</v>
      </c>
      <c r="D1534" s="112" t="s">
        <v>176</v>
      </c>
      <c r="E1534" s="112">
        <v>1373.5</v>
      </c>
      <c r="F1534" s="111" t="str">
        <f>DataPull!D1534</f>
        <v/>
      </c>
      <c r="G1534" s="94" t="str">
        <f t="shared" si="2"/>
        <v/>
      </c>
      <c r="H1534" s="94" t="str">
        <f t="shared" si="3"/>
        <v/>
      </c>
      <c r="I1534" s="94" t="str">
        <f t="shared" ref="I1534:J1534" si="1535">if(G1534 = "", , -G1534)</f>
        <v/>
      </c>
      <c r="J1534" s="94" t="str">
        <f t="shared" si="1535"/>
        <v/>
      </c>
      <c r="K1534" s="100"/>
      <c r="M1534" s="100"/>
      <c r="N1534" s="100"/>
      <c r="O1534" s="100"/>
      <c r="P1534" s="100"/>
    </row>
    <row r="1535">
      <c r="A1535" s="107">
        <v>202357.0</v>
      </c>
      <c r="B1535" s="108" t="s">
        <v>192</v>
      </c>
      <c r="C1535" s="108" t="s">
        <v>505</v>
      </c>
      <c r="D1535" s="112" t="s">
        <v>176</v>
      </c>
      <c r="E1535" s="112">
        <v>1786.4</v>
      </c>
      <c r="F1535" s="111" t="str">
        <f>DataPull!D1535</f>
        <v/>
      </c>
      <c r="G1535" s="94" t="str">
        <f t="shared" si="2"/>
        <v/>
      </c>
      <c r="H1535" s="94" t="str">
        <f t="shared" si="3"/>
        <v/>
      </c>
      <c r="I1535" s="94" t="str">
        <f t="shared" ref="I1535:J1535" si="1536">if(G1535 = "", , -G1535)</f>
        <v/>
      </c>
      <c r="J1535" s="94" t="str">
        <f t="shared" si="1536"/>
        <v/>
      </c>
      <c r="K1535" s="100"/>
      <c r="N1535" s="100"/>
      <c r="O1535" s="100"/>
      <c r="P1535" s="100"/>
    </row>
    <row r="1536">
      <c r="A1536" s="107">
        <v>202357.0</v>
      </c>
      <c r="B1536" s="108" t="s">
        <v>193</v>
      </c>
      <c r="C1536" s="108" t="s">
        <v>505</v>
      </c>
      <c r="D1536" s="112" t="s">
        <v>176</v>
      </c>
      <c r="E1536" s="112">
        <v>2008.8</v>
      </c>
      <c r="F1536" s="111" t="str">
        <f>DataPull!D1536</f>
        <v/>
      </c>
      <c r="G1536" s="94" t="str">
        <f t="shared" si="2"/>
        <v/>
      </c>
      <c r="H1536" s="94" t="str">
        <f t="shared" si="3"/>
        <v/>
      </c>
      <c r="I1536" s="94" t="str">
        <f t="shared" ref="I1536:J1536" si="1537">if(G1536 = "", , -G1536)</f>
        <v/>
      </c>
      <c r="J1536" s="94" t="str">
        <f t="shared" si="1537"/>
        <v/>
      </c>
      <c r="K1536" s="100"/>
      <c r="L1536" s="100"/>
      <c r="N1536" s="100"/>
      <c r="O1536" s="100"/>
      <c r="P1536" s="100"/>
    </row>
    <row r="1537">
      <c r="A1537" s="107">
        <v>202357.0</v>
      </c>
      <c r="B1537" s="108" t="s">
        <v>243</v>
      </c>
      <c r="C1537" s="108" t="s">
        <v>505</v>
      </c>
      <c r="D1537" s="112" t="s">
        <v>177</v>
      </c>
      <c r="E1537" s="112">
        <v>595.7</v>
      </c>
      <c r="F1537" s="111" t="str">
        <f>DataPull!D1537</f>
        <v/>
      </c>
      <c r="G1537" s="94" t="str">
        <f t="shared" si="2"/>
        <v/>
      </c>
      <c r="H1537" s="94" t="str">
        <f t="shared" si="3"/>
        <v/>
      </c>
      <c r="I1537" s="94" t="str">
        <f t="shared" ref="I1537:J1537" si="1538">if(G1537 = "", , -G1537)</f>
        <v/>
      </c>
      <c r="J1537" s="94" t="str">
        <f t="shared" si="1538"/>
        <v/>
      </c>
      <c r="K1537" s="100"/>
      <c r="M1537" s="100"/>
      <c r="N1537" s="100"/>
      <c r="O1537" s="100"/>
      <c r="P1537" s="100"/>
    </row>
    <row r="1538">
      <c r="A1538" s="107">
        <v>202357.0</v>
      </c>
      <c r="B1538" s="108" t="s">
        <v>215</v>
      </c>
      <c r="C1538" s="108" t="s">
        <v>505</v>
      </c>
      <c r="D1538" s="112" t="s">
        <v>177</v>
      </c>
      <c r="E1538" s="112">
        <v>1143.1</v>
      </c>
      <c r="F1538" s="111" t="str">
        <f>DataPull!D1538</f>
        <v/>
      </c>
      <c r="G1538" s="94" t="str">
        <f t="shared" si="2"/>
        <v/>
      </c>
      <c r="H1538" s="94" t="str">
        <f t="shared" si="3"/>
        <v/>
      </c>
      <c r="I1538" s="94" t="str">
        <f t="shared" ref="I1538:J1538" si="1539">if(G1538 = "", , -G1538)</f>
        <v/>
      </c>
      <c r="J1538" s="94" t="str">
        <f t="shared" si="1539"/>
        <v/>
      </c>
      <c r="K1538" s="100"/>
      <c r="M1538" s="100"/>
      <c r="N1538" s="100"/>
      <c r="O1538" s="100"/>
      <c r="P1538" s="100"/>
    </row>
    <row r="1539">
      <c r="A1539" s="107">
        <v>202361.0</v>
      </c>
      <c r="B1539" s="108" t="s">
        <v>85</v>
      </c>
      <c r="C1539" s="108" t="s">
        <v>506</v>
      </c>
      <c r="D1539" s="112" t="s">
        <v>177</v>
      </c>
      <c r="E1539" s="112">
        <v>321.0</v>
      </c>
      <c r="F1539" s="111" t="str">
        <f>DataPull!D1539</f>
        <v/>
      </c>
      <c r="G1539" s="94" t="str">
        <f t="shared" si="2"/>
        <v/>
      </c>
      <c r="H1539" s="94" t="str">
        <f t="shared" si="3"/>
        <v/>
      </c>
      <c r="I1539" s="94" t="str">
        <f t="shared" ref="I1539:J1539" si="1540">if(G1539 = "", , -G1539)</f>
        <v/>
      </c>
      <c r="J1539" s="94" t="str">
        <f t="shared" si="1540"/>
        <v/>
      </c>
      <c r="K1539" s="100"/>
      <c r="M1539" s="100"/>
      <c r="N1539" s="100"/>
      <c r="O1539" s="100"/>
      <c r="P1539" s="100"/>
    </row>
    <row r="1540">
      <c r="A1540" s="107">
        <v>202361.0</v>
      </c>
      <c r="B1540" s="108" t="s">
        <v>90</v>
      </c>
      <c r="C1540" s="108" t="s">
        <v>506</v>
      </c>
      <c r="D1540" s="112" t="s">
        <v>187</v>
      </c>
      <c r="E1540" s="112">
        <v>215.8</v>
      </c>
      <c r="F1540" s="111" t="str">
        <f>DataPull!D1540</f>
        <v/>
      </c>
      <c r="G1540" s="94" t="str">
        <f t="shared" si="2"/>
        <v/>
      </c>
      <c r="H1540" s="94" t="str">
        <f t="shared" si="3"/>
        <v/>
      </c>
      <c r="I1540" s="94" t="str">
        <f t="shared" ref="I1540:J1540" si="1541">if(G1540 = "", , -G1540)</f>
        <v/>
      </c>
      <c r="J1540" s="94" t="str">
        <f t="shared" si="1541"/>
        <v/>
      </c>
      <c r="K1540" s="100"/>
      <c r="L1540" s="100"/>
      <c r="M1540" s="100"/>
      <c r="N1540" s="100"/>
      <c r="O1540" s="100"/>
      <c r="P1540" s="100"/>
    </row>
    <row r="1541">
      <c r="A1541" s="107">
        <v>202362.0</v>
      </c>
      <c r="B1541" s="108" t="s">
        <v>85</v>
      </c>
      <c r="C1541" s="108" t="s">
        <v>507</v>
      </c>
      <c r="D1541" s="112" t="s">
        <v>178</v>
      </c>
      <c r="E1541" s="112">
        <v>2753.4</v>
      </c>
      <c r="F1541" s="111" t="str">
        <f>DataPull!D1541</f>
        <v/>
      </c>
      <c r="G1541" s="94" t="str">
        <f t="shared" si="2"/>
        <v/>
      </c>
      <c r="H1541" s="94" t="str">
        <f t="shared" si="3"/>
        <v/>
      </c>
      <c r="I1541" s="94" t="str">
        <f t="shared" ref="I1541:J1541" si="1542">if(G1541 = "", , -G1541)</f>
        <v/>
      </c>
      <c r="J1541" s="94" t="str">
        <f t="shared" si="1542"/>
        <v/>
      </c>
      <c r="K1541" s="100"/>
      <c r="M1541" s="100"/>
      <c r="N1541" s="100"/>
      <c r="O1541" s="100"/>
      <c r="P1541" s="100"/>
    </row>
    <row r="1542">
      <c r="A1542" s="107">
        <v>202362.0</v>
      </c>
      <c r="B1542" s="108" t="s">
        <v>90</v>
      </c>
      <c r="C1542" s="108" t="s">
        <v>507</v>
      </c>
      <c r="D1542" s="112" t="s">
        <v>176</v>
      </c>
      <c r="E1542" s="112">
        <v>1573.8</v>
      </c>
      <c r="F1542" s="111" t="str">
        <f>DataPull!D1542</f>
        <v/>
      </c>
      <c r="G1542" s="94" t="str">
        <f t="shared" si="2"/>
        <v/>
      </c>
      <c r="H1542" s="94" t="str">
        <f t="shared" si="3"/>
        <v/>
      </c>
      <c r="I1542" s="94" t="str">
        <f t="shared" ref="I1542:J1542" si="1543">if(G1542 = "", , -G1542)</f>
        <v/>
      </c>
      <c r="J1542" s="94" t="str">
        <f t="shared" si="1543"/>
        <v/>
      </c>
      <c r="K1542" s="100"/>
      <c r="M1542" s="100"/>
      <c r="N1542" s="100"/>
      <c r="O1542" s="100"/>
      <c r="P1542" s="100"/>
    </row>
    <row r="1543">
      <c r="A1543" s="107">
        <v>202362.0</v>
      </c>
      <c r="B1543" s="108" t="s">
        <v>92</v>
      </c>
      <c r="C1543" s="108" t="s">
        <v>507</v>
      </c>
      <c r="D1543" s="112" t="s">
        <v>177</v>
      </c>
      <c r="E1543" s="112">
        <v>1373.1</v>
      </c>
      <c r="F1543" s="111" t="str">
        <f>DataPull!D1543</f>
        <v/>
      </c>
      <c r="G1543" s="94" t="str">
        <f t="shared" si="2"/>
        <v/>
      </c>
      <c r="H1543" s="94" t="str">
        <f t="shared" si="3"/>
        <v/>
      </c>
      <c r="I1543" s="94" t="str">
        <f t="shared" ref="I1543:J1543" si="1544">if(G1543 = "", , -G1543)</f>
        <v/>
      </c>
      <c r="J1543" s="94" t="str">
        <f t="shared" si="1544"/>
        <v/>
      </c>
      <c r="K1543" s="100"/>
      <c r="L1543" s="100"/>
      <c r="N1543" s="100"/>
      <c r="O1543" s="100"/>
      <c r="P1543" s="100"/>
    </row>
    <row r="1544">
      <c r="A1544" s="107">
        <v>202362.0</v>
      </c>
      <c r="B1544" s="108" t="s">
        <v>190</v>
      </c>
      <c r="C1544" s="108" t="s">
        <v>507</v>
      </c>
      <c r="D1544" s="112" t="s">
        <v>181</v>
      </c>
      <c r="E1544" s="112">
        <v>361.8</v>
      </c>
      <c r="F1544" s="111" t="str">
        <f>DataPull!D1544</f>
        <v/>
      </c>
      <c r="G1544" s="94" t="str">
        <f t="shared" si="2"/>
        <v/>
      </c>
      <c r="H1544" s="94" t="str">
        <f t="shared" si="3"/>
        <v/>
      </c>
      <c r="I1544" s="94" t="str">
        <f t="shared" ref="I1544:J1544" si="1545">if(G1544 = "", , -G1544)</f>
        <v/>
      </c>
      <c r="J1544" s="94" t="str">
        <f t="shared" si="1545"/>
        <v/>
      </c>
      <c r="K1544" s="100"/>
      <c r="M1544" s="100"/>
      <c r="N1544" s="100"/>
      <c r="O1544" s="100"/>
      <c r="P1544" s="100"/>
    </row>
    <row r="1545">
      <c r="A1545" s="107">
        <v>202362.0</v>
      </c>
      <c r="B1545" s="108" t="s">
        <v>191</v>
      </c>
      <c r="C1545" s="108" t="s">
        <v>507</v>
      </c>
      <c r="D1545" s="112" t="s">
        <v>176</v>
      </c>
      <c r="E1545" s="112">
        <v>1853.2</v>
      </c>
      <c r="F1545" s="111" t="str">
        <f>DataPull!D1545</f>
        <v/>
      </c>
      <c r="G1545" s="94" t="str">
        <f t="shared" si="2"/>
        <v/>
      </c>
      <c r="H1545" s="94" t="str">
        <f t="shared" si="3"/>
        <v/>
      </c>
      <c r="I1545" s="94" t="str">
        <f t="shared" ref="I1545:J1545" si="1546">if(G1545 = "", , -G1545)</f>
        <v/>
      </c>
      <c r="J1545" s="94" t="str">
        <f t="shared" si="1546"/>
        <v/>
      </c>
      <c r="K1545" s="100"/>
      <c r="N1545" s="100"/>
      <c r="O1545" s="100"/>
    </row>
    <row r="1546">
      <c r="A1546" s="107">
        <v>202362.0</v>
      </c>
      <c r="B1546" s="108" t="s">
        <v>192</v>
      </c>
      <c r="C1546" s="108" t="s">
        <v>507</v>
      </c>
      <c r="D1546" s="112" t="s">
        <v>177</v>
      </c>
      <c r="E1546" s="112">
        <v>1122.0</v>
      </c>
      <c r="F1546" s="111" t="str">
        <f>DataPull!D1546</f>
        <v/>
      </c>
      <c r="G1546" s="94" t="str">
        <f t="shared" si="2"/>
        <v/>
      </c>
      <c r="H1546" s="94" t="str">
        <f t="shared" si="3"/>
        <v/>
      </c>
      <c r="I1546" s="94" t="str">
        <f t="shared" ref="I1546:J1546" si="1547">if(G1546 = "", , -G1546)</f>
        <v/>
      </c>
      <c r="J1546" s="94" t="str">
        <f t="shared" si="1547"/>
        <v/>
      </c>
      <c r="K1546" s="100"/>
      <c r="M1546" s="100"/>
      <c r="N1546" s="100"/>
      <c r="O1546" s="100"/>
      <c r="P1546" s="100"/>
    </row>
    <row r="1547">
      <c r="A1547" s="107">
        <v>202362.0</v>
      </c>
      <c r="B1547" s="108" t="s">
        <v>215</v>
      </c>
      <c r="C1547" s="108" t="s">
        <v>507</v>
      </c>
      <c r="D1547" s="112" t="s">
        <v>177</v>
      </c>
      <c r="E1547" s="112">
        <v>814.2</v>
      </c>
      <c r="F1547" s="111" t="str">
        <f>DataPull!D1547</f>
        <v/>
      </c>
      <c r="G1547" s="94" t="str">
        <f t="shared" si="2"/>
        <v/>
      </c>
      <c r="H1547" s="94" t="str">
        <f t="shared" si="3"/>
        <v/>
      </c>
      <c r="I1547" s="94" t="str">
        <f t="shared" ref="I1547:J1547" si="1548">if(G1547 = "", , -G1547)</f>
        <v/>
      </c>
      <c r="J1547" s="94" t="str">
        <f t="shared" si="1548"/>
        <v/>
      </c>
      <c r="K1547" s="100"/>
      <c r="L1547" s="100"/>
      <c r="M1547" s="100"/>
      <c r="N1547" s="100"/>
      <c r="O1547" s="100"/>
      <c r="P1547" s="100"/>
    </row>
    <row r="1548">
      <c r="A1548" s="107">
        <v>202363.0</v>
      </c>
      <c r="B1548" s="108" t="s">
        <v>85</v>
      </c>
      <c r="C1548" s="108" t="s">
        <v>508</v>
      </c>
      <c r="D1548" s="112" t="s">
        <v>177</v>
      </c>
      <c r="E1548" s="112">
        <v>338.4</v>
      </c>
      <c r="F1548" s="111" t="str">
        <f>DataPull!D1548</f>
        <v/>
      </c>
      <c r="G1548" s="94" t="str">
        <f t="shared" si="2"/>
        <v/>
      </c>
      <c r="H1548" s="94" t="str">
        <f t="shared" si="3"/>
        <v/>
      </c>
      <c r="I1548" s="94" t="str">
        <f t="shared" ref="I1548:J1548" si="1549">if(G1548 = "", , -G1548)</f>
        <v/>
      </c>
      <c r="J1548" s="94" t="str">
        <f t="shared" si="1549"/>
        <v/>
      </c>
      <c r="K1548" s="100"/>
      <c r="L1548" s="100"/>
      <c r="M1548" s="100"/>
      <c r="N1548" s="100"/>
      <c r="O1548" s="100"/>
      <c r="P1548" s="100"/>
    </row>
    <row r="1549">
      <c r="A1549" s="107">
        <v>202366.0</v>
      </c>
      <c r="B1549" s="108" t="s">
        <v>90</v>
      </c>
      <c r="C1549" s="108" t="s">
        <v>509</v>
      </c>
      <c r="D1549" s="112" t="s">
        <v>187</v>
      </c>
      <c r="E1549" s="112">
        <v>382.8</v>
      </c>
      <c r="F1549" s="111" t="str">
        <f>DataPull!D1549</f>
        <v/>
      </c>
      <c r="G1549" s="94" t="str">
        <f t="shared" si="2"/>
        <v/>
      </c>
      <c r="H1549" s="94" t="str">
        <f t="shared" si="3"/>
        <v/>
      </c>
      <c r="I1549" s="94" t="str">
        <f t="shared" ref="I1549:J1549" si="1550">if(G1549 = "", , -G1549)</f>
        <v/>
      </c>
      <c r="J1549" s="94" t="str">
        <f t="shared" si="1550"/>
        <v/>
      </c>
      <c r="K1549" s="100"/>
      <c r="M1549" s="100"/>
      <c r="N1549" s="100"/>
      <c r="O1549" s="100"/>
      <c r="P1549" s="100"/>
    </row>
    <row r="1550">
      <c r="A1550" s="107">
        <v>202379.0</v>
      </c>
      <c r="B1550" s="108" t="s">
        <v>85</v>
      </c>
      <c r="C1550" s="108" t="s">
        <v>510</v>
      </c>
      <c r="D1550" s="112" t="s">
        <v>177</v>
      </c>
      <c r="E1550" s="112">
        <v>1207.8</v>
      </c>
      <c r="F1550" s="111" t="str">
        <f>DataPull!D1550</f>
        <v/>
      </c>
      <c r="G1550" s="94" t="str">
        <f t="shared" si="2"/>
        <v/>
      </c>
      <c r="H1550" s="94" t="str">
        <f t="shared" si="3"/>
        <v/>
      </c>
      <c r="I1550" s="94" t="str">
        <f t="shared" ref="I1550:J1550" si="1551">if(G1550 = "", , -G1550)</f>
        <v/>
      </c>
      <c r="J1550" s="94" t="str">
        <f t="shared" si="1551"/>
        <v/>
      </c>
      <c r="K1550" s="100"/>
      <c r="M1550" s="100"/>
      <c r="N1550" s="100"/>
      <c r="O1550" s="100"/>
      <c r="P1550" s="100"/>
    </row>
    <row r="1551">
      <c r="A1551" s="107">
        <v>202379.0</v>
      </c>
      <c r="B1551" s="108" t="s">
        <v>90</v>
      </c>
      <c r="C1551" s="108" t="s">
        <v>510</v>
      </c>
      <c r="D1551" s="112" t="s">
        <v>187</v>
      </c>
      <c r="E1551" s="112">
        <v>266.0</v>
      </c>
      <c r="F1551" s="111" t="str">
        <f>DataPull!D1551</f>
        <v/>
      </c>
      <c r="G1551" s="94" t="str">
        <f t="shared" si="2"/>
        <v/>
      </c>
      <c r="H1551" s="94" t="str">
        <f t="shared" si="3"/>
        <v/>
      </c>
      <c r="I1551" s="94" t="str">
        <f t="shared" ref="I1551:J1551" si="1552">if(G1551 = "", , -G1551)</f>
        <v/>
      </c>
      <c r="J1551" s="94" t="str">
        <f t="shared" si="1552"/>
        <v/>
      </c>
      <c r="K1551" s="100"/>
      <c r="M1551" s="100"/>
      <c r="N1551" s="100"/>
      <c r="O1551" s="100"/>
      <c r="P1551" s="100"/>
    </row>
    <row r="1552">
      <c r="A1552" s="107">
        <v>202379.0</v>
      </c>
      <c r="B1552" s="108" t="s">
        <v>92</v>
      </c>
      <c r="C1552" s="108" t="s">
        <v>510</v>
      </c>
      <c r="D1552" s="112" t="s">
        <v>187</v>
      </c>
      <c r="E1552" s="112">
        <v>252.0</v>
      </c>
      <c r="F1552" s="111" t="str">
        <f>DataPull!D1552</f>
        <v/>
      </c>
      <c r="G1552" s="94" t="str">
        <f t="shared" si="2"/>
        <v/>
      </c>
      <c r="H1552" s="94" t="str">
        <f t="shared" si="3"/>
        <v/>
      </c>
      <c r="I1552" s="94" t="str">
        <f t="shared" ref="I1552:J1552" si="1553">if(G1552 = "", , -G1552)</f>
        <v/>
      </c>
      <c r="J1552" s="94" t="str">
        <f t="shared" si="1553"/>
        <v/>
      </c>
      <c r="K1552" s="100"/>
      <c r="M1552" s="100"/>
      <c r="N1552" s="100"/>
      <c r="O1552" s="100"/>
      <c r="P1552" s="100"/>
    </row>
    <row r="1553">
      <c r="A1553" s="107">
        <v>202379.0</v>
      </c>
      <c r="B1553" s="108" t="s">
        <v>191</v>
      </c>
      <c r="C1553" s="108" t="s">
        <v>510</v>
      </c>
      <c r="D1553" s="112" t="s">
        <v>181</v>
      </c>
      <c r="E1553" s="112">
        <v>5.4</v>
      </c>
      <c r="F1553" s="111" t="str">
        <f>DataPull!D1553</f>
        <v/>
      </c>
      <c r="G1553" s="94" t="str">
        <f t="shared" si="2"/>
        <v/>
      </c>
      <c r="H1553" s="94" t="str">
        <f t="shared" si="3"/>
        <v/>
      </c>
      <c r="I1553" s="94" t="str">
        <f t="shared" ref="I1553:J1553" si="1554">if(G1553 = "", , -G1553)</f>
        <v/>
      </c>
      <c r="J1553" s="94" t="str">
        <f t="shared" si="1554"/>
        <v/>
      </c>
      <c r="K1553" s="100"/>
      <c r="M1553" s="100"/>
      <c r="N1553" s="100"/>
      <c r="O1553" s="100"/>
      <c r="P1553" s="100"/>
    </row>
    <row r="1554">
      <c r="A1554" s="107">
        <v>202380.0</v>
      </c>
      <c r="B1554" s="108" t="s">
        <v>85</v>
      </c>
      <c r="C1554" s="108" t="s">
        <v>511</v>
      </c>
      <c r="D1554" s="112" t="s">
        <v>187</v>
      </c>
      <c r="E1554" s="112">
        <v>74.2</v>
      </c>
      <c r="F1554" s="111" t="str">
        <f>DataPull!D1554</f>
        <v/>
      </c>
      <c r="G1554" s="94" t="str">
        <f t="shared" si="2"/>
        <v/>
      </c>
      <c r="H1554" s="94" t="str">
        <f t="shared" si="3"/>
        <v/>
      </c>
      <c r="I1554" s="94" t="str">
        <f t="shared" ref="I1554:J1554" si="1555">if(G1554 = "", , -G1554)</f>
        <v/>
      </c>
      <c r="J1554" s="94" t="str">
        <f t="shared" si="1555"/>
        <v/>
      </c>
      <c r="K1554" s="100"/>
      <c r="M1554" s="100"/>
      <c r="N1554" s="100"/>
      <c r="O1554" s="100"/>
      <c r="P1554" s="100"/>
    </row>
    <row r="1555">
      <c r="A1555" s="107">
        <v>202388.0</v>
      </c>
      <c r="B1555" s="108" t="s">
        <v>85</v>
      </c>
      <c r="C1555" s="108" t="s">
        <v>512</v>
      </c>
      <c r="D1555" s="112" t="s">
        <v>187</v>
      </c>
      <c r="E1555" s="112">
        <v>393.6</v>
      </c>
      <c r="F1555" s="111" t="str">
        <f>DataPull!D1555</f>
        <v/>
      </c>
      <c r="G1555" s="94" t="str">
        <f t="shared" si="2"/>
        <v/>
      </c>
      <c r="H1555" s="94" t="str">
        <f t="shared" si="3"/>
        <v/>
      </c>
      <c r="I1555" s="94" t="str">
        <f t="shared" ref="I1555:J1555" si="1556">if(G1555 = "", , -G1555)</f>
        <v/>
      </c>
      <c r="J1555" s="94" t="str">
        <f t="shared" si="1556"/>
        <v/>
      </c>
      <c r="K1555" s="100"/>
      <c r="M1555" s="100"/>
      <c r="N1555" s="100"/>
      <c r="O1555" s="100"/>
      <c r="P1555" s="100"/>
    </row>
    <row r="1556">
      <c r="A1556" s="107">
        <v>202388.0</v>
      </c>
      <c r="B1556" s="108" t="s">
        <v>90</v>
      </c>
      <c r="C1556" s="108" t="s">
        <v>512</v>
      </c>
      <c r="D1556" s="112" t="s">
        <v>176</v>
      </c>
      <c r="E1556" s="112">
        <v>1107.7</v>
      </c>
      <c r="F1556" s="111" t="str">
        <f>DataPull!D1556</f>
        <v/>
      </c>
      <c r="G1556" s="94" t="str">
        <f t="shared" si="2"/>
        <v/>
      </c>
      <c r="H1556" s="94" t="str">
        <f t="shared" si="3"/>
        <v/>
      </c>
      <c r="I1556" s="94" t="str">
        <f t="shared" ref="I1556:J1556" si="1557">if(G1556 = "", , -G1556)</f>
        <v/>
      </c>
      <c r="J1556" s="94" t="str">
        <f t="shared" si="1557"/>
        <v/>
      </c>
      <c r="K1556" s="100"/>
      <c r="M1556" s="100"/>
      <c r="N1556" s="100"/>
      <c r="O1556" s="100"/>
      <c r="P1556" s="100"/>
    </row>
    <row r="1557">
      <c r="A1557" s="107">
        <v>202388.0</v>
      </c>
      <c r="B1557" s="108" t="s">
        <v>92</v>
      </c>
      <c r="C1557" s="108" t="s">
        <v>512</v>
      </c>
      <c r="D1557" s="112" t="s">
        <v>176</v>
      </c>
      <c r="E1557" s="112">
        <v>1317.6</v>
      </c>
      <c r="F1557" s="111" t="str">
        <f>DataPull!D1557</f>
        <v/>
      </c>
      <c r="G1557" s="94" t="str">
        <f t="shared" si="2"/>
        <v/>
      </c>
      <c r="H1557" s="94" t="str">
        <f t="shared" si="3"/>
        <v/>
      </c>
      <c r="I1557" s="94" t="str">
        <f t="shared" ref="I1557:J1557" si="1558">if(G1557 = "", , -G1557)</f>
        <v/>
      </c>
      <c r="J1557" s="94" t="str">
        <f t="shared" si="1558"/>
        <v/>
      </c>
      <c r="K1557" s="100"/>
      <c r="M1557" s="100"/>
      <c r="N1557" s="100"/>
      <c r="O1557" s="100"/>
      <c r="P1557" s="100"/>
    </row>
    <row r="1558">
      <c r="A1558" s="107">
        <v>202389.0</v>
      </c>
      <c r="B1558" s="108" t="s">
        <v>85</v>
      </c>
      <c r="C1558" s="108" t="s">
        <v>513</v>
      </c>
      <c r="D1558" s="112" t="s">
        <v>176</v>
      </c>
      <c r="E1558" s="112">
        <v>1771.2</v>
      </c>
      <c r="F1558" s="111" t="str">
        <f>DataPull!D1558</f>
        <v/>
      </c>
      <c r="G1558" s="94" t="str">
        <f t="shared" si="2"/>
        <v/>
      </c>
      <c r="H1558" s="94" t="str">
        <f t="shared" si="3"/>
        <v/>
      </c>
      <c r="I1558" s="94" t="str">
        <f t="shared" ref="I1558:J1558" si="1559">if(G1558 = "", , -G1558)</f>
        <v/>
      </c>
      <c r="J1558" s="94" t="str">
        <f t="shared" si="1559"/>
        <v/>
      </c>
      <c r="K1558" s="100"/>
      <c r="M1558" s="100"/>
      <c r="N1558" s="100"/>
      <c r="O1558" s="100"/>
      <c r="P1558" s="100"/>
    </row>
    <row r="1559">
      <c r="A1559" s="107">
        <v>202389.0</v>
      </c>
      <c r="B1559" s="108" t="s">
        <v>90</v>
      </c>
      <c r="C1559" s="108" t="s">
        <v>513</v>
      </c>
      <c r="D1559" s="112" t="s">
        <v>176</v>
      </c>
      <c r="E1559" s="112">
        <v>2049.3</v>
      </c>
      <c r="F1559" s="111" t="str">
        <f>DataPull!D1559</f>
        <v/>
      </c>
      <c r="G1559" s="94" t="str">
        <f t="shared" si="2"/>
        <v/>
      </c>
      <c r="H1559" s="94" t="str">
        <f t="shared" si="3"/>
        <v/>
      </c>
      <c r="I1559" s="94" t="str">
        <f t="shared" ref="I1559:J1559" si="1560">if(G1559 = "", , -G1559)</f>
        <v/>
      </c>
      <c r="J1559" s="94" t="str">
        <f t="shared" si="1560"/>
        <v/>
      </c>
      <c r="K1559" s="100"/>
      <c r="L1559" s="100"/>
      <c r="N1559" s="100"/>
      <c r="O1559" s="100"/>
      <c r="P1559" s="100"/>
    </row>
    <row r="1560">
      <c r="A1560" s="107">
        <v>202389.0</v>
      </c>
      <c r="B1560" s="108" t="s">
        <v>92</v>
      </c>
      <c r="C1560" s="108" t="s">
        <v>513</v>
      </c>
      <c r="D1560" s="112" t="s">
        <v>177</v>
      </c>
      <c r="E1560" s="112">
        <v>1322.4</v>
      </c>
      <c r="F1560" s="111" t="str">
        <f>DataPull!D1560</f>
        <v/>
      </c>
      <c r="G1560" s="94" t="str">
        <f t="shared" si="2"/>
        <v/>
      </c>
      <c r="H1560" s="94" t="str">
        <f t="shared" si="3"/>
        <v/>
      </c>
      <c r="I1560" s="94" t="str">
        <f t="shared" ref="I1560:J1560" si="1561">if(G1560 = "", , -G1560)</f>
        <v/>
      </c>
      <c r="J1560" s="94" t="str">
        <f t="shared" si="1561"/>
        <v/>
      </c>
      <c r="K1560" s="100"/>
      <c r="L1560" s="100"/>
      <c r="M1560" s="100"/>
      <c r="N1560" s="100"/>
      <c r="O1560" s="100"/>
      <c r="P1560" s="100"/>
    </row>
    <row r="1561">
      <c r="A1561" s="107">
        <v>202389.0</v>
      </c>
      <c r="B1561" s="108" t="s">
        <v>190</v>
      </c>
      <c r="C1561" s="108" t="s">
        <v>513</v>
      </c>
      <c r="D1561" s="112" t="s">
        <v>176</v>
      </c>
      <c r="E1561" s="112">
        <v>1101.6</v>
      </c>
      <c r="F1561" s="111" t="str">
        <f>DataPull!D1561</f>
        <v/>
      </c>
      <c r="G1561" s="94" t="str">
        <f t="shared" si="2"/>
        <v/>
      </c>
      <c r="H1561" s="94" t="str">
        <f t="shared" si="3"/>
        <v/>
      </c>
      <c r="I1561" s="94" t="str">
        <f t="shared" ref="I1561:J1561" si="1562">if(G1561 = "", , -G1561)</f>
        <v/>
      </c>
      <c r="J1561" s="94" t="str">
        <f t="shared" si="1562"/>
        <v/>
      </c>
      <c r="K1561" s="100"/>
      <c r="M1561" s="100"/>
      <c r="N1561" s="100"/>
      <c r="O1561" s="100"/>
      <c r="P1561" s="100"/>
    </row>
    <row r="1562">
      <c r="A1562" s="107">
        <v>202389.0</v>
      </c>
      <c r="B1562" s="108" t="s">
        <v>191</v>
      </c>
      <c r="C1562" s="108" t="s">
        <v>513</v>
      </c>
      <c r="D1562" s="112" t="s">
        <v>177</v>
      </c>
      <c r="E1562" s="112">
        <v>359.6</v>
      </c>
      <c r="F1562" s="111" t="str">
        <f>DataPull!D1562</f>
        <v/>
      </c>
      <c r="G1562" s="94" t="str">
        <f t="shared" si="2"/>
        <v/>
      </c>
      <c r="H1562" s="94" t="str">
        <f t="shared" si="3"/>
        <v/>
      </c>
      <c r="I1562" s="94" t="str">
        <f t="shared" ref="I1562:J1562" si="1563">if(G1562 = "", , -G1562)</f>
        <v/>
      </c>
      <c r="J1562" s="94" t="str">
        <f t="shared" si="1563"/>
        <v/>
      </c>
      <c r="K1562" s="100"/>
      <c r="M1562" s="100"/>
      <c r="N1562" s="100"/>
      <c r="O1562" s="100"/>
      <c r="P1562" s="100"/>
    </row>
    <row r="1563">
      <c r="A1563" s="107">
        <v>202390.0</v>
      </c>
      <c r="B1563" s="108" t="s">
        <v>85</v>
      </c>
      <c r="C1563" s="108" t="s">
        <v>514</v>
      </c>
      <c r="D1563" s="112" t="s">
        <v>176</v>
      </c>
      <c r="E1563" s="112">
        <v>1112.8</v>
      </c>
      <c r="F1563" s="111" t="str">
        <f>DataPull!D1563</f>
        <v/>
      </c>
      <c r="G1563" s="94" t="str">
        <f t="shared" si="2"/>
        <v/>
      </c>
      <c r="H1563" s="94" t="str">
        <f t="shared" si="3"/>
        <v/>
      </c>
      <c r="I1563" s="94" t="str">
        <f t="shared" ref="I1563:J1563" si="1564">if(G1563 = "", , -G1563)</f>
        <v/>
      </c>
      <c r="J1563" s="94" t="str">
        <f t="shared" si="1564"/>
        <v/>
      </c>
      <c r="K1563" s="100"/>
      <c r="M1563" s="100"/>
      <c r="N1563" s="100"/>
      <c r="O1563" s="100"/>
      <c r="P1563" s="100"/>
    </row>
    <row r="1564">
      <c r="A1564" s="107">
        <v>202390.0</v>
      </c>
      <c r="B1564" s="108" t="s">
        <v>90</v>
      </c>
      <c r="C1564" s="108" t="s">
        <v>514</v>
      </c>
      <c r="D1564" s="112" t="s">
        <v>176</v>
      </c>
      <c r="E1564" s="112">
        <v>1193.4</v>
      </c>
      <c r="F1564" s="111" t="str">
        <f>DataPull!D1564</f>
        <v/>
      </c>
      <c r="G1564" s="94" t="str">
        <f t="shared" si="2"/>
        <v/>
      </c>
      <c r="H1564" s="94" t="str">
        <f t="shared" si="3"/>
        <v/>
      </c>
      <c r="I1564" s="94" t="str">
        <f t="shared" ref="I1564:J1564" si="1565">if(G1564 = "", , -G1564)</f>
        <v/>
      </c>
      <c r="J1564" s="94" t="str">
        <f t="shared" si="1565"/>
        <v/>
      </c>
      <c r="K1564" s="100"/>
      <c r="M1564" s="100"/>
      <c r="N1564" s="100"/>
      <c r="O1564" s="100"/>
      <c r="P1564" s="100"/>
    </row>
    <row r="1565">
      <c r="A1565" s="107">
        <v>202390.0</v>
      </c>
      <c r="B1565" s="108" t="s">
        <v>92</v>
      </c>
      <c r="C1565" s="108" t="s">
        <v>514</v>
      </c>
      <c r="D1565" s="112" t="s">
        <v>177</v>
      </c>
      <c r="E1565" s="112">
        <v>808.0</v>
      </c>
      <c r="F1565" s="111" t="str">
        <f>DataPull!D1565</f>
        <v/>
      </c>
      <c r="G1565" s="94" t="str">
        <f t="shared" si="2"/>
        <v/>
      </c>
      <c r="H1565" s="94" t="str">
        <f t="shared" si="3"/>
        <v/>
      </c>
      <c r="I1565" s="94" t="str">
        <f t="shared" ref="I1565:J1565" si="1566">if(G1565 = "", , -G1565)</f>
        <v/>
      </c>
      <c r="J1565" s="94" t="str">
        <f t="shared" si="1566"/>
        <v/>
      </c>
      <c r="K1565" s="100"/>
      <c r="M1565" s="100"/>
      <c r="N1565" s="100"/>
      <c r="O1565" s="100"/>
      <c r="P1565" s="100"/>
    </row>
    <row r="1566">
      <c r="A1566" s="107">
        <v>202390.0</v>
      </c>
      <c r="B1566" s="108" t="s">
        <v>190</v>
      </c>
      <c r="C1566" s="108" t="s">
        <v>514</v>
      </c>
      <c r="D1566" s="112" t="s">
        <v>181</v>
      </c>
      <c r="E1566" s="112">
        <v>18.4</v>
      </c>
      <c r="F1566" s="111" t="str">
        <f>DataPull!D1566</f>
        <v/>
      </c>
      <c r="G1566" s="94" t="str">
        <f t="shared" si="2"/>
        <v/>
      </c>
      <c r="H1566" s="94" t="str">
        <f t="shared" si="3"/>
        <v/>
      </c>
      <c r="I1566" s="94" t="str">
        <f t="shared" ref="I1566:J1566" si="1567">if(G1566 = "", , -G1566)</f>
        <v/>
      </c>
      <c r="J1566" s="94" t="str">
        <f t="shared" si="1567"/>
        <v/>
      </c>
      <c r="K1566" s="100"/>
      <c r="L1566" s="100"/>
      <c r="M1566" s="100"/>
      <c r="N1566" s="100"/>
      <c r="O1566" s="100"/>
      <c r="P1566" s="100"/>
    </row>
    <row r="1567">
      <c r="A1567" s="107">
        <v>202391.0</v>
      </c>
      <c r="B1567" s="108" t="s">
        <v>85</v>
      </c>
      <c r="C1567" s="108" t="s">
        <v>515</v>
      </c>
      <c r="D1567" s="112" t="s">
        <v>178</v>
      </c>
      <c r="E1567" s="112">
        <v>2051.9</v>
      </c>
      <c r="F1567" s="111" t="str">
        <f>DataPull!D1567</f>
        <v/>
      </c>
      <c r="G1567" s="94" t="str">
        <f t="shared" si="2"/>
        <v/>
      </c>
      <c r="H1567" s="94" t="str">
        <f t="shared" si="3"/>
        <v/>
      </c>
      <c r="I1567" s="94" t="str">
        <f t="shared" ref="I1567:J1567" si="1568">if(G1567 = "", , -G1567)</f>
        <v/>
      </c>
      <c r="J1567" s="94" t="str">
        <f t="shared" si="1568"/>
        <v/>
      </c>
      <c r="K1567" s="100"/>
      <c r="M1567" s="100"/>
      <c r="N1567" s="100"/>
      <c r="O1567" s="100"/>
      <c r="P1567" s="100"/>
    </row>
    <row r="1568">
      <c r="A1568" s="107">
        <v>202391.0</v>
      </c>
      <c r="B1568" s="108" t="s">
        <v>90</v>
      </c>
      <c r="C1568" s="108" t="s">
        <v>515</v>
      </c>
      <c r="D1568" s="112" t="s">
        <v>178</v>
      </c>
      <c r="E1568" s="112">
        <v>1909.2</v>
      </c>
      <c r="F1568" s="111" t="str">
        <f>DataPull!D1568</f>
        <v/>
      </c>
      <c r="G1568" s="94" t="str">
        <f t="shared" si="2"/>
        <v/>
      </c>
      <c r="H1568" s="94" t="str">
        <f t="shared" si="3"/>
        <v/>
      </c>
      <c r="I1568" s="94" t="str">
        <f t="shared" ref="I1568:J1568" si="1569">if(G1568 = "", , -G1568)</f>
        <v/>
      </c>
      <c r="J1568" s="94" t="str">
        <f t="shared" si="1569"/>
        <v/>
      </c>
      <c r="K1568" s="100"/>
      <c r="M1568" s="100"/>
      <c r="N1568" s="100"/>
      <c r="O1568" s="100"/>
      <c r="P1568" s="100"/>
    </row>
    <row r="1569">
      <c r="A1569" s="107">
        <v>202391.0</v>
      </c>
      <c r="B1569" s="108" t="s">
        <v>92</v>
      </c>
      <c r="C1569" s="108" t="s">
        <v>515</v>
      </c>
      <c r="D1569" s="112" t="s">
        <v>178</v>
      </c>
      <c r="E1569" s="112">
        <v>2051.4</v>
      </c>
      <c r="F1569" s="111" t="str">
        <f>DataPull!D1569</f>
        <v/>
      </c>
      <c r="G1569" s="94" t="str">
        <f t="shared" si="2"/>
        <v/>
      </c>
      <c r="H1569" s="94" t="str">
        <f t="shared" si="3"/>
        <v/>
      </c>
      <c r="I1569" s="94" t="str">
        <f t="shared" ref="I1569:J1569" si="1570">if(G1569 = "", , -G1569)</f>
        <v/>
      </c>
      <c r="J1569" s="94" t="str">
        <f t="shared" si="1570"/>
        <v/>
      </c>
      <c r="K1569" s="100"/>
      <c r="M1569" s="100"/>
      <c r="N1569" s="100"/>
      <c r="O1569" s="100"/>
      <c r="P1569" s="100"/>
    </row>
    <row r="1570">
      <c r="A1570" s="107">
        <v>202391.0</v>
      </c>
      <c r="B1570" s="108" t="s">
        <v>190</v>
      </c>
      <c r="C1570" s="108" t="s">
        <v>515</v>
      </c>
      <c r="D1570" s="112" t="s">
        <v>184</v>
      </c>
      <c r="E1570" s="112">
        <v>882.0</v>
      </c>
      <c r="F1570" s="111" t="str">
        <f>DataPull!D1570</f>
        <v/>
      </c>
      <c r="G1570" s="94" t="str">
        <f t="shared" si="2"/>
        <v/>
      </c>
      <c r="H1570" s="94" t="str">
        <f t="shared" si="3"/>
        <v/>
      </c>
      <c r="I1570" s="94" t="str">
        <f t="shared" ref="I1570:J1570" si="1571">if(G1570 = "", , -G1570)</f>
        <v/>
      </c>
      <c r="J1570" s="94" t="str">
        <f t="shared" si="1571"/>
        <v/>
      </c>
      <c r="K1570" s="100"/>
      <c r="M1570" s="100"/>
      <c r="N1570" s="100"/>
      <c r="O1570" s="100"/>
      <c r="P1570" s="100"/>
    </row>
    <row r="1571">
      <c r="A1571" s="107">
        <v>202391.0</v>
      </c>
      <c r="B1571" s="108" t="s">
        <v>191</v>
      </c>
      <c r="C1571" s="108" t="s">
        <v>515</v>
      </c>
      <c r="D1571" s="112" t="s">
        <v>181</v>
      </c>
      <c r="E1571" s="112">
        <v>25.2</v>
      </c>
      <c r="F1571" s="111" t="str">
        <f>DataPull!D1571</f>
        <v/>
      </c>
      <c r="G1571" s="94" t="str">
        <f t="shared" si="2"/>
        <v/>
      </c>
      <c r="H1571" s="94" t="str">
        <f t="shared" si="3"/>
        <v/>
      </c>
      <c r="I1571" s="94" t="str">
        <f t="shared" ref="I1571:J1571" si="1572">if(G1571 = "", , -G1571)</f>
        <v/>
      </c>
      <c r="J1571" s="94" t="str">
        <f t="shared" si="1572"/>
        <v/>
      </c>
      <c r="K1571" s="100"/>
      <c r="M1571" s="100"/>
      <c r="N1571" s="100"/>
      <c r="O1571" s="100"/>
      <c r="P1571" s="100"/>
    </row>
    <row r="1572">
      <c r="A1572" s="107">
        <v>202391.0</v>
      </c>
      <c r="B1572" s="108" t="s">
        <v>192</v>
      </c>
      <c r="C1572" s="108" t="s">
        <v>515</v>
      </c>
      <c r="D1572" s="112" t="s">
        <v>176</v>
      </c>
      <c r="E1572" s="112">
        <v>1435.6</v>
      </c>
      <c r="F1572" s="111" t="str">
        <f>DataPull!D1572</f>
        <v/>
      </c>
      <c r="G1572" s="94" t="str">
        <f t="shared" si="2"/>
        <v/>
      </c>
      <c r="H1572" s="94" t="str">
        <f t="shared" si="3"/>
        <v/>
      </c>
      <c r="I1572" s="94" t="str">
        <f t="shared" ref="I1572:J1572" si="1573">if(G1572 = "", , -G1572)</f>
        <v/>
      </c>
      <c r="J1572" s="94" t="str">
        <f t="shared" si="1573"/>
        <v/>
      </c>
      <c r="K1572" s="100"/>
      <c r="L1572" s="100"/>
      <c r="N1572" s="100"/>
      <c r="O1572" s="100"/>
      <c r="P1572" s="100"/>
    </row>
    <row r="1573">
      <c r="A1573" s="107">
        <v>202397.0</v>
      </c>
      <c r="B1573" s="108" t="s">
        <v>85</v>
      </c>
      <c r="C1573" s="108" t="s">
        <v>516</v>
      </c>
      <c r="D1573" s="112" t="s">
        <v>177</v>
      </c>
      <c r="E1573" s="112">
        <v>1008.0</v>
      </c>
      <c r="F1573" s="111" t="str">
        <f>DataPull!D1573</f>
        <v/>
      </c>
      <c r="G1573" s="94" t="str">
        <f t="shared" si="2"/>
        <v/>
      </c>
      <c r="H1573" s="94" t="str">
        <f t="shared" si="3"/>
        <v/>
      </c>
      <c r="I1573" s="94" t="str">
        <f t="shared" ref="I1573:J1573" si="1574">if(G1573 = "", , -G1573)</f>
        <v/>
      </c>
      <c r="J1573" s="94" t="str">
        <f t="shared" si="1574"/>
        <v/>
      </c>
      <c r="K1573" s="100"/>
      <c r="L1573" s="100"/>
      <c r="N1573" s="100"/>
      <c r="O1573" s="100"/>
      <c r="P1573" s="100"/>
    </row>
    <row r="1574">
      <c r="A1574" s="107">
        <v>202397.0</v>
      </c>
      <c r="B1574" s="108" t="s">
        <v>90</v>
      </c>
      <c r="C1574" s="108" t="s">
        <v>516</v>
      </c>
      <c r="D1574" s="112" t="s">
        <v>187</v>
      </c>
      <c r="E1574" s="112">
        <v>830.5</v>
      </c>
      <c r="F1574" s="111" t="str">
        <f>DataPull!D1574</f>
        <v/>
      </c>
      <c r="G1574" s="94" t="str">
        <f t="shared" si="2"/>
        <v/>
      </c>
      <c r="H1574" s="94" t="str">
        <f t="shared" si="3"/>
        <v/>
      </c>
      <c r="I1574" s="94" t="str">
        <f t="shared" ref="I1574:J1574" si="1575">if(G1574 = "", , -G1574)</f>
        <v/>
      </c>
      <c r="J1574" s="94" t="str">
        <f t="shared" si="1575"/>
        <v/>
      </c>
      <c r="K1574" s="100"/>
      <c r="M1574" s="100"/>
      <c r="N1574" s="100"/>
      <c r="O1574" s="100"/>
      <c r="P1574" s="100"/>
    </row>
    <row r="1575">
      <c r="A1575" s="107">
        <v>202397.0</v>
      </c>
      <c r="B1575" s="108" t="s">
        <v>92</v>
      </c>
      <c r="C1575" s="108" t="s">
        <v>516</v>
      </c>
      <c r="D1575" s="112" t="s">
        <v>178</v>
      </c>
      <c r="E1575" s="112">
        <v>2240.7</v>
      </c>
      <c r="F1575" s="111" t="str">
        <f>DataPull!D1575</f>
        <v/>
      </c>
      <c r="G1575" s="94" t="str">
        <f t="shared" si="2"/>
        <v/>
      </c>
      <c r="H1575" s="94" t="str">
        <f t="shared" si="3"/>
        <v/>
      </c>
      <c r="I1575" s="94" t="str">
        <f t="shared" ref="I1575:J1575" si="1576">if(G1575 = "", , -G1575)</f>
        <v/>
      </c>
      <c r="J1575" s="94" t="str">
        <f t="shared" si="1576"/>
        <v/>
      </c>
      <c r="K1575" s="100"/>
      <c r="M1575" s="100"/>
      <c r="N1575" s="100"/>
      <c r="O1575" s="100"/>
      <c r="P1575" s="100"/>
    </row>
    <row r="1576">
      <c r="A1576" s="107">
        <v>202397.0</v>
      </c>
      <c r="B1576" s="108" t="s">
        <v>190</v>
      </c>
      <c r="C1576" s="108" t="s">
        <v>516</v>
      </c>
      <c r="D1576" s="112" t="s">
        <v>176</v>
      </c>
      <c r="E1576" s="112">
        <v>1952.1</v>
      </c>
      <c r="F1576" s="111" t="str">
        <f>DataPull!D1576</f>
        <v/>
      </c>
      <c r="G1576" s="94" t="str">
        <f t="shared" si="2"/>
        <v/>
      </c>
      <c r="H1576" s="94" t="str">
        <f t="shared" si="3"/>
        <v/>
      </c>
      <c r="I1576" s="94" t="str">
        <f t="shared" ref="I1576:J1576" si="1577">if(G1576 = "", , -G1576)</f>
        <v/>
      </c>
      <c r="J1576" s="94" t="str">
        <f t="shared" si="1577"/>
        <v/>
      </c>
      <c r="K1576" s="100"/>
      <c r="M1576" s="100"/>
      <c r="N1576" s="100"/>
      <c r="O1576" s="100"/>
      <c r="P1576" s="100"/>
    </row>
    <row r="1577">
      <c r="A1577" s="107">
        <v>202397.0</v>
      </c>
      <c r="B1577" s="108" t="s">
        <v>191</v>
      </c>
      <c r="C1577" s="108" t="s">
        <v>516</v>
      </c>
      <c r="D1577" s="112" t="s">
        <v>176</v>
      </c>
      <c r="E1577" s="112">
        <v>2041.8</v>
      </c>
      <c r="F1577" s="111" t="str">
        <f>DataPull!D1577</f>
        <v/>
      </c>
      <c r="G1577" s="94" t="str">
        <f t="shared" si="2"/>
        <v/>
      </c>
      <c r="H1577" s="94" t="str">
        <f t="shared" si="3"/>
        <v/>
      </c>
      <c r="I1577" s="94" t="str">
        <f t="shared" ref="I1577:J1577" si="1578">if(G1577 = "", , -G1577)</f>
        <v/>
      </c>
      <c r="J1577" s="94" t="str">
        <f t="shared" si="1578"/>
        <v/>
      </c>
      <c r="K1577" s="100"/>
      <c r="L1577" s="100"/>
      <c r="M1577" s="100"/>
      <c r="N1577" s="100"/>
      <c r="O1577" s="100"/>
      <c r="P1577" s="100"/>
    </row>
    <row r="1578">
      <c r="A1578" s="107">
        <v>202397.0</v>
      </c>
      <c r="B1578" s="108" t="s">
        <v>192</v>
      </c>
      <c r="C1578" s="108" t="s">
        <v>516</v>
      </c>
      <c r="D1578" s="112" t="s">
        <v>176</v>
      </c>
      <c r="E1578" s="112">
        <v>1248.8</v>
      </c>
      <c r="F1578" s="111" t="str">
        <f>DataPull!D1578</f>
        <v/>
      </c>
      <c r="G1578" s="94" t="str">
        <f t="shared" si="2"/>
        <v/>
      </c>
      <c r="H1578" s="94" t="str">
        <f t="shared" si="3"/>
        <v/>
      </c>
      <c r="I1578" s="94" t="str">
        <f t="shared" ref="I1578:J1578" si="1579">if(G1578 = "", , -G1578)</f>
        <v/>
      </c>
      <c r="J1578" s="94" t="str">
        <f t="shared" si="1579"/>
        <v/>
      </c>
      <c r="K1578" s="100"/>
      <c r="L1578" s="100"/>
      <c r="M1578" s="100"/>
      <c r="N1578" s="100"/>
      <c r="O1578" s="100"/>
      <c r="P1578" s="100"/>
    </row>
    <row r="1579">
      <c r="A1579" s="107">
        <v>202397.0</v>
      </c>
      <c r="B1579" s="108" t="s">
        <v>193</v>
      </c>
      <c r="C1579" s="108" t="s">
        <v>516</v>
      </c>
      <c r="D1579" s="112" t="s">
        <v>178</v>
      </c>
      <c r="E1579" s="112">
        <v>1788.4</v>
      </c>
      <c r="F1579" s="111" t="str">
        <f>DataPull!D1579</f>
        <v/>
      </c>
      <c r="G1579" s="94" t="str">
        <f t="shared" si="2"/>
        <v/>
      </c>
      <c r="H1579" s="94" t="str">
        <f t="shared" si="3"/>
        <v/>
      </c>
      <c r="I1579" s="94" t="str">
        <f t="shared" ref="I1579:J1579" si="1580">if(G1579 = "", , -G1579)</f>
        <v/>
      </c>
      <c r="J1579" s="94" t="str">
        <f t="shared" si="1580"/>
        <v/>
      </c>
      <c r="K1579" s="100"/>
      <c r="M1579" s="100"/>
      <c r="N1579" s="100"/>
      <c r="O1579" s="100"/>
      <c r="P1579" s="100"/>
    </row>
    <row r="1580">
      <c r="A1580" s="107">
        <v>202397.0</v>
      </c>
      <c r="B1580" s="108" t="s">
        <v>243</v>
      </c>
      <c r="C1580" s="108" t="s">
        <v>516</v>
      </c>
      <c r="D1580" s="112" t="s">
        <v>177</v>
      </c>
      <c r="E1580" s="112">
        <v>924.0</v>
      </c>
      <c r="F1580" s="111" t="str">
        <f>DataPull!D1580</f>
        <v/>
      </c>
      <c r="G1580" s="94" t="str">
        <f t="shared" si="2"/>
        <v/>
      </c>
      <c r="H1580" s="94" t="str">
        <f t="shared" si="3"/>
        <v/>
      </c>
      <c r="I1580" s="94" t="str">
        <f t="shared" ref="I1580:J1580" si="1581">if(G1580 = "", , -G1580)</f>
        <v/>
      </c>
      <c r="J1580" s="94" t="str">
        <f t="shared" si="1581"/>
        <v/>
      </c>
      <c r="K1580" s="100"/>
      <c r="M1580" s="100"/>
      <c r="N1580" s="100"/>
      <c r="O1580" s="100"/>
      <c r="P1580" s="100"/>
    </row>
    <row r="1581">
      <c r="A1581" s="107">
        <v>202397.0</v>
      </c>
      <c r="B1581" s="108" t="s">
        <v>215</v>
      </c>
      <c r="C1581" s="108" t="s">
        <v>516</v>
      </c>
      <c r="D1581" s="112" t="s">
        <v>177</v>
      </c>
      <c r="E1581" s="112">
        <v>1124.5</v>
      </c>
      <c r="F1581" s="111" t="str">
        <f>DataPull!D1581</f>
        <v/>
      </c>
      <c r="G1581" s="94" t="str">
        <f t="shared" si="2"/>
        <v/>
      </c>
      <c r="H1581" s="94" t="str">
        <f t="shared" si="3"/>
        <v/>
      </c>
      <c r="I1581" s="94" t="str">
        <f t="shared" ref="I1581:J1581" si="1582">if(G1581 = "", , -G1581)</f>
        <v/>
      </c>
      <c r="J1581" s="94" t="str">
        <f t="shared" si="1582"/>
        <v/>
      </c>
      <c r="K1581" s="100"/>
      <c r="M1581" s="100"/>
      <c r="N1581" s="100"/>
      <c r="O1581" s="100"/>
      <c r="P1581" s="100"/>
    </row>
    <row r="1582">
      <c r="A1582" s="107">
        <v>202397.0</v>
      </c>
      <c r="B1582" s="108" t="s">
        <v>244</v>
      </c>
      <c r="C1582" s="108" t="s">
        <v>516</v>
      </c>
      <c r="D1582" s="112" t="s">
        <v>187</v>
      </c>
      <c r="E1582" s="112">
        <v>399.9</v>
      </c>
      <c r="F1582" s="111" t="str">
        <f>DataPull!D1582</f>
        <v/>
      </c>
      <c r="G1582" s="94" t="str">
        <f t="shared" si="2"/>
        <v/>
      </c>
      <c r="H1582" s="94" t="str">
        <f t="shared" si="3"/>
        <v/>
      </c>
      <c r="I1582" s="94" t="str">
        <f t="shared" ref="I1582:J1582" si="1583">if(G1582 = "", , -G1582)</f>
        <v/>
      </c>
      <c r="J1582" s="94" t="str">
        <f t="shared" si="1583"/>
        <v/>
      </c>
      <c r="K1582" s="100"/>
      <c r="M1582" s="100"/>
      <c r="N1582" s="100"/>
      <c r="O1582" s="100"/>
      <c r="P1582" s="100"/>
    </row>
    <row r="1583">
      <c r="A1583" s="107">
        <v>202397.0</v>
      </c>
      <c r="B1583" s="108" t="s">
        <v>245</v>
      </c>
      <c r="C1583" s="108" t="s">
        <v>516</v>
      </c>
      <c r="D1583" s="112" t="s">
        <v>177</v>
      </c>
      <c r="E1583" s="112">
        <v>739.6</v>
      </c>
      <c r="F1583" s="111" t="str">
        <f>DataPull!D1583</f>
        <v/>
      </c>
      <c r="G1583" s="94" t="str">
        <f t="shared" si="2"/>
        <v/>
      </c>
      <c r="H1583" s="94" t="str">
        <f t="shared" si="3"/>
        <v/>
      </c>
      <c r="I1583" s="94" t="str">
        <f t="shared" ref="I1583:J1583" si="1584">if(G1583 = "", , -G1583)</f>
        <v/>
      </c>
      <c r="J1583" s="94" t="str">
        <f t="shared" si="1584"/>
        <v/>
      </c>
      <c r="K1583" s="100"/>
      <c r="M1583" s="100"/>
      <c r="N1583" s="100"/>
      <c r="O1583" s="100"/>
      <c r="P1583" s="100"/>
    </row>
    <row r="1584">
      <c r="A1584" s="107">
        <v>202399.0</v>
      </c>
      <c r="B1584" s="108" t="s">
        <v>85</v>
      </c>
      <c r="C1584" s="108" t="s">
        <v>517</v>
      </c>
      <c r="D1584" s="112" t="s">
        <v>176</v>
      </c>
      <c r="E1584" s="112">
        <v>959.3</v>
      </c>
      <c r="F1584" s="111" t="str">
        <f>DataPull!D1584</f>
        <v/>
      </c>
      <c r="G1584" s="94" t="str">
        <f t="shared" si="2"/>
        <v/>
      </c>
      <c r="H1584" s="94" t="str">
        <f t="shared" si="3"/>
        <v/>
      </c>
      <c r="I1584" s="94" t="str">
        <f t="shared" ref="I1584:J1584" si="1585">if(G1584 = "", , -G1584)</f>
        <v/>
      </c>
      <c r="J1584" s="94" t="str">
        <f t="shared" si="1585"/>
        <v/>
      </c>
      <c r="K1584" s="100"/>
      <c r="M1584" s="100"/>
      <c r="N1584" s="100"/>
      <c r="O1584" s="100"/>
      <c r="P1584" s="100"/>
    </row>
    <row r="1585">
      <c r="A1585" s="107">
        <v>202399.0</v>
      </c>
      <c r="B1585" s="108" t="s">
        <v>90</v>
      </c>
      <c r="C1585" s="108" t="s">
        <v>517</v>
      </c>
      <c r="D1585" s="112"/>
      <c r="E1585" s="112">
        <v>215.9</v>
      </c>
      <c r="F1585" s="111" t="str">
        <f>DataPull!D1585</f>
        <v/>
      </c>
      <c r="G1585" s="94" t="str">
        <f t="shared" si="2"/>
        <v/>
      </c>
      <c r="H1585" s="94" t="str">
        <f t="shared" si="3"/>
        <v/>
      </c>
      <c r="I1585" s="94" t="str">
        <f t="shared" ref="I1585:J1585" si="1586">if(G1585 = "", , -G1585)</f>
        <v/>
      </c>
      <c r="J1585" s="94" t="str">
        <f t="shared" si="1586"/>
        <v/>
      </c>
      <c r="K1585" s="100"/>
      <c r="L1585" s="100"/>
      <c r="N1585" s="100"/>
      <c r="O1585" s="100"/>
      <c r="P1585" s="100"/>
    </row>
    <row r="1586">
      <c r="A1586" s="107">
        <v>202407.0</v>
      </c>
      <c r="B1586" s="108" t="s">
        <v>90</v>
      </c>
      <c r="C1586" s="108" t="s">
        <v>518</v>
      </c>
      <c r="D1586" s="112" t="s">
        <v>177</v>
      </c>
      <c r="E1586" s="112">
        <v>925.9</v>
      </c>
      <c r="F1586" s="111" t="str">
        <f>DataPull!D1586</f>
        <v/>
      </c>
      <c r="G1586" s="94" t="str">
        <f t="shared" si="2"/>
        <v/>
      </c>
      <c r="H1586" s="94" t="str">
        <f t="shared" si="3"/>
        <v/>
      </c>
      <c r="I1586" s="94" t="str">
        <f t="shared" ref="I1586:J1586" si="1587">if(G1586 = "", , -G1586)</f>
        <v/>
      </c>
      <c r="J1586" s="94" t="str">
        <f t="shared" si="1587"/>
        <v/>
      </c>
      <c r="K1586" s="100"/>
      <c r="M1586" s="100"/>
      <c r="N1586" s="100"/>
      <c r="O1586" s="100"/>
      <c r="P1586" s="100"/>
    </row>
    <row r="1587">
      <c r="A1587" s="107">
        <v>202407.0</v>
      </c>
      <c r="B1587" s="108" t="s">
        <v>92</v>
      </c>
      <c r="C1587" s="108" t="s">
        <v>518</v>
      </c>
      <c r="D1587" s="112" t="s">
        <v>187</v>
      </c>
      <c r="E1587" s="112">
        <v>172.0</v>
      </c>
      <c r="F1587" s="111" t="str">
        <f>DataPull!D1587</f>
        <v/>
      </c>
      <c r="G1587" s="94" t="str">
        <f t="shared" si="2"/>
        <v/>
      </c>
      <c r="H1587" s="94" t="str">
        <f t="shared" si="3"/>
        <v/>
      </c>
      <c r="I1587" s="94" t="str">
        <f t="shared" ref="I1587:J1587" si="1588">if(G1587 = "", , -G1587)</f>
        <v/>
      </c>
      <c r="J1587" s="94" t="str">
        <f t="shared" si="1588"/>
        <v/>
      </c>
      <c r="K1587" s="100"/>
      <c r="M1587" s="100"/>
      <c r="N1587" s="100"/>
      <c r="O1587" s="100"/>
      <c r="P1587" s="100"/>
    </row>
    <row r="1588">
      <c r="A1588" s="107">
        <v>202407.0</v>
      </c>
      <c r="B1588" s="108" t="s">
        <v>190</v>
      </c>
      <c r="C1588" s="108" t="s">
        <v>518</v>
      </c>
      <c r="D1588" s="112" t="s">
        <v>181</v>
      </c>
      <c r="E1588" s="112">
        <v>23.2</v>
      </c>
      <c r="F1588" s="111" t="str">
        <f>DataPull!D1588</f>
        <v/>
      </c>
      <c r="G1588" s="94" t="str">
        <f t="shared" si="2"/>
        <v/>
      </c>
      <c r="H1588" s="94" t="str">
        <f t="shared" si="3"/>
        <v/>
      </c>
      <c r="I1588" s="94" t="str">
        <f t="shared" ref="I1588:J1588" si="1589">if(G1588 = "", , -G1588)</f>
        <v/>
      </c>
      <c r="J1588" s="94" t="str">
        <f t="shared" si="1589"/>
        <v/>
      </c>
      <c r="K1588" s="100"/>
      <c r="L1588" s="100"/>
      <c r="M1588" s="100"/>
      <c r="N1588" s="100"/>
      <c r="O1588" s="100"/>
      <c r="P1588" s="100"/>
    </row>
    <row r="1589">
      <c r="A1589" s="107">
        <v>202412.0</v>
      </c>
      <c r="B1589" s="108" t="s">
        <v>85</v>
      </c>
      <c r="C1589" s="108" t="s">
        <v>519</v>
      </c>
      <c r="D1589" s="112" t="s">
        <v>187</v>
      </c>
      <c r="E1589" s="112">
        <v>180.0</v>
      </c>
      <c r="F1589" s="111" t="str">
        <f>DataPull!D1589</f>
        <v/>
      </c>
      <c r="G1589" s="94" t="str">
        <f t="shared" si="2"/>
        <v/>
      </c>
      <c r="H1589" s="94" t="str">
        <f t="shared" si="3"/>
        <v/>
      </c>
      <c r="I1589" s="94" t="str">
        <f t="shared" ref="I1589:J1589" si="1590">if(G1589 = "", , -G1589)</f>
        <v/>
      </c>
      <c r="J1589" s="94" t="str">
        <f t="shared" si="1590"/>
        <v/>
      </c>
      <c r="K1589" s="100"/>
      <c r="L1589" s="100"/>
      <c r="N1589" s="100"/>
      <c r="O1589" s="100"/>
      <c r="P1589" s="100"/>
    </row>
    <row r="1590">
      <c r="A1590" s="107">
        <v>202412.0</v>
      </c>
      <c r="B1590" s="108" t="s">
        <v>190</v>
      </c>
      <c r="C1590" s="108" t="s">
        <v>519</v>
      </c>
      <c r="D1590" s="112" t="s">
        <v>181</v>
      </c>
      <c r="E1590" s="112">
        <v>24.8</v>
      </c>
      <c r="F1590" s="111" t="str">
        <f>DataPull!D1590</f>
        <v/>
      </c>
      <c r="G1590" s="94" t="str">
        <f t="shared" si="2"/>
        <v/>
      </c>
      <c r="H1590" s="94" t="str">
        <f t="shared" si="3"/>
        <v/>
      </c>
      <c r="I1590" s="94" t="str">
        <f t="shared" ref="I1590:J1590" si="1591">if(G1590 = "", , -G1590)</f>
        <v/>
      </c>
      <c r="J1590" s="94" t="str">
        <f t="shared" si="1591"/>
        <v/>
      </c>
      <c r="K1590" s="100"/>
      <c r="M1590" s="100"/>
      <c r="N1590" s="100"/>
      <c r="O1590" s="100"/>
      <c r="P1590" s="100"/>
    </row>
    <row r="1591">
      <c r="A1591" s="107">
        <v>202498.0</v>
      </c>
      <c r="B1591" s="108" t="s">
        <v>85</v>
      </c>
      <c r="C1591" s="108" t="s">
        <v>520</v>
      </c>
      <c r="D1591" s="112" t="s">
        <v>181</v>
      </c>
      <c r="E1591" s="112">
        <v>42.0</v>
      </c>
      <c r="F1591" s="111" t="str">
        <f>DataPull!D1591</f>
        <v/>
      </c>
      <c r="G1591" s="94" t="str">
        <f t="shared" si="2"/>
        <v/>
      </c>
      <c r="H1591" s="94" t="str">
        <f t="shared" si="3"/>
        <v/>
      </c>
      <c r="I1591" s="94" t="str">
        <f t="shared" ref="I1591:J1591" si="1592">if(G1591 = "", , -G1591)</f>
        <v/>
      </c>
      <c r="J1591" s="94" t="str">
        <f t="shared" si="1592"/>
        <v/>
      </c>
      <c r="K1591" s="100"/>
      <c r="M1591" s="100"/>
      <c r="N1591" s="100"/>
      <c r="O1591" s="100"/>
      <c r="P1591" s="100"/>
    </row>
    <row r="1592">
      <c r="A1592" s="107">
        <v>202498.0</v>
      </c>
      <c r="B1592" s="108" t="s">
        <v>90</v>
      </c>
      <c r="C1592" s="108" t="s">
        <v>520</v>
      </c>
      <c r="D1592" s="112" t="s">
        <v>176</v>
      </c>
      <c r="E1592" s="112">
        <v>1488.0</v>
      </c>
      <c r="F1592" s="111" t="str">
        <f>DataPull!D1592</f>
        <v/>
      </c>
      <c r="G1592" s="94" t="str">
        <f t="shared" si="2"/>
        <v/>
      </c>
      <c r="H1592" s="94" t="str">
        <f t="shared" si="3"/>
        <v/>
      </c>
      <c r="I1592" s="94" t="str">
        <f t="shared" ref="I1592:J1592" si="1593">if(G1592 = "", , -G1592)</f>
        <v/>
      </c>
      <c r="J1592" s="94" t="str">
        <f t="shared" si="1593"/>
        <v/>
      </c>
      <c r="K1592" s="100"/>
      <c r="M1592" s="100"/>
      <c r="N1592" s="100"/>
      <c r="O1592" s="100"/>
      <c r="P1592" s="100"/>
    </row>
    <row r="1593">
      <c r="A1593" s="107">
        <v>202498.0</v>
      </c>
      <c r="B1593" s="108" t="s">
        <v>92</v>
      </c>
      <c r="C1593" s="108" t="s">
        <v>520</v>
      </c>
      <c r="D1593" s="112" t="s">
        <v>176</v>
      </c>
      <c r="E1593" s="112">
        <v>1315.7</v>
      </c>
      <c r="F1593" s="111" t="str">
        <f>DataPull!D1593</f>
        <v/>
      </c>
      <c r="G1593" s="94" t="str">
        <f t="shared" si="2"/>
        <v/>
      </c>
      <c r="H1593" s="94" t="str">
        <f t="shared" si="3"/>
        <v/>
      </c>
      <c r="I1593" s="94" t="str">
        <f t="shared" ref="I1593:J1593" si="1594">if(G1593 = "", , -G1593)</f>
        <v/>
      </c>
      <c r="J1593" s="94" t="str">
        <f t="shared" si="1594"/>
        <v/>
      </c>
      <c r="K1593" s="100"/>
      <c r="M1593" s="100"/>
      <c r="N1593" s="100"/>
      <c r="O1593" s="100"/>
      <c r="P1593" s="100"/>
    </row>
    <row r="1594">
      <c r="A1594" s="107">
        <v>202498.0</v>
      </c>
      <c r="B1594" s="108" t="s">
        <v>190</v>
      </c>
      <c r="C1594" s="108" t="s">
        <v>520</v>
      </c>
      <c r="D1594" s="112" t="s">
        <v>176</v>
      </c>
      <c r="E1594" s="112">
        <v>966.0</v>
      </c>
      <c r="F1594" s="111" t="str">
        <f>DataPull!D1594</f>
        <v/>
      </c>
      <c r="G1594" s="94" t="str">
        <f t="shared" si="2"/>
        <v/>
      </c>
      <c r="H1594" s="94" t="str">
        <f t="shared" si="3"/>
        <v/>
      </c>
      <c r="I1594" s="94" t="str">
        <f t="shared" ref="I1594:J1594" si="1595">if(G1594 = "", , -G1594)</f>
        <v/>
      </c>
      <c r="J1594" s="94" t="str">
        <f t="shared" si="1595"/>
        <v/>
      </c>
      <c r="K1594" s="100"/>
      <c r="M1594" s="100"/>
      <c r="N1594" s="100"/>
      <c r="O1594" s="100"/>
      <c r="P1594" s="100"/>
    </row>
    <row r="1595">
      <c r="A1595" s="107">
        <v>202498.0</v>
      </c>
      <c r="B1595" s="108" t="s">
        <v>191</v>
      </c>
      <c r="C1595" s="108" t="s">
        <v>520</v>
      </c>
      <c r="D1595" s="112" t="s">
        <v>177</v>
      </c>
      <c r="E1595" s="112">
        <v>1350.5</v>
      </c>
      <c r="F1595" s="111" t="str">
        <f>DataPull!D1595</f>
        <v/>
      </c>
      <c r="G1595" s="94" t="str">
        <f t="shared" si="2"/>
        <v/>
      </c>
      <c r="H1595" s="94" t="str">
        <f t="shared" si="3"/>
        <v/>
      </c>
      <c r="I1595" s="94" t="str">
        <f t="shared" ref="I1595:J1595" si="1596">if(G1595 = "", , -G1595)</f>
        <v/>
      </c>
      <c r="J1595" s="94" t="str">
        <f t="shared" si="1596"/>
        <v/>
      </c>
      <c r="K1595" s="100"/>
      <c r="M1595" s="100"/>
      <c r="N1595" s="100"/>
      <c r="O1595" s="100"/>
      <c r="P1595" s="100"/>
    </row>
    <row r="1596">
      <c r="A1596" s="107">
        <v>202498.0</v>
      </c>
      <c r="B1596" s="108" t="s">
        <v>192</v>
      </c>
      <c r="C1596" s="108" t="s">
        <v>520</v>
      </c>
      <c r="D1596" s="112" t="s">
        <v>177</v>
      </c>
      <c r="E1596" s="112">
        <v>782.0</v>
      </c>
      <c r="F1596" s="111" t="str">
        <f>DataPull!D1596</f>
        <v/>
      </c>
      <c r="G1596" s="94" t="str">
        <f t="shared" si="2"/>
        <v/>
      </c>
      <c r="H1596" s="94" t="str">
        <f t="shared" si="3"/>
        <v/>
      </c>
      <c r="I1596" s="94" t="str">
        <f t="shared" ref="I1596:J1596" si="1597">if(G1596 = "", , -G1596)</f>
        <v/>
      </c>
      <c r="J1596" s="94" t="str">
        <f t="shared" si="1597"/>
        <v/>
      </c>
      <c r="K1596" s="100"/>
      <c r="L1596" s="100"/>
      <c r="N1596" s="100"/>
      <c r="O1596" s="100"/>
      <c r="P1596" s="100"/>
    </row>
    <row r="1597">
      <c r="A1597" s="107">
        <v>202498.0</v>
      </c>
      <c r="B1597" s="108" t="s">
        <v>193</v>
      </c>
      <c r="C1597" s="108" t="s">
        <v>520</v>
      </c>
      <c r="D1597" s="112" t="s">
        <v>181</v>
      </c>
      <c r="E1597" s="112">
        <v>98.0</v>
      </c>
      <c r="F1597" s="111" t="str">
        <f>DataPull!D1597</f>
        <v/>
      </c>
      <c r="G1597" s="94" t="str">
        <f t="shared" si="2"/>
        <v/>
      </c>
      <c r="H1597" s="94" t="str">
        <f t="shared" si="3"/>
        <v/>
      </c>
      <c r="I1597" s="94" t="str">
        <f t="shared" ref="I1597:J1597" si="1598">if(G1597 = "", , -G1597)</f>
        <v/>
      </c>
      <c r="J1597" s="94" t="str">
        <f t="shared" si="1598"/>
        <v/>
      </c>
      <c r="K1597" s="100"/>
      <c r="M1597" s="100"/>
      <c r="N1597" s="100"/>
      <c r="O1597" s="100"/>
      <c r="P1597" s="100"/>
    </row>
    <row r="1598">
      <c r="A1598" s="107">
        <v>202620.0</v>
      </c>
      <c r="B1598" s="108" t="s">
        <v>85</v>
      </c>
      <c r="C1598" s="108" t="s">
        <v>521</v>
      </c>
      <c r="D1598" s="112" t="s">
        <v>181</v>
      </c>
      <c r="E1598" s="112">
        <v>30.0</v>
      </c>
      <c r="F1598" s="111" t="str">
        <f>DataPull!D1598</f>
        <v/>
      </c>
      <c r="G1598" s="94" t="str">
        <f t="shared" si="2"/>
        <v/>
      </c>
      <c r="H1598" s="94" t="str">
        <f t="shared" si="3"/>
        <v/>
      </c>
      <c r="I1598" s="94" t="str">
        <f t="shared" ref="I1598:J1598" si="1599">if(G1598 = "", , -G1598)</f>
        <v/>
      </c>
      <c r="J1598" s="94" t="str">
        <f t="shared" si="1599"/>
        <v/>
      </c>
      <c r="K1598" s="100"/>
      <c r="M1598" s="100"/>
      <c r="N1598" s="100"/>
      <c r="O1598" s="100"/>
      <c r="P1598" s="100"/>
    </row>
    <row r="1599">
      <c r="A1599" s="107">
        <v>202620.0</v>
      </c>
      <c r="B1599" s="108" t="s">
        <v>90</v>
      </c>
      <c r="C1599" s="108" t="s">
        <v>521</v>
      </c>
      <c r="D1599" s="112" t="s">
        <v>181</v>
      </c>
      <c r="E1599" s="112">
        <v>68.4</v>
      </c>
      <c r="F1599" s="111" t="str">
        <f>DataPull!D1599</f>
        <v/>
      </c>
      <c r="G1599" s="94" t="str">
        <f t="shared" si="2"/>
        <v/>
      </c>
      <c r="H1599" s="94" t="str">
        <f t="shared" si="3"/>
        <v/>
      </c>
      <c r="I1599" s="94" t="str">
        <f t="shared" ref="I1599:J1599" si="1600">if(G1599 = "", , -G1599)</f>
        <v/>
      </c>
      <c r="J1599" s="94" t="str">
        <f t="shared" si="1600"/>
        <v/>
      </c>
      <c r="K1599" s="100"/>
      <c r="M1599" s="100"/>
      <c r="N1599" s="100"/>
      <c r="O1599" s="100"/>
      <c r="P1599" s="100"/>
    </row>
    <row r="1600">
      <c r="A1600" s="107">
        <v>202620.0</v>
      </c>
      <c r="B1600" s="108" t="s">
        <v>190</v>
      </c>
      <c r="C1600" s="108" t="s">
        <v>521</v>
      </c>
      <c r="D1600" s="112" t="s">
        <v>181</v>
      </c>
      <c r="E1600" s="112">
        <v>28.0</v>
      </c>
      <c r="F1600" s="111" t="str">
        <f>DataPull!D1600</f>
        <v/>
      </c>
      <c r="G1600" s="94" t="str">
        <f t="shared" si="2"/>
        <v/>
      </c>
      <c r="H1600" s="94" t="str">
        <f t="shared" si="3"/>
        <v/>
      </c>
      <c r="I1600" s="94" t="str">
        <f t="shared" ref="I1600:J1600" si="1601">if(G1600 = "", , -G1600)</f>
        <v/>
      </c>
      <c r="J1600" s="94" t="str">
        <f t="shared" si="1601"/>
        <v/>
      </c>
      <c r="K1600" s="100"/>
      <c r="M1600" s="100"/>
      <c r="N1600" s="100"/>
      <c r="O1600" s="100"/>
      <c r="P1600" s="100"/>
    </row>
    <row r="1601">
      <c r="A1601" s="107">
        <v>202681.0</v>
      </c>
      <c r="B1601" s="108" t="s">
        <v>85</v>
      </c>
      <c r="C1601" s="108" t="s">
        <v>522</v>
      </c>
      <c r="D1601" s="112" t="s">
        <v>178</v>
      </c>
      <c r="E1601" s="112">
        <v>2499.2</v>
      </c>
      <c r="F1601" s="111" t="str">
        <f>DataPull!D1601</f>
        <v/>
      </c>
      <c r="G1601" s="94" t="str">
        <f t="shared" si="2"/>
        <v/>
      </c>
      <c r="H1601" s="94" t="str">
        <f t="shared" si="3"/>
        <v/>
      </c>
      <c r="I1601" s="94" t="str">
        <f t="shared" ref="I1601:J1601" si="1602">if(G1601 = "", , -G1601)</f>
        <v/>
      </c>
      <c r="J1601" s="94" t="str">
        <f t="shared" si="1602"/>
        <v/>
      </c>
      <c r="K1601" s="100"/>
      <c r="M1601" s="100"/>
      <c r="N1601" s="100"/>
      <c r="O1601" s="100"/>
      <c r="P1601" s="100"/>
    </row>
    <row r="1602">
      <c r="A1602" s="107">
        <v>202681.0</v>
      </c>
      <c r="B1602" s="108" t="s">
        <v>90</v>
      </c>
      <c r="C1602" s="108" t="s">
        <v>522</v>
      </c>
      <c r="D1602" s="112" t="s">
        <v>178</v>
      </c>
      <c r="E1602" s="112">
        <v>2730.0</v>
      </c>
      <c r="F1602" s="111" t="str">
        <f>DataPull!D1602</f>
        <v/>
      </c>
      <c r="G1602" s="94" t="str">
        <f t="shared" si="2"/>
        <v/>
      </c>
      <c r="H1602" s="94" t="str">
        <f t="shared" si="3"/>
        <v/>
      </c>
      <c r="I1602" s="94" t="str">
        <f t="shared" ref="I1602:J1602" si="1603">if(G1602 = "", , -G1602)</f>
        <v/>
      </c>
      <c r="J1602" s="94" t="str">
        <f t="shared" si="1603"/>
        <v/>
      </c>
      <c r="K1602" s="100"/>
      <c r="M1602" s="100"/>
      <c r="N1602" s="100"/>
      <c r="O1602" s="100"/>
      <c r="P1602" s="100"/>
    </row>
    <row r="1603">
      <c r="A1603" s="107">
        <v>202681.0</v>
      </c>
      <c r="B1603" s="108" t="s">
        <v>92</v>
      </c>
      <c r="C1603" s="108" t="s">
        <v>522</v>
      </c>
      <c r="D1603" s="112" t="s">
        <v>184</v>
      </c>
      <c r="E1603" s="112">
        <v>1669.5</v>
      </c>
      <c r="F1603" s="111" t="str">
        <f>DataPull!D1603</f>
        <v/>
      </c>
      <c r="G1603" s="94" t="str">
        <f t="shared" si="2"/>
        <v/>
      </c>
      <c r="H1603" s="94" t="str">
        <f t="shared" si="3"/>
        <v/>
      </c>
      <c r="I1603" s="94" t="str">
        <f t="shared" ref="I1603:J1603" si="1604">if(G1603 = "", , -G1603)</f>
        <v/>
      </c>
      <c r="J1603" s="94" t="str">
        <f t="shared" si="1604"/>
        <v/>
      </c>
      <c r="K1603" s="100"/>
      <c r="M1603" s="100"/>
      <c r="N1603" s="100"/>
      <c r="O1603" s="100"/>
      <c r="P1603" s="100"/>
    </row>
    <row r="1604">
      <c r="A1604" s="107">
        <v>202681.0</v>
      </c>
      <c r="B1604" s="108" t="s">
        <v>190</v>
      </c>
      <c r="C1604" s="108" t="s">
        <v>522</v>
      </c>
      <c r="D1604" s="112" t="s">
        <v>184</v>
      </c>
      <c r="E1604" s="112">
        <v>2527.2</v>
      </c>
      <c r="F1604" s="111" t="str">
        <f>DataPull!D1604</f>
        <v/>
      </c>
      <c r="G1604" s="94" t="str">
        <f t="shared" si="2"/>
        <v/>
      </c>
      <c r="H1604" s="94" t="str">
        <f t="shared" si="3"/>
        <v/>
      </c>
      <c r="I1604" s="94" t="str">
        <f t="shared" ref="I1604:J1604" si="1605">if(G1604 = "", , -G1604)</f>
        <v/>
      </c>
      <c r="J1604" s="94" t="str">
        <f t="shared" si="1605"/>
        <v/>
      </c>
      <c r="K1604" s="100"/>
      <c r="M1604" s="100"/>
      <c r="N1604" s="100"/>
      <c r="O1604" s="100"/>
      <c r="P1604" s="100"/>
    </row>
    <row r="1605">
      <c r="A1605" s="107">
        <v>202681.0</v>
      </c>
      <c r="B1605" s="108" t="s">
        <v>191</v>
      </c>
      <c r="C1605" s="108" t="s">
        <v>522</v>
      </c>
      <c r="D1605" s="112" t="s">
        <v>184</v>
      </c>
      <c r="E1605" s="112">
        <v>1932.0</v>
      </c>
      <c r="F1605" s="111" t="str">
        <f>DataPull!D1605</f>
        <v/>
      </c>
      <c r="G1605" s="94" t="str">
        <f t="shared" si="2"/>
        <v/>
      </c>
      <c r="H1605" s="94" t="str">
        <f t="shared" si="3"/>
        <v/>
      </c>
      <c r="I1605" s="94" t="str">
        <f t="shared" ref="I1605:J1605" si="1606">if(G1605 = "", , -G1605)</f>
        <v/>
      </c>
      <c r="J1605" s="94" t="str">
        <f t="shared" si="1606"/>
        <v/>
      </c>
      <c r="K1605" s="100"/>
      <c r="M1605" s="100"/>
      <c r="N1605" s="100"/>
      <c r="O1605" s="100"/>
      <c r="P1605" s="100"/>
    </row>
    <row r="1606">
      <c r="A1606" s="107">
        <v>202681.0</v>
      </c>
      <c r="B1606" s="108" t="s">
        <v>192</v>
      </c>
      <c r="C1606" s="108" t="s">
        <v>522</v>
      </c>
      <c r="D1606" s="112" t="s">
        <v>184</v>
      </c>
      <c r="E1606" s="112">
        <v>2211.0</v>
      </c>
      <c r="F1606" s="111" t="str">
        <f>DataPull!D1606</f>
        <v/>
      </c>
      <c r="G1606" s="94" t="str">
        <f t="shared" si="2"/>
        <v/>
      </c>
      <c r="H1606" s="94" t="str">
        <f t="shared" si="3"/>
        <v/>
      </c>
      <c r="I1606" s="94" t="str">
        <f t="shared" ref="I1606:J1606" si="1607">if(G1606 = "", , -G1606)</f>
        <v/>
      </c>
      <c r="J1606" s="94" t="str">
        <f t="shared" si="1607"/>
        <v/>
      </c>
      <c r="K1606" s="100"/>
      <c r="M1606" s="100"/>
      <c r="N1606" s="100"/>
      <c r="O1606" s="100"/>
      <c r="P1606" s="100"/>
    </row>
    <row r="1607">
      <c r="A1607" s="107">
        <v>202681.0</v>
      </c>
      <c r="B1607" s="108" t="s">
        <v>193</v>
      </c>
      <c r="C1607" s="108" t="s">
        <v>522</v>
      </c>
      <c r="D1607" s="112" t="s">
        <v>184</v>
      </c>
      <c r="E1607" s="112">
        <v>658.0</v>
      </c>
      <c r="F1607" s="111" t="str">
        <f>DataPull!D1607</f>
        <v/>
      </c>
      <c r="G1607" s="94" t="str">
        <f t="shared" si="2"/>
        <v/>
      </c>
      <c r="H1607" s="94" t="str">
        <f t="shared" si="3"/>
        <v/>
      </c>
      <c r="I1607" s="94" t="str">
        <f t="shared" ref="I1607:J1607" si="1608">if(G1607 = "", , -G1607)</f>
        <v/>
      </c>
      <c r="J1607" s="94" t="str">
        <f t="shared" si="1608"/>
        <v/>
      </c>
      <c r="K1607" s="100"/>
      <c r="M1607" s="100"/>
      <c r="N1607" s="100"/>
      <c r="O1607" s="100"/>
      <c r="P1607" s="100"/>
    </row>
    <row r="1608">
      <c r="A1608" s="107">
        <v>202681.0</v>
      </c>
      <c r="B1608" s="108" t="s">
        <v>243</v>
      </c>
      <c r="C1608" s="108" t="s">
        <v>522</v>
      </c>
      <c r="D1608" s="112" t="s">
        <v>184</v>
      </c>
      <c r="E1608" s="112">
        <v>1884.6</v>
      </c>
      <c r="F1608" s="111" t="str">
        <f>DataPull!D1608</f>
        <v/>
      </c>
      <c r="G1608" s="94" t="str">
        <f t="shared" si="2"/>
        <v/>
      </c>
      <c r="H1608" s="94" t="str">
        <f t="shared" si="3"/>
        <v/>
      </c>
      <c r="I1608" s="94" t="str">
        <f t="shared" ref="I1608:J1608" si="1609">if(G1608 = "", , -G1608)</f>
        <v/>
      </c>
      <c r="J1608" s="94" t="str">
        <f t="shared" si="1609"/>
        <v/>
      </c>
      <c r="K1608" s="100"/>
      <c r="N1608" s="100"/>
      <c r="O1608" s="100"/>
      <c r="P1608" s="100"/>
    </row>
    <row r="1609">
      <c r="A1609" s="107">
        <v>202681.0</v>
      </c>
      <c r="B1609" s="108" t="s">
        <v>215</v>
      </c>
      <c r="C1609" s="108" t="s">
        <v>522</v>
      </c>
      <c r="D1609" s="112" t="s">
        <v>184</v>
      </c>
      <c r="E1609" s="112">
        <v>1090.4</v>
      </c>
      <c r="F1609" s="111" t="str">
        <f>DataPull!D1609</f>
        <v/>
      </c>
      <c r="G1609" s="94" t="str">
        <f t="shared" si="2"/>
        <v/>
      </c>
      <c r="H1609" s="94" t="str">
        <f t="shared" si="3"/>
        <v/>
      </c>
      <c r="I1609" s="94" t="str">
        <f t="shared" ref="I1609:J1609" si="1610">if(G1609 = "", , -G1609)</f>
        <v/>
      </c>
      <c r="J1609" s="94" t="str">
        <f t="shared" si="1610"/>
        <v/>
      </c>
      <c r="K1609" s="100"/>
      <c r="N1609" s="100"/>
      <c r="O1609" s="100"/>
      <c r="P1609" s="100"/>
    </row>
    <row r="1610">
      <c r="A1610" s="107">
        <v>202681.0</v>
      </c>
      <c r="B1610" s="108" t="s">
        <v>244</v>
      </c>
      <c r="C1610" s="108" t="s">
        <v>522</v>
      </c>
      <c r="D1610" s="112" t="s">
        <v>184</v>
      </c>
      <c r="E1610" s="112">
        <v>2238.0</v>
      </c>
      <c r="F1610" s="111" t="str">
        <f>DataPull!D1610</f>
        <v/>
      </c>
      <c r="G1610" s="94" t="str">
        <f t="shared" si="2"/>
        <v/>
      </c>
      <c r="H1610" s="94" t="str">
        <f t="shared" si="3"/>
        <v/>
      </c>
      <c r="I1610" s="94" t="str">
        <f t="shared" ref="I1610:J1610" si="1611">if(G1610 = "", , -G1610)</f>
        <v/>
      </c>
      <c r="J1610" s="94" t="str">
        <f t="shared" si="1611"/>
        <v/>
      </c>
      <c r="K1610" s="100"/>
      <c r="M1610" s="100"/>
      <c r="N1610" s="100"/>
      <c r="O1610" s="100"/>
      <c r="P1610" s="100"/>
    </row>
    <row r="1611">
      <c r="A1611" s="107">
        <v>202681.0</v>
      </c>
      <c r="B1611" s="108" t="s">
        <v>245</v>
      </c>
      <c r="C1611" s="108" t="s">
        <v>522</v>
      </c>
      <c r="D1611" s="112" t="s">
        <v>184</v>
      </c>
      <c r="E1611" s="112">
        <v>2030.0</v>
      </c>
      <c r="F1611" s="111" t="str">
        <f>DataPull!D1611</f>
        <v/>
      </c>
      <c r="G1611" s="94" t="str">
        <f t="shared" si="2"/>
        <v/>
      </c>
      <c r="H1611" s="94" t="str">
        <f t="shared" si="3"/>
        <v/>
      </c>
      <c r="I1611" s="94" t="str">
        <f t="shared" ref="I1611:J1611" si="1612">if(G1611 = "", , -G1611)</f>
        <v/>
      </c>
      <c r="J1611" s="94" t="str">
        <f t="shared" si="1612"/>
        <v/>
      </c>
      <c r="K1611" s="100"/>
      <c r="M1611" s="100"/>
      <c r="N1611" s="100"/>
      <c r="O1611" s="100"/>
      <c r="P1611" s="100"/>
    </row>
    <row r="1612">
      <c r="A1612" s="107">
        <v>202681.0</v>
      </c>
      <c r="B1612" s="108" t="s">
        <v>246</v>
      </c>
      <c r="C1612" s="108" t="s">
        <v>522</v>
      </c>
      <c r="D1612" s="112" t="s">
        <v>184</v>
      </c>
      <c r="E1612" s="112">
        <v>1805.0</v>
      </c>
      <c r="F1612" s="111" t="str">
        <f>DataPull!D1612</f>
        <v/>
      </c>
      <c r="G1612" s="94" t="str">
        <f t="shared" si="2"/>
        <v/>
      </c>
      <c r="H1612" s="94" t="str">
        <f t="shared" si="3"/>
        <v/>
      </c>
      <c r="I1612" s="94" t="str">
        <f t="shared" ref="I1612:J1612" si="1613">if(G1612 = "", , -G1612)</f>
        <v/>
      </c>
      <c r="J1612" s="94" t="str">
        <f t="shared" si="1613"/>
        <v/>
      </c>
      <c r="K1612" s="100"/>
      <c r="M1612" s="100"/>
      <c r="N1612" s="100"/>
      <c r="O1612" s="100"/>
      <c r="P1612" s="100"/>
    </row>
    <row r="1613">
      <c r="A1613" s="107">
        <v>202682.0</v>
      </c>
      <c r="B1613" s="108" t="s">
        <v>85</v>
      </c>
      <c r="C1613" s="108" t="s">
        <v>523</v>
      </c>
      <c r="D1613" s="112" t="s">
        <v>176</v>
      </c>
      <c r="E1613" s="112">
        <v>1817.4</v>
      </c>
      <c r="F1613" s="111" t="str">
        <f>DataPull!D1613</f>
        <v/>
      </c>
      <c r="G1613" s="94" t="str">
        <f t="shared" si="2"/>
        <v/>
      </c>
      <c r="H1613" s="94" t="str">
        <f t="shared" si="3"/>
        <v/>
      </c>
      <c r="I1613" s="94" t="str">
        <f t="shared" ref="I1613:J1613" si="1614">if(G1613 = "", , -G1613)</f>
        <v/>
      </c>
      <c r="J1613" s="94" t="str">
        <f t="shared" si="1614"/>
        <v/>
      </c>
      <c r="K1613" s="100"/>
      <c r="M1613" s="100"/>
      <c r="N1613" s="100"/>
      <c r="O1613" s="100"/>
      <c r="P1613" s="100"/>
    </row>
    <row r="1614">
      <c r="A1614" s="107">
        <v>202682.0</v>
      </c>
      <c r="B1614" s="108" t="s">
        <v>90</v>
      </c>
      <c r="C1614" s="108" t="s">
        <v>523</v>
      </c>
      <c r="D1614" s="112" t="s">
        <v>177</v>
      </c>
      <c r="E1614" s="112">
        <v>1465.2</v>
      </c>
      <c r="F1614" s="111" t="str">
        <f>DataPull!D1614</f>
        <v/>
      </c>
      <c r="G1614" s="94" t="str">
        <f t="shared" si="2"/>
        <v/>
      </c>
      <c r="H1614" s="94" t="str">
        <f t="shared" si="3"/>
        <v/>
      </c>
      <c r="I1614" s="94" t="str">
        <f t="shared" ref="I1614:J1614" si="1615">if(G1614 = "", , -G1614)</f>
        <v/>
      </c>
      <c r="J1614" s="94" t="str">
        <f t="shared" si="1615"/>
        <v/>
      </c>
      <c r="K1614" s="100"/>
      <c r="M1614" s="100"/>
      <c r="N1614" s="100"/>
      <c r="O1614" s="100"/>
      <c r="P1614" s="100"/>
    </row>
    <row r="1615">
      <c r="A1615" s="107">
        <v>202682.0</v>
      </c>
      <c r="B1615" s="108" t="s">
        <v>92</v>
      </c>
      <c r="C1615" s="108" t="s">
        <v>523</v>
      </c>
      <c r="D1615" s="112" t="s">
        <v>177</v>
      </c>
      <c r="E1615" s="112">
        <v>1432.0</v>
      </c>
      <c r="F1615" s="111" t="str">
        <f>DataPull!D1615</f>
        <v/>
      </c>
      <c r="G1615" s="94" t="str">
        <f t="shared" si="2"/>
        <v/>
      </c>
      <c r="H1615" s="94" t="str">
        <f t="shared" si="3"/>
        <v/>
      </c>
      <c r="I1615" s="94" t="str">
        <f t="shared" ref="I1615:J1615" si="1616">if(G1615 = "", , -G1615)</f>
        <v/>
      </c>
      <c r="J1615" s="94" t="str">
        <f t="shared" si="1616"/>
        <v/>
      </c>
      <c r="K1615" s="100"/>
      <c r="M1615" s="100"/>
      <c r="N1615" s="100"/>
      <c r="O1615" s="100"/>
      <c r="P1615" s="100"/>
    </row>
    <row r="1616">
      <c r="A1616" s="107">
        <v>202682.0</v>
      </c>
      <c r="B1616" s="108" t="s">
        <v>190</v>
      </c>
      <c r="C1616" s="108" t="s">
        <v>523</v>
      </c>
      <c r="D1616" s="112" t="s">
        <v>177</v>
      </c>
      <c r="E1616" s="112">
        <v>805.0</v>
      </c>
      <c r="F1616" s="111" t="str">
        <f>DataPull!D1616</f>
        <v/>
      </c>
      <c r="G1616" s="94" t="str">
        <f t="shared" si="2"/>
        <v/>
      </c>
      <c r="H1616" s="94" t="str">
        <f t="shared" si="3"/>
        <v/>
      </c>
      <c r="I1616" s="94" t="str">
        <f t="shared" ref="I1616:J1616" si="1617">if(G1616 = "", , -G1616)</f>
        <v/>
      </c>
      <c r="J1616" s="94" t="str">
        <f t="shared" si="1617"/>
        <v/>
      </c>
      <c r="K1616" s="100"/>
      <c r="M1616" s="100"/>
      <c r="N1616" s="100"/>
      <c r="O1616" s="100"/>
      <c r="P1616" s="100"/>
    </row>
    <row r="1617">
      <c r="A1617" s="107">
        <v>202682.0</v>
      </c>
      <c r="B1617" s="108" t="s">
        <v>191</v>
      </c>
      <c r="C1617" s="108" t="s">
        <v>523</v>
      </c>
      <c r="D1617" s="112" t="s">
        <v>181</v>
      </c>
      <c r="E1617" s="112">
        <v>8.6</v>
      </c>
      <c r="F1617" s="111" t="str">
        <f>DataPull!D1617</f>
        <v/>
      </c>
      <c r="G1617" s="94" t="str">
        <f t="shared" si="2"/>
        <v/>
      </c>
      <c r="H1617" s="94" t="str">
        <f t="shared" si="3"/>
        <v/>
      </c>
      <c r="I1617" s="94" t="str">
        <f t="shared" ref="I1617:J1617" si="1618">if(G1617 = "", , -G1617)</f>
        <v/>
      </c>
      <c r="J1617" s="94" t="str">
        <f t="shared" si="1618"/>
        <v/>
      </c>
      <c r="K1617" s="100"/>
      <c r="M1617" s="100"/>
      <c r="N1617" s="100"/>
      <c r="O1617" s="100"/>
      <c r="P1617" s="100"/>
    </row>
    <row r="1618">
      <c r="A1618" s="107">
        <v>202683.0</v>
      </c>
      <c r="B1618" s="108" t="s">
        <v>85</v>
      </c>
      <c r="C1618" s="108" t="s">
        <v>524</v>
      </c>
      <c r="D1618" s="112" t="s">
        <v>176</v>
      </c>
      <c r="E1618" s="112">
        <v>2136.0</v>
      </c>
      <c r="F1618" s="111" t="str">
        <f>DataPull!D1618</f>
        <v/>
      </c>
      <c r="G1618" s="94" t="str">
        <f t="shared" si="2"/>
        <v/>
      </c>
      <c r="H1618" s="94" t="str">
        <f t="shared" si="3"/>
        <v/>
      </c>
      <c r="I1618" s="94" t="str">
        <f t="shared" ref="I1618:J1618" si="1619">if(G1618 = "", , -G1618)</f>
        <v/>
      </c>
      <c r="J1618" s="94" t="str">
        <f t="shared" si="1619"/>
        <v/>
      </c>
      <c r="K1618" s="100"/>
      <c r="M1618" s="100"/>
      <c r="N1618" s="100"/>
      <c r="O1618" s="100"/>
      <c r="P1618" s="100"/>
    </row>
    <row r="1619">
      <c r="A1619" s="107">
        <v>202683.0</v>
      </c>
      <c r="B1619" s="108" t="s">
        <v>90</v>
      </c>
      <c r="C1619" s="108" t="s">
        <v>524</v>
      </c>
      <c r="D1619" s="112" t="s">
        <v>178</v>
      </c>
      <c r="E1619" s="112">
        <v>2137.5</v>
      </c>
      <c r="F1619" s="111" t="str">
        <f>DataPull!D1619</f>
        <v/>
      </c>
      <c r="G1619" s="94" t="str">
        <f t="shared" si="2"/>
        <v/>
      </c>
      <c r="H1619" s="94" t="str">
        <f t="shared" si="3"/>
        <v/>
      </c>
      <c r="I1619" s="94" t="str">
        <f t="shared" ref="I1619:J1619" si="1620">if(G1619 = "", , -G1619)</f>
        <v/>
      </c>
      <c r="J1619" s="94" t="str">
        <f t="shared" si="1620"/>
        <v/>
      </c>
      <c r="K1619" s="100"/>
      <c r="M1619" s="100"/>
      <c r="N1619" s="100"/>
      <c r="O1619" s="100"/>
      <c r="P1619" s="100"/>
    </row>
    <row r="1620">
      <c r="A1620" s="107">
        <v>202683.0</v>
      </c>
      <c r="B1620" s="108" t="s">
        <v>92</v>
      </c>
      <c r="C1620" s="108" t="s">
        <v>524</v>
      </c>
      <c r="D1620" s="112" t="s">
        <v>177</v>
      </c>
      <c r="E1620" s="112">
        <v>1722.0</v>
      </c>
      <c r="F1620" s="111" t="str">
        <f>DataPull!D1620</f>
        <v/>
      </c>
      <c r="G1620" s="94" t="str">
        <f t="shared" si="2"/>
        <v/>
      </c>
      <c r="H1620" s="94" t="str">
        <f t="shared" si="3"/>
        <v/>
      </c>
      <c r="I1620" s="94" t="str">
        <f t="shared" ref="I1620:J1620" si="1621">if(G1620 = "", , -G1620)</f>
        <v/>
      </c>
      <c r="J1620" s="94" t="str">
        <f t="shared" si="1621"/>
        <v/>
      </c>
      <c r="K1620" s="100"/>
      <c r="M1620" s="100"/>
      <c r="N1620" s="100"/>
      <c r="O1620" s="100"/>
      <c r="P1620" s="100"/>
    </row>
    <row r="1621">
      <c r="A1621" s="107">
        <v>202683.0</v>
      </c>
      <c r="B1621" s="108" t="s">
        <v>190</v>
      </c>
      <c r="C1621" s="108" t="s">
        <v>524</v>
      </c>
      <c r="D1621" s="112" t="s">
        <v>178</v>
      </c>
      <c r="E1621" s="112">
        <v>1533.6</v>
      </c>
      <c r="F1621" s="111" t="str">
        <f>DataPull!D1621</f>
        <v/>
      </c>
      <c r="G1621" s="94" t="str">
        <f t="shared" si="2"/>
        <v/>
      </c>
      <c r="H1621" s="94" t="str">
        <f t="shared" si="3"/>
        <v/>
      </c>
      <c r="I1621" s="94" t="str">
        <f t="shared" ref="I1621:J1621" si="1622">if(G1621 = "", , -G1621)</f>
        <v/>
      </c>
      <c r="J1621" s="94" t="str">
        <f t="shared" si="1622"/>
        <v/>
      </c>
      <c r="K1621" s="100"/>
      <c r="M1621" s="100"/>
      <c r="N1621" s="100"/>
      <c r="O1621" s="100"/>
      <c r="P1621" s="100"/>
    </row>
    <row r="1622">
      <c r="A1622" s="107">
        <v>202683.0</v>
      </c>
      <c r="B1622" s="108" t="s">
        <v>191</v>
      </c>
      <c r="C1622" s="108" t="s">
        <v>524</v>
      </c>
      <c r="D1622" s="112" t="s">
        <v>178</v>
      </c>
      <c r="E1622" s="112">
        <v>1831.8</v>
      </c>
      <c r="F1622" s="111" t="str">
        <f>DataPull!D1622</f>
        <v/>
      </c>
      <c r="G1622" s="94" t="str">
        <f t="shared" si="2"/>
        <v/>
      </c>
      <c r="H1622" s="94" t="str">
        <f t="shared" si="3"/>
        <v/>
      </c>
      <c r="I1622" s="94" t="str">
        <f t="shared" ref="I1622:J1622" si="1623">if(G1622 = "", , -G1622)</f>
        <v/>
      </c>
      <c r="J1622" s="94" t="str">
        <f t="shared" si="1623"/>
        <v/>
      </c>
      <c r="K1622" s="100"/>
      <c r="L1622" s="100"/>
      <c r="N1622" s="100"/>
      <c r="O1622" s="100"/>
      <c r="P1622" s="100"/>
    </row>
    <row r="1623">
      <c r="A1623" s="107">
        <v>202683.0</v>
      </c>
      <c r="B1623" s="108" t="s">
        <v>192</v>
      </c>
      <c r="C1623" s="108" t="s">
        <v>524</v>
      </c>
      <c r="D1623" s="112" t="s">
        <v>176</v>
      </c>
      <c r="E1623" s="112">
        <v>1641.5</v>
      </c>
      <c r="F1623" s="111" t="str">
        <f>DataPull!D1623</f>
        <v/>
      </c>
      <c r="G1623" s="94" t="str">
        <f t="shared" si="2"/>
        <v/>
      </c>
      <c r="H1623" s="94" t="str">
        <f t="shared" si="3"/>
        <v/>
      </c>
      <c r="I1623" s="94" t="str">
        <f t="shared" ref="I1623:J1623" si="1624">if(G1623 = "", , -G1623)</f>
        <v/>
      </c>
      <c r="J1623" s="94" t="str">
        <f t="shared" si="1624"/>
        <v/>
      </c>
      <c r="K1623" s="100"/>
      <c r="M1623" s="100"/>
      <c r="N1623" s="100"/>
      <c r="O1623" s="100"/>
      <c r="P1623" s="100"/>
    </row>
    <row r="1624">
      <c r="A1624" s="107">
        <v>202683.0</v>
      </c>
      <c r="B1624" s="108" t="s">
        <v>193</v>
      </c>
      <c r="C1624" s="108" t="s">
        <v>524</v>
      </c>
      <c r="D1624" s="112" t="s">
        <v>177</v>
      </c>
      <c r="E1624" s="112">
        <v>986.0</v>
      </c>
      <c r="F1624" s="111" t="str">
        <f>DataPull!D1624</f>
        <v/>
      </c>
      <c r="G1624" s="94" t="str">
        <f t="shared" si="2"/>
        <v/>
      </c>
      <c r="H1624" s="94" t="str">
        <f t="shared" si="3"/>
        <v/>
      </c>
      <c r="I1624" s="94" t="str">
        <f t="shared" ref="I1624:J1624" si="1625">if(G1624 = "", , -G1624)</f>
        <v/>
      </c>
      <c r="J1624" s="94" t="str">
        <f t="shared" si="1625"/>
        <v/>
      </c>
      <c r="K1624" s="100"/>
      <c r="L1624" s="100"/>
      <c r="M1624" s="100"/>
      <c r="N1624" s="100"/>
      <c r="O1624" s="100"/>
      <c r="P1624" s="100"/>
    </row>
    <row r="1625">
      <c r="A1625" s="107">
        <v>202683.0</v>
      </c>
      <c r="B1625" s="108" t="s">
        <v>243</v>
      </c>
      <c r="C1625" s="108" t="s">
        <v>524</v>
      </c>
      <c r="D1625" s="112" t="s">
        <v>176</v>
      </c>
      <c r="E1625" s="112">
        <v>1756.8</v>
      </c>
      <c r="F1625" s="111" t="str">
        <f>DataPull!D1625</f>
        <v/>
      </c>
      <c r="G1625" s="94" t="str">
        <f t="shared" si="2"/>
        <v/>
      </c>
      <c r="H1625" s="94" t="str">
        <f t="shared" si="3"/>
        <v/>
      </c>
      <c r="I1625" s="94" t="str">
        <f t="shared" ref="I1625:J1625" si="1626">if(G1625 = "", , -G1625)</f>
        <v/>
      </c>
      <c r="J1625" s="94" t="str">
        <f t="shared" si="1626"/>
        <v/>
      </c>
      <c r="K1625" s="100"/>
      <c r="M1625" s="100"/>
      <c r="N1625" s="100"/>
      <c r="O1625" s="100"/>
      <c r="P1625" s="100"/>
    </row>
    <row r="1626">
      <c r="A1626" s="107">
        <v>202683.0</v>
      </c>
      <c r="B1626" s="108" t="s">
        <v>215</v>
      </c>
      <c r="C1626" s="108" t="s">
        <v>524</v>
      </c>
      <c r="D1626" s="112" t="s">
        <v>177</v>
      </c>
      <c r="E1626" s="112">
        <v>413.0</v>
      </c>
      <c r="F1626" s="111" t="str">
        <f>DataPull!D1626</f>
        <v/>
      </c>
      <c r="G1626" s="94" t="str">
        <f t="shared" si="2"/>
        <v/>
      </c>
      <c r="H1626" s="94" t="str">
        <f t="shared" si="3"/>
        <v/>
      </c>
      <c r="I1626" s="94" t="str">
        <f t="shared" ref="I1626:J1626" si="1627">if(G1626 = "", , -G1626)</f>
        <v/>
      </c>
      <c r="J1626" s="94" t="str">
        <f t="shared" si="1627"/>
        <v/>
      </c>
      <c r="K1626" s="100"/>
      <c r="M1626" s="100"/>
      <c r="N1626" s="100"/>
      <c r="O1626" s="100"/>
      <c r="P1626" s="100"/>
    </row>
    <row r="1627">
      <c r="A1627" s="107">
        <v>202684.0</v>
      </c>
      <c r="B1627" s="108" t="s">
        <v>85</v>
      </c>
      <c r="C1627" s="108" t="s">
        <v>525</v>
      </c>
      <c r="D1627" s="112" t="s">
        <v>178</v>
      </c>
      <c r="E1627" s="112">
        <v>2591.2</v>
      </c>
      <c r="F1627" s="111" t="str">
        <f>DataPull!D1627</f>
        <v/>
      </c>
      <c r="G1627" s="94" t="str">
        <f t="shared" si="2"/>
        <v/>
      </c>
      <c r="H1627" s="94" t="str">
        <f t="shared" si="3"/>
        <v/>
      </c>
      <c r="I1627" s="94" t="str">
        <f t="shared" ref="I1627:J1627" si="1628">if(G1627 = "", , -G1627)</f>
        <v/>
      </c>
      <c r="J1627" s="94" t="str">
        <f t="shared" si="1628"/>
        <v/>
      </c>
      <c r="K1627" s="100"/>
      <c r="M1627" s="100"/>
      <c r="N1627" s="100"/>
      <c r="O1627" s="100"/>
      <c r="P1627" s="100"/>
    </row>
    <row r="1628">
      <c r="A1628" s="107">
        <v>202684.0</v>
      </c>
      <c r="B1628" s="108" t="s">
        <v>90</v>
      </c>
      <c r="C1628" s="108" t="s">
        <v>525</v>
      </c>
      <c r="D1628" s="112" t="s">
        <v>178</v>
      </c>
      <c r="E1628" s="112">
        <v>2197.6</v>
      </c>
      <c r="F1628" s="111" t="str">
        <f>DataPull!D1628</f>
        <v/>
      </c>
      <c r="G1628" s="94" t="str">
        <f t="shared" si="2"/>
        <v/>
      </c>
      <c r="H1628" s="94" t="str">
        <f t="shared" si="3"/>
        <v/>
      </c>
      <c r="I1628" s="94" t="str">
        <f t="shared" ref="I1628:J1628" si="1629">if(G1628 = "", , -G1628)</f>
        <v/>
      </c>
      <c r="J1628" s="94" t="str">
        <f t="shared" si="1629"/>
        <v/>
      </c>
      <c r="K1628" s="100"/>
      <c r="M1628" s="100"/>
      <c r="N1628" s="100"/>
      <c r="O1628" s="100"/>
      <c r="P1628" s="100"/>
    </row>
    <row r="1629">
      <c r="A1629" s="107">
        <v>202684.0</v>
      </c>
      <c r="B1629" s="108" t="s">
        <v>92</v>
      </c>
      <c r="C1629" s="108" t="s">
        <v>525</v>
      </c>
      <c r="D1629" s="112" t="s">
        <v>178</v>
      </c>
      <c r="E1629" s="112">
        <v>2271.4</v>
      </c>
      <c r="F1629" s="111" t="str">
        <f>DataPull!D1629</f>
        <v/>
      </c>
      <c r="G1629" s="94" t="str">
        <f t="shared" si="2"/>
        <v/>
      </c>
      <c r="H1629" s="94" t="str">
        <f t="shared" si="3"/>
        <v/>
      </c>
      <c r="I1629" s="94" t="str">
        <f t="shared" ref="I1629:J1629" si="1630">if(G1629 = "", , -G1629)</f>
        <v/>
      </c>
      <c r="J1629" s="94" t="str">
        <f t="shared" si="1630"/>
        <v/>
      </c>
      <c r="K1629" s="100"/>
      <c r="M1629" s="100"/>
      <c r="N1629" s="100"/>
      <c r="O1629" s="100"/>
      <c r="P1629" s="100"/>
    </row>
    <row r="1630">
      <c r="A1630" s="107">
        <v>202684.0</v>
      </c>
      <c r="B1630" s="108" t="s">
        <v>190</v>
      </c>
      <c r="C1630" s="108" t="s">
        <v>525</v>
      </c>
      <c r="D1630" s="112" t="s">
        <v>184</v>
      </c>
      <c r="E1630" s="112">
        <v>2340.0</v>
      </c>
      <c r="F1630" s="111" t="str">
        <f>DataPull!D1630</f>
        <v/>
      </c>
      <c r="G1630" s="94" t="str">
        <f t="shared" si="2"/>
        <v/>
      </c>
      <c r="H1630" s="94" t="str">
        <f t="shared" si="3"/>
        <v/>
      </c>
      <c r="I1630" s="94" t="str">
        <f t="shared" ref="I1630:J1630" si="1631">if(G1630 = "", , -G1630)</f>
        <v/>
      </c>
      <c r="J1630" s="94" t="str">
        <f t="shared" si="1631"/>
        <v/>
      </c>
      <c r="K1630" s="100"/>
      <c r="M1630" s="100"/>
      <c r="N1630" s="100"/>
      <c r="O1630" s="100"/>
      <c r="P1630" s="100"/>
    </row>
    <row r="1631">
      <c r="A1631" s="107">
        <v>202684.0</v>
      </c>
      <c r="B1631" s="108" t="s">
        <v>191</v>
      </c>
      <c r="C1631" s="108" t="s">
        <v>525</v>
      </c>
      <c r="D1631" s="112" t="s">
        <v>177</v>
      </c>
      <c r="E1631" s="112">
        <v>1070.6</v>
      </c>
      <c r="F1631" s="111" t="str">
        <f>DataPull!D1631</f>
        <v/>
      </c>
      <c r="G1631" s="94" t="str">
        <f t="shared" si="2"/>
        <v/>
      </c>
      <c r="H1631" s="94" t="str">
        <f t="shared" si="3"/>
        <v/>
      </c>
      <c r="I1631" s="94" t="str">
        <f t="shared" ref="I1631:J1631" si="1632">if(G1631 = "", , -G1631)</f>
        <v/>
      </c>
      <c r="J1631" s="94" t="str">
        <f t="shared" si="1632"/>
        <v/>
      </c>
      <c r="K1631" s="100"/>
      <c r="L1631" s="100"/>
      <c r="N1631" s="100"/>
      <c r="O1631" s="100"/>
      <c r="P1631" s="100"/>
    </row>
    <row r="1632">
      <c r="A1632" s="107">
        <v>202684.0</v>
      </c>
      <c r="B1632" s="108" t="s">
        <v>192</v>
      </c>
      <c r="C1632" s="108" t="s">
        <v>525</v>
      </c>
      <c r="D1632" s="112" t="s">
        <v>178</v>
      </c>
      <c r="E1632" s="112">
        <v>1199.7</v>
      </c>
      <c r="F1632" s="111" t="str">
        <f>DataPull!D1632</f>
        <v/>
      </c>
      <c r="G1632" s="94" t="str">
        <f t="shared" si="2"/>
        <v/>
      </c>
      <c r="H1632" s="94" t="str">
        <f t="shared" si="3"/>
        <v/>
      </c>
      <c r="I1632" s="94" t="str">
        <f t="shared" ref="I1632:J1632" si="1633">if(G1632 = "", , -G1632)</f>
        <v/>
      </c>
      <c r="J1632" s="94" t="str">
        <f t="shared" si="1633"/>
        <v/>
      </c>
      <c r="K1632" s="100"/>
      <c r="M1632" s="100"/>
      <c r="N1632" s="100"/>
      <c r="O1632" s="100"/>
      <c r="P1632" s="100"/>
    </row>
    <row r="1633">
      <c r="A1633" s="107">
        <v>202684.0</v>
      </c>
      <c r="B1633" s="108" t="s">
        <v>193</v>
      </c>
      <c r="C1633" s="108" t="s">
        <v>525</v>
      </c>
      <c r="D1633" s="112" t="s">
        <v>178</v>
      </c>
      <c r="E1633" s="112">
        <v>1721.4</v>
      </c>
      <c r="F1633" s="111" t="str">
        <f>DataPull!D1633</f>
        <v/>
      </c>
      <c r="G1633" s="94" t="str">
        <f t="shared" si="2"/>
        <v/>
      </c>
      <c r="H1633" s="94" t="str">
        <f t="shared" si="3"/>
        <v/>
      </c>
      <c r="I1633" s="94" t="str">
        <f t="shared" ref="I1633:J1633" si="1634">if(G1633 = "", , -G1633)</f>
        <v/>
      </c>
      <c r="J1633" s="94" t="str">
        <f t="shared" si="1634"/>
        <v/>
      </c>
      <c r="K1633" s="100"/>
      <c r="M1633" s="100"/>
      <c r="N1633" s="100"/>
      <c r="O1633" s="100"/>
      <c r="P1633" s="100"/>
    </row>
    <row r="1634">
      <c r="A1634" s="107">
        <v>202684.0</v>
      </c>
      <c r="B1634" s="108" t="s">
        <v>243</v>
      </c>
      <c r="C1634" s="108" t="s">
        <v>525</v>
      </c>
      <c r="D1634" s="112" t="s">
        <v>176</v>
      </c>
      <c r="E1634" s="112">
        <v>1285.2</v>
      </c>
      <c r="F1634" s="111" t="str">
        <f>DataPull!D1634</f>
        <v/>
      </c>
      <c r="G1634" s="94" t="str">
        <f t="shared" si="2"/>
        <v/>
      </c>
      <c r="H1634" s="94" t="str">
        <f t="shared" si="3"/>
        <v/>
      </c>
      <c r="I1634" s="94" t="str">
        <f t="shared" ref="I1634:J1634" si="1635">if(G1634 = "", , -G1634)</f>
        <v/>
      </c>
      <c r="J1634" s="94" t="str">
        <f t="shared" si="1635"/>
        <v/>
      </c>
      <c r="K1634" s="100"/>
      <c r="M1634" s="100"/>
      <c r="N1634" s="100"/>
      <c r="O1634" s="100"/>
      <c r="P1634" s="100"/>
    </row>
    <row r="1635">
      <c r="A1635" s="107">
        <v>202684.0</v>
      </c>
      <c r="B1635" s="108" t="s">
        <v>215</v>
      </c>
      <c r="C1635" s="108" t="s">
        <v>525</v>
      </c>
      <c r="D1635" s="112" t="s">
        <v>177</v>
      </c>
      <c r="E1635" s="112">
        <v>894.9</v>
      </c>
      <c r="F1635" s="111" t="str">
        <f>DataPull!D1635</f>
        <v/>
      </c>
      <c r="G1635" s="94" t="str">
        <f t="shared" si="2"/>
        <v/>
      </c>
      <c r="H1635" s="94" t="str">
        <f t="shared" si="3"/>
        <v/>
      </c>
      <c r="I1635" s="94" t="str">
        <f t="shared" ref="I1635:J1635" si="1636">if(G1635 = "", , -G1635)</f>
        <v/>
      </c>
      <c r="J1635" s="94" t="str">
        <f t="shared" si="1636"/>
        <v/>
      </c>
      <c r="K1635" s="100"/>
      <c r="M1635" s="100"/>
      <c r="N1635" s="100"/>
      <c r="O1635" s="100"/>
      <c r="P1635" s="100"/>
    </row>
    <row r="1636">
      <c r="A1636" s="107">
        <v>202684.0</v>
      </c>
      <c r="B1636" s="108" t="s">
        <v>245</v>
      </c>
      <c r="C1636" s="108" t="s">
        <v>525</v>
      </c>
      <c r="D1636" s="112" t="s">
        <v>177</v>
      </c>
      <c r="E1636" s="112">
        <v>548.8</v>
      </c>
      <c r="F1636" s="111" t="str">
        <f>DataPull!D1636</f>
        <v/>
      </c>
      <c r="G1636" s="94" t="str">
        <f t="shared" si="2"/>
        <v/>
      </c>
      <c r="H1636" s="94" t="str">
        <f t="shared" si="3"/>
        <v/>
      </c>
      <c r="I1636" s="94" t="str">
        <f t="shared" ref="I1636:J1636" si="1637">if(G1636 = "", , -G1636)</f>
        <v/>
      </c>
      <c r="J1636" s="94" t="str">
        <f t="shared" si="1637"/>
        <v/>
      </c>
      <c r="K1636" s="100"/>
      <c r="M1636" s="100"/>
      <c r="N1636" s="100"/>
      <c r="O1636" s="100"/>
      <c r="P1636" s="100"/>
    </row>
    <row r="1637">
      <c r="A1637" s="107">
        <v>202684.0</v>
      </c>
      <c r="B1637" s="108" t="s">
        <v>246</v>
      </c>
      <c r="C1637" s="108" t="s">
        <v>525</v>
      </c>
      <c r="D1637" s="112" t="s">
        <v>187</v>
      </c>
      <c r="E1637" s="112">
        <v>328.0</v>
      </c>
      <c r="F1637" s="111" t="str">
        <f>DataPull!D1637</f>
        <v/>
      </c>
      <c r="G1637" s="94" t="str">
        <f t="shared" si="2"/>
        <v/>
      </c>
      <c r="H1637" s="94" t="str">
        <f t="shared" si="3"/>
        <v/>
      </c>
      <c r="I1637" s="94" t="str">
        <f t="shared" ref="I1637:J1637" si="1638">if(G1637 = "", , -G1637)</f>
        <v/>
      </c>
      <c r="J1637" s="94" t="str">
        <f t="shared" si="1638"/>
        <v/>
      </c>
      <c r="K1637" s="100"/>
      <c r="L1637" s="100"/>
      <c r="N1637" s="100"/>
      <c r="O1637" s="100"/>
      <c r="P1637" s="100"/>
    </row>
    <row r="1638">
      <c r="A1638" s="107">
        <v>202685.0</v>
      </c>
      <c r="B1638" s="108" t="s">
        <v>85</v>
      </c>
      <c r="C1638" s="108" t="s">
        <v>526</v>
      </c>
      <c r="D1638" s="112" t="s">
        <v>178</v>
      </c>
      <c r="E1638" s="112">
        <v>2284.2</v>
      </c>
      <c r="F1638" s="111" t="str">
        <f>DataPull!D1638</f>
        <v/>
      </c>
      <c r="G1638" s="94" t="str">
        <f t="shared" si="2"/>
        <v/>
      </c>
      <c r="H1638" s="94" t="str">
        <f t="shared" si="3"/>
        <v/>
      </c>
      <c r="I1638" s="94" t="str">
        <f t="shared" ref="I1638:J1638" si="1639">if(G1638 = "", , -G1638)</f>
        <v/>
      </c>
      <c r="J1638" s="94" t="str">
        <f t="shared" si="1639"/>
        <v/>
      </c>
      <c r="K1638" s="100"/>
      <c r="M1638" s="100"/>
      <c r="N1638" s="100"/>
      <c r="O1638" s="100"/>
      <c r="P1638" s="100"/>
    </row>
    <row r="1639">
      <c r="A1639" s="107">
        <v>202685.0</v>
      </c>
      <c r="B1639" s="108" t="s">
        <v>90</v>
      </c>
      <c r="C1639" s="108" t="s">
        <v>526</v>
      </c>
      <c r="D1639" s="112" t="s">
        <v>178</v>
      </c>
      <c r="E1639" s="112">
        <v>2096.0</v>
      </c>
      <c r="F1639" s="111" t="str">
        <f>DataPull!D1639</f>
        <v/>
      </c>
      <c r="G1639" s="94" t="str">
        <f t="shared" si="2"/>
        <v/>
      </c>
      <c r="H1639" s="94" t="str">
        <f t="shared" si="3"/>
        <v/>
      </c>
      <c r="I1639" s="94" t="str">
        <f t="shared" ref="I1639:J1639" si="1640">if(G1639 = "", , -G1639)</f>
        <v/>
      </c>
      <c r="J1639" s="94" t="str">
        <f t="shared" si="1640"/>
        <v/>
      </c>
      <c r="K1639" s="100"/>
      <c r="M1639" s="100"/>
      <c r="N1639" s="100"/>
      <c r="O1639" s="100"/>
      <c r="P1639" s="100"/>
    </row>
    <row r="1640">
      <c r="A1640" s="107">
        <v>202685.0</v>
      </c>
      <c r="B1640" s="108" t="s">
        <v>92</v>
      </c>
      <c r="C1640" s="108" t="s">
        <v>526</v>
      </c>
      <c r="D1640" s="112" t="s">
        <v>178</v>
      </c>
      <c r="E1640" s="112">
        <v>1554.0</v>
      </c>
      <c r="F1640" s="111" t="str">
        <f>DataPull!D1640</f>
        <v/>
      </c>
      <c r="G1640" s="94" t="str">
        <f t="shared" si="2"/>
        <v/>
      </c>
      <c r="H1640" s="94" t="str">
        <f t="shared" si="3"/>
        <v/>
      </c>
      <c r="I1640" s="94" t="str">
        <f t="shared" ref="I1640:J1640" si="1641">if(G1640 = "", , -G1640)</f>
        <v/>
      </c>
      <c r="J1640" s="94" t="str">
        <f t="shared" si="1641"/>
        <v/>
      </c>
      <c r="K1640" s="100"/>
      <c r="L1640" s="100"/>
      <c r="M1640" s="100"/>
      <c r="N1640" s="100"/>
      <c r="O1640" s="100"/>
      <c r="P1640" s="100"/>
    </row>
    <row r="1641">
      <c r="A1641" s="107">
        <v>202685.0</v>
      </c>
      <c r="B1641" s="108" t="s">
        <v>190</v>
      </c>
      <c r="C1641" s="108" t="s">
        <v>526</v>
      </c>
      <c r="D1641" s="112" t="s">
        <v>184</v>
      </c>
      <c r="E1641" s="112">
        <v>2064.0</v>
      </c>
      <c r="F1641" s="111" t="str">
        <f>DataPull!D1641</f>
        <v/>
      </c>
      <c r="G1641" s="94" t="str">
        <f t="shared" si="2"/>
        <v/>
      </c>
      <c r="H1641" s="94" t="str">
        <f t="shared" si="3"/>
        <v/>
      </c>
      <c r="I1641" s="94" t="str">
        <f t="shared" ref="I1641:J1641" si="1642">if(G1641 = "", , -G1641)</f>
        <v/>
      </c>
      <c r="J1641" s="94" t="str">
        <f t="shared" si="1642"/>
        <v/>
      </c>
      <c r="K1641" s="100"/>
      <c r="M1641" s="100"/>
      <c r="N1641" s="100"/>
      <c r="O1641" s="100"/>
      <c r="P1641" s="100"/>
    </row>
    <row r="1642">
      <c r="A1642" s="107">
        <v>202685.0</v>
      </c>
      <c r="B1642" s="108" t="s">
        <v>191</v>
      </c>
      <c r="C1642" s="108" t="s">
        <v>526</v>
      </c>
      <c r="D1642" s="112" t="s">
        <v>184</v>
      </c>
      <c r="E1642" s="112">
        <v>1724.8</v>
      </c>
      <c r="F1642" s="111" t="str">
        <f>DataPull!D1642</f>
        <v/>
      </c>
      <c r="G1642" s="94" t="str">
        <f t="shared" si="2"/>
        <v/>
      </c>
      <c r="H1642" s="94" t="str">
        <f t="shared" si="3"/>
        <v/>
      </c>
      <c r="I1642" s="94" t="str">
        <f t="shared" ref="I1642:J1642" si="1643">if(G1642 = "", , -G1642)</f>
        <v/>
      </c>
      <c r="J1642" s="94" t="str">
        <f t="shared" si="1643"/>
        <v/>
      </c>
      <c r="K1642" s="100"/>
      <c r="M1642" s="100"/>
      <c r="N1642" s="100"/>
      <c r="O1642" s="100"/>
      <c r="P1642" s="100"/>
    </row>
    <row r="1643">
      <c r="A1643" s="107">
        <v>202685.0</v>
      </c>
      <c r="B1643" s="108" t="s">
        <v>192</v>
      </c>
      <c r="C1643" s="108" t="s">
        <v>526</v>
      </c>
      <c r="D1643" s="112" t="s">
        <v>177</v>
      </c>
      <c r="E1643" s="112">
        <v>1092.7</v>
      </c>
      <c r="F1643" s="111" t="str">
        <f>DataPull!D1643</f>
        <v/>
      </c>
      <c r="G1643" s="94" t="str">
        <f t="shared" si="2"/>
        <v/>
      </c>
      <c r="H1643" s="94" t="str">
        <f t="shared" si="3"/>
        <v/>
      </c>
      <c r="I1643" s="94" t="str">
        <f t="shared" ref="I1643:J1643" si="1644">if(G1643 = "", , -G1643)</f>
        <v/>
      </c>
      <c r="J1643" s="94" t="str">
        <f t="shared" si="1644"/>
        <v/>
      </c>
      <c r="K1643" s="100"/>
      <c r="L1643" s="100"/>
      <c r="N1643" s="100"/>
      <c r="O1643" s="100"/>
      <c r="P1643" s="100"/>
    </row>
    <row r="1644">
      <c r="A1644" s="107">
        <v>202685.0</v>
      </c>
      <c r="B1644" s="108" t="s">
        <v>193</v>
      </c>
      <c r="C1644" s="108" t="s">
        <v>526</v>
      </c>
      <c r="D1644" s="112" t="s">
        <v>184</v>
      </c>
      <c r="E1644" s="112">
        <v>1848.0</v>
      </c>
      <c r="F1644" s="111" t="str">
        <f>DataPull!D1644</f>
        <v/>
      </c>
      <c r="G1644" s="94" t="str">
        <f t="shared" si="2"/>
        <v/>
      </c>
      <c r="H1644" s="94" t="str">
        <f t="shared" si="3"/>
        <v/>
      </c>
      <c r="I1644" s="94" t="str">
        <f t="shared" ref="I1644:J1644" si="1645">if(G1644 = "", , -G1644)</f>
        <v/>
      </c>
      <c r="J1644" s="94" t="str">
        <f t="shared" si="1645"/>
        <v/>
      </c>
      <c r="K1644" s="100"/>
      <c r="M1644" s="100"/>
      <c r="N1644" s="100"/>
      <c r="O1644" s="100"/>
      <c r="P1644" s="100"/>
    </row>
    <row r="1645">
      <c r="A1645" s="107">
        <v>202685.0</v>
      </c>
      <c r="B1645" s="108" t="s">
        <v>243</v>
      </c>
      <c r="C1645" s="108" t="s">
        <v>526</v>
      </c>
      <c r="D1645" s="112" t="s">
        <v>184</v>
      </c>
      <c r="E1645" s="112">
        <v>1754.6</v>
      </c>
      <c r="F1645" s="111" t="str">
        <f>DataPull!D1645</f>
        <v/>
      </c>
      <c r="G1645" s="94" t="str">
        <f t="shared" si="2"/>
        <v/>
      </c>
      <c r="H1645" s="94" t="str">
        <f t="shared" si="3"/>
        <v/>
      </c>
      <c r="I1645" s="94" t="str">
        <f t="shared" ref="I1645:J1645" si="1646">if(G1645 = "", , -G1645)</f>
        <v/>
      </c>
      <c r="J1645" s="94" t="str">
        <f t="shared" si="1646"/>
        <v/>
      </c>
      <c r="K1645" s="100"/>
      <c r="L1645" s="100"/>
      <c r="M1645" s="100"/>
      <c r="N1645" s="100"/>
      <c r="O1645" s="100"/>
      <c r="P1645" s="100"/>
    </row>
    <row r="1646">
      <c r="A1646" s="107">
        <v>202685.0</v>
      </c>
      <c r="B1646" s="108" t="s">
        <v>215</v>
      </c>
      <c r="C1646" s="108" t="s">
        <v>526</v>
      </c>
      <c r="D1646" s="112" t="s">
        <v>184</v>
      </c>
      <c r="E1646" s="112">
        <v>2242.2</v>
      </c>
      <c r="F1646" s="111" t="str">
        <f>DataPull!D1646</f>
        <v/>
      </c>
      <c r="G1646" s="94" t="str">
        <f t="shared" si="2"/>
        <v/>
      </c>
      <c r="H1646" s="94" t="str">
        <f t="shared" si="3"/>
        <v/>
      </c>
      <c r="I1646" s="94" t="str">
        <f t="shared" ref="I1646:J1646" si="1647">if(G1646 = "", , -G1646)</f>
        <v/>
      </c>
      <c r="J1646" s="94" t="str">
        <f t="shared" si="1647"/>
        <v/>
      </c>
      <c r="K1646" s="100"/>
      <c r="M1646" s="100"/>
      <c r="N1646" s="100"/>
      <c r="O1646" s="100"/>
      <c r="P1646" s="100"/>
    </row>
    <row r="1647">
      <c r="A1647" s="107">
        <v>202685.0</v>
      </c>
      <c r="B1647" s="108" t="s">
        <v>244</v>
      </c>
      <c r="C1647" s="108" t="s">
        <v>526</v>
      </c>
      <c r="D1647" s="112" t="s">
        <v>176</v>
      </c>
      <c r="E1647" s="112">
        <v>1967.1</v>
      </c>
      <c r="F1647" s="111" t="str">
        <f>DataPull!D1647</f>
        <v/>
      </c>
      <c r="G1647" s="94" t="str">
        <f t="shared" si="2"/>
        <v/>
      </c>
      <c r="H1647" s="94" t="str">
        <f t="shared" si="3"/>
        <v/>
      </c>
      <c r="I1647" s="94" t="str">
        <f t="shared" ref="I1647:J1647" si="1648">if(G1647 = "", , -G1647)</f>
        <v/>
      </c>
      <c r="J1647" s="94" t="str">
        <f t="shared" si="1648"/>
        <v/>
      </c>
      <c r="K1647" s="100"/>
      <c r="M1647" s="100"/>
      <c r="N1647" s="100"/>
      <c r="O1647" s="100"/>
      <c r="P1647" s="100"/>
    </row>
    <row r="1648">
      <c r="A1648" s="107">
        <v>202685.0</v>
      </c>
      <c r="B1648" s="108" t="s">
        <v>245</v>
      </c>
      <c r="C1648" s="108" t="s">
        <v>526</v>
      </c>
      <c r="D1648" s="112" t="s">
        <v>176</v>
      </c>
      <c r="E1648" s="112">
        <v>1927.0</v>
      </c>
      <c r="F1648" s="111" t="str">
        <f>DataPull!D1648</f>
        <v/>
      </c>
      <c r="G1648" s="94" t="str">
        <f t="shared" si="2"/>
        <v/>
      </c>
      <c r="H1648" s="94" t="str">
        <f t="shared" si="3"/>
        <v/>
      </c>
      <c r="I1648" s="94" t="str">
        <f t="shared" ref="I1648:J1648" si="1649">if(G1648 = "", , -G1648)</f>
        <v/>
      </c>
      <c r="J1648" s="94" t="str">
        <f t="shared" si="1649"/>
        <v/>
      </c>
      <c r="K1648" s="100"/>
      <c r="M1648" s="100"/>
      <c r="N1648" s="100"/>
      <c r="O1648" s="100"/>
      <c r="P1648" s="100"/>
    </row>
    <row r="1649">
      <c r="A1649" s="107">
        <v>202685.0</v>
      </c>
      <c r="B1649" s="108" t="s">
        <v>246</v>
      </c>
      <c r="C1649" s="108" t="s">
        <v>526</v>
      </c>
      <c r="D1649" s="112" t="s">
        <v>176</v>
      </c>
      <c r="E1649" s="112">
        <v>1522.8</v>
      </c>
      <c r="F1649" s="111" t="str">
        <f>DataPull!D1649</f>
        <v/>
      </c>
      <c r="G1649" s="94" t="str">
        <f t="shared" si="2"/>
        <v/>
      </c>
      <c r="H1649" s="94" t="str">
        <f t="shared" si="3"/>
        <v/>
      </c>
      <c r="I1649" s="94" t="str">
        <f t="shared" ref="I1649:J1649" si="1650">if(G1649 = "", , -G1649)</f>
        <v/>
      </c>
      <c r="J1649" s="94" t="str">
        <f t="shared" si="1650"/>
        <v/>
      </c>
      <c r="K1649" s="100"/>
      <c r="M1649" s="100"/>
      <c r="N1649" s="100"/>
      <c r="O1649" s="100"/>
      <c r="P1649" s="100"/>
    </row>
    <row r="1650">
      <c r="A1650" s="114">
        <v>202685.0</v>
      </c>
      <c r="B1650" s="113" t="s">
        <v>247</v>
      </c>
      <c r="C1650" s="108" t="s">
        <v>526</v>
      </c>
      <c r="D1650" s="112" t="s">
        <v>177</v>
      </c>
      <c r="E1650" s="112">
        <v>871.0</v>
      </c>
      <c r="F1650" s="111" t="str">
        <f>DataPull!D1650</f>
        <v/>
      </c>
      <c r="G1650" s="94" t="str">
        <f t="shared" si="2"/>
        <v/>
      </c>
      <c r="H1650" s="94" t="str">
        <f t="shared" si="3"/>
        <v/>
      </c>
      <c r="I1650" s="94" t="str">
        <f t="shared" ref="I1650:J1650" si="1651">if(G1650 = "", , -G1650)</f>
        <v/>
      </c>
      <c r="J1650" s="94" t="str">
        <f t="shared" si="1651"/>
        <v/>
      </c>
      <c r="K1650" s="100"/>
      <c r="M1650" s="100"/>
      <c r="N1650" s="100"/>
      <c r="O1650" s="100"/>
      <c r="P1650" s="100"/>
    </row>
    <row r="1651">
      <c r="A1651" s="107">
        <v>202686.0</v>
      </c>
      <c r="B1651" s="108" t="s">
        <v>85</v>
      </c>
      <c r="C1651" s="108" t="s">
        <v>527</v>
      </c>
      <c r="D1651" s="112" t="s">
        <v>177</v>
      </c>
      <c r="E1651" s="112">
        <v>777.6</v>
      </c>
      <c r="F1651" s="111" t="str">
        <f>DataPull!D1651</f>
        <v/>
      </c>
      <c r="G1651" s="94" t="str">
        <f t="shared" si="2"/>
        <v/>
      </c>
      <c r="H1651" s="94" t="str">
        <f t="shared" si="3"/>
        <v/>
      </c>
      <c r="I1651" s="94" t="str">
        <f t="shared" ref="I1651:J1651" si="1652">if(G1651 = "", , -G1651)</f>
        <v/>
      </c>
      <c r="J1651" s="94" t="str">
        <f t="shared" si="1652"/>
        <v/>
      </c>
      <c r="K1651" s="100"/>
      <c r="L1651" s="100"/>
      <c r="M1651" s="100"/>
      <c r="N1651" s="100"/>
      <c r="O1651" s="100"/>
      <c r="P1651" s="100"/>
    </row>
    <row r="1652">
      <c r="A1652" s="107">
        <v>202687.0</v>
      </c>
      <c r="B1652" s="108" t="s">
        <v>85</v>
      </c>
      <c r="C1652" s="108" t="s">
        <v>528</v>
      </c>
      <c r="D1652" s="112" t="s">
        <v>177</v>
      </c>
      <c r="E1652" s="112">
        <v>1070.3</v>
      </c>
      <c r="F1652" s="111" t="str">
        <f>DataPull!D1652</f>
        <v/>
      </c>
      <c r="G1652" s="94" t="str">
        <f t="shared" si="2"/>
        <v/>
      </c>
      <c r="H1652" s="94" t="str">
        <f t="shared" si="3"/>
        <v/>
      </c>
      <c r="I1652" s="94" t="str">
        <f t="shared" ref="I1652:J1652" si="1653">if(G1652 = "", , -G1652)</f>
        <v/>
      </c>
      <c r="J1652" s="94" t="str">
        <f t="shared" si="1653"/>
        <v/>
      </c>
      <c r="K1652" s="100"/>
      <c r="M1652" s="100"/>
      <c r="N1652" s="100"/>
      <c r="O1652" s="100"/>
      <c r="P1652" s="100"/>
    </row>
    <row r="1653">
      <c r="A1653" s="107">
        <v>202687.0</v>
      </c>
      <c r="B1653" s="108" t="s">
        <v>90</v>
      </c>
      <c r="C1653" s="108" t="s">
        <v>528</v>
      </c>
      <c r="D1653" s="112" t="s">
        <v>177</v>
      </c>
      <c r="E1653" s="112">
        <v>1241.6</v>
      </c>
      <c r="F1653" s="111" t="str">
        <f>DataPull!D1653</f>
        <v/>
      </c>
      <c r="G1653" s="94" t="str">
        <f t="shared" si="2"/>
        <v/>
      </c>
      <c r="H1653" s="94" t="str">
        <f t="shared" si="3"/>
        <v/>
      </c>
      <c r="I1653" s="94" t="str">
        <f t="shared" ref="I1653:J1653" si="1654">if(G1653 = "", , -G1653)</f>
        <v/>
      </c>
      <c r="J1653" s="94" t="str">
        <f t="shared" si="1654"/>
        <v/>
      </c>
      <c r="K1653" s="100"/>
      <c r="M1653" s="100"/>
      <c r="N1653" s="100"/>
      <c r="O1653" s="100"/>
      <c r="P1653" s="100"/>
    </row>
    <row r="1654">
      <c r="A1654" s="107">
        <v>202687.0</v>
      </c>
      <c r="B1654" s="108" t="s">
        <v>92</v>
      </c>
      <c r="C1654" s="108" t="s">
        <v>528</v>
      </c>
      <c r="D1654" s="112" t="s">
        <v>177</v>
      </c>
      <c r="E1654" s="112">
        <v>1804.0</v>
      </c>
      <c r="F1654" s="111" t="str">
        <f>DataPull!D1654</f>
        <v/>
      </c>
      <c r="G1654" s="94" t="str">
        <f t="shared" si="2"/>
        <v/>
      </c>
      <c r="H1654" s="94" t="str">
        <f t="shared" si="3"/>
        <v/>
      </c>
      <c r="I1654" s="94" t="str">
        <f t="shared" ref="I1654:J1654" si="1655">if(G1654 = "", , -G1654)</f>
        <v/>
      </c>
      <c r="J1654" s="94" t="str">
        <f t="shared" si="1655"/>
        <v/>
      </c>
      <c r="K1654" s="100"/>
      <c r="M1654" s="100"/>
      <c r="N1654" s="100"/>
      <c r="O1654" s="100"/>
      <c r="P1654" s="100"/>
    </row>
    <row r="1655">
      <c r="A1655" s="107">
        <v>202687.0</v>
      </c>
      <c r="B1655" s="108" t="s">
        <v>190</v>
      </c>
      <c r="C1655" s="108" t="s">
        <v>528</v>
      </c>
      <c r="D1655" s="112" t="s">
        <v>177</v>
      </c>
      <c r="E1655" s="112">
        <v>1790.1</v>
      </c>
      <c r="F1655" s="111" t="str">
        <f>DataPull!D1655</f>
        <v/>
      </c>
      <c r="G1655" s="94" t="str">
        <f t="shared" si="2"/>
        <v/>
      </c>
      <c r="H1655" s="94" t="str">
        <f t="shared" si="3"/>
        <v/>
      </c>
      <c r="I1655" s="94" t="str">
        <f t="shared" ref="I1655:J1655" si="1656">if(G1655 = "", , -G1655)</f>
        <v/>
      </c>
      <c r="J1655" s="94" t="str">
        <f t="shared" si="1656"/>
        <v/>
      </c>
      <c r="K1655" s="100"/>
      <c r="M1655" s="100"/>
      <c r="N1655" s="100"/>
      <c r="O1655" s="100"/>
      <c r="P1655" s="100"/>
    </row>
    <row r="1656">
      <c r="A1656" s="107">
        <v>202687.0</v>
      </c>
      <c r="B1656" s="108" t="s">
        <v>191</v>
      </c>
      <c r="C1656" s="108" t="s">
        <v>528</v>
      </c>
      <c r="D1656" s="112" t="s">
        <v>177</v>
      </c>
      <c r="E1656" s="112">
        <v>1492.4</v>
      </c>
      <c r="F1656" s="111" t="str">
        <f>DataPull!D1656</f>
        <v/>
      </c>
      <c r="G1656" s="94" t="str">
        <f t="shared" si="2"/>
        <v/>
      </c>
      <c r="H1656" s="94" t="str">
        <f t="shared" si="3"/>
        <v/>
      </c>
      <c r="I1656" s="94" t="str">
        <f t="shared" ref="I1656:J1656" si="1657">if(G1656 = "", , -G1656)</f>
        <v/>
      </c>
      <c r="J1656" s="94" t="str">
        <f t="shared" si="1657"/>
        <v/>
      </c>
      <c r="K1656" s="100"/>
      <c r="M1656" s="100"/>
      <c r="N1656" s="100"/>
      <c r="O1656" s="100"/>
    </row>
    <row r="1657">
      <c r="A1657" s="107">
        <v>202687.0</v>
      </c>
      <c r="B1657" s="108" t="s">
        <v>192</v>
      </c>
      <c r="C1657" s="108" t="s">
        <v>528</v>
      </c>
      <c r="D1657" s="112" t="s">
        <v>177</v>
      </c>
      <c r="E1657" s="112">
        <v>783.0</v>
      </c>
      <c r="F1657" s="111" t="str">
        <f>DataPull!D1657</f>
        <v/>
      </c>
      <c r="G1657" s="94" t="str">
        <f t="shared" si="2"/>
        <v/>
      </c>
      <c r="H1657" s="94" t="str">
        <f t="shared" si="3"/>
        <v/>
      </c>
      <c r="I1657" s="94" t="str">
        <f t="shared" ref="I1657:J1657" si="1658">if(G1657 = "", , -G1657)</f>
        <v/>
      </c>
      <c r="J1657" s="94" t="str">
        <f t="shared" si="1658"/>
        <v/>
      </c>
      <c r="K1657" s="100"/>
      <c r="M1657" s="100"/>
      <c r="N1657" s="100"/>
      <c r="O1657" s="100"/>
      <c r="P1657" s="100"/>
    </row>
    <row r="1658">
      <c r="A1658" s="107">
        <v>202687.0</v>
      </c>
      <c r="B1658" s="108" t="s">
        <v>193</v>
      </c>
      <c r="C1658" s="108" t="s">
        <v>528</v>
      </c>
      <c r="D1658" s="112" t="s">
        <v>177</v>
      </c>
      <c r="E1658" s="112">
        <v>1028.2</v>
      </c>
      <c r="F1658" s="111" t="str">
        <f>DataPull!D1658</f>
        <v/>
      </c>
      <c r="G1658" s="94" t="str">
        <f t="shared" si="2"/>
        <v/>
      </c>
      <c r="H1658" s="94" t="str">
        <f t="shared" si="3"/>
        <v/>
      </c>
      <c r="I1658" s="94" t="str">
        <f t="shared" ref="I1658:J1658" si="1659">if(G1658 = "", , -G1658)</f>
        <v/>
      </c>
      <c r="J1658" s="94" t="str">
        <f t="shared" si="1659"/>
        <v/>
      </c>
      <c r="K1658" s="100"/>
      <c r="M1658" s="100"/>
      <c r="N1658" s="100"/>
      <c r="O1658" s="100"/>
      <c r="P1658" s="100"/>
    </row>
    <row r="1659">
      <c r="A1659" s="107">
        <v>202687.0</v>
      </c>
      <c r="B1659" s="108" t="s">
        <v>243</v>
      </c>
      <c r="C1659" s="108" t="s">
        <v>528</v>
      </c>
      <c r="D1659" s="112" t="s">
        <v>177</v>
      </c>
      <c r="E1659" s="112">
        <v>1346.4</v>
      </c>
      <c r="F1659" s="111" t="str">
        <f>DataPull!D1659</f>
        <v/>
      </c>
      <c r="G1659" s="94" t="str">
        <f t="shared" si="2"/>
        <v/>
      </c>
      <c r="H1659" s="94" t="str">
        <f t="shared" si="3"/>
        <v/>
      </c>
      <c r="I1659" s="94" t="str">
        <f t="shared" ref="I1659:J1659" si="1660">if(G1659 = "", , -G1659)</f>
        <v/>
      </c>
      <c r="J1659" s="94" t="str">
        <f t="shared" si="1660"/>
        <v/>
      </c>
      <c r="K1659" s="100"/>
      <c r="M1659" s="100"/>
      <c r="N1659" s="100"/>
      <c r="O1659" s="100"/>
      <c r="P1659" s="100"/>
    </row>
    <row r="1660">
      <c r="A1660" s="107">
        <v>202687.0</v>
      </c>
      <c r="B1660" s="108" t="s">
        <v>215</v>
      </c>
      <c r="C1660" s="108" t="s">
        <v>528</v>
      </c>
      <c r="D1660" s="112" t="s">
        <v>177</v>
      </c>
      <c r="E1660" s="112">
        <v>507.6</v>
      </c>
      <c r="F1660" s="111" t="str">
        <f>DataPull!D1660</f>
        <v/>
      </c>
      <c r="G1660" s="94" t="str">
        <f t="shared" si="2"/>
        <v/>
      </c>
      <c r="H1660" s="94" t="str">
        <f t="shared" si="3"/>
        <v/>
      </c>
      <c r="I1660" s="94" t="str">
        <f t="shared" ref="I1660:J1660" si="1661">if(G1660 = "", , -G1660)</f>
        <v/>
      </c>
      <c r="J1660" s="94" t="str">
        <f t="shared" si="1661"/>
        <v/>
      </c>
      <c r="K1660" s="100"/>
      <c r="M1660" s="100"/>
      <c r="N1660" s="100"/>
      <c r="O1660" s="100"/>
      <c r="P1660" s="100"/>
    </row>
    <row r="1661">
      <c r="A1661" s="107">
        <v>202687.0</v>
      </c>
      <c r="B1661" s="108" t="s">
        <v>244</v>
      </c>
      <c r="C1661" s="108" t="s">
        <v>528</v>
      </c>
      <c r="D1661" s="112" t="s">
        <v>177</v>
      </c>
      <c r="E1661" s="112">
        <v>872.3</v>
      </c>
      <c r="F1661" s="111" t="str">
        <f>DataPull!D1661</f>
        <v/>
      </c>
      <c r="G1661" s="94" t="str">
        <f t="shared" si="2"/>
        <v/>
      </c>
      <c r="H1661" s="94" t="str">
        <f t="shared" si="3"/>
        <v/>
      </c>
      <c r="I1661" s="94" t="str">
        <f t="shared" ref="I1661:J1661" si="1662">if(G1661 = "", , -G1661)</f>
        <v/>
      </c>
      <c r="J1661" s="94" t="str">
        <f t="shared" si="1662"/>
        <v/>
      </c>
      <c r="K1661" s="100"/>
      <c r="M1661" s="100"/>
      <c r="N1661" s="100"/>
      <c r="O1661" s="100"/>
      <c r="P1661" s="100"/>
    </row>
    <row r="1662">
      <c r="A1662" s="107">
        <v>202687.0</v>
      </c>
      <c r="B1662" s="108" t="s">
        <v>245</v>
      </c>
      <c r="C1662" s="108" t="s">
        <v>528</v>
      </c>
      <c r="D1662" s="112" t="s">
        <v>176</v>
      </c>
      <c r="E1662" s="112">
        <v>792.0</v>
      </c>
      <c r="F1662" s="111" t="str">
        <f>DataPull!D1662</f>
        <v/>
      </c>
      <c r="G1662" s="94" t="str">
        <f t="shared" si="2"/>
        <v/>
      </c>
      <c r="H1662" s="94" t="str">
        <f t="shared" si="3"/>
        <v/>
      </c>
      <c r="I1662" s="94" t="str">
        <f t="shared" ref="I1662:J1662" si="1663">if(G1662 = "", , -G1662)</f>
        <v/>
      </c>
      <c r="J1662" s="94" t="str">
        <f t="shared" si="1663"/>
        <v/>
      </c>
      <c r="K1662" s="100"/>
      <c r="M1662" s="100"/>
      <c r="N1662" s="100"/>
      <c r="O1662" s="100"/>
      <c r="P1662" s="100"/>
    </row>
    <row r="1663">
      <c r="A1663" s="114">
        <v>202687.0</v>
      </c>
      <c r="B1663" s="113" t="s">
        <v>247</v>
      </c>
      <c r="C1663" s="113" t="s">
        <v>528</v>
      </c>
      <c r="D1663" s="112" t="s">
        <v>187</v>
      </c>
      <c r="E1663" s="112">
        <v>142.5</v>
      </c>
      <c r="F1663" s="111" t="str">
        <f>DataPull!D1663</f>
        <v/>
      </c>
      <c r="G1663" s="94" t="str">
        <f t="shared" si="2"/>
        <v/>
      </c>
      <c r="H1663" s="94" t="str">
        <f t="shared" si="3"/>
        <v/>
      </c>
      <c r="I1663" s="94" t="str">
        <f t="shared" ref="I1663:J1663" si="1664">if(G1663 = "", , -G1663)</f>
        <v/>
      </c>
      <c r="J1663" s="94" t="str">
        <f t="shared" si="1664"/>
        <v/>
      </c>
      <c r="K1663" s="100"/>
      <c r="M1663" s="100"/>
      <c r="N1663" s="100"/>
      <c r="O1663" s="100"/>
      <c r="P1663" s="100"/>
    </row>
    <row r="1664">
      <c r="A1664" s="107">
        <v>202688.0</v>
      </c>
      <c r="B1664" s="108" t="s">
        <v>85</v>
      </c>
      <c r="C1664" s="108" t="s">
        <v>529</v>
      </c>
      <c r="D1664" s="112" t="s">
        <v>178</v>
      </c>
      <c r="E1664" s="112">
        <v>2397.6</v>
      </c>
      <c r="F1664" s="111" t="str">
        <f>DataPull!D1664</f>
        <v/>
      </c>
      <c r="G1664" s="94" t="str">
        <f t="shared" si="2"/>
        <v/>
      </c>
      <c r="H1664" s="94" t="str">
        <f t="shared" si="3"/>
        <v/>
      </c>
      <c r="I1664" s="94" t="str">
        <f t="shared" ref="I1664:J1664" si="1665">if(G1664 = "", , -G1664)</f>
        <v/>
      </c>
      <c r="J1664" s="94" t="str">
        <f t="shared" si="1665"/>
        <v/>
      </c>
      <c r="K1664" s="100"/>
      <c r="L1664" s="100"/>
      <c r="N1664" s="100"/>
      <c r="O1664" s="100"/>
      <c r="P1664" s="100"/>
    </row>
    <row r="1665">
      <c r="A1665" s="107">
        <v>202688.0</v>
      </c>
      <c r="B1665" s="108" t="s">
        <v>90</v>
      </c>
      <c r="C1665" s="108" t="s">
        <v>529</v>
      </c>
      <c r="D1665" s="112" t="s">
        <v>178</v>
      </c>
      <c r="E1665" s="112">
        <v>2034.9</v>
      </c>
      <c r="F1665" s="111" t="str">
        <f>DataPull!D1665</f>
        <v/>
      </c>
      <c r="G1665" s="94" t="str">
        <f t="shared" si="2"/>
        <v/>
      </c>
      <c r="H1665" s="94" t="str">
        <f t="shared" si="3"/>
        <v/>
      </c>
      <c r="I1665" s="94" t="str">
        <f t="shared" ref="I1665:J1665" si="1666">if(G1665 = "", , -G1665)</f>
        <v/>
      </c>
      <c r="J1665" s="94" t="str">
        <f t="shared" si="1666"/>
        <v/>
      </c>
      <c r="K1665" s="100"/>
      <c r="M1665" s="100"/>
      <c r="N1665" s="100"/>
      <c r="O1665" s="100"/>
      <c r="P1665" s="100"/>
    </row>
    <row r="1666">
      <c r="A1666" s="107">
        <v>202688.0</v>
      </c>
      <c r="B1666" s="108" t="s">
        <v>92</v>
      </c>
      <c r="C1666" s="108" t="s">
        <v>529</v>
      </c>
      <c r="D1666" s="112" t="s">
        <v>178</v>
      </c>
      <c r="E1666" s="112">
        <v>1872.0</v>
      </c>
      <c r="F1666" s="111" t="str">
        <f>DataPull!D1666</f>
        <v/>
      </c>
      <c r="G1666" s="94" t="str">
        <f t="shared" si="2"/>
        <v/>
      </c>
      <c r="H1666" s="94" t="str">
        <f t="shared" si="3"/>
        <v/>
      </c>
      <c r="I1666" s="94" t="str">
        <f t="shared" ref="I1666:J1666" si="1667">if(G1666 = "", , -G1666)</f>
        <v/>
      </c>
      <c r="J1666" s="94" t="str">
        <f t="shared" si="1667"/>
        <v/>
      </c>
      <c r="K1666" s="100"/>
      <c r="M1666" s="100"/>
      <c r="N1666" s="100"/>
      <c r="O1666" s="100"/>
      <c r="P1666" s="100"/>
    </row>
    <row r="1667">
      <c r="A1667" s="107">
        <v>202688.0</v>
      </c>
      <c r="B1667" s="108" t="s">
        <v>190</v>
      </c>
      <c r="C1667" s="108" t="s">
        <v>529</v>
      </c>
      <c r="D1667" s="112" t="s">
        <v>177</v>
      </c>
      <c r="E1667" s="112">
        <v>1139.4</v>
      </c>
      <c r="F1667" s="111" t="str">
        <f>DataPull!D1667</f>
        <v/>
      </c>
      <c r="G1667" s="94" t="str">
        <f t="shared" si="2"/>
        <v/>
      </c>
      <c r="H1667" s="94" t="str">
        <f t="shared" si="3"/>
        <v/>
      </c>
      <c r="I1667" s="94" t="str">
        <f t="shared" ref="I1667:J1667" si="1668">if(G1667 = "", , -G1667)</f>
        <v/>
      </c>
      <c r="J1667" s="94" t="str">
        <f t="shared" si="1668"/>
        <v/>
      </c>
      <c r="K1667" s="100"/>
      <c r="M1667" s="100"/>
      <c r="N1667" s="100"/>
      <c r="O1667" s="100"/>
      <c r="P1667" s="100"/>
    </row>
    <row r="1668">
      <c r="A1668" s="107">
        <v>202688.0</v>
      </c>
      <c r="B1668" s="108" t="s">
        <v>192</v>
      </c>
      <c r="C1668" s="108" t="s">
        <v>529</v>
      </c>
      <c r="D1668" s="112" t="s">
        <v>176</v>
      </c>
      <c r="E1668" s="112">
        <v>737.1</v>
      </c>
      <c r="F1668" s="111" t="str">
        <f>DataPull!D1668</f>
        <v/>
      </c>
      <c r="G1668" s="94" t="str">
        <f t="shared" si="2"/>
        <v/>
      </c>
      <c r="H1668" s="94" t="str">
        <f t="shared" si="3"/>
        <v/>
      </c>
      <c r="I1668" s="94" t="str">
        <f t="shared" ref="I1668:J1668" si="1669">if(G1668 = "", , -G1668)</f>
        <v/>
      </c>
      <c r="J1668" s="94" t="str">
        <f t="shared" si="1669"/>
        <v/>
      </c>
      <c r="K1668" s="100"/>
      <c r="M1668" s="100"/>
      <c r="N1668" s="100"/>
      <c r="O1668" s="100"/>
      <c r="P1668" s="100"/>
    </row>
    <row r="1669">
      <c r="A1669" s="107">
        <v>202688.0</v>
      </c>
      <c r="B1669" s="108" t="s">
        <v>193</v>
      </c>
      <c r="C1669" s="108" t="s">
        <v>529</v>
      </c>
      <c r="D1669" s="112" t="s">
        <v>187</v>
      </c>
      <c r="E1669" s="112">
        <v>462.5</v>
      </c>
      <c r="F1669" s="111" t="str">
        <f>DataPull!D1669</f>
        <v/>
      </c>
      <c r="G1669" s="94" t="str">
        <f t="shared" si="2"/>
        <v/>
      </c>
      <c r="H1669" s="94" t="str">
        <f t="shared" si="3"/>
        <v/>
      </c>
      <c r="I1669" s="94" t="str">
        <f t="shared" ref="I1669:J1669" si="1670">if(G1669 = "", , -G1669)</f>
        <v/>
      </c>
      <c r="J1669" s="94" t="str">
        <f t="shared" si="1670"/>
        <v/>
      </c>
      <c r="K1669" s="100"/>
      <c r="M1669" s="100"/>
      <c r="N1669" s="100"/>
      <c r="O1669" s="100"/>
      <c r="P1669" s="100"/>
    </row>
    <row r="1670">
      <c r="A1670" s="107">
        <v>202688.0</v>
      </c>
      <c r="B1670" s="108" t="s">
        <v>215</v>
      </c>
      <c r="C1670" s="108" t="s">
        <v>529</v>
      </c>
      <c r="D1670" s="112" t="s">
        <v>181</v>
      </c>
      <c r="E1670" s="112">
        <v>64.5</v>
      </c>
      <c r="F1670" s="111" t="str">
        <f>DataPull!D1670</f>
        <v/>
      </c>
      <c r="G1670" s="94" t="str">
        <f t="shared" si="2"/>
        <v/>
      </c>
      <c r="H1670" s="94" t="str">
        <f t="shared" si="3"/>
        <v/>
      </c>
      <c r="I1670" s="94" t="str">
        <f t="shared" ref="I1670:J1670" si="1671">if(G1670 = "", , -G1670)</f>
        <v/>
      </c>
      <c r="J1670" s="94" t="str">
        <f t="shared" si="1671"/>
        <v/>
      </c>
      <c r="K1670" s="100"/>
      <c r="M1670" s="100"/>
      <c r="N1670" s="100"/>
      <c r="O1670" s="100"/>
      <c r="P1670" s="100"/>
    </row>
    <row r="1671">
      <c r="A1671" s="107">
        <v>202689.0</v>
      </c>
      <c r="B1671" s="108" t="s">
        <v>85</v>
      </c>
      <c r="C1671" s="108" t="s">
        <v>530</v>
      </c>
      <c r="D1671" s="112" t="s">
        <v>178</v>
      </c>
      <c r="E1671" s="112">
        <v>2613.4</v>
      </c>
      <c r="F1671" s="111" t="str">
        <f>DataPull!D1671</f>
        <v/>
      </c>
      <c r="G1671" s="94" t="str">
        <f t="shared" si="2"/>
        <v/>
      </c>
      <c r="H1671" s="94" t="str">
        <f t="shared" si="3"/>
        <v/>
      </c>
      <c r="I1671" s="94" t="str">
        <f t="shared" ref="I1671:J1671" si="1672">if(G1671 = "", , -G1671)</f>
        <v/>
      </c>
      <c r="J1671" s="94" t="str">
        <f t="shared" si="1672"/>
        <v/>
      </c>
      <c r="K1671" s="100"/>
      <c r="L1671" s="100"/>
      <c r="N1671" s="100"/>
      <c r="O1671" s="100"/>
      <c r="P1671" s="100"/>
    </row>
    <row r="1672">
      <c r="A1672" s="107">
        <v>202689.0</v>
      </c>
      <c r="B1672" s="108" t="s">
        <v>90</v>
      </c>
      <c r="C1672" s="108" t="s">
        <v>530</v>
      </c>
      <c r="D1672" s="112" t="s">
        <v>178</v>
      </c>
      <c r="E1672" s="112">
        <v>2120.4</v>
      </c>
      <c r="F1672" s="111" t="str">
        <f>DataPull!D1672</f>
        <v/>
      </c>
      <c r="G1672" s="94" t="str">
        <f t="shared" si="2"/>
        <v/>
      </c>
      <c r="H1672" s="94" t="str">
        <f t="shared" si="3"/>
        <v/>
      </c>
      <c r="I1672" s="94" t="str">
        <f t="shared" ref="I1672:J1672" si="1673">if(G1672 = "", , -G1672)</f>
        <v/>
      </c>
      <c r="J1672" s="94" t="str">
        <f t="shared" si="1673"/>
        <v/>
      </c>
      <c r="K1672" s="100"/>
      <c r="M1672" s="100"/>
      <c r="N1672" s="100"/>
      <c r="O1672" s="100"/>
      <c r="P1672" s="100"/>
    </row>
    <row r="1673">
      <c r="A1673" s="107">
        <v>202689.0</v>
      </c>
      <c r="B1673" s="108" t="s">
        <v>92</v>
      </c>
      <c r="C1673" s="108" t="s">
        <v>530</v>
      </c>
      <c r="D1673" s="112" t="s">
        <v>184</v>
      </c>
      <c r="E1673" s="112">
        <v>2883.6</v>
      </c>
      <c r="F1673" s="111" t="str">
        <f>DataPull!D1673</f>
        <v/>
      </c>
      <c r="G1673" s="94" t="str">
        <f t="shared" si="2"/>
        <v/>
      </c>
      <c r="H1673" s="94" t="str">
        <f t="shared" si="3"/>
        <v/>
      </c>
      <c r="I1673" s="94" t="str">
        <f t="shared" ref="I1673:J1673" si="1674">if(G1673 = "", , -G1673)</f>
        <v/>
      </c>
      <c r="J1673" s="94" t="str">
        <f t="shared" si="1674"/>
        <v/>
      </c>
      <c r="K1673" s="100"/>
      <c r="L1673" s="100"/>
      <c r="M1673" s="100"/>
      <c r="N1673" s="100"/>
      <c r="O1673" s="100"/>
      <c r="P1673" s="100"/>
    </row>
    <row r="1674">
      <c r="A1674" s="107">
        <v>202689.0</v>
      </c>
      <c r="B1674" s="108" t="s">
        <v>190</v>
      </c>
      <c r="C1674" s="108" t="s">
        <v>530</v>
      </c>
      <c r="D1674" s="112" t="s">
        <v>184</v>
      </c>
      <c r="E1674" s="112">
        <v>2741.3</v>
      </c>
      <c r="F1674" s="111" t="str">
        <f>DataPull!D1674</f>
        <v/>
      </c>
      <c r="G1674" s="94" t="str">
        <f t="shared" si="2"/>
        <v/>
      </c>
      <c r="H1674" s="94" t="str">
        <f t="shared" si="3"/>
        <v/>
      </c>
      <c r="I1674" s="94" t="str">
        <f t="shared" ref="I1674:J1674" si="1675">if(G1674 = "", , -G1674)</f>
        <v/>
      </c>
      <c r="J1674" s="94" t="str">
        <f t="shared" si="1675"/>
        <v/>
      </c>
      <c r="K1674" s="100"/>
      <c r="M1674" s="100"/>
      <c r="N1674" s="100"/>
      <c r="O1674" s="100"/>
      <c r="P1674" s="100"/>
    </row>
    <row r="1675">
      <c r="A1675" s="107">
        <v>202689.0</v>
      </c>
      <c r="B1675" s="108" t="s">
        <v>191</v>
      </c>
      <c r="C1675" s="108" t="s">
        <v>530</v>
      </c>
      <c r="D1675" s="112" t="s">
        <v>184</v>
      </c>
      <c r="E1675" s="112">
        <v>2736.0</v>
      </c>
      <c r="F1675" s="111" t="str">
        <f>DataPull!D1675</f>
        <v/>
      </c>
      <c r="G1675" s="94" t="str">
        <f t="shared" si="2"/>
        <v/>
      </c>
      <c r="H1675" s="94" t="str">
        <f t="shared" si="3"/>
        <v/>
      </c>
      <c r="I1675" s="94" t="str">
        <f t="shared" ref="I1675:J1675" si="1676">if(G1675 = "", , -G1675)</f>
        <v/>
      </c>
      <c r="J1675" s="94" t="str">
        <f t="shared" si="1676"/>
        <v/>
      </c>
      <c r="K1675" s="100"/>
      <c r="M1675" s="100"/>
      <c r="N1675" s="100"/>
      <c r="O1675" s="100"/>
      <c r="P1675" s="100"/>
    </row>
    <row r="1676">
      <c r="A1676" s="107">
        <v>202689.0</v>
      </c>
      <c r="B1676" s="108" t="s">
        <v>192</v>
      </c>
      <c r="C1676" s="108" t="s">
        <v>530</v>
      </c>
      <c r="D1676" s="112" t="s">
        <v>184</v>
      </c>
      <c r="E1676" s="112">
        <v>2861.8</v>
      </c>
      <c r="F1676" s="111" t="str">
        <f>DataPull!D1676</f>
        <v/>
      </c>
      <c r="G1676" s="94" t="str">
        <f t="shared" si="2"/>
        <v/>
      </c>
      <c r="H1676" s="94" t="str">
        <f t="shared" si="3"/>
        <v/>
      </c>
      <c r="I1676" s="94" t="str">
        <f t="shared" ref="I1676:J1676" si="1677">if(G1676 = "", , -G1676)</f>
        <v/>
      </c>
      <c r="J1676" s="94" t="str">
        <f t="shared" si="1677"/>
        <v/>
      </c>
      <c r="K1676" s="100"/>
      <c r="L1676" s="100"/>
      <c r="M1676" s="100"/>
      <c r="N1676" s="100"/>
      <c r="O1676" s="100"/>
      <c r="P1676" s="100"/>
    </row>
    <row r="1677">
      <c r="A1677" s="107">
        <v>202689.0</v>
      </c>
      <c r="B1677" s="108" t="s">
        <v>193</v>
      </c>
      <c r="C1677" s="108" t="s">
        <v>530</v>
      </c>
      <c r="D1677" s="112" t="s">
        <v>184</v>
      </c>
      <c r="E1677" s="112">
        <v>1741.6</v>
      </c>
      <c r="F1677" s="111" t="str">
        <f>DataPull!D1677</f>
        <v/>
      </c>
      <c r="G1677" s="94" t="str">
        <f t="shared" si="2"/>
        <v/>
      </c>
      <c r="H1677" s="94" t="str">
        <f t="shared" si="3"/>
        <v/>
      </c>
      <c r="I1677" s="94" t="str">
        <f t="shared" ref="I1677:J1677" si="1678">if(G1677 = "", , -G1677)</f>
        <v/>
      </c>
      <c r="J1677" s="94" t="str">
        <f t="shared" si="1678"/>
        <v/>
      </c>
      <c r="K1677" s="100"/>
      <c r="M1677" s="100"/>
      <c r="N1677" s="100"/>
      <c r="O1677" s="100"/>
      <c r="P1677" s="100"/>
    </row>
    <row r="1678">
      <c r="A1678" s="107">
        <v>202689.0</v>
      </c>
      <c r="B1678" s="108" t="s">
        <v>243</v>
      </c>
      <c r="C1678" s="108" t="s">
        <v>530</v>
      </c>
      <c r="D1678" s="112" t="s">
        <v>184</v>
      </c>
      <c r="E1678" s="112">
        <v>1367.4</v>
      </c>
      <c r="F1678" s="111" t="str">
        <f>DataPull!D1678</f>
        <v/>
      </c>
      <c r="G1678" s="94" t="str">
        <f t="shared" si="2"/>
        <v/>
      </c>
      <c r="H1678" s="94" t="str">
        <f t="shared" si="3"/>
        <v/>
      </c>
      <c r="I1678" s="94" t="str">
        <f t="shared" ref="I1678:J1678" si="1679">if(G1678 = "", , -G1678)</f>
        <v/>
      </c>
      <c r="J1678" s="94" t="str">
        <f t="shared" si="1679"/>
        <v/>
      </c>
      <c r="K1678" s="100"/>
      <c r="M1678" s="100"/>
      <c r="N1678" s="100"/>
      <c r="O1678" s="100"/>
      <c r="P1678" s="100"/>
    </row>
    <row r="1679">
      <c r="A1679" s="107">
        <v>202689.0</v>
      </c>
      <c r="B1679" s="108" t="s">
        <v>215</v>
      </c>
      <c r="C1679" s="108" t="s">
        <v>530</v>
      </c>
      <c r="D1679" s="112" t="s">
        <v>176</v>
      </c>
      <c r="E1679" s="112">
        <v>947.2</v>
      </c>
      <c r="F1679" s="111" t="str">
        <f>DataPull!D1679</f>
        <v/>
      </c>
      <c r="G1679" s="94" t="str">
        <f t="shared" si="2"/>
        <v/>
      </c>
      <c r="H1679" s="94" t="str">
        <f t="shared" si="3"/>
        <v/>
      </c>
      <c r="I1679" s="94" t="str">
        <f t="shared" ref="I1679:J1679" si="1680">if(G1679 = "", , -G1679)</f>
        <v/>
      </c>
      <c r="J1679" s="94" t="str">
        <f t="shared" si="1680"/>
        <v/>
      </c>
      <c r="K1679" s="100"/>
      <c r="L1679" s="100"/>
      <c r="M1679" s="100"/>
      <c r="N1679" s="100"/>
      <c r="O1679" s="100"/>
      <c r="P1679" s="100"/>
    </row>
    <row r="1680">
      <c r="A1680" s="107">
        <v>202689.0</v>
      </c>
      <c r="B1680" s="108" t="s">
        <v>244</v>
      </c>
      <c r="C1680" s="108" t="s">
        <v>530</v>
      </c>
      <c r="D1680" s="112" t="s">
        <v>187</v>
      </c>
      <c r="E1680" s="112">
        <v>144.0</v>
      </c>
      <c r="F1680" s="111" t="str">
        <f>DataPull!D1680</f>
        <v/>
      </c>
      <c r="G1680" s="94" t="str">
        <f t="shared" si="2"/>
        <v/>
      </c>
      <c r="H1680" s="94" t="str">
        <f t="shared" si="3"/>
        <v/>
      </c>
      <c r="I1680" s="94" t="str">
        <f t="shared" ref="I1680:J1680" si="1681">if(G1680 = "", , -G1680)</f>
        <v/>
      </c>
      <c r="J1680" s="94" t="str">
        <f t="shared" si="1681"/>
        <v/>
      </c>
      <c r="K1680" s="100"/>
      <c r="M1680" s="100"/>
      <c r="N1680" s="100"/>
      <c r="O1680" s="100"/>
      <c r="P1680" s="100"/>
    </row>
    <row r="1681">
      <c r="A1681" s="107">
        <v>202690.0</v>
      </c>
      <c r="B1681" s="108" t="s">
        <v>85</v>
      </c>
      <c r="C1681" s="108" t="s">
        <v>531</v>
      </c>
      <c r="D1681" s="112" t="s">
        <v>177</v>
      </c>
      <c r="E1681" s="112">
        <v>519.4</v>
      </c>
      <c r="F1681" s="111" t="str">
        <f>DataPull!D1681</f>
        <v/>
      </c>
      <c r="G1681" s="94" t="str">
        <f t="shared" si="2"/>
        <v/>
      </c>
      <c r="H1681" s="94" t="str">
        <f t="shared" si="3"/>
        <v/>
      </c>
      <c r="I1681" s="94" t="str">
        <f t="shared" ref="I1681:J1681" si="1682">if(G1681 = "", , -G1681)</f>
        <v/>
      </c>
      <c r="J1681" s="94" t="str">
        <f t="shared" si="1682"/>
        <v/>
      </c>
      <c r="K1681" s="100"/>
      <c r="M1681" s="100"/>
      <c r="N1681" s="100"/>
      <c r="O1681" s="100"/>
      <c r="P1681" s="100"/>
    </row>
    <row r="1682">
      <c r="A1682" s="107">
        <v>202690.0</v>
      </c>
      <c r="B1682" s="108" t="s">
        <v>90</v>
      </c>
      <c r="C1682" s="108" t="s">
        <v>531</v>
      </c>
      <c r="D1682" s="112" t="s">
        <v>177</v>
      </c>
      <c r="E1682" s="112">
        <v>510.0</v>
      </c>
      <c r="F1682" s="111" t="str">
        <f>DataPull!D1682</f>
        <v/>
      </c>
      <c r="G1682" s="94" t="str">
        <f t="shared" si="2"/>
        <v/>
      </c>
      <c r="H1682" s="94" t="str">
        <f t="shared" si="3"/>
        <v/>
      </c>
      <c r="I1682" s="94" t="str">
        <f t="shared" ref="I1682:J1682" si="1683">if(G1682 = "", , -G1682)</f>
        <v/>
      </c>
      <c r="J1682" s="94" t="str">
        <f t="shared" si="1683"/>
        <v/>
      </c>
      <c r="K1682" s="100"/>
      <c r="L1682" s="100"/>
      <c r="N1682" s="100"/>
      <c r="O1682" s="100"/>
      <c r="P1682" s="100"/>
    </row>
    <row r="1683">
      <c r="A1683" s="107">
        <v>202690.0</v>
      </c>
      <c r="B1683" s="108" t="s">
        <v>92</v>
      </c>
      <c r="C1683" s="108" t="s">
        <v>531</v>
      </c>
      <c r="D1683" s="112" t="s">
        <v>181</v>
      </c>
      <c r="E1683" s="112">
        <v>17.4</v>
      </c>
      <c r="F1683" s="111" t="str">
        <f>DataPull!D1683</f>
        <v/>
      </c>
      <c r="G1683" s="94" t="str">
        <f t="shared" si="2"/>
        <v/>
      </c>
      <c r="H1683" s="94" t="str">
        <f t="shared" si="3"/>
        <v/>
      </c>
      <c r="I1683" s="94" t="str">
        <f t="shared" ref="I1683:J1683" si="1684">if(G1683 = "", , -G1683)</f>
        <v/>
      </c>
      <c r="J1683" s="94" t="str">
        <f t="shared" si="1684"/>
        <v/>
      </c>
      <c r="K1683" s="100"/>
      <c r="M1683" s="100"/>
      <c r="N1683" s="100"/>
      <c r="O1683" s="100"/>
      <c r="P1683" s="100"/>
    </row>
    <row r="1684">
      <c r="A1684" s="107">
        <v>202690.0</v>
      </c>
      <c r="B1684" s="108" t="s">
        <v>192</v>
      </c>
      <c r="C1684" s="108" t="s">
        <v>531</v>
      </c>
      <c r="D1684" s="112" t="s">
        <v>181</v>
      </c>
      <c r="E1684" s="112">
        <v>64.8</v>
      </c>
      <c r="F1684" s="111" t="str">
        <f>DataPull!D1684</f>
        <v/>
      </c>
      <c r="G1684" s="94" t="str">
        <f t="shared" si="2"/>
        <v/>
      </c>
      <c r="H1684" s="94" t="str">
        <f t="shared" si="3"/>
        <v/>
      </c>
      <c r="I1684" s="94" t="str">
        <f t="shared" ref="I1684:J1684" si="1685">if(G1684 = "", , -G1684)</f>
        <v/>
      </c>
      <c r="J1684" s="94" t="str">
        <f t="shared" si="1685"/>
        <v/>
      </c>
      <c r="K1684" s="100"/>
      <c r="M1684" s="100"/>
      <c r="N1684" s="100"/>
      <c r="O1684" s="100"/>
      <c r="P1684" s="100"/>
    </row>
    <row r="1685">
      <c r="A1685" s="107">
        <v>202691.0</v>
      </c>
      <c r="B1685" s="108" t="s">
        <v>85</v>
      </c>
      <c r="C1685" s="108" t="s">
        <v>532</v>
      </c>
      <c r="D1685" s="112" t="s">
        <v>178</v>
      </c>
      <c r="E1685" s="112">
        <v>2867.4</v>
      </c>
      <c r="F1685" s="111" t="str">
        <f>DataPull!D1685</f>
        <v/>
      </c>
      <c r="G1685" s="94" t="str">
        <f t="shared" si="2"/>
        <v/>
      </c>
      <c r="H1685" s="94" t="str">
        <f t="shared" si="3"/>
        <v/>
      </c>
      <c r="I1685" s="94" t="str">
        <f t="shared" ref="I1685:J1685" si="1686">if(G1685 = "", , -G1685)</f>
        <v/>
      </c>
      <c r="J1685" s="94" t="str">
        <f t="shared" si="1686"/>
        <v/>
      </c>
      <c r="K1685" s="100"/>
      <c r="L1685" s="100"/>
      <c r="M1685" s="100"/>
      <c r="N1685" s="100"/>
      <c r="O1685" s="100"/>
      <c r="P1685" s="100"/>
    </row>
    <row r="1686">
      <c r="A1686" s="107">
        <v>202691.0</v>
      </c>
      <c r="B1686" s="108" t="s">
        <v>90</v>
      </c>
      <c r="C1686" s="108" t="s">
        <v>532</v>
      </c>
      <c r="D1686" s="112" t="s">
        <v>184</v>
      </c>
      <c r="E1686" s="112">
        <v>2456.3</v>
      </c>
      <c r="F1686" s="111" t="str">
        <f>DataPull!D1686</f>
        <v/>
      </c>
      <c r="G1686" s="94" t="str">
        <f t="shared" si="2"/>
        <v/>
      </c>
      <c r="H1686" s="94" t="str">
        <f t="shared" si="3"/>
        <v/>
      </c>
      <c r="I1686" s="94" t="str">
        <f t="shared" ref="I1686:J1686" si="1687">if(G1686 = "", , -G1686)</f>
        <v/>
      </c>
      <c r="J1686" s="94" t="str">
        <f t="shared" si="1687"/>
        <v/>
      </c>
      <c r="K1686" s="100"/>
      <c r="N1686" s="100"/>
      <c r="O1686" s="100"/>
      <c r="P1686" s="100"/>
    </row>
    <row r="1687">
      <c r="A1687" s="107">
        <v>202691.0</v>
      </c>
      <c r="B1687" s="108" t="s">
        <v>92</v>
      </c>
      <c r="C1687" s="108" t="s">
        <v>532</v>
      </c>
      <c r="D1687" s="112" t="s">
        <v>178</v>
      </c>
      <c r="E1687" s="112">
        <v>2664.0</v>
      </c>
      <c r="F1687" s="111" t="str">
        <f>DataPull!D1687</f>
        <v/>
      </c>
      <c r="G1687" s="94" t="str">
        <f t="shared" si="2"/>
        <v/>
      </c>
      <c r="H1687" s="94" t="str">
        <f t="shared" si="3"/>
        <v/>
      </c>
      <c r="I1687" s="94" t="str">
        <f t="shared" ref="I1687:J1687" si="1688">if(G1687 = "", , -G1687)</f>
        <v/>
      </c>
      <c r="J1687" s="94" t="str">
        <f t="shared" si="1688"/>
        <v/>
      </c>
      <c r="K1687" s="100"/>
      <c r="M1687" s="100"/>
      <c r="N1687" s="100"/>
      <c r="O1687" s="100"/>
      <c r="P1687" s="100"/>
    </row>
    <row r="1688">
      <c r="A1688" s="107">
        <v>202691.0</v>
      </c>
      <c r="B1688" s="108" t="s">
        <v>190</v>
      </c>
      <c r="C1688" s="108" t="s">
        <v>532</v>
      </c>
      <c r="D1688" s="112" t="s">
        <v>184</v>
      </c>
      <c r="E1688" s="112">
        <v>2652.0</v>
      </c>
      <c r="F1688" s="111" t="str">
        <f>DataPull!D1688</f>
        <v/>
      </c>
      <c r="G1688" s="94" t="str">
        <f t="shared" si="2"/>
        <v/>
      </c>
      <c r="H1688" s="94" t="str">
        <f t="shared" si="3"/>
        <v/>
      </c>
      <c r="I1688" s="94" t="str">
        <f t="shared" ref="I1688:J1688" si="1689">if(G1688 = "", , -G1688)</f>
        <v/>
      </c>
      <c r="J1688" s="94" t="str">
        <f t="shared" si="1689"/>
        <v/>
      </c>
      <c r="K1688" s="100"/>
      <c r="M1688" s="100"/>
      <c r="N1688" s="100"/>
      <c r="O1688" s="100"/>
      <c r="P1688" s="100"/>
    </row>
    <row r="1689">
      <c r="A1689" s="107">
        <v>202691.0</v>
      </c>
      <c r="B1689" s="108" t="s">
        <v>191</v>
      </c>
      <c r="C1689" s="108" t="s">
        <v>532</v>
      </c>
      <c r="D1689" s="112" t="s">
        <v>178</v>
      </c>
      <c r="E1689" s="112">
        <v>2503.9</v>
      </c>
      <c r="F1689" s="111" t="str">
        <f>DataPull!D1689</f>
        <v/>
      </c>
      <c r="G1689" s="94" t="str">
        <f t="shared" si="2"/>
        <v/>
      </c>
      <c r="H1689" s="94" t="str">
        <f t="shared" si="3"/>
        <v/>
      </c>
      <c r="I1689" s="94" t="str">
        <f t="shared" ref="I1689:J1689" si="1690">if(G1689 = "", , -G1689)</f>
        <v/>
      </c>
      <c r="J1689" s="94" t="str">
        <f t="shared" si="1690"/>
        <v/>
      </c>
      <c r="K1689" s="100"/>
      <c r="M1689" s="100"/>
      <c r="N1689" s="100"/>
      <c r="O1689" s="100"/>
      <c r="P1689" s="100"/>
    </row>
    <row r="1690">
      <c r="A1690" s="107">
        <v>202691.0</v>
      </c>
      <c r="B1690" s="108" t="s">
        <v>192</v>
      </c>
      <c r="C1690" s="108" t="s">
        <v>532</v>
      </c>
      <c r="D1690" s="112" t="s">
        <v>178</v>
      </c>
      <c r="E1690" s="112">
        <v>2652.0</v>
      </c>
      <c r="F1690" s="111" t="str">
        <f>DataPull!D1690</f>
        <v/>
      </c>
      <c r="G1690" s="94" t="str">
        <f t="shared" si="2"/>
        <v/>
      </c>
      <c r="H1690" s="94" t="str">
        <f t="shared" si="3"/>
        <v/>
      </c>
      <c r="I1690" s="94" t="str">
        <f t="shared" ref="I1690:J1690" si="1691">if(G1690 = "", , -G1690)</f>
        <v/>
      </c>
      <c r="J1690" s="94" t="str">
        <f t="shared" si="1691"/>
        <v/>
      </c>
      <c r="K1690" s="100"/>
      <c r="M1690" s="100"/>
      <c r="N1690" s="100"/>
      <c r="O1690" s="100"/>
      <c r="P1690" s="100"/>
    </row>
    <row r="1691">
      <c r="A1691" s="107">
        <v>202691.0</v>
      </c>
      <c r="B1691" s="108" t="s">
        <v>215</v>
      </c>
      <c r="C1691" s="108" t="s">
        <v>532</v>
      </c>
      <c r="D1691" s="112" t="s">
        <v>178</v>
      </c>
      <c r="E1691" s="112">
        <v>940.8</v>
      </c>
      <c r="F1691" s="111" t="str">
        <f>DataPull!D1691</f>
        <v/>
      </c>
      <c r="G1691" s="94" t="str">
        <f t="shared" si="2"/>
        <v/>
      </c>
      <c r="H1691" s="94" t="str">
        <f t="shared" si="3"/>
        <v/>
      </c>
      <c r="I1691" s="94" t="str">
        <f t="shared" ref="I1691:J1691" si="1692">if(G1691 = "", , -G1691)</f>
        <v/>
      </c>
      <c r="J1691" s="94" t="str">
        <f t="shared" si="1692"/>
        <v/>
      </c>
      <c r="K1691" s="100"/>
      <c r="M1691" s="100"/>
      <c r="O1691" s="100"/>
      <c r="P1691" s="100"/>
    </row>
    <row r="1692">
      <c r="A1692" s="107">
        <v>202691.0</v>
      </c>
      <c r="B1692" s="108" t="s">
        <v>244</v>
      </c>
      <c r="C1692" s="108" t="s">
        <v>532</v>
      </c>
      <c r="D1692" s="112" t="s">
        <v>178</v>
      </c>
      <c r="E1692" s="112">
        <v>2277.0</v>
      </c>
      <c r="F1692" s="111" t="str">
        <f>DataPull!D1692</f>
        <v/>
      </c>
      <c r="G1692" s="94" t="str">
        <f t="shared" si="2"/>
        <v/>
      </c>
      <c r="H1692" s="94" t="str">
        <f t="shared" si="3"/>
        <v/>
      </c>
      <c r="I1692" s="94" t="str">
        <f t="shared" ref="I1692:J1692" si="1693">if(G1692 = "", , -G1692)</f>
        <v/>
      </c>
      <c r="J1692" s="94" t="str">
        <f t="shared" si="1693"/>
        <v/>
      </c>
      <c r="K1692" s="100"/>
      <c r="M1692" s="100"/>
      <c r="N1692" s="100"/>
      <c r="O1692" s="100"/>
      <c r="P1692" s="100"/>
    </row>
    <row r="1693">
      <c r="A1693" s="107">
        <v>202691.0</v>
      </c>
      <c r="B1693" s="108" t="s">
        <v>245</v>
      </c>
      <c r="C1693" s="108" t="s">
        <v>532</v>
      </c>
      <c r="D1693" s="112" t="s">
        <v>178</v>
      </c>
      <c r="E1693" s="112">
        <v>2286.9</v>
      </c>
      <c r="F1693" s="111" t="str">
        <f>DataPull!D1693</f>
        <v/>
      </c>
      <c r="G1693" s="94" t="str">
        <f t="shared" si="2"/>
        <v/>
      </c>
      <c r="H1693" s="94" t="str">
        <f t="shared" si="3"/>
        <v/>
      </c>
      <c r="I1693" s="94" t="str">
        <f t="shared" ref="I1693:J1693" si="1694">if(G1693 = "", , -G1693)</f>
        <v/>
      </c>
      <c r="J1693" s="94" t="str">
        <f t="shared" si="1694"/>
        <v/>
      </c>
      <c r="K1693" s="100"/>
      <c r="M1693" s="100"/>
      <c r="N1693" s="100"/>
      <c r="O1693" s="100"/>
      <c r="P1693" s="100"/>
    </row>
    <row r="1694">
      <c r="A1694" s="107">
        <v>202691.0</v>
      </c>
      <c r="B1694" s="108" t="s">
        <v>246</v>
      </c>
      <c r="C1694" s="108" t="s">
        <v>532</v>
      </c>
      <c r="D1694" s="112" t="s">
        <v>176</v>
      </c>
      <c r="E1694" s="112">
        <v>1965.6</v>
      </c>
      <c r="F1694" s="111" t="str">
        <f>DataPull!D1694</f>
        <v/>
      </c>
      <c r="G1694" s="94" t="str">
        <f t="shared" si="2"/>
        <v/>
      </c>
      <c r="H1694" s="94" t="str">
        <f t="shared" si="3"/>
        <v/>
      </c>
      <c r="I1694" s="94" t="str">
        <f t="shared" ref="I1694:J1694" si="1695">if(G1694 = "", , -G1694)</f>
        <v/>
      </c>
      <c r="J1694" s="94" t="str">
        <f t="shared" si="1695"/>
        <v/>
      </c>
      <c r="K1694" s="100"/>
      <c r="M1694" s="100"/>
      <c r="N1694" s="100"/>
      <c r="O1694" s="100"/>
      <c r="P1694" s="100"/>
    </row>
    <row r="1695">
      <c r="A1695" s="114">
        <v>202691.0</v>
      </c>
      <c r="B1695" s="113" t="s">
        <v>247</v>
      </c>
      <c r="C1695" s="113" t="s">
        <v>532</v>
      </c>
      <c r="D1695" s="112" t="s">
        <v>176</v>
      </c>
      <c r="E1695" s="112">
        <v>1497.3</v>
      </c>
      <c r="F1695" s="111" t="str">
        <f>DataPull!D1695</f>
        <v/>
      </c>
      <c r="G1695" s="94" t="str">
        <f t="shared" si="2"/>
        <v/>
      </c>
      <c r="H1695" s="94" t="str">
        <f t="shared" si="3"/>
        <v/>
      </c>
      <c r="I1695" s="94" t="str">
        <f t="shared" ref="I1695:J1695" si="1696">if(G1695 = "", , -G1695)</f>
        <v/>
      </c>
      <c r="J1695" s="94" t="str">
        <f t="shared" si="1696"/>
        <v/>
      </c>
      <c r="K1695" s="100"/>
      <c r="L1695" s="100"/>
      <c r="N1695" s="100"/>
      <c r="O1695" s="100"/>
      <c r="P1695" s="100"/>
    </row>
    <row r="1696">
      <c r="A1696" s="107">
        <v>202692.0</v>
      </c>
      <c r="B1696" s="108" t="s">
        <v>85</v>
      </c>
      <c r="C1696" s="108" t="s">
        <v>533</v>
      </c>
      <c r="D1696" s="112" t="s">
        <v>178</v>
      </c>
      <c r="E1696" s="112">
        <v>2191.8</v>
      </c>
      <c r="F1696" s="111" t="str">
        <f>DataPull!D1696</f>
        <v/>
      </c>
      <c r="G1696" s="94" t="str">
        <f t="shared" si="2"/>
        <v/>
      </c>
      <c r="H1696" s="94" t="str">
        <f t="shared" si="3"/>
        <v/>
      </c>
      <c r="I1696" s="94" t="str">
        <f t="shared" ref="I1696:J1696" si="1697">if(G1696 = "", , -G1696)</f>
        <v/>
      </c>
      <c r="J1696" s="94" t="str">
        <f t="shared" si="1697"/>
        <v/>
      </c>
      <c r="K1696" s="100"/>
      <c r="L1696" s="100"/>
      <c r="M1696" s="100"/>
      <c r="N1696" s="100"/>
      <c r="O1696" s="100"/>
    </row>
    <row r="1697">
      <c r="A1697" s="107">
        <v>202692.0</v>
      </c>
      <c r="B1697" s="108" t="s">
        <v>90</v>
      </c>
      <c r="C1697" s="108" t="s">
        <v>533</v>
      </c>
      <c r="D1697" s="112" t="s">
        <v>178</v>
      </c>
      <c r="E1697" s="112">
        <v>899.1</v>
      </c>
      <c r="F1697" s="111" t="str">
        <f>DataPull!D1697</f>
        <v/>
      </c>
      <c r="G1697" s="94" t="str">
        <f t="shared" si="2"/>
        <v/>
      </c>
      <c r="H1697" s="94" t="str">
        <f t="shared" si="3"/>
        <v/>
      </c>
      <c r="I1697" s="94" t="str">
        <f t="shared" ref="I1697:J1697" si="1698">if(G1697 = "", , -G1697)</f>
        <v/>
      </c>
      <c r="J1697" s="94" t="str">
        <f t="shared" si="1698"/>
        <v/>
      </c>
      <c r="K1697" s="100"/>
      <c r="M1697" s="100"/>
      <c r="N1697" s="100"/>
      <c r="O1697" s="100"/>
      <c r="P1697" s="100"/>
    </row>
    <row r="1698">
      <c r="A1698" s="107">
        <v>202692.0</v>
      </c>
      <c r="B1698" s="108" t="s">
        <v>92</v>
      </c>
      <c r="C1698" s="108" t="s">
        <v>533</v>
      </c>
      <c r="D1698" s="112" t="s">
        <v>176</v>
      </c>
      <c r="E1698" s="112">
        <v>796.7</v>
      </c>
      <c r="F1698" s="111" t="str">
        <f>DataPull!D1698</f>
        <v/>
      </c>
      <c r="G1698" s="94" t="str">
        <f t="shared" si="2"/>
        <v/>
      </c>
      <c r="H1698" s="94" t="str">
        <f t="shared" si="3"/>
        <v/>
      </c>
      <c r="I1698" s="94" t="str">
        <f t="shared" ref="I1698:J1698" si="1699">if(G1698 = "", , -G1698)</f>
        <v/>
      </c>
      <c r="J1698" s="94" t="str">
        <f t="shared" si="1699"/>
        <v/>
      </c>
      <c r="K1698" s="100"/>
      <c r="M1698" s="100"/>
      <c r="N1698" s="100"/>
      <c r="O1698" s="100"/>
      <c r="P1698" s="100"/>
    </row>
    <row r="1699">
      <c r="A1699" s="107">
        <v>202692.0</v>
      </c>
      <c r="B1699" s="108" t="s">
        <v>190</v>
      </c>
      <c r="C1699" s="108" t="s">
        <v>533</v>
      </c>
      <c r="D1699" s="112" t="s">
        <v>177</v>
      </c>
      <c r="E1699" s="112">
        <v>651.0</v>
      </c>
      <c r="F1699" s="111" t="str">
        <f>DataPull!D1699</f>
        <v/>
      </c>
      <c r="G1699" s="94" t="str">
        <f t="shared" si="2"/>
        <v/>
      </c>
      <c r="H1699" s="94" t="str">
        <f t="shared" si="3"/>
        <v/>
      </c>
      <c r="I1699" s="94" t="str">
        <f t="shared" ref="I1699:J1699" si="1700">if(G1699 = "", , -G1699)</f>
        <v/>
      </c>
      <c r="J1699" s="94" t="str">
        <f t="shared" si="1700"/>
        <v/>
      </c>
      <c r="K1699" s="100"/>
      <c r="M1699" s="100"/>
      <c r="N1699" s="100"/>
      <c r="O1699" s="100"/>
      <c r="P1699" s="100"/>
    </row>
    <row r="1700">
      <c r="A1700" s="107">
        <v>202692.0</v>
      </c>
      <c r="B1700" s="108" t="s">
        <v>191</v>
      </c>
      <c r="C1700" s="108" t="s">
        <v>533</v>
      </c>
      <c r="D1700" s="112" t="s">
        <v>187</v>
      </c>
      <c r="E1700" s="112">
        <v>1056.0</v>
      </c>
      <c r="F1700" s="111" t="str">
        <f>DataPull!D1700</f>
        <v/>
      </c>
      <c r="G1700" s="94" t="str">
        <f t="shared" si="2"/>
        <v/>
      </c>
      <c r="H1700" s="94" t="str">
        <f t="shared" si="3"/>
        <v/>
      </c>
      <c r="I1700" s="94" t="str">
        <f t="shared" ref="I1700:J1700" si="1701">if(G1700 = "", , -G1700)</f>
        <v/>
      </c>
      <c r="J1700" s="94" t="str">
        <f t="shared" si="1701"/>
        <v/>
      </c>
      <c r="K1700" s="100"/>
      <c r="M1700" s="100"/>
      <c r="N1700" s="100"/>
      <c r="O1700" s="100"/>
      <c r="P1700" s="100"/>
    </row>
    <row r="1701">
      <c r="A1701" s="107">
        <v>202692.0</v>
      </c>
      <c r="B1701" s="108" t="s">
        <v>192</v>
      </c>
      <c r="C1701" s="108" t="s">
        <v>533</v>
      </c>
      <c r="D1701" s="112" t="s">
        <v>178</v>
      </c>
      <c r="E1701" s="112">
        <v>1376.0</v>
      </c>
      <c r="F1701" s="111" t="str">
        <f>DataPull!D1701</f>
        <v/>
      </c>
      <c r="G1701" s="94" t="str">
        <f t="shared" si="2"/>
        <v/>
      </c>
      <c r="H1701" s="94" t="str">
        <f t="shared" si="3"/>
        <v/>
      </c>
      <c r="I1701" s="94" t="str">
        <f t="shared" ref="I1701:J1701" si="1702">if(G1701 = "", , -G1701)</f>
        <v/>
      </c>
      <c r="J1701" s="94" t="str">
        <f t="shared" si="1702"/>
        <v/>
      </c>
      <c r="K1701" s="100"/>
      <c r="L1701" s="100"/>
      <c r="M1701" s="100"/>
      <c r="N1701" s="100"/>
      <c r="O1701" s="100"/>
      <c r="P1701" s="100"/>
    </row>
    <row r="1702">
      <c r="A1702" s="107">
        <v>202692.0</v>
      </c>
      <c r="B1702" s="108" t="s">
        <v>193</v>
      </c>
      <c r="C1702" s="108" t="s">
        <v>533</v>
      </c>
      <c r="D1702" s="112" t="s">
        <v>178</v>
      </c>
      <c r="E1702" s="112">
        <v>1755.6</v>
      </c>
      <c r="F1702" s="111" t="str">
        <f>DataPull!D1702</f>
        <v/>
      </c>
      <c r="G1702" s="94" t="str">
        <f t="shared" si="2"/>
        <v/>
      </c>
      <c r="H1702" s="94" t="str">
        <f t="shared" si="3"/>
        <v/>
      </c>
      <c r="I1702" s="94" t="str">
        <f t="shared" ref="I1702:J1702" si="1703">if(G1702 = "", , -G1702)</f>
        <v/>
      </c>
      <c r="J1702" s="94" t="str">
        <f t="shared" si="1703"/>
        <v/>
      </c>
      <c r="K1702" s="100"/>
      <c r="M1702" s="100"/>
      <c r="N1702" s="100"/>
      <c r="O1702" s="100"/>
      <c r="P1702" s="100"/>
    </row>
    <row r="1703">
      <c r="A1703" s="107">
        <v>202692.0</v>
      </c>
      <c r="B1703" s="108" t="s">
        <v>243</v>
      </c>
      <c r="C1703" s="108" t="s">
        <v>533</v>
      </c>
      <c r="D1703" s="112" t="s">
        <v>176</v>
      </c>
      <c r="E1703" s="112">
        <v>1254.4</v>
      </c>
      <c r="F1703" s="111" t="str">
        <f>DataPull!D1703</f>
        <v/>
      </c>
      <c r="G1703" s="94" t="str">
        <f t="shared" si="2"/>
        <v/>
      </c>
      <c r="H1703" s="94" t="str">
        <f t="shared" si="3"/>
        <v/>
      </c>
      <c r="I1703" s="94" t="str">
        <f t="shared" ref="I1703:J1703" si="1704">if(G1703 = "", , -G1703)</f>
        <v/>
      </c>
      <c r="J1703" s="94" t="str">
        <f t="shared" si="1704"/>
        <v/>
      </c>
      <c r="K1703" s="100"/>
      <c r="L1703" s="100"/>
      <c r="M1703" s="100"/>
      <c r="N1703" s="100"/>
      <c r="O1703" s="100"/>
      <c r="P1703" s="100"/>
    </row>
    <row r="1704">
      <c r="A1704" s="107">
        <v>202692.0</v>
      </c>
      <c r="B1704" s="108" t="s">
        <v>215</v>
      </c>
      <c r="C1704" s="108" t="s">
        <v>533</v>
      </c>
      <c r="D1704" s="112" t="s">
        <v>178</v>
      </c>
      <c r="E1704" s="112">
        <v>2316.6</v>
      </c>
      <c r="F1704" s="111" t="str">
        <f>DataPull!D1704</f>
        <v/>
      </c>
      <c r="G1704" s="94" t="str">
        <f t="shared" si="2"/>
        <v/>
      </c>
      <c r="H1704" s="94" t="str">
        <f t="shared" si="3"/>
        <v/>
      </c>
      <c r="I1704" s="94" t="str">
        <f t="shared" ref="I1704:J1704" si="1705">if(G1704 = "", , -G1704)</f>
        <v/>
      </c>
      <c r="J1704" s="94" t="str">
        <f t="shared" si="1705"/>
        <v/>
      </c>
      <c r="K1704" s="100"/>
      <c r="M1704" s="100"/>
      <c r="N1704" s="100"/>
      <c r="O1704" s="100"/>
      <c r="P1704" s="100"/>
    </row>
    <row r="1705">
      <c r="A1705" s="107">
        <v>202692.0</v>
      </c>
      <c r="B1705" s="108" t="s">
        <v>244</v>
      </c>
      <c r="C1705" s="108" t="s">
        <v>533</v>
      </c>
      <c r="D1705" s="112" t="s">
        <v>176</v>
      </c>
      <c r="E1705" s="112">
        <v>1122.0</v>
      </c>
      <c r="F1705" s="111" t="str">
        <f>DataPull!D1705</f>
        <v/>
      </c>
      <c r="G1705" s="94" t="str">
        <f t="shared" si="2"/>
        <v/>
      </c>
      <c r="H1705" s="94" t="str">
        <f t="shared" si="3"/>
        <v/>
      </c>
      <c r="I1705" s="94" t="str">
        <f t="shared" ref="I1705:J1705" si="1706">if(G1705 = "", , -G1705)</f>
        <v/>
      </c>
      <c r="J1705" s="94" t="str">
        <f t="shared" si="1706"/>
        <v/>
      </c>
      <c r="K1705" s="100"/>
      <c r="M1705" s="100"/>
      <c r="N1705" s="100"/>
      <c r="O1705" s="100"/>
      <c r="P1705" s="100"/>
    </row>
    <row r="1706">
      <c r="A1706" s="107">
        <v>202692.0</v>
      </c>
      <c r="B1706" s="108" t="s">
        <v>245</v>
      </c>
      <c r="C1706" s="108" t="s">
        <v>533</v>
      </c>
      <c r="D1706" s="112" t="s">
        <v>176</v>
      </c>
      <c r="E1706" s="112">
        <v>1214.4</v>
      </c>
      <c r="F1706" s="111" t="str">
        <f>DataPull!D1706</f>
        <v/>
      </c>
      <c r="G1706" s="94" t="str">
        <f t="shared" si="2"/>
        <v/>
      </c>
      <c r="H1706" s="94" t="str">
        <f t="shared" si="3"/>
        <v/>
      </c>
      <c r="I1706" s="94" t="str">
        <f t="shared" ref="I1706:J1706" si="1707">if(G1706 = "", , -G1706)</f>
        <v/>
      </c>
      <c r="J1706" s="94" t="str">
        <f t="shared" si="1707"/>
        <v/>
      </c>
      <c r="K1706" s="100"/>
      <c r="M1706" s="100"/>
      <c r="N1706" s="100"/>
      <c r="O1706" s="100"/>
      <c r="P1706" s="100"/>
    </row>
    <row r="1707">
      <c r="A1707" s="107">
        <v>202692.0</v>
      </c>
      <c r="B1707" s="108" t="s">
        <v>246</v>
      </c>
      <c r="C1707" s="108" t="s">
        <v>533</v>
      </c>
      <c r="D1707" s="112" t="s">
        <v>177</v>
      </c>
      <c r="E1707" s="112">
        <v>862.4</v>
      </c>
      <c r="F1707" s="111" t="str">
        <f>DataPull!D1707</f>
        <v/>
      </c>
      <c r="G1707" s="94" t="str">
        <f t="shared" si="2"/>
        <v/>
      </c>
      <c r="H1707" s="94" t="str">
        <f t="shared" si="3"/>
        <v/>
      </c>
      <c r="I1707" s="94" t="str">
        <f t="shared" ref="I1707:J1707" si="1708">if(G1707 = "", , -G1707)</f>
        <v/>
      </c>
      <c r="J1707" s="94" t="str">
        <f t="shared" si="1708"/>
        <v/>
      </c>
      <c r="K1707" s="100"/>
      <c r="M1707" s="100"/>
      <c r="N1707" s="100"/>
      <c r="O1707" s="100"/>
      <c r="P1707" s="100"/>
    </row>
    <row r="1708">
      <c r="A1708" s="107">
        <v>202693.0</v>
      </c>
      <c r="B1708" s="108" t="s">
        <v>85</v>
      </c>
      <c r="C1708" s="108" t="s">
        <v>534</v>
      </c>
      <c r="D1708" s="112" t="s">
        <v>176</v>
      </c>
      <c r="E1708" s="112">
        <v>2154.6</v>
      </c>
      <c r="F1708" s="111" t="str">
        <f>DataPull!D1708</f>
        <v/>
      </c>
      <c r="G1708" s="94" t="str">
        <f t="shared" si="2"/>
        <v/>
      </c>
      <c r="H1708" s="94" t="str">
        <f t="shared" si="3"/>
        <v/>
      </c>
      <c r="I1708" s="94" t="str">
        <f t="shared" ref="I1708:J1708" si="1709">if(G1708 = "", , -G1708)</f>
        <v/>
      </c>
      <c r="J1708" s="94" t="str">
        <f t="shared" si="1709"/>
        <v/>
      </c>
      <c r="K1708" s="100"/>
      <c r="M1708" s="100"/>
      <c r="N1708" s="100"/>
      <c r="O1708" s="100"/>
      <c r="P1708" s="100"/>
    </row>
    <row r="1709">
      <c r="A1709" s="107">
        <v>202693.0</v>
      </c>
      <c r="B1709" s="108" t="s">
        <v>90</v>
      </c>
      <c r="C1709" s="108" t="s">
        <v>534</v>
      </c>
      <c r="D1709" s="112" t="s">
        <v>178</v>
      </c>
      <c r="E1709" s="112">
        <v>2583.0</v>
      </c>
      <c r="F1709" s="111" t="str">
        <f>DataPull!D1709</f>
        <v/>
      </c>
      <c r="G1709" s="94" t="str">
        <f t="shared" si="2"/>
        <v/>
      </c>
      <c r="H1709" s="94" t="str">
        <f t="shared" si="3"/>
        <v/>
      </c>
      <c r="I1709" s="94" t="str">
        <f t="shared" ref="I1709:J1709" si="1710">if(G1709 = "", , -G1709)</f>
        <v/>
      </c>
      <c r="J1709" s="94" t="str">
        <f t="shared" si="1710"/>
        <v/>
      </c>
      <c r="K1709" s="100"/>
      <c r="M1709" s="100"/>
      <c r="N1709" s="100"/>
      <c r="O1709" s="100"/>
      <c r="P1709" s="100"/>
    </row>
    <row r="1710">
      <c r="A1710" s="107">
        <v>202693.0</v>
      </c>
      <c r="B1710" s="108" t="s">
        <v>92</v>
      </c>
      <c r="C1710" s="108" t="s">
        <v>534</v>
      </c>
      <c r="D1710" s="112" t="s">
        <v>178</v>
      </c>
      <c r="E1710" s="112">
        <v>1632.0</v>
      </c>
      <c r="F1710" s="111" t="str">
        <f>DataPull!D1710</f>
        <v/>
      </c>
      <c r="G1710" s="94" t="str">
        <f t="shared" si="2"/>
        <v/>
      </c>
      <c r="H1710" s="94" t="str">
        <f t="shared" si="3"/>
        <v/>
      </c>
      <c r="I1710" s="94" t="str">
        <f t="shared" ref="I1710:J1710" si="1711">if(G1710 = "", , -G1710)</f>
        <v/>
      </c>
      <c r="J1710" s="94" t="str">
        <f t="shared" si="1711"/>
        <v/>
      </c>
      <c r="K1710" s="100"/>
      <c r="M1710" s="100"/>
      <c r="N1710" s="100"/>
      <c r="P1710" s="100"/>
    </row>
    <row r="1711">
      <c r="A1711" s="107">
        <v>202693.0</v>
      </c>
      <c r="B1711" s="108" t="s">
        <v>190</v>
      </c>
      <c r="C1711" s="108" t="s">
        <v>534</v>
      </c>
      <c r="D1711" s="112" t="s">
        <v>178</v>
      </c>
      <c r="E1711" s="112">
        <v>2371.2</v>
      </c>
      <c r="F1711" s="111" t="str">
        <f>DataPull!D1711</f>
        <v/>
      </c>
      <c r="G1711" s="94" t="str">
        <f t="shared" si="2"/>
        <v/>
      </c>
      <c r="H1711" s="94" t="str">
        <f t="shared" si="3"/>
        <v/>
      </c>
      <c r="I1711" s="94" t="str">
        <f t="shared" ref="I1711:J1711" si="1712">if(G1711 = "", , -G1711)</f>
        <v/>
      </c>
      <c r="J1711" s="94" t="str">
        <f t="shared" si="1712"/>
        <v/>
      </c>
      <c r="K1711" s="100"/>
      <c r="M1711" s="100"/>
      <c r="N1711" s="100"/>
    </row>
    <row r="1712">
      <c r="A1712" s="107">
        <v>202693.0</v>
      </c>
      <c r="B1712" s="108" t="s">
        <v>191</v>
      </c>
      <c r="C1712" s="108" t="s">
        <v>534</v>
      </c>
      <c r="D1712" s="112" t="s">
        <v>178</v>
      </c>
      <c r="E1712" s="112">
        <v>1971.0</v>
      </c>
      <c r="F1712" s="111" t="str">
        <f>DataPull!D1712</f>
        <v/>
      </c>
      <c r="G1712" s="94" t="str">
        <f t="shared" si="2"/>
        <v/>
      </c>
      <c r="H1712" s="94" t="str">
        <f t="shared" si="3"/>
        <v/>
      </c>
      <c r="I1712" s="94" t="str">
        <f t="shared" ref="I1712:J1712" si="1713">if(G1712 = "", , -G1712)</f>
        <v/>
      </c>
      <c r="J1712" s="94" t="str">
        <f t="shared" si="1713"/>
        <v/>
      </c>
      <c r="K1712" s="100"/>
      <c r="L1712" s="100"/>
      <c r="M1712" s="100"/>
      <c r="N1712" s="100"/>
      <c r="O1712" s="100"/>
      <c r="P1712" s="100"/>
    </row>
    <row r="1713">
      <c r="A1713" s="107">
        <v>202693.0</v>
      </c>
      <c r="B1713" s="108" t="s">
        <v>192</v>
      </c>
      <c r="C1713" s="108" t="s">
        <v>534</v>
      </c>
      <c r="D1713" s="112" t="s">
        <v>176</v>
      </c>
      <c r="E1713" s="112">
        <v>1270.2</v>
      </c>
      <c r="F1713" s="111" t="str">
        <f>DataPull!D1713</f>
        <v/>
      </c>
      <c r="G1713" s="94" t="str">
        <f t="shared" si="2"/>
        <v/>
      </c>
      <c r="H1713" s="94" t="str">
        <f t="shared" si="3"/>
        <v/>
      </c>
      <c r="I1713" s="94" t="str">
        <f t="shared" ref="I1713:J1713" si="1714">if(G1713 = "", , -G1713)</f>
        <v/>
      </c>
      <c r="J1713" s="94" t="str">
        <f t="shared" si="1714"/>
        <v/>
      </c>
      <c r="K1713" s="100"/>
      <c r="L1713" s="100"/>
      <c r="M1713" s="100"/>
      <c r="N1713" s="100"/>
      <c r="O1713" s="100"/>
      <c r="P1713" s="100"/>
    </row>
    <row r="1714">
      <c r="A1714" s="107">
        <v>202693.0</v>
      </c>
      <c r="B1714" s="108" t="s">
        <v>193</v>
      </c>
      <c r="C1714" s="108" t="s">
        <v>534</v>
      </c>
      <c r="D1714" s="112" t="s">
        <v>176</v>
      </c>
      <c r="E1714" s="112">
        <v>1189.0</v>
      </c>
      <c r="F1714" s="111" t="str">
        <f>DataPull!D1714</f>
        <v/>
      </c>
      <c r="G1714" s="94" t="str">
        <f t="shared" si="2"/>
        <v/>
      </c>
      <c r="H1714" s="94" t="str">
        <f t="shared" si="3"/>
        <v/>
      </c>
      <c r="I1714" s="94" t="str">
        <f t="shared" ref="I1714:J1714" si="1715">if(G1714 = "", , -G1714)</f>
        <v/>
      </c>
      <c r="J1714" s="94" t="str">
        <f t="shared" si="1715"/>
        <v/>
      </c>
      <c r="K1714" s="100"/>
      <c r="M1714" s="100"/>
      <c r="N1714" s="100"/>
      <c r="O1714" s="100"/>
      <c r="P1714" s="100"/>
    </row>
    <row r="1715">
      <c r="A1715" s="107">
        <v>202693.0</v>
      </c>
      <c r="B1715" s="108" t="s">
        <v>243</v>
      </c>
      <c r="C1715" s="108" t="s">
        <v>534</v>
      </c>
      <c r="D1715" s="112" t="s">
        <v>177</v>
      </c>
      <c r="E1715" s="112">
        <v>1201.7</v>
      </c>
      <c r="F1715" s="111" t="str">
        <f>DataPull!D1715</f>
        <v/>
      </c>
      <c r="G1715" s="94" t="str">
        <f t="shared" si="2"/>
        <v/>
      </c>
      <c r="H1715" s="94" t="str">
        <f t="shared" si="3"/>
        <v/>
      </c>
      <c r="I1715" s="94" t="str">
        <f t="shared" ref="I1715:J1715" si="1716">if(G1715 = "", , -G1715)</f>
        <v/>
      </c>
      <c r="J1715" s="94" t="str">
        <f t="shared" si="1716"/>
        <v/>
      </c>
      <c r="K1715" s="100"/>
      <c r="M1715" s="100"/>
      <c r="N1715" s="100"/>
      <c r="O1715" s="100"/>
      <c r="P1715" s="100"/>
    </row>
    <row r="1716">
      <c r="A1716" s="107">
        <v>202693.0</v>
      </c>
      <c r="B1716" s="108" t="s">
        <v>215</v>
      </c>
      <c r="C1716" s="108" t="s">
        <v>534</v>
      </c>
      <c r="D1716" s="112" t="s">
        <v>187</v>
      </c>
      <c r="E1716" s="112">
        <v>297.5</v>
      </c>
      <c r="F1716" s="111" t="str">
        <f>DataPull!D1716</f>
        <v/>
      </c>
      <c r="G1716" s="94" t="str">
        <f t="shared" si="2"/>
        <v/>
      </c>
      <c r="H1716" s="94" t="str">
        <f t="shared" si="3"/>
        <v/>
      </c>
      <c r="I1716" s="94" t="str">
        <f t="shared" ref="I1716:J1716" si="1717">if(G1716 = "", , -G1716)</f>
        <v/>
      </c>
      <c r="J1716" s="94" t="str">
        <f t="shared" si="1717"/>
        <v/>
      </c>
      <c r="K1716" s="100"/>
      <c r="M1716" s="100"/>
      <c r="N1716" s="100"/>
      <c r="O1716" s="100"/>
      <c r="P1716" s="100"/>
    </row>
    <row r="1717">
      <c r="A1717" s="107">
        <v>202693.0</v>
      </c>
      <c r="B1717" s="108" t="s">
        <v>244</v>
      </c>
      <c r="C1717" s="108" t="s">
        <v>534</v>
      </c>
      <c r="D1717" s="112" t="s">
        <v>187</v>
      </c>
      <c r="E1717" s="112">
        <v>353.5</v>
      </c>
      <c r="F1717" s="111" t="str">
        <f>DataPull!D1717</f>
        <v/>
      </c>
      <c r="G1717" s="94" t="str">
        <f t="shared" si="2"/>
        <v/>
      </c>
      <c r="H1717" s="94" t="str">
        <f t="shared" si="3"/>
        <v/>
      </c>
      <c r="I1717" s="94" t="str">
        <f t="shared" ref="I1717:J1717" si="1718">if(G1717 = "", , -G1717)</f>
        <v/>
      </c>
      <c r="J1717" s="94" t="str">
        <f t="shared" si="1718"/>
        <v/>
      </c>
      <c r="K1717" s="100"/>
      <c r="L1717" s="100"/>
      <c r="N1717" s="100"/>
      <c r="O1717" s="100"/>
      <c r="P1717" s="100"/>
    </row>
    <row r="1718">
      <c r="A1718" s="107">
        <v>202693.0</v>
      </c>
      <c r="B1718" s="108" t="s">
        <v>245</v>
      </c>
      <c r="C1718" s="108" t="s">
        <v>534</v>
      </c>
      <c r="D1718" s="112" t="s">
        <v>187</v>
      </c>
      <c r="E1718" s="112">
        <v>215.8</v>
      </c>
      <c r="F1718" s="111" t="str">
        <f>DataPull!D1718</f>
        <v/>
      </c>
      <c r="G1718" s="94" t="str">
        <f t="shared" si="2"/>
        <v/>
      </c>
      <c r="H1718" s="94" t="str">
        <f t="shared" si="3"/>
        <v/>
      </c>
      <c r="I1718" s="94" t="str">
        <f t="shared" ref="I1718:J1718" si="1719">if(G1718 = "", , -G1718)</f>
        <v/>
      </c>
      <c r="J1718" s="94" t="str">
        <f t="shared" si="1719"/>
        <v/>
      </c>
      <c r="K1718" s="100"/>
      <c r="M1718" s="100"/>
      <c r="N1718" s="100"/>
      <c r="O1718" s="100"/>
      <c r="P1718" s="100"/>
    </row>
    <row r="1719">
      <c r="A1719" s="107">
        <v>202693.0</v>
      </c>
      <c r="B1719" s="108" t="s">
        <v>246</v>
      </c>
      <c r="C1719" s="108" t="s">
        <v>534</v>
      </c>
      <c r="D1719" s="112" t="s">
        <v>181</v>
      </c>
      <c r="E1719" s="112">
        <v>165.0</v>
      </c>
      <c r="F1719" s="111" t="str">
        <f>DataPull!D1719</f>
        <v/>
      </c>
      <c r="G1719" s="94" t="str">
        <f t="shared" si="2"/>
        <v/>
      </c>
      <c r="H1719" s="94" t="str">
        <f t="shared" si="3"/>
        <v/>
      </c>
      <c r="I1719" s="94" t="str">
        <f t="shared" ref="I1719:J1719" si="1720">if(G1719 = "", , -G1719)</f>
        <v/>
      </c>
      <c r="J1719" s="94" t="str">
        <f t="shared" si="1720"/>
        <v/>
      </c>
      <c r="K1719" s="100"/>
      <c r="M1719" s="100"/>
      <c r="N1719" s="100"/>
      <c r="O1719" s="100"/>
      <c r="P1719" s="100"/>
    </row>
    <row r="1720">
      <c r="A1720" s="107">
        <v>202694.0</v>
      </c>
      <c r="B1720" s="108" t="s">
        <v>85</v>
      </c>
      <c r="C1720" s="108" t="s">
        <v>535</v>
      </c>
      <c r="D1720" s="112" t="s">
        <v>176</v>
      </c>
      <c r="E1720" s="112">
        <v>1795.8</v>
      </c>
      <c r="F1720" s="111" t="str">
        <f>DataPull!D1720</f>
        <v/>
      </c>
      <c r="G1720" s="94" t="str">
        <f t="shared" si="2"/>
        <v/>
      </c>
      <c r="H1720" s="94" t="str">
        <f t="shared" si="3"/>
        <v/>
      </c>
      <c r="I1720" s="94" t="str">
        <f t="shared" ref="I1720:J1720" si="1721">if(G1720 = "", , -G1720)</f>
        <v/>
      </c>
      <c r="J1720" s="94" t="str">
        <f t="shared" si="1721"/>
        <v/>
      </c>
      <c r="K1720" s="100"/>
      <c r="M1720" s="100"/>
      <c r="N1720" s="100"/>
      <c r="O1720" s="100"/>
      <c r="P1720" s="100"/>
    </row>
    <row r="1721">
      <c r="A1721" s="107">
        <v>202694.0</v>
      </c>
      <c r="B1721" s="108" t="s">
        <v>90</v>
      </c>
      <c r="C1721" s="108" t="s">
        <v>535</v>
      </c>
      <c r="D1721" s="112" t="s">
        <v>176</v>
      </c>
      <c r="E1721" s="112">
        <v>2041.2</v>
      </c>
      <c r="F1721" s="111" t="str">
        <f>DataPull!D1721</f>
        <v/>
      </c>
      <c r="G1721" s="94" t="str">
        <f t="shared" si="2"/>
        <v/>
      </c>
      <c r="H1721" s="94" t="str">
        <f t="shared" si="3"/>
        <v/>
      </c>
      <c r="I1721" s="94" t="str">
        <f t="shared" ref="I1721:J1721" si="1722">if(G1721 = "", , -G1721)</f>
        <v/>
      </c>
      <c r="J1721" s="94" t="str">
        <f t="shared" si="1722"/>
        <v/>
      </c>
      <c r="K1721" s="100"/>
      <c r="M1721" s="100"/>
      <c r="N1721" s="100"/>
      <c r="O1721" s="100"/>
      <c r="P1721" s="100"/>
    </row>
    <row r="1722">
      <c r="A1722" s="107">
        <v>202694.0</v>
      </c>
      <c r="B1722" s="108" t="s">
        <v>92</v>
      </c>
      <c r="C1722" s="108" t="s">
        <v>535</v>
      </c>
      <c r="D1722" s="112" t="s">
        <v>178</v>
      </c>
      <c r="E1722" s="112">
        <v>2856.0</v>
      </c>
      <c r="F1722" s="111" t="str">
        <f>DataPull!D1722</f>
        <v/>
      </c>
      <c r="G1722" s="94" t="str">
        <f t="shared" si="2"/>
        <v/>
      </c>
      <c r="H1722" s="94" t="str">
        <f t="shared" si="3"/>
        <v/>
      </c>
      <c r="I1722" s="94" t="str">
        <f t="shared" ref="I1722:J1722" si="1723">if(G1722 = "", , -G1722)</f>
        <v/>
      </c>
      <c r="J1722" s="94" t="str">
        <f t="shared" si="1723"/>
        <v/>
      </c>
      <c r="K1722" s="100"/>
      <c r="M1722" s="100"/>
      <c r="N1722" s="100"/>
      <c r="O1722" s="100"/>
      <c r="P1722" s="100"/>
    </row>
    <row r="1723">
      <c r="A1723" s="107">
        <v>202694.0</v>
      </c>
      <c r="B1723" s="108" t="s">
        <v>190</v>
      </c>
      <c r="C1723" s="108" t="s">
        <v>535</v>
      </c>
      <c r="D1723" s="112" t="s">
        <v>178</v>
      </c>
      <c r="E1723" s="112">
        <v>2567.5</v>
      </c>
      <c r="F1723" s="111" t="str">
        <f>DataPull!D1723</f>
        <v/>
      </c>
      <c r="G1723" s="94" t="str">
        <f t="shared" si="2"/>
        <v/>
      </c>
      <c r="H1723" s="94" t="str">
        <f t="shared" si="3"/>
        <v/>
      </c>
      <c r="I1723" s="94" t="str">
        <f t="shared" ref="I1723:J1723" si="1724">if(G1723 = "", , -G1723)</f>
        <v/>
      </c>
      <c r="J1723" s="94" t="str">
        <f t="shared" si="1724"/>
        <v/>
      </c>
      <c r="K1723" s="100"/>
      <c r="M1723" s="100"/>
      <c r="N1723" s="100"/>
      <c r="O1723" s="100"/>
      <c r="P1723" s="100"/>
    </row>
    <row r="1724">
      <c r="A1724" s="107">
        <v>202694.0</v>
      </c>
      <c r="B1724" s="108" t="s">
        <v>191</v>
      </c>
      <c r="C1724" s="108" t="s">
        <v>535</v>
      </c>
      <c r="D1724" s="112" t="s">
        <v>176</v>
      </c>
      <c r="E1724" s="112">
        <v>1441.8</v>
      </c>
      <c r="F1724" s="111" t="str">
        <f>DataPull!D1724</f>
        <v/>
      </c>
      <c r="G1724" s="94" t="str">
        <f t="shared" si="2"/>
        <v/>
      </c>
      <c r="H1724" s="94" t="str">
        <f t="shared" si="3"/>
        <v/>
      </c>
      <c r="I1724" s="94" t="str">
        <f t="shared" ref="I1724:J1724" si="1725">if(G1724 = "", , -G1724)</f>
        <v/>
      </c>
      <c r="J1724" s="94" t="str">
        <f t="shared" si="1725"/>
        <v/>
      </c>
      <c r="K1724" s="100"/>
      <c r="L1724" s="100"/>
      <c r="M1724" s="100"/>
      <c r="N1724" s="100"/>
      <c r="O1724" s="100"/>
    </row>
    <row r="1725">
      <c r="A1725" s="107">
        <v>202694.0</v>
      </c>
      <c r="B1725" s="108" t="s">
        <v>192</v>
      </c>
      <c r="C1725" s="108" t="s">
        <v>535</v>
      </c>
      <c r="D1725" s="112" t="s">
        <v>178</v>
      </c>
      <c r="E1725" s="112">
        <v>2092.5</v>
      </c>
      <c r="F1725" s="111" t="str">
        <f>DataPull!D1725</f>
        <v/>
      </c>
      <c r="G1725" s="94" t="str">
        <f t="shared" si="2"/>
        <v/>
      </c>
      <c r="H1725" s="94" t="str">
        <f t="shared" si="3"/>
        <v/>
      </c>
      <c r="I1725" s="94" t="str">
        <f t="shared" ref="I1725:J1725" si="1726">if(G1725 = "", , -G1725)</f>
        <v/>
      </c>
      <c r="J1725" s="94" t="str">
        <f t="shared" si="1726"/>
        <v/>
      </c>
      <c r="K1725" s="100"/>
      <c r="L1725" s="100"/>
      <c r="M1725" s="100"/>
      <c r="N1725" s="100"/>
      <c r="O1725" s="100"/>
      <c r="P1725" s="100"/>
    </row>
    <row r="1726">
      <c r="A1726" s="107">
        <v>202694.0</v>
      </c>
      <c r="B1726" s="108" t="s">
        <v>193</v>
      </c>
      <c r="C1726" s="108" t="s">
        <v>535</v>
      </c>
      <c r="D1726" s="112" t="s">
        <v>178</v>
      </c>
      <c r="E1726" s="112">
        <v>1934.4</v>
      </c>
      <c r="F1726" s="111" t="str">
        <f>DataPull!D1726</f>
        <v/>
      </c>
      <c r="G1726" s="94" t="str">
        <f t="shared" si="2"/>
        <v/>
      </c>
      <c r="H1726" s="94" t="str">
        <f t="shared" si="3"/>
        <v/>
      </c>
      <c r="I1726" s="94" t="str">
        <f t="shared" ref="I1726:J1726" si="1727">if(G1726 = "", , -G1726)</f>
        <v/>
      </c>
      <c r="J1726" s="94" t="str">
        <f t="shared" si="1727"/>
        <v/>
      </c>
      <c r="K1726" s="100"/>
      <c r="M1726" s="100"/>
      <c r="N1726" s="100"/>
      <c r="O1726" s="100"/>
      <c r="P1726" s="100"/>
    </row>
    <row r="1727">
      <c r="A1727" s="107">
        <v>202694.0</v>
      </c>
      <c r="B1727" s="108" t="s">
        <v>243</v>
      </c>
      <c r="C1727" s="108" t="s">
        <v>535</v>
      </c>
      <c r="D1727" s="112" t="s">
        <v>178</v>
      </c>
      <c r="E1727" s="112">
        <v>1499.1</v>
      </c>
      <c r="F1727" s="111" t="str">
        <f>DataPull!D1727</f>
        <v/>
      </c>
      <c r="G1727" s="94" t="str">
        <f t="shared" si="2"/>
        <v/>
      </c>
      <c r="H1727" s="94" t="str">
        <f t="shared" si="3"/>
        <v/>
      </c>
      <c r="I1727" s="94" t="str">
        <f t="shared" ref="I1727:J1727" si="1728">if(G1727 = "", , -G1727)</f>
        <v/>
      </c>
      <c r="J1727" s="94" t="str">
        <f t="shared" si="1728"/>
        <v/>
      </c>
      <c r="K1727" s="100"/>
      <c r="L1727" s="100"/>
      <c r="M1727" s="100"/>
      <c r="N1727" s="100"/>
      <c r="O1727" s="100"/>
      <c r="P1727" s="100"/>
    </row>
    <row r="1728">
      <c r="A1728" s="107">
        <v>202694.0</v>
      </c>
      <c r="B1728" s="108" t="s">
        <v>215</v>
      </c>
      <c r="C1728" s="108" t="s">
        <v>535</v>
      </c>
      <c r="D1728" s="112" t="s">
        <v>178</v>
      </c>
      <c r="E1728" s="112">
        <v>1566.0</v>
      </c>
      <c r="F1728" s="111" t="str">
        <f>DataPull!D1728</f>
        <v/>
      </c>
      <c r="G1728" s="94" t="str">
        <f t="shared" si="2"/>
        <v/>
      </c>
      <c r="H1728" s="94" t="str">
        <f t="shared" si="3"/>
        <v/>
      </c>
      <c r="I1728" s="94" t="str">
        <f t="shared" ref="I1728:J1728" si="1729">if(G1728 = "", , -G1728)</f>
        <v/>
      </c>
      <c r="J1728" s="94" t="str">
        <f t="shared" si="1729"/>
        <v/>
      </c>
      <c r="K1728" s="100"/>
      <c r="M1728" s="100"/>
      <c r="N1728" s="100"/>
      <c r="O1728" s="100"/>
      <c r="P1728" s="100"/>
    </row>
    <row r="1729">
      <c r="A1729" s="107">
        <v>202694.0</v>
      </c>
      <c r="B1729" s="108" t="s">
        <v>244</v>
      </c>
      <c r="C1729" s="108" t="s">
        <v>535</v>
      </c>
      <c r="D1729" s="112" t="s">
        <v>178</v>
      </c>
      <c r="E1729" s="112">
        <v>1826.5</v>
      </c>
      <c r="F1729" s="111" t="str">
        <f>DataPull!D1729</f>
        <v/>
      </c>
      <c r="G1729" s="94" t="str">
        <f t="shared" si="2"/>
        <v/>
      </c>
      <c r="H1729" s="94" t="str">
        <f t="shared" si="3"/>
        <v/>
      </c>
      <c r="I1729" s="94" t="str">
        <f t="shared" ref="I1729:J1729" si="1730">if(G1729 = "", , -G1729)</f>
        <v/>
      </c>
      <c r="J1729" s="94" t="str">
        <f t="shared" si="1730"/>
        <v/>
      </c>
      <c r="K1729" s="100"/>
      <c r="M1729" s="100"/>
      <c r="N1729" s="100"/>
      <c r="O1729" s="100"/>
      <c r="P1729" s="100"/>
    </row>
    <row r="1730">
      <c r="A1730" s="107">
        <v>202694.0</v>
      </c>
      <c r="B1730" s="108" t="s">
        <v>245</v>
      </c>
      <c r="C1730" s="108" t="s">
        <v>535</v>
      </c>
      <c r="D1730" s="112" t="s">
        <v>177</v>
      </c>
      <c r="E1730" s="112">
        <v>818.3</v>
      </c>
      <c r="F1730" s="111" t="str">
        <f>DataPull!D1730</f>
        <v/>
      </c>
      <c r="G1730" s="94" t="str">
        <f t="shared" si="2"/>
        <v/>
      </c>
      <c r="H1730" s="94" t="str">
        <f t="shared" si="3"/>
        <v/>
      </c>
      <c r="I1730" s="94" t="str">
        <f t="shared" ref="I1730:J1730" si="1731">if(G1730 = "", , -G1730)</f>
        <v/>
      </c>
      <c r="J1730" s="94" t="str">
        <f t="shared" si="1731"/>
        <v/>
      </c>
      <c r="K1730" s="100"/>
      <c r="M1730" s="100"/>
      <c r="N1730" s="100"/>
      <c r="O1730" s="100"/>
      <c r="P1730" s="100"/>
    </row>
    <row r="1731">
      <c r="A1731" s="107">
        <v>202695.0</v>
      </c>
      <c r="B1731" s="108" t="s">
        <v>85</v>
      </c>
      <c r="C1731" s="108" t="s">
        <v>536</v>
      </c>
      <c r="D1731" s="112" t="s">
        <v>184</v>
      </c>
      <c r="E1731" s="112">
        <v>1920.6</v>
      </c>
      <c r="F1731" s="111" t="str">
        <f>DataPull!D1731</f>
        <v/>
      </c>
      <c r="G1731" s="94" t="str">
        <f t="shared" si="2"/>
        <v/>
      </c>
      <c r="H1731" s="94" t="str">
        <f t="shared" si="3"/>
        <v/>
      </c>
      <c r="I1731" s="94" t="str">
        <f t="shared" ref="I1731:J1731" si="1732">if(G1731 = "", , -G1731)</f>
        <v/>
      </c>
      <c r="J1731" s="94" t="str">
        <f t="shared" si="1732"/>
        <v/>
      </c>
      <c r="K1731" s="100"/>
      <c r="M1731" s="100"/>
      <c r="N1731" s="100"/>
      <c r="O1731" s="100"/>
      <c r="P1731" s="100"/>
    </row>
    <row r="1732">
      <c r="A1732" s="107">
        <v>202695.0</v>
      </c>
      <c r="B1732" s="108" t="s">
        <v>90</v>
      </c>
      <c r="C1732" s="108" t="s">
        <v>536</v>
      </c>
      <c r="D1732" s="112" t="s">
        <v>184</v>
      </c>
      <c r="E1732" s="112">
        <v>2035.2</v>
      </c>
      <c r="F1732" s="111" t="str">
        <f>DataPull!D1732</f>
        <v/>
      </c>
      <c r="G1732" s="94" t="str">
        <f t="shared" si="2"/>
        <v/>
      </c>
      <c r="H1732" s="94" t="str">
        <f t="shared" si="3"/>
        <v/>
      </c>
      <c r="I1732" s="94" t="str">
        <f t="shared" ref="I1732:J1732" si="1733">if(G1732 = "", , -G1732)</f>
        <v/>
      </c>
      <c r="J1732" s="94" t="str">
        <f t="shared" si="1733"/>
        <v/>
      </c>
      <c r="K1732" s="100"/>
      <c r="M1732" s="100"/>
      <c r="N1732" s="100"/>
      <c r="O1732" s="100"/>
      <c r="P1732" s="100"/>
    </row>
    <row r="1733">
      <c r="A1733" s="107">
        <v>202695.0</v>
      </c>
      <c r="B1733" s="108" t="s">
        <v>92</v>
      </c>
      <c r="C1733" s="108" t="s">
        <v>536</v>
      </c>
      <c r="D1733" s="112" t="s">
        <v>184</v>
      </c>
      <c r="E1733" s="112">
        <v>2376.0</v>
      </c>
      <c r="F1733" s="111" t="str">
        <f>DataPull!D1733</f>
        <v/>
      </c>
      <c r="G1733" s="94" t="str">
        <f t="shared" si="2"/>
        <v/>
      </c>
      <c r="H1733" s="94" t="str">
        <f t="shared" si="3"/>
        <v/>
      </c>
      <c r="I1733" s="94" t="str">
        <f t="shared" ref="I1733:J1733" si="1734">if(G1733 = "", , -G1733)</f>
        <v/>
      </c>
      <c r="J1733" s="94" t="str">
        <f t="shared" si="1734"/>
        <v/>
      </c>
      <c r="K1733" s="100"/>
      <c r="M1733" s="100"/>
      <c r="N1733" s="100"/>
      <c r="O1733" s="100"/>
      <c r="P1733" s="100"/>
    </row>
    <row r="1734">
      <c r="A1734" s="107">
        <v>202695.0</v>
      </c>
      <c r="B1734" s="108" t="s">
        <v>190</v>
      </c>
      <c r="C1734" s="108" t="s">
        <v>536</v>
      </c>
      <c r="D1734" s="112" t="s">
        <v>184</v>
      </c>
      <c r="E1734" s="112">
        <v>2471.6</v>
      </c>
      <c r="F1734" s="111" t="str">
        <f>DataPull!D1734</f>
        <v/>
      </c>
      <c r="G1734" s="94" t="str">
        <f t="shared" si="2"/>
        <v/>
      </c>
      <c r="H1734" s="94" t="str">
        <f t="shared" si="3"/>
        <v/>
      </c>
      <c r="I1734" s="94" t="str">
        <f t="shared" ref="I1734:J1734" si="1735">if(G1734 = "", , -G1734)</f>
        <v/>
      </c>
      <c r="J1734" s="94" t="str">
        <f t="shared" si="1735"/>
        <v/>
      </c>
      <c r="K1734" s="100"/>
      <c r="M1734" s="100"/>
      <c r="N1734" s="100"/>
      <c r="O1734" s="100"/>
      <c r="P1734" s="100"/>
    </row>
    <row r="1735">
      <c r="A1735" s="107">
        <v>202695.0</v>
      </c>
      <c r="B1735" s="108" t="s">
        <v>191</v>
      </c>
      <c r="C1735" s="108" t="s">
        <v>536</v>
      </c>
      <c r="D1735" s="112" t="s">
        <v>176</v>
      </c>
      <c r="E1735" s="112">
        <v>209.7</v>
      </c>
      <c r="F1735" s="111" t="str">
        <f>DataPull!D1735</f>
        <v/>
      </c>
      <c r="G1735" s="94" t="str">
        <f t="shared" si="2"/>
        <v/>
      </c>
      <c r="H1735" s="94" t="str">
        <f t="shared" si="3"/>
        <v/>
      </c>
      <c r="I1735" s="94" t="str">
        <f t="shared" ref="I1735:J1735" si="1736">if(G1735 = "", , -G1735)</f>
        <v/>
      </c>
      <c r="J1735" s="94" t="str">
        <f t="shared" si="1736"/>
        <v/>
      </c>
      <c r="K1735" s="100"/>
      <c r="M1735" s="100"/>
      <c r="N1735" s="100"/>
      <c r="O1735" s="100"/>
      <c r="P1735" s="100"/>
    </row>
    <row r="1736">
      <c r="A1736" s="107">
        <v>202695.0</v>
      </c>
      <c r="B1736" s="108" t="s">
        <v>192</v>
      </c>
      <c r="C1736" s="108" t="s">
        <v>536</v>
      </c>
      <c r="D1736" s="112" t="s">
        <v>184</v>
      </c>
      <c r="E1736" s="112">
        <v>2040.0</v>
      </c>
      <c r="F1736" s="111" t="str">
        <f>DataPull!D1736</f>
        <v/>
      </c>
      <c r="G1736" s="94" t="str">
        <f t="shared" si="2"/>
        <v/>
      </c>
      <c r="H1736" s="94" t="str">
        <f t="shared" si="3"/>
        <v/>
      </c>
      <c r="I1736" s="94" t="str">
        <f t="shared" ref="I1736:J1736" si="1737">if(G1736 = "", , -G1736)</f>
        <v/>
      </c>
      <c r="J1736" s="94" t="str">
        <f t="shared" si="1737"/>
        <v/>
      </c>
      <c r="K1736" s="100"/>
      <c r="M1736" s="100"/>
      <c r="N1736" s="100"/>
      <c r="O1736" s="100"/>
      <c r="P1736" s="100"/>
    </row>
    <row r="1737">
      <c r="A1737" s="107">
        <v>202695.0</v>
      </c>
      <c r="B1737" s="108" t="s">
        <v>193</v>
      </c>
      <c r="C1737" s="108" t="s">
        <v>536</v>
      </c>
      <c r="D1737" s="112" t="s">
        <v>184</v>
      </c>
      <c r="E1737" s="112">
        <v>1846.8</v>
      </c>
      <c r="F1737" s="111" t="str">
        <f>DataPull!D1737</f>
        <v/>
      </c>
      <c r="G1737" s="94" t="str">
        <f t="shared" si="2"/>
        <v/>
      </c>
      <c r="H1737" s="94" t="str">
        <f t="shared" si="3"/>
        <v/>
      </c>
      <c r="I1737" s="94" t="str">
        <f t="shared" ref="I1737:J1737" si="1738">if(G1737 = "", , -G1737)</f>
        <v/>
      </c>
      <c r="J1737" s="94" t="str">
        <f t="shared" si="1738"/>
        <v/>
      </c>
      <c r="K1737" s="100"/>
      <c r="M1737" s="100"/>
      <c r="N1737" s="100"/>
      <c r="O1737" s="100"/>
      <c r="P1737" s="100"/>
    </row>
    <row r="1738">
      <c r="A1738" s="107">
        <v>202695.0</v>
      </c>
      <c r="B1738" s="108" t="s">
        <v>243</v>
      </c>
      <c r="C1738" s="108" t="s">
        <v>536</v>
      </c>
      <c r="D1738" s="112" t="s">
        <v>184</v>
      </c>
      <c r="E1738" s="112">
        <v>1773.2</v>
      </c>
      <c r="F1738" s="111" t="str">
        <f>DataPull!D1738</f>
        <v/>
      </c>
      <c r="G1738" s="94" t="str">
        <f t="shared" si="2"/>
        <v/>
      </c>
      <c r="H1738" s="94" t="str">
        <f t="shared" si="3"/>
        <v/>
      </c>
      <c r="I1738" s="94" t="str">
        <f t="shared" ref="I1738:J1738" si="1739">if(G1738 = "", , -G1738)</f>
        <v/>
      </c>
      <c r="J1738" s="94" t="str">
        <f t="shared" si="1739"/>
        <v/>
      </c>
      <c r="K1738" s="100"/>
      <c r="M1738" s="100"/>
      <c r="N1738" s="100"/>
      <c r="O1738" s="100"/>
      <c r="P1738" s="100"/>
    </row>
    <row r="1739">
      <c r="A1739" s="107">
        <v>202695.0</v>
      </c>
      <c r="B1739" s="108" t="s">
        <v>244</v>
      </c>
      <c r="C1739" s="108" t="s">
        <v>536</v>
      </c>
      <c r="D1739" s="112" t="s">
        <v>184</v>
      </c>
      <c r="E1739" s="112">
        <v>1747.2</v>
      </c>
      <c r="F1739" s="111" t="str">
        <f>DataPull!D1739</f>
        <v/>
      </c>
      <c r="G1739" s="94" t="str">
        <f t="shared" si="2"/>
        <v/>
      </c>
      <c r="H1739" s="94" t="str">
        <f t="shared" si="3"/>
        <v/>
      </c>
      <c r="I1739" s="94" t="str">
        <f t="shared" ref="I1739:J1739" si="1740">if(G1739 = "", , -G1739)</f>
        <v/>
      </c>
      <c r="J1739" s="94" t="str">
        <f t="shared" si="1740"/>
        <v/>
      </c>
      <c r="K1739" s="100"/>
      <c r="M1739" s="100"/>
      <c r="N1739" s="100"/>
      <c r="O1739" s="100"/>
      <c r="P1739" s="100"/>
    </row>
    <row r="1740">
      <c r="A1740" s="107">
        <v>202695.0</v>
      </c>
      <c r="B1740" s="108" t="s">
        <v>245</v>
      </c>
      <c r="C1740" s="108" t="s">
        <v>536</v>
      </c>
      <c r="D1740" s="112" t="s">
        <v>184</v>
      </c>
      <c r="E1740" s="112">
        <v>2332.4</v>
      </c>
      <c r="F1740" s="111" t="str">
        <f>DataPull!D1740</f>
        <v/>
      </c>
      <c r="G1740" s="94" t="str">
        <f t="shared" si="2"/>
        <v/>
      </c>
      <c r="H1740" s="94" t="str">
        <f t="shared" si="3"/>
        <v/>
      </c>
      <c r="I1740" s="94" t="str">
        <f t="shared" ref="I1740:J1740" si="1741">if(G1740 = "", , -G1740)</f>
        <v/>
      </c>
      <c r="J1740" s="94" t="str">
        <f t="shared" si="1741"/>
        <v/>
      </c>
      <c r="K1740" s="100"/>
      <c r="M1740" s="100"/>
      <c r="N1740" s="100"/>
      <c r="O1740" s="100"/>
      <c r="P1740" s="100"/>
    </row>
    <row r="1741">
      <c r="A1741" s="107">
        <v>202695.0</v>
      </c>
      <c r="B1741" s="108" t="s">
        <v>246</v>
      </c>
      <c r="C1741" s="108" t="s">
        <v>536</v>
      </c>
      <c r="D1741" s="112" t="s">
        <v>184</v>
      </c>
      <c r="E1741" s="112">
        <v>1180.3</v>
      </c>
      <c r="F1741" s="111" t="str">
        <f>DataPull!D1741</f>
        <v/>
      </c>
      <c r="G1741" s="94" t="str">
        <f t="shared" si="2"/>
        <v/>
      </c>
      <c r="H1741" s="94" t="str">
        <f t="shared" si="3"/>
        <v/>
      </c>
      <c r="I1741" s="94" t="str">
        <f t="shared" ref="I1741:J1741" si="1742">if(G1741 = "", , -G1741)</f>
        <v/>
      </c>
      <c r="J1741" s="94" t="str">
        <f t="shared" si="1742"/>
        <v/>
      </c>
      <c r="K1741" s="100"/>
      <c r="M1741" s="100"/>
      <c r="N1741" s="100"/>
      <c r="O1741" s="100"/>
      <c r="P1741" s="100"/>
    </row>
    <row r="1742">
      <c r="A1742" s="114">
        <v>202695.0</v>
      </c>
      <c r="B1742" s="113" t="s">
        <v>247</v>
      </c>
      <c r="C1742" s="113" t="s">
        <v>536</v>
      </c>
      <c r="D1742" s="112" t="s">
        <v>184</v>
      </c>
      <c r="E1742" s="112">
        <v>2086.5</v>
      </c>
      <c r="F1742" s="111" t="str">
        <f>DataPull!D1742</f>
        <v/>
      </c>
      <c r="G1742" s="94" t="str">
        <f t="shared" si="2"/>
        <v/>
      </c>
      <c r="H1742" s="94" t="str">
        <f t="shared" si="3"/>
        <v/>
      </c>
      <c r="I1742" s="94" t="str">
        <f t="shared" ref="I1742:J1742" si="1743">if(G1742 = "", , -G1742)</f>
        <v/>
      </c>
      <c r="J1742" s="94" t="str">
        <f t="shared" si="1743"/>
        <v/>
      </c>
      <c r="K1742" s="100"/>
      <c r="M1742" s="100"/>
      <c r="N1742" s="100"/>
      <c r="O1742" s="100"/>
      <c r="P1742" s="100"/>
    </row>
    <row r="1743">
      <c r="A1743" s="107">
        <v>202696.0</v>
      </c>
      <c r="B1743" s="108" t="s">
        <v>85</v>
      </c>
      <c r="C1743" s="108" t="s">
        <v>537</v>
      </c>
      <c r="D1743" s="112" t="s">
        <v>178</v>
      </c>
      <c r="E1743" s="112">
        <v>1812.6</v>
      </c>
      <c r="F1743" s="111" t="str">
        <f>DataPull!D1743</f>
        <v/>
      </c>
      <c r="G1743" s="94" t="str">
        <f t="shared" si="2"/>
        <v/>
      </c>
      <c r="H1743" s="94" t="str">
        <f t="shared" si="3"/>
        <v/>
      </c>
      <c r="I1743" s="94" t="str">
        <f t="shared" ref="I1743:J1743" si="1744">if(G1743 = "", , -G1743)</f>
        <v/>
      </c>
      <c r="J1743" s="94" t="str">
        <f t="shared" si="1744"/>
        <v/>
      </c>
      <c r="K1743" s="100"/>
      <c r="M1743" s="100"/>
      <c r="N1743" s="100"/>
      <c r="O1743" s="100"/>
      <c r="P1743" s="100"/>
    </row>
    <row r="1744">
      <c r="A1744" s="107">
        <v>202696.0</v>
      </c>
      <c r="B1744" s="108" t="s">
        <v>90</v>
      </c>
      <c r="C1744" s="108" t="s">
        <v>537</v>
      </c>
      <c r="D1744" s="112" t="s">
        <v>178</v>
      </c>
      <c r="E1744" s="112">
        <v>2530.8</v>
      </c>
      <c r="F1744" s="111" t="str">
        <f>DataPull!D1744</f>
        <v/>
      </c>
      <c r="G1744" s="94" t="str">
        <f t="shared" si="2"/>
        <v/>
      </c>
      <c r="H1744" s="94" t="str">
        <f t="shared" si="3"/>
        <v/>
      </c>
      <c r="I1744" s="94" t="str">
        <f t="shared" ref="I1744:J1744" si="1745">if(G1744 = "", , -G1744)</f>
        <v/>
      </c>
      <c r="J1744" s="94" t="str">
        <f t="shared" si="1745"/>
        <v/>
      </c>
      <c r="K1744" s="100"/>
      <c r="M1744" s="100"/>
      <c r="N1744" s="100"/>
      <c r="O1744" s="100"/>
      <c r="P1744" s="100"/>
    </row>
    <row r="1745">
      <c r="A1745" s="107">
        <v>202696.0</v>
      </c>
      <c r="B1745" s="108" t="s">
        <v>92</v>
      </c>
      <c r="C1745" s="108" t="s">
        <v>537</v>
      </c>
      <c r="D1745" s="112" t="s">
        <v>178</v>
      </c>
      <c r="E1745" s="112">
        <v>2034.5</v>
      </c>
      <c r="F1745" s="111" t="str">
        <f>DataPull!D1745</f>
        <v/>
      </c>
      <c r="G1745" s="94" t="str">
        <f t="shared" si="2"/>
        <v/>
      </c>
      <c r="H1745" s="94" t="str">
        <f t="shared" si="3"/>
        <v/>
      </c>
      <c r="I1745" s="94" t="str">
        <f t="shared" ref="I1745:J1745" si="1746">if(G1745 = "", , -G1745)</f>
        <v/>
      </c>
      <c r="J1745" s="94" t="str">
        <f t="shared" si="1746"/>
        <v/>
      </c>
      <c r="K1745" s="100"/>
      <c r="M1745" s="100"/>
      <c r="N1745" s="100"/>
      <c r="O1745" s="100"/>
      <c r="P1745" s="100"/>
    </row>
    <row r="1746">
      <c r="A1746" s="107">
        <v>202696.0</v>
      </c>
      <c r="B1746" s="108" t="s">
        <v>190</v>
      </c>
      <c r="C1746" s="108" t="s">
        <v>537</v>
      </c>
      <c r="D1746" s="112" t="s">
        <v>178</v>
      </c>
      <c r="E1746" s="112">
        <v>2160.0</v>
      </c>
      <c r="F1746" s="111" t="str">
        <f>DataPull!D1746</f>
        <v/>
      </c>
      <c r="G1746" s="94" t="str">
        <f t="shared" si="2"/>
        <v/>
      </c>
      <c r="H1746" s="94" t="str">
        <f t="shared" si="3"/>
        <v/>
      </c>
      <c r="I1746" s="94" t="str">
        <f t="shared" ref="I1746:J1746" si="1747">if(G1746 = "", , -G1746)</f>
        <v/>
      </c>
      <c r="J1746" s="94" t="str">
        <f t="shared" si="1747"/>
        <v/>
      </c>
      <c r="K1746" s="100"/>
      <c r="L1746" s="100"/>
      <c r="N1746" s="100"/>
      <c r="O1746" s="100"/>
      <c r="P1746" s="100"/>
    </row>
    <row r="1747">
      <c r="A1747" s="107">
        <v>202696.0</v>
      </c>
      <c r="B1747" s="108" t="s">
        <v>191</v>
      </c>
      <c r="C1747" s="108" t="s">
        <v>537</v>
      </c>
      <c r="D1747" s="112" t="s">
        <v>184</v>
      </c>
      <c r="E1747" s="112">
        <v>1681.5</v>
      </c>
      <c r="F1747" s="111" t="str">
        <f>DataPull!D1747</f>
        <v/>
      </c>
      <c r="G1747" s="94" t="str">
        <f t="shared" si="2"/>
        <v/>
      </c>
      <c r="H1747" s="94" t="str">
        <f t="shared" si="3"/>
        <v/>
      </c>
      <c r="I1747" s="94" t="str">
        <f t="shared" ref="I1747:J1747" si="1748">if(G1747 = "", , -G1747)</f>
        <v/>
      </c>
      <c r="J1747" s="94" t="str">
        <f t="shared" si="1748"/>
        <v/>
      </c>
      <c r="K1747" s="100"/>
      <c r="M1747" s="100"/>
      <c r="N1747" s="100"/>
      <c r="O1747" s="100"/>
      <c r="P1747" s="100"/>
    </row>
    <row r="1748">
      <c r="A1748" s="107">
        <v>202696.0</v>
      </c>
      <c r="B1748" s="108" t="s">
        <v>192</v>
      </c>
      <c r="C1748" s="108" t="s">
        <v>537</v>
      </c>
      <c r="D1748" s="112" t="s">
        <v>184</v>
      </c>
      <c r="E1748" s="112">
        <v>2512.0</v>
      </c>
      <c r="F1748" s="111" t="str">
        <f>DataPull!D1748</f>
        <v/>
      </c>
      <c r="G1748" s="94" t="str">
        <f t="shared" si="2"/>
        <v/>
      </c>
      <c r="H1748" s="94" t="str">
        <f t="shared" si="3"/>
        <v/>
      </c>
      <c r="I1748" s="94" t="str">
        <f t="shared" ref="I1748:J1748" si="1749">if(G1748 = "", , -G1748)</f>
        <v/>
      </c>
      <c r="J1748" s="94" t="str">
        <f t="shared" si="1749"/>
        <v/>
      </c>
      <c r="K1748" s="100"/>
      <c r="M1748" s="100"/>
      <c r="N1748" s="100"/>
      <c r="O1748" s="100"/>
      <c r="P1748" s="100"/>
    </row>
    <row r="1749">
      <c r="A1749" s="107">
        <v>202696.0</v>
      </c>
      <c r="B1749" s="108" t="s">
        <v>193</v>
      </c>
      <c r="C1749" s="108" t="s">
        <v>537</v>
      </c>
      <c r="D1749" s="112" t="s">
        <v>184</v>
      </c>
      <c r="E1749" s="112">
        <v>1996.4</v>
      </c>
      <c r="F1749" s="111" t="str">
        <f>DataPull!D1749</f>
        <v/>
      </c>
      <c r="G1749" s="94" t="str">
        <f t="shared" si="2"/>
        <v/>
      </c>
      <c r="H1749" s="94" t="str">
        <f t="shared" si="3"/>
        <v/>
      </c>
      <c r="I1749" s="94" t="str">
        <f t="shared" ref="I1749:J1749" si="1750">if(G1749 = "", , -G1749)</f>
        <v/>
      </c>
      <c r="J1749" s="94" t="str">
        <f t="shared" si="1750"/>
        <v/>
      </c>
      <c r="N1749" s="100"/>
      <c r="O1749" s="100"/>
    </row>
    <row r="1750">
      <c r="A1750" s="107">
        <v>202696.0</v>
      </c>
      <c r="B1750" s="108" t="s">
        <v>243</v>
      </c>
      <c r="C1750" s="108" t="s">
        <v>537</v>
      </c>
      <c r="D1750" s="112" t="s">
        <v>184</v>
      </c>
      <c r="E1750" s="112">
        <v>2345.0</v>
      </c>
      <c r="F1750" s="111" t="str">
        <f>DataPull!D1750</f>
        <v/>
      </c>
      <c r="G1750" s="94" t="str">
        <f t="shared" si="2"/>
        <v/>
      </c>
      <c r="H1750" s="94" t="str">
        <f t="shared" si="3"/>
        <v/>
      </c>
      <c r="I1750" s="94" t="str">
        <f t="shared" ref="I1750:J1750" si="1751">if(G1750 = "", , -G1750)</f>
        <v/>
      </c>
      <c r="J1750" s="94" t="str">
        <f t="shared" si="1751"/>
        <v/>
      </c>
      <c r="K1750" s="100"/>
      <c r="M1750" s="100"/>
      <c r="N1750" s="100"/>
      <c r="O1750" s="100"/>
      <c r="P1750" s="100"/>
    </row>
    <row r="1751">
      <c r="A1751" s="107">
        <v>202696.0</v>
      </c>
      <c r="B1751" s="108" t="s">
        <v>215</v>
      </c>
      <c r="C1751" s="108" t="s">
        <v>537</v>
      </c>
      <c r="D1751" s="112" t="s">
        <v>184</v>
      </c>
      <c r="E1751" s="112">
        <v>2416.3</v>
      </c>
      <c r="F1751" s="111" t="str">
        <f>DataPull!D1751</f>
        <v/>
      </c>
      <c r="G1751" s="94" t="str">
        <f t="shared" si="2"/>
        <v/>
      </c>
      <c r="H1751" s="94" t="str">
        <f t="shared" si="3"/>
        <v/>
      </c>
      <c r="I1751" s="94" t="str">
        <f t="shared" ref="I1751:J1751" si="1752">if(G1751 = "", , -G1751)</f>
        <v/>
      </c>
      <c r="J1751" s="94" t="str">
        <f t="shared" si="1752"/>
        <v/>
      </c>
      <c r="K1751" s="100"/>
      <c r="M1751" s="100"/>
      <c r="N1751" s="100"/>
      <c r="P1751" s="100"/>
    </row>
    <row r="1752">
      <c r="A1752" s="107">
        <v>202696.0</v>
      </c>
      <c r="B1752" s="108" t="s">
        <v>244</v>
      </c>
      <c r="C1752" s="108" t="s">
        <v>537</v>
      </c>
      <c r="D1752" s="112" t="s">
        <v>184</v>
      </c>
      <c r="E1752" s="112">
        <v>2747.0</v>
      </c>
      <c r="F1752" s="111" t="str">
        <f>DataPull!D1752</f>
        <v/>
      </c>
      <c r="G1752" s="94" t="str">
        <f t="shared" si="2"/>
        <v/>
      </c>
      <c r="H1752" s="94" t="str">
        <f t="shared" si="3"/>
        <v/>
      </c>
      <c r="I1752" s="94" t="str">
        <f t="shared" ref="I1752:J1752" si="1753">if(G1752 = "", , -G1752)</f>
        <v/>
      </c>
      <c r="J1752" s="94" t="str">
        <f t="shared" si="1753"/>
        <v/>
      </c>
      <c r="K1752" s="100"/>
      <c r="L1752" s="100"/>
      <c r="M1752" s="100"/>
      <c r="N1752" s="100"/>
      <c r="O1752" s="100"/>
      <c r="P1752" s="100"/>
    </row>
    <row r="1753">
      <c r="A1753" s="107">
        <v>202696.0</v>
      </c>
      <c r="B1753" s="108" t="s">
        <v>245</v>
      </c>
      <c r="C1753" s="108" t="s">
        <v>537</v>
      </c>
      <c r="D1753" s="112" t="s">
        <v>184</v>
      </c>
      <c r="E1753" s="112">
        <v>2606.8</v>
      </c>
      <c r="F1753" s="111" t="str">
        <f>DataPull!D1753</f>
        <v/>
      </c>
      <c r="G1753" s="94" t="str">
        <f t="shared" si="2"/>
        <v/>
      </c>
      <c r="H1753" s="94" t="str">
        <f t="shared" si="3"/>
        <v/>
      </c>
      <c r="I1753" s="94" t="str">
        <f t="shared" ref="I1753:J1753" si="1754">if(G1753 = "", , -G1753)</f>
        <v/>
      </c>
      <c r="J1753" s="94" t="str">
        <f t="shared" si="1754"/>
        <v/>
      </c>
      <c r="K1753" s="100"/>
      <c r="M1753" s="100"/>
      <c r="N1753" s="100"/>
      <c r="O1753" s="100"/>
      <c r="P1753" s="100"/>
    </row>
    <row r="1754">
      <c r="A1754" s="107">
        <v>202696.0</v>
      </c>
      <c r="B1754" s="108" t="s">
        <v>246</v>
      </c>
      <c r="C1754" s="108" t="s">
        <v>537</v>
      </c>
      <c r="D1754" s="112" t="s">
        <v>184</v>
      </c>
      <c r="E1754" s="112">
        <v>2277.6</v>
      </c>
      <c r="F1754" s="111" t="str">
        <f>DataPull!D1754</f>
        <v/>
      </c>
      <c r="G1754" s="94" t="str">
        <f t="shared" si="2"/>
        <v/>
      </c>
      <c r="H1754" s="94" t="str">
        <f t="shared" si="3"/>
        <v/>
      </c>
      <c r="I1754" s="94" t="str">
        <f t="shared" ref="I1754:J1754" si="1755">if(G1754 = "", , -G1754)</f>
        <v/>
      </c>
      <c r="J1754" s="94" t="str">
        <f t="shared" si="1755"/>
        <v/>
      </c>
      <c r="K1754" s="100"/>
      <c r="L1754" s="100"/>
      <c r="N1754" s="100"/>
      <c r="O1754" s="100"/>
      <c r="P1754" s="100"/>
    </row>
    <row r="1755">
      <c r="A1755" s="114">
        <v>202696.0</v>
      </c>
      <c r="B1755" s="113" t="s">
        <v>247</v>
      </c>
      <c r="C1755" s="108" t="s">
        <v>537</v>
      </c>
      <c r="D1755" s="112" t="s">
        <v>184</v>
      </c>
      <c r="E1755" s="112">
        <v>1817.6</v>
      </c>
      <c r="F1755" s="111" t="str">
        <f>DataPull!D1755</f>
        <v/>
      </c>
      <c r="G1755" s="94" t="str">
        <f t="shared" si="2"/>
        <v/>
      </c>
      <c r="H1755" s="94" t="str">
        <f t="shared" si="3"/>
        <v/>
      </c>
      <c r="I1755" s="94" t="str">
        <f t="shared" ref="I1755:J1755" si="1756">if(G1755 = "", , -G1755)</f>
        <v/>
      </c>
      <c r="J1755" s="94" t="str">
        <f t="shared" si="1756"/>
        <v/>
      </c>
      <c r="K1755" s="100"/>
      <c r="M1755" s="100"/>
      <c r="N1755" s="100"/>
      <c r="O1755" s="100"/>
      <c r="P1755" s="100"/>
    </row>
    <row r="1756">
      <c r="A1756" s="107">
        <v>202697.0</v>
      </c>
      <c r="B1756" s="108" t="s">
        <v>85</v>
      </c>
      <c r="C1756" s="108" t="s">
        <v>538</v>
      </c>
      <c r="D1756" s="112" t="s">
        <v>176</v>
      </c>
      <c r="E1756" s="112">
        <v>1961.0</v>
      </c>
      <c r="F1756" s="111" t="str">
        <f>DataPull!D1756</f>
        <v/>
      </c>
      <c r="G1756" s="94" t="str">
        <f t="shared" si="2"/>
        <v/>
      </c>
      <c r="H1756" s="94" t="str">
        <f t="shared" si="3"/>
        <v/>
      </c>
      <c r="I1756" s="94" t="str">
        <f t="shared" ref="I1756:J1756" si="1757">if(G1756 = "", , -G1756)</f>
        <v/>
      </c>
      <c r="J1756" s="94" t="str">
        <f t="shared" si="1757"/>
        <v/>
      </c>
      <c r="K1756" s="100"/>
      <c r="M1756" s="100"/>
      <c r="N1756" s="100"/>
      <c r="O1756" s="100"/>
      <c r="P1756" s="100"/>
    </row>
    <row r="1757">
      <c r="A1757" s="107">
        <v>202697.0</v>
      </c>
      <c r="B1757" s="108" t="s">
        <v>90</v>
      </c>
      <c r="C1757" s="108" t="s">
        <v>538</v>
      </c>
      <c r="D1757" s="112" t="s">
        <v>176</v>
      </c>
      <c r="E1757" s="112">
        <v>1543.8</v>
      </c>
      <c r="F1757" s="111" t="str">
        <f>DataPull!D1757</f>
        <v/>
      </c>
      <c r="G1757" s="94" t="str">
        <f t="shared" si="2"/>
        <v/>
      </c>
      <c r="H1757" s="94" t="str">
        <f t="shared" si="3"/>
        <v/>
      </c>
      <c r="I1757" s="94" t="str">
        <f t="shared" ref="I1757:J1757" si="1758">if(G1757 = "", , -G1757)</f>
        <v/>
      </c>
      <c r="J1757" s="94" t="str">
        <f t="shared" si="1758"/>
        <v/>
      </c>
      <c r="K1757" s="100"/>
      <c r="L1757" s="100"/>
      <c r="M1757" s="100"/>
      <c r="N1757" s="100"/>
      <c r="O1757" s="100"/>
    </row>
    <row r="1758">
      <c r="A1758" s="107">
        <v>202697.0</v>
      </c>
      <c r="B1758" s="108" t="s">
        <v>92</v>
      </c>
      <c r="C1758" s="108" t="s">
        <v>538</v>
      </c>
      <c r="D1758" s="112" t="s">
        <v>176</v>
      </c>
      <c r="E1758" s="112">
        <v>1317.6</v>
      </c>
      <c r="F1758" s="111" t="str">
        <f>DataPull!D1758</f>
        <v/>
      </c>
      <c r="G1758" s="94" t="str">
        <f t="shared" si="2"/>
        <v/>
      </c>
      <c r="H1758" s="94" t="str">
        <f t="shared" si="3"/>
        <v/>
      </c>
      <c r="I1758" s="94" t="str">
        <f t="shared" ref="I1758:J1758" si="1759">if(G1758 = "", , -G1758)</f>
        <v/>
      </c>
      <c r="J1758" s="94" t="str">
        <f t="shared" si="1759"/>
        <v/>
      </c>
      <c r="K1758" s="100"/>
      <c r="L1758" s="100"/>
      <c r="M1758" s="100"/>
      <c r="N1758" s="100"/>
      <c r="O1758" s="100"/>
      <c r="P1758" s="100"/>
    </row>
    <row r="1759">
      <c r="A1759" s="107">
        <v>202697.0</v>
      </c>
      <c r="B1759" s="108" t="s">
        <v>190</v>
      </c>
      <c r="C1759" s="108" t="s">
        <v>538</v>
      </c>
      <c r="D1759" s="112" t="s">
        <v>176</v>
      </c>
      <c r="E1759" s="112">
        <v>1938.0</v>
      </c>
      <c r="F1759" s="111" t="str">
        <f>DataPull!D1759</f>
        <v/>
      </c>
      <c r="G1759" s="94" t="str">
        <f t="shared" si="2"/>
        <v/>
      </c>
      <c r="H1759" s="94" t="str">
        <f t="shared" si="3"/>
        <v/>
      </c>
      <c r="I1759" s="94" t="str">
        <f t="shared" ref="I1759:J1759" si="1760">if(G1759 = "", , -G1759)</f>
        <v/>
      </c>
      <c r="J1759" s="94" t="str">
        <f t="shared" si="1760"/>
        <v/>
      </c>
      <c r="K1759" s="100"/>
      <c r="M1759" s="100"/>
      <c r="N1759" s="100"/>
      <c r="O1759" s="100"/>
      <c r="P1759" s="100"/>
    </row>
    <row r="1760">
      <c r="A1760" s="107">
        <v>202697.0</v>
      </c>
      <c r="B1760" s="108" t="s">
        <v>191</v>
      </c>
      <c r="C1760" s="108" t="s">
        <v>538</v>
      </c>
      <c r="D1760" s="112" t="s">
        <v>187</v>
      </c>
      <c r="E1760" s="112">
        <v>275.8</v>
      </c>
      <c r="F1760" s="111" t="str">
        <f>DataPull!D1760</f>
        <v/>
      </c>
      <c r="G1760" s="94" t="str">
        <f t="shared" si="2"/>
        <v/>
      </c>
      <c r="H1760" s="94" t="str">
        <f t="shared" si="3"/>
        <v/>
      </c>
      <c r="I1760" s="94" t="str">
        <f t="shared" ref="I1760:J1760" si="1761">if(G1760 = "", , -G1760)</f>
        <v/>
      </c>
      <c r="J1760" s="94" t="str">
        <f t="shared" si="1761"/>
        <v/>
      </c>
      <c r="K1760" s="100"/>
      <c r="M1760" s="100"/>
      <c r="N1760" s="100"/>
      <c r="O1760" s="100"/>
      <c r="P1760" s="100"/>
    </row>
    <row r="1761">
      <c r="A1761" s="107">
        <v>202697.0</v>
      </c>
      <c r="B1761" s="108" t="s">
        <v>192</v>
      </c>
      <c r="C1761" s="108" t="s">
        <v>538</v>
      </c>
      <c r="D1761" s="112" t="s">
        <v>176</v>
      </c>
      <c r="E1761" s="112">
        <v>1481.8</v>
      </c>
      <c r="F1761" s="111" t="str">
        <f>DataPull!D1761</f>
        <v/>
      </c>
      <c r="G1761" s="94" t="str">
        <f t="shared" si="2"/>
        <v/>
      </c>
      <c r="H1761" s="94" t="str">
        <f t="shared" si="3"/>
        <v/>
      </c>
      <c r="I1761" s="94" t="str">
        <f t="shared" ref="I1761:J1761" si="1762">if(G1761 = "", , -G1761)</f>
        <v/>
      </c>
      <c r="J1761" s="94" t="str">
        <f t="shared" si="1762"/>
        <v/>
      </c>
      <c r="K1761" s="100"/>
      <c r="M1761" s="100"/>
      <c r="N1761" s="100"/>
      <c r="O1761" s="100"/>
      <c r="P1761" s="100"/>
    </row>
    <row r="1762">
      <c r="A1762" s="107">
        <v>202697.0</v>
      </c>
      <c r="B1762" s="108" t="s">
        <v>193</v>
      </c>
      <c r="C1762" s="108" t="s">
        <v>538</v>
      </c>
      <c r="D1762" s="112" t="s">
        <v>187</v>
      </c>
      <c r="E1762" s="112">
        <v>240.5</v>
      </c>
      <c r="F1762" s="111" t="str">
        <f>DataPull!D1762</f>
        <v/>
      </c>
      <c r="G1762" s="94" t="str">
        <f t="shared" si="2"/>
        <v/>
      </c>
      <c r="H1762" s="94" t="str">
        <f t="shared" si="3"/>
        <v/>
      </c>
      <c r="I1762" s="94" t="str">
        <f t="shared" ref="I1762:J1762" si="1763">if(G1762 = "", , -G1762)</f>
        <v/>
      </c>
      <c r="J1762" s="94" t="str">
        <f t="shared" si="1763"/>
        <v/>
      </c>
      <c r="K1762" s="100"/>
      <c r="M1762" s="100"/>
      <c r="N1762" s="100"/>
      <c r="O1762" s="100"/>
      <c r="P1762" s="100"/>
    </row>
    <row r="1763">
      <c r="A1763" s="107">
        <v>202697.0</v>
      </c>
      <c r="B1763" s="108" t="s">
        <v>243</v>
      </c>
      <c r="C1763" s="108" t="s">
        <v>538</v>
      </c>
      <c r="D1763" s="112" t="s">
        <v>181</v>
      </c>
      <c r="E1763" s="112">
        <v>11.0</v>
      </c>
      <c r="F1763" s="111" t="str">
        <f>DataPull!D1763</f>
        <v/>
      </c>
      <c r="G1763" s="94" t="str">
        <f t="shared" si="2"/>
        <v/>
      </c>
      <c r="H1763" s="94" t="str">
        <f t="shared" si="3"/>
        <v/>
      </c>
      <c r="I1763" s="94" t="str">
        <f t="shared" ref="I1763:J1763" si="1764">if(G1763 = "", , -G1763)</f>
        <v/>
      </c>
      <c r="J1763" s="94" t="str">
        <f t="shared" si="1764"/>
        <v/>
      </c>
      <c r="K1763" s="100"/>
      <c r="M1763" s="100"/>
      <c r="N1763" s="100"/>
      <c r="O1763" s="100"/>
      <c r="P1763" s="100"/>
    </row>
    <row r="1764">
      <c r="A1764" s="107">
        <v>202698.0</v>
      </c>
      <c r="B1764" s="108" t="s">
        <v>85</v>
      </c>
      <c r="C1764" s="108" t="s">
        <v>539</v>
      </c>
      <c r="D1764" s="112" t="s">
        <v>187</v>
      </c>
      <c r="E1764" s="112">
        <v>250.0</v>
      </c>
      <c r="F1764" s="111" t="str">
        <f>DataPull!D1764</f>
        <v/>
      </c>
      <c r="G1764" s="94" t="str">
        <f t="shared" si="2"/>
        <v/>
      </c>
      <c r="H1764" s="94" t="str">
        <f t="shared" si="3"/>
        <v/>
      </c>
      <c r="I1764" s="94" t="str">
        <f t="shared" ref="I1764:J1764" si="1765">if(G1764 = "", , -G1764)</f>
        <v/>
      </c>
      <c r="J1764" s="94" t="str">
        <f t="shared" si="1765"/>
        <v/>
      </c>
      <c r="K1764" s="100"/>
      <c r="M1764" s="100"/>
      <c r="N1764" s="100"/>
      <c r="O1764" s="100"/>
      <c r="P1764" s="100"/>
    </row>
    <row r="1765">
      <c r="A1765" s="107">
        <v>202699.0</v>
      </c>
      <c r="B1765" s="108" t="s">
        <v>85</v>
      </c>
      <c r="C1765" s="108" t="s">
        <v>540</v>
      </c>
      <c r="D1765" s="112" t="s">
        <v>178</v>
      </c>
      <c r="E1765" s="112">
        <v>1848.3</v>
      </c>
      <c r="F1765" s="111" t="str">
        <f>DataPull!D1765</f>
        <v/>
      </c>
      <c r="G1765" s="94" t="str">
        <f t="shared" si="2"/>
        <v/>
      </c>
      <c r="H1765" s="94" t="str">
        <f t="shared" si="3"/>
        <v/>
      </c>
      <c r="I1765" s="94" t="str">
        <f t="shared" ref="I1765:J1765" si="1766">if(G1765 = "", , -G1765)</f>
        <v/>
      </c>
      <c r="J1765" s="94" t="str">
        <f t="shared" si="1766"/>
        <v/>
      </c>
      <c r="K1765" s="100"/>
      <c r="M1765" s="100"/>
      <c r="N1765" s="100"/>
      <c r="O1765" s="100"/>
      <c r="P1765" s="100"/>
    </row>
    <row r="1766">
      <c r="A1766" s="107">
        <v>202699.0</v>
      </c>
      <c r="B1766" s="108" t="s">
        <v>90</v>
      </c>
      <c r="C1766" s="108" t="s">
        <v>540</v>
      </c>
      <c r="D1766" s="112" t="s">
        <v>178</v>
      </c>
      <c r="E1766" s="112">
        <v>2366.4</v>
      </c>
      <c r="F1766" s="111" t="str">
        <f>DataPull!D1766</f>
        <v/>
      </c>
      <c r="G1766" s="94" t="str">
        <f t="shared" si="2"/>
        <v/>
      </c>
      <c r="H1766" s="94" t="str">
        <f t="shared" si="3"/>
        <v/>
      </c>
      <c r="I1766" s="94" t="str">
        <f t="shared" ref="I1766:J1766" si="1767">if(G1766 = "", , -G1766)</f>
        <v/>
      </c>
      <c r="J1766" s="94" t="str">
        <f t="shared" si="1767"/>
        <v/>
      </c>
      <c r="K1766" s="100"/>
      <c r="M1766" s="100"/>
      <c r="N1766" s="100"/>
      <c r="O1766" s="100"/>
      <c r="P1766" s="100"/>
    </row>
    <row r="1767">
      <c r="A1767" s="107">
        <v>202699.0</v>
      </c>
      <c r="B1767" s="108" t="s">
        <v>92</v>
      </c>
      <c r="C1767" s="108" t="s">
        <v>540</v>
      </c>
      <c r="D1767" s="112" t="s">
        <v>178</v>
      </c>
      <c r="E1767" s="112">
        <v>2515.6</v>
      </c>
      <c r="F1767" s="111" t="str">
        <f>DataPull!D1767</f>
        <v/>
      </c>
      <c r="G1767" s="94" t="str">
        <f t="shared" si="2"/>
        <v/>
      </c>
      <c r="H1767" s="94" t="str">
        <f t="shared" si="3"/>
        <v/>
      </c>
      <c r="I1767" s="94" t="str">
        <f t="shared" ref="I1767:J1767" si="1768">if(G1767 = "", , -G1767)</f>
        <v/>
      </c>
      <c r="J1767" s="94" t="str">
        <f t="shared" si="1768"/>
        <v/>
      </c>
      <c r="K1767" s="100"/>
      <c r="L1767" s="100"/>
      <c r="N1767" s="100"/>
      <c r="O1767" s="100"/>
      <c r="P1767" s="100"/>
    </row>
    <row r="1768">
      <c r="A1768" s="107">
        <v>202699.0</v>
      </c>
      <c r="B1768" s="108" t="s">
        <v>190</v>
      </c>
      <c r="C1768" s="108" t="s">
        <v>540</v>
      </c>
      <c r="D1768" s="112" t="s">
        <v>178</v>
      </c>
      <c r="E1768" s="112">
        <v>2566.6</v>
      </c>
      <c r="F1768" s="111" t="str">
        <f>DataPull!D1768</f>
        <v/>
      </c>
      <c r="G1768" s="94" t="str">
        <f t="shared" si="2"/>
        <v/>
      </c>
      <c r="H1768" s="94" t="str">
        <f t="shared" si="3"/>
        <v/>
      </c>
      <c r="I1768" s="94" t="str">
        <f t="shared" ref="I1768:J1768" si="1769">if(G1768 = "", , -G1768)</f>
        <v/>
      </c>
      <c r="J1768" s="94" t="str">
        <f t="shared" si="1769"/>
        <v/>
      </c>
      <c r="K1768" s="100"/>
      <c r="M1768" s="100"/>
      <c r="N1768" s="100"/>
      <c r="O1768" s="100"/>
      <c r="P1768" s="100"/>
    </row>
    <row r="1769">
      <c r="A1769" s="107">
        <v>202699.0</v>
      </c>
      <c r="B1769" s="108" t="s">
        <v>191</v>
      </c>
      <c r="C1769" s="108" t="s">
        <v>540</v>
      </c>
      <c r="D1769" s="112" t="s">
        <v>178</v>
      </c>
      <c r="E1769" s="112">
        <v>2664.0</v>
      </c>
      <c r="F1769" s="111" t="str">
        <f>DataPull!D1769</f>
        <v/>
      </c>
      <c r="G1769" s="94" t="str">
        <f t="shared" si="2"/>
        <v/>
      </c>
      <c r="H1769" s="94" t="str">
        <f t="shared" si="3"/>
        <v/>
      </c>
      <c r="I1769" s="94" t="str">
        <f t="shared" ref="I1769:J1769" si="1770">if(G1769 = "", , -G1769)</f>
        <v/>
      </c>
      <c r="J1769" s="94" t="str">
        <f t="shared" si="1770"/>
        <v/>
      </c>
      <c r="K1769" s="100"/>
      <c r="M1769" s="100"/>
      <c r="N1769" s="100"/>
      <c r="O1769" s="100"/>
      <c r="P1769" s="100"/>
    </row>
    <row r="1770">
      <c r="A1770" s="107">
        <v>202699.0</v>
      </c>
      <c r="B1770" s="108" t="s">
        <v>192</v>
      </c>
      <c r="C1770" s="108" t="s">
        <v>540</v>
      </c>
      <c r="D1770" s="112" t="s">
        <v>178</v>
      </c>
      <c r="E1770" s="112">
        <v>2845.4</v>
      </c>
      <c r="F1770" s="111" t="str">
        <f>DataPull!D1770</f>
        <v/>
      </c>
      <c r="G1770" s="94" t="str">
        <f t="shared" si="2"/>
        <v/>
      </c>
      <c r="H1770" s="94" t="str">
        <f t="shared" si="3"/>
        <v/>
      </c>
      <c r="I1770" s="94" t="str">
        <f t="shared" ref="I1770:J1770" si="1771">if(G1770 = "", , -G1770)</f>
        <v/>
      </c>
      <c r="J1770" s="94" t="str">
        <f t="shared" si="1771"/>
        <v/>
      </c>
      <c r="K1770" s="100"/>
      <c r="L1770" s="100"/>
      <c r="N1770" s="100"/>
      <c r="O1770" s="100"/>
      <c r="P1770" s="100"/>
    </row>
    <row r="1771">
      <c r="A1771" s="107">
        <v>202699.0</v>
      </c>
      <c r="B1771" s="108" t="s">
        <v>193</v>
      </c>
      <c r="C1771" s="108" t="s">
        <v>540</v>
      </c>
      <c r="D1771" s="112" t="s">
        <v>184</v>
      </c>
      <c r="E1771" s="112">
        <v>2469.6</v>
      </c>
      <c r="F1771" s="111" t="str">
        <f>DataPull!D1771</f>
        <v/>
      </c>
      <c r="G1771" s="94" t="str">
        <f t="shared" si="2"/>
        <v/>
      </c>
      <c r="H1771" s="94" t="str">
        <f t="shared" si="3"/>
        <v/>
      </c>
      <c r="I1771" s="94" t="str">
        <f t="shared" ref="I1771:J1771" si="1772">if(G1771 = "", , -G1771)</f>
        <v/>
      </c>
      <c r="J1771" s="94" t="str">
        <f t="shared" si="1772"/>
        <v/>
      </c>
      <c r="K1771" s="100"/>
      <c r="M1771" s="100"/>
      <c r="N1771" s="100"/>
      <c r="O1771" s="100"/>
      <c r="P1771" s="100"/>
    </row>
    <row r="1772">
      <c r="A1772" s="107">
        <v>202699.0</v>
      </c>
      <c r="B1772" s="108" t="s">
        <v>243</v>
      </c>
      <c r="C1772" s="108" t="s">
        <v>540</v>
      </c>
      <c r="D1772" s="112" t="s">
        <v>184</v>
      </c>
      <c r="E1772" s="112">
        <v>2015.0</v>
      </c>
      <c r="F1772" s="111" t="str">
        <f>DataPull!D1772</f>
        <v/>
      </c>
      <c r="G1772" s="94" t="str">
        <f t="shared" si="2"/>
        <v/>
      </c>
      <c r="H1772" s="94" t="str">
        <f t="shared" si="3"/>
        <v/>
      </c>
      <c r="I1772" s="94" t="str">
        <f t="shared" ref="I1772:J1772" si="1773">if(G1772 = "", , -G1772)</f>
        <v/>
      </c>
      <c r="J1772" s="94" t="str">
        <f t="shared" si="1773"/>
        <v/>
      </c>
      <c r="K1772" s="100"/>
      <c r="M1772" s="100"/>
      <c r="N1772" s="100"/>
      <c r="O1772" s="100"/>
      <c r="P1772" s="100"/>
    </row>
    <row r="1773">
      <c r="A1773" s="107">
        <v>202699.0</v>
      </c>
      <c r="B1773" s="108" t="s">
        <v>215</v>
      </c>
      <c r="C1773" s="108" t="s">
        <v>540</v>
      </c>
      <c r="D1773" s="112" t="s">
        <v>184</v>
      </c>
      <c r="E1773" s="112">
        <v>2540.4</v>
      </c>
      <c r="F1773" s="111" t="str">
        <f>DataPull!D1773</f>
        <v/>
      </c>
      <c r="G1773" s="94" t="str">
        <f t="shared" si="2"/>
        <v/>
      </c>
      <c r="H1773" s="94" t="str">
        <f t="shared" si="3"/>
        <v/>
      </c>
      <c r="I1773" s="94" t="str">
        <f t="shared" ref="I1773:J1773" si="1774">if(G1773 = "", , -G1773)</f>
        <v/>
      </c>
      <c r="J1773" s="94" t="str">
        <f t="shared" si="1774"/>
        <v/>
      </c>
      <c r="K1773" s="100"/>
      <c r="M1773" s="100"/>
      <c r="N1773" s="100"/>
      <c r="O1773" s="100"/>
      <c r="P1773" s="100"/>
    </row>
    <row r="1774">
      <c r="A1774" s="107">
        <v>202699.0</v>
      </c>
      <c r="B1774" s="108" t="s">
        <v>244</v>
      </c>
      <c r="C1774" s="108" t="s">
        <v>540</v>
      </c>
      <c r="D1774" s="112" t="s">
        <v>178</v>
      </c>
      <c r="E1774" s="112">
        <v>2434.6</v>
      </c>
      <c r="F1774" s="111" t="str">
        <f>DataPull!D1774</f>
        <v/>
      </c>
      <c r="G1774" s="94" t="str">
        <f t="shared" si="2"/>
        <v/>
      </c>
      <c r="H1774" s="94" t="str">
        <f t="shared" si="3"/>
        <v/>
      </c>
      <c r="I1774" s="94" t="str">
        <f t="shared" ref="I1774:J1774" si="1775">if(G1774 = "", , -G1774)</f>
        <v/>
      </c>
      <c r="J1774" s="94" t="str">
        <f t="shared" si="1775"/>
        <v/>
      </c>
      <c r="K1774" s="100"/>
      <c r="M1774" s="100"/>
      <c r="N1774" s="100"/>
      <c r="O1774" s="100"/>
      <c r="P1774" s="100"/>
    </row>
    <row r="1775">
      <c r="A1775" s="107">
        <v>202699.0</v>
      </c>
      <c r="B1775" s="108" t="s">
        <v>245</v>
      </c>
      <c r="C1775" s="108" t="s">
        <v>540</v>
      </c>
      <c r="D1775" s="112" t="s">
        <v>178</v>
      </c>
      <c r="E1775" s="112">
        <v>2366.0</v>
      </c>
      <c r="F1775" s="111" t="str">
        <f>DataPull!D1775</f>
        <v/>
      </c>
      <c r="G1775" s="94" t="str">
        <f t="shared" si="2"/>
        <v/>
      </c>
      <c r="H1775" s="94" t="str">
        <f t="shared" si="3"/>
        <v/>
      </c>
      <c r="I1775" s="94" t="str">
        <f t="shared" ref="I1775:J1775" si="1776">if(G1775 = "", , -G1775)</f>
        <v/>
      </c>
      <c r="J1775" s="94" t="str">
        <f t="shared" si="1776"/>
        <v/>
      </c>
      <c r="K1775" s="100"/>
      <c r="M1775" s="100"/>
      <c r="N1775" s="100"/>
      <c r="O1775" s="100"/>
      <c r="P1775" s="100"/>
    </row>
    <row r="1776">
      <c r="A1776" s="107">
        <v>202699.0</v>
      </c>
      <c r="B1776" s="108" t="s">
        <v>246</v>
      </c>
      <c r="C1776" s="108" t="s">
        <v>540</v>
      </c>
      <c r="D1776" s="112" t="s">
        <v>178</v>
      </c>
      <c r="E1776" s="112">
        <v>2306.8</v>
      </c>
      <c r="F1776" s="111" t="str">
        <f>DataPull!D1776</f>
        <v/>
      </c>
      <c r="G1776" s="94" t="str">
        <f t="shared" si="2"/>
        <v/>
      </c>
      <c r="H1776" s="94" t="str">
        <f t="shared" si="3"/>
        <v/>
      </c>
      <c r="I1776" s="94" t="str">
        <f t="shared" ref="I1776:J1776" si="1777">if(G1776 = "", , -G1776)</f>
        <v/>
      </c>
      <c r="J1776" s="94" t="str">
        <f t="shared" si="1777"/>
        <v/>
      </c>
      <c r="K1776" s="100"/>
      <c r="M1776" s="100"/>
      <c r="N1776" s="100"/>
      <c r="O1776" s="100"/>
      <c r="P1776" s="100"/>
    </row>
    <row r="1777">
      <c r="A1777" s="114">
        <v>202699.0</v>
      </c>
      <c r="B1777" s="113" t="s">
        <v>247</v>
      </c>
      <c r="C1777" s="113" t="s">
        <v>540</v>
      </c>
      <c r="D1777" s="112" t="s">
        <v>178</v>
      </c>
      <c r="E1777" s="112">
        <v>1745.1</v>
      </c>
      <c r="F1777" s="111" t="str">
        <f>DataPull!D1777</f>
        <v/>
      </c>
      <c r="G1777" s="94" t="str">
        <f t="shared" si="2"/>
        <v/>
      </c>
      <c r="H1777" s="94" t="str">
        <f t="shared" si="3"/>
        <v/>
      </c>
      <c r="I1777" s="94" t="str">
        <f t="shared" ref="I1777:J1777" si="1778">if(G1777 = "", , -G1777)</f>
        <v/>
      </c>
      <c r="J1777" s="94" t="str">
        <f t="shared" si="1778"/>
        <v/>
      </c>
      <c r="K1777" s="100"/>
      <c r="L1777" s="100"/>
      <c r="M1777" s="100"/>
      <c r="N1777" s="100"/>
      <c r="O1777" s="100"/>
      <c r="P1777" s="100"/>
    </row>
    <row r="1778">
      <c r="A1778" s="107">
        <v>202700.0</v>
      </c>
      <c r="B1778" s="108" t="s">
        <v>85</v>
      </c>
      <c r="C1778" s="108" t="s">
        <v>541</v>
      </c>
      <c r="D1778" s="112" t="s">
        <v>177</v>
      </c>
      <c r="E1778" s="112">
        <v>954.8</v>
      </c>
      <c r="F1778" s="111" t="str">
        <f>DataPull!D1778</f>
        <v/>
      </c>
      <c r="G1778" s="94" t="str">
        <f t="shared" si="2"/>
        <v/>
      </c>
      <c r="H1778" s="94" t="str">
        <f t="shared" si="3"/>
        <v/>
      </c>
      <c r="I1778" s="94" t="str">
        <f t="shared" ref="I1778:J1778" si="1779">if(G1778 = "", , -G1778)</f>
        <v/>
      </c>
      <c r="J1778" s="94" t="str">
        <f t="shared" si="1779"/>
        <v/>
      </c>
      <c r="K1778" s="100"/>
      <c r="L1778" s="100"/>
      <c r="M1778" s="100"/>
      <c r="N1778" s="100"/>
      <c r="O1778" s="100"/>
    </row>
    <row r="1779">
      <c r="A1779" s="107">
        <v>202700.0</v>
      </c>
      <c r="B1779" s="108" t="s">
        <v>90</v>
      </c>
      <c r="C1779" s="108" t="s">
        <v>541</v>
      </c>
      <c r="D1779" s="112" t="s">
        <v>178</v>
      </c>
      <c r="E1779" s="112">
        <v>2037.7</v>
      </c>
      <c r="F1779" s="111" t="str">
        <f>DataPull!D1779</f>
        <v/>
      </c>
      <c r="G1779" s="94" t="str">
        <f t="shared" si="2"/>
        <v/>
      </c>
      <c r="H1779" s="94" t="str">
        <f t="shared" si="3"/>
        <v/>
      </c>
      <c r="I1779" s="94" t="str">
        <f t="shared" ref="I1779:J1779" si="1780">if(G1779 = "", , -G1779)</f>
        <v/>
      </c>
      <c r="J1779" s="94" t="str">
        <f t="shared" si="1780"/>
        <v/>
      </c>
      <c r="K1779" s="100"/>
      <c r="M1779" s="100"/>
      <c r="N1779" s="100"/>
      <c r="O1779" s="100"/>
      <c r="P1779" s="100"/>
    </row>
    <row r="1780">
      <c r="A1780" s="107">
        <v>202700.0</v>
      </c>
      <c r="B1780" s="108" t="s">
        <v>92</v>
      </c>
      <c r="C1780" s="108" t="s">
        <v>541</v>
      </c>
      <c r="D1780" s="112" t="s">
        <v>177</v>
      </c>
      <c r="E1780" s="112">
        <v>547.6</v>
      </c>
      <c r="F1780" s="111" t="str">
        <f>DataPull!D1780</f>
        <v/>
      </c>
      <c r="G1780" s="94" t="str">
        <f t="shared" si="2"/>
        <v/>
      </c>
      <c r="H1780" s="94" t="str">
        <f t="shared" si="3"/>
        <v/>
      </c>
      <c r="I1780" s="94" t="str">
        <f t="shared" ref="I1780:J1780" si="1781">if(G1780 = "", , -G1780)</f>
        <v/>
      </c>
      <c r="J1780" s="94" t="str">
        <f t="shared" si="1781"/>
        <v/>
      </c>
      <c r="K1780" s="100"/>
      <c r="L1780" s="100"/>
      <c r="M1780" s="100"/>
      <c r="N1780" s="100"/>
      <c r="O1780" s="100"/>
      <c r="P1780" s="100"/>
    </row>
    <row r="1781">
      <c r="A1781" s="107">
        <v>202700.0</v>
      </c>
      <c r="B1781" s="108" t="s">
        <v>190</v>
      </c>
      <c r="C1781" s="108" t="s">
        <v>541</v>
      </c>
      <c r="D1781" s="112" t="s">
        <v>177</v>
      </c>
      <c r="E1781" s="112">
        <v>479.4</v>
      </c>
      <c r="F1781" s="111" t="str">
        <f>DataPull!D1781</f>
        <v/>
      </c>
      <c r="G1781" s="94" t="str">
        <f t="shared" si="2"/>
        <v/>
      </c>
      <c r="H1781" s="94" t="str">
        <f t="shared" si="3"/>
        <v/>
      </c>
      <c r="I1781" s="94" t="str">
        <f t="shared" ref="I1781:J1781" si="1782">if(G1781 = "", , -G1781)</f>
        <v/>
      </c>
      <c r="J1781" s="94" t="str">
        <f t="shared" si="1782"/>
        <v/>
      </c>
      <c r="K1781" s="100"/>
      <c r="M1781" s="100"/>
      <c r="N1781" s="100"/>
      <c r="P1781" s="100"/>
    </row>
    <row r="1782">
      <c r="A1782" s="107">
        <v>202700.0</v>
      </c>
      <c r="B1782" s="108" t="s">
        <v>192</v>
      </c>
      <c r="C1782" s="108" t="s">
        <v>541</v>
      </c>
      <c r="D1782" s="112" t="s">
        <v>181</v>
      </c>
      <c r="E1782" s="112">
        <v>12.9</v>
      </c>
      <c r="F1782" s="111" t="str">
        <f>DataPull!D1782</f>
        <v/>
      </c>
      <c r="G1782" s="94" t="str">
        <f t="shared" si="2"/>
        <v/>
      </c>
      <c r="H1782" s="94" t="str">
        <f t="shared" si="3"/>
        <v/>
      </c>
      <c r="I1782" s="94" t="str">
        <f t="shared" ref="I1782:J1782" si="1783">if(G1782 = "", , -G1782)</f>
        <v/>
      </c>
      <c r="J1782" s="94" t="str">
        <f t="shared" si="1783"/>
        <v/>
      </c>
      <c r="K1782" s="100"/>
      <c r="M1782" s="100"/>
      <c r="N1782" s="100"/>
      <c r="O1782" s="100"/>
      <c r="P1782" s="100"/>
    </row>
    <row r="1783">
      <c r="A1783" s="107">
        <v>202702.0</v>
      </c>
      <c r="B1783" s="108" t="s">
        <v>85</v>
      </c>
      <c r="C1783" s="108" t="s">
        <v>542</v>
      </c>
      <c r="D1783" s="112" t="s">
        <v>178</v>
      </c>
      <c r="E1783" s="112">
        <v>2176.0</v>
      </c>
      <c r="F1783" s="111" t="str">
        <f>DataPull!D1783</f>
        <v/>
      </c>
      <c r="G1783" s="94" t="str">
        <f t="shared" si="2"/>
        <v/>
      </c>
      <c r="H1783" s="94" t="str">
        <f t="shared" si="3"/>
        <v/>
      </c>
      <c r="I1783" s="94" t="str">
        <f t="shared" ref="I1783:J1783" si="1784">if(G1783 = "", , -G1783)</f>
        <v/>
      </c>
      <c r="J1783" s="94" t="str">
        <f t="shared" si="1784"/>
        <v/>
      </c>
      <c r="K1783" s="100"/>
      <c r="M1783" s="100"/>
      <c r="N1783" s="100"/>
      <c r="O1783" s="100"/>
      <c r="P1783" s="100"/>
    </row>
    <row r="1784">
      <c r="A1784" s="107">
        <v>202702.0</v>
      </c>
      <c r="B1784" s="108" t="s">
        <v>90</v>
      </c>
      <c r="C1784" s="108" t="s">
        <v>542</v>
      </c>
      <c r="D1784" s="112" t="s">
        <v>178</v>
      </c>
      <c r="E1784" s="112">
        <v>2085.0</v>
      </c>
      <c r="F1784" s="111" t="str">
        <f>DataPull!D1784</f>
        <v/>
      </c>
      <c r="G1784" s="94" t="str">
        <f t="shared" si="2"/>
        <v/>
      </c>
      <c r="H1784" s="94" t="str">
        <f t="shared" si="3"/>
        <v/>
      </c>
      <c r="I1784" s="94" t="str">
        <f t="shared" ref="I1784:J1784" si="1785">if(G1784 = "", , -G1784)</f>
        <v/>
      </c>
      <c r="J1784" s="94" t="str">
        <f t="shared" si="1785"/>
        <v/>
      </c>
      <c r="K1784" s="100"/>
      <c r="M1784" s="100"/>
      <c r="N1784" s="100"/>
      <c r="O1784" s="100"/>
      <c r="P1784" s="100"/>
    </row>
    <row r="1785">
      <c r="A1785" s="107">
        <v>202702.0</v>
      </c>
      <c r="B1785" s="108" t="s">
        <v>92</v>
      </c>
      <c r="C1785" s="108" t="s">
        <v>542</v>
      </c>
      <c r="D1785" s="112" t="s">
        <v>176</v>
      </c>
      <c r="E1785" s="112">
        <v>1695.1</v>
      </c>
      <c r="F1785" s="111" t="str">
        <f>DataPull!D1785</f>
        <v/>
      </c>
      <c r="G1785" s="94" t="str">
        <f t="shared" si="2"/>
        <v/>
      </c>
      <c r="H1785" s="94" t="str">
        <f t="shared" si="3"/>
        <v/>
      </c>
      <c r="I1785" s="94" t="str">
        <f t="shared" ref="I1785:J1785" si="1786">if(G1785 = "", , -G1785)</f>
        <v/>
      </c>
      <c r="J1785" s="94" t="str">
        <f t="shared" si="1786"/>
        <v/>
      </c>
      <c r="K1785" s="100"/>
      <c r="M1785" s="100"/>
      <c r="N1785" s="100"/>
      <c r="O1785" s="100"/>
      <c r="P1785" s="100"/>
    </row>
    <row r="1786">
      <c r="A1786" s="107">
        <v>202702.0</v>
      </c>
      <c r="B1786" s="108" t="s">
        <v>190</v>
      </c>
      <c r="C1786" s="108" t="s">
        <v>542</v>
      </c>
      <c r="D1786" s="112" t="s">
        <v>176</v>
      </c>
      <c r="E1786" s="112">
        <v>1293.2</v>
      </c>
      <c r="F1786" s="111" t="str">
        <f>DataPull!D1786</f>
        <v/>
      </c>
      <c r="G1786" s="94" t="str">
        <f t="shared" si="2"/>
        <v/>
      </c>
      <c r="H1786" s="94" t="str">
        <f t="shared" si="3"/>
        <v/>
      </c>
      <c r="I1786" s="94" t="str">
        <f t="shared" ref="I1786:J1786" si="1787">if(G1786 = "", , -G1786)</f>
        <v/>
      </c>
      <c r="J1786" s="94" t="str">
        <f t="shared" si="1787"/>
        <v/>
      </c>
      <c r="K1786" s="100"/>
      <c r="M1786" s="100"/>
      <c r="N1786" s="100"/>
      <c r="O1786" s="100"/>
      <c r="P1786" s="100"/>
    </row>
    <row r="1787">
      <c r="A1787" s="107">
        <v>202702.0</v>
      </c>
      <c r="B1787" s="108" t="s">
        <v>191</v>
      </c>
      <c r="C1787" s="108" t="s">
        <v>542</v>
      </c>
      <c r="D1787" s="112" t="s">
        <v>177</v>
      </c>
      <c r="E1787" s="112">
        <v>460.8</v>
      </c>
      <c r="F1787" s="111" t="str">
        <f>DataPull!D1787</f>
        <v/>
      </c>
      <c r="G1787" s="94" t="str">
        <f t="shared" si="2"/>
        <v/>
      </c>
      <c r="H1787" s="94" t="str">
        <f t="shared" si="3"/>
        <v/>
      </c>
      <c r="I1787" s="94" t="str">
        <f t="shared" ref="I1787:J1787" si="1788">if(G1787 = "", , -G1787)</f>
        <v/>
      </c>
      <c r="J1787" s="94" t="str">
        <f t="shared" si="1788"/>
        <v/>
      </c>
      <c r="K1787" s="100"/>
      <c r="M1787" s="100"/>
      <c r="N1787" s="100"/>
      <c r="O1787" s="100"/>
      <c r="P1787" s="100"/>
    </row>
    <row r="1788">
      <c r="A1788" s="107">
        <v>202702.0</v>
      </c>
      <c r="B1788" s="108" t="s">
        <v>192</v>
      </c>
      <c r="C1788" s="108" t="s">
        <v>542</v>
      </c>
      <c r="D1788" s="112" t="s">
        <v>176</v>
      </c>
      <c r="E1788" s="112">
        <v>728.9</v>
      </c>
      <c r="F1788" s="111" t="str">
        <f>DataPull!D1788</f>
        <v/>
      </c>
      <c r="G1788" s="94" t="str">
        <f t="shared" si="2"/>
        <v/>
      </c>
      <c r="H1788" s="94" t="str">
        <f t="shared" si="3"/>
        <v/>
      </c>
      <c r="I1788" s="94" t="str">
        <f t="shared" ref="I1788:J1788" si="1789">if(G1788 = "", , -G1788)</f>
        <v/>
      </c>
      <c r="J1788" s="94" t="str">
        <f t="shared" si="1789"/>
        <v/>
      </c>
      <c r="K1788" s="100"/>
      <c r="M1788" s="100"/>
      <c r="N1788" s="100"/>
      <c r="O1788" s="100"/>
    </row>
    <row r="1789">
      <c r="A1789" s="107">
        <v>202703.0</v>
      </c>
      <c r="B1789" s="108" t="s">
        <v>90</v>
      </c>
      <c r="C1789" s="108" t="s">
        <v>543</v>
      </c>
      <c r="D1789" s="112" t="s">
        <v>177</v>
      </c>
      <c r="E1789" s="112">
        <v>1656.4</v>
      </c>
      <c r="F1789" s="111" t="str">
        <f>DataPull!D1789</f>
        <v/>
      </c>
      <c r="G1789" s="94" t="str">
        <f t="shared" si="2"/>
        <v/>
      </c>
      <c r="H1789" s="94" t="str">
        <f t="shared" si="3"/>
        <v/>
      </c>
      <c r="I1789" s="94" t="str">
        <f t="shared" ref="I1789:J1789" si="1790">if(G1789 = "", , -G1789)</f>
        <v/>
      </c>
      <c r="J1789" s="94" t="str">
        <f t="shared" si="1790"/>
        <v/>
      </c>
      <c r="K1789" s="100"/>
      <c r="M1789" s="100"/>
      <c r="N1789" s="100"/>
      <c r="O1789" s="100"/>
      <c r="P1789" s="100"/>
    </row>
    <row r="1790">
      <c r="A1790" s="107">
        <v>202703.0</v>
      </c>
      <c r="B1790" s="108" t="s">
        <v>92</v>
      </c>
      <c r="C1790" s="108" t="s">
        <v>543</v>
      </c>
      <c r="D1790" s="112" t="s">
        <v>178</v>
      </c>
      <c r="E1790" s="112">
        <v>1643.4</v>
      </c>
      <c r="F1790" s="111" t="str">
        <f>DataPull!D1790</f>
        <v/>
      </c>
      <c r="G1790" s="94" t="str">
        <f t="shared" si="2"/>
        <v/>
      </c>
      <c r="H1790" s="94" t="str">
        <f t="shared" si="3"/>
        <v/>
      </c>
      <c r="I1790" s="94" t="str">
        <f t="shared" ref="I1790:J1790" si="1791">if(G1790 = "", , -G1790)</f>
        <v/>
      </c>
      <c r="J1790" s="94" t="str">
        <f t="shared" si="1791"/>
        <v/>
      </c>
      <c r="K1790" s="100"/>
      <c r="L1790" s="100"/>
      <c r="M1790" s="100"/>
      <c r="N1790" s="100"/>
      <c r="O1790" s="100"/>
      <c r="P1790" s="100"/>
    </row>
    <row r="1791">
      <c r="A1791" s="107">
        <v>202703.0</v>
      </c>
      <c r="B1791" s="108" t="s">
        <v>190</v>
      </c>
      <c r="C1791" s="108" t="s">
        <v>543</v>
      </c>
      <c r="D1791" s="112" t="s">
        <v>176</v>
      </c>
      <c r="E1791" s="112">
        <v>1680.0</v>
      </c>
      <c r="F1791" s="111" t="str">
        <f>DataPull!D1791</f>
        <v/>
      </c>
      <c r="G1791" s="94" t="str">
        <f t="shared" si="2"/>
        <v/>
      </c>
      <c r="H1791" s="94" t="str">
        <f t="shared" si="3"/>
        <v/>
      </c>
      <c r="I1791" s="94" t="str">
        <f t="shared" ref="I1791:J1791" si="1792">if(G1791 = "", , -G1791)</f>
        <v/>
      </c>
      <c r="J1791" s="94" t="str">
        <f t="shared" si="1792"/>
        <v/>
      </c>
      <c r="K1791" s="100"/>
      <c r="M1791" s="100"/>
      <c r="N1791" s="100"/>
      <c r="O1791" s="100"/>
      <c r="P1791" s="100"/>
    </row>
    <row r="1792">
      <c r="A1792" s="107">
        <v>202703.0</v>
      </c>
      <c r="B1792" s="108" t="s">
        <v>191</v>
      </c>
      <c r="C1792" s="108" t="s">
        <v>543</v>
      </c>
      <c r="D1792" s="112" t="s">
        <v>184</v>
      </c>
      <c r="E1792" s="112">
        <v>1496.0</v>
      </c>
      <c r="F1792" s="111" t="str">
        <f>DataPull!D1792</f>
        <v/>
      </c>
      <c r="G1792" s="94" t="str">
        <f t="shared" si="2"/>
        <v/>
      </c>
      <c r="H1792" s="94" t="str">
        <f t="shared" si="3"/>
        <v/>
      </c>
      <c r="I1792" s="94" t="str">
        <f t="shared" ref="I1792:J1792" si="1793">if(G1792 = "", , -G1792)</f>
        <v/>
      </c>
      <c r="J1792" s="94" t="str">
        <f t="shared" si="1793"/>
        <v/>
      </c>
      <c r="K1792" s="100"/>
      <c r="M1792" s="100"/>
      <c r="N1792" s="100"/>
      <c r="O1792" s="100"/>
      <c r="P1792" s="100"/>
    </row>
    <row r="1793">
      <c r="A1793" s="107">
        <v>202703.0</v>
      </c>
      <c r="B1793" s="108" t="s">
        <v>192</v>
      </c>
      <c r="C1793" s="108" t="s">
        <v>543</v>
      </c>
      <c r="D1793" s="112" t="s">
        <v>184</v>
      </c>
      <c r="E1793" s="112">
        <v>1246.6</v>
      </c>
      <c r="F1793" s="111" t="str">
        <f>DataPull!D1793</f>
        <v/>
      </c>
      <c r="G1793" s="94" t="str">
        <f t="shared" si="2"/>
        <v/>
      </c>
      <c r="H1793" s="94" t="str">
        <f t="shared" si="3"/>
        <v/>
      </c>
      <c r="I1793" s="94" t="str">
        <f t="shared" ref="I1793:J1793" si="1794">if(G1793 = "", , -G1793)</f>
        <v/>
      </c>
      <c r="J1793" s="94" t="str">
        <f t="shared" si="1794"/>
        <v/>
      </c>
      <c r="K1793" s="100"/>
      <c r="M1793" s="100"/>
      <c r="N1793" s="100"/>
      <c r="O1793" s="100"/>
      <c r="P1793" s="100"/>
    </row>
    <row r="1794">
      <c r="A1794" s="107">
        <v>202704.0</v>
      </c>
      <c r="B1794" s="108" t="s">
        <v>85</v>
      </c>
      <c r="C1794" s="108" t="s">
        <v>544</v>
      </c>
      <c r="D1794" s="112" t="s">
        <v>178</v>
      </c>
      <c r="E1794" s="112">
        <v>2280.0</v>
      </c>
      <c r="F1794" s="111" t="str">
        <f>DataPull!D1794</f>
        <v/>
      </c>
      <c r="G1794" s="94" t="str">
        <f t="shared" si="2"/>
        <v/>
      </c>
      <c r="H1794" s="94" t="str">
        <f t="shared" si="3"/>
        <v/>
      </c>
      <c r="I1794" s="94" t="str">
        <f t="shared" ref="I1794:J1794" si="1795">if(G1794 = "", , -G1794)</f>
        <v/>
      </c>
      <c r="J1794" s="94" t="str">
        <f t="shared" si="1795"/>
        <v/>
      </c>
      <c r="K1794" s="100"/>
      <c r="M1794" s="100"/>
      <c r="N1794" s="100"/>
      <c r="O1794" s="100"/>
      <c r="P1794" s="100"/>
    </row>
    <row r="1795">
      <c r="A1795" s="107">
        <v>202704.0</v>
      </c>
      <c r="B1795" s="108" t="s">
        <v>90</v>
      </c>
      <c r="C1795" s="108" t="s">
        <v>544</v>
      </c>
      <c r="D1795" s="112" t="s">
        <v>176</v>
      </c>
      <c r="E1795" s="112">
        <v>2271.5</v>
      </c>
      <c r="F1795" s="111" t="str">
        <f>DataPull!D1795</f>
        <v/>
      </c>
      <c r="G1795" s="94" t="str">
        <f t="shared" si="2"/>
        <v/>
      </c>
      <c r="H1795" s="94" t="str">
        <f t="shared" si="3"/>
        <v/>
      </c>
      <c r="I1795" s="94" t="str">
        <f t="shared" ref="I1795:J1795" si="1796">if(G1795 = "", , -G1795)</f>
        <v/>
      </c>
      <c r="J1795" s="94" t="str">
        <f t="shared" si="1796"/>
        <v/>
      </c>
      <c r="K1795" s="100"/>
      <c r="M1795" s="100"/>
      <c r="N1795" s="100"/>
      <c r="O1795" s="100"/>
      <c r="P1795" s="100"/>
    </row>
    <row r="1796">
      <c r="A1796" s="107">
        <v>202704.0</v>
      </c>
      <c r="B1796" s="108" t="s">
        <v>92</v>
      </c>
      <c r="C1796" s="108" t="s">
        <v>544</v>
      </c>
      <c r="D1796" s="112" t="s">
        <v>178</v>
      </c>
      <c r="E1796" s="112">
        <v>2425.3</v>
      </c>
      <c r="F1796" s="111" t="str">
        <f>DataPull!D1796</f>
        <v/>
      </c>
      <c r="G1796" s="94" t="str">
        <f t="shared" si="2"/>
        <v/>
      </c>
      <c r="H1796" s="94" t="str">
        <f t="shared" si="3"/>
        <v/>
      </c>
      <c r="I1796" s="94" t="str">
        <f t="shared" ref="I1796:J1796" si="1797">if(G1796 = "", , -G1796)</f>
        <v/>
      </c>
      <c r="J1796" s="94" t="str">
        <f t="shared" si="1797"/>
        <v/>
      </c>
      <c r="K1796" s="100"/>
      <c r="L1796" s="100"/>
      <c r="M1796" s="100"/>
      <c r="N1796" s="100"/>
      <c r="O1796" s="100"/>
      <c r="P1796" s="100"/>
    </row>
    <row r="1797">
      <c r="A1797" s="107">
        <v>202704.0</v>
      </c>
      <c r="B1797" s="108" t="s">
        <v>190</v>
      </c>
      <c r="C1797" s="108" t="s">
        <v>544</v>
      </c>
      <c r="D1797" s="112" t="s">
        <v>178</v>
      </c>
      <c r="E1797" s="112">
        <v>1424.8</v>
      </c>
      <c r="F1797" s="111" t="str">
        <f>DataPull!D1797</f>
        <v/>
      </c>
      <c r="G1797" s="94" t="str">
        <f t="shared" si="2"/>
        <v/>
      </c>
      <c r="H1797" s="94" t="str">
        <f t="shared" si="3"/>
        <v/>
      </c>
      <c r="I1797" s="94" t="str">
        <f t="shared" ref="I1797:J1797" si="1798">if(G1797 = "", , -G1797)</f>
        <v/>
      </c>
      <c r="J1797" s="94" t="str">
        <f t="shared" si="1798"/>
        <v/>
      </c>
      <c r="K1797" s="100"/>
      <c r="M1797" s="100"/>
      <c r="N1797" s="100"/>
      <c r="O1797" s="100"/>
      <c r="P1797" s="100"/>
    </row>
    <row r="1798">
      <c r="A1798" s="107">
        <v>202704.0</v>
      </c>
      <c r="B1798" s="108" t="s">
        <v>191</v>
      </c>
      <c r="C1798" s="108" t="s">
        <v>544</v>
      </c>
      <c r="D1798" s="112" t="s">
        <v>176</v>
      </c>
      <c r="E1798" s="112">
        <v>1201.5</v>
      </c>
      <c r="F1798" s="111" t="str">
        <f>DataPull!D1798</f>
        <v/>
      </c>
      <c r="G1798" s="94" t="str">
        <f t="shared" si="2"/>
        <v/>
      </c>
      <c r="H1798" s="94" t="str">
        <f t="shared" si="3"/>
        <v/>
      </c>
      <c r="I1798" s="94" t="str">
        <f t="shared" ref="I1798:J1798" si="1799">if(G1798 = "", , -G1798)</f>
        <v/>
      </c>
      <c r="J1798" s="94" t="str">
        <f t="shared" si="1799"/>
        <v/>
      </c>
      <c r="K1798" s="100"/>
      <c r="L1798" s="100"/>
      <c r="M1798" s="100"/>
      <c r="N1798" s="100"/>
      <c r="O1798" s="100"/>
    </row>
    <row r="1799">
      <c r="A1799" s="107">
        <v>202704.0</v>
      </c>
      <c r="B1799" s="108" t="s">
        <v>192</v>
      </c>
      <c r="C1799" s="108" t="s">
        <v>544</v>
      </c>
      <c r="D1799" s="112" t="s">
        <v>178</v>
      </c>
      <c r="E1799" s="112">
        <v>2287.8</v>
      </c>
      <c r="F1799" s="111" t="str">
        <f>DataPull!D1799</f>
        <v/>
      </c>
      <c r="G1799" s="94" t="str">
        <f t="shared" si="2"/>
        <v/>
      </c>
      <c r="H1799" s="94" t="str">
        <f t="shared" si="3"/>
        <v/>
      </c>
      <c r="I1799" s="94" t="str">
        <f t="shared" ref="I1799:J1799" si="1800">if(G1799 = "", , -G1799)</f>
        <v/>
      </c>
      <c r="J1799" s="94" t="str">
        <f t="shared" si="1800"/>
        <v/>
      </c>
      <c r="K1799" s="100"/>
      <c r="M1799" s="100"/>
      <c r="N1799" s="100"/>
      <c r="O1799" s="100"/>
      <c r="P1799" s="100"/>
    </row>
    <row r="1800">
      <c r="A1800" s="107">
        <v>202704.0</v>
      </c>
      <c r="B1800" s="108" t="s">
        <v>193</v>
      </c>
      <c r="C1800" s="108" t="s">
        <v>544</v>
      </c>
      <c r="D1800" s="112" t="s">
        <v>176</v>
      </c>
      <c r="E1800" s="112">
        <v>744.0</v>
      </c>
      <c r="F1800" s="111" t="str">
        <f>DataPull!D1800</f>
        <v/>
      </c>
      <c r="G1800" s="94" t="str">
        <f t="shared" si="2"/>
        <v/>
      </c>
      <c r="H1800" s="94" t="str">
        <f t="shared" si="3"/>
        <v/>
      </c>
      <c r="I1800" s="94" t="str">
        <f t="shared" ref="I1800:J1800" si="1801">if(G1800 = "", , -G1800)</f>
        <v/>
      </c>
      <c r="J1800" s="94" t="str">
        <f t="shared" si="1801"/>
        <v/>
      </c>
      <c r="K1800" s="100"/>
      <c r="M1800" s="100"/>
      <c r="N1800" s="100"/>
      <c r="O1800" s="100"/>
      <c r="P1800" s="100"/>
    </row>
    <row r="1801">
      <c r="A1801" s="107">
        <v>202704.0</v>
      </c>
      <c r="B1801" s="108" t="s">
        <v>243</v>
      </c>
      <c r="C1801" s="108" t="s">
        <v>544</v>
      </c>
      <c r="D1801" s="112" t="s">
        <v>176</v>
      </c>
      <c r="E1801" s="112">
        <v>1541.0</v>
      </c>
      <c r="F1801" s="111" t="str">
        <f>DataPull!D1801</f>
        <v/>
      </c>
      <c r="G1801" s="94" t="str">
        <f t="shared" si="2"/>
        <v/>
      </c>
      <c r="H1801" s="94" t="str">
        <f t="shared" si="3"/>
        <v/>
      </c>
      <c r="I1801" s="94" t="str">
        <f t="shared" ref="I1801:J1801" si="1802">if(G1801 = "", , -G1801)</f>
        <v/>
      </c>
      <c r="J1801" s="94" t="str">
        <f t="shared" si="1802"/>
        <v/>
      </c>
      <c r="K1801" s="100"/>
      <c r="M1801" s="100"/>
      <c r="N1801" s="100"/>
      <c r="O1801" s="100"/>
      <c r="P1801" s="100"/>
    </row>
    <row r="1802">
      <c r="A1802" s="107">
        <v>202704.0</v>
      </c>
      <c r="B1802" s="108" t="s">
        <v>215</v>
      </c>
      <c r="C1802" s="108" t="s">
        <v>544</v>
      </c>
      <c r="D1802" s="112" t="s">
        <v>178</v>
      </c>
      <c r="E1802" s="112">
        <v>2340.0</v>
      </c>
      <c r="F1802" s="111" t="str">
        <f>DataPull!D1802</f>
        <v/>
      </c>
      <c r="G1802" s="94" t="str">
        <f t="shared" si="2"/>
        <v/>
      </c>
      <c r="H1802" s="94" t="str">
        <f t="shared" si="3"/>
        <v/>
      </c>
      <c r="I1802" s="94" t="str">
        <f t="shared" ref="I1802:J1802" si="1803">if(G1802 = "", , -G1802)</f>
        <v/>
      </c>
      <c r="J1802" s="94" t="str">
        <f t="shared" si="1803"/>
        <v/>
      </c>
      <c r="K1802" s="100"/>
      <c r="L1802" s="100"/>
      <c r="N1802" s="100"/>
      <c r="O1802" s="100"/>
      <c r="P1802" s="100"/>
    </row>
    <row r="1803">
      <c r="A1803" s="107">
        <v>202704.0</v>
      </c>
      <c r="B1803" s="108" t="s">
        <v>244</v>
      </c>
      <c r="C1803" s="108" t="s">
        <v>544</v>
      </c>
      <c r="D1803" s="112" t="s">
        <v>176</v>
      </c>
      <c r="E1803" s="112">
        <v>1659.2</v>
      </c>
      <c r="F1803" s="111" t="str">
        <f>DataPull!D1803</f>
        <v/>
      </c>
      <c r="G1803" s="94" t="str">
        <f t="shared" si="2"/>
        <v/>
      </c>
      <c r="H1803" s="94" t="str">
        <f t="shared" si="3"/>
        <v/>
      </c>
      <c r="I1803" s="94" t="str">
        <f t="shared" ref="I1803:J1803" si="1804">if(G1803 = "", , -G1803)</f>
        <v/>
      </c>
      <c r="J1803" s="94" t="str">
        <f t="shared" si="1804"/>
        <v/>
      </c>
      <c r="L1803" s="100"/>
      <c r="M1803" s="100"/>
      <c r="N1803" s="100"/>
      <c r="O1803" s="100"/>
    </row>
    <row r="1804">
      <c r="A1804" s="107">
        <v>202704.0</v>
      </c>
      <c r="B1804" s="108" t="s">
        <v>245</v>
      </c>
      <c r="C1804" s="108" t="s">
        <v>544</v>
      </c>
      <c r="D1804" s="112" t="s">
        <v>176</v>
      </c>
      <c r="E1804" s="112">
        <v>1820.4</v>
      </c>
      <c r="F1804" s="111" t="str">
        <f>DataPull!D1804</f>
        <v/>
      </c>
      <c r="G1804" s="94" t="str">
        <f t="shared" si="2"/>
        <v/>
      </c>
      <c r="H1804" s="94" t="str">
        <f t="shared" si="3"/>
        <v/>
      </c>
      <c r="I1804" s="94" t="str">
        <f t="shared" ref="I1804:J1804" si="1805">if(G1804 = "", , -G1804)</f>
        <v/>
      </c>
      <c r="J1804" s="94" t="str">
        <f t="shared" si="1805"/>
        <v/>
      </c>
      <c r="K1804" s="100"/>
      <c r="L1804" s="100"/>
      <c r="M1804" s="100"/>
      <c r="N1804" s="100"/>
      <c r="O1804" s="100"/>
      <c r="P1804" s="100"/>
    </row>
    <row r="1805">
      <c r="A1805" s="107">
        <v>202704.0</v>
      </c>
      <c r="B1805" s="108" t="s">
        <v>246</v>
      </c>
      <c r="C1805" s="108" t="s">
        <v>544</v>
      </c>
      <c r="D1805" s="112" t="s">
        <v>177</v>
      </c>
      <c r="E1805" s="112">
        <v>384.4</v>
      </c>
      <c r="F1805" s="111" t="str">
        <f>DataPull!D1805</f>
        <v/>
      </c>
      <c r="G1805" s="94" t="str">
        <f t="shared" si="2"/>
        <v/>
      </c>
      <c r="H1805" s="94" t="str">
        <f t="shared" si="3"/>
        <v/>
      </c>
      <c r="I1805" s="94" t="str">
        <f t="shared" ref="I1805:J1805" si="1806">if(G1805 = "", , -G1805)</f>
        <v/>
      </c>
      <c r="J1805" s="94" t="str">
        <f t="shared" si="1806"/>
        <v/>
      </c>
      <c r="K1805" s="100"/>
      <c r="M1805" s="100"/>
      <c r="N1805" s="100"/>
      <c r="O1805" s="100"/>
      <c r="P1805" s="100"/>
    </row>
    <row r="1806">
      <c r="A1806" s="107">
        <v>202705.0</v>
      </c>
      <c r="B1806" s="108" t="s">
        <v>85</v>
      </c>
      <c r="C1806" s="108" t="s">
        <v>545</v>
      </c>
      <c r="D1806" s="112" t="s">
        <v>187</v>
      </c>
      <c r="E1806" s="112">
        <v>315.0</v>
      </c>
      <c r="F1806" s="111" t="str">
        <f>DataPull!D1806</f>
        <v/>
      </c>
      <c r="G1806" s="94" t="str">
        <f t="shared" si="2"/>
        <v/>
      </c>
      <c r="H1806" s="94" t="str">
        <f t="shared" si="3"/>
        <v/>
      </c>
      <c r="I1806" s="94" t="str">
        <f t="shared" ref="I1806:J1806" si="1807">if(G1806 = "", , -G1806)</f>
        <v/>
      </c>
      <c r="J1806" s="94" t="str">
        <f t="shared" si="1807"/>
        <v/>
      </c>
      <c r="K1806" s="100"/>
      <c r="L1806" s="100"/>
      <c r="M1806" s="100"/>
      <c r="N1806" s="100"/>
      <c r="O1806" s="100"/>
      <c r="P1806" s="100"/>
    </row>
    <row r="1807">
      <c r="A1807" s="107">
        <v>202705.0</v>
      </c>
      <c r="B1807" s="108" t="s">
        <v>191</v>
      </c>
      <c r="C1807" s="108" t="s">
        <v>545</v>
      </c>
      <c r="D1807" s="112" t="s">
        <v>181</v>
      </c>
      <c r="E1807" s="112">
        <v>192.5</v>
      </c>
      <c r="F1807" s="111" t="str">
        <f>DataPull!D1807</f>
        <v/>
      </c>
      <c r="G1807" s="94" t="str">
        <f t="shared" si="2"/>
        <v/>
      </c>
      <c r="H1807" s="94" t="str">
        <f t="shared" si="3"/>
        <v/>
      </c>
      <c r="I1807" s="94" t="str">
        <f t="shared" ref="I1807:J1807" si="1808">if(G1807 = "", , -G1807)</f>
        <v/>
      </c>
      <c r="J1807" s="94" t="str">
        <f t="shared" si="1808"/>
        <v/>
      </c>
      <c r="K1807" s="100"/>
      <c r="M1807" s="100"/>
      <c r="N1807" s="100"/>
      <c r="O1807" s="100"/>
      <c r="P1807" s="100"/>
    </row>
    <row r="1808">
      <c r="A1808" s="107">
        <v>202705.0</v>
      </c>
      <c r="B1808" s="108" t="s">
        <v>192</v>
      </c>
      <c r="C1808" s="108" t="s">
        <v>545</v>
      </c>
      <c r="D1808" s="112" t="s">
        <v>177</v>
      </c>
      <c r="E1808" s="112">
        <v>385.7</v>
      </c>
      <c r="F1808" s="111" t="str">
        <f>DataPull!D1808</f>
        <v/>
      </c>
      <c r="G1808" s="94" t="str">
        <f t="shared" si="2"/>
        <v/>
      </c>
      <c r="H1808" s="94" t="str">
        <f t="shared" si="3"/>
        <v/>
      </c>
      <c r="I1808" s="94" t="str">
        <f t="shared" ref="I1808:J1808" si="1809">if(G1808 = "", , -G1808)</f>
        <v/>
      </c>
      <c r="J1808" s="94" t="str">
        <f t="shared" si="1809"/>
        <v/>
      </c>
      <c r="K1808" s="100"/>
      <c r="M1808" s="100"/>
      <c r="N1808" s="100"/>
      <c r="O1808" s="100"/>
      <c r="P1808" s="100"/>
    </row>
    <row r="1809">
      <c r="A1809" s="107">
        <v>202706.0</v>
      </c>
      <c r="B1809" s="108" t="s">
        <v>85</v>
      </c>
      <c r="C1809" s="108" t="s">
        <v>546</v>
      </c>
      <c r="D1809" s="112" t="s">
        <v>177</v>
      </c>
      <c r="E1809" s="112">
        <v>1020.0</v>
      </c>
      <c r="F1809" s="111" t="str">
        <f>DataPull!D1809</f>
        <v/>
      </c>
      <c r="G1809" s="94" t="str">
        <f t="shared" si="2"/>
        <v/>
      </c>
      <c r="H1809" s="94" t="str">
        <f t="shared" si="3"/>
        <v/>
      </c>
      <c r="I1809" s="94" t="str">
        <f t="shared" ref="I1809:J1809" si="1810">if(G1809 = "", , -G1809)</f>
        <v/>
      </c>
      <c r="J1809" s="94" t="str">
        <f t="shared" si="1810"/>
        <v/>
      </c>
      <c r="K1809" s="100"/>
      <c r="M1809" s="100"/>
      <c r="N1809" s="100"/>
      <c r="O1809" s="100"/>
      <c r="P1809" s="100"/>
    </row>
    <row r="1810">
      <c r="A1810" s="107">
        <v>202706.0</v>
      </c>
      <c r="B1810" s="108" t="s">
        <v>90</v>
      </c>
      <c r="C1810" s="108" t="s">
        <v>546</v>
      </c>
      <c r="D1810" s="112" t="s">
        <v>187</v>
      </c>
      <c r="E1810" s="112">
        <v>121.8</v>
      </c>
      <c r="F1810" s="111" t="str">
        <f>DataPull!D1810</f>
        <v/>
      </c>
      <c r="G1810" s="94" t="str">
        <f t="shared" si="2"/>
        <v/>
      </c>
      <c r="H1810" s="94" t="str">
        <f t="shared" si="3"/>
        <v/>
      </c>
      <c r="I1810" s="94" t="str">
        <f t="shared" ref="I1810:J1810" si="1811">if(G1810 = "", , -G1810)</f>
        <v/>
      </c>
      <c r="J1810" s="94" t="str">
        <f t="shared" si="1811"/>
        <v/>
      </c>
      <c r="K1810" s="100"/>
      <c r="L1810" s="100"/>
      <c r="N1810" s="100"/>
      <c r="O1810" s="100"/>
      <c r="P1810" s="100"/>
    </row>
    <row r="1811">
      <c r="A1811" s="107">
        <v>202706.0</v>
      </c>
      <c r="B1811" s="108" t="s">
        <v>92</v>
      </c>
      <c r="C1811" s="108" t="s">
        <v>546</v>
      </c>
      <c r="D1811" s="112" t="s">
        <v>176</v>
      </c>
      <c r="E1811" s="112">
        <v>303.6</v>
      </c>
      <c r="F1811" s="111" t="str">
        <f>DataPull!D1811</f>
        <v/>
      </c>
      <c r="G1811" s="94" t="str">
        <f t="shared" si="2"/>
        <v/>
      </c>
      <c r="H1811" s="94" t="str">
        <f t="shared" si="3"/>
        <v/>
      </c>
      <c r="I1811" s="94" t="str">
        <f t="shared" ref="I1811:J1811" si="1812">if(G1811 = "", , -G1811)</f>
        <v/>
      </c>
      <c r="J1811" s="94" t="str">
        <f t="shared" si="1812"/>
        <v/>
      </c>
      <c r="K1811" s="100"/>
      <c r="M1811" s="100"/>
      <c r="N1811" s="100"/>
      <c r="O1811" s="100"/>
      <c r="P1811" s="100"/>
    </row>
    <row r="1812">
      <c r="A1812" s="107">
        <v>202708.0</v>
      </c>
      <c r="B1812" s="108" t="s">
        <v>85</v>
      </c>
      <c r="C1812" s="108" t="s">
        <v>547</v>
      </c>
      <c r="D1812" s="112" t="s">
        <v>176</v>
      </c>
      <c r="E1812" s="112">
        <v>2017.2</v>
      </c>
      <c r="F1812" s="111" t="str">
        <f>DataPull!D1812</f>
        <v/>
      </c>
      <c r="G1812" s="94" t="str">
        <f t="shared" si="2"/>
        <v/>
      </c>
      <c r="H1812" s="94" t="str">
        <f t="shared" si="3"/>
        <v/>
      </c>
      <c r="I1812" s="94" t="str">
        <f t="shared" ref="I1812:J1812" si="1813">if(G1812 = "", , -G1812)</f>
        <v/>
      </c>
      <c r="J1812" s="94" t="str">
        <f t="shared" si="1813"/>
        <v/>
      </c>
      <c r="K1812" s="100"/>
      <c r="M1812" s="100"/>
      <c r="N1812" s="100"/>
      <c r="O1812" s="100"/>
      <c r="P1812" s="100"/>
    </row>
    <row r="1813">
      <c r="A1813" s="107">
        <v>202708.0</v>
      </c>
      <c r="B1813" s="108" t="s">
        <v>90</v>
      </c>
      <c r="C1813" s="108" t="s">
        <v>547</v>
      </c>
      <c r="D1813" s="112" t="s">
        <v>176</v>
      </c>
      <c r="E1813" s="112">
        <v>1830.0</v>
      </c>
      <c r="F1813" s="111" t="str">
        <f>DataPull!D1813</f>
        <v/>
      </c>
      <c r="G1813" s="94" t="str">
        <f t="shared" si="2"/>
        <v/>
      </c>
      <c r="H1813" s="94" t="str">
        <f t="shared" si="3"/>
        <v/>
      </c>
      <c r="I1813" s="94" t="str">
        <f t="shared" ref="I1813:J1813" si="1814">if(G1813 = "", , -G1813)</f>
        <v/>
      </c>
      <c r="J1813" s="94" t="str">
        <f t="shared" si="1814"/>
        <v/>
      </c>
      <c r="K1813" s="100"/>
      <c r="L1813" s="100"/>
      <c r="M1813" s="100"/>
      <c r="N1813" s="100"/>
      <c r="O1813" s="100"/>
      <c r="P1813" s="100"/>
    </row>
    <row r="1814">
      <c r="A1814" s="107">
        <v>202708.0</v>
      </c>
      <c r="B1814" s="108" t="s">
        <v>92</v>
      </c>
      <c r="C1814" s="108" t="s">
        <v>547</v>
      </c>
      <c r="D1814" s="112" t="s">
        <v>176</v>
      </c>
      <c r="E1814" s="112">
        <v>1197.0</v>
      </c>
      <c r="F1814" s="111" t="str">
        <f>DataPull!D1814</f>
        <v/>
      </c>
      <c r="G1814" s="94" t="str">
        <f t="shared" si="2"/>
        <v/>
      </c>
      <c r="H1814" s="94" t="str">
        <f t="shared" si="3"/>
        <v/>
      </c>
      <c r="I1814" s="94" t="str">
        <f t="shared" ref="I1814:J1814" si="1815">if(G1814 = "", , -G1814)</f>
        <v/>
      </c>
      <c r="J1814" s="94" t="str">
        <f t="shared" si="1815"/>
        <v/>
      </c>
      <c r="K1814" s="100"/>
      <c r="M1814" s="100"/>
      <c r="N1814" s="100"/>
      <c r="O1814" s="100"/>
      <c r="P1814" s="100"/>
    </row>
    <row r="1815">
      <c r="A1815" s="107">
        <v>202708.0</v>
      </c>
      <c r="B1815" s="108" t="s">
        <v>190</v>
      </c>
      <c r="C1815" s="108" t="s">
        <v>547</v>
      </c>
      <c r="D1815" s="112" t="s">
        <v>187</v>
      </c>
      <c r="E1815" s="112">
        <v>124.8</v>
      </c>
      <c r="F1815" s="111" t="str">
        <f>DataPull!D1815</f>
        <v/>
      </c>
      <c r="G1815" s="94" t="str">
        <f t="shared" si="2"/>
        <v/>
      </c>
      <c r="H1815" s="94" t="str">
        <f t="shared" si="3"/>
        <v/>
      </c>
      <c r="I1815" s="94" t="str">
        <f t="shared" ref="I1815:J1815" si="1816">if(G1815 = "", , -G1815)</f>
        <v/>
      </c>
      <c r="J1815" s="94" t="str">
        <f t="shared" si="1816"/>
        <v/>
      </c>
      <c r="K1815" s="100"/>
      <c r="M1815" s="100"/>
      <c r="N1815" s="100"/>
      <c r="O1815" s="100"/>
      <c r="P1815" s="100"/>
    </row>
    <row r="1816">
      <c r="A1816" s="107">
        <v>202709.0</v>
      </c>
      <c r="B1816" s="108" t="s">
        <v>85</v>
      </c>
      <c r="C1816" s="108" t="s">
        <v>548</v>
      </c>
      <c r="D1816" s="112" t="s">
        <v>177</v>
      </c>
      <c r="E1816" s="112">
        <v>938.4</v>
      </c>
      <c r="F1816" s="111" t="str">
        <f>DataPull!D1816</f>
        <v/>
      </c>
      <c r="G1816" s="94" t="str">
        <f t="shared" si="2"/>
        <v/>
      </c>
      <c r="H1816" s="94" t="str">
        <f t="shared" si="3"/>
        <v/>
      </c>
      <c r="I1816" s="94" t="str">
        <f t="shared" ref="I1816:J1816" si="1817">if(G1816 = "", , -G1816)</f>
        <v/>
      </c>
      <c r="J1816" s="94" t="str">
        <f t="shared" si="1817"/>
        <v/>
      </c>
      <c r="K1816" s="100"/>
      <c r="M1816" s="100"/>
      <c r="N1816" s="100"/>
      <c r="O1816" s="100"/>
      <c r="P1816" s="100"/>
    </row>
    <row r="1817">
      <c r="A1817" s="107">
        <v>202709.0</v>
      </c>
      <c r="B1817" s="108" t="s">
        <v>90</v>
      </c>
      <c r="C1817" s="108" t="s">
        <v>548</v>
      </c>
      <c r="D1817" s="112" t="s">
        <v>177</v>
      </c>
      <c r="E1817" s="112">
        <v>1445.7</v>
      </c>
      <c r="F1817" s="111" t="str">
        <f>DataPull!D1817</f>
        <v/>
      </c>
      <c r="G1817" s="94" t="str">
        <f t="shared" si="2"/>
        <v/>
      </c>
      <c r="H1817" s="94" t="str">
        <f t="shared" si="3"/>
        <v/>
      </c>
      <c r="I1817" s="94" t="str">
        <f t="shared" ref="I1817:J1817" si="1818">if(G1817 = "", , -G1817)</f>
        <v/>
      </c>
      <c r="J1817" s="94" t="str">
        <f t="shared" si="1818"/>
        <v/>
      </c>
      <c r="K1817" s="100"/>
      <c r="L1817" s="100"/>
      <c r="N1817" s="100"/>
      <c r="O1817" s="100"/>
      <c r="P1817" s="100"/>
    </row>
    <row r="1818">
      <c r="A1818" s="107">
        <v>202709.0</v>
      </c>
      <c r="B1818" s="108" t="s">
        <v>92</v>
      </c>
      <c r="C1818" s="108" t="s">
        <v>548</v>
      </c>
      <c r="D1818" s="112" t="s">
        <v>178</v>
      </c>
      <c r="E1818" s="112">
        <v>2048.0</v>
      </c>
      <c r="F1818" s="111" t="str">
        <f>DataPull!D1818</f>
        <v/>
      </c>
      <c r="G1818" s="94" t="str">
        <f t="shared" si="2"/>
        <v/>
      </c>
      <c r="H1818" s="94" t="str">
        <f t="shared" si="3"/>
        <v/>
      </c>
      <c r="I1818" s="94" t="str">
        <f t="shared" ref="I1818:J1818" si="1819">if(G1818 = "", , -G1818)</f>
        <v/>
      </c>
      <c r="J1818" s="94" t="str">
        <f t="shared" si="1819"/>
        <v/>
      </c>
      <c r="K1818" s="100"/>
      <c r="M1818" s="100"/>
      <c r="N1818" s="100"/>
      <c r="O1818" s="100"/>
      <c r="P1818" s="100"/>
    </row>
    <row r="1819">
      <c r="A1819" s="107">
        <v>202709.0</v>
      </c>
      <c r="B1819" s="108" t="s">
        <v>190</v>
      </c>
      <c r="C1819" s="108" t="s">
        <v>548</v>
      </c>
      <c r="D1819" s="112" t="s">
        <v>176</v>
      </c>
      <c r="E1819" s="112">
        <v>2000.0</v>
      </c>
      <c r="F1819" s="111" t="str">
        <f>DataPull!D1819</f>
        <v/>
      </c>
      <c r="G1819" s="94" t="str">
        <f t="shared" si="2"/>
        <v/>
      </c>
      <c r="H1819" s="94" t="str">
        <f t="shared" si="3"/>
        <v/>
      </c>
      <c r="I1819" s="94" t="str">
        <f t="shared" ref="I1819:J1819" si="1820">if(G1819 = "", , -G1819)</f>
        <v/>
      </c>
      <c r="J1819" s="94" t="str">
        <f t="shared" si="1820"/>
        <v/>
      </c>
      <c r="K1819" s="100"/>
      <c r="M1819" s="100"/>
      <c r="N1819" s="100"/>
      <c r="O1819" s="100"/>
      <c r="P1819" s="100"/>
    </row>
    <row r="1820">
      <c r="A1820" s="107">
        <v>202709.0</v>
      </c>
      <c r="B1820" s="108" t="s">
        <v>191</v>
      </c>
      <c r="C1820" s="108" t="s">
        <v>548</v>
      </c>
      <c r="D1820" s="112" t="s">
        <v>176</v>
      </c>
      <c r="E1820" s="112">
        <v>2214.0</v>
      </c>
      <c r="F1820" s="111" t="str">
        <f>DataPull!D1820</f>
        <v/>
      </c>
      <c r="G1820" s="94" t="str">
        <f t="shared" si="2"/>
        <v/>
      </c>
      <c r="H1820" s="94" t="str">
        <f t="shared" si="3"/>
        <v/>
      </c>
      <c r="I1820" s="94" t="str">
        <f t="shared" ref="I1820:J1820" si="1821">if(G1820 = "", , -G1820)</f>
        <v/>
      </c>
      <c r="J1820" s="94" t="str">
        <f t="shared" si="1821"/>
        <v/>
      </c>
      <c r="K1820" s="100"/>
      <c r="M1820" s="100"/>
      <c r="N1820" s="100"/>
      <c r="O1820" s="100"/>
      <c r="P1820" s="100"/>
    </row>
    <row r="1821">
      <c r="A1821" s="107">
        <v>202709.0</v>
      </c>
      <c r="B1821" s="108" t="s">
        <v>192</v>
      </c>
      <c r="C1821" s="108" t="s">
        <v>548</v>
      </c>
      <c r="D1821" s="112" t="s">
        <v>176</v>
      </c>
      <c r="E1821" s="112">
        <v>2066.4</v>
      </c>
      <c r="F1821" s="111" t="str">
        <f>DataPull!D1821</f>
        <v/>
      </c>
      <c r="G1821" s="94" t="str">
        <f t="shared" si="2"/>
        <v/>
      </c>
      <c r="H1821" s="94" t="str">
        <f t="shared" si="3"/>
        <v/>
      </c>
      <c r="I1821" s="94" t="str">
        <f t="shared" ref="I1821:J1821" si="1822">if(G1821 = "", , -G1821)</f>
        <v/>
      </c>
      <c r="J1821" s="94" t="str">
        <f t="shared" si="1822"/>
        <v/>
      </c>
      <c r="K1821" s="100"/>
      <c r="M1821" s="100"/>
      <c r="N1821" s="100"/>
      <c r="O1821" s="100"/>
      <c r="P1821" s="100"/>
    </row>
    <row r="1822">
      <c r="A1822" s="107">
        <v>202709.0</v>
      </c>
      <c r="B1822" s="108" t="s">
        <v>193</v>
      </c>
      <c r="C1822" s="108" t="s">
        <v>548</v>
      </c>
      <c r="D1822" s="112" t="s">
        <v>176</v>
      </c>
      <c r="E1822" s="112">
        <v>1756.8</v>
      </c>
      <c r="F1822" s="111" t="str">
        <f>DataPull!D1822</f>
        <v/>
      </c>
      <c r="G1822" s="94" t="str">
        <f t="shared" si="2"/>
        <v/>
      </c>
      <c r="H1822" s="94" t="str">
        <f t="shared" si="3"/>
        <v/>
      </c>
      <c r="I1822" s="94" t="str">
        <f t="shared" ref="I1822:J1822" si="1823">if(G1822 = "", , -G1822)</f>
        <v/>
      </c>
      <c r="J1822" s="94" t="str">
        <f t="shared" si="1823"/>
        <v/>
      </c>
      <c r="K1822" s="100"/>
      <c r="M1822" s="100"/>
      <c r="N1822" s="100"/>
      <c r="O1822" s="100"/>
      <c r="P1822" s="100"/>
    </row>
    <row r="1823">
      <c r="A1823" s="107">
        <v>202709.0</v>
      </c>
      <c r="B1823" s="108" t="s">
        <v>243</v>
      </c>
      <c r="C1823" s="108" t="s">
        <v>548</v>
      </c>
      <c r="D1823" s="112" t="s">
        <v>177</v>
      </c>
      <c r="E1823" s="112">
        <v>1449.0</v>
      </c>
      <c r="F1823" s="111" t="str">
        <f>DataPull!D1823</f>
        <v/>
      </c>
      <c r="G1823" s="94" t="str">
        <f t="shared" si="2"/>
        <v/>
      </c>
      <c r="H1823" s="94" t="str">
        <f t="shared" si="3"/>
        <v/>
      </c>
      <c r="I1823" s="94" t="str">
        <f t="shared" ref="I1823:J1823" si="1824">if(G1823 = "", , -G1823)</f>
        <v/>
      </c>
      <c r="J1823" s="94" t="str">
        <f t="shared" si="1824"/>
        <v/>
      </c>
      <c r="K1823" s="100"/>
      <c r="M1823" s="100"/>
      <c r="N1823" s="100"/>
      <c r="O1823" s="100"/>
      <c r="P1823" s="100"/>
    </row>
    <row r="1824">
      <c r="A1824" s="107">
        <v>202709.0</v>
      </c>
      <c r="B1824" s="108" t="s">
        <v>215</v>
      </c>
      <c r="C1824" s="108" t="s">
        <v>548</v>
      </c>
      <c r="D1824" s="112" t="s">
        <v>176</v>
      </c>
      <c r="E1824" s="112">
        <v>1599.0</v>
      </c>
      <c r="F1824" s="111" t="str">
        <f>DataPull!D1824</f>
        <v/>
      </c>
      <c r="G1824" s="94" t="str">
        <f t="shared" si="2"/>
        <v/>
      </c>
      <c r="H1824" s="94" t="str">
        <f t="shared" si="3"/>
        <v/>
      </c>
      <c r="I1824" s="94" t="str">
        <f t="shared" ref="I1824:J1824" si="1825">if(G1824 = "", , -G1824)</f>
        <v/>
      </c>
      <c r="J1824" s="94" t="str">
        <f t="shared" si="1825"/>
        <v/>
      </c>
      <c r="K1824" s="100"/>
      <c r="M1824" s="100"/>
      <c r="N1824" s="100"/>
      <c r="O1824" s="100"/>
      <c r="P1824" s="100"/>
    </row>
    <row r="1825">
      <c r="A1825" s="107">
        <v>202709.0</v>
      </c>
      <c r="B1825" s="108" t="s">
        <v>244</v>
      </c>
      <c r="C1825" s="108" t="s">
        <v>548</v>
      </c>
      <c r="D1825" s="112" t="s">
        <v>177</v>
      </c>
      <c r="E1825" s="112">
        <v>1227.6</v>
      </c>
      <c r="F1825" s="111" t="str">
        <f>DataPull!D1825</f>
        <v/>
      </c>
      <c r="G1825" s="94" t="str">
        <f t="shared" si="2"/>
        <v/>
      </c>
      <c r="H1825" s="94" t="str">
        <f t="shared" si="3"/>
        <v/>
      </c>
      <c r="I1825" s="94" t="str">
        <f t="shared" ref="I1825:J1825" si="1826">if(G1825 = "", , -G1825)</f>
        <v/>
      </c>
      <c r="J1825" s="94" t="str">
        <f t="shared" si="1826"/>
        <v/>
      </c>
      <c r="K1825" s="100"/>
      <c r="M1825" s="100"/>
      <c r="N1825" s="100"/>
      <c r="O1825" s="100"/>
      <c r="P1825" s="100"/>
    </row>
    <row r="1826">
      <c r="A1826" s="107">
        <v>202709.0</v>
      </c>
      <c r="B1826" s="108" t="s">
        <v>245</v>
      </c>
      <c r="C1826" s="108" t="s">
        <v>548</v>
      </c>
      <c r="D1826" s="112" t="s">
        <v>187</v>
      </c>
      <c r="E1826" s="112">
        <v>296.4</v>
      </c>
      <c r="F1826" s="111" t="str">
        <f>DataPull!D1826</f>
        <v/>
      </c>
      <c r="G1826" s="94" t="str">
        <f t="shared" si="2"/>
        <v/>
      </c>
      <c r="H1826" s="94" t="str">
        <f t="shared" si="3"/>
        <v/>
      </c>
      <c r="I1826" s="94" t="str">
        <f t="shared" ref="I1826:J1826" si="1827">if(G1826 = "", , -G1826)</f>
        <v/>
      </c>
      <c r="J1826" s="94" t="str">
        <f t="shared" si="1827"/>
        <v/>
      </c>
      <c r="K1826" s="100"/>
      <c r="L1826" s="100"/>
      <c r="N1826" s="100"/>
      <c r="O1826" s="100"/>
      <c r="P1826" s="100"/>
    </row>
    <row r="1827">
      <c r="A1827" s="107">
        <v>202709.0</v>
      </c>
      <c r="B1827" s="108" t="s">
        <v>246</v>
      </c>
      <c r="C1827" s="108" t="s">
        <v>548</v>
      </c>
      <c r="D1827" s="112" t="s">
        <v>177</v>
      </c>
      <c r="E1827" s="112">
        <v>610.0</v>
      </c>
      <c r="F1827" s="111" t="str">
        <f>DataPull!D1827</f>
        <v/>
      </c>
      <c r="G1827" s="94" t="str">
        <f t="shared" si="2"/>
        <v/>
      </c>
      <c r="H1827" s="94" t="str">
        <f t="shared" si="3"/>
        <v/>
      </c>
      <c r="I1827" s="94" t="str">
        <f t="shared" ref="I1827:J1827" si="1828">if(G1827 = "", , -G1827)</f>
        <v/>
      </c>
      <c r="J1827" s="94" t="str">
        <f t="shared" si="1828"/>
        <v/>
      </c>
      <c r="K1827" s="100"/>
      <c r="M1827" s="100"/>
      <c r="N1827" s="100"/>
      <c r="O1827" s="100"/>
      <c r="P1827" s="100"/>
    </row>
    <row r="1828">
      <c r="A1828" s="107">
        <v>202710.0</v>
      </c>
      <c r="B1828" s="108" t="s">
        <v>85</v>
      </c>
      <c r="C1828" s="108" t="s">
        <v>549</v>
      </c>
      <c r="D1828" s="112" t="s">
        <v>178</v>
      </c>
      <c r="E1828" s="112">
        <v>2592.9</v>
      </c>
      <c r="F1828" s="111" t="str">
        <f>DataPull!D1828</f>
        <v/>
      </c>
      <c r="G1828" s="94" t="str">
        <f t="shared" si="2"/>
        <v/>
      </c>
      <c r="H1828" s="94" t="str">
        <f t="shared" si="3"/>
        <v/>
      </c>
      <c r="I1828" s="94" t="str">
        <f t="shared" ref="I1828:J1828" si="1829">if(G1828 = "", , -G1828)</f>
        <v/>
      </c>
      <c r="J1828" s="94" t="str">
        <f t="shared" si="1829"/>
        <v/>
      </c>
      <c r="K1828" s="100"/>
      <c r="L1828" s="100"/>
      <c r="M1828" s="100"/>
      <c r="N1828" s="100"/>
      <c r="O1828" s="100"/>
      <c r="P1828" s="100"/>
    </row>
    <row r="1829">
      <c r="A1829" s="107">
        <v>202710.0</v>
      </c>
      <c r="B1829" s="108" t="s">
        <v>90</v>
      </c>
      <c r="C1829" s="108" t="s">
        <v>549</v>
      </c>
      <c r="D1829" s="112" t="s">
        <v>184</v>
      </c>
      <c r="E1829" s="112">
        <v>2515.5</v>
      </c>
      <c r="F1829" s="111" t="str">
        <f>DataPull!D1829</f>
        <v/>
      </c>
      <c r="G1829" s="94" t="str">
        <f t="shared" si="2"/>
        <v/>
      </c>
      <c r="H1829" s="94" t="str">
        <f t="shared" si="3"/>
        <v/>
      </c>
      <c r="I1829" s="94" t="str">
        <f t="shared" ref="I1829:J1829" si="1830">if(G1829 = "", , -G1829)</f>
        <v/>
      </c>
      <c r="J1829" s="94" t="str">
        <f t="shared" si="1830"/>
        <v/>
      </c>
      <c r="K1829" s="100"/>
      <c r="M1829" s="100"/>
      <c r="N1829" s="100"/>
      <c r="O1829" s="100"/>
      <c r="P1829" s="100"/>
    </row>
    <row r="1830">
      <c r="A1830" s="107">
        <v>202710.0</v>
      </c>
      <c r="B1830" s="108" t="s">
        <v>92</v>
      </c>
      <c r="C1830" s="108" t="s">
        <v>549</v>
      </c>
      <c r="D1830" s="112" t="s">
        <v>184</v>
      </c>
      <c r="E1830" s="112">
        <v>2472.3</v>
      </c>
      <c r="F1830" s="111" t="str">
        <f>DataPull!D1830</f>
        <v/>
      </c>
      <c r="G1830" s="94" t="str">
        <f t="shared" si="2"/>
        <v/>
      </c>
      <c r="H1830" s="94" t="str">
        <f t="shared" si="3"/>
        <v/>
      </c>
      <c r="I1830" s="94" t="str">
        <f t="shared" ref="I1830:J1830" si="1831">if(G1830 = "", , -G1830)</f>
        <v/>
      </c>
      <c r="J1830" s="94" t="str">
        <f t="shared" si="1831"/>
        <v/>
      </c>
      <c r="K1830" s="100"/>
      <c r="M1830" s="100"/>
      <c r="N1830" s="100"/>
      <c r="O1830" s="100"/>
      <c r="P1830" s="100"/>
    </row>
    <row r="1831">
      <c r="A1831" s="107">
        <v>202710.0</v>
      </c>
      <c r="B1831" s="108" t="s">
        <v>190</v>
      </c>
      <c r="C1831" s="108" t="s">
        <v>549</v>
      </c>
      <c r="D1831" s="112" t="s">
        <v>184</v>
      </c>
      <c r="E1831" s="112">
        <v>2812.0</v>
      </c>
      <c r="F1831" s="111" t="str">
        <f>DataPull!D1831</f>
        <v/>
      </c>
      <c r="G1831" s="94" t="str">
        <f t="shared" si="2"/>
        <v/>
      </c>
      <c r="H1831" s="94" t="str">
        <f t="shared" si="3"/>
        <v/>
      </c>
      <c r="I1831" s="94" t="str">
        <f t="shared" ref="I1831:J1831" si="1832">if(G1831 = "", , -G1831)</f>
        <v/>
      </c>
      <c r="J1831" s="94" t="str">
        <f t="shared" si="1832"/>
        <v/>
      </c>
      <c r="K1831" s="100"/>
      <c r="M1831" s="100"/>
      <c r="N1831" s="100"/>
      <c r="O1831" s="100"/>
      <c r="P1831" s="100"/>
    </row>
    <row r="1832">
      <c r="A1832" s="107">
        <v>202710.0</v>
      </c>
      <c r="B1832" s="108" t="s">
        <v>191</v>
      </c>
      <c r="C1832" s="108" t="s">
        <v>549</v>
      </c>
      <c r="D1832" s="112" t="s">
        <v>184</v>
      </c>
      <c r="E1832" s="112">
        <v>2165.3</v>
      </c>
      <c r="F1832" s="111" t="str">
        <f>DataPull!D1832</f>
        <v/>
      </c>
      <c r="G1832" s="94" t="str">
        <f t="shared" si="2"/>
        <v/>
      </c>
      <c r="H1832" s="94" t="str">
        <f t="shared" si="3"/>
        <v/>
      </c>
      <c r="I1832" s="94" t="str">
        <f t="shared" ref="I1832:J1832" si="1833">if(G1832 = "", , -G1832)</f>
        <v/>
      </c>
      <c r="J1832" s="94" t="str">
        <f t="shared" si="1833"/>
        <v/>
      </c>
      <c r="K1832" s="100"/>
      <c r="M1832" s="100"/>
      <c r="N1832" s="100"/>
      <c r="O1832" s="100"/>
      <c r="P1832" s="100"/>
    </row>
    <row r="1833">
      <c r="A1833" s="107">
        <v>202710.0</v>
      </c>
      <c r="B1833" s="108" t="s">
        <v>192</v>
      </c>
      <c r="C1833" s="108" t="s">
        <v>549</v>
      </c>
      <c r="D1833" s="112" t="s">
        <v>184</v>
      </c>
      <c r="E1833" s="112">
        <v>2184.0</v>
      </c>
      <c r="F1833" s="111" t="str">
        <f>DataPull!D1833</f>
        <v/>
      </c>
      <c r="G1833" s="94" t="str">
        <f t="shared" si="2"/>
        <v/>
      </c>
      <c r="H1833" s="94" t="str">
        <f t="shared" si="3"/>
        <v/>
      </c>
      <c r="I1833" s="94" t="str">
        <f t="shared" ref="I1833:J1833" si="1834">if(G1833 = "", , -G1833)</f>
        <v/>
      </c>
      <c r="J1833" s="94" t="str">
        <f t="shared" si="1834"/>
        <v/>
      </c>
      <c r="K1833" s="100"/>
      <c r="M1833" s="100"/>
      <c r="N1833" s="100"/>
      <c r="O1833" s="100"/>
      <c r="P1833" s="100"/>
    </row>
    <row r="1834">
      <c r="A1834" s="107">
        <v>202710.0</v>
      </c>
      <c r="B1834" s="108" t="s">
        <v>193</v>
      </c>
      <c r="C1834" s="108" t="s">
        <v>549</v>
      </c>
      <c r="D1834" s="112" t="s">
        <v>184</v>
      </c>
      <c r="E1834" s="112">
        <v>1960.4</v>
      </c>
      <c r="F1834" s="111" t="str">
        <f>DataPull!D1834</f>
        <v/>
      </c>
      <c r="G1834" s="94" t="str">
        <f t="shared" si="2"/>
        <v/>
      </c>
      <c r="H1834" s="94" t="str">
        <f t="shared" si="3"/>
        <v/>
      </c>
      <c r="I1834" s="94" t="str">
        <f t="shared" ref="I1834:J1834" si="1835">if(G1834 = "", , -G1834)</f>
        <v/>
      </c>
      <c r="J1834" s="94" t="str">
        <f t="shared" si="1835"/>
        <v/>
      </c>
      <c r="K1834" s="100"/>
      <c r="M1834" s="100"/>
      <c r="N1834" s="100"/>
      <c r="O1834" s="100"/>
      <c r="P1834" s="100"/>
    </row>
    <row r="1835">
      <c r="A1835" s="107">
        <v>202710.0</v>
      </c>
      <c r="B1835" s="108" t="s">
        <v>243</v>
      </c>
      <c r="C1835" s="108" t="s">
        <v>549</v>
      </c>
      <c r="D1835" s="112" t="s">
        <v>184</v>
      </c>
      <c r="E1835" s="112">
        <v>1747.2</v>
      </c>
      <c r="F1835" s="111" t="str">
        <f>DataPull!D1835</f>
        <v/>
      </c>
      <c r="G1835" s="94" t="str">
        <f t="shared" si="2"/>
        <v/>
      </c>
      <c r="H1835" s="94" t="str">
        <f t="shared" si="3"/>
        <v/>
      </c>
      <c r="I1835" s="94" t="str">
        <f t="shared" ref="I1835:J1835" si="1836">if(G1835 = "", , -G1835)</f>
        <v/>
      </c>
      <c r="J1835" s="94" t="str">
        <f t="shared" si="1836"/>
        <v/>
      </c>
      <c r="K1835" s="100"/>
      <c r="M1835" s="100"/>
      <c r="N1835" s="100"/>
      <c r="O1835" s="100"/>
    </row>
    <row r="1836">
      <c r="A1836" s="107">
        <v>202710.0</v>
      </c>
      <c r="B1836" s="108" t="s">
        <v>215</v>
      </c>
      <c r="C1836" s="108" t="s">
        <v>549</v>
      </c>
      <c r="D1836" s="112" t="s">
        <v>184</v>
      </c>
      <c r="E1836" s="112">
        <v>1932.3</v>
      </c>
      <c r="F1836" s="111" t="str">
        <f>DataPull!D1836</f>
        <v/>
      </c>
      <c r="G1836" s="94" t="str">
        <f t="shared" si="2"/>
        <v/>
      </c>
      <c r="H1836" s="94" t="str">
        <f t="shared" si="3"/>
        <v/>
      </c>
      <c r="I1836" s="94" t="str">
        <f t="shared" ref="I1836:J1836" si="1837">if(G1836 = "", , -G1836)</f>
        <v/>
      </c>
      <c r="J1836" s="94" t="str">
        <f t="shared" si="1837"/>
        <v/>
      </c>
      <c r="K1836" s="100"/>
      <c r="M1836" s="100"/>
      <c r="N1836" s="100"/>
      <c r="O1836" s="100"/>
      <c r="P1836" s="100"/>
    </row>
    <row r="1837">
      <c r="A1837" s="107">
        <v>202710.0</v>
      </c>
      <c r="B1837" s="108" t="s">
        <v>244</v>
      </c>
      <c r="C1837" s="108" t="s">
        <v>549</v>
      </c>
      <c r="D1837" s="112" t="s">
        <v>184</v>
      </c>
      <c r="E1837" s="112">
        <v>2137.6</v>
      </c>
      <c r="F1837" s="111" t="str">
        <f>DataPull!D1837</f>
        <v/>
      </c>
      <c r="G1837" s="94" t="str">
        <f t="shared" si="2"/>
        <v/>
      </c>
      <c r="H1837" s="94" t="str">
        <f t="shared" si="3"/>
        <v/>
      </c>
      <c r="I1837" s="94" t="str">
        <f t="shared" ref="I1837:J1837" si="1838">if(G1837 = "", , -G1837)</f>
        <v/>
      </c>
      <c r="J1837" s="94" t="str">
        <f t="shared" si="1838"/>
        <v/>
      </c>
      <c r="K1837" s="100"/>
      <c r="M1837" s="100"/>
      <c r="N1837" s="100"/>
      <c r="O1837" s="100"/>
      <c r="P1837" s="100"/>
    </row>
    <row r="1838">
      <c r="A1838" s="107">
        <v>202710.0</v>
      </c>
      <c r="B1838" s="108" t="s">
        <v>245</v>
      </c>
      <c r="C1838" s="108" t="s">
        <v>549</v>
      </c>
      <c r="D1838" s="112" t="s">
        <v>184</v>
      </c>
      <c r="E1838" s="112">
        <v>2040.0</v>
      </c>
      <c r="F1838" s="111" t="str">
        <f>DataPull!D1838</f>
        <v/>
      </c>
      <c r="G1838" s="94" t="str">
        <f t="shared" si="2"/>
        <v/>
      </c>
      <c r="H1838" s="94" t="str">
        <f t="shared" si="3"/>
        <v/>
      </c>
      <c r="I1838" s="94" t="str">
        <f t="shared" ref="I1838:J1838" si="1839">if(G1838 = "", , -G1838)</f>
        <v/>
      </c>
      <c r="J1838" s="94" t="str">
        <f t="shared" si="1839"/>
        <v/>
      </c>
      <c r="K1838" s="100"/>
      <c r="M1838" s="100"/>
      <c r="N1838" s="100"/>
      <c r="O1838" s="100"/>
      <c r="P1838" s="100"/>
    </row>
    <row r="1839">
      <c r="A1839" s="107">
        <v>202710.0</v>
      </c>
      <c r="B1839" s="108" t="s">
        <v>246</v>
      </c>
      <c r="C1839" s="108" t="s">
        <v>549</v>
      </c>
      <c r="D1839" s="112" t="s">
        <v>184</v>
      </c>
      <c r="E1839" s="112">
        <v>1743.5</v>
      </c>
      <c r="F1839" s="111" t="str">
        <f>DataPull!D1839</f>
        <v/>
      </c>
      <c r="G1839" s="94" t="str">
        <f t="shared" si="2"/>
        <v/>
      </c>
      <c r="H1839" s="94" t="str">
        <f t="shared" si="3"/>
        <v/>
      </c>
      <c r="I1839" s="94" t="str">
        <f t="shared" ref="I1839:J1839" si="1840">if(G1839 = "", , -G1839)</f>
        <v/>
      </c>
      <c r="J1839" s="94" t="str">
        <f t="shared" si="1840"/>
        <v/>
      </c>
      <c r="K1839" s="100"/>
      <c r="M1839" s="100"/>
      <c r="N1839" s="100"/>
      <c r="O1839" s="100"/>
      <c r="P1839" s="100"/>
    </row>
    <row r="1840">
      <c r="A1840" s="114">
        <v>202710.0</v>
      </c>
      <c r="B1840" s="113" t="s">
        <v>247</v>
      </c>
      <c r="C1840" s="108" t="s">
        <v>549</v>
      </c>
      <c r="D1840" s="112" t="s">
        <v>184</v>
      </c>
      <c r="E1840" s="112">
        <v>1181.8</v>
      </c>
      <c r="F1840" s="111" t="str">
        <f>DataPull!D1840</f>
        <v/>
      </c>
      <c r="G1840" s="94" t="str">
        <f t="shared" si="2"/>
        <v/>
      </c>
      <c r="H1840" s="94" t="str">
        <f t="shared" si="3"/>
        <v/>
      </c>
      <c r="I1840" s="94" t="str">
        <f t="shared" ref="I1840:J1840" si="1841">if(G1840 = "", , -G1840)</f>
        <v/>
      </c>
      <c r="J1840" s="94" t="str">
        <f t="shared" si="1841"/>
        <v/>
      </c>
      <c r="K1840" s="100"/>
      <c r="M1840" s="100"/>
      <c r="N1840" s="100"/>
      <c r="O1840" s="100"/>
      <c r="P1840" s="100"/>
    </row>
    <row r="1841">
      <c r="A1841" s="107">
        <v>202711.0</v>
      </c>
      <c r="B1841" s="108" t="s">
        <v>90</v>
      </c>
      <c r="C1841" s="108" t="s">
        <v>550</v>
      </c>
      <c r="D1841" s="112" t="s">
        <v>176</v>
      </c>
      <c r="E1841" s="112">
        <v>1856.4</v>
      </c>
      <c r="F1841" s="111" t="str">
        <f>DataPull!D1841</f>
        <v/>
      </c>
      <c r="G1841" s="94" t="str">
        <f t="shared" si="2"/>
        <v/>
      </c>
      <c r="H1841" s="94" t="str">
        <f t="shared" si="3"/>
        <v/>
      </c>
      <c r="I1841" s="94" t="str">
        <f t="shared" ref="I1841:J1841" si="1842">if(G1841 = "", , -G1841)</f>
        <v/>
      </c>
      <c r="J1841" s="94" t="str">
        <f t="shared" si="1842"/>
        <v/>
      </c>
      <c r="K1841" s="100"/>
      <c r="M1841" s="100"/>
      <c r="N1841" s="100"/>
      <c r="O1841" s="100"/>
      <c r="P1841" s="100"/>
    </row>
    <row r="1842">
      <c r="A1842" s="107">
        <v>202711.0</v>
      </c>
      <c r="B1842" s="108" t="s">
        <v>92</v>
      </c>
      <c r="C1842" s="108" t="s">
        <v>550</v>
      </c>
      <c r="D1842" s="112" t="s">
        <v>178</v>
      </c>
      <c r="E1842" s="112">
        <v>2117.2</v>
      </c>
      <c r="F1842" s="111" t="str">
        <f>DataPull!D1842</f>
        <v/>
      </c>
      <c r="G1842" s="94" t="str">
        <f t="shared" si="2"/>
        <v/>
      </c>
      <c r="H1842" s="94" t="str">
        <f t="shared" si="3"/>
        <v/>
      </c>
      <c r="I1842" s="94" t="str">
        <f t="shared" ref="I1842:J1842" si="1843">if(G1842 = "", , -G1842)</f>
        <v/>
      </c>
      <c r="J1842" s="94" t="str">
        <f t="shared" si="1843"/>
        <v/>
      </c>
      <c r="K1842" s="100"/>
      <c r="L1842" s="100"/>
      <c r="N1842" s="100"/>
      <c r="O1842" s="100"/>
      <c r="P1842" s="100"/>
    </row>
    <row r="1843">
      <c r="A1843" s="107">
        <v>202711.0</v>
      </c>
      <c r="B1843" s="108" t="s">
        <v>190</v>
      </c>
      <c r="C1843" s="108" t="s">
        <v>550</v>
      </c>
      <c r="D1843" s="112" t="s">
        <v>178</v>
      </c>
      <c r="E1843" s="112">
        <v>2081.7</v>
      </c>
      <c r="F1843" s="111" t="str">
        <f>DataPull!D1843</f>
        <v/>
      </c>
      <c r="G1843" s="94" t="str">
        <f t="shared" si="2"/>
        <v/>
      </c>
      <c r="H1843" s="94" t="str">
        <f t="shared" si="3"/>
        <v/>
      </c>
      <c r="I1843" s="94" t="str">
        <f t="shared" ref="I1843:J1843" si="1844">if(G1843 = "", , -G1843)</f>
        <v/>
      </c>
      <c r="J1843" s="94" t="str">
        <f t="shared" si="1844"/>
        <v/>
      </c>
      <c r="K1843" s="100"/>
      <c r="L1843" s="100"/>
      <c r="M1843" s="100"/>
      <c r="N1843" s="100"/>
      <c r="O1843" s="100"/>
    </row>
    <row r="1844">
      <c r="A1844" s="107">
        <v>202711.0</v>
      </c>
      <c r="B1844" s="108" t="s">
        <v>191</v>
      </c>
      <c r="C1844" s="108" t="s">
        <v>550</v>
      </c>
      <c r="D1844" s="112" t="s">
        <v>178</v>
      </c>
      <c r="E1844" s="112">
        <v>2464.0</v>
      </c>
      <c r="F1844" s="111" t="str">
        <f>DataPull!D1844</f>
        <v/>
      </c>
      <c r="G1844" s="94" t="str">
        <f t="shared" si="2"/>
        <v/>
      </c>
      <c r="H1844" s="94" t="str">
        <f t="shared" si="3"/>
        <v/>
      </c>
      <c r="I1844" s="94" t="str">
        <f t="shared" ref="I1844:J1844" si="1845">if(G1844 = "", , -G1844)</f>
        <v/>
      </c>
      <c r="J1844" s="94" t="str">
        <f t="shared" si="1845"/>
        <v/>
      </c>
      <c r="K1844" s="100"/>
      <c r="L1844" s="100"/>
      <c r="N1844" s="100"/>
      <c r="O1844" s="100"/>
      <c r="P1844" s="100"/>
    </row>
    <row r="1845">
      <c r="A1845" s="107">
        <v>202711.0</v>
      </c>
      <c r="B1845" s="108" t="s">
        <v>192</v>
      </c>
      <c r="C1845" s="108" t="s">
        <v>550</v>
      </c>
      <c r="D1845" s="112" t="s">
        <v>178</v>
      </c>
      <c r="E1845" s="112">
        <v>2575.8</v>
      </c>
      <c r="F1845" s="111" t="str">
        <f>DataPull!D1845</f>
        <v/>
      </c>
      <c r="G1845" s="94" t="str">
        <f t="shared" si="2"/>
        <v/>
      </c>
      <c r="H1845" s="94" t="str">
        <f t="shared" si="3"/>
        <v/>
      </c>
      <c r="I1845" s="94" t="str">
        <f t="shared" ref="I1845:J1845" si="1846">if(G1845 = "", , -G1845)</f>
        <v/>
      </c>
      <c r="J1845" s="94" t="str">
        <f t="shared" si="1846"/>
        <v/>
      </c>
      <c r="K1845" s="100"/>
      <c r="L1845" s="100"/>
      <c r="M1845" s="100"/>
      <c r="N1845" s="100"/>
      <c r="O1845" s="100"/>
      <c r="P1845" s="100"/>
    </row>
    <row r="1846">
      <c r="A1846" s="107">
        <v>202711.0</v>
      </c>
      <c r="B1846" s="108" t="s">
        <v>193</v>
      </c>
      <c r="C1846" s="108" t="s">
        <v>550</v>
      </c>
      <c r="D1846" s="112" t="s">
        <v>178</v>
      </c>
      <c r="E1846" s="112">
        <v>2085.3</v>
      </c>
      <c r="F1846" s="111" t="str">
        <f>DataPull!D1846</f>
        <v/>
      </c>
      <c r="G1846" s="94" t="str">
        <f t="shared" si="2"/>
        <v/>
      </c>
      <c r="H1846" s="94" t="str">
        <f t="shared" si="3"/>
        <v/>
      </c>
      <c r="I1846" s="94" t="str">
        <f t="shared" ref="I1846:J1846" si="1847">if(G1846 = "", , -G1846)</f>
        <v/>
      </c>
      <c r="J1846" s="94" t="str">
        <f t="shared" si="1847"/>
        <v/>
      </c>
      <c r="K1846" s="100"/>
      <c r="M1846" s="100"/>
      <c r="N1846" s="100"/>
      <c r="O1846" s="100"/>
      <c r="P1846" s="100"/>
    </row>
    <row r="1847">
      <c r="A1847" s="107">
        <v>202711.0</v>
      </c>
      <c r="B1847" s="108" t="s">
        <v>243</v>
      </c>
      <c r="C1847" s="108" t="s">
        <v>550</v>
      </c>
      <c r="D1847" s="112" t="s">
        <v>178</v>
      </c>
      <c r="E1847" s="112">
        <v>2217.6</v>
      </c>
      <c r="F1847" s="111" t="str">
        <f>DataPull!D1847</f>
        <v/>
      </c>
      <c r="G1847" s="94" t="str">
        <f t="shared" si="2"/>
        <v/>
      </c>
      <c r="H1847" s="94" t="str">
        <f t="shared" si="3"/>
        <v/>
      </c>
      <c r="I1847" s="94" t="str">
        <f t="shared" ref="I1847:J1847" si="1848">if(G1847 = "", , -G1847)</f>
        <v/>
      </c>
      <c r="J1847" s="94" t="str">
        <f t="shared" si="1848"/>
        <v/>
      </c>
      <c r="K1847" s="100"/>
      <c r="M1847" s="100"/>
      <c r="N1847" s="100"/>
      <c r="O1847" s="100"/>
      <c r="P1847" s="100"/>
    </row>
    <row r="1848">
      <c r="A1848" s="107">
        <v>202711.0</v>
      </c>
      <c r="B1848" s="108" t="s">
        <v>215</v>
      </c>
      <c r="C1848" s="108" t="s">
        <v>550</v>
      </c>
      <c r="D1848" s="112" t="s">
        <v>178</v>
      </c>
      <c r="E1848" s="112">
        <v>2132.1</v>
      </c>
      <c r="F1848" s="111" t="str">
        <f>DataPull!D1848</f>
        <v/>
      </c>
      <c r="G1848" s="94" t="str">
        <f t="shared" si="2"/>
        <v/>
      </c>
      <c r="H1848" s="94" t="str">
        <f t="shared" si="3"/>
        <v/>
      </c>
      <c r="I1848" s="94" t="str">
        <f t="shared" ref="I1848:J1848" si="1849">if(G1848 = "", , -G1848)</f>
        <v/>
      </c>
      <c r="J1848" s="94" t="str">
        <f t="shared" si="1849"/>
        <v/>
      </c>
      <c r="K1848" s="100"/>
      <c r="M1848" s="100"/>
      <c r="N1848" s="100"/>
      <c r="O1848" s="100"/>
      <c r="P1848" s="100"/>
    </row>
    <row r="1849">
      <c r="A1849" s="107">
        <v>202711.0</v>
      </c>
      <c r="B1849" s="108" t="s">
        <v>244</v>
      </c>
      <c r="C1849" s="108" t="s">
        <v>550</v>
      </c>
      <c r="D1849" s="112" t="s">
        <v>178</v>
      </c>
      <c r="E1849" s="112">
        <v>1893.9</v>
      </c>
      <c r="F1849" s="111" t="str">
        <f>DataPull!D1849</f>
        <v/>
      </c>
      <c r="G1849" s="94" t="str">
        <f t="shared" si="2"/>
        <v/>
      </c>
      <c r="H1849" s="94" t="str">
        <f t="shared" si="3"/>
        <v/>
      </c>
      <c r="I1849" s="94" t="str">
        <f t="shared" ref="I1849:J1849" si="1850">if(G1849 = "", , -G1849)</f>
        <v/>
      </c>
      <c r="J1849" s="94" t="str">
        <f t="shared" si="1850"/>
        <v/>
      </c>
      <c r="K1849" s="100"/>
      <c r="M1849" s="100"/>
      <c r="N1849" s="100"/>
      <c r="O1849" s="100"/>
      <c r="P1849" s="100"/>
    </row>
    <row r="1850">
      <c r="A1850" s="107">
        <v>202711.0</v>
      </c>
      <c r="B1850" s="108" t="s">
        <v>245</v>
      </c>
      <c r="C1850" s="108" t="s">
        <v>550</v>
      </c>
      <c r="D1850" s="112" t="s">
        <v>177</v>
      </c>
      <c r="E1850" s="112">
        <v>1476.3</v>
      </c>
      <c r="F1850" s="111" t="str">
        <f>DataPull!D1850</f>
        <v/>
      </c>
      <c r="G1850" s="94" t="str">
        <f t="shared" si="2"/>
        <v/>
      </c>
      <c r="H1850" s="94" t="str">
        <f t="shared" si="3"/>
        <v/>
      </c>
      <c r="I1850" s="94" t="str">
        <f t="shared" ref="I1850:J1850" si="1851">if(G1850 = "", , -G1850)</f>
        <v/>
      </c>
      <c r="J1850" s="94" t="str">
        <f t="shared" si="1851"/>
        <v/>
      </c>
      <c r="K1850" s="100"/>
      <c r="M1850" s="100"/>
      <c r="N1850" s="100"/>
      <c r="O1850" s="100"/>
      <c r="P1850" s="100"/>
    </row>
    <row r="1851">
      <c r="A1851" s="107">
        <v>202711.0</v>
      </c>
      <c r="B1851" s="108" t="s">
        <v>246</v>
      </c>
      <c r="C1851" s="108" t="s">
        <v>550</v>
      </c>
      <c r="D1851" s="112"/>
      <c r="E1851" s="112"/>
      <c r="F1851" s="111" t="str">
        <f>DataPull!D1851</f>
        <v/>
      </c>
      <c r="G1851" s="94" t="str">
        <f t="shared" si="2"/>
        <v/>
      </c>
      <c r="H1851" s="94" t="str">
        <f t="shared" si="3"/>
        <v/>
      </c>
      <c r="I1851" s="94" t="str">
        <f t="shared" ref="I1851:J1851" si="1852">if(G1851 = "", , -G1851)</f>
        <v/>
      </c>
      <c r="J1851" s="94" t="str">
        <f t="shared" si="1852"/>
        <v/>
      </c>
      <c r="K1851" s="100"/>
      <c r="M1851" s="100"/>
      <c r="N1851" s="100"/>
      <c r="O1851" s="100"/>
      <c r="P1851" s="100"/>
    </row>
    <row r="1852">
      <c r="A1852" s="107">
        <v>202712.0</v>
      </c>
      <c r="B1852" s="108" t="s">
        <v>92</v>
      </c>
      <c r="C1852" s="108" t="s">
        <v>551</v>
      </c>
      <c r="D1852" s="112" t="s">
        <v>181</v>
      </c>
      <c r="E1852" s="112">
        <v>35.0</v>
      </c>
      <c r="F1852" s="111" t="str">
        <f>DataPull!D1852</f>
        <v/>
      </c>
      <c r="G1852" s="94" t="str">
        <f t="shared" si="2"/>
        <v/>
      </c>
      <c r="H1852" s="94" t="str">
        <f t="shared" si="3"/>
        <v/>
      </c>
      <c r="I1852" s="94" t="str">
        <f t="shared" ref="I1852:J1852" si="1853">if(G1852 = "", , -G1852)</f>
        <v/>
      </c>
      <c r="J1852" s="94" t="str">
        <f t="shared" si="1853"/>
        <v/>
      </c>
      <c r="K1852" s="100"/>
      <c r="M1852" s="100"/>
      <c r="N1852" s="100"/>
      <c r="O1852" s="100"/>
    </row>
    <row r="1853">
      <c r="A1853" s="107">
        <v>202712.0</v>
      </c>
      <c r="B1853" s="108" t="s">
        <v>190</v>
      </c>
      <c r="C1853" s="108" t="s">
        <v>551</v>
      </c>
      <c r="D1853" s="112" t="s">
        <v>181</v>
      </c>
      <c r="E1853" s="112">
        <v>31.2</v>
      </c>
      <c r="F1853" s="111" t="str">
        <f>DataPull!D1853</f>
        <v/>
      </c>
      <c r="G1853" s="94" t="str">
        <f t="shared" si="2"/>
        <v/>
      </c>
      <c r="H1853" s="94" t="str">
        <f t="shared" si="3"/>
        <v/>
      </c>
      <c r="I1853" s="94" t="str">
        <f t="shared" ref="I1853:J1853" si="1854">if(G1853 = "", , -G1853)</f>
        <v/>
      </c>
      <c r="J1853" s="94" t="str">
        <f t="shared" si="1854"/>
        <v/>
      </c>
      <c r="K1853" s="100"/>
      <c r="M1853" s="100"/>
      <c r="N1853" s="100"/>
      <c r="O1853" s="100"/>
      <c r="P1853" s="100"/>
    </row>
    <row r="1854">
      <c r="A1854" s="107">
        <v>202713.0</v>
      </c>
      <c r="B1854" s="108" t="s">
        <v>85</v>
      </c>
      <c r="C1854" s="108" t="s">
        <v>552</v>
      </c>
      <c r="D1854" s="112" t="s">
        <v>178</v>
      </c>
      <c r="E1854" s="112">
        <v>2337.0</v>
      </c>
      <c r="F1854" s="111" t="str">
        <f>DataPull!D1854</f>
        <v/>
      </c>
      <c r="G1854" s="94" t="str">
        <f t="shared" si="2"/>
        <v/>
      </c>
      <c r="H1854" s="94" t="str">
        <f t="shared" si="3"/>
        <v/>
      </c>
      <c r="I1854" s="94" t="str">
        <f t="shared" ref="I1854:J1854" si="1855">if(G1854 = "", , -G1854)</f>
        <v/>
      </c>
      <c r="J1854" s="94" t="str">
        <f t="shared" si="1855"/>
        <v/>
      </c>
      <c r="K1854" s="100"/>
      <c r="M1854" s="100"/>
      <c r="N1854" s="100"/>
      <c r="O1854" s="100"/>
      <c r="P1854" s="100"/>
    </row>
    <row r="1855">
      <c r="A1855" s="107">
        <v>202713.0</v>
      </c>
      <c r="B1855" s="108" t="s">
        <v>90</v>
      </c>
      <c r="C1855" s="108" t="s">
        <v>552</v>
      </c>
      <c r="D1855" s="112" t="s">
        <v>176</v>
      </c>
      <c r="E1855" s="112">
        <v>1744.0</v>
      </c>
      <c r="F1855" s="111" t="str">
        <f>DataPull!D1855</f>
        <v/>
      </c>
      <c r="G1855" s="94" t="str">
        <f t="shared" si="2"/>
        <v/>
      </c>
      <c r="H1855" s="94" t="str">
        <f t="shared" si="3"/>
        <v/>
      </c>
      <c r="I1855" s="94" t="str">
        <f t="shared" ref="I1855:J1855" si="1856">if(G1855 = "", , -G1855)</f>
        <v/>
      </c>
      <c r="J1855" s="94" t="str">
        <f t="shared" si="1856"/>
        <v/>
      </c>
      <c r="K1855" s="100"/>
      <c r="M1855" s="100"/>
      <c r="N1855" s="100"/>
      <c r="O1855" s="100"/>
      <c r="P1855" s="100"/>
    </row>
    <row r="1856">
      <c r="A1856" s="107">
        <v>202713.0</v>
      </c>
      <c r="B1856" s="108" t="s">
        <v>92</v>
      </c>
      <c r="C1856" s="108" t="s">
        <v>552</v>
      </c>
      <c r="D1856" s="112" t="s">
        <v>177</v>
      </c>
      <c r="E1856" s="112">
        <v>979.2</v>
      </c>
      <c r="F1856" s="111" t="str">
        <f>DataPull!D1856</f>
        <v/>
      </c>
      <c r="G1856" s="94" t="str">
        <f t="shared" si="2"/>
        <v/>
      </c>
      <c r="H1856" s="94" t="str">
        <f t="shared" si="3"/>
        <v/>
      </c>
      <c r="I1856" s="94" t="str">
        <f t="shared" ref="I1856:J1856" si="1857">if(G1856 = "", , -G1856)</f>
        <v/>
      </c>
      <c r="J1856" s="94" t="str">
        <f t="shared" si="1857"/>
        <v/>
      </c>
      <c r="K1856" s="100"/>
      <c r="M1856" s="100"/>
      <c r="N1856" s="100"/>
      <c r="O1856" s="100"/>
      <c r="P1856" s="100"/>
    </row>
    <row r="1857">
      <c r="A1857" s="107">
        <v>202713.0</v>
      </c>
      <c r="B1857" s="108" t="s">
        <v>190</v>
      </c>
      <c r="C1857" s="108" t="s">
        <v>552</v>
      </c>
      <c r="D1857" s="112" t="s">
        <v>177</v>
      </c>
      <c r="E1857" s="112">
        <v>384.0</v>
      </c>
      <c r="F1857" s="111" t="str">
        <f>DataPull!D1857</f>
        <v/>
      </c>
      <c r="G1857" s="94" t="str">
        <f t="shared" si="2"/>
        <v/>
      </c>
      <c r="H1857" s="94" t="str">
        <f t="shared" si="3"/>
        <v/>
      </c>
      <c r="I1857" s="94" t="str">
        <f t="shared" ref="I1857:J1857" si="1858">if(G1857 = "", , -G1857)</f>
        <v/>
      </c>
      <c r="J1857" s="94" t="str">
        <f t="shared" si="1858"/>
        <v/>
      </c>
      <c r="K1857" s="100"/>
      <c r="M1857" s="100"/>
      <c r="N1857" s="100"/>
      <c r="O1857" s="100"/>
      <c r="P1857" s="100"/>
    </row>
    <row r="1858">
      <c r="A1858" s="107">
        <v>202713.0</v>
      </c>
      <c r="B1858" s="108" t="s">
        <v>191</v>
      </c>
      <c r="C1858" s="108" t="s">
        <v>552</v>
      </c>
      <c r="D1858" s="112" t="s">
        <v>187</v>
      </c>
      <c r="E1858" s="112">
        <v>58.8</v>
      </c>
      <c r="F1858" s="111" t="str">
        <f>DataPull!D1858</f>
        <v/>
      </c>
      <c r="G1858" s="94" t="str">
        <f t="shared" si="2"/>
        <v/>
      </c>
      <c r="H1858" s="94" t="str">
        <f t="shared" si="3"/>
        <v/>
      </c>
      <c r="I1858" s="94" t="str">
        <f t="shared" ref="I1858:J1858" si="1859">if(G1858 = "", , -G1858)</f>
        <v/>
      </c>
      <c r="J1858" s="94" t="str">
        <f t="shared" si="1859"/>
        <v/>
      </c>
      <c r="K1858" s="100"/>
      <c r="M1858" s="100"/>
      <c r="N1858" s="100"/>
      <c r="O1858" s="100"/>
      <c r="P1858" s="100"/>
    </row>
    <row r="1859">
      <c r="A1859" s="107">
        <v>202714.0</v>
      </c>
      <c r="B1859" s="108" t="s">
        <v>85</v>
      </c>
      <c r="C1859" s="108" t="s">
        <v>553</v>
      </c>
      <c r="D1859" s="112" t="s">
        <v>176</v>
      </c>
      <c r="E1859" s="112">
        <v>1489.2</v>
      </c>
      <c r="F1859" s="111" t="str">
        <f>DataPull!D1859</f>
        <v/>
      </c>
      <c r="G1859" s="94" t="str">
        <f t="shared" si="2"/>
        <v/>
      </c>
      <c r="H1859" s="94" t="str">
        <f t="shared" si="3"/>
        <v/>
      </c>
      <c r="I1859" s="94" t="str">
        <f t="shared" ref="I1859:J1859" si="1860">if(G1859 = "", , -G1859)</f>
        <v/>
      </c>
      <c r="J1859" s="94" t="str">
        <f t="shared" si="1860"/>
        <v/>
      </c>
      <c r="K1859" s="100"/>
      <c r="L1859" s="100"/>
      <c r="N1859" s="100"/>
      <c r="O1859" s="100"/>
      <c r="P1859" s="100"/>
    </row>
    <row r="1860">
      <c r="A1860" s="107">
        <v>202714.0</v>
      </c>
      <c r="B1860" s="108" t="s">
        <v>90</v>
      </c>
      <c r="C1860" s="108" t="s">
        <v>553</v>
      </c>
      <c r="D1860" s="112" t="s">
        <v>177</v>
      </c>
      <c r="E1860" s="112">
        <v>830.5</v>
      </c>
      <c r="F1860" s="111" t="str">
        <f>DataPull!D1860</f>
        <v/>
      </c>
      <c r="G1860" s="94" t="str">
        <f t="shared" si="2"/>
        <v/>
      </c>
      <c r="H1860" s="94" t="str">
        <f t="shared" si="3"/>
        <v/>
      </c>
      <c r="I1860" s="94" t="str">
        <f t="shared" ref="I1860:J1860" si="1861">if(G1860 = "", , -G1860)</f>
        <v/>
      </c>
      <c r="J1860" s="94" t="str">
        <f t="shared" si="1861"/>
        <v/>
      </c>
      <c r="K1860" s="100"/>
      <c r="M1860" s="100"/>
      <c r="N1860" s="100"/>
      <c r="O1860" s="100"/>
      <c r="P1860" s="100"/>
    </row>
    <row r="1861">
      <c r="A1861" s="107">
        <v>202714.0</v>
      </c>
      <c r="B1861" s="108" t="s">
        <v>92</v>
      </c>
      <c r="C1861" s="108" t="s">
        <v>553</v>
      </c>
      <c r="D1861" s="112" t="s">
        <v>178</v>
      </c>
      <c r="E1861" s="112">
        <v>1055.6</v>
      </c>
      <c r="F1861" s="111" t="str">
        <f>DataPull!D1861</f>
        <v/>
      </c>
      <c r="G1861" s="94" t="str">
        <f t="shared" si="2"/>
        <v/>
      </c>
      <c r="H1861" s="94" t="str">
        <f t="shared" si="3"/>
        <v/>
      </c>
      <c r="I1861" s="94" t="str">
        <f t="shared" ref="I1861:J1861" si="1862">if(G1861 = "", , -G1861)</f>
        <v/>
      </c>
      <c r="J1861" s="94" t="str">
        <f t="shared" si="1862"/>
        <v/>
      </c>
      <c r="K1861" s="100"/>
      <c r="M1861" s="100"/>
      <c r="N1861" s="100"/>
      <c r="O1861" s="100"/>
      <c r="P1861" s="100"/>
    </row>
    <row r="1862">
      <c r="A1862" s="107">
        <v>202714.0</v>
      </c>
      <c r="B1862" s="108" t="s">
        <v>190</v>
      </c>
      <c r="C1862" s="108" t="s">
        <v>553</v>
      </c>
      <c r="D1862" s="112" t="s">
        <v>176</v>
      </c>
      <c r="E1862" s="112">
        <v>1204.5</v>
      </c>
      <c r="F1862" s="111" t="str">
        <f>DataPull!D1862</f>
        <v/>
      </c>
      <c r="G1862" s="94" t="str">
        <f t="shared" si="2"/>
        <v/>
      </c>
      <c r="H1862" s="94" t="str">
        <f t="shared" si="3"/>
        <v/>
      </c>
      <c r="I1862" s="94" t="str">
        <f t="shared" ref="I1862:J1862" si="1863">if(G1862 = "", , -G1862)</f>
        <v/>
      </c>
      <c r="J1862" s="94" t="str">
        <f t="shared" si="1863"/>
        <v/>
      </c>
      <c r="K1862" s="100"/>
      <c r="L1862" s="100"/>
      <c r="M1862" s="100"/>
      <c r="N1862" s="100"/>
      <c r="O1862" s="100"/>
      <c r="P1862" s="100"/>
    </row>
    <row r="1863">
      <c r="A1863" s="107">
        <v>202714.0</v>
      </c>
      <c r="B1863" s="108" t="s">
        <v>191</v>
      </c>
      <c r="C1863" s="108" t="s">
        <v>553</v>
      </c>
      <c r="D1863" s="112" t="s">
        <v>176</v>
      </c>
      <c r="E1863" s="112">
        <v>1366.2</v>
      </c>
      <c r="F1863" s="111" t="str">
        <f>DataPull!D1863</f>
        <v/>
      </c>
      <c r="G1863" s="94" t="str">
        <f t="shared" si="2"/>
        <v/>
      </c>
      <c r="H1863" s="94" t="str">
        <f t="shared" si="3"/>
        <v/>
      </c>
      <c r="I1863" s="94" t="str">
        <f t="shared" ref="I1863:J1863" si="1864">if(G1863 = "", , -G1863)</f>
        <v/>
      </c>
      <c r="J1863" s="94" t="str">
        <f t="shared" si="1864"/>
        <v/>
      </c>
      <c r="K1863" s="100"/>
      <c r="M1863" s="100"/>
      <c r="N1863" s="100"/>
      <c r="O1863" s="100"/>
      <c r="P1863" s="100"/>
    </row>
    <row r="1864">
      <c r="A1864" s="107">
        <v>202714.0</v>
      </c>
      <c r="B1864" s="108" t="s">
        <v>192</v>
      </c>
      <c r="C1864" s="108" t="s">
        <v>553</v>
      </c>
      <c r="D1864" s="112" t="s">
        <v>176</v>
      </c>
      <c r="E1864" s="112">
        <v>1248.3</v>
      </c>
      <c r="F1864" s="111" t="str">
        <f>DataPull!D1864</f>
        <v/>
      </c>
      <c r="G1864" s="94" t="str">
        <f t="shared" si="2"/>
        <v/>
      </c>
      <c r="H1864" s="94" t="str">
        <f t="shared" si="3"/>
        <v/>
      </c>
      <c r="I1864" s="94" t="str">
        <f t="shared" ref="I1864:J1864" si="1865">if(G1864 = "", , -G1864)</f>
        <v/>
      </c>
      <c r="J1864" s="94" t="str">
        <f t="shared" si="1865"/>
        <v/>
      </c>
      <c r="K1864" s="100"/>
      <c r="M1864" s="100"/>
      <c r="N1864" s="100"/>
      <c r="O1864" s="100"/>
      <c r="P1864" s="100"/>
    </row>
    <row r="1865">
      <c r="A1865" s="107">
        <v>202718.0</v>
      </c>
      <c r="B1865" s="108" t="s">
        <v>85</v>
      </c>
      <c r="C1865" s="108" t="s">
        <v>554</v>
      </c>
      <c r="D1865" s="112" t="s">
        <v>178</v>
      </c>
      <c r="E1865" s="112">
        <v>2782.4</v>
      </c>
      <c r="F1865" s="111" t="str">
        <f>DataPull!D1865</f>
        <v/>
      </c>
      <c r="G1865" s="94" t="str">
        <f t="shared" si="2"/>
        <v/>
      </c>
      <c r="H1865" s="94" t="str">
        <f t="shared" si="3"/>
        <v/>
      </c>
      <c r="I1865" s="94" t="str">
        <f t="shared" ref="I1865:J1865" si="1866">if(G1865 = "", , -G1865)</f>
        <v/>
      </c>
      <c r="J1865" s="94" t="str">
        <f t="shared" si="1866"/>
        <v/>
      </c>
      <c r="K1865" s="100"/>
      <c r="M1865" s="100"/>
      <c r="N1865" s="100"/>
      <c r="O1865" s="100"/>
      <c r="P1865" s="100"/>
    </row>
    <row r="1866">
      <c r="A1866" s="107">
        <v>202718.0</v>
      </c>
      <c r="B1866" s="108" t="s">
        <v>90</v>
      </c>
      <c r="C1866" s="108" t="s">
        <v>554</v>
      </c>
      <c r="D1866" s="112" t="s">
        <v>178</v>
      </c>
      <c r="E1866" s="112">
        <v>2184.6</v>
      </c>
      <c r="F1866" s="111" t="str">
        <f>DataPull!D1866</f>
        <v/>
      </c>
      <c r="G1866" s="94" t="str">
        <f t="shared" si="2"/>
        <v/>
      </c>
      <c r="H1866" s="94" t="str">
        <f t="shared" si="3"/>
        <v/>
      </c>
      <c r="I1866" s="94" t="str">
        <f t="shared" ref="I1866:J1866" si="1867">if(G1866 = "", , -G1866)</f>
        <v/>
      </c>
      <c r="J1866" s="94" t="str">
        <f t="shared" si="1867"/>
        <v/>
      </c>
      <c r="K1866" s="100"/>
      <c r="M1866" s="100"/>
      <c r="N1866" s="100"/>
      <c r="O1866" s="100"/>
      <c r="P1866" s="100"/>
    </row>
    <row r="1867">
      <c r="A1867" s="107">
        <v>202718.0</v>
      </c>
      <c r="B1867" s="108" t="s">
        <v>92</v>
      </c>
      <c r="C1867" s="108" t="s">
        <v>554</v>
      </c>
      <c r="D1867" s="112" t="s">
        <v>178</v>
      </c>
      <c r="E1867" s="112">
        <v>1799.5</v>
      </c>
      <c r="F1867" s="111" t="str">
        <f>DataPull!D1867</f>
        <v/>
      </c>
      <c r="G1867" s="94" t="str">
        <f t="shared" si="2"/>
        <v/>
      </c>
      <c r="H1867" s="94" t="str">
        <f t="shared" si="3"/>
        <v/>
      </c>
      <c r="I1867" s="94" t="str">
        <f t="shared" ref="I1867:J1867" si="1868">if(G1867 = "", , -G1867)</f>
        <v/>
      </c>
      <c r="J1867" s="94" t="str">
        <f t="shared" si="1868"/>
        <v/>
      </c>
      <c r="K1867" s="100"/>
      <c r="M1867" s="100"/>
      <c r="N1867" s="100"/>
      <c r="O1867" s="100"/>
      <c r="P1867" s="100"/>
    </row>
    <row r="1868">
      <c r="A1868" s="107">
        <v>202718.0</v>
      </c>
      <c r="B1868" s="108" t="s">
        <v>190</v>
      </c>
      <c r="C1868" s="108" t="s">
        <v>554</v>
      </c>
      <c r="D1868" s="112" t="s">
        <v>177</v>
      </c>
      <c r="E1868" s="112">
        <v>673.2</v>
      </c>
      <c r="F1868" s="111" t="str">
        <f>DataPull!D1868</f>
        <v/>
      </c>
      <c r="G1868" s="94" t="str">
        <f t="shared" si="2"/>
        <v/>
      </c>
      <c r="H1868" s="94" t="str">
        <f t="shared" si="3"/>
        <v/>
      </c>
      <c r="I1868" s="94" t="str">
        <f t="shared" ref="I1868:J1868" si="1869">if(G1868 = "", , -G1868)</f>
        <v/>
      </c>
      <c r="J1868" s="94" t="str">
        <f t="shared" si="1869"/>
        <v/>
      </c>
      <c r="K1868" s="100"/>
      <c r="M1868" s="100"/>
      <c r="N1868" s="100"/>
      <c r="O1868" s="100"/>
      <c r="P1868" s="100"/>
    </row>
    <row r="1869">
      <c r="A1869" s="107">
        <v>202718.0</v>
      </c>
      <c r="B1869" s="108" t="s">
        <v>191</v>
      </c>
      <c r="C1869" s="108" t="s">
        <v>554</v>
      </c>
      <c r="D1869" s="112" t="s">
        <v>177</v>
      </c>
      <c r="E1869" s="112">
        <v>691.2</v>
      </c>
      <c r="F1869" s="111" t="str">
        <f>DataPull!D1869</f>
        <v/>
      </c>
      <c r="G1869" s="94" t="str">
        <f t="shared" si="2"/>
        <v/>
      </c>
      <c r="H1869" s="94" t="str">
        <f t="shared" si="3"/>
        <v/>
      </c>
      <c r="I1869" s="94" t="str">
        <f t="shared" ref="I1869:J1869" si="1870">if(G1869 = "", , -G1869)</f>
        <v/>
      </c>
      <c r="J1869" s="94" t="str">
        <f t="shared" si="1870"/>
        <v/>
      </c>
      <c r="K1869" s="100"/>
      <c r="L1869" s="100"/>
      <c r="M1869" s="100"/>
      <c r="N1869" s="100"/>
      <c r="O1869" s="100"/>
      <c r="P1869" s="100"/>
    </row>
    <row r="1870">
      <c r="A1870" s="107">
        <v>202718.0</v>
      </c>
      <c r="B1870" s="108" t="s">
        <v>192</v>
      </c>
      <c r="C1870" s="108" t="s">
        <v>554</v>
      </c>
      <c r="D1870" s="112" t="s">
        <v>177</v>
      </c>
      <c r="E1870" s="112">
        <v>495.0</v>
      </c>
      <c r="F1870" s="111" t="str">
        <f>DataPull!D1870</f>
        <v/>
      </c>
      <c r="G1870" s="94" t="str">
        <f t="shared" si="2"/>
        <v/>
      </c>
      <c r="H1870" s="94" t="str">
        <f t="shared" si="3"/>
        <v/>
      </c>
      <c r="I1870" s="94" t="str">
        <f t="shared" ref="I1870:J1870" si="1871">if(G1870 = "", , -G1870)</f>
        <v/>
      </c>
      <c r="J1870" s="94" t="str">
        <f t="shared" si="1871"/>
        <v/>
      </c>
      <c r="K1870" s="100"/>
      <c r="M1870" s="100"/>
      <c r="N1870" s="100"/>
      <c r="O1870" s="100"/>
      <c r="P1870" s="100"/>
    </row>
    <row r="1871">
      <c r="A1871" s="107">
        <v>202718.0</v>
      </c>
      <c r="B1871" s="108" t="s">
        <v>193</v>
      </c>
      <c r="C1871" s="108" t="s">
        <v>554</v>
      </c>
      <c r="D1871" s="112" t="s">
        <v>181</v>
      </c>
      <c r="E1871" s="112">
        <v>54.0</v>
      </c>
      <c r="F1871" s="111" t="str">
        <f>DataPull!D1871</f>
        <v/>
      </c>
      <c r="G1871" s="94" t="str">
        <f t="shared" si="2"/>
        <v/>
      </c>
      <c r="H1871" s="94" t="str">
        <f t="shared" si="3"/>
        <v/>
      </c>
      <c r="I1871" s="94" t="str">
        <f t="shared" ref="I1871:J1871" si="1872">if(G1871 = "", , -G1871)</f>
        <v/>
      </c>
      <c r="J1871" s="94" t="str">
        <f t="shared" si="1872"/>
        <v/>
      </c>
      <c r="K1871" s="100"/>
      <c r="M1871" s="100"/>
      <c r="N1871" s="100"/>
      <c r="O1871" s="100"/>
      <c r="P1871" s="100"/>
    </row>
    <row r="1872">
      <c r="A1872" s="107">
        <v>202719.0</v>
      </c>
      <c r="B1872" s="108" t="s">
        <v>85</v>
      </c>
      <c r="C1872" s="108" t="s">
        <v>555</v>
      </c>
      <c r="D1872" s="112" t="s">
        <v>187</v>
      </c>
      <c r="E1872" s="112">
        <v>397.7</v>
      </c>
      <c r="F1872" s="111" t="str">
        <f>DataPull!D1872</f>
        <v/>
      </c>
      <c r="G1872" s="94" t="str">
        <f t="shared" si="2"/>
        <v/>
      </c>
      <c r="H1872" s="94" t="str">
        <f t="shared" si="3"/>
        <v/>
      </c>
      <c r="I1872" s="94" t="str">
        <f t="shared" ref="I1872:J1872" si="1873">if(G1872 = "", , -G1872)</f>
        <v/>
      </c>
      <c r="J1872" s="94" t="str">
        <f t="shared" si="1873"/>
        <v/>
      </c>
      <c r="K1872" s="100"/>
      <c r="L1872" s="100"/>
      <c r="M1872" s="100"/>
      <c r="N1872" s="100"/>
      <c r="O1872" s="100"/>
      <c r="P1872" s="100"/>
    </row>
    <row r="1873">
      <c r="A1873" s="107">
        <v>202720.0</v>
      </c>
      <c r="B1873" s="108" t="s">
        <v>85</v>
      </c>
      <c r="C1873" s="108" t="s">
        <v>556</v>
      </c>
      <c r="D1873" s="112" t="s">
        <v>177</v>
      </c>
      <c r="E1873" s="112">
        <v>641.9</v>
      </c>
      <c r="F1873" s="111" t="str">
        <f>DataPull!D1873</f>
        <v/>
      </c>
      <c r="G1873" s="94" t="str">
        <f t="shared" si="2"/>
        <v/>
      </c>
      <c r="H1873" s="94" t="str">
        <f t="shared" si="3"/>
        <v/>
      </c>
      <c r="I1873" s="94" t="str">
        <f t="shared" ref="I1873:J1873" si="1874">if(G1873 = "", , -G1873)</f>
        <v/>
      </c>
      <c r="J1873" s="94" t="str">
        <f t="shared" si="1874"/>
        <v/>
      </c>
      <c r="K1873" s="100"/>
      <c r="M1873" s="100"/>
      <c r="N1873" s="100"/>
      <c r="O1873" s="100"/>
      <c r="P1873" s="100"/>
    </row>
    <row r="1874">
      <c r="A1874" s="107">
        <v>202720.0</v>
      </c>
      <c r="B1874" s="108" t="s">
        <v>90</v>
      </c>
      <c r="C1874" s="108" t="s">
        <v>556</v>
      </c>
      <c r="D1874" s="112" t="s">
        <v>177</v>
      </c>
      <c r="E1874" s="112">
        <v>825.3</v>
      </c>
      <c r="F1874" s="111" t="str">
        <f>DataPull!D1874</f>
        <v/>
      </c>
      <c r="G1874" s="94" t="str">
        <f t="shared" si="2"/>
        <v/>
      </c>
      <c r="H1874" s="94" t="str">
        <f t="shared" si="3"/>
        <v/>
      </c>
      <c r="I1874" s="94" t="str">
        <f t="shared" ref="I1874:J1874" si="1875">if(G1874 = "", , -G1874)</f>
        <v/>
      </c>
      <c r="J1874" s="94" t="str">
        <f t="shared" si="1875"/>
        <v/>
      </c>
      <c r="K1874" s="100"/>
      <c r="L1874" s="100"/>
      <c r="N1874" s="100"/>
      <c r="O1874" s="100"/>
      <c r="P1874" s="100"/>
    </row>
    <row r="1875">
      <c r="A1875" s="107">
        <v>202720.0</v>
      </c>
      <c r="B1875" s="108" t="s">
        <v>92</v>
      </c>
      <c r="C1875" s="108" t="s">
        <v>556</v>
      </c>
      <c r="D1875" s="112" t="s">
        <v>177</v>
      </c>
      <c r="E1875" s="112">
        <v>1252.9</v>
      </c>
      <c r="F1875" s="111" t="str">
        <f>DataPull!D1875</f>
        <v/>
      </c>
      <c r="G1875" s="94" t="str">
        <f t="shared" si="2"/>
        <v/>
      </c>
      <c r="H1875" s="94" t="str">
        <f t="shared" si="3"/>
        <v/>
      </c>
      <c r="I1875" s="94" t="str">
        <f t="shared" ref="I1875:J1875" si="1876">if(G1875 = "", , -G1875)</f>
        <v/>
      </c>
      <c r="J1875" s="94" t="str">
        <f t="shared" si="1876"/>
        <v/>
      </c>
      <c r="K1875" s="100"/>
      <c r="N1875" s="100"/>
      <c r="O1875" s="100"/>
      <c r="P1875" s="100"/>
    </row>
    <row r="1876">
      <c r="A1876" s="107">
        <v>202720.0</v>
      </c>
      <c r="B1876" s="108" t="s">
        <v>190</v>
      </c>
      <c r="C1876" s="108" t="s">
        <v>556</v>
      </c>
      <c r="D1876" s="112" t="s">
        <v>176</v>
      </c>
      <c r="E1876" s="112">
        <v>1942.5</v>
      </c>
      <c r="F1876" s="111" t="str">
        <f>DataPull!D1876</f>
        <v/>
      </c>
      <c r="G1876" s="94" t="str">
        <f t="shared" si="2"/>
        <v/>
      </c>
      <c r="H1876" s="94" t="str">
        <f t="shared" si="3"/>
        <v/>
      </c>
      <c r="I1876" s="94" t="str">
        <f t="shared" ref="I1876:J1876" si="1877">if(G1876 = "", , -G1876)</f>
        <v/>
      </c>
      <c r="J1876" s="94" t="str">
        <f t="shared" si="1877"/>
        <v/>
      </c>
      <c r="K1876" s="100"/>
      <c r="N1876" s="100"/>
      <c r="O1876" s="100"/>
      <c r="P1876" s="100"/>
    </row>
    <row r="1877">
      <c r="A1877" s="107">
        <v>202720.0</v>
      </c>
      <c r="B1877" s="108" t="s">
        <v>191</v>
      </c>
      <c r="C1877" s="108" t="s">
        <v>556</v>
      </c>
      <c r="D1877" s="112" t="s">
        <v>181</v>
      </c>
      <c r="E1877" s="112">
        <v>136.8</v>
      </c>
      <c r="F1877" s="111" t="str">
        <f>DataPull!D1877</f>
        <v/>
      </c>
      <c r="G1877" s="94" t="str">
        <f t="shared" si="2"/>
        <v/>
      </c>
      <c r="H1877" s="94" t="str">
        <f t="shared" si="3"/>
        <v/>
      </c>
      <c r="I1877" s="94" t="str">
        <f t="shared" ref="I1877:J1877" si="1878">if(G1877 = "", , -G1877)</f>
        <v/>
      </c>
      <c r="J1877" s="94" t="str">
        <f t="shared" si="1878"/>
        <v/>
      </c>
      <c r="K1877" s="100"/>
      <c r="M1877" s="100"/>
      <c r="N1877" s="100"/>
      <c r="O1877" s="100"/>
      <c r="P1877" s="100"/>
    </row>
    <row r="1878">
      <c r="A1878" s="107">
        <v>202720.0</v>
      </c>
      <c r="B1878" s="108" t="s">
        <v>192</v>
      </c>
      <c r="C1878" s="108" t="s">
        <v>556</v>
      </c>
      <c r="D1878" s="112" t="s">
        <v>187</v>
      </c>
      <c r="E1878" s="112">
        <v>401.8</v>
      </c>
      <c r="F1878" s="111" t="str">
        <f>DataPull!D1878</f>
        <v/>
      </c>
      <c r="G1878" s="94" t="str">
        <f t="shared" si="2"/>
        <v/>
      </c>
      <c r="H1878" s="94" t="str">
        <f t="shared" si="3"/>
        <v/>
      </c>
      <c r="I1878" s="94" t="str">
        <f t="shared" ref="I1878:J1878" si="1879">if(G1878 = "", , -G1878)</f>
        <v/>
      </c>
      <c r="J1878" s="94" t="str">
        <f t="shared" si="1879"/>
        <v/>
      </c>
      <c r="K1878" s="100"/>
      <c r="M1878" s="100"/>
      <c r="N1878" s="100"/>
      <c r="O1878" s="100"/>
      <c r="P1878" s="100"/>
    </row>
    <row r="1879">
      <c r="A1879" s="107">
        <v>202721.0</v>
      </c>
      <c r="B1879" s="108" t="s">
        <v>85</v>
      </c>
      <c r="C1879" s="108" t="s">
        <v>557</v>
      </c>
      <c r="D1879" s="112" t="s">
        <v>187</v>
      </c>
      <c r="E1879" s="112">
        <v>313.2</v>
      </c>
      <c r="F1879" s="111" t="str">
        <f>DataPull!D1879</f>
        <v/>
      </c>
      <c r="G1879" s="94" t="str">
        <f t="shared" si="2"/>
        <v/>
      </c>
      <c r="H1879" s="94" t="str">
        <f t="shared" si="3"/>
        <v/>
      </c>
      <c r="I1879" s="94" t="str">
        <f t="shared" ref="I1879:J1879" si="1880">if(G1879 = "", , -G1879)</f>
        <v/>
      </c>
      <c r="J1879" s="94" t="str">
        <f t="shared" si="1880"/>
        <v/>
      </c>
      <c r="K1879" s="100"/>
      <c r="M1879" s="100"/>
      <c r="N1879" s="100"/>
      <c r="O1879" s="100"/>
      <c r="P1879" s="100"/>
    </row>
    <row r="1880">
      <c r="A1880" s="107">
        <v>202721.0</v>
      </c>
      <c r="B1880" s="108" t="s">
        <v>90</v>
      </c>
      <c r="C1880" s="108" t="s">
        <v>557</v>
      </c>
      <c r="D1880" s="112" t="s">
        <v>187</v>
      </c>
      <c r="E1880" s="112">
        <v>300.2</v>
      </c>
      <c r="F1880" s="111" t="str">
        <f>DataPull!D1880</f>
        <v/>
      </c>
      <c r="G1880" s="94" t="str">
        <f t="shared" si="2"/>
        <v/>
      </c>
      <c r="H1880" s="94" t="str">
        <f t="shared" si="3"/>
        <v/>
      </c>
      <c r="I1880" s="94" t="str">
        <f t="shared" ref="I1880:J1880" si="1881">if(G1880 = "", , -G1880)</f>
        <v/>
      </c>
      <c r="J1880" s="94" t="str">
        <f t="shared" si="1881"/>
        <v/>
      </c>
      <c r="K1880" s="100"/>
      <c r="N1880" s="100"/>
      <c r="O1880" s="100"/>
      <c r="P1880" s="100"/>
    </row>
    <row r="1881">
      <c r="A1881" s="107">
        <v>202722.0</v>
      </c>
      <c r="B1881" s="108" t="s">
        <v>190</v>
      </c>
      <c r="C1881" s="108" t="s">
        <v>558</v>
      </c>
      <c r="D1881" s="112" t="s">
        <v>177</v>
      </c>
      <c r="E1881" s="112">
        <v>810.7</v>
      </c>
      <c r="F1881" s="111" t="str">
        <f>DataPull!D1881</f>
        <v/>
      </c>
      <c r="G1881" s="94" t="str">
        <f t="shared" si="2"/>
        <v/>
      </c>
      <c r="H1881" s="94" t="str">
        <f t="shared" si="3"/>
        <v/>
      </c>
      <c r="I1881" s="94" t="str">
        <f t="shared" ref="I1881:J1881" si="1882">if(G1881 = "", , -G1881)</f>
        <v/>
      </c>
      <c r="J1881" s="94" t="str">
        <f t="shared" si="1882"/>
        <v/>
      </c>
      <c r="K1881" s="100"/>
      <c r="M1881" s="100"/>
      <c r="N1881" s="100"/>
      <c r="O1881" s="100"/>
      <c r="P1881" s="100"/>
    </row>
    <row r="1882">
      <c r="A1882" s="107">
        <v>202722.0</v>
      </c>
      <c r="B1882" s="108" t="s">
        <v>191</v>
      </c>
      <c r="C1882" s="108" t="s">
        <v>558</v>
      </c>
      <c r="D1882" s="112" t="s">
        <v>177</v>
      </c>
      <c r="E1882" s="112">
        <v>1085.7</v>
      </c>
      <c r="F1882" s="111" t="str">
        <f>DataPull!D1882</f>
        <v/>
      </c>
      <c r="G1882" s="94" t="str">
        <f t="shared" si="2"/>
        <v/>
      </c>
      <c r="H1882" s="94" t="str">
        <f t="shared" si="3"/>
        <v/>
      </c>
      <c r="I1882" s="94" t="str">
        <f t="shared" ref="I1882:J1882" si="1883">if(G1882 = "", , -G1882)</f>
        <v/>
      </c>
      <c r="J1882" s="94" t="str">
        <f t="shared" si="1883"/>
        <v/>
      </c>
      <c r="K1882" s="100"/>
      <c r="L1882" s="100"/>
      <c r="M1882" s="100"/>
      <c r="N1882" s="100"/>
      <c r="O1882" s="100"/>
      <c r="P1882" s="100"/>
    </row>
    <row r="1883">
      <c r="A1883" s="107">
        <v>202722.0</v>
      </c>
      <c r="B1883" s="108" t="s">
        <v>192</v>
      </c>
      <c r="C1883" s="108" t="s">
        <v>558</v>
      </c>
      <c r="D1883" s="112" t="s">
        <v>176</v>
      </c>
      <c r="E1883" s="112">
        <v>1634.0</v>
      </c>
      <c r="F1883" s="111" t="str">
        <f>DataPull!D1883</f>
        <v/>
      </c>
      <c r="G1883" s="94" t="str">
        <f t="shared" si="2"/>
        <v/>
      </c>
      <c r="H1883" s="94" t="str">
        <f t="shared" si="3"/>
        <v/>
      </c>
      <c r="I1883" s="94" t="str">
        <f t="shared" ref="I1883:J1883" si="1884">if(G1883 = "", , -G1883)</f>
        <v/>
      </c>
      <c r="J1883" s="94" t="str">
        <f t="shared" si="1884"/>
        <v/>
      </c>
      <c r="K1883" s="100"/>
      <c r="L1883" s="100"/>
      <c r="M1883" s="100"/>
      <c r="N1883" s="100"/>
      <c r="O1883" s="100"/>
    </row>
    <row r="1884">
      <c r="A1884" s="107">
        <v>202722.0</v>
      </c>
      <c r="B1884" s="108" t="s">
        <v>193</v>
      </c>
      <c r="C1884" s="108" t="s">
        <v>558</v>
      </c>
      <c r="D1884" s="112" t="s">
        <v>184</v>
      </c>
      <c r="E1884" s="112">
        <v>1582.2</v>
      </c>
      <c r="F1884" s="111" t="str">
        <f>DataPull!D1884</f>
        <v/>
      </c>
      <c r="G1884" s="94" t="str">
        <f t="shared" si="2"/>
        <v/>
      </c>
      <c r="H1884" s="94" t="str">
        <f t="shared" si="3"/>
        <v/>
      </c>
      <c r="I1884" s="94" t="str">
        <f t="shared" ref="I1884:J1884" si="1885">if(G1884 = "", , -G1884)</f>
        <v/>
      </c>
      <c r="J1884" s="94" t="str">
        <f t="shared" si="1885"/>
        <v/>
      </c>
      <c r="K1884" s="100"/>
      <c r="M1884" s="100"/>
      <c r="N1884" s="100"/>
      <c r="O1884" s="100"/>
      <c r="P1884" s="100"/>
    </row>
    <row r="1885">
      <c r="A1885" s="107">
        <v>202722.0</v>
      </c>
      <c r="B1885" s="108" t="s">
        <v>243</v>
      </c>
      <c r="C1885" s="108" t="s">
        <v>558</v>
      </c>
      <c r="D1885" s="112" t="s">
        <v>178</v>
      </c>
      <c r="E1885" s="112">
        <v>1464.9</v>
      </c>
      <c r="F1885" s="111" t="str">
        <f>DataPull!D1885</f>
        <v/>
      </c>
      <c r="G1885" s="94" t="str">
        <f t="shared" si="2"/>
        <v/>
      </c>
      <c r="H1885" s="94" t="str">
        <f t="shared" si="3"/>
        <v/>
      </c>
      <c r="I1885" s="94" t="str">
        <f t="shared" ref="I1885:J1885" si="1886">if(G1885 = "", , -G1885)</f>
        <v/>
      </c>
      <c r="J1885" s="94" t="str">
        <f t="shared" si="1886"/>
        <v/>
      </c>
      <c r="L1885" s="100"/>
      <c r="M1885" s="100"/>
      <c r="N1885" s="100"/>
      <c r="O1885" s="100"/>
    </row>
    <row r="1886">
      <c r="A1886" s="107">
        <v>202722.0</v>
      </c>
      <c r="B1886" s="108" t="s">
        <v>215</v>
      </c>
      <c r="C1886" s="108" t="s">
        <v>558</v>
      </c>
      <c r="D1886" s="112" t="s">
        <v>177</v>
      </c>
      <c r="E1886" s="112">
        <v>806.4</v>
      </c>
      <c r="F1886" s="111" t="str">
        <f>DataPull!D1886</f>
        <v/>
      </c>
      <c r="G1886" s="94" t="str">
        <f t="shared" si="2"/>
        <v/>
      </c>
      <c r="H1886" s="94" t="str">
        <f t="shared" si="3"/>
        <v/>
      </c>
      <c r="I1886" s="94" t="str">
        <f t="shared" ref="I1886:J1886" si="1887">if(G1886 = "", , -G1886)</f>
        <v/>
      </c>
      <c r="J1886" s="94" t="str">
        <f t="shared" si="1887"/>
        <v/>
      </c>
      <c r="K1886" s="100"/>
      <c r="L1886" s="100"/>
      <c r="M1886" s="100"/>
      <c r="N1886" s="100"/>
      <c r="O1886" s="100"/>
      <c r="P1886" s="100"/>
    </row>
    <row r="1887">
      <c r="A1887" s="107">
        <v>202722.0</v>
      </c>
      <c r="B1887" s="108" t="s">
        <v>244</v>
      </c>
      <c r="C1887" s="108" t="s">
        <v>558</v>
      </c>
      <c r="D1887" s="112" t="s">
        <v>177</v>
      </c>
      <c r="E1887" s="112">
        <v>490.5</v>
      </c>
      <c r="F1887" s="111" t="str">
        <f>DataPull!D1887</f>
        <v/>
      </c>
      <c r="G1887" s="94" t="str">
        <f t="shared" si="2"/>
        <v/>
      </c>
      <c r="H1887" s="94" t="str">
        <f t="shared" si="3"/>
        <v/>
      </c>
      <c r="I1887" s="94" t="str">
        <f t="shared" ref="I1887:J1887" si="1888">if(G1887 = "", , -G1887)</f>
        <v/>
      </c>
      <c r="J1887" s="94" t="str">
        <f t="shared" si="1888"/>
        <v/>
      </c>
      <c r="K1887" s="100"/>
      <c r="M1887" s="100"/>
      <c r="N1887" s="100"/>
      <c r="O1887" s="100"/>
      <c r="P1887" s="100"/>
    </row>
    <row r="1888">
      <c r="A1888" s="107">
        <v>202722.0</v>
      </c>
      <c r="B1888" s="108" t="s">
        <v>245</v>
      </c>
      <c r="C1888" s="108" t="s">
        <v>558</v>
      </c>
      <c r="D1888" s="112" t="s">
        <v>177</v>
      </c>
      <c r="E1888" s="112">
        <v>675.1</v>
      </c>
      <c r="F1888" s="111" t="str">
        <f>DataPull!D1888</f>
        <v/>
      </c>
      <c r="G1888" s="94" t="str">
        <f t="shared" si="2"/>
        <v/>
      </c>
      <c r="H1888" s="94" t="str">
        <f t="shared" si="3"/>
        <v/>
      </c>
      <c r="I1888" s="94" t="str">
        <f t="shared" ref="I1888:J1888" si="1889">if(G1888 = "", , -G1888)</f>
        <v/>
      </c>
      <c r="J1888" s="94" t="str">
        <f t="shared" si="1889"/>
        <v/>
      </c>
      <c r="K1888" s="100"/>
      <c r="M1888" s="100"/>
      <c r="N1888" s="100"/>
      <c r="O1888" s="100"/>
      <c r="P1888" s="100"/>
    </row>
    <row r="1889">
      <c r="A1889" s="107">
        <v>202723.0</v>
      </c>
      <c r="B1889" s="108" t="s">
        <v>90</v>
      </c>
      <c r="C1889" s="108" t="s">
        <v>559</v>
      </c>
      <c r="D1889" s="112" t="s">
        <v>181</v>
      </c>
      <c r="E1889" s="112">
        <v>2.0</v>
      </c>
      <c r="F1889" s="111" t="str">
        <f>DataPull!D1889</f>
        <v/>
      </c>
      <c r="G1889" s="94" t="str">
        <f t="shared" si="2"/>
        <v/>
      </c>
      <c r="H1889" s="94" t="str">
        <f t="shared" si="3"/>
        <v/>
      </c>
      <c r="I1889" s="94" t="str">
        <f t="shared" ref="I1889:J1889" si="1890">if(G1889 = "", , -G1889)</f>
        <v/>
      </c>
      <c r="J1889" s="94" t="str">
        <f t="shared" si="1890"/>
        <v/>
      </c>
      <c r="K1889" s="100"/>
      <c r="M1889" s="100"/>
      <c r="N1889" s="100"/>
      <c r="O1889" s="100"/>
      <c r="P1889" s="100"/>
    </row>
    <row r="1890">
      <c r="A1890" s="107">
        <v>202725.0</v>
      </c>
      <c r="B1890" s="108" t="s">
        <v>85</v>
      </c>
      <c r="C1890" s="108" t="s">
        <v>560</v>
      </c>
      <c r="D1890" s="112" t="s">
        <v>187</v>
      </c>
      <c r="E1890" s="112">
        <v>316.8</v>
      </c>
      <c r="F1890" s="111" t="str">
        <f>DataPull!D1890</f>
        <v/>
      </c>
      <c r="G1890" s="94" t="str">
        <f t="shared" si="2"/>
        <v/>
      </c>
      <c r="H1890" s="94" t="str">
        <f t="shared" si="3"/>
        <v/>
      </c>
      <c r="I1890" s="94" t="str">
        <f t="shared" ref="I1890:J1890" si="1891">if(G1890 = "", , -G1890)</f>
        <v/>
      </c>
      <c r="J1890" s="94" t="str">
        <f t="shared" si="1891"/>
        <v/>
      </c>
      <c r="K1890" s="100"/>
      <c r="M1890" s="100"/>
      <c r="N1890" s="100"/>
      <c r="O1890" s="100"/>
      <c r="P1890" s="100"/>
    </row>
    <row r="1891">
      <c r="A1891" s="107">
        <v>202726.0</v>
      </c>
      <c r="B1891" s="108" t="s">
        <v>92</v>
      </c>
      <c r="C1891" s="108" t="s">
        <v>561</v>
      </c>
      <c r="D1891" s="112" t="s">
        <v>181</v>
      </c>
      <c r="E1891" s="112">
        <v>49.6</v>
      </c>
      <c r="F1891" s="111" t="str">
        <f>DataPull!D1891</f>
        <v/>
      </c>
      <c r="G1891" s="94" t="str">
        <f t="shared" si="2"/>
        <v/>
      </c>
      <c r="H1891" s="94" t="str">
        <f t="shared" si="3"/>
        <v/>
      </c>
      <c r="I1891" s="94" t="str">
        <f t="shared" ref="I1891:J1891" si="1892">if(G1891 = "", , -G1891)</f>
        <v/>
      </c>
      <c r="J1891" s="94" t="str">
        <f t="shared" si="1892"/>
        <v/>
      </c>
      <c r="K1891" s="100"/>
      <c r="M1891" s="100"/>
      <c r="N1891" s="100"/>
      <c r="O1891" s="100"/>
      <c r="P1891" s="100"/>
    </row>
    <row r="1892">
      <c r="A1892" s="107">
        <v>202730.0</v>
      </c>
      <c r="B1892" s="108" t="s">
        <v>85</v>
      </c>
      <c r="C1892" s="108" t="s">
        <v>562</v>
      </c>
      <c r="D1892" s="112" t="s">
        <v>177</v>
      </c>
      <c r="E1892" s="112">
        <v>1072.5</v>
      </c>
      <c r="F1892" s="111" t="str">
        <f>DataPull!D1892</f>
        <v/>
      </c>
      <c r="G1892" s="94" t="str">
        <f t="shared" si="2"/>
        <v/>
      </c>
      <c r="H1892" s="94" t="str">
        <f t="shared" si="3"/>
        <v/>
      </c>
      <c r="I1892" s="94" t="str">
        <f t="shared" ref="I1892:J1892" si="1893">if(G1892 = "", , -G1892)</f>
        <v/>
      </c>
      <c r="J1892" s="94" t="str">
        <f t="shared" si="1893"/>
        <v/>
      </c>
      <c r="K1892" s="100"/>
      <c r="M1892" s="100"/>
      <c r="N1892" s="100"/>
      <c r="O1892" s="100"/>
      <c r="P1892" s="100"/>
    </row>
    <row r="1893">
      <c r="A1893" s="107">
        <v>202730.0</v>
      </c>
      <c r="B1893" s="108" t="s">
        <v>90</v>
      </c>
      <c r="C1893" s="108" t="s">
        <v>562</v>
      </c>
      <c r="D1893" s="112" t="s">
        <v>177</v>
      </c>
      <c r="E1893" s="112">
        <v>1071.0</v>
      </c>
      <c r="F1893" s="111" t="str">
        <f>DataPull!D1893</f>
        <v/>
      </c>
      <c r="G1893" s="94" t="str">
        <f t="shared" si="2"/>
        <v/>
      </c>
      <c r="H1893" s="94" t="str">
        <f t="shared" si="3"/>
        <v/>
      </c>
      <c r="I1893" s="94" t="str">
        <f t="shared" ref="I1893:J1893" si="1894">if(G1893 = "", , -G1893)</f>
        <v/>
      </c>
      <c r="J1893" s="94" t="str">
        <f t="shared" si="1894"/>
        <v/>
      </c>
      <c r="K1893" s="100"/>
      <c r="M1893" s="100"/>
      <c r="N1893" s="100"/>
      <c r="O1893" s="100"/>
      <c r="P1893" s="100"/>
    </row>
    <row r="1894">
      <c r="A1894" s="107">
        <v>202730.0</v>
      </c>
      <c r="B1894" s="108" t="s">
        <v>92</v>
      </c>
      <c r="C1894" s="108" t="s">
        <v>562</v>
      </c>
      <c r="D1894" s="112" t="s">
        <v>177</v>
      </c>
      <c r="E1894" s="112">
        <v>1595.8</v>
      </c>
      <c r="F1894" s="111" t="str">
        <f>DataPull!D1894</f>
        <v/>
      </c>
      <c r="G1894" s="94" t="str">
        <f t="shared" si="2"/>
        <v/>
      </c>
      <c r="H1894" s="94" t="str">
        <f t="shared" si="3"/>
        <v/>
      </c>
      <c r="I1894" s="94" t="str">
        <f t="shared" ref="I1894:J1894" si="1895">if(G1894 = "", , -G1894)</f>
        <v/>
      </c>
      <c r="J1894" s="94" t="str">
        <f t="shared" si="1895"/>
        <v/>
      </c>
      <c r="K1894" s="100"/>
      <c r="L1894" s="100"/>
      <c r="N1894" s="100"/>
      <c r="O1894" s="100"/>
      <c r="P1894" s="100"/>
    </row>
    <row r="1895">
      <c r="A1895" s="107">
        <v>202730.0</v>
      </c>
      <c r="B1895" s="108" t="s">
        <v>190</v>
      </c>
      <c r="C1895" s="108" t="s">
        <v>562</v>
      </c>
      <c r="D1895" s="112" t="s">
        <v>177</v>
      </c>
      <c r="E1895" s="112">
        <v>872.3</v>
      </c>
      <c r="F1895" s="111" t="str">
        <f>DataPull!D1895</f>
        <v/>
      </c>
      <c r="G1895" s="94" t="str">
        <f t="shared" si="2"/>
        <v/>
      </c>
      <c r="H1895" s="94" t="str">
        <f t="shared" si="3"/>
        <v/>
      </c>
      <c r="I1895" s="94" t="str">
        <f t="shared" ref="I1895:J1895" si="1896">if(G1895 = "", , -G1895)</f>
        <v/>
      </c>
      <c r="J1895" s="94" t="str">
        <f t="shared" si="1896"/>
        <v/>
      </c>
      <c r="K1895" s="100"/>
      <c r="L1895" s="100"/>
      <c r="N1895" s="100"/>
      <c r="O1895" s="100"/>
      <c r="P1895" s="100"/>
    </row>
    <row r="1896">
      <c r="A1896" s="107">
        <v>202732.0</v>
      </c>
      <c r="B1896" s="108" t="s">
        <v>85</v>
      </c>
      <c r="C1896" s="108" t="s">
        <v>563</v>
      </c>
      <c r="D1896" s="112" t="s">
        <v>181</v>
      </c>
      <c r="E1896" s="112">
        <v>1.4</v>
      </c>
      <c r="F1896" s="111" t="str">
        <f>DataPull!D1896</f>
        <v/>
      </c>
      <c r="G1896" s="94" t="str">
        <f t="shared" si="2"/>
        <v/>
      </c>
      <c r="H1896" s="94" t="str">
        <f t="shared" si="3"/>
        <v/>
      </c>
      <c r="I1896" s="94" t="str">
        <f t="shared" ref="I1896:J1896" si="1897">if(G1896 = "", , -G1896)</f>
        <v/>
      </c>
      <c r="J1896" s="94" t="str">
        <f t="shared" si="1897"/>
        <v/>
      </c>
      <c r="K1896" s="100"/>
      <c r="M1896" s="100"/>
      <c r="N1896" s="100"/>
      <c r="O1896" s="100"/>
      <c r="P1896" s="100"/>
    </row>
    <row r="1897">
      <c r="A1897" s="107">
        <v>202732.0</v>
      </c>
      <c r="B1897" s="108" t="s">
        <v>190</v>
      </c>
      <c r="C1897" s="108" t="s">
        <v>563</v>
      </c>
      <c r="D1897" s="112" t="s">
        <v>177</v>
      </c>
      <c r="E1897" s="112">
        <v>775.0</v>
      </c>
      <c r="F1897" s="111" t="str">
        <f>DataPull!D1897</f>
        <v/>
      </c>
      <c r="G1897" s="94" t="str">
        <f t="shared" si="2"/>
        <v/>
      </c>
      <c r="H1897" s="94" t="str">
        <f t="shared" si="3"/>
        <v/>
      </c>
      <c r="I1897" s="94" t="str">
        <f t="shared" ref="I1897:J1897" si="1898">if(G1897 = "", , -G1897)</f>
        <v/>
      </c>
      <c r="J1897" s="94" t="str">
        <f t="shared" si="1898"/>
        <v/>
      </c>
      <c r="K1897" s="100"/>
      <c r="M1897" s="100"/>
      <c r="N1897" s="100"/>
      <c r="O1897" s="100"/>
      <c r="P1897" s="100"/>
    </row>
    <row r="1898">
      <c r="A1898" s="107">
        <v>202732.0</v>
      </c>
      <c r="B1898" s="108" t="s">
        <v>191</v>
      </c>
      <c r="C1898" s="108" t="s">
        <v>563</v>
      </c>
      <c r="D1898" s="112" t="s">
        <v>177</v>
      </c>
      <c r="E1898" s="112">
        <v>725.0</v>
      </c>
      <c r="F1898" s="111" t="str">
        <f>DataPull!D1898</f>
        <v/>
      </c>
      <c r="G1898" s="94" t="str">
        <f t="shared" si="2"/>
        <v/>
      </c>
      <c r="H1898" s="94" t="str">
        <f t="shared" si="3"/>
        <v/>
      </c>
      <c r="I1898" s="94" t="str">
        <f t="shared" ref="I1898:J1898" si="1899">if(G1898 = "", , -G1898)</f>
        <v/>
      </c>
      <c r="J1898" s="94" t="str">
        <f t="shared" si="1899"/>
        <v/>
      </c>
      <c r="K1898" s="100"/>
      <c r="M1898" s="100"/>
      <c r="N1898" s="100"/>
      <c r="O1898" s="100"/>
      <c r="P1898" s="100"/>
    </row>
    <row r="1899">
      <c r="A1899" s="107">
        <v>202734.0</v>
      </c>
      <c r="B1899" s="108" t="s">
        <v>85</v>
      </c>
      <c r="C1899" s="108" t="s">
        <v>564</v>
      </c>
      <c r="D1899" s="112" t="s">
        <v>177</v>
      </c>
      <c r="E1899" s="112">
        <v>1508.9</v>
      </c>
      <c r="F1899" s="111" t="str">
        <f>DataPull!D1899</f>
        <v/>
      </c>
      <c r="G1899" s="94" t="str">
        <f t="shared" si="2"/>
        <v/>
      </c>
      <c r="H1899" s="94" t="str">
        <f t="shared" si="3"/>
        <v/>
      </c>
      <c r="I1899" s="94" t="str">
        <f t="shared" ref="I1899:J1899" si="1900">if(G1899 = "", , -G1899)</f>
        <v/>
      </c>
      <c r="J1899" s="94" t="str">
        <f t="shared" si="1900"/>
        <v/>
      </c>
      <c r="K1899" s="100"/>
      <c r="M1899" s="100"/>
      <c r="N1899" s="100"/>
      <c r="O1899" s="100"/>
      <c r="P1899" s="100"/>
    </row>
    <row r="1900">
      <c r="A1900" s="107">
        <v>202734.0</v>
      </c>
      <c r="B1900" s="108" t="s">
        <v>90</v>
      </c>
      <c r="C1900" s="108" t="s">
        <v>564</v>
      </c>
      <c r="D1900" s="112" t="s">
        <v>187</v>
      </c>
      <c r="E1900" s="112">
        <v>504.0</v>
      </c>
      <c r="F1900" s="111" t="str">
        <f>DataPull!D1900</f>
        <v/>
      </c>
      <c r="G1900" s="94" t="str">
        <f t="shared" si="2"/>
        <v/>
      </c>
      <c r="H1900" s="94" t="str">
        <f t="shared" si="3"/>
        <v/>
      </c>
      <c r="I1900" s="94" t="str">
        <f t="shared" ref="I1900:J1900" si="1901">if(G1900 = "", , -G1900)</f>
        <v/>
      </c>
      <c r="J1900" s="94" t="str">
        <f t="shared" si="1901"/>
        <v/>
      </c>
      <c r="K1900" s="100"/>
      <c r="L1900" s="100"/>
      <c r="M1900" s="100"/>
      <c r="N1900" s="100"/>
      <c r="O1900" s="100"/>
    </row>
    <row r="1901">
      <c r="A1901" s="107">
        <v>202734.0</v>
      </c>
      <c r="B1901" s="108" t="s">
        <v>92</v>
      </c>
      <c r="C1901" s="108" t="s">
        <v>564</v>
      </c>
      <c r="D1901" s="112" t="s">
        <v>177</v>
      </c>
      <c r="E1901" s="112">
        <v>1262.6</v>
      </c>
      <c r="F1901" s="111" t="str">
        <f>DataPull!D1901</f>
        <v/>
      </c>
      <c r="G1901" s="94" t="str">
        <f t="shared" si="2"/>
        <v/>
      </c>
      <c r="H1901" s="94" t="str">
        <f t="shared" si="3"/>
        <v/>
      </c>
      <c r="I1901" s="94" t="str">
        <f t="shared" ref="I1901:J1901" si="1902">if(G1901 = "", , -G1901)</f>
        <v/>
      </c>
      <c r="J1901" s="94" t="str">
        <f t="shared" si="1902"/>
        <v/>
      </c>
      <c r="K1901" s="100"/>
      <c r="M1901" s="100"/>
      <c r="N1901" s="100"/>
      <c r="O1901" s="100"/>
      <c r="P1901" s="100"/>
    </row>
    <row r="1902">
      <c r="A1902" s="107">
        <v>202734.0</v>
      </c>
      <c r="B1902" s="108" t="s">
        <v>190</v>
      </c>
      <c r="C1902" s="108" t="s">
        <v>564</v>
      </c>
      <c r="D1902" s="112" t="s">
        <v>176</v>
      </c>
      <c r="E1902" s="112">
        <v>1817.7</v>
      </c>
      <c r="F1902" s="111" t="str">
        <f>DataPull!D1902</f>
        <v/>
      </c>
      <c r="G1902" s="94" t="str">
        <f t="shared" si="2"/>
        <v/>
      </c>
      <c r="H1902" s="94" t="str">
        <f t="shared" si="3"/>
        <v/>
      </c>
      <c r="I1902" s="94" t="str">
        <f t="shared" ref="I1902:J1902" si="1903">if(G1902 = "", , -G1902)</f>
        <v/>
      </c>
      <c r="J1902" s="94" t="str">
        <f t="shared" si="1903"/>
        <v/>
      </c>
      <c r="N1902" s="100"/>
      <c r="O1902" s="100"/>
      <c r="P1902" s="100"/>
    </row>
    <row r="1903">
      <c r="A1903" s="107">
        <v>202734.0</v>
      </c>
      <c r="B1903" s="108" t="s">
        <v>191</v>
      </c>
      <c r="C1903" s="108" t="s">
        <v>564</v>
      </c>
      <c r="D1903" s="112" t="s">
        <v>178</v>
      </c>
      <c r="E1903" s="112">
        <v>2583.0</v>
      </c>
      <c r="F1903" s="111" t="str">
        <f>DataPull!D1903</f>
        <v/>
      </c>
      <c r="G1903" s="94" t="str">
        <f t="shared" si="2"/>
        <v/>
      </c>
      <c r="H1903" s="94" t="str">
        <f t="shared" si="3"/>
        <v/>
      </c>
      <c r="I1903" s="94" t="str">
        <f t="shared" ref="I1903:J1903" si="1904">if(G1903 = "", , -G1903)</f>
        <v/>
      </c>
      <c r="J1903" s="94" t="str">
        <f t="shared" si="1904"/>
        <v/>
      </c>
      <c r="K1903" s="100"/>
      <c r="M1903" s="100"/>
      <c r="N1903" s="100"/>
      <c r="O1903" s="100"/>
      <c r="P1903" s="100"/>
    </row>
    <row r="1904">
      <c r="A1904" s="107">
        <v>202734.0</v>
      </c>
      <c r="B1904" s="108" t="s">
        <v>192</v>
      </c>
      <c r="C1904" s="108" t="s">
        <v>564</v>
      </c>
      <c r="D1904" s="112" t="s">
        <v>176</v>
      </c>
      <c r="E1904" s="112">
        <v>1462.8</v>
      </c>
      <c r="F1904" s="111" t="str">
        <f>DataPull!D1904</f>
        <v/>
      </c>
      <c r="G1904" s="94" t="str">
        <f t="shared" si="2"/>
        <v/>
      </c>
      <c r="H1904" s="94" t="str">
        <f t="shared" si="3"/>
        <v/>
      </c>
      <c r="I1904" s="94" t="str">
        <f t="shared" ref="I1904:J1904" si="1905">if(G1904 = "", , -G1904)</f>
        <v/>
      </c>
      <c r="J1904" s="94" t="str">
        <f t="shared" si="1905"/>
        <v/>
      </c>
      <c r="K1904" s="100"/>
      <c r="M1904" s="100"/>
      <c r="N1904" s="100"/>
      <c r="O1904" s="100"/>
      <c r="P1904" s="100"/>
    </row>
    <row r="1905">
      <c r="A1905" s="107">
        <v>202734.0</v>
      </c>
      <c r="B1905" s="108" t="s">
        <v>193</v>
      </c>
      <c r="C1905" s="108" t="s">
        <v>564</v>
      </c>
      <c r="D1905" s="112" t="s">
        <v>177</v>
      </c>
      <c r="E1905" s="112">
        <v>1019.2</v>
      </c>
      <c r="F1905" s="111" t="str">
        <f>DataPull!D1905</f>
        <v/>
      </c>
      <c r="G1905" s="94" t="str">
        <f t="shared" si="2"/>
        <v/>
      </c>
      <c r="H1905" s="94" t="str">
        <f t="shared" si="3"/>
        <v/>
      </c>
      <c r="I1905" s="94" t="str">
        <f t="shared" ref="I1905:J1905" si="1906">if(G1905 = "", , -G1905)</f>
        <v/>
      </c>
      <c r="J1905" s="94" t="str">
        <f t="shared" si="1906"/>
        <v/>
      </c>
      <c r="K1905" s="100"/>
      <c r="M1905" s="100"/>
      <c r="N1905" s="100"/>
      <c r="O1905" s="100"/>
      <c r="P1905" s="100"/>
    </row>
    <row r="1906">
      <c r="A1906" s="107">
        <v>202734.0</v>
      </c>
      <c r="B1906" s="108" t="s">
        <v>243</v>
      </c>
      <c r="C1906" s="108" t="s">
        <v>564</v>
      </c>
      <c r="D1906" s="112" t="s">
        <v>177</v>
      </c>
      <c r="E1906" s="112">
        <v>388.8</v>
      </c>
      <c r="F1906" s="111" t="str">
        <f>DataPull!D1906</f>
        <v/>
      </c>
      <c r="G1906" s="94" t="str">
        <f t="shared" si="2"/>
        <v/>
      </c>
      <c r="H1906" s="94" t="str">
        <f t="shared" si="3"/>
        <v/>
      </c>
      <c r="I1906" s="94" t="str">
        <f t="shared" ref="I1906:J1906" si="1907">if(G1906 = "", , -G1906)</f>
        <v/>
      </c>
      <c r="J1906" s="94" t="str">
        <f t="shared" si="1907"/>
        <v/>
      </c>
      <c r="K1906" s="100"/>
      <c r="M1906" s="100"/>
      <c r="N1906" s="100"/>
      <c r="O1906" s="100"/>
      <c r="P1906" s="100"/>
    </row>
    <row r="1907">
      <c r="A1907" s="107">
        <v>202738.0</v>
      </c>
      <c r="B1907" s="108" t="s">
        <v>85</v>
      </c>
      <c r="C1907" s="108" t="s">
        <v>565</v>
      </c>
      <c r="D1907" s="112" t="s">
        <v>184</v>
      </c>
      <c r="E1907" s="112">
        <v>2498.4</v>
      </c>
      <c r="F1907" s="111" t="str">
        <f>DataPull!D1907</f>
        <v/>
      </c>
      <c r="G1907" s="94" t="str">
        <f t="shared" si="2"/>
        <v/>
      </c>
      <c r="H1907" s="94" t="str">
        <f t="shared" si="3"/>
        <v/>
      </c>
      <c r="I1907" s="94" t="str">
        <f t="shared" ref="I1907:J1907" si="1908">if(G1907 = "", , -G1907)</f>
        <v/>
      </c>
      <c r="J1907" s="94" t="str">
        <f t="shared" si="1908"/>
        <v/>
      </c>
      <c r="K1907" s="100"/>
      <c r="M1907" s="100"/>
      <c r="N1907" s="100"/>
      <c r="O1907" s="100"/>
      <c r="P1907" s="100"/>
    </row>
    <row r="1908">
      <c r="A1908" s="107">
        <v>202738.0</v>
      </c>
      <c r="B1908" s="108" t="s">
        <v>90</v>
      </c>
      <c r="C1908" s="108" t="s">
        <v>565</v>
      </c>
      <c r="D1908" s="112" t="s">
        <v>176</v>
      </c>
      <c r="E1908" s="112">
        <v>1728.6</v>
      </c>
      <c r="F1908" s="111" t="str">
        <f>DataPull!D1908</f>
        <v/>
      </c>
      <c r="G1908" s="94" t="str">
        <f t="shared" si="2"/>
        <v/>
      </c>
      <c r="H1908" s="94" t="str">
        <f t="shared" si="3"/>
        <v/>
      </c>
      <c r="I1908" s="94" t="str">
        <f t="shared" ref="I1908:J1908" si="1909">if(G1908 = "", , -G1908)</f>
        <v/>
      </c>
      <c r="J1908" s="94" t="str">
        <f t="shared" si="1909"/>
        <v/>
      </c>
      <c r="K1908" s="100"/>
      <c r="M1908" s="100"/>
      <c r="N1908" s="100"/>
      <c r="O1908" s="100"/>
      <c r="P1908" s="100"/>
    </row>
    <row r="1909">
      <c r="A1909" s="107">
        <v>202738.0</v>
      </c>
      <c r="B1909" s="108" t="s">
        <v>92</v>
      </c>
      <c r="C1909" s="108" t="s">
        <v>565</v>
      </c>
      <c r="D1909" s="112" t="s">
        <v>184</v>
      </c>
      <c r="E1909" s="112">
        <v>2640.4</v>
      </c>
      <c r="F1909" s="111" t="str">
        <f>DataPull!D1909</f>
        <v/>
      </c>
      <c r="G1909" s="94" t="str">
        <f t="shared" si="2"/>
        <v/>
      </c>
      <c r="H1909" s="94" t="str">
        <f t="shared" si="3"/>
        <v/>
      </c>
      <c r="I1909" s="94" t="str">
        <f t="shared" ref="I1909:J1909" si="1910">if(G1909 = "", , -G1909)</f>
        <v/>
      </c>
      <c r="J1909" s="94" t="str">
        <f t="shared" si="1910"/>
        <v/>
      </c>
      <c r="K1909" s="100"/>
      <c r="M1909" s="100"/>
      <c r="N1909" s="100"/>
      <c r="O1909" s="100"/>
      <c r="P1909" s="100"/>
    </row>
    <row r="1910">
      <c r="A1910" s="107">
        <v>202738.0</v>
      </c>
      <c r="B1910" s="108" t="s">
        <v>190</v>
      </c>
      <c r="C1910" s="108" t="s">
        <v>565</v>
      </c>
      <c r="D1910" s="112" t="s">
        <v>184</v>
      </c>
      <c r="E1910" s="112">
        <v>2568.8</v>
      </c>
      <c r="F1910" s="111" t="str">
        <f>DataPull!D1910</f>
        <v/>
      </c>
      <c r="G1910" s="94" t="str">
        <f t="shared" si="2"/>
        <v/>
      </c>
      <c r="H1910" s="94" t="str">
        <f t="shared" si="3"/>
        <v/>
      </c>
      <c r="I1910" s="94" t="str">
        <f t="shared" ref="I1910:J1910" si="1911">if(G1910 = "", , -G1910)</f>
        <v/>
      </c>
      <c r="J1910" s="94" t="str">
        <f t="shared" si="1911"/>
        <v/>
      </c>
      <c r="K1910" s="100"/>
      <c r="M1910" s="100"/>
      <c r="N1910" s="100"/>
      <c r="O1910" s="100"/>
      <c r="P1910" s="100"/>
    </row>
    <row r="1911">
      <c r="A1911" s="107">
        <v>202738.0</v>
      </c>
      <c r="B1911" s="108" t="s">
        <v>191</v>
      </c>
      <c r="C1911" s="108" t="s">
        <v>565</v>
      </c>
      <c r="D1911" s="112" t="s">
        <v>178</v>
      </c>
      <c r="E1911" s="112">
        <v>860.8</v>
      </c>
      <c r="F1911" s="111" t="str">
        <f>DataPull!D1911</f>
        <v/>
      </c>
      <c r="G1911" s="94" t="str">
        <f t="shared" si="2"/>
        <v/>
      </c>
      <c r="H1911" s="94" t="str">
        <f t="shared" si="3"/>
        <v/>
      </c>
      <c r="I1911" s="94" t="str">
        <f t="shared" ref="I1911:J1911" si="1912">if(G1911 = "", , -G1911)</f>
        <v/>
      </c>
      <c r="J1911" s="94" t="str">
        <f t="shared" si="1912"/>
        <v/>
      </c>
      <c r="K1911" s="100"/>
      <c r="M1911" s="100"/>
      <c r="N1911" s="100"/>
      <c r="O1911" s="100"/>
      <c r="P1911" s="100"/>
    </row>
    <row r="1912">
      <c r="A1912" s="107">
        <v>202738.0</v>
      </c>
      <c r="B1912" s="108" t="s">
        <v>192</v>
      </c>
      <c r="C1912" s="108" t="s">
        <v>565</v>
      </c>
      <c r="D1912" s="112" t="s">
        <v>187</v>
      </c>
      <c r="E1912" s="112">
        <v>181.2</v>
      </c>
      <c r="F1912" s="111" t="str">
        <f>DataPull!D1912</f>
        <v/>
      </c>
      <c r="G1912" s="94" t="str">
        <f t="shared" si="2"/>
        <v/>
      </c>
      <c r="H1912" s="94" t="str">
        <f t="shared" si="3"/>
        <v/>
      </c>
      <c r="I1912" s="94" t="str">
        <f t="shared" ref="I1912:J1912" si="1913">if(G1912 = "", , -G1912)</f>
        <v/>
      </c>
      <c r="J1912" s="94" t="str">
        <f t="shared" si="1913"/>
        <v/>
      </c>
      <c r="K1912" s="100"/>
      <c r="M1912" s="100"/>
      <c r="N1912" s="100"/>
      <c r="O1912" s="100"/>
      <c r="P1912" s="100"/>
    </row>
    <row r="1913">
      <c r="A1913" s="107">
        <v>202738.0</v>
      </c>
      <c r="B1913" s="108" t="s">
        <v>193</v>
      </c>
      <c r="C1913" s="108" t="s">
        <v>565</v>
      </c>
      <c r="D1913" s="112" t="s">
        <v>176</v>
      </c>
      <c r="E1913" s="112">
        <v>924.0</v>
      </c>
      <c r="F1913" s="111" t="str">
        <f>DataPull!D1913</f>
        <v/>
      </c>
      <c r="G1913" s="94" t="str">
        <f t="shared" si="2"/>
        <v/>
      </c>
      <c r="H1913" s="94" t="str">
        <f t="shared" si="3"/>
        <v/>
      </c>
      <c r="I1913" s="94" t="str">
        <f t="shared" ref="I1913:J1913" si="1914">if(G1913 = "", , -G1913)</f>
        <v/>
      </c>
      <c r="J1913" s="94" t="str">
        <f t="shared" si="1914"/>
        <v/>
      </c>
      <c r="K1913" s="100"/>
      <c r="M1913" s="100"/>
      <c r="N1913" s="100"/>
      <c r="O1913" s="100"/>
      <c r="P1913" s="100"/>
    </row>
    <row r="1914">
      <c r="A1914" s="107">
        <v>202738.0</v>
      </c>
      <c r="B1914" s="108" t="s">
        <v>243</v>
      </c>
      <c r="C1914" s="108" t="s">
        <v>565</v>
      </c>
      <c r="D1914" s="112" t="s">
        <v>181</v>
      </c>
      <c r="E1914" s="112">
        <v>48.3</v>
      </c>
      <c r="F1914" s="111" t="str">
        <f>DataPull!D1914</f>
        <v/>
      </c>
      <c r="G1914" s="94" t="str">
        <f t="shared" si="2"/>
        <v/>
      </c>
      <c r="H1914" s="94" t="str">
        <f t="shared" si="3"/>
        <v/>
      </c>
      <c r="I1914" s="94" t="str">
        <f t="shared" ref="I1914:J1914" si="1915">if(G1914 = "", , -G1914)</f>
        <v/>
      </c>
      <c r="J1914" s="94" t="str">
        <f t="shared" si="1915"/>
        <v/>
      </c>
      <c r="K1914" s="100"/>
      <c r="L1914" s="100"/>
      <c r="N1914" s="100"/>
      <c r="O1914" s="100"/>
      <c r="P1914" s="100"/>
    </row>
    <row r="1915">
      <c r="A1915" s="107">
        <v>202738.0</v>
      </c>
      <c r="B1915" s="108" t="s">
        <v>215</v>
      </c>
      <c r="C1915" s="108" t="s">
        <v>565</v>
      </c>
      <c r="D1915" s="112" t="s">
        <v>187</v>
      </c>
      <c r="E1915" s="112">
        <v>334.4</v>
      </c>
      <c r="F1915" s="111" t="str">
        <f>DataPull!D1915</f>
        <v/>
      </c>
      <c r="G1915" s="94" t="str">
        <f t="shared" si="2"/>
        <v/>
      </c>
      <c r="H1915" s="94" t="str">
        <f t="shared" si="3"/>
        <v/>
      </c>
      <c r="I1915" s="94" t="str">
        <f t="shared" ref="I1915:J1915" si="1916">if(G1915 = "", , -G1915)</f>
        <v/>
      </c>
      <c r="J1915" s="94" t="str">
        <f t="shared" si="1916"/>
        <v/>
      </c>
      <c r="K1915" s="100"/>
      <c r="L1915" s="100"/>
      <c r="M1915" s="100"/>
      <c r="N1915" s="100"/>
      <c r="O1915" s="100"/>
      <c r="P1915" s="100"/>
    </row>
    <row r="1916">
      <c r="A1916" s="107">
        <v>202738.0</v>
      </c>
      <c r="B1916" s="108" t="s">
        <v>245</v>
      </c>
      <c r="C1916" s="108" t="s">
        <v>565</v>
      </c>
      <c r="D1916" s="112" t="s">
        <v>181</v>
      </c>
      <c r="E1916" s="112">
        <v>19.2</v>
      </c>
      <c r="F1916" s="111" t="str">
        <f>DataPull!D1916</f>
        <v/>
      </c>
      <c r="G1916" s="94" t="str">
        <f t="shared" si="2"/>
        <v/>
      </c>
      <c r="H1916" s="94" t="str">
        <f t="shared" si="3"/>
        <v/>
      </c>
      <c r="I1916" s="94" t="str">
        <f t="shared" ref="I1916:J1916" si="1917">if(G1916 = "", , -G1916)</f>
        <v/>
      </c>
      <c r="J1916" s="94" t="str">
        <f t="shared" si="1917"/>
        <v/>
      </c>
      <c r="K1916" s="100"/>
      <c r="L1916" s="100"/>
      <c r="N1916" s="100"/>
      <c r="O1916" s="100"/>
      <c r="P1916" s="100"/>
    </row>
    <row r="1917">
      <c r="A1917" s="107">
        <v>202779.0</v>
      </c>
      <c r="B1917" s="108" t="s">
        <v>85</v>
      </c>
      <c r="C1917" s="108" t="s">
        <v>566</v>
      </c>
      <c r="D1917" s="112" t="s">
        <v>187</v>
      </c>
      <c r="E1917" s="112">
        <v>145.6</v>
      </c>
      <c r="F1917" s="111" t="str">
        <f>DataPull!D1917</f>
        <v/>
      </c>
      <c r="G1917" s="94" t="str">
        <f t="shared" si="2"/>
        <v/>
      </c>
      <c r="H1917" s="94" t="str">
        <f t="shared" si="3"/>
        <v/>
      </c>
      <c r="I1917" s="94" t="str">
        <f t="shared" ref="I1917:J1917" si="1918">if(G1917 = "", , -G1917)</f>
        <v/>
      </c>
      <c r="J1917" s="94" t="str">
        <f t="shared" si="1918"/>
        <v/>
      </c>
      <c r="K1917" s="100"/>
      <c r="M1917" s="100"/>
      <c r="N1917" s="100"/>
      <c r="O1917" s="100"/>
      <c r="P1917" s="100"/>
    </row>
    <row r="1918">
      <c r="A1918" s="107">
        <v>202779.0</v>
      </c>
      <c r="B1918" s="108" t="s">
        <v>90</v>
      </c>
      <c r="C1918" s="108" t="s">
        <v>566</v>
      </c>
      <c r="D1918" s="112" t="s">
        <v>181</v>
      </c>
      <c r="E1918" s="112">
        <v>123.0</v>
      </c>
      <c r="F1918" s="111" t="str">
        <f>DataPull!D1918</f>
        <v/>
      </c>
      <c r="G1918" s="94" t="str">
        <f t="shared" si="2"/>
        <v/>
      </c>
      <c r="H1918" s="94" t="str">
        <f t="shared" si="3"/>
        <v/>
      </c>
      <c r="I1918" s="94" t="str">
        <f t="shared" ref="I1918:J1918" si="1919">if(G1918 = "", , -G1918)</f>
        <v/>
      </c>
      <c r="J1918" s="94" t="str">
        <f t="shared" si="1919"/>
        <v/>
      </c>
      <c r="K1918" s="100"/>
      <c r="M1918" s="100"/>
      <c r="N1918" s="100"/>
      <c r="O1918" s="100"/>
      <c r="P1918" s="100"/>
    </row>
    <row r="1919">
      <c r="A1919" s="107">
        <v>202779.0</v>
      </c>
      <c r="B1919" s="108" t="s">
        <v>191</v>
      </c>
      <c r="C1919" s="108" t="s">
        <v>566</v>
      </c>
      <c r="D1919" s="112" t="s">
        <v>177</v>
      </c>
      <c r="E1919" s="112">
        <v>426.3</v>
      </c>
      <c r="F1919" s="111" t="str">
        <f>DataPull!D1919</f>
        <v/>
      </c>
      <c r="G1919" s="94" t="str">
        <f t="shared" si="2"/>
        <v/>
      </c>
      <c r="H1919" s="94" t="str">
        <f t="shared" si="3"/>
        <v/>
      </c>
      <c r="I1919" s="94" t="str">
        <f t="shared" ref="I1919:J1919" si="1920">if(G1919 = "", , -G1919)</f>
        <v/>
      </c>
      <c r="J1919" s="94" t="str">
        <f t="shared" si="1920"/>
        <v/>
      </c>
      <c r="K1919" s="100"/>
      <c r="M1919" s="100"/>
      <c r="N1919" s="100"/>
      <c r="O1919" s="100"/>
      <c r="P1919" s="100"/>
    </row>
    <row r="1920">
      <c r="A1920" s="107">
        <v>202874.0</v>
      </c>
      <c r="B1920" s="108" t="s">
        <v>85</v>
      </c>
      <c r="C1920" s="108" t="s">
        <v>567</v>
      </c>
      <c r="D1920" s="112"/>
      <c r="E1920" s="112">
        <v>125.6</v>
      </c>
      <c r="F1920" s="111" t="str">
        <f>DataPull!D1920</f>
        <v/>
      </c>
      <c r="G1920" s="94" t="str">
        <f t="shared" si="2"/>
        <v/>
      </c>
      <c r="H1920" s="94" t="str">
        <f t="shared" si="3"/>
        <v/>
      </c>
      <c r="I1920" s="94" t="str">
        <f t="shared" ref="I1920:J1920" si="1921">if(G1920 = "", , -G1920)</f>
        <v/>
      </c>
      <c r="J1920" s="94" t="str">
        <f t="shared" si="1921"/>
        <v/>
      </c>
      <c r="K1920" s="100"/>
      <c r="L1920" s="100"/>
      <c r="M1920" s="100"/>
      <c r="N1920" s="100"/>
      <c r="O1920" s="100"/>
      <c r="P1920" s="100"/>
    </row>
    <row r="1921">
      <c r="A1921" s="107">
        <v>202918.0</v>
      </c>
      <c r="B1921" s="108" t="s">
        <v>191</v>
      </c>
      <c r="C1921" s="108" t="s">
        <v>568</v>
      </c>
      <c r="D1921" s="112" t="s">
        <v>181</v>
      </c>
      <c r="E1921" s="112">
        <v>7.4</v>
      </c>
      <c r="F1921" s="111" t="str">
        <f>DataPull!D1921</f>
        <v/>
      </c>
      <c r="G1921" s="94" t="str">
        <f t="shared" si="2"/>
        <v/>
      </c>
      <c r="H1921" s="94" t="str">
        <f t="shared" si="3"/>
        <v/>
      </c>
      <c r="I1921" s="94" t="str">
        <f t="shared" ref="I1921:J1921" si="1922">if(G1921 = "", , -G1921)</f>
        <v/>
      </c>
      <c r="J1921" s="94" t="str">
        <f t="shared" si="1922"/>
        <v/>
      </c>
      <c r="K1921" s="100"/>
      <c r="M1921" s="100"/>
      <c r="N1921" s="100"/>
      <c r="O1921" s="100"/>
      <c r="P1921" s="100"/>
    </row>
    <row r="1922">
      <c r="A1922" s="107">
        <v>202933.0</v>
      </c>
      <c r="B1922" s="108" t="s">
        <v>85</v>
      </c>
      <c r="C1922" s="108" t="s">
        <v>569</v>
      </c>
      <c r="D1922" s="112" t="s">
        <v>187</v>
      </c>
      <c r="E1922" s="112">
        <v>119.7</v>
      </c>
      <c r="F1922" s="111" t="str">
        <f>DataPull!D1922</f>
        <v/>
      </c>
      <c r="G1922" s="94" t="str">
        <f t="shared" si="2"/>
        <v/>
      </c>
      <c r="H1922" s="94" t="str">
        <f t="shared" si="3"/>
        <v/>
      </c>
      <c r="I1922" s="94" t="str">
        <f t="shared" ref="I1922:J1922" si="1923">if(G1922 = "", , -G1922)</f>
        <v/>
      </c>
      <c r="J1922" s="94" t="str">
        <f t="shared" si="1923"/>
        <v/>
      </c>
      <c r="K1922" s="100"/>
      <c r="M1922" s="100"/>
      <c r="N1922" s="100"/>
      <c r="O1922" s="100"/>
      <c r="P1922" s="100"/>
    </row>
    <row r="1923">
      <c r="A1923" s="107">
        <v>202933.0</v>
      </c>
      <c r="B1923" s="108" t="s">
        <v>191</v>
      </c>
      <c r="C1923" s="108" t="s">
        <v>569</v>
      </c>
      <c r="D1923" s="112" t="s">
        <v>187</v>
      </c>
      <c r="E1923" s="112">
        <v>174.8</v>
      </c>
      <c r="F1923" s="111" t="str">
        <f>DataPull!D1923</f>
        <v/>
      </c>
      <c r="G1923" s="94" t="str">
        <f t="shared" si="2"/>
        <v/>
      </c>
      <c r="H1923" s="94" t="str">
        <f t="shared" si="3"/>
        <v/>
      </c>
      <c r="I1923" s="94" t="str">
        <f t="shared" ref="I1923:J1923" si="1924">if(G1923 = "", , -G1923)</f>
        <v/>
      </c>
      <c r="J1923" s="94" t="str">
        <f t="shared" si="1924"/>
        <v/>
      </c>
      <c r="K1923" s="100"/>
      <c r="L1923" s="100"/>
      <c r="N1923" s="100"/>
      <c r="O1923" s="100"/>
      <c r="P1923" s="100"/>
    </row>
    <row r="1924">
      <c r="A1924" s="107">
        <v>202951.0</v>
      </c>
      <c r="B1924" s="108" t="s">
        <v>193</v>
      </c>
      <c r="C1924" s="108" t="s">
        <v>570</v>
      </c>
      <c r="D1924" s="112" t="s">
        <v>181</v>
      </c>
      <c r="E1924" s="112">
        <v>44.4</v>
      </c>
      <c r="F1924" s="111" t="str">
        <f>DataPull!D1924</f>
        <v/>
      </c>
      <c r="G1924" s="94" t="str">
        <f t="shared" si="2"/>
        <v/>
      </c>
      <c r="H1924" s="94" t="str">
        <f t="shared" si="3"/>
        <v/>
      </c>
      <c r="I1924" s="94" t="str">
        <f t="shared" ref="I1924:J1924" si="1925">if(G1924 = "", , -G1924)</f>
        <v/>
      </c>
      <c r="J1924" s="94" t="str">
        <f t="shared" si="1925"/>
        <v/>
      </c>
      <c r="K1924" s="100"/>
      <c r="M1924" s="100"/>
      <c r="N1924" s="100"/>
      <c r="O1924" s="100"/>
      <c r="P1924" s="100"/>
    </row>
    <row r="1925">
      <c r="A1925" s="107">
        <v>202952.0</v>
      </c>
      <c r="B1925" s="108" t="s">
        <v>85</v>
      </c>
      <c r="C1925" s="108" t="s">
        <v>571</v>
      </c>
      <c r="D1925" s="112" t="s">
        <v>181</v>
      </c>
      <c r="E1925" s="112">
        <v>62.4</v>
      </c>
      <c r="F1925" s="111" t="str">
        <f>DataPull!D1925</f>
        <v/>
      </c>
      <c r="G1925" s="94" t="str">
        <f t="shared" si="2"/>
        <v/>
      </c>
      <c r="H1925" s="94" t="str">
        <f t="shared" si="3"/>
        <v/>
      </c>
      <c r="I1925" s="94" t="str">
        <f t="shared" ref="I1925:J1925" si="1926">if(G1925 = "", , -G1925)</f>
        <v/>
      </c>
      <c r="J1925" s="94" t="str">
        <f t="shared" si="1926"/>
        <v/>
      </c>
      <c r="K1925" s="100"/>
      <c r="M1925" s="100"/>
      <c r="N1925" s="100"/>
      <c r="O1925" s="100"/>
      <c r="P1925" s="100"/>
    </row>
    <row r="1926">
      <c r="A1926" s="107">
        <v>202952.0</v>
      </c>
      <c r="B1926" s="108" t="s">
        <v>90</v>
      </c>
      <c r="C1926" s="108" t="s">
        <v>571</v>
      </c>
      <c r="D1926" s="112" t="s">
        <v>187</v>
      </c>
      <c r="E1926" s="112">
        <v>193.8</v>
      </c>
      <c r="F1926" s="111" t="str">
        <f>DataPull!D1926</f>
        <v/>
      </c>
      <c r="G1926" s="94" t="str">
        <f t="shared" si="2"/>
        <v/>
      </c>
      <c r="H1926" s="94" t="str">
        <f t="shared" si="3"/>
        <v/>
      </c>
      <c r="I1926" s="94" t="str">
        <f t="shared" ref="I1926:J1926" si="1927">if(G1926 = "", , -G1926)</f>
        <v/>
      </c>
      <c r="J1926" s="94" t="str">
        <f t="shared" si="1927"/>
        <v/>
      </c>
      <c r="K1926" s="100"/>
      <c r="M1926" s="100"/>
      <c r="N1926" s="100"/>
      <c r="O1926" s="100"/>
      <c r="P1926" s="100"/>
    </row>
    <row r="1927">
      <c r="A1927" s="107">
        <v>202954.0</v>
      </c>
      <c r="B1927" s="108" t="s">
        <v>192</v>
      </c>
      <c r="C1927" s="108" t="s">
        <v>572</v>
      </c>
      <c r="D1927" s="112" t="s">
        <v>187</v>
      </c>
      <c r="E1927" s="112">
        <v>342.0</v>
      </c>
      <c r="F1927" s="111" t="str">
        <f>DataPull!D1927</f>
        <v/>
      </c>
      <c r="G1927" s="94" t="str">
        <f t="shared" si="2"/>
        <v/>
      </c>
      <c r="H1927" s="94" t="str">
        <f t="shared" si="3"/>
        <v/>
      </c>
      <c r="I1927" s="94" t="str">
        <f t="shared" ref="I1927:J1927" si="1928">if(G1927 = "", , -G1927)</f>
        <v/>
      </c>
      <c r="J1927" s="94" t="str">
        <f t="shared" si="1928"/>
        <v/>
      </c>
      <c r="K1927" s="100"/>
      <c r="M1927" s="100"/>
      <c r="N1927" s="100"/>
      <c r="O1927" s="100"/>
      <c r="P1927" s="100"/>
    </row>
    <row r="1928">
      <c r="A1928" s="107">
        <v>202954.0</v>
      </c>
      <c r="B1928" s="108" t="s">
        <v>193</v>
      </c>
      <c r="C1928" s="108" t="s">
        <v>572</v>
      </c>
      <c r="D1928" s="112" t="s">
        <v>176</v>
      </c>
      <c r="E1928" s="112">
        <v>1370.3</v>
      </c>
      <c r="F1928" s="111" t="str">
        <f>DataPull!D1928</f>
        <v/>
      </c>
      <c r="G1928" s="94" t="str">
        <f t="shared" si="2"/>
        <v/>
      </c>
      <c r="H1928" s="94" t="str">
        <f t="shared" si="3"/>
        <v/>
      </c>
      <c r="I1928" s="94" t="str">
        <f t="shared" ref="I1928:J1928" si="1929">if(G1928 = "", , -G1928)</f>
        <v/>
      </c>
      <c r="J1928" s="94" t="str">
        <f t="shared" si="1929"/>
        <v/>
      </c>
      <c r="K1928" s="100"/>
      <c r="M1928" s="100"/>
      <c r="N1928" s="100"/>
      <c r="O1928" s="100"/>
      <c r="P1928" s="100"/>
    </row>
    <row r="1929">
      <c r="A1929" s="107">
        <v>202954.0</v>
      </c>
      <c r="B1929" s="108" t="s">
        <v>243</v>
      </c>
      <c r="C1929" s="108" t="s">
        <v>572</v>
      </c>
      <c r="D1929" s="112" t="s">
        <v>177</v>
      </c>
      <c r="E1929" s="112">
        <v>1055.3</v>
      </c>
      <c r="F1929" s="111" t="str">
        <f>DataPull!D1929</f>
        <v/>
      </c>
      <c r="G1929" s="94" t="str">
        <f t="shared" si="2"/>
        <v/>
      </c>
      <c r="H1929" s="94" t="str">
        <f t="shared" si="3"/>
        <v/>
      </c>
      <c r="I1929" s="94" t="str">
        <f t="shared" ref="I1929:J1929" si="1930">if(G1929 = "", , -G1929)</f>
        <v/>
      </c>
      <c r="J1929" s="94" t="str">
        <f t="shared" si="1930"/>
        <v/>
      </c>
      <c r="K1929" s="100"/>
      <c r="L1929" s="100"/>
      <c r="N1929" s="100"/>
      <c r="O1929" s="100"/>
      <c r="P1929" s="100"/>
    </row>
    <row r="1930">
      <c r="A1930" s="107">
        <v>202954.0</v>
      </c>
      <c r="B1930" s="108" t="s">
        <v>215</v>
      </c>
      <c r="C1930" s="108" t="s">
        <v>572</v>
      </c>
      <c r="D1930" s="112" t="s">
        <v>187</v>
      </c>
      <c r="E1930" s="112">
        <v>319.7</v>
      </c>
      <c r="F1930" s="111" t="str">
        <f>DataPull!D1930</f>
        <v/>
      </c>
      <c r="G1930" s="94" t="str">
        <f t="shared" si="2"/>
        <v/>
      </c>
      <c r="H1930" s="94" t="str">
        <f t="shared" si="3"/>
        <v/>
      </c>
      <c r="I1930" s="94" t="str">
        <f t="shared" ref="I1930:J1930" si="1931">if(G1930 = "", , -G1930)</f>
        <v/>
      </c>
      <c r="J1930" s="94" t="str">
        <f t="shared" si="1931"/>
        <v/>
      </c>
      <c r="K1930" s="100"/>
      <c r="M1930" s="100"/>
      <c r="N1930" s="100"/>
      <c r="O1930" s="100"/>
      <c r="P1930" s="100"/>
    </row>
    <row r="1931">
      <c r="A1931" s="107">
        <v>202962.0</v>
      </c>
      <c r="B1931" s="108" t="s">
        <v>85</v>
      </c>
      <c r="C1931" s="108" t="s">
        <v>573</v>
      </c>
      <c r="D1931" s="112" t="s">
        <v>187</v>
      </c>
      <c r="E1931" s="112">
        <v>100.1</v>
      </c>
      <c r="F1931" s="111" t="str">
        <f>DataPull!D1931</f>
        <v/>
      </c>
      <c r="G1931" s="94" t="str">
        <f t="shared" si="2"/>
        <v/>
      </c>
      <c r="H1931" s="94" t="str">
        <f t="shared" si="3"/>
        <v/>
      </c>
      <c r="I1931" s="94" t="str">
        <f t="shared" ref="I1931:J1931" si="1932">if(G1931 = "", , -G1931)</f>
        <v/>
      </c>
      <c r="J1931" s="94" t="str">
        <f t="shared" si="1932"/>
        <v/>
      </c>
      <c r="K1931" s="100"/>
      <c r="M1931" s="100"/>
      <c r="N1931" s="100"/>
      <c r="O1931" s="100"/>
      <c r="P1931" s="100"/>
    </row>
    <row r="1932">
      <c r="A1932" s="107">
        <v>202962.0</v>
      </c>
      <c r="B1932" s="108" t="s">
        <v>90</v>
      </c>
      <c r="C1932" s="108" t="s">
        <v>573</v>
      </c>
      <c r="D1932" s="112" t="s">
        <v>187</v>
      </c>
      <c r="E1932" s="112">
        <v>361.2</v>
      </c>
      <c r="F1932" s="111" t="str">
        <f>DataPull!D1932</f>
        <v/>
      </c>
      <c r="G1932" s="94" t="str">
        <f t="shared" si="2"/>
        <v/>
      </c>
      <c r="H1932" s="94" t="str">
        <f t="shared" si="3"/>
        <v/>
      </c>
      <c r="I1932" s="94" t="str">
        <f t="shared" ref="I1932:J1932" si="1933">if(G1932 = "", , -G1932)</f>
        <v/>
      </c>
      <c r="J1932" s="94" t="str">
        <f t="shared" si="1933"/>
        <v/>
      </c>
      <c r="K1932" s="100"/>
      <c r="M1932" s="100"/>
      <c r="N1932" s="100"/>
      <c r="O1932" s="100"/>
    </row>
    <row r="1933">
      <c r="A1933" s="107">
        <v>202962.0</v>
      </c>
      <c r="B1933" s="108" t="s">
        <v>92</v>
      </c>
      <c r="C1933" s="108" t="s">
        <v>573</v>
      </c>
      <c r="D1933" s="112" t="s">
        <v>187</v>
      </c>
      <c r="E1933" s="112">
        <v>192.6</v>
      </c>
      <c r="F1933" s="111" t="str">
        <f>DataPull!D1933</f>
        <v/>
      </c>
      <c r="G1933" s="94" t="str">
        <f t="shared" si="2"/>
        <v/>
      </c>
      <c r="H1933" s="94" t="str">
        <f t="shared" si="3"/>
        <v/>
      </c>
      <c r="I1933" s="94" t="str">
        <f t="shared" ref="I1933:J1933" si="1934">if(G1933 = "", , -G1933)</f>
        <v/>
      </c>
      <c r="J1933" s="94" t="str">
        <f t="shared" si="1934"/>
        <v/>
      </c>
      <c r="K1933" s="100"/>
      <c r="M1933" s="100"/>
      <c r="N1933" s="100"/>
      <c r="O1933" s="100"/>
      <c r="P1933" s="100"/>
    </row>
    <row r="1934">
      <c r="A1934" s="107">
        <v>202970.0</v>
      </c>
      <c r="B1934" s="108" t="s">
        <v>85</v>
      </c>
      <c r="C1934" s="108" t="s">
        <v>574</v>
      </c>
      <c r="D1934" s="112" t="s">
        <v>177</v>
      </c>
      <c r="E1934" s="112">
        <v>429.0</v>
      </c>
      <c r="F1934" s="111" t="str">
        <f>DataPull!D1934</f>
        <v/>
      </c>
      <c r="G1934" s="94" t="str">
        <f t="shared" si="2"/>
        <v/>
      </c>
      <c r="H1934" s="94" t="str">
        <f t="shared" si="3"/>
        <v/>
      </c>
      <c r="I1934" s="94" t="str">
        <f t="shared" ref="I1934:J1934" si="1935">if(G1934 = "", , -G1934)</f>
        <v/>
      </c>
      <c r="J1934" s="94" t="str">
        <f t="shared" si="1935"/>
        <v/>
      </c>
      <c r="K1934" s="100"/>
      <c r="L1934" s="100"/>
      <c r="N1934" s="100"/>
      <c r="O1934" s="100"/>
      <c r="P1934" s="100"/>
    </row>
    <row r="1935">
      <c r="A1935" s="107">
        <v>203076.0</v>
      </c>
      <c r="B1935" s="108" t="s">
        <v>85</v>
      </c>
      <c r="C1935" s="108" t="s">
        <v>575</v>
      </c>
      <c r="D1935" s="112" t="s">
        <v>184</v>
      </c>
      <c r="E1935" s="112">
        <v>2358.4</v>
      </c>
      <c r="F1935" s="111" t="str">
        <f>DataPull!D1935</f>
        <v/>
      </c>
      <c r="G1935" s="94" t="str">
        <f t="shared" si="2"/>
        <v/>
      </c>
      <c r="H1935" s="94" t="str">
        <f t="shared" si="3"/>
        <v/>
      </c>
      <c r="I1935" s="94" t="str">
        <f t="shared" ref="I1935:J1935" si="1936">if(G1935 = "", , -G1935)</f>
        <v/>
      </c>
      <c r="J1935" s="94" t="str">
        <f t="shared" si="1936"/>
        <v/>
      </c>
      <c r="K1935" s="100"/>
      <c r="M1935" s="100"/>
      <c r="N1935" s="100"/>
      <c r="O1935" s="100"/>
      <c r="P1935" s="100"/>
    </row>
    <row r="1936">
      <c r="A1936" s="107">
        <v>203076.0</v>
      </c>
      <c r="B1936" s="108" t="s">
        <v>90</v>
      </c>
      <c r="C1936" s="108" t="s">
        <v>575</v>
      </c>
      <c r="D1936" s="112" t="s">
        <v>184</v>
      </c>
      <c r="E1936" s="112">
        <v>2454.8</v>
      </c>
      <c r="F1936" s="111" t="str">
        <f>DataPull!D1936</f>
        <v/>
      </c>
      <c r="G1936" s="94" t="str">
        <f t="shared" si="2"/>
        <v/>
      </c>
      <c r="H1936" s="94" t="str">
        <f t="shared" si="3"/>
        <v/>
      </c>
      <c r="I1936" s="94" t="str">
        <f t="shared" ref="I1936:J1936" si="1937">if(G1936 = "", , -G1936)</f>
        <v/>
      </c>
      <c r="J1936" s="94" t="str">
        <f t="shared" si="1937"/>
        <v/>
      </c>
      <c r="K1936" s="100"/>
      <c r="M1936" s="100"/>
      <c r="N1936" s="100"/>
      <c r="O1936" s="100"/>
      <c r="P1936" s="100"/>
    </row>
    <row r="1937">
      <c r="A1937" s="107">
        <v>203076.0</v>
      </c>
      <c r="B1937" s="108" t="s">
        <v>92</v>
      </c>
      <c r="C1937" s="108" t="s">
        <v>575</v>
      </c>
      <c r="D1937" s="112" t="s">
        <v>184</v>
      </c>
      <c r="E1937" s="112">
        <v>2165.5</v>
      </c>
      <c r="F1937" s="111" t="str">
        <f>DataPull!D1937</f>
        <v/>
      </c>
      <c r="G1937" s="94" t="str">
        <f t="shared" si="2"/>
        <v/>
      </c>
      <c r="H1937" s="94" t="str">
        <f t="shared" si="3"/>
        <v/>
      </c>
      <c r="I1937" s="94" t="str">
        <f t="shared" ref="I1937:J1937" si="1938">if(G1937 = "", , -G1937)</f>
        <v/>
      </c>
      <c r="J1937" s="94" t="str">
        <f t="shared" si="1938"/>
        <v/>
      </c>
      <c r="K1937" s="100"/>
      <c r="L1937" s="100"/>
      <c r="N1937" s="100"/>
      <c r="O1937" s="100"/>
      <c r="P1937" s="100"/>
    </row>
    <row r="1938">
      <c r="A1938" s="107">
        <v>203076.0</v>
      </c>
      <c r="B1938" s="108" t="s">
        <v>190</v>
      </c>
      <c r="C1938" s="108" t="s">
        <v>575</v>
      </c>
      <c r="D1938" s="112" t="s">
        <v>184</v>
      </c>
      <c r="E1938" s="112">
        <v>2707.5</v>
      </c>
      <c r="F1938" s="111" t="str">
        <f>DataPull!D1938</f>
        <v/>
      </c>
      <c r="G1938" s="94" t="str">
        <f t="shared" si="2"/>
        <v/>
      </c>
      <c r="H1938" s="94" t="str">
        <f t="shared" si="3"/>
        <v/>
      </c>
      <c r="I1938" s="94" t="str">
        <f t="shared" ref="I1938:J1938" si="1939">if(G1938 = "", , -G1938)</f>
        <v/>
      </c>
      <c r="J1938" s="94" t="str">
        <f t="shared" si="1939"/>
        <v/>
      </c>
      <c r="K1938" s="100"/>
      <c r="L1938" s="100"/>
      <c r="N1938" s="100"/>
      <c r="O1938" s="100"/>
      <c r="P1938" s="100"/>
    </row>
    <row r="1939">
      <c r="A1939" s="107">
        <v>203076.0</v>
      </c>
      <c r="B1939" s="108" t="s">
        <v>191</v>
      </c>
      <c r="C1939" s="108" t="s">
        <v>575</v>
      </c>
      <c r="D1939" s="112" t="s">
        <v>184</v>
      </c>
      <c r="E1939" s="112">
        <v>2730.0</v>
      </c>
      <c r="F1939" s="111" t="str">
        <f>DataPull!D1939</f>
        <v/>
      </c>
      <c r="G1939" s="94" t="str">
        <f t="shared" si="2"/>
        <v/>
      </c>
      <c r="H1939" s="94" t="str">
        <f t="shared" si="3"/>
        <v/>
      </c>
      <c r="I1939" s="94" t="str">
        <f t="shared" ref="I1939:J1939" si="1940">if(G1939 = "", , -G1939)</f>
        <v/>
      </c>
      <c r="J1939" s="94" t="str">
        <f t="shared" si="1940"/>
        <v/>
      </c>
      <c r="K1939" s="100"/>
      <c r="M1939" s="100"/>
      <c r="N1939" s="100"/>
      <c r="O1939" s="100"/>
      <c r="P1939" s="100"/>
    </row>
    <row r="1940">
      <c r="A1940" s="107">
        <v>203076.0</v>
      </c>
      <c r="B1940" s="108" t="s">
        <v>192</v>
      </c>
      <c r="C1940" s="108" t="s">
        <v>575</v>
      </c>
      <c r="D1940" s="112" t="s">
        <v>184</v>
      </c>
      <c r="E1940" s="112">
        <v>1848.0</v>
      </c>
      <c r="F1940" s="111" t="str">
        <f>DataPull!D1940</f>
        <v/>
      </c>
      <c r="G1940" s="94" t="str">
        <f t="shared" si="2"/>
        <v/>
      </c>
      <c r="H1940" s="94" t="str">
        <f t="shared" si="3"/>
        <v/>
      </c>
      <c r="I1940" s="94" t="str">
        <f t="shared" ref="I1940:J1940" si="1941">if(G1940 = "", , -G1940)</f>
        <v/>
      </c>
      <c r="J1940" s="94" t="str">
        <f t="shared" si="1941"/>
        <v/>
      </c>
      <c r="K1940" s="100"/>
      <c r="L1940" s="100"/>
      <c r="N1940" s="100"/>
      <c r="O1940" s="100"/>
      <c r="P1940" s="100"/>
    </row>
    <row r="1941">
      <c r="A1941" s="107">
        <v>203076.0</v>
      </c>
      <c r="B1941" s="108" t="s">
        <v>193</v>
      </c>
      <c r="C1941" s="108" t="s">
        <v>575</v>
      </c>
      <c r="D1941" s="112" t="s">
        <v>184</v>
      </c>
      <c r="E1941" s="112">
        <v>2132.8</v>
      </c>
      <c r="F1941" s="111" t="str">
        <f>DataPull!D1941</f>
        <v/>
      </c>
      <c r="G1941" s="94" t="str">
        <f t="shared" si="2"/>
        <v/>
      </c>
      <c r="H1941" s="94" t="str">
        <f t="shared" si="3"/>
        <v/>
      </c>
      <c r="I1941" s="94" t="str">
        <f t="shared" ref="I1941:J1941" si="1942">if(G1941 = "", , -G1941)</f>
        <v/>
      </c>
      <c r="J1941" s="94" t="str">
        <f t="shared" si="1942"/>
        <v/>
      </c>
      <c r="K1941" s="100"/>
      <c r="M1941" s="100"/>
      <c r="N1941" s="100"/>
      <c r="O1941" s="100"/>
      <c r="P1941" s="100"/>
    </row>
    <row r="1942">
      <c r="A1942" s="107">
        <v>203076.0</v>
      </c>
      <c r="B1942" s="108" t="s">
        <v>243</v>
      </c>
      <c r="C1942" s="108" t="s">
        <v>575</v>
      </c>
      <c r="D1942" s="112" t="s">
        <v>184</v>
      </c>
      <c r="E1942" s="112">
        <v>1162.8</v>
      </c>
      <c r="F1942" s="111" t="str">
        <f>DataPull!D1942</f>
        <v/>
      </c>
      <c r="G1942" s="94" t="str">
        <f t="shared" si="2"/>
        <v/>
      </c>
      <c r="H1942" s="94" t="str">
        <f t="shared" si="3"/>
        <v/>
      </c>
      <c r="I1942" s="94" t="str">
        <f t="shared" ref="I1942:J1942" si="1943">if(G1942 = "", , -G1942)</f>
        <v/>
      </c>
      <c r="J1942" s="94" t="str">
        <f t="shared" si="1943"/>
        <v/>
      </c>
      <c r="K1942" s="100"/>
      <c r="M1942" s="100"/>
      <c r="N1942" s="100"/>
      <c r="O1942" s="100"/>
      <c r="P1942" s="100"/>
    </row>
    <row r="1943">
      <c r="A1943" s="107">
        <v>203076.0</v>
      </c>
      <c r="B1943" s="108" t="s">
        <v>215</v>
      </c>
      <c r="C1943" s="108" t="s">
        <v>575</v>
      </c>
      <c r="D1943" s="112" t="s">
        <v>184</v>
      </c>
      <c r="E1943" s="112">
        <v>1404.0</v>
      </c>
      <c r="F1943" s="111" t="str">
        <f>DataPull!D1943</f>
        <v/>
      </c>
      <c r="G1943" s="94" t="str">
        <f t="shared" si="2"/>
        <v/>
      </c>
      <c r="H1943" s="94" t="str">
        <f t="shared" si="3"/>
        <v/>
      </c>
      <c r="I1943" s="94" t="str">
        <f t="shared" ref="I1943:J1943" si="1944">if(G1943 = "", , -G1943)</f>
        <v/>
      </c>
      <c r="J1943" s="94" t="str">
        <f t="shared" si="1944"/>
        <v/>
      </c>
      <c r="K1943" s="100"/>
      <c r="L1943" s="100"/>
      <c r="N1943" s="100"/>
      <c r="O1943" s="100"/>
      <c r="P1943" s="100"/>
    </row>
    <row r="1944">
      <c r="A1944" s="107">
        <v>203076.0</v>
      </c>
      <c r="B1944" s="108" t="s">
        <v>244</v>
      </c>
      <c r="C1944" s="108" t="s">
        <v>575</v>
      </c>
      <c r="D1944" s="112" t="s">
        <v>184</v>
      </c>
      <c r="E1944" s="112">
        <v>1904.0</v>
      </c>
      <c r="F1944" s="111" t="str">
        <f>DataPull!D1944</f>
        <v/>
      </c>
      <c r="G1944" s="94" t="str">
        <f t="shared" si="2"/>
        <v/>
      </c>
      <c r="H1944" s="94" t="str">
        <f t="shared" si="3"/>
        <v/>
      </c>
      <c r="I1944" s="94" t="str">
        <f t="shared" ref="I1944:J1944" si="1945">if(G1944 = "", , -G1944)</f>
        <v/>
      </c>
      <c r="J1944" s="94" t="str">
        <f t="shared" si="1945"/>
        <v/>
      </c>
      <c r="K1944" s="100"/>
      <c r="L1944" s="100"/>
      <c r="N1944" s="100"/>
      <c r="O1944" s="100"/>
      <c r="P1944" s="100"/>
    </row>
    <row r="1945">
      <c r="A1945" s="107">
        <v>203076.0</v>
      </c>
      <c r="B1945" s="108" t="s">
        <v>245</v>
      </c>
      <c r="C1945" s="108" t="s">
        <v>575</v>
      </c>
      <c r="D1945" s="112" t="s">
        <v>184</v>
      </c>
      <c r="E1945" s="112">
        <v>2698.0</v>
      </c>
      <c r="F1945" s="111" t="str">
        <f>DataPull!D1945</f>
        <v/>
      </c>
      <c r="G1945" s="94" t="str">
        <f t="shared" si="2"/>
        <v/>
      </c>
      <c r="H1945" s="94" t="str">
        <f t="shared" si="3"/>
        <v/>
      </c>
      <c r="I1945" s="94" t="str">
        <f t="shared" ref="I1945:J1945" si="1946">if(G1945 = "", , -G1945)</f>
        <v/>
      </c>
      <c r="J1945" s="94" t="str">
        <f t="shared" si="1946"/>
        <v/>
      </c>
      <c r="K1945" s="100"/>
      <c r="M1945" s="100"/>
      <c r="N1945" s="100"/>
      <c r="O1945" s="100"/>
      <c r="P1945" s="100"/>
    </row>
    <row r="1946">
      <c r="A1946" s="107">
        <v>203076.0</v>
      </c>
      <c r="B1946" s="108" t="s">
        <v>246</v>
      </c>
      <c r="C1946" s="108" t="s">
        <v>575</v>
      </c>
      <c r="D1946" s="112" t="s">
        <v>184</v>
      </c>
      <c r="E1946" s="112">
        <v>1703.4</v>
      </c>
      <c r="F1946" s="111" t="str">
        <f>DataPull!D1946</f>
        <v/>
      </c>
      <c r="G1946" s="94" t="str">
        <f t="shared" si="2"/>
        <v/>
      </c>
      <c r="H1946" s="94" t="str">
        <f t="shared" si="3"/>
        <v/>
      </c>
      <c r="I1946" s="94" t="str">
        <f t="shared" ref="I1946:J1946" si="1947">if(G1946 = "", , -G1946)</f>
        <v/>
      </c>
      <c r="J1946" s="94" t="str">
        <f t="shared" si="1947"/>
        <v/>
      </c>
      <c r="K1946" s="100"/>
      <c r="L1946" s="100"/>
      <c r="N1946" s="100"/>
      <c r="O1946" s="100"/>
      <c r="P1946" s="100"/>
    </row>
    <row r="1947">
      <c r="A1947" s="114">
        <v>203076.0</v>
      </c>
      <c r="B1947" s="113" t="s">
        <v>247</v>
      </c>
      <c r="C1947" s="113" t="s">
        <v>575</v>
      </c>
      <c r="D1947" s="112" t="s">
        <v>184</v>
      </c>
      <c r="E1947" s="112">
        <v>626.0</v>
      </c>
      <c r="F1947" s="111" t="str">
        <f>DataPull!D1947</f>
        <v/>
      </c>
      <c r="G1947" s="94" t="str">
        <f t="shared" si="2"/>
        <v/>
      </c>
      <c r="H1947" s="94" t="str">
        <f t="shared" si="3"/>
        <v/>
      </c>
      <c r="I1947" s="94" t="str">
        <f t="shared" ref="I1947:J1947" si="1948">if(G1947 = "", , -G1947)</f>
        <v/>
      </c>
      <c r="J1947" s="94" t="str">
        <f t="shared" si="1948"/>
        <v/>
      </c>
      <c r="K1947" s="100"/>
      <c r="M1947" s="100"/>
      <c r="N1947" s="100"/>
      <c r="O1947" s="100"/>
      <c r="P1947" s="100"/>
    </row>
    <row r="1948">
      <c r="A1948" s="107">
        <v>203077.0</v>
      </c>
      <c r="B1948" s="108" t="s">
        <v>85</v>
      </c>
      <c r="C1948" s="108" t="s">
        <v>576</v>
      </c>
      <c r="D1948" s="112" t="s">
        <v>178</v>
      </c>
      <c r="E1948" s="112">
        <v>1500.4</v>
      </c>
      <c r="F1948" s="111" t="str">
        <f>DataPull!D1948</f>
        <v/>
      </c>
      <c r="G1948" s="94" t="str">
        <f t="shared" si="2"/>
        <v/>
      </c>
      <c r="H1948" s="94" t="str">
        <f t="shared" si="3"/>
        <v/>
      </c>
      <c r="I1948" s="94" t="str">
        <f t="shared" ref="I1948:J1948" si="1949">if(G1948 = "", , -G1948)</f>
        <v/>
      </c>
      <c r="J1948" s="94" t="str">
        <f t="shared" si="1949"/>
        <v/>
      </c>
      <c r="K1948" s="100"/>
      <c r="N1948" s="100"/>
      <c r="O1948" s="100"/>
      <c r="P1948" s="100"/>
    </row>
    <row r="1949">
      <c r="A1949" s="107">
        <v>203077.0</v>
      </c>
      <c r="B1949" s="108" t="s">
        <v>90</v>
      </c>
      <c r="C1949" s="108" t="s">
        <v>576</v>
      </c>
      <c r="D1949" s="112" t="s">
        <v>178</v>
      </c>
      <c r="E1949" s="112">
        <v>1589.5</v>
      </c>
      <c r="F1949" s="111" t="str">
        <f>DataPull!D1949</f>
        <v/>
      </c>
      <c r="G1949" s="94" t="str">
        <f t="shared" si="2"/>
        <v/>
      </c>
      <c r="H1949" s="94" t="str">
        <f t="shared" si="3"/>
        <v/>
      </c>
      <c r="I1949" s="94" t="str">
        <f t="shared" ref="I1949:J1949" si="1950">if(G1949 = "", , -G1949)</f>
        <v/>
      </c>
      <c r="J1949" s="94" t="str">
        <f t="shared" si="1950"/>
        <v/>
      </c>
      <c r="K1949" s="100"/>
      <c r="M1949" s="100"/>
      <c r="N1949" s="100"/>
      <c r="O1949" s="100"/>
      <c r="P1949" s="100"/>
    </row>
    <row r="1950">
      <c r="A1950" s="107">
        <v>203077.0</v>
      </c>
      <c r="B1950" s="108" t="s">
        <v>92</v>
      </c>
      <c r="C1950" s="108" t="s">
        <v>576</v>
      </c>
      <c r="D1950" s="112" t="s">
        <v>181</v>
      </c>
      <c r="E1950" s="112">
        <v>204.4</v>
      </c>
      <c r="F1950" s="111" t="str">
        <f>DataPull!D1950</f>
        <v/>
      </c>
      <c r="G1950" s="94" t="str">
        <f t="shared" si="2"/>
        <v/>
      </c>
      <c r="H1950" s="94" t="str">
        <f t="shared" si="3"/>
        <v/>
      </c>
      <c r="I1950" s="94" t="str">
        <f t="shared" ref="I1950:J1950" si="1951">if(G1950 = "", , -G1950)</f>
        <v/>
      </c>
      <c r="J1950" s="94" t="str">
        <f t="shared" si="1951"/>
        <v/>
      </c>
      <c r="K1950" s="100"/>
      <c r="L1950" s="100"/>
      <c r="N1950" s="100"/>
      <c r="O1950" s="100"/>
      <c r="P1950" s="100"/>
    </row>
    <row r="1951">
      <c r="A1951" s="107">
        <v>203077.0</v>
      </c>
      <c r="B1951" s="108" t="s">
        <v>190</v>
      </c>
      <c r="C1951" s="108" t="s">
        <v>576</v>
      </c>
      <c r="D1951" s="112" t="s">
        <v>184</v>
      </c>
      <c r="E1951" s="112">
        <v>2349.0</v>
      </c>
      <c r="F1951" s="111" t="str">
        <f>DataPull!D1951</f>
        <v/>
      </c>
      <c r="G1951" s="94" t="str">
        <f t="shared" si="2"/>
        <v/>
      </c>
      <c r="H1951" s="94" t="str">
        <f t="shared" si="3"/>
        <v/>
      </c>
      <c r="I1951" s="94" t="str">
        <f t="shared" ref="I1951:J1951" si="1952">if(G1951 = "", , -G1951)</f>
        <v/>
      </c>
      <c r="J1951" s="94" t="str">
        <f t="shared" si="1952"/>
        <v/>
      </c>
      <c r="K1951" s="100"/>
      <c r="L1951" s="100"/>
      <c r="M1951" s="100"/>
      <c r="N1951" s="100"/>
      <c r="O1951" s="100"/>
      <c r="P1951" s="100"/>
    </row>
    <row r="1952">
      <c r="A1952" s="107">
        <v>203077.0</v>
      </c>
      <c r="B1952" s="108" t="s">
        <v>191</v>
      </c>
      <c r="C1952" s="108" t="s">
        <v>576</v>
      </c>
      <c r="D1952" s="112" t="s">
        <v>178</v>
      </c>
      <c r="E1952" s="112">
        <v>1850.0</v>
      </c>
      <c r="F1952" s="111" t="str">
        <f>DataPull!D1952</f>
        <v/>
      </c>
      <c r="G1952" s="94" t="str">
        <f t="shared" si="2"/>
        <v/>
      </c>
      <c r="H1952" s="94" t="str">
        <f t="shared" si="3"/>
        <v/>
      </c>
      <c r="I1952" s="94" t="str">
        <f t="shared" ref="I1952:J1952" si="1953">if(G1952 = "", , -G1952)</f>
        <v/>
      </c>
      <c r="J1952" s="94" t="str">
        <f t="shared" si="1953"/>
        <v/>
      </c>
      <c r="K1952" s="100"/>
      <c r="M1952" s="100"/>
      <c r="N1952" s="100"/>
      <c r="O1952" s="100"/>
      <c r="P1952" s="100"/>
    </row>
    <row r="1953">
      <c r="A1953" s="107">
        <v>203077.0</v>
      </c>
      <c r="B1953" s="108" t="s">
        <v>192</v>
      </c>
      <c r="C1953" s="108" t="s">
        <v>576</v>
      </c>
      <c r="D1953" s="112" t="s">
        <v>176</v>
      </c>
      <c r="E1953" s="112">
        <v>1177.6</v>
      </c>
      <c r="F1953" s="111" t="str">
        <f>DataPull!D1953</f>
        <v/>
      </c>
      <c r="G1953" s="94" t="str">
        <f t="shared" si="2"/>
        <v/>
      </c>
      <c r="H1953" s="94" t="str">
        <f t="shared" si="3"/>
        <v/>
      </c>
      <c r="I1953" s="94" t="str">
        <f t="shared" ref="I1953:J1953" si="1954">if(G1953 = "", , -G1953)</f>
        <v/>
      </c>
      <c r="J1953" s="94" t="str">
        <f t="shared" si="1954"/>
        <v/>
      </c>
      <c r="K1953" s="100"/>
      <c r="M1953" s="100"/>
      <c r="N1953" s="100"/>
      <c r="O1953" s="100"/>
      <c r="P1953" s="100"/>
    </row>
    <row r="1954">
      <c r="A1954" s="107">
        <v>203077.0</v>
      </c>
      <c r="B1954" s="108" t="s">
        <v>193</v>
      </c>
      <c r="C1954" s="108" t="s">
        <v>576</v>
      </c>
      <c r="D1954" s="112" t="s">
        <v>187</v>
      </c>
      <c r="E1954" s="112">
        <v>280.0</v>
      </c>
      <c r="F1954" s="111" t="str">
        <f>DataPull!D1954</f>
        <v/>
      </c>
      <c r="G1954" s="94" t="str">
        <f t="shared" si="2"/>
        <v/>
      </c>
      <c r="H1954" s="94" t="str">
        <f t="shared" si="3"/>
        <v/>
      </c>
      <c r="I1954" s="94" t="str">
        <f t="shared" ref="I1954:J1954" si="1955">if(G1954 = "", , -G1954)</f>
        <v/>
      </c>
      <c r="J1954" s="94" t="str">
        <f t="shared" si="1955"/>
        <v/>
      </c>
      <c r="K1954" s="100"/>
      <c r="M1954" s="100"/>
      <c r="N1954" s="100"/>
      <c r="O1954" s="100"/>
      <c r="P1954" s="100"/>
    </row>
    <row r="1955">
      <c r="A1955" s="107">
        <v>203078.0</v>
      </c>
      <c r="B1955" s="108" t="s">
        <v>85</v>
      </c>
      <c r="C1955" s="108" t="s">
        <v>577</v>
      </c>
      <c r="D1955" s="112" t="s">
        <v>178</v>
      </c>
      <c r="E1955" s="112">
        <v>2533.1</v>
      </c>
      <c r="F1955" s="111" t="str">
        <f>DataPull!D1955</f>
        <v/>
      </c>
      <c r="G1955" s="94" t="str">
        <f t="shared" si="2"/>
        <v/>
      </c>
      <c r="H1955" s="94" t="str">
        <f t="shared" si="3"/>
        <v/>
      </c>
      <c r="I1955" s="94" t="str">
        <f t="shared" ref="I1955:J1955" si="1956">if(G1955 = "", , -G1955)</f>
        <v/>
      </c>
      <c r="J1955" s="94" t="str">
        <f t="shared" si="1956"/>
        <v/>
      </c>
      <c r="K1955" s="100"/>
      <c r="M1955" s="100"/>
      <c r="N1955" s="100"/>
      <c r="O1955" s="100"/>
      <c r="P1955" s="100"/>
    </row>
    <row r="1956">
      <c r="A1956" s="107">
        <v>203078.0</v>
      </c>
      <c r="B1956" s="108" t="s">
        <v>90</v>
      </c>
      <c r="C1956" s="108" t="s">
        <v>577</v>
      </c>
      <c r="D1956" s="112" t="s">
        <v>178</v>
      </c>
      <c r="E1956" s="112">
        <v>2110.5</v>
      </c>
      <c r="F1956" s="111" t="str">
        <f>DataPull!D1956</f>
        <v/>
      </c>
      <c r="G1956" s="94" t="str">
        <f t="shared" si="2"/>
        <v/>
      </c>
      <c r="H1956" s="94" t="str">
        <f t="shared" si="3"/>
        <v/>
      </c>
      <c r="I1956" s="94" t="str">
        <f t="shared" ref="I1956:J1956" si="1957">if(G1956 = "", , -G1956)</f>
        <v/>
      </c>
      <c r="J1956" s="94" t="str">
        <f t="shared" si="1957"/>
        <v/>
      </c>
      <c r="K1956" s="100"/>
      <c r="M1956" s="100"/>
      <c r="N1956" s="100"/>
      <c r="O1956" s="100"/>
      <c r="P1956" s="100"/>
    </row>
    <row r="1957">
      <c r="A1957" s="107">
        <v>203078.0</v>
      </c>
      <c r="B1957" s="108" t="s">
        <v>92</v>
      </c>
      <c r="C1957" s="108" t="s">
        <v>577</v>
      </c>
      <c r="D1957" s="112" t="s">
        <v>178</v>
      </c>
      <c r="E1957" s="112">
        <v>1710.5</v>
      </c>
      <c r="F1957" s="111" t="str">
        <f>DataPull!D1957</f>
        <v/>
      </c>
      <c r="G1957" s="94" t="str">
        <f t="shared" si="2"/>
        <v/>
      </c>
      <c r="H1957" s="94" t="str">
        <f t="shared" si="3"/>
        <v/>
      </c>
      <c r="I1957" s="94" t="str">
        <f t="shared" ref="I1957:J1957" si="1958">if(G1957 = "", , -G1957)</f>
        <v/>
      </c>
      <c r="J1957" s="94" t="str">
        <f t="shared" si="1958"/>
        <v/>
      </c>
      <c r="K1957" s="100"/>
      <c r="L1957" s="100"/>
      <c r="M1957" s="100"/>
      <c r="N1957" s="100"/>
      <c r="O1957" s="100"/>
      <c r="P1957" s="100"/>
    </row>
    <row r="1958">
      <c r="A1958" s="107">
        <v>203078.0</v>
      </c>
      <c r="B1958" s="108" t="s">
        <v>190</v>
      </c>
      <c r="C1958" s="108" t="s">
        <v>577</v>
      </c>
      <c r="D1958" s="112" t="s">
        <v>184</v>
      </c>
      <c r="E1958" s="112">
        <v>2687.3</v>
      </c>
      <c r="F1958" s="111" t="str">
        <f>DataPull!D1958</f>
        <v/>
      </c>
      <c r="G1958" s="94" t="str">
        <f t="shared" si="2"/>
        <v/>
      </c>
      <c r="H1958" s="94" t="str">
        <f t="shared" si="3"/>
        <v/>
      </c>
      <c r="I1958" s="94" t="str">
        <f t="shared" ref="I1958:J1958" si="1959">if(G1958 = "", , -G1958)</f>
        <v/>
      </c>
      <c r="J1958" s="94" t="str">
        <f t="shared" si="1959"/>
        <v/>
      </c>
      <c r="K1958" s="100"/>
      <c r="M1958" s="100"/>
      <c r="N1958" s="100"/>
      <c r="O1958" s="100"/>
      <c r="P1958" s="100"/>
    </row>
    <row r="1959">
      <c r="A1959" s="107">
        <v>203078.0</v>
      </c>
      <c r="B1959" s="108" t="s">
        <v>191</v>
      </c>
      <c r="C1959" s="108" t="s">
        <v>577</v>
      </c>
      <c r="D1959" s="112" t="s">
        <v>184</v>
      </c>
      <c r="E1959" s="112">
        <v>2976.6</v>
      </c>
      <c r="F1959" s="111" t="str">
        <f>DataPull!D1959</f>
        <v/>
      </c>
      <c r="G1959" s="94" t="str">
        <f t="shared" si="2"/>
        <v/>
      </c>
      <c r="H1959" s="94" t="str">
        <f t="shared" si="3"/>
        <v/>
      </c>
      <c r="I1959" s="94" t="str">
        <f t="shared" ref="I1959:J1959" si="1960">if(G1959 = "", , -G1959)</f>
        <v/>
      </c>
      <c r="J1959" s="94" t="str">
        <f t="shared" si="1960"/>
        <v/>
      </c>
      <c r="K1959" s="100"/>
      <c r="M1959" s="100"/>
      <c r="N1959" s="100"/>
      <c r="O1959" s="100"/>
      <c r="P1959" s="100"/>
    </row>
    <row r="1960">
      <c r="A1960" s="107">
        <v>203078.0</v>
      </c>
      <c r="B1960" s="108" t="s">
        <v>192</v>
      </c>
      <c r="C1960" s="108" t="s">
        <v>577</v>
      </c>
      <c r="D1960" s="112" t="s">
        <v>184</v>
      </c>
      <c r="E1960" s="112">
        <v>3025.8</v>
      </c>
      <c r="F1960" s="111" t="str">
        <f>DataPull!D1960</f>
        <v/>
      </c>
      <c r="G1960" s="94" t="str">
        <f t="shared" si="2"/>
        <v/>
      </c>
      <c r="H1960" s="94" t="str">
        <f t="shared" si="3"/>
        <v/>
      </c>
      <c r="I1960" s="94" t="str">
        <f t="shared" ref="I1960:J1960" si="1961">if(G1960 = "", , -G1960)</f>
        <v/>
      </c>
      <c r="J1960" s="94" t="str">
        <f t="shared" si="1961"/>
        <v/>
      </c>
      <c r="K1960" s="100"/>
      <c r="L1960" s="100"/>
      <c r="M1960" s="100"/>
      <c r="N1960" s="100"/>
      <c r="O1960" s="100"/>
      <c r="P1960" s="100"/>
    </row>
    <row r="1961">
      <c r="A1961" s="107">
        <v>203078.0</v>
      </c>
      <c r="B1961" s="108" t="s">
        <v>193</v>
      </c>
      <c r="C1961" s="108" t="s">
        <v>577</v>
      </c>
      <c r="D1961" s="112" t="s">
        <v>184</v>
      </c>
      <c r="E1961" s="112">
        <v>2052.0</v>
      </c>
      <c r="F1961" s="111" t="str">
        <f>DataPull!D1961</f>
        <v/>
      </c>
      <c r="G1961" s="94" t="str">
        <f t="shared" si="2"/>
        <v/>
      </c>
      <c r="H1961" s="94" t="str">
        <f t="shared" si="3"/>
        <v/>
      </c>
      <c r="I1961" s="94" t="str">
        <f t="shared" ref="I1961:J1961" si="1962">if(G1961 = "", , -G1961)</f>
        <v/>
      </c>
      <c r="J1961" s="94" t="str">
        <f t="shared" si="1962"/>
        <v/>
      </c>
      <c r="K1961" s="100"/>
      <c r="M1961" s="100"/>
      <c r="N1961" s="100"/>
      <c r="O1961" s="100"/>
      <c r="P1961" s="100"/>
    </row>
    <row r="1962">
      <c r="A1962" s="107">
        <v>203078.0</v>
      </c>
      <c r="B1962" s="108" t="s">
        <v>243</v>
      </c>
      <c r="C1962" s="108" t="s">
        <v>577</v>
      </c>
      <c r="D1962" s="112" t="s">
        <v>184</v>
      </c>
      <c r="E1962" s="112">
        <v>2148.0</v>
      </c>
      <c r="F1962" s="111" t="str">
        <f>DataPull!D1962</f>
        <v/>
      </c>
      <c r="G1962" s="94" t="str">
        <f t="shared" si="2"/>
        <v/>
      </c>
      <c r="H1962" s="94" t="str">
        <f t="shared" si="3"/>
        <v/>
      </c>
      <c r="I1962" s="94" t="str">
        <f t="shared" ref="I1962:J1962" si="1963">if(G1962 = "", , -G1962)</f>
        <v/>
      </c>
      <c r="J1962" s="94" t="str">
        <f t="shared" si="1963"/>
        <v/>
      </c>
      <c r="K1962" s="100"/>
      <c r="M1962" s="100"/>
      <c r="N1962" s="100"/>
      <c r="O1962" s="100"/>
      <c r="P1962" s="100"/>
    </row>
    <row r="1963">
      <c r="A1963" s="107">
        <v>203078.0</v>
      </c>
      <c r="B1963" s="108" t="s">
        <v>215</v>
      </c>
      <c r="C1963" s="108" t="s">
        <v>577</v>
      </c>
      <c r="D1963" s="112" t="s">
        <v>184</v>
      </c>
      <c r="E1963" s="112">
        <v>1440.0</v>
      </c>
      <c r="F1963" s="111" t="str">
        <f>DataPull!D1963</f>
        <v/>
      </c>
      <c r="G1963" s="94" t="str">
        <f t="shared" si="2"/>
        <v/>
      </c>
      <c r="H1963" s="94" t="str">
        <f t="shared" si="3"/>
        <v/>
      </c>
      <c r="I1963" s="94" t="str">
        <f t="shared" ref="I1963:J1963" si="1964">if(G1963 = "", , -G1963)</f>
        <v/>
      </c>
      <c r="J1963" s="94" t="str">
        <f t="shared" si="1964"/>
        <v/>
      </c>
      <c r="K1963" s="100"/>
      <c r="M1963" s="100"/>
      <c r="N1963" s="100"/>
      <c r="O1963" s="100"/>
      <c r="P1963" s="100"/>
    </row>
    <row r="1964">
      <c r="A1964" s="107">
        <v>203078.0</v>
      </c>
      <c r="B1964" s="108" t="s">
        <v>244</v>
      </c>
      <c r="C1964" s="108" t="s">
        <v>577</v>
      </c>
      <c r="D1964" s="112" t="s">
        <v>184</v>
      </c>
      <c r="E1964" s="112">
        <v>1675.0</v>
      </c>
      <c r="F1964" s="111" t="str">
        <f>DataPull!D1964</f>
        <v/>
      </c>
      <c r="G1964" s="94" t="str">
        <f t="shared" si="2"/>
        <v/>
      </c>
      <c r="H1964" s="94" t="str">
        <f t="shared" si="3"/>
        <v/>
      </c>
      <c r="I1964" s="94" t="str">
        <f t="shared" ref="I1964:J1964" si="1965">if(G1964 = "", , -G1964)</f>
        <v/>
      </c>
      <c r="J1964" s="94" t="str">
        <f t="shared" si="1965"/>
        <v/>
      </c>
      <c r="K1964" s="100"/>
      <c r="M1964" s="100"/>
      <c r="N1964" s="100"/>
      <c r="O1964" s="100"/>
      <c r="P1964" s="100"/>
    </row>
    <row r="1965">
      <c r="A1965" s="107">
        <v>203078.0</v>
      </c>
      <c r="B1965" s="108" t="s">
        <v>245</v>
      </c>
      <c r="C1965" s="108" t="s">
        <v>577</v>
      </c>
      <c r="D1965" s="112" t="s">
        <v>178</v>
      </c>
      <c r="E1965" s="112">
        <v>1764.9</v>
      </c>
      <c r="F1965" s="111" t="str">
        <f>DataPull!D1965</f>
        <v/>
      </c>
      <c r="G1965" s="94" t="str">
        <f t="shared" si="2"/>
        <v/>
      </c>
      <c r="H1965" s="94" t="str">
        <f t="shared" si="3"/>
        <v/>
      </c>
      <c r="I1965" s="94" t="str">
        <f t="shared" ref="I1965:J1965" si="1966">if(G1965 = "", , -G1965)</f>
        <v/>
      </c>
      <c r="J1965" s="94" t="str">
        <f t="shared" si="1966"/>
        <v/>
      </c>
      <c r="K1965" s="100"/>
      <c r="M1965" s="100"/>
      <c r="N1965" s="100"/>
      <c r="O1965" s="100"/>
      <c r="P1965" s="100"/>
    </row>
    <row r="1966">
      <c r="A1966" s="107">
        <v>203078.0</v>
      </c>
      <c r="B1966" s="108" t="s">
        <v>246</v>
      </c>
      <c r="C1966" s="108" t="s">
        <v>577</v>
      </c>
      <c r="D1966" s="112" t="s">
        <v>178</v>
      </c>
      <c r="E1966" s="112">
        <v>1701.3</v>
      </c>
      <c r="F1966" s="111" t="str">
        <f>DataPull!D1966</f>
        <v/>
      </c>
      <c r="G1966" s="94" t="str">
        <f t="shared" si="2"/>
        <v/>
      </c>
      <c r="H1966" s="94" t="str">
        <f t="shared" si="3"/>
        <v/>
      </c>
      <c r="I1966" s="94" t="str">
        <f t="shared" ref="I1966:J1966" si="1967">if(G1966 = "", , -G1966)</f>
        <v/>
      </c>
      <c r="J1966" s="94" t="str">
        <f t="shared" si="1967"/>
        <v/>
      </c>
      <c r="K1966" s="100"/>
      <c r="M1966" s="100"/>
      <c r="N1966" s="100"/>
      <c r="O1966" s="100"/>
      <c r="P1966" s="100"/>
    </row>
    <row r="1967">
      <c r="A1967" s="114">
        <v>203078.0</v>
      </c>
      <c r="B1967" s="113" t="s">
        <v>247</v>
      </c>
      <c r="C1967" s="113" t="s">
        <v>577</v>
      </c>
      <c r="D1967" s="112" t="s">
        <v>177</v>
      </c>
      <c r="E1967" s="112">
        <v>121.2</v>
      </c>
      <c r="F1967" s="111" t="str">
        <f>DataPull!D1967</f>
        <v/>
      </c>
      <c r="G1967" s="94" t="str">
        <f t="shared" si="2"/>
        <v/>
      </c>
      <c r="H1967" s="94" t="str">
        <f t="shared" si="3"/>
        <v/>
      </c>
      <c r="I1967" s="94" t="str">
        <f t="shared" ref="I1967:J1967" si="1968">if(G1967 = "", , -G1967)</f>
        <v/>
      </c>
      <c r="J1967" s="94" t="str">
        <f t="shared" si="1968"/>
        <v/>
      </c>
      <c r="K1967" s="100"/>
      <c r="L1967" s="100"/>
      <c r="M1967" s="100"/>
      <c r="N1967" s="100"/>
      <c r="O1967" s="100"/>
    </row>
    <row r="1968">
      <c r="A1968" s="107">
        <v>203079.0</v>
      </c>
      <c r="B1968" s="108" t="s">
        <v>85</v>
      </c>
      <c r="C1968" s="108" t="s">
        <v>578</v>
      </c>
      <c r="D1968" s="112" t="s">
        <v>178</v>
      </c>
      <c r="E1968" s="112">
        <v>2072.0</v>
      </c>
      <c r="F1968" s="111" t="str">
        <f>DataPull!D1968</f>
        <v/>
      </c>
      <c r="G1968" s="94" t="str">
        <f t="shared" si="2"/>
        <v/>
      </c>
      <c r="H1968" s="94" t="str">
        <f t="shared" si="3"/>
        <v/>
      </c>
      <c r="I1968" s="94" t="str">
        <f t="shared" ref="I1968:J1968" si="1969">if(G1968 = "", , -G1968)</f>
        <v/>
      </c>
      <c r="J1968" s="94" t="str">
        <f t="shared" si="1969"/>
        <v/>
      </c>
      <c r="K1968" s="100"/>
      <c r="M1968" s="100"/>
      <c r="N1968" s="100"/>
      <c r="O1968" s="100"/>
      <c r="P1968" s="100"/>
    </row>
    <row r="1969">
      <c r="A1969" s="107">
        <v>203079.0</v>
      </c>
      <c r="B1969" s="108" t="s">
        <v>90</v>
      </c>
      <c r="C1969" s="108" t="s">
        <v>578</v>
      </c>
      <c r="D1969" s="112" t="s">
        <v>178</v>
      </c>
      <c r="E1969" s="112">
        <v>2208.0</v>
      </c>
      <c r="F1969" s="111" t="str">
        <f>DataPull!D1969</f>
        <v/>
      </c>
      <c r="G1969" s="94" t="str">
        <f t="shared" si="2"/>
        <v/>
      </c>
      <c r="H1969" s="94" t="str">
        <f t="shared" si="3"/>
        <v/>
      </c>
      <c r="I1969" s="94" t="str">
        <f t="shared" ref="I1969:J1969" si="1970">if(G1969 = "", , -G1969)</f>
        <v/>
      </c>
      <c r="J1969" s="94" t="str">
        <f t="shared" si="1970"/>
        <v/>
      </c>
      <c r="K1969" s="100"/>
      <c r="M1969" s="100"/>
      <c r="N1969" s="100"/>
      <c r="O1969" s="100"/>
      <c r="P1969" s="100"/>
    </row>
    <row r="1970">
      <c r="A1970" s="107">
        <v>203079.0</v>
      </c>
      <c r="B1970" s="108" t="s">
        <v>92</v>
      </c>
      <c r="C1970" s="108" t="s">
        <v>578</v>
      </c>
      <c r="D1970" s="112" t="s">
        <v>178</v>
      </c>
      <c r="E1970" s="112">
        <v>2152.8</v>
      </c>
      <c r="F1970" s="111" t="str">
        <f>DataPull!D1970</f>
        <v/>
      </c>
      <c r="G1970" s="94" t="str">
        <f t="shared" si="2"/>
        <v/>
      </c>
      <c r="H1970" s="94" t="str">
        <f t="shared" si="3"/>
        <v/>
      </c>
      <c r="I1970" s="94" t="str">
        <f t="shared" ref="I1970:J1970" si="1971">if(G1970 = "", , -G1970)</f>
        <v/>
      </c>
      <c r="J1970" s="94" t="str">
        <f t="shared" si="1971"/>
        <v/>
      </c>
      <c r="K1970" s="100"/>
      <c r="M1970" s="100"/>
      <c r="N1970" s="100"/>
      <c r="O1970" s="100"/>
      <c r="P1970" s="100"/>
    </row>
    <row r="1971">
      <c r="A1971" s="107">
        <v>203079.0</v>
      </c>
      <c r="B1971" s="108" t="s">
        <v>190</v>
      </c>
      <c r="C1971" s="108" t="s">
        <v>578</v>
      </c>
      <c r="D1971" s="112" t="s">
        <v>178</v>
      </c>
      <c r="E1971" s="112">
        <v>1384.6</v>
      </c>
      <c r="F1971" s="111" t="str">
        <f>DataPull!D1971</f>
        <v/>
      </c>
      <c r="G1971" s="94" t="str">
        <f t="shared" si="2"/>
        <v/>
      </c>
      <c r="H1971" s="94" t="str">
        <f t="shared" si="3"/>
        <v/>
      </c>
      <c r="I1971" s="94" t="str">
        <f t="shared" ref="I1971:J1971" si="1972">if(G1971 = "", , -G1971)</f>
        <v/>
      </c>
      <c r="J1971" s="94" t="str">
        <f t="shared" si="1972"/>
        <v/>
      </c>
      <c r="K1971" s="100"/>
      <c r="L1971" s="100"/>
      <c r="M1971" s="100"/>
      <c r="N1971" s="100"/>
      <c r="O1971" s="100"/>
    </row>
    <row r="1972">
      <c r="A1972" s="107">
        <v>203079.0</v>
      </c>
      <c r="B1972" s="108" t="s">
        <v>191</v>
      </c>
      <c r="C1972" s="108" t="s">
        <v>578</v>
      </c>
      <c r="D1972" s="112" t="s">
        <v>178</v>
      </c>
      <c r="E1972" s="112">
        <v>918.0</v>
      </c>
      <c r="F1972" s="111" t="str">
        <f>DataPull!D1972</f>
        <v/>
      </c>
      <c r="G1972" s="94" t="str">
        <f t="shared" si="2"/>
        <v/>
      </c>
      <c r="H1972" s="94" t="str">
        <f t="shared" si="3"/>
        <v/>
      </c>
      <c r="I1972" s="94" t="str">
        <f t="shared" ref="I1972:J1972" si="1973">if(G1972 = "", , -G1972)</f>
        <v/>
      </c>
      <c r="J1972" s="94" t="str">
        <f t="shared" si="1973"/>
        <v/>
      </c>
      <c r="K1972" s="100"/>
      <c r="M1972" s="100"/>
      <c r="N1972" s="100"/>
      <c r="O1972" s="100"/>
      <c r="P1972" s="100"/>
    </row>
    <row r="1973">
      <c r="A1973" s="107">
        <v>203079.0</v>
      </c>
      <c r="B1973" s="108" t="s">
        <v>192</v>
      </c>
      <c r="C1973" s="108" t="s">
        <v>578</v>
      </c>
      <c r="D1973" s="112" t="s">
        <v>178</v>
      </c>
      <c r="E1973" s="112">
        <v>1139.6</v>
      </c>
      <c r="F1973" s="111" t="str">
        <f>DataPull!D1973</f>
        <v/>
      </c>
      <c r="G1973" s="94" t="str">
        <f t="shared" si="2"/>
        <v/>
      </c>
      <c r="H1973" s="94" t="str">
        <f t="shared" si="3"/>
        <v/>
      </c>
      <c r="I1973" s="94" t="str">
        <f t="shared" ref="I1973:J1973" si="1974">if(G1973 = "", , -G1973)</f>
        <v/>
      </c>
      <c r="J1973" s="94" t="str">
        <f t="shared" si="1974"/>
        <v/>
      </c>
      <c r="K1973" s="100"/>
      <c r="M1973" s="100"/>
      <c r="N1973" s="100"/>
      <c r="O1973" s="100"/>
      <c r="P1973" s="100"/>
    </row>
    <row r="1974">
      <c r="A1974" s="107">
        <v>203079.0</v>
      </c>
      <c r="B1974" s="108" t="s">
        <v>193</v>
      </c>
      <c r="C1974" s="108" t="s">
        <v>578</v>
      </c>
      <c r="D1974" s="112" t="s">
        <v>181</v>
      </c>
      <c r="E1974" s="112">
        <v>207.0</v>
      </c>
      <c r="F1974" s="111" t="str">
        <f>DataPull!D1974</f>
        <v/>
      </c>
      <c r="G1974" s="94" t="str">
        <f t="shared" si="2"/>
        <v/>
      </c>
      <c r="H1974" s="94" t="str">
        <f t="shared" si="3"/>
        <v/>
      </c>
      <c r="I1974" s="94" t="str">
        <f t="shared" ref="I1974:J1974" si="1975">if(G1974 = "", , -G1974)</f>
        <v/>
      </c>
      <c r="J1974" s="94" t="str">
        <f t="shared" si="1975"/>
        <v/>
      </c>
      <c r="K1974" s="100"/>
      <c r="M1974" s="100"/>
      <c r="N1974" s="100"/>
      <c r="O1974" s="100"/>
      <c r="P1974" s="100"/>
    </row>
    <row r="1975">
      <c r="A1975" s="107">
        <v>203080.0</v>
      </c>
      <c r="B1975" s="108" t="s">
        <v>85</v>
      </c>
      <c r="C1975" s="108" t="s">
        <v>579</v>
      </c>
      <c r="D1975" s="112" t="s">
        <v>187</v>
      </c>
      <c r="E1975" s="112">
        <v>875.0</v>
      </c>
      <c r="F1975" s="111" t="str">
        <f>DataPull!D1975</f>
        <v/>
      </c>
      <c r="G1975" s="94" t="str">
        <f t="shared" si="2"/>
        <v/>
      </c>
      <c r="H1975" s="94" t="str">
        <f t="shared" si="3"/>
        <v/>
      </c>
      <c r="I1975" s="94" t="str">
        <f t="shared" ref="I1975:J1975" si="1976">if(G1975 = "", , -G1975)</f>
        <v/>
      </c>
      <c r="J1975" s="94" t="str">
        <f t="shared" si="1976"/>
        <v/>
      </c>
      <c r="K1975" s="100"/>
      <c r="M1975" s="100"/>
      <c r="N1975" s="100"/>
      <c r="O1975" s="100"/>
      <c r="P1975" s="100"/>
    </row>
    <row r="1976">
      <c r="A1976" s="107">
        <v>203080.0</v>
      </c>
      <c r="B1976" s="108" t="s">
        <v>90</v>
      </c>
      <c r="C1976" s="108" t="s">
        <v>579</v>
      </c>
      <c r="D1976" s="112" t="s">
        <v>177</v>
      </c>
      <c r="E1976" s="112">
        <v>799.2</v>
      </c>
      <c r="F1976" s="111" t="str">
        <f>DataPull!D1976</f>
        <v/>
      </c>
      <c r="G1976" s="94" t="str">
        <f t="shared" si="2"/>
        <v/>
      </c>
      <c r="H1976" s="94" t="str">
        <f t="shared" si="3"/>
        <v/>
      </c>
      <c r="I1976" s="94" t="str">
        <f t="shared" ref="I1976:J1976" si="1977">if(G1976 = "", , -G1976)</f>
        <v/>
      </c>
      <c r="J1976" s="94" t="str">
        <f t="shared" si="1977"/>
        <v/>
      </c>
      <c r="K1976" s="100"/>
      <c r="M1976" s="100"/>
      <c r="N1976" s="100"/>
      <c r="O1976" s="100"/>
      <c r="P1976" s="100"/>
    </row>
    <row r="1977">
      <c r="A1977" s="107">
        <v>203080.0</v>
      </c>
      <c r="B1977" s="108" t="s">
        <v>92</v>
      </c>
      <c r="C1977" s="108" t="s">
        <v>579</v>
      </c>
      <c r="D1977" s="112" t="s">
        <v>177</v>
      </c>
      <c r="E1977" s="112">
        <v>915.9</v>
      </c>
      <c r="F1977" s="111" t="str">
        <f>DataPull!D1977</f>
        <v/>
      </c>
      <c r="G1977" s="94" t="str">
        <f t="shared" si="2"/>
        <v/>
      </c>
      <c r="H1977" s="94" t="str">
        <f t="shared" si="3"/>
        <v/>
      </c>
      <c r="I1977" s="94" t="str">
        <f t="shared" ref="I1977:J1977" si="1978">if(G1977 = "", , -G1977)</f>
        <v/>
      </c>
      <c r="J1977" s="94" t="str">
        <f t="shared" si="1978"/>
        <v/>
      </c>
      <c r="K1977" s="100"/>
      <c r="M1977" s="100"/>
      <c r="N1977" s="100"/>
      <c r="O1977" s="100"/>
      <c r="P1977" s="100"/>
    </row>
    <row r="1978">
      <c r="A1978" s="107">
        <v>203080.0</v>
      </c>
      <c r="B1978" s="108" t="s">
        <v>190</v>
      </c>
      <c r="C1978" s="108" t="s">
        <v>579</v>
      </c>
      <c r="D1978" s="112" t="s">
        <v>177</v>
      </c>
      <c r="E1978" s="112">
        <v>561.6</v>
      </c>
      <c r="F1978" s="111" t="str">
        <f>DataPull!D1978</f>
        <v/>
      </c>
      <c r="G1978" s="94" t="str">
        <f t="shared" si="2"/>
        <v/>
      </c>
      <c r="H1978" s="94" t="str">
        <f t="shared" si="3"/>
        <v/>
      </c>
      <c r="I1978" s="94" t="str">
        <f t="shared" ref="I1978:J1978" si="1979">if(G1978 = "", , -G1978)</f>
        <v/>
      </c>
      <c r="J1978" s="94" t="str">
        <f t="shared" si="1979"/>
        <v/>
      </c>
      <c r="K1978" s="100"/>
      <c r="M1978" s="100"/>
      <c r="N1978" s="100"/>
      <c r="O1978" s="100"/>
      <c r="P1978" s="100"/>
    </row>
    <row r="1979">
      <c r="A1979" s="107">
        <v>203081.0</v>
      </c>
      <c r="B1979" s="108" t="s">
        <v>85</v>
      </c>
      <c r="C1979" s="108" t="s">
        <v>580</v>
      </c>
      <c r="D1979" s="112" t="s">
        <v>178</v>
      </c>
      <c r="E1979" s="112">
        <v>2935.6</v>
      </c>
      <c r="F1979" s="111" t="str">
        <f>DataPull!D1979</f>
        <v/>
      </c>
      <c r="G1979" s="94" t="str">
        <f t="shared" si="2"/>
        <v/>
      </c>
      <c r="H1979" s="94" t="str">
        <f t="shared" si="3"/>
        <v/>
      </c>
      <c r="I1979" s="94" t="str">
        <f t="shared" ref="I1979:J1979" si="1980">if(G1979 = "", , -G1979)</f>
        <v/>
      </c>
      <c r="J1979" s="94" t="str">
        <f t="shared" si="1980"/>
        <v/>
      </c>
      <c r="K1979" s="100"/>
      <c r="M1979" s="100"/>
      <c r="N1979" s="100"/>
      <c r="O1979" s="100"/>
      <c r="P1979" s="100"/>
    </row>
    <row r="1980">
      <c r="A1980" s="107">
        <v>203081.0</v>
      </c>
      <c r="B1980" s="108" t="s">
        <v>90</v>
      </c>
      <c r="C1980" s="108" t="s">
        <v>580</v>
      </c>
      <c r="D1980" s="112" t="s">
        <v>184</v>
      </c>
      <c r="E1980" s="112">
        <v>2927.4</v>
      </c>
      <c r="F1980" s="111" t="str">
        <f>DataPull!D1980</f>
        <v/>
      </c>
      <c r="G1980" s="94" t="str">
        <f t="shared" si="2"/>
        <v/>
      </c>
      <c r="H1980" s="94" t="str">
        <f t="shared" si="3"/>
        <v/>
      </c>
      <c r="I1980" s="94" t="str">
        <f t="shared" ref="I1980:J1980" si="1981">if(G1980 = "", , -G1980)</f>
        <v/>
      </c>
      <c r="J1980" s="94" t="str">
        <f t="shared" si="1981"/>
        <v/>
      </c>
      <c r="K1980" s="100"/>
      <c r="M1980" s="100"/>
      <c r="N1980" s="100"/>
      <c r="O1980" s="100"/>
      <c r="P1980" s="100"/>
    </row>
    <row r="1981">
      <c r="A1981" s="107">
        <v>203081.0</v>
      </c>
      <c r="B1981" s="108" t="s">
        <v>92</v>
      </c>
      <c r="C1981" s="108" t="s">
        <v>580</v>
      </c>
      <c r="D1981" s="112" t="s">
        <v>178</v>
      </c>
      <c r="E1981" s="112">
        <v>2677.5</v>
      </c>
      <c r="F1981" s="111" t="str">
        <f>DataPull!D1981</f>
        <v/>
      </c>
      <c r="G1981" s="94" t="str">
        <f t="shared" si="2"/>
        <v/>
      </c>
      <c r="H1981" s="94" t="str">
        <f t="shared" si="3"/>
        <v/>
      </c>
      <c r="I1981" s="94" t="str">
        <f t="shared" ref="I1981:J1981" si="1982">if(G1981 = "", , -G1981)</f>
        <v/>
      </c>
      <c r="J1981" s="94" t="str">
        <f t="shared" si="1982"/>
        <v/>
      </c>
      <c r="K1981" s="100"/>
      <c r="L1981" s="100"/>
      <c r="M1981" s="100"/>
      <c r="N1981" s="100"/>
      <c r="O1981" s="100"/>
      <c r="P1981" s="100"/>
    </row>
    <row r="1982">
      <c r="A1982" s="107">
        <v>203081.0</v>
      </c>
      <c r="B1982" s="108" t="s">
        <v>190</v>
      </c>
      <c r="C1982" s="108" t="s">
        <v>580</v>
      </c>
      <c r="D1982" s="112" t="s">
        <v>184</v>
      </c>
      <c r="E1982" s="112">
        <v>2692.5</v>
      </c>
      <c r="F1982" s="111" t="str">
        <f>DataPull!D1982</f>
        <v/>
      </c>
      <c r="G1982" s="94" t="str">
        <f t="shared" si="2"/>
        <v/>
      </c>
      <c r="H1982" s="94" t="str">
        <f t="shared" si="3"/>
        <v/>
      </c>
      <c r="I1982" s="94" t="str">
        <f t="shared" ref="I1982:J1982" si="1983">if(G1982 = "", , -G1982)</f>
        <v/>
      </c>
      <c r="J1982" s="94" t="str">
        <f t="shared" si="1983"/>
        <v/>
      </c>
      <c r="K1982" s="100"/>
      <c r="M1982" s="100"/>
      <c r="N1982" s="100"/>
      <c r="O1982" s="100"/>
      <c r="P1982" s="100"/>
    </row>
    <row r="1983">
      <c r="A1983" s="107">
        <v>203081.0</v>
      </c>
      <c r="B1983" s="108" t="s">
        <v>191</v>
      </c>
      <c r="C1983" s="108" t="s">
        <v>580</v>
      </c>
      <c r="D1983" s="112" t="s">
        <v>184</v>
      </c>
      <c r="E1983" s="112">
        <v>2671.8</v>
      </c>
      <c r="F1983" s="111" t="str">
        <f>DataPull!D1983</f>
        <v/>
      </c>
      <c r="G1983" s="94" t="str">
        <f t="shared" si="2"/>
        <v/>
      </c>
      <c r="H1983" s="94" t="str">
        <f t="shared" si="3"/>
        <v/>
      </c>
      <c r="I1983" s="94" t="str">
        <f t="shared" ref="I1983:J1983" si="1984">if(G1983 = "", , -G1983)</f>
        <v/>
      </c>
      <c r="J1983" s="94" t="str">
        <f t="shared" si="1984"/>
        <v/>
      </c>
      <c r="K1983" s="100"/>
      <c r="M1983" s="100"/>
      <c r="N1983" s="100"/>
      <c r="O1983" s="100"/>
      <c r="P1983" s="100"/>
    </row>
    <row r="1984">
      <c r="A1984" s="107">
        <v>203081.0</v>
      </c>
      <c r="B1984" s="108" t="s">
        <v>192</v>
      </c>
      <c r="C1984" s="108" t="s">
        <v>580</v>
      </c>
      <c r="D1984" s="112" t="s">
        <v>184</v>
      </c>
      <c r="E1984" s="112">
        <v>2840.0</v>
      </c>
      <c r="F1984" s="111" t="str">
        <f>DataPull!D1984</f>
        <v/>
      </c>
      <c r="G1984" s="94" t="str">
        <f t="shared" si="2"/>
        <v/>
      </c>
      <c r="H1984" s="94" t="str">
        <f t="shared" si="3"/>
        <v/>
      </c>
      <c r="I1984" s="94" t="str">
        <f t="shared" ref="I1984:J1984" si="1985">if(G1984 = "", , -G1984)</f>
        <v/>
      </c>
      <c r="J1984" s="94" t="str">
        <f t="shared" si="1985"/>
        <v/>
      </c>
      <c r="K1984" s="100"/>
      <c r="M1984" s="100"/>
      <c r="N1984" s="100"/>
      <c r="O1984" s="100"/>
      <c r="P1984" s="100"/>
    </row>
    <row r="1985">
      <c r="A1985" s="107">
        <v>203081.0</v>
      </c>
      <c r="B1985" s="108" t="s">
        <v>193</v>
      </c>
      <c r="C1985" s="108" t="s">
        <v>580</v>
      </c>
      <c r="D1985" s="112" t="s">
        <v>184</v>
      </c>
      <c r="E1985" s="112">
        <v>2475.0</v>
      </c>
      <c r="F1985" s="111" t="str">
        <f>DataPull!D1985</f>
        <v/>
      </c>
      <c r="G1985" s="94" t="str">
        <f t="shared" si="2"/>
        <v/>
      </c>
      <c r="H1985" s="94" t="str">
        <f t="shared" si="3"/>
        <v/>
      </c>
      <c r="I1985" s="94" t="str">
        <f t="shared" ref="I1985:J1985" si="1986">if(G1985 = "", , -G1985)</f>
        <v/>
      </c>
      <c r="J1985" s="94" t="str">
        <f t="shared" si="1986"/>
        <v/>
      </c>
      <c r="K1985" s="100"/>
      <c r="M1985" s="100"/>
      <c r="N1985" s="100"/>
      <c r="O1985" s="100"/>
      <c r="P1985" s="100"/>
    </row>
    <row r="1986">
      <c r="A1986" s="107">
        <v>203081.0</v>
      </c>
      <c r="B1986" s="108" t="s">
        <v>243</v>
      </c>
      <c r="C1986" s="108" t="s">
        <v>580</v>
      </c>
      <c r="D1986" s="112" t="s">
        <v>184</v>
      </c>
      <c r="E1986" s="112">
        <v>2398.6</v>
      </c>
      <c r="F1986" s="111" t="str">
        <f>DataPull!D1986</f>
        <v/>
      </c>
      <c r="G1986" s="94" t="str">
        <f t="shared" si="2"/>
        <v/>
      </c>
      <c r="H1986" s="94" t="str">
        <f t="shared" si="3"/>
        <v/>
      </c>
      <c r="I1986" s="94" t="str">
        <f t="shared" ref="I1986:J1986" si="1987">if(G1986 = "", , -G1986)</f>
        <v/>
      </c>
      <c r="J1986" s="94" t="str">
        <f t="shared" si="1987"/>
        <v/>
      </c>
      <c r="K1986" s="100"/>
      <c r="M1986" s="100"/>
      <c r="N1986" s="100"/>
      <c r="O1986" s="100"/>
      <c r="P1986" s="100"/>
    </row>
    <row r="1987">
      <c r="A1987" s="107">
        <v>203081.0</v>
      </c>
      <c r="B1987" s="108" t="s">
        <v>215</v>
      </c>
      <c r="C1987" s="108" t="s">
        <v>580</v>
      </c>
      <c r="D1987" s="112" t="s">
        <v>184</v>
      </c>
      <c r="E1987" s="112">
        <v>1055.6</v>
      </c>
      <c r="F1987" s="111" t="str">
        <f>DataPull!D1987</f>
        <v/>
      </c>
      <c r="G1987" s="94" t="str">
        <f t="shared" si="2"/>
        <v/>
      </c>
      <c r="H1987" s="94" t="str">
        <f t="shared" si="3"/>
        <v/>
      </c>
      <c r="I1987" s="94" t="str">
        <f t="shared" ref="I1987:J1987" si="1988">if(G1987 = "", , -G1987)</f>
        <v/>
      </c>
      <c r="J1987" s="94" t="str">
        <f t="shared" si="1988"/>
        <v/>
      </c>
      <c r="K1987" s="100"/>
      <c r="M1987" s="100"/>
      <c r="N1987" s="100"/>
      <c r="O1987" s="100"/>
      <c r="P1987" s="100"/>
    </row>
    <row r="1988">
      <c r="A1988" s="107">
        <v>203081.0</v>
      </c>
      <c r="B1988" s="108" t="s">
        <v>244</v>
      </c>
      <c r="C1988" s="108" t="s">
        <v>580</v>
      </c>
      <c r="D1988" s="112" t="s">
        <v>184</v>
      </c>
      <c r="E1988" s="112">
        <v>2105.4</v>
      </c>
      <c r="F1988" s="111" t="str">
        <f>DataPull!D1988</f>
        <v/>
      </c>
      <c r="G1988" s="94" t="str">
        <f t="shared" si="2"/>
        <v/>
      </c>
      <c r="H1988" s="94" t="str">
        <f t="shared" si="3"/>
        <v/>
      </c>
      <c r="I1988" s="94" t="str">
        <f t="shared" ref="I1988:J1988" si="1989">if(G1988 = "", , -G1988)</f>
        <v/>
      </c>
      <c r="J1988" s="94" t="str">
        <f t="shared" si="1989"/>
        <v/>
      </c>
      <c r="K1988" s="100"/>
      <c r="L1988" s="100"/>
      <c r="M1988" s="100"/>
      <c r="N1988" s="100"/>
      <c r="O1988" s="100"/>
      <c r="P1988" s="100"/>
    </row>
    <row r="1989">
      <c r="A1989" s="107">
        <v>203081.0</v>
      </c>
      <c r="B1989" s="108" t="s">
        <v>245</v>
      </c>
      <c r="C1989" s="108" t="s">
        <v>580</v>
      </c>
      <c r="D1989" s="112" t="s">
        <v>184</v>
      </c>
      <c r="E1989" s="112">
        <v>2576.9</v>
      </c>
      <c r="F1989" s="111" t="str">
        <f>DataPull!D1989</f>
        <v/>
      </c>
      <c r="G1989" s="94" t="str">
        <f t="shared" si="2"/>
        <v/>
      </c>
      <c r="H1989" s="94" t="str">
        <f t="shared" si="3"/>
        <v/>
      </c>
      <c r="I1989" s="94" t="str">
        <f t="shared" ref="I1989:J1989" si="1990">if(G1989 = "", , -G1989)</f>
        <v/>
      </c>
      <c r="J1989" s="94" t="str">
        <f t="shared" si="1990"/>
        <v/>
      </c>
      <c r="L1989" s="100"/>
      <c r="M1989" s="100"/>
      <c r="N1989" s="100"/>
      <c r="O1989" s="100"/>
      <c r="P1989" s="100"/>
    </row>
    <row r="1990">
      <c r="A1990" s="107">
        <v>203081.0</v>
      </c>
      <c r="B1990" s="108" t="s">
        <v>246</v>
      </c>
      <c r="C1990" s="108" t="s">
        <v>580</v>
      </c>
      <c r="D1990" s="112" t="s">
        <v>184</v>
      </c>
      <c r="E1990" s="112">
        <v>2093.8</v>
      </c>
      <c r="F1990" s="111" t="str">
        <f>DataPull!D1990</f>
        <v/>
      </c>
      <c r="G1990" s="94" t="str">
        <f t="shared" si="2"/>
        <v/>
      </c>
      <c r="H1990" s="94" t="str">
        <f t="shared" si="3"/>
        <v/>
      </c>
      <c r="I1990" s="94" t="str">
        <f t="shared" ref="I1990:J1990" si="1991">if(G1990 = "", , -G1990)</f>
        <v/>
      </c>
      <c r="J1990" s="94" t="str">
        <f t="shared" si="1991"/>
        <v/>
      </c>
      <c r="K1990" s="100"/>
      <c r="L1990" s="100"/>
      <c r="N1990" s="100"/>
      <c r="O1990" s="100"/>
      <c r="P1990" s="100"/>
    </row>
    <row r="1991">
      <c r="A1991" s="107">
        <v>203082.0</v>
      </c>
      <c r="B1991" s="108" t="s">
        <v>85</v>
      </c>
      <c r="C1991" s="108" t="s">
        <v>581</v>
      </c>
      <c r="D1991" s="112" t="s">
        <v>176</v>
      </c>
      <c r="E1991" s="112">
        <v>2162.7</v>
      </c>
      <c r="F1991" s="111" t="str">
        <f>DataPull!D1991</f>
        <v/>
      </c>
      <c r="G1991" s="94" t="str">
        <f t="shared" si="2"/>
        <v/>
      </c>
      <c r="H1991" s="94" t="str">
        <f t="shared" si="3"/>
        <v/>
      </c>
      <c r="I1991" s="94" t="str">
        <f t="shared" ref="I1991:J1991" si="1992">if(G1991 = "", , -G1991)</f>
        <v/>
      </c>
      <c r="J1991" s="94" t="str">
        <f t="shared" si="1992"/>
        <v/>
      </c>
      <c r="K1991" s="100"/>
      <c r="M1991" s="100"/>
      <c r="N1991" s="100"/>
      <c r="O1991" s="100"/>
      <c r="P1991" s="100"/>
    </row>
    <row r="1992">
      <c r="A1992" s="107">
        <v>203082.0</v>
      </c>
      <c r="B1992" s="108" t="s">
        <v>90</v>
      </c>
      <c r="C1992" s="108" t="s">
        <v>581</v>
      </c>
      <c r="D1992" s="112" t="s">
        <v>176</v>
      </c>
      <c r="E1992" s="112">
        <v>2091.0</v>
      </c>
      <c r="F1992" s="111" t="str">
        <f>DataPull!D1992</f>
        <v/>
      </c>
      <c r="G1992" s="94" t="str">
        <f t="shared" si="2"/>
        <v/>
      </c>
      <c r="H1992" s="94" t="str">
        <f t="shared" si="3"/>
        <v/>
      </c>
      <c r="I1992" s="94" t="str">
        <f t="shared" ref="I1992:J1992" si="1993">if(G1992 = "", , -G1992)</f>
        <v/>
      </c>
      <c r="J1992" s="94" t="str">
        <f t="shared" si="1993"/>
        <v/>
      </c>
      <c r="K1992" s="100"/>
      <c r="M1992" s="100"/>
      <c r="N1992" s="100"/>
      <c r="O1992" s="100"/>
      <c r="P1992" s="100"/>
    </row>
    <row r="1993">
      <c r="A1993" s="107">
        <v>203082.0</v>
      </c>
      <c r="B1993" s="108" t="s">
        <v>92</v>
      </c>
      <c r="C1993" s="108" t="s">
        <v>581</v>
      </c>
      <c r="D1993" s="112" t="s">
        <v>176</v>
      </c>
      <c r="E1993" s="112">
        <v>1744.7</v>
      </c>
      <c r="F1993" s="111" t="str">
        <f>DataPull!D1993</f>
        <v/>
      </c>
      <c r="G1993" s="94" t="str">
        <f t="shared" si="2"/>
        <v/>
      </c>
      <c r="H1993" s="94" t="str">
        <f t="shared" si="3"/>
        <v/>
      </c>
      <c r="I1993" s="94" t="str">
        <f t="shared" ref="I1993:J1993" si="1994">if(G1993 = "", , -G1993)</f>
        <v/>
      </c>
      <c r="J1993" s="94" t="str">
        <f t="shared" si="1994"/>
        <v/>
      </c>
      <c r="K1993" s="100"/>
      <c r="M1993" s="100"/>
      <c r="N1993" s="100"/>
      <c r="O1993" s="100"/>
      <c r="P1993" s="100"/>
    </row>
    <row r="1994">
      <c r="A1994" s="107">
        <v>203082.0</v>
      </c>
      <c r="B1994" s="108" t="s">
        <v>190</v>
      </c>
      <c r="C1994" s="108" t="s">
        <v>581</v>
      </c>
      <c r="D1994" s="112" t="s">
        <v>177</v>
      </c>
      <c r="E1994" s="112">
        <v>1957.8</v>
      </c>
      <c r="F1994" s="111" t="str">
        <f>DataPull!D1994</f>
        <v/>
      </c>
      <c r="G1994" s="94" t="str">
        <f t="shared" si="2"/>
        <v/>
      </c>
      <c r="H1994" s="94" t="str">
        <f t="shared" si="3"/>
        <v/>
      </c>
      <c r="I1994" s="94" t="str">
        <f t="shared" ref="I1994:J1994" si="1995">if(G1994 = "", , -G1994)</f>
        <v/>
      </c>
      <c r="J1994" s="94" t="str">
        <f t="shared" si="1995"/>
        <v/>
      </c>
      <c r="K1994" s="100"/>
      <c r="M1994" s="100"/>
      <c r="N1994" s="100"/>
      <c r="O1994" s="100"/>
      <c r="P1994" s="100"/>
    </row>
    <row r="1995">
      <c r="A1995" s="107">
        <v>203082.0</v>
      </c>
      <c r="B1995" s="108" t="s">
        <v>191</v>
      </c>
      <c r="C1995" s="108" t="s">
        <v>581</v>
      </c>
      <c r="D1995" s="112" t="s">
        <v>176</v>
      </c>
      <c r="E1995" s="112">
        <v>600.0</v>
      </c>
      <c r="F1995" s="111" t="str">
        <f>DataPull!D1995</f>
        <v/>
      </c>
      <c r="G1995" s="94" t="str">
        <f t="shared" si="2"/>
        <v/>
      </c>
      <c r="H1995" s="94" t="str">
        <f t="shared" si="3"/>
        <v/>
      </c>
      <c r="I1995" s="94" t="str">
        <f t="shared" ref="I1995:J1995" si="1996">if(G1995 = "", , -G1995)</f>
        <v/>
      </c>
      <c r="J1995" s="94" t="str">
        <f t="shared" si="1996"/>
        <v/>
      </c>
      <c r="K1995" s="100"/>
      <c r="L1995" s="100"/>
      <c r="N1995" s="100"/>
      <c r="O1995" s="100"/>
      <c r="P1995" s="100"/>
    </row>
    <row r="1996">
      <c r="A1996" s="107">
        <v>203082.0</v>
      </c>
      <c r="B1996" s="108" t="s">
        <v>192</v>
      </c>
      <c r="C1996" s="108" t="s">
        <v>581</v>
      </c>
      <c r="D1996" s="112" t="s">
        <v>176</v>
      </c>
      <c r="E1996" s="112">
        <v>2146.5</v>
      </c>
      <c r="F1996" s="111" t="str">
        <f>DataPull!D1996</f>
        <v/>
      </c>
      <c r="G1996" s="94" t="str">
        <f t="shared" si="2"/>
        <v/>
      </c>
      <c r="H1996" s="94" t="str">
        <f t="shared" si="3"/>
        <v/>
      </c>
      <c r="I1996" s="94" t="str">
        <f t="shared" ref="I1996:J1996" si="1997">if(G1996 = "", , -G1996)</f>
        <v/>
      </c>
      <c r="J1996" s="94" t="str">
        <f t="shared" si="1997"/>
        <v/>
      </c>
      <c r="K1996" s="100"/>
      <c r="M1996" s="100"/>
      <c r="N1996" s="100"/>
      <c r="O1996" s="100"/>
      <c r="P1996" s="100"/>
    </row>
    <row r="1997">
      <c r="A1997" s="107">
        <v>203082.0</v>
      </c>
      <c r="B1997" s="108" t="s">
        <v>193</v>
      </c>
      <c r="C1997" s="108" t="s">
        <v>581</v>
      </c>
      <c r="D1997" s="112" t="s">
        <v>176</v>
      </c>
      <c r="E1997" s="112">
        <v>1890.6</v>
      </c>
      <c r="F1997" s="111" t="str">
        <f>DataPull!D1997</f>
        <v/>
      </c>
      <c r="G1997" s="94" t="str">
        <f t="shared" si="2"/>
        <v/>
      </c>
      <c r="H1997" s="94" t="str">
        <f t="shared" si="3"/>
        <v/>
      </c>
      <c r="I1997" s="94" t="str">
        <f t="shared" ref="I1997:J1997" si="1998">if(G1997 = "", , -G1997)</f>
        <v/>
      </c>
      <c r="J1997" s="94" t="str">
        <f t="shared" si="1998"/>
        <v/>
      </c>
      <c r="K1997" s="100"/>
      <c r="M1997" s="100"/>
      <c r="N1997" s="100"/>
      <c r="O1997" s="100"/>
      <c r="P1997" s="100"/>
    </row>
    <row r="1998">
      <c r="A1998" s="107">
        <v>203082.0</v>
      </c>
      <c r="B1998" s="108" t="s">
        <v>243</v>
      </c>
      <c r="C1998" s="108" t="s">
        <v>581</v>
      </c>
      <c r="D1998" s="112" t="s">
        <v>178</v>
      </c>
      <c r="E1998" s="112">
        <v>1347.8</v>
      </c>
      <c r="F1998" s="111" t="str">
        <f>DataPull!D1998</f>
        <v/>
      </c>
      <c r="G1998" s="94" t="str">
        <f t="shared" si="2"/>
        <v/>
      </c>
      <c r="H1998" s="94" t="str">
        <f t="shared" si="3"/>
        <v/>
      </c>
      <c r="I1998" s="94" t="str">
        <f t="shared" ref="I1998:J1998" si="1999">if(G1998 = "", , -G1998)</f>
        <v/>
      </c>
      <c r="J1998" s="94" t="str">
        <f t="shared" si="1999"/>
        <v/>
      </c>
      <c r="K1998" s="100"/>
      <c r="M1998" s="100"/>
      <c r="N1998" s="100"/>
      <c r="O1998" s="100"/>
      <c r="P1998" s="100"/>
    </row>
    <row r="1999">
      <c r="A1999" s="107">
        <v>203082.0</v>
      </c>
      <c r="B1999" s="108" t="s">
        <v>215</v>
      </c>
      <c r="C1999" s="108" t="s">
        <v>581</v>
      </c>
      <c r="D1999" s="112" t="s">
        <v>176</v>
      </c>
      <c r="E1999" s="112">
        <v>1449.0</v>
      </c>
      <c r="F1999" s="111" t="str">
        <f>DataPull!D1999</f>
        <v/>
      </c>
      <c r="G1999" s="94" t="str">
        <f t="shared" si="2"/>
        <v/>
      </c>
      <c r="H1999" s="94" t="str">
        <f t="shared" si="3"/>
        <v/>
      </c>
      <c r="I1999" s="94" t="str">
        <f t="shared" ref="I1999:J1999" si="2000">if(G1999 = "", , -G1999)</f>
        <v/>
      </c>
      <c r="J1999" s="94" t="str">
        <f t="shared" si="2000"/>
        <v/>
      </c>
      <c r="K1999" s="100"/>
      <c r="N1999" s="100"/>
      <c r="O1999" s="100"/>
      <c r="P1999" s="100"/>
    </row>
    <row r="2000">
      <c r="A2000" s="107">
        <v>203082.0</v>
      </c>
      <c r="B2000" s="108" t="s">
        <v>244</v>
      </c>
      <c r="C2000" s="108" t="s">
        <v>581</v>
      </c>
      <c r="D2000" s="112" t="s">
        <v>176</v>
      </c>
      <c r="E2000" s="112">
        <v>1329.3</v>
      </c>
      <c r="F2000" s="111" t="str">
        <f>DataPull!D2000</f>
        <v/>
      </c>
      <c r="G2000" s="94" t="str">
        <f t="shared" si="2"/>
        <v/>
      </c>
      <c r="H2000" s="94" t="str">
        <f t="shared" si="3"/>
        <v/>
      </c>
      <c r="I2000" s="94" t="str">
        <f t="shared" ref="I2000:J2000" si="2001">if(G2000 = "", , -G2000)</f>
        <v/>
      </c>
      <c r="J2000" s="94" t="str">
        <f t="shared" si="2001"/>
        <v/>
      </c>
      <c r="K2000" s="100"/>
      <c r="L2000" s="100"/>
      <c r="M2000" s="100"/>
      <c r="N2000" s="100"/>
      <c r="O2000" s="100"/>
      <c r="P2000" s="100"/>
    </row>
    <row r="2001">
      <c r="A2001" s="107">
        <v>203083.0</v>
      </c>
      <c r="B2001" s="108" t="s">
        <v>85</v>
      </c>
      <c r="C2001" s="108" t="s">
        <v>582</v>
      </c>
      <c r="D2001" s="112" t="s">
        <v>184</v>
      </c>
      <c r="E2001" s="112">
        <v>2616.3</v>
      </c>
      <c r="F2001" s="111" t="str">
        <f>DataPull!D2001</f>
        <v/>
      </c>
      <c r="G2001" s="94" t="str">
        <f t="shared" si="2"/>
        <v/>
      </c>
      <c r="H2001" s="94" t="str">
        <f t="shared" si="3"/>
        <v/>
      </c>
      <c r="I2001" s="94" t="str">
        <f t="shared" ref="I2001:J2001" si="2002">if(G2001 = "", , -G2001)</f>
        <v/>
      </c>
      <c r="J2001" s="94" t="str">
        <f t="shared" si="2002"/>
        <v/>
      </c>
      <c r="K2001" s="100"/>
      <c r="M2001" s="100"/>
      <c r="N2001" s="100"/>
      <c r="O2001" s="100"/>
      <c r="P2001" s="100"/>
    </row>
    <row r="2002">
      <c r="A2002" s="107">
        <v>203083.0</v>
      </c>
      <c r="B2002" s="108" t="s">
        <v>90</v>
      </c>
      <c r="C2002" s="108" t="s">
        <v>582</v>
      </c>
      <c r="D2002" s="112" t="s">
        <v>178</v>
      </c>
      <c r="E2002" s="112">
        <v>2501.0</v>
      </c>
      <c r="F2002" s="111" t="str">
        <f>DataPull!D2002</f>
        <v/>
      </c>
      <c r="G2002" s="94" t="str">
        <f t="shared" si="2"/>
        <v/>
      </c>
      <c r="H2002" s="94" t="str">
        <f t="shared" si="3"/>
        <v/>
      </c>
      <c r="I2002" s="94" t="str">
        <f t="shared" ref="I2002:J2002" si="2003">if(G2002 = "", , -G2002)</f>
        <v/>
      </c>
      <c r="J2002" s="94" t="str">
        <f t="shared" si="2003"/>
        <v/>
      </c>
      <c r="K2002" s="100"/>
      <c r="M2002" s="100"/>
      <c r="N2002" s="100"/>
      <c r="O2002" s="100"/>
      <c r="P2002" s="100"/>
    </row>
    <row r="2003">
      <c r="A2003" s="107">
        <v>203083.0</v>
      </c>
      <c r="B2003" s="108" t="s">
        <v>92</v>
      </c>
      <c r="C2003" s="108" t="s">
        <v>582</v>
      </c>
      <c r="D2003" s="112" t="s">
        <v>184</v>
      </c>
      <c r="E2003" s="112">
        <v>2664.9</v>
      </c>
      <c r="F2003" s="111" t="str">
        <f>DataPull!D2003</f>
        <v/>
      </c>
      <c r="G2003" s="94" t="str">
        <f t="shared" si="2"/>
        <v/>
      </c>
      <c r="H2003" s="94" t="str">
        <f t="shared" si="3"/>
        <v/>
      </c>
      <c r="I2003" s="94" t="str">
        <f t="shared" ref="I2003:J2003" si="2004">if(G2003 = "", , -G2003)</f>
        <v/>
      </c>
      <c r="J2003" s="94" t="str">
        <f t="shared" si="2004"/>
        <v/>
      </c>
      <c r="K2003" s="100"/>
      <c r="M2003" s="100"/>
      <c r="N2003" s="100"/>
      <c r="O2003" s="100"/>
      <c r="P2003" s="100"/>
    </row>
    <row r="2004">
      <c r="A2004" s="107">
        <v>203083.0</v>
      </c>
      <c r="B2004" s="108" t="s">
        <v>190</v>
      </c>
      <c r="C2004" s="108" t="s">
        <v>582</v>
      </c>
      <c r="D2004" s="112" t="s">
        <v>184</v>
      </c>
      <c r="E2004" s="112">
        <v>2405.7</v>
      </c>
      <c r="F2004" s="111" t="str">
        <f>DataPull!D2004</f>
        <v/>
      </c>
      <c r="G2004" s="94" t="str">
        <f t="shared" si="2"/>
        <v/>
      </c>
      <c r="H2004" s="94" t="str">
        <f t="shared" si="3"/>
        <v/>
      </c>
      <c r="I2004" s="94" t="str">
        <f t="shared" ref="I2004:J2004" si="2005">if(G2004 = "", , -G2004)</f>
        <v/>
      </c>
      <c r="J2004" s="94" t="str">
        <f t="shared" si="2005"/>
        <v/>
      </c>
      <c r="K2004" s="100"/>
      <c r="M2004" s="100"/>
      <c r="N2004" s="100"/>
      <c r="O2004" s="100"/>
      <c r="P2004" s="100"/>
    </row>
    <row r="2005">
      <c r="A2005" s="107">
        <v>203083.0</v>
      </c>
      <c r="B2005" s="108" t="s">
        <v>191</v>
      </c>
      <c r="C2005" s="108" t="s">
        <v>582</v>
      </c>
      <c r="D2005" s="112" t="s">
        <v>184</v>
      </c>
      <c r="E2005" s="112">
        <v>2628.6</v>
      </c>
      <c r="F2005" s="111" t="str">
        <f>DataPull!D2005</f>
        <v/>
      </c>
      <c r="G2005" s="94" t="str">
        <f t="shared" si="2"/>
        <v/>
      </c>
      <c r="H2005" s="94" t="str">
        <f t="shared" si="3"/>
        <v/>
      </c>
      <c r="I2005" s="94" t="str">
        <f t="shared" ref="I2005:J2005" si="2006">if(G2005 = "", , -G2005)</f>
        <v/>
      </c>
      <c r="J2005" s="94" t="str">
        <f t="shared" si="2006"/>
        <v/>
      </c>
      <c r="K2005" s="100"/>
      <c r="M2005" s="100"/>
      <c r="N2005" s="100"/>
      <c r="O2005" s="100"/>
      <c r="P2005" s="100"/>
    </row>
    <row r="2006">
      <c r="A2006" s="107">
        <v>203083.0</v>
      </c>
      <c r="B2006" s="108" t="s">
        <v>192</v>
      </c>
      <c r="C2006" s="108" t="s">
        <v>582</v>
      </c>
      <c r="D2006" s="112" t="s">
        <v>184</v>
      </c>
      <c r="E2006" s="112">
        <v>2646.5</v>
      </c>
      <c r="F2006" s="111" t="str">
        <f>DataPull!D2006</f>
        <v/>
      </c>
      <c r="G2006" s="94" t="str">
        <f t="shared" si="2"/>
        <v/>
      </c>
      <c r="H2006" s="94" t="str">
        <f t="shared" si="3"/>
        <v/>
      </c>
      <c r="I2006" s="94" t="str">
        <f t="shared" ref="I2006:J2006" si="2007">if(G2006 = "", , -G2006)</f>
        <v/>
      </c>
      <c r="J2006" s="94" t="str">
        <f t="shared" si="2007"/>
        <v/>
      </c>
      <c r="K2006" s="100"/>
      <c r="M2006" s="100"/>
      <c r="N2006" s="100"/>
      <c r="O2006" s="100"/>
      <c r="P2006" s="100"/>
    </row>
    <row r="2007">
      <c r="A2007" s="107">
        <v>203083.0</v>
      </c>
      <c r="B2007" s="108" t="s">
        <v>193</v>
      </c>
      <c r="C2007" s="108" t="s">
        <v>582</v>
      </c>
      <c r="D2007" s="112" t="s">
        <v>184</v>
      </c>
      <c r="E2007" s="112">
        <v>1881.0</v>
      </c>
      <c r="F2007" s="111" t="str">
        <f>DataPull!D2007</f>
        <v/>
      </c>
      <c r="G2007" s="94" t="str">
        <f t="shared" si="2"/>
        <v/>
      </c>
      <c r="H2007" s="94" t="str">
        <f t="shared" si="3"/>
        <v/>
      </c>
      <c r="I2007" s="94" t="str">
        <f t="shared" ref="I2007:J2007" si="2008">if(G2007 = "", , -G2007)</f>
        <v/>
      </c>
      <c r="J2007" s="94" t="str">
        <f t="shared" si="2008"/>
        <v/>
      </c>
      <c r="K2007" s="100"/>
      <c r="M2007" s="100"/>
      <c r="N2007" s="100"/>
      <c r="O2007" s="100"/>
      <c r="P2007" s="100"/>
    </row>
    <row r="2008">
      <c r="A2008" s="107">
        <v>203083.0</v>
      </c>
      <c r="B2008" s="108" t="s">
        <v>243</v>
      </c>
      <c r="C2008" s="108" t="s">
        <v>582</v>
      </c>
      <c r="D2008" s="112" t="s">
        <v>176</v>
      </c>
      <c r="E2008" s="112">
        <v>1242.0</v>
      </c>
      <c r="F2008" s="111" t="str">
        <f>DataPull!D2008</f>
        <v/>
      </c>
      <c r="G2008" s="94" t="str">
        <f t="shared" si="2"/>
        <v/>
      </c>
      <c r="H2008" s="94" t="str">
        <f t="shared" si="3"/>
        <v/>
      </c>
      <c r="I2008" s="94" t="str">
        <f t="shared" ref="I2008:J2008" si="2009">if(G2008 = "", , -G2008)</f>
        <v/>
      </c>
      <c r="J2008" s="94" t="str">
        <f t="shared" si="2009"/>
        <v/>
      </c>
      <c r="K2008" s="100"/>
      <c r="M2008" s="100"/>
      <c r="N2008" s="100"/>
      <c r="O2008" s="100"/>
      <c r="P2008" s="100"/>
    </row>
    <row r="2009">
      <c r="A2009" s="107">
        <v>203083.0</v>
      </c>
      <c r="B2009" s="108" t="s">
        <v>215</v>
      </c>
      <c r="C2009" s="108" t="s">
        <v>582</v>
      </c>
      <c r="D2009" s="112" t="s">
        <v>177</v>
      </c>
      <c r="E2009" s="112">
        <v>1438.1</v>
      </c>
      <c r="F2009" s="111" t="str">
        <f>DataPull!D2009</f>
        <v/>
      </c>
      <c r="G2009" s="94" t="str">
        <f t="shared" si="2"/>
        <v/>
      </c>
      <c r="H2009" s="94" t="str">
        <f t="shared" si="3"/>
        <v/>
      </c>
      <c r="I2009" s="94" t="str">
        <f t="shared" ref="I2009:J2009" si="2010">if(G2009 = "", , -G2009)</f>
        <v/>
      </c>
      <c r="J2009" s="94" t="str">
        <f t="shared" si="2010"/>
        <v/>
      </c>
      <c r="K2009" s="100"/>
      <c r="M2009" s="100"/>
      <c r="N2009" s="100"/>
      <c r="O2009" s="100"/>
      <c r="P2009" s="100"/>
    </row>
    <row r="2010">
      <c r="A2010" s="107">
        <v>203083.0</v>
      </c>
      <c r="B2010" s="108" t="s">
        <v>244</v>
      </c>
      <c r="C2010" s="108" t="s">
        <v>582</v>
      </c>
      <c r="D2010" s="112" t="s">
        <v>177</v>
      </c>
      <c r="E2010" s="112">
        <v>850.9</v>
      </c>
      <c r="F2010" s="111" t="str">
        <f>DataPull!D2010</f>
        <v/>
      </c>
      <c r="G2010" s="94" t="str">
        <f t="shared" si="2"/>
        <v/>
      </c>
      <c r="H2010" s="94" t="str">
        <f t="shared" si="3"/>
        <v/>
      </c>
      <c r="I2010" s="94" t="str">
        <f t="shared" ref="I2010:J2010" si="2011">if(G2010 = "", , -G2010)</f>
        <v/>
      </c>
      <c r="J2010" s="94" t="str">
        <f t="shared" si="2011"/>
        <v/>
      </c>
      <c r="K2010" s="100"/>
      <c r="M2010" s="100"/>
      <c r="N2010" s="100"/>
      <c r="O2010" s="100"/>
      <c r="P2010" s="100"/>
    </row>
    <row r="2011">
      <c r="A2011" s="107">
        <v>203083.0</v>
      </c>
      <c r="B2011" s="108" t="s">
        <v>245</v>
      </c>
      <c r="C2011" s="108" t="s">
        <v>582</v>
      </c>
      <c r="D2011" s="112" t="s">
        <v>177</v>
      </c>
      <c r="E2011" s="112">
        <v>1350.9</v>
      </c>
      <c r="F2011" s="111" t="str">
        <f>DataPull!D2011</f>
        <v/>
      </c>
      <c r="G2011" s="94" t="str">
        <f t="shared" si="2"/>
        <v/>
      </c>
      <c r="H2011" s="94" t="str">
        <f t="shared" si="3"/>
        <v/>
      </c>
      <c r="I2011" s="94" t="str">
        <f t="shared" ref="I2011:J2011" si="2012">if(G2011 = "", , -G2011)</f>
        <v/>
      </c>
      <c r="J2011" s="94" t="str">
        <f t="shared" si="2012"/>
        <v/>
      </c>
      <c r="K2011" s="100"/>
      <c r="M2011" s="100"/>
      <c r="N2011" s="100"/>
      <c r="O2011" s="100"/>
      <c r="P2011" s="100"/>
    </row>
    <row r="2012">
      <c r="A2012" s="107">
        <v>203083.0</v>
      </c>
      <c r="B2012" s="108" t="s">
        <v>246</v>
      </c>
      <c r="C2012" s="108" t="s">
        <v>582</v>
      </c>
      <c r="D2012" s="112" t="s">
        <v>177</v>
      </c>
      <c r="E2012" s="112">
        <v>752.0</v>
      </c>
      <c r="F2012" s="111" t="str">
        <f>DataPull!D2012</f>
        <v/>
      </c>
      <c r="G2012" s="94" t="str">
        <f t="shared" si="2"/>
        <v/>
      </c>
      <c r="H2012" s="94" t="str">
        <f t="shared" si="3"/>
        <v/>
      </c>
      <c r="I2012" s="94" t="str">
        <f t="shared" ref="I2012:J2012" si="2013">if(G2012 = "", , -G2012)</f>
        <v/>
      </c>
      <c r="J2012" s="94" t="str">
        <f t="shared" si="2013"/>
        <v/>
      </c>
      <c r="K2012" s="100"/>
      <c r="L2012" s="100"/>
      <c r="M2012" s="100"/>
      <c r="N2012" s="100"/>
      <c r="O2012" s="100"/>
      <c r="P2012" s="100"/>
    </row>
    <row r="2013">
      <c r="A2013" s="114">
        <v>203083.0</v>
      </c>
      <c r="B2013" s="113" t="s">
        <v>247</v>
      </c>
      <c r="C2013" s="113" t="s">
        <v>582</v>
      </c>
      <c r="D2013" s="112" t="s">
        <v>177</v>
      </c>
      <c r="E2013" s="112">
        <v>1228.5</v>
      </c>
      <c r="F2013" s="111" t="str">
        <f>DataPull!D2013</f>
        <v/>
      </c>
      <c r="G2013" s="94" t="str">
        <f t="shared" si="2"/>
        <v/>
      </c>
      <c r="H2013" s="94" t="str">
        <f t="shared" si="3"/>
        <v/>
      </c>
      <c r="I2013" s="94" t="str">
        <f t="shared" ref="I2013:J2013" si="2014">if(G2013 = "", , -G2013)</f>
        <v/>
      </c>
      <c r="J2013" s="94" t="str">
        <f t="shared" si="2014"/>
        <v/>
      </c>
      <c r="K2013" s="100"/>
      <c r="M2013" s="100"/>
      <c r="N2013" s="100"/>
      <c r="O2013" s="100"/>
      <c r="P2013" s="100"/>
    </row>
    <row r="2014">
      <c r="A2014" s="107">
        <v>203084.0</v>
      </c>
      <c r="B2014" s="108" t="s">
        <v>85</v>
      </c>
      <c r="C2014" s="108" t="s">
        <v>583</v>
      </c>
      <c r="D2014" s="112" t="s">
        <v>178</v>
      </c>
      <c r="E2014" s="112">
        <v>2207.4</v>
      </c>
      <c r="F2014" s="111" t="str">
        <f>DataPull!D2014</f>
        <v/>
      </c>
      <c r="G2014" s="94" t="str">
        <f t="shared" si="2"/>
        <v/>
      </c>
      <c r="H2014" s="94" t="str">
        <f t="shared" si="3"/>
        <v/>
      </c>
      <c r="I2014" s="94" t="str">
        <f t="shared" ref="I2014:J2014" si="2015">if(G2014 = "", , -G2014)</f>
        <v/>
      </c>
      <c r="J2014" s="94" t="str">
        <f t="shared" si="2015"/>
        <v/>
      </c>
      <c r="K2014" s="100"/>
      <c r="M2014" s="100"/>
      <c r="N2014" s="100"/>
      <c r="O2014" s="100"/>
      <c r="P2014" s="100"/>
    </row>
    <row r="2015">
      <c r="A2015" s="107">
        <v>203084.0</v>
      </c>
      <c r="B2015" s="108" t="s">
        <v>90</v>
      </c>
      <c r="C2015" s="108" t="s">
        <v>583</v>
      </c>
      <c r="D2015" s="112" t="s">
        <v>178</v>
      </c>
      <c r="E2015" s="112">
        <v>2320.6</v>
      </c>
      <c r="F2015" s="111" t="str">
        <f>DataPull!D2015</f>
        <v/>
      </c>
      <c r="G2015" s="94" t="str">
        <f t="shared" si="2"/>
        <v/>
      </c>
      <c r="H2015" s="94" t="str">
        <f t="shared" si="3"/>
        <v/>
      </c>
      <c r="I2015" s="94" t="str">
        <f t="shared" ref="I2015:J2015" si="2016">if(G2015 = "", , -G2015)</f>
        <v/>
      </c>
      <c r="J2015" s="94" t="str">
        <f t="shared" si="2016"/>
        <v/>
      </c>
      <c r="K2015" s="100"/>
      <c r="M2015" s="100"/>
      <c r="N2015" s="100"/>
      <c r="O2015" s="100"/>
      <c r="P2015" s="100"/>
    </row>
    <row r="2016">
      <c r="A2016" s="107">
        <v>203084.0</v>
      </c>
      <c r="B2016" s="108" t="s">
        <v>92</v>
      </c>
      <c r="C2016" s="108" t="s">
        <v>583</v>
      </c>
      <c r="D2016" s="112" t="s">
        <v>178</v>
      </c>
      <c r="E2016" s="112">
        <v>2039.4</v>
      </c>
      <c r="F2016" s="111" t="str">
        <f>DataPull!D2016</f>
        <v/>
      </c>
      <c r="G2016" s="94" t="str">
        <f t="shared" si="2"/>
        <v/>
      </c>
      <c r="H2016" s="94" t="str">
        <f t="shared" si="3"/>
        <v/>
      </c>
      <c r="I2016" s="94" t="str">
        <f t="shared" ref="I2016:J2016" si="2017">if(G2016 = "", , -G2016)</f>
        <v/>
      </c>
      <c r="J2016" s="94" t="str">
        <f t="shared" si="2017"/>
        <v/>
      </c>
      <c r="K2016" s="100"/>
      <c r="M2016" s="100"/>
      <c r="N2016" s="100"/>
      <c r="O2016" s="100"/>
      <c r="P2016" s="100"/>
    </row>
    <row r="2017">
      <c r="A2017" s="107">
        <v>203084.0</v>
      </c>
      <c r="B2017" s="108" t="s">
        <v>190</v>
      </c>
      <c r="C2017" s="108" t="s">
        <v>583</v>
      </c>
      <c r="D2017" s="112" t="s">
        <v>178</v>
      </c>
      <c r="E2017" s="112">
        <v>2804.5</v>
      </c>
      <c r="F2017" s="111" t="str">
        <f>DataPull!D2017</f>
        <v/>
      </c>
      <c r="G2017" s="94" t="str">
        <f t="shared" si="2"/>
        <v/>
      </c>
      <c r="H2017" s="94" t="str">
        <f t="shared" si="3"/>
        <v/>
      </c>
      <c r="I2017" s="94" t="str">
        <f t="shared" ref="I2017:J2017" si="2018">if(G2017 = "", , -G2017)</f>
        <v/>
      </c>
      <c r="J2017" s="94" t="str">
        <f t="shared" si="2018"/>
        <v/>
      </c>
      <c r="K2017" s="100"/>
      <c r="M2017" s="100"/>
      <c r="N2017" s="100"/>
      <c r="O2017" s="100"/>
      <c r="P2017" s="100"/>
    </row>
    <row r="2018">
      <c r="A2018" s="107">
        <v>203084.0</v>
      </c>
      <c r="B2018" s="108" t="s">
        <v>191</v>
      </c>
      <c r="C2018" s="108" t="s">
        <v>583</v>
      </c>
      <c r="D2018" s="112" t="s">
        <v>178</v>
      </c>
      <c r="E2018" s="112">
        <v>2633.4</v>
      </c>
      <c r="F2018" s="111" t="str">
        <f>DataPull!D2018</f>
        <v/>
      </c>
      <c r="G2018" s="94" t="str">
        <f t="shared" si="2"/>
        <v/>
      </c>
      <c r="H2018" s="94" t="str">
        <f t="shared" si="3"/>
        <v/>
      </c>
      <c r="I2018" s="94" t="str">
        <f t="shared" ref="I2018:J2018" si="2019">if(G2018 = "", , -G2018)</f>
        <v/>
      </c>
      <c r="J2018" s="94" t="str">
        <f t="shared" si="2019"/>
        <v/>
      </c>
      <c r="K2018" s="100"/>
      <c r="M2018" s="100"/>
      <c r="N2018" s="100"/>
      <c r="O2018" s="100"/>
      <c r="P2018" s="100"/>
    </row>
    <row r="2019">
      <c r="A2019" s="107">
        <v>203084.0</v>
      </c>
      <c r="B2019" s="108" t="s">
        <v>192</v>
      </c>
      <c r="C2019" s="108" t="s">
        <v>583</v>
      </c>
      <c r="D2019" s="112" t="s">
        <v>178</v>
      </c>
      <c r="E2019" s="112">
        <v>2533.3</v>
      </c>
      <c r="F2019" s="111" t="str">
        <f>DataPull!D2019</f>
        <v/>
      </c>
      <c r="G2019" s="94" t="str">
        <f t="shared" si="2"/>
        <v/>
      </c>
      <c r="H2019" s="94" t="str">
        <f t="shared" si="3"/>
        <v/>
      </c>
      <c r="I2019" s="94" t="str">
        <f t="shared" ref="I2019:J2019" si="2020">if(G2019 = "", , -G2019)</f>
        <v/>
      </c>
      <c r="J2019" s="94" t="str">
        <f t="shared" si="2020"/>
        <v/>
      </c>
      <c r="K2019" s="100"/>
      <c r="M2019" s="100"/>
      <c r="N2019" s="100"/>
      <c r="O2019" s="100"/>
      <c r="P2019" s="100"/>
    </row>
    <row r="2020">
      <c r="A2020" s="107">
        <v>203084.0</v>
      </c>
      <c r="B2020" s="108" t="s">
        <v>193</v>
      </c>
      <c r="C2020" s="108" t="s">
        <v>583</v>
      </c>
      <c r="D2020" s="112" t="s">
        <v>178</v>
      </c>
      <c r="E2020" s="112">
        <v>2484.0</v>
      </c>
      <c r="F2020" s="111" t="str">
        <f>DataPull!D2020</f>
        <v/>
      </c>
      <c r="G2020" s="94" t="str">
        <f t="shared" si="2"/>
        <v/>
      </c>
      <c r="H2020" s="94" t="str">
        <f t="shared" si="3"/>
        <v/>
      </c>
      <c r="I2020" s="94" t="str">
        <f t="shared" ref="I2020:J2020" si="2021">if(G2020 = "", , -G2020)</f>
        <v/>
      </c>
      <c r="J2020" s="94" t="str">
        <f t="shared" si="2021"/>
        <v/>
      </c>
      <c r="K2020" s="100"/>
      <c r="M2020" s="100"/>
      <c r="N2020" s="100"/>
      <c r="O2020" s="100"/>
      <c r="P2020" s="100"/>
    </row>
    <row r="2021">
      <c r="A2021" s="107">
        <v>203084.0</v>
      </c>
      <c r="B2021" s="108" t="s">
        <v>243</v>
      </c>
      <c r="C2021" s="108" t="s">
        <v>583</v>
      </c>
      <c r="D2021" s="112" t="s">
        <v>178</v>
      </c>
      <c r="E2021" s="112">
        <v>2099.6</v>
      </c>
      <c r="F2021" s="111" t="str">
        <f>DataPull!D2021</f>
        <v/>
      </c>
      <c r="G2021" s="94" t="str">
        <f t="shared" si="2"/>
        <v/>
      </c>
      <c r="H2021" s="94" t="str">
        <f t="shared" si="3"/>
        <v/>
      </c>
      <c r="I2021" s="94" t="str">
        <f t="shared" ref="I2021:J2021" si="2022">if(G2021 = "", , -G2021)</f>
        <v/>
      </c>
      <c r="J2021" s="94" t="str">
        <f t="shared" si="2022"/>
        <v/>
      </c>
      <c r="K2021" s="100"/>
      <c r="M2021" s="100"/>
      <c r="N2021" s="100"/>
      <c r="O2021" s="100"/>
      <c r="P2021" s="100"/>
    </row>
    <row r="2022">
      <c r="A2022" s="107">
        <v>203084.0</v>
      </c>
      <c r="B2022" s="108" t="s">
        <v>215</v>
      </c>
      <c r="C2022" s="108" t="s">
        <v>583</v>
      </c>
      <c r="D2022" s="112" t="s">
        <v>178</v>
      </c>
      <c r="E2022" s="112">
        <v>2587.2</v>
      </c>
      <c r="F2022" s="111" t="str">
        <f>DataPull!D2022</f>
        <v/>
      </c>
      <c r="G2022" s="94" t="str">
        <f t="shared" si="2"/>
        <v/>
      </c>
      <c r="H2022" s="94" t="str">
        <f t="shared" si="3"/>
        <v/>
      </c>
      <c r="I2022" s="94" t="str">
        <f t="shared" ref="I2022:J2022" si="2023">if(G2022 = "", , -G2022)</f>
        <v/>
      </c>
      <c r="J2022" s="94" t="str">
        <f t="shared" si="2023"/>
        <v/>
      </c>
      <c r="K2022" s="100"/>
      <c r="M2022" s="100"/>
      <c r="N2022" s="100"/>
      <c r="O2022" s="100"/>
      <c r="P2022" s="100"/>
    </row>
    <row r="2023">
      <c r="A2023" s="107">
        <v>203084.0</v>
      </c>
      <c r="B2023" s="108" t="s">
        <v>244</v>
      </c>
      <c r="C2023" s="108" t="s">
        <v>583</v>
      </c>
      <c r="D2023" s="112" t="s">
        <v>178</v>
      </c>
      <c r="E2023" s="112">
        <v>2665.0</v>
      </c>
      <c r="F2023" s="111" t="str">
        <f>DataPull!D2023</f>
        <v/>
      </c>
      <c r="G2023" s="94" t="str">
        <f t="shared" si="2"/>
        <v/>
      </c>
      <c r="H2023" s="94" t="str">
        <f t="shared" si="3"/>
        <v/>
      </c>
      <c r="I2023" s="94" t="str">
        <f t="shared" ref="I2023:J2023" si="2024">if(G2023 = "", , -G2023)</f>
        <v/>
      </c>
      <c r="J2023" s="94" t="str">
        <f t="shared" si="2024"/>
        <v/>
      </c>
      <c r="K2023" s="100"/>
      <c r="M2023" s="100"/>
      <c r="N2023" s="100"/>
      <c r="O2023" s="100"/>
      <c r="P2023" s="100"/>
    </row>
    <row r="2024">
      <c r="A2024" s="107">
        <v>203084.0</v>
      </c>
      <c r="B2024" s="108" t="s">
        <v>245</v>
      </c>
      <c r="C2024" s="108" t="s">
        <v>583</v>
      </c>
      <c r="D2024" s="112" t="s">
        <v>178</v>
      </c>
      <c r="E2024" s="112">
        <v>2378.0</v>
      </c>
      <c r="F2024" s="111" t="str">
        <f>DataPull!D2024</f>
        <v/>
      </c>
      <c r="G2024" s="94" t="str">
        <f t="shared" si="2"/>
        <v/>
      </c>
      <c r="H2024" s="94" t="str">
        <f t="shared" si="3"/>
        <v/>
      </c>
      <c r="I2024" s="94" t="str">
        <f t="shared" ref="I2024:J2024" si="2025">if(G2024 = "", , -G2024)</f>
        <v/>
      </c>
      <c r="J2024" s="94" t="str">
        <f t="shared" si="2025"/>
        <v/>
      </c>
      <c r="K2024" s="100"/>
      <c r="L2024" s="100"/>
      <c r="N2024" s="100"/>
      <c r="O2024" s="100"/>
      <c r="P2024" s="100"/>
    </row>
    <row r="2025">
      <c r="A2025" s="107">
        <v>203084.0</v>
      </c>
      <c r="B2025" s="108" t="s">
        <v>246</v>
      </c>
      <c r="C2025" s="108" t="s">
        <v>583</v>
      </c>
      <c r="D2025" s="112" t="s">
        <v>178</v>
      </c>
      <c r="E2025" s="112">
        <v>2230.4</v>
      </c>
      <c r="F2025" s="111" t="str">
        <f>DataPull!D2025</f>
        <v/>
      </c>
      <c r="G2025" s="94" t="str">
        <f t="shared" si="2"/>
        <v/>
      </c>
      <c r="H2025" s="94" t="str">
        <f t="shared" si="3"/>
        <v/>
      </c>
      <c r="I2025" s="94" t="str">
        <f t="shared" ref="I2025:J2025" si="2026">if(G2025 = "", , -G2025)</f>
        <v/>
      </c>
      <c r="J2025" s="94" t="str">
        <f t="shared" si="2026"/>
        <v/>
      </c>
      <c r="K2025" s="100"/>
      <c r="M2025" s="100"/>
      <c r="N2025" s="100"/>
      <c r="O2025" s="100"/>
      <c r="P2025" s="100"/>
    </row>
    <row r="2026">
      <c r="A2026" s="114">
        <v>203084.0</v>
      </c>
      <c r="B2026" s="113" t="s">
        <v>247</v>
      </c>
      <c r="C2026" s="113" t="s">
        <v>583</v>
      </c>
      <c r="D2026" s="112" t="s">
        <v>176</v>
      </c>
      <c r="E2026" s="112">
        <v>1986.6</v>
      </c>
      <c r="F2026" s="111" t="str">
        <f>DataPull!D2026</f>
        <v/>
      </c>
      <c r="G2026" s="94" t="str">
        <f t="shared" si="2"/>
        <v/>
      </c>
      <c r="H2026" s="94" t="str">
        <f t="shared" si="3"/>
        <v/>
      </c>
      <c r="I2026" s="94" t="str">
        <f t="shared" ref="I2026:J2026" si="2027">if(G2026 = "", , -G2026)</f>
        <v/>
      </c>
      <c r="J2026" s="94" t="str">
        <f t="shared" si="2027"/>
        <v/>
      </c>
      <c r="K2026" s="100"/>
      <c r="M2026" s="100"/>
      <c r="N2026" s="100"/>
      <c r="P2026" s="100"/>
    </row>
    <row r="2027">
      <c r="A2027" s="107">
        <v>203085.0</v>
      </c>
      <c r="B2027" s="108" t="s">
        <v>85</v>
      </c>
      <c r="C2027" s="108" t="s">
        <v>584</v>
      </c>
      <c r="D2027" s="112" t="s">
        <v>177</v>
      </c>
      <c r="E2027" s="112">
        <v>1338.6</v>
      </c>
      <c r="F2027" s="111" t="str">
        <f>DataPull!D2027</f>
        <v/>
      </c>
      <c r="G2027" s="94" t="str">
        <f t="shared" si="2"/>
        <v/>
      </c>
      <c r="H2027" s="94" t="str">
        <f t="shared" si="3"/>
        <v/>
      </c>
      <c r="I2027" s="94" t="str">
        <f t="shared" ref="I2027:J2027" si="2028">if(G2027 = "", , -G2027)</f>
        <v/>
      </c>
      <c r="J2027" s="94" t="str">
        <f t="shared" si="2028"/>
        <v/>
      </c>
      <c r="K2027" s="100"/>
      <c r="M2027" s="100"/>
      <c r="N2027" s="100"/>
      <c r="O2027" s="100"/>
      <c r="P2027" s="100"/>
    </row>
    <row r="2028">
      <c r="A2028" s="107">
        <v>203085.0</v>
      </c>
      <c r="B2028" s="108" t="s">
        <v>90</v>
      </c>
      <c r="C2028" s="108" t="s">
        <v>584</v>
      </c>
      <c r="D2028" s="112" t="s">
        <v>176</v>
      </c>
      <c r="E2028" s="112">
        <v>1565.6</v>
      </c>
      <c r="F2028" s="111" t="str">
        <f>DataPull!D2028</f>
        <v/>
      </c>
      <c r="G2028" s="94" t="str">
        <f t="shared" si="2"/>
        <v/>
      </c>
      <c r="H2028" s="94" t="str">
        <f t="shared" si="3"/>
        <v/>
      </c>
      <c r="I2028" s="94" t="str">
        <f t="shared" ref="I2028:J2028" si="2029">if(G2028 = "", , -G2028)</f>
        <v/>
      </c>
      <c r="J2028" s="94" t="str">
        <f t="shared" si="2029"/>
        <v/>
      </c>
      <c r="K2028" s="100"/>
      <c r="L2028" s="100"/>
      <c r="M2028" s="100"/>
      <c r="N2028" s="100"/>
      <c r="O2028" s="100"/>
      <c r="P2028" s="100"/>
    </row>
    <row r="2029">
      <c r="A2029" s="107">
        <v>203085.0</v>
      </c>
      <c r="B2029" s="108" t="s">
        <v>92</v>
      </c>
      <c r="C2029" s="108" t="s">
        <v>584</v>
      </c>
      <c r="D2029" s="112" t="s">
        <v>176</v>
      </c>
      <c r="E2029" s="112">
        <v>1460.6</v>
      </c>
      <c r="F2029" s="111" t="str">
        <f>DataPull!D2029</f>
        <v/>
      </c>
      <c r="G2029" s="94" t="str">
        <f t="shared" si="2"/>
        <v/>
      </c>
      <c r="H2029" s="94" t="str">
        <f t="shared" si="3"/>
        <v/>
      </c>
      <c r="I2029" s="94" t="str">
        <f t="shared" ref="I2029:J2029" si="2030">if(G2029 = "", , -G2029)</f>
        <v/>
      </c>
      <c r="J2029" s="94" t="str">
        <f t="shared" si="2030"/>
        <v/>
      </c>
      <c r="K2029" s="100"/>
      <c r="M2029" s="100"/>
      <c r="N2029" s="100"/>
      <c r="P2029" s="100"/>
    </row>
    <row r="2030">
      <c r="A2030" s="107">
        <v>203085.0</v>
      </c>
      <c r="B2030" s="108" t="s">
        <v>190</v>
      </c>
      <c r="C2030" s="108" t="s">
        <v>584</v>
      </c>
      <c r="D2030" s="112" t="s">
        <v>178</v>
      </c>
      <c r="E2030" s="112">
        <v>2057.2</v>
      </c>
      <c r="F2030" s="111" t="str">
        <f>DataPull!D2030</f>
        <v/>
      </c>
      <c r="G2030" s="94" t="str">
        <f t="shared" si="2"/>
        <v/>
      </c>
      <c r="H2030" s="94" t="str">
        <f t="shared" si="3"/>
        <v/>
      </c>
      <c r="I2030" s="94" t="str">
        <f t="shared" ref="I2030:J2030" si="2031">if(G2030 = "", , -G2030)</f>
        <v/>
      </c>
      <c r="J2030" s="94" t="str">
        <f t="shared" si="2031"/>
        <v/>
      </c>
      <c r="K2030" s="100"/>
      <c r="M2030" s="100"/>
      <c r="N2030" s="100"/>
      <c r="O2030" s="100"/>
      <c r="P2030" s="100"/>
    </row>
    <row r="2031">
      <c r="A2031" s="107">
        <v>203085.0</v>
      </c>
      <c r="B2031" s="108" t="s">
        <v>191</v>
      </c>
      <c r="C2031" s="108" t="s">
        <v>584</v>
      </c>
      <c r="D2031" s="112" t="s">
        <v>178</v>
      </c>
      <c r="E2031" s="112">
        <v>2055.7</v>
      </c>
      <c r="F2031" s="111" t="str">
        <f>DataPull!D2031</f>
        <v/>
      </c>
      <c r="G2031" s="94" t="str">
        <f t="shared" si="2"/>
        <v/>
      </c>
      <c r="H2031" s="94" t="str">
        <f t="shared" si="3"/>
        <v/>
      </c>
      <c r="I2031" s="94" t="str">
        <f t="shared" ref="I2031:J2031" si="2032">if(G2031 = "", , -G2031)</f>
        <v/>
      </c>
      <c r="J2031" s="94" t="str">
        <f t="shared" si="2032"/>
        <v/>
      </c>
      <c r="K2031" s="100"/>
      <c r="M2031" s="100"/>
      <c r="N2031" s="100"/>
      <c r="O2031" s="100"/>
      <c r="P2031" s="100"/>
    </row>
    <row r="2032">
      <c r="A2032" s="107">
        <v>203085.0</v>
      </c>
      <c r="B2032" s="108" t="s">
        <v>192</v>
      </c>
      <c r="C2032" s="108" t="s">
        <v>584</v>
      </c>
      <c r="D2032" s="112" t="s">
        <v>176</v>
      </c>
      <c r="E2032" s="112">
        <v>2029.2</v>
      </c>
      <c r="F2032" s="111" t="str">
        <f>DataPull!D2032</f>
        <v/>
      </c>
      <c r="G2032" s="94" t="str">
        <f t="shared" si="2"/>
        <v/>
      </c>
      <c r="H2032" s="94" t="str">
        <f t="shared" si="3"/>
        <v/>
      </c>
      <c r="I2032" s="94" t="str">
        <f t="shared" ref="I2032:J2032" si="2033">if(G2032 = "", , -G2032)</f>
        <v/>
      </c>
      <c r="J2032" s="94" t="str">
        <f t="shared" si="2033"/>
        <v/>
      </c>
      <c r="K2032" s="100"/>
      <c r="M2032" s="100"/>
      <c r="N2032" s="100"/>
      <c r="O2032" s="100"/>
      <c r="P2032" s="100"/>
    </row>
    <row r="2033">
      <c r="A2033" s="107">
        <v>203085.0</v>
      </c>
      <c r="B2033" s="108" t="s">
        <v>193</v>
      </c>
      <c r="C2033" s="108" t="s">
        <v>584</v>
      </c>
      <c r="D2033" s="112" t="s">
        <v>176</v>
      </c>
      <c r="E2033" s="112">
        <v>1591.2</v>
      </c>
      <c r="F2033" s="111" t="str">
        <f>DataPull!D2033</f>
        <v/>
      </c>
      <c r="G2033" s="94" t="str">
        <f t="shared" si="2"/>
        <v/>
      </c>
      <c r="H2033" s="94" t="str">
        <f t="shared" si="3"/>
        <v/>
      </c>
      <c r="I2033" s="94" t="str">
        <f t="shared" ref="I2033:J2033" si="2034">if(G2033 = "", , -G2033)</f>
        <v/>
      </c>
      <c r="J2033" s="94" t="str">
        <f t="shared" si="2034"/>
        <v/>
      </c>
      <c r="K2033" s="100"/>
      <c r="M2033" s="100"/>
      <c r="N2033" s="100"/>
      <c r="O2033" s="100"/>
      <c r="P2033" s="100"/>
    </row>
    <row r="2034">
      <c r="A2034" s="107">
        <v>203085.0</v>
      </c>
      <c r="B2034" s="108" t="s">
        <v>243</v>
      </c>
      <c r="C2034" s="108" t="s">
        <v>584</v>
      </c>
      <c r="D2034" s="112" t="s">
        <v>177</v>
      </c>
      <c r="E2034" s="112">
        <v>846.0</v>
      </c>
      <c r="F2034" s="111" t="str">
        <f>DataPull!D2034</f>
        <v/>
      </c>
      <c r="G2034" s="94" t="str">
        <f t="shared" si="2"/>
        <v/>
      </c>
      <c r="H2034" s="94" t="str">
        <f t="shared" si="3"/>
        <v/>
      </c>
      <c r="I2034" s="94" t="str">
        <f t="shared" ref="I2034:J2034" si="2035">if(G2034 = "", , -G2034)</f>
        <v/>
      </c>
      <c r="J2034" s="94" t="str">
        <f t="shared" si="2035"/>
        <v/>
      </c>
      <c r="K2034" s="100"/>
      <c r="M2034" s="100"/>
      <c r="N2034" s="100"/>
      <c r="O2034" s="100"/>
      <c r="P2034" s="100"/>
    </row>
    <row r="2035">
      <c r="A2035" s="107">
        <v>203085.0</v>
      </c>
      <c r="B2035" s="108" t="s">
        <v>215</v>
      </c>
      <c r="C2035" s="108" t="s">
        <v>584</v>
      </c>
      <c r="D2035" s="112" t="s">
        <v>176</v>
      </c>
      <c r="E2035" s="112">
        <v>1480.7</v>
      </c>
      <c r="F2035" s="111" t="str">
        <f>DataPull!D2035</f>
        <v/>
      </c>
      <c r="G2035" s="94" t="str">
        <f t="shared" si="2"/>
        <v/>
      </c>
      <c r="H2035" s="94" t="str">
        <f t="shared" si="3"/>
        <v/>
      </c>
      <c r="I2035" s="94" t="str">
        <f t="shared" ref="I2035:J2035" si="2036">if(G2035 = "", , -G2035)</f>
        <v/>
      </c>
      <c r="J2035" s="94" t="str">
        <f t="shared" si="2036"/>
        <v/>
      </c>
      <c r="K2035" s="100"/>
      <c r="M2035" s="100"/>
      <c r="N2035" s="100"/>
      <c r="O2035" s="100"/>
      <c r="P2035" s="100"/>
    </row>
    <row r="2036">
      <c r="A2036" s="107">
        <v>203085.0</v>
      </c>
      <c r="B2036" s="108" t="s">
        <v>244</v>
      </c>
      <c r="C2036" s="108" t="s">
        <v>584</v>
      </c>
      <c r="D2036" s="112" t="s">
        <v>177</v>
      </c>
      <c r="E2036" s="112">
        <v>1014.0</v>
      </c>
      <c r="F2036" s="111" t="str">
        <f>DataPull!D2036</f>
        <v/>
      </c>
      <c r="G2036" s="94" t="str">
        <f t="shared" si="2"/>
        <v/>
      </c>
      <c r="H2036" s="94" t="str">
        <f t="shared" si="3"/>
        <v/>
      </c>
      <c r="I2036" s="94" t="str">
        <f t="shared" ref="I2036:J2036" si="2037">if(G2036 = "", , -G2036)</f>
        <v/>
      </c>
      <c r="J2036" s="94" t="str">
        <f t="shared" si="2037"/>
        <v/>
      </c>
      <c r="K2036" s="100"/>
      <c r="M2036" s="100"/>
      <c r="O2036" s="100"/>
      <c r="P2036" s="100"/>
    </row>
    <row r="2037">
      <c r="A2037" s="107">
        <v>203086.0</v>
      </c>
      <c r="B2037" s="108" t="s">
        <v>85</v>
      </c>
      <c r="C2037" s="108" t="s">
        <v>585</v>
      </c>
      <c r="D2037" s="112" t="s">
        <v>187</v>
      </c>
      <c r="E2037" s="112">
        <v>356.0</v>
      </c>
      <c r="F2037" s="111" t="str">
        <f>DataPull!D2037</f>
        <v/>
      </c>
      <c r="G2037" s="94" t="str">
        <f t="shared" si="2"/>
        <v/>
      </c>
      <c r="H2037" s="94" t="str">
        <f t="shared" si="3"/>
        <v/>
      </c>
      <c r="I2037" s="94" t="str">
        <f t="shared" ref="I2037:J2037" si="2038">if(G2037 = "", , -G2037)</f>
        <v/>
      </c>
      <c r="J2037" s="94" t="str">
        <f t="shared" si="2038"/>
        <v/>
      </c>
      <c r="K2037" s="100"/>
      <c r="M2037" s="100"/>
      <c r="N2037" s="100"/>
      <c r="O2037" s="100"/>
      <c r="P2037" s="100"/>
    </row>
    <row r="2038">
      <c r="A2038" s="107">
        <v>203086.0</v>
      </c>
      <c r="B2038" s="108" t="s">
        <v>90</v>
      </c>
      <c r="C2038" s="108" t="s">
        <v>585</v>
      </c>
      <c r="D2038" s="112" t="s">
        <v>177</v>
      </c>
      <c r="E2038" s="112">
        <v>847.0</v>
      </c>
      <c r="F2038" s="111" t="str">
        <f>DataPull!D2038</f>
        <v/>
      </c>
      <c r="G2038" s="94" t="str">
        <f t="shared" si="2"/>
        <v/>
      </c>
      <c r="H2038" s="94" t="str">
        <f t="shared" si="3"/>
        <v/>
      </c>
      <c r="I2038" s="94" t="str">
        <f t="shared" ref="I2038:J2038" si="2039">if(G2038 = "", , -G2038)</f>
        <v/>
      </c>
      <c r="J2038" s="94" t="str">
        <f t="shared" si="2039"/>
        <v/>
      </c>
      <c r="K2038" s="100"/>
      <c r="M2038" s="100"/>
      <c r="N2038" s="100"/>
      <c r="O2038" s="100"/>
    </row>
    <row r="2039">
      <c r="A2039" s="107">
        <v>203086.0</v>
      </c>
      <c r="B2039" s="108" t="s">
        <v>92</v>
      </c>
      <c r="C2039" s="108" t="s">
        <v>585</v>
      </c>
      <c r="D2039" s="112" t="s">
        <v>176</v>
      </c>
      <c r="E2039" s="112">
        <v>1329.8</v>
      </c>
      <c r="F2039" s="111" t="str">
        <f>DataPull!D2039</f>
        <v/>
      </c>
      <c r="G2039" s="94" t="str">
        <f t="shared" si="2"/>
        <v/>
      </c>
      <c r="H2039" s="94" t="str">
        <f t="shared" si="3"/>
        <v/>
      </c>
      <c r="I2039" s="94" t="str">
        <f t="shared" ref="I2039:J2039" si="2040">if(G2039 = "", , -G2039)</f>
        <v/>
      </c>
      <c r="J2039" s="94" t="str">
        <f t="shared" si="2040"/>
        <v/>
      </c>
      <c r="K2039" s="100"/>
      <c r="M2039" s="100"/>
      <c r="N2039" s="100"/>
      <c r="O2039" s="100"/>
      <c r="P2039" s="100"/>
    </row>
    <row r="2040">
      <c r="A2040" s="107">
        <v>203086.0</v>
      </c>
      <c r="B2040" s="108" t="s">
        <v>190</v>
      </c>
      <c r="C2040" s="108" t="s">
        <v>585</v>
      </c>
      <c r="D2040" s="112" t="s">
        <v>177</v>
      </c>
      <c r="E2040" s="112">
        <v>1221.0</v>
      </c>
      <c r="F2040" s="111" t="str">
        <f>DataPull!D2040</f>
        <v/>
      </c>
      <c r="G2040" s="94" t="str">
        <f t="shared" si="2"/>
        <v/>
      </c>
      <c r="H2040" s="94" t="str">
        <f t="shared" si="3"/>
        <v/>
      </c>
      <c r="I2040" s="94" t="str">
        <f t="shared" ref="I2040:J2040" si="2041">if(G2040 = "", , -G2040)</f>
        <v/>
      </c>
      <c r="J2040" s="94" t="str">
        <f t="shared" si="2041"/>
        <v/>
      </c>
      <c r="K2040" s="100"/>
      <c r="L2040" s="100"/>
      <c r="M2040" s="100"/>
      <c r="N2040" s="100"/>
      <c r="O2040" s="100"/>
      <c r="P2040" s="100"/>
    </row>
    <row r="2041">
      <c r="A2041" s="107">
        <v>203086.0</v>
      </c>
      <c r="B2041" s="108" t="s">
        <v>191</v>
      </c>
      <c r="C2041" s="108" t="s">
        <v>585</v>
      </c>
      <c r="D2041" s="112" t="s">
        <v>187</v>
      </c>
      <c r="E2041" s="112">
        <v>254.1</v>
      </c>
      <c r="F2041" s="111" t="str">
        <f>DataPull!D2041</f>
        <v/>
      </c>
      <c r="G2041" s="94" t="str">
        <f t="shared" si="2"/>
        <v/>
      </c>
      <c r="H2041" s="94" t="str">
        <f t="shared" si="3"/>
        <v/>
      </c>
      <c r="I2041" s="94" t="str">
        <f t="shared" ref="I2041:J2041" si="2042">if(G2041 = "", , -G2041)</f>
        <v/>
      </c>
      <c r="J2041" s="94" t="str">
        <f t="shared" si="2042"/>
        <v/>
      </c>
      <c r="K2041" s="100"/>
      <c r="M2041" s="100"/>
      <c r="N2041" s="100"/>
      <c r="O2041" s="100"/>
      <c r="P2041" s="100"/>
    </row>
    <row r="2042">
      <c r="A2042" s="107">
        <v>203086.0</v>
      </c>
      <c r="B2042" s="108" t="s">
        <v>192</v>
      </c>
      <c r="C2042" s="108" t="s">
        <v>585</v>
      </c>
      <c r="D2042" s="112" t="s">
        <v>177</v>
      </c>
      <c r="E2042" s="112">
        <v>878.4</v>
      </c>
      <c r="F2042" s="111" t="str">
        <f>DataPull!D2042</f>
        <v/>
      </c>
      <c r="G2042" s="94" t="str">
        <f t="shared" si="2"/>
        <v/>
      </c>
      <c r="H2042" s="94" t="str">
        <f t="shared" si="3"/>
        <v/>
      </c>
      <c r="I2042" s="94" t="str">
        <f t="shared" ref="I2042:J2042" si="2043">if(G2042 = "", , -G2042)</f>
        <v/>
      </c>
      <c r="J2042" s="94" t="str">
        <f t="shared" si="2043"/>
        <v/>
      </c>
      <c r="K2042" s="100"/>
      <c r="M2042" s="100"/>
      <c r="N2042" s="100"/>
      <c r="O2042" s="100"/>
      <c r="P2042" s="100"/>
    </row>
    <row r="2043">
      <c r="A2043" s="107">
        <v>203086.0</v>
      </c>
      <c r="B2043" s="108" t="s">
        <v>193</v>
      </c>
      <c r="C2043" s="108" t="s">
        <v>585</v>
      </c>
      <c r="D2043" s="112" t="s">
        <v>176</v>
      </c>
      <c r="E2043" s="112">
        <v>1035.3</v>
      </c>
      <c r="F2043" s="111" t="str">
        <f>DataPull!D2043</f>
        <v/>
      </c>
      <c r="G2043" s="94" t="str">
        <f t="shared" si="2"/>
        <v/>
      </c>
      <c r="H2043" s="94" t="str">
        <f t="shared" si="3"/>
        <v/>
      </c>
      <c r="I2043" s="94" t="str">
        <f t="shared" ref="I2043:J2043" si="2044">if(G2043 = "", , -G2043)</f>
        <v/>
      </c>
      <c r="J2043" s="94" t="str">
        <f t="shared" si="2044"/>
        <v/>
      </c>
      <c r="K2043" s="100"/>
      <c r="L2043" s="100"/>
      <c r="N2043" s="100"/>
      <c r="O2043" s="100"/>
      <c r="P2043" s="100"/>
    </row>
    <row r="2044">
      <c r="A2044" s="107">
        <v>203086.0</v>
      </c>
      <c r="B2044" s="108" t="s">
        <v>243</v>
      </c>
      <c r="C2044" s="108" t="s">
        <v>585</v>
      </c>
      <c r="D2044" s="112" t="s">
        <v>181</v>
      </c>
      <c r="E2044" s="112">
        <v>29.4</v>
      </c>
      <c r="F2044" s="111" t="str">
        <f>DataPull!D2044</f>
        <v/>
      </c>
      <c r="G2044" s="94" t="str">
        <f t="shared" si="2"/>
        <v/>
      </c>
      <c r="H2044" s="94" t="str">
        <f t="shared" si="3"/>
        <v/>
      </c>
      <c r="I2044" s="94" t="str">
        <f t="shared" ref="I2044:J2044" si="2045">if(G2044 = "", , -G2044)</f>
        <v/>
      </c>
      <c r="J2044" s="94" t="str">
        <f t="shared" si="2045"/>
        <v/>
      </c>
      <c r="K2044" s="100"/>
      <c r="M2044" s="100"/>
      <c r="N2044" s="100"/>
      <c r="O2044" s="100"/>
      <c r="P2044" s="100"/>
    </row>
    <row r="2045">
      <c r="A2045" s="107">
        <v>203086.0</v>
      </c>
      <c r="B2045" s="108" t="s">
        <v>244</v>
      </c>
      <c r="C2045" s="108" t="s">
        <v>585</v>
      </c>
      <c r="D2045" s="112" t="s">
        <v>187</v>
      </c>
      <c r="E2045" s="112">
        <v>113.4</v>
      </c>
      <c r="F2045" s="111" t="str">
        <f>DataPull!D2045</f>
        <v/>
      </c>
      <c r="G2045" s="94" t="str">
        <f t="shared" si="2"/>
        <v/>
      </c>
      <c r="H2045" s="94" t="str">
        <f t="shared" si="3"/>
        <v/>
      </c>
      <c r="I2045" s="94" t="str">
        <f t="shared" ref="I2045:J2045" si="2046">if(G2045 = "", , -G2045)</f>
        <v/>
      </c>
      <c r="J2045" s="94" t="str">
        <f t="shared" si="2046"/>
        <v/>
      </c>
      <c r="K2045" s="100"/>
      <c r="L2045" s="100"/>
      <c r="M2045" s="100"/>
      <c r="N2045" s="100"/>
      <c r="O2045" s="100"/>
      <c r="P2045" s="100"/>
    </row>
    <row r="2046">
      <c r="A2046" s="107">
        <v>203087.0</v>
      </c>
      <c r="B2046" s="108" t="s">
        <v>85</v>
      </c>
      <c r="C2046" s="108" t="s">
        <v>586</v>
      </c>
      <c r="D2046" s="112" t="s">
        <v>176</v>
      </c>
      <c r="E2046" s="112">
        <v>1536.6</v>
      </c>
      <c r="F2046" s="111" t="str">
        <f>DataPull!D2046</f>
        <v/>
      </c>
      <c r="G2046" s="94" t="str">
        <f t="shared" si="2"/>
        <v/>
      </c>
      <c r="H2046" s="94" t="str">
        <f t="shared" si="3"/>
        <v/>
      </c>
      <c r="I2046" s="94" t="str">
        <f t="shared" ref="I2046:J2046" si="2047">if(G2046 = "", , -G2046)</f>
        <v/>
      </c>
      <c r="J2046" s="94" t="str">
        <f t="shared" si="2047"/>
        <v/>
      </c>
      <c r="K2046" s="100"/>
      <c r="L2046" s="100"/>
      <c r="N2046" s="100"/>
      <c r="O2046" s="100"/>
      <c r="P2046" s="100"/>
    </row>
    <row r="2047">
      <c r="A2047" s="107">
        <v>203087.0</v>
      </c>
      <c r="B2047" s="108" t="s">
        <v>90</v>
      </c>
      <c r="C2047" s="108" t="s">
        <v>586</v>
      </c>
      <c r="D2047" s="112" t="s">
        <v>177</v>
      </c>
      <c r="E2047" s="112">
        <v>634.5</v>
      </c>
      <c r="F2047" s="111" t="str">
        <f>DataPull!D2047</f>
        <v/>
      </c>
      <c r="G2047" s="94" t="str">
        <f t="shared" si="2"/>
        <v/>
      </c>
      <c r="H2047" s="94" t="str">
        <f t="shared" si="3"/>
        <v/>
      </c>
      <c r="I2047" s="94" t="str">
        <f t="shared" ref="I2047:J2047" si="2048">if(G2047 = "", , -G2047)</f>
        <v/>
      </c>
      <c r="J2047" s="94" t="str">
        <f t="shared" si="2048"/>
        <v/>
      </c>
      <c r="K2047" s="100"/>
      <c r="M2047" s="100"/>
      <c r="N2047" s="100"/>
      <c r="O2047" s="100"/>
      <c r="P2047" s="100"/>
    </row>
    <row r="2048">
      <c r="A2048" s="107">
        <v>203087.0</v>
      </c>
      <c r="B2048" s="108" t="s">
        <v>92</v>
      </c>
      <c r="C2048" s="108" t="s">
        <v>586</v>
      </c>
      <c r="D2048" s="112" t="s">
        <v>177</v>
      </c>
      <c r="E2048" s="112">
        <v>1227.6</v>
      </c>
      <c r="F2048" s="111" t="str">
        <f>DataPull!D2048</f>
        <v/>
      </c>
      <c r="G2048" s="94" t="str">
        <f t="shared" si="2"/>
        <v/>
      </c>
      <c r="H2048" s="94" t="str">
        <f t="shared" si="3"/>
        <v/>
      </c>
      <c r="I2048" s="94" t="str">
        <f t="shared" ref="I2048:J2048" si="2049">if(G2048 = "", , -G2048)</f>
        <v/>
      </c>
      <c r="J2048" s="94" t="str">
        <f t="shared" si="2049"/>
        <v/>
      </c>
      <c r="K2048" s="100"/>
      <c r="M2048" s="100"/>
      <c r="N2048" s="100"/>
      <c r="O2048" s="100"/>
      <c r="P2048" s="100"/>
    </row>
    <row r="2049">
      <c r="A2049" s="107">
        <v>203087.0</v>
      </c>
      <c r="B2049" s="108" t="s">
        <v>190</v>
      </c>
      <c r="C2049" s="108" t="s">
        <v>586</v>
      </c>
      <c r="D2049" s="112" t="s">
        <v>177</v>
      </c>
      <c r="E2049" s="112">
        <v>1140.8</v>
      </c>
      <c r="F2049" s="111" t="str">
        <f>DataPull!D2049</f>
        <v/>
      </c>
      <c r="G2049" s="94" t="str">
        <f t="shared" si="2"/>
        <v/>
      </c>
      <c r="H2049" s="94" t="str">
        <f t="shared" si="3"/>
        <v/>
      </c>
      <c r="I2049" s="94" t="str">
        <f t="shared" ref="I2049:J2049" si="2050">if(G2049 = "", , -G2049)</f>
        <v/>
      </c>
      <c r="J2049" s="94" t="str">
        <f t="shared" si="2050"/>
        <v/>
      </c>
      <c r="K2049" s="100"/>
      <c r="M2049" s="100"/>
      <c r="N2049" s="100"/>
      <c r="O2049" s="100"/>
      <c r="P2049" s="100"/>
    </row>
    <row r="2050">
      <c r="A2050" s="107">
        <v>203087.0</v>
      </c>
      <c r="B2050" s="108" t="s">
        <v>191</v>
      </c>
      <c r="C2050" s="108" t="s">
        <v>586</v>
      </c>
      <c r="D2050" s="112" t="s">
        <v>176</v>
      </c>
      <c r="E2050" s="112">
        <v>1968.0</v>
      </c>
      <c r="F2050" s="111" t="str">
        <f>DataPull!D2050</f>
        <v/>
      </c>
      <c r="G2050" s="94" t="str">
        <f t="shared" si="2"/>
        <v/>
      </c>
      <c r="H2050" s="94" t="str">
        <f t="shared" si="3"/>
        <v/>
      </c>
      <c r="I2050" s="94" t="str">
        <f t="shared" ref="I2050:J2050" si="2051">if(G2050 = "", , -G2050)</f>
        <v/>
      </c>
      <c r="J2050" s="94" t="str">
        <f t="shared" si="2051"/>
        <v/>
      </c>
      <c r="K2050" s="100"/>
      <c r="M2050" s="100"/>
      <c r="N2050" s="100"/>
      <c r="O2050" s="100"/>
      <c r="P2050" s="100"/>
    </row>
    <row r="2051">
      <c r="A2051" s="107">
        <v>203087.0</v>
      </c>
      <c r="B2051" s="108" t="s">
        <v>192</v>
      </c>
      <c r="C2051" s="108" t="s">
        <v>586</v>
      </c>
      <c r="D2051" s="112" t="s">
        <v>184</v>
      </c>
      <c r="E2051" s="112">
        <v>2251.5</v>
      </c>
      <c r="F2051" s="111" t="str">
        <f>DataPull!D2051</f>
        <v/>
      </c>
      <c r="G2051" s="94" t="str">
        <f t="shared" si="2"/>
        <v/>
      </c>
      <c r="H2051" s="94" t="str">
        <f t="shared" si="3"/>
        <v/>
      </c>
      <c r="I2051" s="94" t="str">
        <f t="shared" ref="I2051:J2051" si="2052">if(G2051 = "", , -G2051)</f>
        <v/>
      </c>
      <c r="J2051" s="94" t="str">
        <f t="shared" si="2052"/>
        <v/>
      </c>
      <c r="K2051" s="100"/>
      <c r="M2051" s="100"/>
      <c r="N2051" s="100"/>
      <c r="O2051" s="100"/>
      <c r="P2051" s="100"/>
    </row>
    <row r="2052">
      <c r="A2052" s="107">
        <v>203087.0</v>
      </c>
      <c r="B2052" s="108" t="s">
        <v>193</v>
      </c>
      <c r="C2052" s="108" t="s">
        <v>586</v>
      </c>
      <c r="D2052" s="112" t="s">
        <v>178</v>
      </c>
      <c r="E2052" s="112">
        <v>1292.6</v>
      </c>
      <c r="F2052" s="111" t="str">
        <f>DataPull!D2052</f>
        <v/>
      </c>
      <c r="G2052" s="94" t="str">
        <f t="shared" si="2"/>
        <v/>
      </c>
      <c r="H2052" s="94" t="str">
        <f t="shared" si="3"/>
        <v/>
      </c>
      <c r="I2052" s="94" t="str">
        <f t="shared" ref="I2052:J2052" si="2053">if(G2052 = "", , -G2052)</f>
        <v/>
      </c>
      <c r="J2052" s="94" t="str">
        <f t="shared" si="2053"/>
        <v/>
      </c>
      <c r="K2052" s="100"/>
      <c r="M2052" s="100"/>
      <c r="N2052" s="100"/>
      <c r="O2052" s="100"/>
      <c r="P2052" s="100"/>
    </row>
    <row r="2053">
      <c r="A2053" s="107">
        <v>203087.0</v>
      </c>
      <c r="B2053" s="108" t="s">
        <v>243</v>
      </c>
      <c r="C2053" s="108" t="s">
        <v>586</v>
      </c>
      <c r="D2053" s="112" t="s">
        <v>177</v>
      </c>
      <c r="E2053" s="112">
        <v>766.8</v>
      </c>
      <c r="F2053" s="111" t="str">
        <f>DataPull!D2053</f>
        <v/>
      </c>
      <c r="G2053" s="94" t="str">
        <f t="shared" si="2"/>
        <v/>
      </c>
      <c r="H2053" s="94" t="str">
        <f t="shared" si="3"/>
        <v/>
      </c>
      <c r="I2053" s="94" t="str">
        <f t="shared" ref="I2053:J2053" si="2054">if(G2053 = "", , -G2053)</f>
        <v/>
      </c>
      <c r="J2053" s="94" t="str">
        <f t="shared" si="2054"/>
        <v/>
      </c>
      <c r="K2053" s="100"/>
      <c r="M2053" s="100"/>
      <c r="N2053" s="100"/>
      <c r="O2053" s="100"/>
      <c r="P2053" s="100"/>
    </row>
    <row r="2054">
      <c r="A2054" s="107">
        <v>203087.0</v>
      </c>
      <c r="B2054" s="108" t="s">
        <v>215</v>
      </c>
      <c r="C2054" s="108" t="s">
        <v>586</v>
      </c>
      <c r="D2054" s="112" t="s">
        <v>177</v>
      </c>
      <c r="E2054" s="112">
        <v>935.2</v>
      </c>
      <c r="F2054" s="111" t="str">
        <f>DataPull!D2054</f>
        <v/>
      </c>
      <c r="G2054" s="94" t="str">
        <f t="shared" si="2"/>
        <v/>
      </c>
      <c r="H2054" s="94" t="str">
        <f t="shared" si="3"/>
        <v/>
      </c>
      <c r="I2054" s="94" t="str">
        <f t="shared" ref="I2054:J2054" si="2055">if(G2054 = "", , -G2054)</f>
        <v/>
      </c>
      <c r="J2054" s="94" t="str">
        <f t="shared" si="2055"/>
        <v/>
      </c>
      <c r="K2054" s="100"/>
      <c r="M2054" s="100"/>
      <c r="N2054" s="100"/>
      <c r="O2054" s="100"/>
      <c r="P2054" s="100"/>
    </row>
    <row r="2055">
      <c r="A2055" s="107">
        <v>203088.0</v>
      </c>
      <c r="B2055" s="108" t="s">
        <v>85</v>
      </c>
      <c r="C2055" s="108" t="s">
        <v>587</v>
      </c>
      <c r="D2055" s="112" t="s">
        <v>178</v>
      </c>
      <c r="E2055" s="112">
        <v>1566.0</v>
      </c>
      <c r="F2055" s="111" t="str">
        <f>DataPull!D2055</f>
        <v/>
      </c>
      <c r="G2055" s="94" t="str">
        <f t="shared" si="2"/>
        <v/>
      </c>
      <c r="H2055" s="94" t="str">
        <f t="shared" si="3"/>
        <v/>
      </c>
      <c r="I2055" s="94" t="str">
        <f t="shared" ref="I2055:J2055" si="2056">if(G2055 = "", , -G2055)</f>
        <v/>
      </c>
      <c r="J2055" s="94" t="str">
        <f t="shared" si="2056"/>
        <v/>
      </c>
      <c r="K2055" s="100"/>
      <c r="M2055" s="100"/>
      <c r="N2055" s="100"/>
      <c r="O2055" s="100"/>
      <c r="P2055" s="100"/>
    </row>
    <row r="2056">
      <c r="A2056" s="107">
        <v>203088.0</v>
      </c>
      <c r="B2056" s="108" t="s">
        <v>90</v>
      </c>
      <c r="C2056" s="108" t="s">
        <v>587</v>
      </c>
      <c r="D2056" s="112" t="s">
        <v>177</v>
      </c>
      <c r="E2056" s="112">
        <v>417.2</v>
      </c>
      <c r="F2056" s="111" t="str">
        <f>DataPull!D2056</f>
        <v/>
      </c>
      <c r="G2056" s="94" t="str">
        <f t="shared" si="2"/>
        <v/>
      </c>
      <c r="H2056" s="94" t="str">
        <f t="shared" si="3"/>
        <v/>
      </c>
      <c r="I2056" s="94" t="str">
        <f t="shared" ref="I2056:J2056" si="2057">if(G2056 = "", , -G2056)</f>
        <v/>
      </c>
      <c r="J2056" s="94" t="str">
        <f t="shared" si="2057"/>
        <v/>
      </c>
      <c r="K2056" s="100"/>
      <c r="L2056" s="100"/>
      <c r="N2056" s="100"/>
      <c r="O2056" s="100"/>
      <c r="P2056" s="100"/>
    </row>
    <row r="2057">
      <c r="A2057" s="107">
        <v>203088.0</v>
      </c>
      <c r="B2057" s="108" t="s">
        <v>92</v>
      </c>
      <c r="C2057" s="108" t="s">
        <v>587</v>
      </c>
      <c r="D2057" s="112" t="s">
        <v>177</v>
      </c>
      <c r="E2057" s="112">
        <v>399.0</v>
      </c>
      <c r="F2057" s="111" t="str">
        <f>DataPull!D2057</f>
        <v/>
      </c>
      <c r="G2057" s="94" t="str">
        <f t="shared" si="2"/>
        <v/>
      </c>
      <c r="H2057" s="94" t="str">
        <f t="shared" si="3"/>
        <v/>
      </c>
      <c r="I2057" s="94" t="str">
        <f t="shared" ref="I2057:J2057" si="2058">if(G2057 = "", , -G2057)</f>
        <v/>
      </c>
      <c r="J2057" s="94" t="str">
        <f t="shared" si="2058"/>
        <v/>
      </c>
      <c r="K2057" s="100"/>
      <c r="L2057" s="100"/>
      <c r="M2057" s="100"/>
      <c r="N2057" s="100"/>
      <c r="O2057" s="100"/>
      <c r="P2057" s="100"/>
    </row>
    <row r="2058">
      <c r="A2058" s="107">
        <v>203089.0</v>
      </c>
      <c r="B2058" s="108" t="s">
        <v>85</v>
      </c>
      <c r="C2058" s="108" t="s">
        <v>588</v>
      </c>
      <c r="D2058" s="112" t="s">
        <v>178</v>
      </c>
      <c r="E2058" s="112">
        <v>1855.0</v>
      </c>
      <c r="F2058" s="111" t="str">
        <f>DataPull!D2058</f>
        <v/>
      </c>
      <c r="G2058" s="94" t="str">
        <f t="shared" si="2"/>
        <v/>
      </c>
      <c r="H2058" s="94" t="str">
        <f t="shared" si="3"/>
        <v/>
      </c>
      <c r="I2058" s="94" t="str">
        <f t="shared" ref="I2058:J2058" si="2059">if(G2058 = "", , -G2058)</f>
        <v/>
      </c>
      <c r="J2058" s="94" t="str">
        <f t="shared" si="2059"/>
        <v/>
      </c>
      <c r="K2058" s="100"/>
      <c r="L2058" s="100"/>
      <c r="M2058" s="100"/>
      <c r="N2058" s="100"/>
      <c r="O2058" s="100"/>
    </row>
    <row r="2059">
      <c r="A2059" s="107">
        <v>203089.0</v>
      </c>
      <c r="B2059" s="108" t="s">
        <v>90</v>
      </c>
      <c r="C2059" s="108" t="s">
        <v>588</v>
      </c>
      <c r="D2059" s="112" t="s">
        <v>177</v>
      </c>
      <c r="E2059" s="112">
        <v>1226.1</v>
      </c>
      <c r="F2059" s="111" t="str">
        <f>DataPull!D2059</f>
        <v/>
      </c>
      <c r="G2059" s="94" t="str">
        <f t="shared" si="2"/>
        <v/>
      </c>
      <c r="H2059" s="94" t="str">
        <f t="shared" si="3"/>
        <v/>
      </c>
      <c r="I2059" s="94" t="str">
        <f t="shared" ref="I2059:J2059" si="2060">if(G2059 = "", , -G2059)</f>
        <v/>
      </c>
      <c r="J2059" s="94" t="str">
        <f t="shared" si="2060"/>
        <v/>
      </c>
      <c r="K2059" s="100"/>
      <c r="M2059" s="100"/>
      <c r="N2059" s="100"/>
      <c r="O2059" s="100"/>
      <c r="P2059" s="100"/>
    </row>
    <row r="2060">
      <c r="A2060" s="107">
        <v>203089.0</v>
      </c>
      <c r="B2060" s="108" t="s">
        <v>92</v>
      </c>
      <c r="C2060" s="108" t="s">
        <v>588</v>
      </c>
      <c r="D2060" s="112" t="s">
        <v>177</v>
      </c>
      <c r="E2060" s="112">
        <v>957.6</v>
      </c>
      <c r="F2060" s="111" t="str">
        <f>DataPull!D2060</f>
        <v/>
      </c>
      <c r="G2060" s="94" t="str">
        <f t="shared" si="2"/>
        <v/>
      </c>
      <c r="H2060" s="94" t="str">
        <f t="shared" si="3"/>
        <v/>
      </c>
      <c r="I2060" s="94" t="str">
        <f t="shared" ref="I2060:J2060" si="2061">if(G2060 = "", , -G2060)</f>
        <v/>
      </c>
      <c r="J2060" s="94" t="str">
        <f t="shared" si="2061"/>
        <v/>
      </c>
      <c r="K2060" s="100"/>
      <c r="M2060" s="100"/>
      <c r="N2060" s="100"/>
      <c r="O2060" s="100"/>
      <c r="P2060" s="100"/>
    </row>
    <row r="2061">
      <c r="A2061" s="107">
        <v>203089.0</v>
      </c>
      <c r="B2061" s="108" t="s">
        <v>190</v>
      </c>
      <c r="C2061" s="108" t="s">
        <v>588</v>
      </c>
      <c r="D2061" s="112" t="s">
        <v>177</v>
      </c>
      <c r="E2061" s="112">
        <v>1125.2</v>
      </c>
      <c r="F2061" s="111" t="str">
        <f>DataPull!D2061</f>
        <v/>
      </c>
      <c r="G2061" s="94" t="str">
        <f t="shared" si="2"/>
        <v/>
      </c>
      <c r="H2061" s="94" t="str">
        <f t="shared" si="3"/>
        <v/>
      </c>
      <c r="I2061" s="94" t="str">
        <f t="shared" ref="I2061:J2061" si="2062">if(G2061 = "", , -G2061)</f>
        <v/>
      </c>
      <c r="J2061" s="94" t="str">
        <f t="shared" si="2062"/>
        <v/>
      </c>
      <c r="K2061" s="100"/>
      <c r="L2061" s="100"/>
      <c r="N2061" s="100"/>
      <c r="O2061" s="100"/>
      <c r="P2061" s="100"/>
    </row>
    <row r="2062">
      <c r="A2062" s="107">
        <v>203089.0</v>
      </c>
      <c r="B2062" s="108" t="s">
        <v>191</v>
      </c>
      <c r="C2062" s="108" t="s">
        <v>588</v>
      </c>
      <c r="D2062" s="112" t="s">
        <v>176</v>
      </c>
      <c r="E2062" s="112">
        <v>1968.4</v>
      </c>
      <c r="F2062" s="111" t="str">
        <f>DataPull!D2062</f>
        <v/>
      </c>
      <c r="G2062" s="94" t="str">
        <f t="shared" si="2"/>
        <v/>
      </c>
      <c r="H2062" s="94" t="str">
        <f t="shared" si="3"/>
        <v/>
      </c>
      <c r="I2062" s="94" t="str">
        <f t="shared" ref="I2062:J2062" si="2063">if(G2062 = "", , -G2062)</f>
        <v/>
      </c>
      <c r="J2062" s="94" t="str">
        <f t="shared" si="2063"/>
        <v/>
      </c>
      <c r="K2062" s="100"/>
      <c r="M2062" s="100"/>
      <c r="N2062" s="100"/>
      <c r="O2062" s="100"/>
      <c r="P2062" s="100"/>
    </row>
    <row r="2063">
      <c r="A2063" s="107">
        <v>203089.0</v>
      </c>
      <c r="B2063" s="108" t="s">
        <v>192</v>
      </c>
      <c r="C2063" s="108" t="s">
        <v>588</v>
      </c>
      <c r="D2063" s="112" t="s">
        <v>187</v>
      </c>
      <c r="E2063" s="112">
        <v>189.0</v>
      </c>
      <c r="F2063" s="111" t="str">
        <f>DataPull!D2063</f>
        <v/>
      </c>
      <c r="G2063" s="94" t="str">
        <f t="shared" si="2"/>
        <v/>
      </c>
      <c r="H2063" s="94" t="str">
        <f t="shared" si="3"/>
        <v/>
      </c>
      <c r="I2063" s="94" t="str">
        <f t="shared" ref="I2063:J2063" si="2064">if(G2063 = "", , -G2063)</f>
        <v/>
      </c>
      <c r="J2063" s="94" t="str">
        <f t="shared" si="2064"/>
        <v/>
      </c>
      <c r="K2063" s="100"/>
      <c r="M2063" s="100"/>
      <c r="N2063" s="100"/>
      <c r="O2063" s="100"/>
      <c r="P2063" s="100"/>
    </row>
    <row r="2064">
      <c r="A2064" s="107">
        <v>203089.0</v>
      </c>
      <c r="B2064" s="108" t="s">
        <v>193</v>
      </c>
      <c r="C2064" s="108" t="s">
        <v>588</v>
      </c>
      <c r="D2064" s="112" t="s">
        <v>177</v>
      </c>
      <c r="E2064" s="112">
        <v>600.0</v>
      </c>
      <c r="F2064" s="111" t="str">
        <f>DataPull!D2064</f>
        <v/>
      </c>
      <c r="G2064" s="94" t="str">
        <f t="shared" si="2"/>
        <v/>
      </c>
      <c r="H2064" s="94" t="str">
        <f t="shared" si="3"/>
        <v/>
      </c>
      <c r="I2064" s="94" t="str">
        <f t="shared" ref="I2064:J2064" si="2065">if(G2064 = "", , -G2064)</f>
        <v/>
      </c>
      <c r="J2064" s="94" t="str">
        <f t="shared" si="2065"/>
        <v/>
      </c>
      <c r="K2064" s="100"/>
      <c r="M2064" s="100"/>
      <c r="N2064" s="100"/>
      <c r="O2064" s="100"/>
      <c r="P2064" s="100"/>
    </row>
    <row r="2065">
      <c r="A2065" s="107">
        <v>203090.0</v>
      </c>
      <c r="B2065" s="108" t="s">
        <v>85</v>
      </c>
      <c r="C2065" s="108" t="s">
        <v>589</v>
      </c>
      <c r="D2065" s="112" t="s">
        <v>176</v>
      </c>
      <c r="E2065" s="112">
        <v>1952.0</v>
      </c>
      <c r="F2065" s="111" t="str">
        <f>DataPull!D2065</f>
        <v/>
      </c>
      <c r="G2065" s="94" t="str">
        <f t="shared" si="2"/>
        <v/>
      </c>
      <c r="H2065" s="94" t="str">
        <f t="shared" si="3"/>
        <v/>
      </c>
      <c r="I2065" s="94" t="str">
        <f t="shared" ref="I2065:J2065" si="2066">if(G2065 = "", , -G2065)</f>
        <v/>
      </c>
      <c r="J2065" s="94" t="str">
        <f t="shared" si="2066"/>
        <v/>
      </c>
      <c r="K2065" s="100"/>
      <c r="L2065" s="100"/>
      <c r="M2065" s="100"/>
      <c r="N2065" s="100"/>
      <c r="O2065" s="100"/>
      <c r="P2065" s="100"/>
    </row>
    <row r="2066">
      <c r="A2066" s="107">
        <v>203090.0</v>
      </c>
      <c r="B2066" s="108" t="s">
        <v>90</v>
      </c>
      <c r="C2066" s="108" t="s">
        <v>589</v>
      </c>
      <c r="D2066" s="112" t="s">
        <v>177</v>
      </c>
      <c r="E2066" s="112">
        <v>675.0</v>
      </c>
      <c r="F2066" s="111" t="str">
        <f>DataPull!D2066</f>
        <v/>
      </c>
      <c r="G2066" s="94" t="str">
        <f t="shared" si="2"/>
        <v/>
      </c>
      <c r="H2066" s="94" t="str">
        <f t="shared" si="3"/>
        <v/>
      </c>
      <c r="I2066" s="94" t="str">
        <f t="shared" ref="I2066:J2066" si="2067">if(G2066 = "", , -G2066)</f>
        <v/>
      </c>
      <c r="J2066" s="94" t="str">
        <f t="shared" si="2067"/>
        <v/>
      </c>
      <c r="K2066" s="100"/>
      <c r="M2066" s="100"/>
      <c r="N2066" s="100"/>
      <c r="O2066" s="100"/>
      <c r="P2066" s="100"/>
    </row>
    <row r="2067">
      <c r="A2067" s="107">
        <v>203090.0</v>
      </c>
      <c r="B2067" s="108" t="s">
        <v>92</v>
      </c>
      <c r="C2067" s="108" t="s">
        <v>589</v>
      </c>
      <c r="D2067" s="112" t="s">
        <v>177</v>
      </c>
      <c r="E2067" s="112">
        <v>1458.6</v>
      </c>
      <c r="F2067" s="111" t="str">
        <f>DataPull!D2067</f>
        <v/>
      </c>
      <c r="G2067" s="94" t="str">
        <f t="shared" si="2"/>
        <v/>
      </c>
      <c r="H2067" s="94" t="str">
        <f t="shared" si="3"/>
        <v/>
      </c>
      <c r="I2067" s="94" t="str">
        <f t="shared" ref="I2067:J2067" si="2068">if(G2067 = "", , -G2067)</f>
        <v/>
      </c>
      <c r="J2067" s="94" t="str">
        <f t="shared" si="2068"/>
        <v/>
      </c>
      <c r="K2067" s="100"/>
      <c r="M2067" s="100"/>
      <c r="N2067" s="100"/>
      <c r="O2067" s="100"/>
      <c r="P2067" s="100"/>
    </row>
    <row r="2068">
      <c r="A2068" s="107">
        <v>203090.0</v>
      </c>
      <c r="B2068" s="108" t="s">
        <v>190</v>
      </c>
      <c r="C2068" s="108" t="s">
        <v>589</v>
      </c>
      <c r="D2068" s="112" t="s">
        <v>178</v>
      </c>
      <c r="E2068" s="112">
        <v>2225.3</v>
      </c>
      <c r="F2068" s="111" t="str">
        <f>DataPull!D2068</f>
        <v/>
      </c>
      <c r="G2068" s="94" t="str">
        <f t="shared" si="2"/>
        <v/>
      </c>
      <c r="H2068" s="94" t="str">
        <f t="shared" si="3"/>
        <v/>
      </c>
      <c r="I2068" s="94" t="str">
        <f t="shared" ref="I2068:J2068" si="2069">if(G2068 = "", , -G2068)</f>
        <v/>
      </c>
      <c r="J2068" s="94" t="str">
        <f t="shared" si="2069"/>
        <v/>
      </c>
      <c r="K2068" s="100"/>
      <c r="L2068" s="100"/>
      <c r="N2068" s="100"/>
      <c r="O2068" s="100"/>
      <c r="P2068" s="100"/>
    </row>
    <row r="2069">
      <c r="A2069" s="107">
        <v>203090.0</v>
      </c>
      <c r="B2069" s="108" t="s">
        <v>191</v>
      </c>
      <c r="C2069" s="108" t="s">
        <v>589</v>
      </c>
      <c r="D2069" s="112" t="s">
        <v>176</v>
      </c>
      <c r="E2069" s="112">
        <v>1262.6</v>
      </c>
      <c r="F2069" s="111" t="str">
        <f>DataPull!D2069</f>
        <v/>
      </c>
      <c r="G2069" s="94" t="str">
        <f t="shared" si="2"/>
        <v/>
      </c>
      <c r="H2069" s="94" t="str">
        <f t="shared" si="3"/>
        <v/>
      </c>
      <c r="I2069" s="94" t="str">
        <f t="shared" ref="I2069:J2069" si="2070">if(G2069 = "", , -G2069)</f>
        <v/>
      </c>
      <c r="J2069" s="94" t="str">
        <f t="shared" si="2070"/>
        <v/>
      </c>
      <c r="K2069" s="100"/>
      <c r="L2069" s="100"/>
      <c r="M2069" s="100"/>
      <c r="N2069" s="100"/>
      <c r="O2069" s="100"/>
    </row>
    <row r="2070">
      <c r="A2070" s="107">
        <v>203090.0</v>
      </c>
      <c r="B2070" s="108" t="s">
        <v>192</v>
      </c>
      <c r="C2070" s="108" t="s">
        <v>589</v>
      </c>
      <c r="D2070" s="112" t="s">
        <v>176</v>
      </c>
      <c r="E2070" s="112">
        <v>1416.0</v>
      </c>
      <c r="F2070" s="111" t="str">
        <f>DataPull!D2070</f>
        <v/>
      </c>
      <c r="G2070" s="94" t="str">
        <f t="shared" si="2"/>
        <v/>
      </c>
      <c r="H2070" s="94" t="str">
        <f t="shared" si="3"/>
        <v/>
      </c>
      <c r="I2070" s="94" t="str">
        <f t="shared" ref="I2070:J2070" si="2071">if(G2070 = "", , -G2070)</f>
        <v/>
      </c>
      <c r="J2070" s="94" t="str">
        <f t="shared" si="2071"/>
        <v/>
      </c>
      <c r="K2070" s="100"/>
      <c r="L2070" s="100"/>
      <c r="M2070" s="100"/>
      <c r="N2070" s="100"/>
      <c r="O2070" s="100"/>
    </row>
    <row r="2071">
      <c r="A2071" s="107">
        <v>203090.0</v>
      </c>
      <c r="B2071" s="108" t="s">
        <v>193</v>
      </c>
      <c r="C2071" s="108" t="s">
        <v>589</v>
      </c>
      <c r="D2071" s="112" t="s">
        <v>176</v>
      </c>
      <c r="E2071" s="112">
        <v>1426.0</v>
      </c>
      <c r="F2071" s="111" t="str">
        <f>DataPull!D2071</f>
        <v/>
      </c>
      <c r="G2071" s="94" t="str">
        <f t="shared" si="2"/>
        <v/>
      </c>
      <c r="H2071" s="94" t="str">
        <f t="shared" si="3"/>
        <v/>
      </c>
      <c r="I2071" s="94" t="str">
        <f t="shared" ref="I2071:J2071" si="2072">if(G2071 = "", , -G2071)</f>
        <v/>
      </c>
      <c r="J2071" s="94" t="str">
        <f t="shared" si="2072"/>
        <v/>
      </c>
      <c r="K2071" s="100"/>
      <c r="M2071" s="100"/>
      <c r="N2071" s="100"/>
      <c r="O2071" s="100"/>
      <c r="P2071" s="100"/>
    </row>
    <row r="2072">
      <c r="A2072" s="107">
        <v>203090.0</v>
      </c>
      <c r="B2072" s="108" t="s">
        <v>243</v>
      </c>
      <c r="C2072" s="108" t="s">
        <v>589</v>
      </c>
      <c r="D2072" s="112" t="s">
        <v>176</v>
      </c>
      <c r="E2072" s="112">
        <v>773.3</v>
      </c>
      <c r="F2072" s="111" t="str">
        <f>DataPull!D2072</f>
        <v/>
      </c>
      <c r="G2072" s="94" t="str">
        <f t="shared" si="2"/>
        <v/>
      </c>
      <c r="H2072" s="94" t="str">
        <f t="shared" si="3"/>
        <v/>
      </c>
      <c r="I2072" s="94" t="str">
        <f t="shared" ref="I2072:J2072" si="2073">if(G2072 = "", , -G2072)</f>
        <v/>
      </c>
      <c r="J2072" s="94" t="str">
        <f t="shared" si="2073"/>
        <v/>
      </c>
      <c r="K2072" s="100"/>
      <c r="M2072" s="100"/>
      <c r="N2072" s="100"/>
      <c r="O2072" s="100"/>
      <c r="P2072" s="100"/>
    </row>
    <row r="2073">
      <c r="A2073" s="107">
        <v>203090.0</v>
      </c>
      <c r="B2073" s="108" t="s">
        <v>215</v>
      </c>
      <c r="C2073" s="108" t="s">
        <v>589</v>
      </c>
      <c r="D2073" s="112" t="s">
        <v>177</v>
      </c>
      <c r="E2073" s="112">
        <v>864.8</v>
      </c>
      <c r="F2073" s="111" t="str">
        <f>DataPull!D2073</f>
        <v/>
      </c>
      <c r="G2073" s="94" t="str">
        <f t="shared" si="2"/>
        <v/>
      </c>
      <c r="H2073" s="94" t="str">
        <f t="shared" si="3"/>
        <v/>
      </c>
      <c r="I2073" s="94" t="str">
        <f t="shared" ref="I2073:J2073" si="2074">if(G2073 = "", , -G2073)</f>
        <v/>
      </c>
      <c r="J2073" s="94" t="str">
        <f t="shared" si="2074"/>
        <v/>
      </c>
      <c r="K2073" s="100"/>
      <c r="M2073" s="100"/>
      <c r="N2073" s="100"/>
      <c r="O2073" s="100"/>
      <c r="P2073" s="100"/>
    </row>
    <row r="2074">
      <c r="A2074" s="107">
        <v>203091.0</v>
      </c>
      <c r="B2074" s="108" t="s">
        <v>85</v>
      </c>
      <c r="C2074" s="108" t="s">
        <v>590</v>
      </c>
      <c r="D2074" s="112" t="s">
        <v>181</v>
      </c>
      <c r="E2074" s="112">
        <v>9.0</v>
      </c>
      <c r="F2074" s="111" t="str">
        <f>DataPull!D2074</f>
        <v/>
      </c>
      <c r="G2074" s="94" t="str">
        <f t="shared" si="2"/>
        <v/>
      </c>
      <c r="H2074" s="94" t="str">
        <f t="shared" si="3"/>
        <v/>
      </c>
      <c r="I2074" s="94" t="str">
        <f t="shared" ref="I2074:J2074" si="2075">if(G2074 = "", , -G2074)</f>
        <v/>
      </c>
      <c r="J2074" s="94" t="str">
        <f t="shared" si="2075"/>
        <v/>
      </c>
      <c r="K2074" s="100"/>
      <c r="M2074" s="100"/>
      <c r="N2074" s="100"/>
      <c r="O2074" s="100"/>
      <c r="P2074" s="100"/>
    </row>
    <row r="2075">
      <c r="A2075" s="107">
        <v>203092.0</v>
      </c>
      <c r="B2075" s="108" t="s">
        <v>85</v>
      </c>
      <c r="C2075" s="108" t="s">
        <v>591</v>
      </c>
      <c r="D2075" s="112" t="s">
        <v>177</v>
      </c>
      <c r="E2075" s="112">
        <v>1050.0</v>
      </c>
      <c r="F2075" s="111" t="str">
        <f>DataPull!D2075</f>
        <v/>
      </c>
      <c r="G2075" s="94" t="str">
        <f t="shared" si="2"/>
        <v/>
      </c>
      <c r="H2075" s="94" t="str">
        <f t="shared" si="3"/>
        <v/>
      </c>
      <c r="I2075" s="94" t="str">
        <f t="shared" ref="I2075:J2075" si="2076">if(G2075 = "", , -G2075)</f>
        <v/>
      </c>
      <c r="J2075" s="94" t="str">
        <f t="shared" si="2076"/>
        <v/>
      </c>
      <c r="K2075" s="100"/>
      <c r="M2075" s="100"/>
      <c r="N2075" s="100"/>
      <c r="O2075" s="100"/>
      <c r="P2075" s="100"/>
    </row>
    <row r="2076">
      <c r="A2076" s="107">
        <v>203092.0</v>
      </c>
      <c r="B2076" s="108" t="s">
        <v>90</v>
      </c>
      <c r="C2076" s="108" t="s">
        <v>591</v>
      </c>
      <c r="D2076" s="112" t="s">
        <v>176</v>
      </c>
      <c r="E2076" s="112">
        <v>1730.2</v>
      </c>
      <c r="F2076" s="111" t="str">
        <f>DataPull!D2076</f>
        <v/>
      </c>
      <c r="G2076" s="94" t="str">
        <f t="shared" si="2"/>
        <v/>
      </c>
      <c r="H2076" s="94" t="str">
        <f t="shared" si="3"/>
        <v/>
      </c>
      <c r="I2076" s="94" t="str">
        <f t="shared" ref="I2076:J2076" si="2077">if(G2076 = "", , -G2076)</f>
        <v/>
      </c>
      <c r="J2076" s="94" t="str">
        <f t="shared" si="2077"/>
        <v/>
      </c>
      <c r="K2076" s="100"/>
      <c r="M2076" s="100"/>
      <c r="N2076" s="100"/>
      <c r="O2076" s="100"/>
      <c r="P2076" s="100"/>
    </row>
    <row r="2077">
      <c r="A2077" s="107">
        <v>203092.0</v>
      </c>
      <c r="B2077" s="108" t="s">
        <v>92</v>
      </c>
      <c r="C2077" s="108" t="s">
        <v>591</v>
      </c>
      <c r="D2077" s="112" t="s">
        <v>187</v>
      </c>
      <c r="E2077" s="112">
        <v>708.0</v>
      </c>
      <c r="F2077" s="111" t="str">
        <f>DataPull!D2077</f>
        <v/>
      </c>
      <c r="G2077" s="94" t="str">
        <f t="shared" si="2"/>
        <v/>
      </c>
      <c r="H2077" s="94" t="str">
        <f t="shared" si="3"/>
        <v/>
      </c>
      <c r="I2077" s="94" t="str">
        <f t="shared" ref="I2077:J2077" si="2078">if(G2077 = "", , -G2077)</f>
        <v/>
      </c>
      <c r="J2077" s="94" t="str">
        <f t="shared" si="2078"/>
        <v/>
      </c>
      <c r="K2077" s="100"/>
      <c r="M2077" s="100"/>
      <c r="N2077" s="100"/>
      <c r="O2077" s="100"/>
      <c r="P2077" s="100"/>
    </row>
    <row r="2078">
      <c r="A2078" s="107">
        <v>203092.0</v>
      </c>
      <c r="B2078" s="108" t="s">
        <v>190</v>
      </c>
      <c r="C2078" s="108" t="s">
        <v>591</v>
      </c>
      <c r="D2078" s="112" t="s">
        <v>187</v>
      </c>
      <c r="E2078" s="112">
        <v>525.3</v>
      </c>
      <c r="F2078" s="111" t="str">
        <f>DataPull!D2078</f>
        <v/>
      </c>
      <c r="G2078" s="94" t="str">
        <f t="shared" si="2"/>
        <v/>
      </c>
      <c r="H2078" s="94" t="str">
        <f t="shared" si="3"/>
        <v/>
      </c>
      <c r="I2078" s="94" t="str">
        <f t="shared" ref="I2078:J2078" si="2079">if(G2078 = "", , -G2078)</f>
        <v/>
      </c>
      <c r="J2078" s="94" t="str">
        <f t="shared" si="2079"/>
        <v/>
      </c>
      <c r="K2078" s="100"/>
      <c r="M2078" s="100"/>
      <c r="N2078" s="100"/>
      <c r="O2078" s="100"/>
      <c r="P2078" s="100"/>
    </row>
    <row r="2079">
      <c r="A2079" s="107">
        <v>203092.0</v>
      </c>
      <c r="B2079" s="108" t="s">
        <v>191</v>
      </c>
      <c r="C2079" s="108" t="s">
        <v>591</v>
      </c>
      <c r="D2079" s="112" t="s">
        <v>177</v>
      </c>
      <c r="E2079" s="112">
        <v>1108.8</v>
      </c>
      <c r="F2079" s="111" t="str">
        <f>DataPull!D2079</f>
        <v/>
      </c>
      <c r="G2079" s="94" t="str">
        <f t="shared" si="2"/>
        <v/>
      </c>
      <c r="H2079" s="94" t="str">
        <f t="shared" si="3"/>
        <v/>
      </c>
      <c r="I2079" s="94" t="str">
        <f t="shared" ref="I2079:J2079" si="2080">if(G2079 = "", , -G2079)</f>
        <v/>
      </c>
      <c r="J2079" s="94" t="str">
        <f t="shared" si="2080"/>
        <v/>
      </c>
      <c r="K2079" s="100"/>
      <c r="M2079" s="100"/>
      <c r="N2079" s="100"/>
      <c r="O2079" s="100"/>
      <c r="P2079" s="100"/>
    </row>
    <row r="2080">
      <c r="A2080" s="107">
        <v>203092.0</v>
      </c>
      <c r="B2080" s="108" t="s">
        <v>192</v>
      </c>
      <c r="C2080" s="108" t="s">
        <v>591</v>
      </c>
      <c r="D2080" s="112" t="s">
        <v>181</v>
      </c>
      <c r="E2080" s="112">
        <v>93.0</v>
      </c>
      <c r="F2080" s="111" t="str">
        <f>DataPull!D2080</f>
        <v/>
      </c>
      <c r="G2080" s="94" t="str">
        <f t="shared" si="2"/>
        <v/>
      </c>
      <c r="H2080" s="94" t="str">
        <f t="shared" si="3"/>
        <v/>
      </c>
      <c r="I2080" s="94" t="str">
        <f t="shared" ref="I2080:J2080" si="2081">if(G2080 = "", , -G2080)</f>
        <v/>
      </c>
      <c r="J2080" s="94" t="str">
        <f t="shared" si="2081"/>
        <v/>
      </c>
      <c r="K2080" s="100"/>
      <c r="M2080" s="100"/>
      <c r="N2080" s="100"/>
      <c r="O2080" s="100"/>
      <c r="P2080" s="100"/>
    </row>
    <row r="2081">
      <c r="A2081" s="107">
        <v>203092.0</v>
      </c>
      <c r="B2081" s="108" t="s">
        <v>193</v>
      </c>
      <c r="C2081" s="108" t="s">
        <v>591</v>
      </c>
      <c r="D2081" s="112" t="s">
        <v>181</v>
      </c>
      <c r="E2081" s="112">
        <v>3.8</v>
      </c>
      <c r="F2081" s="111" t="str">
        <f>DataPull!D2081</f>
        <v/>
      </c>
      <c r="G2081" s="94" t="str">
        <f t="shared" si="2"/>
        <v/>
      </c>
      <c r="H2081" s="94" t="str">
        <f t="shared" si="3"/>
        <v/>
      </c>
      <c r="I2081" s="94" t="str">
        <f t="shared" ref="I2081:J2081" si="2082">if(G2081 = "", , -G2081)</f>
        <v/>
      </c>
      <c r="J2081" s="94" t="str">
        <f t="shared" si="2082"/>
        <v/>
      </c>
      <c r="K2081" s="100"/>
      <c r="M2081" s="100"/>
      <c r="N2081" s="100"/>
      <c r="O2081" s="100"/>
      <c r="P2081" s="100"/>
    </row>
    <row r="2082">
      <c r="A2082" s="107">
        <v>203093.0</v>
      </c>
      <c r="B2082" s="108" t="s">
        <v>85</v>
      </c>
      <c r="C2082" s="108" t="s">
        <v>592</v>
      </c>
      <c r="D2082" s="112"/>
      <c r="E2082" s="112">
        <v>2074.8</v>
      </c>
      <c r="F2082" s="111" t="str">
        <f>DataPull!D2082</f>
        <v/>
      </c>
      <c r="G2082" s="94" t="str">
        <f t="shared" si="2"/>
        <v/>
      </c>
      <c r="H2082" s="94" t="str">
        <f t="shared" si="3"/>
        <v/>
      </c>
      <c r="I2082" s="94" t="str">
        <f t="shared" ref="I2082:J2082" si="2083">if(G2082 = "", , -G2082)</f>
        <v/>
      </c>
      <c r="J2082" s="94" t="str">
        <f t="shared" si="2083"/>
        <v/>
      </c>
      <c r="K2082" s="100"/>
      <c r="M2082" s="100"/>
      <c r="N2082" s="100"/>
      <c r="O2082" s="100"/>
      <c r="P2082" s="100"/>
    </row>
    <row r="2083">
      <c r="A2083" s="107">
        <v>203093.0</v>
      </c>
      <c r="B2083" s="108" t="s">
        <v>90</v>
      </c>
      <c r="C2083" s="108" t="s">
        <v>592</v>
      </c>
      <c r="D2083" s="112"/>
      <c r="E2083" s="112">
        <v>891.0</v>
      </c>
      <c r="F2083" s="111" t="str">
        <f>DataPull!D2083</f>
        <v/>
      </c>
      <c r="G2083" s="94" t="str">
        <f t="shared" si="2"/>
        <v/>
      </c>
      <c r="H2083" s="94" t="str">
        <f t="shared" si="3"/>
        <v/>
      </c>
      <c r="I2083" s="94" t="str">
        <f t="shared" ref="I2083:J2083" si="2084">if(G2083 = "", , -G2083)</f>
        <v/>
      </c>
      <c r="J2083" s="94" t="str">
        <f t="shared" si="2084"/>
        <v/>
      </c>
      <c r="K2083" s="100"/>
      <c r="M2083" s="100"/>
      <c r="N2083" s="100"/>
      <c r="O2083" s="100"/>
      <c r="P2083" s="100"/>
    </row>
    <row r="2084">
      <c r="A2084" s="107">
        <v>203093.0</v>
      </c>
      <c r="B2084" s="108" t="s">
        <v>92</v>
      </c>
      <c r="C2084" s="108" t="s">
        <v>592</v>
      </c>
      <c r="D2084" s="112"/>
      <c r="E2084" s="112">
        <v>1045.0</v>
      </c>
      <c r="F2084" s="111" t="str">
        <f>DataPull!D2084</f>
        <v/>
      </c>
      <c r="G2084" s="94" t="str">
        <f t="shared" si="2"/>
        <v/>
      </c>
      <c r="H2084" s="94" t="str">
        <f t="shared" si="3"/>
        <v/>
      </c>
      <c r="I2084" s="94" t="str">
        <f t="shared" ref="I2084:J2084" si="2085">if(G2084 = "", , -G2084)</f>
        <v/>
      </c>
      <c r="J2084" s="94" t="str">
        <f t="shared" si="2085"/>
        <v/>
      </c>
      <c r="K2084" s="100"/>
      <c r="M2084" s="100"/>
      <c r="N2084" s="100"/>
      <c r="O2084" s="100"/>
      <c r="P2084" s="100"/>
    </row>
    <row r="2085">
      <c r="A2085" s="107">
        <v>203093.0</v>
      </c>
      <c r="B2085" s="108" t="s">
        <v>190</v>
      </c>
      <c r="C2085" s="108" t="s">
        <v>592</v>
      </c>
      <c r="D2085" s="112"/>
      <c r="E2085" s="112">
        <v>1269.0</v>
      </c>
      <c r="F2085" s="111" t="str">
        <f>DataPull!D2085</f>
        <v/>
      </c>
      <c r="G2085" s="94" t="str">
        <f t="shared" si="2"/>
        <v/>
      </c>
      <c r="H2085" s="94" t="str">
        <f t="shared" si="3"/>
        <v/>
      </c>
      <c r="I2085" s="94" t="str">
        <f t="shared" ref="I2085:J2085" si="2086">if(G2085 = "", , -G2085)</f>
        <v/>
      </c>
      <c r="J2085" s="94" t="str">
        <f t="shared" si="2086"/>
        <v/>
      </c>
      <c r="K2085" s="100"/>
      <c r="M2085" s="100"/>
      <c r="N2085" s="100"/>
      <c r="O2085" s="100"/>
      <c r="P2085" s="100"/>
    </row>
    <row r="2086">
      <c r="A2086" s="107">
        <v>203093.0</v>
      </c>
      <c r="B2086" s="108" t="s">
        <v>192</v>
      </c>
      <c r="C2086" s="108" t="s">
        <v>592</v>
      </c>
      <c r="D2086" s="112"/>
      <c r="E2086" s="112">
        <v>5.2</v>
      </c>
      <c r="F2086" s="111" t="str">
        <f>DataPull!D2086</f>
        <v/>
      </c>
      <c r="G2086" s="94" t="str">
        <f t="shared" si="2"/>
        <v/>
      </c>
      <c r="H2086" s="94" t="str">
        <f t="shared" si="3"/>
        <v/>
      </c>
      <c r="I2086" s="94" t="str">
        <f t="shared" ref="I2086:J2086" si="2087">if(G2086 = "", , -G2086)</f>
        <v/>
      </c>
      <c r="J2086" s="94" t="str">
        <f t="shared" si="2087"/>
        <v/>
      </c>
      <c r="K2086" s="100"/>
      <c r="M2086" s="100"/>
      <c r="N2086" s="100"/>
      <c r="O2086" s="100"/>
      <c r="P2086" s="100"/>
    </row>
    <row r="2087">
      <c r="A2087" s="107">
        <v>203094.0</v>
      </c>
      <c r="B2087" s="108" t="s">
        <v>85</v>
      </c>
      <c r="C2087" s="108" t="s">
        <v>593</v>
      </c>
      <c r="D2087" s="112" t="s">
        <v>177</v>
      </c>
      <c r="E2087" s="112">
        <v>1170.4</v>
      </c>
      <c r="F2087" s="111" t="str">
        <f>DataPull!D2087</f>
        <v/>
      </c>
      <c r="G2087" s="94" t="str">
        <f t="shared" si="2"/>
        <v/>
      </c>
      <c r="H2087" s="94" t="str">
        <f t="shared" si="3"/>
        <v/>
      </c>
      <c r="I2087" s="94" t="str">
        <f t="shared" ref="I2087:J2087" si="2088">if(G2087 = "", , -G2087)</f>
        <v/>
      </c>
      <c r="J2087" s="94" t="str">
        <f t="shared" si="2088"/>
        <v/>
      </c>
      <c r="K2087" s="100"/>
      <c r="L2087" s="100"/>
      <c r="M2087" s="100"/>
      <c r="N2087" s="100"/>
      <c r="O2087" s="100"/>
      <c r="P2087" s="100"/>
    </row>
    <row r="2088">
      <c r="A2088" s="107">
        <v>203094.0</v>
      </c>
      <c r="B2088" s="108" t="s">
        <v>90</v>
      </c>
      <c r="C2088" s="108" t="s">
        <v>593</v>
      </c>
      <c r="D2088" s="112" t="s">
        <v>177</v>
      </c>
      <c r="E2088" s="112">
        <v>492.0</v>
      </c>
      <c r="F2088" s="111" t="str">
        <f>DataPull!D2088</f>
        <v/>
      </c>
      <c r="G2088" s="94" t="str">
        <f t="shared" si="2"/>
        <v/>
      </c>
      <c r="H2088" s="94" t="str">
        <f t="shared" si="3"/>
        <v/>
      </c>
      <c r="I2088" s="94" t="str">
        <f t="shared" ref="I2088:J2088" si="2089">if(G2088 = "", , -G2088)</f>
        <v/>
      </c>
      <c r="J2088" s="94" t="str">
        <f t="shared" si="2089"/>
        <v/>
      </c>
      <c r="K2088" s="100"/>
      <c r="M2088" s="100"/>
      <c r="N2088" s="100"/>
      <c r="O2088" s="100"/>
      <c r="P2088" s="100"/>
    </row>
    <row r="2089">
      <c r="A2089" s="107">
        <v>203094.0</v>
      </c>
      <c r="B2089" s="108" t="s">
        <v>92</v>
      </c>
      <c r="C2089" s="108" t="s">
        <v>593</v>
      </c>
      <c r="D2089" s="112" t="s">
        <v>177</v>
      </c>
      <c r="E2089" s="112">
        <v>823.2</v>
      </c>
      <c r="F2089" s="111" t="str">
        <f>DataPull!D2089</f>
        <v/>
      </c>
      <c r="G2089" s="94" t="str">
        <f t="shared" si="2"/>
        <v/>
      </c>
      <c r="H2089" s="94" t="str">
        <f t="shared" si="3"/>
        <v/>
      </c>
      <c r="I2089" s="94" t="str">
        <f t="shared" ref="I2089:J2089" si="2090">if(G2089 = "", , -G2089)</f>
        <v/>
      </c>
      <c r="J2089" s="94" t="str">
        <f t="shared" si="2090"/>
        <v/>
      </c>
      <c r="K2089" s="100"/>
      <c r="L2089" s="100"/>
      <c r="M2089" s="100"/>
      <c r="N2089" s="100"/>
      <c r="O2089" s="100"/>
    </row>
    <row r="2090">
      <c r="A2090" s="107">
        <v>203094.0</v>
      </c>
      <c r="B2090" s="108" t="s">
        <v>190</v>
      </c>
      <c r="C2090" s="108" t="s">
        <v>593</v>
      </c>
      <c r="D2090" s="112" t="s">
        <v>187</v>
      </c>
      <c r="E2090" s="112">
        <v>342.0</v>
      </c>
      <c r="F2090" s="111" t="str">
        <f>DataPull!D2090</f>
        <v/>
      </c>
      <c r="G2090" s="94" t="str">
        <f t="shared" si="2"/>
        <v/>
      </c>
      <c r="H2090" s="94" t="str">
        <f t="shared" si="3"/>
        <v/>
      </c>
      <c r="I2090" s="94" t="str">
        <f t="shared" ref="I2090:J2090" si="2091">if(G2090 = "", , -G2090)</f>
        <v/>
      </c>
      <c r="J2090" s="94" t="str">
        <f t="shared" si="2091"/>
        <v/>
      </c>
      <c r="K2090" s="100"/>
      <c r="M2090" s="100"/>
      <c r="N2090" s="100"/>
      <c r="O2090" s="100"/>
      <c r="P2090" s="100"/>
    </row>
    <row r="2091">
      <c r="A2091" s="107">
        <v>203095.0</v>
      </c>
      <c r="B2091" s="108" t="s">
        <v>85</v>
      </c>
      <c r="C2091" s="108" t="s">
        <v>594</v>
      </c>
      <c r="D2091" s="112" t="s">
        <v>177</v>
      </c>
      <c r="E2091" s="112">
        <v>1504.8</v>
      </c>
      <c r="F2091" s="111" t="str">
        <f>DataPull!D2091</f>
        <v/>
      </c>
      <c r="G2091" s="94" t="str">
        <f t="shared" si="2"/>
        <v/>
      </c>
      <c r="H2091" s="94" t="str">
        <f t="shared" si="3"/>
        <v/>
      </c>
      <c r="I2091" s="94" t="str">
        <f t="shared" ref="I2091:J2091" si="2092">if(G2091 = "", , -G2091)</f>
        <v/>
      </c>
      <c r="J2091" s="94" t="str">
        <f t="shared" si="2092"/>
        <v/>
      </c>
      <c r="K2091" s="100"/>
      <c r="M2091" s="100"/>
      <c r="N2091" s="100"/>
      <c r="O2091" s="100"/>
      <c r="P2091" s="100"/>
    </row>
    <row r="2092">
      <c r="A2092" s="107">
        <v>203095.0</v>
      </c>
      <c r="B2092" s="108" t="s">
        <v>90</v>
      </c>
      <c r="C2092" s="108" t="s">
        <v>594</v>
      </c>
      <c r="D2092" s="112" t="s">
        <v>178</v>
      </c>
      <c r="E2092" s="112">
        <v>1658.8</v>
      </c>
      <c r="F2092" s="111" t="str">
        <f>DataPull!D2092</f>
        <v/>
      </c>
      <c r="G2092" s="94" t="str">
        <f t="shared" si="2"/>
        <v/>
      </c>
      <c r="H2092" s="94" t="str">
        <f t="shared" si="3"/>
        <v/>
      </c>
      <c r="I2092" s="94" t="str">
        <f t="shared" ref="I2092:J2092" si="2093">if(G2092 = "", , -G2092)</f>
        <v/>
      </c>
      <c r="J2092" s="94" t="str">
        <f t="shared" si="2093"/>
        <v/>
      </c>
      <c r="K2092" s="100"/>
      <c r="M2092" s="100"/>
      <c r="N2092" s="100"/>
      <c r="O2092" s="100"/>
      <c r="P2092" s="100"/>
    </row>
    <row r="2093">
      <c r="A2093" s="107">
        <v>203095.0</v>
      </c>
      <c r="B2093" s="108" t="s">
        <v>92</v>
      </c>
      <c r="C2093" s="108" t="s">
        <v>594</v>
      </c>
      <c r="D2093" s="112" t="s">
        <v>178</v>
      </c>
      <c r="E2093" s="112">
        <v>2567.5</v>
      </c>
      <c r="F2093" s="111" t="str">
        <f>DataPull!D2093</f>
        <v/>
      </c>
      <c r="G2093" s="94" t="str">
        <f t="shared" si="2"/>
        <v/>
      </c>
      <c r="H2093" s="94" t="str">
        <f t="shared" si="3"/>
        <v/>
      </c>
      <c r="I2093" s="94" t="str">
        <f t="shared" ref="I2093:J2093" si="2094">if(G2093 = "", , -G2093)</f>
        <v/>
      </c>
      <c r="J2093" s="94" t="str">
        <f t="shared" si="2094"/>
        <v/>
      </c>
      <c r="K2093" s="100"/>
      <c r="M2093" s="100"/>
      <c r="N2093" s="100"/>
      <c r="O2093" s="100"/>
      <c r="P2093" s="100"/>
    </row>
    <row r="2094">
      <c r="A2094" s="107">
        <v>203095.0</v>
      </c>
      <c r="B2094" s="108" t="s">
        <v>190</v>
      </c>
      <c r="C2094" s="108" t="s">
        <v>594</v>
      </c>
      <c r="D2094" s="112" t="s">
        <v>178</v>
      </c>
      <c r="E2094" s="112">
        <v>2230.4</v>
      </c>
      <c r="F2094" s="111" t="str">
        <f>DataPull!D2094</f>
        <v/>
      </c>
      <c r="G2094" s="94" t="str">
        <f t="shared" si="2"/>
        <v/>
      </c>
      <c r="H2094" s="94" t="str">
        <f t="shared" si="3"/>
        <v/>
      </c>
      <c r="I2094" s="94" t="str">
        <f t="shared" ref="I2094:J2094" si="2095">if(G2094 = "", , -G2094)</f>
        <v/>
      </c>
      <c r="J2094" s="94" t="str">
        <f t="shared" si="2095"/>
        <v/>
      </c>
      <c r="K2094" s="100"/>
      <c r="M2094" s="100"/>
      <c r="N2094" s="100"/>
      <c r="O2094" s="100"/>
      <c r="P2094" s="100"/>
    </row>
    <row r="2095">
      <c r="A2095" s="107">
        <v>203095.0</v>
      </c>
      <c r="B2095" s="108" t="s">
        <v>191</v>
      </c>
      <c r="C2095" s="108" t="s">
        <v>594</v>
      </c>
      <c r="D2095" s="112" t="s">
        <v>178</v>
      </c>
      <c r="E2095" s="112">
        <v>1835.4</v>
      </c>
      <c r="F2095" s="111" t="str">
        <f>DataPull!D2095</f>
        <v/>
      </c>
      <c r="G2095" s="94" t="str">
        <f t="shared" si="2"/>
        <v/>
      </c>
      <c r="H2095" s="94" t="str">
        <f t="shared" si="3"/>
        <v/>
      </c>
      <c r="I2095" s="94" t="str">
        <f t="shared" ref="I2095:J2095" si="2096">if(G2095 = "", , -G2095)</f>
        <v/>
      </c>
      <c r="J2095" s="94" t="str">
        <f t="shared" si="2096"/>
        <v/>
      </c>
      <c r="K2095" s="100"/>
      <c r="M2095" s="100"/>
      <c r="N2095" s="100"/>
      <c r="O2095" s="100"/>
      <c r="P2095" s="100"/>
    </row>
    <row r="2096">
      <c r="A2096" s="107">
        <v>203095.0</v>
      </c>
      <c r="B2096" s="108" t="s">
        <v>192</v>
      </c>
      <c r="C2096" s="108" t="s">
        <v>594</v>
      </c>
      <c r="D2096" s="112" t="s">
        <v>178</v>
      </c>
      <c r="E2096" s="112">
        <v>2551.5</v>
      </c>
      <c r="F2096" s="111" t="str">
        <f>DataPull!D2096</f>
        <v/>
      </c>
      <c r="G2096" s="94" t="str">
        <f t="shared" si="2"/>
        <v/>
      </c>
      <c r="H2096" s="94" t="str">
        <f t="shared" si="3"/>
        <v/>
      </c>
      <c r="I2096" s="94" t="str">
        <f t="shared" ref="I2096:J2096" si="2097">if(G2096 = "", , -G2096)</f>
        <v/>
      </c>
      <c r="J2096" s="94" t="str">
        <f t="shared" si="2097"/>
        <v/>
      </c>
      <c r="K2096" s="100"/>
      <c r="M2096" s="100"/>
      <c r="N2096" s="100"/>
      <c r="O2096" s="100"/>
      <c r="P2096" s="100"/>
    </row>
    <row r="2097">
      <c r="A2097" s="107">
        <v>203095.0</v>
      </c>
      <c r="B2097" s="108" t="s">
        <v>193</v>
      </c>
      <c r="C2097" s="108" t="s">
        <v>594</v>
      </c>
      <c r="D2097" s="112" t="s">
        <v>178</v>
      </c>
      <c r="E2097" s="112">
        <v>2072.4</v>
      </c>
      <c r="F2097" s="111" t="str">
        <f>DataPull!D2097</f>
        <v/>
      </c>
      <c r="G2097" s="94" t="str">
        <f t="shared" si="2"/>
        <v/>
      </c>
      <c r="H2097" s="94" t="str">
        <f t="shared" si="3"/>
        <v/>
      </c>
      <c r="I2097" s="94" t="str">
        <f t="shared" ref="I2097:J2097" si="2098">if(G2097 = "", , -G2097)</f>
        <v/>
      </c>
      <c r="J2097" s="94" t="str">
        <f t="shared" si="2098"/>
        <v/>
      </c>
      <c r="K2097" s="100"/>
      <c r="M2097" s="100"/>
      <c r="N2097" s="100"/>
      <c r="O2097" s="100"/>
      <c r="P2097" s="100"/>
    </row>
    <row r="2098">
      <c r="A2098" s="107">
        <v>203095.0</v>
      </c>
      <c r="B2098" s="108" t="s">
        <v>243</v>
      </c>
      <c r="C2098" s="108" t="s">
        <v>594</v>
      </c>
      <c r="D2098" s="112" t="s">
        <v>178</v>
      </c>
      <c r="E2098" s="112">
        <v>1260.0</v>
      </c>
      <c r="F2098" s="111" t="str">
        <f>DataPull!D2098</f>
        <v/>
      </c>
      <c r="G2098" s="94" t="str">
        <f t="shared" si="2"/>
        <v/>
      </c>
      <c r="H2098" s="94" t="str">
        <f t="shared" si="3"/>
        <v/>
      </c>
      <c r="I2098" s="94" t="str">
        <f t="shared" ref="I2098:J2098" si="2099">if(G2098 = "", , -G2098)</f>
        <v/>
      </c>
      <c r="J2098" s="94" t="str">
        <f t="shared" si="2099"/>
        <v/>
      </c>
      <c r="K2098" s="100"/>
      <c r="N2098" s="100"/>
      <c r="O2098" s="100"/>
      <c r="P2098" s="100"/>
    </row>
    <row r="2099">
      <c r="A2099" s="107">
        <v>203095.0</v>
      </c>
      <c r="B2099" s="108" t="s">
        <v>215</v>
      </c>
      <c r="C2099" s="108" t="s">
        <v>594</v>
      </c>
      <c r="D2099" s="112" t="s">
        <v>178</v>
      </c>
      <c r="E2099" s="112">
        <v>2360.0</v>
      </c>
      <c r="F2099" s="111" t="str">
        <f>DataPull!D2099</f>
        <v/>
      </c>
      <c r="G2099" s="94" t="str">
        <f t="shared" si="2"/>
        <v/>
      </c>
      <c r="H2099" s="94" t="str">
        <f t="shared" si="3"/>
        <v/>
      </c>
      <c r="I2099" s="94" t="str">
        <f t="shared" ref="I2099:J2099" si="2100">if(G2099 = "", , -G2099)</f>
        <v/>
      </c>
      <c r="J2099" s="94" t="str">
        <f t="shared" si="2100"/>
        <v/>
      </c>
      <c r="K2099" s="100"/>
      <c r="M2099" s="100"/>
      <c r="N2099" s="100"/>
      <c r="O2099" s="100"/>
      <c r="P2099" s="100"/>
    </row>
    <row r="2100">
      <c r="A2100" s="107">
        <v>203095.0</v>
      </c>
      <c r="B2100" s="108" t="s">
        <v>244</v>
      </c>
      <c r="C2100" s="108" t="s">
        <v>594</v>
      </c>
      <c r="D2100" s="112" t="s">
        <v>177</v>
      </c>
      <c r="E2100" s="112">
        <v>459.0</v>
      </c>
      <c r="F2100" s="111" t="str">
        <f>DataPull!D2100</f>
        <v/>
      </c>
      <c r="G2100" s="94" t="str">
        <f t="shared" si="2"/>
        <v/>
      </c>
      <c r="H2100" s="94" t="str">
        <f t="shared" si="3"/>
        <v/>
      </c>
      <c r="I2100" s="94" t="str">
        <f t="shared" ref="I2100:J2100" si="2101">if(G2100 = "", , -G2100)</f>
        <v/>
      </c>
      <c r="J2100" s="94" t="str">
        <f t="shared" si="2101"/>
        <v/>
      </c>
      <c r="K2100" s="100"/>
      <c r="M2100" s="100"/>
      <c r="N2100" s="100"/>
      <c r="O2100" s="100"/>
      <c r="P2100" s="100"/>
    </row>
    <row r="2101">
      <c r="A2101" s="107">
        <v>203095.0</v>
      </c>
      <c r="B2101" s="108" t="s">
        <v>245</v>
      </c>
      <c r="C2101" s="108" t="s">
        <v>594</v>
      </c>
      <c r="D2101" s="112" t="s">
        <v>177</v>
      </c>
      <c r="E2101" s="112">
        <v>579.2</v>
      </c>
      <c r="F2101" s="111" t="str">
        <f>DataPull!D2101</f>
        <v/>
      </c>
      <c r="G2101" s="94" t="str">
        <f t="shared" si="2"/>
        <v/>
      </c>
      <c r="H2101" s="94" t="str">
        <f t="shared" si="3"/>
        <v/>
      </c>
      <c r="I2101" s="94" t="str">
        <f t="shared" ref="I2101:J2101" si="2102">if(G2101 = "", , -G2101)</f>
        <v/>
      </c>
      <c r="J2101" s="94" t="str">
        <f t="shared" si="2102"/>
        <v/>
      </c>
      <c r="K2101" s="100"/>
      <c r="M2101" s="100"/>
      <c r="N2101" s="100"/>
      <c r="O2101" s="100"/>
      <c r="P2101" s="100"/>
    </row>
    <row r="2102">
      <c r="A2102" s="107">
        <v>203096.0</v>
      </c>
      <c r="B2102" s="108" t="s">
        <v>85</v>
      </c>
      <c r="C2102" s="108" t="s">
        <v>595</v>
      </c>
      <c r="D2102" s="112" t="s">
        <v>176</v>
      </c>
      <c r="E2102" s="112">
        <v>2042.4</v>
      </c>
      <c r="F2102" s="111" t="str">
        <f>DataPull!D2102</f>
        <v/>
      </c>
      <c r="G2102" s="94" t="str">
        <f t="shared" si="2"/>
        <v/>
      </c>
      <c r="H2102" s="94" t="str">
        <f t="shared" si="3"/>
        <v/>
      </c>
      <c r="I2102" s="94" t="str">
        <f t="shared" ref="I2102:J2102" si="2103">if(G2102 = "", , -G2102)</f>
        <v/>
      </c>
      <c r="J2102" s="94" t="str">
        <f t="shared" si="2103"/>
        <v/>
      </c>
      <c r="K2102" s="100"/>
      <c r="L2102" s="100"/>
      <c r="N2102" s="100"/>
      <c r="O2102" s="100"/>
      <c r="P2102" s="100"/>
    </row>
    <row r="2103">
      <c r="A2103" s="107">
        <v>203096.0</v>
      </c>
      <c r="B2103" s="108" t="s">
        <v>90</v>
      </c>
      <c r="C2103" s="108" t="s">
        <v>595</v>
      </c>
      <c r="D2103" s="112" t="s">
        <v>178</v>
      </c>
      <c r="E2103" s="112">
        <v>1566.0</v>
      </c>
      <c r="F2103" s="111" t="str">
        <f>DataPull!D2103</f>
        <v/>
      </c>
      <c r="G2103" s="94" t="str">
        <f t="shared" si="2"/>
        <v/>
      </c>
      <c r="H2103" s="94" t="str">
        <f t="shared" si="3"/>
        <v/>
      </c>
      <c r="I2103" s="94" t="str">
        <f t="shared" ref="I2103:J2103" si="2104">if(G2103 = "", , -G2103)</f>
        <v/>
      </c>
      <c r="J2103" s="94" t="str">
        <f t="shared" si="2104"/>
        <v/>
      </c>
      <c r="K2103" s="100"/>
      <c r="M2103" s="100"/>
      <c r="N2103" s="100"/>
      <c r="O2103" s="100"/>
      <c r="P2103" s="100"/>
    </row>
    <row r="2104">
      <c r="A2104" s="107">
        <v>203096.0</v>
      </c>
      <c r="B2104" s="108" t="s">
        <v>92</v>
      </c>
      <c r="C2104" s="108" t="s">
        <v>595</v>
      </c>
      <c r="D2104" s="112" t="s">
        <v>176</v>
      </c>
      <c r="E2104" s="112">
        <v>1911.6</v>
      </c>
      <c r="F2104" s="111" t="str">
        <f>DataPull!D2104</f>
        <v/>
      </c>
      <c r="G2104" s="94" t="str">
        <f t="shared" si="2"/>
        <v/>
      </c>
      <c r="H2104" s="94" t="str">
        <f t="shared" si="3"/>
        <v/>
      </c>
      <c r="I2104" s="94" t="str">
        <f t="shared" ref="I2104:J2104" si="2105">if(G2104 = "", , -G2104)</f>
        <v/>
      </c>
      <c r="J2104" s="94" t="str">
        <f t="shared" si="2105"/>
        <v/>
      </c>
      <c r="K2104" s="100"/>
      <c r="M2104" s="100"/>
      <c r="N2104" s="100"/>
      <c r="O2104" s="100"/>
      <c r="P2104" s="100"/>
    </row>
    <row r="2105">
      <c r="A2105" s="107">
        <v>203096.0</v>
      </c>
      <c r="B2105" s="108" t="s">
        <v>190</v>
      </c>
      <c r="C2105" s="108" t="s">
        <v>595</v>
      </c>
      <c r="D2105" s="112" t="s">
        <v>187</v>
      </c>
      <c r="E2105" s="112">
        <v>117.7</v>
      </c>
      <c r="F2105" s="111" t="str">
        <f>DataPull!D2105</f>
        <v/>
      </c>
      <c r="G2105" s="94" t="str">
        <f t="shared" si="2"/>
        <v/>
      </c>
      <c r="H2105" s="94" t="str">
        <f t="shared" si="3"/>
        <v/>
      </c>
      <c r="I2105" s="94" t="str">
        <f t="shared" ref="I2105:J2105" si="2106">if(G2105 = "", , -G2105)</f>
        <v/>
      </c>
      <c r="J2105" s="94" t="str">
        <f t="shared" si="2106"/>
        <v/>
      </c>
      <c r="K2105" s="100"/>
      <c r="M2105" s="100"/>
      <c r="N2105" s="100"/>
      <c r="O2105" s="100"/>
      <c r="P2105" s="100"/>
    </row>
    <row r="2106">
      <c r="A2106" s="107">
        <v>203098.0</v>
      </c>
      <c r="B2106" s="108" t="s">
        <v>85</v>
      </c>
      <c r="C2106" s="108" t="s">
        <v>596</v>
      </c>
      <c r="D2106" s="112" t="s">
        <v>187</v>
      </c>
      <c r="E2106" s="112">
        <v>157.3</v>
      </c>
      <c r="F2106" s="111" t="str">
        <f>DataPull!D2106</f>
        <v/>
      </c>
      <c r="G2106" s="94" t="str">
        <f t="shared" si="2"/>
        <v/>
      </c>
      <c r="H2106" s="94" t="str">
        <f t="shared" si="3"/>
        <v/>
      </c>
      <c r="I2106" s="94" t="str">
        <f t="shared" ref="I2106:J2106" si="2107">if(G2106 = "", , -G2106)</f>
        <v/>
      </c>
      <c r="J2106" s="94" t="str">
        <f t="shared" si="2107"/>
        <v/>
      </c>
      <c r="K2106" s="100"/>
      <c r="M2106" s="100"/>
      <c r="N2106" s="100"/>
      <c r="O2106" s="100"/>
      <c r="P2106" s="100"/>
    </row>
    <row r="2107">
      <c r="A2107" s="107">
        <v>203098.0</v>
      </c>
      <c r="B2107" s="108" t="s">
        <v>90</v>
      </c>
      <c r="C2107" s="108" t="s">
        <v>596</v>
      </c>
      <c r="D2107" s="112" t="s">
        <v>187</v>
      </c>
      <c r="E2107" s="112">
        <v>297.6</v>
      </c>
      <c r="F2107" s="111" t="str">
        <f>DataPull!D2107</f>
        <v/>
      </c>
      <c r="G2107" s="94" t="str">
        <f t="shared" si="2"/>
        <v/>
      </c>
      <c r="H2107" s="94" t="str">
        <f t="shared" si="3"/>
        <v/>
      </c>
      <c r="I2107" s="94" t="str">
        <f t="shared" ref="I2107:J2107" si="2108">if(G2107 = "", , -G2107)</f>
        <v/>
      </c>
      <c r="J2107" s="94" t="str">
        <f t="shared" si="2108"/>
        <v/>
      </c>
      <c r="K2107" s="100"/>
      <c r="M2107" s="100"/>
      <c r="N2107" s="100"/>
      <c r="O2107" s="100"/>
      <c r="P2107" s="100"/>
    </row>
    <row r="2108">
      <c r="A2108" s="107">
        <v>203098.0</v>
      </c>
      <c r="B2108" s="108" t="s">
        <v>92</v>
      </c>
      <c r="C2108" s="108" t="s">
        <v>596</v>
      </c>
      <c r="D2108" s="112" t="s">
        <v>187</v>
      </c>
      <c r="E2108" s="112">
        <v>481.6</v>
      </c>
      <c r="F2108" s="111" t="str">
        <f>DataPull!D2108</f>
        <v/>
      </c>
      <c r="G2108" s="94" t="str">
        <f t="shared" si="2"/>
        <v/>
      </c>
      <c r="H2108" s="94" t="str">
        <f t="shared" si="3"/>
        <v/>
      </c>
      <c r="I2108" s="94" t="str">
        <f t="shared" ref="I2108:J2108" si="2109">if(G2108 = "", , -G2108)</f>
        <v/>
      </c>
      <c r="J2108" s="94" t="str">
        <f t="shared" si="2109"/>
        <v/>
      </c>
      <c r="K2108" s="100"/>
      <c r="M2108" s="100"/>
      <c r="N2108" s="100"/>
      <c r="O2108" s="100"/>
      <c r="P2108" s="100"/>
    </row>
    <row r="2109">
      <c r="A2109" s="107">
        <v>203098.0</v>
      </c>
      <c r="B2109" s="108" t="s">
        <v>190</v>
      </c>
      <c r="C2109" s="108" t="s">
        <v>596</v>
      </c>
      <c r="D2109" s="112" t="s">
        <v>181</v>
      </c>
      <c r="E2109" s="112">
        <v>12.8</v>
      </c>
      <c r="F2109" s="111" t="str">
        <f>DataPull!D2109</f>
        <v/>
      </c>
      <c r="G2109" s="94" t="str">
        <f t="shared" si="2"/>
        <v/>
      </c>
      <c r="H2109" s="94" t="str">
        <f t="shared" si="3"/>
        <v/>
      </c>
      <c r="I2109" s="94" t="str">
        <f t="shared" ref="I2109:J2109" si="2110">if(G2109 = "", , -G2109)</f>
        <v/>
      </c>
      <c r="J2109" s="94" t="str">
        <f t="shared" si="2110"/>
        <v/>
      </c>
      <c r="K2109" s="100"/>
      <c r="M2109" s="100"/>
      <c r="N2109" s="100"/>
      <c r="O2109" s="100"/>
      <c r="P2109" s="100"/>
    </row>
    <row r="2110">
      <c r="A2110" s="107">
        <v>203098.0</v>
      </c>
      <c r="B2110" s="108" t="s">
        <v>192</v>
      </c>
      <c r="C2110" s="108" t="s">
        <v>596</v>
      </c>
      <c r="D2110" s="112" t="s">
        <v>177</v>
      </c>
      <c r="E2110" s="112">
        <v>332.8</v>
      </c>
      <c r="F2110" s="111" t="str">
        <f>DataPull!D2110</f>
        <v/>
      </c>
      <c r="G2110" s="94" t="str">
        <f t="shared" si="2"/>
        <v/>
      </c>
      <c r="H2110" s="94" t="str">
        <f t="shared" si="3"/>
        <v/>
      </c>
      <c r="I2110" s="94" t="str">
        <f t="shared" ref="I2110:J2110" si="2111">if(G2110 = "", , -G2110)</f>
        <v/>
      </c>
      <c r="J2110" s="94" t="str">
        <f t="shared" si="2111"/>
        <v/>
      </c>
      <c r="K2110" s="100"/>
      <c r="M2110" s="100"/>
      <c r="N2110" s="100"/>
      <c r="O2110" s="100"/>
      <c r="P2110" s="100"/>
    </row>
    <row r="2111">
      <c r="A2111" s="107">
        <v>203099.0</v>
      </c>
      <c r="B2111" s="108" t="s">
        <v>85</v>
      </c>
      <c r="C2111" s="108" t="s">
        <v>597</v>
      </c>
      <c r="D2111" s="112" t="s">
        <v>181</v>
      </c>
      <c r="E2111" s="112">
        <v>80.6</v>
      </c>
      <c r="F2111" s="111" t="str">
        <f>DataPull!D2111</f>
        <v/>
      </c>
      <c r="G2111" s="94" t="str">
        <f t="shared" si="2"/>
        <v/>
      </c>
      <c r="H2111" s="94" t="str">
        <f t="shared" si="3"/>
        <v/>
      </c>
      <c r="I2111" s="94" t="str">
        <f t="shared" ref="I2111:J2111" si="2112">if(G2111 = "", , -G2111)</f>
        <v/>
      </c>
      <c r="J2111" s="94" t="str">
        <f t="shared" si="2112"/>
        <v/>
      </c>
      <c r="K2111" s="100"/>
      <c r="M2111" s="100"/>
      <c r="N2111" s="100"/>
      <c r="O2111" s="100"/>
      <c r="P2111" s="100"/>
    </row>
    <row r="2112">
      <c r="A2112" s="107">
        <v>203099.0</v>
      </c>
      <c r="B2112" s="108" t="s">
        <v>90</v>
      </c>
      <c r="C2112" s="108" t="s">
        <v>597</v>
      </c>
      <c r="D2112" s="112" t="s">
        <v>187</v>
      </c>
      <c r="E2112" s="112">
        <v>89.3</v>
      </c>
      <c r="F2112" s="111" t="str">
        <f>DataPull!D2112</f>
        <v/>
      </c>
      <c r="G2112" s="94" t="str">
        <f t="shared" si="2"/>
        <v/>
      </c>
      <c r="H2112" s="94" t="str">
        <f t="shared" si="3"/>
        <v/>
      </c>
      <c r="I2112" s="94" t="str">
        <f t="shared" ref="I2112:J2112" si="2113">if(G2112 = "", , -G2112)</f>
        <v/>
      </c>
      <c r="J2112" s="94" t="str">
        <f t="shared" si="2113"/>
        <v/>
      </c>
      <c r="K2112" s="100"/>
      <c r="M2112" s="100"/>
      <c r="N2112" s="100"/>
      <c r="O2112" s="100"/>
      <c r="P2112" s="100"/>
    </row>
    <row r="2113">
      <c r="A2113" s="107">
        <v>203099.0</v>
      </c>
      <c r="B2113" s="108" t="s">
        <v>92</v>
      </c>
      <c r="C2113" s="108" t="s">
        <v>597</v>
      </c>
      <c r="D2113" s="112" t="s">
        <v>187</v>
      </c>
      <c r="E2113" s="112">
        <v>409.2</v>
      </c>
      <c r="F2113" s="111" t="str">
        <f>DataPull!D2113</f>
        <v/>
      </c>
      <c r="G2113" s="94" t="str">
        <f t="shared" si="2"/>
        <v/>
      </c>
      <c r="H2113" s="94" t="str">
        <f t="shared" si="3"/>
        <v/>
      </c>
      <c r="I2113" s="94" t="str">
        <f t="shared" ref="I2113:J2113" si="2114">if(G2113 = "", , -G2113)</f>
        <v/>
      </c>
      <c r="J2113" s="94" t="str">
        <f t="shared" si="2114"/>
        <v/>
      </c>
      <c r="K2113" s="100"/>
      <c r="M2113" s="100"/>
      <c r="N2113" s="100"/>
      <c r="O2113" s="100"/>
      <c r="P2113" s="100"/>
    </row>
    <row r="2114">
      <c r="A2114" s="107">
        <v>203100.0</v>
      </c>
      <c r="B2114" s="108" t="s">
        <v>85</v>
      </c>
      <c r="C2114" s="108" t="s">
        <v>598</v>
      </c>
      <c r="D2114" s="112" t="s">
        <v>176</v>
      </c>
      <c r="E2114" s="112">
        <v>1764.0</v>
      </c>
      <c r="F2114" s="111" t="str">
        <f>DataPull!D2114</f>
        <v/>
      </c>
      <c r="G2114" s="94" t="str">
        <f t="shared" si="2"/>
        <v/>
      </c>
      <c r="H2114" s="94" t="str">
        <f t="shared" si="3"/>
        <v/>
      </c>
      <c r="I2114" s="94" t="str">
        <f t="shared" ref="I2114:J2114" si="2115">if(G2114 = "", , -G2114)</f>
        <v/>
      </c>
      <c r="J2114" s="94" t="str">
        <f t="shared" si="2115"/>
        <v/>
      </c>
      <c r="K2114" s="100"/>
      <c r="M2114" s="100"/>
      <c r="N2114" s="100"/>
      <c r="O2114" s="100"/>
      <c r="P2114" s="100"/>
    </row>
    <row r="2115">
      <c r="A2115" s="107">
        <v>203100.0</v>
      </c>
      <c r="B2115" s="108" t="s">
        <v>90</v>
      </c>
      <c r="C2115" s="108" t="s">
        <v>598</v>
      </c>
      <c r="D2115" s="112" t="s">
        <v>178</v>
      </c>
      <c r="E2115" s="112">
        <v>894.0</v>
      </c>
      <c r="F2115" s="111" t="str">
        <f>DataPull!D2115</f>
        <v/>
      </c>
      <c r="G2115" s="94" t="str">
        <f t="shared" si="2"/>
        <v/>
      </c>
      <c r="H2115" s="94" t="str">
        <f t="shared" si="3"/>
        <v/>
      </c>
      <c r="I2115" s="94" t="str">
        <f t="shared" ref="I2115:J2115" si="2116">if(G2115 = "", , -G2115)</f>
        <v/>
      </c>
      <c r="J2115" s="94" t="str">
        <f t="shared" si="2116"/>
        <v/>
      </c>
      <c r="K2115" s="100"/>
      <c r="M2115" s="100"/>
      <c r="N2115" s="100"/>
      <c r="O2115" s="100"/>
      <c r="P2115" s="100"/>
    </row>
    <row r="2116">
      <c r="A2116" s="107">
        <v>203100.0</v>
      </c>
      <c r="B2116" s="108" t="s">
        <v>92</v>
      </c>
      <c r="C2116" s="108" t="s">
        <v>598</v>
      </c>
      <c r="D2116" s="112" t="s">
        <v>181</v>
      </c>
      <c r="E2116" s="112">
        <v>144.0</v>
      </c>
      <c r="F2116" s="111" t="str">
        <f>DataPull!D2116</f>
        <v/>
      </c>
      <c r="G2116" s="94" t="str">
        <f t="shared" si="2"/>
        <v/>
      </c>
      <c r="H2116" s="94" t="str">
        <f t="shared" si="3"/>
        <v/>
      </c>
      <c r="I2116" s="94" t="str">
        <f t="shared" ref="I2116:J2116" si="2117">if(G2116 = "", , -G2116)</f>
        <v/>
      </c>
      <c r="J2116" s="94" t="str">
        <f t="shared" si="2117"/>
        <v/>
      </c>
      <c r="K2116" s="100"/>
      <c r="M2116" s="100"/>
      <c r="N2116" s="100"/>
      <c r="O2116" s="100"/>
      <c r="P2116" s="100"/>
    </row>
    <row r="2117">
      <c r="A2117" s="107">
        <v>203101.0</v>
      </c>
      <c r="B2117" s="108" t="s">
        <v>85</v>
      </c>
      <c r="C2117" s="108" t="s">
        <v>599</v>
      </c>
      <c r="D2117" s="112" t="s">
        <v>176</v>
      </c>
      <c r="E2117" s="112">
        <v>1960.0</v>
      </c>
      <c r="F2117" s="111" t="str">
        <f>DataPull!D2117</f>
        <v/>
      </c>
      <c r="G2117" s="94" t="str">
        <f t="shared" si="2"/>
        <v/>
      </c>
      <c r="H2117" s="94" t="str">
        <f t="shared" si="3"/>
        <v/>
      </c>
      <c r="I2117" s="94" t="str">
        <f t="shared" ref="I2117:J2117" si="2118">if(G2117 = "", , -G2117)</f>
        <v/>
      </c>
      <c r="J2117" s="94" t="str">
        <f t="shared" si="2118"/>
        <v/>
      </c>
      <c r="K2117" s="100"/>
      <c r="M2117" s="100"/>
      <c r="N2117" s="100"/>
      <c r="O2117" s="100"/>
      <c r="P2117" s="100"/>
    </row>
    <row r="2118">
      <c r="A2118" s="107">
        <v>203101.0</v>
      </c>
      <c r="B2118" s="108" t="s">
        <v>90</v>
      </c>
      <c r="C2118" s="108" t="s">
        <v>599</v>
      </c>
      <c r="D2118" s="112" t="s">
        <v>177</v>
      </c>
      <c r="E2118" s="112">
        <v>1197.2</v>
      </c>
      <c r="F2118" s="111" t="str">
        <f>DataPull!D2118</f>
        <v/>
      </c>
      <c r="G2118" s="94" t="str">
        <f t="shared" si="2"/>
        <v/>
      </c>
      <c r="H2118" s="94" t="str">
        <f t="shared" si="3"/>
        <v/>
      </c>
      <c r="I2118" s="94" t="str">
        <f t="shared" ref="I2118:J2118" si="2119">if(G2118 = "", , -G2118)</f>
        <v/>
      </c>
      <c r="J2118" s="94" t="str">
        <f t="shared" si="2119"/>
        <v/>
      </c>
      <c r="K2118" s="100"/>
      <c r="M2118" s="100"/>
      <c r="N2118" s="100"/>
      <c r="O2118" s="100"/>
      <c r="P2118" s="100"/>
    </row>
    <row r="2119">
      <c r="A2119" s="107">
        <v>203101.0</v>
      </c>
      <c r="B2119" s="108" t="s">
        <v>92</v>
      </c>
      <c r="C2119" s="108" t="s">
        <v>599</v>
      </c>
      <c r="D2119" s="112" t="s">
        <v>177</v>
      </c>
      <c r="E2119" s="112">
        <v>872.3</v>
      </c>
      <c r="F2119" s="111" t="str">
        <f>DataPull!D2119</f>
        <v/>
      </c>
      <c r="G2119" s="94" t="str">
        <f t="shared" si="2"/>
        <v/>
      </c>
      <c r="H2119" s="94" t="str">
        <f t="shared" si="3"/>
        <v/>
      </c>
      <c r="I2119" s="94" t="str">
        <f t="shared" ref="I2119:J2119" si="2120">if(G2119 = "", , -G2119)</f>
        <v/>
      </c>
      <c r="J2119" s="94" t="str">
        <f t="shared" si="2120"/>
        <v/>
      </c>
      <c r="K2119" s="100"/>
      <c r="L2119" s="100"/>
      <c r="N2119" s="100"/>
      <c r="O2119" s="100"/>
      <c r="P2119" s="100"/>
    </row>
    <row r="2120">
      <c r="A2120" s="107">
        <v>203101.0</v>
      </c>
      <c r="B2120" s="108" t="s">
        <v>190</v>
      </c>
      <c r="C2120" s="108" t="s">
        <v>599</v>
      </c>
      <c r="D2120" s="112" t="s">
        <v>187</v>
      </c>
      <c r="E2120" s="112">
        <v>486.0</v>
      </c>
      <c r="F2120" s="111" t="str">
        <f>DataPull!D2120</f>
        <v/>
      </c>
      <c r="G2120" s="94" t="str">
        <f t="shared" si="2"/>
        <v/>
      </c>
      <c r="H2120" s="94" t="str">
        <f t="shared" si="3"/>
        <v/>
      </c>
      <c r="I2120" s="94" t="str">
        <f t="shared" ref="I2120:J2120" si="2121">if(G2120 = "", , -G2120)</f>
        <v/>
      </c>
      <c r="J2120" s="94" t="str">
        <f t="shared" si="2121"/>
        <v/>
      </c>
      <c r="K2120" s="100"/>
      <c r="M2120" s="100"/>
      <c r="N2120" s="100"/>
      <c r="O2120" s="100"/>
      <c r="P2120" s="100"/>
    </row>
    <row r="2121">
      <c r="A2121" s="107">
        <v>203101.0</v>
      </c>
      <c r="B2121" s="108" t="s">
        <v>191</v>
      </c>
      <c r="C2121" s="108" t="s">
        <v>599</v>
      </c>
      <c r="D2121" s="112" t="s">
        <v>177</v>
      </c>
      <c r="E2121" s="112">
        <v>918.5</v>
      </c>
      <c r="F2121" s="111" t="str">
        <f>DataPull!D2121</f>
        <v/>
      </c>
      <c r="G2121" s="94" t="str">
        <f t="shared" si="2"/>
        <v/>
      </c>
      <c r="H2121" s="94" t="str">
        <f t="shared" si="3"/>
        <v/>
      </c>
      <c r="I2121" s="94" t="str">
        <f t="shared" ref="I2121:J2121" si="2122">if(G2121 = "", , -G2121)</f>
        <v/>
      </c>
      <c r="J2121" s="94" t="str">
        <f t="shared" si="2122"/>
        <v/>
      </c>
      <c r="K2121" s="100"/>
      <c r="M2121" s="100"/>
      <c r="N2121" s="100"/>
      <c r="O2121" s="100"/>
      <c r="P2121" s="100"/>
    </row>
    <row r="2122">
      <c r="A2122" s="107">
        <v>203101.0</v>
      </c>
      <c r="B2122" s="108" t="s">
        <v>192</v>
      </c>
      <c r="C2122" s="108" t="s">
        <v>599</v>
      </c>
      <c r="D2122" s="112" t="s">
        <v>187</v>
      </c>
      <c r="E2122" s="112">
        <v>172.8</v>
      </c>
      <c r="F2122" s="111" t="str">
        <f>DataPull!D2122</f>
        <v/>
      </c>
      <c r="G2122" s="94" t="str">
        <f t="shared" si="2"/>
        <v/>
      </c>
      <c r="H2122" s="94" t="str">
        <f t="shared" si="3"/>
        <v/>
      </c>
      <c r="I2122" s="94" t="str">
        <f t="shared" ref="I2122:J2122" si="2123">if(G2122 = "", , -G2122)</f>
        <v/>
      </c>
      <c r="J2122" s="94" t="str">
        <f t="shared" si="2123"/>
        <v/>
      </c>
      <c r="K2122" s="100"/>
      <c r="M2122" s="100"/>
      <c r="N2122" s="100"/>
      <c r="O2122" s="100"/>
      <c r="P2122" s="100"/>
    </row>
    <row r="2123">
      <c r="A2123" s="107">
        <v>203102.0</v>
      </c>
      <c r="B2123" s="108" t="s">
        <v>85</v>
      </c>
      <c r="C2123" s="108" t="s">
        <v>600</v>
      </c>
      <c r="D2123" s="112" t="s">
        <v>187</v>
      </c>
      <c r="E2123" s="112">
        <v>187.2</v>
      </c>
      <c r="F2123" s="111" t="str">
        <f>DataPull!D2123</f>
        <v/>
      </c>
      <c r="G2123" s="94" t="str">
        <f t="shared" si="2"/>
        <v/>
      </c>
      <c r="H2123" s="94" t="str">
        <f t="shared" si="3"/>
        <v/>
      </c>
      <c r="I2123" s="94" t="str">
        <f t="shared" ref="I2123:J2123" si="2124">if(G2123 = "", , -G2123)</f>
        <v/>
      </c>
      <c r="J2123" s="94" t="str">
        <f t="shared" si="2124"/>
        <v/>
      </c>
      <c r="K2123" s="100"/>
      <c r="M2123" s="100"/>
      <c r="N2123" s="100"/>
      <c r="O2123" s="100"/>
      <c r="P2123" s="100"/>
    </row>
    <row r="2124">
      <c r="A2124" s="107">
        <v>203103.0</v>
      </c>
      <c r="B2124" s="108" t="s">
        <v>85</v>
      </c>
      <c r="C2124" s="115" t="s">
        <v>601</v>
      </c>
      <c r="D2124" s="112" t="s">
        <v>177</v>
      </c>
      <c r="E2124" s="112">
        <v>762.6</v>
      </c>
      <c r="F2124" s="111" t="str">
        <f>DataPull!D2124</f>
        <v/>
      </c>
      <c r="G2124" s="94" t="str">
        <f t="shared" si="2"/>
        <v/>
      </c>
      <c r="H2124" s="94" t="str">
        <f t="shared" si="3"/>
        <v/>
      </c>
      <c r="I2124" s="94" t="str">
        <f t="shared" ref="I2124:J2124" si="2125">if(G2124 = "", , -G2124)</f>
        <v/>
      </c>
      <c r="J2124" s="94" t="str">
        <f t="shared" si="2125"/>
        <v/>
      </c>
      <c r="K2124" s="100"/>
      <c r="M2124" s="100"/>
      <c r="N2124" s="100"/>
      <c r="O2124" s="100"/>
      <c r="P2124" s="100"/>
    </row>
    <row r="2125">
      <c r="A2125" s="107">
        <v>203103.0</v>
      </c>
      <c r="B2125" s="108" t="s">
        <v>90</v>
      </c>
      <c r="C2125" s="115" t="s">
        <v>601</v>
      </c>
      <c r="D2125" s="112" t="s">
        <v>177</v>
      </c>
      <c r="E2125" s="112">
        <v>632.1</v>
      </c>
      <c r="F2125" s="111" t="str">
        <f>DataPull!D2125</f>
        <v/>
      </c>
      <c r="G2125" s="94" t="str">
        <f t="shared" si="2"/>
        <v/>
      </c>
      <c r="H2125" s="94" t="str">
        <f t="shared" si="3"/>
        <v/>
      </c>
      <c r="I2125" s="94" t="str">
        <f t="shared" ref="I2125:J2125" si="2126">if(G2125 = "", , -G2125)</f>
        <v/>
      </c>
      <c r="J2125" s="94" t="str">
        <f t="shared" si="2126"/>
        <v/>
      </c>
      <c r="K2125" s="100"/>
      <c r="M2125" s="100"/>
      <c r="N2125" s="100"/>
      <c r="O2125" s="100"/>
      <c r="P2125" s="100"/>
    </row>
    <row r="2126">
      <c r="A2126" s="107">
        <v>203104.0</v>
      </c>
      <c r="B2126" s="108" t="s">
        <v>85</v>
      </c>
      <c r="C2126" s="108" t="s">
        <v>602</v>
      </c>
      <c r="D2126" s="112" t="s">
        <v>187</v>
      </c>
      <c r="E2126" s="112">
        <v>444.0</v>
      </c>
      <c r="F2126" s="111" t="str">
        <f>DataPull!D2126</f>
        <v/>
      </c>
      <c r="G2126" s="94" t="str">
        <f t="shared" si="2"/>
        <v/>
      </c>
      <c r="H2126" s="94" t="str">
        <f t="shared" si="3"/>
        <v/>
      </c>
      <c r="I2126" s="94" t="str">
        <f t="shared" ref="I2126:J2126" si="2127">if(G2126 = "", , -G2126)</f>
        <v/>
      </c>
      <c r="J2126" s="94" t="str">
        <f t="shared" si="2127"/>
        <v/>
      </c>
      <c r="K2126" s="100"/>
      <c r="M2126" s="100"/>
      <c r="N2126" s="100"/>
      <c r="O2126" s="100"/>
      <c r="P2126" s="100"/>
    </row>
    <row r="2127">
      <c r="A2127" s="107">
        <v>203104.0</v>
      </c>
      <c r="B2127" s="108" t="s">
        <v>191</v>
      </c>
      <c r="C2127" s="108" t="s">
        <v>602</v>
      </c>
      <c r="D2127" s="112" t="s">
        <v>181</v>
      </c>
      <c r="E2127" s="112">
        <v>73.8</v>
      </c>
      <c r="F2127" s="111" t="str">
        <f>DataPull!D2127</f>
        <v/>
      </c>
      <c r="G2127" s="94" t="str">
        <f t="shared" si="2"/>
        <v/>
      </c>
      <c r="H2127" s="94" t="str">
        <f t="shared" si="3"/>
        <v/>
      </c>
      <c r="I2127" s="94" t="str">
        <f t="shared" ref="I2127:J2127" si="2128">if(G2127 = "", , -G2127)</f>
        <v/>
      </c>
      <c r="J2127" s="94" t="str">
        <f t="shared" si="2128"/>
        <v/>
      </c>
      <c r="K2127" s="100"/>
      <c r="M2127" s="100"/>
      <c r="N2127" s="100"/>
      <c r="O2127" s="100"/>
      <c r="P2127" s="100"/>
    </row>
    <row r="2128">
      <c r="A2128" s="107">
        <v>203105.0</v>
      </c>
      <c r="B2128" s="108" t="s">
        <v>90</v>
      </c>
      <c r="C2128" s="108" t="s">
        <v>603</v>
      </c>
      <c r="D2128" s="112" t="s">
        <v>187</v>
      </c>
      <c r="E2128" s="112">
        <v>501.4</v>
      </c>
      <c r="F2128" s="111" t="str">
        <f>DataPull!D2128</f>
        <v/>
      </c>
      <c r="G2128" s="94" t="str">
        <f t="shared" si="2"/>
        <v/>
      </c>
      <c r="H2128" s="94" t="str">
        <f t="shared" si="3"/>
        <v/>
      </c>
      <c r="I2128" s="94" t="str">
        <f t="shared" ref="I2128:J2128" si="2129">if(G2128 = "", , -G2128)</f>
        <v/>
      </c>
      <c r="J2128" s="94" t="str">
        <f t="shared" si="2129"/>
        <v/>
      </c>
      <c r="K2128" s="100"/>
      <c r="M2128" s="100"/>
      <c r="N2128" s="100"/>
      <c r="O2128" s="100"/>
      <c r="P2128" s="100"/>
    </row>
    <row r="2129">
      <c r="A2129" s="107">
        <v>203105.0</v>
      </c>
      <c r="B2129" s="108" t="s">
        <v>92</v>
      </c>
      <c r="C2129" s="108" t="s">
        <v>603</v>
      </c>
      <c r="D2129" s="112" t="s">
        <v>177</v>
      </c>
      <c r="E2129" s="112">
        <v>768.2</v>
      </c>
      <c r="F2129" s="111" t="str">
        <f>DataPull!D2129</f>
        <v/>
      </c>
      <c r="G2129" s="94" t="str">
        <f t="shared" si="2"/>
        <v/>
      </c>
      <c r="H2129" s="94" t="str">
        <f t="shared" si="3"/>
        <v/>
      </c>
      <c r="I2129" s="94" t="str">
        <f t="shared" ref="I2129:J2129" si="2130">if(G2129 = "", , -G2129)</f>
        <v/>
      </c>
      <c r="J2129" s="94" t="str">
        <f t="shared" si="2130"/>
        <v/>
      </c>
      <c r="K2129" s="100"/>
      <c r="L2129" s="100"/>
      <c r="N2129" s="100"/>
      <c r="O2129" s="100"/>
      <c r="P2129" s="100"/>
    </row>
    <row r="2130">
      <c r="A2130" s="107">
        <v>203106.0</v>
      </c>
      <c r="B2130" s="108" t="s">
        <v>85</v>
      </c>
      <c r="C2130" s="108" t="s">
        <v>604</v>
      </c>
      <c r="D2130" s="112" t="s">
        <v>176</v>
      </c>
      <c r="E2130" s="112">
        <v>629.2</v>
      </c>
      <c r="F2130" s="111" t="str">
        <f>DataPull!D2130</f>
        <v/>
      </c>
      <c r="G2130" s="94" t="str">
        <f t="shared" si="2"/>
        <v/>
      </c>
      <c r="H2130" s="94" t="str">
        <f t="shared" si="3"/>
        <v/>
      </c>
      <c r="I2130" s="94" t="str">
        <f t="shared" ref="I2130:J2130" si="2131">if(G2130 = "", , -G2130)</f>
        <v/>
      </c>
      <c r="J2130" s="94" t="str">
        <f t="shared" si="2131"/>
        <v/>
      </c>
      <c r="K2130" s="100"/>
      <c r="M2130" s="100"/>
      <c r="N2130" s="100"/>
      <c r="O2130" s="100"/>
      <c r="P2130" s="100"/>
    </row>
    <row r="2131">
      <c r="A2131" s="107">
        <v>203106.0</v>
      </c>
      <c r="B2131" s="108" t="s">
        <v>90</v>
      </c>
      <c r="C2131" s="108" t="s">
        <v>604</v>
      </c>
      <c r="D2131" s="112" t="s">
        <v>177</v>
      </c>
      <c r="E2131" s="112">
        <v>429.2</v>
      </c>
      <c r="F2131" s="111" t="str">
        <f>DataPull!D2131</f>
        <v/>
      </c>
      <c r="G2131" s="94" t="str">
        <f t="shared" si="2"/>
        <v/>
      </c>
      <c r="H2131" s="94" t="str">
        <f t="shared" si="3"/>
        <v/>
      </c>
      <c r="I2131" s="94" t="str">
        <f t="shared" ref="I2131:J2131" si="2132">if(G2131 = "", , -G2131)</f>
        <v/>
      </c>
      <c r="J2131" s="94" t="str">
        <f t="shared" si="2132"/>
        <v/>
      </c>
      <c r="K2131" s="100"/>
      <c r="M2131" s="100"/>
      <c r="N2131" s="100"/>
      <c r="O2131" s="100"/>
      <c r="P2131" s="100"/>
    </row>
    <row r="2132">
      <c r="A2132" s="107">
        <v>203107.0</v>
      </c>
      <c r="B2132" s="108" t="s">
        <v>190</v>
      </c>
      <c r="C2132" s="108" t="s">
        <v>605</v>
      </c>
      <c r="D2132" s="112" t="s">
        <v>177</v>
      </c>
      <c r="E2132" s="112">
        <v>718.2</v>
      </c>
      <c r="F2132" s="111" t="str">
        <f>DataPull!D2132</f>
        <v/>
      </c>
      <c r="G2132" s="94" t="str">
        <f t="shared" si="2"/>
        <v/>
      </c>
      <c r="H2132" s="94" t="str">
        <f t="shared" si="3"/>
        <v/>
      </c>
      <c r="I2132" s="94" t="str">
        <f t="shared" ref="I2132:J2132" si="2133">if(G2132 = "", , -G2132)</f>
        <v/>
      </c>
      <c r="J2132" s="94" t="str">
        <f t="shared" si="2133"/>
        <v/>
      </c>
      <c r="K2132" s="100"/>
      <c r="L2132" s="100"/>
      <c r="N2132" s="100"/>
      <c r="O2132" s="100"/>
      <c r="P2132" s="100"/>
    </row>
    <row r="2133">
      <c r="A2133" s="107">
        <v>203107.0</v>
      </c>
      <c r="B2133" s="108" t="s">
        <v>191</v>
      </c>
      <c r="C2133" s="108" t="s">
        <v>605</v>
      </c>
      <c r="D2133" s="112" t="s">
        <v>176</v>
      </c>
      <c r="E2133" s="112">
        <v>1642.5</v>
      </c>
      <c r="F2133" s="111" t="str">
        <f>DataPull!D2133</f>
        <v/>
      </c>
      <c r="G2133" s="94" t="str">
        <f t="shared" si="2"/>
        <v/>
      </c>
      <c r="H2133" s="94" t="str">
        <f t="shared" si="3"/>
        <v/>
      </c>
      <c r="I2133" s="94" t="str">
        <f t="shared" ref="I2133:J2133" si="2134">if(G2133 = "", , -G2133)</f>
        <v/>
      </c>
      <c r="J2133" s="94" t="str">
        <f t="shared" si="2134"/>
        <v/>
      </c>
      <c r="K2133" s="100"/>
      <c r="M2133" s="100"/>
      <c r="N2133" s="100"/>
      <c r="O2133" s="100"/>
      <c r="P2133" s="100"/>
    </row>
    <row r="2134">
      <c r="A2134" s="107">
        <v>203107.0</v>
      </c>
      <c r="B2134" s="108" t="s">
        <v>192</v>
      </c>
      <c r="C2134" s="108" t="s">
        <v>605</v>
      </c>
      <c r="D2134" s="112" t="s">
        <v>176</v>
      </c>
      <c r="E2134" s="112">
        <v>2160.0</v>
      </c>
      <c r="F2134" s="111" t="str">
        <f>DataPull!D2134</f>
        <v/>
      </c>
      <c r="G2134" s="94" t="str">
        <f t="shared" si="2"/>
        <v/>
      </c>
      <c r="H2134" s="94" t="str">
        <f t="shared" si="3"/>
        <v/>
      </c>
      <c r="I2134" s="94" t="str">
        <f t="shared" ref="I2134:J2134" si="2135">if(G2134 = "", , -G2134)</f>
        <v/>
      </c>
      <c r="J2134" s="94" t="str">
        <f t="shared" si="2135"/>
        <v/>
      </c>
      <c r="K2134" s="100"/>
      <c r="L2134" s="100"/>
      <c r="N2134" s="100"/>
      <c r="O2134" s="100"/>
      <c r="P2134" s="100"/>
    </row>
    <row r="2135">
      <c r="A2135" s="107">
        <v>203107.0</v>
      </c>
      <c r="B2135" s="108" t="s">
        <v>193</v>
      </c>
      <c r="C2135" s="108" t="s">
        <v>605</v>
      </c>
      <c r="D2135" s="112" t="s">
        <v>178</v>
      </c>
      <c r="E2135" s="112">
        <v>1878.5</v>
      </c>
      <c r="F2135" s="111" t="str">
        <f>DataPull!D2135</f>
        <v/>
      </c>
      <c r="G2135" s="94" t="str">
        <f t="shared" si="2"/>
        <v/>
      </c>
      <c r="H2135" s="94" t="str">
        <f t="shared" si="3"/>
        <v/>
      </c>
      <c r="I2135" s="94" t="str">
        <f t="shared" ref="I2135:J2135" si="2136">if(G2135 = "", , -G2135)</f>
        <v/>
      </c>
      <c r="J2135" s="94" t="str">
        <f t="shared" si="2136"/>
        <v/>
      </c>
      <c r="K2135" s="100"/>
      <c r="M2135" s="100"/>
      <c r="N2135" s="100"/>
      <c r="O2135" s="100"/>
      <c r="P2135" s="100"/>
    </row>
    <row r="2136">
      <c r="A2136" s="107">
        <v>203107.0</v>
      </c>
      <c r="B2136" s="108" t="s">
        <v>243</v>
      </c>
      <c r="C2136" s="108" t="s">
        <v>605</v>
      </c>
      <c r="D2136" s="112" t="s">
        <v>176</v>
      </c>
      <c r="E2136" s="112">
        <v>1305.0</v>
      </c>
      <c r="F2136" s="111" t="str">
        <f>DataPull!D2136</f>
        <v/>
      </c>
      <c r="G2136" s="94" t="str">
        <f t="shared" si="2"/>
        <v/>
      </c>
      <c r="H2136" s="94" t="str">
        <f t="shared" si="3"/>
        <v/>
      </c>
      <c r="I2136" s="94" t="str">
        <f t="shared" ref="I2136:J2136" si="2137">if(G2136 = "", , -G2136)</f>
        <v/>
      </c>
      <c r="J2136" s="94" t="str">
        <f t="shared" si="2137"/>
        <v/>
      </c>
      <c r="K2136" s="100"/>
      <c r="M2136" s="100"/>
      <c r="N2136" s="100"/>
      <c r="O2136" s="100"/>
      <c r="P2136" s="100"/>
    </row>
    <row r="2137">
      <c r="A2137" s="107">
        <v>203107.0</v>
      </c>
      <c r="B2137" s="108" t="s">
        <v>215</v>
      </c>
      <c r="C2137" s="108" t="s">
        <v>605</v>
      </c>
      <c r="D2137" s="112" t="s">
        <v>177</v>
      </c>
      <c r="E2137" s="112">
        <v>907.5</v>
      </c>
      <c r="F2137" s="111" t="str">
        <f>DataPull!D2137</f>
        <v/>
      </c>
      <c r="G2137" s="94" t="str">
        <f t="shared" si="2"/>
        <v/>
      </c>
      <c r="H2137" s="94" t="str">
        <f t="shared" si="3"/>
        <v/>
      </c>
      <c r="I2137" s="94" t="str">
        <f t="shared" ref="I2137:J2137" si="2138">if(G2137 = "", , -G2137)</f>
        <v/>
      </c>
      <c r="J2137" s="94" t="str">
        <f t="shared" si="2138"/>
        <v/>
      </c>
      <c r="K2137" s="100"/>
      <c r="M2137" s="100"/>
      <c r="N2137" s="100"/>
      <c r="O2137" s="100"/>
      <c r="P2137" s="100"/>
    </row>
    <row r="2138">
      <c r="A2138" s="107">
        <v>203108.0</v>
      </c>
      <c r="B2138" s="108" t="s">
        <v>85</v>
      </c>
      <c r="C2138" s="108" t="s">
        <v>606</v>
      </c>
      <c r="D2138" s="112" t="s">
        <v>187</v>
      </c>
      <c r="E2138" s="112">
        <v>147.0</v>
      </c>
      <c r="F2138" s="111" t="str">
        <f>DataPull!D2138</f>
        <v/>
      </c>
      <c r="G2138" s="94" t="str">
        <f t="shared" si="2"/>
        <v/>
      </c>
      <c r="H2138" s="94" t="str">
        <f t="shared" si="3"/>
        <v/>
      </c>
      <c r="I2138" s="94" t="str">
        <f t="shared" ref="I2138:J2138" si="2139">if(G2138 = "", , -G2138)</f>
        <v/>
      </c>
      <c r="J2138" s="94" t="str">
        <f t="shared" si="2139"/>
        <v/>
      </c>
      <c r="K2138" s="100"/>
      <c r="M2138" s="100"/>
      <c r="N2138" s="100"/>
      <c r="O2138" s="100"/>
      <c r="P2138" s="100"/>
    </row>
    <row r="2139">
      <c r="A2139" s="107">
        <v>203108.0</v>
      </c>
      <c r="B2139" s="108" t="s">
        <v>90</v>
      </c>
      <c r="C2139" s="108" t="s">
        <v>606</v>
      </c>
      <c r="D2139" s="112" t="s">
        <v>187</v>
      </c>
      <c r="E2139" s="112">
        <v>158.4</v>
      </c>
      <c r="F2139" s="111" t="str">
        <f>DataPull!D2139</f>
        <v/>
      </c>
      <c r="G2139" s="94" t="str">
        <f t="shared" si="2"/>
        <v/>
      </c>
      <c r="H2139" s="94" t="str">
        <f t="shared" si="3"/>
        <v/>
      </c>
      <c r="I2139" s="94" t="str">
        <f t="shared" ref="I2139:J2139" si="2140">if(G2139 = "", , -G2139)</f>
        <v/>
      </c>
      <c r="J2139" s="94" t="str">
        <f t="shared" si="2140"/>
        <v/>
      </c>
      <c r="K2139" s="100"/>
      <c r="L2139" s="100"/>
      <c r="M2139" s="100"/>
      <c r="N2139" s="100"/>
      <c r="O2139" s="100"/>
    </row>
    <row r="2140">
      <c r="A2140" s="107">
        <v>203109.0</v>
      </c>
      <c r="B2140" s="108" t="s">
        <v>85</v>
      </c>
      <c r="C2140" s="108" t="s">
        <v>607</v>
      </c>
      <c r="D2140" s="112" t="s">
        <v>177</v>
      </c>
      <c r="E2140" s="112">
        <v>1255.8</v>
      </c>
      <c r="F2140" s="111" t="str">
        <f>DataPull!D2140</f>
        <v/>
      </c>
      <c r="G2140" s="94" t="str">
        <f t="shared" si="2"/>
        <v/>
      </c>
      <c r="H2140" s="94" t="str">
        <f t="shared" si="3"/>
        <v/>
      </c>
      <c r="I2140" s="94" t="str">
        <f t="shared" ref="I2140:J2140" si="2141">if(G2140 = "", , -G2140)</f>
        <v/>
      </c>
      <c r="J2140" s="94" t="str">
        <f t="shared" si="2141"/>
        <v/>
      </c>
      <c r="K2140" s="100"/>
      <c r="M2140" s="100"/>
      <c r="N2140" s="100"/>
      <c r="O2140" s="100"/>
      <c r="P2140" s="100"/>
    </row>
    <row r="2141">
      <c r="A2141" s="107">
        <v>203109.0</v>
      </c>
      <c r="B2141" s="108" t="s">
        <v>90</v>
      </c>
      <c r="C2141" s="108" t="s">
        <v>607</v>
      </c>
      <c r="D2141" s="112" t="s">
        <v>176</v>
      </c>
      <c r="E2141" s="112">
        <v>1648.2</v>
      </c>
      <c r="F2141" s="111" t="str">
        <f>DataPull!D2141</f>
        <v/>
      </c>
      <c r="G2141" s="94" t="str">
        <f t="shared" si="2"/>
        <v/>
      </c>
      <c r="H2141" s="94" t="str">
        <f t="shared" si="3"/>
        <v/>
      </c>
      <c r="I2141" s="94" t="str">
        <f t="shared" ref="I2141:J2141" si="2142">if(G2141 = "", , -G2141)</f>
        <v/>
      </c>
      <c r="J2141" s="94" t="str">
        <f t="shared" si="2142"/>
        <v/>
      </c>
      <c r="K2141" s="100"/>
      <c r="M2141" s="100"/>
      <c r="N2141" s="100"/>
      <c r="O2141" s="100"/>
      <c r="P2141" s="100"/>
    </row>
    <row r="2142">
      <c r="A2142" s="107">
        <v>203109.0</v>
      </c>
      <c r="B2142" s="108" t="s">
        <v>92</v>
      </c>
      <c r="C2142" s="108" t="s">
        <v>607</v>
      </c>
      <c r="D2142" s="112" t="s">
        <v>184</v>
      </c>
      <c r="E2142" s="112">
        <v>2306.8</v>
      </c>
      <c r="F2142" s="111" t="str">
        <f>DataPull!D2142</f>
        <v/>
      </c>
      <c r="G2142" s="94" t="str">
        <f t="shared" si="2"/>
        <v/>
      </c>
      <c r="H2142" s="94" t="str">
        <f t="shared" si="3"/>
        <v/>
      </c>
      <c r="I2142" s="94" t="str">
        <f t="shared" ref="I2142:J2142" si="2143">if(G2142 = "", , -G2142)</f>
        <v/>
      </c>
      <c r="J2142" s="94" t="str">
        <f t="shared" si="2143"/>
        <v/>
      </c>
      <c r="K2142" s="100"/>
      <c r="M2142" s="100"/>
      <c r="N2142" s="100"/>
      <c r="O2142" s="100"/>
      <c r="P2142" s="100"/>
    </row>
    <row r="2143">
      <c r="A2143" s="107">
        <v>203109.0</v>
      </c>
      <c r="B2143" s="108" t="s">
        <v>190</v>
      </c>
      <c r="C2143" s="108" t="s">
        <v>607</v>
      </c>
      <c r="D2143" s="112" t="s">
        <v>184</v>
      </c>
      <c r="E2143" s="112">
        <v>2332.8</v>
      </c>
      <c r="F2143" s="111" t="str">
        <f>DataPull!D2143</f>
        <v/>
      </c>
      <c r="G2143" s="94" t="str">
        <f t="shared" si="2"/>
        <v/>
      </c>
      <c r="H2143" s="94" t="str">
        <f t="shared" si="3"/>
        <v/>
      </c>
      <c r="I2143" s="94" t="str">
        <f t="shared" ref="I2143:J2143" si="2144">if(G2143 = "", , -G2143)</f>
        <v/>
      </c>
      <c r="J2143" s="94" t="str">
        <f t="shared" si="2144"/>
        <v/>
      </c>
      <c r="K2143" s="100"/>
      <c r="M2143" s="100"/>
      <c r="N2143" s="100"/>
      <c r="O2143" s="100"/>
      <c r="P2143" s="100"/>
    </row>
    <row r="2144">
      <c r="A2144" s="107">
        <v>203109.0</v>
      </c>
      <c r="B2144" s="108" t="s">
        <v>191</v>
      </c>
      <c r="C2144" s="108" t="s">
        <v>607</v>
      </c>
      <c r="D2144" s="112" t="s">
        <v>176</v>
      </c>
      <c r="E2144" s="112">
        <v>2088.0</v>
      </c>
      <c r="F2144" s="111" t="str">
        <f>DataPull!D2144</f>
        <v/>
      </c>
      <c r="G2144" s="94" t="str">
        <f t="shared" si="2"/>
        <v/>
      </c>
      <c r="H2144" s="94" t="str">
        <f t="shared" si="3"/>
        <v/>
      </c>
      <c r="I2144" s="94" t="str">
        <f t="shared" ref="I2144:J2144" si="2145">if(G2144 = "", , -G2144)</f>
        <v/>
      </c>
      <c r="J2144" s="94" t="str">
        <f t="shared" si="2145"/>
        <v/>
      </c>
      <c r="K2144" s="100"/>
      <c r="L2144" s="100"/>
      <c r="M2144" s="100"/>
      <c r="N2144" s="100"/>
      <c r="O2144" s="100"/>
      <c r="P2144" s="100"/>
    </row>
    <row r="2145">
      <c r="A2145" s="107">
        <v>203109.0</v>
      </c>
      <c r="B2145" s="108" t="s">
        <v>192</v>
      </c>
      <c r="C2145" s="108" t="s">
        <v>607</v>
      </c>
      <c r="D2145" s="112" t="s">
        <v>178</v>
      </c>
      <c r="E2145" s="112">
        <v>2168.0</v>
      </c>
      <c r="F2145" s="111" t="str">
        <f>DataPull!D2145</f>
        <v/>
      </c>
      <c r="G2145" s="94" t="str">
        <f t="shared" si="2"/>
        <v/>
      </c>
      <c r="H2145" s="94" t="str">
        <f t="shared" si="3"/>
        <v/>
      </c>
      <c r="I2145" s="94" t="str">
        <f t="shared" ref="I2145:J2145" si="2146">if(G2145 = "", , -G2145)</f>
        <v/>
      </c>
      <c r="J2145" s="94" t="str">
        <f t="shared" si="2146"/>
        <v/>
      </c>
      <c r="K2145" s="100"/>
      <c r="M2145" s="100"/>
      <c r="N2145" s="100"/>
      <c r="O2145" s="100"/>
      <c r="P2145" s="100"/>
    </row>
    <row r="2146">
      <c r="A2146" s="107">
        <v>203109.0</v>
      </c>
      <c r="B2146" s="108" t="s">
        <v>193</v>
      </c>
      <c r="C2146" s="108" t="s">
        <v>607</v>
      </c>
      <c r="D2146" s="112" t="s">
        <v>178</v>
      </c>
      <c r="E2146" s="112">
        <v>1872.0</v>
      </c>
      <c r="F2146" s="111" t="str">
        <f>DataPull!D2146</f>
        <v/>
      </c>
      <c r="G2146" s="94" t="str">
        <f t="shared" si="2"/>
        <v/>
      </c>
      <c r="H2146" s="94" t="str">
        <f t="shared" si="3"/>
        <v/>
      </c>
      <c r="I2146" s="94" t="str">
        <f t="shared" ref="I2146:J2146" si="2147">if(G2146 = "", , -G2146)</f>
        <v/>
      </c>
      <c r="J2146" s="94" t="str">
        <f t="shared" si="2147"/>
        <v/>
      </c>
      <c r="K2146" s="100"/>
      <c r="L2146" s="100"/>
      <c r="N2146" s="100"/>
      <c r="O2146" s="100"/>
      <c r="P2146" s="100"/>
    </row>
    <row r="2147">
      <c r="A2147" s="107">
        <v>203109.0</v>
      </c>
      <c r="B2147" s="108" t="s">
        <v>243</v>
      </c>
      <c r="C2147" s="108" t="s">
        <v>607</v>
      </c>
      <c r="D2147" s="112" t="s">
        <v>178</v>
      </c>
      <c r="E2147" s="112">
        <v>1650.0</v>
      </c>
      <c r="F2147" s="111" t="str">
        <f>DataPull!D2147</f>
        <v/>
      </c>
      <c r="G2147" s="94" t="str">
        <f t="shared" si="2"/>
        <v/>
      </c>
      <c r="H2147" s="94" t="str">
        <f t="shared" si="3"/>
        <v/>
      </c>
      <c r="I2147" s="94" t="str">
        <f t="shared" ref="I2147:J2147" si="2148">if(G2147 = "", , -G2147)</f>
        <v/>
      </c>
      <c r="J2147" s="94" t="str">
        <f t="shared" si="2148"/>
        <v/>
      </c>
      <c r="K2147" s="100"/>
      <c r="M2147" s="100"/>
      <c r="N2147" s="100"/>
      <c r="O2147" s="100"/>
      <c r="P2147" s="100"/>
    </row>
    <row r="2148">
      <c r="A2148" s="107">
        <v>203109.0</v>
      </c>
      <c r="B2148" s="108" t="s">
        <v>215</v>
      </c>
      <c r="C2148" s="108" t="s">
        <v>607</v>
      </c>
      <c r="D2148" s="112" t="s">
        <v>178</v>
      </c>
      <c r="E2148" s="112">
        <v>1882.7</v>
      </c>
      <c r="F2148" s="111" t="str">
        <f>DataPull!D2148</f>
        <v/>
      </c>
      <c r="G2148" s="94" t="str">
        <f t="shared" si="2"/>
        <v/>
      </c>
      <c r="H2148" s="94" t="str">
        <f t="shared" si="3"/>
        <v/>
      </c>
      <c r="I2148" s="94" t="str">
        <f t="shared" ref="I2148:J2148" si="2149">if(G2148 = "", , -G2148)</f>
        <v/>
      </c>
      <c r="J2148" s="94" t="str">
        <f t="shared" si="2149"/>
        <v/>
      </c>
      <c r="K2148" s="100"/>
      <c r="M2148" s="100"/>
      <c r="N2148" s="100"/>
      <c r="O2148" s="100"/>
      <c r="P2148" s="100"/>
    </row>
    <row r="2149">
      <c r="A2149" s="107">
        <v>203109.0</v>
      </c>
      <c r="B2149" s="108" t="s">
        <v>244</v>
      </c>
      <c r="C2149" s="108" t="s">
        <v>607</v>
      </c>
      <c r="D2149" s="112" t="s">
        <v>177</v>
      </c>
      <c r="E2149" s="112">
        <v>340.2</v>
      </c>
      <c r="F2149" s="111" t="str">
        <f>DataPull!D2149</f>
        <v/>
      </c>
      <c r="G2149" s="94" t="str">
        <f t="shared" si="2"/>
        <v/>
      </c>
      <c r="H2149" s="94" t="str">
        <f t="shared" si="3"/>
        <v/>
      </c>
      <c r="I2149" s="94" t="str">
        <f t="shared" ref="I2149:J2149" si="2150">if(G2149 = "", , -G2149)</f>
        <v/>
      </c>
      <c r="J2149" s="94" t="str">
        <f t="shared" si="2150"/>
        <v/>
      </c>
      <c r="K2149" s="100"/>
      <c r="M2149" s="100"/>
      <c r="N2149" s="100"/>
      <c r="O2149" s="100"/>
      <c r="P2149" s="100"/>
    </row>
    <row r="2150">
      <c r="A2150" s="107">
        <v>203109.0</v>
      </c>
      <c r="B2150" s="108" t="s">
        <v>245</v>
      </c>
      <c r="C2150" s="108" t="s">
        <v>607</v>
      </c>
      <c r="D2150" s="112" t="s">
        <v>176</v>
      </c>
      <c r="E2150" s="112">
        <v>1155.0</v>
      </c>
      <c r="F2150" s="111" t="str">
        <f>DataPull!D2150</f>
        <v/>
      </c>
      <c r="G2150" s="94" t="str">
        <f t="shared" si="2"/>
        <v/>
      </c>
      <c r="H2150" s="94" t="str">
        <f t="shared" si="3"/>
        <v/>
      </c>
      <c r="I2150" s="94" t="str">
        <f t="shared" ref="I2150:J2150" si="2151">if(G2150 = "", , -G2150)</f>
        <v/>
      </c>
      <c r="J2150" s="94" t="str">
        <f t="shared" si="2151"/>
        <v/>
      </c>
      <c r="K2150" s="100"/>
      <c r="M2150" s="100"/>
      <c r="N2150" s="100"/>
      <c r="O2150" s="100"/>
      <c r="P2150" s="100"/>
    </row>
    <row r="2151">
      <c r="A2151" s="117">
        <v>203109.0</v>
      </c>
      <c r="B2151" s="118" t="s">
        <v>246</v>
      </c>
      <c r="C2151" s="119" t="s">
        <v>607</v>
      </c>
      <c r="D2151" s="112" t="s">
        <v>187</v>
      </c>
      <c r="E2151" s="112">
        <v>102.6</v>
      </c>
      <c r="F2151" s="111" t="str">
        <f>DataPull!D2151</f>
        <v/>
      </c>
      <c r="G2151" s="94" t="str">
        <f t="shared" si="2"/>
        <v/>
      </c>
      <c r="H2151" s="94" t="str">
        <f t="shared" si="3"/>
        <v/>
      </c>
      <c r="I2151" s="94" t="str">
        <f t="shared" ref="I2151:J2151" si="2152">if(G2151 = "", , -G2151)</f>
        <v/>
      </c>
      <c r="J2151" s="94" t="str">
        <f t="shared" si="2152"/>
        <v/>
      </c>
      <c r="K2151" s="100"/>
      <c r="M2151" s="100"/>
      <c r="N2151" s="100"/>
      <c r="O2151" s="100"/>
      <c r="P2151" s="100"/>
    </row>
    <row r="2152">
      <c r="A2152" s="107">
        <v>203110.0</v>
      </c>
      <c r="B2152" s="108" t="s">
        <v>85</v>
      </c>
      <c r="C2152" s="108" t="s">
        <v>608</v>
      </c>
      <c r="D2152" s="112" t="s">
        <v>176</v>
      </c>
      <c r="E2152" s="112">
        <v>1795.8</v>
      </c>
      <c r="F2152" s="111" t="str">
        <f>DataPull!D2152</f>
        <v/>
      </c>
      <c r="G2152" s="94" t="str">
        <f t="shared" si="2"/>
        <v/>
      </c>
      <c r="H2152" s="94" t="str">
        <f t="shared" si="3"/>
        <v/>
      </c>
      <c r="I2152" s="94" t="str">
        <f t="shared" ref="I2152:J2152" si="2153">if(G2152 = "", , -G2152)</f>
        <v/>
      </c>
      <c r="J2152" s="94" t="str">
        <f t="shared" si="2153"/>
        <v/>
      </c>
      <c r="K2152" s="100"/>
      <c r="M2152" s="100"/>
      <c r="N2152" s="100"/>
      <c r="O2152" s="100"/>
      <c r="P2152" s="100"/>
    </row>
    <row r="2153">
      <c r="A2153" s="107">
        <v>203110.0</v>
      </c>
      <c r="B2153" s="108" t="s">
        <v>90</v>
      </c>
      <c r="C2153" s="108" t="s">
        <v>608</v>
      </c>
      <c r="D2153" s="112" t="s">
        <v>184</v>
      </c>
      <c r="E2153" s="112">
        <v>2488.5</v>
      </c>
      <c r="F2153" s="111" t="str">
        <f>DataPull!D2153</f>
        <v/>
      </c>
      <c r="G2153" s="94" t="str">
        <f t="shared" si="2"/>
        <v/>
      </c>
      <c r="H2153" s="94" t="str">
        <f t="shared" si="3"/>
        <v/>
      </c>
      <c r="I2153" s="94" t="str">
        <f t="shared" ref="I2153:J2153" si="2154">if(G2153 = "", , -G2153)</f>
        <v/>
      </c>
      <c r="J2153" s="94" t="str">
        <f t="shared" si="2154"/>
        <v/>
      </c>
      <c r="K2153" s="100"/>
      <c r="M2153" s="100"/>
      <c r="N2153" s="100"/>
      <c r="O2153" s="100"/>
      <c r="P2153" s="100"/>
    </row>
    <row r="2154">
      <c r="A2154" s="107">
        <v>203110.0</v>
      </c>
      <c r="B2154" s="108" t="s">
        <v>92</v>
      </c>
      <c r="C2154" s="108" t="s">
        <v>608</v>
      </c>
      <c r="D2154" s="112" t="s">
        <v>184</v>
      </c>
      <c r="E2154" s="112">
        <v>2810.7</v>
      </c>
      <c r="F2154" s="111" t="str">
        <f>DataPull!D2154</f>
        <v/>
      </c>
      <c r="G2154" s="94" t="str">
        <f t="shared" si="2"/>
        <v/>
      </c>
      <c r="H2154" s="94" t="str">
        <f t="shared" si="3"/>
        <v/>
      </c>
      <c r="I2154" s="94" t="str">
        <f t="shared" ref="I2154:J2154" si="2155">if(G2154 = "", , -G2154)</f>
        <v/>
      </c>
      <c r="J2154" s="94" t="str">
        <f t="shared" si="2155"/>
        <v/>
      </c>
      <c r="K2154" s="100"/>
      <c r="M2154" s="100"/>
      <c r="N2154" s="100"/>
      <c r="O2154" s="100"/>
      <c r="P2154" s="100"/>
    </row>
    <row r="2155">
      <c r="A2155" s="107">
        <v>203110.0</v>
      </c>
      <c r="B2155" s="108" t="s">
        <v>190</v>
      </c>
      <c r="C2155" s="108" t="s">
        <v>608</v>
      </c>
      <c r="D2155" s="112" t="s">
        <v>184</v>
      </c>
      <c r="E2155" s="112">
        <v>2470.0</v>
      </c>
      <c r="F2155" s="111" t="str">
        <f>DataPull!D2155</f>
        <v/>
      </c>
      <c r="G2155" s="94" t="str">
        <f t="shared" si="2"/>
        <v/>
      </c>
      <c r="H2155" s="94" t="str">
        <f t="shared" si="3"/>
        <v/>
      </c>
      <c r="I2155" s="94" t="str">
        <f t="shared" ref="I2155:J2155" si="2156">if(G2155 = "", , -G2155)</f>
        <v/>
      </c>
      <c r="J2155" s="94" t="str">
        <f t="shared" si="2156"/>
        <v/>
      </c>
      <c r="K2155" s="100"/>
      <c r="L2155" s="100"/>
      <c r="M2155" s="100"/>
      <c r="N2155" s="100"/>
      <c r="O2155" s="100"/>
      <c r="P2155" s="100"/>
    </row>
    <row r="2156">
      <c r="A2156" s="107">
        <v>203110.0</v>
      </c>
      <c r="B2156" s="108" t="s">
        <v>191</v>
      </c>
      <c r="C2156" s="108" t="s">
        <v>608</v>
      </c>
      <c r="D2156" s="112" t="s">
        <v>184</v>
      </c>
      <c r="E2156" s="112">
        <v>2289.0</v>
      </c>
      <c r="F2156" s="111" t="str">
        <f>DataPull!D2156</f>
        <v/>
      </c>
      <c r="G2156" s="94" t="str">
        <f t="shared" si="2"/>
        <v/>
      </c>
      <c r="H2156" s="94" t="str">
        <f t="shared" si="3"/>
        <v/>
      </c>
      <c r="I2156" s="94" t="str">
        <f t="shared" ref="I2156:J2156" si="2157">if(G2156 = "", , -G2156)</f>
        <v/>
      </c>
      <c r="J2156" s="94" t="str">
        <f t="shared" si="2157"/>
        <v/>
      </c>
      <c r="K2156" s="100"/>
      <c r="M2156" s="100"/>
      <c r="N2156" s="100"/>
      <c r="O2156" s="100"/>
      <c r="P2156" s="100"/>
    </row>
    <row r="2157">
      <c r="A2157" s="107">
        <v>203110.0</v>
      </c>
      <c r="B2157" s="108" t="s">
        <v>192</v>
      </c>
      <c r="C2157" s="108" t="s">
        <v>608</v>
      </c>
      <c r="D2157" s="112" t="s">
        <v>184</v>
      </c>
      <c r="E2157" s="112">
        <v>2065.8</v>
      </c>
      <c r="F2157" s="111" t="str">
        <f>DataPull!D2157</f>
        <v/>
      </c>
      <c r="G2157" s="94" t="str">
        <f t="shared" si="2"/>
        <v/>
      </c>
      <c r="H2157" s="94" t="str">
        <f t="shared" si="3"/>
        <v/>
      </c>
      <c r="I2157" s="94" t="str">
        <f t="shared" ref="I2157:J2157" si="2158">if(G2157 = "", , -G2157)</f>
        <v/>
      </c>
      <c r="J2157" s="94" t="str">
        <f t="shared" si="2158"/>
        <v/>
      </c>
      <c r="K2157" s="100"/>
      <c r="M2157" s="100"/>
      <c r="N2157" s="100"/>
      <c r="O2157" s="100"/>
      <c r="P2157" s="100"/>
    </row>
    <row r="2158">
      <c r="A2158" s="107">
        <v>203110.0</v>
      </c>
      <c r="B2158" s="108" t="s">
        <v>193</v>
      </c>
      <c r="C2158" s="108" t="s">
        <v>608</v>
      </c>
      <c r="D2158" s="112" t="s">
        <v>176</v>
      </c>
      <c r="E2158" s="112">
        <v>1221.2</v>
      </c>
      <c r="F2158" s="111" t="str">
        <f>DataPull!D2158</f>
        <v/>
      </c>
      <c r="G2158" s="94" t="str">
        <f t="shared" si="2"/>
        <v/>
      </c>
      <c r="H2158" s="94" t="str">
        <f t="shared" si="3"/>
        <v/>
      </c>
      <c r="I2158" s="94" t="str">
        <f t="shared" ref="I2158:J2158" si="2159">if(G2158 = "", , -G2158)</f>
        <v/>
      </c>
      <c r="J2158" s="94" t="str">
        <f t="shared" si="2159"/>
        <v/>
      </c>
      <c r="K2158" s="100"/>
      <c r="L2158" s="100"/>
      <c r="N2158" s="100"/>
      <c r="O2158" s="100"/>
      <c r="P2158" s="100"/>
    </row>
    <row r="2159">
      <c r="A2159" s="107">
        <v>203110.0</v>
      </c>
      <c r="B2159" s="108" t="s">
        <v>243</v>
      </c>
      <c r="C2159" s="108" t="s">
        <v>608</v>
      </c>
      <c r="D2159" s="112" t="s">
        <v>184</v>
      </c>
      <c r="E2159" s="112">
        <v>1984.5</v>
      </c>
      <c r="F2159" s="111" t="str">
        <f>DataPull!D2159</f>
        <v/>
      </c>
      <c r="G2159" s="94" t="str">
        <f t="shared" si="2"/>
        <v/>
      </c>
      <c r="H2159" s="94" t="str">
        <f t="shared" si="3"/>
        <v/>
      </c>
      <c r="I2159" s="94" t="str">
        <f t="shared" ref="I2159:J2159" si="2160">if(G2159 = "", , -G2159)</f>
        <v/>
      </c>
      <c r="J2159" s="94" t="str">
        <f t="shared" si="2160"/>
        <v/>
      </c>
      <c r="K2159" s="100"/>
      <c r="M2159" s="100"/>
      <c r="N2159" s="100"/>
      <c r="O2159" s="100"/>
      <c r="P2159" s="100"/>
    </row>
    <row r="2160">
      <c r="A2160" s="107">
        <v>203110.0</v>
      </c>
      <c r="B2160" s="108" t="s">
        <v>215</v>
      </c>
      <c r="C2160" s="108" t="s">
        <v>608</v>
      </c>
      <c r="D2160" s="112" t="s">
        <v>184</v>
      </c>
      <c r="E2160" s="112">
        <v>1329.4</v>
      </c>
      <c r="F2160" s="111" t="str">
        <f>DataPull!D2160</f>
        <v/>
      </c>
      <c r="G2160" s="94" t="str">
        <f t="shared" si="2"/>
        <v/>
      </c>
      <c r="H2160" s="94" t="str">
        <f t="shared" si="3"/>
        <v/>
      </c>
      <c r="I2160" s="94" t="str">
        <f t="shared" ref="I2160:J2160" si="2161">if(G2160 = "", , -G2160)</f>
        <v/>
      </c>
      <c r="J2160" s="94" t="str">
        <f t="shared" si="2161"/>
        <v/>
      </c>
      <c r="K2160" s="100"/>
      <c r="M2160" s="100"/>
      <c r="N2160" s="100"/>
      <c r="O2160" s="100"/>
      <c r="P2160" s="100"/>
    </row>
    <row r="2161">
      <c r="A2161" s="107">
        <v>203110.0</v>
      </c>
      <c r="B2161" s="108" t="s">
        <v>244</v>
      </c>
      <c r="C2161" s="108" t="s">
        <v>608</v>
      </c>
      <c r="D2161" s="112" t="s">
        <v>184</v>
      </c>
      <c r="E2161" s="112">
        <v>2299.5</v>
      </c>
      <c r="F2161" s="111" t="str">
        <f>DataPull!D2161</f>
        <v/>
      </c>
      <c r="G2161" s="94" t="str">
        <f t="shared" si="2"/>
        <v/>
      </c>
      <c r="H2161" s="94" t="str">
        <f t="shared" si="3"/>
        <v/>
      </c>
      <c r="I2161" s="94" t="str">
        <f t="shared" ref="I2161:J2161" si="2162">if(G2161 = "", , -G2161)</f>
        <v/>
      </c>
      <c r="J2161" s="94" t="str">
        <f t="shared" si="2162"/>
        <v/>
      </c>
      <c r="K2161" s="100"/>
      <c r="M2161" s="100"/>
      <c r="N2161" s="100"/>
      <c r="O2161" s="100"/>
      <c r="P2161" s="100"/>
    </row>
    <row r="2162">
      <c r="A2162" s="107">
        <v>203110.0</v>
      </c>
      <c r="B2162" s="108" t="s">
        <v>245</v>
      </c>
      <c r="C2162" s="108" t="s">
        <v>608</v>
      </c>
      <c r="D2162" s="112" t="s">
        <v>184</v>
      </c>
      <c r="E2162" s="112">
        <v>1490.5</v>
      </c>
      <c r="F2162" s="111" t="str">
        <f>DataPull!D2162</f>
        <v/>
      </c>
      <c r="G2162" s="94" t="str">
        <f t="shared" si="2"/>
        <v/>
      </c>
      <c r="H2162" s="94" t="str">
        <f t="shared" si="3"/>
        <v/>
      </c>
      <c r="I2162" s="94" t="str">
        <f t="shared" ref="I2162:J2162" si="2163">if(G2162 = "", , -G2162)</f>
        <v/>
      </c>
      <c r="J2162" s="94" t="str">
        <f t="shared" si="2163"/>
        <v/>
      </c>
      <c r="K2162" s="100"/>
      <c r="N2162" s="100"/>
      <c r="O2162" s="100"/>
      <c r="P2162" s="100"/>
    </row>
    <row r="2163">
      <c r="A2163" s="107">
        <v>203110.0</v>
      </c>
      <c r="B2163" s="108" t="s">
        <v>246</v>
      </c>
      <c r="C2163" s="108" t="s">
        <v>608</v>
      </c>
      <c r="D2163" s="112" t="s">
        <v>184</v>
      </c>
      <c r="E2163" s="112">
        <v>1985.6</v>
      </c>
      <c r="F2163" s="111" t="str">
        <f>DataPull!D2163</f>
        <v/>
      </c>
      <c r="G2163" s="94" t="str">
        <f t="shared" si="2"/>
        <v/>
      </c>
      <c r="H2163" s="94" t="str">
        <f t="shared" si="3"/>
        <v/>
      </c>
      <c r="I2163" s="94" t="str">
        <f t="shared" ref="I2163:J2163" si="2164">if(G2163 = "", , -G2163)</f>
        <v/>
      </c>
      <c r="J2163" s="94" t="str">
        <f t="shared" si="2164"/>
        <v/>
      </c>
      <c r="K2163" s="100"/>
      <c r="L2163" s="100"/>
      <c r="N2163" s="100"/>
      <c r="O2163" s="100"/>
      <c r="P2163" s="100"/>
    </row>
    <row r="2164">
      <c r="A2164" s="114">
        <v>203110.0</v>
      </c>
      <c r="B2164" s="113" t="s">
        <v>247</v>
      </c>
      <c r="C2164" s="113" t="s">
        <v>608</v>
      </c>
      <c r="D2164" s="112" t="s">
        <v>178</v>
      </c>
      <c r="E2164" s="112">
        <v>1870.0</v>
      </c>
      <c r="F2164" s="111" t="str">
        <f>DataPull!D2164</f>
        <v/>
      </c>
      <c r="G2164" s="94" t="str">
        <f t="shared" si="2"/>
        <v/>
      </c>
      <c r="H2164" s="94" t="str">
        <f t="shared" si="3"/>
        <v/>
      </c>
      <c r="I2164" s="94" t="str">
        <f t="shared" ref="I2164:J2164" si="2165">if(G2164 = "", , -G2164)</f>
        <v/>
      </c>
      <c r="J2164" s="94" t="str">
        <f t="shared" si="2165"/>
        <v/>
      </c>
      <c r="K2164" s="100"/>
      <c r="M2164" s="100"/>
      <c r="N2164" s="100"/>
      <c r="O2164" s="100"/>
      <c r="P2164" s="100"/>
    </row>
    <row r="2165">
      <c r="A2165" s="107">
        <v>203111.0</v>
      </c>
      <c r="B2165" s="108" t="s">
        <v>85</v>
      </c>
      <c r="C2165" s="108" t="s">
        <v>609</v>
      </c>
      <c r="D2165" s="112" t="s">
        <v>187</v>
      </c>
      <c r="E2165" s="112">
        <v>391.5</v>
      </c>
      <c r="F2165" s="111" t="str">
        <f>DataPull!D2165</f>
        <v/>
      </c>
      <c r="G2165" s="94" t="str">
        <f t="shared" si="2"/>
        <v/>
      </c>
      <c r="H2165" s="94" t="str">
        <f t="shared" si="3"/>
        <v/>
      </c>
      <c r="I2165" s="94" t="str">
        <f t="shared" ref="I2165:J2165" si="2166">if(G2165 = "", , -G2165)</f>
        <v/>
      </c>
      <c r="J2165" s="94" t="str">
        <f t="shared" si="2166"/>
        <v/>
      </c>
      <c r="K2165" s="100"/>
      <c r="M2165" s="100"/>
      <c r="N2165" s="100"/>
      <c r="O2165" s="100"/>
      <c r="P2165" s="100"/>
    </row>
    <row r="2166">
      <c r="A2166" s="107">
        <v>203111.0</v>
      </c>
      <c r="B2166" s="108" t="s">
        <v>92</v>
      </c>
      <c r="C2166" s="108" t="s">
        <v>609</v>
      </c>
      <c r="D2166" s="112" t="s">
        <v>181</v>
      </c>
      <c r="E2166" s="112">
        <v>101.5</v>
      </c>
      <c r="F2166" s="111" t="str">
        <f>DataPull!D2166</f>
        <v/>
      </c>
      <c r="G2166" s="94" t="str">
        <f t="shared" si="2"/>
        <v/>
      </c>
      <c r="H2166" s="94" t="str">
        <f t="shared" si="3"/>
        <v/>
      </c>
      <c r="I2166" s="94" t="str">
        <f t="shared" ref="I2166:J2166" si="2167">if(G2166 = "", , -G2166)</f>
        <v/>
      </c>
      <c r="J2166" s="94" t="str">
        <f t="shared" si="2167"/>
        <v/>
      </c>
      <c r="K2166" s="100"/>
      <c r="M2166" s="100"/>
      <c r="N2166" s="100"/>
      <c r="O2166" s="100"/>
      <c r="P2166" s="100"/>
    </row>
    <row r="2167">
      <c r="A2167" s="107">
        <v>203112.0</v>
      </c>
      <c r="B2167" s="108" t="s">
        <v>85</v>
      </c>
      <c r="C2167" s="108" t="s">
        <v>610</v>
      </c>
      <c r="D2167" s="112" t="s">
        <v>177</v>
      </c>
      <c r="E2167" s="112">
        <v>850.5</v>
      </c>
      <c r="F2167" s="111" t="str">
        <f>DataPull!D2167</f>
        <v/>
      </c>
      <c r="G2167" s="94" t="str">
        <f t="shared" si="2"/>
        <v/>
      </c>
      <c r="H2167" s="94" t="str">
        <f t="shared" si="3"/>
        <v/>
      </c>
      <c r="I2167" s="94" t="str">
        <f t="shared" ref="I2167:J2167" si="2168">if(G2167 = "", , -G2167)</f>
        <v/>
      </c>
      <c r="J2167" s="94" t="str">
        <f t="shared" si="2168"/>
        <v/>
      </c>
      <c r="K2167" s="100"/>
      <c r="M2167" s="100"/>
      <c r="N2167" s="100"/>
      <c r="P2167" s="100"/>
    </row>
    <row r="2168">
      <c r="A2168" s="107">
        <v>203112.0</v>
      </c>
      <c r="B2168" s="108" t="s">
        <v>90</v>
      </c>
      <c r="C2168" s="108" t="s">
        <v>610</v>
      </c>
      <c r="D2168" s="112" t="s">
        <v>177</v>
      </c>
      <c r="E2168" s="112">
        <v>1285.2</v>
      </c>
      <c r="F2168" s="111" t="str">
        <f>DataPull!D2168</f>
        <v/>
      </c>
      <c r="G2168" s="94" t="str">
        <f t="shared" si="2"/>
        <v/>
      </c>
      <c r="H2168" s="94" t="str">
        <f t="shared" si="3"/>
        <v/>
      </c>
      <c r="I2168" s="94" t="str">
        <f t="shared" ref="I2168:J2168" si="2169">if(G2168 = "", , -G2168)</f>
        <v/>
      </c>
      <c r="J2168" s="94" t="str">
        <f t="shared" si="2169"/>
        <v/>
      </c>
      <c r="K2168" s="100"/>
      <c r="M2168" s="100"/>
      <c r="N2168" s="100"/>
      <c r="O2168" s="100"/>
      <c r="P2168" s="100"/>
    </row>
    <row r="2169">
      <c r="A2169" s="107">
        <v>203112.0</v>
      </c>
      <c r="B2169" s="108" t="s">
        <v>92</v>
      </c>
      <c r="C2169" s="108" t="s">
        <v>610</v>
      </c>
      <c r="D2169" s="112" t="s">
        <v>177</v>
      </c>
      <c r="E2169" s="112">
        <v>873.2</v>
      </c>
      <c r="F2169" s="111" t="str">
        <f>DataPull!D2169</f>
        <v/>
      </c>
      <c r="G2169" s="94" t="str">
        <f t="shared" si="2"/>
        <v/>
      </c>
      <c r="H2169" s="94" t="str">
        <f t="shared" si="3"/>
        <v/>
      </c>
      <c r="I2169" s="94" t="str">
        <f t="shared" ref="I2169:J2169" si="2170">if(G2169 = "", , -G2169)</f>
        <v/>
      </c>
      <c r="J2169" s="94" t="str">
        <f t="shared" si="2170"/>
        <v/>
      </c>
      <c r="K2169" s="100"/>
      <c r="M2169" s="100"/>
      <c r="N2169" s="100"/>
      <c r="O2169" s="100"/>
      <c r="P2169" s="100"/>
    </row>
    <row r="2170">
      <c r="A2170" s="107">
        <v>203112.0</v>
      </c>
      <c r="B2170" s="108" t="s">
        <v>190</v>
      </c>
      <c r="C2170" s="108" t="s">
        <v>610</v>
      </c>
      <c r="D2170" s="112" t="s">
        <v>177</v>
      </c>
      <c r="E2170" s="112">
        <v>558.6</v>
      </c>
      <c r="F2170" s="111" t="str">
        <f>DataPull!D2170</f>
        <v/>
      </c>
      <c r="G2170" s="94" t="str">
        <f t="shared" si="2"/>
        <v/>
      </c>
      <c r="H2170" s="94" t="str">
        <f t="shared" si="3"/>
        <v/>
      </c>
      <c r="I2170" s="94" t="str">
        <f t="shared" ref="I2170:J2170" si="2171">if(G2170 = "", , -G2170)</f>
        <v/>
      </c>
      <c r="J2170" s="94" t="str">
        <f t="shared" si="2171"/>
        <v/>
      </c>
      <c r="K2170" s="100"/>
      <c r="M2170" s="100"/>
      <c r="N2170" s="100"/>
      <c r="O2170" s="100"/>
      <c r="P2170" s="100"/>
    </row>
    <row r="2171">
      <c r="A2171" s="107">
        <v>203112.0</v>
      </c>
      <c r="B2171" s="108" t="s">
        <v>191</v>
      </c>
      <c r="C2171" s="108" t="s">
        <v>610</v>
      </c>
      <c r="D2171" s="112" t="s">
        <v>176</v>
      </c>
      <c r="E2171" s="112">
        <v>1358.0</v>
      </c>
      <c r="F2171" s="111" t="str">
        <f>DataPull!D2171</f>
        <v/>
      </c>
      <c r="G2171" s="94" t="str">
        <f t="shared" si="2"/>
        <v/>
      </c>
      <c r="H2171" s="94" t="str">
        <f t="shared" si="3"/>
        <v/>
      </c>
      <c r="I2171" s="94" t="str">
        <f t="shared" ref="I2171:J2171" si="2172">if(G2171 = "", , -G2171)</f>
        <v/>
      </c>
      <c r="J2171" s="94" t="str">
        <f t="shared" si="2172"/>
        <v/>
      </c>
      <c r="K2171" s="100"/>
      <c r="M2171" s="100"/>
      <c r="N2171" s="100"/>
      <c r="O2171" s="100"/>
      <c r="P2171" s="100"/>
    </row>
    <row r="2172">
      <c r="A2172" s="107">
        <v>203112.0</v>
      </c>
      <c r="B2172" s="108" t="s">
        <v>192</v>
      </c>
      <c r="C2172" s="108" t="s">
        <v>610</v>
      </c>
      <c r="D2172" s="112" t="s">
        <v>187</v>
      </c>
      <c r="E2172" s="112">
        <v>123.0</v>
      </c>
      <c r="F2172" s="111" t="str">
        <f>DataPull!D2172</f>
        <v/>
      </c>
      <c r="G2172" s="94" t="str">
        <f t="shared" si="2"/>
        <v/>
      </c>
      <c r="H2172" s="94" t="str">
        <f t="shared" si="3"/>
        <v/>
      </c>
      <c r="I2172" s="94" t="str">
        <f t="shared" ref="I2172:J2172" si="2173">if(G2172 = "", , -G2172)</f>
        <v/>
      </c>
      <c r="J2172" s="94" t="str">
        <f t="shared" si="2173"/>
        <v/>
      </c>
      <c r="K2172" s="100"/>
      <c r="L2172" s="100"/>
      <c r="M2172" s="100"/>
      <c r="N2172" s="100"/>
      <c r="O2172" s="100"/>
      <c r="P2172" s="100"/>
    </row>
    <row r="2173">
      <c r="A2173" s="107">
        <v>203113.0</v>
      </c>
      <c r="B2173" s="108" t="s">
        <v>85</v>
      </c>
      <c r="C2173" s="108" t="s">
        <v>611</v>
      </c>
      <c r="D2173" s="112" t="s">
        <v>177</v>
      </c>
      <c r="E2173" s="112">
        <v>790.4</v>
      </c>
      <c r="F2173" s="111" t="str">
        <f>DataPull!D2173</f>
        <v/>
      </c>
      <c r="G2173" s="94" t="str">
        <f t="shared" si="2"/>
        <v/>
      </c>
      <c r="H2173" s="94" t="str">
        <f t="shared" si="3"/>
        <v/>
      </c>
      <c r="I2173" s="94" t="str">
        <f t="shared" ref="I2173:J2173" si="2174">if(G2173 = "", , -G2173)</f>
        <v/>
      </c>
      <c r="J2173" s="94" t="str">
        <f t="shared" si="2174"/>
        <v/>
      </c>
      <c r="K2173" s="100"/>
      <c r="M2173" s="100"/>
      <c r="N2173" s="100"/>
      <c r="O2173" s="100"/>
      <c r="P2173" s="100"/>
    </row>
    <row r="2174">
      <c r="A2174" s="107">
        <v>203113.0</v>
      </c>
      <c r="B2174" s="108" t="s">
        <v>90</v>
      </c>
      <c r="C2174" s="108" t="s">
        <v>611</v>
      </c>
      <c r="D2174" s="112" t="s">
        <v>181</v>
      </c>
      <c r="E2174" s="112">
        <v>120.0</v>
      </c>
      <c r="F2174" s="111" t="str">
        <f>DataPull!D2174</f>
        <v/>
      </c>
      <c r="G2174" s="94" t="str">
        <f t="shared" si="2"/>
        <v/>
      </c>
      <c r="H2174" s="94" t="str">
        <f t="shared" si="3"/>
        <v/>
      </c>
      <c r="I2174" s="94" t="str">
        <f t="shared" ref="I2174:J2174" si="2175">if(G2174 = "", , -G2174)</f>
        <v/>
      </c>
      <c r="J2174" s="94" t="str">
        <f t="shared" si="2175"/>
        <v/>
      </c>
      <c r="K2174" s="100"/>
      <c r="L2174" s="100"/>
      <c r="M2174" s="100"/>
      <c r="N2174" s="100"/>
      <c r="O2174" s="100"/>
      <c r="P2174" s="100"/>
    </row>
    <row r="2175">
      <c r="A2175" s="107">
        <v>203114.0</v>
      </c>
      <c r="B2175" s="108" t="s">
        <v>85</v>
      </c>
      <c r="C2175" s="108" t="s">
        <v>612</v>
      </c>
      <c r="D2175" s="112" t="s">
        <v>178</v>
      </c>
      <c r="E2175" s="112">
        <v>2460.0</v>
      </c>
      <c r="F2175" s="111" t="str">
        <f>DataPull!D2175</f>
        <v/>
      </c>
      <c r="G2175" s="94" t="str">
        <f t="shared" si="2"/>
        <v/>
      </c>
      <c r="H2175" s="94" t="str">
        <f t="shared" si="3"/>
        <v/>
      </c>
      <c r="I2175" s="94" t="str">
        <f t="shared" ref="I2175:J2175" si="2176">if(G2175 = "", , -G2175)</f>
        <v/>
      </c>
      <c r="J2175" s="94" t="str">
        <f t="shared" si="2176"/>
        <v/>
      </c>
      <c r="K2175" s="100"/>
      <c r="L2175" s="100"/>
      <c r="N2175" s="100"/>
      <c r="O2175" s="100"/>
      <c r="P2175" s="100"/>
    </row>
    <row r="2176">
      <c r="A2176" s="107">
        <v>203114.0</v>
      </c>
      <c r="B2176" s="108" t="s">
        <v>90</v>
      </c>
      <c r="C2176" s="108" t="s">
        <v>612</v>
      </c>
      <c r="D2176" s="112" t="s">
        <v>184</v>
      </c>
      <c r="E2176" s="112">
        <v>2377.9</v>
      </c>
      <c r="F2176" s="111" t="str">
        <f>DataPull!D2176</f>
        <v/>
      </c>
      <c r="G2176" s="94" t="str">
        <f t="shared" si="2"/>
        <v/>
      </c>
      <c r="H2176" s="94" t="str">
        <f t="shared" si="3"/>
        <v/>
      </c>
      <c r="I2176" s="94" t="str">
        <f t="shared" ref="I2176:J2176" si="2177">if(G2176 = "", , -G2176)</f>
        <v/>
      </c>
      <c r="J2176" s="94" t="str">
        <f t="shared" si="2177"/>
        <v/>
      </c>
      <c r="K2176" s="100"/>
      <c r="M2176" s="100"/>
      <c r="N2176" s="100"/>
      <c r="O2176" s="100"/>
      <c r="P2176" s="100"/>
    </row>
    <row r="2177">
      <c r="A2177" s="107">
        <v>203114.0</v>
      </c>
      <c r="B2177" s="108" t="s">
        <v>92</v>
      </c>
      <c r="C2177" s="108" t="s">
        <v>612</v>
      </c>
      <c r="D2177" s="112" t="s">
        <v>178</v>
      </c>
      <c r="E2177" s="112">
        <v>2851.9</v>
      </c>
      <c r="F2177" s="111" t="str">
        <f>DataPull!D2177</f>
        <v/>
      </c>
      <c r="G2177" s="94" t="str">
        <f t="shared" si="2"/>
        <v/>
      </c>
      <c r="H2177" s="94" t="str">
        <f t="shared" si="3"/>
        <v/>
      </c>
      <c r="I2177" s="94" t="str">
        <f t="shared" ref="I2177:J2177" si="2178">if(G2177 = "", , -G2177)</f>
        <v/>
      </c>
      <c r="J2177" s="94" t="str">
        <f t="shared" si="2178"/>
        <v/>
      </c>
      <c r="K2177" s="100"/>
      <c r="M2177" s="100"/>
      <c r="N2177" s="100"/>
      <c r="O2177" s="100"/>
      <c r="P2177" s="100"/>
    </row>
    <row r="2178">
      <c r="A2178" s="107">
        <v>203114.0</v>
      </c>
      <c r="B2178" s="108" t="s">
        <v>190</v>
      </c>
      <c r="C2178" s="108" t="s">
        <v>612</v>
      </c>
      <c r="D2178" s="112" t="s">
        <v>178</v>
      </c>
      <c r="E2178" s="112">
        <v>890.3</v>
      </c>
      <c r="F2178" s="111" t="str">
        <f>DataPull!D2178</f>
        <v/>
      </c>
      <c r="G2178" s="94" t="str">
        <f t="shared" si="2"/>
        <v/>
      </c>
      <c r="H2178" s="94" t="str">
        <f t="shared" si="3"/>
        <v/>
      </c>
      <c r="I2178" s="94" t="str">
        <f t="shared" ref="I2178:J2178" si="2179">if(G2178 = "", , -G2178)</f>
        <v/>
      </c>
      <c r="J2178" s="94" t="str">
        <f t="shared" si="2179"/>
        <v/>
      </c>
      <c r="K2178" s="100"/>
      <c r="M2178" s="100"/>
      <c r="N2178" s="100"/>
      <c r="O2178" s="100"/>
      <c r="P2178" s="100"/>
    </row>
    <row r="2179">
      <c r="A2179" s="107">
        <v>203114.0</v>
      </c>
      <c r="B2179" s="108" t="s">
        <v>191</v>
      </c>
      <c r="C2179" s="108" t="s">
        <v>612</v>
      </c>
      <c r="D2179" s="112" t="s">
        <v>184</v>
      </c>
      <c r="E2179" s="112">
        <v>2984.8</v>
      </c>
      <c r="F2179" s="111" t="str">
        <f>DataPull!D2179</f>
        <v/>
      </c>
      <c r="G2179" s="94" t="str">
        <f t="shared" si="2"/>
        <v/>
      </c>
      <c r="H2179" s="94" t="str">
        <f t="shared" si="3"/>
        <v/>
      </c>
      <c r="I2179" s="94" t="str">
        <f t="shared" ref="I2179:J2179" si="2180">if(G2179 = "", , -G2179)</f>
        <v/>
      </c>
      <c r="J2179" s="94" t="str">
        <f t="shared" si="2180"/>
        <v/>
      </c>
      <c r="K2179" s="100"/>
      <c r="L2179" s="100"/>
      <c r="N2179" s="100"/>
      <c r="O2179" s="100"/>
      <c r="P2179" s="100"/>
    </row>
    <row r="2180">
      <c r="A2180" s="107">
        <v>203114.0</v>
      </c>
      <c r="B2180" s="108" t="s">
        <v>192</v>
      </c>
      <c r="C2180" s="108" t="s">
        <v>612</v>
      </c>
      <c r="D2180" s="112" t="s">
        <v>184</v>
      </c>
      <c r="E2180" s="112">
        <v>2394.7</v>
      </c>
      <c r="F2180" s="111" t="str">
        <f>DataPull!D2180</f>
        <v/>
      </c>
      <c r="G2180" s="94" t="str">
        <f t="shared" si="2"/>
        <v/>
      </c>
      <c r="H2180" s="94" t="str">
        <f t="shared" si="3"/>
        <v/>
      </c>
      <c r="I2180" s="94" t="str">
        <f t="shared" ref="I2180:J2180" si="2181">if(G2180 = "", , -G2180)</f>
        <v/>
      </c>
      <c r="J2180" s="94" t="str">
        <f t="shared" si="2181"/>
        <v/>
      </c>
      <c r="K2180" s="100"/>
      <c r="M2180" s="100"/>
      <c r="N2180" s="100"/>
      <c r="O2180" s="100"/>
      <c r="P2180" s="100"/>
    </row>
    <row r="2181">
      <c r="A2181" s="107">
        <v>203114.0</v>
      </c>
      <c r="B2181" s="108" t="s">
        <v>193</v>
      </c>
      <c r="C2181" s="108" t="s">
        <v>612</v>
      </c>
      <c r="D2181" s="112" t="s">
        <v>184</v>
      </c>
      <c r="E2181" s="112">
        <v>1853.8</v>
      </c>
      <c r="F2181" s="111" t="str">
        <f>DataPull!D2181</f>
        <v/>
      </c>
      <c r="G2181" s="94" t="str">
        <f t="shared" si="2"/>
        <v/>
      </c>
      <c r="H2181" s="94" t="str">
        <f t="shared" si="3"/>
        <v/>
      </c>
      <c r="I2181" s="94" t="str">
        <f t="shared" ref="I2181:J2181" si="2182">if(G2181 = "", , -G2181)</f>
        <v/>
      </c>
      <c r="J2181" s="94" t="str">
        <f t="shared" si="2182"/>
        <v/>
      </c>
      <c r="K2181" s="100"/>
      <c r="M2181" s="100"/>
      <c r="N2181" s="100"/>
      <c r="O2181" s="100"/>
      <c r="P2181" s="100"/>
    </row>
    <row r="2182">
      <c r="A2182" s="107">
        <v>203114.0</v>
      </c>
      <c r="B2182" s="108" t="s">
        <v>243</v>
      </c>
      <c r="C2182" s="108" t="s">
        <v>612</v>
      </c>
      <c r="D2182" s="112" t="s">
        <v>184</v>
      </c>
      <c r="E2182" s="112">
        <v>2271.2</v>
      </c>
      <c r="F2182" s="111" t="str">
        <f>DataPull!D2182</f>
        <v/>
      </c>
      <c r="G2182" s="94" t="str">
        <f t="shared" si="2"/>
        <v/>
      </c>
      <c r="H2182" s="94" t="str">
        <f t="shared" si="3"/>
        <v/>
      </c>
      <c r="I2182" s="94" t="str">
        <f t="shared" ref="I2182:J2182" si="2183">if(G2182 = "", , -G2182)</f>
        <v/>
      </c>
      <c r="J2182" s="94" t="str">
        <f t="shared" si="2183"/>
        <v/>
      </c>
      <c r="K2182" s="100"/>
      <c r="L2182" s="100"/>
      <c r="M2182" s="100"/>
      <c r="N2182" s="100"/>
      <c r="O2182" s="100"/>
      <c r="P2182" s="100"/>
    </row>
    <row r="2183">
      <c r="A2183" s="107">
        <v>203114.0</v>
      </c>
      <c r="B2183" s="108" t="s">
        <v>215</v>
      </c>
      <c r="C2183" s="108" t="s">
        <v>612</v>
      </c>
      <c r="D2183" s="112" t="s">
        <v>184</v>
      </c>
      <c r="E2183" s="112">
        <v>2138.4</v>
      </c>
      <c r="F2183" s="111" t="str">
        <f>DataPull!D2183</f>
        <v/>
      </c>
      <c r="G2183" s="94" t="str">
        <f t="shared" si="2"/>
        <v/>
      </c>
      <c r="H2183" s="94" t="str">
        <f t="shared" si="3"/>
        <v/>
      </c>
      <c r="I2183" s="94" t="str">
        <f t="shared" ref="I2183:J2183" si="2184">if(G2183 = "", , -G2183)</f>
        <v/>
      </c>
      <c r="J2183" s="94" t="str">
        <f t="shared" si="2184"/>
        <v/>
      </c>
      <c r="K2183" s="100"/>
      <c r="M2183" s="100"/>
      <c r="N2183" s="100"/>
      <c r="O2183" s="100"/>
      <c r="P2183" s="100"/>
    </row>
    <row r="2184">
      <c r="A2184" s="107">
        <v>203114.0</v>
      </c>
      <c r="B2184" s="108" t="s">
        <v>244</v>
      </c>
      <c r="C2184" s="108" t="s">
        <v>612</v>
      </c>
      <c r="D2184" s="112" t="s">
        <v>176</v>
      </c>
      <c r="E2184" s="112">
        <v>801.9</v>
      </c>
      <c r="F2184" s="111" t="str">
        <f>DataPull!D2184</f>
        <v/>
      </c>
      <c r="G2184" s="94" t="str">
        <f t="shared" si="2"/>
        <v/>
      </c>
      <c r="H2184" s="94" t="str">
        <f t="shared" si="3"/>
        <v/>
      </c>
      <c r="I2184" s="94" t="str">
        <f t="shared" ref="I2184:J2184" si="2185">if(G2184 = "", , -G2184)</f>
        <v/>
      </c>
      <c r="J2184" s="94" t="str">
        <f t="shared" si="2185"/>
        <v/>
      </c>
      <c r="K2184" s="100"/>
      <c r="N2184" s="100"/>
      <c r="O2184" s="100"/>
      <c r="P2184" s="100"/>
    </row>
    <row r="2185">
      <c r="A2185" s="107">
        <v>203114.0</v>
      </c>
      <c r="B2185" s="108" t="s">
        <v>245</v>
      </c>
      <c r="C2185" s="108" t="s">
        <v>612</v>
      </c>
      <c r="D2185" s="112" t="s">
        <v>178</v>
      </c>
      <c r="E2185" s="112">
        <v>1485.0</v>
      </c>
      <c r="F2185" s="111" t="str">
        <f>DataPull!D2185</f>
        <v/>
      </c>
      <c r="G2185" s="94" t="str">
        <f t="shared" si="2"/>
        <v/>
      </c>
      <c r="H2185" s="94" t="str">
        <f t="shared" si="3"/>
        <v/>
      </c>
      <c r="I2185" s="94" t="str">
        <f t="shared" ref="I2185:J2185" si="2186">if(G2185 = "", , -G2185)</f>
        <v/>
      </c>
      <c r="J2185" s="94" t="str">
        <f t="shared" si="2186"/>
        <v/>
      </c>
      <c r="K2185" s="100"/>
      <c r="L2185" s="100"/>
      <c r="N2185" s="100"/>
      <c r="O2185" s="100"/>
      <c r="P2185" s="100"/>
    </row>
    <row r="2186">
      <c r="A2186" s="107">
        <v>203114.0</v>
      </c>
      <c r="B2186" s="108" t="s">
        <v>246</v>
      </c>
      <c r="C2186" s="108" t="s">
        <v>612</v>
      </c>
      <c r="D2186" s="112" t="s">
        <v>176</v>
      </c>
      <c r="E2186" s="112">
        <v>843.6</v>
      </c>
      <c r="F2186" s="111" t="str">
        <f>DataPull!D2186</f>
        <v/>
      </c>
      <c r="G2186" s="94" t="str">
        <f t="shared" si="2"/>
        <v/>
      </c>
      <c r="H2186" s="94" t="str">
        <f t="shared" si="3"/>
        <v/>
      </c>
      <c r="I2186" s="94" t="str">
        <f t="shared" ref="I2186:J2186" si="2187">if(G2186 = "", , -G2186)</f>
        <v/>
      </c>
      <c r="J2186" s="94" t="str">
        <f t="shared" si="2187"/>
        <v/>
      </c>
      <c r="K2186" s="100"/>
      <c r="L2186" s="100"/>
      <c r="N2186" s="100"/>
      <c r="O2186" s="100"/>
      <c r="P2186" s="100"/>
    </row>
    <row r="2187">
      <c r="A2187" s="114">
        <v>203114.0</v>
      </c>
      <c r="B2187" s="113" t="s">
        <v>247</v>
      </c>
      <c r="C2187" s="113" t="s">
        <v>612</v>
      </c>
      <c r="D2187" s="112" t="s">
        <v>176</v>
      </c>
      <c r="E2187" s="112">
        <v>1436.4</v>
      </c>
      <c r="F2187" s="111" t="str">
        <f>DataPull!D2187</f>
        <v/>
      </c>
      <c r="G2187" s="94" t="str">
        <f t="shared" si="2"/>
        <v/>
      </c>
      <c r="H2187" s="94" t="str">
        <f t="shared" si="3"/>
        <v/>
      </c>
      <c r="I2187" s="94" t="str">
        <f t="shared" ref="I2187:J2187" si="2188">if(G2187 = "", , -G2187)</f>
        <v/>
      </c>
      <c r="J2187" s="94" t="str">
        <f t="shared" si="2188"/>
        <v/>
      </c>
      <c r="K2187" s="100"/>
      <c r="M2187" s="100"/>
      <c r="N2187" s="100"/>
      <c r="O2187" s="100"/>
      <c r="P2187" s="100"/>
    </row>
    <row r="2188">
      <c r="A2188" s="107">
        <v>203115.0</v>
      </c>
      <c r="B2188" s="108" t="s">
        <v>85</v>
      </c>
      <c r="C2188" s="108" t="s">
        <v>613</v>
      </c>
      <c r="D2188" s="112" t="s">
        <v>187</v>
      </c>
      <c r="E2188" s="112">
        <v>385.4</v>
      </c>
      <c r="F2188" s="111" t="str">
        <f>DataPull!D2188</f>
        <v/>
      </c>
      <c r="G2188" s="94" t="str">
        <f t="shared" si="2"/>
        <v/>
      </c>
      <c r="H2188" s="94" t="str">
        <f t="shared" si="3"/>
        <v/>
      </c>
      <c r="I2188" s="94" t="str">
        <f t="shared" ref="I2188:J2188" si="2189">if(G2188 = "", , -G2188)</f>
        <v/>
      </c>
      <c r="J2188" s="94" t="str">
        <f t="shared" si="2189"/>
        <v/>
      </c>
      <c r="K2188" s="100"/>
      <c r="M2188" s="100"/>
      <c r="N2188" s="100"/>
      <c r="O2188" s="100"/>
      <c r="P2188" s="100"/>
    </row>
    <row r="2189">
      <c r="A2189" s="107">
        <v>203115.0</v>
      </c>
      <c r="B2189" s="108" t="s">
        <v>90</v>
      </c>
      <c r="C2189" s="108" t="s">
        <v>613</v>
      </c>
      <c r="D2189" s="112" t="s">
        <v>177</v>
      </c>
      <c r="E2189" s="112">
        <v>986.0</v>
      </c>
      <c r="F2189" s="111" t="str">
        <f>DataPull!D2189</f>
        <v/>
      </c>
      <c r="G2189" s="94" t="str">
        <f t="shared" si="2"/>
        <v/>
      </c>
      <c r="H2189" s="94" t="str">
        <f t="shared" si="3"/>
        <v/>
      </c>
      <c r="I2189" s="94" t="str">
        <f t="shared" ref="I2189:J2189" si="2190">if(G2189 = "", , -G2189)</f>
        <v/>
      </c>
      <c r="J2189" s="94" t="str">
        <f t="shared" si="2190"/>
        <v/>
      </c>
      <c r="K2189" s="100"/>
      <c r="M2189" s="100"/>
      <c r="N2189" s="100"/>
      <c r="O2189" s="100"/>
      <c r="P2189" s="100"/>
    </row>
    <row r="2190">
      <c r="A2190" s="107">
        <v>203115.0</v>
      </c>
      <c r="B2190" s="108" t="s">
        <v>92</v>
      </c>
      <c r="C2190" s="108" t="s">
        <v>613</v>
      </c>
      <c r="D2190" s="112" t="s">
        <v>178</v>
      </c>
      <c r="E2190" s="112">
        <v>2353.4</v>
      </c>
      <c r="F2190" s="111" t="str">
        <f>DataPull!D2190</f>
        <v/>
      </c>
      <c r="G2190" s="94" t="str">
        <f t="shared" si="2"/>
        <v/>
      </c>
      <c r="H2190" s="94" t="str">
        <f t="shared" si="3"/>
        <v/>
      </c>
      <c r="I2190" s="94" t="str">
        <f t="shared" ref="I2190:J2190" si="2191">if(G2190 = "", , -G2190)</f>
        <v/>
      </c>
      <c r="J2190" s="94" t="str">
        <f t="shared" si="2191"/>
        <v/>
      </c>
      <c r="K2190" s="100"/>
      <c r="M2190" s="100"/>
      <c r="N2190" s="100"/>
      <c r="O2190" s="100"/>
      <c r="P2190" s="100"/>
    </row>
    <row r="2191">
      <c r="A2191" s="107">
        <v>203115.0</v>
      </c>
      <c r="B2191" s="108" t="s">
        <v>190</v>
      </c>
      <c r="C2191" s="108" t="s">
        <v>613</v>
      </c>
      <c r="D2191" s="112" t="s">
        <v>178</v>
      </c>
      <c r="E2191" s="112">
        <v>1704.0</v>
      </c>
      <c r="F2191" s="111" t="str">
        <f>DataPull!D2191</f>
        <v/>
      </c>
      <c r="G2191" s="94" t="str">
        <f t="shared" si="2"/>
        <v/>
      </c>
      <c r="H2191" s="94" t="str">
        <f t="shared" si="3"/>
        <v/>
      </c>
      <c r="I2191" s="94" t="str">
        <f t="shared" ref="I2191:J2191" si="2192">if(G2191 = "", , -G2191)</f>
        <v/>
      </c>
      <c r="J2191" s="94" t="str">
        <f t="shared" si="2192"/>
        <v/>
      </c>
      <c r="K2191" s="100"/>
      <c r="L2191" s="100"/>
      <c r="N2191" s="100"/>
      <c r="O2191" s="100"/>
      <c r="P2191" s="100"/>
    </row>
    <row r="2192">
      <c r="A2192" s="107">
        <v>203115.0</v>
      </c>
      <c r="B2192" s="108" t="s">
        <v>191</v>
      </c>
      <c r="C2192" s="108" t="s">
        <v>613</v>
      </c>
      <c r="D2192" s="112" t="s">
        <v>178</v>
      </c>
      <c r="E2192" s="112">
        <v>2681.1</v>
      </c>
      <c r="F2192" s="111" t="str">
        <f>DataPull!D2192</f>
        <v/>
      </c>
      <c r="G2192" s="94" t="str">
        <f t="shared" si="2"/>
        <v/>
      </c>
      <c r="H2192" s="94" t="str">
        <f t="shared" si="3"/>
        <v/>
      </c>
      <c r="I2192" s="94" t="str">
        <f t="shared" ref="I2192:J2192" si="2193">if(G2192 = "", , -G2192)</f>
        <v/>
      </c>
      <c r="J2192" s="94" t="str">
        <f t="shared" si="2193"/>
        <v/>
      </c>
      <c r="K2192" s="100"/>
      <c r="M2192" s="100"/>
      <c r="N2192" s="100"/>
      <c r="O2192" s="100"/>
      <c r="P2192" s="100"/>
    </row>
    <row r="2193">
      <c r="A2193" s="107">
        <v>203115.0</v>
      </c>
      <c r="B2193" s="108" t="s">
        <v>192</v>
      </c>
      <c r="C2193" s="108" t="s">
        <v>613</v>
      </c>
      <c r="D2193" s="112" t="s">
        <v>178</v>
      </c>
      <c r="E2193" s="112">
        <v>1191.1</v>
      </c>
      <c r="F2193" s="111" t="str">
        <f>DataPull!D2193</f>
        <v/>
      </c>
      <c r="G2193" s="94" t="str">
        <f t="shared" si="2"/>
        <v/>
      </c>
      <c r="H2193" s="94" t="str">
        <f t="shared" si="3"/>
        <v/>
      </c>
      <c r="I2193" s="94" t="str">
        <f t="shared" ref="I2193:J2193" si="2194">if(G2193 = "", , -G2193)</f>
        <v/>
      </c>
      <c r="J2193" s="94" t="str">
        <f t="shared" si="2194"/>
        <v/>
      </c>
      <c r="K2193" s="100"/>
      <c r="L2193" s="100"/>
      <c r="M2193" s="100"/>
      <c r="N2193" s="100"/>
      <c r="O2193" s="100"/>
      <c r="P2193" s="100"/>
    </row>
    <row r="2194">
      <c r="A2194" s="107">
        <v>203115.0</v>
      </c>
      <c r="B2194" s="108" t="s">
        <v>193</v>
      </c>
      <c r="C2194" s="108" t="s">
        <v>613</v>
      </c>
      <c r="D2194" s="112" t="s">
        <v>178</v>
      </c>
      <c r="E2194" s="112">
        <v>1914.0</v>
      </c>
      <c r="F2194" s="111" t="str">
        <f>DataPull!D2194</f>
        <v/>
      </c>
      <c r="G2194" s="94" t="str">
        <f t="shared" si="2"/>
        <v/>
      </c>
      <c r="H2194" s="94" t="str">
        <f t="shared" si="3"/>
        <v/>
      </c>
      <c r="I2194" s="94" t="str">
        <f t="shared" ref="I2194:J2194" si="2195">if(G2194 = "", , -G2194)</f>
        <v/>
      </c>
      <c r="J2194" s="94" t="str">
        <f t="shared" si="2195"/>
        <v/>
      </c>
      <c r="K2194" s="100"/>
      <c r="M2194" s="100"/>
      <c r="N2194" s="100"/>
      <c r="O2194" s="100"/>
      <c r="P2194" s="100"/>
    </row>
    <row r="2195">
      <c r="A2195" s="107">
        <v>203115.0</v>
      </c>
      <c r="B2195" s="108" t="s">
        <v>243</v>
      </c>
      <c r="C2195" s="108" t="s">
        <v>613</v>
      </c>
      <c r="D2195" s="112" t="s">
        <v>178</v>
      </c>
      <c r="E2195" s="112">
        <v>1736.0</v>
      </c>
      <c r="F2195" s="111" t="str">
        <f>DataPull!D2195</f>
        <v/>
      </c>
      <c r="G2195" s="94" t="str">
        <f t="shared" si="2"/>
        <v/>
      </c>
      <c r="H2195" s="94" t="str">
        <f t="shared" si="3"/>
        <v/>
      </c>
      <c r="I2195" s="94" t="str">
        <f t="shared" ref="I2195:J2195" si="2196">if(G2195 = "", , -G2195)</f>
        <v/>
      </c>
      <c r="J2195" s="94" t="str">
        <f t="shared" si="2196"/>
        <v/>
      </c>
      <c r="K2195" s="100"/>
      <c r="N2195" s="100"/>
      <c r="O2195" s="100"/>
      <c r="P2195" s="100"/>
    </row>
    <row r="2196">
      <c r="A2196" s="107">
        <v>203115.0</v>
      </c>
      <c r="B2196" s="108" t="s">
        <v>215</v>
      </c>
      <c r="C2196" s="108" t="s">
        <v>613</v>
      </c>
      <c r="D2196" s="112" t="s">
        <v>178</v>
      </c>
      <c r="E2196" s="112">
        <v>2279.1</v>
      </c>
      <c r="F2196" s="111" t="str">
        <f>DataPull!D2196</f>
        <v/>
      </c>
      <c r="G2196" s="94" t="str">
        <f t="shared" si="2"/>
        <v/>
      </c>
      <c r="H2196" s="94" t="str">
        <f t="shared" si="3"/>
        <v/>
      </c>
      <c r="I2196" s="94" t="str">
        <f t="shared" ref="I2196:J2196" si="2197">if(G2196 = "", , -G2196)</f>
        <v/>
      </c>
      <c r="J2196" s="94" t="str">
        <f t="shared" si="2197"/>
        <v/>
      </c>
      <c r="K2196" s="100"/>
      <c r="M2196" s="100"/>
      <c r="N2196" s="100"/>
      <c r="O2196" s="100"/>
      <c r="P2196" s="100"/>
    </row>
    <row r="2197">
      <c r="A2197" s="107">
        <v>203115.0</v>
      </c>
      <c r="B2197" s="108" t="s">
        <v>244</v>
      </c>
      <c r="C2197" s="108" t="s">
        <v>613</v>
      </c>
      <c r="D2197" s="112" t="s">
        <v>177</v>
      </c>
      <c r="E2197" s="112">
        <v>991.2</v>
      </c>
      <c r="F2197" s="111" t="str">
        <f>DataPull!D2197</f>
        <v/>
      </c>
      <c r="G2197" s="94" t="str">
        <f t="shared" si="2"/>
        <v/>
      </c>
      <c r="H2197" s="94" t="str">
        <f t="shared" si="3"/>
        <v/>
      </c>
      <c r="I2197" s="94" t="str">
        <f t="shared" ref="I2197:J2197" si="2198">if(G2197 = "", , -G2197)</f>
        <v/>
      </c>
      <c r="J2197" s="94" t="str">
        <f t="shared" si="2198"/>
        <v/>
      </c>
      <c r="K2197" s="100"/>
      <c r="M2197" s="100"/>
      <c r="N2197" s="100"/>
      <c r="O2197" s="100"/>
      <c r="P2197" s="100"/>
    </row>
    <row r="2198">
      <c r="A2198" s="107">
        <v>203116.0</v>
      </c>
      <c r="B2198" s="108" t="s">
        <v>85</v>
      </c>
      <c r="C2198" s="108" t="s">
        <v>614</v>
      </c>
      <c r="D2198" s="112" t="s">
        <v>187</v>
      </c>
      <c r="E2198" s="112">
        <v>269.1</v>
      </c>
      <c r="F2198" s="111" t="str">
        <f>DataPull!D2198</f>
        <v/>
      </c>
      <c r="G2198" s="94" t="str">
        <f t="shared" si="2"/>
        <v/>
      </c>
      <c r="H2198" s="94" t="str">
        <f t="shared" si="3"/>
        <v/>
      </c>
      <c r="I2198" s="94" t="str">
        <f t="shared" ref="I2198:J2198" si="2199">if(G2198 = "", , -G2198)</f>
        <v/>
      </c>
      <c r="J2198" s="94" t="str">
        <f t="shared" si="2199"/>
        <v/>
      </c>
      <c r="K2198" s="100"/>
      <c r="M2198" s="100"/>
      <c r="N2198" s="100"/>
      <c r="O2198" s="100"/>
      <c r="P2198" s="100"/>
    </row>
    <row r="2199">
      <c r="A2199" s="107">
        <v>203117.0</v>
      </c>
      <c r="B2199" s="108" t="s">
        <v>85</v>
      </c>
      <c r="C2199" s="108" t="s">
        <v>615</v>
      </c>
      <c r="D2199" s="112" t="s">
        <v>177</v>
      </c>
      <c r="E2199" s="112">
        <v>694.3</v>
      </c>
      <c r="F2199" s="111" t="str">
        <f>DataPull!D2199</f>
        <v/>
      </c>
      <c r="G2199" s="94" t="str">
        <f t="shared" si="2"/>
        <v/>
      </c>
      <c r="H2199" s="94" t="str">
        <f t="shared" si="3"/>
        <v/>
      </c>
      <c r="I2199" s="94" t="str">
        <f t="shared" ref="I2199:J2199" si="2200">if(G2199 = "", , -G2199)</f>
        <v/>
      </c>
      <c r="J2199" s="94" t="str">
        <f t="shared" si="2200"/>
        <v/>
      </c>
      <c r="K2199" s="100"/>
      <c r="N2199" s="100"/>
      <c r="O2199" s="100"/>
      <c r="P2199" s="100"/>
    </row>
    <row r="2200">
      <c r="A2200" s="107">
        <v>203118.0</v>
      </c>
      <c r="B2200" s="108" t="s">
        <v>85</v>
      </c>
      <c r="C2200" s="108" t="s">
        <v>616</v>
      </c>
      <c r="D2200" s="112" t="s">
        <v>177</v>
      </c>
      <c r="E2200" s="112">
        <v>1480.0</v>
      </c>
      <c r="F2200" s="111" t="str">
        <f>DataPull!D2200</f>
        <v/>
      </c>
      <c r="G2200" s="94" t="str">
        <f t="shared" si="2"/>
        <v/>
      </c>
      <c r="H2200" s="94" t="str">
        <f t="shared" si="3"/>
        <v/>
      </c>
      <c r="I2200" s="94" t="str">
        <f t="shared" ref="I2200:J2200" si="2201">if(G2200 = "", , -G2200)</f>
        <v/>
      </c>
      <c r="J2200" s="94" t="str">
        <f t="shared" si="2201"/>
        <v/>
      </c>
      <c r="K2200" s="100"/>
      <c r="M2200" s="100"/>
      <c r="N2200" s="100"/>
      <c r="O2200" s="100"/>
      <c r="P2200" s="100"/>
    </row>
    <row r="2201">
      <c r="A2201" s="107">
        <v>203118.0</v>
      </c>
      <c r="B2201" s="108" t="s">
        <v>90</v>
      </c>
      <c r="C2201" s="108" t="s">
        <v>616</v>
      </c>
      <c r="D2201" s="112" t="s">
        <v>177</v>
      </c>
      <c r="E2201" s="112">
        <v>1122.0</v>
      </c>
      <c r="F2201" s="111" t="str">
        <f>DataPull!D2201</f>
        <v/>
      </c>
      <c r="G2201" s="94" t="str">
        <f t="shared" si="2"/>
        <v/>
      </c>
      <c r="H2201" s="94" t="str">
        <f t="shared" si="3"/>
        <v/>
      </c>
      <c r="I2201" s="94" t="str">
        <f t="shared" ref="I2201:J2201" si="2202">if(G2201 = "", , -G2201)</f>
        <v/>
      </c>
      <c r="J2201" s="94" t="str">
        <f t="shared" si="2202"/>
        <v/>
      </c>
      <c r="K2201" s="100"/>
      <c r="L2201" s="100"/>
      <c r="N2201" s="100"/>
      <c r="O2201" s="100"/>
      <c r="P2201" s="100"/>
    </row>
    <row r="2202">
      <c r="A2202" s="107">
        <v>203118.0</v>
      </c>
      <c r="B2202" s="108" t="s">
        <v>92</v>
      </c>
      <c r="C2202" s="108" t="s">
        <v>616</v>
      </c>
      <c r="D2202" s="112" t="s">
        <v>177</v>
      </c>
      <c r="E2202" s="112">
        <v>1147.5</v>
      </c>
      <c r="F2202" s="111" t="str">
        <f>DataPull!D2202</f>
        <v/>
      </c>
      <c r="G2202" s="94" t="str">
        <f t="shared" si="2"/>
        <v/>
      </c>
      <c r="H2202" s="94" t="str">
        <f t="shared" si="3"/>
        <v/>
      </c>
      <c r="I2202" s="94" t="str">
        <f t="shared" ref="I2202:J2202" si="2203">if(G2202 = "", , -G2202)</f>
        <v/>
      </c>
      <c r="J2202" s="94" t="str">
        <f t="shared" si="2203"/>
        <v/>
      </c>
      <c r="K2202" s="100"/>
      <c r="M2202" s="100"/>
      <c r="N2202" s="100"/>
      <c r="O2202" s="100"/>
      <c r="P2202" s="100"/>
    </row>
    <row r="2203">
      <c r="A2203" s="107">
        <v>203118.0</v>
      </c>
      <c r="B2203" s="108" t="s">
        <v>190</v>
      </c>
      <c r="C2203" s="108" t="s">
        <v>616</v>
      </c>
      <c r="D2203" s="112" t="s">
        <v>187</v>
      </c>
      <c r="E2203" s="112">
        <v>194.4</v>
      </c>
      <c r="F2203" s="111" t="str">
        <f>DataPull!D2203</f>
        <v/>
      </c>
      <c r="G2203" s="94" t="str">
        <f t="shared" si="2"/>
        <v/>
      </c>
      <c r="H2203" s="94" t="str">
        <f t="shared" si="3"/>
        <v/>
      </c>
      <c r="I2203" s="94" t="str">
        <f t="shared" ref="I2203:J2203" si="2204">if(G2203 = "", , -G2203)</f>
        <v/>
      </c>
      <c r="J2203" s="94" t="str">
        <f t="shared" si="2204"/>
        <v/>
      </c>
      <c r="K2203" s="100"/>
      <c r="M2203" s="100"/>
      <c r="N2203" s="100"/>
      <c r="O2203" s="100"/>
    </row>
    <row r="2204">
      <c r="A2204" s="107">
        <v>203118.0</v>
      </c>
      <c r="B2204" s="108" t="s">
        <v>191</v>
      </c>
      <c r="C2204" s="108" t="s">
        <v>616</v>
      </c>
      <c r="D2204" s="112" t="s">
        <v>177</v>
      </c>
      <c r="E2204" s="112">
        <v>1406.0</v>
      </c>
      <c r="F2204" s="111" t="str">
        <f>DataPull!D2204</f>
        <v/>
      </c>
      <c r="G2204" s="94" t="str">
        <f t="shared" si="2"/>
        <v/>
      </c>
      <c r="H2204" s="94" t="str">
        <f t="shared" si="3"/>
        <v/>
      </c>
      <c r="I2204" s="94" t="str">
        <f t="shared" ref="I2204:J2204" si="2205">if(G2204 = "", , -G2204)</f>
        <v/>
      </c>
      <c r="J2204" s="94" t="str">
        <f t="shared" si="2205"/>
        <v/>
      </c>
      <c r="K2204" s="100"/>
      <c r="M2204" s="100"/>
      <c r="N2204" s="100"/>
      <c r="O2204" s="100"/>
      <c r="P2204" s="100"/>
    </row>
    <row r="2205">
      <c r="A2205" s="107">
        <v>203118.0</v>
      </c>
      <c r="B2205" s="108" t="s">
        <v>192</v>
      </c>
      <c r="C2205" s="108" t="s">
        <v>616</v>
      </c>
      <c r="D2205" s="112" t="s">
        <v>177</v>
      </c>
      <c r="E2205" s="112">
        <v>1398.3</v>
      </c>
      <c r="F2205" s="111" t="str">
        <f>DataPull!D2205</f>
        <v/>
      </c>
      <c r="G2205" s="94" t="str">
        <f t="shared" si="2"/>
        <v/>
      </c>
      <c r="H2205" s="94" t="str">
        <f t="shared" si="3"/>
        <v/>
      </c>
      <c r="I2205" s="94" t="str">
        <f t="shared" ref="I2205:J2205" si="2206">if(G2205 = "", , -G2205)</f>
        <v/>
      </c>
      <c r="J2205" s="94" t="str">
        <f t="shared" si="2206"/>
        <v/>
      </c>
      <c r="K2205" s="100"/>
      <c r="M2205" s="100"/>
      <c r="N2205" s="100"/>
      <c r="O2205" s="100"/>
      <c r="P2205" s="100"/>
    </row>
    <row r="2206">
      <c r="A2206" s="107">
        <v>203118.0</v>
      </c>
      <c r="B2206" s="108" t="s">
        <v>193</v>
      </c>
      <c r="C2206" s="108" t="s">
        <v>616</v>
      </c>
      <c r="D2206" s="112" t="s">
        <v>177</v>
      </c>
      <c r="E2206" s="112">
        <v>1210.4</v>
      </c>
      <c r="F2206" s="111" t="str">
        <f>DataPull!D2206</f>
        <v/>
      </c>
      <c r="G2206" s="94" t="str">
        <f t="shared" si="2"/>
        <v/>
      </c>
      <c r="H2206" s="94" t="str">
        <f t="shared" si="3"/>
        <v/>
      </c>
      <c r="I2206" s="94" t="str">
        <f t="shared" ref="I2206:J2206" si="2207">if(G2206 = "", , -G2206)</f>
        <v/>
      </c>
      <c r="J2206" s="94" t="str">
        <f t="shared" si="2207"/>
        <v/>
      </c>
      <c r="K2206" s="100"/>
      <c r="M2206" s="100"/>
      <c r="N2206" s="100"/>
      <c r="O2206" s="100"/>
      <c r="P2206" s="100"/>
    </row>
    <row r="2207">
      <c r="A2207" s="107">
        <v>203118.0</v>
      </c>
      <c r="B2207" s="108" t="s">
        <v>243</v>
      </c>
      <c r="C2207" s="108" t="s">
        <v>616</v>
      </c>
      <c r="D2207" s="112" t="s">
        <v>177</v>
      </c>
      <c r="E2207" s="112">
        <v>851.7</v>
      </c>
      <c r="F2207" s="111" t="str">
        <f>DataPull!D2207</f>
        <v/>
      </c>
      <c r="G2207" s="94" t="str">
        <f t="shared" si="2"/>
        <v/>
      </c>
      <c r="H2207" s="94" t="str">
        <f t="shared" si="3"/>
        <v/>
      </c>
      <c r="I2207" s="94" t="str">
        <f t="shared" ref="I2207:J2207" si="2208">if(G2207 = "", , -G2207)</f>
        <v/>
      </c>
      <c r="J2207" s="94" t="str">
        <f t="shared" si="2208"/>
        <v/>
      </c>
      <c r="K2207" s="100"/>
      <c r="M2207" s="100"/>
      <c r="N2207" s="100"/>
      <c r="O2207" s="100"/>
      <c r="P2207" s="100"/>
    </row>
    <row r="2208">
      <c r="A2208" s="107">
        <v>203120.0</v>
      </c>
      <c r="B2208" s="108" t="s">
        <v>85</v>
      </c>
      <c r="C2208" s="108" t="s">
        <v>617</v>
      </c>
      <c r="D2208" s="112" t="s">
        <v>181</v>
      </c>
      <c r="E2208" s="112">
        <v>72.0</v>
      </c>
      <c r="F2208" s="111" t="str">
        <f>DataPull!D2208</f>
        <v/>
      </c>
      <c r="G2208" s="94" t="str">
        <f t="shared" si="2"/>
        <v/>
      </c>
      <c r="H2208" s="94" t="str">
        <f t="shared" si="3"/>
        <v/>
      </c>
      <c r="I2208" s="94" t="str">
        <f t="shared" ref="I2208:J2208" si="2209">if(G2208 = "", , -G2208)</f>
        <v/>
      </c>
      <c r="J2208" s="94" t="str">
        <f t="shared" si="2209"/>
        <v/>
      </c>
      <c r="K2208" s="100"/>
      <c r="M2208" s="100"/>
      <c r="N2208" s="100"/>
      <c r="O2208" s="100"/>
      <c r="P2208" s="100"/>
    </row>
    <row r="2209">
      <c r="A2209" s="107">
        <v>203120.0</v>
      </c>
      <c r="B2209" s="108" t="s">
        <v>90</v>
      </c>
      <c r="C2209" s="108" t="s">
        <v>617</v>
      </c>
      <c r="D2209" s="112" t="s">
        <v>187</v>
      </c>
      <c r="E2209" s="112">
        <v>713.4</v>
      </c>
      <c r="F2209" s="111" t="str">
        <f>DataPull!D2209</f>
        <v/>
      </c>
      <c r="G2209" s="94" t="str">
        <f t="shared" si="2"/>
        <v/>
      </c>
      <c r="H2209" s="94" t="str">
        <f t="shared" si="3"/>
        <v/>
      </c>
      <c r="I2209" s="94" t="str">
        <f t="shared" ref="I2209:J2209" si="2210">if(G2209 = "", , -G2209)</f>
        <v/>
      </c>
      <c r="J2209" s="94" t="str">
        <f t="shared" si="2210"/>
        <v/>
      </c>
      <c r="K2209" s="100"/>
      <c r="M2209" s="100"/>
      <c r="N2209" s="100"/>
      <c r="O2209" s="100"/>
      <c r="P2209" s="100"/>
    </row>
    <row r="2210">
      <c r="A2210" s="107">
        <v>203120.0</v>
      </c>
      <c r="B2210" s="108" t="s">
        <v>190</v>
      </c>
      <c r="C2210" s="108" t="s">
        <v>617</v>
      </c>
      <c r="D2210" s="112" t="s">
        <v>176</v>
      </c>
      <c r="E2210" s="112">
        <v>1177.6</v>
      </c>
      <c r="F2210" s="111" t="str">
        <f>DataPull!D2210</f>
        <v/>
      </c>
      <c r="G2210" s="94" t="str">
        <f t="shared" si="2"/>
        <v/>
      </c>
      <c r="H2210" s="94" t="str">
        <f t="shared" si="3"/>
        <v/>
      </c>
      <c r="I2210" s="94" t="str">
        <f t="shared" ref="I2210:J2210" si="2211">if(G2210 = "", , -G2210)</f>
        <v/>
      </c>
      <c r="J2210" s="94" t="str">
        <f t="shared" si="2211"/>
        <v/>
      </c>
      <c r="K2210" s="100"/>
      <c r="M2210" s="100"/>
      <c r="N2210" s="100"/>
      <c r="O2210" s="100"/>
      <c r="P2210" s="100"/>
    </row>
    <row r="2211">
      <c r="A2211" s="107">
        <v>203121.0</v>
      </c>
      <c r="B2211" s="108" t="s">
        <v>85</v>
      </c>
      <c r="C2211" s="108" t="s">
        <v>618</v>
      </c>
      <c r="D2211" s="112" t="s">
        <v>177</v>
      </c>
      <c r="E2211" s="112">
        <v>724.5</v>
      </c>
      <c r="F2211" s="111" t="str">
        <f>DataPull!D2211</f>
        <v/>
      </c>
      <c r="G2211" s="94" t="str">
        <f t="shared" si="2"/>
        <v/>
      </c>
      <c r="H2211" s="94" t="str">
        <f t="shared" si="3"/>
        <v/>
      </c>
      <c r="I2211" s="94" t="str">
        <f t="shared" ref="I2211:J2211" si="2212">if(G2211 = "", , -G2211)</f>
        <v/>
      </c>
      <c r="J2211" s="94" t="str">
        <f t="shared" si="2212"/>
        <v/>
      </c>
      <c r="K2211" s="100"/>
      <c r="M2211" s="100"/>
      <c r="N2211" s="100"/>
      <c r="O2211" s="100"/>
      <c r="P2211" s="100"/>
    </row>
    <row r="2212">
      <c r="A2212" s="107">
        <v>203121.0</v>
      </c>
      <c r="B2212" s="108" t="s">
        <v>90</v>
      </c>
      <c r="C2212" s="108" t="s">
        <v>618</v>
      </c>
      <c r="D2212" s="112" t="s">
        <v>181</v>
      </c>
      <c r="E2212" s="112">
        <v>43.5</v>
      </c>
      <c r="F2212" s="111" t="str">
        <f>DataPull!D2212</f>
        <v/>
      </c>
      <c r="G2212" s="94" t="str">
        <f t="shared" si="2"/>
        <v/>
      </c>
      <c r="H2212" s="94" t="str">
        <f t="shared" si="3"/>
        <v/>
      </c>
      <c r="I2212" s="94" t="str">
        <f t="shared" ref="I2212:J2212" si="2213">if(G2212 = "", , -G2212)</f>
        <v/>
      </c>
      <c r="J2212" s="94" t="str">
        <f t="shared" si="2213"/>
        <v/>
      </c>
      <c r="K2212" s="100"/>
      <c r="M2212" s="100"/>
      <c r="N2212" s="100"/>
      <c r="O2212" s="100"/>
      <c r="P2212" s="100"/>
    </row>
    <row r="2213">
      <c r="A2213" s="107">
        <v>203121.0</v>
      </c>
      <c r="B2213" s="108" t="s">
        <v>191</v>
      </c>
      <c r="C2213" s="108" t="s">
        <v>618</v>
      </c>
      <c r="D2213" s="112" t="s">
        <v>176</v>
      </c>
      <c r="E2213" s="112">
        <v>1943.4</v>
      </c>
      <c r="F2213" s="111" t="str">
        <f>DataPull!D2213</f>
        <v/>
      </c>
      <c r="G2213" s="94" t="str">
        <f t="shared" si="2"/>
        <v/>
      </c>
      <c r="H2213" s="94" t="str">
        <f t="shared" si="3"/>
        <v/>
      </c>
      <c r="I2213" s="94" t="str">
        <f t="shared" ref="I2213:J2213" si="2214">if(G2213 = "", , -G2213)</f>
        <v/>
      </c>
      <c r="J2213" s="94" t="str">
        <f t="shared" si="2214"/>
        <v/>
      </c>
      <c r="K2213" s="100"/>
      <c r="M2213" s="100"/>
      <c r="N2213" s="100"/>
      <c r="O2213" s="100"/>
      <c r="P2213" s="100"/>
    </row>
    <row r="2214">
      <c r="A2214" s="107">
        <v>203121.0</v>
      </c>
      <c r="B2214" s="108" t="s">
        <v>192</v>
      </c>
      <c r="C2214" s="108" t="s">
        <v>618</v>
      </c>
      <c r="D2214" s="112" t="s">
        <v>176</v>
      </c>
      <c r="E2214" s="112">
        <v>1759.5</v>
      </c>
      <c r="F2214" s="111" t="str">
        <f>DataPull!D2214</f>
        <v/>
      </c>
      <c r="G2214" s="94" t="str">
        <f t="shared" si="2"/>
        <v/>
      </c>
      <c r="H2214" s="94" t="str">
        <f t="shared" si="3"/>
        <v/>
      </c>
      <c r="I2214" s="94" t="str">
        <f t="shared" ref="I2214:J2214" si="2215">if(G2214 = "", , -G2214)</f>
        <v/>
      </c>
      <c r="J2214" s="94" t="str">
        <f t="shared" si="2215"/>
        <v/>
      </c>
      <c r="K2214" s="100"/>
      <c r="M2214" s="100"/>
      <c r="N2214" s="100"/>
      <c r="O2214" s="100"/>
      <c r="P2214" s="100"/>
    </row>
    <row r="2215">
      <c r="A2215" s="107">
        <v>203121.0</v>
      </c>
      <c r="B2215" s="108" t="s">
        <v>243</v>
      </c>
      <c r="C2215" s="108" t="s">
        <v>618</v>
      </c>
      <c r="D2215" s="112" t="s">
        <v>187</v>
      </c>
      <c r="E2215" s="112">
        <v>196.2</v>
      </c>
      <c r="F2215" s="111" t="str">
        <f>DataPull!D2215</f>
        <v/>
      </c>
      <c r="G2215" s="94" t="str">
        <f t="shared" si="2"/>
        <v/>
      </c>
      <c r="H2215" s="94" t="str">
        <f t="shared" si="3"/>
        <v/>
      </c>
      <c r="I2215" s="94" t="str">
        <f t="shared" ref="I2215:J2215" si="2216">if(G2215 = "", , -G2215)</f>
        <v/>
      </c>
      <c r="J2215" s="94" t="str">
        <f t="shared" si="2216"/>
        <v/>
      </c>
      <c r="K2215" s="100"/>
      <c r="M2215" s="100"/>
      <c r="N2215" s="100"/>
      <c r="O2215" s="100"/>
      <c r="P2215" s="100"/>
    </row>
    <row r="2216">
      <c r="A2216" s="107">
        <v>203123.0</v>
      </c>
      <c r="B2216" s="108" t="s">
        <v>90</v>
      </c>
      <c r="C2216" s="108" t="s">
        <v>619</v>
      </c>
      <c r="D2216" s="112" t="s">
        <v>177</v>
      </c>
      <c r="E2216" s="112">
        <v>795.5</v>
      </c>
      <c r="F2216" s="111" t="str">
        <f>DataPull!D2216</f>
        <v/>
      </c>
      <c r="G2216" s="94" t="str">
        <f t="shared" si="2"/>
        <v/>
      </c>
      <c r="H2216" s="94" t="str">
        <f t="shared" si="3"/>
        <v/>
      </c>
      <c r="I2216" s="94" t="str">
        <f t="shared" ref="I2216:J2216" si="2217">if(G2216 = "", , -G2216)</f>
        <v/>
      </c>
      <c r="J2216" s="94" t="str">
        <f t="shared" si="2217"/>
        <v/>
      </c>
      <c r="K2216" s="100"/>
      <c r="M2216" s="100"/>
      <c r="N2216" s="100"/>
      <c r="O2216" s="100"/>
      <c r="P2216" s="100"/>
    </row>
    <row r="2217">
      <c r="A2217" s="107">
        <v>203123.0</v>
      </c>
      <c r="B2217" s="108" t="s">
        <v>92</v>
      </c>
      <c r="C2217" s="108" t="s">
        <v>619</v>
      </c>
      <c r="D2217" s="112" t="s">
        <v>187</v>
      </c>
      <c r="E2217" s="112">
        <v>293.8</v>
      </c>
      <c r="F2217" s="111" t="str">
        <f>DataPull!D2217</f>
        <v/>
      </c>
      <c r="G2217" s="94" t="str">
        <f t="shared" si="2"/>
        <v/>
      </c>
      <c r="H2217" s="94" t="str">
        <f t="shared" si="3"/>
        <v/>
      </c>
      <c r="I2217" s="94" t="str">
        <f t="shared" ref="I2217:J2217" si="2218">if(G2217 = "", , -G2217)</f>
        <v/>
      </c>
      <c r="J2217" s="94" t="str">
        <f t="shared" si="2218"/>
        <v/>
      </c>
      <c r="K2217" s="100"/>
      <c r="M2217" s="100"/>
      <c r="N2217" s="100"/>
      <c r="O2217" s="100"/>
      <c r="P2217" s="100"/>
    </row>
    <row r="2218">
      <c r="A2218" s="107">
        <v>203124.0</v>
      </c>
      <c r="B2218" s="108" t="s">
        <v>85</v>
      </c>
      <c r="C2218" s="108" t="s">
        <v>620</v>
      </c>
      <c r="D2218" s="112" t="s">
        <v>177</v>
      </c>
      <c r="E2218" s="112">
        <v>1186.8</v>
      </c>
      <c r="F2218" s="111" t="str">
        <f>DataPull!D2218</f>
        <v/>
      </c>
      <c r="G2218" s="94" t="str">
        <f t="shared" si="2"/>
        <v/>
      </c>
      <c r="H2218" s="94" t="str">
        <f t="shared" si="3"/>
        <v/>
      </c>
      <c r="I2218" s="94" t="str">
        <f t="shared" ref="I2218:J2218" si="2219">if(G2218 = "", , -G2218)</f>
        <v/>
      </c>
      <c r="J2218" s="94" t="str">
        <f t="shared" si="2219"/>
        <v/>
      </c>
      <c r="K2218" s="100"/>
      <c r="M2218" s="100"/>
      <c r="N2218" s="100"/>
      <c r="O2218" s="100"/>
      <c r="P2218" s="100"/>
    </row>
    <row r="2219">
      <c r="A2219" s="107">
        <v>203124.0</v>
      </c>
      <c r="B2219" s="108" t="s">
        <v>90</v>
      </c>
      <c r="C2219" s="108" t="s">
        <v>620</v>
      </c>
      <c r="D2219" s="112" t="s">
        <v>177</v>
      </c>
      <c r="E2219" s="112">
        <v>826.2</v>
      </c>
      <c r="F2219" s="111" t="str">
        <f>DataPull!D2219</f>
        <v/>
      </c>
      <c r="G2219" s="94" t="str">
        <f t="shared" si="2"/>
        <v/>
      </c>
      <c r="H2219" s="94" t="str">
        <f t="shared" si="3"/>
        <v/>
      </c>
      <c r="I2219" s="94" t="str">
        <f t="shared" ref="I2219:J2219" si="2220">if(G2219 = "", , -G2219)</f>
        <v/>
      </c>
      <c r="J2219" s="94" t="str">
        <f t="shared" si="2220"/>
        <v/>
      </c>
      <c r="K2219" s="100"/>
      <c r="M2219" s="100"/>
      <c r="N2219" s="100"/>
      <c r="O2219" s="100"/>
      <c r="P2219" s="100"/>
    </row>
    <row r="2220">
      <c r="A2220" s="107">
        <v>203124.0</v>
      </c>
      <c r="B2220" s="108" t="s">
        <v>92</v>
      </c>
      <c r="C2220" s="108" t="s">
        <v>620</v>
      </c>
      <c r="D2220" s="112" t="s">
        <v>177</v>
      </c>
      <c r="E2220" s="112">
        <v>767.0</v>
      </c>
      <c r="F2220" s="111" t="str">
        <f>DataPull!D2220</f>
        <v/>
      </c>
      <c r="G2220" s="94" t="str">
        <f t="shared" si="2"/>
        <v/>
      </c>
      <c r="H2220" s="94" t="str">
        <f t="shared" si="3"/>
        <v/>
      </c>
      <c r="I2220" s="94" t="str">
        <f t="shared" ref="I2220:J2220" si="2221">if(G2220 = "", , -G2220)</f>
        <v/>
      </c>
      <c r="J2220" s="94" t="str">
        <f t="shared" si="2221"/>
        <v/>
      </c>
      <c r="K2220" s="100"/>
      <c r="M2220" s="100"/>
      <c r="N2220" s="100"/>
      <c r="O2220" s="100"/>
      <c r="P2220" s="100"/>
    </row>
    <row r="2221">
      <c r="A2221" s="107">
        <v>203124.0</v>
      </c>
      <c r="B2221" s="108" t="s">
        <v>190</v>
      </c>
      <c r="C2221" s="108" t="s">
        <v>620</v>
      </c>
      <c r="D2221" s="112" t="s">
        <v>177</v>
      </c>
      <c r="E2221" s="112">
        <v>1232.4</v>
      </c>
      <c r="F2221" s="111" t="str">
        <f>DataPull!D2221</f>
        <v/>
      </c>
      <c r="G2221" s="94" t="str">
        <f t="shared" si="2"/>
        <v/>
      </c>
      <c r="H2221" s="94" t="str">
        <f t="shared" si="3"/>
        <v/>
      </c>
      <c r="I2221" s="94" t="str">
        <f t="shared" ref="I2221:J2221" si="2222">if(G2221 = "", , -G2221)</f>
        <v/>
      </c>
      <c r="J2221" s="94" t="str">
        <f t="shared" si="2222"/>
        <v/>
      </c>
      <c r="K2221" s="100"/>
      <c r="L2221" s="100"/>
      <c r="M2221" s="100"/>
      <c r="N2221" s="100"/>
      <c r="O2221" s="100"/>
    </row>
    <row r="2222">
      <c r="A2222" s="107">
        <v>203124.0</v>
      </c>
      <c r="B2222" s="108" t="s">
        <v>191</v>
      </c>
      <c r="C2222" s="108" t="s">
        <v>620</v>
      </c>
      <c r="D2222" s="112" t="s">
        <v>177</v>
      </c>
      <c r="E2222" s="112">
        <v>1386.0</v>
      </c>
      <c r="F2222" s="111" t="str">
        <f>DataPull!D2222</f>
        <v/>
      </c>
      <c r="G2222" s="94" t="str">
        <f t="shared" si="2"/>
        <v/>
      </c>
      <c r="H2222" s="94" t="str">
        <f t="shared" si="3"/>
        <v/>
      </c>
      <c r="I2222" s="94" t="str">
        <f t="shared" ref="I2222:J2222" si="2223">if(G2222 = "", , -G2222)</f>
        <v/>
      </c>
      <c r="J2222" s="94" t="str">
        <f t="shared" si="2223"/>
        <v/>
      </c>
      <c r="K2222" s="100"/>
      <c r="M2222" s="100"/>
      <c r="N2222" s="100"/>
      <c r="O2222" s="100"/>
      <c r="P2222" s="100"/>
    </row>
    <row r="2223">
      <c r="A2223" s="107">
        <v>203124.0</v>
      </c>
      <c r="B2223" s="108" t="s">
        <v>192</v>
      </c>
      <c r="C2223" s="108" t="s">
        <v>620</v>
      </c>
      <c r="D2223" s="112" t="s">
        <v>187</v>
      </c>
      <c r="E2223" s="112">
        <v>369.0</v>
      </c>
      <c r="F2223" s="111" t="str">
        <f>DataPull!D2223</f>
        <v/>
      </c>
      <c r="G2223" s="94" t="str">
        <f t="shared" si="2"/>
        <v/>
      </c>
      <c r="H2223" s="94" t="str">
        <f t="shared" si="3"/>
        <v/>
      </c>
      <c r="I2223" s="94" t="str">
        <f t="shared" ref="I2223:J2223" si="2224">if(G2223 = "", , -G2223)</f>
        <v/>
      </c>
      <c r="J2223" s="94" t="str">
        <f t="shared" si="2224"/>
        <v/>
      </c>
      <c r="K2223" s="100"/>
      <c r="L2223" s="100"/>
      <c r="N2223" s="100"/>
      <c r="O2223" s="100"/>
      <c r="P2223" s="100"/>
    </row>
    <row r="2224">
      <c r="A2224" s="107">
        <v>203124.0</v>
      </c>
      <c r="B2224" s="108" t="s">
        <v>193</v>
      </c>
      <c r="C2224" s="108" t="s">
        <v>620</v>
      </c>
      <c r="D2224" s="112" t="s">
        <v>177</v>
      </c>
      <c r="E2224" s="112">
        <v>313.2</v>
      </c>
      <c r="F2224" s="111" t="str">
        <f>DataPull!D2224</f>
        <v/>
      </c>
      <c r="G2224" s="94" t="str">
        <f t="shared" si="2"/>
        <v/>
      </c>
      <c r="H2224" s="94" t="str">
        <f t="shared" si="3"/>
        <v/>
      </c>
      <c r="I2224" s="94" t="str">
        <f t="shared" ref="I2224:J2224" si="2225">if(G2224 = "", , -G2224)</f>
        <v/>
      </c>
      <c r="J2224" s="94" t="str">
        <f t="shared" si="2225"/>
        <v/>
      </c>
      <c r="K2224" s="100"/>
      <c r="M2224" s="100"/>
      <c r="N2224" s="100"/>
      <c r="O2224" s="100"/>
      <c r="P2224" s="100"/>
    </row>
    <row r="2225">
      <c r="A2225" s="107">
        <v>203128.0</v>
      </c>
      <c r="B2225" s="108" t="s">
        <v>90</v>
      </c>
      <c r="C2225" s="108" t="s">
        <v>621</v>
      </c>
      <c r="D2225" s="112" t="s">
        <v>177</v>
      </c>
      <c r="E2225" s="112">
        <v>541.2</v>
      </c>
      <c r="F2225" s="111" t="str">
        <f>DataPull!D2225</f>
        <v/>
      </c>
      <c r="G2225" s="94" t="str">
        <f t="shared" si="2"/>
        <v/>
      </c>
      <c r="H2225" s="94" t="str">
        <f t="shared" si="3"/>
        <v/>
      </c>
      <c r="I2225" s="94" t="str">
        <f t="shared" ref="I2225:J2225" si="2226">if(G2225 = "", , -G2225)</f>
        <v/>
      </c>
      <c r="J2225" s="94" t="str">
        <f t="shared" si="2226"/>
        <v/>
      </c>
      <c r="K2225" s="100"/>
      <c r="L2225" s="100"/>
      <c r="M2225" s="100"/>
      <c r="N2225" s="100"/>
      <c r="O2225" s="100"/>
    </row>
    <row r="2226">
      <c r="A2226" s="107">
        <v>203129.0</v>
      </c>
      <c r="B2226" s="108" t="s">
        <v>85</v>
      </c>
      <c r="C2226" s="108" t="s">
        <v>622</v>
      </c>
      <c r="D2226" s="112" t="s">
        <v>187</v>
      </c>
      <c r="E2226" s="112">
        <v>156.0</v>
      </c>
      <c r="F2226" s="111" t="str">
        <f>DataPull!D2226</f>
        <v/>
      </c>
      <c r="G2226" s="94" t="str">
        <f t="shared" si="2"/>
        <v/>
      </c>
      <c r="H2226" s="94" t="str">
        <f t="shared" si="3"/>
        <v/>
      </c>
      <c r="I2226" s="94" t="str">
        <f t="shared" ref="I2226:J2226" si="2227">if(G2226 = "", , -G2226)</f>
        <v/>
      </c>
      <c r="J2226" s="94" t="str">
        <f t="shared" si="2227"/>
        <v/>
      </c>
      <c r="K2226" s="100"/>
      <c r="M2226" s="100"/>
      <c r="N2226" s="100"/>
      <c r="O2226" s="100"/>
      <c r="P2226" s="100"/>
    </row>
    <row r="2227">
      <c r="A2227" s="107">
        <v>203130.0</v>
      </c>
      <c r="B2227" s="108" t="s">
        <v>85</v>
      </c>
      <c r="C2227" s="108" t="s">
        <v>623</v>
      </c>
      <c r="D2227" s="112" t="s">
        <v>181</v>
      </c>
      <c r="E2227" s="112">
        <v>15.3</v>
      </c>
      <c r="F2227" s="111" t="str">
        <f>DataPull!D2227</f>
        <v/>
      </c>
      <c r="G2227" s="94" t="str">
        <f t="shared" si="2"/>
        <v/>
      </c>
      <c r="H2227" s="94" t="str">
        <f t="shared" si="3"/>
        <v/>
      </c>
      <c r="I2227" s="94" t="str">
        <f t="shared" ref="I2227:J2227" si="2228">if(G2227 = "", , -G2227)</f>
        <v/>
      </c>
      <c r="J2227" s="94" t="str">
        <f t="shared" si="2228"/>
        <v/>
      </c>
      <c r="K2227" s="100"/>
      <c r="M2227" s="100"/>
      <c r="N2227" s="100"/>
      <c r="O2227" s="100"/>
      <c r="P2227" s="100"/>
    </row>
    <row r="2228">
      <c r="A2228" s="107">
        <v>203133.0</v>
      </c>
      <c r="B2228" s="108" t="s">
        <v>85</v>
      </c>
      <c r="C2228" s="108" t="s">
        <v>624</v>
      </c>
      <c r="D2228" s="112" t="s">
        <v>177</v>
      </c>
      <c r="E2228" s="112">
        <v>657.2</v>
      </c>
      <c r="F2228" s="111" t="str">
        <f>DataPull!D2228</f>
        <v/>
      </c>
      <c r="G2228" s="94" t="str">
        <f t="shared" si="2"/>
        <v/>
      </c>
      <c r="H2228" s="94" t="str">
        <f t="shared" si="3"/>
        <v/>
      </c>
      <c r="I2228" s="94" t="str">
        <f t="shared" ref="I2228:J2228" si="2229">if(G2228 = "", , -G2228)</f>
        <v/>
      </c>
      <c r="J2228" s="94" t="str">
        <f t="shared" si="2229"/>
        <v/>
      </c>
      <c r="K2228" s="100"/>
      <c r="M2228" s="100"/>
      <c r="N2228" s="100"/>
      <c r="O2228" s="100"/>
      <c r="P2228" s="100"/>
    </row>
    <row r="2229">
      <c r="A2229" s="107">
        <v>203133.0</v>
      </c>
      <c r="B2229" s="108" t="s">
        <v>90</v>
      </c>
      <c r="C2229" s="108" t="s">
        <v>624</v>
      </c>
      <c r="D2229" s="112" t="s">
        <v>177</v>
      </c>
      <c r="E2229" s="112">
        <v>742.5</v>
      </c>
      <c r="F2229" s="111" t="str">
        <f>DataPull!D2229</f>
        <v/>
      </c>
      <c r="G2229" s="94" t="str">
        <f t="shared" si="2"/>
        <v/>
      </c>
      <c r="H2229" s="94" t="str">
        <f t="shared" si="3"/>
        <v/>
      </c>
      <c r="I2229" s="94" t="str">
        <f t="shared" ref="I2229:J2229" si="2230">if(G2229 = "", , -G2229)</f>
        <v/>
      </c>
      <c r="J2229" s="94" t="str">
        <f t="shared" si="2230"/>
        <v/>
      </c>
      <c r="K2229" s="100"/>
      <c r="M2229" s="100"/>
      <c r="N2229" s="100"/>
      <c r="O2229" s="100"/>
      <c r="P2229" s="100"/>
    </row>
    <row r="2230">
      <c r="A2230" s="107">
        <v>203135.0</v>
      </c>
      <c r="B2230" s="108" t="s">
        <v>85</v>
      </c>
      <c r="C2230" s="108" t="s">
        <v>625</v>
      </c>
      <c r="D2230" s="112" t="s">
        <v>177</v>
      </c>
      <c r="E2230" s="112">
        <v>1092.0</v>
      </c>
      <c r="F2230" s="111" t="str">
        <f>DataPull!D2230</f>
        <v/>
      </c>
      <c r="G2230" s="94" t="str">
        <f t="shared" si="2"/>
        <v/>
      </c>
      <c r="H2230" s="94" t="str">
        <f t="shared" si="3"/>
        <v/>
      </c>
      <c r="I2230" s="94" t="str">
        <f t="shared" ref="I2230:J2230" si="2231">if(G2230 = "", , -G2230)</f>
        <v/>
      </c>
      <c r="J2230" s="94" t="str">
        <f t="shared" si="2231"/>
        <v/>
      </c>
      <c r="K2230" s="100"/>
      <c r="M2230" s="100"/>
      <c r="N2230" s="100"/>
      <c r="O2230" s="100"/>
      <c r="P2230" s="100"/>
    </row>
    <row r="2231">
      <c r="A2231" s="107">
        <v>203135.0</v>
      </c>
      <c r="B2231" s="108" t="s">
        <v>90</v>
      </c>
      <c r="C2231" s="108" t="s">
        <v>625</v>
      </c>
      <c r="D2231" s="112" t="s">
        <v>177</v>
      </c>
      <c r="E2231" s="112">
        <v>1132.3</v>
      </c>
      <c r="F2231" s="111" t="str">
        <f>DataPull!D2231</f>
        <v/>
      </c>
      <c r="G2231" s="94" t="str">
        <f t="shared" si="2"/>
        <v/>
      </c>
      <c r="H2231" s="94" t="str">
        <f t="shared" si="3"/>
        <v/>
      </c>
      <c r="I2231" s="94" t="str">
        <f t="shared" ref="I2231:J2231" si="2232">if(G2231 = "", , -G2231)</f>
        <v/>
      </c>
      <c r="J2231" s="94" t="str">
        <f t="shared" si="2232"/>
        <v/>
      </c>
      <c r="K2231" s="100"/>
      <c r="M2231" s="100"/>
      <c r="N2231" s="100"/>
      <c r="O2231" s="100"/>
      <c r="P2231" s="100"/>
    </row>
    <row r="2232">
      <c r="A2232" s="107">
        <v>203135.0</v>
      </c>
      <c r="B2232" s="108" t="s">
        <v>92</v>
      </c>
      <c r="C2232" s="108" t="s">
        <v>625</v>
      </c>
      <c r="D2232" s="112" t="s">
        <v>177</v>
      </c>
      <c r="E2232" s="112">
        <v>320.0</v>
      </c>
      <c r="F2232" s="111" t="str">
        <f>DataPull!D2232</f>
        <v/>
      </c>
      <c r="G2232" s="94" t="str">
        <f t="shared" si="2"/>
        <v/>
      </c>
      <c r="H2232" s="94" t="str">
        <f t="shared" si="3"/>
        <v/>
      </c>
      <c r="I2232" s="94" t="str">
        <f t="shared" ref="I2232:J2232" si="2233">if(G2232 = "", , -G2232)</f>
        <v/>
      </c>
      <c r="J2232" s="94" t="str">
        <f t="shared" si="2233"/>
        <v/>
      </c>
      <c r="K2232" s="100"/>
      <c r="M2232" s="100"/>
      <c r="N2232" s="100"/>
      <c r="O2232" s="100"/>
      <c r="P2232" s="100"/>
    </row>
    <row r="2233">
      <c r="A2233" s="107">
        <v>203136.0</v>
      </c>
      <c r="B2233" s="108" t="s">
        <v>85</v>
      </c>
      <c r="C2233" s="108" t="s">
        <v>626</v>
      </c>
      <c r="D2233" s="112" t="s">
        <v>187</v>
      </c>
      <c r="E2233" s="112">
        <v>92.4</v>
      </c>
      <c r="F2233" s="111" t="str">
        <f>DataPull!D2233</f>
        <v/>
      </c>
      <c r="G2233" s="94" t="str">
        <f t="shared" si="2"/>
        <v/>
      </c>
      <c r="H2233" s="94" t="str">
        <f t="shared" si="3"/>
        <v/>
      </c>
      <c r="I2233" s="94" t="str">
        <f t="shared" ref="I2233:J2233" si="2234">if(G2233 = "", , -G2233)</f>
        <v/>
      </c>
      <c r="J2233" s="94" t="str">
        <f t="shared" si="2234"/>
        <v/>
      </c>
      <c r="K2233" s="100"/>
      <c r="M2233" s="100"/>
      <c r="N2233" s="100"/>
      <c r="O2233" s="100"/>
      <c r="P2233" s="100"/>
    </row>
    <row r="2234">
      <c r="A2234" s="107">
        <v>203136.0</v>
      </c>
      <c r="B2234" s="108" t="s">
        <v>90</v>
      </c>
      <c r="C2234" s="108" t="s">
        <v>626</v>
      </c>
      <c r="D2234" s="112" t="s">
        <v>187</v>
      </c>
      <c r="E2234" s="112">
        <v>72.0</v>
      </c>
      <c r="F2234" s="111" t="str">
        <f>DataPull!D2234</f>
        <v/>
      </c>
      <c r="G2234" s="94" t="str">
        <f t="shared" si="2"/>
        <v/>
      </c>
      <c r="H2234" s="94" t="str">
        <f t="shared" si="3"/>
        <v/>
      </c>
      <c r="I2234" s="94" t="str">
        <f t="shared" ref="I2234:J2234" si="2235">if(G2234 = "", , -G2234)</f>
        <v/>
      </c>
      <c r="J2234" s="94" t="str">
        <f t="shared" si="2235"/>
        <v/>
      </c>
      <c r="K2234" s="100"/>
      <c r="M2234" s="100"/>
      <c r="N2234" s="100"/>
      <c r="O2234" s="100"/>
      <c r="P2234" s="100"/>
    </row>
    <row r="2235">
      <c r="A2235" s="107">
        <v>203138.0</v>
      </c>
      <c r="B2235" s="108" t="s">
        <v>85</v>
      </c>
      <c r="C2235" s="108" t="s">
        <v>627</v>
      </c>
      <c r="D2235" s="112" t="s">
        <v>176</v>
      </c>
      <c r="E2235" s="112">
        <v>1740.2</v>
      </c>
      <c r="F2235" s="111" t="str">
        <f>DataPull!D2235</f>
        <v/>
      </c>
      <c r="G2235" s="94" t="str">
        <f t="shared" si="2"/>
        <v/>
      </c>
      <c r="H2235" s="94" t="str">
        <f t="shared" si="3"/>
        <v/>
      </c>
      <c r="I2235" s="94" t="str">
        <f t="shared" ref="I2235:J2235" si="2236">if(G2235 = "", , -G2235)</f>
        <v/>
      </c>
      <c r="J2235" s="94" t="str">
        <f t="shared" si="2236"/>
        <v/>
      </c>
      <c r="K2235" s="100"/>
      <c r="M2235" s="100"/>
      <c r="O2235" s="100"/>
      <c r="P2235" s="100"/>
    </row>
    <row r="2236">
      <c r="A2236" s="107">
        <v>203138.0</v>
      </c>
      <c r="B2236" s="108" t="s">
        <v>90</v>
      </c>
      <c r="C2236" s="108" t="s">
        <v>627</v>
      </c>
      <c r="D2236" s="112" t="s">
        <v>176</v>
      </c>
      <c r="E2236" s="112">
        <v>1775.0</v>
      </c>
      <c r="F2236" s="111" t="str">
        <f>DataPull!D2236</f>
        <v/>
      </c>
      <c r="G2236" s="94" t="str">
        <f t="shared" si="2"/>
        <v/>
      </c>
      <c r="H2236" s="94" t="str">
        <f t="shared" si="3"/>
        <v/>
      </c>
      <c r="I2236" s="94" t="str">
        <f t="shared" ref="I2236:J2236" si="2237">if(G2236 = "", , -G2236)</f>
        <v/>
      </c>
      <c r="J2236" s="94" t="str">
        <f t="shared" si="2237"/>
        <v/>
      </c>
      <c r="K2236" s="100"/>
      <c r="M2236" s="100"/>
      <c r="N2236" s="100"/>
      <c r="O2236" s="100"/>
      <c r="P2236" s="100"/>
    </row>
    <row r="2237">
      <c r="A2237" s="107">
        <v>203138.0</v>
      </c>
      <c r="B2237" s="108" t="s">
        <v>92</v>
      </c>
      <c r="C2237" s="108" t="s">
        <v>627</v>
      </c>
      <c r="D2237" s="112" t="s">
        <v>178</v>
      </c>
      <c r="E2237" s="112">
        <v>2156.0</v>
      </c>
      <c r="F2237" s="111" t="str">
        <f>DataPull!D2237</f>
        <v/>
      </c>
      <c r="G2237" s="94" t="str">
        <f t="shared" si="2"/>
        <v/>
      </c>
      <c r="H2237" s="94" t="str">
        <f t="shared" si="3"/>
        <v/>
      </c>
      <c r="I2237" s="94" t="str">
        <f t="shared" ref="I2237:J2237" si="2238">if(G2237 = "", , -G2237)</f>
        <v/>
      </c>
      <c r="J2237" s="94" t="str">
        <f t="shared" si="2238"/>
        <v/>
      </c>
      <c r="K2237" s="100"/>
      <c r="M2237" s="100"/>
      <c r="N2237" s="100"/>
      <c r="O2237" s="100"/>
      <c r="P2237" s="100"/>
    </row>
    <row r="2238">
      <c r="A2238" s="107">
        <v>203138.0</v>
      </c>
      <c r="B2238" s="108" t="s">
        <v>190</v>
      </c>
      <c r="C2238" s="108" t="s">
        <v>627</v>
      </c>
      <c r="D2238" s="112" t="s">
        <v>177</v>
      </c>
      <c r="E2238" s="112">
        <v>752.0</v>
      </c>
      <c r="F2238" s="111" t="str">
        <f>DataPull!D2238</f>
        <v/>
      </c>
      <c r="G2238" s="94" t="str">
        <f t="shared" si="2"/>
        <v/>
      </c>
      <c r="H2238" s="94" t="str">
        <f t="shared" si="3"/>
        <v/>
      </c>
      <c r="I2238" s="94" t="str">
        <f t="shared" ref="I2238:J2238" si="2239">if(G2238 = "", , -G2238)</f>
        <v/>
      </c>
      <c r="J2238" s="94" t="str">
        <f t="shared" si="2239"/>
        <v/>
      </c>
      <c r="K2238" s="100"/>
      <c r="M2238" s="100"/>
      <c r="O2238" s="100"/>
      <c r="P2238" s="100"/>
    </row>
    <row r="2239">
      <c r="A2239" s="107">
        <v>203139.0</v>
      </c>
      <c r="B2239" s="108" t="s">
        <v>85</v>
      </c>
      <c r="C2239" s="108" t="s">
        <v>628</v>
      </c>
      <c r="D2239" s="112" t="s">
        <v>187</v>
      </c>
      <c r="E2239" s="112">
        <v>60.0</v>
      </c>
      <c r="F2239" s="111" t="str">
        <f>DataPull!D2239</f>
        <v/>
      </c>
      <c r="G2239" s="94" t="str">
        <f t="shared" si="2"/>
        <v/>
      </c>
      <c r="H2239" s="94" t="str">
        <f t="shared" si="3"/>
        <v/>
      </c>
      <c r="I2239" s="94" t="str">
        <f t="shared" ref="I2239:J2239" si="2240">if(G2239 = "", , -G2239)</f>
        <v/>
      </c>
      <c r="J2239" s="94" t="str">
        <f t="shared" si="2240"/>
        <v/>
      </c>
      <c r="K2239" s="100"/>
      <c r="N2239" s="100"/>
      <c r="O2239" s="100"/>
      <c r="P2239" s="100"/>
    </row>
    <row r="2240">
      <c r="A2240" s="107">
        <v>203141.0</v>
      </c>
      <c r="B2240" s="108" t="s">
        <v>85</v>
      </c>
      <c r="C2240" s="108" t="s">
        <v>629</v>
      </c>
      <c r="D2240" s="112" t="s">
        <v>177</v>
      </c>
      <c r="E2240" s="112">
        <v>1396.8</v>
      </c>
      <c r="F2240" s="111" t="str">
        <f>DataPull!D2240</f>
        <v/>
      </c>
      <c r="G2240" s="94" t="str">
        <f t="shared" si="2"/>
        <v/>
      </c>
      <c r="H2240" s="94" t="str">
        <f t="shared" si="3"/>
        <v/>
      </c>
      <c r="I2240" s="94" t="str">
        <f t="shared" ref="I2240:J2240" si="2241">if(G2240 = "", , -G2240)</f>
        <v/>
      </c>
      <c r="J2240" s="94" t="str">
        <f t="shared" si="2241"/>
        <v/>
      </c>
      <c r="K2240" s="100"/>
      <c r="M2240" s="100"/>
      <c r="O2240" s="100"/>
      <c r="P2240" s="100"/>
    </row>
    <row r="2241">
      <c r="A2241" s="107">
        <v>203141.0</v>
      </c>
      <c r="B2241" s="108" t="s">
        <v>90</v>
      </c>
      <c r="C2241" s="108" t="s">
        <v>629</v>
      </c>
      <c r="D2241" s="112" t="s">
        <v>176</v>
      </c>
      <c r="E2241" s="112">
        <v>892.0</v>
      </c>
      <c r="F2241" s="111" t="str">
        <f>DataPull!D2241</f>
        <v/>
      </c>
      <c r="G2241" s="94" t="str">
        <f t="shared" si="2"/>
        <v/>
      </c>
      <c r="H2241" s="94" t="str">
        <f t="shared" si="3"/>
        <v/>
      </c>
      <c r="I2241" s="94" t="str">
        <f t="shared" ref="I2241:J2241" si="2242">if(G2241 = "", , -G2241)</f>
        <v/>
      </c>
      <c r="J2241" s="94" t="str">
        <f t="shared" si="2242"/>
        <v/>
      </c>
      <c r="K2241" s="100"/>
      <c r="M2241" s="100"/>
      <c r="N2241" s="100"/>
      <c r="O2241" s="100"/>
      <c r="P2241" s="100"/>
    </row>
    <row r="2242">
      <c r="A2242" s="107">
        <v>203141.0</v>
      </c>
      <c r="B2242" s="108" t="s">
        <v>92</v>
      </c>
      <c r="C2242" s="108" t="s">
        <v>629</v>
      </c>
      <c r="D2242" s="112" t="s">
        <v>177</v>
      </c>
      <c r="E2242" s="112">
        <v>1682.7</v>
      </c>
      <c r="F2242" s="111" t="str">
        <f>DataPull!D2242</f>
        <v/>
      </c>
      <c r="G2242" s="94" t="str">
        <f t="shared" si="2"/>
        <v/>
      </c>
      <c r="H2242" s="94" t="str">
        <f t="shared" si="3"/>
        <v/>
      </c>
      <c r="I2242" s="94" t="str">
        <f t="shared" ref="I2242:J2242" si="2243">if(G2242 = "", , -G2242)</f>
        <v/>
      </c>
      <c r="J2242" s="94" t="str">
        <f t="shared" si="2243"/>
        <v/>
      </c>
      <c r="K2242" s="100"/>
      <c r="M2242" s="100"/>
      <c r="N2242" s="100"/>
      <c r="O2242" s="100"/>
      <c r="P2242" s="100"/>
    </row>
    <row r="2243">
      <c r="A2243" s="107">
        <v>203141.0</v>
      </c>
      <c r="B2243" s="108" t="s">
        <v>190</v>
      </c>
      <c r="C2243" s="108" t="s">
        <v>629</v>
      </c>
      <c r="D2243" s="112" t="s">
        <v>177</v>
      </c>
      <c r="E2243" s="112">
        <v>1134.0</v>
      </c>
      <c r="F2243" s="111" t="str">
        <f>DataPull!D2243</f>
        <v/>
      </c>
      <c r="G2243" s="94" t="str">
        <f t="shared" si="2"/>
        <v/>
      </c>
      <c r="H2243" s="94" t="str">
        <f t="shared" si="3"/>
        <v/>
      </c>
      <c r="I2243" s="94" t="str">
        <f t="shared" ref="I2243:J2243" si="2244">if(G2243 = "", , -G2243)</f>
        <v/>
      </c>
      <c r="J2243" s="94" t="str">
        <f t="shared" si="2244"/>
        <v/>
      </c>
      <c r="K2243" s="100"/>
      <c r="M2243" s="100"/>
      <c r="N2243" s="100"/>
      <c r="O2243" s="100"/>
      <c r="P2243" s="100"/>
    </row>
    <row r="2244">
      <c r="A2244" s="107">
        <v>203141.0</v>
      </c>
      <c r="B2244" s="108" t="s">
        <v>191</v>
      </c>
      <c r="C2244" s="108" t="s">
        <v>629</v>
      </c>
      <c r="D2244" s="112" t="s">
        <v>187</v>
      </c>
      <c r="E2244" s="112">
        <v>159.0</v>
      </c>
      <c r="F2244" s="111" t="str">
        <f>DataPull!D2244</f>
        <v/>
      </c>
      <c r="G2244" s="94" t="str">
        <f t="shared" si="2"/>
        <v/>
      </c>
      <c r="H2244" s="94" t="str">
        <f t="shared" si="3"/>
        <v/>
      </c>
      <c r="I2244" s="94" t="str">
        <f t="shared" ref="I2244:J2244" si="2245">if(G2244 = "", , -G2244)</f>
        <v/>
      </c>
      <c r="J2244" s="94" t="str">
        <f t="shared" si="2245"/>
        <v/>
      </c>
      <c r="K2244" s="100"/>
      <c r="M2244" s="100"/>
      <c r="N2244" s="100"/>
      <c r="O2244" s="100"/>
      <c r="P2244" s="100"/>
    </row>
    <row r="2245">
      <c r="A2245" s="107">
        <v>203142.0</v>
      </c>
      <c r="B2245" s="108" t="s">
        <v>85</v>
      </c>
      <c r="C2245" s="108" t="s">
        <v>630</v>
      </c>
      <c r="D2245" s="112" t="s">
        <v>187</v>
      </c>
      <c r="E2245" s="112">
        <v>266.5</v>
      </c>
      <c r="F2245" s="111" t="str">
        <f>DataPull!D2245</f>
        <v/>
      </c>
      <c r="G2245" s="94" t="str">
        <f t="shared" si="2"/>
        <v/>
      </c>
      <c r="H2245" s="94" t="str">
        <f t="shared" si="3"/>
        <v/>
      </c>
      <c r="I2245" s="94" t="str">
        <f t="shared" ref="I2245:J2245" si="2246">if(G2245 = "", , -G2245)</f>
        <v/>
      </c>
      <c r="J2245" s="94" t="str">
        <f t="shared" si="2246"/>
        <v/>
      </c>
      <c r="K2245" s="100"/>
      <c r="M2245" s="100"/>
      <c r="N2245" s="100"/>
      <c r="O2245" s="100"/>
      <c r="P2245" s="100"/>
    </row>
    <row r="2246">
      <c r="A2246" s="107">
        <v>203142.0</v>
      </c>
      <c r="B2246" s="108" t="s">
        <v>90</v>
      </c>
      <c r="C2246" s="108" t="s">
        <v>630</v>
      </c>
      <c r="D2246" s="112" t="s">
        <v>177</v>
      </c>
      <c r="E2246" s="112">
        <v>825.0</v>
      </c>
      <c r="F2246" s="111" t="str">
        <f>DataPull!D2246</f>
        <v/>
      </c>
      <c r="G2246" s="94" t="str">
        <f t="shared" si="2"/>
        <v/>
      </c>
      <c r="H2246" s="94" t="str">
        <f t="shared" si="3"/>
        <v/>
      </c>
      <c r="I2246" s="94" t="str">
        <f t="shared" ref="I2246:J2246" si="2247">if(G2246 = "", , -G2246)</f>
        <v/>
      </c>
      <c r="J2246" s="94" t="str">
        <f t="shared" si="2247"/>
        <v/>
      </c>
      <c r="K2246" s="100"/>
      <c r="M2246" s="100"/>
      <c r="N2246" s="100"/>
      <c r="O2246" s="100"/>
      <c r="P2246" s="100"/>
    </row>
    <row r="2247">
      <c r="A2247" s="107">
        <v>203142.0</v>
      </c>
      <c r="B2247" s="108" t="s">
        <v>92</v>
      </c>
      <c r="C2247" s="108" t="s">
        <v>630</v>
      </c>
      <c r="D2247" s="112" t="s">
        <v>187</v>
      </c>
      <c r="E2247" s="112">
        <v>156.0</v>
      </c>
      <c r="F2247" s="111" t="str">
        <f>DataPull!D2247</f>
        <v/>
      </c>
      <c r="G2247" s="94" t="str">
        <f t="shared" si="2"/>
        <v/>
      </c>
      <c r="H2247" s="94" t="str">
        <f t="shared" si="3"/>
        <v/>
      </c>
      <c r="I2247" s="94" t="str">
        <f t="shared" ref="I2247:J2247" si="2248">if(G2247 = "", , -G2247)</f>
        <v/>
      </c>
      <c r="J2247" s="94" t="str">
        <f t="shared" si="2248"/>
        <v/>
      </c>
      <c r="K2247" s="100"/>
      <c r="M2247" s="100"/>
      <c r="N2247" s="100"/>
      <c r="O2247" s="100"/>
      <c r="P2247" s="100"/>
    </row>
    <row r="2248">
      <c r="A2248" s="107">
        <v>203143.0</v>
      </c>
      <c r="B2248" s="108" t="s">
        <v>85</v>
      </c>
      <c r="C2248" s="108" t="s">
        <v>631</v>
      </c>
      <c r="D2248" s="112" t="s">
        <v>177</v>
      </c>
      <c r="E2248" s="112">
        <v>1280.4</v>
      </c>
      <c r="F2248" s="111" t="str">
        <f>DataPull!D2248</f>
        <v/>
      </c>
      <c r="G2248" s="94" t="str">
        <f t="shared" si="2"/>
        <v/>
      </c>
      <c r="H2248" s="94" t="str">
        <f t="shared" si="3"/>
        <v/>
      </c>
      <c r="I2248" s="94" t="str">
        <f t="shared" ref="I2248:J2248" si="2249">if(G2248 = "", , -G2248)</f>
        <v/>
      </c>
      <c r="J2248" s="94" t="str">
        <f t="shared" si="2249"/>
        <v/>
      </c>
      <c r="K2248" s="100"/>
      <c r="M2248" s="100"/>
      <c r="N2248" s="100"/>
      <c r="O2248" s="100"/>
      <c r="P2248" s="100"/>
    </row>
    <row r="2249">
      <c r="A2249" s="107">
        <v>203143.0</v>
      </c>
      <c r="B2249" s="108" t="s">
        <v>90</v>
      </c>
      <c r="C2249" s="108" t="s">
        <v>631</v>
      </c>
      <c r="D2249" s="112" t="s">
        <v>177</v>
      </c>
      <c r="E2249" s="112">
        <v>1199.3</v>
      </c>
      <c r="F2249" s="111" t="str">
        <f>DataPull!D2249</f>
        <v/>
      </c>
      <c r="G2249" s="94" t="str">
        <f t="shared" si="2"/>
        <v/>
      </c>
      <c r="H2249" s="94" t="str">
        <f t="shared" si="3"/>
        <v/>
      </c>
      <c r="I2249" s="94" t="str">
        <f t="shared" ref="I2249:J2249" si="2250">if(G2249 = "", , -G2249)</f>
        <v/>
      </c>
      <c r="J2249" s="94" t="str">
        <f t="shared" si="2250"/>
        <v/>
      </c>
      <c r="K2249" s="100"/>
      <c r="N2249" s="100"/>
      <c r="O2249" s="100"/>
      <c r="P2249" s="100"/>
    </row>
    <row r="2250">
      <c r="A2250" s="107">
        <v>203143.0</v>
      </c>
      <c r="B2250" s="108" t="s">
        <v>92</v>
      </c>
      <c r="C2250" s="108" t="s">
        <v>631</v>
      </c>
      <c r="D2250" s="112" t="s">
        <v>177</v>
      </c>
      <c r="E2250" s="112">
        <v>820.1</v>
      </c>
      <c r="F2250" s="111" t="str">
        <f>DataPull!D2250</f>
        <v/>
      </c>
      <c r="G2250" s="94" t="str">
        <f t="shared" si="2"/>
        <v/>
      </c>
      <c r="H2250" s="94" t="str">
        <f t="shared" si="3"/>
        <v/>
      </c>
      <c r="I2250" s="94" t="str">
        <f t="shared" ref="I2250:J2250" si="2251">if(G2250 = "", , -G2250)</f>
        <v/>
      </c>
      <c r="J2250" s="94" t="str">
        <f t="shared" si="2251"/>
        <v/>
      </c>
      <c r="K2250" s="100"/>
      <c r="M2250" s="100"/>
      <c r="N2250" s="100"/>
      <c r="O2250" s="100"/>
      <c r="P2250" s="100"/>
    </row>
    <row r="2251">
      <c r="A2251" s="107">
        <v>203144.0</v>
      </c>
      <c r="B2251" s="108" t="s">
        <v>85</v>
      </c>
      <c r="C2251" s="108" t="s">
        <v>632</v>
      </c>
      <c r="D2251" s="112" t="s">
        <v>177</v>
      </c>
      <c r="E2251" s="112">
        <v>661.5</v>
      </c>
      <c r="F2251" s="111" t="str">
        <f>DataPull!D2251</f>
        <v/>
      </c>
      <c r="G2251" s="94" t="str">
        <f t="shared" si="2"/>
        <v/>
      </c>
      <c r="H2251" s="94" t="str">
        <f t="shared" si="3"/>
        <v/>
      </c>
      <c r="I2251" s="94" t="str">
        <f t="shared" ref="I2251:J2251" si="2252">if(G2251 = "", , -G2251)</f>
        <v/>
      </c>
      <c r="J2251" s="94" t="str">
        <f t="shared" si="2252"/>
        <v/>
      </c>
      <c r="K2251" s="100"/>
      <c r="M2251" s="100"/>
      <c r="N2251" s="100"/>
      <c r="O2251" s="100"/>
      <c r="P2251" s="100"/>
    </row>
    <row r="2252">
      <c r="A2252" s="107">
        <v>203144.0</v>
      </c>
      <c r="B2252" s="108" t="s">
        <v>90</v>
      </c>
      <c r="C2252" s="108" t="s">
        <v>632</v>
      </c>
      <c r="D2252" s="112" t="s">
        <v>187</v>
      </c>
      <c r="E2252" s="112">
        <v>768.6</v>
      </c>
      <c r="F2252" s="111" t="str">
        <f>DataPull!D2252</f>
        <v/>
      </c>
      <c r="G2252" s="94" t="str">
        <f t="shared" si="2"/>
        <v/>
      </c>
      <c r="H2252" s="94" t="str">
        <f t="shared" si="3"/>
        <v/>
      </c>
      <c r="I2252" s="94" t="str">
        <f t="shared" ref="I2252:J2252" si="2253">if(G2252 = "", , -G2252)</f>
        <v/>
      </c>
      <c r="J2252" s="94" t="str">
        <f t="shared" si="2253"/>
        <v/>
      </c>
      <c r="K2252" s="100"/>
      <c r="M2252" s="100"/>
      <c r="N2252" s="100"/>
      <c r="O2252" s="100"/>
      <c r="P2252" s="100"/>
    </row>
    <row r="2253">
      <c r="A2253" s="107">
        <v>203145.0</v>
      </c>
      <c r="B2253" s="108" t="s">
        <v>85</v>
      </c>
      <c r="C2253" s="108" t="s">
        <v>633</v>
      </c>
      <c r="D2253" s="112" t="s">
        <v>187</v>
      </c>
      <c r="E2253" s="112">
        <v>911.2</v>
      </c>
      <c r="F2253" s="111" t="str">
        <f>DataPull!D2253</f>
        <v/>
      </c>
      <c r="G2253" s="94" t="str">
        <f t="shared" si="2"/>
        <v/>
      </c>
      <c r="H2253" s="94" t="str">
        <f t="shared" si="3"/>
        <v/>
      </c>
      <c r="I2253" s="94" t="str">
        <f t="shared" ref="I2253:J2253" si="2254">if(G2253 = "", , -G2253)</f>
        <v/>
      </c>
      <c r="J2253" s="94" t="str">
        <f t="shared" si="2254"/>
        <v/>
      </c>
      <c r="K2253" s="100"/>
      <c r="M2253" s="100"/>
      <c r="N2253" s="100"/>
      <c r="O2253" s="100"/>
      <c r="P2253" s="100"/>
    </row>
    <row r="2254">
      <c r="A2254" s="107">
        <v>203145.0</v>
      </c>
      <c r="B2254" s="108" t="s">
        <v>90</v>
      </c>
      <c r="C2254" s="108" t="s">
        <v>633</v>
      </c>
      <c r="D2254" s="112" t="s">
        <v>177</v>
      </c>
      <c r="E2254" s="112">
        <v>1320.0</v>
      </c>
      <c r="F2254" s="111" t="str">
        <f>DataPull!D2254</f>
        <v/>
      </c>
      <c r="G2254" s="94" t="str">
        <f t="shared" si="2"/>
        <v/>
      </c>
      <c r="H2254" s="94" t="str">
        <f t="shared" si="3"/>
        <v/>
      </c>
      <c r="I2254" s="94" t="str">
        <f t="shared" ref="I2254:J2254" si="2255">if(G2254 = "", , -G2254)</f>
        <v/>
      </c>
      <c r="J2254" s="94" t="str">
        <f t="shared" si="2255"/>
        <v/>
      </c>
      <c r="K2254" s="100"/>
      <c r="M2254" s="100"/>
      <c r="N2254" s="100"/>
      <c r="O2254" s="100"/>
      <c r="P2254" s="100"/>
    </row>
    <row r="2255">
      <c r="A2255" s="107">
        <v>203145.0</v>
      </c>
      <c r="B2255" s="108" t="s">
        <v>92</v>
      </c>
      <c r="C2255" s="108" t="s">
        <v>633</v>
      </c>
      <c r="D2255" s="112" t="s">
        <v>178</v>
      </c>
      <c r="E2255" s="112">
        <v>2085.0</v>
      </c>
      <c r="F2255" s="111" t="str">
        <f>DataPull!D2255</f>
        <v/>
      </c>
      <c r="G2255" s="94" t="str">
        <f t="shared" si="2"/>
        <v/>
      </c>
      <c r="H2255" s="94" t="str">
        <f t="shared" si="3"/>
        <v/>
      </c>
      <c r="I2255" s="94" t="str">
        <f t="shared" ref="I2255:J2255" si="2256">if(G2255 = "", , -G2255)</f>
        <v/>
      </c>
      <c r="J2255" s="94" t="str">
        <f t="shared" si="2256"/>
        <v/>
      </c>
      <c r="K2255" s="100"/>
      <c r="M2255" s="100"/>
      <c r="N2255" s="100"/>
      <c r="O2255" s="100"/>
      <c r="P2255" s="100"/>
    </row>
    <row r="2256">
      <c r="A2256" s="107">
        <v>203145.0</v>
      </c>
      <c r="B2256" s="108" t="s">
        <v>190</v>
      </c>
      <c r="C2256" s="108" t="s">
        <v>633</v>
      </c>
      <c r="D2256" s="112" t="s">
        <v>176</v>
      </c>
      <c r="E2256" s="112">
        <v>1963.7</v>
      </c>
      <c r="F2256" s="111" t="str">
        <f>DataPull!D2256</f>
        <v/>
      </c>
      <c r="G2256" s="94" t="str">
        <f t="shared" si="2"/>
        <v/>
      </c>
      <c r="H2256" s="94" t="str">
        <f t="shared" si="3"/>
        <v/>
      </c>
      <c r="I2256" s="94" t="str">
        <f t="shared" ref="I2256:J2256" si="2257">if(G2256 = "", , -G2256)</f>
        <v/>
      </c>
      <c r="J2256" s="94" t="str">
        <f t="shared" si="2257"/>
        <v/>
      </c>
      <c r="K2256" s="100"/>
      <c r="M2256" s="100"/>
      <c r="N2256" s="100"/>
      <c r="O2256" s="100"/>
      <c r="P2256" s="100"/>
    </row>
    <row r="2257">
      <c r="A2257" s="107">
        <v>203145.0</v>
      </c>
      <c r="B2257" s="108" t="s">
        <v>191</v>
      </c>
      <c r="C2257" s="108" t="s">
        <v>633</v>
      </c>
      <c r="D2257" s="112" t="s">
        <v>178</v>
      </c>
      <c r="E2257" s="112">
        <v>1787.5</v>
      </c>
      <c r="F2257" s="111" t="str">
        <f>DataPull!D2257</f>
        <v/>
      </c>
      <c r="G2257" s="94" t="str">
        <f t="shared" si="2"/>
        <v/>
      </c>
      <c r="H2257" s="94" t="str">
        <f t="shared" si="3"/>
        <v/>
      </c>
      <c r="I2257" s="94" t="str">
        <f t="shared" ref="I2257:J2257" si="2258">if(G2257 = "", , -G2257)</f>
        <v/>
      </c>
      <c r="J2257" s="94" t="str">
        <f t="shared" si="2258"/>
        <v/>
      </c>
      <c r="K2257" s="100"/>
      <c r="M2257" s="100"/>
      <c r="N2257" s="100"/>
      <c r="O2257" s="100"/>
      <c r="P2257" s="100"/>
    </row>
    <row r="2258">
      <c r="A2258" s="107">
        <v>203145.0</v>
      </c>
      <c r="B2258" s="108" t="s">
        <v>192</v>
      </c>
      <c r="C2258" s="108" t="s">
        <v>633</v>
      </c>
      <c r="D2258" s="112" t="s">
        <v>176</v>
      </c>
      <c r="E2258" s="112">
        <v>1641.5</v>
      </c>
      <c r="F2258" s="111" t="str">
        <f>DataPull!D2258</f>
        <v/>
      </c>
      <c r="G2258" s="94" t="str">
        <f t="shared" si="2"/>
        <v/>
      </c>
      <c r="H2258" s="94" t="str">
        <f t="shared" si="3"/>
        <v/>
      </c>
      <c r="I2258" s="94" t="str">
        <f t="shared" ref="I2258:J2258" si="2259">if(G2258 = "", , -G2258)</f>
        <v/>
      </c>
      <c r="J2258" s="94" t="str">
        <f t="shared" si="2259"/>
        <v/>
      </c>
      <c r="K2258" s="100"/>
      <c r="M2258" s="100"/>
      <c r="N2258" s="100"/>
      <c r="O2258" s="100"/>
      <c r="P2258" s="100"/>
    </row>
    <row r="2259">
      <c r="A2259" s="107">
        <v>203145.0</v>
      </c>
      <c r="B2259" s="108" t="s">
        <v>193</v>
      </c>
      <c r="C2259" s="108" t="s">
        <v>633</v>
      </c>
      <c r="D2259" s="112" t="s">
        <v>176</v>
      </c>
      <c r="E2259" s="112">
        <v>1686.4</v>
      </c>
      <c r="F2259" s="111" t="str">
        <f>DataPull!D2259</f>
        <v/>
      </c>
      <c r="G2259" s="94" t="str">
        <f t="shared" si="2"/>
        <v/>
      </c>
      <c r="H2259" s="94" t="str">
        <f t="shared" si="3"/>
        <v/>
      </c>
      <c r="I2259" s="94" t="str">
        <f t="shared" ref="I2259:J2259" si="2260">if(G2259 = "", , -G2259)</f>
        <v/>
      </c>
      <c r="J2259" s="94" t="str">
        <f t="shared" si="2260"/>
        <v/>
      </c>
      <c r="K2259" s="100"/>
      <c r="M2259" s="100"/>
      <c r="N2259" s="100"/>
      <c r="O2259" s="100"/>
      <c r="P2259" s="100"/>
    </row>
    <row r="2260">
      <c r="A2260" s="107">
        <v>203145.0</v>
      </c>
      <c r="B2260" s="108" t="s">
        <v>243</v>
      </c>
      <c r="C2260" s="108" t="s">
        <v>633</v>
      </c>
      <c r="D2260" s="112" t="s">
        <v>176</v>
      </c>
      <c r="E2260" s="112">
        <v>1333.3</v>
      </c>
      <c r="F2260" s="111" t="str">
        <f>DataPull!D2260</f>
        <v/>
      </c>
      <c r="G2260" s="94" t="str">
        <f t="shared" si="2"/>
        <v/>
      </c>
      <c r="H2260" s="94" t="str">
        <f t="shared" si="3"/>
        <v/>
      </c>
      <c r="I2260" s="94" t="str">
        <f t="shared" ref="I2260:J2260" si="2261">if(G2260 = "", , -G2260)</f>
        <v/>
      </c>
      <c r="J2260" s="94" t="str">
        <f t="shared" si="2261"/>
        <v/>
      </c>
      <c r="K2260" s="100"/>
      <c r="M2260" s="100"/>
      <c r="N2260" s="100"/>
      <c r="O2260" s="100"/>
      <c r="P2260" s="100"/>
    </row>
    <row r="2261">
      <c r="A2261" s="107">
        <v>203145.0</v>
      </c>
      <c r="B2261" s="108" t="s">
        <v>215</v>
      </c>
      <c r="C2261" s="108" t="s">
        <v>633</v>
      </c>
      <c r="D2261" s="112" t="s">
        <v>177</v>
      </c>
      <c r="E2261" s="112">
        <v>546.0</v>
      </c>
      <c r="F2261" s="111" t="str">
        <f>DataPull!D2261</f>
        <v/>
      </c>
      <c r="G2261" s="94" t="str">
        <f t="shared" si="2"/>
        <v/>
      </c>
      <c r="H2261" s="94" t="str">
        <f t="shared" si="3"/>
        <v/>
      </c>
      <c r="I2261" s="94" t="str">
        <f t="shared" ref="I2261:J2261" si="2262">if(G2261 = "", , -G2261)</f>
        <v/>
      </c>
      <c r="J2261" s="94" t="str">
        <f t="shared" si="2262"/>
        <v/>
      </c>
      <c r="K2261" s="100"/>
      <c r="M2261" s="100"/>
      <c r="N2261" s="100"/>
      <c r="O2261" s="100"/>
      <c r="P2261" s="100"/>
    </row>
    <row r="2262">
      <c r="A2262" s="107">
        <v>203146.0</v>
      </c>
      <c r="B2262" s="108" t="s">
        <v>85</v>
      </c>
      <c r="C2262" s="108" t="s">
        <v>634</v>
      </c>
      <c r="D2262" s="112" t="s">
        <v>181</v>
      </c>
      <c r="E2262" s="112">
        <v>9.4</v>
      </c>
      <c r="F2262" s="111" t="str">
        <f>DataPull!D2262</f>
        <v/>
      </c>
      <c r="G2262" s="94" t="str">
        <f t="shared" si="2"/>
        <v/>
      </c>
      <c r="H2262" s="94" t="str">
        <f t="shared" si="3"/>
        <v/>
      </c>
      <c r="I2262" s="94" t="str">
        <f t="shared" ref="I2262:J2262" si="2263">if(G2262 = "", , -G2262)</f>
        <v/>
      </c>
      <c r="J2262" s="94" t="str">
        <f t="shared" si="2263"/>
        <v/>
      </c>
      <c r="K2262" s="100"/>
      <c r="M2262" s="100"/>
      <c r="N2262" s="100"/>
      <c r="O2262" s="100"/>
      <c r="P2262" s="100"/>
    </row>
    <row r="2263">
      <c r="A2263" s="107">
        <v>203147.0</v>
      </c>
      <c r="B2263" s="108" t="s">
        <v>85</v>
      </c>
      <c r="C2263" s="108" t="s">
        <v>635</v>
      </c>
      <c r="D2263" s="112" t="s">
        <v>181</v>
      </c>
      <c r="E2263" s="112">
        <v>2.0</v>
      </c>
      <c r="F2263" s="111" t="str">
        <f>DataPull!D2263</f>
        <v/>
      </c>
      <c r="G2263" s="94" t="str">
        <f t="shared" si="2"/>
        <v/>
      </c>
      <c r="H2263" s="94" t="str">
        <f t="shared" si="3"/>
        <v/>
      </c>
      <c r="I2263" s="94" t="str">
        <f t="shared" ref="I2263:J2263" si="2264">if(G2263 = "", , -G2263)</f>
        <v/>
      </c>
      <c r="J2263" s="94" t="str">
        <f t="shared" si="2264"/>
        <v/>
      </c>
      <c r="K2263" s="100"/>
      <c r="M2263" s="100"/>
      <c r="N2263" s="100"/>
      <c r="O2263" s="100"/>
      <c r="P2263" s="100"/>
    </row>
    <row r="2264">
      <c r="A2264" s="107">
        <v>203148.0</v>
      </c>
      <c r="B2264" s="108" t="s">
        <v>85</v>
      </c>
      <c r="C2264" s="108" t="s">
        <v>636</v>
      </c>
      <c r="D2264" s="112" t="s">
        <v>176</v>
      </c>
      <c r="E2264" s="112">
        <v>1670.4</v>
      </c>
      <c r="F2264" s="111" t="str">
        <f>DataPull!D2264</f>
        <v/>
      </c>
      <c r="G2264" s="94" t="str">
        <f t="shared" si="2"/>
        <v/>
      </c>
      <c r="H2264" s="94" t="str">
        <f t="shared" si="3"/>
        <v/>
      </c>
      <c r="I2264" s="94" t="str">
        <f t="shared" ref="I2264:J2264" si="2265">if(G2264 = "", , -G2264)</f>
        <v/>
      </c>
      <c r="J2264" s="94" t="str">
        <f t="shared" si="2265"/>
        <v/>
      </c>
      <c r="K2264" s="100"/>
      <c r="M2264" s="100"/>
      <c r="N2264" s="100"/>
      <c r="O2264" s="100"/>
      <c r="P2264" s="100"/>
    </row>
    <row r="2265">
      <c r="A2265" s="107">
        <v>203148.0</v>
      </c>
      <c r="B2265" s="108" t="s">
        <v>90</v>
      </c>
      <c r="C2265" s="108" t="s">
        <v>636</v>
      </c>
      <c r="D2265" s="112" t="s">
        <v>177</v>
      </c>
      <c r="E2265" s="112">
        <v>1332.0</v>
      </c>
      <c r="F2265" s="111" t="str">
        <f>DataPull!D2265</f>
        <v/>
      </c>
      <c r="G2265" s="94" t="str">
        <f t="shared" si="2"/>
        <v/>
      </c>
      <c r="H2265" s="94" t="str">
        <f t="shared" si="3"/>
        <v/>
      </c>
      <c r="I2265" s="94" t="str">
        <f t="shared" ref="I2265:J2265" si="2266">if(G2265 = "", , -G2265)</f>
        <v/>
      </c>
      <c r="J2265" s="94" t="str">
        <f t="shared" si="2266"/>
        <v/>
      </c>
      <c r="K2265" s="100"/>
      <c r="N2265" s="100"/>
      <c r="O2265" s="100"/>
      <c r="P2265" s="100"/>
    </row>
    <row r="2266">
      <c r="A2266" s="107">
        <v>203148.0</v>
      </c>
      <c r="B2266" s="108" t="s">
        <v>92</v>
      </c>
      <c r="C2266" s="108" t="s">
        <v>636</v>
      </c>
      <c r="D2266" s="112" t="s">
        <v>177</v>
      </c>
      <c r="E2266" s="112">
        <v>469.2</v>
      </c>
      <c r="F2266" s="111" t="str">
        <f>DataPull!D2266</f>
        <v/>
      </c>
      <c r="G2266" s="94" t="str">
        <f t="shared" si="2"/>
        <v/>
      </c>
      <c r="H2266" s="94" t="str">
        <f t="shared" si="3"/>
        <v/>
      </c>
      <c r="I2266" s="94" t="str">
        <f t="shared" ref="I2266:J2266" si="2267">if(G2266 = "", , -G2266)</f>
        <v/>
      </c>
      <c r="J2266" s="94" t="str">
        <f t="shared" si="2267"/>
        <v/>
      </c>
      <c r="K2266" s="100"/>
      <c r="L2266" s="100"/>
      <c r="N2266" s="100"/>
      <c r="O2266" s="100"/>
      <c r="P2266" s="100"/>
    </row>
    <row r="2267">
      <c r="A2267" s="107">
        <v>203148.0</v>
      </c>
      <c r="B2267" s="108" t="s">
        <v>190</v>
      </c>
      <c r="C2267" s="108" t="s">
        <v>636</v>
      </c>
      <c r="D2267" s="112" t="s">
        <v>177</v>
      </c>
      <c r="E2267" s="112">
        <v>418.2</v>
      </c>
      <c r="F2267" s="111" t="str">
        <f>DataPull!D2267</f>
        <v/>
      </c>
      <c r="G2267" s="94" t="str">
        <f t="shared" si="2"/>
        <v/>
      </c>
      <c r="H2267" s="94" t="str">
        <f t="shared" si="3"/>
        <v/>
      </c>
      <c r="I2267" s="94" t="str">
        <f t="shared" ref="I2267:J2267" si="2268">if(G2267 = "", , -G2267)</f>
        <v/>
      </c>
      <c r="J2267" s="94" t="str">
        <f t="shared" si="2268"/>
        <v/>
      </c>
      <c r="K2267" s="100"/>
      <c r="L2267" s="100"/>
      <c r="M2267" s="100"/>
      <c r="N2267" s="100"/>
      <c r="O2267" s="100"/>
      <c r="P2267" s="100"/>
    </row>
    <row r="2268">
      <c r="A2268" s="107">
        <v>203156.0</v>
      </c>
      <c r="B2268" s="108" t="s">
        <v>85</v>
      </c>
      <c r="C2268" s="108" t="s">
        <v>637</v>
      </c>
      <c r="D2268" s="112" t="s">
        <v>176</v>
      </c>
      <c r="E2268" s="112">
        <v>874.0</v>
      </c>
      <c r="F2268" s="111" t="str">
        <f>DataPull!D2268</f>
        <v/>
      </c>
      <c r="G2268" s="94" t="str">
        <f t="shared" si="2"/>
        <v/>
      </c>
      <c r="H2268" s="94" t="str">
        <f t="shared" si="3"/>
        <v/>
      </c>
      <c r="I2268" s="94" t="str">
        <f t="shared" ref="I2268:J2268" si="2269">if(G2268 = "", , -G2268)</f>
        <v/>
      </c>
      <c r="J2268" s="94" t="str">
        <f t="shared" si="2269"/>
        <v/>
      </c>
      <c r="K2268" s="100"/>
      <c r="M2268" s="100"/>
      <c r="N2268" s="100"/>
      <c r="O2268" s="100"/>
      <c r="P2268" s="100"/>
    </row>
    <row r="2269">
      <c r="A2269" s="107">
        <v>203156.0</v>
      </c>
      <c r="B2269" s="108" t="s">
        <v>90</v>
      </c>
      <c r="C2269" s="108" t="s">
        <v>637</v>
      </c>
      <c r="D2269" s="112" t="s">
        <v>177</v>
      </c>
      <c r="E2269" s="112">
        <v>1401.6</v>
      </c>
      <c r="F2269" s="111" t="str">
        <f>DataPull!D2269</f>
        <v/>
      </c>
      <c r="G2269" s="94" t="str">
        <f t="shared" si="2"/>
        <v/>
      </c>
      <c r="H2269" s="94" t="str">
        <f t="shared" si="3"/>
        <v/>
      </c>
      <c r="I2269" s="94" t="str">
        <f t="shared" ref="I2269:J2269" si="2270">if(G2269 = "", , -G2269)</f>
        <v/>
      </c>
      <c r="J2269" s="94" t="str">
        <f t="shared" si="2270"/>
        <v/>
      </c>
      <c r="K2269" s="100"/>
      <c r="M2269" s="100"/>
      <c r="N2269" s="100"/>
      <c r="O2269" s="100"/>
      <c r="P2269" s="100"/>
    </row>
    <row r="2270">
      <c r="A2270" s="107">
        <v>203156.0</v>
      </c>
      <c r="B2270" s="108" t="s">
        <v>92</v>
      </c>
      <c r="C2270" s="108" t="s">
        <v>637</v>
      </c>
      <c r="D2270" s="112" t="s">
        <v>187</v>
      </c>
      <c r="E2270" s="112">
        <v>263.2</v>
      </c>
      <c r="F2270" s="111" t="str">
        <f>DataPull!D2270</f>
        <v/>
      </c>
      <c r="G2270" s="94" t="str">
        <f t="shared" si="2"/>
        <v/>
      </c>
      <c r="H2270" s="94" t="str">
        <f t="shared" si="3"/>
        <v/>
      </c>
      <c r="I2270" s="94" t="str">
        <f t="shared" ref="I2270:J2270" si="2271">if(G2270 = "", , -G2270)</f>
        <v/>
      </c>
      <c r="J2270" s="94" t="str">
        <f t="shared" si="2271"/>
        <v/>
      </c>
      <c r="K2270" s="100"/>
      <c r="M2270" s="100"/>
      <c r="N2270" s="100"/>
      <c r="O2270" s="100"/>
      <c r="P2270" s="100"/>
    </row>
    <row r="2271">
      <c r="A2271" s="107">
        <v>203159.0</v>
      </c>
      <c r="B2271" s="108" t="s">
        <v>192</v>
      </c>
      <c r="C2271" s="108" t="s">
        <v>638</v>
      </c>
      <c r="D2271" s="112" t="s">
        <v>181</v>
      </c>
      <c r="E2271" s="112">
        <v>19.2</v>
      </c>
      <c r="F2271" s="111" t="str">
        <f>DataPull!D2271</f>
        <v/>
      </c>
      <c r="G2271" s="94" t="str">
        <f t="shared" si="2"/>
        <v/>
      </c>
      <c r="H2271" s="94" t="str">
        <f t="shared" si="3"/>
        <v/>
      </c>
      <c r="I2271" s="94" t="str">
        <f t="shared" ref="I2271:J2271" si="2272">if(G2271 = "", , -G2271)</f>
        <v/>
      </c>
      <c r="J2271" s="94" t="str">
        <f t="shared" si="2272"/>
        <v/>
      </c>
      <c r="K2271" s="100"/>
      <c r="L2271" s="100"/>
      <c r="N2271" s="100"/>
      <c r="O2271" s="100"/>
      <c r="P2271" s="100"/>
    </row>
    <row r="2272">
      <c r="A2272" s="107">
        <v>203186.0</v>
      </c>
      <c r="B2272" s="108" t="s">
        <v>92</v>
      </c>
      <c r="C2272" s="108" t="s">
        <v>639</v>
      </c>
      <c r="D2272" s="112" t="s">
        <v>177</v>
      </c>
      <c r="E2272" s="112">
        <v>425.1</v>
      </c>
      <c r="F2272" s="111" t="str">
        <f>DataPull!D2272</f>
        <v/>
      </c>
      <c r="G2272" s="94" t="str">
        <f t="shared" si="2"/>
        <v/>
      </c>
      <c r="H2272" s="94" t="str">
        <f t="shared" si="3"/>
        <v/>
      </c>
      <c r="I2272" s="94" t="str">
        <f t="shared" ref="I2272:J2272" si="2273">if(G2272 = "", , -G2272)</f>
        <v/>
      </c>
      <c r="J2272" s="94" t="str">
        <f t="shared" si="2273"/>
        <v/>
      </c>
      <c r="K2272" s="100"/>
      <c r="M2272" s="100"/>
      <c r="N2272" s="100"/>
      <c r="O2272" s="100"/>
      <c r="P2272" s="100"/>
    </row>
    <row r="2273">
      <c r="A2273" s="107">
        <v>203186.0</v>
      </c>
      <c r="B2273" s="108" t="s">
        <v>190</v>
      </c>
      <c r="C2273" s="108" t="s">
        <v>639</v>
      </c>
      <c r="D2273" s="112" t="s">
        <v>177</v>
      </c>
      <c r="E2273" s="112">
        <v>1029.5</v>
      </c>
      <c r="F2273" s="111" t="str">
        <f>DataPull!D2273</f>
        <v/>
      </c>
      <c r="G2273" s="94" t="str">
        <f t="shared" si="2"/>
        <v/>
      </c>
      <c r="H2273" s="94" t="str">
        <f t="shared" si="3"/>
        <v/>
      </c>
      <c r="I2273" s="94" t="str">
        <f t="shared" ref="I2273:J2273" si="2274">if(G2273 = "", , -G2273)</f>
        <v/>
      </c>
      <c r="J2273" s="94" t="str">
        <f t="shared" si="2274"/>
        <v/>
      </c>
      <c r="K2273" s="100"/>
      <c r="L2273" s="100"/>
      <c r="N2273" s="100"/>
      <c r="O2273" s="100"/>
      <c r="P2273" s="100"/>
    </row>
    <row r="2274">
      <c r="A2274" s="107">
        <v>203186.0</v>
      </c>
      <c r="B2274" s="108" t="s">
        <v>191</v>
      </c>
      <c r="C2274" s="108" t="s">
        <v>639</v>
      </c>
      <c r="D2274" s="112" t="s">
        <v>187</v>
      </c>
      <c r="E2274" s="112">
        <v>428.4</v>
      </c>
      <c r="F2274" s="111" t="str">
        <f>DataPull!D2274</f>
        <v/>
      </c>
      <c r="G2274" s="94" t="str">
        <f t="shared" si="2"/>
        <v/>
      </c>
      <c r="H2274" s="94" t="str">
        <f t="shared" si="3"/>
        <v/>
      </c>
      <c r="I2274" s="94" t="str">
        <f t="shared" ref="I2274:J2274" si="2275">if(G2274 = "", , -G2274)</f>
        <v/>
      </c>
      <c r="J2274" s="94" t="str">
        <f t="shared" si="2275"/>
        <v/>
      </c>
      <c r="K2274" s="100"/>
      <c r="L2274" s="100"/>
      <c r="M2274" s="100"/>
      <c r="N2274" s="100"/>
      <c r="O2274" s="100"/>
    </row>
    <row r="2275">
      <c r="A2275" s="107">
        <v>203187.0</v>
      </c>
      <c r="B2275" s="108" t="s">
        <v>85</v>
      </c>
      <c r="C2275" s="108" t="s">
        <v>640</v>
      </c>
      <c r="D2275" s="112" t="s">
        <v>177</v>
      </c>
      <c r="E2275" s="112">
        <v>788.0</v>
      </c>
      <c r="F2275" s="111" t="str">
        <f>DataPull!D2275</f>
        <v/>
      </c>
      <c r="G2275" s="94" t="str">
        <f t="shared" si="2"/>
        <v/>
      </c>
      <c r="H2275" s="94" t="str">
        <f t="shared" si="3"/>
        <v/>
      </c>
      <c r="I2275" s="94" t="str">
        <f t="shared" ref="I2275:J2275" si="2276">if(G2275 = "", , -G2275)</f>
        <v/>
      </c>
      <c r="J2275" s="94" t="str">
        <f t="shared" si="2276"/>
        <v/>
      </c>
      <c r="K2275" s="100"/>
      <c r="M2275" s="100"/>
      <c r="N2275" s="100"/>
      <c r="O2275" s="100"/>
      <c r="P2275" s="100"/>
    </row>
    <row r="2276">
      <c r="A2276" s="107">
        <v>203187.0</v>
      </c>
      <c r="B2276" s="108" t="s">
        <v>90</v>
      </c>
      <c r="C2276" s="108" t="s">
        <v>640</v>
      </c>
      <c r="D2276" s="112" t="s">
        <v>187</v>
      </c>
      <c r="E2276" s="112">
        <v>527.8</v>
      </c>
      <c r="F2276" s="111" t="str">
        <f>DataPull!D2276</f>
        <v/>
      </c>
      <c r="G2276" s="94" t="str">
        <f t="shared" si="2"/>
        <v/>
      </c>
      <c r="H2276" s="94" t="str">
        <f t="shared" si="3"/>
        <v/>
      </c>
      <c r="I2276" s="94" t="str">
        <f t="shared" ref="I2276:J2276" si="2277">if(G2276 = "", , -G2276)</f>
        <v/>
      </c>
      <c r="J2276" s="94" t="str">
        <f t="shared" si="2277"/>
        <v/>
      </c>
      <c r="K2276" s="100"/>
      <c r="L2276" s="100"/>
      <c r="M2276" s="100"/>
      <c r="N2276" s="100"/>
      <c r="O2276" s="100"/>
    </row>
    <row r="2277">
      <c r="A2277" s="107">
        <v>203187.0</v>
      </c>
      <c r="B2277" s="108" t="s">
        <v>92</v>
      </c>
      <c r="C2277" s="108" t="s">
        <v>640</v>
      </c>
      <c r="D2277" s="112" t="s">
        <v>177</v>
      </c>
      <c r="E2277" s="112">
        <v>854.0</v>
      </c>
      <c r="F2277" s="111" t="str">
        <f>DataPull!D2277</f>
        <v/>
      </c>
      <c r="G2277" s="94" t="str">
        <f t="shared" si="2"/>
        <v/>
      </c>
      <c r="H2277" s="94" t="str">
        <f t="shared" si="3"/>
        <v/>
      </c>
      <c r="I2277" s="94" t="str">
        <f t="shared" ref="I2277:J2277" si="2278">if(G2277 = "", , -G2277)</f>
        <v/>
      </c>
      <c r="J2277" s="94" t="str">
        <f t="shared" si="2278"/>
        <v/>
      </c>
      <c r="K2277" s="100"/>
      <c r="L2277" s="100"/>
      <c r="N2277" s="100"/>
      <c r="O2277" s="100"/>
      <c r="P2277" s="100"/>
    </row>
    <row r="2278">
      <c r="A2278" s="107">
        <v>203197.0</v>
      </c>
      <c r="B2278" s="108" t="s">
        <v>85</v>
      </c>
      <c r="C2278" s="108" t="s">
        <v>641</v>
      </c>
      <c r="D2278" s="112" t="s">
        <v>177</v>
      </c>
      <c r="E2278" s="112">
        <v>1050.8</v>
      </c>
      <c r="F2278" s="111" t="str">
        <f>DataPull!D2278</f>
        <v/>
      </c>
      <c r="G2278" s="94" t="str">
        <f t="shared" si="2"/>
        <v/>
      </c>
      <c r="H2278" s="94" t="str">
        <f t="shared" si="3"/>
        <v/>
      </c>
      <c r="I2278" s="94" t="str">
        <f t="shared" ref="I2278:J2278" si="2279">if(G2278 = "", , -G2278)</f>
        <v/>
      </c>
      <c r="J2278" s="94" t="str">
        <f t="shared" si="2279"/>
        <v/>
      </c>
      <c r="K2278" s="100"/>
      <c r="M2278" s="100"/>
      <c r="N2278" s="100"/>
      <c r="O2278" s="100"/>
      <c r="P2278" s="100"/>
    </row>
    <row r="2279">
      <c r="A2279" s="107">
        <v>203200.0</v>
      </c>
      <c r="B2279" s="108" t="s">
        <v>90</v>
      </c>
      <c r="C2279" s="108" t="s">
        <v>642</v>
      </c>
      <c r="D2279" s="112" t="s">
        <v>187</v>
      </c>
      <c r="E2279" s="112">
        <v>654.9</v>
      </c>
      <c r="F2279" s="111" t="str">
        <f>DataPull!D2279</f>
        <v/>
      </c>
      <c r="G2279" s="94" t="str">
        <f t="shared" si="2"/>
        <v/>
      </c>
      <c r="H2279" s="94" t="str">
        <f t="shared" si="3"/>
        <v/>
      </c>
      <c r="I2279" s="94" t="str">
        <f t="shared" ref="I2279:J2279" si="2280">if(G2279 = "", , -G2279)</f>
        <v/>
      </c>
      <c r="J2279" s="94" t="str">
        <f t="shared" si="2280"/>
        <v/>
      </c>
      <c r="K2279" s="100"/>
      <c r="M2279" s="100"/>
      <c r="N2279" s="100"/>
      <c r="O2279" s="100"/>
      <c r="P2279" s="100"/>
    </row>
    <row r="2280">
      <c r="A2280" s="107">
        <v>203200.0</v>
      </c>
      <c r="B2280" s="108" t="s">
        <v>92</v>
      </c>
      <c r="C2280" s="108" t="s">
        <v>642</v>
      </c>
      <c r="D2280" s="112" t="s">
        <v>177</v>
      </c>
      <c r="E2280" s="112">
        <v>773.8</v>
      </c>
      <c r="F2280" s="111" t="str">
        <f>DataPull!D2280</f>
        <v/>
      </c>
      <c r="G2280" s="94" t="str">
        <f t="shared" si="2"/>
        <v/>
      </c>
      <c r="H2280" s="94" t="str">
        <f t="shared" si="3"/>
        <v/>
      </c>
      <c r="I2280" s="94" t="str">
        <f t="shared" ref="I2280:J2280" si="2281">if(G2280 = "", , -G2280)</f>
        <v/>
      </c>
      <c r="J2280" s="94" t="str">
        <f t="shared" si="2281"/>
        <v/>
      </c>
      <c r="K2280" s="100"/>
      <c r="L2280" s="100"/>
      <c r="M2280" s="100"/>
      <c r="N2280" s="100"/>
      <c r="O2280" s="100"/>
      <c r="P2280" s="100"/>
    </row>
    <row r="2281">
      <c r="A2281" s="107">
        <v>203200.0</v>
      </c>
      <c r="B2281" s="108" t="s">
        <v>190</v>
      </c>
      <c r="C2281" s="108" t="s">
        <v>642</v>
      </c>
      <c r="D2281" s="112" t="s">
        <v>177</v>
      </c>
      <c r="E2281" s="112">
        <v>1640.0</v>
      </c>
      <c r="F2281" s="111" t="str">
        <f>DataPull!D2281</f>
        <v/>
      </c>
      <c r="G2281" s="94" t="str">
        <f t="shared" si="2"/>
        <v/>
      </c>
      <c r="H2281" s="94" t="str">
        <f t="shared" si="3"/>
        <v/>
      </c>
      <c r="I2281" s="94" t="str">
        <f t="shared" ref="I2281:J2281" si="2282">if(G2281 = "", , -G2281)</f>
        <v/>
      </c>
      <c r="J2281" s="94" t="str">
        <f t="shared" si="2282"/>
        <v/>
      </c>
      <c r="K2281" s="100"/>
      <c r="M2281" s="100"/>
      <c r="N2281" s="100"/>
      <c r="O2281" s="100"/>
      <c r="P2281" s="100"/>
    </row>
    <row r="2282">
      <c r="A2282" s="107">
        <v>203200.0</v>
      </c>
      <c r="B2282" s="108" t="s">
        <v>191</v>
      </c>
      <c r="C2282" s="108" t="s">
        <v>642</v>
      </c>
      <c r="D2282" s="112" t="s">
        <v>178</v>
      </c>
      <c r="E2282" s="112">
        <v>2268.0</v>
      </c>
      <c r="F2282" s="111" t="str">
        <f>DataPull!D2282</f>
        <v/>
      </c>
      <c r="G2282" s="94" t="str">
        <f t="shared" si="2"/>
        <v/>
      </c>
      <c r="H2282" s="94" t="str">
        <f t="shared" si="3"/>
        <v/>
      </c>
      <c r="I2282" s="94" t="str">
        <f t="shared" ref="I2282:J2282" si="2283">if(G2282 = "", , -G2282)</f>
        <v/>
      </c>
      <c r="J2282" s="94" t="str">
        <f t="shared" si="2283"/>
        <v/>
      </c>
      <c r="K2282" s="100"/>
      <c r="M2282" s="100"/>
      <c r="N2282" s="100"/>
      <c r="O2282" s="100"/>
      <c r="P2282" s="100"/>
    </row>
    <row r="2283">
      <c r="A2283" s="107">
        <v>203200.0</v>
      </c>
      <c r="B2283" s="108" t="s">
        <v>192</v>
      </c>
      <c r="C2283" s="108" t="s">
        <v>642</v>
      </c>
      <c r="D2283" s="112" t="s">
        <v>176</v>
      </c>
      <c r="E2283" s="112">
        <v>2607.6</v>
      </c>
      <c r="F2283" s="111" t="str">
        <f>DataPull!D2283</f>
        <v/>
      </c>
      <c r="G2283" s="94" t="str">
        <f t="shared" si="2"/>
        <v/>
      </c>
      <c r="H2283" s="94" t="str">
        <f t="shared" si="3"/>
        <v/>
      </c>
      <c r="I2283" s="94" t="str">
        <f t="shared" ref="I2283:J2283" si="2284">if(G2283 = "", , -G2283)</f>
        <v/>
      </c>
      <c r="J2283" s="94" t="str">
        <f t="shared" si="2284"/>
        <v/>
      </c>
      <c r="K2283" s="100"/>
      <c r="M2283" s="100"/>
      <c r="N2283" s="100"/>
      <c r="O2283" s="100"/>
      <c r="P2283" s="100"/>
    </row>
    <row r="2284">
      <c r="A2284" s="107">
        <v>203200.0</v>
      </c>
      <c r="B2284" s="108" t="s">
        <v>193</v>
      </c>
      <c r="C2284" s="108" t="s">
        <v>642</v>
      </c>
      <c r="D2284" s="112" t="s">
        <v>176</v>
      </c>
      <c r="E2284" s="112">
        <v>1825.0</v>
      </c>
      <c r="F2284" s="111" t="str">
        <f>DataPull!D2284</f>
        <v/>
      </c>
      <c r="G2284" s="94" t="str">
        <f t="shared" si="2"/>
        <v/>
      </c>
      <c r="H2284" s="94" t="str">
        <f t="shared" si="3"/>
        <v/>
      </c>
      <c r="I2284" s="94" t="str">
        <f t="shared" ref="I2284:J2284" si="2285">if(G2284 = "", , -G2284)</f>
        <v/>
      </c>
      <c r="J2284" s="94" t="str">
        <f t="shared" si="2285"/>
        <v/>
      </c>
      <c r="K2284" s="100"/>
      <c r="M2284" s="100"/>
      <c r="N2284" s="100"/>
      <c r="O2284" s="100"/>
      <c r="P2284" s="100"/>
    </row>
    <row r="2285">
      <c r="A2285" s="107">
        <v>203200.0</v>
      </c>
      <c r="B2285" s="108" t="s">
        <v>243</v>
      </c>
      <c r="C2285" s="108" t="s">
        <v>642</v>
      </c>
      <c r="D2285" s="112" t="s">
        <v>176</v>
      </c>
      <c r="E2285" s="112">
        <v>2181.6</v>
      </c>
      <c r="F2285" s="111" t="str">
        <f>DataPull!D2285</f>
        <v/>
      </c>
      <c r="G2285" s="94" t="str">
        <f t="shared" si="2"/>
        <v/>
      </c>
      <c r="H2285" s="94" t="str">
        <f t="shared" si="3"/>
        <v/>
      </c>
      <c r="I2285" s="94" t="str">
        <f t="shared" ref="I2285:J2285" si="2286">if(G2285 = "", , -G2285)</f>
        <v/>
      </c>
      <c r="J2285" s="94" t="str">
        <f t="shared" si="2286"/>
        <v/>
      </c>
      <c r="K2285" s="100"/>
      <c r="M2285" s="100"/>
      <c r="N2285" s="100"/>
      <c r="O2285" s="100"/>
      <c r="P2285" s="100"/>
    </row>
    <row r="2286">
      <c r="A2286" s="107">
        <v>203200.0</v>
      </c>
      <c r="B2286" s="108" t="s">
        <v>215</v>
      </c>
      <c r="C2286" s="108" t="s">
        <v>642</v>
      </c>
      <c r="D2286" s="112" t="s">
        <v>176</v>
      </c>
      <c r="E2286" s="112">
        <v>2057.2</v>
      </c>
      <c r="F2286" s="111" t="str">
        <f>DataPull!D2286</f>
        <v/>
      </c>
      <c r="G2286" s="94" t="str">
        <f t="shared" si="2"/>
        <v/>
      </c>
      <c r="H2286" s="94" t="str">
        <f t="shared" si="3"/>
        <v/>
      </c>
      <c r="I2286" s="94" t="str">
        <f t="shared" ref="I2286:J2286" si="2287">if(G2286 = "", , -G2286)</f>
        <v/>
      </c>
      <c r="J2286" s="94" t="str">
        <f t="shared" si="2287"/>
        <v/>
      </c>
      <c r="K2286" s="100"/>
      <c r="M2286" s="100"/>
      <c r="N2286" s="100"/>
      <c r="O2286" s="100"/>
      <c r="P2286" s="100"/>
    </row>
    <row r="2287">
      <c r="A2287" s="107">
        <v>203200.0</v>
      </c>
      <c r="B2287" s="108" t="s">
        <v>244</v>
      </c>
      <c r="C2287" s="108" t="s">
        <v>642</v>
      </c>
      <c r="D2287" s="112" t="s">
        <v>177</v>
      </c>
      <c r="E2287" s="112">
        <v>708.4</v>
      </c>
      <c r="F2287" s="111" t="str">
        <f>DataPull!D2287</f>
        <v/>
      </c>
      <c r="G2287" s="94" t="str">
        <f t="shared" si="2"/>
        <v/>
      </c>
      <c r="H2287" s="94" t="str">
        <f t="shared" si="3"/>
        <v/>
      </c>
      <c r="I2287" s="94" t="str">
        <f t="shared" ref="I2287:J2287" si="2288">if(G2287 = "", , -G2287)</f>
        <v/>
      </c>
      <c r="J2287" s="94" t="str">
        <f t="shared" si="2288"/>
        <v/>
      </c>
      <c r="K2287" s="100"/>
      <c r="M2287" s="100"/>
      <c r="N2287" s="100"/>
      <c r="O2287" s="100"/>
      <c r="P2287" s="100"/>
    </row>
    <row r="2288">
      <c r="A2288" s="107">
        <v>203200.0</v>
      </c>
      <c r="B2288" s="108" t="s">
        <v>245</v>
      </c>
      <c r="C2288" s="108" t="s">
        <v>642</v>
      </c>
      <c r="D2288" s="112" t="s">
        <v>187</v>
      </c>
      <c r="E2288" s="112">
        <v>864.2</v>
      </c>
      <c r="F2288" s="111" t="str">
        <f>DataPull!D2288</f>
        <v/>
      </c>
      <c r="G2288" s="94" t="str">
        <f t="shared" si="2"/>
        <v/>
      </c>
      <c r="H2288" s="94" t="str">
        <f t="shared" si="3"/>
        <v/>
      </c>
      <c r="I2288" s="94" t="str">
        <f t="shared" ref="I2288:J2288" si="2289">if(G2288 = "", , -G2288)</f>
        <v/>
      </c>
      <c r="J2288" s="94" t="str">
        <f t="shared" si="2289"/>
        <v/>
      </c>
      <c r="K2288" s="100"/>
      <c r="M2288" s="100"/>
      <c r="N2288" s="100"/>
      <c r="O2288" s="100"/>
      <c r="P2288" s="100"/>
    </row>
    <row r="2289">
      <c r="A2289" s="107">
        <v>203210.0</v>
      </c>
      <c r="B2289" s="108" t="s">
        <v>90</v>
      </c>
      <c r="C2289" s="108" t="s">
        <v>643</v>
      </c>
      <c r="D2289" s="112" t="s">
        <v>187</v>
      </c>
      <c r="E2289" s="112">
        <v>163.2</v>
      </c>
      <c r="F2289" s="111" t="str">
        <f>DataPull!D2289</f>
        <v/>
      </c>
      <c r="G2289" s="94" t="str">
        <f t="shared" si="2"/>
        <v/>
      </c>
      <c r="H2289" s="94" t="str">
        <f t="shared" si="3"/>
        <v/>
      </c>
      <c r="I2289" s="94" t="str">
        <f t="shared" ref="I2289:J2289" si="2290">if(G2289 = "", , -G2289)</f>
        <v/>
      </c>
      <c r="J2289" s="94" t="str">
        <f t="shared" si="2290"/>
        <v/>
      </c>
      <c r="K2289" s="100"/>
      <c r="M2289" s="100"/>
      <c r="N2289" s="100"/>
      <c r="O2289" s="100"/>
      <c r="P2289" s="100"/>
    </row>
    <row r="2290">
      <c r="A2290" s="107">
        <v>203210.0</v>
      </c>
      <c r="B2290" s="108" t="s">
        <v>92</v>
      </c>
      <c r="C2290" s="108" t="s">
        <v>643</v>
      </c>
      <c r="D2290" s="112" t="s">
        <v>177</v>
      </c>
      <c r="E2290" s="112">
        <v>1443.0</v>
      </c>
      <c r="F2290" s="111" t="str">
        <f>DataPull!D2290</f>
        <v/>
      </c>
      <c r="G2290" s="94" t="str">
        <f t="shared" si="2"/>
        <v/>
      </c>
      <c r="H2290" s="94" t="str">
        <f t="shared" si="3"/>
        <v/>
      </c>
      <c r="I2290" s="94" t="str">
        <f t="shared" ref="I2290:J2290" si="2291">if(G2290 = "", , -G2290)</f>
        <v/>
      </c>
      <c r="J2290" s="94" t="str">
        <f t="shared" si="2291"/>
        <v/>
      </c>
      <c r="K2290" s="100"/>
      <c r="L2290" s="100"/>
      <c r="M2290" s="100"/>
      <c r="N2290" s="100"/>
      <c r="O2290" s="100"/>
      <c r="P2290" s="100"/>
    </row>
    <row r="2291">
      <c r="A2291" s="107">
        <v>203210.0</v>
      </c>
      <c r="B2291" s="108" t="s">
        <v>190</v>
      </c>
      <c r="C2291" s="108" t="s">
        <v>643</v>
      </c>
      <c r="D2291" s="112" t="s">
        <v>178</v>
      </c>
      <c r="E2291" s="112">
        <v>2102.1</v>
      </c>
      <c r="F2291" s="111" t="str">
        <f>DataPull!D2291</f>
        <v/>
      </c>
      <c r="G2291" s="94" t="str">
        <f t="shared" si="2"/>
        <v/>
      </c>
      <c r="H2291" s="94" t="str">
        <f t="shared" si="3"/>
        <v/>
      </c>
      <c r="I2291" s="94" t="str">
        <f t="shared" ref="I2291:J2291" si="2292">if(G2291 = "", , -G2291)</f>
        <v/>
      </c>
      <c r="J2291" s="94" t="str">
        <f t="shared" si="2292"/>
        <v/>
      </c>
      <c r="K2291" s="100"/>
      <c r="L2291" s="100"/>
      <c r="M2291" s="100"/>
      <c r="N2291" s="100"/>
      <c r="O2291" s="100"/>
      <c r="P2291" s="100"/>
    </row>
    <row r="2292">
      <c r="A2292" s="107">
        <v>203210.0</v>
      </c>
      <c r="B2292" s="108" t="s">
        <v>191</v>
      </c>
      <c r="C2292" s="108" t="s">
        <v>643</v>
      </c>
      <c r="D2292" s="112" t="s">
        <v>178</v>
      </c>
      <c r="E2292" s="112">
        <v>1540.0</v>
      </c>
      <c r="F2292" s="111" t="str">
        <f>DataPull!D2292</f>
        <v/>
      </c>
      <c r="G2292" s="94" t="str">
        <f t="shared" si="2"/>
        <v/>
      </c>
      <c r="H2292" s="94" t="str">
        <f t="shared" si="3"/>
        <v/>
      </c>
      <c r="I2292" s="94" t="str">
        <f t="shared" ref="I2292:J2292" si="2293">if(G2292 = "", , -G2292)</f>
        <v/>
      </c>
      <c r="J2292" s="94" t="str">
        <f t="shared" si="2293"/>
        <v/>
      </c>
      <c r="K2292" s="100"/>
      <c r="M2292" s="100"/>
      <c r="N2292" s="100"/>
      <c r="O2292" s="100"/>
      <c r="P2292" s="100"/>
    </row>
    <row r="2293">
      <c r="A2293" s="107">
        <v>203210.0</v>
      </c>
      <c r="B2293" s="108" t="s">
        <v>192</v>
      </c>
      <c r="C2293" s="108" t="s">
        <v>643</v>
      </c>
      <c r="D2293" s="112" t="s">
        <v>176</v>
      </c>
      <c r="E2293" s="112">
        <v>1371.5</v>
      </c>
      <c r="F2293" s="111" t="str">
        <f>DataPull!D2293</f>
        <v/>
      </c>
      <c r="G2293" s="94" t="str">
        <f t="shared" si="2"/>
        <v/>
      </c>
      <c r="H2293" s="94" t="str">
        <f t="shared" si="3"/>
        <v/>
      </c>
      <c r="I2293" s="94" t="str">
        <f t="shared" ref="I2293:J2293" si="2294">if(G2293 = "", , -G2293)</f>
        <v/>
      </c>
      <c r="J2293" s="94" t="str">
        <f t="shared" si="2294"/>
        <v/>
      </c>
      <c r="K2293" s="100"/>
      <c r="L2293" s="100"/>
      <c r="N2293" s="100"/>
      <c r="O2293" s="100"/>
      <c r="P2293" s="100"/>
    </row>
    <row r="2294">
      <c r="A2294" s="107">
        <v>203210.0</v>
      </c>
      <c r="B2294" s="108" t="s">
        <v>193</v>
      </c>
      <c r="C2294" s="108" t="s">
        <v>643</v>
      </c>
      <c r="D2294" s="112" t="s">
        <v>176</v>
      </c>
      <c r="E2294" s="112">
        <v>1304.1</v>
      </c>
      <c r="F2294" s="111" t="str">
        <f>DataPull!D2294</f>
        <v/>
      </c>
      <c r="G2294" s="94" t="str">
        <f t="shared" si="2"/>
        <v/>
      </c>
      <c r="H2294" s="94" t="str">
        <f t="shared" si="3"/>
        <v/>
      </c>
      <c r="I2294" s="94" t="str">
        <f t="shared" ref="I2294:J2294" si="2295">if(G2294 = "", , -G2294)</f>
        <v/>
      </c>
      <c r="J2294" s="94" t="str">
        <f t="shared" si="2295"/>
        <v/>
      </c>
      <c r="K2294" s="100"/>
      <c r="M2294" s="100"/>
      <c r="N2294" s="100"/>
      <c r="O2294" s="100"/>
      <c r="P2294" s="100"/>
    </row>
    <row r="2295">
      <c r="A2295" s="107">
        <v>203210.0</v>
      </c>
      <c r="B2295" s="108" t="s">
        <v>243</v>
      </c>
      <c r="C2295" s="108" t="s">
        <v>643</v>
      </c>
      <c r="D2295" s="112" t="s">
        <v>177</v>
      </c>
      <c r="E2295" s="112">
        <v>1119.4</v>
      </c>
      <c r="F2295" s="111" t="str">
        <f>DataPull!D2295</f>
        <v/>
      </c>
      <c r="G2295" s="94" t="str">
        <f t="shared" si="2"/>
        <v/>
      </c>
      <c r="H2295" s="94" t="str">
        <f t="shared" si="3"/>
        <v/>
      </c>
      <c r="I2295" s="94" t="str">
        <f t="shared" ref="I2295:J2295" si="2296">if(G2295 = "", , -G2295)</f>
        <v/>
      </c>
      <c r="J2295" s="94" t="str">
        <f t="shared" si="2296"/>
        <v/>
      </c>
      <c r="K2295" s="100"/>
      <c r="M2295" s="100"/>
      <c r="N2295" s="100"/>
      <c r="O2295" s="100"/>
      <c r="P2295" s="100"/>
    </row>
    <row r="2296">
      <c r="A2296" s="107">
        <v>203210.0</v>
      </c>
      <c r="B2296" s="108" t="s">
        <v>215</v>
      </c>
      <c r="C2296" s="108" t="s">
        <v>643</v>
      </c>
      <c r="D2296" s="112" t="s">
        <v>177</v>
      </c>
      <c r="E2296" s="112">
        <v>1085.4</v>
      </c>
      <c r="F2296" s="111" t="str">
        <f>DataPull!D2296</f>
        <v/>
      </c>
      <c r="G2296" s="94" t="str">
        <f t="shared" si="2"/>
        <v/>
      </c>
      <c r="H2296" s="94" t="str">
        <f t="shared" si="3"/>
        <v/>
      </c>
      <c r="I2296" s="94" t="str">
        <f t="shared" ref="I2296:J2296" si="2297">if(G2296 = "", , -G2296)</f>
        <v/>
      </c>
      <c r="J2296" s="94" t="str">
        <f t="shared" si="2297"/>
        <v/>
      </c>
      <c r="K2296" s="100"/>
      <c r="M2296" s="100"/>
      <c r="N2296" s="100"/>
      <c r="O2296" s="100"/>
      <c r="P2296" s="100"/>
    </row>
    <row r="2297">
      <c r="A2297" s="107">
        <v>203210.0</v>
      </c>
      <c r="B2297" s="108" t="s">
        <v>244</v>
      </c>
      <c r="C2297" s="108" t="s">
        <v>643</v>
      </c>
      <c r="D2297" s="112" t="s">
        <v>177</v>
      </c>
      <c r="E2297" s="112">
        <v>798.0</v>
      </c>
      <c r="F2297" s="111" t="str">
        <f>DataPull!D2297</f>
        <v/>
      </c>
      <c r="G2297" s="94" t="str">
        <f t="shared" si="2"/>
        <v/>
      </c>
      <c r="H2297" s="94" t="str">
        <f t="shared" si="3"/>
        <v/>
      </c>
      <c r="I2297" s="94" t="str">
        <f t="shared" ref="I2297:J2297" si="2298">if(G2297 = "", , -G2297)</f>
        <v/>
      </c>
      <c r="J2297" s="94" t="str">
        <f t="shared" si="2298"/>
        <v/>
      </c>
      <c r="K2297" s="100"/>
      <c r="M2297" s="100"/>
      <c r="N2297" s="100"/>
      <c r="O2297" s="100"/>
      <c r="P2297" s="100"/>
    </row>
    <row r="2298">
      <c r="A2298" s="107">
        <v>203263.0</v>
      </c>
      <c r="B2298" s="108" t="s">
        <v>85</v>
      </c>
      <c r="C2298" s="108" t="s">
        <v>644</v>
      </c>
      <c r="D2298" s="112" t="s">
        <v>187</v>
      </c>
      <c r="E2298" s="112">
        <v>165.1</v>
      </c>
      <c r="F2298" s="111" t="str">
        <f>DataPull!D2298</f>
        <v/>
      </c>
      <c r="G2298" s="94" t="str">
        <f t="shared" si="2"/>
        <v/>
      </c>
      <c r="H2298" s="94" t="str">
        <f t="shared" si="3"/>
        <v/>
      </c>
      <c r="I2298" s="94" t="str">
        <f t="shared" ref="I2298:J2298" si="2299">if(G2298 = "", , -G2298)</f>
        <v/>
      </c>
      <c r="J2298" s="94" t="str">
        <f t="shared" si="2299"/>
        <v/>
      </c>
      <c r="K2298" s="100"/>
      <c r="M2298" s="100"/>
      <c r="N2298" s="100"/>
      <c r="O2298" s="100"/>
      <c r="P2298" s="100"/>
    </row>
    <row r="2299">
      <c r="A2299" s="107">
        <v>203263.0</v>
      </c>
      <c r="B2299" s="108" t="s">
        <v>192</v>
      </c>
      <c r="C2299" s="108" t="s">
        <v>644</v>
      </c>
      <c r="D2299" s="112" t="s">
        <v>187</v>
      </c>
      <c r="E2299" s="112">
        <v>102.0</v>
      </c>
      <c r="F2299" s="111" t="str">
        <f>DataPull!D2299</f>
        <v/>
      </c>
      <c r="G2299" s="94" t="str">
        <f t="shared" si="2"/>
        <v/>
      </c>
      <c r="H2299" s="94" t="str">
        <f t="shared" si="3"/>
        <v/>
      </c>
      <c r="I2299" s="94" t="str">
        <f t="shared" ref="I2299:J2299" si="2300">if(G2299 = "", , -G2299)</f>
        <v/>
      </c>
      <c r="J2299" s="94" t="str">
        <f t="shared" si="2300"/>
        <v/>
      </c>
      <c r="K2299" s="100"/>
      <c r="M2299" s="100"/>
      <c r="N2299" s="100"/>
      <c r="O2299" s="100"/>
      <c r="P2299" s="100"/>
    </row>
    <row r="2300">
      <c r="A2300" s="107">
        <v>203263.0</v>
      </c>
      <c r="B2300" s="108" t="s">
        <v>243</v>
      </c>
      <c r="C2300" s="108" t="s">
        <v>644</v>
      </c>
      <c r="D2300" s="112" t="s">
        <v>187</v>
      </c>
      <c r="E2300" s="112">
        <v>47.7</v>
      </c>
      <c r="F2300" s="111" t="str">
        <f>DataPull!D2300</f>
        <v/>
      </c>
      <c r="G2300" s="94" t="str">
        <f t="shared" si="2"/>
        <v/>
      </c>
      <c r="H2300" s="94" t="str">
        <f t="shared" si="3"/>
        <v/>
      </c>
      <c r="I2300" s="94" t="str">
        <f t="shared" ref="I2300:J2300" si="2301">if(G2300 = "", , -G2300)</f>
        <v/>
      </c>
      <c r="J2300" s="94" t="str">
        <f t="shared" si="2301"/>
        <v/>
      </c>
      <c r="K2300" s="100"/>
      <c r="M2300" s="100"/>
      <c r="N2300" s="100"/>
      <c r="O2300" s="100"/>
      <c r="P2300" s="100"/>
    </row>
    <row r="2301">
      <c r="A2301" s="107">
        <v>203268.0</v>
      </c>
      <c r="B2301" s="108" t="s">
        <v>85</v>
      </c>
      <c r="C2301" s="108" t="s">
        <v>645</v>
      </c>
      <c r="D2301" s="112" t="s">
        <v>187</v>
      </c>
      <c r="E2301" s="112">
        <v>244.5</v>
      </c>
      <c r="F2301" s="111" t="str">
        <f>DataPull!D2301</f>
        <v/>
      </c>
      <c r="G2301" s="94" t="str">
        <f t="shared" si="2"/>
        <v/>
      </c>
      <c r="H2301" s="94" t="str">
        <f t="shared" si="3"/>
        <v/>
      </c>
      <c r="I2301" s="94" t="str">
        <f t="shared" ref="I2301:J2301" si="2302">if(G2301 = "", , -G2301)</f>
        <v/>
      </c>
      <c r="J2301" s="94" t="str">
        <f t="shared" si="2302"/>
        <v/>
      </c>
      <c r="K2301" s="100"/>
      <c r="L2301" s="100"/>
      <c r="M2301" s="100"/>
      <c r="N2301" s="100"/>
      <c r="O2301" s="100"/>
    </row>
    <row r="2302">
      <c r="A2302" s="107">
        <v>203268.0</v>
      </c>
      <c r="B2302" s="108" t="s">
        <v>90</v>
      </c>
      <c r="C2302" s="108" t="s">
        <v>645</v>
      </c>
      <c r="D2302" s="112" t="s">
        <v>187</v>
      </c>
      <c r="E2302" s="112">
        <v>174.0</v>
      </c>
      <c r="F2302" s="111" t="str">
        <f>DataPull!D2302</f>
        <v/>
      </c>
      <c r="G2302" s="94" t="str">
        <f t="shared" si="2"/>
        <v/>
      </c>
      <c r="H2302" s="94" t="str">
        <f t="shared" si="3"/>
        <v/>
      </c>
      <c r="I2302" s="94" t="str">
        <f t="shared" ref="I2302:J2302" si="2303">if(G2302 = "", , -G2302)</f>
        <v/>
      </c>
      <c r="J2302" s="94" t="str">
        <f t="shared" si="2303"/>
        <v/>
      </c>
      <c r="K2302" s="100"/>
      <c r="M2302" s="100"/>
      <c r="N2302" s="100"/>
      <c r="O2302" s="100"/>
      <c r="P2302" s="100"/>
    </row>
    <row r="2303">
      <c r="A2303" s="107">
        <v>203268.0</v>
      </c>
      <c r="B2303" s="108" t="s">
        <v>92</v>
      </c>
      <c r="C2303" s="108" t="s">
        <v>645</v>
      </c>
      <c r="D2303" s="112" t="s">
        <v>187</v>
      </c>
      <c r="E2303" s="112">
        <v>63.6</v>
      </c>
      <c r="F2303" s="111" t="str">
        <f>DataPull!D2303</f>
        <v/>
      </c>
      <c r="G2303" s="94" t="str">
        <f t="shared" si="2"/>
        <v/>
      </c>
      <c r="H2303" s="94" t="str">
        <f t="shared" si="3"/>
        <v/>
      </c>
      <c r="I2303" s="94" t="str">
        <f t="shared" ref="I2303:J2303" si="2304">if(G2303 = "", , -G2303)</f>
        <v/>
      </c>
      <c r="J2303" s="94" t="str">
        <f t="shared" si="2304"/>
        <v/>
      </c>
      <c r="K2303" s="100"/>
      <c r="M2303" s="100"/>
      <c r="N2303" s="100"/>
      <c r="O2303" s="100"/>
      <c r="P2303" s="100"/>
    </row>
    <row r="2304">
      <c r="A2304" s="107">
        <v>203315.0</v>
      </c>
      <c r="B2304" s="108" t="s">
        <v>85</v>
      </c>
      <c r="C2304" s="108" t="s">
        <v>646</v>
      </c>
      <c r="D2304" s="112" t="s">
        <v>187</v>
      </c>
      <c r="E2304" s="112">
        <v>372.3</v>
      </c>
      <c r="F2304" s="111" t="str">
        <f>DataPull!D2304</f>
        <v/>
      </c>
      <c r="G2304" s="94" t="str">
        <f t="shared" si="2"/>
        <v/>
      </c>
      <c r="H2304" s="94" t="str">
        <f t="shared" si="3"/>
        <v/>
      </c>
      <c r="I2304" s="94" t="str">
        <f t="shared" ref="I2304:J2304" si="2305">if(G2304 = "", , -G2304)</f>
        <v/>
      </c>
      <c r="J2304" s="94" t="str">
        <f t="shared" si="2305"/>
        <v/>
      </c>
      <c r="K2304" s="100"/>
      <c r="M2304" s="100"/>
      <c r="N2304" s="100"/>
      <c r="O2304" s="100"/>
      <c r="P2304" s="100"/>
    </row>
    <row r="2305">
      <c r="A2305" s="107">
        <v>203315.0</v>
      </c>
      <c r="B2305" s="108" t="s">
        <v>90</v>
      </c>
      <c r="C2305" s="108" t="s">
        <v>646</v>
      </c>
      <c r="D2305" s="112" t="s">
        <v>181</v>
      </c>
      <c r="E2305" s="112">
        <v>18.0</v>
      </c>
      <c r="F2305" s="111" t="str">
        <f>DataPull!D2305</f>
        <v/>
      </c>
      <c r="G2305" s="94" t="str">
        <f t="shared" si="2"/>
        <v/>
      </c>
      <c r="H2305" s="94" t="str">
        <f t="shared" si="3"/>
        <v/>
      </c>
      <c r="I2305" s="94" t="str">
        <f t="shared" ref="I2305:J2305" si="2306">if(G2305 = "", , -G2305)</f>
        <v/>
      </c>
      <c r="J2305" s="94" t="str">
        <f t="shared" si="2306"/>
        <v/>
      </c>
      <c r="K2305" s="100"/>
      <c r="M2305" s="100"/>
      <c r="N2305" s="100"/>
      <c r="O2305" s="100"/>
      <c r="P2305" s="100"/>
    </row>
    <row r="2306">
      <c r="A2306" s="107">
        <v>203318.0</v>
      </c>
      <c r="B2306" s="108" t="s">
        <v>85</v>
      </c>
      <c r="C2306" s="108" t="s">
        <v>647</v>
      </c>
      <c r="D2306" s="112" t="s">
        <v>187</v>
      </c>
      <c r="E2306" s="112">
        <v>108.9</v>
      </c>
      <c r="F2306" s="111" t="str">
        <f>DataPull!D2306</f>
        <v/>
      </c>
      <c r="G2306" s="94" t="str">
        <f t="shared" si="2"/>
        <v/>
      </c>
      <c r="H2306" s="94" t="str">
        <f t="shared" si="3"/>
        <v/>
      </c>
      <c r="I2306" s="94" t="str">
        <f t="shared" ref="I2306:J2306" si="2307">if(G2306 = "", , -G2306)</f>
        <v/>
      </c>
      <c r="J2306" s="94" t="str">
        <f t="shared" si="2307"/>
        <v/>
      </c>
      <c r="K2306" s="100"/>
      <c r="M2306" s="100"/>
      <c r="N2306" s="100"/>
      <c r="O2306" s="100"/>
      <c r="P2306" s="100"/>
    </row>
    <row r="2307">
      <c r="A2307" s="107">
        <v>203318.0</v>
      </c>
      <c r="B2307" s="108" t="s">
        <v>90</v>
      </c>
      <c r="C2307" s="108" t="s">
        <v>647</v>
      </c>
      <c r="D2307" s="112" t="s">
        <v>181</v>
      </c>
      <c r="E2307" s="112">
        <v>42.5</v>
      </c>
      <c r="F2307" s="111" t="str">
        <f>DataPull!D2307</f>
        <v/>
      </c>
      <c r="G2307" s="94" t="str">
        <f t="shared" si="2"/>
        <v/>
      </c>
      <c r="H2307" s="94" t="str">
        <f t="shared" si="3"/>
        <v/>
      </c>
      <c r="I2307" s="94" t="str">
        <f t="shared" ref="I2307:J2307" si="2308">if(G2307 = "", , -G2307)</f>
        <v/>
      </c>
      <c r="J2307" s="94" t="str">
        <f t="shared" si="2308"/>
        <v/>
      </c>
      <c r="K2307" s="100"/>
      <c r="M2307" s="100"/>
      <c r="N2307" s="100"/>
      <c r="O2307" s="100"/>
      <c r="P2307" s="100"/>
    </row>
    <row r="2308">
      <c r="A2308" s="107">
        <v>203382.0</v>
      </c>
      <c r="B2308" s="108" t="s">
        <v>85</v>
      </c>
      <c r="C2308" s="108" t="s">
        <v>648</v>
      </c>
      <c r="D2308" s="112" t="s">
        <v>187</v>
      </c>
      <c r="E2308" s="112">
        <v>492.9</v>
      </c>
      <c r="F2308" s="111" t="str">
        <f>DataPull!D2308</f>
        <v/>
      </c>
      <c r="G2308" s="94" t="str">
        <f t="shared" si="2"/>
        <v/>
      </c>
      <c r="H2308" s="94" t="str">
        <f t="shared" si="3"/>
        <v/>
      </c>
      <c r="I2308" s="94" t="str">
        <f t="shared" ref="I2308:J2308" si="2309">if(G2308 = "", , -G2308)</f>
        <v/>
      </c>
      <c r="J2308" s="94" t="str">
        <f t="shared" si="2309"/>
        <v/>
      </c>
      <c r="K2308" s="100"/>
      <c r="M2308" s="100"/>
      <c r="N2308" s="100"/>
      <c r="O2308" s="100"/>
      <c r="P2308" s="100"/>
    </row>
    <row r="2309">
      <c r="A2309" s="107">
        <v>203382.0</v>
      </c>
      <c r="B2309" s="108" t="s">
        <v>90</v>
      </c>
      <c r="C2309" s="108" t="s">
        <v>648</v>
      </c>
      <c r="D2309" s="112" t="s">
        <v>177</v>
      </c>
      <c r="E2309" s="112">
        <v>1120.0</v>
      </c>
      <c r="F2309" s="111" t="str">
        <f>DataPull!D2309</f>
        <v/>
      </c>
      <c r="G2309" s="94" t="str">
        <f t="shared" si="2"/>
        <v/>
      </c>
      <c r="H2309" s="94" t="str">
        <f t="shared" si="3"/>
        <v/>
      </c>
      <c r="I2309" s="94" t="str">
        <f t="shared" ref="I2309:J2309" si="2310">if(G2309 = "", , -G2309)</f>
        <v/>
      </c>
      <c r="J2309" s="94" t="str">
        <f t="shared" si="2310"/>
        <v/>
      </c>
      <c r="K2309" s="100"/>
      <c r="M2309" s="100"/>
      <c r="O2309" s="100"/>
      <c r="P2309" s="100"/>
    </row>
    <row r="2310">
      <c r="A2310" s="107">
        <v>203382.0</v>
      </c>
      <c r="B2310" s="108" t="s">
        <v>92</v>
      </c>
      <c r="C2310" s="108" t="s">
        <v>648</v>
      </c>
      <c r="D2310" s="112" t="s">
        <v>177</v>
      </c>
      <c r="E2310" s="112">
        <v>1231.2</v>
      </c>
      <c r="F2310" s="111" t="str">
        <f>DataPull!D2310</f>
        <v/>
      </c>
      <c r="G2310" s="94" t="str">
        <f t="shared" si="2"/>
        <v/>
      </c>
      <c r="H2310" s="94" t="str">
        <f t="shared" si="3"/>
        <v/>
      </c>
      <c r="I2310" s="94" t="str">
        <f t="shared" ref="I2310:J2310" si="2311">if(G2310 = "", , -G2310)</f>
        <v/>
      </c>
      <c r="J2310" s="94" t="str">
        <f t="shared" si="2311"/>
        <v/>
      </c>
      <c r="K2310" s="100"/>
      <c r="M2310" s="100"/>
      <c r="N2310" s="100"/>
      <c r="O2310" s="100"/>
      <c r="P2310" s="100"/>
    </row>
    <row r="2311">
      <c r="A2311" s="107">
        <v>203382.0</v>
      </c>
      <c r="B2311" s="108" t="s">
        <v>190</v>
      </c>
      <c r="C2311" s="108" t="s">
        <v>648</v>
      </c>
      <c r="D2311" s="112" t="s">
        <v>177</v>
      </c>
      <c r="E2311" s="112">
        <v>1162.5</v>
      </c>
      <c r="F2311" s="111" t="str">
        <f>DataPull!D2311</f>
        <v/>
      </c>
      <c r="G2311" s="94" t="str">
        <f t="shared" si="2"/>
        <v/>
      </c>
      <c r="H2311" s="94" t="str">
        <f t="shared" si="3"/>
        <v/>
      </c>
      <c r="I2311" s="94" t="str">
        <f t="shared" ref="I2311:J2311" si="2312">if(G2311 = "", , -G2311)</f>
        <v/>
      </c>
      <c r="J2311" s="94" t="str">
        <f t="shared" si="2312"/>
        <v/>
      </c>
      <c r="K2311" s="100"/>
      <c r="M2311" s="100"/>
      <c r="N2311" s="100"/>
      <c r="O2311" s="100"/>
      <c r="P2311" s="100"/>
    </row>
    <row r="2312">
      <c r="A2312" s="107">
        <v>203382.0</v>
      </c>
      <c r="B2312" s="108" t="s">
        <v>191</v>
      </c>
      <c r="C2312" s="108" t="s">
        <v>648</v>
      </c>
      <c r="D2312" s="112" t="s">
        <v>177</v>
      </c>
      <c r="E2312" s="112">
        <v>1482.3</v>
      </c>
      <c r="F2312" s="111" t="str">
        <f>DataPull!D2312</f>
        <v/>
      </c>
      <c r="G2312" s="94" t="str">
        <f t="shared" si="2"/>
        <v/>
      </c>
      <c r="H2312" s="94" t="str">
        <f t="shared" si="3"/>
        <v/>
      </c>
      <c r="I2312" s="94" t="str">
        <f t="shared" ref="I2312:J2312" si="2313">if(G2312 = "", , -G2312)</f>
        <v/>
      </c>
      <c r="J2312" s="94" t="str">
        <f t="shared" si="2313"/>
        <v/>
      </c>
      <c r="K2312" s="100"/>
      <c r="M2312" s="100"/>
      <c r="N2312" s="100"/>
      <c r="O2312" s="100"/>
      <c r="P2312" s="100"/>
    </row>
    <row r="2313">
      <c r="A2313" s="107">
        <v>203382.0</v>
      </c>
      <c r="B2313" s="108" t="s">
        <v>192</v>
      </c>
      <c r="C2313" s="108" t="s">
        <v>648</v>
      </c>
      <c r="D2313" s="112" t="s">
        <v>177</v>
      </c>
      <c r="E2313" s="112">
        <v>821.1</v>
      </c>
      <c r="F2313" s="111" t="str">
        <f>DataPull!D2313</f>
        <v/>
      </c>
      <c r="G2313" s="94" t="str">
        <f t="shared" si="2"/>
        <v/>
      </c>
      <c r="H2313" s="94" t="str">
        <f t="shared" si="3"/>
        <v/>
      </c>
      <c r="I2313" s="94" t="str">
        <f t="shared" ref="I2313:J2313" si="2314">if(G2313 = "", , -G2313)</f>
        <v/>
      </c>
      <c r="J2313" s="94" t="str">
        <f t="shared" si="2314"/>
        <v/>
      </c>
      <c r="K2313" s="100"/>
      <c r="M2313" s="100"/>
      <c r="N2313" s="100"/>
      <c r="O2313" s="100"/>
      <c r="P2313" s="100"/>
    </row>
    <row r="2314">
      <c r="A2314" s="107">
        <v>203382.0</v>
      </c>
      <c r="B2314" s="108" t="s">
        <v>193</v>
      </c>
      <c r="C2314" s="108" t="s">
        <v>648</v>
      </c>
      <c r="D2314" s="112" t="s">
        <v>176</v>
      </c>
      <c r="E2314" s="112">
        <v>932.4</v>
      </c>
      <c r="F2314" s="111" t="str">
        <f>DataPull!D2314</f>
        <v/>
      </c>
      <c r="G2314" s="94" t="str">
        <f t="shared" si="2"/>
        <v/>
      </c>
      <c r="H2314" s="94" t="str">
        <f t="shared" si="3"/>
        <v/>
      </c>
      <c r="I2314" s="94" t="str">
        <f t="shared" ref="I2314:J2314" si="2315">if(G2314 = "", , -G2314)</f>
        <v/>
      </c>
      <c r="J2314" s="94" t="str">
        <f t="shared" si="2315"/>
        <v/>
      </c>
      <c r="K2314" s="100"/>
      <c r="M2314" s="100"/>
      <c r="N2314" s="100"/>
      <c r="O2314" s="100"/>
      <c r="P2314" s="100"/>
    </row>
    <row r="2315">
      <c r="A2315" s="107">
        <v>203382.0</v>
      </c>
      <c r="B2315" s="108" t="s">
        <v>243</v>
      </c>
      <c r="C2315" s="108" t="s">
        <v>648</v>
      </c>
      <c r="D2315" s="112" t="s">
        <v>177</v>
      </c>
      <c r="E2315" s="112">
        <v>980.5</v>
      </c>
      <c r="F2315" s="111" t="str">
        <f>DataPull!D2315</f>
        <v/>
      </c>
      <c r="G2315" s="94" t="str">
        <f t="shared" si="2"/>
        <v/>
      </c>
      <c r="H2315" s="94" t="str">
        <f t="shared" si="3"/>
        <v/>
      </c>
      <c r="I2315" s="94" t="str">
        <f t="shared" ref="I2315:J2315" si="2316">if(G2315 = "", , -G2315)</f>
        <v/>
      </c>
      <c r="J2315" s="94" t="str">
        <f t="shared" si="2316"/>
        <v/>
      </c>
      <c r="K2315" s="100"/>
      <c r="M2315" s="100"/>
      <c r="N2315" s="100"/>
      <c r="O2315" s="100"/>
      <c r="P2315" s="100"/>
    </row>
    <row r="2316">
      <c r="A2316" s="107">
        <v>203457.0</v>
      </c>
      <c r="B2316" s="108" t="s">
        <v>90</v>
      </c>
      <c r="C2316" s="108" t="s">
        <v>649</v>
      </c>
      <c r="D2316" s="112" t="s">
        <v>178</v>
      </c>
      <c r="E2316" s="112">
        <v>2310.0</v>
      </c>
      <c r="F2316" s="111" t="str">
        <f>DataPull!D2316</f>
        <v/>
      </c>
      <c r="G2316" s="94" t="str">
        <f t="shared" si="2"/>
        <v/>
      </c>
      <c r="H2316" s="94" t="str">
        <f t="shared" si="3"/>
        <v/>
      </c>
      <c r="I2316" s="94" t="str">
        <f t="shared" ref="I2316:J2316" si="2317">if(G2316 = "", , -G2316)</f>
        <v/>
      </c>
      <c r="J2316" s="94" t="str">
        <f t="shared" si="2317"/>
        <v/>
      </c>
      <c r="K2316" s="100"/>
      <c r="M2316" s="100"/>
      <c r="N2316" s="100"/>
      <c r="O2316" s="100"/>
      <c r="P2316" s="100"/>
    </row>
    <row r="2317">
      <c r="A2317" s="107">
        <v>203457.0</v>
      </c>
      <c r="B2317" s="108" t="s">
        <v>92</v>
      </c>
      <c r="C2317" s="108" t="s">
        <v>649</v>
      </c>
      <c r="D2317" s="112" t="s">
        <v>178</v>
      </c>
      <c r="E2317" s="112">
        <v>1963.1</v>
      </c>
      <c r="F2317" s="111" t="str">
        <f>DataPull!D2317</f>
        <v/>
      </c>
      <c r="G2317" s="94" t="str">
        <f t="shared" si="2"/>
        <v/>
      </c>
      <c r="H2317" s="94" t="str">
        <f t="shared" si="3"/>
        <v/>
      </c>
      <c r="I2317" s="94" t="str">
        <f t="shared" ref="I2317:J2317" si="2318">if(G2317 = "", , -G2317)</f>
        <v/>
      </c>
      <c r="J2317" s="94" t="str">
        <f t="shared" si="2318"/>
        <v/>
      </c>
      <c r="K2317" s="100"/>
      <c r="M2317" s="100"/>
      <c r="N2317" s="100"/>
      <c r="O2317" s="100"/>
      <c r="P2317" s="100"/>
    </row>
    <row r="2318">
      <c r="A2318" s="107">
        <v>203457.0</v>
      </c>
      <c r="B2318" s="108" t="s">
        <v>190</v>
      </c>
      <c r="C2318" s="108" t="s">
        <v>649</v>
      </c>
      <c r="D2318" s="112" t="s">
        <v>176</v>
      </c>
      <c r="E2318" s="112">
        <v>1045.5</v>
      </c>
      <c r="F2318" s="111" t="str">
        <f>DataPull!D2318</f>
        <v/>
      </c>
      <c r="G2318" s="94" t="str">
        <f t="shared" si="2"/>
        <v/>
      </c>
      <c r="H2318" s="94" t="str">
        <f t="shared" si="3"/>
        <v/>
      </c>
      <c r="I2318" s="94" t="str">
        <f t="shared" ref="I2318:J2318" si="2319">if(G2318 = "", , -G2318)</f>
        <v/>
      </c>
      <c r="J2318" s="94" t="str">
        <f t="shared" si="2319"/>
        <v/>
      </c>
      <c r="K2318" s="100"/>
      <c r="M2318" s="100"/>
      <c r="N2318" s="100"/>
      <c r="O2318" s="100"/>
      <c r="P2318" s="100"/>
    </row>
    <row r="2319">
      <c r="A2319" s="107">
        <v>203457.0</v>
      </c>
      <c r="B2319" s="108" t="s">
        <v>191</v>
      </c>
      <c r="C2319" s="108" t="s">
        <v>649</v>
      </c>
      <c r="D2319" s="112" t="s">
        <v>177</v>
      </c>
      <c r="E2319" s="112">
        <v>471.0</v>
      </c>
      <c r="F2319" s="111" t="str">
        <f>DataPull!D2319</f>
        <v/>
      </c>
      <c r="G2319" s="94" t="str">
        <f t="shared" si="2"/>
        <v/>
      </c>
      <c r="H2319" s="94" t="str">
        <f t="shared" si="3"/>
        <v/>
      </c>
      <c r="I2319" s="94" t="str">
        <f t="shared" ref="I2319:J2319" si="2320">if(G2319 = "", , -G2319)</f>
        <v/>
      </c>
      <c r="J2319" s="94" t="str">
        <f t="shared" si="2320"/>
        <v/>
      </c>
      <c r="K2319" s="100"/>
      <c r="M2319" s="100"/>
      <c r="N2319" s="100"/>
      <c r="O2319" s="100"/>
      <c r="P2319" s="100"/>
    </row>
    <row r="2320">
      <c r="A2320" s="107">
        <v>203457.0</v>
      </c>
      <c r="B2320" s="108" t="s">
        <v>192</v>
      </c>
      <c r="C2320" s="108" t="s">
        <v>649</v>
      </c>
      <c r="D2320" s="112" t="s">
        <v>177</v>
      </c>
      <c r="E2320" s="112">
        <v>1054.9</v>
      </c>
      <c r="F2320" s="111" t="str">
        <f>DataPull!D2320</f>
        <v/>
      </c>
      <c r="G2320" s="94" t="str">
        <f t="shared" si="2"/>
        <v/>
      </c>
      <c r="H2320" s="94" t="str">
        <f t="shared" si="3"/>
        <v/>
      </c>
      <c r="I2320" s="94" t="str">
        <f t="shared" ref="I2320:J2320" si="2321">if(G2320 = "", , -G2320)</f>
        <v/>
      </c>
      <c r="J2320" s="94" t="str">
        <f t="shared" si="2321"/>
        <v/>
      </c>
      <c r="K2320" s="100"/>
      <c r="M2320" s="100"/>
      <c r="N2320" s="100"/>
      <c r="O2320" s="100"/>
      <c r="P2320" s="100"/>
    </row>
    <row r="2321">
      <c r="A2321" s="107">
        <v>203457.0</v>
      </c>
      <c r="B2321" s="108" t="s">
        <v>193</v>
      </c>
      <c r="C2321" s="108" t="s">
        <v>649</v>
      </c>
      <c r="D2321" s="112" t="s">
        <v>177</v>
      </c>
      <c r="E2321" s="112">
        <v>1128.5</v>
      </c>
      <c r="F2321" s="111" t="str">
        <f>DataPull!D2321</f>
        <v/>
      </c>
      <c r="G2321" s="94" t="str">
        <f t="shared" si="2"/>
        <v/>
      </c>
      <c r="H2321" s="94" t="str">
        <f t="shared" si="3"/>
        <v/>
      </c>
      <c r="I2321" s="94" t="str">
        <f t="shared" ref="I2321:J2321" si="2322">if(G2321 = "", , -G2321)</f>
        <v/>
      </c>
      <c r="J2321" s="94" t="str">
        <f t="shared" si="2322"/>
        <v/>
      </c>
      <c r="K2321" s="100"/>
      <c r="M2321" s="100"/>
      <c r="N2321" s="100"/>
      <c r="O2321" s="100"/>
      <c r="P2321" s="100"/>
    </row>
    <row r="2322">
      <c r="A2322" s="107">
        <v>203457.0</v>
      </c>
      <c r="B2322" s="108" t="s">
        <v>243</v>
      </c>
      <c r="C2322" s="108" t="s">
        <v>649</v>
      </c>
      <c r="D2322" s="112" t="s">
        <v>176</v>
      </c>
      <c r="E2322" s="112">
        <v>1548.8</v>
      </c>
      <c r="F2322" s="111" t="str">
        <f>DataPull!D2322</f>
        <v/>
      </c>
      <c r="G2322" s="94" t="str">
        <f t="shared" si="2"/>
        <v/>
      </c>
      <c r="H2322" s="94" t="str">
        <f t="shared" si="3"/>
        <v/>
      </c>
      <c r="I2322" s="94" t="str">
        <f t="shared" ref="I2322:J2322" si="2323">if(G2322 = "", , -G2322)</f>
        <v/>
      </c>
      <c r="J2322" s="94" t="str">
        <f t="shared" si="2323"/>
        <v/>
      </c>
      <c r="K2322" s="100"/>
      <c r="M2322" s="100"/>
      <c r="N2322" s="100"/>
      <c r="O2322" s="100"/>
      <c r="P2322" s="100"/>
    </row>
    <row r="2323">
      <c r="A2323" s="107">
        <v>203457.0</v>
      </c>
      <c r="B2323" s="108" t="s">
        <v>215</v>
      </c>
      <c r="C2323" s="108" t="s">
        <v>649</v>
      </c>
      <c r="D2323" s="112" t="s">
        <v>176</v>
      </c>
      <c r="E2323" s="112">
        <v>562.5</v>
      </c>
      <c r="F2323" s="111" t="str">
        <f>DataPull!D2323</f>
        <v/>
      </c>
      <c r="G2323" s="94" t="str">
        <f t="shared" si="2"/>
        <v/>
      </c>
      <c r="H2323" s="94" t="str">
        <f t="shared" si="3"/>
        <v/>
      </c>
      <c r="I2323" s="94" t="str">
        <f t="shared" ref="I2323:J2323" si="2324">if(G2323 = "", , -G2323)</f>
        <v/>
      </c>
      <c r="J2323" s="94" t="str">
        <f t="shared" si="2324"/>
        <v/>
      </c>
      <c r="K2323" s="100"/>
      <c r="L2323" s="100"/>
      <c r="N2323" s="100"/>
      <c r="O2323" s="100"/>
      <c r="P2323" s="100"/>
    </row>
    <row r="2324">
      <c r="A2324" s="107">
        <v>203457.0</v>
      </c>
      <c r="B2324" s="108" t="s">
        <v>244</v>
      </c>
      <c r="C2324" s="108" t="s">
        <v>649</v>
      </c>
      <c r="D2324" s="112" t="s">
        <v>187</v>
      </c>
      <c r="E2324" s="112">
        <v>195.5</v>
      </c>
      <c r="F2324" s="111" t="str">
        <f>DataPull!D2324</f>
        <v/>
      </c>
      <c r="G2324" s="94" t="str">
        <f t="shared" si="2"/>
        <v/>
      </c>
      <c r="H2324" s="94" t="str">
        <f t="shared" si="3"/>
        <v/>
      </c>
      <c r="I2324" s="94" t="str">
        <f t="shared" ref="I2324:J2324" si="2325">if(G2324 = "", , -G2324)</f>
        <v/>
      </c>
      <c r="J2324" s="94" t="str">
        <f t="shared" si="2325"/>
        <v/>
      </c>
      <c r="K2324" s="100"/>
      <c r="M2324" s="100"/>
      <c r="N2324" s="100"/>
      <c r="O2324" s="100"/>
      <c r="P2324" s="100"/>
    </row>
    <row r="2325">
      <c r="A2325" s="107">
        <v>203458.0</v>
      </c>
      <c r="B2325" s="108" t="s">
        <v>85</v>
      </c>
      <c r="C2325" s="108" t="s">
        <v>650</v>
      </c>
      <c r="D2325" s="112" t="s">
        <v>187</v>
      </c>
      <c r="E2325" s="112">
        <v>361.2</v>
      </c>
      <c r="F2325" s="111" t="str">
        <f>DataPull!D2325</f>
        <v/>
      </c>
      <c r="G2325" s="94" t="str">
        <f t="shared" si="2"/>
        <v/>
      </c>
      <c r="H2325" s="94" t="str">
        <f t="shared" si="3"/>
        <v/>
      </c>
      <c r="I2325" s="94" t="str">
        <f t="shared" ref="I2325:J2325" si="2326">if(G2325 = "", , -G2325)</f>
        <v/>
      </c>
      <c r="J2325" s="94" t="str">
        <f t="shared" si="2326"/>
        <v/>
      </c>
      <c r="K2325" s="100"/>
      <c r="L2325" s="100"/>
      <c r="N2325" s="100"/>
      <c r="O2325" s="100"/>
      <c r="P2325" s="100"/>
    </row>
    <row r="2326">
      <c r="A2326" s="107">
        <v>203458.0</v>
      </c>
      <c r="B2326" s="108" t="s">
        <v>90</v>
      </c>
      <c r="C2326" s="108" t="s">
        <v>650</v>
      </c>
      <c r="D2326" s="112" t="s">
        <v>176</v>
      </c>
      <c r="E2326" s="112">
        <v>1518.0</v>
      </c>
      <c r="F2326" s="111" t="str">
        <f>DataPull!D2326</f>
        <v/>
      </c>
      <c r="G2326" s="94" t="str">
        <f t="shared" si="2"/>
        <v/>
      </c>
      <c r="H2326" s="94" t="str">
        <f t="shared" si="3"/>
        <v/>
      </c>
      <c r="I2326" s="94" t="str">
        <f t="shared" ref="I2326:J2326" si="2327">if(G2326 = "", , -G2326)</f>
        <v/>
      </c>
      <c r="J2326" s="94" t="str">
        <f t="shared" si="2327"/>
        <v/>
      </c>
      <c r="K2326" s="100"/>
      <c r="M2326" s="100"/>
      <c r="N2326" s="100"/>
      <c r="O2326" s="100"/>
      <c r="P2326" s="100"/>
    </row>
    <row r="2327">
      <c r="A2327" s="107">
        <v>203458.0</v>
      </c>
      <c r="B2327" s="108" t="s">
        <v>92</v>
      </c>
      <c r="C2327" s="108" t="s">
        <v>650</v>
      </c>
      <c r="D2327" s="112" t="s">
        <v>176</v>
      </c>
      <c r="E2327" s="112">
        <v>1817.4</v>
      </c>
      <c r="F2327" s="111" t="str">
        <f>DataPull!D2327</f>
        <v/>
      </c>
      <c r="G2327" s="94" t="str">
        <f t="shared" si="2"/>
        <v/>
      </c>
      <c r="H2327" s="94" t="str">
        <f t="shared" si="3"/>
        <v/>
      </c>
      <c r="I2327" s="94" t="str">
        <f t="shared" ref="I2327:J2327" si="2328">if(G2327 = "", , -G2327)</f>
        <v/>
      </c>
      <c r="J2327" s="94" t="str">
        <f t="shared" si="2328"/>
        <v/>
      </c>
      <c r="K2327" s="100"/>
      <c r="L2327" s="100"/>
      <c r="N2327" s="100"/>
      <c r="O2327" s="100"/>
      <c r="P2327" s="100"/>
    </row>
    <row r="2328">
      <c r="A2328" s="107">
        <v>203458.0</v>
      </c>
      <c r="B2328" s="108" t="s">
        <v>190</v>
      </c>
      <c r="C2328" s="108" t="s">
        <v>650</v>
      </c>
      <c r="D2328" s="112" t="s">
        <v>177</v>
      </c>
      <c r="E2328" s="112">
        <v>1563.1</v>
      </c>
      <c r="F2328" s="111" t="str">
        <f>DataPull!D2328</f>
        <v/>
      </c>
      <c r="G2328" s="94" t="str">
        <f t="shared" si="2"/>
        <v/>
      </c>
      <c r="H2328" s="94" t="str">
        <f t="shared" si="3"/>
        <v/>
      </c>
      <c r="I2328" s="94" t="str">
        <f t="shared" ref="I2328:J2328" si="2329">if(G2328 = "", , -G2328)</f>
        <v/>
      </c>
      <c r="J2328" s="94" t="str">
        <f t="shared" si="2329"/>
        <v/>
      </c>
      <c r="K2328" s="100"/>
      <c r="M2328" s="100"/>
      <c r="N2328" s="100"/>
      <c r="O2328" s="100"/>
      <c r="P2328" s="100"/>
    </row>
    <row r="2329">
      <c r="A2329" s="107">
        <v>203458.0</v>
      </c>
      <c r="B2329" s="108" t="s">
        <v>191</v>
      </c>
      <c r="C2329" s="108" t="s">
        <v>650</v>
      </c>
      <c r="D2329" s="112" t="s">
        <v>177</v>
      </c>
      <c r="E2329" s="112">
        <v>1393.8</v>
      </c>
      <c r="F2329" s="111" t="str">
        <f>DataPull!D2329</f>
        <v/>
      </c>
      <c r="G2329" s="94" t="str">
        <f t="shared" si="2"/>
        <v/>
      </c>
      <c r="H2329" s="94" t="str">
        <f t="shared" si="3"/>
        <v/>
      </c>
      <c r="I2329" s="94" t="str">
        <f t="shared" ref="I2329:J2329" si="2330">if(G2329 = "", , -G2329)</f>
        <v/>
      </c>
      <c r="J2329" s="94" t="str">
        <f t="shared" si="2330"/>
        <v/>
      </c>
      <c r="K2329" s="100"/>
      <c r="L2329" s="100"/>
      <c r="N2329" s="100"/>
      <c r="O2329" s="100"/>
      <c r="P2329" s="100"/>
    </row>
    <row r="2330">
      <c r="A2330" s="107">
        <v>203458.0</v>
      </c>
      <c r="B2330" s="108" t="s">
        <v>192</v>
      </c>
      <c r="C2330" s="108" t="s">
        <v>650</v>
      </c>
      <c r="D2330" s="112" t="s">
        <v>176</v>
      </c>
      <c r="E2330" s="112">
        <v>1547.7</v>
      </c>
      <c r="F2330" s="111" t="str">
        <f>DataPull!D2330</f>
        <v/>
      </c>
      <c r="G2330" s="94" t="str">
        <f t="shared" si="2"/>
        <v/>
      </c>
      <c r="H2330" s="94" t="str">
        <f t="shared" si="3"/>
        <v/>
      </c>
      <c r="I2330" s="94" t="str">
        <f t="shared" ref="I2330:J2330" si="2331">if(G2330 = "", , -G2330)</f>
        <v/>
      </c>
      <c r="J2330" s="94" t="str">
        <f t="shared" si="2331"/>
        <v/>
      </c>
      <c r="K2330" s="100"/>
      <c r="M2330" s="100"/>
      <c r="N2330" s="100"/>
      <c r="O2330" s="100"/>
      <c r="P2330" s="100"/>
    </row>
    <row r="2331">
      <c r="A2331" s="107">
        <v>203458.0</v>
      </c>
      <c r="B2331" s="108" t="s">
        <v>193</v>
      </c>
      <c r="C2331" s="108" t="s">
        <v>650</v>
      </c>
      <c r="D2331" s="112" t="s">
        <v>177</v>
      </c>
      <c r="E2331" s="112">
        <v>968.0</v>
      </c>
      <c r="F2331" s="111" t="str">
        <f>DataPull!D2331</f>
        <v/>
      </c>
      <c r="G2331" s="94" t="str">
        <f t="shared" si="2"/>
        <v/>
      </c>
      <c r="H2331" s="94" t="str">
        <f t="shared" si="3"/>
        <v/>
      </c>
      <c r="I2331" s="94" t="str">
        <f t="shared" ref="I2331:J2331" si="2332">if(G2331 = "", , -G2331)</f>
        <v/>
      </c>
      <c r="J2331" s="94" t="str">
        <f t="shared" si="2332"/>
        <v/>
      </c>
      <c r="K2331" s="100"/>
      <c r="M2331" s="100"/>
      <c r="N2331" s="100"/>
      <c r="O2331" s="100"/>
      <c r="P2331" s="100"/>
    </row>
    <row r="2332">
      <c r="A2332" s="107">
        <v>203458.0</v>
      </c>
      <c r="B2332" s="108" t="s">
        <v>243</v>
      </c>
      <c r="C2332" s="108" t="s">
        <v>650</v>
      </c>
      <c r="D2332" s="112" t="s">
        <v>177</v>
      </c>
      <c r="E2332" s="112">
        <v>979.2</v>
      </c>
      <c r="F2332" s="111" t="str">
        <f>DataPull!D2332</f>
        <v/>
      </c>
      <c r="G2332" s="94" t="str">
        <f t="shared" si="2"/>
        <v/>
      </c>
      <c r="H2332" s="94" t="str">
        <f t="shared" si="3"/>
        <v/>
      </c>
      <c r="I2332" s="94" t="str">
        <f t="shared" ref="I2332:J2332" si="2333">if(G2332 = "", , -G2332)</f>
        <v/>
      </c>
      <c r="J2332" s="94" t="str">
        <f t="shared" si="2333"/>
        <v/>
      </c>
      <c r="K2332" s="100"/>
      <c r="M2332" s="100"/>
      <c r="N2332" s="100"/>
      <c r="O2332" s="100"/>
      <c r="P2332" s="100"/>
    </row>
    <row r="2333">
      <c r="A2333" s="107">
        <v>203458.0</v>
      </c>
      <c r="B2333" s="108" t="s">
        <v>215</v>
      </c>
      <c r="C2333" s="108" t="s">
        <v>650</v>
      </c>
      <c r="D2333" s="112" t="s">
        <v>177</v>
      </c>
      <c r="E2333" s="112">
        <v>620.1</v>
      </c>
      <c r="F2333" s="111" t="str">
        <f>DataPull!D2333</f>
        <v/>
      </c>
      <c r="G2333" s="94" t="str">
        <f t="shared" si="2"/>
        <v/>
      </c>
      <c r="H2333" s="94" t="str">
        <f t="shared" si="3"/>
        <v/>
      </c>
      <c r="I2333" s="94" t="str">
        <f t="shared" ref="I2333:J2333" si="2334">if(G2333 = "", , -G2333)</f>
        <v/>
      </c>
      <c r="J2333" s="94" t="str">
        <f t="shared" si="2334"/>
        <v/>
      </c>
      <c r="K2333" s="100"/>
      <c r="M2333" s="100"/>
      <c r="N2333" s="100"/>
      <c r="O2333" s="100"/>
      <c r="P2333" s="100"/>
    </row>
    <row r="2334">
      <c r="A2334" s="107">
        <v>203458.0</v>
      </c>
      <c r="B2334" s="108" t="s">
        <v>244</v>
      </c>
      <c r="C2334" s="108" t="s">
        <v>650</v>
      </c>
      <c r="D2334" s="112" t="s">
        <v>187</v>
      </c>
      <c r="E2334" s="112">
        <v>161.2</v>
      </c>
      <c r="F2334" s="111" t="str">
        <f>DataPull!D2334</f>
        <v/>
      </c>
      <c r="G2334" s="94" t="str">
        <f t="shared" si="2"/>
        <v/>
      </c>
      <c r="H2334" s="94" t="str">
        <f t="shared" si="3"/>
        <v/>
      </c>
      <c r="I2334" s="94" t="str">
        <f t="shared" ref="I2334:J2334" si="2335">if(G2334 = "", , -G2334)</f>
        <v/>
      </c>
      <c r="J2334" s="94" t="str">
        <f t="shared" si="2335"/>
        <v/>
      </c>
      <c r="K2334" s="100"/>
      <c r="M2334" s="100"/>
      <c r="N2334" s="100"/>
      <c r="O2334" s="100"/>
      <c r="P2334" s="100"/>
    </row>
    <row r="2335">
      <c r="A2335" s="107">
        <v>203458.0</v>
      </c>
      <c r="B2335" s="108" t="s">
        <v>245</v>
      </c>
      <c r="C2335" s="108" t="s">
        <v>650</v>
      </c>
      <c r="D2335" s="112" t="s">
        <v>187</v>
      </c>
      <c r="E2335" s="112">
        <v>446.4</v>
      </c>
      <c r="F2335" s="111" t="str">
        <f>DataPull!D2335</f>
        <v/>
      </c>
      <c r="G2335" s="94" t="str">
        <f t="shared" si="2"/>
        <v/>
      </c>
      <c r="H2335" s="94" t="str">
        <f t="shared" si="3"/>
        <v/>
      </c>
      <c r="I2335" s="94" t="str">
        <f t="shared" ref="I2335:J2335" si="2336">if(G2335 = "", , -G2335)</f>
        <v/>
      </c>
      <c r="J2335" s="94" t="str">
        <f t="shared" si="2336"/>
        <v/>
      </c>
      <c r="K2335" s="100"/>
      <c r="M2335" s="100"/>
      <c r="N2335" s="100"/>
      <c r="O2335" s="100"/>
      <c r="P2335" s="100"/>
    </row>
    <row r="2336">
      <c r="A2336" s="107">
        <v>203458.0</v>
      </c>
      <c r="B2336" s="108" t="s">
        <v>246</v>
      </c>
      <c r="C2336" s="108" t="s">
        <v>650</v>
      </c>
      <c r="D2336" s="112" t="s">
        <v>187</v>
      </c>
      <c r="E2336" s="112">
        <v>381.8</v>
      </c>
      <c r="F2336" s="111" t="str">
        <f>DataPull!D2336</f>
        <v/>
      </c>
      <c r="G2336" s="94" t="str">
        <f t="shared" si="2"/>
        <v/>
      </c>
      <c r="H2336" s="94" t="str">
        <f t="shared" si="3"/>
        <v/>
      </c>
      <c r="I2336" s="94" t="str">
        <f t="shared" ref="I2336:J2336" si="2337">if(G2336 = "", , -G2336)</f>
        <v/>
      </c>
      <c r="J2336" s="94" t="str">
        <f t="shared" si="2337"/>
        <v/>
      </c>
      <c r="K2336" s="100"/>
      <c r="M2336" s="100"/>
      <c r="N2336" s="100"/>
      <c r="O2336" s="100"/>
      <c r="P2336" s="100"/>
    </row>
    <row r="2337">
      <c r="A2337" s="107">
        <v>203459.0</v>
      </c>
      <c r="B2337" s="108" t="s">
        <v>85</v>
      </c>
      <c r="C2337" s="108" t="s">
        <v>651</v>
      </c>
      <c r="D2337" s="112" t="s">
        <v>187</v>
      </c>
      <c r="E2337" s="112">
        <v>100.5</v>
      </c>
      <c r="F2337" s="111" t="str">
        <f>DataPull!D2337</f>
        <v/>
      </c>
      <c r="G2337" s="94" t="str">
        <f t="shared" si="2"/>
        <v/>
      </c>
      <c r="H2337" s="94" t="str">
        <f t="shared" si="3"/>
        <v/>
      </c>
      <c r="I2337" s="94" t="str">
        <f t="shared" ref="I2337:J2337" si="2338">if(G2337 = "", , -G2337)</f>
        <v/>
      </c>
      <c r="J2337" s="94" t="str">
        <f t="shared" si="2338"/>
        <v/>
      </c>
      <c r="K2337" s="100"/>
      <c r="M2337" s="100"/>
      <c r="N2337" s="100"/>
      <c r="O2337" s="100"/>
      <c r="P2337" s="100"/>
    </row>
    <row r="2338">
      <c r="A2338" s="107">
        <v>203459.0</v>
      </c>
      <c r="B2338" s="108" t="s">
        <v>90</v>
      </c>
      <c r="C2338" s="108" t="s">
        <v>651</v>
      </c>
      <c r="D2338" s="112" t="s">
        <v>177</v>
      </c>
      <c r="E2338" s="112">
        <v>683.4</v>
      </c>
      <c r="F2338" s="111" t="str">
        <f>DataPull!D2338</f>
        <v/>
      </c>
      <c r="G2338" s="94" t="str">
        <f t="shared" si="2"/>
        <v/>
      </c>
      <c r="H2338" s="94" t="str">
        <f t="shared" si="3"/>
        <v/>
      </c>
      <c r="I2338" s="94" t="str">
        <f t="shared" ref="I2338:J2338" si="2339">if(G2338 = "", , -G2338)</f>
        <v/>
      </c>
      <c r="J2338" s="94" t="str">
        <f t="shared" si="2339"/>
        <v/>
      </c>
      <c r="K2338" s="100"/>
      <c r="L2338" s="100"/>
      <c r="M2338" s="100"/>
      <c r="N2338" s="100"/>
      <c r="O2338" s="100"/>
      <c r="P2338" s="100"/>
    </row>
    <row r="2339">
      <c r="A2339" s="107">
        <v>203459.0</v>
      </c>
      <c r="B2339" s="108" t="s">
        <v>92</v>
      </c>
      <c r="C2339" s="108" t="s">
        <v>651</v>
      </c>
      <c r="D2339" s="112" t="s">
        <v>178</v>
      </c>
      <c r="E2339" s="112">
        <v>2106.0</v>
      </c>
      <c r="F2339" s="111" t="str">
        <f>DataPull!D2339</f>
        <v/>
      </c>
      <c r="G2339" s="94" t="str">
        <f t="shared" si="2"/>
        <v/>
      </c>
      <c r="H2339" s="94" t="str">
        <f t="shared" si="3"/>
        <v/>
      </c>
      <c r="I2339" s="94" t="str">
        <f t="shared" ref="I2339:J2339" si="2340">if(G2339 = "", , -G2339)</f>
        <v/>
      </c>
      <c r="J2339" s="94" t="str">
        <f t="shared" si="2340"/>
        <v/>
      </c>
      <c r="K2339" s="100"/>
      <c r="M2339" s="100"/>
      <c r="N2339" s="100"/>
      <c r="O2339" s="100"/>
      <c r="P2339" s="100"/>
    </row>
    <row r="2340">
      <c r="A2340" s="107">
        <v>203459.0</v>
      </c>
      <c r="B2340" s="108" t="s">
        <v>190</v>
      </c>
      <c r="C2340" s="108" t="s">
        <v>651</v>
      </c>
      <c r="D2340" s="112" t="s">
        <v>176</v>
      </c>
      <c r="E2340" s="112">
        <v>2251.5</v>
      </c>
      <c r="F2340" s="111" t="str">
        <f>DataPull!D2340</f>
        <v/>
      </c>
      <c r="G2340" s="94" t="str">
        <f t="shared" si="2"/>
        <v/>
      </c>
      <c r="H2340" s="94" t="str">
        <f t="shared" si="3"/>
        <v/>
      </c>
      <c r="I2340" s="94" t="str">
        <f t="shared" ref="I2340:J2340" si="2341">if(G2340 = "", , -G2340)</f>
        <v/>
      </c>
      <c r="J2340" s="94" t="str">
        <f t="shared" si="2341"/>
        <v/>
      </c>
      <c r="K2340" s="100"/>
      <c r="L2340" s="100"/>
      <c r="N2340" s="100"/>
      <c r="O2340" s="100"/>
      <c r="P2340" s="100"/>
    </row>
    <row r="2341">
      <c r="A2341" s="107">
        <v>203459.0</v>
      </c>
      <c r="B2341" s="108" t="s">
        <v>191</v>
      </c>
      <c r="C2341" s="108" t="s">
        <v>651</v>
      </c>
      <c r="D2341" s="112" t="s">
        <v>178</v>
      </c>
      <c r="E2341" s="112">
        <v>2197.5</v>
      </c>
      <c r="F2341" s="111" t="str">
        <f>DataPull!D2341</f>
        <v/>
      </c>
      <c r="G2341" s="94" t="str">
        <f t="shared" si="2"/>
        <v/>
      </c>
      <c r="H2341" s="94" t="str">
        <f t="shared" si="3"/>
        <v/>
      </c>
      <c r="I2341" s="94" t="str">
        <f t="shared" ref="I2341:J2341" si="2342">if(G2341 = "", , -G2341)</f>
        <v/>
      </c>
      <c r="J2341" s="94" t="str">
        <f t="shared" si="2342"/>
        <v/>
      </c>
      <c r="K2341" s="100"/>
      <c r="L2341" s="100"/>
      <c r="N2341" s="100"/>
      <c r="O2341" s="100"/>
      <c r="P2341" s="100"/>
    </row>
    <row r="2342">
      <c r="A2342" s="107">
        <v>203459.0</v>
      </c>
      <c r="B2342" s="108" t="s">
        <v>192</v>
      </c>
      <c r="C2342" s="108" t="s">
        <v>651</v>
      </c>
      <c r="D2342" s="112" t="s">
        <v>178</v>
      </c>
      <c r="E2342" s="112">
        <v>1135.2</v>
      </c>
      <c r="F2342" s="111" t="str">
        <f>DataPull!D2342</f>
        <v/>
      </c>
      <c r="G2342" s="94" t="str">
        <f t="shared" si="2"/>
        <v/>
      </c>
      <c r="H2342" s="94" t="str">
        <f t="shared" si="3"/>
        <v/>
      </c>
      <c r="I2342" s="94" t="str">
        <f t="shared" ref="I2342:J2342" si="2343">if(G2342 = "", , -G2342)</f>
        <v/>
      </c>
      <c r="J2342" s="94" t="str">
        <f t="shared" si="2343"/>
        <v/>
      </c>
      <c r="K2342" s="100"/>
      <c r="M2342" s="100"/>
      <c r="N2342" s="100"/>
      <c r="O2342" s="100"/>
      <c r="P2342" s="100"/>
    </row>
    <row r="2343">
      <c r="A2343" s="107">
        <v>203459.0</v>
      </c>
      <c r="B2343" s="108" t="s">
        <v>193</v>
      </c>
      <c r="C2343" s="108" t="s">
        <v>651</v>
      </c>
      <c r="D2343" s="112" t="s">
        <v>177</v>
      </c>
      <c r="E2343" s="112">
        <v>651.2</v>
      </c>
      <c r="F2343" s="111" t="str">
        <f>DataPull!D2343</f>
        <v/>
      </c>
      <c r="G2343" s="94" t="str">
        <f t="shared" si="2"/>
        <v/>
      </c>
      <c r="H2343" s="94" t="str">
        <f t="shared" si="3"/>
        <v/>
      </c>
      <c r="I2343" s="94" t="str">
        <f t="shared" ref="I2343:J2343" si="2344">if(G2343 = "", , -G2343)</f>
        <v/>
      </c>
      <c r="J2343" s="94" t="str">
        <f t="shared" si="2344"/>
        <v/>
      </c>
      <c r="K2343" s="100"/>
      <c r="M2343" s="100"/>
      <c r="N2343" s="100"/>
      <c r="O2343" s="100"/>
      <c r="P2343" s="100"/>
    </row>
    <row r="2344">
      <c r="A2344" s="107">
        <v>203460.0</v>
      </c>
      <c r="B2344" s="108" t="s">
        <v>85</v>
      </c>
      <c r="C2344" s="108" t="s">
        <v>652</v>
      </c>
      <c r="D2344" s="112" t="s">
        <v>187</v>
      </c>
      <c r="E2344" s="112">
        <v>400.0</v>
      </c>
      <c r="F2344" s="111" t="str">
        <f>DataPull!D2344</f>
        <v/>
      </c>
      <c r="G2344" s="94" t="str">
        <f t="shared" si="2"/>
        <v/>
      </c>
      <c r="H2344" s="94" t="str">
        <f t="shared" si="3"/>
        <v/>
      </c>
      <c r="I2344" s="94" t="str">
        <f t="shared" ref="I2344:J2344" si="2345">if(G2344 = "", , -G2344)</f>
        <v/>
      </c>
      <c r="J2344" s="94" t="str">
        <f t="shared" si="2345"/>
        <v/>
      </c>
      <c r="K2344" s="100"/>
      <c r="M2344" s="100"/>
      <c r="N2344" s="100"/>
      <c r="O2344" s="100"/>
      <c r="P2344" s="100"/>
    </row>
    <row r="2345">
      <c r="A2345" s="107">
        <v>203460.0</v>
      </c>
      <c r="B2345" s="108" t="s">
        <v>90</v>
      </c>
      <c r="C2345" s="108" t="s">
        <v>652</v>
      </c>
      <c r="D2345" s="112" t="s">
        <v>177</v>
      </c>
      <c r="E2345" s="112">
        <v>1286.4</v>
      </c>
      <c r="F2345" s="111" t="str">
        <f>DataPull!D2345</f>
        <v/>
      </c>
      <c r="G2345" s="94" t="str">
        <f t="shared" si="2"/>
        <v/>
      </c>
      <c r="H2345" s="94" t="str">
        <f t="shared" si="3"/>
        <v/>
      </c>
      <c r="I2345" s="94" t="str">
        <f t="shared" ref="I2345:J2345" si="2346">if(G2345 = "", , -G2345)</f>
        <v/>
      </c>
      <c r="J2345" s="94" t="str">
        <f t="shared" si="2346"/>
        <v/>
      </c>
      <c r="K2345" s="100"/>
      <c r="M2345" s="100"/>
      <c r="N2345" s="100"/>
      <c r="O2345" s="100"/>
      <c r="P2345" s="100"/>
    </row>
    <row r="2346">
      <c r="A2346" s="107">
        <v>203460.0</v>
      </c>
      <c r="B2346" s="108" t="s">
        <v>92</v>
      </c>
      <c r="C2346" s="108" t="s">
        <v>652</v>
      </c>
      <c r="D2346" s="112" t="s">
        <v>176</v>
      </c>
      <c r="E2346" s="112">
        <v>1554.0</v>
      </c>
      <c r="F2346" s="111" t="str">
        <f>DataPull!D2346</f>
        <v/>
      </c>
      <c r="G2346" s="94" t="str">
        <f t="shared" si="2"/>
        <v/>
      </c>
      <c r="H2346" s="94" t="str">
        <f t="shared" si="3"/>
        <v/>
      </c>
      <c r="I2346" s="94" t="str">
        <f t="shared" ref="I2346:J2346" si="2347">if(G2346 = "", , -G2346)</f>
        <v/>
      </c>
      <c r="J2346" s="94" t="str">
        <f t="shared" si="2347"/>
        <v/>
      </c>
      <c r="K2346" s="100"/>
      <c r="M2346" s="100"/>
      <c r="N2346" s="100"/>
      <c r="O2346" s="100"/>
      <c r="P2346" s="100"/>
    </row>
    <row r="2347">
      <c r="A2347" s="107">
        <v>203460.0</v>
      </c>
      <c r="B2347" s="108" t="s">
        <v>190</v>
      </c>
      <c r="C2347" s="108" t="s">
        <v>652</v>
      </c>
      <c r="D2347" s="112" t="s">
        <v>178</v>
      </c>
      <c r="E2347" s="112">
        <v>2377.9</v>
      </c>
      <c r="F2347" s="111" t="str">
        <f>DataPull!D2347</f>
        <v/>
      </c>
      <c r="G2347" s="94" t="str">
        <f t="shared" si="2"/>
        <v/>
      </c>
      <c r="H2347" s="94" t="str">
        <f t="shared" si="3"/>
        <v/>
      </c>
      <c r="I2347" s="94" t="str">
        <f t="shared" ref="I2347:J2347" si="2348">if(G2347 = "", , -G2347)</f>
        <v/>
      </c>
      <c r="J2347" s="94" t="str">
        <f t="shared" si="2348"/>
        <v/>
      </c>
      <c r="K2347" s="100"/>
      <c r="L2347" s="100"/>
      <c r="N2347" s="100"/>
      <c r="O2347" s="100"/>
      <c r="P2347" s="100"/>
    </row>
    <row r="2348">
      <c r="A2348" s="107">
        <v>203460.0</v>
      </c>
      <c r="B2348" s="108" t="s">
        <v>191</v>
      </c>
      <c r="C2348" s="108" t="s">
        <v>652</v>
      </c>
      <c r="D2348" s="112" t="s">
        <v>176</v>
      </c>
      <c r="E2348" s="112">
        <v>1037.4</v>
      </c>
      <c r="F2348" s="111" t="str">
        <f>DataPull!D2348</f>
        <v/>
      </c>
      <c r="G2348" s="94" t="str">
        <f t="shared" si="2"/>
        <v/>
      </c>
      <c r="H2348" s="94" t="str">
        <f t="shared" si="3"/>
        <v/>
      </c>
      <c r="I2348" s="94" t="str">
        <f t="shared" ref="I2348:J2348" si="2349">if(G2348 = "", , -G2348)</f>
        <v/>
      </c>
      <c r="J2348" s="94" t="str">
        <f t="shared" si="2349"/>
        <v/>
      </c>
      <c r="K2348" s="100"/>
      <c r="L2348" s="100"/>
      <c r="M2348" s="100"/>
      <c r="N2348" s="100"/>
      <c r="O2348" s="100"/>
      <c r="P2348" s="100"/>
    </row>
    <row r="2349">
      <c r="A2349" s="107">
        <v>203460.0</v>
      </c>
      <c r="B2349" s="108" t="s">
        <v>193</v>
      </c>
      <c r="C2349" s="108" t="s">
        <v>652</v>
      </c>
      <c r="D2349" s="112" t="s">
        <v>181</v>
      </c>
      <c r="E2349" s="112">
        <v>86.8</v>
      </c>
      <c r="F2349" s="111" t="str">
        <f>DataPull!D2349</f>
        <v/>
      </c>
      <c r="G2349" s="94" t="str">
        <f t="shared" si="2"/>
        <v/>
      </c>
      <c r="H2349" s="94" t="str">
        <f t="shared" si="3"/>
        <v/>
      </c>
      <c r="I2349" s="94" t="str">
        <f t="shared" ref="I2349:J2349" si="2350">if(G2349 = "", , -G2349)</f>
        <v/>
      </c>
      <c r="J2349" s="94" t="str">
        <f t="shared" si="2350"/>
        <v/>
      </c>
      <c r="K2349" s="100"/>
      <c r="L2349" s="100"/>
      <c r="N2349" s="100"/>
      <c r="O2349" s="100"/>
      <c r="P2349" s="100"/>
    </row>
    <row r="2350">
      <c r="A2350" s="107">
        <v>203460.0</v>
      </c>
      <c r="B2350" s="108" t="s">
        <v>243</v>
      </c>
      <c r="C2350" s="108" t="s">
        <v>652</v>
      </c>
      <c r="D2350" s="112" t="s">
        <v>181</v>
      </c>
      <c r="E2350" s="112">
        <v>63.0</v>
      </c>
      <c r="F2350" s="111" t="str">
        <f>DataPull!D2350</f>
        <v/>
      </c>
      <c r="G2350" s="94" t="str">
        <f t="shared" si="2"/>
        <v/>
      </c>
      <c r="H2350" s="94" t="str">
        <f t="shared" si="3"/>
        <v/>
      </c>
      <c r="I2350" s="94" t="str">
        <f t="shared" ref="I2350:J2350" si="2351">if(G2350 = "", , -G2350)</f>
        <v/>
      </c>
      <c r="J2350" s="94" t="str">
        <f t="shared" si="2351"/>
        <v/>
      </c>
      <c r="K2350" s="100"/>
      <c r="M2350" s="100"/>
      <c r="N2350" s="100"/>
      <c r="O2350" s="100"/>
      <c r="P2350" s="100"/>
    </row>
    <row r="2351">
      <c r="A2351" s="107">
        <v>203461.0</v>
      </c>
      <c r="B2351" s="108" t="s">
        <v>85</v>
      </c>
      <c r="C2351" s="108" t="s">
        <v>653</v>
      </c>
      <c r="D2351" s="112" t="s">
        <v>177</v>
      </c>
      <c r="E2351" s="112">
        <v>660.4</v>
      </c>
      <c r="F2351" s="111" t="str">
        <f>DataPull!D2351</f>
        <v/>
      </c>
      <c r="G2351" s="94" t="str">
        <f t="shared" si="2"/>
        <v/>
      </c>
      <c r="H2351" s="94" t="str">
        <f t="shared" si="3"/>
        <v/>
      </c>
      <c r="I2351" s="94" t="str">
        <f t="shared" ref="I2351:J2351" si="2352">if(G2351 = "", , -G2351)</f>
        <v/>
      </c>
      <c r="J2351" s="94" t="str">
        <f t="shared" si="2352"/>
        <v/>
      </c>
      <c r="K2351" s="100"/>
      <c r="M2351" s="100"/>
      <c r="N2351" s="100"/>
      <c r="O2351" s="100"/>
      <c r="P2351" s="100"/>
    </row>
    <row r="2352">
      <c r="A2352" s="107">
        <v>203461.0</v>
      </c>
      <c r="B2352" s="108" t="s">
        <v>90</v>
      </c>
      <c r="C2352" s="108" t="s">
        <v>653</v>
      </c>
      <c r="D2352" s="112" t="s">
        <v>177</v>
      </c>
      <c r="E2352" s="112">
        <v>894.9</v>
      </c>
      <c r="F2352" s="111" t="str">
        <f>DataPull!D2352</f>
        <v/>
      </c>
      <c r="G2352" s="94" t="str">
        <f t="shared" si="2"/>
        <v/>
      </c>
      <c r="H2352" s="94" t="str">
        <f t="shared" si="3"/>
        <v/>
      </c>
      <c r="I2352" s="94" t="str">
        <f t="shared" ref="I2352:J2352" si="2353">if(G2352 = "", , -G2352)</f>
        <v/>
      </c>
      <c r="J2352" s="94" t="str">
        <f t="shared" si="2353"/>
        <v/>
      </c>
      <c r="K2352" s="100"/>
      <c r="M2352" s="100"/>
      <c r="N2352" s="100"/>
      <c r="O2352" s="100"/>
      <c r="P2352" s="100"/>
    </row>
    <row r="2353">
      <c r="A2353" s="107">
        <v>203461.0</v>
      </c>
      <c r="B2353" s="108" t="s">
        <v>92</v>
      </c>
      <c r="C2353" s="108" t="s">
        <v>653</v>
      </c>
      <c r="D2353" s="112" t="s">
        <v>187</v>
      </c>
      <c r="E2353" s="112">
        <v>83.6</v>
      </c>
      <c r="F2353" s="111" t="str">
        <f>DataPull!D2353</f>
        <v/>
      </c>
      <c r="G2353" s="94" t="str">
        <f t="shared" si="2"/>
        <v/>
      </c>
      <c r="H2353" s="94" t="str">
        <f t="shared" si="3"/>
        <v/>
      </c>
      <c r="I2353" s="94" t="str">
        <f t="shared" ref="I2353:J2353" si="2354">if(G2353 = "", , -G2353)</f>
        <v/>
      </c>
      <c r="J2353" s="94" t="str">
        <f t="shared" si="2354"/>
        <v/>
      </c>
      <c r="K2353" s="100"/>
      <c r="N2353" s="100"/>
      <c r="O2353" s="100"/>
      <c r="P2353" s="100"/>
    </row>
    <row r="2354">
      <c r="A2354" s="107">
        <v>203461.0</v>
      </c>
      <c r="B2354" s="108" t="s">
        <v>190</v>
      </c>
      <c r="C2354" s="108" t="s">
        <v>653</v>
      </c>
      <c r="D2354" s="112" t="s">
        <v>187</v>
      </c>
      <c r="E2354" s="112">
        <v>264.5</v>
      </c>
      <c r="F2354" s="111" t="str">
        <f>DataPull!D2354</f>
        <v/>
      </c>
      <c r="G2354" s="94" t="str">
        <f t="shared" si="2"/>
        <v/>
      </c>
      <c r="H2354" s="94" t="str">
        <f t="shared" si="3"/>
        <v/>
      </c>
      <c r="I2354" s="94" t="str">
        <f t="shared" ref="I2354:J2354" si="2355">if(G2354 = "", , -G2354)</f>
        <v/>
      </c>
      <c r="J2354" s="94" t="str">
        <f t="shared" si="2355"/>
        <v/>
      </c>
      <c r="K2354" s="100"/>
      <c r="L2354" s="100"/>
      <c r="M2354" s="100"/>
      <c r="N2354" s="100"/>
      <c r="O2354" s="100"/>
      <c r="P2354" s="100"/>
    </row>
    <row r="2355">
      <c r="A2355" s="107">
        <v>203462.0</v>
      </c>
      <c r="B2355" s="108" t="s">
        <v>85</v>
      </c>
      <c r="C2355" s="108" t="s">
        <v>654</v>
      </c>
      <c r="D2355" s="112" t="s">
        <v>187</v>
      </c>
      <c r="E2355" s="112">
        <v>530.4</v>
      </c>
      <c r="F2355" s="111" t="str">
        <f>DataPull!D2355</f>
        <v/>
      </c>
      <c r="G2355" s="94" t="str">
        <f t="shared" si="2"/>
        <v/>
      </c>
      <c r="H2355" s="94" t="str">
        <f t="shared" si="3"/>
        <v/>
      </c>
      <c r="I2355" s="94" t="str">
        <f t="shared" ref="I2355:J2355" si="2356">if(G2355 = "", , -G2355)</f>
        <v/>
      </c>
      <c r="J2355" s="94" t="str">
        <f t="shared" si="2356"/>
        <v/>
      </c>
      <c r="K2355" s="100"/>
      <c r="M2355" s="100"/>
      <c r="N2355" s="100"/>
      <c r="O2355" s="100"/>
      <c r="P2355" s="100"/>
    </row>
    <row r="2356">
      <c r="A2356" s="107">
        <v>203462.0</v>
      </c>
      <c r="B2356" s="108" t="s">
        <v>90</v>
      </c>
      <c r="C2356" s="108" t="s">
        <v>654</v>
      </c>
      <c r="D2356" s="112" t="s">
        <v>177</v>
      </c>
      <c r="E2356" s="112">
        <v>533.0</v>
      </c>
      <c r="F2356" s="111" t="str">
        <f>DataPull!D2356</f>
        <v/>
      </c>
      <c r="G2356" s="94" t="str">
        <f t="shared" si="2"/>
        <v/>
      </c>
      <c r="H2356" s="94" t="str">
        <f t="shared" si="3"/>
        <v/>
      </c>
      <c r="I2356" s="94" t="str">
        <f t="shared" ref="I2356:J2356" si="2357">if(G2356 = "", , -G2356)</f>
        <v/>
      </c>
      <c r="J2356" s="94" t="str">
        <f t="shared" si="2357"/>
        <v/>
      </c>
      <c r="K2356" s="100"/>
      <c r="N2356" s="100"/>
      <c r="O2356" s="100"/>
      <c r="P2356" s="100"/>
    </row>
    <row r="2357">
      <c r="A2357" s="107">
        <v>203462.0</v>
      </c>
      <c r="B2357" s="108" t="s">
        <v>92</v>
      </c>
      <c r="C2357" s="108" t="s">
        <v>654</v>
      </c>
      <c r="D2357" s="112" t="s">
        <v>177</v>
      </c>
      <c r="E2357" s="112">
        <v>1111.5</v>
      </c>
      <c r="F2357" s="111" t="str">
        <f>DataPull!D2357</f>
        <v/>
      </c>
      <c r="G2357" s="94" t="str">
        <f t="shared" si="2"/>
        <v/>
      </c>
      <c r="H2357" s="94" t="str">
        <f t="shared" si="3"/>
        <v/>
      </c>
      <c r="I2357" s="94" t="str">
        <f t="shared" ref="I2357:J2357" si="2358">if(G2357 = "", , -G2357)</f>
        <v/>
      </c>
      <c r="J2357" s="94" t="str">
        <f t="shared" si="2358"/>
        <v/>
      </c>
      <c r="K2357" s="100"/>
      <c r="N2357" s="100"/>
      <c r="O2357" s="100"/>
      <c r="P2357" s="100"/>
    </row>
    <row r="2358">
      <c r="A2358" s="107">
        <v>203462.0</v>
      </c>
      <c r="B2358" s="108" t="s">
        <v>190</v>
      </c>
      <c r="C2358" s="108" t="s">
        <v>654</v>
      </c>
      <c r="D2358" s="112" t="s">
        <v>187</v>
      </c>
      <c r="E2358" s="112">
        <v>214.5</v>
      </c>
      <c r="F2358" s="111" t="str">
        <f>DataPull!D2358</f>
        <v/>
      </c>
      <c r="G2358" s="94" t="str">
        <f t="shared" si="2"/>
        <v/>
      </c>
      <c r="H2358" s="94" t="str">
        <f t="shared" si="3"/>
        <v/>
      </c>
      <c r="I2358" s="94" t="str">
        <f t="shared" ref="I2358:J2358" si="2359">if(G2358 = "", , -G2358)</f>
        <v/>
      </c>
      <c r="J2358" s="94" t="str">
        <f t="shared" si="2359"/>
        <v/>
      </c>
      <c r="K2358" s="100"/>
      <c r="M2358" s="100"/>
      <c r="N2358" s="100"/>
      <c r="O2358" s="100"/>
      <c r="P2358" s="100"/>
    </row>
    <row r="2359">
      <c r="A2359" s="107">
        <v>203463.0</v>
      </c>
      <c r="B2359" s="108" t="s">
        <v>85</v>
      </c>
      <c r="C2359" s="108" t="s">
        <v>655</v>
      </c>
      <c r="D2359" s="112" t="s">
        <v>178</v>
      </c>
      <c r="E2359" s="112">
        <v>2189.4</v>
      </c>
      <c r="F2359" s="111" t="str">
        <f>DataPull!D2359</f>
        <v/>
      </c>
      <c r="G2359" s="94" t="str">
        <f t="shared" si="2"/>
        <v/>
      </c>
      <c r="H2359" s="94" t="str">
        <f t="shared" si="3"/>
        <v/>
      </c>
      <c r="I2359" s="94" t="str">
        <f t="shared" ref="I2359:J2359" si="2360">if(G2359 = "", , -G2359)</f>
        <v/>
      </c>
      <c r="J2359" s="94" t="str">
        <f t="shared" si="2360"/>
        <v/>
      </c>
      <c r="K2359" s="100"/>
      <c r="N2359" s="100"/>
      <c r="O2359" s="100"/>
      <c r="P2359" s="100"/>
    </row>
    <row r="2360">
      <c r="A2360" s="107">
        <v>203463.0</v>
      </c>
      <c r="B2360" s="108" t="s">
        <v>90</v>
      </c>
      <c r="C2360" s="108" t="s">
        <v>655</v>
      </c>
      <c r="D2360" s="112" t="s">
        <v>178</v>
      </c>
      <c r="E2360" s="112">
        <v>2673.2</v>
      </c>
      <c r="F2360" s="111" t="str">
        <f>DataPull!D2360</f>
        <v/>
      </c>
      <c r="G2360" s="94" t="str">
        <f t="shared" si="2"/>
        <v/>
      </c>
      <c r="H2360" s="94" t="str">
        <f t="shared" si="3"/>
        <v/>
      </c>
      <c r="I2360" s="94" t="str">
        <f t="shared" ref="I2360:J2360" si="2361">if(G2360 = "", , -G2360)</f>
        <v/>
      </c>
      <c r="J2360" s="94" t="str">
        <f t="shared" si="2361"/>
        <v/>
      </c>
      <c r="K2360" s="100"/>
      <c r="M2360" s="100"/>
      <c r="N2360" s="100"/>
      <c r="O2360" s="100"/>
      <c r="P2360" s="100"/>
    </row>
    <row r="2361">
      <c r="A2361" s="107">
        <v>203463.0</v>
      </c>
      <c r="B2361" s="108" t="s">
        <v>92</v>
      </c>
      <c r="C2361" s="108" t="s">
        <v>655</v>
      </c>
      <c r="D2361" s="112" t="s">
        <v>176</v>
      </c>
      <c r="E2361" s="112">
        <v>1441.6</v>
      </c>
      <c r="F2361" s="111" t="str">
        <f>DataPull!D2361</f>
        <v/>
      </c>
      <c r="G2361" s="94" t="str">
        <f t="shared" si="2"/>
        <v/>
      </c>
      <c r="H2361" s="94" t="str">
        <f t="shared" si="3"/>
        <v/>
      </c>
      <c r="I2361" s="94" t="str">
        <f t="shared" ref="I2361:J2361" si="2362">if(G2361 = "", , -G2361)</f>
        <v/>
      </c>
      <c r="J2361" s="94" t="str">
        <f t="shared" si="2362"/>
        <v/>
      </c>
      <c r="K2361" s="100"/>
      <c r="M2361" s="100"/>
      <c r="N2361" s="100"/>
      <c r="O2361" s="100"/>
      <c r="P2361" s="100"/>
    </row>
    <row r="2362">
      <c r="A2362" s="107">
        <v>203463.0</v>
      </c>
      <c r="B2362" s="108" t="s">
        <v>190</v>
      </c>
      <c r="C2362" s="108" t="s">
        <v>655</v>
      </c>
      <c r="D2362" s="112" t="s">
        <v>177</v>
      </c>
      <c r="E2362" s="112">
        <v>1177.3</v>
      </c>
      <c r="F2362" s="111" t="str">
        <f>DataPull!D2362</f>
        <v/>
      </c>
      <c r="G2362" s="94" t="str">
        <f t="shared" si="2"/>
        <v/>
      </c>
      <c r="H2362" s="94" t="str">
        <f t="shared" si="3"/>
        <v/>
      </c>
      <c r="I2362" s="94" t="str">
        <f t="shared" ref="I2362:J2362" si="2363">if(G2362 = "", , -G2362)</f>
        <v/>
      </c>
      <c r="J2362" s="94" t="str">
        <f t="shared" si="2363"/>
        <v/>
      </c>
      <c r="K2362" s="100"/>
      <c r="M2362" s="100"/>
      <c r="N2362" s="100"/>
      <c r="O2362" s="100"/>
      <c r="P2362" s="100"/>
    </row>
    <row r="2363">
      <c r="A2363" s="107">
        <v>203463.0</v>
      </c>
      <c r="B2363" s="108" t="s">
        <v>191</v>
      </c>
      <c r="C2363" s="108" t="s">
        <v>655</v>
      </c>
      <c r="D2363" s="112" t="s">
        <v>177</v>
      </c>
      <c r="E2363" s="112">
        <v>1092.0</v>
      </c>
      <c r="F2363" s="111" t="str">
        <f>DataPull!D2363</f>
        <v/>
      </c>
      <c r="G2363" s="94" t="str">
        <f t="shared" si="2"/>
        <v/>
      </c>
      <c r="H2363" s="94" t="str">
        <f t="shared" si="3"/>
        <v/>
      </c>
      <c r="I2363" s="94" t="str">
        <f t="shared" ref="I2363:J2363" si="2364">if(G2363 = "", , -G2363)</f>
        <v/>
      </c>
      <c r="J2363" s="94" t="str">
        <f t="shared" si="2364"/>
        <v/>
      </c>
      <c r="K2363" s="100"/>
      <c r="M2363" s="100"/>
      <c r="N2363" s="100"/>
      <c r="O2363" s="100"/>
      <c r="P2363" s="100"/>
    </row>
    <row r="2364">
      <c r="A2364" s="107">
        <v>203463.0</v>
      </c>
      <c r="B2364" s="108" t="s">
        <v>192</v>
      </c>
      <c r="C2364" s="108" t="s">
        <v>655</v>
      </c>
      <c r="D2364" s="112" t="s">
        <v>187</v>
      </c>
      <c r="E2364" s="112">
        <v>157.7</v>
      </c>
      <c r="F2364" s="111" t="str">
        <f>DataPull!D2364</f>
        <v/>
      </c>
      <c r="G2364" s="94" t="str">
        <f t="shared" si="2"/>
        <v/>
      </c>
      <c r="H2364" s="94" t="str">
        <f t="shared" si="3"/>
        <v/>
      </c>
      <c r="I2364" s="94" t="str">
        <f t="shared" ref="I2364:J2364" si="2365">if(G2364 = "", , -G2364)</f>
        <v/>
      </c>
      <c r="J2364" s="94" t="str">
        <f t="shared" si="2365"/>
        <v/>
      </c>
      <c r="K2364" s="100"/>
      <c r="M2364" s="100"/>
      <c r="N2364" s="100"/>
      <c r="O2364" s="100"/>
      <c r="P2364" s="100"/>
    </row>
    <row r="2365">
      <c r="A2365" s="107">
        <v>203463.0</v>
      </c>
      <c r="B2365" s="108" t="s">
        <v>193</v>
      </c>
      <c r="C2365" s="108" t="s">
        <v>655</v>
      </c>
      <c r="D2365" s="112" t="s">
        <v>176</v>
      </c>
      <c r="E2365" s="112">
        <v>1618.8</v>
      </c>
      <c r="F2365" s="111" t="str">
        <f>DataPull!D2365</f>
        <v/>
      </c>
      <c r="G2365" s="94" t="str">
        <f t="shared" si="2"/>
        <v/>
      </c>
      <c r="H2365" s="94" t="str">
        <f t="shared" si="3"/>
        <v/>
      </c>
      <c r="I2365" s="94" t="str">
        <f t="shared" ref="I2365:J2365" si="2366">if(G2365 = "", , -G2365)</f>
        <v/>
      </c>
      <c r="J2365" s="94" t="str">
        <f t="shared" si="2366"/>
        <v/>
      </c>
      <c r="K2365" s="100"/>
      <c r="M2365" s="100"/>
      <c r="N2365" s="100"/>
      <c r="O2365" s="100"/>
      <c r="P2365" s="100"/>
    </row>
    <row r="2366">
      <c r="A2366" s="107">
        <v>203463.0</v>
      </c>
      <c r="B2366" s="108" t="s">
        <v>243</v>
      </c>
      <c r="C2366" s="108" t="s">
        <v>655</v>
      </c>
      <c r="D2366" s="112" t="s">
        <v>177</v>
      </c>
      <c r="E2366" s="112">
        <v>906.3</v>
      </c>
      <c r="F2366" s="111" t="str">
        <f>DataPull!D2366</f>
        <v/>
      </c>
      <c r="G2366" s="94" t="str">
        <f t="shared" si="2"/>
        <v/>
      </c>
      <c r="H2366" s="94" t="str">
        <f t="shared" si="3"/>
        <v/>
      </c>
      <c r="I2366" s="94" t="str">
        <f t="shared" ref="I2366:J2366" si="2367">if(G2366 = "", , -G2366)</f>
        <v/>
      </c>
      <c r="J2366" s="94" t="str">
        <f t="shared" si="2367"/>
        <v/>
      </c>
      <c r="K2366" s="100"/>
      <c r="M2366" s="100"/>
      <c r="N2366" s="100"/>
      <c r="O2366" s="100"/>
      <c r="P2366" s="100"/>
    </row>
    <row r="2367">
      <c r="A2367" s="107">
        <v>203463.0</v>
      </c>
      <c r="B2367" s="108" t="s">
        <v>215</v>
      </c>
      <c r="C2367" s="108" t="s">
        <v>655</v>
      </c>
      <c r="D2367" s="112" t="s">
        <v>177</v>
      </c>
      <c r="E2367" s="112">
        <v>1286.4</v>
      </c>
      <c r="F2367" s="111" t="str">
        <f>DataPull!D2367</f>
        <v/>
      </c>
      <c r="G2367" s="94" t="str">
        <f t="shared" si="2"/>
        <v/>
      </c>
      <c r="H2367" s="94" t="str">
        <f t="shared" si="3"/>
        <v/>
      </c>
      <c r="I2367" s="94" t="str">
        <f t="shared" ref="I2367:J2367" si="2368">if(G2367 = "", , -G2367)</f>
        <v/>
      </c>
      <c r="J2367" s="94" t="str">
        <f t="shared" si="2368"/>
        <v/>
      </c>
      <c r="K2367" s="100"/>
      <c r="M2367" s="100"/>
      <c r="N2367" s="100"/>
      <c r="O2367" s="100"/>
      <c r="P2367" s="100"/>
    </row>
    <row r="2368">
      <c r="A2368" s="107">
        <v>203464.0</v>
      </c>
      <c r="B2368" s="108" t="s">
        <v>191</v>
      </c>
      <c r="C2368" s="108" t="s">
        <v>656</v>
      </c>
      <c r="D2368" s="112" t="s">
        <v>187</v>
      </c>
      <c r="E2368" s="112">
        <v>576.0</v>
      </c>
      <c r="F2368" s="111" t="str">
        <f>DataPull!D2368</f>
        <v/>
      </c>
      <c r="G2368" s="94" t="str">
        <f t="shared" si="2"/>
        <v/>
      </c>
      <c r="H2368" s="94" t="str">
        <f t="shared" si="3"/>
        <v/>
      </c>
      <c r="I2368" s="94" t="str">
        <f t="shared" ref="I2368:J2368" si="2369">if(G2368 = "", , -G2368)</f>
        <v/>
      </c>
      <c r="J2368" s="94" t="str">
        <f t="shared" si="2369"/>
        <v/>
      </c>
      <c r="K2368" s="100"/>
      <c r="M2368" s="100"/>
      <c r="N2368" s="100"/>
      <c r="O2368" s="100"/>
      <c r="P2368" s="100"/>
    </row>
    <row r="2369">
      <c r="A2369" s="107">
        <v>203467.0</v>
      </c>
      <c r="B2369" s="108" t="s">
        <v>85</v>
      </c>
      <c r="C2369" s="108" t="s">
        <v>657</v>
      </c>
      <c r="D2369" s="112" t="s">
        <v>181</v>
      </c>
      <c r="E2369" s="112">
        <v>37.8</v>
      </c>
      <c r="F2369" s="111" t="str">
        <f>DataPull!D2369</f>
        <v/>
      </c>
      <c r="G2369" s="94" t="str">
        <f t="shared" si="2"/>
        <v/>
      </c>
      <c r="H2369" s="94" t="str">
        <f t="shared" si="3"/>
        <v/>
      </c>
      <c r="I2369" s="94" t="str">
        <f t="shared" ref="I2369:J2369" si="2370">if(G2369 = "", , -G2369)</f>
        <v/>
      </c>
      <c r="J2369" s="94" t="str">
        <f t="shared" si="2370"/>
        <v/>
      </c>
      <c r="K2369" s="100"/>
      <c r="M2369" s="100"/>
      <c r="N2369" s="100"/>
      <c r="O2369" s="100"/>
      <c r="P2369" s="100"/>
    </row>
    <row r="2370">
      <c r="A2370" s="107">
        <v>203468.0</v>
      </c>
      <c r="B2370" s="108" t="s">
        <v>85</v>
      </c>
      <c r="C2370" s="108" t="s">
        <v>658</v>
      </c>
      <c r="D2370" s="112" t="s">
        <v>187</v>
      </c>
      <c r="E2370" s="112">
        <v>475.0</v>
      </c>
      <c r="F2370" s="111" t="str">
        <f>DataPull!D2370</f>
        <v/>
      </c>
      <c r="G2370" s="94" t="str">
        <f t="shared" si="2"/>
        <v/>
      </c>
      <c r="H2370" s="94" t="str">
        <f t="shared" si="3"/>
        <v/>
      </c>
      <c r="I2370" s="94" t="str">
        <f t="shared" ref="I2370:J2370" si="2371">if(G2370 = "", , -G2370)</f>
        <v/>
      </c>
      <c r="J2370" s="94" t="str">
        <f t="shared" si="2371"/>
        <v/>
      </c>
      <c r="K2370" s="100"/>
      <c r="M2370" s="100"/>
      <c r="N2370" s="100"/>
      <c r="O2370" s="100"/>
      <c r="P2370" s="100"/>
    </row>
    <row r="2371">
      <c r="A2371" s="107">
        <v>203468.0</v>
      </c>
      <c r="B2371" s="108" t="s">
        <v>90</v>
      </c>
      <c r="C2371" s="108" t="s">
        <v>658</v>
      </c>
      <c r="D2371" s="112" t="s">
        <v>177</v>
      </c>
      <c r="E2371" s="112">
        <v>973.4</v>
      </c>
      <c r="F2371" s="111" t="str">
        <f>DataPull!D2371</f>
        <v/>
      </c>
      <c r="G2371" s="94" t="str">
        <f t="shared" si="2"/>
        <v/>
      </c>
      <c r="H2371" s="94" t="str">
        <f t="shared" si="3"/>
        <v/>
      </c>
      <c r="I2371" s="94" t="str">
        <f t="shared" ref="I2371:J2371" si="2372">if(G2371 = "", , -G2371)</f>
        <v/>
      </c>
      <c r="J2371" s="94" t="str">
        <f t="shared" si="2372"/>
        <v/>
      </c>
      <c r="K2371" s="100"/>
      <c r="L2371" s="100"/>
      <c r="N2371" s="100"/>
      <c r="O2371" s="100"/>
      <c r="P2371" s="100"/>
    </row>
    <row r="2372">
      <c r="A2372" s="107">
        <v>203468.0</v>
      </c>
      <c r="B2372" s="108" t="s">
        <v>92</v>
      </c>
      <c r="C2372" s="108" t="s">
        <v>658</v>
      </c>
      <c r="D2372" s="112" t="s">
        <v>178</v>
      </c>
      <c r="E2372" s="112">
        <v>2776.0</v>
      </c>
      <c r="F2372" s="111" t="str">
        <f>DataPull!D2372</f>
        <v/>
      </c>
      <c r="G2372" s="94" t="str">
        <f t="shared" si="2"/>
        <v/>
      </c>
      <c r="H2372" s="94" t="str">
        <f t="shared" si="3"/>
        <v/>
      </c>
      <c r="I2372" s="94" t="str">
        <f t="shared" ref="I2372:J2372" si="2373">if(G2372 = "", , -G2372)</f>
        <v/>
      </c>
      <c r="J2372" s="94" t="str">
        <f t="shared" si="2373"/>
        <v/>
      </c>
      <c r="K2372" s="100"/>
      <c r="M2372" s="100"/>
      <c r="N2372" s="100"/>
      <c r="O2372" s="100"/>
      <c r="P2372" s="100"/>
    </row>
    <row r="2373">
      <c r="A2373" s="107">
        <v>203468.0</v>
      </c>
      <c r="B2373" s="108" t="s">
        <v>190</v>
      </c>
      <c r="C2373" s="108" t="s">
        <v>658</v>
      </c>
      <c r="D2373" s="112" t="s">
        <v>184</v>
      </c>
      <c r="E2373" s="112">
        <v>2792.0</v>
      </c>
      <c r="F2373" s="111" t="str">
        <f>DataPull!D2373</f>
        <v/>
      </c>
      <c r="G2373" s="94" t="str">
        <f t="shared" si="2"/>
        <v/>
      </c>
      <c r="H2373" s="94" t="str">
        <f t="shared" si="3"/>
        <v/>
      </c>
      <c r="I2373" s="94" t="str">
        <f t="shared" ref="I2373:J2373" si="2374">if(G2373 = "", , -G2373)</f>
        <v/>
      </c>
      <c r="J2373" s="94" t="str">
        <f t="shared" si="2374"/>
        <v/>
      </c>
      <c r="K2373" s="100"/>
      <c r="L2373" s="100"/>
      <c r="M2373" s="100"/>
      <c r="N2373" s="100"/>
      <c r="O2373" s="100"/>
      <c r="P2373" s="100"/>
    </row>
    <row r="2374">
      <c r="A2374" s="107">
        <v>203468.0</v>
      </c>
      <c r="B2374" s="108" t="s">
        <v>191</v>
      </c>
      <c r="C2374" s="108" t="s">
        <v>658</v>
      </c>
      <c r="D2374" s="112" t="s">
        <v>184</v>
      </c>
      <c r="E2374" s="112">
        <v>2924.1</v>
      </c>
      <c r="F2374" s="111" t="str">
        <f>DataPull!D2374</f>
        <v/>
      </c>
      <c r="G2374" s="94" t="str">
        <f t="shared" si="2"/>
        <v/>
      </c>
      <c r="H2374" s="94" t="str">
        <f t="shared" si="3"/>
        <v/>
      </c>
      <c r="I2374" s="94" t="str">
        <f t="shared" ref="I2374:J2374" si="2375">if(G2374 = "", , -G2374)</f>
        <v/>
      </c>
      <c r="J2374" s="94" t="str">
        <f t="shared" si="2375"/>
        <v/>
      </c>
      <c r="K2374" s="100"/>
      <c r="M2374" s="100"/>
      <c r="N2374" s="100"/>
      <c r="O2374" s="100"/>
      <c r="P2374" s="100"/>
    </row>
    <row r="2375">
      <c r="A2375" s="107">
        <v>203468.0</v>
      </c>
      <c r="B2375" s="108" t="s">
        <v>192</v>
      </c>
      <c r="C2375" s="108" t="s">
        <v>658</v>
      </c>
      <c r="D2375" s="112" t="s">
        <v>184</v>
      </c>
      <c r="E2375" s="112">
        <v>2373.0</v>
      </c>
      <c r="F2375" s="111" t="str">
        <f>DataPull!D2375</f>
        <v/>
      </c>
      <c r="G2375" s="94" t="str">
        <f t="shared" si="2"/>
        <v/>
      </c>
      <c r="H2375" s="94" t="str">
        <f t="shared" si="3"/>
        <v/>
      </c>
      <c r="I2375" s="94" t="str">
        <f t="shared" ref="I2375:J2375" si="2376">if(G2375 = "", , -G2375)</f>
        <v/>
      </c>
      <c r="J2375" s="94" t="str">
        <f t="shared" si="2376"/>
        <v/>
      </c>
      <c r="K2375" s="100"/>
      <c r="M2375" s="100"/>
      <c r="N2375" s="100"/>
      <c r="O2375" s="100"/>
      <c r="P2375" s="100"/>
    </row>
    <row r="2376">
      <c r="A2376" s="107">
        <v>203468.0</v>
      </c>
      <c r="B2376" s="108" t="s">
        <v>193</v>
      </c>
      <c r="C2376" s="108" t="s">
        <v>658</v>
      </c>
      <c r="D2376" s="112" t="s">
        <v>178</v>
      </c>
      <c r="E2376" s="112">
        <v>2555.0</v>
      </c>
      <c r="F2376" s="111" t="str">
        <f>DataPull!D2376</f>
        <v/>
      </c>
      <c r="G2376" s="94" t="str">
        <f t="shared" si="2"/>
        <v/>
      </c>
      <c r="H2376" s="94" t="str">
        <f t="shared" si="3"/>
        <v/>
      </c>
      <c r="I2376" s="94" t="str">
        <f t="shared" ref="I2376:J2376" si="2377">if(G2376 = "", , -G2376)</f>
        <v/>
      </c>
      <c r="J2376" s="94" t="str">
        <f t="shared" si="2377"/>
        <v/>
      </c>
      <c r="K2376" s="100"/>
      <c r="L2376" s="100"/>
      <c r="N2376" s="100"/>
      <c r="O2376" s="100"/>
      <c r="P2376" s="100"/>
    </row>
    <row r="2377">
      <c r="A2377" s="107">
        <v>203468.0</v>
      </c>
      <c r="B2377" s="108" t="s">
        <v>243</v>
      </c>
      <c r="C2377" s="108" t="s">
        <v>658</v>
      </c>
      <c r="D2377" s="112" t="s">
        <v>184</v>
      </c>
      <c r="E2377" s="112">
        <v>1598.0</v>
      </c>
      <c r="F2377" s="111" t="str">
        <f>DataPull!D2377</f>
        <v/>
      </c>
      <c r="G2377" s="94" t="str">
        <f t="shared" si="2"/>
        <v/>
      </c>
      <c r="H2377" s="94" t="str">
        <f t="shared" si="3"/>
        <v/>
      </c>
      <c r="I2377" s="94" t="str">
        <f t="shared" ref="I2377:J2377" si="2378">if(G2377 = "", , -G2377)</f>
        <v/>
      </c>
      <c r="J2377" s="94" t="str">
        <f t="shared" si="2378"/>
        <v/>
      </c>
      <c r="K2377" s="100"/>
      <c r="M2377" s="100"/>
      <c r="N2377" s="100"/>
      <c r="O2377" s="100"/>
      <c r="P2377" s="100"/>
    </row>
    <row r="2378">
      <c r="A2378" s="107">
        <v>203468.0</v>
      </c>
      <c r="B2378" s="108" t="s">
        <v>215</v>
      </c>
      <c r="C2378" s="108" t="s">
        <v>658</v>
      </c>
      <c r="D2378" s="112" t="s">
        <v>184</v>
      </c>
      <c r="E2378" s="112">
        <v>2145.2</v>
      </c>
      <c r="F2378" s="111" t="str">
        <f>DataPull!D2378</f>
        <v/>
      </c>
      <c r="G2378" s="94" t="str">
        <f t="shared" si="2"/>
        <v/>
      </c>
      <c r="H2378" s="94" t="str">
        <f t="shared" si="3"/>
        <v/>
      </c>
      <c r="I2378" s="94" t="str">
        <f t="shared" ref="I2378:J2378" si="2379">if(G2378 = "", , -G2378)</f>
        <v/>
      </c>
      <c r="J2378" s="94" t="str">
        <f t="shared" si="2379"/>
        <v/>
      </c>
      <c r="K2378" s="100"/>
      <c r="M2378" s="100"/>
      <c r="N2378" s="100"/>
      <c r="O2378" s="100"/>
      <c r="P2378" s="100"/>
    </row>
    <row r="2379">
      <c r="A2379" s="107">
        <v>203468.0</v>
      </c>
      <c r="B2379" s="108" t="s">
        <v>244</v>
      </c>
      <c r="C2379" s="108" t="s">
        <v>658</v>
      </c>
      <c r="D2379" s="112" t="s">
        <v>178</v>
      </c>
      <c r="E2379" s="112">
        <v>2647.5</v>
      </c>
      <c r="F2379" s="111" t="str">
        <f>DataPull!D2379</f>
        <v/>
      </c>
      <c r="G2379" s="94" t="str">
        <f t="shared" si="2"/>
        <v/>
      </c>
      <c r="H2379" s="94" t="str">
        <f t="shared" si="3"/>
        <v/>
      </c>
      <c r="I2379" s="94" t="str">
        <f t="shared" ref="I2379:J2379" si="2380">if(G2379 = "", , -G2379)</f>
        <v/>
      </c>
      <c r="J2379" s="94" t="str">
        <f t="shared" si="2380"/>
        <v/>
      </c>
      <c r="K2379" s="100"/>
      <c r="M2379" s="100"/>
      <c r="N2379" s="100"/>
      <c r="O2379" s="100"/>
      <c r="P2379" s="100"/>
    </row>
    <row r="2380">
      <c r="A2380" s="107">
        <v>203468.0</v>
      </c>
      <c r="B2380" s="108" t="s">
        <v>245</v>
      </c>
      <c r="C2380" s="108" t="s">
        <v>658</v>
      </c>
      <c r="D2380" s="112" t="s">
        <v>184</v>
      </c>
      <c r="E2380" s="112">
        <v>2158.2</v>
      </c>
      <c r="F2380" s="111" t="str">
        <f>DataPull!D2380</f>
        <v/>
      </c>
      <c r="G2380" s="94" t="str">
        <f t="shared" si="2"/>
        <v/>
      </c>
      <c r="H2380" s="94" t="str">
        <f t="shared" si="3"/>
        <v/>
      </c>
      <c r="I2380" s="94" t="str">
        <f t="shared" ref="I2380:J2380" si="2381">if(G2380 = "", , -G2380)</f>
        <v/>
      </c>
      <c r="J2380" s="94" t="str">
        <f t="shared" si="2381"/>
        <v/>
      </c>
      <c r="K2380" s="100"/>
      <c r="M2380" s="100"/>
      <c r="N2380" s="100"/>
      <c r="O2380" s="100"/>
      <c r="P2380" s="100"/>
    </row>
    <row r="2381">
      <c r="A2381" s="107">
        <v>203468.0</v>
      </c>
      <c r="B2381" s="108" t="s">
        <v>246</v>
      </c>
      <c r="C2381" s="108" t="s">
        <v>658</v>
      </c>
      <c r="D2381" s="112" t="s">
        <v>178</v>
      </c>
      <c r="E2381" s="112">
        <v>1831.2</v>
      </c>
      <c r="F2381" s="111" t="str">
        <f>DataPull!D2381</f>
        <v/>
      </c>
      <c r="G2381" s="94" t="str">
        <f t="shared" si="2"/>
        <v/>
      </c>
      <c r="H2381" s="94" t="str">
        <f t="shared" si="3"/>
        <v/>
      </c>
      <c r="I2381" s="94" t="str">
        <f t="shared" ref="I2381:J2381" si="2382">if(G2381 = "", , -G2381)</f>
        <v/>
      </c>
      <c r="J2381" s="94" t="str">
        <f t="shared" si="2382"/>
        <v/>
      </c>
      <c r="K2381" s="100"/>
      <c r="M2381" s="100"/>
      <c r="N2381" s="100"/>
      <c r="O2381" s="100"/>
      <c r="P2381" s="100"/>
    </row>
    <row r="2382">
      <c r="A2382" s="114">
        <v>203468.0</v>
      </c>
      <c r="B2382" s="113" t="s">
        <v>247</v>
      </c>
      <c r="C2382" s="113" t="s">
        <v>658</v>
      </c>
      <c r="D2382" s="112" t="s">
        <v>178</v>
      </c>
      <c r="E2382" s="112">
        <v>2264.8</v>
      </c>
      <c r="F2382" s="111" t="str">
        <f>DataPull!D2382</f>
        <v/>
      </c>
      <c r="G2382" s="94" t="str">
        <f t="shared" si="2"/>
        <v/>
      </c>
      <c r="H2382" s="94" t="str">
        <f t="shared" si="3"/>
        <v/>
      </c>
      <c r="I2382" s="94" t="str">
        <f t="shared" ref="I2382:J2382" si="2383">if(G2382 = "", , -G2382)</f>
        <v/>
      </c>
      <c r="J2382" s="94" t="str">
        <f t="shared" si="2383"/>
        <v/>
      </c>
      <c r="K2382" s="100"/>
      <c r="L2382" s="100"/>
      <c r="N2382" s="100"/>
      <c r="O2382" s="100"/>
      <c r="P2382" s="100"/>
    </row>
    <row r="2383">
      <c r="A2383" s="107">
        <v>203469.0</v>
      </c>
      <c r="B2383" s="108" t="s">
        <v>85</v>
      </c>
      <c r="C2383" s="108" t="s">
        <v>659</v>
      </c>
      <c r="D2383" s="112" t="s">
        <v>177</v>
      </c>
      <c r="E2383" s="112">
        <v>1418.6</v>
      </c>
      <c r="F2383" s="111" t="str">
        <f>DataPull!D2383</f>
        <v/>
      </c>
      <c r="G2383" s="94" t="str">
        <f t="shared" si="2"/>
        <v/>
      </c>
      <c r="H2383" s="94" t="str">
        <f t="shared" si="3"/>
        <v/>
      </c>
      <c r="I2383" s="94" t="str">
        <f t="shared" ref="I2383:J2383" si="2384">if(G2383 = "", , -G2383)</f>
        <v/>
      </c>
      <c r="J2383" s="94" t="str">
        <f t="shared" si="2384"/>
        <v/>
      </c>
      <c r="K2383" s="100"/>
      <c r="M2383" s="100"/>
      <c r="N2383" s="100"/>
      <c r="O2383" s="100"/>
      <c r="P2383" s="100"/>
    </row>
    <row r="2384">
      <c r="A2384" s="107">
        <v>203469.0</v>
      </c>
      <c r="B2384" s="108" t="s">
        <v>90</v>
      </c>
      <c r="C2384" s="108" t="s">
        <v>659</v>
      </c>
      <c r="D2384" s="112" t="s">
        <v>176</v>
      </c>
      <c r="E2384" s="112">
        <v>1488.0</v>
      </c>
      <c r="F2384" s="111" t="str">
        <f>DataPull!D2384</f>
        <v/>
      </c>
      <c r="G2384" s="94" t="str">
        <f t="shared" si="2"/>
        <v/>
      </c>
      <c r="H2384" s="94" t="str">
        <f t="shared" si="3"/>
        <v/>
      </c>
      <c r="I2384" s="94" t="str">
        <f t="shared" ref="I2384:J2384" si="2385">if(G2384 = "", , -G2384)</f>
        <v/>
      </c>
      <c r="J2384" s="94" t="str">
        <f t="shared" si="2385"/>
        <v/>
      </c>
      <c r="N2384" s="100"/>
      <c r="O2384" s="100"/>
      <c r="P2384" s="100"/>
    </row>
    <row r="2385">
      <c r="A2385" s="107">
        <v>203469.0</v>
      </c>
      <c r="B2385" s="108" t="s">
        <v>92</v>
      </c>
      <c r="C2385" s="108" t="s">
        <v>659</v>
      </c>
      <c r="D2385" s="112" t="s">
        <v>176</v>
      </c>
      <c r="E2385" s="112">
        <v>1773.9</v>
      </c>
      <c r="F2385" s="111" t="str">
        <f>DataPull!D2385</f>
        <v/>
      </c>
      <c r="G2385" s="94" t="str">
        <f t="shared" si="2"/>
        <v/>
      </c>
      <c r="H2385" s="94" t="str">
        <f t="shared" si="3"/>
        <v/>
      </c>
      <c r="I2385" s="94" t="str">
        <f t="shared" ref="I2385:J2385" si="2386">if(G2385 = "", , -G2385)</f>
        <v/>
      </c>
      <c r="J2385" s="94" t="str">
        <f t="shared" si="2386"/>
        <v/>
      </c>
      <c r="L2385" s="100"/>
      <c r="M2385" s="100"/>
      <c r="N2385" s="100"/>
      <c r="O2385" s="100"/>
    </row>
    <row r="2386">
      <c r="A2386" s="107">
        <v>203469.0</v>
      </c>
      <c r="B2386" s="108" t="s">
        <v>190</v>
      </c>
      <c r="C2386" s="108" t="s">
        <v>659</v>
      </c>
      <c r="D2386" s="112" t="s">
        <v>184</v>
      </c>
      <c r="E2386" s="112">
        <v>1723.6</v>
      </c>
      <c r="F2386" s="111" t="str">
        <f>DataPull!D2386</f>
        <v/>
      </c>
      <c r="G2386" s="94" t="str">
        <f t="shared" si="2"/>
        <v/>
      </c>
      <c r="H2386" s="94" t="str">
        <f t="shared" si="3"/>
        <v/>
      </c>
      <c r="I2386" s="94" t="str">
        <f t="shared" ref="I2386:J2386" si="2387">if(G2386 = "", , -G2386)</f>
        <v/>
      </c>
      <c r="J2386" s="94" t="str">
        <f t="shared" si="2387"/>
        <v/>
      </c>
      <c r="L2386" s="100"/>
      <c r="M2386" s="100"/>
      <c r="N2386" s="100"/>
      <c r="O2386" s="100"/>
    </row>
    <row r="2387">
      <c r="A2387" s="107">
        <v>203469.0</v>
      </c>
      <c r="B2387" s="108" t="s">
        <v>191</v>
      </c>
      <c r="C2387" s="108" t="s">
        <v>659</v>
      </c>
      <c r="D2387" s="112" t="s">
        <v>177</v>
      </c>
      <c r="E2387" s="112">
        <v>627.0</v>
      </c>
      <c r="F2387" s="111" t="str">
        <f>DataPull!D2387</f>
        <v/>
      </c>
      <c r="G2387" s="94" t="str">
        <f t="shared" si="2"/>
        <v/>
      </c>
      <c r="H2387" s="94" t="str">
        <f t="shared" si="3"/>
        <v/>
      </c>
      <c r="I2387" s="94" t="str">
        <f t="shared" ref="I2387:J2387" si="2388">if(G2387 = "", , -G2387)</f>
        <v/>
      </c>
      <c r="J2387" s="94" t="str">
        <f t="shared" si="2388"/>
        <v/>
      </c>
      <c r="N2387" s="100"/>
      <c r="O2387" s="100"/>
      <c r="P2387" s="100"/>
    </row>
    <row r="2388">
      <c r="A2388" s="107">
        <v>203469.0</v>
      </c>
      <c r="B2388" s="108" t="s">
        <v>192</v>
      </c>
      <c r="C2388" s="108" t="s">
        <v>659</v>
      </c>
      <c r="D2388" s="112" t="s">
        <v>178</v>
      </c>
      <c r="E2388" s="112">
        <v>1244.6</v>
      </c>
      <c r="F2388" s="111" t="str">
        <f>DataPull!D2388</f>
        <v/>
      </c>
      <c r="G2388" s="94" t="str">
        <f t="shared" si="2"/>
        <v/>
      </c>
      <c r="H2388" s="94" t="str">
        <f t="shared" si="3"/>
        <v/>
      </c>
      <c r="I2388" s="94" t="str">
        <f t="shared" ref="I2388:J2388" si="2389">if(G2388 = "", , -G2388)</f>
        <v/>
      </c>
      <c r="J2388" s="94" t="str">
        <f t="shared" si="2389"/>
        <v/>
      </c>
      <c r="L2388" s="100"/>
      <c r="M2388" s="100"/>
      <c r="N2388" s="100"/>
      <c r="O2388" s="100"/>
      <c r="P2388" s="100"/>
    </row>
    <row r="2389">
      <c r="A2389" s="107">
        <v>203469.0</v>
      </c>
      <c r="B2389" s="108" t="s">
        <v>193</v>
      </c>
      <c r="C2389" s="108" t="s">
        <v>659</v>
      </c>
      <c r="D2389" s="112" t="s">
        <v>178</v>
      </c>
      <c r="E2389" s="112">
        <v>1339.8</v>
      </c>
      <c r="F2389" s="111" t="str">
        <f>DataPull!D2389</f>
        <v/>
      </c>
      <c r="G2389" s="94" t="str">
        <f t="shared" si="2"/>
        <v/>
      </c>
      <c r="H2389" s="94" t="str">
        <f t="shared" si="3"/>
        <v/>
      </c>
      <c r="I2389" s="94" t="str">
        <f t="shared" ref="I2389:J2389" si="2390">if(G2389 = "", , -G2389)</f>
        <v/>
      </c>
      <c r="J2389" s="94" t="str">
        <f t="shared" si="2390"/>
        <v/>
      </c>
      <c r="L2389" s="100"/>
      <c r="M2389" s="100"/>
      <c r="N2389" s="100"/>
      <c r="O2389" s="100"/>
    </row>
    <row r="2390">
      <c r="A2390" s="107">
        <v>203469.0</v>
      </c>
      <c r="B2390" s="108" t="s">
        <v>243</v>
      </c>
      <c r="C2390" s="108" t="s">
        <v>659</v>
      </c>
      <c r="D2390" s="112" t="s">
        <v>176</v>
      </c>
      <c r="E2390" s="112">
        <v>1003.2</v>
      </c>
      <c r="F2390" s="111" t="str">
        <f>DataPull!D2390</f>
        <v/>
      </c>
      <c r="G2390" s="94" t="str">
        <f t="shared" si="2"/>
        <v/>
      </c>
      <c r="H2390" s="94" t="str">
        <f t="shared" si="3"/>
        <v/>
      </c>
      <c r="I2390" s="94" t="str">
        <f t="shared" ref="I2390:J2390" si="2391">if(G2390 = "", , -G2390)</f>
        <v/>
      </c>
      <c r="J2390" s="94" t="str">
        <f t="shared" si="2391"/>
        <v/>
      </c>
      <c r="L2390" s="100"/>
      <c r="M2390" s="100"/>
      <c r="N2390" s="100"/>
      <c r="O2390" s="100"/>
      <c r="P2390" s="100"/>
    </row>
    <row r="2391">
      <c r="A2391" s="107">
        <v>203469.0</v>
      </c>
      <c r="B2391" s="108" t="s">
        <v>215</v>
      </c>
      <c r="C2391" s="108" t="s">
        <v>659</v>
      </c>
      <c r="D2391" s="112" t="s">
        <v>177</v>
      </c>
      <c r="E2391" s="112">
        <v>353.7</v>
      </c>
      <c r="F2391" s="111" t="str">
        <f>DataPull!D2391</f>
        <v/>
      </c>
      <c r="G2391" s="94" t="str">
        <f t="shared" si="2"/>
        <v/>
      </c>
      <c r="H2391" s="94" t="str">
        <f t="shared" si="3"/>
        <v/>
      </c>
      <c r="I2391" s="94" t="str">
        <f t="shared" ref="I2391:J2391" si="2392">if(G2391 = "", , -G2391)</f>
        <v/>
      </c>
      <c r="J2391" s="94" t="str">
        <f t="shared" si="2392"/>
        <v/>
      </c>
      <c r="L2391" s="100"/>
      <c r="M2391" s="100"/>
      <c r="N2391" s="100"/>
      <c r="O2391" s="100"/>
    </row>
    <row r="2392">
      <c r="A2392" s="107">
        <v>203469.0</v>
      </c>
      <c r="B2392" s="108" t="s">
        <v>244</v>
      </c>
      <c r="C2392" s="108" t="s">
        <v>659</v>
      </c>
      <c r="D2392" s="112" t="s">
        <v>187</v>
      </c>
      <c r="E2392" s="112">
        <v>216.0</v>
      </c>
      <c r="F2392" s="111" t="str">
        <f>DataPull!D2392</f>
        <v/>
      </c>
      <c r="G2392" s="94" t="str">
        <f t="shared" si="2"/>
        <v/>
      </c>
      <c r="H2392" s="94" t="str">
        <f t="shared" si="3"/>
        <v/>
      </c>
      <c r="I2392" s="94" t="str">
        <f t="shared" ref="I2392:J2392" si="2393">if(G2392 = "", , -G2392)</f>
        <v/>
      </c>
      <c r="J2392" s="94" t="str">
        <f t="shared" si="2393"/>
        <v/>
      </c>
      <c r="K2392" s="100"/>
      <c r="M2392" s="100"/>
      <c r="O2392" s="100"/>
      <c r="P2392" s="100"/>
    </row>
    <row r="2393">
      <c r="A2393" s="107">
        <v>203469.0</v>
      </c>
      <c r="B2393" s="108" t="s">
        <v>245</v>
      </c>
      <c r="C2393" s="108" t="s">
        <v>659</v>
      </c>
      <c r="D2393" s="112" t="s">
        <v>187</v>
      </c>
      <c r="E2393" s="112">
        <v>318.2</v>
      </c>
      <c r="F2393" s="111" t="str">
        <f>DataPull!D2393</f>
        <v/>
      </c>
      <c r="G2393" s="94" t="str">
        <f t="shared" si="2"/>
        <v/>
      </c>
      <c r="H2393" s="94" t="str">
        <f t="shared" si="3"/>
        <v/>
      </c>
      <c r="I2393" s="94" t="str">
        <f t="shared" ref="I2393:J2393" si="2394">if(G2393 = "", , -G2393)</f>
        <v/>
      </c>
      <c r="J2393" s="94" t="str">
        <f t="shared" si="2394"/>
        <v/>
      </c>
      <c r="N2393" s="100"/>
      <c r="O2393" s="100"/>
    </row>
    <row r="2394">
      <c r="A2394" s="107">
        <v>203471.0</v>
      </c>
      <c r="B2394" s="108" t="s">
        <v>85</v>
      </c>
      <c r="C2394" s="108" t="s">
        <v>660</v>
      </c>
      <c r="D2394" s="112" t="s">
        <v>177</v>
      </c>
      <c r="E2394" s="112">
        <v>641.9</v>
      </c>
      <c r="F2394" s="111" t="str">
        <f>DataPull!D2394</f>
        <v/>
      </c>
      <c r="G2394" s="94" t="str">
        <f t="shared" si="2"/>
        <v/>
      </c>
      <c r="H2394" s="94" t="str">
        <f t="shared" si="3"/>
        <v/>
      </c>
      <c r="I2394" s="94" t="str">
        <f t="shared" ref="I2394:J2394" si="2395">if(G2394 = "", , -G2394)</f>
        <v/>
      </c>
      <c r="J2394" s="94" t="str">
        <f t="shared" si="2395"/>
        <v/>
      </c>
      <c r="N2394" s="100"/>
      <c r="O2394" s="100"/>
    </row>
    <row r="2395">
      <c r="A2395" s="107">
        <v>203471.0</v>
      </c>
      <c r="B2395" s="108" t="s">
        <v>90</v>
      </c>
      <c r="C2395" s="108" t="s">
        <v>660</v>
      </c>
      <c r="D2395" s="112" t="s">
        <v>176</v>
      </c>
      <c r="E2395" s="112">
        <v>1516.9</v>
      </c>
      <c r="F2395" s="111" t="str">
        <f>DataPull!D2395</f>
        <v/>
      </c>
      <c r="G2395" s="94" t="str">
        <f t="shared" si="2"/>
        <v/>
      </c>
      <c r="H2395" s="94" t="str">
        <f t="shared" si="3"/>
        <v/>
      </c>
      <c r="I2395" s="94" t="str">
        <f t="shared" ref="I2395:J2395" si="2396">if(G2395 = "", , -G2395)</f>
        <v/>
      </c>
      <c r="J2395" s="94" t="str">
        <f t="shared" si="2396"/>
        <v/>
      </c>
      <c r="L2395" s="100"/>
      <c r="M2395" s="100"/>
      <c r="N2395" s="100"/>
      <c r="O2395" s="100"/>
    </row>
    <row r="2396">
      <c r="A2396" s="107">
        <v>203471.0</v>
      </c>
      <c r="B2396" s="108" t="s">
        <v>92</v>
      </c>
      <c r="C2396" s="108" t="s">
        <v>660</v>
      </c>
      <c r="D2396" s="112" t="s">
        <v>176</v>
      </c>
      <c r="E2396" s="112">
        <v>1624.0</v>
      </c>
      <c r="F2396" s="111" t="str">
        <f>DataPull!D2396</f>
        <v/>
      </c>
      <c r="G2396" s="94" t="str">
        <f t="shared" si="2"/>
        <v/>
      </c>
      <c r="H2396" s="94" t="str">
        <f t="shared" si="3"/>
        <v/>
      </c>
      <c r="I2396" s="94" t="str">
        <f t="shared" ref="I2396:J2396" si="2397">if(G2396 = "", , -G2396)</f>
        <v/>
      </c>
      <c r="J2396" s="94" t="str">
        <f t="shared" si="2397"/>
        <v/>
      </c>
      <c r="K2396" s="100"/>
      <c r="M2396" s="100"/>
      <c r="N2396" s="100"/>
      <c r="O2396" s="100"/>
      <c r="P2396" s="100"/>
    </row>
    <row r="2397">
      <c r="A2397" s="107">
        <v>203471.0</v>
      </c>
      <c r="B2397" s="108" t="s">
        <v>190</v>
      </c>
      <c r="C2397" s="108" t="s">
        <v>660</v>
      </c>
      <c r="D2397" s="112" t="s">
        <v>178</v>
      </c>
      <c r="E2397" s="112">
        <v>2488.5</v>
      </c>
      <c r="F2397" s="111" t="str">
        <f>DataPull!D2397</f>
        <v/>
      </c>
      <c r="G2397" s="94" t="str">
        <f t="shared" si="2"/>
        <v/>
      </c>
      <c r="H2397" s="94" t="str">
        <f t="shared" si="3"/>
        <v/>
      </c>
      <c r="I2397" s="94" t="str">
        <f t="shared" ref="I2397:J2397" si="2398">if(G2397 = "", , -G2397)</f>
        <v/>
      </c>
      <c r="J2397" s="94" t="str">
        <f t="shared" si="2398"/>
        <v/>
      </c>
      <c r="L2397" s="100"/>
      <c r="M2397" s="100"/>
      <c r="N2397" s="100"/>
      <c r="O2397" s="100"/>
      <c r="P2397" s="100"/>
    </row>
    <row r="2398">
      <c r="A2398" s="107">
        <v>203471.0</v>
      </c>
      <c r="B2398" s="108" t="s">
        <v>191</v>
      </c>
      <c r="C2398" s="108" t="s">
        <v>660</v>
      </c>
      <c r="D2398" s="112" t="s">
        <v>178</v>
      </c>
      <c r="E2398" s="112">
        <v>2077.0</v>
      </c>
      <c r="F2398" s="111" t="str">
        <f>DataPull!D2398</f>
        <v/>
      </c>
      <c r="G2398" s="94" t="str">
        <f t="shared" si="2"/>
        <v/>
      </c>
      <c r="H2398" s="94" t="str">
        <f t="shared" si="3"/>
        <v/>
      </c>
      <c r="I2398" s="94" t="str">
        <f t="shared" ref="I2398:J2398" si="2399">if(G2398 = "", , -G2398)</f>
        <v/>
      </c>
      <c r="J2398" s="94" t="str">
        <f t="shared" si="2399"/>
        <v/>
      </c>
      <c r="L2398" s="100"/>
      <c r="M2398" s="100"/>
      <c r="N2398" s="100"/>
      <c r="O2398" s="100"/>
    </row>
    <row r="2399">
      <c r="A2399" s="107">
        <v>203471.0</v>
      </c>
      <c r="B2399" s="108" t="s">
        <v>192</v>
      </c>
      <c r="C2399" s="108" t="s">
        <v>660</v>
      </c>
      <c r="D2399" s="112" t="s">
        <v>178</v>
      </c>
      <c r="E2399" s="112">
        <v>2314.7</v>
      </c>
      <c r="F2399" s="111" t="str">
        <f>DataPull!D2399</f>
        <v/>
      </c>
      <c r="G2399" s="94" t="str">
        <f t="shared" si="2"/>
        <v/>
      </c>
      <c r="H2399" s="94" t="str">
        <f t="shared" si="3"/>
        <v/>
      </c>
      <c r="I2399" s="94" t="str">
        <f t="shared" ref="I2399:J2399" si="2400">if(G2399 = "", , -G2399)</f>
        <v/>
      </c>
      <c r="J2399" s="94" t="str">
        <f t="shared" si="2400"/>
        <v/>
      </c>
      <c r="K2399" s="100"/>
      <c r="L2399" s="100"/>
      <c r="N2399" s="100"/>
      <c r="O2399" s="100"/>
      <c r="P2399" s="100"/>
    </row>
    <row r="2400">
      <c r="A2400" s="107">
        <v>203471.0</v>
      </c>
      <c r="B2400" s="108" t="s">
        <v>193</v>
      </c>
      <c r="C2400" s="108" t="s">
        <v>660</v>
      </c>
      <c r="D2400" s="112" t="s">
        <v>178</v>
      </c>
      <c r="E2400" s="112">
        <v>2002.0</v>
      </c>
      <c r="F2400" s="111" t="str">
        <f>DataPull!D2400</f>
        <v/>
      </c>
      <c r="G2400" s="94" t="str">
        <f t="shared" si="2"/>
        <v/>
      </c>
      <c r="H2400" s="94" t="str">
        <f t="shared" si="3"/>
        <v/>
      </c>
      <c r="I2400" s="94" t="str">
        <f t="shared" ref="I2400:J2400" si="2401">if(G2400 = "", , -G2400)</f>
        <v/>
      </c>
      <c r="J2400" s="94" t="str">
        <f t="shared" si="2401"/>
        <v/>
      </c>
      <c r="L2400" s="100"/>
      <c r="M2400" s="100"/>
      <c r="N2400" s="100"/>
      <c r="O2400" s="100"/>
    </row>
    <row r="2401">
      <c r="A2401" s="107">
        <v>203471.0</v>
      </c>
      <c r="B2401" s="108" t="s">
        <v>243</v>
      </c>
      <c r="C2401" s="108" t="s">
        <v>660</v>
      </c>
      <c r="D2401" s="112" t="s">
        <v>178</v>
      </c>
      <c r="E2401" s="112">
        <v>1958.1</v>
      </c>
      <c r="F2401" s="111" t="str">
        <f>DataPull!D2401</f>
        <v/>
      </c>
      <c r="G2401" s="94" t="str">
        <f t="shared" si="2"/>
        <v/>
      </c>
      <c r="H2401" s="94" t="str">
        <f t="shared" si="3"/>
        <v/>
      </c>
      <c r="I2401" s="94" t="str">
        <f t="shared" ref="I2401:J2401" si="2402">if(G2401 = "", , -G2401)</f>
        <v/>
      </c>
      <c r="J2401" s="94" t="str">
        <f t="shared" si="2402"/>
        <v/>
      </c>
      <c r="M2401" s="100"/>
      <c r="O2401" s="100"/>
    </row>
    <row r="2402">
      <c r="A2402" s="107">
        <v>203471.0</v>
      </c>
      <c r="B2402" s="108" t="s">
        <v>215</v>
      </c>
      <c r="C2402" s="108" t="s">
        <v>660</v>
      </c>
      <c r="D2402" s="112" t="s">
        <v>178</v>
      </c>
      <c r="E2402" s="112">
        <v>1836.8</v>
      </c>
      <c r="F2402" s="111" t="str">
        <f>DataPull!D2402</f>
        <v/>
      </c>
      <c r="G2402" s="94" t="str">
        <f t="shared" si="2"/>
        <v/>
      </c>
      <c r="H2402" s="94" t="str">
        <f t="shared" si="3"/>
        <v/>
      </c>
      <c r="I2402" s="94" t="str">
        <f t="shared" ref="I2402:J2402" si="2403">if(G2402 = "", , -G2402)</f>
        <v/>
      </c>
      <c r="J2402" s="94" t="str">
        <f t="shared" si="2403"/>
        <v/>
      </c>
      <c r="N2402" s="100"/>
      <c r="O2402" s="100"/>
    </row>
    <row r="2403">
      <c r="A2403" s="107">
        <v>203471.0</v>
      </c>
      <c r="B2403" s="108" t="s">
        <v>244</v>
      </c>
      <c r="C2403" s="108" t="s">
        <v>660</v>
      </c>
      <c r="D2403" s="112" t="s">
        <v>178</v>
      </c>
      <c r="E2403" s="112">
        <v>1986.6</v>
      </c>
      <c r="F2403" s="111" t="str">
        <f>DataPull!D2403</f>
        <v/>
      </c>
      <c r="G2403" s="94" t="str">
        <f t="shared" si="2"/>
        <v/>
      </c>
      <c r="H2403" s="94" t="str">
        <f t="shared" si="3"/>
        <v/>
      </c>
      <c r="I2403" s="94" t="str">
        <f t="shared" ref="I2403:J2403" si="2404">if(G2403 = "", , -G2403)</f>
        <v/>
      </c>
      <c r="J2403" s="94" t="str">
        <f t="shared" si="2404"/>
        <v/>
      </c>
      <c r="L2403" s="100"/>
      <c r="M2403" s="100"/>
      <c r="N2403" s="100"/>
      <c r="O2403" s="100"/>
    </row>
    <row r="2404">
      <c r="A2404" s="107">
        <v>203471.0</v>
      </c>
      <c r="B2404" s="108" t="s">
        <v>245</v>
      </c>
      <c r="C2404" s="108" t="s">
        <v>660</v>
      </c>
      <c r="D2404" s="112" t="s">
        <v>176</v>
      </c>
      <c r="E2404" s="112">
        <v>2488.0</v>
      </c>
      <c r="F2404" s="111" t="str">
        <f>DataPull!D2404</f>
        <v/>
      </c>
      <c r="G2404" s="94" t="str">
        <f t="shared" si="2"/>
        <v/>
      </c>
      <c r="H2404" s="94" t="str">
        <f t="shared" si="3"/>
        <v/>
      </c>
      <c r="I2404" s="94" t="str">
        <f t="shared" ref="I2404:J2404" si="2405">if(G2404 = "", , -G2404)</f>
        <v/>
      </c>
      <c r="J2404" s="94" t="str">
        <f t="shared" si="2405"/>
        <v/>
      </c>
      <c r="L2404" s="100"/>
      <c r="M2404" s="100"/>
      <c r="N2404" s="100"/>
      <c r="O2404" s="100"/>
      <c r="P2404" s="100"/>
    </row>
    <row r="2405">
      <c r="A2405" s="107">
        <v>203471.0</v>
      </c>
      <c r="B2405" s="108" t="s">
        <v>246</v>
      </c>
      <c r="C2405" s="108" t="s">
        <v>660</v>
      </c>
      <c r="D2405" s="112" t="s">
        <v>176</v>
      </c>
      <c r="E2405" s="112">
        <v>2107.5</v>
      </c>
      <c r="F2405" s="111" t="str">
        <f>DataPull!D2405</f>
        <v/>
      </c>
      <c r="G2405" s="94" t="str">
        <f t="shared" si="2"/>
        <v/>
      </c>
      <c r="H2405" s="94" t="str">
        <f t="shared" si="3"/>
        <v/>
      </c>
      <c r="I2405" s="94" t="str">
        <f t="shared" ref="I2405:J2405" si="2406">if(G2405 = "", , -G2405)</f>
        <v/>
      </c>
      <c r="J2405" s="94" t="str">
        <f t="shared" si="2406"/>
        <v/>
      </c>
      <c r="L2405" s="100"/>
      <c r="M2405" s="100"/>
      <c r="N2405" s="100"/>
      <c r="O2405" s="100"/>
    </row>
    <row r="2406">
      <c r="A2406" s="114">
        <v>203471.0</v>
      </c>
      <c r="B2406" s="113" t="s">
        <v>247</v>
      </c>
      <c r="C2406" s="108" t="s">
        <v>660</v>
      </c>
      <c r="D2406" s="112" t="s">
        <v>176</v>
      </c>
      <c r="E2406" s="112">
        <v>1694.0</v>
      </c>
      <c r="F2406" s="111" t="str">
        <f>DataPull!D2406</f>
        <v/>
      </c>
      <c r="G2406" s="94" t="str">
        <f t="shared" si="2"/>
        <v/>
      </c>
      <c r="H2406" s="94" t="str">
        <f t="shared" si="3"/>
        <v/>
      </c>
      <c r="I2406" s="94" t="str">
        <f t="shared" ref="I2406:J2406" si="2407">if(G2406 = "", , -G2406)</f>
        <v/>
      </c>
      <c r="J2406" s="94" t="str">
        <f t="shared" si="2407"/>
        <v/>
      </c>
      <c r="L2406" s="100"/>
      <c r="M2406" s="100"/>
      <c r="N2406" s="100"/>
      <c r="O2406" s="100"/>
    </row>
    <row r="2407">
      <c r="A2407" s="107">
        <v>203473.0</v>
      </c>
      <c r="B2407" s="108" t="s">
        <v>85</v>
      </c>
      <c r="C2407" s="108" t="s">
        <v>661</v>
      </c>
      <c r="D2407" s="112" t="s">
        <v>187</v>
      </c>
      <c r="E2407" s="112">
        <v>390.6</v>
      </c>
      <c r="F2407" s="111" t="str">
        <f>DataPull!D2407</f>
        <v/>
      </c>
      <c r="G2407" s="94" t="str">
        <f t="shared" si="2"/>
        <v/>
      </c>
      <c r="H2407" s="94" t="str">
        <f t="shared" si="3"/>
        <v/>
      </c>
      <c r="I2407" s="94" t="str">
        <f t="shared" ref="I2407:J2407" si="2408">if(G2407 = "", , -G2407)</f>
        <v/>
      </c>
      <c r="J2407" s="94" t="str">
        <f t="shared" si="2408"/>
        <v/>
      </c>
      <c r="L2407" s="100"/>
      <c r="M2407" s="100"/>
      <c r="N2407" s="100"/>
      <c r="O2407" s="100"/>
    </row>
    <row r="2408">
      <c r="A2408" s="107">
        <v>203473.0</v>
      </c>
      <c r="B2408" s="108" t="s">
        <v>90</v>
      </c>
      <c r="C2408" s="108" t="s">
        <v>661</v>
      </c>
      <c r="D2408" s="112" t="s">
        <v>177</v>
      </c>
      <c r="E2408" s="112">
        <v>843.7</v>
      </c>
      <c r="F2408" s="111" t="str">
        <f>DataPull!D2408</f>
        <v/>
      </c>
      <c r="G2408" s="94" t="str">
        <f t="shared" si="2"/>
        <v/>
      </c>
      <c r="H2408" s="94" t="str">
        <f t="shared" si="3"/>
        <v/>
      </c>
      <c r="I2408" s="94" t="str">
        <f t="shared" ref="I2408:J2408" si="2409">if(G2408 = "", , -G2408)</f>
        <v/>
      </c>
      <c r="J2408" s="94" t="str">
        <f t="shared" si="2409"/>
        <v/>
      </c>
      <c r="L2408" s="100"/>
      <c r="M2408" s="100"/>
      <c r="N2408" s="100"/>
      <c r="O2408" s="100"/>
    </row>
    <row r="2409">
      <c r="A2409" s="107">
        <v>203473.0</v>
      </c>
      <c r="B2409" s="108" t="s">
        <v>92</v>
      </c>
      <c r="C2409" s="108" t="s">
        <v>661</v>
      </c>
      <c r="D2409" s="112" t="s">
        <v>177</v>
      </c>
      <c r="E2409" s="112">
        <v>707.6</v>
      </c>
      <c r="F2409" s="111" t="str">
        <f>DataPull!D2409</f>
        <v/>
      </c>
      <c r="G2409" s="94" t="str">
        <f t="shared" si="2"/>
        <v/>
      </c>
      <c r="H2409" s="94" t="str">
        <f t="shared" si="3"/>
        <v/>
      </c>
      <c r="I2409" s="94" t="str">
        <f t="shared" ref="I2409:J2409" si="2410">if(G2409 = "", , -G2409)</f>
        <v/>
      </c>
      <c r="J2409" s="94" t="str">
        <f t="shared" si="2410"/>
        <v/>
      </c>
      <c r="L2409" s="100"/>
      <c r="M2409" s="100"/>
      <c r="N2409" s="100"/>
      <c r="O2409" s="100"/>
      <c r="P2409" s="100"/>
    </row>
    <row r="2410">
      <c r="A2410" s="107">
        <v>203473.0</v>
      </c>
      <c r="B2410" s="108" t="s">
        <v>190</v>
      </c>
      <c r="C2410" s="108" t="s">
        <v>661</v>
      </c>
      <c r="D2410" s="112" t="s">
        <v>177</v>
      </c>
      <c r="E2410" s="112">
        <v>1330.0</v>
      </c>
      <c r="F2410" s="111" t="str">
        <f>DataPull!D2410</f>
        <v/>
      </c>
      <c r="G2410" s="94" t="str">
        <f t="shared" si="2"/>
        <v/>
      </c>
      <c r="H2410" s="94" t="str">
        <f t="shared" si="3"/>
        <v/>
      </c>
      <c r="I2410" s="94" t="str">
        <f t="shared" ref="I2410:J2410" si="2411">if(G2410 = "", , -G2410)</f>
        <v/>
      </c>
      <c r="J2410" s="94" t="str">
        <f t="shared" si="2411"/>
        <v/>
      </c>
      <c r="L2410" s="100"/>
      <c r="M2410" s="100"/>
      <c r="N2410" s="100"/>
      <c r="O2410" s="100"/>
    </row>
    <row r="2411">
      <c r="A2411" s="107">
        <v>203473.0</v>
      </c>
      <c r="B2411" s="108" t="s">
        <v>191</v>
      </c>
      <c r="C2411" s="108" t="s">
        <v>661</v>
      </c>
      <c r="D2411" s="112" t="s">
        <v>176</v>
      </c>
      <c r="E2411" s="112">
        <v>1543.8</v>
      </c>
      <c r="F2411" s="111" t="str">
        <f>DataPull!D2411</f>
        <v/>
      </c>
      <c r="G2411" s="94" t="str">
        <f t="shared" si="2"/>
        <v/>
      </c>
      <c r="H2411" s="94" t="str">
        <f t="shared" si="3"/>
        <v/>
      </c>
      <c r="I2411" s="94" t="str">
        <f t="shared" ref="I2411:J2411" si="2412">if(G2411 = "", , -G2411)</f>
        <v/>
      </c>
      <c r="J2411" s="94" t="str">
        <f t="shared" si="2412"/>
        <v/>
      </c>
      <c r="L2411" s="100"/>
      <c r="M2411" s="100"/>
      <c r="N2411" s="100"/>
      <c r="O2411" s="100"/>
    </row>
    <row r="2412">
      <c r="A2412" s="107">
        <v>203473.0</v>
      </c>
      <c r="B2412" s="108" t="s">
        <v>192</v>
      </c>
      <c r="C2412" s="108" t="s">
        <v>661</v>
      </c>
      <c r="D2412" s="112" t="s">
        <v>184</v>
      </c>
      <c r="E2412" s="112">
        <v>1606.4</v>
      </c>
      <c r="F2412" s="111" t="str">
        <f>DataPull!D2412</f>
        <v/>
      </c>
      <c r="G2412" s="94" t="str">
        <f t="shared" si="2"/>
        <v/>
      </c>
      <c r="H2412" s="94" t="str">
        <f t="shared" si="3"/>
        <v/>
      </c>
      <c r="I2412" s="94" t="str">
        <f t="shared" ref="I2412:J2412" si="2413">if(G2412 = "", , -G2412)</f>
        <v/>
      </c>
      <c r="J2412" s="94" t="str">
        <f t="shared" si="2413"/>
        <v/>
      </c>
      <c r="L2412" s="100"/>
      <c r="M2412" s="100"/>
      <c r="N2412" s="100"/>
      <c r="O2412" s="100"/>
    </row>
    <row r="2413">
      <c r="A2413" s="107">
        <v>203473.0</v>
      </c>
      <c r="B2413" s="108" t="s">
        <v>193</v>
      </c>
      <c r="C2413" s="108" t="s">
        <v>661</v>
      </c>
      <c r="D2413" s="112" t="s">
        <v>177</v>
      </c>
      <c r="E2413" s="112">
        <v>774.4</v>
      </c>
      <c r="F2413" s="111" t="str">
        <f>DataPull!D2413</f>
        <v/>
      </c>
      <c r="G2413" s="94" t="str">
        <f t="shared" si="2"/>
        <v/>
      </c>
      <c r="H2413" s="94" t="str">
        <f t="shared" si="3"/>
        <v/>
      </c>
      <c r="I2413" s="94" t="str">
        <f t="shared" ref="I2413:J2413" si="2414">if(G2413 = "", , -G2413)</f>
        <v/>
      </c>
      <c r="J2413" s="94" t="str">
        <f t="shared" si="2414"/>
        <v/>
      </c>
      <c r="L2413" s="100"/>
      <c r="M2413" s="100"/>
      <c r="N2413" s="100"/>
      <c r="O2413" s="100"/>
    </row>
    <row r="2414">
      <c r="A2414" s="107">
        <v>203473.0</v>
      </c>
      <c r="B2414" s="108" t="s">
        <v>243</v>
      </c>
      <c r="C2414" s="108" t="s">
        <v>661</v>
      </c>
      <c r="D2414" s="112" t="s">
        <v>187</v>
      </c>
      <c r="E2414" s="112">
        <v>211.2</v>
      </c>
      <c r="F2414" s="111" t="str">
        <f>DataPull!D2414</f>
        <v/>
      </c>
      <c r="G2414" s="94" t="str">
        <f t="shared" si="2"/>
        <v/>
      </c>
      <c r="H2414" s="94" t="str">
        <f t="shared" si="3"/>
        <v/>
      </c>
      <c r="I2414" s="94" t="str">
        <f t="shared" ref="I2414:J2414" si="2415">if(G2414 = "", , -G2414)</f>
        <v/>
      </c>
      <c r="J2414" s="94" t="str">
        <f t="shared" si="2415"/>
        <v/>
      </c>
      <c r="L2414" s="100"/>
      <c r="M2414" s="100"/>
      <c r="N2414" s="100"/>
    </row>
    <row r="2415">
      <c r="A2415" s="107">
        <v>203473.0</v>
      </c>
      <c r="B2415" s="108" t="s">
        <v>215</v>
      </c>
      <c r="C2415" s="108" t="s">
        <v>661</v>
      </c>
      <c r="D2415" s="112" t="s">
        <v>177</v>
      </c>
      <c r="E2415" s="112">
        <v>1065.3</v>
      </c>
      <c r="F2415" s="111" t="str">
        <f>DataPull!D2415</f>
        <v/>
      </c>
      <c r="G2415" s="94" t="str">
        <f t="shared" si="2"/>
        <v/>
      </c>
      <c r="H2415" s="94" t="str">
        <f t="shared" si="3"/>
        <v/>
      </c>
      <c r="I2415" s="94" t="str">
        <f t="shared" ref="I2415:J2415" si="2416">if(G2415 = "", , -G2415)</f>
        <v/>
      </c>
      <c r="J2415" s="94" t="str">
        <f t="shared" si="2416"/>
        <v/>
      </c>
      <c r="M2415" s="100"/>
      <c r="O2415" s="100"/>
      <c r="P2415" s="100"/>
    </row>
    <row r="2416">
      <c r="A2416" s="107">
        <v>203473.0</v>
      </c>
      <c r="B2416" s="108" t="s">
        <v>244</v>
      </c>
      <c r="C2416" s="108" t="s">
        <v>661</v>
      </c>
      <c r="D2416" s="112" t="s">
        <v>177</v>
      </c>
      <c r="E2416" s="112">
        <v>425.6</v>
      </c>
      <c r="F2416" s="111" t="str">
        <f>DataPull!D2416</f>
        <v/>
      </c>
      <c r="G2416" s="94" t="str">
        <f t="shared" si="2"/>
        <v/>
      </c>
      <c r="H2416" s="94" t="str">
        <f t="shared" si="3"/>
        <v/>
      </c>
      <c r="I2416" s="94" t="str">
        <f t="shared" ref="I2416:J2416" si="2417">if(G2416 = "", , -G2416)</f>
        <v/>
      </c>
      <c r="J2416" s="94" t="str">
        <f t="shared" si="2417"/>
        <v/>
      </c>
      <c r="L2416" s="100"/>
      <c r="M2416" s="100"/>
      <c r="N2416" s="100"/>
      <c r="O2416" s="100"/>
    </row>
    <row r="2417">
      <c r="A2417" s="107">
        <v>203474.0</v>
      </c>
      <c r="B2417" s="108" t="s">
        <v>85</v>
      </c>
      <c r="C2417" s="108" t="s">
        <v>662</v>
      </c>
      <c r="D2417" s="112" t="s">
        <v>181</v>
      </c>
      <c r="E2417" s="112">
        <v>14.7</v>
      </c>
      <c r="F2417" s="111" t="str">
        <f>DataPull!D2417</f>
        <v/>
      </c>
      <c r="G2417" s="94" t="str">
        <f t="shared" si="2"/>
        <v/>
      </c>
      <c r="H2417" s="94" t="str">
        <f t="shared" si="3"/>
        <v/>
      </c>
      <c r="I2417" s="94" t="str">
        <f t="shared" ref="I2417:J2417" si="2418">if(G2417 = "", , -G2417)</f>
        <v/>
      </c>
      <c r="J2417" s="94" t="str">
        <f t="shared" si="2418"/>
        <v/>
      </c>
      <c r="L2417" s="100"/>
      <c r="M2417" s="100"/>
      <c r="N2417" s="100"/>
      <c r="O2417" s="100"/>
    </row>
    <row r="2418">
      <c r="A2418" s="107">
        <v>203474.0</v>
      </c>
      <c r="B2418" s="108" t="s">
        <v>192</v>
      </c>
      <c r="C2418" s="108" t="s">
        <v>662</v>
      </c>
      <c r="D2418" s="112" t="s">
        <v>181</v>
      </c>
      <c r="E2418" s="112">
        <v>6.7</v>
      </c>
      <c r="F2418" s="111" t="str">
        <f>DataPull!D2418</f>
        <v/>
      </c>
      <c r="G2418" s="94" t="str">
        <f t="shared" si="2"/>
        <v/>
      </c>
      <c r="H2418" s="94" t="str">
        <f t="shared" si="3"/>
        <v/>
      </c>
      <c r="I2418" s="94" t="str">
        <f t="shared" ref="I2418:J2418" si="2419">if(G2418 = "", , -G2418)</f>
        <v/>
      </c>
      <c r="J2418" s="94" t="str">
        <f t="shared" si="2419"/>
        <v/>
      </c>
      <c r="L2418" s="100"/>
      <c r="M2418" s="100"/>
      <c r="N2418" s="100"/>
      <c r="O2418" s="100"/>
    </row>
    <row r="2419">
      <c r="A2419" s="107">
        <v>203475.0</v>
      </c>
      <c r="B2419" s="108" t="s">
        <v>90</v>
      </c>
      <c r="C2419" s="108" t="s">
        <v>663</v>
      </c>
      <c r="D2419" s="112" t="s">
        <v>187</v>
      </c>
      <c r="E2419" s="112">
        <v>408.5</v>
      </c>
      <c r="F2419" s="111" t="str">
        <f>DataPull!D2419</f>
        <v/>
      </c>
      <c r="G2419" s="94" t="str">
        <f t="shared" si="2"/>
        <v/>
      </c>
      <c r="H2419" s="94" t="str">
        <f t="shared" si="3"/>
        <v/>
      </c>
      <c r="I2419" s="94" t="str">
        <f t="shared" ref="I2419:J2419" si="2420">if(G2419 = "", , -G2419)</f>
        <v/>
      </c>
      <c r="J2419" s="94" t="str">
        <f t="shared" si="2420"/>
        <v/>
      </c>
      <c r="L2419" s="100"/>
      <c r="M2419" s="100"/>
      <c r="N2419" s="100"/>
      <c r="O2419" s="100"/>
    </row>
    <row r="2420">
      <c r="A2420" s="107">
        <v>203475.0</v>
      </c>
      <c r="B2420" s="108" t="s">
        <v>92</v>
      </c>
      <c r="C2420" s="108" t="s">
        <v>663</v>
      </c>
      <c r="D2420" s="112" t="s">
        <v>181</v>
      </c>
      <c r="E2420" s="112">
        <v>42.3</v>
      </c>
      <c r="F2420" s="111" t="str">
        <f>DataPull!D2420</f>
        <v/>
      </c>
      <c r="G2420" s="94" t="str">
        <f t="shared" si="2"/>
        <v/>
      </c>
      <c r="H2420" s="94" t="str">
        <f t="shared" si="3"/>
        <v/>
      </c>
      <c r="I2420" s="94" t="str">
        <f t="shared" ref="I2420:J2420" si="2421">if(G2420 = "", , -G2420)</f>
        <v/>
      </c>
      <c r="J2420" s="94" t="str">
        <f t="shared" si="2421"/>
        <v/>
      </c>
      <c r="L2420" s="100"/>
      <c r="M2420" s="100"/>
      <c r="N2420" s="100"/>
      <c r="O2420" s="100"/>
    </row>
    <row r="2421">
      <c r="A2421" s="107">
        <v>203476.0</v>
      </c>
      <c r="B2421" s="108" t="s">
        <v>85</v>
      </c>
      <c r="C2421" s="108" t="s">
        <v>664</v>
      </c>
      <c r="D2421" s="112" t="s">
        <v>177</v>
      </c>
      <c r="E2421" s="112">
        <v>816.0</v>
      </c>
      <c r="F2421" s="111" t="str">
        <f>DataPull!D2421</f>
        <v/>
      </c>
      <c r="G2421" s="94" t="str">
        <f t="shared" si="2"/>
        <v/>
      </c>
      <c r="H2421" s="94" t="str">
        <f t="shared" si="3"/>
        <v/>
      </c>
      <c r="I2421" s="94" t="str">
        <f t="shared" ref="I2421:J2421" si="2422">if(G2421 = "", , -G2421)</f>
        <v/>
      </c>
      <c r="J2421" s="94" t="str">
        <f t="shared" si="2422"/>
        <v/>
      </c>
    </row>
    <row r="2422">
      <c r="A2422" s="107">
        <v>203476.0</v>
      </c>
      <c r="B2422" s="108" t="s">
        <v>90</v>
      </c>
      <c r="C2422" s="108" t="s">
        <v>664</v>
      </c>
      <c r="D2422" s="112" t="s">
        <v>178</v>
      </c>
      <c r="E2422" s="112">
        <v>2190.0</v>
      </c>
      <c r="F2422" s="111" t="str">
        <f>DataPull!D2422</f>
        <v/>
      </c>
      <c r="G2422" s="94" t="str">
        <f t="shared" si="2"/>
        <v/>
      </c>
      <c r="H2422" s="94" t="str">
        <f t="shared" si="3"/>
        <v/>
      </c>
      <c r="I2422" s="94" t="str">
        <f t="shared" ref="I2422:J2422" si="2423">if(G2422 = "", , -G2422)</f>
        <v/>
      </c>
      <c r="J2422" s="94" t="str">
        <f t="shared" si="2423"/>
        <v/>
      </c>
      <c r="N2422" s="100"/>
      <c r="O2422" s="100"/>
    </row>
    <row r="2423">
      <c r="A2423" s="107">
        <v>203476.0</v>
      </c>
      <c r="B2423" s="108" t="s">
        <v>92</v>
      </c>
      <c r="C2423" s="108" t="s">
        <v>664</v>
      </c>
      <c r="D2423" s="112" t="s">
        <v>178</v>
      </c>
      <c r="E2423" s="112">
        <v>2222.2</v>
      </c>
      <c r="F2423" s="111" t="str">
        <f>DataPull!D2423</f>
        <v/>
      </c>
      <c r="G2423" s="94" t="str">
        <f t="shared" si="2"/>
        <v/>
      </c>
      <c r="H2423" s="94" t="str">
        <f t="shared" si="3"/>
        <v/>
      </c>
      <c r="I2423" s="94" t="str">
        <f t="shared" ref="I2423:J2423" si="2424">if(G2423 = "", , -G2423)</f>
        <v/>
      </c>
      <c r="J2423" s="94" t="str">
        <f t="shared" si="2424"/>
        <v/>
      </c>
      <c r="M2423" s="100"/>
      <c r="O2423" s="100"/>
    </row>
    <row r="2424">
      <c r="A2424" s="107">
        <v>203476.0</v>
      </c>
      <c r="B2424" s="108" t="s">
        <v>190</v>
      </c>
      <c r="C2424" s="108" t="s">
        <v>664</v>
      </c>
      <c r="D2424" s="112" t="s">
        <v>178</v>
      </c>
      <c r="E2424" s="112">
        <v>2656.8</v>
      </c>
      <c r="F2424" s="111" t="str">
        <f>DataPull!D2424</f>
        <v/>
      </c>
      <c r="G2424" s="94" t="str">
        <f t="shared" si="2"/>
        <v/>
      </c>
      <c r="H2424" s="94" t="str">
        <f t="shared" si="3"/>
        <v/>
      </c>
      <c r="I2424" s="94" t="str">
        <f t="shared" ref="I2424:J2424" si="2425">if(G2424 = "", , -G2424)</f>
        <v/>
      </c>
      <c r="J2424" s="94" t="str">
        <f t="shared" si="2425"/>
        <v/>
      </c>
      <c r="N2424" s="100"/>
      <c r="O2424" s="100"/>
    </row>
    <row r="2425">
      <c r="A2425" s="107">
        <v>203476.0</v>
      </c>
      <c r="B2425" s="108" t="s">
        <v>191</v>
      </c>
      <c r="C2425" s="108" t="s">
        <v>664</v>
      </c>
      <c r="D2425" s="112" t="s">
        <v>177</v>
      </c>
      <c r="E2425" s="112">
        <v>1335.1</v>
      </c>
      <c r="F2425" s="111" t="str">
        <f>DataPull!D2425</f>
        <v/>
      </c>
      <c r="G2425" s="94" t="str">
        <f t="shared" si="2"/>
        <v/>
      </c>
      <c r="H2425" s="94" t="str">
        <f t="shared" si="3"/>
        <v/>
      </c>
      <c r="I2425" s="94" t="str">
        <f t="shared" ref="I2425:J2425" si="2426">if(G2425 = "", , -G2425)</f>
        <v/>
      </c>
      <c r="J2425" s="94" t="str">
        <f t="shared" si="2426"/>
        <v/>
      </c>
      <c r="N2425" s="100"/>
      <c r="O2425" s="100"/>
    </row>
    <row r="2426">
      <c r="A2426" s="107">
        <v>203476.0</v>
      </c>
      <c r="B2426" s="108" t="s">
        <v>192</v>
      </c>
      <c r="C2426" s="108" t="s">
        <v>664</v>
      </c>
      <c r="D2426" s="112" t="s">
        <v>177</v>
      </c>
      <c r="E2426" s="112">
        <v>1033.6</v>
      </c>
      <c r="F2426" s="111" t="str">
        <f>DataPull!D2426</f>
        <v/>
      </c>
      <c r="G2426" s="94" t="str">
        <f t="shared" si="2"/>
        <v/>
      </c>
      <c r="H2426" s="94" t="str">
        <f t="shared" si="3"/>
        <v/>
      </c>
      <c r="I2426" s="94" t="str">
        <f t="shared" ref="I2426:J2426" si="2427">if(G2426 = "", , -G2426)</f>
        <v/>
      </c>
      <c r="J2426" s="94" t="str">
        <f t="shared" si="2427"/>
        <v/>
      </c>
      <c r="M2426" s="100"/>
      <c r="O2426" s="100"/>
    </row>
    <row r="2427">
      <c r="A2427" s="107">
        <v>203476.0</v>
      </c>
      <c r="B2427" s="108" t="s">
        <v>193</v>
      </c>
      <c r="C2427" s="108" t="s">
        <v>664</v>
      </c>
      <c r="D2427" s="112" t="s">
        <v>177</v>
      </c>
      <c r="E2427" s="112">
        <v>1096.2</v>
      </c>
      <c r="F2427" s="111" t="str">
        <f>DataPull!D2427</f>
        <v/>
      </c>
      <c r="G2427" s="94" t="str">
        <f t="shared" si="2"/>
        <v/>
      </c>
      <c r="H2427" s="94" t="str">
        <f t="shared" si="3"/>
        <v/>
      </c>
      <c r="I2427" s="94" t="str">
        <f t="shared" ref="I2427:J2427" si="2428">if(G2427 = "", , -G2427)</f>
        <v/>
      </c>
      <c r="J2427" s="94" t="str">
        <f t="shared" si="2428"/>
        <v/>
      </c>
      <c r="O2427" s="100"/>
    </row>
    <row r="2428">
      <c r="A2428" s="107">
        <v>203476.0</v>
      </c>
      <c r="B2428" s="108" t="s">
        <v>243</v>
      </c>
      <c r="C2428" s="108" t="s">
        <v>664</v>
      </c>
      <c r="D2428" s="112" t="s">
        <v>177</v>
      </c>
      <c r="E2428" s="112">
        <v>551.0</v>
      </c>
      <c r="F2428" s="111" t="str">
        <f>DataPull!D2428</f>
        <v/>
      </c>
      <c r="G2428" s="94" t="str">
        <f t="shared" si="2"/>
        <v/>
      </c>
      <c r="H2428" s="94" t="str">
        <f t="shared" si="3"/>
        <v/>
      </c>
      <c r="I2428" s="94" t="str">
        <f t="shared" ref="I2428:J2428" si="2429">if(G2428 = "", , -G2428)</f>
        <v/>
      </c>
      <c r="J2428" s="94" t="str">
        <f t="shared" si="2429"/>
        <v/>
      </c>
      <c r="O2428" s="100"/>
      <c r="P2428" s="100"/>
    </row>
    <row r="2429">
      <c r="A2429" s="107">
        <v>203476.0</v>
      </c>
      <c r="B2429" s="108" t="s">
        <v>215</v>
      </c>
      <c r="C2429" s="108" t="s">
        <v>664</v>
      </c>
      <c r="D2429" s="112" t="s">
        <v>187</v>
      </c>
      <c r="E2429" s="112">
        <v>369.6</v>
      </c>
      <c r="F2429" s="111" t="str">
        <f>DataPull!D2429</f>
        <v/>
      </c>
      <c r="G2429" s="94" t="str">
        <f t="shared" si="2"/>
        <v/>
      </c>
      <c r="H2429" s="94" t="str">
        <f t="shared" si="3"/>
        <v/>
      </c>
      <c r="I2429" s="94" t="str">
        <f t="shared" ref="I2429:J2429" si="2430">if(G2429 = "", , -G2429)</f>
        <v/>
      </c>
      <c r="J2429" s="94" t="str">
        <f t="shared" si="2430"/>
        <v/>
      </c>
      <c r="N2429" s="100"/>
      <c r="O2429" s="100"/>
    </row>
    <row r="2430">
      <c r="A2430" s="107">
        <v>203476.0</v>
      </c>
      <c r="B2430" s="108" t="s">
        <v>244</v>
      </c>
      <c r="C2430" s="108" t="s">
        <v>664</v>
      </c>
      <c r="D2430" s="112" t="s">
        <v>177</v>
      </c>
      <c r="E2430" s="112">
        <v>359.6</v>
      </c>
      <c r="F2430" s="111" t="str">
        <f>DataPull!D2430</f>
        <v/>
      </c>
      <c r="G2430" s="94" t="str">
        <f t="shared" si="2"/>
        <v/>
      </c>
      <c r="H2430" s="94" t="str">
        <f t="shared" si="3"/>
        <v/>
      </c>
      <c r="I2430" s="94" t="str">
        <f t="shared" ref="I2430:J2430" si="2431">if(G2430 = "", , -G2430)</f>
        <v/>
      </c>
      <c r="J2430" s="94" t="str">
        <f t="shared" si="2431"/>
        <v/>
      </c>
      <c r="M2430" s="100"/>
      <c r="O2430" s="100"/>
    </row>
    <row r="2431">
      <c r="A2431" s="107">
        <v>203477.0</v>
      </c>
      <c r="B2431" s="108" t="s">
        <v>85</v>
      </c>
      <c r="C2431" s="108" t="s">
        <v>665</v>
      </c>
      <c r="D2431" s="112" t="s">
        <v>187</v>
      </c>
      <c r="E2431" s="112">
        <v>253.0</v>
      </c>
      <c r="F2431" s="111" t="str">
        <f>DataPull!D2431</f>
        <v/>
      </c>
      <c r="G2431" s="94" t="str">
        <f t="shared" si="2"/>
        <v/>
      </c>
      <c r="H2431" s="94" t="str">
        <f t="shared" si="3"/>
        <v/>
      </c>
      <c r="I2431" s="94" t="str">
        <f t="shared" ref="I2431:J2431" si="2432">if(G2431 = "", , -G2431)</f>
        <v/>
      </c>
      <c r="J2431" s="94" t="str">
        <f t="shared" si="2432"/>
        <v/>
      </c>
      <c r="M2431" s="100"/>
      <c r="O2431" s="100"/>
    </row>
    <row r="2432">
      <c r="A2432" s="107">
        <v>203477.0</v>
      </c>
      <c r="B2432" s="108" t="s">
        <v>90</v>
      </c>
      <c r="C2432" s="108" t="s">
        <v>665</v>
      </c>
      <c r="D2432" s="112" t="s">
        <v>177</v>
      </c>
      <c r="E2432" s="112">
        <v>940.0</v>
      </c>
      <c r="F2432" s="111" t="str">
        <f>DataPull!D2432</f>
        <v/>
      </c>
      <c r="G2432" s="94" t="str">
        <f t="shared" si="2"/>
        <v/>
      </c>
      <c r="H2432" s="94" t="str">
        <f t="shared" si="3"/>
        <v/>
      </c>
      <c r="I2432" s="94" t="str">
        <f t="shared" ref="I2432:J2432" si="2433">if(G2432 = "", , -G2432)</f>
        <v/>
      </c>
      <c r="J2432" s="94" t="str">
        <f t="shared" si="2433"/>
        <v/>
      </c>
      <c r="M2432" s="100"/>
      <c r="O2432" s="100"/>
    </row>
    <row r="2433">
      <c r="A2433" s="107">
        <v>203477.0</v>
      </c>
      <c r="B2433" s="108" t="s">
        <v>92</v>
      </c>
      <c r="C2433" s="108" t="s">
        <v>665</v>
      </c>
      <c r="D2433" s="112" t="s">
        <v>176</v>
      </c>
      <c r="E2433" s="112">
        <v>1963.5</v>
      </c>
      <c r="F2433" s="111" t="str">
        <f>DataPull!D2433</f>
        <v/>
      </c>
      <c r="G2433" s="94" t="str">
        <f t="shared" si="2"/>
        <v/>
      </c>
      <c r="H2433" s="94" t="str">
        <f t="shared" si="3"/>
        <v/>
      </c>
      <c r="I2433" s="94" t="str">
        <f t="shared" ref="I2433:J2433" si="2434">if(G2433 = "", , -G2433)</f>
        <v/>
      </c>
      <c r="J2433" s="94" t="str">
        <f t="shared" si="2434"/>
        <v/>
      </c>
      <c r="M2433" s="100"/>
      <c r="O2433" s="100"/>
    </row>
    <row r="2434">
      <c r="A2434" s="107">
        <v>203477.0</v>
      </c>
      <c r="B2434" s="108" t="s">
        <v>190</v>
      </c>
      <c r="C2434" s="108" t="s">
        <v>665</v>
      </c>
      <c r="D2434" s="112" t="s">
        <v>177</v>
      </c>
      <c r="E2434" s="112">
        <v>592.8</v>
      </c>
      <c r="F2434" s="111" t="str">
        <f>DataPull!D2434</f>
        <v/>
      </c>
      <c r="G2434" s="94" t="str">
        <f t="shared" si="2"/>
        <v/>
      </c>
      <c r="H2434" s="94" t="str">
        <f t="shared" si="3"/>
        <v/>
      </c>
      <c r="I2434" s="94" t="str">
        <f t="shared" ref="I2434:J2434" si="2435">if(G2434 = "", , -G2434)</f>
        <v/>
      </c>
      <c r="J2434" s="94" t="str">
        <f t="shared" si="2435"/>
        <v/>
      </c>
      <c r="N2434" s="100"/>
      <c r="O2434" s="100"/>
      <c r="P2434" s="100"/>
    </row>
    <row r="2435">
      <c r="A2435" s="107">
        <v>203477.0</v>
      </c>
      <c r="B2435" s="108" t="s">
        <v>191</v>
      </c>
      <c r="C2435" s="108" t="s">
        <v>665</v>
      </c>
      <c r="D2435" s="112" t="s">
        <v>176</v>
      </c>
      <c r="E2435" s="112">
        <v>422.0</v>
      </c>
      <c r="F2435" s="111" t="str">
        <f>DataPull!D2435</f>
        <v/>
      </c>
      <c r="G2435" s="94" t="str">
        <f t="shared" si="2"/>
        <v/>
      </c>
      <c r="H2435" s="94" t="str">
        <f t="shared" si="3"/>
        <v/>
      </c>
      <c r="I2435" s="94" t="str">
        <f t="shared" ref="I2435:J2435" si="2436">if(G2435 = "", , -G2435)</f>
        <v/>
      </c>
      <c r="J2435" s="94" t="str">
        <f t="shared" si="2436"/>
        <v/>
      </c>
      <c r="M2435" s="100"/>
      <c r="O2435" s="100"/>
    </row>
    <row r="2436">
      <c r="A2436" s="107">
        <v>203477.0</v>
      </c>
      <c r="B2436" s="108" t="s">
        <v>192</v>
      </c>
      <c r="C2436" s="108" t="s">
        <v>665</v>
      </c>
      <c r="D2436" s="112" t="s">
        <v>176</v>
      </c>
      <c r="E2436" s="112">
        <v>627.0</v>
      </c>
      <c r="F2436" s="111" t="str">
        <f>DataPull!D2436</f>
        <v/>
      </c>
      <c r="G2436" s="94" t="str">
        <f t="shared" si="2"/>
        <v/>
      </c>
      <c r="H2436" s="94" t="str">
        <f t="shared" si="3"/>
        <v/>
      </c>
      <c r="I2436" s="94" t="str">
        <f t="shared" ref="I2436:J2436" si="2437">if(G2436 = "", , -G2436)</f>
        <v/>
      </c>
      <c r="J2436" s="94" t="str">
        <f t="shared" si="2437"/>
        <v/>
      </c>
      <c r="M2436" s="100"/>
      <c r="O2436" s="100"/>
    </row>
    <row r="2437">
      <c r="A2437" s="107">
        <v>203479.0</v>
      </c>
      <c r="B2437" s="108" t="s">
        <v>85</v>
      </c>
      <c r="C2437" s="108" t="s">
        <v>666</v>
      </c>
      <c r="D2437" s="112" t="s">
        <v>187</v>
      </c>
      <c r="E2437" s="112">
        <v>161.7</v>
      </c>
      <c r="F2437" s="111" t="str">
        <f>DataPull!D2437</f>
        <v/>
      </c>
      <c r="G2437" s="94" t="str">
        <f t="shared" si="2"/>
        <v/>
      </c>
      <c r="H2437" s="94" t="str">
        <f t="shared" si="3"/>
        <v/>
      </c>
      <c r="I2437" s="94" t="str">
        <f t="shared" ref="I2437:J2437" si="2438">if(G2437 = "", , -G2437)</f>
        <v/>
      </c>
      <c r="J2437" s="94" t="str">
        <f t="shared" si="2438"/>
        <v/>
      </c>
      <c r="O2437" s="100"/>
      <c r="P2437" s="100"/>
    </row>
    <row r="2438">
      <c r="A2438" s="107">
        <v>203479.0</v>
      </c>
      <c r="B2438" s="108" t="s">
        <v>90</v>
      </c>
      <c r="C2438" s="108" t="s">
        <v>666</v>
      </c>
      <c r="D2438" s="112" t="s">
        <v>181</v>
      </c>
      <c r="E2438" s="112">
        <v>13.2</v>
      </c>
      <c r="F2438" s="111" t="str">
        <f>DataPull!D2438</f>
        <v/>
      </c>
      <c r="G2438" s="94" t="str">
        <f t="shared" si="2"/>
        <v/>
      </c>
      <c r="H2438" s="94" t="str">
        <f t="shared" si="3"/>
        <v/>
      </c>
      <c r="I2438" s="94" t="str">
        <f t="shared" ref="I2438:J2438" si="2439">if(G2438 = "", , -G2438)</f>
        <v/>
      </c>
      <c r="J2438" s="94" t="str">
        <f t="shared" si="2439"/>
        <v/>
      </c>
      <c r="M2438" s="100"/>
      <c r="O2438" s="100"/>
    </row>
    <row r="2439">
      <c r="A2439" s="107">
        <v>203480.0</v>
      </c>
      <c r="B2439" s="108" t="s">
        <v>85</v>
      </c>
      <c r="C2439" s="108" t="s">
        <v>667</v>
      </c>
      <c r="D2439" s="112" t="s">
        <v>181</v>
      </c>
      <c r="E2439" s="112">
        <v>30.0</v>
      </c>
      <c r="F2439" s="111" t="str">
        <f>DataPull!D2439</f>
        <v/>
      </c>
      <c r="G2439" s="94" t="str">
        <f t="shared" si="2"/>
        <v/>
      </c>
      <c r="H2439" s="94" t="str">
        <f t="shared" si="3"/>
        <v/>
      </c>
      <c r="I2439" s="94" t="str">
        <f t="shared" ref="I2439:J2439" si="2440">if(G2439 = "", , -G2439)</f>
        <v/>
      </c>
      <c r="J2439" s="94" t="str">
        <f t="shared" si="2440"/>
        <v/>
      </c>
      <c r="M2439" s="100"/>
      <c r="O2439" s="100"/>
    </row>
    <row r="2440">
      <c r="A2440" s="107">
        <v>203481.0</v>
      </c>
      <c r="B2440" s="108" t="s">
        <v>85</v>
      </c>
      <c r="C2440" s="108" t="s">
        <v>668</v>
      </c>
      <c r="D2440" s="112" t="s">
        <v>177</v>
      </c>
      <c r="E2440" s="112">
        <v>684.4</v>
      </c>
      <c r="F2440" s="111" t="str">
        <f>DataPull!D2440</f>
        <v/>
      </c>
      <c r="G2440" s="94" t="str">
        <f t="shared" si="2"/>
        <v/>
      </c>
      <c r="H2440" s="94" t="str">
        <f t="shared" si="3"/>
        <v/>
      </c>
      <c r="I2440" s="94" t="str">
        <f t="shared" ref="I2440:J2440" si="2441">if(G2440 = "", , -G2440)</f>
        <v/>
      </c>
      <c r="J2440" s="94" t="str">
        <f t="shared" si="2441"/>
        <v/>
      </c>
      <c r="O2440" s="100"/>
    </row>
    <row r="2441">
      <c r="A2441" s="107">
        <v>203481.0</v>
      </c>
      <c r="B2441" s="108" t="s">
        <v>90</v>
      </c>
      <c r="C2441" s="108" t="s">
        <v>668</v>
      </c>
      <c r="D2441" s="112" t="s">
        <v>187</v>
      </c>
      <c r="E2441" s="112">
        <v>259.0</v>
      </c>
      <c r="F2441" s="111" t="str">
        <f>DataPull!D2441</f>
        <v/>
      </c>
      <c r="G2441" s="94" t="str">
        <f t="shared" si="2"/>
        <v/>
      </c>
      <c r="H2441" s="94" t="str">
        <f t="shared" si="3"/>
        <v/>
      </c>
      <c r="I2441" s="94" t="str">
        <f t="shared" ref="I2441:J2441" si="2442">if(G2441 = "", , -G2441)</f>
        <v/>
      </c>
      <c r="J2441" s="94" t="str">
        <f t="shared" si="2442"/>
        <v/>
      </c>
      <c r="M2441" s="100"/>
      <c r="O2441" s="100"/>
    </row>
    <row r="2442">
      <c r="A2442" s="107">
        <v>203481.0</v>
      </c>
      <c r="B2442" s="108" t="s">
        <v>92</v>
      </c>
      <c r="C2442" s="108" t="s">
        <v>668</v>
      </c>
      <c r="D2442" s="112" t="s">
        <v>177</v>
      </c>
      <c r="E2442" s="112">
        <v>657.9</v>
      </c>
      <c r="F2442" s="111" t="str">
        <f>DataPull!D2442</f>
        <v/>
      </c>
      <c r="G2442" s="94" t="str">
        <f t="shared" si="2"/>
        <v/>
      </c>
      <c r="H2442" s="94" t="str">
        <f t="shared" si="3"/>
        <v/>
      </c>
      <c r="I2442" s="94" t="str">
        <f t="shared" ref="I2442:J2442" si="2443">if(G2442 = "", , -G2442)</f>
        <v/>
      </c>
      <c r="J2442" s="94" t="str">
        <f t="shared" si="2443"/>
        <v/>
      </c>
      <c r="N2442" s="100"/>
      <c r="O2442" s="100"/>
      <c r="P2442" s="100"/>
    </row>
    <row r="2443">
      <c r="A2443" s="107">
        <v>203481.0</v>
      </c>
      <c r="B2443" s="108" t="s">
        <v>190</v>
      </c>
      <c r="C2443" s="108" t="s">
        <v>668</v>
      </c>
      <c r="D2443" s="112" t="s">
        <v>187</v>
      </c>
      <c r="E2443" s="112">
        <v>433.5</v>
      </c>
      <c r="F2443" s="111" t="str">
        <f>DataPull!D2443</f>
        <v/>
      </c>
      <c r="G2443" s="94" t="str">
        <f t="shared" si="2"/>
        <v/>
      </c>
      <c r="H2443" s="94" t="str">
        <f t="shared" si="3"/>
        <v/>
      </c>
      <c r="I2443" s="94" t="str">
        <f t="shared" ref="I2443:J2443" si="2444">if(G2443 = "", , -G2443)</f>
        <v/>
      </c>
      <c r="J2443" s="94" t="str">
        <f t="shared" si="2444"/>
        <v/>
      </c>
      <c r="M2443" s="100"/>
      <c r="O2443" s="100"/>
    </row>
    <row r="2444">
      <c r="A2444" s="107">
        <v>203481.0</v>
      </c>
      <c r="B2444" s="108" t="s">
        <v>191</v>
      </c>
      <c r="C2444" s="108" t="s">
        <v>668</v>
      </c>
      <c r="D2444" s="112" t="s">
        <v>187</v>
      </c>
      <c r="E2444" s="112">
        <v>39.0</v>
      </c>
      <c r="F2444" s="111" t="str">
        <f>DataPull!D2444</f>
        <v/>
      </c>
      <c r="G2444" s="94" t="str">
        <f t="shared" si="2"/>
        <v/>
      </c>
      <c r="H2444" s="94" t="str">
        <f t="shared" si="3"/>
        <v/>
      </c>
      <c r="I2444" s="94" t="str">
        <f t="shared" ref="I2444:J2444" si="2445">if(G2444 = "", , -G2444)</f>
        <v/>
      </c>
      <c r="J2444" s="94" t="str">
        <f t="shared" si="2445"/>
        <v/>
      </c>
      <c r="M2444" s="100"/>
      <c r="O2444" s="100"/>
    </row>
    <row r="2445">
      <c r="A2445" s="107">
        <v>203482.0</v>
      </c>
      <c r="B2445" s="108" t="s">
        <v>85</v>
      </c>
      <c r="C2445" s="108" t="s">
        <v>669</v>
      </c>
      <c r="D2445" s="112" t="s">
        <v>177</v>
      </c>
      <c r="E2445" s="112">
        <v>1400.0</v>
      </c>
      <c r="F2445" s="111" t="str">
        <f>DataPull!D2445</f>
        <v/>
      </c>
      <c r="G2445" s="94" t="str">
        <f t="shared" si="2"/>
        <v/>
      </c>
      <c r="H2445" s="94" t="str">
        <f t="shared" si="3"/>
        <v/>
      </c>
      <c r="I2445" s="94" t="str">
        <f t="shared" ref="I2445:J2445" si="2446">if(G2445 = "", , -G2445)</f>
        <v/>
      </c>
      <c r="J2445" s="94" t="str">
        <f t="shared" si="2446"/>
        <v/>
      </c>
      <c r="P2445" s="100"/>
    </row>
    <row r="2446">
      <c r="A2446" s="107">
        <v>203482.0</v>
      </c>
      <c r="B2446" s="108" t="s">
        <v>90</v>
      </c>
      <c r="C2446" s="108" t="s">
        <v>669</v>
      </c>
      <c r="D2446" s="112" t="s">
        <v>176</v>
      </c>
      <c r="E2446" s="112">
        <v>1420.8</v>
      </c>
      <c r="F2446" s="111" t="str">
        <f>DataPull!D2446</f>
        <v/>
      </c>
      <c r="G2446" s="94" t="str">
        <f t="shared" si="2"/>
        <v/>
      </c>
      <c r="H2446" s="94" t="str">
        <f t="shared" si="3"/>
        <v/>
      </c>
      <c r="I2446" s="94" t="str">
        <f t="shared" ref="I2446:J2446" si="2447">if(G2446 = "", , -G2446)</f>
        <v/>
      </c>
      <c r="J2446" s="94" t="str">
        <f t="shared" si="2447"/>
        <v/>
      </c>
      <c r="M2446" s="100"/>
      <c r="O2446" s="100"/>
    </row>
    <row r="2447">
      <c r="A2447" s="107">
        <v>203482.0</v>
      </c>
      <c r="B2447" s="108" t="s">
        <v>92</v>
      </c>
      <c r="C2447" s="108" t="s">
        <v>669</v>
      </c>
      <c r="D2447" s="112" t="s">
        <v>176</v>
      </c>
      <c r="E2447" s="112">
        <v>1393.8</v>
      </c>
      <c r="F2447" s="111" t="str">
        <f>DataPull!D2447</f>
        <v/>
      </c>
      <c r="G2447" s="94" t="str">
        <f t="shared" si="2"/>
        <v/>
      </c>
      <c r="H2447" s="94" t="str">
        <f t="shared" si="3"/>
        <v/>
      </c>
      <c r="I2447" s="94" t="str">
        <f t="shared" ref="I2447:J2447" si="2448">if(G2447 = "", , -G2447)</f>
        <v/>
      </c>
      <c r="J2447" s="94" t="str">
        <f t="shared" si="2448"/>
        <v/>
      </c>
      <c r="M2447" s="100"/>
      <c r="O2447" s="100"/>
    </row>
    <row r="2448">
      <c r="A2448" s="107">
        <v>203482.0</v>
      </c>
      <c r="B2448" s="108" t="s">
        <v>190</v>
      </c>
      <c r="C2448" s="108" t="s">
        <v>669</v>
      </c>
      <c r="D2448" s="112" t="s">
        <v>176</v>
      </c>
      <c r="E2448" s="112">
        <v>1537.5</v>
      </c>
      <c r="F2448" s="111" t="str">
        <f>DataPull!D2448</f>
        <v/>
      </c>
      <c r="G2448" s="94" t="str">
        <f t="shared" si="2"/>
        <v/>
      </c>
      <c r="H2448" s="94" t="str">
        <f t="shared" si="3"/>
        <v/>
      </c>
      <c r="I2448" s="94" t="str">
        <f t="shared" ref="I2448:J2448" si="2449">if(G2448 = "", , -G2448)</f>
        <v/>
      </c>
      <c r="J2448" s="94" t="str">
        <f t="shared" si="2449"/>
        <v/>
      </c>
      <c r="O2448" s="100"/>
    </row>
    <row r="2449">
      <c r="A2449" s="107">
        <v>203482.0</v>
      </c>
      <c r="B2449" s="108" t="s">
        <v>191</v>
      </c>
      <c r="C2449" s="108" t="s">
        <v>669</v>
      </c>
      <c r="D2449" s="112" t="s">
        <v>176</v>
      </c>
      <c r="E2449" s="112">
        <v>1778.4</v>
      </c>
      <c r="F2449" s="111" t="str">
        <f>DataPull!D2449</f>
        <v/>
      </c>
      <c r="G2449" s="94" t="str">
        <f t="shared" si="2"/>
        <v/>
      </c>
      <c r="H2449" s="94" t="str">
        <f t="shared" si="3"/>
        <v/>
      </c>
      <c r="I2449" s="94" t="str">
        <f t="shared" ref="I2449:J2449" si="2450">if(G2449 = "", , -G2449)</f>
        <v/>
      </c>
      <c r="J2449" s="94" t="str">
        <f t="shared" si="2450"/>
        <v/>
      </c>
      <c r="M2449" s="100"/>
      <c r="O2449" s="100"/>
    </row>
    <row r="2450">
      <c r="A2450" s="107">
        <v>203482.0</v>
      </c>
      <c r="B2450" s="108" t="s">
        <v>192</v>
      </c>
      <c r="C2450" s="108" t="s">
        <v>669</v>
      </c>
      <c r="D2450" s="112" t="s">
        <v>176</v>
      </c>
      <c r="E2450" s="112">
        <v>1809.1</v>
      </c>
      <c r="F2450" s="111" t="str">
        <f>DataPull!D2450</f>
        <v/>
      </c>
      <c r="G2450" s="94" t="str">
        <f t="shared" si="2"/>
        <v/>
      </c>
      <c r="H2450" s="94" t="str">
        <f t="shared" si="3"/>
        <v/>
      </c>
      <c r="I2450" s="94" t="str">
        <f t="shared" ref="I2450:J2450" si="2451">if(G2450 = "", , -G2450)</f>
        <v/>
      </c>
      <c r="J2450" s="94" t="str">
        <f t="shared" si="2451"/>
        <v/>
      </c>
    </row>
    <row r="2451">
      <c r="A2451" s="107">
        <v>203482.0</v>
      </c>
      <c r="B2451" s="108" t="s">
        <v>193</v>
      </c>
      <c r="C2451" s="108" t="s">
        <v>669</v>
      </c>
      <c r="D2451" s="112" t="s">
        <v>177</v>
      </c>
      <c r="E2451" s="112">
        <v>1299.8</v>
      </c>
      <c r="F2451" s="111" t="str">
        <f>DataPull!D2451</f>
        <v/>
      </c>
      <c r="G2451" s="94" t="str">
        <f t="shared" si="2"/>
        <v/>
      </c>
      <c r="H2451" s="94" t="str">
        <f t="shared" si="3"/>
        <v/>
      </c>
      <c r="I2451" s="94" t="str">
        <f t="shared" ref="I2451:J2451" si="2452">if(G2451 = "", , -G2451)</f>
        <v/>
      </c>
      <c r="J2451" s="94" t="str">
        <f t="shared" si="2452"/>
        <v/>
      </c>
      <c r="O2451" s="100"/>
    </row>
    <row r="2452">
      <c r="A2452" s="107">
        <v>203482.0</v>
      </c>
      <c r="B2452" s="108" t="s">
        <v>243</v>
      </c>
      <c r="C2452" s="108" t="s">
        <v>669</v>
      </c>
      <c r="D2452" s="112" t="s">
        <v>176</v>
      </c>
      <c r="E2452" s="112">
        <v>1995.0</v>
      </c>
      <c r="F2452" s="111" t="str">
        <f>DataPull!D2452</f>
        <v/>
      </c>
      <c r="G2452" s="94" t="str">
        <f t="shared" si="2"/>
        <v/>
      </c>
      <c r="H2452" s="94" t="str">
        <f t="shared" si="3"/>
        <v/>
      </c>
      <c r="I2452" s="94" t="str">
        <f t="shared" ref="I2452:J2452" si="2453">if(G2452 = "", , -G2452)</f>
        <v/>
      </c>
      <c r="J2452" s="94" t="str">
        <f t="shared" si="2453"/>
        <v/>
      </c>
      <c r="K2452" s="100"/>
      <c r="M2452" s="100"/>
      <c r="N2452" s="100"/>
      <c r="O2452" s="100"/>
      <c r="P2452" s="100"/>
    </row>
    <row r="2453">
      <c r="A2453" s="107">
        <v>203482.0</v>
      </c>
      <c r="B2453" s="108" t="s">
        <v>215</v>
      </c>
      <c r="C2453" s="108" t="s">
        <v>669</v>
      </c>
      <c r="D2453" s="112" t="s">
        <v>177</v>
      </c>
      <c r="E2453" s="112">
        <v>764.0</v>
      </c>
      <c r="F2453" s="111" t="str">
        <f>DataPull!D2453</f>
        <v/>
      </c>
      <c r="G2453" s="94" t="str">
        <f t="shared" si="2"/>
        <v/>
      </c>
      <c r="H2453" s="94" t="str">
        <f t="shared" si="3"/>
        <v/>
      </c>
      <c r="I2453" s="94" t="str">
        <f t="shared" ref="I2453:J2453" si="2454">if(G2453 = "", , -G2453)</f>
        <v/>
      </c>
      <c r="J2453" s="94" t="str">
        <f t="shared" si="2454"/>
        <v/>
      </c>
      <c r="K2453" s="100"/>
      <c r="L2453" s="100"/>
      <c r="M2453" s="100"/>
      <c r="N2453" s="100"/>
      <c r="O2453" s="100"/>
      <c r="P2453" s="100"/>
    </row>
    <row r="2454">
      <c r="A2454" s="107">
        <v>203482.0</v>
      </c>
      <c r="B2454" s="108" t="s">
        <v>244</v>
      </c>
      <c r="C2454" s="108" t="s">
        <v>669</v>
      </c>
      <c r="D2454" s="112" t="s">
        <v>178</v>
      </c>
      <c r="E2454" s="112">
        <v>1944.8</v>
      </c>
      <c r="F2454" s="111" t="str">
        <f>DataPull!D2454</f>
        <v/>
      </c>
      <c r="G2454" s="94" t="str">
        <f t="shared" si="2"/>
        <v/>
      </c>
      <c r="H2454" s="94" t="str">
        <f t="shared" si="3"/>
        <v/>
      </c>
      <c r="I2454" s="94" t="str">
        <f t="shared" ref="I2454:J2454" si="2455">if(G2454 = "", , -G2454)</f>
        <v/>
      </c>
      <c r="J2454" s="94" t="str">
        <f t="shared" si="2455"/>
        <v/>
      </c>
      <c r="K2454" s="100"/>
      <c r="M2454" s="100"/>
      <c r="N2454" s="100"/>
      <c r="O2454" s="100"/>
      <c r="P2454" s="100"/>
    </row>
    <row r="2455">
      <c r="A2455" s="107">
        <v>203482.0</v>
      </c>
      <c r="B2455" s="108" t="s">
        <v>245</v>
      </c>
      <c r="C2455" s="108" t="s">
        <v>669</v>
      </c>
      <c r="D2455" s="112" t="s">
        <v>176</v>
      </c>
      <c r="E2455" s="112">
        <v>1755.0</v>
      </c>
      <c r="F2455" s="111" t="str">
        <f>DataPull!D2455</f>
        <v/>
      </c>
      <c r="G2455" s="94" t="str">
        <f t="shared" si="2"/>
        <v/>
      </c>
      <c r="H2455" s="94" t="str">
        <f t="shared" si="3"/>
        <v/>
      </c>
      <c r="I2455" s="94" t="str">
        <f t="shared" ref="I2455:J2455" si="2456">if(G2455 = "", , -G2455)</f>
        <v/>
      </c>
      <c r="J2455" s="94" t="str">
        <f t="shared" si="2456"/>
        <v/>
      </c>
      <c r="K2455" s="100"/>
      <c r="L2455" s="100"/>
      <c r="M2455" s="100"/>
      <c r="N2455" s="100"/>
      <c r="O2455" s="100"/>
      <c r="P2455" s="100"/>
    </row>
    <row r="2456">
      <c r="A2456" s="107">
        <v>203482.0</v>
      </c>
      <c r="B2456" s="108" t="s">
        <v>246</v>
      </c>
      <c r="C2456" s="108" t="s">
        <v>669</v>
      </c>
      <c r="D2456" s="112" t="s">
        <v>177</v>
      </c>
      <c r="E2456" s="112">
        <v>888.8</v>
      </c>
      <c r="F2456" s="111" t="str">
        <f>DataPull!D2456</f>
        <v/>
      </c>
      <c r="G2456" s="94" t="str">
        <f t="shared" si="2"/>
        <v/>
      </c>
      <c r="H2456" s="94" t="str">
        <f t="shared" si="3"/>
        <v/>
      </c>
      <c r="I2456" s="94" t="str">
        <f t="shared" ref="I2456:J2456" si="2457">if(G2456 = "", , -G2456)</f>
        <v/>
      </c>
      <c r="J2456" s="94" t="str">
        <f t="shared" si="2457"/>
        <v/>
      </c>
      <c r="K2456" s="100"/>
      <c r="M2456" s="100"/>
      <c r="N2456" s="100"/>
      <c r="O2456" s="100"/>
      <c r="P2456" s="100"/>
    </row>
    <row r="2457">
      <c r="A2457" s="114">
        <v>203482.0</v>
      </c>
      <c r="B2457" s="113" t="s">
        <v>247</v>
      </c>
      <c r="C2457" s="113" t="s">
        <v>669</v>
      </c>
      <c r="D2457" s="112" t="s">
        <v>187</v>
      </c>
      <c r="E2457" s="112">
        <v>361.2</v>
      </c>
      <c r="F2457" s="111" t="str">
        <f>DataPull!D2457</f>
        <v/>
      </c>
      <c r="G2457" s="94" t="str">
        <f t="shared" si="2"/>
        <v/>
      </c>
      <c r="H2457" s="94" t="str">
        <f t="shared" si="3"/>
        <v/>
      </c>
      <c r="I2457" s="94" t="str">
        <f t="shared" ref="I2457:J2457" si="2458">if(G2457 = "", , -G2457)</f>
        <v/>
      </c>
      <c r="J2457" s="94" t="str">
        <f t="shared" si="2458"/>
        <v/>
      </c>
      <c r="K2457" s="100"/>
      <c r="L2457" s="100"/>
      <c r="M2457" s="100"/>
      <c r="N2457" s="100"/>
      <c r="O2457" s="100"/>
      <c r="P2457" s="100"/>
    </row>
    <row r="2458">
      <c r="A2458" s="107">
        <v>203484.0</v>
      </c>
      <c r="B2458" s="108" t="s">
        <v>85</v>
      </c>
      <c r="C2458" s="108" t="s">
        <v>670</v>
      </c>
      <c r="D2458" s="112" t="s">
        <v>176</v>
      </c>
      <c r="E2458" s="112">
        <v>1584.0</v>
      </c>
      <c r="F2458" s="111" t="str">
        <f>DataPull!D2458</f>
        <v/>
      </c>
      <c r="G2458" s="94" t="str">
        <f t="shared" si="2"/>
        <v/>
      </c>
      <c r="H2458" s="94" t="str">
        <f t="shared" si="3"/>
        <v/>
      </c>
      <c r="I2458" s="94" t="str">
        <f t="shared" ref="I2458:J2458" si="2459">if(G2458 = "", , -G2458)</f>
        <v/>
      </c>
      <c r="J2458" s="94" t="str">
        <f t="shared" si="2459"/>
        <v/>
      </c>
      <c r="K2458" s="100"/>
      <c r="M2458" s="100"/>
      <c r="N2458" s="100"/>
      <c r="O2458" s="100"/>
      <c r="P2458" s="100"/>
    </row>
    <row r="2459">
      <c r="A2459" s="107">
        <v>203484.0</v>
      </c>
      <c r="B2459" s="108" t="s">
        <v>90</v>
      </c>
      <c r="C2459" s="108" t="s">
        <v>670</v>
      </c>
      <c r="D2459" s="112" t="s">
        <v>178</v>
      </c>
      <c r="E2459" s="112">
        <v>2583.0</v>
      </c>
      <c r="F2459" s="111" t="str">
        <f>DataPull!D2459</f>
        <v/>
      </c>
      <c r="G2459" s="94" t="str">
        <f t="shared" si="2"/>
        <v/>
      </c>
      <c r="H2459" s="94" t="str">
        <f t="shared" si="3"/>
        <v/>
      </c>
      <c r="I2459" s="94" t="str">
        <f t="shared" ref="I2459:J2459" si="2460">if(G2459 = "", , -G2459)</f>
        <v/>
      </c>
      <c r="J2459" s="94" t="str">
        <f t="shared" si="2460"/>
        <v/>
      </c>
      <c r="K2459" s="100"/>
      <c r="M2459" s="100"/>
      <c r="N2459" s="100"/>
      <c r="O2459" s="100"/>
      <c r="P2459" s="100"/>
    </row>
    <row r="2460">
      <c r="A2460" s="107">
        <v>203484.0</v>
      </c>
      <c r="B2460" s="108" t="s">
        <v>92</v>
      </c>
      <c r="C2460" s="108" t="s">
        <v>670</v>
      </c>
      <c r="D2460" s="112" t="s">
        <v>178</v>
      </c>
      <c r="E2460" s="112">
        <v>2789.2</v>
      </c>
      <c r="F2460" s="111" t="str">
        <f>DataPull!D2460</f>
        <v/>
      </c>
      <c r="G2460" s="94" t="str">
        <f t="shared" si="2"/>
        <v/>
      </c>
      <c r="H2460" s="94" t="str">
        <f t="shared" si="3"/>
        <v/>
      </c>
      <c r="I2460" s="94" t="str">
        <f t="shared" ref="I2460:J2460" si="2461">if(G2460 = "", , -G2460)</f>
        <v/>
      </c>
      <c r="J2460" s="94" t="str">
        <f t="shared" si="2461"/>
        <v/>
      </c>
      <c r="K2460" s="100"/>
      <c r="M2460" s="100"/>
      <c r="N2460" s="100"/>
      <c r="O2460" s="100"/>
      <c r="P2460" s="100"/>
    </row>
    <row r="2461">
      <c r="A2461" s="107">
        <v>203484.0</v>
      </c>
      <c r="B2461" s="108" t="s">
        <v>190</v>
      </c>
      <c r="C2461" s="108" t="s">
        <v>670</v>
      </c>
      <c r="D2461" s="112" t="s">
        <v>178</v>
      </c>
      <c r="E2461" s="112">
        <v>2530.8</v>
      </c>
      <c r="F2461" s="111" t="str">
        <f>DataPull!D2461</f>
        <v/>
      </c>
      <c r="G2461" s="94" t="str">
        <f t="shared" si="2"/>
        <v/>
      </c>
      <c r="H2461" s="94" t="str">
        <f t="shared" si="3"/>
        <v/>
      </c>
      <c r="I2461" s="94" t="str">
        <f t="shared" ref="I2461:J2461" si="2462">if(G2461 = "", , -G2461)</f>
        <v/>
      </c>
      <c r="J2461" s="94" t="str">
        <f t="shared" si="2462"/>
        <v/>
      </c>
      <c r="K2461" s="100"/>
      <c r="M2461" s="100"/>
      <c r="N2461" s="100"/>
      <c r="O2461" s="100"/>
      <c r="P2461" s="100"/>
    </row>
    <row r="2462">
      <c r="A2462" s="107">
        <v>203484.0</v>
      </c>
      <c r="B2462" s="108" t="s">
        <v>191</v>
      </c>
      <c r="C2462" s="108" t="s">
        <v>670</v>
      </c>
      <c r="D2462" s="112" t="s">
        <v>178</v>
      </c>
      <c r="E2462" s="112">
        <v>2456.8</v>
      </c>
      <c r="F2462" s="111" t="str">
        <f>DataPull!D2462</f>
        <v/>
      </c>
      <c r="G2462" s="94" t="str">
        <f t="shared" si="2"/>
        <v/>
      </c>
      <c r="H2462" s="94" t="str">
        <f t="shared" si="3"/>
        <v/>
      </c>
      <c r="I2462" s="94" t="str">
        <f t="shared" ref="I2462:J2462" si="2463">if(G2462 = "", , -G2462)</f>
        <v/>
      </c>
      <c r="J2462" s="94" t="str">
        <f t="shared" si="2463"/>
        <v/>
      </c>
      <c r="K2462" s="100"/>
      <c r="M2462" s="100"/>
      <c r="N2462" s="100"/>
      <c r="O2462" s="100"/>
      <c r="P2462" s="100"/>
    </row>
    <row r="2463">
      <c r="A2463" s="107">
        <v>203484.0</v>
      </c>
      <c r="B2463" s="108" t="s">
        <v>192</v>
      </c>
      <c r="C2463" s="108" t="s">
        <v>670</v>
      </c>
      <c r="D2463" s="112" t="s">
        <v>176</v>
      </c>
      <c r="E2463" s="112">
        <v>2033.6</v>
      </c>
      <c r="F2463" s="111" t="str">
        <f>DataPull!D2463</f>
        <v/>
      </c>
      <c r="G2463" s="94" t="str">
        <f t="shared" si="2"/>
        <v/>
      </c>
      <c r="H2463" s="94" t="str">
        <f t="shared" si="3"/>
        <v/>
      </c>
      <c r="I2463" s="94" t="str">
        <f t="shared" ref="I2463:J2463" si="2464">if(G2463 = "", , -G2463)</f>
        <v/>
      </c>
      <c r="J2463" s="94" t="str">
        <f t="shared" si="2464"/>
        <v/>
      </c>
      <c r="K2463" s="100"/>
      <c r="M2463" s="100"/>
      <c r="N2463" s="100"/>
      <c r="O2463" s="100"/>
      <c r="P2463" s="100"/>
    </row>
    <row r="2464">
      <c r="A2464" s="107">
        <v>203484.0</v>
      </c>
      <c r="B2464" s="108" t="s">
        <v>193</v>
      </c>
      <c r="C2464" s="108" t="s">
        <v>670</v>
      </c>
      <c r="D2464" s="112" t="s">
        <v>178</v>
      </c>
      <c r="E2464" s="112">
        <v>1759.5</v>
      </c>
      <c r="F2464" s="111" t="str">
        <f>DataPull!D2464</f>
        <v/>
      </c>
      <c r="G2464" s="94" t="str">
        <f t="shared" si="2"/>
        <v/>
      </c>
      <c r="H2464" s="94" t="str">
        <f t="shared" si="3"/>
        <v/>
      </c>
      <c r="I2464" s="94" t="str">
        <f t="shared" ref="I2464:J2464" si="2465">if(G2464 = "", , -G2464)</f>
        <v/>
      </c>
      <c r="J2464" s="94" t="str">
        <f t="shared" si="2465"/>
        <v/>
      </c>
      <c r="K2464" s="100"/>
      <c r="M2464" s="100"/>
      <c r="N2464" s="100"/>
      <c r="O2464" s="100"/>
      <c r="P2464" s="100"/>
    </row>
    <row r="2465">
      <c r="A2465" s="107">
        <v>203484.0</v>
      </c>
      <c r="B2465" s="108" t="s">
        <v>243</v>
      </c>
      <c r="C2465" s="108" t="s">
        <v>670</v>
      </c>
      <c r="D2465" s="112" t="s">
        <v>178</v>
      </c>
      <c r="E2465" s="112">
        <v>1902.8</v>
      </c>
      <c r="F2465" s="111" t="str">
        <f>DataPull!D2465</f>
        <v/>
      </c>
      <c r="G2465" s="94" t="str">
        <f t="shared" si="2"/>
        <v/>
      </c>
      <c r="H2465" s="94" t="str">
        <f t="shared" si="3"/>
        <v/>
      </c>
      <c r="I2465" s="94" t="str">
        <f t="shared" ref="I2465:J2465" si="2466">if(G2465 = "", , -G2465)</f>
        <v/>
      </c>
      <c r="J2465" s="94" t="str">
        <f t="shared" si="2466"/>
        <v/>
      </c>
      <c r="K2465" s="100"/>
      <c r="M2465" s="100"/>
      <c r="N2465" s="100"/>
      <c r="O2465" s="100"/>
      <c r="P2465" s="100"/>
    </row>
    <row r="2466">
      <c r="A2466" s="107">
        <v>203484.0</v>
      </c>
      <c r="B2466" s="108" t="s">
        <v>215</v>
      </c>
      <c r="C2466" s="108" t="s">
        <v>670</v>
      </c>
      <c r="D2466" s="112" t="s">
        <v>178</v>
      </c>
      <c r="E2466" s="112">
        <v>2325.4</v>
      </c>
      <c r="F2466" s="111" t="str">
        <f>DataPull!D2466</f>
        <v/>
      </c>
      <c r="G2466" s="94" t="str">
        <f t="shared" si="2"/>
        <v/>
      </c>
      <c r="H2466" s="94" t="str">
        <f t="shared" si="3"/>
        <v/>
      </c>
      <c r="I2466" s="94" t="str">
        <f t="shared" ref="I2466:J2466" si="2467">if(G2466 = "", , -G2466)</f>
        <v/>
      </c>
      <c r="J2466" s="94" t="str">
        <f t="shared" si="2467"/>
        <v/>
      </c>
      <c r="K2466" s="100"/>
      <c r="M2466" s="100"/>
      <c r="N2466" s="100"/>
      <c r="O2466" s="100"/>
      <c r="P2466" s="100"/>
    </row>
    <row r="2467">
      <c r="A2467" s="107">
        <v>203484.0</v>
      </c>
      <c r="B2467" s="108" t="s">
        <v>244</v>
      </c>
      <c r="C2467" s="108" t="s">
        <v>670</v>
      </c>
      <c r="D2467" s="112" t="s">
        <v>178</v>
      </c>
      <c r="E2467" s="112">
        <v>2378.8</v>
      </c>
      <c r="F2467" s="111" t="str">
        <f>DataPull!D2467</f>
        <v/>
      </c>
      <c r="G2467" s="94" t="str">
        <f t="shared" si="2"/>
        <v/>
      </c>
      <c r="H2467" s="94" t="str">
        <f t="shared" si="3"/>
        <v/>
      </c>
      <c r="I2467" s="94" t="str">
        <f t="shared" ref="I2467:J2467" si="2468">if(G2467 = "", , -G2467)</f>
        <v/>
      </c>
      <c r="J2467" s="94" t="str">
        <f t="shared" si="2468"/>
        <v/>
      </c>
      <c r="K2467" s="100"/>
      <c r="M2467" s="100"/>
      <c r="N2467" s="100"/>
      <c r="O2467" s="100"/>
      <c r="P2467" s="100"/>
    </row>
    <row r="2468">
      <c r="A2468" s="107">
        <v>203484.0</v>
      </c>
      <c r="B2468" s="108" t="s">
        <v>245</v>
      </c>
      <c r="C2468" s="108" t="s">
        <v>670</v>
      </c>
      <c r="D2468" s="112" t="s">
        <v>178</v>
      </c>
      <c r="E2468" s="112">
        <v>2401.6</v>
      </c>
      <c r="F2468" s="111" t="str">
        <f>DataPull!D2468</f>
        <v/>
      </c>
      <c r="G2468" s="94" t="str">
        <f t="shared" si="2"/>
        <v/>
      </c>
      <c r="H2468" s="94" t="str">
        <f t="shared" si="3"/>
        <v/>
      </c>
      <c r="I2468" s="94" t="str">
        <f t="shared" ref="I2468:J2468" si="2469">if(G2468 = "", , -G2468)</f>
        <v/>
      </c>
      <c r="J2468" s="94" t="str">
        <f t="shared" si="2469"/>
        <v/>
      </c>
      <c r="K2468" s="100"/>
      <c r="M2468" s="100"/>
      <c r="N2468" s="100"/>
      <c r="O2468" s="100"/>
      <c r="P2468" s="100"/>
    </row>
    <row r="2469">
      <c r="A2469" s="107">
        <v>203484.0</v>
      </c>
      <c r="B2469" s="108" t="s">
        <v>246</v>
      </c>
      <c r="C2469" s="108" t="s">
        <v>670</v>
      </c>
      <c r="D2469" s="112" t="s">
        <v>178</v>
      </c>
      <c r="E2469" s="112">
        <v>2279.2</v>
      </c>
      <c r="F2469" s="111" t="str">
        <f>DataPull!D2469</f>
        <v/>
      </c>
      <c r="G2469" s="94" t="str">
        <f t="shared" si="2"/>
        <v/>
      </c>
      <c r="H2469" s="94" t="str">
        <f t="shared" si="3"/>
        <v/>
      </c>
      <c r="I2469" s="94" t="str">
        <f t="shared" ref="I2469:J2469" si="2470">if(G2469 = "", , -G2469)</f>
        <v/>
      </c>
      <c r="J2469" s="94" t="str">
        <f t="shared" si="2470"/>
        <v/>
      </c>
      <c r="K2469" s="100"/>
      <c r="M2469" s="100"/>
      <c r="N2469" s="100"/>
      <c r="O2469" s="100"/>
      <c r="P2469" s="100"/>
    </row>
    <row r="2470">
      <c r="A2470" s="114">
        <v>203484.0</v>
      </c>
      <c r="B2470" s="113" t="s">
        <v>247</v>
      </c>
      <c r="C2470" s="113" t="s">
        <v>670</v>
      </c>
      <c r="D2470" s="112" t="s">
        <v>176</v>
      </c>
      <c r="E2470" s="112">
        <v>1086.3</v>
      </c>
      <c r="F2470" s="111" t="str">
        <f>DataPull!D2470</f>
        <v/>
      </c>
      <c r="G2470" s="94" t="str">
        <f t="shared" si="2"/>
        <v/>
      </c>
      <c r="H2470" s="94" t="str">
        <f t="shared" si="3"/>
        <v/>
      </c>
      <c r="I2470" s="94" t="str">
        <f t="shared" ref="I2470:J2470" si="2471">if(G2470 = "", , -G2470)</f>
        <v/>
      </c>
      <c r="J2470" s="94" t="str">
        <f t="shared" si="2471"/>
        <v/>
      </c>
      <c r="K2470" s="100"/>
      <c r="M2470" s="100"/>
      <c r="N2470" s="100"/>
      <c r="O2470" s="100"/>
      <c r="P2470" s="100"/>
    </row>
    <row r="2471">
      <c r="A2471" s="107">
        <v>203485.0</v>
      </c>
      <c r="B2471" s="108" t="s">
        <v>85</v>
      </c>
      <c r="C2471" s="108" t="s">
        <v>671</v>
      </c>
      <c r="D2471" s="112" t="s">
        <v>187</v>
      </c>
      <c r="E2471" s="112">
        <v>223.6</v>
      </c>
      <c r="F2471" s="111" t="str">
        <f>DataPull!D2471</f>
        <v/>
      </c>
      <c r="G2471" s="94" t="str">
        <f t="shared" si="2"/>
        <v/>
      </c>
      <c r="H2471" s="94" t="str">
        <f t="shared" si="3"/>
        <v/>
      </c>
      <c r="I2471" s="94" t="str">
        <f t="shared" ref="I2471:J2471" si="2472">if(G2471 = "", , -G2471)</f>
        <v/>
      </c>
      <c r="J2471" s="94" t="str">
        <f t="shared" si="2472"/>
        <v/>
      </c>
      <c r="K2471" s="100"/>
      <c r="M2471" s="100"/>
      <c r="N2471" s="100"/>
      <c r="O2471" s="100"/>
      <c r="P2471" s="100"/>
    </row>
    <row r="2472">
      <c r="A2472" s="107">
        <v>203485.0</v>
      </c>
      <c r="B2472" s="108" t="s">
        <v>90</v>
      </c>
      <c r="C2472" s="108" t="s">
        <v>671</v>
      </c>
      <c r="D2472" s="112" t="s">
        <v>177</v>
      </c>
      <c r="E2472" s="112">
        <v>548.1</v>
      </c>
      <c r="F2472" s="111" t="str">
        <f>DataPull!D2472</f>
        <v/>
      </c>
      <c r="G2472" s="94" t="str">
        <f t="shared" si="2"/>
        <v/>
      </c>
      <c r="H2472" s="94" t="str">
        <f t="shared" si="3"/>
        <v/>
      </c>
      <c r="I2472" s="94" t="str">
        <f t="shared" ref="I2472:J2472" si="2473">if(G2472 = "", , -G2472)</f>
        <v/>
      </c>
      <c r="J2472" s="94" t="str">
        <f t="shared" si="2473"/>
        <v/>
      </c>
      <c r="K2472" s="100"/>
      <c r="L2472" s="100"/>
      <c r="N2472" s="100"/>
      <c r="O2472" s="100"/>
      <c r="P2472" s="100"/>
    </row>
    <row r="2473">
      <c r="A2473" s="107">
        <v>203485.0</v>
      </c>
      <c r="B2473" s="108" t="s">
        <v>92</v>
      </c>
      <c r="C2473" s="108" t="s">
        <v>671</v>
      </c>
      <c r="D2473" s="112" t="s">
        <v>181</v>
      </c>
      <c r="E2473" s="112">
        <v>60.8</v>
      </c>
      <c r="F2473" s="111" t="str">
        <f>DataPull!D2473</f>
        <v/>
      </c>
      <c r="G2473" s="94" t="str">
        <f t="shared" si="2"/>
        <v/>
      </c>
      <c r="H2473" s="94" t="str">
        <f t="shared" si="3"/>
        <v/>
      </c>
      <c r="I2473" s="94" t="str">
        <f t="shared" ref="I2473:J2473" si="2474">if(G2473 = "", , -G2473)</f>
        <v/>
      </c>
      <c r="J2473" s="94" t="str">
        <f t="shared" si="2474"/>
        <v/>
      </c>
      <c r="K2473" s="100"/>
      <c r="N2473" s="100"/>
      <c r="O2473" s="100"/>
      <c r="P2473" s="100"/>
    </row>
    <row r="2474">
      <c r="A2474" s="107">
        <v>203485.0</v>
      </c>
      <c r="B2474" s="108" t="s">
        <v>191</v>
      </c>
      <c r="C2474" s="108" t="s">
        <v>671</v>
      </c>
      <c r="D2474" s="112" t="s">
        <v>187</v>
      </c>
      <c r="E2474" s="112">
        <v>138.6</v>
      </c>
      <c r="F2474" s="111" t="str">
        <f>DataPull!D2474</f>
        <v/>
      </c>
      <c r="G2474" s="94" t="str">
        <f t="shared" si="2"/>
        <v/>
      </c>
      <c r="H2474" s="94" t="str">
        <f t="shared" si="3"/>
        <v/>
      </c>
      <c r="I2474" s="94" t="str">
        <f t="shared" ref="I2474:J2474" si="2475">if(G2474 = "", , -G2474)</f>
        <v/>
      </c>
      <c r="J2474" s="94" t="str">
        <f t="shared" si="2475"/>
        <v/>
      </c>
      <c r="K2474" s="100"/>
      <c r="M2474" s="100"/>
      <c r="N2474" s="100"/>
      <c r="O2474" s="100"/>
      <c r="P2474" s="100"/>
    </row>
    <row r="2475">
      <c r="A2475" s="107">
        <v>203485.0</v>
      </c>
      <c r="B2475" s="108" t="s">
        <v>192</v>
      </c>
      <c r="C2475" s="108" t="s">
        <v>671</v>
      </c>
      <c r="D2475" s="112" t="s">
        <v>187</v>
      </c>
      <c r="E2475" s="112">
        <v>213.2</v>
      </c>
      <c r="F2475" s="111" t="str">
        <f>DataPull!D2475</f>
        <v/>
      </c>
      <c r="G2475" s="94" t="str">
        <f t="shared" si="2"/>
        <v/>
      </c>
      <c r="H2475" s="94" t="str">
        <f t="shared" si="3"/>
        <v/>
      </c>
      <c r="I2475" s="94" t="str">
        <f t="shared" ref="I2475:J2475" si="2476">if(G2475 = "", , -G2475)</f>
        <v/>
      </c>
      <c r="J2475" s="94" t="str">
        <f t="shared" si="2476"/>
        <v/>
      </c>
      <c r="K2475" s="100"/>
      <c r="M2475" s="100"/>
      <c r="N2475" s="100"/>
      <c r="O2475" s="100"/>
      <c r="P2475" s="100"/>
    </row>
    <row r="2476">
      <c r="A2476" s="107">
        <v>203486.0</v>
      </c>
      <c r="B2476" s="108" t="s">
        <v>85</v>
      </c>
      <c r="C2476" s="108" t="s">
        <v>672</v>
      </c>
      <c r="D2476" s="112" t="s">
        <v>177</v>
      </c>
      <c r="E2476" s="112">
        <v>1274.0</v>
      </c>
      <c r="F2476" s="111" t="str">
        <f>DataPull!D2476</f>
        <v/>
      </c>
      <c r="G2476" s="94" t="str">
        <f t="shared" si="2"/>
        <v/>
      </c>
      <c r="H2476" s="94" t="str">
        <f t="shared" si="3"/>
        <v/>
      </c>
      <c r="I2476" s="94" t="str">
        <f t="shared" ref="I2476:J2476" si="2477">if(G2476 = "", , -G2476)</f>
        <v/>
      </c>
      <c r="J2476" s="94" t="str">
        <f t="shared" si="2477"/>
        <v/>
      </c>
      <c r="K2476" s="100"/>
      <c r="N2476" s="100"/>
      <c r="O2476" s="100"/>
      <c r="P2476" s="100"/>
    </row>
    <row r="2477">
      <c r="A2477" s="107">
        <v>203486.0</v>
      </c>
      <c r="B2477" s="108" t="s">
        <v>90</v>
      </c>
      <c r="C2477" s="108" t="s">
        <v>672</v>
      </c>
      <c r="D2477" s="112" t="s">
        <v>176</v>
      </c>
      <c r="E2477" s="112">
        <v>1746.6</v>
      </c>
      <c r="F2477" s="111" t="str">
        <f>DataPull!D2477</f>
        <v/>
      </c>
      <c r="G2477" s="94" t="str">
        <f t="shared" si="2"/>
        <v/>
      </c>
      <c r="H2477" s="94" t="str">
        <f t="shared" si="3"/>
        <v/>
      </c>
      <c r="I2477" s="94" t="str">
        <f t="shared" ref="I2477:J2477" si="2478">if(G2477 = "", , -G2477)</f>
        <v/>
      </c>
      <c r="J2477" s="94" t="str">
        <f t="shared" si="2478"/>
        <v/>
      </c>
      <c r="K2477" s="100"/>
      <c r="N2477" s="100"/>
      <c r="O2477" s="100"/>
      <c r="P2477" s="100"/>
    </row>
    <row r="2478">
      <c r="A2478" s="107">
        <v>203486.0</v>
      </c>
      <c r="B2478" s="108" t="s">
        <v>92</v>
      </c>
      <c r="C2478" s="108" t="s">
        <v>672</v>
      </c>
      <c r="D2478" s="112" t="s">
        <v>178</v>
      </c>
      <c r="E2478" s="112">
        <v>2082.8</v>
      </c>
      <c r="F2478" s="111" t="str">
        <f>DataPull!D2478</f>
        <v/>
      </c>
      <c r="G2478" s="94" t="str">
        <f t="shared" si="2"/>
        <v/>
      </c>
      <c r="H2478" s="94" t="str">
        <f t="shared" si="3"/>
        <v/>
      </c>
      <c r="I2478" s="94" t="str">
        <f t="shared" ref="I2478:J2478" si="2479">if(G2478 = "", , -G2478)</f>
        <v/>
      </c>
      <c r="J2478" s="94" t="str">
        <f t="shared" si="2479"/>
        <v/>
      </c>
      <c r="K2478" s="100"/>
      <c r="N2478" s="100"/>
      <c r="O2478" s="100"/>
      <c r="P2478" s="100"/>
    </row>
    <row r="2479">
      <c r="A2479" s="107">
        <v>203486.0</v>
      </c>
      <c r="B2479" s="108" t="s">
        <v>190</v>
      </c>
      <c r="C2479" s="108" t="s">
        <v>672</v>
      </c>
      <c r="D2479" s="112" t="s">
        <v>176</v>
      </c>
      <c r="E2479" s="112">
        <v>2146.5</v>
      </c>
      <c r="F2479" s="111" t="str">
        <f>DataPull!D2479</f>
        <v/>
      </c>
      <c r="G2479" s="94" t="str">
        <f t="shared" si="2"/>
        <v/>
      </c>
      <c r="H2479" s="94" t="str">
        <f t="shared" si="3"/>
        <v/>
      </c>
      <c r="I2479" s="94" t="str">
        <f t="shared" ref="I2479:J2479" si="2480">if(G2479 = "", , -G2479)</f>
        <v/>
      </c>
      <c r="J2479" s="94" t="str">
        <f t="shared" si="2480"/>
        <v/>
      </c>
      <c r="K2479" s="100"/>
      <c r="N2479" s="100"/>
      <c r="O2479" s="100"/>
      <c r="P2479" s="100"/>
    </row>
    <row r="2480">
      <c r="A2480" s="107">
        <v>203486.0</v>
      </c>
      <c r="B2480" s="108" t="s">
        <v>191</v>
      </c>
      <c r="C2480" s="108" t="s">
        <v>672</v>
      </c>
      <c r="D2480" s="112" t="s">
        <v>177</v>
      </c>
      <c r="E2480" s="112">
        <v>1443.0</v>
      </c>
      <c r="F2480" s="111" t="str">
        <f>DataPull!D2480</f>
        <v/>
      </c>
      <c r="G2480" s="94" t="str">
        <f t="shared" si="2"/>
        <v/>
      </c>
      <c r="H2480" s="94" t="str">
        <f t="shared" si="3"/>
        <v/>
      </c>
      <c r="I2480" s="94" t="str">
        <f t="shared" ref="I2480:J2480" si="2481">if(G2480 = "", , -G2480)</f>
        <v/>
      </c>
      <c r="J2480" s="94" t="str">
        <f t="shared" si="2481"/>
        <v/>
      </c>
      <c r="K2480" s="100"/>
      <c r="M2480" s="100"/>
      <c r="N2480" s="100"/>
      <c r="O2480" s="100"/>
      <c r="P2480" s="100"/>
    </row>
    <row r="2481">
      <c r="A2481" s="107">
        <v>203486.0</v>
      </c>
      <c r="B2481" s="108" t="s">
        <v>192</v>
      </c>
      <c r="C2481" s="108" t="s">
        <v>672</v>
      </c>
      <c r="D2481" s="112" t="s">
        <v>176</v>
      </c>
      <c r="E2481" s="112">
        <v>1730.2</v>
      </c>
      <c r="F2481" s="111" t="str">
        <f>DataPull!D2481</f>
        <v/>
      </c>
      <c r="G2481" s="94" t="str">
        <f t="shared" si="2"/>
        <v/>
      </c>
      <c r="H2481" s="94" t="str">
        <f t="shared" si="3"/>
        <v/>
      </c>
      <c r="I2481" s="94" t="str">
        <f t="shared" ref="I2481:J2481" si="2482">if(G2481 = "", , -G2481)</f>
        <v/>
      </c>
      <c r="J2481" s="94" t="str">
        <f t="shared" si="2482"/>
        <v/>
      </c>
      <c r="K2481" s="100"/>
      <c r="M2481" s="100"/>
      <c r="N2481" s="100"/>
      <c r="O2481" s="100"/>
      <c r="P2481" s="100"/>
    </row>
    <row r="2482">
      <c r="A2482" s="107">
        <v>203486.0</v>
      </c>
      <c r="B2482" s="108" t="s">
        <v>193</v>
      </c>
      <c r="C2482" s="108" t="s">
        <v>672</v>
      </c>
      <c r="D2482" s="112" t="s">
        <v>177</v>
      </c>
      <c r="E2482" s="112">
        <v>1055.3</v>
      </c>
      <c r="F2482" s="111" t="str">
        <f>DataPull!D2482</f>
        <v/>
      </c>
      <c r="G2482" s="94" t="str">
        <f t="shared" si="2"/>
        <v/>
      </c>
      <c r="H2482" s="94" t="str">
        <f t="shared" si="3"/>
        <v/>
      </c>
      <c r="I2482" s="94" t="str">
        <f t="shared" ref="I2482:J2482" si="2483">if(G2482 = "", , -G2482)</f>
        <v/>
      </c>
      <c r="J2482" s="94" t="str">
        <f t="shared" si="2483"/>
        <v/>
      </c>
      <c r="N2482" s="100"/>
      <c r="O2482" s="100"/>
      <c r="P2482" s="100"/>
    </row>
    <row r="2483">
      <c r="A2483" s="107">
        <v>203486.0</v>
      </c>
      <c r="B2483" s="108" t="s">
        <v>243</v>
      </c>
      <c r="C2483" s="108" t="s">
        <v>672</v>
      </c>
      <c r="D2483" s="112" t="s">
        <v>178</v>
      </c>
      <c r="E2483" s="112">
        <v>1500.8</v>
      </c>
      <c r="F2483" s="111" t="str">
        <f>DataPull!D2483</f>
        <v/>
      </c>
      <c r="G2483" s="94" t="str">
        <f t="shared" si="2"/>
        <v/>
      </c>
      <c r="H2483" s="94" t="str">
        <f t="shared" si="3"/>
        <v/>
      </c>
      <c r="I2483" s="94" t="str">
        <f t="shared" ref="I2483:J2483" si="2484">if(G2483 = "", , -G2483)</f>
        <v/>
      </c>
      <c r="J2483" s="94" t="str">
        <f t="shared" si="2484"/>
        <v/>
      </c>
      <c r="K2483" s="100"/>
      <c r="L2483" s="100"/>
      <c r="N2483" s="100"/>
      <c r="O2483" s="100"/>
      <c r="P2483" s="100"/>
    </row>
    <row r="2484">
      <c r="A2484" s="107">
        <v>203486.0</v>
      </c>
      <c r="B2484" s="108" t="s">
        <v>215</v>
      </c>
      <c r="C2484" s="108" t="s">
        <v>672</v>
      </c>
      <c r="D2484" s="112" t="s">
        <v>176</v>
      </c>
      <c r="E2484" s="112">
        <v>1795.8</v>
      </c>
      <c r="F2484" s="111" t="str">
        <f>DataPull!D2484</f>
        <v/>
      </c>
      <c r="G2484" s="94" t="str">
        <f t="shared" si="2"/>
        <v/>
      </c>
      <c r="H2484" s="94" t="str">
        <f t="shared" si="3"/>
        <v/>
      </c>
      <c r="I2484" s="94" t="str">
        <f t="shared" ref="I2484:J2484" si="2485">if(G2484 = "", , -G2484)</f>
        <v/>
      </c>
      <c r="J2484" s="94" t="str">
        <f t="shared" si="2485"/>
        <v/>
      </c>
      <c r="K2484" s="100"/>
      <c r="M2484" s="100"/>
      <c r="N2484" s="100"/>
      <c r="O2484" s="100"/>
      <c r="P2484" s="100"/>
    </row>
    <row r="2485">
      <c r="A2485" s="107">
        <v>203486.0</v>
      </c>
      <c r="B2485" s="108" t="s">
        <v>244</v>
      </c>
      <c r="C2485" s="108" t="s">
        <v>672</v>
      </c>
      <c r="D2485" s="112" t="s">
        <v>176</v>
      </c>
      <c r="E2485" s="112">
        <v>2054.0</v>
      </c>
      <c r="F2485" s="111" t="str">
        <f>DataPull!D2485</f>
        <v/>
      </c>
      <c r="G2485" s="94" t="str">
        <f t="shared" si="2"/>
        <v/>
      </c>
      <c r="H2485" s="94" t="str">
        <f t="shared" si="3"/>
        <v/>
      </c>
      <c r="I2485" s="94" t="str">
        <f t="shared" ref="I2485:J2485" si="2486">if(G2485 = "", , -G2485)</f>
        <v/>
      </c>
      <c r="J2485" s="94" t="str">
        <f t="shared" si="2486"/>
        <v/>
      </c>
      <c r="K2485" s="100"/>
      <c r="L2485" s="100"/>
      <c r="N2485" s="100"/>
      <c r="O2485" s="100"/>
      <c r="P2485" s="100"/>
    </row>
    <row r="2486">
      <c r="A2486" s="107">
        <v>203486.0</v>
      </c>
      <c r="B2486" s="108" t="s">
        <v>245</v>
      </c>
      <c r="C2486" s="108" t="s">
        <v>672</v>
      </c>
      <c r="D2486" s="112" t="s">
        <v>177</v>
      </c>
      <c r="E2486" s="112">
        <v>676.2</v>
      </c>
      <c r="F2486" s="111" t="str">
        <f>DataPull!D2486</f>
        <v/>
      </c>
      <c r="G2486" s="94" t="str">
        <f t="shared" si="2"/>
        <v/>
      </c>
      <c r="H2486" s="94" t="str">
        <f t="shared" si="3"/>
        <v/>
      </c>
      <c r="I2486" s="94" t="str">
        <f t="shared" ref="I2486:J2486" si="2487">if(G2486 = "", , -G2486)</f>
        <v/>
      </c>
      <c r="J2486" s="94" t="str">
        <f t="shared" si="2487"/>
        <v/>
      </c>
      <c r="K2486" s="100"/>
      <c r="M2486" s="100"/>
      <c r="N2486" s="100"/>
      <c r="O2486" s="100"/>
      <c r="P2486" s="100"/>
    </row>
    <row r="2487">
      <c r="A2487" s="107">
        <v>203486.0</v>
      </c>
      <c r="B2487" s="108" t="s">
        <v>246</v>
      </c>
      <c r="C2487" s="108" t="s">
        <v>672</v>
      </c>
      <c r="D2487" s="112" t="s">
        <v>177</v>
      </c>
      <c r="E2487" s="112">
        <v>1302.4</v>
      </c>
      <c r="F2487" s="111" t="str">
        <f>DataPull!D2487</f>
        <v/>
      </c>
      <c r="G2487" s="94" t="str">
        <f t="shared" si="2"/>
        <v/>
      </c>
      <c r="H2487" s="94" t="str">
        <f t="shared" si="3"/>
        <v/>
      </c>
      <c r="I2487" s="94" t="str">
        <f t="shared" ref="I2487:J2487" si="2488">if(G2487 = "", , -G2487)</f>
        <v/>
      </c>
      <c r="J2487" s="94" t="str">
        <f t="shared" si="2488"/>
        <v/>
      </c>
      <c r="K2487" s="100"/>
      <c r="M2487" s="100"/>
      <c r="N2487" s="100"/>
      <c r="O2487" s="100"/>
      <c r="P2487" s="100"/>
    </row>
    <row r="2488">
      <c r="A2488" s="114">
        <v>203486.0</v>
      </c>
      <c r="B2488" s="113" t="s">
        <v>247</v>
      </c>
      <c r="C2488" s="113" t="s">
        <v>672</v>
      </c>
      <c r="D2488" s="112" t="s">
        <v>187</v>
      </c>
      <c r="E2488" s="112">
        <v>172.0</v>
      </c>
      <c r="F2488" s="111" t="str">
        <f>DataPull!D2488</f>
        <v/>
      </c>
      <c r="G2488" s="94" t="str">
        <f t="shared" si="2"/>
        <v/>
      </c>
      <c r="H2488" s="94" t="str">
        <f t="shared" si="3"/>
        <v/>
      </c>
      <c r="I2488" s="94" t="str">
        <f t="shared" ref="I2488:J2488" si="2489">if(G2488 = "", , -G2488)</f>
        <v/>
      </c>
      <c r="J2488" s="94" t="str">
        <f t="shared" si="2489"/>
        <v/>
      </c>
      <c r="K2488" s="100"/>
      <c r="M2488" s="100"/>
      <c r="N2488" s="100"/>
      <c r="O2488" s="100"/>
      <c r="P2488" s="100"/>
    </row>
    <row r="2489">
      <c r="A2489" s="107">
        <v>203487.0</v>
      </c>
      <c r="B2489" s="108" t="s">
        <v>85</v>
      </c>
      <c r="C2489" s="108" t="s">
        <v>673</v>
      </c>
      <c r="D2489" s="112" t="s">
        <v>178</v>
      </c>
      <c r="E2489" s="112">
        <v>2415.0</v>
      </c>
      <c r="F2489" s="111" t="str">
        <f>DataPull!D2489</f>
        <v/>
      </c>
      <c r="G2489" s="94" t="str">
        <f t="shared" si="2"/>
        <v/>
      </c>
      <c r="H2489" s="94" t="str">
        <f t="shared" si="3"/>
        <v/>
      </c>
      <c r="I2489" s="94" t="str">
        <f t="shared" ref="I2489:J2489" si="2490">if(G2489 = "", , -G2489)</f>
        <v/>
      </c>
      <c r="J2489" s="94" t="str">
        <f t="shared" si="2490"/>
        <v/>
      </c>
      <c r="K2489" s="100"/>
      <c r="M2489" s="100"/>
      <c r="N2489" s="100"/>
      <c r="O2489" s="100"/>
      <c r="P2489" s="100"/>
    </row>
    <row r="2490">
      <c r="A2490" s="107">
        <v>203487.0</v>
      </c>
      <c r="B2490" s="108" t="s">
        <v>90</v>
      </c>
      <c r="C2490" s="108" t="s">
        <v>673</v>
      </c>
      <c r="D2490" s="112" t="s">
        <v>178</v>
      </c>
      <c r="E2490" s="112">
        <v>2151.6</v>
      </c>
      <c r="F2490" s="111" t="str">
        <f>DataPull!D2490</f>
        <v/>
      </c>
      <c r="G2490" s="94" t="str">
        <f t="shared" si="2"/>
        <v/>
      </c>
      <c r="H2490" s="94" t="str">
        <f t="shared" si="3"/>
        <v/>
      </c>
      <c r="I2490" s="94" t="str">
        <f t="shared" ref="I2490:J2490" si="2491">if(G2490 = "", , -G2490)</f>
        <v/>
      </c>
      <c r="J2490" s="94" t="str">
        <f t="shared" si="2491"/>
        <v/>
      </c>
      <c r="K2490" s="100"/>
      <c r="M2490" s="100"/>
      <c r="N2490" s="100"/>
      <c r="O2490" s="100"/>
      <c r="P2490" s="100"/>
    </row>
    <row r="2491">
      <c r="A2491" s="107">
        <v>203487.0</v>
      </c>
      <c r="B2491" s="108" t="s">
        <v>92</v>
      </c>
      <c r="C2491" s="108" t="s">
        <v>673</v>
      </c>
      <c r="D2491" s="112" t="s">
        <v>178</v>
      </c>
      <c r="E2491" s="112">
        <v>1647.0</v>
      </c>
      <c r="F2491" s="111" t="str">
        <f>DataPull!D2491</f>
        <v/>
      </c>
      <c r="G2491" s="94" t="str">
        <f t="shared" si="2"/>
        <v/>
      </c>
      <c r="H2491" s="94" t="str">
        <f t="shared" si="3"/>
        <v/>
      </c>
      <c r="I2491" s="94" t="str">
        <f t="shared" ref="I2491:J2491" si="2492">if(G2491 = "", , -G2491)</f>
        <v/>
      </c>
      <c r="J2491" s="94" t="str">
        <f t="shared" si="2492"/>
        <v/>
      </c>
      <c r="K2491" s="100"/>
      <c r="M2491" s="100"/>
      <c r="N2491" s="100"/>
      <c r="O2491" s="100"/>
      <c r="P2491" s="100"/>
    </row>
    <row r="2492">
      <c r="A2492" s="107">
        <v>203487.0</v>
      </c>
      <c r="B2492" s="108" t="s">
        <v>190</v>
      </c>
      <c r="C2492" s="108" t="s">
        <v>673</v>
      </c>
      <c r="D2492" s="112" t="s">
        <v>177</v>
      </c>
      <c r="E2492" s="112">
        <v>846.0</v>
      </c>
      <c r="F2492" s="111" t="str">
        <f>DataPull!D2492</f>
        <v/>
      </c>
      <c r="G2492" s="94" t="str">
        <f t="shared" si="2"/>
        <v/>
      </c>
      <c r="H2492" s="94" t="str">
        <f t="shared" si="3"/>
        <v/>
      </c>
      <c r="I2492" s="94" t="str">
        <f t="shared" ref="I2492:J2492" si="2493">if(G2492 = "", , -G2492)</f>
        <v/>
      </c>
      <c r="J2492" s="94" t="str">
        <f t="shared" si="2493"/>
        <v/>
      </c>
      <c r="K2492" s="100"/>
      <c r="M2492" s="100"/>
      <c r="N2492" s="100"/>
      <c r="O2492" s="100"/>
      <c r="P2492" s="100"/>
    </row>
    <row r="2493">
      <c r="A2493" s="107">
        <v>203487.0</v>
      </c>
      <c r="B2493" s="108" t="s">
        <v>191</v>
      </c>
      <c r="C2493" s="108" t="s">
        <v>673</v>
      </c>
      <c r="D2493" s="112" t="s">
        <v>177</v>
      </c>
      <c r="E2493" s="112">
        <v>837.2</v>
      </c>
      <c r="F2493" s="111" t="str">
        <f>DataPull!D2493</f>
        <v/>
      </c>
      <c r="G2493" s="94" t="str">
        <f t="shared" si="2"/>
        <v/>
      </c>
      <c r="H2493" s="94" t="str">
        <f t="shared" si="3"/>
        <v/>
      </c>
      <c r="I2493" s="94" t="str">
        <f t="shared" ref="I2493:J2493" si="2494">if(G2493 = "", , -G2493)</f>
        <v/>
      </c>
      <c r="J2493" s="94" t="str">
        <f t="shared" si="2494"/>
        <v/>
      </c>
      <c r="K2493" s="100"/>
      <c r="L2493" s="100"/>
      <c r="M2493" s="100"/>
      <c r="N2493" s="100"/>
      <c r="O2493" s="100"/>
      <c r="P2493" s="100"/>
    </row>
    <row r="2494">
      <c r="A2494" s="107">
        <v>203487.0</v>
      </c>
      <c r="B2494" s="108" t="s">
        <v>192</v>
      </c>
      <c r="C2494" s="108" t="s">
        <v>673</v>
      </c>
      <c r="D2494" s="112" t="s">
        <v>187</v>
      </c>
      <c r="E2494" s="112">
        <v>372.4</v>
      </c>
      <c r="F2494" s="111" t="str">
        <f>DataPull!D2494</f>
        <v/>
      </c>
      <c r="G2494" s="94" t="str">
        <f t="shared" si="2"/>
        <v/>
      </c>
      <c r="H2494" s="94" t="str">
        <f t="shared" si="3"/>
        <v/>
      </c>
      <c r="I2494" s="94" t="str">
        <f t="shared" ref="I2494:J2494" si="2495">if(G2494 = "", , -G2494)</f>
        <v/>
      </c>
      <c r="J2494" s="94" t="str">
        <f t="shared" si="2495"/>
        <v/>
      </c>
      <c r="K2494" s="100"/>
      <c r="M2494" s="100"/>
      <c r="N2494" s="100"/>
      <c r="O2494" s="100"/>
      <c r="P2494" s="100"/>
    </row>
    <row r="2495">
      <c r="A2495" s="107">
        <v>203487.0</v>
      </c>
      <c r="B2495" s="108" t="s">
        <v>193</v>
      </c>
      <c r="C2495" s="108" t="s">
        <v>673</v>
      </c>
      <c r="D2495" s="112" t="s">
        <v>177</v>
      </c>
      <c r="E2495" s="112">
        <v>832.5</v>
      </c>
      <c r="F2495" s="111" t="str">
        <f>DataPull!D2495</f>
        <v/>
      </c>
      <c r="G2495" s="94" t="str">
        <f t="shared" si="2"/>
        <v/>
      </c>
      <c r="H2495" s="94" t="str">
        <f t="shared" si="3"/>
        <v/>
      </c>
      <c r="I2495" s="94" t="str">
        <f t="shared" ref="I2495:J2495" si="2496">if(G2495 = "", , -G2495)</f>
        <v/>
      </c>
      <c r="J2495" s="94" t="str">
        <f t="shared" si="2496"/>
        <v/>
      </c>
      <c r="K2495" s="100"/>
      <c r="M2495" s="100"/>
      <c r="N2495" s="100"/>
      <c r="O2495" s="100"/>
      <c r="P2495" s="100"/>
    </row>
    <row r="2496">
      <c r="A2496" s="107">
        <v>203487.0</v>
      </c>
      <c r="B2496" s="108" t="s">
        <v>243</v>
      </c>
      <c r="C2496" s="108" t="s">
        <v>673</v>
      </c>
      <c r="D2496" s="112" t="s">
        <v>176</v>
      </c>
      <c r="E2496" s="112">
        <v>799.8</v>
      </c>
      <c r="F2496" s="111" t="str">
        <f>DataPull!D2496</f>
        <v/>
      </c>
      <c r="G2496" s="94" t="str">
        <f t="shared" si="2"/>
        <v/>
      </c>
      <c r="H2496" s="94" t="str">
        <f t="shared" si="3"/>
        <v/>
      </c>
      <c r="I2496" s="94" t="str">
        <f t="shared" ref="I2496:J2496" si="2497">if(G2496 = "", , -G2496)</f>
        <v/>
      </c>
      <c r="J2496" s="94" t="str">
        <f t="shared" si="2497"/>
        <v/>
      </c>
      <c r="K2496" s="100"/>
      <c r="M2496" s="100"/>
      <c r="N2496" s="100"/>
      <c r="O2496" s="100"/>
      <c r="P2496" s="100"/>
    </row>
    <row r="2497">
      <c r="A2497" s="107">
        <v>203487.0</v>
      </c>
      <c r="B2497" s="108" t="s">
        <v>244</v>
      </c>
      <c r="C2497" s="108" t="s">
        <v>673</v>
      </c>
      <c r="D2497" s="112" t="s">
        <v>181</v>
      </c>
      <c r="E2497" s="112">
        <v>44.4</v>
      </c>
      <c r="F2497" s="111" t="str">
        <f>DataPull!D2497</f>
        <v/>
      </c>
      <c r="G2497" s="94" t="str">
        <f t="shared" si="2"/>
        <v/>
      </c>
      <c r="H2497" s="94" t="str">
        <f t="shared" si="3"/>
        <v/>
      </c>
      <c r="I2497" s="94" t="str">
        <f t="shared" ref="I2497:J2497" si="2498">if(G2497 = "", , -G2497)</f>
        <v/>
      </c>
      <c r="J2497" s="94" t="str">
        <f t="shared" si="2498"/>
        <v/>
      </c>
      <c r="K2497" s="100"/>
      <c r="L2497" s="100"/>
      <c r="M2497" s="100"/>
      <c r="N2497" s="100"/>
      <c r="O2497" s="100"/>
      <c r="P2497" s="100"/>
    </row>
    <row r="2498">
      <c r="A2498" s="107">
        <v>203488.0</v>
      </c>
      <c r="B2498" s="108" t="s">
        <v>85</v>
      </c>
      <c r="C2498" s="108" t="s">
        <v>674</v>
      </c>
      <c r="D2498" s="112" t="s">
        <v>187</v>
      </c>
      <c r="E2498" s="112">
        <v>214.0</v>
      </c>
      <c r="F2498" s="111" t="str">
        <f>DataPull!D2498</f>
        <v/>
      </c>
      <c r="G2498" s="94" t="str">
        <f t="shared" si="2"/>
        <v/>
      </c>
      <c r="H2498" s="94" t="str">
        <f t="shared" si="3"/>
        <v/>
      </c>
      <c r="I2498" s="94" t="str">
        <f t="shared" ref="I2498:J2498" si="2499">if(G2498 = "", , -G2498)</f>
        <v/>
      </c>
      <c r="J2498" s="94" t="str">
        <f t="shared" si="2499"/>
        <v/>
      </c>
      <c r="K2498" s="100"/>
      <c r="M2498" s="100"/>
      <c r="N2498" s="100"/>
      <c r="O2498" s="100"/>
      <c r="P2498" s="100"/>
    </row>
    <row r="2499">
      <c r="A2499" s="107">
        <v>203488.0</v>
      </c>
      <c r="B2499" s="108" t="s">
        <v>90</v>
      </c>
      <c r="C2499" s="108" t="s">
        <v>674</v>
      </c>
      <c r="D2499" s="112" t="s">
        <v>177</v>
      </c>
      <c r="E2499" s="112">
        <v>504.0</v>
      </c>
      <c r="F2499" s="111" t="str">
        <f>DataPull!D2499</f>
        <v/>
      </c>
      <c r="G2499" s="94" t="str">
        <f t="shared" si="2"/>
        <v/>
      </c>
      <c r="H2499" s="94" t="str">
        <f t="shared" si="3"/>
        <v/>
      </c>
      <c r="I2499" s="94" t="str">
        <f t="shared" ref="I2499:J2499" si="2500">if(G2499 = "", , -G2499)</f>
        <v/>
      </c>
      <c r="J2499" s="94" t="str">
        <f t="shared" si="2500"/>
        <v/>
      </c>
      <c r="K2499" s="100"/>
      <c r="M2499" s="100"/>
      <c r="N2499" s="100"/>
      <c r="O2499" s="100"/>
      <c r="P2499" s="100"/>
    </row>
    <row r="2500">
      <c r="A2500" s="107">
        <v>203488.0</v>
      </c>
      <c r="B2500" s="108" t="s">
        <v>92</v>
      </c>
      <c r="C2500" s="108" t="s">
        <v>674</v>
      </c>
      <c r="D2500" s="112" t="s">
        <v>187</v>
      </c>
      <c r="E2500" s="112">
        <v>564.0</v>
      </c>
      <c r="F2500" s="111" t="str">
        <f>DataPull!D2500</f>
        <v/>
      </c>
      <c r="G2500" s="94" t="str">
        <f t="shared" si="2"/>
        <v/>
      </c>
      <c r="H2500" s="94" t="str">
        <f t="shared" si="3"/>
        <v/>
      </c>
      <c r="I2500" s="94" t="str">
        <f t="shared" ref="I2500:J2500" si="2501">if(G2500 = "", , -G2500)</f>
        <v/>
      </c>
      <c r="J2500" s="94" t="str">
        <f t="shared" si="2501"/>
        <v/>
      </c>
      <c r="K2500" s="100"/>
      <c r="M2500" s="100"/>
      <c r="N2500" s="100"/>
      <c r="O2500" s="100"/>
      <c r="P2500" s="100"/>
    </row>
    <row r="2501">
      <c r="A2501" s="107">
        <v>203488.0</v>
      </c>
      <c r="B2501" s="108" t="s">
        <v>190</v>
      </c>
      <c r="C2501" s="108" t="s">
        <v>674</v>
      </c>
      <c r="D2501" s="112" t="s">
        <v>177</v>
      </c>
      <c r="E2501" s="112">
        <v>1239.0</v>
      </c>
      <c r="F2501" s="111" t="str">
        <f>DataPull!D2501</f>
        <v/>
      </c>
      <c r="G2501" s="94" t="str">
        <f t="shared" si="2"/>
        <v/>
      </c>
      <c r="H2501" s="94" t="str">
        <f t="shared" si="3"/>
        <v/>
      </c>
      <c r="I2501" s="94" t="str">
        <f t="shared" ref="I2501:J2501" si="2502">if(G2501 = "", , -G2501)</f>
        <v/>
      </c>
      <c r="J2501" s="94" t="str">
        <f t="shared" si="2502"/>
        <v/>
      </c>
      <c r="K2501" s="100"/>
      <c r="L2501" s="100"/>
      <c r="N2501" s="100"/>
      <c r="O2501" s="100"/>
    </row>
    <row r="2502">
      <c r="A2502" s="107">
        <v>203488.0</v>
      </c>
      <c r="B2502" s="108" t="s">
        <v>191</v>
      </c>
      <c r="C2502" s="108" t="s">
        <v>674</v>
      </c>
      <c r="D2502" s="112" t="s">
        <v>176</v>
      </c>
      <c r="E2502" s="112">
        <v>1060.0</v>
      </c>
      <c r="F2502" s="111" t="str">
        <f>DataPull!D2502</f>
        <v/>
      </c>
      <c r="G2502" s="94" t="str">
        <f t="shared" si="2"/>
        <v/>
      </c>
      <c r="H2502" s="94" t="str">
        <f t="shared" si="3"/>
        <v/>
      </c>
      <c r="I2502" s="94" t="str">
        <f t="shared" ref="I2502:J2502" si="2503">if(G2502 = "", , -G2502)</f>
        <v/>
      </c>
      <c r="J2502" s="94" t="str">
        <f t="shared" si="2503"/>
        <v/>
      </c>
      <c r="K2502" s="100"/>
      <c r="M2502" s="100"/>
      <c r="N2502" s="100"/>
      <c r="O2502" s="100"/>
      <c r="P2502" s="100"/>
    </row>
    <row r="2503">
      <c r="A2503" s="107">
        <v>203488.0</v>
      </c>
      <c r="B2503" s="108" t="s">
        <v>192</v>
      </c>
      <c r="C2503" s="108" t="s">
        <v>674</v>
      </c>
      <c r="D2503" s="112" t="s">
        <v>176</v>
      </c>
      <c r="E2503" s="112">
        <v>1305.6</v>
      </c>
      <c r="F2503" s="111" t="str">
        <f>DataPull!D2503</f>
        <v/>
      </c>
      <c r="G2503" s="94" t="str">
        <f t="shared" si="2"/>
        <v/>
      </c>
      <c r="H2503" s="94" t="str">
        <f t="shared" si="3"/>
        <v/>
      </c>
      <c r="I2503" s="94" t="str">
        <f t="shared" ref="I2503:J2503" si="2504">if(G2503 = "", , -G2503)</f>
        <v/>
      </c>
      <c r="J2503" s="94" t="str">
        <f t="shared" si="2504"/>
        <v/>
      </c>
      <c r="K2503" s="100"/>
      <c r="M2503" s="100"/>
      <c r="N2503" s="100"/>
      <c r="O2503" s="100"/>
      <c r="P2503" s="100"/>
    </row>
    <row r="2504">
      <c r="A2504" s="107">
        <v>203488.0</v>
      </c>
      <c r="B2504" s="108" t="s">
        <v>193</v>
      </c>
      <c r="C2504" s="108" t="s">
        <v>674</v>
      </c>
      <c r="D2504" s="112" t="s">
        <v>177</v>
      </c>
      <c r="E2504" s="112">
        <v>573.4</v>
      </c>
      <c r="F2504" s="111" t="str">
        <f>DataPull!D2504</f>
        <v/>
      </c>
      <c r="G2504" s="94" t="str">
        <f t="shared" si="2"/>
        <v/>
      </c>
      <c r="H2504" s="94" t="str">
        <f t="shared" si="3"/>
        <v/>
      </c>
      <c r="I2504" s="94" t="str">
        <f t="shared" ref="I2504:J2504" si="2505">if(G2504 = "", , -G2504)</f>
        <v/>
      </c>
      <c r="J2504" s="94" t="str">
        <f t="shared" si="2505"/>
        <v/>
      </c>
      <c r="K2504" s="100"/>
      <c r="M2504" s="100"/>
      <c r="N2504" s="100"/>
      <c r="O2504" s="100"/>
      <c r="P2504" s="100"/>
    </row>
    <row r="2505">
      <c r="A2505" s="107">
        <v>203488.0</v>
      </c>
      <c r="B2505" s="108" t="s">
        <v>243</v>
      </c>
      <c r="C2505" s="108" t="s">
        <v>674</v>
      </c>
      <c r="D2505" s="112" t="s">
        <v>177</v>
      </c>
      <c r="E2505" s="112">
        <v>644.0</v>
      </c>
      <c r="F2505" s="111" t="str">
        <f>DataPull!D2505</f>
        <v/>
      </c>
      <c r="G2505" s="94" t="str">
        <f t="shared" si="2"/>
        <v/>
      </c>
      <c r="H2505" s="94" t="str">
        <f t="shared" si="3"/>
        <v/>
      </c>
      <c r="I2505" s="94" t="str">
        <f t="shared" ref="I2505:J2505" si="2506">if(G2505 = "", , -G2505)</f>
        <v/>
      </c>
      <c r="J2505" s="94" t="str">
        <f t="shared" si="2506"/>
        <v/>
      </c>
      <c r="K2505" s="100"/>
      <c r="M2505" s="100"/>
      <c r="N2505" s="100"/>
      <c r="O2505" s="100"/>
      <c r="P2505" s="100"/>
    </row>
    <row r="2506">
      <c r="A2506" s="107">
        <v>203488.0</v>
      </c>
      <c r="B2506" s="108" t="s">
        <v>215</v>
      </c>
      <c r="C2506" s="108" t="s">
        <v>674</v>
      </c>
      <c r="D2506" s="112" t="s">
        <v>177</v>
      </c>
      <c r="E2506" s="112">
        <v>593.4</v>
      </c>
      <c r="F2506" s="111" t="str">
        <f>DataPull!D2506</f>
        <v/>
      </c>
      <c r="G2506" s="94" t="str">
        <f t="shared" si="2"/>
        <v/>
      </c>
      <c r="H2506" s="94" t="str">
        <f t="shared" si="3"/>
        <v/>
      </c>
      <c r="I2506" s="94" t="str">
        <f t="shared" ref="I2506:J2506" si="2507">if(G2506 = "", , -G2506)</f>
        <v/>
      </c>
      <c r="J2506" s="94" t="str">
        <f t="shared" si="2507"/>
        <v/>
      </c>
      <c r="K2506" s="100"/>
      <c r="L2506" s="100"/>
      <c r="N2506" s="100"/>
      <c r="O2506" s="100"/>
      <c r="P2506" s="100"/>
    </row>
    <row r="2507">
      <c r="A2507" s="107">
        <v>203488.0</v>
      </c>
      <c r="B2507" s="108" t="s">
        <v>244</v>
      </c>
      <c r="C2507" s="108" t="s">
        <v>674</v>
      </c>
      <c r="D2507" s="112" t="s">
        <v>177</v>
      </c>
      <c r="E2507" s="112">
        <v>945.0</v>
      </c>
      <c r="F2507" s="111" t="str">
        <f>DataPull!D2507</f>
        <v/>
      </c>
      <c r="G2507" s="94" t="str">
        <f t="shared" si="2"/>
        <v/>
      </c>
      <c r="H2507" s="94" t="str">
        <f t="shared" si="3"/>
        <v/>
      </c>
      <c r="I2507" s="94" t="str">
        <f t="shared" ref="I2507:J2507" si="2508">if(G2507 = "", , -G2507)</f>
        <v/>
      </c>
      <c r="J2507" s="94" t="str">
        <f t="shared" si="2508"/>
        <v/>
      </c>
      <c r="K2507" s="100"/>
      <c r="M2507" s="100"/>
      <c r="N2507" s="100"/>
      <c r="O2507" s="100"/>
      <c r="P2507" s="100"/>
    </row>
    <row r="2508">
      <c r="A2508" s="107">
        <v>203488.0</v>
      </c>
      <c r="B2508" s="108" t="s">
        <v>245</v>
      </c>
      <c r="C2508" s="108" t="s">
        <v>674</v>
      </c>
      <c r="D2508" s="112" t="s">
        <v>177</v>
      </c>
      <c r="E2508" s="112">
        <v>598.9</v>
      </c>
      <c r="F2508" s="111" t="str">
        <f>DataPull!D2508</f>
        <v/>
      </c>
      <c r="G2508" s="94" t="str">
        <f t="shared" si="2"/>
        <v/>
      </c>
      <c r="H2508" s="94" t="str">
        <f t="shared" si="3"/>
        <v/>
      </c>
      <c r="I2508" s="94" t="str">
        <f t="shared" ref="I2508:J2508" si="2509">if(G2508 = "", , -G2508)</f>
        <v/>
      </c>
      <c r="J2508" s="94" t="str">
        <f t="shared" si="2509"/>
        <v/>
      </c>
      <c r="K2508" s="100"/>
      <c r="L2508" s="100"/>
      <c r="M2508" s="100"/>
      <c r="N2508" s="100"/>
      <c r="O2508" s="100"/>
      <c r="P2508" s="100"/>
    </row>
    <row r="2509">
      <c r="A2509" s="107">
        <v>203489.0</v>
      </c>
      <c r="B2509" s="108" t="s">
        <v>85</v>
      </c>
      <c r="C2509" s="108" t="s">
        <v>675</v>
      </c>
      <c r="D2509" s="112" t="s">
        <v>176</v>
      </c>
      <c r="E2509" s="112">
        <v>1310.8</v>
      </c>
      <c r="F2509" s="111" t="str">
        <f>DataPull!D2509</f>
        <v/>
      </c>
      <c r="G2509" s="94" t="str">
        <f t="shared" si="2"/>
        <v/>
      </c>
      <c r="H2509" s="94" t="str">
        <f t="shared" si="3"/>
        <v/>
      </c>
      <c r="I2509" s="94" t="str">
        <f t="shared" ref="I2509:J2509" si="2510">if(G2509 = "", , -G2509)</f>
        <v/>
      </c>
      <c r="J2509" s="94" t="str">
        <f t="shared" si="2510"/>
        <v/>
      </c>
      <c r="K2509" s="100"/>
      <c r="M2509" s="100"/>
      <c r="N2509" s="100"/>
      <c r="O2509" s="100"/>
      <c r="P2509" s="100"/>
    </row>
    <row r="2510">
      <c r="A2510" s="107">
        <v>203489.0</v>
      </c>
      <c r="B2510" s="108" t="s">
        <v>90</v>
      </c>
      <c r="C2510" s="108" t="s">
        <v>675</v>
      </c>
      <c r="D2510" s="112" t="s">
        <v>187</v>
      </c>
      <c r="E2510" s="112">
        <v>245.7</v>
      </c>
      <c r="F2510" s="111" t="str">
        <f>DataPull!D2510</f>
        <v/>
      </c>
      <c r="G2510" s="94" t="str">
        <f t="shared" si="2"/>
        <v/>
      </c>
      <c r="H2510" s="94" t="str">
        <f t="shared" si="3"/>
        <v/>
      </c>
      <c r="I2510" s="94" t="str">
        <f t="shared" ref="I2510:J2510" si="2511">if(G2510 = "", , -G2510)</f>
        <v/>
      </c>
      <c r="J2510" s="94" t="str">
        <f t="shared" si="2511"/>
        <v/>
      </c>
      <c r="K2510" s="100"/>
      <c r="M2510" s="100"/>
      <c r="N2510" s="100"/>
      <c r="O2510" s="100"/>
      <c r="P2510" s="100"/>
    </row>
    <row r="2511">
      <c r="A2511" s="107">
        <v>203489.0</v>
      </c>
      <c r="B2511" s="108" t="s">
        <v>191</v>
      </c>
      <c r="C2511" s="108" t="s">
        <v>675</v>
      </c>
      <c r="D2511" s="112" t="s">
        <v>181</v>
      </c>
      <c r="E2511" s="112">
        <v>19.0</v>
      </c>
      <c r="F2511" s="111" t="str">
        <f>DataPull!D2511</f>
        <v/>
      </c>
      <c r="G2511" s="94" t="str">
        <f t="shared" si="2"/>
        <v/>
      </c>
      <c r="H2511" s="94" t="str">
        <f t="shared" si="3"/>
        <v/>
      </c>
      <c r="I2511" s="94" t="str">
        <f t="shared" ref="I2511:J2511" si="2512">if(G2511 = "", , -G2511)</f>
        <v/>
      </c>
      <c r="J2511" s="94" t="str">
        <f t="shared" si="2512"/>
        <v/>
      </c>
      <c r="K2511" s="100"/>
      <c r="M2511" s="100"/>
      <c r="N2511" s="100"/>
      <c r="O2511" s="100"/>
      <c r="P2511" s="100"/>
    </row>
    <row r="2512">
      <c r="A2512" s="107">
        <v>203490.0</v>
      </c>
      <c r="B2512" s="108" t="s">
        <v>85</v>
      </c>
      <c r="C2512" s="108" t="s">
        <v>676</v>
      </c>
      <c r="D2512" s="112" t="s">
        <v>187</v>
      </c>
      <c r="E2512" s="112">
        <v>318.2</v>
      </c>
      <c r="F2512" s="111" t="str">
        <f>DataPull!D2512</f>
        <v/>
      </c>
      <c r="G2512" s="94" t="str">
        <f t="shared" si="2"/>
        <v/>
      </c>
      <c r="H2512" s="94" t="str">
        <f t="shared" si="3"/>
        <v/>
      </c>
      <c r="I2512" s="94" t="str">
        <f t="shared" ref="I2512:J2512" si="2513">if(G2512 = "", , -G2512)</f>
        <v/>
      </c>
      <c r="J2512" s="94" t="str">
        <f t="shared" si="2513"/>
        <v/>
      </c>
      <c r="K2512" s="100"/>
      <c r="M2512" s="100"/>
      <c r="N2512" s="100"/>
      <c r="O2512" s="100"/>
      <c r="P2512" s="100"/>
    </row>
    <row r="2513">
      <c r="A2513" s="107">
        <v>203490.0</v>
      </c>
      <c r="B2513" s="108" t="s">
        <v>90</v>
      </c>
      <c r="C2513" s="108" t="s">
        <v>676</v>
      </c>
      <c r="D2513" s="112" t="s">
        <v>177</v>
      </c>
      <c r="E2513" s="112">
        <v>1435.6</v>
      </c>
      <c r="F2513" s="111" t="str">
        <f>DataPull!D2513</f>
        <v/>
      </c>
      <c r="G2513" s="94" t="str">
        <f t="shared" si="2"/>
        <v/>
      </c>
      <c r="H2513" s="94" t="str">
        <f t="shared" si="3"/>
        <v/>
      </c>
      <c r="I2513" s="94" t="str">
        <f t="shared" ref="I2513:J2513" si="2514">if(G2513 = "", , -G2513)</f>
        <v/>
      </c>
      <c r="J2513" s="94" t="str">
        <f t="shared" si="2514"/>
        <v/>
      </c>
      <c r="K2513" s="100"/>
      <c r="N2513" s="100"/>
      <c r="O2513" s="100"/>
      <c r="P2513" s="100"/>
    </row>
    <row r="2514">
      <c r="A2514" s="107">
        <v>203490.0</v>
      </c>
      <c r="B2514" s="108" t="s">
        <v>92</v>
      </c>
      <c r="C2514" s="108" t="s">
        <v>676</v>
      </c>
      <c r="D2514" s="112" t="s">
        <v>178</v>
      </c>
      <c r="E2514" s="112">
        <v>2272.5</v>
      </c>
      <c r="F2514" s="111" t="str">
        <f>DataPull!D2514</f>
        <v/>
      </c>
      <c r="G2514" s="94" t="str">
        <f t="shared" si="2"/>
        <v/>
      </c>
      <c r="H2514" s="94" t="str">
        <f t="shared" si="3"/>
        <v/>
      </c>
      <c r="I2514" s="94" t="str">
        <f t="shared" ref="I2514:J2514" si="2515">if(G2514 = "", , -G2514)</f>
        <v/>
      </c>
      <c r="J2514" s="94" t="str">
        <f t="shared" si="2515"/>
        <v/>
      </c>
      <c r="K2514" s="100"/>
      <c r="M2514" s="100"/>
      <c r="N2514" s="100"/>
      <c r="O2514" s="100"/>
    </row>
    <row r="2515">
      <c r="A2515" s="107">
        <v>203490.0</v>
      </c>
      <c r="B2515" s="108" t="s">
        <v>190</v>
      </c>
      <c r="C2515" s="108" t="s">
        <v>676</v>
      </c>
      <c r="D2515" s="112" t="s">
        <v>184</v>
      </c>
      <c r="E2515" s="112">
        <v>2608.0</v>
      </c>
      <c r="F2515" s="111" t="str">
        <f>DataPull!D2515</f>
        <v/>
      </c>
      <c r="G2515" s="94" t="str">
        <f t="shared" si="2"/>
        <v/>
      </c>
      <c r="H2515" s="94" t="str">
        <f t="shared" si="3"/>
        <v/>
      </c>
      <c r="I2515" s="94" t="str">
        <f t="shared" ref="I2515:J2515" si="2516">if(G2515 = "", , -G2515)</f>
        <v/>
      </c>
      <c r="J2515" s="94" t="str">
        <f t="shared" si="2516"/>
        <v/>
      </c>
      <c r="K2515" s="100"/>
      <c r="M2515" s="100"/>
      <c r="N2515" s="100"/>
      <c r="O2515" s="100"/>
      <c r="P2515" s="100"/>
    </row>
    <row r="2516">
      <c r="A2516" s="107">
        <v>203490.0</v>
      </c>
      <c r="B2516" s="108" t="s">
        <v>191</v>
      </c>
      <c r="C2516" s="108" t="s">
        <v>676</v>
      </c>
      <c r="D2516" s="112" t="s">
        <v>184</v>
      </c>
      <c r="E2516" s="112">
        <v>2433.2</v>
      </c>
      <c r="F2516" s="111" t="str">
        <f>DataPull!D2516</f>
        <v/>
      </c>
      <c r="G2516" s="94" t="str">
        <f t="shared" si="2"/>
        <v/>
      </c>
      <c r="H2516" s="94" t="str">
        <f t="shared" si="3"/>
        <v/>
      </c>
      <c r="I2516" s="94" t="str">
        <f t="shared" ref="I2516:J2516" si="2517">if(G2516 = "", , -G2516)</f>
        <v/>
      </c>
      <c r="J2516" s="94" t="str">
        <f t="shared" si="2517"/>
        <v/>
      </c>
      <c r="K2516" s="100"/>
      <c r="M2516" s="100"/>
      <c r="N2516" s="100"/>
      <c r="O2516" s="100"/>
      <c r="P2516" s="100"/>
    </row>
    <row r="2517">
      <c r="A2517" s="107">
        <v>203490.0</v>
      </c>
      <c r="B2517" s="108" t="s">
        <v>192</v>
      </c>
      <c r="C2517" s="108" t="s">
        <v>676</v>
      </c>
      <c r="D2517" s="112" t="s">
        <v>184</v>
      </c>
      <c r="E2517" s="112">
        <v>1685.6</v>
      </c>
      <c r="F2517" s="111" t="str">
        <f>DataPull!D2517</f>
        <v/>
      </c>
      <c r="G2517" s="94" t="str">
        <f t="shared" si="2"/>
        <v/>
      </c>
      <c r="H2517" s="94" t="str">
        <f t="shared" si="3"/>
        <v/>
      </c>
      <c r="I2517" s="94" t="str">
        <f t="shared" ref="I2517:J2517" si="2518">if(G2517 = "", , -G2517)</f>
        <v/>
      </c>
      <c r="J2517" s="94" t="str">
        <f t="shared" si="2518"/>
        <v/>
      </c>
      <c r="K2517" s="100"/>
      <c r="M2517" s="100"/>
      <c r="N2517" s="100"/>
      <c r="O2517" s="100"/>
      <c r="P2517" s="100"/>
    </row>
    <row r="2518">
      <c r="A2518" s="107">
        <v>203490.0</v>
      </c>
      <c r="B2518" s="108" t="s">
        <v>193</v>
      </c>
      <c r="C2518" s="108" t="s">
        <v>676</v>
      </c>
      <c r="D2518" s="112" t="s">
        <v>176</v>
      </c>
      <c r="E2518" s="112">
        <v>330.4</v>
      </c>
      <c r="F2518" s="111" t="str">
        <f>DataPull!D2518</f>
        <v/>
      </c>
      <c r="G2518" s="94" t="str">
        <f t="shared" si="2"/>
        <v/>
      </c>
      <c r="H2518" s="94" t="str">
        <f t="shared" si="3"/>
        <v/>
      </c>
      <c r="I2518" s="94" t="str">
        <f t="shared" ref="I2518:J2518" si="2519">if(G2518 = "", , -G2518)</f>
        <v/>
      </c>
      <c r="J2518" s="94" t="str">
        <f t="shared" si="2519"/>
        <v/>
      </c>
      <c r="K2518" s="100"/>
      <c r="M2518" s="100"/>
      <c r="N2518" s="100"/>
      <c r="O2518" s="100"/>
      <c r="P2518" s="100"/>
    </row>
    <row r="2519">
      <c r="A2519" s="107">
        <v>203490.0</v>
      </c>
      <c r="B2519" s="108" t="s">
        <v>243</v>
      </c>
      <c r="C2519" s="108" t="s">
        <v>676</v>
      </c>
      <c r="D2519" s="112" t="s">
        <v>176</v>
      </c>
      <c r="E2519" s="112">
        <v>607.6</v>
      </c>
      <c r="F2519" s="111" t="str">
        <f>DataPull!D2519</f>
        <v/>
      </c>
      <c r="G2519" s="94" t="str">
        <f t="shared" si="2"/>
        <v/>
      </c>
      <c r="H2519" s="94" t="str">
        <f t="shared" si="3"/>
        <v/>
      </c>
      <c r="I2519" s="94" t="str">
        <f t="shared" ref="I2519:J2519" si="2520">if(G2519 = "", , -G2519)</f>
        <v/>
      </c>
      <c r="J2519" s="94" t="str">
        <f t="shared" si="2520"/>
        <v/>
      </c>
      <c r="K2519" s="100"/>
      <c r="L2519" s="100"/>
      <c r="N2519" s="100"/>
      <c r="O2519" s="100"/>
      <c r="P2519" s="100"/>
    </row>
    <row r="2520">
      <c r="A2520" s="107">
        <v>203490.0</v>
      </c>
      <c r="B2520" s="108" t="s">
        <v>215</v>
      </c>
      <c r="C2520" s="108" t="s">
        <v>676</v>
      </c>
      <c r="D2520" s="112" t="s">
        <v>176</v>
      </c>
      <c r="E2520" s="112">
        <v>1398.6</v>
      </c>
      <c r="F2520" s="111" t="str">
        <f>DataPull!D2520</f>
        <v/>
      </c>
      <c r="G2520" s="94" t="str">
        <f t="shared" si="2"/>
        <v/>
      </c>
      <c r="H2520" s="94" t="str">
        <f t="shared" si="3"/>
        <v/>
      </c>
      <c r="I2520" s="94" t="str">
        <f t="shared" ref="I2520:J2520" si="2521">if(G2520 = "", , -G2520)</f>
        <v/>
      </c>
      <c r="J2520" s="94" t="str">
        <f t="shared" si="2521"/>
        <v/>
      </c>
      <c r="K2520" s="100"/>
      <c r="M2520" s="100"/>
      <c r="N2520" s="100"/>
      <c r="O2520" s="100"/>
      <c r="P2520" s="100"/>
    </row>
    <row r="2521">
      <c r="A2521" s="107">
        <v>203490.0</v>
      </c>
      <c r="B2521" s="108" t="s">
        <v>244</v>
      </c>
      <c r="C2521" s="108" t="s">
        <v>676</v>
      </c>
      <c r="D2521" s="112" t="s">
        <v>181</v>
      </c>
      <c r="E2521" s="112">
        <v>146.4</v>
      </c>
      <c r="F2521" s="111" t="str">
        <f>DataPull!D2521</f>
        <v/>
      </c>
      <c r="G2521" s="94" t="str">
        <f t="shared" si="2"/>
        <v/>
      </c>
      <c r="H2521" s="94" t="str">
        <f t="shared" si="3"/>
        <v/>
      </c>
      <c r="I2521" s="94" t="str">
        <f t="shared" ref="I2521:J2521" si="2522">if(G2521 = "", , -G2521)</f>
        <v/>
      </c>
      <c r="J2521" s="94" t="str">
        <f t="shared" si="2522"/>
        <v/>
      </c>
      <c r="K2521" s="100"/>
      <c r="M2521" s="100"/>
      <c r="N2521" s="100"/>
      <c r="O2521" s="100"/>
      <c r="P2521" s="100"/>
    </row>
    <row r="2522">
      <c r="A2522" s="107">
        <v>203490.0</v>
      </c>
      <c r="B2522" s="108" t="s">
        <v>245</v>
      </c>
      <c r="C2522" s="108" t="s">
        <v>676</v>
      </c>
      <c r="D2522" s="112" t="s">
        <v>187</v>
      </c>
      <c r="E2522" s="112">
        <v>174.0</v>
      </c>
      <c r="F2522" s="111" t="str">
        <f>DataPull!D2522</f>
        <v/>
      </c>
      <c r="G2522" s="94" t="str">
        <f t="shared" si="2"/>
        <v/>
      </c>
      <c r="H2522" s="94" t="str">
        <f t="shared" si="3"/>
        <v/>
      </c>
      <c r="I2522" s="94" t="str">
        <f t="shared" ref="I2522:J2522" si="2523">if(G2522 = "", , -G2522)</f>
        <v/>
      </c>
      <c r="J2522" s="94" t="str">
        <f t="shared" si="2523"/>
        <v/>
      </c>
      <c r="K2522" s="100"/>
      <c r="M2522" s="100"/>
      <c r="N2522" s="100"/>
      <c r="O2522" s="100"/>
      <c r="P2522" s="100"/>
    </row>
    <row r="2523">
      <c r="A2523" s="107">
        <v>203491.0</v>
      </c>
      <c r="B2523" s="108" t="s">
        <v>85</v>
      </c>
      <c r="C2523" s="108" t="s">
        <v>677</v>
      </c>
      <c r="D2523" s="112" t="s">
        <v>187</v>
      </c>
      <c r="E2523" s="112">
        <v>223.2</v>
      </c>
      <c r="F2523" s="111" t="str">
        <f>DataPull!D2523</f>
        <v/>
      </c>
      <c r="G2523" s="94" t="str">
        <f t="shared" si="2"/>
        <v/>
      </c>
      <c r="H2523" s="94" t="str">
        <f t="shared" si="3"/>
        <v/>
      </c>
      <c r="I2523" s="94" t="str">
        <f t="shared" ref="I2523:J2523" si="2524">if(G2523 = "", , -G2523)</f>
        <v/>
      </c>
      <c r="J2523" s="94" t="str">
        <f t="shared" si="2524"/>
        <v/>
      </c>
      <c r="K2523" s="100"/>
      <c r="L2523" s="100"/>
      <c r="M2523" s="100"/>
      <c r="N2523" s="100"/>
      <c r="O2523" s="100"/>
      <c r="P2523" s="100"/>
    </row>
    <row r="2524">
      <c r="A2524" s="107">
        <v>203492.0</v>
      </c>
      <c r="B2524" s="108" t="s">
        <v>85</v>
      </c>
      <c r="C2524" s="108" t="s">
        <v>678</v>
      </c>
      <c r="D2524" s="112" t="s">
        <v>177</v>
      </c>
      <c r="E2524" s="112">
        <v>895.5</v>
      </c>
      <c r="F2524" s="111" t="str">
        <f>DataPull!D2524</f>
        <v/>
      </c>
      <c r="G2524" s="94" t="str">
        <f t="shared" si="2"/>
        <v/>
      </c>
      <c r="H2524" s="94" t="str">
        <f t="shared" si="3"/>
        <v/>
      </c>
      <c r="I2524" s="94" t="str">
        <f t="shared" ref="I2524:J2524" si="2525">if(G2524 = "", , -G2524)</f>
        <v/>
      </c>
      <c r="J2524" s="94" t="str">
        <f t="shared" si="2525"/>
        <v/>
      </c>
      <c r="K2524" s="100"/>
      <c r="M2524" s="100"/>
      <c r="N2524" s="100"/>
      <c r="O2524" s="100"/>
      <c r="P2524" s="100"/>
    </row>
    <row r="2525">
      <c r="A2525" s="107">
        <v>203492.0</v>
      </c>
      <c r="B2525" s="108" t="s">
        <v>90</v>
      </c>
      <c r="C2525" s="108" t="s">
        <v>678</v>
      </c>
      <c r="D2525" s="112" t="s">
        <v>176</v>
      </c>
      <c r="E2525" s="112">
        <v>1434.8</v>
      </c>
      <c r="F2525" s="111" t="str">
        <f>DataPull!D2525</f>
        <v/>
      </c>
      <c r="G2525" s="94" t="str">
        <f t="shared" si="2"/>
        <v/>
      </c>
      <c r="H2525" s="94" t="str">
        <f t="shared" si="3"/>
        <v/>
      </c>
      <c r="I2525" s="94" t="str">
        <f t="shared" ref="I2525:J2525" si="2526">if(G2525 = "", , -G2525)</f>
        <v/>
      </c>
      <c r="J2525" s="94" t="str">
        <f t="shared" si="2526"/>
        <v/>
      </c>
      <c r="K2525" s="100"/>
      <c r="L2525" s="100"/>
      <c r="N2525" s="100"/>
      <c r="O2525" s="100"/>
      <c r="P2525" s="100"/>
    </row>
    <row r="2526">
      <c r="A2526" s="107">
        <v>203492.0</v>
      </c>
      <c r="B2526" s="108" t="s">
        <v>92</v>
      </c>
      <c r="C2526" s="108" t="s">
        <v>678</v>
      </c>
      <c r="D2526" s="112" t="s">
        <v>187</v>
      </c>
      <c r="E2526" s="112">
        <v>475.6</v>
      </c>
      <c r="F2526" s="111" t="str">
        <f>DataPull!D2526</f>
        <v/>
      </c>
      <c r="G2526" s="94" t="str">
        <f t="shared" si="2"/>
        <v/>
      </c>
      <c r="H2526" s="94" t="str">
        <f t="shared" si="3"/>
        <v/>
      </c>
      <c r="I2526" s="94" t="str">
        <f t="shared" ref="I2526:J2526" si="2527">if(G2526 = "", , -G2526)</f>
        <v/>
      </c>
      <c r="J2526" s="94" t="str">
        <f t="shared" si="2527"/>
        <v/>
      </c>
      <c r="K2526" s="100"/>
      <c r="M2526" s="100"/>
      <c r="N2526" s="100"/>
      <c r="O2526" s="100"/>
      <c r="P2526" s="100"/>
    </row>
    <row r="2527">
      <c r="A2527" s="107">
        <v>203493.0</v>
      </c>
      <c r="B2527" s="108" t="s">
        <v>85</v>
      </c>
      <c r="C2527" s="108" t="s">
        <v>679</v>
      </c>
      <c r="D2527" s="112" t="s">
        <v>187</v>
      </c>
      <c r="E2527" s="112">
        <v>395.6</v>
      </c>
      <c r="F2527" s="111" t="str">
        <f>DataPull!D2527</f>
        <v/>
      </c>
      <c r="G2527" s="94" t="str">
        <f t="shared" si="2"/>
        <v/>
      </c>
      <c r="H2527" s="94" t="str">
        <f t="shared" si="3"/>
        <v/>
      </c>
      <c r="I2527" s="94" t="str">
        <f t="shared" ref="I2527:J2527" si="2528">if(G2527 = "", , -G2527)</f>
        <v/>
      </c>
      <c r="J2527" s="94" t="str">
        <f t="shared" si="2528"/>
        <v/>
      </c>
      <c r="K2527" s="100"/>
      <c r="M2527" s="100"/>
      <c r="N2527" s="100"/>
      <c r="O2527" s="100"/>
      <c r="P2527" s="100"/>
    </row>
    <row r="2528">
      <c r="A2528" s="107">
        <v>203493.0</v>
      </c>
      <c r="B2528" s="108" t="s">
        <v>90</v>
      </c>
      <c r="C2528" s="108" t="s">
        <v>679</v>
      </c>
      <c r="D2528" s="112" t="s">
        <v>187</v>
      </c>
      <c r="E2528" s="112">
        <v>338.4</v>
      </c>
      <c r="F2528" s="111" t="str">
        <f>DataPull!D2528</f>
        <v/>
      </c>
      <c r="G2528" s="94" t="str">
        <f t="shared" si="2"/>
        <v/>
      </c>
      <c r="H2528" s="94" t="str">
        <f t="shared" si="3"/>
        <v/>
      </c>
      <c r="I2528" s="94" t="str">
        <f t="shared" ref="I2528:J2528" si="2529">if(G2528 = "", , -G2528)</f>
        <v/>
      </c>
      <c r="J2528" s="94" t="str">
        <f t="shared" si="2529"/>
        <v/>
      </c>
      <c r="K2528" s="100"/>
      <c r="M2528" s="100"/>
      <c r="N2528" s="100"/>
      <c r="O2528" s="100"/>
      <c r="P2528" s="100"/>
    </row>
    <row r="2529">
      <c r="A2529" s="107">
        <v>203493.0</v>
      </c>
      <c r="B2529" s="108" t="s">
        <v>92</v>
      </c>
      <c r="C2529" s="108" t="s">
        <v>679</v>
      </c>
      <c r="D2529" s="112" t="s">
        <v>177</v>
      </c>
      <c r="E2529" s="112">
        <v>429.2</v>
      </c>
      <c r="F2529" s="111" t="str">
        <f>DataPull!D2529</f>
        <v/>
      </c>
      <c r="G2529" s="94" t="str">
        <f t="shared" si="2"/>
        <v/>
      </c>
      <c r="H2529" s="94" t="str">
        <f t="shared" si="3"/>
        <v/>
      </c>
      <c r="I2529" s="94" t="str">
        <f t="shared" ref="I2529:J2529" si="2530">if(G2529 = "", , -G2529)</f>
        <v/>
      </c>
      <c r="J2529" s="94" t="str">
        <f t="shared" si="2530"/>
        <v/>
      </c>
      <c r="K2529" s="100"/>
      <c r="M2529" s="100"/>
      <c r="N2529" s="100"/>
      <c r="O2529" s="100"/>
      <c r="P2529" s="100"/>
    </row>
    <row r="2530">
      <c r="A2530" s="107">
        <v>203493.0</v>
      </c>
      <c r="B2530" s="108" t="s">
        <v>190</v>
      </c>
      <c r="C2530" s="108" t="s">
        <v>679</v>
      </c>
      <c r="D2530" s="112" t="s">
        <v>177</v>
      </c>
      <c r="E2530" s="112">
        <v>468.1</v>
      </c>
      <c r="F2530" s="111" t="str">
        <f>DataPull!D2530</f>
        <v/>
      </c>
      <c r="G2530" s="94" t="str">
        <f t="shared" si="2"/>
        <v/>
      </c>
      <c r="H2530" s="94" t="str">
        <f t="shared" si="3"/>
        <v/>
      </c>
      <c r="I2530" s="94" t="str">
        <f t="shared" ref="I2530:J2530" si="2531">if(G2530 = "", , -G2530)</f>
        <v/>
      </c>
      <c r="J2530" s="94" t="str">
        <f t="shared" si="2531"/>
        <v/>
      </c>
      <c r="K2530" s="100"/>
      <c r="M2530" s="100"/>
      <c r="N2530" s="100"/>
      <c r="O2530" s="100"/>
      <c r="P2530" s="100"/>
    </row>
    <row r="2531">
      <c r="A2531" s="107">
        <v>203493.0</v>
      </c>
      <c r="B2531" s="108" t="s">
        <v>191</v>
      </c>
      <c r="C2531" s="108" t="s">
        <v>679</v>
      </c>
      <c r="D2531" s="112" t="s">
        <v>178</v>
      </c>
      <c r="E2531" s="112">
        <v>1729.8</v>
      </c>
      <c r="F2531" s="111" t="str">
        <f>DataPull!D2531</f>
        <v/>
      </c>
      <c r="G2531" s="94" t="str">
        <f t="shared" si="2"/>
        <v/>
      </c>
      <c r="H2531" s="94" t="str">
        <f t="shared" si="3"/>
        <v/>
      </c>
      <c r="I2531" s="94" t="str">
        <f t="shared" ref="I2531:J2531" si="2532">if(G2531 = "", , -G2531)</f>
        <v/>
      </c>
      <c r="J2531" s="94" t="str">
        <f t="shared" si="2532"/>
        <v/>
      </c>
      <c r="K2531" s="100"/>
      <c r="M2531" s="100"/>
      <c r="N2531" s="100"/>
      <c r="O2531" s="100"/>
      <c r="P2531" s="100"/>
    </row>
    <row r="2532">
      <c r="A2532" s="107">
        <v>203493.0</v>
      </c>
      <c r="B2532" s="108" t="s">
        <v>192</v>
      </c>
      <c r="C2532" s="108" t="s">
        <v>679</v>
      </c>
      <c r="D2532" s="112" t="s">
        <v>178</v>
      </c>
      <c r="E2532" s="112">
        <v>1877.4</v>
      </c>
      <c r="F2532" s="111" t="str">
        <f>DataPull!D2532</f>
        <v/>
      </c>
      <c r="G2532" s="94" t="str">
        <f t="shared" si="2"/>
        <v/>
      </c>
      <c r="H2532" s="94" t="str">
        <f t="shared" si="3"/>
        <v/>
      </c>
      <c r="I2532" s="94" t="str">
        <f t="shared" ref="I2532:J2532" si="2533">if(G2532 = "", , -G2532)</f>
        <v/>
      </c>
      <c r="J2532" s="94" t="str">
        <f t="shared" si="2533"/>
        <v/>
      </c>
      <c r="K2532" s="100"/>
      <c r="M2532" s="100"/>
      <c r="N2532" s="100"/>
      <c r="O2532" s="100"/>
      <c r="P2532" s="100"/>
    </row>
    <row r="2533">
      <c r="A2533" s="107">
        <v>203493.0</v>
      </c>
      <c r="B2533" s="108" t="s">
        <v>193</v>
      </c>
      <c r="C2533" s="108" t="s">
        <v>679</v>
      </c>
      <c r="D2533" s="112" t="s">
        <v>176</v>
      </c>
      <c r="E2533" s="112">
        <v>684.4</v>
      </c>
      <c r="F2533" s="111" t="str">
        <f>DataPull!D2533</f>
        <v/>
      </c>
      <c r="G2533" s="94" t="str">
        <f t="shared" si="2"/>
        <v/>
      </c>
      <c r="H2533" s="94" t="str">
        <f t="shared" si="3"/>
        <v/>
      </c>
      <c r="I2533" s="94" t="str">
        <f t="shared" ref="I2533:J2533" si="2534">if(G2533 = "", , -G2533)</f>
        <v/>
      </c>
      <c r="J2533" s="94" t="str">
        <f t="shared" si="2534"/>
        <v/>
      </c>
      <c r="K2533" s="100"/>
      <c r="M2533" s="100"/>
      <c r="N2533" s="100"/>
      <c r="O2533" s="100"/>
      <c r="P2533" s="100"/>
    </row>
    <row r="2534">
      <c r="A2534" s="107">
        <v>203493.0</v>
      </c>
      <c r="B2534" s="108" t="s">
        <v>243</v>
      </c>
      <c r="C2534" s="108" t="s">
        <v>679</v>
      </c>
      <c r="D2534" s="112" t="s">
        <v>178</v>
      </c>
      <c r="E2534" s="112">
        <v>1950.0</v>
      </c>
      <c r="F2534" s="111" t="str">
        <f>DataPull!D2534</f>
        <v/>
      </c>
      <c r="G2534" s="94" t="str">
        <f t="shared" si="2"/>
        <v/>
      </c>
      <c r="H2534" s="94" t="str">
        <f t="shared" si="3"/>
        <v/>
      </c>
      <c r="I2534" s="94" t="str">
        <f t="shared" ref="I2534:J2534" si="2535">if(G2534 = "", , -G2534)</f>
        <v/>
      </c>
      <c r="J2534" s="94" t="str">
        <f t="shared" si="2535"/>
        <v/>
      </c>
      <c r="K2534" s="100"/>
      <c r="M2534" s="100"/>
      <c r="N2534" s="100"/>
      <c r="O2534" s="100"/>
      <c r="P2534" s="100"/>
    </row>
    <row r="2535">
      <c r="A2535" s="107">
        <v>203493.0</v>
      </c>
      <c r="B2535" s="108" t="s">
        <v>215</v>
      </c>
      <c r="C2535" s="108" t="s">
        <v>679</v>
      </c>
      <c r="D2535" s="112" t="s">
        <v>176</v>
      </c>
      <c r="E2535" s="112">
        <v>1904.0</v>
      </c>
      <c r="F2535" s="111" t="str">
        <f>DataPull!D2535</f>
        <v/>
      </c>
      <c r="G2535" s="94" t="str">
        <f t="shared" si="2"/>
        <v/>
      </c>
      <c r="H2535" s="94" t="str">
        <f t="shared" si="3"/>
        <v/>
      </c>
      <c r="I2535" s="94" t="str">
        <f t="shared" ref="I2535:J2535" si="2536">if(G2535 = "", , -G2535)</f>
        <v/>
      </c>
      <c r="J2535" s="94" t="str">
        <f t="shared" si="2536"/>
        <v/>
      </c>
      <c r="K2535" s="100"/>
      <c r="M2535" s="100"/>
      <c r="N2535" s="100"/>
      <c r="O2535" s="100"/>
      <c r="P2535" s="100"/>
    </row>
    <row r="2536">
      <c r="A2536" s="107">
        <v>203493.0</v>
      </c>
      <c r="B2536" s="108" t="s">
        <v>244</v>
      </c>
      <c r="C2536" s="108" t="s">
        <v>679</v>
      </c>
      <c r="D2536" s="112" t="s">
        <v>176</v>
      </c>
      <c r="E2536" s="112">
        <v>2363.4</v>
      </c>
      <c r="F2536" s="111" t="str">
        <f>DataPull!D2536</f>
        <v/>
      </c>
      <c r="G2536" s="94" t="str">
        <f t="shared" si="2"/>
        <v/>
      </c>
      <c r="H2536" s="94" t="str">
        <f t="shared" si="3"/>
        <v/>
      </c>
      <c r="I2536" s="94" t="str">
        <f t="shared" ref="I2536:J2536" si="2537">if(G2536 = "", , -G2536)</f>
        <v/>
      </c>
      <c r="J2536" s="94" t="str">
        <f t="shared" si="2537"/>
        <v/>
      </c>
      <c r="K2536" s="100"/>
      <c r="N2536" s="100"/>
      <c r="O2536" s="100"/>
      <c r="P2536" s="100"/>
    </row>
    <row r="2537">
      <c r="A2537" s="107">
        <v>203493.0</v>
      </c>
      <c r="B2537" s="108" t="s">
        <v>245</v>
      </c>
      <c r="C2537" s="108" t="s">
        <v>679</v>
      </c>
      <c r="D2537" s="112" t="s">
        <v>187</v>
      </c>
      <c r="E2537" s="112">
        <v>418.0</v>
      </c>
      <c r="F2537" s="111" t="str">
        <f>DataPull!D2537</f>
        <v/>
      </c>
      <c r="G2537" s="94" t="str">
        <f t="shared" si="2"/>
        <v/>
      </c>
      <c r="H2537" s="94" t="str">
        <f t="shared" si="3"/>
        <v/>
      </c>
      <c r="I2537" s="94" t="str">
        <f t="shared" ref="I2537:J2537" si="2538">if(G2537 = "", , -G2537)</f>
        <v/>
      </c>
      <c r="J2537" s="94" t="str">
        <f t="shared" si="2538"/>
        <v/>
      </c>
      <c r="K2537" s="100"/>
      <c r="M2537" s="100"/>
      <c r="N2537" s="100"/>
      <c r="O2537" s="100"/>
      <c r="P2537" s="100"/>
    </row>
    <row r="2538">
      <c r="A2538" s="107">
        <v>203495.0</v>
      </c>
      <c r="B2538" s="108" t="s">
        <v>85</v>
      </c>
      <c r="C2538" s="108" t="s">
        <v>680</v>
      </c>
      <c r="D2538" s="112" t="s">
        <v>187</v>
      </c>
      <c r="E2538" s="112">
        <v>33.0</v>
      </c>
      <c r="F2538" s="111" t="str">
        <f>DataPull!D2538</f>
        <v/>
      </c>
      <c r="G2538" s="94" t="str">
        <f t="shared" si="2"/>
        <v/>
      </c>
      <c r="H2538" s="94" t="str">
        <f t="shared" si="3"/>
        <v/>
      </c>
      <c r="I2538" s="94" t="str">
        <f t="shared" ref="I2538:J2538" si="2539">if(G2538 = "", , -G2538)</f>
        <v/>
      </c>
      <c r="J2538" s="94" t="str">
        <f t="shared" si="2539"/>
        <v/>
      </c>
      <c r="K2538" s="100"/>
      <c r="M2538" s="100"/>
      <c r="N2538" s="100"/>
      <c r="O2538" s="100"/>
      <c r="P2538" s="100"/>
    </row>
    <row r="2539">
      <c r="A2539" s="107">
        <v>203495.0</v>
      </c>
      <c r="B2539" s="108" t="s">
        <v>90</v>
      </c>
      <c r="C2539" s="108" t="s">
        <v>680</v>
      </c>
      <c r="D2539" s="112" t="s">
        <v>187</v>
      </c>
      <c r="E2539" s="112">
        <v>244.8</v>
      </c>
      <c r="F2539" s="111" t="str">
        <f>DataPull!D2539</f>
        <v/>
      </c>
      <c r="G2539" s="94" t="str">
        <f t="shared" si="2"/>
        <v/>
      </c>
      <c r="H2539" s="94" t="str">
        <f t="shared" si="3"/>
        <v/>
      </c>
      <c r="I2539" s="94" t="str">
        <f t="shared" ref="I2539:J2539" si="2540">if(G2539 = "", , -G2539)</f>
        <v/>
      </c>
      <c r="J2539" s="94" t="str">
        <f t="shared" si="2540"/>
        <v/>
      </c>
      <c r="K2539" s="100"/>
      <c r="L2539" s="100"/>
      <c r="N2539" s="100"/>
      <c r="O2539" s="100"/>
      <c r="P2539" s="100"/>
    </row>
    <row r="2540">
      <c r="A2540" s="107">
        <v>203496.0</v>
      </c>
      <c r="B2540" s="108" t="s">
        <v>85</v>
      </c>
      <c r="C2540" s="108" t="s">
        <v>681</v>
      </c>
      <c r="D2540" s="112" t="s">
        <v>181</v>
      </c>
      <c r="E2540" s="112">
        <v>33.6</v>
      </c>
      <c r="F2540" s="111" t="str">
        <f>DataPull!D2540</f>
        <v/>
      </c>
      <c r="G2540" s="94" t="str">
        <f t="shared" si="2"/>
        <v/>
      </c>
      <c r="H2540" s="94" t="str">
        <f t="shared" si="3"/>
        <v/>
      </c>
      <c r="I2540" s="94" t="str">
        <f t="shared" ref="I2540:J2540" si="2541">if(G2540 = "", , -G2540)</f>
        <v/>
      </c>
      <c r="J2540" s="94" t="str">
        <f t="shared" si="2541"/>
        <v/>
      </c>
      <c r="K2540" s="100"/>
      <c r="M2540" s="100"/>
      <c r="N2540" s="100"/>
      <c r="O2540" s="100"/>
      <c r="P2540" s="100"/>
    </row>
    <row r="2541">
      <c r="A2541" s="107">
        <v>203496.0</v>
      </c>
      <c r="B2541" s="108" t="s">
        <v>90</v>
      </c>
      <c r="C2541" s="108" t="s">
        <v>681</v>
      </c>
      <c r="D2541" s="112" t="s">
        <v>178</v>
      </c>
      <c r="E2541" s="112">
        <v>1953.0</v>
      </c>
      <c r="F2541" s="111" t="str">
        <f>DataPull!D2541</f>
        <v/>
      </c>
      <c r="G2541" s="94" t="str">
        <f t="shared" si="2"/>
        <v/>
      </c>
      <c r="H2541" s="94" t="str">
        <f t="shared" si="3"/>
        <v/>
      </c>
      <c r="I2541" s="94" t="str">
        <f t="shared" ref="I2541:J2541" si="2542">if(G2541 = "", , -G2541)</f>
        <v/>
      </c>
      <c r="J2541" s="94" t="str">
        <f t="shared" si="2542"/>
        <v/>
      </c>
      <c r="K2541" s="100"/>
      <c r="M2541" s="100"/>
      <c r="N2541" s="100"/>
      <c r="O2541" s="100"/>
      <c r="P2541" s="100"/>
    </row>
    <row r="2542">
      <c r="A2542" s="107">
        <v>203496.0</v>
      </c>
      <c r="B2542" s="108" t="s">
        <v>92</v>
      </c>
      <c r="C2542" s="108" t="s">
        <v>681</v>
      </c>
      <c r="D2542" s="112" t="s">
        <v>178</v>
      </c>
      <c r="E2542" s="112">
        <v>1902.8</v>
      </c>
      <c r="F2542" s="111" t="str">
        <f>DataPull!D2542</f>
        <v/>
      </c>
      <c r="G2542" s="94" t="str">
        <f t="shared" si="2"/>
        <v/>
      </c>
      <c r="H2542" s="94" t="str">
        <f t="shared" si="3"/>
        <v/>
      </c>
      <c r="I2542" s="94" t="str">
        <f t="shared" ref="I2542:J2542" si="2543">if(G2542 = "", , -G2542)</f>
        <v/>
      </c>
      <c r="J2542" s="94" t="str">
        <f t="shared" si="2543"/>
        <v/>
      </c>
      <c r="K2542" s="100"/>
      <c r="M2542" s="100"/>
      <c r="N2542" s="100"/>
      <c r="O2542" s="100"/>
      <c r="P2542" s="100"/>
    </row>
    <row r="2543">
      <c r="A2543" s="107">
        <v>203496.0</v>
      </c>
      <c r="B2543" s="108" t="s">
        <v>190</v>
      </c>
      <c r="C2543" s="108" t="s">
        <v>681</v>
      </c>
      <c r="D2543" s="112" t="s">
        <v>184</v>
      </c>
      <c r="E2543" s="112">
        <v>2117.2</v>
      </c>
      <c r="F2543" s="111" t="str">
        <f>DataPull!D2543</f>
        <v/>
      </c>
      <c r="G2543" s="94" t="str">
        <f t="shared" si="2"/>
        <v/>
      </c>
      <c r="H2543" s="94" t="str">
        <f t="shared" si="3"/>
        <v/>
      </c>
      <c r="I2543" s="94" t="str">
        <f t="shared" ref="I2543:J2543" si="2544">if(G2543 = "", , -G2543)</f>
        <v/>
      </c>
      <c r="J2543" s="94" t="str">
        <f t="shared" si="2544"/>
        <v/>
      </c>
      <c r="K2543" s="100"/>
      <c r="L2543" s="100"/>
      <c r="M2543" s="100"/>
      <c r="N2543" s="100"/>
      <c r="O2543" s="100"/>
      <c r="P2543" s="100"/>
    </row>
    <row r="2544">
      <c r="A2544" s="107">
        <v>203496.0</v>
      </c>
      <c r="B2544" s="108" t="s">
        <v>191</v>
      </c>
      <c r="C2544" s="108" t="s">
        <v>681</v>
      </c>
      <c r="D2544" s="112" t="s">
        <v>184</v>
      </c>
      <c r="E2544" s="112">
        <v>2528.0</v>
      </c>
      <c r="F2544" s="111" t="str">
        <f>DataPull!D2544</f>
        <v/>
      </c>
      <c r="G2544" s="94" t="str">
        <f t="shared" si="2"/>
        <v/>
      </c>
      <c r="H2544" s="94" t="str">
        <f t="shared" si="3"/>
        <v/>
      </c>
      <c r="I2544" s="94" t="str">
        <f t="shared" ref="I2544:J2544" si="2545">if(G2544 = "", , -G2544)</f>
        <v/>
      </c>
      <c r="J2544" s="94" t="str">
        <f t="shared" si="2545"/>
        <v/>
      </c>
      <c r="K2544" s="100"/>
      <c r="M2544" s="100"/>
      <c r="N2544" s="100"/>
      <c r="O2544" s="100"/>
      <c r="P2544" s="100"/>
    </row>
    <row r="2545">
      <c r="A2545" s="107">
        <v>203496.0</v>
      </c>
      <c r="B2545" s="108" t="s">
        <v>192</v>
      </c>
      <c r="C2545" s="108" t="s">
        <v>681</v>
      </c>
      <c r="D2545" s="112" t="s">
        <v>184</v>
      </c>
      <c r="E2545" s="112">
        <v>1204.0</v>
      </c>
      <c r="F2545" s="111" t="str">
        <f>DataPull!D2545</f>
        <v/>
      </c>
      <c r="G2545" s="94" t="str">
        <f t="shared" si="2"/>
        <v/>
      </c>
      <c r="H2545" s="94" t="str">
        <f t="shared" si="3"/>
        <v/>
      </c>
      <c r="I2545" s="94" t="str">
        <f t="shared" ref="I2545:J2545" si="2546">if(G2545 = "", , -G2545)</f>
        <v/>
      </c>
      <c r="J2545" s="94" t="str">
        <f t="shared" si="2546"/>
        <v/>
      </c>
      <c r="K2545" s="100"/>
      <c r="M2545" s="100"/>
      <c r="N2545" s="100"/>
      <c r="O2545" s="100"/>
      <c r="P2545" s="100"/>
    </row>
    <row r="2546">
      <c r="A2546" s="107">
        <v>203496.0</v>
      </c>
      <c r="B2546" s="108" t="s">
        <v>193</v>
      </c>
      <c r="C2546" s="108" t="s">
        <v>681</v>
      </c>
      <c r="D2546" s="112" t="s">
        <v>184</v>
      </c>
      <c r="E2546" s="112">
        <v>2135.0</v>
      </c>
      <c r="F2546" s="111" t="str">
        <f>DataPull!D2546</f>
        <v/>
      </c>
      <c r="G2546" s="94" t="str">
        <f t="shared" si="2"/>
        <v/>
      </c>
      <c r="H2546" s="94" t="str">
        <f t="shared" si="3"/>
        <v/>
      </c>
      <c r="I2546" s="94" t="str">
        <f t="shared" ref="I2546:J2546" si="2547">if(G2546 = "", , -G2546)</f>
        <v/>
      </c>
      <c r="J2546" s="94" t="str">
        <f t="shared" si="2547"/>
        <v/>
      </c>
      <c r="K2546" s="100"/>
      <c r="M2546" s="100"/>
      <c r="N2546" s="100"/>
      <c r="O2546" s="100"/>
      <c r="P2546" s="100"/>
    </row>
    <row r="2547">
      <c r="A2547" s="107">
        <v>203496.0</v>
      </c>
      <c r="B2547" s="108" t="s">
        <v>243</v>
      </c>
      <c r="C2547" s="108" t="s">
        <v>681</v>
      </c>
      <c r="D2547" s="112" t="s">
        <v>184</v>
      </c>
      <c r="E2547" s="112">
        <v>2240.0</v>
      </c>
      <c r="F2547" s="111" t="str">
        <f>DataPull!D2547</f>
        <v/>
      </c>
      <c r="G2547" s="94" t="str">
        <f t="shared" si="2"/>
        <v/>
      </c>
      <c r="H2547" s="94" t="str">
        <f t="shared" si="3"/>
        <v/>
      </c>
      <c r="I2547" s="94" t="str">
        <f t="shared" ref="I2547:J2547" si="2548">if(G2547 = "", , -G2547)</f>
        <v/>
      </c>
      <c r="J2547" s="94" t="str">
        <f t="shared" si="2548"/>
        <v/>
      </c>
      <c r="K2547" s="100"/>
      <c r="M2547" s="100"/>
      <c r="N2547" s="100"/>
      <c r="O2547" s="100"/>
      <c r="P2547" s="100"/>
    </row>
    <row r="2548">
      <c r="A2548" s="107">
        <v>203496.0</v>
      </c>
      <c r="B2548" s="108" t="s">
        <v>215</v>
      </c>
      <c r="C2548" s="108" t="s">
        <v>681</v>
      </c>
      <c r="D2548" s="112" t="s">
        <v>184</v>
      </c>
      <c r="E2548" s="112">
        <v>1938.3</v>
      </c>
      <c r="F2548" s="111" t="str">
        <f>DataPull!D2548</f>
        <v/>
      </c>
      <c r="G2548" s="94" t="str">
        <f t="shared" si="2"/>
        <v/>
      </c>
      <c r="H2548" s="94" t="str">
        <f t="shared" si="3"/>
        <v/>
      </c>
      <c r="I2548" s="94" t="str">
        <f t="shared" ref="I2548:J2548" si="2549">if(G2548 = "", , -G2548)</f>
        <v/>
      </c>
      <c r="J2548" s="94" t="str">
        <f t="shared" si="2549"/>
        <v/>
      </c>
      <c r="K2548" s="100"/>
      <c r="M2548" s="100"/>
      <c r="N2548" s="100"/>
      <c r="O2548" s="100"/>
      <c r="P2548" s="100"/>
    </row>
    <row r="2549">
      <c r="A2549" s="107">
        <v>203496.0</v>
      </c>
      <c r="B2549" s="108" t="s">
        <v>244</v>
      </c>
      <c r="C2549" s="108" t="s">
        <v>681</v>
      </c>
      <c r="D2549" s="112" t="s">
        <v>177</v>
      </c>
      <c r="E2549" s="112">
        <v>777.6</v>
      </c>
      <c r="F2549" s="111" t="str">
        <f>DataPull!D2549</f>
        <v/>
      </c>
      <c r="G2549" s="94" t="str">
        <f t="shared" si="2"/>
        <v/>
      </c>
      <c r="H2549" s="94" t="str">
        <f t="shared" si="3"/>
        <v/>
      </c>
      <c r="I2549" s="94" t="str">
        <f t="shared" ref="I2549:J2549" si="2550">if(G2549 = "", , -G2549)</f>
        <v/>
      </c>
      <c r="J2549" s="94" t="str">
        <f t="shared" si="2550"/>
        <v/>
      </c>
      <c r="K2549" s="100"/>
      <c r="M2549" s="100"/>
      <c r="N2549" s="100"/>
      <c r="O2549" s="100"/>
      <c r="P2549" s="100"/>
    </row>
    <row r="2550">
      <c r="A2550" s="107">
        <v>203496.0</v>
      </c>
      <c r="B2550" s="108" t="s">
        <v>245</v>
      </c>
      <c r="C2550" s="108" t="s">
        <v>681</v>
      </c>
      <c r="D2550" s="112" t="s">
        <v>177</v>
      </c>
      <c r="E2550" s="112">
        <v>487.2</v>
      </c>
      <c r="F2550" s="111" t="str">
        <f>DataPull!D2550</f>
        <v/>
      </c>
      <c r="G2550" s="94" t="str">
        <f t="shared" si="2"/>
        <v/>
      </c>
      <c r="H2550" s="94" t="str">
        <f t="shared" si="3"/>
        <v/>
      </c>
      <c r="I2550" s="94" t="str">
        <f t="shared" ref="I2550:J2550" si="2551">if(G2550 = "", , -G2550)</f>
        <v/>
      </c>
      <c r="J2550" s="94" t="str">
        <f t="shared" si="2551"/>
        <v/>
      </c>
      <c r="K2550" s="100"/>
      <c r="M2550" s="100"/>
      <c r="N2550" s="100"/>
      <c r="O2550" s="100"/>
      <c r="P2550" s="100"/>
    </row>
    <row r="2551">
      <c r="A2551" s="107">
        <v>203497.0</v>
      </c>
      <c r="B2551" s="108" t="s">
        <v>85</v>
      </c>
      <c r="C2551" s="108" t="s">
        <v>682</v>
      </c>
      <c r="D2551" s="112" t="s">
        <v>187</v>
      </c>
      <c r="E2551" s="112">
        <v>432.0</v>
      </c>
      <c r="F2551" s="111" t="str">
        <f>DataPull!D2551</f>
        <v/>
      </c>
      <c r="G2551" s="94" t="str">
        <f t="shared" si="2"/>
        <v/>
      </c>
      <c r="H2551" s="94" t="str">
        <f t="shared" si="3"/>
        <v/>
      </c>
      <c r="I2551" s="94" t="str">
        <f t="shared" ref="I2551:J2551" si="2552">if(G2551 = "", , -G2551)</f>
        <v/>
      </c>
      <c r="J2551" s="94" t="str">
        <f t="shared" si="2552"/>
        <v/>
      </c>
      <c r="K2551" s="100"/>
      <c r="L2551" s="100"/>
      <c r="N2551" s="100"/>
      <c r="O2551" s="100"/>
      <c r="P2551" s="100"/>
    </row>
    <row r="2552">
      <c r="A2552" s="107">
        <v>203497.0</v>
      </c>
      <c r="B2552" s="108" t="s">
        <v>90</v>
      </c>
      <c r="C2552" s="108" t="s">
        <v>682</v>
      </c>
      <c r="D2552" s="112" t="s">
        <v>176</v>
      </c>
      <c r="E2552" s="112">
        <v>2156.6</v>
      </c>
      <c r="F2552" s="111" t="str">
        <f>DataPull!D2552</f>
        <v/>
      </c>
      <c r="G2552" s="94" t="str">
        <f t="shared" si="2"/>
        <v/>
      </c>
      <c r="H2552" s="94" t="str">
        <f t="shared" si="3"/>
        <v/>
      </c>
      <c r="I2552" s="94" t="str">
        <f t="shared" ref="I2552:J2552" si="2553">if(G2552 = "", , -G2552)</f>
        <v/>
      </c>
      <c r="J2552" s="94" t="str">
        <f t="shared" si="2553"/>
        <v/>
      </c>
      <c r="K2552" s="100"/>
      <c r="M2552" s="100"/>
      <c r="N2552" s="100"/>
      <c r="O2552" s="100"/>
      <c r="P2552" s="100"/>
    </row>
    <row r="2553">
      <c r="A2553" s="107">
        <v>203497.0</v>
      </c>
      <c r="B2553" s="108" t="s">
        <v>92</v>
      </c>
      <c r="C2553" s="108" t="s">
        <v>682</v>
      </c>
      <c r="D2553" s="112" t="s">
        <v>184</v>
      </c>
      <c r="E2553" s="112">
        <v>1933.7</v>
      </c>
      <c r="F2553" s="111" t="str">
        <f>DataPull!D2553</f>
        <v/>
      </c>
      <c r="G2553" s="94" t="str">
        <f t="shared" si="2"/>
        <v/>
      </c>
      <c r="H2553" s="94" t="str">
        <f t="shared" si="3"/>
        <v/>
      </c>
      <c r="I2553" s="94" t="str">
        <f t="shared" ref="I2553:J2553" si="2554">if(G2553 = "", , -G2553)</f>
        <v/>
      </c>
      <c r="J2553" s="94" t="str">
        <f t="shared" si="2554"/>
        <v/>
      </c>
      <c r="K2553" s="100"/>
      <c r="M2553" s="100"/>
      <c r="N2553" s="100"/>
      <c r="O2553" s="100"/>
      <c r="P2553" s="100"/>
    </row>
    <row r="2554">
      <c r="A2554" s="107">
        <v>203497.0</v>
      </c>
      <c r="B2554" s="108" t="s">
        <v>190</v>
      </c>
      <c r="C2554" s="108" t="s">
        <v>682</v>
      </c>
      <c r="D2554" s="112" t="s">
        <v>184</v>
      </c>
      <c r="E2554" s="112">
        <v>2745.9</v>
      </c>
      <c r="F2554" s="111" t="str">
        <f>DataPull!D2554</f>
        <v/>
      </c>
      <c r="G2554" s="94" t="str">
        <f t="shared" si="2"/>
        <v/>
      </c>
      <c r="H2554" s="94" t="str">
        <f t="shared" si="3"/>
        <v/>
      </c>
      <c r="I2554" s="94" t="str">
        <f t="shared" ref="I2554:J2554" si="2555">if(G2554 = "", , -G2554)</f>
        <v/>
      </c>
      <c r="J2554" s="94" t="str">
        <f t="shared" si="2555"/>
        <v/>
      </c>
      <c r="K2554" s="100"/>
      <c r="M2554" s="100"/>
      <c r="N2554" s="100"/>
      <c r="O2554" s="100"/>
      <c r="P2554" s="100"/>
    </row>
    <row r="2555">
      <c r="A2555" s="107">
        <v>203497.0</v>
      </c>
      <c r="B2555" s="108" t="s">
        <v>191</v>
      </c>
      <c r="C2555" s="108" t="s">
        <v>682</v>
      </c>
      <c r="D2555" s="112" t="s">
        <v>184</v>
      </c>
      <c r="E2555" s="112">
        <v>1814.4</v>
      </c>
      <c r="F2555" s="111" t="str">
        <f>DataPull!D2555</f>
        <v/>
      </c>
      <c r="G2555" s="94" t="str">
        <f t="shared" si="2"/>
        <v/>
      </c>
      <c r="H2555" s="94" t="str">
        <f t="shared" si="3"/>
        <v/>
      </c>
      <c r="I2555" s="94" t="str">
        <f t="shared" ref="I2555:J2555" si="2556">if(G2555 = "", , -G2555)</f>
        <v/>
      </c>
      <c r="J2555" s="94" t="str">
        <f t="shared" si="2556"/>
        <v/>
      </c>
      <c r="K2555" s="100"/>
      <c r="M2555" s="100"/>
      <c r="N2555" s="100"/>
      <c r="O2555" s="100"/>
      <c r="P2555" s="100"/>
    </row>
    <row r="2556">
      <c r="A2556" s="107">
        <v>203497.0</v>
      </c>
      <c r="B2556" s="108" t="s">
        <v>192</v>
      </c>
      <c r="C2556" s="108" t="s">
        <v>682</v>
      </c>
      <c r="D2556" s="112" t="s">
        <v>184</v>
      </c>
      <c r="E2556" s="112">
        <v>2575.8</v>
      </c>
      <c r="F2556" s="111" t="str">
        <f>DataPull!D2556</f>
        <v/>
      </c>
      <c r="G2556" s="94" t="str">
        <f t="shared" si="2"/>
        <v/>
      </c>
      <c r="H2556" s="94" t="str">
        <f t="shared" si="3"/>
        <v/>
      </c>
      <c r="I2556" s="94" t="str">
        <f t="shared" ref="I2556:J2556" si="2557">if(G2556 = "", , -G2556)</f>
        <v/>
      </c>
      <c r="J2556" s="94" t="str">
        <f t="shared" si="2557"/>
        <v/>
      </c>
      <c r="K2556" s="100"/>
      <c r="M2556" s="100"/>
      <c r="N2556" s="100"/>
      <c r="O2556" s="100"/>
      <c r="P2556" s="100"/>
    </row>
    <row r="2557">
      <c r="A2557" s="107">
        <v>203497.0</v>
      </c>
      <c r="B2557" s="108" t="s">
        <v>193</v>
      </c>
      <c r="C2557" s="108" t="s">
        <v>682</v>
      </c>
      <c r="D2557" s="112" t="s">
        <v>184</v>
      </c>
      <c r="E2557" s="112">
        <v>2332.4</v>
      </c>
      <c r="F2557" s="111" t="str">
        <f>DataPull!D2557</f>
        <v/>
      </c>
      <c r="G2557" s="94" t="str">
        <f t="shared" si="2"/>
        <v/>
      </c>
      <c r="H2557" s="94" t="str">
        <f t="shared" si="3"/>
        <v/>
      </c>
      <c r="I2557" s="94" t="str">
        <f t="shared" ref="I2557:J2557" si="2558">if(G2557 = "", , -G2557)</f>
        <v/>
      </c>
      <c r="J2557" s="94" t="str">
        <f t="shared" si="2558"/>
        <v/>
      </c>
      <c r="K2557" s="100"/>
      <c r="M2557" s="100"/>
      <c r="N2557" s="100"/>
      <c r="O2557" s="100"/>
      <c r="P2557" s="100"/>
    </row>
    <row r="2558">
      <c r="A2558" s="107">
        <v>203497.0</v>
      </c>
      <c r="B2558" s="108" t="s">
        <v>243</v>
      </c>
      <c r="C2558" s="108" t="s">
        <v>682</v>
      </c>
      <c r="D2558" s="112" t="s">
        <v>184</v>
      </c>
      <c r="E2558" s="112">
        <v>2186.8</v>
      </c>
      <c r="F2558" s="111" t="str">
        <f>DataPull!D2558</f>
        <v/>
      </c>
      <c r="G2558" s="94" t="str">
        <f t="shared" si="2"/>
        <v/>
      </c>
      <c r="H2558" s="94" t="str">
        <f t="shared" si="3"/>
        <v/>
      </c>
      <c r="I2558" s="94" t="str">
        <f t="shared" ref="I2558:J2558" si="2559">if(G2558 = "", , -G2558)</f>
        <v/>
      </c>
      <c r="J2558" s="94" t="str">
        <f t="shared" si="2559"/>
        <v/>
      </c>
      <c r="K2558" s="100"/>
      <c r="M2558" s="100"/>
      <c r="N2558" s="100"/>
      <c r="O2558" s="100"/>
      <c r="P2558" s="100"/>
    </row>
    <row r="2559">
      <c r="A2559" s="107">
        <v>203497.0</v>
      </c>
      <c r="B2559" s="108" t="s">
        <v>215</v>
      </c>
      <c r="C2559" s="108" t="s">
        <v>682</v>
      </c>
      <c r="D2559" s="112" t="s">
        <v>184</v>
      </c>
      <c r="E2559" s="112">
        <v>2118.6</v>
      </c>
      <c r="F2559" s="111" t="str">
        <f>DataPull!D2559</f>
        <v/>
      </c>
      <c r="G2559" s="94" t="str">
        <f t="shared" si="2"/>
        <v/>
      </c>
      <c r="H2559" s="94" t="str">
        <f t="shared" si="3"/>
        <v/>
      </c>
      <c r="I2559" s="94" t="str">
        <f t="shared" ref="I2559:J2559" si="2560">if(G2559 = "", , -G2559)</f>
        <v/>
      </c>
      <c r="J2559" s="94" t="str">
        <f t="shared" si="2560"/>
        <v/>
      </c>
      <c r="K2559" s="100"/>
      <c r="L2559" s="100"/>
      <c r="N2559" s="100"/>
      <c r="O2559" s="100"/>
      <c r="P2559" s="100"/>
    </row>
    <row r="2560">
      <c r="A2560" s="107">
        <v>203497.0</v>
      </c>
      <c r="B2560" s="108" t="s">
        <v>244</v>
      </c>
      <c r="C2560" s="108" t="s">
        <v>682</v>
      </c>
      <c r="D2560" s="112" t="s">
        <v>184</v>
      </c>
      <c r="E2560" s="112">
        <v>2149.0</v>
      </c>
      <c r="F2560" s="111" t="str">
        <f>DataPull!D2560</f>
        <v/>
      </c>
      <c r="G2560" s="94" t="str">
        <f t="shared" si="2"/>
        <v/>
      </c>
      <c r="H2560" s="94" t="str">
        <f t="shared" si="3"/>
        <v/>
      </c>
      <c r="I2560" s="94" t="str">
        <f t="shared" ref="I2560:J2560" si="2561">if(G2560 = "", , -G2560)</f>
        <v/>
      </c>
      <c r="J2560" s="94" t="str">
        <f t="shared" si="2561"/>
        <v/>
      </c>
      <c r="N2560" s="100"/>
    </row>
    <row r="2561">
      <c r="A2561" s="107">
        <v>203497.0</v>
      </c>
      <c r="B2561" s="108" t="s">
        <v>245</v>
      </c>
      <c r="C2561" s="108" t="s">
        <v>682</v>
      </c>
      <c r="D2561" s="112" t="s">
        <v>184</v>
      </c>
      <c r="E2561" s="112">
        <v>2591.6</v>
      </c>
      <c r="F2561" s="111" t="str">
        <f>DataPull!D2561</f>
        <v/>
      </c>
      <c r="G2561" s="94" t="str">
        <f t="shared" si="2"/>
        <v/>
      </c>
      <c r="H2561" s="94" t="str">
        <f t="shared" si="3"/>
        <v/>
      </c>
      <c r="I2561" s="94" t="str">
        <f t="shared" ref="I2561:J2561" si="2562">if(G2561 = "", , -G2561)</f>
        <v/>
      </c>
      <c r="J2561" s="94" t="str">
        <f t="shared" si="2562"/>
        <v/>
      </c>
      <c r="K2561" s="100"/>
      <c r="M2561" s="100"/>
      <c r="N2561" s="100"/>
      <c r="O2561" s="100"/>
    </row>
    <row r="2562">
      <c r="A2562" s="107">
        <v>203497.0</v>
      </c>
      <c r="B2562" s="108" t="s">
        <v>246</v>
      </c>
      <c r="C2562" s="108" t="s">
        <v>682</v>
      </c>
      <c r="D2562" s="112" t="s">
        <v>184</v>
      </c>
      <c r="E2562" s="112">
        <v>2390.4</v>
      </c>
      <c r="F2562" s="111" t="str">
        <f>DataPull!D2562</f>
        <v/>
      </c>
      <c r="G2562" s="94" t="str">
        <f t="shared" si="2"/>
        <v/>
      </c>
      <c r="H2562" s="94" t="str">
        <f t="shared" si="3"/>
        <v/>
      </c>
      <c r="I2562" s="94" t="str">
        <f t="shared" ref="I2562:J2562" si="2563">if(G2562 = "", , -G2562)</f>
        <v/>
      </c>
      <c r="J2562" s="94" t="str">
        <f t="shared" si="2563"/>
        <v/>
      </c>
      <c r="K2562" s="100"/>
      <c r="M2562" s="100"/>
      <c r="N2562" s="100"/>
      <c r="O2562" s="100"/>
      <c r="P2562" s="100"/>
    </row>
    <row r="2563">
      <c r="A2563" s="114">
        <v>203497.0</v>
      </c>
      <c r="B2563" s="113" t="s">
        <v>247</v>
      </c>
      <c r="C2563" s="113" t="s">
        <v>682</v>
      </c>
      <c r="D2563" s="112" t="s">
        <v>184</v>
      </c>
      <c r="E2563" s="112">
        <v>2378.8</v>
      </c>
      <c r="F2563" s="111" t="str">
        <f>DataPull!D2563</f>
        <v/>
      </c>
      <c r="G2563" s="94" t="str">
        <f t="shared" si="2"/>
        <v/>
      </c>
      <c r="H2563" s="94" t="str">
        <f t="shared" si="3"/>
        <v/>
      </c>
      <c r="I2563" s="94" t="str">
        <f t="shared" ref="I2563:J2563" si="2564">if(G2563 = "", , -G2563)</f>
        <v/>
      </c>
      <c r="J2563" s="94" t="str">
        <f t="shared" si="2564"/>
        <v/>
      </c>
      <c r="K2563" s="100"/>
      <c r="M2563" s="100"/>
      <c r="N2563" s="100"/>
      <c r="O2563" s="100"/>
      <c r="P2563" s="100"/>
    </row>
    <row r="2564">
      <c r="A2564" s="107">
        <v>203498.0</v>
      </c>
      <c r="B2564" s="108" t="s">
        <v>85</v>
      </c>
      <c r="C2564" s="108" t="s">
        <v>683</v>
      </c>
      <c r="D2564" s="112" t="s">
        <v>187</v>
      </c>
      <c r="E2564" s="112">
        <v>288.6</v>
      </c>
      <c r="F2564" s="111" t="str">
        <f>DataPull!D2564</f>
        <v/>
      </c>
      <c r="G2564" s="94" t="str">
        <f t="shared" si="2"/>
        <v/>
      </c>
      <c r="H2564" s="94" t="str">
        <f t="shared" si="3"/>
        <v/>
      </c>
      <c r="I2564" s="94" t="str">
        <f t="shared" ref="I2564:J2564" si="2565">if(G2564 = "", , -G2564)</f>
        <v/>
      </c>
      <c r="J2564" s="94" t="str">
        <f t="shared" si="2565"/>
        <v/>
      </c>
      <c r="K2564" s="100"/>
      <c r="L2564" s="100"/>
      <c r="M2564" s="100"/>
      <c r="N2564" s="100"/>
      <c r="O2564" s="100"/>
      <c r="P2564" s="100"/>
    </row>
    <row r="2565">
      <c r="A2565" s="107">
        <v>203498.0</v>
      </c>
      <c r="B2565" s="108" t="s">
        <v>90</v>
      </c>
      <c r="C2565" s="108" t="s">
        <v>683</v>
      </c>
      <c r="D2565" s="112" t="s">
        <v>176</v>
      </c>
      <c r="E2565" s="112">
        <v>866.4</v>
      </c>
      <c r="F2565" s="111" t="str">
        <f>DataPull!D2565</f>
        <v/>
      </c>
      <c r="G2565" s="94" t="str">
        <f t="shared" si="2"/>
        <v/>
      </c>
      <c r="H2565" s="94" t="str">
        <f t="shared" si="3"/>
        <v/>
      </c>
      <c r="I2565" s="94" t="str">
        <f t="shared" ref="I2565:J2565" si="2566">if(G2565 = "", , -G2565)</f>
        <v/>
      </c>
      <c r="J2565" s="94" t="str">
        <f t="shared" si="2566"/>
        <v/>
      </c>
      <c r="K2565" s="100"/>
      <c r="M2565" s="100"/>
      <c r="N2565" s="100"/>
      <c r="O2565" s="100"/>
      <c r="P2565" s="100"/>
    </row>
    <row r="2566">
      <c r="A2566" s="107">
        <v>203498.0</v>
      </c>
      <c r="B2566" s="108" t="s">
        <v>92</v>
      </c>
      <c r="C2566" s="108" t="s">
        <v>683</v>
      </c>
      <c r="D2566" s="112" t="s">
        <v>176</v>
      </c>
      <c r="E2566" s="112">
        <v>1681.0</v>
      </c>
      <c r="F2566" s="111" t="str">
        <f>DataPull!D2566</f>
        <v/>
      </c>
      <c r="G2566" s="94" t="str">
        <f t="shared" si="2"/>
        <v/>
      </c>
      <c r="H2566" s="94" t="str">
        <f t="shared" si="3"/>
        <v/>
      </c>
      <c r="I2566" s="94" t="str">
        <f t="shared" ref="I2566:J2566" si="2567">if(G2566 = "", , -G2566)</f>
        <v/>
      </c>
      <c r="J2566" s="94" t="str">
        <f t="shared" si="2567"/>
        <v/>
      </c>
      <c r="K2566" s="100"/>
      <c r="L2566" s="100"/>
      <c r="N2566" s="100"/>
      <c r="O2566" s="100"/>
      <c r="P2566" s="100"/>
    </row>
    <row r="2567">
      <c r="A2567" s="107">
        <v>203498.0</v>
      </c>
      <c r="B2567" s="108" t="s">
        <v>190</v>
      </c>
      <c r="C2567" s="108" t="s">
        <v>683</v>
      </c>
      <c r="D2567" s="112" t="s">
        <v>176</v>
      </c>
      <c r="E2567" s="112">
        <v>1513.2</v>
      </c>
      <c r="F2567" s="111" t="str">
        <f>DataPull!D2567</f>
        <v/>
      </c>
      <c r="G2567" s="94" t="str">
        <f t="shared" si="2"/>
        <v/>
      </c>
      <c r="H2567" s="94" t="str">
        <f t="shared" si="3"/>
        <v/>
      </c>
      <c r="I2567" s="94" t="str">
        <f t="shared" ref="I2567:J2567" si="2568">if(G2567 = "", , -G2567)</f>
        <v/>
      </c>
      <c r="J2567" s="94" t="str">
        <f t="shared" si="2568"/>
        <v/>
      </c>
      <c r="K2567" s="100"/>
      <c r="M2567" s="100"/>
      <c r="N2567" s="100"/>
      <c r="O2567" s="100"/>
      <c r="P2567" s="100"/>
    </row>
    <row r="2568">
      <c r="A2568" s="107">
        <v>203498.0</v>
      </c>
      <c r="B2568" s="108" t="s">
        <v>191</v>
      </c>
      <c r="C2568" s="108" t="s">
        <v>683</v>
      </c>
      <c r="D2568" s="112" t="s">
        <v>187</v>
      </c>
      <c r="E2568" s="112">
        <v>417.1</v>
      </c>
      <c r="F2568" s="111" t="str">
        <f>DataPull!D2568</f>
        <v/>
      </c>
      <c r="G2568" s="94" t="str">
        <f t="shared" si="2"/>
        <v/>
      </c>
      <c r="H2568" s="94" t="str">
        <f t="shared" si="3"/>
        <v/>
      </c>
      <c r="I2568" s="94" t="str">
        <f t="shared" ref="I2568:J2568" si="2569">if(G2568 = "", , -G2568)</f>
        <v/>
      </c>
      <c r="J2568" s="94" t="str">
        <f t="shared" si="2569"/>
        <v/>
      </c>
      <c r="K2568" s="100"/>
      <c r="M2568" s="100"/>
      <c r="N2568" s="100"/>
      <c r="O2568" s="100"/>
      <c r="P2568" s="100"/>
    </row>
    <row r="2569">
      <c r="A2569" s="107">
        <v>203499.0</v>
      </c>
      <c r="B2569" s="108" t="s">
        <v>85</v>
      </c>
      <c r="C2569" s="108" t="s">
        <v>684</v>
      </c>
      <c r="D2569" s="112" t="s">
        <v>177</v>
      </c>
      <c r="E2569" s="112">
        <v>489.6</v>
      </c>
      <c r="F2569" s="111" t="str">
        <f>DataPull!D2569</f>
        <v/>
      </c>
      <c r="G2569" s="94" t="str">
        <f t="shared" si="2"/>
        <v/>
      </c>
      <c r="H2569" s="94" t="str">
        <f t="shared" si="3"/>
        <v/>
      </c>
      <c r="I2569" s="94" t="str">
        <f t="shared" ref="I2569:J2569" si="2570">if(G2569 = "", , -G2569)</f>
        <v/>
      </c>
      <c r="J2569" s="94" t="str">
        <f t="shared" si="2570"/>
        <v/>
      </c>
      <c r="K2569" s="100"/>
      <c r="M2569" s="100"/>
      <c r="N2569" s="100"/>
      <c r="O2569" s="100"/>
      <c r="P2569" s="100"/>
    </row>
    <row r="2570">
      <c r="A2570" s="107">
        <v>203499.0</v>
      </c>
      <c r="B2570" s="108" t="s">
        <v>90</v>
      </c>
      <c r="C2570" s="108" t="s">
        <v>684</v>
      </c>
      <c r="D2570" s="112" t="s">
        <v>176</v>
      </c>
      <c r="E2570" s="112">
        <v>1862.0</v>
      </c>
      <c r="F2570" s="111" t="str">
        <f>DataPull!D2570</f>
        <v/>
      </c>
      <c r="G2570" s="94" t="str">
        <f t="shared" si="2"/>
        <v/>
      </c>
      <c r="H2570" s="94" t="str">
        <f t="shared" si="3"/>
        <v/>
      </c>
      <c r="I2570" s="94" t="str">
        <f t="shared" ref="I2570:J2570" si="2571">if(G2570 = "", , -G2570)</f>
        <v/>
      </c>
      <c r="J2570" s="94" t="str">
        <f t="shared" si="2571"/>
        <v/>
      </c>
      <c r="K2570" s="100"/>
      <c r="M2570" s="100"/>
      <c r="N2570" s="100"/>
      <c r="O2570" s="100"/>
      <c r="P2570" s="100"/>
    </row>
    <row r="2571">
      <c r="A2571" s="107">
        <v>203499.0</v>
      </c>
      <c r="B2571" s="108" t="s">
        <v>92</v>
      </c>
      <c r="C2571" s="108" t="s">
        <v>684</v>
      </c>
      <c r="D2571" s="112" t="s">
        <v>176</v>
      </c>
      <c r="E2571" s="112">
        <v>1747.2</v>
      </c>
      <c r="F2571" s="111" t="str">
        <f>DataPull!D2571</f>
        <v/>
      </c>
      <c r="G2571" s="94" t="str">
        <f t="shared" si="2"/>
        <v/>
      </c>
      <c r="H2571" s="94" t="str">
        <f t="shared" si="3"/>
        <v/>
      </c>
      <c r="I2571" s="94" t="str">
        <f t="shared" ref="I2571:J2571" si="2572">if(G2571 = "", , -G2571)</f>
        <v/>
      </c>
      <c r="J2571" s="94" t="str">
        <f t="shared" si="2572"/>
        <v/>
      </c>
      <c r="K2571" s="100"/>
      <c r="L2571" s="100"/>
      <c r="M2571" s="100"/>
      <c r="N2571" s="100"/>
      <c r="O2571" s="100"/>
      <c r="P2571" s="100"/>
    </row>
    <row r="2572">
      <c r="A2572" s="107">
        <v>203499.0</v>
      </c>
      <c r="B2572" s="108" t="s">
        <v>191</v>
      </c>
      <c r="C2572" s="108" t="s">
        <v>684</v>
      </c>
      <c r="D2572" s="112" t="s">
        <v>177</v>
      </c>
      <c r="E2572" s="112">
        <v>772.2</v>
      </c>
      <c r="F2572" s="111" t="str">
        <f>DataPull!D2572</f>
        <v/>
      </c>
      <c r="G2572" s="94" t="str">
        <f t="shared" si="2"/>
        <v/>
      </c>
      <c r="H2572" s="94" t="str">
        <f t="shared" si="3"/>
        <v/>
      </c>
      <c r="I2572" s="94" t="str">
        <f t="shared" ref="I2572:J2572" si="2573">if(G2572 = "", , -G2572)</f>
        <v/>
      </c>
      <c r="J2572" s="94" t="str">
        <f t="shared" si="2573"/>
        <v/>
      </c>
      <c r="K2572" s="100"/>
      <c r="M2572" s="100"/>
      <c r="N2572" s="100"/>
      <c r="O2572" s="100"/>
      <c r="P2572" s="100"/>
    </row>
    <row r="2573">
      <c r="A2573" s="107">
        <v>203500.0</v>
      </c>
      <c r="B2573" s="108" t="s">
        <v>85</v>
      </c>
      <c r="C2573" s="108" t="s">
        <v>685</v>
      </c>
      <c r="D2573" s="112" t="s">
        <v>177</v>
      </c>
      <c r="E2573" s="112">
        <v>1198.8</v>
      </c>
      <c r="F2573" s="111" t="str">
        <f>DataPull!D2573</f>
        <v/>
      </c>
      <c r="G2573" s="94" t="str">
        <f t="shared" si="2"/>
        <v/>
      </c>
      <c r="H2573" s="94" t="str">
        <f t="shared" si="3"/>
        <v/>
      </c>
      <c r="I2573" s="94" t="str">
        <f t="shared" ref="I2573:J2573" si="2574">if(G2573 = "", , -G2573)</f>
        <v/>
      </c>
      <c r="J2573" s="94" t="str">
        <f t="shared" si="2574"/>
        <v/>
      </c>
      <c r="K2573" s="100"/>
      <c r="M2573" s="100"/>
      <c r="N2573" s="100"/>
      <c r="O2573" s="100"/>
      <c r="P2573" s="100"/>
    </row>
    <row r="2574">
      <c r="A2574" s="107">
        <v>203500.0</v>
      </c>
      <c r="B2574" s="108" t="s">
        <v>90</v>
      </c>
      <c r="C2574" s="108" t="s">
        <v>685</v>
      </c>
      <c r="D2574" s="112" t="s">
        <v>176</v>
      </c>
      <c r="E2574" s="112">
        <v>1771.0</v>
      </c>
      <c r="F2574" s="111" t="str">
        <f>DataPull!D2574</f>
        <v/>
      </c>
      <c r="G2574" s="94" t="str">
        <f t="shared" si="2"/>
        <v/>
      </c>
      <c r="H2574" s="94" t="str">
        <f t="shared" si="3"/>
        <v/>
      </c>
      <c r="I2574" s="94" t="str">
        <f t="shared" ref="I2574:J2574" si="2575">if(G2574 = "", , -G2574)</f>
        <v/>
      </c>
      <c r="J2574" s="94" t="str">
        <f t="shared" si="2575"/>
        <v/>
      </c>
      <c r="K2574" s="100"/>
      <c r="L2574" s="100"/>
      <c r="M2574" s="100"/>
      <c r="N2574" s="100"/>
      <c r="O2574" s="100"/>
      <c r="P2574" s="100"/>
    </row>
    <row r="2575">
      <c r="A2575" s="107">
        <v>203500.0</v>
      </c>
      <c r="B2575" s="108" t="s">
        <v>92</v>
      </c>
      <c r="C2575" s="108" t="s">
        <v>685</v>
      </c>
      <c r="D2575" s="112" t="s">
        <v>178</v>
      </c>
      <c r="E2575" s="112">
        <v>2016.0</v>
      </c>
      <c r="F2575" s="111" t="str">
        <f>DataPull!D2575</f>
        <v/>
      </c>
      <c r="G2575" s="94" t="str">
        <f t="shared" si="2"/>
        <v/>
      </c>
      <c r="H2575" s="94" t="str">
        <f t="shared" si="3"/>
        <v/>
      </c>
      <c r="I2575" s="94" t="str">
        <f t="shared" ref="I2575:J2575" si="2576">if(G2575 = "", , -G2575)</f>
        <v/>
      </c>
      <c r="J2575" s="94" t="str">
        <f t="shared" si="2576"/>
        <v/>
      </c>
      <c r="K2575" s="100"/>
      <c r="L2575" s="100"/>
      <c r="N2575" s="100"/>
      <c r="O2575" s="100"/>
      <c r="P2575" s="100"/>
    </row>
    <row r="2576">
      <c r="A2576" s="107">
        <v>203500.0</v>
      </c>
      <c r="B2576" s="108" t="s">
        <v>190</v>
      </c>
      <c r="C2576" s="108" t="s">
        <v>685</v>
      </c>
      <c r="D2576" s="112" t="s">
        <v>178</v>
      </c>
      <c r="E2576" s="112">
        <v>2392.0</v>
      </c>
      <c r="F2576" s="111" t="str">
        <f>DataPull!D2576</f>
        <v/>
      </c>
      <c r="G2576" s="94" t="str">
        <f t="shared" si="2"/>
        <v/>
      </c>
      <c r="H2576" s="94" t="str">
        <f t="shared" si="3"/>
        <v/>
      </c>
      <c r="I2576" s="94" t="str">
        <f t="shared" ref="I2576:J2576" si="2577">if(G2576 = "", , -G2576)</f>
        <v/>
      </c>
      <c r="J2576" s="94" t="str">
        <f t="shared" si="2577"/>
        <v/>
      </c>
      <c r="K2576" s="100"/>
      <c r="L2576" s="100"/>
      <c r="M2576" s="100"/>
      <c r="N2576" s="100"/>
      <c r="O2576" s="100"/>
      <c r="P2576" s="100"/>
    </row>
    <row r="2577">
      <c r="A2577" s="107">
        <v>203500.0</v>
      </c>
      <c r="B2577" s="108" t="s">
        <v>191</v>
      </c>
      <c r="C2577" s="108" t="s">
        <v>685</v>
      </c>
      <c r="D2577" s="112" t="s">
        <v>184</v>
      </c>
      <c r="E2577" s="112">
        <v>2485.2</v>
      </c>
      <c r="F2577" s="111" t="str">
        <f>DataPull!D2577</f>
        <v/>
      </c>
      <c r="G2577" s="94" t="str">
        <f t="shared" si="2"/>
        <v/>
      </c>
      <c r="H2577" s="94" t="str">
        <f t="shared" si="3"/>
        <v/>
      </c>
      <c r="I2577" s="94" t="str">
        <f t="shared" ref="I2577:J2577" si="2578">if(G2577 = "", , -G2577)</f>
        <v/>
      </c>
      <c r="J2577" s="94" t="str">
        <f t="shared" si="2578"/>
        <v/>
      </c>
      <c r="K2577" s="100"/>
      <c r="M2577" s="100"/>
      <c r="N2577" s="100"/>
      <c r="O2577" s="100"/>
      <c r="P2577" s="100"/>
    </row>
    <row r="2578">
      <c r="A2578" s="107">
        <v>203500.0</v>
      </c>
      <c r="B2578" s="108" t="s">
        <v>192</v>
      </c>
      <c r="C2578" s="108" t="s">
        <v>685</v>
      </c>
      <c r="D2578" s="112" t="s">
        <v>184</v>
      </c>
      <c r="E2578" s="112">
        <v>2672.0</v>
      </c>
      <c r="F2578" s="111" t="str">
        <f>DataPull!D2578</f>
        <v/>
      </c>
      <c r="G2578" s="94" t="str">
        <f t="shared" si="2"/>
        <v/>
      </c>
      <c r="H2578" s="94" t="str">
        <f t="shared" si="3"/>
        <v/>
      </c>
      <c r="I2578" s="94" t="str">
        <f t="shared" ref="I2578:J2578" si="2579">if(G2578 = "", , -G2578)</f>
        <v/>
      </c>
      <c r="J2578" s="94" t="str">
        <f t="shared" si="2579"/>
        <v/>
      </c>
      <c r="K2578" s="100"/>
      <c r="M2578" s="100"/>
      <c r="N2578" s="100"/>
      <c r="O2578" s="100"/>
      <c r="P2578" s="100"/>
    </row>
    <row r="2579">
      <c r="A2579" s="107">
        <v>203500.0</v>
      </c>
      <c r="B2579" s="108" t="s">
        <v>193</v>
      </c>
      <c r="C2579" s="108" t="s">
        <v>685</v>
      </c>
      <c r="D2579" s="112" t="s">
        <v>184</v>
      </c>
      <c r="E2579" s="112">
        <v>1682.1</v>
      </c>
      <c r="F2579" s="111" t="str">
        <f>DataPull!D2579</f>
        <v/>
      </c>
      <c r="G2579" s="94" t="str">
        <f t="shared" si="2"/>
        <v/>
      </c>
      <c r="H2579" s="94" t="str">
        <f t="shared" si="3"/>
        <v/>
      </c>
      <c r="I2579" s="94" t="str">
        <f t="shared" ref="I2579:J2579" si="2580">if(G2579 = "", , -G2579)</f>
        <v/>
      </c>
      <c r="J2579" s="94" t="str">
        <f t="shared" si="2580"/>
        <v/>
      </c>
      <c r="K2579" s="100"/>
      <c r="M2579" s="100"/>
      <c r="N2579" s="100"/>
      <c r="O2579" s="100"/>
      <c r="P2579" s="100"/>
    </row>
    <row r="2580">
      <c r="A2580" s="107">
        <v>203500.0</v>
      </c>
      <c r="B2580" s="108" t="s">
        <v>243</v>
      </c>
      <c r="C2580" s="108" t="s">
        <v>685</v>
      </c>
      <c r="D2580" s="112" t="s">
        <v>176</v>
      </c>
      <c r="E2580" s="112">
        <v>1606.6</v>
      </c>
      <c r="F2580" s="111" t="str">
        <f>DataPull!D2580</f>
        <v/>
      </c>
      <c r="G2580" s="94" t="str">
        <f t="shared" si="2"/>
        <v/>
      </c>
      <c r="H2580" s="94" t="str">
        <f t="shared" si="3"/>
        <v/>
      </c>
      <c r="I2580" s="94" t="str">
        <f t="shared" ref="I2580:J2580" si="2581">if(G2580 = "", , -G2580)</f>
        <v/>
      </c>
      <c r="J2580" s="94" t="str">
        <f t="shared" si="2581"/>
        <v/>
      </c>
      <c r="K2580" s="100"/>
      <c r="M2580" s="100"/>
      <c r="N2580" s="100"/>
      <c r="O2580" s="100"/>
      <c r="P2580" s="100"/>
    </row>
    <row r="2581">
      <c r="A2581" s="107">
        <v>203500.0</v>
      </c>
      <c r="B2581" s="108" t="s">
        <v>215</v>
      </c>
      <c r="C2581" s="108" t="s">
        <v>685</v>
      </c>
      <c r="D2581" s="112" t="s">
        <v>184</v>
      </c>
      <c r="E2581" s="112">
        <v>1998.8</v>
      </c>
      <c r="F2581" s="111" t="str">
        <f>DataPull!D2581</f>
        <v/>
      </c>
      <c r="G2581" s="94" t="str">
        <f t="shared" si="2"/>
        <v/>
      </c>
      <c r="H2581" s="94" t="str">
        <f t="shared" si="3"/>
        <v/>
      </c>
      <c r="I2581" s="94" t="str">
        <f t="shared" ref="I2581:J2581" si="2582">if(G2581 = "", , -G2581)</f>
        <v/>
      </c>
      <c r="J2581" s="94" t="str">
        <f t="shared" si="2582"/>
        <v/>
      </c>
      <c r="K2581" s="100"/>
      <c r="M2581" s="100"/>
      <c r="N2581" s="100"/>
      <c r="O2581" s="100"/>
      <c r="P2581" s="100"/>
    </row>
    <row r="2582">
      <c r="A2582" s="107">
        <v>203500.0</v>
      </c>
      <c r="B2582" s="108" t="s">
        <v>244</v>
      </c>
      <c r="C2582" s="108" t="s">
        <v>685</v>
      </c>
      <c r="D2582" s="112" t="s">
        <v>184</v>
      </c>
      <c r="E2582" s="112">
        <v>1134.0</v>
      </c>
      <c r="F2582" s="111" t="str">
        <f>DataPull!D2582</f>
        <v/>
      </c>
      <c r="G2582" s="94" t="str">
        <f t="shared" si="2"/>
        <v/>
      </c>
      <c r="H2582" s="94" t="str">
        <f t="shared" si="3"/>
        <v/>
      </c>
      <c r="I2582" s="94" t="str">
        <f t="shared" ref="I2582:J2582" si="2583">if(G2582 = "", , -G2582)</f>
        <v/>
      </c>
      <c r="J2582" s="94" t="str">
        <f t="shared" si="2583"/>
        <v/>
      </c>
      <c r="K2582" s="100"/>
      <c r="M2582" s="100"/>
      <c r="N2582" s="100"/>
      <c r="O2582" s="100"/>
      <c r="P2582" s="100"/>
    </row>
    <row r="2583">
      <c r="A2583" s="107">
        <v>203500.0</v>
      </c>
      <c r="B2583" s="108" t="s">
        <v>246</v>
      </c>
      <c r="C2583" s="108" t="s">
        <v>685</v>
      </c>
      <c r="D2583" s="112" t="s">
        <v>177</v>
      </c>
      <c r="E2583" s="112">
        <v>794.6</v>
      </c>
      <c r="F2583" s="111" t="str">
        <f>DataPull!D2583</f>
        <v/>
      </c>
      <c r="G2583" s="94" t="str">
        <f t="shared" si="2"/>
        <v/>
      </c>
      <c r="H2583" s="94" t="str">
        <f t="shared" si="3"/>
        <v/>
      </c>
      <c r="I2583" s="94" t="str">
        <f t="shared" ref="I2583:J2583" si="2584">if(G2583 = "", , -G2583)</f>
        <v/>
      </c>
      <c r="J2583" s="94" t="str">
        <f t="shared" si="2584"/>
        <v/>
      </c>
      <c r="K2583" s="100"/>
      <c r="M2583" s="100"/>
      <c r="N2583" s="100"/>
      <c r="O2583" s="100"/>
      <c r="P2583" s="100"/>
    </row>
    <row r="2584">
      <c r="A2584" s="114">
        <v>203500.0</v>
      </c>
      <c r="B2584" s="113" t="s">
        <v>247</v>
      </c>
      <c r="C2584" s="113" t="s">
        <v>685</v>
      </c>
      <c r="D2584" s="112" t="s">
        <v>176</v>
      </c>
      <c r="E2584" s="112">
        <v>729.6</v>
      </c>
      <c r="F2584" s="111" t="str">
        <f>DataPull!D2584</f>
        <v/>
      </c>
      <c r="G2584" s="94" t="str">
        <f t="shared" si="2"/>
        <v/>
      </c>
      <c r="H2584" s="94" t="str">
        <f t="shared" si="3"/>
        <v/>
      </c>
      <c r="I2584" s="94" t="str">
        <f t="shared" ref="I2584:J2584" si="2585">if(G2584 = "", , -G2584)</f>
        <v/>
      </c>
      <c r="J2584" s="94" t="str">
        <f t="shared" si="2585"/>
        <v/>
      </c>
      <c r="K2584" s="100"/>
      <c r="M2584" s="100"/>
      <c r="N2584" s="100"/>
      <c r="O2584" s="100"/>
      <c r="P2584" s="100"/>
    </row>
    <row r="2585">
      <c r="A2585" s="107">
        <v>203501.0</v>
      </c>
      <c r="B2585" s="108" t="s">
        <v>85</v>
      </c>
      <c r="C2585" s="108" t="s">
        <v>686</v>
      </c>
      <c r="D2585" s="112" t="s">
        <v>176</v>
      </c>
      <c r="E2585" s="112">
        <v>1879.2</v>
      </c>
      <c r="F2585" s="111" t="str">
        <f>DataPull!D2585</f>
        <v/>
      </c>
      <c r="G2585" s="94" t="str">
        <f t="shared" si="2"/>
        <v/>
      </c>
      <c r="H2585" s="94" t="str">
        <f t="shared" si="3"/>
        <v/>
      </c>
      <c r="I2585" s="94" t="str">
        <f t="shared" ref="I2585:J2585" si="2586">if(G2585 = "", , -G2585)</f>
        <v/>
      </c>
      <c r="J2585" s="94" t="str">
        <f t="shared" si="2586"/>
        <v/>
      </c>
      <c r="K2585" s="100"/>
      <c r="M2585" s="100"/>
      <c r="N2585" s="100"/>
      <c r="O2585" s="100"/>
      <c r="P2585" s="100"/>
    </row>
    <row r="2586">
      <c r="A2586" s="107">
        <v>203501.0</v>
      </c>
      <c r="B2586" s="108" t="s">
        <v>90</v>
      </c>
      <c r="C2586" s="108" t="s">
        <v>686</v>
      </c>
      <c r="D2586" s="112" t="s">
        <v>176</v>
      </c>
      <c r="E2586" s="112">
        <v>1680.0</v>
      </c>
      <c r="F2586" s="111" t="str">
        <f>DataPull!D2586</f>
        <v/>
      </c>
      <c r="G2586" s="94" t="str">
        <f t="shared" si="2"/>
        <v/>
      </c>
      <c r="H2586" s="94" t="str">
        <f t="shared" si="3"/>
        <v/>
      </c>
      <c r="I2586" s="94" t="str">
        <f t="shared" ref="I2586:J2586" si="2587">if(G2586 = "", , -G2586)</f>
        <v/>
      </c>
      <c r="J2586" s="94" t="str">
        <f t="shared" si="2587"/>
        <v/>
      </c>
      <c r="K2586" s="100"/>
      <c r="L2586" s="100"/>
      <c r="M2586" s="100"/>
      <c r="N2586" s="100"/>
      <c r="O2586" s="100"/>
    </row>
    <row r="2587">
      <c r="A2587" s="107">
        <v>203501.0</v>
      </c>
      <c r="B2587" s="108" t="s">
        <v>92</v>
      </c>
      <c r="C2587" s="108" t="s">
        <v>686</v>
      </c>
      <c r="D2587" s="112" t="s">
        <v>177</v>
      </c>
      <c r="E2587" s="112">
        <v>861.9</v>
      </c>
      <c r="F2587" s="111" t="str">
        <f>DataPull!D2587</f>
        <v/>
      </c>
      <c r="G2587" s="94" t="str">
        <f t="shared" si="2"/>
        <v/>
      </c>
      <c r="H2587" s="94" t="str">
        <f t="shared" si="3"/>
        <v/>
      </c>
      <c r="I2587" s="94" t="str">
        <f t="shared" ref="I2587:J2587" si="2588">if(G2587 = "", , -G2587)</f>
        <v/>
      </c>
      <c r="J2587" s="94" t="str">
        <f t="shared" si="2588"/>
        <v/>
      </c>
      <c r="K2587" s="100"/>
      <c r="M2587" s="100"/>
      <c r="N2587" s="100"/>
      <c r="O2587" s="100"/>
      <c r="P2587" s="100"/>
    </row>
    <row r="2588">
      <c r="A2588" s="107">
        <v>203501.0</v>
      </c>
      <c r="B2588" s="108" t="s">
        <v>190</v>
      </c>
      <c r="C2588" s="108" t="s">
        <v>686</v>
      </c>
      <c r="D2588" s="112" t="s">
        <v>178</v>
      </c>
      <c r="E2588" s="112">
        <v>2156.7</v>
      </c>
      <c r="F2588" s="111" t="str">
        <f>DataPull!D2588</f>
        <v/>
      </c>
      <c r="G2588" s="94" t="str">
        <f t="shared" si="2"/>
        <v/>
      </c>
      <c r="H2588" s="94" t="str">
        <f t="shared" si="3"/>
        <v/>
      </c>
      <c r="I2588" s="94" t="str">
        <f t="shared" ref="I2588:J2588" si="2589">if(G2588 = "", , -G2588)</f>
        <v/>
      </c>
      <c r="J2588" s="94" t="str">
        <f t="shared" si="2589"/>
        <v/>
      </c>
      <c r="K2588" s="100"/>
      <c r="M2588" s="100"/>
      <c r="N2588" s="100"/>
      <c r="O2588" s="100"/>
      <c r="P2588" s="100"/>
    </row>
    <row r="2589">
      <c r="A2589" s="107">
        <v>203501.0</v>
      </c>
      <c r="B2589" s="108" t="s">
        <v>191</v>
      </c>
      <c r="C2589" s="108" t="s">
        <v>686</v>
      </c>
      <c r="D2589" s="112" t="s">
        <v>178</v>
      </c>
      <c r="E2589" s="112">
        <v>1886.7</v>
      </c>
      <c r="F2589" s="111" t="str">
        <f>DataPull!D2589</f>
        <v/>
      </c>
      <c r="G2589" s="94" t="str">
        <f t="shared" si="2"/>
        <v/>
      </c>
      <c r="H2589" s="94" t="str">
        <f t="shared" si="3"/>
        <v/>
      </c>
      <c r="I2589" s="94" t="str">
        <f t="shared" ref="I2589:J2589" si="2590">if(G2589 = "", , -G2589)</f>
        <v/>
      </c>
      <c r="J2589" s="94" t="str">
        <f t="shared" si="2590"/>
        <v/>
      </c>
      <c r="K2589" s="100"/>
      <c r="M2589" s="100"/>
      <c r="N2589" s="100"/>
      <c r="O2589" s="100"/>
      <c r="P2589" s="100"/>
    </row>
    <row r="2590">
      <c r="A2590" s="107">
        <v>203501.0</v>
      </c>
      <c r="B2590" s="108" t="s">
        <v>192</v>
      </c>
      <c r="C2590" s="108" t="s">
        <v>686</v>
      </c>
      <c r="D2590" s="112" t="s">
        <v>178</v>
      </c>
      <c r="E2590" s="112">
        <v>2054.0</v>
      </c>
      <c r="F2590" s="111" t="str">
        <f>DataPull!D2590</f>
        <v/>
      </c>
      <c r="G2590" s="94" t="str">
        <f t="shared" si="2"/>
        <v/>
      </c>
      <c r="H2590" s="94" t="str">
        <f t="shared" si="3"/>
        <v/>
      </c>
      <c r="I2590" s="94" t="str">
        <f t="shared" ref="I2590:J2590" si="2591">if(G2590 = "", , -G2590)</f>
        <v/>
      </c>
      <c r="J2590" s="94" t="str">
        <f t="shared" si="2591"/>
        <v/>
      </c>
      <c r="K2590" s="100"/>
      <c r="M2590" s="100"/>
      <c r="N2590" s="100"/>
      <c r="O2590" s="100"/>
      <c r="P2590" s="100"/>
    </row>
    <row r="2591">
      <c r="A2591" s="107">
        <v>203501.0</v>
      </c>
      <c r="B2591" s="108" t="s">
        <v>193</v>
      </c>
      <c r="C2591" s="108" t="s">
        <v>686</v>
      </c>
      <c r="D2591" s="112" t="s">
        <v>178</v>
      </c>
      <c r="E2591" s="112">
        <v>2094.5</v>
      </c>
      <c r="F2591" s="111" t="str">
        <f>DataPull!D2591</f>
        <v/>
      </c>
      <c r="G2591" s="94" t="str">
        <f t="shared" si="2"/>
        <v/>
      </c>
      <c r="H2591" s="94" t="str">
        <f t="shared" si="3"/>
        <v/>
      </c>
      <c r="I2591" s="94" t="str">
        <f t="shared" ref="I2591:J2591" si="2592">if(G2591 = "", , -G2591)</f>
        <v/>
      </c>
      <c r="J2591" s="94" t="str">
        <f t="shared" si="2592"/>
        <v/>
      </c>
      <c r="K2591" s="100"/>
      <c r="M2591" s="100"/>
      <c r="N2591" s="100"/>
      <c r="O2591" s="100"/>
      <c r="P2591" s="100"/>
    </row>
    <row r="2592">
      <c r="A2592" s="107">
        <v>203501.0</v>
      </c>
      <c r="B2592" s="108" t="s">
        <v>243</v>
      </c>
      <c r="C2592" s="108" t="s">
        <v>686</v>
      </c>
      <c r="D2592" s="112" t="s">
        <v>178</v>
      </c>
      <c r="E2592" s="112">
        <v>1988.0</v>
      </c>
      <c r="F2592" s="111" t="str">
        <f>DataPull!D2592</f>
        <v/>
      </c>
      <c r="G2592" s="94" t="str">
        <f t="shared" si="2"/>
        <v/>
      </c>
      <c r="H2592" s="94" t="str">
        <f t="shared" si="3"/>
        <v/>
      </c>
      <c r="I2592" s="94" t="str">
        <f t="shared" ref="I2592:J2592" si="2593">if(G2592 = "", , -G2592)</f>
        <v/>
      </c>
      <c r="J2592" s="94" t="str">
        <f t="shared" si="2593"/>
        <v/>
      </c>
      <c r="K2592" s="100"/>
      <c r="M2592" s="100"/>
      <c r="N2592" s="100"/>
      <c r="O2592" s="100"/>
      <c r="P2592" s="100"/>
    </row>
    <row r="2593">
      <c r="A2593" s="107">
        <v>203501.0</v>
      </c>
      <c r="B2593" s="108" t="s">
        <v>215</v>
      </c>
      <c r="C2593" s="108" t="s">
        <v>686</v>
      </c>
      <c r="D2593" s="112" t="s">
        <v>178</v>
      </c>
      <c r="E2593" s="112">
        <v>1243.2</v>
      </c>
      <c r="F2593" s="111" t="str">
        <f>DataPull!D2593</f>
        <v/>
      </c>
      <c r="G2593" s="94" t="str">
        <f t="shared" si="2"/>
        <v/>
      </c>
      <c r="H2593" s="94" t="str">
        <f t="shared" si="3"/>
        <v/>
      </c>
      <c r="I2593" s="94" t="str">
        <f t="shared" ref="I2593:J2593" si="2594">if(G2593 = "", , -G2593)</f>
        <v/>
      </c>
      <c r="J2593" s="94" t="str">
        <f t="shared" si="2594"/>
        <v/>
      </c>
      <c r="K2593" s="100"/>
      <c r="M2593" s="100"/>
      <c r="N2593" s="100"/>
      <c r="O2593" s="100"/>
      <c r="P2593" s="100"/>
    </row>
    <row r="2594">
      <c r="A2594" s="107">
        <v>203501.0</v>
      </c>
      <c r="B2594" s="108" t="s">
        <v>244</v>
      </c>
      <c r="C2594" s="108" t="s">
        <v>686</v>
      </c>
      <c r="D2594" s="112" t="s">
        <v>178</v>
      </c>
      <c r="E2594" s="112">
        <v>2151.3</v>
      </c>
      <c r="F2594" s="111" t="str">
        <f>DataPull!D2594</f>
        <v/>
      </c>
      <c r="G2594" s="94" t="str">
        <f t="shared" si="2"/>
        <v/>
      </c>
      <c r="H2594" s="94" t="str">
        <f t="shared" si="3"/>
        <v/>
      </c>
      <c r="I2594" s="94" t="str">
        <f t="shared" ref="I2594:J2594" si="2595">if(G2594 = "", , -G2594)</f>
        <v/>
      </c>
      <c r="J2594" s="94" t="str">
        <f t="shared" si="2595"/>
        <v/>
      </c>
      <c r="K2594" s="100"/>
      <c r="M2594" s="100"/>
      <c r="N2594" s="100"/>
      <c r="O2594" s="100"/>
      <c r="P2594" s="100"/>
    </row>
    <row r="2595">
      <c r="A2595" s="107">
        <v>203501.0</v>
      </c>
      <c r="B2595" s="108" t="s">
        <v>245</v>
      </c>
      <c r="C2595" s="108" t="s">
        <v>686</v>
      </c>
      <c r="D2595" s="112" t="s">
        <v>178</v>
      </c>
      <c r="E2595" s="112">
        <v>2117.2</v>
      </c>
      <c r="F2595" s="111" t="str">
        <f>DataPull!D2595</f>
        <v/>
      </c>
      <c r="G2595" s="94" t="str">
        <f t="shared" si="2"/>
        <v/>
      </c>
      <c r="H2595" s="94" t="str">
        <f t="shared" si="3"/>
        <v/>
      </c>
      <c r="I2595" s="94" t="str">
        <f t="shared" ref="I2595:J2595" si="2596">if(G2595 = "", , -G2595)</f>
        <v/>
      </c>
      <c r="J2595" s="94" t="str">
        <f t="shared" si="2596"/>
        <v/>
      </c>
      <c r="K2595" s="100"/>
      <c r="M2595" s="100"/>
      <c r="N2595" s="100"/>
      <c r="O2595" s="100"/>
      <c r="P2595" s="100"/>
    </row>
    <row r="2596">
      <c r="A2596" s="107">
        <v>203501.0</v>
      </c>
      <c r="B2596" s="108" t="s">
        <v>246</v>
      </c>
      <c r="C2596" s="108" t="s">
        <v>686</v>
      </c>
      <c r="D2596" s="112" t="s">
        <v>178</v>
      </c>
      <c r="E2596" s="112">
        <v>2156.0</v>
      </c>
      <c r="F2596" s="111" t="str">
        <f>DataPull!D2596</f>
        <v/>
      </c>
      <c r="G2596" s="94" t="str">
        <f t="shared" si="2"/>
        <v/>
      </c>
      <c r="H2596" s="94" t="str">
        <f t="shared" si="3"/>
        <v/>
      </c>
      <c r="I2596" s="94" t="str">
        <f t="shared" ref="I2596:J2596" si="2597">if(G2596 = "", , -G2596)</f>
        <v/>
      </c>
      <c r="J2596" s="94" t="str">
        <f t="shared" si="2597"/>
        <v/>
      </c>
      <c r="K2596" s="100"/>
      <c r="L2596" s="100"/>
      <c r="M2596" s="100"/>
      <c r="N2596" s="100"/>
      <c r="O2596" s="100"/>
      <c r="P2596" s="100"/>
    </row>
    <row r="2597">
      <c r="A2597" s="114">
        <v>203501.0</v>
      </c>
      <c r="B2597" s="113" t="s">
        <v>247</v>
      </c>
      <c r="C2597" s="108" t="s">
        <v>686</v>
      </c>
      <c r="D2597" s="112" t="s">
        <v>176</v>
      </c>
      <c r="E2597" s="112">
        <v>2128.0</v>
      </c>
      <c r="F2597" s="111" t="str">
        <f>DataPull!D2597</f>
        <v/>
      </c>
      <c r="G2597" s="94" t="str">
        <f t="shared" si="2"/>
        <v/>
      </c>
      <c r="H2597" s="94" t="str">
        <f t="shared" si="3"/>
        <v/>
      </c>
      <c r="I2597" s="94" t="str">
        <f t="shared" ref="I2597:J2597" si="2598">if(G2597 = "", , -G2597)</f>
        <v/>
      </c>
      <c r="J2597" s="94" t="str">
        <f t="shared" si="2598"/>
        <v/>
      </c>
      <c r="K2597" s="100"/>
      <c r="M2597" s="100"/>
      <c r="N2597" s="100"/>
      <c r="O2597" s="100"/>
      <c r="P2597" s="100"/>
    </row>
    <row r="2598">
      <c r="A2598" s="107">
        <v>203503.0</v>
      </c>
      <c r="B2598" s="108" t="s">
        <v>85</v>
      </c>
      <c r="C2598" s="108" t="s">
        <v>687</v>
      </c>
      <c r="D2598" s="112" t="s">
        <v>177</v>
      </c>
      <c r="E2598" s="112">
        <v>1232.0</v>
      </c>
      <c r="F2598" s="111" t="str">
        <f>DataPull!D2598</f>
        <v/>
      </c>
      <c r="G2598" s="94" t="str">
        <f t="shared" si="2"/>
        <v/>
      </c>
      <c r="H2598" s="94" t="str">
        <f t="shared" si="3"/>
        <v/>
      </c>
      <c r="I2598" s="94" t="str">
        <f t="shared" ref="I2598:J2598" si="2599">if(G2598 = "", , -G2598)</f>
        <v/>
      </c>
      <c r="J2598" s="94" t="str">
        <f t="shared" si="2599"/>
        <v/>
      </c>
      <c r="K2598" s="100"/>
      <c r="M2598" s="100"/>
      <c r="N2598" s="100"/>
      <c r="O2598" s="100"/>
      <c r="P2598" s="100"/>
    </row>
    <row r="2599">
      <c r="A2599" s="107">
        <v>203503.0</v>
      </c>
      <c r="B2599" s="108" t="s">
        <v>90</v>
      </c>
      <c r="C2599" s="108" t="s">
        <v>687</v>
      </c>
      <c r="D2599" s="112" t="s">
        <v>177</v>
      </c>
      <c r="E2599" s="112">
        <v>1411.2</v>
      </c>
      <c r="F2599" s="111" t="str">
        <f>DataPull!D2599</f>
        <v/>
      </c>
      <c r="G2599" s="94" t="str">
        <f t="shared" si="2"/>
        <v/>
      </c>
      <c r="H2599" s="94" t="str">
        <f t="shared" si="3"/>
        <v/>
      </c>
      <c r="I2599" s="94" t="str">
        <f t="shared" ref="I2599:J2599" si="2600">if(G2599 = "", , -G2599)</f>
        <v/>
      </c>
      <c r="J2599" s="94" t="str">
        <f t="shared" si="2600"/>
        <v/>
      </c>
      <c r="K2599" s="100"/>
      <c r="L2599" s="100"/>
      <c r="M2599" s="100"/>
      <c r="N2599" s="100"/>
      <c r="O2599" s="100"/>
      <c r="P2599" s="100"/>
    </row>
    <row r="2600">
      <c r="A2600" s="107">
        <v>203503.0</v>
      </c>
      <c r="B2600" s="108" t="s">
        <v>92</v>
      </c>
      <c r="C2600" s="108" t="s">
        <v>687</v>
      </c>
      <c r="D2600" s="112" t="s">
        <v>177</v>
      </c>
      <c r="E2600" s="112">
        <v>1299.2</v>
      </c>
      <c r="F2600" s="111" t="str">
        <f>DataPull!D2600</f>
        <v/>
      </c>
      <c r="G2600" s="94" t="str">
        <f t="shared" si="2"/>
        <v/>
      </c>
      <c r="H2600" s="94" t="str">
        <f t="shared" si="3"/>
        <v/>
      </c>
      <c r="I2600" s="94" t="str">
        <f t="shared" ref="I2600:J2600" si="2601">if(G2600 = "", , -G2600)</f>
        <v/>
      </c>
      <c r="J2600" s="94" t="str">
        <f t="shared" si="2601"/>
        <v/>
      </c>
      <c r="K2600" s="100"/>
      <c r="M2600" s="100"/>
      <c r="N2600" s="100"/>
      <c r="O2600" s="100"/>
      <c r="P2600" s="100"/>
    </row>
    <row r="2601">
      <c r="A2601" s="107">
        <v>203503.0</v>
      </c>
      <c r="B2601" s="108" t="s">
        <v>190</v>
      </c>
      <c r="C2601" s="108" t="s">
        <v>687</v>
      </c>
      <c r="D2601" s="112" t="s">
        <v>178</v>
      </c>
      <c r="E2601" s="112">
        <v>2336.0</v>
      </c>
      <c r="F2601" s="111" t="str">
        <f>DataPull!D2601</f>
        <v/>
      </c>
      <c r="G2601" s="94" t="str">
        <f t="shared" si="2"/>
        <v/>
      </c>
      <c r="H2601" s="94" t="str">
        <f t="shared" si="3"/>
        <v/>
      </c>
      <c r="I2601" s="94" t="str">
        <f t="shared" ref="I2601:J2601" si="2602">if(G2601 = "", , -G2601)</f>
        <v/>
      </c>
      <c r="J2601" s="94" t="str">
        <f t="shared" si="2602"/>
        <v/>
      </c>
      <c r="K2601" s="100"/>
      <c r="M2601" s="100"/>
      <c r="N2601" s="100"/>
      <c r="O2601" s="100"/>
      <c r="P2601" s="100"/>
    </row>
    <row r="2602">
      <c r="A2602" s="107">
        <v>203503.0</v>
      </c>
      <c r="B2602" s="108" t="s">
        <v>191</v>
      </c>
      <c r="C2602" s="108" t="s">
        <v>687</v>
      </c>
      <c r="D2602" s="112" t="s">
        <v>178</v>
      </c>
      <c r="E2602" s="112">
        <v>2055.0</v>
      </c>
      <c r="F2602" s="111" t="str">
        <f>DataPull!D2602</f>
        <v/>
      </c>
      <c r="G2602" s="94" t="str">
        <f t="shared" si="2"/>
        <v/>
      </c>
      <c r="H2602" s="94" t="str">
        <f t="shared" si="3"/>
        <v/>
      </c>
      <c r="I2602" s="94" t="str">
        <f t="shared" ref="I2602:J2602" si="2603">if(G2602 = "", , -G2602)</f>
        <v/>
      </c>
      <c r="J2602" s="94" t="str">
        <f t="shared" si="2603"/>
        <v/>
      </c>
      <c r="K2602" s="100"/>
      <c r="L2602" s="100"/>
      <c r="M2602" s="100"/>
      <c r="N2602" s="100"/>
      <c r="O2602" s="100"/>
      <c r="P2602" s="100"/>
    </row>
    <row r="2603">
      <c r="A2603" s="107">
        <v>203503.0</v>
      </c>
      <c r="B2603" s="108" t="s">
        <v>192</v>
      </c>
      <c r="C2603" s="108" t="s">
        <v>687</v>
      </c>
      <c r="D2603" s="112" t="s">
        <v>177</v>
      </c>
      <c r="E2603" s="112">
        <v>1302.4</v>
      </c>
      <c r="F2603" s="111" t="str">
        <f>DataPull!D2603</f>
        <v/>
      </c>
      <c r="G2603" s="94" t="str">
        <f t="shared" si="2"/>
        <v/>
      </c>
      <c r="H2603" s="94" t="str">
        <f t="shared" si="3"/>
        <v/>
      </c>
      <c r="I2603" s="94" t="str">
        <f t="shared" ref="I2603:J2603" si="2604">if(G2603 = "", , -G2603)</f>
        <v/>
      </c>
      <c r="J2603" s="94" t="str">
        <f t="shared" si="2604"/>
        <v/>
      </c>
      <c r="K2603" s="100"/>
      <c r="L2603" s="100"/>
      <c r="N2603" s="100"/>
      <c r="O2603" s="100"/>
      <c r="P2603" s="100"/>
    </row>
    <row r="2604">
      <c r="A2604" s="107">
        <v>203503.0</v>
      </c>
      <c r="B2604" s="108" t="s">
        <v>193</v>
      </c>
      <c r="C2604" s="108" t="s">
        <v>687</v>
      </c>
      <c r="D2604" s="112" t="s">
        <v>178</v>
      </c>
      <c r="E2604" s="112">
        <v>1640.2</v>
      </c>
      <c r="F2604" s="111" t="str">
        <f>DataPull!D2604</f>
        <v/>
      </c>
      <c r="G2604" s="94" t="str">
        <f t="shared" si="2"/>
        <v/>
      </c>
      <c r="H2604" s="94" t="str">
        <f t="shared" si="3"/>
        <v/>
      </c>
      <c r="I2604" s="94" t="str">
        <f t="shared" ref="I2604:J2604" si="2605">if(G2604 = "", , -G2604)</f>
        <v/>
      </c>
      <c r="J2604" s="94" t="str">
        <f t="shared" si="2605"/>
        <v/>
      </c>
      <c r="K2604" s="100"/>
      <c r="M2604" s="100"/>
      <c r="N2604" s="100"/>
      <c r="O2604" s="100"/>
      <c r="P2604" s="100"/>
    </row>
    <row r="2605">
      <c r="A2605" s="107">
        <v>203503.0</v>
      </c>
      <c r="B2605" s="108" t="s">
        <v>243</v>
      </c>
      <c r="C2605" s="108" t="s">
        <v>687</v>
      </c>
      <c r="D2605" s="112" t="s">
        <v>176</v>
      </c>
      <c r="E2605" s="112">
        <v>991.7</v>
      </c>
      <c r="F2605" s="111" t="str">
        <f>DataPull!D2605</f>
        <v/>
      </c>
      <c r="G2605" s="94" t="str">
        <f t="shared" si="2"/>
        <v/>
      </c>
      <c r="H2605" s="94" t="str">
        <f t="shared" si="3"/>
        <v/>
      </c>
      <c r="I2605" s="94" t="str">
        <f t="shared" ref="I2605:J2605" si="2606">if(G2605 = "", , -G2605)</f>
        <v/>
      </c>
      <c r="J2605" s="94" t="str">
        <f t="shared" si="2606"/>
        <v/>
      </c>
      <c r="K2605" s="100"/>
      <c r="M2605" s="100"/>
      <c r="N2605" s="100"/>
      <c r="O2605" s="100"/>
      <c r="P2605" s="100"/>
    </row>
    <row r="2606">
      <c r="A2606" s="107">
        <v>203503.0</v>
      </c>
      <c r="B2606" s="108" t="s">
        <v>215</v>
      </c>
      <c r="C2606" s="108" t="s">
        <v>687</v>
      </c>
      <c r="D2606" s="112" t="s">
        <v>177</v>
      </c>
      <c r="E2606" s="112">
        <v>821.5</v>
      </c>
      <c r="F2606" s="111" t="str">
        <f>DataPull!D2606</f>
        <v/>
      </c>
      <c r="G2606" s="94" t="str">
        <f t="shared" si="2"/>
        <v/>
      </c>
      <c r="H2606" s="94" t="str">
        <f t="shared" si="3"/>
        <v/>
      </c>
      <c r="I2606" s="94" t="str">
        <f t="shared" ref="I2606:J2606" si="2607">if(G2606 = "", , -G2606)</f>
        <v/>
      </c>
      <c r="J2606" s="94" t="str">
        <f t="shared" si="2607"/>
        <v/>
      </c>
      <c r="K2606" s="100"/>
      <c r="M2606" s="100"/>
      <c r="N2606" s="100"/>
      <c r="O2606" s="100"/>
      <c r="P2606" s="100"/>
    </row>
    <row r="2607">
      <c r="A2607" s="107">
        <v>203504.0</v>
      </c>
      <c r="B2607" s="108" t="s">
        <v>85</v>
      </c>
      <c r="C2607" s="108" t="s">
        <v>688</v>
      </c>
      <c r="D2607" s="112" t="s">
        <v>178</v>
      </c>
      <c r="E2607" s="112">
        <v>2261.0</v>
      </c>
      <c r="F2607" s="111" t="str">
        <f>DataPull!D2607</f>
        <v/>
      </c>
      <c r="G2607" s="94" t="str">
        <f t="shared" si="2"/>
        <v/>
      </c>
      <c r="H2607" s="94" t="str">
        <f t="shared" si="3"/>
        <v/>
      </c>
      <c r="I2607" s="94" t="str">
        <f t="shared" ref="I2607:J2607" si="2608">if(G2607 = "", , -G2607)</f>
        <v/>
      </c>
      <c r="J2607" s="94" t="str">
        <f t="shared" si="2608"/>
        <v/>
      </c>
      <c r="K2607" s="100"/>
      <c r="M2607" s="100"/>
      <c r="N2607" s="100"/>
      <c r="O2607" s="100"/>
      <c r="P2607" s="100"/>
    </row>
    <row r="2608">
      <c r="A2608" s="107">
        <v>203504.0</v>
      </c>
      <c r="B2608" s="108" t="s">
        <v>90</v>
      </c>
      <c r="C2608" s="108" t="s">
        <v>688</v>
      </c>
      <c r="D2608" s="112" t="s">
        <v>178</v>
      </c>
      <c r="E2608" s="112">
        <v>2287.6</v>
      </c>
      <c r="F2608" s="111" t="str">
        <f>DataPull!D2608</f>
        <v/>
      </c>
      <c r="G2608" s="94" t="str">
        <f t="shared" si="2"/>
        <v/>
      </c>
      <c r="H2608" s="94" t="str">
        <f t="shared" si="3"/>
        <v/>
      </c>
      <c r="I2608" s="94" t="str">
        <f t="shared" ref="I2608:J2608" si="2609">if(G2608 = "", , -G2608)</f>
        <v/>
      </c>
      <c r="J2608" s="94" t="str">
        <f t="shared" si="2609"/>
        <v/>
      </c>
      <c r="K2608" s="100"/>
      <c r="M2608" s="100"/>
      <c r="N2608" s="100"/>
      <c r="O2608" s="100"/>
      <c r="P2608" s="100"/>
    </row>
    <row r="2609">
      <c r="A2609" s="107">
        <v>203504.0</v>
      </c>
      <c r="B2609" s="108" t="s">
        <v>92</v>
      </c>
      <c r="C2609" s="108" t="s">
        <v>688</v>
      </c>
      <c r="D2609" s="112" t="s">
        <v>176</v>
      </c>
      <c r="E2609" s="112">
        <v>1363.2</v>
      </c>
      <c r="F2609" s="111" t="str">
        <f>DataPull!D2609</f>
        <v/>
      </c>
      <c r="G2609" s="94" t="str">
        <f t="shared" si="2"/>
        <v/>
      </c>
      <c r="H2609" s="94" t="str">
        <f t="shared" si="3"/>
        <v/>
      </c>
      <c r="I2609" s="94" t="str">
        <f t="shared" ref="I2609:J2609" si="2610">if(G2609 = "", , -G2609)</f>
        <v/>
      </c>
      <c r="J2609" s="94" t="str">
        <f t="shared" si="2610"/>
        <v/>
      </c>
      <c r="K2609" s="100"/>
      <c r="M2609" s="100"/>
      <c r="N2609" s="100"/>
      <c r="O2609" s="100"/>
      <c r="P2609" s="100"/>
    </row>
    <row r="2610">
      <c r="A2610" s="107">
        <v>203504.0</v>
      </c>
      <c r="B2610" s="108" t="s">
        <v>190</v>
      </c>
      <c r="C2610" s="108" t="s">
        <v>688</v>
      </c>
      <c r="D2610" s="112" t="s">
        <v>177</v>
      </c>
      <c r="E2610" s="112">
        <v>701.1</v>
      </c>
      <c r="F2610" s="111" t="str">
        <f>DataPull!D2610</f>
        <v/>
      </c>
      <c r="G2610" s="94" t="str">
        <f t="shared" si="2"/>
        <v/>
      </c>
      <c r="H2610" s="94" t="str">
        <f t="shared" si="3"/>
        <v/>
      </c>
      <c r="I2610" s="94" t="str">
        <f t="shared" ref="I2610:J2610" si="2611">if(G2610 = "", , -G2610)</f>
        <v/>
      </c>
      <c r="J2610" s="94" t="str">
        <f t="shared" si="2611"/>
        <v/>
      </c>
      <c r="K2610" s="100"/>
      <c r="M2610" s="100"/>
      <c r="N2610" s="100"/>
      <c r="O2610" s="100"/>
      <c r="P2610" s="100"/>
    </row>
    <row r="2611">
      <c r="A2611" s="107">
        <v>203504.0</v>
      </c>
      <c r="B2611" s="108" t="s">
        <v>191</v>
      </c>
      <c r="C2611" s="108" t="s">
        <v>688</v>
      </c>
      <c r="D2611" s="112" t="s">
        <v>176</v>
      </c>
      <c r="E2611" s="112">
        <v>784.8</v>
      </c>
      <c r="F2611" s="111" t="str">
        <f>DataPull!D2611</f>
        <v/>
      </c>
      <c r="G2611" s="94" t="str">
        <f t="shared" si="2"/>
        <v/>
      </c>
      <c r="H2611" s="94" t="str">
        <f t="shared" si="3"/>
        <v/>
      </c>
      <c r="I2611" s="94" t="str">
        <f t="shared" ref="I2611:J2611" si="2612">if(G2611 = "", , -G2611)</f>
        <v/>
      </c>
      <c r="J2611" s="94" t="str">
        <f t="shared" si="2612"/>
        <v/>
      </c>
      <c r="K2611" s="100"/>
      <c r="M2611" s="100"/>
      <c r="N2611" s="100"/>
      <c r="O2611" s="100"/>
      <c r="P2611" s="100"/>
    </row>
    <row r="2612">
      <c r="A2612" s="107">
        <v>203504.0</v>
      </c>
      <c r="B2612" s="108" t="s">
        <v>192</v>
      </c>
      <c r="C2612" s="108" t="s">
        <v>688</v>
      </c>
      <c r="D2612" s="112" t="s">
        <v>176</v>
      </c>
      <c r="E2612" s="112">
        <v>1125.2</v>
      </c>
      <c r="F2612" s="111" t="str">
        <f>DataPull!D2612</f>
        <v/>
      </c>
      <c r="G2612" s="94" t="str">
        <f t="shared" si="2"/>
        <v/>
      </c>
      <c r="H2612" s="94" t="str">
        <f t="shared" si="3"/>
        <v/>
      </c>
      <c r="I2612" s="94" t="str">
        <f t="shared" ref="I2612:J2612" si="2613">if(G2612 = "", , -G2612)</f>
        <v/>
      </c>
      <c r="J2612" s="94" t="str">
        <f t="shared" si="2613"/>
        <v/>
      </c>
      <c r="K2612" s="100"/>
      <c r="M2612" s="100"/>
      <c r="N2612" s="100"/>
      <c r="O2612" s="100"/>
      <c r="P2612" s="100"/>
    </row>
    <row r="2613">
      <c r="A2613" s="107">
        <v>203504.0</v>
      </c>
      <c r="B2613" s="108" t="s">
        <v>193</v>
      </c>
      <c r="C2613" s="108" t="s">
        <v>688</v>
      </c>
      <c r="D2613" s="112" t="s">
        <v>177</v>
      </c>
      <c r="E2613" s="112">
        <v>521.4</v>
      </c>
      <c r="F2613" s="111" t="str">
        <f>DataPull!D2613</f>
        <v/>
      </c>
      <c r="G2613" s="94" t="str">
        <f t="shared" si="2"/>
        <v/>
      </c>
      <c r="H2613" s="94" t="str">
        <f t="shared" si="3"/>
        <v/>
      </c>
      <c r="I2613" s="94" t="str">
        <f t="shared" ref="I2613:J2613" si="2614">if(G2613 = "", , -G2613)</f>
        <v/>
      </c>
      <c r="J2613" s="94" t="str">
        <f t="shared" si="2614"/>
        <v/>
      </c>
      <c r="K2613" s="100"/>
      <c r="L2613" s="100"/>
      <c r="M2613" s="100"/>
      <c r="N2613" s="100"/>
      <c r="O2613" s="100"/>
      <c r="P2613" s="100"/>
    </row>
    <row r="2614">
      <c r="A2614" s="107">
        <v>203504.0</v>
      </c>
      <c r="B2614" s="108" t="s">
        <v>243</v>
      </c>
      <c r="C2614" s="108" t="s">
        <v>688</v>
      </c>
      <c r="D2614" s="112" t="s">
        <v>177</v>
      </c>
      <c r="E2614" s="112">
        <v>911.4</v>
      </c>
      <c r="F2614" s="111" t="str">
        <f>DataPull!D2614</f>
        <v/>
      </c>
      <c r="G2614" s="94" t="str">
        <f t="shared" si="2"/>
        <v/>
      </c>
      <c r="H2614" s="94" t="str">
        <f t="shared" si="3"/>
        <v/>
      </c>
      <c r="I2614" s="94" t="str">
        <f t="shared" ref="I2614:J2614" si="2615">if(G2614 = "", , -G2614)</f>
        <v/>
      </c>
      <c r="J2614" s="94" t="str">
        <f t="shared" si="2615"/>
        <v/>
      </c>
      <c r="K2614" s="100"/>
      <c r="M2614" s="100"/>
      <c r="N2614" s="100"/>
      <c r="O2614" s="100"/>
      <c r="P2614" s="100"/>
    </row>
    <row r="2615">
      <c r="A2615" s="107">
        <v>203504.0</v>
      </c>
      <c r="B2615" s="108" t="s">
        <v>215</v>
      </c>
      <c r="C2615" s="108" t="s">
        <v>688</v>
      </c>
      <c r="D2615" s="112" t="s">
        <v>177</v>
      </c>
      <c r="E2615" s="112">
        <v>441.0</v>
      </c>
      <c r="F2615" s="111" t="str">
        <f>DataPull!D2615</f>
        <v/>
      </c>
      <c r="G2615" s="94" t="str">
        <f t="shared" si="2"/>
        <v/>
      </c>
      <c r="H2615" s="94" t="str">
        <f t="shared" si="3"/>
        <v/>
      </c>
      <c r="I2615" s="94" t="str">
        <f t="shared" ref="I2615:J2615" si="2616">if(G2615 = "", , -G2615)</f>
        <v/>
      </c>
      <c r="J2615" s="94" t="str">
        <f t="shared" si="2616"/>
        <v/>
      </c>
      <c r="K2615" s="100"/>
      <c r="M2615" s="100"/>
      <c r="N2615" s="100"/>
      <c r="O2615" s="100"/>
      <c r="P2615" s="100"/>
    </row>
    <row r="2616">
      <c r="A2616" s="107">
        <v>203505.0</v>
      </c>
      <c r="B2616" s="108" t="s">
        <v>85</v>
      </c>
      <c r="C2616" s="108" t="s">
        <v>689</v>
      </c>
      <c r="D2616" s="112" t="s">
        <v>181</v>
      </c>
      <c r="E2616" s="112">
        <v>14.7</v>
      </c>
      <c r="F2616" s="111" t="str">
        <f>DataPull!D2616</f>
        <v/>
      </c>
      <c r="G2616" s="94" t="str">
        <f t="shared" si="2"/>
        <v/>
      </c>
      <c r="H2616" s="94" t="str">
        <f t="shared" si="3"/>
        <v/>
      </c>
      <c r="I2616" s="94" t="str">
        <f t="shared" ref="I2616:J2616" si="2617">if(G2616 = "", , -G2616)</f>
        <v/>
      </c>
      <c r="J2616" s="94" t="str">
        <f t="shared" si="2617"/>
        <v/>
      </c>
      <c r="K2616" s="100"/>
      <c r="M2616" s="100"/>
      <c r="N2616" s="100"/>
      <c r="O2616" s="100"/>
      <c r="P2616" s="100"/>
    </row>
    <row r="2617">
      <c r="A2617" s="107">
        <v>203505.0</v>
      </c>
      <c r="B2617" s="108" t="s">
        <v>90</v>
      </c>
      <c r="C2617" s="108" t="s">
        <v>689</v>
      </c>
      <c r="D2617" s="112" t="s">
        <v>181</v>
      </c>
      <c r="E2617" s="112">
        <v>73.8</v>
      </c>
      <c r="F2617" s="111" t="str">
        <f>DataPull!D2617</f>
        <v/>
      </c>
      <c r="G2617" s="94" t="str">
        <f t="shared" si="2"/>
        <v/>
      </c>
      <c r="H2617" s="94" t="str">
        <f t="shared" si="3"/>
        <v/>
      </c>
      <c r="I2617" s="94" t="str">
        <f t="shared" ref="I2617:J2617" si="2618">if(G2617 = "", , -G2617)</f>
        <v/>
      </c>
      <c r="J2617" s="94" t="str">
        <f t="shared" si="2618"/>
        <v/>
      </c>
      <c r="K2617" s="100"/>
      <c r="M2617" s="100"/>
      <c r="N2617" s="100"/>
      <c r="O2617" s="100"/>
      <c r="P2617" s="100"/>
    </row>
    <row r="2618">
      <c r="A2618" s="107">
        <v>203505.0</v>
      </c>
      <c r="B2618" s="108" t="s">
        <v>191</v>
      </c>
      <c r="C2618" s="108" t="s">
        <v>689</v>
      </c>
      <c r="D2618" s="112" t="s">
        <v>181</v>
      </c>
      <c r="E2618" s="112">
        <v>45.0</v>
      </c>
      <c r="F2618" s="111" t="str">
        <f>DataPull!D2618</f>
        <v/>
      </c>
      <c r="G2618" s="94" t="str">
        <f t="shared" si="2"/>
        <v/>
      </c>
      <c r="H2618" s="94" t="str">
        <f t="shared" si="3"/>
        <v/>
      </c>
      <c r="I2618" s="94" t="str">
        <f t="shared" ref="I2618:J2618" si="2619">if(G2618 = "", , -G2618)</f>
        <v/>
      </c>
      <c r="J2618" s="94" t="str">
        <f t="shared" si="2619"/>
        <v/>
      </c>
      <c r="K2618" s="100"/>
      <c r="M2618" s="100"/>
      <c r="N2618" s="100"/>
      <c r="O2618" s="100"/>
      <c r="P2618" s="100"/>
    </row>
    <row r="2619">
      <c r="A2619" s="107">
        <v>203506.0</v>
      </c>
      <c r="B2619" s="108" t="s">
        <v>85</v>
      </c>
      <c r="C2619" s="108" t="s">
        <v>690</v>
      </c>
      <c r="D2619" s="112" t="s">
        <v>178</v>
      </c>
      <c r="E2619" s="112">
        <v>2488.0</v>
      </c>
      <c r="F2619" s="111" t="str">
        <f>DataPull!D2619</f>
        <v/>
      </c>
      <c r="G2619" s="94" t="str">
        <f t="shared" si="2"/>
        <v/>
      </c>
      <c r="H2619" s="94" t="str">
        <f t="shared" si="3"/>
        <v/>
      </c>
      <c r="I2619" s="94" t="str">
        <f t="shared" ref="I2619:J2619" si="2620">if(G2619 = "", , -G2619)</f>
        <v/>
      </c>
      <c r="J2619" s="94" t="str">
        <f t="shared" si="2620"/>
        <v/>
      </c>
      <c r="K2619" s="100"/>
      <c r="M2619" s="100"/>
      <c r="N2619" s="100"/>
      <c r="O2619" s="100"/>
      <c r="P2619" s="100"/>
    </row>
    <row r="2620">
      <c r="A2620" s="107">
        <v>203506.0</v>
      </c>
      <c r="B2620" s="108" t="s">
        <v>90</v>
      </c>
      <c r="C2620" s="108" t="s">
        <v>690</v>
      </c>
      <c r="D2620" s="112" t="s">
        <v>178</v>
      </c>
      <c r="E2620" s="112">
        <v>2570.4</v>
      </c>
      <c r="F2620" s="111" t="str">
        <f>DataPull!D2620</f>
        <v/>
      </c>
      <c r="G2620" s="94" t="str">
        <f t="shared" si="2"/>
        <v/>
      </c>
      <c r="H2620" s="94" t="str">
        <f t="shared" si="3"/>
        <v/>
      </c>
      <c r="I2620" s="94" t="str">
        <f t="shared" ref="I2620:J2620" si="2621">if(G2620 = "", , -G2620)</f>
        <v/>
      </c>
      <c r="J2620" s="94" t="str">
        <f t="shared" si="2621"/>
        <v/>
      </c>
      <c r="K2620" s="100"/>
      <c r="M2620" s="100"/>
      <c r="N2620" s="100"/>
      <c r="O2620" s="100"/>
      <c r="P2620" s="100"/>
    </row>
    <row r="2621">
      <c r="A2621" s="107">
        <v>203506.0</v>
      </c>
      <c r="B2621" s="108" t="s">
        <v>92</v>
      </c>
      <c r="C2621" s="108" t="s">
        <v>690</v>
      </c>
      <c r="D2621" s="112" t="s">
        <v>178</v>
      </c>
      <c r="E2621" s="112">
        <v>2376.0</v>
      </c>
      <c r="F2621" s="111" t="str">
        <f>DataPull!D2621</f>
        <v/>
      </c>
      <c r="G2621" s="94" t="str">
        <f t="shared" si="2"/>
        <v/>
      </c>
      <c r="H2621" s="94" t="str">
        <f t="shared" si="3"/>
        <v/>
      </c>
      <c r="I2621" s="94" t="str">
        <f t="shared" ref="I2621:J2621" si="2622">if(G2621 = "", , -G2621)</f>
        <v/>
      </c>
      <c r="J2621" s="94" t="str">
        <f t="shared" si="2622"/>
        <v/>
      </c>
      <c r="K2621" s="100"/>
      <c r="M2621" s="100"/>
      <c r="N2621" s="100"/>
      <c r="O2621" s="100"/>
      <c r="P2621" s="100"/>
    </row>
    <row r="2622">
      <c r="A2622" s="107">
        <v>203506.0</v>
      </c>
      <c r="B2622" s="108" t="s">
        <v>190</v>
      </c>
      <c r="C2622" s="108" t="s">
        <v>690</v>
      </c>
      <c r="D2622" s="112" t="s">
        <v>178</v>
      </c>
      <c r="E2622" s="112">
        <v>2224.4</v>
      </c>
      <c r="F2622" s="111" t="str">
        <f>DataPull!D2622</f>
        <v/>
      </c>
      <c r="G2622" s="94" t="str">
        <f t="shared" si="2"/>
        <v/>
      </c>
      <c r="H2622" s="94" t="str">
        <f t="shared" si="3"/>
        <v/>
      </c>
      <c r="I2622" s="94" t="str">
        <f t="shared" ref="I2622:J2622" si="2623">if(G2622 = "", , -G2622)</f>
        <v/>
      </c>
      <c r="J2622" s="94" t="str">
        <f t="shared" si="2623"/>
        <v/>
      </c>
      <c r="K2622" s="100"/>
      <c r="M2622" s="100"/>
      <c r="N2622" s="100"/>
      <c r="O2622" s="100"/>
      <c r="P2622" s="100"/>
    </row>
    <row r="2623">
      <c r="A2623" s="107">
        <v>203506.0</v>
      </c>
      <c r="B2623" s="108" t="s">
        <v>191</v>
      </c>
      <c r="C2623" s="108" t="s">
        <v>690</v>
      </c>
      <c r="D2623" s="112" t="s">
        <v>184</v>
      </c>
      <c r="E2623" s="112">
        <v>2550.0</v>
      </c>
      <c r="F2623" s="111" t="str">
        <f>DataPull!D2623</f>
        <v/>
      </c>
      <c r="G2623" s="94" t="str">
        <f t="shared" si="2"/>
        <v/>
      </c>
      <c r="H2623" s="94" t="str">
        <f t="shared" si="3"/>
        <v/>
      </c>
      <c r="I2623" s="94" t="str">
        <f t="shared" ref="I2623:J2623" si="2624">if(G2623 = "", , -G2623)</f>
        <v/>
      </c>
      <c r="J2623" s="94" t="str">
        <f t="shared" si="2624"/>
        <v/>
      </c>
      <c r="K2623" s="100"/>
      <c r="M2623" s="100"/>
      <c r="N2623" s="100"/>
      <c r="O2623" s="100"/>
      <c r="P2623" s="100"/>
    </row>
    <row r="2624">
      <c r="A2624" s="107">
        <v>203506.0</v>
      </c>
      <c r="B2624" s="108" t="s">
        <v>192</v>
      </c>
      <c r="C2624" s="108" t="s">
        <v>690</v>
      </c>
      <c r="D2624" s="112" t="s">
        <v>184</v>
      </c>
      <c r="E2624" s="112">
        <v>1148.4</v>
      </c>
      <c r="F2624" s="111" t="str">
        <f>DataPull!D2624</f>
        <v/>
      </c>
      <c r="G2624" s="94" t="str">
        <f t="shared" si="2"/>
        <v/>
      </c>
      <c r="H2624" s="94" t="str">
        <f t="shared" si="3"/>
        <v/>
      </c>
      <c r="I2624" s="94" t="str">
        <f t="shared" ref="I2624:J2624" si="2625">if(G2624 = "", , -G2624)</f>
        <v/>
      </c>
      <c r="J2624" s="94" t="str">
        <f t="shared" si="2625"/>
        <v/>
      </c>
      <c r="K2624" s="100"/>
      <c r="L2624" s="100"/>
      <c r="M2624" s="100"/>
      <c r="N2624" s="100"/>
      <c r="O2624" s="100"/>
      <c r="P2624" s="100"/>
    </row>
    <row r="2625">
      <c r="A2625" s="107">
        <v>203506.0</v>
      </c>
      <c r="B2625" s="108" t="s">
        <v>193</v>
      </c>
      <c r="C2625" s="108" t="s">
        <v>690</v>
      </c>
      <c r="D2625" s="112" t="s">
        <v>176</v>
      </c>
      <c r="E2625" s="112">
        <v>528.2</v>
      </c>
      <c r="F2625" s="111" t="str">
        <f>DataPull!D2625</f>
        <v/>
      </c>
      <c r="G2625" s="94" t="str">
        <f t="shared" si="2"/>
        <v/>
      </c>
      <c r="H2625" s="94" t="str">
        <f t="shared" si="3"/>
        <v/>
      </c>
      <c r="I2625" s="94" t="str">
        <f t="shared" ref="I2625:J2625" si="2626">if(G2625 = "", , -G2625)</f>
        <v/>
      </c>
      <c r="J2625" s="94" t="str">
        <f t="shared" si="2626"/>
        <v/>
      </c>
      <c r="K2625" s="100"/>
      <c r="M2625" s="100"/>
      <c r="N2625" s="100"/>
      <c r="O2625" s="100"/>
      <c r="P2625" s="100"/>
    </row>
    <row r="2626">
      <c r="A2626" s="107">
        <v>203506.0</v>
      </c>
      <c r="B2626" s="108" t="s">
        <v>243</v>
      </c>
      <c r="C2626" s="108" t="s">
        <v>690</v>
      </c>
      <c r="D2626" s="112" t="s">
        <v>178</v>
      </c>
      <c r="E2626" s="112">
        <v>1079.1</v>
      </c>
      <c r="F2626" s="111" t="str">
        <f>DataPull!D2626</f>
        <v/>
      </c>
      <c r="G2626" s="94" t="str">
        <f t="shared" si="2"/>
        <v/>
      </c>
      <c r="H2626" s="94" t="str">
        <f t="shared" si="3"/>
        <v/>
      </c>
      <c r="I2626" s="94" t="str">
        <f t="shared" ref="I2626:J2626" si="2627">if(G2626 = "", , -G2626)</f>
        <v/>
      </c>
      <c r="J2626" s="94" t="str">
        <f t="shared" si="2627"/>
        <v/>
      </c>
      <c r="K2626" s="100"/>
      <c r="L2626" s="100"/>
      <c r="M2626" s="100"/>
      <c r="N2626" s="100"/>
      <c r="O2626" s="100"/>
      <c r="P2626" s="100"/>
    </row>
    <row r="2627">
      <c r="A2627" s="107">
        <v>203506.0</v>
      </c>
      <c r="B2627" s="108" t="s">
        <v>215</v>
      </c>
      <c r="C2627" s="108" t="s">
        <v>690</v>
      </c>
      <c r="D2627" s="112" t="s">
        <v>181</v>
      </c>
      <c r="E2627" s="112">
        <v>172.8</v>
      </c>
      <c r="F2627" s="111" t="str">
        <f>DataPull!D2627</f>
        <v/>
      </c>
      <c r="G2627" s="94" t="str">
        <f t="shared" si="2"/>
        <v/>
      </c>
      <c r="H2627" s="94" t="str">
        <f t="shared" si="3"/>
        <v/>
      </c>
      <c r="I2627" s="94" t="str">
        <f t="shared" ref="I2627:J2627" si="2628">if(G2627 = "", , -G2627)</f>
        <v/>
      </c>
      <c r="J2627" s="94" t="str">
        <f t="shared" si="2628"/>
        <v/>
      </c>
      <c r="K2627" s="100"/>
      <c r="L2627" s="100"/>
      <c r="M2627" s="100"/>
      <c r="N2627" s="100"/>
      <c r="O2627" s="100"/>
      <c r="P2627" s="100"/>
    </row>
    <row r="2628">
      <c r="A2628" s="107">
        <v>203506.0</v>
      </c>
      <c r="B2628" s="108" t="s">
        <v>244</v>
      </c>
      <c r="C2628" s="108" t="s">
        <v>690</v>
      </c>
      <c r="D2628" s="112" t="s">
        <v>176</v>
      </c>
      <c r="E2628" s="112">
        <v>1104.6</v>
      </c>
      <c r="F2628" s="111" t="str">
        <f>DataPull!D2628</f>
        <v/>
      </c>
      <c r="G2628" s="94" t="str">
        <f t="shared" si="2"/>
        <v/>
      </c>
      <c r="H2628" s="94" t="str">
        <f t="shared" si="3"/>
        <v/>
      </c>
      <c r="I2628" s="94" t="str">
        <f t="shared" ref="I2628:J2628" si="2629">if(G2628 = "", , -G2628)</f>
        <v/>
      </c>
      <c r="J2628" s="94" t="str">
        <f t="shared" si="2629"/>
        <v/>
      </c>
      <c r="K2628" s="100"/>
      <c r="M2628" s="100"/>
      <c r="N2628" s="100"/>
      <c r="O2628" s="100"/>
      <c r="P2628" s="100"/>
    </row>
    <row r="2629">
      <c r="A2629" s="107">
        <v>203507.0</v>
      </c>
      <c r="B2629" s="108" t="s">
        <v>85</v>
      </c>
      <c r="C2629" s="108" t="s">
        <v>691</v>
      </c>
      <c r="D2629" s="112" t="s">
        <v>176</v>
      </c>
      <c r="E2629" s="112">
        <v>1894.2</v>
      </c>
      <c r="F2629" s="111" t="str">
        <f>DataPull!D2629</f>
        <v/>
      </c>
      <c r="G2629" s="94" t="str">
        <f t="shared" si="2"/>
        <v/>
      </c>
      <c r="H2629" s="94" t="str">
        <f t="shared" si="3"/>
        <v/>
      </c>
      <c r="I2629" s="94" t="str">
        <f t="shared" ref="I2629:J2629" si="2630">if(G2629 = "", , -G2629)</f>
        <v/>
      </c>
      <c r="J2629" s="94" t="str">
        <f t="shared" si="2630"/>
        <v/>
      </c>
      <c r="K2629" s="100"/>
      <c r="L2629" s="100"/>
      <c r="M2629" s="100"/>
      <c r="N2629" s="100"/>
      <c r="O2629" s="100"/>
      <c r="P2629" s="100"/>
    </row>
    <row r="2630">
      <c r="A2630" s="107">
        <v>203507.0</v>
      </c>
      <c r="B2630" s="108" t="s">
        <v>90</v>
      </c>
      <c r="C2630" s="108" t="s">
        <v>691</v>
      </c>
      <c r="D2630" s="112" t="s">
        <v>178</v>
      </c>
      <c r="E2630" s="112">
        <v>2543.4</v>
      </c>
      <c r="F2630" s="111" t="str">
        <f>DataPull!D2630</f>
        <v/>
      </c>
      <c r="G2630" s="94" t="str">
        <f t="shared" si="2"/>
        <v/>
      </c>
      <c r="H2630" s="94" t="str">
        <f t="shared" si="3"/>
        <v/>
      </c>
      <c r="I2630" s="94" t="str">
        <f t="shared" ref="I2630:J2630" si="2631">if(G2630 = "", , -G2630)</f>
        <v/>
      </c>
      <c r="J2630" s="94" t="str">
        <f t="shared" si="2631"/>
        <v/>
      </c>
      <c r="K2630" s="100"/>
      <c r="M2630" s="100"/>
      <c r="N2630" s="100"/>
      <c r="O2630" s="100"/>
      <c r="P2630" s="100"/>
    </row>
    <row r="2631">
      <c r="A2631" s="107">
        <v>203507.0</v>
      </c>
      <c r="B2631" s="108" t="s">
        <v>92</v>
      </c>
      <c r="C2631" s="108" t="s">
        <v>691</v>
      </c>
      <c r="D2631" s="112" t="s">
        <v>178</v>
      </c>
      <c r="E2631" s="112">
        <v>2824.0</v>
      </c>
      <c r="F2631" s="111" t="str">
        <f>DataPull!D2631</f>
        <v/>
      </c>
      <c r="G2631" s="94" t="str">
        <f t="shared" si="2"/>
        <v/>
      </c>
      <c r="H2631" s="94" t="str">
        <f t="shared" si="3"/>
        <v/>
      </c>
      <c r="I2631" s="94" t="str">
        <f t="shared" ref="I2631:J2631" si="2632">if(G2631 = "", , -G2631)</f>
        <v/>
      </c>
      <c r="J2631" s="94" t="str">
        <f t="shared" si="2632"/>
        <v/>
      </c>
      <c r="K2631" s="100"/>
      <c r="M2631" s="100"/>
      <c r="N2631" s="100"/>
      <c r="O2631" s="100"/>
      <c r="P2631" s="100"/>
    </row>
    <row r="2632">
      <c r="A2632" s="107">
        <v>203507.0</v>
      </c>
      <c r="B2632" s="108" t="s">
        <v>190</v>
      </c>
      <c r="C2632" s="108" t="s">
        <v>691</v>
      </c>
      <c r="D2632" s="112" t="s">
        <v>184</v>
      </c>
      <c r="E2632" s="112">
        <v>2848.0</v>
      </c>
      <c r="F2632" s="111" t="str">
        <f>DataPull!D2632</f>
        <v/>
      </c>
      <c r="G2632" s="94" t="str">
        <f t="shared" si="2"/>
        <v/>
      </c>
      <c r="H2632" s="94" t="str">
        <f t="shared" si="3"/>
        <v/>
      </c>
      <c r="I2632" s="94" t="str">
        <f t="shared" ref="I2632:J2632" si="2633">if(G2632 = "", , -G2632)</f>
        <v/>
      </c>
      <c r="J2632" s="94" t="str">
        <f t="shared" si="2633"/>
        <v/>
      </c>
      <c r="K2632" s="100"/>
      <c r="M2632" s="100"/>
      <c r="N2632" s="100"/>
      <c r="O2632" s="100"/>
      <c r="P2632" s="100"/>
    </row>
    <row r="2633">
      <c r="A2633" s="107">
        <v>203507.0</v>
      </c>
      <c r="B2633" s="108" t="s">
        <v>191</v>
      </c>
      <c r="C2633" s="108" t="s">
        <v>691</v>
      </c>
      <c r="D2633" s="112" t="s">
        <v>184</v>
      </c>
      <c r="E2633" s="112">
        <v>2752.5</v>
      </c>
      <c r="F2633" s="111" t="str">
        <f>DataPull!D2633</f>
        <v/>
      </c>
      <c r="G2633" s="94" t="str">
        <f t="shared" si="2"/>
        <v/>
      </c>
      <c r="H2633" s="94" t="str">
        <f t="shared" si="3"/>
        <v/>
      </c>
      <c r="I2633" s="94" t="str">
        <f t="shared" ref="I2633:J2633" si="2634">if(G2633 = "", , -G2633)</f>
        <v/>
      </c>
      <c r="J2633" s="94" t="str">
        <f t="shared" si="2634"/>
        <v/>
      </c>
      <c r="K2633" s="100"/>
      <c r="M2633" s="100"/>
      <c r="N2633" s="100"/>
      <c r="O2633" s="100"/>
    </row>
    <row r="2634">
      <c r="A2634" s="107">
        <v>203507.0</v>
      </c>
      <c r="B2634" s="108" t="s">
        <v>192</v>
      </c>
      <c r="C2634" s="108" t="s">
        <v>691</v>
      </c>
      <c r="D2634" s="112" t="s">
        <v>184</v>
      </c>
      <c r="E2634" s="112">
        <v>2361.6</v>
      </c>
      <c r="F2634" s="111" t="str">
        <f>DataPull!D2634</f>
        <v/>
      </c>
      <c r="G2634" s="94" t="str">
        <f t="shared" si="2"/>
        <v/>
      </c>
      <c r="H2634" s="94" t="str">
        <f t="shared" si="3"/>
        <v/>
      </c>
      <c r="I2634" s="94" t="str">
        <f t="shared" ref="I2634:J2634" si="2635">if(G2634 = "", , -G2634)</f>
        <v/>
      </c>
      <c r="J2634" s="94" t="str">
        <f t="shared" si="2635"/>
        <v/>
      </c>
      <c r="K2634" s="100"/>
      <c r="M2634" s="100"/>
      <c r="N2634" s="100"/>
      <c r="O2634" s="100"/>
      <c r="P2634" s="100"/>
    </row>
    <row r="2635">
      <c r="A2635" s="107">
        <v>203507.0</v>
      </c>
      <c r="B2635" s="108" t="s">
        <v>193</v>
      </c>
      <c r="C2635" s="108" t="s">
        <v>691</v>
      </c>
      <c r="D2635" s="112" t="s">
        <v>184</v>
      </c>
      <c r="E2635" s="112">
        <v>1915.2</v>
      </c>
      <c r="F2635" s="111" t="str">
        <f>DataPull!D2635</f>
        <v/>
      </c>
      <c r="G2635" s="94" t="str">
        <f t="shared" si="2"/>
        <v/>
      </c>
      <c r="H2635" s="94" t="str">
        <f t="shared" si="3"/>
        <v/>
      </c>
      <c r="I2635" s="94" t="str">
        <f t="shared" ref="I2635:J2635" si="2636">if(G2635 = "", , -G2635)</f>
        <v/>
      </c>
      <c r="J2635" s="94" t="str">
        <f t="shared" si="2636"/>
        <v/>
      </c>
      <c r="K2635" s="100"/>
      <c r="L2635" s="100"/>
      <c r="M2635" s="100"/>
      <c r="N2635" s="100"/>
      <c r="O2635" s="100"/>
      <c r="P2635" s="100"/>
    </row>
    <row r="2636">
      <c r="A2636" s="107">
        <v>203507.0</v>
      </c>
      <c r="B2636" s="108" t="s">
        <v>243</v>
      </c>
      <c r="C2636" s="108" t="s">
        <v>691</v>
      </c>
      <c r="D2636" s="112" t="s">
        <v>184</v>
      </c>
      <c r="E2636" s="112">
        <v>2013.0</v>
      </c>
      <c r="F2636" s="111" t="str">
        <f>DataPull!D2636</f>
        <v/>
      </c>
      <c r="G2636" s="94" t="str">
        <f t="shared" si="2"/>
        <v/>
      </c>
      <c r="H2636" s="94" t="str">
        <f t="shared" si="3"/>
        <v/>
      </c>
      <c r="I2636" s="94" t="str">
        <f t="shared" ref="I2636:J2636" si="2637">if(G2636 = "", , -G2636)</f>
        <v/>
      </c>
      <c r="J2636" s="94" t="str">
        <f t="shared" si="2637"/>
        <v/>
      </c>
      <c r="K2636" s="100"/>
      <c r="M2636" s="100"/>
      <c r="N2636" s="100"/>
      <c r="O2636" s="100"/>
      <c r="P2636" s="100"/>
    </row>
    <row r="2637">
      <c r="A2637" s="107">
        <v>203507.0</v>
      </c>
      <c r="B2637" s="108" t="s">
        <v>215</v>
      </c>
      <c r="C2637" s="108" t="s">
        <v>691</v>
      </c>
      <c r="D2637" s="112" t="s">
        <v>184</v>
      </c>
      <c r="E2637" s="112">
        <v>2204.3</v>
      </c>
      <c r="F2637" s="111" t="str">
        <f>DataPull!D2637</f>
        <v/>
      </c>
      <c r="G2637" s="94" t="str">
        <f t="shared" si="2"/>
        <v/>
      </c>
      <c r="H2637" s="94" t="str">
        <f t="shared" si="3"/>
        <v/>
      </c>
      <c r="I2637" s="94" t="str">
        <f t="shared" ref="I2637:J2637" si="2638">if(G2637 = "", , -G2637)</f>
        <v/>
      </c>
      <c r="J2637" s="94" t="str">
        <f t="shared" si="2638"/>
        <v/>
      </c>
      <c r="K2637" s="100"/>
      <c r="M2637" s="100"/>
      <c r="N2637" s="100"/>
      <c r="O2637" s="100"/>
      <c r="P2637" s="100"/>
    </row>
    <row r="2638">
      <c r="A2638" s="107">
        <v>203507.0</v>
      </c>
      <c r="B2638" s="108" t="s">
        <v>244</v>
      </c>
      <c r="C2638" s="108" t="s">
        <v>691</v>
      </c>
      <c r="D2638" s="112" t="s">
        <v>184</v>
      </c>
      <c r="E2638" s="112">
        <v>2022.3</v>
      </c>
      <c r="F2638" s="111" t="str">
        <f>DataPull!D2638</f>
        <v/>
      </c>
      <c r="G2638" s="94" t="str">
        <f t="shared" si="2"/>
        <v/>
      </c>
      <c r="H2638" s="94" t="str">
        <f t="shared" si="3"/>
        <v/>
      </c>
      <c r="I2638" s="94" t="str">
        <f t="shared" ref="I2638:J2638" si="2639">if(G2638 = "", , -G2638)</f>
        <v/>
      </c>
      <c r="J2638" s="94" t="str">
        <f t="shared" si="2639"/>
        <v/>
      </c>
      <c r="K2638" s="100"/>
      <c r="M2638" s="100"/>
      <c r="N2638" s="100"/>
      <c r="O2638" s="100"/>
      <c r="P2638" s="100"/>
    </row>
    <row r="2639">
      <c r="A2639" s="107">
        <v>203507.0</v>
      </c>
      <c r="B2639" s="108" t="s">
        <v>245</v>
      </c>
      <c r="C2639" s="108" t="s">
        <v>691</v>
      </c>
      <c r="D2639" s="112" t="s">
        <v>184</v>
      </c>
      <c r="E2639" s="112">
        <v>2569.6</v>
      </c>
      <c r="F2639" s="111" t="str">
        <f>DataPull!D2639</f>
        <v/>
      </c>
      <c r="G2639" s="94" t="str">
        <f t="shared" si="2"/>
        <v/>
      </c>
      <c r="H2639" s="94" t="str">
        <f t="shared" si="3"/>
        <v/>
      </c>
      <c r="I2639" s="94" t="str">
        <f t="shared" ref="I2639:J2639" si="2640">if(G2639 = "", , -G2639)</f>
        <v/>
      </c>
      <c r="J2639" s="94" t="str">
        <f t="shared" si="2640"/>
        <v/>
      </c>
      <c r="K2639" s="100"/>
      <c r="L2639" s="100"/>
      <c r="N2639" s="100"/>
      <c r="O2639" s="100"/>
      <c r="P2639" s="100"/>
    </row>
    <row r="2640">
      <c r="A2640" s="107">
        <v>203507.0</v>
      </c>
      <c r="B2640" s="108" t="s">
        <v>246</v>
      </c>
      <c r="C2640" s="108" t="s">
        <v>691</v>
      </c>
      <c r="D2640" s="112" t="s">
        <v>184</v>
      </c>
      <c r="E2640" s="112">
        <v>2291.4</v>
      </c>
      <c r="F2640" s="111" t="str">
        <f>DataPull!D2640</f>
        <v/>
      </c>
      <c r="G2640" s="94" t="str">
        <f t="shared" si="2"/>
        <v/>
      </c>
      <c r="H2640" s="94" t="str">
        <f t="shared" si="3"/>
        <v/>
      </c>
      <c r="I2640" s="94" t="str">
        <f t="shared" ref="I2640:J2640" si="2641">if(G2640 = "", , -G2640)</f>
        <v/>
      </c>
      <c r="J2640" s="94" t="str">
        <f t="shared" si="2641"/>
        <v/>
      </c>
      <c r="K2640" s="100"/>
      <c r="M2640" s="100"/>
      <c r="N2640" s="100"/>
      <c r="O2640" s="100"/>
      <c r="P2640" s="100"/>
    </row>
    <row r="2641">
      <c r="A2641" s="114">
        <v>203507.0</v>
      </c>
      <c r="B2641" s="113" t="s">
        <v>247</v>
      </c>
      <c r="C2641" s="113" t="s">
        <v>691</v>
      </c>
      <c r="D2641" s="112" t="s">
        <v>184</v>
      </c>
      <c r="E2641" s="112">
        <v>1040.4</v>
      </c>
      <c r="F2641" s="111" t="str">
        <f>DataPull!D2641</f>
        <v/>
      </c>
      <c r="G2641" s="94" t="str">
        <f t="shared" si="2"/>
        <v/>
      </c>
      <c r="H2641" s="94" t="str">
        <f t="shared" si="3"/>
        <v/>
      </c>
      <c r="I2641" s="94" t="str">
        <f t="shared" ref="I2641:J2641" si="2642">if(G2641 = "", , -G2641)</f>
        <v/>
      </c>
      <c r="J2641" s="94" t="str">
        <f t="shared" si="2642"/>
        <v/>
      </c>
      <c r="K2641" s="100"/>
      <c r="M2641" s="100"/>
      <c r="N2641" s="100"/>
      <c r="O2641" s="100"/>
      <c r="P2641" s="100"/>
    </row>
    <row r="2642">
      <c r="A2642" s="107">
        <v>203508.0</v>
      </c>
      <c r="B2642" s="108" t="s">
        <v>85</v>
      </c>
      <c r="C2642" s="108" t="s">
        <v>692</v>
      </c>
      <c r="D2642" s="112" t="s">
        <v>187</v>
      </c>
      <c r="E2642" s="112">
        <v>156.2</v>
      </c>
      <c r="F2642" s="111" t="str">
        <f>DataPull!D2642</f>
        <v/>
      </c>
      <c r="G2642" s="94" t="str">
        <f t="shared" si="2"/>
        <v/>
      </c>
      <c r="H2642" s="94" t="str">
        <f t="shared" si="3"/>
        <v/>
      </c>
      <c r="I2642" s="94" t="str">
        <f t="shared" ref="I2642:J2642" si="2643">if(G2642 = "", , -G2642)</f>
        <v/>
      </c>
      <c r="J2642" s="94" t="str">
        <f t="shared" si="2643"/>
        <v/>
      </c>
      <c r="K2642" s="100"/>
      <c r="M2642" s="100"/>
      <c r="N2642" s="100"/>
      <c r="O2642" s="100"/>
      <c r="P2642" s="100"/>
    </row>
    <row r="2643">
      <c r="A2643" s="107">
        <v>203508.0</v>
      </c>
      <c r="B2643" s="108" t="s">
        <v>90</v>
      </c>
      <c r="C2643" s="108" t="s">
        <v>692</v>
      </c>
      <c r="D2643" s="112" t="s">
        <v>177</v>
      </c>
      <c r="E2643" s="112">
        <v>554.4</v>
      </c>
      <c r="F2643" s="111" t="str">
        <f>DataPull!D2643</f>
        <v/>
      </c>
      <c r="G2643" s="94" t="str">
        <f t="shared" si="2"/>
        <v/>
      </c>
      <c r="H2643" s="94" t="str">
        <f t="shared" si="3"/>
        <v/>
      </c>
      <c r="I2643" s="94" t="str">
        <f t="shared" ref="I2643:J2643" si="2644">if(G2643 = "", , -G2643)</f>
        <v/>
      </c>
      <c r="J2643" s="94" t="str">
        <f t="shared" si="2644"/>
        <v/>
      </c>
      <c r="K2643" s="100"/>
      <c r="M2643" s="100"/>
      <c r="N2643" s="100"/>
      <c r="O2643" s="100"/>
      <c r="P2643" s="100"/>
    </row>
    <row r="2644">
      <c r="A2644" s="107">
        <v>203508.0</v>
      </c>
      <c r="B2644" s="108" t="s">
        <v>92</v>
      </c>
      <c r="C2644" s="108" t="s">
        <v>692</v>
      </c>
      <c r="D2644" s="112" t="s">
        <v>187</v>
      </c>
      <c r="E2644" s="112">
        <v>400.0</v>
      </c>
      <c r="F2644" s="111" t="str">
        <f>DataPull!D2644</f>
        <v/>
      </c>
      <c r="G2644" s="94" t="str">
        <f t="shared" si="2"/>
        <v/>
      </c>
      <c r="H2644" s="94" t="str">
        <f t="shared" si="3"/>
        <v/>
      </c>
      <c r="I2644" s="94" t="str">
        <f t="shared" ref="I2644:J2644" si="2645">if(G2644 = "", , -G2644)</f>
        <v/>
      </c>
      <c r="J2644" s="94" t="str">
        <f t="shared" si="2645"/>
        <v/>
      </c>
      <c r="K2644" s="100"/>
      <c r="L2644" s="100"/>
      <c r="N2644" s="100"/>
      <c r="O2644" s="100"/>
      <c r="P2644" s="100"/>
    </row>
    <row r="2645">
      <c r="A2645" s="107">
        <v>203510.0</v>
      </c>
      <c r="B2645" s="108" t="s">
        <v>190</v>
      </c>
      <c r="C2645" s="108" t="s">
        <v>693</v>
      </c>
      <c r="D2645" s="112" t="s">
        <v>181</v>
      </c>
      <c r="E2645" s="112">
        <v>84.6</v>
      </c>
      <c r="F2645" s="111" t="str">
        <f>DataPull!D2645</f>
        <v/>
      </c>
      <c r="G2645" s="94" t="str">
        <f t="shared" si="2"/>
        <v/>
      </c>
      <c r="H2645" s="94" t="str">
        <f t="shared" si="3"/>
        <v/>
      </c>
      <c r="I2645" s="94" t="str">
        <f t="shared" ref="I2645:J2645" si="2646">if(G2645 = "", , -G2645)</f>
        <v/>
      </c>
      <c r="J2645" s="94" t="str">
        <f t="shared" si="2646"/>
        <v/>
      </c>
      <c r="K2645" s="100"/>
      <c r="M2645" s="100"/>
      <c r="N2645" s="100"/>
      <c r="O2645" s="100"/>
      <c r="P2645" s="100"/>
    </row>
    <row r="2646">
      <c r="A2646" s="107">
        <v>203511.0</v>
      </c>
      <c r="B2646" s="108" t="s">
        <v>90</v>
      </c>
      <c r="C2646" s="108" t="s">
        <v>694</v>
      </c>
      <c r="D2646" s="112" t="s">
        <v>181</v>
      </c>
      <c r="E2646" s="112">
        <v>51.2</v>
      </c>
      <c r="F2646" s="111" t="str">
        <f>DataPull!D2646</f>
        <v/>
      </c>
      <c r="G2646" s="94" t="str">
        <f t="shared" si="2"/>
        <v/>
      </c>
      <c r="H2646" s="94" t="str">
        <f t="shared" si="3"/>
        <v/>
      </c>
      <c r="I2646" s="94" t="str">
        <f t="shared" ref="I2646:J2646" si="2647">if(G2646 = "", , -G2646)</f>
        <v/>
      </c>
      <c r="J2646" s="94" t="str">
        <f t="shared" si="2647"/>
        <v/>
      </c>
      <c r="K2646" s="100"/>
      <c r="M2646" s="100"/>
      <c r="N2646" s="100"/>
      <c r="O2646" s="100"/>
      <c r="P2646" s="100"/>
    </row>
    <row r="2647">
      <c r="A2647" s="107">
        <v>203512.0</v>
      </c>
      <c r="B2647" s="108" t="s">
        <v>90</v>
      </c>
      <c r="C2647" s="108" t="s">
        <v>695</v>
      </c>
      <c r="D2647" s="112" t="s">
        <v>181</v>
      </c>
      <c r="E2647" s="112">
        <v>22.8</v>
      </c>
      <c r="F2647" s="111" t="str">
        <f>DataPull!D2647</f>
        <v/>
      </c>
      <c r="G2647" s="94" t="str">
        <f t="shared" si="2"/>
        <v/>
      </c>
      <c r="H2647" s="94" t="str">
        <f t="shared" si="3"/>
        <v/>
      </c>
      <c r="I2647" s="94" t="str">
        <f t="shared" ref="I2647:J2647" si="2648">if(G2647 = "", , -G2647)</f>
        <v/>
      </c>
      <c r="J2647" s="94" t="str">
        <f t="shared" si="2648"/>
        <v/>
      </c>
      <c r="K2647" s="100"/>
      <c r="M2647" s="100"/>
      <c r="N2647" s="100"/>
      <c r="O2647" s="100"/>
      <c r="P2647" s="100"/>
    </row>
    <row r="2648">
      <c r="A2648" s="107">
        <v>203512.0</v>
      </c>
      <c r="B2648" s="108" t="s">
        <v>92</v>
      </c>
      <c r="C2648" s="108" t="s">
        <v>695</v>
      </c>
      <c r="D2648" s="112" t="s">
        <v>187</v>
      </c>
      <c r="E2648" s="112">
        <v>223.3</v>
      </c>
      <c r="F2648" s="111" t="str">
        <f>DataPull!D2648</f>
        <v/>
      </c>
      <c r="G2648" s="94" t="str">
        <f t="shared" si="2"/>
        <v/>
      </c>
      <c r="H2648" s="94" t="str">
        <f t="shared" si="3"/>
        <v/>
      </c>
      <c r="I2648" s="94" t="str">
        <f t="shared" ref="I2648:J2648" si="2649">if(G2648 = "", , -G2648)</f>
        <v/>
      </c>
      <c r="J2648" s="94" t="str">
        <f t="shared" si="2649"/>
        <v/>
      </c>
      <c r="K2648" s="100"/>
      <c r="M2648" s="100"/>
      <c r="N2648" s="100"/>
      <c r="O2648" s="100"/>
      <c r="P2648" s="100"/>
    </row>
    <row r="2649">
      <c r="A2649" s="107">
        <v>203512.0</v>
      </c>
      <c r="B2649" s="108" t="s">
        <v>190</v>
      </c>
      <c r="C2649" s="108" t="s">
        <v>695</v>
      </c>
      <c r="D2649" s="112" t="s">
        <v>177</v>
      </c>
      <c r="E2649" s="112">
        <v>1088.7</v>
      </c>
      <c r="F2649" s="111" t="str">
        <f>DataPull!D2649</f>
        <v/>
      </c>
      <c r="G2649" s="94" t="str">
        <f t="shared" si="2"/>
        <v/>
      </c>
      <c r="H2649" s="94" t="str">
        <f t="shared" si="3"/>
        <v/>
      </c>
      <c r="I2649" s="94" t="str">
        <f t="shared" ref="I2649:J2649" si="2650">if(G2649 = "", , -G2649)</f>
        <v/>
      </c>
      <c r="J2649" s="94" t="str">
        <f t="shared" si="2650"/>
        <v/>
      </c>
      <c r="K2649" s="100"/>
      <c r="M2649" s="100"/>
      <c r="N2649" s="100"/>
      <c r="O2649" s="100"/>
      <c r="P2649" s="100"/>
    </row>
    <row r="2650">
      <c r="A2650" s="107">
        <v>203512.0</v>
      </c>
      <c r="B2650" s="108" t="s">
        <v>191</v>
      </c>
      <c r="C2650" s="108" t="s">
        <v>695</v>
      </c>
      <c r="D2650" s="112" t="s">
        <v>187</v>
      </c>
      <c r="E2650" s="112">
        <v>416.5</v>
      </c>
      <c r="F2650" s="111" t="str">
        <f>DataPull!D2650</f>
        <v/>
      </c>
      <c r="G2650" s="94" t="str">
        <f t="shared" si="2"/>
        <v/>
      </c>
      <c r="H2650" s="94" t="str">
        <f t="shared" si="3"/>
        <v/>
      </c>
      <c r="I2650" s="94" t="str">
        <f t="shared" ref="I2650:J2650" si="2651">if(G2650 = "", , -G2650)</f>
        <v/>
      </c>
      <c r="J2650" s="94" t="str">
        <f t="shared" si="2651"/>
        <v/>
      </c>
      <c r="K2650" s="100"/>
      <c r="M2650" s="100"/>
      <c r="N2650" s="100"/>
      <c r="O2650" s="100"/>
      <c r="P2650" s="100"/>
    </row>
    <row r="2651">
      <c r="A2651" s="107">
        <v>203513.0</v>
      </c>
      <c r="B2651" s="108" t="s">
        <v>85</v>
      </c>
      <c r="C2651" s="108" t="s">
        <v>696</v>
      </c>
      <c r="D2651" s="112" t="s">
        <v>187</v>
      </c>
      <c r="E2651" s="112">
        <v>62.4</v>
      </c>
      <c r="F2651" s="111" t="str">
        <f>DataPull!D2651</f>
        <v/>
      </c>
      <c r="G2651" s="94" t="str">
        <f t="shared" si="2"/>
        <v/>
      </c>
      <c r="H2651" s="94" t="str">
        <f t="shared" si="3"/>
        <v/>
      </c>
      <c r="I2651" s="94" t="str">
        <f t="shared" ref="I2651:J2651" si="2652">if(G2651 = "", , -G2651)</f>
        <v/>
      </c>
      <c r="J2651" s="94" t="str">
        <f t="shared" si="2652"/>
        <v/>
      </c>
      <c r="K2651" s="100"/>
      <c r="M2651" s="100"/>
      <c r="N2651" s="100"/>
      <c r="O2651" s="100"/>
      <c r="P2651" s="100"/>
    </row>
    <row r="2652">
      <c r="A2652" s="107">
        <v>203515.0</v>
      </c>
      <c r="B2652" s="108" t="s">
        <v>85</v>
      </c>
      <c r="C2652" s="108" t="s">
        <v>697</v>
      </c>
      <c r="D2652" s="112" t="s">
        <v>177</v>
      </c>
      <c r="E2652" s="112">
        <v>1132.5</v>
      </c>
      <c r="F2652" s="111" t="str">
        <f>DataPull!D2652</f>
        <v/>
      </c>
      <c r="G2652" s="94" t="str">
        <f t="shared" si="2"/>
        <v/>
      </c>
      <c r="H2652" s="94" t="str">
        <f t="shared" si="3"/>
        <v/>
      </c>
      <c r="I2652" s="94" t="str">
        <f t="shared" ref="I2652:J2652" si="2653">if(G2652 = "", , -G2652)</f>
        <v/>
      </c>
      <c r="J2652" s="94" t="str">
        <f t="shared" si="2653"/>
        <v/>
      </c>
      <c r="K2652" s="100"/>
      <c r="M2652" s="100"/>
      <c r="N2652" s="100"/>
      <c r="O2652" s="100"/>
      <c r="P2652" s="100"/>
    </row>
    <row r="2653">
      <c r="A2653" s="107">
        <v>203515.0</v>
      </c>
      <c r="B2653" s="108" t="s">
        <v>90</v>
      </c>
      <c r="C2653" s="108" t="s">
        <v>697</v>
      </c>
      <c r="D2653" s="112" t="s">
        <v>177</v>
      </c>
      <c r="E2653" s="112">
        <v>600.0</v>
      </c>
      <c r="F2653" s="111" t="str">
        <f>DataPull!D2653</f>
        <v/>
      </c>
      <c r="G2653" s="94" t="str">
        <f t="shared" si="2"/>
        <v/>
      </c>
      <c r="H2653" s="94" t="str">
        <f t="shared" si="3"/>
        <v/>
      </c>
      <c r="I2653" s="94" t="str">
        <f t="shared" ref="I2653:J2653" si="2654">if(G2653 = "", , -G2653)</f>
        <v/>
      </c>
      <c r="J2653" s="94" t="str">
        <f t="shared" si="2654"/>
        <v/>
      </c>
      <c r="K2653" s="100"/>
      <c r="N2653" s="100"/>
      <c r="O2653" s="100"/>
      <c r="P2653" s="100"/>
    </row>
    <row r="2654">
      <c r="A2654" s="107">
        <v>203515.0</v>
      </c>
      <c r="B2654" s="108" t="s">
        <v>92</v>
      </c>
      <c r="C2654" s="108" t="s">
        <v>697</v>
      </c>
      <c r="D2654" s="112" t="s">
        <v>187</v>
      </c>
      <c r="E2654" s="112">
        <v>282.9</v>
      </c>
      <c r="F2654" s="111" t="str">
        <f>DataPull!D2654</f>
        <v/>
      </c>
      <c r="G2654" s="94" t="str">
        <f t="shared" si="2"/>
        <v/>
      </c>
      <c r="H2654" s="94" t="str">
        <f t="shared" si="3"/>
        <v/>
      </c>
      <c r="I2654" s="94" t="str">
        <f t="shared" ref="I2654:J2654" si="2655">if(G2654 = "", , -G2654)</f>
        <v/>
      </c>
      <c r="J2654" s="94" t="str">
        <f t="shared" si="2655"/>
        <v/>
      </c>
      <c r="K2654" s="100"/>
      <c r="L2654" s="100"/>
      <c r="M2654" s="100"/>
      <c r="N2654" s="100"/>
      <c r="O2654" s="100"/>
      <c r="P2654" s="100"/>
    </row>
    <row r="2655">
      <c r="A2655" s="107">
        <v>203516.0</v>
      </c>
      <c r="B2655" s="108" t="s">
        <v>90</v>
      </c>
      <c r="C2655" s="115" t="s">
        <v>698</v>
      </c>
      <c r="D2655" s="112" t="s">
        <v>177</v>
      </c>
      <c r="E2655" s="112">
        <v>1054.0</v>
      </c>
      <c r="F2655" s="111" t="str">
        <f>DataPull!D2655</f>
        <v/>
      </c>
      <c r="G2655" s="94" t="str">
        <f t="shared" si="2"/>
        <v/>
      </c>
      <c r="H2655" s="94" t="str">
        <f t="shared" si="3"/>
        <v/>
      </c>
      <c r="I2655" s="94" t="str">
        <f t="shared" ref="I2655:J2655" si="2656">if(G2655 = "", , -G2655)</f>
        <v/>
      </c>
      <c r="J2655" s="94" t="str">
        <f t="shared" si="2656"/>
        <v/>
      </c>
      <c r="K2655" s="100"/>
      <c r="L2655" s="100"/>
      <c r="N2655" s="100"/>
      <c r="O2655" s="100"/>
    </row>
    <row r="2656">
      <c r="A2656" s="107">
        <v>203516.0</v>
      </c>
      <c r="B2656" s="108" t="s">
        <v>92</v>
      </c>
      <c r="C2656" s="115" t="s">
        <v>698</v>
      </c>
      <c r="D2656" s="112" t="s">
        <v>187</v>
      </c>
      <c r="E2656" s="112">
        <v>327.8</v>
      </c>
      <c r="F2656" s="111" t="str">
        <f>DataPull!D2656</f>
        <v/>
      </c>
      <c r="G2656" s="94" t="str">
        <f t="shared" si="2"/>
        <v/>
      </c>
      <c r="H2656" s="94" t="str">
        <f t="shared" si="3"/>
        <v/>
      </c>
      <c r="I2656" s="94" t="str">
        <f t="shared" ref="I2656:J2656" si="2657">if(G2656 = "", , -G2656)</f>
        <v/>
      </c>
      <c r="J2656" s="94" t="str">
        <f t="shared" si="2657"/>
        <v/>
      </c>
      <c r="K2656" s="100"/>
      <c r="M2656" s="100"/>
      <c r="N2656" s="100"/>
      <c r="O2656" s="100"/>
      <c r="P2656" s="100"/>
    </row>
    <row r="2657">
      <c r="A2657" s="107">
        <v>203516.0</v>
      </c>
      <c r="B2657" s="108" t="s">
        <v>190</v>
      </c>
      <c r="C2657" s="115" t="s">
        <v>698</v>
      </c>
      <c r="D2657" s="112" t="s">
        <v>176</v>
      </c>
      <c r="E2657" s="112">
        <v>1497.6</v>
      </c>
      <c r="F2657" s="111" t="str">
        <f>DataPull!D2657</f>
        <v/>
      </c>
      <c r="G2657" s="94" t="str">
        <f t="shared" si="2"/>
        <v/>
      </c>
      <c r="H2657" s="94" t="str">
        <f t="shared" si="3"/>
        <v/>
      </c>
      <c r="I2657" s="94" t="str">
        <f t="shared" ref="I2657:J2657" si="2658">if(G2657 = "", , -G2657)</f>
        <v/>
      </c>
      <c r="J2657" s="94" t="str">
        <f t="shared" si="2658"/>
        <v/>
      </c>
      <c r="K2657" s="100"/>
      <c r="M2657" s="100"/>
      <c r="N2657" s="100"/>
      <c r="O2657" s="100"/>
      <c r="P2657" s="100"/>
    </row>
    <row r="2658">
      <c r="A2658" s="107">
        <v>203516.0</v>
      </c>
      <c r="B2658" s="108" t="s">
        <v>191</v>
      </c>
      <c r="C2658" s="115" t="s">
        <v>698</v>
      </c>
      <c r="D2658" s="112" t="s">
        <v>176</v>
      </c>
      <c r="E2658" s="112">
        <v>1605.6</v>
      </c>
      <c r="F2658" s="111" t="str">
        <f>DataPull!D2658</f>
        <v/>
      </c>
      <c r="G2658" s="94" t="str">
        <f t="shared" si="2"/>
        <v/>
      </c>
      <c r="H2658" s="94" t="str">
        <f t="shared" si="3"/>
        <v/>
      </c>
      <c r="I2658" s="94" t="str">
        <f t="shared" ref="I2658:J2658" si="2659">if(G2658 = "", , -G2658)</f>
        <v/>
      </c>
      <c r="J2658" s="94" t="str">
        <f t="shared" si="2659"/>
        <v/>
      </c>
      <c r="K2658" s="100"/>
      <c r="L2658" s="100"/>
      <c r="M2658" s="100"/>
      <c r="N2658" s="100"/>
      <c r="O2658" s="100"/>
      <c r="P2658" s="100"/>
    </row>
    <row r="2659">
      <c r="A2659" s="107">
        <v>203516.0</v>
      </c>
      <c r="B2659" s="108" t="s">
        <v>192</v>
      </c>
      <c r="C2659" s="115" t="s">
        <v>698</v>
      </c>
      <c r="D2659" s="112" t="s">
        <v>176</v>
      </c>
      <c r="E2659" s="112">
        <v>1229.6</v>
      </c>
      <c r="F2659" s="111" t="str">
        <f>DataPull!D2659</f>
        <v/>
      </c>
      <c r="G2659" s="94" t="str">
        <f t="shared" si="2"/>
        <v/>
      </c>
      <c r="H2659" s="94" t="str">
        <f t="shared" si="3"/>
        <v/>
      </c>
      <c r="I2659" s="94" t="str">
        <f t="shared" ref="I2659:J2659" si="2660">if(G2659 = "", , -G2659)</f>
        <v/>
      </c>
      <c r="J2659" s="94" t="str">
        <f t="shared" si="2660"/>
        <v/>
      </c>
      <c r="K2659" s="100"/>
      <c r="M2659" s="100"/>
      <c r="N2659" s="100"/>
      <c r="O2659" s="100"/>
      <c r="P2659" s="100"/>
    </row>
    <row r="2660">
      <c r="A2660" s="107">
        <v>203516.0</v>
      </c>
      <c r="B2660" s="108" t="s">
        <v>193</v>
      </c>
      <c r="C2660" s="115" t="s">
        <v>698</v>
      </c>
      <c r="D2660" s="112" t="s">
        <v>177</v>
      </c>
      <c r="E2660" s="112">
        <v>1262.7</v>
      </c>
      <c r="F2660" s="111" t="str">
        <f>DataPull!D2660</f>
        <v/>
      </c>
      <c r="G2660" s="94" t="str">
        <f t="shared" si="2"/>
        <v/>
      </c>
      <c r="H2660" s="94" t="str">
        <f t="shared" si="3"/>
        <v/>
      </c>
      <c r="I2660" s="94" t="str">
        <f t="shared" ref="I2660:J2660" si="2661">if(G2660 = "", , -G2660)</f>
        <v/>
      </c>
      <c r="J2660" s="94" t="str">
        <f t="shared" si="2661"/>
        <v/>
      </c>
      <c r="K2660" s="100"/>
      <c r="M2660" s="100"/>
      <c r="N2660" s="100"/>
      <c r="O2660" s="100"/>
      <c r="P2660" s="100"/>
    </row>
    <row r="2661">
      <c r="A2661" s="107">
        <v>203516.0</v>
      </c>
      <c r="B2661" s="108" t="s">
        <v>243</v>
      </c>
      <c r="C2661" s="115" t="s">
        <v>698</v>
      </c>
      <c r="D2661" s="112" t="s">
        <v>176</v>
      </c>
      <c r="E2661" s="112">
        <v>988.1</v>
      </c>
      <c r="F2661" s="111" t="str">
        <f>DataPull!D2661</f>
        <v/>
      </c>
      <c r="G2661" s="94" t="str">
        <f t="shared" si="2"/>
        <v/>
      </c>
      <c r="H2661" s="94" t="str">
        <f t="shared" si="3"/>
        <v/>
      </c>
      <c r="I2661" s="94" t="str">
        <f t="shared" ref="I2661:J2661" si="2662">if(G2661 = "", , -G2661)</f>
        <v/>
      </c>
      <c r="J2661" s="94" t="str">
        <f t="shared" si="2662"/>
        <v/>
      </c>
      <c r="K2661" s="100"/>
      <c r="M2661" s="100"/>
      <c r="N2661" s="100"/>
      <c r="O2661" s="100"/>
      <c r="P2661" s="100"/>
    </row>
    <row r="2662">
      <c r="A2662" s="107">
        <v>203516.0</v>
      </c>
      <c r="B2662" s="108" t="s">
        <v>215</v>
      </c>
      <c r="C2662" s="115" t="s">
        <v>698</v>
      </c>
      <c r="D2662" s="112" t="s">
        <v>181</v>
      </c>
      <c r="E2662" s="112">
        <v>55.3</v>
      </c>
      <c r="F2662" s="111" t="str">
        <f>DataPull!D2662</f>
        <v/>
      </c>
      <c r="G2662" s="94" t="str">
        <f t="shared" si="2"/>
        <v/>
      </c>
      <c r="H2662" s="94" t="str">
        <f t="shared" si="3"/>
        <v/>
      </c>
      <c r="I2662" s="94" t="str">
        <f t="shared" ref="I2662:J2662" si="2663">if(G2662 = "", , -G2662)</f>
        <v/>
      </c>
      <c r="J2662" s="94" t="str">
        <f t="shared" si="2663"/>
        <v/>
      </c>
      <c r="K2662" s="100"/>
      <c r="M2662" s="100"/>
      <c r="N2662" s="100"/>
      <c r="O2662" s="100"/>
      <c r="P2662" s="100"/>
    </row>
    <row r="2663">
      <c r="A2663" s="107">
        <v>203517.0</v>
      </c>
      <c r="B2663" s="108" t="s">
        <v>85</v>
      </c>
      <c r="C2663" s="108" t="s">
        <v>699</v>
      </c>
      <c r="D2663" s="112" t="s">
        <v>187</v>
      </c>
      <c r="E2663" s="112">
        <v>141.6</v>
      </c>
      <c r="F2663" s="111" t="str">
        <f>DataPull!D2663</f>
        <v/>
      </c>
      <c r="G2663" s="94" t="str">
        <f t="shared" si="2"/>
        <v/>
      </c>
      <c r="H2663" s="94" t="str">
        <f t="shared" si="3"/>
        <v/>
      </c>
      <c r="I2663" s="94" t="str">
        <f t="shared" ref="I2663:J2663" si="2664">if(G2663 = "", , -G2663)</f>
        <v/>
      </c>
      <c r="J2663" s="94" t="str">
        <f t="shared" si="2664"/>
        <v/>
      </c>
      <c r="K2663" s="100"/>
      <c r="L2663" s="100"/>
      <c r="N2663" s="100"/>
      <c r="O2663" s="100"/>
      <c r="P2663" s="100"/>
    </row>
    <row r="2664">
      <c r="A2664" s="107">
        <v>203518.0</v>
      </c>
      <c r="B2664" s="108" t="s">
        <v>190</v>
      </c>
      <c r="C2664" s="108" t="s">
        <v>700</v>
      </c>
      <c r="D2664" s="112" t="s">
        <v>177</v>
      </c>
      <c r="E2664" s="112">
        <v>1054.0</v>
      </c>
      <c r="F2664" s="111" t="str">
        <f>DataPull!D2664</f>
        <v/>
      </c>
      <c r="G2664" s="94" t="str">
        <f t="shared" si="2"/>
        <v/>
      </c>
      <c r="H2664" s="94" t="str">
        <f t="shared" si="3"/>
        <v/>
      </c>
      <c r="I2664" s="94" t="str">
        <f t="shared" ref="I2664:J2664" si="2665">if(G2664 = "", , -G2664)</f>
        <v/>
      </c>
      <c r="J2664" s="94" t="str">
        <f t="shared" si="2665"/>
        <v/>
      </c>
      <c r="K2664" s="100"/>
      <c r="M2664" s="100"/>
      <c r="N2664" s="100"/>
      <c r="O2664" s="100"/>
      <c r="P2664" s="100"/>
    </row>
    <row r="2665">
      <c r="A2665" s="107">
        <v>203518.0</v>
      </c>
      <c r="B2665" s="108" t="s">
        <v>191</v>
      </c>
      <c r="C2665" s="108" t="s">
        <v>700</v>
      </c>
      <c r="D2665" s="112" t="s">
        <v>177</v>
      </c>
      <c r="E2665" s="112">
        <v>1132.5</v>
      </c>
      <c r="F2665" s="111" t="str">
        <f>DataPull!D2665</f>
        <v/>
      </c>
      <c r="G2665" s="94" t="str">
        <f t="shared" si="2"/>
        <v/>
      </c>
      <c r="H2665" s="94" t="str">
        <f t="shared" si="3"/>
        <v/>
      </c>
      <c r="I2665" s="94" t="str">
        <f t="shared" ref="I2665:J2665" si="2666">if(G2665 = "", , -G2665)</f>
        <v/>
      </c>
      <c r="J2665" s="94" t="str">
        <f t="shared" si="2666"/>
        <v/>
      </c>
      <c r="K2665" s="100"/>
      <c r="M2665" s="100"/>
      <c r="N2665" s="100"/>
      <c r="O2665" s="100"/>
      <c r="P2665" s="100"/>
    </row>
    <row r="2666">
      <c r="A2666" s="107">
        <v>203518.0</v>
      </c>
      <c r="B2666" s="108" t="s">
        <v>192</v>
      </c>
      <c r="C2666" s="108" t="s">
        <v>700</v>
      </c>
      <c r="D2666" s="112" t="s">
        <v>176</v>
      </c>
      <c r="E2666" s="112">
        <v>589.0</v>
      </c>
      <c r="F2666" s="111" t="str">
        <f>DataPull!D2666</f>
        <v/>
      </c>
      <c r="G2666" s="94" t="str">
        <f t="shared" si="2"/>
        <v/>
      </c>
      <c r="H2666" s="94" t="str">
        <f t="shared" si="3"/>
        <v/>
      </c>
      <c r="I2666" s="94" t="str">
        <f t="shared" ref="I2666:J2666" si="2667">if(G2666 = "", , -G2666)</f>
        <v/>
      </c>
      <c r="J2666" s="94" t="str">
        <f t="shared" si="2667"/>
        <v/>
      </c>
      <c r="K2666" s="100"/>
      <c r="M2666" s="100"/>
      <c r="N2666" s="100"/>
      <c r="O2666" s="100"/>
      <c r="P2666" s="100"/>
    </row>
    <row r="2667">
      <c r="A2667" s="107">
        <v>203519.0</v>
      </c>
      <c r="B2667" s="108" t="s">
        <v>85</v>
      </c>
      <c r="C2667" s="108" t="s">
        <v>701</v>
      </c>
      <c r="D2667" s="112" t="s">
        <v>181</v>
      </c>
      <c r="E2667" s="112">
        <v>37.8</v>
      </c>
      <c r="F2667" s="111" t="str">
        <f>DataPull!D2667</f>
        <v/>
      </c>
      <c r="G2667" s="94" t="str">
        <f t="shared" si="2"/>
        <v/>
      </c>
      <c r="H2667" s="94" t="str">
        <f t="shared" si="3"/>
        <v/>
      </c>
      <c r="I2667" s="94" t="str">
        <f t="shared" ref="I2667:J2667" si="2668">if(G2667 = "", , -G2667)</f>
        <v/>
      </c>
      <c r="J2667" s="94" t="str">
        <f t="shared" si="2668"/>
        <v/>
      </c>
      <c r="K2667" s="100"/>
      <c r="M2667" s="100"/>
      <c r="N2667" s="100"/>
      <c r="O2667" s="100"/>
      <c r="P2667" s="100"/>
    </row>
    <row r="2668">
      <c r="A2668" s="107">
        <v>203521.0</v>
      </c>
      <c r="B2668" s="108" t="s">
        <v>85</v>
      </c>
      <c r="C2668" s="108" t="s">
        <v>702</v>
      </c>
      <c r="D2668" s="112" t="s">
        <v>177</v>
      </c>
      <c r="E2668" s="112">
        <v>1274.4</v>
      </c>
      <c r="F2668" s="111" t="str">
        <f>DataPull!D2668</f>
        <v/>
      </c>
      <c r="G2668" s="94" t="str">
        <f t="shared" si="2"/>
        <v/>
      </c>
      <c r="H2668" s="94" t="str">
        <f t="shared" si="3"/>
        <v/>
      </c>
      <c r="I2668" s="94" t="str">
        <f t="shared" ref="I2668:J2668" si="2669">if(G2668 = "", , -G2668)</f>
        <v/>
      </c>
      <c r="J2668" s="94" t="str">
        <f t="shared" si="2669"/>
        <v/>
      </c>
      <c r="K2668" s="100"/>
      <c r="M2668" s="100"/>
      <c r="N2668" s="100"/>
      <c r="O2668" s="100"/>
      <c r="P2668" s="100"/>
    </row>
    <row r="2669">
      <c r="A2669" s="107">
        <v>203521.0</v>
      </c>
      <c r="B2669" s="108" t="s">
        <v>90</v>
      </c>
      <c r="C2669" s="108" t="s">
        <v>702</v>
      </c>
      <c r="D2669" s="112" t="s">
        <v>177</v>
      </c>
      <c r="E2669" s="112">
        <v>1380.2</v>
      </c>
      <c r="F2669" s="111" t="str">
        <f>DataPull!D2669</f>
        <v/>
      </c>
      <c r="G2669" s="94" t="str">
        <f t="shared" si="2"/>
        <v/>
      </c>
      <c r="H2669" s="94" t="str">
        <f t="shared" si="3"/>
        <v/>
      </c>
      <c r="I2669" s="94" t="str">
        <f t="shared" ref="I2669:J2669" si="2670">if(G2669 = "", , -G2669)</f>
        <v/>
      </c>
      <c r="J2669" s="94" t="str">
        <f t="shared" si="2670"/>
        <v/>
      </c>
      <c r="K2669" s="100"/>
      <c r="M2669" s="100"/>
      <c r="N2669" s="100"/>
      <c r="O2669" s="100"/>
      <c r="P2669" s="100"/>
    </row>
    <row r="2670">
      <c r="A2670" s="107">
        <v>203521.0</v>
      </c>
      <c r="B2670" s="108" t="s">
        <v>92</v>
      </c>
      <c r="C2670" s="108" t="s">
        <v>702</v>
      </c>
      <c r="D2670" s="112" t="s">
        <v>176</v>
      </c>
      <c r="E2670" s="112">
        <v>1869.6</v>
      </c>
      <c r="F2670" s="111" t="str">
        <f>DataPull!D2670</f>
        <v/>
      </c>
      <c r="G2670" s="94" t="str">
        <f t="shared" si="2"/>
        <v/>
      </c>
      <c r="H2670" s="94" t="str">
        <f t="shared" si="3"/>
        <v/>
      </c>
      <c r="I2670" s="94" t="str">
        <f t="shared" ref="I2670:J2670" si="2671">if(G2670 = "", , -G2670)</f>
        <v/>
      </c>
      <c r="J2670" s="94" t="str">
        <f t="shared" si="2671"/>
        <v/>
      </c>
      <c r="K2670" s="100"/>
      <c r="M2670" s="100"/>
      <c r="N2670" s="100"/>
      <c r="O2670" s="100"/>
      <c r="P2670" s="100"/>
    </row>
    <row r="2671">
      <c r="A2671" s="107">
        <v>203521.0</v>
      </c>
      <c r="B2671" s="108" t="s">
        <v>190</v>
      </c>
      <c r="C2671" s="108" t="s">
        <v>702</v>
      </c>
      <c r="D2671" s="112" t="s">
        <v>176</v>
      </c>
      <c r="E2671" s="112">
        <v>1983.6</v>
      </c>
      <c r="F2671" s="111" t="str">
        <f>DataPull!D2671</f>
        <v/>
      </c>
      <c r="G2671" s="94" t="str">
        <f t="shared" si="2"/>
        <v/>
      </c>
      <c r="H2671" s="94" t="str">
        <f t="shared" si="3"/>
        <v/>
      </c>
      <c r="I2671" s="94" t="str">
        <f t="shared" ref="I2671:J2671" si="2672">if(G2671 = "", , -G2671)</f>
        <v/>
      </c>
      <c r="J2671" s="94" t="str">
        <f t="shared" si="2672"/>
        <v/>
      </c>
      <c r="K2671" s="100"/>
      <c r="M2671" s="100"/>
      <c r="N2671" s="100"/>
      <c r="O2671" s="100"/>
      <c r="P2671" s="100"/>
    </row>
    <row r="2672">
      <c r="A2672" s="107">
        <v>203521.0</v>
      </c>
      <c r="B2672" s="108" t="s">
        <v>191</v>
      </c>
      <c r="C2672" s="108" t="s">
        <v>702</v>
      </c>
      <c r="D2672" s="112" t="s">
        <v>177</v>
      </c>
      <c r="E2672" s="112">
        <v>710.6</v>
      </c>
      <c r="F2672" s="111" t="str">
        <f>DataPull!D2672</f>
        <v/>
      </c>
      <c r="G2672" s="94" t="str">
        <f t="shared" si="2"/>
        <v/>
      </c>
      <c r="H2672" s="94" t="str">
        <f t="shared" si="3"/>
        <v/>
      </c>
      <c r="I2672" s="94" t="str">
        <f t="shared" ref="I2672:J2672" si="2673">if(G2672 = "", , -G2672)</f>
        <v/>
      </c>
      <c r="J2672" s="94" t="str">
        <f t="shared" si="2673"/>
        <v/>
      </c>
      <c r="K2672" s="100"/>
      <c r="L2672" s="100"/>
      <c r="N2672" s="100"/>
      <c r="O2672" s="100"/>
      <c r="P2672" s="100"/>
    </row>
    <row r="2673">
      <c r="A2673" s="107">
        <v>203521.0</v>
      </c>
      <c r="B2673" s="108" t="s">
        <v>192</v>
      </c>
      <c r="C2673" s="108" t="s">
        <v>702</v>
      </c>
      <c r="D2673" s="112" t="s">
        <v>176</v>
      </c>
      <c r="E2673" s="112">
        <v>811.2</v>
      </c>
      <c r="F2673" s="111" t="str">
        <f>DataPull!D2673</f>
        <v/>
      </c>
      <c r="G2673" s="94" t="str">
        <f t="shared" si="2"/>
        <v/>
      </c>
      <c r="H2673" s="94" t="str">
        <f t="shared" si="3"/>
        <v/>
      </c>
      <c r="I2673" s="94" t="str">
        <f t="shared" ref="I2673:J2673" si="2674">if(G2673 = "", , -G2673)</f>
        <v/>
      </c>
      <c r="J2673" s="94" t="str">
        <f t="shared" si="2674"/>
        <v/>
      </c>
      <c r="K2673" s="100"/>
      <c r="M2673" s="100"/>
      <c r="N2673" s="100"/>
      <c r="O2673" s="100"/>
      <c r="P2673" s="100"/>
    </row>
    <row r="2674">
      <c r="A2674" s="107">
        <v>203521.0</v>
      </c>
      <c r="B2674" s="108" t="s">
        <v>193</v>
      </c>
      <c r="C2674" s="108" t="s">
        <v>702</v>
      </c>
      <c r="D2674" s="112" t="s">
        <v>177</v>
      </c>
      <c r="E2674" s="112">
        <v>820.8</v>
      </c>
      <c r="F2674" s="111" t="str">
        <f>DataPull!D2674</f>
        <v/>
      </c>
      <c r="G2674" s="94" t="str">
        <f t="shared" si="2"/>
        <v/>
      </c>
      <c r="H2674" s="94" t="str">
        <f t="shared" si="3"/>
        <v/>
      </c>
      <c r="I2674" s="94" t="str">
        <f t="shared" ref="I2674:J2674" si="2675">if(G2674 = "", , -G2674)</f>
        <v/>
      </c>
      <c r="J2674" s="94" t="str">
        <f t="shared" si="2675"/>
        <v/>
      </c>
      <c r="K2674" s="100"/>
      <c r="M2674" s="100"/>
      <c r="N2674" s="100"/>
      <c r="O2674" s="100"/>
      <c r="P2674" s="100"/>
    </row>
    <row r="2675">
      <c r="A2675" s="107">
        <v>203521.0</v>
      </c>
      <c r="B2675" s="108" t="s">
        <v>243</v>
      </c>
      <c r="C2675" s="108" t="s">
        <v>702</v>
      </c>
      <c r="D2675" s="112" t="s">
        <v>187</v>
      </c>
      <c r="E2675" s="112">
        <v>223.6</v>
      </c>
      <c r="F2675" s="111" t="str">
        <f>DataPull!D2675</f>
        <v/>
      </c>
      <c r="G2675" s="94" t="str">
        <f t="shared" si="2"/>
        <v/>
      </c>
      <c r="H2675" s="94" t="str">
        <f t="shared" si="3"/>
        <v/>
      </c>
      <c r="I2675" s="94" t="str">
        <f t="shared" ref="I2675:J2675" si="2676">if(G2675 = "", , -G2675)</f>
        <v/>
      </c>
      <c r="J2675" s="94" t="str">
        <f t="shared" si="2676"/>
        <v/>
      </c>
      <c r="K2675" s="100"/>
      <c r="M2675" s="100"/>
      <c r="N2675" s="100"/>
      <c r="O2675" s="100"/>
      <c r="P2675" s="100"/>
    </row>
    <row r="2676">
      <c r="A2676" s="107">
        <v>203521.0</v>
      </c>
      <c r="B2676" s="108" t="s">
        <v>244</v>
      </c>
      <c r="C2676" s="108" t="s">
        <v>702</v>
      </c>
      <c r="D2676" s="112" t="s">
        <v>187</v>
      </c>
      <c r="E2676" s="112">
        <v>211.2</v>
      </c>
      <c r="F2676" s="111" t="str">
        <f>DataPull!D2676</f>
        <v/>
      </c>
      <c r="G2676" s="94" t="str">
        <f t="shared" si="2"/>
        <v/>
      </c>
      <c r="H2676" s="94" t="str">
        <f t="shared" si="3"/>
        <v/>
      </c>
      <c r="I2676" s="94" t="str">
        <f t="shared" ref="I2676:J2676" si="2677">if(G2676 = "", , -G2676)</f>
        <v/>
      </c>
      <c r="J2676" s="94" t="str">
        <f t="shared" si="2677"/>
        <v/>
      </c>
      <c r="K2676" s="100"/>
      <c r="M2676" s="100"/>
      <c r="N2676" s="100"/>
      <c r="O2676" s="100"/>
      <c r="P2676" s="100"/>
    </row>
    <row r="2677">
      <c r="A2677" s="107">
        <v>203524.0</v>
      </c>
      <c r="B2677" s="108" t="s">
        <v>85</v>
      </c>
      <c r="C2677" s="108" t="s">
        <v>703</v>
      </c>
      <c r="D2677" s="112" t="s">
        <v>187</v>
      </c>
      <c r="E2677" s="112">
        <v>226.8</v>
      </c>
      <c r="F2677" s="111" t="str">
        <f>DataPull!D2677</f>
        <v/>
      </c>
      <c r="G2677" s="94" t="str">
        <f t="shared" si="2"/>
        <v/>
      </c>
      <c r="H2677" s="94" t="str">
        <f t="shared" si="3"/>
        <v/>
      </c>
      <c r="I2677" s="94" t="str">
        <f t="shared" ref="I2677:J2677" si="2678">if(G2677 = "", , -G2677)</f>
        <v/>
      </c>
      <c r="J2677" s="94" t="str">
        <f t="shared" si="2678"/>
        <v/>
      </c>
      <c r="K2677" s="100"/>
      <c r="N2677" s="100"/>
    </row>
    <row r="2678">
      <c r="A2678" s="107">
        <v>203524.0</v>
      </c>
      <c r="B2678" s="108" t="s">
        <v>90</v>
      </c>
      <c r="C2678" s="108" t="s">
        <v>703</v>
      </c>
      <c r="D2678" s="112" t="s">
        <v>178</v>
      </c>
      <c r="E2678" s="112">
        <v>2378.0</v>
      </c>
      <c r="F2678" s="111" t="str">
        <f>DataPull!D2678</f>
        <v/>
      </c>
      <c r="G2678" s="94" t="str">
        <f t="shared" si="2"/>
        <v/>
      </c>
      <c r="H2678" s="94" t="str">
        <f t="shared" si="3"/>
        <v/>
      </c>
      <c r="I2678" s="94" t="str">
        <f t="shared" ref="I2678:J2678" si="2679">if(G2678 = "", , -G2678)</f>
        <v/>
      </c>
      <c r="J2678" s="94" t="str">
        <f t="shared" si="2679"/>
        <v/>
      </c>
      <c r="K2678" s="100"/>
      <c r="M2678" s="100"/>
      <c r="N2678" s="100"/>
      <c r="O2678" s="100"/>
      <c r="P2678" s="100"/>
    </row>
    <row r="2679">
      <c r="A2679" s="107">
        <v>203524.0</v>
      </c>
      <c r="B2679" s="108" t="s">
        <v>92</v>
      </c>
      <c r="C2679" s="108" t="s">
        <v>703</v>
      </c>
      <c r="D2679" s="112" t="s">
        <v>177</v>
      </c>
      <c r="E2679" s="112">
        <v>867.3</v>
      </c>
      <c r="F2679" s="111" t="str">
        <f>DataPull!D2679</f>
        <v/>
      </c>
      <c r="G2679" s="94" t="str">
        <f t="shared" si="2"/>
        <v/>
      </c>
      <c r="H2679" s="94" t="str">
        <f t="shared" si="3"/>
        <v/>
      </c>
      <c r="I2679" s="94" t="str">
        <f t="shared" ref="I2679:J2679" si="2680">if(G2679 = "", , -G2679)</f>
        <v/>
      </c>
      <c r="J2679" s="94" t="str">
        <f t="shared" si="2680"/>
        <v/>
      </c>
      <c r="K2679" s="100"/>
      <c r="M2679" s="100"/>
      <c r="N2679" s="100"/>
      <c r="O2679" s="100"/>
      <c r="P2679" s="100"/>
    </row>
    <row r="2680">
      <c r="A2680" s="107">
        <v>203524.0</v>
      </c>
      <c r="B2680" s="108" t="s">
        <v>190</v>
      </c>
      <c r="C2680" s="108" t="s">
        <v>703</v>
      </c>
      <c r="D2680" s="112" t="s">
        <v>178</v>
      </c>
      <c r="E2680" s="112">
        <v>2376.0</v>
      </c>
      <c r="F2680" s="111" t="str">
        <f>DataPull!D2680</f>
        <v/>
      </c>
      <c r="G2680" s="94" t="str">
        <f t="shared" si="2"/>
        <v/>
      </c>
      <c r="H2680" s="94" t="str">
        <f t="shared" si="3"/>
        <v/>
      </c>
      <c r="I2680" s="94" t="str">
        <f t="shared" ref="I2680:J2680" si="2681">if(G2680 = "", , -G2680)</f>
        <v/>
      </c>
      <c r="J2680" s="94" t="str">
        <f t="shared" si="2681"/>
        <v/>
      </c>
      <c r="K2680" s="100"/>
      <c r="M2680" s="100"/>
      <c r="N2680" s="100"/>
      <c r="O2680" s="100"/>
      <c r="P2680" s="100"/>
    </row>
    <row r="2681">
      <c r="A2681" s="107">
        <v>203524.0</v>
      </c>
      <c r="B2681" s="108" t="s">
        <v>191</v>
      </c>
      <c r="C2681" s="108" t="s">
        <v>703</v>
      </c>
      <c r="D2681" s="112" t="s">
        <v>187</v>
      </c>
      <c r="E2681" s="112">
        <v>187.2</v>
      </c>
      <c r="F2681" s="111" t="str">
        <f>DataPull!D2681</f>
        <v/>
      </c>
      <c r="G2681" s="94" t="str">
        <f t="shared" si="2"/>
        <v/>
      </c>
      <c r="H2681" s="94" t="str">
        <f t="shared" si="3"/>
        <v/>
      </c>
      <c r="I2681" s="94" t="str">
        <f t="shared" ref="I2681:J2681" si="2682">if(G2681 = "", , -G2681)</f>
        <v/>
      </c>
      <c r="J2681" s="94" t="str">
        <f t="shared" si="2682"/>
        <v/>
      </c>
      <c r="K2681" s="100"/>
      <c r="M2681" s="100"/>
      <c r="N2681" s="100"/>
      <c r="O2681" s="100"/>
      <c r="P2681" s="100"/>
    </row>
    <row r="2682">
      <c r="A2682" s="107">
        <v>203524.0</v>
      </c>
      <c r="B2682" s="108" t="s">
        <v>192</v>
      </c>
      <c r="C2682" s="108" t="s">
        <v>703</v>
      </c>
      <c r="D2682" s="112" t="s">
        <v>177</v>
      </c>
      <c r="E2682" s="112">
        <v>880.0</v>
      </c>
      <c r="F2682" s="111" t="str">
        <f>DataPull!D2682</f>
        <v/>
      </c>
      <c r="G2682" s="94" t="str">
        <f t="shared" si="2"/>
        <v/>
      </c>
      <c r="H2682" s="94" t="str">
        <f t="shared" si="3"/>
        <v/>
      </c>
      <c r="I2682" s="94" t="str">
        <f t="shared" ref="I2682:J2682" si="2683">if(G2682 = "", , -G2682)</f>
        <v/>
      </c>
      <c r="J2682" s="94" t="str">
        <f t="shared" si="2683"/>
        <v/>
      </c>
      <c r="K2682" s="100"/>
      <c r="M2682" s="100"/>
      <c r="N2682" s="100"/>
      <c r="O2682" s="100"/>
      <c r="P2682" s="100"/>
    </row>
    <row r="2683">
      <c r="A2683" s="107">
        <v>203524.0</v>
      </c>
      <c r="B2683" s="108" t="s">
        <v>193</v>
      </c>
      <c r="C2683" s="108" t="s">
        <v>703</v>
      </c>
      <c r="D2683" s="112" t="s">
        <v>176</v>
      </c>
      <c r="E2683" s="112">
        <v>1085.6</v>
      </c>
      <c r="F2683" s="111" t="str">
        <f>DataPull!D2683</f>
        <v/>
      </c>
      <c r="G2683" s="94" t="str">
        <f t="shared" si="2"/>
        <v/>
      </c>
      <c r="H2683" s="94" t="str">
        <f t="shared" si="3"/>
        <v/>
      </c>
      <c r="I2683" s="94" t="str">
        <f t="shared" ref="I2683:J2683" si="2684">if(G2683 = "", , -G2683)</f>
        <v/>
      </c>
      <c r="J2683" s="94" t="str">
        <f t="shared" si="2684"/>
        <v/>
      </c>
      <c r="K2683" s="100"/>
      <c r="M2683" s="100"/>
      <c r="N2683" s="100"/>
      <c r="O2683" s="100"/>
      <c r="P2683" s="100"/>
    </row>
    <row r="2684">
      <c r="A2684" s="107">
        <v>203524.0</v>
      </c>
      <c r="B2684" s="108" t="s">
        <v>243</v>
      </c>
      <c r="C2684" s="108" t="s">
        <v>703</v>
      </c>
      <c r="D2684" s="112" t="s">
        <v>176</v>
      </c>
      <c r="E2684" s="112">
        <v>1512.3</v>
      </c>
      <c r="F2684" s="111" t="str">
        <f>DataPull!D2684</f>
        <v/>
      </c>
      <c r="G2684" s="94" t="str">
        <f t="shared" si="2"/>
        <v/>
      </c>
      <c r="H2684" s="94" t="str">
        <f t="shared" si="3"/>
        <v/>
      </c>
      <c r="I2684" s="94" t="str">
        <f t="shared" ref="I2684:J2684" si="2685">if(G2684 = "", , -G2684)</f>
        <v/>
      </c>
      <c r="J2684" s="94" t="str">
        <f t="shared" si="2685"/>
        <v/>
      </c>
      <c r="K2684" s="100"/>
      <c r="M2684" s="100"/>
      <c r="N2684" s="100"/>
      <c r="O2684" s="100"/>
      <c r="P2684" s="100"/>
    </row>
    <row r="2685">
      <c r="A2685" s="107">
        <v>203524.0</v>
      </c>
      <c r="B2685" s="108" t="s">
        <v>215</v>
      </c>
      <c r="C2685" s="108" t="s">
        <v>703</v>
      </c>
      <c r="D2685" s="112" t="s">
        <v>187</v>
      </c>
      <c r="E2685" s="112">
        <v>139.1</v>
      </c>
      <c r="F2685" s="111" t="str">
        <f>DataPull!D2685</f>
        <v/>
      </c>
      <c r="G2685" s="94" t="str">
        <f t="shared" si="2"/>
        <v/>
      </c>
      <c r="H2685" s="94" t="str">
        <f t="shared" si="3"/>
        <v/>
      </c>
      <c r="I2685" s="94" t="str">
        <f t="shared" ref="I2685:J2685" si="2686">if(G2685 = "", , -G2685)</f>
        <v/>
      </c>
      <c r="J2685" s="94" t="str">
        <f t="shared" si="2686"/>
        <v/>
      </c>
      <c r="K2685" s="100"/>
      <c r="M2685" s="100"/>
      <c r="N2685" s="100"/>
      <c r="O2685" s="100"/>
      <c r="P2685" s="100"/>
    </row>
    <row r="2686">
      <c r="A2686" s="107">
        <v>203526.0</v>
      </c>
      <c r="B2686" s="108" t="s">
        <v>92</v>
      </c>
      <c r="C2686" s="108" t="s">
        <v>704</v>
      </c>
      <c r="D2686" s="112" t="s">
        <v>177</v>
      </c>
      <c r="E2686" s="112">
        <v>1498.5</v>
      </c>
      <c r="F2686" s="111" t="str">
        <f>DataPull!D2686</f>
        <v/>
      </c>
      <c r="G2686" s="94" t="str">
        <f t="shared" si="2"/>
        <v/>
      </c>
      <c r="H2686" s="94" t="str">
        <f t="shared" si="3"/>
        <v/>
      </c>
      <c r="I2686" s="94" t="str">
        <f t="shared" ref="I2686:J2686" si="2687">if(G2686 = "", , -G2686)</f>
        <v/>
      </c>
      <c r="J2686" s="94" t="str">
        <f t="shared" si="2687"/>
        <v/>
      </c>
      <c r="K2686" s="100"/>
      <c r="M2686" s="100"/>
      <c r="N2686" s="100"/>
      <c r="O2686" s="100"/>
      <c r="P2686" s="100"/>
    </row>
    <row r="2687">
      <c r="A2687" s="107">
        <v>203526.0</v>
      </c>
      <c r="B2687" s="108" t="s">
        <v>190</v>
      </c>
      <c r="C2687" s="108" t="s">
        <v>704</v>
      </c>
      <c r="D2687" s="112" t="s">
        <v>187</v>
      </c>
      <c r="E2687" s="112">
        <v>344.0</v>
      </c>
      <c r="F2687" s="111" t="str">
        <f>DataPull!D2687</f>
        <v/>
      </c>
      <c r="G2687" s="94" t="str">
        <f t="shared" si="2"/>
        <v/>
      </c>
      <c r="H2687" s="94" t="str">
        <f t="shared" si="3"/>
        <v/>
      </c>
      <c r="I2687" s="94" t="str">
        <f t="shared" ref="I2687:J2687" si="2688">if(G2687 = "", , -G2687)</f>
        <v/>
      </c>
      <c r="J2687" s="94" t="str">
        <f t="shared" si="2688"/>
        <v/>
      </c>
      <c r="K2687" s="100"/>
      <c r="M2687" s="100"/>
      <c r="N2687" s="100"/>
      <c r="O2687" s="100"/>
      <c r="P2687" s="100"/>
    </row>
    <row r="2688">
      <c r="A2688" s="107">
        <v>203526.0</v>
      </c>
      <c r="B2688" s="108" t="s">
        <v>191</v>
      </c>
      <c r="C2688" s="108" t="s">
        <v>704</v>
      </c>
      <c r="D2688" s="112" t="s">
        <v>187</v>
      </c>
      <c r="E2688" s="112">
        <v>500.2</v>
      </c>
      <c r="F2688" s="111" t="str">
        <f>DataPull!D2688</f>
        <v/>
      </c>
      <c r="G2688" s="94" t="str">
        <f t="shared" si="2"/>
        <v/>
      </c>
      <c r="H2688" s="94" t="str">
        <f t="shared" si="3"/>
        <v/>
      </c>
      <c r="I2688" s="94" t="str">
        <f t="shared" ref="I2688:J2688" si="2689">if(G2688 = "", , -G2688)</f>
        <v/>
      </c>
      <c r="J2688" s="94" t="str">
        <f t="shared" si="2689"/>
        <v/>
      </c>
      <c r="K2688" s="100"/>
      <c r="M2688" s="100"/>
      <c r="N2688" s="100"/>
      <c r="O2688" s="100"/>
      <c r="P2688" s="100"/>
    </row>
    <row r="2689">
      <c r="A2689" s="107">
        <v>203526.0</v>
      </c>
      <c r="B2689" s="108" t="s">
        <v>192</v>
      </c>
      <c r="C2689" s="108" t="s">
        <v>704</v>
      </c>
      <c r="D2689" s="112" t="s">
        <v>177</v>
      </c>
      <c r="E2689" s="112">
        <v>473.6</v>
      </c>
      <c r="F2689" s="111" t="str">
        <f>DataPull!D2689</f>
        <v/>
      </c>
      <c r="G2689" s="94" t="str">
        <f t="shared" si="2"/>
        <v/>
      </c>
      <c r="H2689" s="94" t="str">
        <f t="shared" si="3"/>
        <v/>
      </c>
      <c r="I2689" s="94" t="str">
        <f t="shared" ref="I2689:J2689" si="2690">if(G2689 = "", , -G2689)</f>
        <v/>
      </c>
      <c r="J2689" s="94" t="str">
        <f t="shared" si="2690"/>
        <v/>
      </c>
      <c r="K2689" s="100"/>
      <c r="M2689" s="100"/>
      <c r="N2689" s="100"/>
      <c r="O2689" s="100"/>
      <c r="P2689" s="100"/>
    </row>
    <row r="2690">
      <c r="A2690" s="107">
        <v>203526.0</v>
      </c>
      <c r="B2690" s="108" t="s">
        <v>193</v>
      </c>
      <c r="C2690" s="108" t="s">
        <v>704</v>
      </c>
      <c r="D2690" s="112" t="s">
        <v>177</v>
      </c>
      <c r="E2690" s="112">
        <v>669.6</v>
      </c>
      <c r="F2690" s="111" t="str">
        <f>DataPull!D2690</f>
        <v/>
      </c>
      <c r="G2690" s="94" t="str">
        <f t="shared" si="2"/>
        <v/>
      </c>
      <c r="H2690" s="94" t="str">
        <f t="shared" si="3"/>
        <v/>
      </c>
      <c r="I2690" s="94" t="str">
        <f t="shared" ref="I2690:J2690" si="2691">if(G2690 = "", , -G2690)</f>
        <v/>
      </c>
      <c r="J2690" s="94" t="str">
        <f t="shared" si="2691"/>
        <v/>
      </c>
      <c r="K2690" s="100"/>
      <c r="M2690" s="100"/>
      <c r="N2690" s="100"/>
      <c r="O2690" s="100"/>
      <c r="P2690" s="100"/>
    </row>
    <row r="2691">
      <c r="A2691" s="107">
        <v>203526.0</v>
      </c>
      <c r="B2691" s="108" t="s">
        <v>243</v>
      </c>
      <c r="C2691" s="108" t="s">
        <v>704</v>
      </c>
      <c r="D2691" s="112" t="s">
        <v>176</v>
      </c>
      <c r="E2691" s="112">
        <v>1401.6</v>
      </c>
      <c r="F2691" s="111" t="str">
        <f>DataPull!D2691</f>
        <v/>
      </c>
      <c r="G2691" s="94" t="str">
        <f t="shared" si="2"/>
        <v/>
      </c>
      <c r="H2691" s="94" t="str">
        <f t="shared" si="3"/>
        <v/>
      </c>
      <c r="I2691" s="94" t="str">
        <f t="shared" ref="I2691:J2691" si="2692">if(G2691 = "", , -G2691)</f>
        <v/>
      </c>
      <c r="J2691" s="94" t="str">
        <f t="shared" si="2692"/>
        <v/>
      </c>
      <c r="K2691" s="100"/>
      <c r="L2691" s="100"/>
      <c r="N2691" s="100"/>
      <c r="O2691" s="100"/>
    </row>
    <row r="2692">
      <c r="A2692" s="107">
        <v>203526.0</v>
      </c>
      <c r="B2692" s="108" t="s">
        <v>215</v>
      </c>
      <c r="C2692" s="108" t="s">
        <v>704</v>
      </c>
      <c r="D2692" s="112" t="s">
        <v>177</v>
      </c>
      <c r="E2692" s="112">
        <v>1372.0</v>
      </c>
      <c r="F2692" s="111" t="str">
        <f>DataPull!D2692</f>
        <v/>
      </c>
      <c r="G2692" s="94" t="str">
        <f t="shared" si="2"/>
        <v/>
      </c>
      <c r="H2692" s="94" t="str">
        <f t="shared" si="3"/>
        <v/>
      </c>
      <c r="I2692" s="94" t="str">
        <f t="shared" ref="I2692:J2692" si="2693">if(G2692 = "", , -G2692)</f>
        <v/>
      </c>
      <c r="J2692" s="94" t="str">
        <f t="shared" si="2693"/>
        <v/>
      </c>
      <c r="K2692" s="100"/>
      <c r="M2692" s="100"/>
      <c r="N2692" s="100"/>
      <c r="O2692" s="100"/>
      <c r="P2692" s="100"/>
    </row>
    <row r="2693">
      <c r="A2693" s="107">
        <v>203526.0</v>
      </c>
      <c r="B2693" s="108" t="s">
        <v>244</v>
      </c>
      <c r="C2693" s="108" t="s">
        <v>704</v>
      </c>
      <c r="D2693" s="112" t="s">
        <v>187</v>
      </c>
      <c r="E2693" s="112">
        <v>504.0</v>
      </c>
      <c r="F2693" s="111" t="str">
        <f>DataPull!D2693</f>
        <v/>
      </c>
      <c r="G2693" s="94" t="str">
        <f t="shared" si="2"/>
        <v/>
      </c>
      <c r="H2693" s="94" t="str">
        <f t="shared" si="3"/>
        <v/>
      </c>
      <c r="I2693" s="94" t="str">
        <f t="shared" ref="I2693:J2693" si="2694">if(G2693 = "", , -G2693)</f>
        <v/>
      </c>
      <c r="J2693" s="94" t="str">
        <f t="shared" si="2694"/>
        <v/>
      </c>
      <c r="K2693" s="100"/>
      <c r="M2693" s="100"/>
      <c r="N2693" s="100"/>
      <c r="O2693" s="100"/>
      <c r="P2693" s="100"/>
    </row>
    <row r="2694">
      <c r="A2694" s="107">
        <v>203527.0</v>
      </c>
      <c r="B2694" s="108" t="s">
        <v>85</v>
      </c>
      <c r="C2694" s="108" t="s">
        <v>705</v>
      </c>
      <c r="D2694" s="112" t="s">
        <v>177</v>
      </c>
      <c r="E2694" s="112">
        <v>1309.8</v>
      </c>
      <c r="F2694" s="111" t="str">
        <f>DataPull!D2694</f>
        <v/>
      </c>
      <c r="G2694" s="94" t="str">
        <f t="shared" si="2"/>
        <v/>
      </c>
      <c r="H2694" s="94" t="str">
        <f t="shared" si="3"/>
        <v/>
      </c>
      <c r="I2694" s="94" t="str">
        <f t="shared" ref="I2694:J2694" si="2695">if(G2694 = "", , -G2694)</f>
        <v/>
      </c>
      <c r="J2694" s="94" t="str">
        <f t="shared" si="2695"/>
        <v/>
      </c>
      <c r="K2694" s="100"/>
      <c r="M2694" s="100"/>
      <c r="N2694" s="100"/>
      <c r="O2694" s="100"/>
      <c r="P2694" s="100"/>
    </row>
    <row r="2695">
      <c r="A2695" s="107">
        <v>203527.0</v>
      </c>
      <c r="B2695" s="108" t="s">
        <v>90</v>
      </c>
      <c r="C2695" s="108" t="s">
        <v>705</v>
      </c>
      <c r="D2695" s="112" t="s">
        <v>176</v>
      </c>
      <c r="E2695" s="112">
        <v>1232.4</v>
      </c>
      <c r="F2695" s="111" t="str">
        <f>DataPull!D2695</f>
        <v/>
      </c>
      <c r="G2695" s="94" t="str">
        <f t="shared" si="2"/>
        <v/>
      </c>
      <c r="H2695" s="94" t="str">
        <f t="shared" si="3"/>
        <v/>
      </c>
      <c r="I2695" s="94" t="str">
        <f t="shared" ref="I2695:J2695" si="2696">if(G2695 = "", , -G2695)</f>
        <v/>
      </c>
      <c r="J2695" s="94" t="str">
        <f t="shared" si="2696"/>
        <v/>
      </c>
      <c r="K2695" s="100"/>
      <c r="M2695" s="100"/>
      <c r="N2695" s="100"/>
      <c r="O2695" s="100"/>
      <c r="P2695" s="100"/>
    </row>
    <row r="2696">
      <c r="A2696" s="107">
        <v>203527.0</v>
      </c>
      <c r="B2696" s="108" t="s">
        <v>92</v>
      </c>
      <c r="C2696" s="108" t="s">
        <v>705</v>
      </c>
      <c r="D2696" s="112" t="s">
        <v>177</v>
      </c>
      <c r="E2696" s="112">
        <v>471.6</v>
      </c>
      <c r="F2696" s="111" t="str">
        <f>DataPull!D2696</f>
        <v/>
      </c>
      <c r="G2696" s="94" t="str">
        <f t="shared" si="2"/>
        <v/>
      </c>
      <c r="H2696" s="94" t="str">
        <f t="shared" si="3"/>
        <v/>
      </c>
      <c r="I2696" s="94" t="str">
        <f t="shared" ref="I2696:J2696" si="2697">if(G2696 = "", , -G2696)</f>
        <v/>
      </c>
      <c r="J2696" s="94" t="str">
        <f t="shared" si="2697"/>
        <v/>
      </c>
      <c r="K2696" s="100"/>
      <c r="M2696" s="100"/>
      <c r="N2696" s="100"/>
      <c r="O2696" s="100"/>
      <c r="P2696" s="100"/>
    </row>
    <row r="2697">
      <c r="A2697" s="107">
        <v>203527.0</v>
      </c>
      <c r="B2697" s="108" t="s">
        <v>190</v>
      </c>
      <c r="C2697" s="108" t="s">
        <v>705</v>
      </c>
      <c r="D2697" s="112" t="s">
        <v>187</v>
      </c>
      <c r="E2697" s="112">
        <v>110.4</v>
      </c>
      <c r="F2697" s="111" t="str">
        <f>DataPull!D2697</f>
        <v/>
      </c>
      <c r="G2697" s="94" t="str">
        <f t="shared" si="2"/>
        <v/>
      </c>
      <c r="H2697" s="94" t="str">
        <f t="shared" si="3"/>
        <v/>
      </c>
      <c r="I2697" s="94" t="str">
        <f t="shared" ref="I2697:J2697" si="2698">if(G2697 = "", , -G2697)</f>
        <v/>
      </c>
      <c r="J2697" s="94" t="str">
        <f t="shared" si="2698"/>
        <v/>
      </c>
      <c r="K2697" s="100"/>
      <c r="L2697" s="100"/>
      <c r="N2697" s="100"/>
      <c r="O2697" s="100"/>
      <c r="P2697" s="100"/>
    </row>
    <row r="2698">
      <c r="A2698" s="107">
        <v>203530.0</v>
      </c>
      <c r="B2698" s="108" t="s">
        <v>90</v>
      </c>
      <c r="C2698" s="108" t="s">
        <v>706</v>
      </c>
      <c r="D2698" s="112" t="s">
        <v>187</v>
      </c>
      <c r="E2698" s="112">
        <v>268.8</v>
      </c>
      <c r="F2698" s="111" t="str">
        <f>DataPull!D2698</f>
        <v/>
      </c>
      <c r="G2698" s="94" t="str">
        <f t="shared" si="2"/>
        <v/>
      </c>
      <c r="H2698" s="94" t="str">
        <f t="shared" si="3"/>
        <v/>
      </c>
      <c r="I2698" s="94" t="str">
        <f t="shared" ref="I2698:J2698" si="2699">if(G2698 = "", , -G2698)</f>
        <v/>
      </c>
      <c r="J2698" s="94" t="str">
        <f t="shared" si="2699"/>
        <v/>
      </c>
      <c r="K2698" s="100"/>
      <c r="M2698" s="100"/>
      <c r="N2698" s="100"/>
      <c r="O2698" s="100"/>
      <c r="P2698" s="100"/>
    </row>
    <row r="2699">
      <c r="A2699" s="107">
        <v>203530.0</v>
      </c>
      <c r="B2699" s="108" t="s">
        <v>92</v>
      </c>
      <c r="C2699" s="108" t="s">
        <v>706</v>
      </c>
      <c r="D2699" s="112" t="s">
        <v>177</v>
      </c>
      <c r="E2699" s="112">
        <v>1038.4</v>
      </c>
      <c r="F2699" s="111" t="str">
        <f>DataPull!D2699</f>
        <v/>
      </c>
      <c r="G2699" s="94" t="str">
        <f t="shared" si="2"/>
        <v/>
      </c>
      <c r="H2699" s="94" t="str">
        <f t="shared" si="3"/>
        <v/>
      </c>
      <c r="I2699" s="94" t="str">
        <f t="shared" ref="I2699:J2699" si="2700">if(G2699 = "", , -G2699)</f>
        <v/>
      </c>
      <c r="J2699" s="94" t="str">
        <f t="shared" si="2700"/>
        <v/>
      </c>
      <c r="K2699" s="100"/>
      <c r="M2699" s="100"/>
      <c r="N2699" s="100"/>
      <c r="O2699" s="100"/>
      <c r="P2699" s="100"/>
    </row>
    <row r="2700">
      <c r="A2700" s="107">
        <v>203530.0</v>
      </c>
      <c r="B2700" s="108" t="s">
        <v>190</v>
      </c>
      <c r="C2700" s="108" t="s">
        <v>706</v>
      </c>
      <c r="D2700" s="112" t="s">
        <v>177</v>
      </c>
      <c r="E2700" s="112">
        <v>980.0</v>
      </c>
      <c r="F2700" s="111" t="str">
        <f>DataPull!D2700</f>
        <v/>
      </c>
      <c r="G2700" s="94" t="str">
        <f t="shared" si="2"/>
        <v/>
      </c>
      <c r="H2700" s="94" t="str">
        <f t="shared" si="3"/>
        <v/>
      </c>
      <c r="I2700" s="94" t="str">
        <f t="shared" ref="I2700:J2700" si="2701">if(G2700 = "", , -G2700)</f>
        <v/>
      </c>
      <c r="J2700" s="94" t="str">
        <f t="shared" si="2701"/>
        <v/>
      </c>
      <c r="K2700" s="100"/>
      <c r="M2700" s="100"/>
      <c r="N2700" s="100"/>
      <c r="O2700" s="100"/>
      <c r="P2700" s="100"/>
    </row>
    <row r="2701">
      <c r="A2701" s="107">
        <v>203530.0</v>
      </c>
      <c r="B2701" s="108" t="s">
        <v>191</v>
      </c>
      <c r="C2701" s="108" t="s">
        <v>706</v>
      </c>
      <c r="D2701" s="112" t="s">
        <v>187</v>
      </c>
      <c r="E2701" s="112">
        <v>533.5</v>
      </c>
      <c r="F2701" s="111" t="str">
        <f>DataPull!D2701</f>
        <v/>
      </c>
      <c r="G2701" s="94" t="str">
        <f t="shared" si="2"/>
        <v/>
      </c>
      <c r="H2701" s="94" t="str">
        <f t="shared" si="3"/>
        <v/>
      </c>
      <c r="I2701" s="94" t="str">
        <f t="shared" ref="I2701:J2701" si="2702">if(G2701 = "", , -G2701)</f>
        <v/>
      </c>
      <c r="J2701" s="94" t="str">
        <f t="shared" si="2702"/>
        <v/>
      </c>
      <c r="K2701" s="100"/>
      <c r="M2701" s="100"/>
      <c r="N2701" s="100"/>
      <c r="O2701" s="100"/>
      <c r="P2701" s="100"/>
    </row>
    <row r="2702">
      <c r="A2702" s="107">
        <v>203539.0</v>
      </c>
      <c r="B2702" s="108" t="s">
        <v>85</v>
      </c>
      <c r="C2702" s="108" t="s">
        <v>707</v>
      </c>
      <c r="D2702" s="112" t="s">
        <v>187</v>
      </c>
      <c r="E2702" s="112">
        <v>291.4</v>
      </c>
      <c r="F2702" s="111" t="str">
        <f>DataPull!D2702</f>
        <v/>
      </c>
      <c r="G2702" s="94" t="str">
        <f t="shared" si="2"/>
        <v/>
      </c>
      <c r="H2702" s="94" t="str">
        <f t="shared" si="3"/>
        <v/>
      </c>
      <c r="I2702" s="94" t="str">
        <f t="shared" ref="I2702:J2702" si="2703">if(G2702 = "", , -G2702)</f>
        <v/>
      </c>
      <c r="J2702" s="94" t="str">
        <f t="shared" si="2703"/>
        <v/>
      </c>
      <c r="K2702" s="100"/>
      <c r="M2702" s="100"/>
      <c r="N2702" s="100"/>
      <c r="O2702" s="100"/>
      <c r="P2702" s="100"/>
    </row>
    <row r="2703">
      <c r="A2703" s="107">
        <v>203539.0</v>
      </c>
      <c r="B2703" s="108" t="s">
        <v>90</v>
      </c>
      <c r="C2703" s="108" t="s">
        <v>707</v>
      </c>
      <c r="D2703" s="112" t="s">
        <v>181</v>
      </c>
      <c r="E2703" s="112">
        <v>43.6</v>
      </c>
      <c r="F2703" s="111" t="str">
        <f>DataPull!D2703</f>
        <v/>
      </c>
      <c r="G2703" s="94" t="str">
        <f t="shared" si="2"/>
        <v/>
      </c>
      <c r="H2703" s="94" t="str">
        <f t="shared" si="3"/>
        <v/>
      </c>
      <c r="I2703" s="94" t="str">
        <f t="shared" ref="I2703:J2703" si="2704">if(G2703 = "", , -G2703)</f>
        <v/>
      </c>
      <c r="J2703" s="94" t="str">
        <f t="shared" si="2704"/>
        <v/>
      </c>
      <c r="K2703" s="100"/>
      <c r="L2703" s="100"/>
      <c r="M2703" s="100"/>
      <c r="N2703" s="100"/>
      <c r="O2703" s="100"/>
      <c r="P2703" s="100"/>
    </row>
    <row r="2704">
      <c r="A2704" s="107">
        <v>203540.0</v>
      </c>
      <c r="B2704" s="108" t="s">
        <v>85</v>
      </c>
      <c r="C2704" s="108" t="s">
        <v>708</v>
      </c>
      <c r="D2704" s="112" t="s">
        <v>187</v>
      </c>
      <c r="E2704" s="112">
        <v>238.0</v>
      </c>
      <c r="F2704" s="111" t="str">
        <f>DataPull!D2704</f>
        <v/>
      </c>
      <c r="G2704" s="94" t="str">
        <f t="shared" si="2"/>
        <v/>
      </c>
      <c r="H2704" s="94" t="str">
        <f t="shared" si="3"/>
        <v/>
      </c>
      <c r="I2704" s="94" t="str">
        <f t="shared" ref="I2704:J2704" si="2705">if(G2704 = "", , -G2704)</f>
        <v/>
      </c>
      <c r="J2704" s="94" t="str">
        <f t="shared" si="2705"/>
        <v/>
      </c>
      <c r="K2704" s="100"/>
      <c r="L2704" s="100"/>
      <c r="M2704" s="100"/>
      <c r="N2704" s="100"/>
      <c r="O2704" s="100"/>
      <c r="P2704" s="100"/>
    </row>
    <row r="2705">
      <c r="A2705" s="107">
        <v>203540.0</v>
      </c>
      <c r="B2705" s="108" t="s">
        <v>90</v>
      </c>
      <c r="C2705" s="108" t="s">
        <v>708</v>
      </c>
      <c r="D2705" s="112" t="s">
        <v>187</v>
      </c>
      <c r="E2705" s="112">
        <v>210.0</v>
      </c>
      <c r="F2705" s="111" t="str">
        <f>DataPull!D2705</f>
        <v/>
      </c>
      <c r="G2705" s="94" t="str">
        <f t="shared" si="2"/>
        <v/>
      </c>
      <c r="H2705" s="94" t="str">
        <f t="shared" si="3"/>
        <v/>
      </c>
      <c r="I2705" s="94" t="str">
        <f t="shared" ref="I2705:J2705" si="2706">if(G2705 = "", , -G2705)</f>
        <v/>
      </c>
      <c r="J2705" s="94" t="str">
        <f t="shared" si="2706"/>
        <v/>
      </c>
      <c r="K2705" s="100"/>
      <c r="M2705" s="100"/>
      <c r="N2705" s="100"/>
      <c r="O2705" s="100"/>
      <c r="P2705" s="100"/>
    </row>
    <row r="2706">
      <c r="A2706" s="107">
        <v>203543.0</v>
      </c>
      <c r="B2706" s="108" t="s">
        <v>85</v>
      </c>
      <c r="C2706" s="108" t="s">
        <v>709</v>
      </c>
      <c r="D2706" s="112" t="s">
        <v>177</v>
      </c>
      <c r="E2706" s="112">
        <v>488.4</v>
      </c>
      <c r="F2706" s="111" t="str">
        <f>DataPull!D2706</f>
        <v/>
      </c>
      <c r="G2706" s="94" t="str">
        <f t="shared" si="2"/>
        <v/>
      </c>
      <c r="H2706" s="94" t="str">
        <f t="shared" si="3"/>
        <v/>
      </c>
      <c r="I2706" s="94" t="str">
        <f t="shared" ref="I2706:J2706" si="2707">if(G2706 = "", , -G2706)</f>
        <v/>
      </c>
      <c r="J2706" s="94" t="str">
        <f t="shared" si="2707"/>
        <v/>
      </c>
      <c r="K2706" s="100"/>
      <c r="M2706" s="100"/>
      <c r="N2706" s="100"/>
      <c r="O2706" s="100"/>
      <c r="P2706" s="100"/>
    </row>
    <row r="2707">
      <c r="A2707" s="107">
        <v>203544.0</v>
      </c>
      <c r="B2707" s="108" t="s">
        <v>85</v>
      </c>
      <c r="C2707" s="108" t="s">
        <v>710</v>
      </c>
      <c r="D2707" s="112" t="s">
        <v>177</v>
      </c>
      <c r="E2707" s="112">
        <v>925.0</v>
      </c>
      <c r="F2707" s="111" t="str">
        <f>DataPull!D2707</f>
        <v/>
      </c>
      <c r="G2707" s="94" t="str">
        <f t="shared" si="2"/>
        <v/>
      </c>
      <c r="H2707" s="94" t="str">
        <f t="shared" si="3"/>
        <v/>
      </c>
      <c r="I2707" s="94" t="str">
        <f t="shared" ref="I2707:J2707" si="2708">if(G2707 = "", , -G2707)</f>
        <v/>
      </c>
      <c r="J2707" s="94" t="str">
        <f t="shared" si="2708"/>
        <v/>
      </c>
      <c r="K2707" s="100"/>
      <c r="M2707" s="100"/>
      <c r="N2707" s="100"/>
      <c r="O2707" s="100"/>
      <c r="P2707" s="100"/>
    </row>
    <row r="2708">
      <c r="A2708" s="107">
        <v>203544.0</v>
      </c>
      <c r="B2708" s="108" t="s">
        <v>90</v>
      </c>
      <c r="C2708" s="108" t="s">
        <v>710</v>
      </c>
      <c r="D2708" s="112" t="s">
        <v>177</v>
      </c>
      <c r="E2708" s="112">
        <v>1039.5</v>
      </c>
      <c r="F2708" s="111" t="str">
        <f>DataPull!D2708</f>
        <v/>
      </c>
      <c r="G2708" s="94" t="str">
        <f t="shared" si="2"/>
        <v/>
      </c>
      <c r="H2708" s="94" t="str">
        <f t="shared" si="3"/>
        <v/>
      </c>
      <c r="I2708" s="94" t="str">
        <f t="shared" ref="I2708:J2708" si="2709">if(G2708 = "", , -G2708)</f>
        <v/>
      </c>
      <c r="J2708" s="94" t="str">
        <f t="shared" si="2709"/>
        <v/>
      </c>
      <c r="K2708" s="100"/>
      <c r="M2708" s="100"/>
      <c r="N2708" s="100"/>
      <c r="O2708" s="100"/>
      <c r="P2708" s="100"/>
    </row>
    <row r="2709">
      <c r="A2709" s="107">
        <v>203545.0</v>
      </c>
      <c r="B2709" s="108" t="s">
        <v>85</v>
      </c>
      <c r="C2709" s="108" t="s">
        <v>711</v>
      </c>
      <c r="D2709" s="112" t="s">
        <v>187</v>
      </c>
      <c r="E2709" s="112">
        <v>465.6</v>
      </c>
      <c r="F2709" s="111" t="str">
        <f>DataPull!D2709</f>
        <v/>
      </c>
      <c r="G2709" s="94" t="str">
        <f t="shared" si="2"/>
        <v/>
      </c>
      <c r="H2709" s="94" t="str">
        <f t="shared" si="3"/>
        <v/>
      </c>
      <c r="I2709" s="94" t="str">
        <f t="shared" ref="I2709:J2709" si="2710">if(G2709 = "", , -G2709)</f>
        <v/>
      </c>
      <c r="J2709" s="94" t="str">
        <f t="shared" si="2710"/>
        <v/>
      </c>
      <c r="K2709" s="100"/>
      <c r="M2709" s="100"/>
      <c r="N2709" s="100"/>
      <c r="O2709" s="100"/>
      <c r="P2709" s="100"/>
    </row>
    <row r="2710">
      <c r="A2710" s="107">
        <v>203545.0</v>
      </c>
      <c r="B2710" s="108" t="s">
        <v>90</v>
      </c>
      <c r="C2710" s="108" t="s">
        <v>711</v>
      </c>
      <c r="D2710" s="112" t="s">
        <v>181</v>
      </c>
      <c r="E2710" s="112">
        <v>23.0</v>
      </c>
      <c r="F2710" s="111" t="str">
        <f>DataPull!D2710</f>
        <v/>
      </c>
      <c r="G2710" s="94" t="str">
        <f t="shared" si="2"/>
        <v/>
      </c>
      <c r="H2710" s="94" t="str">
        <f t="shared" si="3"/>
        <v/>
      </c>
      <c r="I2710" s="94" t="str">
        <f t="shared" ref="I2710:J2710" si="2711">if(G2710 = "", , -G2710)</f>
        <v/>
      </c>
      <c r="J2710" s="94" t="str">
        <f t="shared" si="2711"/>
        <v/>
      </c>
      <c r="K2710" s="100"/>
      <c r="M2710" s="100"/>
      <c r="N2710" s="100"/>
      <c r="O2710" s="100"/>
      <c r="P2710" s="100"/>
    </row>
    <row r="2711">
      <c r="A2711" s="107">
        <v>203546.0</v>
      </c>
      <c r="B2711" s="108" t="s">
        <v>85</v>
      </c>
      <c r="C2711" s="108" t="s">
        <v>712</v>
      </c>
      <c r="D2711" s="112" t="s">
        <v>187</v>
      </c>
      <c r="E2711" s="112">
        <v>172.5</v>
      </c>
      <c r="F2711" s="111" t="str">
        <f>DataPull!D2711</f>
        <v/>
      </c>
      <c r="G2711" s="94" t="str">
        <f t="shared" si="2"/>
        <v/>
      </c>
      <c r="H2711" s="94" t="str">
        <f t="shared" si="3"/>
        <v/>
      </c>
      <c r="I2711" s="94" t="str">
        <f t="shared" ref="I2711:J2711" si="2712">if(G2711 = "", , -G2711)</f>
        <v/>
      </c>
      <c r="J2711" s="94" t="str">
        <f t="shared" si="2712"/>
        <v/>
      </c>
      <c r="K2711" s="100"/>
      <c r="L2711" s="100"/>
      <c r="N2711" s="100"/>
      <c r="O2711" s="100"/>
      <c r="P2711" s="100"/>
    </row>
    <row r="2712">
      <c r="A2712" s="107">
        <v>203546.0</v>
      </c>
      <c r="B2712" s="108" t="s">
        <v>90</v>
      </c>
      <c r="C2712" s="108" t="s">
        <v>712</v>
      </c>
      <c r="D2712" s="112" t="s">
        <v>187</v>
      </c>
      <c r="E2712" s="112">
        <v>192.0</v>
      </c>
      <c r="F2712" s="111" t="str">
        <f>DataPull!D2712</f>
        <v/>
      </c>
      <c r="G2712" s="94" t="str">
        <f t="shared" si="2"/>
        <v/>
      </c>
      <c r="H2712" s="94" t="str">
        <f t="shared" si="3"/>
        <v/>
      </c>
      <c r="I2712" s="94" t="str">
        <f t="shared" ref="I2712:J2712" si="2713">if(G2712 = "", , -G2712)</f>
        <v/>
      </c>
      <c r="J2712" s="94" t="str">
        <f t="shared" si="2713"/>
        <v/>
      </c>
      <c r="K2712" s="100"/>
      <c r="M2712" s="100"/>
      <c r="N2712" s="100"/>
      <c r="O2712" s="100"/>
      <c r="P2712" s="100"/>
    </row>
    <row r="2713">
      <c r="A2713" s="107">
        <v>203546.0</v>
      </c>
      <c r="B2713" s="108" t="s">
        <v>92</v>
      </c>
      <c r="C2713" s="108" t="s">
        <v>712</v>
      </c>
      <c r="D2713" s="112" t="s">
        <v>187</v>
      </c>
      <c r="E2713" s="112">
        <v>580.8</v>
      </c>
      <c r="F2713" s="111" t="str">
        <f>DataPull!D2713</f>
        <v/>
      </c>
      <c r="G2713" s="94" t="str">
        <f t="shared" si="2"/>
        <v/>
      </c>
      <c r="H2713" s="94" t="str">
        <f t="shared" si="3"/>
        <v/>
      </c>
      <c r="I2713" s="94" t="str">
        <f t="shared" ref="I2713:J2713" si="2714">if(G2713 = "", , -G2713)</f>
        <v/>
      </c>
      <c r="J2713" s="94" t="str">
        <f t="shared" si="2714"/>
        <v/>
      </c>
      <c r="K2713" s="100"/>
      <c r="M2713" s="100"/>
      <c r="N2713" s="100"/>
      <c r="O2713" s="100"/>
      <c r="P2713" s="100"/>
    </row>
    <row r="2714">
      <c r="A2714" s="107">
        <v>203546.0</v>
      </c>
      <c r="B2714" s="108" t="s">
        <v>190</v>
      </c>
      <c r="C2714" s="108" t="s">
        <v>712</v>
      </c>
      <c r="D2714" s="112" t="s">
        <v>177</v>
      </c>
      <c r="E2714" s="112">
        <v>1139.6</v>
      </c>
      <c r="F2714" s="111" t="str">
        <f>DataPull!D2714</f>
        <v/>
      </c>
      <c r="G2714" s="94" t="str">
        <f t="shared" si="2"/>
        <v/>
      </c>
      <c r="H2714" s="94" t="str">
        <f t="shared" si="3"/>
        <v/>
      </c>
      <c r="I2714" s="94" t="str">
        <f t="shared" ref="I2714:J2714" si="2715">if(G2714 = "", , -G2714)</f>
        <v/>
      </c>
      <c r="J2714" s="94" t="str">
        <f t="shared" si="2715"/>
        <v/>
      </c>
      <c r="K2714" s="100"/>
      <c r="M2714" s="100"/>
      <c r="N2714" s="100"/>
      <c r="O2714" s="100"/>
      <c r="P2714" s="100"/>
    </row>
    <row r="2715">
      <c r="A2715" s="107">
        <v>203546.0</v>
      </c>
      <c r="B2715" s="108" t="s">
        <v>191</v>
      </c>
      <c r="C2715" s="108" t="s">
        <v>712</v>
      </c>
      <c r="D2715" s="112" t="s">
        <v>177</v>
      </c>
      <c r="E2715" s="112">
        <v>1457.8</v>
      </c>
      <c r="F2715" s="111" t="str">
        <f>DataPull!D2715</f>
        <v/>
      </c>
      <c r="G2715" s="94" t="str">
        <f t="shared" si="2"/>
        <v/>
      </c>
      <c r="H2715" s="94" t="str">
        <f t="shared" si="3"/>
        <v/>
      </c>
      <c r="I2715" s="94" t="str">
        <f t="shared" ref="I2715:J2715" si="2716">if(G2715 = "", , -G2715)</f>
        <v/>
      </c>
      <c r="J2715" s="94" t="str">
        <f t="shared" si="2716"/>
        <v/>
      </c>
      <c r="K2715" s="100"/>
      <c r="M2715" s="100"/>
      <c r="N2715" s="100"/>
      <c r="O2715" s="100"/>
      <c r="P2715" s="100"/>
    </row>
    <row r="2716">
      <c r="A2716" s="107">
        <v>203546.0</v>
      </c>
      <c r="B2716" s="108" t="s">
        <v>192</v>
      </c>
      <c r="C2716" s="108" t="s">
        <v>712</v>
      </c>
      <c r="D2716" s="112" t="s">
        <v>177</v>
      </c>
      <c r="E2716" s="112">
        <v>972.0</v>
      </c>
      <c r="F2716" s="111" t="str">
        <f>DataPull!D2716</f>
        <v/>
      </c>
      <c r="G2716" s="94" t="str">
        <f t="shared" si="2"/>
        <v/>
      </c>
      <c r="H2716" s="94" t="str">
        <f t="shared" si="3"/>
        <v/>
      </c>
      <c r="I2716" s="94" t="str">
        <f t="shared" ref="I2716:J2716" si="2717">if(G2716 = "", , -G2716)</f>
        <v/>
      </c>
      <c r="J2716" s="94" t="str">
        <f t="shared" si="2717"/>
        <v/>
      </c>
      <c r="K2716" s="100"/>
      <c r="M2716" s="100"/>
      <c r="N2716" s="100"/>
      <c r="O2716" s="100"/>
      <c r="P2716" s="100"/>
    </row>
    <row r="2717">
      <c r="A2717" s="107">
        <v>203548.0</v>
      </c>
      <c r="B2717" s="108" t="s">
        <v>85</v>
      </c>
      <c r="C2717" s="108" t="s">
        <v>713</v>
      </c>
      <c r="D2717" s="112" t="s">
        <v>181</v>
      </c>
      <c r="E2717" s="112">
        <v>11.4</v>
      </c>
      <c r="F2717" s="111" t="str">
        <f>DataPull!D2717</f>
        <v/>
      </c>
      <c r="G2717" s="94" t="str">
        <f t="shared" si="2"/>
        <v/>
      </c>
      <c r="H2717" s="94" t="str">
        <f t="shared" si="3"/>
        <v/>
      </c>
      <c r="I2717" s="94" t="str">
        <f t="shared" ref="I2717:J2717" si="2718">if(G2717 = "", , -G2717)</f>
        <v/>
      </c>
      <c r="J2717" s="94" t="str">
        <f t="shared" si="2718"/>
        <v/>
      </c>
      <c r="K2717" s="100"/>
      <c r="N2717" s="100"/>
      <c r="O2717" s="100"/>
      <c r="P2717" s="100"/>
    </row>
    <row r="2718">
      <c r="A2718" s="107">
        <v>203552.0</v>
      </c>
      <c r="B2718" s="108" t="s">
        <v>85</v>
      </c>
      <c r="C2718" s="108" t="s">
        <v>714</v>
      </c>
      <c r="D2718" s="112" t="s">
        <v>181</v>
      </c>
      <c r="E2718" s="112">
        <v>13.0</v>
      </c>
      <c r="F2718" s="111" t="str">
        <f>DataPull!D2718</f>
        <v/>
      </c>
      <c r="G2718" s="94" t="str">
        <f t="shared" si="2"/>
        <v/>
      </c>
      <c r="H2718" s="94" t="str">
        <f t="shared" si="3"/>
        <v/>
      </c>
      <c r="I2718" s="94" t="str">
        <f t="shared" ref="I2718:J2718" si="2719">if(G2718 = "", , -G2718)</f>
        <v/>
      </c>
      <c r="J2718" s="94" t="str">
        <f t="shared" si="2719"/>
        <v/>
      </c>
      <c r="K2718" s="100"/>
      <c r="M2718" s="100"/>
      <c r="N2718" s="100"/>
      <c r="O2718" s="100"/>
      <c r="P2718" s="100"/>
    </row>
    <row r="2719">
      <c r="A2719" s="107">
        <v>203552.0</v>
      </c>
      <c r="B2719" s="108" t="s">
        <v>90</v>
      </c>
      <c r="C2719" s="108" t="s">
        <v>714</v>
      </c>
      <c r="D2719" s="112" t="s">
        <v>181</v>
      </c>
      <c r="E2719" s="112">
        <v>7.8</v>
      </c>
      <c r="F2719" s="111" t="str">
        <f>DataPull!D2719</f>
        <v/>
      </c>
      <c r="G2719" s="94" t="str">
        <f t="shared" si="2"/>
        <v/>
      </c>
      <c r="H2719" s="94" t="str">
        <f t="shared" si="3"/>
        <v/>
      </c>
      <c r="I2719" s="94" t="str">
        <f t="shared" ref="I2719:J2719" si="2720">if(G2719 = "", , -G2719)</f>
        <v/>
      </c>
      <c r="J2719" s="94" t="str">
        <f t="shared" si="2720"/>
        <v/>
      </c>
      <c r="K2719" s="100"/>
      <c r="M2719" s="100"/>
      <c r="N2719" s="100"/>
      <c r="O2719" s="100"/>
      <c r="P2719" s="100"/>
    </row>
    <row r="2720">
      <c r="A2720" s="107">
        <v>203552.0</v>
      </c>
      <c r="B2720" s="108" t="s">
        <v>92</v>
      </c>
      <c r="C2720" s="108" t="s">
        <v>714</v>
      </c>
      <c r="D2720" s="112" t="s">
        <v>177</v>
      </c>
      <c r="E2720" s="112">
        <v>690.8</v>
      </c>
      <c r="F2720" s="111" t="str">
        <f>DataPull!D2720</f>
        <v/>
      </c>
      <c r="G2720" s="94" t="str">
        <f t="shared" si="2"/>
        <v/>
      </c>
      <c r="H2720" s="94" t="str">
        <f t="shared" si="3"/>
        <v/>
      </c>
      <c r="I2720" s="94" t="str">
        <f t="shared" ref="I2720:J2720" si="2721">if(G2720 = "", , -G2720)</f>
        <v/>
      </c>
      <c r="J2720" s="94" t="str">
        <f t="shared" si="2721"/>
        <v/>
      </c>
      <c r="K2720" s="100"/>
      <c r="M2720" s="100"/>
      <c r="N2720" s="100"/>
      <c r="O2720" s="100"/>
      <c r="P2720" s="100"/>
    </row>
    <row r="2721">
      <c r="A2721" s="107">
        <v>203552.0</v>
      </c>
      <c r="B2721" s="108" t="s">
        <v>190</v>
      </c>
      <c r="C2721" s="108" t="s">
        <v>714</v>
      </c>
      <c r="D2721" s="112" t="s">
        <v>178</v>
      </c>
      <c r="E2721" s="112">
        <v>2030.0</v>
      </c>
      <c r="F2721" s="111" t="str">
        <f>DataPull!D2721</f>
        <v/>
      </c>
      <c r="G2721" s="94" t="str">
        <f t="shared" si="2"/>
        <v/>
      </c>
      <c r="H2721" s="94" t="str">
        <f t="shared" si="3"/>
        <v/>
      </c>
      <c r="I2721" s="94" t="str">
        <f t="shared" ref="I2721:J2721" si="2722">if(G2721 = "", , -G2721)</f>
        <v/>
      </c>
      <c r="J2721" s="94" t="str">
        <f t="shared" si="2722"/>
        <v/>
      </c>
      <c r="K2721" s="100"/>
      <c r="M2721" s="100"/>
      <c r="N2721" s="100"/>
      <c r="O2721" s="100"/>
    </row>
    <row r="2722">
      <c r="A2722" s="107">
        <v>203552.0</v>
      </c>
      <c r="B2722" s="108" t="s">
        <v>192</v>
      </c>
      <c r="C2722" s="108" t="s">
        <v>714</v>
      </c>
      <c r="D2722" s="112" t="s">
        <v>177</v>
      </c>
      <c r="E2722" s="112">
        <v>1398.6</v>
      </c>
      <c r="F2722" s="111" t="str">
        <f>DataPull!D2722</f>
        <v/>
      </c>
      <c r="G2722" s="94" t="str">
        <f t="shared" si="2"/>
        <v/>
      </c>
      <c r="H2722" s="94" t="str">
        <f t="shared" si="3"/>
        <v/>
      </c>
      <c r="I2722" s="94" t="str">
        <f t="shared" ref="I2722:J2722" si="2723">if(G2722 = "", , -G2722)</f>
        <v/>
      </c>
      <c r="J2722" s="94" t="str">
        <f t="shared" si="2723"/>
        <v/>
      </c>
      <c r="K2722" s="100"/>
      <c r="M2722" s="100"/>
      <c r="N2722" s="100"/>
      <c r="O2722" s="100"/>
      <c r="P2722" s="100"/>
    </row>
    <row r="2723">
      <c r="A2723" s="107">
        <v>203552.0</v>
      </c>
      <c r="B2723" s="108" t="s">
        <v>193</v>
      </c>
      <c r="C2723" s="108" t="s">
        <v>714</v>
      </c>
      <c r="D2723" s="112" t="s">
        <v>176</v>
      </c>
      <c r="E2723" s="112">
        <v>1574.4</v>
      </c>
      <c r="F2723" s="111" t="str">
        <f>DataPull!D2723</f>
        <v/>
      </c>
      <c r="G2723" s="94" t="str">
        <f t="shared" si="2"/>
        <v/>
      </c>
      <c r="H2723" s="94" t="str">
        <f t="shared" si="3"/>
        <v/>
      </c>
      <c r="I2723" s="94" t="str">
        <f t="shared" ref="I2723:J2723" si="2724">if(G2723 = "", , -G2723)</f>
        <v/>
      </c>
      <c r="J2723" s="94" t="str">
        <f t="shared" si="2724"/>
        <v/>
      </c>
      <c r="K2723" s="100"/>
      <c r="M2723" s="100"/>
      <c r="N2723" s="100"/>
      <c r="O2723" s="100"/>
      <c r="P2723" s="100"/>
    </row>
    <row r="2724">
      <c r="A2724" s="107">
        <v>203552.0</v>
      </c>
      <c r="B2724" s="108" t="s">
        <v>243</v>
      </c>
      <c r="C2724" s="108" t="s">
        <v>714</v>
      </c>
      <c r="D2724" s="112" t="s">
        <v>178</v>
      </c>
      <c r="E2724" s="112">
        <v>1635.9</v>
      </c>
      <c r="F2724" s="111" t="str">
        <f>DataPull!D2724</f>
        <v/>
      </c>
      <c r="G2724" s="94" t="str">
        <f t="shared" si="2"/>
        <v/>
      </c>
      <c r="H2724" s="94" t="str">
        <f t="shared" si="3"/>
        <v/>
      </c>
      <c r="I2724" s="94" t="str">
        <f t="shared" ref="I2724:J2724" si="2725">if(G2724 = "", , -G2724)</f>
        <v/>
      </c>
      <c r="J2724" s="94" t="str">
        <f t="shared" si="2725"/>
        <v/>
      </c>
      <c r="K2724" s="100"/>
      <c r="M2724" s="100"/>
      <c r="N2724" s="100"/>
      <c r="O2724" s="100"/>
      <c r="P2724" s="100"/>
    </row>
    <row r="2725">
      <c r="A2725" s="107">
        <v>203552.0</v>
      </c>
      <c r="B2725" s="108" t="s">
        <v>215</v>
      </c>
      <c r="C2725" s="108" t="s">
        <v>714</v>
      </c>
      <c r="D2725" s="112" t="s">
        <v>178</v>
      </c>
      <c r="E2725" s="112">
        <v>2131.2</v>
      </c>
      <c r="F2725" s="111" t="str">
        <f>DataPull!D2725</f>
        <v/>
      </c>
      <c r="G2725" s="94" t="str">
        <f t="shared" si="2"/>
        <v/>
      </c>
      <c r="H2725" s="94" t="str">
        <f t="shared" si="3"/>
        <v/>
      </c>
      <c r="I2725" s="94" t="str">
        <f t="shared" ref="I2725:J2725" si="2726">if(G2725 = "", , -G2725)</f>
        <v/>
      </c>
      <c r="J2725" s="94" t="str">
        <f t="shared" si="2726"/>
        <v/>
      </c>
      <c r="K2725" s="100"/>
      <c r="M2725" s="100"/>
      <c r="N2725" s="100"/>
      <c r="O2725" s="100"/>
      <c r="P2725" s="100"/>
    </row>
    <row r="2726">
      <c r="A2726" s="107">
        <v>203552.0</v>
      </c>
      <c r="B2726" s="108" t="s">
        <v>244</v>
      </c>
      <c r="C2726" s="108" t="s">
        <v>714</v>
      </c>
      <c r="D2726" s="112" t="s">
        <v>177</v>
      </c>
      <c r="E2726" s="112">
        <v>1207.8</v>
      </c>
      <c r="F2726" s="111" t="str">
        <f>DataPull!D2726</f>
        <v/>
      </c>
      <c r="G2726" s="94" t="str">
        <f t="shared" si="2"/>
        <v/>
      </c>
      <c r="H2726" s="94" t="str">
        <f t="shared" si="3"/>
        <v/>
      </c>
      <c r="I2726" s="94" t="str">
        <f t="shared" ref="I2726:J2726" si="2727">if(G2726 = "", , -G2726)</f>
        <v/>
      </c>
      <c r="J2726" s="94" t="str">
        <f t="shared" si="2727"/>
        <v/>
      </c>
      <c r="K2726" s="100"/>
      <c r="M2726" s="100"/>
      <c r="N2726" s="100"/>
      <c r="O2726" s="100"/>
      <c r="P2726" s="100"/>
    </row>
    <row r="2727">
      <c r="A2727" s="107">
        <v>203552.0</v>
      </c>
      <c r="B2727" s="108" t="s">
        <v>245</v>
      </c>
      <c r="C2727" s="108" t="s">
        <v>714</v>
      </c>
      <c r="D2727" s="112" t="s">
        <v>177</v>
      </c>
      <c r="E2727" s="112">
        <v>616.0</v>
      </c>
      <c r="F2727" s="111" t="str">
        <f>DataPull!D2727</f>
        <v/>
      </c>
      <c r="G2727" s="94" t="str">
        <f t="shared" si="2"/>
        <v/>
      </c>
      <c r="H2727" s="94" t="str">
        <f t="shared" si="3"/>
        <v/>
      </c>
      <c r="I2727" s="94" t="str">
        <f t="shared" ref="I2727:J2727" si="2728">if(G2727 = "", , -G2727)</f>
        <v/>
      </c>
      <c r="J2727" s="94" t="str">
        <f t="shared" si="2728"/>
        <v/>
      </c>
      <c r="K2727" s="100"/>
      <c r="M2727" s="100"/>
      <c r="N2727" s="100"/>
      <c r="O2727" s="100"/>
      <c r="P2727" s="100"/>
    </row>
    <row r="2728">
      <c r="A2728" s="107">
        <v>203552.0</v>
      </c>
      <c r="B2728" s="108" t="s">
        <v>246</v>
      </c>
      <c r="C2728" s="108" t="s">
        <v>714</v>
      </c>
      <c r="D2728" s="112" t="s">
        <v>177</v>
      </c>
      <c r="E2728" s="112">
        <v>1060.8</v>
      </c>
      <c r="F2728" s="111" t="str">
        <f>DataPull!D2728</f>
        <v/>
      </c>
      <c r="G2728" s="94" t="str">
        <f t="shared" si="2"/>
        <v/>
      </c>
      <c r="H2728" s="94" t="str">
        <f t="shared" si="3"/>
        <v/>
      </c>
      <c r="I2728" s="94" t="str">
        <f t="shared" ref="I2728:J2728" si="2729">if(G2728 = "", , -G2728)</f>
        <v/>
      </c>
      <c r="J2728" s="94" t="str">
        <f t="shared" si="2729"/>
        <v/>
      </c>
      <c r="K2728" s="100"/>
      <c r="M2728" s="100"/>
      <c r="N2728" s="100"/>
      <c r="O2728" s="100"/>
      <c r="P2728" s="100"/>
    </row>
    <row r="2729">
      <c r="A2729" s="114">
        <v>203552.0</v>
      </c>
      <c r="B2729" s="113" t="s">
        <v>247</v>
      </c>
      <c r="C2729" s="113" t="s">
        <v>714</v>
      </c>
      <c r="D2729" s="112" t="s">
        <v>181</v>
      </c>
      <c r="E2729" s="112">
        <v>133.0</v>
      </c>
      <c r="F2729" s="111" t="str">
        <f>DataPull!D2729</f>
        <v/>
      </c>
      <c r="G2729" s="94" t="str">
        <f t="shared" si="2"/>
        <v/>
      </c>
      <c r="H2729" s="94" t="str">
        <f t="shared" si="3"/>
        <v/>
      </c>
      <c r="I2729" s="94" t="str">
        <f t="shared" ref="I2729:J2729" si="2730">if(G2729 = "", , -G2729)</f>
        <v/>
      </c>
      <c r="J2729" s="94" t="str">
        <f t="shared" si="2730"/>
        <v/>
      </c>
      <c r="K2729" s="100"/>
      <c r="M2729" s="100"/>
      <c r="N2729" s="100"/>
      <c r="O2729" s="100"/>
      <c r="P2729" s="100"/>
    </row>
    <row r="2730">
      <c r="A2730" s="107">
        <v>203561.0</v>
      </c>
      <c r="B2730" s="108" t="s">
        <v>85</v>
      </c>
      <c r="C2730" s="108" t="s">
        <v>715</v>
      </c>
      <c r="D2730" s="112" t="s">
        <v>177</v>
      </c>
      <c r="E2730" s="112">
        <v>576.3</v>
      </c>
      <c r="F2730" s="111" t="str">
        <f>DataPull!D2730</f>
        <v/>
      </c>
      <c r="G2730" s="94" t="str">
        <f t="shared" si="2"/>
        <v/>
      </c>
      <c r="H2730" s="94" t="str">
        <f t="shared" si="3"/>
        <v/>
      </c>
      <c r="I2730" s="94" t="str">
        <f t="shared" ref="I2730:J2730" si="2731">if(G2730 = "", , -G2730)</f>
        <v/>
      </c>
      <c r="J2730" s="94" t="str">
        <f t="shared" si="2731"/>
        <v/>
      </c>
      <c r="K2730" s="100"/>
      <c r="M2730" s="100"/>
      <c r="N2730" s="100"/>
      <c r="O2730" s="100"/>
      <c r="P2730" s="100"/>
    </row>
    <row r="2731">
      <c r="A2731" s="107">
        <v>203561.0</v>
      </c>
      <c r="B2731" s="108" t="s">
        <v>90</v>
      </c>
      <c r="C2731" s="108" t="s">
        <v>715</v>
      </c>
      <c r="D2731" s="112" t="s">
        <v>177</v>
      </c>
      <c r="E2731" s="112">
        <v>423.9</v>
      </c>
      <c r="F2731" s="111" t="str">
        <f>DataPull!D2731</f>
        <v/>
      </c>
      <c r="G2731" s="94" t="str">
        <f t="shared" si="2"/>
        <v/>
      </c>
      <c r="H2731" s="94" t="str">
        <f t="shared" si="3"/>
        <v/>
      </c>
      <c r="I2731" s="94" t="str">
        <f t="shared" ref="I2731:J2731" si="2732">if(G2731 = "", , -G2731)</f>
        <v/>
      </c>
      <c r="J2731" s="94" t="str">
        <f t="shared" si="2732"/>
        <v/>
      </c>
      <c r="K2731" s="100"/>
      <c r="M2731" s="100"/>
      <c r="N2731" s="100"/>
      <c r="O2731" s="100"/>
      <c r="P2731" s="100"/>
    </row>
    <row r="2732">
      <c r="A2732" s="107">
        <v>203564.0</v>
      </c>
      <c r="B2732" s="108" t="s">
        <v>90</v>
      </c>
      <c r="C2732" s="108" t="s">
        <v>716</v>
      </c>
      <c r="D2732" s="112" t="s">
        <v>181</v>
      </c>
      <c r="E2732" s="112">
        <v>5.5</v>
      </c>
      <c r="F2732" s="111" t="str">
        <f>DataPull!D2732</f>
        <v/>
      </c>
      <c r="G2732" s="94" t="str">
        <f t="shared" si="2"/>
        <v/>
      </c>
      <c r="H2732" s="94" t="str">
        <f t="shared" si="3"/>
        <v/>
      </c>
      <c r="I2732" s="94" t="str">
        <f t="shared" ref="I2732:J2732" si="2733">if(G2732 = "", , -G2732)</f>
        <v/>
      </c>
      <c r="J2732" s="94" t="str">
        <f t="shared" si="2733"/>
        <v/>
      </c>
      <c r="K2732" s="100"/>
      <c r="M2732" s="100"/>
      <c r="N2732" s="100"/>
      <c r="O2732" s="100"/>
      <c r="P2732" s="100"/>
    </row>
    <row r="2733">
      <c r="A2733" s="107">
        <v>203564.0</v>
      </c>
      <c r="B2733" s="108" t="s">
        <v>192</v>
      </c>
      <c r="C2733" s="108" t="s">
        <v>716</v>
      </c>
      <c r="D2733" s="112" t="s">
        <v>181</v>
      </c>
      <c r="E2733" s="112">
        <v>5.6</v>
      </c>
      <c r="F2733" s="111" t="str">
        <f>DataPull!D2733</f>
        <v/>
      </c>
      <c r="G2733" s="94" t="str">
        <f t="shared" si="2"/>
        <v/>
      </c>
      <c r="H2733" s="94" t="str">
        <f t="shared" si="3"/>
        <v/>
      </c>
      <c r="I2733" s="94" t="str">
        <f t="shared" ref="I2733:J2733" si="2734">if(G2733 = "", , -G2733)</f>
        <v/>
      </c>
      <c r="J2733" s="94" t="str">
        <f t="shared" si="2734"/>
        <v/>
      </c>
      <c r="K2733" s="100"/>
      <c r="M2733" s="100"/>
      <c r="N2733" s="100"/>
      <c r="O2733" s="100"/>
      <c r="P2733" s="100"/>
    </row>
    <row r="2734">
      <c r="A2734" s="107">
        <v>203565.0</v>
      </c>
      <c r="B2734" s="108" t="s">
        <v>90</v>
      </c>
      <c r="C2734" s="108" t="s">
        <v>717</v>
      </c>
      <c r="D2734" s="112"/>
      <c r="E2734" s="112">
        <v>28.8</v>
      </c>
      <c r="F2734" s="111" t="str">
        <f>DataPull!D2734</f>
        <v/>
      </c>
      <c r="G2734" s="94" t="str">
        <f t="shared" si="2"/>
        <v/>
      </c>
      <c r="H2734" s="94" t="str">
        <f t="shared" si="3"/>
        <v/>
      </c>
      <c r="I2734" s="94" t="str">
        <f t="shared" ref="I2734:J2734" si="2735">if(G2734 = "", , -G2734)</f>
        <v/>
      </c>
      <c r="J2734" s="94" t="str">
        <f t="shared" si="2735"/>
        <v/>
      </c>
      <c r="K2734" s="100"/>
      <c r="M2734" s="100"/>
      <c r="N2734" s="100"/>
      <c r="O2734" s="100"/>
      <c r="P2734" s="100"/>
    </row>
    <row r="2735">
      <c r="A2735" s="107">
        <v>203569.0</v>
      </c>
      <c r="B2735" s="108" t="s">
        <v>85</v>
      </c>
      <c r="C2735" s="108" t="s">
        <v>718</v>
      </c>
      <c r="D2735" s="112" t="s">
        <v>187</v>
      </c>
      <c r="E2735" s="112">
        <v>133.0</v>
      </c>
      <c r="F2735" s="111" t="str">
        <f>DataPull!D2735</f>
        <v/>
      </c>
      <c r="G2735" s="94" t="str">
        <f t="shared" si="2"/>
        <v/>
      </c>
      <c r="H2735" s="94" t="str">
        <f t="shared" si="3"/>
        <v/>
      </c>
      <c r="I2735" s="94" t="str">
        <f t="shared" ref="I2735:J2735" si="2736">if(G2735 = "", , -G2735)</f>
        <v/>
      </c>
      <c r="J2735" s="94" t="str">
        <f t="shared" si="2736"/>
        <v/>
      </c>
      <c r="K2735" s="100"/>
      <c r="M2735" s="100"/>
      <c r="N2735" s="100"/>
      <c r="O2735" s="100"/>
      <c r="P2735" s="100"/>
    </row>
    <row r="2736">
      <c r="A2736" s="107">
        <v>203580.0</v>
      </c>
      <c r="B2736" s="108" t="s">
        <v>90</v>
      </c>
      <c r="C2736" s="108" t="s">
        <v>719</v>
      </c>
      <c r="D2736" s="112" t="s">
        <v>187</v>
      </c>
      <c r="E2736" s="112">
        <v>219.6</v>
      </c>
      <c r="F2736" s="111" t="str">
        <f>DataPull!D2736</f>
        <v/>
      </c>
      <c r="G2736" s="94" t="str">
        <f t="shared" si="2"/>
        <v/>
      </c>
      <c r="H2736" s="94" t="str">
        <f t="shared" si="3"/>
        <v/>
      </c>
      <c r="I2736" s="94" t="str">
        <f t="shared" ref="I2736:J2736" si="2737">if(G2736 = "", , -G2736)</f>
        <v/>
      </c>
      <c r="J2736" s="94" t="str">
        <f t="shared" si="2737"/>
        <v/>
      </c>
      <c r="K2736" s="100"/>
      <c r="L2736" s="100"/>
      <c r="M2736" s="100"/>
      <c r="N2736" s="100"/>
      <c r="O2736" s="100"/>
      <c r="P2736" s="100"/>
    </row>
    <row r="2737">
      <c r="A2737" s="107">
        <v>203580.0</v>
      </c>
      <c r="B2737" s="108" t="s">
        <v>191</v>
      </c>
      <c r="C2737" s="108" t="s">
        <v>719</v>
      </c>
      <c r="D2737" s="112" t="s">
        <v>181</v>
      </c>
      <c r="E2737" s="112">
        <v>70.0</v>
      </c>
      <c r="F2737" s="111" t="str">
        <f>DataPull!D2737</f>
        <v/>
      </c>
      <c r="G2737" s="94" t="str">
        <f t="shared" si="2"/>
        <v/>
      </c>
      <c r="H2737" s="94" t="str">
        <f t="shared" si="3"/>
        <v/>
      </c>
      <c r="I2737" s="94" t="str">
        <f t="shared" ref="I2737:J2737" si="2738">if(G2737 = "", , -G2737)</f>
        <v/>
      </c>
      <c r="J2737" s="94" t="str">
        <f t="shared" si="2738"/>
        <v/>
      </c>
      <c r="K2737" s="100"/>
      <c r="M2737" s="100"/>
      <c r="N2737" s="100"/>
      <c r="O2737" s="100"/>
      <c r="P2737" s="100"/>
    </row>
    <row r="2738">
      <c r="A2738" s="107">
        <v>203584.0</v>
      </c>
      <c r="B2738" s="108" t="s">
        <v>85</v>
      </c>
      <c r="C2738" s="108" t="s">
        <v>720</v>
      </c>
      <c r="D2738" s="112" t="s">
        <v>181</v>
      </c>
      <c r="E2738" s="112">
        <v>75.0</v>
      </c>
      <c r="F2738" s="111" t="str">
        <f>DataPull!D2738</f>
        <v/>
      </c>
      <c r="G2738" s="94" t="str">
        <f t="shared" si="2"/>
        <v/>
      </c>
      <c r="H2738" s="94" t="str">
        <f t="shared" si="3"/>
        <v/>
      </c>
      <c r="I2738" s="94" t="str">
        <f t="shared" ref="I2738:J2738" si="2739">if(G2738 = "", , -G2738)</f>
        <v/>
      </c>
      <c r="J2738" s="94" t="str">
        <f t="shared" si="2739"/>
        <v/>
      </c>
      <c r="K2738" s="100"/>
      <c r="M2738" s="100"/>
      <c r="N2738" s="100"/>
      <c r="O2738" s="100"/>
      <c r="P2738" s="100"/>
    </row>
    <row r="2739">
      <c r="A2739" s="107">
        <v>203584.0</v>
      </c>
      <c r="B2739" s="108" t="s">
        <v>90</v>
      </c>
      <c r="C2739" s="108" t="s">
        <v>720</v>
      </c>
      <c r="D2739" s="112" t="s">
        <v>187</v>
      </c>
      <c r="E2739" s="112">
        <v>399.5</v>
      </c>
      <c r="F2739" s="111" t="str">
        <f>DataPull!D2739</f>
        <v/>
      </c>
      <c r="G2739" s="94" t="str">
        <f t="shared" si="2"/>
        <v/>
      </c>
      <c r="H2739" s="94" t="str">
        <f t="shared" si="3"/>
        <v/>
      </c>
      <c r="I2739" s="94" t="str">
        <f t="shared" ref="I2739:J2739" si="2740">if(G2739 = "", , -G2739)</f>
        <v/>
      </c>
      <c r="J2739" s="94" t="str">
        <f t="shared" si="2740"/>
        <v/>
      </c>
      <c r="K2739" s="100"/>
      <c r="L2739" s="100"/>
      <c r="N2739" s="100"/>
      <c r="O2739" s="100"/>
      <c r="P2739" s="100"/>
    </row>
    <row r="2740">
      <c r="A2740" s="107">
        <v>203584.0</v>
      </c>
      <c r="B2740" s="108" t="s">
        <v>92</v>
      </c>
      <c r="C2740" s="108" t="s">
        <v>720</v>
      </c>
      <c r="D2740" s="112" t="s">
        <v>177</v>
      </c>
      <c r="E2740" s="112">
        <v>477.3</v>
      </c>
      <c r="F2740" s="111" t="str">
        <f>DataPull!D2740</f>
        <v/>
      </c>
      <c r="G2740" s="94" t="str">
        <f t="shared" si="2"/>
        <v/>
      </c>
      <c r="H2740" s="94" t="str">
        <f t="shared" si="3"/>
        <v/>
      </c>
      <c r="I2740" s="94" t="str">
        <f t="shared" ref="I2740:J2740" si="2741">if(G2740 = "", , -G2740)</f>
        <v/>
      </c>
      <c r="J2740" s="94" t="str">
        <f t="shared" si="2741"/>
        <v/>
      </c>
      <c r="K2740" s="100"/>
      <c r="M2740" s="100"/>
      <c r="N2740" s="100"/>
      <c r="O2740" s="100"/>
      <c r="P2740" s="100"/>
    </row>
    <row r="2741">
      <c r="A2741" s="107">
        <v>203584.0</v>
      </c>
      <c r="B2741" s="108" t="s">
        <v>190</v>
      </c>
      <c r="C2741" s="108" t="s">
        <v>720</v>
      </c>
      <c r="D2741" s="112" t="s">
        <v>177</v>
      </c>
      <c r="E2741" s="112">
        <v>1185.9</v>
      </c>
      <c r="F2741" s="111" t="str">
        <f>DataPull!D2741</f>
        <v/>
      </c>
      <c r="G2741" s="94" t="str">
        <f t="shared" si="2"/>
        <v/>
      </c>
      <c r="H2741" s="94" t="str">
        <f t="shared" si="3"/>
        <v/>
      </c>
      <c r="I2741" s="94" t="str">
        <f t="shared" ref="I2741:J2741" si="2742">if(G2741 = "", , -G2741)</f>
        <v/>
      </c>
      <c r="J2741" s="94" t="str">
        <f t="shared" si="2742"/>
        <v/>
      </c>
      <c r="K2741" s="100"/>
      <c r="M2741" s="100"/>
      <c r="N2741" s="100"/>
      <c r="O2741" s="100"/>
      <c r="P2741" s="100"/>
    </row>
    <row r="2742">
      <c r="A2742" s="107">
        <v>203584.0</v>
      </c>
      <c r="B2742" s="108" t="s">
        <v>191</v>
      </c>
      <c r="C2742" s="108" t="s">
        <v>720</v>
      </c>
      <c r="D2742" s="112" t="s">
        <v>177</v>
      </c>
      <c r="E2742" s="112">
        <v>1619.5</v>
      </c>
      <c r="F2742" s="111" t="str">
        <f>DataPull!D2742</f>
        <v/>
      </c>
      <c r="G2742" s="94" t="str">
        <f t="shared" si="2"/>
        <v/>
      </c>
      <c r="H2742" s="94" t="str">
        <f t="shared" si="3"/>
        <v/>
      </c>
      <c r="I2742" s="94" t="str">
        <f t="shared" ref="I2742:J2742" si="2743">if(G2742 = "", , -G2742)</f>
        <v/>
      </c>
      <c r="J2742" s="94" t="str">
        <f t="shared" si="2743"/>
        <v/>
      </c>
      <c r="K2742" s="100"/>
      <c r="M2742" s="100"/>
      <c r="N2742" s="100"/>
      <c r="O2742" s="100"/>
      <c r="P2742" s="100"/>
    </row>
    <row r="2743">
      <c r="A2743" s="107">
        <v>203584.0</v>
      </c>
      <c r="B2743" s="108" t="s">
        <v>192</v>
      </c>
      <c r="C2743" s="108" t="s">
        <v>720</v>
      </c>
      <c r="D2743" s="112" t="s">
        <v>177</v>
      </c>
      <c r="E2743" s="112">
        <v>759.9</v>
      </c>
      <c r="F2743" s="111" t="str">
        <f>DataPull!D2743</f>
        <v/>
      </c>
      <c r="G2743" s="94" t="str">
        <f t="shared" si="2"/>
        <v/>
      </c>
      <c r="H2743" s="94" t="str">
        <f t="shared" si="3"/>
        <v/>
      </c>
      <c r="I2743" s="94" t="str">
        <f t="shared" ref="I2743:J2743" si="2744">if(G2743 = "", , -G2743)</f>
        <v/>
      </c>
      <c r="J2743" s="94" t="str">
        <f t="shared" si="2744"/>
        <v/>
      </c>
      <c r="K2743" s="100"/>
      <c r="M2743" s="100"/>
      <c r="N2743" s="100"/>
      <c r="O2743" s="100"/>
      <c r="P2743" s="100"/>
    </row>
    <row r="2744">
      <c r="A2744" s="107">
        <v>203584.0</v>
      </c>
      <c r="B2744" s="108" t="s">
        <v>193</v>
      </c>
      <c r="C2744" s="108" t="s">
        <v>720</v>
      </c>
      <c r="D2744" s="112" t="s">
        <v>177</v>
      </c>
      <c r="E2744" s="112">
        <v>531.1</v>
      </c>
      <c r="F2744" s="111" t="str">
        <f>DataPull!D2744</f>
        <v/>
      </c>
      <c r="G2744" s="94" t="str">
        <f t="shared" si="2"/>
        <v/>
      </c>
      <c r="H2744" s="94" t="str">
        <f t="shared" si="3"/>
        <v/>
      </c>
      <c r="I2744" s="94" t="str">
        <f t="shared" ref="I2744:J2744" si="2745">if(G2744 = "", , -G2744)</f>
        <v/>
      </c>
      <c r="J2744" s="94" t="str">
        <f t="shared" si="2745"/>
        <v/>
      </c>
      <c r="K2744" s="100"/>
      <c r="M2744" s="100"/>
      <c r="N2744" s="100"/>
      <c r="O2744" s="100"/>
      <c r="P2744" s="100"/>
    </row>
    <row r="2745">
      <c r="A2745" s="107">
        <v>203585.0</v>
      </c>
      <c r="B2745" s="108" t="s">
        <v>190</v>
      </c>
      <c r="C2745" s="108" t="s">
        <v>721</v>
      </c>
      <c r="D2745" s="112" t="s">
        <v>176</v>
      </c>
      <c r="E2745" s="112">
        <v>1965.6</v>
      </c>
      <c r="F2745" s="111" t="str">
        <f>DataPull!D2745</f>
        <v/>
      </c>
      <c r="G2745" s="94" t="str">
        <f t="shared" si="2"/>
        <v/>
      </c>
      <c r="H2745" s="94" t="str">
        <f t="shared" si="3"/>
        <v/>
      </c>
      <c r="I2745" s="94" t="str">
        <f t="shared" ref="I2745:J2745" si="2746">if(G2745 = "", , -G2745)</f>
        <v/>
      </c>
      <c r="J2745" s="94" t="str">
        <f t="shared" si="2746"/>
        <v/>
      </c>
      <c r="K2745" s="100"/>
      <c r="N2745" s="100"/>
      <c r="O2745" s="100"/>
      <c r="P2745" s="100"/>
    </row>
    <row r="2746">
      <c r="A2746" s="107">
        <v>203585.0</v>
      </c>
      <c r="B2746" s="108" t="s">
        <v>191</v>
      </c>
      <c r="C2746" s="108" t="s">
        <v>721</v>
      </c>
      <c r="D2746" s="112" t="s">
        <v>187</v>
      </c>
      <c r="E2746" s="112">
        <v>298.8</v>
      </c>
      <c r="F2746" s="111" t="str">
        <f>DataPull!D2746</f>
        <v/>
      </c>
      <c r="G2746" s="94" t="str">
        <f t="shared" si="2"/>
        <v/>
      </c>
      <c r="H2746" s="94" t="str">
        <f t="shared" si="3"/>
        <v/>
      </c>
      <c r="I2746" s="94" t="str">
        <f t="shared" ref="I2746:J2746" si="2747">if(G2746 = "", , -G2746)</f>
        <v/>
      </c>
      <c r="J2746" s="94" t="str">
        <f t="shared" si="2747"/>
        <v/>
      </c>
      <c r="K2746" s="100"/>
      <c r="M2746" s="100"/>
      <c r="N2746" s="100"/>
      <c r="O2746" s="100"/>
      <c r="P2746" s="100"/>
    </row>
    <row r="2747">
      <c r="A2747" s="107">
        <v>203585.0</v>
      </c>
      <c r="B2747" s="108" t="s">
        <v>192</v>
      </c>
      <c r="C2747" s="108" t="s">
        <v>721</v>
      </c>
      <c r="D2747" s="112" t="s">
        <v>176</v>
      </c>
      <c r="E2747" s="112">
        <v>1551.0</v>
      </c>
      <c r="F2747" s="111" t="str">
        <f>DataPull!D2747</f>
        <v/>
      </c>
      <c r="G2747" s="94" t="str">
        <f t="shared" si="2"/>
        <v/>
      </c>
      <c r="H2747" s="94" t="str">
        <f t="shared" si="3"/>
        <v/>
      </c>
      <c r="I2747" s="94" t="str">
        <f t="shared" ref="I2747:J2747" si="2748">if(G2747 = "", , -G2747)</f>
        <v/>
      </c>
      <c r="J2747" s="94" t="str">
        <f t="shared" si="2748"/>
        <v/>
      </c>
      <c r="K2747" s="100"/>
      <c r="M2747" s="100"/>
      <c r="N2747" s="100"/>
      <c r="O2747" s="100"/>
      <c r="P2747" s="100"/>
    </row>
    <row r="2748">
      <c r="A2748" s="107">
        <v>203585.0</v>
      </c>
      <c r="B2748" s="108" t="s">
        <v>193</v>
      </c>
      <c r="C2748" s="108" t="s">
        <v>721</v>
      </c>
      <c r="D2748" s="112" t="s">
        <v>177</v>
      </c>
      <c r="E2748" s="112">
        <v>873.6</v>
      </c>
      <c r="F2748" s="111" t="str">
        <f>DataPull!D2748</f>
        <v/>
      </c>
      <c r="G2748" s="94" t="str">
        <f t="shared" si="2"/>
        <v/>
      </c>
      <c r="H2748" s="94" t="str">
        <f t="shared" si="3"/>
        <v/>
      </c>
      <c r="I2748" s="94" t="str">
        <f t="shared" ref="I2748:J2748" si="2749">if(G2748 = "", , -G2748)</f>
        <v/>
      </c>
      <c r="J2748" s="94" t="str">
        <f t="shared" si="2749"/>
        <v/>
      </c>
      <c r="K2748" s="100"/>
      <c r="M2748" s="100"/>
      <c r="N2748" s="100"/>
      <c r="O2748" s="100"/>
      <c r="P2748" s="100"/>
    </row>
    <row r="2749">
      <c r="A2749" s="107">
        <v>203585.0</v>
      </c>
      <c r="B2749" s="108" t="s">
        <v>243</v>
      </c>
      <c r="C2749" s="108" t="s">
        <v>721</v>
      </c>
      <c r="D2749" s="112" t="s">
        <v>187</v>
      </c>
      <c r="E2749" s="112">
        <v>193.6</v>
      </c>
      <c r="F2749" s="111" t="str">
        <f>DataPull!D2749</f>
        <v/>
      </c>
      <c r="G2749" s="94" t="str">
        <f t="shared" si="2"/>
        <v/>
      </c>
      <c r="H2749" s="94" t="str">
        <f t="shared" si="3"/>
        <v/>
      </c>
      <c r="I2749" s="94" t="str">
        <f t="shared" ref="I2749:J2749" si="2750">if(G2749 = "", , -G2749)</f>
        <v/>
      </c>
      <c r="J2749" s="94" t="str">
        <f t="shared" si="2750"/>
        <v/>
      </c>
      <c r="K2749" s="100"/>
      <c r="M2749" s="100"/>
      <c r="N2749" s="100"/>
      <c r="O2749" s="100"/>
      <c r="P2749" s="100"/>
    </row>
    <row r="2750">
      <c r="A2750" s="107">
        <v>203585.0</v>
      </c>
      <c r="B2750" s="108" t="s">
        <v>215</v>
      </c>
      <c r="C2750" s="108" t="s">
        <v>721</v>
      </c>
      <c r="D2750" s="112" t="s">
        <v>177</v>
      </c>
      <c r="E2750" s="112">
        <v>754.8</v>
      </c>
      <c r="F2750" s="111" t="str">
        <f>DataPull!D2750</f>
        <v/>
      </c>
      <c r="G2750" s="94" t="str">
        <f t="shared" si="2"/>
        <v/>
      </c>
      <c r="H2750" s="94" t="str">
        <f t="shared" si="3"/>
        <v/>
      </c>
      <c r="I2750" s="94" t="str">
        <f t="shared" ref="I2750:J2750" si="2751">if(G2750 = "", , -G2750)</f>
        <v/>
      </c>
      <c r="J2750" s="94" t="str">
        <f t="shared" si="2751"/>
        <v/>
      </c>
      <c r="K2750" s="100"/>
      <c r="M2750" s="100"/>
      <c r="N2750" s="100"/>
      <c r="O2750" s="100"/>
      <c r="P2750" s="100"/>
    </row>
    <row r="2751">
      <c r="A2751" s="107">
        <v>203585.0</v>
      </c>
      <c r="B2751" s="108" t="s">
        <v>244</v>
      </c>
      <c r="C2751" s="108" t="s">
        <v>721</v>
      </c>
      <c r="D2751" s="112" t="s">
        <v>177</v>
      </c>
      <c r="E2751" s="112">
        <v>524.8</v>
      </c>
      <c r="F2751" s="111" t="str">
        <f>DataPull!D2751</f>
        <v/>
      </c>
      <c r="G2751" s="94" t="str">
        <f t="shared" si="2"/>
        <v/>
      </c>
      <c r="H2751" s="94" t="str">
        <f t="shared" si="3"/>
        <v/>
      </c>
      <c r="I2751" s="94" t="str">
        <f t="shared" ref="I2751:J2751" si="2752">if(G2751 = "", , -G2751)</f>
        <v/>
      </c>
      <c r="J2751" s="94" t="str">
        <f t="shared" si="2752"/>
        <v/>
      </c>
      <c r="K2751" s="100"/>
      <c r="M2751" s="100"/>
      <c r="N2751" s="100"/>
      <c r="O2751" s="100"/>
      <c r="P2751" s="100"/>
    </row>
    <row r="2752">
      <c r="A2752" s="107">
        <v>203590.0</v>
      </c>
      <c r="B2752" s="108" t="s">
        <v>191</v>
      </c>
      <c r="C2752" s="108" t="s">
        <v>722</v>
      </c>
      <c r="D2752" s="112" t="s">
        <v>181</v>
      </c>
      <c r="E2752" s="112">
        <v>1.2</v>
      </c>
      <c r="F2752" s="111" t="str">
        <f>DataPull!D2752</f>
        <v/>
      </c>
      <c r="G2752" s="94" t="str">
        <f t="shared" si="2"/>
        <v/>
      </c>
      <c r="H2752" s="94" t="str">
        <f t="shared" si="3"/>
        <v/>
      </c>
      <c r="I2752" s="94" t="str">
        <f t="shared" ref="I2752:J2752" si="2753">if(G2752 = "", , -G2752)</f>
        <v/>
      </c>
      <c r="J2752" s="94" t="str">
        <f t="shared" si="2753"/>
        <v/>
      </c>
      <c r="K2752" s="100"/>
      <c r="M2752" s="100"/>
      <c r="N2752" s="100"/>
      <c r="O2752" s="100"/>
      <c r="P2752" s="100"/>
    </row>
    <row r="2753">
      <c r="A2753" s="107">
        <v>203613.0</v>
      </c>
      <c r="B2753" s="108" t="s">
        <v>92</v>
      </c>
      <c r="C2753" s="108" t="s">
        <v>723</v>
      </c>
      <c r="D2753" s="112" t="s">
        <v>177</v>
      </c>
      <c r="E2753" s="112">
        <v>814.0</v>
      </c>
      <c r="F2753" s="111" t="str">
        <f>DataPull!D2753</f>
        <v/>
      </c>
      <c r="G2753" s="94" t="str">
        <f t="shared" si="2"/>
        <v/>
      </c>
      <c r="H2753" s="94" t="str">
        <f t="shared" si="3"/>
        <v/>
      </c>
      <c r="I2753" s="94" t="str">
        <f t="shared" ref="I2753:J2753" si="2754">if(G2753 = "", , -G2753)</f>
        <v/>
      </c>
      <c r="J2753" s="94" t="str">
        <f t="shared" si="2754"/>
        <v/>
      </c>
      <c r="K2753" s="100"/>
      <c r="M2753" s="100"/>
      <c r="N2753" s="100"/>
      <c r="O2753" s="100"/>
      <c r="P2753" s="100"/>
    </row>
    <row r="2754">
      <c r="A2754" s="107">
        <v>203613.0</v>
      </c>
      <c r="B2754" s="108" t="s">
        <v>190</v>
      </c>
      <c r="C2754" s="108" t="s">
        <v>723</v>
      </c>
      <c r="D2754" s="112" t="s">
        <v>177</v>
      </c>
      <c r="E2754" s="112">
        <v>1396.2</v>
      </c>
      <c r="F2754" s="111" t="str">
        <f>DataPull!D2754</f>
        <v/>
      </c>
      <c r="G2754" s="94" t="str">
        <f t="shared" si="2"/>
        <v/>
      </c>
      <c r="H2754" s="94" t="str">
        <f t="shared" si="3"/>
        <v/>
      </c>
      <c r="I2754" s="94" t="str">
        <f t="shared" ref="I2754:J2754" si="2755">if(G2754 = "", , -G2754)</f>
        <v/>
      </c>
      <c r="J2754" s="94" t="str">
        <f t="shared" si="2755"/>
        <v/>
      </c>
      <c r="K2754" s="100"/>
      <c r="M2754" s="100"/>
      <c r="N2754" s="100"/>
      <c r="O2754" s="100"/>
      <c r="P2754" s="100"/>
    </row>
    <row r="2755">
      <c r="A2755" s="107">
        <v>203613.0</v>
      </c>
      <c r="B2755" s="108" t="s">
        <v>191</v>
      </c>
      <c r="C2755" s="108" t="s">
        <v>723</v>
      </c>
      <c r="D2755" s="112" t="s">
        <v>178</v>
      </c>
      <c r="E2755" s="112">
        <v>2028.6</v>
      </c>
      <c r="F2755" s="111" t="str">
        <f>DataPull!D2755</f>
        <v/>
      </c>
      <c r="G2755" s="94" t="str">
        <f t="shared" si="2"/>
        <v/>
      </c>
      <c r="H2755" s="94" t="str">
        <f t="shared" si="3"/>
        <v/>
      </c>
      <c r="I2755" s="94" t="str">
        <f t="shared" ref="I2755:J2755" si="2756">if(G2755 = "", , -G2755)</f>
        <v/>
      </c>
      <c r="J2755" s="94" t="str">
        <f t="shared" si="2756"/>
        <v/>
      </c>
      <c r="K2755" s="100"/>
      <c r="M2755" s="100"/>
      <c r="N2755" s="100"/>
      <c r="O2755" s="100"/>
      <c r="P2755" s="100"/>
    </row>
    <row r="2756">
      <c r="A2756" s="107">
        <v>203613.0</v>
      </c>
      <c r="B2756" s="108" t="s">
        <v>192</v>
      </c>
      <c r="C2756" s="108" t="s">
        <v>723</v>
      </c>
      <c r="D2756" s="112" t="s">
        <v>176</v>
      </c>
      <c r="E2756" s="112">
        <v>1064.0</v>
      </c>
      <c r="F2756" s="111" t="str">
        <f>DataPull!D2756</f>
        <v/>
      </c>
      <c r="G2756" s="94" t="str">
        <f t="shared" si="2"/>
        <v/>
      </c>
      <c r="H2756" s="94" t="str">
        <f t="shared" si="3"/>
        <v/>
      </c>
      <c r="I2756" s="94" t="str">
        <f t="shared" ref="I2756:J2756" si="2757">if(G2756 = "", , -G2756)</f>
        <v/>
      </c>
      <c r="J2756" s="94" t="str">
        <f t="shared" si="2757"/>
        <v/>
      </c>
      <c r="K2756" s="100"/>
      <c r="M2756" s="100"/>
      <c r="N2756" s="100"/>
      <c r="O2756" s="100"/>
      <c r="P2756" s="100"/>
    </row>
    <row r="2757">
      <c r="A2757" s="107">
        <v>203648.0</v>
      </c>
      <c r="B2757" s="108" t="s">
        <v>92</v>
      </c>
      <c r="C2757" s="108" t="s">
        <v>724</v>
      </c>
      <c r="D2757" s="112" t="s">
        <v>181</v>
      </c>
      <c r="E2757" s="112">
        <v>6.2</v>
      </c>
      <c r="F2757" s="111" t="str">
        <f>DataPull!D2757</f>
        <v/>
      </c>
      <c r="G2757" s="94" t="str">
        <f t="shared" si="2"/>
        <v/>
      </c>
      <c r="H2757" s="94" t="str">
        <f t="shared" si="3"/>
        <v/>
      </c>
      <c r="I2757" s="94" t="str">
        <f t="shared" ref="I2757:J2757" si="2758">if(G2757 = "", , -G2757)</f>
        <v/>
      </c>
      <c r="J2757" s="94" t="str">
        <f t="shared" si="2758"/>
        <v/>
      </c>
      <c r="K2757" s="100"/>
      <c r="M2757" s="100"/>
      <c r="N2757" s="100"/>
      <c r="O2757" s="100"/>
      <c r="P2757" s="100"/>
    </row>
    <row r="2758">
      <c r="A2758" s="107">
        <v>203648.0</v>
      </c>
      <c r="B2758" s="108" t="s">
        <v>193</v>
      </c>
      <c r="C2758" s="108" t="s">
        <v>724</v>
      </c>
      <c r="D2758" s="112" t="s">
        <v>187</v>
      </c>
      <c r="E2758" s="112">
        <v>128.0</v>
      </c>
      <c r="F2758" s="111" t="str">
        <f>DataPull!D2758</f>
        <v/>
      </c>
      <c r="G2758" s="94" t="str">
        <f t="shared" si="2"/>
        <v/>
      </c>
      <c r="H2758" s="94" t="str">
        <f t="shared" si="3"/>
        <v/>
      </c>
      <c r="I2758" s="94" t="str">
        <f t="shared" ref="I2758:J2758" si="2759">if(G2758 = "", , -G2758)</f>
        <v/>
      </c>
      <c r="J2758" s="94" t="str">
        <f t="shared" si="2759"/>
        <v/>
      </c>
      <c r="K2758" s="100"/>
      <c r="M2758" s="100"/>
      <c r="N2758" s="100"/>
      <c r="O2758" s="100"/>
      <c r="P2758" s="100"/>
    </row>
    <row r="2759">
      <c r="A2759" s="107">
        <v>203648.0</v>
      </c>
      <c r="B2759" s="108" t="s">
        <v>243</v>
      </c>
      <c r="C2759" s="108" t="s">
        <v>724</v>
      </c>
      <c r="D2759" s="112" t="s">
        <v>187</v>
      </c>
      <c r="E2759" s="112">
        <v>552.9</v>
      </c>
      <c r="F2759" s="111" t="str">
        <f>DataPull!D2759</f>
        <v/>
      </c>
      <c r="G2759" s="94" t="str">
        <f t="shared" si="2"/>
        <v/>
      </c>
      <c r="H2759" s="94" t="str">
        <f t="shared" si="3"/>
        <v/>
      </c>
      <c r="I2759" s="94" t="str">
        <f t="shared" ref="I2759:J2759" si="2760">if(G2759 = "", , -G2759)</f>
        <v/>
      </c>
      <c r="J2759" s="94" t="str">
        <f t="shared" si="2760"/>
        <v/>
      </c>
      <c r="K2759" s="100"/>
      <c r="M2759" s="100"/>
      <c r="N2759" s="100"/>
      <c r="O2759" s="100"/>
      <c r="P2759" s="100"/>
    </row>
    <row r="2760">
      <c r="A2760" s="107">
        <v>203648.0</v>
      </c>
      <c r="B2760" s="108" t="s">
        <v>215</v>
      </c>
      <c r="C2760" s="108" t="s">
        <v>724</v>
      </c>
      <c r="D2760" s="112" t="s">
        <v>187</v>
      </c>
      <c r="E2760" s="112">
        <v>475.2</v>
      </c>
      <c r="F2760" s="111" t="str">
        <f>DataPull!D2760</f>
        <v/>
      </c>
      <c r="G2760" s="94" t="str">
        <f t="shared" si="2"/>
        <v/>
      </c>
      <c r="H2760" s="94" t="str">
        <f t="shared" si="3"/>
        <v/>
      </c>
      <c r="I2760" s="94" t="str">
        <f t="shared" ref="I2760:J2760" si="2761">if(G2760 = "", , -G2760)</f>
        <v/>
      </c>
      <c r="J2760" s="94" t="str">
        <f t="shared" si="2761"/>
        <v/>
      </c>
      <c r="K2760" s="100"/>
      <c r="M2760" s="100"/>
      <c r="N2760" s="100"/>
      <c r="O2760" s="100"/>
      <c r="P2760" s="100"/>
    </row>
    <row r="2761">
      <c r="A2761" s="107">
        <v>203648.0</v>
      </c>
      <c r="B2761" s="108" t="s">
        <v>244</v>
      </c>
      <c r="C2761" s="108" t="s">
        <v>724</v>
      </c>
      <c r="D2761" s="112" t="s">
        <v>187</v>
      </c>
      <c r="E2761" s="112">
        <v>207.2</v>
      </c>
      <c r="F2761" s="111" t="str">
        <f>DataPull!D2761</f>
        <v/>
      </c>
      <c r="G2761" s="94" t="str">
        <f t="shared" si="2"/>
        <v/>
      </c>
      <c r="H2761" s="94" t="str">
        <f t="shared" si="3"/>
        <v/>
      </c>
      <c r="I2761" s="94" t="str">
        <f t="shared" ref="I2761:J2761" si="2762">if(G2761 = "", , -G2761)</f>
        <v/>
      </c>
      <c r="J2761" s="94" t="str">
        <f t="shared" si="2762"/>
        <v/>
      </c>
      <c r="K2761" s="100"/>
      <c r="M2761" s="100"/>
      <c r="N2761" s="100"/>
      <c r="O2761" s="100"/>
      <c r="P2761" s="100"/>
    </row>
    <row r="2762">
      <c r="A2762" s="107">
        <v>203648.0</v>
      </c>
      <c r="B2762" s="108" t="s">
        <v>245</v>
      </c>
      <c r="C2762" s="108" t="s">
        <v>724</v>
      </c>
      <c r="D2762" s="112" t="s">
        <v>187</v>
      </c>
      <c r="E2762" s="112">
        <v>156.4</v>
      </c>
      <c r="F2762" s="111" t="str">
        <f>DataPull!D2762</f>
        <v/>
      </c>
      <c r="G2762" s="94" t="str">
        <f t="shared" si="2"/>
        <v/>
      </c>
      <c r="H2762" s="94" t="str">
        <f t="shared" si="3"/>
        <v/>
      </c>
      <c r="I2762" s="94" t="str">
        <f t="shared" ref="I2762:J2762" si="2763">if(G2762 = "", , -G2762)</f>
        <v/>
      </c>
      <c r="J2762" s="94" t="str">
        <f t="shared" si="2763"/>
        <v/>
      </c>
      <c r="K2762" s="100"/>
      <c r="M2762" s="100"/>
      <c r="N2762" s="100"/>
      <c r="O2762" s="100"/>
      <c r="P2762" s="100"/>
    </row>
    <row r="2763">
      <c r="A2763" s="114">
        <v>203648.0</v>
      </c>
      <c r="B2763" s="113" t="s">
        <v>247</v>
      </c>
      <c r="C2763" s="113" t="s">
        <v>724</v>
      </c>
      <c r="D2763" s="112" t="s">
        <v>187</v>
      </c>
      <c r="E2763" s="112">
        <v>149.6</v>
      </c>
      <c r="F2763" s="111" t="str">
        <f>DataPull!D2763</f>
        <v/>
      </c>
      <c r="G2763" s="94" t="str">
        <f t="shared" si="2"/>
        <v/>
      </c>
      <c r="H2763" s="94" t="str">
        <f t="shared" si="3"/>
        <v/>
      </c>
      <c r="I2763" s="94" t="str">
        <f t="shared" ref="I2763:J2763" si="2764">if(G2763 = "", , -G2763)</f>
        <v/>
      </c>
      <c r="J2763" s="94" t="str">
        <f t="shared" si="2764"/>
        <v/>
      </c>
      <c r="K2763" s="100"/>
      <c r="M2763" s="100"/>
      <c r="N2763" s="100"/>
      <c r="O2763" s="100"/>
      <c r="P2763" s="100"/>
    </row>
    <row r="2764">
      <c r="A2764" s="107">
        <v>203658.0</v>
      </c>
      <c r="B2764" s="108" t="s">
        <v>193</v>
      </c>
      <c r="C2764" s="108" t="s">
        <v>725</v>
      </c>
      <c r="D2764" s="112" t="s">
        <v>187</v>
      </c>
      <c r="E2764" s="112">
        <v>232.8</v>
      </c>
      <c r="F2764" s="111" t="str">
        <f>DataPull!D2764</f>
        <v/>
      </c>
      <c r="G2764" s="94" t="str">
        <f t="shared" si="2"/>
        <v/>
      </c>
      <c r="H2764" s="94" t="str">
        <f t="shared" si="3"/>
        <v/>
      </c>
      <c r="I2764" s="94" t="str">
        <f t="shared" ref="I2764:J2764" si="2765">if(G2764 = "", , -G2764)</f>
        <v/>
      </c>
      <c r="J2764" s="94" t="str">
        <f t="shared" si="2765"/>
        <v/>
      </c>
      <c r="K2764" s="100"/>
      <c r="M2764" s="100"/>
      <c r="N2764" s="100"/>
      <c r="O2764" s="100"/>
      <c r="P2764" s="100"/>
    </row>
    <row r="2765">
      <c r="A2765" s="107">
        <v>203658.0</v>
      </c>
      <c r="B2765" s="108" t="s">
        <v>243</v>
      </c>
      <c r="C2765" s="108" t="s">
        <v>725</v>
      </c>
      <c r="D2765" s="112" t="s">
        <v>187</v>
      </c>
      <c r="E2765" s="112">
        <v>83.2</v>
      </c>
      <c r="F2765" s="111" t="str">
        <f>DataPull!D2765</f>
        <v/>
      </c>
      <c r="G2765" s="94" t="str">
        <f t="shared" si="2"/>
        <v/>
      </c>
      <c r="H2765" s="94" t="str">
        <f t="shared" si="3"/>
        <v/>
      </c>
      <c r="I2765" s="94" t="str">
        <f t="shared" ref="I2765:J2765" si="2766">if(G2765 = "", , -G2765)</f>
        <v/>
      </c>
      <c r="J2765" s="94" t="str">
        <f t="shared" si="2766"/>
        <v/>
      </c>
      <c r="K2765" s="100"/>
      <c r="L2765" s="100"/>
      <c r="N2765" s="100"/>
      <c r="O2765" s="100"/>
      <c r="P2765" s="100"/>
    </row>
    <row r="2766">
      <c r="A2766" s="107">
        <v>203658.0</v>
      </c>
      <c r="B2766" s="108" t="s">
        <v>215</v>
      </c>
      <c r="C2766" s="108" t="s">
        <v>725</v>
      </c>
      <c r="D2766" s="112" t="s">
        <v>181</v>
      </c>
      <c r="E2766" s="112">
        <v>18.9</v>
      </c>
      <c r="F2766" s="111" t="str">
        <f>DataPull!D2766</f>
        <v/>
      </c>
      <c r="G2766" s="94" t="str">
        <f t="shared" si="2"/>
        <v/>
      </c>
      <c r="H2766" s="94" t="str">
        <f t="shared" si="3"/>
        <v/>
      </c>
      <c r="I2766" s="94" t="str">
        <f t="shared" ref="I2766:J2766" si="2767">if(G2766 = "", , -G2766)</f>
        <v/>
      </c>
      <c r="J2766" s="94" t="str">
        <f t="shared" si="2767"/>
        <v/>
      </c>
      <c r="K2766" s="100"/>
      <c r="M2766" s="100"/>
      <c r="N2766" s="100"/>
      <c r="O2766" s="100"/>
      <c r="P2766" s="100"/>
    </row>
    <row r="2767">
      <c r="A2767" s="107">
        <v>203687.0</v>
      </c>
      <c r="B2767" s="108" t="s">
        <v>191</v>
      </c>
      <c r="C2767" s="108" t="s">
        <v>726</v>
      </c>
      <c r="D2767" s="112" t="s">
        <v>181</v>
      </c>
      <c r="E2767" s="112">
        <v>6.6</v>
      </c>
      <c r="F2767" s="111" t="str">
        <f>DataPull!D2767</f>
        <v/>
      </c>
      <c r="G2767" s="94" t="str">
        <f t="shared" si="2"/>
        <v/>
      </c>
      <c r="H2767" s="94" t="str">
        <f t="shared" si="3"/>
        <v/>
      </c>
      <c r="I2767" s="94" t="str">
        <f t="shared" ref="I2767:J2767" si="2768">if(G2767 = "", , -G2767)</f>
        <v/>
      </c>
      <c r="J2767" s="94" t="str">
        <f t="shared" si="2768"/>
        <v/>
      </c>
      <c r="K2767" s="100"/>
      <c r="M2767" s="100"/>
      <c r="N2767" s="100"/>
      <c r="O2767" s="100"/>
      <c r="P2767" s="100"/>
    </row>
    <row r="2768">
      <c r="A2768" s="107">
        <v>203705.0</v>
      </c>
      <c r="B2768" s="108" t="s">
        <v>191</v>
      </c>
      <c r="C2768" s="108" t="s">
        <v>727</v>
      </c>
      <c r="D2768" s="112" t="s">
        <v>187</v>
      </c>
      <c r="E2768" s="112">
        <v>216.0</v>
      </c>
      <c r="F2768" s="111" t="str">
        <f>DataPull!D2768</f>
        <v/>
      </c>
      <c r="G2768" s="94" t="str">
        <f t="shared" si="2"/>
        <v/>
      </c>
      <c r="H2768" s="94" t="str">
        <f t="shared" si="3"/>
        <v/>
      </c>
      <c r="I2768" s="94" t="str">
        <f t="shared" ref="I2768:J2768" si="2769">if(G2768 = "", , -G2768)</f>
        <v/>
      </c>
      <c r="J2768" s="94" t="str">
        <f t="shared" si="2769"/>
        <v/>
      </c>
      <c r="K2768" s="100"/>
      <c r="L2768" s="100"/>
      <c r="M2768" s="100"/>
      <c r="N2768" s="100"/>
      <c r="O2768" s="100"/>
      <c r="P2768" s="100"/>
    </row>
    <row r="2769">
      <c r="A2769" s="107">
        <v>203705.0</v>
      </c>
      <c r="B2769" s="108" t="s">
        <v>193</v>
      </c>
      <c r="C2769" s="108" t="s">
        <v>727</v>
      </c>
      <c r="D2769" s="112" t="s">
        <v>187</v>
      </c>
      <c r="E2769" s="112">
        <v>37.6</v>
      </c>
      <c r="F2769" s="111" t="str">
        <f>DataPull!D2769</f>
        <v/>
      </c>
      <c r="G2769" s="94" t="str">
        <f t="shared" si="2"/>
        <v/>
      </c>
      <c r="H2769" s="94" t="str">
        <f t="shared" si="3"/>
        <v/>
      </c>
      <c r="I2769" s="94" t="str">
        <f t="shared" ref="I2769:J2769" si="2770">if(G2769 = "", , -G2769)</f>
        <v/>
      </c>
      <c r="J2769" s="94" t="str">
        <f t="shared" si="2770"/>
        <v/>
      </c>
      <c r="K2769" s="100"/>
      <c r="M2769" s="100"/>
      <c r="N2769" s="100"/>
      <c r="O2769" s="100"/>
      <c r="P2769" s="100"/>
    </row>
    <row r="2770">
      <c r="A2770" s="107">
        <v>203710.0</v>
      </c>
      <c r="B2770" s="108" t="s">
        <v>191</v>
      </c>
      <c r="C2770" s="108" t="s">
        <v>728</v>
      </c>
      <c r="D2770" s="112" t="s">
        <v>177</v>
      </c>
      <c r="E2770" s="112">
        <v>706.8</v>
      </c>
      <c r="F2770" s="111" t="str">
        <f>DataPull!D2770</f>
        <v/>
      </c>
      <c r="G2770" s="94" t="str">
        <f t="shared" si="2"/>
        <v/>
      </c>
      <c r="H2770" s="94" t="str">
        <f t="shared" si="3"/>
        <v/>
      </c>
      <c r="I2770" s="94" t="str">
        <f t="shared" ref="I2770:J2770" si="2771">if(G2770 = "", , -G2770)</f>
        <v/>
      </c>
      <c r="J2770" s="94" t="str">
        <f t="shared" si="2771"/>
        <v/>
      </c>
      <c r="K2770" s="100"/>
      <c r="L2770" s="100"/>
      <c r="M2770" s="100"/>
      <c r="N2770" s="100"/>
      <c r="O2770" s="100"/>
      <c r="P2770" s="100"/>
    </row>
    <row r="2771">
      <c r="A2771" s="107">
        <v>203710.0</v>
      </c>
      <c r="B2771" s="108" t="s">
        <v>192</v>
      </c>
      <c r="C2771" s="108" t="s">
        <v>728</v>
      </c>
      <c r="D2771" s="112" t="s">
        <v>187</v>
      </c>
      <c r="E2771" s="112">
        <v>127.5</v>
      </c>
      <c r="F2771" s="111" t="str">
        <f>DataPull!D2771</f>
        <v/>
      </c>
      <c r="G2771" s="94" t="str">
        <f t="shared" si="2"/>
        <v/>
      </c>
      <c r="H2771" s="94" t="str">
        <f t="shared" si="3"/>
        <v/>
      </c>
      <c r="I2771" s="94" t="str">
        <f t="shared" ref="I2771:J2771" si="2772">if(G2771 = "", , -G2771)</f>
        <v/>
      </c>
      <c r="J2771" s="94" t="str">
        <f t="shared" si="2772"/>
        <v/>
      </c>
      <c r="K2771" s="100"/>
      <c r="M2771" s="100"/>
      <c r="N2771" s="100"/>
      <c r="O2771" s="100"/>
      <c r="P2771" s="100"/>
    </row>
    <row r="2772">
      <c r="A2772" s="107">
        <v>203798.0</v>
      </c>
      <c r="B2772" s="108" t="s">
        <v>90</v>
      </c>
      <c r="C2772" s="108" t="s">
        <v>729</v>
      </c>
      <c r="D2772" s="112" t="s">
        <v>177</v>
      </c>
      <c r="E2772" s="112">
        <v>688.5</v>
      </c>
      <c r="F2772" s="111" t="str">
        <f>DataPull!D2772</f>
        <v/>
      </c>
      <c r="G2772" s="94" t="str">
        <f t="shared" si="2"/>
        <v/>
      </c>
      <c r="H2772" s="94" t="str">
        <f t="shared" si="3"/>
        <v/>
      </c>
      <c r="I2772" s="94" t="str">
        <f t="shared" ref="I2772:J2772" si="2773">if(G2772 = "", , -G2772)</f>
        <v/>
      </c>
      <c r="J2772" s="94" t="str">
        <f t="shared" si="2773"/>
        <v/>
      </c>
      <c r="K2772" s="100"/>
      <c r="M2772" s="100"/>
      <c r="N2772" s="100"/>
      <c r="O2772" s="100"/>
      <c r="P2772" s="100"/>
    </row>
    <row r="2773">
      <c r="A2773" s="107">
        <v>203798.0</v>
      </c>
      <c r="B2773" s="108" t="s">
        <v>92</v>
      </c>
      <c r="C2773" s="108" t="s">
        <v>729</v>
      </c>
      <c r="D2773" s="112" t="s">
        <v>177</v>
      </c>
      <c r="E2773" s="112">
        <v>1313.4</v>
      </c>
      <c r="F2773" s="111" t="str">
        <f>DataPull!D2773</f>
        <v/>
      </c>
      <c r="G2773" s="94" t="str">
        <f t="shared" si="2"/>
        <v/>
      </c>
      <c r="H2773" s="94" t="str">
        <f t="shared" si="3"/>
        <v/>
      </c>
      <c r="I2773" s="94" t="str">
        <f t="shared" ref="I2773:J2773" si="2774">if(G2773 = "", , -G2773)</f>
        <v/>
      </c>
      <c r="J2773" s="94" t="str">
        <f t="shared" si="2774"/>
        <v/>
      </c>
      <c r="K2773" s="100"/>
      <c r="M2773" s="100"/>
      <c r="N2773" s="100"/>
      <c r="O2773" s="100"/>
      <c r="P2773" s="100"/>
    </row>
    <row r="2774">
      <c r="A2774" s="107">
        <v>203805.0</v>
      </c>
      <c r="B2774" s="108" t="s">
        <v>90</v>
      </c>
      <c r="C2774" s="108" t="s">
        <v>730</v>
      </c>
      <c r="D2774" s="112"/>
      <c r="E2774" s="112">
        <v>69.6</v>
      </c>
      <c r="F2774" s="111" t="str">
        <f>DataPull!D2774</f>
        <v/>
      </c>
      <c r="G2774" s="94" t="str">
        <f t="shared" si="2"/>
        <v/>
      </c>
      <c r="H2774" s="94" t="str">
        <f t="shared" si="3"/>
        <v/>
      </c>
      <c r="I2774" s="94" t="str">
        <f t="shared" ref="I2774:J2774" si="2775">if(G2774 = "", , -G2774)</f>
        <v/>
      </c>
      <c r="J2774" s="94" t="str">
        <f t="shared" si="2775"/>
        <v/>
      </c>
      <c r="K2774" s="100"/>
      <c r="M2774" s="100"/>
      <c r="N2774" s="100"/>
      <c r="O2774" s="100"/>
      <c r="P2774" s="100"/>
    </row>
    <row r="2775">
      <c r="A2775" s="107">
        <v>203810.0</v>
      </c>
      <c r="B2775" s="108" t="s">
        <v>85</v>
      </c>
      <c r="C2775" s="108" t="s">
        <v>731</v>
      </c>
      <c r="D2775" s="112" t="s">
        <v>187</v>
      </c>
      <c r="E2775" s="112">
        <v>116.1</v>
      </c>
      <c r="F2775" s="111" t="str">
        <f>DataPull!D2775</f>
        <v/>
      </c>
      <c r="G2775" s="94" t="str">
        <f t="shared" si="2"/>
        <v/>
      </c>
      <c r="H2775" s="94" t="str">
        <f t="shared" si="3"/>
        <v/>
      </c>
      <c r="I2775" s="94" t="str">
        <f t="shared" ref="I2775:J2775" si="2776">if(G2775 = "", , -G2775)</f>
        <v/>
      </c>
      <c r="J2775" s="94" t="str">
        <f t="shared" si="2776"/>
        <v/>
      </c>
      <c r="K2775" s="100"/>
      <c r="M2775" s="100"/>
      <c r="N2775" s="100"/>
      <c r="O2775" s="100"/>
      <c r="P2775" s="100"/>
    </row>
    <row r="2776">
      <c r="A2776" s="107">
        <v>203816.0</v>
      </c>
      <c r="B2776" s="108" t="s">
        <v>85</v>
      </c>
      <c r="C2776" s="108" t="s">
        <v>732</v>
      </c>
      <c r="D2776" s="112" t="s">
        <v>181</v>
      </c>
      <c r="E2776" s="112">
        <v>6.8</v>
      </c>
      <c r="F2776" s="111" t="str">
        <f>DataPull!D2776</f>
        <v/>
      </c>
      <c r="G2776" s="94" t="str">
        <f t="shared" si="2"/>
        <v/>
      </c>
      <c r="H2776" s="94" t="str">
        <f t="shared" si="3"/>
        <v/>
      </c>
      <c r="I2776" s="94" t="str">
        <f t="shared" ref="I2776:J2776" si="2777">if(G2776 = "", , -G2776)</f>
        <v/>
      </c>
      <c r="J2776" s="94" t="str">
        <f t="shared" si="2777"/>
        <v/>
      </c>
      <c r="K2776" s="100"/>
      <c r="M2776" s="100"/>
      <c r="N2776" s="100"/>
      <c r="O2776" s="100"/>
      <c r="P2776" s="100"/>
    </row>
    <row r="2777">
      <c r="A2777" s="107">
        <v>203816.0</v>
      </c>
      <c r="B2777" s="108" t="s">
        <v>191</v>
      </c>
      <c r="C2777" s="108" t="s">
        <v>732</v>
      </c>
      <c r="D2777" s="112" t="s">
        <v>181</v>
      </c>
      <c r="E2777" s="112">
        <v>8.4</v>
      </c>
      <c r="F2777" s="111" t="str">
        <f>DataPull!D2777</f>
        <v/>
      </c>
      <c r="G2777" s="94" t="str">
        <f t="shared" si="2"/>
        <v/>
      </c>
      <c r="H2777" s="94" t="str">
        <f t="shared" si="3"/>
        <v/>
      </c>
      <c r="I2777" s="94" t="str">
        <f t="shared" ref="I2777:J2777" si="2778">if(G2777 = "", , -G2777)</f>
        <v/>
      </c>
      <c r="J2777" s="94" t="str">
        <f t="shared" si="2778"/>
        <v/>
      </c>
      <c r="K2777" s="100"/>
      <c r="M2777" s="100"/>
      <c r="N2777" s="100"/>
      <c r="O2777" s="100"/>
      <c r="P2777" s="100"/>
    </row>
    <row r="2778">
      <c r="A2778" s="107">
        <v>203816.0</v>
      </c>
      <c r="B2778" s="108" t="s">
        <v>215</v>
      </c>
      <c r="C2778" s="108" t="s">
        <v>732</v>
      </c>
      <c r="D2778" s="112" t="s">
        <v>181</v>
      </c>
      <c r="E2778" s="112">
        <v>17.7</v>
      </c>
      <c r="F2778" s="111" t="str">
        <f>DataPull!D2778</f>
        <v/>
      </c>
      <c r="G2778" s="94" t="str">
        <f t="shared" si="2"/>
        <v/>
      </c>
      <c r="H2778" s="94" t="str">
        <f t="shared" si="3"/>
        <v/>
      </c>
      <c r="I2778" s="94" t="str">
        <f t="shared" ref="I2778:J2778" si="2779">if(G2778 = "", , -G2778)</f>
        <v/>
      </c>
      <c r="J2778" s="94" t="str">
        <f t="shared" si="2779"/>
        <v/>
      </c>
      <c r="K2778" s="100"/>
      <c r="M2778" s="100"/>
      <c r="N2778" s="100"/>
      <c r="O2778" s="100"/>
      <c r="P2778" s="100"/>
    </row>
    <row r="2779">
      <c r="A2779" s="107">
        <v>203893.0</v>
      </c>
      <c r="B2779" s="108" t="s">
        <v>90</v>
      </c>
      <c r="C2779" s="108" t="s">
        <v>733</v>
      </c>
      <c r="D2779" s="112" t="s">
        <v>181</v>
      </c>
      <c r="E2779" s="112">
        <v>64.8</v>
      </c>
      <c r="F2779" s="111" t="str">
        <f>DataPull!D2779</f>
        <v/>
      </c>
      <c r="G2779" s="94" t="str">
        <f t="shared" si="2"/>
        <v/>
      </c>
      <c r="H2779" s="94" t="str">
        <f t="shared" si="3"/>
        <v/>
      </c>
      <c r="I2779" s="94" t="str">
        <f t="shared" ref="I2779:J2779" si="2780">if(G2779 = "", , -G2779)</f>
        <v/>
      </c>
      <c r="J2779" s="94" t="str">
        <f t="shared" si="2780"/>
        <v/>
      </c>
      <c r="K2779" s="100"/>
      <c r="M2779" s="100"/>
      <c r="N2779" s="100"/>
      <c r="O2779" s="100"/>
      <c r="P2779" s="100"/>
    </row>
    <row r="2780">
      <c r="A2780" s="107">
        <v>203893.0</v>
      </c>
      <c r="B2780" s="108" t="s">
        <v>92</v>
      </c>
      <c r="C2780" s="108" t="s">
        <v>733</v>
      </c>
      <c r="D2780" s="112" t="s">
        <v>187</v>
      </c>
      <c r="E2780" s="112">
        <v>66.0</v>
      </c>
      <c r="F2780" s="111" t="str">
        <f>DataPull!D2780</f>
        <v/>
      </c>
      <c r="G2780" s="94" t="str">
        <f t="shared" si="2"/>
        <v/>
      </c>
      <c r="H2780" s="94" t="str">
        <f t="shared" si="3"/>
        <v/>
      </c>
      <c r="I2780" s="94" t="str">
        <f t="shared" ref="I2780:J2780" si="2781">if(G2780 = "", , -G2780)</f>
        <v/>
      </c>
      <c r="J2780" s="94" t="str">
        <f t="shared" si="2781"/>
        <v/>
      </c>
      <c r="K2780" s="100"/>
      <c r="M2780" s="100"/>
      <c r="N2780" s="100"/>
      <c r="O2780" s="100"/>
      <c r="P2780" s="100"/>
    </row>
    <row r="2781">
      <c r="A2781" s="107">
        <v>203894.0</v>
      </c>
      <c r="B2781" s="108" t="s">
        <v>90</v>
      </c>
      <c r="C2781" s="108" t="s">
        <v>734</v>
      </c>
      <c r="D2781" s="112" t="s">
        <v>177</v>
      </c>
      <c r="E2781" s="112">
        <v>1009.8</v>
      </c>
      <c r="F2781" s="111" t="str">
        <f>DataPull!D2781</f>
        <v/>
      </c>
      <c r="G2781" s="94" t="str">
        <f t="shared" si="2"/>
        <v/>
      </c>
      <c r="H2781" s="94" t="str">
        <f t="shared" si="3"/>
        <v/>
      </c>
      <c r="I2781" s="94" t="str">
        <f t="shared" ref="I2781:J2781" si="2782">if(G2781 = "", , -G2781)</f>
        <v/>
      </c>
      <c r="J2781" s="94" t="str">
        <f t="shared" si="2782"/>
        <v/>
      </c>
      <c r="K2781" s="100"/>
      <c r="M2781" s="100"/>
      <c r="N2781" s="100"/>
      <c r="O2781" s="100"/>
      <c r="P2781" s="100"/>
    </row>
    <row r="2782">
      <c r="A2782" s="107">
        <v>203894.0</v>
      </c>
      <c r="B2782" s="108" t="s">
        <v>92</v>
      </c>
      <c r="C2782" s="108" t="s">
        <v>734</v>
      </c>
      <c r="D2782" s="112" t="s">
        <v>177</v>
      </c>
      <c r="E2782" s="112">
        <v>599.5</v>
      </c>
      <c r="F2782" s="111" t="str">
        <f>DataPull!D2782</f>
        <v/>
      </c>
      <c r="G2782" s="94" t="str">
        <f t="shared" si="2"/>
        <v/>
      </c>
      <c r="H2782" s="94" t="str">
        <f t="shared" si="3"/>
        <v/>
      </c>
      <c r="I2782" s="94" t="str">
        <f t="shared" ref="I2782:J2782" si="2783">if(G2782 = "", , -G2782)</f>
        <v/>
      </c>
      <c r="J2782" s="94" t="str">
        <f t="shared" si="2783"/>
        <v/>
      </c>
      <c r="K2782" s="100"/>
      <c r="M2782" s="100"/>
      <c r="N2782" s="100"/>
      <c r="O2782" s="100"/>
      <c r="P2782" s="100"/>
    </row>
    <row r="2783">
      <c r="A2783" s="107">
        <v>203894.0</v>
      </c>
      <c r="B2783" s="108" t="s">
        <v>190</v>
      </c>
      <c r="C2783" s="108" t="s">
        <v>734</v>
      </c>
      <c r="D2783" s="112" t="s">
        <v>187</v>
      </c>
      <c r="E2783" s="112">
        <v>514.1</v>
      </c>
      <c r="F2783" s="111" t="str">
        <f>DataPull!D2783</f>
        <v/>
      </c>
      <c r="G2783" s="94" t="str">
        <f t="shared" si="2"/>
        <v/>
      </c>
      <c r="H2783" s="94" t="str">
        <f t="shared" si="3"/>
        <v/>
      </c>
      <c r="I2783" s="94" t="str">
        <f t="shared" ref="I2783:J2783" si="2784">if(G2783 = "", , -G2783)</f>
        <v/>
      </c>
      <c r="J2783" s="94" t="str">
        <f t="shared" si="2784"/>
        <v/>
      </c>
      <c r="K2783" s="100"/>
      <c r="M2783" s="100"/>
      <c r="N2783" s="100"/>
      <c r="O2783" s="100"/>
      <c r="P2783" s="100"/>
    </row>
    <row r="2784">
      <c r="A2784" s="107">
        <v>203894.0</v>
      </c>
      <c r="B2784" s="108" t="s">
        <v>191</v>
      </c>
      <c r="C2784" s="108" t="s">
        <v>734</v>
      </c>
      <c r="D2784" s="112" t="s">
        <v>176</v>
      </c>
      <c r="E2784" s="112">
        <v>1531.8</v>
      </c>
      <c r="F2784" s="111" t="str">
        <f>DataPull!D2784</f>
        <v/>
      </c>
      <c r="G2784" s="94" t="str">
        <f t="shared" si="2"/>
        <v/>
      </c>
      <c r="H2784" s="94" t="str">
        <f t="shared" si="3"/>
        <v/>
      </c>
      <c r="I2784" s="94" t="str">
        <f t="shared" ref="I2784:J2784" si="2785">if(G2784 = "", , -G2784)</f>
        <v/>
      </c>
      <c r="J2784" s="94" t="str">
        <f t="shared" si="2785"/>
        <v/>
      </c>
      <c r="K2784" s="100"/>
      <c r="L2784" s="100"/>
      <c r="M2784" s="100"/>
      <c r="N2784" s="100"/>
      <c r="O2784" s="100"/>
      <c r="P2784" s="100"/>
    </row>
    <row r="2785">
      <c r="A2785" s="107">
        <v>203894.0</v>
      </c>
      <c r="B2785" s="108" t="s">
        <v>192</v>
      </c>
      <c r="C2785" s="108" t="s">
        <v>734</v>
      </c>
      <c r="D2785" s="112" t="s">
        <v>177</v>
      </c>
      <c r="E2785" s="112">
        <v>985.6</v>
      </c>
      <c r="F2785" s="111" t="str">
        <f>DataPull!D2785</f>
        <v/>
      </c>
      <c r="G2785" s="94" t="str">
        <f t="shared" si="2"/>
        <v/>
      </c>
      <c r="H2785" s="94" t="str">
        <f t="shared" si="3"/>
        <v/>
      </c>
      <c r="I2785" s="94" t="str">
        <f t="shared" ref="I2785:J2785" si="2786">if(G2785 = "", , -G2785)</f>
        <v/>
      </c>
      <c r="J2785" s="94" t="str">
        <f t="shared" si="2786"/>
        <v/>
      </c>
      <c r="K2785" s="100"/>
      <c r="L2785" s="100"/>
      <c r="M2785" s="100"/>
      <c r="N2785" s="100"/>
      <c r="O2785" s="100"/>
      <c r="P2785" s="100"/>
    </row>
    <row r="2786">
      <c r="A2786" s="107">
        <v>203894.0</v>
      </c>
      <c r="B2786" s="108" t="s">
        <v>193</v>
      </c>
      <c r="C2786" s="108" t="s">
        <v>734</v>
      </c>
      <c r="D2786" s="112" t="s">
        <v>176</v>
      </c>
      <c r="E2786" s="112">
        <v>1344.0</v>
      </c>
      <c r="F2786" s="111" t="str">
        <f>DataPull!D2786</f>
        <v/>
      </c>
      <c r="G2786" s="94" t="str">
        <f t="shared" si="2"/>
        <v/>
      </c>
      <c r="H2786" s="94" t="str">
        <f t="shared" si="3"/>
        <v/>
      </c>
      <c r="I2786" s="94" t="str">
        <f t="shared" ref="I2786:J2786" si="2787">if(G2786 = "", , -G2786)</f>
        <v/>
      </c>
      <c r="J2786" s="94" t="str">
        <f t="shared" si="2787"/>
        <v/>
      </c>
      <c r="K2786" s="100"/>
      <c r="M2786" s="100"/>
      <c r="N2786" s="100"/>
      <c r="O2786" s="100"/>
      <c r="P2786" s="100"/>
    </row>
    <row r="2787">
      <c r="A2787" s="107">
        <v>203895.0</v>
      </c>
      <c r="B2787" s="108" t="s">
        <v>92</v>
      </c>
      <c r="C2787" s="108" t="s">
        <v>735</v>
      </c>
      <c r="D2787" s="112" t="s">
        <v>187</v>
      </c>
      <c r="E2787" s="112">
        <v>195.8</v>
      </c>
      <c r="F2787" s="111" t="str">
        <f>DataPull!D2787</f>
        <v/>
      </c>
      <c r="G2787" s="94" t="str">
        <f t="shared" si="2"/>
        <v/>
      </c>
      <c r="H2787" s="94" t="str">
        <f t="shared" si="3"/>
        <v/>
      </c>
      <c r="I2787" s="94" t="str">
        <f t="shared" ref="I2787:J2787" si="2788">if(G2787 = "", , -G2787)</f>
        <v/>
      </c>
      <c r="J2787" s="94" t="str">
        <f t="shared" si="2788"/>
        <v/>
      </c>
      <c r="K2787" s="100"/>
      <c r="L2787" s="100"/>
      <c r="M2787" s="100"/>
      <c r="N2787" s="100"/>
      <c r="O2787" s="100"/>
      <c r="P2787" s="100"/>
    </row>
    <row r="2788">
      <c r="A2788" s="107">
        <v>203895.0</v>
      </c>
      <c r="B2788" s="108" t="s">
        <v>190</v>
      </c>
      <c r="C2788" s="108" t="s">
        <v>735</v>
      </c>
      <c r="D2788" s="112" t="s">
        <v>177</v>
      </c>
      <c r="E2788" s="112">
        <v>384.8</v>
      </c>
      <c r="F2788" s="111" t="str">
        <f>DataPull!D2788</f>
        <v/>
      </c>
      <c r="G2788" s="94" t="str">
        <f t="shared" si="2"/>
        <v/>
      </c>
      <c r="H2788" s="94" t="str">
        <f t="shared" si="3"/>
        <v/>
      </c>
      <c r="I2788" s="94" t="str">
        <f t="shared" ref="I2788:J2788" si="2789">if(G2788 = "", , -G2788)</f>
        <v/>
      </c>
      <c r="J2788" s="94" t="str">
        <f t="shared" si="2789"/>
        <v/>
      </c>
      <c r="K2788" s="100"/>
      <c r="M2788" s="100"/>
      <c r="N2788" s="100"/>
      <c r="O2788" s="100"/>
      <c r="P2788" s="100"/>
    </row>
    <row r="2789">
      <c r="A2789" s="107">
        <v>203895.0</v>
      </c>
      <c r="B2789" s="108" t="s">
        <v>192</v>
      </c>
      <c r="C2789" s="108" t="s">
        <v>735</v>
      </c>
      <c r="D2789" s="112" t="s">
        <v>177</v>
      </c>
      <c r="E2789" s="112">
        <v>332.1</v>
      </c>
      <c r="F2789" s="111" t="str">
        <f>DataPull!D2789</f>
        <v/>
      </c>
      <c r="G2789" s="94" t="str">
        <f t="shared" si="2"/>
        <v/>
      </c>
      <c r="H2789" s="94" t="str">
        <f t="shared" si="3"/>
        <v/>
      </c>
      <c r="I2789" s="94" t="str">
        <f t="shared" ref="I2789:J2789" si="2790">if(G2789 = "", , -G2789)</f>
        <v/>
      </c>
      <c r="J2789" s="94" t="str">
        <f t="shared" si="2790"/>
        <v/>
      </c>
      <c r="K2789" s="100"/>
      <c r="M2789" s="100"/>
      <c r="N2789" s="100"/>
      <c r="O2789" s="100"/>
      <c r="P2789" s="100"/>
    </row>
    <row r="2790">
      <c r="A2790" s="107">
        <v>203895.0</v>
      </c>
      <c r="B2790" s="108" t="s">
        <v>193</v>
      </c>
      <c r="C2790" s="108" t="s">
        <v>735</v>
      </c>
      <c r="D2790" s="112" t="s">
        <v>176</v>
      </c>
      <c r="E2790" s="112">
        <v>784.4</v>
      </c>
      <c r="F2790" s="111" t="str">
        <f>DataPull!D2790</f>
        <v/>
      </c>
      <c r="G2790" s="94" t="str">
        <f t="shared" si="2"/>
        <v/>
      </c>
      <c r="H2790" s="94" t="str">
        <f t="shared" si="3"/>
        <v/>
      </c>
      <c r="I2790" s="94" t="str">
        <f t="shared" ref="I2790:J2790" si="2791">if(G2790 = "", , -G2790)</f>
        <v/>
      </c>
      <c r="J2790" s="94" t="str">
        <f t="shared" si="2791"/>
        <v/>
      </c>
      <c r="K2790" s="100"/>
      <c r="M2790" s="100"/>
      <c r="N2790" s="100"/>
      <c r="O2790" s="100"/>
      <c r="P2790" s="100"/>
    </row>
    <row r="2791">
      <c r="A2791" s="107">
        <v>203897.0</v>
      </c>
      <c r="B2791" s="108" t="s">
        <v>90</v>
      </c>
      <c r="C2791" s="108" t="s">
        <v>736</v>
      </c>
      <c r="D2791" s="112" t="s">
        <v>176</v>
      </c>
      <c r="E2791" s="112">
        <v>1901.9</v>
      </c>
      <c r="F2791" s="111" t="str">
        <f>DataPull!D2791</f>
        <v/>
      </c>
      <c r="G2791" s="94" t="str">
        <f t="shared" si="2"/>
        <v/>
      </c>
      <c r="H2791" s="94" t="str">
        <f t="shared" si="3"/>
        <v/>
      </c>
      <c r="I2791" s="94" t="str">
        <f t="shared" ref="I2791:J2791" si="2792">if(G2791 = "", , -G2791)</f>
        <v/>
      </c>
      <c r="J2791" s="94" t="str">
        <f t="shared" si="2792"/>
        <v/>
      </c>
      <c r="K2791" s="100"/>
      <c r="M2791" s="100"/>
      <c r="N2791" s="100"/>
      <c r="O2791" s="100"/>
      <c r="P2791" s="100"/>
    </row>
    <row r="2792">
      <c r="A2792" s="107">
        <v>203897.0</v>
      </c>
      <c r="B2792" s="108" t="s">
        <v>92</v>
      </c>
      <c r="C2792" s="108" t="s">
        <v>736</v>
      </c>
      <c r="D2792" s="112" t="s">
        <v>178</v>
      </c>
      <c r="E2792" s="112">
        <v>2296.0</v>
      </c>
      <c r="F2792" s="111" t="str">
        <f>DataPull!D2792</f>
        <v/>
      </c>
      <c r="G2792" s="94" t="str">
        <f t="shared" si="2"/>
        <v/>
      </c>
      <c r="H2792" s="94" t="str">
        <f t="shared" si="3"/>
        <v/>
      </c>
      <c r="I2792" s="94" t="str">
        <f t="shared" ref="I2792:J2792" si="2793">if(G2792 = "", , -G2792)</f>
        <v/>
      </c>
      <c r="J2792" s="94" t="str">
        <f t="shared" si="2793"/>
        <v/>
      </c>
      <c r="K2792" s="100"/>
      <c r="L2792" s="100"/>
      <c r="N2792" s="100"/>
      <c r="O2792" s="100"/>
      <c r="P2792" s="100"/>
    </row>
    <row r="2793">
      <c r="A2793" s="107">
        <v>203897.0</v>
      </c>
      <c r="B2793" s="108" t="s">
        <v>190</v>
      </c>
      <c r="C2793" s="108" t="s">
        <v>736</v>
      </c>
      <c r="D2793" s="112" t="s">
        <v>178</v>
      </c>
      <c r="E2793" s="112">
        <v>1748.4</v>
      </c>
      <c r="F2793" s="111" t="str">
        <f>DataPull!D2793</f>
        <v/>
      </c>
      <c r="G2793" s="94" t="str">
        <f t="shared" si="2"/>
        <v/>
      </c>
      <c r="H2793" s="94" t="str">
        <f t="shared" si="3"/>
        <v/>
      </c>
      <c r="I2793" s="94" t="str">
        <f t="shared" ref="I2793:J2793" si="2794">if(G2793 = "", , -G2793)</f>
        <v/>
      </c>
      <c r="J2793" s="94" t="str">
        <f t="shared" si="2794"/>
        <v/>
      </c>
      <c r="K2793" s="100"/>
      <c r="M2793" s="100"/>
      <c r="N2793" s="100"/>
      <c r="O2793" s="100"/>
      <c r="P2793" s="100"/>
    </row>
    <row r="2794">
      <c r="A2794" s="107">
        <v>203897.0</v>
      </c>
      <c r="B2794" s="108" t="s">
        <v>191</v>
      </c>
      <c r="C2794" s="108" t="s">
        <v>736</v>
      </c>
      <c r="D2794" s="112" t="s">
        <v>178</v>
      </c>
      <c r="E2794" s="112">
        <v>655.2</v>
      </c>
      <c r="F2794" s="111" t="str">
        <f>DataPull!D2794</f>
        <v/>
      </c>
      <c r="G2794" s="94" t="str">
        <f t="shared" si="2"/>
        <v/>
      </c>
      <c r="H2794" s="94" t="str">
        <f t="shared" si="3"/>
        <v/>
      </c>
      <c r="I2794" s="94" t="str">
        <f t="shared" ref="I2794:J2794" si="2795">if(G2794 = "", , -G2794)</f>
        <v/>
      </c>
      <c r="J2794" s="94" t="str">
        <f t="shared" si="2795"/>
        <v/>
      </c>
      <c r="K2794" s="100"/>
      <c r="M2794" s="100"/>
      <c r="N2794" s="100"/>
      <c r="P2794" s="100"/>
    </row>
    <row r="2795">
      <c r="A2795" s="107">
        <v>203897.0</v>
      </c>
      <c r="B2795" s="108" t="s">
        <v>192</v>
      </c>
      <c r="C2795" s="108" t="s">
        <v>736</v>
      </c>
      <c r="D2795" s="112" t="s">
        <v>178</v>
      </c>
      <c r="E2795" s="112">
        <v>2173.5</v>
      </c>
      <c r="F2795" s="111" t="str">
        <f>DataPull!D2795</f>
        <v/>
      </c>
      <c r="G2795" s="94" t="str">
        <f t="shared" si="2"/>
        <v/>
      </c>
      <c r="H2795" s="94" t="str">
        <f t="shared" si="3"/>
        <v/>
      </c>
      <c r="I2795" s="94" t="str">
        <f t="shared" ref="I2795:J2795" si="2796">if(G2795 = "", , -G2795)</f>
        <v/>
      </c>
      <c r="J2795" s="94" t="str">
        <f t="shared" si="2796"/>
        <v/>
      </c>
      <c r="K2795" s="100"/>
      <c r="M2795" s="100"/>
      <c r="N2795" s="100"/>
      <c r="O2795" s="100"/>
    </row>
    <row r="2796">
      <c r="A2796" s="107">
        <v>203897.0</v>
      </c>
      <c r="B2796" s="108" t="s">
        <v>193</v>
      </c>
      <c r="C2796" s="108" t="s">
        <v>736</v>
      </c>
      <c r="D2796" s="112" t="s">
        <v>178</v>
      </c>
      <c r="E2796" s="112">
        <v>2088.0</v>
      </c>
      <c r="F2796" s="111" t="str">
        <f>DataPull!D2796</f>
        <v/>
      </c>
      <c r="G2796" s="94" t="str">
        <f t="shared" si="2"/>
        <v/>
      </c>
      <c r="H2796" s="94" t="str">
        <f t="shared" si="3"/>
        <v/>
      </c>
      <c r="I2796" s="94" t="str">
        <f t="shared" ref="I2796:J2796" si="2797">if(G2796 = "", , -G2796)</f>
        <v/>
      </c>
      <c r="J2796" s="94" t="str">
        <f t="shared" si="2797"/>
        <v/>
      </c>
      <c r="K2796" s="100"/>
      <c r="M2796" s="100"/>
      <c r="N2796" s="100"/>
      <c r="O2796" s="100"/>
    </row>
    <row r="2797">
      <c r="A2797" s="107">
        <v>203897.0</v>
      </c>
      <c r="B2797" s="108" t="s">
        <v>243</v>
      </c>
      <c r="C2797" s="108" t="s">
        <v>736</v>
      </c>
      <c r="D2797" s="112" t="s">
        <v>178</v>
      </c>
      <c r="E2797" s="112">
        <v>2035.8</v>
      </c>
      <c r="F2797" s="111" t="str">
        <f>DataPull!D2797</f>
        <v/>
      </c>
      <c r="G2797" s="94" t="str">
        <f t="shared" si="2"/>
        <v/>
      </c>
      <c r="H2797" s="94" t="str">
        <f t="shared" si="3"/>
        <v/>
      </c>
      <c r="I2797" s="94" t="str">
        <f t="shared" ref="I2797:J2797" si="2798">if(G2797 = "", , -G2797)</f>
        <v/>
      </c>
      <c r="J2797" s="94" t="str">
        <f t="shared" si="2798"/>
        <v/>
      </c>
      <c r="K2797" s="100"/>
      <c r="M2797" s="100"/>
      <c r="N2797" s="100"/>
      <c r="O2797" s="100"/>
      <c r="P2797" s="100"/>
    </row>
    <row r="2798">
      <c r="A2798" s="107">
        <v>203897.0</v>
      </c>
      <c r="B2798" s="108" t="s">
        <v>215</v>
      </c>
      <c r="C2798" s="108" t="s">
        <v>736</v>
      </c>
      <c r="D2798" s="112" t="s">
        <v>184</v>
      </c>
      <c r="E2798" s="112">
        <v>2324.9</v>
      </c>
      <c r="F2798" s="111" t="str">
        <f>DataPull!D2798</f>
        <v/>
      </c>
      <c r="G2798" s="94" t="str">
        <f t="shared" si="2"/>
        <v/>
      </c>
      <c r="H2798" s="94" t="str">
        <f t="shared" si="3"/>
        <v/>
      </c>
      <c r="I2798" s="94" t="str">
        <f t="shared" ref="I2798:J2798" si="2799">if(G2798 = "", , -G2798)</f>
        <v/>
      </c>
      <c r="J2798" s="94" t="str">
        <f t="shared" si="2799"/>
        <v/>
      </c>
      <c r="K2798" s="100"/>
      <c r="M2798" s="100"/>
      <c r="N2798" s="100"/>
      <c r="O2798" s="100"/>
      <c r="P2798" s="100"/>
    </row>
    <row r="2799">
      <c r="A2799" s="107">
        <v>203897.0</v>
      </c>
      <c r="B2799" s="108" t="s">
        <v>244</v>
      </c>
      <c r="C2799" s="108" t="s">
        <v>736</v>
      </c>
      <c r="D2799" s="112" t="s">
        <v>178</v>
      </c>
      <c r="E2799" s="112">
        <v>2764.3</v>
      </c>
      <c r="F2799" s="111" t="str">
        <f>DataPull!D2799</f>
        <v/>
      </c>
      <c r="G2799" s="94" t="str">
        <f t="shared" si="2"/>
        <v/>
      </c>
      <c r="H2799" s="94" t="str">
        <f t="shared" si="3"/>
        <v/>
      </c>
      <c r="I2799" s="94" t="str">
        <f t="shared" ref="I2799:J2799" si="2800">if(G2799 = "", , -G2799)</f>
        <v/>
      </c>
      <c r="J2799" s="94" t="str">
        <f t="shared" si="2800"/>
        <v/>
      </c>
      <c r="K2799" s="100"/>
      <c r="M2799" s="100"/>
      <c r="N2799" s="100"/>
      <c r="O2799" s="100"/>
      <c r="P2799" s="100"/>
    </row>
    <row r="2800">
      <c r="A2800" s="107">
        <v>203897.0</v>
      </c>
      <c r="B2800" s="108" t="s">
        <v>245</v>
      </c>
      <c r="C2800" s="108" t="s">
        <v>736</v>
      </c>
      <c r="D2800" s="112" t="s">
        <v>178</v>
      </c>
      <c r="E2800" s="112">
        <v>872.5</v>
      </c>
      <c r="F2800" s="111" t="str">
        <f>DataPull!D2800</f>
        <v/>
      </c>
      <c r="G2800" s="94" t="str">
        <f t="shared" si="2"/>
        <v/>
      </c>
      <c r="H2800" s="94" t="str">
        <f t="shared" si="3"/>
        <v/>
      </c>
      <c r="I2800" s="94" t="str">
        <f t="shared" ref="I2800:J2800" si="2801">if(G2800 = "", , -G2800)</f>
        <v/>
      </c>
      <c r="J2800" s="94" t="str">
        <f t="shared" si="2801"/>
        <v/>
      </c>
      <c r="K2800" s="100"/>
      <c r="M2800" s="100"/>
      <c r="N2800" s="100"/>
      <c r="O2800" s="100"/>
      <c r="P2800" s="100"/>
    </row>
    <row r="2801">
      <c r="A2801" s="107">
        <v>203897.0</v>
      </c>
      <c r="B2801" s="108" t="s">
        <v>246</v>
      </c>
      <c r="C2801" s="108" t="s">
        <v>736</v>
      </c>
      <c r="D2801" s="112" t="s">
        <v>178</v>
      </c>
      <c r="E2801" s="112">
        <v>2604.8</v>
      </c>
      <c r="F2801" s="111" t="str">
        <f>DataPull!D2801</f>
        <v/>
      </c>
      <c r="G2801" s="94" t="str">
        <f t="shared" si="2"/>
        <v/>
      </c>
      <c r="H2801" s="94" t="str">
        <f t="shared" si="3"/>
        <v/>
      </c>
      <c r="I2801" s="94" t="str">
        <f t="shared" ref="I2801:J2801" si="2802">if(G2801 = "", , -G2801)</f>
        <v/>
      </c>
      <c r="J2801" s="94" t="str">
        <f t="shared" si="2802"/>
        <v/>
      </c>
      <c r="K2801" s="100"/>
      <c r="M2801" s="100"/>
      <c r="N2801" s="100"/>
      <c r="O2801" s="100"/>
      <c r="P2801" s="100"/>
    </row>
    <row r="2802">
      <c r="A2802" s="114">
        <v>203897.0</v>
      </c>
      <c r="B2802" s="113" t="s">
        <v>247</v>
      </c>
      <c r="C2802" s="113" t="s">
        <v>736</v>
      </c>
      <c r="D2802" s="112" t="s">
        <v>178</v>
      </c>
      <c r="E2802" s="112">
        <v>1224.6</v>
      </c>
      <c r="F2802" s="111" t="str">
        <f>DataPull!D2802</f>
        <v/>
      </c>
      <c r="G2802" s="94" t="str">
        <f t="shared" si="2"/>
        <v/>
      </c>
      <c r="H2802" s="94" t="str">
        <f t="shared" si="3"/>
        <v/>
      </c>
      <c r="I2802" s="94" t="str">
        <f t="shared" ref="I2802:J2802" si="2803">if(G2802 = "", , -G2802)</f>
        <v/>
      </c>
      <c r="J2802" s="94" t="str">
        <f t="shared" si="2803"/>
        <v/>
      </c>
      <c r="K2802" s="100"/>
      <c r="M2802" s="100"/>
      <c r="N2802" s="100"/>
      <c r="O2802" s="100"/>
      <c r="P2802" s="100"/>
    </row>
    <row r="2803">
      <c r="A2803" s="107">
        <v>203898.0</v>
      </c>
      <c r="B2803" s="108" t="s">
        <v>90</v>
      </c>
      <c r="C2803" s="108" t="s">
        <v>737</v>
      </c>
      <c r="D2803" s="112" t="s">
        <v>177</v>
      </c>
      <c r="E2803" s="112">
        <v>412.5</v>
      </c>
      <c r="F2803" s="111" t="str">
        <f>DataPull!D2803</f>
        <v/>
      </c>
      <c r="G2803" s="94" t="str">
        <f t="shared" si="2"/>
        <v/>
      </c>
      <c r="H2803" s="94" t="str">
        <f t="shared" si="3"/>
        <v/>
      </c>
      <c r="I2803" s="94" t="str">
        <f t="shared" ref="I2803:J2803" si="2804">if(G2803 = "", , -G2803)</f>
        <v/>
      </c>
      <c r="J2803" s="94" t="str">
        <f t="shared" si="2804"/>
        <v/>
      </c>
      <c r="K2803" s="100"/>
      <c r="M2803" s="100"/>
      <c r="N2803" s="100"/>
      <c r="O2803" s="100"/>
      <c r="P2803" s="100"/>
    </row>
    <row r="2804">
      <c r="A2804" s="107">
        <v>203898.0</v>
      </c>
      <c r="B2804" s="108" t="s">
        <v>92</v>
      </c>
      <c r="C2804" s="108" t="s">
        <v>737</v>
      </c>
      <c r="D2804" s="112" t="s">
        <v>177</v>
      </c>
      <c r="E2804" s="112">
        <v>653.2</v>
      </c>
      <c r="F2804" s="111" t="str">
        <f>DataPull!D2804</f>
        <v/>
      </c>
      <c r="G2804" s="94" t="str">
        <f t="shared" si="2"/>
        <v/>
      </c>
      <c r="H2804" s="94" t="str">
        <f t="shared" si="3"/>
        <v/>
      </c>
      <c r="I2804" s="94" t="str">
        <f t="shared" ref="I2804:J2804" si="2805">if(G2804 = "", , -G2804)</f>
        <v/>
      </c>
      <c r="J2804" s="94" t="str">
        <f t="shared" si="2805"/>
        <v/>
      </c>
      <c r="K2804" s="100"/>
      <c r="M2804" s="100"/>
      <c r="N2804" s="100"/>
      <c r="O2804" s="100"/>
      <c r="P2804" s="100"/>
    </row>
    <row r="2805">
      <c r="A2805" s="107">
        <v>203898.0</v>
      </c>
      <c r="B2805" s="108" t="s">
        <v>190</v>
      </c>
      <c r="C2805" s="108" t="s">
        <v>737</v>
      </c>
      <c r="D2805" s="112" t="s">
        <v>187</v>
      </c>
      <c r="E2805" s="112">
        <v>588.3</v>
      </c>
      <c r="F2805" s="111" t="str">
        <f>DataPull!D2805</f>
        <v/>
      </c>
      <c r="G2805" s="94" t="str">
        <f t="shared" si="2"/>
        <v/>
      </c>
      <c r="H2805" s="94" t="str">
        <f t="shared" si="3"/>
        <v/>
      </c>
      <c r="I2805" s="94" t="str">
        <f t="shared" ref="I2805:J2805" si="2806">if(G2805 = "", , -G2805)</f>
        <v/>
      </c>
      <c r="J2805" s="94" t="str">
        <f t="shared" si="2806"/>
        <v/>
      </c>
      <c r="K2805" s="100"/>
      <c r="M2805" s="100"/>
      <c r="N2805" s="100"/>
      <c r="O2805" s="100"/>
      <c r="P2805" s="100"/>
    </row>
    <row r="2806">
      <c r="A2806" s="107">
        <v>203898.0</v>
      </c>
      <c r="B2806" s="108" t="s">
        <v>191</v>
      </c>
      <c r="C2806" s="108" t="s">
        <v>737</v>
      </c>
      <c r="D2806" s="112" t="s">
        <v>177</v>
      </c>
      <c r="E2806" s="112">
        <v>685.8</v>
      </c>
      <c r="F2806" s="111" t="str">
        <f>DataPull!D2806</f>
        <v/>
      </c>
      <c r="G2806" s="94" t="str">
        <f t="shared" si="2"/>
        <v/>
      </c>
      <c r="H2806" s="94" t="str">
        <f t="shared" si="3"/>
        <v/>
      </c>
      <c r="I2806" s="94" t="str">
        <f t="shared" ref="I2806:J2806" si="2807">if(G2806 = "", , -G2806)</f>
        <v/>
      </c>
      <c r="J2806" s="94" t="str">
        <f t="shared" si="2807"/>
        <v/>
      </c>
      <c r="K2806" s="100"/>
      <c r="L2806" s="100"/>
      <c r="M2806" s="100"/>
      <c r="N2806" s="100"/>
      <c r="O2806" s="100"/>
      <c r="P2806" s="100"/>
    </row>
    <row r="2807">
      <c r="A2807" s="107">
        <v>203900.0</v>
      </c>
      <c r="B2807" s="108" t="s">
        <v>90</v>
      </c>
      <c r="C2807" s="108" t="s">
        <v>738</v>
      </c>
      <c r="D2807" s="112" t="s">
        <v>177</v>
      </c>
      <c r="E2807" s="112">
        <v>780.2</v>
      </c>
      <c r="F2807" s="111" t="str">
        <f>DataPull!D2807</f>
        <v/>
      </c>
      <c r="G2807" s="94" t="str">
        <f t="shared" si="2"/>
        <v/>
      </c>
      <c r="H2807" s="94" t="str">
        <f t="shared" si="3"/>
        <v/>
      </c>
      <c r="I2807" s="94" t="str">
        <f t="shared" ref="I2807:J2807" si="2808">if(G2807 = "", , -G2807)</f>
        <v/>
      </c>
      <c r="J2807" s="94" t="str">
        <f t="shared" si="2808"/>
        <v/>
      </c>
      <c r="K2807" s="100"/>
      <c r="M2807" s="100"/>
      <c r="N2807" s="100"/>
      <c r="O2807" s="100"/>
      <c r="P2807" s="100"/>
    </row>
    <row r="2808">
      <c r="A2808" s="107">
        <v>203900.0</v>
      </c>
      <c r="B2808" s="108" t="s">
        <v>92</v>
      </c>
      <c r="C2808" s="108" t="s">
        <v>738</v>
      </c>
      <c r="D2808" s="112" t="s">
        <v>177</v>
      </c>
      <c r="E2808" s="112">
        <v>979.6</v>
      </c>
      <c r="F2808" s="111" t="str">
        <f>DataPull!D2808</f>
        <v/>
      </c>
      <c r="G2808" s="94" t="str">
        <f t="shared" si="2"/>
        <v/>
      </c>
      <c r="H2808" s="94" t="str">
        <f t="shared" si="3"/>
        <v/>
      </c>
      <c r="I2808" s="94" t="str">
        <f t="shared" ref="I2808:J2808" si="2809">if(G2808 = "", , -G2808)</f>
        <v/>
      </c>
      <c r="J2808" s="94" t="str">
        <f t="shared" si="2809"/>
        <v/>
      </c>
      <c r="K2808" s="100"/>
      <c r="M2808" s="100"/>
      <c r="N2808" s="100"/>
      <c r="O2808" s="100"/>
      <c r="P2808" s="100"/>
    </row>
    <row r="2809">
      <c r="A2809" s="107">
        <v>203900.0</v>
      </c>
      <c r="B2809" s="108" t="s">
        <v>191</v>
      </c>
      <c r="C2809" s="108" t="s">
        <v>738</v>
      </c>
      <c r="D2809" s="112" t="s">
        <v>181</v>
      </c>
      <c r="E2809" s="112">
        <v>31.6</v>
      </c>
      <c r="F2809" s="111" t="str">
        <f>DataPull!D2809</f>
        <v/>
      </c>
      <c r="G2809" s="94" t="str">
        <f t="shared" si="2"/>
        <v/>
      </c>
      <c r="H2809" s="94" t="str">
        <f t="shared" si="3"/>
        <v/>
      </c>
      <c r="I2809" s="94" t="str">
        <f t="shared" ref="I2809:J2809" si="2810">if(G2809 = "", , -G2809)</f>
        <v/>
      </c>
      <c r="J2809" s="94" t="str">
        <f t="shared" si="2810"/>
        <v/>
      </c>
      <c r="K2809" s="100"/>
      <c r="M2809" s="100"/>
      <c r="N2809" s="100"/>
      <c r="O2809" s="100"/>
      <c r="P2809" s="100"/>
    </row>
    <row r="2810">
      <c r="A2810" s="107">
        <v>203901.0</v>
      </c>
      <c r="B2810" s="108" t="s">
        <v>90</v>
      </c>
      <c r="C2810" s="108" t="s">
        <v>739</v>
      </c>
      <c r="D2810" s="112" t="s">
        <v>178</v>
      </c>
      <c r="E2810" s="112">
        <v>2484.6</v>
      </c>
      <c r="F2810" s="111" t="str">
        <f>DataPull!D2810</f>
        <v/>
      </c>
      <c r="G2810" s="94" t="str">
        <f t="shared" si="2"/>
        <v/>
      </c>
      <c r="H2810" s="94" t="str">
        <f t="shared" si="3"/>
        <v/>
      </c>
      <c r="I2810" s="94" t="str">
        <f t="shared" ref="I2810:J2810" si="2811">if(G2810 = "", , -G2810)</f>
        <v/>
      </c>
      <c r="J2810" s="94" t="str">
        <f t="shared" si="2811"/>
        <v/>
      </c>
      <c r="K2810" s="100"/>
      <c r="M2810" s="100"/>
      <c r="N2810" s="100"/>
      <c r="O2810" s="100"/>
      <c r="P2810" s="100"/>
    </row>
    <row r="2811">
      <c r="A2811" s="107">
        <v>203901.0</v>
      </c>
      <c r="B2811" s="108" t="s">
        <v>92</v>
      </c>
      <c r="C2811" s="108" t="s">
        <v>739</v>
      </c>
      <c r="D2811" s="112" t="s">
        <v>178</v>
      </c>
      <c r="E2811" s="112">
        <v>2146.2</v>
      </c>
      <c r="F2811" s="111" t="str">
        <f>DataPull!D2811</f>
        <v/>
      </c>
      <c r="G2811" s="94" t="str">
        <f t="shared" si="2"/>
        <v/>
      </c>
      <c r="H2811" s="94" t="str">
        <f t="shared" si="3"/>
        <v/>
      </c>
      <c r="I2811" s="94" t="str">
        <f t="shared" ref="I2811:J2811" si="2812">if(G2811 = "", , -G2811)</f>
        <v/>
      </c>
      <c r="J2811" s="94" t="str">
        <f t="shared" si="2812"/>
        <v/>
      </c>
      <c r="K2811" s="100"/>
      <c r="M2811" s="100"/>
      <c r="N2811" s="100"/>
      <c r="O2811" s="100"/>
      <c r="P2811" s="100"/>
    </row>
    <row r="2812">
      <c r="A2812" s="107">
        <v>203901.0</v>
      </c>
      <c r="B2812" s="108" t="s">
        <v>190</v>
      </c>
      <c r="C2812" s="108" t="s">
        <v>739</v>
      </c>
      <c r="D2812" s="112" t="s">
        <v>178</v>
      </c>
      <c r="E2812" s="112">
        <v>2410.8</v>
      </c>
      <c r="F2812" s="111" t="str">
        <f>DataPull!D2812</f>
        <v/>
      </c>
      <c r="G2812" s="94" t="str">
        <f t="shared" si="2"/>
        <v/>
      </c>
      <c r="H2812" s="94" t="str">
        <f t="shared" si="3"/>
        <v/>
      </c>
      <c r="I2812" s="94" t="str">
        <f t="shared" ref="I2812:J2812" si="2813">if(G2812 = "", , -G2812)</f>
        <v/>
      </c>
      <c r="J2812" s="94" t="str">
        <f t="shared" si="2813"/>
        <v/>
      </c>
      <c r="K2812" s="100"/>
      <c r="M2812" s="100"/>
      <c r="N2812" s="100"/>
      <c r="O2812" s="100"/>
      <c r="P2812" s="100"/>
    </row>
    <row r="2813">
      <c r="A2813" s="107">
        <v>203901.0</v>
      </c>
      <c r="B2813" s="108" t="s">
        <v>191</v>
      </c>
      <c r="C2813" s="108" t="s">
        <v>739</v>
      </c>
      <c r="D2813" s="112" t="s">
        <v>178</v>
      </c>
      <c r="E2813" s="112">
        <v>1808.1</v>
      </c>
      <c r="F2813" s="111" t="str">
        <f>DataPull!D2813</f>
        <v/>
      </c>
      <c r="G2813" s="94" t="str">
        <f t="shared" si="2"/>
        <v/>
      </c>
      <c r="H2813" s="94" t="str">
        <f t="shared" si="3"/>
        <v/>
      </c>
      <c r="I2813" s="94" t="str">
        <f t="shared" ref="I2813:J2813" si="2814">if(G2813 = "", , -G2813)</f>
        <v/>
      </c>
      <c r="J2813" s="94" t="str">
        <f t="shared" si="2814"/>
        <v/>
      </c>
      <c r="K2813" s="100"/>
      <c r="M2813" s="100"/>
      <c r="N2813" s="100"/>
      <c r="O2813" s="100"/>
      <c r="P2813" s="100"/>
    </row>
    <row r="2814">
      <c r="A2814" s="107">
        <v>203901.0</v>
      </c>
      <c r="B2814" s="108" t="s">
        <v>192</v>
      </c>
      <c r="C2814" s="108" t="s">
        <v>739</v>
      </c>
      <c r="D2814" s="112" t="s">
        <v>178</v>
      </c>
      <c r="E2814" s="112">
        <v>1251.6</v>
      </c>
      <c r="F2814" s="111" t="str">
        <f>DataPull!D2814</f>
        <v/>
      </c>
      <c r="G2814" s="94" t="str">
        <f t="shared" si="2"/>
        <v/>
      </c>
      <c r="H2814" s="94" t="str">
        <f t="shared" si="3"/>
        <v/>
      </c>
      <c r="I2814" s="94" t="str">
        <f t="shared" ref="I2814:J2814" si="2815">if(G2814 = "", , -G2814)</f>
        <v/>
      </c>
      <c r="J2814" s="94" t="str">
        <f t="shared" si="2815"/>
        <v/>
      </c>
      <c r="K2814" s="100"/>
      <c r="M2814" s="100"/>
      <c r="N2814" s="100"/>
      <c r="O2814" s="100"/>
      <c r="P2814" s="100"/>
    </row>
    <row r="2815">
      <c r="A2815" s="107">
        <v>203901.0</v>
      </c>
      <c r="B2815" s="108" t="s">
        <v>193</v>
      </c>
      <c r="C2815" s="108" t="s">
        <v>739</v>
      </c>
      <c r="D2815" s="112" t="s">
        <v>178</v>
      </c>
      <c r="E2815" s="112">
        <v>1246.5</v>
      </c>
      <c r="F2815" s="111" t="str">
        <f>DataPull!D2815</f>
        <v/>
      </c>
      <c r="G2815" s="94" t="str">
        <f t="shared" si="2"/>
        <v/>
      </c>
      <c r="H2815" s="94" t="str">
        <f t="shared" si="3"/>
        <v/>
      </c>
      <c r="I2815" s="94" t="str">
        <f t="shared" ref="I2815:J2815" si="2816">if(G2815 = "", , -G2815)</f>
        <v/>
      </c>
      <c r="J2815" s="94" t="str">
        <f t="shared" si="2816"/>
        <v/>
      </c>
      <c r="K2815" s="100"/>
      <c r="M2815" s="100"/>
      <c r="N2815" s="100"/>
      <c r="O2815" s="100"/>
      <c r="P2815" s="100"/>
    </row>
    <row r="2816">
      <c r="A2816" s="107">
        <v>203901.0</v>
      </c>
      <c r="B2816" s="108" t="s">
        <v>243</v>
      </c>
      <c r="C2816" s="108" t="s">
        <v>739</v>
      </c>
      <c r="D2816" s="112" t="s">
        <v>176</v>
      </c>
      <c r="E2816" s="112">
        <v>1486.8</v>
      </c>
      <c r="F2816" s="111" t="str">
        <f>DataPull!D2816</f>
        <v/>
      </c>
      <c r="G2816" s="94" t="str">
        <f t="shared" si="2"/>
        <v/>
      </c>
      <c r="H2816" s="94" t="str">
        <f t="shared" si="3"/>
        <v/>
      </c>
      <c r="I2816" s="94" t="str">
        <f t="shared" ref="I2816:J2816" si="2817">if(G2816 = "", , -G2816)</f>
        <v/>
      </c>
      <c r="J2816" s="94" t="str">
        <f t="shared" si="2817"/>
        <v/>
      </c>
      <c r="K2816" s="100"/>
      <c r="M2816" s="100"/>
      <c r="N2816" s="100"/>
      <c r="O2816" s="100"/>
      <c r="P2816" s="100"/>
    </row>
    <row r="2817">
      <c r="A2817" s="107">
        <v>203901.0</v>
      </c>
      <c r="B2817" s="108" t="s">
        <v>215</v>
      </c>
      <c r="C2817" s="108" t="s">
        <v>739</v>
      </c>
      <c r="D2817" s="112" t="s">
        <v>177</v>
      </c>
      <c r="E2817" s="112">
        <v>550.0</v>
      </c>
      <c r="F2817" s="111" t="str">
        <f>DataPull!D2817</f>
        <v/>
      </c>
      <c r="G2817" s="94" t="str">
        <f t="shared" si="2"/>
        <v/>
      </c>
      <c r="H2817" s="94" t="str">
        <f t="shared" si="3"/>
        <v/>
      </c>
      <c r="I2817" s="94" t="str">
        <f t="shared" ref="I2817:J2817" si="2818">if(G2817 = "", , -G2817)</f>
        <v/>
      </c>
      <c r="J2817" s="94" t="str">
        <f t="shared" si="2818"/>
        <v/>
      </c>
      <c r="K2817" s="100"/>
      <c r="L2817" s="100"/>
      <c r="N2817" s="100"/>
      <c r="O2817" s="100"/>
      <c r="P2817" s="100"/>
    </row>
    <row r="2818">
      <c r="A2818" s="120">
        <v>203901.0</v>
      </c>
      <c r="B2818" s="121" t="s">
        <v>246</v>
      </c>
      <c r="C2818" s="121" t="s">
        <v>739</v>
      </c>
      <c r="D2818" s="122" t="s">
        <v>176</v>
      </c>
      <c r="E2818" s="122">
        <v>511.2</v>
      </c>
      <c r="F2818" s="111" t="str">
        <f>DataPull!D2818</f>
        <v/>
      </c>
      <c r="G2818" s="94" t="str">
        <f t="shared" si="2"/>
        <v/>
      </c>
      <c r="H2818" s="94" t="str">
        <f t="shared" si="3"/>
        <v/>
      </c>
      <c r="I2818" s="94" t="str">
        <f t="shared" ref="I2818:J2818" si="2819">if(G2818 = "", , -G2818)</f>
        <v/>
      </c>
      <c r="J2818" s="94" t="str">
        <f t="shared" si="2819"/>
        <v/>
      </c>
      <c r="K2818" s="100"/>
      <c r="L2818" s="100"/>
      <c r="N2818" s="100"/>
      <c r="O2818" s="100"/>
      <c r="P2818" s="100"/>
    </row>
    <row r="2819">
      <c r="A2819" s="107">
        <v>203902.0</v>
      </c>
      <c r="B2819" s="108" t="s">
        <v>190</v>
      </c>
      <c r="C2819" s="108" t="s">
        <v>740</v>
      </c>
      <c r="D2819" s="112" t="s">
        <v>177</v>
      </c>
      <c r="E2819" s="112">
        <v>972.8</v>
      </c>
      <c r="F2819" s="111" t="str">
        <f>DataPull!D2819</f>
        <v/>
      </c>
      <c r="G2819" s="94" t="str">
        <f t="shared" si="2"/>
        <v/>
      </c>
      <c r="H2819" s="94" t="str">
        <f t="shared" si="3"/>
        <v/>
      </c>
      <c r="I2819" s="94" t="str">
        <f t="shared" ref="I2819:J2819" si="2820">if(G2819 = "", , -G2819)</f>
        <v/>
      </c>
      <c r="J2819" s="94" t="str">
        <f t="shared" si="2820"/>
        <v/>
      </c>
      <c r="K2819" s="100"/>
      <c r="M2819" s="100"/>
      <c r="N2819" s="100"/>
      <c r="O2819" s="100"/>
      <c r="P2819" s="100"/>
    </row>
    <row r="2820">
      <c r="A2820" s="107">
        <v>203903.0</v>
      </c>
      <c r="B2820" s="108" t="s">
        <v>90</v>
      </c>
      <c r="C2820" s="108" t="s">
        <v>741</v>
      </c>
      <c r="D2820" s="112" t="s">
        <v>176</v>
      </c>
      <c r="E2820" s="112">
        <v>1475.0</v>
      </c>
      <c r="F2820" s="111" t="str">
        <f>DataPull!D2820</f>
        <v/>
      </c>
      <c r="G2820" s="94" t="str">
        <f t="shared" si="2"/>
        <v/>
      </c>
      <c r="H2820" s="94" t="str">
        <f t="shared" si="3"/>
        <v/>
      </c>
      <c r="I2820" s="94" t="str">
        <f t="shared" ref="I2820:J2820" si="2821">if(G2820 = "", , -G2820)</f>
        <v/>
      </c>
      <c r="J2820" s="94" t="str">
        <f t="shared" si="2821"/>
        <v/>
      </c>
      <c r="K2820" s="100"/>
      <c r="M2820" s="100"/>
      <c r="N2820" s="100"/>
      <c r="O2820" s="100"/>
      <c r="P2820" s="100"/>
    </row>
    <row r="2821">
      <c r="A2821" s="107">
        <v>203903.0</v>
      </c>
      <c r="B2821" s="108" t="s">
        <v>92</v>
      </c>
      <c r="C2821" s="108" t="s">
        <v>741</v>
      </c>
      <c r="D2821" s="112" t="s">
        <v>178</v>
      </c>
      <c r="E2821" s="112">
        <v>2551.7</v>
      </c>
      <c r="F2821" s="111" t="str">
        <f>DataPull!D2821</f>
        <v/>
      </c>
      <c r="G2821" s="94" t="str">
        <f t="shared" si="2"/>
        <v/>
      </c>
      <c r="H2821" s="94" t="str">
        <f t="shared" si="3"/>
        <v/>
      </c>
      <c r="I2821" s="94" t="str">
        <f t="shared" ref="I2821:J2821" si="2822">if(G2821 = "", , -G2821)</f>
        <v/>
      </c>
      <c r="J2821" s="94" t="str">
        <f t="shared" si="2822"/>
        <v/>
      </c>
      <c r="K2821" s="100"/>
      <c r="M2821" s="100"/>
      <c r="N2821" s="100"/>
      <c r="O2821" s="100"/>
      <c r="P2821" s="100"/>
    </row>
    <row r="2822">
      <c r="A2822" s="107">
        <v>203903.0</v>
      </c>
      <c r="B2822" s="108" t="s">
        <v>190</v>
      </c>
      <c r="C2822" s="108" t="s">
        <v>741</v>
      </c>
      <c r="D2822" s="112" t="s">
        <v>178</v>
      </c>
      <c r="E2822" s="112">
        <v>2394.4</v>
      </c>
      <c r="F2822" s="111" t="str">
        <f>DataPull!D2822</f>
        <v/>
      </c>
      <c r="G2822" s="94" t="str">
        <f t="shared" si="2"/>
        <v/>
      </c>
      <c r="H2822" s="94" t="str">
        <f t="shared" si="3"/>
        <v/>
      </c>
      <c r="I2822" s="94" t="str">
        <f t="shared" ref="I2822:J2822" si="2823">if(G2822 = "", , -G2822)</f>
        <v/>
      </c>
      <c r="J2822" s="94" t="str">
        <f t="shared" si="2823"/>
        <v/>
      </c>
      <c r="K2822" s="100"/>
      <c r="L2822" s="100"/>
      <c r="N2822" s="100"/>
      <c r="O2822" s="100"/>
      <c r="P2822" s="100"/>
    </row>
    <row r="2823">
      <c r="A2823" s="107">
        <v>203903.0</v>
      </c>
      <c r="B2823" s="108" t="s">
        <v>191</v>
      </c>
      <c r="C2823" s="108" t="s">
        <v>741</v>
      </c>
      <c r="D2823" s="112" t="s">
        <v>176</v>
      </c>
      <c r="E2823" s="112">
        <v>1887.3</v>
      </c>
      <c r="F2823" s="111" t="str">
        <f>DataPull!D2823</f>
        <v/>
      </c>
      <c r="G2823" s="94" t="str">
        <f t="shared" si="2"/>
        <v/>
      </c>
      <c r="H2823" s="94" t="str">
        <f t="shared" si="3"/>
        <v/>
      </c>
      <c r="I2823" s="94" t="str">
        <f t="shared" ref="I2823:J2823" si="2824">if(G2823 = "", , -G2823)</f>
        <v/>
      </c>
      <c r="J2823" s="94" t="str">
        <f t="shared" si="2824"/>
        <v/>
      </c>
      <c r="K2823" s="100"/>
      <c r="M2823" s="100"/>
      <c r="N2823" s="100"/>
      <c r="O2823" s="100"/>
      <c r="P2823" s="100"/>
    </row>
    <row r="2824">
      <c r="A2824" s="107">
        <v>203903.0</v>
      </c>
      <c r="B2824" s="108" t="s">
        <v>192</v>
      </c>
      <c r="C2824" s="108" t="s">
        <v>741</v>
      </c>
      <c r="D2824" s="112" t="s">
        <v>176</v>
      </c>
      <c r="E2824" s="112">
        <v>2211.3</v>
      </c>
      <c r="F2824" s="111" t="str">
        <f>DataPull!D2824</f>
        <v/>
      </c>
      <c r="G2824" s="94" t="str">
        <f t="shared" si="2"/>
        <v/>
      </c>
      <c r="H2824" s="94" t="str">
        <f t="shared" si="3"/>
        <v/>
      </c>
      <c r="I2824" s="94" t="str">
        <f t="shared" ref="I2824:J2824" si="2825">if(G2824 = "", , -G2824)</f>
        <v/>
      </c>
      <c r="J2824" s="94" t="str">
        <f t="shared" si="2825"/>
        <v/>
      </c>
      <c r="K2824" s="100"/>
      <c r="M2824" s="100"/>
      <c r="N2824" s="100"/>
      <c r="O2824" s="100"/>
      <c r="P2824" s="100"/>
    </row>
    <row r="2825">
      <c r="A2825" s="107">
        <v>203903.0</v>
      </c>
      <c r="B2825" s="108" t="s">
        <v>193</v>
      </c>
      <c r="C2825" s="108" t="s">
        <v>741</v>
      </c>
      <c r="D2825" s="112" t="s">
        <v>176</v>
      </c>
      <c r="E2825" s="112">
        <v>1704.0</v>
      </c>
      <c r="F2825" s="111" t="str">
        <f>DataPull!D2825</f>
        <v/>
      </c>
      <c r="G2825" s="94" t="str">
        <f t="shared" si="2"/>
        <v/>
      </c>
      <c r="H2825" s="94" t="str">
        <f t="shared" si="3"/>
        <v/>
      </c>
      <c r="I2825" s="94" t="str">
        <f t="shared" ref="I2825:J2825" si="2826">if(G2825 = "", , -G2825)</f>
        <v/>
      </c>
      <c r="J2825" s="94" t="str">
        <f t="shared" si="2826"/>
        <v/>
      </c>
      <c r="K2825" s="100"/>
      <c r="M2825" s="100"/>
      <c r="N2825" s="100"/>
      <c r="O2825" s="100"/>
      <c r="P2825" s="100"/>
    </row>
    <row r="2826">
      <c r="A2826" s="107">
        <v>203903.0</v>
      </c>
      <c r="B2826" s="108" t="s">
        <v>243</v>
      </c>
      <c r="C2826" s="108" t="s">
        <v>741</v>
      </c>
      <c r="D2826" s="112" t="s">
        <v>176</v>
      </c>
      <c r="E2826" s="112">
        <v>1815.6</v>
      </c>
      <c r="F2826" s="111" t="str">
        <f>DataPull!D2826</f>
        <v/>
      </c>
      <c r="G2826" s="94" t="str">
        <f t="shared" si="2"/>
        <v/>
      </c>
      <c r="H2826" s="94" t="str">
        <f t="shared" si="3"/>
        <v/>
      </c>
      <c r="I2826" s="94" t="str">
        <f t="shared" ref="I2826:J2826" si="2827">if(G2826 = "", , -G2826)</f>
        <v/>
      </c>
      <c r="J2826" s="94" t="str">
        <f t="shared" si="2827"/>
        <v/>
      </c>
      <c r="K2826" s="100"/>
      <c r="M2826" s="100"/>
      <c r="N2826" s="100"/>
      <c r="O2826" s="100"/>
      <c r="P2826" s="100"/>
    </row>
    <row r="2827">
      <c r="A2827" s="107">
        <v>203903.0</v>
      </c>
      <c r="B2827" s="108" t="s">
        <v>215</v>
      </c>
      <c r="C2827" s="108" t="s">
        <v>741</v>
      </c>
      <c r="D2827" s="112" t="s">
        <v>176</v>
      </c>
      <c r="E2827" s="112">
        <v>2140.9</v>
      </c>
      <c r="F2827" s="111" t="str">
        <f>DataPull!D2827</f>
        <v/>
      </c>
      <c r="G2827" s="94" t="str">
        <f t="shared" si="2"/>
        <v/>
      </c>
      <c r="H2827" s="94" t="str">
        <f t="shared" si="3"/>
        <v/>
      </c>
      <c r="I2827" s="94" t="str">
        <f t="shared" ref="I2827:J2827" si="2828">if(G2827 = "", , -G2827)</f>
        <v/>
      </c>
      <c r="J2827" s="94" t="str">
        <f t="shared" si="2828"/>
        <v/>
      </c>
      <c r="K2827" s="100"/>
      <c r="M2827" s="100"/>
      <c r="N2827" s="100"/>
      <c r="O2827" s="100"/>
      <c r="P2827" s="100"/>
    </row>
    <row r="2828">
      <c r="A2828" s="107">
        <v>203903.0</v>
      </c>
      <c r="B2828" s="108" t="s">
        <v>244</v>
      </c>
      <c r="C2828" s="108" t="s">
        <v>741</v>
      </c>
      <c r="D2828" s="112" t="s">
        <v>178</v>
      </c>
      <c r="E2828" s="112">
        <v>1988.6</v>
      </c>
      <c r="F2828" s="111" t="str">
        <f>DataPull!D2828</f>
        <v/>
      </c>
      <c r="G2828" s="94" t="str">
        <f t="shared" si="2"/>
        <v/>
      </c>
      <c r="H2828" s="94" t="str">
        <f t="shared" si="3"/>
        <v/>
      </c>
      <c r="I2828" s="94" t="str">
        <f t="shared" ref="I2828:J2828" si="2829">if(G2828 = "", , -G2828)</f>
        <v/>
      </c>
      <c r="J2828" s="94" t="str">
        <f t="shared" si="2829"/>
        <v/>
      </c>
      <c r="K2828" s="100"/>
      <c r="M2828" s="100"/>
      <c r="N2828" s="100"/>
      <c r="O2828" s="100"/>
      <c r="P2828" s="100"/>
    </row>
    <row r="2829">
      <c r="A2829" s="107">
        <v>203903.0</v>
      </c>
      <c r="B2829" s="108" t="s">
        <v>245</v>
      </c>
      <c r="C2829" s="108" t="s">
        <v>741</v>
      </c>
      <c r="D2829" s="112" t="s">
        <v>178</v>
      </c>
      <c r="E2829" s="112">
        <v>1683.0</v>
      </c>
      <c r="F2829" s="111" t="str">
        <f>DataPull!D2829</f>
        <v/>
      </c>
      <c r="G2829" s="94" t="str">
        <f t="shared" si="2"/>
        <v/>
      </c>
      <c r="H2829" s="94" t="str">
        <f t="shared" si="3"/>
        <v/>
      </c>
      <c r="I2829" s="94" t="str">
        <f t="shared" ref="I2829:J2829" si="2830">if(G2829 = "", , -G2829)</f>
        <v/>
      </c>
      <c r="J2829" s="94" t="str">
        <f t="shared" si="2830"/>
        <v/>
      </c>
      <c r="K2829" s="100"/>
      <c r="M2829" s="100"/>
      <c r="N2829" s="100"/>
      <c r="O2829" s="100"/>
      <c r="P2829" s="100"/>
    </row>
    <row r="2830">
      <c r="A2830" s="107">
        <v>203903.0</v>
      </c>
      <c r="B2830" s="108" t="s">
        <v>246</v>
      </c>
      <c r="C2830" s="108" t="s">
        <v>741</v>
      </c>
      <c r="D2830" s="112" t="s">
        <v>176</v>
      </c>
      <c r="E2830" s="112">
        <v>962.0</v>
      </c>
      <c r="F2830" s="111" t="str">
        <f>DataPull!D2830</f>
        <v/>
      </c>
      <c r="G2830" s="94" t="str">
        <f t="shared" si="2"/>
        <v/>
      </c>
      <c r="H2830" s="94" t="str">
        <f t="shared" si="3"/>
        <v/>
      </c>
      <c r="I2830" s="94" t="str">
        <f t="shared" ref="I2830:J2830" si="2831">if(G2830 = "", , -G2830)</f>
        <v/>
      </c>
      <c r="J2830" s="94" t="str">
        <f t="shared" si="2831"/>
        <v/>
      </c>
      <c r="K2830" s="100"/>
      <c r="L2830" s="100"/>
      <c r="N2830" s="100"/>
      <c r="O2830" s="100"/>
      <c r="P2830" s="100"/>
    </row>
    <row r="2831">
      <c r="A2831" s="114">
        <v>203903.0</v>
      </c>
      <c r="B2831" s="113" t="s">
        <v>247</v>
      </c>
      <c r="C2831" s="113" t="s">
        <v>741</v>
      </c>
      <c r="D2831" s="112" t="s">
        <v>177</v>
      </c>
      <c r="E2831" s="112">
        <v>1281.6</v>
      </c>
      <c r="F2831" s="111" t="str">
        <f>DataPull!D2831</f>
        <v/>
      </c>
      <c r="G2831" s="94" t="str">
        <f t="shared" si="2"/>
        <v/>
      </c>
      <c r="H2831" s="94" t="str">
        <f t="shared" si="3"/>
        <v/>
      </c>
      <c r="I2831" s="94" t="str">
        <f t="shared" ref="I2831:J2831" si="2832">if(G2831 = "", , -G2831)</f>
        <v/>
      </c>
      <c r="J2831" s="94" t="str">
        <f t="shared" si="2832"/>
        <v/>
      </c>
      <c r="K2831" s="100"/>
      <c r="M2831" s="100"/>
      <c r="N2831" s="100"/>
      <c r="O2831" s="100"/>
      <c r="P2831" s="100"/>
    </row>
    <row r="2832">
      <c r="A2832" s="107">
        <v>203906.0</v>
      </c>
      <c r="B2832" s="108" t="s">
        <v>90</v>
      </c>
      <c r="C2832" s="108" t="s">
        <v>742</v>
      </c>
      <c r="D2832" s="112" t="s">
        <v>187</v>
      </c>
      <c r="E2832" s="112">
        <v>208.0</v>
      </c>
      <c r="F2832" s="111" t="str">
        <f>DataPull!D2832</f>
        <v/>
      </c>
      <c r="G2832" s="94" t="str">
        <f t="shared" si="2"/>
        <v/>
      </c>
      <c r="H2832" s="94" t="str">
        <f t="shared" si="3"/>
        <v/>
      </c>
      <c r="I2832" s="94" t="str">
        <f t="shared" ref="I2832:J2832" si="2833">if(G2832 = "", , -G2832)</f>
        <v/>
      </c>
      <c r="J2832" s="94" t="str">
        <f t="shared" si="2833"/>
        <v/>
      </c>
      <c r="K2832" s="100"/>
      <c r="L2832" s="100"/>
      <c r="N2832" s="100"/>
      <c r="O2832" s="100"/>
      <c r="P2832" s="100"/>
    </row>
    <row r="2833">
      <c r="A2833" s="107">
        <v>203906.0</v>
      </c>
      <c r="B2833" s="108" t="s">
        <v>92</v>
      </c>
      <c r="C2833" s="108" t="s">
        <v>742</v>
      </c>
      <c r="D2833" s="112" t="s">
        <v>187</v>
      </c>
      <c r="E2833" s="112">
        <v>249.2</v>
      </c>
      <c r="F2833" s="111" t="str">
        <f>DataPull!D2833</f>
        <v/>
      </c>
      <c r="G2833" s="94" t="str">
        <f t="shared" si="2"/>
        <v/>
      </c>
      <c r="H2833" s="94" t="str">
        <f t="shared" si="3"/>
        <v/>
      </c>
      <c r="I2833" s="94" t="str">
        <f t="shared" ref="I2833:J2833" si="2834">if(G2833 = "", , -G2833)</f>
        <v/>
      </c>
      <c r="J2833" s="94" t="str">
        <f t="shared" si="2834"/>
        <v/>
      </c>
      <c r="K2833" s="100"/>
      <c r="M2833" s="100"/>
      <c r="N2833" s="100"/>
      <c r="O2833" s="100"/>
      <c r="P2833" s="100"/>
    </row>
    <row r="2834">
      <c r="A2834" s="107">
        <v>203909.0</v>
      </c>
      <c r="B2834" s="108" t="s">
        <v>90</v>
      </c>
      <c r="C2834" s="108" t="s">
        <v>743</v>
      </c>
      <c r="D2834" s="112" t="s">
        <v>176</v>
      </c>
      <c r="E2834" s="112">
        <v>1351.6</v>
      </c>
      <c r="F2834" s="111" t="str">
        <f>DataPull!D2834</f>
        <v/>
      </c>
      <c r="G2834" s="94" t="str">
        <f t="shared" si="2"/>
        <v/>
      </c>
      <c r="H2834" s="94" t="str">
        <f t="shared" si="3"/>
        <v/>
      </c>
      <c r="I2834" s="94" t="str">
        <f t="shared" ref="I2834:J2834" si="2835">if(G2834 = "", , -G2834)</f>
        <v/>
      </c>
      <c r="J2834" s="94" t="str">
        <f t="shared" si="2835"/>
        <v/>
      </c>
      <c r="K2834" s="100"/>
      <c r="M2834" s="100"/>
      <c r="N2834" s="100"/>
      <c r="O2834" s="100"/>
      <c r="P2834" s="100"/>
    </row>
    <row r="2835">
      <c r="A2835" s="107">
        <v>203909.0</v>
      </c>
      <c r="B2835" s="108" t="s">
        <v>92</v>
      </c>
      <c r="C2835" s="108" t="s">
        <v>743</v>
      </c>
      <c r="D2835" s="112" t="s">
        <v>187</v>
      </c>
      <c r="E2835" s="112">
        <v>236.8</v>
      </c>
      <c r="F2835" s="111" t="str">
        <f>DataPull!D2835</f>
        <v/>
      </c>
      <c r="G2835" s="94" t="str">
        <f t="shared" si="2"/>
        <v/>
      </c>
      <c r="H2835" s="94" t="str">
        <f t="shared" si="3"/>
        <v/>
      </c>
      <c r="I2835" s="94" t="str">
        <f t="shared" ref="I2835:J2835" si="2836">if(G2835 = "", , -G2835)</f>
        <v/>
      </c>
      <c r="J2835" s="94" t="str">
        <f t="shared" si="2836"/>
        <v/>
      </c>
      <c r="K2835" s="100"/>
      <c r="M2835" s="100"/>
      <c r="N2835" s="100"/>
      <c r="O2835" s="100"/>
      <c r="P2835" s="100"/>
    </row>
    <row r="2836">
      <c r="A2836" s="107">
        <v>203909.0</v>
      </c>
      <c r="B2836" s="108" t="s">
        <v>190</v>
      </c>
      <c r="C2836" s="108" t="s">
        <v>743</v>
      </c>
      <c r="D2836" s="112" t="s">
        <v>187</v>
      </c>
      <c r="E2836" s="112">
        <v>504.7</v>
      </c>
      <c r="F2836" s="111" t="str">
        <f>DataPull!D2836</f>
        <v/>
      </c>
      <c r="G2836" s="94" t="str">
        <f t="shared" si="2"/>
        <v/>
      </c>
      <c r="H2836" s="94" t="str">
        <f t="shared" si="3"/>
        <v/>
      </c>
      <c r="I2836" s="94" t="str">
        <f t="shared" ref="I2836:J2836" si="2837">if(G2836 = "", , -G2836)</f>
        <v/>
      </c>
      <c r="J2836" s="94" t="str">
        <f t="shared" si="2837"/>
        <v/>
      </c>
      <c r="K2836" s="100"/>
      <c r="M2836" s="100"/>
      <c r="N2836" s="100"/>
      <c r="O2836" s="100"/>
      <c r="P2836" s="100"/>
    </row>
    <row r="2837">
      <c r="A2837" s="107">
        <v>203910.0</v>
      </c>
      <c r="B2837" s="108" t="s">
        <v>90</v>
      </c>
      <c r="C2837" s="108" t="s">
        <v>744</v>
      </c>
      <c r="D2837" s="112" t="s">
        <v>187</v>
      </c>
      <c r="E2837" s="112">
        <v>263.2</v>
      </c>
      <c r="F2837" s="111" t="str">
        <f>DataPull!D2837</f>
        <v/>
      </c>
      <c r="G2837" s="94" t="str">
        <f t="shared" si="2"/>
        <v/>
      </c>
      <c r="H2837" s="94" t="str">
        <f t="shared" si="3"/>
        <v/>
      </c>
      <c r="I2837" s="94" t="str">
        <f t="shared" ref="I2837:J2837" si="2838">if(G2837 = "", , -G2837)</f>
        <v/>
      </c>
      <c r="J2837" s="94" t="str">
        <f t="shared" si="2838"/>
        <v/>
      </c>
      <c r="K2837" s="100"/>
      <c r="L2837" s="100"/>
      <c r="N2837" s="100"/>
      <c r="O2837" s="100"/>
      <c r="P2837" s="100"/>
    </row>
    <row r="2838">
      <c r="A2838" s="107">
        <v>203912.0</v>
      </c>
      <c r="B2838" s="108" t="s">
        <v>90</v>
      </c>
      <c r="C2838" s="108" t="s">
        <v>745</v>
      </c>
      <c r="D2838" s="112" t="s">
        <v>187</v>
      </c>
      <c r="E2838" s="112">
        <v>100.8</v>
      </c>
      <c r="F2838" s="111" t="str">
        <f>DataPull!D2838</f>
        <v/>
      </c>
      <c r="G2838" s="94" t="str">
        <f t="shared" si="2"/>
        <v/>
      </c>
      <c r="H2838" s="94" t="str">
        <f t="shared" si="3"/>
        <v/>
      </c>
      <c r="I2838" s="94" t="str">
        <f t="shared" ref="I2838:J2838" si="2839">if(G2838 = "", , -G2838)</f>
        <v/>
      </c>
      <c r="J2838" s="94" t="str">
        <f t="shared" si="2839"/>
        <v/>
      </c>
      <c r="K2838" s="100"/>
      <c r="M2838" s="100"/>
      <c r="N2838" s="100"/>
      <c r="O2838" s="100"/>
      <c r="P2838" s="100"/>
    </row>
    <row r="2839">
      <c r="A2839" s="107">
        <v>203912.0</v>
      </c>
      <c r="B2839" s="108" t="s">
        <v>92</v>
      </c>
      <c r="C2839" s="108" t="s">
        <v>745</v>
      </c>
      <c r="D2839" s="112" t="s">
        <v>187</v>
      </c>
      <c r="E2839" s="112">
        <v>167.9</v>
      </c>
      <c r="F2839" s="111" t="str">
        <f>DataPull!D2839</f>
        <v/>
      </c>
      <c r="G2839" s="94" t="str">
        <f t="shared" si="2"/>
        <v/>
      </c>
      <c r="H2839" s="94" t="str">
        <f t="shared" si="3"/>
        <v/>
      </c>
      <c r="I2839" s="94" t="str">
        <f t="shared" ref="I2839:J2839" si="2840">if(G2839 = "", , -G2839)</f>
        <v/>
      </c>
      <c r="J2839" s="94" t="str">
        <f t="shared" si="2840"/>
        <v/>
      </c>
      <c r="K2839" s="100"/>
      <c r="M2839" s="100"/>
      <c r="N2839" s="100"/>
      <c r="O2839" s="100"/>
      <c r="P2839" s="100"/>
    </row>
    <row r="2840">
      <c r="A2840" s="107">
        <v>203912.0</v>
      </c>
      <c r="B2840" s="108" t="s">
        <v>190</v>
      </c>
      <c r="C2840" s="108" t="s">
        <v>745</v>
      </c>
      <c r="D2840" s="112" t="s">
        <v>187</v>
      </c>
      <c r="E2840" s="112">
        <v>107.8</v>
      </c>
      <c r="F2840" s="111" t="str">
        <f>DataPull!D2840</f>
        <v/>
      </c>
      <c r="G2840" s="94" t="str">
        <f t="shared" si="2"/>
        <v/>
      </c>
      <c r="H2840" s="94" t="str">
        <f t="shared" si="3"/>
        <v/>
      </c>
      <c r="I2840" s="94" t="str">
        <f t="shared" ref="I2840:J2840" si="2841">if(G2840 = "", , -G2840)</f>
        <v/>
      </c>
      <c r="J2840" s="94" t="str">
        <f t="shared" si="2841"/>
        <v/>
      </c>
      <c r="K2840" s="100"/>
      <c r="M2840" s="100"/>
      <c r="N2840" s="100"/>
      <c r="O2840" s="100"/>
      <c r="P2840" s="100"/>
    </row>
    <row r="2841">
      <c r="A2841" s="107">
        <v>203913.0</v>
      </c>
      <c r="B2841" s="108" t="s">
        <v>90</v>
      </c>
      <c r="C2841" s="108" t="s">
        <v>746</v>
      </c>
      <c r="D2841" s="112" t="s">
        <v>178</v>
      </c>
      <c r="E2841" s="112">
        <v>568.1</v>
      </c>
      <c r="F2841" s="111" t="str">
        <f>DataPull!D2841</f>
        <v/>
      </c>
      <c r="G2841" s="94" t="str">
        <f t="shared" si="2"/>
        <v/>
      </c>
      <c r="H2841" s="94" t="str">
        <f t="shared" si="3"/>
        <v/>
      </c>
      <c r="I2841" s="94" t="str">
        <f t="shared" ref="I2841:J2841" si="2842">if(G2841 = "", , -G2841)</f>
        <v/>
      </c>
      <c r="J2841" s="94" t="str">
        <f t="shared" si="2842"/>
        <v/>
      </c>
      <c r="K2841" s="100"/>
      <c r="M2841" s="100"/>
      <c r="N2841" s="100"/>
      <c r="O2841" s="100"/>
      <c r="P2841" s="100"/>
    </row>
    <row r="2842">
      <c r="A2842" s="107">
        <v>203914.0</v>
      </c>
      <c r="B2842" s="108" t="s">
        <v>90</v>
      </c>
      <c r="C2842" s="108" t="s">
        <v>747</v>
      </c>
      <c r="D2842" s="112" t="s">
        <v>177</v>
      </c>
      <c r="E2842" s="112">
        <v>720.5</v>
      </c>
      <c r="F2842" s="111" t="str">
        <f>DataPull!D2842</f>
        <v/>
      </c>
      <c r="G2842" s="94" t="str">
        <f t="shared" si="2"/>
        <v/>
      </c>
      <c r="H2842" s="94" t="str">
        <f t="shared" si="3"/>
        <v/>
      </c>
      <c r="I2842" s="94" t="str">
        <f t="shared" ref="I2842:J2842" si="2843">if(G2842 = "", , -G2842)</f>
        <v/>
      </c>
      <c r="J2842" s="94" t="str">
        <f t="shared" si="2843"/>
        <v/>
      </c>
      <c r="K2842" s="100"/>
      <c r="M2842" s="100"/>
      <c r="N2842" s="100"/>
      <c r="O2842" s="100"/>
      <c r="P2842" s="100"/>
    </row>
    <row r="2843">
      <c r="A2843" s="107">
        <v>203914.0</v>
      </c>
      <c r="B2843" s="108" t="s">
        <v>92</v>
      </c>
      <c r="C2843" s="108" t="s">
        <v>747</v>
      </c>
      <c r="D2843" s="112" t="s">
        <v>178</v>
      </c>
      <c r="E2843" s="112">
        <v>2439.6</v>
      </c>
      <c r="F2843" s="111" t="str">
        <f>DataPull!D2843</f>
        <v/>
      </c>
      <c r="G2843" s="94" t="str">
        <f t="shared" si="2"/>
        <v/>
      </c>
      <c r="H2843" s="94" t="str">
        <f t="shared" si="3"/>
        <v/>
      </c>
      <c r="I2843" s="94" t="str">
        <f t="shared" ref="I2843:J2843" si="2844">if(G2843 = "", , -G2843)</f>
        <v/>
      </c>
      <c r="J2843" s="94" t="str">
        <f t="shared" si="2844"/>
        <v/>
      </c>
      <c r="K2843" s="100"/>
      <c r="M2843" s="100"/>
      <c r="N2843" s="100"/>
      <c r="O2843" s="100"/>
      <c r="P2843" s="100"/>
    </row>
    <row r="2844">
      <c r="A2844" s="107">
        <v>203914.0</v>
      </c>
      <c r="B2844" s="108" t="s">
        <v>190</v>
      </c>
      <c r="C2844" s="108" t="s">
        <v>747</v>
      </c>
      <c r="D2844" s="112" t="s">
        <v>178</v>
      </c>
      <c r="E2844" s="112">
        <v>1784.1</v>
      </c>
      <c r="F2844" s="111" t="str">
        <f>DataPull!D2844</f>
        <v/>
      </c>
      <c r="G2844" s="94" t="str">
        <f t="shared" si="2"/>
        <v/>
      </c>
      <c r="H2844" s="94" t="str">
        <f t="shared" si="3"/>
        <v/>
      </c>
      <c r="I2844" s="94" t="str">
        <f t="shared" ref="I2844:J2844" si="2845">if(G2844 = "", , -G2844)</f>
        <v/>
      </c>
      <c r="J2844" s="94" t="str">
        <f t="shared" si="2845"/>
        <v/>
      </c>
      <c r="K2844" s="100"/>
      <c r="L2844" s="100"/>
      <c r="M2844" s="100"/>
      <c r="N2844" s="100"/>
      <c r="O2844" s="100"/>
      <c r="P2844" s="100"/>
    </row>
    <row r="2845">
      <c r="A2845" s="107">
        <v>203914.0</v>
      </c>
      <c r="B2845" s="108" t="s">
        <v>191</v>
      </c>
      <c r="C2845" s="108" t="s">
        <v>747</v>
      </c>
      <c r="D2845" s="112" t="s">
        <v>178</v>
      </c>
      <c r="E2845" s="112">
        <v>2304.8</v>
      </c>
      <c r="F2845" s="111" t="str">
        <f>DataPull!D2845</f>
        <v/>
      </c>
      <c r="G2845" s="94" t="str">
        <f t="shared" si="2"/>
        <v/>
      </c>
      <c r="H2845" s="94" t="str">
        <f t="shared" si="3"/>
        <v/>
      </c>
      <c r="I2845" s="94" t="str">
        <f t="shared" ref="I2845:J2845" si="2846">if(G2845 = "", , -G2845)</f>
        <v/>
      </c>
      <c r="J2845" s="94" t="str">
        <f t="shared" si="2846"/>
        <v/>
      </c>
      <c r="K2845" s="100"/>
      <c r="N2845" s="100"/>
      <c r="O2845" s="100"/>
      <c r="P2845" s="100"/>
    </row>
    <row r="2846">
      <c r="A2846" s="107">
        <v>203914.0</v>
      </c>
      <c r="B2846" s="108" t="s">
        <v>192</v>
      </c>
      <c r="C2846" s="108" t="s">
        <v>747</v>
      </c>
      <c r="D2846" s="112" t="s">
        <v>178</v>
      </c>
      <c r="E2846" s="112">
        <v>1641.6</v>
      </c>
      <c r="F2846" s="111" t="str">
        <f>DataPull!D2846</f>
        <v/>
      </c>
      <c r="G2846" s="94" t="str">
        <f t="shared" si="2"/>
        <v/>
      </c>
      <c r="H2846" s="94" t="str">
        <f t="shared" si="3"/>
        <v/>
      </c>
      <c r="I2846" s="94" t="str">
        <f t="shared" ref="I2846:J2846" si="2847">if(G2846 = "", , -G2846)</f>
        <v/>
      </c>
      <c r="J2846" s="94" t="str">
        <f t="shared" si="2847"/>
        <v/>
      </c>
      <c r="K2846" s="100"/>
      <c r="L2846" s="100"/>
      <c r="M2846" s="100"/>
      <c r="N2846" s="100"/>
      <c r="O2846" s="100"/>
      <c r="P2846" s="100"/>
    </row>
    <row r="2847">
      <c r="A2847" s="107">
        <v>203914.0</v>
      </c>
      <c r="B2847" s="108" t="s">
        <v>193</v>
      </c>
      <c r="C2847" s="108" t="s">
        <v>747</v>
      </c>
      <c r="D2847" s="112" t="s">
        <v>178</v>
      </c>
      <c r="E2847" s="112">
        <v>1780.8</v>
      </c>
      <c r="F2847" s="111" t="str">
        <f>DataPull!D2847</f>
        <v/>
      </c>
      <c r="G2847" s="94" t="str">
        <f t="shared" si="2"/>
        <v/>
      </c>
      <c r="H2847" s="94" t="str">
        <f t="shared" si="3"/>
        <v/>
      </c>
      <c r="I2847" s="94" t="str">
        <f t="shared" ref="I2847:J2847" si="2848">if(G2847 = "", , -G2847)</f>
        <v/>
      </c>
      <c r="J2847" s="94" t="str">
        <f t="shared" si="2848"/>
        <v/>
      </c>
      <c r="K2847" s="100"/>
      <c r="M2847" s="100"/>
      <c r="N2847" s="100"/>
      <c r="O2847" s="100"/>
      <c r="P2847" s="100"/>
    </row>
    <row r="2848">
      <c r="A2848" s="107">
        <v>203914.0</v>
      </c>
      <c r="B2848" s="108" t="s">
        <v>243</v>
      </c>
      <c r="C2848" s="108" t="s">
        <v>747</v>
      </c>
      <c r="D2848" s="112" t="s">
        <v>176</v>
      </c>
      <c r="E2848" s="112">
        <v>1080.3</v>
      </c>
      <c r="F2848" s="111" t="str">
        <f>DataPull!D2848</f>
        <v/>
      </c>
      <c r="G2848" s="94" t="str">
        <f t="shared" si="2"/>
        <v/>
      </c>
      <c r="H2848" s="94" t="str">
        <f t="shared" si="3"/>
        <v/>
      </c>
      <c r="I2848" s="94" t="str">
        <f t="shared" ref="I2848:J2848" si="2849">if(G2848 = "", , -G2848)</f>
        <v/>
      </c>
      <c r="J2848" s="94" t="str">
        <f t="shared" si="2849"/>
        <v/>
      </c>
      <c r="K2848" s="100"/>
      <c r="M2848" s="100"/>
      <c r="N2848" s="100"/>
      <c r="O2848" s="100"/>
      <c r="P2848" s="100"/>
    </row>
    <row r="2849">
      <c r="A2849" s="107">
        <v>203914.0</v>
      </c>
      <c r="B2849" s="108" t="s">
        <v>215</v>
      </c>
      <c r="C2849" s="108" t="s">
        <v>747</v>
      </c>
      <c r="D2849" s="112" t="s">
        <v>178</v>
      </c>
      <c r="E2849" s="112">
        <v>1732.4</v>
      </c>
      <c r="F2849" s="111" t="str">
        <f>DataPull!D2849</f>
        <v/>
      </c>
      <c r="G2849" s="94" t="str">
        <f t="shared" si="2"/>
        <v/>
      </c>
      <c r="H2849" s="94" t="str">
        <f t="shared" si="3"/>
        <v/>
      </c>
      <c r="I2849" s="94" t="str">
        <f t="shared" ref="I2849:J2849" si="2850">if(G2849 = "", , -G2849)</f>
        <v/>
      </c>
      <c r="J2849" s="94" t="str">
        <f t="shared" si="2850"/>
        <v/>
      </c>
      <c r="K2849" s="100"/>
      <c r="M2849" s="100"/>
      <c r="N2849" s="100"/>
      <c r="O2849" s="100"/>
      <c r="P2849" s="100"/>
    </row>
    <row r="2850">
      <c r="A2850" s="107">
        <v>203914.0</v>
      </c>
      <c r="B2850" s="108" t="s">
        <v>244</v>
      </c>
      <c r="C2850" s="108" t="s">
        <v>747</v>
      </c>
      <c r="D2850" s="112" t="s">
        <v>176</v>
      </c>
      <c r="E2850" s="112">
        <v>1185.6</v>
      </c>
      <c r="F2850" s="111" t="str">
        <f>DataPull!D2850</f>
        <v/>
      </c>
      <c r="G2850" s="94" t="str">
        <f t="shared" si="2"/>
        <v/>
      </c>
      <c r="H2850" s="94" t="str">
        <f t="shared" si="3"/>
        <v/>
      </c>
      <c r="I2850" s="94" t="str">
        <f t="shared" ref="I2850:J2850" si="2851">if(G2850 = "", , -G2850)</f>
        <v/>
      </c>
      <c r="J2850" s="94" t="str">
        <f t="shared" si="2851"/>
        <v/>
      </c>
      <c r="K2850" s="100"/>
      <c r="M2850" s="100"/>
      <c r="N2850" s="100"/>
      <c r="O2850" s="100"/>
      <c r="P2850" s="100"/>
    </row>
    <row r="2851">
      <c r="A2851" s="107">
        <v>203914.0</v>
      </c>
      <c r="B2851" s="108" t="s">
        <v>245</v>
      </c>
      <c r="C2851" s="108" t="s">
        <v>747</v>
      </c>
      <c r="D2851" s="112" t="s">
        <v>178</v>
      </c>
      <c r="E2851" s="112">
        <v>1296.0</v>
      </c>
      <c r="F2851" s="111" t="str">
        <f>DataPull!D2851</f>
        <v/>
      </c>
      <c r="G2851" s="94" t="str">
        <f t="shared" si="2"/>
        <v/>
      </c>
      <c r="H2851" s="94" t="str">
        <f t="shared" si="3"/>
        <v/>
      </c>
      <c r="I2851" s="94" t="str">
        <f t="shared" ref="I2851:J2851" si="2852">if(G2851 = "", , -G2851)</f>
        <v/>
      </c>
      <c r="J2851" s="94" t="str">
        <f t="shared" si="2852"/>
        <v/>
      </c>
      <c r="K2851" s="100"/>
      <c r="L2851" s="100"/>
      <c r="N2851" s="100"/>
      <c r="O2851" s="100"/>
      <c r="P2851" s="100"/>
    </row>
    <row r="2852">
      <c r="A2852" s="107">
        <v>203914.0</v>
      </c>
      <c r="B2852" s="108" t="s">
        <v>246</v>
      </c>
      <c r="C2852" s="108" t="s">
        <v>747</v>
      </c>
      <c r="D2852" s="112" t="s">
        <v>177</v>
      </c>
      <c r="E2852" s="112">
        <v>710.4</v>
      </c>
      <c r="F2852" s="111" t="str">
        <f>DataPull!D2852</f>
        <v/>
      </c>
      <c r="G2852" s="94" t="str">
        <f t="shared" si="2"/>
        <v/>
      </c>
      <c r="H2852" s="94" t="str">
        <f t="shared" si="3"/>
        <v/>
      </c>
      <c r="I2852" s="94" t="str">
        <f t="shared" ref="I2852:J2852" si="2853">if(G2852 = "", , -G2852)</f>
        <v/>
      </c>
      <c r="J2852" s="94" t="str">
        <f t="shared" si="2853"/>
        <v/>
      </c>
      <c r="K2852" s="100"/>
      <c r="M2852" s="100"/>
      <c r="N2852" s="100"/>
      <c r="O2852" s="100"/>
      <c r="P2852" s="100"/>
    </row>
    <row r="2853">
      <c r="A2853" s="114">
        <v>203914.0</v>
      </c>
      <c r="B2853" s="113" t="s">
        <v>247</v>
      </c>
      <c r="C2853" s="113" t="s">
        <v>747</v>
      </c>
      <c r="D2853" s="112" t="s">
        <v>177</v>
      </c>
      <c r="E2853" s="112">
        <v>662.4</v>
      </c>
      <c r="F2853" s="111" t="str">
        <f>DataPull!D2853</f>
        <v/>
      </c>
      <c r="G2853" s="94" t="str">
        <f t="shared" si="2"/>
        <v/>
      </c>
      <c r="H2853" s="94" t="str">
        <f t="shared" si="3"/>
        <v/>
      </c>
      <c r="I2853" s="94" t="str">
        <f t="shared" ref="I2853:J2853" si="2854">if(G2853 = "", , -G2853)</f>
        <v/>
      </c>
      <c r="J2853" s="94" t="str">
        <f t="shared" si="2854"/>
        <v/>
      </c>
      <c r="K2853" s="100"/>
      <c r="M2853" s="100"/>
      <c r="N2853" s="100"/>
      <c r="O2853" s="100"/>
      <c r="P2853" s="100"/>
    </row>
    <row r="2854">
      <c r="A2854" s="107">
        <v>203915.0</v>
      </c>
      <c r="B2854" s="108" t="s">
        <v>90</v>
      </c>
      <c r="C2854" s="108" t="s">
        <v>748</v>
      </c>
      <c r="D2854" s="112" t="s">
        <v>177</v>
      </c>
      <c r="E2854" s="112">
        <v>455.6</v>
      </c>
      <c r="F2854" s="111" t="str">
        <f>DataPull!D2854</f>
        <v/>
      </c>
      <c r="G2854" s="94" t="str">
        <f t="shared" si="2"/>
        <v/>
      </c>
      <c r="H2854" s="94" t="str">
        <f t="shared" si="3"/>
        <v/>
      </c>
      <c r="I2854" s="94" t="str">
        <f t="shared" ref="I2854:J2854" si="2855">if(G2854 = "", , -G2854)</f>
        <v/>
      </c>
      <c r="J2854" s="94" t="str">
        <f t="shared" si="2855"/>
        <v/>
      </c>
      <c r="K2854" s="100"/>
      <c r="M2854" s="100"/>
      <c r="N2854" s="100"/>
      <c r="O2854" s="100"/>
      <c r="P2854" s="100"/>
    </row>
    <row r="2855">
      <c r="A2855" s="107">
        <v>203915.0</v>
      </c>
      <c r="B2855" s="108" t="s">
        <v>92</v>
      </c>
      <c r="C2855" s="108" t="s">
        <v>748</v>
      </c>
      <c r="D2855" s="112" t="s">
        <v>187</v>
      </c>
      <c r="E2855" s="112">
        <v>159.6</v>
      </c>
      <c r="F2855" s="111" t="str">
        <f>DataPull!D2855</f>
        <v/>
      </c>
      <c r="G2855" s="94" t="str">
        <f t="shared" si="2"/>
        <v/>
      </c>
      <c r="H2855" s="94" t="str">
        <f t="shared" si="3"/>
        <v/>
      </c>
      <c r="I2855" s="94" t="str">
        <f t="shared" ref="I2855:J2855" si="2856">if(G2855 = "", , -G2855)</f>
        <v/>
      </c>
      <c r="J2855" s="94" t="str">
        <f t="shared" si="2856"/>
        <v/>
      </c>
      <c r="K2855" s="100"/>
      <c r="M2855" s="100"/>
      <c r="N2855" s="100"/>
      <c r="O2855" s="100"/>
      <c r="P2855" s="100"/>
    </row>
    <row r="2856">
      <c r="A2856" s="107">
        <v>203915.0</v>
      </c>
      <c r="B2856" s="108" t="s">
        <v>190</v>
      </c>
      <c r="C2856" s="108" t="s">
        <v>748</v>
      </c>
      <c r="D2856" s="112" t="s">
        <v>176</v>
      </c>
      <c r="E2856" s="112">
        <v>1333.4</v>
      </c>
      <c r="F2856" s="111" t="str">
        <f>DataPull!D2856</f>
        <v/>
      </c>
      <c r="G2856" s="94" t="str">
        <f t="shared" si="2"/>
        <v/>
      </c>
      <c r="H2856" s="94" t="str">
        <f t="shared" si="3"/>
        <v/>
      </c>
      <c r="I2856" s="94" t="str">
        <f t="shared" ref="I2856:J2856" si="2857">if(G2856 = "", , -G2856)</f>
        <v/>
      </c>
      <c r="J2856" s="94" t="str">
        <f t="shared" si="2857"/>
        <v/>
      </c>
      <c r="K2856" s="100"/>
      <c r="M2856" s="100"/>
      <c r="N2856" s="100"/>
      <c r="O2856" s="100"/>
      <c r="P2856" s="100"/>
    </row>
    <row r="2857">
      <c r="A2857" s="107">
        <v>203915.0</v>
      </c>
      <c r="B2857" s="108" t="s">
        <v>191</v>
      </c>
      <c r="C2857" s="108" t="s">
        <v>748</v>
      </c>
      <c r="D2857" s="112" t="s">
        <v>184</v>
      </c>
      <c r="E2857" s="112">
        <v>2304.0</v>
      </c>
      <c r="F2857" s="111" t="str">
        <f>DataPull!D2857</f>
        <v/>
      </c>
      <c r="G2857" s="94" t="str">
        <f t="shared" si="2"/>
        <v/>
      </c>
      <c r="H2857" s="94" t="str">
        <f t="shared" si="3"/>
        <v/>
      </c>
      <c r="I2857" s="94" t="str">
        <f t="shared" ref="I2857:J2857" si="2858">if(G2857 = "", , -G2857)</f>
        <v/>
      </c>
      <c r="J2857" s="94" t="str">
        <f t="shared" si="2858"/>
        <v/>
      </c>
      <c r="K2857" s="100"/>
      <c r="M2857" s="100"/>
      <c r="N2857" s="100"/>
      <c r="O2857" s="100"/>
      <c r="P2857" s="100"/>
    </row>
    <row r="2858">
      <c r="A2858" s="107">
        <v>203915.0</v>
      </c>
      <c r="B2858" s="108" t="s">
        <v>192</v>
      </c>
      <c r="C2858" s="108" t="s">
        <v>748</v>
      </c>
      <c r="D2858" s="112" t="s">
        <v>178</v>
      </c>
      <c r="E2858" s="112">
        <v>1910.8</v>
      </c>
      <c r="F2858" s="111" t="str">
        <f>DataPull!D2858</f>
        <v/>
      </c>
      <c r="G2858" s="94" t="str">
        <f t="shared" si="2"/>
        <v/>
      </c>
      <c r="H2858" s="94" t="str">
        <f t="shared" si="3"/>
        <v/>
      </c>
      <c r="I2858" s="94" t="str">
        <f t="shared" ref="I2858:J2858" si="2859">if(G2858 = "", , -G2858)</f>
        <v/>
      </c>
      <c r="J2858" s="94" t="str">
        <f t="shared" si="2859"/>
        <v/>
      </c>
      <c r="K2858" s="100"/>
      <c r="M2858" s="100"/>
      <c r="N2858" s="100"/>
      <c r="O2858" s="100"/>
      <c r="P2858" s="100"/>
    </row>
    <row r="2859">
      <c r="A2859" s="107">
        <v>203915.0</v>
      </c>
      <c r="B2859" s="108" t="s">
        <v>193</v>
      </c>
      <c r="C2859" s="108" t="s">
        <v>748</v>
      </c>
      <c r="D2859" s="112" t="s">
        <v>184</v>
      </c>
      <c r="E2859" s="112">
        <v>1996.8</v>
      </c>
      <c r="F2859" s="111" t="str">
        <f>DataPull!D2859</f>
        <v/>
      </c>
      <c r="G2859" s="94" t="str">
        <f t="shared" si="2"/>
        <v/>
      </c>
      <c r="H2859" s="94" t="str">
        <f t="shared" si="3"/>
        <v/>
      </c>
      <c r="I2859" s="94" t="str">
        <f t="shared" ref="I2859:J2859" si="2860">if(G2859 = "", , -G2859)</f>
        <v/>
      </c>
      <c r="J2859" s="94" t="str">
        <f t="shared" si="2860"/>
        <v/>
      </c>
      <c r="K2859" s="100"/>
      <c r="L2859" s="100"/>
      <c r="M2859" s="100"/>
      <c r="N2859" s="100"/>
      <c r="O2859" s="100"/>
    </row>
    <row r="2860">
      <c r="A2860" s="107">
        <v>203915.0</v>
      </c>
      <c r="B2860" s="108" t="s">
        <v>243</v>
      </c>
      <c r="C2860" s="108" t="s">
        <v>748</v>
      </c>
      <c r="D2860" s="112" t="s">
        <v>181</v>
      </c>
      <c r="E2860" s="112">
        <v>64.2</v>
      </c>
      <c r="F2860" s="111" t="str">
        <f>DataPull!D2860</f>
        <v/>
      </c>
      <c r="G2860" s="94" t="str">
        <f t="shared" si="2"/>
        <v/>
      </c>
      <c r="H2860" s="94" t="str">
        <f t="shared" si="3"/>
        <v/>
      </c>
      <c r="I2860" s="94" t="str">
        <f t="shared" ref="I2860:J2860" si="2861">if(G2860 = "", , -G2860)</f>
        <v/>
      </c>
      <c r="J2860" s="94" t="str">
        <f t="shared" si="2861"/>
        <v/>
      </c>
      <c r="K2860" s="100"/>
      <c r="M2860" s="100"/>
      <c r="N2860" s="100"/>
      <c r="O2860" s="100"/>
      <c r="P2860" s="100"/>
    </row>
    <row r="2861">
      <c r="A2861" s="107">
        <v>203915.0</v>
      </c>
      <c r="B2861" s="108" t="s">
        <v>215</v>
      </c>
      <c r="C2861" s="108" t="s">
        <v>748</v>
      </c>
      <c r="D2861" s="112" t="s">
        <v>178</v>
      </c>
      <c r="E2861" s="112">
        <v>1983.2</v>
      </c>
      <c r="F2861" s="111" t="str">
        <f>DataPull!D2861</f>
        <v/>
      </c>
      <c r="G2861" s="94" t="str">
        <f t="shared" si="2"/>
        <v/>
      </c>
      <c r="H2861" s="94" t="str">
        <f t="shared" si="3"/>
        <v/>
      </c>
      <c r="I2861" s="94" t="str">
        <f t="shared" ref="I2861:J2861" si="2862">if(G2861 = "", , -G2861)</f>
        <v/>
      </c>
      <c r="J2861" s="94" t="str">
        <f t="shared" si="2862"/>
        <v/>
      </c>
      <c r="K2861" s="100"/>
      <c r="M2861" s="100"/>
      <c r="N2861" s="100"/>
      <c r="O2861" s="100"/>
      <c r="P2861" s="100"/>
    </row>
    <row r="2862">
      <c r="A2862" s="107">
        <v>203915.0</v>
      </c>
      <c r="B2862" s="108" t="s">
        <v>244</v>
      </c>
      <c r="C2862" s="108" t="s">
        <v>748</v>
      </c>
      <c r="D2862" s="112" t="s">
        <v>184</v>
      </c>
      <c r="E2862" s="112">
        <v>2725.5</v>
      </c>
      <c r="F2862" s="111" t="str">
        <f>DataPull!D2862</f>
        <v/>
      </c>
      <c r="G2862" s="94" t="str">
        <f t="shared" si="2"/>
        <v/>
      </c>
      <c r="H2862" s="94" t="str">
        <f t="shared" si="3"/>
        <v/>
      </c>
      <c r="I2862" s="94" t="str">
        <f t="shared" ref="I2862:J2862" si="2863">if(G2862 = "", , -G2862)</f>
        <v/>
      </c>
      <c r="J2862" s="94" t="str">
        <f t="shared" si="2863"/>
        <v/>
      </c>
      <c r="K2862" s="100"/>
      <c r="M2862" s="100"/>
      <c r="N2862" s="100"/>
      <c r="O2862" s="100"/>
      <c r="P2862" s="100"/>
    </row>
    <row r="2863">
      <c r="A2863" s="107">
        <v>203915.0</v>
      </c>
      <c r="B2863" s="108" t="s">
        <v>245</v>
      </c>
      <c r="C2863" s="108" t="s">
        <v>748</v>
      </c>
      <c r="D2863" s="112" t="s">
        <v>178</v>
      </c>
      <c r="E2863" s="112">
        <v>2150.8</v>
      </c>
      <c r="F2863" s="111" t="str">
        <f>DataPull!D2863</f>
        <v/>
      </c>
      <c r="G2863" s="94" t="str">
        <f t="shared" si="2"/>
        <v/>
      </c>
      <c r="H2863" s="94" t="str">
        <f t="shared" si="3"/>
        <v/>
      </c>
      <c r="I2863" s="94" t="str">
        <f t="shared" ref="I2863:J2863" si="2864">if(G2863 = "", , -G2863)</f>
        <v/>
      </c>
      <c r="J2863" s="94" t="str">
        <f t="shared" si="2864"/>
        <v/>
      </c>
      <c r="K2863" s="100"/>
      <c r="M2863" s="100"/>
      <c r="N2863" s="100"/>
      <c r="O2863" s="100"/>
      <c r="P2863" s="100"/>
    </row>
    <row r="2864">
      <c r="A2864" s="107">
        <v>203915.0</v>
      </c>
      <c r="B2864" s="108" t="s">
        <v>246</v>
      </c>
      <c r="C2864" s="108" t="s">
        <v>748</v>
      </c>
      <c r="D2864" s="112" t="s">
        <v>176</v>
      </c>
      <c r="E2864" s="112">
        <v>2133.0</v>
      </c>
      <c r="F2864" s="111" t="str">
        <f>DataPull!D2864</f>
        <v/>
      </c>
      <c r="G2864" s="94" t="str">
        <f t="shared" si="2"/>
        <v/>
      </c>
      <c r="H2864" s="94" t="str">
        <f t="shared" si="3"/>
        <v/>
      </c>
      <c r="I2864" s="94" t="str">
        <f t="shared" ref="I2864:J2864" si="2865">if(G2864 = "", , -G2864)</f>
        <v/>
      </c>
      <c r="J2864" s="94" t="str">
        <f t="shared" si="2865"/>
        <v/>
      </c>
      <c r="K2864" s="100"/>
      <c r="M2864" s="100"/>
      <c r="N2864" s="100"/>
      <c r="O2864" s="100"/>
      <c r="P2864" s="100"/>
    </row>
    <row r="2865">
      <c r="A2865" s="107">
        <v>203917.0</v>
      </c>
      <c r="B2865" s="108" t="s">
        <v>90</v>
      </c>
      <c r="C2865" s="108" t="s">
        <v>749</v>
      </c>
      <c r="D2865" s="112" t="s">
        <v>177</v>
      </c>
      <c r="E2865" s="112">
        <v>1124.2</v>
      </c>
      <c r="F2865" s="111" t="str">
        <f>DataPull!D2865</f>
        <v/>
      </c>
      <c r="G2865" s="94" t="str">
        <f t="shared" si="2"/>
        <v/>
      </c>
      <c r="H2865" s="94" t="str">
        <f t="shared" si="3"/>
        <v/>
      </c>
      <c r="I2865" s="94" t="str">
        <f t="shared" ref="I2865:J2865" si="2866">if(G2865 = "", , -G2865)</f>
        <v/>
      </c>
      <c r="J2865" s="94" t="str">
        <f t="shared" si="2866"/>
        <v/>
      </c>
      <c r="K2865" s="100"/>
      <c r="M2865" s="100"/>
      <c r="N2865" s="100"/>
      <c r="O2865" s="100"/>
      <c r="P2865" s="100"/>
    </row>
    <row r="2866">
      <c r="A2866" s="107">
        <v>203917.0</v>
      </c>
      <c r="B2866" s="108" t="s">
        <v>92</v>
      </c>
      <c r="C2866" s="108" t="s">
        <v>749</v>
      </c>
      <c r="D2866" s="112" t="s">
        <v>176</v>
      </c>
      <c r="E2866" s="112">
        <v>1810.4</v>
      </c>
      <c r="F2866" s="111" t="str">
        <f>DataPull!D2866</f>
        <v/>
      </c>
      <c r="G2866" s="94" t="str">
        <f t="shared" si="2"/>
        <v/>
      </c>
      <c r="H2866" s="94" t="str">
        <f t="shared" si="3"/>
        <v/>
      </c>
      <c r="I2866" s="94" t="str">
        <f t="shared" ref="I2866:J2866" si="2867">if(G2866 = "", , -G2866)</f>
        <v/>
      </c>
      <c r="J2866" s="94" t="str">
        <f t="shared" si="2867"/>
        <v/>
      </c>
      <c r="K2866" s="100"/>
      <c r="M2866" s="100"/>
      <c r="N2866" s="100"/>
      <c r="O2866" s="100"/>
      <c r="P2866" s="100"/>
    </row>
    <row r="2867">
      <c r="A2867" s="107">
        <v>203917.0</v>
      </c>
      <c r="B2867" s="108" t="s">
        <v>190</v>
      </c>
      <c r="C2867" s="108" t="s">
        <v>749</v>
      </c>
      <c r="D2867" s="112" t="s">
        <v>178</v>
      </c>
      <c r="E2867" s="112">
        <v>2184.0</v>
      </c>
      <c r="F2867" s="111" t="str">
        <f>DataPull!D2867</f>
        <v/>
      </c>
      <c r="G2867" s="94" t="str">
        <f t="shared" si="2"/>
        <v/>
      </c>
      <c r="H2867" s="94" t="str">
        <f t="shared" si="3"/>
        <v/>
      </c>
      <c r="I2867" s="94" t="str">
        <f t="shared" ref="I2867:J2867" si="2868">if(G2867 = "", , -G2867)</f>
        <v/>
      </c>
      <c r="J2867" s="94" t="str">
        <f t="shared" si="2868"/>
        <v/>
      </c>
      <c r="K2867" s="100"/>
      <c r="M2867" s="100"/>
      <c r="N2867" s="100"/>
      <c r="O2867" s="100"/>
      <c r="P2867" s="100"/>
    </row>
    <row r="2868">
      <c r="A2868" s="107">
        <v>203917.0</v>
      </c>
      <c r="B2868" s="108" t="s">
        <v>191</v>
      </c>
      <c r="C2868" s="108" t="s">
        <v>749</v>
      </c>
      <c r="D2868" s="112" t="s">
        <v>177</v>
      </c>
      <c r="E2868" s="112">
        <v>524.8</v>
      </c>
      <c r="F2868" s="111" t="str">
        <f>DataPull!D2868</f>
        <v/>
      </c>
      <c r="G2868" s="94" t="str">
        <f t="shared" si="2"/>
        <v/>
      </c>
      <c r="H2868" s="94" t="str">
        <f t="shared" si="3"/>
        <v/>
      </c>
      <c r="I2868" s="94" t="str">
        <f t="shared" ref="I2868:J2868" si="2869">if(G2868 = "", , -G2868)</f>
        <v/>
      </c>
      <c r="J2868" s="94" t="str">
        <f t="shared" si="2869"/>
        <v/>
      </c>
      <c r="K2868" s="100"/>
      <c r="M2868" s="100"/>
      <c r="N2868" s="100"/>
      <c r="O2868" s="100"/>
      <c r="P2868" s="100"/>
    </row>
    <row r="2869">
      <c r="A2869" s="107">
        <v>203917.0</v>
      </c>
      <c r="B2869" s="108" t="s">
        <v>192</v>
      </c>
      <c r="C2869" s="108" t="s">
        <v>749</v>
      </c>
      <c r="D2869" s="112" t="s">
        <v>177</v>
      </c>
      <c r="E2869" s="112">
        <v>1013.2</v>
      </c>
      <c r="F2869" s="111" t="str">
        <f>DataPull!D2869</f>
        <v/>
      </c>
      <c r="G2869" s="94" t="str">
        <f t="shared" si="2"/>
        <v/>
      </c>
      <c r="H2869" s="94" t="str">
        <f t="shared" si="3"/>
        <v/>
      </c>
      <c r="I2869" s="94" t="str">
        <f t="shared" ref="I2869:J2869" si="2870">if(G2869 = "", , -G2869)</f>
        <v/>
      </c>
      <c r="J2869" s="94" t="str">
        <f t="shared" si="2870"/>
        <v/>
      </c>
      <c r="K2869" s="100"/>
      <c r="M2869" s="100"/>
      <c r="N2869" s="100"/>
      <c r="O2869" s="100"/>
      <c r="P2869" s="100"/>
    </row>
    <row r="2870">
      <c r="A2870" s="107">
        <v>203917.0</v>
      </c>
      <c r="B2870" s="108" t="s">
        <v>215</v>
      </c>
      <c r="C2870" s="108" t="s">
        <v>749</v>
      </c>
      <c r="D2870" s="112" t="s">
        <v>181</v>
      </c>
      <c r="E2870" s="112">
        <v>38.4</v>
      </c>
      <c r="F2870" s="111" t="str">
        <f>DataPull!D2870</f>
        <v/>
      </c>
      <c r="G2870" s="94" t="str">
        <f t="shared" si="2"/>
        <v/>
      </c>
      <c r="H2870" s="94" t="str">
        <f t="shared" si="3"/>
        <v/>
      </c>
      <c r="I2870" s="94" t="str">
        <f t="shared" ref="I2870:J2870" si="2871">if(G2870 = "", , -G2870)</f>
        <v/>
      </c>
      <c r="J2870" s="94" t="str">
        <f t="shared" si="2871"/>
        <v/>
      </c>
      <c r="K2870" s="100"/>
      <c r="L2870" s="100"/>
      <c r="M2870" s="100"/>
      <c r="N2870" s="100"/>
      <c r="O2870" s="100"/>
      <c r="P2870" s="100"/>
    </row>
    <row r="2871">
      <c r="A2871" s="107">
        <v>203918.0</v>
      </c>
      <c r="B2871" s="108" t="s">
        <v>90</v>
      </c>
      <c r="C2871" s="108" t="s">
        <v>750</v>
      </c>
      <c r="D2871" s="112" t="s">
        <v>176</v>
      </c>
      <c r="E2871" s="112">
        <v>1065.0</v>
      </c>
      <c r="F2871" s="111" t="str">
        <f>DataPull!D2871</f>
        <v/>
      </c>
      <c r="G2871" s="94" t="str">
        <f t="shared" si="2"/>
        <v/>
      </c>
      <c r="H2871" s="94" t="str">
        <f t="shared" si="3"/>
        <v/>
      </c>
      <c r="I2871" s="94" t="str">
        <f t="shared" ref="I2871:J2871" si="2872">if(G2871 = "", , -G2871)</f>
        <v/>
      </c>
      <c r="J2871" s="94" t="str">
        <f t="shared" si="2872"/>
        <v/>
      </c>
      <c r="K2871" s="100"/>
      <c r="L2871" s="100"/>
      <c r="M2871" s="100"/>
      <c r="N2871" s="100"/>
      <c r="O2871" s="100"/>
      <c r="P2871" s="100"/>
    </row>
    <row r="2872">
      <c r="A2872" s="107">
        <v>203918.0</v>
      </c>
      <c r="B2872" s="108" t="s">
        <v>92</v>
      </c>
      <c r="C2872" s="108" t="s">
        <v>750</v>
      </c>
      <c r="D2872" s="112" t="s">
        <v>178</v>
      </c>
      <c r="E2872" s="112">
        <v>2543.8</v>
      </c>
      <c r="F2872" s="111" t="str">
        <f>DataPull!D2872</f>
        <v/>
      </c>
      <c r="G2872" s="94" t="str">
        <f t="shared" si="2"/>
        <v/>
      </c>
      <c r="H2872" s="94" t="str">
        <f t="shared" si="3"/>
        <v/>
      </c>
      <c r="I2872" s="94" t="str">
        <f t="shared" ref="I2872:J2872" si="2873">if(G2872 = "", , -G2872)</f>
        <v/>
      </c>
      <c r="J2872" s="94" t="str">
        <f t="shared" si="2873"/>
        <v/>
      </c>
      <c r="K2872" s="100"/>
      <c r="M2872" s="100"/>
      <c r="N2872" s="100"/>
      <c r="O2872" s="100"/>
      <c r="P2872" s="100"/>
    </row>
    <row r="2873">
      <c r="A2873" s="107">
        <v>203918.0</v>
      </c>
      <c r="B2873" s="108" t="s">
        <v>190</v>
      </c>
      <c r="C2873" s="108" t="s">
        <v>750</v>
      </c>
      <c r="D2873" s="112" t="s">
        <v>178</v>
      </c>
      <c r="E2873" s="112">
        <v>1593.0</v>
      </c>
      <c r="F2873" s="111" t="str">
        <f>DataPull!D2873</f>
        <v/>
      </c>
      <c r="G2873" s="94" t="str">
        <f t="shared" si="2"/>
        <v/>
      </c>
      <c r="H2873" s="94" t="str">
        <f t="shared" si="3"/>
        <v/>
      </c>
      <c r="I2873" s="94" t="str">
        <f t="shared" ref="I2873:J2873" si="2874">if(G2873 = "", , -G2873)</f>
        <v/>
      </c>
      <c r="J2873" s="94" t="str">
        <f t="shared" si="2874"/>
        <v/>
      </c>
      <c r="K2873" s="100"/>
      <c r="L2873" s="100"/>
      <c r="N2873" s="100"/>
      <c r="O2873" s="100"/>
      <c r="P2873" s="100"/>
    </row>
    <row r="2874">
      <c r="A2874" s="107">
        <v>203918.0</v>
      </c>
      <c r="B2874" s="108" t="s">
        <v>191</v>
      </c>
      <c r="C2874" s="108" t="s">
        <v>750</v>
      </c>
      <c r="D2874" s="112" t="s">
        <v>176</v>
      </c>
      <c r="E2874" s="112">
        <v>1614.0</v>
      </c>
      <c r="F2874" s="111" t="str">
        <f>DataPull!D2874</f>
        <v/>
      </c>
      <c r="G2874" s="94" t="str">
        <f t="shared" si="2"/>
        <v/>
      </c>
      <c r="H2874" s="94" t="str">
        <f t="shared" si="3"/>
        <v/>
      </c>
      <c r="I2874" s="94" t="str">
        <f t="shared" ref="I2874:J2874" si="2875">if(G2874 = "", , -G2874)</f>
        <v/>
      </c>
      <c r="J2874" s="94" t="str">
        <f t="shared" si="2875"/>
        <v/>
      </c>
      <c r="K2874" s="100"/>
      <c r="M2874" s="100"/>
      <c r="N2874" s="100"/>
      <c r="O2874" s="100"/>
      <c r="P2874" s="100"/>
    </row>
    <row r="2875">
      <c r="A2875" s="107">
        <v>203918.0</v>
      </c>
      <c r="B2875" s="108" t="s">
        <v>192</v>
      </c>
      <c r="C2875" s="108" t="s">
        <v>750</v>
      </c>
      <c r="D2875" s="112" t="s">
        <v>178</v>
      </c>
      <c r="E2875" s="112">
        <v>1893.6</v>
      </c>
      <c r="F2875" s="111" t="str">
        <f>DataPull!D2875</f>
        <v/>
      </c>
      <c r="G2875" s="94" t="str">
        <f t="shared" si="2"/>
        <v/>
      </c>
      <c r="H2875" s="94" t="str">
        <f t="shared" si="3"/>
        <v/>
      </c>
      <c r="I2875" s="94" t="str">
        <f t="shared" ref="I2875:J2875" si="2876">if(G2875 = "", , -G2875)</f>
        <v/>
      </c>
      <c r="J2875" s="94" t="str">
        <f t="shared" si="2876"/>
        <v/>
      </c>
      <c r="K2875" s="100"/>
      <c r="M2875" s="100"/>
      <c r="N2875" s="100"/>
      <c r="O2875" s="100"/>
      <c r="P2875" s="100"/>
    </row>
    <row r="2876">
      <c r="A2876" s="107">
        <v>203918.0</v>
      </c>
      <c r="B2876" s="108" t="s">
        <v>193</v>
      </c>
      <c r="C2876" s="108" t="s">
        <v>750</v>
      </c>
      <c r="D2876" s="112" t="s">
        <v>176</v>
      </c>
      <c r="E2876" s="112">
        <v>619.5</v>
      </c>
      <c r="F2876" s="111" t="str">
        <f>DataPull!D2876</f>
        <v/>
      </c>
      <c r="G2876" s="94" t="str">
        <f t="shared" si="2"/>
        <v/>
      </c>
      <c r="H2876" s="94" t="str">
        <f t="shared" si="3"/>
        <v/>
      </c>
      <c r="I2876" s="94" t="str">
        <f t="shared" ref="I2876:J2876" si="2877">if(G2876 = "", , -G2876)</f>
        <v/>
      </c>
      <c r="J2876" s="94" t="str">
        <f t="shared" si="2877"/>
        <v/>
      </c>
      <c r="K2876" s="100"/>
      <c r="M2876" s="100"/>
      <c r="N2876" s="100"/>
      <c r="O2876" s="100"/>
      <c r="P2876" s="100"/>
    </row>
    <row r="2877">
      <c r="A2877" s="107">
        <v>203918.0</v>
      </c>
      <c r="B2877" s="108" t="s">
        <v>243</v>
      </c>
      <c r="C2877" s="108" t="s">
        <v>750</v>
      </c>
      <c r="D2877" s="112" t="s">
        <v>177</v>
      </c>
      <c r="E2877" s="112">
        <v>940.5</v>
      </c>
      <c r="F2877" s="111" t="str">
        <f>DataPull!D2877</f>
        <v/>
      </c>
      <c r="G2877" s="94" t="str">
        <f t="shared" si="2"/>
        <v/>
      </c>
      <c r="H2877" s="94" t="str">
        <f t="shared" si="3"/>
        <v/>
      </c>
      <c r="I2877" s="94" t="str">
        <f t="shared" ref="I2877:J2877" si="2878">if(G2877 = "", , -G2877)</f>
        <v/>
      </c>
      <c r="J2877" s="94" t="str">
        <f t="shared" si="2878"/>
        <v/>
      </c>
      <c r="K2877" s="100"/>
      <c r="M2877" s="100"/>
      <c r="N2877" s="100"/>
      <c r="O2877" s="100"/>
      <c r="P2877" s="100"/>
    </row>
    <row r="2878">
      <c r="A2878" s="107">
        <v>203918.0</v>
      </c>
      <c r="B2878" s="108" t="s">
        <v>215</v>
      </c>
      <c r="C2878" s="108" t="s">
        <v>750</v>
      </c>
      <c r="D2878" s="112" t="s">
        <v>177</v>
      </c>
      <c r="E2878" s="112">
        <v>707.2</v>
      </c>
      <c r="F2878" s="111" t="str">
        <f>DataPull!D2878</f>
        <v/>
      </c>
      <c r="G2878" s="94" t="str">
        <f t="shared" si="2"/>
        <v/>
      </c>
      <c r="H2878" s="94" t="str">
        <f t="shared" si="3"/>
        <v/>
      </c>
      <c r="I2878" s="94" t="str">
        <f t="shared" ref="I2878:J2878" si="2879">if(G2878 = "", , -G2878)</f>
        <v/>
      </c>
      <c r="J2878" s="94" t="str">
        <f t="shared" si="2879"/>
        <v/>
      </c>
      <c r="K2878" s="100"/>
      <c r="M2878" s="100"/>
      <c r="N2878" s="100"/>
      <c r="O2878" s="100"/>
      <c r="P2878" s="100"/>
    </row>
    <row r="2879">
      <c r="A2879" s="107">
        <v>203919.0</v>
      </c>
      <c r="B2879" s="108" t="s">
        <v>90</v>
      </c>
      <c r="C2879" s="108" t="s">
        <v>751</v>
      </c>
      <c r="D2879" s="112" t="s">
        <v>187</v>
      </c>
      <c r="E2879" s="112">
        <v>249.0</v>
      </c>
      <c r="F2879" s="111" t="str">
        <f>DataPull!D2879</f>
        <v/>
      </c>
      <c r="G2879" s="94" t="str">
        <f t="shared" si="2"/>
        <v/>
      </c>
      <c r="H2879" s="94" t="str">
        <f t="shared" si="3"/>
        <v/>
      </c>
      <c r="I2879" s="94" t="str">
        <f t="shared" ref="I2879:J2879" si="2880">if(G2879 = "", , -G2879)</f>
        <v/>
      </c>
      <c r="J2879" s="94" t="str">
        <f t="shared" si="2880"/>
        <v/>
      </c>
      <c r="K2879" s="100"/>
      <c r="M2879" s="100"/>
      <c r="N2879" s="100"/>
      <c r="O2879" s="100"/>
      <c r="P2879" s="100"/>
    </row>
    <row r="2880">
      <c r="A2880" s="107">
        <v>203919.0</v>
      </c>
      <c r="B2880" s="108" t="s">
        <v>92</v>
      </c>
      <c r="C2880" s="108" t="s">
        <v>751</v>
      </c>
      <c r="D2880" s="112" t="s">
        <v>181</v>
      </c>
      <c r="E2880" s="112">
        <v>14.6</v>
      </c>
      <c r="F2880" s="111" t="str">
        <f>DataPull!D2880</f>
        <v/>
      </c>
      <c r="G2880" s="94" t="str">
        <f t="shared" si="2"/>
        <v/>
      </c>
      <c r="H2880" s="94" t="str">
        <f t="shared" si="3"/>
        <v/>
      </c>
      <c r="I2880" s="94" t="str">
        <f t="shared" ref="I2880:J2880" si="2881">if(G2880 = "", , -G2880)</f>
        <v/>
      </c>
      <c r="J2880" s="94" t="str">
        <f t="shared" si="2881"/>
        <v/>
      </c>
      <c r="K2880" s="100"/>
      <c r="M2880" s="100"/>
      <c r="N2880" s="100"/>
      <c r="O2880" s="100"/>
      <c r="P2880" s="100"/>
    </row>
    <row r="2881">
      <c r="A2881" s="107">
        <v>203920.0</v>
      </c>
      <c r="B2881" s="108" t="s">
        <v>191</v>
      </c>
      <c r="C2881" s="108" t="s">
        <v>752</v>
      </c>
      <c r="D2881" s="112" t="s">
        <v>177</v>
      </c>
      <c r="E2881" s="112">
        <v>579.6</v>
      </c>
      <c r="F2881" s="111" t="str">
        <f>DataPull!D2881</f>
        <v/>
      </c>
      <c r="G2881" s="94" t="str">
        <f t="shared" si="2"/>
        <v/>
      </c>
      <c r="H2881" s="94" t="str">
        <f t="shared" si="3"/>
        <v/>
      </c>
      <c r="I2881" s="94" t="str">
        <f t="shared" ref="I2881:J2881" si="2882">if(G2881 = "", , -G2881)</f>
        <v/>
      </c>
      <c r="J2881" s="94" t="str">
        <f t="shared" si="2882"/>
        <v/>
      </c>
      <c r="K2881" s="100"/>
      <c r="M2881" s="100"/>
      <c r="N2881" s="100"/>
      <c r="O2881" s="100"/>
      <c r="P2881" s="100"/>
    </row>
    <row r="2882">
      <c r="A2882" s="107">
        <v>203920.0</v>
      </c>
      <c r="B2882" s="108" t="s">
        <v>192</v>
      </c>
      <c r="C2882" s="108" t="s">
        <v>752</v>
      </c>
      <c r="D2882" s="112" t="s">
        <v>177</v>
      </c>
      <c r="E2882" s="112">
        <v>645.0</v>
      </c>
      <c r="F2882" s="111" t="str">
        <f>DataPull!D2882</f>
        <v/>
      </c>
      <c r="G2882" s="94" t="str">
        <f t="shared" si="2"/>
        <v/>
      </c>
      <c r="H2882" s="94" t="str">
        <f t="shared" si="3"/>
        <v/>
      </c>
      <c r="I2882" s="94" t="str">
        <f t="shared" ref="I2882:J2882" si="2883">if(G2882 = "", , -G2882)</f>
        <v/>
      </c>
      <c r="J2882" s="94" t="str">
        <f t="shared" si="2883"/>
        <v/>
      </c>
      <c r="K2882" s="100"/>
      <c r="M2882" s="100"/>
      <c r="N2882" s="100"/>
      <c r="O2882" s="100"/>
      <c r="P2882" s="100"/>
    </row>
    <row r="2883">
      <c r="A2883" s="107">
        <v>203920.0</v>
      </c>
      <c r="B2883" s="108" t="s">
        <v>193</v>
      </c>
      <c r="C2883" s="108" t="s">
        <v>752</v>
      </c>
      <c r="D2883" s="112" t="s">
        <v>177</v>
      </c>
      <c r="E2883" s="112">
        <v>921.6</v>
      </c>
      <c r="F2883" s="111" t="str">
        <f>DataPull!D2883</f>
        <v/>
      </c>
      <c r="G2883" s="94" t="str">
        <f t="shared" si="2"/>
        <v/>
      </c>
      <c r="H2883" s="94" t="str">
        <f t="shared" si="3"/>
        <v/>
      </c>
      <c r="I2883" s="94" t="str">
        <f t="shared" ref="I2883:J2883" si="2884">if(G2883 = "", , -G2883)</f>
        <v/>
      </c>
      <c r="J2883" s="94" t="str">
        <f t="shared" si="2884"/>
        <v/>
      </c>
      <c r="K2883" s="100"/>
      <c r="M2883" s="100"/>
      <c r="N2883" s="100"/>
      <c r="O2883" s="100"/>
      <c r="P2883" s="100"/>
    </row>
    <row r="2884">
      <c r="A2884" s="107">
        <v>203920.0</v>
      </c>
      <c r="B2884" s="108" t="s">
        <v>243</v>
      </c>
      <c r="C2884" s="108" t="s">
        <v>752</v>
      </c>
      <c r="D2884" s="112" t="s">
        <v>177</v>
      </c>
      <c r="E2884" s="112">
        <v>1527.6</v>
      </c>
      <c r="F2884" s="111" t="str">
        <f>DataPull!D2884</f>
        <v/>
      </c>
      <c r="G2884" s="94" t="str">
        <f t="shared" si="2"/>
        <v/>
      </c>
      <c r="H2884" s="94" t="str">
        <f t="shared" si="3"/>
        <v/>
      </c>
      <c r="I2884" s="94" t="str">
        <f t="shared" ref="I2884:J2884" si="2885">if(G2884 = "", , -G2884)</f>
        <v/>
      </c>
      <c r="J2884" s="94" t="str">
        <f t="shared" si="2885"/>
        <v/>
      </c>
      <c r="K2884" s="100"/>
      <c r="L2884" s="100"/>
      <c r="N2884" s="100"/>
      <c r="O2884" s="100"/>
      <c r="P2884" s="100"/>
    </row>
    <row r="2885">
      <c r="A2885" s="107">
        <v>203920.0</v>
      </c>
      <c r="B2885" s="108" t="s">
        <v>215</v>
      </c>
      <c r="C2885" s="108" t="s">
        <v>752</v>
      </c>
      <c r="D2885" s="112" t="s">
        <v>177</v>
      </c>
      <c r="E2885" s="112">
        <v>990.0</v>
      </c>
      <c r="F2885" s="111" t="str">
        <f>DataPull!D2885</f>
        <v/>
      </c>
      <c r="G2885" s="94" t="str">
        <f t="shared" si="2"/>
        <v/>
      </c>
      <c r="H2885" s="94" t="str">
        <f t="shared" si="3"/>
        <v/>
      </c>
      <c r="I2885" s="94" t="str">
        <f t="shared" ref="I2885:J2885" si="2886">if(G2885 = "", , -G2885)</f>
        <v/>
      </c>
      <c r="J2885" s="94" t="str">
        <f t="shared" si="2886"/>
        <v/>
      </c>
      <c r="K2885" s="100"/>
      <c r="M2885" s="100"/>
      <c r="N2885" s="100"/>
      <c r="O2885" s="100"/>
      <c r="P2885" s="100"/>
    </row>
    <row r="2886">
      <c r="A2886" s="107">
        <v>203920.0</v>
      </c>
      <c r="B2886" s="108" t="s">
        <v>244</v>
      </c>
      <c r="C2886" s="108" t="s">
        <v>752</v>
      </c>
      <c r="D2886" s="112" t="s">
        <v>187</v>
      </c>
      <c r="E2886" s="112">
        <v>162.0</v>
      </c>
      <c r="F2886" s="111" t="str">
        <f>DataPull!D2886</f>
        <v/>
      </c>
      <c r="G2886" s="94" t="str">
        <f t="shared" si="2"/>
        <v/>
      </c>
      <c r="H2886" s="94" t="str">
        <f t="shared" si="3"/>
        <v/>
      </c>
      <c r="I2886" s="94" t="str">
        <f t="shared" ref="I2886:J2886" si="2887">if(G2886 = "", , -G2886)</f>
        <v/>
      </c>
      <c r="J2886" s="94" t="str">
        <f t="shared" si="2887"/>
        <v/>
      </c>
      <c r="K2886" s="100"/>
      <c r="M2886" s="100"/>
      <c r="N2886" s="100"/>
      <c r="O2886" s="100"/>
      <c r="P2886" s="100"/>
    </row>
    <row r="2887">
      <c r="A2887" s="107">
        <v>203921.0</v>
      </c>
      <c r="B2887" s="108" t="s">
        <v>90</v>
      </c>
      <c r="C2887" s="108" t="s">
        <v>753</v>
      </c>
      <c r="D2887" s="112" t="s">
        <v>177</v>
      </c>
      <c r="E2887" s="112">
        <v>647.4</v>
      </c>
      <c r="F2887" s="111" t="str">
        <f>DataPull!D2887</f>
        <v/>
      </c>
      <c r="G2887" s="94" t="str">
        <f t="shared" si="2"/>
        <v/>
      </c>
      <c r="H2887" s="94" t="str">
        <f t="shared" si="3"/>
        <v/>
      </c>
      <c r="I2887" s="94" t="str">
        <f t="shared" ref="I2887:J2887" si="2888">if(G2887 = "", , -G2887)</f>
        <v/>
      </c>
      <c r="J2887" s="94" t="str">
        <f t="shared" si="2888"/>
        <v/>
      </c>
      <c r="K2887" s="100"/>
      <c r="M2887" s="100"/>
      <c r="N2887" s="100"/>
      <c r="O2887" s="100"/>
      <c r="P2887" s="100"/>
    </row>
    <row r="2888">
      <c r="A2888" s="107">
        <v>203921.0</v>
      </c>
      <c r="B2888" s="108" t="s">
        <v>92</v>
      </c>
      <c r="C2888" s="108" t="s">
        <v>753</v>
      </c>
      <c r="D2888" s="112" t="s">
        <v>187</v>
      </c>
      <c r="E2888" s="112">
        <v>153.0</v>
      </c>
      <c r="F2888" s="111" t="str">
        <f>DataPull!D2888</f>
        <v/>
      </c>
      <c r="G2888" s="94" t="str">
        <f t="shared" si="2"/>
        <v/>
      </c>
      <c r="H2888" s="94" t="str">
        <f t="shared" si="3"/>
        <v/>
      </c>
      <c r="I2888" s="94" t="str">
        <f t="shared" ref="I2888:J2888" si="2889">if(G2888 = "", , -G2888)</f>
        <v/>
      </c>
      <c r="J2888" s="94" t="str">
        <f t="shared" si="2889"/>
        <v/>
      </c>
      <c r="K2888" s="100"/>
      <c r="M2888" s="100"/>
      <c r="N2888" s="100"/>
      <c r="O2888" s="100"/>
      <c r="P2888" s="100"/>
    </row>
    <row r="2889">
      <c r="A2889" s="107">
        <v>203922.0</v>
      </c>
      <c r="B2889" s="108" t="s">
        <v>90</v>
      </c>
      <c r="C2889" s="115" t="s">
        <v>754</v>
      </c>
      <c r="D2889" s="112" t="s">
        <v>187</v>
      </c>
      <c r="E2889" s="112">
        <v>262.5</v>
      </c>
      <c r="F2889" s="111" t="str">
        <f>DataPull!D2889</f>
        <v/>
      </c>
      <c r="G2889" s="94" t="str">
        <f t="shared" si="2"/>
        <v/>
      </c>
      <c r="H2889" s="94" t="str">
        <f t="shared" si="3"/>
        <v/>
      </c>
      <c r="I2889" s="94" t="str">
        <f t="shared" ref="I2889:J2889" si="2890">if(G2889 = "", , -G2889)</f>
        <v/>
      </c>
      <c r="J2889" s="94" t="str">
        <f t="shared" si="2890"/>
        <v/>
      </c>
      <c r="K2889" s="100"/>
      <c r="M2889" s="100"/>
      <c r="N2889" s="100"/>
      <c r="O2889" s="100"/>
      <c r="P2889" s="100"/>
    </row>
    <row r="2890">
      <c r="A2890" s="107">
        <v>203922.0</v>
      </c>
      <c r="B2890" s="108" t="s">
        <v>92</v>
      </c>
      <c r="C2890" s="115" t="s">
        <v>754</v>
      </c>
      <c r="D2890" s="112" t="s">
        <v>177</v>
      </c>
      <c r="E2890" s="112">
        <v>508.5</v>
      </c>
      <c r="F2890" s="111" t="str">
        <f>DataPull!D2890</f>
        <v/>
      </c>
      <c r="G2890" s="94" t="str">
        <f t="shared" si="2"/>
        <v/>
      </c>
      <c r="H2890" s="94" t="str">
        <f t="shared" si="3"/>
        <v/>
      </c>
      <c r="I2890" s="94" t="str">
        <f t="shared" ref="I2890:J2890" si="2891">if(G2890 = "", , -G2890)</f>
        <v/>
      </c>
      <c r="J2890" s="94" t="str">
        <f t="shared" si="2891"/>
        <v/>
      </c>
      <c r="K2890" s="100"/>
      <c r="M2890" s="100"/>
      <c r="N2890" s="100"/>
      <c r="O2890" s="100"/>
      <c r="P2890" s="100"/>
    </row>
    <row r="2891">
      <c r="A2891" s="107">
        <v>203922.0</v>
      </c>
      <c r="B2891" s="108" t="s">
        <v>190</v>
      </c>
      <c r="C2891" s="115" t="s">
        <v>754</v>
      </c>
      <c r="D2891" s="112" t="s">
        <v>176</v>
      </c>
      <c r="E2891" s="112">
        <v>1428.3</v>
      </c>
      <c r="F2891" s="111" t="str">
        <f>DataPull!D2891</f>
        <v/>
      </c>
      <c r="G2891" s="94" t="str">
        <f t="shared" si="2"/>
        <v/>
      </c>
      <c r="H2891" s="94" t="str">
        <f t="shared" si="3"/>
        <v/>
      </c>
      <c r="I2891" s="94" t="str">
        <f t="shared" ref="I2891:J2891" si="2892">if(G2891 = "", , -G2891)</f>
        <v/>
      </c>
      <c r="J2891" s="94" t="str">
        <f t="shared" si="2892"/>
        <v/>
      </c>
      <c r="K2891" s="100"/>
      <c r="M2891" s="100"/>
      <c r="N2891" s="100"/>
      <c r="O2891" s="100"/>
      <c r="P2891" s="100"/>
    </row>
    <row r="2892">
      <c r="A2892" s="107">
        <v>203922.0</v>
      </c>
      <c r="B2892" s="108" t="s">
        <v>191</v>
      </c>
      <c r="C2892" s="115" t="s">
        <v>754</v>
      </c>
      <c r="D2892" s="112" t="s">
        <v>177</v>
      </c>
      <c r="E2892" s="112">
        <v>338.1</v>
      </c>
      <c r="F2892" s="111" t="str">
        <f>DataPull!D2892</f>
        <v/>
      </c>
      <c r="G2892" s="94" t="str">
        <f t="shared" si="2"/>
        <v/>
      </c>
      <c r="H2892" s="94" t="str">
        <f t="shared" si="3"/>
        <v/>
      </c>
      <c r="I2892" s="94" t="str">
        <f t="shared" ref="I2892:J2892" si="2893">if(G2892 = "", , -G2892)</f>
        <v/>
      </c>
      <c r="J2892" s="94" t="str">
        <f t="shared" si="2893"/>
        <v/>
      </c>
      <c r="K2892" s="100"/>
      <c r="L2892" s="100"/>
      <c r="M2892" s="100"/>
      <c r="N2892" s="100"/>
      <c r="O2892" s="100"/>
      <c r="P2892" s="100"/>
    </row>
    <row r="2893">
      <c r="A2893" s="107">
        <v>203922.0</v>
      </c>
      <c r="B2893" s="108" t="s">
        <v>192</v>
      </c>
      <c r="C2893" s="115" t="s">
        <v>754</v>
      </c>
      <c r="D2893" s="112" t="s">
        <v>177</v>
      </c>
      <c r="E2893" s="112">
        <v>611.0</v>
      </c>
      <c r="F2893" s="111" t="str">
        <f>DataPull!D2893</f>
        <v/>
      </c>
      <c r="G2893" s="94" t="str">
        <f t="shared" si="2"/>
        <v/>
      </c>
      <c r="H2893" s="94" t="str">
        <f t="shared" si="3"/>
        <v/>
      </c>
      <c r="I2893" s="94" t="str">
        <f t="shared" ref="I2893:J2893" si="2894">if(G2893 = "", , -G2893)</f>
        <v/>
      </c>
      <c r="J2893" s="94" t="str">
        <f t="shared" si="2894"/>
        <v/>
      </c>
      <c r="K2893" s="100"/>
      <c r="L2893" s="100"/>
      <c r="M2893" s="100"/>
      <c r="N2893" s="100"/>
      <c r="O2893" s="100"/>
      <c r="P2893" s="100"/>
    </row>
    <row r="2894">
      <c r="A2894" s="107">
        <v>203922.0</v>
      </c>
      <c r="B2894" s="108" t="s">
        <v>193</v>
      </c>
      <c r="C2894" s="115" t="s">
        <v>754</v>
      </c>
      <c r="D2894" s="112" t="s">
        <v>178</v>
      </c>
      <c r="E2894" s="112">
        <v>1785.6</v>
      </c>
      <c r="F2894" s="111" t="str">
        <f>DataPull!D2894</f>
        <v/>
      </c>
      <c r="G2894" s="94" t="str">
        <f t="shared" si="2"/>
        <v/>
      </c>
      <c r="H2894" s="94" t="str">
        <f t="shared" si="3"/>
        <v/>
      </c>
      <c r="I2894" s="94" t="str">
        <f t="shared" ref="I2894:J2894" si="2895">if(G2894 = "", , -G2894)</f>
        <v/>
      </c>
      <c r="J2894" s="94" t="str">
        <f t="shared" si="2895"/>
        <v/>
      </c>
      <c r="K2894" s="100"/>
      <c r="M2894" s="100"/>
      <c r="N2894" s="100"/>
      <c r="O2894" s="100"/>
      <c r="P2894" s="100"/>
    </row>
    <row r="2895">
      <c r="A2895" s="107">
        <v>203922.0</v>
      </c>
      <c r="B2895" s="108" t="s">
        <v>243</v>
      </c>
      <c r="C2895" s="115" t="s">
        <v>754</v>
      </c>
      <c r="D2895" s="112" t="s">
        <v>177</v>
      </c>
      <c r="E2895" s="112">
        <v>370.3</v>
      </c>
      <c r="F2895" s="111" t="str">
        <f>DataPull!D2895</f>
        <v/>
      </c>
      <c r="G2895" s="94" t="str">
        <f t="shared" si="2"/>
        <v/>
      </c>
      <c r="H2895" s="94" t="str">
        <f t="shared" si="3"/>
        <v/>
      </c>
      <c r="I2895" s="94" t="str">
        <f t="shared" ref="I2895:J2895" si="2896">if(G2895 = "", , -G2895)</f>
        <v/>
      </c>
      <c r="J2895" s="94" t="str">
        <f t="shared" si="2896"/>
        <v/>
      </c>
      <c r="K2895" s="100"/>
      <c r="M2895" s="100"/>
      <c r="N2895" s="100"/>
      <c r="O2895" s="100"/>
      <c r="P2895" s="100"/>
    </row>
    <row r="2896">
      <c r="A2896" s="107">
        <v>203923.0</v>
      </c>
      <c r="B2896" s="108" t="s">
        <v>90</v>
      </c>
      <c r="C2896" s="108" t="s">
        <v>755</v>
      </c>
      <c r="D2896" s="112" t="s">
        <v>177</v>
      </c>
      <c r="E2896" s="112">
        <v>331.7</v>
      </c>
      <c r="F2896" s="111" t="str">
        <f>DataPull!D2896</f>
        <v/>
      </c>
      <c r="G2896" s="94" t="str">
        <f t="shared" si="2"/>
        <v/>
      </c>
      <c r="H2896" s="94" t="str">
        <f t="shared" si="3"/>
        <v/>
      </c>
      <c r="I2896" s="94" t="str">
        <f t="shared" ref="I2896:J2896" si="2897">if(G2896 = "", , -G2896)</f>
        <v/>
      </c>
      <c r="J2896" s="94" t="str">
        <f t="shared" si="2897"/>
        <v/>
      </c>
      <c r="K2896" s="100"/>
      <c r="M2896" s="100"/>
      <c r="N2896" s="100"/>
      <c r="O2896" s="100"/>
      <c r="P2896" s="100"/>
    </row>
    <row r="2897">
      <c r="A2897" s="107">
        <v>203923.0</v>
      </c>
      <c r="B2897" s="108" t="s">
        <v>92</v>
      </c>
      <c r="C2897" s="108" t="s">
        <v>755</v>
      </c>
      <c r="D2897" s="112" t="s">
        <v>187</v>
      </c>
      <c r="E2897" s="112">
        <v>200.1</v>
      </c>
      <c r="F2897" s="111" t="str">
        <f>DataPull!D2897</f>
        <v/>
      </c>
      <c r="G2897" s="94" t="str">
        <f t="shared" si="2"/>
        <v/>
      </c>
      <c r="H2897" s="94" t="str">
        <f t="shared" si="3"/>
        <v/>
      </c>
      <c r="I2897" s="94" t="str">
        <f t="shared" ref="I2897:J2897" si="2898">if(G2897 = "", , -G2897)</f>
        <v/>
      </c>
      <c r="J2897" s="94" t="str">
        <f t="shared" si="2898"/>
        <v/>
      </c>
      <c r="K2897" s="100"/>
      <c r="M2897" s="100"/>
      <c r="N2897" s="100"/>
      <c r="O2897" s="100"/>
      <c r="P2897" s="100"/>
    </row>
    <row r="2898">
      <c r="A2898" s="107">
        <v>203923.0</v>
      </c>
      <c r="B2898" s="108" t="s">
        <v>190</v>
      </c>
      <c r="C2898" s="108" t="s">
        <v>755</v>
      </c>
      <c r="D2898" s="112" t="s">
        <v>187</v>
      </c>
      <c r="E2898" s="112">
        <v>220.4</v>
      </c>
      <c r="F2898" s="111" t="str">
        <f>DataPull!D2898</f>
        <v/>
      </c>
      <c r="G2898" s="94" t="str">
        <f t="shared" si="2"/>
        <v/>
      </c>
      <c r="H2898" s="94" t="str">
        <f t="shared" si="3"/>
        <v/>
      </c>
      <c r="I2898" s="94" t="str">
        <f t="shared" ref="I2898:J2898" si="2899">if(G2898 = "", , -G2898)</f>
        <v/>
      </c>
      <c r="J2898" s="94" t="str">
        <f t="shared" si="2899"/>
        <v/>
      </c>
      <c r="K2898" s="100"/>
      <c r="M2898" s="100"/>
      <c r="N2898" s="100"/>
      <c r="O2898" s="100"/>
      <c r="P2898" s="100"/>
    </row>
    <row r="2899">
      <c r="A2899" s="107">
        <v>203923.0</v>
      </c>
      <c r="B2899" s="108" t="s">
        <v>191</v>
      </c>
      <c r="C2899" s="108" t="s">
        <v>755</v>
      </c>
      <c r="D2899" s="112" t="s">
        <v>181</v>
      </c>
      <c r="E2899" s="112">
        <v>61.2</v>
      </c>
      <c r="F2899" s="111" t="str">
        <f>DataPull!D2899</f>
        <v/>
      </c>
      <c r="G2899" s="94" t="str">
        <f t="shared" si="2"/>
        <v/>
      </c>
      <c r="H2899" s="94" t="str">
        <f t="shared" si="3"/>
        <v/>
      </c>
      <c r="I2899" s="94" t="str">
        <f t="shared" ref="I2899:J2899" si="2900">if(G2899 = "", , -G2899)</f>
        <v/>
      </c>
      <c r="J2899" s="94" t="str">
        <f t="shared" si="2900"/>
        <v/>
      </c>
      <c r="K2899" s="100"/>
      <c r="M2899" s="100"/>
      <c r="N2899" s="100"/>
      <c r="O2899" s="100"/>
      <c r="P2899" s="100"/>
    </row>
    <row r="2900">
      <c r="A2900" s="107">
        <v>203924.0</v>
      </c>
      <c r="B2900" s="108" t="s">
        <v>90</v>
      </c>
      <c r="C2900" s="108" t="s">
        <v>756</v>
      </c>
      <c r="D2900" s="112" t="s">
        <v>176</v>
      </c>
      <c r="E2900" s="112">
        <v>1378.0</v>
      </c>
      <c r="F2900" s="111" t="str">
        <f>DataPull!D2900</f>
        <v/>
      </c>
      <c r="G2900" s="94" t="str">
        <f t="shared" si="2"/>
        <v/>
      </c>
      <c r="H2900" s="94" t="str">
        <f t="shared" si="3"/>
        <v/>
      </c>
      <c r="I2900" s="94" t="str">
        <f t="shared" ref="I2900:J2900" si="2901">if(G2900 = "", , -G2900)</f>
        <v/>
      </c>
      <c r="J2900" s="94" t="str">
        <f t="shared" si="2901"/>
        <v/>
      </c>
      <c r="K2900" s="100"/>
      <c r="M2900" s="100"/>
      <c r="N2900" s="100"/>
      <c r="O2900" s="100"/>
      <c r="P2900" s="100"/>
    </row>
    <row r="2901">
      <c r="A2901" s="107">
        <v>203924.0</v>
      </c>
      <c r="B2901" s="108" t="s">
        <v>92</v>
      </c>
      <c r="C2901" s="108" t="s">
        <v>756</v>
      </c>
      <c r="D2901" s="112" t="s">
        <v>176</v>
      </c>
      <c r="E2901" s="112">
        <v>2063.6</v>
      </c>
      <c r="F2901" s="111" t="str">
        <f>DataPull!D2901</f>
        <v/>
      </c>
      <c r="G2901" s="94" t="str">
        <f t="shared" si="2"/>
        <v/>
      </c>
      <c r="H2901" s="94" t="str">
        <f t="shared" si="3"/>
        <v/>
      </c>
      <c r="I2901" s="94" t="str">
        <f t="shared" ref="I2901:J2901" si="2902">if(G2901 = "", , -G2901)</f>
        <v/>
      </c>
      <c r="J2901" s="94" t="str">
        <f t="shared" si="2902"/>
        <v/>
      </c>
      <c r="K2901" s="100"/>
      <c r="M2901" s="100"/>
      <c r="N2901" s="100"/>
      <c r="O2901" s="100"/>
      <c r="P2901" s="100"/>
    </row>
    <row r="2902">
      <c r="A2902" s="107">
        <v>203924.0</v>
      </c>
      <c r="B2902" s="108" t="s">
        <v>190</v>
      </c>
      <c r="C2902" s="108" t="s">
        <v>756</v>
      </c>
      <c r="D2902" s="112" t="s">
        <v>177</v>
      </c>
      <c r="E2902" s="112">
        <v>1528.0</v>
      </c>
      <c r="F2902" s="111" t="str">
        <f>DataPull!D2902</f>
        <v/>
      </c>
      <c r="G2902" s="94" t="str">
        <f t="shared" si="2"/>
        <v/>
      </c>
      <c r="H2902" s="94" t="str">
        <f t="shared" si="3"/>
        <v/>
      </c>
      <c r="I2902" s="94" t="str">
        <f t="shared" ref="I2902:J2902" si="2903">if(G2902 = "", , -G2902)</f>
        <v/>
      </c>
      <c r="J2902" s="94" t="str">
        <f t="shared" si="2903"/>
        <v/>
      </c>
      <c r="K2902" s="100"/>
      <c r="L2902" s="100"/>
      <c r="N2902" s="100"/>
      <c r="O2902" s="100"/>
      <c r="P2902" s="100"/>
    </row>
    <row r="2903">
      <c r="A2903" s="107">
        <v>203924.0</v>
      </c>
      <c r="B2903" s="108" t="s">
        <v>191</v>
      </c>
      <c r="C2903" s="108" t="s">
        <v>756</v>
      </c>
      <c r="D2903" s="112" t="s">
        <v>176</v>
      </c>
      <c r="E2903" s="112">
        <v>1644.3</v>
      </c>
      <c r="F2903" s="111" t="str">
        <f>DataPull!D2903</f>
        <v/>
      </c>
      <c r="G2903" s="94" t="str">
        <f t="shared" si="2"/>
        <v/>
      </c>
      <c r="H2903" s="94" t="str">
        <f t="shared" si="3"/>
        <v/>
      </c>
      <c r="I2903" s="94" t="str">
        <f t="shared" ref="I2903:J2903" si="2904">if(G2903 = "", , -G2903)</f>
        <v/>
      </c>
      <c r="J2903" s="94" t="str">
        <f t="shared" si="2904"/>
        <v/>
      </c>
      <c r="K2903" s="100"/>
      <c r="M2903" s="100"/>
      <c r="N2903" s="100"/>
      <c r="O2903" s="100"/>
      <c r="P2903" s="100"/>
    </row>
    <row r="2904">
      <c r="A2904" s="107">
        <v>203924.0</v>
      </c>
      <c r="B2904" s="108" t="s">
        <v>192</v>
      </c>
      <c r="C2904" s="108" t="s">
        <v>756</v>
      </c>
      <c r="D2904" s="112" t="s">
        <v>178</v>
      </c>
      <c r="E2904" s="112">
        <v>2616.0</v>
      </c>
      <c r="F2904" s="111" t="str">
        <f>DataPull!D2904</f>
        <v/>
      </c>
      <c r="G2904" s="94" t="str">
        <f t="shared" si="2"/>
        <v/>
      </c>
      <c r="H2904" s="94" t="str">
        <f t="shared" si="3"/>
        <v/>
      </c>
      <c r="I2904" s="94" t="str">
        <f t="shared" ref="I2904:J2904" si="2905">if(G2904 = "", , -G2904)</f>
        <v/>
      </c>
      <c r="J2904" s="94" t="str">
        <f t="shared" si="2905"/>
        <v/>
      </c>
      <c r="K2904" s="100"/>
      <c r="M2904" s="100"/>
      <c r="N2904" s="100"/>
      <c r="O2904" s="100"/>
      <c r="P2904" s="100"/>
    </row>
    <row r="2905">
      <c r="A2905" s="107">
        <v>203924.0</v>
      </c>
      <c r="B2905" s="108" t="s">
        <v>193</v>
      </c>
      <c r="C2905" s="108" t="s">
        <v>756</v>
      </c>
      <c r="D2905" s="112" t="s">
        <v>178</v>
      </c>
      <c r="E2905" s="112">
        <v>1888.6</v>
      </c>
      <c r="F2905" s="111" t="str">
        <f>DataPull!D2905</f>
        <v/>
      </c>
      <c r="G2905" s="94" t="str">
        <f t="shared" si="2"/>
        <v/>
      </c>
      <c r="H2905" s="94" t="str">
        <f t="shared" si="3"/>
        <v/>
      </c>
      <c r="I2905" s="94" t="str">
        <f t="shared" ref="I2905:J2905" si="2906">if(G2905 = "", , -G2905)</f>
        <v/>
      </c>
      <c r="J2905" s="94" t="str">
        <f t="shared" si="2906"/>
        <v/>
      </c>
      <c r="K2905" s="100"/>
      <c r="M2905" s="100"/>
      <c r="N2905" s="100"/>
      <c r="O2905" s="100"/>
      <c r="P2905" s="100"/>
    </row>
    <row r="2906">
      <c r="A2906" s="107">
        <v>203924.0</v>
      </c>
      <c r="B2906" s="108" t="s">
        <v>243</v>
      </c>
      <c r="C2906" s="108" t="s">
        <v>756</v>
      </c>
      <c r="D2906" s="112" t="s">
        <v>178</v>
      </c>
      <c r="E2906" s="112">
        <v>1830.6</v>
      </c>
      <c r="F2906" s="111" t="str">
        <f>DataPull!D2906</f>
        <v/>
      </c>
      <c r="G2906" s="94" t="str">
        <f t="shared" si="2"/>
        <v/>
      </c>
      <c r="H2906" s="94" t="str">
        <f t="shared" si="3"/>
        <v/>
      </c>
      <c r="I2906" s="94" t="str">
        <f t="shared" ref="I2906:J2906" si="2907">if(G2906 = "", , -G2906)</f>
        <v/>
      </c>
      <c r="J2906" s="94" t="str">
        <f t="shared" si="2907"/>
        <v/>
      </c>
      <c r="K2906" s="100"/>
      <c r="M2906" s="100"/>
      <c r="N2906" s="100"/>
      <c r="O2906" s="100"/>
      <c r="P2906" s="100"/>
    </row>
    <row r="2907">
      <c r="A2907" s="107">
        <v>203924.0</v>
      </c>
      <c r="B2907" s="108" t="s">
        <v>215</v>
      </c>
      <c r="C2907" s="108" t="s">
        <v>756</v>
      </c>
      <c r="D2907" s="112" t="s">
        <v>178</v>
      </c>
      <c r="E2907" s="112">
        <v>1499.3</v>
      </c>
      <c r="F2907" s="111" t="str">
        <f>DataPull!D2907</f>
        <v/>
      </c>
      <c r="G2907" s="94" t="str">
        <f t="shared" si="2"/>
        <v/>
      </c>
      <c r="H2907" s="94" t="str">
        <f t="shared" si="3"/>
        <v/>
      </c>
      <c r="I2907" s="94" t="str">
        <f t="shared" ref="I2907:J2907" si="2908">if(G2907 = "", , -G2907)</f>
        <v/>
      </c>
      <c r="J2907" s="94" t="str">
        <f t="shared" si="2908"/>
        <v/>
      </c>
      <c r="K2907" s="100"/>
      <c r="M2907" s="100"/>
      <c r="N2907" s="100"/>
      <c r="O2907" s="100"/>
      <c r="P2907" s="100"/>
    </row>
    <row r="2908">
      <c r="A2908" s="107">
        <v>203924.0</v>
      </c>
      <c r="B2908" s="108" t="s">
        <v>244</v>
      </c>
      <c r="C2908" s="108" t="s">
        <v>756</v>
      </c>
      <c r="D2908" s="112" t="s">
        <v>178</v>
      </c>
      <c r="E2908" s="112">
        <v>2242.8</v>
      </c>
      <c r="F2908" s="111" t="str">
        <f>DataPull!D2908</f>
        <v/>
      </c>
      <c r="G2908" s="94" t="str">
        <f t="shared" si="2"/>
        <v/>
      </c>
      <c r="H2908" s="94" t="str">
        <f t="shared" si="3"/>
        <v/>
      </c>
      <c r="I2908" s="94" t="str">
        <f t="shared" ref="I2908:J2908" si="2909">if(G2908 = "", , -G2908)</f>
        <v/>
      </c>
      <c r="J2908" s="94" t="str">
        <f t="shared" si="2909"/>
        <v/>
      </c>
      <c r="K2908" s="100"/>
      <c r="L2908" s="100"/>
      <c r="M2908" s="100"/>
      <c r="N2908" s="100"/>
      <c r="O2908" s="100"/>
      <c r="P2908" s="100"/>
    </row>
    <row r="2909">
      <c r="A2909" s="107">
        <v>203924.0</v>
      </c>
      <c r="B2909" s="108" t="s">
        <v>245</v>
      </c>
      <c r="C2909" s="108" t="s">
        <v>756</v>
      </c>
      <c r="D2909" s="112" t="s">
        <v>178</v>
      </c>
      <c r="E2909" s="112">
        <v>1830.6</v>
      </c>
      <c r="F2909" s="111" t="str">
        <f>DataPull!D2909</f>
        <v/>
      </c>
      <c r="G2909" s="94" t="str">
        <f t="shared" si="2"/>
        <v/>
      </c>
      <c r="H2909" s="94" t="str">
        <f t="shared" si="3"/>
        <v/>
      </c>
      <c r="I2909" s="94" t="str">
        <f t="shared" ref="I2909:J2909" si="2910">if(G2909 = "", , -G2909)</f>
        <v/>
      </c>
      <c r="J2909" s="94" t="str">
        <f t="shared" si="2910"/>
        <v/>
      </c>
      <c r="K2909" s="100"/>
      <c r="M2909" s="100"/>
      <c r="N2909" s="100"/>
      <c r="O2909" s="100"/>
      <c r="P2909" s="100"/>
    </row>
    <row r="2910">
      <c r="A2910" s="107">
        <v>203924.0</v>
      </c>
      <c r="B2910" s="108" t="s">
        <v>246</v>
      </c>
      <c r="C2910" s="108" t="s">
        <v>756</v>
      </c>
      <c r="D2910" s="112" t="s">
        <v>178</v>
      </c>
      <c r="E2910" s="112">
        <v>1522.8</v>
      </c>
      <c r="F2910" s="111" t="str">
        <f>DataPull!D2910</f>
        <v/>
      </c>
      <c r="G2910" s="94" t="str">
        <f t="shared" si="2"/>
        <v/>
      </c>
      <c r="H2910" s="94" t="str">
        <f t="shared" si="3"/>
        <v/>
      </c>
      <c r="I2910" s="94" t="str">
        <f t="shared" ref="I2910:J2910" si="2911">if(G2910 = "", , -G2910)</f>
        <v/>
      </c>
      <c r="J2910" s="94" t="str">
        <f t="shared" si="2911"/>
        <v/>
      </c>
      <c r="K2910" s="100"/>
      <c r="M2910" s="100"/>
      <c r="N2910" s="100"/>
      <c r="O2910" s="100"/>
      <c r="P2910" s="100"/>
    </row>
    <row r="2911">
      <c r="A2911" s="114">
        <v>203924.0</v>
      </c>
      <c r="B2911" s="113" t="s">
        <v>247</v>
      </c>
      <c r="C2911" s="113" t="s">
        <v>756</v>
      </c>
      <c r="D2911" s="112" t="s">
        <v>178</v>
      </c>
      <c r="E2911" s="112">
        <v>1692.9</v>
      </c>
      <c r="F2911" s="111" t="str">
        <f>DataPull!D2911</f>
        <v/>
      </c>
      <c r="G2911" s="94" t="str">
        <f t="shared" si="2"/>
        <v/>
      </c>
      <c r="H2911" s="94" t="str">
        <f t="shared" si="3"/>
        <v/>
      </c>
      <c r="I2911" s="94" t="str">
        <f t="shared" ref="I2911:J2911" si="2912">if(G2911 = "", , -G2911)</f>
        <v/>
      </c>
      <c r="J2911" s="94" t="str">
        <f t="shared" si="2912"/>
        <v/>
      </c>
      <c r="K2911" s="100"/>
      <c r="M2911" s="100"/>
      <c r="N2911" s="100"/>
      <c r="O2911" s="100"/>
      <c r="P2911" s="100"/>
    </row>
    <row r="2912">
      <c r="A2912" s="107">
        <v>203925.0</v>
      </c>
      <c r="B2912" s="108" t="s">
        <v>90</v>
      </c>
      <c r="C2912" s="108" t="s">
        <v>757</v>
      </c>
      <c r="D2912" s="112" t="s">
        <v>187</v>
      </c>
      <c r="E2912" s="112">
        <v>494.7</v>
      </c>
      <c r="F2912" s="111" t="str">
        <f>DataPull!D2912</f>
        <v/>
      </c>
      <c r="G2912" s="94" t="str">
        <f t="shared" si="2"/>
        <v/>
      </c>
      <c r="H2912" s="94" t="str">
        <f t="shared" si="3"/>
        <v/>
      </c>
      <c r="I2912" s="94" t="str">
        <f t="shared" ref="I2912:J2912" si="2913">if(G2912 = "", , -G2912)</f>
        <v/>
      </c>
      <c r="J2912" s="94" t="str">
        <f t="shared" si="2913"/>
        <v/>
      </c>
      <c r="K2912" s="100"/>
      <c r="M2912" s="100"/>
      <c r="N2912" s="100"/>
      <c r="O2912" s="100"/>
      <c r="P2912" s="100"/>
    </row>
    <row r="2913">
      <c r="A2913" s="107">
        <v>203925.0</v>
      </c>
      <c r="B2913" s="108" t="s">
        <v>92</v>
      </c>
      <c r="C2913" s="108" t="s">
        <v>757</v>
      </c>
      <c r="D2913" s="112" t="s">
        <v>181</v>
      </c>
      <c r="E2913" s="112">
        <v>15.0</v>
      </c>
      <c r="F2913" s="111" t="str">
        <f>DataPull!D2913</f>
        <v/>
      </c>
      <c r="G2913" s="94" t="str">
        <f t="shared" si="2"/>
        <v/>
      </c>
      <c r="H2913" s="94" t="str">
        <f t="shared" si="3"/>
        <v/>
      </c>
      <c r="I2913" s="94" t="str">
        <f t="shared" ref="I2913:J2913" si="2914">if(G2913 = "", , -G2913)</f>
        <v/>
      </c>
      <c r="J2913" s="94" t="str">
        <f t="shared" si="2914"/>
        <v/>
      </c>
      <c r="K2913" s="100"/>
      <c r="M2913" s="100"/>
      <c r="N2913" s="100"/>
      <c r="O2913" s="100"/>
    </row>
    <row r="2914">
      <c r="A2914" s="107">
        <v>203925.0</v>
      </c>
      <c r="B2914" s="108" t="s">
        <v>190</v>
      </c>
      <c r="C2914" s="108" t="s">
        <v>757</v>
      </c>
      <c r="D2914" s="112" t="s">
        <v>176</v>
      </c>
      <c r="E2914" s="112">
        <v>1138.8</v>
      </c>
      <c r="F2914" s="111" t="str">
        <f>DataPull!D2914</f>
        <v/>
      </c>
      <c r="G2914" s="94" t="str">
        <f t="shared" si="2"/>
        <v/>
      </c>
      <c r="H2914" s="94" t="str">
        <f t="shared" si="3"/>
        <v/>
      </c>
      <c r="I2914" s="94" t="str">
        <f t="shared" ref="I2914:J2914" si="2915">if(G2914 = "", , -G2914)</f>
        <v/>
      </c>
      <c r="J2914" s="94" t="str">
        <f t="shared" si="2915"/>
        <v/>
      </c>
      <c r="K2914" s="100"/>
      <c r="M2914" s="100"/>
      <c r="N2914" s="100"/>
      <c r="O2914" s="100"/>
      <c r="P2914" s="100"/>
    </row>
    <row r="2915">
      <c r="A2915" s="107">
        <v>203925.0</v>
      </c>
      <c r="B2915" s="108" t="s">
        <v>191</v>
      </c>
      <c r="C2915" s="108" t="s">
        <v>757</v>
      </c>
      <c r="D2915" s="112" t="s">
        <v>176</v>
      </c>
      <c r="E2915" s="112">
        <v>1973.4</v>
      </c>
      <c r="F2915" s="111" t="str">
        <f>DataPull!D2915</f>
        <v/>
      </c>
      <c r="G2915" s="94" t="str">
        <f t="shared" si="2"/>
        <v/>
      </c>
      <c r="H2915" s="94" t="str">
        <f t="shared" si="3"/>
        <v/>
      </c>
      <c r="I2915" s="94" t="str">
        <f t="shared" ref="I2915:J2915" si="2916">if(G2915 = "", , -G2915)</f>
        <v/>
      </c>
      <c r="J2915" s="94" t="str">
        <f t="shared" si="2916"/>
        <v/>
      </c>
      <c r="K2915" s="100"/>
      <c r="M2915" s="100"/>
      <c r="N2915" s="100"/>
      <c r="O2915" s="100"/>
      <c r="P2915" s="100"/>
    </row>
    <row r="2916">
      <c r="A2916" s="107">
        <v>203925.0</v>
      </c>
      <c r="B2916" s="108" t="s">
        <v>192</v>
      </c>
      <c r="C2916" s="108" t="s">
        <v>757</v>
      </c>
      <c r="D2916" s="112" t="s">
        <v>178</v>
      </c>
      <c r="E2916" s="112">
        <v>2295.2</v>
      </c>
      <c r="F2916" s="111" t="str">
        <f>DataPull!D2916</f>
        <v/>
      </c>
      <c r="G2916" s="94" t="str">
        <f t="shared" si="2"/>
        <v/>
      </c>
      <c r="H2916" s="94" t="str">
        <f t="shared" si="3"/>
        <v/>
      </c>
      <c r="I2916" s="94" t="str">
        <f t="shared" ref="I2916:J2916" si="2917">if(G2916 = "", , -G2916)</f>
        <v/>
      </c>
      <c r="J2916" s="94" t="str">
        <f t="shared" si="2917"/>
        <v/>
      </c>
      <c r="K2916" s="100"/>
      <c r="M2916" s="100"/>
      <c r="N2916" s="100"/>
      <c r="O2916" s="100"/>
      <c r="P2916" s="100"/>
    </row>
    <row r="2917">
      <c r="A2917" s="107">
        <v>203925.0</v>
      </c>
      <c r="B2917" s="108" t="s">
        <v>193</v>
      </c>
      <c r="C2917" s="108" t="s">
        <v>757</v>
      </c>
      <c r="D2917" s="112" t="s">
        <v>178</v>
      </c>
      <c r="E2917" s="112">
        <v>2125.2</v>
      </c>
      <c r="F2917" s="111" t="str">
        <f>DataPull!D2917</f>
        <v/>
      </c>
      <c r="G2917" s="94" t="str">
        <f t="shared" si="2"/>
        <v/>
      </c>
      <c r="H2917" s="94" t="str">
        <f t="shared" si="3"/>
        <v/>
      </c>
      <c r="I2917" s="94" t="str">
        <f t="shared" ref="I2917:J2917" si="2918">if(G2917 = "", , -G2917)</f>
        <v/>
      </c>
      <c r="J2917" s="94" t="str">
        <f t="shared" si="2918"/>
        <v/>
      </c>
      <c r="K2917" s="100"/>
      <c r="M2917" s="100"/>
      <c r="N2917" s="100"/>
      <c r="O2917" s="100"/>
      <c r="P2917" s="100"/>
    </row>
    <row r="2918">
      <c r="A2918" s="107">
        <v>203925.0</v>
      </c>
      <c r="B2918" s="108" t="s">
        <v>243</v>
      </c>
      <c r="C2918" s="108" t="s">
        <v>757</v>
      </c>
      <c r="D2918" s="112" t="s">
        <v>178</v>
      </c>
      <c r="E2918" s="112">
        <v>2139.0</v>
      </c>
      <c r="F2918" s="111" t="str">
        <f>DataPull!D2918</f>
        <v/>
      </c>
      <c r="G2918" s="94" t="str">
        <f t="shared" si="2"/>
        <v/>
      </c>
      <c r="H2918" s="94" t="str">
        <f t="shared" si="3"/>
        <v/>
      </c>
      <c r="I2918" s="94" t="str">
        <f t="shared" ref="I2918:J2918" si="2919">if(G2918 = "", , -G2918)</f>
        <v/>
      </c>
      <c r="J2918" s="94" t="str">
        <f t="shared" si="2919"/>
        <v/>
      </c>
      <c r="K2918" s="100"/>
      <c r="L2918" s="100"/>
      <c r="N2918" s="100"/>
      <c r="O2918" s="100"/>
      <c r="P2918" s="100"/>
    </row>
    <row r="2919">
      <c r="A2919" s="107">
        <v>203925.0</v>
      </c>
      <c r="B2919" s="108" t="s">
        <v>215</v>
      </c>
      <c r="C2919" s="108" t="s">
        <v>757</v>
      </c>
      <c r="D2919" s="112" t="s">
        <v>178</v>
      </c>
      <c r="E2919" s="112">
        <v>422.8</v>
      </c>
      <c r="F2919" s="111" t="str">
        <f>DataPull!D2919</f>
        <v/>
      </c>
      <c r="G2919" s="94" t="str">
        <f t="shared" si="2"/>
        <v/>
      </c>
      <c r="H2919" s="94" t="str">
        <f t="shared" si="3"/>
        <v/>
      </c>
      <c r="I2919" s="94" t="str">
        <f t="shared" ref="I2919:J2919" si="2920">if(G2919 = "", , -G2919)</f>
        <v/>
      </c>
      <c r="J2919" s="94" t="str">
        <f t="shared" si="2920"/>
        <v/>
      </c>
      <c r="K2919" s="100"/>
      <c r="M2919" s="100"/>
      <c r="N2919" s="100"/>
      <c r="O2919" s="100"/>
      <c r="P2919" s="100"/>
    </row>
    <row r="2920">
      <c r="A2920" s="107">
        <v>203925.0</v>
      </c>
      <c r="B2920" s="108" t="s">
        <v>244</v>
      </c>
      <c r="C2920" s="108" t="s">
        <v>757</v>
      </c>
      <c r="D2920" s="112" t="s">
        <v>177</v>
      </c>
      <c r="E2920" s="112">
        <v>1524.4</v>
      </c>
      <c r="F2920" s="111" t="str">
        <f>DataPull!D2920</f>
        <v/>
      </c>
      <c r="G2920" s="94" t="str">
        <f t="shared" si="2"/>
        <v/>
      </c>
      <c r="H2920" s="94" t="str">
        <f t="shared" si="3"/>
        <v/>
      </c>
      <c r="I2920" s="94" t="str">
        <f t="shared" ref="I2920:J2920" si="2921">if(G2920 = "", , -G2920)</f>
        <v/>
      </c>
      <c r="J2920" s="94" t="str">
        <f t="shared" si="2921"/>
        <v/>
      </c>
      <c r="K2920" s="100"/>
      <c r="M2920" s="100"/>
      <c r="N2920" s="100"/>
      <c r="O2920" s="100"/>
      <c r="P2920" s="100"/>
    </row>
    <row r="2921">
      <c r="A2921" s="107">
        <v>203925.0</v>
      </c>
      <c r="B2921" s="108" t="s">
        <v>245</v>
      </c>
      <c r="C2921" s="108" t="s">
        <v>757</v>
      </c>
      <c r="D2921" s="112" t="s">
        <v>187</v>
      </c>
      <c r="E2921" s="112">
        <v>169.6</v>
      </c>
      <c r="F2921" s="111" t="str">
        <f>DataPull!D2921</f>
        <v/>
      </c>
      <c r="G2921" s="94" t="str">
        <f t="shared" si="2"/>
        <v/>
      </c>
      <c r="H2921" s="94" t="str">
        <f t="shared" si="3"/>
        <v/>
      </c>
      <c r="I2921" s="94" t="str">
        <f t="shared" ref="I2921:J2921" si="2922">if(G2921 = "", , -G2921)</f>
        <v/>
      </c>
      <c r="J2921" s="94" t="str">
        <f t="shared" si="2922"/>
        <v/>
      </c>
      <c r="K2921" s="100"/>
      <c r="M2921" s="100"/>
      <c r="N2921" s="100"/>
      <c r="O2921" s="100"/>
      <c r="P2921" s="100"/>
    </row>
    <row r="2922">
      <c r="A2922" s="107">
        <v>203926.0</v>
      </c>
      <c r="B2922" s="108" t="s">
        <v>90</v>
      </c>
      <c r="C2922" s="108" t="s">
        <v>758</v>
      </c>
      <c r="D2922" s="112" t="s">
        <v>187</v>
      </c>
      <c r="E2922" s="112">
        <v>320.4</v>
      </c>
      <c r="F2922" s="111" t="str">
        <f>DataPull!D2922</f>
        <v/>
      </c>
      <c r="G2922" s="94" t="str">
        <f t="shared" si="2"/>
        <v/>
      </c>
      <c r="H2922" s="94" t="str">
        <f t="shared" si="3"/>
        <v/>
      </c>
      <c r="I2922" s="94" t="str">
        <f t="shared" ref="I2922:J2922" si="2923">if(G2922 = "", , -G2922)</f>
        <v/>
      </c>
      <c r="J2922" s="94" t="str">
        <f t="shared" si="2923"/>
        <v/>
      </c>
      <c r="K2922" s="100"/>
      <c r="M2922" s="100"/>
      <c r="N2922" s="100"/>
      <c r="O2922" s="100"/>
      <c r="P2922" s="100"/>
    </row>
    <row r="2923">
      <c r="A2923" s="107">
        <v>203926.0</v>
      </c>
      <c r="B2923" s="108" t="s">
        <v>92</v>
      </c>
      <c r="C2923" s="108" t="s">
        <v>758</v>
      </c>
      <c r="D2923" s="112" t="s">
        <v>176</v>
      </c>
      <c r="E2923" s="112">
        <v>1863.0</v>
      </c>
      <c r="F2923" s="111" t="str">
        <f>DataPull!D2923</f>
        <v/>
      </c>
      <c r="G2923" s="94" t="str">
        <f t="shared" si="2"/>
        <v/>
      </c>
      <c r="H2923" s="94" t="str">
        <f t="shared" si="3"/>
        <v/>
      </c>
      <c r="I2923" s="94" t="str">
        <f t="shared" ref="I2923:J2923" si="2924">if(G2923 = "", , -G2923)</f>
        <v/>
      </c>
      <c r="J2923" s="94" t="str">
        <f t="shared" si="2924"/>
        <v/>
      </c>
      <c r="K2923" s="100"/>
      <c r="M2923" s="100"/>
      <c r="N2923" s="100"/>
      <c r="O2923" s="100"/>
      <c r="P2923" s="100"/>
    </row>
    <row r="2924">
      <c r="A2924" s="107">
        <v>203926.0</v>
      </c>
      <c r="B2924" s="108" t="s">
        <v>190</v>
      </c>
      <c r="C2924" s="108" t="s">
        <v>758</v>
      </c>
      <c r="D2924" s="112" t="s">
        <v>176</v>
      </c>
      <c r="E2924" s="112">
        <v>1504.8</v>
      </c>
      <c r="F2924" s="111" t="str">
        <f>DataPull!D2924</f>
        <v/>
      </c>
      <c r="G2924" s="94" t="str">
        <f t="shared" si="2"/>
        <v/>
      </c>
      <c r="H2924" s="94" t="str">
        <f t="shared" si="3"/>
        <v/>
      </c>
      <c r="I2924" s="94" t="str">
        <f t="shared" ref="I2924:J2924" si="2925">if(G2924 = "", , -G2924)</f>
        <v/>
      </c>
      <c r="J2924" s="94" t="str">
        <f t="shared" si="2925"/>
        <v/>
      </c>
      <c r="K2924" s="100"/>
      <c r="M2924" s="100"/>
      <c r="N2924" s="100"/>
      <c r="O2924" s="100"/>
      <c r="P2924" s="100"/>
    </row>
    <row r="2925">
      <c r="A2925" s="107">
        <v>203926.0</v>
      </c>
      <c r="B2925" s="108" t="s">
        <v>191</v>
      </c>
      <c r="C2925" s="108" t="s">
        <v>758</v>
      </c>
      <c r="D2925" s="112" t="s">
        <v>176</v>
      </c>
      <c r="E2925" s="112">
        <v>1765.8</v>
      </c>
      <c r="F2925" s="111" t="str">
        <f>DataPull!D2925</f>
        <v/>
      </c>
      <c r="G2925" s="94" t="str">
        <f t="shared" si="2"/>
        <v/>
      </c>
      <c r="H2925" s="94" t="str">
        <f t="shared" si="3"/>
        <v/>
      </c>
      <c r="I2925" s="94" t="str">
        <f t="shared" ref="I2925:J2925" si="2926">if(G2925 = "", , -G2925)</f>
        <v/>
      </c>
      <c r="J2925" s="94" t="str">
        <f t="shared" si="2926"/>
        <v/>
      </c>
      <c r="K2925" s="100"/>
      <c r="M2925" s="100"/>
      <c r="N2925" s="100"/>
      <c r="O2925" s="100"/>
      <c r="P2925" s="100"/>
    </row>
    <row r="2926">
      <c r="A2926" s="107">
        <v>203926.0</v>
      </c>
      <c r="B2926" s="108" t="s">
        <v>192</v>
      </c>
      <c r="C2926" s="108" t="s">
        <v>758</v>
      </c>
      <c r="D2926" s="112" t="s">
        <v>177</v>
      </c>
      <c r="E2926" s="112">
        <v>1339.8</v>
      </c>
      <c r="F2926" s="111" t="str">
        <f>DataPull!D2926</f>
        <v/>
      </c>
      <c r="G2926" s="94" t="str">
        <f t="shared" si="2"/>
        <v/>
      </c>
      <c r="H2926" s="94" t="str">
        <f t="shared" si="3"/>
        <v/>
      </c>
      <c r="I2926" s="94" t="str">
        <f t="shared" ref="I2926:J2926" si="2927">if(G2926 = "", , -G2926)</f>
        <v/>
      </c>
      <c r="J2926" s="94" t="str">
        <f t="shared" si="2927"/>
        <v/>
      </c>
      <c r="K2926" s="100"/>
      <c r="L2926" s="100"/>
      <c r="M2926" s="100"/>
      <c r="N2926" s="100"/>
      <c r="O2926" s="100"/>
      <c r="P2926" s="100"/>
    </row>
    <row r="2927">
      <c r="A2927" s="107">
        <v>203926.0</v>
      </c>
      <c r="B2927" s="108" t="s">
        <v>193</v>
      </c>
      <c r="C2927" s="108" t="s">
        <v>758</v>
      </c>
      <c r="D2927" s="112" t="s">
        <v>177</v>
      </c>
      <c r="E2927" s="112">
        <v>1373.1</v>
      </c>
      <c r="F2927" s="111" t="str">
        <f>DataPull!D2927</f>
        <v/>
      </c>
      <c r="G2927" s="94" t="str">
        <f t="shared" si="2"/>
        <v/>
      </c>
      <c r="H2927" s="94" t="str">
        <f t="shared" si="3"/>
        <v/>
      </c>
      <c r="I2927" s="94" t="str">
        <f t="shared" ref="I2927:J2927" si="2928">if(G2927 = "", , -G2927)</f>
        <v/>
      </c>
      <c r="J2927" s="94" t="str">
        <f t="shared" si="2928"/>
        <v/>
      </c>
      <c r="K2927" s="100"/>
      <c r="M2927" s="100"/>
      <c r="N2927" s="100"/>
      <c r="O2927" s="100"/>
      <c r="P2927" s="100"/>
    </row>
    <row r="2928">
      <c r="A2928" s="107">
        <v>203926.0</v>
      </c>
      <c r="B2928" s="108" t="s">
        <v>243</v>
      </c>
      <c r="C2928" s="108" t="s">
        <v>758</v>
      </c>
      <c r="D2928" s="112" t="s">
        <v>176</v>
      </c>
      <c r="E2928" s="112">
        <v>1617.0</v>
      </c>
      <c r="F2928" s="111" t="str">
        <f>DataPull!D2928</f>
        <v/>
      </c>
      <c r="G2928" s="94" t="str">
        <f t="shared" si="2"/>
        <v/>
      </c>
      <c r="H2928" s="94" t="str">
        <f t="shared" si="3"/>
        <v/>
      </c>
      <c r="I2928" s="94" t="str">
        <f t="shared" ref="I2928:J2928" si="2929">if(G2928 = "", , -G2928)</f>
        <v/>
      </c>
      <c r="J2928" s="94" t="str">
        <f t="shared" si="2929"/>
        <v/>
      </c>
      <c r="K2928" s="100"/>
      <c r="M2928" s="100"/>
      <c r="N2928" s="100"/>
      <c r="O2928" s="100"/>
      <c r="P2928" s="100"/>
    </row>
    <row r="2929">
      <c r="A2929" s="107">
        <v>203926.0</v>
      </c>
      <c r="B2929" s="108" t="s">
        <v>215</v>
      </c>
      <c r="C2929" s="108" t="s">
        <v>758</v>
      </c>
      <c r="D2929" s="112" t="s">
        <v>176</v>
      </c>
      <c r="E2929" s="112">
        <v>1224.0</v>
      </c>
      <c r="F2929" s="111" t="str">
        <f>DataPull!D2929</f>
        <v/>
      </c>
      <c r="G2929" s="94" t="str">
        <f t="shared" si="2"/>
        <v/>
      </c>
      <c r="H2929" s="94" t="str">
        <f t="shared" si="3"/>
        <v/>
      </c>
      <c r="I2929" s="94" t="str">
        <f t="shared" ref="I2929:J2929" si="2930">if(G2929 = "", , -G2929)</f>
        <v/>
      </c>
      <c r="J2929" s="94" t="str">
        <f t="shared" si="2930"/>
        <v/>
      </c>
      <c r="K2929" s="100"/>
      <c r="M2929" s="100"/>
      <c r="N2929" s="100"/>
      <c r="O2929" s="100"/>
      <c r="P2929" s="100"/>
    </row>
    <row r="2930">
      <c r="A2930" s="107">
        <v>203926.0</v>
      </c>
      <c r="B2930" s="108" t="s">
        <v>244</v>
      </c>
      <c r="C2930" s="108" t="s">
        <v>758</v>
      </c>
      <c r="D2930" s="112" t="s">
        <v>176</v>
      </c>
      <c r="E2930" s="112">
        <v>1312.0</v>
      </c>
      <c r="F2930" s="111" t="str">
        <f>DataPull!D2930</f>
        <v/>
      </c>
      <c r="G2930" s="94" t="str">
        <f t="shared" si="2"/>
        <v/>
      </c>
      <c r="H2930" s="94" t="str">
        <f t="shared" si="3"/>
        <v/>
      </c>
      <c r="I2930" s="94" t="str">
        <f t="shared" ref="I2930:J2930" si="2931">if(G2930 = "", , -G2930)</f>
        <v/>
      </c>
      <c r="J2930" s="94" t="str">
        <f t="shared" si="2931"/>
        <v/>
      </c>
      <c r="K2930" s="100"/>
      <c r="M2930" s="100"/>
      <c r="N2930" s="100"/>
      <c r="O2930" s="100"/>
      <c r="P2930" s="100"/>
    </row>
    <row r="2931">
      <c r="A2931" s="107">
        <v>203926.0</v>
      </c>
      <c r="B2931" s="108" t="s">
        <v>245</v>
      </c>
      <c r="C2931" s="108" t="s">
        <v>758</v>
      </c>
      <c r="D2931" s="112" t="s">
        <v>177</v>
      </c>
      <c r="E2931" s="112">
        <v>902.4</v>
      </c>
      <c r="F2931" s="111" t="str">
        <f>DataPull!D2931</f>
        <v/>
      </c>
      <c r="G2931" s="94" t="str">
        <f t="shared" si="2"/>
        <v/>
      </c>
      <c r="H2931" s="94" t="str">
        <f t="shared" si="3"/>
        <v/>
      </c>
      <c r="I2931" s="94" t="str">
        <f t="shared" ref="I2931:J2931" si="2932">if(G2931 = "", , -G2931)</f>
        <v/>
      </c>
      <c r="J2931" s="94" t="str">
        <f t="shared" si="2932"/>
        <v/>
      </c>
      <c r="K2931" s="100"/>
      <c r="M2931" s="100"/>
      <c r="N2931" s="100"/>
      <c r="O2931" s="100"/>
      <c r="P2931" s="100"/>
    </row>
    <row r="2932">
      <c r="A2932" s="107">
        <v>203926.0</v>
      </c>
      <c r="B2932" s="108" t="s">
        <v>246</v>
      </c>
      <c r="C2932" s="108" t="s">
        <v>758</v>
      </c>
      <c r="D2932" s="112" t="s">
        <v>187</v>
      </c>
      <c r="E2932" s="112">
        <v>340.2</v>
      </c>
      <c r="F2932" s="111" t="str">
        <f>DataPull!D2932</f>
        <v/>
      </c>
      <c r="G2932" s="94" t="str">
        <f t="shared" si="2"/>
        <v/>
      </c>
      <c r="H2932" s="94" t="str">
        <f t="shared" si="3"/>
        <v/>
      </c>
      <c r="I2932" s="94" t="str">
        <f t="shared" ref="I2932:J2932" si="2933">if(G2932 = "", , -G2932)</f>
        <v/>
      </c>
      <c r="J2932" s="94" t="str">
        <f t="shared" si="2933"/>
        <v/>
      </c>
      <c r="K2932" s="100"/>
      <c r="M2932" s="100"/>
      <c r="N2932" s="100"/>
      <c r="O2932" s="100"/>
      <c r="P2932" s="100"/>
    </row>
    <row r="2933">
      <c r="A2933" s="89">
        <v>203926.0</v>
      </c>
      <c r="B2933" s="113" t="s">
        <v>247</v>
      </c>
      <c r="C2933" s="113" t="s">
        <v>759</v>
      </c>
      <c r="D2933" s="112" t="s">
        <v>187</v>
      </c>
      <c r="E2933" s="112">
        <v>437.9</v>
      </c>
      <c r="F2933" s="111" t="str">
        <f>DataPull!D2933</f>
        <v/>
      </c>
      <c r="G2933" s="94" t="str">
        <f t="shared" si="2"/>
        <v/>
      </c>
      <c r="H2933" s="94" t="str">
        <f t="shared" si="3"/>
        <v/>
      </c>
      <c r="I2933" s="94" t="str">
        <f t="shared" ref="I2933:J2933" si="2934">if(G2933 = "", , -G2933)</f>
        <v/>
      </c>
      <c r="J2933" s="94" t="str">
        <f t="shared" si="2934"/>
        <v/>
      </c>
      <c r="K2933" s="100"/>
      <c r="M2933" s="100"/>
      <c r="N2933" s="100"/>
      <c r="O2933" s="100"/>
      <c r="P2933" s="100"/>
    </row>
    <row r="2934">
      <c r="A2934" s="107">
        <v>203928.0</v>
      </c>
      <c r="B2934" s="108" t="s">
        <v>90</v>
      </c>
      <c r="C2934" s="108" t="s">
        <v>760</v>
      </c>
      <c r="D2934" s="112" t="s">
        <v>177</v>
      </c>
      <c r="E2934" s="112">
        <v>530.0</v>
      </c>
      <c r="F2934" s="111" t="str">
        <f>DataPull!D2934</f>
        <v/>
      </c>
      <c r="G2934" s="94" t="str">
        <f t="shared" si="2"/>
        <v/>
      </c>
      <c r="H2934" s="94" t="str">
        <f t="shared" si="3"/>
        <v/>
      </c>
      <c r="I2934" s="94" t="str">
        <f t="shared" ref="I2934:J2934" si="2935">if(G2934 = "", , -G2934)</f>
        <v/>
      </c>
      <c r="J2934" s="94" t="str">
        <f t="shared" si="2935"/>
        <v/>
      </c>
      <c r="K2934" s="100"/>
      <c r="M2934" s="100"/>
      <c r="N2934" s="100"/>
      <c r="O2934" s="100"/>
      <c r="P2934" s="100"/>
    </row>
    <row r="2935">
      <c r="A2935" s="107">
        <v>203928.0</v>
      </c>
      <c r="B2935" s="108" t="s">
        <v>92</v>
      </c>
      <c r="C2935" s="108" t="s">
        <v>760</v>
      </c>
      <c r="D2935" s="112" t="s">
        <v>181</v>
      </c>
      <c r="E2935" s="112">
        <v>50.4</v>
      </c>
      <c r="F2935" s="111" t="str">
        <f>DataPull!D2935</f>
        <v/>
      </c>
      <c r="G2935" s="94" t="str">
        <f t="shared" si="2"/>
        <v/>
      </c>
      <c r="H2935" s="94" t="str">
        <f t="shared" si="3"/>
        <v/>
      </c>
      <c r="I2935" s="94" t="str">
        <f t="shared" ref="I2935:J2935" si="2936">if(G2935 = "", , -G2935)</f>
        <v/>
      </c>
      <c r="J2935" s="94" t="str">
        <f t="shared" si="2936"/>
        <v/>
      </c>
      <c r="K2935" s="100"/>
      <c r="M2935" s="100"/>
      <c r="N2935" s="100"/>
      <c r="O2935" s="100"/>
      <c r="P2935" s="100"/>
    </row>
    <row r="2936">
      <c r="A2936" s="107">
        <v>203930.0</v>
      </c>
      <c r="B2936" s="108" t="s">
        <v>90</v>
      </c>
      <c r="C2936" s="108" t="s">
        <v>761</v>
      </c>
      <c r="D2936" s="112" t="s">
        <v>181</v>
      </c>
      <c r="E2936" s="112">
        <v>71.6</v>
      </c>
      <c r="F2936" s="111" t="str">
        <f>DataPull!D2936</f>
        <v/>
      </c>
      <c r="G2936" s="94" t="str">
        <f t="shared" si="2"/>
        <v/>
      </c>
      <c r="H2936" s="94" t="str">
        <f t="shared" si="3"/>
        <v/>
      </c>
      <c r="I2936" s="94" t="str">
        <f t="shared" ref="I2936:J2936" si="2937">if(G2936 = "", , -G2936)</f>
        <v/>
      </c>
      <c r="J2936" s="94" t="str">
        <f t="shared" si="2937"/>
        <v/>
      </c>
      <c r="K2936" s="100"/>
      <c r="N2936" s="100"/>
    </row>
    <row r="2937">
      <c r="A2937" s="107">
        <v>203930.0</v>
      </c>
      <c r="B2937" s="108" t="s">
        <v>92</v>
      </c>
      <c r="C2937" s="108" t="s">
        <v>761</v>
      </c>
      <c r="D2937" s="112" t="s">
        <v>176</v>
      </c>
      <c r="E2937" s="112">
        <v>616.9</v>
      </c>
      <c r="F2937" s="111" t="str">
        <f>DataPull!D2937</f>
        <v/>
      </c>
      <c r="G2937" s="94" t="str">
        <f t="shared" si="2"/>
        <v/>
      </c>
      <c r="H2937" s="94" t="str">
        <f t="shared" si="3"/>
        <v/>
      </c>
      <c r="I2937" s="94" t="str">
        <f t="shared" ref="I2937:J2937" si="2938">if(G2937 = "", , -G2937)</f>
        <v/>
      </c>
      <c r="J2937" s="94" t="str">
        <f t="shared" si="2938"/>
        <v/>
      </c>
      <c r="K2937" s="100"/>
      <c r="L2937" s="100"/>
      <c r="M2937" s="100"/>
      <c r="N2937" s="100"/>
      <c r="O2937" s="100"/>
      <c r="P2937" s="100"/>
    </row>
    <row r="2938">
      <c r="A2938" s="107">
        <v>203930.0</v>
      </c>
      <c r="B2938" s="108" t="s">
        <v>190</v>
      </c>
      <c r="C2938" s="108" t="s">
        <v>761</v>
      </c>
      <c r="D2938" s="112" t="s">
        <v>178</v>
      </c>
      <c r="E2938" s="112">
        <v>1757.0</v>
      </c>
      <c r="F2938" s="111" t="str">
        <f>DataPull!D2938</f>
        <v/>
      </c>
      <c r="G2938" s="94" t="str">
        <f t="shared" si="2"/>
        <v/>
      </c>
      <c r="H2938" s="94" t="str">
        <f t="shared" si="3"/>
        <v/>
      </c>
      <c r="I2938" s="94" t="str">
        <f t="shared" ref="I2938:J2938" si="2939">if(G2938 = "", , -G2938)</f>
        <v/>
      </c>
      <c r="J2938" s="94" t="str">
        <f t="shared" si="2939"/>
        <v/>
      </c>
      <c r="K2938" s="100"/>
      <c r="M2938" s="100"/>
      <c r="N2938" s="100"/>
      <c r="O2938" s="100"/>
      <c r="P2938" s="100"/>
    </row>
    <row r="2939">
      <c r="A2939" s="107">
        <v>203930.0</v>
      </c>
      <c r="B2939" s="108" t="s">
        <v>191</v>
      </c>
      <c r="C2939" s="108" t="s">
        <v>761</v>
      </c>
      <c r="D2939" s="112" t="s">
        <v>187</v>
      </c>
      <c r="E2939" s="112">
        <v>639.6</v>
      </c>
      <c r="F2939" s="111" t="str">
        <f>DataPull!D2939</f>
        <v/>
      </c>
      <c r="G2939" s="94" t="str">
        <f t="shared" si="2"/>
        <v/>
      </c>
      <c r="H2939" s="94" t="str">
        <f t="shared" si="3"/>
        <v/>
      </c>
      <c r="I2939" s="94" t="str">
        <f t="shared" ref="I2939:J2939" si="2940">if(G2939 = "", , -G2939)</f>
        <v/>
      </c>
      <c r="J2939" s="94" t="str">
        <f t="shared" si="2940"/>
        <v/>
      </c>
      <c r="K2939" s="100"/>
      <c r="L2939" s="100"/>
      <c r="M2939" s="100"/>
      <c r="N2939" s="100"/>
      <c r="O2939" s="100"/>
      <c r="P2939" s="100"/>
    </row>
    <row r="2940">
      <c r="A2940" s="107">
        <v>203932.0</v>
      </c>
      <c r="B2940" s="108" t="s">
        <v>90</v>
      </c>
      <c r="C2940" s="108" t="s">
        <v>762</v>
      </c>
      <c r="D2940" s="112" t="s">
        <v>177</v>
      </c>
      <c r="E2940" s="112">
        <v>799.0</v>
      </c>
      <c r="F2940" s="111" t="str">
        <f>DataPull!D2940</f>
        <v/>
      </c>
      <c r="G2940" s="94" t="str">
        <f t="shared" si="2"/>
        <v/>
      </c>
      <c r="H2940" s="94" t="str">
        <f t="shared" si="3"/>
        <v/>
      </c>
      <c r="I2940" s="94" t="str">
        <f t="shared" ref="I2940:J2940" si="2941">if(G2940 = "", , -G2940)</f>
        <v/>
      </c>
      <c r="J2940" s="94" t="str">
        <f t="shared" si="2941"/>
        <v/>
      </c>
      <c r="K2940" s="100"/>
      <c r="M2940" s="100"/>
      <c r="N2940" s="100"/>
      <c r="O2940" s="100"/>
    </row>
    <row r="2941">
      <c r="A2941" s="107">
        <v>203932.0</v>
      </c>
      <c r="B2941" s="108" t="s">
        <v>92</v>
      </c>
      <c r="C2941" s="108" t="s">
        <v>762</v>
      </c>
      <c r="D2941" s="112" t="s">
        <v>176</v>
      </c>
      <c r="E2941" s="112">
        <v>1864.2</v>
      </c>
      <c r="F2941" s="111" t="str">
        <f>DataPull!D2941</f>
        <v/>
      </c>
      <c r="G2941" s="94" t="str">
        <f t="shared" si="2"/>
        <v/>
      </c>
      <c r="H2941" s="94" t="str">
        <f t="shared" si="3"/>
        <v/>
      </c>
      <c r="I2941" s="94" t="str">
        <f t="shared" ref="I2941:J2941" si="2942">if(G2941 = "", , -G2941)</f>
        <v/>
      </c>
      <c r="J2941" s="94" t="str">
        <f t="shared" si="2942"/>
        <v/>
      </c>
      <c r="K2941" s="100"/>
      <c r="M2941" s="100"/>
      <c r="N2941" s="100"/>
      <c r="O2941" s="100"/>
      <c r="P2941" s="100"/>
    </row>
    <row r="2942">
      <c r="A2942" s="107">
        <v>203932.0</v>
      </c>
      <c r="B2942" s="108" t="s">
        <v>190</v>
      </c>
      <c r="C2942" s="108" t="s">
        <v>762</v>
      </c>
      <c r="D2942" s="112" t="s">
        <v>176</v>
      </c>
      <c r="E2942" s="112">
        <v>2296.0</v>
      </c>
      <c r="F2942" s="111" t="str">
        <f>DataPull!D2942</f>
        <v/>
      </c>
      <c r="G2942" s="94" t="str">
        <f t="shared" si="2"/>
        <v/>
      </c>
      <c r="H2942" s="94" t="str">
        <f t="shared" si="3"/>
        <v/>
      </c>
      <c r="I2942" s="94" t="str">
        <f t="shared" ref="I2942:J2942" si="2943">if(G2942 = "", , -G2942)</f>
        <v/>
      </c>
      <c r="J2942" s="94" t="str">
        <f t="shared" si="2943"/>
        <v/>
      </c>
      <c r="K2942" s="100"/>
      <c r="M2942" s="100"/>
      <c r="N2942" s="100"/>
      <c r="O2942" s="100"/>
      <c r="P2942" s="100"/>
    </row>
    <row r="2943">
      <c r="A2943" s="107">
        <v>203932.0</v>
      </c>
      <c r="B2943" s="108" t="s">
        <v>191</v>
      </c>
      <c r="C2943" s="108" t="s">
        <v>762</v>
      </c>
      <c r="D2943" s="112" t="s">
        <v>178</v>
      </c>
      <c r="E2943" s="112">
        <v>1908.2</v>
      </c>
      <c r="F2943" s="111" t="str">
        <f>DataPull!D2943</f>
        <v/>
      </c>
      <c r="G2943" s="94" t="str">
        <f t="shared" si="2"/>
        <v/>
      </c>
      <c r="H2943" s="94" t="str">
        <f t="shared" si="3"/>
        <v/>
      </c>
      <c r="I2943" s="94" t="str">
        <f t="shared" ref="I2943:J2943" si="2944">if(G2943 = "", , -G2943)</f>
        <v/>
      </c>
      <c r="J2943" s="94" t="str">
        <f t="shared" si="2944"/>
        <v/>
      </c>
      <c r="K2943" s="100"/>
      <c r="M2943" s="100"/>
      <c r="N2943" s="100"/>
      <c r="O2943" s="100"/>
      <c r="P2943" s="100"/>
    </row>
    <row r="2944">
      <c r="A2944" s="107">
        <v>203932.0</v>
      </c>
      <c r="B2944" s="108" t="s">
        <v>192</v>
      </c>
      <c r="C2944" s="108" t="s">
        <v>762</v>
      </c>
      <c r="D2944" s="112" t="s">
        <v>178</v>
      </c>
      <c r="E2944" s="112">
        <v>2636.4</v>
      </c>
      <c r="F2944" s="111" t="str">
        <f>DataPull!D2944</f>
        <v/>
      </c>
      <c r="G2944" s="94" t="str">
        <f t="shared" si="2"/>
        <v/>
      </c>
      <c r="H2944" s="94" t="str">
        <f t="shared" si="3"/>
        <v/>
      </c>
      <c r="I2944" s="94" t="str">
        <f t="shared" ref="I2944:J2944" si="2945">if(G2944 = "", , -G2944)</f>
        <v/>
      </c>
      <c r="J2944" s="94" t="str">
        <f t="shared" si="2945"/>
        <v/>
      </c>
      <c r="K2944" s="100"/>
      <c r="M2944" s="100"/>
      <c r="N2944" s="100"/>
      <c r="O2944" s="100"/>
      <c r="P2944" s="100"/>
    </row>
    <row r="2945">
      <c r="A2945" s="107">
        <v>203932.0</v>
      </c>
      <c r="B2945" s="108" t="s">
        <v>193</v>
      </c>
      <c r="C2945" s="108" t="s">
        <v>762</v>
      </c>
      <c r="D2945" s="112" t="s">
        <v>178</v>
      </c>
      <c r="E2945" s="112">
        <v>2015.0</v>
      </c>
      <c r="F2945" s="111" t="str">
        <f>DataPull!D2945</f>
        <v/>
      </c>
      <c r="G2945" s="94" t="str">
        <f t="shared" si="2"/>
        <v/>
      </c>
      <c r="H2945" s="94" t="str">
        <f t="shared" si="3"/>
        <v/>
      </c>
      <c r="I2945" s="94" t="str">
        <f t="shared" ref="I2945:J2945" si="2946">if(G2945 = "", , -G2945)</f>
        <v/>
      </c>
      <c r="J2945" s="94" t="str">
        <f t="shared" si="2946"/>
        <v/>
      </c>
      <c r="K2945" s="100"/>
      <c r="M2945" s="100"/>
      <c r="N2945" s="100"/>
      <c r="O2945" s="100"/>
      <c r="P2945" s="100"/>
    </row>
    <row r="2946">
      <c r="A2946" s="107">
        <v>203932.0</v>
      </c>
      <c r="B2946" s="108" t="s">
        <v>243</v>
      </c>
      <c r="C2946" s="108" t="s">
        <v>762</v>
      </c>
      <c r="D2946" s="112" t="s">
        <v>178</v>
      </c>
      <c r="E2946" s="112">
        <v>1385.0</v>
      </c>
      <c r="F2946" s="111" t="str">
        <f>DataPull!D2946</f>
        <v/>
      </c>
      <c r="G2946" s="94" t="str">
        <f t="shared" si="2"/>
        <v/>
      </c>
      <c r="H2946" s="94" t="str">
        <f t="shared" si="3"/>
        <v/>
      </c>
      <c r="I2946" s="94" t="str">
        <f t="shared" ref="I2946:J2946" si="2947">if(G2946 = "", , -G2946)</f>
        <v/>
      </c>
      <c r="J2946" s="94" t="str">
        <f t="shared" si="2947"/>
        <v/>
      </c>
      <c r="K2946" s="100"/>
      <c r="M2946" s="100"/>
      <c r="N2946" s="100"/>
      <c r="O2946" s="100"/>
      <c r="P2946" s="100"/>
    </row>
    <row r="2947">
      <c r="A2947" s="107">
        <v>203932.0</v>
      </c>
      <c r="B2947" s="108" t="s">
        <v>215</v>
      </c>
      <c r="C2947" s="108" t="s">
        <v>762</v>
      </c>
      <c r="D2947" s="112" t="s">
        <v>178</v>
      </c>
      <c r="E2947" s="112">
        <v>2377.5</v>
      </c>
      <c r="F2947" s="111" t="str">
        <f>DataPull!D2947</f>
        <v/>
      </c>
      <c r="G2947" s="94" t="str">
        <f t="shared" si="2"/>
        <v/>
      </c>
      <c r="H2947" s="94" t="str">
        <f t="shared" si="3"/>
        <v/>
      </c>
      <c r="I2947" s="94" t="str">
        <f t="shared" ref="I2947:J2947" si="2948">if(G2947 = "", , -G2947)</f>
        <v/>
      </c>
      <c r="J2947" s="94" t="str">
        <f t="shared" si="2948"/>
        <v/>
      </c>
      <c r="K2947" s="100"/>
      <c r="L2947" s="100"/>
      <c r="N2947" s="100"/>
      <c r="O2947" s="100"/>
      <c r="P2947" s="100"/>
    </row>
    <row r="2948">
      <c r="A2948" s="107">
        <v>203932.0</v>
      </c>
      <c r="B2948" s="108" t="s">
        <v>244</v>
      </c>
      <c r="C2948" s="108" t="s">
        <v>762</v>
      </c>
      <c r="D2948" s="112" t="s">
        <v>184</v>
      </c>
      <c r="E2948" s="112">
        <v>2053.6</v>
      </c>
      <c r="F2948" s="111" t="str">
        <f>DataPull!D2948</f>
        <v/>
      </c>
      <c r="G2948" s="94" t="str">
        <f t="shared" si="2"/>
        <v/>
      </c>
      <c r="H2948" s="94" t="str">
        <f t="shared" si="3"/>
        <v/>
      </c>
      <c r="I2948" s="94" t="str">
        <f t="shared" ref="I2948:J2948" si="2949">if(G2948 = "", , -G2948)</f>
        <v/>
      </c>
      <c r="J2948" s="94" t="str">
        <f t="shared" si="2949"/>
        <v/>
      </c>
      <c r="K2948" s="100"/>
      <c r="M2948" s="100"/>
      <c r="N2948" s="100"/>
      <c r="O2948" s="100"/>
      <c r="P2948" s="100"/>
    </row>
    <row r="2949">
      <c r="A2949" s="107">
        <v>203932.0</v>
      </c>
      <c r="B2949" s="108" t="s">
        <v>245</v>
      </c>
      <c r="C2949" s="108" t="s">
        <v>762</v>
      </c>
      <c r="D2949" s="112" t="s">
        <v>184</v>
      </c>
      <c r="E2949" s="112">
        <v>2299.5</v>
      </c>
      <c r="F2949" s="111" t="str">
        <f>DataPull!D2949</f>
        <v/>
      </c>
      <c r="G2949" s="94" t="str">
        <f t="shared" si="2"/>
        <v/>
      </c>
      <c r="H2949" s="94" t="str">
        <f t="shared" si="3"/>
        <v/>
      </c>
      <c r="I2949" s="94" t="str">
        <f t="shared" ref="I2949:J2949" si="2950">if(G2949 = "", , -G2949)</f>
        <v/>
      </c>
      <c r="J2949" s="94" t="str">
        <f t="shared" si="2950"/>
        <v/>
      </c>
      <c r="K2949" s="100"/>
      <c r="L2949" s="100"/>
      <c r="M2949" s="100"/>
      <c r="N2949" s="100"/>
      <c r="O2949" s="100"/>
    </row>
    <row r="2950">
      <c r="A2950" s="107">
        <v>203932.0</v>
      </c>
      <c r="B2950" s="108" t="s">
        <v>246</v>
      </c>
      <c r="C2950" s="108" t="s">
        <v>762</v>
      </c>
      <c r="D2950" s="112" t="s">
        <v>178</v>
      </c>
      <c r="E2950" s="112">
        <v>1448.4</v>
      </c>
      <c r="F2950" s="111" t="str">
        <f>DataPull!D2950</f>
        <v/>
      </c>
      <c r="G2950" s="94" t="str">
        <f t="shared" si="2"/>
        <v/>
      </c>
      <c r="H2950" s="94" t="str">
        <f t="shared" si="3"/>
        <v/>
      </c>
      <c r="I2950" s="94" t="str">
        <f t="shared" ref="I2950:J2950" si="2951">if(G2950 = "", , -G2950)</f>
        <v/>
      </c>
      <c r="J2950" s="94" t="str">
        <f t="shared" si="2951"/>
        <v/>
      </c>
      <c r="K2950" s="100"/>
      <c r="M2950" s="100"/>
      <c r="N2950" s="100"/>
      <c r="O2950" s="100"/>
      <c r="P2950" s="100"/>
    </row>
    <row r="2951">
      <c r="A2951" s="114">
        <v>203932.0</v>
      </c>
      <c r="B2951" s="113" t="s">
        <v>247</v>
      </c>
      <c r="C2951" s="113" t="s">
        <v>762</v>
      </c>
      <c r="D2951" s="112" t="s">
        <v>176</v>
      </c>
      <c r="E2951" s="112">
        <v>1004.4</v>
      </c>
      <c r="F2951" s="111" t="str">
        <f>DataPull!D2951</f>
        <v/>
      </c>
      <c r="G2951" s="94" t="str">
        <f t="shared" si="2"/>
        <v/>
      </c>
      <c r="H2951" s="94" t="str">
        <f t="shared" si="3"/>
        <v/>
      </c>
      <c r="I2951" s="94" t="str">
        <f t="shared" ref="I2951:J2951" si="2952">if(G2951 = "", , -G2951)</f>
        <v/>
      </c>
      <c r="J2951" s="94" t="str">
        <f t="shared" si="2952"/>
        <v/>
      </c>
      <c r="K2951" s="100"/>
      <c r="N2951" s="100"/>
      <c r="O2951" s="100"/>
      <c r="P2951" s="100"/>
    </row>
    <row r="2952">
      <c r="A2952" s="107">
        <v>203933.0</v>
      </c>
      <c r="B2952" s="108" t="s">
        <v>90</v>
      </c>
      <c r="C2952" s="108" t="s">
        <v>763</v>
      </c>
      <c r="D2952" s="112" t="s">
        <v>177</v>
      </c>
      <c r="E2952" s="112">
        <v>616.0</v>
      </c>
      <c r="F2952" s="111" t="str">
        <f>DataPull!D2952</f>
        <v/>
      </c>
      <c r="G2952" s="94" t="str">
        <f t="shared" si="2"/>
        <v/>
      </c>
      <c r="H2952" s="94" t="str">
        <f t="shared" si="3"/>
        <v/>
      </c>
      <c r="I2952" s="94" t="str">
        <f t="shared" ref="I2952:J2952" si="2953">if(G2952 = "", , -G2952)</f>
        <v/>
      </c>
      <c r="J2952" s="94" t="str">
        <f t="shared" si="2953"/>
        <v/>
      </c>
      <c r="K2952" s="100"/>
      <c r="M2952" s="100"/>
      <c r="N2952" s="100"/>
      <c r="O2952" s="100"/>
      <c r="P2952" s="100"/>
    </row>
    <row r="2953">
      <c r="A2953" s="107">
        <v>203933.0</v>
      </c>
      <c r="B2953" s="108" t="s">
        <v>92</v>
      </c>
      <c r="C2953" s="108" t="s">
        <v>763</v>
      </c>
      <c r="D2953" s="112" t="s">
        <v>176</v>
      </c>
      <c r="E2953" s="112">
        <v>1071.6</v>
      </c>
      <c r="F2953" s="111" t="str">
        <f>DataPull!D2953</f>
        <v/>
      </c>
      <c r="G2953" s="94" t="str">
        <f t="shared" si="2"/>
        <v/>
      </c>
      <c r="H2953" s="94" t="str">
        <f t="shared" si="3"/>
        <v/>
      </c>
      <c r="I2953" s="94" t="str">
        <f t="shared" ref="I2953:J2953" si="2954">if(G2953 = "", , -G2953)</f>
        <v/>
      </c>
      <c r="J2953" s="94" t="str">
        <f t="shared" si="2954"/>
        <v/>
      </c>
      <c r="K2953" s="100"/>
      <c r="L2953" s="100"/>
      <c r="M2953" s="100"/>
      <c r="N2953" s="100"/>
      <c r="O2953" s="100"/>
      <c r="P2953" s="100"/>
    </row>
    <row r="2954">
      <c r="A2954" s="107">
        <v>203933.0</v>
      </c>
      <c r="B2954" s="108" t="s">
        <v>190</v>
      </c>
      <c r="C2954" s="108" t="s">
        <v>763</v>
      </c>
      <c r="D2954" s="112" t="s">
        <v>178</v>
      </c>
      <c r="E2954" s="112">
        <v>2046.0</v>
      </c>
      <c r="F2954" s="111" t="str">
        <f>DataPull!D2954</f>
        <v/>
      </c>
      <c r="G2954" s="94" t="str">
        <f t="shared" si="2"/>
        <v/>
      </c>
      <c r="H2954" s="94" t="str">
        <f t="shared" si="3"/>
        <v/>
      </c>
      <c r="I2954" s="94" t="str">
        <f t="shared" ref="I2954:J2954" si="2955">if(G2954 = "", , -G2954)</f>
        <v/>
      </c>
      <c r="J2954" s="94" t="str">
        <f t="shared" si="2955"/>
        <v/>
      </c>
      <c r="K2954" s="100"/>
      <c r="M2954" s="100"/>
      <c r="N2954" s="100"/>
      <c r="O2954" s="100"/>
      <c r="P2954" s="100"/>
    </row>
    <row r="2955">
      <c r="A2955" s="107">
        <v>203933.0</v>
      </c>
      <c r="B2955" s="108" t="s">
        <v>191</v>
      </c>
      <c r="C2955" s="108" t="s">
        <v>763</v>
      </c>
      <c r="D2955" s="112" t="s">
        <v>178</v>
      </c>
      <c r="E2955" s="112">
        <v>2145.0</v>
      </c>
      <c r="F2955" s="111" t="str">
        <f>DataPull!D2955</f>
        <v/>
      </c>
      <c r="G2955" s="94" t="str">
        <f t="shared" si="2"/>
        <v/>
      </c>
      <c r="H2955" s="94" t="str">
        <f t="shared" si="3"/>
        <v/>
      </c>
      <c r="I2955" s="94" t="str">
        <f t="shared" ref="I2955:J2955" si="2956">if(G2955 = "", , -G2955)</f>
        <v/>
      </c>
      <c r="J2955" s="94" t="str">
        <f t="shared" si="2956"/>
        <v/>
      </c>
      <c r="K2955" s="100"/>
      <c r="L2955" s="100"/>
      <c r="N2955" s="100"/>
      <c r="O2955" s="100"/>
      <c r="P2955" s="100"/>
    </row>
    <row r="2956">
      <c r="A2956" s="107">
        <v>203933.0</v>
      </c>
      <c r="B2956" s="108" t="s">
        <v>192</v>
      </c>
      <c r="C2956" s="108" t="s">
        <v>763</v>
      </c>
      <c r="D2956" s="112" t="s">
        <v>178</v>
      </c>
      <c r="E2956" s="112">
        <v>1358.8</v>
      </c>
      <c r="F2956" s="111" t="str">
        <f>DataPull!D2956</f>
        <v/>
      </c>
      <c r="G2956" s="94" t="str">
        <f t="shared" si="2"/>
        <v/>
      </c>
      <c r="H2956" s="94" t="str">
        <f t="shared" si="3"/>
        <v/>
      </c>
      <c r="I2956" s="94" t="str">
        <f t="shared" ref="I2956:J2956" si="2957">if(G2956 = "", , -G2956)</f>
        <v/>
      </c>
      <c r="J2956" s="94" t="str">
        <f t="shared" si="2957"/>
        <v/>
      </c>
      <c r="K2956" s="100"/>
      <c r="N2956" s="100"/>
      <c r="O2956" s="100"/>
      <c r="P2956" s="100"/>
    </row>
    <row r="2957">
      <c r="A2957" s="107">
        <v>203933.0</v>
      </c>
      <c r="B2957" s="108" t="s">
        <v>193</v>
      </c>
      <c r="C2957" s="108" t="s">
        <v>763</v>
      </c>
      <c r="D2957" s="112" t="s">
        <v>178</v>
      </c>
      <c r="E2957" s="112">
        <v>2204.3</v>
      </c>
      <c r="F2957" s="111" t="str">
        <f>DataPull!D2957</f>
        <v/>
      </c>
      <c r="G2957" s="94" t="str">
        <f t="shared" si="2"/>
        <v/>
      </c>
      <c r="H2957" s="94" t="str">
        <f t="shared" si="3"/>
        <v/>
      </c>
      <c r="I2957" s="94" t="str">
        <f t="shared" ref="I2957:J2957" si="2958">if(G2957 = "", , -G2957)</f>
        <v/>
      </c>
      <c r="J2957" s="94" t="str">
        <f t="shared" si="2958"/>
        <v/>
      </c>
      <c r="K2957" s="100"/>
      <c r="M2957" s="100"/>
      <c r="N2957" s="100"/>
      <c r="O2957" s="100"/>
      <c r="P2957" s="100"/>
    </row>
    <row r="2958">
      <c r="A2958" s="107">
        <v>203933.0</v>
      </c>
      <c r="B2958" s="108" t="s">
        <v>243</v>
      </c>
      <c r="C2958" s="108" t="s">
        <v>763</v>
      </c>
      <c r="D2958" s="112" t="s">
        <v>181</v>
      </c>
      <c r="E2958" s="112">
        <v>117.2</v>
      </c>
      <c r="F2958" s="111" t="str">
        <f>DataPull!D2958</f>
        <v/>
      </c>
      <c r="G2958" s="94" t="str">
        <f t="shared" si="2"/>
        <v/>
      </c>
      <c r="H2958" s="94" t="str">
        <f t="shared" si="3"/>
        <v/>
      </c>
      <c r="I2958" s="94" t="str">
        <f t="shared" ref="I2958:J2958" si="2959">if(G2958 = "", , -G2958)</f>
        <v/>
      </c>
      <c r="J2958" s="94" t="str">
        <f t="shared" si="2959"/>
        <v/>
      </c>
      <c r="K2958" s="100"/>
      <c r="N2958" s="100"/>
      <c r="O2958" s="100"/>
      <c r="P2958" s="100"/>
    </row>
    <row r="2959">
      <c r="A2959" s="107">
        <v>203933.0</v>
      </c>
      <c r="B2959" s="108" t="s">
        <v>244</v>
      </c>
      <c r="C2959" s="108" t="s">
        <v>763</v>
      </c>
      <c r="D2959" s="112" t="s">
        <v>177</v>
      </c>
      <c r="E2959" s="112">
        <v>688.8</v>
      </c>
      <c r="F2959" s="111" t="str">
        <f>DataPull!D2959</f>
        <v/>
      </c>
      <c r="G2959" s="94" t="str">
        <f t="shared" si="2"/>
        <v/>
      </c>
      <c r="H2959" s="94" t="str">
        <f t="shared" si="3"/>
        <v/>
      </c>
      <c r="I2959" s="94" t="str">
        <f t="shared" ref="I2959:J2959" si="2960">if(G2959 = "", , -G2959)</f>
        <v/>
      </c>
      <c r="J2959" s="94" t="str">
        <f t="shared" si="2960"/>
        <v/>
      </c>
      <c r="K2959" s="100"/>
      <c r="M2959" s="100"/>
      <c r="N2959" s="100"/>
      <c r="O2959" s="100"/>
      <c r="P2959" s="100"/>
    </row>
    <row r="2960">
      <c r="A2960" s="107">
        <v>203933.0</v>
      </c>
      <c r="B2960" s="108" t="s">
        <v>245</v>
      </c>
      <c r="C2960" s="108" t="s">
        <v>763</v>
      </c>
      <c r="D2960" s="112" t="s">
        <v>187</v>
      </c>
      <c r="E2960" s="112">
        <v>124.3</v>
      </c>
      <c r="F2960" s="111" t="str">
        <f>DataPull!D2960</f>
        <v/>
      </c>
      <c r="G2960" s="94" t="str">
        <f t="shared" si="2"/>
        <v/>
      </c>
      <c r="H2960" s="94" t="str">
        <f t="shared" si="3"/>
        <v/>
      </c>
      <c r="I2960" s="94" t="str">
        <f t="shared" ref="I2960:J2960" si="2961">if(G2960 = "", , -G2960)</f>
        <v/>
      </c>
      <c r="J2960" s="94" t="str">
        <f t="shared" si="2961"/>
        <v/>
      </c>
      <c r="K2960" s="100"/>
      <c r="M2960" s="100"/>
      <c r="N2960" s="100"/>
      <c r="O2960" s="100"/>
      <c r="P2960" s="100"/>
    </row>
    <row r="2961">
      <c r="A2961" s="107">
        <v>203934.0</v>
      </c>
      <c r="B2961" s="108" t="s">
        <v>92</v>
      </c>
      <c r="C2961" s="108" t="s">
        <v>764</v>
      </c>
      <c r="D2961" s="112" t="s">
        <v>177</v>
      </c>
      <c r="E2961" s="112">
        <v>395.5</v>
      </c>
      <c r="F2961" s="111" t="str">
        <f>DataPull!D2961</f>
        <v/>
      </c>
      <c r="G2961" s="94" t="str">
        <f t="shared" si="2"/>
        <v/>
      </c>
      <c r="H2961" s="94" t="str">
        <f t="shared" si="3"/>
        <v/>
      </c>
      <c r="I2961" s="94" t="str">
        <f t="shared" ref="I2961:J2961" si="2962">if(G2961 = "", , -G2961)</f>
        <v/>
      </c>
      <c r="J2961" s="94" t="str">
        <f t="shared" si="2962"/>
        <v/>
      </c>
      <c r="M2961" s="100"/>
      <c r="N2961" s="100"/>
      <c r="O2961" s="100"/>
      <c r="P2961" s="100"/>
    </row>
    <row r="2962">
      <c r="A2962" s="107">
        <v>203934.0</v>
      </c>
      <c r="B2962" s="108" t="s">
        <v>190</v>
      </c>
      <c r="C2962" s="108" t="s">
        <v>764</v>
      </c>
      <c r="D2962" s="112" t="s">
        <v>181</v>
      </c>
      <c r="E2962" s="112">
        <v>40.5</v>
      </c>
      <c r="F2962" s="111" t="str">
        <f>DataPull!D2962</f>
        <v/>
      </c>
      <c r="G2962" s="94" t="str">
        <f t="shared" si="2"/>
        <v/>
      </c>
      <c r="H2962" s="94" t="str">
        <f t="shared" si="3"/>
        <v/>
      </c>
      <c r="I2962" s="94" t="str">
        <f t="shared" ref="I2962:J2962" si="2963">if(G2962 = "", , -G2962)</f>
        <v/>
      </c>
      <c r="J2962" s="94" t="str">
        <f t="shared" si="2963"/>
        <v/>
      </c>
      <c r="K2962" s="100"/>
      <c r="M2962" s="100"/>
      <c r="N2962" s="100"/>
      <c r="O2962" s="100"/>
      <c r="P2962" s="100"/>
    </row>
    <row r="2963">
      <c r="A2963" s="107">
        <v>203935.0</v>
      </c>
      <c r="B2963" s="108" t="s">
        <v>90</v>
      </c>
      <c r="C2963" s="108" t="s">
        <v>765</v>
      </c>
      <c r="D2963" s="112" t="s">
        <v>176</v>
      </c>
      <c r="E2963" s="112">
        <v>1809.0</v>
      </c>
      <c r="F2963" s="111" t="str">
        <f>DataPull!D2963</f>
        <v/>
      </c>
      <c r="G2963" s="94" t="str">
        <f t="shared" si="2"/>
        <v/>
      </c>
      <c r="H2963" s="94" t="str">
        <f t="shared" si="3"/>
        <v/>
      </c>
      <c r="I2963" s="94" t="str">
        <f t="shared" ref="I2963:J2963" si="2964">if(G2963 = "", , -G2963)</f>
        <v/>
      </c>
      <c r="J2963" s="94" t="str">
        <f t="shared" si="2964"/>
        <v/>
      </c>
      <c r="K2963" s="100"/>
      <c r="M2963" s="100"/>
      <c r="N2963" s="100"/>
      <c r="O2963" s="100"/>
      <c r="P2963" s="100"/>
    </row>
    <row r="2964">
      <c r="A2964" s="107">
        <v>203935.0</v>
      </c>
      <c r="B2964" s="108" t="s">
        <v>92</v>
      </c>
      <c r="C2964" s="108" t="s">
        <v>765</v>
      </c>
      <c r="D2964" s="112" t="s">
        <v>178</v>
      </c>
      <c r="E2964" s="112">
        <v>1665.3</v>
      </c>
      <c r="F2964" s="111" t="str">
        <f>DataPull!D2964</f>
        <v/>
      </c>
      <c r="G2964" s="94" t="str">
        <f t="shared" si="2"/>
        <v/>
      </c>
      <c r="H2964" s="94" t="str">
        <f t="shared" si="3"/>
        <v/>
      </c>
      <c r="I2964" s="94" t="str">
        <f t="shared" ref="I2964:J2964" si="2965">if(G2964 = "", , -G2964)</f>
        <v/>
      </c>
      <c r="J2964" s="94" t="str">
        <f t="shared" si="2965"/>
        <v/>
      </c>
      <c r="K2964" s="100"/>
      <c r="L2964" s="100"/>
      <c r="M2964" s="100"/>
      <c r="N2964" s="100"/>
      <c r="O2964" s="100"/>
      <c r="P2964" s="100"/>
    </row>
    <row r="2965">
      <c r="A2965" s="107">
        <v>203935.0</v>
      </c>
      <c r="B2965" s="108" t="s">
        <v>190</v>
      </c>
      <c r="C2965" s="108" t="s">
        <v>765</v>
      </c>
      <c r="D2965" s="112" t="s">
        <v>184</v>
      </c>
      <c r="E2965" s="112">
        <v>2401.6</v>
      </c>
      <c r="F2965" s="111" t="str">
        <f>DataPull!D2965</f>
        <v/>
      </c>
      <c r="G2965" s="94" t="str">
        <f t="shared" si="2"/>
        <v/>
      </c>
      <c r="H2965" s="94" t="str">
        <f t="shared" si="3"/>
        <v/>
      </c>
      <c r="I2965" s="94" t="str">
        <f t="shared" ref="I2965:J2965" si="2966">if(G2965 = "", , -G2965)</f>
        <v/>
      </c>
      <c r="J2965" s="94" t="str">
        <f t="shared" si="2966"/>
        <v/>
      </c>
      <c r="K2965" s="100"/>
      <c r="M2965" s="100"/>
      <c r="N2965" s="100"/>
      <c r="O2965" s="100"/>
      <c r="P2965" s="100"/>
    </row>
    <row r="2966">
      <c r="A2966" s="107">
        <v>203935.0</v>
      </c>
      <c r="B2966" s="108" t="s">
        <v>191</v>
      </c>
      <c r="C2966" s="108" t="s">
        <v>765</v>
      </c>
      <c r="D2966" s="112" t="s">
        <v>178</v>
      </c>
      <c r="E2966" s="112">
        <v>1614.6</v>
      </c>
      <c r="F2966" s="111" t="str">
        <f>DataPull!D2966</f>
        <v/>
      </c>
      <c r="G2966" s="94" t="str">
        <f t="shared" si="2"/>
        <v/>
      </c>
      <c r="H2966" s="94" t="str">
        <f t="shared" si="3"/>
        <v/>
      </c>
      <c r="I2966" s="94" t="str">
        <f t="shared" ref="I2966:J2966" si="2967">if(G2966 = "", , -G2966)</f>
        <v/>
      </c>
      <c r="J2966" s="94" t="str">
        <f t="shared" si="2967"/>
        <v/>
      </c>
      <c r="K2966" s="100"/>
      <c r="M2966" s="100"/>
      <c r="N2966" s="100"/>
      <c r="O2966" s="100"/>
      <c r="P2966" s="100"/>
    </row>
    <row r="2967">
      <c r="A2967" s="107">
        <v>203935.0</v>
      </c>
      <c r="B2967" s="108" t="s">
        <v>192</v>
      </c>
      <c r="C2967" s="108" t="s">
        <v>765</v>
      </c>
      <c r="D2967" s="112" t="s">
        <v>184</v>
      </c>
      <c r="E2967" s="112">
        <v>2200.0</v>
      </c>
      <c r="F2967" s="111" t="str">
        <f>DataPull!D2967</f>
        <v/>
      </c>
      <c r="G2967" s="94" t="str">
        <f t="shared" si="2"/>
        <v/>
      </c>
      <c r="H2967" s="94" t="str">
        <f t="shared" si="3"/>
        <v/>
      </c>
      <c r="I2967" s="94" t="str">
        <f t="shared" ref="I2967:J2967" si="2968">if(G2967 = "", , -G2967)</f>
        <v/>
      </c>
      <c r="J2967" s="94" t="str">
        <f t="shared" si="2968"/>
        <v/>
      </c>
      <c r="K2967" s="100"/>
      <c r="M2967" s="100"/>
      <c r="N2967" s="100"/>
      <c r="O2967" s="100"/>
      <c r="P2967" s="100"/>
    </row>
    <row r="2968">
      <c r="A2968" s="107">
        <v>203935.0</v>
      </c>
      <c r="B2968" s="108" t="s">
        <v>193</v>
      </c>
      <c r="C2968" s="108" t="s">
        <v>765</v>
      </c>
      <c r="D2968" s="112" t="s">
        <v>184</v>
      </c>
      <c r="E2968" s="112">
        <v>1920.0</v>
      </c>
      <c r="F2968" s="111" t="str">
        <f>DataPull!D2968</f>
        <v/>
      </c>
      <c r="G2968" s="94" t="str">
        <f t="shared" si="2"/>
        <v/>
      </c>
      <c r="H2968" s="94" t="str">
        <f t="shared" si="3"/>
        <v/>
      </c>
      <c r="I2968" s="94" t="str">
        <f t="shared" ref="I2968:J2968" si="2969">if(G2968 = "", , -G2968)</f>
        <v/>
      </c>
      <c r="J2968" s="94" t="str">
        <f t="shared" si="2969"/>
        <v/>
      </c>
      <c r="K2968" s="100"/>
      <c r="M2968" s="100"/>
      <c r="N2968" s="100"/>
      <c r="O2968" s="100"/>
      <c r="P2968" s="100"/>
    </row>
    <row r="2969">
      <c r="A2969" s="107">
        <v>203935.0</v>
      </c>
      <c r="B2969" s="108" t="s">
        <v>243</v>
      </c>
      <c r="C2969" s="108" t="s">
        <v>765</v>
      </c>
      <c r="D2969" s="112" t="s">
        <v>184</v>
      </c>
      <c r="E2969" s="112">
        <v>1579.2</v>
      </c>
      <c r="F2969" s="111" t="str">
        <f>DataPull!D2969</f>
        <v/>
      </c>
      <c r="G2969" s="94" t="str">
        <f t="shared" si="2"/>
        <v/>
      </c>
      <c r="H2969" s="94" t="str">
        <f t="shared" si="3"/>
        <v/>
      </c>
      <c r="I2969" s="94" t="str">
        <f t="shared" ref="I2969:J2969" si="2970">if(G2969 = "", , -G2969)</f>
        <v/>
      </c>
      <c r="J2969" s="94" t="str">
        <f t="shared" si="2970"/>
        <v/>
      </c>
      <c r="K2969" s="100"/>
      <c r="M2969" s="100"/>
      <c r="N2969" s="100"/>
      <c r="O2969" s="100"/>
      <c r="P2969" s="100"/>
    </row>
    <row r="2970">
      <c r="A2970" s="107">
        <v>203935.0</v>
      </c>
      <c r="B2970" s="108" t="s">
        <v>215</v>
      </c>
      <c r="C2970" s="108" t="s">
        <v>765</v>
      </c>
      <c r="D2970" s="112" t="s">
        <v>184</v>
      </c>
      <c r="E2970" s="112">
        <v>2293.3</v>
      </c>
      <c r="F2970" s="111" t="str">
        <f>DataPull!D2970</f>
        <v/>
      </c>
      <c r="G2970" s="94" t="str">
        <f t="shared" si="2"/>
        <v/>
      </c>
      <c r="H2970" s="94" t="str">
        <f t="shared" si="3"/>
        <v/>
      </c>
      <c r="I2970" s="94" t="str">
        <f t="shared" ref="I2970:J2970" si="2971">if(G2970 = "", , -G2970)</f>
        <v/>
      </c>
      <c r="J2970" s="94" t="str">
        <f t="shared" si="2971"/>
        <v/>
      </c>
      <c r="K2970" s="100"/>
      <c r="M2970" s="100"/>
      <c r="N2970" s="100"/>
      <c r="O2970" s="100"/>
      <c r="P2970" s="100"/>
    </row>
    <row r="2971">
      <c r="A2971" s="107">
        <v>203935.0</v>
      </c>
      <c r="B2971" s="108" t="s">
        <v>244</v>
      </c>
      <c r="C2971" s="108" t="s">
        <v>765</v>
      </c>
      <c r="D2971" s="112" t="s">
        <v>184</v>
      </c>
      <c r="E2971" s="112">
        <v>1958.1</v>
      </c>
      <c r="F2971" s="111" t="str">
        <f>DataPull!D2971</f>
        <v/>
      </c>
      <c r="G2971" s="94" t="str">
        <f t="shared" si="2"/>
        <v/>
      </c>
      <c r="H2971" s="94" t="str">
        <f t="shared" si="3"/>
        <v/>
      </c>
      <c r="I2971" s="94" t="str">
        <f t="shared" ref="I2971:J2971" si="2972">if(G2971 = "", , -G2971)</f>
        <v/>
      </c>
      <c r="J2971" s="94" t="str">
        <f t="shared" si="2972"/>
        <v/>
      </c>
      <c r="K2971" s="100"/>
      <c r="M2971" s="100"/>
      <c r="N2971" s="100"/>
      <c r="O2971" s="100"/>
      <c r="P2971" s="100"/>
    </row>
    <row r="2972">
      <c r="A2972" s="107">
        <v>203935.0</v>
      </c>
      <c r="B2972" s="108" t="s">
        <v>245</v>
      </c>
      <c r="C2972" s="108" t="s">
        <v>765</v>
      </c>
      <c r="D2972" s="112" t="s">
        <v>178</v>
      </c>
      <c r="E2972" s="112">
        <v>604.0</v>
      </c>
      <c r="F2972" s="111" t="str">
        <f>DataPull!D2972</f>
        <v/>
      </c>
      <c r="G2972" s="94" t="str">
        <f t="shared" si="2"/>
        <v/>
      </c>
      <c r="H2972" s="94" t="str">
        <f t="shared" si="3"/>
        <v/>
      </c>
      <c r="I2972" s="94" t="str">
        <f t="shared" ref="I2972:J2972" si="2973">if(G2972 = "", , -G2972)</f>
        <v/>
      </c>
      <c r="J2972" s="94" t="str">
        <f t="shared" si="2973"/>
        <v/>
      </c>
      <c r="K2972" s="100"/>
      <c r="M2972" s="100"/>
      <c r="N2972" s="100"/>
      <c r="O2972" s="100"/>
      <c r="P2972" s="100"/>
    </row>
    <row r="2973">
      <c r="A2973" s="107">
        <v>203935.0</v>
      </c>
      <c r="B2973" s="108" t="s">
        <v>246</v>
      </c>
      <c r="C2973" s="108" t="s">
        <v>765</v>
      </c>
      <c r="D2973" s="112" t="s">
        <v>176</v>
      </c>
      <c r="E2973" s="112">
        <v>680.0</v>
      </c>
      <c r="F2973" s="111" t="str">
        <f>DataPull!D2973</f>
        <v/>
      </c>
      <c r="G2973" s="94" t="str">
        <f t="shared" si="2"/>
        <v/>
      </c>
      <c r="H2973" s="94" t="str">
        <f t="shared" si="3"/>
        <v/>
      </c>
      <c r="I2973" s="94" t="str">
        <f t="shared" ref="I2973:J2973" si="2974">if(G2973 = "", , -G2973)</f>
        <v/>
      </c>
      <c r="J2973" s="94" t="str">
        <f t="shared" si="2974"/>
        <v/>
      </c>
      <c r="K2973" s="100"/>
      <c r="M2973" s="100"/>
      <c r="N2973" s="100"/>
      <c r="O2973" s="100"/>
      <c r="P2973" s="100"/>
    </row>
    <row r="2974">
      <c r="A2974" s="114">
        <v>203935.0</v>
      </c>
      <c r="B2974" s="113" t="s">
        <v>247</v>
      </c>
      <c r="C2974" s="113" t="s">
        <v>765</v>
      </c>
      <c r="D2974" s="112" t="s">
        <v>178</v>
      </c>
      <c r="E2974" s="112">
        <v>1767.0</v>
      </c>
      <c r="F2974" s="111" t="str">
        <f>DataPull!D2974</f>
        <v/>
      </c>
      <c r="G2974" s="94" t="str">
        <f t="shared" si="2"/>
        <v/>
      </c>
      <c r="H2974" s="94" t="str">
        <f t="shared" si="3"/>
        <v/>
      </c>
      <c r="I2974" s="94" t="str">
        <f t="shared" ref="I2974:J2974" si="2975">if(G2974 = "", , -G2974)</f>
        <v/>
      </c>
      <c r="J2974" s="94" t="str">
        <f t="shared" si="2975"/>
        <v/>
      </c>
      <c r="K2974" s="100"/>
      <c r="M2974" s="100"/>
      <c r="N2974" s="100"/>
      <c r="O2974" s="100"/>
      <c r="P2974" s="100"/>
    </row>
    <row r="2975">
      <c r="A2975" s="107">
        <v>203937.0</v>
      </c>
      <c r="B2975" s="108" t="s">
        <v>90</v>
      </c>
      <c r="C2975" s="108" t="s">
        <v>766</v>
      </c>
      <c r="D2975" s="112" t="s">
        <v>177</v>
      </c>
      <c r="E2975" s="112">
        <v>359.7</v>
      </c>
      <c r="F2975" s="111" t="str">
        <f>DataPull!D2975</f>
        <v/>
      </c>
      <c r="G2975" s="94" t="str">
        <f t="shared" si="2"/>
        <v/>
      </c>
      <c r="H2975" s="94" t="str">
        <f t="shared" si="3"/>
        <v/>
      </c>
      <c r="I2975" s="94" t="str">
        <f t="shared" ref="I2975:J2975" si="2976">if(G2975 = "", , -G2975)</f>
        <v/>
      </c>
      <c r="J2975" s="94" t="str">
        <f t="shared" si="2976"/>
        <v/>
      </c>
      <c r="K2975" s="100"/>
      <c r="M2975" s="100"/>
      <c r="N2975" s="100"/>
      <c r="O2975" s="100"/>
      <c r="P2975" s="100"/>
    </row>
    <row r="2976">
      <c r="A2976" s="107">
        <v>203937.0</v>
      </c>
      <c r="B2976" s="108" t="s">
        <v>92</v>
      </c>
      <c r="C2976" s="108" t="s">
        <v>766</v>
      </c>
      <c r="D2976" s="112" t="s">
        <v>177</v>
      </c>
      <c r="E2976" s="112">
        <v>1248.0</v>
      </c>
      <c r="F2976" s="111" t="str">
        <f>DataPull!D2976</f>
        <v/>
      </c>
      <c r="G2976" s="94" t="str">
        <f t="shared" si="2"/>
        <v/>
      </c>
      <c r="H2976" s="94" t="str">
        <f t="shared" si="3"/>
        <v/>
      </c>
      <c r="I2976" s="94" t="str">
        <f t="shared" ref="I2976:J2976" si="2977">if(G2976 = "", , -G2976)</f>
        <v/>
      </c>
      <c r="J2976" s="94" t="str">
        <f t="shared" si="2977"/>
        <v/>
      </c>
      <c r="K2976" s="100"/>
      <c r="N2976" s="100"/>
      <c r="O2976" s="100"/>
    </row>
    <row r="2977">
      <c r="A2977" s="107">
        <v>203937.0</v>
      </c>
      <c r="B2977" s="108" t="s">
        <v>190</v>
      </c>
      <c r="C2977" s="108" t="s">
        <v>766</v>
      </c>
      <c r="D2977" s="112" t="s">
        <v>177</v>
      </c>
      <c r="E2977" s="112">
        <v>1022.4</v>
      </c>
      <c r="F2977" s="111" t="str">
        <f>DataPull!D2977</f>
        <v/>
      </c>
      <c r="G2977" s="94" t="str">
        <f t="shared" si="2"/>
        <v/>
      </c>
      <c r="H2977" s="94" t="str">
        <f t="shared" si="3"/>
        <v/>
      </c>
      <c r="I2977" s="94" t="str">
        <f t="shared" ref="I2977:J2977" si="2978">if(G2977 = "", , -G2977)</f>
        <v/>
      </c>
      <c r="J2977" s="94" t="str">
        <f t="shared" si="2978"/>
        <v/>
      </c>
      <c r="K2977" s="100"/>
      <c r="L2977" s="100"/>
      <c r="M2977" s="100"/>
      <c r="N2977" s="100"/>
      <c r="O2977" s="100"/>
      <c r="P2977" s="100"/>
    </row>
    <row r="2978">
      <c r="A2978" s="107">
        <v>203937.0</v>
      </c>
      <c r="B2978" s="108" t="s">
        <v>191</v>
      </c>
      <c r="C2978" s="108" t="s">
        <v>766</v>
      </c>
      <c r="D2978" s="112" t="s">
        <v>184</v>
      </c>
      <c r="E2978" s="112">
        <v>1975.8</v>
      </c>
      <c r="F2978" s="111" t="str">
        <f>DataPull!D2978</f>
        <v/>
      </c>
      <c r="G2978" s="94" t="str">
        <f t="shared" si="2"/>
        <v/>
      </c>
      <c r="H2978" s="94" t="str">
        <f t="shared" si="3"/>
        <v/>
      </c>
      <c r="I2978" s="94" t="str">
        <f t="shared" ref="I2978:J2978" si="2979">if(G2978 = "", , -G2978)</f>
        <v/>
      </c>
      <c r="J2978" s="94" t="str">
        <f t="shared" si="2979"/>
        <v/>
      </c>
      <c r="K2978" s="100"/>
      <c r="M2978" s="100"/>
      <c r="N2978" s="100"/>
      <c r="O2978" s="100"/>
      <c r="P2978" s="100"/>
    </row>
    <row r="2979">
      <c r="A2979" s="107">
        <v>203937.0</v>
      </c>
      <c r="B2979" s="108" t="s">
        <v>192</v>
      </c>
      <c r="C2979" s="108" t="s">
        <v>766</v>
      </c>
      <c r="D2979" s="112" t="s">
        <v>176</v>
      </c>
      <c r="E2979" s="112">
        <v>1281.4</v>
      </c>
      <c r="F2979" s="111" t="str">
        <f>DataPull!D2979</f>
        <v/>
      </c>
      <c r="G2979" s="94" t="str">
        <f t="shared" si="2"/>
        <v/>
      </c>
      <c r="H2979" s="94" t="str">
        <f t="shared" si="3"/>
        <v/>
      </c>
      <c r="I2979" s="94" t="str">
        <f t="shared" ref="I2979:J2979" si="2980">if(G2979 = "", , -G2979)</f>
        <v/>
      </c>
      <c r="J2979" s="94" t="str">
        <f t="shared" si="2980"/>
        <v/>
      </c>
      <c r="K2979" s="100"/>
      <c r="M2979" s="100"/>
      <c r="N2979" s="100"/>
      <c r="O2979" s="100"/>
      <c r="P2979" s="100"/>
    </row>
    <row r="2980">
      <c r="A2980" s="107">
        <v>203937.0</v>
      </c>
      <c r="B2980" s="108" t="s">
        <v>193</v>
      </c>
      <c r="C2980" s="108" t="s">
        <v>766</v>
      </c>
      <c r="D2980" s="112" t="s">
        <v>176</v>
      </c>
      <c r="E2980" s="112">
        <v>1326.6</v>
      </c>
      <c r="F2980" s="111" t="str">
        <f>DataPull!D2980</f>
        <v/>
      </c>
      <c r="G2980" s="94" t="str">
        <f t="shared" si="2"/>
        <v/>
      </c>
      <c r="H2980" s="94" t="str">
        <f t="shared" si="3"/>
        <v/>
      </c>
      <c r="I2980" s="94" t="str">
        <f t="shared" ref="I2980:J2980" si="2981">if(G2980 = "", , -G2980)</f>
        <v/>
      </c>
      <c r="J2980" s="94" t="str">
        <f t="shared" si="2981"/>
        <v/>
      </c>
      <c r="K2980" s="100"/>
      <c r="L2980" s="100"/>
      <c r="M2980" s="100"/>
      <c r="N2980" s="100"/>
      <c r="O2980" s="100"/>
      <c r="P2980" s="100"/>
    </row>
    <row r="2981">
      <c r="A2981" s="107">
        <v>203937.0</v>
      </c>
      <c r="B2981" s="108" t="s">
        <v>243</v>
      </c>
      <c r="C2981" s="108" t="s">
        <v>766</v>
      </c>
      <c r="D2981" s="112" t="s">
        <v>184</v>
      </c>
      <c r="E2981" s="112">
        <v>1890.6</v>
      </c>
      <c r="F2981" s="111" t="str">
        <f>DataPull!D2981</f>
        <v/>
      </c>
      <c r="G2981" s="94" t="str">
        <f t="shared" si="2"/>
        <v/>
      </c>
      <c r="H2981" s="94" t="str">
        <f t="shared" si="3"/>
        <v/>
      </c>
      <c r="I2981" s="94" t="str">
        <f t="shared" ref="I2981:J2981" si="2982">if(G2981 = "", , -G2981)</f>
        <v/>
      </c>
      <c r="J2981" s="94" t="str">
        <f t="shared" si="2982"/>
        <v/>
      </c>
      <c r="K2981" s="100"/>
      <c r="L2981" s="100"/>
      <c r="M2981" s="100"/>
      <c r="N2981" s="100"/>
      <c r="O2981" s="100"/>
      <c r="P2981" s="100"/>
    </row>
    <row r="2982">
      <c r="A2982" s="107">
        <v>203937.0</v>
      </c>
      <c r="B2982" s="108" t="s">
        <v>215</v>
      </c>
      <c r="C2982" s="108" t="s">
        <v>766</v>
      </c>
      <c r="D2982" s="112" t="s">
        <v>176</v>
      </c>
      <c r="E2982" s="112">
        <v>1483.5</v>
      </c>
      <c r="F2982" s="111" t="str">
        <f>DataPull!D2982</f>
        <v/>
      </c>
      <c r="G2982" s="94" t="str">
        <f t="shared" si="2"/>
        <v/>
      </c>
      <c r="H2982" s="94" t="str">
        <f t="shared" si="3"/>
        <v/>
      </c>
      <c r="I2982" s="94" t="str">
        <f t="shared" ref="I2982:J2982" si="2983">if(G2982 = "", , -G2982)</f>
        <v/>
      </c>
      <c r="J2982" s="94" t="str">
        <f t="shared" si="2983"/>
        <v/>
      </c>
      <c r="K2982" s="100"/>
      <c r="M2982" s="100"/>
      <c r="N2982" s="100"/>
      <c r="O2982" s="100"/>
      <c r="P2982" s="100"/>
    </row>
    <row r="2983">
      <c r="A2983" s="107">
        <v>203937.0</v>
      </c>
      <c r="B2983" s="108" t="s">
        <v>244</v>
      </c>
      <c r="C2983" s="108" t="s">
        <v>766</v>
      </c>
      <c r="D2983" s="112" t="s">
        <v>176</v>
      </c>
      <c r="E2983" s="112">
        <v>1959.6</v>
      </c>
      <c r="F2983" s="111" t="str">
        <f>DataPull!D2983</f>
        <v/>
      </c>
      <c r="G2983" s="94" t="str">
        <f t="shared" si="2"/>
        <v/>
      </c>
      <c r="H2983" s="94" t="str">
        <f t="shared" si="3"/>
        <v/>
      </c>
      <c r="I2983" s="94" t="str">
        <f t="shared" ref="I2983:J2983" si="2984">if(G2983 = "", , -G2983)</f>
        <v/>
      </c>
      <c r="J2983" s="94" t="str">
        <f t="shared" si="2984"/>
        <v/>
      </c>
      <c r="K2983" s="100"/>
      <c r="M2983" s="100"/>
      <c r="N2983" s="100"/>
      <c r="O2983" s="100"/>
      <c r="P2983" s="100"/>
    </row>
    <row r="2984">
      <c r="A2984" s="107">
        <v>203937.0</v>
      </c>
      <c r="B2984" s="108" t="s">
        <v>245</v>
      </c>
      <c r="C2984" s="108" t="s">
        <v>766</v>
      </c>
      <c r="D2984" s="112" t="s">
        <v>176</v>
      </c>
      <c r="E2984" s="112">
        <v>1785.4</v>
      </c>
      <c r="F2984" s="111" t="str">
        <f>DataPull!D2984</f>
        <v/>
      </c>
      <c r="G2984" s="94" t="str">
        <f t="shared" si="2"/>
        <v/>
      </c>
      <c r="H2984" s="94" t="str">
        <f t="shared" si="3"/>
        <v/>
      </c>
      <c r="I2984" s="94" t="str">
        <f t="shared" ref="I2984:J2984" si="2985">if(G2984 = "", , -G2984)</f>
        <v/>
      </c>
      <c r="J2984" s="94" t="str">
        <f t="shared" si="2985"/>
        <v/>
      </c>
      <c r="K2984" s="100"/>
      <c r="L2984" s="100"/>
      <c r="N2984" s="100"/>
      <c r="O2984" s="100"/>
      <c r="P2984" s="100"/>
    </row>
    <row r="2985">
      <c r="A2985" s="107">
        <v>203937.0</v>
      </c>
      <c r="B2985" s="108" t="s">
        <v>246</v>
      </c>
      <c r="C2985" s="108" t="s">
        <v>766</v>
      </c>
      <c r="D2985" s="112" t="s">
        <v>177</v>
      </c>
      <c r="E2985" s="112">
        <v>1000.4</v>
      </c>
      <c r="F2985" s="111" t="str">
        <f>DataPull!D2985</f>
        <v/>
      </c>
      <c r="G2985" s="94" t="str">
        <f t="shared" si="2"/>
        <v/>
      </c>
      <c r="H2985" s="94" t="str">
        <f t="shared" si="3"/>
        <v/>
      </c>
      <c r="I2985" s="94" t="str">
        <f t="shared" ref="I2985:J2985" si="2986">if(G2985 = "", , -G2985)</f>
        <v/>
      </c>
      <c r="J2985" s="94" t="str">
        <f t="shared" si="2986"/>
        <v/>
      </c>
      <c r="K2985" s="100"/>
      <c r="M2985" s="100"/>
      <c r="N2985" s="100"/>
      <c r="O2985" s="100"/>
      <c r="P2985" s="100"/>
    </row>
    <row r="2986">
      <c r="A2986" s="114">
        <v>203937.0</v>
      </c>
      <c r="B2986" s="113" t="s">
        <v>247</v>
      </c>
      <c r="C2986" s="113" t="s">
        <v>766</v>
      </c>
      <c r="D2986" s="112" t="s">
        <v>177</v>
      </c>
      <c r="E2986" s="112">
        <v>851.4</v>
      </c>
      <c r="F2986" s="111" t="str">
        <f>DataPull!D2986</f>
        <v/>
      </c>
      <c r="G2986" s="94" t="str">
        <f t="shared" si="2"/>
        <v/>
      </c>
      <c r="H2986" s="94" t="str">
        <f t="shared" si="3"/>
        <v/>
      </c>
      <c r="I2986" s="94" t="str">
        <f t="shared" ref="I2986:J2986" si="2987">if(G2986 = "", , -G2986)</f>
        <v/>
      </c>
      <c r="J2986" s="94" t="str">
        <f t="shared" si="2987"/>
        <v/>
      </c>
      <c r="K2986" s="100"/>
      <c r="M2986" s="100"/>
      <c r="N2986" s="100"/>
      <c r="O2986" s="100"/>
      <c r="P2986" s="100"/>
    </row>
    <row r="2987">
      <c r="A2987" s="107">
        <v>203939.0</v>
      </c>
      <c r="B2987" s="108" t="s">
        <v>90</v>
      </c>
      <c r="C2987" s="108" t="s">
        <v>767</v>
      </c>
      <c r="D2987" s="112" t="s">
        <v>187</v>
      </c>
      <c r="E2987" s="112">
        <v>237.8</v>
      </c>
      <c r="F2987" s="111" t="str">
        <f>DataPull!D2987</f>
        <v/>
      </c>
      <c r="G2987" s="94" t="str">
        <f t="shared" si="2"/>
        <v/>
      </c>
      <c r="H2987" s="94" t="str">
        <f t="shared" si="3"/>
        <v/>
      </c>
      <c r="I2987" s="94" t="str">
        <f t="shared" ref="I2987:J2987" si="2988">if(G2987 = "", , -G2987)</f>
        <v/>
      </c>
      <c r="J2987" s="94" t="str">
        <f t="shared" si="2988"/>
        <v/>
      </c>
      <c r="K2987" s="100"/>
      <c r="M2987" s="100"/>
      <c r="N2987" s="100"/>
      <c r="O2987" s="100"/>
      <c r="P2987" s="100"/>
    </row>
    <row r="2988">
      <c r="A2988" s="107">
        <v>203939.0</v>
      </c>
      <c r="B2988" s="108" t="s">
        <v>92</v>
      </c>
      <c r="C2988" s="108" t="s">
        <v>767</v>
      </c>
      <c r="D2988" s="112" t="s">
        <v>177</v>
      </c>
      <c r="E2988" s="112">
        <v>993.6</v>
      </c>
      <c r="F2988" s="111" t="str">
        <f>DataPull!D2988</f>
        <v/>
      </c>
      <c r="G2988" s="94" t="str">
        <f t="shared" si="2"/>
        <v/>
      </c>
      <c r="H2988" s="94" t="str">
        <f t="shared" si="3"/>
        <v/>
      </c>
      <c r="I2988" s="94" t="str">
        <f t="shared" ref="I2988:J2988" si="2989">if(G2988 = "", , -G2988)</f>
        <v/>
      </c>
      <c r="J2988" s="94" t="str">
        <f t="shared" si="2989"/>
        <v/>
      </c>
      <c r="K2988" s="100"/>
      <c r="M2988" s="100"/>
      <c r="N2988" s="100"/>
      <c r="O2988" s="100"/>
      <c r="P2988" s="100"/>
    </row>
    <row r="2989">
      <c r="A2989" s="107">
        <v>203939.0</v>
      </c>
      <c r="B2989" s="108" t="s">
        <v>190</v>
      </c>
      <c r="C2989" s="108" t="s">
        <v>767</v>
      </c>
      <c r="D2989" s="112" t="s">
        <v>177</v>
      </c>
      <c r="E2989" s="112">
        <v>1332.1</v>
      </c>
      <c r="F2989" s="111" t="str">
        <f>DataPull!D2989</f>
        <v/>
      </c>
      <c r="G2989" s="94" t="str">
        <f t="shared" si="2"/>
        <v/>
      </c>
      <c r="H2989" s="94" t="str">
        <f t="shared" si="3"/>
        <v/>
      </c>
      <c r="I2989" s="94" t="str">
        <f t="shared" ref="I2989:J2989" si="2990">if(G2989 = "", , -G2989)</f>
        <v/>
      </c>
      <c r="J2989" s="94" t="str">
        <f t="shared" si="2990"/>
        <v/>
      </c>
      <c r="K2989" s="100"/>
      <c r="M2989" s="100"/>
      <c r="N2989" s="100"/>
      <c r="O2989" s="100"/>
      <c r="P2989" s="100"/>
    </row>
    <row r="2990">
      <c r="A2990" s="107">
        <v>203939.0</v>
      </c>
      <c r="B2990" s="108" t="s">
        <v>191</v>
      </c>
      <c r="C2990" s="108" t="s">
        <v>767</v>
      </c>
      <c r="D2990" s="112" t="s">
        <v>176</v>
      </c>
      <c r="E2990" s="112">
        <v>1674.8</v>
      </c>
      <c r="F2990" s="111" t="str">
        <f>DataPull!D2990</f>
        <v/>
      </c>
      <c r="G2990" s="94" t="str">
        <f t="shared" si="2"/>
        <v/>
      </c>
      <c r="H2990" s="94" t="str">
        <f t="shared" si="3"/>
        <v/>
      </c>
      <c r="I2990" s="94" t="str">
        <f t="shared" ref="I2990:J2990" si="2991">if(G2990 = "", , -G2990)</f>
        <v/>
      </c>
      <c r="J2990" s="94" t="str">
        <f t="shared" si="2991"/>
        <v/>
      </c>
      <c r="K2990" s="100"/>
      <c r="M2990" s="100"/>
      <c r="N2990" s="100"/>
      <c r="O2990" s="100"/>
      <c r="P2990" s="100"/>
    </row>
    <row r="2991">
      <c r="A2991" s="107">
        <v>203939.0</v>
      </c>
      <c r="B2991" s="108" t="s">
        <v>192</v>
      </c>
      <c r="C2991" s="108" t="s">
        <v>767</v>
      </c>
      <c r="D2991" s="112" t="s">
        <v>176</v>
      </c>
      <c r="E2991" s="112">
        <v>1663.2</v>
      </c>
      <c r="F2991" s="111" t="str">
        <f>DataPull!D2991</f>
        <v/>
      </c>
      <c r="G2991" s="94" t="str">
        <f t="shared" si="2"/>
        <v/>
      </c>
      <c r="H2991" s="94" t="str">
        <f t="shared" si="3"/>
        <v/>
      </c>
      <c r="I2991" s="94" t="str">
        <f t="shared" ref="I2991:J2991" si="2992">if(G2991 = "", , -G2991)</f>
        <v/>
      </c>
      <c r="J2991" s="94" t="str">
        <f t="shared" si="2992"/>
        <v/>
      </c>
      <c r="K2991" s="100"/>
      <c r="M2991" s="100"/>
      <c r="N2991" s="100"/>
      <c r="O2991" s="100"/>
      <c r="P2991" s="100"/>
    </row>
    <row r="2992">
      <c r="A2992" s="107">
        <v>203939.0</v>
      </c>
      <c r="B2992" s="108" t="s">
        <v>193</v>
      </c>
      <c r="C2992" s="108" t="s">
        <v>767</v>
      </c>
      <c r="D2992" s="112" t="s">
        <v>178</v>
      </c>
      <c r="E2992" s="112">
        <v>1060.0</v>
      </c>
      <c r="F2992" s="111" t="str">
        <f>DataPull!D2992</f>
        <v/>
      </c>
      <c r="G2992" s="94" t="str">
        <f t="shared" si="2"/>
        <v/>
      </c>
      <c r="H2992" s="94" t="str">
        <f t="shared" si="3"/>
        <v/>
      </c>
      <c r="I2992" s="94" t="str">
        <f t="shared" ref="I2992:J2992" si="2993">if(G2992 = "", , -G2992)</f>
        <v/>
      </c>
      <c r="J2992" s="94" t="str">
        <f t="shared" si="2993"/>
        <v/>
      </c>
      <c r="K2992" s="100"/>
      <c r="M2992" s="100"/>
      <c r="N2992" s="100"/>
      <c r="O2992" s="100"/>
      <c r="P2992" s="100"/>
    </row>
    <row r="2993">
      <c r="A2993" s="107">
        <v>203939.0</v>
      </c>
      <c r="B2993" s="108" t="s">
        <v>243</v>
      </c>
      <c r="C2993" s="108" t="s">
        <v>767</v>
      </c>
      <c r="D2993" s="112" t="s">
        <v>177</v>
      </c>
      <c r="E2993" s="112">
        <v>962.8</v>
      </c>
      <c r="F2993" s="111" t="str">
        <f>DataPull!D2993</f>
        <v/>
      </c>
      <c r="G2993" s="94" t="str">
        <f t="shared" si="2"/>
        <v/>
      </c>
      <c r="H2993" s="94" t="str">
        <f t="shared" si="3"/>
        <v/>
      </c>
      <c r="I2993" s="94" t="str">
        <f t="shared" ref="I2993:J2993" si="2994">if(G2993 = "", , -G2993)</f>
        <v/>
      </c>
      <c r="J2993" s="94" t="str">
        <f t="shared" si="2994"/>
        <v/>
      </c>
      <c r="K2993" s="100"/>
      <c r="M2993" s="100"/>
      <c r="N2993" s="100"/>
      <c r="O2993" s="100"/>
      <c r="P2993" s="100"/>
    </row>
    <row r="2994">
      <c r="A2994" s="107">
        <v>203939.0</v>
      </c>
      <c r="B2994" s="108" t="s">
        <v>215</v>
      </c>
      <c r="C2994" s="108" t="s">
        <v>767</v>
      </c>
      <c r="D2994" s="112" t="s">
        <v>176</v>
      </c>
      <c r="E2994" s="112">
        <v>1795.8</v>
      </c>
      <c r="F2994" s="111" t="str">
        <f>DataPull!D2994</f>
        <v/>
      </c>
      <c r="G2994" s="94" t="str">
        <f t="shared" si="2"/>
        <v/>
      </c>
      <c r="H2994" s="94" t="str">
        <f t="shared" si="3"/>
        <v/>
      </c>
      <c r="I2994" s="94" t="str">
        <f t="shared" ref="I2994:J2994" si="2995">if(G2994 = "", , -G2994)</f>
        <v/>
      </c>
      <c r="J2994" s="94" t="str">
        <f t="shared" si="2995"/>
        <v/>
      </c>
      <c r="K2994" s="100"/>
      <c r="M2994" s="100"/>
      <c r="N2994" s="100"/>
      <c r="O2994" s="100"/>
      <c r="P2994" s="100"/>
    </row>
    <row r="2995">
      <c r="A2995" s="107">
        <v>203939.0</v>
      </c>
      <c r="B2995" s="108" t="s">
        <v>244</v>
      </c>
      <c r="C2995" s="108" t="s">
        <v>767</v>
      </c>
      <c r="D2995" s="112" t="s">
        <v>177</v>
      </c>
      <c r="E2995" s="112">
        <v>1459.2</v>
      </c>
      <c r="F2995" s="111" t="str">
        <f>DataPull!D2995</f>
        <v/>
      </c>
      <c r="G2995" s="94" t="str">
        <f t="shared" si="2"/>
        <v/>
      </c>
      <c r="H2995" s="94" t="str">
        <f t="shared" si="3"/>
        <v/>
      </c>
      <c r="I2995" s="94" t="str">
        <f t="shared" ref="I2995:J2995" si="2996">if(G2995 = "", , -G2995)</f>
        <v/>
      </c>
      <c r="J2995" s="94" t="str">
        <f t="shared" si="2996"/>
        <v/>
      </c>
      <c r="K2995" s="100"/>
      <c r="M2995" s="100"/>
      <c r="N2995" s="100"/>
      <c r="O2995" s="100"/>
      <c r="P2995" s="100"/>
    </row>
    <row r="2996">
      <c r="A2996" s="107">
        <v>203939.0</v>
      </c>
      <c r="B2996" s="108" t="s">
        <v>245</v>
      </c>
      <c r="C2996" s="108" t="s">
        <v>767</v>
      </c>
      <c r="D2996" s="112" t="s">
        <v>177</v>
      </c>
      <c r="E2996" s="112">
        <v>837.9</v>
      </c>
      <c r="F2996" s="111" t="str">
        <f>DataPull!D2996</f>
        <v/>
      </c>
      <c r="G2996" s="94" t="str">
        <f t="shared" si="2"/>
        <v/>
      </c>
      <c r="H2996" s="94" t="str">
        <f t="shared" si="3"/>
        <v/>
      </c>
      <c r="I2996" s="94" t="str">
        <f t="shared" ref="I2996:J2996" si="2997">if(G2996 = "", , -G2996)</f>
        <v/>
      </c>
      <c r="J2996" s="94" t="str">
        <f t="shared" si="2997"/>
        <v/>
      </c>
      <c r="K2996" s="100"/>
      <c r="L2996" s="100"/>
      <c r="N2996" s="100"/>
      <c r="O2996" s="100"/>
      <c r="P2996" s="100"/>
    </row>
    <row r="2997">
      <c r="A2997" s="107">
        <v>203939.0</v>
      </c>
      <c r="B2997" s="108" t="s">
        <v>246</v>
      </c>
      <c r="C2997" s="108" t="s">
        <v>767</v>
      </c>
      <c r="D2997" s="112" t="s">
        <v>177</v>
      </c>
      <c r="E2997" s="112">
        <v>550.0</v>
      </c>
      <c r="F2997" s="111" t="str">
        <f>DataPull!D2997</f>
        <v/>
      </c>
      <c r="G2997" s="94" t="str">
        <f t="shared" si="2"/>
        <v/>
      </c>
      <c r="H2997" s="94" t="str">
        <f t="shared" si="3"/>
        <v/>
      </c>
      <c r="I2997" s="94" t="str">
        <f t="shared" ref="I2997:J2997" si="2998">if(G2997 = "", , -G2997)</f>
        <v/>
      </c>
      <c r="J2997" s="94" t="str">
        <f t="shared" si="2998"/>
        <v/>
      </c>
      <c r="K2997" s="100"/>
      <c r="M2997" s="100"/>
      <c r="N2997" s="100"/>
      <c r="O2997" s="100"/>
      <c r="P2997" s="100"/>
    </row>
    <row r="2998">
      <c r="A2998" s="114">
        <v>203939.0</v>
      </c>
      <c r="B2998" s="113" t="s">
        <v>247</v>
      </c>
      <c r="C2998" s="113" t="s">
        <v>767</v>
      </c>
      <c r="D2998" s="112" t="s">
        <v>177</v>
      </c>
      <c r="E2998" s="112">
        <v>907.2</v>
      </c>
      <c r="F2998" s="111" t="str">
        <f>DataPull!D2998</f>
        <v/>
      </c>
      <c r="G2998" s="94" t="str">
        <f t="shared" si="2"/>
        <v/>
      </c>
      <c r="H2998" s="94" t="str">
        <f t="shared" si="3"/>
        <v/>
      </c>
      <c r="I2998" s="94" t="str">
        <f t="shared" ref="I2998:J2998" si="2999">if(G2998 = "", , -G2998)</f>
        <v/>
      </c>
      <c r="J2998" s="94" t="str">
        <f t="shared" si="2999"/>
        <v/>
      </c>
      <c r="K2998" s="100"/>
      <c r="M2998" s="100"/>
      <c r="N2998" s="100"/>
      <c r="O2998" s="100"/>
      <c r="P2998" s="100"/>
    </row>
    <row r="2999">
      <c r="A2999" s="107">
        <v>203940.0</v>
      </c>
      <c r="B2999" s="108" t="s">
        <v>90</v>
      </c>
      <c r="C2999" s="108" t="s">
        <v>768</v>
      </c>
      <c r="D2999" s="112" t="s">
        <v>176</v>
      </c>
      <c r="E2999" s="112">
        <v>739.2</v>
      </c>
      <c r="F2999" s="111" t="str">
        <f>DataPull!D2999</f>
        <v/>
      </c>
      <c r="G2999" s="94" t="str">
        <f t="shared" si="2"/>
        <v/>
      </c>
      <c r="H2999" s="94" t="str">
        <f t="shared" si="3"/>
        <v/>
      </c>
      <c r="I2999" s="94" t="str">
        <f t="shared" ref="I2999:J2999" si="3000">if(G2999 = "", , -G2999)</f>
        <v/>
      </c>
      <c r="J2999" s="94" t="str">
        <f t="shared" si="3000"/>
        <v/>
      </c>
      <c r="K2999" s="100"/>
      <c r="M2999" s="100"/>
      <c r="N2999" s="100"/>
      <c r="O2999" s="100"/>
      <c r="P2999" s="100"/>
    </row>
    <row r="3000">
      <c r="A3000" s="107">
        <v>203940.0</v>
      </c>
      <c r="B3000" s="108" t="s">
        <v>92</v>
      </c>
      <c r="C3000" s="108" t="s">
        <v>768</v>
      </c>
      <c r="D3000" s="112" t="s">
        <v>187</v>
      </c>
      <c r="E3000" s="112">
        <v>483.6</v>
      </c>
      <c r="F3000" s="111" t="str">
        <f>DataPull!D3000</f>
        <v/>
      </c>
      <c r="G3000" s="94" t="str">
        <f t="shared" si="2"/>
        <v/>
      </c>
      <c r="H3000" s="94" t="str">
        <f t="shared" si="3"/>
        <v/>
      </c>
      <c r="I3000" s="94" t="str">
        <f t="shared" ref="I3000:J3000" si="3001">if(G3000 = "", , -G3000)</f>
        <v/>
      </c>
      <c r="J3000" s="94" t="str">
        <f t="shared" si="3001"/>
        <v/>
      </c>
      <c r="K3000" s="100"/>
      <c r="M3000" s="100"/>
      <c r="N3000" s="100"/>
      <c r="O3000" s="100"/>
      <c r="P3000" s="100"/>
    </row>
    <row r="3001">
      <c r="A3001" s="107">
        <v>203940.0</v>
      </c>
      <c r="B3001" s="108" t="s">
        <v>190</v>
      </c>
      <c r="C3001" s="108" t="s">
        <v>768</v>
      </c>
      <c r="D3001" s="112" t="s">
        <v>187</v>
      </c>
      <c r="E3001" s="112">
        <v>135.0</v>
      </c>
      <c r="F3001" s="111" t="str">
        <f>DataPull!D3001</f>
        <v/>
      </c>
      <c r="G3001" s="94" t="str">
        <f t="shared" si="2"/>
        <v/>
      </c>
      <c r="H3001" s="94" t="str">
        <f t="shared" si="3"/>
        <v/>
      </c>
      <c r="I3001" s="94" t="str">
        <f t="shared" ref="I3001:J3001" si="3002">if(G3001 = "", , -G3001)</f>
        <v/>
      </c>
      <c r="J3001" s="94" t="str">
        <f t="shared" si="3002"/>
        <v/>
      </c>
      <c r="K3001" s="100"/>
      <c r="N3001" s="100"/>
      <c r="O3001" s="100"/>
      <c r="P3001" s="100"/>
    </row>
    <row r="3002">
      <c r="A3002" s="107">
        <v>203940.0</v>
      </c>
      <c r="B3002" s="108" t="s">
        <v>191</v>
      </c>
      <c r="C3002" s="108" t="s">
        <v>768</v>
      </c>
      <c r="D3002" s="112" t="s">
        <v>181</v>
      </c>
      <c r="E3002" s="112">
        <v>42.5</v>
      </c>
      <c r="F3002" s="111" t="str">
        <f>DataPull!D3002</f>
        <v/>
      </c>
      <c r="G3002" s="94" t="str">
        <f t="shared" si="2"/>
        <v/>
      </c>
      <c r="H3002" s="94" t="str">
        <f t="shared" si="3"/>
        <v/>
      </c>
      <c r="I3002" s="94" t="str">
        <f t="shared" ref="I3002:J3002" si="3003">if(G3002 = "", , -G3002)</f>
        <v/>
      </c>
      <c r="J3002" s="94" t="str">
        <f t="shared" si="3003"/>
        <v/>
      </c>
      <c r="K3002" s="100"/>
      <c r="M3002" s="100"/>
      <c r="N3002" s="100"/>
      <c r="O3002" s="100"/>
      <c r="P3002" s="100"/>
    </row>
    <row r="3003">
      <c r="A3003" s="107">
        <v>203943.0</v>
      </c>
      <c r="B3003" s="108" t="s">
        <v>90</v>
      </c>
      <c r="C3003" s="108" t="s">
        <v>769</v>
      </c>
      <c r="D3003" s="112" t="s">
        <v>187</v>
      </c>
      <c r="E3003" s="112">
        <v>257.5</v>
      </c>
      <c r="F3003" s="111" t="str">
        <f>DataPull!D3003</f>
        <v/>
      </c>
      <c r="G3003" s="94" t="str">
        <f t="shared" si="2"/>
        <v/>
      </c>
      <c r="H3003" s="94" t="str">
        <f t="shared" si="3"/>
        <v/>
      </c>
      <c r="I3003" s="94" t="str">
        <f t="shared" ref="I3003:J3003" si="3004">if(G3003 = "", , -G3003)</f>
        <v/>
      </c>
      <c r="J3003" s="94" t="str">
        <f t="shared" si="3004"/>
        <v/>
      </c>
      <c r="K3003" s="100"/>
      <c r="M3003" s="100"/>
      <c r="N3003" s="100"/>
      <c r="O3003" s="100"/>
      <c r="P3003" s="100"/>
    </row>
    <row r="3004">
      <c r="A3004" s="107">
        <v>203943.0</v>
      </c>
      <c r="B3004" s="108" t="s">
        <v>92</v>
      </c>
      <c r="C3004" s="108" t="s">
        <v>769</v>
      </c>
      <c r="D3004" s="112" t="s">
        <v>177</v>
      </c>
      <c r="E3004" s="112">
        <v>1170.0</v>
      </c>
      <c r="F3004" s="111" t="str">
        <f>DataPull!D3004</f>
        <v/>
      </c>
      <c r="G3004" s="94" t="str">
        <f t="shared" si="2"/>
        <v/>
      </c>
      <c r="H3004" s="94" t="str">
        <f t="shared" si="3"/>
        <v/>
      </c>
      <c r="I3004" s="94" t="str">
        <f t="shared" ref="I3004:J3004" si="3005">if(G3004 = "", , -G3004)</f>
        <v/>
      </c>
      <c r="J3004" s="94" t="str">
        <f t="shared" si="3005"/>
        <v/>
      </c>
      <c r="K3004" s="100"/>
      <c r="M3004" s="100"/>
      <c r="N3004" s="100"/>
      <c r="O3004" s="100"/>
      <c r="P3004" s="100"/>
    </row>
    <row r="3005">
      <c r="A3005" s="107">
        <v>203943.0</v>
      </c>
      <c r="B3005" s="108" t="s">
        <v>190</v>
      </c>
      <c r="C3005" s="108" t="s">
        <v>769</v>
      </c>
      <c r="D3005" s="112" t="s">
        <v>177</v>
      </c>
      <c r="E3005" s="112">
        <v>1265.4</v>
      </c>
      <c r="F3005" s="111" t="str">
        <f>DataPull!D3005</f>
        <v/>
      </c>
      <c r="G3005" s="94" t="str">
        <f t="shared" si="2"/>
        <v/>
      </c>
      <c r="H3005" s="94" t="str">
        <f t="shared" si="3"/>
        <v/>
      </c>
      <c r="I3005" s="94" t="str">
        <f t="shared" ref="I3005:J3005" si="3006">if(G3005 = "", , -G3005)</f>
        <v/>
      </c>
      <c r="J3005" s="94" t="str">
        <f t="shared" si="3006"/>
        <v/>
      </c>
      <c r="K3005" s="100"/>
      <c r="L3005" s="100"/>
      <c r="M3005" s="100"/>
      <c r="N3005" s="100"/>
      <c r="O3005" s="100"/>
      <c r="P3005" s="100"/>
    </row>
    <row r="3006">
      <c r="A3006" s="107">
        <v>203943.0</v>
      </c>
      <c r="B3006" s="108" t="s">
        <v>191</v>
      </c>
      <c r="C3006" s="108" t="s">
        <v>769</v>
      </c>
      <c r="D3006" s="112" t="s">
        <v>177</v>
      </c>
      <c r="E3006" s="112">
        <v>874.8</v>
      </c>
      <c r="F3006" s="111" t="str">
        <f>DataPull!D3006</f>
        <v/>
      </c>
      <c r="G3006" s="94" t="str">
        <f t="shared" si="2"/>
        <v/>
      </c>
      <c r="H3006" s="94" t="str">
        <f t="shared" si="3"/>
        <v/>
      </c>
      <c r="I3006" s="94" t="str">
        <f t="shared" ref="I3006:J3006" si="3007">if(G3006 = "", , -G3006)</f>
        <v/>
      </c>
      <c r="J3006" s="94" t="str">
        <f t="shared" si="3007"/>
        <v/>
      </c>
      <c r="K3006" s="100"/>
      <c r="M3006" s="100"/>
      <c r="N3006" s="100"/>
      <c r="O3006" s="100"/>
      <c r="P3006" s="100"/>
    </row>
    <row r="3007">
      <c r="A3007" s="107">
        <v>203943.0</v>
      </c>
      <c r="B3007" s="108" t="s">
        <v>192</v>
      </c>
      <c r="C3007" s="108" t="s">
        <v>769</v>
      </c>
      <c r="D3007" s="112" t="s">
        <v>176</v>
      </c>
      <c r="E3007" s="112">
        <v>1720.4</v>
      </c>
      <c r="F3007" s="111" t="str">
        <f>DataPull!D3007</f>
        <v/>
      </c>
      <c r="G3007" s="94" t="str">
        <f t="shared" si="2"/>
        <v/>
      </c>
      <c r="H3007" s="94" t="str">
        <f t="shared" si="3"/>
        <v/>
      </c>
      <c r="I3007" s="94" t="str">
        <f t="shared" ref="I3007:J3007" si="3008">if(G3007 = "", , -G3007)</f>
        <v/>
      </c>
      <c r="J3007" s="94" t="str">
        <f t="shared" si="3008"/>
        <v/>
      </c>
      <c r="K3007" s="100"/>
      <c r="M3007" s="100"/>
      <c r="N3007" s="100"/>
      <c r="O3007" s="100"/>
      <c r="P3007" s="100"/>
    </row>
    <row r="3008">
      <c r="A3008" s="107">
        <v>203943.0</v>
      </c>
      <c r="B3008" s="108" t="s">
        <v>193</v>
      </c>
      <c r="C3008" s="108" t="s">
        <v>769</v>
      </c>
      <c r="D3008" s="112" t="s">
        <v>177</v>
      </c>
      <c r="E3008" s="112">
        <v>378.0</v>
      </c>
      <c r="F3008" s="111" t="str">
        <f>DataPull!D3008</f>
        <v/>
      </c>
      <c r="G3008" s="94" t="str">
        <f t="shared" si="2"/>
        <v/>
      </c>
      <c r="H3008" s="94" t="str">
        <f t="shared" si="3"/>
        <v/>
      </c>
      <c r="I3008" s="94" t="str">
        <f t="shared" ref="I3008:J3008" si="3009">if(G3008 = "", , -G3008)</f>
        <v/>
      </c>
      <c r="J3008" s="94" t="str">
        <f t="shared" si="3009"/>
        <v/>
      </c>
      <c r="K3008" s="100"/>
      <c r="M3008" s="100"/>
      <c r="N3008" s="100"/>
      <c r="O3008" s="100"/>
      <c r="P3008" s="100"/>
    </row>
    <row r="3009">
      <c r="A3009" s="107">
        <v>203943.0</v>
      </c>
      <c r="B3009" s="108" t="s">
        <v>243</v>
      </c>
      <c r="C3009" s="108" t="s">
        <v>769</v>
      </c>
      <c r="D3009" s="112" t="s">
        <v>181</v>
      </c>
      <c r="E3009" s="112">
        <v>10.8</v>
      </c>
      <c r="F3009" s="111" t="str">
        <f>DataPull!D3009</f>
        <v/>
      </c>
      <c r="G3009" s="94" t="str">
        <f t="shared" si="2"/>
        <v/>
      </c>
      <c r="H3009" s="94" t="str">
        <f t="shared" si="3"/>
        <v/>
      </c>
      <c r="I3009" s="94" t="str">
        <f t="shared" ref="I3009:J3009" si="3010">if(G3009 = "", , -G3009)</f>
        <v/>
      </c>
      <c r="J3009" s="94" t="str">
        <f t="shared" si="3010"/>
        <v/>
      </c>
      <c r="K3009" s="100"/>
      <c r="M3009" s="100"/>
      <c r="N3009" s="100"/>
      <c r="O3009" s="100"/>
      <c r="P3009" s="100"/>
    </row>
    <row r="3010">
      <c r="A3010" s="107">
        <v>203943.0</v>
      </c>
      <c r="B3010" s="108" t="s">
        <v>244</v>
      </c>
      <c r="C3010" s="108" t="s">
        <v>769</v>
      </c>
      <c r="D3010" s="112" t="s">
        <v>187</v>
      </c>
      <c r="E3010" s="112">
        <v>172.5</v>
      </c>
      <c r="F3010" s="111" t="str">
        <f>DataPull!D3010</f>
        <v/>
      </c>
      <c r="G3010" s="94" t="str">
        <f t="shared" si="2"/>
        <v/>
      </c>
      <c r="H3010" s="94" t="str">
        <f t="shared" si="3"/>
        <v/>
      </c>
      <c r="I3010" s="94" t="str">
        <f t="shared" ref="I3010:J3010" si="3011">if(G3010 = "", , -G3010)</f>
        <v/>
      </c>
      <c r="J3010" s="94" t="str">
        <f t="shared" si="3011"/>
        <v/>
      </c>
      <c r="K3010" s="100"/>
      <c r="M3010" s="100"/>
      <c r="N3010" s="100"/>
      <c r="O3010" s="100"/>
      <c r="P3010" s="100"/>
    </row>
    <row r="3011">
      <c r="A3011" s="107">
        <v>203944.0</v>
      </c>
      <c r="B3011" s="108" t="s">
        <v>90</v>
      </c>
      <c r="C3011" s="108" t="s">
        <v>770</v>
      </c>
      <c r="D3011" s="112" t="s">
        <v>181</v>
      </c>
      <c r="E3011" s="112">
        <v>13.6</v>
      </c>
      <c r="F3011" s="111" t="str">
        <f>DataPull!D3011</f>
        <v/>
      </c>
      <c r="G3011" s="94" t="str">
        <f t="shared" si="2"/>
        <v/>
      </c>
      <c r="H3011" s="94" t="str">
        <f t="shared" si="3"/>
        <v/>
      </c>
      <c r="I3011" s="94" t="str">
        <f t="shared" ref="I3011:J3011" si="3012">if(G3011 = "", , -G3011)</f>
        <v/>
      </c>
      <c r="J3011" s="94" t="str">
        <f t="shared" si="3012"/>
        <v/>
      </c>
      <c r="K3011" s="100"/>
      <c r="M3011" s="100"/>
      <c r="N3011" s="100"/>
      <c r="O3011" s="100"/>
      <c r="P3011" s="100"/>
    </row>
    <row r="3012">
      <c r="A3012" s="107">
        <v>203944.0</v>
      </c>
      <c r="B3012" s="108" t="s">
        <v>92</v>
      </c>
      <c r="C3012" s="108" t="s">
        <v>770</v>
      </c>
      <c r="D3012" s="112" t="s">
        <v>178</v>
      </c>
      <c r="E3012" s="112">
        <v>2284.2</v>
      </c>
      <c r="F3012" s="111" t="str">
        <f>DataPull!D3012</f>
        <v/>
      </c>
      <c r="G3012" s="94" t="str">
        <f t="shared" si="2"/>
        <v/>
      </c>
      <c r="H3012" s="94" t="str">
        <f t="shared" si="3"/>
        <v/>
      </c>
      <c r="I3012" s="94" t="str">
        <f t="shared" ref="I3012:J3012" si="3013">if(G3012 = "", , -G3012)</f>
        <v/>
      </c>
      <c r="J3012" s="94" t="str">
        <f t="shared" si="3013"/>
        <v/>
      </c>
      <c r="K3012" s="100"/>
      <c r="N3012" s="100"/>
      <c r="O3012" s="100"/>
      <c r="P3012" s="100"/>
    </row>
    <row r="3013">
      <c r="A3013" s="107">
        <v>203944.0</v>
      </c>
      <c r="B3013" s="108" t="s">
        <v>190</v>
      </c>
      <c r="C3013" s="108" t="s">
        <v>770</v>
      </c>
      <c r="D3013" s="112" t="s">
        <v>178</v>
      </c>
      <c r="E3013" s="112">
        <v>2131.2</v>
      </c>
      <c r="F3013" s="111" t="str">
        <f>DataPull!D3013</f>
        <v/>
      </c>
      <c r="G3013" s="94" t="str">
        <f t="shared" si="2"/>
        <v/>
      </c>
      <c r="H3013" s="94" t="str">
        <f t="shared" si="3"/>
        <v/>
      </c>
      <c r="I3013" s="94" t="str">
        <f t="shared" ref="I3013:J3013" si="3014">if(G3013 = "", , -G3013)</f>
        <v/>
      </c>
      <c r="J3013" s="94" t="str">
        <f t="shared" si="3014"/>
        <v/>
      </c>
      <c r="K3013" s="100"/>
      <c r="M3013" s="100"/>
      <c r="N3013" s="100"/>
      <c r="O3013" s="100"/>
      <c r="P3013" s="100"/>
    </row>
    <row r="3014">
      <c r="A3014" s="107">
        <v>203944.0</v>
      </c>
      <c r="B3014" s="108" t="s">
        <v>191</v>
      </c>
      <c r="C3014" s="108" t="s">
        <v>770</v>
      </c>
      <c r="D3014" s="112" t="s">
        <v>176</v>
      </c>
      <c r="E3014" s="112">
        <v>2189.4</v>
      </c>
      <c r="F3014" s="111" t="str">
        <f>DataPull!D3014</f>
        <v/>
      </c>
      <c r="G3014" s="94" t="str">
        <f t="shared" si="2"/>
        <v/>
      </c>
      <c r="H3014" s="94" t="str">
        <f t="shared" si="3"/>
        <v/>
      </c>
      <c r="I3014" s="94" t="str">
        <f t="shared" ref="I3014:J3014" si="3015">if(G3014 = "", , -G3014)</f>
        <v/>
      </c>
      <c r="J3014" s="94" t="str">
        <f t="shared" si="3015"/>
        <v/>
      </c>
      <c r="K3014" s="100"/>
      <c r="M3014" s="100"/>
      <c r="N3014" s="100"/>
      <c r="O3014" s="100"/>
      <c r="P3014" s="100"/>
    </row>
    <row r="3015">
      <c r="A3015" s="107">
        <v>203944.0</v>
      </c>
      <c r="B3015" s="108" t="s">
        <v>192</v>
      </c>
      <c r="C3015" s="108" t="s">
        <v>770</v>
      </c>
      <c r="D3015" s="112" t="s">
        <v>178</v>
      </c>
      <c r="E3015" s="112">
        <v>2233.8</v>
      </c>
      <c r="F3015" s="111" t="str">
        <f>DataPull!D3015</f>
        <v/>
      </c>
      <c r="G3015" s="94" t="str">
        <f t="shared" si="2"/>
        <v/>
      </c>
      <c r="H3015" s="94" t="str">
        <f t="shared" si="3"/>
        <v/>
      </c>
      <c r="I3015" s="94" t="str">
        <f t="shared" ref="I3015:J3015" si="3016">if(G3015 = "", , -G3015)</f>
        <v/>
      </c>
      <c r="J3015" s="94" t="str">
        <f t="shared" si="3016"/>
        <v/>
      </c>
      <c r="K3015" s="100"/>
      <c r="M3015" s="100"/>
      <c r="N3015" s="100"/>
      <c r="O3015" s="100"/>
      <c r="P3015" s="100"/>
    </row>
    <row r="3016">
      <c r="A3016" s="107">
        <v>203944.0</v>
      </c>
      <c r="B3016" s="108" t="s">
        <v>193</v>
      </c>
      <c r="C3016" s="108" t="s">
        <v>770</v>
      </c>
      <c r="D3016" s="112" t="s">
        <v>178</v>
      </c>
      <c r="E3016" s="112">
        <v>2080.0</v>
      </c>
      <c r="F3016" s="111" t="str">
        <f>DataPull!D3016</f>
        <v/>
      </c>
      <c r="G3016" s="94" t="str">
        <f t="shared" si="2"/>
        <v/>
      </c>
      <c r="H3016" s="94" t="str">
        <f t="shared" si="3"/>
        <v/>
      </c>
      <c r="I3016" s="94" t="str">
        <f t="shared" ref="I3016:J3016" si="3017">if(G3016 = "", , -G3016)</f>
        <v/>
      </c>
      <c r="J3016" s="94" t="str">
        <f t="shared" si="3017"/>
        <v/>
      </c>
      <c r="K3016" s="100"/>
      <c r="M3016" s="100"/>
      <c r="N3016" s="100"/>
      <c r="O3016" s="100"/>
      <c r="P3016" s="100"/>
    </row>
    <row r="3017">
      <c r="A3017" s="107">
        <v>203944.0</v>
      </c>
      <c r="B3017" s="108" t="s">
        <v>243</v>
      </c>
      <c r="C3017" s="108" t="s">
        <v>770</v>
      </c>
      <c r="D3017" s="112" t="s">
        <v>178</v>
      </c>
      <c r="E3017" s="112">
        <v>2669.6</v>
      </c>
      <c r="F3017" s="111" t="str">
        <f>DataPull!D3017</f>
        <v/>
      </c>
      <c r="G3017" s="94" t="str">
        <f t="shared" si="2"/>
        <v/>
      </c>
      <c r="H3017" s="94" t="str">
        <f t="shared" si="3"/>
        <v/>
      </c>
      <c r="I3017" s="94" t="str">
        <f t="shared" ref="I3017:J3017" si="3018">if(G3017 = "", , -G3017)</f>
        <v/>
      </c>
      <c r="J3017" s="94" t="str">
        <f t="shared" si="3018"/>
        <v/>
      </c>
      <c r="K3017" s="100"/>
      <c r="M3017" s="100"/>
      <c r="N3017" s="100"/>
      <c r="O3017" s="100"/>
      <c r="P3017" s="100"/>
    </row>
    <row r="3018">
      <c r="A3018" s="107">
        <v>203944.0</v>
      </c>
      <c r="B3018" s="108" t="s">
        <v>215</v>
      </c>
      <c r="C3018" s="108" t="s">
        <v>770</v>
      </c>
      <c r="D3018" s="112" t="s">
        <v>178</v>
      </c>
      <c r="E3018" s="112">
        <v>2541.6</v>
      </c>
      <c r="F3018" s="111" t="str">
        <f>DataPull!D3018</f>
        <v/>
      </c>
      <c r="G3018" s="94" t="str">
        <f t="shared" si="2"/>
        <v/>
      </c>
      <c r="H3018" s="94" t="str">
        <f t="shared" si="3"/>
        <v/>
      </c>
      <c r="I3018" s="94" t="str">
        <f t="shared" ref="I3018:J3018" si="3019">if(G3018 = "", , -G3018)</f>
        <v/>
      </c>
      <c r="J3018" s="94" t="str">
        <f t="shared" si="3019"/>
        <v/>
      </c>
      <c r="K3018" s="100"/>
      <c r="M3018" s="100"/>
      <c r="N3018" s="100"/>
      <c r="O3018" s="100"/>
      <c r="P3018" s="100"/>
    </row>
    <row r="3019">
      <c r="A3019" s="107">
        <v>203944.0</v>
      </c>
      <c r="B3019" s="108" t="s">
        <v>244</v>
      </c>
      <c r="C3019" s="108" t="s">
        <v>770</v>
      </c>
      <c r="D3019" s="112" t="s">
        <v>184</v>
      </c>
      <c r="E3019" s="112">
        <v>2733.5</v>
      </c>
      <c r="F3019" s="111" t="str">
        <f>DataPull!D3019</f>
        <v/>
      </c>
      <c r="G3019" s="94" t="str">
        <f t="shared" si="2"/>
        <v/>
      </c>
      <c r="H3019" s="94" t="str">
        <f t="shared" si="3"/>
        <v/>
      </c>
      <c r="I3019" s="94" t="str">
        <f t="shared" ref="I3019:J3019" si="3020">if(G3019 = "", , -G3019)</f>
        <v/>
      </c>
      <c r="J3019" s="94" t="str">
        <f t="shared" si="3020"/>
        <v/>
      </c>
      <c r="K3019" s="100"/>
      <c r="M3019" s="100"/>
      <c r="N3019" s="100"/>
      <c r="O3019" s="100"/>
      <c r="P3019" s="100"/>
    </row>
    <row r="3020">
      <c r="A3020" s="107">
        <v>203944.0</v>
      </c>
      <c r="B3020" s="108" t="s">
        <v>245</v>
      </c>
      <c r="C3020" s="108" t="s">
        <v>770</v>
      </c>
      <c r="D3020" s="112" t="s">
        <v>184</v>
      </c>
      <c r="E3020" s="112">
        <v>1628.4</v>
      </c>
      <c r="F3020" s="111" t="str">
        <f>DataPull!D3020</f>
        <v/>
      </c>
      <c r="G3020" s="94" t="str">
        <f t="shared" si="2"/>
        <v/>
      </c>
      <c r="H3020" s="94" t="str">
        <f t="shared" si="3"/>
        <v/>
      </c>
      <c r="I3020" s="94" t="str">
        <f t="shared" ref="I3020:J3020" si="3021">if(G3020 = "", , -G3020)</f>
        <v/>
      </c>
      <c r="J3020" s="94" t="str">
        <f t="shared" si="3021"/>
        <v/>
      </c>
      <c r="K3020" s="100"/>
      <c r="M3020" s="100"/>
      <c r="N3020" s="100"/>
      <c r="O3020" s="100"/>
      <c r="P3020" s="100"/>
    </row>
    <row r="3021">
      <c r="A3021" s="107">
        <v>203944.0</v>
      </c>
      <c r="B3021" s="108" t="s">
        <v>246</v>
      </c>
      <c r="C3021" s="108" t="s">
        <v>770</v>
      </c>
      <c r="D3021" s="112" t="s">
        <v>178</v>
      </c>
      <c r="E3021" s="112">
        <v>2228.7</v>
      </c>
      <c r="F3021" s="111" t="str">
        <f>DataPull!D3021</f>
        <v/>
      </c>
      <c r="G3021" s="94" t="str">
        <f t="shared" si="2"/>
        <v/>
      </c>
      <c r="H3021" s="94" t="str">
        <f t="shared" si="3"/>
        <v/>
      </c>
      <c r="I3021" s="94" t="str">
        <f t="shared" ref="I3021:J3021" si="3022">if(G3021 = "", , -G3021)</f>
        <v/>
      </c>
      <c r="J3021" s="94" t="str">
        <f t="shared" si="3022"/>
        <v/>
      </c>
      <c r="K3021" s="100"/>
      <c r="M3021" s="100"/>
      <c r="N3021" s="100"/>
      <c r="O3021" s="100"/>
      <c r="P3021" s="100"/>
    </row>
    <row r="3022">
      <c r="A3022" s="114">
        <v>203944.0</v>
      </c>
      <c r="B3022" s="113" t="s">
        <v>247</v>
      </c>
      <c r="C3022" s="113" t="s">
        <v>770</v>
      </c>
      <c r="D3022" s="112" t="s">
        <v>184</v>
      </c>
      <c r="E3022" s="112">
        <v>2607.0</v>
      </c>
      <c r="F3022" s="111" t="str">
        <f>DataPull!D3022</f>
        <v/>
      </c>
      <c r="G3022" s="94" t="str">
        <f t="shared" si="2"/>
        <v/>
      </c>
      <c r="H3022" s="94" t="str">
        <f t="shared" si="3"/>
        <v/>
      </c>
      <c r="I3022" s="94" t="str">
        <f t="shared" ref="I3022:J3022" si="3023">if(G3022 = "", , -G3022)</f>
        <v/>
      </c>
      <c r="J3022" s="94" t="str">
        <f t="shared" si="3023"/>
        <v/>
      </c>
      <c r="K3022" s="100"/>
      <c r="M3022" s="100"/>
      <c r="N3022" s="100"/>
      <c r="O3022" s="100"/>
      <c r="P3022" s="100"/>
    </row>
    <row r="3023">
      <c r="A3023" s="107">
        <v>203945.0</v>
      </c>
      <c r="B3023" s="108" t="s">
        <v>90</v>
      </c>
      <c r="C3023" s="108" t="s">
        <v>771</v>
      </c>
      <c r="D3023" s="112" t="s">
        <v>181</v>
      </c>
      <c r="E3023" s="112">
        <v>14.0</v>
      </c>
      <c r="F3023" s="111" t="str">
        <f>DataPull!D3023</f>
        <v/>
      </c>
      <c r="G3023" s="94" t="str">
        <f t="shared" si="2"/>
        <v/>
      </c>
      <c r="H3023" s="94" t="str">
        <f t="shared" si="3"/>
        <v/>
      </c>
      <c r="I3023" s="94" t="str">
        <f t="shared" ref="I3023:J3023" si="3024">if(G3023 = "", , -G3023)</f>
        <v/>
      </c>
      <c r="J3023" s="94" t="str">
        <f t="shared" si="3024"/>
        <v/>
      </c>
      <c r="K3023" s="100"/>
      <c r="M3023" s="100"/>
      <c r="N3023" s="100"/>
      <c r="O3023" s="100"/>
      <c r="P3023" s="100"/>
    </row>
    <row r="3024">
      <c r="A3024" s="107">
        <v>203946.0</v>
      </c>
      <c r="B3024" s="108" t="s">
        <v>90</v>
      </c>
      <c r="C3024" s="108" t="s">
        <v>772</v>
      </c>
      <c r="D3024" s="112" t="s">
        <v>187</v>
      </c>
      <c r="E3024" s="112">
        <v>63.0</v>
      </c>
      <c r="F3024" s="111" t="str">
        <f>DataPull!D3024</f>
        <v/>
      </c>
      <c r="G3024" s="94" t="str">
        <f t="shared" si="2"/>
        <v/>
      </c>
      <c r="H3024" s="94" t="str">
        <f t="shared" si="3"/>
        <v/>
      </c>
      <c r="I3024" s="94" t="str">
        <f t="shared" ref="I3024:J3024" si="3025">if(G3024 = "", , -G3024)</f>
        <v/>
      </c>
      <c r="J3024" s="94" t="str">
        <f t="shared" si="3025"/>
        <v/>
      </c>
      <c r="K3024" s="100"/>
      <c r="L3024" s="100"/>
      <c r="N3024" s="100"/>
      <c r="O3024" s="100"/>
      <c r="P3024" s="100"/>
    </row>
    <row r="3025">
      <c r="A3025" s="107">
        <v>203946.0</v>
      </c>
      <c r="B3025" s="108" t="s">
        <v>92</v>
      </c>
      <c r="C3025" s="108" t="s">
        <v>772</v>
      </c>
      <c r="D3025" s="112" t="s">
        <v>187</v>
      </c>
      <c r="E3025" s="112">
        <v>102.6</v>
      </c>
      <c r="F3025" s="111" t="str">
        <f>DataPull!D3025</f>
        <v/>
      </c>
      <c r="G3025" s="94" t="str">
        <f t="shared" si="2"/>
        <v/>
      </c>
      <c r="H3025" s="94" t="str">
        <f t="shared" si="3"/>
        <v/>
      </c>
      <c r="I3025" s="94" t="str">
        <f t="shared" ref="I3025:J3025" si="3026">if(G3025 = "", , -G3025)</f>
        <v/>
      </c>
      <c r="J3025" s="94" t="str">
        <f t="shared" si="3026"/>
        <v/>
      </c>
      <c r="K3025" s="100"/>
      <c r="M3025" s="100"/>
      <c r="N3025" s="100"/>
      <c r="O3025" s="100"/>
      <c r="P3025" s="100"/>
    </row>
    <row r="3026">
      <c r="A3026" s="107">
        <v>203948.0</v>
      </c>
      <c r="B3026" s="108" t="s">
        <v>90</v>
      </c>
      <c r="C3026" s="115" t="s">
        <v>773</v>
      </c>
      <c r="D3026" s="112" t="s">
        <v>177</v>
      </c>
      <c r="E3026" s="112">
        <v>367.2</v>
      </c>
      <c r="F3026" s="111" t="str">
        <f>DataPull!D3026</f>
        <v/>
      </c>
      <c r="G3026" s="94" t="str">
        <f t="shared" si="2"/>
        <v/>
      </c>
      <c r="H3026" s="94" t="str">
        <f t="shared" si="3"/>
        <v/>
      </c>
      <c r="I3026" s="94" t="str">
        <f t="shared" ref="I3026:J3026" si="3027">if(G3026 = "", , -G3026)</f>
        <v/>
      </c>
      <c r="J3026" s="94" t="str">
        <f t="shared" si="3027"/>
        <v/>
      </c>
      <c r="K3026" s="100"/>
      <c r="M3026" s="100"/>
      <c r="N3026" s="100"/>
      <c r="O3026" s="100"/>
      <c r="P3026" s="100"/>
    </row>
    <row r="3027">
      <c r="A3027" s="107">
        <v>203948.0</v>
      </c>
      <c r="B3027" s="108" t="s">
        <v>92</v>
      </c>
      <c r="C3027" s="115" t="s">
        <v>773</v>
      </c>
      <c r="D3027" s="112" t="s">
        <v>177</v>
      </c>
      <c r="E3027" s="112">
        <v>858.0</v>
      </c>
      <c r="F3027" s="111" t="str">
        <f>DataPull!D3027</f>
        <v/>
      </c>
      <c r="G3027" s="94" t="str">
        <f t="shared" si="2"/>
        <v/>
      </c>
      <c r="H3027" s="94" t="str">
        <f t="shared" si="3"/>
        <v/>
      </c>
      <c r="I3027" s="94" t="str">
        <f t="shared" ref="I3027:J3027" si="3028">if(G3027 = "", , -G3027)</f>
        <v/>
      </c>
      <c r="J3027" s="94" t="str">
        <f t="shared" si="3028"/>
        <v/>
      </c>
      <c r="K3027" s="100"/>
      <c r="L3027" s="100"/>
      <c r="N3027" s="100"/>
      <c r="O3027" s="100"/>
      <c r="P3027" s="100"/>
    </row>
    <row r="3028">
      <c r="A3028" s="107">
        <v>203948.0</v>
      </c>
      <c r="B3028" s="108" t="s">
        <v>190</v>
      </c>
      <c r="C3028" s="115" t="s">
        <v>773</v>
      </c>
      <c r="D3028" s="112" t="s">
        <v>181</v>
      </c>
      <c r="E3028" s="112">
        <v>80.3</v>
      </c>
      <c r="F3028" s="111" t="str">
        <f>DataPull!D3028</f>
        <v/>
      </c>
      <c r="G3028" s="94" t="str">
        <f t="shared" si="2"/>
        <v/>
      </c>
      <c r="H3028" s="94" t="str">
        <f t="shared" si="3"/>
        <v/>
      </c>
      <c r="I3028" s="94" t="str">
        <f t="shared" ref="I3028:J3028" si="3029">if(G3028 = "", , -G3028)</f>
        <v/>
      </c>
      <c r="J3028" s="94" t="str">
        <f t="shared" si="3029"/>
        <v/>
      </c>
      <c r="K3028" s="100"/>
      <c r="L3028" s="100"/>
      <c r="M3028" s="100"/>
      <c r="N3028" s="100"/>
      <c r="O3028" s="100"/>
      <c r="P3028" s="100"/>
    </row>
    <row r="3029">
      <c r="A3029" s="107">
        <v>203948.0</v>
      </c>
      <c r="B3029" s="108" t="s">
        <v>191</v>
      </c>
      <c r="C3029" s="115" t="s">
        <v>773</v>
      </c>
      <c r="D3029" s="112" t="s">
        <v>177</v>
      </c>
      <c r="E3029" s="112">
        <v>378.0</v>
      </c>
      <c r="F3029" s="111" t="str">
        <f>DataPull!D3029</f>
        <v/>
      </c>
      <c r="G3029" s="94" t="str">
        <f t="shared" si="2"/>
        <v/>
      </c>
      <c r="H3029" s="94" t="str">
        <f t="shared" si="3"/>
        <v/>
      </c>
      <c r="I3029" s="94" t="str">
        <f t="shared" ref="I3029:J3029" si="3030">if(G3029 = "", , -G3029)</f>
        <v/>
      </c>
      <c r="J3029" s="94" t="str">
        <f t="shared" si="3030"/>
        <v/>
      </c>
      <c r="K3029" s="100"/>
      <c r="M3029" s="100"/>
      <c r="N3029" s="100"/>
      <c r="O3029" s="100"/>
      <c r="P3029" s="100"/>
    </row>
    <row r="3030">
      <c r="A3030" s="107">
        <v>203949.0</v>
      </c>
      <c r="B3030" s="108" t="s">
        <v>90</v>
      </c>
      <c r="C3030" s="108" t="s">
        <v>774</v>
      </c>
      <c r="D3030" s="112" t="s">
        <v>187</v>
      </c>
      <c r="E3030" s="112">
        <v>136.5</v>
      </c>
      <c r="F3030" s="111" t="str">
        <f>DataPull!D3030</f>
        <v/>
      </c>
      <c r="G3030" s="94" t="str">
        <f t="shared" si="2"/>
        <v/>
      </c>
      <c r="H3030" s="94" t="str">
        <f t="shared" si="3"/>
        <v/>
      </c>
      <c r="I3030" s="94" t="str">
        <f t="shared" ref="I3030:J3030" si="3031">if(G3030 = "", , -G3030)</f>
        <v/>
      </c>
      <c r="J3030" s="94" t="str">
        <f t="shared" si="3031"/>
        <v/>
      </c>
      <c r="K3030" s="100"/>
      <c r="M3030" s="100"/>
      <c r="N3030" s="100"/>
      <c r="O3030" s="100"/>
      <c r="P3030" s="100"/>
    </row>
    <row r="3031">
      <c r="A3031" s="107">
        <v>203949.0</v>
      </c>
      <c r="B3031" s="108" t="s">
        <v>92</v>
      </c>
      <c r="C3031" s="108" t="s">
        <v>774</v>
      </c>
      <c r="D3031" s="112" t="s">
        <v>187</v>
      </c>
      <c r="E3031" s="112">
        <v>262.4</v>
      </c>
      <c r="F3031" s="111" t="str">
        <f>DataPull!D3031</f>
        <v/>
      </c>
      <c r="G3031" s="94" t="str">
        <f t="shared" si="2"/>
        <v/>
      </c>
      <c r="H3031" s="94" t="str">
        <f t="shared" si="3"/>
        <v/>
      </c>
      <c r="I3031" s="94" t="str">
        <f t="shared" ref="I3031:J3031" si="3032">if(G3031 = "", , -G3031)</f>
        <v/>
      </c>
      <c r="J3031" s="94" t="str">
        <f t="shared" si="3032"/>
        <v/>
      </c>
      <c r="K3031" s="100"/>
      <c r="L3031" s="100"/>
      <c r="M3031" s="100"/>
      <c r="N3031" s="100"/>
      <c r="O3031" s="100"/>
      <c r="P3031" s="100"/>
    </row>
    <row r="3032">
      <c r="A3032" s="107">
        <v>203949.0</v>
      </c>
      <c r="B3032" s="108" t="s">
        <v>190</v>
      </c>
      <c r="C3032" s="108" t="s">
        <v>774</v>
      </c>
      <c r="D3032" s="112" t="s">
        <v>187</v>
      </c>
      <c r="E3032" s="112">
        <v>457.6</v>
      </c>
      <c r="F3032" s="111" t="str">
        <f>DataPull!D3032</f>
        <v/>
      </c>
      <c r="G3032" s="94" t="str">
        <f t="shared" si="2"/>
        <v/>
      </c>
      <c r="H3032" s="94" t="str">
        <f t="shared" si="3"/>
        <v/>
      </c>
      <c r="I3032" s="94" t="str">
        <f t="shared" ref="I3032:J3032" si="3033">if(G3032 = "", , -G3032)</f>
        <v/>
      </c>
      <c r="J3032" s="94" t="str">
        <f t="shared" si="3033"/>
        <v/>
      </c>
      <c r="K3032" s="100"/>
      <c r="M3032" s="100"/>
      <c r="N3032" s="100"/>
      <c r="O3032" s="100"/>
      <c r="P3032" s="100"/>
    </row>
    <row r="3033">
      <c r="A3033" s="107">
        <v>203949.0</v>
      </c>
      <c r="B3033" s="108" t="s">
        <v>191</v>
      </c>
      <c r="C3033" s="108" t="s">
        <v>774</v>
      </c>
      <c r="D3033" s="112" t="s">
        <v>181</v>
      </c>
      <c r="E3033" s="112">
        <v>18.0</v>
      </c>
      <c r="F3033" s="111" t="str">
        <f>DataPull!D3033</f>
        <v/>
      </c>
      <c r="G3033" s="94" t="str">
        <f t="shared" si="2"/>
        <v/>
      </c>
      <c r="H3033" s="94" t="str">
        <f t="shared" si="3"/>
        <v/>
      </c>
      <c r="I3033" s="94" t="str">
        <f t="shared" ref="I3033:J3033" si="3034">if(G3033 = "", , -G3033)</f>
        <v/>
      </c>
      <c r="J3033" s="94" t="str">
        <f t="shared" si="3034"/>
        <v/>
      </c>
      <c r="K3033" s="100"/>
      <c r="M3033" s="100"/>
      <c r="N3033" s="100"/>
      <c r="O3033" s="100"/>
      <c r="P3033" s="100"/>
    </row>
    <row r="3034">
      <c r="A3034" s="107">
        <v>203950.0</v>
      </c>
      <c r="B3034" s="108" t="s">
        <v>90</v>
      </c>
      <c r="C3034" s="108" t="s">
        <v>775</v>
      </c>
      <c r="D3034" s="112" t="s">
        <v>187</v>
      </c>
      <c r="E3034" s="112">
        <v>125.4</v>
      </c>
      <c r="F3034" s="111" t="str">
        <f>DataPull!D3034</f>
        <v/>
      </c>
      <c r="G3034" s="94" t="str">
        <f t="shared" si="2"/>
        <v/>
      </c>
      <c r="H3034" s="94" t="str">
        <f t="shared" si="3"/>
        <v/>
      </c>
      <c r="I3034" s="94" t="str">
        <f t="shared" ref="I3034:J3034" si="3035">if(G3034 = "", , -G3034)</f>
        <v/>
      </c>
      <c r="J3034" s="94" t="str">
        <f t="shared" si="3035"/>
        <v/>
      </c>
      <c r="K3034" s="100"/>
      <c r="L3034" s="100"/>
      <c r="M3034" s="100"/>
      <c r="N3034" s="100"/>
      <c r="O3034" s="100"/>
      <c r="P3034" s="100"/>
    </row>
    <row r="3035">
      <c r="A3035" s="107">
        <v>203950.0</v>
      </c>
      <c r="B3035" s="108" t="s">
        <v>92</v>
      </c>
      <c r="C3035" s="108" t="s">
        <v>775</v>
      </c>
      <c r="D3035" s="112" t="s">
        <v>181</v>
      </c>
      <c r="E3035" s="112">
        <v>18.9</v>
      </c>
      <c r="F3035" s="111" t="str">
        <f>DataPull!D3035</f>
        <v/>
      </c>
      <c r="G3035" s="94" t="str">
        <f t="shared" si="2"/>
        <v/>
      </c>
      <c r="H3035" s="94" t="str">
        <f t="shared" si="3"/>
        <v/>
      </c>
      <c r="I3035" s="94" t="str">
        <f t="shared" ref="I3035:J3035" si="3036">if(G3035 = "", , -G3035)</f>
        <v/>
      </c>
      <c r="J3035" s="94" t="str">
        <f t="shared" si="3036"/>
        <v/>
      </c>
      <c r="K3035" s="100"/>
      <c r="M3035" s="100"/>
      <c r="N3035" s="100"/>
      <c r="O3035" s="100"/>
      <c r="P3035" s="100"/>
    </row>
    <row r="3036">
      <c r="A3036" s="107">
        <v>203950.0</v>
      </c>
      <c r="B3036" s="108" t="s">
        <v>190</v>
      </c>
      <c r="C3036" s="108" t="s">
        <v>775</v>
      </c>
      <c r="D3036" s="112" t="s">
        <v>181</v>
      </c>
      <c r="E3036" s="112">
        <v>6.6</v>
      </c>
      <c r="F3036" s="111" t="str">
        <f>DataPull!D3036</f>
        <v/>
      </c>
      <c r="G3036" s="94" t="str">
        <f t="shared" si="2"/>
        <v/>
      </c>
      <c r="H3036" s="94" t="str">
        <f t="shared" si="3"/>
        <v/>
      </c>
      <c r="I3036" s="94" t="str">
        <f t="shared" ref="I3036:J3036" si="3037">if(G3036 = "", , -G3036)</f>
        <v/>
      </c>
      <c r="J3036" s="94" t="str">
        <f t="shared" si="3037"/>
        <v/>
      </c>
      <c r="K3036" s="100"/>
      <c r="M3036" s="100"/>
      <c r="N3036" s="100"/>
      <c r="O3036" s="100"/>
      <c r="P3036" s="100"/>
    </row>
    <row r="3037">
      <c r="A3037" s="107">
        <v>203951.0</v>
      </c>
      <c r="B3037" s="108" t="s">
        <v>92</v>
      </c>
      <c r="C3037" s="108" t="s">
        <v>776</v>
      </c>
      <c r="D3037" s="112" t="s">
        <v>181</v>
      </c>
      <c r="E3037" s="112">
        <v>27.0</v>
      </c>
      <c r="F3037" s="111" t="str">
        <f>DataPull!D3037</f>
        <v/>
      </c>
      <c r="G3037" s="94" t="str">
        <f t="shared" si="2"/>
        <v/>
      </c>
      <c r="H3037" s="94" t="str">
        <f t="shared" si="3"/>
        <v/>
      </c>
      <c r="I3037" s="94" t="str">
        <f t="shared" ref="I3037:J3037" si="3038">if(G3037 = "", , -G3037)</f>
        <v/>
      </c>
      <c r="J3037" s="94" t="str">
        <f t="shared" si="3038"/>
        <v/>
      </c>
      <c r="K3037" s="100"/>
      <c r="M3037" s="100"/>
      <c r="N3037" s="100"/>
      <c r="O3037" s="100"/>
      <c r="P3037" s="100"/>
    </row>
    <row r="3038">
      <c r="A3038" s="107">
        <v>203952.0</v>
      </c>
      <c r="B3038" s="108" t="s">
        <v>90</v>
      </c>
      <c r="C3038" s="108" t="s">
        <v>777</v>
      </c>
      <c r="D3038" s="112" t="s">
        <v>178</v>
      </c>
      <c r="E3038" s="112">
        <v>2968.4</v>
      </c>
      <c r="F3038" s="111" t="str">
        <f>DataPull!D3038</f>
        <v/>
      </c>
      <c r="G3038" s="94" t="str">
        <f t="shared" si="2"/>
        <v/>
      </c>
      <c r="H3038" s="94" t="str">
        <f t="shared" si="3"/>
        <v/>
      </c>
      <c r="I3038" s="94" t="str">
        <f t="shared" ref="I3038:J3038" si="3039">if(G3038 = "", , -G3038)</f>
        <v/>
      </c>
      <c r="J3038" s="94" t="str">
        <f t="shared" si="3039"/>
        <v/>
      </c>
      <c r="K3038" s="100"/>
      <c r="L3038" s="100"/>
      <c r="M3038" s="100"/>
      <c r="N3038" s="100"/>
      <c r="O3038" s="100"/>
      <c r="P3038" s="100"/>
    </row>
    <row r="3039">
      <c r="A3039" s="107">
        <v>203952.0</v>
      </c>
      <c r="B3039" s="108" t="s">
        <v>92</v>
      </c>
      <c r="C3039" s="108" t="s">
        <v>777</v>
      </c>
      <c r="D3039" s="112" t="s">
        <v>178</v>
      </c>
      <c r="E3039" s="112">
        <v>2843.1</v>
      </c>
      <c r="F3039" s="111" t="str">
        <f>DataPull!D3039</f>
        <v/>
      </c>
      <c r="G3039" s="94" t="str">
        <f t="shared" si="2"/>
        <v/>
      </c>
      <c r="H3039" s="94" t="str">
        <f t="shared" si="3"/>
        <v/>
      </c>
      <c r="I3039" s="94" t="str">
        <f t="shared" ref="I3039:J3039" si="3040">if(G3039 = "", , -G3039)</f>
        <v/>
      </c>
      <c r="J3039" s="94" t="str">
        <f t="shared" si="3040"/>
        <v/>
      </c>
      <c r="K3039" s="100"/>
      <c r="M3039" s="100"/>
      <c r="N3039" s="100"/>
      <c r="O3039" s="100"/>
      <c r="P3039" s="100"/>
    </row>
    <row r="3040">
      <c r="A3040" s="107">
        <v>203952.0</v>
      </c>
      <c r="B3040" s="108" t="s">
        <v>190</v>
      </c>
      <c r="C3040" s="108" t="s">
        <v>777</v>
      </c>
      <c r="D3040" s="112" t="s">
        <v>178</v>
      </c>
      <c r="E3040" s="112">
        <v>3050.4</v>
      </c>
      <c r="F3040" s="111" t="str">
        <f>DataPull!D3040</f>
        <v/>
      </c>
      <c r="G3040" s="94" t="str">
        <f t="shared" si="2"/>
        <v/>
      </c>
      <c r="H3040" s="94" t="str">
        <f t="shared" si="3"/>
        <v/>
      </c>
      <c r="I3040" s="94" t="str">
        <f t="shared" ref="I3040:J3040" si="3041">if(G3040 = "", , -G3040)</f>
        <v/>
      </c>
      <c r="J3040" s="94" t="str">
        <f t="shared" si="3041"/>
        <v/>
      </c>
      <c r="K3040" s="100"/>
      <c r="M3040" s="100"/>
      <c r="N3040" s="100"/>
      <c r="O3040" s="100"/>
      <c r="P3040" s="100"/>
    </row>
    <row r="3041">
      <c r="A3041" s="107">
        <v>203952.0</v>
      </c>
      <c r="B3041" s="108" t="s">
        <v>191</v>
      </c>
      <c r="C3041" s="108" t="s">
        <v>777</v>
      </c>
      <c r="D3041" s="112" t="s">
        <v>178</v>
      </c>
      <c r="E3041" s="112">
        <v>2976.6</v>
      </c>
      <c r="F3041" s="111" t="str">
        <f>DataPull!D3041</f>
        <v/>
      </c>
      <c r="G3041" s="94" t="str">
        <f t="shared" si="2"/>
        <v/>
      </c>
      <c r="H3041" s="94" t="str">
        <f t="shared" si="3"/>
        <v/>
      </c>
      <c r="I3041" s="94" t="str">
        <f t="shared" ref="I3041:J3041" si="3042">if(G3041 = "", , -G3041)</f>
        <v/>
      </c>
      <c r="J3041" s="94" t="str">
        <f t="shared" si="3042"/>
        <v/>
      </c>
      <c r="K3041" s="100"/>
      <c r="M3041" s="100"/>
      <c r="N3041" s="100"/>
      <c r="O3041" s="100"/>
      <c r="P3041" s="100"/>
    </row>
    <row r="3042">
      <c r="A3042" s="107">
        <v>203952.0</v>
      </c>
      <c r="B3042" s="108" t="s">
        <v>192</v>
      </c>
      <c r="C3042" s="108" t="s">
        <v>777</v>
      </c>
      <c r="D3042" s="112" t="s">
        <v>178</v>
      </c>
      <c r="E3042" s="112">
        <v>2540.4</v>
      </c>
      <c r="F3042" s="111" t="str">
        <f>DataPull!D3042</f>
        <v/>
      </c>
      <c r="G3042" s="94" t="str">
        <f t="shared" si="2"/>
        <v/>
      </c>
      <c r="H3042" s="94" t="str">
        <f t="shared" si="3"/>
        <v/>
      </c>
      <c r="I3042" s="94" t="str">
        <f t="shared" ref="I3042:J3042" si="3043">if(G3042 = "", , -G3042)</f>
        <v/>
      </c>
      <c r="J3042" s="94" t="str">
        <f t="shared" si="3043"/>
        <v/>
      </c>
      <c r="K3042" s="100"/>
      <c r="L3042" s="100"/>
      <c r="M3042" s="100"/>
      <c r="N3042" s="100"/>
      <c r="O3042" s="100"/>
      <c r="P3042" s="100"/>
    </row>
    <row r="3043">
      <c r="A3043" s="107">
        <v>203952.0</v>
      </c>
      <c r="B3043" s="108" t="s">
        <v>193</v>
      </c>
      <c r="C3043" s="108" t="s">
        <v>777</v>
      </c>
      <c r="D3043" s="112" t="s">
        <v>178</v>
      </c>
      <c r="E3043" s="112">
        <v>1857.6</v>
      </c>
      <c r="F3043" s="111" t="str">
        <f>DataPull!D3043</f>
        <v/>
      </c>
      <c r="G3043" s="94" t="str">
        <f t="shared" si="2"/>
        <v/>
      </c>
      <c r="H3043" s="94" t="str">
        <f t="shared" si="3"/>
        <v/>
      </c>
      <c r="I3043" s="94" t="str">
        <f t="shared" ref="I3043:J3043" si="3044">if(G3043 = "", , -G3043)</f>
        <v/>
      </c>
      <c r="J3043" s="94" t="str">
        <f t="shared" si="3044"/>
        <v/>
      </c>
      <c r="K3043" s="100"/>
      <c r="M3043" s="100"/>
      <c r="N3043" s="100"/>
      <c r="O3043" s="100"/>
      <c r="P3043" s="100"/>
    </row>
    <row r="3044">
      <c r="A3044" s="107">
        <v>203952.0</v>
      </c>
      <c r="B3044" s="108" t="s">
        <v>243</v>
      </c>
      <c r="C3044" s="108" t="s">
        <v>777</v>
      </c>
      <c r="D3044" s="112" t="s">
        <v>178</v>
      </c>
      <c r="E3044" s="112">
        <v>2364.3</v>
      </c>
      <c r="F3044" s="111" t="str">
        <f>DataPull!D3044</f>
        <v/>
      </c>
      <c r="G3044" s="94" t="str">
        <f t="shared" si="2"/>
        <v/>
      </c>
      <c r="H3044" s="94" t="str">
        <f t="shared" si="3"/>
        <v/>
      </c>
      <c r="I3044" s="94" t="str">
        <f t="shared" ref="I3044:J3044" si="3045">if(G3044 = "", , -G3044)</f>
        <v/>
      </c>
      <c r="J3044" s="94" t="str">
        <f t="shared" si="3045"/>
        <v/>
      </c>
      <c r="K3044" s="100"/>
      <c r="M3044" s="100"/>
      <c r="N3044" s="100"/>
      <c r="O3044" s="100"/>
      <c r="P3044" s="100"/>
    </row>
    <row r="3045">
      <c r="A3045" s="107">
        <v>203952.0</v>
      </c>
      <c r="B3045" s="108" t="s">
        <v>215</v>
      </c>
      <c r="C3045" s="108" t="s">
        <v>777</v>
      </c>
      <c r="D3045" s="112" t="s">
        <v>178</v>
      </c>
      <c r="E3045" s="112">
        <v>2328.7</v>
      </c>
      <c r="F3045" s="111" t="str">
        <f>DataPull!D3045</f>
        <v/>
      </c>
      <c r="G3045" s="94" t="str">
        <f t="shared" si="2"/>
        <v/>
      </c>
      <c r="H3045" s="94" t="str">
        <f t="shared" si="3"/>
        <v/>
      </c>
      <c r="I3045" s="94" t="str">
        <f t="shared" ref="I3045:J3045" si="3046">if(G3045 = "", , -G3045)</f>
        <v/>
      </c>
      <c r="J3045" s="94" t="str">
        <f t="shared" si="3046"/>
        <v/>
      </c>
      <c r="K3045" s="100"/>
      <c r="M3045" s="100"/>
      <c r="N3045" s="100"/>
      <c r="O3045" s="100"/>
      <c r="P3045" s="100"/>
    </row>
    <row r="3046">
      <c r="A3046" s="107">
        <v>203952.0</v>
      </c>
      <c r="B3046" s="108" t="s">
        <v>244</v>
      </c>
      <c r="C3046" s="108" t="s">
        <v>777</v>
      </c>
      <c r="D3046" s="112" t="s">
        <v>184</v>
      </c>
      <c r="E3046" s="112">
        <v>1191.4</v>
      </c>
      <c r="F3046" s="111" t="str">
        <f>DataPull!D3046</f>
        <v/>
      </c>
      <c r="G3046" s="94" t="str">
        <f t="shared" si="2"/>
        <v/>
      </c>
      <c r="H3046" s="94" t="str">
        <f t="shared" si="3"/>
        <v/>
      </c>
      <c r="I3046" s="94" t="str">
        <f t="shared" ref="I3046:J3046" si="3047">if(G3046 = "", , -G3046)</f>
        <v/>
      </c>
      <c r="J3046" s="94" t="str">
        <f t="shared" si="3047"/>
        <v/>
      </c>
      <c r="K3046" s="100"/>
      <c r="L3046" s="100"/>
      <c r="N3046" s="100"/>
      <c r="O3046" s="100"/>
      <c r="P3046" s="100"/>
    </row>
    <row r="3047">
      <c r="A3047" s="107">
        <v>203952.0</v>
      </c>
      <c r="B3047" s="108" t="s">
        <v>245</v>
      </c>
      <c r="C3047" s="108" t="s">
        <v>777</v>
      </c>
      <c r="D3047" s="112" t="s">
        <v>178</v>
      </c>
      <c r="E3047" s="112">
        <v>1917.0</v>
      </c>
      <c r="F3047" s="111" t="str">
        <f>DataPull!D3047</f>
        <v/>
      </c>
      <c r="G3047" s="94" t="str">
        <f t="shared" si="2"/>
        <v/>
      </c>
      <c r="H3047" s="94" t="str">
        <f t="shared" si="3"/>
        <v/>
      </c>
      <c r="I3047" s="94" t="str">
        <f t="shared" ref="I3047:J3047" si="3048">if(G3047 = "", , -G3047)</f>
        <v/>
      </c>
      <c r="J3047" s="94" t="str">
        <f t="shared" si="3048"/>
        <v/>
      </c>
      <c r="K3047" s="100"/>
      <c r="M3047" s="100"/>
      <c r="N3047" s="100"/>
      <c r="O3047" s="100"/>
      <c r="P3047" s="100"/>
    </row>
    <row r="3048">
      <c r="A3048" s="107">
        <v>203952.0</v>
      </c>
      <c r="B3048" s="108" t="s">
        <v>246</v>
      </c>
      <c r="C3048" s="108" t="s">
        <v>777</v>
      </c>
      <c r="D3048" s="112" t="s">
        <v>178</v>
      </c>
      <c r="E3048" s="112">
        <v>1842.0</v>
      </c>
      <c r="F3048" s="111" t="str">
        <f>DataPull!D3048</f>
        <v/>
      </c>
      <c r="G3048" s="94" t="str">
        <f t="shared" si="2"/>
        <v/>
      </c>
      <c r="H3048" s="94" t="str">
        <f t="shared" si="3"/>
        <v/>
      </c>
      <c r="I3048" s="94" t="str">
        <f t="shared" ref="I3048:J3048" si="3049">if(G3048 = "", , -G3048)</f>
        <v/>
      </c>
      <c r="J3048" s="94" t="str">
        <f t="shared" si="3049"/>
        <v/>
      </c>
      <c r="K3048" s="100"/>
      <c r="M3048" s="100"/>
      <c r="N3048" s="100"/>
      <c r="O3048" s="100"/>
      <c r="P3048" s="100"/>
    </row>
    <row r="3049">
      <c r="A3049" s="114">
        <v>203952.0</v>
      </c>
      <c r="B3049" s="113" t="s">
        <v>247</v>
      </c>
      <c r="C3049" s="113" t="s">
        <v>777</v>
      </c>
      <c r="D3049" s="112" t="s">
        <v>178</v>
      </c>
      <c r="E3049" s="112">
        <v>2060.4</v>
      </c>
      <c r="F3049" s="111" t="str">
        <f>DataPull!D3049</f>
        <v/>
      </c>
      <c r="G3049" s="94" t="str">
        <f t="shared" si="2"/>
        <v/>
      </c>
      <c r="H3049" s="94" t="str">
        <f t="shared" si="3"/>
        <v/>
      </c>
      <c r="I3049" s="94" t="str">
        <f t="shared" ref="I3049:J3049" si="3050">if(G3049 = "", , -G3049)</f>
        <v/>
      </c>
      <c r="J3049" s="94" t="str">
        <f t="shared" si="3050"/>
        <v/>
      </c>
      <c r="K3049" s="100"/>
      <c r="M3049" s="100"/>
      <c r="N3049" s="100"/>
      <c r="O3049" s="100"/>
      <c r="P3049" s="100"/>
    </row>
    <row r="3050">
      <c r="A3050" s="107">
        <v>203953.0</v>
      </c>
      <c r="B3050" s="108" t="s">
        <v>90</v>
      </c>
      <c r="C3050" s="108" t="s">
        <v>778</v>
      </c>
      <c r="D3050" s="112" t="s">
        <v>178</v>
      </c>
      <c r="E3050" s="112">
        <v>737.5</v>
      </c>
      <c r="F3050" s="111" t="str">
        <f>DataPull!D3050</f>
        <v/>
      </c>
      <c r="G3050" s="94" t="str">
        <f t="shared" si="2"/>
        <v/>
      </c>
      <c r="H3050" s="94" t="str">
        <f t="shared" si="3"/>
        <v/>
      </c>
      <c r="I3050" s="94" t="str">
        <f t="shared" ref="I3050:J3050" si="3051">if(G3050 = "", , -G3050)</f>
        <v/>
      </c>
      <c r="J3050" s="94" t="str">
        <f t="shared" si="3051"/>
        <v/>
      </c>
      <c r="K3050" s="100"/>
      <c r="M3050" s="100"/>
      <c r="N3050" s="100"/>
      <c r="O3050" s="100"/>
      <c r="P3050" s="100"/>
    </row>
    <row r="3051">
      <c r="A3051" s="107">
        <v>203953.0</v>
      </c>
      <c r="B3051" s="108" t="s">
        <v>92</v>
      </c>
      <c r="C3051" s="108" t="s">
        <v>778</v>
      </c>
      <c r="D3051" s="112" t="s">
        <v>178</v>
      </c>
      <c r="E3051" s="112">
        <v>2409.2</v>
      </c>
      <c r="F3051" s="111" t="str">
        <f>DataPull!D3051</f>
        <v/>
      </c>
      <c r="G3051" s="94" t="str">
        <f t="shared" si="2"/>
        <v/>
      </c>
      <c r="H3051" s="94" t="str">
        <f t="shared" si="3"/>
        <v/>
      </c>
      <c r="I3051" s="94" t="str">
        <f t="shared" ref="I3051:J3051" si="3052">if(G3051 = "", , -G3051)</f>
        <v/>
      </c>
      <c r="J3051" s="94" t="str">
        <f t="shared" si="3052"/>
        <v/>
      </c>
      <c r="K3051" s="100"/>
      <c r="N3051" s="100"/>
      <c r="O3051" s="100"/>
      <c r="P3051" s="100"/>
    </row>
    <row r="3052">
      <c r="A3052" s="107">
        <v>203953.0</v>
      </c>
      <c r="B3052" s="108" t="s">
        <v>190</v>
      </c>
      <c r="C3052" s="108" t="s">
        <v>778</v>
      </c>
      <c r="D3052" s="112" t="s">
        <v>178</v>
      </c>
      <c r="E3052" s="112">
        <v>1728.9</v>
      </c>
      <c r="F3052" s="111" t="str">
        <f>DataPull!D3052</f>
        <v/>
      </c>
      <c r="G3052" s="94" t="str">
        <f t="shared" si="2"/>
        <v/>
      </c>
      <c r="H3052" s="94" t="str">
        <f t="shared" si="3"/>
        <v/>
      </c>
      <c r="I3052" s="94" t="str">
        <f t="shared" ref="I3052:J3052" si="3053">if(G3052 = "", , -G3052)</f>
        <v/>
      </c>
      <c r="J3052" s="94" t="str">
        <f t="shared" si="3053"/>
        <v/>
      </c>
      <c r="K3052" s="100"/>
      <c r="N3052" s="100"/>
      <c r="O3052" s="100"/>
      <c r="P3052" s="100"/>
    </row>
    <row r="3053">
      <c r="A3053" s="107">
        <v>203953.0</v>
      </c>
      <c r="B3053" s="108" t="s">
        <v>191</v>
      </c>
      <c r="C3053" s="108" t="s">
        <v>778</v>
      </c>
      <c r="D3053" s="112" t="s">
        <v>176</v>
      </c>
      <c r="E3053" s="112">
        <v>744.0</v>
      </c>
      <c r="F3053" s="111" t="str">
        <f>DataPull!D3053</f>
        <v/>
      </c>
      <c r="G3053" s="94" t="str">
        <f t="shared" si="2"/>
        <v/>
      </c>
      <c r="H3053" s="94" t="str">
        <f t="shared" si="3"/>
        <v/>
      </c>
      <c r="I3053" s="94" t="str">
        <f t="shared" ref="I3053:J3053" si="3054">if(G3053 = "", , -G3053)</f>
        <v/>
      </c>
      <c r="J3053" s="94" t="str">
        <f t="shared" si="3054"/>
        <v/>
      </c>
      <c r="K3053" s="100"/>
      <c r="L3053" s="100"/>
      <c r="N3053" s="100"/>
      <c r="O3053" s="100"/>
      <c r="P3053" s="100"/>
    </row>
    <row r="3054">
      <c r="A3054" s="107">
        <v>203953.0</v>
      </c>
      <c r="B3054" s="108" t="s">
        <v>192</v>
      </c>
      <c r="C3054" s="108" t="s">
        <v>778</v>
      </c>
      <c r="D3054" s="112" t="s">
        <v>176</v>
      </c>
      <c r="E3054" s="112">
        <v>1721.6</v>
      </c>
      <c r="F3054" s="111" t="str">
        <f>DataPull!D3054</f>
        <v/>
      </c>
      <c r="G3054" s="94" t="str">
        <f t="shared" si="2"/>
        <v/>
      </c>
      <c r="H3054" s="94" t="str">
        <f t="shared" si="3"/>
        <v/>
      </c>
      <c r="I3054" s="94" t="str">
        <f t="shared" ref="I3054:J3054" si="3055">if(G3054 = "", , -G3054)</f>
        <v/>
      </c>
      <c r="J3054" s="94" t="str">
        <f t="shared" si="3055"/>
        <v/>
      </c>
      <c r="K3054" s="100"/>
      <c r="L3054" s="100"/>
      <c r="N3054" s="100"/>
      <c r="O3054" s="100"/>
      <c r="P3054" s="100"/>
    </row>
    <row r="3055">
      <c r="A3055" s="107">
        <v>203953.0</v>
      </c>
      <c r="B3055" s="108" t="s">
        <v>193</v>
      </c>
      <c r="C3055" s="108" t="s">
        <v>778</v>
      </c>
      <c r="D3055" s="112" t="s">
        <v>176</v>
      </c>
      <c r="E3055" s="112">
        <v>919.6</v>
      </c>
      <c r="F3055" s="111" t="str">
        <f>DataPull!D3055</f>
        <v/>
      </c>
      <c r="G3055" s="94" t="str">
        <f t="shared" si="2"/>
        <v/>
      </c>
      <c r="H3055" s="94" t="str">
        <f t="shared" si="3"/>
        <v/>
      </c>
      <c r="I3055" s="94" t="str">
        <f t="shared" ref="I3055:J3055" si="3056">if(G3055 = "", , -G3055)</f>
        <v/>
      </c>
      <c r="J3055" s="94" t="str">
        <f t="shared" si="3056"/>
        <v/>
      </c>
      <c r="K3055" s="100"/>
      <c r="M3055" s="100"/>
      <c r="N3055" s="100"/>
      <c r="O3055" s="100"/>
      <c r="P3055" s="100"/>
    </row>
    <row r="3056">
      <c r="A3056" s="107">
        <v>203953.0</v>
      </c>
      <c r="B3056" s="108" t="s">
        <v>243</v>
      </c>
      <c r="C3056" s="108" t="s">
        <v>778</v>
      </c>
      <c r="D3056" s="112" t="s">
        <v>187</v>
      </c>
      <c r="E3056" s="112">
        <v>165.1</v>
      </c>
      <c r="F3056" s="111" t="str">
        <f>DataPull!D3056</f>
        <v/>
      </c>
      <c r="G3056" s="94" t="str">
        <f t="shared" si="2"/>
        <v/>
      </c>
      <c r="H3056" s="94" t="str">
        <f t="shared" si="3"/>
        <v/>
      </c>
      <c r="I3056" s="94" t="str">
        <f t="shared" ref="I3056:J3056" si="3057">if(G3056 = "", , -G3056)</f>
        <v/>
      </c>
      <c r="J3056" s="94" t="str">
        <f t="shared" si="3057"/>
        <v/>
      </c>
      <c r="K3056" s="100"/>
      <c r="M3056" s="100"/>
      <c r="N3056" s="100"/>
      <c r="O3056" s="100"/>
      <c r="P3056" s="100"/>
    </row>
    <row r="3057">
      <c r="A3057" s="107">
        <v>203953.0</v>
      </c>
      <c r="B3057" s="108" t="s">
        <v>215</v>
      </c>
      <c r="C3057" s="108" t="s">
        <v>778</v>
      </c>
      <c r="D3057" s="112" t="s">
        <v>187</v>
      </c>
      <c r="E3057" s="112">
        <v>112.8</v>
      </c>
      <c r="F3057" s="111" t="str">
        <f>DataPull!D3057</f>
        <v/>
      </c>
      <c r="G3057" s="94" t="str">
        <f t="shared" si="2"/>
        <v/>
      </c>
      <c r="H3057" s="94" t="str">
        <f t="shared" si="3"/>
        <v/>
      </c>
      <c r="I3057" s="94" t="str">
        <f t="shared" ref="I3057:J3057" si="3058">if(G3057 = "", , -G3057)</f>
        <v/>
      </c>
      <c r="J3057" s="94" t="str">
        <f t="shared" si="3058"/>
        <v/>
      </c>
      <c r="K3057" s="100"/>
      <c r="M3057" s="100"/>
      <c r="N3057" s="100"/>
      <c r="P3057" s="100"/>
    </row>
    <row r="3058">
      <c r="A3058" s="107">
        <v>203954.0</v>
      </c>
      <c r="B3058" s="108" t="s">
        <v>190</v>
      </c>
      <c r="C3058" s="108" t="s">
        <v>779</v>
      </c>
      <c r="D3058" s="112" t="s">
        <v>176</v>
      </c>
      <c r="E3058" s="112">
        <v>787.4</v>
      </c>
      <c r="F3058" s="111" t="str">
        <f>DataPull!D3058</f>
        <v/>
      </c>
      <c r="G3058" s="94" t="str">
        <f t="shared" si="2"/>
        <v/>
      </c>
      <c r="H3058" s="94" t="str">
        <f t="shared" si="3"/>
        <v/>
      </c>
      <c r="I3058" s="94" t="str">
        <f t="shared" ref="I3058:J3058" si="3059">if(G3058 = "", , -G3058)</f>
        <v/>
      </c>
      <c r="J3058" s="94" t="str">
        <f t="shared" si="3059"/>
        <v/>
      </c>
      <c r="K3058" s="100"/>
      <c r="M3058" s="100"/>
      <c r="N3058" s="100"/>
      <c r="O3058" s="100"/>
      <c r="P3058" s="100"/>
    </row>
    <row r="3059">
      <c r="A3059" s="107">
        <v>203954.0</v>
      </c>
      <c r="B3059" s="108" t="s">
        <v>191</v>
      </c>
      <c r="C3059" s="108" t="s">
        <v>779</v>
      </c>
      <c r="D3059" s="112" t="s">
        <v>184</v>
      </c>
      <c r="E3059" s="112">
        <v>1915.2</v>
      </c>
      <c r="F3059" s="111" t="str">
        <f>DataPull!D3059</f>
        <v/>
      </c>
      <c r="G3059" s="94" t="str">
        <f t="shared" si="2"/>
        <v/>
      </c>
      <c r="H3059" s="94" t="str">
        <f t="shared" si="3"/>
        <v/>
      </c>
      <c r="I3059" s="94" t="str">
        <f t="shared" ref="I3059:J3059" si="3060">if(G3059 = "", , -G3059)</f>
        <v/>
      </c>
      <c r="J3059" s="94" t="str">
        <f t="shared" si="3060"/>
        <v/>
      </c>
      <c r="K3059" s="100"/>
      <c r="M3059" s="100"/>
      <c r="N3059" s="100"/>
      <c r="O3059" s="100"/>
      <c r="P3059" s="100"/>
    </row>
    <row r="3060">
      <c r="A3060" s="107">
        <v>203954.0</v>
      </c>
      <c r="B3060" s="108" t="s">
        <v>192</v>
      </c>
      <c r="C3060" s="108" t="s">
        <v>779</v>
      </c>
      <c r="D3060" s="112" t="s">
        <v>184</v>
      </c>
      <c r="E3060" s="112">
        <v>2156.8</v>
      </c>
      <c r="F3060" s="111" t="str">
        <f>DataPull!D3060</f>
        <v/>
      </c>
      <c r="G3060" s="94" t="str">
        <f t="shared" si="2"/>
        <v/>
      </c>
      <c r="H3060" s="94" t="str">
        <f t="shared" si="3"/>
        <v/>
      </c>
      <c r="I3060" s="94" t="str">
        <f t="shared" ref="I3060:J3060" si="3061">if(G3060 = "", , -G3060)</f>
        <v/>
      </c>
      <c r="J3060" s="94" t="str">
        <f t="shared" si="3061"/>
        <v/>
      </c>
      <c r="K3060" s="100"/>
      <c r="M3060" s="100"/>
      <c r="N3060" s="100"/>
      <c r="O3060" s="100"/>
      <c r="P3060" s="100"/>
    </row>
    <row r="3061">
      <c r="A3061" s="107">
        <v>203954.0</v>
      </c>
      <c r="B3061" s="108" t="s">
        <v>193</v>
      </c>
      <c r="C3061" s="108" t="s">
        <v>779</v>
      </c>
      <c r="D3061" s="112" t="s">
        <v>184</v>
      </c>
      <c r="E3061" s="112">
        <v>1504.5</v>
      </c>
      <c r="F3061" s="111" t="str">
        <f>DataPull!D3061</f>
        <v/>
      </c>
      <c r="G3061" s="94" t="str">
        <f t="shared" si="2"/>
        <v/>
      </c>
      <c r="H3061" s="94" t="str">
        <f t="shared" si="3"/>
        <v/>
      </c>
      <c r="I3061" s="94" t="str">
        <f t="shared" ref="I3061:J3061" si="3062">if(G3061 = "", , -G3061)</f>
        <v/>
      </c>
      <c r="J3061" s="94" t="str">
        <f t="shared" si="3062"/>
        <v/>
      </c>
      <c r="K3061" s="100"/>
      <c r="M3061" s="100"/>
      <c r="N3061" s="100"/>
      <c r="O3061" s="100"/>
      <c r="P3061" s="100"/>
    </row>
    <row r="3062">
      <c r="A3062" s="107">
        <v>203954.0</v>
      </c>
      <c r="B3062" s="108" t="s">
        <v>243</v>
      </c>
      <c r="C3062" s="108" t="s">
        <v>779</v>
      </c>
      <c r="D3062" s="112" t="s">
        <v>184</v>
      </c>
      <c r="E3062" s="112">
        <v>1586.1</v>
      </c>
      <c r="F3062" s="111" t="str">
        <f>DataPull!D3062</f>
        <v/>
      </c>
      <c r="G3062" s="94" t="str">
        <f t="shared" si="2"/>
        <v/>
      </c>
      <c r="H3062" s="94" t="str">
        <f t="shared" si="3"/>
        <v/>
      </c>
      <c r="I3062" s="94" t="str">
        <f t="shared" ref="I3062:J3062" si="3063">if(G3062 = "", , -G3062)</f>
        <v/>
      </c>
      <c r="J3062" s="94" t="str">
        <f t="shared" si="3063"/>
        <v/>
      </c>
      <c r="K3062" s="100"/>
      <c r="M3062" s="100"/>
      <c r="N3062" s="100"/>
      <c r="O3062" s="100"/>
      <c r="P3062" s="100"/>
    </row>
    <row r="3063">
      <c r="A3063" s="107">
        <v>203954.0</v>
      </c>
      <c r="B3063" s="108" t="s">
        <v>215</v>
      </c>
      <c r="C3063" s="108" t="s">
        <v>779</v>
      </c>
      <c r="D3063" s="112" t="s">
        <v>184</v>
      </c>
      <c r="E3063" s="112">
        <v>2298.4</v>
      </c>
      <c r="F3063" s="111" t="str">
        <f>DataPull!D3063</f>
        <v/>
      </c>
      <c r="G3063" s="94" t="str">
        <f t="shared" si="2"/>
        <v/>
      </c>
      <c r="H3063" s="94" t="str">
        <f t="shared" si="3"/>
        <v/>
      </c>
      <c r="I3063" s="94" t="str">
        <f t="shared" ref="I3063:J3063" si="3064">if(G3063 = "", , -G3063)</f>
        <v/>
      </c>
      <c r="J3063" s="94" t="str">
        <f t="shared" si="3064"/>
        <v/>
      </c>
      <c r="K3063" s="100"/>
      <c r="M3063" s="100"/>
      <c r="N3063" s="100"/>
      <c r="O3063" s="100"/>
      <c r="P3063" s="100"/>
    </row>
    <row r="3064">
      <c r="A3064" s="107">
        <v>203954.0</v>
      </c>
      <c r="B3064" s="108" t="s">
        <v>244</v>
      </c>
      <c r="C3064" s="108" t="s">
        <v>779</v>
      </c>
      <c r="D3064" s="112" t="s">
        <v>184</v>
      </c>
      <c r="E3064" s="112">
        <v>2283.6</v>
      </c>
      <c r="F3064" s="111" t="str">
        <f>DataPull!D3064</f>
        <v/>
      </c>
      <c r="G3064" s="94" t="str">
        <f t="shared" si="2"/>
        <v/>
      </c>
      <c r="H3064" s="94" t="str">
        <f t="shared" si="3"/>
        <v/>
      </c>
      <c r="I3064" s="94" t="str">
        <f t="shared" ref="I3064:J3064" si="3065">if(G3064 = "", , -G3064)</f>
        <v/>
      </c>
      <c r="J3064" s="94" t="str">
        <f t="shared" si="3065"/>
        <v/>
      </c>
      <c r="K3064" s="100"/>
      <c r="M3064" s="100"/>
      <c r="N3064" s="100"/>
      <c r="O3064" s="100"/>
      <c r="P3064" s="100"/>
    </row>
    <row r="3065">
      <c r="A3065" s="107">
        <v>203954.0</v>
      </c>
      <c r="B3065" s="108" t="s">
        <v>245</v>
      </c>
      <c r="C3065" s="108" t="s">
        <v>779</v>
      </c>
      <c r="D3065" s="112" t="s">
        <v>184</v>
      </c>
      <c r="E3065" s="112">
        <v>1310.4</v>
      </c>
      <c r="F3065" s="111" t="str">
        <f>DataPull!D3065</f>
        <v/>
      </c>
      <c r="G3065" s="94" t="str">
        <f t="shared" si="2"/>
        <v/>
      </c>
      <c r="H3065" s="94" t="str">
        <f t="shared" si="3"/>
        <v/>
      </c>
      <c r="I3065" s="94" t="str">
        <f t="shared" ref="I3065:J3065" si="3066">if(G3065 = "", , -G3065)</f>
        <v/>
      </c>
      <c r="J3065" s="94" t="str">
        <f t="shared" si="3066"/>
        <v/>
      </c>
      <c r="K3065" s="100"/>
      <c r="M3065" s="100"/>
      <c r="N3065" s="100"/>
      <c r="O3065" s="100"/>
      <c r="P3065" s="100"/>
    </row>
    <row r="3066">
      <c r="A3066" s="107">
        <v>203954.0</v>
      </c>
      <c r="B3066" s="108" t="s">
        <v>246</v>
      </c>
      <c r="C3066" s="108" t="s">
        <v>779</v>
      </c>
      <c r="D3066" s="112" t="s">
        <v>176</v>
      </c>
      <c r="E3066" s="112">
        <v>573.8</v>
      </c>
      <c r="F3066" s="111" t="str">
        <f>DataPull!D3066</f>
        <v/>
      </c>
      <c r="G3066" s="94" t="str">
        <f t="shared" si="2"/>
        <v/>
      </c>
      <c r="H3066" s="94" t="str">
        <f t="shared" si="3"/>
        <v/>
      </c>
      <c r="I3066" s="94" t="str">
        <f t="shared" ref="I3066:J3066" si="3067">if(G3066 = "", , -G3066)</f>
        <v/>
      </c>
      <c r="J3066" s="94" t="str">
        <f t="shared" si="3067"/>
        <v/>
      </c>
      <c r="K3066" s="100"/>
      <c r="L3066" s="100"/>
      <c r="N3066" s="100"/>
      <c r="O3066" s="100"/>
      <c r="P3066" s="100"/>
    </row>
    <row r="3067">
      <c r="A3067" s="114">
        <v>203954.0</v>
      </c>
      <c r="B3067" s="113" t="s">
        <v>247</v>
      </c>
      <c r="C3067" s="113" t="s">
        <v>779</v>
      </c>
      <c r="D3067" s="112" t="s">
        <v>184</v>
      </c>
      <c r="E3067" s="112">
        <v>1200.8</v>
      </c>
      <c r="F3067" s="111" t="str">
        <f>DataPull!D3067</f>
        <v/>
      </c>
      <c r="G3067" s="94" t="str">
        <f t="shared" si="2"/>
        <v/>
      </c>
      <c r="H3067" s="94" t="str">
        <f t="shared" si="3"/>
        <v/>
      </c>
      <c r="I3067" s="94" t="str">
        <f t="shared" ref="I3067:J3067" si="3068">if(G3067 = "", , -G3067)</f>
        <v/>
      </c>
      <c r="J3067" s="94" t="str">
        <f t="shared" si="3068"/>
        <v/>
      </c>
      <c r="K3067" s="100"/>
      <c r="M3067" s="100"/>
      <c r="N3067" s="100"/>
      <c r="O3067" s="100"/>
      <c r="P3067" s="100"/>
    </row>
    <row r="3068">
      <c r="A3068" s="107">
        <v>203955.0</v>
      </c>
      <c r="B3068" s="108" t="s">
        <v>90</v>
      </c>
      <c r="C3068" s="108" t="s">
        <v>780</v>
      </c>
      <c r="D3068" s="112" t="s">
        <v>187</v>
      </c>
      <c r="E3068" s="112">
        <v>159.0</v>
      </c>
      <c r="F3068" s="111" t="str">
        <f>DataPull!D3068</f>
        <v/>
      </c>
      <c r="G3068" s="94" t="str">
        <f t="shared" si="2"/>
        <v/>
      </c>
      <c r="H3068" s="94" t="str">
        <f t="shared" si="3"/>
        <v/>
      </c>
      <c r="I3068" s="94" t="str">
        <f t="shared" ref="I3068:J3068" si="3069">if(G3068 = "", , -G3068)</f>
        <v/>
      </c>
      <c r="J3068" s="94" t="str">
        <f t="shared" si="3069"/>
        <v/>
      </c>
      <c r="K3068" s="100"/>
      <c r="M3068" s="100"/>
      <c r="N3068" s="100"/>
      <c r="O3068" s="100"/>
      <c r="P3068" s="100"/>
    </row>
    <row r="3069">
      <c r="A3069" s="107">
        <v>203955.0</v>
      </c>
      <c r="B3069" s="108" t="s">
        <v>92</v>
      </c>
      <c r="C3069" s="108" t="s">
        <v>780</v>
      </c>
      <c r="D3069" s="112" t="s">
        <v>181</v>
      </c>
      <c r="E3069" s="112">
        <v>38.4</v>
      </c>
      <c r="F3069" s="111" t="str">
        <f>DataPull!D3069</f>
        <v/>
      </c>
      <c r="G3069" s="94" t="str">
        <f t="shared" si="2"/>
        <v/>
      </c>
      <c r="H3069" s="94" t="str">
        <f t="shared" si="3"/>
        <v/>
      </c>
      <c r="I3069" s="94" t="str">
        <f t="shared" ref="I3069:J3069" si="3070">if(G3069 = "", , -G3069)</f>
        <v/>
      </c>
      <c r="J3069" s="94" t="str">
        <f t="shared" si="3070"/>
        <v/>
      </c>
      <c r="K3069" s="100"/>
      <c r="M3069" s="100"/>
      <c r="N3069" s="100"/>
      <c r="O3069" s="100"/>
      <c r="P3069" s="100"/>
    </row>
    <row r="3070">
      <c r="A3070" s="107">
        <v>203956.0</v>
      </c>
      <c r="B3070" s="108" t="s">
        <v>90</v>
      </c>
      <c r="C3070" s="108" t="s">
        <v>781</v>
      </c>
      <c r="D3070" s="112" t="s">
        <v>177</v>
      </c>
      <c r="E3070" s="112">
        <v>486.4</v>
      </c>
      <c r="F3070" s="111" t="str">
        <f>DataPull!D3070</f>
        <v/>
      </c>
      <c r="G3070" s="94" t="str">
        <f t="shared" si="2"/>
        <v/>
      </c>
      <c r="H3070" s="94" t="str">
        <f t="shared" si="3"/>
        <v/>
      </c>
      <c r="I3070" s="94" t="str">
        <f t="shared" ref="I3070:J3070" si="3071">if(G3070 = "", , -G3070)</f>
        <v/>
      </c>
      <c r="J3070" s="94" t="str">
        <f t="shared" si="3071"/>
        <v/>
      </c>
      <c r="K3070" s="100"/>
      <c r="M3070" s="100"/>
      <c r="N3070" s="100"/>
      <c r="O3070" s="100"/>
      <c r="P3070" s="100"/>
    </row>
    <row r="3071">
      <c r="A3071" s="107">
        <v>203956.0</v>
      </c>
      <c r="B3071" s="108" t="s">
        <v>92</v>
      </c>
      <c r="C3071" s="108" t="s">
        <v>781</v>
      </c>
      <c r="D3071" s="112" t="s">
        <v>187</v>
      </c>
      <c r="E3071" s="112">
        <v>72.0</v>
      </c>
      <c r="F3071" s="111" t="str">
        <f>DataPull!D3071</f>
        <v/>
      </c>
      <c r="G3071" s="94" t="str">
        <f t="shared" si="2"/>
        <v/>
      </c>
      <c r="H3071" s="94" t="str">
        <f t="shared" si="3"/>
        <v/>
      </c>
      <c r="I3071" s="94" t="str">
        <f t="shared" ref="I3071:J3071" si="3072">if(G3071 = "", , -G3071)</f>
        <v/>
      </c>
      <c r="J3071" s="94" t="str">
        <f t="shared" si="3072"/>
        <v/>
      </c>
      <c r="K3071" s="100"/>
      <c r="M3071" s="100"/>
      <c r="N3071" s="100"/>
      <c r="O3071" s="100"/>
      <c r="P3071" s="100"/>
    </row>
    <row r="3072">
      <c r="A3072" s="107">
        <v>203957.0</v>
      </c>
      <c r="B3072" s="108" t="s">
        <v>90</v>
      </c>
      <c r="C3072" s="108" t="s">
        <v>782</v>
      </c>
      <c r="D3072" s="112" t="s">
        <v>176</v>
      </c>
      <c r="E3072" s="112">
        <v>1820.4</v>
      </c>
      <c r="F3072" s="111" t="str">
        <f>DataPull!D3072</f>
        <v/>
      </c>
      <c r="G3072" s="94" t="str">
        <f t="shared" si="2"/>
        <v/>
      </c>
      <c r="H3072" s="94" t="str">
        <f t="shared" si="3"/>
        <v/>
      </c>
      <c r="I3072" s="94" t="str">
        <f t="shared" ref="I3072:J3072" si="3073">if(G3072 = "", , -G3072)</f>
        <v/>
      </c>
      <c r="J3072" s="94" t="str">
        <f t="shared" si="3073"/>
        <v/>
      </c>
      <c r="K3072" s="100"/>
      <c r="M3072" s="100"/>
      <c r="N3072" s="100"/>
      <c r="O3072" s="100"/>
      <c r="P3072" s="100"/>
    </row>
    <row r="3073">
      <c r="A3073" s="107">
        <v>203957.0</v>
      </c>
      <c r="B3073" s="108" t="s">
        <v>190</v>
      </c>
      <c r="C3073" s="108" t="s">
        <v>782</v>
      </c>
      <c r="D3073" s="112" t="s">
        <v>177</v>
      </c>
      <c r="E3073" s="112">
        <v>1227.6</v>
      </c>
      <c r="F3073" s="111" t="str">
        <f>DataPull!D3073</f>
        <v/>
      </c>
      <c r="G3073" s="94" t="str">
        <f t="shared" si="2"/>
        <v/>
      </c>
      <c r="H3073" s="94" t="str">
        <f t="shared" si="3"/>
        <v/>
      </c>
      <c r="I3073" s="94" t="str">
        <f t="shared" ref="I3073:J3073" si="3074">if(G3073 = "", , -G3073)</f>
        <v/>
      </c>
      <c r="J3073" s="94" t="str">
        <f t="shared" si="3074"/>
        <v/>
      </c>
      <c r="K3073" s="100"/>
      <c r="M3073" s="100"/>
      <c r="N3073" s="100"/>
      <c r="O3073" s="100"/>
      <c r="P3073" s="100"/>
    </row>
    <row r="3074">
      <c r="A3074" s="107">
        <v>203957.0</v>
      </c>
      <c r="B3074" s="108" t="s">
        <v>191</v>
      </c>
      <c r="C3074" s="108" t="s">
        <v>782</v>
      </c>
      <c r="D3074" s="112" t="s">
        <v>187</v>
      </c>
      <c r="E3074" s="112">
        <v>235.2</v>
      </c>
      <c r="F3074" s="111" t="str">
        <f>DataPull!D3074</f>
        <v/>
      </c>
      <c r="G3074" s="94" t="str">
        <f t="shared" si="2"/>
        <v/>
      </c>
      <c r="H3074" s="94" t="str">
        <f t="shared" si="3"/>
        <v/>
      </c>
      <c r="I3074" s="94" t="str">
        <f t="shared" ref="I3074:J3074" si="3075">if(G3074 = "", , -G3074)</f>
        <v/>
      </c>
      <c r="J3074" s="94" t="str">
        <f t="shared" si="3075"/>
        <v/>
      </c>
      <c r="K3074" s="100"/>
      <c r="M3074" s="100"/>
      <c r="N3074" s="100"/>
      <c r="O3074" s="100"/>
      <c r="P3074" s="100"/>
    </row>
    <row r="3075">
      <c r="A3075" s="107">
        <v>203957.0</v>
      </c>
      <c r="B3075" s="108" t="s">
        <v>192</v>
      </c>
      <c r="C3075" s="108" t="s">
        <v>782</v>
      </c>
      <c r="D3075" s="112" t="s">
        <v>177</v>
      </c>
      <c r="E3075" s="112">
        <v>663.6</v>
      </c>
      <c r="F3075" s="111" t="str">
        <f>DataPull!D3075</f>
        <v/>
      </c>
      <c r="G3075" s="94" t="str">
        <f t="shared" si="2"/>
        <v/>
      </c>
      <c r="H3075" s="94" t="str">
        <f t="shared" si="3"/>
        <v/>
      </c>
      <c r="I3075" s="94" t="str">
        <f t="shared" ref="I3075:J3075" si="3076">if(G3075 = "", , -G3075)</f>
        <v/>
      </c>
      <c r="J3075" s="94" t="str">
        <f t="shared" si="3076"/>
        <v/>
      </c>
      <c r="K3075" s="100"/>
      <c r="M3075" s="100"/>
      <c r="N3075" s="100"/>
      <c r="O3075" s="100"/>
      <c r="P3075" s="100"/>
    </row>
    <row r="3076">
      <c r="A3076" s="107">
        <v>203957.0</v>
      </c>
      <c r="B3076" s="108" t="s">
        <v>193</v>
      </c>
      <c r="C3076" s="108" t="s">
        <v>782</v>
      </c>
      <c r="D3076" s="112" t="s">
        <v>177</v>
      </c>
      <c r="E3076" s="112">
        <v>486.5</v>
      </c>
      <c r="F3076" s="111" t="str">
        <f>DataPull!D3076</f>
        <v/>
      </c>
      <c r="G3076" s="94" t="str">
        <f t="shared" si="2"/>
        <v/>
      </c>
      <c r="H3076" s="94" t="str">
        <f t="shared" si="3"/>
        <v/>
      </c>
      <c r="I3076" s="94" t="str">
        <f t="shared" ref="I3076:J3076" si="3077">if(G3076 = "", , -G3076)</f>
        <v/>
      </c>
      <c r="J3076" s="94" t="str">
        <f t="shared" si="3077"/>
        <v/>
      </c>
      <c r="K3076" s="100"/>
      <c r="L3076" s="100"/>
      <c r="M3076" s="100"/>
      <c r="N3076" s="100"/>
      <c r="O3076" s="100"/>
      <c r="P3076" s="100"/>
    </row>
    <row r="3077">
      <c r="A3077" s="107">
        <v>203957.0</v>
      </c>
      <c r="B3077" s="108" t="s">
        <v>243</v>
      </c>
      <c r="C3077" s="108" t="s">
        <v>782</v>
      </c>
      <c r="D3077" s="112" t="s">
        <v>181</v>
      </c>
      <c r="E3077" s="112">
        <v>116.4</v>
      </c>
      <c r="F3077" s="111" t="str">
        <f>DataPull!D3077</f>
        <v/>
      </c>
      <c r="G3077" s="94" t="str">
        <f t="shared" si="2"/>
        <v/>
      </c>
      <c r="H3077" s="94" t="str">
        <f t="shared" si="3"/>
        <v/>
      </c>
      <c r="I3077" s="94" t="str">
        <f t="shared" ref="I3077:J3077" si="3078">if(G3077 = "", , -G3077)</f>
        <v/>
      </c>
      <c r="J3077" s="94" t="str">
        <f t="shared" si="3078"/>
        <v/>
      </c>
      <c r="K3077" s="100"/>
      <c r="M3077" s="100"/>
      <c r="N3077" s="100"/>
      <c r="O3077" s="100"/>
      <c r="P3077" s="100"/>
    </row>
    <row r="3078">
      <c r="A3078" s="107">
        <v>203957.0</v>
      </c>
      <c r="B3078" s="108" t="s">
        <v>245</v>
      </c>
      <c r="C3078" s="108" t="s">
        <v>782</v>
      </c>
      <c r="D3078" s="112" t="s">
        <v>177</v>
      </c>
      <c r="E3078" s="112">
        <v>1089.0</v>
      </c>
      <c r="F3078" s="111" t="str">
        <f>DataPull!D3078</f>
        <v/>
      </c>
      <c r="G3078" s="94" t="str">
        <f t="shared" si="2"/>
        <v/>
      </c>
      <c r="H3078" s="94" t="str">
        <f t="shared" si="3"/>
        <v/>
      </c>
      <c r="I3078" s="94" t="str">
        <f t="shared" ref="I3078:J3078" si="3079">if(G3078 = "", , -G3078)</f>
        <v/>
      </c>
      <c r="J3078" s="94" t="str">
        <f t="shared" si="3079"/>
        <v/>
      </c>
      <c r="K3078" s="100"/>
      <c r="L3078" s="100"/>
      <c r="N3078" s="100"/>
      <c r="O3078" s="100"/>
      <c r="P3078" s="100"/>
    </row>
    <row r="3079">
      <c r="A3079" s="107">
        <v>203957.0</v>
      </c>
      <c r="B3079" s="108" t="s">
        <v>246</v>
      </c>
      <c r="C3079" s="108" t="s">
        <v>782</v>
      </c>
      <c r="D3079" s="112" t="s">
        <v>177</v>
      </c>
      <c r="E3079" s="112">
        <v>372.0</v>
      </c>
      <c r="F3079" s="111" t="str">
        <f>DataPull!D3079</f>
        <v/>
      </c>
      <c r="G3079" s="94" t="str">
        <f t="shared" si="2"/>
        <v/>
      </c>
      <c r="H3079" s="94" t="str">
        <f t="shared" si="3"/>
        <v/>
      </c>
      <c r="I3079" s="94" t="str">
        <f t="shared" ref="I3079:J3079" si="3080">if(G3079 = "", , -G3079)</f>
        <v/>
      </c>
      <c r="J3079" s="94" t="str">
        <f t="shared" si="3080"/>
        <v/>
      </c>
      <c r="K3079" s="100"/>
      <c r="M3079" s="100"/>
      <c r="N3079" s="100"/>
      <c r="O3079" s="100"/>
      <c r="P3079" s="100"/>
    </row>
    <row r="3080">
      <c r="A3080" s="107">
        <v>203958.0</v>
      </c>
      <c r="B3080" s="108" t="s">
        <v>90</v>
      </c>
      <c r="C3080" s="108" t="s">
        <v>783</v>
      </c>
      <c r="D3080" s="112" t="s">
        <v>181</v>
      </c>
      <c r="E3080" s="112">
        <v>21.6</v>
      </c>
      <c r="F3080" s="111" t="str">
        <f>DataPull!D3080</f>
        <v/>
      </c>
      <c r="G3080" s="94" t="str">
        <f t="shared" si="2"/>
        <v/>
      </c>
      <c r="H3080" s="94" t="str">
        <f t="shared" si="3"/>
        <v/>
      </c>
      <c r="I3080" s="94" t="str">
        <f t="shared" ref="I3080:J3080" si="3081">if(G3080 = "", , -G3080)</f>
        <v/>
      </c>
      <c r="J3080" s="94" t="str">
        <f t="shared" si="3081"/>
        <v/>
      </c>
      <c r="K3080" s="100"/>
      <c r="M3080" s="100"/>
      <c r="N3080" s="100"/>
      <c r="O3080" s="100"/>
      <c r="P3080" s="100"/>
    </row>
    <row r="3081">
      <c r="A3081" s="107">
        <v>203960.0</v>
      </c>
      <c r="B3081" s="108" t="s">
        <v>90</v>
      </c>
      <c r="C3081" s="108" t="s">
        <v>784</v>
      </c>
      <c r="D3081" s="112" t="s">
        <v>177</v>
      </c>
      <c r="E3081" s="112">
        <v>1132.2</v>
      </c>
      <c r="F3081" s="111" t="str">
        <f>DataPull!D3081</f>
        <v/>
      </c>
      <c r="G3081" s="94" t="str">
        <f t="shared" si="2"/>
        <v/>
      </c>
      <c r="H3081" s="94" t="str">
        <f t="shared" si="3"/>
        <v/>
      </c>
      <c r="I3081" s="94" t="str">
        <f t="shared" ref="I3081:J3081" si="3082">if(G3081 = "", , -G3081)</f>
        <v/>
      </c>
      <c r="J3081" s="94" t="str">
        <f t="shared" si="3082"/>
        <v/>
      </c>
      <c r="K3081" s="100"/>
      <c r="M3081" s="100"/>
      <c r="N3081" s="100"/>
      <c r="O3081" s="100"/>
      <c r="P3081" s="100"/>
    </row>
    <row r="3082">
      <c r="A3082" s="107">
        <v>203960.0</v>
      </c>
      <c r="B3082" s="108" t="s">
        <v>92</v>
      </c>
      <c r="C3082" s="108" t="s">
        <v>784</v>
      </c>
      <c r="D3082" s="112" t="s">
        <v>177</v>
      </c>
      <c r="E3082" s="112">
        <v>1160.7</v>
      </c>
      <c r="F3082" s="111" t="str">
        <f>DataPull!D3082</f>
        <v/>
      </c>
      <c r="G3082" s="94" t="str">
        <f t="shared" si="2"/>
        <v/>
      </c>
      <c r="H3082" s="94" t="str">
        <f t="shared" si="3"/>
        <v/>
      </c>
      <c r="I3082" s="94" t="str">
        <f t="shared" ref="I3082:J3082" si="3083">if(G3082 = "", , -G3082)</f>
        <v/>
      </c>
      <c r="J3082" s="94" t="str">
        <f t="shared" si="3083"/>
        <v/>
      </c>
      <c r="K3082" s="100"/>
      <c r="M3082" s="100"/>
      <c r="N3082" s="100"/>
      <c r="O3082" s="100"/>
      <c r="P3082" s="100"/>
    </row>
    <row r="3083">
      <c r="A3083" s="107">
        <v>203960.0</v>
      </c>
      <c r="B3083" s="108" t="s">
        <v>191</v>
      </c>
      <c r="C3083" s="108" t="s">
        <v>784</v>
      </c>
      <c r="D3083" s="112" t="s">
        <v>177</v>
      </c>
      <c r="E3083" s="112">
        <v>343.2</v>
      </c>
      <c r="F3083" s="111" t="str">
        <f>DataPull!D3083</f>
        <v/>
      </c>
      <c r="G3083" s="94" t="str">
        <f t="shared" si="2"/>
        <v/>
      </c>
      <c r="H3083" s="94" t="str">
        <f t="shared" si="3"/>
        <v/>
      </c>
      <c r="I3083" s="94" t="str">
        <f t="shared" ref="I3083:J3083" si="3084">if(G3083 = "", , -G3083)</f>
        <v/>
      </c>
      <c r="J3083" s="94" t="str">
        <f t="shared" si="3084"/>
        <v/>
      </c>
      <c r="K3083" s="100"/>
      <c r="M3083" s="100"/>
      <c r="N3083" s="100"/>
      <c r="O3083" s="100"/>
      <c r="P3083" s="100"/>
    </row>
    <row r="3084">
      <c r="A3084" s="107">
        <v>203960.0</v>
      </c>
      <c r="B3084" s="108" t="s">
        <v>192</v>
      </c>
      <c r="C3084" s="108" t="s">
        <v>784</v>
      </c>
      <c r="D3084" s="112" t="s">
        <v>181</v>
      </c>
      <c r="E3084" s="112">
        <v>127.2</v>
      </c>
      <c r="F3084" s="111" t="str">
        <f>DataPull!D3084</f>
        <v/>
      </c>
      <c r="G3084" s="94" t="str">
        <f t="shared" si="2"/>
        <v/>
      </c>
      <c r="H3084" s="94" t="str">
        <f t="shared" si="3"/>
        <v/>
      </c>
      <c r="I3084" s="94" t="str">
        <f t="shared" ref="I3084:J3084" si="3085">if(G3084 = "", , -G3084)</f>
        <v/>
      </c>
      <c r="J3084" s="94" t="str">
        <f t="shared" si="3085"/>
        <v/>
      </c>
      <c r="K3084" s="100"/>
      <c r="M3084" s="100"/>
      <c r="N3084" s="100"/>
      <c r="O3084" s="100"/>
      <c r="P3084" s="100"/>
    </row>
    <row r="3085">
      <c r="A3085" s="107">
        <v>203960.0</v>
      </c>
      <c r="B3085" s="108" t="s">
        <v>193</v>
      </c>
      <c r="C3085" s="108" t="s">
        <v>784</v>
      </c>
      <c r="D3085" s="112" t="s">
        <v>177</v>
      </c>
      <c r="E3085" s="112">
        <v>469.2</v>
      </c>
      <c r="F3085" s="111" t="str">
        <f>DataPull!D3085</f>
        <v/>
      </c>
      <c r="G3085" s="94" t="str">
        <f t="shared" si="2"/>
        <v/>
      </c>
      <c r="H3085" s="94" t="str">
        <f t="shared" si="3"/>
        <v/>
      </c>
      <c r="I3085" s="94" t="str">
        <f t="shared" ref="I3085:J3085" si="3086">if(G3085 = "", , -G3085)</f>
        <v/>
      </c>
      <c r="J3085" s="94" t="str">
        <f t="shared" si="3086"/>
        <v/>
      </c>
      <c r="K3085" s="100"/>
      <c r="M3085" s="100"/>
      <c r="N3085" s="100"/>
      <c r="O3085" s="100"/>
      <c r="P3085" s="100"/>
    </row>
    <row r="3086">
      <c r="A3086" s="107">
        <v>203960.0</v>
      </c>
      <c r="B3086" s="108" t="s">
        <v>243</v>
      </c>
      <c r="C3086" s="108" t="s">
        <v>784</v>
      </c>
      <c r="D3086" s="112" t="s">
        <v>177</v>
      </c>
      <c r="E3086" s="112">
        <v>316.1</v>
      </c>
      <c r="F3086" s="111" t="str">
        <f>DataPull!D3086</f>
        <v/>
      </c>
      <c r="G3086" s="94" t="str">
        <f t="shared" si="2"/>
        <v/>
      </c>
      <c r="H3086" s="94" t="str">
        <f t="shared" si="3"/>
        <v/>
      </c>
      <c r="I3086" s="94" t="str">
        <f t="shared" ref="I3086:J3086" si="3087">if(G3086 = "", , -G3086)</f>
        <v/>
      </c>
      <c r="J3086" s="94" t="str">
        <f t="shared" si="3087"/>
        <v/>
      </c>
      <c r="K3086" s="100"/>
      <c r="M3086" s="100"/>
      <c r="N3086" s="100"/>
      <c r="O3086" s="100"/>
      <c r="P3086" s="100"/>
    </row>
    <row r="3087">
      <c r="A3087" s="107">
        <v>203961.0</v>
      </c>
      <c r="B3087" s="108" t="s">
        <v>90</v>
      </c>
      <c r="C3087" s="108" t="s">
        <v>785</v>
      </c>
      <c r="D3087" s="112" t="s">
        <v>181</v>
      </c>
      <c r="E3087" s="112">
        <v>2.1</v>
      </c>
      <c r="F3087" s="111" t="str">
        <f>DataPull!D3087</f>
        <v/>
      </c>
      <c r="G3087" s="94" t="str">
        <f t="shared" si="2"/>
        <v/>
      </c>
      <c r="H3087" s="94" t="str">
        <f t="shared" si="3"/>
        <v/>
      </c>
      <c r="I3087" s="94" t="str">
        <f t="shared" ref="I3087:J3087" si="3088">if(G3087 = "", , -G3087)</f>
        <v/>
      </c>
      <c r="J3087" s="94" t="str">
        <f t="shared" si="3088"/>
        <v/>
      </c>
      <c r="K3087" s="100"/>
      <c r="L3087" s="100"/>
      <c r="M3087" s="100"/>
      <c r="N3087" s="100"/>
      <c r="O3087" s="100"/>
      <c r="P3087" s="100"/>
    </row>
    <row r="3088">
      <c r="A3088" s="107">
        <v>203961.0</v>
      </c>
      <c r="B3088" s="108" t="s">
        <v>92</v>
      </c>
      <c r="C3088" s="108" t="s">
        <v>785</v>
      </c>
      <c r="D3088" s="112" t="s">
        <v>181</v>
      </c>
      <c r="E3088" s="112">
        <v>47.2</v>
      </c>
      <c r="F3088" s="111" t="str">
        <f>DataPull!D3088</f>
        <v/>
      </c>
      <c r="G3088" s="94" t="str">
        <f t="shared" si="2"/>
        <v/>
      </c>
      <c r="H3088" s="94" t="str">
        <f t="shared" si="3"/>
        <v/>
      </c>
      <c r="I3088" s="94" t="str">
        <f t="shared" ref="I3088:J3088" si="3089">if(G3088 = "", , -G3088)</f>
        <v/>
      </c>
      <c r="J3088" s="94" t="str">
        <f t="shared" si="3089"/>
        <v/>
      </c>
      <c r="K3088" s="100"/>
      <c r="M3088" s="100"/>
      <c r="N3088" s="100"/>
      <c r="O3088" s="100"/>
      <c r="P3088" s="100"/>
    </row>
    <row r="3089">
      <c r="A3089" s="107">
        <v>203961.0</v>
      </c>
      <c r="B3089" s="108" t="s">
        <v>191</v>
      </c>
      <c r="C3089" s="108" t="s">
        <v>785</v>
      </c>
      <c r="D3089" s="112" t="s">
        <v>177</v>
      </c>
      <c r="E3089" s="112">
        <v>804.0</v>
      </c>
      <c r="F3089" s="111" t="str">
        <f>DataPull!D3089</f>
        <v/>
      </c>
      <c r="G3089" s="94" t="str">
        <f t="shared" si="2"/>
        <v/>
      </c>
      <c r="H3089" s="94" t="str">
        <f t="shared" si="3"/>
        <v/>
      </c>
      <c r="I3089" s="94" t="str">
        <f t="shared" ref="I3089:J3089" si="3090">if(G3089 = "", , -G3089)</f>
        <v/>
      </c>
      <c r="J3089" s="94" t="str">
        <f t="shared" si="3090"/>
        <v/>
      </c>
      <c r="K3089" s="100"/>
      <c r="L3089" s="100"/>
      <c r="N3089" s="100"/>
      <c r="O3089" s="100"/>
      <c r="P3089" s="100"/>
    </row>
    <row r="3090">
      <c r="A3090" s="107">
        <v>203961.0</v>
      </c>
      <c r="B3090" s="108" t="s">
        <v>192</v>
      </c>
      <c r="C3090" s="108" t="s">
        <v>785</v>
      </c>
      <c r="D3090" s="112" t="s">
        <v>181</v>
      </c>
      <c r="E3090" s="112">
        <v>43.0</v>
      </c>
      <c r="F3090" s="111" t="str">
        <f>DataPull!D3090</f>
        <v/>
      </c>
      <c r="G3090" s="94" t="str">
        <f t="shared" si="2"/>
        <v/>
      </c>
      <c r="H3090" s="94" t="str">
        <f t="shared" si="3"/>
        <v/>
      </c>
      <c r="I3090" s="94" t="str">
        <f t="shared" ref="I3090:J3090" si="3091">if(G3090 = "", , -G3090)</f>
        <v/>
      </c>
      <c r="J3090" s="94" t="str">
        <f t="shared" si="3091"/>
        <v/>
      </c>
      <c r="K3090" s="100"/>
      <c r="L3090" s="100"/>
      <c r="N3090" s="100"/>
      <c r="O3090" s="100"/>
      <c r="P3090" s="100"/>
    </row>
    <row r="3091">
      <c r="A3091" s="107">
        <v>203962.0</v>
      </c>
      <c r="B3091" s="108" t="s">
        <v>92</v>
      </c>
      <c r="C3091" s="108" t="s">
        <v>786</v>
      </c>
      <c r="D3091" s="112" t="s">
        <v>181</v>
      </c>
      <c r="E3091" s="112">
        <v>55.0</v>
      </c>
      <c r="F3091" s="111" t="str">
        <f>DataPull!D3091</f>
        <v/>
      </c>
      <c r="G3091" s="94" t="str">
        <f t="shared" si="2"/>
        <v/>
      </c>
      <c r="H3091" s="94" t="str">
        <f t="shared" si="3"/>
        <v/>
      </c>
      <c r="I3091" s="94" t="str">
        <f t="shared" ref="I3091:J3091" si="3092">if(G3091 = "", , -G3091)</f>
        <v/>
      </c>
      <c r="J3091" s="94" t="str">
        <f t="shared" si="3092"/>
        <v/>
      </c>
      <c r="K3091" s="100"/>
      <c r="M3091" s="100"/>
      <c r="N3091" s="100"/>
      <c r="O3091" s="100"/>
      <c r="P3091" s="100"/>
    </row>
    <row r="3092">
      <c r="A3092" s="107">
        <v>203962.0</v>
      </c>
      <c r="B3092" s="108" t="s">
        <v>190</v>
      </c>
      <c r="C3092" s="108" t="s">
        <v>786</v>
      </c>
      <c r="D3092" s="112" t="s">
        <v>181</v>
      </c>
      <c r="E3092" s="112">
        <v>30.8</v>
      </c>
      <c r="F3092" s="111" t="str">
        <f>DataPull!D3092</f>
        <v/>
      </c>
      <c r="G3092" s="94" t="str">
        <f t="shared" si="2"/>
        <v/>
      </c>
      <c r="H3092" s="94" t="str">
        <f t="shared" si="3"/>
        <v/>
      </c>
      <c r="I3092" s="94" t="str">
        <f t="shared" ref="I3092:J3092" si="3093">if(G3092 = "", , -G3092)</f>
        <v/>
      </c>
      <c r="J3092" s="94" t="str">
        <f t="shared" si="3093"/>
        <v/>
      </c>
      <c r="K3092" s="100"/>
      <c r="M3092" s="100"/>
      <c r="N3092" s="100"/>
      <c r="O3092" s="100"/>
      <c r="P3092" s="100"/>
    </row>
    <row r="3093">
      <c r="A3093" s="107">
        <v>203962.0</v>
      </c>
      <c r="B3093" s="108" t="s">
        <v>191</v>
      </c>
      <c r="C3093" s="108" t="s">
        <v>786</v>
      </c>
      <c r="D3093" s="112" t="s">
        <v>177</v>
      </c>
      <c r="E3093" s="112">
        <v>979.8</v>
      </c>
      <c r="F3093" s="111" t="str">
        <f>DataPull!D3093</f>
        <v/>
      </c>
      <c r="G3093" s="94" t="str">
        <f t="shared" si="2"/>
        <v/>
      </c>
      <c r="H3093" s="94" t="str">
        <f t="shared" si="3"/>
        <v/>
      </c>
      <c r="I3093" s="94" t="str">
        <f t="shared" ref="I3093:J3093" si="3094">if(G3093 = "", , -G3093)</f>
        <v/>
      </c>
      <c r="J3093" s="94" t="str">
        <f t="shared" si="3094"/>
        <v/>
      </c>
      <c r="K3093" s="100"/>
      <c r="M3093" s="100"/>
      <c r="N3093" s="100"/>
      <c r="O3093" s="100"/>
      <c r="P3093" s="100"/>
    </row>
    <row r="3094">
      <c r="A3094" s="107">
        <v>203963.0</v>
      </c>
      <c r="B3094" s="108" t="s">
        <v>90</v>
      </c>
      <c r="C3094" s="108" t="s">
        <v>787</v>
      </c>
      <c r="D3094" s="112" t="s">
        <v>187</v>
      </c>
      <c r="E3094" s="112">
        <v>108.0</v>
      </c>
      <c r="F3094" s="111" t="str">
        <f>DataPull!D3094</f>
        <v/>
      </c>
      <c r="G3094" s="94" t="str">
        <f t="shared" si="2"/>
        <v/>
      </c>
      <c r="H3094" s="94" t="str">
        <f t="shared" si="3"/>
        <v/>
      </c>
      <c r="I3094" s="94" t="str">
        <f t="shared" ref="I3094:J3094" si="3095">if(G3094 = "", , -G3094)</f>
        <v/>
      </c>
      <c r="J3094" s="94" t="str">
        <f t="shared" si="3095"/>
        <v/>
      </c>
      <c r="K3094" s="100"/>
      <c r="M3094" s="100"/>
      <c r="N3094" s="100"/>
      <c r="O3094" s="100"/>
      <c r="P3094" s="100"/>
    </row>
    <row r="3095">
      <c r="A3095" s="107">
        <v>203963.0</v>
      </c>
      <c r="B3095" s="108" t="s">
        <v>92</v>
      </c>
      <c r="C3095" s="108" t="s">
        <v>787</v>
      </c>
      <c r="D3095" s="112" t="s">
        <v>181</v>
      </c>
      <c r="E3095" s="112">
        <v>40.6</v>
      </c>
      <c r="F3095" s="111" t="str">
        <f>DataPull!D3095</f>
        <v/>
      </c>
      <c r="G3095" s="94" t="str">
        <f t="shared" si="2"/>
        <v/>
      </c>
      <c r="H3095" s="94" t="str">
        <f t="shared" si="3"/>
        <v/>
      </c>
      <c r="I3095" s="94" t="str">
        <f t="shared" ref="I3095:J3095" si="3096">if(G3095 = "", , -G3095)</f>
        <v/>
      </c>
      <c r="J3095" s="94" t="str">
        <f t="shared" si="3096"/>
        <v/>
      </c>
      <c r="K3095" s="100"/>
      <c r="L3095" s="100"/>
      <c r="N3095" s="100"/>
      <c r="O3095" s="100"/>
      <c r="P3095" s="100"/>
    </row>
    <row r="3096">
      <c r="A3096" s="107">
        <v>203966.0</v>
      </c>
      <c r="B3096" s="108" t="s">
        <v>191</v>
      </c>
      <c r="C3096" s="108" t="s">
        <v>788</v>
      </c>
      <c r="D3096" s="112" t="s">
        <v>187</v>
      </c>
      <c r="E3096" s="112">
        <v>274.5</v>
      </c>
      <c r="F3096" s="111" t="str">
        <f>DataPull!D3096</f>
        <v/>
      </c>
      <c r="G3096" s="94" t="str">
        <f t="shared" si="2"/>
        <v/>
      </c>
      <c r="H3096" s="94" t="str">
        <f t="shared" si="3"/>
        <v/>
      </c>
      <c r="I3096" s="94" t="str">
        <f t="shared" ref="I3096:J3096" si="3097">if(G3096 = "", , -G3096)</f>
        <v/>
      </c>
      <c r="J3096" s="94" t="str">
        <f t="shared" si="3097"/>
        <v/>
      </c>
      <c r="K3096" s="100"/>
      <c r="M3096" s="100"/>
      <c r="N3096" s="100"/>
      <c r="O3096" s="100"/>
      <c r="P3096" s="100"/>
    </row>
    <row r="3097">
      <c r="A3097" s="107">
        <v>203967.0</v>
      </c>
      <c r="B3097" s="108" t="s">
        <v>190</v>
      </c>
      <c r="C3097" s="108" t="s">
        <v>789</v>
      </c>
      <c r="D3097" s="112" t="s">
        <v>178</v>
      </c>
      <c r="E3097" s="112">
        <v>2130.3</v>
      </c>
      <c r="F3097" s="111" t="str">
        <f>DataPull!D3097</f>
        <v/>
      </c>
      <c r="G3097" s="94" t="str">
        <f t="shared" si="2"/>
        <v/>
      </c>
      <c r="H3097" s="94" t="str">
        <f t="shared" si="3"/>
        <v/>
      </c>
      <c r="I3097" s="94" t="str">
        <f t="shared" ref="I3097:J3097" si="3098">if(G3097 = "", , -G3097)</f>
        <v/>
      </c>
      <c r="J3097" s="94" t="str">
        <f t="shared" si="3098"/>
        <v/>
      </c>
      <c r="K3097" s="100"/>
      <c r="M3097" s="100"/>
      <c r="N3097" s="100"/>
      <c r="O3097" s="100"/>
      <c r="P3097" s="100"/>
    </row>
    <row r="3098">
      <c r="A3098" s="107">
        <v>203967.0</v>
      </c>
      <c r="B3098" s="108" t="s">
        <v>191</v>
      </c>
      <c r="C3098" s="108" t="s">
        <v>789</v>
      </c>
      <c r="D3098" s="112" t="s">
        <v>178</v>
      </c>
      <c r="E3098" s="112">
        <v>2308.8</v>
      </c>
      <c r="F3098" s="111" t="str">
        <f>DataPull!D3098</f>
        <v/>
      </c>
      <c r="G3098" s="94" t="str">
        <f t="shared" si="2"/>
        <v/>
      </c>
      <c r="H3098" s="94" t="str">
        <f t="shared" si="3"/>
        <v/>
      </c>
      <c r="I3098" s="94" t="str">
        <f t="shared" ref="I3098:J3098" si="3099">if(G3098 = "", , -G3098)</f>
        <v/>
      </c>
      <c r="J3098" s="94" t="str">
        <f t="shared" si="3099"/>
        <v/>
      </c>
      <c r="K3098" s="100"/>
      <c r="L3098" s="100"/>
      <c r="N3098" s="100"/>
      <c r="O3098" s="100"/>
      <c r="P3098" s="100"/>
    </row>
    <row r="3099">
      <c r="A3099" s="107">
        <v>203967.0</v>
      </c>
      <c r="B3099" s="108" t="s">
        <v>192</v>
      </c>
      <c r="C3099" s="108" t="s">
        <v>789</v>
      </c>
      <c r="D3099" s="112" t="s">
        <v>176</v>
      </c>
      <c r="E3099" s="112">
        <v>2025.0</v>
      </c>
      <c r="F3099" s="111" t="str">
        <f>DataPull!D3099</f>
        <v/>
      </c>
      <c r="G3099" s="94" t="str">
        <f t="shared" si="2"/>
        <v/>
      </c>
      <c r="H3099" s="94" t="str">
        <f t="shared" si="3"/>
        <v/>
      </c>
      <c r="I3099" s="94" t="str">
        <f t="shared" ref="I3099:J3099" si="3100">if(G3099 = "", , -G3099)</f>
        <v/>
      </c>
      <c r="J3099" s="94" t="str">
        <f t="shared" si="3100"/>
        <v/>
      </c>
      <c r="K3099" s="100"/>
      <c r="M3099" s="100"/>
      <c r="N3099" s="100"/>
      <c r="O3099" s="100"/>
      <c r="P3099" s="100"/>
    </row>
    <row r="3100">
      <c r="A3100" s="107">
        <v>203967.0</v>
      </c>
      <c r="B3100" s="108" t="s">
        <v>193</v>
      </c>
      <c r="C3100" s="108" t="s">
        <v>789</v>
      </c>
      <c r="D3100" s="112" t="s">
        <v>176</v>
      </c>
      <c r="E3100" s="112">
        <v>1630.2</v>
      </c>
      <c r="F3100" s="111" t="str">
        <f>DataPull!D3100</f>
        <v/>
      </c>
      <c r="G3100" s="94" t="str">
        <f t="shared" si="2"/>
        <v/>
      </c>
      <c r="H3100" s="94" t="str">
        <f t="shared" si="3"/>
        <v/>
      </c>
      <c r="I3100" s="94" t="str">
        <f t="shared" ref="I3100:J3100" si="3101">if(G3100 = "", , -G3100)</f>
        <v/>
      </c>
      <c r="J3100" s="94" t="str">
        <f t="shared" si="3101"/>
        <v/>
      </c>
      <c r="K3100" s="100"/>
      <c r="M3100" s="100"/>
      <c r="N3100" s="100"/>
      <c r="O3100" s="100"/>
      <c r="P3100" s="100"/>
    </row>
    <row r="3101">
      <c r="A3101" s="107">
        <v>203967.0</v>
      </c>
      <c r="B3101" s="108" t="s">
        <v>243</v>
      </c>
      <c r="C3101" s="108" t="s">
        <v>789</v>
      </c>
      <c r="D3101" s="112" t="s">
        <v>177</v>
      </c>
      <c r="E3101" s="112">
        <v>870.0</v>
      </c>
      <c r="F3101" s="111" t="str">
        <f>DataPull!D3101</f>
        <v/>
      </c>
      <c r="G3101" s="94" t="str">
        <f t="shared" si="2"/>
        <v/>
      </c>
      <c r="H3101" s="94" t="str">
        <f t="shared" si="3"/>
        <v/>
      </c>
      <c r="I3101" s="94" t="str">
        <f t="shared" ref="I3101:J3101" si="3102">if(G3101 = "", , -G3101)</f>
        <v/>
      </c>
      <c r="J3101" s="94" t="str">
        <f t="shared" si="3102"/>
        <v/>
      </c>
      <c r="K3101" s="100"/>
      <c r="M3101" s="100"/>
      <c r="N3101" s="100"/>
      <c r="O3101" s="100"/>
      <c r="P3101" s="100"/>
    </row>
    <row r="3102">
      <c r="A3102" s="107">
        <v>203967.0</v>
      </c>
      <c r="B3102" s="108" t="s">
        <v>244</v>
      </c>
      <c r="C3102" s="108" t="s">
        <v>789</v>
      </c>
      <c r="D3102" s="112" t="s">
        <v>177</v>
      </c>
      <c r="E3102" s="112">
        <v>803.7</v>
      </c>
      <c r="F3102" s="111" t="str">
        <f>DataPull!D3102</f>
        <v/>
      </c>
      <c r="G3102" s="94" t="str">
        <f t="shared" si="2"/>
        <v/>
      </c>
      <c r="H3102" s="94" t="str">
        <f t="shared" si="3"/>
        <v/>
      </c>
      <c r="I3102" s="94" t="str">
        <f t="shared" ref="I3102:J3102" si="3103">if(G3102 = "", , -G3102)</f>
        <v/>
      </c>
      <c r="J3102" s="94" t="str">
        <f t="shared" si="3103"/>
        <v/>
      </c>
      <c r="K3102" s="100"/>
      <c r="M3102" s="100"/>
      <c r="N3102" s="100"/>
      <c r="O3102" s="100"/>
      <c r="P3102" s="100"/>
    </row>
    <row r="3103">
      <c r="A3103" s="107">
        <v>203967.0</v>
      </c>
      <c r="B3103" s="108" t="s">
        <v>245</v>
      </c>
      <c r="C3103" s="108" t="s">
        <v>789</v>
      </c>
      <c r="D3103" s="112" t="s">
        <v>177</v>
      </c>
      <c r="E3103" s="112">
        <v>1100.8</v>
      </c>
      <c r="F3103" s="111" t="str">
        <f>DataPull!D3103</f>
        <v/>
      </c>
      <c r="G3103" s="94" t="str">
        <f t="shared" si="2"/>
        <v/>
      </c>
      <c r="H3103" s="94" t="str">
        <f t="shared" si="3"/>
        <v/>
      </c>
      <c r="I3103" s="94" t="str">
        <f t="shared" ref="I3103:J3103" si="3104">if(G3103 = "", , -G3103)</f>
        <v/>
      </c>
      <c r="J3103" s="94" t="str">
        <f t="shared" si="3104"/>
        <v/>
      </c>
      <c r="K3103" s="100"/>
      <c r="M3103" s="100"/>
      <c r="N3103" s="100"/>
      <c r="O3103" s="100"/>
      <c r="P3103" s="100"/>
    </row>
    <row r="3104">
      <c r="A3104" s="107">
        <v>203967.0</v>
      </c>
      <c r="B3104" s="108" t="s">
        <v>246</v>
      </c>
      <c r="C3104" s="108" t="s">
        <v>789</v>
      </c>
      <c r="D3104" s="112" t="s">
        <v>187</v>
      </c>
      <c r="E3104" s="112">
        <v>209.6</v>
      </c>
      <c r="F3104" s="111" t="str">
        <f>DataPull!D3104</f>
        <v/>
      </c>
      <c r="G3104" s="94" t="str">
        <f t="shared" si="2"/>
        <v/>
      </c>
      <c r="H3104" s="94" t="str">
        <f t="shared" si="3"/>
        <v/>
      </c>
      <c r="I3104" s="94" t="str">
        <f t="shared" ref="I3104:J3104" si="3105">if(G3104 = "", , -G3104)</f>
        <v/>
      </c>
      <c r="J3104" s="94" t="str">
        <f t="shared" si="3105"/>
        <v/>
      </c>
      <c r="K3104" s="100"/>
      <c r="M3104" s="100"/>
      <c r="N3104" s="100"/>
      <c r="O3104" s="100"/>
      <c r="P3104" s="100"/>
    </row>
    <row r="3105">
      <c r="A3105" s="114">
        <v>203967.0</v>
      </c>
      <c r="B3105" s="113" t="s">
        <v>247</v>
      </c>
      <c r="C3105" s="108" t="s">
        <v>789</v>
      </c>
      <c r="D3105" s="112" t="s">
        <v>181</v>
      </c>
      <c r="E3105" s="112">
        <v>41.0</v>
      </c>
      <c r="F3105" s="111" t="str">
        <f>DataPull!D3105</f>
        <v/>
      </c>
      <c r="G3105" s="94" t="str">
        <f t="shared" si="2"/>
        <v/>
      </c>
      <c r="H3105" s="94" t="str">
        <f t="shared" si="3"/>
        <v/>
      </c>
      <c r="I3105" s="94" t="str">
        <f t="shared" ref="I3105:J3105" si="3106">if(G3105 = "", , -G3105)</f>
        <v/>
      </c>
      <c r="J3105" s="94" t="str">
        <f t="shared" si="3106"/>
        <v/>
      </c>
      <c r="K3105" s="100"/>
      <c r="M3105" s="100"/>
      <c r="N3105" s="100"/>
      <c r="O3105" s="100"/>
      <c r="P3105" s="100"/>
    </row>
    <row r="3106">
      <c r="A3106" s="107">
        <v>203968.0</v>
      </c>
      <c r="B3106" s="108" t="s">
        <v>90</v>
      </c>
      <c r="C3106" s="108" t="s">
        <v>790</v>
      </c>
      <c r="D3106" s="112"/>
      <c r="E3106" s="112">
        <v>2.8</v>
      </c>
      <c r="F3106" s="111" t="str">
        <f>DataPull!D3106</f>
        <v/>
      </c>
      <c r="G3106" s="94" t="str">
        <f t="shared" si="2"/>
        <v/>
      </c>
      <c r="H3106" s="94" t="str">
        <f t="shared" si="3"/>
        <v/>
      </c>
      <c r="I3106" s="94" t="str">
        <f t="shared" ref="I3106:J3106" si="3107">if(G3106 = "", , -G3106)</f>
        <v/>
      </c>
      <c r="J3106" s="94" t="str">
        <f t="shared" si="3107"/>
        <v/>
      </c>
      <c r="K3106" s="100"/>
      <c r="M3106" s="100"/>
      <c r="N3106" s="100"/>
      <c r="O3106" s="100"/>
      <c r="P3106" s="100"/>
    </row>
    <row r="3107">
      <c r="A3107" s="107">
        <v>203991.0</v>
      </c>
      <c r="B3107" s="108" t="s">
        <v>90</v>
      </c>
      <c r="C3107" s="108" t="s">
        <v>791</v>
      </c>
      <c r="D3107" s="112" t="s">
        <v>187</v>
      </c>
      <c r="E3107" s="112">
        <v>90.0</v>
      </c>
      <c r="F3107" s="111" t="str">
        <f>DataPull!D3107</f>
        <v/>
      </c>
      <c r="G3107" s="94" t="str">
        <f t="shared" si="2"/>
        <v/>
      </c>
      <c r="H3107" s="94" t="str">
        <f t="shared" si="3"/>
        <v/>
      </c>
      <c r="I3107" s="94" t="str">
        <f t="shared" ref="I3107:J3107" si="3108">if(G3107 = "", , -G3107)</f>
        <v/>
      </c>
      <c r="J3107" s="94" t="str">
        <f t="shared" si="3108"/>
        <v/>
      </c>
      <c r="K3107" s="100"/>
      <c r="M3107" s="100"/>
      <c r="N3107" s="100"/>
      <c r="O3107" s="100"/>
      <c r="P3107" s="100"/>
    </row>
    <row r="3108">
      <c r="A3108" s="107">
        <v>203991.0</v>
      </c>
      <c r="B3108" s="108" t="s">
        <v>92</v>
      </c>
      <c r="C3108" s="108" t="s">
        <v>791</v>
      </c>
      <c r="D3108" s="112" t="s">
        <v>177</v>
      </c>
      <c r="E3108" s="112">
        <v>1470.7</v>
      </c>
      <c r="F3108" s="111" t="str">
        <f>DataPull!D3108</f>
        <v/>
      </c>
      <c r="G3108" s="94" t="str">
        <f t="shared" si="2"/>
        <v/>
      </c>
      <c r="H3108" s="94" t="str">
        <f t="shared" si="3"/>
        <v/>
      </c>
      <c r="I3108" s="94" t="str">
        <f t="shared" ref="I3108:J3108" si="3109">if(G3108 = "", , -G3108)</f>
        <v/>
      </c>
      <c r="J3108" s="94" t="str">
        <f t="shared" si="3109"/>
        <v/>
      </c>
      <c r="K3108" s="100"/>
      <c r="M3108" s="100"/>
      <c r="N3108" s="100"/>
      <c r="O3108" s="100"/>
      <c r="P3108" s="100"/>
    </row>
    <row r="3109">
      <c r="A3109" s="107">
        <v>203991.0</v>
      </c>
      <c r="B3109" s="108" t="s">
        <v>190</v>
      </c>
      <c r="C3109" s="108" t="s">
        <v>791</v>
      </c>
      <c r="D3109" s="112" t="s">
        <v>176</v>
      </c>
      <c r="E3109" s="112">
        <v>1553.5</v>
      </c>
      <c r="F3109" s="111" t="str">
        <f>DataPull!D3109</f>
        <v/>
      </c>
      <c r="G3109" s="94" t="str">
        <f t="shared" si="2"/>
        <v/>
      </c>
      <c r="H3109" s="94" t="str">
        <f t="shared" si="3"/>
        <v/>
      </c>
      <c r="I3109" s="94" t="str">
        <f t="shared" ref="I3109:J3109" si="3110">if(G3109 = "", , -G3109)</f>
        <v/>
      </c>
      <c r="J3109" s="94" t="str">
        <f t="shared" si="3110"/>
        <v/>
      </c>
      <c r="K3109" s="100"/>
      <c r="L3109" s="100"/>
      <c r="N3109" s="100"/>
      <c r="O3109" s="100"/>
      <c r="P3109" s="100"/>
    </row>
    <row r="3110">
      <c r="A3110" s="107">
        <v>203991.0</v>
      </c>
      <c r="B3110" s="108" t="s">
        <v>191</v>
      </c>
      <c r="C3110" s="108" t="s">
        <v>791</v>
      </c>
      <c r="D3110" s="112" t="s">
        <v>176</v>
      </c>
      <c r="E3110" s="112">
        <v>2035.0</v>
      </c>
      <c r="F3110" s="111" t="str">
        <f>DataPull!D3110</f>
        <v/>
      </c>
      <c r="G3110" s="94" t="str">
        <f t="shared" si="2"/>
        <v/>
      </c>
      <c r="H3110" s="94" t="str">
        <f t="shared" si="3"/>
        <v/>
      </c>
      <c r="I3110" s="94" t="str">
        <f t="shared" ref="I3110:J3110" si="3111">if(G3110 = "", , -G3110)</f>
        <v/>
      </c>
      <c r="J3110" s="94" t="str">
        <f t="shared" si="3111"/>
        <v/>
      </c>
      <c r="K3110" s="100"/>
      <c r="M3110" s="100"/>
      <c r="N3110" s="100"/>
      <c r="O3110" s="100"/>
      <c r="P3110" s="100"/>
    </row>
    <row r="3111">
      <c r="A3111" s="107">
        <v>203991.0</v>
      </c>
      <c r="B3111" s="108" t="s">
        <v>192</v>
      </c>
      <c r="C3111" s="108" t="s">
        <v>791</v>
      </c>
      <c r="D3111" s="112" t="s">
        <v>184</v>
      </c>
      <c r="E3111" s="112">
        <v>2251.2</v>
      </c>
      <c r="F3111" s="111" t="str">
        <f>DataPull!D3111</f>
        <v/>
      </c>
      <c r="G3111" s="94" t="str">
        <f t="shared" si="2"/>
        <v/>
      </c>
      <c r="H3111" s="94" t="str">
        <f t="shared" si="3"/>
        <v/>
      </c>
      <c r="I3111" s="94" t="str">
        <f t="shared" ref="I3111:J3111" si="3112">if(G3111 = "", , -G3111)</f>
        <v/>
      </c>
      <c r="J3111" s="94" t="str">
        <f t="shared" si="3112"/>
        <v/>
      </c>
      <c r="K3111" s="100"/>
      <c r="L3111" s="100"/>
      <c r="N3111" s="100"/>
      <c r="O3111" s="100"/>
      <c r="P3111" s="100"/>
    </row>
    <row r="3112">
      <c r="A3112" s="107">
        <v>203991.0</v>
      </c>
      <c r="B3112" s="108" t="s">
        <v>193</v>
      </c>
      <c r="C3112" s="108" t="s">
        <v>791</v>
      </c>
      <c r="D3112" s="112" t="s">
        <v>184</v>
      </c>
      <c r="E3112" s="112">
        <v>1279.2</v>
      </c>
      <c r="F3112" s="111" t="str">
        <f>DataPull!D3112</f>
        <v/>
      </c>
      <c r="G3112" s="94" t="str">
        <f t="shared" si="2"/>
        <v/>
      </c>
      <c r="H3112" s="94" t="str">
        <f t="shared" si="3"/>
        <v/>
      </c>
      <c r="I3112" s="94" t="str">
        <f t="shared" ref="I3112:J3112" si="3113">if(G3112 = "", , -G3112)</f>
        <v/>
      </c>
      <c r="J3112" s="94" t="str">
        <f t="shared" si="3113"/>
        <v/>
      </c>
      <c r="K3112" s="100"/>
      <c r="L3112" s="100"/>
      <c r="N3112" s="100"/>
      <c r="O3112" s="100"/>
      <c r="P3112" s="100"/>
    </row>
    <row r="3113">
      <c r="A3113" s="107">
        <v>203991.0</v>
      </c>
      <c r="B3113" s="108" t="s">
        <v>243</v>
      </c>
      <c r="C3113" s="108" t="s">
        <v>791</v>
      </c>
      <c r="D3113" s="112" t="s">
        <v>184</v>
      </c>
      <c r="E3113" s="112">
        <v>1896.3</v>
      </c>
      <c r="F3113" s="111" t="str">
        <f>DataPull!D3113</f>
        <v/>
      </c>
      <c r="G3113" s="94" t="str">
        <f t="shared" si="2"/>
        <v/>
      </c>
      <c r="H3113" s="94" t="str">
        <f t="shared" si="3"/>
        <v/>
      </c>
      <c r="I3113" s="94" t="str">
        <f t="shared" ref="I3113:J3113" si="3114">if(G3113 = "", , -G3113)</f>
        <v/>
      </c>
      <c r="J3113" s="94" t="str">
        <f t="shared" si="3114"/>
        <v/>
      </c>
      <c r="K3113" s="100"/>
      <c r="M3113" s="100"/>
      <c r="N3113" s="100"/>
      <c r="O3113" s="100"/>
      <c r="P3113" s="100"/>
    </row>
    <row r="3114">
      <c r="A3114" s="107">
        <v>203991.0</v>
      </c>
      <c r="B3114" s="108" t="s">
        <v>215</v>
      </c>
      <c r="C3114" s="108" t="s">
        <v>791</v>
      </c>
      <c r="D3114" s="112" t="s">
        <v>176</v>
      </c>
      <c r="E3114" s="112">
        <v>2042.4</v>
      </c>
      <c r="F3114" s="111" t="str">
        <f>DataPull!D3114</f>
        <v/>
      </c>
      <c r="G3114" s="94" t="str">
        <f t="shared" si="2"/>
        <v/>
      </c>
      <c r="H3114" s="94" t="str">
        <f t="shared" si="3"/>
        <v/>
      </c>
      <c r="I3114" s="94" t="str">
        <f t="shared" ref="I3114:J3114" si="3115">if(G3114 = "", , -G3114)</f>
        <v/>
      </c>
      <c r="J3114" s="94" t="str">
        <f t="shared" si="3115"/>
        <v/>
      </c>
      <c r="K3114" s="100"/>
      <c r="M3114" s="100"/>
      <c r="N3114" s="100"/>
      <c r="O3114" s="100"/>
      <c r="P3114" s="100"/>
    </row>
    <row r="3115">
      <c r="A3115" s="107">
        <v>203991.0</v>
      </c>
      <c r="B3115" s="108" t="s">
        <v>244</v>
      </c>
      <c r="C3115" s="108" t="s">
        <v>791</v>
      </c>
      <c r="D3115" s="112" t="s">
        <v>176</v>
      </c>
      <c r="E3115" s="112">
        <v>1729.0</v>
      </c>
      <c r="F3115" s="111" t="str">
        <f>DataPull!D3115</f>
        <v/>
      </c>
      <c r="G3115" s="94" t="str">
        <f t="shared" si="2"/>
        <v/>
      </c>
      <c r="H3115" s="94" t="str">
        <f t="shared" si="3"/>
        <v/>
      </c>
      <c r="I3115" s="94" t="str">
        <f t="shared" ref="I3115:J3115" si="3116">if(G3115 = "", , -G3115)</f>
        <v/>
      </c>
      <c r="J3115" s="94" t="str">
        <f t="shared" si="3116"/>
        <v/>
      </c>
      <c r="K3115" s="100"/>
      <c r="M3115" s="100"/>
      <c r="N3115" s="100"/>
      <c r="O3115" s="100"/>
      <c r="P3115" s="100"/>
    </row>
    <row r="3116">
      <c r="A3116" s="107">
        <v>203991.0</v>
      </c>
      <c r="B3116" s="108" t="s">
        <v>245</v>
      </c>
      <c r="C3116" s="108" t="s">
        <v>791</v>
      </c>
      <c r="D3116" s="112" t="s">
        <v>176</v>
      </c>
      <c r="E3116" s="112">
        <v>1883.4</v>
      </c>
      <c r="F3116" s="111" t="str">
        <f>DataPull!D3116</f>
        <v/>
      </c>
      <c r="G3116" s="94" t="str">
        <f t="shared" si="2"/>
        <v/>
      </c>
      <c r="H3116" s="94" t="str">
        <f t="shared" si="3"/>
        <v/>
      </c>
      <c r="I3116" s="94" t="str">
        <f t="shared" ref="I3116:J3116" si="3117">if(G3116 = "", , -G3116)</f>
        <v/>
      </c>
      <c r="J3116" s="94" t="str">
        <f t="shared" si="3117"/>
        <v/>
      </c>
      <c r="K3116" s="100"/>
      <c r="M3116" s="100"/>
      <c r="N3116" s="100"/>
      <c r="O3116" s="100"/>
      <c r="P3116" s="100"/>
    </row>
    <row r="3117">
      <c r="A3117" s="107">
        <v>203991.0</v>
      </c>
      <c r="B3117" s="108" t="s">
        <v>246</v>
      </c>
      <c r="C3117" s="108" t="s">
        <v>791</v>
      </c>
      <c r="D3117" s="112" t="s">
        <v>177</v>
      </c>
      <c r="E3117" s="112">
        <v>1177.0</v>
      </c>
      <c r="F3117" s="111" t="str">
        <f>DataPull!D3117</f>
        <v/>
      </c>
      <c r="G3117" s="94" t="str">
        <f t="shared" si="2"/>
        <v/>
      </c>
      <c r="H3117" s="94" t="str">
        <f t="shared" si="3"/>
        <v/>
      </c>
      <c r="I3117" s="94" t="str">
        <f t="shared" ref="I3117:J3117" si="3118">if(G3117 = "", , -G3117)</f>
        <v/>
      </c>
      <c r="J3117" s="94" t="str">
        <f t="shared" si="3118"/>
        <v/>
      </c>
      <c r="K3117" s="100"/>
      <c r="M3117" s="100"/>
      <c r="N3117" s="100"/>
      <c r="O3117" s="100"/>
      <c r="P3117" s="100"/>
    </row>
    <row r="3118">
      <c r="A3118" s="114">
        <v>203991.0</v>
      </c>
      <c r="B3118" s="113" t="s">
        <v>247</v>
      </c>
      <c r="C3118" s="113" t="s">
        <v>791</v>
      </c>
      <c r="D3118" s="112" t="s">
        <v>177</v>
      </c>
      <c r="E3118" s="112">
        <v>922.5</v>
      </c>
      <c r="F3118" s="111" t="str">
        <f>DataPull!D3118</f>
        <v/>
      </c>
      <c r="G3118" s="94" t="str">
        <f t="shared" si="2"/>
        <v/>
      </c>
      <c r="H3118" s="94" t="str">
        <f t="shared" si="3"/>
        <v/>
      </c>
      <c r="I3118" s="94" t="str">
        <f t="shared" ref="I3118:J3118" si="3119">if(G3118 = "", , -G3118)</f>
        <v/>
      </c>
      <c r="J3118" s="94" t="str">
        <f t="shared" si="3119"/>
        <v/>
      </c>
      <c r="K3118" s="100"/>
      <c r="M3118" s="100"/>
      <c r="N3118" s="100"/>
      <c r="O3118" s="100"/>
      <c r="P3118" s="100"/>
    </row>
    <row r="3119">
      <c r="A3119" s="107">
        <v>203992.0</v>
      </c>
      <c r="B3119" s="108" t="s">
        <v>191</v>
      </c>
      <c r="C3119" s="108" t="s">
        <v>792</v>
      </c>
      <c r="D3119" s="112" t="s">
        <v>178</v>
      </c>
      <c r="E3119" s="112">
        <v>2176.2</v>
      </c>
      <c r="F3119" s="111" t="str">
        <f>DataPull!D3119</f>
        <v/>
      </c>
      <c r="G3119" s="94" t="str">
        <f t="shared" si="2"/>
        <v/>
      </c>
      <c r="H3119" s="94" t="str">
        <f t="shared" si="3"/>
        <v/>
      </c>
      <c r="I3119" s="94" t="str">
        <f t="shared" ref="I3119:J3119" si="3120">if(G3119 = "", , -G3119)</f>
        <v/>
      </c>
      <c r="J3119" s="94" t="str">
        <f t="shared" si="3120"/>
        <v/>
      </c>
      <c r="K3119" s="100"/>
      <c r="M3119" s="100"/>
      <c r="N3119" s="100"/>
      <c r="O3119" s="100"/>
      <c r="P3119" s="100"/>
    </row>
    <row r="3120">
      <c r="A3120" s="107">
        <v>203992.0</v>
      </c>
      <c r="B3120" s="108" t="s">
        <v>192</v>
      </c>
      <c r="C3120" s="108" t="s">
        <v>792</v>
      </c>
      <c r="D3120" s="112" t="s">
        <v>178</v>
      </c>
      <c r="E3120" s="112">
        <v>1946.0</v>
      </c>
      <c r="F3120" s="111" t="str">
        <f>DataPull!D3120</f>
        <v/>
      </c>
      <c r="G3120" s="94" t="str">
        <f t="shared" si="2"/>
        <v/>
      </c>
      <c r="H3120" s="94" t="str">
        <f t="shared" si="3"/>
        <v/>
      </c>
      <c r="I3120" s="94" t="str">
        <f t="shared" ref="I3120:J3120" si="3121">if(G3120 = "", , -G3120)</f>
        <v/>
      </c>
      <c r="J3120" s="94" t="str">
        <f t="shared" si="3121"/>
        <v/>
      </c>
      <c r="K3120" s="100"/>
      <c r="M3120" s="100"/>
      <c r="N3120" s="100"/>
      <c r="O3120" s="100"/>
      <c r="P3120" s="100"/>
    </row>
    <row r="3121">
      <c r="A3121" s="107">
        <v>203992.0</v>
      </c>
      <c r="B3121" s="108" t="s">
        <v>193</v>
      </c>
      <c r="C3121" s="108" t="s">
        <v>792</v>
      </c>
      <c r="D3121" s="112" t="s">
        <v>178</v>
      </c>
      <c r="E3121" s="112">
        <v>1762.9</v>
      </c>
      <c r="F3121" s="111" t="str">
        <f>DataPull!D3121</f>
        <v/>
      </c>
      <c r="G3121" s="94" t="str">
        <f t="shared" si="2"/>
        <v/>
      </c>
      <c r="H3121" s="94" t="str">
        <f t="shared" si="3"/>
        <v/>
      </c>
      <c r="I3121" s="94" t="str">
        <f t="shared" ref="I3121:J3121" si="3122">if(G3121 = "", , -G3121)</f>
        <v/>
      </c>
      <c r="J3121" s="94" t="str">
        <f t="shared" si="3122"/>
        <v/>
      </c>
      <c r="K3121" s="100"/>
      <c r="L3121" s="100"/>
      <c r="M3121" s="100"/>
      <c r="N3121" s="100"/>
      <c r="O3121" s="100"/>
      <c r="P3121" s="100"/>
    </row>
    <row r="3122">
      <c r="A3122" s="107">
        <v>203992.0</v>
      </c>
      <c r="B3122" s="108" t="s">
        <v>243</v>
      </c>
      <c r="C3122" s="108" t="s">
        <v>792</v>
      </c>
      <c r="D3122" s="112" t="s">
        <v>178</v>
      </c>
      <c r="E3122" s="112">
        <v>1306.8</v>
      </c>
      <c r="F3122" s="111" t="str">
        <f>DataPull!D3122</f>
        <v/>
      </c>
      <c r="G3122" s="94" t="str">
        <f t="shared" si="2"/>
        <v/>
      </c>
      <c r="H3122" s="94" t="str">
        <f t="shared" si="3"/>
        <v/>
      </c>
      <c r="I3122" s="94" t="str">
        <f t="shared" ref="I3122:J3122" si="3123">if(G3122 = "", , -G3122)</f>
        <v/>
      </c>
      <c r="J3122" s="94" t="str">
        <f t="shared" si="3123"/>
        <v/>
      </c>
      <c r="K3122" s="100"/>
      <c r="M3122" s="100"/>
      <c r="N3122" s="100"/>
      <c r="O3122" s="100"/>
      <c r="P3122" s="100"/>
    </row>
    <row r="3123">
      <c r="A3123" s="107">
        <v>203992.0</v>
      </c>
      <c r="B3123" s="108" t="s">
        <v>215</v>
      </c>
      <c r="C3123" s="108" t="s">
        <v>792</v>
      </c>
      <c r="D3123" s="112" t="s">
        <v>184</v>
      </c>
      <c r="E3123" s="112">
        <v>1845.9</v>
      </c>
      <c r="F3123" s="111" t="str">
        <f>DataPull!D3123</f>
        <v/>
      </c>
      <c r="G3123" s="94" t="str">
        <f t="shared" si="2"/>
        <v/>
      </c>
      <c r="H3123" s="94" t="str">
        <f t="shared" si="3"/>
        <v/>
      </c>
      <c r="I3123" s="94" t="str">
        <f t="shared" ref="I3123:J3123" si="3124">if(G3123 = "", , -G3123)</f>
        <v/>
      </c>
      <c r="J3123" s="94" t="str">
        <f t="shared" si="3124"/>
        <v/>
      </c>
      <c r="K3123" s="100"/>
      <c r="L3123" s="100"/>
      <c r="N3123" s="100"/>
      <c r="O3123" s="100"/>
      <c r="P3123" s="100"/>
    </row>
    <row r="3124">
      <c r="A3124" s="107">
        <v>203992.0</v>
      </c>
      <c r="B3124" s="108" t="s">
        <v>244</v>
      </c>
      <c r="C3124" s="108" t="s">
        <v>792</v>
      </c>
      <c r="D3124" s="112" t="s">
        <v>178</v>
      </c>
      <c r="E3124" s="112">
        <v>1506.6</v>
      </c>
      <c r="F3124" s="111" t="str">
        <f>DataPull!D3124</f>
        <v/>
      </c>
      <c r="G3124" s="94" t="str">
        <f t="shared" si="2"/>
        <v/>
      </c>
      <c r="H3124" s="94" t="str">
        <f t="shared" si="3"/>
        <v/>
      </c>
      <c r="I3124" s="94" t="str">
        <f t="shared" ref="I3124:J3124" si="3125">if(G3124 = "", , -G3124)</f>
        <v/>
      </c>
      <c r="J3124" s="94" t="str">
        <f t="shared" si="3125"/>
        <v/>
      </c>
      <c r="K3124" s="100"/>
      <c r="M3124" s="100"/>
      <c r="N3124" s="100"/>
      <c r="O3124" s="100"/>
      <c r="P3124" s="100"/>
    </row>
    <row r="3125">
      <c r="A3125" s="107">
        <v>203992.0</v>
      </c>
      <c r="B3125" s="108" t="s">
        <v>245</v>
      </c>
      <c r="C3125" s="108" t="s">
        <v>792</v>
      </c>
      <c r="D3125" s="112" t="s">
        <v>178</v>
      </c>
      <c r="E3125" s="112">
        <v>2401.6</v>
      </c>
      <c r="F3125" s="111" t="str">
        <f>DataPull!D3125</f>
        <v/>
      </c>
      <c r="G3125" s="94" t="str">
        <f t="shared" si="2"/>
        <v/>
      </c>
      <c r="H3125" s="94" t="str">
        <f t="shared" si="3"/>
        <v/>
      </c>
      <c r="I3125" s="94" t="str">
        <f t="shared" ref="I3125:J3125" si="3126">if(G3125 = "", , -G3125)</f>
        <v/>
      </c>
      <c r="J3125" s="94" t="str">
        <f t="shared" si="3126"/>
        <v/>
      </c>
      <c r="K3125" s="100"/>
      <c r="M3125" s="100"/>
      <c r="N3125" s="100"/>
      <c r="O3125" s="100"/>
      <c r="P3125" s="100"/>
    </row>
    <row r="3126">
      <c r="A3126" s="107">
        <v>203992.0</v>
      </c>
      <c r="B3126" s="108" t="s">
        <v>246</v>
      </c>
      <c r="C3126" s="108" t="s">
        <v>792</v>
      </c>
      <c r="D3126" s="112" t="s">
        <v>178</v>
      </c>
      <c r="E3126" s="112">
        <v>1350.0</v>
      </c>
      <c r="F3126" s="111" t="str">
        <f>DataPull!D3126</f>
        <v/>
      </c>
      <c r="G3126" s="94" t="str">
        <f t="shared" si="2"/>
        <v/>
      </c>
      <c r="H3126" s="94" t="str">
        <f t="shared" si="3"/>
        <v/>
      </c>
      <c r="I3126" s="94" t="str">
        <f t="shared" ref="I3126:J3126" si="3127">if(G3126 = "", , -G3126)</f>
        <v/>
      </c>
      <c r="J3126" s="94" t="str">
        <f t="shared" si="3127"/>
        <v/>
      </c>
      <c r="K3126" s="100"/>
      <c r="M3126" s="100"/>
      <c r="N3126" s="100"/>
      <c r="O3126" s="100"/>
      <c r="P3126" s="100"/>
    </row>
    <row r="3127">
      <c r="A3127" s="114">
        <v>203992.0</v>
      </c>
      <c r="B3127" s="113" t="s">
        <v>247</v>
      </c>
      <c r="C3127" s="108" t="s">
        <v>792</v>
      </c>
      <c r="D3127" s="112" t="s">
        <v>176</v>
      </c>
      <c r="E3127" s="112">
        <v>453.1</v>
      </c>
      <c r="F3127" s="111" t="str">
        <f>DataPull!D3127</f>
        <v/>
      </c>
      <c r="G3127" s="94" t="str">
        <f t="shared" si="2"/>
        <v/>
      </c>
      <c r="H3127" s="94" t="str">
        <f t="shared" si="3"/>
        <v/>
      </c>
      <c r="I3127" s="94" t="str">
        <f t="shared" ref="I3127:J3127" si="3128">if(G3127 = "", , -G3127)</f>
        <v/>
      </c>
      <c r="J3127" s="94" t="str">
        <f t="shared" si="3128"/>
        <v/>
      </c>
      <c r="K3127" s="100"/>
      <c r="L3127" s="100"/>
      <c r="N3127" s="100"/>
      <c r="O3127" s="100"/>
      <c r="P3127" s="100"/>
    </row>
    <row r="3128">
      <c r="A3128" s="107">
        <v>203994.0</v>
      </c>
      <c r="B3128" s="108" t="s">
        <v>90</v>
      </c>
      <c r="C3128" s="108" t="s">
        <v>793</v>
      </c>
      <c r="D3128" s="112" t="s">
        <v>177</v>
      </c>
      <c r="E3128" s="112">
        <v>1103.6</v>
      </c>
      <c r="F3128" s="111" t="str">
        <f>DataPull!D3128</f>
        <v/>
      </c>
      <c r="G3128" s="94" t="str">
        <f t="shared" si="2"/>
        <v/>
      </c>
      <c r="H3128" s="94" t="str">
        <f t="shared" si="3"/>
        <v/>
      </c>
      <c r="I3128" s="94" t="str">
        <f t="shared" ref="I3128:J3128" si="3129">if(G3128 = "", , -G3128)</f>
        <v/>
      </c>
      <c r="J3128" s="94" t="str">
        <f t="shared" si="3129"/>
        <v/>
      </c>
      <c r="K3128" s="100"/>
      <c r="M3128" s="100"/>
      <c r="N3128" s="100"/>
      <c r="O3128" s="100"/>
      <c r="P3128" s="100"/>
    </row>
    <row r="3129">
      <c r="A3129" s="107">
        <v>203994.0</v>
      </c>
      <c r="B3129" s="108" t="s">
        <v>92</v>
      </c>
      <c r="C3129" s="108" t="s">
        <v>793</v>
      </c>
      <c r="D3129" s="112" t="s">
        <v>177</v>
      </c>
      <c r="E3129" s="112">
        <v>547.2</v>
      </c>
      <c r="F3129" s="111" t="str">
        <f>DataPull!D3129</f>
        <v/>
      </c>
      <c r="G3129" s="94" t="str">
        <f t="shared" si="2"/>
        <v/>
      </c>
      <c r="H3129" s="94" t="str">
        <f t="shared" si="3"/>
        <v/>
      </c>
      <c r="I3129" s="94" t="str">
        <f t="shared" ref="I3129:J3129" si="3130">if(G3129 = "", , -G3129)</f>
        <v/>
      </c>
      <c r="J3129" s="94" t="str">
        <f t="shared" si="3130"/>
        <v/>
      </c>
      <c r="K3129" s="100"/>
      <c r="L3129" s="100"/>
      <c r="N3129" s="100"/>
      <c r="O3129" s="100"/>
      <c r="P3129" s="100"/>
    </row>
    <row r="3130">
      <c r="A3130" s="107">
        <v>203994.0</v>
      </c>
      <c r="B3130" s="108" t="s">
        <v>190</v>
      </c>
      <c r="C3130" s="108" t="s">
        <v>793</v>
      </c>
      <c r="D3130" s="112" t="s">
        <v>177</v>
      </c>
      <c r="E3130" s="112">
        <v>1391.0</v>
      </c>
      <c r="F3130" s="111" t="str">
        <f>DataPull!D3130</f>
        <v/>
      </c>
      <c r="G3130" s="94" t="str">
        <f t="shared" si="2"/>
        <v/>
      </c>
      <c r="H3130" s="94" t="str">
        <f t="shared" si="3"/>
        <v/>
      </c>
      <c r="I3130" s="94" t="str">
        <f t="shared" ref="I3130:J3130" si="3131">if(G3130 = "", , -G3130)</f>
        <v/>
      </c>
      <c r="J3130" s="94" t="str">
        <f t="shared" si="3131"/>
        <v/>
      </c>
      <c r="K3130" s="100"/>
      <c r="L3130" s="100"/>
      <c r="M3130" s="100"/>
      <c r="N3130" s="100"/>
      <c r="O3130" s="100"/>
      <c r="P3130" s="100"/>
    </row>
    <row r="3131">
      <c r="A3131" s="107">
        <v>203994.0</v>
      </c>
      <c r="B3131" s="108" t="s">
        <v>191</v>
      </c>
      <c r="C3131" s="108" t="s">
        <v>793</v>
      </c>
      <c r="D3131" s="112" t="s">
        <v>178</v>
      </c>
      <c r="E3131" s="112">
        <v>2085.6</v>
      </c>
      <c r="F3131" s="111" t="str">
        <f>DataPull!D3131</f>
        <v/>
      </c>
      <c r="G3131" s="94" t="str">
        <f t="shared" si="2"/>
        <v/>
      </c>
      <c r="H3131" s="94" t="str">
        <f t="shared" si="3"/>
        <v/>
      </c>
      <c r="I3131" s="94" t="str">
        <f t="shared" ref="I3131:J3131" si="3132">if(G3131 = "", , -G3131)</f>
        <v/>
      </c>
      <c r="J3131" s="94" t="str">
        <f t="shared" si="3132"/>
        <v/>
      </c>
      <c r="K3131" s="100"/>
      <c r="M3131" s="100"/>
      <c r="N3131" s="100"/>
      <c r="O3131" s="100"/>
      <c r="P3131" s="100"/>
    </row>
    <row r="3132">
      <c r="A3132" s="107">
        <v>203994.0</v>
      </c>
      <c r="B3132" s="108" t="s">
        <v>192</v>
      </c>
      <c r="C3132" s="108" t="s">
        <v>793</v>
      </c>
      <c r="D3132" s="112" t="s">
        <v>184</v>
      </c>
      <c r="E3132" s="112">
        <v>1972.8</v>
      </c>
      <c r="F3132" s="111" t="str">
        <f>DataPull!D3132</f>
        <v/>
      </c>
      <c r="G3132" s="94" t="str">
        <f t="shared" si="2"/>
        <v/>
      </c>
      <c r="H3132" s="94" t="str">
        <f t="shared" si="3"/>
        <v/>
      </c>
      <c r="I3132" s="94" t="str">
        <f t="shared" ref="I3132:J3132" si="3133">if(G3132 = "", , -G3132)</f>
        <v/>
      </c>
      <c r="J3132" s="94" t="str">
        <f t="shared" si="3133"/>
        <v/>
      </c>
      <c r="K3132" s="100"/>
      <c r="M3132" s="100"/>
      <c r="N3132" s="100"/>
      <c r="O3132" s="100"/>
      <c r="P3132" s="100"/>
    </row>
    <row r="3133">
      <c r="A3133" s="107">
        <v>203994.0</v>
      </c>
      <c r="B3133" s="108" t="s">
        <v>193</v>
      </c>
      <c r="C3133" s="108" t="s">
        <v>793</v>
      </c>
      <c r="D3133" s="112" t="s">
        <v>184</v>
      </c>
      <c r="E3133" s="112">
        <v>252.8</v>
      </c>
      <c r="F3133" s="111" t="str">
        <f>DataPull!D3133</f>
        <v/>
      </c>
      <c r="G3133" s="94" t="str">
        <f t="shared" si="2"/>
        <v/>
      </c>
      <c r="H3133" s="94" t="str">
        <f t="shared" si="3"/>
        <v/>
      </c>
      <c r="I3133" s="94" t="str">
        <f t="shared" ref="I3133:J3133" si="3134">if(G3133 = "", , -G3133)</f>
        <v/>
      </c>
      <c r="J3133" s="94" t="str">
        <f t="shared" si="3134"/>
        <v/>
      </c>
      <c r="K3133" s="100"/>
      <c r="L3133" s="100"/>
      <c r="N3133" s="100"/>
      <c r="O3133" s="100"/>
      <c r="P3133" s="100"/>
    </row>
    <row r="3134">
      <c r="A3134" s="107">
        <v>203994.0</v>
      </c>
      <c r="B3134" s="108" t="s">
        <v>243</v>
      </c>
      <c r="C3134" s="108" t="s">
        <v>793</v>
      </c>
      <c r="D3134" s="112" t="s">
        <v>177</v>
      </c>
      <c r="E3134" s="112">
        <v>880.6</v>
      </c>
      <c r="F3134" s="111" t="str">
        <f>DataPull!D3134</f>
        <v/>
      </c>
      <c r="G3134" s="94" t="str">
        <f t="shared" si="2"/>
        <v/>
      </c>
      <c r="H3134" s="94" t="str">
        <f t="shared" si="3"/>
        <v/>
      </c>
      <c r="I3134" s="94" t="str">
        <f t="shared" ref="I3134:J3134" si="3135">if(G3134 = "", , -G3134)</f>
        <v/>
      </c>
      <c r="J3134" s="94" t="str">
        <f t="shared" si="3135"/>
        <v/>
      </c>
      <c r="K3134" s="100"/>
      <c r="L3134" s="100"/>
      <c r="N3134" s="100"/>
      <c r="O3134" s="100"/>
      <c r="P3134" s="100"/>
    </row>
    <row r="3135">
      <c r="A3135" s="107">
        <v>203994.0</v>
      </c>
      <c r="B3135" s="108" t="s">
        <v>215</v>
      </c>
      <c r="C3135" s="108" t="s">
        <v>793</v>
      </c>
      <c r="D3135" s="112" t="s">
        <v>176</v>
      </c>
      <c r="E3135" s="112">
        <v>1579.2</v>
      </c>
      <c r="F3135" s="111" t="str">
        <f>DataPull!D3135</f>
        <v/>
      </c>
      <c r="G3135" s="94" t="str">
        <f t="shared" si="2"/>
        <v/>
      </c>
      <c r="H3135" s="94" t="str">
        <f t="shared" si="3"/>
        <v/>
      </c>
      <c r="I3135" s="94" t="str">
        <f t="shared" ref="I3135:J3135" si="3136">if(G3135 = "", , -G3135)</f>
        <v/>
      </c>
      <c r="J3135" s="94" t="str">
        <f t="shared" si="3136"/>
        <v/>
      </c>
      <c r="K3135" s="100"/>
      <c r="M3135" s="100"/>
      <c r="N3135" s="100"/>
      <c r="O3135" s="100"/>
      <c r="P3135" s="100"/>
    </row>
    <row r="3136">
      <c r="A3136" s="107">
        <v>203994.0</v>
      </c>
      <c r="B3136" s="108" t="s">
        <v>244</v>
      </c>
      <c r="C3136" s="108" t="s">
        <v>793</v>
      </c>
      <c r="D3136" s="112" t="s">
        <v>176</v>
      </c>
      <c r="E3136" s="112">
        <v>1393.6</v>
      </c>
      <c r="F3136" s="111" t="str">
        <f>DataPull!D3136</f>
        <v/>
      </c>
      <c r="G3136" s="94" t="str">
        <f t="shared" si="2"/>
        <v/>
      </c>
      <c r="H3136" s="94" t="str">
        <f t="shared" si="3"/>
        <v/>
      </c>
      <c r="I3136" s="94" t="str">
        <f t="shared" ref="I3136:J3136" si="3137">if(G3136 = "", , -G3136)</f>
        <v/>
      </c>
      <c r="J3136" s="94" t="str">
        <f t="shared" si="3137"/>
        <v/>
      </c>
      <c r="K3136" s="100"/>
      <c r="L3136" s="100"/>
      <c r="N3136" s="100"/>
      <c r="O3136" s="100"/>
    </row>
    <row r="3137">
      <c r="A3137" s="107">
        <v>203994.0</v>
      </c>
      <c r="B3137" s="108" t="s">
        <v>245</v>
      </c>
      <c r="C3137" s="108" t="s">
        <v>793</v>
      </c>
      <c r="D3137" s="112" t="s">
        <v>176</v>
      </c>
      <c r="E3137" s="112">
        <v>2074.8</v>
      </c>
      <c r="F3137" s="111" t="str">
        <f>DataPull!D3137</f>
        <v/>
      </c>
      <c r="G3137" s="94" t="str">
        <f t="shared" si="2"/>
        <v/>
      </c>
      <c r="H3137" s="94" t="str">
        <f t="shared" si="3"/>
        <v/>
      </c>
      <c r="I3137" s="94" t="str">
        <f t="shared" ref="I3137:J3137" si="3138">if(G3137 = "", , -G3137)</f>
        <v/>
      </c>
      <c r="J3137" s="94" t="str">
        <f t="shared" si="3138"/>
        <v/>
      </c>
      <c r="K3137" s="100"/>
      <c r="M3137" s="100"/>
      <c r="N3137" s="100"/>
      <c r="O3137" s="100"/>
      <c r="P3137" s="100"/>
    </row>
    <row r="3138">
      <c r="A3138" s="107">
        <v>203994.0</v>
      </c>
      <c r="B3138" s="108" t="s">
        <v>246</v>
      </c>
      <c r="C3138" s="108" t="s">
        <v>793</v>
      </c>
      <c r="D3138" s="112" t="s">
        <v>177</v>
      </c>
      <c r="E3138" s="112">
        <v>1060.8</v>
      </c>
      <c r="F3138" s="111" t="str">
        <f>DataPull!D3138</f>
        <v/>
      </c>
      <c r="G3138" s="94" t="str">
        <f t="shared" si="2"/>
        <v/>
      </c>
      <c r="H3138" s="94" t="str">
        <f t="shared" si="3"/>
        <v/>
      </c>
      <c r="I3138" s="94" t="str">
        <f t="shared" ref="I3138:J3138" si="3139">if(G3138 = "", , -G3138)</f>
        <v/>
      </c>
      <c r="J3138" s="94" t="str">
        <f t="shared" si="3139"/>
        <v/>
      </c>
      <c r="K3138" s="100"/>
      <c r="M3138" s="100"/>
      <c r="N3138" s="100"/>
      <c r="O3138" s="100"/>
      <c r="P3138" s="100"/>
    </row>
    <row r="3139">
      <c r="A3139" s="114">
        <v>203994.0</v>
      </c>
      <c r="B3139" s="113" t="s">
        <v>247</v>
      </c>
      <c r="C3139" s="108" t="s">
        <v>793</v>
      </c>
      <c r="D3139" s="112" t="s">
        <v>184</v>
      </c>
      <c r="E3139" s="112">
        <v>1082.4</v>
      </c>
      <c r="F3139" s="111" t="str">
        <f>DataPull!D3139</f>
        <v/>
      </c>
      <c r="G3139" s="94" t="str">
        <f t="shared" si="2"/>
        <v/>
      </c>
      <c r="H3139" s="94" t="str">
        <f t="shared" si="3"/>
        <v/>
      </c>
      <c r="I3139" s="94" t="str">
        <f t="shared" ref="I3139:J3139" si="3140">if(G3139 = "", , -G3139)</f>
        <v/>
      </c>
      <c r="J3139" s="94" t="str">
        <f t="shared" si="3140"/>
        <v/>
      </c>
      <c r="K3139" s="100"/>
      <c r="M3139" s="100"/>
      <c r="N3139" s="100"/>
      <c r="O3139" s="100"/>
      <c r="P3139" s="100"/>
    </row>
    <row r="3140">
      <c r="A3140" s="107">
        <v>203995.0</v>
      </c>
      <c r="B3140" s="108" t="s">
        <v>245</v>
      </c>
      <c r="C3140" s="108" t="s">
        <v>794</v>
      </c>
      <c r="D3140" s="112" t="s">
        <v>176</v>
      </c>
      <c r="E3140" s="112">
        <v>1176.0</v>
      </c>
      <c r="F3140" s="111" t="str">
        <f>DataPull!D3140</f>
        <v/>
      </c>
      <c r="G3140" s="94" t="str">
        <f t="shared" si="2"/>
        <v/>
      </c>
      <c r="H3140" s="94" t="str">
        <f t="shared" si="3"/>
        <v/>
      </c>
      <c r="I3140" s="94" t="str">
        <f t="shared" ref="I3140:J3140" si="3141">if(G3140 = "", , -G3140)</f>
        <v/>
      </c>
      <c r="J3140" s="94" t="str">
        <f t="shared" si="3141"/>
        <v/>
      </c>
      <c r="K3140" s="100"/>
      <c r="M3140" s="100"/>
      <c r="N3140" s="100"/>
      <c r="O3140" s="100"/>
      <c r="P3140" s="100"/>
    </row>
    <row r="3141">
      <c r="A3141" s="107">
        <v>203995.0</v>
      </c>
      <c r="B3141" s="108" t="s">
        <v>246</v>
      </c>
      <c r="C3141" s="108" t="s">
        <v>794</v>
      </c>
      <c r="D3141" s="112" t="s">
        <v>176</v>
      </c>
      <c r="E3141" s="112">
        <v>783.1</v>
      </c>
      <c r="F3141" s="111" t="str">
        <f>DataPull!D3141</f>
        <v/>
      </c>
      <c r="G3141" s="94" t="str">
        <f t="shared" si="2"/>
        <v/>
      </c>
      <c r="H3141" s="94" t="str">
        <f t="shared" si="3"/>
        <v/>
      </c>
      <c r="I3141" s="94" t="str">
        <f t="shared" ref="I3141:J3141" si="3142">if(G3141 = "", , -G3141)</f>
        <v/>
      </c>
      <c r="J3141" s="94" t="str">
        <f t="shared" si="3142"/>
        <v/>
      </c>
      <c r="K3141" s="100"/>
      <c r="M3141" s="100"/>
      <c r="N3141" s="100"/>
      <c r="O3141" s="100"/>
      <c r="P3141" s="100"/>
    </row>
    <row r="3142">
      <c r="A3142" s="107">
        <v>203996.0</v>
      </c>
      <c r="B3142" s="108" t="s">
        <v>92</v>
      </c>
      <c r="C3142" s="108" t="s">
        <v>795</v>
      </c>
      <c r="D3142" s="112" t="s">
        <v>187</v>
      </c>
      <c r="E3142" s="112">
        <v>156.0</v>
      </c>
      <c r="F3142" s="111" t="str">
        <f>DataPull!D3142</f>
        <v/>
      </c>
      <c r="G3142" s="94" t="str">
        <f t="shared" si="2"/>
        <v/>
      </c>
      <c r="H3142" s="94" t="str">
        <f t="shared" si="3"/>
        <v/>
      </c>
      <c r="I3142" s="94" t="str">
        <f t="shared" ref="I3142:J3142" si="3143">if(G3142 = "", , -G3142)</f>
        <v/>
      </c>
      <c r="J3142" s="94" t="str">
        <f t="shared" si="3143"/>
        <v/>
      </c>
      <c r="L3142" s="100"/>
      <c r="M3142" s="100"/>
      <c r="N3142" s="100"/>
      <c r="O3142" s="100"/>
    </row>
    <row r="3143">
      <c r="A3143" s="107">
        <v>203998.0</v>
      </c>
      <c r="B3143" s="108" t="s">
        <v>90</v>
      </c>
      <c r="C3143" s="108" t="s">
        <v>796</v>
      </c>
      <c r="D3143" s="112" t="s">
        <v>181</v>
      </c>
      <c r="E3143" s="112">
        <v>23.2</v>
      </c>
      <c r="F3143" s="111" t="str">
        <f>DataPull!D3143</f>
        <v/>
      </c>
      <c r="G3143" s="94" t="str">
        <f t="shared" si="2"/>
        <v/>
      </c>
      <c r="H3143" s="94" t="str">
        <f t="shared" si="3"/>
        <v/>
      </c>
      <c r="I3143" s="94" t="str">
        <f t="shared" ref="I3143:J3143" si="3144">if(G3143 = "", , -G3143)</f>
        <v/>
      </c>
      <c r="J3143" s="94" t="str">
        <f t="shared" si="3144"/>
        <v/>
      </c>
      <c r="K3143" s="100"/>
      <c r="M3143" s="100"/>
      <c r="N3143" s="100"/>
      <c r="O3143" s="100"/>
      <c r="P3143" s="100"/>
    </row>
    <row r="3144">
      <c r="A3144" s="107">
        <v>203998.0</v>
      </c>
      <c r="B3144" s="108" t="s">
        <v>92</v>
      </c>
      <c r="C3144" s="108" t="s">
        <v>796</v>
      </c>
      <c r="D3144" s="112" t="s">
        <v>181</v>
      </c>
      <c r="E3144" s="112">
        <v>42.6</v>
      </c>
      <c r="F3144" s="111" t="str">
        <f>DataPull!D3144</f>
        <v/>
      </c>
      <c r="G3144" s="94" t="str">
        <f t="shared" si="2"/>
        <v/>
      </c>
      <c r="H3144" s="94" t="str">
        <f t="shared" si="3"/>
        <v/>
      </c>
      <c r="I3144" s="94" t="str">
        <f t="shared" ref="I3144:J3144" si="3145">if(G3144 = "", , -G3144)</f>
        <v/>
      </c>
      <c r="J3144" s="94" t="str">
        <f t="shared" si="3145"/>
        <v/>
      </c>
      <c r="K3144" s="100"/>
      <c r="M3144" s="100"/>
      <c r="N3144" s="100"/>
      <c r="O3144" s="100"/>
      <c r="P3144" s="100"/>
    </row>
    <row r="3145">
      <c r="A3145" s="107">
        <v>203998.0</v>
      </c>
      <c r="B3145" s="108" t="s">
        <v>190</v>
      </c>
      <c r="C3145" s="108" t="s">
        <v>796</v>
      </c>
      <c r="D3145" s="112" t="s">
        <v>187</v>
      </c>
      <c r="E3145" s="112">
        <v>40.5</v>
      </c>
      <c r="F3145" s="111" t="str">
        <f>DataPull!D3145</f>
        <v/>
      </c>
      <c r="G3145" s="94" t="str">
        <f t="shared" si="2"/>
        <v/>
      </c>
      <c r="H3145" s="94" t="str">
        <f t="shared" si="3"/>
        <v/>
      </c>
      <c r="I3145" s="94" t="str">
        <f t="shared" ref="I3145:J3145" si="3146">if(G3145 = "", , -G3145)</f>
        <v/>
      </c>
      <c r="J3145" s="94" t="str">
        <f t="shared" si="3146"/>
        <v/>
      </c>
      <c r="K3145" s="100"/>
      <c r="M3145" s="100"/>
      <c r="N3145" s="100"/>
      <c r="O3145" s="100"/>
      <c r="P3145" s="100"/>
    </row>
    <row r="3146">
      <c r="A3146" s="107">
        <v>203998.0</v>
      </c>
      <c r="B3146" s="108" t="s">
        <v>191</v>
      </c>
      <c r="C3146" s="108" t="s">
        <v>796</v>
      </c>
      <c r="D3146" s="112" t="s">
        <v>187</v>
      </c>
      <c r="E3146" s="112">
        <v>106.8</v>
      </c>
      <c r="F3146" s="111" t="str">
        <f>DataPull!D3146</f>
        <v/>
      </c>
      <c r="G3146" s="94" t="str">
        <f t="shared" si="2"/>
        <v/>
      </c>
      <c r="H3146" s="94" t="str">
        <f t="shared" si="3"/>
        <v/>
      </c>
      <c r="I3146" s="94" t="str">
        <f t="shared" ref="I3146:J3146" si="3147">if(G3146 = "", , -G3146)</f>
        <v/>
      </c>
      <c r="J3146" s="94" t="str">
        <f t="shared" si="3147"/>
        <v/>
      </c>
      <c r="K3146" s="100"/>
      <c r="M3146" s="100"/>
      <c r="N3146" s="100"/>
      <c r="O3146" s="100"/>
      <c r="P3146" s="100"/>
    </row>
    <row r="3147">
      <c r="A3147" s="107">
        <v>203998.0</v>
      </c>
      <c r="B3147" s="108" t="s">
        <v>192</v>
      </c>
      <c r="C3147" s="108" t="s">
        <v>796</v>
      </c>
      <c r="D3147" s="112" t="s">
        <v>176</v>
      </c>
      <c r="E3147" s="112">
        <v>799.0</v>
      </c>
      <c r="F3147" s="111" t="str">
        <f>DataPull!D3147</f>
        <v/>
      </c>
      <c r="G3147" s="94" t="str">
        <f t="shared" si="2"/>
        <v/>
      </c>
      <c r="H3147" s="94" t="str">
        <f t="shared" si="3"/>
        <v/>
      </c>
      <c r="I3147" s="94" t="str">
        <f t="shared" ref="I3147:J3147" si="3148">if(G3147 = "", , -G3147)</f>
        <v/>
      </c>
      <c r="J3147" s="94" t="str">
        <f t="shared" si="3148"/>
        <v/>
      </c>
      <c r="N3147" s="100"/>
      <c r="O3147" s="100"/>
      <c r="P3147" s="100"/>
    </row>
    <row r="3148">
      <c r="A3148" s="107">
        <v>203998.0</v>
      </c>
      <c r="B3148" s="108" t="s">
        <v>193</v>
      </c>
      <c r="C3148" s="108" t="s">
        <v>796</v>
      </c>
      <c r="D3148" s="112" t="s">
        <v>187</v>
      </c>
      <c r="E3148" s="112">
        <v>243.0</v>
      </c>
      <c r="F3148" s="111" t="str">
        <f>DataPull!D3148</f>
        <v/>
      </c>
      <c r="G3148" s="94" t="str">
        <f t="shared" si="2"/>
        <v/>
      </c>
      <c r="H3148" s="94" t="str">
        <f t="shared" si="3"/>
        <v/>
      </c>
      <c r="I3148" s="94" t="str">
        <f t="shared" ref="I3148:J3148" si="3149">if(G3148 = "", , -G3148)</f>
        <v/>
      </c>
      <c r="J3148" s="94" t="str">
        <f t="shared" si="3149"/>
        <v/>
      </c>
      <c r="N3148" s="100"/>
      <c r="O3148" s="100"/>
      <c r="P3148" s="100"/>
    </row>
    <row r="3149">
      <c r="A3149" s="107">
        <v>203998.0</v>
      </c>
      <c r="B3149" s="108" t="s">
        <v>243</v>
      </c>
      <c r="C3149" s="108" t="s">
        <v>796</v>
      </c>
      <c r="D3149" s="112" t="s">
        <v>181</v>
      </c>
      <c r="E3149" s="112">
        <v>36.6</v>
      </c>
      <c r="F3149" s="111" t="str">
        <f>DataPull!D3149</f>
        <v/>
      </c>
      <c r="G3149" s="94" t="str">
        <f t="shared" si="2"/>
        <v/>
      </c>
      <c r="H3149" s="94" t="str">
        <f t="shared" si="3"/>
        <v/>
      </c>
      <c r="I3149" s="94" t="str">
        <f t="shared" ref="I3149:J3149" si="3150">if(G3149 = "", , -G3149)</f>
        <v/>
      </c>
      <c r="J3149" s="94" t="str">
        <f t="shared" si="3150"/>
        <v/>
      </c>
      <c r="N3149" s="100"/>
      <c r="O3149" s="100"/>
      <c r="P3149" s="100"/>
    </row>
    <row r="3150">
      <c r="A3150" s="107">
        <v>203999.0</v>
      </c>
      <c r="B3150" s="108" t="s">
        <v>92</v>
      </c>
      <c r="C3150" s="108" t="s">
        <v>797</v>
      </c>
      <c r="D3150" s="112" t="s">
        <v>176</v>
      </c>
      <c r="E3150" s="112">
        <v>1736.0</v>
      </c>
      <c r="F3150" s="111" t="str">
        <f>DataPull!D3150</f>
        <v/>
      </c>
      <c r="G3150" s="94" t="str">
        <f t="shared" si="2"/>
        <v/>
      </c>
      <c r="H3150" s="94" t="str">
        <f t="shared" si="3"/>
        <v/>
      </c>
      <c r="I3150" s="94" t="str">
        <f t="shared" ref="I3150:J3150" si="3151">if(G3150 = "", , -G3150)</f>
        <v/>
      </c>
      <c r="J3150" s="94" t="str">
        <f t="shared" si="3151"/>
        <v/>
      </c>
      <c r="K3150" s="100"/>
      <c r="M3150" s="100"/>
      <c r="N3150" s="100"/>
      <c r="O3150" s="100"/>
      <c r="P3150" s="100"/>
    </row>
    <row r="3151">
      <c r="A3151" s="107">
        <v>203999.0</v>
      </c>
      <c r="B3151" s="108" t="s">
        <v>190</v>
      </c>
      <c r="C3151" s="108" t="s">
        <v>797</v>
      </c>
      <c r="D3151" s="112" t="s">
        <v>184</v>
      </c>
      <c r="E3151" s="112">
        <v>2036.7</v>
      </c>
      <c r="F3151" s="111" t="str">
        <f>DataPull!D3151</f>
        <v/>
      </c>
      <c r="G3151" s="94" t="str">
        <f t="shared" si="2"/>
        <v/>
      </c>
      <c r="H3151" s="94" t="str">
        <f t="shared" si="3"/>
        <v/>
      </c>
      <c r="I3151" s="94" t="str">
        <f t="shared" ref="I3151:J3151" si="3152">if(G3151 = "", , -G3151)</f>
        <v/>
      </c>
      <c r="J3151" s="94" t="str">
        <f t="shared" si="3152"/>
        <v/>
      </c>
      <c r="K3151" s="100"/>
      <c r="L3151" s="100"/>
      <c r="N3151" s="100"/>
      <c r="O3151" s="100"/>
      <c r="P3151" s="100"/>
    </row>
    <row r="3152">
      <c r="A3152" s="107">
        <v>203999.0</v>
      </c>
      <c r="B3152" s="108" t="s">
        <v>191</v>
      </c>
      <c r="C3152" s="108" t="s">
        <v>797</v>
      </c>
      <c r="D3152" s="112" t="s">
        <v>184</v>
      </c>
      <c r="E3152" s="112">
        <v>2445.0</v>
      </c>
      <c r="F3152" s="111" t="str">
        <f>DataPull!D3152</f>
        <v/>
      </c>
      <c r="G3152" s="94" t="str">
        <f t="shared" si="2"/>
        <v/>
      </c>
      <c r="H3152" s="94" t="str">
        <f t="shared" si="3"/>
        <v/>
      </c>
      <c r="I3152" s="94" t="str">
        <f t="shared" ref="I3152:J3152" si="3153">if(G3152 = "", , -G3152)</f>
        <v/>
      </c>
      <c r="J3152" s="94" t="str">
        <f t="shared" si="3153"/>
        <v/>
      </c>
      <c r="K3152" s="100"/>
      <c r="M3152" s="100"/>
      <c r="N3152" s="100"/>
      <c r="O3152" s="100"/>
      <c r="P3152" s="100"/>
    </row>
    <row r="3153">
      <c r="A3153" s="107">
        <v>203999.0</v>
      </c>
      <c r="B3153" s="108" t="s">
        <v>192</v>
      </c>
      <c r="C3153" s="108" t="s">
        <v>797</v>
      </c>
      <c r="D3153" s="112" t="s">
        <v>184</v>
      </c>
      <c r="E3153" s="112">
        <v>2504.0</v>
      </c>
      <c r="F3153" s="111" t="str">
        <f>DataPull!D3153</f>
        <v/>
      </c>
      <c r="G3153" s="94" t="str">
        <f t="shared" si="2"/>
        <v/>
      </c>
      <c r="H3153" s="94" t="str">
        <f t="shared" si="3"/>
        <v/>
      </c>
      <c r="I3153" s="94" t="str">
        <f t="shared" ref="I3153:J3153" si="3154">if(G3153 = "", , -G3153)</f>
        <v/>
      </c>
      <c r="J3153" s="94" t="str">
        <f t="shared" si="3154"/>
        <v/>
      </c>
      <c r="M3153" s="100"/>
      <c r="N3153" s="100"/>
      <c r="O3153" s="100"/>
    </row>
    <row r="3154">
      <c r="A3154" s="107">
        <v>203999.0</v>
      </c>
      <c r="B3154" s="108" t="s">
        <v>193</v>
      </c>
      <c r="C3154" s="108" t="s">
        <v>797</v>
      </c>
      <c r="D3154" s="112" t="s">
        <v>184</v>
      </c>
      <c r="E3154" s="112">
        <v>2336.0</v>
      </c>
      <c r="F3154" s="111" t="str">
        <f>DataPull!D3154</f>
        <v/>
      </c>
      <c r="G3154" s="94" t="str">
        <f t="shared" si="2"/>
        <v/>
      </c>
      <c r="H3154" s="94" t="str">
        <f t="shared" si="3"/>
        <v/>
      </c>
      <c r="I3154" s="94" t="str">
        <f t="shared" ref="I3154:J3154" si="3155">if(G3154 = "", , -G3154)</f>
        <v/>
      </c>
      <c r="J3154" s="94" t="str">
        <f t="shared" si="3155"/>
        <v/>
      </c>
      <c r="N3154" s="100"/>
      <c r="O3154" s="100"/>
      <c r="P3154" s="100"/>
    </row>
    <row r="3155">
      <c r="A3155" s="107">
        <v>203999.0</v>
      </c>
      <c r="B3155" s="108" t="s">
        <v>243</v>
      </c>
      <c r="C3155" s="108" t="s">
        <v>797</v>
      </c>
      <c r="D3155" s="112" t="s">
        <v>184</v>
      </c>
      <c r="E3155" s="112">
        <v>2491.2</v>
      </c>
      <c r="F3155" s="111" t="str">
        <f>DataPull!D3155</f>
        <v/>
      </c>
      <c r="G3155" s="94" t="str">
        <f t="shared" si="2"/>
        <v/>
      </c>
      <c r="H3155" s="94" t="str">
        <f t="shared" si="3"/>
        <v/>
      </c>
      <c r="I3155" s="94" t="str">
        <f t="shared" ref="I3155:J3155" si="3156">if(G3155 = "", , -G3155)</f>
        <v/>
      </c>
      <c r="J3155" s="94" t="str">
        <f t="shared" si="3156"/>
        <v/>
      </c>
      <c r="M3155" s="100"/>
      <c r="N3155" s="100"/>
      <c r="O3155" s="100"/>
      <c r="P3155" s="100"/>
    </row>
    <row r="3156">
      <c r="A3156" s="107">
        <v>203999.0</v>
      </c>
      <c r="B3156" s="108" t="s">
        <v>215</v>
      </c>
      <c r="C3156" s="108" t="s">
        <v>797</v>
      </c>
      <c r="D3156" s="112" t="s">
        <v>184</v>
      </c>
      <c r="E3156" s="112">
        <v>2479.0</v>
      </c>
      <c r="F3156" s="111" t="str">
        <f>DataPull!D3156</f>
        <v/>
      </c>
      <c r="G3156" s="94" t="str">
        <f t="shared" si="2"/>
        <v/>
      </c>
      <c r="H3156" s="94" t="str">
        <f t="shared" si="3"/>
        <v/>
      </c>
      <c r="I3156" s="94" t="str">
        <f t="shared" ref="I3156:J3156" si="3157">if(G3156 = "", , -G3156)</f>
        <v/>
      </c>
      <c r="J3156" s="94" t="str">
        <f t="shared" si="3157"/>
        <v/>
      </c>
      <c r="N3156" s="100"/>
      <c r="O3156" s="100"/>
      <c r="P3156" s="100"/>
    </row>
    <row r="3157">
      <c r="A3157" s="107">
        <v>203999.0</v>
      </c>
      <c r="B3157" s="108" t="s">
        <v>244</v>
      </c>
      <c r="C3157" s="108" t="s">
        <v>797</v>
      </c>
      <c r="D3157" s="112" t="s">
        <v>184</v>
      </c>
      <c r="E3157" s="112">
        <v>2325.3</v>
      </c>
      <c r="F3157" s="111" t="str">
        <f>DataPull!D3157</f>
        <v/>
      </c>
      <c r="G3157" s="94" t="str">
        <f t="shared" si="2"/>
        <v/>
      </c>
      <c r="H3157" s="94" t="str">
        <f t="shared" si="3"/>
        <v/>
      </c>
      <c r="I3157" s="94" t="str">
        <f t="shared" ref="I3157:J3157" si="3158">if(G3157 = "", , -G3157)</f>
        <v/>
      </c>
      <c r="J3157" s="94" t="str">
        <f t="shared" si="3158"/>
        <v/>
      </c>
      <c r="N3157" s="100"/>
      <c r="O3157" s="100"/>
      <c r="P3157" s="100"/>
    </row>
    <row r="3158">
      <c r="A3158" s="107">
        <v>203999.0</v>
      </c>
      <c r="B3158" s="108" t="s">
        <v>245</v>
      </c>
      <c r="C3158" s="108" t="s">
        <v>797</v>
      </c>
      <c r="D3158" s="112" t="s">
        <v>184</v>
      </c>
      <c r="E3158" s="112">
        <v>2733.4</v>
      </c>
      <c r="F3158" s="111" t="str">
        <f>DataPull!D3158</f>
        <v/>
      </c>
      <c r="G3158" s="94" t="str">
        <f t="shared" si="2"/>
        <v/>
      </c>
      <c r="H3158" s="94" t="str">
        <f t="shared" si="3"/>
        <v/>
      </c>
      <c r="I3158" s="94" t="str">
        <f t="shared" ref="I3158:J3158" si="3159">if(G3158 = "", , -G3158)</f>
        <v/>
      </c>
      <c r="J3158" s="94" t="str">
        <f t="shared" si="3159"/>
        <v/>
      </c>
      <c r="M3158" s="100"/>
      <c r="N3158" s="100"/>
      <c r="O3158" s="100"/>
    </row>
    <row r="3159">
      <c r="A3159" s="107">
        <v>203999.0</v>
      </c>
      <c r="B3159" s="108" t="s">
        <v>246</v>
      </c>
      <c r="C3159" s="108" t="s">
        <v>797</v>
      </c>
      <c r="D3159" s="112" t="s">
        <v>184</v>
      </c>
      <c r="E3159" s="112">
        <v>2569.0</v>
      </c>
      <c r="F3159" s="111" t="str">
        <f>DataPull!D3159</f>
        <v/>
      </c>
      <c r="G3159" s="94" t="str">
        <f t="shared" si="2"/>
        <v/>
      </c>
      <c r="H3159" s="94" t="str">
        <f t="shared" si="3"/>
        <v/>
      </c>
      <c r="I3159" s="94" t="str">
        <f t="shared" ref="I3159:J3159" si="3160">if(G3159 = "", , -G3159)</f>
        <v/>
      </c>
      <c r="J3159" s="94" t="str">
        <f t="shared" si="3160"/>
        <v/>
      </c>
      <c r="K3159" s="100"/>
      <c r="M3159" s="100"/>
      <c r="N3159" s="100"/>
      <c r="O3159" s="100"/>
      <c r="P3159" s="100"/>
    </row>
    <row r="3160">
      <c r="A3160" s="114">
        <v>203999.0</v>
      </c>
      <c r="B3160" s="113" t="s">
        <v>247</v>
      </c>
      <c r="C3160" s="108" t="s">
        <v>797</v>
      </c>
      <c r="D3160" s="112" t="s">
        <v>184</v>
      </c>
      <c r="E3160" s="112">
        <v>2262.0</v>
      </c>
      <c r="F3160" s="111" t="str">
        <f>DataPull!D3160</f>
        <v/>
      </c>
      <c r="G3160" s="94" t="str">
        <f t="shared" si="2"/>
        <v/>
      </c>
      <c r="H3160" s="94" t="str">
        <f t="shared" si="3"/>
        <v/>
      </c>
      <c r="I3160" s="94" t="str">
        <f t="shared" ref="I3160:J3160" si="3161">if(G3160 = "", , -G3160)</f>
        <v/>
      </c>
      <c r="J3160" s="94" t="str">
        <f t="shared" si="3161"/>
        <v/>
      </c>
      <c r="N3160" s="100"/>
      <c r="O3160" s="100"/>
      <c r="P3160" s="100"/>
    </row>
    <row r="3161">
      <c r="A3161" s="107">
        <v>204001.0</v>
      </c>
      <c r="B3161" s="108" t="s">
        <v>92</v>
      </c>
      <c r="C3161" s="108" t="s">
        <v>798</v>
      </c>
      <c r="D3161" s="112" t="s">
        <v>178</v>
      </c>
      <c r="E3161" s="112">
        <v>2044.8</v>
      </c>
      <c r="F3161" s="111" t="str">
        <f>DataPull!D3161</f>
        <v/>
      </c>
      <c r="G3161" s="94" t="str">
        <f t="shared" si="2"/>
        <v/>
      </c>
      <c r="H3161" s="94" t="str">
        <f t="shared" si="3"/>
        <v/>
      </c>
      <c r="I3161" s="94" t="str">
        <f t="shared" ref="I3161:J3161" si="3162">if(G3161 = "", , -G3161)</f>
        <v/>
      </c>
      <c r="J3161" s="94" t="str">
        <f t="shared" si="3162"/>
        <v/>
      </c>
      <c r="K3161" s="100"/>
      <c r="M3161" s="100"/>
      <c r="N3161" s="100"/>
      <c r="O3161" s="100"/>
      <c r="P3161" s="100"/>
    </row>
    <row r="3162">
      <c r="A3162" s="107">
        <v>204001.0</v>
      </c>
      <c r="B3162" s="108" t="s">
        <v>190</v>
      </c>
      <c r="C3162" s="108" t="s">
        <v>798</v>
      </c>
      <c r="D3162" s="112" t="s">
        <v>178</v>
      </c>
      <c r="E3162" s="112">
        <v>2164.8</v>
      </c>
      <c r="F3162" s="111" t="str">
        <f>DataPull!D3162</f>
        <v/>
      </c>
      <c r="G3162" s="94" t="str">
        <f t="shared" si="2"/>
        <v/>
      </c>
      <c r="H3162" s="94" t="str">
        <f t="shared" si="3"/>
        <v/>
      </c>
      <c r="I3162" s="94" t="str">
        <f t="shared" ref="I3162:J3162" si="3163">if(G3162 = "", , -G3162)</f>
        <v/>
      </c>
      <c r="J3162" s="94" t="str">
        <f t="shared" si="3163"/>
        <v/>
      </c>
      <c r="N3162" s="100"/>
      <c r="O3162" s="100"/>
      <c r="P3162" s="100"/>
    </row>
    <row r="3163">
      <c r="A3163" s="107">
        <v>204001.0</v>
      </c>
      <c r="B3163" s="108" t="s">
        <v>191</v>
      </c>
      <c r="C3163" s="108" t="s">
        <v>798</v>
      </c>
      <c r="D3163" s="112" t="s">
        <v>184</v>
      </c>
      <c r="E3163" s="112">
        <v>1555.2</v>
      </c>
      <c r="F3163" s="111" t="str">
        <f>DataPull!D3163</f>
        <v/>
      </c>
      <c r="G3163" s="94" t="str">
        <f t="shared" si="2"/>
        <v/>
      </c>
      <c r="H3163" s="94" t="str">
        <f t="shared" si="3"/>
        <v/>
      </c>
      <c r="I3163" s="94" t="str">
        <f t="shared" ref="I3163:J3163" si="3164">if(G3163 = "", , -G3163)</f>
        <v/>
      </c>
      <c r="J3163" s="94" t="str">
        <f t="shared" si="3164"/>
        <v/>
      </c>
      <c r="N3163" s="100"/>
      <c r="O3163" s="100"/>
      <c r="P3163" s="100"/>
    </row>
    <row r="3164">
      <c r="A3164" s="107">
        <v>204001.0</v>
      </c>
      <c r="B3164" s="108" t="s">
        <v>193</v>
      </c>
      <c r="C3164" s="108" t="s">
        <v>798</v>
      </c>
      <c r="D3164" s="112" t="s">
        <v>184</v>
      </c>
      <c r="E3164" s="112">
        <v>1812.6</v>
      </c>
      <c r="F3164" s="111" t="str">
        <f>DataPull!D3164</f>
        <v/>
      </c>
      <c r="G3164" s="94" t="str">
        <f t="shared" si="2"/>
        <v/>
      </c>
      <c r="H3164" s="94" t="str">
        <f t="shared" si="3"/>
        <v/>
      </c>
      <c r="I3164" s="94" t="str">
        <f t="shared" ref="I3164:J3164" si="3165">if(G3164 = "", , -G3164)</f>
        <v/>
      </c>
      <c r="J3164" s="94" t="str">
        <f t="shared" si="3165"/>
        <v/>
      </c>
      <c r="N3164" s="100"/>
      <c r="O3164" s="100"/>
      <c r="P3164" s="100"/>
    </row>
    <row r="3165">
      <c r="A3165" s="107">
        <v>204001.0</v>
      </c>
      <c r="B3165" s="108" t="s">
        <v>243</v>
      </c>
      <c r="C3165" s="108" t="s">
        <v>798</v>
      </c>
      <c r="D3165" s="112" t="s">
        <v>184</v>
      </c>
      <c r="E3165" s="112">
        <v>1328.7</v>
      </c>
      <c r="F3165" s="111" t="str">
        <f>DataPull!D3165</f>
        <v/>
      </c>
      <c r="G3165" s="94" t="str">
        <f t="shared" si="2"/>
        <v/>
      </c>
      <c r="H3165" s="94" t="str">
        <f t="shared" si="3"/>
        <v/>
      </c>
      <c r="I3165" s="94" t="str">
        <f t="shared" ref="I3165:J3165" si="3166">if(G3165 = "", , -G3165)</f>
        <v/>
      </c>
      <c r="J3165" s="94" t="str">
        <f t="shared" si="3166"/>
        <v/>
      </c>
      <c r="M3165" s="100"/>
      <c r="N3165" s="100"/>
      <c r="O3165" s="100"/>
    </row>
    <row r="3166">
      <c r="A3166" s="107">
        <v>204001.0</v>
      </c>
      <c r="B3166" s="108" t="s">
        <v>215</v>
      </c>
      <c r="C3166" s="108" t="s">
        <v>798</v>
      </c>
      <c r="D3166" s="112" t="s">
        <v>184</v>
      </c>
      <c r="E3166" s="112">
        <v>1479.0</v>
      </c>
      <c r="F3166" s="111" t="str">
        <f>DataPull!D3166</f>
        <v/>
      </c>
      <c r="G3166" s="94" t="str">
        <f t="shared" si="2"/>
        <v/>
      </c>
      <c r="H3166" s="94" t="str">
        <f t="shared" si="3"/>
        <v/>
      </c>
      <c r="I3166" s="94" t="str">
        <f t="shared" ref="I3166:J3166" si="3167">if(G3166 = "", , -G3166)</f>
        <v/>
      </c>
      <c r="J3166" s="94" t="str">
        <f t="shared" si="3167"/>
        <v/>
      </c>
      <c r="M3166" s="100"/>
      <c r="N3166" s="100"/>
      <c r="O3166" s="100"/>
      <c r="P3166" s="100"/>
    </row>
    <row r="3167">
      <c r="A3167" s="107">
        <v>204001.0</v>
      </c>
      <c r="B3167" s="108" t="s">
        <v>244</v>
      </c>
      <c r="C3167" s="108" t="s">
        <v>798</v>
      </c>
      <c r="D3167" s="112" t="s">
        <v>184</v>
      </c>
      <c r="E3167" s="112">
        <v>2119.0</v>
      </c>
      <c r="F3167" s="111" t="str">
        <f>DataPull!D3167</f>
        <v/>
      </c>
      <c r="G3167" s="94" t="str">
        <f t="shared" si="2"/>
        <v/>
      </c>
      <c r="H3167" s="94" t="str">
        <f t="shared" si="3"/>
        <v/>
      </c>
      <c r="I3167" s="94" t="str">
        <f t="shared" ref="I3167:J3167" si="3168">if(G3167 = "", , -G3167)</f>
        <v/>
      </c>
      <c r="J3167" s="94" t="str">
        <f t="shared" si="3168"/>
        <v/>
      </c>
      <c r="K3167" s="100"/>
      <c r="M3167" s="100"/>
      <c r="N3167" s="100"/>
      <c r="O3167" s="100"/>
    </row>
    <row r="3168">
      <c r="A3168" s="107">
        <v>204001.0</v>
      </c>
      <c r="B3168" s="108" t="s">
        <v>245</v>
      </c>
      <c r="C3168" s="108" t="s">
        <v>798</v>
      </c>
      <c r="D3168" s="112" t="s">
        <v>184</v>
      </c>
      <c r="E3168" s="112">
        <v>1687.2</v>
      </c>
      <c r="F3168" s="111" t="str">
        <f>DataPull!D3168</f>
        <v/>
      </c>
      <c r="G3168" s="94" t="str">
        <f t="shared" si="2"/>
        <v/>
      </c>
      <c r="H3168" s="94" t="str">
        <f t="shared" si="3"/>
        <v/>
      </c>
      <c r="I3168" s="94" t="str">
        <f t="shared" ref="I3168:J3168" si="3169">if(G3168 = "", , -G3168)</f>
        <v/>
      </c>
      <c r="J3168" s="94" t="str">
        <f t="shared" si="3169"/>
        <v/>
      </c>
      <c r="N3168" s="100"/>
      <c r="O3168" s="100"/>
      <c r="P3168" s="100"/>
    </row>
    <row r="3169">
      <c r="A3169" s="107">
        <v>204001.0</v>
      </c>
      <c r="B3169" s="108" t="s">
        <v>246</v>
      </c>
      <c r="C3169" s="108" t="s">
        <v>798</v>
      </c>
      <c r="D3169" s="112" t="s">
        <v>184</v>
      </c>
      <c r="E3169" s="112">
        <v>1209.6</v>
      </c>
      <c r="F3169" s="111" t="str">
        <f>DataPull!D3169</f>
        <v/>
      </c>
      <c r="G3169" s="94" t="str">
        <f t="shared" si="2"/>
        <v/>
      </c>
      <c r="H3169" s="94" t="str">
        <f t="shared" si="3"/>
        <v/>
      </c>
      <c r="I3169" s="94" t="str">
        <f t="shared" ref="I3169:J3169" si="3170">if(G3169 = "", , -G3169)</f>
        <v/>
      </c>
      <c r="J3169" s="94" t="str">
        <f t="shared" si="3170"/>
        <v/>
      </c>
      <c r="K3169" s="100"/>
      <c r="M3169" s="100"/>
      <c r="N3169" s="100"/>
      <c r="O3169" s="100"/>
      <c r="P3169" s="100"/>
    </row>
    <row r="3170">
      <c r="A3170" s="114">
        <v>204001.0</v>
      </c>
      <c r="B3170" s="113" t="s">
        <v>247</v>
      </c>
      <c r="C3170" s="108" t="s">
        <v>798</v>
      </c>
      <c r="D3170" s="112" t="s">
        <v>176</v>
      </c>
      <c r="E3170" s="112">
        <v>768.0</v>
      </c>
      <c r="F3170" s="111" t="str">
        <f>DataPull!D3170</f>
        <v/>
      </c>
      <c r="G3170" s="94" t="str">
        <f t="shared" si="2"/>
        <v/>
      </c>
      <c r="H3170" s="94" t="str">
        <f t="shared" si="3"/>
        <v/>
      </c>
      <c r="I3170" s="94" t="str">
        <f t="shared" ref="I3170:J3170" si="3171">if(G3170 = "", , -G3170)</f>
        <v/>
      </c>
      <c r="J3170" s="94" t="str">
        <f t="shared" si="3171"/>
        <v/>
      </c>
      <c r="M3170" s="100"/>
      <c r="N3170" s="100"/>
      <c r="O3170" s="100"/>
      <c r="P3170" s="100"/>
    </row>
    <row r="3171">
      <c r="A3171" s="107">
        <v>204002.0</v>
      </c>
      <c r="B3171" s="108" t="s">
        <v>92</v>
      </c>
      <c r="C3171" s="108" t="s">
        <v>799</v>
      </c>
      <c r="D3171" s="112" t="s">
        <v>187</v>
      </c>
      <c r="E3171" s="112">
        <v>72.6</v>
      </c>
      <c r="F3171" s="111" t="str">
        <f>DataPull!D3171</f>
        <v/>
      </c>
      <c r="G3171" s="94" t="str">
        <f t="shared" si="2"/>
        <v/>
      </c>
      <c r="H3171" s="94" t="str">
        <f t="shared" si="3"/>
        <v/>
      </c>
      <c r="I3171" s="94" t="str">
        <f t="shared" ref="I3171:J3171" si="3172">if(G3171 = "", , -G3171)</f>
        <v/>
      </c>
      <c r="J3171" s="94" t="str">
        <f t="shared" si="3172"/>
        <v/>
      </c>
      <c r="K3171" s="100"/>
      <c r="M3171" s="100"/>
      <c r="O3171" s="100"/>
      <c r="P3171" s="100"/>
    </row>
    <row r="3172">
      <c r="A3172" s="107">
        <v>204002.0</v>
      </c>
      <c r="B3172" s="108" t="s">
        <v>190</v>
      </c>
      <c r="C3172" s="108" t="s">
        <v>799</v>
      </c>
      <c r="D3172" s="112" t="s">
        <v>181</v>
      </c>
      <c r="E3172" s="112">
        <v>27.6</v>
      </c>
      <c r="F3172" s="111" t="str">
        <f>DataPull!D3172</f>
        <v/>
      </c>
      <c r="G3172" s="94" t="str">
        <f t="shared" si="2"/>
        <v/>
      </c>
      <c r="H3172" s="94" t="str">
        <f t="shared" si="3"/>
        <v/>
      </c>
      <c r="I3172" s="94" t="str">
        <f t="shared" ref="I3172:J3172" si="3173">if(G3172 = "", , -G3172)</f>
        <v/>
      </c>
      <c r="J3172" s="94" t="str">
        <f t="shared" si="3173"/>
        <v/>
      </c>
      <c r="M3172" s="100"/>
      <c r="N3172" s="100"/>
      <c r="O3172" s="100"/>
    </row>
    <row r="3173">
      <c r="A3173" s="107">
        <v>204014.0</v>
      </c>
      <c r="B3173" s="108" t="s">
        <v>90</v>
      </c>
      <c r="C3173" s="108" t="s">
        <v>800</v>
      </c>
      <c r="D3173" s="112" t="s">
        <v>177</v>
      </c>
      <c r="E3173" s="112">
        <v>1047.2</v>
      </c>
      <c r="F3173" s="111" t="str">
        <f>DataPull!D3173</f>
        <v/>
      </c>
      <c r="G3173" s="94" t="str">
        <f t="shared" si="2"/>
        <v/>
      </c>
      <c r="H3173" s="94" t="str">
        <f t="shared" si="3"/>
        <v/>
      </c>
      <c r="I3173" s="94" t="str">
        <f t="shared" ref="I3173:J3173" si="3174">if(G3173 = "", , -G3173)</f>
        <v/>
      </c>
      <c r="J3173" s="94" t="str">
        <f t="shared" si="3174"/>
        <v/>
      </c>
      <c r="K3173" s="100"/>
      <c r="M3173" s="100"/>
      <c r="N3173" s="100"/>
      <c r="O3173" s="100"/>
    </row>
    <row r="3174">
      <c r="A3174" s="107">
        <v>204014.0</v>
      </c>
      <c r="B3174" s="108" t="s">
        <v>92</v>
      </c>
      <c r="C3174" s="108" t="s">
        <v>800</v>
      </c>
      <c r="D3174" s="112" t="s">
        <v>187</v>
      </c>
      <c r="E3174" s="112">
        <v>277.2</v>
      </c>
      <c r="F3174" s="111" t="str">
        <f>DataPull!D3174</f>
        <v/>
      </c>
      <c r="G3174" s="94" t="str">
        <f t="shared" si="2"/>
        <v/>
      </c>
      <c r="H3174" s="94" t="str">
        <f t="shared" si="3"/>
        <v/>
      </c>
      <c r="I3174" s="94" t="str">
        <f t="shared" ref="I3174:J3174" si="3175">if(G3174 = "", , -G3174)</f>
        <v/>
      </c>
      <c r="J3174" s="94" t="str">
        <f t="shared" si="3175"/>
        <v/>
      </c>
      <c r="M3174" s="100"/>
      <c r="N3174" s="100"/>
      <c r="O3174" s="100"/>
    </row>
    <row r="3175">
      <c r="A3175" s="107">
        <v>204014.0</v>
      </c>
      <c r="B3175" s="108" t="s">
        <v>190</v>
      </c>
      <c r="C3175" s="108" t="s">
        <v>800</v>
      </c>
      <c r="D3175" s="112" t="s">
        <v>187</v>
      </c>
      <c r="E3175" s="112">
        <v>315.0</v>
      </c>
      <c r="F3175" s="111" t="str">
        <f>DataPull!D3175</f>
        <v/>
      </c>
      <c r="G3175" s="94" t="str">
        <f t="shared" si="2"/>
        <v/>
      </c>
      <c r="H3175" s="94" t="str">
        <f t="shared" si="3"/>
        <v/>
      </c>
      <c r="I3175" s="94" t="str">
        <f t="shared" ref="I3175:J3175" si="3176">if(G3175 = "", , -G3175)</f>
        <v/>
      </c>
      <c r="J3175" s="94" t="str">
        <f t="shared" si="3176"/>
        <v/>
      </c>
      <c r="M3175" s="100"/>
      <c r="N3175" s="100"/>
      <c r="O3175" s="100"/>
    </row>
    <row r="3176">
      <c r="A3176" s="107">
        <v>204020.0</v>
      </c>
      <c r="B3176" s="108" t="s">
        <v>90</v>
      </c>
      <c r="C3176" s="108" t="s">
        <v>801</v>
      </c>
      <c r="D3176" s="112" t="s">
        <v>177</v>
      </c>
      <c r="E3176" s="112">
        <v>601.6</v>
      </c>
      <c r="F3176" s="111" t="str">
        <f>DataPull!D3176</f>
        <v/>
      </c>
      <c r="G3176" s="94" t="str">
        <f t="shared" si="2"/>
        <v/>
      </c>
      <c r="H3176" s="94" t="str">
        <f t="shared" si="3"/>
        <v/>
      </c>
      <c r="I3176" s="94" t="str">
        <f t="shared" ref="I3176:J3176" si="3177">if(G3176 = "", , -G3176)</f>
        <v/>
      </c>
      <c r="J3176" s="94" t="str">
        <f t="shared" si="3177"/>
        <v/>
      </c>
      <c r="N3176" s="100"/>
      <c r="O3176" s="100"/>
      <c r="P3176" s="100"/>
    </row>
    <row r="3177">
      <c r="A3177" s="107">
        <v>204020.0</v>
      </c>
      <c r="B3177" s="108" t="s">
        <v>92</v>
      </c>
      <c r="C3177" s="108" t="s">
        <v>801</v>
      </c>
      <c r="D3177" s="112" t="s">
        <v>176</v>
      </c>
      <c r="E3177" s="112">
        <v>864.0</v>
      </c>
      <c r="F3177" s="111" t="str">
        <f>DataPull!D3177</f>
        <v/>
      </c>
      <c r="G3177" s="94" t="str">
        <f t="shared" si="2"/>
        <v/>
      </c>
      <c r="H3177" s="94" t="str">
        <f t="shared" si="3"/>
        <v/>
      </c>
      <c r="I3177" s="94" t="str">
        <f t="shared" ref="I3177:J3177" si="3178">if(G3177 = "", , -G3177)</f>
        <v/>
      </c>
      <c r="J3177" s="94" t="str">
        <f t="shared" si="3178"/>
        <v/>
      </c>
      <c r="M3177" s="100"/>
      <c r="N3177" s="100"/>
      <c r="P3177" s="100"/>
    </row>
    <row r="3178">
      <c r="A3178" s="107">
        <v>204020.0</v>
      </c>
      <c r="B3178" s="108" t="s">
        <v>190</v>
      </c>
      <c r="C3178" s="108" t="s">
        <v>801</v>
      </c>
      <c r="D3178" s="112" t="s">
        <v>176</v>
      </c>
      <c r="E3178" s="112">
        <v>2175.4</v>
      </c>
      <c r="F3178" s="111" t="str">
        <f>DataPull!D3178</f>
        <v/>
      </c>
      <c r="G3178" s="94" t="str">
        <f t="shared" si="2"/>
        <v/>
      </c>
      <c r="H3178" s="94" t="str">
        <f t="shared" si="3"/>
        <v/>
      </c>
      <c r="I3178" s="94" t="str">
        <f t="shared" ref="I3178:J3178" si="3179">if(G3178 = "", , -G3178)</f>
        <v/>
      </c>
      <c r="J3178" s="94" t="str">
        <f t="shared" si="3179"/>
        <v/>
      </c>
      <c r="K3178" s="100"/>
      <c r="M3178" s="100"/>
      <c r="N3178" s="100"/>
      <c r="O3178" s="100"/>
    </row>
    <row r="3179">
      <c r="A3179" s="107">
        <v>204020.0</v>
      </c>
      <c r="B3179" s="108" t="s">
        <v>191</v>
      </c>
      <c r="C3179" s="108" t="s">
        <v>801</v>
      </c>
      <c r="D3179" s="112" t="s">
        <v>178</v>
      </c>
      <c r="E3179" s="112">
        <v>2052.0</v>
      </c>
      <c r="F3179" s="111" t="str">
        <f>DataPull!D3179</f>
        <v/>
      </c>
      <c r="G3179" s="94" t="str">
        <f t="shared" si="2"/>
        <v/>
      </c>
      <c r="H3179" s="94" t="str">
        <f t="shared" si="3"/>
        <v/>
      </c>
      <c r="I3179" s="94" t="str">
        <f t="shared" ref="I3179:J3179" si="3180">if(G3179 = "", , -G3179)</f>
        <v/>
      </c>
      <c r="J3179" s="94" t="str">
        <f t="shared" si="3180"/>
        <v/>
      </c>
      <c r="M3179" s="100"/>
      <c r="N3179" s="100"/>
      <c r="O3179" s="100"/>
    </row>
    <row r="3180">
      <c r="A3180" s="107">
        <v>204020.0</v>
      </c>
      <c r="B3180" s="108" t="s">
        <v>192</v>
      </c>
      <c r="C3180" s="108" t="s">
        <v>801</v>
      </c>
      <c r="D3180" s="112" t="s">
        <v>176</v>
      </c>
      <c r="E3180" s="112">
        <v>1527.6</v>
      </c>
      <c r="F3180" s="111" t="str">
        <f>DataPull!D3180</f>
        <v/>
      </c>
      <c r="G3180" s="94" t="str">
        <f t="shared" si="2"/>
        <v/>
      </c>
      <c r="H3180" s="94" t="str">
        <f t="shared" si="3"/>
        <v/>
      </c>
      <c r="I3180" s="94" t="str">
        <f t="shared" ref="I3180:J3180" si="3181">if(G3180 = "", , -G3180)</f>
        <v/>
      </c>
      <c r="J3180" s="94" t="str">
        <f t="shared" si="3181"/>
        <v/>
      </c>
      <c r="M3180" s="100"/>
      <c r="N3180" s="100"/>
      <c r="O3180" s="100"/>
    </row>
    <row r="3181">
      <c r="A3181" s="107">
        <v>204020.0</v>
      </c>
      <c r="B3181" s="108" t="s">
        <v>193</v>
      </c>
      <c r="C3181" s="108" t="s">
        <v>801</v>
      </c>
      <c r="D3181" s="112" t="s">
        <v>177</v>
      </c>
      <c r="E3181" s="112">
        <v>709.8</v>
      </c>
      <c r="F3181" s="111" t="str">
        <f>DataPull!D3181</f>
        <v/>
      </c>
      <c r="G3181" s="94" t="str">
        <f t="shared" si="2"/>
        <v/>
      </c>
      <c r="H3181" s="94" t="str">
        <f t="shared" si="3"/>
        <v/>
      </c>
      <c r="I3181" s="94" t="str">
        <f t="shared" ref="I3181:J3181" si="3182">if(G3181 = "", , -G3181)</f>
        <v/>
      </c>
      <c r="J3181" s="94" t="str">
        <f t="shared" si="3182"/>
        <v/>
      </c>
      <c r="O3181" s="100"/>
      <c r="P3181" s="100"/>
    </row>
    <row r="3182">
      <c r="A3182" s="107">
        <v>204020.0</v>
      </c>
      <c r="B3182" s="108" t="s">
        <v>243</v>
      </c>
      <c r="C3182" s="108" t="s">
        <v>801</v>
      </c>
      <c r="D3182" s="112" t="s">
        <v>177</v>
      </c>
      <c r="E3182" s="112">
        <v>682.5</v>
      </c>
      <c r="F3182" s="111" t="str">
        <f>DataPull!D3182</f>
        <v/>
      </c>
      <c r="G3182" s="94" t="str">
        <f t="shared" si="2"/>
        <v/>
      </c>
      <c r="H3182" s="94" t="str">
        <f t="shared" si="3"/>
        <v/>
      </c>
      <c r="I3182" s="94" t="str">
        <f t="shared" ref="I3182:J3182" si="3183">if(G3182 = "", , -G3182)</f>
        <v/>
      </c>
      <c r="J3182" s="94" t="str">
        <f t="shared" si="3183"/>
        <v/>
      </c>
      <c r="M3182" s="100"/>
      <c r="N3182" s="100"/>
    </row>
    <row r="3183">
      <c r="A3183" s="107">
        <v>204020.0</v>
      </c>
      <c r="B3183" s="108" t="s">
        <v>215</v>
      </c>
      <c r="C3183" s="108" t="s">
        <v>801</v>
      </c>
      <c r="D3183" s="112" t="s">
        <v>181</v>
      </c>
      <c r="E3183" s="112">
        <v>91.2</v>
      </c>
      <c r="F3183" s="111" t="str">
        <f>DataPull!D3183</f>
        <v/>
      </c>
      <c r="G3183" s="94" t="str">
        <f t="shared" si="2"/>
        <v/>
      </c>
      <c r="H3183" s="94" t="str">
        <f t="shared" si="3"/>
        <v/>
      </c>
      <c r="I3183" s="94" t="str">
        <f t="shared" ref="I3183:J3183" si="3184">if(G3183 = "", , -G3183)</f>
        <v/>
      </c>
      <c r="J3183" s="94" t="str">
        <f t="shared" si="3184"/>
        <v/>
      </c>
      <c r="N3183" s="100"/>
      <c r="O3183" s="100"/>
      <c r="P3183" s="100"/>
    </row>
    <row r="3184">
      <c r="A3184" s="107">
        <v>204021.0</v>
      </c>
      <c r="B3184" s="108" t="s">
        <v>90</v>
      </c>
      <c r="C3184" s="108" t="s">
        <v>802</v>
      </c>
      <c r="D3184" s="112" t="s">
        <v>181</v>
      </c>
      <c r="E3184" s="112">
        <v>2.7</v>
      </c>
      <c r="F3184" s="111" t="str">
        <f>DataPull!D3184</f>
        <v/>
      </c>
      <c r="G3184" s="94" t="str">
        <f t="shared" si="2"/>
        <v/>
      </c>
      <c r="H3184" s="94" t="str">
        <f t="shared" si="3"/>
        <v/>
      </c>
      <c r="I3184" s="94" t="str">
        <f t="shared" ref="I3184:J3184" si="3185">if(G3184 = "", , -G3184)</f>
        <v/>
      </c>
      <c r="J3184" s="94" t="str">
        <f t="shared" si="3185"/>
        <v/>
      </c>
      <c r="M3184" s="100"/>
      <c r="N3184" s="100"/>
      <c r="O3184" s="100"/>
    </row>
    <row r="3185">
      <c r="A3185" s="107">
        <v>204022.0</v>
      </c>
      <c r="B3185" s="108" t="s">
        <v>90</v>
      </c>
      <c r="C3185" s="108" t="s">
        <v>803</v>
      </c>
      <c r="D3185" s="112" t="s">
        <v>187</v>
      </c>
      <c r="E3185" s="112">
        <v>86.4</v>
      </c>
      <c r="F3185" s="111" t="str">
        <f>DataPull!D3185</f>
        <v/>
      </c>
      <c r="G3185" s="94" t="str">
        <f t="shared" si="2"/>
        <v/>
      </c>
      <c r="H3185" s="94" t="str">
        <f t="shared" si="3"/>
        <v/>
      </c>
      <c r="I3185" s="94" t="str">
        <f t="shared" ref="I3185:J3185" si="3186">if(G3185 = "", , -G3185)</f>
        <v/>
      </c>
      <c r="J3185" s="94" t="str">
        <f t="shared" si="3186"/>
        <v/>
      </c>
      <c r="N3185" s="100"/>
      <c r="O3185" s="100"/>
    </row>
    <row r="3186">
      <c r="A3186" s="107">
        <v>204022.0</v>
      </c>
      <c r="B3186" s="108" t="s">
        <v>191</v>
      </c>
      <c r="C3186" s="108" t="s">
        <v>803</v>
      </c>
      <c r="D3186" s="112" t="s">
        <v>181</v>
      </c>
      <c r="E3186" s="112">
        <v>87.5</v>
      </c>
      <c r="F3186" s="111" t="str">
        <f>DataPull!D3186</f>
        <v/>
      </c>
      <c r="G3186" s="94" t="str">
        <f t="shared" si="2"/>
        <v/>
      </c>
      <c r="H3186" s="94" t="str">
        <f t="shared" si="3"/>
        <v/>
      </c>
      <c r="I3186" s="94" t="str">
        <f t="shared" ref="I3186:J3186" si="3187">if(G3186 = "", , -G3186)</f>
        <v/>
      </c>
      <c r="J3186" s="94" t="str">
        <f t="shared" si="3187"/>
        <v/>
      </c>
      <c r="N3186" s="100"/>
      <c r="O3186" s="100"/>
      <c r="P3186" s="100"/>
    </row>
    <row r="3187">
      <c r="A3187" s="107">
        <v>204025.0</v>
      </c>
      <c r="B3187" s="108" t="s">
        <v>90</v>
      </c>
      <c r="C3187" s="108" t="s">
        <v>804</v>
      </c>
      <c r="D3187" s="112" t="s">
        <v>181</v>
      </c>
      <c r="E3187" s="112">
        <v>239.8</v>
      </c>
      <c r="F3187" s="111" t="str">
        <f>DataPull!D3187</f>
        <v/>
      </c>
      <c r="G3187" s="94" t="str">
        <f t="shared" si="2"/>
        <v/>
      </c>
      <c r="H3187" s="94" t="str">
        <f t="shared" si="3"/>
        <v/>
      </c>
      <c r="I3187" s="94" t="str">
        <f t="shared" ref="I3187:J3187" si="3188">if(G3187 = "", , -G3187)</f>
        <v/>
      </c>
      <c r="J3187" s="94" t="str">
        <f t="shared" si="3188"/>
        <v/>
      </c>
      <c r="N3187" s="100"/>
      <c r="O3187" s="100"/>
      <c r="P3187" s="100"/>
    </row>
    <row r="3188">
      <c r="A3188" s="107">
        <v>204025.0</v>
      </c>
      <c r="B3188" s="108" t="s">
        <v>92</v>
      </c>
      <c r="C3188" s="108" t="s">
        <v>804</v>
      </c>
      <c r="D3188" s="112" t="s">
        <v>187</v>
      </c>
      <c r="E3188" s="112">
        <v>739.5</v>
      </c>
      <c r="F3188" s="111" t="str">
        <f>DataPull!D3188</f>
        <v/>
      </c>
      <c r="G3188" s="94" t="str">
        <f t="shared" si="2"/>
        <v/>
      </c>
      <c r="H3188" s="94" t="str">
        <f t="shared" si="3"/>
        <v/>
      </c>
      <c r="I3188" s="94" t="str">
        <f t="shared" ref="I3188:J3188" si="3189">if(G3188 = "", , -G3188)</f>
        <v/>
      </c>
      <c r="J3188" s="94" t="str">
        <f t="shared" si="3189"/>
        <v/>
      </c>
      <c r="M3188" s="100"/>
      <c r="N3188" s="100"/>
      <c r="O3188" s="100"/>
    </row>
    <row r="3189">
      <c r="A3189" s="107">
        <v>204025.0</v>
      </c>
      <c r="B3189" s="108" t="s">
        <v>190</v>
      </c>
      <c r="C3189" s="108" t="s">
        <v>804</v>
      </c>
      <c r="D3189" s="112" t="s">
        <v>176</v>
      </c>
      <c r="E3189" s="112">
        <v>1527.5</v>
      </c>
      <c r="F3189" s="111" t="str">
        <f>DataPull!D3189</f>
        <v/>
      </c>
      <c r="G3189" s="94" t="str">
        <f t="shared" si="2"/>
        <v/>
      </c>
      <c r="H3189" s="94" t="str">
        <f t="shared" si="3"/>
        <v/>
      </c>
      <c r="I3189" s="94" t="str">
        <f t="shared" ref="I3189:J3189" si="3190">if(G3189 = "", , -G3189)</f>
        <v/>
      </c>
      <c r="J3189" s="94" t="str">
        <f t="shared" si="3190"/>
        <v/>
      </c>
      <c r="N3189" s="100"/>
      <c r="O3189" s="100"/>
      <c r="P3189" s="100"/>
    </row>
    <row r="3190">
      <c r="A3190" s="107">
        <v>204025.0</v>
      </c>
      <c r="B3190" s="108" t="s">
        <v>191</v>
      </c>
      <c r="C3190" s="108" t="s">
        <v>804</v>
      </c>
      <c r="D3190" s="112" t="s">
        <v>177</v>
      </c>
      <c r="E3190" s="112">
        <v>837.8</v>
      </c>
      <c r="F3190" s="111" t="str">
        <f>DataPull!D3190</f>
        <v/>
      </c>
      <c r="G3190" s="94" t="str">
        <f t="shared" si="2"/>
        <v/>
      </c>
      <c r="H3190" s="94" t="str">
        <f t="shared" si="3"/>
        <v/>
      </c>
      <c r="I3190" s="94" t="str">
        <f t="shared" ref="I3190:J3190" si="3191">if(G3190 = "", , -G3190)</f>
        <v/>
      </c>
      <c r="J3190" s="94" t="str">
        <f t="shared" si="3191"/>
        <v/>
      </c>
      <c r="K3190" s="100"/>
      <c r="M3190" s="100"/>
      <c r="N3190" s="100"/>
      <c r="O3190" s="100"/>
      <c r="P3190" s="100"/>
    </row>
    <row r="3191">
      <c r="A3191" s="107">
        <v>204025.0</v>
      </c>
      <c r="B3191" s="108" t="s">
        <v>192</v>
      </c>
      <c r="C3191" s="108" t="s">
        <v>804</v>
      </c>
      <c r="D3191" s="112" t="s">
        <v>177</v>
      </c>
      <c r="E3191" s="112">
        <v>1121.0</v>
      </c>
      <c r="F3191" s="111" t="str">
        <f>DataPull!D3191</f>
        <v/>
      </c>
      <c r="G3191" s="94" t="str">
        <f t="shared" si="2"/>
        <v/>
      </c>
      <c r="H3191" s="94" t="str">
        <f t="shared" si="3"/>
        <v/>
      </c>
      <c r="I3191" s="94" t="str">
        <f t="shared" ref="I3191:J3191" si="3192">if(G3191 = "", , -G3191)</f>
        <v/>
      </c>
      <c r="J3191" s="94" t="str">
        <f t="shared" si="3192"/>
        <v/>
      </c>
      <c r="N3191" s="100"/>
      <c r="O3191" s="100"/>
    </row>
    <row r="3192">
      <c r="A3192" s="107">
        <v>204025.0</v>
      </c>
      <c r="B3192" s="108" t="s">
        <v>193</v>
      </c>
      <c r="C3192" s="108" t="s">
        <v>804</v>
      </c>
      <c r="D3192" s="112" t="s">
        <v>177</v>
      </c>
      <c r="E3192" s="112">
        <v>353.7</v>
      </c>
      <c r="F3192" s="111" t="str">
        <f>DataPull!D3192</f>
        <v/>
      </c>
      <c r="G3192" s="94" t="str">
        <f t="shared" si="2"/>
        <v/>
      </c>
      <c r="H3192" s="94" t="str">
        <f t="shared" si="3"/>
        <v/>
      </c>
      <c r="I3192" s="94" t="str">
        <f t="shared" ref="I3192:J3192" si="3193">if(G3192 = "", , -G3192)</f>
        <v/>
      </c>
      <c r="J3192" s="94" t="str">
        <f t="shared" si="3193"/>
        <v/>
      </c>
      <c r="M3192" s="100"/>
      <c r="N3192" s="100"/>
      <c r="O3192" s="100"/>
    </row>
    <row r="3193">
      <c r="A3193" s="107">
        <v>204025.0</v>
      </c>
      <c r="B3193" s="108" t="s">
        <v>243</v>
      </c>
      <c r="C3193" s="108" t="s">
        <v>804</v>
      </c>
      <c r="D3193" s="112" t="s">
        <v>181</v>
      </c>
      <c r="E3193" s="112">
        <v>62.0</v>
      </c>
      <c r="F3193" s="111" t="str">
        <f>DataPull!D3193</f>
        <v/>
      </c>
      <c r="G3193" s="94" t="str">
        <f t="shared" si="2"/>
        <v/>
      </c>
      <c r="H3193" s="94" t="str">
        <f t="shared" si="3"/>
        <v/>
      </c>
      <c r="I3193" s="94" t="str">
        <f t="shared" ref="I3193:J3193" si="3194">if(G3193 = "", , -G3193)</f>
        <v/>
      </c>
      <c r="J3193" s="94" t="str">
        <f t="shared" si="3194"/>
        <v/>
      </c>
      <c r="M3193" s="100"/>
      <c r="N3193" s="100"/>
      <c r="O3193" s="100"/>
    </row>
    <row r="3194">
      <c r="A3194" s="107">
        <v>204025.0</v>
      </c>
      <c r="B3194" s="108" t="s">
        <v>215</v>
      </c>
      <c r="C3194" s="108" t="s">
        <v>804</v>
      </c>
      <c r="D3194" s="112" t="s">
        <v>187</v>
      </c>
      <c r="E3194" s="112">
        <v>207.6</v>
      </c>
      <c r="F3194" s="111" t="str">
        <f>DataPull!D3194</f>
        <v/>
      </c>
      <c r="G3194" s="94" t="str">
        <f t="shared" si="2"/>
        <v/>
      </c>
      <c r="H3194" s="94" t="str">
        <f t="shared" si="3"/>
        <v/>
      </c>
      <c r="I3194" s="94" t="str">
        <f t="shared" ref="I3194:J3194" si="3195">if(G3194 = "", , -G3194)</f>
        <v/>
      </c>
      <c r="J3194" s="94" t="str">
        <f t="shared" si="3195"/>
        <v/>
      </c>
      <c r="M3194" s="100"/>
      <c r="N3194" s="100"/>
      <c r="O3194" s="100"/>
    </row>
    <row r="3195">
      <c r="A3195" s="107">
        <v>204028.0</v>
      </c>
      <c r="B3195" s="108" t="s">
        <v>90</v>
      </c>
      <c r="C3195" s="108" t="s">
        <v>805</v>
      </c>
      <c r="D3195" s="112" t="s">
        <v>176</v>
      </c>
      <c r="E3195" s="112">
        <v>1197.0</v>
      </c>
      <c r="F3195" s="111" t="str">
        <f>DataPull!D3195</f>
        <v/>
      </c>
      <c r="G3195" s="94" t="str">
        <f t="shared" si="2"/>
        <v/>
      </c>
      <c r="H3195" s="94" t="str">
        <f t="shared" si="3"/>
        <v/>
      </c>
      <c r="I3195" s="94" t="str">
        <f t="shared" ref="I3195:J3195" si="3196">if(G3195 = "", , -G3195)</f>
        <v/>
      </c>
      <c r="J3195" s="94" t="str">
        <f t="shared" si="3196"/>
        <v/>
      </c>
      <c r="K3195" s="100"/>
      <c r="M3195" s="100"/>
      <c r="N3195" s="100"/>
      <c r="O3195" s="100"/>
      <c r="P3195" s="100"/>
    </row>
    <row r="3196">
      <c r="A3196" s="107">
        <v>204028.0</v>
      </c>
      <c r="B3196" s="108" t="s">
        <v>92</v>
      </c>
      <c r="C3196" s="108" t="s">
        <v>805</v>
      </c>
      <c r="D3196" s="112" t="s">
        <v>177</v>
      </c>
      <c r="E3196" s="112">
        <v>495.3</v>
      </c>
      <c r="F3196" s="111" t="str">
        <f>DataPull!D3196</f>
        <v/>
      </c>
      <c r="G3196" s="94" t="str">
        <f t="shared" si="2"/>
        <v/>
      </c>
      <c r="H3196" s="94" t="str">
        <f t="shared" si="3"/>
        <v/>
      </c>
      <c r="I3196" s="94" t="str">
        <f t="shared" ref="I3196:J3196" si="3197">if(G3196 = "", , -G3196)</f>
        <v/>
      </c>
      <c r="J3196" s="94" t="str">
        <f t="shared" si="3197"/>
        <v/>
      </c>
      <c r="K3196" s="100"/>
      <c r="M3196" s="100"/>
      <c r="N3196" s="100"/>
      <c r="O3196" s="100"/>
    </row>
    <row r="3197">
      <c r="A3197" s="107">
        <v>204028.0</v>
      </c>
      <c r="B3197" s="108" t="s">
        <v>190</v>
      </c>
      <c r="C3197" s="108" t="s">
        <v>805</v>
      </c>
      <c r="D3197" s="112" t="s">
        <v>177</v>
      </c>
      <c r="E3197" s="112">
        <v>1092.1</v>
      </c>
      <c r="F3197" s="111" t="str">
        <f>DataPull!D3197</f>
        <v/>
      </c>
      <c r="G3197" s="94" t="str">
        <f t="shared" si="2"/>
        <v/>
      </c>
      <c r="H3197" s="94" t="str">
        <f t="shared" si="3"/>
        <v/>
      </c>
      <c r="I3197" s="94" t="str">
        <f t="shared" ref="I3197:J3197" si="3198">if(G3197 = "", , -G3197)</f>
        <v/>
      </c>
      <c r="J3197" s="94" t="str">
        <f t="shared" si="3198"/>
        <v/>
      </c>
      <c r="N3197" s="100"/>
    </row>
    <row r="3198">
      <c r="A3198" s="107">
        <v>204028.0</v>
      </c>
      <c r="B3198" s="108" t="s">
        <v>191</v>
      </c>
      <c r="C3198" s="108" t="s">
        <v>805</v>
      </c>
      <c r="D3198" s="112" t="s">
        <v>187</v>
      </c>
      <c r="E3198" s="112">
        <v>535.5</v>
      </c>
      <c r="F3198" s="111" t="str">
        <f>DataPull!D3198</f>
        <v/>
      </c>
      <c r="G3198" s="94" t="str">
        <f t="shared" si="2"/>
        <v/>
      </c>
      <c r="H3198" s="94" t="str">
        <f t="shared" si="3"/>
        <v/>
      </c>
      <c r="I3198" s="94" t="str">
        <f t="shared" ref="I3198:J3198" si="3199">if(G3198 = "", , -G3198)</f>
        <v/>
      </c>
      <c r="J3198" s="94" t="str">
        <f t="shared" si="3199"/>
        <v/>
      </c>
      <c r="K3198" s="100"/>
      <c r="M3198" s="100"/>
      <c r="N3198" s="100"/>
      <c r="O3198" s="100"/>
      <c r="P3198" s="100"/>
    </row>
    <row r="3199">
      <c r="A3199" s="107">
        <v>204033.0</v>
      </c>
      <c r="B3199" s="108" t="s">
        <v>90</v>
      </c>
      <c r="C3199" s="108" t="s">
        <v>806</v>
      </c>
      <c r="D3199" s="112" t="s">
        <v>181</v>
      </c>
      <c r="E3199" s="112">
        <v>7.0</v>
      </c>
      <c r="F3199" s="111" t="str">
        <f>DataPull!D3199</f>
        <v/>
      </c>
      <c r="G3199" s="94" t="str">
        <f t="shared" si="2"/>
        <v/>
      </c>
      <c r="H3199" s="94" t="str">
        <f t="shared" si="3"/>
        <v/>
      </c>
      <c r="I3199" s="94" t="str">
        <f t="shared" ref="I3199:J3199" si="3200">if(G3199 = "", , -G3199)</f>
        <v/>
      </c>
      <c r="J3199" s="94" t="str">
        <f t="shared" si="3200"/>
        <v/>
      </c>
      <c r="N3199" s="100"/>
      <c r="O3199" s="100"/>
      <c r="P3199" s="100"/>
    </row>
    <row r="3200">
      <c r="A3200" s="107">
        <v>204037.0</v>
      </c>
      <c r="B3200" s="108" t="s">
        <v>90</v>
      </c>
      <c r="C3200" s="108" t="s">
        <v>807</v>
      </c>
      <c r="D3200" s="112" t="s">
        <v>177</v>
      </c>
      <c r="E3200" s="112">
        <v>673.2</v>
      </c>
      <c r="F3200" s="111" t="str">
        <f>DataPull!D3200</f>
        <v/>
      </c>
      <c r="G3200" s="94" t="str">
        <f t="shared" si="2"/>
        <v/>
      </c>
      <c r="H3200" s="94" t="str">
        <f t="shared" si="3"/>
        <v/>
      </c>
      <c r="I3200" s="94" t="str">
        <f t="shared" ref="I3200:J3200" si="3201">if(G3200 = "", , -G3200)</f>
        <v/>
      </c>
      <c r="J3200" s="94" t="str">
        <f t="shared" si="3201"/>
        <v/>
      </c>
      <c r="N3200" s="100"/>
    </row>
    <row r="3201">
      <c r="A3201" s="107">
        <v>204037.0</v>
      </c>
      <c r="B3201" s="108" t="s">
        <v>191</v>
      </c>
      <c r="C3201" s="108" t="s">
        <v>807</v>
      </c>
      <c r="D3201" s="112" t="s">
        <v>187</v>
      </c>
      <c r="E3201" s="112">
        <v>227.8</v>
      </c>
      <c r="F3201" s="111" t="str">
        <f>DataPull!D3201</f>
        <v/>
      </c>
      <c r="G3201" s="94" t="str">
        <f t="shared" si="2"/>
        <v/>
      </c>
      <c r="H3201" s="94" t="str">
        <f t="shared" si="3"/>
        <v/>
      </c>
      <c r="I3201" s="94" t="str">
        <f t="shared" ref="I3201:J3201" si="3202">if(G3201 = "", , -G3201)</f>
        <v/>
      </c>
      <c r="J3201" s="94" t="str">
        <f t="shared" si="3202"/>
        <v/>
      </c>
      <c r="K3201" s="100"/>
      <c r="M3201" s="100"/>
      <c r="N3201" s="100"/>
      <c r="O3201" s="100"/>
      <c r="P3201" s="100"/>
    </row>
    <row r="3202">
      <c r="A3202" s="107">
        <v>204038.0</v>
      </c>
      <c r="B3202" s="108" t="s">
        <v>90</v>
      </c>
      <c r="C3202" s="108" t="s">
        <v>808</v>
      </c>
      <c r="D3202" s="112" t="s">
        <v>178</v>
      </c>
      <c r="E3202" s="112">
        <v>1458.0</v>
      </c>
      <c r="F3202" s="111" t="str">
        <f>DataPull!D3202</f>
        <v/>
      </c>
      <c r="G3202" s="94" t="str">
        <f t="shared" si="2"/>
        <v/>
      </c>
      <c r="H3202" s="94" t="str">
        <f t="shared" si="3"/>
        <v/>
      </c>
      <c r="I3202" s="94" t="str">
        <f t="shared" ref="I3202:J3202" si="3203">if(G3202 = "", , -G3202)</f>
        <v/>
      </c>
      <c r="J3202" s="94" t="str">
        <f t="shared" si="3203"/>
        <v/>
      </c>
      <c r="N3202" s="100"/>
      <c r="O3202" s="100"/>
      <c r="P3202" s="100"/>
    </row>
    <row r="3203">
      <c r="A3203" s="107">
        <v>204038.0</v>
      </c>
      <c r="B3203" s="108" t="s">
        <v>92</v>
      </c>
      <c r="C3203" s="108" t="s">
        <v>808</v>
      </c>
      <c r="D3203" s="112" t="s">
        <v>176</v>
      </c>
      <c r="E3203" s="112">
        <v>2033.6</v>
      </c>
      <c r="F3203" s="111" t="str">
        <f>DataPull!D3203</f>
        <v/>
      </c>
      <c r="G3203" s="94" t="str">
        <f t="shared" si="2"/>
        <v/>
      </c>
      <c r="H3203" s="94" t="str">
        <f t="shared" si="3"/>
        <v/>
      </c>
      <c r="I3203" s="94" t="str">
        <f t="shared" ref="I3203:J3203" si="3204">if(G3203 = "", , -G3203)</f>
        <v/>
      </c>
      <c r="J3203" s="94" t="str">
        <f t="shared" si="3204"/>
        <v/>
      </c>
      <c r="N3203" s="100"/>
      <c r="P3203" s="100"/>
    </row>
    <row r="3204">
      <c r="A3204" s="107">
        <v>204038.0</v>
      </c>
      <c r="B3204" s="108" t="s">
        <v>190</v>
      </c>
      <c r="C3204" s="108" t="s">
        <v>808</v>
      </c>
      <c r="D3204" s="112" t="s">
        <v>177</v>
      </c>
      <c r="E3204" s="112">
        <v>1494.8</v>
      </c>
      <c r="F3204" s="111" t="str">
        <f>DataPull!D3204</f>
        <v/>
      </c>
      <c r="G3204" s="94" t="str">
        <f t="shared" si="2"/>
        <v/>
      </c>
      <c r="H3204" s="94" t="str">
        <f t="shared" si="3"/>
        <v/>
      </c>
      <c r="I3204" s="94" t="str">
        <f t="shared" ref="I3204:J3204" si="3205">if(G3204 = "", , -G3204)</f>
        <v/>
      </c>
      <c r="J3204" s="94" t="str">
        <f t="shared" si="3205"/>
        <v/>
      </c>
      <c r="K3204" s="100"/>
      <c r="M3204" s="100"/>
      <c r="N3204" s="100"/>
      <c r="O3204" s="100"/>
    </row>
    <row r="3205">
      <c r="A3205" s="107">
        <v>204038.0</v>
      </c>
      <c r="B3205" s="108" t="s">
        <v>191</v>
      </c>
      <c r="C3205" s="108" t="s">
        <v>808</v>
      </c>
      <c r="D3205" s="112" t="s">
        <v>177</v>
      </c>
      <c r="E3205" s="112">
        <v>864.2</v>
      </c>
      <c r="F3205" s="111" t="str">
        <f>DataPull!D3205</f>
        <v/>
      </c>
      <c r="G3205" s="94" t="str">
        <f t="shared" si="2"/>
        <v/>
      </c>
      <c r="H3205" s="94" t="str">
        <f t="shared" si="3"/>
        <v/>
      </c>
      <c r="I3205" s="94" t="str">
        <f t="shared" ref="I3205:J3205" si="3206">if(G3205 = "", , -G3205)</f>
        <v/>
      </c>
      <c r="J3205" s="94" t="str">
        <f t="shared" si="3206"/>
        <v/>
      </c>
      <c r="N3205" s="100"/>
      <c r="O3205" s="100"/>
      <c r="P3205" s="100"/>
    </row>
    <row r="3206">
      <c r="A3206" s="107">
        <v>204038.0</v>
      </c>
      <c r="B3206" s="108" t="s">
        <v>192</v>
      </c>
      <c r="C3206" s="108" t="s">
        <v>808</v>
      </c>
      <c r="D3206" s="112" t="s">
        <v>176</v>
      </c>
      <c r="E3206" s="112">
        <v>1744.0</v>
      </c>
      <c r="F3206" s="111" t="str">
        <f>DataPull!D3206</f>
        <v/>
      </c>
      <c r="G3206" s="94" t="str">
        <f t="shared" si="2"/>
        <v/>
      </c>
      <c r="H3206" s="94" t="str">
        <f t="shared" si="3"/>
        <v/>
      </c>
      <c r="I3206" s="94" t="str">
        <f t="shared" ref="I3206:J3206" si="3207">if(G3206 = "", , -G3206)</f>
        <v/>
      </c>
      <c r="J3206" s="94" t="str">
        <f t="shared" si="3207"/>
        <v/>
      </c>
      <c r="N3206" s="100"/>
    </row>
    <row r="3207">
      <c r="A3207" s="107">
        <v>204038.0</v>
      </c>
      <c r="B3207" s="108" t="s">
        <v>193</v>
      </c>
      <c r="C3207" s="108" t="s">
        <v>808</v>
      </c>
      <c r="D3207" s="112" t="s">
        <v>176</v>
      </c>
      <c r="E3207" s="112">
        <v>1702.8</v>
      </c>
      <c r="F3207" s="111" t="str">
        <f>DataPull!D3207</f>
        <v/>
      </c>
      <c r="G3207" s="94" t="str">
        <f t="shared" si="2"/>
        <v/>
      </c>
      <c r="H3207" s="94" t="str">
        <f t="shared" si="3"/>
        <v/>
      </c>
      <c r="I3207" s="94" t="str">
        <f t="shared" ref="I3207:J3207" si="3208">if(G3207 = "", , -G3207)</f>
        <v/>
      </c>
      <c r="J3207" s="94" t="str">
        <f t="shared" si="3208"/>
        <v/>
      </c>
      <c r="N3207" s="100"/>
      <c r="O3207" s="100"/>
      <c r="P3207" s="100"/>
    </row>
    <row r="3208">
      <c r="A3208" s="107">
        <v>204038.0</v>
      </c>
      <c r="B3208" s="108" t="s">
        <v>243</v>
      </c>
      <c r="C3208" s="108" t="s">
        <v>808</v>
      </c>
      <c r="D3208" s="112" t="s">
        <v>177</v>
      </c>
      <c r="E3208" s="112">
        <v>436.0</v>
      </c>
      <c r="F3208" s="111" t="str">
        <f>DataPull!D3208</f>
        <v/>
      </c>
      <c r="G3208" s="94" t="str">
        <f t="shared" si="2"/>
        <v/>
      </c>
      <c r="H3208" s="94" t="str">
        <f t="shared" si="3"/>
        <v/>
      </c>
      <c r="I3208" s="94" t="str">
        <f t="shared" ref="I3208:J3208" si="3209">if(G3208 = "", , -G3208)</f>
        <v/>
      </c>
      <c r="J3208" s="94" t="str">
        <f t="shared" si="3209"/>
        <v/>
      </c>
      <c r="N3208" s="100"/>
    </row>
    <row r="3209">
      <c r="A3209" s="107">
        <v>204038.0</v>
      </c>
      <c r="B3209" s="108" t="s">
        <v>215</v>
      </c>
      <c r="C3209" s="108" t="s">
        <v>808</v>
      </c>
      <c r="D3209" s="112" t="s">
        <v>181</v>
      </c>
      <c r="E3209" s="112">
        <v>106.4</v>
      </c>
      <c r="F3209" s="111" t="str">
        <f>DataPull!D3209</f>
        <v/>
      </c>
      <c r="G3209" s="94" t="str">
        <f t="shared" si="2"/>
        <v/>
      </c>
      <c r="H3209" s="94" t="str">
        <f t="shared" si="3"/>
        <v/>
      </c>
      <c r="I3209" s="94" t="str">
        <f t="shared" ref="I3209:J3209" si="3210">if(G3209 = "", , -G3209)</f>
        <v/>
      </c>
      <c r="J3209" s="94" t="str">
        <f t="shared" si="3210"/>
        <v/>
      </c>
      <c r="N3209" s="100"/>
      <c r="O3209" s="100"/>
      <c r="P3209" s="100"/>
    </row>
    <row r="3210">
      <c r="A3210" s="107">
        <v>204054.0</v>
      </c>
      <c r="B3210" s="108" t="s">
        <v>90</v>
      </c>
      <c r="C3210" s="108" t="s">
        <v>809</v>
      </c>
      <c r="D3210" s="112" t="s">
        <v>187</v>
      </c>
      <c r="E3210" s="112">
        <v>75.2</v>
      </c>
      <c r="F3210" s="111" t="str">
        <f>DataPull!D3210</f>
        <v/>
      </c>
      <c r="G3210" s="94" t="str">
        <f t="shared" si="2"/>
        <v/>
      </c>
      <c r="H3210" s="94" t="str">
        <f t="shared" si="3"/>
        <v/>
      </c>
      <c r="I3210" s="94" t="str">
        <f t="shared" ref="I3210:J3210" si="3211">if(G3210 = "", , -G3210)</f>
        <v/>
      </c>
      <c r="J3210" s="94" t="str">
        <f t="shared" si="3211"/>
        <v/>
      </c>
      <c r="N3210" s="100"/>
      <c r="O3210" s="100"/>
    </row>
    <row r="3211">
      <c r="A3211" s="107">
        <v>204060.0</v>
      </c>
      <c r="B3211" s="108" t="s">
        <v>90</v>
      </c>
      <c r="C3211" s="108" t="s">
        <v>810</v>
      </c>
      <c r="D3211" s="112" t="s">
        <v>176</v>
      </c>
      <c r="E3211" s="112">
        <v>1674.8</v>
      </c>
      <c r="F3211" s="111" t="str">
        <f>DataPull!D3211</f>
        <v/>
      </c>
      <c r="G3211" s="94" t="str">
        <f t="shared" si="2"/>
        <v/>
      </c>
      <c r="H3211" s="94" t="str">
        <f t="shared" si="3"/>
        <v/>
      </c>
      <c r="I3211" s="94" t="str">
        <f t="shared" ref="I3211:J3211" si="3212">if(G3211 = "", , -G3211)</f>
        <v/>
      </c>
      <c r="J3211" s="94" t="str">
        <f t="shared" si="3212"/>
        <v/>
      </c>
      <c r="M3211" s="100"/>
      <c r="N3211" s="100"/>
      <c r="O3211" s="100"/>
    </row>
    <row r="3212">
      <c r="A3212" s="107">
        <v>204060.0</v>
      </c>
      <c r="B3212" s="108" t="s">
        <v>92</v>
      </c>
      <c r="C3212" s="108" t="s">
        <v>810</v>
      </c>
      <c r="D3212" s="112" t="s">
        <v>177</v>
      </c>
      <c r="E3212" s="112">
        <v>1239.3</v>
      </c>
      <c r="F3212" s="111" t="str">
        <f>DataPull!D3212</f>
        <v/>
      </c>
      <c r="G3212" s="94" t="str">
        <f t="shared" si="2"/>
        <v/>
      </c>
      <c r="H3212" s="94" t="str">
        <f t="shared" si="3"/>
        <v/>
      </c>
      <c r="I3212" s="94" t="str">
        <f t="shared" ref="I3212:J3212" si="3213">if(G3212 = "", , -G3212)</f>
        <v/>
      </c>
      <c r="J3212" s="94" t="str">
        <f t="shared" si="3213"/>
        <v/>
      </c>
      <c r="M3212" s="100"/>
      <c r="O3212" s="100"/>
    </row>
    <row r="3213">
      <c r="A3213" s="107">
        <v>204060.0</v>
      </c>
      <c r="B3213" s="108" t="s">
        <v>190</v>
      </c>
      <c r="C3213" s="108" t="s">
        <v>810</v>
      </c>
      <c r="D3213" s="112" t="s">
        <v>178</v>
      </c>
      <c r="E3213" s="112">
        <v>1976.2</v>
      </c>
      <c r="F3213" s="111" t="str">
        <f>DataPull!D3213</f>
        <v/>
      </c>
      <c r="G3213" s="94" t="str">
        <f t="shared" si="2"/>
        <v/>
      </c>
      <c r="H3213" s="94" t="str">
        <f t="shared" si="3"/>
        <v/>
      </c>
      <c r="I3213" s="94" t="str">
        <f t="shared" ref="I3213:J3213" si="3214">if(G3213 = "", , -G3213)</f>
        <v/>
      </c>
      <c r="J3213" s="94" t="str">
        <f t="shared" si="3214"/>
        <v/>
      </c>
      <c r="N3213" s="100"/>
      <c r="O3213" s="100"/>
      <c r="P3213" s="100"/>
    </row>
    <row r="3214">
      <c r="A3214" s="107">
        <v>204060.0</v>
      </c>
      <c r="B3214" s="108" t="s">
        <v>191</v>
      </c>
      <c r="C3214" s="108" t="s">
        <v>810</v>
      </c>
      <c r="D3214" s="112" t="s">
        <v>184</v>
      </c>
      <c r="E3214" s="112">
        <v>2574.8</v>
      </c>
      <c r="F3214" s="111" t="str">
        <f>DataPull!D3214</f>
        <v/>
      </c>
      <c r="G3214" s="94" t="str">
        <f t="shared" si="2"/>
        <v/>
      </c>
      <c r="H3214" s="94" t="str">
        <f t="shared" si="3"/>
        <v/>
      </c>
      <c r="I3214" s="94" t="str">
        <f t="shared" ref="I3214:J3214" si="3215">if(G3214 = "", , -G3214)</f>
        <v/>
      </c>
      <c r="J3214" s="94" t="str">
        <f t="shared" si="3215"/>
        <v/>
      </c>
      <c r="N3214" s="100"/>
    </row>
    <row r="3215">
      <c r="A3215" s="107">
        <v>204060.0</v>
      </c>
      <c r="B3215" s="108" t="s">
        <v>192</v>
      </c>
      <c r="C3215" s="108" t="s">
        <v>810</v>
      </c>
      <c r="D3215" s="112" t="s">
        <v>184</v>
      </c>
      <c r="E3215" s="112">
        <v>2566.6</v>
      </c>
      <c r="F3215" s="111" t="str">
        <f>DataPull!D3215</f>
        <v/>
      </c>
      <c r="G3215" s="94" t="str">
        <f t="shared" si="2"/>
        <v/>
      </c>
      <c r="H3215" s="94" t="str">
        <f t="shared" si="3"/>
        <v/>
      </c>
      <c r="I3215" s="94" t="str">
        <f t="shared" ref="I3215:J3215" si="3216">if(G3215 = "", , -G3215)</f>
        <v/>
      </c>
      <c r="J3215" s="94" t="str">
        <f t="shared" si="3216"/>
        <v/>
      </c>
      <c r="N3215" s="100"/>
      <c r="O3215" s="100"/>
    </row>
    <row r="3216">
      <c r="A3216" s="107">
        <v>204060.0</v>
      </c>
      <c r="B3216" s="108" t="s">
        <v>193</v>
      </c>
      <c r="C3216" s="108" t="s">
        <v>810</v>
      </c>
      <c r="D3216" s="112" t="s">
        <v>184</v>
      </c>
      <c r="E3216" s="112">
        <v>2138.4</v>
      </c>
      <c r="F3216" s="111" t="str">
        <f>DataPull!D3216</f>
        <v/>
      </c>
      <c r="G3216" s="94" t="str">
        <f t="shared" si="2"/>
        <v/>
      </c>
      <c r="H3216" s="94" t="str">
        <f t="shared" si="3"/>
        <v/>
      </c>
      <c r="I3216" s="94" t="str">
        <f t="shared" ref="I3216:J3216" si="3217">if(G3216 = "", , -G3216)</f>
        <v/>
      </c>
      <c r="J3216" s="94" t="str">
        <f t="shared" si="3217"/>
        <v/>
      </c>
      <c r="N3216" s="100"/>
      <c r="O3216" s="100"/>
    </row>
    <row r="3217">
      <c r="A3217" s="107">
        <v>204060.0</v>
      </c>
      <c r="B3217" s="108" t="s">
        <v>243</v>
      </c>
      <c r="C3217" s="108" t="s">
        <v>810</v>
      </c>
      <c r="D3217" s="112" t="s">
        <v>176</v>
      </c>
      <c r="E3217" s="112">
        <v>1869.3</v>
      </c>
      <c r="F3217" s="111" t="str">
        <f>DataPull!D3217</f>
        <v/>
      </c>
      <c r="G3217" s="94" t="str">
        <f t="shared" si="2"/>
        <v/>
      </c>
      <c r="H3217" s="94" t="str">
        <f t="shared" si="3"/>
        <v/>
      </c>
      <c r="I3217" s="94" t="str">
        <f t="shared" ref="I3217:J3217" si="3218">if(G3217 = "", , -G3217)</f>
        <v/>
      </c>
      <c r="J3217" s="94" t="str">
        <f t="shared" si="3218"/>
        <v/>
      </c>
      <c r="M3217" s="100"/>
      <c r="N3217" s="100"/>
      <c r="O3217" s="100"/>
    </row>
    <row r="3218">
      <c r="A3218" s="107">
        <v>204060.0</v>
      </c>
      <c r="B3218" s="108" t="s">
        <v>215</v>
      </c>
      <c r="C3218" s="108" t="s">
        <v>810</v>
      </c>
      <c r="D3218" s="112" t="s">
        <v>176</v>
      </c>
      <c r="E3218" s="112">
        <v>1120.5</v>
      </c>
      <c r="F3218" s="111" t="str">
        <f>DataPull!D3218</f>
        <v/>
      </c>
      <c r="G3218" s="94" t="str">
        <f t="shared" si="2"/>
        <v/>
      </c>
      <c r="H3218" s="94" t="str">
        <f t="shared" si="3"/>
        <v/>
      </c>
      <c r="I3218" s="94" t="str">
        <f t="shared" ref="I3218:J3218" si="3219">if(G3218 = "", , -G3218)</f>
        <v/>
      </c>
      <c r="J3218" s="94" t="str">
        <f t="shared" si="3219"/>
        <v/>
      </c>
      <c r="K3218" s="100"/>
      <c r="M3218" s="100"/>
      <c r="N3218" s="100"/>
      <c r="O3218" s="100"/>
    </row>
    <row r="3219">
      <c r="A3219" s="107">
        <v>204060.0</v>
      </c>
      <c r="B3219" s="108" t="s">
        <v>244</v>
      </c>
      <c r="C3219" s="108" t="s">
        <v>810</v>
      </c>
      <c r="D3219" s="112" t="s">
        <v>176</v>
      </c>
      <c r="E3219" s="112">
        <v>1044.2</v>
      </c>
      <c r="F3219" s="111" t="str">
        <f>DataPull!D3219</f>
        <v/>
      </c>
      <c r="G3219" s="94" t="str">
        <f t="shared" si="2"/>
        <v/>
      </c>
      <c r="H3219" s="94" t="str">
        <f t="shared" si="3"/>
        <v/>
      </c>
      <c r="I3219" s="94" t="str">
        <f t="shared" ref="I3219:J3219" si="3220">if(G3219 = "", , -G3219)</f>
        <v/>
      </c>
      <c r="J3219" s="94" t="str">
        <f t="shared" si="3220"/>
        <v/>
      </c>
      <c r="N3219" s="100"/>
    </row>
    <row r="3220">
      <c r="A3220" s="107">
        <v>204060.0</v>
      </c>
      <c r="B3220" s="108" t="s">
        <v>245</v>
      </c>
      <c r="C3220" s="108" t="s">
        <v>810</v>
      </c>
      <c r="D3220" s="112" t="s">
        <v>177</v>
      </c>
      <c r="E3220" s="112">
        <v>1169.6</v>
      </c>
      <c r="F3220" s="111" t="str">
        <f>DataPull!D3220</f>
        <v/>
      </c>
      <c r="G3220" s="94" t="str">
        <f t="shared" si="2"/>
        <v/>
      </c>
      <c r="H3220" s="94" t="str">
        <f t="shared" si="3"/>
        <v/>
      </c>
      <c r="I3220" s="94" t="str">
        <f t="shared" ref="I3220:J3220" si="3221">if(G3220 = "", , -G3220)</f>
        <v/>
      </c>
      <c r="J3220" s="94" t="str">
        <f t="shared" si="3221"/>
        <v/>
      </c>
      <c r="N3220" s="100"/>
      <c r="O3220" s="100"/>
    </row>
    <row r="3221">
      <c r="A3221" s="107">
        <v>204060.0</v>
      </c>
      <c r="B3221" s="108" t="s">
        <v>246</v>
      </c>
      <c r="C3221" s="108" t="s">
        <v>810</v>
      </c>
      <c r="D3221" s="112" t="s">
        <v>187</v>
      </c>
      <c r="E3221" s="112">
        <v>114.0</v>
      </c>
      <c r="F3221" s="111" t="str">
        <f>DataPull!D3221</f>
        <v/>
      </c>
      <c r="G3221" s="94" t="str">
        <f t="shared" si="2"/>
        <v/>
      </c>
      <c r="H3221" s="94" t="str">
        <f t="shared" si="3"/>
        <v/>
      </c>
      <c r="I3221" s="94" t="str">
        <f t="shared" ref="I3221:J3221" si="3222">if(G3221 = "", , -G3221)</f>
        <v/>
      </c>
      <c r="J3221" s="94" t="str">
        <f t="shared" si="3222"/>
        <v/>
      </c>
      <c r="N3221" s="100"/>
      <c r="O3221" s="100"/>
    </row>
    <row r="3222">
      <c r="A3222" s="114">
        <v>204060.0</v>
      </c>
      <c r="B3222" s="113" t="s">
        <v>247</v>
      </c>
      <c r="C3222" s="113" t="s">
        <v>810</v>
      </c>
      <c r="D3222" s="112" t="s">
        <v>187</v>
      </c>
      <c r="E3222" s="112">
        <v>153.9</v>
      </c>
      <c r="F3222" s="111" t="str">
        <f>DataPull!D3222</f>
        <v/>
      </c>
      <c r="G3222" s="94" t="str">
        <f t="shared" si="2"/>
        <v/>
      </c>
      <c r="H3222" s="94" t="str">
        <f t="shared" si="3"/>
        <v/>
      </c>
      <c r="I3222" s="94" t="str">
        <f t="shared" ref="I3222:J3222" si="3223">if(G3222 = "", , -G3222)</f>
        <v/>
      </c>
      <c r="J3222" s="94" t="str">
        <f t="shared" si="3223"/>
        <v/>
      </c>
      <c r="M3222" s="100"/>
      <c r="N3222" s="100"/>
      <c r="O3222" s="100"/>
    </row>
    <row r="3223">
      <c r="A3223" s="107">
        <v>204065.0</v>
      </c>
      <c r="B3223" s="108" t="s">
        <v>90</v>
      </c>
      <c r="C3223" s="108" t="s">
        <v>811</v>
      </c>
      <c r="D3223" s="112" t="s">
        <v>181</v>
      </c>
      <c r="E3223" s="112">
        <v>33.0</v>
      </c>
      <c r="F3223" s="111" t="str">
        <f>DataPull!D3223</f>
        <v/>
      </c>
      <c r="G3223" s="94" t="str">
        <f t="shared" si="2"/>
        <v/>
      </c>
      <c r="H3223" s="94" t="str">
        <f t="shared" si="3"/>
        <v/>
      </c>
      <c r="I3223" s="94" t="str">
        <f t="shared" ref="I3223:J3223" si="3224">if(G3223 = "", , -G3223)</f>
        <v/>
      </c>
      <c r="J3223" s="94" t="str">
        <f t="shared" si="3224"/>
        <v/>
      </c>
      <c r="K3223" s="100"/>
      <c r="N3223" s="100"/>
      <c r="O3223" s="100"/>
      <c r="P3223" s="100"/>
    </row>
    <row r="3224">
      <c r="A3224" s="107">
        <v>204065.0</v>
      </c>
      <c r="B3224" s="108" t="s">
        <v>191</v>
      </c>
      <c r="C3224" s="108" t="s">
        <v>811</v>
      </c>
      <c r="D3224" s="112" t="s">
        <v>181</v>
      </c>
      <c r="E3224" s="112">
        <v>9.3</v>
      </c>
      <c r="F3224" s="111" t="str">
        <f>DataPull!D3224</f>
        <v/>
      </c>
      <c r="G3224" s="94" t="str">
        <f t="shared" si="2"/>
        <v/>
      </c>
      <c r="H3224" s="94" t="str">
        <f t="shared" si="3"/>
        <v/>
      </c>
      <c r="I3224" s="94" t="str">
        <f t="shared" ref="I3224:J3224" si="3225">if(G3224 = "", , -G3224)</f>
        <v/>
      </c>
      <c r="J3224" s="94" t="str">
        <f t="shared" si="3225"/>
        <v/>
      </c>
      <c r="N3224" s="100"/>
    </row>
    <row r="3225">
      <c r="A3225" s="107">
        <v>204066.0</v>
      </c>
      <c r="B3225" s="108" t="s">
        <v>191</v>
      </c>
      <c r="C3225" s="108" t="s">
        <v>812</v>
      </c>
      <c r="D3225" s="112" t="s">
        <v>187</v>
      </c>
      <c r="E3225" s="112">
        <v>175.2</v>
      </c>
      <c r="F3225" s="111" t="str">
        <f>DataPull!D3225</f>
        <v/>
      </c>
      <c r="G3225" s="94" t="str">
        <f t="shared" si="2"/>
        <v/>
      </c>
      <c r="H3225" s="94" t="str">
        <f t="shared" si="3"/>
        <v/>
      </c>
      <c r="I3225" s="94" t="str">
        <f t="shared" ref="I3225:J3225" si="3226">if(G3225 = "", , -G3225)</f>
        <v/>
      </c>
      <c r="J3225" s="94" t="str">
        <f t="shared" si="3226"/>
        <v/>
      </c>
      <c r="N3225" s="100"/>
    </row>
    <row r="3226">
      <c r="A3226" s="107">
        <v>204067.0</v>
      </c>
      <c r="B3226" s="108" t="s">
        <v>92</v>
      </c>
      <c r="C3226" s="108" t="s">
        <v>813</v>
      </c>
      <c r="D3226" s="112" t="s">
        <v>187</v>
      </c>
      <c r="E3226" s="112">
        <v>145.6</v>
      </c>
      <c r="F3226" s="111" t="str">
        <f>DataPull!D3226</f>
        <v/>
      </c>
      <c r="G3226" s="94" t="str">
        <f t="shared" si="2"/>
        <v/>
      </c>
      <c r="H3226" s="94" t="str">
        <f t="shared" si="3"/>
        <v/>
      </c>
      <c r="I3226" s="94" t="str">
        <f t="shared" ref="I3226:J3226" si="3227">if(G3226 = "", , -G3226)</f>
        <v/>
      </c>
      <c r="J3226" s="94" t="str">
        <f t="shared" si="3227"/>
        <v/>
      </c>
      <c r="N3226" s="100"/>
    </row>
    <row r="3227">
      <c r="A3227" s="107">
        <v>204067.0</v>
      </c>
      <c r="B3227" s="108" t="s">
        <v>190</v>
      </c>
      <c r="C3227" s="108" t="s">
        <v>813</v>
      </c>
      <c r="D3227" s="112" t="s">
        <v>181</v>
      </c>
      <c r="E3227" s="112">
        <v>62.5</v>
      </c>
      <c r="F3227" s="111" t="str">
        <f>DataPull!D3227</f>
        <v/>
      </c>
      <c r="G3227" s="94" t="str">
        <f t="shared" si="2"/>
        <v/>
      </c>
      <c r="H3227" s="94" t="str">
        <f t="shared" si="3"/>
        <v/>
      </c>
      <c r="I3227" s="94" t="str">
        <f t="shared" ref="I3227:J3227" si="3228">if(G3227 = "", , -G3227)</f>
        <v/>
      </c>
      <c r="J3227" s="94" t="str">
        <f t="shared" si="3228"/>
        <v/>
      </c>
      <c r="K3227" s="100"/>
      <c r="M3227" s="100"/>
      <c r="N3227" s="100"/>
      <c r="O3227" s="100"/>
      <c r="P3227" s="100"/>
    </row>
    <row r="3228">
      <c r="A3228" s="107">
        <v>204067.0</v>
      </c>
      <c r="B3228" s="108" t="s">
        <v>191</v>
      </c>
      <c r="C3228" s="108" t="s">
        <v>813</v>
      </c>
      <c r="D3228" s="112" t="s">
        <v>181</v>
      </c>
      <c r="E3228" s="112">
        <v>8.7</v>
      </c>
      <c r="F3228" s="111" t="str">
        <f>DataPull!D3228</f>
        <v/>
      </c>
      <c r="G3228" s="94" t="str">
        <f t="shared" si="2"/>
        <v/>
      </c>
      <c r="H3228" s="94" t="str">
        <f t="shared" si="3"/>
        <v/>
      </c>
      <c r="I3228" s="94" t="str">
        <f t="shared" ref="I3228:J3228" si="3229">if(G3228 = "", , -G3228)</f>
        <v/>
      </c>
      <c r="J3228" s="94" t="str">
        <f t="shared" si="3229"/>
        <v/>
      </c>
      <c r="K3228" s="100"/>
      <c r="L3228" s="100"/>
      <c r="M3228" s="100"/>
      <c r="N3228" s="100"/>
      <c r="O3228" s="100"/>
      <c r="P3228" s="100"/>
    </row>
    <row r="3229">
      <c r="A3229" s="107">
        <v>204079.0</v>
      </c>
      <c r="B3229" s="108" t="s">
        <v>90</v>
      </c>
      <c r="C3229" s="108" t="s">
        <v>814</v>
      </c>
      <c r="D3229" s="112" t="s">
        <v>187</v>
      </c>
      <c r="E3229" s="112">
        <v>71.1</v>
      </c>
      <c r="F3229" s="111" t="str">
        <f>DataPull!D3229</f>
        <v/>
      </c>
      <c r="G3229" s="94" t="str">
        <f t="shared" si="2"/>
        <v/>
      </c>
      <c r="H3229" s="94" t="str">
        <f t="shared" si="3"/>
        <v/>
      </c>
      <c r="I3229" s="94" t="str">
        <f t="shared" ref="I3229:J3229" si="3230">if(G3229 = "", , -G3229)</f>
        <v/>
      </c>
      <c r="J3229" s="94" t="str">
        <f t="shared" si="3230"/>
        <v/>
      </c>
      <c r="K3229" s="100"/>
      <c r="M3229" s="100"/>
      <c r="N3229" s="100"/>
      <c r="O3229" s="100"/>
      <c r="P3229" s="100"/>
    </row>
    <row r="3230">
      <c r="A3230" s="107">
        <v>204098.0</v>
      </c>
      <c r="B3230" s="108" t="s">
        <v>92</v>
      </c>
      <c r="C3230" s="108" t="s">
        <v>815</v>
      </c>
      <c r="D3230" s="112" t="s">
        <v>187</v>
      </c>
      <c r="E3230" s="112">
        <v>243.6</v>
      </c>
      <c r="F3230" s="111" t="str">
        <f>DataPull!D3230</f>
        <v/>
      </c>
      <c r="G3230" s="94" t="str">
        <f t="shared" si="2"/>
        <v/>
      </c>
      <c r="H3230" s="94" t="str">
        <f t="shared" si="3"/>
        <v/>
      </c>
      <c r="I3230" s="94" t="str">
        <f t="shared" ref="I3230:J3230" si="3231">if(G3230 = "", , -G3230)</f>
        <v/>
      </c>
      <c r="J3230" s="94" t="str">
        <f t="shared" si="3231"/>
        <v/>
      </c>
      <c r="M3230" s="100"/>
      <c r="N3230" s="100"/>
      <c r="O3230" s="100"/>
    </row>
    <row r="3231">
      <c r="A3231" s="107">
        <v>204098.0</v>
      </c>
      <c r="B3231" s="108" t="s">
        <v>191</v>
      </c>
      <c r="C3231" s="108" t="s">
        <v>815</v>
      </c>
      <c r="D3231" s="112" t="s">
        <v>181</v>
      </c>
      <c r="E3231" s="112">
        <v>21.0</v>
      </c>
      <c r="F3231" s="111" t="str">
        <f>DataPull!D3231</f>
        <v/>
      </c>
      <c r="G3231" s="94" t="str">
        <f t="shared" si="2"/>
        <v/>
      </c>
      <c r="H3231" s="94" t="str">
        <f t="shared" si="3"/>
        <v/>
      </c>
      <c r="I3231" s="94" t="str">
        <f t="shared" ref="I3231:J3231" si="3232">if(G3231 = "", , -G3231)</f>
        <v/>
      </c>
      <c r="J3231" s="94" t="str">
        <f t="shared" si="3232"/>
        <v/>
      </c>
      <c r="K3231" s="100"/>
      <c r="N3231" s="100"/>
      <c r="O3231" s="100"/>
    </row>
    <row r="3232">
      <c r="A3232" s="107">
        <v>204179.0</v>
      </c>
      <c r="B3232" s="108" t="s">
        <v>191</v>
      </c>
      <c r="C3232" s="108" t="s">
        <v>816</v>
      </c>
      <c r="D3232" s="112" t="s">
        <v>181</v>
      </c>
      <c r="E3232" s="112">
        <v>75.2</v>
      </c>
      <c r="F3232" s="111" t="str">
        <f>DataPull!D3232</f>
        <v/>
      </c>
      <c r="G3232" s="94" t="str">
        <f t="shared" si="2"/>
        <v/>
      </c>
      <c r="H3232" s="94" t="str">
        <f t="shared" si="3"/>
        <v/>
      </c>
      <c r="I3232" s="94" t="str">
        <f t="shared" ref="I3232:J3232" si="3233">if(G3232 = "", , -G3232)</f>
        <v/>
      </c>
      <c r="J3232" s="94" t="str">
        <f t="shared" si="3233"/>
        <v/>
      </c>
      <c r="N3232" s="100"/>
      <c r="O3232" s="100"/>
      <c r="P3232" s="100"/>
    </row>
    <row r="3233">
      <c r="A3233" s="107">
        <v>204222.0</v>
      </c>
      <c r="B3233" s="108" t="s">
        <v>243</v>
      </c>
      <c r="C3233" s="108" t="s">
        <v>817</v>
      </c>
      <c r="D3233" s="112" t="s">
        <v>181</v>
      </c>
      <c r="E3233" s="112">
        <v>12.0</v>
      </c>
      <c r="F3233" s="111" t="str">
        <f>DataPull!D3233</f>
        <v/>
      </c>
      <c r="G3233" s="94" t="str">
        <f t="shared" si="2"/>
        <v/>
      </c>
      <c r="H3233" s="94" t="str">
        <f t="shared" si="3"/>
        <v/>
      </c>
      <c r="I3233" s="94" t="str">
        <f t="shared" ref="I3233:J3233" si="3234">if(G3233 = "", , -G3233)</f>
        <v/>
      </c>
      <c r="J3233" s="94" t="str">
        <f t="shared" si="3234"/>
        <v/>
      </c>
      <c r="K3233" s="100"/>
      <c r="L3233" s="100"/>
      <c r="M3233" s="100"/>
      <c r="N3233" s="100"/>
      <c r="O3233" s="100"/>
      <c r="P3233" s="100"/>
    </row>
    <row r="3234">
      <c r="A3234" s="107">
        <v>204456.0</v>
      </c>
      <c r="B3234" s="108" t="s">
        <v>92</v>
      </c>
      <c r="C3234" s="108" t="s">
        <v>818</v>
      </c>
      <c r="D3234" s="112" t="s">
        <v>176</v>
      </c>
      <c r="E3234" s="112">
        <v>1603.8</v>
      </c>
      <c r="F3234" s="111" t="str">
        <f>DataPull!D3234</f>
        <v/>
      </c>
      <c r="G3234" s="94" t="str">
        <f t="shared" si="2"/>
        <v/>
      </c>
      <c r="H3234" s="94" t="str">
        <f t="shared" si="3"/>
        <v/>
      </c>
      <c r="I3234" s="94" t="str">
        <f t="shared" ref="I3234:J3234" si="3235">if(G3234 = "", , -G3234)</f>
        <v/>
      </c>
      <c r="J3234" s="94" t="str">
        <f t="shared" si="3235"/>
        <v/>
      </c>
      <c r="N3234" s="100"/>
      <c r="O3234" s="100"/>
      <c r="P3234" s="100"/>
    </row>
    <row r="3235">
      <c r="A3235" s="107">
        <v>204456.0</v>
      </c>
      <c r="B3235" s="108" t="s">
        <v>190</v>
      </c>
      <c r="C3235" s="108" t="s">
        <v>818</v>
      </c>
      <c r="D3235" s="112" t="s">
        <v>178</v>
      </c>
      <c r="E3235" s="112">
        <v>2130.3</v>
      </c>
      <c r="F3235" s="111" t="str">
        <f>DataPull!D3235</f>
        <v/>
      </c>
      <c r="G3235" s="94" t="str">
        <f t="shared" si="2"/>
        <v/>
      </c>
      <c r="H3235" s="94" t="str">
        <f t="shared" si="3"/>
        <v/>
      </c>
      <c r="I3235" s="94" t="str">
        <f t="shared" ref="I3235:J3235" si="3236">if(G3235 = "", , -G3235)</f>
        <v/>
      </c>
      <c r="J3235" s="94" t="str">
        <f t="shared" si="3236"/>
        <v/>
      </c>
      <c r="N3235" s="100"/>
      <c r="O3235" s="100"/>
      <c r="P3235" s="100"/>
    </row>
    <row r="3236">
      <c r="A3236" s="107">
        <v>204456.0</v>
      </c>
      <c r="B3236" s="108" t="s">
        <v>191</v>
      </c>
      <c r="C3236" s="108" t="s">
        <v>818</v>
      </c>
      <c r="D3236" s="112" t="s">
        <v>176</v>
      </c>
      <c r="E3236" s="112">
        <v>1710.0</v>
      </c>
      <c r="F3236" s="111" t="str">
        <f>DataPull!D3236</f>
        <v/>
      </c>
      <c r="G3236" s="94" t="str">
        <f t="shared" si="2"/>
        <v/>
      </c>
      <c r="H3236" s="94" t="str">
        <f t="shared" si="3"/>
        <v/>
      </c>
      <c r="I3236" s="94" t="str">
        <f t="shared" ref="I3236:J3236" si="3237">if(G3236 = "", , -G3236)</f>
        <v/>
      </c>
      <c r="J3236" s="94" t="str">
        <f t="shared" si="3237"/>
        <v/>
      </c>
      <c r="M3236" s="100"/>
      <c r="N3236" s="100"/>
      <c r="O3236" s="100"/>
      <c r="P3236" s="100"/>
    </row>
    <row r="3237">
      <c r="A3237" s="107">
        <v>204456.0</v>
      </c>
      <c r="B3237" s="108" t="s">
        <v>192</v>
      </c>
      <c r="C3237" s="108" t="s">
        <v>818</v>
      </c>
      <c r="D3237" s="112" t="s">
        <v>177</v>
      </c>
      <c r="E3237" s="112">
        <v>1466.8</v>
      </c>
      <c r="F3237" s="111" t="str">
        <f>DataPull!D3237</f>
        <v/>
      </c>
      <c r="G3237" s="94" t="str">
        <f t="shared" si="2"/>
        <v/>
      </c>
      <c r="H3237" s="94" t="str">
        <f t="shared" si="3"/>
        <v/>
      </c>
      <c r="I3237" s="94" t="str">
        <f t="shared" ref="I3237:J3237" si="3238">if(G3237 = "", , -G3237)</f>
        <v/>
      </c>
      <c r="J3237" s="94" t="str">
        <f t="shared" si="3238"/>
        <v/>
      </c>
      <c r="K3237" s="100"/>
      <c r="L3237" s="100"/>
      <c r="M3237" s="100"/>
      <c r="N3237" s="100"/>
      <c r="O3237" s="100"/>
      <c r="P3237" s="100"/>
    </row>
    <row r="3238">
      <c r="A3238" s="107">
        <v>204456.0</v>
      </c>
      <c r="B3238" s="108" t="s">
        <v>193</v>
      </c>
      <c r="C3238" s="108" t="s">
        <v>818</v>
      </c>
      <c r="D3238" s="112" t="s">
        <v>177</v>
      </c>
      <c r="E3238" s="112">
        <v>1327.7</v>
      </c>
      <c r="F3238" s="111" t="str">
        <f>DataPull!D3238</f>
        <v/>
      </c>
      <c r="G3238" s="94" t="str">
        <f t="shared" si="2"/>
        <v/>
      </c>
      <c r="H3238" s="94" t="str">
        <f t="shared" si="3"/>
        <v/>
      </c>
      <c r="I3238" s="94" t="str">
        <f t="shared" ref="I3238:J3238" si="3239">if(G3238 = "", , -G3238)</f>
        <v/>
      </c>
      <c r="J3238" s="94" t="str">
        <f t="shared" si="3239"/>
        <v/>
      </c>
      <c r="K3238" s="100"/>
      <c r="M3238" s="100"/>
      <c r="N3238" s="100"/>
      <c r="O3238" s="100"/>
      <c r="P3238" s="100"/>
    </row>
    <row r="3239">
      <c r="A3239" s="107">
        <v>204456.0</v>
      </c>
      <c r="B3239" s="108" t="s">
        <v>243</v>
      </c>
      <c r="C3239" s="108" t="s">
        <v>818</v>
      </c>
      <c r="D3239" s="112" t="s">
        <v>176</v>
      </c>
      <c r="E3239" s="112">
        <v>1794.0</v>
      </c>
      <c r="F3239" s="111" t="str">
        <f>DataPull!D3239</f>
        <v/>
      </c>
      <c r="G3239" s="94" t="str">
        <f t="shared" si="2"/>
        <v/>
      </c>
      <c r="H3239" s="94" t="str">
        <f t="shared" si="3"/>
        <v/>
      </c>
      <c r="I3239" s="94" t="str">
        <f t="shared" ref="I3239:J3239" si="3240">if(G3239 = "", , -G3239)</f>
        <v/>
      </c>
      <c r="J3239" s="94" t="str">
        <f t="shared" si="3240"/>
        <v/>
      </c>
      <c r="K3239" s="100"/>
      <c r="M3239" s="100"/>
      <c r="N3239" s="100"/>
      <c r="O3239" s="100"/>
      <c r="P3239" s="100"/>
    </row>
    <row r="3240">
      <c r="A3240" s="107">
        <v>204456.0</v>
      </c>
      <c r="B3240" s="108" t="s">
        <v>215</v>
      </c>
      <c r="C3240" s="108" t="s">
        <v>818</v>
      </c>
      <c r="D3240" s="112" t="s">
        <v>176</v>
      </c>
      <c r="E3240" s="112">
        <v>653.4</v>
      </c>
      <c r="F3240" s="111" t="str">
        <f>DataPull!D3240</f>
        <v/>
      </c>
      <c r="G3240" s="94" t="str">
        <f t="shared" si="2"/>
        <v/>
      </c>
      <c r="H3240" s="94" t="str">
        <f t="shared" si="3"/>
        <v/>
      </c>
      <c r="I3240" s="94" t="str">
        <f t="shared" ref="I3240:J3240" si="3241">if(G3240 = "", , -G3240)</f>
        <v/>
      </c>
      <c r="J3240" s="94" t="str">
        <f t="shared" si="3241"/>
        <v/>
      </c>
      <c r="N3240" s="100"/>
    </row>
    <row r="3241">
      <c r="A3241" s="107">
        <v>204456.0</v>
      </c>
      <c r="B3241" s="108" t="s">
        <v>244</v>
      </c>
      <c r="C3241" s="108" t="s">
        <v>818</v>
      </c>
      <c r="D3241" s="112" t="s">
        <v>176</v>
      </c>
      <c r="E3241" s="112">
        <v>1530.0</v>
      </c>
      <c r="F3241" s="111" t="str">
        <f>DataPull!D3241</f>
        <v/>
      </c>
      <c r="G3241" s="94" t="str">
        <f t="shared" si="2"/>
        <v/>
      </c>
      <c r="H3241" s="94" t="str">
        <f t="shared" si="3"/>
        <v/>
      </c>
      <c r="I3241" s="94" t="str">
        <f t="shared" ref="I3241:J3241" si="3242">if(G3241 = "", , -G3241)</f>
        <v/>
      </c>
      <c r="J3241" s="94" t="str">
        <f t="shared" si="3242"/>
        <v/>
      </c>
      <c r="N3241" s="100"/>
      <c r="O3241" s="100"/>
      <c r="P3241" s="100"/>
    </row>
    <row r="3242">
      <c r="A3242" s="107">
        <v>204456.0</v>
      </c>
      <c r="B3242" s="108" t="s">
        <v>245</v>
      </c>
      <c r="C3242" s="108" t="s">
        <v>818</v>
      </c>
      <c r="D3242" s="112" t="s">
        <v>177</v>
      </c>
      <c r="E3242" s="112">
        <v>1292.2</v>
      </c>
      <c r="F3242" s="111" t="str">
        <f>DataPull!D3242</f>
        <v/>
      </c>
      <c r="G3242" s="94" t="str">
        <f t="shared" si="2"/>
        <v/>
      </c>
      <c r="H3242" s="94" t="str">
        <f t="shared" si="3"/>
        <v/>
      </c>
      <c r="I3242" s="94" t="str">
        <f t="shared" ref="I3242:J3242" si="3243">if(G3242 = "", , -G3242)</f>
        <v/>
      </c>
      <c r="J3242" s="94" t="str">
        <f t="shared" si="3243"/>
        <v/>
      </c>
      <c r="K3242" s="100"/>
      <c r="M3242" s="100"/>
      <c r="N3242" s="100"/>
      <c r="O3242" s="100"/>
      <c r="P3242" s="100"/>
    </row>
    <row r="3243">
      <c r="A3243" s="107">
        <v>204456.0</v>
      </c>
      <c r="B3243" s="108" t="s">
        <v>246</v>
      </c>
      <c r="C3243" s="108" t="s">
        <v>818</v>
      </c>
      <c r="D3243" s="112" t="s">
        <v>177</v>
      </c>
      <c r="E3243" s="112">
        <v>1414.1</v>
      </c>
      <c r="F3243" s="111" t="str">
        <f>DataPull!D3243</f>
        <v/>
      </c>
      <c r="G3243" s="94" t="str">
        <f t="shared" si="2"/>
        <v/>
      </c>
      <c r="H3243" s="94" t="str">
        <f t="shared" si="3"/>
        <v/>
      </c>
      <c r="I3243" s="94" t="str">
        <f t="shared" ref="I3243:J3243" si="3244">if(G3243 = "", , -G3243)</f>
        <v/>
      </c>
      <c r="J3243" s="94" t="str">
        <f t="shared" si="3244"/>
        <v/>
      </c>
      <c r="K3243" s="100"/>
      <c r="M3243" s="100"/>
      <c r="N3243" s="100"/>
      <c r="O3243" s="100"/>
      <c r="P3243" s="100"/>
    </row>
    <row r="3244">
      <c r="A3244" s="89">
        <v>204456.0</v>
      </c>
      <c r="B3244" s="113" t="s">
        <v>247</v>
      </c>
      <c r="C3244" s="113" t="s">
        <v>819</v>
      </c>
      <c r="D3244" s="112" t="s">
        <v>177</v>
      </c>
      <c r="E3244" s="112">
        <v>963.2</v>
      </c>
      <c r="F3244" s="111" t="str">
        <f>DataPull!D3244</f>
        <v/>
      </c>
      <c r="G3244" s="94" t="str">
        <f t="shared" si="2"/>
        <v/>
      </c>
      <c r="H3244" s="94" t="str">
        <f t="shared" si="3"/>
        <v/>
      </c>
      <c r="I3244" s="94" t="str">
        <f t="shared" ref="I3244:J3244" si="3245">if(G3244 = "", , -G3244)</f>
        <v/>
      </c>
      <c r="J3244" s="94" t="str">
        <f t="shared" si="3245"/>
        <v/>
      </c>
      <c r="K3244" s="100"/>
      <c r="M3244" s="100"/>
      <c r="N3244" s="100"/>
      <c r="O3244" s="100"/>
      <c r="P3244" s="100"/>
    </row>
    <row r="3245">
      <c r="A3245" s="107">
        <v>1626143.0</v>
      </c>
      <c r="B3245" s="108" t="s">
        <v>92</v>
      </c>
      <c r="C3245" s="108" t="s">
        <v>820</v>
      </c>
      <c r="D3245" s="112" t="s">
        <v>178</v>
      </c>
      <c r="E3245" s="112">
        <v>1590.0</v>
      </c>
      <c r="F3245" s="111" t="str">
        <f>DataPull!D3245</f>
        <v/>
      </c>
      <c r="G3245" s="94" t="str">
        <f t="shared" si="2"/>
        <v/>
      </c>
      <c r="H3245" s="94" t="str">
        <f t="shared" si="3"/>
        <v/>
      </c>
      <c r="I3245" s="94" t="str">
        <f t="shared" ref="I3245:J3245" si="3246">if(G3245 = "", , -G3245)</f>
        <v/>
      </c>
      <c r="J3245" s="94" t="str">
        <f t="shared" si="3246"/>
        <v/>
      </c>
      <c r="M3245" s="100"/>
      <c r="N3245" s="100"/>
      <c r="O3245" s="100"/>
    </row>
    <row r="3246">
      <c r="A3246" s="107">
        <v>1626143.0</v>
      </c>
      <c r="B3246" s="108" t="s">
        <v>190</v>
      </c>
      <c r="C3246" s="108" t="s">
        <v>820</v>
      </c>
      <c r="D3246" s="112" t="s">
        <v>176</v>
      </c>
      <c r="E3246" s="112">
        <v>1135.0</v>
      </c>
      <c r="F3246" s="111" t="str">
        <f>DataPull!D3246</f>
        <v/>
      </c>
      <c r="G3246" s="94" t="str">
        <f t="shared" si="2"/>
        <v/>
      </c>
      <c r="H3246" s="94" t="str">
        <f t="shared" si="3"/>
        <v/>
      </c>
      <c r="I3246" s="94" t="str">
        <f t="shared" ref="I3246:J3246" si="3247">if(G3246 = "", , -G3246)</f>
        <v/>
      </c>
      <c r="J3246" s="94" t="str">
        <f t="shared" si="3247"/>
        <v/>
      </c>
      <c r="M3246" s="100"/>
      <c r="N3246" s="100"/>
      <c r="O3246" s="100"/>
      <c r="P3246" s="100"/>
    </row>
    <row r="3247">
      <c r="A3247" s="107">
        <v>1626143.0</v>
      </c>
      <c r="B3247" s="108" t="s">
        <v>191</v>
      </c>
      <c r="C3247" s="108" t="s">
        <v>820</v>
      </c>
      <c r="D3247" s="112" t="s">
        <v>177</v>
      </c>
      <c r="E3247" s="112">
        <v>352.8</v>
      </c>
      <c r="F3247" s="111" t="str">
        <f>DataPull!D3247</f>
        <v/>
      </c>
      <c r="G3247" s="94" t="str">
        <f t="shared" si="2"/>
        <v/>
      </c>
      <c r="H3247" s="94" t="str">
        <f t="shared" si="3"/>
        <v/>
      </c>
      <c r="I3247" s="94" t="str">
        <f t="shared" ref="I3247:J3247" si="3248">if(G3247 = "", , -G3247)</f>
        <v/>
      </c>
      <c r="J3247" s="94" t="str">
        <f t="shared" si="3248"/>
        <v/>
      </c>
      <c r="M3247" s="100"/>
      <c r="N3247" s="100"/>
      <c r="O3247" s="100"/>
    </row>
    <row r="3248">
      <c r="A3248" s="107">
        <v>1626143.0</v>
      </c>
      <c r="B3248" s="108" t="s">
        <v>192</v>
      </c>
      <c r="C3248" s="108" t="s">
        <v>820</v>
      </c>
      <c r="D3248" s="112" t="s">
        <v>177</v>
      </c>
      <c r="E3248" s="112">
        <v>932.2</v>
      </c>
      <c r="F3248" s="111" t="str">
        <f>DataPull!D3248</f>
        <v/>
      </c>
      <c r="G3248" s="94" t="str">
        <f t="shared" si="2"/>
        <v/>
      </c>
      <c r="H3248" s="94" t="str">
        <f t="shared" si="3"/>
        <v/>
      </c>
      <c r="I3248" s="94" t="str">
        <f t="shared" ref="I3248:J3248" si="3249">if(G3248 = "", , -G3248)</f>
        <v/>
      </c>
      <c r="J3248" s="94" t="str">
        <f t="shared" si="3249"/>
        <v/>
      </c>
      <c r="N3248" s="100"/>
      <c r="O3248" s="100"/>
    </row>
    <row r="3249">
      <c r="A3249" s="107">
        <v>1626143.0</v>
      </c>
      <c r="B3249" s="108" t="s">
        <v>193</v>
      </c>
      <c r="C3249" s="108" t="s">
        <v>820</v>
      </c>
      <c r="D3249" s="112" t="s">
        <v>177</v>
      </c>
      <c r="E3249" s="112">
        <v>468.0</v>
      </c>
      <c r="F3249" s="111" t="str">
        <f>DataPull!D3249</f>
        <v/>
      </c>
      <c r="G3249" s="94" t="str">
        <f t="shared" si="2"/>
        <v/>
      </c>
      <c r="H3249" s="94" t="str">
        <f t="shared" si="3"/>
        <v/>
      </c>
      <c r="I3249" s="94" t="str">
        <f t="shared" ref="I3249:J3249" si="3250">if(G3249 = "", , -G3249)</f>
        <v/>
      </c>
      <c r="J3249" s="94" t="str">
        <f t="shared" si="3250"/>
        <v/>
      </c>
      <c r="M3249" s="100"/>
      <c r="N3249" s="100"/>
      <c r="O3249" s="100"/>
    </row>
    <row r="3250">
      <c r="A3250" s="107">
        <v>1626143.0</v>
      </c>
      <c r="B3250" s="108" t="s">
        <v>243</v>
      </c>
      <c r="C3250" s="108" t="s">
        <v>820</v>
      </c>
      <c r="D3250" s="112" t="s">
        <v>177</v>
      </c>
      <c r="E3250" s="112">
        <v>348.3</v>
      </c>
      <c r="F3250" s="111" t="str">
        <f>DataPull!D3250</f>
        <v/>
      </c>
      <c r="G3250" s="94" t="str">
        <f t="shared" si="2"/>
        <v/>
      </c>
      <c r="H3250" s="94" t="str">
        <f t="shared" si="3"/>
        <v/>
      </c>
      <c r="I3250" s="94" t="str">
        <f t="shared" ref="I3250:J3250" si="3251">if(G3250 = "", , -G3250)</f>
        <v/>
      </c>
      <c r="J3250" s="94" t="str">
        <f t="shared" si="3251"/>
        <v/>
      </c>
      <c r="N3250" s="100"/>
      <c r="P3250" s="100"/>
    </row>
    <row r="3251">
      <c r="A3251" s="123">
        <v>1626143.0</v>
      </c>
      <c r="B3251" s="124" t="s">
        <v>246</v>
      </c>
      <c r="C3251" s="125" t="s">
        <v>820</v>
      </c>
      <c r="D3251" s="112" t="s">
        <v>181</v>
      </c>
      <c r="E3251" s="112">
        <v>3.4</v>
      </c>
      <c r="F3251" s="111" t="str">
        <f>DataPull!D3251</f>
        <v/>
      </c>
      <c r="G3251" s="94" t="str">
        <f t="shared" si="2"/>
        <v/>
      </c>
      <c r="H3251" s="94" t="str">
        <f t="shared" si="3"/>
        <v/>
      </c>
      <c r="I3251" s="94" t="str">
        <f t="shared" ref="I3251:J3251" si="3252">if(G3251 = "", , -G3251)</f>
        <v/>
      </c>
      <c r="J3251" s="94" t="str">
        <f t="shared" si="3252"/>
        <v/>
      </c>
      <c r="N3251" s="100"/>
      <c r="O3251" s="100"/>
      <c r="P3251" s="100"/>
    </row>
    <row r="3252">
      <c r="A3252" s="107">
        <v>1626144.0</v>
      </c>
      <c r="B3252" s="108" t="s">
        <v>92</v>
      </c>
      <c r="C3252" s="108" t="s">
        <v>821</v>
      </c>
      <c r="D3252" s="112" t="s">
        <v>178</v>
      </c>
      <c r="E3252" s="112">
        <v>2067.2</v>
      </c>
      <c r="F3252" s="111" t="str">
        <f>DataPull!D3252</f>
        <v/>
      </c>
      <c r="G3252" s="94" t="str">
        <f t="shared" si="2"/>
        <v/>
      </c>
      <c r="H3252" s="94" t="str">
        <f t="shared" si="3"/>
        <v/>
      </c>
      <c r="I3252" s="94" t="str">
        <f t="shared" ref="I3252:J3252" si="3253">if(G3252 = "", , -G3252)</f>
        <v/>
      </c>
      <c r="J3252" s="94" t="str">
        <f t="shared" si="3253"/>
        <v/>
      </c>
      <c r="N3252" s="100"/>
      <c r="O3252" s="100"/>
      <c r="P3252" s="100"/>
    </row>
    <row r="3253">
      <c r="A3253" s="107">
        <v>1626144.0</v>
      </c>
      <c r="B3253" s="108" t="s">
        <v>190</v>
      </c>
      <c r="C3253" s="108" t="s">
        <v>821</v>
      </c>
      <c r="D3253" s="112" t="s">
        <v>176</v>
      </c>
      <c r="E3253" s="112">
        <v>1408.0</v>
      </c>
      <c r="F3253" s="111" t="str">
        <f>DataPull!D3253</f>
        <v/>
      </c>
      <c r="G3253" s="94" t="str">
        <f t="shared" si="2"/>
        <v/>
      </c>
      <c r="H3253" s="94" t="str">
        <f t="shared" si="3"/>
        <v/>
      </c>
      <c r="I3253" s="94" t="str">
        <f t="shared" ref="I3253:J3253" si="3254">if(G3253 = "", , -G3253)</f>
        <v/>
      </c>
      <c r="J3253" s="94" t="str">
        <f t="shared" si="3254"/>
        <v/>
      </c>
      <c r="N3253" s="100"/>
      <c r="O3253" s="100"/>
    </row>
    <row r="3254">
      <c r="A3254" s="107">
        <v>1626144.0</v>
      </c>
      <c r="B3254" s="108" t="s">
        <v>191</v>
      </c>
      <c r="C3254" s="108" t="s">
        <v>821</v>
      </c>
      <c r="D3254" s="112" t="s">
        <v>177</v>
      </c>
      <c r="E3254" s="112">
        <v>1241.6</v>
      </c>
      <c r="F3254" s="111" t="str">
        <f>DataPull!D3254</f>
        <v/>
      </c>
      <c r="G3254" s="94" t="str">
        <f t="shared" si="2"/>
        <v/>
      </c>
      <c r="H3254" s="94" t="str">
        <f t="shared" si="3"/>
        <v/>
      </c>
      <c r="I3254" s="94" t="str">
        <f t="shared" ref="I3254:J3254" si="3255">if(G3254 = "", , -G3254)</f>
        <v/>
      </c>
      <c r="J3254" s="94" t="str">
        <f t="shared" si="3255"/>
        <v/>
      </c>
      <c r="K3254" s="100"/>
      <c r="L3254" s="100"/>
      <c r="N3254" s="100"/>
      <c r="O3254" s="100"/>
      <c r="P3254" s="100"/>
    </row>
    <row r="3255">
      <c r="A3255" s="107">
        <v>1626144.0</v>
      </c>
      <c r="B3255" s="108" t="s">
        <v>192</v>
      </c>
      <c r="C3255" s="108" t="s">
        <v>821</v>
      </c>
      <c r="D3255" s="112" t="s">
        <v>178</v>
      </c>
      <c r="E3255" s="112">
        <v>1604.8</v>
      </c>
      <c r="F3255" s="111" t="str">
        <f>DataPull!D3255</f>
        <v/>
      </c>
      <c r="G3255" s="94" t="str">
        <f t="shared" si="2"/>
        <v/>
      </c>
      <c r="H3255" s="94" t="str">
        <f t="shared" si="3"/>
        <v/>
      </c>
      <c r="I3255" s="94" t="str">
        <f t="shared" ref="I3255:J3255" si="3256">if(G3255 = "", , -G3255)</f>
        <v/>
      </c>
      <c r="J3255" s="94" t="str">
        <f t="shared" si="3256"/>
        <v/>
      </c>
      <c r="K3255" s="100"/>
      <c r="M3255" s="100"/>
      <c r="N3255" s="100"/>
      <c r="O3255" s="100"/>
      <c r="P3255" s="100"/>
    </row>
    <row r="3256">
      <c r="A3256" s="107">
        <v>1626144.0</v>
      </c>
      <c r="B3256" s="108" t="s">
        <v>193</v>
      </c>
      <c r="C3256" s="108" t="s">
        <v>821</v>
      </c>
      <c r="D3256" s="112" t="s">
        <v>177</v>
      </c>
      <c r="E3256" s="112">
        <v>847.8</v>
      </c>
      <c r="F3256" s="111" t="str">
        <f>DataPull!D3256</f>
        <v/>
      </c>
      <c r="G3256" s="94" t="str">
        <f t="shared" si="2"/>
        <v/>
      </c>
      <c r="H3256" s="94" t="str">
        <f t="shared" si="3"/>
        <v/>
      </c>
      <c r="I3256" s="94" t="str">
        <f t="shared" ref="I3256:J3256" si="3257">if(G3256 = "", , -G3256)</f>
        <v/>
      </c>
      <c r="J3256" s="94" t="str">
        <f t="shared" si="3257"/>
        <v/>
      </c>
      <c r="K3256" s="100"/>
      <c r="M3256" s="100"/>
      <c r="N3256" s="100"/>
      <c r="O3256" s="100"/>
      <c r="P3256" s="100"/>
    </row>
    <row r="3257">
      <c r="A3257" s="107">
        <v>1626144.0</v>
      </c>
      <c r="B3257" s="108" t="s">
        <v>215</v>
      </c>
      <c r="C3257" s="108" t="s">
        <v>821</v>
      </c>
      <c r="D3257" s="112" t="s">
        <v>181</v>
      </c>
      <c r="E3257" s="112">
        <v>11.0</v>
      </c>
      <c r="F3257" s="111" t="str">
        <f>DataPull!D3257</f>
        <v/>
      </c>
      <c r="G3257" s="94" t="str">
        <f t="shared" si="2"/>
        <v/>
      </c>
      <c r="H3257" s="94" t="str">
        <f t="shared" si="3"/>
        <v/>
      </c>
      <c r="I3257" s="94" t="str">
        <f t="shared" ref="I3257:J3257" si="3258">if(G3257 = "", , -G3257)</f>
        <v/>
      </c>
      <c r="J3257" s="94" t="str">
        <f t="shared" si="3258"/>
        <v/>
      </c>
      <c r="N3257" s="100"/>
      <c r="O3257" s="100"/>
      <c r="P3257" s="100"/>
    </row>
    <row r="3258">
      <c r="A3258" s="107">
        <v>1626145.0</v>
      </c>
      <c r="B3258" s="108" t="s">
        <v>92</v>
      </c>
      <c r="C3258" s="108" t="s">
        <v>822</v>
      </c>
      <c r="D3258" s="112" t="s">
        <v>177</v>
      </c>
      <c r="E3258" s="112">
        <v>573.5</v>
      </c>
      <c r="F3258" s="111" t="str">
        <f>DataPull!D3258</f>
        <v/>
      </c>
      <c r="G3258" s="94" t="str">
        <f t="shared" si="2"/>
        <v/>
      </c>
      <c r="H3258" s="94" t="str">
        <f t="shared" si="3"/>
        <v/>
      </c>
      <c r="I3258" s="94" t="str">
        <f t="shared" ref="I3258:J3258" si="3259">if(G3258 = "", , -G3258)</f>
        <v/>
      </c>
      <c r="J3258" s="94" t="str">
        <f t="shared" si="3259"/>
        <v/>
      </c>
      <c r="M3258" s="100"/>
      <c r="N3258" s="100"/>
      <c r="O3258" s="100"/>
    </row>
    <row r="3259">
      <c r="A3259" s="107">
        <v>1626145.0</v>
      </c>
      <c r="B3259" s="108" t="s">
        <v>190</v>
      </c>
      <c r="C3259" s="108" t="s">
        <v>822</v>
      </c>
      <c r="D3259" s="112" t="s">
        <v>187</v>
      </c>
      <c r="E3259" s="112">
        <v>774.0</v>
      </c>
      <c r="F3259" s="111" t="str">
        <f>DataPull!D3259</f>
        <v/>
      </c>
      <c r="G3259" s="94" t="str">
        <f t="shared" si="2"/>
        <v/>
      </c>
      <c r="H3259" s="94" t="str">
        <f t="shared" si="3"/>
        <v/>
      </c>
      <c r="I3259" s="94" t="str">
        <f t="shared" ref="I3259:J3259" si="3260">if(G3259 = "", , -G3259)</f>
        <v/>
      </c>
      <c r="J3259" s="94" t="str">
        <f t="shared" si="3260"/>
        <v/>
      </c>
      <c r="N3259" s="100"/>
      <c r="O3259" s="100"/>
      <c r="P3259" s="100"/>
    </row>
    <row r="3260">
      <c r="A3260" s="107">
        <v>1626145.0</v>
      </c>
      <c r="B3260" s="108" t="s">
        <v>191</v>
      </c>
      <c r="C3260" s="108" t="s">
        <v>822</v>
      </c>
      <c r="D3260" s="112" t="s">
        <v>177</v>
      </c>
      <c r="E3260" s="112">
        <v>1467.8</v>
      </c>
      <c r="F3260" s="111" t="str">
        <f>DataPull!D3260</f>
        <v/>
      </c>
      <c r="G3260" s="94" t="str">
        <f t="shared" si="2"/>
        <v/>
      </c>
      <c r="H3260" s="94" t="str">
        <f t="shared" si="3"/>
        <v/>
      </c>
      <c r="I3260" s="94" t="str">
        <f t="shared" ref="I3260:J3260" si="3261">if(G3260 = "", , -G3260)</f>
        <v/>
      </c>
      <c r="J3260" s="94" t="str">
        <f t="shared" si="3261"/>
        <v/>
      </c>
      <c r="K3260" s="100"/>
      <c r="M3260" s="100"/>
      <c r="N3260" s="100"/>
      <c r="O3260" s="100"/>
      <c r="P3260" s="100"/>
    </row>
    <row r="3261">
      <c r="A3261" s="107">
        <v>1626145.0</v>
      </c>
      <c r="B3261" s="108" t="s">
        <v>192</v>
      </c>
      <c r="C3261" s="108" t="s">
        <v>822</v>
      </c>
      <c r="D3261" s="112" t="s">
        <v>176</v>
      </c>
      <c r="E3261" s="112">
        <v>1557.2</v>
      </c>
      <c r="F3261" s="111" t="str">
        <f>DataPull!D3261</f>
        <v/>
      </c>
      <c r="G3261" s="94" t="str">
        <f t="shared" si="2"/>
        <v/>
      </c>
      <c r="H3261" s="94" t="str">
        <f t="shared" si="3"/>
        <v/>
      </c>
      <c r="I3261" s="94" t="str">
        <f t="shared" ref="I3261:J3261" si="3262">if(G3261 = "", , -G3261)</f>
        <v/>
      </c>
      <c r="J3261" s="94" t="str">
        <f t="shared" si="3262"/>
        <v/>
      </c>
      <c r="M3261" s="100"/>
      <c r="N3261" s="100"/>
      <c r="O3261" s="100"/>
    </row>
    <row r="3262">
      <c r="A3262" s="107">
        <v>1626145.0</v>
      </c>
      <c r="B3262" s="108" t="s">
        <v>193</v>
      </c>
      <c r="C3262" s="108" t="s">
        <v>822</v>
      </c>
      <c r="D3262" s="112" t="s">
        <v>176</v>
      </c>
      <c r="E3262" s="112">
        <v>1235.0</v>
      </c>
      <c r="F3262" s="111" t="str">
        <f>DataPull!D3262</f>
        <v/>
      </c>
      <c r="G3262" s="94" t="str">
        <f t="shared" si="2"/>
        <v/>
      </c>
      <c r="H3262" s="94" t="str">
        <f t="shared" si="3"/>
        <v/>
      </c>
      <c r="I3262" s="94" t="str">
        <f t="shared" ref="I3262:J3262" si="3263">if(G3262 = "", , -G3262)</f>
        <v/>
      </c>
      <c r="J3262" s="94" t="str">
        <f t="shared" si="3263"/>
        <v/>
      </c>
      <c r="K3262" s="100"/>
      <c r="M3262" s="100"/>
      <c r="N3262" s="100"/>
      <c r="O3262" s="100"/>
      <c r="P3262" s="100"/>
    </row>
    <row r="3263">
      <c r="A3263" s="107">
        <v>1626145.0</v>
      </c>
      <c r="B3263" s="108" t="s">
        <v>243</v>
      </c>
      <c r="C3263" s="108" t="s">
        <v>822</v>
      </c>
      <c r="D3263" s="112" t="s">
        <v>177</v>
      </c>
      <c r="E3263" s="112">
        <v>1225.0</v>
      </c>
      <c r="F3263" s="111" t="str">
        <f>DataPull!D3263</f>
        <v/>
      </c>
      <c r="G3263" s="94" t="str">
        <f t="shared" si="2"/>
        <v/>
      </c>
      <c r="H3263" s="94" t="str">
        <f t="shared" si="3"/>
        <v/>
      </c>
      <c r="I3263" s="94" t="str">
        <f t="shared" ref="I3263:J3263" si="3264">if(G3263 = "", , -G3263)</f>
        <v/>
      </c>
      <c r="J3263" s="94" t="str">
        <f t="shared" si="3264"/>
        <v/>
      </c>
      <c r="K3263" s="100"/>
      <c r="L3263" s="100"/>
      <c r="N3263" s="100"/>
      <c r="O3263" s="100"/>
      <c r="P3263" s="100"/>
    </row>
    <row r="3264">
      <c r="A3264" s="107">
        <v>1626145.0</v>
      </c>
      <c r="B3264" s="108" t="s">
        <v>215</v>
      </c>
      <c r="C3264" s="108" t="s">
        <v>822</v>
      </c>
      <c r="D3264" s="112" t="s">
        <v>176</v>
      </c>
      <c r="E3264" s="112">
        <v>1547.6</v>
      </c>
      <c r="F3264" s="111" t="str">
        <f>DataPull!D3264</f>
        <v/>
      </c>
      <c r="G3264" s="94" t="str">
        <f t="shared" si="2"/>
        <v/>
      </c>
      <c r="H3264" s="94" t="str">
        <f t="shared" si="3"/>
        <v/>
      </c>
      <c r="I3264" s="94" t="str">
        <f t="shared" ref="I3264:J3264" si="3265">if(G3264 = "", , -G3264)</f>
        <v/>
      </c>
      <c r="J3264" s="94" t="str">
        <f t="shared" si="3265"/>
        <v/>
      </c>
      <c r="N3264" s="100"/>
      <c r="O3264" s="100"/>
      <c r="P3264" s="100"/>
    </row>
    <row r="3265">
      <c r="A3265" s="107">
        <v>1626145.0</v>
      </c>
      <c r="B3265" s="108" t="s">
        <v>244</v>
      </c>
      <c r="C3265" s="108" t="s">
        <v>822</v>
      </c>
      <c r="D3265" s="112" t="s">
        <v>176</v>
      </c>
      <c r="E3265" s="112">
        <v>1936.0</v>
      </c>
      <c r="F3265" s="111" t="str">
        <f>DataPull!D3265</f>
        <v/>
      </c>
      <c r="G3265" s="94" t="str">
        <f t="shared" si="2"/>
        <v/>
      </c>
      <c r="H3265" s="94" t="str">
        <f t="shared" si="3"/>
        <v/>
      </c>
      <c r="I3265" s="94" t="str">
        <f t="shared" ref="I3265:J3265" si="3266">if(G3265 = "", , -G3265)</f>
        <v/>
      </c>
      <c r="J3265" s="94" t="str">
        <f t="shared" si="3266"/>
        <v/>
      </c>
      <c r="N3265" s="100"/>
      <c r="O3265" s="100"/>
    </row>
    <row r="3266">
      <c r="A3266" s="107">
        <v>1626145.0</v>
      </c>
      <c r="B3266" s="108" t="s">
        <v>245</v>
      </c>
      <c r="C3266" s="108" t="s">
        <v>822</v>
      </c>
      <c r="D3266" s="112" t="s">
        <v>178</v>
      </c>
      <c r="E3266" s="112">
        <v>1933.8</v>
      </c>
      <c r="F3266" s="111" t="str">
        <f>DataPull!D3266</f>
        <v/>
      </c>
      <c r="G3266" s="94" t="str">
        <f t="shared" si="2"/>
        <v/>
      </c>
      <c r="H3266" s="94" t="str">
        <f t="shared" si="3"/>
        <v/>
      </c>
      <c r="I3266" s="94" t="str">
        <f t="shared" ref="I3266:J3266" si="3267">if(G3266 = "", , -G3266)</f>
        <v/>
      </c>
      <c r="J3266" s="94" t="str">
        <f t="shared" si="3267"/>
        <v/>
      </c>
      <c r="K3266" s="100"/>
      <c r="M3266" s="100"/>
      <c r="N3266" s="100"/>
      <c r="O3266" s="100"/>
      <c r="P3266" s="100"/>
    </row>
    <row r="3267">
      <c r="A3267" s="107">
        <v>1626145.0</v>
      </c>
      <c r="B3267" s="108" t="s">
        <v>246</v>
      </c>
      <c r="C3267" s="108" t="s">
        <v>822</v>
      </c>
      <c r="D3267" s="112" t="s">
        <v>178</v>
      </c>
      <c r="E3267" s="112">
        <v>2170.8</v>
      </c>
      <c r="F3267" s="111" t="str">
        <f>DataPull!D3267</f>
        <v/>
      </c>
      <c r="G3267" s="94" t="str">
        <f t="shared" si="2"/>
        <v/>
      </c>
      <c r="H3267" s="94" t="str">
        <f t="shared" si="3"/>
        <v/>
      </c>
      <c r="I3267" s="94" t="str">
        <f t="shared" ref="I3267:J3267" si="3268">if(G3267 = "", , -G3267)</f>
        <v/>
      </c>
      <c r="J3267" s="94" t="str">
        <f t="shared" si="3268"/>
        <v/>
      </c>
      <c r="K3267" s="100"/>
      <c r="M3267" s="100"/>
      <c r="N3267" s="100"/>
      <c r="O3267" s="100"/>
      <c r="P3267" s="100"/>
    </row>
    <row r="3268">
      <c r="A3268" s="114">
        <v>1626145.0</v>
      </c>
      <c r="B3268" s="113" t="s">
        <v>247</v>
      </c>
      <c r="C3268" s="113" t="s">
        <v>822</v>
      </c>
      <c r="D3268" s="112" t="s">
        <v>177</v>
      </c>
      <c r="E3268" s="112">
        <v>978.2</v>
      </c>
      <c r="F3268" s="111" t="str">
        <f>DataPull!D3268</f>
        <v/>
      </c>
      <c r="G3268" s="94" t="str">
        <f t="shared" si="2"/>
        <v/>
      </c>
      <c r="H3268" s="94" t="str">
        <f t="shared" si="3"/>
        <v/>
      </c>
      <c r="I3268" s="94" t="str">
        <f t="shared" ref="I3268:J3268" si="3269">if(G3268 = "", , -G3268)</f>
        <v/>
      </c>
      <c r="J3268" s="94" t="str">
        <f t="shared" si="3269"/>
        <v/>
      </c>
      <c r="K3268" s="100"/>
      <c r="M3268" s="100"/>
      <c r="N3268" s="100"/>
      <c r="O3268" s="100"/>
      <c r="P3268" s="100"/>
    </row>
    <row r="3269">
      <c r="A3269" s="107">
        <v>1626146.0</v>
      </c>
      <c r="B3269" s="108" t="s">
        <v>92</v>
      </c>
      <c r="C3269" s="108" t="s">
        <v>823</v>
      </c>
      <c r="D3269" s="112" t="s">
        <v>181</v>
      </c>
      <c r="E3269" s="112">
        <v>36.0</v>
      </c>
      <c r="F3269" s="111" t="str">
        <f>DataPull!D3269</f>
        <v/>
      </c>
      <c r="G3269" s="94" t="str">
        <f t="shared" si="2"/>
        <v/>
      </c>
      <c r="H3269" s="94" t="str">
        <f t="shared" si="3"/>
        <v/>
      </c>
      <c r="I3269" s="94" t="str">
        <f t="shared" ref="I3269:J3269" si="3270">if(G3269 = "", , -G3269)</f>
        <v/>
      </c>
      <c r="J3269" s="94" t="str">
        <f t="shared" si="3270"/>
        <v/>
      </c>
      <c r="K3269" s="100"/>
      <c r="M3269" s="100"/>
      <c r="N3269" s="100"/>
      <c r="O3269" s="100"/>
      <c r="P3269" s="100"/>
    </row>
    <row r="3270">
      <c r="A3270" s="107">
        <v>1626147.0</v>
      </c>
      <c r="B3270" s="108" t="s">
        <v>92</v>
      </c>
      <c r="C3270" s="108" t="s">
        <v>824</v>
      </c>
      <c r="D3270" s="112" t="s">
        <v>177</v>
      </c>
      <c r="E3270" s="112">
        <v>649.0</v>
      </c>
      <c r="F3270" s="111" t="str">
        <f>DataPull!D3270</f>
        <v/>
      </c>
      <c r="G3270" s="94" t="str">
        <f t="shared" si="2"/>
        <v/>
      </c>
      <c r="H3270" s="94" t="str">
        <f t="shared" si="3"/>
        <v/>
      </c>
      <c r="I3270" s="94" t="str">
        <f t="shared" ref="I3270:J3270" si="3271">if(G3270 = "", , -G3270)</f>
        <v/>
      </c>
      <c r="J3270" s="94" t="str">
        <f t="shared" si="3271"/>
        <v/>
      </c>
      <c r="K3270" s="100"/>
      <c r="M3270" s="100"/>
      <c r="N3270" s="100"/>
      <c r="O3270" s="100"/>
      <c r="P3270" s="100"/>
    </row>
    <row r="3271">
      <c r="A3271" s="107">
        <v>1626147.0</v>
      </c>
      <c r="B3271" s="108" t="s">
        <v>190</v>
      </c>
      <c r="C3271" s="108" t="s">
        <v>824</v>
      </c>
      <c r="D3271" s="112" t="s">
        <v>177</v>
      </c>
      <c r="E3271" s="112">
        <v>1230.0</v>
      </c>
      <c r="F3271" s="111" t="str">
        <f>DataPull!D3271</f>
        <v/>
      </c>
      <c r="G3271" s="94" t="str">
        <f t="shared" si="2"/>
        <v/>
      </c>
      <c r="H3271" s="94" t="str">
        <f t="shared" si="3"/>
        <v/>
      </c>
      <c r="I3271" s="94" t="str">
        <f t="shared" ref="I3271:J3271" si="3272">if(G3271 = "", , -G3271)</f>
        <v/>
      </c>
      <c r="J3271" s="94" t="str">
        <f t="shared" si="3272"/>
        <v/>
      </c>
      <c r="N3271" s="100"/>
      <c r="O3271" s="100"/>
      <c r="P3271" s="100"/>
    </row>
    <row r="3272">
      <c r="A3272" s="107">
        <v>1626147.0</v>
      </c>
      <c r="B3272" s="108" t="s">
        <v>191</v>
      </c>
      <c r="C3272" s="108" t="s">
        <v>824</v>
      </c>
      <c r="D3272" s="112" t="s">
        <v>177</v>
      </c>
      <c r="E3272" s="112">
        <v>520.6</v>
      </c>
      <c r="F3272" s="111" t="str">
        <f>DataPull!D3272</f>
        <v/>
      </c>
      <c r="G3272" s="94" t="str">
        <f t="shared" si="2"/>
        <v/>
      </c>
      <c r="H3272" s="94" t="str">
        <f t="shared" si="3"/>
        <v/>
      </c>
      <c r="I3272" s="94" t="str">
        <f t="shared" ref="I3272:J3272" si="3273">if(G3272 = "", , -G3272)</f>
        <v/>
      </c>
      <c r="J3272" s="94" t="str">
        <f t="shared" si="3273"/>
        <v/>
      </c>
      <c r="K3272" s="100"/>
      <c r="M3272" s="100"/>
      <c r="N3272" s="100"/>
      <c r="O3272" s="100"/>
      <c r="P3272" s="100"/>
    </row>
    <row r="3273">
      <c r="A3273" s="107">
        <v>1626147.0</v>
      </c>
      <c r="B3273" s="108" t="s">
        <v>192</v>
      </c>
      <c r="C3273" s="108" t="s">
        <v>824</v>
      </c>
      <c r="D3273" s="112" t="s">
        <v>187</v>
      </c>
      <c r="E3273" s="112">
        <v>465.6</v>
      </c>
      <c r="F3273" s="111" t="str">
        <f>DataPull!D3273</f>
        <v/>
      </c>
      <c r="G3273" s="94" t="str">
        <f t="shared" si="2"/>
        <v/>
      </c>
      <c r="H3273" s="94" t="str">
        <f t="shared" si="3"/>
        <v/>
      </c>
      <c r="I3273" s="94" t="str">
        <f t="shared" ref="I3273:J3273" si="3274">if(G3273 = "", , -G3273)</f>
        <v/>
      </c>
      <c r="J3273" s="94" t="str">
        <f t="shared" si="3274"/>
        <v/>
      </c>
      <c r="M3273" s="100"/>
      <c r="N3273" s="100"/>
      <c r="O3273" s="100"/>
    </row>
    <row r="3274">
      <c r="A3274" s="107">
        <v>1626147.0</v>
      </c>
      <c r="B3274" s="108" t="s">
        <v>193</v>
      </c>
      <c r="C3274" s="108" t="s">
        <v>824</v>
      </c>
      <c r="D3274" s="112" t="s">
        <v>187</v>
      </c>
      <c r="E3274" s="112">
        <v>107.0</v>
      </c>
      <c r="F3274" s="111" t="str">
        <f>DataPull!D3274</f>
        <v/>
      </c>
      <c r="G3274" s="94" t="str">
        <f t="shared" si="2"/>
        <v/>
      </c>
      <c r="H3274" s="94" t="str">
        <f t="shared" si="3"/>
        <v/>
      </c>
      <c r="I3274" s="94" t="str">
        <f t="shared" ref="I3274:J3274" si="3275">if(G3274 = "", , -G3274)</f>
        <v/>
      </c>
      <c r="J3274" s="94" t="str">
        <f t="shared" si="3275"/>
        <v/>
      </c>
      <c r="K3274" s="100"/>
      <c r="M3274" s="100"/>
      <c r="N3274" s="100"/>
      <c r="O3274" s="100"/>
      <c r="P3274" s="100"/>
    </row>
    <row r="3275">
      <c r="A3275" s="107">
        <v>1626147.0</v>
      </c>
      <c r="B3275" s="108" t="s">
        <v>215</v>
      </c>
      <c r="C3275" s="108" t="s">
        <v>824</v>
      </c>
      <c r="D3275" s="112" t="s">
        <v>187</v>
      </c>
      <c r="E3275" s="112">
        <v>315.2</v>
      </c>
      <c r="F3275" s="111" t="str">
        <f>DataPull!D3275</f>
        <v/>
      </c>
      <c r="G3275" s="94" t="str">
        <f t="shared" si="2"/>
        <v/>
      </c>
      <c r="H3275" s="94" t="str">
        <f t="shared" si="3"/>
        <v/>
      </c>
      <c r="I3275" s="94" t="str">
        <f t="shared" ref="I3275:J3275" si="3276">if(G3275 = "", , -G3275)</f>
        <v/>
      </c>
      <c r="J3275" s="94" t="str">
        <f t="shared" si="3276"/>
        <v/>
      </c>
      <c r="K3275" s="100"/>
      <c r="M3275" s="100"/>
      <c r="N3275" s="100"/>
      <c r="O3275" s="100"/>
      <c r="P3275" s="100"/>
    </row>
    <row r="3276">
      <c r="A3276" s="107">
        <v>1626148.0</v>
      </c>
      <c r="B3276" s="108" t="s">
        <v>92</v>
      </c>
      <c r="C3276" s="108" t="s">
        <v>825</v>
      </c>
      <c r="D3276" s="112" t="s">
        <v>176</v>
      </c>
      <c r="E3276" s="112">
        <v>597.4</v>
      </c>
      <c r="F3276" s="111" t="str">
        <f>DataPull!D3276</f>
        <v/>
      </c>
      <c r="G3276" s="94" t="str">
        <f t="shared" si="2"/>
        <v/>
      </c>
      <c r="H3276" s="94" t="str">
        <f t="shared" si="3"/>
        <v/>
      </c>
      <c r="I3276" s="94" t="str">
        <f t="shared" ref="I3276:J3276" si="3277">if(G3276 = "", , -G3276)</f>
        <v/>
      </c>
      <c r="J3276" s="94" t="str">
        <f t="shared" si="3277"/>
        <v/>
      </c>
      <c r="K3276" s="100"/>
      <c r="M3276" s="100"/>
      <c r="N3276" s="100"/>
      <c r="O3276" s="100"/>
      <c r="P3276" s="100"/>
    </row>
    <row r="3277">
      <c r="A3277" s="107">
        <v>1626148.0</v>
      </c>
      <c r="B3277" s="108" t="s">
        <v>190</v>
      </c>
      <c r="C3277" s="108" t="s">
        <v>825</v>
      </c>
      <c r="D3277" s="112" t="s">
        <v>187</v>
      </c>
      <c r="E3277" s="112">
        <v>159.5</v>
      </c>
      <c r="F3277" s="111" t="str">
        <f>DataPull!D3277</f>
        <v/>
      </c>
      <c r="G3277" s="94" t="str">
        <f t="shared" si="2"/>
        <v/>
      </c>
      <c r="H3277" s="94" t="str">
        <f t="shared" si="3"/>
        <v/>
      </c>
      <c r="I3277" s="94" t="str">
        <f t="shared" ref="I3277:J3277" si="3278">if(G3277 = "", , -G3277)</f>
        <v/>
      </c>
      <c r="J3277" s="94" t="str">
        <f t="shared" si="3278"/>
        <v/>
      </c>
      <c r="K3277" s="100"/>
      <c r="M3277" s="100"/>
      <c r="N3277" s="100"/>
      <c r="O3277" s="100"/>
      <c r="P3277" s="100"/>
    </row>
    <row r="3278">
      <c r="A3278" s="107">
        <v>1626148.0</v>
      </c>
      <c r="B3278" s="108" t="s">
        <v>191</v>
      </c>
      <c r="C3278" s="108" t="s">
        <v>825</v>
      </c>
      <c r="D3278" s="112" t="s">
        <v>181</v>
      </c>
      <c r="E3278" s="112">
        <v>3.7</v>
      </c>
      <c r="F3278" s="111" t="str">
        <f>DataPull!D3278</f>
        <v/>
      </c>
      <c r="G3278" s="94" t="str">
        <f t="shared" si="2"/>
        <v/>
      </c>
      <c r="H3278" s="94" t="str">
        <f t="shared" si="3"/>
        <v/>
      </c>
      <c r="I3278" s="94" t="str">
        <f t="shared" ref="I3278:J3278" si="3279">if(G3278 = "", , -G3278)</f>
        <v/>
      </c>
      <c r="J3278" s="94" t="str">
        <f t="shared" si="3279"/>
        <v/>
      </c>
      <c r="K3278" s="100"/>
      <c r="M3278" s="100"/>
      <c r="N3278" s="100"/>
      <c r="O3278" s="100"/>
      <c r="P3278" s="100"/>
    </row>
    <row r="3279">
      <c r="A3279" s="107">
        <v>1626149.0</v>
      </c>
      <c r="B3279" s="108" t="s">
        <v>92</v>
      </c>
      <c r="C3279" s="108" t="s">
        <v>826</v>
      </c>
      <c r="D3279" s="112" t="s">
        <v>187</v>
      </c>
      <c r="E3279" s="112">
        <v>378.3</v>
      </c>
      <c r="F3279" s="111" t="str">
        <f>DataPull!D3279</f>
        <v/>
      </c>
      <c r="G3279" s="94" t="str">
        <f t="shared" si="2"/>
        <v/>
      </c>
      <c r="H3279" s="94" t="str">
        <f t="shared" si="3"/>
        <v/>
      </c>
      <c r="I3279" s="94" t="str">
        <f t="shared" ref="I3279:J3279" si="3280">if(G3279 = "", , -G3279)</f>
        <v/>
      </c>
      <c r="J3279" s="94" t="str">
        <f t="shared" si="3280"/>
        <v/>
      </c>
      <c r="K3279" s="100"/>
      <c r="M3279" s="100"/>
      <c r="N3279" s="100"/>
      <c r="O3279" s="100"/>
      <c r="P3279" s="100"/>
    </row>
    <row r="3280">
      <c r="A3280" s="107">
        <v>1626149.0</v>
      </c>
      <c r="B3280" s="108" t="s">
        <v>190</v>
      </c>
      <c r="C3280" s="108" t="s">
        <v>826</v>
      </c>
      <c r="D3280" s="112" t="s">
        <v>177</v>
      </c>
      <c r="E3280" s="112">
        <v>1061.4</v>
      </c>
      <c r="F3280" s="111" t="str">
        <f>DataPull!D3280</f>
        <v/>
      </c>
      <c r="G3280" s="94" t="str">
        <f t="shared" si="2"/>
        <v/>
      </c>
      <c r="H3280" s="94" t="str">
        <f t="shared" si="3"/>
        <v/>
      </c>
      <c r="I3280" s="94" t="str">
        <f t="shared" ref="I3280:J3280" si="3281">if(G3280 = "", , -G3280)</f>
        <v/>
      </c>
      <c r="J3280" s="94" t="str">
        <f t="shared" si="3281"/>
        <v/>
      </c>
      <c r="K3280" s="100"/>
      <c r="M3280" s="100"/>
      <c r="N3280" s="100"/>
      <c r="O3280" s="100"/>
      <c r="P3280" s="100"/>
    </row>
    <row r="3281">
      <c r="A3281" s="107">
        <v>1626149.0</v>
      </c>
      <c r="B3281" s="108" t="s">
        <v>191</v>
      </c>
      <c r="C3281" s="108" t="s">
        <v>826</v>
      </c>
      <c r="D3281" s="112" t="s">
        <v>177</v>
      </c>
      <c r="E3281" s="112">
        <v>1292.0</v>
      </c>
      <c r="F3281" s="111" t="str">
        <f>DataPull!D3281</f>
        <v/>
      </c>
      <c r="G3281" s="94" t="str">
        <f t="shared" si="2"/>
        <v/>
      </c>
      <c r="H3281" s="94" t="str">
        <f t="shared" si="3"/>
        <v/>
      </c>
      <c r="I3281" s="94" t="str">
        <f t="shared" ref="I3281:J3281" si="3282">if(G3281 = "", , -G3281)</f>
        <v/>
      </c>
      <c r="J3281" s="94" t="str">
        <f t="shared" si="3282"/>
        <v/>
      </c>
      <c r="K3281" s="100"/>
      <c r="L3281" s="100"/>
      <c r="N3281" s="100"/>
      <c r="O3281" s="100"/>
      <c r="P3281" s="100"/>
    </row>
    <row r="3282">
      <c r="A3282" s="107">
        <v>1626149.0</v>
      </c>
      <c r="B3282" s="108" t="s">
        <v>192</v>
      </c>
      <c r="C3282" s="108" t="s">
        <v>826</v>
      </c>
      <c r="D3282" s="112" t="s">
        <v>176</v>
      </c>
      <c r="E3282" s="112">
        <v>2156.6</v>
      </c>
      <c r="F3282" s="111" t="str">
        <f>DataPull!D3282</f>
        <v/>
      </c>
      <c r="G3282" s="94" t="str">
        <f t="shared" si="2"/>
        <v/>
      </c>
      <c r="H3282" s="94" t="str">
        <f t="shared" si="3"/>
        <v/>
      </c>
      <c r="I3282" s="94" t="str">
        <f t="shared" ref="I3282:J3282" si="3283">if(G3282 = "", , -G3282)</f>
        <v/>
      </c>
      <c r="J3282" s="94" t="str">
        <f t="shared" si="3283"/>
        <v/>
      </c>
      <c r="K3282" s="100"/>
      <c r="M3282" s="100"/>
      <c r="N3282" s="100"/>
      <c r="O3282" s="100"/>
      <c r="P3282" s="100"/>
    </row>
    <row r="3283">
      <c r="A3283" s="107">
        <v>1626149.0</v>
      </c>
      <c r="B3283" s="108" t="s">
        <v>193</v>
      </c>
      <c r="C3283" s="108" t="s">
        <v>826</v>
      </c>
      <c r="D3283" s="112" t="s">
        <v>184</v>
      </c>
      <c r="E3283" s="112">
        <v>1751.4</v>
      </c>
      <c r="F3283" s="111" t="str">
        <f>DataPull!D3283</f>
        <v/>
      </c>
      <c r="G3283" s="94" t="str">
        <f t="shared" si="2"/>
        <v/>
      </c>
      <c r="H3283" s="94" t="str">
        <f t="shared" si="3"/>
        <v/>
      </c>
      <c r="I3283" s="94" t="str">
        <f t="shared" ref="I3283:J3283" si="3284">if(G3283 = "", , -G3283)</f>
        <v/>
      </c>
      <c r="J3283" s="94" t="str">
        <f t="shared" si="3284"/>
        <v/>
      </c>
      <c r="K3283" s="100"/>
      <c r="M3283" s="100"/>
      <c r="N3283" s="100"/>
      <c r="O3283" s="100"/>
      <c r="P3283" s="100"/>
    </row>
    <row r="3284">
      <c r="A3284" s="107">
        <v>1626149.0</v>
      </c>
      <c r="B3284" s="108" t="s">
        <v>243</v>
      </c>
      <c r="C3284" s="108" t="s">
        <v>826</v>
      </c>
      <c r="D3284" s="112" t="s">
        <v>176</v>
      </c>
      <c r="E3284" s="112">
        <v>1580.1</v>
      </c>
      <c r="F3284" s="111" t="str">
        <f>DataPull!D3284</f>
        <v/>
      </c>
      <c r="G3284" s="94" t="str">
        <f t="shared" si="2"/>
        <v/>
      </c>
      <c r="H3284" s="94" t="str">
        <f t="shared" si="3"/>
        <v/>
      </c>
      <c r="I3284" s="94" t="str">
        <f t="shared" ref="I3284:J3284" si="3285">if(G3284 = "", , -G3284)</f>
        <v/>
      </c>
      <c r="J3284" s="94" t="str">
        <f t="shared" si="3285"/>
        <v/>
      </c>
      <c r="K3284" s="100"/>
      <c r="M3284" s="100"/>
      <c r="N3284" s="100"/>
      <c r="O3284" s="100"/>
      <c r="P3284" s="100"/>
    </row>
    <row r="3285">
      <c r="A3285" s="107">
        <v>1626149.0</v>
      </c>
      <c r="B3285" s="108" t="s">
        <v>215</v>
      </c>
      <c r="C3285" s="108" t="s">
        <v>826</v>
      </c>
      <c r="D3285" s="112" t="s">
        <v>176</v>
      </c>
      <c r="E3285" s="112">
        <v>1640.1</v>
      </c>
      <c r="F3285" s="111" t="str">
        <f>DataPull!D3285</f>
        <v/>
      </c>
      <c r="G3285" s="94" t="str">
        <f t="shared" si="2"/>
        <v/>
      </c>
      <c r="H3285" s="94" t="str">
        <f t="shared" si="3"/>
        <v/>
      </c>
      <c r="I3285" s="94" t="str">
        <f t="shared" ref="I3285:J3285" si="3286">if(G3285 = "", , -G3285)</f>
        <v/>
      </c>
      <c r="J3285" s="94" t="str">
        <f t="shared" si="3286"/>
        <v/>
      </c>
      <c r="K3285" s="100"/>
      <c r="L3285" s="100"/>
      <c r="M3285" s="100"/>
      <c r="N3285" s="100"/>
      <c r="O3285" s="100"/>
      <c r="P3285" s="100"/>
    </row>
    <row r="3286">
      <c r="A3286" s="107">
        <v>1626149.0</v>
      </c>
      <c r="B3286" s="108" t="s">
        <v>244</v>
      </c>
      <c r="C3286" s="108" t="s">
        <v>826</v>
      </c>
      <c r="D3286" s="112" t="s">
        <v>177</v>
      </c>
      <c r="E3286" s="112">
        <v>678.3</v>
      </c>
      <c r="F3286" s="111" t="str">
        <f>DataPull!D3286</f>
        <v/>
      </c>
      <c r="G3286" s="94" t="str">
        <f t="shared" si="2"/>
        <v/>
      </c>
      <c r="H3286" s="94" t="str">
        <f t="shared" si="3"/>
        <v/>
      </c>
      <c r="I3286" s="94" t="str">
        <f t="shared" ref="I3286:J3286" si="3287">if(G3286 = "", , -G3286)</f>
        <v/>
      </c>
      <c r="J3286" s="94" t="str">
        <f t="shared" si="3287"/>
        <v/>
      </c>
      <c r="K3286" s="100"/>
      <c r="M3286" s="100"/>
      <c r="N3286" s="100"/>
      <c r="O3286" s="100"/>
      <c r="P3286" s="100"/>
    </row>
    <row r="3287">
      <c r="A3287" s="107">
        <v>1626150.0</v>
      </c>
      <c r="B3287" s="108" t="s">
        <v>190</v>
      </c>
      <c r="C3287" s="108" t="s">
        <v>827</v>
      </c>
      <c r="D3287" s="112" t="s">
        <v>177</v>
      </c>
      <c r="E3287" s="112">
        <v>1476.0</v>
      </c>
      <c r="F3287" s="111" t="str">
        <f>DataPull!D3287</f>
        <v/>
      </c>
      <c r="G3287" s="94" t="str">
        <f t="shared" si="2"/>
        <v/>
      </c>
      <c r="H3287" s="94" t="str">
        <f t="shared" si="3"/>
        <v/>
      </c>
      <c r="I3287" s="94" t="str">
        <f t="shared" ref="I3287:J3287" si="3288">if(G3287 = "", , -G3287)</f>
        <v/>
      </c>
      <c r="J3287" s="94" t="str">
        <f t="shared" si="3288"/>
        <v/>
      </c>
      <c r="K3287" s="100"/>
      <c r="L3287" s="100"/>
      <c r="M3287" s="100"/>
      <c r="N3287" s="100"/>
      <c r="O3287" s="100"/>
      <c r="P3287" s="100"/>
    </row>
    <row r="3288">
      <c r="A3288" s="107">
        <v>1626150.0</v>
      </c>
      <c r="B3288" s="108" t="s">
        <v>191</v>
      </c>
      <c r="C3288" s="108" t="s">
        <v>827</v>
      </c>
      <c r="D3288" s="112" t="s">
        <v>176</v>
      </c>
      <c r="E3288" s="112">
        <v>1327.2</v>
      </c>
      <c r="F3288" s="111" t="str">
        <f>DataPull!D3288</f>
        <v/>
      </c>
      <c r="G3288" s="94" t="str">
        <f t="shared" si="2"/>
        <v/>
      </c>
      <c r="H3288" s="94" t="str">
        <f t="shared" si="3"/>
        <v/>
      </c>
      <c r="I3288" s="94" t="str">
        <f t="shared" ref="I3288:J3288" si="3289">if(G3288 = "", , -G3288)</f>
        <v/>
      </c>
      <c r="J3288" s="94" t="str">
        <f t="shared" si="3289"/>
        <v/>
      </c>
      <c r="K3288" s="100"/>
      <c r="M3288" s="100"/>
      <c r="N3288" s="100"/>
      <c r="O3288" s="100"/>
      <c r="P3288" s="100"/>
    </row>
    <row r="3289">
      <c r="A3289" s="107">
        <v>1626150.0</v>
      </c>
      <c r="B3289" s="108" t="s">
        <v>192</v>
      </c>
      <c r="C3289" s="108" t="s">
        <v>827</v>
      </c>
      <c r="D3289" s="112" t="s">
        <v>187</v>
      </c>
      <c r="E3289" s="112">
        <v>185.3</v>
      </c>
      <c r="F3289" s="111" t="str">
        <f>DataPull!D3289</f>
        <v/>
      </c>
      <c r="G3289" s="94" t="str">
        <f t="shared" si="2"/>
        <v/>
      </c>
      <c r="H3289" s="94" t="str">
        <f t="shared" si="3"/>
        <v/>
      </c>
      <c r="I3289" s="94" t="str">
        <f t="shared" ref="I3289:J3289" si="3290">if(G3289 = "", , -G3289)</f>
        <v/>
      </c>
      <c r="J3289" s="94" t="str">
        <f t="shared" si="3290"/>
        <v/>
      </c>
      <c r="K3289" s="100"/>
      <c r="L3289" s="100"/>
      <c r="N3289" s="100"/>
      <c r="O3289" s="100"/>
      <c r="P3289" s="100"/>
    </row>
    <row r="3290">
      <c r="A3290" s="107">
        <v>1626151.0</v>
      </c>
      <c r="B3290" s="108" t="s">
        <v>92</v>
      </c>
      <c r="C3290" s="108" t="s">
        <v>828</v>
      </c>
      <c r="D3290" s="112" t="s">
        <v>187</v>
      </c>
      <c r="E3290" s="112">
        <v>92.4</v>
      </c>
      <c r="F3290" s="111" t="str">
        <f>DataPull!D3290</f>
        <v/>
      </c>
      <c r="G3290" s="94" t="str">
        <f t="shared" si="2"/>
        <v/>
      </c>
      <c r="H3290" s="94" t="str">
        <f t="shared" si="3"/>
        <v/>
      </c>
      <c r="I3290" s="94" t="str">
        <f t="shared" ref="I3290:J3290" si="3291">if(G3290 = "", , -G3290)</f>
        <v/>
      </c>
      <c r="J3290" s="94" t="str">
        <f t="shared" si="3291"/>
        <v/>
      </c>
      <c r="K3290" s="100"/>
      <c r="M3290" s="100"/>
      <c r="N3290" s="100"/>
      <c r="O3290" s="100"/>
      <c r="P3290" s="100"/>
    </row>
    <row r="3291">
      <c r="A3291" s="107">
        <v>1626151.0</v>
      </c>
      <c r="B3291" s="108" t="s">
        <v>190</v>
      </c>
      <c r="C3291" s="108" t="s">
        <v>828</v>
      </c>
      <c r="D3291" s="112" t="s">
        <v>181</v>
      </c>
      <c r="E3291" s="112">
        <v>16.5</v>
      </c>
      <c r="F3291" s="111" t="str">
        <f>DataPull!D3291</f>
        <v/>
      </c>
      <c r="G3291" s="94" t="str">
        <f t="shared" si="2"/>
        <v/>
      </c>
      <c r="H3291" s="94" t="str">
        <f t="shared" si="3"/>
        <v/>
      </c>
      <c r="I3291" s="94" t="str">
        <f t="shared" ref="I3291:J3291" si="3292">if(G3291 = "", , -G3291)</f>
        <v/>
      </c>
      <c r="J3291" s="94" t="str">
        <f t="shared" si="3292"/>
        <v/>
      </c>
      <c r="K3291" s="100"/>
      <c r="M3291" s="100"/>
      <c r="N3291" s="100"/>
      <c r="O3291" s="100"/>
      <c r="P3291" s="100"/>
    </row>
    <row r="3292">
      <c r="A3292" s="107">
        <v>1626151.0</v>
      </c>
      <c r="B3292" s="108" t="s">
        <v>191</v>
      </c>
      <c r="C3292" s="108" t="s">
        <v>828</v>
      </c>
      <c r="D3292" s="112" t="s">
        <v>178</v>
      </c>
      <c r="E3292" s="112">
        <v>233.1</v>
      </c>
      <c r="F3292" s="111" t="str">
        <f>DataPull!D3292</f>
        <v/>
      </c>
      <c r="G3292" s="94" t="str">
        <f t="shared" si="2"/>
        <v/>
      </c>
      <c r="H3292" s="94" t="str">
        <f t="shared" si="3"/>
        <v/>
      </c>
      <c r="I3292" s="94" t="str">
        <f t="shared" ref="I3292:J3292" si="3293">if(G3292 = "", , -G3292)</f>
        <v/>
      </c>
      <c r="J3292" s="94" t="str">
        <f t="shared" si="3293"/>
        <v/>
      </c>
      <c r="K3292" s="100"/>
      <c r="M3292" s="100"/>
      <c r="N3292" s="100"/>
      <c r="O3292" s="100"/>
      <c r="P3292" s="100"/>
    </row>
    <row r="3293">
      <c r="A3293" s="107">
        <v>1626153.0</v>
      </c>
      <c r="B3293" s="108" t="s">
        <v>92</v>
      </c>
      <c r="C3293" s="108" t="s">
        <v>829</v>
      </c>
      <c r="D3293" s="112" t="s">
        <v>187</v>
      </c>
      <c r="E3293" s="112">
        <v>229.5</v>
      </c>
      <c r="F3293" s="111" t="str">
        <f>DataPull!D3293</f>
        <v/>
      </c>
      <c r="G3293" s="94" t="str">
        <f t="shared" si="2"/>
        <v/>
      </c>
      <c r="H3293" s="94" t="str">
        <f t="shared" si="3"/>
        <v/>
      </c>
      <c r="I3293" s="94" t="str">
        <f t="shared" ref="I3293:J3293" si="3294">if(G3293 = "", , -G3293)</f>
        <v/>
      </c>
      <c r="J3293" s="94" t="str">
        <f t="shared" si="3294"/>
        <v/>
      </c>
      <c r="K3293" s="100"/>
      <c r="M3293" s="100"/>
      <c r="N3293" s="100"/>
      <c r="O3293" s="100"/>
      <c r="P3293" s="100"/>
    </row>
    <row r="3294">
      <c r="A3294" s="107">
        <v>1626153.0</v>
      </c>
      <c r="B3294" s="108" t="s">
        <v>190</v>
      </c>
      <c r="C3294" s="108" t="s">
        <v>829</v>
      </c>
      <c r="D3294" s="112" t="s">
        <v>177</v>
      </c>
      <c r="E3294" s="112">
        <v>445.5</v>
      </c>
      <c r="F3294" s="111" t="str">
        <f>DataPull!D3294</f>
        <v/>
      </c>
      <c r="G3294" s="94" t="str">
        <f t="shared" si="2"/>
        <v/>
      </c>
      <c r="H3294" s="94" t="str">
        <f t="shared" si="3"/>
        <v/>
      </c>
      <c r="I3294" s="94" t="str">
        <f t="shared" ref="I3294:J3294" si="3295">if(G3294 = "", , -G3294)</f>
        <v/>
      </c>
      <c r="J3294" s="94" t="str">
        <f t="shared" si="3295"/>
        <v/>
      </c>
      <c r="K3294" s="100"/>
      <c r="M3294" s="100"/>
      <c r="N3294" s="100"/>
      <c r="O3294" s="100"/>
      <c r="P3294" s="100"/>
    </row>
    <row r="3295">
      <c r="A3295" s="107">
        <v>1626153.0</v>
      </c>
      <c r="B3295" s="108" t="s">
        <v>191</v>
      </c>
      <c r="C3295" s="108" t="s">
        <v>829</v>
      </c>
      <c r="D3295" s="112" t="s">
        <v>184</v>
      </c>
      <c r="E3295" s="112">
        <v>1435.2</v>
      </c>
      <c r="F3295" s="111" t="str">
        <f>DataPull!D3295</f>
        <v/>
      </c>
      <c r="G3295" s="94" t="str">
        <f t="shared" si="2"/>
        <v/>
      </c>
      <c r="H3295" s="94" t="str">
        <f t="shared" si="3"/>
        <v/>
      </c>
      <c r="I3295" s="94" t="str">
        <f t="shared" ref="I3295:J3295" si="3296">if(G3295 = "", , -G3295)</f>
        <v/>
      </c>
      <c r="J3295" s="94" t="str">
        <f t="shared" si="3296"/>
        <v/>
      </c>
      <c r="K3295" s="100"/>
      <c r="M3295" s="100"/>
      <c r="N3295" s="100"/>
      <c r="O3295" s="100"/>
      <c r="P3295" s="100"/>
    </row>
    <row r="3296">
      <c r="A3296" s="107">
        <v>1626153.0</v>
      </c>
      <c r="B3296" s="108" t="s">
        <v>192</v>
      </c>
      <c r="C3296" s="108" t="s">
        <v>829</v>
      </c>
      <c r="D3296" s="112" t="s">
        <v>177</v>
      </c>
      <c r="E3296" s="112">
        <v>1695.0</v>
      </c>
      <c r="F3296" s="111" t="str">
        <f>DataPull!D3296</f>
        <v/>
      </c>
      <c r="G3296" s="94" t="str">
        <f t="shared" si="2"/>
        <v/>
      </c>
      <c r="H3296" s="94" t="str">
        <f t="shared" si="3"/>
        <v/>
      </c>
      <c r="I3296" s="94" t="str">
        <f t="shared" ref="I3296:J3296" si="3297">if(G3296 = "", , -G3296)</f>
        <v/>
      </c>
      <c r="J3296" s="94" t="str">
        <f t="shared" si="3297"/>
        <v/>
      </c>
      <c r="K3296" s="100"/>
      <c r="M3296" s="100"/>
      <c r="N3296" s="100"/>
      <c r="O3296" s="100"/>
    </row>
    <row r="3297">
      <c r="A3297" s="107">
        <v>1626153.0</v>
      </c>
      <c r="B3297" s="108" t="s">
        <v>193</v>
      </c>
      <c r="C3297" s="108" t="s">
        <v>829</v>
      </c>
      <c r="D3297" s="112" t="s">
        <v>176</v>
      </c>
      <c r="E3297" s="112">
        <v>1569.5</v>
      </c>
      <c r="F3297" s="111" t="str">
        <f>DataPull!D3297</f>
        <v/>
      </c>
      <c r="G3297" s="94" t="str">
        <f t="shared" si="2"/>
        <v/>
      </c>
      <c r="H3297" s="94" t="str">
        <f t="shared" si="3"/>
        <v/>
      </c>
      <c r="I3297" s="94" t="str">
        <f t="shared" ref="I3297:J3297" si="3298">if(G3297 = "", , -G3297)</f>
        <v/>
      </c>
      <c r="J3297" s="94" t="str">
        <f t="shared" si="3298"/>
        <v/>
      </c>
      <c r="K3297" s="100"/>
      <c r="L3297" s="100"/>
      <c r="N3297" s="100"/>
      <c r="O3297" s="100"/>
      <c r="P3297" s="100"/>
    </row>
    <row r="3298">
      <c r="A3298" s="107">
        <v>1626153.0</v>
      </c>
      <c r="B3298" s="108" t="s">
        <v>243</v>
      </c>
      <c r="C3298" s="108" t="s">
        <v>829</v>
      </c>
      <c r="D3298" s="112" t="s">
        <v>184</v>
      </c>
      <c r="E3298" s="112">
        <v>1745.1</v>
      </c>
      <c r="F3298" s="111" t="str">
        <f>DataPull!D3298</f>
        <v/>
      </c>
      <c r="G3298" s="94" t="str">
        <f t="shared" si="2"/>
        <v/>
      </c>
      <c r="H3298" s="94" t="str">
        <f t="shared" si="3"/>
        <v/>
      </c>
      <c r="I3298" s="94" t="str">
        <f t="shared" ref="I3298:J3298" si="3299">if(G3298 = "", , -G3298)</f>
        <v/>
      </c>
      <c r="J3298" s="94" t="str">
        <f t="shared" si="3299"/>
        <v/>
      </c>
      <c r="K3298" s="100"/>
      <c r="M3298" s="100"/>
      <c r="N3298" s="100"/>
      <c r="O3298" s="100"/>
      <c r="P3298" s="100"/>
    </row>
    <row r="3299">
      <c r="A3299" s="107">
        <v>1626153.0</v>
      </c>
      <c r="B3299" s="108" t="s">
        <v>215</v>
      </c>
      <c r="C3299" s="108" t="s">
        <v>829</v>
      </c>
      <c r="D3299" s="112" t="s">
        <v>177</v>
      </c>
      <c r="E3299" s="112">
        <v>1455.3</v>
      </c>
      <c r="F3299" s="111" t="str">
        <f>DataPull!D3299</f>
        <v/>
      </c>
      <c r="G3299" s="94" t="str">
        <f t="shared" si="2"/>
        <v/>
      </c>
      <c r="H3299" s="94" t="str">
        <f t="shared" si="3"/>
        <v/>
      </c>
      <c r="I3299" s="94" t="str">
        <f t="shared" ref="I3299:J3299" si="3300">if(G3299 = "", , -G3299)</f>
        <v/>
      </c>
      <c r="J3299" s="94" t="str">
        <f t="shared" si="3300"/>
        <v/>
      </c>
      <c r="K3299" s="100"/>
      <c r="M3299" s="100"/>
      <c r="N3299" s="100"/>
      <c r="O3299" s="100"/>
      <c r="P3299" s="100"/>
    </row>
    <row r="3300">
      <c r="A3300" s="107">
        <v>1626153.0</v>
      </c>
      <c r="B3300" s="108" t="s">
        <v>244</v>
      </c>
      <c r="C3300" s="108" t="s">
        <v>829</v>
      </c>
      <c r="D3300" s="112" t="s">
        <v>176</v>
      </c>
      <c r="E3300" s="112">
        <v>1220.0</v>
      </c>
      <c r="F3300" s="111" t="str">
        <f>DataPull!D3300</f>
        <v/>
      </c>
      <c r="G3300" s="94" t="str">
        <f t="shared" si="2"/>
        <v/>
      </c>
      <c r="H3300" s="94" t="str">
        <f t="shared" si="3"/>
        <v/>
      </c>
      <c r="I3300" s="94" t="str">
        <f t="shared" ref="I3300:J3300" si="3301">if(G3300 = "", , -G3300)</f>
        <v/>
      </c>
      <c r="J3300" s="94" t="str">
        <f t="shared" si="3301"/>
        <v/>
      </c>
      <c r="K3300" s="100"/>
      <c r="M3300" s="100"/>
      <c r="N3300" s="100"/>
      <c r="O3300" s="100"/>
      <c r="P3300" s="100"/>
    </row>
    <row r="3301">
      <c r="A3301" s="107">
        <v>1626153.0</v>
      </c>
      <c r="B3301" s="108" t="s">
        <v>245</v>
      </c>
      <c r="C3301" s="108" t="s">
        <v>829</v>
      </c>
      <c r="D3301" s="112" t="s">
        <v>177</v>
      </c>
      <c r="E3301" s="112">
        <v>742.6</v>
      </c>
      <c r="F3301" s="111" t="str">
        <f>DataPull!D3301</f>
        <v/>
      </c>
      <c r="G3301" s="94" t="str">
        <f t="shared" si="2"/>
        <v/>
      </c>
      <c r="H3301" s="94" t="str">
        <f t="shared" si="3"/>
        <v/>
      </c>
      <c r="I3301" s="94" t="str">
        <f t="shared" ref="I3301:J3301" si="3302">if(G3301 = "", , -G3301)</f>
        <v/>
      </c>
      <c r="J3301" s="94" t="str">
        <f t="shared" si="3302"/>
        <v/>
      </c>
      <c r="K3301" s="100"/>
      <c r="L3301" s="100"/>
      <c r="N3301" s="100"/>
      <c r="O3301" s="100"/>
      <c r="P3301" s="100"/>
    </row>
    <row r="3302">
      <c r="A3302" s="107">
        <v>1626153.0</v>
      </c>
      <c r="B3302" s="108" t="s">
        <v>246</v>
      </c>
      <c r="C3302" s="108" t="s">
        <v>829</v>
      </c>
      <c r="D3302" s="112" t="s">
        <v>177</v>
      </c>
      <c r="E3302" s="112">
        <v>636.0</v>
      </c>
      <c r="F3302" s="111" t="str">
        <f>DataPull!D3302</f>
        <v/>
      </c>
      <c r="G3302" s="94" t="str">
        <f t="shared" si="2"/>
        <v/>
      </c>
      <c r="H3302" s="94" t="str">
        <f t="shared" si="3"/>
        <v/>
      </c>
      <c r="I3302" s="94" t="str">
        <f t="shared" ref="I3302:J3302" si="3303">if(G3302 = "", , -G3302)</f>
        <v/>
      </c>
      <c r="J3302" s="94" t="str">
        <f t="shared" si="3303"/>
        <v/>
      </c>
      <c r="K3302" s="100"/>
      <c r="L3302" s="100"/>
      <c r="M3302" s="100"/>
      <c r="N3302" s="100"/>
      <c r="O3302" s="100"/>
      <c r="P3302" s="100"/>
    </row>
    <row r="3303">
      <c r="A3303" s="107">
        <v>1626154.0</v>
      </c>
      <c r="B3303" s="108" t="s">
        <v>92</v>
      </c>
      <c r="C3303" s="108" t="s">
        <v>830</v>
      </c>
      <c r="D3303" s="112" t="s">
        <v>187</v>
      </c>
      <c r="E3303" s="112">
        <v>313.2</v>
      </c>
      <c r="F3303" s="111" t="str">
        <f>DataPull!D3303</f>
        <v/>
      </c>
      <c r="G3303" s="94" t="str">
        <f t="shared" si="2"/>
        <v/>
      </c>
      <c r="H3303" s="94" t="str">
        <f t="shared" si="3"/>
        <v/>
      </c>
      <c r="I3303" s="94" t="str">
        <f t="shared" ref="I3303:J3303" si="3304">if(G3303 = "", , -G3303)</f>
        <v/>
      </c>
      <c r="J3303" s="94" t="str">
        <f t="shared" si="3304"/>
        <v/>
      </c>
      <c r="K3303" s="100"/>
      <c r="M3303" s="100"/>
      <c r="N3303" s="100"/>
      <c r="O3303" s="100"/>
      <c r="P3303" s="100"/>
    </row>
    <row r="3304">
      <c r="A3304" s="107">
        <v>1626154.0</v>
      </c>
      <c r="B3304" s="108" t="s">
        <v>190</v>
      </c>
      <c r="C3304" s="108" t="s">
        <v>830</v>
      </c>
      <c r="D3304" s="112" t="s">
        <v>181</v>
      </c>
      <c r="E3304" s="112">
        <v>9.3</v>
      </c>
      <c r="F3304" s="111" t="str">
        <f>DataPull!D3304</f>
        <v/>
      </c>
      <c r="G3304" s="94" t="str">
        <f t="shared" si="2"/>
        <v/>
      </c>
      <c r="H3304" s="94" t="str">
        <f t="shared" si="3"/>
        <v/>
      </c>
      <c r="I3304" s="94" t="str">
        <f t="shared" ref="I3304:J3304" si="3305">if(G3304 = "", , -G3304)</f>
        <v/>
      </c>
      <c r="J3304" s="94" t="str">
        <f t="shared" si="3305"/>
        <v/>
      </c>
      <c r="K3304" s="100"/>
      <c r="M3304" s="100"/>
      <c r="N3304" s="100"/>
      <c r="O3304" s="100"/>
      <c r="P3304" s="100"/>
    </row>
    <row r="3305">
      <c r="A3305" s="107">
        <v>1626154.0</v>
      </c>
      <c r="B3305" s="108" t="s">
        <v>191</v>
      </c>
      <c r="C3305" s="108" t="s">
        <v>830</v>
      </c>
      <c r="D3305" s="112" t="s">
        <v>181</v>
      </c>
      <c r="E3305" s="112">
        <v>45.0</v>
      </c>
      <c r="F3305" s="111" t="str">
        <f>DataPull!D3305</f>
        <v/>
      </c>
      <c r="G3305" s="94" t="str">
        <f t="shared" si="2"/>
        <v/>
      </c>
      <c r="H3305" s="94" t="str">
        <f t="shared" si="3"/>
        <v/>
      </c>
      <c r="I3305" s="94" t="str">
        <f t="shared" ref="I3305:J3305" si="3306">if(G3305 = "", , -G3305)</f>
        <v/>
      </c>
      <c r="J3305" s="94" t="str">
        <f t="shared" si="3306"/>
        <v/>
      </c>
      <c r="K3305" s="100"/>
      <c r="L3305" s="100"/>
      <c r="M3305" s="100"/>
      <c r="N3305" s="100"/>
      <c r="O3305" s="100"/>
      <c r="P3305" s="100"/>
    </row>
    <row r="3306">
      <c r="A3306" s="107">
        <v>1626154.0</v>
      </c>
      <c r="B3306" s="108" t="s">
        <v>192</v>
      </c>
      <c r="C3306" s="108" t="s">
        <v>830</v>
      </c>
      <c r="D3306" s="112" t="s">
        <v>181</v>
      </c>
      <c r="E3306" s="112">
        <v>25.7</v>
      </c>
      <c r="F3306" s="111" t="str">
        <f>DataPull!D3306</f>
        <v/>
      </c>
      <c r="G3306" s="94" t="str">
        <f t="shared" si="2"/>
        <v/>
      </c>
      <c r="H3306" s="94" t="str">
        <f t="shared" si="3"/>
        <v/>
      </c>
      <c r="I3306" s="94" t="str">
        <f t="shared" ref="I3306:J3306" si="3307">if(G3306 = "", , -G3306)</f>
        <v/>
      </c>
      <c r="J3306" s="94" t="str">
        <f t="shared" si="3307"/>
        <v/>
      </c>
      <c r="K3306" s="100"/>
      <c r="L3306" s="100"/>
      <c r="N3306" s="100"/>
      <c r="O3306" s="100"/>
      <c r="P3306" s="100"/>
    </row>
    <row r="3307">
      <c r="A3307" s="107">
        <v>1626155.0</v>
      </c>
      <c r="B3307" s="108" t="s">
        <v>92</v>
      </c>
      <c r="C3307" s="108" t="s">
        <v>831</v>
      </c>
      <c r="D3307" s="112" t="s">
        <v>181</v>
      </c>
      <c r="E3307" s="112">
        <v>6.0</v>
      </c>
      <c r="F3307" s="111" t="str">
        <f>DataPull!D3307</f>
        <v/>
      </c>
      <c r="G3307" s="94" t="str">
        <f t="shared" si="2"/>
        <v/>
      </c>
      <c r="H3307" s="94" t="str">
        <f t="shared" si="3"/>
        <v/>
      </c>
      <c r="I3307" s="94" t="str">
        <f t="shared" ref="I3307:J3307" si="3308">if(G3307 = "", , -G3307)</f>
        <v/>
      </c>
      <c r="J3307" s="94" t="str">
        <f t="shared" si="3308"/>
        <v/>
      </c>
      <c r="K3307" s="100"/>
      <c r="M3307" s="100"/>
      <c r="N3307" s="100"/>
      <c r="O3307" s="100"/>
      <c r="P3307" s="100"/>
    </row>
    <row r="3308">
      <c r="A3308" s="107">
        <v>1626155.0</v>
      </c>
      <c r="B3308" s="108" t="s">
        <v>190</v>
      </c>
      <c r="C3308" s="108" t="s">
        <v>831</v>
      </c>
      <c r="D3308" s="112" t="s">
        <v>177</v>
      </c>
      <c r="E3308" s="112">
        <v>1416.8</v>
      </c>
      <c r="F3308" s="111" t="str">
        <f>DataPull!D3308</f>
        <v/>
      </c>
      <c r="G3308" s="94" t="str">
        <f t="shared" si="2"/>
        <v/>
      </c>
      <c r="H3308" s="94" t="str">
        <f t="shared" si="3"/>
        <v/>
      </c>
      <c r="I3308" s="94" t="str">
        <f t="shared" ref="I3308:J3308" si="3309">if(G3308 = "", , -G3308)</f>
        <v/>
      </c>
      <c r="J3308" s="94" t="str">
        <f t="shared" si="3309"/>
        <v/>
      </c>
      <c r="K3308" s="100"/>
      <c r="M3308" s="100"/>
      <c r="N3308" s="100"/>
      <c r="O3308" s="100"/>
      <c r="P3308" s="100"/>
    </row>
    <row r="3309">
      <c r="A3309" s="107">
        <v>1626155.0</v>
      </c>
      <c r="B3309" s="108" t="s">
        <v>191</v>
      </c>
      <c r="C3309" s="108" t="s">
        <v>831</v>
      </c>
      <c r="D3309" s="112" t="s">
        <v>187</v>
      </c>
      <c r="E3309" s="112">
        <v>883.3</v>
      </c>
      <c r="F3309" s="111" t="str">
        <f>DataPull!D3309</f>
        <v/>
      </c>
      <c r="G3309" s="94" t="str">
        <f t="shared" si="2"/>
        <v/>
      </c>
      <c r="H3309" s="94" t="str">
        <f t="shared" si="3"/>
        <v/>
      </c>
      <c r="I3309" s="94" t="str">
        <f t="shared" ref="I3309:J3309" si="3310">if(G3309 = "", , -G3309)</f>
        <v/>
      </c>
      <c r="J3309" s="94" t="str">
        <f t="shared" si="3310"/>
        <v/>
      </c>
      <c r="K3309" s="100"/>
      <c r="L3309" s="100"/>
      <c r="M3309" s="100"/>
      <c r="N3309" s="100"/>
      <c r="O3309" s="100"/>
      <c r="P3309" s="100"/>
    </row>
    <row r="3310">
      <c r="A3310" s="107">
        <v>1626155.0</v>
      </c>
      <c r="B3310" s="108" t="s">
        <v>192</v>
      </c>
      <c r="C3310" s="108" t="s">
        <v>831</v>
      </c>
      <c r="D3310" s="112" t="s">
        <v>177</v>
      </c>
      <c r="E3310" s="112">
        <v>789.6</v>
      </c>
      <c r="F3310" s="111" t="str">
        <f>DataPull!D3310</f>
        <v/>
      </c>
      <c r="G3310" s="94" t="str">
        <f t="shared" si="2"/>
        <v/>
      </c>
      <c r="H3310" s="94" t="str">
        <f t="shared" si="3"/>
        <v/>
      </c>
      <c r="I3310" s="94" t="str">
        <f t="shared" ref="I3310:J3310" si="3311">if(G3310 = "", , -G3310)</f>
        <v/>
      </c>
      <c r="J3310" s="94" t="str">
        <f t="shared" si="3311"/>
        <v/>
      </c>
      <c r="K3310" s="100"/>
      <c r="M3310" s="100"/>
      <c r="N3310" s="100"/>
      <c r="O3310" s="100"/>
      <c r="P3310" s="100"/>
    </row>
    <row r="3311">
      <c r="A3311" s="107">
        <v>1626155.0</v>
      </c>
      <c r="B3311" s="108" t="s">
        <v>215</v>
      </c>
      <c r="C3311" s="108" t="s">
        <v>831</v>
      </c>
      <c r="D3311" s="112" t="s">
        <v>181</v>
      </c>
      <c r="E3311" s="112">
        <v>0.9</v>
      </c>
      <c r="F3311" s="111" t="str">
        <f>DataPull!D3311</f>
        <v/>
      </c>
      <c r="G3311" s="94" t="str">
        <f t="shared" si="2"/>
        <v/>
      </c>
      <c r="H3311" s="94" t="str">
        <f t="shared" si="3"/>
        <v/>
      </c>
      <c r="I3311" s="94" t="str">
        <f t="shared" ref="I3311:J3311" si="3312">if(G3311 = "", , -G3311)</f>
        <v/>
      </c>
      <c r="J3311" s="94" t="str">
        <f t="shared" si="3312"/>
        <v/>
      </c>
      <c r="K3311" s="100"/>
      <c r="M3311" s="100"/>
      <c r="N3311" s="100"/>
      <c r="O3311" s="100"/>
      <c r="P3311" s="100"/>
    </row>
    <row r="3312">
      <c r="A3312" s="107">
        <v>1626156.0</v>
      </c>
      <c r="B3312" s="108" t="s">
        <v>92</v>
      </c>
      <c r="C3312" s="108" t="s">
        <v>832</v>
      </c>
      <c r="D3312" s="112" t="s">
        <v>178</v>
      </c>
      <c r="E3312" s="112">
        <v>2256.0</v>
      </c>
      <c r="F3312" s="111" t="str">
        <f>DataPull!D3312</f>
        <v/>
      </c>
      <c r="G3312" s="94" t="str">
        <f t="shared" si="2"/>
        <v/>
      </c>
      <c r="H3312" s="94" t="str">
        <f t="shared" si="3"/>
        <v/>
      </c>
      <c r="I3312" s="94" t="str">
        <f t="shared" ref="I3312:J3312" si="3313">if(G3312 = "", , -G3312)</f>
        <v/>
      </c>
      <c r="J3312" s="94" t="str">
        <f t="shared" si="3313"/>
        <v/>
      </c>
      <c r="K3312" s="100"/>
      <c r="L3312" s="100"/>
      <c r="M3312" s="100"/>
      <c r="N3312" s="100"/>
      <c r="O3312" s="100"/>
      <c r="P3312" s="100"/>
    </row>
    <row r="3313">
      <c r="A3313" s="107">
        <v>1626156.0</v>
      </c>
      <c r="B3313" s="108" t="s">
        <v>190</v>
      </c>
      <c r="C3313" s="108" t="s">
        <v>832</v>
      </c>
      <c r="D3313" s="112" t="s">
        <v>178</v>
      </c>
      <c r="E3313" s="112">
        <v>1808.1</v>
      </c>
      <c r="F3313" s="111" t="str">
        <f>DataPull!D3313</f>
        <v/>
      </c>
      <c r="G3313" s="94" t="str">
        <f t="shared" si="2"/>
        <v/>
      </c>
      <c r="H3313" s="94" t="str">
        <f t="shared" si="3"/>
        <v/>
      </c>
      <c r="I3313" s="94" t="str">
        <f t="shared" ref="I3313:J3313" si="3314">if(G3313 = "", , -G3313)</f>
        <v/>
      </c>
      <c r="J3313" s="94" t="str">
        <f t="shared" si="3314"/>
        <v/>
      </c>
      <c r="K3313" s="100"/>
      <c r="L3313" s="100"/>
      <c r="N3313" s="100"/>
      <c r="O3313" s="100"/>
      <c r="P3313" s="100"/>
    </row>
    <row r="3314">
      <c r="A3314" s="107">
        <v>1626156.0</v>
      </c>
      <c r="B3314" s="108" t="s">
        <v>191</v>
      </c>
      <c r="C3314" s="108" t="s">
        <v>832</v>
      </c>
      <c r="D3314" s="112" t="s">
        <v>176</v>
      </c>
      <c r="E3314" s="112">
        <v>1233.6</v>
      </c>
      <c r="F3314" s="111" t="str">
        <f>DataPull!D3314</f>
        <v/>
      </c>
      <c r="G3314" s="94" t="str">
        <f t="shared" si="2"/>
        <v/>
      </c>
      <c r="H3314" s="94" t="str">
        <f t="shared" si="3"/>
        <v/>
      </c>
      <c r="I3314" s="94" t="str">
        <f t="shared" ref="I3314:J3314" si="3315">if(G3314 = "", , -G3314)</f>
        <v/>
      </c>
      <c r="J3314" s="94" t="str">
        <f t="shared" si="3315"/>
        <v/>
      </c>
      <c r="K3314" s="100"/>
      <c r="M3314" s="100"/>
      <c r="N3314" s="100"/>
      <c r="O3314" s="100"/>
      <c r="P3314" s="100"/>
    </row>
    <row r="3315">
      <c r="A3315" s="107">
        <v>1626156.0</v>
      </c>
      <c r="B3315" s="108" t="s">
        <v>192</v>
      </c>
      <c r="C3315" s="108" t="s">
        <v>832</v>
      </c>
      <c r="D3315" s="112" t="s">
        <v>184</v>
      </c>
      <c r="E3315" s="112">
        <v>2446.2</v>
      </c>
      <c r="F3315" s="111" t="str">
        <f>DataPull!D3315</f>
        <v/>
      </c>
      <c r="G3315" s="94" t="str">
        <f t="shared" si="2"/>
        <v/>
      </c>
      <c r="H3315" s="94" t="str">
        <f t="shared" si="3"/>
        <v/>
      </c>
      <c r="I3315" s="94" t="str">
        <f t="shared" ref="I3315:J3315" si="3316">if(G3315 = "", , -G3315)</f>
        <v/>
      </c>
      <c r="J3315" s="94" t="str">
        <f t="shared" si="3316"/>
        <v/>
      </c>
      <c r="K3315" s="100"/>
      <c r="M3315" s="100"/>
      <c r="N3315" s="100"/>
      <c r="O3315" s="100"/>
      <c r="P3315" s="100"/>
    </row>
    <row r="3316">
      <c r="A3316" s="107">
        <v>1626156.0</v>
      </c>
      <c r="B3316" s="108" t="s">
        <v>193</v>
      </c>
      <c r="C3316" s="108" t="s">
        <v>832</v>
      </c>
      <c r="D3316" s="112" t="s">
        <v>178</v>
      </c>
      <c r="E3316" s="112">
        <v>1453.5</v>
      </c>
      <c r="F3316" s="111" t="str">
        <f>DataPull!D3316</f>
        <v/>
      </c>
      <c r="G3316" s="94" t="str">
        <f t="shared" si="2"/>
        <v/>
      </c>
      <c r="H3316" s="94" t="str">
        <f t="shared" si="3"/>
        <v/>
      </c>
      <c r="I3316" s="94" t="str">
        <f t="shared" ref="I3316:J3316" si="3317">if(G3316 = "", , -G3316)</f>
        <v/>
      </c>
      <c r="J3316" s="94" t="str">
        <f t="shared" si="3317"/>
        <v/>
      </c>
      <c r="K3316" s="100"/>
      <c r="M3316" s="100"/>
      <c r="N3316" s="100"/>
      <c r="O3316" s="100"/>
      <c r="P3316" s="100"/>
    </row>
    <row r="3317">
      <c r="A3317" s="107">
        <v>1626156.0</v>
      </c>
      <c r="B3317" s="108" t="s">
        <v>243</v>
      </c>
      <c r="C3317" s="108" t="s">
        <v>832</v>
      </c>
      <c r="D3317" s="112" t="s">
        <v>178</v>
      </c>
      <c r="E3317" s="112">
        <v>1197.0</v>
      </c>
      <c r="F3317" s="111" t="str">
        <f>DataPull!D3317</f>
        <v/>
      </c>
      <c r="G3317" s="94" t="str">
        <f t="shared" si="2"/>
        <v/>
      </c>
      <c r="H3317" s="94" t="str">
        <f t="shared" si="3"/>
        <v/>
      </c>
      <c r="I3317" s="94" t="str">
        <f t="shared" ref="I3317:J3317" si="3318">if(G3317 = "", , -G3317)</f>
        <v/>
      </c>
      <c r="J3317" s="94" t="str">
        <f t="shared" si="3318"/>
        <v/>
      </c>
      <c r="K3317" s="100"/>
      <c r="M3317" s="100"/>
      <c r="N3317" s="100"/>
      <c r="O3317" s="100"/>
      <c r="P3317" s="100"/>
    </row>
    <row r="3318">
      <c r="A3318" s="107">
        <v>1626156.0</v>
      </c>
      <c r="B3318" s="108" t="s">
        <v>215</v>
      </c>
      <c r="C3318" s="108" t="s">
        <v>832</v>
      </c>
      <c r="D3318" s="112" t="s">
        <v>184</v>
      </c>
      <c r="E3318" s="112">
        <v>2073.5</v>
      </c>
      <c r="F3318" s="111" t="str">
        <f>DataPull!D3318</f>
        <v/>
      </c>
      <c r="G3318" s="94" t="str">
        <f t="shared" si="2"/>
        <v/>
      </c>
      <c r="H3318" s="94" t="str">
        <f t="shared" si="3"/>
        <v/>
      </c>
      <c r="I3318" s="94" t="str">
        <f t="shared" ref="I3318:J3318" si="3319">if(G3318 = "", , -G3318)</f>
        <v/>
      </c>
      <c r="J3318" s="94" t="str">
        <f t="shared" si="3319"/>
        <v/>
      </c>
      <c r="K3318" s="100"/>
      <c r="M3318" s="100"/>
      <c r="N3318" s="100"/>
      <c r="O3318" s="100"/>
      <c r="P3318" s="100"/>
    </row>
    <row r="3319">
      <c r="A3319" s="107">
        <v>1626156.0</v>
      </c>
      <c r="B3319" s="108" t="s">
        <v>244</v>
      </c>
      <c r="C3319" s="108" t="s">
        <v>832</v>
      </c>
      <c r="D3319" s="112" t="s">
        <v>178</v>
      </c>
      <c r="E3319" s="112">
        <v>2307.5</v>
      </c>
      <c r="F3319" s="111" t="str">
        <f>DataPull!D3319</f>
        <v/>
      </c>
      <c r="G3319" s="94" t="str">
        <f t="shared" si="2"/>
        <v/>
      </c>
      <c r="H3319" s="94" t="str">
        <f t="shared" si="3"/>
        <v/>
      </c>
      <c r="I3319" s="94" t="str">
        <f t="shared" ref="I3319:J3319" si="3320">if(G3319 = "", , -G3319)</f>
        <v/>
      </c>
      <c r="J3319" s="94" t="str">
        <f t="shared" si="3320"/>
        <v/>
      </c>
      <c r="K3319" s="100"/>
      <c r="M3319" s="100"/>
      <c r="N3319" s="100"/>
      <c r="O3319" s="100"/>
      <c r="P3319" s="100"/>
    </row>
    <row r="3320">
      <c r="A3320" s="107">
        <v>1626156.0</v>
      </c>
      <c r="B3320" s="108" t="s">
        <v>245</v>
      </c>
      <c r="C3320" s="108" t="s">
        <v>832</v>
      </c>
      <c r="D3320" s="112" t="s">
        <v>178</v>
      </c>
      <c r="E3320" s="112">
        <v>2485.2</v>
      </c>
      <c r="F3320" s="111" t="str">
        <f>DataPull!D3320</f>
        <v/>
      </c>
      <c r="G3320" s="94" t="str">
        <f t="shared" si="2"/>
        <v/>
      </c>
      <c r="H3320" s="94" t="str">
        <f t="shared" si="3"/>
        <v/>
      </c>
      <c r="I3320" s="94" t="str">
        <f t="shared" ref="I3320:J3320" si="3321">if(G3320 = "", , -G3320)</f>
        <v/>
      </c>
      <c r="J3320" s="94" t="str">
        <f t="shared" si="3321"/>
        <v/>
      </c>
      <c r="K3320" s="100"/>
      <c r="M3320" s="100"/>
      <c r="N3320" s="100"/>
      <c r="O3320" s="100"/>
      <c r="P3320" s="100"/>
    </row>
    <row r="3321">
      <c r="A3321" s="107">
        <v>1626156.0</v>
      </c>
      <c r="B3321" s="108" t="s">
        <v>246</v>
      </c>
      <c r="C3321" s="108" t="s">
        <v>832</v>
      </c>
      <c r="D3321" s="112" t="s">
        <v>176</v>
      </c>
      <c r="E3321" s="112">
        <v>1479.0</v>
      </c>
      <c r="F3321" s="111" t="str">
        <f>DataPull!D3321</f>
        <v/>
      </c>
      <c r="G3321" s="94" t="str">
        <f t="shared" si="2"/>
        <v/>
      </c>
      <c r="H3321" s="94" t="str">
        <f t="shared" si="3"/>
        <v/>
      </c>
      <c r="I3321" s="94" t="str">
        <f t="shared" ref="I3321:J3321" si="3322">if(G3321 = "", , -G3321)</f>
        <v/>
      </c>
      <c r="J3321" s="94" t="str">
        <f t="shared" si="3322"/>
        <v/>
      </c>
      <c r="K3321" s="100"/>
      <c r="M3321" s="100"/>
      <c r="N3321" s="100"/>
      <c r="O3321" s="100"/>
      <c r="P3321" s="100"/>
    </row>
    <row r="3322">
      <c r="A3322" s="114">
        <v>1626156.0</v>
      </c>
      <c r="B3322" s="113" t="s">
        <v>247</v>
      </c>
      <c r="C3322" s="108" t="s">
        <v>832</v>
      </c>
      <c r="D3322" s="112" t="s">
        <v>177</v>
      </c>
      <c r="E3322" s="112">
        <v>494.0</v>
      </c>
      <c r="F3322" s="111" t="str">
        <f>DataPull!D3322</f>
        <v/>
      </c>
      <c r="G3322" s="94" t="str">
        <f t="shared" si="2"/>
        <v/>
      </c>
      <c r="H3322" s="94" t="str">
        <f t="shared" si="3"/>
        <v/>
      </c>
      <c r="I3322" s="94" t="str">
        <f t="shared" ref="I3322:J3322" si="3323">if(G3322 = "", , -G3322)</f>
        <v/>
      </c>
      <c r="J3322" s="94" t="str">
        <f t="shared" si="3323"/>
        <v/>
      </c>
      <c r="K3322" s="100"/>
      <c r="M3322" s="100"/>
      <c r="N3322" s="100"/>
      <c r="O3322" s="100"/>
      <c r="P3322" s="100"/>
    </row>
    <row r="3323">
      <c r="A3323" s="107">
        <v>1626157.0</v>
      </c>
      <c r="B3323" s="108" t="s">
        <v>92</v>
      </c>
      <c r="C3323" s="108" t="s">
        <v>833</v>
      </c>
      <c r="D3323" s="112" t="s">
        <v>178</v>
      </c>
      <c r="E3323" s="112">
        <v>2624.0</v>
      </c>
      <c r="F3323" s="111" t="str">
        <f>DataPull!D3323</f>
        <v/>
      </c>
      <c r="G3323" s="94" t="str">
        <f t="shared" si="2"/>
        <v/>
      </c>
      <c r="H3323" s="94" t="str">
        <f t="shared" si="3"/>
        <v/>
      </c>
      <c r="I3323" s="94" t="str">
        <f t="shared" ref="I3323:J3323" si="3324">if(G3323 = "", , -G3323)</f>
        <v/>
      </c>
      <c r="J3323" s="94" t="str">
        <f t="shared" si="3324"/>
        <v/>
      </c>
      <c r="K3323" s="100"/>
      <c r="M3323" s="100"/>
      <c r="N3323" s="100"/>
      <c r="O3323" s="100"/>
      <c r="P3323" s="100"/>
    </row>
    <row r="3324">
      <c r="A3324" s="107">
        <v>1626157.0</v>
      </c>
      <c r="B3324" s="108" t="s">
        <v>190</v>
      </c>
      <c r="C3324" s="108" t="s">
        <v>833</v>
      </c>
      <c r="D3324" s="112" t="s">
        <v>184</v>
      </c>
      <c r="E3324" s="112">
        <v>3034.0</v>
      </c>
      <c r="F3324" s="111" t="str">
        <f>DataPull!D3324</f>
        <v/>
      </c>
      <c r="G3324" s="94" t="str">
        <f t="shared" si="2"/>
        <v/>
      </c>
      <c r="H3324" s="94" t="str">
        <f t="shared" si="3"/>
        <v/>
      </c>
      <c r="I3324" s="94" t="str">
        <f t="shared" ref="I3324:J3324" si="3325">if(G3324 = "", , -G3324)</f>
        <v/>
      </c>
      <c r="J3324" s="94" t="str">
        <f t="shared" si="3325"/>
        <v/>
      </c>
      <c r="K3324" s="100"/>
      <c r="L3324" s="100"/>
      <c r="N3324" s="100"/>
      <c r="O3324" s="100"/>
      <c r="P3324" s="100"/>
    </row>
    <row r="3325">
      <c r="A3325" s="107">
        <v>1626157.0</v>
      </c>
      <c r="B3325" s="108" t="s">
        <v>191</v>
      </c>
      <c r="C3325" s="108" t="s">
        <v>833</v>
      </c>
      <c r="D3325" s="112" t="s">
        <v>184</v>
      </c>
      <c r="E3325" s="112">
        <v>2919.2</v>
      </c>
      <c r="F3325" s="111" t="str">
        <f>DataPull!D3325</f>
        <v/>
      </c>
      <c r="G3325" s="94" t="str">
        <f t="shared" si="2"/>
        <v/>
      </c>
      <c r="H3325" s="94" t="str">
        <f t="shared" si="3"/>
        <v/>
      </c>
      <c r="I3325" s="94" t="str">
        <f t="shared" ref="I3325:J3325" si="3326">if(G3325 = "", , -G3325)</f>
        <v/>
      </c>
      <c r="J3325" s="94" t="str">
        <f t="shared" si="3326"/>
        <v/>
      </c>
      <c r="K3325" s="100"/>
      <c r="L3325" s="100"/>
      <c r="N3325" s="100"/>
      <c r="O3325" s="100"/>
      <c r="P3325" s="100"/>
    </row>
    <row r="3326">
      <c r="A3326" s="107">
        <v>1626157.0</v>
      </c>
      <c r="B3326" s="108" t="s">
        <v>192</v>
      </c>
      <c r="C3326" s="108" t="s">
        <v>833</v>
      </c>
      <c r="D3326" s="112" t="s">
        <v>184</v>
      </c>
      <c r="E3326" s="112">
        <v>2541.0</v>
      </c>
      <c r="F3326" s="111" t="str">
        <f>DataPull!D3326</f>
        <v/>
      </c>
      <c r="G3326" s="94" t="str">
        <f t="shared" si="2"/>
        <v/>
      </c>
      <c r="H3326" s="94" t="str">
        <f t="shared" si="3"/>
        <v/>
      </c>
      <c r="I3326" s="94" t="str">
        <f t="shared" ref="I3326:J3326" si="3327">if(G3326 = "", , -G3326)</f>
        <v/>
      </c>
      <c r="J3326" s="94" t="str">
        <f t="shared" si="3327"/>
        <v/>
      </c>
      <c r="K3326" s="100"/>
      <c r="M3326" s="100"/>
      <c r="N3326" s="100"/>
      <c r="O3326" s="100"/>
      <c r="P3326" s="100"/>
    </row>
    <row r="3327">
      <c r="A3327" s="107">
        <v>1626157.0</v>
      </c>
      <c r="B3327" s="108" t="s">
        <v>193</v>
      </c>
      <c r="C3327" s="108" t="s">
        <v>833</v>
      </c>
      <c r="D3327" s="112" t="s">
        <v>184</v>
      </c>
      <c r="E3327" s="112">
        <v>1186.5</v>
      </c>
      <c r="F3327" s="111" t="str">
        <f>DataPull!D3327</f>
        <v/>
      </c>
      <c r="G3327" s="94" t="str">
        <f t="shared" si="2"/>
        <v/>
      </c>
      <c r="H3327" s="94" t="str">
        <f t="shared" si="3"/>
        <v/>
      </c>
      <c r="I3327" s="94" t="str">
        <f t="shared" ref="I3327:J3327" si="3328">if(G3327 = "", , -G3327)</f>
        <v/>
      </c>
      <c r="J3327" s="94" t="str">
        <f t="shared" si="3328"/>
        <v/>
      </c>
      <c r="K3327" s="100"/>
      <c r="M3327" s="100"/>
      <c r="N3327" s="100"/>
      <c r="O3327" s="100"/>
      <c r="P3327" s="100"/>
    </row>
    <row r="3328">
      <c r="A3328" s="107">
        <v>1626157.0</v>
      </c>
      <c r="B3328" s="108" t="s">
        <v>243</v>
      </c>
      <c r="C3328" s="108" t="s">
        <v>833</v>
      </c>
      <c r="D3328" s="112" t="s">
        <v>184</v>
      </c>
      <c r="E3328" s="112">
        <v>1690.0</v>
      </c>
      <c r="F3328" s="111" t="str">
        <f>DataPull!D3328</f>
        <v/>
      </c>
      <c r="G3328" s="94" t="str">
        <f t="shared" si="2"/>
        <v/>
      </c>
      <c r="H3328" s="94" t="str">
        <f t="shared" si="3"/>
        <v/>
      </c>
      <c r="I3328" s="94" t="str">
        <f t="shared" ref="I3328:J3328" si="3329">if(G3328 = "", , -G3328)</f>
        <v/>
      </c>
      <c r="J3328" s="94" t="str">
        <f t="shared" si="3329"/>
        <v/>
      </c>
      <c r="K3328" s="100"/>
      <c r="M3328" s="100"/>
      <c r="N3328" s="100"/>
      <c r="O3328" s="100"/>
      <c r="P3328" s="100"/>
    </row>
    <row r="3329">
      <c r="A3329" s="107">
        <v>1626157.0</v>
      </c>
      <c r="B3329" s="108" t="s">
        <v>215</v>
      </c>
      <c r="C3329" s="108" t="s">
        <v>833</v>
      </c>
      <c r="D3329" s="112" t="s">
        <v>184</v>
      </c>
      <c r="E3329" s="112">
        <v>2479.0</v>
      </c>
      <c r="F3329" s="111" t="str">
        <f>DataPull!D3329</f>
        <v/>
      </c>
      <c r="G3329" s="94" t="str">
        <f t="shared" si="2"/>
        <v/>
      </c>
      <c r="H3329" s="94" t="str">
        <f t="shared" si="3"/>
        <v/>
      </c>
      <c r="I3329" s="94" t="str">
        <f t="shared" ref="I3329:J3329" si="3330">if(G3329 = "", , -G3329)</f>
        <v/>
      </c>
      <c r="J3329" s="94" t="str">
        <f t="shared" si="3330"/>
        <v/>
      </c>
      <c r="K3329" s="100"/>
      <c r="M3329" s="100"/>
      <c r="N3329" s="100"/>
      <c r="O3329" s="100"/>
      <c r="P3329" s="100"/>
    </row>
    <row r="3330">
      <c r="A3330" s="107">
        <v>1626157.0</v>
      </c>
      <c r="B3330" s="108" t="s">
        <v>244</v>
      </c>
      <c r="C3330" s="108" t="s">
        <v>833</v>
      </c>
      <c r="D3330" s="112" t="s">
        <v>184</v>
      </c>
      <c r="E3330" s="112">
        <v>957.0</v>
      </c>
      <c r="F3330" s="111" t="str">
        <f>DataPull!D3330</f>
        <v/>
      </c>
      <c r="G3330" s="94" t="str">
        <f t="shared" si="2"/>
        <v/>
      </c>
      <c r="H3330" s="94" t="str">
        <f t="shared" si="3"/>
        <v/>
      </c>
      <c r="I3330" s="94" t="str">
        <f t="shared" ref="I3330:J3330" si="3331">if(G3330 = "", , -G3330)</f>
        <v/>
      </c>
      <c r="J3330" s="94" t="str">
        <f t="shared" si="3331"/>
        <v/>
      </c>
      <c r="K3330" s="100"/>
      <c r="M3330" s="100"/>
      <c r="N3330" s="100"/>
      <c r="O3330" s="100"/>
      <c r="P3330" s="100"/>
    </row>
    <row r="3331">
      <c r="A3331" s="107">
        <v>1626157.0</v>
      </c>
      <c r="B3331" s="108" t="s">
        <v>245</v>
      </c>
      <c r="C3331" s="108" t="s">
        <v>833</v>
      </c>
      <c r="D3331" s="112" t="s">
        <v>184</v>
      </c>
      <c r="E3331" s="112">
        <v>2027.4</v>
      </c>
      <c r="F3331" s="111" t="str">
        <f>DataPull!D3331</f>
        <v/>
      </c>
      <c r="G3331" s="94" t="str">
        <f t="shared" si="2"/>
        <v/>
      </c>
      <c r="H3331" s="94" t="str">
        <f t="shared" si="3"/>
        <v/>
      </c>
      <c r="I3331" s="94" t="str">
        <f t="shared" ref="I3331:J3331" si="3332">if(G3331 = "", , -G3331)</f>
        <v/>
      </c>
      <c r="J3331" s="94" t="str">
        <f t="shared" si="3332"/>
        <v/>
      </c>
      <c r="K3331" s="100"/>
      <c r="M3331" s="100"/>
      <c r="N3331" s="100"/>
      <c r="O3331" s="100"/>
      <c r="P3331" s="100"/>
    </row>
    <row r="3332">
      <c r="A3332" s="107">
        <v>1626157.0</v>
      </c>
      <c r="B3332" s="108" t="s">
        <v>246</v>
      </c>
      <c r="C3332" s="108" t="s">
        <v>833</v>
      </c>
      <c r="D3332" s="112" t="s">
        <v>184</v>
      </c>
      <c r="E3332" s="112">
        <v>2520.0</v>
      </c>
      <c r="F3332" s="111" t="str">
        <f>DataPull!D3332</f>
        <v/>
      </c>
      <c r="G3332" s="94" t="str">
        <f t="shared" si="2"/>
        <v/>
      </c>
      <c r="H3332" s="94" t="str">
        <f t="shared" si="3"/>
        <v/>
      </c>
      <c r="I3332" s="94" t="str">
        <f t="shared" ref="I3332:J3332" si="3333">if(G3332 = "", , -G3332)</f>
        <v/>
      </c>
      <c r="J3332" s="94" t="str">
        <f t="shared" si="3333"/>
        <v/>
      </c>
      <c r="K3332" s="100"/>
      <c r="M3332" s="100"/>
      <c r="N3332" s="100"/>
      <c r="O3332" s="100"/>
      <c r="P3332" s="100"/>
    </row>
    <row r="3333">
      <c r="A3333" s="114">
        <v>1626157.0</v>
      </c>
      <c r="B3333" s="113" t="s">
        <v>247</v>
      </c>
      <c r="C3333" s="113" t="s">
        <v>833</v>
      </c>
      <c r="D3333" s="112" t="s">
        <v>184</v>
      </c>
      <c r="E3333" s="112">
        <v>2325.0</v>
      </c>
      <c r="F3333" s="111" t="str">
        <f>DataPull!D3333</f>
        <v/>
      </c>
      <c r="G3333" s="94" t="str">
        <f t="shared" si="2"/>
        <v/>
      </c>
      <c r="H3333" s="94" t="str">
        <f t="shared" si="3"/>
        <v/>
      </c>
      <c r="I3333" s="94" t="str">
        <f t="shared" ref="I3333:J3333" si="3334">if(G3333 = "", , -G3333)</f>
        <v/>
      </c>
      <c r="J3333" s="94" t="str">
        <f t="shared" si="3334"/>
        <v/>
      </c>
      <c r="K3333" s="100"/>
      <c r="M3333" s="100"/>
      <c r="N3333" s="100"/>
      <c r="O3333" s="100"/>
      <c r="P3333" s="100"/>
    </row>
    <row r="3334">
      <c r="A3334" s="107">
        <v>1626158.0</v>
      </c>
      <c r="B3334" s="108" t="s">
        <v>92</v>
      </c>
      <c r="C3334" s="108" t="s">
        <v>834</v>
      </c>
      <c r="D3334" s="112" t="s">
        <v>177</v>
      </c>
      <c r="E3334" s="112">
        <v>703.8</v>
      </c>
      <c r="F3334" s="111" t="str">
        <f>DataPull!D3334</f>
        <v/>
      </c>
      <c r="G3334" s="94" t="str">
        <f t="shared" si="2"/>
        <v/>
      </c>
      <c r="H3334" s="94" t="str">
        <f t="shared" si="3"/>
        <v/>
      </c>
      <c r="I3334" s="94" t="str">
        <f t="shared" ref="I3334:J3334" si="3335">if(G3334 = "", , -G3334)</f>
        <v/>
      </c>
      <c r="J3334" s="94" t="str">
        <f t="shared" si="3335"/>
        <v/>
      </c>
      <c r="K3334" s="100"/>
      <c r="M3334" s="100"/>
      <c r="N3334" s="100"/>
      <c r="O3334" s="100"/>
      <c r="P3334" s="100"/>
    </row>
    <row r="3335">
      <c r="A3335" s="107">
        <v>1626158.0</v>
      </c>
      <c r="B3335" s="108" t="s">
        <v>190</v>
      </c>
      <c r="C3335" s="108" t="s">
        <v>834</v>
      </c>
      <c r="D3335" s="112" t="s">
        <v>176</v>
      </c>
      <c r="E3335" s="112">
        <v>1191.3</v>
      </c>
      <c r="F3335" s="111" t="str">
        <f>DataPull!D3335</f>
        <v/>
      </c>
      <c r="G3335" s="94" t="str">
        <f t="shared" si="2"/>
        <v/>
      </c>
      <c r="H3335" s="94" t="str">
        <f t="shared" si="3"/>
        <v/>
      </c>
      <c r="I3335" s="94" t="str">
        <f t="shared" ref="I3335:J3335" si="3336">if(G3335 = "", , -G3335)</f>
        <v/>
      </c>
      <c r="J3335" s="94" t="str">
        <f t="shared" si="3336"/>
        <v/>
      </c>
      <c r="K3335" s="100"/>
      <c r="M3335" s="100"/>
      <c r="N3335" s="100"/>
      <c r="O3335" s="100"/>
      <c r="P3335" s="100"/>
    </row>
    <row r="3336">
      <c r="A3336" s="107">
        <v>1626158.0</v>
      </c>
      <c r="B3336" s="108" t="s">
        <v>191</v>
      </c>
      <c r="C3336" s="108" t="s">
        <v>834</v>
      </c>
      <c r="D3336" s="112" t="s">
        <v>177</v>
      </c>
      <c r="E3336" s="112">
        <v>744.0</v>
      </c>
      <c r="F3336" s="111" t="str">
        <f>DataPull!D3336</f>
        <v/>
      </c>
      <c r="G3336" s="94" t="str">
        <f t="shared" si="2"/>
        <v/>
      </c>
      <c r="H3336" s="94" t="str">
        <f t="shared" si="3"/>
        <v/>
      </c>
      <c r="I3336" s="94" t="str">
        <f t="shared" ref="I3336:J3336" si="3337">if(G3336 = "", , -G3336)</f>
        <v/>
      </c>
      <c r="J3336" s="94" t="str">
        <f t="shared" si="3337"/>
        <v/>
      </c>
      <c r="K3336" s="100"/>
      <c r="M3336" s="100"/>
      <c r="N3336" s="100"/>
      <c r="O3336" s="100"/>
      <c r="P3336" s="100"/>
    </row>
    <row r="3337">
      <c r="A3337" s="107">
        <v>1626158.0</v>
      </c>
      <c r="B3337" s="108" t="s">
        <v>192</v>
      </c>
      <c r="C3337" s="108" t="s">
        <v>834</v>
      </c>
      <c r="D3337" s="112" t="s">
        <v>177</v>
      </c>
      <c r="E3337" s="112">
        <v>1183.0</v>
      </c>
      <c r="F3337" s="111" t="str">
        <f>DataPull!D3337</f>
        <v/>
      </c>
      <c r="G3337" s="94" t="str">
        <f t="shared" si="2"/>
        <v/>
      </c>
      <c r="H3337" s="94" t="str">
        <f t="shared" si="3"/>
        <v/>
      </c>
      <c r="I3337" s="94" t="str">
        <f t="shared" ref="I3337:J3337" si="3338">if(G3337 = "", , -G3337)</f>
        <v/>
      </c>
      <c r="J3337" s="94" t="str">
        <f t="shared" si="3338"/>
        <v/>
      </c>
      <c r="K3337" s="100"/>
      <c r="M3337" s="100"/>
      <c r="N3337" s="100"/>
      <c r="O3337" s="100"/>
      <c r="P3337" s="100"/>
    </row>
    <row r="3338">
      <c r="A3338" s="107">
        <v>1626158.0</v>
      </c>
      <c r="B3338" s="108" t="s">
        <v>193</v>
      </c>
      <c r="C3338" s="108" t="s">
        <v>834</v>
      </c>
      <c r="D3338" s="112" t="s">
        <v>184</v>
      </c>
      <c r="E3338" s="112">
        <v>1240.8</v>
      </c>
      <c r="F3338" s="111" t="str">
        <f>DataPull!D3338</f>
        <v/>
      </c>
      <c r="G3338" s="94" t="str">
        <f t="shared" si="2"/>
        <v/>
      </c>
      <c r="H3338" s="94" t="str">
        <f t="shared" si="3"/>
        <v/>
      </c>
      <c r="I3338" s="94" t="str">
        <f t="shared" ref="I3338:J3338" si="3339">if(G3338 = "", , -G3338)</f>
        <v/>
      </c>
      <c r="J3338" s="94" t="str">
        <f t="shared" si="3339"/>
        <v/>
      </c>
      <c r="K3338" s="100"/>
      <c r="L3338" s="100"/>
      <c r="N3338" s="100"/>
      <c r="O3338" s="100"/>
      <c r="P3338" s="100"/>
    </row>
    <row r="3339">
      <c r="A3339" s="107">
        <v>1626158.0</v>
      </c>
      <c r="B3339" s="108" t="s">
        <v>243</v>
      </c>
      <c r="C3339" s="108" t="s">
        <v>834</v>
      </c>
      <c r="D3339" s="112" t="s">
        <v>178</v>
      </c>
      <c r="E3339" s="112">
        <v>1781.2</v>
      </c>
      <c r="F3339" s="111" t="str">
        <f>DataPull!D3339</f>
        <v/>
      </c>
      <c r="G3339" s="94" t="str">
        <f t="shared" si="2"/>
        <v/>
      </c>
      <c r="H3339" s="94" t="str">
        <f t="shared" si="3"/>
        <v/>
      </c>
      <c r="I3339" s="94" t="str">
        <f t="shared" ref="I3339:J3339" si="3340">if(G3339 = "", , -G3339)</f>
        <v/>
      </c>
      <c r="J3339" s="94" t="str">
        <f t="shared" si="3340"/>
        <v/>
      </c>
      <c r="K3339" s="100"/>
      <c r="M3339" s="100"/>
      <c r="N3339" s="100"/>
      <c r="O3339" s="100"/>
      <c r="P3339" s="100"/>
    </row>
    <row r="3340">
      <c r="A3340" s="107">
        <v>1626158.0</v>
      </c>
      <c r="B3340" s="108" t="s">
        <v>215</v>
      </c>
      <c r="C3340" s="108" t="s">
        <v>834</v>
      </c>
      <c r="D3340" s="112" t="s">
        <v>176</v>
      </c>
      <c r="E3340" s="112">
        <v>1075.5</v>
      </c>
      <c r="F3340" s="111" t="str">
        <f>DataPull!D3340</f>
        <v/>
      </c>
      <c r="G3340" s="94" t="str">
        <f t="shared" si="2"/>
        <v/>
      </c>
      <c r="H3340" s="94" t="str">
        <f t="shared" si="3"/>
        <v/>
      </c>
      <c r="I3340" s="94" t="str">
        <f t="shared" ref="I3340:J3340" si="3341">if(G3340 = "", , -G3340)</f>
        <v/>
      </c>
      <c r="J3340" s="94" t="str">
        <f t="shared" si="3341"/>
        <v/>
      </c>
      <c r="K3340" s="100"/>
      <c r="L3340" s="100"/>
      <c r="N3340" s="100"/>
      <c r="O3340" s="100"/>
      <c r="P3340" s="100"/>
    </row>
    <row r="3341">
      <c r="A3341" s="107">
        <v>1626158.0</v>
      </c>
      <c r="B3341" s="108" t="s">
        <v>244</v>
      </c>
      <c r="C3341" s="108" t="s">
        <v>834</v>
      </c>
      <c r="D3341" s="112" t="s">
        <v>187</v>
      </c>
      <c r="E3341" s="112">
        <v>348.6</v>
      </c>
      <c r="F3341" s="111" t="str">
        <f>DataPull!D3341</f>
        <v/>
      </c>
      <c r="G3341" s="94" t="str">
        <f t="shared" si="2"/>
        <v/>
      </c>
      <c r="H3341" s="94" t="str">
        <f t="shared" si="3"/>
        <v/>
      </c>
      <c r="I3341" s="94" t="str">
        <f t="shared" ref="I3341:J3341" si="3342">if(G3341 = "", , -G3341)</f>
        <v/>
      </c>
      <c r="J3341" s="94" t="str">
        <f t="shared" si="3342"/>
        <v/>
      </c>
      <c r="K3341" s="100"/>
      <c r="L3341" s="100"/>
      <c r="M3341" s="100"/>
      <c r="N3341" s="100"/>
      <c r="O3341" s="100"/>
    </row>
    <row r="3342">
      <c r="A3342" s="107">
        <v>1626158.0</v>
      </c>
      <c r="B3342" s="108" t="s">
        <v>245</v>
      </c>
      <c r="C3342" s="108" t="s">
        <v>834</v>
      </c>
      <c r="D3342" s="112" t="s">
        <v>187</v>
      </c>
      <c r="E3342" s="112">
        <v>556.0</v>
      </c>
      <c r="F3342" s="111" t="str">
        <f>DataPull!D3342</f>
        <v/>
      </c>
      <c r="G3342" s="94" t="str">
        <f t="shared" si="2"/>
        <v/>
      </c>
      <c r="H3342" s="94" t="str">
        <f t="shared" si="3"/>
        <v/>
      </c>
      <c r="I3342" s="94" t="str">
        <f t="shared" ref="I3342:J3342" si="3343">if(G3342 = "", , -G3342)</f>
        <v/>
      </c>
      <c r="J3342" s="94" t="str">
        <f t="shared" si="3343"/>
        <v/>
      </c>
      <c r="K3342" s="100"/>
      <c r="M3342" s="100"/>
      <c r="N3342" s="100"/>
      <c r="O3342" s="100"/>
    </row>
    <row r="3343">
      <c r="A3343" s="107">
        <v>1626158.0</v>
      </c>
      <c r="B3343" s="108" t="s">
        <v>246</v>
      </c>
      <c r="C3343" s="108" t="s">
        <v>834</v>
      </c>
      <c r="D3343" s="112" t="s">
        <v>177</v>
      </c>
      <c r="E3343" s="112">
        <v>533.2</v>
      </c>
      <c r="F3343" s="111" t="str">
        <f>DataPull!D3343</f>
        <v/>
      </c>
      <c r="G3343" s="94" t="str">
        <f t="shared" si="2"/>
        <v/>
      </c>
      <c r="H3343" s="94" t="str">
        <f t="shared" si="3"/>
        <v/>
      </c>
      <c r="I3343" s="94" t="str">
        <f t="shared" ref="I3343:J3343" si="3344">if(G3343 = "", , -G3343)</f>
        <v/>
      </c>
      <c r="J3343" s="94" t="str">
        <f t="shared" si="3344"/>
        <v/>
      </c>
      <c r="K3343" s="100"/>
      <c r="M3343" s="100"/>
      <c r="N3343" s="100"/>
      <c r="O3343" s="100"/>
      <c r="P3343" s="100"/>
    </row>
    <row r="3344">
      <c r="A3344" s="107">
        <v>1626159.0</v>
      </c>
      <c r="B3344" s="108" t="s">
        <v>92</v>
      </c>
      <c r="C3344" s="108" t="s">
        <v>835</v>
      </c>
      <c r="D3344" s="112" t="s">
        <v>176</v>
      </c>
      <c r="E3344" s="112">
        <v>2230.8</v>
      </c>
      <c r="F3344" s="111" t="str">
        <f>DataPull!D3344</f>
        <v/>
      </c>
      <c r="G3344" s="94" t="str">
        <f t="shared" si="2"/>
        <v/>
      </c>
      <c r="H3344" s="94" t="str">
        <f t="shared" si="3"/>
        <v/>
      </c>
      <c r="I3344" s="94" t="str">
        <f t="shared" ref="I3344:J3344" si="3345">if(G3344 = "", , -G3344)</f>
        <v/>
      </c>
      <c r="J3344" s="94" t="str">
        <f t="shared" si="3345"/>
        <v/>
      </c>
      <c r="K3344" s="100"/>
      <c r="M3344" s="100"/>
      <c r="N3344" s="100"/>
      <c r="O3344" s="100"/>
      <c r="P3344" s="100"/>
    </row>
    <row r="3345">
      <c r="A3345" s="107">
        <v>1626159.0</v>
      </c>
      <c r="B3345" s="108" t="s">
        <v>190</v>
      </c>
      <c r="C3345" s="108" t="s">
        <v>835</v>
      </c>
      <c r="D3345" s="112" t="s">
        <v>178</v>
      </c>
      <c r="E3345" s="112">
        <v>624.6</v>
      </c>
      <c r="F3345" s="111" t="str">
        <f>DataPull!D3345</f>
        <v/>
      </c>
      <c r="G3345" s="94" t="str">
        <f t="shared" si="2"/>
        <v/>
      </c>
      <c r="H3345" s="94" t="str">
        <f t="shared" si="3"/>
        <v/>
      </c>
      <c r="I3345" s="94" t="str">
        <f t="shared" ref="I3345:J3345" si="3346">if(G3345 = "", , -G3345)</f>
        <v/>
      </c>
      <c r="J3345" s="94" t="str">
        <f t="shared" si="3346"/>
        <v/>
      </c>
      <c r="K3345" s="100"/>
      <c r="L3345" s="100"/>
      <c r="N3345" s="100"/>
      <c r="O3345" s="100"/>
      <c r="P3345" s="100"/>
    </row>
    <row r="3346">
      <c r="A3346" s="107">
        <v>1626159.0</v>
      </c>
      <c r="B3346" s="108" t="s">
        <v>191</v>
      </c>
      <c r="C3346" s="108" t="s">
        <v>835</v>
      </c>
      <c r="D3346" s="112" t="s">
        <v>176</v>
      </c>
      <c r="E3346" s="112">
        <v>1679.6</v>
      </c>
      <c r="F3346" s="111" t="str">
        <f>DataPull!D3346</f>
        <v/>
      </c>
      <c r="G3346" s="94" t="str">
        <f t="shared" si="2"/>
        <v/>
      </c>
      <c r="H3346" s="94" t="str">
        <f t="shared" si="3"/>
        <v/>
      </c>
      <c r="I3346" s="94" t="str">
        <f t="shared" ref="I3346:J3346" si="3347">if(G3346 = "", , -G3346)</f>
        <v/>
      </c>
      <c r="J3346" s="94" t="str">
        <f t="shared" si="3347"/>
        <v/>
      </c>
      <c r="K3346" s="100"/>
      <c r="M3346" s="100"/>
      <c r="N3346" s="100"/>
      <c r="O3346" s="100"/>
      <c r="P3346" s="100"/>
    </row>
    <row r="3347">
      <c r="A3347" s="107">
        <v>1626159.0</v>
      </c>
      <c r="B3347" s="108" t="s">
        <v>192</v>
      </c>
      <c r="C3347" s="108" t="s">
        <v>835</v>
      </c>
      <c r="D3347" s="112" t="s">
        <v>178</v>
      </c>
      <c r="E3347" s="112">
        <v>1960.2</v>
      </c>
      <c r="F3347" s="111" t="str">
        <f>DataPull!D3347</f>
        <v/>
      </c>
      <c r="G3347" s="94" t="str">
        <f t="shared" si="2"/>
        <v/>
      </c>
      <c r="H3347" s="94" t="str">
        <f t="shared" si="3"/>
        <v/>
      </c>
      <c r="I3347" s="94" t="str">
        <f t="shared" ref="I3347:J3347" si="3348">if(G3347 = "", , -G3347)</f>
        <v/>
      </c>
      <c r="J3347" s="94" t="str">
        <f t="shared" si="3348"/>
        <v/>
      </c>
      <c r="K3347" s="100"/>
      <c r="M3347" s="100"/>
      <c r="N3347" s="100"/>
      <c r="O3347" s="100"/>
      <c r="P3347" s="100"/>
    </row>
    <row r="3348">
      <c r="A3348" s="107">
        <v>1626159.0</v>
      </c>
      <c r="B3348" s="108" t="s">
        <v>193</v>
      </c>
      <c r="C3348" s="108" t="s">
        <v>835</v>
      </c>
      <c r="D3348" s="112" t="s">
        <v>178</v>
      </c>
      <c r="E3348" s="112">
        <v>352.0</v>
      </c>
      <c r="F3348" s="111" t="str">
        <f>DataPull!D3348</f>
        <v/>
      </c>
      <c r="G3348" s="94" t="str">
        <f t="shared" si="2"/>
        <v/>
      </c>
      <c r="H3348" s="94" t="str">
        <f t="shared" si="3"/>
        <v/>
      </c>
      <c r="I3348" s="94" t="str">
        <f t="shared" ref="I3348:J3348" si="3349">if(G3348 = "", , -G3348)</f>
        <v/>
      </c>
      <c r="J3348" s="94" t="str">
        <f t="shared" si="3349"/>
        <v/>
      </c>
      <c r="K3348" s="100"/>
      <c r="M3348" s="100"/>
      <c r="N3348" s="100"/>
      <c r="O3348" s="100"/>
      <c r="P3348" s="100"/>
    </row>
    <row r="3349">
      <c r="A3349" s="107">
        <v>1626159.0</v>
      </c>
      <c r="B3349" s="108" t="s">
        <v>243</v>
      </c>
      <c r="C3349" s="108" t="s">
        <v>835</v>
      </c>
      <c r="D3349" s="112" t="s">
        <v>177</v>
      </c>
      <c r="E3349" s="112">
        <v>507.0</v>
      </c>
      <c r="F3349" s="111" t="str">
        <f>DataPull!D3349</f>
        <v/>
      </c>
      <c r="G3349" s="94" t="str">
        <f t="shared" si="2"/>
        <v/>
      </c>
      <c r="H3349" s="94" t="str">
        <f t="shared" si="3"/>
        <v/>
      </c>
      <c r="I3349" s="94" t="str">
        <f t="shared" ref="I3349:J3349" si="3350">if(G3349 = "", , -G3349)</f>
        <v/>
      </c>
      <c r="J3349" s="94" t="str">
        <f t="shared" si="3350"/>
        <v/>
      </c>
      <c r="K3349" s="100"/>
      <c r="M3349" s="100"/>
      <c r="N3349" s="100"/>
      <c r="O3349" s="100"/>
      <c r="P3349" s="100"/>
    </row>
    <row r="3350">
      <c r="A3350" s="107">
        <v>1626159.0</v>
      </c>
      <c r="B3350" s="108" t="s">
        <v>215</v>
      </c>
      <c r="C3350" s="108" t="s">
        <v>835</v>
      </c>
      <c r="D3350" s="112" t="s">
        <v>177</v>
      </c>
      <c r="E3350" s="112">
        <v>772.8</v>
      </c>
      <c r="F3350" s="111" t="str">
        <f>DataPull!D3350</f>
        <v/>
      </c>
      <c r="G3350" s="94" t="str">
        <f t="shared" si="2"/>
        <v/>
      </c>
      <c r="H3350" s="94" t="str">
        <f t="shared" si="3"/>
        <v/>
      </c>
      <c r="I3350" s="94" t="str">
        <f t="shared" ref="I3350:J3350" si="3351">if(G3350 = "", , -G3350)</f>
        <v/>
      </c>
      <c r="J3350" s="94" t="str">
        <f t="shared" si="3351"/>
        <v/>
      </c>
      <c r="K3350" s="100"/>
      <c r="M3350" s="100"/>
      <c r="N3350" s="100"/>
      <c r="O3350" s="100"/>
      <c r="P3350" s="100"/>
    </row>
    <row r="3351">
      <c r="A3351" s="107">
        <v>1626159.0</v>
      </c>
      <c r="B3351" s="108" t="s">
        <v>244</v>
      </c>
      <c r="C3351" s="108" t="s">
        <v>835</v>
      </c>
      <c r="D3351" s="112" t="s">
        <v>176</v>
      </c>
      <c r="E3351" s="112">
        <v>777.2</v>
      </c>
      <c r="F3351" s="111" t="str">
        <f>DataPull!D3351</f>
        <v/>
      </c>
      <c r="G3351" s="94" t="str">
        <f t="shared" si="2"/>
        <v/>
      </c>
      <c r="H3351" s="94" t="str">
        <f t="shared" si="3"/>
        <v/>
      </c>
      <c r="I3351" s="94" t="str">
        <f t="shared" ref="I3351:J3351" si="3352">if(G3351 = "", , -G3351)</f>
        <v/>
      </c>
      <c r="J3351" s="94" t="str">
        <f t="shared" si="3352"/>
        <v/>
      </c>
      <c r="K3351" s="100"/>
      <c r="M3351" s="100"/>
      <c r="N3351" s="100"/>
      <c r="O3351" s="100"/>
      <c r="P3351" s="100"/>
    </row>
    <row r="3352">
      <c r="A3352" s="107">
        <v>1626161.0</v>
      </c>
      <c r="B3352" s="108" t="s">
        <v>92</v>
      </c>
      <c r="C3352" s="108" t="s">
        <v>836</v>
      </c>
      <c r="D3352" s="112" t="s">
        <v>176</v>
      </c>
      <c r="E3352" s="112">
        <v>1412.4</v>
      </c>
      <c r="F3352" s="111" t="str">
        <f>DataPull!D3352</f>
        <v/>
      </c>
      <c r="G3352" s="94" t="str">
        <f t="shared" si="2"/>
        <v/>
      </c>
      <c r="H3352" s="94" t="str">
        <f t="shared" si="3"/>
        <v/>
      </c>
      <c r="I3352" s="94" t="str">
        <f t="shared" ref="I3352:J3352" si="3353">if(G3352 = "", , -G3352)</f>
        <v/>
      </c>
      <c r="J3352" s="94" t="str">
        <f t="shared" si="3353"/>
        <v/>
      </c>
      <c r="K3352" s="100"/>
      <c r="L3352" s="100"/>
      <c r="M3352" s="100"/>
      <c r="N3352" s="100"/>
      <c r="O3352" s="100"/>
      <c r="P3352" s="100"/>
    </row>
    <row r="3353">
      <c r="A3353" s="107">
        <v>1626161.0</v>
      </c>
      <c r="B3353" s="108" t="s">
        <v>190</v>
      </c>
      <c r="C3353" s="108" t="s">
        <v>836</v>
      </c>
      <c r="D3353" s="112" t="s">
        <v>177</v>
      </c>
      <c r="E3353" s="112">
        <v>1417.5</v>
      </c>
      <c r="F3353" s="111" t="str">
        <f>DataPull!D3353</f>
        <v/>
      </c>
      <c r="G3353" s="94" t="str">
        <f t="shared" si="2"/>
        <v/>
      </c>
      <c r="H3353" s="94" t="str">
        <f t="shared" si="3"/>
        <v/>
      </c>
      <c r="I3353" s="94" t="str">
        <f t="shared" ref="I3353:J3353" si="3354">if(G3353 = "", , -G3353)</f>
        <v/>
      </c>
      <c r="J3353" s="94" t="str">
        <f t="shared" si="3354"/>
        <v/>
      </c>
      <c r="K3353" s="100"/>
      <c r="M3353" s="100"/>
      <c r="N3353" s="100"/>
      <c r="O3353" s="100"/>
      <c r="P3353" s="100"/>
    </row>
    <row r="3354">
      <c r="A3354" s="107">
        <v>1626161.0</v>
      </c>
      <c r="B3354" s="108" t="s">
        <v>191</v>
      </c>
      <c r="C3354" s="108" t="s">
        <v>836</v>
      </c>
      <c r="D3354" s="112" t="s">
        <v>178</v>
      </c>
      <c r="E3354" s="112">
        <v>2044.0</v>
      </c>
      <c r="F3354" s="111" t="str">
        <f>DataPull!D3354</f>
        <v/>
      </c>
      <c r="G3354" s="94" t="str">
        <f t="shared" si="2"/>
        <v/>
      </c>
      <c r="H3354" s="94" t="str">
        <f t="shared" si="3"/>
        <v/>
      </c>
      <c r="I3354" s="94" t="str">
        <f t="shared" ref="I3354:J3354" si="3355">if(G3354 = "", , -G3354)</f>
        <v/>
      </c>
      <c r="J3354" s="94" t="str">
        <f t="shared" si="3355"/>
        <v/>
      </c>
      <c r="K3354" s="100"/>
      <c r="M3354" s="100"/>
      <c r="N3354" s="100"/>
      <c r="O3354" s="100"/>
      <c r="P3354" s="100"/>
    </row>
    <row r="3355">
      <c r="A3355" s="107">
        <v>1626161.0</v>
      </c>
      <c r="B3355" s="108" t="s">
        <v>192</v>
      </c>
      <c r="C3355" s="108" t="s">
        <v>836</v>
      </c>
      <c r="D3355" s="112" t="s">
        <v>184</v>
      </c>
      <c r="E3355" s="112">
        <v>2211.3</v>
      </c>
      <c r="F3355" s="111" t="str">
        <f>DataPull!D3355</f>
        <v/>
      </c>
      <c r="G3355" s="94" t="str">
        <f t="shared" si="2"/>
        <v/>
      </c>
      <c r="H3355" s="94" t="str">
        <f t="shared" si="3"/>
        <v/>
      </c>
      <c r="I3355" s="94" t="str">
        <f t="shared" ref="I3355:J3355" si="3356">if(G3355 = "", , -G3355)</f>
        <v/>
      </c>
      <c r="J3355" s="94" t="str">
        <f t="shared" si="3356"/>
        <v/>
      </c>
      <c r="K3355" s="100"/>
      <c r="M3355" s="100"/>
      <c r="N3355" s="100"/>
      <c r="O3355" s="100"/>
      <c r="P3355" s="100"/>
    </row>
    <row r="3356">
      <c r="A3356" s="107">
        <v>1626161.0</v>
      </c>
      <c r="B3356" s="108" t="s">
        <v>193</v>
      </c>
      <c r="C3356" s="108" t="s">
        <v>836</v>
      </c>
      <c r="D3356" s="112" t="s">
        <v>176</v>
      </c>
      <c r="E3356" s="112">
        <v>1096.2</v>
      </c>
      <c r="F3356" s="111" t="str">
        <f>DataPull!D3356</f>
        <v/>
      </c>
      <c r="G3356" s="94" t="str">
        <f t="shared" si="2"/>
        <v/>
      </c>
      <c r="H3356" s="94" t="str">
        <f t="shared" si="3"/>
        <v/>
      </c>
      <c r="I3356" s="94" t="str">
        <f t="shared" ref="I3356:J3356" si="3357">if(G3356 = "", , -G3356)</f>
        <v/>
      </c>
      <c r="J3356" s="94" t="str">
        <f t="shared" si="3357"/>
        <v/>
      </c>
      <c r="K3356" s="100"/>
      <c r="M3356" s="100"/>
      <c r="N3356" s="100"/>
      <c r="O3356" s="100"/>
      <c r="P3356" s="100"/>
    </row>
    <row r="3357">
      <c r="A3357" s="107">
        <v>1626161.0</v>
      </c>
      <c r="B3357" s="108" t="s">
        <v>243</v>
      </c>
      <c r="C3357" s="108" t="s">
        <v>836</v>
      </c>
      <c r="D3357" s="112" t="s">
        <v>177</v>
      </c>
      <c r="E3357" s="112">
        <v>906.3</v>
      </c>
      <c r="F3357" s="111" t="str">
        <f>DataPull!D3357</f>
        <v/>
      </c>
      <c r="G3357" s="94" t="str">
        <f t="shared" si="2"/>
        <v/>
      </c>
      <c r="H3357" s="94" t="str">
        <f t="shared" si="3"/>
        <v/>
      </c>
      <c r="I3357" s="94" t="str">
        <f t="shared" ref="I3357:J3357" si="3358">if(G3357 = "", , -G3357)</f>
        <v/>
      </c>
      <c r="J3357" s="94" t="str">
        <f t="shared" si="3358"/>
        <v/>
      </c>
      <c r="K3357" s="100"/>
      <c r="M3357" s="100"/>
      <c r="N3357" s="100"/>
      <c r="O3357" s="100"/>
      <c r="P3357" s="100"/>
    </row>
    <row r="3358">
      <c r="A3358" s="107">
        <v>1626161.0</v>
      </c>
      <c r="B3358" s="108" t="s">
        <v>215</v>
      </c>
      <c r="C3358" s="108" t="s">
        <v>836</v>
      </c>
      <c r="D3358" s="112" t="s">
        <v>187</v>
      </c>
      <c r="E3358" s="112">
        <v>182.0</v>
      </c>
      <c r="F3358" s="111" t="str">
        <f>DataPull!D3358</f>
        <v/>
      </c>
      <c r="G3358" s="94" t="str">
        <f t="shared" si="2"/>
        <v/>
      </c>
      <c r="H3358" s="94" t="str">
        <f t="shared" si="3"/>
        <v/>
      </c>
      <c r="I3358" s="94" t="str">
        <f t="shared" ref="I3358:J3358" si="3359">if(G3358 = "", , -G3358)</f>
        <v/>
      </c>
      <c r="J3358" s="94" t="str">
        <f t="shared" si="3359"/>
        <v/>
      </c>
      <c r="K3358" s="100"/>
      <c r="M3358" s="100"/>
      <c r="N3358" s="100"/>
      <c r="O3358" s="100"/>
      <c r="P3358" s="100"/>
    </row>
    <row r="3359">
      <c r="A3359" s="107">
        <v>1626162.0</v>
      </c>
      <c r="B3359" s="108" t="s">
        <v>92</v>
      </c>
      <c r="C3359" s="108" t="s">
        <v>837</v>
      </c>
      <c r="D3359" s="112" t="s">
        <v>177</v>
      </c>
      <c r="E3359" s="112">
        <v>674.1</v>
      </c>
      <c r="F3359" s="111" t="str">
        <f>DataPull!D3359</f>
        <v/>
      </c>
      <c r="G3359" s="94" t="str">
        <f t="shared" si="2"/>
        <v/>
      </c>
      <c r="H3359" s="94" t="str">
        <f t="shared" si="3"/>
        <v/>
      </c>
      <c r="I3359" s="94" t="str">
        <f t="shared" ref="I3359:J3359" si="3360">if(G3359 = "", , -G3359)</f>
        <v/>
      </c>
      <c r="J3359" s="94" t="str">
        <f t="shared" si="3360"/>
        <v/>
      </c>
      <c r="K3359" s="100"/>
      <c r="M3359" s="100"/>
      <c r="N3359" s="100"/>
      <c r="O3359" s="100"/>
      <c r="P3359" s="100"/>
    </row>
    <row r="3360">
      <c r="A3360" s="107">
        <v>1626162.0</v>
      </c>
      <c r="B3360" s="108" t="s">
        <v>190</v>
      </c>
      <c r="C3360" s="108" t="s">
        <v>837</v>
      </c>
      <c r="D3360" s="112" t="s">
        <v>176</v>
      </c>
      <c r="E3360" s="112">
        <v>1603.7</v>
      </c>
      <c r="F3360" s="111" t="str">
        <f>DataPull!D3360</f>
        <v/>
      </c>
      <c r="G3360" s="94" t="str">
        <f t="shared" si="2"/>
        <v/>
      </c>
      <c r="H3360" s="94" t="str">
        <f t="shared" si="3"/>
        <v/>
      </c>
      <c r="I3360" s="94" t="str">
        <f t="shared" ref="I3360:J3360" si="3361">if(G3360 = "", , -G3360)</f>
        <v/>
      </c>
      <c r="J3360" s="94" t="str">
        <f t="shared" si="3361"/>
        <v/>
      </c>
      <c r="K3360" s="100"/>
      <c r="L3360" s="100"/>
      <c r="N3360" s="100"/>
      <c r="O3360" s="100"/>
      <c r="P3360" s="100"/>
    </row>
    <row r="3361">
      <c r="A3361" s="107">
        <v>1626162.0</v>
      </c>
      <c r="B3361" s="108" t="s">
        <v>191</v>
      </c>
      <c r="C3361" s="108" t="s">
        <v>837</v>
      </c>
      <c r="D3361" s="112" t="s">
        <v>178</v>
      </c>
      <c r="E3361" s="112">
        <v>2227.5</v>
      </c>
      <c r="F3361" s="111" t="str">
        <f>DataPull!D3361</f>
        <v/>
      </c>
      <c r="G3361" s="94" t="str">
        <f t="shared" si="2"/>
        <v/>
      </c>
      <c r="H3361" s="94" t="str">
        <f t="shared" si="3"/>
        <v/>
      </c>
      <c r="I3361" s="94" t="str">
        <f t="shared" ref="I3361:J3361" si="3362">if(G3361 = "", , -G3361)</f>
        <v/>
      </c>
      <c r="J3361" s="94" t="str">
        <f t="shared" si="3362"/>
        <v/>
      </c>
      <c r="K3361" s="100"/>
      <c r="L3361" s="100"/>
      <c r="N3361" s="100"/>
      <c r="O3361" s="100"/>
      <c r="P3361" s="100"/>
    </row>
    <row r="3362">
      <c r="A3362" s="107">
        <v>1626162.0</v>
      </c>
      <c r="B3362" s="108" t="s">
        <v>192</v>
      </c>
      <c r="C3362" s="108" t="s">
        <v>837</v>
      </c>
      <c r="D3362" s="112" t="s">
        <v>176</v>
      </c>
      <c r="E3362" s="112">
        <v>1932.0</v>
      </c>
      <c r="F3362" s="111" t="str">
        <f>DataPull!D3362</f>
        <v/>
      </c>
      <c r="G3362" s="94" t="str">
        <f t="shared" si="2"/>
        <v/>
      </c>
      <c r="H3362" s="94" t="str">
        <f t="shared" si="3"/>
        <v/>
      </c>
      <c r="I3362" s="94" t="str">
        <f t="shared" ref="I3362:J3362" si="3363">if(G3362 = "", , -G3362)</f>
        <v/>
      </c>
      <c r="J3362" s="94" t="str">
        <f t="shared" si="3363"/>
        <v/>
      </c>
      <c r="K3362" s="100"/>
      <c r="M3362" s="100"/>
      <c r="N3362" s="100"/>
      <c r="O3362" s="100"/>
      <c r="P3362" s="100"/>
    </row>
    <row r="3363">
      <c r="A3363" s="107">
        <v>1626162.0</v>
      </c>
      <c r="B3363" s="108" t="s">
        <v>193</v>
      </c>
      <c r="C3363" s="108" t="s">
        <v>837</v>
      </c>
      <c r="D3363" s="112" t="s">
        <v>178</v>
      </c>
      <c r="E3363" s="112">
        <v>1932.0</v>
      </c>
      <c r="F3363" s="111" t="str">
        <f>DataPull!D3363</f>
        <v/>
      </c>
      <c r="G3363" s="94" t="str">
        <f t="shared" si="2"/>
        <v/>
      </c>
      <c r="H3363" s="94" t="str">
        <f t="shared" si="3"/>
        <v/>
      </c>
      <c r="I3363" s="94" t="str">
        <f t="shared" ref="I3363:J3363" si="3364">if(G3363 = "", , -G3363)</f>
        <v/>
      </c>
      <c r="J3363" s="94" t="str">
        <f t="shared" si="3364"/>
        <v/>
      </c>
      <c r="K3363" s="100"/>
      <c r="L3363" s="100"/>
      <c r="N3363" s="100"/>
      <c r="O3363" s="100"/>
      <c r="P3363" s="100"/>
    </row>
    <row r="3364">
      <c r="A3364" s="107">
        <v>1626162.0</v>
      </c>
      <c r="B3364" s="108" t="s">
        <v>243</v>
      </c>
      <c r="C3364" s="108" t="s">
        <v>837</v>
      </c>
      <c r="D3364" s="112" t="s">
        <v>178</v>
      </c>
      <c r="E3364" s="112">
        <v>1688.5</v>
      </c>
      <c r="F3364" s="111" t="str">
        <f>DataPull!D3364</f>
        <v/>
      </c>
      <c r="G3364" s="94" t="str">
        <f t="shared" si="2"/>
        <v/>
      </c>
      <c r="H3364" s="94" t="str">
        <f t="shared" si="3"/>
        <v/>
      </c>
      <c r="I3364" s="94" t="str">
        <f t="shared" ref="I3364:J3364" si="3365">if(G3364 = "", , -G3364)</f>
        <v/>
      </c>
      <c r="J3364" s="94" t="str">
        <f t="shared" si="3365"/>
        <v/>
      </c>
      <c r="K3364" s="100"/>
      <c r="M3364" s="100"/>
      <c r="N3364" s="100"/>
      <c r="O3364" s="100"/>
      <c r="P3364" s="100"/>
    </row>
    <row r="3365">
      <c r="A3365" s="107">
        <v>1626162.0</v>
      </c>
      <c r="B3365" s="108" t="s">
        <v>215</v>
      </c>
      <c r="C3365" s="108" t="s">
        <v>837</v>
      </c>
      <c r="D3365" s="112" t="s">
        <v>176</v>
      </c>
      <c r="E3365" s="112">
        <v>1998.8</v>
      </c>
      <c r="F3365" s="111" t="str">
        <f>DataPull!D3365</f>
        <v/>
      </c>
      <c r="G3365" s="94" t="str">
        <f t="shared" si="2"/>
        <v/>
      </c>
      <c r="H3365" s="94" t="str">
        <f t="shared" si="3"/>
        <v/>
      </c>
      <c r="I3365" s="94" t="str">
        <f t="shared" ref="I3365:J3365" si="3366">if(G3365 = "", , -G3365)</f>
        <v/>
      </c>
      <c r="J3365" s="94" t="str">
        <f t="shared" si="3366"/>
        <v/>
      </c>
      <c r="K3365" s="100"/>
      <c r="M3365" s="100"/>
      <c r="N3365" s="100"/>
      <c r="O3365" s="100"/>
      <c r="P3365" s="100"/>
    </row>
    <row r="3366">
      <c r="A3366" s="107">
        <v>1626162.0</v>
      </c>
      <c r="B3366" s="108" t="s">
        <v>244</v>
      </c>
      <c r="C3366" s="108" t="s">
        <v>837</v>
      </c>
      <c r="D3366" s="112" t="s">
        <v>178</v>
      </c>
      <c r="E3366" s="112">
        <v>1545.6</v>
      </c>
      <c r="F3366" s="111" t="str">
        <f>DataPull!D3366</f>
        <v/>
      </c>
      <c r="G3366" s="94" t="str">
        <f t="shared" si="2"/>
        <v/>
      </c>
      <c r="H3366" s="94" t="str">
        <f t="shared" si="3"/>
        <v/>
      </c>
      <c r="I3366" s="94" t="str">
        <f t="shared" ref="I3366:J3366" si="3367">if(G3366 = "", , -G3366)</f>
        <v/>
      </c>
      <c r="J3366" s="94" t="str">
        <f t="shared" si="3367"/>
        <v/>
      </c>
      <c r="L3366" s="100"/>
      <c r="M3366" s="100"/>
      <c r="N3366" s="100"/>
      <c r="O3366" s="100"/>
    </row>
    <row r="3367">
      <c r="A3367" s="107">
        <v>1626162.0</v>
      </c>
      <c r="B3367" s="108" t="s">
        <v>245</v>
      </c>
      <c r="C3367" s="108" t="s">
        <v>837</v>
      </c>
      <c r="D3367" s="112" t="s">
        <v>178</v>
      </c>
      <c r="E3367" s="112">
        <v>2053.6</v>
      </c>
      <c r="F3367" s="111" t="str">
        <f>DataPull!D3367</f>
        <v/>
      </c>
      <c r="G3367" s="94" t="str">
        <f t="shared" si="2"/>
        <v/>
      </c>
      <c r="H3367" s="94" t="str">
        <f t="shared" si="3"/>
        <v/>
      </c>
      <c r="I3367" s="94" t="str">
        <f t="shared" ref="I3367:J3367" si="3368">if(G3367 = "", , -G3367)</f>
        <v/>
      </c>
      <c r="J3367" s="94" t="str">
        <f t="shared" si="3368"/>
        <v/>
      </c>
      <c r="K3367" s="100"/>
      <c r="M3367" s="100"/>
      <c r="N3367" s="100"/>
      <c r="O3367" s="100"/>
      <c r="P3367" s="100"/>
    </row>
    <row r="3368">
      <c r="A3368" s="107">
        <v>1626162.0</v>
      </c>
      <c r="B3368" s="108" t="s">
        <v>246</v>
      </c>
      <c r="C3368" s="108" t="s">
        <v>837</v>
      </c>
      <c r="D3368" s="112" t="s">
        <v>178</v>
      </c>
      <c r="E3368" s="112">
        <v>2076.0</v>
      </c>
      <c r="F3368" s="111" t="str">
        <f>DataPull!D3368</f>
        <v/>
      </c>
      <c r="G3368" s="94" t="str">
        <f t="shared" si="2"/>
        <v/>
      </c>
      <c r="H3368" s="94" t="str">
        <f t="shared" si="3"/>
        <v/>
      </c>
      <c r="I3368" s="94" t="str">
        <f t="shared" ref="I3368:J3368" si="3369">if(G3368 = "", , -G3368)</f>
        <v/>
      </c>
      <c r="J3368" s="94" t="str">
        <f t="shared" si="3369"/>
        <v/>
      </c>
      <c r="K3368" s="100"/>
      <c r="M3368" s="100"/>
      <c r="N3368" s="100"/>
      <c r="O3368" s="100"/>
      <c r="P3368" s="100"/>
    </row>
    <row r="3369">
      <c r="A3369" s="114">
        <v>1626162.0</v>
      </c>
      <c r="B3369" s="113" t="s">
        <v>247</v>
      </c>
      <c r="C3369" s="108" t="s">
        <v>837</v>
      </c>
      <c r="D3369" s="112" t="s">
        <v>178</v>
      </c>
      <c r="E3369" s="112">
        <v>1575.0</v>
      </c>
      <c r="F3369" s="111" t="str">
        <f>DataPull!D3369</f>
        <v/>
      </c>
      <c r="G3369" s="94" t="str">
        <f t="shared" si="2"/>
        <v/>
      </c>
      <c r="H3369" s="94" t="str">
        <f t="shared" si="3"/>
        <v/>
      </c>
      <c r="I3369" s="94" t="str">
        <f t="shared" ref="I3369:J3369" si="3370">if(G3369 = "", , -G3369)</f>
        <v/>
      </c>
      <c r="J3369" s="94" t="str">
        <f t="shared" si="3370"/>
        <v/>
      </c>
      <c r="K3369" s="100"/>
      <c r="M3369" s="100"/>
      <c r="N3369" s="100"/>
      <c r="O3369" s="100"/>
      <c r="P3369" s="100"/>
    </row>
    <row r="3370">
      <c r="A3370" s="107">
        <v>1626163.0</v>
      </c>
      <c r="B3370" s="108" t="s">
        <v>92</v>
      </c>
      <c r="C3370" s="108" t="s">
        <v>838</v>
      </c>
      <c r="D3370" s="112" t="s">
        <v>177</v>
      </c>
      <c r="E3370" s="112">
        <v>1709.1</v>
      </c>
      <c r="F3370" s="111" t="str">
        <f>DataPull!D3370</f>
        <v/>
      </c>
      <c r="G3370" s="94" t="str">
        <f t="shared" si="2"/>
        <v/>
      </c>
      <c r="H3370" s="94" t="str">
        <f t="shared" si="3"/>
        <v/>
      </c>
      <c r="I3370" s="94" t="str">
        <f t="shared" ref="I3370:J3370" si="3371">if(G3370 = "", , -G3370)</f>
        <v/>
      </c>
      <c r="J3370" s="94" t="str">
        <f t="shared" si="3371"/>
        <v/>
      </c>
      <c r="K3370" s="100"/>
      <c r="L3370" s="100"/>
      <c r="N3370" s="100"/>
      <c r="O3370" s="100"/>
      <c r="P3370" s="100"/>
    </row>
    <row r="3371">
      <c r="A3371" s="107">
        <v>1626163.0</v>
      </c>
      <c r="B3371" s="108" t="s">
        <v>190</v>
      </c>
      <c r="C3371" s="108" t="s">
        <v>838</v>
      </c>
      <c r="D3371" s="112" t="s">
        <v>176</v>
      </c>
      <c r="E3371" s="112">
        <v>1957.5</v>
      </c>
      <c r="F3371" s="111" t="str">
        <f>DataPull!D3371</f>
        <v/>
      </c>
      <c r="G3371" s="94" t="str">
        <f t="shared" si="2"/>
        <v/>
      </c>
      <c r="H3371" s="94" t="str">
        <f t="shared" si="3"/>
        <v/>
      </c>
      <c r="I3371" s="94" t="str">
        <f t="shared" ref="I3371:J3371" si="3372">if(G3371 = "", , -G3371)</f>
        <v/>
      </c>
      <c r="J3371" s="94" t="str">
        <f t="shared" si="3372"/>
        <v/>
      </c>
      <c r="K3371" s="100"/>
      <c r="M3371" s="100"/>
      <c r="N3371" s="100"/>
      <c r="O3371" s="100"/>
      <c r="P3371" s="100"/>
    </row>
    <row r="3372">
      <c r="A3372" s="107">
        <v>1626163.0</v>
      </c>
      <c r="B3372" s="108" t="s">
        <v>191</v>
      </c>
      <c r="C3372" s="108" t="s">
        <v>838</v>
      </c>
      <c r="D3372" s="112" t="s">
        <v>176</v>
      </c>
      <c r="E3372" s="112">
        <v>1832.8</v>
      </c>
      <c r="F3372" s="111" t="str">
        <f>DataPull!D3372</f>
        <v/>
      </c>
      <c r="G3372" s="94" t="str">
        <f t="shared" si="2"/>
        <v/>
      </c>
      <c r="H3372" s="94" t="str">
        <f t="shared" si="3"/>
        <v/>
      </c>
      <c r="I3372" s="94" t="str">
        <f t="shared" ref="I3372:J3372" si="3373">if(G3372 = "", , -G3372)</f>
        <v/>
      </c>
      <c r="J3372" s="94" t="str">
        <f t="shared" si="3373"/>
        <v/>
      </c>
      <c r="K3372" s="100"/>
      <c r="M3372" s="100"/>
      <c r="N3372" s="100"/>
      <c r="O3372" s="100"/>
      <c r="P3372" s="100"/>
    </row>
    <row r="3373">
      <c r="A3373" s="107">
        <v>1626163.0</v>
      </c>
      <c r="B3373" s="108" t="s">
        <v>192</v>
      </c>
      <c r="C3373" s="108" t="s">
        <v>838</v>
      </c>
      <c r="D3373" s="112" t="s">
        <v>177</v>
      </c>
      <c r="E3373" s="112">
        <v>756.7</v>
      </c>
      <c r="F3373" s="111" t="str">
        <f>DataPull!D3373</f>
        <v/>
      </c>
      <c r="G3373" s="94" t="str">
        <f t="shared" si="2"/>
        <v/>
      </c>
      <c r="H3373" s="94" t="str">
        <f t="shared" si="3"/>
        <v/>
      </c>
      <c r="I3373" s="94" t="str">
        <f t="shared" ref="I3373:J3373" si="3374">if(G3373 = "", , -G3373)</f>
        <v/>
      </c>
      <c r="J3373" s="94" t="str">
        <f t="shared" si="3374"/>
        <v/>
      </c>
      <c r="K3373" s="100"/>
      <c r="M3373" s="100"/>
      <c r="N3373" s="100"/>
      <c r="O3373" s="100"/>
      <c r="P3373" s="100"/>
    </row>
    <row r="3374">
      <c r="A3374" s="107">
        <v>1626163.0</v>
      </c>
      <c r="B3374" s="108" t="s">
        <v>193</v>
      </c>
      <c r="C3374" s="108" t="s">
        <v>838</v>
      </c>
      <c r="D3374" s="112" t="s">
        <v>177</v>
      </c>
      <c r="E3374" s="112">
        <v>776.1</v>
      </c>
      <c r="F3374" s="111" t="str">
        <f>DataPull!D3374</f>
        <v/>
      </c>
      <c r="G3374" s="94" t="str">
        <f t="shared" si="2"/>
        <v/>
      </c>
      <c r="H3374" s="94" t="str">
        <f t="shared" si="3"/>
        <v/>
      </c>
      <c r="I3374" s="94" t="str">
        <f t="shared" ref="I3374:J3374" si="3375">if(G3374 = "", , -G3374)</f>
        <v/>
      </c>
      <c r="J3374" s="94" t="str">
        <f t="shared" si="3375"/>
        <v/>
      </c>
      <c r="K3374" s="100"/>
      <c r="M3374" s="100"/>
      <c r="N3374" s="100"/>
      <c r="O3374" s="100"/>
      <c r="P3374" s="100"/>
    </row>
    <row r="3375">
      <c r="A3375" s="107">
        <v>1626163.0</v>
      </c>
      <c r="B3375" s="108" t="s">
        <v>243</v>
      </c>
      <c r="C3375" s="108" t="s">
        <v>838</v>
      </c>
      <c r="D3375" s="112" t="s">
        <v>177</v>
      </c>
      <c r="E3375" s="112">
        <v>714.4</v>
      </c>
      <c r="F3375" s="111" t="str">
        <f>DataPull!D3375</f>
        <v/>
      </c>
      <c r="G3375" s="94" t="str">
        <f t="shared" si="2"/>
        <v/>
      </c>
      <c r="H3375" s="94" t="str">
        <f t="shared" si="3"/>
        <v/>
      </c>
      <c r="I3375" s="94" t="str">
        <f t="shared" ref="I3375:J3375" si="3376">if(G3375 = "", , -G3375)</f>
        <v/>
      </c>
      <c r="J3375" s="94" t="str">
        <f t="shared" si="3376"/>
        <v/>
      </c>
      <c r="K3375" s="100"/>
      <c r="M3375" s="100"/>
      <c r="N3375" s="100"/>
      <c r="O3375" s="100"/>
      <c r="P3375" s="100"/>
    </row>
    <row r="3376">
      <c r="A3376" s="107">
        <v>1626163.0</v>
      </c>
      <c r="B3376" s="108" t="s">
        <v>215</v>
      </c>
      <c r="C3376" s="108" t="s">
        <v>838</v>
      </c>
      <c r="D3376" s="112" t="s">
        <v>187</v>
      </c>
      <c r="E3376" s="112">
        <v>180.9</v>
      </c>
      <c r="F3376" s="111" t="str">
        <f>DataPull!D3376</f>
        <v/>
      </c>
      <c r="G3376" s="94" t="str">
        <f t="shared" si="2"/>
        <v/>
      </c>
      <c r="H3376" s="94" t="str">
        <f t="shared" si="3"/>
        <v/>
      </c>
      <c r="I3376" s="94" t="str">
        <f t="shared" ref="I3376:J3376" si="3377">if(G3376 = "", , -G3376)</f>
        <v/>
      </c>
      <c r="J3376" s="94" t="str">
        <f t="shared" si="3377"/>
        <v/>
      </c>
      <c r="K3376" s="100"/>
      <c r="L3376" s="100"/>
      <c r="N3376" s="100"/>
      <c r="O3376" s="100"/>
      <c r="P3376" s="100"/>
    </row>
    <row r="3377">
      <c r="A3377" s="107">
        <v>1626163.0</v>
      </c>
      <c r="B3377" s="108" t="s">
        <v>244</v>
      </c>
      <c r="C3377" s="108" t="s">
        <v>838</v>
      </c>
      <c r="D3377" s="112" t="s">
        <v>187</v>
      </c>
      <c r="E3377" s="112">
        <v>234.0</v>
      </c>
      <c r="F3377" s="111" t="str">
        <f>DataPull!D3377</f>
        <v/>
      </c>
      <c r="G3377" s="94" t="str">
        <f t="shared" si="2"/>
        <v/>
      </c>
      <c r="H3377" s="94" t="str">
        <f t="shared" si="3"/>
        <v/>
      </c>
      <c r="I3377" s="94" t="str">
        <f t="shared" ref="I3377:J3377" si="3378">if(G3377 = "", , -G3377)</f>
        <v/>
      </c>
      <c r="J3377" s="94" t="str">
        <f t="shared" si="3378"/>
        <v/>
      </c>
      <c r="K3377" s="100"/>
      <c r="M3377" s="100"/>
      <c r="N3377" s="100"/>
      <c r="O3377" s="100"/>
      <c r="P3377" s="100"/>
    </row>
    <row r="3378">
      <c r="A3378" s="107">
        <v>1626164.0</v>
      </c>
      <c r="B3378" s="108" t="s">
        <v>92</v>
      </c>
      <c r="C3378" s="108" t="s">
        <v>839</v>
      </c>
      <c r="D3378" s="112" t="s">
        <v>178</v>
      </c>
      <c r="E3378" s="112">
        <v>2105.2</v>
      </c>
      <c r="F3378" s="111" t="str">
        <f>DataPull!D3378</f>
        <v/>
      </c>
      <c r="G3378" s="94" t="str">
        <f t="shared" si="2"/>
        <v/>
      </c>
      <c r="H3378" s="94" t="str">
        <f t="shared" si="3"/>
        <v/>
      </c>
      <c r="I3378" s="94" t="str">
        <f t="shared" ref="I3378:J3378" si="3379">if(G3378 = "", , -G3378)</f>
        <v/>
      </c>
      <c r="J3378" s="94" t="str">
        <f t="shared" si="3379"/>
        <v/>
      </c>
      <c r="K3378" s="100"/>
      <c r="M3378" s="100"/>
      <c r="N3378" s="100"/>
      <c r="O3378" s="100"/>
      <c r="P3378" s="100"/>
    </row>
    <row r="3379">
      <c r="A3379" s="107">
        <v>1626164.0</v>
      </c>
      <c r="B3379" s="108" t="s">
        <v>190</v>
      </c>
      <c r="C3379" s="108" t="s">
        <v>839</v>
      </c>
      <c r="D3379" s="112" t="s">
        <v>178</v>
      </c>
      <c r="E3379" s="112">
        <v>2730.0</v>
      </c>
      <c r="F3379" s="111" t="str">
        <f>DataPull!D3379</f>
        <v/>
      </c>
      <c r="G3379" s="94" t="str">
        <f t="shared" si="2"/>
        <v/>
      </c>
      <c r="H3379" s="94" t="str">
        <f t="shared" si="3"/>
        <v/>
      </c>
      <c r="I3379" s="94" t="str">
        <f t="shared" ref="I3379:J3379" si="3380">if(G3379 = "", , -G3379)</f>
        <v/>
      </c>
      <c r="J3379" s="94" t="str">
        <f t="shared" si="3380"/>
        <v/>
      </c>
      <c r="K3379" s="100"/>
      <c r="M3379" s="100"/>
      <c r="N3379" s="100"/>
      <c r="O3379" s="100"/>
      <c r="P3379" s="100"/>
    </row>
    <row r="3380">
      <c r="A3380" s="107">
        <v>1626164.0</v>
      </c>
      <c r="B3380" s="108" t="s">
        <v>191</v>
      </c>
      <c r="C3380" s="108" t="s">
        <v>839</v>
      </c>
      <c r="D3380" s="112" t="s">
        <v>178</v>
      </c>
      <c r="E3380" s="112">
        <v>1863.0</v>
      </c>
      <c r="F3380" s="111" t="str">
        <f>DataPull!D3380</f>
        <v/>
      </c>
      <c r="G3380" s="94" t="str">
        <f t="shared" si="2"/>
        <v/>
      </c>
      <c r="H3380" s="94" t="str">
        <f t="shared" si="3"/>
        <v/>
      </c>
      <c r="I3380" s="94" t="str">
        <f t="shared" ref="I3380:J3380" si="3381">if(G3380 = "", , -G3380)</f>
        <v/>
      </c>
      <c r="J3380" s="94" t="str">
        <f t="shared" si="3381"/>
        <v/>
      </c>
      <c r="K3380" s="100"/>
      <c r="M3380" s="100"/>
      <c r="N3380" s="100"/>
      <c r="O3380" s="100"/>
      <c r="P3380" s="100"/>
    </row>
    <row r="3381">
      <c r="A3381" s="107">
        <v>1626164.0</v>
      </c>
      <c r="B3381" s="108" t="s">
        <v>192</v>
      </c>
      <c r="C3381" s="108" t="s">
        <v>839</v>
      </c>
      <c r="D3381" s="112" t="s">
        <v>178</v>
      </c>
      <c r="E3381" s="112">
        <v>2240.0</v>
      </c>
      <c r="F3381" s="111" t="str">
        <f>DataPull!D3381</f>
        <v/>
      </c>
      <c r="G3381" s="94" t="str">
        <f t="shared" si="2"/>
        <v/>
      </c>
      <c r="H3381" s="94" t="str">
        <f t="shared" si="3"/>
        <v/>
      </c>
      <c r="I3381" s="94" t="str">
        <f t="shared" ref="I3381:J3381" si="3382">if(G3381 = "", , -G3381)</f>
        <v/>
      </c>
      <c r="J3381" s="94" t="str">
        <f t="shared" si="3382"/>
        <v/>
      </c>
      <c r="K3381" s="100"/>
      <c r="M3381" s="100"/>
      <c r="N3381" s="100"/>
      <c r="O3381" s="100"/>
      <c r="P3381" s="100"/>
    </row>
    <row r="3382">
      <c r="A3382" s="107">
        <v>1626164.0</v>
      </c>
      <c r="B3382" s="108" t="s">
        <v>193</v>
      </c>
      <c r="C3382" s="108" t="s">
        <v>839</v>
      </c>
      <c r="D3382" s="112" t="s">
        <v>184</v>
      </c>
      <c r="E3382" s="112">
        <v>2513.0</v>
      </c>
      <c r="F3382" s="111" t="str">
        <f>DataPull!D3382</f>
        <v/>
      </c>
      <c r="G3382" s="94" t="str">
        <f t="shared" si="2"/>
        <v/>
      </c>
      <c r="H3382" s="94" t="str">
        <f t="shared" si="3"/>
        <v/>
      </c>
      <c r="I3382" s="94" t="str">
        <f t="shared" ref="I3382:J3382" si="3383">if(G3382 = "", , -G3382)</f>
        <v/>
      </c>
      <c r="J3382" s="94" t="str">
        <f t="shared" si="3383"/>
        <v/>
      </c>
      <c r="K3382" s="100"/>
      <c r="M3382" s="100"/>
      <c r="N3382" s="100"/>
      <c r="O3382" s="100"/>
      <c r="P3382" s="100"/>
    </row>
    <row r="3383">
      <c r="A3383" s="107">
        <v>1626164.0</v>
      </c>
      <c r="B3383" s="108" t="s">
        <v>243</v>
      </c>
      <c r="C3383" s="108" t="s">
        <v>839</v>
      </c>
      <c r="D3383" s="112" t="s">
        <v>184</v>
      </c>
      <c r="E3383" s="112">
        <v>2271.3</v>
      </c>
      <c r="F3383" s="111" t="str">
        <f>DataPull!D3383</f>
        <v/>
      </c>
      <c r="G3383" s="94" t="str">
        <f t="shared" si="2"/>
        <v/>
      </c>
      <c r="H3383" s="94" t="str">
        <f t="shared" si="3"/>
        <v/>
      </c>
      <c r="I3383" s="94" t="str">
        <f t="shared" ref="I3383:J3383" si="3384">if(G3383 = "", , -G3383)</f>
        <v/>
      </c>
      <c r="J3383" s="94" t="str">
        <f t="shared" si="3384"/>
        <v/>
      </c>
      <c r="K3383" s="100"/>
      <c r="M3383" s="100"/>
      <c r="N3383" s="100"/>
      <c r="O3383" s="100"/>
      <c r="P3383" s="100"/>
    </row>
    <row r="3384">
      <c r="A3384" s="107">
        <v>1626164.0</v>
      </c>
      <c r="B3384" s="108" t="s">
        <v>215</v>
      </c>
      <c r="C3384" s="108" t="s">
        <v>839</v>
      </c>
      <c r="D3384" s="112" t="s">
        <v>184</v>
      </c>
      <c r="E3384" s="112">
        <v>2346.0</v>
      </c>
      <c r="F3384" s="111" t="str">
        <f>DataPull!D3384</f>
        <v/>
      </c>
      <c r="G3384" s="94" t="str">
        <f t="shared" si="2"/>
        <v/>
      </c>
      <c r="H3384" s="94" t="str">
        <f t="shared" si="3"/>
        <v/>
      </c>
      <c r="I3384" s="94" t="str">
        <f t="shared" ref="I3384:J3384" si="3385">if(G3384 = "", , -G3384)</f>
        <v/>
      </c>
      <c r="J3384" s="94" t="str">
        <f t="shared" si="3385"/>
        <v/>
      </c>
      <c r="K3384" s="100"/>
      <c r="M3384" s="100"/>
      <c r="N3384" s="100"/>
      <c r="O3384" s="100"/>
      <c r="P3384" s="100"/>
    </row>
    <row r="3385">
      <c r="A3385" s="107">
        <v>1626164.0</v>
      </c>
      <c r="B3385" s="108" t="s">
        <v>244</v>
      </c>
      <c r="C3385" s="108" t="s">
        <v>839</v>
      </c>
      <c r="D3385" s="112" t="s">
        <v>184</v>
      </c>
      <c r="E3385" s="112">
        <v>1833.8</v>
      </c>
      <c r="F3385" s="111" t="str">
        <f>DataPull!D3385</f>
        <v/>
      </c>
      <c r="G3385" s="94" t="str">
        <f t="shared" si="2"/>
        <v/>
      </c>
      <c r="H3385" s="94" t="str">
        <f t="shared" si="3"/>
        <v/>
      </c>
      <c r="I3385" s="94" t="str">
        <f t="shared" ref="I3385:J3385" si="3386">if(G3385 = "", , -G3385)</f>
        <v/>
      </c>
      <c r="J3385" s="94" t="str">
        <f t="shared" si="3386"/>
        <v/>
      </c>
      <c r="K3385" s="100"/>
      <c r="M3385" s="100"/>
      <c r="N3385" s="100"/>
      <c r="O3385" s="100"/>
      <c r="P3385" s="100"/>
    </row>
    <row r="3386">
      <c r="A3386" s="107">
        <v>1626164.0</v>
      </c>
      <c r="B3386" s="108" t="s">
        <v>245</v>
      </c>
      <c r="C3386" s="108" t="s">
        <v>839</v>
      </c>
      <c r="D3386" s="112" t="s">
        <v>184</v>
      </c>
      <c r="E3386" s="112">
        <v>2448.0</v>
      </c>
      <c r="F3386" s="111" t="str">
        <f>DataPull!D3386</f>
        <v/>
      </c>
      <c r="G3386" s="94" t="str">
        <f t="shared" si="2"/>
        <v/>
      </c>
      <c r="H3386" s="94" t="str">
        <f t="shared" si="3"/>
        <v/>
      </c>
      <c r="I3386" s="94" t="str">
        <f t="shared" ref="I3386:J3386" si="3387">if(G3386 = "", , -G3386)</f>
        <v/>
      </c>
      <c r="J3386" s="94" t="str">
        <f t="shared" si="3387"/>
        <v/>
      </c>
      <c r="K3386" s="100"/>
      <c r="M3386" s="100"/>
      <c r="N3386" s="100"/>
      <c r="O3386" s="100"/>
      <c r="P3386" s="100"/>
    </row>
    <row r="3387">
      <c r="A3387" s="107">
        <v>1626164.0</v>
      </c>
      <c r="B3387" s="108" t="s">
        <v>246</v>
      </c>
      <c r="C3387" s="108" t="s">
        <v>839</v>
      </c>
      <c r="D3387" s="112" t="s">
        <v>184</v>
      </c>
      <c r="E3387" s="112">
        <v>2797.5</v>
      </c>
      <c r="F3387" s="111" t="str">
        <f>DataPull!D3387</f>
        <v/>
      </c>
      <c r="G3387" s="94" t="str">
        <f t="shared" si="2"/>
        <v/>
      </c>
      <c r="H3387" s="94" t="str">
        <f t="shared" si="3"/>
        <v/>
      </c>
      <c r="I3387" s="94" t="str">
        <f t="shared" ref="I3387:J3387" si="3388">if(G3387 = "", , -G3387)</f>
        <v/>
      </c>
      <c r="J3387" s="94" t="str">
        <f t="shared" si="3388"/>
        <v/>
      </c>
      <c r="K3387" s="100"/>
      <c r="M3387" s="100"/>
      <c r="N3387" s="100"/>
      <c r="O3387" s="100"/>
      <c r="P3387" s="100"/>
    </row>
    <row r="3388">
      <c r="A3388" s="114">
        <v>1626164.0</v>
      </c>
      <c r="B3388" s="113" t="s">
        <v>247</v>
      </c>
      <c r="C3388" s="113" t="s">
        <v>839</v>
      </c>
      <c r="D3388" s="112" t="s">
        <v>184</v>
      </c>
      <c r="E3388" s="112">
        <v>2144.0</v>
      </c>
      <c r="F3388" s="111" t="str">
        <f>DataPull!D3388</f>
        <v/>
      </c>
      <c r="G3388" s="94" t="str">
        <f t="shared" si="2"/>
        <v/>
      </c>
      <c r="H3388" s="94" t="str">
        <f t="shared" si="3"/>
        <v/>
      </c>
      <c r="I3388" s="94" t="str">
        <f t="shared" ref="I3388:J3388" si="3389">if(G3388 = "", , -G3388)</f>
        <v/>
      </c>
      <c r="J3388" s="94" t="str">
        <f t="shared" si="3389"/>
        <v/>
      </c>
      <c r="K3388" s="100"/>
      <c r="M3388" s="100"/>
      <c r="N3388" s="100"/>
      <c r="O3388" s="100"/>
      <c r="P3388" s="100"/>
    </row>
    <row r="3389">
      <c r="A3389" s="107">
        <v>1626166.0</v>
      </c>
      <c r="B3389" s="108" t="s">
        <v>92</v>
      </c>
      <c r="C3389" s="108" t="s">
        <v>840</v>
      </c>
      <c r="D3389" s="112" t="s">
        <v>177</v>
      </c>
      <c r="E3389" s="112">
        <v>695.4</v>
      </c>
      <c r="F3389" s="111" t="str">
        <f>DataPull!D3389</f>
        <v/>
      </c>
      <c r="G3389" s="94" t="str">
        <f t="shared" si="2"/>
        <v/>
      </c>
      <c r="H3389" s="94" t="str">
        <f t="shared" si="3"/>
        <v/>
      </c>
      <c r="I3389" s="94" t="str">
        <f t="shared" ref="I3389:J3389" si="3390">if(G3389 = "", , -G3389)</f>
        <v/>
      </c>
      <c r="J3389" s="94" t="str">
        <f t="shared" si="3390"/>
        <v/>
      </c>
      <c r="K3389" s="100"/>
      <c r="M3389" s="100"/>
      <c r="N3389" s="100"/>
      <c r="O3389" s="100"/>
      <c r="P3389" s="100"/>
    </row>
    <row r="3390">
      <c r="A3390" s="107">
        <v>1626166.0</v>
      </c>
      <c r="B3390" s="108" t="s">
        <v>190</v>
      </c>
      <c r="C3390" s="108" t="s">
        <v>840</v>
      </c>
      <c r="D3390" s="112" t="s">
        <v>177</v>
      </c>
      <c r="E3390" s="112">
        <v>461.9</v>
      </c>
      <c r="F3390" s="111" t="str">
        <f>DataPull!D3390</f>
        <v/>
      </c>
      <c r="G3390" s="94" t="str">
        <f t="shared" si="2"/>
        <v/>
      </c>
      <c r="H3390" s="94" t="str">
        <f t="shared" si="3"/>
        <v/>
      </c>
      <c r="I3390" s="94" t="str">
        <f t="shared" ref="I3390:J3390" si="3391">if(G3390 = "", , -G3390)</f>
        <v/>
      </c>
      <c r="J3390" s="94" t="str">
        <f t="shared" si="3391"/>
        <v/>
      </c>
      <c r="L3390" s="100"/>
      <c r="M3390" s="100"/>
      <c r="N3390" s="100"/>
      <c r="O3390" s="100"/>
    </row>
    <row r="3391">
      <c r="A3391" s="107">
        <v>1626166.0</v>
      </c>
      <c r="B3391" s="108" t="s">
        <v>191</v>
      </c>
      <c r="C3391" s="108" t="s">
        <v>840</v>
      </c>
      <c r="D3391" s="112" t="s">
        <v>176</v>
      </c>
      <c r="E3391" s="112">
        <v>582.5</v>
      </c>
      <c r="F3391" s="111" t="str">
        <f>DataPull!D3391</f>
        <v/>
      </c>
      <c r="G3391" s="94" t="str">
        <f t="shared" si="2"/>
        <v/>
      </c>
      <c r="H3391" s="94" t="str">
        <f t="shared" si="3"/>
        <v/>
      </c>
      <c r="I3391" s="94" t="str">
        <f t="shared" ref="I3391:J3391" si="3392">if(G3391 = "", , -G3391)</f>
        <v/>
      </c>
      <c r="J3391" s="94" t="str">
        <f t="shared" si="3392"/>
        <v/>
      </c>
      <c r="K3391" s="100"/>
      <c r="L3391" s="100"/>
      <c r="N3391" s="100"/>
      <c r="O3391" s="100"/>
      <c r="P3391" s="100"/>
    </row>
    <row r="3392">
      <c r="A3392" s="107">
        <v>1626166.0</v>
      </c>
      <c r="B3392" s="108" t="s">
        <v>192</v>
      </c>
      <c r="C3392" s="108" t="s">
        <v>840</v>
      </c>
      <c r="D3392" s="112" t="s">
        <v>177</v>
      </c>
      <c r="E3392" s="112">
        <v>712.0</v>
      </c>
      <c r="F3392" s="111" t="str">
        <f>DataPull!D3392</f>
        <v/>
      </c>
      <c r="G3392" s="94" t="str">
        <f t="shared" si="2"/>
        <v/>
      </c>
      <c r="H3392" s="94" t="str">
        <f t="shared" si="3"/>
        <v/>
      </c>
      <c r="I3392" s="94" t="str">
        <f t="shared" ref="I3392:J3392" si="3393">if(G3392 = "", , -G3392)</f>
        <v/>
      </c>
      <c r="J3392" s="94" t="str">
        <f t="shared" si="3393"/>
        <v/>
      </c>
      <c r="K3392" s="100"/>
      <c r="M3392" s="100"/>
      <c r="N3392" s="100"/>
      <c r="O3392" s="100"/>
      <c r="P3392" s="100"/>
    </row>
    <row r="3393">
      <c r="A3393" s="107">
        <v>1626166.0</v>
      </c>
      <c r="B3393" s="108" t="s">
        <v>193</v>
      </c>
      <c r="C3393" s="108" t="s">
        <v>840</v>
      </c>
      <c r="D3393" s="112" t="s">
        <v>176</v>
      </c>
      <c r="E3393" s="112">
        <v>183.2</v>
      </c>
      <c r="F3393" s="111" t="str">
        <f>DataPull!D3393</f>
        <v/>
      </c>
      <c r="G3393" s="94" t="str">
        <f t="shared" si="2"/>
        <v/>
      </c>
      <c r="H3393" s="94" t="str">
        <f t="shared" si="3"/>
        <v/>
      </c>
      <c r="I3393" s="94" t="str">
        <f t="shared" ref="I3393:J3393" si="3394">if(G3393 = "", , -G3393)</f>
        <v/>
      </c>
      <c r="J3393" s="94" t="str">
        <f t="shared" si="3394"/>
        <v/>
      </c>
      <c r="K3393" s="100"/>
      <c r="M3393" s="100"/>
      <c r="N3393" s="100"/>
      <c r="O3393" s="100"/>
      <c r="P3393" s="100"/>
    </row>
    <row r="3394">
      <c r="A3394" s="107">
        <v>1626166.0</v>
      </c>
      <c r="B3394" s="108" t="s">
        <v>243</v>
      </c>
      <c r="C3394" s="108" t="s">
        <v>840</v>
      </c>
      <c r="D3394" s="112" t="s">
        <v>177</v>
      </c>
      <c r="E3394" s="112">
        <v>1080.0</v>
      </c>
      <c r="F3394" s="111" t="str">
        <f>DataPull!D3394</f>
        <v/>
      </c>
      <c r="G3394" s="94" t="str">
        <f t="shared" si="2"/>
        <v/>
      </c>
      <c r="H3394" s="94" t="str">
        <f t="shared" si="3"/>
        <v/>
      </c>
      <c r="I3394" s="94" t="str">
        <f t="shared" ref="I3394:J3394" si="3395">if(G3394 = "", , -G3394)</f>
        <v/>
      </c>
      <c r="J3394" s="94" t="str">
        <f t="shared" si="3395"/>
        <v/>
      </c>
      <c r="K3394" s="100"/>
      <c r="M3394" s="100"/>
      <c r="N3394" s="100"/>
      <c r="O3394" s="100"/>
      <c r="P3394" s="100"/>
    </row>
    <row r="3395">
      <c r="A3395" s="107">
        <v>1626166.0</v>
      </c>
      <c r="B3395" s="108" t="s">
        <v>215</v>
      </c>
      <c r="C3395" s="108" t="s">
        <v>840</v>
      </c>
      <c r="D3395" s="112" t="s">
        <v>176</v>
      </c>
      <c r="E3395" s="112">
        <v>1276.0</v>
      </c>
      <c r="F3395" s="111" t="str">
        <f>DataPull!D3395</f>
        <v/>
      </c>
      <c r="G3395" s="94" t="str">
        <f t="shared" si="2"/>
        <v/>
      </c>
      <c r="H3395" s="94" t="str">
        <f t="shared" si="3"/>
        <v/>
      </c>
      <c r="I3395" s="94" t="str">
        <f t="shared" ref="I3395:J3395" si="3396">if(G3395 = "", , -G3395)</f>
        <v/>
      </c>
      <c r="J3395" s="94" t="str">
        <f t="shared" si="3396"/>
        <v/>
      </c>
      <c r="K3395" s="100"/>
      <c r="M3395" s="100"/>
      <c r="N3395" s="100"/>
      <c r="O3395" s="100"/>
      <c r="P3395" s="100"/>
    </row>
    <row r="3396">
      <c r="A3396" s="107">
        <v>1626166.0</v>
      </c>
      <c r="B3396" s="108" t="s">
        <v>244</v>
      </c>
      <c r="C3396" s="108" t="s">
        <v>840</v>
      </c>
      <c r="D3396" s="112" t="s">
        <v>177</v>
      </c>
      <c r="E3396" s="112">
        <v>969.6</v>
      </c>
      <c r="F3396" s="111" t="str">
        <f>DataPull!D3396</f>
        <v/>
      </c>
      <c r="G3396" s="94" t="str">
        <f t="shared" si="2"/>
        <v/>
      </c>
      <c r="H3396" s="94" t="str">
        <f t="shared" si="3"/>
        <v/>
      </c>
      <c r="I3396" s="94" t="str">
        <f t="shared" ref="I3396:J3396" si="3397">if(G3396 = "", , -G3396)</f>
        <v/>
      </c>
      <c r="J3396" s="94" t="str">
        <f t="shared" si="3397"/>
        <v/>
      </c>
      <c r="K3396" s="100"/>
      <c r="M3396" s="100"/>
      <c r="N3396" s="100"/>
      <c r="O3396" s="100"/>
      <c r="P3396" s="100"/>
    </row>
    <row r="3397">
      <c r="A3397" s="107">
        <v>1626166.0</v>
      </c>
      <c r="B3397" s="108" t="s">
        <v>245</v>
      </c>
      <c r="C3397" s="108" t="s">
        <v>840</v>
      </c>
      <c r="D3397" s="112" t="s">
        <v>177</v>
      </c>
      <c r="E3397" s="112">
        <v>1302.6</v>
      </c>
      <c r="F3397" s="111" t="str">
        <f>DataPull!D3397</f>
        <v/>
      </c>
      <c r="G3397" s="94" t="str">
        <f t="shared" si="2"/>
        <v/>
      </c>
      <c r="H3397" s="94" t="str">
        <f t="shared" si="3"/>
        <v/>
      </c>
      <c r="I3397" s="94" t="str">
        <f t="shared" ref="I3397:J3397" si="3398">if(G3397 = "", , -G3397)</f>
        <v/>
      </c>
      <c r="J3397" s="94" t="str">
        <f t="shared" si="3398"/>
        <v/>
      </c>
      <c r="K3397" s="100"/>
      <c r="M3397" s="100"/>
      <c r="N3397" s="100"/>
      <c r="O3397" s="100"/>
      <c r="P3397" s="100"/>
    </row>
    <row r="3398">
      <c r="A3398" s="107">
        <v>1626166.0</v>
      </c>
      <c r="B3398" s="108" t="s">
        <v>246</v>
      </c>
      <c r="C3398" s="108" t="s">
        <v>840</v>
      </c>
      <c r="D3398" s="112" t="s">
        <v>177</v>
      </c>
      <c r="E3398" s="112">
        <v>1087.2</v>
      </c>
      <c r="F3398" s="111" t="str">
        <f>DataPull!D3398</f>
        <v/>
      </c>
      <c r="G3398" s="94" t="str">
        <f t="shared" si="2"/>
        <v/>
      </c>
      <c r="H3398" s="94" t="str">
        <f t="shared" si="3"/>
        <v/>
      </c>
      <c r="I3398" s="94" t="str">
        <f t="shared" ref="I3398:J3398" si="3399">if(G3398 = "", , -G3398)</f>
        <v/>
      </c>
      <c r="J3398" s="94" t="str">
        <f t="shared" si="3399"/>
        <v/>
      </c>
      <c r="K3398" s="100"/>
      <c r="M3398" s="100"/>
      <c r="N3398" s="100"/>
      <c r="O3398" s="100"/>
      <c r="P3398" s="100"/>
    </row>
    <row r="3399">
      <c r="A3399" s="107">
        <v>1626167.0</v>
      </c>
      <c r="B3399" s="108" t="s">
        <v>92</v>
      </c>
      <c r="C3399" s="108" t="s">
        <v>841</v>
      </c>
      <c r="D3399" s="112" t="s">
        <v>176</v>
      </c>
      <c r="E3399" s="112">
        <v>1368.0</v>
      </c>
      <c r="F3399" s="111" t="str">
        <f>DataPull!D3399</f>
        <v/>
      </c>
      <c r="G3399" s="94" t="str">
        <f t="shared" si="2"/>
        <v/>
      </c>
      <c r="H3399" s="94" t="str">
        <f t="shared" si="3"/>
        <v/>
      </c>
      <c r="I3399" s="94" t="str">
        <f t="shared" ref="I3399:J3399" si="3400">if(G3399 = "", , -G3399)</f>
        <v/>
      </c>
      <c r="J3399" s="94" t="str">
        <f t="shared" si="3400"/>
        <v/>
      </c>
      <c r="K3399" s="100"/>
      <c r="M3399" s="100"/>
      <c r="N3399" s="100"/>
      <c r="O3399" s="100"/>
      <c r="P3399" s="100"/>
    </row>
    <row r="3400">
      <c r="A3400" s="107">
        <v>1626167.0</v>
      </c>
      <c r="B3400" s="108" t="s">
        <v>190</v>
      </c>
      <c r="C3400" s="108" t="s">
        <v>841</v>
      </c>
      <c r="D3400" s="112" t="s">
        <v>184</v>
      </c>
      <c r="E3400" s="112">
        <v>2543.4</v>
      </c>
      <c r="F3400" s="111" t="str">
        <f>DataPull!D3400</f>
        <v/>
      </c>
      <c r="G3400" s="94" t="str">
        <f t="shared" si="2"/>
        <v/>
      </c>
      <c r="H3400" s="94" t="str">
        <f t="shared" si="3"/>
        <v/>
      </c>
      <c r="I3400" s="94" t="str">
        <f t="shared" ref="I3400:J3400" si="3401">if(G3400 = "", , -G3400)</f>
        <v/>
      </c>
      <c r="J3400" s="94" t="str">
        <f t="shared" si="3401"/>
        <v/>
      </c>
      <c r="K3400" s="100"/>
      <c r="M3400" s="100"/>
      <c r="N3400" s="100"/>
      <c r="O3400" s="100"/>
      <c r="P3400" s="100"/>
    </row>
    <row r="3401">
      <c r="A3401" s="107">
        <v>1626167.0</v>
      </c>
      <c r="B3401" s="108" t="s">
        <v>191</v>
      </c>
      <c r="C3401" s="108" t="s">
        <v>841</v>
      </c>
      <c r="D3401" s="112" t="s">
        <v>184</v>
      </c>
      <c r="E3401" s="112">
        <v>1833.0</v>
      </c>
      <c r="F3401" s="111" t="str">
        <f>DataPull!D3401</f>
        <v/>
      </c>
      <c r="G3401" s="94" t="str">
        <f t="shared" si="2"/>
        <v/>
      </c>
      <c r="H3401" s="94" t="str">
        <f t="shared" si="3"/>
        <v/>
      </c>
      <c r="I3401" s="94" t="str">
        <f t="shared" ref="I3401:J3401" si="3402">if(G3401 = "", , -G3401)</f>
        <v/>
      </c>
      <c r="J3401" s="94" t="str">
        <f t="shared" si="3402"/>
        <v/>
      </c>
      <c r="K3401" s="100"/>
      <c r="M3401" s="100"/>
      <c r="N3401" s="100"/>
      <c r="O3401" s="100"/>
      <c r="P3401" s="100"/>
    </row>
    <row r="3402">
      <c r="A3402" s="107">
        <v>1626167.0</v>
      </c>
      <c r="B3402" s="108" t="s">
        <v>192</v>
      </c>
      <c r="C3402" s="108" t="s">
        <v>841</v>
      </c>
      <c r="D3402" s="112" t="s">
        <v>184</v>
      </c>
      <c r="E3402" s="112">
        <v>2116.4</v>
      </c>
      <c r="F3402" s="111" t="str">
        <f>DataPull!D3402</f>
        <v/>
      </c>
      <c r="G3402" s="94" t="str">
        <f t="shared" si="2"/>
        <v/>
      </c>
      <c r="H3402" s="94" t="str">
        <f t="shared" si="3"/>
        <v/>
      </c>
      <c r="I3402" s="94" t="str">
        <f t="shared" ref="I3402:J3402" si="3403">if(G3402 = "", , -G3402)</f>
        <v/>
      </c>
      <c r="J3402" s="94" t="str">
        <f t="shared" si="3403"/>
        <v/>
      </c>
      <c r="K3402" s="100"/>
      <c r="M3402" s="100"/>
      <c r="N3402" s="100"/>
      <c r="O3402" s="100"/>
      <c r="P3402" s="100"/>
    </row>
    <row r="3403">
      <c r="A3403" s="107">
        <v>1626167.0</v>
      </c>
      <c r="B3403" s="108" t="s">
        <v>193</v>
      </c>
      <c r="C3403" s="108" t="s">
        <v>841</v>
      </c>
      <c r="D3403" s="112" t="s">
        <v>184</v>
      </c>
      <c r="E3403" s="112">
        <v>1822.8</v>
      </c>
      <c r="F3403" s="111" t="str">
        <f>DataPull!D3403</f>
        <v/>
      </c>
      <c r="G3403" s="94" t="str">
        <f t="shared" si="2"/>
        <v/>
      </c>
      <c r="H3403" s="94" t="str">
        <f t="shared" si="3"/>
        <v/>
      </c>
      <c r="I3403" s="94" t="str">
        <f t="shared" ref="I3403:J3403" si="3404">if(G3403 = "", , -G3403)</f>
        <v/>
      </c>
      <c r="J3403" s="94" t="str">
        <f t="shared" si="3404"/>
        <v/>
      </c>
      <c r="K3403" s="100"/>
      <c r="L3403" s="100"/>
      <c r="M3403" s="100"/>
      <c r="N3403" s="100"/>
      <c r="O3403" s="100"/>
    </row>
    <row r="3404">
      <c r="A3404" s="107">
        <v>1626167.0</v>
      </c>
      <c r="B3404" s="108" t="s">
        <v>243</v>
      </c>
      <c r="C3404" s="108" t="s">
        <v>841</v>
      </c>
      <c r="D3404" s="112" t="s">
        <v>184</v>
      </c>
      <c r="E3404" s="112">
        <v>1457.0</v>
      </c>
      <c r="F3404" s="111" t="str">
        <f>DataPull!D3404</f>
        <v/>
      </c>
      <c r="G3404" s="94" t="str">
        <f t="shared" si="2"/>
        <v/>
      </c>
      <c r="H3404" s="94" t="str">
        <f t="shared" si="3"/>
        <v/>
      </c>
      <c r="I3404" s="94" t="str">
        <f t="shared" ref="I3404:J3404" si="3405">if(G3404 = "", , -G3404)</f>
        <v/>
      </c>
      <c r="J3404" s="94" t="str">
        <f t="shared" si="3405"/>
        <v/>
      </c>
      <c r="K3404" s="100"/>
      <c r="M3404" s="100"/>
      <c r="N3404" s="100"/>
      <c r="O3404" s="100"/>
      <c r="P3404" s="100"/>
    </row>
    <row r="3405">
      <c r="A3405" s="107">
        <v>1626167.0</v>
      </c>
      <c r="B3405" s="108" t="s">
        <v>215</v>
      </c>
      <c r="C3405" s="108" t="s">
        <v>841</v>
      </c>
      <c r="D3405" s="112" t="s">
        <v>176</v>
      </c>
      <c r="E3405" s="112">
        <v>1234.8</v>
      </c>
      <c r="F3405" s="111" t="str">
        <f>DataPull!D3405</f>
        <v/>
      </c>
      <c r="G3405" s="94" t="str">
        <f t="shared" si="2"/>
        <v/>
      </c>
      <c r="H3405" s="94" t="str">
        <f t="shared" si="3"/>
        <v/>
      </c>
      <c r="I3405" s="94" t="str">
        <f t="shared" ref="I3405:J3405" si="3406">if(G3405 = "", , -G3405)</f>
        <v/>
      </c>
      <c r="J3405" s="94" t="str">
        <f t="shared" si="3406"/>
        <v/>
      </c>
      <c r="K3405" s="100"/>
      <c r="M3405" s="100"/>
      <c r="N3405" s="100"/>
      <c r="O3405" s="100"/>
      <c r="P3405" s="100"/>
    </row>
    <row r="3406">
      <c r="A3406" s="107">
        <v>1626167.0</v>
      </c>
      <c r="B3406" s="108" t="s">
        <v>244</v>
      </c>
      <c r="C3406" s="108" t="s">
        <v>841</v>
      </c>
      <c r="D3406" s="112" t="s">
        <v>184</v>
      </c>
      <c r="E3406" s="112">
        <v>1822.8</v>
      </c>
      <c r="F3406" s="111" t="str">
        <f>DataPull!D3406</f>
        <v/>
      </c>
      <c r="G3406" s="94" t="str">
        <f t="shared" si="2"/>
        <v/>
      </c>
      <c r="H3406" s="94" t="str">
        <f t="shared" si="3"/>
        <v/>
      </c>
      <c r="I3406" s="94" t="str">
        <f t="shared" ref="I3406:J3406" si="3407">if(G3406 = "", , -G3406)</f>
        <v/>
      </c>
      <c r="J3406" s="94" t="str">
        <f t="shared" si="3407"/>
        <v/>
      </c>
      <c r="K3406" s="100"/>
      <c r="M3406" s="100"/>
      <c r="N3406" s="100"/>
      <c r="O3406" s="100"/>
      <c r="P3406" s="100"/>
    </row>
    <row r="3407">
      <c r="A3407" s="107">
        <v>1626167.0</v>
      </c>
      <c r="B3407" s="108" t="s">
        <v>245</v>
      </c>
      <c r="C3407" s="108" t="s">
        <v>841</v>
      </c>
      <c r="D3407" s="112" t="s">
        <v>184</v>
      </c>
      <c r="E3407" s="112">
        <v>2079.0</v>
      </c>
      <c r="F3407" s="111" t="str">
        <f>DataPull!D3407</f>
        <v/>
      </c>
      <c r="G3407" s="94" t="str">
        <f t="shared" si="2"/>
        <v/>
      </c>
      <c r="H3407" s="94" t="str">
        <f t="shared" si="3"/>
        <v/>
      </c>
      <c r="I3407" s="94" t="str">
        <f t="shared" ref="I3407:J3407" si="3408">if(G3407 = "", , -G3407)</f>
        <v/>
      </c>
      <c r="J3407" s="94" t="str">
        <f t="shared" si="3408"/>
        <v/>
      </c>
      <c r="K3407" s="100"/>
      <c r="M3407" s="100"/>
      <c r="N3407" s="100"/>
      <c r="O3407" s="100"/>
      <c r="P3407" s="100"/>
    </row>
    <row r="3408">
      <c r="A3408" s="107">
        <v>1626167.0</v>
      </c>
      <c r="B3408" s="108" t="s">
        <v>246</v>
      </c>
      <c r="C3408" s="108" t="s">
        <v>841</v>
      </c>
      <c r="D3408" s="112" t="s">
        <v>184</v>
      </c>
      <c r="E3408" s="112">
        <v>2174.4</v>
      </c>
      <c r="F3408" s="111" t="str">
        <f>DataPull!D3408</f>
        <v/>
      </c>
      <c r="G3408" s="94" t="str">
        <f t="shared" si="2"/>
        <v/>
      </c>
      <c r="H3408" s="94" t="str">
        <f t="shared" si="3"/>
        <v/>
      </c>
      <c r="I3408" s="94" t="str">
        <f t="shared" ref="I3408:J3408" si="3409">if(G3408 = "", , -G3408)</f>
        <v/>
      </c>
      <c r="J3408" s="94" t="str">
        <f t="shared" si="3409"/>
        <v/>
      </c>
      <c r="K3408" s="100"/>
      <c r="M3408" s="100"/>
      <c r="N3408" s="100"/>
      <c r="O3408" s="100"/>
      <c r="P3408" s="100"/>
    </row>
    <row r="3409">
      <c r="A3409" s="114">
        <v>1626167.0</v>
      </c>
      <c r="B3409" s="113" t="s">
        <v>247</v>
      </c>
      <c r="C3409" s="113" t="s">
        <v>841</v>
      </c>
      <c r="D3409" s="112" t="s">
        <v>184</v>
      </c>
      <c r="E3409" s="112">
        <v>1909.9</v>
      </c>
      <c r="F3409" s="111" t="str">
        <f>DataPull!D3409</f>
        <v/>
      </c>
      <c r="G3409" s="94" t="str">
        <f t="shared" si="2"/>
        <v/>
      </c>
      <c r="H3409" s="94" t="str">
        <f t="shared" si="3"/>
        <v/>
      </c>
      <c r="I3409" s="94" t="str">
        <f t="shared" ref="I3409:J3409" si="3410">if(G3409 = "", , -G3409)</f>
        <v/>
      </c>
      <c r="J3409" s="94" t="str">
        <f t="shared" si="3410"/>
        <v/>
      </c>
      <c r="K3409" s="100"/>
      <c r="M3409" s="100"/>
      <c r="N3409" s="100"/>
      <c r="O3409" s="100"/>
      <c r="P3409" s="100"/>
    </row>
    <row r="3410">
      <c r="A3410" s="107">
        <v>1626168.0</v>
      </c>
      <c r="B3410" s="108" t="s">
        <v>92</v>
      </c>
      <c r="C3410" s="108" t="s">
        <v>842</v>
      </c>
      <c r="D3410" s="112" t="s">
        <v>177</v>
      </c>
      <c r="E3410" s="112">
        <v>1384.0</v>
      </c>
      <c r="F3410" s="111" t="str">
        <f>DataPull!D3410</f>
        <v/>
      </c>
      <c r="G3410" s="94" t="str">
        <f t="shared" si="2"/>
        <v/>
      </c>
      <c r="H3410" s="94" t="str">
        <f t="shared" si="3"/>
        <v/>
      </c>
      <c r="I3410" s="94" t="str">
        <f t="shared" ref="I3410:J3410" si="3411">if(G3410 = "", , -G3410)</f>
        <v/>
      </c>
      <c r="J3410" s="94" t="str">
        <f t="shared" si="3411"/>
        <v/>
      </c>
      <c r="K3410" s="100"/>
      <c r="M3410" s="100"/>
      <c r="N3410" s="100"/>
      <c r="O3410" s="100"/>
      <c r="P3410" s="100"/>
    </row>
    <row r="3411">
      <c r="A3411" s="107">
        <v>1626168.0</v>
      </c>
      <c r="B3411" s="108" t="s">
        <v>190</v>
      </c>
      <c r="C3411" s="108" t="s">
        <v>842</v>
      </c>
      <c r="D3411" s="112" t="s">
        <v>177</v>
      </c>
      <c r="E3411" s="112">
        <v>1157.3</v>
      </c>
      <c r="F3411" s="111" t="str">
        <f>DataPull!D3411</f>
        <v/>
      </c>
      <c r="G3411" s="94" t="str">
        <f t="shared" si="2"/>
        <v/>
      </c>
      <c r="H3411" s="94" t="str">
        <f t="shared" si="3"/>
        <v/>
      </c>
      <c r="I3411" s="94" t="str">
        <f t="shared" ref="I3411:J3411" si="3412">if(G3411 = "", , -G3411)</f>
        <v/>
      </c>
      <c r="J3411" s="94" t="str">
        <f t="shared" si="3412"/>
        <v/>
      </c>
      <c r="K3411" s="100"/>
      <c r="M3411" s="100"/>
      <c r="N3411" s="100"/>
      <c r="O3411" s="100"/>
      <c r="P3411" s="100"/>
    </row>
    <row r="3412">
      <c r="A3412" s="107">
        <v>1626168.0</v>
      </c>
      <c r="B3412" s="108" t="s">
        <v>191</v>
      </c>
      <c r="C3412" s="108" t="s">
        <v>842</v>
      </c>
      <c r="D3412" s="112" t="s">
        <v>177</v>
      </c>
      <c r="E3412" s="112">
        <v>1394.3</v>
      </c>
      <c r="F3412" s="111" t="str">
        <f>DataPull!D3412</f>
        <v/>
      </c>
      <c r="G3412" s="94" t="str">
        <f t="shared" si="2"/>
        <v/>
      </c>
      <c r="H3412" s="94" t="str">
        <f t="shared" si="3"/>
        <v/>
      </c>
      <c r="I3412" s="94" t="str">
        <f t="shared" ref="I3412:J3412" si="3413">if(G3412 = "", , -G3412)</f>
        <v/>
      </c>
      <c r="J3412" s="94" t="str">
        <f t="shared" si="3413"/>
        <v/>
      </c>
      <c r="K3412" s="100"/>
      <c r="M3412" s="100"/>
      <c r="N3412" s="100"/>
      <c r="O3412" s="100"/>
      <c r="P3412" s="100"/>
    </row>
    <row r="3413">
      <c r="A3413" s="107">
        <v>1626168.0</v>
      </c>
      <c r="B3413" s="108" t="s">
        <v>192</v>
      </c>
      <c r="C3413" s="108" t="s">
        <v>842</v>
      </c>
      <c r="D3413" s="112" t="s">
        <v>177</v>
      </c>
      <c r="E3413" s="112">
        <v>1120.0</v>
      </c>
      <c r="F3413" s="111" t="str">
        <f>DataPull!D3413</f>
        <v/>
      </c>
      <c r="G3413" s="94" t="str">
        <f t="shared" si="2"/>
        <v/>
      </c>
      <c r="H3413" s="94" t="str">
        <f t="shared" si="3"/>
        <v/>
      </c>
      <c r="I3413" s="94" t="str">
        <f t="shared" ref="I3413:J3413" si="3414">if(G3413 = "", , -G3413)</f>
        <v/>
      </c>
      <c r="J3413" s="94" t="str">
        <f t="shared" si="3414"/>
        <v/>
      </c>
      <c r="K3413" s="100"/>
      <c r="M3413" s="100"/>
      <c r="N3413" s="100"/>
      <c r="O3413" s="100"/>
      <c r="P3413" s="100"/>
    </row>
    <row r="3414">
      <c r="A3414" s="107">
        <v>1626168.0</v>
      </c>
      <c r="B3414" s="108" t="s">
        <v>193</v>
      </c>
      <c r="C3414" s="108" t="s">
        <v>842</v>
      </c>
      <c r="D3414" s="112" t="s">
        <v>177</v>
      </c>
      <c r="E3414" s="112">
        <v>1272.6</v>
      </c>
      <c r="F3414" s="111" t="str">
        <f>DataPull!D3414</f>
        <v/>
      </c>
      <c r="G3414" s="94" t="str">
        <f t="shared" si="2"/>
        <v/>
      </c>
      <c r="H3414" s="94" t="str">
        <f t="shared" si="3"/>
        <v/>
      </c>
      <c r="I3414" s="94" t="str">
        <f t="shared" ref="I3414:J3414" si="3415">if(G3414 = "", , -G3414)</f>
        <v/>
      </c>
      <c r="J3414" s="94" t="str">
        <f t="shared" si="3415"/>
        <v/>
      </c>
      <c r="K3414" s="100"/>
      <c r="M3414" s="100"/>
      <c r="N3414" s="100"/>
      <c r="O3414" s="100"/>
    </row>
    <row r="3415">
      <c r="A3415" s="107">
        <v>1626168.0</v>
      </c>
      <c r="B3415" s="108" t="s">
        <v>243</v>
      </c>
      <c r="C3415" s="108" t="s">
        <v>842</v>
      </c>
      <c r="D3415" s="112" t="s">
        <v>177</v>
      </c>
      <c r="E3415" s="112">
        <v>358.8</v>
      </c>
      <c r="F3415" s="111" t="str">
        <f>DataPull!D3415</f>
        <v/>
      </c>
      <c r="G3415" s="94" t="str">
        <f t="shared" si="2"/>
        <v/>
      </c>
      <c r="H3415" s="94" t="str">
        <f t="shared" si="3"/>
        <v/>
      </c>
      <c r="I3415" s="94" t="str">
        <f t="shared" ref="I3415:J3415" si="3416">if(G3415 = "", , -G3415)</f>
        <v/>
      </c>
      <c r="J3415" s="94" t="str">
        <f t="shared" si="3416"/>
        <v/>
      </c>
      <c r="K3415" s="100"/>
      <c r="M3415" s="100"/>
      <c r="N3415" s="100"/>
      <c r="O3415" s="100"/>
      <c r="P3415" s="100"/>
    </row>
    <row r="3416">
      <c r="A3416" s="107">
        <v>1626168.0</v>
      </c>
      <c r="B3416" s="108" t="s">
        <v>215</v>
      </c>
      <c r="C3416" s="108" t="s">
        <v>842</v>
      </c>
      <c r="D3416" s="112" t="s">
        <v>177</v>
      </c>
      <c r="E3416" s="112">
        <v>1537.5</v>
      </c>
      <c r="F3416" s="111" t="str">
        <f>DataPull!D3416</f>
        <v/>
      </c>
      <c r="G3416" s="94" t="str">
        <f t="shared" si="2"/>
        <v/>
      </c>
      <c r="H3416" s="94" t="str">
        <f t="shared" si="3"/>
        <v/>
      </c>
      <c r="I3416" s="94" t="str">
        <f t="shared" ref="I3416:J3416" si="3417">if(G3416 = "", , -G3416)</f>
        <v/>
      </c>
      <c r="J3416" s="94" t="str">
        <f t="shared" si="3417"/>
        <v/>
      </c>
      <c r="K3416" s="100"/>
      <c r="L3416" s="100"/>
      <c r="M3416" s="100"/>
      <c r="N3416" s="100"/>
      <c r="O3416" s="100"/>
      <c r="P3416" s="100"/>
    </row>
    <row r="3417">
      <c r="A3417" s="107">
        <v>1626168.0</v>
      </c>
      <c r="B3417" s="108" t="s">
        <v>244</v>
      </c>
      <c r="C3417" s="108" t="s">
        <v>842</v>
      </c>
      <c r="D3417" s="112" t="s">
        <v>177</v>
      </c>
      <c r="E3417" s="112">
        <v>1250.6</v>
      </c>
      <c r="F3417" s="111" t="str">
        <f>DataPull!D3417</f>
        <v/>
      </c>
      <c r="G3417" s="94" t="str">
        <f t="shared" si="2"/>
        <v/>
      </c>
      <c r="H3417" s="94" t="str">
        <f t="shared" si="3"/>
        <v/>
      </c>
      <c r="I3417" s="94" t="str">
        <f t="shared" ref="I3417:J3417" si="3418">if(G3417 = "", , -G3417)</f>
        <v/>
      </c>
      <c r="J3417" s="94" t="str">
        <f t="shared" si="3418"/>
        <v/>
      </c>
      <c r="K3417" s="100"/>
      <c r="M3417" s="100"/>
      <c r="N3417" s="100"/>
      <c r="O3417" s="100"/>
      <c r="P3417" s="100"/>
    </row>
    <row r="3418">
      <c r="A3418" s="107">
        <v>1626168.0</v>
      </c>
      <c r="B3418" s="108" t="s">
        <v>245</v>
      </c>
      <c r="C3418" s="108" t="s">
        <v>842</v>
      </c>
      <c r="D3418" s="112" t="s">
        <v>176</v>
      </c>
      <c r="E3418" s="112">
        <v>1160.0</v>
      </c>
      <c r="F3418" s="111" t="str">
        <f>DataPull!D3418</f>
        <v/>
      </c>
      <c r="G3418" s="94" t="str">
        <f t="shared" si="2"/>
        <v/>
      </c>
      <c r="H3418" s="94" t="str">
        <f t="shared" si="3"/>
        <v/>
      </c>
      <c r="I3418" s="94" t="str">
        <f t="shared" ref="I3418:J3418" si="3419">if(G3418 = "", , -G3418)</f>
        <v/>
      </c>
      <c r="J3418" s="94" t="str">
        <f t="shared" si="3419"/>
        <v/>
      </c>
      <c r="K3418" s="100"/>
      <c r="M3418" s="100"/>
      <c r="N3418" s="100"/>
      <c r="O3418" s="100"/>
      <c r="P3418" s="100"/>
    </row>
    <row r="3419">
      <c r="A3419" s="107">
        <v>1626168.0</v>
      </c>
      <c r="B3419" s="108" t="s">
        <v>246</v>
      </c>
      <c r="C3419" s="108" t="s">
        <v>842</v>
      </c>
      <c r="D3419" s="112" t="s">
        <v>177</v>
      </c>
      <c r="E3419" s="112">
        <v>1352.4</v>
      </c>
      <c r="F3419" s="111" t="str">
        <f>DataPull!D3419</f>
        <v/>
      </c>
      <c r="G3419" s="94" t="str">
        <f t="shared" si="2"/>
        <v/>
      </c>
      <c r="H3419" s="94" t="str">
        <f t="shared" si="3"/>
        <v/>
      </c>
      <c r="I3419" s="94" t="str">
        <f t="shared" ref="I3419:J3419" si="3420">if(G3419 = "", , -G3419)</f>
        <v/>
      </c>
      <c r="J3419" s="94" t="str">
        <f t="shared" si="3420"/>
        <v/>
      </c>
      <c r="K3419" s="100"/>
      <c r="L3419" s="100"/>
      <c r="N3419" s="100"/>
      <c r="O3419" s="100"/>
      <c r="P3419" s="100"/>
    </row>
    <row r="3420">
      <c r="A3420" s="107">
        <v>1626169.0</v>
      </c>
      <c r="B3420" s="108" t="s">
        <v>92</v>
      </c>
      <c r="C3420" s="108" t="s">
        <v>843</v>
      </c>
      <c r="D3420" s="112" t="s">
        <v>176</v>
      </c>
      <c r="E3420" s="112">
        <v>1686.3</v>
      </c>
      <c r="F3420" s="111" t="str">
        <f>DataPull!D3420</f>
        <v/>
      </c>
      <c r="G3420" s="94" t="str">
        <f t="shared" si="2"/>
        <v/>
      </c>
      <c r="H3420" s="94" t="str">
        <f t="shared" si="3"/>
        <v/>
      </c>
      <c r="I3420" s="94" t="str">
        <f t="shared" ref="I3420:J3420" si="3421">if(G3420 = "", , -G3420)</f>
        <v/>
      </c>
      <c r="J3420" s="94" t="str">
        <f t="shared" si="3421"/>
        <v/>
      </c>
      <c r="K3420" s="100"/>
      <c r="M3420" s="100"/>
      <c r="N3420" s="100"/>
      <c r="O3420" s="100"/>
      <c r="P3420" s="100"/>
    </row>
    <row r="3421">
      <c r="A3421" s="107">
        <v>1626169.0</v>
      </c>
      <c r="B3421" s="108" t="s">
        <v>190</v>
      </c>
      <c r="C3421" s="108" t="s">
        <v>843</v>
      </c>
      <c r="D3421" s="112" t="s">
        <v>177</v>
      </c>
      <c r="E3421" s="112">
        <v>1370.6</v>
      </c>
      <c r="F3421" s="111" t="str">
        <f>DataPull!D3421</f>
        <v/>
      </c>
      <c r="G3421" s="94" t="str">
        <f t="shared" si="2"/>
        <v/>
      </c>
      <c r="H3421" s="94" t="str">
        <f t="shared" si="3"/>
        <v/>
      </c>
      <c r="I3421" s="94" t="str">
        <f t="shared" ref="I3421:J3421" si="3422">if(G3421 = "", , -G3421)</f>
        <v/>
      </c>
      <c r="J3421" s="94" t="str">
        <f t="shared" si="3422"/>
        <v/>
      </c>
      <c r="K3421" s="100"/>
      <c r="L3421" s="100"/>
      <c r="M3421" s="100"/>
      <c r="N3421" s="100"/>
      <c r="O3421" s="100"/>
      <c r="P3421" s="100"/>
    </row>
    <row r="3422">
      <c r="A3422" s="107">
        <v>1626169.0</v>
      </c>
      <c r="B3422" s="108" t="s">
        <v>191</v>
      </c>
      <c r="C3422" s="108" t="s">
        <v>843</v>
      </c>
      <c r="D3422" s="112" t="s">
        <v>176</v>
      </c>
      <c r="E3422" s="112">
        <v>1890.6</v>
      </c>
      <c r="F3422" s="111" t="str">
        <f>DataPull!D3422</f>
        <v/>
      </c>
      <c r="G3422" s="94" t="str">
        <f t="shared" si="2"/>
        <v/>
      </c>
      <c r="H3422" s="94" t="str">
        <f t="shared" si="3"/>
        <v/>
      </c>
      <c r="I3422" s="94" t="str">
        <f t="shared" ref="I3422:J3422" si="3423">if(G3422 = "", , -G3422)</f>
        <v/>
      </c>
      <c r="J3422" s="94" t="str">
        <f t="shared" si="3423"/>
        <v/>
      </c>
      <c r="K3422" s="100"/>
      <c r="M3422" s="100"/>
      <c r="N3422" s="100"/>
      <c r="O3422" s="100"/>
      <c r="P3422" s="100"/>
    </row>
    <row r="3423">
      <c r="A3423" s="107">
        <v>1626169.0</v>
      </c>
      <c r="B3423" s="108" t="s">
        <v>192</v>
      </c>
      <c r="C3423" s="108" t="s">
        <v>843</v>
      </c>
      <c r="D3423" s="112" t="s">
        <v>177</v>
      </c>
      <c r="E3423" s="112">
        <v>1207.8</v>
      </c>
      <c r="F3423" s="111" t="str">
        <f>DataPull!D3423</f>
        <v/>
      </c>
      <c r="G3423" s="94" t="str">
        <f t="shared" si="2"/>
        <v/>
      </c>
      <c r="H3423" s="94" t="str">
        <f t="shared" si="3"/>
        <v/>
      </c>
      <c r="I3423" s="94" t="str">
        <f t="shared" ref="I3423:J3423" si="3424">if(G3423 = "", , -G3423)</f>
        <v/>
      </c>
      <c r="J3423" s="94" t="str">
        <f t="shared" si="3424"/>
        <v/>
      </c>
      <c r="K3423" s="100"/>
      <c r="M3423" s="100"/>
      <c r="N3423" s="100"/>
      <c r="O3423" s="100"/>
      <c r="P3423" s="100"/>
    </row>
    <row r="3424">
      <c r="A3424" s="107">
        <v>1626169.0</v>
      </c>
      <c r="B3424" s="108" t="s">
        <v>193</v>
      </c>
      <c r="C3424" s="108" t="s">
        <v>843</v>
      </c>
      <c r="D3424" s="112" t="s">
        <v>187</v>
      </c>
      <c r="E3424" s="112">
        <v>150.0</v>
      </c>
      <c r="F3424" s="111" t="str">
        <f>DataPull!D3424</f>
        <v/>
      </c>
      <c r="G3424" s="94" t="str">
        <f t="shared" si="2"/>
        <v/>
      </c>
      <c r="H3424" s="94" t="str">
        <f t="shared" si="3"/>
        <v/>
      </c>
      <c r="I3424" s="94" t="str">
        <f t="shared" ref="I3424:J3424" si="3425">if(G3424 = "", , -G3424)</f>
        <v/>
      </c>
      <c r="J3424" s="94" t="str">
        <f t="shared" si="3425"/>
        <v/>
      </c>
      <c r="K3424" s="100"/>
      <c r="M3424" s="100"/>
      <c r="N3424" s="100"/>
      <c r="O3424" s="100"/>
      <c r="P3424" s="100"/>
    </row>
    <row r="3425">
      <c r="A3425" s="107">
        <v>1626169.0</v>
      </c>
      <c r="B3425" s="108" t="s">
        <v>243</v>
      </c>
      <c r="C3425" s="108" t="s">
        <v>843</v>
      </c>
      <c r="D3425" s="112" t="s">
        <v>177</v>
      </c>
      <c r="E3425" s="112">
        <v>1006.5</v>
      </c>
      <c r="F3425" s="111" t="str">
        <f>DataPull!D3425</f>
        <v/>
      </c>
      <c r="G3425" s="94" t="str">
        <f t="shared" si="2"/>
        <v/>
      </c>
      <c r="H3425" s="94" t="str">
        <f t="shared" si="3"/>
        <v/>
      </c>
      <c r="I3425" s="94" t="str">
        <f t="shared" ref="I3425:J3425" si="3426">if(G3425 = "", , -G3425)</f>
        <v/>
      </c>
      <c r="J3425" s="94" t="str">
        <f t="shared" si="3426"/>
        <v/>
      </c>
      <c r="K3425" s="100"/>
      <c r="M3425" s="100"/>
      <c r="N3425" s="100"/>
      <c r="O3425" s="100"/>
      <c r="P3425" s="100"/>
    </row>
    <row r="3426">
      <c r="A3426" s="107">
        <v>1626169.0</v>
      </c>
      <c r="B3426" s="108" t="s">
        <v>215</v>
      </c>
      <c r="C3426" s="108" t="s">
        <v>843</v>
      </c>
      <c r="D3426" s="112" t="s">
        <v>176</v>
      </c>
      <c r="E3426" s="112">
        <v>1094.4</v>
      </c>
      <c r="F3426" s="111" t="str">
        <f>DataPull!D3426</f>
        <v/>
      </c>
      <c r="G3426" s="94" t="str">
        <f t="shared" si="2"/>
        <v/>
      </c>
      <c r="H3426" s="94" t="str">
        <f t="shared" si="3"/>
        <v/>
      </c>
      <c r="I3426" s="94" t="str">
        <f t="shared" ref="I3426:J3426" si="3427">if(G3426 = "", , -G3426)</f>
        <v/>
      </c>
      <c r="J3426" s="94" t="str">
        <f t="shared" si="3427"/>
        <v/>
      </c>
      <c r="K3426" s="100"/>
      <c r="M3426" s="100"/>
      <c r="N3426" s="100"/>
      <c r="O3426" s="100"/>
      <c r="P3426" s="100"/>
    </row>
    <row r="3427">
      <c r="A3427" s="107">
        <v>1626169.0</v>
      </c>
      <c r="B3427" s="108" t="s">
        <v>244</v>
      </c>
      <c r="C3427" s="108" t="s">
        <v>843</v>
      </c>
      <c r="D3427" s="112" t="s">
        <v>177</v>
      </c>
      <c r="E3427" s="112">
        <v>468.0</v>
      </c>
      <c r="F3427" s="111" t="str">
        <f>DataPull!D3427</f>
        <v/>
      </c>
      <c r="G3427" s="94" t="str">
        <f t="shared" si="2"/>
        <v/>
      </c>
      <c r="H3427" s="94" t="str">
        <f t="shared" si="3"/>
        <v/>
      </c>
      <c r="I3427" s="94" t="str">
        <f t="shared" ref="I3427:J3427" si="3428">if(G3427 = "", , -G3427)</f>
        <v/>
      </c>
      <c r="J3427" s="94" t="str">
        <f t="shared" si="3428"/>
        <v/>
      </c>
      <c r="K3427" s="100"/>
      <c r="M3427" s="100"/>
      <c r="N3427" s="100"/>
      <c r="O3427" s="100"/>
      <c r="P3427" s="100"/>
    </row>
    <row r="3428">
      <c r="A3428" s="107">
        <v>1626170.0</v>
      </c>
      <c r="B3428" s="108" t="s">
        <v>92</v>
      </c>
      <c r="C3428" s="108" t="s">
        <v>844</v>
      </c>
      <c r="D3428" s="112" t="s">
        <v>177</v>
      </c>
      <c r="E3428" s="112">
        <v>1261.6</v>
      </c>
      <c r="F3428" s="111" t="str">
        <f>DataPull!D3428</f>
        <v/>
      </c>
      <c r="G3428" s="94" t="str">
        <f t="shared" si="2"/>
        <v/>
      </c>
      <c r="H3428" s="94" t="str">
        <f t="shared" si="3"/>
        <v/>
      </c>
      <c r="I3428" s="94" t="str">
        <f t="shared" ref="I3428:J3428" si="3429">if(G3428 = "", , -G3428)</f>
        <v/>
      </c>
      <c r="J3428" s="94" t="str">
        <f t="shared" si="3429"/>
        <v/>
      </c>
      <c r="K3428" s="100"/>
      <c r="L3428" s="100"/>
      <c r="M3428" s="100"/>
      <c r="N3428" s="100"/>
      <c r="O3428" s="100"/>
      <c r="P3428" s="100"/>
    </row>
    <row r="3429">
      <c r="A3429" s="107">
        <v>1626170.0</v>
      </c>
      <c r="B3429" s="108" t="s">
        <v>190</v>
      </c>
      <c r="C3429" s="108" t="s">
        <v>844</v>
      </c>
      <c r="D3429" s="112" t="s">
        <v>177</v>
      </c>
      <c r="E3429" s="112">
        <v>1026.9</v>
      </c>
      <c r="F3429" s="111" t="str">
        <f>DataPull!D3429</f>
        <v/>
      </c>
      <c r="G3429" s="94" t="str">
        <f t="shared" si="2"/>
        <v/>
      </c>
      <c r="H3429" s="94" t="str">
        <f t="shared" si="3"/>
        <v/>
      </c>
      <c r="I3429" s="94" t="str">
        <f t="shared" ref="I3429:J3429" si="3430">if(G3429 = "", , -G3429)</f>
        <v/>
      </c>
      <c r="J3429" s="94" t="str">
        <f t="shared" si="3430"/>
        <v/>
      </c>
      <c r="K3429" s="100"/>
      <c r="M3429" s="100"/>
      <c r="N3429" s="100"/>
      <c r="O3429" s="100"/>
      <c r="P3429" s="100"/>
    </row>
    <row r="3430">
      <c r="A3430" s="107">
        <v>1626170.0</v>
      </c>
      <c r="B3430" s="108" t="s">
        <v>191</v>
      </c>
      <c r="C3430" s="108" t="s">
        <v>844</v>
      </c>
      <c r="D3430" s="112" t="s">
        <v>176</v>
      </c>
      <c r="E3430" s="112">
        <v>1687.2</v>
      </c>
      <c r="F3430" s="111" t="str">
        <f>DataPull!D3430</f>
        <v/>
      </c>
      <c r="G3430" s="94" t="str">
        <f t="shared" si="2"/>
        <v/>
      </c>
      <c r="H3430" s="94" t="str">
        <f t="shared" si="3"/>
        <v/>
      </c>
      <c r="I3430" s="94" t="str">
        <f t="shared" ref="I3430:J3430" si="3431">if(G3430 = "", , -G3430)</f>
        <v/>
      </c>
      <c r="J3430" s="94" t="str">
        <f t="shared" si="3431"/>
        <v/>
      </c>
      <c r="K3430" s="100"/>
      <c r="M3430" s="100"/>
      <c r="N3430" s="100"/>
      <c r="O3430" s="100"/>
      <c r="P3430" s="100"/>
    </row>
    <row r="3431">
      <c r="A3431" s="107">
        <v>1626170.0</v>
      </c>
      <c r="B3431" s="108" t="s">
        <v>192</v>
      </c>
      <c r="C3431" s="108" t="s">
        <v>844</v>
      </c>
      <c r="D3431" s="112" t="s">
        <v>177</v>
      </c>
      <c r="E3431" s="112">
        <v>936.0</v>
      </c>
      <c r="F3431" s="111" t="str">
        <f>DataPull!D3431</f>
        <v/>
      </c>
      <c r="G3431" s="94" t="str">
        <f t="shared" si="2"/>
        <v/>
      </c>
      <c r="H3431" s="94" t="str">
        <f t="shared" si="3"/>
        <v/>
      </c>
      <c r="I3431" s="94" t="str">
        <f t="shared" ref="I3431:J3431" si="3432">if(G3431 = "", , -G3431)</f>
        <v/>
      </c>
      <c r="J3431" s="94" t="str">
        <f t="shared" si="3432"/>
        <v/>
      </c>
      <c r="K3431" s="100"/>
      <c r="M3431" s="100"/>
      <c r="N3431" s="100"/>
      <c r="O3431" s="100"/>
      <c r="P3431" s="100"/>
    </row>
    <row r="3432">
      <c r="A3432" s="107">
        <v>1626170.0</v>
      </c>
      <c r="B3432" s="108" t="s">
        <v>193</v>
      </c>
      <c r="C3432" s="108" t="s">
        <v>844</v>
      </c>
      <c r="D3432" s="112" t="s">
        <v>181</v>
      </c>
      <c r="E3432" s="112">
        <v>80.4</v>
      </c>
      <c r="F3432" s="111" t="str">
        <f>DataPull!D3432</f>
        <v/>
      </c>
      <c r="G3432" s="94" t="str">
        <f t="shared" si="2"/>
        <v/>
      </c>
      <c r="H3432" s="94" t="str">
        <f t="shared" si="3"/>
        <v/>
      </c>
      <c r="I3432" s="94" t="str">
        <f t="shared" ref="I3432:J3432" si="3433">if(G3432 = "", , -G3432)</f>
        <v/>
      </c>
      <c r="J3432" s="94" t="str">
        <f t="shared" si="3433"/>
        <v/>
      </c>
      <c r="K3432" s="100"/>
      <c r="L3432" s="100"/>
      <c r="M3432" s="100"/>
      <c r="N3432" s="100"/>
      <c r="O3432" s="100"/>
      <c r="P3432" s="100"/>
    </row>
    <row r="3433">
      <c r="A3433" s="107">
        <v>1626171.0</v>
      </c>
      <c r="B3433" s="108" t="s">
        <v>92</v>
      </c>
      <c r="C3433" s="108" t="s">
        <v>845</v>
      </c>
      <c r="D3433" s="112" t="s">
        <v>177</v>
      </c>
      <c r="E3433" s="112">
        <v>1103.6</v>
      </c>
      <c r="F3433" s="111" t="str">
        <f>DataPull!D3433</f>
        <v/>
      </c>
      <c r="G3433" s="94" t="str">
        <f t="shared" si="2"/>
        <v/>
      </c>
      <c r="H3433" s="94" t="str">
        <f t="shared" si="3"/>
        <v/>
      </c>
      <c r="I3433" s="94" t="str">
        <f t="shared" ref="I3433:J3433" si="3434">if(G3433 = "", , -G3433)</f>
        <v/>
      </c>
      <c r="J3433" s="94" t="str">
        <f t="shared" si="3434"/>
        <v/>
      </c>
      <c r="K3433" s="100"/>
      <c r="M3433" s="100"/>
      <c r="N3433" s="100"/>
      <c r="O3433" s="100"/>
      <c r="P3433" s="100"/>
    </row>
    <row r="3434">
      <c r="A3434" s="107">
        <v>1626171.0</v>
      </c>
      <c r="B3434" s="108" t="s">
        <v>190</v>
      </c>
      <c r="C3434" s="108" t="s">
        <v>845</v>
      </c>
      <c r="D3434" s="112" t="s">
        <v>177</v>
      </c>
      <c r="E3434" s="112">
        <v>998.4</v>
      </c>
      <c r="F3434" s="111" t="str">
        <f>DataPull!D3434</f>
        <v/>
      </c>
      <c r="G3434" s="94" t="str">
        <f t="shared" si="2"/>
        <v/>
      </c>
      <c r="H3434" s="94" t="str">
        <f t="shared" si="3"/>
        <v/>
      </c>
      <c r="I3434" s="94" t="str">
        <f t="shared" ref="I3434:J3434" si="3435">if(G3434 = "", , -G3434)</f>
        <v/>
      </c>
      <c r="J3434" s="94" t="str">
        <f t="shared" si="3435"/>
        <v/>
      </c>
      <c r="K3434" s="100"/>
      <c r="M3434" s="100"/>
      <c r="N3434" s="100"/>
      <c r="O3434" s="100"/>
      <c r="P3434" s="100"/>
    </row>
    <row r="3435">
      <c r="A3435" s="107">
        <v>1626171.0</v>
      </c>
      <c r="B3435" s="108" t="s">
        <v>191</v>
      </c>
      <c r="C3435" s="108" t="s">
        <v>845</v>
      </c>
      <c r="D3435" s="112" t="s">
        <v>176</v>
      </c>
      <c r="E3435" s="112">
        <v>1642.5</v>
      </c>
      <c r="F3435" s="111" t="str">
        <f>DataPull!D3435</f>
        <v/>
      </c>
      <c r="G3435" s="94" t="str">
        <f t="shared" si="2"/>
        <v/>
      </c>
      <c r="H3435" s="94" t="str">
        <f t="shared" si="3"/>
        <v/>
      </c>
      <c r="I3435" s="94" t="str">
        <f t="shared" ref="I3435:J3435" si="3436">if(G3435 = "", , -G3435)</f>
        <v/>
      </c>
      <c r="J3435" s="94" t="str">
        <f t="shared" si="3436"/>
        <v/>
      </c>
      <c r="K3435" s="100"/>
      <c r="M3435" s="100"/>
      <c r="N3435" s="100"/>
      <c r="O3435" s="100"/>
      <c r="P3435" s="100"/>
    </row>
    <row r="3436">
      <c r="A3436" s="107">
        <v>1626171.0</v>
      </c>
      <c r="B3436" s="108" t="s">
        <v>192</v>
      </c>
      <c r="C3436" s="108" t="s">
        <v>845</v>
      </c>
      <c r="D3436" s="112" t="s">
        <v>178</v>
      </c>
      <c r="E3436" s="112">
        <v>1300.0</v>
      </c>
      <c r="F3436" s="111" t="str">
        <f>DataPull!D3436</f>
        <v/>
      </c>
      <c r="G3436" s="94" t="str">
        <f t="shared" si="2"/>
        <v/>
      </c>
      <c r="H3436" s="94" t="str">
        <f t="shared" si="3"/>
        <v/>
      </c>
      <c r="I3436" s="94" t="str">
        <f t="shared" ref="I3436:J3436" si="3437">if(G3436 = "", , -G3436)</f>
        <v/>
      </c>
      <c r="J3436" s="94" t="str">
        <f t="shared" si="3437"/>
        <v/>
      </c>
      <c r="K3436" s="100"/>
      <c r="M3436" s="100"/>
      <c r="N3436" s="100"/>
      <c r="O3436" s="100"/>
      <c r="P3436" s="100"/>
    </row>
    <row r="3437">
      <c r="A3437" s="107">
        <v>1626171.0</v>
      </c>
      <c r="B3437" s="108" t="s">
        <v>193</v>
      </c>
      <c r="C3437" s="108" t="s">
        <v>845</v>
      </c>
      <c r="D3437" s="112" t="s">
        <v>176</v>
      </c>
      <c r="E3437" s="112">
        <v>1392.6</v>
      </c>
      <c r="F3437" s="111" t="str">
        <f>DataPull!D3437</f>
        <v/>
      </c>
      <c r="G3437" s="94" t="str">
        <f t="shared" si="2"/>
        <v/>
      </c>
      <c r="H3437" s="94" t="str">
        <f t="shared" si="3"/>
        <v/>
      </c>
      <c r="I3437" s="94" t="str">
        <f t="shared" ref="I3437:J3437" si="3438">if(G3437 = "", , -G3437)</f>
        <v/>
      </c>
      <c r="J3437" s="94" t="str">
        <f t="shared" si="3438"/>
        <v/>
      </c>
      <c r="K3437" s="100"/>
      <c r="L3437" s="100"/>
      <c r="N3437" s="100"/>
      <c r="O3437" s="100"/>
      <c r="P3437" s="100"/>
    </row>
    <row r="3438">
      <c r="A3438" s="107">
        <v>1626171.0</v>
      </c>
      <c r="B3438" s="108" t="s">
        <v>243</v>
      </c>
      <c r="C3438" s="108" t="s">
        <v>845</v>
      </c>
      <c r="D3438" s="112" t="s">
        <v>176</v>
      </c>
      <c r="E3438" s="112">
        <v>1372.8</v>
      </c>
      <c r="F3438" s="111" t="str">
        <f>DataPull!D3438</f>
        <v/>
      </c>
      <c r="G3438" s="94" t="str">
        <f t="shared" si="2"/>
        <v/>
      </c>
      <c r="H3438" s="94" t="str">
        <f t="shared" si="3"/>
        <v/>
      </c>
      <c r="I3438" s="94" t="str">
        <f t="shared" ref="I3438:J3438" si="3439">if(G3438 = "", , -G3438)</f>
        <v/>
      </c>
      <c r="J3438" s="94" t="str">
        <f t="shared" si="3439"/>
        <v/>
      </c>
      <c r="K3438" s="100"/>
      <c r="M3438" s="100"/>
      <c r="N3438" s="100"/>
      <c r="O3438" s="100"/>
      <c r="P3438" s="100"/>
    </row>
    <row r="3439">
      <c r="A3439" s="107">
        <v>1626171.0</v>
      </c>
      <c r="B3439" s="108" t="s">
        <v>215</v>
      </c>
      <c r="C3439" s="108" t="s">
        <v>845</v>
      </c>
      <c r="D3439" s="112" t="s">
        <v>178</v>
      </c>
      <c r="E3439" s="112">
        <v>2030.4</v>
      </c>
      <c r="F3439" s="111" t="str">
        <f>DataPull!D3439</f>
        <v/>
      </c>
      <c r="G3439" s="94" t="str">
        <f t="shared" si="2"/>
        <v/>
      </c>
      <c r="H3439" s="94" t="str">
        <f t="shared" si="3"/>
        <v/>
      </c>
      <c r="I3439" s="94" t="str">
        <f t="shared" ref="I3439:J3439" si="3440">if(G3439 = "", , -G3439)</f>
        <v/>
      </c>
      <c r="J3439" s="94" t="str">
        <f t="shared" si="3440"/>
        <v/>
      </c>
      <c r="K3439" s="100"/>
      <c r="L3439" s="100"/>
      <c r="N3439" s="100"/>
      <c r="O3439" s="100"/>
      <c r="P3439" s="100"/>
    </row>
    <row r="3440">
      <c r="A3440" s="107">
        <v>1626171.0</v>
      </c>
      <c r="B3440" s="108" t="s">
        <v>244</v>
      </c>
      <c r="C3440" s="108" t="s">
        <v>845</v>
      </c>
      <c r="D3440" s="112" t="s">
        <v>184</v>
      </c>
      <c r="E3440" s="112">
        <v>1820.0</v>
      </c>
      <c r="F3440" s="111" t="str">
        <f>DataPull!D3440</f>
        <v/>
      </c>
      <c r="G3440" s="94" t="str">
        <f t="shared" si="2"/>
        <v/>
      </c>
      <c r="H3440" s="94" t="str">
        <f t="shared" si="3"/>
        <v/>
      </c>
      <c r="I3440" s="94" t="str">
        <f t="shared" ref="I3440:J3440" si="3441">if(G3440 = "", , -G3440)</f>
        <v/>
      </c>
      <c r="J3440" s="94" t="str">
        <f t="shared" si="3441"/>
        <v/>
      </c>
      <c r="K3440" s="100"/>
      <c r="M3440" s="100"/>
      <c r="N3440" s="100"/>
      <c r="O3440" s="100"/>
      <c r="P3440" s="100"/>
    </row>
    <row r="3441">
      <c r="A3441" s="107">
        <v>1626171.0</v>
      </c>
      <c r="B3441" s="108" t="s">
        <v>245</v>
      </c>
      <c r="C3441" s="108" t="s">
        <v>845</v>
      </c>
      <c r="D3441" s="112" t="s">
        <v>176</v>
      </c>
      <c r="E3441" s="112">
        <v>2009.0</v>
      </c>
      <c r="F3441" s="111" t="str">
        <f>DataPull!D3441</f>
        <v/>
      </c>
      <c r="G3441" s="94" t="str">
        <f t="shared" si="2"/>
        <v/>
      </c>
      <c r="H3441" s="94" t="str">
        <f t="shared" si="3"/>
        <v/>
      </c>
      <c r="I3441" s="94" t="str">
        <f t="shared" ref="I3441:J3441" si="3442">if(G3441 = "", , -G3441)</f>
        <v/>
      </c>
      <c r="J3441" s="94" t="str">
        <f t="shared" si="3442"/>
        <v/>
      </c>
      <c r="K3441" s="100"/>
      <c r="L3441" s="100"/>
      <c r="M3441" s="100"/>
      <c r="N3441" s="100"/>
      <c r="O3441" s="100"/>
      <c r="P3441" s="100"/>
    </row>
    <row r="3442">
      <c r="A3442" s="107">
        <v>1626171.0</v>
      </c>
      <c r="B3442" s="108" t="s">
        <v>246</v>
      </c>
      <c r="C3442" s="108" t="s">
        <v>845</v>
      </c>
      <c r="D3442" s="112" t="s">
        <v>176</v>
      </c>
      <c r="E3442" s="112">
        <v>1244.6</v>
      </c>
      <c r="F3442" s="111" t="str">
        <f>DataPull!D3442</f>
        <v/>
      </c>
      <c r="G3442" s="94" t="str">
        <f t="shared" si="2"/>
        <v/>
      </c>
      <c r="H3442" s="94" t="str">
        <f t="shared" si="3"/>
        <v/>
      </c>
      <c r="I3442" s="94" t="str">
        <f t="shared" ref="I3442:J3442" si="3443">if(G3442 = "", , -G3442)</f>
        <v/>
      </c>
      <c r="J3442" s="94" t="str">
        <f t="shared" si="3443"/>
        <v/>
      </c>
      <c r="K3442" s="100"/>
      <c r="M3442" s="100"/>
      <c r="N3442" s="100"/>
      <c r="O3442" s="100"/>
      <c r="P3442" s="100"/>
    </row>
    <row r="3443">
      <c r="A3443" s="114">
        <v>1626171.0</v>
      </c>
      <c r="B3443" s="113" t="s">
        <v>247</v>
      </c>
      <c r="C3443" s="113" t="s">
        <v>845</v>
      </c>
      <c r="D3443" s="112" t="s">
        <v>176</v>
      </c>
      <c r="E3443" s="112">
        <v>1621.4</v>
      </c>
      <c r="F3443" s="111" t="str">
        <f>DataPull!D3443</f>
        <v/>
      </c>
      <c r="G3443" s="94" t="str">
        <f t="shared" si="2"/>
        <v/>
      </c>
      <c r="H3443" s="94" t="str">
        <f t="shared" si="3"/>
        <v/>
      </c>
      <c r="I3443" s="94" t="str">
        <f t="shared" ref="I3443:J3443" si="3444">if(G3443 = "", , -G3443)</f>
        <v/>
      </c>
      <c r="J3443" s="94" t="str">
        <f t="shared" si="3444"/>
        <v/>
      </c>
      <c r="K3443" s="100"/>
      <c r="M3443" s="100"/>
      <c r="N3443" s="100"/>
      <c r="O3443" s="100"/>
      <c r="P3443" s="100"/>
    </row>
    <row r="3444">
      <c r="A3444" s="107">
        <v>1626172.0</v>
      </c>
      <c r="B3444" s="108" t="s">
        <v>92</v>
      </c>
      <c r="C3444" s="108" t="s">
        <v>846</v>
      </c>
      <c r="D3444" s="112" t="s">
        <v>181</v>
      </c>
      <c r="E3444" s="112">
        <v>20.5</v>
      </c>
      <c r="F3444" s="111" t="str">
        <f>DataPull!D3444</f>
        <v/>
      </c>
      <c r="G3444" s="94" t="str">
        <f t="shared" si="2"/>
        <v/>
      </c>
      <c r="H3444" s="94" t="str">
        <f t="shared" si="3"/>
        <v/>
      </c>
      <c r="I3444" s="94" t="str">
        <f t="shared" ref="I3444:J3444" si="3445">if(G3444 = "", , -G3444)</f>
        <v/>
      </c>
      <c r="J3444" s="94" t="str">
        <f t="shared" si="3445"/>
        <v/>
      </c>
      <c r="K3444" s="100"/>
      <c r="M3444" s="100"/>
      <c r="N3444" s="100"/>
      <c r="O3444" s="100"/>
      <c r="P3444" s="100"/>
    </row>
    <row r="3445">
      <c r="A3445" s="107">
        <v>1626172.0</v>
      </c>
      <c r="B3445" s="108" t="s">
        <v>190</v>
      </c>
      <c r="C3445" s="108" t="s">
        <v>846</v>
      </c>
      <c r="D3445" s="112" t="s">
        <v>187</v>
      </c>
      <c r="E3445" s="112">
        <v>445.2</v>
      </c>
      <c r="F3445" s="111" t="str">
        <f>DataPull!D3445</f>
        <v/>
      </c>
      <c r="G3445" s="94" t="str">
        <f t="shared" si="2"/>
        <v/>
      </c>
      <c r="H3445" s="94" t="str">
        <f t="shared" si="3"/>
        <v/>
      </c>
      <c r="I3445" s="94" t="str">
        <f t="shared" ref="I3445:J3445" si="3446">if(G3445 = "", , -G3445)</f>
        <v/>
      </c>
      <c r="J3445" s="94" t="str">
        <f t="shared" si="3446"/>
        <v/>
      </c>
      <c r="K3445" s="100"/>
      <c r="M3445" s="100"/>
      <c r="N3445" s="100"/>
      <c r="O3445" s="100"/>
      <c r="P3445" s="100"/>
    </row>
    <row r="3446">
      <c r="A3446" s="107">
        <v>1626172.0</v>
      </c>
      <c r="B3446" s="108" t="s">
        <v>191</v>
      </c>
      <c r="C3446" s="108" t="s">
        <v>846</v>
      </c>
      <c r="D3446" s="112" t="s">
        <v>177</v>
      </c>
      <c r="E3446" s="112">
        <v>910.8</v>
      </c>
      <c r="F3446" s="111" t="str">
        <f>DataPull!D3446</f>
        <v/>
      </c>
      <c r="G3446" s="94" t="str">
        <f t="shared" si="2"/>
        <v/>
      </c>
      <c r="H3446" s="94" t="str">
        <f t="shared" si="3"/>
        <v/>
      </c>
      <c r="I3446" s="94" t="str">
        <f t="shared" ref="I3446:J3446" si="3447">if(G3446 = "", , -G3446)</f>
        <v/>
      </c>
      <c r="J3446" s="94" t="str">
        <f t="shared" si="3447"/>
        <v/>
      </c>
      <c r="K3446" s="100"/>
      <c r="M3446" s="100"/>
      <c r="N3446" s="100"/>
      <c r="O3446" s="100"/>
      <c r="P3446" s="100"/>
    </row>
    <row r="3447">
      <c r="A3447" s="107">
        <v>1626172.0</v>
      </c>
      <c r="B3447" s="108" t="s">
        <v>192</v>
      </c>
      <c r="C3447" s="108" t="s">
        <v>846</v>
      </c>
      <c r="D3447" s="112" t="s">
        <v>176</v>
      </c>
      <c r="E3447" s="112">
        <v>1480.0</v>
      </c>
      <c r="F3447" s="111" t="str">
        <f>DataPull!D3447</f>
        <v/>
      </c>
      <c r="G3447" s="94" t="str">
        <f t="shared" si="2"/>
        <v/>
      </c>
      <c r="H3447" s="94" t="str">
        <f t="shared" si="3"/>
        <v/>
      </c>
      <c r="I3447" s="94" t="str">
        <f t="shared" ref="I3447:J3447" si="3448">if(G3447 = "", , -G3447)</f>
        <v/>
      </c>
      <c r="J3447" s="94" t="str">
        <f t="shared" si="3448"/>
        <v/>
      </c>
      <c r="K3447" s="100"/>
      <c r="N3447" s="100"/>
      <c r="O3447" s="100"/>
    </row>
    <row r="3448">
      <c r="A3448" s="107">
        <v>1626172.0</v>
      </c>
      <c r="B3448" s="108" t="s">
        <v>193</v>
      </c>
      <c r="C3448" s="108" t="s">
        <v>846</v>
      </c>
      <c r="D3448" s="112" t="s">
        <v>187</v>
      </c>
      <c r="E3448" s="112">
        <v>262.0</v>
      </c>
      <c r="F3448" s="111" t="str">
        <f>DataPull!D3448</f>
        <v/>
      </c>
      <c r="G3448" s="94" t="str">
        <f t="shared" si="2"/>
        <v/>
      </c>
      <c r="H3448" s="94" t="str">
        <f t="shared" si="3"/>
        <v/>
      </c>
      <c r="I3448" s="94" t="str">
        <f t="shared" ref="I3448:J3448" si="3449">if(G3448 = "", , -G3448)</f>
        <v/>
      </c>
      <c r="J3448" s="94" t="str">
        <f t="shared" si="3449"/>
        <v/>
      </c>
      <c r="K3448" s="100"/>
      <c r="L3448" s="100"/>
      <c r="N3448" s="100"/>
      <c r="O3448" s="100"/>
      <c r="P3448" s="100"/>
    </row>
    <row r="3449">
      <c r="A3449" s="107">
        <v>1626172.0</v>
      </c>
      <c r="B3449" s="108" t="s">
        <v>243</v>
      </c>
      <c r="C3449" s="108" t="s">
        <v>846</v>
      </c>
      <c r="D3449" s="112" t="s">
        <v>177</v>
      </c>
      <c r="E3449" s="112">
        <v>1159.0</v>
      </c>
      <c r="F3449" s="111" t="str">
        <f>DataPull!D3449</f>
        <v/>
      </c>
      <c r="G3449" s="94" t="str">
        <f t="shared" si="2"/>
        <v/>
      </c>
      <c r="H3449" s="94" t="str">
        <f t="shared" si="3"/>
        <v/>
      </c>
      <c r="I3449" s="94" t="str">
        <f t="shared" ref="I3449:J3449" si="3450">if(G3449 = "", , -G3449)</f>
        <v/>
      </c>
      <c r="J3449" s="94" t="str">
        <f t="shared" si="3450"/>
        <v/>
      </c>
      <c r="K3449" s="100"/>
      <c r="L3449" s="100"/>
      <c r="N3449" s="100"/>
      <c r="O3449" s="100"/>
      <c r="P3449" s="100"/>
    </row>
    <row r="3450">
      <c r="A3450" s="107">
        <v>1626172.0</v>
      </c>
      <c r="B3450" s="108" t="s">
        <v>215</v>
      </c>
      <c r="C3450" s="108" t="s">
        <v>846</v>
      </c>
      <c r="D3450" s="112" t="s">
        <v>176</v>
      </c>
      <c r="E3450" s="112">
        <v>1730.2</v>
      </c>
      <c r="F3450" s="111" t="str">
        <f>DataPull!D3450</f>
        <v/>
      </c>
      <c r="G3450" s="94" t="str">
        <f t="shared" si="2"/>
        <v/>
      </c>
      <c r="H3450" s="94" t="str">
        <f t="shared" si="3"/>
        <v/>
      </c>
      <c r="I3450" s="94" t="str">
        <f t="shared" ref="I3450:J3450" si="3451">if(G3450 = "", , -G3450)</f>
        <v/>
      </c>
      <c r="J3450" s="94" t="str">
        <f t="shared" si="3451"/>
        <v/>
      </c>
      <c r="K3450" s="100"/>
      <c r="L3450" s="100"/>
      <c r="M3450" s="100"/>
      <c r="N3450" s="100"/>
      <c r="O3450" s="100"/>
    </row>
    <row r="3451">
      <c r="A3451" s="107">
        <v>1626172.0</v>
      </c>
      <c r="B3451" s="108" t="s">
        <v>244</v>
      </c>
      <c r="C3451" s="108" t="s">
        <v>846</v>
      </c>
      <c r="D3451" s="112" t="s">
        <v>176</v>
      </c>
      <c r="E3451" s="112">
        <v>1959.8</v>
      </c>
      <c r="F3451" s="111" t="str">
        <f>DataPull!D3451</f>
        <v/>
      </c>
      <c r="G3451" s="94" t="str">
        <f t="shared" si="2"/>
        <v/>
      </c>
      <c r="H3451" s="94" t="str">
        <f t="shared" si="3"/>
        <v/>
      </c>
      <c r="I3451" s="94" t="str">
        <f t="shared" ref="I3451:J3451" si="3452">if(G3451 = "", , -G3451)</f>
        <v/>
      </c>
      <c r="J3451" s="94" t="str">
        <f t="shared" si="3452"/>
        <v/>
      </c>
      <c r="K3451" s="100"/>
      <c r="L3451" s="100"/>
      <c r="M3451" s="100"/>
      <c r="N3451" s="100"/>
      <c r="O3451" s="100"/>
      <c r="P3451" s="100"/>
    </row>
    <row r="3452">
      <c r="A3452" s="107">
        <v>1626172.0</v>
      </c>
      <c r="B3452" s="108" t="s">
        <v>245</v>
      </c>
      <c r="C3452" s="108" t="s">
        <v>846</v>
      </c>
      <c r="D3452" s="112" t="s">
        <v>177</v>
      </c>
      <c r="E3452" s="112">
        <v>1191.4</v>
      </c>
      <c r="F3452" s="111" t="str">
        <f>DataPull!D3452</f>
        <v/>
      </c>
      <c r="G3452" s="94" t="str">
        <f t="shared" si="2"/>
        <v/>
      </c>
      <c r="H3452" s="94" t="str">
        <f t="shared" si="3"/>
        <v/>
      </c>
      <c r="I3452" s="94" t="str">
        <f t="shared" ref="I3452:J3452" si="3453">if(G3452 = "", , -G3452)</f>
        <v/>
      </c>
      <c r="J3452" s="94" t="str">
        <f t="shared" si="3453"/>
        <v/>
      </c>
      <c r="K3452" s="100"/>
      <c r="L3452" s="100"/>
      <c r="N3452" s="100"/>
      <c r="O3452" s="100"/>
      <c r="P3452" s="100"/>
    </row>
    <row r="3453">
      <c r="A3453" s="107">
        <v>1626172.0</v>
      </c>
      <c r="B3453" s="108" t="s">
        <v>246</v>
      </c>
      <c r="C3453" s="108" t="s">
        <v>846</v>
      </c>
      <c r="D3453" s="112" t="s">
        <v>177</v>
      </c>
      <c r="E3453" s="112">
        <v>1140.0</v>
      </c>
      <c r="F3453" s="111" t="str">
        <f>DataPull!D3453</f>
        <v/>
      </c>
      <c r="G3453" s="94" t="str">
        <f t="shared" si="2"/>
        <v/>
      </c>
      <c r="H3453" s="94" t="str">
        <f t="shared" si="3"/>
        <v/>
      </c>
      <c r="I3453" s="94" t="str">
        <f t="shared" ref="I3453:J3453" si="3454">if(G3453 = "", , -G3453)</f>
        <v/>
      </c>
      <c r="J3453" s="94" t="str">
        <f t="shared" si="3454"/>
        <v/>
      </c>
      <c r="K3453" s="100"/>
      <c r="M3453" s="100"/>
      <c r="N3453" s="100"/>
      <c r="O3453" s="100"/>
      <c r="P3453" s="100"/>
    </row>
    <row r="3454">
      <c r="A3454" s="114">
        <v>1626172.0</v>
      </c>
      <c r="B3454" s="113" t="s">
        <v>247</v>
      </c>
      <c r="C3454" s="113" t="s">
        <v>846</v>
      </c>
      <c r="D3454" s="112" t="s">
        <v>177</v>
      </c>
      <c r="E3454" s="112">
        <v>306.6</v>
      </c>
      <c r="F3454" s="111" t="str">
        <f>DataPull!D3454</f>
        <v/>
      </c>
      <c r="G3454" s="94" t="str">
        <f t="shared" si="2"/>
        <v/>
      </c>
      <c r="H3454" s="94" t="str">
        <f t="shared" si="3"/>
        <v/>
      </c>
      <c r="I3454" s="94" t="str">
        <f t="shared" ref="I3454:J3454" si="3455">if(G3454 = "", , -G3454)</f>
        <v/>
      </c>
      <c r="J3454" s="94" t="str">
        <f t="shared" si="3455"/>
        <v/>
      </c>
      <c r="K3454" s="100"/>
      <c r="L3454" s="100"/>
      <c r="N3454" s="100"/>
      <c r="O3454" s="100"/>
      <c r="P3454" s="100"/>
    </row>
    <row r="3455">
      <c r="A3455" s="107">
        <v>1626173.0</v>
      </c>
      <c r="B3455" s="108" t="s">
        <v>92</v>
      </c>
      <c r="C3455" s="108" t="s">
        <v>847</v>
      </c>
      <c r="D3455" s="112" t="s">
        <v>177</v>
      </c>
      <c r="E3455" s="112">
        <v>1001.0</v>
      </c>
      <c r="F3455" s="111" t="str">
        <f>DataPull!D3455</f>
        <v/>
      </c>
      <c r="G3455" s="94" t="str">
        <f t="shared" si="2"/>
        <v/>
      </c>
      <c r="H3455" s="94" t="str">
        <f t="shared" si="3"/>
        <v/>
      </c>
      <c r="I3455" s="94" t="str">
        <f t="shared" ref="I3455:J3455" si="3456">if(G3455 = "", , -G3455)</f>
        <v/>
      </c>
      <c r="J3455" s="94" t="str">
        <f t="shared" si="3456"/>
        <v/>
      </c>
      <c r="K3455" s="100"/>
      <c r="M3455" s="100"/>
      <c r="N3455" s="100"/>
      <c r="O3455" s="100"/>
      <c r="P3455" s="100"/>
    </row>
    <row r="3456">
      <c r="A3456" s="107">
        <v>1626173.0</v>
      </c>
      <c r="B3456" s="108" t="s">
        <v>190</v>
      </c>
      <c r="C3456" s="108" t="s">
        <v>847</v>
      </c>
      <c r="D3456" s="112" t="s">
        <v>177</v>
      </c>
      <c r="E3456" s="112">
        <v>459.2</v>
      </c>
      <c r="F3456" s="111" t="str">
        <f>DataPull!D3456</f>
        <v/>
      </c>
      <c r="G3456" s="94" t="str">
        <f t="shared" si="2"/>
        <v/>
      </c>
      <c r="H3456" s="94" t="str">
        <f t="shared" si="3"/>
        <v/>
      </c>
      <c r="I3456" s="94" t="str">
        <f t="shared" ref="I3456:J3456" si="3457">if(G3456 = "", , -G3456)</f>
        <v/>
      </c>
      <c r="J3456" s="94" t="str">
        <f t="shared" si="3457"/>
        <v/>
      </c>
      <c r="K3456" s="100"/>
      <c r="L3456" s="100"/>
      <c r="M3456" s="100"/>
      <c r="N3456" s="100"/>
      <c r="O3456" s="100"/>
      <c r="P3456" s="100"/>
    </row>
    <row r="3457">
      <c r="A3457" s="107">
        <v>1626173.0</v>
      </c>
      <c r="B3457" s="108" t="s">
        <v>191</v>
      </c>
      <c r="C3457" s="108" t="s">
        <v>847</v>
      </c>
      <c r="D3457" s="112" t="s">
        <v>187</v>
      </c>
      <c r="E3457" s="112">
        <v>212.8</v>
      </c>
      <c r="F3457" s="111" t="str">
        <f>DataPull!D3457</f>
        <v/>
      </c>
      <c r="G3457" s="94" t="str">
        <f t="shared" si="2"/>
        <v/>
      </c>
      <c r="H3457" s="94" t="str">
        <f t="shared" si="3"/>
        <v/>
      </c>
      <c r="I3457" s="94" t="str">
        <f t="shared" ref="I3457:J3457" si="3458">if(G3457 = "", , -G3457)</f>
        <v/>
      </c>
      <c r="J3457" s="94" t="str">
        <f t="shared" si="3458"/>
        <v/>
      </c>
      <c r="K3457" s="100"/>
      <c r="M3457" s="100"/>
      <c r="N3457" s="100"/>
      <c r="O3457" s="100"/>
      <c r="P3457" s="100"/>
    </row>
    <row r="3458">
      <c r="A3458" s="107">
        <v>1626174.0</v>
      </c>
      <c r="B3458" s="108" t="s">
        <v>92</v>
      </c>
      <c r="C3458" s="108" t="s">
        <v>848</v>
      </c>
      <c r="D3458" s="112" t="s">
        <v>187</v>
      </c>
      <c r="E3458" s="112">
        <v>144.5</v>
      </c>
      <c r="F3458" s="111" t="str">
        <f>DataPull!D3458</f>
        <v/>
      </c>
      <c r="G3458" s="94" t="str">
        <f t="shared" si="2"/>
        <v/>
      </c>
      <c r="H3458" s="94" t="str">
        <f t="shared" si="3"/>
        <v/>
      </c>
      <c r="I3458" s="94" t="str">
        <f t="shared" ref="I3458:J3458" si="3459">if(G3458 = "", , -G3458)</f>
        <v/>
      </c>
      <c r="J3458" s="94" t="str">
        <f t="shared" si="3459"/>
        <v/>
      </c>
      <c r="K3458" s="100"/>
      <c r="L3458" s="100"/>
      <c r="N3458" s="100"/>
      <c r="O3458" s="100"/>
      <c r="P3458" s="100"/>
    </row>
    <row r="3459">
      <c r="A3459" s="107">
        <v>1626174.0</v>
      </c>
      <c r="B3459" s="108" t="s">
        <v>190</v>
      </c>
      <c r="C3459" s="108" t="s">
        <v>848</v>
      </c>
      <c r="D3459" s="112" t="s">
        <v>187</v>
      </c>
      <c r="E3459" s="112">
        <v>106.6</v>
      </c>
      <c r="F3459" s="111" t="str">
        <f>DataPull!D3459</f>
        <v/>
      </c>
      <c r="G3459" s="94" t="str">
        <f t="shared" si="2"/>
        <v/>
      </c>
      <c r="H3459" s="94" t="str">
        <f t="shared" si="3"/>
        <v/>
      </c>
      <c r="I3459" s="94" t="str">
        <f t="shared" ref="I3459:J3459" si="3460">if(G3459 = "", , -G3459)</f>
        <v/>
      </c>
      <c r="J3459" s="94" t="str">
        <f t="shared" si="3460"/>
        <v/>
      </c>
      <c r="K3459" s="100"/>
      <c r="M3459" s="100"/>
      <c r="N3459" s="100"/>
      <c r="O3459" s="100"/>
      <c r="P3459" s="100"/>
    </row>
    <row r="3460">
      <c r="A3460" s="107">
        <v>1626174.0</v>
      </c>
      <c r="B3460" s="108" t="s">
        <v>192</v>
      </c>
      <c r="C3460" s="108" t="s">
        <v>848</v>
      </c>
      <c r="D3460" s="112" t="s">
        <v>187</v>
      </c>
      <c r="E3460" s="112">
        <v>249.9</v>
      </c>
      <c r="F3460" s="111" t="str">
        <f>DataPull!D3460</f>
        <v/>
      </c>
      <c r="G3460" s="94" t="str">
        <f t="shared" si="2"/>
        <v/>
      </c>
      <c r="H3460" s="94" t="str">
        <f t="shared" si="3"/>
        <v/>
      </c>
      <c r="I3460" s="94" t="str">
        <f t="shared" ref="I3460:J3460" si="3461">if(G3460 = "", , -G3460)</f>
        <v/>
      </c>
      <c r="J3460" s="94" t="str">
        <f t="shared" si="3461"/>
        <v/>
      </c>
      <c r="K3460" s="100"/>
      <c r="M3460" s="100"/>
      <c r="N3460" s="100"/>
      <c r="O3460" s="100"/>
      <c r="P3460" s="100"/>
    </row>
    <row r="3461">
      <c r="A3461" s="107">
        <v>1626174.0</v>
      </c>
      <c r="B3461" s="108" t="s">
        <v>193</v>
      </c>
      <c r="C3461" s="108" t="s">
        <v>848</v>
      </c>
      <c r="D3461" s="112" t="s">
        <v>176</v>
      </c>
      <c r="E3461" s="112">
        <v>1326.8</v>
      </c>
      <c r="F3461" s="111" t="str">
        <f>DataPull!D3461</f>
        <v/>
      </c>
      <c r="G3461" s="94" t="str">
        <f t="shared" si="2"/>
        <v/>
      </c>
      <c r="H3461" s="94" t="str">
        <f t="shared" si="3"/>
        <v/>
      </c>
      <c r="I3461" s="94" t="str">
        <f t="shared" ref="I3461:J3461" si="3462">if(G3461 = "", , -G3461)</f>
        <v/>
      </c>
      <c r="J3461" s="94" t="str">
        <f t="shared" si="3462"/>
        <v/>
      </c>
      <c r="K3461" s="100"/>
      <c r="M3461" s="100"/>
      <c r="N3461" s="100"/>
      <c r="O3461" s="100"/>
      <c r="P3461" s="100"/>
    </row>
    <row r="3462">
      <c r="A3462" s="107">
        <v>1626174.0</v>
      </c>
      <c r="B3462" s="108" t="s">
        <v>243</v>
      </c>
      <c r="C3462" s="108" t="s">
        <v>848</v>
      </c>
      <c r="D3462" s="112" t="s">
        <v>184</v>
      </c>
      <c r="E3462" s="112">
        <v>1324.3</v>
      </c>
      <c r="F3462" s="111" t="str">
        <f>DataPull!D3462</f>
        <v/>
      </c>
      <c r="G3462" s="94" t="str">
        <f t="shared" si="2"/>
        <v/>
      </c>
      <c r="H3462" s="94" t="str">
        <f t="shared" si="3"/>
        <v/>
      </c>
      <c r="I3462" s="94" t="str">
        <f t="shared" ref="I3462:J3462" si="3463">if(G3462 = "", , -G3462)</f>
        <v/>
      </c>
      <c r="J3462" s="94" t="str">
        <f t="shared" si="3463"/>
        <v/>
      </c>
      <c r="K3462" s="100"/>
      <c r="L3462" s="100"/>
      <c r="M3462" s="100"/>
      <c r="N3462" s="100"/>
      <c r="O3462" s="100"/>
      <c r="P3462" s="100"/>
    </row>
    <row r="3463">
      <c r="A3463" s="107">
        <v>1626174.0</v>
      </c>
      <c r="B3463" s="108" t="s">
        <v>215</v>
      </c>
      <c r="C3463" s="108" t="s">
        <v>848</v>
      </c>
      <c r="D3463" s="112" t="s">
        <v>178</v>
      </c>
      <c r="E3463" s="112">
        <v>2094.4</v>
      </c>
      <c r="F3463" s="111" t="str">
        <f>DataPull!D3463</f>
        <v/>
      </c>
      <c r="G3463" s="94" t="str">
        <f t="shared" si="2"/>
        <v/>
      </c>
      <c r="H3463" s="94" t="str">
        <f t="shared" si="3"/>
        <v/>
      </c>
      <c r="I3463" s="94" t="str">
        <f t="shared" ref="I3463:J3463" si="3464">if(G3463 = "", , -G3463)</f>
        <v/>
      </c>
      <c r="J3463" s="94" t="str">
        <f t="shared" si="3464"/>
        <v/>
      </c>
      <c r="K3463" s="100"/>
      <c r="M3463" s="100"/>
      <c r="N3463" s="100"/>
      <c r="O3463" s="100"/>
      <c r="P3463" s="100"/>
    </row>
    <row r="3464">
      <c r="A3464" s="107">
        <v>1626174.0</v>
      </c>
      <c r="B3464" s="108" t="s">
        <v>244</v>
      </c>
      <c r="C3464" s="108" t="s">
        <v>848</v>
      </c>
      <c r="D3464" s="112" t="s">
        <v>176</v>
      </c>
      <c r="E3464" s="112">
        <v>1735.3</v>
      </c>
      <c r="F3464" s="111" t="str">
        <f>DataPull!D3464</f>
        <v/>
      </c>
      <c r="G3464" s="94" t="str">
        <f t="shared" si="2"/>
        <v/>
      </c>
      <c r="H3464" s="94" t="str">
        <f t="shared" si="3"/>
        <v/>
      </c>
      <c r="I3464" s="94" t="str">
        <f t="shared" ref="I3464:J3464" si="3465">if(G3464 = "", , -G3464)</f>
        <v/>
      </c>
      <c r="J3464" s="94" t="str">
        <f t="shared" si="3465"/>
        <v/>
      </c>
      <c r="K3464" s="100"/>
      <c r="M3464" s="100"/>
      <c r="N3464" s="100"/>
      <c r="O3464" s="100"/>
      <c r="P3464" s="100"/>
    </row>
    <row r="3465">
      <c r="A3465" s="107">
        <v>1626174.0</v>
      </c>
      <c r="B3465" s="108" t="s">
        <v>245</v>
      </c>
      <c r="C3465" s="108" t="s">
        <v>848</v>
      </c>
      <c r="D3465" s="112" t="s">
        <v>177</v>
      </c>
      <c r="E3465" s="112">
        <v>870.0</v>
      </c>
      <c r="F3465" s="111" t="str">
        <f>DataPull!D3465</f>
        <v/>
      </c>
      <c r="G3465" s="94" t="str">
        <f t="shared" si="2"/>
        <v/>
      </c>
      <c r="H3465" s="94" t="str">
        <f t="shared" si="3"/>
        <v/>
      </c>
      <c r="I3465" s="94" t="str">
        <f t="shared" ref="I3465:J3465" si="3466">if(G3465 = "", , -G3465)</f>
        <v/>
      </c>
      <c r="J3465" s="94" t="str">
        <f t="shared" si="3466"/>
        <v/>
      </c>
      <c r="K3465" s="100"/>
      <c r="M3465" s="100"/>
      <c r="N3465" s="100"/>
      <c r="O3465" s="100"/>
      <c r="P3465" s="100"/>
    </row>
    <row r="3466">
      <c r="A3466" s="107">
        <v>1626175.0</v>
      </c>
      <c r="B3466" s="108" t="s">
        <v>92</v>
      </c>
      <c r="C3466" s="108" t="s">
        <v>849</v>
      </c>
      <c r="D3466" s="112" t="s">
        <v>187</v>
      </c>
      <c r="E3466" s="112">
        <v>57.6</v>
      </c>
      <c r="F3466" s="111" t="str">
        <f>DataPull!D3466</f>
        <v/>
      </c>
      <c r="G3466" s="94" t="str">
        <f t="shared" si="2"/>
        <v/>
      </c>
      <c r="H3466" s="94" t="str">
        <f t="shared" si="3"/>
        <v/>
      </c>
      <c r="I3466" s="94" t="str">
        <f t="shared" ref="I3466:J3466" si="3467">if(G3466 = "", , -G3466)</f>
        <v/>
      </c>
      <c r="J3466" s="94" t="str">
        <f t="shared" si="3467"/>
        <v/>
      </c>
      <c r="K3466" s="100"/>
      <c r="M3466" s="100"/>
      <c r="N3466" s="100"/>
      <c r="O3466" s="100"/>
      <c r="P3466" s="100"/>
    </row>
    <row r="3467">
      <c r="A3467" s="107">
        <v>1626175.0</v>
      </c>
      <c r="B3467" s="108" t="s">
        <v>190</v>
      </c>
      <c r="C3467" s="108" t="s">
        <v>849</v>
      </c>
      <c r="D3467" s="112" t="s">
        <v>187</v>
      </c>
      <c r="E3467" s="112">
        <v>140.0</v>
      </c>
      <c r="F3467" s="111" t="str">
        <f>DataPull!D3467</f>
        <v/>
      </c>
      <c r="G3467" s="94" t="str">
        <f t="shared" si="2"/>
        <v/>
      </c>
      <c r="H3467" s="94" t="str">
        <f t="shared" si="3"/>
        <v/>
      </c>
      <c r="I3467" s="94" t="str">
        <f t="shared" ref="I3467:J3467" si="3468">if(G3467 = "", , -G3467)</f>
        <v/>
      </c>
      <c r="J3467" s="94" t="str">
        <f t="shared" si="3468"/>
        <v/>
      </c>
      <c r="K3467" s="100"/>
      <c r="M3467" s="100"/>
      <c r="N3467" s="100"/>
      <c r="O3467" s="100"/>
      <c r="P3467" s="100"/>
    </row>
    <row r="3468">
      <c r="A3468" s="107">
        <v>1626175.0</v>
      </c>
      <c r="B3468" s="108" t="s">
        <v>191</v>
      </c>
      <c r="C3468" s="108" t="s">
        <v>849</v>
      </c>
      <c r="D3468" s="112" t="s">
        <v>187</v>
      </c>
      <c r="E3468" s="112">
        <v>285.2</v>
      </c>
      <c r="F3468" s="111" t="str">
        <f>DataPull!D3468</f>
        <v/>
      </c>
      <c r="G3468" s="94" t="str">
        <f t="shared" si="2"/>
        <v/>
      </c>
      <c r="H3468" s="94" t="str">
        <f t="shared" si="3"/>
        <v/>
      </c>
      <c r="I3468" s="94" t="str">
        <f t="shared" ref="I3468:J3468" si="3469">if(G3468 = "", , -G3468)</f>
        <v/>
      </c>
      <c r="J3468" s="94" t="str">
        <f t="shared" si="3469"/>
        <v/>
      </c>
      <c r="K3468" s="100"/>
      <c r="M3468" s="100"/>
      <c r="N3468" s="100"/>
      <c r="O3468" s="100"/>
      <c r="P3468" s="100"/>
    </row>
    <row r="3469">
      <c r="A3469" s="107">
        <v>1626176.0</v>
      </c>
      <c r="B3469" s="108" t="s">
        <v>92</v>
      </c>
      <c r="C3469" s="108" t="s">
        <v>850</v>
      </c>
      <c r="D3469" s="112" t="s">
        <v>181</v>
      </c>
      <c r="E3469" s="112">
        <v>6.1</v>
      </c>
      <c r="F3469" s="111" t="str">
        <f>DataPull!D3469</f>
        <v/>
      </c>
      <c r="G3469" s="94" t="str">
        <f t="shared" si="2"/>
        <v/>
      </c>
      <c r="H3469" s="94" t="str">
        <f t="shared" si="3"/>
        <v/>
      </c>
      <c r="I3469" s="94" t="str">
        <f t="shared" ref="I3469:J3469" si="3470">if(G3469 = "", , -G3469)</f>
        <v/>
      </c>
      <c r="J3469" s="94" t="str">
        <f t="shared" si="3470"/>
        <v/>
      </c>
      <c r="K3469" s="100"/>
      <c r="M3469" s="100"/>
      <c r="N3469" s="100"/>
      <c r="O3469" s="100"/>
      <c r="P3469" s="100"/>
    </row>
    <row r="3470">
      <c r="A3470" s="107">
        <v>1626176.0</v>
      </c>
      <c r="B3470" s="108" t="s">
        <v>190</v>
      </c>
      <c r="C3470" s="108" t="s">
        <v>850</v>
      </c>
      <c r="D3470" s="112" t="s">
        <v>187</v>
      </c>
      <c r="E3470" s="112">
        <v>220.4</v>
      </c>
      <c r="F3470" s="111" t="str">
        <f>DataPull!D3470</f>
        <v/>
      </c>
      <c r="G3470" s="94" t="str">
        <f t="shared" si="2"/>
        <v/>
      </c>
      <c r="H3470" s="94" t="str">
        <f t="shared" si="3"/>
        <v/>
      </c>
      <c r="I3470" s="94" t="str">
        <f t="shared" ref="I3470:J3470" si="3471">if(G3470 = "", , -G3470)</f>
        <v/>
      </c>
      <c r="J3470" s="94" t="str">
        <f t="shared" si="3471"/>
        <v/>
      </c>
      <c r="K3470" s="100"/>
      <c r="M3470" s="100"/>
      <c r="N3470" s="100"/>
      <c r="O3470" s="100"/>
      <c r="P3470" s="100"/>
    </row>
    <row r="3471">
      <c r="A3471" s="107">
        <v>1626177.0</v>
      </c>
      <c r="B3471" s="108" t="s">
        <v>191</v>
      </c>
      <c r="C3471" s="108" t="s">
        <v>851</v>
      </c>
      <c r="D3471" s="112"/>
      <c r="E3471" s="112">
        <v>161.2</v>
      </c>
      <c r="F3471" s="111" t="str">
        <f>DataPull!D3471</f>
        <v/>
      </c>
      <c r="G3471" s="94" t="str">
        <f t="shared" si="2"/>
        <v/>
      </c>
      <c r="H3471" s="94" t="str">
        <f t="shared" si="3"/>
        <v/>
      </c>
      <c r="I3471" s="94" t="str">
        <f t="shared" ref="I3471:J3471" si="3472">if(G3471 = "", , -G3471)</f>
        <v/>
      </c>
      <c r="J3471" s="94" t="str">
        <f t="shared" si="3472"/>
        <v/>
      </c>
      <c r="K3471" s="100"/>
      <c r="M3471" s="100"/>
      <c r="N3471" s="100"/>
      <c r="O3471" s="100"/>
      <c r="P3471" s="100"/>
    </row>
    <row r="3472">
      <c r="A3472" s="107">
        <v>1626178.0</v>
      </c>
      <c r="B3472" s="108" t="s">
        <v>92</v>
      </c>
      <c r="C3472" s="108" t="s">
        <v>852</v>
      </c>
      <c r="D3472" s="112" t="s">
        <v>176</v>
      </c>
      <c r="E3472" s="112">
        <v>614.8</v>
      </c>
      <c r="F3472" s="111" t="str">
        <f>DataPull!D3472</f>
        <v/>
      </c>
      <c r="G3472" s="94" t="str">
        <f t="shared" si="2"/>
        <v/>
      </c>
      <c r="H3472" s="94" t="str">
        <f t="shared" si="3"/>
        <v/>
      </c>
      <c r="I3472" s="94" t="str">
        <f t="shared" ref="I3472:J3472" si="3473">if(G3472 = "", , -G3472)</f>
        <v/>
      </c>
      <c r="J3472" s="94" t="str">
        <f t="shared" si="3473"/>
        <v/>
      </c>
      <c r="K3472" s="100"/>
      <c r="M3472" s="100"/>
      <c r="N3472" s="100"/>
      <c r="O3472" s="100"/>
      <c r="P3472" s="100"/>
    </row>
    <row r="3473">
      <c r="A3473" s="107">
        <v>1626178.0</v>
      </c>
      <c r="B3473" s="108" t="s">
        <v>190</v>
      </c>
      <c r="C3473" s="108" t="s">
        <v>852</v>
      </c>
      <c r="D3473" s="112" t="s">
        <v>176</v>
      </c>
      <c r="E3473" s="112">
        <v>1762.8</v>
      </c>
      <c r="F3473" s="111" t="str">
        <f>DataPull!D3473</f>
        <v/>
      </c>
      <c r="G3473" s="94" t="str">
        <f t="shared" si="2"/>
        <v/>
      </c>
      <c r="H3473" s="94" t="str">
        <f t="shared" si="3"/>
        <v/>
      </c>
      <c r="I3473" s="94" t="str">
        <f t="shared" ref="I3473:J3473" si="3474">if(G3473 = "", , -G3473)</f>
        <v/>
      </c>
      <c r="J3473" s="94" t="str">
        <f t="shared" si="3474"/>
        <v/>
      </c>
      <c r="K3473" s="100"/>
      <c r="M3473" s="100"/>
      <c r="N3473" s="100"/>
      <c r="O3473" s="100"/>
      <c r="P3473" s="100"/>
    </row>
    <row r="3474">
      <c r="A3474" s="107">
        <v>1626178.0</v>
      </c>
      <c r="B3474" s="108" t="s">
        <v>191</v>
      </c>
      <c r="C3474" s="108" t="s">
        <v>852</v>
      </c>
      <c r="D3474" s="112" t="s">
        <v>178</v>
      </c>
      <c r="E3474" s="112">
        <v>1917.6</v>
      </c>
      <c r="F3474" s="111" t="str">
        <f>DataPull!D3474</f>
        <v/>
      </c>
      <c r="G3474" s="94" t="str">
        <f t="shared" si="2"/>
        <v/>
      </c>
      <c r="H3474" s="94" t="str">
        <f t="shared" si="3"/>
        <v/>
      </c>
      <c r="I3474" s="94" t="str">
        <f t="shared" ref="I3474:J3474" si="3475">if(G3474 = "", , -G3474)</f>
        <v/>
      </c>
      <c r="J3474" s="94" t="str">
        <f t="shared" si="3475"/>
        <v/>
      </c>
      <c r="K3474" s="100"/>
      <c r="M3474" s="100"/>
      <c r="N3474" s="100"/>
      <c r="O3474" s="100"/>
      <c r="P3474" s="100"/>
    </row>
    <row r="3475">
      <c r="A3475" s="107">
        <v>1626178.0</v>
      </c>
      <c r="B3475" s="108" t="s">
        <v>192</v>
      </c>
      <c r="C3475" s="108" t="s">
        <v>852</v>
      </c>
      <c r="D3475" s="112" t="s">
        <v>176</v>
      </c>
      <c r="E3475" s="112">
        <v>1233.1</v>
      </c>
      <c r="F3475" s="111" t="str">
        <f>DataPull!D3475</f>
        <v/>
      </c>
      <c r="G3475" s="94" t="str">
        <f t="shared" si="2"/>
        <v/>
      </c>
      <c r="H3475" s="94" t="str">
        <f t="shared" si="3"/>
        <v/>
      </c>
      <c r="I3475" s="94" t="str">
        <f t="shared" ref="I3475:J3475" si="3476">if(G3475 = "", , -G3475)</f>
        <v/>
      </c>
      <c r="J3475" s="94" t="str">
        <f t="shared" si="3476"/>
        <v/>
      </c>
      <c r="K3475" s="100"/>
      <c r="M3475" s="100"/>
      <c r="N3475" s="100"/>
      <c r="O3475" s="100"/>
      <c r="P3475" s="100"/>
    </row>
    <row r="3476">
      <c r="A3476" s="107">
        <v>1626178.0</v>
      </c>
      <c r="B3476" s="108" t="s">
        <v>193</v>
      </c>
      <c r="C3476" s="108" t="s">
        <v>852</v>
      </c>
      <c r="D3476" s="112" t="s">
        <v>177</v>
      </c>
      <c r="E3476" s="112">
        <v>1122.0</v>
      </c>
      <c r="F3476" s="111" t="str">
        <f>DataPull!D3476</f>
        <v/>
      </c>
      <c r="G3476" s="94" t="str">
        <f t="shared" si="2"/>
        <v/>
      </c>
      <c r="H3476" s="94" t="str">
        <f t="shared" si="3"/>
        <v/>
      </c>
      <c r="I3476" s="94" t="str">
        <f t="shared" ref="I3476:J3476" si="3477">if(G3476 = "", , -G3476)</f>
        <v/>
      </c>
      <c r="J3476" s="94" t="str">
        <f t="shared" si="3477"/>
        <v/>
      </c>
      <c r="K3476" s="100"/>
      <c r="M3476" s="100"/>
      <c r="N3476" s="100"/>
      <c r="O3476" s="100"/>
      <c r="P3476" s="100"/>
    </row>
    <row r="3477">
      <c r="A3477" s="107">
        <v>1626178.0</v>
      </c>
      <c r="B3477" s="108" t="s">
        <v>243</v>
      </c>
      <c r="C3477" s="108" t="s">
        <v>852</v>
      </c>
      <c r="D3477" s="112" t="s">
        <v>187</v>
      </c>
      <c r="E3477" s="112">
        <v>107.8</v>
      </c>
      <c r="F3477" s="111" t="str">
        <f>DataPull!D3477</f>
        <v/>
      </c>
      <c r="G3477" s="94" t="str">
        <f t="shared" si="2"/>
        <v/>
      </c>
      <c r="H3477" s="94" t="str">
        <f t="shared" si="3"/>
        <v/>
      </c>
      <c r="I3477" s="94" t="str">
        <f t="shared" ref="I3477:J3477" si="3478">if(G3477 = "", , -G3477)</f>
        <v/>
      </c>
      <c r="J3477" s="94" t="str">
        <f t="shared" si="3478"/>
        <v/>
      </c>
      <c r="K3477" s="100"/>
      <c r="M3477" s="100"/>
      <c r="N3477" s="100"/>
      <c r="O3477" s="100"/>
      <c r="P3477" s="100"/>
    </row>
    <row r="3478">
      <c r="A3478" s="107">
        <v>1626179.0</v>
      </c>
      <c r="B3478" s="108" t="s">
        <v>92</v>
      </c>
      <c r="C3478" s="108" t="s">
        <v>853</v>
      </c>
      <c r="D3478" s="112" t="s">
        <v>187</v>
      </c>
      <c r="E3478" s="112">
        <v>312.0</v>
      </c>
      <c r="F3478" s="111" t="str">
        <f>DataPull!D3478</f>
        <v/>
      </c>
      <c r="G3478" s="94" t="str">
        <f t="shared" si="2"/>
        <v/>
      </c>
      <c r="H3478" s="94" t="str">
        <f t="shared" si="3"/>
        <v/>
      </c>
      <c r="I3478" s="94" t="str">
        <f t="shared" ref="I3478:J3478" si="3479">if(G3478 = "", , -G3478)</f>
        <v/>
      </c>
      <c r="J3478" s="94" t="str">
        <f t="shared" si="3479"/>
        <v/>
      </c>
      <c r="K3478" s="100"/>
      <c r="M3478" s="100"/>
      <c r="N3478" s="100"/>
      <c r="O3478" s="100"/>
      <c r="P3478" s="100"/>
    </row>
    <row r="3479">
      <c r="A3479" s="107">
        <v>1626179.0</v>
      </c>
      <c r="B3479" s="108" t="s">
        <v>190</v>
      </c>
      <c r="C3479" s="108" t="s">
        <v>853</v>
      </c>
      <c r="D3479" s="112" t="s">
        <v>177</v>
      </c>
      <c r="E3479" s="112">
        <v>1265.4</v>
      </c>
      <c r="F3479" s="111" t="str">
        <f>DataPull!D3479</f>
        <v/>
      </c>
      <c r="G3479" s="94" t="str">
        <f t="shared" si="2"/>
        <v/>
      </c>
      <c r="H3479" s="94" t="str">
        <f t="shared" si="3"/>
        <v/>
      </c>
      <c r="I3479" s="94" t="str">
        <f t="shared" ref="I3479:J3479" si="3480">if(G3479 = "", , -G3479)</f>
        <v/>
      </c>
      <c r="J3479" s="94" t="str">
        <f t="shared" si="3480"/>
        <v/>
      </c>
      <c r="K3479" s="100"/>
      <c r="M3479" s="100"/>
      <c r="N3479" s="100"/>
      <c r="O3479" s="100"/>
      <c r="P3479" s="100"/>
    </row>
    <row r="3480">
      <c r="A3480" s="107">
        <v>1626179.0</v>
      </c>
      <c r="B3480" s="108" t="s">
        <v>191</v>
      </c>
      <c r="C3480" s="108" t="s">
        <v>853</v>
      </c>
      <c r="D3480" s="112" t="s">
        <v>176</v>
      </c>
      <c r="E3480" s="112">
        <v>2072.0</v>
      </c>
      <c r="F3480" s="111" t="str">
        <f>DataPull!D3480</f>
        <v/>
      </c>
      <c r="G3480" s="94" t="str">
        <f t="shared" si="2"/>
        <v/>
      </c>
      <c r="H3480" s="94" t="str">
        <f t="shared" si="3"/>
        <v/>
      </c>
      <c r="I3480" s="94" t="str">
        <f t="shared" ref="I3480:J3480" si="3481">if(G3480 = "", , -G3480)</f>
        <v/>
      </c>
      <c r="J3480" s="94" t="str">
        <f t="shared" si="3481"/>
        <v/>
      </c>
      <c r="K3480" s="100"/>
      <c r="M3480" s="100"/>
      <c r="N3480" s="100"/>
      <c r="O3480" s="100"/>
      <c r="P3480" s="100"/>
    </row>
    <row r="3481">
      <c r="A3481" s="107">
        <v>1626179.0</v>
      </c>
      <c r="B3481" s="108" t="s">
        <v>192</v>
      </c>
      <c r="C3481" s="108" t="s">
        <v>853</v>
      </c>
      <c r="D3481" s="112" t="s">
        <v>176</v>
      </c>
      <c r="E3481" s="112">
        <v>1793.3</v>
      </c>
      <c r="F3481" s="111" t="str">
        <f>DataPull!D3481</f>
        <v/>
      </c>
      <c r="G3481" s="94" t="str">
        <f t="shared" si="2"/>
        <v/>
      </c>
      <c r="H3481" s="94" t="str">
        <f t="shared" si="3"/>
        <v/>
      </c>
      <c r="I3481" s="94" t="str">
        <f t="shared" ref="I3481:J3481" si="3482">if(G3481 = "", , -G3481)</f>
        <v/>
      </c>
      <c r="J3481" s="94" t="str">
        <f t="shared" si="3482"/>
        <v/>
      </c>
      <c r="K3481" s="100"/>
      <c r="M3481" s="100"/>
      <c r="N3481" s="100"/>
      <c r="O3481" s="100"/>
      <c r="P3481" s="100"/>
    </row>
    <row r="3482">
      <c r="A3482" s="107">
        <v>1626179.0</v>
      </c>
      <c r="B3482" s="108" t="s">
        <v>193</v>
      </c>
      <c r="C3482" s="108" t="s">
        <v>853</v>
      </c>
      <c r="D3482" s="112" t="s">
        <v>178</v>
      </c>
      <c r="E3482" s="112">
        <v>2167.2</v>
      </c>
      <c r="F3482" s="111" t="str">
        <f>DataPull!D3482</f>
        <v/>
      </c>
      <c r="G3482" s="94" t="str">
        <f t="shared" si="2"/>
        <v/>
      </c>
      <c r="H3482" s="94" t="str">
        <f t="shared" si="3"/>
        <v/>
      </c>
      <c r="I3482" s="94" t="str">
        <f t="shared" ref="I3482:J3482" si="3483">if(G3482 = "", , -G3482)</f>
        <v/>
      </c>
      <c r="J3482" s="94" t="str">
        <f t="shared" si="3483"/>
        <v/>
      </c>
      <c r="K3482" s="100"/>
      <c r="M3482" s="100"/>
      <c r="N3482" s="100"/>
      <c r="O3482" s="100"/>
      <c r="P3482" s="100"/>
    </row>
    <row r="3483">
      <c r="A3483" s="107">
        <v>1626179.0</v>
      </c>
      <c r="B3483" s="108" t="s">
        <v>243</v>
      </c>
      <c r="C3483" s="108" t="s">
        <v>853</v>
      </c>
      <c r="D3483" s="112" t="s">
        <v>178</v>
      </c>
      <c r="E3483" s="112">
        <v>2380.5</v>
      </c>
      <c r="F3483" s="111" t="str">
        <f>DataPull!D3483</f>
        <v/>
      </c>
      <c r="G3483" s="94" t="str">
        <f t="shared" si="2"/>
        <v/>
      </c>
      <c r="H3483" s="94" t="str">
        <f t="shared" si="3"/>
        <v/>
      </c>
      <c r="I3483" s="94" t="str">
        <f t="shared" ref="I3483:J3483" si="3484">if(G3483 = "", , -G3483)</f>
        <v/>
      </c>
      <c r="J3483" s="94" t="str">
        <f t="shared" si="3484"/>
        <v/>
      </c>
      <c r="K3483" s="100"/>
      <c r="M3483" s="100"/>
      <c r="N3483" s="100"/>
      <c r="O3483" s="100"/>
    </row>
    <row r="3484">
      <c r="A3484" s="107">
        <v>1626179.0</v>
      </c>
      <c r="B3484" s="108" t="s">
        <v>215</v>
      </c>
      <c r="C3484" s="108" t="s">
        <v>853</v>
      </c>
      <c r="D3484" s="112" t="s">
        <v>178</v>
      </c>
      <c r="E3484" s="112">
        <v>2460.1</v>
      </c>
      <c r="F3484" s="111" t="str">
        <f>DataPull!D3484</f>
        <v/>
      </c>
      <c r="G3484" s="94" t="str">
        <f t="shared" si="2"/>
        <v/>
      </c>
      <c r="H3484" s="94" t="str">
        <f t="shared" si="3"/>
        <v/>
      </c>
      <c r="I3484" s="94" t="str">
        <f t="shared" ref="I3484:J3484" si="3485">if(G3484 = "", , -G3484)</f>
        <v/>
      </c>
      <c r="J3484" s="94" t="str">
        <f t="shared" si="3485"/>
        <v/>
      </c>
      <c r="K3484" s="100"/>
      <c r="L3484" s="100"/>
      <c r="M3484" s="100"/>
      <c r="N3484" s="100"/>
      <c r="O3484" s="100"/>
      <c r="P3484" s="100"/>
    </row>
    <row r="3485">
      <c r="A3485" s="107">
        <v>1626179.0</v>
      </c>
      <c r="B3485" s="108" t="s">
        <v>244</v>
      </c>
      <c r="C3485" s="108" t="s">
        <v>853</v>
      </c>
      <c r="D3485" s="112" t="s">
        <v>178</v>
      </c>
      <c r="E3485" s="112">
        <v>2223.9</v>
      </c>
      <c r="F3485" s="111" t="str">
        <f>DataPull!D3485</f>
        <v/>
      </c>
      <c r="G3485" s="94" t="str">
        <f t="shared" si="2"/>
        <v/>
      </c>
      <c r="H3485" s="94" t="str">
        <f t="shared" si="3"/>
        <v/>
      </c>
      <c r="I3485" s="94" t="str">
        <f t="shared" ref="I3485:J3485" si="3486">if(G3485 = "", , -G3485)</f>
        <v/>
      </c>
      <c r="J3485" s="94" t="str">
        <f t="shared" si="3486"/>
        <v/>
      </c>
      <c r="K3485" s="100"/>
      <c r="M3485" s="100"/>
      <c r="N3485" s="100"/>
      <c r="O3485" s="100"/>
      <c r="P3485" s="100"/>
    </row>
    <row r="3486">
      <c r="A3486" s="107">
        <v>1626179.0</v>
      </c>
      <c r="B3486" s="108" t="s">
        <v>245</v>
      </c>
      <c r="C3486" s="108" t="s">
        <v>853</v>
      </c>
      <c r="D3486" s="112" t="s">
        <v>178</v>
      </c>
      <c r="E3486" s="112">
        <v>2037.4</v>
      </c>
      <c r="F3486" s="111" t="str">
        <f>DataPull!D3486</f>
        <v/>
      </c>
      <c r="G3486" s="94" t="str">
        <f t="shared" si="2"/>
        <v/>
      </c>
      <c r="H3486" s="94" t="str">
        <f t="shared" si="3"/>
        <v/>
      </c>
      <c r="I3486" s="94" t="str">
        <f t="shared" ref="I3486:J3486" si="3487">if(G3486 = "", , -G3486)</f>
        <v/>
      </c>
      <c r="J3486" s="94" t="str">
        <f t="shared" si="3487"/>
        <v/>
      </c>
      <c r="K3486" s="100"/>
      <c r="L3486" s="100"/>
      <c r="N3486" s="100"/>
      <c r="O3486" s="100"/>
      <c r="P3486" s="100"/>
    </row>
    <row r="3487">
      <c r="A3487" s="107">
        <v>1626179.0</v>
      </c>
      <c r="B3487" s="108" t="s">
        <v>246</v>
      </c>
      <c r="C3487" s="108" t="s">
        <v>853</v>
      </c>
      <c r="D3487" s="112" t="s">
        <v>176</v>
      </c>
      <c r="E3487" s="112">
        <v>1657.6</v>
      </c>
      <c r="F3487" s="111" t="str">
        <f>DataPull!D3487</f>
        <v/>
      </c>
      <c r="G3487" s="94" t="str">
        <f t="shared" si="2"/>
        <v/>
      </c>
      <c r="H3487" s="94" t="str">
        <f t="shared" si="3"/>
        <v/>
      </c>
      <c r="I3487" s="94" t="str">
        <f t="shared" ref="I3487:J3487" si="3488">if(G3487 = "", , -G3487)</f>
        <v/>
      </c>
      <c r="J3487" s="94" t="str">
        <f t="shared" si="3488"/>
        <v/>
      </c>
      <c r="K3487" s="100"/>
      <c r="M3487" s="100"/>
      <c r="N3487" s="100"/>
      <c r="O3487" s="100"/>
      <c r="P3487" s="100"/>
    </row>
    <row r="3488">
      <c r="A3488" s="114">
        <v>1626179.0</v>
      </c>
      <c r="B3488" s="113" t="s">
        <v>247</v>
      </c>
      <c r="C3488" s="113" t="s">
        <v>853</v>
      </c>
      <c r="D3488" s="112"/>
      <c r="E3488" s="112"/>
      <c r="F3488" s="111" t="str">
        <f>DataPull!D3488</f>
        <v/>
      </c>
      <c r="G3488" s="94" t="str">
        <f t="shared" si="2"/>
        <v/>
      </c>
      <c r="H3488" s="94" t="str">
        <f t="shared" si="3"/>
        <v/>
      </c>
      <c r="I3488" s="94" t="str">
        <f t="shared" ref="I3488:J3488" si="3489">if(G3488 = "", , -G3488)</f>
        <v/>
      </c>
      <c r="J3488" s="94" t="str">
        <f t="shared" si="3489"/>
        <v/>
      </c>
      <c r="K3488" s="100"/>
      <c r="M3488" s="100"/>
      <c r="N3488" s="100"/>
      <c r="O3488" s="100"/>
      <c r="P3488" s="100"/>
    </row>
    <row r="3489">
      <c r="A3489" s="107">
        <v>1626181.0</v>
      </c>
      <c r="B3489" s="108" t="s">
        <v>92</v>
      </c>
      <c r="C3489" s="108" t="s">
        <v>854</v>
      </c>
      <c r="D3489" s="112" t="s">
        <v>177</v>
      </c>
      <c r="E3489" s="112">
        <v>725.2</v>
      </c>
      <c r="F3489" s="111" t="str">
        <f>DataPull!D3489</f>
        <v/>
      </c>
      <c r="G3489" s="94" t="str">
        <f t="shared" si="2"/>
        <v/>
      </c>
      <c r="H3489" s="94" t="str">
        <f t="shared" si="3"/>
        <v/>
      </c>
      <c r="I3489" s="94" t="str">
        <f t="shared" ref="I3489:J3489" si="3490">if(G3489 = "", , -G3489)</f>
        <v/>
      </c>
      <c r="J3489" s="94" t="str">
        <f t="shared" si="3490"/>
        <v/>
      </c>
      <c r="K3489" s="100"/>
      <c r="M3489" s="100"/>
      <c r="N3489" s="100"/>
      <c r="O3489" s="100"/>
      <c r="P3489" s="100"/>
    </row>
    <row r="3490">
      <c r="A3490" s="107">
        <v>1626181.0</v>
      </c>
      <c r="B3490" s="108" t="s">
        <v>190</v>
      </c>
      <c r="C3490" s="108" t="s">
        <v>854</v>
      </c>
      <c r="D3490" s="112" t="s">
        <v>177</v>
      </c>
      <c r="E3490" s="112">
        <v>1368.0</v>
      </c>
      <c r="F3490" s="111" t="str">
        <f>DataPull!D3490</f>
        <v/>
      </c>
      <c r="G3490" s="94" t="str">
        <f t="shared" si="2"/>
        <v/>
      </c>
      <c r="H3490" s="94" t="str">
        <f t="shared" si="3"/>
        <v/>
      </c>
      <c r="I3490" s="94" t="str">
        <f t="shared" ref="I3490:J3490" si="3491">if(G3490 = "", , -G3490)</f>
        <v/>
      </c>
      <c r="J3490" s="94" t="str">
        <f t="shared" si="3491"/>
        <v/>
      </c>
      <c r="K3490" s="100"/>
      <c r="L3490" s="100"/>
      <c r="N3490" s="100"/>
      <c r="O3490" s="100"/>
      <c r="P3490" s="100"/>
    </row>
    <row r="3491">
      <c r="A3491" s="107">
        <v>1626181.0</v>
      </c>
      <c r="B3491" s="108" t="s">
        <v>191</v>
      </c>
      <c r="C3491" s="108" t="s">
        <v>854</v>
      </c>
      <c r="D3491" s="112" t="s">
        <v>177</v>
      </c>
      <c r="E3491" s="112">
        <v>1064.0</v>
      </c>
      <c r="F3491" s="111" t="str">
        <f>DataPull!D3491</f>
        <v/>
      </c>
      <c r="G3491" s="94" t="str">
        <f t="shared" si="2"/>
        <v/>
      </c>
      <c r="H3491" s="94" t="str">
        <f t="shared" si="3"/>
        <v/>
      </c>
      <c r="I3491" s="94" t="str">
        <f t="shared" ref="I3491:J3491" si="3492">if(G3491 = "", , -G3491)</f>
        <v/>
      </c>
      <c r="J3491" s="94" t="str">
        <f t="shared" si="3492"/>
        <v/>
      </c>
      <c r="K3491" s="100"/>
      <c r="L3491" s="100"/>
      <c r="M3491" s="100"/>
      <c r="N3491" s="100"/>
      <c r="O3491" s="100"/>
      <c r="P3491" s="100"/>
    </row>
    <row r="3492">
      <c r="A3492" s="107">
        <v>1626181.0</v>
      </c>
      <c r="B3492" s="108" t="s">
        <v>192</v>
      </c>
      <c r="C3492" s="108" t="s">
        <v>854</v>
      </c>
      <c r="D3492" s="112" t="s">
        <v>177</v>
      </c>
      <c r="E3492" s="112">
        <v>1128.0</v>
      </c>
      <c r="F3492" s="111" t="str">
        <f>DataPull!D3492</f>
        <v/>
      </c>
      <c r="G3492" s="94" t="str">
        <f t="shared" si="2"/>
        <v/>
      </c>
      <c r="H3492" s="94" t="str">
        <f t="shared" si="3"/>
        <v/>
      </c>
      <c r="I3492" s="94" t="str">
        <f t="shared" ref="I3492:J3492" si="3493">if(G3492 = "", , -G3492)</f>
        <v/>
      </c>
      <c r="J3492" s="94" t="str">
        <f t="shared" si="3493"/>
        <v/>
      </c>
      <c r="K3492" s="100"/>
      <c r="M3492" s="100"/>
      <c r="N3492" s="100"/>
      <c r="O3492" s="100"/>
      <c r="P3492" s="100"/>
    </row>
    <row r="3493">
      <c r="A3493" s="107">
        <v>1626181.0</v>
      </c>
      <c r="B3493" s="108" t="s">
        <v>193</v>
      </c>
      <c r="C3493" s="108" t="s">
        <v>854</v>
      </c>
      <c r="D3493" s="112" t="s">
        <v>178</v>
      </c>
      <c r="E3493" s="112">
        <v>1476.8</v>
      </c>
      <c r="F3493" s="111" t="str">
        <f>DataPull!D3493</f>
        <v/>
      </c>
      <c r="G3493" s="94" t="str">
        <f t="shared" si="2"/>
        <v/>
      </c>
      <c r="H3493" s="94" t="str">
        <f t="shared" si="3"/>
        <v/>
      </c>
      <c r="I3493" s="94" t="str">
        <f t="shared" ref="I3493:J3493" si="3494">if(G3493 = "", , -G3493)</f>
        <v/>
      </c>
      <c r="J3493" s="94" t="str">
        <f t="shared" si="3494"/>
        <v/>
      </c>
      <c r="K3493" s="100"/>
      <c r="M3493" s="100"/>
      <c r="N3493" s="100"/>
      <c r="O3493" s="100"/>
      <c r="P3493" s="100"/>
    </row>
    <row r="3494">
      <c r="A3494" s="107">
        <v>1626181.0</v>
      </c>
      <c r="B3494" s="108" t="s">
        <v>243</v>
      </c>
      <c r="C3494" s="108" t="s">
        <v>854</v>
      </c>
      <c r="D3494" s="112" t="s">
        <v>176</v>
      </c>
      <c r="E3494" s="112">
        <v>2208.0</v>
      </c>
      <c r="F3494" s="111" t="str">
        <f>DataPull!D3494</f>
        <v/>
      </c>
      <c r="G3494" s="94" t="str">
        <f t="shared" si="2"/>
        <v/>
      </c>
      <c r="H3494" s="94" t="str">
        <f t="shared" si="3"/>
        <v/>
      </c>
      <c r="I3494" s="94" t="str">
        <f t="shared" ref="I3494:J3494" si="3495">if(G3494 = "", , -G3494)</f>
        <v/>
      </c>
      <c r="J3494" s="94" t="str">
        <f t="shared" si="3495"/>
        <v/>
      </c>
      <c r="K3494" s="100"/>
      <c r="M3494" s="100"/>
      <c r="N3494" s="100"/>
      <c r="O3494" s="100"/>
      <c r="P3494" s="100"/>
    </row>
    <row r="3495">
      <c r="A3495" s="107">
        <v>1626181.0</v>
      </c>
      <c r="B3495" s="108" t="s">
        <v>215</v>
      </c>
      <c r="C3495" s="108" t="s">
        <v>854</v>
      </c>
      <c r="D3495" s="112" t="s">
        <v>178</v>
      </c>
      <c r="E3495" s="112">
        <v>1458.0</v>
      </c>
      <c r="F3495" s="111" t="str">
        <f>DataPull!D3495</f>
        <v/>
      </c>
      <c r="G3495" s="94" t="str">
        <f t="shared" si="2"/>
        <v/>
      </c>
      <c r="H3495" s="94" t="str">
        <f t="shared" si="3"/>
        <v/>
      </c>
      <c r="I3495" s="94" t="str">
        <f t="shared" ref="I3495:J3495" si="3496">if(G3495 = "", , -G3495)</f>
        <v/>
      </c>
      <c r="J3495" s="94" t="str">
        <f t="shared" si="3496"/>
        <v/>
      </c>
      <c r="K3495" s="100"/>
      <c r="M3495" s="100"/>
      <c r="N3495" s="100"/>
      <c r="O3495" s="100"/>
    </row>
    <row r="3496">
      <c r="A3496" s="107">
        <v>1626181.0</v>
      </c>
      <c r="B3496" s="108" t="s">
        <v>244</v>
      </c>
      <c r="C3496" s="108" t="s">
        <v>854</v>
      </c>
      <c r="D3496" s="112" t="s">
        <v>176</v>
      </c>
      <c r="E3496" s="112">
        <v>1566.0</v>
      </c>
      <c r="F3496" s="111" t="str">
        <f>DataPull!D3496</f>
        <v/>
      </c>
      <c r="G3496" s="94" t="str">
        <f t="shared" si="2"/>
        <v/>
      </c>
      <c r="H3496" s="94" t="str">
        <f t="shared" si="3"/>
        <v/>
      </c>
      <c r="I3496" s="94" t="str">
        <f t="shared" ref="I3496:J3496" si="3497">if(G3496 = "", , -G3496)</f>
        <v/>
      </c>
      <c r="J3496" s="94" t="str">
        <f t="shared" si="3497"/>
        <v/>
      </c>
      <c r="K3496" s="100"/>
      <c r="M3496" s="100"/>
      <c r="N3496" s="100"/>
      <c r="O3496" s="100"/>
      <c r="P3496" s="100"/>
    </row>
    <row r="3497">
      <c r="A3497" s="107">
        <v>1626181.0</v>
      </c>
      <c r="B3497" s="108" t="s">
        <v>245</v>
      </c>
      <c r="C3497" s="108" t="s">
        <v>854</v>
      </c>
      <c r="D3497" s="112" t="s">
        <v>178</v>
      </c>
      <c r="E3497" s="112">
        <v>1991.2</v>
      </c>
      <c r="F3497" s="111" t="str">
        <f>DataPull!D3497</f>
        <v/>
      </c>
      <c r="G3497" s="94" t="str">
        <f t="shared" si="2"/>
        <v/>
      </c>
      <c r="H3497" s="94" t="str">
        <f t="shared" si="3"/>
        <v/>
      </c>
      <c r="I3497" s="94" t="str">
        <f t="shared" ref="I3497:J3497" si="3498">if(G3497 = "", , -G3497)</f>
        <v/>
      </c>
      <c r="J3497" s="94" t="str">
        <f t="shared" si="3498"/>
        <v/>
      </c>
      <c r="K3497" s="100"/>
      <c r="N3497" s="100"/>
      <c r="O3497" s="100"/>
      <c r="P3497" s="100"/>
    </row>
    <row r="3498">
      <c r="A3498" s="107">
        <v>1626181.0</v>
      </c>
      <c r="B3498" s="108" t="s">
        <v>246</v>
      </c>
      <c r="C3498" s="108" t="s">
        <v>854</v>
      </c>
      <c r="D3498" s="112" t="s">
        <v>178</v>
      </c>
      <c r="E3498" s="112">
        <v>1956.0</v>
      </c>
      <c r="F3498" s="111" t="str">
        <f>DataPull!D3498</f>
        <v/>
      </c>
      <c r="G3498" s="94" t="str">
        <f t="shared" si="2"/>
        <v/>
      </c>
      <c r="H3498" s="94" t="str">
        <f t="shared" si="3"/>
        <v/>
      </c>
      <c r="I3498" s="94" t="str">
        <f t="shared" ref="I3498:J3498" si="3499">if(G3498 = "", , -G3498)</f>
        <v/>
      </c>
      <c r="J3498" s="94" t="str">
        <f t="shared" si="3499"/>
        <v/>
      </c>
      <c r="K3498" s="100"/>
      <c r="M3498" s="100"/>
      <c r="N3498" s="100"/>
      <c r="O3498" s="100"/>
      <c r="P3498" s="100"/>
    </row>
    <row r="3499">
      <c r="A3499" s="114">
        <v>1626181.0</v>
      </c>
      <c r="B3499" s="113" t="s">
        <v>247</v>
      </c>
      <c r="C3499" s="113" t="s">
        <v>854</v>
      </c>
      <c r="D3499" s="112" t="s">
        <v>178</v>
      </c>
      <c r="E3499" s="112">
        <v>1716.8</v>
      </c>
      <c r="F3499" s="111" t="str">
        <f>DataPull!D3499</f>
        <v/>
      </c>
      <c r="G3499" s="94" t="str">
        <f t="shared" si="2"/>
        <v/>
      </c>
      <c r="H3499" s="94" t="str">
        <f t="shared" si="3"/>
        <v/>
      </c>
      <c r="I3499" s="94" t="str">
        <f t="shared" ref="I3499:J3499" si="3500">if(G3499 = "", , -G3499)</f>
        <v/>
      </c>
      <c r="J3499" s="94" t="str">
        <f t="shared" si="3500"/>
        <v/>
      </c>
      <c r="K3499" s="100"/>
      <c r="M3499" s="100"/>
      <c r="N3499" s="100"/>
      <c r="O3499" s="100"/>
      <c r="P3499" s="100"/>
    </row>
    <row r="3500">
      <c r="A3500" s="107">
        <v>1626183.0</v>
      </c>
      <c r="B3500" s="108" t="s">
        <v>92</v>
      </c>
      <c r="C3500" s="108" t="s">
        <v>855</v>
      </c>
      <c r="D3500" s="112" t="s">
        <v>181</v>
      </c>
      <c r="E3500" s="112">
        <v>28.8</v>
      </c>
      <c r="F3500" s="111" t="str">
        <f>DataPull!D3500</f>
        <v/>
      </c>
      <c r="G3500" s="94" t="str">
        <f t="shared" si="2"/>
        <v/>
      </c>
      <c r="H3500" s="94" t="str">
        <f t="shared" si="3"/>
        <v/>
      </c>
      <c r="I3500" s="94" t="str">
        <f t="shared" ref="I3500:J3500" si="3501">if(G3500 = "", , -G3500)</f>
        <v/>
      </c>
      <c r="J3500" s="94" t="str">
        <f t="shared" si="3501"/>
        <v/>
      </c>
      <c r="K3500" s="100"/>
      <c r="N3500" s="100"/>
      <c r="O3500" s="100"/>
      <c r="P3500" s="100"/>
    </row>
    <row r="3501">
      <c r="A3501" s="107">
        <v>1626184.0</v>
      </c>
      <c r="B3501" s="108" t="s">
        <v>190</v>
      </c>
      <c r="C3501" s="108" t="s">
        <v>856</v>
      </c>
      <c r="D3501" s="112" t="s">
        <v>187</v>
      </c>
      <c r="E3501" s="112">
        <v>299.0</v>
      </c>
      <c r="F3501" s="111" t="str">
        <f>DataPull!D3501</f>
        <v/>
      </c>
      <c r="G3501" s="94" t="str">
        <f t="shared" si="2"/>
        <v/>
      </c>
      <c r="H3501" s="94" t="str">
        <f t="shared" si="3"/>
        <v/>
      </c>
      <c r="I3501" s="94" t="str">
        <f t="shared" ref="I3501:J3501" si="3502">if(G3501 = "", , -G3501)</f>
        <v/>
      </c>
      <c r="J3501" s="94" t="str">
        <f t="shared" si="3502"/>
        <v/>
      </c>
      <c r="K3501" s="100"/>
      <c r="M3501" s="100"/>
      <c r="N3501" s="100"/>
      <c r="O3501" s="100"/>
      <c r="P3501" s="100"/>
    </row>
    <row r="3502">
      <c r="A3502" s="107">
        <v>1626184.0</v>
      </c>
      <c r="B3502" s="108" t="s">
        <v>192</v>
      </c>
      <c r="C3502" s="108" t="s">
        <v>856</v>
      </c>
      <c r="D3502" s="112" t="s">
        <v>177</v>
      </c>
      <c r="E3502" s="112">
        <v>744.8</v>
      </c>
      <c r="F3502" s="111" t="str">
        <f>DataPull!D3502</f>
        <v/>
      </c>
      <c r="G3502" s="94" t="str">
        <f t="shared" si="2"/>
        <v/>
      </c>
      <c r="H3502" s="94" t="str">
        <f t="shared" si="3"/>
        <v/>
      </c>
      <c r="I3502" s="94" t="str">
        <f t="shared" ref="I3502:J3502" si="3503">if(G3502 = "", , -G3502)</f>
        <v/>
      </c>
      <c r="J3502" s="94" t="str">
        <f t="shared" si="3503"/>
        <v/>
      </c>
      <c r="K3502" s="100"/>
      <c r="M3502" s="100"/>
      <c r="N3502" s="100"/>
      <c r="O3502" s="100"/>
      <c r="P3502" s="100"/>
    </row>
    <row r="3503">
      <c r="A3503" s="107">
        <v>1626184.0</v>
      </c>
      <c r="B3503" s="108" t="s">
        <v>193</v>
      </c>
      <c r="C3503" s="108" t="s">
        <v>856</v>
      </c>
      <c r="D3503" s="112" t="s">
        <v>181</v>
      </c>
      <c r="E3503" s="112">
        <v>40.5</v>
      </c>
      <c r="F3503" s="111" t="str">
        <f>DataPull!D3503</f>
        <v/>
      </c>
      <c r="G3503" s="94" t="str">
        <f t="shared" si="2"/>
        <v/>
      </c>
      <c r="H3503" s="94" t="str">
        <f t="shared" si="3"/>
        <v/>
      </c>
      <c r="I3503" s="94" t="str">
        <f t="shared" ref="I3503:J3503" si="3504">if(G3503 = "", , -G3503)</f>
        <v/>
      </c>
      <c r="J3503" s="94" t="str">
        <f t="shared" si="3504"/>
        <v/>
      </c>
      <c r="K3503" s="100"/>
      <c r="M3503" s="100"/>
      <c r="N3503" s="100"/>
      <c r="O3503" s="100"/>
      <c r="P3503" s="100"/>
    </row>
    <row r="3504">
      <c r="A3504" s="107">
        <v>1626184.0</v>
      </c>
      <c r="B3504" s="108" t="s">
        <v>243</v>
      </c>
      <c r="C3504" s="108" t="s">
        <v>856</v>
      </c>
      <c r="D3504" s="112" t="s">
        <v>177</v>
      </c>
      <c r="E3504" s="112">
        <v>836.4</v>
      </c>
      <c r="F3504" s="111" t="str">
        <f>DataPull!D3504</f>
        <v/>
      </c>
      <c r="G3504" s="94" t="str">
        <f t="shared" si="2"/>
        <v/>
      </c>
      <c r="H3504" s="94" t="str">
        <f t="shared" si="3"/>
        <v/>
      </c>
      <c r="I3504" s="94" t="str">
        <f t="shared" ref="I3504:J3504" si="3505">if(G3504 = "", , -G3504)</f>
        <v/>
      </c>
      <c r="J3504" s="94" t="str">
        <f t="shared" si="3505"/>
        <v/>
      </c>
      <c r="K3504" s="100"/>
      <c r="M3504" s="100"/>
      <c r="N3504" s="100"/>
      <c r="O3504" s="100"/>
      <c r="P3504" s="100"/>
    </row>
    <row r="3505">
      <c r="A3505" s="107">
        <v>1626185.0</v>
      </c>
      <c r="B3505" s="108" t="s">
        <v>92</v>
      </c>
      <c r="C3505" s="108" t="s">
        <v>857</v>
      </c>
      <c r="D3505" s="112" t="s">
        <v>177</v>
      </c>
      <c r="E3505" s="112">
        <v>380.7</v>
      </c>
      <c r="F3505" s="111" t="str">
        <f>DataPull!D3505</f>
        <v/>
      </c>
      <c r="G3505" s="94" t="str">
        <f t="shared" si="2"/>
        <v/>
      </c>
      <c r="H3505" s="94" t="str">
        <f t="shared" si="3"/>
        <v/>
      </c>
      <c r="I3505" s="94" t="str">
        <f t="shared" ref="I3505:J3505" si="3506">if(G3505 = "", , -G3505)</f>
        <v/>
      </c>
      <c r="J3505" s="94" t="str">
        <f t="shared" si="3506"/>
        <v/>
      </c>
      <c r="K3505" s="100"/>
      <c r="M3505" s="100"/>
      <c r="N3505" s="100"/>
      <c r="O3505" s="100"/>
      <c r="P3505" s="100"/>
    </row>
    <row r="3506">
      <c r="A3506" s="107">
        <v>1626185.0</v>
      </c>
      <c r="B3506" s="108" t="s">
        <v>190</v>
      </c>
      <c r="C3506" s="108" t="s">
        <v>857</v>
      </c>
      <c r="D3506" s="112" t="s">
        <v>177</v>
      </c>
      <c r="E3506" s="112">
        <v>558.6</v>
      </c>
      <c r="F3506" s="111" t="str">
        <f>DataPull!D3506</f>
        <v/>
      </c>
      <c r="G3506" s="94" t="str">
        <f t="shared" si="2"/>
        <v/>
      </c>
      <c r="H3506" s="94" t="str">
        <f t="shared" si="3"/>
        <v/>
      </c>
      <c r="I3506" s="94" t="str">
        <f t="shared" ref="I3506:J3506" si="3507">if(G3506 = "", , -G3506)</f>
        <v/>
      </c>
      <c r="J3506" s="94" t="str">
        <f t="shared" si="3507"/>
        <v/>
      </c>
      <c r="K3506" s="100"/>
      <c r="M3506" s="100"/>
      <c r="N3506" s="100"/>
      <c r="O3506" s="100"/>
      <c r="P3506" s="100"/>
    </row>
    <row r="3507">
      <c r="A3507" s="107">
        <v>1626185.0</v>
      </c>
      <c r="B3507" s="108" t="s">
        <v>191</v>
      </c>
      <c r="C3507" s="108" t="s">
        <v>857</v>
      </c>
      <c r="D3507" s="112" t="s">
        <v>176</v>
      </c>
      <c r="E3507" s="112">
        <v>1657.1</v>
      </c>
      <c r="F3507" s="111" t="str">
        <f>DataPull!D3507</f>
        <v/>
      </c>
      <c r="G3507" s="94" t="str">
        <f t="shared" si="2"/>
        <v/>
      </c>
      <c r="H3507" s="94" t="str">
        <f t="shared" si="3"/>
        <v/>
      </c>
      <c r="I3507" s="94" t="str">
        <f t="shared" ref="I3507:J3507" si="3508">if(G3507 = "", , -G3507)</f>
        <v/>
      </c>
      <c r="J3507" s="94" t="str">
        <f t="shared" si="3508"/>
        <v/>
      </c>
      <c r="K3507" s="100"/>
      <c r="M3507" s="100"/>
      <c r="N3507" s="100"/>
      <c r="O3507" s="100"/>
      <c r="P3507" s="100"/>
    </row>
    <row r="3508">
      <c r="A3508" s="107">
        <v>1626185.0</v>
      </c>
      <c r="B3508" s="108" t="s">
        <v>192</v>
      </c>
      <c r="C3508" s="108" t="s">
        <v>857</v>
      </c>
      <c r="D3508" s="112" t="s">
        <v>187</v>
      </c>
      <c r="E3508" s="112">
        <v>327.6</v>
      </c>
      <c r="F3508" s="111" t="str">
        <f>DataPull!D3508</f>
        <v/>
      </c>
      <c r="G3508" s="94" t="str">
        <f t="shared" si="2"/>
        <v/>
      </c>
      <c r="H3508" s="94" t="str">
        <f t="shared" si="3"/>
        <v/>
      </c>
      <c r="I3508" s="94" t="str">
        <f t="shared" ref="I3508:J3508" si="3509">if(G3508 = "", , -G3508)</f>
        <v/>
      </c>
      <c r="J3508" s="94" t="str">
        <f t="shared" si="3509"/>
        <v/>
      </c>
      <c r="K3508" s="100"/>
      <c r="M3508" s="100"/>
      <c r="N3508" s="100"/>
      <c r="O3508" s="100"/>
      <c r="P3508" s="100"/>
    </row>
    <row r="3509">
      <c r="A3509" s="107">
        <v>1626187.0</v>
      </c>
      <c r="B3509" s="108" t="s">
        <v>193</v>
      </c>
      <c r="C3509" s="108" t="s">
        <v>858</v>
      </c>
      <c r="D3509" s="112" t="s">
        <v>187</v>
      </c>
      <c r="E3509" s="112">
        <v>144.3</v>
      </c>
      <c r="F3509" s="111" t="str">
        <f>DataPull!D3509</f>
        <v/>
      </c>
      <c r="G3509" s="94" t="str">
        <f t="shared" si="2"/>
        <v/>
      </c>
      <c r="H3509" s="94" t="str">
        <f t="shared" si="3"/>
        <v/>
      </c>
      <c r="I3509" s="94" t="str">
        <f t="shared" ref="I3509:J3509" si="3510">if(G3509 = "", , -G3509)</f>
        <v/>
      </c>
      <c r="J3509" s="94" t="str">
        <f t="shared" si="3510"/>
        <v/>
      </c>
      <c r="K3509" s="100"/>
      <c r="M3509" s="100"/>
      <c r="N3509" s="100"/>
      <c r="O3509" s="100"/>
      <c r="P3509" s="100"/>
    </row>
    <row r="3510">
      <c r="A3510" s="107">
        <v>1626188.0</v>
      </c>
      <c r="B3510" s="108" t="s">
        <v>190</v>
      </c>
      <c r="C3510" s="108" t="s">
        <v>859</v>
      </c>
      <c r="D3510" s="112" t="s">
        <v>187</v>
      </c>
      <c r="E3510" s="112">
        <v>187.6</v>
      </c>
      <c r="F3510" s="111" t="str">
        <f>DataPull!D3510</f>
        <v/>
      </c>
      <c r="G3510" s="94" t="str">
        <f t="shared" si="2"/>
        <v/>
      </c>
      <c r="H3510" s="94" t="str">
        <f t="shared" si="3"/>
        <v/>
      </c>
      <c r="I3510" s="94" t="str">
        <f t="shared" ref="I3510:J3510" si="3511">if(G3510 = "", , -G3510)</f>
        <v/>
      </c>
      <c r="J3510" s="94" t="str">
        <f t="shared" si="3511"/>
        <v/>
      </c>
      <c r="K3510" s="100"/>
      <c r="M3510" s="100"/>
      <c r="N3510" s="100"/>
      <c r="O3510" s="100"/>
      <c r="P3510" s="100"/>
    </row>
    <row r="3511">
      <c r="A3511" s="107">
        <v>1626188.0</v>
      </c>
      <c r="B3511" s="108" t="s">
        <v>191</v>
      </c>
      <c r="C3511" s="108" t="s">
        <v>859</v>
      </c>
      <c r="D3511" s="112" t="s">
        <v>176</v>
      </c>
      <c r="E3511" s="112">
        <v>739.2</v>
      </c>
      <c r="F3511" s="111" t="str">
        <f>DataPull!D3511</f>
        <v/>
      </c>
      <c r="G3511" s="94" t="str">
        <f t="shared" si="2"/>
        <v/>
      </c>
      <c r="H3511" s="94" t="str">
        <f t="shared" si="3"/>
        <v/>
      </c>
      <c r="I3511" s="94" t="str">
        <f t="shared" ref="I3511:J3511" si="3512">if(G3511 = "", , -G3511)</f>
        <v/>
      </c>
      <c r="J3511" s="94" t="str">
        <f t="shared" si="3512"/>
        <v/>
      </c>
      <c r="K3511" s="100"/>
      <c r="L3511" s="100"/>
      <c r="N3511" s="100"/>
      <c r="O3511" s="100"/>
      <c r="P3511" s="100"/>
    </row>
    <row r="3512">
      <c r="A3512" s="107">
        <v>1626188.0</v>
      </c>
      <c r="B3512" s="108" t="s">
        <v>192</v>
      </c>
      <c r="C3512" s="108" t="s">
        <v>859</v>
      </c>
      <c r="D3512" s="112" t="s">
        <v>177</v>
      </c>
      <c r="E3512" s="112">
        <v>1058.2</v>
      </c>
      <c r="F3512" s="111" t="str">
        <f>DataPull!D3512</f>
        <v/>
      </c>
      <c r="G3512" s="94" t="str">
        <f t="shared" si="2"/>
        <v/>
      </c>
      <c r="H3512" s="94" t="str">
        <f t="shared" si="3"/>
        <v/>
      </c>
      <c r="I3512" s="94" t="str">
        <f t="shared" ref="I3512:J3512" si="3513">if(G3512 = "", , -G3512)</f>
        <v/>
      </c>
      <c r="J3512" s="94" t="str">
        <f t="shared" si="3513"/>
        <v/>
      </c>
      <c r="K3512" s="100"/>
      <c r="L3512" s="100"/>
      <c r="M3512" s="100"/>
      <c r="N3512" s="100"/>
      <c r="O3512" s="100"/>
    </row>
    <row r="3513">
      <c r="A3513" s="107">
        <v>1626188.0</v>
      </c>
      <c r="B3513" s="108" t="s">
        <v>193</v>
      </c>
      <c r="C3513" s="108" t="s">
        <v>859</v>
      </c>
      <c r="D3513" s="112" t="s">
        <v>177</v>
      </c>
      <c r="E3513" s="112">
        <v>506.0</v>
      </c>
      <c r="F3513" s="111" t="str">
        <f>DataPull!D3513</f>
        <v/>
      </c>
      <c r="G3513" s="94" t="str">
        <f t="shared" si="2"/>
        <v/>
      </c>
      <c r="H3513" s="94" t="str">
        <f t="shared" si="3"/>
        <v/>
      </c>
      <c r="I3513" s="94" t="str">
        <f t="shared" ref="I3513:J3513" si="3514">if(G3513 = "", , -G3513)</f>
        <v/>
      </c>
      <c r="J3513" s="94" t="str">
        <f t="shared" si="3514"/>
        <v/>
      </c>
      <c r="K3513" s="100"/>
      <c r="M3513" s="100"/>
      <c r="N3513" s="100"/>
      <c r="O3513" s="100"/>
      <c r="P3513" s="100"/>
    </row>
    <row r="3514">
      <c r="A3514" s="107">
        <v>1626188.0</v>
      </c>
      <c r="B3514" s="108" t="s">
        <v>243</v>
      </c>
      <c r="C3514" s="108" t="s">
        <v>859</v>
      </c>
      <c r="D3514" s="112" t="s">
        <v>187</v>
      </c>
      <c r="E3514" s="112">
        <v>156.4</v>
      </c>
      <c r="F3514" s="111" t="str">
        <f>DataPull!D3514</f>
        <v/>
      </c>
      <c r="G3514" s="94" t="str">
        <f t="shared" si="2"/>
        <v/>
      </c>
      <c r="H3514" s="94" t="str">
        <f t="shared" si="3"/>
        <v/>
      </c>
      <c r="I3514" s="94" t="str">
        <f t="shared" ref="I3514:J3514" si="3515">if(G3514 = "", , -G3514)</f>
        <v/>
      </c>
      <c r="J3514" s="94" t="str">
        <f t="shared" si="3515"/>
        <v/>
      </c>
      <c r="K3514" s="100"/>
      <c r="L3514" s="100"/>
      <c r="M3514" s="100"/>
      <c r="N3514" s="100"/>
      <c r="O3514" s="100"/>
      <c r="P3514" s="100"/>
    </row>
    <row r="3515">
      <c r="A3515" s="107">
        <v>1626191.0</v>
      </c>
      <c r="B3515" s="108" t="s">
        <v>92</v>
      </c>
      <c r="C3515" s="108" t="s">
        <v>860</v>
      </c>
      <c r="D3515" s="112" t="s">
        <v>177</v>
      </c>
      <c r="E3515" s="112">
        <v>362.4</v>
      </c>
      <c r="F3515" s="111" t="str">
        <f>DataPull!D3515</f>
        <v/>
      </c>
      <c r="G3515" s="94" t="str">
        <f t="shared" si="2"/>
        <v/>
      </c>
      <c r="H3515" s="94" t="str">
        <f t="shared" si="3"/>
        <v/>
      </c>
      <c r="I3515" s="94" t="str">
        <f t="shared" ref="I3515:J3515" si="3516">if(G3515 = "", , -G3515)</f>
        <v/>
      </c>
      <c r="J3515" s="94" t="str">
        <f t="shared" si="3516"/>
        <v/>
      </c>
      <c r="K3515" s="100"/>
      <c r="M3515" s="100"/>
      <c r="N3515" s="100"/>
      <c r="O3515" s="100"/>
      <c r="P3515" s="100"/>
    </row>
    <row r="3516">
      <c r="A3516" s="107">
        <v>1626191.0</v>
      </c>
      <c r="B3516" s="108" t="s">
        <v>190</v>
      </c>
      <c r="C3516" s="108" t="s">
        <v>860</v>
      </c>
      <c r="D3516" s="112" t="s">
        <v>187</v>
      </c>
      <c r="E3516" s="112">
        <v>80.0</v>
      </c>
      <c r="F3516" s="111" t="str">
        <f>DataPull!D3516</f>
        <v/>
      </c>
      <c r="G3516" s="94" t="str">
        <f t="shared" si="2"/>
        <v/>
      </c>
      <c r="H3516" s="94" t="str">
        <f t="shared" si="3"/>
        <v/>
      </c>
      <c r="I3516" s="94" t="str">
        <f t="shared" ref="I3516:J3516" si="3517">if(G3516 = "", , -G3516)</f>
        <v/>
      </c>
      <c r="J3516" s="94" t="str">
        <f t="shared" si="3517"/>
        <v/>
      </c>
      <c r="K3516" s="100"/>
      <c r="M3516" s="100"/>
      <c r="N3516" s="100"/>
      <c r="O3516" s="100"/>
      <c r="P3516" s="100"/>
    </row>
    <row r="3517">
      <c r="A3517" s="107">
        <v>1626191.0</v>
      </c>
      <c r="B3517" s="108" t="s">
        <v>191</v>
      </c>
      <c r="C3517" s="108" t="s">
        <v>860</v>
      </c>
      <c r="D3517" s="112" t="s">
        <v>187</v>
      </c>
      <c r="E3517" s="112">
        <v>89.3</v>
      </c>
      <c r="F3517" s="111" t="str">
        <f>DataPull!D3517</f>
        <v/>
      </c>
      <c r="G3517" s="94" t="str">
        <f t="shared" si="2"/>
        <v/>
      </c>
      <c r="H3517" s="94" t="str">
        <f t="shared" si="3"/>
        <v/>
      </c>
      <c r="I3517" s="94" t="str">
        <f t="shared" ref="I3517:J3517" si="3518">if(G3517 = "", , -G3517)</f>
        <v/>
      </c>
      <c r="J3517" s="94" t="str">
        <f t="shared" si="3518"/>
        <v/>
      </c>
      <c r="K3517" s="100"/>
      <c r="L3517" s="100"/>
      <c r="N3517" s="100"/>
      <c r="O3517" s="100"/>
      <c r="P3517" s="100"/>
    </row>
    <row r="3518">
      <c r="A3518" s="107">
        <v>1626192.0</v>
      </c>
      <c r="B3518" s="108" t="s">
        <v>92</v>
      </c>
      <c r="C3518" s="108" t="s">
        <v>861</v>
      </c>
      <c r="D3518" s="112" t="s">
        <v>187</v>
      </c>
      <c r="E3518" s="112">
        <v>142.8</v>
      </c>
      <c r="F3518" s="111" t="str">
        <f>DataPull!D3518</f>
        <v/>
      </c>
      <c r="G3518" s="94" t="str">
        <f t="shared" si="2"/>
        <v/>
      </c>
      <c r="H3518" s="94" t="str">
        <f t="shared" si="3"/>
        <v/>
      </c>
      <c r="I3518" s="94" t="str">
        <f t="shared" ref="I3518:J3518" si="3519">if(G3518 = "", , -G3518)</f>
        <v/>
      </c>
      <c r="J3518" s="94" t="str">
        <f t="shared" si="3519"/>
        <v/>
      </c>
      <c r="K3518" s="100"/>
      <c r="M3518" s="100"/>
      <c r="N3518" s="100"/>
      <c r="O3518" s="100"/>
      <c r="P3518" s="100"/>
    </row>
    <row r="3519">
      <c r="A3519" s="107">
        <v>1626192.0</v>
      </c>
      <c r="B3519" s="108" t="s">
        <v>190</v>
      </c>
      <c r="C3519" s="108" t="s">
        <v>861</v>
      </c>
      <c r="D3519" s="112" t="s">
        <v>187</v>
      </c>
      <c r="E3519" s="112">
        <v>315.9</v>
      </c>
      <c r="F3519" s="111" t="str">
        <f>DataPull!D3519</f>
        <v/>
      </c>
      <c r="G3519" s="94" t="str">
        <f t="shared" si="2"/>
        <v/>
      </c>
      <c r="H3519" s="94" t="str">
        <f t="shared" si="3"/>
        <v/>
      </c>
      <c r="I3519" s="94" t="str">
        <f t="shared" ref="I3519:J3519" si="3520">if(G3519 = "", , -G3519)</f>
        <v/>
      </c>
      <c r="J3519" s="94" t="str">
        <f t="shared" si="3520"/>
        <v/>
      </c>
      <c r="K3519" s="100"/>
      <c r="M3519" s="100"/>
      <c r="N3519" s="100"/>
      <c r="O3519" s="100"/>
      <c r="P3519" s="100"/>
    </row>
    <row r="3520">
      <c r="A3520" s="107">
        <v>1626192.0</v>
      </c>
      <c r="B3520" s="108" t="s">
        <v>191</v>
      </c>
      <c r="C3520" s="108" t="s">
        <v>861</v>
      </c>
      <c r="D3520" s="112" t="s">
        <v>177</v>
      </c>
      <c r="E3520" s="112">
        <v>1484.2</v>
      </c>
      <c r="F3520" s="111" t="str">
        <f>DataPull!D3520</f>
        <v/>
      </c>
      <c r="G3520" s="94" t="str">
        <f t="shared" si="2"/>
        <v/>
      </c>
      <c r="H3520" s="94" t="str">
        <f t="shared" si="3"/>
        <v/>
      </c>
      <c r="I3520" s="94" t="str">
        <f t="shared" ref="I3520:J3520" si="3521">if(G3520 = "", , -G3520)</f>
        <v/>
      </c>
      <c r="J3520" s="94" t="str">
        <f t="shared" si="3521"/>
        <v/>
      </c>
      <c r="K3520" s="100"/>
      <c r="L3520" s="100"/>
      <c r="M3520" s="100"/>
      <c r="N3520" s="100"/>
      <c r="O3520" s="100"/>
      <c r="P3520" s="100"/>
    </row>
    <row r="3521">
      <c r="A3521" s="107">
        <v>1626192.0</v>
      </c>
      <c r="B3521" s="108" t="s">
        <v>192</v>
      </c>
      <c r="C3521" s="108" t="s">
        <v>861</v>
      </c>
      <c r="D3521" s="112" t="s">
        <v>176</v>
      </c>
      <c r="E3521" s="112">
        <v>1262.7</v>
      </c>
      <c r="F3521" s="111" t="str">
        <f>DataPull!D3521</f>
        <v/>
      </c>
      <c r="G3521" s="94" t="str">
        <f t="shared" si="2"/>
        <v/>
      </c>
      <c r="H3521" s="94" t="str">
        <f t="shared" si="3"/>
        <v/>
      </c>
      <c r="I3521" s="94" t="str">
        <f t="shared" ref="I3521:J3521" si="3522">if(G3521 = "", , -G3521)</f>
        <v/>
      </c>
      <c r="J3521" s="94" t="str">
        <f t="shared" si="3522"/>
        <v/>
      </c>
      <c r="K3521" s="100"/>
      <c r="L3521" s="100"/>
      <c r="N3521" s="100"/>
      <c r="O3521" s="100"/>
      <c r="P3521" s="100"/>
    </row>
    <row r="3522">
      <c r="A3522" s="107">
        <v>1626192.0</v>
      </c>
      <c r="B3522" s="108" t="s">
        <v>193</v>
      </c>
      <c r="C3522" s="108" t="s">
        <v>861</v>
      </c>
      <c r="D3522" s="112" t="s">
        <v>176</v>
      </c>
      <c r="E3522" s="112">
        <v>1246.2</v>
      </c>
      <c r="F3522" s="111" t="str">
        <f>DataPull!D3522</f>
        <v/>
      </c>
      <c r="G3522" s="94" t="str">
        <f t="shared" si="2"/>
        <v/>
      </c>
      <c r="H3522" s="94" t="str">
        <f t="shared" si="3"/>
        <v/>
      </c>
      <c r="I3522" s="94" t="str">
        <f t="shared" ref="I3522:J3522" si="3523">if(G3522 = "", , -G3522)</f>
        <v/>
      </c>
      <c r="J3522" s="94" t="str">
        <f t="shared" si="3523"/>
        <v/>
      </c>
      <c r="K3522" s="100"/>
      <c r="M3522" s="100"/>
      <c r="N3522" s="100"/>
      <c r="O3522" s="100"/>
      <c r="P3522" s="100"/>
    </row>
    <row r="3523">
      <c r="A3523" s="107">
        <v>1626192.0</v>
      </c>
      <c r="B3523" s="108" t="s">
        <v>243</v>
      </c>
      <c r="C3523" s="108" t="s">
        <v>861</v>
      </c>
      <c r="D3523" s="112" t="s">
        <v>176</v>
      </c>
      <c r="E3523" s="112">
        <v>1573.2</v>
      </c>
      <c r="F3523" s="111" t="str">
        <f>DataPull!D3523</f>
        <v/>
      </c>
      <c r="G3523" s="94" t="str">
        <f t="shared" si="2"/>
        <v/>
      </c>
      <c r="H3523" s="94" t="str">
        <f t="shared" si="3"/>
        <v/>
      </c>
      <c r="I3523" s="94" t="str">
        <f t="shared" ref="I3523:J3523" si="3524">if(G3523 = "", , -G3523)</f>
        <v/>
      </c>
      <c r="J3523" s="94" t="str">
        <f t="shared" si="3524"/>
        <v/>
      </c>
      <c r="K3523" s="100"/>
      <c r="M3523" s="100"/>
      <c r="N3523" s="100"/>
      <c r="O3523" s="100"/>
      <c r="P3523" s="100"/>
    </row>
    <row r="3524">
      <c r="A3524" s="107">
        <v>1626192.0</v>
      </c>
      <c r="B3524" s="108" t="s">
        <v>215</v>
      </c>
      <c r="C3524" s="108" t="s">
        <v>861</v>
      </c>
      <c r="D3524" s="112" t="s">
        <v>176</v>
      </c>
      <c r="E3524" s="112">
        <v>1690.0</v>
      </c>
      <c r="F3524" s="111" t="str">
        <f>DataPull!D3524</f>
        <v/>
      </c>
      <c r="G3524" s="94" t="str">
        <f t="shared" si="2"/>
        <v/>
      </c>
      <c r="H3524" s="94" t="str">
        <f t="shared" si="3"/>
        <v/>
      </c>
      <c r="I3524" s="94" t="str">
        <f t="shared" ref="I3524:J3524" si="3525">if(G3524 = "", , -G3524)</f>
        <v/>
      </c>
      <c r="J3524" s="94" t="str">
        <f t="shared" si="3525"/>
        <v/>
      </c>
      <c r="K3524" s="100"/>
      <c r="M3524" s="100"/>
      <c r="N3524" s="100"/>
      <c r="O3524" s="100"/>
      <c r="P3524" s="100"/>
    </row>
    <row r="3525">
      <c r="A3525" s="107">
        <v>1626192.0</v>
      </c>
      <c r="B3525" s="108" t="s">
        <v>244</v>
      </c>
      <c r="C3525" s="108" t="s">
        <v>861</v>
      </c>
      <c r="D3525" s="112" t="s">
        <v>176</v>
      </c>
      <c r="E3525" s="112">
        <v>1445.7</v>
      </c>
      <c r="F3525" s="111" t="str">
        <f>DataPull!D3525</f>
        <v/>
      </c>
      <c r="G3525" s="94" t="str">
        <f t="shared" si="2"/>
        <v/>
      </c>
      <c r="H3525" s="94" t="str">
        <f t="shared" si="3"/>
        <v/>
      </c>
      <c r="I3525" s="94" t="str">
        <f t="shared" ref="I3525:J3525" si="3526">if(G3525 = "", , -G3525)</f>
        <v/>
      </c>
      <c r="J3525" s="94" t="str">
        <f t="shared" si="3526"/>
        <v/>
      </c>
      <c r="K3525" s="100"/>
      <c r="M3525" s="100"/>
      <c r="N3525" s="100"/>
      <c r="O3525" s="100"/>
      <c r="P3525" s="100"/>
    </row>
    <row r="3526">
      <c r="A3526" s="107">
        <v>1626192.0</v>
      </c>
      <c r="B3526" s="108" t="s">
        <v>245</v>
      </c>
      <c r="C3526" s="108" t="s">
        <v>861</v>
      </c>
      <c r="D3526" s="112" t="s">
        <v>176</v>
      </c>
      <c r="E3526" s="112">
        <v>1679.6</v>
      </c>
      <c r="F3526" s="111" t="str">
        <f>DataPull!D3526</f>
        <v/>
      </c>
      <c r="G3526" s="94" t="str">
        <f t="shared" si="2"/>
        <v/>
      </c>
      <c r="H3526" s="94" t="str">
        <f t="shared" si="3"/>
        <v/>
      </c>
      <c r="I3526" s="94" t="str">
        <f t="shared" ref="I3526:J3526" si="3527">if(G3526 = "", , -G3526)</f>
        <v/>
      </c>
      <c r="J3526" s="94" t="str">
        <f t="shared" si="3527"/>
        <v/>
      </c>
      <c r="K3526" s="100"/>
      <c r="M3526" s="100"/>
      <c r="N3526" s="100"/>
      <c r="O3526" s="100"/>
      <c r="P3526" s="100"/>
    </row>
    <row r="3527">
      <c r="A3527" s="107">
        <v>1626192.0</v>
      </c>
      <c r="B3527" s="108" t="s">
        <v>246</v>
      </c>
      <c r="C3527" s="108" t="s">
        <v>861</v>
      </c>
      <c r="D3527" s="112" t="s">
        <v>177</v>
      </c>
      <c r="E3527" s="112">
        <v>602.7</v>
      </c>
      <c r="F3527" s="111" t="str">
        <f>DataPull!D3527</f>
        <v/>
      </c>
      <c r="G3527" s="94" t="str">
        <f t="shared" si="2"/>
        <v/>
      </c>
      <c r="H3527" s="94" t="str">
        <f t="shared" si="3"/>
        <v/>
      </c>
      <c r="I3527" s="94" t="str">
        <f t="shared" ref="I3527:J3527" si="3528">if(G3527 = "", , -G3527)</f>
        <v/>
      </c>
      <c r="J3527" s="94" t="str">
        <f t="shared" si="3528"/>
        <v/>
      </c>
      <c r="K3527" s="100"/>
      <c r="M3527" s="100"/>
      <c r="N3527" s="100"/>
      <c r="O3527" s="100"/>
      <c r="P3527" s="100"/>
    </row>
    <row r="3528">
      <c r="A3528" s="114">
        <v>1626192.0</v>
      </c>
      <c r="B3528" s="113" t="s">
        <v>247</v>
      </c>
      <c r="C3528" s="113" t="s">
        <v>861</v>
      </c>
      <c r="D3528" s="112" t="s">
        <v>187</v>
      </c>
      <c r="E3528" s="112">
        <v>298.2</v>
      </c>
      <c r="F3528" s="111" t="str">
        <f>DataPull!D3528</f>
        <v/>
      </c>
      <c r="G3528" s="94" t="str">
        <f t="shared" si="2"/>
        <v/>
      </c>
      <c r="H3528" s="94" t="str">
        <f t="shared" si="3"/>
        <v/>
      </c>
      <c r="I3528" s="94" t="str">
        <f t="shared" ref="I3528:J3528" si="3529">if(G3528 = "", , -G3528)</f>
        <v/>
      </c>
      <c r="J3528" s="94" t="str">
        <f t="shared" si="3529"/>
        <v/>
      </c>
      <c r="K3528" s="100"/>
      <c r="M3528" s="100"/>
      <c r="N3528" s="100"/>
      <c r="O3528" s="100"/>
      <c r="P3528" s="100"/>
    </row>
    <row r="3529">
      <c r="A3529" s="107">
        <v>1626195.0</v>
      </c>
      <c r="B3529" s="108" t="s">
        <v>190</v>
      </c>
      <c r="C3529" s="108" t="s">
        <v>862</v>
      </c>
      <c r="D3529" s="112" t="s">
        <v>177</v>
      </c>
      <c r="E3529" s="112">
        <v>1324.8</v>
      </c>
      <c r="F3529" s="111" t="str">
        <f>DataPull!D3529</f>
        <v/>
      </c>
      <c r="G3529" s="94" t="str">
        <f t="shared" si="2"/>
        <v/>
      </c>
      <c r="H3529" s="94" t="str">
        <f t="shared" si="3"/>
        <v/>
      </c>
      <c r="I3529" s="94" t="str">
        <f t="shared" ref="I3529:J3529" si="3530">if(G3529 = "", , -G3529)</f>
        <v/>
      </c>
      <c r="J3529" s="94" t="str">
        <f t="shared" si="3530"/>
        <v/>
      </c>
      <c r="K3529" s="100"/>
      <c r="M3529" s="100"/>
      <c r="N3529" s="100"/>
      <c r="O3529" s="100"/>
      <c r="P3529" s="100"/>
    </row>
    <row r="3530">
      <c r="A3530" s="107">
        <v>1626195.0</v>
      </c>
      <c r="B3530" s="108" t="s">
        <v>191</v>
      </c>
      <c r="C3530" s="108" t="s">
        <v>862</v>
      </c>
      <c r="D3530" s="112" t="s">
        <v>187</v>
      </c>
      <c r="E3530" s="112">
        <v>494.4</v>
      </c>
      <c r="F3530" s="111" t="str">
        <f>DataPull!D3530</f>
        <v/>
      </c>
      <c r="G3530" s="94" t="str">
        <f t="shared" si="2"/>
        <v/>
      </c>
      <c r="H3530" s="94" t="str">
        <f t="shared" si="3"/>
        <v/>
      </c>
      <c r="I3530" s="94" t="str">
        <f t="shared" ref="I3530:J3530" si="3531">if(G3530 = "", , -G3530)</f>
        <v/>
      </c>
      <c r="J3530" s="94" t="str">
        <f t="shared" si="3531"/>
        <v/>
      </c>
      <c r="K3530" s="100"/>
      <c r="M3530" s="100"/>
      <c r="N3530" s="100"/>
      <c r="O3530" s="100"/>
      <c r="P3530" s="100"/>
    </row>
    <row r="3531">
      <c r="A3531" s="107">
        <v>1626195.0</v>
      </c>
      <c r="B3531" s="108" t="s">
        <v>192</v>
      </c>
      <c r="C3531" s="108" t="s">
        <v>862</v>
      </c>
      <c r="D3531" s="112" t="s">
        <v>177</v>
      </c>
      <c r="E3531" s="112">
        <v>812.0</v>
      </c>
      <c r="F3531" s="111" t="str">
        <f>DataPull!D3531</f>
        <v/>
      </c>
      <c r="G3531" s="94" t="str">
        <f t="shared" si="2"/>
        <v/>
      </c>
      <c r="H3531" s="94" t="str">
        <f t="shared" si="3"/>
        <v/>
      </c>
      <c r="I3531" s="94" t="str">
        <f t="shared" ref="I3531:J3531" si="3532">if(G3531 = "", , -G3531)</f>
        <v/>
      </c>
      <c r="J3531" s="94" t="str">
        <f t="shared" si="3532"/>
        <v/>
      </c>
      <c r="K3531" s="100"/>
      <c r="L3531" s="100"/>
      <c r="N3531" s="100"/>
      <c r="O3531" s="100"/>
      <c r="P3531" s="100"/>
    </row>
    <row r="3532">
      <c r="A3532" s="107">
        <v>1626195.0</v>
      </c>
      <c r="B3532" s="108" t="s">
        <v>193</v>
      </c>
      <c r="C3532" s="108" t="s">
        <v>862</v>
      </c>
      <c r="D3532" s="112" t="s">
        <v>177</v>
      </c>
      <c r="E3532" s="112">
        <v>375.1</v>
      </c>
      <c r="F3532" s="111" t="str">
        <f>DataPull!D3532</f>
        <v/>
      </c>
      <c r="G3532" s="94" t="str">
        <f t="shared" si="2"/>
        <v/>
      </c>
      <c r="H3532" s="94" t="str">
        <f t="shared" si="3"/>
        <v/>
      </c>
      <c r="I3532" s="94" t="str">
        <f t="shared" ref="I3532:J3532" si="3533">if(G3532 = "", , -G3532)</f>
        <v/>
      </c>
      <c r="J3532" s="94" t="str">
        <f t="shared" si="3533"/>
        <v/>
      </c>
      <c r="K3532" s="100"/>
      <c r="M3532" s="100"/>
      <c r="N3532" s="100"/>
      <c r="O3532" s="100"/>
      <c r="P3532" s="100"/>
    </row>
    <row r="3533">
      <c r="A3533" s="107">
        <v>1626195.0</v>
      </c>
      <c r="B3533" s="108" t="s">
        <v>243</v>
      </c>
      <c r="C3533" s="108" t="s">
        <v>862</v>
      </c>
      <c r="D3533" s="112" t="s">
        <v>177</v>
      </c>
      <c r="E3533" s="112">
        <v>846.0</v>
      </c>
      <c r="F3533" s="111" t="str">
        <f>DataPull!D3533</f>
        <v/>
      </c>
      <c r="G3533" s="94" t="str">
        <f t="shared" si="2"/>
        <v/>
      </c>
      <c r="H3533" s="94" t="str">
        <f t="shared" si="3"/>
        <v/>
      </c>
      <c r="I3533" s="94" t="str">
        <f t="shared" ref="I3533:J3533" si="3534">if(G3533 = "", , -G3533)</f>
        <v/>
      </c>
      <c r="J3533" s="94" t="str">
        <f t="shared" si="3534"/>
        <v/>
      </c>
      <c r="K3533" s="100"/>
      <c r="L3533" s="100"/>
      <c r="N3533" s="100"/>
      <c r="O3533" s="100"/>
      <c r="P3533" s="100"/>
    </row>
    <row r="3534">
      <c r="A3534" s="107">
        <v>1626195.0</v>
      </c>
      <c r="B3534" s="108" t="s">
        <v>215</v>
      </c>
      <c r="C3534" s="108" t="s">
        <v>862</v>
      </c>
      <c r="D3534" s="112" t="s">
        <v>177</v>
      </c>
      <c r="E3534" s="112">
        <v>840.0</v>
      </c>
      <c r="F3534" s="111" t="str">
        <f>DataPull!D3534</f>
        <v/>
      </c>
      <c r="G3534" s="94" t="str">
        <f t="shared" si="2"/>
        <v/>
      </c>
      <c r="H3534" s="94" t="str">
        <f t="shared" si="3"/>
        <v/>
      </c>
      <c r="I3534" s="94" t="str">
        <f t="shared" ref="I3534:J3534" si="3535">if(G3534 = "", , -G3534)</f>
        <v/>
      </c>
      <c r="J3534" s="94" t="str">
        <f t="shared" si="3535"/>
        <v/>
      </c>
      <c r="K3534" s="100"/>
      <c r="M3534" s="100"/>
      <c r="N3534" s="100"/>
      <c r="O3534" s="100"/>
      <c r="P3534" s="100"/>
    </row>
    <row r="3535">
      <c r="A3535" s="107">
        <v>1626195.0</v>
      </c>
      <c r="B3535" s="108" t="s">
        <v>244</v>
      </c>
      <c r="C3535" s="108" t="s">
        <v>862</v>
      </c>
      <c r="D3535" s="112" t="s">
        <v>177</v>
      </c>
      <c r="E3535" s="112">
        <v>456.0</v>
      </c>
      <c r="F3535" s="111" t="str">
        <f>DataPull!D3535</f>
        <v/>
      </c>
      <c r="G3535" s="94" t="str">
        <f t="shared" si="2"/>
        <v/>
      </c>
      <c r="H3535" s="94" t="str">
        <f t="shared" si="3"/>
        <v/>
      </c>
      <c r="I3535" s="94" t="str">
        <f t="shared" ref="I3535:J3535" si="3536">if(G3535 = "", , -G3535)</f>
        <v/>
      </c>
      <c r="J3535" s="94" t="str">
        <f t="shared" si="3536"/>
        <v/>
      </c>
      <c r="K3535" s="100"/>
      <c r="M3535" s="100"/>
      <c r="N3535" s="100"/>
      <c r="O3535" s="100"/>
      <c r="P3535" s="100"/>
    </row>
    <row r="3536">
      <c r="A3536" s="107">
        <v>1626196.0</v>
      </c>
      <c r="B3536" s="108" t="s">
        <v>92</v>
      </c>
      <c r="C3536" s="108" t="s">
        <v>863</v>
      </c>
      <c r="D3536" s="112" t="s">
        <v>176</v>
      </c>
      <c r="E3536" s="112">
        <v>1107.6</v>
      </c>
      <c r="F3536" s="111" t="str">
        <f>DataPull!D3536</f>
        <v/>
      </c>
      <c r="G3536" s="94" t="str">
        <f t="shared" si="2"/>
        <v/>
      </c>
      <c r="H3536" s="94" t="str">
        <f t="shared" si="3"/>
        <v/>
      </c>
      <c r="I3536" s="94" t="str">
        <f t="shared" ref="I3536:J3536" si="3537">if(G3536 = "", , -G3536)</f>
        <v/>
      </c>
      <c r="J3536" s="94" t="str">
        <f t="shared" si="3537"/>
        <v/>
      </c>
      <c r="K3536" s="100"/>
      <c r="M3536" s="100"/>
      <c r="N3536" s="100"/>
      <c r="O3536" s="100"/>
      <c r="P3536" s="100"/>
    </row>
    <row r="3537">
      <c r="A3537" s="107">
        <v>1626196.0</v>
      </c>
      <c r="B3537" s="108" t="s">
        <v>190</v>
      </c>
      <c r="C3537" s="108" t="s">
        <v>863</v>
      </c>
      <c r="D3537" s="112" t="s">
        <v>178</v>
      </c>
      <c r="E3537" s="112">
        <v>1616.5</v>
      </c>
      <c r="F3537" s="111" t="str">
        <f>DataPull!D3537</f>
        <v/>
      </c>
      <c r="G3537" s="94" t="str">
        <f t="shared" si="2"/>
        <v/>
      </c>
      <c r="H3537" s="94" t="str">
        <f t="shared" si="3"/>
        <v/>
      </c>
      <c r="I3537" s="94" t="str">
        <f t="shared" ref="I3537:J3537" si="3538">if(G3537 = "", , -G3537)</f>
        <v/>
      </c>
      <c r="J3537" s="94" t="str">
        <f t="shared" si="3538"/>
        <v/>
      </c>
      <c r="K3537" s="100"/>
      <c r="L3537" s="100"/>
      <c r="N3537" s="100"/>
      <c r="O3537" s="100"/>
      <c r="P3537" s="100"/>
    </row>
    <row r="3538">
      <c r="A3538" s="107">
        <v>1626196.0</v>
      </c>
      <c r="B3538" s="108" t="s">
        <v>191</v>
      </c>
      <c r="C3538" s="108" t="s">
        <v>863</v>
      </c>
      <c r="D3538" s="112" t="s">
        <v>178</v>
      </c>
      <c r="E3538" s="112">
        <v>2689.2</v>
      </c>
      <c r="F3538" s="111" t="str">
        <f>DataPull!D3538</f>
        <v/>
      </c>
      <c r="G3538" s="94" t="str">
        <f t="shared" si="2"/>
        <v/>
      </c>
      <c r="H3538" s="94" t="str">
        <f t="shared" si="3"/>
        <v/>
      </c>
      <c r="I3538" s="94" t="str">
        <f t="shared" ref="I3538:J3538" si="3539">if(G3538 = "", , -G3538)</f>
        <v/>
      </c>
      <c r="J3538" s="94" t="str">
        <f t="shared" si="3539"/>
        <v/>
      </c>
      <c r="K3538" s="100"/>
      <c r="M3538" s="100"/>
      <c r="N3538" s="100"/>
      <c r="O3538" s="100"/>
      <c r="P3538" s="100"/>
    </row>
    <row r="3539">
      <c r="A3539" s="107">
        <v>1626196.0</v>
      </c>
      <c r="B3539" s="108" t="s">
        <v>192</v>
      </c>
      <c r="C3539" s="108" t="s">
        <v>863</v>
      </c>
      <c r="D3539" s="112" t="s">
        <v>178</v>
      </c>
      <c r="E3539" s="112">
        <v>2540.4</v>
      </c>
      <c r="F3539" s="111" t="str">
        <f>DataPull!D3539</f>
        <v/>
      </c>
      <c r="G3539" s="94" t="str">
        <f t="shared" si="2"/>
        <v/>
      </c>
      <c r="H3539" s="94" t="str">
        <f t="shared" si="3"/>
        <v/>
      </c>
      <c r="I3539" s="94" t="str">
        <f t="shared" ref="I3539:J3539" si="3540">if(G3539 = "", , -G3539)</f>
        <v/>
      </c>
      <c r="J3539" s="94" t="str">
        <f t="shared" si="3540"/>
        <v/>
      </c>
      <c r="K3539" s="100"/>
      <c r="M3539" s="100"/>
      <c r="N3539" s="100"/>
      <c r="O3539" s="100"/>
      <c r="P3539" s="100"/>
    </row>
    <row r="3540">
      <c r="A3540" s="107">
        <v>1626196.0</v>
      </c>
      <c r="B3540" s="108" t="s">
        <v>193</v>
      </c>
      <c r="C3540" s="108" t="s">
        <v>863</v>
      </c>
      <c r="D3540" s="112" t="s">
        <v>178</v>
      </c>
      <c r="E3540" s="112">
        <v>1694.0</v>
      </c>
      <c r="F3540" s="111" t="str">
        <f>DataPull!D3540</f>
        <v/>
      </c>
      <c r="G3540" s="94" t="str">
        <f t="shared" si="2"/>
        <v/>
      </c>
      <c r="H3540" s="94" t="str">
        <f t="shared" si="3"/>
        <v/>
      </c>
      <c r="I3540" s="94" t="str">
        <f t="shared" ref="I3540:J3540" si="3541">if(G3540 = "", , -G3540)</f>
        <v/>
      </c>
      <c r="J3540" s="94" t="str">
        <f t="shared" si="3541"/>
        <v/>
      </c>
      <c r="K3540" s="100"/>
      <c r="M3540" s="100"/>
      <c r="N3540" s="100"/>
      <c r="O3540" s="100"/>
      <c r="P3540" s="100"/>
    </row>
    <row r="3541">
      <c r="A3541" s="107">
        <v>1626196.0</v>
      </c>
      <c r="B3541" s="108" t="s">
        <v>243</v>
      </c>
      <c r="C3541" s="108" t="s">
        <v>863</v>
      </c>
      <c r="D3541" s="112" t="s">
        <v>178</v>
      </c>
      <c r="E3541" s="112">
        <v>1787.7</v>
      </c>
      <c r="F3541" s="111" t="str">
        <f>DataPull!D3541</f>
        <v/>
      </c>
      <c r="G3541" s="94" t="str">
        <f t="shared" si="2"/>
        <v/>
      </c>
      <c r="H3541" s="94" t="str">
        <f t="shared" si="3"/>
        <v/>
      </c>
      <c r="I3541" s="94" t="str">
        <f t="shared" ref="I3541:J3541" si="3542">if(G3541 = "", , -G3541)</f>
        <v/>
      </c>
      <c r="J3541" s="94" t="str">
        <f t="shared" si="3542"/>
        <v/>
      </c>
      <c r="K3541" s="100"/>
      <c r="M3541" s="100"/>
      <c r="N3541" s="100"/>
      <c r="O3541" s="100"/>
      <c r="P3541" s="100"/>
    </row>
    <row r="3542">
      <c r="A3542" s="107">
        <v>1626196.0</v>
      </c>
      <c r="B3542" s="108" t="s">
        <v>215</v>
      </c>
      <c r="C3542" s="108" t="s">
        <v>863</v>
      </c>
      <c r="D3542" s="112" t="s">
        <v>176</v>
      </c>
      <c r="E3542" s="112">
        <v>1599.0</v>
      </c>
      <c r="F3542" s="111" t="str">
        <f>DataPull!D3542</f>
        <v/>
      </c>
      <c r="G3542" s="94" t="str">
        <f t="shared" si="2"/>
        <v/>
      </c>
      <c r="H3542" s="94" t="str">
        <f t="shared" si="3"/>
        <v/>
      </c>
      <c r="I3542" s="94" t="str">
        <f t="shared" ref="I3542:J3542" si="3543">if(G3542 = "", , -G3542)</f>
        <v/>
      </c>
      <c r="J3542" s="94" t="str">
        <f t="shared" si="3543"/>
        <v/>
      </c>
      <c r="K3542" s="100"/>
      <c r="M3542" s="100"/>
      <c r="N3542" s="100"/>
      <c r="O3542" s="100"/>
      <c r="P3542" s="100"/>
    </row>
    <row r="3543">
      <c r="A3543" s="107">
        <v>1626196.0</v>
      </c>
      <c r="B3543" s="108" t="s">
        <v>244</v>
      </c>
      <c r="C3543" s="108" t="s">
        <v>863</v>
      </c>
      <c r="D3543" s="112" t="s">
        <v>176</v>
      </c>
      <c r="E3543" s="112">
        <v>1527.5</v>
      </c>
      <c r="F3543" s="111" t="str">
        <f>DataPull!D3543</f>
        <v/>
      </c>
      <c r="G3543" s="94" t="str">
        <f t="shared" si="2"/>
        <v/>
      </c>
      <c r="H3543" s="94" t="str">
        <f t="shared" si="3"/>
        <v/>
      </c>
      <c r="I3543" s="94" t="str">
        <f t="shared" ref="I3543:J3543" si="3544">if(G3543 = "", , -G3543)</f>
        <v/>
      </c>
      <c r="J3543" s="94" t="str">
        <f t="shared" si="3544"/>
        <v/>
      </c>
      <c r="K3543" s="100"/>
      <c r="M3543" s="100"/>
      <c r="N3543" s="100"/>
      <c r="O3543" s="100"/>
      <c r="P3543" s="100"/>
    </row>
    <row r="3544">
      <c r="A3544" s="107">
        <v>1626196.0</v>
      </c>
      <c r="B3544" s="108" t="s">
        <v>245</v>
      </c>
      <c r="C3544" s="108" t="s">
        <v>863</v>
      </c>
      <c r="D3544" s="112" t="s">
        <v>176</v>
      </c>
      <c r="E3544" s="112">
        <v>1100.8</v>
      </c>
      <c r="F3544" s="111" t="str">
        <f>DataPull!D3544</f>
        <v/>
      </c>
      <c r="G3544" s="94" t="str">
        <f t="shared" si="2"/>
        <v/>
      </c>
      <c r="H3544" s="94" t="str">
        <f t="shared" si="3"/>
        <v/>
      </c>
      <c r="I3544" s="94" t="str">
        <f t="shared" ref="I3544:J3544" si="3545">if(G3544 = "", , -G3544)</f>
        <v/>
      </c>
      <c r="J3544" s="94" t="str">
        <f t="shared" si="3545"/>
        <v/>
      </c>
      <c r="K3544" s="100"/>
      <c r="M3544" s="100"/>
      <c r="N3544" s="100"/>
      <c r="O3544" s="100"/>
      <c r="P3544" s="100"/>
    </row>
    <row r="3545">
      <c r="A3545" s="107">
        <v>1626196.0</v>
      </c>
      <c r="B3545" s="108" t="s">
        <v>246</v>
      </c>
      <c r="C3545" s="108" t="s">
        <v>863</v>
      </c>
      <c r="D3545" s="112" t="s">
        <v>181</v>
      </c>
      <c r="E3545" s="112">
        <v>149.6</v>
      </c>
      <c r="F3545" s="111" t="str">
        <f>DataPull!D3545</f>
        <v/>
      </c>
      <c r="G3545" s="94" t="str">
        <f t="shared" si="2"/>
        <v/>
      </c>
      <c r="H3545" s="94" t="str">
        <f t="shared" si="3"/>
        <v/>
      </c>
      <c r="I3545" s="94" t="str">
        <f t="shared" ref="I3545:J3545" si="3546">if(G3545 = "", , -G3545)</f>
        <v/>
      </c>
      <c r="J3545" s="94" t="str">
        <f t="shared" si="3546"/>
        <v/>
      </c>
      <c r="K3545" s="100"/>
      <c r="M3545" s="100"/>
      <c r="N3545" s="100"/>
      <c r="O3545" s="100"/>
      <c r="P3545" s="100"/>
    </row>
    <row r="3546">
      <c r="A3546" s="107">
        <v>1626199.0</v>
      </c>
      <c r="B3546" s="108" t="s">
        <v>92</v>
      </c>
      <c r="C3546" s="108" t="s">
        <v>864</v>
      </c>
      <c r="D3546" s="112" t="s">
        <v>177</v>
      </c>
      <c r="E3546" s="112">
        <v>383.8</v>
      </c>
      <c r="F3546" s="111" t="str">
        <f>DataPull!D3546</f>
        <v/>
      </c>
      <c r="G3546" s="94" t="str">
        <f t="shared" si="2"/>
        <v/>
      </c>
      <c r="H3546" s="94" t="str">
        <f t="shared" si="3"/>
        <v/>
      </c>
      <c r="I3546" s="94" t="str">
        <f t="shared" ref="I3546:J3546" si="3547">if(G3546 = "", , -G3546)</f>
        <v/>
      </c>
      <c r="J3546" s="94" t="str">
        <f t="shared" si="3547"/>
        <v/>
      </c>
      <c r="K3546" s="100"/>
      <c r="M3546" s="100"/>
      <c r="N3546" s="100"/>
      <c r="O3546" s="100"/>
      <c r="P3546" s="100"/>
    </row>
    <row r="3547">
      <c r="A3547" s="107">
        <v>1626199.0</v>
      </c>
      <c r="B3547" s="108" t="s">
        <v>190</v>
      </c>
      <c r="C3547" s="108" t="s">
        <v>864</v>
      </c>
      <c r="D3547" s="112" t="s">
        <v>187</v>
      </c>
      <c r="E3547" s="112">
        <v>382.2</v>
      </c>
      <c r="F3547" s="111" t="str">
        <f>DataPull!D3547</f>
        <v/>
      </c>
      <c r="G3547" s="94" t="str">
        <f t="shared" si="2"/>
        <v/>
      </c>
      <c r="H3547" s="94" t="str">
        <f t="shared" si="3"/>
        <v/>
      </c>
      <c r="I3547" s="94" t="str">
        <f t="shared" ref="I3547:J3547" si="3548">if(G3547 = "", , -G3547)</f>
        <v/>
      </c>
      <c r="J3547" s="94" t="str">
        <f t="shared" si="3548"/>
        <v/>
      </c>
      <c r="K3547" s="100"/>
      <c r="M3547" s="100"/>
      <c r="N3547" s="100"/>
      <c r="O3547" s="100"/>
      <c r="P3547" s="100"/>
    </row>
    <row r="3548">
      <c r="A3548" s="107">
        <v>1626199.0</v>
      </c>
      <c r="B3548" s="108" t="s">
        <v>191</v>
      </c>
      <c r="C3548" s="108" t="s">
        <v>864</v>
      </c>
      <c r="D3548" s="112" t="s">
        <v>187</v>
      </c>
      <c r="E3548" s="112">
        <v>95.2</v>
      </c>
      <c r="F3548" s="111" t="str">
        <f>DataPull!D3548</f>
        <v/>
      </c>
      <c r="G3548" s="94" t="str">
        <f t="shared" si="2"/>
        <v/>
      </c>
      <c r="H3548" s="94" t="str">
        <f t="shared" si="3"/>
        <v/>
      </c>
      <c r="I3548" s="94" t="str">
        <f t="shared" ref="I3548:J3548" si="3549">if(G3548 = "", , -G3548)</f>
        <v/>
      </c>
      <c r="J3548" s="94" t="str">
        <f t="shared" si="3549"/>
        <v/>
      </c>
      <c r="K3548" s="100"/>
      <c r="M3548" s="100"/>
      <c r="N3548" s="100"/>
      <c r="O3548" s="100"/>
      <c r="P3548" s="100"/>
    </row>
    <row r="3549">
      <c r="A3549" s="107">
        <v>1626202.0</v>
      </c>
      <c r="B3549" s="108" t="s">
        <v>92</v>
      </c>
      <c r="C3549" s="108" t="s">
        <v>865</v>
      </c>
      <c r="D3549" s="112" t="s">
        <v>187</v>
      </c>
      <c r="E3549" s="112">
        <v>385.4</v>
      </c>
      <c r="F3549" s="111" t="str">
        <f>DataPull!D3549</f>
        <v/>
      </c>
      <c r="G3549" s="94" t="str">
        <f t="shared" si="2"/>
        <v/>
      </c>
      <c r="H3549" s="94" t="str">
        <f t="shared" si="3"/>
        <v/>
      </c>
      <c r="I3549" s="94" t="str">
        <f t="shared" ref="I3549:J3549" si="3550">if(G3549 = "", , -G3549)</f>
        <v/>
      </c>
      <c r="J3549" s="94" t="str">
        <f t="shared" si="3550"/>
        <v/>
      </c>
      <c r="K3549" s="100"/>
      <c r="L3549" s="100"/>
      <c r="M3549" s="100"/>
      <c r="N3549" s="100"/>
      <c r="O3549" s="100"/>
      <c r="P3549" s="100"/>
    </row>
    <row r="3550">
      <c r="A3550" s="107">
        <v>1626202.0</v>
      </c>
      <c r="B3550" s="108" t="s">
        <v>190</v>
      </c>
      <c r="C3550" s="108" t="s">
        <v>865</v>
      </c>
      <c r="D3550" s="112" t="s">
        <v>187</v>
      </c>
      <c r="E3550" s="112">
        <v>135.3</v>
      </c>
      <c r="F3550" s="111" t="str">
        <f>DataPull!D3550</f>
        <v/>
      </c>
      <c r="G3550" s="94" t="str">
        <f t="shared" si="2"/>
        <v/>
      </c>
      <c r="H3550" s="94" t="str">
        <f t="shared" si="3"/>
        <v/>
      </c>
      <c r="I3550" s="94" t="str">
        <f t="shared" ref="I3550:J3550" si="3551">if(G3550 = "", , -G3550)</f>
        <v/>
      </c>
      <c r="J3550" s="94" t="str">
        <f t="shared" si="3551"/>
        <v/>
      </c>
      <c r="K3550" s="100"/>
      <c r="M3550" s="100"/>
      <c r="N3550" s="100"/>
      <c r="O3550" s="100"/>
      <c r="P3550" s="100"/>
    </row>
    <row r="3551">
      <c r="A3551" s="107">
        <v>1626202.0</v>
      </c>
      <c r="B3551" s="108" t="s">
        <v>191</v>
      </c>
      <c r="C3551" s="108" t="s">
        <v>865</v>
      </c>
      <c r="D3551" s="112" t="s">
        <v>187</v>
      </c>
      <c r="E3551" s="112">
        <v>556.5</v>
      </c>
      <c r="F3551" s="111" t="str">
        <f>DataPull!D3551</f>
        <v/>
      </c>
      <c r="G3551" s="94" t="str">
        <f t="shared" si="2"/>
        <v/>
      </c>
      <c r="H3551" s="94" t="str">
        <f t="shared" si="3"/>
        <v/>
      </c>
      <c r="I3551" s="94" t="str">
        <f t="shared" ref="I3551:J3551" si="3552">if(G3551 = "", , -G3551)</f>
        <v/>
      </c>
      <c r="J3551" s="94" t="str">
        <f t="shared" si="3552"/>
        <v/>
      </c>
      <c r="K3551" s="100"/>
      <c r="M3551" s="100"/>
      <c r="N3551" s="100"/>
      <c r="O3551" s="100"/>
      <c r="P3551" s="100"/>
    </row>
    <row r="3552">
      <c r="A3552" s="107">
        <v>1626203.0</v>
      </c>
      <c r="B3552" s="108" t="s">
        <v>190</v>
      </c>
      <c r="C3552" s="108" t="s">
        <v>866</v>
      </c>
      <c r="D3552" s="112" t="s">
        <v>187</v>
      </c>
      <c r="E3552" s="112">
        <v>189.0</v>
      </c>
      <c r="F3552" s="111" t="str">
        <f>DataPull!D3552</f>
        <v/>
      </c>
      <c r="G3552" s="94" t="str">
        <f t="shared" si="2"/>
        <v/>
      </c>
      <c r="H3552" s="94" t="str">
        <f t="shared" si="3"/>
        <v/>
      </c>
      <c r="I3552" s="94" t="str">
        <f t="shared" ref="I3552:J3552" si="3553">if(G3552 = "", , -G3552)</f>
        <v/>
      </c>
      <c r="J3552" s="94" t="str">
        <f t="shared" si="3553"/>
        <v/>
      </c>
      <c r="K3552" s="100"/>
      <c r="M3552" s="100"/>
      <c r="N3552" s="100"/>
      <c r="O3552" s="100"/>
      <c r="P3552" s="100"/>
    </row>
    <row r="3553">
      <c r="A3553" s="107">
        <v>1626203.0</v>
      </c>
      <c r="B3553" s="108" t="s">
        <v>191</v>
      </c>
      <c r="C3553" s="108" t="s">
        <v>866</v>
      </c>
      <c r="D3553" s="112" t="s">
        <v>177</v>
      </c>
      <c r="E3553" s="112">
        <v>1052.1</v>
      </c>
      <c r="F3553" s="111" t="str">
        <f>DataPull!D3553</f>
        <v/>
      </c>
      <c r="G3553" s="94" t="str">
        <f t="shared" si="2"/>
        <v/>
      </c>
      <c r="H3553" s="94" t="str">
        <f t="shared" si="3"/>
        <v/>
      </c>
      <c r="I3553" s="94" t="str">
        <f t="shared" ref="I3553:J3553" si="3554">if(G3553 = "", , -G3553)</f>
        <v/>
      </c>
      <c r="J3553" s="94" t="str">
        <f t="shared" si="3554"/>
        <v/>
      </c>
      <c r="K3553" s="100"/>
      <c r="M3553" s="100"/>
      <c r="N3553" s="100"/>
      <c r="O3553" s="100"/>
      <c r="P3553" s="100"/>
    </row>
    <row r="3554">
      <c r="A3554" s="107">
        <v>1626203.0</v>
      </c>
      <c r="B3554" s="108" t="s">
        <v>192</v>
      </c>
      <c r="C3554" s="108" t="s">
        <v>866</v>
      </c>
      <c r="D3554" s="112" t="s">
        <v>176</v>
      </c>
      <c r="E3554" s="112">
        <v>714.0</v>
      </c>
      <c r="F3554" s="111" t="str">
        <f>DataPull!D3554</f>
        <v/>
      </c>
      <c r="G3554" s="94" t="str">
        <f t="shared" si="2"/>
        <v/>
      </c>
      <c r="H3554" s="94" t="str">
        <f t="shared" si="3"/>
        <v/>
      </c>
      <c r="I3554" s="94" t="str">
        <f t="shared" ref="I3554:J3554" si="3555">if(G3554 = "", , -G3554)</f>
        <v/>
      </c>
      <c r="J3554" s="94" t="str">
        <f t="shared" si="3555"/>
        <v/>
      </c>
      <c r="K3554" s="100"/>
      <c r="L3554" s="100"/>
      <c r="N3554" s="100"/>
      <c r="O3554" s="100"/>
      <c r="P3554" s="100"/>
    </row>
    <row r="3555">
      <c r="A3555" s="107">
        <v>1626203.0</v>
      </c>
      <c r="B3555" s="108" t="s">
        <v>193</v>
      </c>
      <c r="C3555" s="108" t="s">
        <v>866</v>
      </c>
      <c r="D3555" s="112" t="s">
        <v>177</v>
      </c>
      <c r="E3555" s="112">
        <v>929.5</v>
      </c>
      <c r="F3555" s="111" t="str">
        <f>DataPull!D3555</f>
        <v/>
      </c>
      <c r="G3555" s="94" t="str">
        <f t="shared" si="2"/>
        <v/>
      </c>
      <c r="H3555" s="94" t="str">
        <f t="shared" si="3"/>
        <v/>
      </c>
      <c r="I3555" s="94" t="str">
        <f t="shared" ref="I3555:J3555" si="3556">if(G3555 = "", , -G3555)</f>
        <v/>
      </c>
      <c r="J3555" s="94" t="str">
        <f t="shared" si="3556"/>
        <v/>
      </c>
      <c r="K3555" s="100"/>
      <c r="N3555" s="100"/>
      <c r="O3555" s="100"/>
    </row>
    <row r="3556">
      <c r="A3556" s="107">
        <v>1626204.0</v>
      </c>
      <c r="B3556" s="108" t="s">
        <v>92</v>
      </c>
      <c r="C3556" s="108" t="s">
        <v>867</v>
      </c>
      <c r="D3556" s="112" t="s">
        <v>176</v>
      </c>
      <c r="E3556" s="112">
        <v>1266.3</v>
      </c>
      <c r="F3556" s="111" t="str">
        <f>DataPull!D3556</f>
        <v/>
      </c>
      <c r="G3556" s="94" t="str">
        <f t="shared" si="2"/>
        <v/>
      </c>
      <c r="H3556" s="94" t="str">
        <f t="shared" si="3"/>
        <v/>
      </c>
      <c r="I3556" s="94" t="str">
        <f t="shared" ref="I3556:J3556" si="3557">if(G3556 = "", , -G3556)</f>
        <v/>
      </c>
      <c r="J3556" s="94" t="str">
        <f t="shared" si="3557"/>
        <v/>
      </c>
      <c r="K3556" s="100"/>
      <c r="L3556" s="100"/>
      <c r="M3556" s="100"/>
      <c r="N3556" s="100"/>
      <c r="O3556" s="100"/>
    </row>
    <row r="3557">
      <c r="A3557" s="107">
        <v>1626204.0</v>
      </c>
      <c r="B3557" s="108" t="s">
        <v>190</v>
      </c>
      <c r="C3557" s="108" t="s">
        <v>867</v>
      </c>
      <c r="D3557" s="112" t="s">
        <v>176</v>
      </c>
      <c r="E3557" s="112">
        <v>1442.7</v>
      </c>
      <c r="F3557" s="111" t="str">
        <f>DataPull!D3557</f>
        <v/>
      </c>
      <c r="G3557" s="94" t="str">
        <f t="shared" si="2"/>
        <v/>
      </c>
      <c r="H3557" s="94" t="str">
        <f t="shared" si="3"/>
        <v/>
      </c>
      <c r="I3557" s="94" t="str">
        <f t="shared" ref="I3557:J3557" si="3558">if(G3557 = "", , -G3557)</f>
        <v/>
      </c>
      <c r="J3557" s="94" t="str">
        <f t="shared" si="3558"/>
        <v/>
      </c>
      <c r="K3557" s="100"/>
      <c r="L3557" s="100"/>
      <c r="M3557" s="100"/>
      <c r="N3557" s="100"/>
      <c r="O3557" s="100"/>
      <c r="P3557" s="100"/>
    </row>
    <row r="3558">
      <c r="A3558" s="107">
        <v>1626204.0</v>
      </c>
      <c r="B3558" s="108" t="s">
        <v>191</v>
      </c>
      <c r="C3558" s="108" t="s">
        <v>867</v>
      </c>
      <c r="D3558" s="112" t="s">
        <v>176</v>
      </c>
      <c r="E3558" s="112">
        <v>1419.0</v>
      </c>
      <c r="F3558" s="111" t="str">
        <f>DataPull!D3558</f>
        <v/>
      </c>
      <c r="G3558" s="94" t="str">
        <f t="shared" si="2"/>
        <v/>
      </c>
      <c r="H3558" s="94" t="str">
        <f t="shared" si="3"/>
        <v/>
      </c>
      <c r="I3558" s="94" t="str">
        <f t="shared" ref="I3558:J3558" si="3559">if(G3558 = "", , -G3558)</f>
        <v/>
      </c>
      <c r="J3558" s="94" t="str">
        <f t="shared" si="3559"/>
        <v/>
      </c>
      <c r="K3558" s="100"/>
      <c r="L3558" s="100"/>
      <c r="N3558" s="100"/>
      <c r="O3558" s="100"/>
    </row>
    <row r="3559">
      <c r="A3559" s="107">
        <v>1626204.0</v>
      </c>
      <c r="B3559" s="108" t="s">
        <v>192</v>
      </c>
      <c r="C3559" s="108" t="s">
        <v>867</v>
      </c>
      <c r="D3559" s="112" t="s">
        <v>176</v>
      </c>
      <c r="E3559" s="112">
        <v>1795.6</v>
      </c>
      <c r="F3559" s="111" t="str">
        <f>DataPull!D3559</f>
        <v/>
      </c>
      <c r="G3559" s="94" t="str">
        <f t="shared" si="2"/>
        <v/>
      </c>
      <c r="H3559" s="94" t="str">
        <f t="shared" si="3"/>
        <v/>
      </c>
      <c r="I3559" s="94" t="str">
        <f t="shared" ref="I3559:J3559" si="3560">if(G3559 = "", , -G3559)</f>
        <v/>
      </c>
      <c r="J3559" s="94" t="str">
        <f t="shared" si="3560"/>
        <v/>
      </c>
      <c r="K3559" s="100"/>
      <c r="L3559" s="100"/>
      <c r="N3559" s="100"/>
      <c r="O3559" s="100"/>
      <c r="P3559" s="100"/>
    </row>
    <row r="3560">
      <c r="A3560" s="107">
        <v>1626204.0</v>
      </c>
      <c r="B3560" s="108" t="s">
        <v>193</v>
      </c>
      <c r="C3560" s="108" t="s">
        <v>867</v>
      </c>
      <c r="D3560" s="112" t="s">
        <v>176</v>
      </c>
      <c r="E3560" s="112">
        <v>1472.8</v>
      </c>
      <c r="F3560" s="111" t="str">
        <f>DataPull!D3560</f>
        <v/>
      </c>
      <c r="G3560" s="94" t="str">
        <f t="shared" si="2"/>
        <v/>
      </c>
      <c r="H3560" s="94" t="str">
        <f t="shared" si="3"/>
        <v/>
      </c>
      <c r="I3560" s="94" t="str">
        <f t="shared" ref="I3560:J3560" si="3561">if(G3560 = "", , -G3560)</f>
        <v/>
      </c>
      <c r="J3560" s="94" t="str">
        <f t="shared" si="3561"/>
        <v/>
      </c>
      <c r="K3560" s="100"/>
      <c r="M3560" s="100"/>
      <c r="N3560" s="100"/>
      <c r="O3560" s="100"/>
      <c r="P3560" s="100"/>
    </row>
    <row r="3561">
      <c r="A3561" s="107">
        <v>1626204.0</v>
      </c>
      <c r="B3561" s="108" t="s">
        <v>243</v>
      </c>
      <c r="C3561" s="108" t="s">
        <v>867</v>
      </c>
      <c r="D3561" s="112" t="s">
        <v>178</v>
      </c>
      <c r="E3561" s="112">
        <v>1092.0</v>
      </c>
      <c r="F3561" s="111" t="str">
        <f>DataPull!D3561</f>
        <v/>
      </c>
      <c r="G3561" s="94" t="str">
        <f t="shared" si="2"/>
        <v/>
      </c>
      <c r="H3561" s="94" t="str">
        <f t="shared" si="3"/>
        <v/>
      </c>
      <c r="I3561" s="94" t="str">
        <f t="shared" ref="I3561:J3561" si="3562">if(G3561 = "", , -G3561)</f>
        <v/>
      </c>
      <c r="J3561" s="94" t="str">
        <f t="shared" si="3562"/>
        <v/>
      </c>
      <c r="K3561" s="100"/>
      <c r="M3561" s="100"/>
      <c r="N3561" s="100"/>
      <c r="O3561" s="100"/>
      <c r="P3561" s="100"/>
    </row>
    <row r="3562">
      <c r="A3562" s="107">
        <v>1626204.0</v>
      </c>
      <c r="B3562" s="108" t="s">
        <v>215</v>
      </c>
      <c r="C3562" s="108" t="s">
        <v>867</v>
      </c>
      <c r="D3562" s="112" t="s">
        <v>176</v>
      </c>
      <c r="E3562" s="112">
        <v>1039.6</v>
      </c>
      <c r="F3562" s="111" t="str">
        <f>DataPull!D3562</f>
        <v/>
      </c>
      <c r="G3562" s="94" t="str">
        <f t="shared" si="2"/>
        <v/>
      </c>
      <c r="H3562" s="94" t="str">
        <f t="shared" si="3"/>
        <v/>
      </c>
      <c r="I3562" s="94" t="str">
        <f t="shared" ref="I3562:J3562" si="3563">if(G3562 = "", , -G3562)</f>
        <v/>
      </c>
      <c r="J3562" s="94" t="str">
        <f t="shared" si="3563"/>
        <v/>
      </c>
      <c r="K3562" s="100"/>
      <c r="M3562" s="100"/>
      <c r="N3562" s="100"/>
      <c r="O3562" s="100"/>
      <c r="P3562" s="100"/>
    </row>
    <row r="3563">
      <c r="A3563" s="107">
        <v>1626204.0</v>
      </c>
      <c r="B3563" s="108" t="s">
        <v>244</v>
      </c>
      <c r="C3563" s="108" t="s">
        <v>867</v>
      </c>
      <c r="D3563" s="112" t="s">
        <v>176</v>
      </c>
      <c r="E3563" s="112">
        <v>1378.0</v>
      </c>
      <c r="F3563" s="111" t="str">
        <f>DataPull!D3563</f>
        <v/>
      </c>
      <c r="G3563" s="94" t="str">
        <f t="shared" si="2"/>
        <v/>
      </c>
      <c r="H3563" s="94" t="str">
        <f t="shared" si="3"/>
        <v/>
      </c>
      <c r="I3563" s="94" t="str">
        <f t="shared" ref="I3563:J3563" si="3564">if(G3563 = "", , -G3563)</f>
        <v/>
      </c>
      <c r="J3563" s="94" t="str">
        <f t="shared" si="3564"/>
        <v/>
      </c>
      <c r="K3563" s="100"/>
      <c r="M3563" s="100"/>
      <c r="N3563" s="100"/>
      <c r="O3563" s="100"/>
      <c r="P3563" s="100"/>
    </row>
    <row r="3564">
      <c r="A3564" s="107">
        <v>1626204.0</v>
      </c>
      <c r="B3564" s="108" t="s">
        <v>245</v>
      </c>
      <c r="C3564" s="108" t="s">
        <v>867</v>
      </c>
      <c r="D3564" s="112" t="s">
        <v>177</v>
      </c>
      <c r="E3564" s="112">
        <v>1213.9</v>
      </c>
      <c r="F3564" s="111" t="str">
        <f>DataPull!D3564</f>
        <v/>
      </c>
      <c r="G3564" s="94" t="str">
        <f t="shared" si="2"/>
        <v/>
      </c>
      <c r="H3564" s="94" t="str">
        <f t="shared" si="3"/>
        <v/>
      </c>
      <c r="I3564" s="94" t="str">
        <f t="shared" ref="I3564:J3564" si="3565">if(G3564 = "", , -G3564)</f>
        <v/>
      </c>
      <c r="J3564" s="94" t="str">
        <f t="shared" si="3565"/>
        <v/>
      </c>
      <c r="K3564" s="100"/>
      <c r="M3564" s="100"/>
      <c r="N3564" s="100"/>
      <c r="O3564" s="100"/>
      <c r="P3564" s="100"/>
    </row>
    <row r="3565">
      <c r="A3565" s="107">
        <v>1626204.0</v>
      </c>
      <c r="B3565" s="108" t="s">
        <v>246</v>
      </c>
      <c r="C3565" s="108" t="s">
        <v>867</v>
      </c>
      <c r="D3565" s="112" t="s">
        <v>177</v>
      </c>
      <c r="E3565" s="112">
        <v>463.2</v>
      </c>
      <c r="F3565" s="111" t="str">
        <f>DataPull!D3565</f>
        <v/>
      </c>
      <c r="G3565" s="94" t="str">
        <f t="shared" si="2"/>
        <v/>
      </c>
      <c r="H3565" s="94" t="str">
        <f t="shared" si="3"/>
        <v/>
      </c>
      <c r="I3565" s="94" t="str">
        <f t="shared" ref="I3565:J3565" si="3566">if(G3565 = "", , -G3565)</f>
        <v/>
      </c>
      <c r="J3565" s="94" t="str">
        <f t="shared" si="3566"/>
        <v/>
      </c>
      <c r="K3565" s="100"/>
      <c r="M3565" s="100"/>
      <c r="N3565" s="100"/>
      <c r="O3565" s="100"/>
      <c r="P3565" s="100"/>
    </row>
    <row r="3566">
      <c r="A3566" s="114">
        <v>1626204.0</v>
      </c>
      <c r="B3566" s="113" t="s">
        <v>247</v>
      </c>
      <c r="C3566" s="108" t="s">
        <v>867</v>
      </c>
      <c r="D3566" s="112" t="s">
        <v>177</v>
      </c>
      <c r="E3566" s="112">
        <v>448.0</v>
      </c>
      <c r="F3566" s="111" t="str">
        <f>DataPull!D3566</f>
        <v/>
      </c>
      <c r="G3566" s="94" t="str">
        <f t="shared" si="2"/>
        <v/>
      </c>
      <c r="H3566" s="94" t="str">
        <f t="shared" si="3"/>
        <v/>
      </c>
      <c r="I3566" s="94" t="str">
        <f t="shared" ref="I3566:J3566" si="3567">if(G3566 = "", , -G3566)</f>
        <v/>
      </c>
      <c r="J3566" s="94" t="str">
        <f t="shared" si="3567"/>
        <v/>
      </c>
      <c r="K3566" s="100"/>
      <c r="M3566" s="100"/>
      <c r="N3566" s="100"/>
      <c r="O3566" s="100"/>
      <c r="P3566" s="100"/>
    </row>
    <row r="3567">
      <c r="A3567" s="107">
        <v>1626205.0</v>
      </c>
      <c r="B3567" s="108" t="s">
        <v>191</v>
      </c>
      <c r="C3567" s="108" t="s">
        <v>868</v>
      </c>
      <c r="D3567" s="112" t="s">
        <v>181</v>
      </c>
      <c r="E3567" s="112">
        <v>7.6</v>
      </c>
      <c r="F3567" s="111" t="str">
        <f>DataPull!D3567</f>
        <v/>
      </c>
      <c r="G3567" s="94" t="str">
        <f t="shared" si="2"/>
        <v/>
      </c>
      <c r="H3567" s="94" t="str">
        <f t="shared" si="3"/>
        <v/>
      </c>
      <c r="I3567" s="94" t="str">
        <f t="shared" ref="I3567:J3567" si="3568">if(G3567 = "", , -G3567)</f>
        <v/>
      </c>
      <c r="J3567" s="94" t="str">
        <f t="shared" si="3568"/>
        <v/>
      </c>
      <c r="K3567" s="100"/>
      <c r="M3567" s="100"/>
      <c r="N3567" s="100"/>
      <c r="O3567" s="100"/>
      <c r="P3567" s="100"/>
    </row>
    <row r="3568">
      <c r="A3568" s="107">
        <v>1626208.0</v>
      </c>
      <c r="B3568" s="108" t="s">
        <v>215</v>
      </c>
      <c r="C3568" s="108" t="s">
        <v>869</v>
      </c>
      <c r="D3568" s="112" t="s">
        <v>177</v>
      </c>
      <c r="E3568" s="112">
        <v>566.4</v>
      </c>
      <c r="F3568" s="111" t="str">
        <f>DataPull!D3568</f>
        <v/>
      </c>
      <c r="G3568" s="94" t="str">
        <f t="shared" si="2"/>
        <v/>
      </c>
      <c r="H3568" s="94" t="str">
        <f t="shared" si="3"/>
        <v/>
      </c>
      <c r="I3568" s="94" t="str">
        <f t="shared" ref="I3568:J3568" si="3569">if(G3568 = "", , -G3568)</f>
        <v/>
      </c>
      <c r="J3568" s="94" t="str">
        <f t="shared" si="3569"/>
        <v/>
      </c>
      <c r="K3568" s="100"/>
      <c r="M3568" s="100"/>
      <c r="N3568" s="100"/>
      <c r="O3568" s="100"/>
      <c r="P3568" s="100"/>
    </row>
    <row r="3569">
      <c r="A3569" s="107">
        <v>1626209.0</v>
      </c>
      <c r="B3569" s="108" t="s">
        <v>92</v>
      </c>
      <c r="C3569" s="108" t="s">
        <v>870</v>
      </c>
      <c r="D3569" s="112" t="s">
        <v>177</v>
      </c>
      <c r="E3569" s="112">
        <v>1414.1</v>
      </c>
      <c r="F3569" s="111" t="str">
        <f>DataPull!D3569</f>
        <v/>
      </c>
      <c r="G3569" s="94" t="str">
        <f t="shared" si="2"/>
        <v/>
      </c>
      <c r="H3569" s="94" t="str">
        <f t="shared" si="3"/>
        <v/>
      </c>
      <c r="I3569" s="94" t="str">
        <f t="shared" ref="I3569:J3569" si="3570">if(G3569 = "", , -G3569)</f>
        <v/>
      </c>
      <c r="J3569" s="94" t="str">
        <f t="shared" si="3570"/>
        <v/>
      </c>
      <c r="K3569" s="100"/>
      <c r="M3569" s="100"/>
      <c r="N3569" s="100"/>
      <c r="O3569" s="100"/>
      <c r="P3569" s="100"/>
    </row>
    <row r="3570">
      <c r="A3570" s="107">
        <v>1626209.0</v>
      </c>
      <c r="B3570" s="108" t="s">
        <v>190</v>
      </c>
      <c r="C3570" s="108" t="s">
        <v>870</v>
      </c>
      <c r="D3570" s="112" t="s">
        <v>177</v>
      </c>
      <c r="E3570" s="112">
        <v>962.0</v>
      </c>
      <c r="F3570" s="111" t="str">
        <f>DataPull!D3570</f>
        <v/>
      </c>
      <c r="G3570" s="94" t="str">
        <f t="shared" si="2"/>
        <v/>
      </c>
      <c r="H3570" s="94" t="str">
        <f t="shared" si="3"/>
        <v/>
      </c>
      <c r="I3570" s="94" t="str">
        <f t="shared" ref="I3570:J3570" si="3571">if(G3570 = "", , -G3570)</f>
        <v/>
      </c>
      <c r="J3570" s="94" t="str">
        <f t="shared" si="3571"/>
        <v/>
      </c>
      <c r="K3570" s="100"/>
      <c r="M3570" s="100"/>
      <c r="N3570" s="100"/>
      <c r="O3570" s="100"/>
      <c r="P3570" s="100"/>
    </row>
    <row r="3571">
      <c r="A3571" s="107">
        <v>1626209.0</v>
      </c>
      <c r="B3571" s="108" t="s">
        <v>191</v>
      </c>
      <c r="C3571" s="108" t="s">
        <v>870</v>
      </c>
      <c r="D3571" s="112" t="s">
        <v>176</v>
      </c>
      <c r="E3571" s="112">
        <v>1657.5</v>
      </c>
      <c r="F3571" s="111" t="str">
        <f>DataPull!D3571</f>
        <v/>
      </c>
      <c r="G3571" s="94" t="str">
        <f t="shared" si="2"/>
        <v/>
      </c>
      <c r="H3571" s="94" t="str">
        <f t="shared" si="3"/>
        <v/>
      </c>
      <c r="I3571" s="94" t="str">
        <f t="shared" ref="I3571:J3571" si="3572">if(G3571 = "", , -G3571)</f>
        <v/>
      </c>
      <c r="J3571" s="94" t="str">
        <f t="shared" si="3572"/>
        <v/>
      </c>
      <c r="K3571" s="100"/>
      <c r="M3571" s="100"/>
      <c r="N3571" s="100"/>
      <c r="O3571" s="100"/>
      <c r="P3571" s="100"/>
    </row>
    <row r="3572">
      <c r="A3572" s="107">
        <v>1626209.0</v>
      </c>
      <c r="B3572" s="108" t="s">
        <v>192</v>
      </c>
      <c r="C3572" s="108" t="s">
        <v>870</v>
      </c>
      <c r="D3572" s="112" t="s">
        <v>176</v>
      </c>
      <c r="E3572" s="112">
        <v>1206.4</v>
      </c>
      <c r="F3572" s="111" t="str">
        <f>DataPull!D3572</f>
        <v/>
      </c>
      <c r="G3572" s="94" t="str">
        <f t="shared" si="2"/>
        <v/>
      </c>
      <c r="H3572" s="94" t="str">
        <f t="shared" si="3"/>
        <v/>
      </c>
      <c r="I3572" s="94" t="str">
        <f t="shared" ref="I3572:J3572" si="3573">if(G3572 = "", , -G3572)</f>
        <v/>
      </c>
      <c r="J3572" s="94" t="str">
        <f t="shared" si="3573"/>
        <v/>
      </c>
      <c r="K3572" s="100"/>
      <c r="M3572" s="100"/>
      <c r="N3572" s="100"/>
      <c r="O3572" s="100"/>
      <c r="P3572" s="100"/>
    </row>
    <row r="3573">
      <c r="A3573" s="107">
        <v>1626209.0</v>
      </c>
      <c r="B3573" s="108" t="s">
        <v>193</v>
      </c>
      <c r="C3573" s="108" t="s">
        <v>870</v>
      </c>
      <c r="D3573" s="112" t="s">
        <v>177</v>
      </c>
      <c r="E3573" s="112">
        <v>869.2</v>
      </c>
      <c r="F3573" s="111" t="str">
        <f>DataPull!D3573</f>
        <v/>
      </c>
      <c r="G3573" s="94" t="str">
        <f t="shared" si="2"/>
        <v/>
      </c>
      <c r="H3573" s="94" t="str">
        <f t="shared" si="3"/>
        <v/>
      </c>
      <c r="I3573" s="94" t="str">
        <f t="shared" ref="I3573:J3573" si="3574">if(G3573 = "", , -G3573)</f>
        <v/>
      </c>
      <c r="J3573" s="94" t="str">
        <f t="shared" si="3574"/>
        <v/>
      </c>
      <c r="K3573" s="100"/>
      <c r="L3573" s="100"/>
      <c r="M3573" s="100"/>
      <c r="N3573" s="100"/>
      <c r="O3573" s="100"/>
      <c r="P3573" s="100"/>
    </row>
    <row r="3574">
      <c r="A3574" s="107">
        <v>1626210.0</v>
      </c>
      <c r="B3574" s="108" t="s">
        <v>92</v>
      </c>
      <c r="C3574" s="108" t="s">
        <v>871</v>
      </c>
      <c r="D3574" s="112" t="s">
        <v>187</v>
      </c>
      <c r="E3574" s="112">
        <v>68.0</v>
      </c>
      <c r="F3574" s="111" t="str">
        <f>DataPull!D3574</f>
        <v/>
      </c>
      <c r="G3574" s="94" t="str">
        <f t="shared" si="2"/>
        <v/>
      </c>
      <c r="H3574" s="94" t="str">
        <f t="shared" si="3"/>
        <v/>
      </c>
      <c r="I3574" s="94" t="str">
        <f t="shared" ref="I3574:J3574" si="3575">if(G3574 = "", , -G3574)</f>
        <v/>
      </c>
      <c r="J3574" s="94" t="str">
        <f t="shared" si="3575"/>
        <v/>
      </c>
      <c r="K3574" s="100"/>
      <c r="M3574" s="100"/>
      <c r="N3574" s="100"/>
      <c r="O3574" s="100"/>
      <c r="P3574" s="100"/>
    </row>
    <row r="3575">
      <c r="A3575" s="107">
        <v>1626210.0</v>
      </c>
      <c r="B3575" s="108" t="s">
        <v>190</v>
      </c>
      <c r="C3575" s="108" t="s">
        <v>871</v>
      </c>
      <c r="D3575" s="112" t="s">
        <v>177</v>
      </c>
      <c r="E3575" s="112">
        <v>709.7</v>
      </c>
      <c r="F3575" s="111" t="str">
        <f>DataPull!D3575</f>
        <v/>
      </c>
      <c r="G3575" s="94" t="str">
        <f t="shared" si="2"/>
        <v/>
      </c>
      <c r="H3575" s="94" t="str">
        <f t="shared" si="3"/>
        <v/>
      </c>
      <c r="I3575" s="94" t="str">
        <f t="shared" ref="I3575:J3575" si="3576">if(G3575 = "", , -G3575)</f>
        <v/>
      </c>
      <c r="J3575" s="94" t="str">
        <f t="shared" si="3576"/>
        <v/>
      </c>
      <c r="K3575" s="100"/>
      <c r="L3575" s="100"/>
      <c r="M3575" s="100"/>
      <c r="N3575" s="100"/>
      <c r="O3575" s="100"/>
      <c r="P3575" s="100"/>
    </row>
    <row r="3576">
      <c r="A3576" s="107">
        <v>1626210.0</v>
      </c>
      <c r="B3576" s="108" t="s">
        <v>191</v>
      </c>
      <c r="C3576" s="108" t="s">
        <v>871</v>
      </c>
      <c r="D3576" s="112" t="s">
        <v>181</v>
      </c>
      <c r="E3576" s="112">
        <v>70.5</v>
      </c>
      <c r="F3576" s="111" t="str">
        <f>DataPull!D3576</f>
        <v/>
      </c>
      <c r="G3576" s="94" t="str">
        <f t="shared" si="2"/>
        <v/>
      </c>
      <c r="H3576" s="94" t="str">
        <f t="shared" si="3"/>
        <v/>
      </c>
      <c r="I3576" s="94" t="str">
        <f t="shared" ref="I3576:J3576" si="3577">if(G3576 = "", , -G3576)</f>
        <v/>
      </c>
      <c r="J3576" s="94" t="str">
        <f t="shared" si="3577"/>
        <v/>
      </c>
      <c r="K3576" s="100"/>
      <c r="M3576" s="100"/>
      <c r="N3576" s="100"/>
      <c r="O3576" s="100"/>
      <c r="P3576" s="100"/>
    </row>
    <row r="3577">
      <c r="A3577" s="107">
        <v>1626210.0</v>
      </c>
      <c r="B3577" s="108" t="s">
        <v>192</v>
      </c>
      <c r="C3577" s="108" t="s">
        <v>871</v>
      </c>
      <c r="D3577" s="112" t="s">
        <v>181</v>
      </c>
      <c r="E3577" s="112">
        <v>25.5</v>
      </c>
      <c r="F3577" s="111" t="str">
        <f>DataPull!D3577</f>
        <v/>
      </c>
      <c r="G3577" s="94" t="str">
        <f t="shared" si="2"/>
        <v/>
      </c>
      <c r="H3577" s="94" t="str">
        <f t="shared" si="3"/>
        <v/>
      </c>
      <c r="I3577" s="94" t="str">
        <f t="shared" ref="I3577:J3577" si="3578">if(G3577 = "", , -G3577)</f>
        <v/>
      </c>
      <c r="J3577" s="94" t="str">
        <f t="shared" si="3578"/>
        <v/>
      </c>
      <c r="K3577" s="100"/>
      <c r="M3577" s="100"/>
      <c r="N3577" s="100"/>
      <c r="O3577" s="100"/>
      <c r="P3577" s="100"/>
    </row>
    <row r="3578">
      <c r="A3578" s="107">
        <v>1626214.0</v>
      </c>
      <c r="B3578" s="108" t="s">
        <v>92</v>
      </c>
      <c r="C3578" s="108" t="s">
        <v>872</v>
      </c>
      <c r="D3578" s="112" t="s">
        <v>187</v>
      </c>
      <c r="E3578" s="112">
        <v>278.6</v>
      </c>
      <c r="F3578" s="111" t="str">
        <f>DataPull!D3578</f>
        <v/>
      </c>
      <c r="G3578" s="94" t="str">
        <f t="shared" si="2"/>
        <v/>
      </c>
      <c r="H3578" s="94" t="str">
        <f t="shared" si="3"/>
        <v/>
      </c>
      <c r="I3578" s="94" t="str">
        <f t="shared" ref="I3578:J3578" si="3579">if(G3578 = "", , -G3578)</f>
        <v/>
      </c>
      <c r="J3578" s="94" t="str">
        <f t="shared" si="3579"/>
        <v/>
      </c>
      <c r="K3578" s="100"/>
      <c r="M3578" s="100"/>
      <c r="N3578" s="100"/>
      <c r="O3578" s="100"/>
      <c r="P3578" s="100"/>
    </row>
    <row r="3579">
      <c r="A3579" s="107">
        <v>1626220.0</v>
      </c>
      <c r="B3579" s="108" t="s">
        <v>191</v>
      </c>
      <c r="C3579" s="108" t="s">
        <v>873</v>
      </c>
      <c r="D3579" s="112" t="s">
        <v>187</v>
      </c>
      <c r="E3579" s="112">
        <v>1152.3</v>
      </c>
      <c r="F3579" s="111" t="str">
        <f>DataPull!D3579</f>
        <v/>
      </c>
      <c r="G3579" s="94" t="str">
        <f t="shared" si="2"/>
        <v/>
      </c>
      <c r="H3579" s="94" t="str">
        <f t="shared" si="3"/>
        <v/>
      </c>
      <c r="I3579" s="94" t="str">
        <f t="shared" ref="I3579:J3579" si="3580">if(G3579 = "", , -G3579)</f>
        <v/>
      </c>
      <c r="J3579" s="94" t="str">
        <f t="shared" si="3580"/>
        <v/>
      </c>
      <c r="K3579" s="100"/>
      <c r="M3579" s="100"/>
      <c r="N3579" s="100"/>
      <c r="O3579" s="100"/>
      <c r="P3579" s="100"/>
    </row>
    <row r="3580">
      <c r="A3580" s="107">
        <v>1626220.0</v>
      </c>
      <c r="B3580" s="108" t="s">
        <v>192</v>
      </c>
      <c r="C3580" s="108" t="s">
        <v>873</v>
      </c>
      <c r="D3580" s="112" t="s">
        <v>176</v>
      </c>
      <c r="E3580" s="112">
        <v>1672.8</v>
      </c>
      <c r="F3580" s="111" t="str">
        <f>DataPull!D3580</f>
        <v/>
      </c>
      <c r="G3580" s="94" t="str">
        <f t="shared" si="2"/>
        <v/>
      </c>
      <c r="H3580" s="94" t="str">
        <f t="shared" si="3"/>
        <v/>
      </c>
      <c r="I3580" s="94" t="str">
        <f t="shared" ref="I3580:J3580" si="3581">if(G3580 = "", , -G3580)</f>
        <v/>
      </c>
      <c r="J3580" s="94" t="str">
        <f t="shared" si="3581"/>
        <v/>
      </c>
      <c r="K3580" s="100"/>
      <c r="M3580" s="100"/>
      <c r="N3580" s="100"/>
      <c r="O3580" s="100"/>
      <c r="P3580" s="100"/>
    </row>
    <row r="3581">
      <c r="A3581" s="107">
        <v>1626220.0</v>
      </c>
      <c r="B3581" s="108" t="s">
        <v>193</v>
      </c>
      <c r="C3581" s="108" t="s">
        <v>873</v>
      </c>
      <c r="D3581" s="112" t="s">
        <v>176</v>
      </c>
      <c r="E3581" s="112">
        <v>2051.9</v>
      </c>
      <c r="F3581" s="111" t="str">
        <f>DataPull!D3581</f>
        <v/>
      </c>
      <c r="G3581" s="94" t="str">
        <f t="shared" si="2"/>
        <v/>
      </c>
      <c r="H3581" s="94" t="str">
        <f t="shared" si="3"/>
        <v/>
      </c>
      <c r="I3581" s="94" t="str">
        <f t="shared" ref="I3581:J3581" si="3582">if(G3581 = "", , -G3581)</f>
        <v/>
      </c>
      <c r="J3581" s="94" t="str">
        <f t="shared" si="3582"/>
        <v/>
      </c>
      <c r="K3581" s="100"/>
      <c r="M3581" s="100"/>
      <c r="N3581" s="100"/>
      <c r="O3581" s="100"/>
      <c r="P3581" s="100"/>
    </row>
    <row r="3582">
      <c r="A3582" s="107">
        <v>1626220.0</v>
      </c>
      <c r="B3582" s="108" t="s">
        <v>243</v>
      </c>
      <c r="C3582" s="108" t="s">
        <v>873</v>
      </c>
      <c r="D3582" s="112" t="s">
        <v>178</v>
      </c>
      <c r="E3582" s="112">
        <v>2243.6</v>
      </c>
      <c r="F3582" s="111" t="str">
        <f>DataPull!D3582</f>
        <v/>
      </c>
      <c r="G3582" s="94" t="str">
        <f t="shared" si="2"/>
        <v/>
      </c>
      <c r="H3582" s="94" t="str">
        <f t="shared" si="3"/>
        <v/>
      </c>
      <c r="I3582" s="94" t="str">
        <f t="shared" ref="I3582:J3582" si="3583">if(G3582 = "", , -G3582)</f>
        <v/>
      </c>
      <c r="J3582" s="94" t="str">
        <f t="shared" si="3583"/>
        <v/>
      </c>
      <c r="K3582" s="100"/>
      <c r="M3582" s="100"/>
      <c r="N3582" s="100"/>
      <c r="O3582" s="100"/>
      <c r="P3582" s="100"/>
    </row>
    <row r="3583">
      <c r="A3583" s="107">
        <v>1626220.0</v>
      </c>
      <c r="B3583" s="108" t="s">
        <v>215</v>
      </c>
      <c r="C3583" s="108" t="s">
        <v>873</v>
      </c>
      <c r="D3583" s="112" t="s">
        <v>178</v>
      </c>
      <c r="E3583" s="112">
        <v>2402.4</v>
      </c>
      <c r="F3583" s="111" t="str">
        <f>DataPull!D3583</f>
        <v/>
      </c>
      <c r="G3583" s="94" t="str">
        <f t="shared" si="2"/>
        <v/>
      </c>
      <c r="H3583" s="94" t="str">
        <f t="shared" si="3"/>
        <v/>
      </c>
      <c r="I3583" s="94" t="str">
        <f t="shared" ref="I3583:J3583" si="3584">if(G3583 = "", , -G3583)</f>
        <v/>
      </c>
      <c r="J3583" s="94" t="str">
        <f t="shared" si="3584"/>
        <v/>
      </c>
      <c r="K3583" s="100"/>
      <c r="M3583" s="100"/>
      <c r="N3583" s="100"/>
      <c r="O3583" s="100"/>
      <c r="P3583" s="100"/>
    </row>
    <row r="3584">
      <c r="A3584" s="107">
        <v>1626220.0</v>
      </c>
      <c r="B3584" s="108" t="s">
        <v>244</v>
      </c>
      <c r="C3584" s="108" t="s">
        <v>873</v>
      </c>
      <c r="D3584" s="112" t="s">
        <v>178</v>
      </c>
      <c r="E3584" s="112">
        <v>2409.2</v>
      </c>
      <c r="F3584" s="111" t="str">
        <f>DataPull!D3584</f>
        <v/>
      </c>
      <c r="G3584" s="94" t="str">
        <f t="shared" si="2"/>
        <v/>
      </c>
      <c r="H3584" s="94" t="str">
        <f t="shared" si="3"/>
        <v/>
      </c>
      <c r="I3584" s="94" t="str">
        <f t="shared" ref="I3584:J3584" si="3585">if(G3584 = "", , -G3584)</f>
        <v/>
      </c>
      <c r="J3584" s="94" t="str">
        <f t="shared" si="3585"/>
        <v/>
      </c>
      <c r="K3584" s="100"/>
      <c r="M3584" s="100"/>
      <c r="N3584" s="100"/>
      <c r="O3584" s="100"/>
      <c r="P3584" s="100"/>
    </row>
    <row r="3585">
      <c r="A3585" s="107">
        <v>1626220.0</v>
      </c>
      <c r="B3585" s="108" t="s">
        <v>245</v>
      </c>
      <c r="C3585" s="108" t="s">
        <v>873</v>
      </c>
      <c r="D3585" s="112" t="s">
        <v>176</v>
      </c>
      <c r="E3585" s="112">
        <v>1951.3</v>
      </c>
      <c r="F3585" s="111" t="str">
        <f>DataPull!D3585</f>
        <v/>
      </c>
      <c r="G3585" s="94" t="str">
        <f t="shared" si="2"/>
        <v/>
      </c>
      <c r="H3585" s="94" t="str">
        <f t="shared" si="3"/>
        <v/>
      </c>
      <c r="I3585" s="94" t="str">
        <f t="shared" ref="I3585:J3585" si="3586">if(G3585 = "", , -G3585)</f>
        <v/>
      </c>
      <c r="J3585" s="94" t="str">
        <f t="shared" si="3586"/>
        <v/>
      </c>
      <c r="K3585" s="100"/>
      <c r="M3585" s="100"/>
      <c r="N3585" s="100"/>
      <c r="O3585" s="100"/>
      <c r="P3585" s="100"/>
    </row>
    <row r="3586">
      <c r="A3586" s="107">
        <v>1626220.0</v>
      </c>
      <c r="B3586" s="108" t="s">
        <v>246</v>
      </c>
      <c r="C3586" s="108" t="s">
        <v>873</v>
      </c>
      <c r="D3586" s="112" t="s">
        <v>178</v>
      </c>
      <c r="E3586" s="112">
        <v>1837.5</v>
      </c>
      <c r="F3586" s="111" t="str">
        <f>DataPull!D3586</f>
        <v/>
      </c>
      <c r="G3586" s="94" t="str">
        <f t="shared" si="2"/>
        <v/>
      </c>
      <c r="H3586" s="94" t="str">
        <f t="shared" si="3"/>
        <v/>
      </c>
      <c r="I3586" s="94" t="str">
        <f t="shared" ref="I3586:J3586" si="3587">if(G3586 = "", , -G3586)</f>
        <v/>
      </c>
      <c r="J3586" s="94" t="str">
        <f t="shared" si="3587"/>
        <v/>
      </c>
      <c r="K3586" s="100"/>
      <c r="M3586" s="100"/>
      <c r="N3586" s="100"/>
      <c r="O3586" s="100"/>
      <c r="P3586" s="100"/>
    </row>
    <row r="3587">
      <c r="A3587" s="114">
        <v>1626220.0</v>
      </c>
      <c r="B3587" s="113" t="s">
        <v>247</v>
      </c>
      <c r="C3587" s="108" t="s">
        <v>873</v>
      </c>
      <c r="D3587" s="112" t="s">
        <v>178</v>
      </c>
      <c r="E3587" s="112">
        <v>2215.2</v>
      </c>
      <c r="F3587" s="111" t="str">
        <f>DataPull!D3587</f>
        <v/>
      </c>
      <c r="G3587" s="94" t="str">
        <f t="shared" si="2"/>
        <v/>
      </c>
      <c r="H3587" s="94" t="str">
        <f t="shared" si="3"/>
        <v/>
      </c>
      <c r="I3587" s="94" t="str">
        <f t="shared" ref="I3587:J3587" si="3588">if(G3587 = "", , -G3587)</f>
        <v/>
      </c>
      <c r="J3587" s="94" t="str">
        <f t="shared" si="3588"/>
        <v/>
      </c>
      <c r="K3587" s="100"/>
      <c r="M3587" s="100"/>
      <c r="N3587" s="100"/>
      <c r="O3587" s="100"/>
      <c r="P3587" s="100"/>
    </row>
    <row r="3588">
      <c r="A3588" s="107">
        <v>1626224.0</v>
      </c>
      <c r="B3588" s="108" t="s">
        <v>191</v>
      </c>
      <c r="C3588" s="108" t="s">
        <v>874</v>
      </c>
      <c r="D3588" s="112" t="s">
        <v>177</v>
      </c>
      <c r="E3588" s="112">
        <v>671.0</v>
      </c>
      <c r="F3588" s="111" t="str">
        <f>DataPull!D3588</f>
        <v/>
      </c>
      <c r="G3588" s="94" t="str">
        <f t="shared" si="2"/>
        <v/>
      </c>
      <c r="H3588" s="94" t="str">
        <f t="shared" si="3"/>
        <v/>
      </c>
      <c r="I3588" s="94" t="str">
        <f t="shared" ref="I3588:J3588" si="3589">if(G3588 = "", , -G3588)</f>
        <v/>
      </c>
      <c r="J3588" s="94" t="str">
        <f t="shared" si="3589"/>
        <v/>
      </c>
      <c r="K3588" s="100"/>
      <c r="M3588" s="100"/>
      <c r="N3588" s="100"/>
      <c r="O3588" s="100"/>
      <c r="P3588" s="100"/>
    </row>
    <row r="3589">
      <c r="A3589" s="107">
        <v>1626224.0</v>
      </c>
      <c r="B3589" s="108" t="s">
        <v>192</v>
      </c>
      <c r="C3589" s="108" t="s">
        <v>874</v>
      </c>
      <c r="D3589" s="112" t="s">
        <v>178</v>
      </c>
      <c r="E3589" s="112">
        <v>2447.2</v>
      </c>
      <c r="F3589" s="111" t="str">
        <f>DataPull!D3589</f>
        <v/>
      </c>
      <c r="G3589" s="94" t="str">
        <f t="shared" si="2"/>
        <v/>
      </c>
      <c r="H3589" s="94" t="str">
        <f t="shared" si="3"/>
        <v/>
      </c>
      <c r="I3589" s="94" t="str">
        <f t="shared" ref="I3589:J3589" si="3590">if(G3589 = "", , -G3589)</f>
        <v/>
      </c>
      <c r="J3589" s="94" t="str">
        <f t="shared" si="3590"/>
        <v/>
      </c>
      <c r="K3589" s="100"/>
      <c r="M3589" s="100"/>
      <c r="N3589" s="100"/>
      <c r="O3589" s="100"/>
      <c r="P3589" s="100"/>
    </row>
    <row r="3590">
      <c r="A3590" s="107">
        <v>1626224.0</v>
      </c>
      <c r="B3590" s="108" t="s">
        <v>193</v>
      </c>
      <c r="C3590" s="108" t="s">
        <v>874</v>
      </c>
      <c r="D3590" s="112" t="s">
        <v>178</v>
      </c>
      <c r="E3590" s="112">
        <v>1911.0</v>
      </c>
      <c r="F3590" s="111" t="str">
        <f>DataPull!D3590</f>
        <v/>
      </c>
      <c r="G3590" s="94" t="str">
        <f t="shared" si="2"/>
        <v/>
      </c>
      <c r="H3590" s="94" t="str">
        <f t="shared" si="3"/>
        <v/>
      </c>
      <c r="I3590" s="94" t="str">
        <f t="shared" ref="I3590:J3590" si="3591">if(G3590 = "", , -G3590)</f>
        <v/>
      </c>
      <c r="J3590" s="94" t="str">
        <f t="shared" si="3591"/>
        <v/>
      </c>
      <c r="K3590" s="100"/>
      <c r="L3590" s="100"/>
      <c r="N3590" s="100"/>
      <c r="O3590" s="100"/>
      <c r="P3590" s="100"/>
    </row>
    <row r="3591">
      <c r="A3591" s="107">
        <v>1626224.0</v>
      </c>
      <c r="B3591" s="108" t="s">
        <v>243</v>
      </c>
      <c r="C3591" s="108" t="s">
        <v>874</v>
      </c>
      <c r="D3591" s="112" t="s">
        <v>176</v>
      </c>
      <c r="E3591" s="112">
        <v>1510.4</v>
      </c>
      <c r="F3591" s="111" t="str">
        <f>DataPull!D3591</f>
        <v/>
      </c>
      <c r="G3591" s="94" t="str">
        <f t="shared" si="2"/>
        <v/>
      </c>
      <c r="H3591" s="94" t="str">
        <f t="shared" si="3"/>
        <v/>
      </c>
      <c r="I3591" s="94" t="str">
        <f t="shared" ref="I3591:J3591" si="3592">if(G3591 = "", , -G3591)</f>
        <v/>
      </c>
      <c r="J3591" s="94" t="str">
        <f t="shared" si="3592"/>
        <v/>
      </c>
      <c r="K3591" s="100"/>
      <c r="M3591" s="100"/>
      <c r="N3591" s="100"/>
      <c r="O3591" s="100"/>
      <c r="P3591" s="100"/>
    </row>
    <row r="3592">
      <c r="A3592" s="107">
        <v>1626224.0</v>
      </c>
      <c r="B3592" s="108" t="s">
        <v>215</v>
      </c>
      <c r="C3592" s="108" t="s">
        <v>874</v>
      </c>
      <c r="D3592" s="112" t="s">
        <v>177</v>
      </c>
      <c r="E3592" s="112">
        <v>1458.6</v>
      </c>
      <c r="F3592" s="111" t="str">
        <f>DataPull!D3592</f>
        <v/>
      </c>
      <c r="G3592" s="94" t="str">
        <f t="shared" si="2"/>
        <v/>
      </c>
      <c r="H3592" s="94" t="str">
        <f t="shared" si="3"/>
        <v/>
      </c>
      <c r="I3592" s="94" t="str">
        <f t="shared" ref="I3592:J3592" si="3593">if(G3592 = "", , -G3592)</f>
        <v/>
      </c>
      <c r="J3592" s="94" t="str">
        <f t="shared" si="3593"/>
        <v/>
      </c>
      <c r="K3592" s="100"/>
      <c r="M3592" s="100"/>
      <c r="N3592" s="100"/>
      <c r="O3592" s="100"/>
      <c r="P3592" s="100"/>
    </row>
    <row r="3593">
      <c r="A3593" s="107">
        <v>1626224.0</v>
      </c>
      <c r="B3593" s="108" t="s">
        <v>244</v>
      </c>
      <c r="C3593" s="108" t="s">
        <v>874</v>
      </c>
      <c r="D3593" s="112" t="s">
        <v>177</v>
      </c>
      <c r="E3593" s="112">
        <v>1547.7</v>
      </c>
      <c r="F3593" s="111" t="str">
        <f>DataPull!D3593</f>
        <v/>
      </c>
      <c r="G3593" s="94" t="str">
        <f t="shared" si="2"/>
        <v/>
      </c>
      <c r="H3593" s="94" t="str">
        <f t="shared" si="3"/>
        <v/>
      </c>
      <c r="I3593" s="94" t="str">
        <f t="shared" ref="I3593:J3593" si="3594">if(G3593 = "", , -G3593)</f>
        <v/>
      </c>
      <c r="J3593" s="94" t="str">
        <f t="shared" si="3594"/>
        <v/>
      </c>
      <c r="K3593" s="100"/>
      <c r="N3593" s="100"/>
      <c r="O3593" s="100"/>
      <c r="P3593" s="100"/>
    </row>
    <row r="3594">
      <c r="A3594" s="107">
        <v>1626224.0</v>
      </c>
      <c r="B3594" s="108" t="s">
        <v>245</v>
      </c>
      <c r="C3594" s="108" t="s">
        <v>874</v>
      </c>
      <c r="D3594" s="112" t="s">
        <v>177</v>
      </c>
      <c r="E3594" s="112">
        <v>1267.2</v>
      </c>
      <c r="F3594" s="111" t="str">
        <f>DataPull!D3594</f>
        <v/>
      </c>
      <c r="G3594" s="94" t="str">
        <f t="shared" si="2"/>
        <v/>
      </c>
      <c r="H3594" s="94" t="str">
        <f t="shared" si="3"/>
        <v/>
      </c>
      <c r="I3594" s="94" t="str">
        <f t="shared" ref="I3594:J3594" si="3595">if(G3594 = "", , -G3594)</f>
        <v/>
      </c>
      <c r="J3594" s="94" t="str">
        <f t="shared" si="3595"/>
        <v/>
      </c>
      <c r="K3594" s="100"/>
      <c r="M3594" s="100"/>
      <c r="N3594" s="100"/>
      <c r="O3594" s="100"/>
      <c r="P3594" s="100"/>
    </row>
    <row r="3595">
      <c r="A3595" s="107">
        <v>1626242.0</v>
      </c>
      <c r="B3595" s="108" t="s">
        <v>92</v>
      </c>
      <c r="C3595" s="108" t="s">
        <v>875</v>
      </c>
      <c r="D3595" s="112" t="s">
        <v>187</v>
      </c>
      <c r="E3595" s="112">
        <v>42.0</v>
      </c>
      <c r="F3595" s="111" t="str">
        <f>DataPull!D3595</f>
        <v/>
      </c>
      <c r="G3595" s="94" t="str">
        <f t="shared" si="2"/>
        <v/>
      </c>
      <c r="H3595" s="94" t="str">
        <f t="shared" si="3"/>
        <v/>
      </c>
      <c r="I3595" s="94" t="str">
        <f t="shared" ref="I3595:J3595" si="3596">if(G3595 = "", , -G3595)</f>
        <v/>
      </c>
      <c r="J3595" s="94" t="str">
        <f t="shared" si="3596"/>
        <v/>
      </c>
      <c r="K3595" s="100"/>
      <c r="M3595" s="100"/>
      <c r="N3595" s="100"/>
      <c r="O3595" s="100"/>
      <c r="P3595" s="100"/>
    </row>
    <row r="3596">
      <c r="A3596" s="107">
        <v>1626242.0</v>
      </c>
      <c r="B3596" s="108" t="s">
        <v>191</v>
      </c>
      <c r="C3596" s="108" t="s">
        <v>875</v>
      </c>
      <c r="D3596" s="112" t="s">
        <v>181</v>
      </c>
      <c r="E3596" s="112">
        <v>8.0</v>
      </c>
      <c r="F3596" s="111" t="str">
        <f>DataPull!D3596</f>
        <v/>
      </c>
      <c r="G3596" s="94" t="str">
        <f t="shared" si="2"/>
        <v/>
      </c>
      <c r="H3596" s="94" t="str">
        <f t="shared" si="3"/>
        <v/>
      </c>
      <c r="I3596" s="94" t="str">
        <f t="shared" ref="I3596:J3596" si="3597">if(G3596 = "", , -G3596)</f>
        <v/>
      </c>
      <c r="J3596" s="94" t="str">
        <f t="shared" si="3597"/>
        <v/>
      </c>
      <c r="K3596" s="100"/>
      <c r="M3596" s="100"/>
      <c r="N3596" s="100"/>
      <c r="O3596" s="100"/>
      <c r="P3596" s="100"/>
    </row>
    <row r="3597">
      <c r="A3597" s="107">
        <v>1626245.0</v>
      </c>
      <c r="B3597" s="108" t="s">
        <v>92</v>
      </c>
      <c r="C3597" s="108" t="s">
        <v>876</v>
      </c>
      <c r="D3597" s="112" t="s">
        <v>177</v>
      </c>
      <c r="E3597" s="112">
        <v>319.3</v>
      </c>
      <c r="F3597" s="111" t="str">
        <f>DataPull!D3597</f>
        <v/>
      </c>
      <c r="G3597" s="94" t="str">
        <f t="shared" si="2"/>
        <v/>
      </c>
      <c r="H3597" s="94" t="str">
        <f t="shared" si="3"/>
        <v/>
      </c>
      <c r="I3597" s="94" t="str">
        <f t="shared" ref="I3597:J3597" si="3598">if(G3597 = "", , -G3597)</f>
        <v/>
      </c>
      <c r="J3597" s="94" t="str">
        <f t="shared" si="3598"/>
        <v/>
      </c>
      <c r="K3597" s="100"/>
      <c r="M3597" s="100"/>
      <c r="N3597" s="100"/>
      <c r="O3597" s="100"/>
      <c r="P3597" s="100"/>
    </row>
    <row r="3598">
      <c r="A3598" s="107">
        <v>1626245.0</v>
      </c>
      <c r="B3598" s="108" t="s">
        <v>190</v>
      </c>
      <c r="C3598" s="108" t="s">
        <v>876</v>
      </c>
      <c r="D3598" s="112" t="s">
        <v>177</v>
      </c>
      <c r="E3598" s="112">
        <v>1042.8</v>
      </c>
      <c r="F3598" s="111" t="str">
        <f>DataPull!D3598</f>
        <v/>
      </c>
      <c r="G3598" s="94" t="str">
        <f t="shared" si="2"/>
        <v/>
      </c>
      <c r="H3598" s="94" t="str">
        <f t="shared" si="3"/>
        <v/>
      </c>
      <c r="I3598" s="94" t="str">
        <f t="shared" ref="I3598:J3598" si="3599">if(G3598 = "", , -G3598)</f>
        <v/>
      </c>
      <c r="J3598" s="94" t="str">
        <f t="shared" si="3599"/>
        <v/>
      </c>
      <c r="K3598" s="100"/>
      <c r="M3598" s="100"/>
      <c r="N3598" s="100"/>
      <c r="O3598" s="100"/>
      <c r="P3598" s="100"/>
    </row>
    <row r="3599">
      <c r="A3599" s="107">
        <v>1626245.0</v>
      </c>
      <c r="B3599" s="108" t="s">
        <v>191</v>
      </c>
      <c r="C3599" s="108" t="s">
        <v>876</v>
      </c>
      <c r="D3599" s="112" t="s">
        <v>177</v>
      </c>
      <c r="E3599" s="112">
        <v>979.0</v>
      </c>
      <c r="F3599" s="111" t="str">
        <f>DataPull!D3599</f>
        <v/>
      </c>
      <c r="G3599" s="94" t="str">
        <f t="shared" si="2"/>
        <v/>
      </c>
      <c r="H3599" s="94" t="str">
        <f t="shared" si="3"/>
        <v/>
      </c>
      <c r="I3599" s="94" t="str">
        <f t="shared" ref="I3599:J3599" si="3600">if(G3599 = "", , -G3599)</f>
        <v/>
      </c>
      <c r="J3599" s="94" t="str">
        <f t="shared" si="3600"/>
        <v/>
      </c>
      <c r="K3599" s="100"/>
      <c r="N3599" s="100"/>
      <c r="O3599" s="100"/>
      <c r="P3599" s="100"/>
    </row>
    <row r="3600">
      <c r="A3600" s="107">
        <v>1626245.0</v>
      </c>
      <c r="B3600" s="108" t="s">
        <v>192</v>
      </c>
      <c r="C3600" s="108" t="s">
        <v>876</v>
      </c>
      <c r="D3600" s="112" t="s">
        <v>177</v>
      </c>
      <c r="E3600" s="112">
        <v>744.0</v>
      </c>
      <c r="F3600" s="111" t="str">
        <f>DataPull!D3600</f>
        <v/>
      </c>
      <c r="G3600" s="94" t="str">
        <f t="shared" si="2"/>
        <v/>
      </c>
      <c r="H3600" s="94" t="str">
        <f t="shared" si="3"/>
        <v/>
      </c>
      <c r="I3600" s="94" t="str">
        <f t="shared" ref="I3600:J3600" si="3601">if(G3600 = "", , -G3600)</f>
        <v/>
      </c>
      <c r="J3600" s="94" t="str">
        <f t="shared" si="3601"/>
        <v/>
      </c>
      <c r="K3600" s="100"/>
      <c r="L3600" s="100"/>
      <c r="M3600" s="100"/>
      <c r="N3600" s="100"/>
      <c r="O3600" s="100"/>
      <c r="P3600" s="100"/>
    </row>
    <row r="3601">
      <c r="A3601" s="107">
        <v>1626245.0</v>
      </c>
      <c r="B3601" s="108" t="s">
        <v>193</v>
      </c>
      <c r="C3601" s="108" t="s">
        <v>876</v>
      </c>
      <c r="D3601" s="112" t="s">
        <v>177</v>
      </c>
      <c r="E3601" s="112">
        <v>385.0</v>
      </c>
      <c r="F3601" s="111" t="str">
        <f>DataPull!D3601</f>
        <v/>
      </c>
      <c r="G3601" s="94" t="str">
        <f t="shared" si="2"/>
        <v/>
      </c>
      <c r="H3601" s="94" t="str">
        <f t="shared" si="3"/>
        <v/>
      </c>
      <c r="I3601" s="94" t="str">
        <f t="shared" ref="I3601:J3601" si="3602">if(G3601 = "", , -G3601)</f>
        <v/>
      </c>
      <c r="J3601" s="94" t="str">
        <f t="shared" si="3602"/>
        <v/>
      </c>
      <c r="K3601" s="100"/>
      <c r="L3601" s="100"/>
      <c r="N3601" s="100"/>
      <c r="O3601" s="100"/>
      <c r="P3601" s="100"/>
    </row>
    <row r="3602">
      <c r="A3602" s="107">
        <v>1626245.0</v>
      </c>
      <c r="B3602" s="108" t="s">
        <v>243</v>
      </c>
      <c r="C3602" s="108" t="s">
        <v>876</v>
      </c>
      <c r="D3602" s="112" t="s">
        <v>187</v>
      </c>
      <c r="E3602" s="112">
        <v>82.8</v>
      </c>
      <c r="F3602" s="111" t="str">
        <f>DataPull!D3602</f>
        <v/>
      </c>
      <c r="G3602" s="94" t="str">
        <f t="shared" si="2"/>
        <v/>
      </c>
      <c r="H3602" s="94" t="str">
        <f t="shared" si="3"/>
        <v/>
      </c>
      <c r="I3602" s="94" t="str">
        <f t="shared" ref="I3602:J3602" si="3603">if(G3602 = "", , -G3602)</f>
        <v/>
      </c>
      <c r="J3602" s="94" t="str">
        <f t="shared" si="3603"/>
        <v/>
      </c>
      <c r="K3602" s="100"/>
      <c r="M3602" s="100"/>
      <c r="N3602" s="100"/>
      <c r="O3602" s="100"/>
      <c r="P3602" s="100"/>
    </row>
    <row r="3603">
      <c r="A3603" s="107">
        <v>1626246.0</v>
      </c>
      <c r="B3603" s="108" t="s">
        <v>92</v>
      </c>
      <c r="C3603" s="108" t="s">
        <v>877</v>
      </c>
      <c r="D3603" s="112" t="s">
        <v>187</v>
      </c>
      <c r="E3603" s="112">
        <v>507.6</v>
      </c>
      <c r="F3603" s="111" t="str">
        <f>DataPull!D3603</f>
        <v/>
      </c>
      <c r="G3603" s="94" t="str">
        <f t="shared" si="2"/>
        <v/>
      </c>
      <c r="H3603" s="94" t="str">
        <f t="shared" si="3"/>
        <v/>
      </c>
      <c r="I3603" s="94" t="str">
        <f t="shared" ref="I3603:J3603" si="3604">if(G3603 = "", , -G3603)</f>
        <v/>
      </c>
      <c r="J3603" s="94" t="str">
        <f t="shared" si="3604"/>
        <v/>
      </c>
      <c r="K3603" s="100"/>
      <c r="M3603" s="100"/>
      <c r="N3603" s="100"/>
      <c r="O3603" s="100"/>
      <c r="P3603" s="100"/>
    </row>
    <row r="3604">
      <c r="A3604" s="107">
        <v>1626246.0</v>
      </c>
      <c r="B3604" s="108" t="s">
        <v>190</v>
      </c>
      <c r="C3604" s="108" t="s">
        <v>877</v>
      </c>
      <c r="D3604" s="112" t="s">
        <v>187</v>
      </c>
      <c r="E3604" s="112">
        <v>294.0</v>
      </c>
      <c r="F3604" s="111" t="str">
        <f>DataPull!D3604</f>
        <v/>
      </c>
      <c r="G3604" s="94" t="str">
        <f t="shared" si="2"/>
        <v/>
      </c>
      <c r="H3604" s="94" t="str">
        <f t="shared" si="3"/>
        <v/>
      </c>
      <c r="I3604" s="94" t="str">
        <f t="shared" ref="I3604:J3604" si="3605">if(G3604 = "", , -G3604)</f>
        <v/>
      </c>
      <c r="J3604" s="94" t="str">
        <f t="shared" si="3605"/>
        <v/>
      </c>
      <c r="K3604" s="100"/>
      <c r="M3604" s="100"/>
      <c r="N3604" s="100"/>
      <c r="O3604" s="100"/>
      <c r="P3604" s="100"/>
    </row>
    <row r="3605">
      <c r="A3605" s="107">
        <v>1626246.0</v>
      </c>
      <c r="B3605" s="108" t="s">
        <v>191</v>
      </c>
      <c r="C3605" s="108" t="s">
        <v>877</v>
      </c>
      <c r="D3605" s="112" t="s">
        <v>187</v>
      </c>
      <c r="E3605" s="112">
        <v>339.3</v>
      </c>
      <c r="F3605" s="111" t="str">
        <f>DataPull!D3605</f>
        <v/>
      </c>
      <c r="G3605" s="94" t="str">
        <f t="shared" si="2"/>
        <v/>
      </c>
      <c r="H3605" s="94" t="str">
        <f t="shared" si="3"/>
        <v/>
      </c>
      <c r="I3605" s="94" t="str">
        <f t="shared" ref="I3605:J3605" si="3606">if(G3605 = "", , -G3605)</f>
        <v/>
      </c>
      <c r="J3605" s="94" t="str">
        <f t="shared" si="3606"/>
        <v/>
      </c>
      <c r="K3605" s="100"/>
      <c r="L3605" s="100"/>
      <c r="N3605" s="100"/>
      <c r="O3605" s="100"/>
      <c r="P3605" s="100"/>
    </row>
    <row r="3606">
      <c r="A3606" s="107">
        <v>1626246.0</v>
      </c>
      <c r="B3606" s="108" t="s">
        <v>192</v>
      </c>
      <c r="C3606" s="108" t="s">
        <v>877</v>
      </c>
      <c r="D3606" s="112" t="s">
        <v>187</v>
      </c>
      <c r="E3606" s="112">
        <v>678.6</v>
      </c>
      <c r="F3606" s="111" t="str">
        <f>DataPull!D3606</f>
        <v/>
      </c>
      <c r="G3606" s="94" t="str">
        <f t="shared" si="2"/>
        <v/>
      </c>
      <c r="H3606" s="94" t="str">
        <f t="shared" si="3"/>
        <v/>
      </c>
      <c r="I3606" s="94" t="str">
        <f t="shared" ref="I3606:J3606" si="3607">if(G3606 = "", , -G3606)</f>
        <v/>
      </c>
      <c r="J3606" s="94" t="str">
        <f t="shared" si="3607"/>
        <v/>
      </c>
      <c r="K3606" s="100"/>
      <c r="M3606" s="100"/>
      <c r="N3606" s="100"/>
      <c r="O3606" s="100"/>
      <c r="P3606" s="100"/>
    </row>
    <row r="3607">
      <c r="A3607" s="107">
        <v>1626246.0</v>
      </c>
      <c r="B3607" s="108" t="s">
        <v>193</v>
      </c>
      <c r="C3607" s="108" t="s">
        <v>877</v>
      </c>
      <c r="D3607" s="112" t="s">
        <v>187</v>
      </c>
      <c r="E3607" s="112">
        <v>422.4</v>
      </c>
      <c r="F3607" s="111" t="str">
        <f>DataPull!D3607</f>
        <v/>
      </c>
      <c r="G3607" s="94" t="str">
        <f t="shared" si="2"/>
        <v/>
      </c>
      <c r="H3607" s="94" t="str">
        <f t="shared" si="3"/>
        <v/>
      </c>
      <c r="I3607" s="94" t="str">
        <f t="shared" ref="I3607:J3607" si="3608">if(G3607 = "", , -G3607)</f>
        <v/>
      </c>
      <c r="J3607" s="94" t="str">
        <f t="shared" si="3608"/>
        <v/>
      </c>
      <c r="K3607" s="100"/>
      <c r="M3607" s="100"/>
      <c r="N3607" s="100"/>
      <c r="O3607" s="100"/>
      <c r="P3607" s="100"/>
    </row>
    <row r="3608">
      <c r="A3608" s="107">
        <v>1626246.0</v>
      </c>
      <c r="B3608" s="108" t="s">
        <v>243</v>
      </c>
      <c r="C3608" s="108" t="s">
        <v>877</v>
      </c>
      <c r="D3608" s="112" t="s">
        <v>187</v>
      </c>
      <c r="E3608" s="112">
        <v>270.6</v>
      </c>
      <c r="F3608" s="111" t="str">
        <f>DataPull!D3608</f>
        <v/>
      </c>
      <c r="G3608" s="94" t="str">
        <f t="shared" si="2"/>
        <v/>
      </c>
      <c r="H3608" s="94" t="str">
        <f t="shared" si="3"/>
        <v/>
      </c>
      <c r="I3608" s="94" t="str">
        <f t="shared" ref="I3608:J3608" si="3609">if(G3608 = "", , -G3608)</f>
        <v/>
      </c>
      <c r="J3608" s="94" t="str">
        <f t="shared" si="3609"/>
        <v/>
      </c>
      <c r="K3608" s="100"/>
      <c r="M3608" s="100"/>
      <c r="N3608" s="100"/>
      <c r="O3608" s="100"/>
      <c r="P3608" s="100"/>
    </row>
    <row r="3609">
      <c r="A3609" s="107">
        <v>1626246.0</v>
      </c>
      <c r="B3609" s="108" t="s">
        <v>215</v>
      </c>
      <c r="C3609" s="108" t="s">
        <v>877</v>
      </c>
      <c r="D3609" s="112" t="s">
        <v>187</v>
      </c>
      <c r="E3609" s="112">
        <v>128.8</v>
      </c>
      <c r="F3609" s="111" t="str">
        <f>DataPull!D3609</f>
        <v/>
      </c>
      <c r="G3609" s="94" t="str">
        <f t="shared" si="2"/>
        <v/>
      </c>
      <c r="H3609" s="94" t="str">
        <f t="shared" si="3"/>
        <v/>
      </c>
      <c r="I3609" s="94" t="str">
        <f t="shared" ref="I3609:J3609" si="3610">if(G3609 = "", , -G3609)</f>
        <v/>
      </c>
      <c r="J3609" s="94" t="str">
        <f t="shared" si="3610"/>
        <v/>
      </c>
      <c r="K3609" s="100"/>
      <c r="M3609" s="100"/>
      <c r="N3609" s="100"/>
      <c r="O3609" s="100"/>
      <c r="P3609" s="100"/>
    </row>
    <row r="3610">
      <c r="A3610" s="107">
        <v>1626246.0</v>
      </c>
      <c r="B3610" s="108" t="s">
        <v>244</v>
      </c>
      <c r="C3610" s="108" t="s">
        <v>877</v>
      </c>
      <c r="D3610" s="112" t="s">
        <v>187</v>
      </c>
      <c r="E3610" s="112">
        <v>170.5</v>
      </c>
      <c r="F3610" s="111" t="str">
        <f>DataPull!D3610</f>
        <v/>
      </c>
      <c r="G3610" s="94" t="str">
        <f t="shared" si="2"/>
        <v/>
      </c>
      <c r="H3610" s="94" t="str">
        <f t="shared" si="3"/>
        <v/>
      </c>
      <c r="I3610" s="94" t="str">
        <f t="shared" ref="I3610:J3610" si="3611">if(G3610 = "", , -G3610)</f>
        <v/>
      </c>
      <c r="J3610" s="94" t="str">
        <f t="shared" si="3611"/>
        <v/>
      </c>
      <c r="K3610" s="100"/>
      <c r="M3610" s="100"/>
      <c r="N3610" s="100"/>
      <c r="O3610" s="100"/>
      <c r="P3610" s="100"/>
    </row>
    <row r="3611">
      <c r="A3611" s="107">
        <v>1626246.0</v>
      </c>
      <c r="B3611" s="108" t="s">
        <v>245</v>
      </c>
      <c r="C3611" s="108" t="s">
        <v>877</v>
      </c>
      <c r="D3611" s="112" t="s">
        <v>187</v>
      </c>
      <c r="E3611" s="112">
        <v>71.4</v>
      </c>
      <c r="F3611" s="111" t="str">
        <f>DataPull!D3611</f>
        <v/>
      </c>
      <c r="G3611" s="94" t="str">
        <f t="shared" si="2"/>
        <v/>
      </c>
      <c r="H3611" s="94" t="str">
        <f t="shared" si="3"/>
        <v/>
      </c>
      <c r="I3611" s="94" t="str">
        <f t="shared" ref="I3611:J3611" si="3612">if(G3611 = "", , -G3611)</f>
        <v/>
      </c>
      <c r="J3611" s="94" t="str">
        <f t="shared" si="3612"/>
        <v/>
      </c>
      <c r="K3611" s="100"/>
      <c r="M3611" s="100"/>
      <c r="N3611" s="100"/>
      <c r="O3611" s="100"/>
      <c r="P3611" s="100"/>
    </row>
    <row r="3612">
      <c r="A3612" s="107">
        <v>1626251.0</v>
      </c>
      <c r="B3612" s="108" t="s">
        <v>92</v>
      </c>
      <c r="C3612" s="108" t="s">
        <v>878</v>
      </c>
      <c r="D3612" s="112" t="s">
        <v>181</v>
      </c>
      <c r="E3612" s="112">
        <v>24.2</v>
      </c>
      <c r="F3612" s="111" t="str">
        <f>DataPull!D3612</f>
        <v/>
      </c>
      <c r="G3612" s="94" t="str">
        <f t="shared" si="2"/>
        <v/>
      </c>
      <c r="H3612" s="94" t="str">
        <f t="shared" si="3"/>
        <v/>
      </c>
      <c r="I3612" s="94" t="str">
        <f t="shared" ref="I3612:J3612" si="3613">if(G3612 = "", , -G3612)</f>
        <v/>
      </c>
      <c r="J3612" s="94" t="str">
        <f t="shared" si="3613"/>
        <v/>
      </c>
      <c r="K3612" s="100"/>
      <c r="L3612" s="100"/>
      <c r="M3612" s="100"/>
      <c r="N3612" s="100"/>
      <c r="O3612" s="100"/>
      <c r="P3612" s="100"/>
    </row>
    <row r="3613">
      <c r="A3613" s="107">
        <v>1626253.0</v>
      </c>
      <c r="B3613" s="108" t="s">
        <v>92</v>
      </c>
      <c r="C3613" s="108" t="s">
        <v>879</v>
      </c>
      <c r="D3613" s="112" t="s">
        <v>177</v>
      </c>
      <c r="E3613" s="112">
        <v>304.5</v>
      </c>
      <c r="F3613" s="111" t="str">
        <f>DataPull!D3613</f>
        <v/>
      </c>
      <c r="G3613" s="94" t="str">
        <f t="shared" si="2"/>
        <v/>
      </c>
      <c r="H3613" s="94" t="str">
        <f t="shared" si="3"/>
        <v/>
      </c>
      <c r="I3613" s="94" t="str">
        <f t="shared" ref="I3613:J3613" si="3614">if(G3613 = "", , -G3613)</f>
        <v/>
      </c>
      <c r="J3613" s="94" t="str">
        <f t="shared" si="3614"/>
        <v/>
      </c>
      <c r="K3613" s="100"/>
      <c r="M3613" s="100"/>
      <c r="N3613" s="100"/>
      <c r="O3613" s="100"/>
      <c r="P3613" s="100"/>
    </row>
    <row r="3614">
      <c r="A3614" s="107">
        <v>1626253.0</v>
      </c>
      <c r="B3614" s="108" t="s">
        <v>190</v>
      </c>
      <c r="C3614" s="108" t="s">
        <v>879</v>
      </c>
      <c r="D3614" s="112" t="s">
        <v>181</v>
      </c>
      <c r="E3614" s="112">
        <v>47.6</v>
      </c>
      <c r="F3614" s="111" t="str">
        <f>DataPull!D3614</f>
        <v/>
      </c>
      <c r="G3614" s="94" t="str">
        <f t="shared" si="2"/>
        <v/>
      </c>
      <c r="H3614" s="94" t="str">
        <f t="shared" si="3"/>
        <v/>
      </c>
      <c r="I3614" s="94" t="str">
        <f t="shared" ref="I3614:J3614" si="3615">if(G3614 = "", , -G3614)</f>
        <v/>
      </c>
      <c r="J3614" s="94" t="str">
        <f t="shared" si="3615"/>
        <v/>
      </c>
      <c r="K3614" s="100"/>
      <c r="L3614" s="100"/>
      <c r="M3614" s="100"/>
      <c r="N3614" s="100"/>
      <c r="O3614" s="100"/>
      <c r="P3614" s="100"/>
    </row>
    <row r="3615">
      <c r="A3615" s="107">
        <v>1626253.0</v>
      </c>
      <c r="B3615" s="108" t="s">
        <v>243</v>
      </c>
      <c r="C3615" s="108" t="s">
        <v>879</v>
      </c>
      <c r="D3615" s="112" t="s">
        <v>187</v>
      </c>
      <c r="E3615" s="112">
        <v>61.6</v>
      </c>
      <c r="F3615" s="111" t="str">
        <f>DataPull!D3615</f>
        <v/>
      </c>
      <c r="G3615" s="94" t="str">
        <f t="shared" si="2"/>
        <v/>
      </c>
      <c r="H3615" s="94" t="str">
        <f t="shared" si="3"/>
        <v/>
      </c>
      <c r="I3615" s="94" t="str">
        <f t="shared" ref="I3615:J3615" si="3616">if(G3615 = "", , -G3615)</f>
        <v/>
      </c>
      <c r="J3615" s="94" t="str">
        <f t="shared" si="3616"/>
        <v/>
      </c>
      <c r="K3615" s="100"/>
      <c r="L3615" s="100"/>
      <c r="M3615" s="100"/>
      <c r="N3615" s="100"/>
      <c r="O3615" s="100"/>
      <c r="P3615" s="100"/>
    </row>
    <row r="3616">
      <c r="A3616" s="107">
        <v>1626254.0</v>
      </c>
      <c r="B3616" s="108" t="s">
        <v>190</v>
      </c>
      <c r="C3616" s="108" t="s">
        <v>880</v>
      </c>
      <c r="D3616" s="112" t="s">
        <v>177</v>
      </c>
      <c r="E3616" s="112">
        <v>332.8</v>
      </c>
      <c r="F3616" s="111" t="str">
        <f>DataPull!D3616</f>
        <v/>
      </c>
      <c r="G3616" s="94" t="str">
        <f t="shared" si="2"/>
        <v/>
      </c>
      <c r="H3616" s="94" t="str">
        <f t="shared" si="3"/>
        <v/>
      </c>
      <c r="I3616" s="94" t="str">
        <f t="shared" ref="I3616:J3616" si="3617">if(G3616 = "", , -G3616)</f>
        <v/>
      </c>
      <c r="J3616" s="94" t="str">
        <f t="shared" si="3617"/>
        <v/>
      </c>
      <c r="K3616" s="100"/>
      <c r="L3616" s="100"/>
      <c r="N3616" s="100"/>
      <c r="O3616" s="100"/>
      <c r="P3616" s="100"/>
    </row>
    <row r="3617">
      <c r="A3617" s="107">
        <v>1626257.0</v>
      </c>
      <c r="B3617" s="108" t="s">
        <v>92</v>
      </c>
      <c r="C3617" s="108" t="s">
        <v>881</v>
      </c>
      <c r="D3617" s="112" t="s">
        <v>177</v>
      </c>
      <c r="E3617" s="112">
        <v>397.8</v>
      </c>
      <c r="F3617" s="111" t="str">
        <f>DataPull!D3617</f>
        <v/>
      </c>
      <c r="G3617" s="94" t="str">
        <f t="shared" si="2"/>
        <v/>
      </c>
      <c r="H3617" s="94" t="str">
        <f t="shared" si="3"/>
        <v/>
      </c>
      <c r="I3617" s="94" t="str">
        <f t="shared" ref="I3617:J3617" si="3618">if(G3617 = "", , -G3617)</f>
        <v/>
      </c>
      <c r="J3617" s="94" t="str">
        <f t="shared" si="3618"/>
        <v/>
      </c>
      <c r="K3617" s="100"/>
      <c r="L3617" s="100"/>
      <c r="M3617" s="100"/>
      <c r="N3617" s="100"/>
      <c r="O3617" s="100"/>
      <c r="P3617" s="100"/>
    </row>
    <row r="3618">
      <c r="A3618" s="107">
        <v>1626257.0</v>
      </c>
      <c r="B3618" s="108" t="s">
        <v>190</v>
      </c>
      <c r="C3618" s="108" t="s">
        <v>881</v>
      </c>
      <c r="D3618" s="112" t="s">
        <v>177</v>
      </c>
      <c r="E3618" s="112">
        <v>905.2</v>
      </c>
      <c r="F3618" s="111" t="str">
        <f>DataPull!D3618</f>
        <v/>
      </c>
      <c r="G3618" s="94" t="str">
        <f t="shared" si="2"/>
        <v/>
      </c>
      <c r="H3618" s="94" t="str">
        <f t="shared" si="3"/>
        <v/>
      </c>
      <c r="I3618" s="94" t="str">
        <f t="shared" ref="I3618:J3618" si="3619">if(G3618 = "", , -G3618)</f>
        <v/>
      </c>
      <c r="J3618" s="94" t="str">
        <f t="shared" si="3619"/>
        <v/>
      </c>
      <c r="K3618" s="100"/>
      <c r="M3618" s="100"/>
      <c r="N3618" s="100"/>
      <c r="O3618" s="100"/>
      <c r="P3618" s="100"/>
    </row>
    <row r="3619">
      <c r="A3619" s="107">
        <v>1626257.0</v>
      </c>
      <c r="B3619" s="108" t="s">
        <v>191</v>
      </c>
      <c r="C3619" s="108" t="s">
        <v>881</v>
      </c>
      <c r="D3619" s="112" t="s">
        <v>177</v>
      </c>
      <c r="E3619" s="112">
        <v>725.9</v>
      </c>
      <c r="F3619" s="111" t="str">
        <f>DataPull!D3619</f>
        <v/>
      </c>
      <c r="G3619" s="94" t="str">
        <f t="shared" si="2"/>
        <v/>
      </c>
      <c r="H3619" s="94" t="str">
        <f t="shared" si="3"/>
        <v/>
      </c>
      <c r="I3619" s="94" t="str">
        <f t="shared" ref="I3619:J3619" si="3620">if(G3619 = "", , -G3619)</f>
        <v/>
      </c>
      <c r="J3619" s="94" t="str">
        <f t="shared" si="3620"/>
        <v/>
      </c>
      <c r="K3619" s="100"/>
      <c r="L3619" s="100"/>
      <c r="M3619" s="100"/>
      <c r="N3619" s="100"/>
      <c r="O3619" s="100"/>
      <c r="P3619" s="100"/>
    </row>
    <row r="3620">
      <c r="A3620" s="107">
        <v>1626257.0</v>
      </c>
      <c r="B3620" s="108" t="s">
        <v>192</v>
      </c>
      <c r="C3620" s="108" t="s">
        <v>881</v>
      </c>
      <c r="D3620" s="112" t="s">
        <v>177</v>
      </c>
      <c r="E3620" s="112">
        <v>399.6</v>
      </c>
      <c r="F3620" s="111" t="str">
        <f>DataPull!D3620</f>
        <v/>
      </c>
      <c r="G3620" s="94" t="str">
        <f t="shared" si="2"/>
        <v/>
      </c>
      <c r="H3620" s="94" t="str">
        <f t="shared" si="3"/>
        <v/>
      </c>
      <c r="I3620" s="94" t="str">
        <f t="shared" ref="I3620:J3620" si="3621">if(G3620 = "", , -G3620)</f>
        <v/>
      </c>
      <c r="J3620" s="94" t="str">
        <f t="shared" si="3621"/>
        <v/>
      </c>
      <c r="K3620" s="100"/>
      <c r="M3620" s="100"/>
      <c r="N3620" s="100"/>
      <c r="O3620" s="100"/>
      <c r="P3620" s="100"/>
    </row>
    <row r="3621">
      <c r="A3621" s="107">
        <v>1626259.0</v>
      </c>
      <c r="B3621" s="108" t="s">
        <v>191</v>
      </c>
      <c r="C3621" s="108" t="s">
        <v>882</v>
      </c>
      <c r="D3621" s="112" t="s">
        <v>187</v>
      </c>
      <c r="E3621" s="112">
        <v>126.0</v>
      </c>
      <c r="F3621" s="111" t="str">
        <f>DataPull!D3621</f>
        <v/>
      </c>
      <c r="G3621" s="94" t="str">
        <f t="shared" si="2"/>
        <v/>
      </c>
      <c r="H3621" s="94" t="str">
        <f t="shared" si="3"/>
        <v/>
      </c>
      <c r="I3621" s="94" t="str">
        <f t="shared" ref="I3621:J3621" si="3622">if(G3621 = "", , -G3621)</f>
        <v/>
      </c>
      <c r="J3621" s="94" t="str">
        <f t="shared" si="3622"/>
        <v/>
      </c>
      <c r="K3621" s="100"/>
      <c r="M3621" s="100"/>
      <c r="N3621" s="100"/>
      <c r="O3621" s="100"/>
      <c r="P3621" s="100"/>
    </row>
    <row r="3622">
      <c r="A3622" s="107">
        <v>1626259.0</v>
      </c>
      <c r="B3622" s="108" t="s">
        <v>192</v>
      </c>
      <c r="C3622" s="108" t="s">
        <v>882</v>
      </c>
      <c r="D3622" s="112" t="s">
        <v>187</v>
      </c>
      <c r="E3622" s="112">
        <v>67.0</v>
      </c>
      <c r="F3622" s="111" t="str">
        <f>DataPull!D3622</f>
        <v/>
      </c>
      <c r="G3622" s="94" t="str">
        <f t="shared" si="2"/>
        <v/>
      </c>
      <c r="H3622" s="94" t="str">
        <f t="shared" si="3"/>
        <v/>
      </c>
      <c r="I3622" s="94" t="str">
        <f t="shared" ref="I3622:J3622" si="3623">if(G3622 = "", , -G3622)</f>
        <v/>
      </c>
      <c r="J3622" s="94" t="str">
        <f t="shared" si="3623"/>
        <v/>
      </c>
      <c r="K3622" s="100"/>
      <c r="M3622" s="100"/>
      <c r="N3622" s="100"/>
      <c r="O3622" s="100"/>
      <c r="P3622" s="100"/>
    </row>
    <row r="3623">
      <c r="A3623" s="107">
        <v>1626259.0</v>
      </c>
      <c r="B3623" s="108" t="s">
        <v>193</v>
      </c>
      <c r="C3623" s="108" t="s">
        <v>882</v>
      </c>
      <c r="D3623" s="112" t="s">
        <v>187</v>
      </c>
      <c r="E3623" s="112">
        <v>162.4</v>
      </c>
      <c r="F3623" s="111" t="str">
        <f>DataPull!D3623</f>
        <v/>
      </c>
      <c r="G3623" s="94" t="str">
        <f t="shared" si="2"/>
        <v/>
      </c>
      <c r="H3623" s="94" t="str">
        <f t="shared" si="3"/>
        <v/>
      </c>
      <c r="I3623" s="94" t="str">
        <f t="shared" ref="I3623:J3623" si="3624">if(G3623 = "", , -G3623)</f>
        <v/>
      </c>
      <c r="J3623" s="94" t="str">
        <f t="shared" si="3624"/>
        <v/>
      </c>
      <c r="K3623" s="100"/>
      <c r="M3623" s="100"/>
      <c r="N3623" s="100"/>
      <c r="O3623" s="100"/>
      <c r="P3623" s="100"/>
    </row>
    <row r="3624">
      <c r="A3624" s="107">
        <v>1626262.0</v>
      </c>
      <c r="B3624" s="108" t="s">
        <v>92</v>
      </c>
      <c r="C3624" s="108" t="s">
        <v>883</v>
      </c>
      <c r="D3624" s="112" t="s">
        <v>181</v>
      </c>
      <c r="E3624" s="112">
        <v>5.7</v>
      </c>
      <c r="F3624" s="111" t="str">
        <f>DataPull!D3624</f>
        <v/>
      </c>
      <c r="G3624" s="94" t="str">
        <f t="shared" si="2"/>
        <v/>
      </c>
      <c r="H3624" s="94" t="str">
        <f t="shared" si="3"/>
        <v/>
      </c>
      <c r="I3624" s="94" t="str">
        <f t="shared" ref="I3624:J3624" si="3625">if(G3624 = "", , -G3624)</f>
        <v/>
      </c>
      <c r="J3624" s="94" t="str">
        <f t="shared" si="3625"/>
        <v/>
      </c>
      <c r="K3624" s="100"/>
      <c r="M3624" s="100"/>
      <c r="N3624" s="100"/>
      <c r="O3624" s="100"/>
      <c r="P3624" s="100"/>
    </row>
    <row r="3625">
      <c r="A3625" s="107">
        <v>1626266.0</v>
      </c>
      <c r="B3625" s="108" t="s">
        <v>92</v>
      </c>
      <c r="C3625" s="108" t="s">
        <v>884</v>
      </c>
      <c r="D3625" s="112" t="s">
        <v>181</v>
      </c>
      <c r="E3625" s="112">
        <v>6.2</v>
      </c>
      <c r="F3625" s="111" t="str">
        <f>DataPull!D3625</f>
        <v/>
      </c>
      <c r="G3625" s="94" t="str">
        <f t="shared" si="2"/>
        <v/>
      </c>
      <c r="H3625" s="94" t="str">
        <f t="shared" si="3"/>
        <v/>
      </c>
      <c r="I3625" s="94" t="str">
        <f t="shared" ref="I3625:J3625" si="3626">if(G3625 = "", , -G3625)</f>
        <v/>
      </c>
      <c r="J3625" s="94" t="str">
        <f t="shared" si="3626"/>
        <v/>
      </c>
      <c r="K3625" s="100"/>
      <c r="M3625" s="100"/>
      <c r="N3625" s="100"/>
      <c r="O3625" s="100"/>
      <c r="P3625" s="100"/>
    </row>
    <row r="3626">
      <c r="A3626" s="107">
        <v>1626273.0</v>
      </c>
      <c r="B3626" s="108" t="s">
        <v>92</v>
      </c>
      <c r="C3626" s="108" t="s">
        <v>885</v>
      </c>
      <c r="D3626" s="112" t="s">
        <v>177</v>
      </c>
      <c r="E3626" s="112">
        <v>869.2</v>
      </c>
      <c r="F3626" s="111" t="str">
        <f>DataPull!D3626</f>
        <v/>
      </c>
      <c r="G3626" s="94" t="str">
        <f t="shared" si="2"/>
        <v/>
      </c>
      <c r="H3626" s="94" t="str">
        <f t="shared" si="3"/>
        <v/>
      </c>
      <c r="I3626" s="94" t="str">
        <f t="shared" ref="I3626:J3626" si="3627">if(G3626 = "", , -G3626)</f>
        <v/>
      </c>
      <c r="J3626" s="94" t="str">
        <f t="shared" si="3627"/>
        <v/>
      </c>
      <c r="K3626" s="100"/>
      <c r="M3626" s="100"/>
      <c r="N3626" s="100"/>
      <c r="O3626" s="100"/>
      <c r="P3626" s="100"/>
    </row>
    <row r="3627">
      <c r="A3627" s="107">
        <v>1626273.0</v>
      </c>
      <c r="B3627" s="108" t="s">
        <v>190</v>
      </c>
      <c r="C3627" s="108" t="s">
        <v>885</v>
      </c>
      <c r="D3627" s="112" t="s">
        <v>187</v>
      </c>
      <c r="E3627" s="112">
        <v>236.9</v>
      </c>
      <c r="F3627" s="111" t="str">
        <f>DataPull!D3627</f>
        <v/>
      </c>
      <c r="G3627" s="94" t="str">
        <f t="shared" si="2"/>
        <v/>
      </c>
      <c r="H3627" s="94" t="str">
        <f t="shared" si="3"/>
        <v/>
      </c>
      <c r="I3627" s="94" t="str">
        <f t="shared" ref="I3627:J3627" si="3628">if(G3627 = "", , -G3627)</f>
        <v/>
      </c>
      <c r="J3627" s="94" t="str">
        <f t="shared" si="3628"/>
        <v/>
      </c>
      <c r="K3627" s="100"/>
      <c r="M3627" s="100"/>
      <c r="N3627" s="100"/>
      <c r="O3627" s="100"/>
      <c r="P3627" s="100"/>
    </row>
    <row r="3628">
      <c r="A3628" s="107">
        <v>1626296.0</v>
      </c>
      <c r="B3628" s="108" t="s">
        <v>192</v>
      </c>
      <c r="C3628" s="108" t="s">
        <v>886</v>
      </c>
      <c r="D3628" s="112" t="s">
        <v>181</v>
      </c>
      <c r="E3628" s="112">
        <v>4.2</v>
      </c>
      <c r="F3628" s="111" t="str">
        <f>DataPull!D3628</f>
        <v/>
      </c>
      <c r="G3628" s="94" t="str">
        <f t="shared" si="2"/>
        <v/>
      </c>
      <c r="H3628" s="94" t="str">
        <f t="shared" si="3"/>
        <v/>
      </c>
      <c r="I3628" s="94" t="str">
        <f t="shared" ref="I3628:J3628" si="3629">if(G3628 = "", , -G3628)</f>
        <v/>
      </c>
      <c r="J3628" s="94" t="str">
        <f t="shared" si="3629"/>
        <v/>
      </c>
      <c r="K3628" s="100"/>
      <c r="M3628" s="100"/>
      <c r="N3628" s="100"/>
      <c r="O3628" s="100"/>
      <c r="P3628" s="100"/>
    </row>
    <row r="3629">
      <c r="A3629" s="107">
        <v>1626643.0</v>
      </c>
      <c r="B3629" s="108" t="s">
        <v>191</v>
      </c>
      <c r="C3629" s="108" t="s">
        <v>887</v>
      </c>
      <c r="D3629" s="112" t="s">
        <v>181</v>
      </c>
      <c r="E3629" s="112">
        <v>6.0</v>
      </c>
      <c r="F3629" s="111" t="str">
        <f>DataPull!D3629</f>
        <v/>
      </c>
      <c r="G3629" s="94" t="str">
        <f t="shared" si="2"/>
        <v/>
      </c>
      <c r="H3629" s="94" t="str">
        <f t="shared" si="3"/>
        <v/>
      </c>
      <c r="I3629" s="94" t="str">
        <f t="shared" ref="I3629:J3629" si="3630">if(G3629 = "", , -G3629)</f>
        <v/>
      </c>
      <c r="J3629" s="94" t="str">
        <f t="shared" si="3630"/>
        <v/>
      </c>
      <c r="K3629" s="100"/>
      <c r="M3629" s="100"/>
      <c r="N3629" s="100"/>
      <c r="O3629" s="100"/>
      <c r="P3629" s="100"/>
    </row>
    <row r="3630">
      <c r="A3630" s="107">
        <v>1626780.0</v>
      </c>
      <c r="B3630" s="108" t="s">
        <v>190</v>
      </c>
      <c r="C3630" s="108" t="s">
        <v>888</v>
      </c>
      <c r="D3630" s="112" t="s">
        <v>187</v>
      </c>
      <c r="E3630" s="112">
        <v>231.2</v>
      </c>
      <c r="F3630" s="111" t="str">
        <f>DataPull!D3630</f>
        <v/>
      </c>
      <c r="G3630" s="94" t="str">
        <f t="shared" si="2"/>
        <v/>
      </c>
      <c r="H3630" s="94" t="str">
        <f t="shared" si="3"/>
        <v/>
      </c>
      <c r="I3630" s="94" t="str">
        <f t="shared" ref="I3630:J3630" si="3631">if(G3630 = "", , -G3630)</f>
        <v/>
      </c>
      <c r="J3630" s="94" t="str">
        <f t="shared" si="3631"/>
        <v/>
      </c>
      <c r="K3630" s="100"/>
      <c r="M3630" s="100"/>
      <c r="N3630" s="100"/>
      <c r="O3630" s="100"/>
      <c r="P3630" s="100"/>
    </row>
    <row r="3631">
      <c r="A3631" s="107">
        <v>1626780.0</v>
      </c>
      <c r="B3631" s="108" t="s">
        <v>191</v>
      </c>
      <c r="C3631" s="108" t="s">
        <v>888</v>
      </c>
      <c r="D3631" s="112" t="s">
        <v>181</v>
      </c>
      <c r="E3631" s="112">
        <v>40.0</v>
      </c>
      <c r="F3631" s="111" t="str">
        <f>DataPull!D3631</f>
        <v/>
      </c>
      <c r="G3631" s="94" t="str">
        <f t="shared" si="2"/>
        <v/>
      </c>
      <c r="H3631" s="94" t="str">
        <f t="shared" si="3"/>
        <v/>
      </c>
      <c r="I3631" s="94" t="str">
        <f t="shared" ref="I3631:J3631" si="3632">if(G3631 = "", , -G3631)</f>
        <v/>
      </c>
      <c r="J3631" s="94" t="str">
        <f t="shared" si="3632"/>
        <v/>
      </c>
      <c r="K3631" s="100"/>
      <c r="M3631" s="100"/>
      <c r="N3631" s="100"/>
      <c r="O3631" s="100"/>
      <c r="P3631" s="100"/>
    </row>
    <row r="3632">
      <c r="A3632" s="107">
        <v>1627098.0</v>
      </c>
      <c r="B3632" s="108" t="s">
        <v>190</v>
      </c>
      <c r="C3632" s="108" t="s">
        <v>889</v>
      </c>
      <c r="D3632" s="112" t="s">
        <v>177</v>
      </c>
      <c r="E3632" s="112">
        <v>1248.3</v>
      </c>
      <c r="F3632" s="111" t="str">
        <f>DataPull!D3632</f>
        <v/>
      </c>
      <c r="G3632" s="94" t="str">
        <f t="shared" si="2"/>
        <v/>
      </c>
      <c r="H3632" s="94" t="str">
        <f t="shared" si="3"/>
        <v/>
      </c>
      <c r="I3632" s="94" t="str">
        <f t="shared" ref="I3632:J3632" si="3633">if(G3632 = "", , -G3632)</f>
        <v/>
      </c>
      <c r="J3632" s="94" t="str">
        <f t="shared" si="3633"/>
        <v/>
      </c>
      <c r="K3632" s="100"/>
      <c r="M3632" s="100"/>
      <c r="N3632" s="100"/>
      <c r="O3632" s="100"/>
    </row>
    <row r="3633">
      <c r="A3633" s="107">
        <v>1627098.0</v>
      </c>
      <c r="B3633" s="108" t="s">
        <v>191</v>
      </c>
      <c r="C3633" s="108" t="s">
        <v>889</v>
      </c>
      <c r="D3633" s="112" t="s">
        <v>176</v>
      </c>
      <c r="E3633" s="112">
        <v>1015.2</v>
      </c>
      <c r="F3633" s="111" t="str">
        <f>DataPull!D3633</f>
        <v/>
      </c>
      <c r="G3633" s="94" t="str">
        <f t="shared" si="2"/>
        <v/>
      </c>
      <c r="H3633" s="94" t="str">
        <f t="shared" si="3"/>
        <v/>
      </c>
      <c r="I3633" s="94" t="str">
        <f t="shared" ref="I3633:J3633" si="3634">if(G3633 = "", , -G3633)</f>
        <v/>
      </c>
      <c r="J3633" s="94" t="str">
        <f t="shared" si="3634"/>
        <v/>
      </c>
      <c r="K3633" s="100"/>
      <c r="M3633" s="100"/>
      <c r="N3633" s="100"/>
      <c r="O3633" s="100"/>
      <c r="P3633" s="100"/>
    </row>
    <row r="3634">
      <c r="A3634" s="107">
        <v>1627215.0</v>
      </c>
      <c r="B3634" s="108" t="s">
        <v>191</v>
      </c>
      <c r="C3634" s="108" t="s">
        <v>890</v>
      </c>
      <c r="D3634" s="112" t="s">
        <v>181</v>
      </c>
      <c r="E3634" s="112">
        <v>35.0</v>
      </c>
      <c r="F3634" s="111" t="str">
        <f>DataPull!D3634</f>
        <v/>
      </c>
      <c r="G3634" s="94" t="str">
        <f t="shared" si="2"/>
        <v/>
      </c>
      <c r="H3634" s="94" t="str">
        <f t="shared" si="3"/>
        <v/>
      </c>
      <c r="I3634" s="94" t="str">
        <f t="shared" ref="I3634:J3634" si="3635">if(G3634 = "", , -G3634)</f>
        <v/>
      </c>
      <c r="J3634" s="94" t="str">
        <f t="shared" si="3635"/>
        <v/>
      </c>
      <c r="K3634" s="100"/>
      <c r="M3634" s="100"/>
      <c r="N3634" s="100"/>
      <c r="O3634" s="100"/>
      <c r="P3634" s="100"/>
    </row>
    <row r="3635">
      <c r="A3635" s="107">
        <v>1627215.0</v>
      </c>
      <c r="B3635" s="108" t="s">
        <v>192</v>
      </c>
      <c r="C3635" s="108" t="s">
        <v>890</v>
      </c>
      <c r="D3635" s="112" t="s">
        <v>181</v>
      </c>
      <c r="E3635" s="112">
        <v>167.4</v>
      </c>
      <c r="F3635" s="111" t="str">
        <f>DataPull!D3635</f>
        <v/>
      </c>
      <c r="G3635" s="94" t="str">
        <f t="shared" si="2"/>
        <v/>
      </c>
      <c r="H3635" s="94" t="str">
        <f t="shared" si="3"/>
        <v/>
      </c>
      <c r="I3635" s="94" t="str">
        <f t="shared" ref="I3635:J3635" si="3636">if(G3635 = "", , -G3635)</f>
        <v/>
      </c>
      <c r="J3635" s="94" t="str">
        <f t="shared" si="3636"/>
        <v/>
      </c>
      <c r="K3635" s="100"/>
      <c r="L3635" s="100"/>
      <c r="N3635" s="100"/>
      <c r="O3635" s="100"/>
      <c r="P3635" s="100"/>
    </row>
    <row r="3636">
      <c r="A3636" s="107">
        <v>1627293.0</v>
      </c>
      <c r="B3636" s="108" t="s">
        <v>92</v>
      </c>
      <c r="C3636" s="108" t="s">
        <v>891</v>
      </c>
      <c r="D3636" s="112" t="s">
        <v>181</v>
      </c>
      <c r="E3636" s="112">
        <v>72.0</v>
      </c>
      <c r="F3636" s="111" t="str">
        <f>DataPull!D3636</f>
        <v/>
      </c>
      <c r="G3636" s="94" t="str">
        <f t="shared" si="2"/>
        <v/>
      </c>
      <c r="H3636" s="94" t="str">
        <f t="shared" si="3"/>
        <v/>
      </c>
      <c r="I3636" s="94" t="str">
        <f t="shared" ref="I3636:J3636" si="3637">if(G3636 = "", , -G3636)</f>
        <v/>
      </c>
      <c r="J3636" s="94" t="str">
        <f t="shared" si="3637"/>
        <v/>
      </c>
      <c r="K3636" s="100"/>
      <c r="M3636" s="100"/>
      <c r="N3636" s="100"/>
      <c r="O3636" s="100"/>
      <c r="P3636" s="100"/>
    </row>
    <row r="3637">
      <c r="A3637" s="107">
        <v>1627362.0</v>
      </c>
      <c r="B3637" s="108" t="s">
        <v>92</v>
      </c>
      <c r="C3637" s="108" t="s">
        <v>892</v>
      </c>
      <c r="D3637" s="112" t="s">
        <v>181</v>
      </c>
      <c r="E3637" s="112">
        <v>168.7</v>
      </c>
      <c r="F3637" s="111" t="str">
        <f>DataPull!D3637</f>
        <v/>
      </c>
      <c r="G3637" s="94" t="str">
        <f t="shared" si="2"/>
        <v/>
      </c>
      <c r="H3637" s="94" t="str">
        <f t="shared" si="3"/>
        <v/>
      </c>
      <c r="I3637" s="94" t="str">
        <f t="shared" ref="I3637:J3637" si="3638">if(G3637 = "", , -G3637)</f>
        <v/>
      </c>
      <c r="J3637" s="94" t="str">
        <f t="shared" si="3638"/>
        <v/>
      </c>
      <c r="K3637" s="100"/>
      <c r="M3637" s="100"/>
      <c r="N3637" s="100"/>
      <c r="O3637" s="100"/>
      <c r="P3637" s="100"/>
    </row>
    <row r="3638">
      <c r="A3638" s="107">
        <v>1627362.0</v>
      </c>
      <c r="B3638" s="108" t="s">
        <v>190</v>
      </c>
      <c r="C3638" s="108" t="s">
        <v>892</v>
      </c>
      <c r="D3638" s="112" t="s">
        <v>187</v>
      </c>
      <c r="E3638" s="112">
        <v>204.0</v>
      </c>
      <c r="F3638" s="111" t="str">
        <f>DataPull!D3638</f>
        <v/>
      </c>
      <c r="G3638" s="94" t="str">
        <f t="shared" si="2"/>
        <v/>
      </c>
      <c r="H3638" s="94" t="str">
        <f t="shared" si="3"/>
        <v/>
      </c>
      <c r="I3638" s="94" t="str">
        <f t="shared" ref="I3638:J3638" si="3639">if(G3638 = "", , -G3638)</f>
        <v/>
      </c>
      <c r="J3638" s="94" t="str">
        <f t="shared" si="3639"/>
        <v/>
      </c>
      <c r="K3638" s="100"/>
      <c r="M3638" s="100"/>
      <c r="N3638" s="100"/>
      <c r="O3638" s="100"/>
      <c r="P3638" s="100"/>
    </row>
    <row r="3639">
      <c r="A3639" s="107">
        <v>1627362.0</v>
      </c>
      <c r="B3639" s="108" t="s">
        <v>191</v>
      </c>
      <c r="C3639" s="108" t="s">
        <v>892</v>
      </c>
      <c r="D3639" s="112" t="s">
        <v>187</v>
      </c>
      <c r="E3639" s="112">
        <v>235.8</v>
      </c>
      <c r="F3639" s="111" t="str">
        <f>DataPull!D3639</f>
        <v/>
      </c>
      <c r="G3639" s="94" t="str">
        <f t="shared" si="2"/>
        <v/>
      </c>
      <c r="H3639" s="94" t="str">
        <f t="shared" si="3"/>
        <v/>
      </c>
      <c r="I3639" s="94" t="str">
        <f t="shared" ref="I3639:J3639" si="3640">if(G3639 = "", , -G3639)</f>
        <v/>
      </c>
      <c r="J3639" s="94" t="str">
        <f t="shared" si="3640"/>
        <v/>
      </c>
      <c r="K3639" s="100"/>
      <c r="M3639" s="100"/>
      <c r="N3639" s="100"/>
      <c r="O3639" s="100"/>
      <c r="P3639" s="100"/>
    </row>
    <row r="3640">
      <c r="A3640" s="107">
        <v>1627395.0</v>
      </c>
      <c r="B3640" s="108" t="s">
        <v>192</v>
      </c>
      <c r="C3640" s="108" t="s">
        <v>893</v>
      </c>
      <c r="D3640" s="112" t="s">
        <v>187</v>
      </c>
      <c r="E3640" s="112">
        <v>253.8</v>
      </c>
      <c r="F3640" s="111" t="str">
        <f>DataPull!D3640</f>
        <v/>
      </c>
      <c r="G3640" s="94" t="str">
        <f t="shared" si="2"/>
        <v/>
      </c>
      <c r="H3640" s="94" t="str">
        <f t="shared" si="3"/>
        <v/>
      </c>
      <c r="I3640" s="94" t="str">
        <f t="shared" ref="I3640:J3640" si="3641">if(G3640 = "", , -G3640)</f>
        <v/>
      </c>
      <c r="J3640" s="94" t="str">
        <f t="shared" si="3641"/>
        <v/>
      </c>
      <c r="K3640" s="100"/>
      <c r="M3640" s="100"/>
      <c r="N3640" s="100"/>
      <c r="O3640" s="100"/>
      <c r="P3640" s="100"/>
    </row>
    <row r="3641">
      <c r="A3641" s="107">
        <v>1627732.0</v>
      </c>
      <c r="B3641" s="108" t="s">
        <v>191</v>
      </c>
      <c r="C3641" s="108" t="s">
        <v>894</v>
      </c>
      <c r="D3641" s="112" t="s">
        <v>184</v>
      </c>
      <c r="E3641" s="112">
        <v>2729.7</v>
      </c>
      <c r="F3641" s="111" t="str">
        <f>DataPull!D3641</f>
        <v/>
      </c>
      <c r="G3641" s="94" t="str">
        <f t="shared" si="2"/>
        <v/>
      </c>
      <c r="H3641" s="94" t="str">
        <f t="shared" si="3"/>
        <v/>
      </c>
      <c r="I3641" s="94" t="str">
        <f t="shared" ref="I3641:J3641" si="3642">if(G3641 = "", , -G3641)</f>
        <v/>
      </c>
      <c r="J3641" s="94" t="str">
        <f t="shared" si="3642"/>
        <v/>
      </c>
      <c r="K3641" s="100"/>
      <c r="M3641" s="100"/>
      <c r="N3641" s="100"/>
      <c r="O3641" s="100"/>
      <c r="P3641" s="100"/>
    </row>
    <row r="3642">
      <c r="A3642" s="107">
        <v>1627732.0</v>
      </c>
      <c r="B3642" s="108" t="s">
        <v>192</v>
      </c>
      <c r="C3642" s="108" t="s">
        <v>894</v>
      </c>
      <c r="D3642" s="112" t="s">
        <v>184</v>
      </c>
      <c r="E3642" s="112">
        <v>2701.8</v>
      </c>
      <c r="F3642" s="111" t="str">
        <f>DataPull!D3642</f>
        <v/>
      </c>
      <c r="G3642" s="94" t="str">
        <f t="shared" si="2"/>
        <v/>
      </c>
      <c r="H3642" s="94" t="str">
        <f t="shared" si="3"/>
        <v/>
      </c>
      <c r="I3642" s="94" t="str">
        <f t="shared" ref="I3642:J3642" si="3643">if(G3642 = "", , -G3642)</f>
        <v/>
      </c>
      <c r="J3642" s="94" t="str">
        <f t="shared" si="3643"/>
        <v/>
      </c>
      <c r="K3642" s="100"/>
      <c r="M3642" s="100"/>
      <c r="N3642" s="100"/>
      <c r="O3642" s="100"/>
      <c r="P3642" s="100"/>
    </row>
    <row r="3643">
      <c r="A3643" s="107">
        <v>1627732.0</v>
      </c>
      <c r="B3643" s="108" t="s">
        <v>193</v>
      </c>
      <c r="C3643" s="108" t="s">
        <v>894</v>
      </c>
      <c r="D3643" s="112" t="s">
        <v>184</v>
      </c>
      <c r="E3643" s="112">
        <v>2017.8</v>
      </c>
      <c r="F3643" s="111" t="str">
        <f>DataPull!D3643</f>
        <v/>
      </c>
      <c r="G3643" s="94" t="str">
        <f t="shared" si="2"/>
        <v/>
      </c>
      <c r="H3643" s="94" t="str">
        <f t="shared" si="3"/>
        <v/>
      </c>
      <c r="I3643" s="94" t="str">
        <f t="shared" ref="I3643:J3643" si="3644">if(G3643 = "", , -G3643)</f>
        <v/>
      </c>
      <c r="J3643" s="94" t="str">
        <f t="shared" si="3644"/>
        <v/>
      </c>
      <c r="K3643" s="100"/>
      <c r="L3643" s="100"/>
      <c r="M3643" s="100"/>
      <c r="N3643" s="100"/>
      <c r="O3643" s="100"/>
      <c r="P3643" s="100"/>
    </row>
    <row r="3644">
      <c r="A3644" s="107">
        <v>1627732.0</v>
      </c>
      <c r="B3644" s="108" t="s">
        <v>243</v>
      </c>
      <c r="C3644" s="108" t="s">
        <v>894</v>
      </c>
      <c r="D3644" s="112" t="s">
        <v>184</v>
      </c>
      <c r="E3644" s="112">
        <v>1879.2</v>
      </c>
      <c r="F3644" s="111" t="str">
        <f>DataPull!D3644</f>
        <v/>
      </c>
      <c r="G3644" s="94" t="str">
        <f t="shared" si="2"/>
        <v/>
      </c>
      <c r="H3644" s="94" t="str">
        <f t="shared" si="3"/>
        <v/>
      </c>
      <c r="I3644" s="94" t="str">
        <f t="shared" ref="I3644:J3644" si="3645">if(G3644 = "", , -G3644)</f>
        <v/>
      </c>
      <c r="J3644" s="94" t="str">
        <f t="shared" si="3645"/>
        <v/>
      </c>
      <c r="K3644" s="100"/>
      <c r="M3644" s="100"/>
      <c r="N3644" s="100"/>
      <c r="O3644" s="100"/>
      <c r="P3644" s="100"/>
    </row>
    <row r="3645">
      <c r="A3645" s="107">
        <v>1627732.0</v>
      </c>
      <c r="B3645" s="108" t="s">
        <v>244</v>
      </c>
      <c r="C3645" s="108" t="s">
        <v>894</v>
      </c>
      <c r="D3645" s="112" t="s">
        <v>176</v>
      </c>
      <c r="E3645" s="112">
        <v>1104.6</v>
      </c>
      <c r="F3645" s="111" t="str">
        <f>DataPull!D3645</f>
        <v/>
      </c>
      <c r="G3645" s="94" t="str">
        <f t="shared" si="2"/>
        <v/>
      </c>
      <c r="H3645" s="94" t="str">
        <f t="shared" si="3"/>
        <v/>
      </c>
      <c r="I3645" s="94" t="str">
        <f t="shared" ref="I3645:J3645" si="3646">if(G3645 = "", , -G3645)</f>
        <v/>
      </c>
      <c r="J3645" s="94" t="str">
        <f t="shared" si="3646"/>
        <v/>
      </c>
      <c r="K3645" s="100"/>
      <c r="M3645" s="100"/>
      <c r="N3645" s="100"/>
      <c r="O3645" s="100"/>
      <c r="P3645" s="100"/>
    </row>
    <row r="3646">
      <c r="A3646" s="107">
        <v>1627732.0</v>
      </c>
      <c r="B3646" s="108" t="s">
        <v>245</v>
      </c>
      <c r="C3646" s="108" t="s">
        <v>894</v>
      </c>
      <c r="D3646" s="112" t="s">
        <v>176</v>
      </c>
      <c r="E3646" s="112">
        <v>358.5</v>
      </c>
      <c r="F3646" s="111" t="str">
        <f>DataPull!D3646</f>
        <v/>
      </c>
      <c r="G3646" s="94" t="str">
        <f t="shared" si="2"/>
        <v/>
      </c>
      <c r="H3646" s="94" t="str">
        <f t="shared" si="3"/>
        <v/>
      </c>
      <c r="I3646" s="94" t="str">
        <f t="shared" ref="I3646:J3646" si="3647">if(G3646 = "", , -G3646)</f>
        <v/>
      </c>
      <c r="J3646" s="94" t="str">
        <f t="shared" si="3647"/>
        <v/>
      </c>
      <c r="K3646" s="100"/>
      <c r="M3646" s="100"/>
      <c r="N3646" s="100"/>
      <c r="O3646" s="100"/>
      <c r="P3646" s="100"/>
    </row>
    <row r="3647">
      <c r="A3647" s="107">
        <v>1627732.0</v>
      </c>
      <c r="B3647" s="108" t="s">
        <v>246</v>
      </c>
      <c r="C3647" s="108" t="s">
        <v>894</v>
      </c>
      <c r="D3647" s="112" t="s">
        <v>176</v>
      </c>
      <c r="E3647" s="112">
        <v>1122.0</v>
      </c>
      <c r="F3647" s="111" t="str">
        <f>DataPull!D3647</f>
        <v/>
      </c>
      <c r="G3647" s="94" t="str">
        <f t="shared" si="2"/>
        <v/>
      </c>
      <c r="H3647" s="94" t="str">
        <f t="shared" si="3"/>
        <v/>
      </c>
      <c r="I3647" s="94" t="str">
        <f t="shared" ref="I3647:J3647" si="3648">if(G3647 = "", , -G3647)</f>
        <v/>
      </c>
      <c r="J3647" s="94" t="str">
        <f t="shared" si="3648"/>
        <v/>
      </c>
      <c r="K3647" s="100"/>
      <c r="M3647" s="100"/>
      <c r="N3647" s="100"/>
      <c r="O3647" s="100"/>
      <c r="P3647" s="100"/>
    </row>
    <row r="3648">
      <c r="A3648" s="107">
        <v>1627733.0</v>
      </c>
      <c r="B3648" s="108" t="s">
        <v>190</v>
      </c>
      <c r="C3648" s="108" t="s">
        <v>895</v>
      </c>
      <c r="D3648" s="112" t="s">
        <v>177</v>
      </c>
      <c r="E3648" s="112">
        <v>571.9</v>
      </c>
      <c r="F3648" s="111" t="str">
        <f>DataPull!D3648</f>
        <v/>
      </c>
      <c r="G3648" s="94" t="str">
        <f t="shared" si="2"/>
        <v/>
      </c>
      <c r="H3648" s="94" t="str">
        <f t="shared" si="3"/>
        <v/>
      </c>
      <c r="I3648" s="94" t="str">
        <f t="shared" ref="I3648:J3648" si="3649">if(G3648 = "", , -G3648)</f>
        <v/>
      </c>
      <c r="J3648" s="94" t="str">
        <f t="shared" si="3649"/>
        <v/>
      </c>
      <c r="K3648" s="100"/>
      <c r="M3648" s="100"/>
      <c r="N3648" s="100"/>
      <c r="O3648" s="100"/>
      <c r="P3648" s="100"/>
    </row>
    <row r="3649">
      <c r="A3649" s="107">
        <v>1627733.0</v>
      </c>
      <c r="B3649" s="108" t="s">
        <v>191</v>
      </c>
      <c r="C3649" s="108" t="s">
        <v>895</v>
      </c>
      <c r="D3649" s="112" t="s">
        <v>178</v>
      </c>
      <c r="E3649" s="112">
        <v>2066.4</v>
      </c>
      <c r="F3649" s="111" t="str">
        <f>DataPull!D3649</f>
        <v/>
      </c>
      <c r="G3649" s="94" t="str">
        <f t="shared" si="2"/>
        <v/>
      </c>
      <c r="H3649" s="94" t="str">
        <f t="shared" si="3"/>
        <v/>
      </c>
      <c r="I3649" s="94" t="str">
        <f t="shared" ref="I3649:J3649" si="3650">if(G3649 = "", , -G3649)</f>
        <v/>
      </c>
      <c r="J3649" s="94" t="str">
        <f t="shared" si="3650"/>
        <v/>
      </c>
      <c r="K3649" s="100"/>
      <c r="M3649" s="100"/>
      <c r="N3649" s="100"/>
      <c r="O3649" s="100"/>
      <c r="P3649" s="100"/>
    </row>
    <row r="3650">
      <c r="A3650" s="107">
        <v>1627733.0</v>
      </c>
      <c r="B3650" s="108" t="s">
        <v>192</v>
      </c>
      <c r="C3650" s="108" t="s">
        <v>895</v>
      </c>
      <c r="D3650" s="112" t="s">
        <v>177</v>
      </c>
      <c r="E3650" s="112">
        <v>828.0</v>
      </c>
      <c r="F3650" s="111" t="str">
        <f>DataPull!D3650</f>
        <v/>
      </c>
      <c r="G3650" s="94" t="str">
        <f t="shared" si="2"/>
        <v/>
      </c>
      <c r="H3650" s="94" t="str">
        <f t="shared" si="3"/>
        <v/>
      </c>
      <c r="I3650" s="94" t="str">
        <f t="shared" ref="I3650:J3650" si="3651">if(G3650 = "", , -G3650)</f>
        <v/>
      </c>
      <c r="J3650" s="94" t="str">
        <f t="shared" si="3651"/>
        <v/>
      </c>
      <c r="K3650" s="100"/>
      <c r="M3650" s="100"/>
      <c r="N3650" s="100"/>
      <c r="O3650" s="100"/>
      <c r="P3650" s="100"/>
    </row>
    <row r="3651">
      <c r="A3651" s="107">
        <v>1627733.0</v>
      </c>
      <c r="B3651" s="108" t="s">
        <v>193</v>
      </c>
      <c r="C3651" s="108" t="s">
        <v>895</v>
      </c>
      <c r="D3651" s="112" t="s">
        <v>187</v>
      </c>
      <c r="E3651" s="112">
        <v>284.8</v>
      </c>
      <c r="F3651" s="111" t="str">
        <f>DataPull!D3651</f>
        <v/>
      </c>
      <c r="G3651" s="94" t="str">
        <f t="shared" si="2"/>
        <v/>
      </c>
      <c r="H3651" s="94" t="str">
        <f t="shared" si="3"/>
        <v/>
      </c>
      <c r="I3651" s="94" t="str">
        <f t="shared" ref="I3651:J3651" si="3652">if(G3651 = "", , -G3651)</f>
        <v/>
      </c>
      <c r="J3651" s="94" t="str">
        <f t="shared" si="3652"/>
        <v/>
      </c>
      <c r="K3651" s="100"/>
      <c r="M3651" s="100"/>
      <c r="N3651" s="100"/>
      <c r="O3651" s="100"/>
      <c r="P3651" s="100"/>
    </row>
    <row r="3652">
      <c r="A3652" s="107">
        <v>1627734.0</v>
      </c>
      <c r="B3652" s="108" t="s">
        <v>190</v>
      </c>
      <c r="C3652" s="108" t="s">
        <v>896</v>
      </c>
      <c r="D3652" s="112" t="s">
        <v>176</v>
      </c>
      <c r="E3652" s="112">
        <v>1628.1</v>
      </c>
      <c r="F3652" s="111" t="str">
        <f>DataPull!D3652</f>
        <v/>
      </c>
      <c r="G3652" s="94" t="str">
        <f t="shared" si="2"/>
        <v/>
      </c>
      <c r="H3652" s="94" t="str">
        <f t="shared" si="3"/>
        <v/>
      </c>
      <c r="I3652" s="94" t="str">
        <f t="shared" ref="I3652:J3652" si="3653">if(G3652 = "", , -G3652)</f>
        <v/>
      </c>
      <c r="J3652" s="94" t="str">
        <f t="shared" si="3653"/>
        <v/>
      </c>
      <c r="K3652" s="100"/>
      <c r="M3652" s="100"/>
      <c r="N3652" s="100"/>
      <c r="O3652" s="100"/>
      <c r="P3652" s="100"/>
    </row>
    <row r="3653">
      <c r="A3653" s="107">
        <v>1627734.0</v>
      </c>
      <c r="B3653" s="108" t="s">
        <v>191</v>
      </c>
      <c r="C3653" s="108" t="s">
        <v>896</v>
      </c>
      <c r="D3653" s="112" t="s">
        <v>176</v>
      </c>
      <c r="E3653" s="112">
        <v>1813.0</v>
      </c>
      <c r="F3653" s="111" t="str">
        <f>DataPull!D3653</f>
        <v/>
      </c>
      <c r="G3653" s="94" t="str">
        <f t="shared" si="2"/>
        <v/>
      </c>
      <c r="H3653" s="94" t="str">
        <f t="shared" si="3"/>
        <v/>
      </c>
      <c r="I3653" s="94" t="str">
        <f t="shared" ref="I3653:J3653" si="3654">if(G3653 = "", , -G3653)</f>
        <v/>
      </c>
      <c r="J3653" s="94" t="str">
        <f t="shared" si="3654"/>
        <v/>
      </c>
      <c r="K3653" s="100"/>
      <c r="M3653" s="100"/>
      <c r="N3653" s="100"/>
      <c r="O3653" s="100"/>
      <c r="P3653" s="100"/>
    </row>
    <row r="3654">
      <c r="A3654" s="107">
        <v>1627734.0</v>
      </c>
      <c r="B3654" s="108" t="s">
        <v>192</v>
      </c>
      <c r="C3654" s="108" t="s">
        <v>896</v>
      </c>
      <c r="D3654" s="112" t="s">
        <v>176</v>
      </c>
      <c r="E3654" s="112">
        <v>1835.2</v>
      </c>
      <c r="F3654" s="111" t="str">
        <f>DataPull!D3654</f>
        <v/>
      </c>
      <c r="G3654" s="94" t="str">
        <f t="shared" si="2"/>
        <v/>
      </c>
      <c r="H3654" s="94" t="str">
        <f t="shared" si="3"/>
        <v/>
      </c>
      <c r="I3654" s="94" t="str">
        <f t="shared" ref="I3654:J3654" si="3655">if(G3654 = "", , -G3654)</f>
        <v/>
      </c>
      <c r="J3654" s="94" t="str">
        <f t="shared" si="3655"/>
        <v/>
      </c>
      <c r="K3654" s="100"/>
      <c r="M3654" s="100"/>
      <c r="N3654" s="100"/>
      <c r="O3654" s="100"/>
      <c r="P3654" s="100"/>
    </row>
    <row r="3655">
      <c r="A3655" s="107">
        <v>1627734.0</v>
      </c>
      <c r="B3655" s="108" t="s">
        <v>193</v>
      </c>
      <c r="C3655" s="108" t="s">
        <v>896</v>
      </c>
      <c r="D3655" s="112" t="s">
        <v>184</v>
      </c>
      <c r="E3655" s="112">
        <v>2157.6</v>
      </c>
      <c r="F3655" s="111" t="str">
        <f>DataPull!D3655</f>
        <v/>
      </c>
      <c r="G3655" s="94" t="str">
        <f t="shared" si="2"/>
        <v/>
      </c>
      <c r="H3655" s="94" t="str">
        <f t="shared" si="3"/>
        <v/>
      </c>
      <c r="I3655" s="94" t="str">
        <f t="shared" ref="I3655:J3655" si="3656">if(G3655 = "", , -G3655)</f>
        <v/>
      </c>
      <c r="J3655" s="94" t="str">
        <f t="shared" si="3656"/>
        <v/>
      </c>
      <c r="K3655" s="100"/>
      <c r="M3655" s="100"/>
      <c r="N3655" s="100"/>
      <c r="O3655" s="100"/>
      <c r="P3655" s="100"/>
    </row>
    <row r="3656">
      <c r="A3656" s="107">
        <v>1627734.0</v>
      </c>
      <c r="B3656" s="108" t="s">
        <v>243</v>
      </c>
      <c r="C3656" s="108" t="s">
        <v>896</v>
      </c>
      <c r="D3656" s="112" t="s">
        <v>184</v>
      </c>
      <c r="E3656" s="112">
        <v>2232.0</v>
      </c>
      <c r="F3656" s="111" t="str">
        <f>DataPull!D3656</f>
        <v/>
      </c>
      <c r="G3656" s="94" t="str">
        <f t="shared" si="2"/>
        <v/>
      </c>
      <c r="H3656" s="94" t="str">
        <f t="shared" si="3"/>
        <v/>
      </c>
      <c r="I3656" s="94" t="str">
        <f t="shared" ref="I3656:J3656" si="3657">if(G3656 = "", , -G3656)</f>
        <v/>
      </c>
      <c r="J3656" s="94" t="str">
        <f t="shared" si="3657"/>
        <v/>
      </c>
      <c r="K3656" s="100"/>
      <c r="M3656" s="100"/>
      <c r="N3656" s="100"/>
      <c r="O3656" s="100"/>
      <c r="P3656" s="100"/>
    </row>
    <row r="3657">
      <c r="A3657" s="107">
        <v>1627734.0</v>
      </c>
      <c r="B3657" s="108" t="s">
        <v>215</v>
      </c>
      <c r="C3657" s="108" t="s">
        <v>896</v>
      </c>
      <c r="D3657" s="112" t="s">
        <v>184</v>
      </c>
      <c r="E3657" s="112">
        <v>2132.8</v>
      </c>
      <c r="F3657" s="111" t="str">
        <f>DataPull!D3657</f>
        <v/>
      </c>
      <c r="G3657" s="94" t="str">
        <f t="shared" si="2"/>
        <v/>
      </c>
      <c r="H3657" s="94" t="str">
        <f t="shared" si="3"/>
        <v/>
      </c>
      <c r="I3657" s="94" t="str">
        <f t="shared" ref="I3657:J3657" si="3658">if(G3657 = "", , -G3657)</f>
        <v/>
      </c>
      <c r="J3657" s="94" t="str">
        <f t="shared" si="3658"/>
        <v/>
      </c>
      <c r="K3657" s="100"/>
      <c r="M3657" s="100"/>
      <c r="N3657" s="100"/>
      <c r="O3657" s="100"/>
      <c r="P3657" s="100"/>
    </row>
    <row r="3658">
      <c r="A3658" s="107">
        <v>1627734.0</v>
      </c>
      <c r="B3658" s="108" t="s">
        <v>244</v>
      </c>
      <c r="C3658" s="108" t="s">
        <v>896</v>
      </c>
      <c r="D3658" s="112" t="s">
        <v>184</v>
      </c>
      <c r="E3658" s="112">
        <v>2733.4</v>
      </c>
      <c r="F3658" s="111" t="str">
        <f>DataPull!D3658</f>
        <v/>
      </c>
      <c r="G3658" s="94" t="str">
        <f t="shared" si="2"/>
        <v/>
      </c>
      <c r="H3658" s="94" t="str">
        <f t="shared" si="3"/>
        <v/>
      </c>
      <c r="I3658" s="94" t="str">
        <f t="shared" ref="I3658:J3658" si="3659">if(G3658 = "", , -G3658)</f>
        <v/>
      </c>
      <c r="J3658" s="94" t="str">
        <f t="shared" si="3659"/>
        <v/>
      </c>
      <c r="K3658" s="100"/>
      <c r="M3658" s="100"/>
      <c r="N3658" s="100"/>
      <c r="O3658" s="100"/>
      <c r="P3658" s="100"/>
    </row>
    <row r="3659">
      <c r="A3659" s="107">
        <v>1627734.0</v>
      </c>
      <c r="B3659" s="108" t="s">
        <v>245</v>
      </c>
      <c r="C3659" s="108" t="s">
        <v>896</v>
      </c>
      <c r="D3659" s="112" t="s">
        <v>184</v>
      </c>
      <c r="E3659" s="112">
        <v>2927.4</v>
      </c>
      <c r="F3659" s="111" t="str">
        <f>DataPull!D3659</f>
        <v/>
      </c>
      <c r="G3659" s="94" t="str">
        <f t="shared" si="2"/>
        <v/>
      </c>
      <c r="H3659" s="94" t="str">
        <f t="shared" si="3"/>
        <v/>
      </c>
      <c r="I3659" s="94" t="str">
        <f t="shared" ref="I3659:J3659" si="3660">if(G3659 = "", , -G3659)</f>
        <v/>
      </c>
      <c r="J3659" s="94" t="str">
        <f t="shared" si="3660"/>
        <v/>
      </c>
      <c r="K3659" s="100"/>
      <c r="L3659" s="100"/>
      <c r="N3659" s="100"/>
      <c r="O3659" s="100"/>
      <c r="P3659" s="100"/>
    </row>
    <row r="3660">
      <c r="A3660" s="107">
        <v>1627734.0</v>
      </c>
      <c r="B3660" s="108" t="s">
        <v>246</v>
      </c>
      <c r="C3660" s="108" t="s">
        <v>896</v>
      </c>
      <c r="D3660" s="112" t="s">
        <v>184</v>
      </c>
      <c r="E3660" s="112">
        <v>2429.0</v>
      </c>
      <c r="F3660" s="111" t="str">
        <f>DataPull!D3660</f>
        <v/>
      </c>
      <c r="G3660" s="94" t="str">
        <f t="shared" si="2"/>
        <v/>
      </c>
      <c r="H3660" s="94" t="str">
        <f t="shared" si="3"/>
        <v/>
      </c>
      <c r="I3660" s="94" t="str">
        <f t="shared" ref="I3660:J3660" si="3661">if(G3660 = "", , -G3660)</f>
        <v/>
      </c>
      <c r="J3660" s="94" t="str">
        <f t="shared" si="3661"/>
        <v/>
      </c>
      <c r="K3660" s="100"/>
      <c r="M3660" s="100"/>
      <c r="N3660" s="100"/>
      <c r="O3660" s="100"/>
      <c r="P3660" s="100"/>
    </row>
    <row r="3661">
      <c r="A3661" s="114">
        <v>1627734.0</v>
      </c>
      <c r="B3661" s="113" t="s">
        <v>247</v>
      </c>
      <c r="C3661" s="113" t="s">
        <v>896</v>
      </c>
      <c r="D3661" s="112" t="s">
        <v>184</v>
      </c>
      <c r="E3661" s="112">
        <v>564.3</v>
      </c>
      <c r="F3661" s="111" t="str">
        <f>DataPull!D3661</f>
        <v/>
      </c>
      <c r="G3661" s="94" t="str">
        <f t="shared" si="2"/>
        <v/>
      </c>
      <c r="H3661" s="94" t="str">
        <f t="shared" si="3"/>
        <v/>
      </c>
      <c r="I3661" s="94" t="str">
        <f t="shared" ref="I3661:J3661" si="3662">if(G3661 = "", , -G3661)</f>
        <v/>
      </c>
      <c r="J3661" s="94" t="str">
        <f t="shared" si="3662"/>
        <v/>
      </c>
      <c r="K3661" s="100"/>
      <c r="M3661" s="100"/>
      <c r="N3661" s="100"/>
      <c r="O3661" s="100"/>
    </row>
    <row r="3662">
      <c r="A3662" s="107">
        <v>1627735.0</v>
      </c>
      <c r="B3662" s="108" t="s">
        <v>190</v>
      </c>
      <c r="C3662" s="108" t="s">
        <v>897</v>
      </c>
      <c r="D3662" s="112" t="s">
        <v>177</v>
      </c>
      <c r="E3662" s="112">
        <v>405.9</v>
      </c>
      <c r="F3662" s="111" t="str">
        <f>DataPull!D3662</f>
        <v/>
      </c>
      <c r="G3662" s="94" t="str">
        <f t="shared" si="2"/>
        <v/>
      </c>
      <c r="H3662" s="94" t="str">
        <f t="shared" si="3"/>
        <v/>
      </c>
      <c r="I3662" s="94" t="str">
        <f t="shared" ref="I3662:J3662" si="3663">if(G3662 = "", , -G3662)</f>
        <v/>
      </c>
      <c r="J3662" s="94" t="str">
        <f t="shared" si="3663"/>
        <v/>
      </c>
      <c r="K3662" s="100"/>
      <c r="M3662" s="100"/>
      <c r="N3662" s="100"/>
      <c r="O3662" s="100"/>
      <c r="P3662" s="100"/>
    </row>
    <row r="3663">
      <c r="A3663" s="107">
        <v>1627735.0</v>
      </c>
      <c r="B3663" s="108" t="s">
        <v>191</v>
      </c>
      <c r="C3663" s="108" t="s">
        <v>897</v>
      </c>
      <c r="D3663" s="112" t="s">
        <v>181</v>
      </c>
      <c r="E3663" s="112">
        <v>80.5</v>
      </c>
      <c r="F3663" s="111" t="str">
        <f>DataPull!D3663</f>
        <v/>
      </c>
      <c r="G3663" s="94" t="str">
        <f t="shared" si="2"/>
        <v/>
      </c>
      <c r="H3663" s="94" t="str">
        <f t="shared" si="3"/>
        <v/>
      </c>
      <c r="I3663" s="94" t="str">
        <f t="shared" ref="I3663:J3663" si="3664">if(G3663 = "", , -G3663)</f>
        <v/>
      </c>
      <c r="J3663" s="94" t="str">
        <f t="shared" si="3664"/>
        <v/>
      </c>
      <c r="K3663" s="100"/>
      <c r="M3663" s="100"/>
      <c r="N3663" s="100"/>
      <c r="O3663" s="100"/>
      <c r="P3663" s="100"/>
    </row>
    <row r="3664">
      <c r="A3664" s="107">
        <v>1627735.0</v>
      </c>
      <c r="B3664" s="108" t="s">
        <v>192</v>
      </c>
      <c r="C3664" s="108" t="s">
        <v>897</v>
      </c>
      <c r="D3664" s="112" t="s">
        <v>187</v>
      </c>
      <c r="E3664" s="112">
        <v>94.4</v>
      </c>
      <c r="F3664" s="111" t="str">
        <f>DataPull!D3664</f>
        <v/>
      </c>
      <c r="G3664" s="94" t="str">
        <f t="shared" si="2"/>
        <v/>
      </c>
      <c r="H3664" s="94" t="str">
        <f t="shared" si="3"/>
        <v/>
      </c>
      <c r="I3664" s="94" t="str">
        <f t="shared" ref="I3664:J3664" si="3665">if(G3664 = "", , -G3664)</f>
        <v/>
      </c>
      <c r="J3664" s="94" t="str">
        <f t="shared" si="3665"/>
        <v/>
      </c>
      <c r="K3664" s="100"/>
      <c r="M3664" s="100"/>
      <c r="N3664" s="100"/>
      <c r="O3664" s="100"/>
      <c r="P3664" s="100"/>
    </row>
    <row r="3665">
      <c r="A3665" s="107">
        <v>1627736.0</v>
      </c>
      <c r="B3665" s="108" t="s">
        <v>190</v>
      </c>
      <c r="C3665" s="108" t="s">
        <v>898</v>
      </c>
      <c r="D3665" s="112" t="s">
        <v>187</v>
      </c>
      <c r="E3665" s="112">
        <v>165.0</v>
      </c>
      <c r="F3665" s="111" t="str">
        <f>DataPull!D3665</f>
        <v/>
      </c>
      <c r="G3665" s="94" t="str">
        <f t="shared" si="2"/>
        <v/>
      </c>
      <c r="H3665" s="94" t="str">
        <f t="shared" si="3"/>
        <v/>
      </c>
      <c r="I3665" s="94" t="str">
        <f t="shared" ref="I3665:J3665" si="3666">if(G3665 = "", , -G3665)</f>
        <v/>
      </c>
      <c r="J3665" s="94" t="str">
        <f t="shared" si="3666"/>
        <v/>
      </c>
      <c r="K3665" s="100"/>
      <c r="M3665" s="100"/>
      <c r="N3665" s="100"/>
      <c r="O3665" s="100"/>
      <c r="P3665" s="100"/>
    </row>
    <row r="3666">
      <c r="A3666" s="107">
        <v>1627736.0</v>
      </c>
      <c r="B3666" s="108" t="s">
        <v>191</v>
      </c>
      <c r="C3666" s="108" t="s">
        <v>898</v>
      </c>
      <c r="D3666" s="112" t="s">
        <v>187</v>
      </c>
      <c r="E3666" s="112">
        <v>582.8</v>
      </c>
      <c r="F3666" s="111" t="str">
        <f>DataPull!D3666</f>
        <v/>
      </c>
      <c r="G3666" s="94" t="str">
        <f t="shared" si="2"/>
        <v/>
      </c>
      <c r="H3666" s="94" t="str">
        <f t="shared" si="3"/>
        <v/>
      </c>
      <c r="I3666" s="94" t="str">
        <f t="shared" ref="I3666:J3666" si="3667">if(G3666 = "", , -G3666)</f>
        <v/>
      </c>
      <c r="J3666" s="94" t="str">
        <f t="shared" si="3667"/>
        <v/>
      </c>
      <c r="K3666" s="100"/>
      <c r="L3666" s="100"/>
      <c r="N3666" s="100"/>
      <c r="O3666" s="100"/>
      <c r="P3666" s="100"/>
    </row>
    <row r="3667">
      <c r="A3667" s="107">
        <v>1627736.0</v>
      </c>
      <c r="B3667" s="108" t="s">
        <v>192</v>
      </c>
      <c r="C3667" s="108" t="s">
        <v>898</v>
      </c>
      <c r="D3667" s="112" t="s">
        <v>176</v>
      </c>
      <c r="E3667" s="112">
        <v>1879.2</v>
      </c>
      <c r="F3667" s="111" t="str">
        <f>DataPull!D3667</f>
        <v/>
      </c>
      <c r="G3667" s="94" t="str">
        <f t="shared" si="2"/>
        <v/>
      </c>
      <c r="H3667" s="94" t="str">
        <f t="shared" si="3"/>
        <v/>
      </c>
      <c r="I3667" s="94" t="str">
        <f t="shared" ref="I3667:J3667" si="3668">if(G3667 = "", , -G3667)</f>
        <v/>
      </c>
      <c r="J3667" s="94" t="str">
        <f t="shared" si="3668"/>
        <v/>
      </c>
      <c r="K3667" s="100"/>
      <c r="M3667" s="100"/>
      <c r="N3667" s="100"/>
      <c r="O3667" s="100"/>
      <c r="P3667" s="100"/>
    </row>
    <row r="3668">
      <c r="A3668" s="107">
        <v>1627736.0</v>
      </c>
      <c r="B3668" s="108" t="s">
        <v>193</v>
      </c>
      <c r="C3668" s="108" t="s">
        <v>898</v>
      </c>
      <c r="D3668" s="112" t="s">
        <v>177</v>
      </c>
      <c r="E3668" s="112">
        <v>1210.0</v>
      </c>
      <c r="F3668" s="111" t="str">
        <f>DataPull!D3668</f>
        <v/>
      </c>
      <c r="G3668" s="94" t="str">
        <f t="shared" si="2"/>
        <v/>
      </c>
      <c r="H3668" s="94" t="str">
        <f t="shared" si="3"/>
        <v/>
      </c>
      <c r="I3668" s="94" t="str">
        <f t="shared" ref="I3668:J3668" si="3669">if(G3668 = "", , -G3668)</f>
        <v/>
      </c>
      <c r="J3668" s="94" t="str">
        <f t="shared" si="3669"/>
        <v/>
      </c>
      <c r="K3668" s="100"/>
      <c r="M3668" s="100"/>
      <c r="N3668" s="100"/>
      <c r="O3668" s="100"/>
      <c r="P3668" s="100"/>
    </row>
    <row r="3669">
      <c r="A3669" s="107">
        <v>1627736.0</v>
      </c>
      <c r="B3669" s="108" t="s">
        <v>243</v>
      </c>
      <c r="C3669" s="108" t="s">
        <v>898</v>
      </c>
      <c r="D3669" s="112" t="s">
        <v>178</v>
      </c>
      <c r="E3669" s="112">
        <v>1213.6</v>
      </c>
      <c r="F3669" s="111" t="str">
        <f>DataPull!D3669</f>
        <v/>
      </c>
      <c r="G3669" s="94" t="str">
        <f t="shared" si="2"/>
        <v/>
      </c>
      <c r="H3669" s="94" t="str">
        <f t="shared" si="3"/>
        <v/>
      </c>
      <c r="I3669" s="94" t="str">
        <f t="shared" ref="I3669:J3669" si="3670">if(G3669 = "", , -G3669)</f>
        <v/>
      </c>
      <c r="J3669" s="94" t="str">
        <f t="shared" si="3670"/>
        <v/>
      </c>
      <c r="K3669" s="100"/>
      <c r="M3669" s="100"/>
      <c r="N3669" s="100"/>
      <c r="O3669" s="100"/>
      <c r="P3669" s="100"/>
    </row>
    <row r="3670">
      <c r="A3670" s="107">
        <v>1627736.0</v>
      </c>
      <c r="B3670" s="108" t="s">
        <v>215</v>
      </c>
      <c r="C3670" s="108" t="s">
        <v>898</v>
      </c>
      <c r="D3670" s="112" t="s">
        <v>176</v>
      </c>
      <c r="E3670" s="112">
        <v>1975.0</v>
      </c>
      <c r="F3670" s="111" t="str">
        <f>DataPull!D3670</f>
        <v/>
      </c>
      <c r="G3670" s="94" t="str">
        <f t="shared" si="2"/>
        <v/>
      </c>
      <c r="H3670" s="94" t="str">
        <f t="shared" si="3"/>
        <v/>
      </c>
      <c r="I3670" s="94" t="str">
        <f t="shared" ref="I3670:J3670" si="3671">if(G3670 = "", , -G3670)</f>
        <v/>
      </c>
      <c r="J3670" s="94" t="str">
        <f t="shared" si="3671"/>
        <v/>
      </c>
      <c r="K3670" s="100"/>
      <c r="M3670" s="100"/>
      <c r="N3670" s="100"/>
      <c r="O3670" s="100"/>
      <c r="P3670" s="100"/>
    </row>
    <row r="3671">
      <c r="A3671" s="107">
        <v>1627736.0</v>
      </c>
      <c r="B3671" s="108" t="s">
        <v>244</v>
      </c>
      <c r="C3671" s="108" t="s">
        <v>898</v>
      </c>
      <c r="D3671" s="112" t="s">
        <v>178</v>
      </c>
      <c r="E3671" s="112">
        <v>2089.8</v>
      </c>
      <c r="F3671" s="111" t="str">
        <f>DataPull!D3671</f>
        <v/>
      </c>
      <c r="G3671" s="94" t="str">
        <f t="shared" si="2"/>
        <v/>
      </c>
      <c r="H3671" s="94" t="str">
        <f t="shared" si="3"/>
        <v/>
      </c>
      <c r="I3671" s="94" t="str">
        <f t="shared" ref="I3671:J3671" si="3672">if(G3671 = "", , -G3671)</f>
        <v/>
      </c>
      <c r="J3671" s="94" t="str">
        <f t="shared" si="3672"/>
        <v/>
      </c>
      <c r="K3671" s="100"/>
      <c r="M3671" s="100"/>
      <c r="N3671" s="100"/>
      <c r="O3671" s="100"/>
      <c r="P3671" s="100"/>
    </row>
    <row r="3672">
      <c r="A3672" s="107">
        <v>1627736.0</v>
      </c>
      <c r="B3672" s="108" t="s">
        <v>245</v>
      </c>
      <c r="C3672" s="108" t="s">
        <v>898</v>
      </c>
      <c r="D3672" s="112" t="s">
        <v>178</v>
      </c>
      <c r="E3672" s="112">
        <v>2338.4</v>
      </c>
      <c r="F3672" s="111" t="str">
        <f>DataPull!D3672</f>
        <v/>
      </c>
      <c r="G3672" s="94" t="str">
        <f t="shared" si="2"/>
        <v/>
      </c>
      <c r="H3672" s="94" t="str">
        <f t="shared" si="3"/>
        <v/>
      </c>
      <c r="I3672" s="94" t="str">
        <f t="shared" ref="I3672:J3672" si="3673">if(G3672 = "", , -G3672)</f>
        <v/>
      </c>
      <c r="J3672" s="94" t="str">
        <f t="shared" si="3673"/>
        <v/>
      </c>
      <c r="K3672" s="100"/>
      <c r="L3672" s="100"/>
      <c r="N3672" s="100"/>
      <c r="O3672" s="100"/>
      <c r="P3672" s="100"/>
    </row>
    <row r="3673">
      <c r="A3673" s="107">
        <v>1627736.0</v>
      </c>
      <c r="B3673" s="108" t="s">
        <v>246</v>
      </c>
      <c r="C3673" s="108" t="s">
        <v>898</v>
      </c>
      <c r="D3673" s="112" t="s">
        <v>178</v>
      </c>
      <c r="E3673" s="112">
        <v>2279.6</v>
      </c>
      <c r="F3673" s="111" t="str">
        <f>DataPull!D3673</f>
        <v/>
      </c>
      <c r="G3673" s="94" t="str">
        <f t="shared" si="2"/>
        <v/>
      </c>
      <c r="H3673" s="94" t="str">
        <f t="shared" si="3"/>
        <v/>
      </c>
      <c r="I3673" s="94" t="str">
        <f t="shared" ref="I3673:J3673" si="3674">if(G3673 = "", , -G3673)</f>
        <v/>
      </c>
      <c r="J3673" s="94" t="str">
        <f t="shared" si="3674"/>
        <v/>
      </c>
      <c r="K3673" s="100"/>
      <c r="M3673" s="100"/>
      <c r="N3673" s="100"/>
      <c r="O3673" s="100"/>
      <c r="P3673" s="100"/>
    </row>
    <row r="3674">
      <c r="A3674" s="107">
        <v>1627737.0</v>
      </c>
      <c r="B3674" s="108" t="s">
        <v>190</v>
      </c>
      <c r="C3674" s="108" t="s">
        <v>899</v>
      </c>
      <c r="D3674" s="112" t="s">
        <v>176</v>
      </c>
      <c r="E3674" s="112">
        <v>1746.6</v>
      </c>
      <c r="F3674" s="111" t="str">
        <f>DataPull!D3674</f>
        <v/>
      </c>
      <c r="G3674" s="94" t="str">
        <f t="shared" si="2"/>
        <v/>
      </c>
      <c r="H3674" s="94" t="str">
        <f t="shared" si="3"/>
        <v/>
      </c>
      <c r="I3674" s="94" t="str">
        <f t="shared" ref="I3674:J3674" si="3675">if(G3674 = "", , -G3674)</f>
        <v/>
      </c>
      <c r="J3674" s="94" t="str">
        <f t="shared" si="3675"/>
        <v/>
      </c>
      <c r="K3674" s="100"/>
      <c r="M3674" s="100"/>
      <c r="N3674" s="100"/>
      <c r="O3674" s="100"/>
      <c r="P3674" s="100"/>
    </row>
    <row r="3675">
      <c r="A3675" s="107">
        <v>1627737.0</v>
      </c>
      <c r="B3675" s="108" t="s">
        <v>191</v>
      </c>
      <c r="C3675" s="108" t="s">
        <v>899</v>
      </c>
      <c r="D3675" s="112" t="s">
        <v>176</v>
      </c>
      <c r="E3675" s="112">
        <v>1526.4</v>
      </c>
      <c r="F3675" s="111" t="str">
        <f>DataPull!D3675</f>
        <v/>
      </c>
      <c r="G3675" s="94" t="str">
        <f t="shared" si="2"/>
        <v/>
      </c>
      <c r="H3675" s="94" t="str">
        <f t="shared" si="3"/>
        <v/>
      </c>
      <c r="I3675" s="94" t="str">
        <f t="shared" ref="I3675:J3675" si="3676">if(G3675 = "", , -G3675)</f>
        <v/>
      </c>
      <c r="J3675" s="94" t="str">
        <f t="shared" si="3676"/>
        <v/>
      </c>
      <c r="K3675" s="100"/>
      <c r="M3675" s="100"/>
      <c r="N3675" s="100"/>
      <c r="O3675" s="100"/>
      <c r="P3675" s="100"/>
    </row>
    <row r="3676">
      <c r="A3676" s="107">
        <v>1627737.0</v>
      </c>
      <c r="B3676" s="108" t="s">
        <v>192</v>
      </c>
      <c r="C3676" s="108" t="s">
        <v>899</v>
      </c>
      <c r="D3676" s="112" t="s">
        <v>177</v>
      </c>
      <c r="E3676" s="112">
        <v>498.8</v>
      </c>
      <c r="F3676" s="111" t="str">
        <f>DataPull!D3676</f>
        <v/>
      </c>
      <c r="G3676" s="94" t="str">
        <f t="shared" si="2"/>
        <v/>
      </c>
      <c r="H3676" s="94" t="str">
        <f t="shared" si="3"/>
        <v/>
      </c>
      <c r="I3676" s="94" t="str">
        <f t="shared" ref="I3676:J3676" si="3677">if(G3676 = "", , -G3676)</f>
        <v/>
      </c>
      <c r="J3676" s="94" t="str">
        <f t="shared" si="3677"/>
        <v/>
      </c>
      <c r="K3676" s="100"/>
      <c r="M3676" s="100"/>
      <c r="N3676" s="100"/>
      <c r="O3676" s="100"/>
      <c r="P3676" s="100"/>
    </row>
    <row r="3677">
      <c r="A3677" s="107">
        <v>1627737.0</v>
      </c>
      <c r="B3677" s="108" t="s">
        <v>193</v>
      </c>
      <c r="C3677" s="108" t="s">
        <v>899</v>
      </c>
      <c r="D3677" s="112" t="s">
        <v>176</v>
      </c>
      <c r="E3677" s="112">
        <v>1197.7</v>
      </c>
      <c r="F3677" s="111" t="str">
        <f>DataPull!D3677</f>
        <v/>
      </c>
      <c r="G3677" s="94" t="str">
        <f t="shared" si="2"/>
        <v/>
      </c>
      <c r="H3677" s="94" t="str">
        <f t="shared" si="3"/>
        <v/>
      </c>
      <c r="I3677" s="94" t="str">
        <f t="shared" ref="I3677:J3677" si="3678">if(G3677 = "", , -G3677)</f>
        <v/>
      </c>
      <c r="J3677" s="94" t="str">
        <f t="shared" si="3678"/>
        <v/>
      </c>
      <c r="K3677" s="100"/>
      <c r="M3677" s="100"/>
      <c r="N3677" s="100"/>
      <c r="O3677" s="100"/>
      <c r="P3677" s="100"/>
    </row>
    <row r="3678">
      <c r="A3678" s="107">
        <v>1627737.0</v>
      </c>
      <c r="B3678" s="108" t="s">
        <v>243</v>
      </c>
      <c r="C3678" s="108" t="s">
        <v>899</v>
      </c>
      <c r="D3678" s="112" t="s">
        <v>181</v>
      </c>
      <c r="E3678" s="112">
        <v>26.8</v>
      </c>
      <c r="F3678" s="111" t="str">
        <f>DataPull!D3678</f>
        <v/>
      </c>
      <c r="G3678" s="94" t="str">
        <f t="shared" si="2"/>
        <v/>
      </c>
      <c r="H3678" s="94" t="str">
        <f t="shared" si="3"/>
        <v/>
      </c>
      <c r="I3678" s="94" t="str">
        <f t="shared" ref="I3678:J3678" si="3679">if(G3678 = "", , -G3678)</f>
        <v/>
      </c>
      <c r="J3678" s="94" t="str">
        <f t="shared" si="3679"/>
        <v/>
      </c>
      <c r="K3678" s="100"/>
      <c r="M3678" s="100"/>
      <c r="N3678" s="100"/>
      <c r="O3678" s="100"/>
      <c r="P3678" s="100"/>
    </row>
    <row r="3679">
      <c r="A3679" s="107">
        <v>1627737.0</v>
      </c>
      <c r="B3679" s="108" t="s">
        <v>215</v>
      </c>
      <c r="C3679" s="108" t="s">
        <v>899</v>
      </c>
      <c r="D3679" s="112" t="s">
        <v>177</v>
      </c>
      <c r="E3679" s="112">
        <v>346.8</v>
      </c>
      <c r="F3679" s="111" t="str">
        <f>DataPull!D3679</f>
        <v/>
      </c>
      <c r="G3679" s="94" t="str">
        <f t="shared" si="2"/>
        <v/>
      </c>
      <c r="H3679" s="94" t="str">
        <f t="shared" si="3"/>
        <v/>
      </c>
      <c r="I3679" s="94" t="str">
        <f t="shared" ref="I3679:J3679" si="3680">if(G3679 = "", , -G3679)</f>
        <v/>
      </c>
      <c r="J3679" s="94" t="str">
        <f t="shared" si="3680"/>
        <v/>
      </c>
      <c r="K3679" s="100"/>
      <c r="M3679" s="100"/>
      <c r="N3679" s="100"/>
      <c r="O3679" s="100"/>
      <c r="P3679" s="100"/>
    </row>
    <row r="3680">
      <c r="A3680" s="107">
        <v>1627738.0</v>
      </c>
      <c r="B3680" s="108" t="s">
        <v>190</v>
      </c>
      <c r="C3680" s="108" t="s">
        <v>900</v>
      </c>
      <c r="D3680" s="112" t="s">
        <v>187</v>
      </c>
      <c r="E3680" s="112">
        <v>237.6</v>
      </c>
      <c r="F3680" s="111" t="str">
        <f>DataPull!D3680</f>
        <v/>
      </c>
      <c r="G3680" s="94" t="str">
        <f t="shared" si="2"/>
        <v/>
      </c>
      <c r="H3680" s="94" t="str">
        <f t="shared" si="3"/>
        <v/>
      </c>
      <c r="I3680" s="94" t="str">
        <f t="shared" ref="I3680:J3680" si="3681">if(G3680 = "", , -G3680)</f>
        <v/>
      </c>
      <c r="J3680" s="94" t="str">
        <f t="shared" si="3681"/>
        <v/>
      </c>
      <c r="K3680" s="100"/>
      <c r="M3680" s="100"/>
      <c r="N3680" s="100"/>
      <c r="O3680" s="100"/>
      <c r="P3680" s="100"/>
    </row>
    <row r="3681">
      <c r="A3681" s="107">
        <v>1627738.0</v>
      </c>
      <c r="B3681" s="108" t="s">
        <v>191</v>
      </c>
      <c r="C3681" s="108" t="s">
        <v>900</v>
      </c>
      <c r="D3681" s="112" t="s">
        <v>177</v>
      </c>
      <c r="E3681" s="112">
        <v>942.4</v>
      </c>
      <c r="F3681" s="111" t="str">
        <f>DataPull!D3681</f>
        <v/>
      </c>
      <c r="G3681" s="94" t="str">
        <f t="shared" si="2"/>
        <v/>
      </c>
      <c r="H3681" s="94" t="str">
        <f t="shared" si="3"/>
        <v/>
      </c>
      <c r="I3681" s="94" t="str">
        <f t="shared" ref="I3681:J3681" si="3682">if(G3681 = "", , -G3681)</f>
        <v/>
      </c>
      <c r="J3681" s="94" t="str">
        <f t="shared" si="3682"/>
        <v/>
      </c>
      <c r="K3681" s="100"/>
      <c r="M3681" s="100"/>
      <c r="N3681" s="100"/>
      <c r="O3681" s="100"/>
      <c r="P3681" s="100"/>
    </row>
    <row r="3682">
      <c r="A3682" s="107">
        <v>1627738.0</v>
      </c>
      <c r="B3682" s="108" t="s">
        <v>192</v>
      </c>
      <c r="C3682" s="108" t="s">
        <v>900</v>
      </c>
      <c r="D3682" s="112" t="s">
        <v>187</v>
      </c>
      <c r="E3682" s="112">
        <v>118.8</v>
      </c>
      <c r="F3682" s="111" t="str">
        <f>DataPull!D3682</f>
        <v/>
      </c>
      <c r="G3682" s="94" t="str">
        <f t="shared" si="2"/>
        <v/>
      </c>
      <c r="H3682" s="94" t="str">
        <f t="shared" si="3"/>
        <v/>
      </c>
      <c r="I3682" s="94" t="str">
        <f t="shared" ref="I3682:J3682" si="3683">if(G3682 = "", , -G3682)</f>
        <v/>
      </c>
      <c r="J3682" s="94" t="str">
        <f t="shared" si="3683"/>
        <v/>
      </c>
      <c r="K3682" s="100"/>
      <c r="M3682" s="100"/>
      <c r="N3682" s="100"/>
      <c r="O3682" s="100"/>
      <c r="P3682" s="100"/>
    </row>
    <row r="3683">
      <c r="A3683" s="107">
        <v>1627739.0</v>
      </c>
      <c r="B3683" s="108" t="s">
        <v>190</v>
      </c>
      <c r="C3683" s="108" t="s">
        <v>901</v>
      </c>
      <c r="D3683" s="112" t="s">
        <v>177</v>
      </c>
      <c r="E3683" s="112">
        <v>1333.8</v>
      </c>
      <c r="F3683" s="111" t="str">
        <f>DataPull!D3683</f>
        <v/>
      </c>
      <c r="G3683" s="94" t="str">
        <f t="shared" si="2"/>
        <v/>
      </c>
      <c r="H3683" s="94" t="str">
        <f t="shared" si="3"/>
        <v/>
      </c>
      <c r="I3683" s="94" t="str">
        <f t="shared" ref="I3683:J3683" si="3684">if(G3683 = "", , -G3683)</f>
        <v/>
      </c>
      <c r="J3683" s="94" t="str">
        <f t="shared" si="3684"/>
        <v/>
      </c>
      <c r="K3683" s="100"/>
      <c r="M3683" s="100"/>
      <c r="N3683" s="100"/>
      <c r="O3683" s="100"/>
      <c r="P3683" s="100"/>
    </row>
    <row r="3684">
      <c r="A3684" s="107">
        <v>1627739.0</v>
      </c>
      <c r="B3684" s="108" t="s">
        <v>191</v>
      </c>
      <c r="C3684" s="108" t="s">
        <v>901</v>
      </c>
      <c r="D3684" s="112" t="s">
        <v>178</v>
      </c>
      <c r="E3684" s="112">
        <v>1523.6</v>
      </c>
      <c r="F3684" s="111" t="str">
        <f>DataPull!D3684</f>
        <v/>
      </c>
      <c r="G3684" s="94" t="str">
        <f t="shared" si="2"/>
        <v/>
      </c>
      <c r="H3684" s="94" t="str">
        <f t="shared" si="3"/>
        <v/>
      </c>
      <c r="I3684" s="94" t="str">
        <f t="shared" ref="I3684:J3684" si="3685">if(G3684 = "", , -G3684)</f>
        <v/>
      </c>
      <c r="J3684" s="94" t="str">
        <f t="shared" si="3685"/>
        <v/>
      </c>
      <c r="K3684" s="100"/>
      <c r="M3684" s="100"/>
      <c r="N3684" s="100"/>
      <c r="O3684" s="100"/>
      <c r="P3684" s="100"/>
    </row>
    <row r="3685">
      <c r="A3685" s="107">
        <v>1627739.0</v>
      </c>
      <c r="B3685" s="108" t="s">
        <v>192</v>
      </c>
      <c r="C3685" s="108" t="s">
        <v>901</v>
      </c>
      <c r="D3685" s="112" t="s">
        <v>178</v>
      </c>
      <c r="E3685" s="112">
        <v>1389.2</v>
      </c>
      <c r="F3685" s="111" t="str">
        <f>DataPull!D3685</f>
        <v/>
      </c>
      <c r="G3685" s="94" t="str">
        <f t="shared" si="2"/>
        <v/>
      </c>
      <c r="H3685" s="94" t="str">
        <f t="shared" si="3"/>
        <v/>
      </c>
      <c r="I3685" s="94" t="str">
        <f t="shared" ref="I3685:J3685" si="3686">if(G3685 = "", , -G3685)</f>
        <v/>
      </c>
      <c r="J3685" s="94" t="str">
        <f t="shared" si="3686"/>
        <v/>
      </c>
      <c r="K3685" s="100"/>
      <c r="M3685" s="100"/>
      <c r="N3685" s="100"/>
      <c r="O3685" s="100"/>
      <c r="P3685" s="100"/>
    </row>
    <row r="3686">
      <c r="A3686" s="107">
        <v>1627739.0</v>
      </c>
      <c r="B3686" s="108" t="s">
        <v>193</v>
      </c>
      <c r="C3686" s="108" t="s">
        <v>901</v>
      </c>
      <c r="D3686" s="112" t="s">
        <v>176</v>
      </c>
      <c r="E3686" s="112">
        <v>1269.9</v>
      </c>
      <c r="F3686" s="111" t="str">
        <f>DataPull!D3686</f>
        <v/>
      </c>
      <c r="G3686" s="94" t="str">
        <f t="shared" si="2"/>
        <v/>
      </c>
      <c r="H3686" s="94" t="str">
        <f t="shared" si="3"/>
        <v/>
      </c>
      <c r="I3686" s="94" t="str">
        <f t="shared" ref="I3686:J3686" si="3687">if(G3686 = "", , -G3686)</f>
        <v/>
      </c>
      <c r="J3686" s="94" t="str">
        <f t="shared" si="3687"/>
        <v/>
      </c>
      <c r="K3686" s="100"/>
      <c r="M3686" s="100"/>
      <c r="N3686" s="100"/>
      <c r="O3686" s="100"/>
      <c r="P3686" s="100"/>
    </row>
    <row r="3687">
      <c r="A3687" s="107">
        <v>1627739.0</v>
      </c>
      <c r="B3687" s="108" t="s">
        <v>243</v>
      </c>
      <c r="C3687" s="108" t="s">
        <v>901</v>
      </c>
      <c r="D3687" s="112" t="s">
        <v>181</v>
      </c>
      <c r="E3687" s="112">
        <v>45.6</v>
      </c>
      <c r="F3687" s="111" t="str">
        <f>DataPull!D3687</f>
        <v/>
      </c>
      <c r="G3687" s="94" t="str">
        <f t="shared" si="2"/>
        <v/>
      </c>
      <c r="H3687" s="94" t="str">
        <f t="shared" si="3"/>
        <v/>
      </c>
      <c r="I3687" s="94" t="str">
        <f t="shared" ref="I3687:J3687" si="3688">if(G3687 = "", , -G3687)</f>
        <v/>
      </c>
      <c r="J3687" s="94" t="str">
        <f t="shared" si="3688"/>
        <v/>
      </c>
      <c r="K3687" s="100"/>
      <c r="M3687" s="100"/>
      <c r="N3687" s="100"/>
      <c r="O3687" s="100"/>
      <c r="P3687" s="100"/>
    </row>
    <row r="3688">
      <c r="A3688" s="107">
        <v>1627739.0</v>
      </c>
      <c r="B3688" s="108" t="s">
        <v>215</v>
      </c>
      <c r="C3688" s="108" t="s">
        <v>901</v>
      </c>
      <c r="D3688" s="112" t="s">
        <v>176</v>
      </c>
      <c r="E3688" s="112">
        <v>336.0</v>
      </c>
      <c r="F3688" s="111" t="str">
        <f>DataPull!D3688</f>
        <v/>
      </c>
      <c r="G3688" s="94" t="str">
        <f t="shared" si="2"/>
        <v/>
      </c>
      <c r="H3688" s="94" t="str">
        <f t="shared" si="3"/>
        <v/>
      </c>
      <c r="I3688" s="94" t="str">
        <f t="shared" ref="I3688:J3688" si="3689">if(G3688 = "", , -G3688)</f>
        <v/>
      </c>
      <c r="J3688" s="94" t="str">
        <f t="shared" si="3689"/>
        <v/>
      </c>
      <c r="K3688" s="100"/>
      <c r="N3688" s="100"/>
      <c r="O3688" s="100"/>
      <c r="P3688" s="100"/>
    </row>
    <row r="3689">
      <c r="A3689" s="107">
        <v>1627739.0</v>
      </c>
      <c r="B3689" s="108" t="s">
        <v>244</v>
      </c>
      <c r="C3689" s="108" t="s">
        <v>901</v>
      </c>
      <c r="D3689" s="112" t="s">
        <v>176</v>
      </c>
      <c r="E3689" s="112">
        <v>567.6</v>
      </c>
      <c r="F3689" s="111" t="str">
        <f>DataPull!D3689</f>
        <v/>
      </c>
      <c r="G3689" s="94" t="str">
        <f t="shared" si="2"/>
        <v/>
      </c>
      <c r="H3689" s="94" t="str">
        <f t="shared" si="3"/>
        <v/>
      </c>
      <c r="I3689" s="94" t="str">
        <f t="shared" ref="I3689:J3689" si="3690">if(G3689 = "", , -G3689)</f>
        <v/>
      </c>
      <c r="J3689" s="94" t="str">
        <f t="shared" si="3690"/>
        <v/>
      </c>
      <c r="K3689" s="100"/>
      <c r="M3689" s="100"/>
      <c r="N3689" s="100"/>
      <c r="O3689" s="100"/>
      <c r="P3689" s="100"/>
    </row>
    <row r="3690">
      <c r="A3690" s="107">
        <v>1627739.0</v>
      </c>
      <c r="B3690" s="108" t="s">
        <v>245</v>
      </c>
      <c r="C3690" s="108" t="s">
        <v>901</v>
      </c>
      <c r="D3690" s="112" t="s">
        <v>177</v>
      </c>
      <c r="E3690" s="112">
        <v>1247.4</v>
      </c>
      <c r="F3690" s="111" t="str">
        <f>DataPull!D3690</f>
        <v/>
      </c>
      <c r="G3690" s="94" t="str">
        <f t="shared" si="2"/>
        <v/>
      </c>
      <c r="H3690" s="94" t="str">
        <f t="shared" si="3"/>
        <v/>
      </c>
      <c r="I3690" s="94" t="str">
        <f t="shared" ref="I3690:J3690" si="3691">if(G3690 = "", , -G3690)</f>
        <v/>
      </c>
      <c r="J3690" s="94" t="str">
        <f t="shared" si="3691"/>
        <v/>
      </c>
      <c r="K3690" s="100"/>
      <c r="M3690" s="100"/>
      <c r="N3690" s="100"/>
      <c r="O3690" s="100"/>
      <c r="P3690" s="100"/>
    </row>
    <row r="3691">
      <c r="A3691" s="107">
        <v>1627739.0</v>
      </c>
      <c r="B3691" s="108" t="s">
        <v>246</v>
      </c>
      <c r="C3691" s="108" t="s">
        <v>901</v>
      </c>
      <c r="D3691" s="112" t="s">
        <v>176</v>
      </c>
      <c r="E3691" s="112">
        <v>1783.4</v>
      </c>
      <c r="F3691" s="111" t="str">
        <f>DataPull!D3691</f>
        <v/>
      </c>
      <c r="G3691" s="94" t="str">
        <f t="shared" si="2"/>
        <v/>
      </c>
      <c r="H3691" s="94" t="str">
        <f t="shared" si="3"/>
        <v/>
      </c>
      <c r="I3691" s="94" t="str">
        <f t="shared" ref="I3691:J3691" si="3692">if(G3691 = "", , -G3691)</f>
        <v/>
      </c>
      <c r="J3691" s="94" t="str">
        <f t="shared" si="3692"/>
        <v/>
      </c>
      <c r="K3691" s="100"/>
      <c r="L3691" s="100"/>
      <c r="M3691" s="100"/>
      <c r="N3691" s="100"/>
      <c r="O3691" s="100"/>
      <c r="P3691" s="100"/>
    </row>
    <row r="3692">
      <c r="A3692" s="114">
        <v>1627739.0</v>
      </c>
      <c r="B3692" s="113" t="s">
        <v>247</v>
      </c>
      <c r="C3692" s="113" t="s">
        <v>901</v>
      </c>
      <c r="D3692" s="112" t="s">
        <v>178</v>
      </c>
      <c r="E3692" s="112">
        <v>2230.4</v>
      </c>
      <c r="F3692" s="111" t="str">
        <f>DataPull!D3692</f>
        <v/>
      </c>
      <c r="G3692" s="94" t="str">
        <f t="shared" si="2"/>
        <v/>
      </c>
      <c r="H3692" s="94" t="str">
        <f t="shared" si="3"/>
        <v/>
      </c>
      <c r="I3692" s="94" t="str">
        <f t="shared" ref="I3692:J3692" si="3693">if(G3692 = "", , -G3692)</f>
        <v/>
      </c>
      <c r="J3692" s="94" t="str">
        <f t="shared" si="3693"/>
        <v/>
      </c>
      <c r="K3692" s="100"/>
      <c r="M3692" s="100"/>
      <c r="N3692" s="100"/>
      <c r="O3692" s="100"/>
      <c r="P3692" s="100"/>
    </row>
    <row r="3693">
      <c r="A3693" s="107">
        <v>1627740.0</v>
      </c>
      <c r="B3693" s="108" t="s">
        <v>190</v>
      </c>
      <c r="C3693" s="108" t="s">
        <v>902</v>
      </c>
      <c r="D3693" s="112" t="s">
        <v>187</v>
      </c>
      <c r="E3693" s="112">
        <v>146.3</v>
      </c>
      <c r="F3693" s="111" t="str">
        <f>DataPull!D3693</f>
        <v/>
      </c>
      <c r="G3693" s="94" t="str">
        <f t="shared" si="2"/>
        <v/>
      </c>
      <c r="H3693" s="94" t="str">
        <f t="shared" si="3"/>
        <v/>
      </c>
      <c r="I3693" s="94" t="str">
        <f t="shared" ref="I3693:J3693" si="3694">if(G3693 = "", , -G3693)</f>
        <v/>
      </c>
      <c r="J3693" s="94" t="str">
        <f t="shared" si="3694"/>
        <v/>
      </c>
      <c r="K3693" s="100"/>
      <c r="L3693" s="100"/>
      <c r="N3693" s="100"/>
      <c r="O3693" s="100"/>
      <c r="P3693" s="100"/>
    </row>
    <row r="3694">
      <c r="A3694" s="107">
        <v>1627740.0</v>
      </c>
      <c r="B3694" s="108" t="s">
        <v>191</v>
      </c>
      <c r="C3694" s="108" t="s">
        <v>902</v>
      </c>
      <c r="D3694" s="112" t="s">
        <v>187</v>
      </c>
      <c r="E3694" s="112">
        <v>330.6</v>
      </c>
      <c r="F3694" s="111" t="str">
        <f>DataPull!D3694</f>
        <v/>
      </c>
      <c r="G3694" s="94" t="str">
        <f t="shared" si="2"/>
        <v/>
      </c>
      <c r="H3694" s="94" t="str">
        <f t="shared" si="3"/>
        <v/>
      </c>
      <c r="I3694" s="94" t="str">
        <f t="shared" ref="I3694:J3694" si="3695">if(G3694 = "", , -G3694)</f>
        <v/>
      </c>
      <c r="J3694" s="94" t="str">
        <f t="shared" si="3695"/>
        <v/>
      </c>
      <c r="K3694" s="100"/>
      <c r="M3694" s="100"/>
      <c r="N3694" s="100"/>
      <c r="O3694" s="100"/>
      <c r="P3694" s="100"/>
    </row>
    <row r="3695">
      <c r="A3695" s="107">
        <v>1627740.0</v>
      </c>
      <c r="B3695" s="108" t="s">
        <v>192</v>
      </c>
      <c r="C3695" s="108" t="s">
        <v>902</v>
      </c>
      <c r="D3695" s="112" t="s">
        <v>187</v>
      </c>
      <c r="E3695" s="112">
        <v>258.4</v>
      </c>
      <c r="F3695" s="111" t="str">
        <f>DataPull!D3695</f>
        <v/>
      </c>
      <c r="G3695" s="94" t="str">
        <f t="shared" si="2"/>
        <v/>
      </c>
      <c r="H3695" s="94" t="str">
        <f t="shared" si="3"/>
        <v/>
      </c>
      <c r="I3695" s="94" t="str">
        <f t="shared" ref="I3695:J3695" si="3696">if(G3695 = "", , -G3695)</f>
        <v/>
      </c>
      <c r="J3695" s="94" t="str">
        <f t="shared" si="3696"/>
        <v/>
      </c>
      <c r="K3695" s="100"/>
      <c r="M3695" s="100"/>
      <c r="N3695" s="100"/>
      <c r="O3695" s="100"/>
      <c r="P3695" s="100"/>
    </row>
    <row r="3696">
      <c r="A3696" s="107">
        <v>1627740.0</v>
      </c>
      <c r="B3696" s="108" t="s">
        <v>193</v>
      </c>
      <c r="C3696" s="108" t="s">
        <v>902</v>
      </c>
      <c r="D3696" s="112" t="s">
        <v>181</v>
      </c>
      <c r="E3696" s="112">
        <v>15.0</v>
      </c>
      <c r="F3696" s="111" t="str">
        <f>DataPull!D3696</f>
        <v/>
      </c>
      <c r="G3696" s="94" t="str">
        <f t="shared" si="2"/>
        <v/>
      </c>
      <c r="H3696" s="94" t="str">
        <f t="shared" si="3"/>
        <v/>
      </c>
      <c r="I3696" s="94" t="str">
        <f t="shared" ref="I3696:J3696" si="3697">if(G3696 = "", , -G3696)</f>
        <v/>
      </c>
      <c r="J3696" s="94" t="str">
        <f t="shared" si="3697"/>
        <v/>
      </c>
      <c r="K3696" s="100"/>
      <c r="M3696" s="100"/>
      <c r="N3696" s="100"/>
      <c r="O3696" s="100"/>
      <c r="P3696" s="100"/>
    </row>
    <row r="3697">
      <c r="A3697" s="107">
        <v>1627740.0</v>
      </c>
      <c r="B3697" s="108" t="s">
        <v>243</v>
      </c>
      <c r="C3697" s="108" t="s">
        <v>902</v>
      </c>
      <c r="D3697" s="112" t="s">
        <v>181</v>
      </c>
      <c r="E3697" s="112">
        <v>38.4</v>
      </c>
      <c r="F3697" s="111" t="str">
        <f>DataPull!D3697</f>
        <v/>
      </c>
      <c r="G3697" s="94" t="str">
        <f t="shared" si="2"/>
        <v/>
      </c>
      <c r="H3697" s="94" t="str">
        <f t="shared" si="3"/>
        <v/>
      </c>
      <c r="I3697" s="94" t="str">
        <f t="shared" ref="I3697:J3697" si="3698">if(G3697 = "", , -G3697)</f>
        <v/>
      </c>
      <c r="J3697" s="94" t="str">
        <f t="shared" si="3698"/>
        <v/>
      </c>
      <c r="K3697" s="100"/>
      <c r="M3697" s="100"/>
      <c r="N3697" s="100"/>
      <c r="O3697" s="100"/>
      <c r="P3697" s="100"/>
    </row>
    <row r="3698">
      <c r="A3698" s="107">
        <v>1627741.0</v>
      </c>
      <c r="B3698" s="108" t="s">
        <v>190</v>
      </c>
      <c r="C3698" s="108" t="s">
        <v>903</v>
      </c>
      <c r="D3698" s="112" t="s">
        <v>177</v>
      </c>
      <c r="E3698" s="112">
        <v>1886.0</v>
      </c>
      <c r="F3698" s="111" t="str">
        <f>DataPull!D3698</f>
        <v/>
      </c>
      <c r="G3698" s="94" t="str">
        <f t="shared" si="2"/>
        <v/>
      </c>
      <c r="H3698" s="94" t="str">
        <f t="shared" si="3"/>
        <v/>
      </c>
      <c r="I3698" s="94" t="str">
        <f t="shared" ref="I3698:J3698" si="3699">if(G3698 = "", , -G3698)</f>
        <v/>
      </c>
      <c r="J3698" s="94" t="str">
        <f t="shared" si="3699"/>
        <v/>
      </c>
      <c r="K3698" s="100"/>
      <c r="M3698" s="100"/>
      <c r="N3698" s="100"/>
      <c r="O3698" s="100"/>
      <c r="P3698" s="100"/>
    </row>
    <row r="3699">
      <c r="A3699" s="107">
        <v>1627741.0</v>
      </c>
      <c r="B3699" s="108" t="s">
        <v>191</v>
      </c>
      <c r="C3699" s="108" t="s">
        <v>903</v>
      </c>
      <c r="D3699" s="112" t="s">
        <v>176</v>
      </c>
      <c r="E3699" s="112">
        <v>2024.0</v>
      </c>
      <c r="F3699" s="111" t="str">
        <f>DataPull!D3699</f>
        <v/>
      </c>
      <c r="G3699" s="94" t="str">
        <f t="shared" si="2"/>
        <v/>
      </c>
      <c r="H3699" s="94" t="str">
        <f t="shared" si="3"/>
        <v/>
      </c>
      <c r="I3699" s="94" t="str">
        <f t="shared" ref="I3699:J3699" si="3700">if(G3699 = "", , -G3699)</f>
        <v/>
      </c>
      <c r="J3699" s="94" t="str">
        <f t="shared" si="3700"/>
        <v/>
      </c>
      <c r="K3699" s="100"/>
      <c r="M3699" s="100"/>
      <c r="N3699" s="100"/>
      <c r="O3699" s="100"/>
      <c r="P3699" s="100"/>
    </row>
    <row r="3700">
      <c r="A3700" s="107">
        <v>1627741.0</v>
      </c>
      <c r="B3700" s="108" t="s">
        <v>192</v>
      </c>
      <c r="C3700" s="108" t="s">
        <v>903</v>
      </c>
      <c r="D3700" s="112" t="s">
        <v>178</v>
      </c>
      <c r="E3700" s="112">
        <v>2615.8</v>
      </c>
      <c r="F3700" s="111" t="str">
        <f>DataPull!D3700</f>
        <v/>
      </c>
      <c r="G3700" s="94" t="str">
        <f t="shared" si="2"/>
        <v/>
      </c>
      <c r="H3700" s="94" t="str">
        <f t="shared" si="3"/>
        <v/>
      </c>
      <c r="I3700" s="94" t="str">
        <f t="shared" ref="I3700:J3700" si="3701">if(G3700 = "", , -G3700)</f>
        <v/>
      </c>
      <c r="J3700" s="94" t="str">
        <f t="shared" si="3701"/>
        <v/>
      </c>
      <c r="K3700" s="100"/>
      <c r="L3700" s="100"/>
      <c r="N3700" s="100"/>
      <c r="O3700" s="100"/>
      <c r="P3700" s="100"/>
    </row>
    <row r="3701">
      <c r="A3701" s="107">
        <v>1627741.0</v>
      </c>
      <c r="B3701" s="108" t="s">
        <v>193</v>
      </c>
      <c r="C3701" s="108" t="s">
        <v>903</v>
      </c>
      <c r="D3701" s="112" t="s">
        <v>178</v>
      </c>
      <c r="E3701" s="112">
        <v>2217.6</v>
      </c>
      <c r="F3701" s="111" t="str">
        <f>DataPull!D3701</f>
        <v/>
      </c>
      <c r="G3701" s="94" t="str">
        <f t="shared" si="2"/>
        <v/>
      </c>
      <c r="H3701" s="94" t="str">
        <f t="shared" si="3"/>
        <v/>
      </c>
      <c r="I3701" s="94" t="str">
        <f t="shared" ref="I3701:J3701" si="3702">if(G3701 = "", , -G3701)</f>
        <v/>
      </c>
      <c r="J3701" s="94" t="str">
        <f t="shared" si="3702"/>
        <v/>
      </c>
      <c r="K3701" s="100"/>
      <c r="M3701" s="100"/>
      <c r="N3701" s="100"/>
      <c r="O3701" s="100"/>
      <c r="P3701" s="100"/>
    </row>
    <row r="3702">
      <c r="A3702" s="107">
        <v>1627741.0</v>
      </c>
      <c r="B3702" s="108" t="s">
        <v>243</v>
      </c>
      <c r="C3702" s="108" t="s">
        <v>903</v>
      </c>
      <c r="D3702" s="112" t="s">
        <v>178</v>
      </c>
      <c r="E3702" s="112">
        <v>2435.3</v>
      </c>
      <c r="F3702" s="111" t="str">
        <f>DataPull!D3702</f>
        <v/>
      </c>
      <c r="G3702" s="94" t="str">
        <f t="shared" si="2"/>
        <v/>
      </c>
      <c r="H3702" s="94" t="str">
        <f t="shared" si="3"/>
        <v/>
      </c>
      <c r="I3702" s="94" t="str">
        <f t="shared" ref="I3702:J3702" si="3703">if(G3702 = "", , -G3702)</f>
        <v/>
      </c>
      <c r="J3702" s="94" t="str">
        <f t="shared" si="3703"/>
        <v/>
      </c>
      <c r="K3702" s="100"/>
      <c r="M3702" s="100"/>
      <c r="N3702" s="100"/>
      <c r="O3702" s="100"/>
      <c r="P3702" s="100"/>
    </row>
    <row r="3703">
      <c r="A3703" s="107">
        <v>1627741.0</v>
      </c>
      <c r="B3703" s="108" t="s">
        <v>215</v>
      </c>
      <c r="C3703" s="108" t="s">
        <v>903</v>
      </c>
      <c r="D3703" s="112" t="s">
        <v>178</v>
      </c>
      <c r="E3703" s="112">
        <v>2494.8</v>
      </c>
      <c r="F3703" s="111" t="str">
        <f>DataPull!D3703</f>
        <v/>
      </c>
      <c r="G3703" s="94" t="str">
        <f t="shared" si="2"/>
        <v/>
      </c>
      <c r="H3703" s="94" t="str">
        <f t="shared" si="3"/>
        <v/>
      </c>
      <c r="I3703" s="94" t="str">
        <f t="shared" ref="I3703:J3703" si="3704">if(G3703 = "", , -G3703)</f>
        <v/>
      </c>
      <c r="J3703" s="94" t="str">
        <f t="shared" si="3704"/>
        <v/>
      </c>
      <c r="K3703" s="100"/>
      <c r="M3703" s="100"/>
      <c r="N3703" s="100"/>
      <c r="O3703" s="100"/>
      <c r="P3703" s="100"/>
    </row>
    <row r="3704">
      <c r="A3704" s="107">
        <v>1627741.0</v>
      </c>
      <c r="B3704" s="108" t="s">
        <v>244</v>
      </c>
      <c r="C3704" s="108" t="s">
        <v>903</v>
      </c>
      <c r="D3704" s="112" t="s">
        <v>178</v>
      </c>
      <c r="E3704" s="112">
        <v>2480.0</v>
      </c>
      <c r="F3704" s="111" t="str">
        <f>DataPull!D3704</f>
        <v/>
      </c>
      <c r="G3704" s="94" t="str">
        <f t="shared" si="2"/>
        <v/>
      </c>
      <c r="H3704" s="94" t="str">
        <f t="shared" si="3"/>
        <v/>
      </c>
      <c r="I3704" s="94" t="str">
        <f t="shared" ref="I3704:J3704" si="3705">if(G3704 = "", , -G3704)</f>
        <v/>
      </c>
      <c r="J3704" s="94" t="str">
        <f t="shared" si="3705"/>
        <v/>
      </c>
      <c r="K3704" s="100"/>
      <c r="L3704" s="100"/>
      <c r="M3704" s="100"/>
      <c r="N3704" s="100"/>
      <c r="O3704" s="100"/>
      <c r="P3704" s="100"/>
    </row>
    <row r="3705">
      <c r="A3705" s="107">
        <v>1627741.0</v>
      </c>
      <c r="B3705" s="108" t="s">
        <v>245</v>
      </c>
      <c r="C3705" s="108" t="s">
        <v>903</v>
      </c>
      <c r="D3705" s="112" t="s">
        <v>176</v>
      </c>
      <c r="E3705" s="112">
        <v>2158.8</v>
      </c>
      <c r="F3705" s="111" t="str">
        <f>DataPull!D3705</f>
        <v/>
      </c>
      <c r="G3705" s="94" t="str">
        <f t="shared" si="2"/>
        <v/>
      </c>
      <c r="H3705" s="94" t="str">
        <f t="shared" si="3"/>
        <v/>
      </c>
      <c r="I3705" s="94" t="str">
        <f t="shared" ref="I3705:J3705" si="3706">if(G3705 = "", , -G3705)</f>
        <v/>
      </c>
      <c r="J3705" s="94" t="str">
        <f t="shared" si="3706"/>
        <v/>
      </c>
      <c r="K3705" s="100"/>
      <c r="M3705" s="100"/>
      <c r="N3705" s="100"/>
      <c r="O3705" s="100"/>
      <c r="P3705" s="100"/>
    </row>
    <row r="3706">
      <c r="A3706" s="107">
        <v>1627741.0</v>
      </c>
      <c r="B3706" s="108" t="s">
        <v>246</v>
      </c>
      <c r="C3706" s="108" t="s">
        <v>903</v>
      </c>
      <c r="D3706" s="112" t="s">
        <v>176</v>
      </c>
      <c r="E3706" s="112">
        <v>1861.4</v>
      </c>
      <c r="F3706" s="111" t="str">
        <f>DataPull!D3706</f>
        <v/>
      </c>
      <c r="G3706" s="94" t="str">
        <f t="shared" si="2"/>
        <v/>
      </c>
      <c r="H3706" s="94" t="str">
        <f t="shared" si="3"/>
        <v/>
      </c>
      <c r="I3706" s="94" t="str">
        <f t="shared" ref="I3706:J3706" si="3707">if(G3706 = "", , -G3706)</f>
        <v/>
      </c>
      <c r="J3706" s="94" t="str">
        <f t="shared" si="3707"/>
        <v/>
      </c>
      <c r="K3706" s="100"/>
      <c r="M3706" s="100"/>
      <c r="N3706" s="100"/>
      <c r="O3706" s="100"/>
      <c r="P3706" s="100"/>
    </row>
    <row r="3707">
      <c r="A3707" s="114">
        <v>1627741.0</v>
      </c>
      <c r="B3707" s="113" t="s">
        <v>247</v>
      </c>
      <c r="C3707" s="113" t="s">
        <v>903</v>
      </c>
      <c r="D3707" s="112" t="s">
        <v>177</v>
      </c>
      <c r="E3707" s="112">
        <v>821.1</v>
      </c>
      <c r="F3707" s="111" t="str">
        <f>DataPull!D3707</f>
        <v/>
      </c>
      <c r="G3707" s="94" t="str">
        <f t="shared" si="2"/>
        <v/>
      </c>
      <c r="H3707" s="94" t="str">
        <f t="shared" si="3"/>
        <v/>
      </c>
      <c r="I3707" s="94" t="str">
        <f t="shared" ref="I3707:J3707" si="3708">if(G3707 = "", , -G3707)</f>
        <v/>
      </c>
      <c r="J3707" s="94" t="str">
        <f t="shared" si="3708"/>
        <v/>
      </c>
      <c r="K3707" s="100"/>
      <c r="M3707" s="100"/>
      <c r="N3707" s="100"/>
      <c r="O3707" s="100"/>
      <c r="P3707" s="100"/>
    </row>
    <row r="3708">
      <c r="A3708" s="107">
        <v>1627742.0</v>
      </c>
      <c r="B3708" s="108" t="s">
        <v>190</v>
      </c>
      <c r="C3708" s="108" t="s">
        <v>904</v>
      </c>
      <c r="D3708" s="112" t="s">
        <v>178</v>
      </c>
      <c r="E3708" s="112">
        <v>2283.1</v>
      </c>
      <c r="F3708" s="111" t="str">
        <f>DataPull!D3708</f>
        <v/>
      </c>
      <c r="G3708" s="94" t="str">
        <f t="shared" si="2"/>
        <v/>
      </c>
      <c r="H3708" s="94" t="str">
        <f t="shared" si="3"/>
        <v/>
      </c>
      <c r="I3708" s="94" t="str">
        <f t="shared" ref="I3708:J3708" si="3709">if(G3708 = "", , -G3708)</f>
        <v/>
      </c>
      <c r="J3708" s="94" t="str">
        <f t="shared" si="3709"/>
        <v/>
      </c>
      <c r="K3708" s="100"/>
      <c r="M3708" s="100"/>
      <c r="N3708" s="100"/>
      <c r="O3708" s="100"/>
      <c r="P3708" s="100"/>
    </row>
    <row r="3709">
      <c r="A3709" s="107">
        <v>1627742.0</v>
      </c>
      <c r="B3709" s="108" t="s">
        <v>191</v>
      </c>
      <c r="C3709" s="108" t="s">
        <v>904</v>
      </c>
      <c r="D3709" s="112" t="s">
        <v>178</v>
      </c>
      <c r="E3709" s="112">
        <v>1976.5</v>
      </c>
      <c r="F3709" s="111" t="str">
        <f>DataPull!D3709</f>
        <v/>
      </c>
      <c r="G3709" s="94" t="str">
        <f t="shared" si="2"/>
        <v/>
      </c>
      <c r="H3709" s="94" t="str">
        <f t="shared" si="3"/>
        <v/>
      </c>
      <c r="I3709" s="94" t="str">
        <f t="shared" ref="I3709:J3709" si="3710">if(G3709 = "", , -G3709)</f>
        <v/>
      </c>
      <c r="J3709" s="94" t="str">
        <f t="shared" si="3710"/>
        <v/>
      </c>
      <c r="K3709" s="100"/>
      <c r="M3709" s="100"/>
      <c r="N3709" s="100"/>
      <c r="O3709" s="100"/>
      <c r="P3709" s="100"/>
    </row>
    <row r="3710">
      <c r="A3710" s="107">
        <v>1627742.0</v>
      </c>
      <c r="B3710" s="108" t="s">
        <v>192</v>
      </c>
      <c r="C3710" s="108" t="s">
        <v>904</v>
      </c>
      <c r="D3710" s="112" t="s">
        <v>178</v>
      </c>
      <c r="E3710" s="112">
        <v>1762.8</v>
      </c>
      <c r="F3710" s="111" t="str">
        <f>DataPull!D3710</f>
        <v/>
      </c>
      <c r="G3710" s="94" t="str">
        <f t="shared" si="2"/>
        <v/>
      </c>
      <c r="H3710" s="94" t="str">
        <f t="shared" si="3"/>
        <v/>
      </c>
      <c r="I3710" s="94" t="str">
        <f t="shared" ref="I3710:J3710" si="3711">if(G3710 = "", , -G3710)</f>
        <v/>
      </c>
      <c r="J3710" s="94" t="str">
        <f t="shared" si="3711"/>
        <v/>
      </c>
      <c r="K3710" s="100"/>
      <c r="L3710" s="100"/>
      <c r="M3710" s="100"/>
      <c r="N3710" s="100"/>
      <c r="O3710" s="100"/>
      <c r="P3710" s="100"/>
    </row>
    <row r="3711">
      <c r="A3711" s="107">
        <v>1627742.0</v>
      </c>
      <c r="B3711" s="108" t="s">
        <v>193</v>
      </c>
      <c r="C3711" s="108" t="s">
        <v>904</v>
      </c>
      <c r="D3711" s="112" t="s">
        <v>178</v>
      </c>
      <c r="E3711" s="112">
        <v>2101.8</v>
      </c>
      <c r="F3711" s="111" t="str">
        <f>DataPull!D3711</f>
        <v/>
      </c>
      <c r="G3711" s="94" t="str">
        <f t="shared" si="2"/>
        <v/>
      </c>
      <c r="H3711" s="94" t="str">
        <f t="shared" si="3"/>
        <v/>
      </c>
      <c r="I3711" s="94" t="str">
        <f t="shared" ref="I3711:J3711" si="3712">if(G3711 = "", , -G3711)</f>
        <v/>
      </c>
      <c r="J3711" s="94" t="str">
        <f t="shared" si="3712"/>
        <v/>
      </c>
      <c r="K3711" s="100"/>
      <c r="M3711" s="100"/>
      <c r="N3711" s="100"/>
      <c r="O3711" s="100"/>
      <c r="P3711" s="100"/>
    </row>
    <row r="3712">
      <c r="A3712" s="107">
        <v>1627742.0</v>
      </c>
      <c r="B3712" s="108" t="s">
        <v>243</v>
      </c>
      <c r="C3712" s="108" t="s">
        <v>904</v>
      </c>
      <c r="D3712" s="112" t="s">
        <v>178</v>
      </c>
      <c r="E3712" s="112">
        <v>2092.3</v>
      </c>
      <c r="F3712" s="111" t="str">
        <f>DataPull!D3712</f>
        <v/>
      </c>
      <c r="G3712" s="94" t="str">
        <f t="shared" si="2"/>
        <v/>
      </c>
      <c r="H3712" s="94" t="str">
        <f t="shared" si="3"/>
        <v/>
      </c>
      <c r="I3712" s="94" t="str">
        <f t="shared" ref="I3712:J3712" si="3713">if(G3712 = "", , -G3712)</f>
        <v/>
      </c>
      <c r="J3712" s="94" t="str">
        <f t="shared" si="3713"/>
        <v/>
      </c>
      <c r="K3712" s="100"/>
      <c r="M3712" s="100"/>
      <c r="N3712" s="100"/>
      <c r="O3712" s="100"/>
      <c r="P3712" s="100"/>
    </row>
    <row r="3713">
      <c r="A3713" s="107">
        <v>1627742.0</v>
      </c>
      <c r="B3713" s="108" t="s">
        <v>215</v>
      </c>
      <c r="C3713" s="108" t="s">
        <v>904</v>
      </c>
      <c r="D3713" s="112" t="s">
        <v>178</v>
      </c>
      <c r="E3713" s="112">
        <v>1870.0</v>
      </c>
      <c r="F3713" s="111" t="str">
        <f>DataPull!D3713</f>
        <v/>
      </c>
      <c r="G3713" s="94" t="str">
        <f t="shared" si="2"/>
        <v/>
      </c>
      <c r="H3713" s="94" t="str">
        <f t="shared" si="3"/>
        <v/>
      </c>
      <c r="I3713" s="94" t="str">
        <f t="shared" ref="I3713:J3713" si="3714">if(G3713 = "", , -G3713)</f>
        <v/>
      </c>
      <c r="J3713" s="94" t="str">
        <f t="shared" si="3714"/>
        <v/>
      </c>
      <c r="K3713" s="100"/>
      <c r="L3713" s="100"/>
      <c r="N3713" s="100"/>
      <c r="O3713" s="100"/>
      <c r="P3713" s="100"/>
    </row>
    <row r="3714">
      <c r="A3714" s="107">
        <v>1627742.0</v>
      </c>
      <c r="B3714" s="108" t="s">
        <v>244</v>
      </c>
      <c r="C3714" s="108" t="s">
        <v>904</v>
      </c>
      <c r="D3714" s="112" t="s">
        <v>178</v>
      </c>
      <c r="E3714" s="112">
        <v>1539.0</v>
      </c>
      <c r="F3714" s="111" t="str">
        <f>DataPull!D3714</f>
        <v/>
      </c>
      <c r="G3714" s="94" t="str">
        <f t="shared" si="2"/>
        <v/>
      </c>
      <c r="H3714" s="94" t="str">
        <f t="shared" si="3"/>
        <v/>
      </c>
      <c r="I3714" s="94" t="str">
        <f t="shared" ref="I3714:J3714" si="3715">if(G3714 = "", , -G3714)</f>
        <v/>
      </c>
      <c r="J3714" s="94" t="str">
        <f t="shared" si="3715"/>
        <v/>
      </c>
      <c r="K3714" s="100"/>
      <c r="M3714" s="100"/>
      <c r="N3714" s="100"/>
      <c r="O3714" s="100"/>
      <c r="P3714" s="100"/>
    </row>
    <row r="3715">
      <c r="A3715" s="107">
        <v>1627742.0</v>
      </c>
      <c r="B3715" s="108" t="s">
        <v>245</v>
      </c>
      <c r="C3715" s="108" t="s">
        <v>904</v>
      </c>
      <c r="D3715" s="112" t="s">
        <v>178</v>
      </c>
      <c r="E3715" s="112">
        <v>2105.6</v>
      </c>
      <c r="F3715" s="111" t="str">
        <f>DataPull!D3715</f>
        <v/>
      </c>
      <c r="G3715" s="94" t="str">
        <f t="shared" si="2"/>
        <v/>
      </c>
      <c r="H3715" s="94" t="str">
        <f t="shared" si="3"/>
        <v/>
      </c>
      <c r="I3715" s="94" t="str">
        <f t="shared" ref="I3715:J3715" si="3716">if(G3715 = "", , -G3715)</f>
        <v/>
      </c>
      <c r="J3715" s="94" t="str">
        <f t="shared" si="3716"/>
        <v/>
      </c>
      <c r="K3715" s="100"/>
      <c r="L3715" s="100"/>
      <c r="M3715" s="100"/>
      <c r="N3715" s="100"/>
      <c r="O3715" s="100"/>
      <c r="P3715" s="100"/>
    </row>
    <row r="3716">
      <c r="A3716" s="107">
        <v>1627742.0</v>
      </c>
      <c r="B3716" s="108" t="s">
        <v>246</v>
      </c>
      <c r="C3716" s="108" t="s">
        <v>904</v>
      </c>
      <c r="D3716" s="112" t="s">
        <v>178</v>
      </c>
      <c r="E3716" s="112">
        <v>595.8</v>
      </c>
      <c r="F3716" s="111" t="str">
        <f>DataPull!D3716</f>
        <v/>
      </c>
      <c r="G3716" s="94" t="str">
        <f t="shared" si="2"/>
        <v/>
      </c>
      <c r="H3716" s="94" t="str">
        <f t="shared" si="3"/>
        <v/>
      </c>
      <c r="I3716" s="94" t="str">
        <f t="shared" ref="I3716:J3716" si="3717">if(G3716 = "", , -G3716)</f>
        <v/>
      </c>
      <c r="J3716" s="94" t="str">
        <f t="shared" si="3717"/>
        <v/>
      </c>
      <c r="K3716" s="100"/>
      <c r="M3716" s="100"/>
      <c r="N3716" s="100"/>
      <c r="O3716" s="100"/>
      <c r="P3716" s="100"/>
    </row>
    <row r="3717">
      <c r="A3717" s="114">
        <v>1627742.0</v>
      </c>
      <c r="B3717" s="113" t="s">
        <v>247</v>
      </c>
      <c r="C3717" s="113" t="s">
        <v>904</v>
      </c>
      <c r="D3717" s="112" t="s">
        <v>178</v>
      </c>
      <c r="E3717" s="112">
        <v>2602.6</v>
      </c>
      <c r="F3717" s="111" t="str">
        <f>DataPull!D3717</f>
        <v/>
      </c>
      <c r="G3717" s="94" t="str">
        <f t="shared" si="2"/>
        <v/>
      </c>
      <c r="H3717" s="94" t="str">
        <f t="shared" si="3"/>
        <v/>
      </c>
      <c r="I3717" s="94" t="str">
        <f t="shared" ref="I3717:J3717" si="3718">if(G3717 = "", , -G3717)</f>
        <v/>
      </c>
      <c r="J3717" s="94" t="str">
        <f t="shared" si="3718"/>
        <v/>
      </c>
      <c r="K3717" s="100"/>
      <c r="M3717" s="100"/>
      <c r="N3717" s="100"/>
      <c r="O3717" s="100"/>
      <c r="P3717" s="100"/>
    </row>
    <row r="3718">
      <c r="A3718" s="107">
        <v>1627743.0</v>
      </c>
      <c r="B3718" s="108" t="s">
        <v>190</v>
      </c>
      <c r="C3718" s="108" t="s">
        <v>905</v>
      </c>
      <c r="D3718" s="112" t="s">
        <v>181</v>
      </c>
      <c r="E3718" s="112">
        <v>17.0</v>
      </c>
      <c r="F3718" s="111" t="str">
        <f>DataPull!D3718</f>
        <v/>
      </c>
      <c r="G3718" s="94" t="str">
        <f t="shared" si="2"/>
        <v/>
      </c>
      <c r="H3718" s="94" t="str">
        <f t="shared" si="3"/>
        <v/>
      </c>
      <c r="I3718" s="94" t="str">
        <f t="shared" ref="I3718:J3718" si="3719">if(G3718 = "", , -G3718)</f>
        <v/>
      </c>
      <c r="J3718" s="94" t="str">
        <f t="shared" si="3719"/>
        <v/>
      </c>
      <c r="K3718" s="100"/>
      <c r="M3718" s="100"/>
      <c r="N3718" s="100"/>
      <c r="O3718" s="100"/>
      <c r="P3718" s="100"/>
    </row>
    <row r="3719">
      <c r="A3719" s="107">
        <v>1627743.0</v>
      </c>
      <c r="B3719" s="108" t="s">
        <v>191</v>
      </c>
      <c r="C3719" s="108" t="s">
        <v>905</v>
      </c>
      <c r="D3719" s="112" t="s">
        <v>187</v>
      </c>
      <c r="E3719" s="112">
        <v>79.5</v>
      </c>
      <c r="F3719" s="111" t="str">
        <f>DataPull!D3719</f>
        <v/>
      </c>
      <c r="G3719" s="94" t="str">
        <f t="shared" si="2"/>
        <v/>
      </c>
      <c r="H3719" s="94" t="str">
        <f t="shared" si="3"/>
        <v/>
      </c>
      <c r="I3719" s="94" t="str">
        <f t="shared" ref="I3719:J3719" si="3720">if(G3719 = "", , -G3719)</f>
        <v/>
      </c>
      <c r="J3719" s="94" t="str">
        <f t="shared" si="3720"/>
        <v/>
      </c>
      <c r="K3719" s="100"/>
      <c r="M3719" s="100"/>
      <c r="N3719" s="100"/>
      <c r="O3719" s="100"/>
      <c r="P3719" s="100"/>
    </row>
    <row r="3720">
      <c r="A3720" s="107">
        <v>1627743.0</v>
      </c>
      <c r="B3720" s="108" t="s">
        <v>192</v>
      </c>
      <c r="C3720" s="108" t="s">
        <v>905</v>
      </c>
      <c r="D3720" s="112" t="s">
        <v>181</v>
      </c>
      <c r="E3720" s="112">
        <v>39.6</v>
      </c>
      <c r="F3720" s="111" t="str">
        <f>DataPull!D3720</f>
        <v/>
      </c>
      <c r="G3720" s="94" t="str">
        <f t="shared" si="2"/>
        <v/>
      </c>
      <c r="H3720" s="94" t="str">
        <f t="shared" si="3"/>
        <v/>
      </c>
      <c r="I3720" s="94" t="str">
        <f t="shared" ref="I3720:J3720" si="3721">if(G3720 = "", , -G3720)</f>
        <v/>
      </c>
      <c r="J3720" s="94" t="str">
        <f t="shared" si="3721"/>
        <v/>
      </c>
      <c r="K3720" s="100"/>
      <c r="M3720" s="100"/>
      <c r="N3720" s="100"/>
      <c r="O3720" s="100"/>
      <c r="P3720" s="100"/>
    </row>
    <row r="3721">
      <c r="A3721" s="107">
        <v>1627744.0</v>
      </c>
      <c r="B3721" s="108" t="s">
        <v>190</v>
      </c>
      <c r="C3721" s="108" t="s">
        <v>906</v>
      </c>
      <c r="D3721" s="112" t="s">
        <v>181</v>
      </c>
      <c r="E3721" s="112">
        <v>9.3</v>
      </c>
      <c r="F3721" s="111" t="str">
        <f>DataPull!D3721</f>
        <v/>
      </c>
      <c r="G3721" s="94" t="str">
        <f t="shared" si="2"/>
        <v/>
      </c>
      <c r="H3721" s="94" t="str">
        <f t="shared" si="3"/>
        <v/>
      </c>
      <c r="I3721" s="94" t="str">
        <f t="shared" ref="I3721:J3721" si="3722">if(G3721 = "", , -G3721)</f>
        <v/>
      </c>
      <c r="J3721" s="94" t="str">
        <f t="shared" si="3722"/>
        <v/>
      </c>
      <c r="K3721" s="100"/>
      <c r="M3721" s="100"/>
      <c r="N3721" s="100"/>
      <c r="O3721" s="100"/>
      <c r="P3721" s="100"/>
    </row>
    <row r="3722">
      <c r="A3722" s="107">
        <v>1627744.0</v>
      </c>
      <c r="B3722" s="108" t="s">
        <v>191</v>
      </c>
      <c r="C3722" s="108" t="s">
        <v>906</v>
      </c>
      <c r="D3722" s="112" t="s">
        <v>187</v>
      </c>
      <c r="E3722" s="112">
        <v>97.2</v>
      </c>
      <c r="F3722" s="111" t="str">
        <f>DataPull!D3722</f>
        <v/>
      </c>
      <c r="G3722" s="94" t="str">
        <f t="shared" si="2"/>
        <v/>
      </c>
      <c r="H3722" s="94" t="str">
        <f t="shared" si="3"/>
        <v/>
      </c>
      <c r="I3722" s="94" t="str">
        <f t="shared" ref="I3722:J3722" si="3723">if(G3722 = "", , -G3722)</f>
        <v/>
      </c>
      <c r="J3722" s="94" t="str">
        <f t="shared" si="3723"/>
        <v/>
      </c>
      <c r="K3722" s="100"/>
      <c r="M3722" s="100"/>
      <c r="N3722" s="100"/>
      <c r="O3722" s="100"/>
      <c r="P3722" s="100"/>
    </row>
    <row r="3723">
      <c r="A3723" s="107">
        <v>1627745.0</v>
      </c>
      <c r="B3723" s="108" t="s">
        <v>190</v>
      </c>
      <c r="C3723" s="108" t="s">
        <v>907</v>
      </c>
      <c r="D3723" s="112" t="s">
        <v>187</v>
      </c>
      <c r="E3723" s="112">
        <v>85.0</v>
      </c>
      <c r="F3723" s="111" t="str">
        <f>DataPull!D3723</f>
        <v/>
      </c>
      <c r="G3723" s="94" t="str">
        <f t="shared" si="2"/>
        <v/>
      </c>
      <c r="H3723" s="94" t="str">
        <f t="shared" si="3"/>
        <v/>
      </c>
      <c r="I3723" s="94" t="str">
        <f t="shared" ref="I3723:J3723" si="3724">if(G3723 = "", , -G3723)</f>
        <v/>
      </c>
      <c r="J3723" s="94" t="str">
        <f t="shared" si="3724"/>
        <v/>
      </c>
      <c r="K3723" s="100"/>
      <c r="M3723" s="100"/>
      <c r="N3723" s="100"/>
      <c r="O3723" s="100"/>
      <c r="P3723" s="100"/>
    </row>
    <row r="3724">
      <c r="A3724" s="107">
        <v>1627745.0</v>
      </c>
      <c r="B3724" s="108" t="s">
        <v>191</v>
      </c>
      <c r="C3724" s="108" t="s">
        <v>907</v>
      </c>
      <c r="D3724" s="112" t="s">
        <v>187</v>
      </c>
      <c r="E3724" s="112">
        <v>88.5</v>
      </c>
      <c r="F3724" s="111" t="str">
        <f>DataPull!D3724</f>
        <v/>
      </c>
      <c r="G3724" s="94" t="str">
        <f t="shared" si="2"/>
        <v/>
      </c>
      <c r="H3724" s="94" t="str">
        <f t="shared" si="3"/>
        <v/>
      </c>
      <c r="I3724" s="94" t="str">
        <f t="shared" ref="I3724:J3724" si="3725">if(G3724 = "", , -G3724)</f>
        <v/>
      </c>
      <c r="J3724" s="94" t="str">
        <f t="shared" si="3725"/>
        <v/>
      </c>
      <c r="K3724" s="100"/>
      <c r="M3724" s="100"/>
      <c r="N3724" s="100"/>
      <c r="O3724" s="100"/>
      <c r="P3724" s="100"/>
    </row>
    <row r="3725">
      <c r="A3725" s="107">
        <v>1627745.0</v>
      </c>
      <c r="B3725" s="108" t="s">
        <v>192</v>
      </c>
      <c r="C3725" s="108" t="s">
        <v>907</v>
      </c>
      <c r="D3725" s="112" t="s">
        <v>177</v>
      </c>
      <c r="E3725" s="112">
        <v>410.4</v>
      </c>
      <c r="F3725" s="111" t="str">
        <f>DataPull!D3725</f>
        <v/>
      </c>
      <c r="G3725" s="94" t="str">
        <f t="shared" si="2"/>
        <v/>
      </c>
      <c r="H3725" s="94" t="str">
        <f t="shared" si="3"/>
        <v/>
      </c>
      <c r="I3725" s="94" t="str">
        <f t="shared" ref="I3725:J3725" si="3726">if(G3725 = "", , -G3725)</f>
        <v/>
      </c>
      <c r="J3725" s="94" t="str">
        <f t="shared" si="3726"/>
        <v/>
      </c>
      <c r="K3725" s="100"/>
      <c r="M3725" s="100"/>
      <c r="N3725" s="100"/>
      <c r="O3725" s="100"/>
      <c r="P3725" s="100"/>
    </row>
    <row r="3726">
      <c r="A3726" s="107">
        <v>1627745.0</v>
      </c>
      <c r="B3726" s="108" t="s">
        <v>193</v>
      </c>
      <c r="C3726" s="108" t="s">
        <v>907</v>
      </c>
      <c r="D3726" s="112" t="s">
        <v>177</v>
      </c>
      <c r="E3726" s="112">
        <v>885.5</v>
      </c>
      <c r="F3726" s="111" t="str">
        <f>DataPull!D3726</f>
        <v/>
      </c>
      <c r="G3726" s="94" t="str">
        <f t="shared" si="2"/>
        <v/>
      </c>
      <c r="H3726" s="94" t="str">
        <f t="shared" si="3"/>
        <v/>
      </c>
      <c r="I3726" s="94" t="str">
        <f t="shared" ref="I3726:J3726" si="3727">if(G3726 = "", , -G3726)</f>
        <v/>
      </c>
      <c r="J3726" s="94" t="str">
        <f t="shared" si="3727"/>
        <v/>
      </c>
      <c r="K3726" s="100"/>
      <c r="M3726" s="100"/>
      <c r="N3726" s="100"/>
      <c r="O3726" s="100"/>
      <c r="P3726" s="100"/>
    </row>
    <row r="3727">
      <c r="A3727" s="107">
        <v>1627745.0</v>
      </c>
      <c r="B3727" s="108" t="s">
        <v>243</v>
      </c>
      <c r="C3727" s="108" t="s">
        <v>907</v>
      </c>
      <c r="D3727" s="112" t="s">
        <v>177</v>
      </c>
      <c r="E3727" s="112">
        <v>546.0</v>
      </c>
      <c r="F3727" s="111" t="str">
        <f>DataPull!D3727</f>
        <v/>
      </c>
      <c r="G3727" s="94" t="str">
        <f t="shared" si="2"/>
        <v/>
      </c>
      <c r="H3727" s="94" t="str">
        <f t="shared" si="3"/>
        <v/>
      </c>
      <c r="I3727" s="94" t="str">
        <f t="shared" ref="I3727:J3727" si="3728">if(G3727 = "", , -G3727)</f>
        <v/>
      </c>
      <c r="J3727" s="94" t="str">
        <f t="shared" si="3728"/>
        <v/>
      </c>
      <c r="K3727" s="100"/>
      <c r="M3727" s="100"/>
      <c r="N3727" s="100"/>
      <c r="O3727" s="100"/>
      <c r="P3727" s="100"/>
    </row>
    <row r="3728">
      <c r="A3728" s="107">
        <v>1627745.0</v>
      </c>
      <c r="B3728" s="108" t="s">
        <v>215</v>
      </c>
      <c r="C3728" s="108" t="s">
        <v>907</v>
      </c>
      <c r="D3728" s="112" t="s">
        <v>177</v>
      </c>
      <c r="E3728" s="112">
        <v>1019.2</v>
      </c>
      <c r="F3728" s="111" t="str">
        <f>DataPull!D3728</f>
        <v/>
      </c>
      <c r="G3728" s="94" t="str">
        <f t="shared" si="2"/>
        <v/>
      </c>
      <c r="H3728" s="94" t="str">
        <f t="shared" si="3"/>
        <v/>
      </c>
      <c r="I3728" s="94" t="str">
        <f t="shared" ref="I3728:J3728" si="3729">if(G3728 = "", , -G3728)</f>
        <v/>
      </c>
      <c r="J3728" s="94" t="str">
        <f t="shared" si="3729"/>
        <v/>
      </c>
      <c r="K3728" s="100"/>
      <c r="M3728" s="100"/>
      <c r="N3728" s="100"/>
      <c r="O3728" s="100"/>
      <c r="P3728" s="100"/>
    </row>
    <row r="3729">
      <c r="A3729" s="107">
        <v>1627745.0</v>
      </c>
      <c r="B3729" s="108" t="s">
        <v>244</v>
      </c>
      <c r="C3729" s="108" t="s">
        <v>907</v>
      </c>
      <c r="D3729" s="112" t="s">
        <v>187</v>
      </c>
      <c r="E3729" s="112">
        <v>475.6</v>
      </c>
      <c r="F3729" s="111" t="str">
        <f>DataPull!D3729</f>
        <v/>
      </c>
      <c r="G3729" s="94" t="str">
        <f t="shared" si="2"/>
        <v/>
      </c>
      <c r="H3729" s="94" t="str">
        <f t="shared" si="3"/>
        <v/>
      </c>
      <c r="I3729" s="94" t="str">
        <f t="shared" ref="I3729:J3729" si="3730">if(G3729 = "", , -G3729)</f>
        <v/>
      </c>
      <c r="J3729" s="94" t="str">
        <f t="shared" si="3730"/>
        <v/>
      </c>
      <c r="K3729" s="100"/>
      <c r="M3729" s="100"/>
      <c r="N3729" s="100"/>
      <c r="O3729" s="100"/>
      <c r="P3729" s="100"/>
    </row>
    <row r="3730">
      <c r="A3730" s="107">
        <v>1627745.0</v>
      </c>
      <c r="B3730" s="108" t="s">
        <v>245</v>
      </c>
      <c r="C3730" s="108" t="s">
        <v>907</v>
      </c>
      <c r="D3730" s="112" t="s">
        <v>187</v>
      </c>
      <c r="E3730" s="112">
        <v>269.1</v>
      </c>
      <c r="F3730" s="111" t="str">
        <f>DataPull!D3730</f>
        <v/>
      </c>
      <c r="G3730" s="94" t="str">
        <f t="shared" si="2"/>
        <v/>
      </c>
      <c r="H3730" s="94" t="str">
        <f t="shared" si="3"/>
        <v/>
      </c>
      <c r="I3730" s="94" t="str">
        <f t="shared" ref="I3730:J3730" si="3731">if(G3730 = "", , -G3730)</f>
        <v/>
      </c>
      <c r="J3730" s="94" t="str">
        <f t="shared" si="3731"/>
        <v/>
      </c>
      <c r="K3730" s="100"/>
      <c r="M3730" s="100"/>
      <c r="N3730" s="100"/>
      <c r="P3730" s="100"/>
    </row>
    <row r="3731">
      <c r="A3731" s="107">
        <v>1627746.0</v>
      </c>
      <c r="B3731" s="108" t="s">
        <v>190</v>
      </c>
      <c r="C3731" s="108" t="s">
        <v>908</v>
      </c>
      <c r="D3731" s="112" t="s">
        <v>177</v>
      </c>
      <c r="E3731" s="112">
        <v>610.5</v>
      </c>
      <c r="F3731" s="111" t="str">
        <f>DataPull!D3731</f>
        <v/>
      </c>
      <c r="G3731" s="94" t="str">
        <f t="shared" si="2"/>
        <v/>
      </c>
      <c r="H3731" s="94" t="str">
        <f t="shared" si="3"/>
        <v/>
      </c>
      <c r="I3731" s="94" t="str">
        <f t="shared" ref="I3731:J3731" si="3732">if(G3731 = "", , -G3731)</f>
        <v/>
      </c>
      <c r="J3731" s="94" t="str">
        <f t="shared" si="3732"/>
        <v/>
      </c>
      <c r="K3731" s="100"/>
      <c r="L3731" s="100"/>
      <c r="M3731" s="100"/>
      <c r="N3731" s="100"/>
      <c r="O3731" s="100"/>
      <c r="P3731" s="100"/>
    </row>
    <row r="3732">
      <c r="A3732" s="107">
        <v>1627746.0</v>
      </c>
      <c r="B3732" s="108" t="s">
        <v>191</v>
      </c>
      <c r="C3732" s="108" t="s">
        <v>908</v>
      </c>
      <c r="D3732" s="112" t="s">
        <v>176</v>
      </c>
      <c r="E3732" s="112">
        <v>1242.0</v>
      </c>
      <c r="F3732" s="111" t="str">
        <f>DataPull!D3732</f>
        <v/>
      </c>
      <c r="G3732" s="94" t="str">
        <f t="shared" si="2"/>
        <v/>
      </c>
      <c r="H3732" s="94" t="str">
        <f t="shared" si="3"/>
        <v/>
      </c>
      <c r="I3732" s="94" t="str">
        <f t="shared" ref="I3732:J3732" si="3733">if(G3732 = "", , -G3732)</f>
        <v/>
      </c>
      <c r="J3732" s="94" t="str">
        <f t="shared" si="3733"/>
        <v/>
      </c>
      <c r="K3732" s="100"/>
      <c r="L3732" s="100"/>
      <c r="M3732" s="100"/>
      <c r="N3732" s="100"/>
      <c r="O3732" s="100"/>
      <c r="P3732" s="100"/>
    </row>
    <row r="3733">
      <c r="A3733" s="107">
        <v>1627746.0</v>
      </c>
      <c r="B3733" s="108" t="s">
        <v>192</v>
      </c>
      <c r="C3733" s="108" t="s">
        <v>908</v>
      </c>
      <c r="D3733" s="112" t="s">
        <v>187</v>
      </c>
      <c r="E3733" s="112">
        <v>176.0</v>
      </c>
      <c r="F3733" s="111" t="str">
        <f>DataPull!D3733</f>
        <v/>
      </c>
      <c r="G3733" s="94" t="str">
        <f t="shared" si="2"/>
        <v/>
      </c>
      <c r="H3733" s="94" t="str">
        <f t="shared" si="3"/>
        <v/>
      </c>
      <c r="I3733" s="94" t="str">
        <f t="shared" ref="I3733:J3733" si="3734">if(G3733 = "", , -G3733)</f>
        <v/>
      </c>
      <c r="J3733" s="94" t="str">
        <f t="shared" si="3734"/>
        <v/>
      </c>
      <c r="K3733" s="100"/>
      <c r="L3733" s="100"/>
      <c r="M3733" s="100"/>
      <c r="N3733" s="100"/>
      <c r="O3733" s="100"/>
      <c r="P3733" s="100"/>
    </row>
    <row r="3734">
      <c r="A3734" s="107">
        <v>1627746.0</v>
      </c>
      <c r="B3734" s="108" t="s">
        <v>193</v>
      </c>
      <c r="C3734" s="108" t="s">
        <v>908</v>
      </c>
      <c r="D3734" s="112" t="s">
        <v>177</v>
      </c>
      <c r="E3734" s="112">
        <v>567.6</v>
      </c>
      <c r="F3734" s="111" t="str">
        <f>DataPull!D3734</f>
        <v/>
      </c>
      <c r="G3734" s="94" t="str">
        <f t="shared" si="2"/>
        <v/>
      </c>
      <c r="H3734" s="94" t="str">
        <f t="shared" si="3"/>
        <v/>
      </c>
      <c r="I3734" s="94" t="str">
        <f t="shared" ref="I3734:J3734" si="3735">if(G3734 = "", , -G3734)</f>
        <v/>
      </c>
      <c r="J3734" s="94" t="str">
        <f t="shared" si="3735"/>
        <v/>
      </c>
      <c r="K3734" s="100"/>
      <c r="M3734" s="100"/>
      <c r="N3734" s="100"/>
      <c r="O3734" s="100"/>
      <c r="P3734" s="100"/>
    </row>
    <row r="3735">
      <c r="A3735" s="123">
        <v>1627746.0</v>
      </c>
      <c r="B3735" s="124" t="s">
        <v>246</v>
      </c>
      <c r="C3735" s="108" t="s">
        <v>908</v>
      </c>
      <c r="D3735" s="112" t="s">
        <v>181</v>
      </c>
      <c r="E3735" s="112">
        <v>12.0</v>
      </c>
      <c r="F3735" s="111" t="str">
        <f>DataPull!D3735</f>
        <v/>
      </c>
      <c r="G3735" s="94" t="str">
        <f t="shared" si="2"/>
        <v/>
      </c>
      <c r="H3735" s="94" t="str">
        <f t="shared" si="3"/>
        <v/>
      </c>
      <c r="I3735" s="94" t="str">
        <f t="shared" ref="I3735:J3735" si="3736">if(G3735 = "", , -G3735)</f>
        <v/>
      </c>
      <c r="J3735" s="94" t="str">
        <f t="shared" si="3736"/>
        <v/>
      </c>
      <c r="K3735" s="100"/>
      <c r="M3735" s="100"/>
      <c r="N3735" s="100"/>
      <c r="O3735" s="100"/>
      <c r="P3735" s="100"/>
    </row>
    <row r="3736">
      <c r="A3736" s="107">
        <v>1627747.0</v>
      </c>
      <c r="B3736" s="108" t="s">
        <v>190</v>
      </c>
      <c r="C3736" s="108" t="s">
        <v>909</v>
      </c>
      <c r="D3736" s="112" t="s">
        <v>176</v>
      </c>
      <c r="E3736" s="112">
        <v>1236.9</v>
      </c>
      <c r="F3736" s="111" t="str">
        <f>DataPull!D3736</f>
        <v/>
      </c>
      <c r="G3736" s="94" t="str">
        <f t="shared" si="2"/>
        <v/>
      </c>
      <c r="H3736" s="94" t="str">
        <f t="shared" si="3"/>
        <v/>
      </c>
      <c r="I3736" s="94" t="str">
        <f t="shared" ref="I3736:J3736" si="3737">if(G3736 = "", , -G3736)</f>
        <v/>
      </c>
      <c r="J3736" s="94" t="str">
        <f t="shared" si="3737"/>
        <v/>
      </c>
      <c r="K3736" s="100"/>
      <c r="L3736" s="100"/>
      <c r="N3736" s="100"/>
      <c r="O3736" s="100"/>
      <c r="P3736" s="100"/>
    </row>
    <row r="3737">
      <c r="A3737" s="107">
        <v>1627747.0</v>
      </c>
      <c r="B3737" s="108" t="s">
        <v>191</v>
      </c>
      <c r="C3737" s="108" t="s">
        <v>909</v>
      </c>
      <c r="D3737" s="112" t="s">
        <v>178</v>
      </c>
      <c r="E3737" s="112">
        <v>1860.2</v>
      </c>
      <c r="F3737" s="111" t="str">
        <f>DataPull!D3737</f>
        <v/>
      </c>
      <c r="G3737" s="94" t="str">
        <f t="shared" si="2"/>
        <v/>
      </c>
      <c r="H3737" s="94" t="str">
        <f t="shared" si="3"/>
        <v/>
      </c>
      <c r="I3737" s="94" t="str">
        <f t="shared" ref="I3737:J3737" si="3738">if(G3737 = "", , -G3737)</f>
        <v/>
      </c>
      <c r="J3737" s="94" t="str">
        <f t="shared" si="3738"/>
        <v/>
      </c>
      <c r="K3737" s="100"/>
      <c r="M3737" s="100"/>
      <c r="N3737" s="100"/>
      <c r="O3737" s="100"/>
      <c r="P3737" s="100"/>
    </row>
    <row r="3738">
      <c r="A3738" s="107">
        <v>1627747.0</v>
      </c>
      <c r="B3738" s="108" t="s">
        <v>192</v>
      </c>
      <c r="C3738" s="108" t="s">
        <v>909</v>
      </c>
      <c r="D3738" s="112" t="s">
        <v>178</v>
      </c>
      <c r="E3738" s="112">
        <v>1064.0</v>
      </c>
      <c r="F3738" s="111" t="str">
        <f>DataPull!D3738</f>
        <v/>
      </c>
      <c r="G3738" s="94" t="str">
        <f t="shared" si="2"/>
        <v/>
      </c>
      <c r="H3738" s="94" t="str">
        <f t="shared" si="3"/>
        <v/>
      </c>
      <c r="I3738" s="94" t="str">
        <f t="shared" ref="I3738:J3738" si="3739">if(G3738 = "", , -G3738)</f>
        <v/>
      </c>
      <c r="J3738" s="94" t="str">
        <f t="shared" si="3739"/>
        <v/>
      </c>
      <c r="K3738" s="100"/>
      <c r="L3738" s="100"/>
      <c r="N3738" s="100"/>
      <c r="O3738" s="100"/>
      <c r="P3738" s="100"/>
    </row>
    <row r="3739">
      <c r="A3739" s="107">
        <v>1627747.0</v>
      </c>
      <c r="B3739" s="108" t="s">
        <v>193</v>
      </c>
      <c r="C3739" s="108" t="s">
        <v>909</v>
      </c>
      <c r="D3739" s="112" t="s">
        <v>178</v>
      </c>
      <c r="E3739" s="112">
        <v>1332.0</v>
      </c>
      <c r="F3739" s="111" t="str">
        <f>DataPull!D3739</f>
        <v/>
      </c>
      <c r="G3739" s="94" t="str">
        <f t="shared" si="2"/>
        <v/>
      </c>
      <c r="H3739" s="94" t="str">
        <f t="shared" si="3"/>
        <v/>
      </c>
      <c r="I3739" s="94" t="str">
        <f t="shared" ref="I3739:J3739" si="3740">if(G3739 = "", , -G3739)</f>
        <v/>
      </c>
      <c r="J3739" s="94" t="str">
        <f t="shared" si="3740"/>
        <v/>
      </c>
      <c r="K3739" s="100"/>
      <c r="M3739" s="100"/>
      <c r="N3739" s="100"/>
      <c r="O3739" s="100"/>
      <c r="P3739" s="100"/>
    </row>
    <row r="3740">
      <c r="A3740" s="107">
        <v>1627747.0</v>
      </c>
      <c r="B3740" s="108" t="s">
        <v>243</v>
      </c>
      <c r="C3740" s="108" t="s">
        <v>909</v>
      </c>
      <c r="D3740" s="112" t="s">
        <v>178</v>
      </c>
      <c r="E3740" s="112">
        <v>1485.2</v>
      </c>
      <c r="F3740" s="111" t="str">
        <f>DataPull!D3740</f>
        <v/>
      </c>
      <c r="G3740" s="94" t="str">
        <f t="shared" si="2"/>
        <v/>
      </c>
      <c r="H3740" s="94" t="str">
        <f t="shared" si="3"/>
        <v/>
      </c>
      <c r="I3740" s="94" t="str">
        <f t="shared" ref="I3740:J3740" si="3741">if(G3740 = "", , -G3740)</f>
        <v/>
      </c>
      <c r="J3740" s="94" t="str">
        <f t="shared" si="3741"/>
        <v/>
      </c>
      <c r="K3740" s="100"/>
      <c r="M3740" s="100"/>
      <c r="N3740" s="100"/>
      <c r="O3740" s="100"/>
      <c r="P3740" s="100"/>
    </row>
    <row r="3741">
      <c r="A3741" s="107">
        <v>1627747.0</v>
      </c>
      <c r="B3741" s="108" t="s">
        <v>215</v>
      </c>
      <c r="C3741" s="108" t="s">
        <v>909</v>
      </c>
      <c r="D3741" s="112" t="s">
        <v>178</v>
      </c>
      <c r="E3741" s="112">
        <v>1780.6</v>
      </c>
      <c r="F3741" s="111" t="str">
        <f>DataPull!D3741</f>
        <v/>
      </c>
      <c r="G3741" s="94" t="str">
        <f t="shared" si="2"/>
        <v/>
      </c>
      <c r="H3741" s="94" t="str">
        <f t="shared" si="3"/>
        <v/>
      </c>
      <c r="I3741" s="94" t="str">
        <f t="shared" ref="I3741:J3741" si="3742">if(G3741 = "", , -G3741)</f>
        <v/>
      </c>
      <c r="J3741" s="94" t="str">
        <f t="shared" si="3742"/>
        <v/>
      </c>
      <c r="K3741" s="100"/>
      <c r="M3741" s="100"/>
      <c r="N3741" s="100"/>
      <c r="O3741" s="100"/>
      <c r="P3741" s="100"/>
    </row>
    <row r="3742">
      <c r="A3742" s="107">
        <v>1627747.0</v>
      </c>
      <c r="B3742" s="108" t="s">
        <v>244</v>
      </c>
      <c r="C3742" s="108" t="s">
        <v>909</v>
      </c>
      <c r="D3742" s="112" t="s">
        <v>178</v>
      </c>
      <c r="E3742" s="112">
        <v>2234.8</v>
      </c>
      <c r="F3742" s="111" t="str">
        <f>DataPull!D3742</f>
        <v/>
      </c>
      <c r="G3742" s="94" t="str">
        <f t="shared" si="2"/>
        <v/>
      </c>
      <c r="H3742" s="94" t="str">
        <f t="shared" si="3"/>
        <v/>
      </c>
      <c r="I3742" s="94" t="str">
        <f t="shared" ref="I3742:J3742" si="3743">if(G3742 = "", , -G3742)</f>
        <v/>
      </c>
      <c r="J3742" s="94" t="str">
        <f t="shared" si="3743"/>
        <v/>
      </c>
      <c r="K3742" s="100"/>
      <c r="M3742" s="100"/>
      <c r="N3742" s="100"/>
      <c r="O3742" s="100"/>
      <c r="P3742" s="100"/>
    </row>
    <row r="3743">
      <c r="A3743" s="107">
        <v>1627747.0</v>
      </c>
      <c r="B3743" s="108" t="s">
        <v>245</v>
      </c>
      <c r="C3743" s="108" t="s">
        <v>909</v>
      </c>
      <c r="D3743" s="112" t="s">
        <v>176</v>
      </c>
      <c r="E3743" s="112">
        <v>1958.4</v>
      </c>
      <c r="F3743" s="111" t="str">
        <f>DataPull!D3743</f>
        <v/>
      </c>
      <c r="G3743" s="94" t="str">
        <f t="shared" si="2"/>
        <v/>
      </c>
      <c r="H3743" s="94" t="str">
        <f t="shared" si="3"/>
        <v/>
      </c>
      <c r="I3743" s="94" t="str">
        <f t="shared" ref="I3743:J3743" si="3744">if(G3743 = "", , -G3743)</f>
        <v/>
      </c>
      <c r="J3743" s="94" t="str">
        <f t="shared" si="3744"/>
        <v/>
      </c>
      <c r="K3743" s="100"/>
      <c r="M3743" s="100"/>
      <c r="N3743" s="100"/>
      <c r="O3743" s="100"/>
      <c r="P3743" s="100"/>
    </row>
    <row r="3744">
      <c r="A3744" s="107">
        <v>1627747.0</v>
      </c>
      <c r="B3744" s="108" t="s">
        <v>246</v>
      </c>
      <c r="C3744" s="108" t="s">
        <v>909</v>
      </c>
      <c r="D3744" s="112" t="s">
        <v>176</v>
      </c>
      <c r="E3744" s="112">
        <v>1593.6</v>
      </c>
      <c r="F3744" s="111" t="str">
        <f>DataPull!D3744</f>
        <v/>
      </c>
      <c r="G3744" s="94" t="str">
        <f t="shared" si="2"/>
        <v/>
      </c>
      <c r="H3744" s="94" t="str">
        <f t="shared" si="3"/>
        <v/>
      </c>
      <c r="I3744" s="94" t="str">
        <f t="shared" ref="I3744:J3744" si="3745">if(G3744 = "", , -G3744)</f>
        <v/>
      </c>
      <c r="J3744" s="94" t="str">
        <f t="shared" si="3745"/>
        <v/>
      </c>
      <c r="K3744" s="100"/>
      <c r="M3744" s="100"/>
      <c r="N3744" s="100"/>
      <c r="O3744" s="100"/>
      <c r="P3744" s="100"/>
    </row>
    <row r="3745">
      <c r="A3745" s="114">
        <v>1627747.0</v>
      </c>
      <c r="B3745" s="113" t="s">
        <v>247</v>
      </c>
      <c r="C3745" s="113" t="s">
        <v>909</v>
      </c>
      <c r="D3745" s="112" t="s">
        <v>177</v>
      </c>
      <c r="E3745" s="112">
        <v>1152.0</v>
      </c>
      <c r="F3745" s="111" t="str">
        <f>DataPull!D3745</f>
        <v/>
      </c>
      <c r="G3745" s="94" t="str">
        <f t="shared" si="2"/>
        <v/>
      </c>
      <c r="H3745" s="94" t="str">
        <f t="shared" si="3"/>
        <v/>
      </c>
      <c r="I3745" s="94" t="str">
        <f t="shared" ref="I3745:J3745" si="3746">if(G3745 = "", , -G3745)</f>
        <v/>
      </c>
      <c r="J3745" s="94" t="str">
        <f t="shared" si="3746"/>
        <v/>
      </c>
      <c r="K3745" s="100"/>
      <c r="M3745" s="100"/>
      <c r="N3745" s="100"/>
      <c r="O3745" s="100"/>
      <c r="P3745" s="100"/>
    </row>
    <row r="3746">
      <c r="A3746" s="107">
        <v>1627748.0</v>
      </c>
      <c r="B3746" s="108" t="s">
        <v>190</v>
      </c>
      <c r="C3746" s="108" t="s">
        <v>910</v>
      </c>
      <c r="D3746" s="112" t="s">
        <v>187</v>
      </c>
      <c r="E3746" s="112">
        <v>564.3</v>
      </c>
      <c r="F3746" s="111" t="str">
        <f>DataPull!D3746</f>
        <v/>
      </c>
      <c r="G3746" s="94" t="str">
        <f t="shared" si="2"/>
        <v/>
      </c>
      <c r="H3746" s="94" t="str">
        <f t="shared" si="3"/>
        <v/>
      </c>
      <c r="I3746" s="94" t="str">
        <f t="shared" ref="I3746:J3746" si="3747">if(G3746 = "", , -G3746)</f>
        <v/>
      </c>
      <c r="J3746" s="94" t="str">
        <f t="shared" si="3747"/>
        <v/>
      </c>
      <c r="K3746" s="100"/>
      <c r="M3746" s="100"/>
      <c r="N3746" s="100"/>
      <c r="O3746" s="100"/>
      <c r="P3746" s="100"/>
    </row>
    <row r="3747">
      <c r="A3747" s="107">
        <v>1627748.0</v>
      </c>
      <c r="B3747" s="108" t="s">
        <v>191</v>
      </c>
      <c r="C3747" s="108" t="s">
        <v>910</v>
      </c>
      <c r="D3747" s="112" t="s">
        <v>177</v>
      </c>
      <c r="E3747" s="112">
        <v>1235.8</v>
      </c>
      <c r="F3747" s="111" t="str">
        <f>DataPull!D3747</f>
        <v/>
      </c>
      <c r="G3747" s="94" t="str">
        <f t="shared" si="2"/>
        <v/>
      </c>
      <c r="H3747" s="94" t="str">
        <f t="shared" si="3"/>
        <v/>
      </c>
      <c r="I3747" s="94" t="str">
        <f t="shared" ref="I3747:J3747" si="3748">if(G3747 = "", , -G3747)</f>
        <v/>
      </c>
      <c r="J3747" s="94" t="str">
        <f t="shared" si="3748"/>
        <v/>
      </c>
      <c r="K3747" s="100"/>
      <c r="M3747" s="100"/>
      <c r="N3747" s="100"/>
      <c r="O3747" s="100"/>
      <c r="P3747" s="100"/>
    </row>
    <row r="3748">
      <c r="A3748" s="107">
        <v>1627748.0</v>
      </c>
      <c r="B3748" s="108" t="s">
        <v>192</v>
      </c>
      <c r="C3748" s="108" t="s">
        <v>910</v>
      </c>
      <c r="D3748" s="112" t="s">
        <v>177</v>
      </c>
      <c r="E3748" s="112">
        <v>972.8</v>
      </c>
      <c r="F3748" s="111" t="str">
        <f>DataPull!D3748</f>
        <v/>
      </c>
      <c r="G3748" s="94" t="str">
        <f t="shared" si="2"/>
        <v/>
      </c>
      <c r="H3748" s="94" t="str">
        <f t="shared" si="3"/>
        <v/>
      </c>
      <c r="I3748" s="94" t="str">
        <f t="shared" ref="I3748:J3748" si="3749">if(G3748 = "", , -G3748)</f>
        <v/>
      </c>
      <c r="J3748" s="94" t="str">
        <f t="shared" si="3749"/>
        <v/>
      </c>
      <c r="K3748" s="100"/>
      <c r="M3748" s="100"/>
      <c r="N3748" s="100"/>
      <c r="O3748" s="100"/>
      <c r="P3748" s="100"/>
    </row>
    <row r="3749">
      <c r="A3749" s="107">
        <v>1627748.0</v>
      </c>
      <c r="B3749" s="108" t="s">
        <v>193</v>
      </c>
      <c r="C3749" s="108" t="s">
        <v>910</v>
      </c>
      <c r="D3749" s="112" t="s">
        <v>177</v>
      </c>
      <c r="E3749" s="112">
        <v>774.0</v>
      </c>
      <c r="F3749" s="111" t="str">
        <f>DataPull!D3749</f>
        <v/>
      </c>
      <c r="G3749" s="94" t="str">
        <f t="shared" si="2"/>
        <v/>
      </c>
      <c r="H3749" s="94" t="str">
        <f t="shared" si="3"/>
        <v/>
      </c>
      <c r="I3749" s="94" t="str">
        <f t="shared" ref="I3749:J3749" si="3750">if(G3749 = "", , -G3749)</f>
        <v/>
      </c>
      <c r="J3749" s="94" t="str">
        <f t="shared" si="3750"/>
        <v/>
      </c>
      <c r="K3749" s="100"/>
      <c r="M3749" s="100"/>
      <c r="N3749" s="100"/>
      <c r="O3749" s="100"/>
      <c r="P3749" s="100"/>
    </row>
    <row r="3750">
      <c r="A3750" s="107">
        <v>1627748.0</v>
      </c>
      <c r="B3750" s="108" t="s">
        <v>243</v>
      </c>
      <c r="C3750" s="108" t="s">
        <v>910</v>
      </c>
      <c r="D3750" s="112" t="s">
        <v>187</v>
      </c>
      <c r="E3750" s="112">
        <v>76.8</v>
      </c>
      <c r="F3750" s="111" t="str">
        <f>DataPull!D3750</f>
        <v/>
      </c>
      <c r="G3750" s="94" t="str">
        <f t="shared" si="2"/>
        <v/>
      </c>
      <c r="H3750" s="94" t="str">
        <f t="shared" si="3"/>
        <v/>
      </c>
      <c r="I3750" s="94" t="str">
        <f t="shared" ref="I3750:J3750" si="3751">if(G3750 = "", , -G3750)</f>
        <v/>
      </c>
      <c r="J3750" s="94" t="str">
        <f t="shared" si="3751"/>
        <v/>
      </c>
      <c r="K3750" s="100"/>
      <c r="M3750" s="100"/>
      <c r="N3750" s="100"/>
      <c r="O3750" s="100"/>
      <c r="P3750" s="100"/>
    </row>
    <row r="3751">
      <c r="A3751" s="107">
        <v>1627749.0</v>
      </c>
      <c r="B3751" s="108" t="s">
        <v>190</v>
      </c>
      <c r="C3751" s="108" t="s">
        <v>911</v>
      </c>
      <c r="D3751" s="112" t="s">
        <v>187</v>
      </c>
      <c r="E3751" s="112">
        <v>323.0</v>
      </c>
      <c r="F3751" s="111" t="str">
        <f>DataPull!D3751</f>
        <v/>
      </c>
      <c r="G3751" s="94" t="str">
        <f t="shared" si="2"/>
        <v/>
      </c>
      <c r="H3751" s="94" t="str">
        <f t="shared" si="3"/>
        <v/>
      </c>
      <c r="I3751" s="94" t="str">
        <f t="shared" ref="I3751:J3751" si="3752">if(G3751 = "", , -G3751)</f>
        <v/>
      </c>
      <c r="J3751" s="94" t="str">
        <f t="shared" si="3752"/>
        <v/>
      </c>
      <c r="K3751" s="100"/>
      <c r="M3751" s="100"/>
      <c r="N3751" s="100"/>
      <c r="O3751" s="100"/>
      <c r="P3751" s="100"/>
    </row>
    <row r="3752">
      <c r="A3752" s="107">
        <v>1627749.0</v>
      </c>
      <c r="B3752" s="108" t="s">
        <v>191</v>
      </c>
      <c r="C3752" s="108" t="s">
        <v>911</v>
      </c>
      <c r="D3752" s="112" t="s">
        <v>176</v>
      </c>
      <c r="E3752" s="112">
        <v>1741.5</v>
      </c>
      <c r="F3752" s="111" t="str">
        <f>DataPull!D3752</f>
        <v/>
      </c>
      <c r="G3752" s="94" t="str">
        <f t="shared" si="2"/>
        <v/>
      </c>
      <c r="H3752" s="94" t="str">
        <f t="shared" si="3"/>
        <v/>
      </c>
      <c r="I3752" s="94" t="str">
        <f t="shared" ref="I3752:J3752" si="3753">if(G3752 = "", , -G3752)</f>
        <v/>
      </c>
      <c r="J3752" s="94" t="str">
        <f t="shared" si="3753"/>
        <v/>
      </c>
      <c r="K3752" s="100"/>
      <c r="M3752" s="100"/>
      <c r="N3752" s="100"/>
      <c r="O3752" s="100"/>
      <c r="P3752" s="100"/>
    </row>
    <row r="3753">
      <c r="A3753" s="107">
        <v>1627749.0</v>
      </c>
      <c r="B3753" s="108" t="s">
        <v>193</v>
      </c>
      <c r="C3753" s="108" t="s">
        <v>911</v>
      </c>
      <c r="D3753" s="112" t="s">
        <v>178</v>
      </c>
      <c r="E3753" s="112">
        <v>1689.6</v>
      </c>
      <c r="F3753" s="111" t="str">
        <f>DataPull!D3753</f>
        <v/>
      </c>
      <c r="G3753" s="94" t="str">
        <f t="shared" si="2"/>
        <v/>
      </c>
      <c r="H3753" s="94" t="str">
        <f t="shared" si="3"/>
        <v/>
      </c>
      <c r="I3753" s="94" t="str">
        <f t="shared" ref="I3753:J3753" si="3754">if(G3753 = "", , -G3753)</f>
        <v/>
      </c>
      <c r="J3753" s="94" t="str">
        <f t="shared" si="3754"/>
        <v/>
      </c>
      <c r="K3753" s="100"/>
      <c r="M3753" s="100"/>
      <c r="N3753" s="100"/>
      <c r="O3753" s="100"/>
      <c r="P3753" s="100"/>
    </row>
    <row r="3754">
      <c r="A3754" s="107">
        <v>1627749.0</v>
      </c>
      <c r="B3754" s="108" t="s">
        <v>243</v>
      </c>
      <c r="C3754" s="108" t="s">
        <v>911</v>
      </c>
      <c r="D3754" s="112" t="s">
        <v>184</v>
      </c>
      <c r="E3754" s="112">
        <v>2137.3</v>
      </c>
      <c r="F3754" s="111" t="str">
        <f>DataPull!D3754</f>
        <v/>
      </c>
      <c r="G3754" s="94" t="str">
        <f t="shared" si="2"/>
        <v/>
      </c>
      <c r="H3754" s="94" t="str">
        <f t="shared" si="3"/>
        <v/>
      </c>
      <c r="I3754" s="94" t="str">
        <f t="shared" ref="I3754:J3754" si="3755">if(G3754 = "", , -G3754)</f>
        <v/>
      </c>
      <c r="J3754" s="94" t="str">
        <f t="shared" si="3755"/>
        <v/>
      </c>
      <c r="K3754" s="100"/>
      <c r="M3754" s="100"/>
      <c r="N3754" s="100"/>
      <c r="O3754" s="100"/>
      <c r="P3754" s="100"/>
    </row>
    <row r="3755">
      <c r="A3755" s="107">
        <v>1627749.0</v>
      </c>
      <c r="B3755" s="108" t="s">
        <v>215</v>
      </c>
      <c r="C3755" s="108" t="s">
        <v>911</v>
      </c>
      <c r="D3755" s="112" t="s">
        <v>184</v>
      </c>
      <c r="E3755" s="112">
        <v>2366.4</v>
      </c>
      <c r="F3755" s="111" t="str">
        <f>DataPull!D3755</f>
        <v/>
      </c>
      <c r="G3755" s="94" t="str">
        <f t="shared" si="2"/>
        <v/>
      </c>
      <c r="H3755" s="94" t="str">
        <f t="shared" si="3"/>
        <v/>
      </c>
      <c r="I3755" s="94" t="str">
        <f t="shared" ref="I3755:J3755" si="3756">if(G3755 = "", , -G3755)</f>
        <v/>
      </c>
      <c r="J3755" s="94" t="str">
        <f t="shared" si="3756"/>
        <v/>
      </c>
      <c r="K3755" s="100"/>
      <c r="M3755" s="100"/>
      <c r="N3755" s="100"/>
      <c r="O3755" s="100"/>
      <c r="P3755" s="100"/>
    </row>
    <row r="3756">
      <c r="A3756" s="107">
        <v>1627749.0</v>
      </c>
      <c r="B3756" s="108" t="s">
        <v>244</v>
      </c>
      <c r="C3756" s="108" t="s">
        <v>911</v>
      </c>
      <c r="D3756" s="112" t="s">
        <v>184</v>
      </c>
      <c r="E3756" s="112">
        <v>2693.6</v>
      </c>
      <c r="F3756" s="111" t="str">
        <f>DataPull!D3756</f>
        <v/>
      </c>
      <c r="G3756" s="94" t="str">
        <f t="shared" si="2"/>
        <v/>
      </c>
      <c r="H3756" s="94" t="str">
        <f t="shared" si="3"/>
        <v/>
      </c>
      <c r="I3756" s="94" t="str">
        <f t="shared" ref="I3756:J3756" si="3757">if(G3756 = "", , -G3756)</f>
        <v/>
      </c>
      <c r="J3756" s="94" t="str">
        <f t="shared" si="3757"/>
        <v/>
      </c>
      <c r="K3756" s="100"/>
      <c r="M3756" s="100"/>
      <c r="N3756" s="100"/>
      <c r="O3756" s="100"/>
      <c r="P3756" s="100"/>
    </row>
    <row r="3757">
      <c r="A3757" s="107">
        <v>1627749.0</v>
      </c>
      <c r="B3757" s="108" t="s">
        <v>245</v>
      </c>
      <c r="C3757" s="108" t="s">
        <v>911</v>
      </c>
      <c r="D3757" s="112" t="s">
        <v>184</v>
      </c>
      <c r="E3757" s="112">
        <v>2784.6</v>
      </c>
      <c r="F3757" s="111" t="str">
        <f>DataPull!D3757</f>
        <v/>
      </c>
      <c r="G3757" s="94" t="str">
        <f t="shared" si="2"/>
        <v/>
      </c>
      <c r="H3757" s="94" t="str">
        <f t="shared" si="3"/>
        <v/>
      </c>
      <c r="I3757" s="94" t="str">
        <f t="shared" ref="I3757:J3757" si="3758">if(G3757 = "", , -G3757)</f>
        <v/>
      </c>
      <c r="J3757" s="94" t="str">
        <f t="shared" si="3758"/>
        <v/>
      </c>
      <c r="K3757" s="100"/>
      <c r="M3757" s="100"/>
      <c r="N3757" s="100"/>
      <c r="O3757" s="100"/>
      <c r="P3757" s="100"/>
    </row>
    <row r="3758">
      <c r="A3758" s="107">
        <v>1627749.0</v>
      </c>
      <c r="B3758" s="108" t="s">
        <v>246</v>
      </c>
      <c r="C3758" s="108" t="s">
        <v>911</v>
      </c>
      <c r="D3758" s="112" t="s">
        <v>184</v>
      </c>
      <c r="E3758" s="112">
        <v>1010.6</v>
      </c>
      <c r="F3758" s="111" t="str">
        <f>DataPull!D3758</f>
        <v/>
      </c>
      <c r="G3758" s="94" t="str">
        <f t="shared" si="2"/>
        <v/>
      </c>
      <c r="H3758" s="94" t="str">
        <f t="shared" si="3"/>
        <v/>
      </c>
      <c r="I3758" s="94" t="str">
        <f t="shared" ref="I3758:J3758" si="3759">if(G3758 = "", , -G3758)</f>
        <v/>
      </c>
      <c r="J3758" s="94" t="str">
        <f t="shared" si="3759"/>
        <v/>
      </c>
      <c r="K3758" s="100"/>
      <c r="M3758" s="100"/>
      <c r="N3758" s="100"/>
      <c r="O3758" s="100"/>
      <c r="P3758" s="100"/>
    </row>
    <row r="3759">
      <c r="A3759" s="89">
        <v>1627749.0</v>
      </c>
      <c r="B3759" s="113" t="s">
        <v>247</v>
      </c>
      <c r="C3759" s="113" t="s">
        <v>911</v>
      </c>
      <c r="D3759" s="112"/>
      <c r="E3759" s="112">
        <v>389.2</v>
      </c>
      <c r="F3759" s="111" t="str">
        <f>DataPull!D3759</f>
        <v/>
      </c>
      <c r="G3759" s="94" t="str">
        <f t="shared" si="2"/>
        <v/>
      </c>
      <c r="H3759" s="94" t="str">
        <f t="shared" si="3"/>
        <v/>
      </c>
      <c r="I3759" s="94" t="str">
        <f t="shared" ref="I3759:J3759" si="3760">if(G3759 = "", , -G3759)</f>
        <v/>
      </c>
      <c r="J3759" s="94" t="str">
        <f t="shared" si="3760"/>
        <v/>
      </c>
      <c r="K3759" s="100"/>
      <c r="L3759" s="100"/>
      <c r="N3759" s="100"/>
      <c r="O3759" s="100"/>
      <c r="P3759" s="100"/>
    </row>
    <row r="3760">
      <c r="A3760" s="107">
        <v>1627750.0</v>
      </c>
      <c r="B3760" s="108" t="s">
        <v>190</v>
      </c>
      <c r="C3760" s="108" t="s">
        <v>912</v>
      </c>
      <c r="D3760" s="112" t="s">
        <v>176</v>
      </c>
      <c r="E3760" s="112">
        <v>1763.0</v>
      </c>
      <c r="F3760" s="111" t="str">
        <f>DataPull!D3760</f>
        <v/>
      </c>
      <c r="G3760" s="94" t="str">
        <f t="shared" si="2"/>
        <v/>
      </c>
      <c r="H3760" s="94" t="str">
        <f t="shared" si="3"/>
        <v/>
      </c>
      <c r="I3760" s="94" t="str">
        <f t="shared" ref="I3760:J3760" si="3761">if(G3760 = "", , -G3760)</f>
        <v/>
      </c>
      <c r="J3760" s="94" t="str">
        <f t="shared" si="3761"/>
        <v/>
      </c>
      <c r="K3760" s="100"/>
      <c r="M3760" s="100"/>
      <c r="N3760" s="100"/>
      <c r="O3760" s="100"/>
      <c r="P3760" s="100"/>
    </row>
    <row r="3761">
      <c r="A3761" s="107">
        <v>1627750.0</v>
      </c>
      <c r="B3761" s="108" t="s">
        <v>191</v>
      </c>
      <c r="C3761" s="108" t="s">
        <v>912</v>
      </c>
      <c r="D3761" s="112" t="s">
        <v>178</v>
      </c>
      <c r="E3761" s="112">
        <v>2567.7</v>
      </c>
      <c r="F3761" s="111" t="str">
        <f>DataPull!D3761</f>
        <v/>
      </c>
      <c r="G3761" s="94" t="str">
        <f t="shared" si="2"/>
        <v/>
      </c>
      <c r="H3761" s="94" t="str">
        <f t="shared" si="3"/>
        <v/>
      </c>
      <c r="I3761" s="94" t="str">
        <f t="shared" ref="I3761:J3761" si="3762">if(G3761 = "", , -G3761)</f>
        <v/>
      </c>
      <c r="J3761" s="94" t="str">
        <f t="shared" si="3762"/>
        <v/>
      </c>
      <c r="K3761" s="100"/>
      <c r="M3761" s="100"/>
      <c r="N3761" s="100"/>
      <c r="O3761" s="100"/>
      <c r="P3761" s="100"/>
    </row>
    <row r="3762">
      <c r="A3762" s="107">
        <v>1627750.0</v>
      </c>
      <c r="B3762" s="108" t="s">
        <v>192</v>
      </c>
      <c r="C3762" s="108" t="s">
        <v>912</v>
      </c>
      <c r="D3762" s="112" t="s">
        <v>178</v>
      </c>
      <c r="E3762" s="112">
        <v>2445.0</v>
      </c>
      <c r="F3762" s="111" t="str">
        <f>DataPull!D3762</f>
        <v/>
      </c>
      <c r="G3762" s="94" t="str">
        <f t="shared" si="2"/>
        <v/>
      </c>
      <c r="H3762" s="94" t="str">
        <f t="shared" si="3"/>
        <v/>
      </c>
      <c r="I3762" s="94" t="str">
        <f t="shared" ref="I3762:J3762" si="3763">if(G3762 = "", , -G3762)</f>
        <v/>
      </c>
      <c r="J3762" s="94" t="str">
        <f t="shared" si="3763"/>
        <v/>
      </c>
      <c r="K3762" s="100"/>
      <c r="M3762" s="100"/>
      <c r="N3762" s="100"/>
      <c r="O3762" s="100"/>
      <c r="P3762" s="100"/>
    </row>
    <row r="3763">
      <c r="A3763" s="107">
        <v>1627750.0</v>
      </c>
      <c r="B3763" s="108" t="s">
        <v>193</v>
      </c>
      <c r="C3763" s="108" t="s">
        <v>912</v>
      </c>
      <c r="D3763" s="112" t="s">
        <v>184</v>
      </c>
      <c r="E3763" s="112">
        <v>1905.7</v>
      </c>
      <c r="F3763" s="111" t="str">
        <f>DataPull!D3763</f>
        <v/>
      </c>
      <c r="G3763" s="94" t="str">
        <f t="shared" si="2"/>
        <v/>
      </c>
      <c r="H3763" s="94" t="str">
        <f t="shared" si="3"/>
        <v/>
      </c>
      <c r="I3763" s="94" t="str">
        <f t="shared" ref="I3763:J3763" si="3764">if(G3763 = "", , -G3763)</f>
        <v/>
      </c>
      <c r="J3763" s="94" t="str">
        <f t="shared" si="3764"/>
        <v/>
      </c>
      <c r="K3763" s="100"/>
      <c r="M3763" s="100"/>
      <c r="N3763" s="100"/>
      <c r="O3763" s="100"/>
      <c r="P3763" s="100"/>
    </row>
    <row r="3764">
      <c r="A3764" s="107">
        <v>1627750.0</v>
      </c>
      <c r="B3764" s="108" t="s">
        <v>243</v>
      </c>
      <c r="C3764" s="108" t="s">
        <v>912</v>
      </c>
      <c r="D3764" s="112" t="s">
        <v>184</v>
      </c>
      <c r="E3764" s="112">
        <v>1704.0</v>
      </c>
      <c r="F3764" s="111" t="str">
        <f>DataPull!D3764</f>
        <v/>
      </c>
      <c r="G3764" s="94" t="str">
        <f t="shared" si="2"/>
        <v/>
      </c>
      <c r="H3764" s="94" t="str">
        <f t="shared" si="3"/>
        <v/>
      </c>
      <c r="I3764" s="94" t="str">
        <f t="shared" ref="I3764:J3764" si="3765">if(G3764 = "", , -G3764)</f>
        <v/>
      </c>
      <c r="J3764" s="94" t="str">
        <f t="shared" si="3765"/>
        <v/>
      </c>
      <c r="K3764" s="100"/>
      <c r="M3764" s="100"/>
      <c r="N3764" s="100"/>
      <c r="O3764" s="100"/>
      <c r="P3764" s="100"/>
    </row>
    <row r="3765">
      <c r="A3765" s="107">
        <v>1627750.0</v>
      </c>
      <c r="B3765" s="108" t="s">
        <v>244</v>
      </c>
      <c r="C3765" s="108" t="s">
        <v>912</v>
      </c>
      <c r="D3765" s="112" t="s">
        <v>184</v>
      </c>
      <c r="E3765" s="112">
        <v>2132.0</v>
      </c>
      <c r="F3765" s="111" t="str">
        <f>DataPull!D3765</f>
        <v/>
      </c>
      <c r="G3765" s="94" t="str">
        <f t="shared" si="2"/>
        <v/>
      </c>
      <c r="H3765" s="94" t="str">
        <f t="shared" si="3"/>
        <v/>
      </c>
      <c r="I3765" s="94" t="str">
        <f t="shared" ref="I3765:J3765" si="3766">if(G3765 = "", , -G3765)</f>
        <v/>
      </c>
      <c r="J3765" s="94" t="str">
        <f t="shared" si="3766"/>
        <v/>
      </c>
      <c r="K3765" s="100"/>
      <c r="M3765" s="100"/>
      <c r="N3765" s="100"/>
      <c r="O3765" s="100"/>
      <c r="P3765" s="100"/>
    </row>
    <row r="3766">
      <c r="A3766" s="107">
        <v>1627750.0</v>
      </c>
      <c r="B3766" s="108" t="s">
        <v>245</v>
      </c>
      <c r="C3766" s="108" t="s">
        <v>912</v>
      </c>
      <c r="D3766" s="112" t="s">
        <v>184</v>
      </c>
      <c r="E3766" s="112">
        <v>1858.5</v>
      </c>
      <c r="F3766" s="111" t="str">
        <f>DataPull!D3766</f>
        <v/>
      </c>
      <c r="G3766" s="94" t="str">
        <f t="shared" si="2"/>
        <v/>
      </c>
      <c r="H3766" s="94" t="str">
        <f t="shared" si="3"/>
        <v/>
      </c>
      <c r="I3766" s="94" t="str">
        <f t="shared" ref="I3766:J3766" si="3767">if(G3766 = "", , -G3766)</f>
        <v/>
      </c>
      <c r="J3766" s="94" t="str">
        <f t="shared" si="3767"/>
        <v/>
      </c>
      <c r="K3766" s="100"/>
      <c r="M3766" s="100"/>
      <c r="N3766" s="100"/>
      <c r="O3766" s="100"/>
      <c r="P3766" s="100"/>
    </row>
    <row r="3767">
      <c r="A3767" s="107">
        <v>1627750.0</v>
      </c>
      <c r="B3767" s="108" t="s">
        <v>246</v>
      </c>
      <c r="C3767" s="108" t="s">
        <v>912</v>
      </c>
      <c r="D3767" s="112" t="s">
        <v>184</v>
      </c>
      <c r="E3767" s="112">
        <v>2418.7</v>
      </c>
      <c r="F3767" s="111" t="str">
        <f>DataPull!D3767</f>
        <v/>
      </c>
      <c r="G3767" s="94" t="str">
        <f t="shared" si="2"/>
        <v/>
      </c>
      <c r="H3767" s="94" t="str">
        <f t="shared" si="3"/>
        <v/>
      </c>
      <c r="I3767" s="94" t="str">
        <f t="shared" ref="I3767:J3767" si="3768">if(G3767 = "", , -G3767)</f>
        <v/>
      </c>
      <c r="J3767" s="94" t="str">
        <f t="shared" si="3768"/>
        <v/>
      </c>
      <c r="K3767" s="100"/>
      <c r="M3767" s="100"/>
      <c r="N3767" s="100"/>
      <c r="O3767" s="100"/>
      <c r="P3767" s="100"/>
    </row>
    <row r="3768">
      <c r="A3768" s="114">
        <v>1627750.0</v>
      </c>
      <c r="B3768" s="113" t="s">
        <v>247</v>
      </c>
      <c r="C3768" s="113" t="s">
        <v>912</v>
      </c>
      <c r="D3768" s="112" t="s">
        <v>184</v>
      </c>
      <c r="E3768" s="112">
        <v>2655.0</v>
      </c>
      <c r="F3768" s="111" t="str">
        <f>DataPull!D3768</f>
        <v/>
      </c>
      <c r="G3768" s="94" t="str">
        <f t="shared" si="2"/>
        <v/>
      </c>
      <c r="H3768" s="94" t="str">
        <f t="shared" si="3"/>
        <v/>
      </c>
      <c r="I3768" s="94" t="str">
        <f t="shared" ref="I3768:J3768" si="3769">if(G3768 = "", , -G3768)</f>
        <v/>
      </c>
      <c r="J3768" s="94" t="str">
        <f t="shared" si="3769"/>
        <v/>
      </c>
      <c r="K3768" s="100"/>
      <c r="M3768" s="100"/>
      <c r="N3768" s="100"/>
      <c r="O3768" s="100"/>
      <c r="P3768" s="100"/>
    </row>
    <row r="3769">
      <c r="A3769" s="107">
        <v>1627751.0</v>
      </c>
      <c r="B3769" s="108" t="s">
        <v>190</v>
      </c>
      <c r="C3769" s="108" t="s">
        <v>913</v>
      </c>
      <c r="D3769" s="112" t="s">
        <v>177</v>
      </c>
      <c r="E3769" s="112">
        <v>626.4</v>
      </c>
      <c r="F3769" s="111" t="str">
        <f>DataPull!D3769</f>
        <v/>
      </c>
      <c r="G3769" s="94" t="str">
        <f t="shared" si="2"/>
        <v/>
      </c>
      <c r="H3769" s="94" t="str">
        <f t="shared" si="3"/>
        <v/>
      </c>
      <c r="I3769" s="94" t="str">
        <f t="shared" ref="I3769:J3769" si="3770">if(G3769 = "", , -G3769)</f>
        <v/>
      </c>
      <c r="J3769" s="94" t="str">
        <f t="shared" si="3770"/>
        <v/>
      </c>
      <c r="K3769" s="100"/>
      <c r="M3769" s="100"/>
      <c r="N3769" s="100"/>
      <c r="O3769" s="100"/>
      <c r="P3769" s="100"/>
    </row>
    <row r="3770">
      <c r="A3770" s="107">
        <v>1627751.0</v>
      </c>
      <c r="B3770" s="108" t="s">
        <v>191</v>
      </c>
      <c r="C3770" s="108" t="s">
        <v>913</v>
      </c>
      <c r="D3770" s="112" t="s">
        <v>177</v>
      </c>
      <c r="E3770" s="112">
        <v>1525.2</v>
      </c>
      <c r="F3770" s="111" t="str">
        <f>DataPull!D3770</f>
        <v/>
      </c>
      <c r="G3770" s="94" t="str">
        <f t="shared" si="2"/>
        <v/>
      </c>
      <c r="H3770" s="94" t="str">
        <f t="shared" si="3"/>
        <v/>
      </c>
      <c r="I3770" s="94" t="str">
        <f t="shared" ref="I3770:J3770" si="3771">if(G3770 = "", , -G3770)</f>
        <v/>
      </c>
      <c r="J3770" s="94" t="str">
        <f t="shared" si="3771"/>
        <v/>
      </c>
      <c r="K3770" s="100"/>
      <c r="M3770" s="100"/>
      <c r="N3770" s="100"/>
      <c r="O3770" s="100"/>
      <c r="P3770" s="100"/>
    </row>
    <row r="3771">
      <c r="A3771" s="107">
        <v>1627751.0</v>
      </c>
      <c r="B3771" s="108" t="s">
        <v>192</v>
      </c>
      <c r="C3771" s="108" t="s">
        <v>913</v>
      </c>
      <c r="D3771" s="112" t="s">
        <v>177</v>
      </c>
      <c r="E3771" s="112">
        <v>1270.5</v>
      </c>
      <c r="F3771" s="111" t="str">
        <f>DataPull!D3771</f>
        <v/>
      </c>
      <c r="G3771" s="94" t="str">
        <f t="shared" si="2"/>
        <v/>
      </c>
      <c r="H3771" s="94" t="str">
        <f t="shared" si="3"/>
        <v/>
      </c>
      <c r="I3771" s="94" t="str">
        <f t="shared" ref="I3771:J3771" si="3772">if(G3771 = "", , -G3771)</f>
        <v/>
      </c>
      <c r="J3771" s="94" t="str">
        <f t="shared" si="3772"/>
        <v/>
      </c>
      <c r="K3771" s="100"/>
      <c r="L3771" s="100"/>
      <c r="M3771" s="100"/>
      <c r="N3771" s="100"/>
      <c r="O3771" s="100"/>
      <c r="P3771" s="100"/>
    </row>
    <row r="3772">
      <c r="A3772" s="107">
        <v>1627751.0</v>
      </c>
      <c r="B3772" s="108" t="s">
        <v>193</v>
      </c>
      <c r="C3772" s="108" t="s">
        <v>913</v>
      </c>
      <c r="D3772" s="112" t="s">
        <v>177</v>
      </c>
      <c r="E3772" s="112">
        <v>1168.2</v>
      </c>
      <c r="F3772" s="111" t="str">
        <f>DataPull!D3772</f>
        <v/>
      </c>
      <c r="G3772" s="94" t="str">
        <f t="shared" si="2"/>
        <v/>
      </c>
      <c r="H3772" s="94" t="str">
        <f t="shared" si="3"/>
        <v/>
      </c>
      <c r="I3772" s="94" t="str">
        <f t="shared" ref="I3772:J3772" si="3773">if(G3772 = "", , -G3772)</f>
        <v/>
      </c>
      <c r="J3772" s="94" t="str">
        <f t="shared" si="3773"/>
        <v/>
      </c>
      <c r="K3772" s="100"/>
      <c r="M3772" s="100"/>
      <c r="N3772" s="100"/>
      <c r="O3772" s="100"/>
      <c r="P3772" s="100"/>
    </row>
    <row r="3773">
      <c r="A3773" s="107">
        <v>1627751.0</v>
      </c>
      <c r="B3773" s="108" t="s">
        <v>243</v>
      </c>
      <c r="C3773" s="108" t="s">
        <v>913</v>
      </c>
      <c r="D3773" s="112" t="s">
        <v>184</v>
      </c>
      <c r="E3773" s="112">
        <v>1842.3</v>
      </c>
      <c r="F3773" s="111" t="str">
        <f>DataPull!D3773</f>
        <v/>
      </c>
      <c r="G3773" s="94" t="str">
        <f t="shared" si="2"/>
        <v/>
      </c>
      <c r="H3773" s="94" t="str">
        <f t="shared" si="3"/>
        <v/>
      </c>
      <c r="I3773" s="94" t="str">
        <f t="shared" ref="I3773:J3773" si="3774">if(G3773 = "", , -G3773)</f>
        <v/>
      </c>
      <c r="J3773" s="94" t="str">
        <f t="shared" si="3774"/>
        <v/>
      </c>
      <c r="K3773" s="100"/>
      <c r="M3773" s="100"/>
      <c r="N3773" s="100"/>
      <c r="O3773" s="100"/>
      <c r="P3773" s="100"/>
    </row>
    <row r="3774">
      <c r="A3774" s="107">
        <v>1627751.0</v>
      </c>
      <c r="B3774" s="108" t="s">
        <v>215</v>
      </c>
      <c r="C3774" s="108" t="s">
        <v>913</v>
      </c>
      <c r="D3774" s="112" t="s">
        <v>184</v>
      </c>
      <c r="E3774" s="112">
        <v>1972.0</v>
      </c>
      <c r="F3774" s="111" t="str">
        <f>DataPull!D3774</f>
        <v/>
      </c>
      <c r="G3774" s="94" t="str">
        <f t="shared" si="2"/>
        <v/>
      </c>
      <c r="H3774" s="94" t="str">
        <f t="shared" si="3"/>
        <v/>
      </c>
      <c r="I3774" s="94" t="str">
        <f t="shared" ref="I3774:J3774" si="3775">if(G3774 = "", , -G3774)</f>
        <v/>
      </c>
      <c r="J3774" s="94" t="str">
        <f t="shared" si="3775"/>
        <v/>
      </c>
      <c r="K3774" s="100"/>
      <c r="M3774" s="100"/>
      <c r="N3774" s="100"/>
      <c r="O3774" s="100"/>
      <c r="P3774" s="100"/>
    </row>
    <row r="3775">
      <c r="A3775" s="107">
        <v>1627751.0</v>
      </c>
      <c r="B3775" s="108" t="s">
        <v>244</v>
      </c>
      <c r="C3775" s="108" t="s">
        <v>913</v>
      </c>
      <c r="D3775" s="112" t="s">
        <v>184</v>
      </c>
      <c r="E3775" s="112">
        <v>1908.0</v>
      </c>
      <c r="F3775" s="111" t="str">
        <f>DataPull!D3775</f>
        <v/>
      </c>
      <c r="G3775" s="94" t="str">
        <f t="shared" si="2"/>
        <v/>
      </c>
      <c r="H3775" s="94" t="str">
        <f t="shared" si="3"/>
        <v/>
      </c>
      <c r="I3775" s="94" t="str">
        <f t="shared" ref="I3775:J3775" si="3776">if(G3775 = "", , -G3775)</f>
        <v/>
      </c>
      <c r="J3775" s="94" t="str">
        <f t="shared" si="3776"/>
        <v/>
      </c>
      <c r="K3775" s="100"/>
      <c r="L3775" s="100"/>
      <c r="M3775" s="100"/>
      <c r="N3775" s="100"/>
      <c r="O3775" s="100"/>
      <c r="P3775" s="100"/>
    </row>
    <row r="3776">
      <c r="A3776" s="107">
        <v>1627751.0</v>
      </c>
      <c r="B3776" s="108" t="s">
        <v>245</v>
      </c>
      <c r="C3776" s="108" t="s">
        <v>913</v>
      </c>
      <c r="D3776" s="112" t="s">
        <v>176</v>
      </c>
      <c r="E3776" s="112">
        <v>1320.0</v>
      </c>
      <c r="F3776" s="111" t="str">
        <f>DataPull!D3776</f>
        <v/>
      </c>
      <c r="G3776" s="94" t="str">
        <f t="shared" si="2"/>
        <v/>
      </c>
      <c r="H3776" s="94" t="str">
        <f t="shared" si="3"/>
        <v/>
      </c>
      <c r="I3776" s="94" t="str">
        <f t="shared" ref="I3776:J3776" si="3777">if(G3776 = "", , -G3776)</f>
        <v/>
      </c>
      <c r="J3776" s="94" t="str">
        <f t="shared" si="3777"/>
        <v/>
      </c>
      <c r="K3776" s="100"/>
      <c r="M3776" s="100"/>
      <c r="N3776" s="100"/>
      <c r="O3776" s="100"/>
      <c r="P3776" s="100"/>
    </row>
    <row r="3777">
      <c r="A3777" s="107">
        <v>1627751.0</v>
      </c>
      <c r="B3777" s="108" t="s">
        <v>246</v>
      </c>
      <c r="C3777" s="108" t="s">
        <v>913</v>
      </c>
      <c r="D3777" s="112" t="s">
        <v>184</v>
      </c>
      <c r="E3777" s="112">
        <v>1687.2</v>
      </c>
      <c r="F3777" s="111" t="str">
        <f>DataPull!D3777</f>
        <v/>
      </c>
      <c r="G3777" s="94" t="str">
        <f t="shared" si="2"/>
        <v/>
      </c>
      <c r="H3777" s="94" t="str">
        <f t="shared" si="3"/>
        <v/>
      </c>
      <c r="I3777" s="94" t="str">
        <f t="shared" ref="I3777:J3777" si="3778">if(G3777 = "", , -G3777)</f>
        <v/>
      </c>
      <c r="J3777" s="94" t="str">
        <f t="shared" si="3778"/>
        <v/>
      </c>
      <c r="K3777" s="100"/>
      <c r="M3777" s="100"/>
      <c r="N3777" s="100"/>
      <c r="O3777" s="100"/>
      <c r="P3777" s="100"/>
    </row>
    <row r="3778">
      <c r="A3778" s="114">
        <v>1627751.0</v>
      </c>
      <c r="B3778" s="113" t="s">
        <v>247</v>
      </c>
      <c r="C3778" s="113" t="s">
        <v>913</v>
      </c>
      <c r="D3778" s="112" t="s">
        <v>178</v>
      </c>
      <c r="E3778" s="112">
        <v>1150.0</v>
      </c>
      <c r="F3778" s="111" t="str">
        <f>DataPull!D3778</f>
        <v/>
      </c>
      <c r="G3778" s="94" t="str">
        <f t="shared" si="2"/>
        <v/>
      </c>
      <c r="H3778" s="94" t="str">
        <f t="shared" si="3"/>
        <v/>
      </c>
      <c r="I3778" s="94" t="str">
        <f t="shared" ref="I3778:J3778" si="3779">if(G3778 = "", , -G3778)</f>
        <v/>
      </c>
      <c r="J3778" s="94" t="str">
        <f t="shared" si="3779"/>
        <v/>
      </c>
      <c r="K3778" s="100"/>
      <c r="M3778" s="100"/>
      <c r="N3778" s="100"/>
      <c r="O3778" s="100"/>
      <c r="P3778" s="100"/>
    </row>
    <row r="3779">
      <c r="A3779" s="107">
        <v>1627752.0</v>
      </c>
      <c r="B3779" s="108" t="s">
        <v>190</v>
      </c>
      <c r="C3779" s="108" t="s">
        <v>914</v>
      </c>
      <c r="D3779" s="112" t="s">
        <v>177</v>
      </c>
      <c r="E3779" s="112">
        <v>979.4</v>
      </c>
      <c r="F3779" s="111" t="str">
        <f>DataPull!D3779</f>
        <v/>
      </c>
      <c r="G3779" s="94" t="str">
        <f t="shared" si="2"/>
        <v/>
      </c>
      <c r="H3779" s="94" t="str">
        <f t="shared" si="3"/>
        <v/>
      </c>
      <c r="I3779" s="94" t="str">
        <f t="shared" ref="I3779:J3779" si="3780">if(G3779 = "", , -G3779)</f>
        <v/>
      </c>
      <c r="J3779" s="94" t="str">
        <f t="shared" si="3780"/>
        <v/>
      </c>
      <c r="K3779" s="100"/>
      <c r="N3779" s="100"/>
      <c r="O3779" s="100"/>
      <c r="P3779" s="100"/>
    </row>
    <row r="3780">
      <c r="A3780" s="107">
        <v>1627752.0</v>
      </c>
      <c r="B3780" s="108" t="s">
        <v>191</v>
      </c>
      <c r="C3780" s="108" t="s">
        <v>914</v>
      </c>
      <c r="D3780" s="112" t="s">
        <v>178</v>
      </c>
      <c r="E3780" s="112">
        <v>2460.0</v>
      </c>
      <c r="F3780" s="111" t="str">
        <f>DataPull!D3780</f>
        <v/>
      </c>
      <c r="G3780" s="94" t="str">
        <f t="shared" si="2"/>
        <v/>
      </c>
      <c r="H3780" s="94" t="str">
        <f t="shared" si="3"/>
        <v/>
      </c>
      <c r="I3780" s="94" t="str">
        <f t="shared" ref="I3780:J3780" si="3781">if(G3780 = "", , -G3780)</f>
        <v/>
      </c>
      <c r="J3780" s="94" t="str">
        <f t="shared" si="3781"/>
        <v/>
      </c>
      <c r="K3780" s="100"/>
      <c r="M3780" s="100"/>
      <c r="N3780" s="100"/>
      <c r="O3780" s="100"/>
      <c r="P3780" s="100"/>
    </row>
    <row r="3781">
      <c r="A3781" s="107">
        <v>1627752.0</v>
      </c>
      <c r="B3781" s="108" t="s">
        <v>192</v>
      </c>
      <c r="C3781" s="108" t="s">
        <v>914</v>
      </c>
      <c r="D3781" s="112" t="s">
        <v>178</v>
      </c>
      <c r="E3781" s="112">
        <v>1551.0</v>
      </c>
      <c r="F3781" s="111" t="str">
        <f>DataPull!D3781</f>
        <v/>
      </c>
      <c r="G3781" s="94" t="str">
        <f t="shared" si="2"/>
        <v/>
      </c>
      <c r="H3781" s="94" t="str">
        <f t="shared" si="3"/>
        <v/>
      </c>
      <c r="I3781" s="94" t="str">
        <f t="shared" ref="I3781:J3781" si="3782">if(G3781 = "", , -G3781)</f>
        <v/>
      </c>
      <c r="J3781" s="94" t="str">
        <f t="shared" si="3782"/>
        <v/>
      </c>
      <c r="K3781" s="100"/>
      <c r="M3781" s="100"/>
      <c r="N3781" s="100"/>
      <c r="O3781" s="100"/>
      <c r="P3781" s="100"/>
    </row>
    <row r="3782">
      <c r="A3782" s="107">
        <v>1627752.0</v>
      </c>
      <c r="B3782" s="108" t="s">
        <v>193</v>
      </c>
      <c r="C3782" s="108" t="s">
        <v>914</v>
      </c>
      <c r="D3782" s="112" t="s">
        <v>178</v>
      </c>
      <c r="E3782" s="112">
        <v>1856.0</v>
      </c>
      <c r="F3782" s="111" t="str">
        <f>DataPull!D3782</f>
        <v/>
      </c>
      <c r="G3782" s="94" t="str">
        <f t="shared" si="2"/>
        <v/>
      </c>
      <c r="H3782" s="94" t="str">
        <f t="shared" si="3"/>
        <v/>
      </c>
      <c r="I3782" s="94" t="str">
        <f t="shared" ref="I3782:J3782" si="3783">if(G3782 = "", , -G3782)</f>
        <v/>
      </c>
      <c r="J3782" s="94" t="str">
        <f t="shared" si="3783"/>
        <v/>
      </c>
      <c r="K3782" s="100"/>
      <c r="M3782" s="100"/>
      <c r="N3782" s="100"/>
      <c r="O3782" s="100"/>
      <c r="P3782" s="100"/>
    </row>
    <row r="3783">
      <c r="A3783" s="107">
        <v>1627752.0</v>
      </c>
      <c r="B3783" s="108" t="s">
        <v>243</v>
      </c>
      <c r="C3783" s="108" t="s">
        <v>914</v>
      </c>
      <c r="D3783" s="112" t="s">
        <v>176</v>
      </c>
      <c r="E3783" s="112">
        <v>906.1</v>
      </c>
      <c r="F3783" s="111" t="str">
        <f>DataPull!D3783</f>
        <v/>
      </c>
      <c r="G3783" s="94" t="str">
        <f t="shared" si="2"/>
        <v/>
      </c>
      <c r="H3783" s="94" t="str">
        <f t="shared" si="3"/>
        <v/>
      </c>
      <c r="I3783" s="94" t="str">
        <f t="shared" ref="I3783:J3783" si="3784">if(G3783 = "", , -G3783)</f>
        <v/>
      </c>
      <c r="J3783" s="94" t="str">
        <f t="shared" si="3784"/>
        <v/>
      </c>
      <c r="K3783" s="100"/>
      <c r="M3783" s="100"/>
      <c r="N3783" s="100"/>
      <c r="O3783" s="100"/>
      <c r="P3783" s="100"/>
    </row>
    <row r="3784">
      <c r="A3784" s="107">
        <v>1627752.0</v>
      </c>
      <c r="B3784" s="108" t="s">
        <v>215</v>
      </c>
      <c r="C3784" s="108" t="s">
        <v>914</v>
      </c>
      <c r="D3784" s="112" t="s">
        <v>177</v>
      </c>
      <c r="E3784" s="112">
        <v>1179.9</v>
      </c>
      <c r="F3784" s="111" t="str">
        <f>DataPull!D3784</f>
        <v/>
      </c>
      <c r="G3784" s="94" t="str">
        <f t="shared" si="2"/>
        <v/>
      </c>
      <c r="H3784" s="94" t="str">
        <f t="shared" si="3"/>
        <v/>
      </c>
      <c r="I3784" s="94" t="str">
        <f t="shared" ref="I3784:J3784" si="3785">if(G3784 = "", , -G3784)</f>
        <v/>
      </c>
      <c r="J3784" s="94" t="str">
        <f t="shared" si="3785"/>
        <v/>
      </c>
      <c r="K3784" s="100"/>
      <c r="L3784" s="100"/>
      <c r="N3784" s="100"/>
      <c r="O3784" s="100"/>
      <c r="P3784" s="100"/>
    </row>
    <row r="3785">
      <c r="A3785" s="107">
        <v>1627752.0</v>
      </c>
      <c r="B3785" s="108" t="s">
        <v>244</v>
      </c>
      <c r="C3785" s="108" t="s">
        <v>914</v>
      </c>
      <c r="D3785" s="112" t="s">
        <v>177</v>
      </c>
      <c r="E3785" s="112">
        <v>1193.4</v>
      </c>
      <c r="F3785" s="111" t="str">
        <f>DataPull!D3785</f>
        <v/>
      </c>
      <c r="G3785" s="94" t="str">
        <f t="shared" si="2"/>
        <v/>
      </c>
      <c r="H3785" s="94" t="str">
        <f t="shared" si="3"/>
        <v/>
      </c>
      <c r="I3785" s="94" t="str">
        <f t="shared" ref="I3785:J3785" si="3786">if(G3785 = "", , -G3785)</f>
        <v/>
      </c>
      <c r="J3785" s="94" t="str">
        <f t="shared" si="3786"/>
        <v/>
      </c>
      <c r="K3785" s="100"/>
      <c r="M3785" s="100"/>
      <c r="N3785" s="100"/>
      <c r="O3785" s="100"/>
      <c r="P3785" s="100"/>
    </row>
    <row r="3786">
      <c r="A3786" s="107">
        <v>1627752.0</v>
      </c>
      <c r="B3786" s="108" t="s">
        <v>245</v>
      </c>
      <c r="C3786" s="108" t="s">
        <v>914</v>
      </c>
      <c r="D3786" s="112" t="s">
        <v>178</v>
      </c>
      <c r="E3786" s="112">
        <v>2106.0</v>
      </c>
      <c r="F3786" s="111" t="str">
        <f>DataPull!D3786</f>
        <v/>
      </c>
      <c r="G3786" s="94" t="str">
        <f t="shared" si="2"/>
        <v/>
      </c>
      <c r="H3786" s="94" t="str">
        <f t="shared" si="3"/>
        <v/>
      </c>
      <c r="I3786" s="94" t="str">
        <f t="shared" ref="I3786:J3786" si="3787">if(G3786 = "", , -G3786)</f>
        <v/>
      </c>
      <c r="J3786" s="94" t="str">
        <f t="shared" si="3787"/>
        <v/>
      </c>
      <c r="K3786" s="100"/>
      <c r="M3786" s="100"/>
      <c r="N3786" s="100"/>
      <c r="O3786" s="100"/>
      <c r="P3786" s="100"/>
    </row>
    <row r="3787">
      <c r="A3787" s="107">
        <v>1627752.0</v>
      </c>
      <c r="B3787" s="108" t="s">
        <v>246</v>
      </c>
      <c r="C3787" s="108" t="s">
        <v>914</v>
      </c>
      <c r="D3787" s="112" t="s">
        <v>178</v>
      </c>
      <c r="E3787" s="112">
        <v>2168.0</v>
      </c>
      <c r="F3787" s="111" t="str">
        <f>DataPull!D3787</f>
        <v/>
      </c>
      <c r="G3787" s="94" t="str">
        <f t="shared" si="2"/>
        <v/>
      </c>
      <c r="H3787" s="94" t="str">
        <f t="shared" si="3"/>
        <v/>
      </c>
      <c r="I3787" s="94" t="str">
        <f t="shared" ref="I3787:J3787" si="3788">if(G3787 = "", , -G3787)</f>
        <v/>
      </c>
      <c r="J3787" s="94" t="str">
        <f t="shared" si="3788"/>
        <v/>
      </c>
      <c r="K3787" s="100"/>
      <c r="M3787" s="100"/>
      <c r="N3787" s="100"/>
      <c r="O3787" s="100"/>
      <c r="P3787" s="100"/>
    </row>
    <row r="3788">
      <c r="A3788" s="114">
        <v>1627752.0</v>
      </c>
      <c r="B3788" s="113" t="s">
        <v>247</v>
      </c>
      <c r="C3788" s="113" t="s">
        <v>914</v>
      </c>
      <c r="D3788" s="112" t="s">
        <v>176</v>
      </c>
      <c r="E3788" s="112">
        <v>611.0</v>
      </c>
      <c r="F3788" s="111" t="str">
        <f>DataPull!D3788</f>
        <v/>
      </c>
      <c r="G3788" s="94" t="str">
        <f t="shared" si="2"/>
        <v/>
      </c>
      <c r="H3788" s="94" t="str">
        <f t="shared" si="3"/>
        <v/>
      </c>
      <c r="I3788" s="94" t="str">
        <f t="shared" ref="I3788:J3788" si="3789">if(G3788 = "", , -G3788)</f>
        <v/>
      </c>
      <c r="J3788" s="94" t="str">
        <f t="shared" si="3789"/>
        <v/>
      </c>
      <c r="K3788" s="100"/>
      <c r="L3788" s="100"/>
      <c r="M3788" s="100"/>
      <c r="N3788" s="100"/>
      <c r="O3788" s="100"/>
      <c r="P3788" s="100"/>
    </row>
    <row r="3789">
      <c r="A3789" s="107">
        <v>1627753.0</v>
      </c>
      <c r="B3789" s="108" t="s">
        <v>191</v>
      </c>
      <c r="C3789" s="108" t="s">
        <v>915</v>
      </c>
      <c r="D3789" s="112" t="s">
        <v>187</v>
      </c>
      <c r="E3789" s="112">
        <v>124.2</v>
      </c>
      <c r="F3789" s="111" t="str">
        <f>DataPull!D3789</f>
        <v/>
      </c>
      <c r="G3789" s="94" t="str">
        <f t="shared" si="2"/>
        <v/>
      </c>
      <c r="H3789" s="94" t="str">
        <f t="shared" si="3"/>
        <v/>
      </c>
      <c r="I3789" s="94" t="str">
        <f t="shared" ref="I3789:J3789" si="3790">if(G3789 = "", , -G3789)</f>
        <v/>
      </c>
      <c r="J3789" s="94" t="str">
        <f t="shared" si="3790"/>
        <v/>
      </c>
      <c r="K3789" s="100"/>
      <c r="M3789" s="100"/>
      <c r="N3789" s="100"/>
      <c r="O3789" s="100"/>
      <c r="P3789" s="100"/>
    </row>
    <row r="3790">
      <c r="A3790" s="107">
        <v>1627753.0</v>
      </c>
      <c r="B3790" s="108" t="s">
        <v>192</v>
      </c>
      <c r="C3790" s="108" t="s">
        <v>915</v>
      </c>
      <c r="D3790" s="112" t="s">
        <v>181</v>
      </c>
      <c r="E3790" s="112">
        <v>1.0</v>
      </c>
      <c r="F3790" s="111" t="str">
        <f>DataPull!D3790</f>
        <v/>
      </c>
      <c r="G3790" s="94" t="str">
        <f t="shared" si="2"/>
        <v/>
      </c>
      <c r="H3790" s="94" t="str">
        <f t="shared" si="3"/>
        <v/>
      </c>
      <c r="I3790" s="94" t="str">
        <f t="shared" ref="I3790:J3790" si="3791">if(G3790 = "", , -G3790)</f>
        <v/>
      </c>
      <c r="J3790" s="94" t="str">
        <f t="shared" si="3791"/>
        <v/>
      </c>
      <c r="K3790" s="100"/>
      <c r="M3790" s="100"/>
      <c r="N3790" s="100"/>
      <c r="O3790" s="100"/>
      <c r="P3790" s="100"/>
    </row>
    <row r="3791">
      <c r="A3791" s="107">
        <v>1627754.0</v>
      </c>
      <c r="B3791" s="108" t="s">
        <v>190</v>
      </c>
      <c r="C3791" s="108" t="s">
        <v>916</v>
      </c>
      <c r="D3791" s="112" t="s">
        <v>181</v>
      </c>
      <c r="E3791" s="112">
        <v>24.5</v>
      </c>
      <c r="F3791" s="111" t="str">
        <f>DataPull!D3791</f>
        <v/>
      </c>
      <c r="G3791" s="94" t="str">
        <f t="shared" si="2"/>
        <v/>
      </c>
      <c r="H3791" s="94" t="str">
        <f t="shared" si="3"/>
        <v/>
      </c>
      <c r="I3791" s="94" t="str">
        <f t="shared" ref="I3791:J3791" si="3792">if(G3791 = "", , -G3791)</f>
        <v/>
      </c>
      <c r="J3791" s="94" t="str">
        <f t="shared" si="3792"/>
        <v/>
      </c>
      <c r="K3791" s="100"/>
      <c r="M3791" s="100"/>
      <c r="N3791" s="100"/>
      <c r="O3791" s="100"/>
      <c r="P3791" s="100"/>
    </row>
    <row r="3792">
      <c r="A3792" s="107">
        <v>1627755.0</v>
      </c>
      <c r="B3792" s="108" t="s">
        <v>190</v>
      </c>
      <c r="C3792" s="108" t="s">
        <v>917</v>
      </c>
      <c r="D3792" s="112" t="s">
        <v>177</v>
      </c>
      <c r="E3792" s="112">
        <v>1122.4</v>
      </c>
      <c r="F3792" s="111" t="str">
        <f>DataPull!D3792</f>
        <v/>
      </c>
      <c r="G3792" s="94" t="str">
        <f t="shared" si="2"/>
        <v/>
      </c>
      <c r="H3792" s="94" t="str">
        <f t="shared" si="3"/>
        <v/>
      </c>
      <c r="I3792" s="94" t="str">
        <f t="shared" ref="I3792:J3792" si="3793">if(G3792 = "", , -G3792)</f>
        <v/>
      </c>
      <c r="J3792" s="94" t="str">
        <f t="shared" si="3793"/>
        <v/>
      </c>
      <c r="K3792" s="100"/>
      <c r="M3792" s="100"/>
      <c r="N3792" s="100"/>
      <c r="O3792" s="100"/>
      <c r="P3792" s="100"/>
    </row>
    <row r="3793">
      <c r="A3793" s="107">
        <v>1627755.0</v>
      </c>
      <c r="B3793" s="108" t="s">
        <v>191</v>
      </c>
      <c r="C3793" s="108" t="s">
        <v>917</v>
      </c>
      <c r="D3793" s="112" t="s">
        <v>176</v>
      </c>
      <c r="E3793" s="112">
        <v>1661.4</v>
      </c>
      <c r="F3793" s="111" t="str">
        <f>DataPull!D3793</f>
        <v/>
      </c>
      <c r="G3793" s="94" t="str">
        <f t="shared" si="2"/>
        <v/>
      </c>
      <c r="H3793" s="94" t="str">
        <f t="shared" si="3"/>
        <v/>
      </c>
      <c r="I3793" s="94" t="str">
        <f t="shared" ref="I3793:J3793" si="3794">if(G3793 = "", , -G3793)</f>
        <v/>
      </c>
      <c r="J3793" s="94" t="str">
        <f t="shared" si="3794"/>
        <v/>
      </c>
      <c r="K3793" s="100"/>
      <c r="L3793" s="100"/>
      <c r="M3793" s="100"/>
      <c r="N3793" s="100"/>
      <c r="O3793" s="100"/>
      <c r="P3793" s="100"/>
    </row>
    <row r="3794">
      <c r="A3794" s="107">
        <v>1627755.0</v>
      </c>
      <c r="B3794" s="108" t="s">
        <v>192</v>
      </c>
      <c r="C3794" s="108" t="s">
        <v>917</v>
      </c>
      <c r="D3794" s="112" t="s">
        <v>181</v>
      </c>
      <c r="E3794" s="112">
        <v>0.8</v>
      </c>
      <c r="F3794" s="111" t="str">
        <f>DataPull!D3794</f>
        <v/>
      </c>
      <c r="G3794" s="94" t="str">
        <f t="shared" si="2"/>
        <v/>
      </c>
      <c r="H3794" s="94" t="str">
        <f t="shared" si="3"/>
        <v/>
      </c>
      <c r="I3794" s="94" t="str">
        <f t="shared" ref="I3794:J3794" si="3795">if(G3794 = "", , -G3794)</f>
        <v/>
      </c>
      <c r="J3794" s="94" t="str">
        <f t="shared" si="3795"/>
        <v/>
      </c>
      <c r="K3794" s="100"/>
      <c r="M3794" s="100"/>
      <c r="N3794" s="100"/>
      <c r="O3794" s="100"/>
      <c r="P3794" s="100"/>
    </row>
    <row r="3795">
      <c r="A3795" s="107">
        <v>1627756.0</v>
      </c>
      <c r="B3795" s="108" t="s">
        <v>190</v>
      </c>
      <c r="C3795" s="108" t="s">
        <v>918</v>
      </c>
      <c r="D3795" s="112" t="s">
        <v>177</v>
      </c>
      <c r="E3795" s="112">
        <v>974.7</v>
      </c>
      <c r="F3795" s="111" t="str">
        <f>DataPull!D3795</f>
        <v/>
      </c>
      <c r="G3795" s="94" t="str">
        <f t="shared" si="2"/>
        <v/>
      </c>
      <c r="H3795" s="94" t="str">
        <f t="shared" si="3"/>
        <v/>
      </c>
      <c r="I3795" s="94" t="str">
        <f t="shared" ref="I3795:J3795" si="3796">if(G3795 = "", , -G3795)</f>
        <v/>
      </c>
      <c r="J3795" s="94" t="str">
        <f t="shared" si="3796"/>
        <v/>
      </c>
      <c r="K3795" s="100"/>
      <c r="M3795" s="100"/>
      <c r="N3795" s="100"/>
      <c r="O3795" s="100"/>
      <c r="P3795" s="100"/>
    </row>
    <row r="3796">
      <c r="A3796" s="107">
        <v>1627756.0</v>
      </c>
      <c r="B3796" s="108" t="s">
        <v>191</v>
      </c>
      <c r="C3796" s="108" t="s">
        <v>918</v>
      </c>
      <c r="D3796" s="112" t="s">
        <v>178</v>
      </c>
      <c r="E3796" s="112">
        <v>2094.4</v>
      </c>
      <c r="F3796" s="111" t="str">
        <f>DataPull!D3796</f>
        <v/>
      </c>
      <c r="G3796" s="94" t="str">
        <f t="shared" si="2"/>
        <v/>
      </c>
      <c r="H3796" s="94" t="str">
        <f t="shared" si="3"/>
        <v/>
      </c>
      <c r="I3796" s="94" t="str">
        <f t="shared" ref="I3796:J3796" si="3797">if(G3796 = "", , -G3796)</f>
        <v/>
      </c>
      <c r="J3796" s="94" t="str">
        <f t="shared" si="3797"/>
        <v/>
      </c>
      <c r="K3796" s="100"/>
      <c r="M3796" s="100"/>
      <c r="N3796" s="100"/>
      <c r="O3796" s="100"/>
      <c r="P3796" s="100"/>
    </row>
    <row r="3797">
      <c r="A3797" s="107">
        <v>1627756.0</v>
      </c>
      <c r="B3797" s="108" t="s">
        <v>193</v>
      </c>
      <c r="C3797" s="108" t="s">
        <v>918</v>
      </c>
      <c r="D3797" s="112" t="s">
        <v>177</v>
      </c>
      <c r="E3797" s="112">
        <v>489.6</v>
      </c>
      <c r="F3797" s="111" t="str">
        <f>DataPull!D3797</f>
        <v/>
      </c>
      <c r="G3797" s="94" t="str">
        <f t="shared" si="2"/>
        <v/>
      </c>
      <c r="H3797" s="94" t="str">
        <f t="shared" si="3"/>
        <v/>
      </c>
      <c r="I3797" s="94" t="str">
        <f t="shared" ref="I3797:J3797" si="3798">if(G3797 = "", , -G3797)</f>
        <v/>
      </c>
      <c r="J3797" s="94" t="str">
        <f t="shared" si="3798"/>
        <v/>
      </c>
      <c r="K3797" s="100"/>
      <c r="M3797" s="100"/>
      <c r="N3797" s="100"/>
      <c r="O3797" s="100"/>
      <c r="P3797" s="100"/>
    </row>
    <row r="3798">
      <c r="A3798" s="107">
        <v>1627756.0</v>
      </c>
      <c r="B3798" s="108" t="s">
        <v>243</v>
      </c>
      <c r="C3798" s="108" t="s">
        <v>918</v>
      </c>
      <c r="D3798" s="112" t="s">
        <v>177</v>
      </c>
      <c r="E3798" s="112">
        <v>1035.4</v>
      </c>
      <c r="F3798" s="111" t="str">
        <f>DataPull!D3798</f>
        <v/>
      </c>
      <c r="G3798" s="94" t="str">
        <f t="shared" si="2"/>
        <v/>
      </c>
      <c r="H3798" s="94" t="str">
        <f t="shared" si="3"/>
        <v/>
      </c>
      <c r="I3798" s="94" t="str">
        <f t="shared" ref="I3798:J3798" si="3799">if(G3798 = "", , -G3798)</f>
        <v/>
      </c>
      <c r="J3798" s="94" t="str">
        <f t="shared" si="3799"/>
        <v/>
      </c>
      <c r="K3798" s="100"/>
      <c r="M3798" s="100"/>
      <c r="N3798" s="100"/>
      <c r="O3798" s="100"/>
      <c r="P3798" s="100"/>
    </row>
    <row r="3799">
      <c r="A3799" s="107">
        <v>1627756.0</v>
      </c>
      <c r="B3799" s="108" t="s">
        <v>215</v>
      </c>
      <c r="C3799" s="108" t="s">
        <v>918</v>
      </c>
      <c r="D3799" s="112" t="s">
        <v>187</v>
      </c>
      <c r="E3799" s="112">
        <v>220.8</v>
      </c>
      <c r="F3799" s="111" t="str">
        <f>DataPull!D3799</f>
        <v/>
      </c>
      <c r="G3799" s="94" t="str">
        <f t="shared" si="2"/>
        <v/>
      </c>
      <c r="H3799" s="94" t="str">
        <f t="shared" si="3"/>
        <v/>
      </c>
      <c r="I3799" s="94" t="str">
        <f t="shared" ref="I3799:J3799" si="3800">if(G3799 = "", , -G3799)</f>
        <v/>
      </c>
      <c r="J3799" s="94" t="str">
        <f t="shared" si="3800"/>
        <v/>
      </c>
      <c r="K3799" s="100"/>
      <c r="M3799" s="100"/>
      <c r="N3799" s="100"/>
      <c r="O3799" s="100"/>
      <c r="P3799" s="100"/>
    </row>
    <row r="3800">
      <c r="A3800" s="107">
        <v>1627757.0</v>
      </c>
      <c r="B3800" s="108" t="s">
        <v>190</v>
      </c>
      <c r="C3800" s="108" t="s">
        <v>919</v>
      </c>
      <c r="D3800" s="112" t="s">
        <v>187</v>
      </c>
      <c r="E3800" s="112">
        <v>108.3</v>
      </c>
      <c r="F3800" s="111" t="str">
        <f>DataPull!D3800</f>
        <v/>
      </c>
      <c r="G3800" s="94" t="str">
        <f t="shared" si="2"/>
        <v/>
      </c>
      <c r="H3800" s="94" t="str">
        <f t="shared" si="3"/>
        <v/>
      </c>
      <c r="I3800" s="94" t="str">
        <f t="shared" ref="I3800:J3800" si="3801">if(G3800 = "", , -G3800)</f>
        <v/>
      </c>
      <c r="J3800" s="94" t="str">
        <f t="shared" si="3801"/>
        <v/>
      </c>
      <c r="K3800" s="100"/>
      <c r="M3800" s="100"/>
      <c r="N3800" s="100"/>
      <c r="O3800" s="100"/>
      <c r="P3800" s="100"/>
    </row>
    <row r="3801">
      <c r="A3801" s="107">
        <v>1627758.0</v>
      </c>
      <c r="B3801" s="108" t="s">
        <v>190</v>
      </c>
      <c r="C3801" s="108" t="s">
        <v>920</v>
      </c>
      <c r="D3801" s="112" t="s">
        <v>177</v>
      </c>
      <c r="E3801" s="112">
        <v>858.0</v>
      </c>
      <c r="F3801" s="111" t="str">
        <f>DataPull!D3801</f>
        <v/>
      </c>
      <c r="G3801" s="94" t="str">
        <f t="shared" si="2"/>
        <v/>
      </c>
      <c r="H3801" s="94" t="str">
        <f t="shared" si="3"/>
        <v/>
      </c>
      <c r="I3801" s="94" t="str">
        <f t="shared" ref="I3801:J3801" si="3802">if(G3801 = "", , -G3801)</f>
        <v/>
      </c>
      <c r="J3801" s="94" t="str">
        <f t="shared" si="3802"/>
        <v/>
      </c>
      <c r="K3801" s="100"/>
      <c r="M3801" s="100"/>
      <c r="N3801" s="100"/>
      <c r="O3801" s="100"/>
      <c r="P3801" s="100"/>
    </row>
    <row r="3802">
      <c r="A3802" s="107">
        <v>1627758.0</v>
      </c>
      <c r="B3802" s="108" t="s">
        <v>191</v>
      </c>
      <c r="C3802" s="108" t="s">
        <v>920</v>
      </c>
      <c r="D3802" s="112" t="s">
        <v>177</v>
      </c>
      <c r="E3802" s="112">
        <v>385.7</v>
      </c>
      <c r="F3802" s="111" t="str">
        <f>DataPull!D3802</f>
        <v/>
      </c>
      <c r="G3802" s="94" t="str">
        <f t="shared" si="2"/>
        <v/>
      </c>
      <c r="H3802" s="94" t="str">
        <f t="shared" si="3"/>
        <v/>
      </c>
      <c r="I3802" s="94" t="str">
        <f t="shared" ref="I3802:J3802" si="3803">if(G3802 = "", , -G3802)</f>
        <v/>
      </c>
      <c r="J3802" s="94" t="str">
        <f t="shared" si="3803"/>
        <v/>
      </c>
      <c r="K3802" s="100"/>
      <c r="M3802" s="100"/>
      <c r="N3802" s="100"/>
      <c r="O3802" s="100"/>
      <c r="P3802" s="100"/>
    </row>
    <row r="3803">
      <c r="A3803" s="107">
        <v>1627758.0</v>
      </c>
      <c r="B3803" s="108" t="s">
        <v>192</v>
      </c>
      <c r="C3803" s="108" t="s">
        <v>920</v>
      </c>
      <c r="D3803" s="112" t="s">
        <v>187</v>
      </c>
      <c r="E3803" s="112">
        <v>151.5</v>
      </c>
      <c r="F3803" s="111" t="str">
        <f>DataPull!D3803</f>
        <v/>
      </c>
      <c r="G3803" s="94" t="str">
        <f t="shared" si="2"/>
        <v/>
      </c>
      <c r="H3803" s="94" t="str">
        <f t="shared" si="3"/>
        <v/>
      </c>
      <c r="I3803" s="94" t="str">
        <f t="shared" ref="I3803:J3803" si="3804">if(G3803 = "", , -G3803)</f>
        <v/>
      </c>
      <c r="J3803" s="94" t="str">
        <f t="shared" si="3804"/>
        <v/>
      </c>
      <c r="K3803" s="100"/>
      <c r="L3803" s="100"/>
      <c r="N3803" s="100"/>
      <c r="O3803" s="100"/>
      <c r="P3803" s="100"/>
    </row>
    <row r="3804">
      <c r="A3804" s="107">
        <v>1627759.0</v>
      </c>
      <c r="B3804" s="108" t="s">
        <v>190</v>
      </c>
      <c r="C3804" s="108" t="s">
        <v>921</v>
      </c>
      <c r="D3804" s="112" t="s">
        <v>177</v>
      </c>
      <c r="E3804" s="112">
        <v>1341.6</v>
      </c>
      <c r="F3804" s="111" t="str">
        <f>DataPull!D3804</f>
        <v/>
      </c>
      <c r="G3804" s="94" t="str">
        <f t="shared" si="2"/>
        <v/>
      </c>
      <c r="H3804" s="94" t="str">
        <f t="shared" si="3"/>
        <v/>
      </c>
      <c r="I3804" s="94" t="str">
        <f t="shared" ref="I3804:J3804" si="3805">if(G3804 = "", , -G3804)</f>
        <v/>
      </c>
      <c r="J3804" s="94" t="str">
        <f t="shared" si="3805"/>
        <v/>
      </c>
      <c r="K3804" s="100"/>
      <c r="M3804" s="100"/>
      <c r="N3804" s="100"/>
      <c r="O3804" s="100"/>
      <c r="P3804" s="100"/>
    </row>
    <row r="3805">
      <c r="A3805" s="107">
        <v>1627759.0</v>
      </c>
      <c r="B3805" s="108" t="s">
        <v>191</v>
      </c>
      <c r="C3805" s="108" t="s">
        <v>921</v>
      </c>
      <c r="D3805" s="112" t="s">
        <v>178</v>
      </c>
      <c r="E3805" s="112">
        <v>2149.0</v>
      </c>
      <c r="F3805" s="111" t="str">
        <f>DataPull!D3805</f>
        <v/>
      </c>
      <c r="G3805" s="94" t="str">
        <f t="shared" si="2"/>
        <v/>
      </c>
      <c r="H3805" s="94" t="str">
        <f t="shared" si="3"/>
        <v/>
      </c>
      <c r="I3805" s="94" t="str">
        <f t="shared" ref="I3805:J3805" si="3806">if(G3805 = "", , -G3805)</f>
        <v/>
      </c>
      <c r="J3805" s="94" t="str">
        <f t="shared" si="3806"/>
        <v/>
      </c>
      <c r="K3805" s="100"/>
      <c r="M3805" s="100"/>
      <c r="N3805" s="100"/>
      <c r="O3805" s="100"/>
      <c r="P3805" s="100"/>
    </row>
    <row r="3806">
      <c r="A3806" s="107">
        <v>1627759.0</v>
      </c>
      <c r="B3806" s="108" t="s">
        <v>192</v>
      </c>
      <c r="C3806" s="108" t="s">
        <v>921</v>
      </c>
      <c r="D3806" s="112" t="s">
        <v>176</v>
      </c>
      <c r="E3806" s="112">
        <v>1916.6</v>
      </c>
      <c r="F3806" s="111" t="str">
        <f>DataPull!D3806</f>
        <v/>
      </c>
      <c r="G3806" s="94" t="str">
        <f t="shared" si="2"/>
        <v/>
      </c>
      <c r="H3806" s="94" t="str">
        <f t="shared" si="3"/>
        <v/>
      </c>
      <c r="I3806" s="94" t="str">
        <f t="shared" ref="I3806:J3806" si="3807">if(G3806 = "", , -G3806)</f>
        <v/>
      </c>
      <c r="J3806" s="94" t="str">
        <f t="shared" si="3807"/>
        <v/>
      </c>
      <c r="K3806" s="100"/>
      <c r="L3806" s="100"/>
      <c r="M3806" s="100"/>
      <c r="N3806" s="100"/>
      <c r="O3806" s="100"/>
      <c r="P3806" s="100"/>
    </row>
    <row r="3807">
      <c r="A3807" s="107">
        <v>1627759.0</v>
      </c>
      <c r="B3807" s="108" t="s">
        <v>193</v>
      </c>
      <c r="C3807" s="108" t="s">
        <v>921</v>
      </c>
      <c r="D3807" s="112" t="s">
        <v>184</v>
      </c>
      <c r="E3807" s="112">
        <v>1932.3</v>
      </c>
      <c r="F3807" s="111" t="str">
        <f>DataPull!D3807</f>
        <v/>
      </c>
      <c r="G3807" s="94" t="str">
        <f t="shared" si="2"/>
        <v/>
      </c>
      <c r="H3807" s="94" t="str">
        <f t="shared" si="3"/>
        <v/>
      </c>
      <c r="I3807" s="94" t="str">
        <f t="shared" ref="I3807:J3807" si="3808">if(G3807 = "", , -G3807)</f>
        <v/>
      </c>
      <c r="J3807" s="94" t="str">
        <f t="shared" si="3808"/>
        <v/>
      </c>
      <c r="K3807" s="100"/>
      <c r="M3807" s="100"/>
      <c r="N3807" s="100"/>
      <c r="O3807" s="100"/>
      <c r="P3807" s="100"/>
    </row>
    <row r="3808">
      <c r="A3808" s="107">
        <v>1627759.0</v>
      </c>
      <c r="B3808" s="108" t="s">
        <v>243</v>
      </c>
      <c r="C3808" s="108" t="s">
        <v>921</v>
      </c>
      <c r="D3808" s="112" t="s">
        <v>178</v>
      </c>
      <c r="E3808" s="112">
        <v>2001.0</v>
      </c>
      <c r="F3808" s="111" t="str">
        <f>DataPull!D3808</f>
        <v/>
      </c>
      <c r="G3808" s="94" t="str">
        <f t="shared" si="2"/>
        <v/>
      </c>
      <c r="H3808" s="94" t="str">
        <f t="shared" si="3"/>
        <v/>
      </c>
      <c r="I3808" s="94" t="str">
        <f t="shared" ref="I3808:J3808" si="3809">if(G3808 = "", , -G3808)</f>
        <v/>
      </c>
      <c r="J3808" s="94" t="str">
        <f t="shared" si="3809"/>
        <v/>
      </c>
      <c r="K3808" s="100"/>
      <c r="M3808" s="100"/>
      <c r="N3808" s="100"/>
      <c r="O3808" s="100"/>
      <c r="P3808" s="100"/>
    </row>
    <row r="3809">
      <c r="A3809" s="107">
        <v>1627759.0</v>
      </c>
      <c r="B3809" s="108" t="s">
        <v>215</v>
      </c>
      <c r="C3809" s="108" t="s">
        <v>921</v>
      </c>
      <c r="D3809" s="112" t="s">
        <v>184</v>
      </c>
      <c r="E3809" s="112">
        <v>2217.6</v>
      </c>
      <c r="F3809" s="111" t="str">
        <f>DataPull!D3809</f>
        <v/>
      </c>
      <c r="G3809" s="94" t="str">
        <f t="shared" si="2"/>
        <v/>
      </c>
      <c r="H3809" s="94" t="str">
        <f t="shared" si="3"/>
        <v/>
      </c>
      <c r="I3809" s="94" t="str">
        <f t="shared" ref="I3809:J3809" si="3810">if(G3809 = "", , -G3809)</f>
        <v/>
      </c>
      <c r="J3809" s="94" t="str">
        <f t="shared" si="3810"/>
        <v/>
      </c>
      <c r="K3809" s="100"/>
      <c r="M3809" s="100"/>
      <c r="N3809" s="100"/>
      <c r="O3809" s="100"/>
      <c r="P3809" s="100"/>
    </row>
    <row r="3810">
      <c r="A3810" s="107">
        <v>1627759.0</v>
      </c>
      <c r="B3810" s="108" t="s">
        <v>244</v>
      </c>
      <c r="C3810" s="108" t="s">
        <v>921</v>
      </c>
      <c r="D3810" s="112" t="s">
        <v>184</v>
      </c>
      <c r="E3810" s="112">
        <v>2405.3</v>
      </c>
      <c r="F3810" s="111" t="str">
        <f>DataPull!D3810</f>
        <v/>
      </c>
      <c r="G3810" s="94" t="str">
        <f t="shared" si="2"/>
        <v/>
      </c>
      <c r="H3810" s="94" t="str">
        <f t="shared" si="3"/>
        <v/>
      </c>
      <c r="I3810" s="94" t="str">
        <f t="shared" ref="I3810:J3810" si="3811">if(G3810 = "", , -G3810)</f>
        <v/>
      </c>
      <c r="J3810" s="94" t="str">
        <f t="shared" si="3811"/>
        <v/>
      </c>
      <c r="K3810" s="100"/>
      <c r="M3810" s="100"/>
      <c r="N3810" s="100"/>
      <c r="O3810" s="100"/>
      <c r="P3810" s="100"/>
    </row>
    <row r="3811">
      <c r="A3811" s="107">
        <v>1627759.0</v>
      </c>
      <c r="B3811" s="108" t="s">
        <v>245</v>
      </c>
      <c r="C3811" s="108" t="s">
        <v>921</v>
      </c>
      <c r="D3811" s="112" t="s">
        <v>178</v>
      </c>
      <c r="E3811" s="112">
        <v>2345.0</v>
      </c>
      <c r="F3811" s="111" t="str">
        <f>DataPull!D3811</f>
        <v/>
      </c>
      <c r="G3811" s="94" t="str">
        <f t="shared" si="2"/>
        <v/>
      </c>
      <c r="H3811" s="94" t="str">
        <f t="shared" si="3"/>
        <v/>
      </c>
      <c r="I3811" s="94" t="str">
        <f t="shared" ref="I3811:J3811" si="3812">if(G3811 = "", , -G3811)</f>
        <v/>
      </c>
      <c r="J3811" s="94" t="str">
        <f t="shared" si="3812"/>
        <v/>
      </c>
      <c r="K3811" s="100"/>
      <c r="M3811" s="100"/>
      <c r="N3811" s="100"/>
      <c r="O3811" s="100"/>
      <c r="P3811" s="100"/>
    </row>
    <row r="3812">
      <c r="A3812" s="107">
        <v>1627759.0</v>
      </c>
      <c r="B3812" s="108" t="s">
        <v>246</v>
      </c>
      <c r="C3812" s="108" t="s">
        <v>921</v>
      </c>
      <c r="D3812" s="112" t="s">
        <v>184</v>
      </c>
      <c r="E3812" s="112">
        <v>2160.9</v>
      </c>
      <c r="F3812" s="111" t="str">
        <f>DataPull!D3812</f>
        <v/>
      </c>
      <c r="G3812" s="94" t="str">
        <f t="shared" si="2"/>
        <v/>
      </c>
      <c r="H3812" s="94" t="str">
        <f t="shared" si="3"/>
        <v/>
      </c>
      <c r="I3812" s="94" t="str">
        <f t="shared" ref="I3812:J3812" si="3813">if(G3812 = "", , -G3812)</f>
        <v/>
      </c>
      <c r="J3812" s="94" t="str">
        <f t="shared" si="3813"/>
        <v/>
      </c>
      <c r="K3812" s="100"/>
      <c r="L3812" s="100"/>
      <c r="N3812" s="100"/>
      <c r="O3812" s="100"/>
      <c r="P3812" s="100"/>
    </row>
    <row r="3813">
      <c r="A3813" s="114">
        <v>1627759.0</v>
      </c>
      <c r="B3813" s="113" t="s">
        <v>247</v>
      </c>
      <c r="C3813" s="113" t="s">
        <v>921</v>
      </c>
      <c r="D3813" s="112" t="s">
        <v>184</v>
      </c>
      <c r="E3813" s="112">
        <v>2442.4</v>
      </c>
      <c r="F3813" s="111" t="str">
        <f>DataPull!D3813</f>
        <v/>
      </c>
      <c r="G3813" s="94" t="str">
        <f t="shared" si="2"/>
        <v/>
      </c>
      <c r="H3813" s="94" t="str">
        <f t="shared" si="3"/>
        <v/>
      </c>
      <c r="I3813" s="94" t="str">
        <f t="shared" ref="I3813:J3813" si="3814">if(G3813 = "", , -G3813)</f>
        <v/>
      </c>
      <c r="J3813" s="94" t="str">
        <f t="shared" si="3814"/>
        <v/>
      </c>
      <c r="K3813" s="100"/>
      <c r="M3813" s="100"/>
      <c r="N3813" s="100"/>
      <c r="O3813" s="100"/>
      <c r="P3813" s="100"/>
    </row>
    <row r="3814">
      <c r="A3814" s="107">
        <v>1627760.0</v>
      </c>
      <c r="B3814" s="108" t="s">
        <v>215</v>
      </c>
      <c r="C3814" s="108" t="s">
        <v>922</v>
      </c>
      <c r="D3814" s="112" t="s">
        <v>181</v>
      </c>
      <c r="E3814" s="112">
        <v>12.9</v>
      </c>
      <c r="F3814" s="111" t="str">
        <f>DataPull!D3814</f>
        <v/>
      </c>
      <c r="G3814" s="94" t="str">
        <f t="shared" si="2"/>
        <v/>
      </c>
      <c r="H3814" s="94" t="str">
        <f t="shared" si="3"/>
        <v/>
      </c>
      <c r="I3814" s="94" t="str">
        <f t="shared" ref="I3814:J3814" si="3815">if(G3814 = "", , -G3814)</f>
        <v/>
      </c>
      <c r="J3814" s="94" t="str">
        <f t="shared" si="3815"/>
        <v/>
      </c>
      <c r="K3814" s="100"/>
      <c r="L3814" s="100"/>
      <c r="N3814" s="100"/>
      <c r="O3814" s="100"/>
      <c r="P3814" s="100"/>
    </row>
    <row r="3815">
      <c r="A3815" s="107">
        <v>1627761.0</v>
      </c>
      <c r="B3815" s="108" t="s">
        <v>190</v>
      </c>
      <c r="C3815" s="108" t="s">
        <v>923</v>
      </c>
      <c r="D3815" s="112" t="s">
        <v>187</v>
      </c>
      <c r="E3815" s="112">
        <v>372.4</v>
      </c>
      <c r="F3815" s="111" t="str">
        <f>DataPull!D3815</f>
        <v/>
      </c>
      <c r="G3815" s="94" t="str">
        <f t="shared" si="2"/>
        <v/>
      </c>
      <c r="H3815" s="94" t="str">
        <f t="shared" si="3"/>
        <v/>
      </c>
      <c r="I3815" s="94" t="str">
        <f t="shared" ref="I3815:J3815" si="3816">if(G3815 = "", , -G3815)</f>
        <v/>
      </c>
      <c r="J3815" s="94" t="str">
        <f t="shared" si="3816"/>
        <v/>
      </c>
      <c r="K3815" s="100"/>
      <c r="M3815" s="100"/>
      <c r="N3815" s="100"/>
      <c r="O3815" s="100"/>
      <c r="P3815" s="100"/>
    </row>
    <row r="3816">
      <c r="A3816" s="107">
        <v>1627761.0</v>
      </c>
      <c r="B3816" s="108" t="s">
        <v>191</v>
      </c>
      <c r="C3816" s="108" t="s">
        <v>923</v>
      </c>
      <c r="D3816" s="112" t="s">
        <v>177</v>
      </c>
      <c r="E3816" s="112">
        <v>455.0</v>
      </c>
      <c r="F3816" s="111" t="str">
        <f>DataPull!D3816</f>
        <v/>
      </c>
      <c r="G3816" s="94" t="str">
        <f t="shared" si="2"/>
        <v/>
      </c>
      <c r="H3816" s="94" t="str">
        <f t="shared" si="3"/>
        <v/>
      </c>
      <c r="I3816" s="94" t="str">
        <f t="shared" ref="I3816:J3816" si="3817">if(G3816 = "", , -G3816)</f>
        <v/>
      </c>
      <c r="J3816" s="94" t="str">
        <f t="shared" si="3817"/>
        <v/>
      </c>
      <c r="K3816" s="100"/>
      <c r="M3816" s="100"/>
      <c r="N3816" s="100"/>
      <c r="O3816" s="100"/>
      <c r="P3816" s="100"/>
    </row>
    <row r="3817">
      <c r="A3817" s="107">
        <v>1627761.0</v>
      </c>
      <c r="B3817" s="108" t="s">
        <v>192</v>
      </c>
      <c r="C3817" s="108" t="s">
        <v>923</v>
      </c>
      <c r="D3817" s="112" t="s">
        <v>176</v>
      </c>
      <c r="E3817" s="112">
        <v>1935.2</v>
      </c>
      <c r="F3817" s="111" t="str">
        <f>DataPull!D3817</f>
        <v/>
      </c>
      <c r="G3817" s="94" t="str">
        <f t="shared" si="2"/>
        <v/>
      </c>
      <c r="H3817" s="94" t="str">
        <f t="shared" si="3"/>
        <v/>
      </c>
      <c r="I3817" s="94" t="str">
        <f t="shared" ref="I3817:J3817" si="3818">if(G3817 = "", , -G3817)</f>
        <v/>
      </c>
      <c r="J3817" s="94" t="str">
        <f t="shared" si="3818"/>
        <v/>
      </c>
      <c r="K3817" s="100"/>
      <c r="M3817" s="100"/>
      <c r="N3817" s="100"/>
      <c r="O3817" s="100"/>
      <c r="P3817" s="100"/>
    </row>
    <row r="3818">
      <c r="A3818" s="107">
        <v>1627761.0</v>
      </c>
      <c r="B3818" s="108" t="s">
        <v>193</v>
      </c>
      <c r="C3818" s="108" t="s">
        <v>923</v>
      </c>
      <c r="D3818" s="112" t="s">
        <v>176</v>
      </c>
      <c r="E3818" s="112">
        <v>915.9</v>
      </c>
      <c r="F3818" s="111" t="str">
        <f>DataPull!D3818</f>
        <v/>
      </c>
      <c r="G3818" s="94" t="str">
        <f t="shared" si="2"/>
        <v/>
      </c>
      <c r="H3818" s="94" t="str">
        <f t="shared" si="3"/>
        <v/>
      </c>
      <c r="I3818" s="94" t="str">
        <f t="shared" ref="I3818:J3818" si="3819">if(G3818 = "", , -G3818)</f>
        <v/>
      </c>
      <c r="J3818" s="94" t="str">
        <f t="shared" si="3819"/>
        <v/>
      </c>
      <c r="K3818" s="100"/>
      <c r="M3818" s="100"/>
      <c r="N3818" s="100"/>
      <c r="O3818" s="100"/>
      <c r="P3818" s="100"/>
    </row>
    <row r="3819">
      <c r="A3819" s="107">
        <v>1627761.0</v>
      </c>
      <c r="B3819" s="108" t="s">
        <v>243</v>
      </c>
      <c r="C3819" s="108" t="s">
        <v>923</v>
      </c>
      <c r="D3819" s="112" t="s">
        <v>177</v>
      </c>
      <c r="E3819" s="112">
        <v>974.1</v>
      </c>
      <c r="F3819" s="111" t="str">
        <f>DataPull!D3819</f>
        <v/>
      </c>
      <c r="G3819" s="94" t="str">
        <f t="shared" si="2"/>
        <v/>
      </c>
      <c r="H3819" s="94" t="str">
        <f t="shared" si="3"/>
        <v/>
      </c>
      <c r="I3819" s="94" t="str">
        <f t="shared" ref="I3819:J3819" si="3820">if(G3819 = "", , -G3819)</f>
        <v/>
      </c>
      <c r="J3819" s="94" t="str">
        <f t="shared" si="3820"/>
        <v/>
      </c>
      <c r="K3819" s="100"/>
      <c r="M3819" s="100"/>
      <c r="N3819" s="100"/>
      <c r="O3819" s="100"/>
      <c r="P3819" s="100"/>
    </row>
    <row r="3820">
      <c r="A3820" s="107">
        <v>1627761.0</v>
      </c>
      <c r="B3820" s="108" t="s">
        <v>215</v>
      </c>
      <c r="C3820" s="108" t="s">
        <v>923</v>
      </c>
      <c r="D3820" s="112" t="s">
        <v>177</v>
      </c>
      <c r="E3820" s="112">
        <v>1024.8</v>
      </c>
      <c r="F3820" s="111" t="str">
        <f>DataPull!D3820</f>
        <v/>
      </c>
      <c r="G3820" s="94" t="str">
        <f t="shared" si="2"/>
        <v/>
      </c>
      <c r="H3820" s="94" t="str">
        <f t="shared" si="3"/>
        <v/>
      </c>
      <c r="I3820" s="94" t="str">
        <f t="shared" ref="I3820:J3820" si="3821">if(G3820 = "", , -G3820)</f>
        <v/>
      </c>
      <c r="J3820" s="94" t="str">
        <f t="shared" si="3821"/>
        <v/>
      </c>
      <c r="K3820" s="100"/>
      <c r="M3820" s="100"/>
      <c r="N3820" s="100"/>
      <c r="O3820" s="100"/>
      <c r="P3820" s="100"/>
    </row>
    <row r="3821">
      <c r="A3821" s="107">
        <v>1627762.0</v>
      </c>
      <c r="B3821" s="108" t="s">
        <v>190</v>
      </c>
      <c r="C3821" s="108" t="s">
        <v>924</v>
      </c>
      <c r="D3821" s="112" t="s">
        <v>187</v>
      </c>
      <c r="E3821" s="112">
        <v>52.8</v>
      </c>
      <c r="F3821" s="111" t="str">
        <f>DataPull!D3821</f>
        <v/>
      </c>
      <c r="G3821" s="94" t="str">
        <f t="shared" si="2"/>
        <v/>
      </c>
      <c r="H3821" s="94" t="str">
        <f t="shared" si="3"/>
        <v/>
      </c>
      <c r="I3821" s="94" t="str">
        <f t="shared" ref="I3821:J3821" si="3822">if(G3821 = "", , -G3821)</f>
        <v/>
      </c>
      <c r="J3821" s="94" t="str">
        <f t="shared" si="3822"/>
        <v/>
      </c>
      <c r="K3821" s="100"/>
      <c r="L3821" s="100"/>
      <c r="N3821" s="100"/>
      <c r="O3821" s="100"/>
      <c r="P3821" s="100"/>
    </row>
    <row r="3822">
      <c r="A3822" s="107">
        <v>1627762.0</v>
      </c>
      <c r="B3822" s="108" t="s">
        <v>191</v>
      </c>
      <c r="C3822" s="108" t="s">
        <v>924</v>
      </c>
      <c r="D3822" s="112" t="s">
        <v>181</v>
      </c>
      <c r="E3822" s="112">
        <v>37.8</v>
      </c>
      <c r="F3822" s="111" t="str">
        <f>DataPull!D3822</f>
        <v/>
      </c>
      <c r="G3822" s="94" t="str">
        <f t="shared" si="2"/>
        <v/>
      </c>
      <c r="H3822" s="94" t="str">
        <f t="shared" si="3"/>
        <v/>
      </c>
      <c r="I3822" s="94" t="str">
        <f t="shared" ref="I3822:J3822" si="3823">if(G3822 = "", , -G3822)</f>
        <v/>
      </c>
      <c r="J3822" s="94" t="str">
        <f t="shared" si="3823"/>
        <v/>
      </c>
      <c r="K3822" s="100"/>
      <c r="M3822" s="100"/>
      <c r="N3822" s="100"/>
      <c r="O3822" s="100"/>
      <c r="P3822" s="100"/>
    </row>
    <row r="3823">
      <c r="A3823" s="107">
        <v>1627763.0</v>
      </c>
      <c r="B3823" s="108" t="s">
        <v>190</v>
      </c>
      <c r="C3823" s="108" t="s">
        <v>925</v>
      </c>
      <c r="D3823" s="112" t="s">
        <v>178</v>
      </c>
      <c r="E3823" s="112">
        <v>1980.0</v>
      </c>
      <c r="F3823" s="111" t="str">
        <f>DataPull!D3823</f>
        <v/>
      </c>
      <c r="G3823" s="94" t="str">
        <f t="shared" si="2"/>
        <v/>
      </c>
      <c r="H3823" s="94" t="str">
        <f t="shared" si="3"/>
        <v/>
      </c>
      <c r="I3823" s="94" t="str">
        <f t="shared" ref="I3823:J3823" si="3824">if(G3823 = "", , -G3823)</f>
        <v/>
      </c>
      <c r="J3823" s="94" t="str">
        <f t="shared" si="3824"/>
        <v/>
      </c>
      <c r="K3823" s="100"/>
      <c r="M3823" s="100"/>
      <c r="N3823" s="100"/>
      <c r="O3823" s="100"/>
      <c r="P3823" s="100"/>
    </row>
    <row r="3824">
      <c r="A3824" s="107">
        <v>1627763.0</v>
      </c>
      <c r="B3824" s="108" t="s">
        <v>191</v>
      </c>
      <c r="C3824" s="108" t="s">
        <v>925</v>
      </c>
      <c r="D3824" s="112" t="s">
        <v>178</v>
      </c>
      <c r="E3824" s="112">
        <v>1435.2</v>
      </c>
      <c r="F3824" s="111" t="str">
        <f>DataPull!D3824</f>
        <v/>
      </c>
      <c r="G3824" s="94" t="str">
        <f t="shared" si="2"/>
        <v/>
      </c>
      <c r="H3824" s="94" t="str">
        <f t="shared" si="3"/>
        <v/>
      </c>
      <c r="I3824" s="94" t="str">
        <f t="shared" ref="I3824:J3824" si="3825">if(G3824 = "", , -G3824)</f>
        <v/>
      </c>
      <c r="J3824" s="94" t="str">
        <f t="shared" si="3825"/>
        <v/>
      </c>
      <c r="K3824" s="100"/>
      <c r="M3824" s="100"/>
      <c r="N3824" s="100"/>
      <c r="O3824" s="100"/>
      <c r="P3824" s="100"/>
    </row>
    <row r="3825">
      <c r="A3825" s="107">
        <v>1627763.0</v>
      </c>
      <c r="B3825" s="108" t="s">
        <v>192</v>
      </c>
      <c r="C3825" s="108" t="s">
        <v>925</v>
      </c>
      <c r="D3825" s="112" t="s">
        <v>184</v>
      </c>
      <c r="E3825" s="112">
        <v>1830.4</v>
      </c>
      <c r="F3825" s="111" t="str">
        <f>DataPull!D3825</f>
        <v/>
      </c>
      <c r="G3825" s="94" t="str">
        <f t="shared" si="2"/>
        <v/>
      </c>
      <c r="H3825" s="94" t="str">
        <f t="shared" si="3"/>
        <v/>
      </c>
      <c r="I3825" s="94" t="str">
        <f t="shared" ref="I3825:J3825" si="3826">if(G3825 = "", , -G3825)</f>
        <v/>
      </c>
      <c r="J3825" s="94" t="str">
        <f t="shared" si="3826"/>
        <v/>
      </c>
      <c r="K3825" s="100"/>
      <c r="M3825" s="100"/>
      <c r="N3825" s="100"/>
      <c r="O3825" s="100"/>
      <c r="P3825" s="100"/>
    </row>
    <row r="3826">
      <c r="A3826" s="107">
        <v>1627763.0</v>
      </c>
      <c r="B3826" s="108" t="s">
        <v>193</v>
      </c>
      <c r="C3826" s="108" t="s">
        <v>925</v>
      </c>
      <c r="D3826" s="112" t="s">
        <v>178</v>
      </c>
      <c r="E3826" s="112">
        <v>1668.6</v>
      </c>
      <c r="F3826" s="111" t="str">
        <f>DataPull!D3826</f>
        <v/>
      </c>
      <c r="G3826" s="94" t="str">
        <f t="shared" si="2"/>
        <v/>
      </c>
      <c r="H3826" s="94" t="str">
        <f t="shared" si="3"/>
        <v/>
      </c>
      <c r="I3826" s="94" t="str">
        <f t="shared" ref="I3826:J3826" si="3827">if(G3826 = "", , -G3826)</f>
        <v/>
      </c>
      <c r="J3826" s="94" t="str">
        <f t="shared" si="3827"/>
        <v/>
      </c>
      <c r="K3826" s="100"/>
      <c r="M3826" s="100"/>
      <c r="N3826" s="100"/>
      <c r="O3826" s="100"/>
      <c r="P3826" s="100"/>
    </row>
    <row r="3827">
      <c r="A3827" s="107">
        <v>1627763.0</v>
      </c>
      <c r="B3827" s="108" t="s">
        <v>243</v>
      </c>
      <c r="C3827" s="108" t="s">
        <v>925</v>
      </c>
      <c r="D3827" s="112" t="s">
        <v>184</v>
      </c>
      <c r="E3827" s="112">
        <v>1932.0</v>
      </c>
      <c r="F3827" s="111" t="str">
        <f>DataPull!D3827</f>
        <v/>
      </c>
      <c r="G3827" s="94" t="str">
        <f t="shared" si="2"/>
        <v/>
      </c>
      <c r="H3827" s="94" t="str">
        <f t="shared" si="3"/>
        <v/>
      </c>
      <c r="I3827" s="94" t="str">
        <f t="shared" ref="I3827:J3827" si="3828">if(G3827 = "", , -G3827)</f>
        <v/>
      </c>
      <c r="J3827" s="94" t="str">
        <f t="shared" si="3828"/>
        <v/>
      </c>
      <c r="K3827" s="100"/>
      <c r="M3827" s="100"/>
      <c r="N3827" s="100"/>
      <c r="O3827" s="100"/>
      <c r="P3827" s="100"/>
    </row>
    <row r="3828">
      <c r="A3828" s="107">
        <v>1627763.0</v>
      </c>
      <c r="B3828" s="108" t="s">
        <v>215</v>
      </c>
      <c r="C3828" s="108" t="s">
        <v>925</v>
      </c>
      <c r="D3828" s="112" t="s">
        <v>184</v>
      </c>
      <c r="E3828" s="112">
        <v>1206.0</v>
      </c>
      <c r="F3828" s="111" t="str">
        <f>DataPull!D3828</f>
        <v/>
      </c>
      <c r="G3828" s="94" t="str">
        <f t="shared" si="2"/>
        <v/>
      </c>
      <c r="H3828" s="94" t="str">
        <f t="shared" si="3"/>
        <v/>
      </c>
      <c r="I3828" s="94" t="str">
        <f t="shared" ref="I3828:J3828" si="3829">if(G3828 = "", , -G3828)</f>
        <v/>
      </c>
      <c r="J3828" s="94" t="str">
        <f t="shared" si="3829"/>
        <v/>
      </c>
      <c r="K3828" s="100"/>
      <c r="M3828" s="100"/>
      <c r="N3828" s="100"/>
      <c r="O3828" s="100"/>
      <c r="P3828" s="100"/>
    </row>
    <row r="3829">
      <c r="A3829" s="107">
        <v>1627763.0</v>
      </c>
      <c r="B3829" s="108" t="s">
        <v>244</v>
      </c>
      <c r="C3829" s="108" t="s">
        <v>925</v>
      </c>
      <c r="D3829" s="112" t="s">
        <v>176</v>
      </c>
      <c r="E3829" s="112">
        <v>1742.0</v>
      </c>
      <c r="F3829" s="111" t="str">
        <f>DataPull!D3829</f>
        <v/>
      </c>
      <c r="G3829" s="94" t="str">
        <f t="shared" si="2"/>
        <v/>
      </c>
      <c r="H3829" s="94" t="str">
        <f t="shared" si="3"/>
        <v/>
      </c>
      <c r="I3829" s="94" t="str">
        <f t="shared" ref="I3829:J3829" si="3830">if(G3829 = "", , -G3829)</f>
        <v/>
      </c>
      <c r="J3829" s="94" t="str">
        <f t="shared" si="3830"/>
        <v/>
      </c>
      <c r="K3829" s="100"/>
      <c r="M3829" s="100"/>
      <c r="N3829" s="100"/>
      <c r="O3829" s="100"/>
      <c r="P3829" s="100"/>
    </row>
    <row r="3830">
      <c r="A3830" s="107">
        <v>1627763.0</v>
      </c>
      <c r="B3830" s="108" t="s">
        <v>245</v>
      </c>
      <c r="C3830" s="108" t="s">
        <v>925</v>
      </c>
      <c r="D3830" s="112" t="s">
        <v>176</v>
      </c>
      <c r="E3830" s="112">
        <v>1119.3</v>
      </c>
      <c r="F3830" s="111" t="str">
        <f>DataPull!D3830</f>
        <v/>
      </c>
      <c r="G3830" s="94" t="str">
        <f t="shared" si="2"/>
        <v/>
      </c>
      <c r="H3830" s="94" t="str">
        <f t="shared" si="3"/>
        <v/>
      </c>
      <c r="I3830" s="94" t="str">
        <f t="shared" ref="I3830:J3830" si="3831">if(G3830 = "", , -G3830)</f>
        <v/>
      </c>
      <c r="J3830" s="94" t="str">
        <f t="shared" si="3831"/>
        <v/>
      </c>
      <c r="K3830" s="100"/>
      <c r="L3830" s="100"/>
      <c r="M3830" s="100"/>
      <c r="N3830" s="100"/>
      <c r="O3830" s="100"/>
      <c r="P3830" s="100"/>
    </row>
    <row r="3831">
      <c r="A3831" s="107">
        <v>1627763.0</v>
      </c>
      <c r="B3831" s="108" t="s">
        <v>246</v>
      </c>
      <c r="C3831" s="108" t="s">
        <v>925</v>
      </c>
      <c r="D3831" s="112" t="s">
        <v>176</v>
      </c>
      <c r="E3831" s="112">
        <v>564.0</v>
      </c>
      <c r="F3831" s="111" t="str">
        <f>DataPull!D3831</f>
        <v/>
      </c>
      <c r="G3831" s="94" t="str">
        <f t="shared" si="2"/>
        <v/>
      </c>
      <c r="H3831" s="94" t="str">
        <f t="shared" si="3"/>
        <v/>
      </c>
      <c r="I3831" s="94" t="str">
        <f t="shared" ref="I3831:J3831" si="3832">if(G3831 = "", , -G3831)</f>
        <v/>
      </c>
      <c r="J3831" s="94" t="str">
        <f t="shared" si="3832"/>
        <v/>
      </c>
      <c r="K3831" s="100"/>
      <c r="M3831" s="100"/>
      <c r="N3831" s="100"/>
      <c r="O3831" s="100"/>
      <c r="P3831" s="100"/>
    </row>
    <row r="3832">
      <c r="A3832" s="107">
        <v>1627767.0</v>
      </c>
      <c r="B3832" s="108" t="s">
        <v>190</v>
      </c>
      <c r="C3832" s="108" t="s">
        <v>926</v>
      </c>
      <c r="D3832" s="112" t="s">
        <v>187</v>
      </c>
      <c r="E3832" s="112">
        <v>198.9</v>
      </c>
      <c r="F3832" s="111" t="str">
        <f>DataPull!D3832</f>
        <v/>
      </c>
      <c r="G3832" s="94" t="str">
        <f t="shared" si="2"/>
        <v/>
      </c>
      <c r="H3832" s="94" t="str">
        <f t="shared" si="3"/>
        <v/>
      </c>
      <c r="I3832" s="94" t="str">
        <f t="shared" ref="I3832:J3832" si="3833">if(G3832 = "", , -G3832)</f>
        <v/>
      </c>
      <c r="J3832" s="94" t="str">
        <f t="shared" si="3833"/>
        <v/>
      </c>
      <c r="K3832" s="100"/>
      <c r="M3832" s="100"/>
      <c r="N3832" s="100"/>
      <c r="O3832" s="100"/>
      <c r="P3832" s="100"/>
    </row>
    <row r="3833">
      <c r="A3833" s="107">
        <v>1627767.0</v>
      </c>
      <c r="B3833" s="108" t="s">
        <v>191</v>
      </c>
      <c r="C3833" s="108" t="s">
        <v>926</v>
      </c>
      <c r="D3833" s="112" t="s">
        <v>177</v>
      </c>
      <c r="E3833" s="112">
        <v>582.4</v>
      </c>
      <c r="F3833" s="111" t="str">
        <f>DataPull!D3833</f>
        <v/>
      </c>
      <c r="G3833" s="94" t="str">
        <f t="shared" si="2"/>
        <v/>
      </c>
      <c r="H3833" s="94" t="str">
        <f t="shared" si="3"/>
        <v/>
      </c>
      <c r="I3833" s="94" t="str">
        <f t="shared" ref="I3833:J3833" si="3834">if(G3833 = "", , -G3833)</f>
        <v/>
      </c>
      <c r="J3833" s="94" t="str">
        <f t="shared" si="3834"/>
        <v/>
      </c>
      <c r="K3833" s="100"/>
      <c r="M3833" s="100"/>
      <c r="N3833" s="100"/>
      <c r="O3833" s="100"/>
      <c r="P3833" s="100"/>
    </row>
    <row r="3834">
      <c r="A3834" s="107">
        <v>1627767.0</v>
      </c>
      <c r="B3834" s="108" t="s">
        <v>192</v>
      </c>
      <c r="C3834" s="108" t="s">
        <v>926</v>
      </c>
      <c r="D3834" s="112" t="s">
        <v>177</v>
      </c>
      <c r="E3834" s="112">
        <v>896.0</v>
      </c>
      <c r="F3834" s="111" t="str">
        <f>DataPull!D3834</f>
        <v/>
      </c>
      <c r="G3834" s="94" t="str">
        <f t="shared" si="2"/>
        <v/>
      </c>
      <c r="H3834" s="94" t="str">
        <f t="shared" si="3"/>
        <v/>
      </c>
      <c r="I3834" s="94" t="str">
        <f t="shared" ref="I3834:J3834" si="3835">if(G3834 = "", , -G3834)</f>
        <v/>
      </c>
      <c r="J3834" s="94" t="str">
        <f t="shared" si="3835"/>
        <v/>
      </c>
      <c r="K3834" s="100"/>
      <c r="M3834" s="100"/>
      <c r="N3834" s="100"/>
      <c r="O3834" s="100"/>
      <c r="P3834" s="100"/>
    </row>
    <row r="3835">
      <c r="A3835" s="107">
        <v>1627767.0</v>
      </c>
      <c r="B3835" s="108" t="s">
        <v>193</v>
      </c>
      <c r="C3835" s="108" t="s">
        <v>926</v>
      </c>
      <c r="D3835" s="112" t="s">
        <v>177</v>
      </c>
      <c r="E3835" s="112">
        <v>479.4</v>
      </c>
      <c r="F3835" s="111" t="str">
        <f>DataPull!D3835</f>
        <v/>
      </c>
      <c r="G3835" s="94" t="str">
        <f t="shared" si="2"/>
        <v/>
      </c>
      <c r="H3835" s="94" t="str">
        <f t="shared" si="3"/>
        <v/>
      </c>
      <c r="I3835" s="94" t="str">
        <f t="shared" ref="I3835:J3835" si="3836">if(G3835 = "", , -G3835)</f>
        <v/>
      </c>
      <c r="J3835" s="94" t="str">
        <f t="shared" si="3836"/>
        <v/>
      </c>
      <c r="K3835" s="100"/>
      <c r="M3835" s="100"/>
      <c r="N3835" s="100"/>
      <c r="O3835" s="100"/>
      <c r="P3835" s="100"/>
    </row>
    <row r="3836">
      <c r="A3836" s="107">
        <v>1627767.0</v>
      </c>
      <c r="B3836" s="108" t="s">
        <v>215</v>
      </c>
      <c r="C3836" s="108" t="s">
        <v>926</v>
      </c>
      <c r="D3836" s="112" t="s">
        <v>181</v>
      </c>
      <c r="E3836" s="112">
        <v>30.6</v>
      </c>
      <c r="F3836" s="111" t="str">
        <f>DataPull!D3836</f>
        <v/>
      </c>
      <c r="G3836" s="94" t="str">
        <f t="shared" si="2"/>
        <v/>
      </c>
      <c r="H3836" s="94" t="str">
        <f t="shared" si="3"/>
        <v/>
      </c>
      <c r="I3836" s="94" t="str">
        <f t="shared" ref="I3836:J3836" si="3837">if(G3836 = "", , -G3836)</f>
        <v/>
      </c>
      <c r="J3836" s="94" t="str">
        <f t="shared" si="3837"/>
        <v/>
      </c>
      <c r="K3836" s="100"/>
      <c r="M3836" s="100"/>
      <c r="N3836" s="100"/>
      <c r="O3836" s="100"/>
      <c r="P3836" s="100"/>
    </row>
    <row r="3837">
      <c r="A3837" s="107">
        <v>1627770.0</v>
      </c>
      <c r="B3837" s="108" t="s">
        <v>190</v>
      </c>
      <c r="C3837" s="108" t="s">
        <v>927</v>
      </c>
      <c r="D3837" s="112" t="s">
        <v>187</v>
      </c>
      <c r="E3837" s="112">
        <v>386.4</v>
      </c>
      <c r="F3837" s="111" t="str">
        <f>DataPull!D3837</f>
        <v/>
      </c>
      <c r="G3837" s="94" t="str">
        <f t="shared" si="2"/>
        <v/>
      </c>
      <c r="H3837" s="94" t="str">
        <f t="shared" si="3"/>
        <v/>
      </c>
      <c r="I3837" s="94" t="str">
        <f t="shared" ref="I3837:J3837" si="3838">if(G3837 = "", , -G3837)</f>
        <v/>
      </c>
      <c r="J3837" s="94" t="str">
        <f t="shared" si="3838"/>
        <v/>
      </c>
      <c r="K3837" s="100"/>
      <c r="M3837" s="100"/>
      <c r="N3837" s="100"/>
      <c r="O3837" s="100"/>
      <c r="P3837" s="100"/>
    </row>
    <row r="3838">
      <c r="A3838" s="107">
        <v>1627770.0</v>
      </c>
      <c r="B3838" s="108" t="s">
        <v>191</v>
      </c>
      <c r="C3838" s="108" t="s">
        <v>927</v>
      </c>
      <c r="D3838" s="112" t="s">
        <v>187</v>
      </c>
      <c r="E3838" s="112">
        <v>139.2</v>
      </c>
      <c r="F3838" s="111" t="str">
        <f>DataPull!D3838</f>
        <v/>
      </c>
      <c r="G3838" s="94" t="str">
        <f t="shared" si="2"/>
        <v/>
      </c>
      <c r="H3838" s="94" t="str">
        <f t="shared" si="3"/>
        <v/>
      </c>
      <c r="I3838" s="94" t="str">
        <f t="shared" ref="I3838:J3838" si="3839">if(G3838 = "", , -G3838)</f>
        <v/>
      </c>
      <c r="J3838" s="94" t="str">
        <f t="shared" si="3839"/>
        <v/>
      </c>
      <c r="K3838" s="100"/>
      <c r="M3838" s="100"/>
      <c r="N3838" s="100"/>
      <c r="O3838" s="100"/>
      <c r="P3838" s="100"/>
    </row>
    <row r="3839">
      <c r="A3839" s="107">
        <v>1627771.0</v>
      </c>
      <c r="B3839" s="108" t="s">
        <v>190</v>
      </c>
      <c r="C3839" s="108" t="s">
        <v>928</v>
      </c>
      <c r="D3839" s="112" t="s">
        <v>187</v>
      </c>
      <c r="E3839" s="112">
        <v>31.5</v>
      </c>
      <c r="F3839" s="111" t="str">
        <f>DataPull!D3839</f>
        <v/>
      </c>
      <c r="G3839" s="94" t="str">
        <f t="shared" si="2"/>
        <v/>
      </c>
      <c r="H3839" s="94" t="str">
        <f t="shared" si="3"/>
        <v/>
      </c>
      <c r="I3839" s="94" t="str">
        <f t="shared" ref="I3839:J3839" si="3840">if(G3839 = "", , -G3839)</f>
        <v/>
      </c>
      <c r="J3839" s="94" t="str">
        <f t="shared" si="3840"/>
        <v/>
      </c>
      <c r="K3839" s="100"/>
      <c r="M3839" s="100"/>
      <c r="N3839" s="100"/>
      <c r="O3839" s="100"/>
      <c r="P3839" s="100"/>
    </row>
    <row r="3840">
      <c r="A3840" s="107">
        <v>1627772.0</v>
      </c>
      <c r="B3840" s="108" t="s">
        <v>191</v>
      </c>
      <c r="C3840" s="108" t="s">
        <v>929</v>
      </c>
      <c r="D3840" s="112" t="s">
        <v>181</v>
      </c>
      <c r="E3840" s="112">
        <v>27.6</v>
      </c>
      <c r="F3840" s="111" t="str">
        <f>DataPull!D3840</f>
        <v/>
      </c>
      <c r="G3840" s="94" t="str">
        <f t="shared" si="2"/>
        <v/>
      </c>
      <c r="H3840" s="94" t="str">
        <f t="shared" si="3"/>
        <v/>
      </c>
      <c r="I3840" s="94" t="str">
        <f t="shared" ref="I3840:J3840" si="3841">if(G3840 = "", , -G3840)</f>
        <v/>
      </c>
      <c r="J3840" s="94" t="str">
        <f t="shared" si="3841"/>
        <v/>
      </c>
      <c r="K3840" s="100"/>
      <c r="M3840" s="100"/>
      <c r="N3840" s="100"/>
      <c r="O3840" s="100"/>
      <c r="P3840" s="100"/>
    </row>
    <row r="3841">
      <c r="A3841" s="107">
        <v>1627772.0</v>
      </c>
      <c r="B3841" s="108" t="s">
        <v>192</v>
      </c>
      <c r="C3841" s="108" t="s">
        <v>929</v>
      </c>
      <c r="D3841" s="112" t="s">
        <v>187</v>
      </c>
      <c r="E3841" s="112">
        <v>203.3</v>
      </c>
      <c r="F3841" s="111" t="str">
        <f>DataPull!D3841</f>
        <v/>
      </c>
      <c r="G3841" s="94" t="str">
        <f t="shared" si="2"/>
        <v/>
      </c>
      <c r="H3841" s="94" t="str">
        <f t="shared" si="3"/>
        <v/>
      </c>
      <c r="I3841" s="94" t="str">
        <f t="shared" ref="I3841:J3841" si="3842">if(G3841 = "", , -G3841)</f>
        <v/>
      </c>
      <c r="J3841" s="94" t="str">
        <f t="shared" si="3842"/>
        <v/>
      </c>
      <c r="K3841" s="100"/>
      <c r="L3841" s="100"/>
      <c r="M3841" s="100"/>
      <c r="N3841" s="100"/>
      <c r="O3841" s="100"/>
      <c r="P3841" s="100"/>
    </row>
    <row r="3842">
      <c r="A3842" s="107">
        <v>1627773.0</v>
      </c>
      <c r="B3842" s="108" t="s">
        <v>190</v>
      </c>
      <c r="C3842" s="108" t="s">
        <v>930</v>
      </c>
      <c r="D3842" s="112" t="s">
        <v>187</v>
      </c>
      <c r="E3842" s="112">
        <v>162.8</v>
      </c>
      <c r="F3842" s="111" t="str">
        <f>DataPull!D3842</f>
        <v/>
      </c>
      <c r="G3842" s="94" t="str">
        <f t="shared" si="2"/>
        <v/>
      </c>
      <c r="H3842" s="94" t="str">
        <f t="shared" si="3"/>
        <v/>
      </c>
      <c r="I3842" s="94" t="str">
        <f t="shared" ref="I3842:J3842" si="3843">if(G3842 = "", , -G3842)</f>
        <v/>
      </c>
      <c r="J3842" s="94" t="str">
        <f t="shared" si="3843"/>
        <v/>
      </c>
      <c r="K3842" s="100"/>
      <c r="M3842" s="100"/>
      <c r="N3842" s="100"/>
      <c r="O3842" s="100"/>
      <c r="P3842" s="100"/>
    </row>
    <row r="3843">
      <c r="A3843" s="107">
        <v>1627774.0</v>
      </c>
      <c r="B3843" s="108" t="s">
        <v>190</v>
      </c>
      <c r="C3843" s="108" t="s">
        <v>931</v>
      </c>
      <c r="D3843" s="112" t="s">
        <v>187</v>
      </c>
      <c r="E3843" s="112">
        <v>248.5</v>
      </c>
      <c r="F3843" s="111" t="str">
        <f>DataPull!D3843</f>
        <v/>
      </c>
      <c r="G3843" s="94" t="str">
        <f t="shared" si="2"/>
        <v/>
      </c>
      <c r="H3843" s="94" t="str">
        <f t="shared" si="3"/>
        <v/>
      </c>
      <c r="I3843" s="94" t="str">
        <f t="shared" ref="I3843:J3843" si="3844">if(G3843 = "", , -G3843)</f>
        <v/>
      </c>
      <c r="J3843" s="94" t="str">
        <f t="shared" si="3844"/>
        <v/>
      </c>
      <c r="K3843" s="100"/>
      <c r="L3843" s="100"/>
      <c r="M3843" s="100"/>
      <c r="N3843" s="100"/>
      <c r="O3843" s="100"/>
      <c r="P3843" s="100"/>
    </row>
    <row r="3844">
      <c r="A3844" s="107">
        <v>1627774.0</v>
      </c>
      <c r="B3844" s="108" t="s">
        <v>191</v>
      </c>
      <c r="C3844" s="108" t="s">
        <v>931</v>
      </c>
      <c r="D3844" s="112" t="s">
        <v>187</v>
      </c>
      <c r="E3844" s="112">
        <v>161.0</v>
      </c>
      <c r="F3844" s="111" t="str">
        <f>DataPull!D3844</f>
        <v/>
      </c>
      <c r="G3844" s="94" t="str">
        <f t="shared" si="2"/>
        <v/>
      </c>
      <c r="H3844" s="94" t="str">
        <f t="shared" si="3"/>
        <v/>
      </c>
      <c r="I3844" s="94" t="str">
        <f t="shared" ref="I3844:J3844" si="3845">if(G3844 = "", , -G3844)</f>
        <v/>
      </c>
      <c r="J3844" s="94" t="str">
        <f t="shared" si="3845"/>
        <v/>
      </c>
      <c r="K3844" s="100"/>
      <c r="L3844" s="100"/>
      <c r="M3844" s="100"/>
      <c r="N3844" s="100"/>
      <c r="O3844" s="100"/>
      <c r="P3844" s="100"/>
    </row>
    <row r="3845">
      <c r="A3845" s="107">
        <v>1627774.0</v>
      </c>
      <c r="B3845" s="108" t="s">
        <v>192</v>
      </c>
      <c r="C3845" s="108" t="s">
        <v>931</v>
      </c>
      <c r="D3845" s="112" t="s">
        <v>177</v>
      </c>
      <c r="E3845" s="112">
        <v>1327.7</v>
      </c>
      <c r="F3845" s="111" t="str">
        <f>DataPull!D3845</f>
        <v/>
      </c>
      <c r="G3845" s="94" t="str">
        <f t="shared" si="2"/>
        <v/>
      </c>
      <c r="H3845" s="94" t="str">
        <f t="shared" si="3"/>
        <v/>
      </c>
      <c r="I3845" s="94" t="str">
        <f t="shared" ref="I3845:J3845" si="3846">if(G3845 = "", , -G3845)</f>
        <v/>
      </c>
      <c r="J3845" s="94" t="str">
        <f t="shared" si="3846"/>
        <v/>
      </c>
      <c r="K3845" s="100"/>
      <c r="L3845" s="100"/>
      <c r="M3845" s="100"/>
      <c r="N3845" s="100"/>
      <c r="O3845" s="100"/>
      <c r="P3845" s="100"/>
    </row>
    <row r="3846">
      <c r="A3846" s="107">
        <v>1627774.0</v>
      </c>
      <c r="B3846" s="108" t="s">
        <v>193</v>
      </c>
      <c r="C3846" s="108" t="s">
        <v>931</v>
      </c>
      <c r="D3846" s="112" t="s">
        <v>176</v>
      </c>
      <c r="E3846" s="112">
        <v>506.0</v>
      </c>
      <c r="F3846" s="111" t="str">
        <f>DataPull!D3846</f>
        <v/>
      </c>
      <c r="G3846" s="94" t="str">
        <f t="shared" si="2"/>
        <v/>
      </c>
      <c r="H3846" s="94" t="str">
        <f t="shared" si="3"/>
        <v/>
      </c>
      <c r="I3846" s="94" t="str">
        <f t="shared" ref="I3846:J3846" si="3847">if(G3846 = "", , -G3846)</f>
        <v/>
      </c>
      <c r="J3846" s="94" t="str">
        <f t="shared" si="3847"/>
        <v/>
      </c>
      <c r="K3846" s="100"/>
      <c r="L3846" s="100"/>
      <c r="M3846" s="100"/>
      <c r="N3846" s="100"/>
      <c r="O3846" s="100"/>
      <c r="P3846" s="100"/>
    </row>
    <row r="3847">
      <c r="A3847" s="107">
        <v>1627774.0</v>
      </c>
      <c r="B3847" s="108" t="s">
        <v>243</v>
      </c>
      <c r="C3847" s="108" t="s">
        <v>931</v>
      </c>
      <c r="D3847" s="112" t="s">
        <v>177</v>
      </c>
      <c r="E3847" s="112">
        <v>625.5</v>
      </c>
      <c r="F3847" s="111" t="str">
        <f>DataPull!D3847</f>
        <v/>
      </c>
      <c r="G3847" s="94" t="str">
        <f t="shared" si="2"/>
        <v/>
      </c>
      <c r="H3847" s="94" t="str">
        <f t="shared" si="3"/>
        <v/>
      </c>
      <c r="I3847" s="94" t="str">
        <f t="shared" ref="I3847:J3847" si="3848">if(G3847 = "", , -G3847)</f>
        <v/>
      </c>
      <c r="J3847" s="94" t="str">
        <f t="shared" si="3848"/>
        <v/>
      </c>
      <c r="K3847" s="100"/>
      <c r="L3847" s="100"/>
      <c r="M3847" s="100"/>
      <c r="N3847" s="100"/>
      <c r="O3847" s="100"/>
      <c r="P3847" s="100"/>
    </row>
    <row r="3848">
      <c r="A3848" s="107">
        <v>1627774.0</v>
      </c>
      <c r="B3848" s="108" t="s">
        <v>215</v>
      </c>
      <c r="C3848" s="108" t="s">
        <v>931</v>
      </c>
      <c r="D3848" s="112" t="s">
        <v>187</v>
      </c>
      <c r="E3848" s="112">
        <v>231.2</v>
      </c>
      <c r="F3848" s="111" t="str">
        <f>DataPull!D3848</f>
        <v/>
      </c>
      <c r="G3848" s="94" t="str">
        <f t="shared" si="2"/>
        <v/>
      </c>
      <c r="H3848" s="94" t="str">
        <f t="shared" si="3"/>
        <v/>
      </c>
      <c r="I3848" s="94" t="str">
        <f t="shared" ref="I3848:J3848" si="3849">if(G3848 = "", , -G3848)</f>
        <v/>
      </c>
      <c r="J3848" s="94" t="str">
        <f t="shared" si="3849"/>
        <v/>
      </c>
      <c r="K3848" s="100"/>
      <c r="M3848" s="100"/>
      <c r="N3848" s="100"/>
      <c r="O3848" s="100"/>
      <c r="P3848" s="100"/>
    </row>
    <row r="3849">
      <c r="A3849" s="107">
        <v>1627775.0</v>
      </c>
      <c r="B3849" s="108" t="s">
        <v>190</v>
      </c>
      <c r="C3849" s="108" t="s">
        <v>932</v>
      </c>
      <c r="D3849" s="112" t="s">
        <v>177</v>
      </c>
      <c r="E3849" s="112">
        <v>1072.1</v>
      </c>
      <c r="F3849" s="111" t="str">
        <f>DataPull!D3849</f>
        <v/>
      </c>
      <c r="G3849" s="94" t="str">
        <f t="shared" si="2"/>
        <v/>
      </c>
      <c r="H3849" s="94" t="str">
        <f t="shared" si="3"/>
        <v/>
      </c>
      <c r="I3849" s="94" t="str">
        <f t="shared" ref="I3849:J3849" si="3850">if(G3849 = "", , -G3849)</f>
        <v/>
      </c>
      <c r="J3849" s="94" t="str">
        <f t="shared" si="3850"/>
        <v/>
      </c>
      <c r="K3849" s="100"/>
      <c r="M3849" s="100"/>
      <c r="N3849" s="100"/>
      <c r="O3849" s="100"/>
      <c r="P3849" s="100"/>
    </row>
    <row r="3850">
      <c r="A3850" s="107">
        <v>1627775.0</v>
      </c>
      <c r="B3850" s="108" t="s">
        <v>191</v>
      </c>
      <c r="C3850" s="108" t="s">
        <v>932</v>
      </c>
      <c r="D3850" s="112" t="s">
        <v>177</v>
      </c>
      <c r="E3850" s="112">
        <v>963.3</v>
      </c>
      <c r="F3850" s="111" t="str">
        <f>DataPull!D3850</f>
        <v/>
      </c>
      <c r="G3850" s="94" t="str">
        <f t="shared" si="2"/>
        <v/>
      </c>
      <c r="H3850" s="94" t="str">
        <f t="shared" si="3"/>
        <v/>
      </c>
      <c r="I3850" s="94" t="str">
        <f t="shared" ref="I3850:J3850" si="3851">if(G3850 = "", , -G3850)</f>
        <v/>
      </c>
      <c r="J3850" s="94" t="str">
        <f t="shared" si="3851"/>
        <v/>
      </c>
      <c r="K3850" s="100"/>
      <c r="M3850" s="100"/>
      <c r="N3850" s="100"/>
      <c r="O3850" s="100"/>
      <c r="P3850" s="100"/>
    </row>
    <row r="3851">
      <c r="A3851" s="107">
        <v>1627775.0</v>
      </c>
      <c r="B3851" s="108" t="s">
        <v>192</v>
      </c>
      <c r="C3851" s="108" t="s">
        <v>932</v>
      </c>
      <c r="D3851" s="112" t="s">
        <v>177</v>
      </c>
      <c r="E3851" s="112">
        <v>397.3</v>
      </c>
      <c r="F3851" s="111" t="str">
        <f>DataPull!D3851</f>
        <v/>
      </c>
      <c r="G3851" s="94" t="str">
        <f t="shared" si="2"/>
        <v/>
      </c>
      <c r="H3851" s="94" t="str">
        <f t="shared" si="3"/>
        <v/>
      </c>
      <c r="I3851" s="94" t="str">
        <f t="shared" ref="I3851:J3851" si="3852">if(G3851 = "", , -G3851)</f>
        <v/>
      </c>
      <c r="J3851" s="94" t="str">
        <f t="shared" si="3852"/>
        <v/>
      </c>
      <c r="K3851" s="100"/>
      <c r="M3851" s="100"/>
      <c r="N3851" s="100"/>
      <c r="O3851" s="100"/>
      <c r="P3851" s="100"/>
    </row>
    <row r="3852">
      <c r="A3852" s="107">
        <v>1627775.0</v>
      </c>
      <c r="B3852" s="108" t="s">
        <v>193</v>
      </c>
      <c r="C3852" s="108" t="s">
        <v>932</v>
      </c>
      <c r="D3852" s="112" t="s">
        <v>176</v>
      </c>
      <c r="E3852" s="112">
        <v>906.5</v>
      </c>
      <c r="F3852" s="111" t="str">
        <f>DataPull!D3852</f>
        <v/>
      </c>
      <c r="G3852" s="94" t="str">
        <f t="shared" si="2"/>
        <v/>
      </c>
      <c r="H3852" s="94" t="str">
        <f t="shared" si="3"/>
        <v/>
      </c>
      <c r="I3852" s="94" t="str">
        <f t="shared" ref="I3852:J3852" si="3853">if(G3852 = "", , -G3852)</f>
        <v/>
      </c>
      <c r="J3852" s="94" t="str">
        <f t="shared" si="3853"/>
        <v/>
      </c>
      <c r="K3852" s="100"/>
      <c r="L3852" s="100"/>
      <c r="N3852" s="100"/>
      <c r="O3852" s="100"/>
      <c r="P3852" s="100"/>
    </row>
    <row r="3853">
      <c r="A3853" s="107">
        <v>1627775.0</v>
      </c>
      <c r="B3853" s="108" t="s">
        <v>243</v>
      </c>
      <c r="C3853" s="108" t="s">
        <v>932</v>
      </c>
      <c r="D3853" s="112" t="s">
        <v>181</v>
      </c>
      <c r="E3853" s="112">
        <v>33.5</v>
      </c>
      <c r="F3853" s="111" t="str">
        <f>DataPull!D3853</f>
        <v/>
      </c>
      <c r="G3853" s="94" t="str">
        <f t="shared" si="2"/>
        <v/>
      </c>
      <c r="H3853" s="94" t="str">
        <f t="shared" si="3"/>
        <v/>
      </c>
      <c r="I3853" s="94" t="str">
        <f t="shared" ref="I3853:J3853" si="3854">if(G3853 = "", , -G3853)</f>
        <v/>
      </c>
      <c r="J3853" s="94" t="str">
        <f t="shared" si="3854"/>
        <v/>
      </c>
      <c r="K3853" s="100"/>
      <c r="M3853" s="100"/>
      <c r="N3853" s="100"/>
      <c r="O3853" s="100"/>
      <c r="P3853" s="100"/>
    </row>
    <row r="3854">
      <c r="A3854" s="107">
        <v>1627777.0</v>
      </c>
      <c r="B3854" s="108" t="s">
        <v>190</v>
      </c>
      <c r="C3854" s="108" t="s">
        <v>933</v>
      </c>
      <c r="D3854" s="112" t="s">
        <v>187</v>
      </c>
      <c r="E3854" s="112">
        <v>92.0</v>
      </c>
      <c r="F3854" s="111" t="str">
        <f>DataPull!D3854</f>
        <v/>
      </c>
      <c r="G3854" s="94" t="str">
        <f t="shared" si="2"/>
        <v/>
      </c>
      <c r="H3854" s="94" t="str">
        <f t="shared" si="3"/>
        <v/>
      </c>
      <c r="I3854" s="94" t="str">
        <f t="shared" ref="I3854:J3854" si="3855">if(G3854 = "", , -G3854)</f>
        <v/>
      </c>
      <c r="J3854" s="94" t="str">
        <f t="shared" si="3855"/>
        <v/>
      </c>
      <c r="K3854" s="100"/>
      <c r="M3854" s="100"/>
      <c r="N3854" s="100"/>
      <c r="O3854" s="100"/>
      <c r="P3854" s="100"/>
    </row>
    <row r="3855">
      <c r="A3855" s="107">
        <v>1627777.0</v>
      </c>
      <c r="B3855" s="108" t="s">
        <v>191</v>
      </c>
      <c r="C3855" s="108" t="s">
        <v>933</v>
      </c>
      <c r="D3855" s="112" t="s">
        <v>187</v>
      </c>
      <c r="E3855" s="112">
        <v>31.5</v>
      </c>
      <c r="F3855" s="111" t="str">
        <f>DataPull!D3855</f>
        <v/>
      </c>
      <c r="G3855" s="94" t="str">
        <f t="shared" si="2"/>
        <v/>
      </c>
      <c r="H3855" s="94" t="str">
        <f t="shared" si="3"/>
        <v/>
      </c>
      <c r="I3855" s="94" t="str">
        <f t="shared" ref="I3855:J3855" si="3856">if(G3855 = "", , -G3855)</f>
        <v/>
      </c>
      <c r="J3855" s="94" t="str">
        <f t="shared" si="3856"/>
        <v/>
      </c>
      <c r="K3855" s="100"/>
      <c r="M3855" s="100"/>
      <c r="N3855" s="100"/>
      <c r="O3855" s="100"/>
      <c r="P3855" s="100"/>
    </row>
    <row r="3856">
      <c r="A3856" s="107">
        <v>1627777.0</v>
      </c>
      <c r="B3856" s="108" t="s">
        <v>192</v>
      </c>
      <c r="C3856" s="108" t="s">
        <v>933</v>
      </c>
      <c r="D3856" s="112" t="s">
        <v>187</v>
      </c>
      <c r="E3856" s="112">
        <v>519.2</v>
      </c>
      <c r="F3856" s="111" t="str">
        <f>DataPull!D3856</f>
        <v/>
      </c>
      <c r="G3856" s="94" t="str">
        <f t="shared" si="2"/>
        <v/>
      </c>
      <c r="H3856" s="94" t="str">
        <f t="shared" si="3"/>
        <v/>
      </c>
      <c r="I3856" s="94" t="str">
        <f t="shared" ref="I3856:J3856" si="3857">if(G3856 = "", , -G3856)</f>
        <v/>
      </c>
      <c r="J3856" s="94" t="str">
        <f t="shared" si="3857"/>
        <v/>
      </c>
      <c r="K3856" s="100"/>
      <c r="M3856" s="100"/>
      <c r="N3856" s="100"/>
      <c r="O3856" s="100"/>
      <c r="P3856" s="100"/>
    </row>
    <row r="3857">
      <c r="A3857" s="107">
        <v>1627777.0</v>
      </c>
      <c r="B3857" s="108" t="s">
        <v>193</v>
      </c>
      <c r="C3857" s="108" t="s">
        <v>933</v>
      </c>
      <c r="D3857" s="112" t="s">
        <v>177</v>
      </c>
      <c r="E3857" s="112">
        <v>924.0</v>
      </c>
      <c r="F3857" s="111" t="str">
        <f>DataPull!D3857</f>
        <v/>
      </c>
      <c r="G3857" s="94" t="str">
        <f t="shared" si="2"/>
        <v/>
      </c>
      <c r="H3857" s="94" t="str">
        <f t="shared" si="3"/>
        <v/>
      </c>
      <c r="I3857" s="94" t="str">
        <f t="shared" ref="I3857:J3857" si="3858">if(G3857 = "", , -G3857)</f>
        <v/>
      </c>
      <c r="J3857" s="94" t="str">
        <f t="shared" si="3858"/>
        <v/>
      </c>
      <c r="K3857" s="100"/>
      <c r="M3857" s="100"/>
      <c r="N3857" s="100"/>
      <c r="O3857" s="100"/>
      <c r="P3857" s="100"/>
    </row>
    <row r="3858">
      <c r="A3858" s="107">
        <v>1627777.0</v>
      </c>
      <c r="B3858" s="108" t="s">
        <v>243</v>
      </c>
      <c r="C3858" s="108" t="s">
        <v>933</v>
      </c>
      <c r="D3858" s="112" t="s">
        <v>177</v>
      </c>
      <c r="E3858" s="112">
        <v>1152.0</v>
      </c>
      <c r="F3858" s="111" t="str">
        <f>DataPull!D3858</f>
        <v/>
      </c>
      <c r="G3858" s="94" t="str">
        <f t="shared" si="2"/>
        <v/>
      </c>
      <c r="H3858" s="94" t="str">
        <f t="shared" si="3"/>
        <v/>
      </c>
      <c r="I3858" s="94" t="str">
        <f t="shared" ref="I3858:J3858" si="3859">if(G3858 = "", , -G3858)</f>
        <v/>
      </c>
      <c r="J3858" s="94" t="str">
        <f t="shared" si="3859"/>
        <v/>
      </c>
      <c r="K3858" s="100"/>
      <c r="M3858" s="100"/>
      <c r="N3858" s="100"/>
      <c r="O3858" s="100"/>
      <c r="P3858" s="100"/>
    </row>
    <row r="3859">
      <c r="A3859" s="107">
        <v>1627777.0</v>
      </c>
      <c r="B3859" s="108" t="s">
        <v>215</v>
      </c>
      <c r="C3859" s="108" t="s">
        <v>933</v>
      </c>
      <c r="D3859" s="112" t="s">
        <v>176</v>
      </c>
      <c r="E3859" s="112">
        <v>1732.8</v>
      </c>
      <c r="F3859" s="111" t="str">
        <f>DataPull!D3859</f>
        <v/>
      </c>
      <c r="G3859" s="94" t="str">
        <f t="shared" si="2"/>
        <v/>
      </c>
      <c r="H3859" s="94" t="str">
        <f t="shared" si="3"/>
        <v/>
      </c>
      <c r="I3859" s="94" t="str">
        <f t="shared" ref="I3859:J3859" si="3860">if(G3859 = "", , -G3859)</f>
        <v/>
      </c>
      <c r="J3859" s="94" t="str">
        <f t="shared" si="3860"/>
        <v/>
      </c>
      <c r="K3859" s="100"/>
      <c r="M3859" s="100"/>
      <c r="N3859" s="100"/>
      <c r="O3859" s="100"/>
      <c r="P3859" s="100"/>
    </row>
    <row r="3860">
      <c r="A3860" s="107">
        <v>1627777.0</v>
      </c>
      <c r="B3860" s="108" t="s">
        <v>244</v>
      </c>
      <c r="C3860" s="108" t="s">
        <v>933</v>
      </c>
      <c r="D3860" s="112" t="s">
        <v>177</v>
      </c>
      <c r="E3860" s="112">
        <v>1513.2</v>
      </c>
      <c r="F3860" s="111" t="str">
        <f>DataPull!D3860</f>
        <v/>
      </c>
      <c r="G3860" s="94" t="str">
        <f t="shared" si="2"/>
        <v/>
      </c>
      <c r="H3860" s="94" t="str">
        <f t="shared" si="3"/>
        <v/>
      </c>
      <c r="I3860" s="94" t="str">
        <f t="shared" ref="I3860:J3860" si="3861">if(G3860 = "", , -G3860)</f>
        <v/>
      </c>
      <c r="J3860" s="94" t="str">
        <f t="shared" si="3861"/>
        <v/>
      </c>
      <c r="K3860" s="100"/>
      <c r="M3860" s="100"/>
      <c r="N3860" s="100"/>
      <c r="O3860" s="100"/>
      <c r="P3860" s="100"/>
    </row>
    <row r="3861">
      <c r="A3861" s="107">
        <v>1627777.0</v>
      </c>
      <c r="B3861" s="108" t="s">
        <v>245</v>
      </c>
      <c r="C3861" s="108" t="s">
        <v>933</v>
      </c>
      <c r="D3861" s="112" t="s">
        <v>176</v>
      </c>
      <c r="E3861" s="112">
        <v>1828.6</v>
      </c>
      <c r="F3861" s="111" t="str">
        <f>DataPull!D3861</f>
        <v/>
      </c>
      <c r="G3861" s="94" t="str">
        <f t="shared" si="2"/>
        <v/>
      </c>
      <c r="H3861" s="94" t="str">
        <f t="shared" si="3"/>
        <v/>
      </c>
      <c r="I3861" s="94" t="str">
        <f t="shared" ref="I3861:J3861" si="3862">if(G3861 = "", , -G3861)</f>
        <v/>
      </c>
      <c r="J3861" s="94" t="str">
        <f t="shared" si="3862"/>
        <v/>
      </c>
      <c r="K3861" s="100"/>
      <c r="M3861" s="100"/>
      <c r="N3861" s="100"/>
      <c r="O3861" s="100"/>
      <c r="P3861" s="100"/>
    </row>
    <row r="3862">
      <c r="A3862" s="107">
        <v>1627777.0</v>
      </c>
      <c r="B3862" s="108" t="s">
        <v>246</v>
      </c>
      <c r="C3862" s="108" t="s">
        <v>933</v>
      </c>
      <c r="D3862" s="112" t="s">
        <v>176</v>
      </c>
      <c r="E3862" s="112">
        <v>1698.5</v>
      </c>
      <c r="F3862" s="111" t="str">
        <f>DataPull!D3862</f>
        <v/>
      </c>
      <c r="G3862" s="94" t="str">
        <f t="shared" si="2"/>
        <v/>
      </c>
      <c r="H3862" s="94" t="str">
        <f t="shared" si="3"/>
        <v/>
      </c>
      <c r="I3862" s="94" t="str">
        <f t="shared" ref="I3862:J3862" si="3863">if(G3862 = "", , -G3862)</f>
        <v/>
      </c>
      <c r="J3862" s="94" t="str">
        <f t="shared" si="3863"/>
        <v/>
      </c>
      <c r="K3862" s="100"/>
      <c r="M3862" s="100"/>
      <c r="N3862" s="100"/>
      <c r="O3862" s="100"/>
      <c r="P3862" s="100"/>
    </row>
    <row r="3863">
      <c r="A3863" s="89">
        <v>1627777.0</v>
      </c>
      <c r="B3863" s="113" t="s">
        <v>247</v>
      </c>
      <c r="C3863" s="113" t="s">
        <v>933</v>
      </c>
      <c r="D3863" s="112"/>
      <c r="E3863" s="112"/>
      <c r="F3863" s="111" t="str">
        <f>DataPull!D3863</f>
        <v/>
      </c>
      <c r="G3863" s="94" t="str">
        <f t="shared" si="2"/>
        <v/>
      </c>
      <c r="H3863" s="94" t="str">
        <f t="shared" si="3"/>
        <v/>
      </c>
      <c r="I3863" s="94" t="str">
        <f t="shared" ref="I3863:J3863" si="3864">if(G3863 = "", , -G3863)</f>
        <v/>
      </c>
      <c r="J3863" s="94" t="str">
        <f t="shared" si="3864"/>
        <v/>
      </c>
      <c r="K3863" s="100"/>
      <c r="M3863" s="100"/>
      <c r="N3863" s="100"/>
      <c r="O3863" s="100"/>
    </row>
    <row r="3864">
      <c r="A3864" s="107">
        <v>1627778.0</v>
      </c>
      <c r="B3864" s="108" t="s">
        <v>190</v>
      </c>
      <c r="C3864" s="108" t="s">
        <v>934</v>
      </c>
      <c r="D3864" s="112" t="s">
        <v>181</v>
      </c>
      <c r="E3864" s="112">
        <v>51.5</v>
      </c>
      <c r="F3864" s="111" t="str">
        <f>DataPull!D3864</f>
        <v/>
      </c>
      <c r="G3864" s="94" t="str">
        <f t="shared" si="2"/>
        <v/>
      </c>
      <c r="H3864" s="94" t="str">
        <f t="shared" si="3"/>
        <v/>
      </c>
      <c r="I3864" s="94" t="str">
        <f t="shared" ref="I3864:J3864" si="3865">if(G3864 = "", , -G3864)</f>
        <v/>
      </c>
      <c r="J3864" s="94" t="str">
        <f t="shared" si="3865"/>
        <v/>
      </c>
      <c r="M3864" s="100"/>
      <c r="N3864" s="100"/>
      <c r="O3864" s="100"/>
    </row>
    <row r="3865">
      <c r="A3865" s="107">
        <v>1627778.0</v>
      </c>
      <c r="B3865" s="108" t="s">
        <v>191</v>
      </c>
      <c r="C3865" s="108" t="s">
        <v>934</v>
      </c>
      <c r="D3865" s="112" t="s">
        <v>181</v>
      </c>
      <c r="E3865" s="112">
        <v>21.6</v>
      </c>
      <c r="F3865" s="111" t="str">
        <f>DataPull!D3865</f>
        <v/>
      </c>
      <c r="G3865" s="94" t="str">
        <f t="shared" si="2"/>
        <v/>
      </c>
      <c r="H3865" s="94" t="str">
        <f t="shared" si="3"/>
        <v/>
      </c>
      <c r="I3865" s="94" t="str">
        <f t="shared" ref="I3865:J3865" si="3866">if(G3865 = "", , -G3865)</f>
        <v/>
      </c>
      <c r="J3865" s="94" t="str">
        <f t="shared" si="3866"/>
        <v/>
      </c>
      <c r="K3865" s="100"/>
      <c r="M3865" s="100"/>
      <c r="N3865" s="100"/>
      <c r="O3865" s="100"/>
      <c r="P3865" s="100"/>
    </row>
    <row r="3866">
      <c r="A3866" s="107">
        <v>1627779.0</v>
      </c>
      <c r="B3866" s="108" t="s">
        <v>191</v>
      </c>
      <c r="C3866" s="108" t="s">
        <v>935</v>
      </c>
      <c r="D3866" s="112" t="s">
        <v>181</v>
      </c>
      <c r="E3866" s="112">
        <v>28.0</v>
      </c>
      <c r="F3866" s="111" t="str">
        <f>DataPull!D3866</f>
        <v/>
      </c>
      <c r="G3866" s="94" t="str">
        <f t="shared" si="2"/>
        <v/>
      </c>
      <c r="H3866" s="94" t="str">
        <f t="shared" si="3"/>
        <v/>
      </c>
      <c r="I3866" s="94" t="str">
        <f t="shared" ref="I3866:J3866" si="3867">if(G3866 = "", , -G3866)</f>
        <v/>
      </c>
      <c r="J3866" s="94" t="str">
        <f t="shared" si="3867"/>
        <v/>
      </c>
      <c r="K3866" s="100"/>
      <c r="M3866" s="100"/>
      <c r="N3866" s="100"/>
      <c r="O3866" s="100"/>
      <c r="P3866" s="100"/>
    </row>
    <row r="3867">
      <c r="A3867" s="107">
        <v>1627780.0</v>
      </c>
      <c r="B3867" s="108" t="s">
        <v>190</v>
      </c>
      <c r="C3867" s="108" t="s">
        <v>936</v>
      </c>
      <c r="D3867" s="112" t="s">
        <v>181</v>
      </c>
      <c r="E3867" s="112">
        <v>99.0</v>
      </c>
      <c r="F3867" s="111" t="str">
        <f>DataPull!D3867</f>
        <v/>
      </c>
      <c r="G3867" s="94" t="str">
        <f t="shared" si="2"/>
        <v/>
      </c>
      <c r="H3867" s="94" t="str">
        <f t="shared" si="3"/>
        <v/>
      </c>
      <c r="I3867" s="94" t="str">
        <f t="shared" ref="I3867:J3867" si="3868">if(G3867 = "", , -G3867)</f>
        <v/>
      </c>
      <c r="J3867" s="94" t="str">
        <f t="shared" si="3868"/>
        <v/>
      </c>
      <c r="K3867" s="100"/>
      <c r="M3867" s="100"/>
      <c r="N3867" s="100"/>
      <c r="O3867" s="100"/>
      <c r="P3867" s="100"/>
    </row>
    <row r="3868">
      <c r="A3868" s="107">
        <v>1627780.0</v>
      </c>
      <c r="B3868" s="108" t="s">
        <v>191</v>
      </c>
      <c r="C3868" s="108" t="s">
        <v>936</v>
      </c>
      <c r="D3868" s="112" t="s">
        <v>187</v>
      </c>
      <c r="E3868" s="112">
        <v>220.8</v>
      </c>
      <c r="F3868" s="111" t="str">
        <f>DataPull!D3868</f>
        <v/>
      </c>
      <c r="G3868" s="94" t="str">
        <f t="shared" si="2"/>
        <v/>
      </c>
      <c r="H3868" s="94" t="str">
        <f t="shared" si="3"/>
        <v/>
      </c>
      <c r="I3868" s="94" t="str">
        <f t="shared" ref="I3868:J3868" si="3869">if(G3868 = "", , -G3868)</f>
        <v/>
      </c>
      <c r="J3868" s="94" t="str">
        <f t="shared" si="3869"/>
        <v/>
      </c>
      <c r="K3868" s="100"/>
      <c r="L3868" s="100"/>
      <c r="N3868" s="100"/>
      <c r="O3868" s="100"/>
      <c r="P3868" s="100"/>
    </row>
    <row r="3869">
      <c r="A3869" s="107">
        <v>1627780.0</v>
      </c>
      <c r="B3869" s="108" t="s">
        <v>192</v>
      </c>
      <c r="C3869" s="108" t="s">
        <v>936</v>
      </c>
      <c r="D3869" s="112" t="s">
        <v>181</v>
      </c>
      <c r="E3869" s="112">
        <v>15.9</v>
      </c>
      <c r="F3869" s="111" t="str">
        <f>DataPull!D3869</f>
        <v/>
      </c>
      <c r="G3869" s="94" t="str">
        <f t="shared" si="2"/>
        <v/>
      </c>
      <c r="H3869" s="94" t="str">
        <f t="shared" si="3"/>
        <v/>
      </c>
      <c r="I3869" s="94" t="str">
        <f t="shared" ref="I3869:J3869" si="3870">if(G3869 = "", , -G3869)</f>
        <v/>
      </c>
      <c r="J3869" s="94" t="str">
        <f t="shared" si="3870"/>
        <v/>
      </c>
      <c r="K3869" s="100"/>
      <c r="M3869" s="100"/>
      <c r="N3869" s="100"/>
      <c r="O3869" s="100"/>
      <c r="P3869" s="100"/>
    </row>
    <row r="3870">
      <c r="A3870" s="107">
        <v>1627780.0</v>
      </c>
      <c r="B3870" s="108" t="s">
        <v>193</v>
      </c>
      <c r="C3870" s="108" t="s">
        <v>936</v>
      </c>
      <c r="D3870" s="112" t="s">
        <v>177</v>
      </c>
      <c r="E3870" s="112">
        <v>432.1</v>
      </c>
      <c r="F3870" s="111" t="str">
        <f>DataPull!D3870</f>
        <v/>
      </c>
      <c r="G3870" s="94" t="str">
        <f t="shared" si="2"/>
        <v/>
      </c>
      <c r="H3870" s="94" t="str">
        <f t="shared" si="3"/>
        <v/>
      </c>
      <c r="I3870" s="94" t="str">
        <f t="shared" ref="I3870:J3870" si="3871">if(G3870 = "", , -G3870)</f>
        <v/>
      </c>
      <c r="J3870" s="94" t="str">
        <f t="shared" si="3871"/>
        <v/>
      </c>
      <c r="K3870" s="100"/>
      <c r="M3870" s="100"/>
      <c r="N3870" s="100"/>
      <c r="O3870" s="100"/>
      <c r="P3870" s="100"/>
    </row>
    <row r="3871">
      <c r="A3871" s="107">
        <v>1627780.0</v>
      </c>
      <c r="B3871" s="108" t="s">
        <v>243</v>
      </c>
      <c r="C3871" s="108" t="s">
        <v>936</v>
      </c>
      <c r="D3871" s="112" t="s">
        <v>187</v>
      </c>
      <c r="E3871" s="112">
        <v>40.0</v>
      </c>
      <c r="F3871" s="111" t="str">
        <f>DataPull!D3871</f>
        <v/>
      </c>
      <c r="G3871" s="94" t="str">
        <f t="shared" si="2"/>
        <v/>
      </c>
      <c r="H3871" s="94" t="str">
        <f t="shared" si="3"/>
        <v/>
      </c>
      <c r="I3871" s="94" t="str">
        <f t="shared" ref="I3871:J3871" si="3872">if(G3871 = "", , -G3871)</f>
        <v/>
      </c>
      <c r="J3871" s="94" t="str">
        <f t="shared" si="3872"/>
        <v/>
      </c>
      <c r="K3871" s="100"/>
      <c r="M3871" s="100"/>
      <c r="N3871" s="100"/>
      <c r="O3871" s="100"/>
      <c r="P3871" s="100"/>
    </row>
    <row r="3872">
      <c r="A3872" s="107">
        <v>1627780.0</v>
      </c>
      <c r="B3872" s="108" t="s">
        <v>215</v>
      </c>
      <c r="C3872" s="108" t="s">
        <v>936</v>
      </c>
      <c r="D3872" s="112" t="s">
        <v>177</v>
      </c>
      <c r="E3872" s="112">
        <v>1249.6</v>
      </c>
      <c r="F3872" s="111" t="str">
        <f>DataPull!D3872</f>
        <v/>
      </c>
      <c r="G3872" s="94" t="str">
        <f t="shared" si="2"/>
        <v/>
      </c>
      <c r="H3872" s="94" t="str">
        <f t="shared" si="3"/>
        <v/>
      </c>
      <c r="I3872" s="94" t="str">
        <f t="shared" ref="I3872:J3872" si="3873">if(G3872 = "", , -G3872)</f>
        <v/>
      </c>
      <c r="J3872" s="94" t="str">
        <f t="shared" si="3873"/>
        <v/>
      </c>
      <c r="K3872" s="100"/>
      <c r="M3872" s="100"/>
      <c r="N3872" s="100"/>
      <c r="O3872" s="100"/>
      <c r="P3872" s="100"/>
    </row>
    <row r="3873">
      <c r="A3873" s="107">
        <v>1627780.0</v>
      </c>
      <c r="B3873" s="108" t="s">
        <v>244</v>
      </c>
      <c r="C3873" s="108" t="s">
        <v>936</v>
      </c>
      <c r="D3873" s="112" t="s">
        <v>187</v>
      </c>
      <c r="E3873" s="112">
        <v>367.4</v>
      </c>
      <c r="F3873" s="111" t="str">
        <f>DataPull!D3873</f>
        <v/>
      </c>
      <c r="G3873" s="94" t="str">
        <f t="shared" si="2"/>
        <v/>
      </c>
      <c r="H3873" s="94" t="str">
        <f t="shared" si="3"/>
        <v/>
      </c>
      <c r="I3873" s="94" t="str">
        <f t="shared" ref="I3873:J3873" si="3874">if(G3873 = "", , -G3873)</f>
        <v/>
      </c>
      <c r="J3873" s="94" t="str">
        <f t="shared" si="3874"/>
        <v/>
      </c>
      <c r="K3873" s="100"/>
      <c r="M3873" s="100"/>
      <c r="N3873" s="100"/>
      <c r="O3873" s="100"/>
      <c r="P3873" s="100"/>
    </row>
    <row r="3874">
      <c r="A3874" s="107">
        <v>1627780.0</v>
      </c>
      <c r="B3874" s="108" t="s">
        <v>245</v>
      </c>
      <c r="C3874" s="108" t="s">
        <v>936</v>
      </c>
      <c r="D3874" s="112" t="s">
        <v>177</v>
      </c>
      <c r="E3874" s="112">
        <v>682.0</v>
      </c>
      <c r="F3874" s="111" t="str">
        <f>DataPull!D3874</f>
        <v/>
      </c>
      <c r="G3874" s="94" t="str">
        <f t="shared" si="2"/>
        <v/>
      </c>
      <c r="H3874" s="94" t="str">
        <f t="shared" si="3"/>
        <v/>
      </c>
      <c r="I3874" s="94" t="str">
        <f t="shared" ref="I3874:J3874" si="3875">if(G3874 = "", , -G3874)</f>
        <v/>
      </c>
      <c r="J3874" s="94" t="str">
        <f t="shared" si="3875"/>
        <v/>
      </c>
      <c r="K3874" s="100"/>
      <c r="L3874" s="100"/>
      <c r="M3874" s="100"/>
      <c r="N3874" s="100"/>
      <c r="O3874" s="100"/>
      <c r="P3874" s="100"/>
    </row>
    <row r="3875">
      <c r="A3875" s="107">
        <v>1627780.0</v>
      </c>
      <c r="B3875" s="108" t="s">
        <v>246</v>
      </c>
      <c r="C3875" s="108" t="s">
        <v>936</v>
      </c>
      <c r="D3875" s="112" t="s">
        <v>177</v>
      </c>
      <c r="E3875" s="112">
        <v>930.0</v>
      </c>
      <c r="F3875" s="111" t="str">
        <f>DataPull!D3875</f>
        <v/>
      </c>
      <c r="G3875" s="94" t="str">
        <f t="shared" si="2"/>
        <v/>
      </c>
      <c r="H3875" s="94" t="str">
        <f t="shared" si="3"/>
        <v/>
      </c>
      <c r="I3875" s="94" t="str">
        <f t="shared" ref="I3875:J3875" si="3876">if(G3875 = "", , -G3875)</f>
        <v/>
      </c>
      <c r="J3875" s="94" t="str">
        <f t="shared" si="3876"/>
        <v/>
      </c>
      <c r="K3875" s="100"/>
      <c r="M3875" s="100"/>
      <c r="N3875" s="100"/>
      <c r="O3875" s="100"/>
      <c r="P3875" s="100"/>
    </row>
    <row r="3876">
      <c r="A3876" s="114">
        <v>1627780.0</v>
      </c>
      <c r="B3876" s="113" t="s">
        <v>247</v>
      </c>
      <c r="C3876" s="113" t="s">
        <v>936</v>
      </c>
      <c r="D3876" s="112" t="s">
        <v>177</v>
      </c>
      <c r="E3876" s="112">
        <v>1138.8</v>
      </c>
      <c r="F3876" s="111" t="str">
        <f>DataPull!D3876</f>
        <v/>
      </c>
      <c r="G3876" s="94" t="str">
        <f t="shared" si="2"/>
        <v/>
      </c>
      <c r="H3876" s="94" t="str">
        <f t="shared" si="3"/>
        <v/>
      </c>
      <c r="I3876" s="94" t="str">
        <f t="shared" ref="I3876:J3876" si="3877">if(G3876 = "", , -G3876)</f>
        <v/>
      </c>
      <c r="J3876" s="94" t="str">
        <f t="shared" si="3877"/>
        <v/>
      </c>
      <c r="K3876" s="100"/>
      <c r="M3876" s="100"/>
      <c r="N3876" s="100"/>
      <c r="O3876" s="100"/>
      <c r="P3876" s="100"/>
    </row>
    <row r="3877">
      <c r="A3877" s="107">
        <v>1627781.0</v>
      </c>
      <c r="B3877" s="108" t="s">
        <v>190</v>
      </c>
      <c r="C3877" s="108" t="s">
        <v>937</v>
      </c>
      <c r="D3877" s="112" t="s">
        <v>187</v>
      </c>
      <c r="E3877" s="112">
        <v>198.0</v>
      </c>
      <c r="F3877" s="111" t="str">
        <f>DataPull!D3877</f>
        <v/>
      </c>
      <c r="G3877" s="94" t="str">
        <f t="shared" si="2"/>
        <v/>
      </c>
      <c r="H3877" s="94" t="str">
        <f t="shared" si="3"/>
        <v/>
      </c>
      <c r="I3877" s="94" t="str">
        <f t="shared" ref="I3877:J3877" si="3878">if(G3877 = "", , -G3877)</f>
        <v/>
      </c>
      <c r="J3877" s="94" t="str">
        <f t="shared" si="3878"/>
        <v/>
      </c>
      <c r="K3877" s="100"/>
      <c r="M3877" s="100"/>
      <c r="N3877" s="100"/>
      <c r="O3877" s="100"/>
      <c r="P3877" s="100"/>
    </row>
    <row r="3878">
      <c r="A3878" s="107">
        <v>1627781.0</v>
      </c>
      <c r="B3878" s="108" t="s">
        <v>191</v>
      </c>
      <c r="C3878" s="108" t="s">
        <v>937</v>
      </c>
      <c r="D3878" s="112" t="s">
        <v>177</v>
      </c>
      <c r="E3878" s="112">
        <v>322.4</v>
      </c>
      <c r="F3878" s="111" t="str">
        <f>DataPull!D3878</f>
        <v/>
      </c>
      <c r="G3878" s="94" t="str">
        <f t="shared" si="2"/>
        <v/>
      </c>
      <c r="H3878" s="94" t="str">
        <f t="shared" si="3"/>
        <v/>
      </c>
      <c r="I3878" s="94" t="str">
        <f t="shared" ref="I3878:J3878" si="3879">if(G3878 = "", , -G3878)</f>
        <v/>
      </c>
      <c r="J3878" s="94" t="str">
        <f t="shared" si="3879"/>
        <v/>
      </c>
      <c r="K3878" s="100"/>
      <c r="L3878" s="100"/>
      <c r="M3878" s="100"/>
      <c r="N3878" s="100"/>
      <c r="O3878" s="100"/>
      <c r="P3878" s="100"/>
    </row>
    <row r="3879">
      <c r="A3879" s="107">
        <v>1627781.0</v>
      </c>
      <c r="B3879" s="108" t="s">
        <v>192</v>
      </c>
      <c r="C3879" s="108" t="s">
        <v>937</v>
      </c>
      <c r="D3879" s="112" t="s">
        <v>187</v>
      </c>
      <c r="E3879" s="112">
        <v>103.4</v>
      </c>
      <c r="F3879" s="111" t="str">
        <f>DataPull!D3879</f>
        <v/>
      </c>
      <c r="G3879" s="94" t="str">
        <f t="shared" si="2"/>
        <v/>
      </c>
      <c r="H3879" s="94" t="str">
        <f t="shared" si="3"/>
        <v/>
      </c>
      <c r="I3879" s="94" t="str">
        <f t="shared" ref="I3879:J3879" si="3880">if(G3879 = "", , -G3879)</f>
        <v/>
      </c>
      <c r="J3879" s="94" t="str">
        <f t="shared" si="3880"/>
        <v/>
      </c>
      <c r="K3879" s="100"/>
      <c r="L3879" s="100"/>
      <c r="M3879" s="100"/>
      <c r="N3879" s="100"/>
      <c r="O3879" s="100"/>
      <c r="P3879" s="100"/>
    </row>
    <row r="3880">
      <c r="A3880" s="107">
        <v>1627782.0</v>
      </c>
      <c r="B3880" s="108" t="s">
        <v>190</v>
      </c>
      <c r="C3880" s="108" t="s">
        <v>938</v>
      </c>
      <c r="D3880" s="112" t="s">
        <v>187</v>
      </c>
      <c r="E3880" s="112">
        <v>236.6</v>
      </c>
      <c r="F3880" s="111" t="str">
        <f>DataPull!D3880</f>
        <v/>
      </c>
      <c r="G3880" s="94" t="str">
        <f t="shared" si="2"/>
        <v/>
      </c>
      <c r="H3880" s="94" t="str">
        <f t="shared" si="3"/>
        <v/>
      </c>
      <c r="I3880" s="94" t="str">
        <f t="shared" ref="I3880:J3880" si="3881">if(G3880 = "", , -G3880)</f>
        <v/>
      </c>
      <c r="J3880" s="94" t="str">
        <f t="shared" si="3881"/>
        <v/>
      </c>
      <c r="K3880" s="100"/>
      <c r="M3880" s="100"/>
      <c r="N3880" s="100"/>
      <c r="O3880" s="100"/>
      <c r="P3880" s="100"/>
    </row>
    <row r="3881">
      <c r="A3881" s="107">
        <v>1627782.0</v>
      </c>
      <c r="B3881" s="108" t="s">
        <v>191</v>
      </c>
      <c r="C3881" s="108" t="s">
        <v>938</v>
      </c>
      <c r="D3881" s="112" t="s">
        <v>177</v>
      </c>
      <c r="E3881" s="112">
        <v>693.0</v>
      </c>
      <c r="F3881" s="111" t="str">
        <f>DataPull!D3881</f>
        <v/>
      </c>
      <c r="G3881" s="94" t="str">
        <f t="shared" si="2"/>
        <v/>
      </c>
      <c r="H3881" s="94" t="str">
        <f t="shared" si="3"/>
        <v/>
      </c>
      <c r="I3881" s="94" t="str">
        <f t="shared" ref="I3881:J3881" si="3882">if(G3881 = "", , -G3881)</f>
        <v/>
      </c>
      <c r="J3881" s="94" t="str">
        <f t="shared" si="3882"/>
        <v/>
      </c>
      <c r="K3881" s="100"/>
      <c r="M3881" s="100"/>
      <c r="N3881" s="100"/>
      <c r="O3881" s="100"/>
      <c r="P3881" s="100"/>
    </row>
    <row r="3882">
      <c r="A3882" s="107">
        <v>1627782.0</v>
      </c>
      <c r="B3882" s="108" t="s">
        <v>192</v>
      </c>
      <c r="C3882" s="108" t="s">
        <v>938</v>
      </c>
      <c r="D3882" s="112" t="s">
        <v>176</v>
      </c>
      <c r="E3882" s="112">
        <v>1440.0</v>
      </c>
      <c r="F3882" s="111" t="str">
        <f>DataPull!D3882</f>
        <v/>
      </c>
      <c r="G3882" s="94" t="str">
        <f t="shared" si="2"/>
        <v/>
      </c>
      <c r="H3882" s="94" t="str">
        <f t="shared" si="3"/>
        <v/>
      </c>
      <c r="I3882" s="94" t="str">
        <f t="shared" ref="I3882:J3882" si="3883">if(G3882 = "", , -G3882)</f>
        <v/>
      </c>
      <c r="J3882" s="94" t="str">
        <f t="shared" si="3883"/>
        <v/>
      </c>
      <c r="K3882" s="100"/>
      <c r="L3882" s="100"/>
      <c r="M3882" s="100"/>
      <c r="N3882" s="100"/>
      <c r="O3882" s="100"/>
      <c r="P3882" s="100"/>
    </row>
    <row r="3883">
      <c r="A3883" s="107">
        <v>1627782.0</v>
      </c>
      <c r="B3883" s="108" t="s">
        <v>215</v>
      </c>
      <c r="C3883" s="108" t="s">
        <v>938</v>
      </c>
      <c r="D3883" s="112" t="s">
        <v>181</v>
      </c>
      <c r="E3883" s="112">
        <v>19.2</v>
      </c>
      <c r="F3883" s="111" t="str">
        <f>DataPull!D3883</f>
        <v/>
      </c>
      <c r="G3883" s="94" t="str">
        <f t="shared" si="2"/>
        <v/>
      </c>
      <c r="H3883" s="94" t="str">
        <f t="shared" si="3"/>
        <v/>
      </c>
      <c r="I3883" s="94" t="str">
        <f t="shared" ref="I3883:J3883" si="3884">if(G3883 = "", , -G3883)</f>
        <v/>
      </c>
      <c r="J3883" s="94" t="str">
        <f t="shared" si="3884"/>
        <v/>
      </c>
      <c r="K3883" s="100"/>
      <c r="M3883" s="100"/>
      <c r="N3883" s="100"/>
      <c r="O3883" s="100"/>
      <c r="P3883" s="100"/>
    </row>
    <row r="3884">
      <c r="A3884" s="107">
        <v>1627783.0</v>
      </c>
      <c r="B3884" s="108" t="s">
        <v>190</v>
      </c>
      <c r="C3884" s="108" t="s">
        <v>939</v>
      </c>
      <c r="D3884" s="112" t="s">
        <v>177</v>
      </c>
      <c r="E3884" s="112">
        <v>858.0</v>
      </c>
      <c r="F3884" s="111" t="str">
        <f>DataPull!D3884</f>
        <v/>
      </c>
      <c r="G3884" s="94" t="str">
        <f t="shared" si="2"/>
        <v/>
      </c>
      <c r="H3884" s="94" t="str">
        <f t="shared" si="3"/>
        <v/>
      </c>
      <c r="I3884" s="94" t="str">
        <f t="shared" ref="I3884:J3884" si="3885">if(G3884 = "", , -G3884)</f>
        <v/>
      </c>
      <c r="J3884" s="94" t="str">
        <f t="shared" si="3885"/>
        <v/>
      </c>
      <c r="K3884" s="100"/>
      <c r="L3884" s="100"/>
      <c r="M3884" s="100"/>
      <c r="N3884" s="100"/>
      <c r="O3884" s="100"/>
      <c r="P3884" s="100"/>
    </row>
    <row r="3885">
      <c r="A3885" s="107">
        <v>1627783.0</v>
      </c>
      <c r="B3885" s="108" t="s">
        <v>191</v>
      </c>
      <c r="C3885" s="108" t="s">
        <v>939</v>
      </c>
      <c r="D3885" s="112" t="s">
        <v>176</v>
      </c>
      <c r="E3885" s="112">
        <v>1676.7</v>
      </c>
      <c r="F3885" s="111" t="str">
        <f>DataPull!D3885</f>
        <v/>
      </c>
      <c r="G3885" s="94" t="str">
        <f t="shared" si="2"/>
        <v/>
      </c>
      <c r="H3885" s="94" t="str">
        <f t="shared" si="3"/>
        <v/>
      </c>
      <c r="I3885" s="94" t="str">
        <f t="shared" ref="I3885:J3885" si="3886">if(G3885 = "", , -G3885)</f>
        <v/>
      </c>
      <c r="J3885" s="94" t="str">
        <f t="shared" si="3886"/>
        <v/>
      </c>
      <c r="K3885" s="100"/>
      <c r="M3885" s="100"/>
      <c r="N3885" s="100"/>
      <c r="O3885" s="100"/>
      <c r="P3885" s="100"/>
    </row>
    <row r="3886">
      <c r="A3886" s="107">
        <v>1627783.0</v>
      </c>
      <c r="B3886" s="108" t="s">
        <v>192</v>
      </c>
      <c r="C3886" s="108" t="s">
        <v>939</v>
      </c>
      <c r="D3886" s="112" t="s">
        <v>184</v>
      </c>
      <c r="E3886" s="112">
        <v>2544.0</v>
      </c>
      <c r="F3886" s="111" t="str">
        <f>DataPull!D3886</f>
        <v/>
      </c>
      <c r="G3886" s="94" t="str">
        <f t="shared" si="2"/>
        <v/>
      </c>
      <c r="H3886" s="94" t="str">
        <f t="shared" si="3"/>
        <v/>
      </c>
      <c r="I3886" s="94" t="str">
        <f t="shared" ref="I3886:J3886" si="3887">if(G3886 = "", , -G3886)</f>
        <v/>
      </c>
      <c r="J3886" s="94" t="str">
        <f t="shared" si="3887"/>
        <v/>
      </c>
      <c r="K3886" s="100"/>
      <c r="M3886" s="100"/>
      <c r="N3886" s="100"/>
      <c r="O3886" s="100"/>
      <c r="P3886" s="100"/>
    </row>
    <row r="3887">
      <c r="A3887" s="107">
        <v>1627783.0</v>
      </c>
      <c r="B3887" s="108" t="s">
        <v>193</v>
      </c>
      <c r="C3887" s="108" t="s">
        <v>939</v>
      </c>
      <c r="D3887" s="112" t="s">
        <v>184</v>
      </c>
      <c r="E3887" s="112">
        <v>2112.0</v>
      </c>
      <c r="F3887" s="111" t="str">
        <f>DataPull!D3887</f>
        <v/>
      </c>
      <c r="G3887" s="94" t="str">
        <f t="shared" si="2"/>
        <v/>
      </c>
      <c r="H3887" s="94" t="str">
        <f t="shared" si="3"/>
        <v/>
      </c>
      <c r="I3887" s="94" t="str">
        <f t="shared" ref="I3887:J3887" si="3888">if(G3887 = "", , -G3887)</f>
        <v/>
      </c>
      <c r="J3887" s="94" t="str">
        <f t="shared" si="3888"/>
        <v/>
      </c>
      <c r="K3887" s="100"/>
      <c r="L3887" s="100"/>
      <c r="N3887" s="100"/>
      <c r="O3887" s="100"/>
      <c r="P3887" s="100"/>
    </row>
    <row r="3888">
      <c r="A3888" s="107">
        <v>1627783.0</v>
      </c>
      <c r="B3888" s="108" t="s">
        <v>243</v>
      </c>
      <c r="C3888" s="108" t="s">
        <v>939</v>
      </c>
      <c r="D3888" s="112" t="s">
        <v>184</v>
      </c>
      <c r="E3888" s="112">
        <v>2004.8</v>
      </c>
      <c r="F3888" s="111" t="str">
        <f>DataPull!D3888</f>
        <v/>
      </c>
      <c r="G3888" s="94" t="str">
        <f t="shared" si="2"/>
        <v/>
      </c>
      <c r="H3888" s="94" t="str">
        <f t="shared" si="3"/>
        <v/>
      </c>
      <c r="I3888" s="94" t="str">
        <f t="shared" ref="I3888:J3888" si="3889">if(G3888 = "", , -G3888)</f>
        <v/>
      </c>
      <c r="J3888" s="94" t="str">
        <f t="shared" si="3889"/>
        <v/>
      </c>
      <c r="K3888" s="100"/>
      <c r="M3888" s="100"/>
      <c r="N3888" s="100"/>
      <c r="O3888" s="100"/>
      <c r="P3888" s="100"/>
    </row>
    <row r="3889">
      <c r="A3889" s="107">
        <v>1627783.0</v>
      </c>
      <c r="B3889" s="108" t="s">
        <v>215</v>
      </c>
      <c r="C3889" s="108" t="s">
        <v>939</v>
      </c>
      <c r="D3889" s="112" t="s">
        <v>184</v>
      </c>
      <c r="E3889" s="112">
        <v>2577.2</v>
      </c>
      <c r="F3889" s="111" t="str">
        <f>DataPull!D3889</f>
        <v/>
      </c>
      <c r="G3889" s="94" t="str">
        <f t="shared" si="2"/>
        <v/>
      </c>
      <c r="H3889" s="94" t="str">
        <f t="shared" si="3"/>
        <v/>
      </c>
      <c r="I3889" s="94" t="str">
        <f t="shared" ref="I3889:J3889" si="3890">if(G3889 = "", , -G3889)</f>
        <v/>
      </c>
      <c r="J3889" s="94" t="str">
        <f t="shared" si="3890"/>
        <v/>
      </c>
      <c r="K3889" s="100"/>
      <c r="L3889" s="100"/>
      <c r="M3889" s="100"/>
      <c r="N3889" s="100"/>
      <c r="O3889" s="100"/>
      <c r="P3889" s="100"/>
    </row>
    <row r="3890">
      <c r="A3890" s="107">
        <v>1627783.0</v>
      </c>
      <c r="B3890" s="108" t="s">
        <v>244</v>
      </c>
      <c r="C3890" s="108" t="s">
        <v>939</v>
      </c>
      <c r="D3890" s="112" t="s">
        <v>184</v>
      </c>
      <c r="E3890" s="112">
        <v>2655.4</v>
      </c>
      <c r="F3890" s="111" t="str">
        <f>DataPull!D3890</f>
        <v/>
      </c>
      <c r="G3890" s="94" t="str">
        <f t="shared" si="2"/>
        <v/>
      </c>
      <c r="H3890" s="94" t="str">
        <f t="shared" si="3"/>
        <v/>
      </c>
      <c r="I3890" s="94" t="str">
        <f t="shared" ref="I3890:J3890" si="3891">if(G3890 = "", , -G3890)</f>
        <v/>
      </c>
      <c r="J3890" s="94" t="str">
        <f t="shared" si="3891"/>
        <v/>
      </c>
      <c r="K3890" s="100"/>
      <c r="M3890" s="100"/>
      <c r="N3890" s="100"/>
      <c r="O3890" s="100"/>
      <c r="P3890" s="100"/>
    </row>
    <row r="3891">
      <c r="A3891" s="107">
        <v>1627783.0</v>
      </c>
      <c r="B3891" s="108" t="s">
        <v>245</v>
      </c>
      <c r="C3891" s="108" t="s">
        <v>939</v>
      </c>
      <c r="D3891" s="112" t="s">
        <v>184</v>
      </c>
      <c r="E3891" s="112">
        <v>2656.0</v>
      </c>
      <c r="F3891" s="111" t="str">
        <f>DataPull!D3891</f>
        <v/>
      </c>
      <c r="G3891" s="94" t="str">
        <f t="shared" si="2"/>
        <v/>
      </c>
      <c r="H3891" s="94" t="str">
        <f t="shared" si="3"/>
        <v/>
      </c>
      <c r="I3891" s="94" t="str">
        <f t="shared" ref="I3891:J3891" si="3892">if(G3891 = "", , -G3891)</f>
        <v/>
      </c>
      <c r="J3891" s="94" t="str">
        <f t="shared" si="3892"/>
        <v/>
      </c>
      <c r="K3891" s="100"/>
      <c r="M3891" s="100"/>
      <c r="N3891" s="100"/>
      <c r="O3891" s="100"/>
      <c r="P3891" s="100"/>
    </row>
    <row r="3892">
      <c r="A3892" s="107">
        <v>1627783.0</v>
      </c>
      <c r="B3892" s="108" t="s">
        <v>246</v>
      </c>
      <c r="C3892" s="108" t="s">
        <v>939</v>
      </c>
      <c r="D3892" s="112" t="s">
        <v>184</v>
      </c>
      <c r="E3892" s="112">
        <v>2550.6</v>
      </c>
      <c r="F3892" s="111" t="str">
        <f>DataPull!D3892</f>
        <v/>
      </c>
      <c r="G3892" s="94" t="str">
        <f t="shared" si="2"/>
        <v/>
      </c>
      <c r="H3892" s="94" t="str">
        <f t="shared" si="3"/>
        <v/>
      </c>
      <c r="I3892" s="94" t="str">
        <f t="shared" ref="I3892:J3892" si="3893">if(G3892 = "", , -G3892)</f>
        <v/>
      </c>
      <c r="J3892" s="94" t="str">
        <f t="shared" si="3893"/>
        <v/>
      </c>
      <c r="K3892" s="100"/>
      <c r="M3892" s="100"/>
      <c r="N3892" s="100"/>
      <c r="O3892" s="100"/>
      <c r="P3892" s="100"/>
    </row>
    <row r="3893">
      <c r="A3893" s="114">
        <v>1627783.0</v>
      </c>
      <c r="B3893" s="113" t="s">
        <v>247</v>
      </c>
      <c r="C3893" s="113" t="s">
        <v>939</v>
      </c>
      <c r="D3893" s="112" t="s">
        <v>184</v>
      </c>
      <c r="E3893" s="112">
        <v>2058.4</v>
      </c>
      <c r="F3893" s="111" t="str">
        <f>DataPull!D3893</f>
        <v/>
      </c>
      <c r="G3893" s="94" t="str">
        <f t="shared" si="2"/>
        <v/>
      </c>
      <c r="H3893" s="94" t="str">
        <f t="shared" si="3"/>
        <v/>
      </c>
      <c r="I3893" s="94" t="str">
        <f t="shared" ref="I3893:J3893" si="3894">if(G3893 = "", , -G3893)</f>
        <v/>
      </c>
      <c r="J3893" s="94" t="str">
        <f t="shared" si="3894"/>
        <v/>
      </c>
      <c r="K3893" s="100"/>
      <c r="M3893" s="100"/>
      <c r="N3893" s="100"/>
      <c r="O3893" s="100"/>
      <c r="P3893" s="100"/>
    </row>
    <row r="3894">
      <c r="A3894" s="107">
        <v>1627784.0</v>
      </c>
      <c r="B3894" s="108" t="s">
        <v>190</v>
      </c>
      <c r="C3894" s="108" t="s">
        <v>940</v>
      </c>
      <c r="D3894" s="112" t="s">
        <v>187</v>
      </c>
      <c r="E3894" s="112">
        <v>114.3</v>
      </c>
      <c r="F3894" s="111" t="str">
        <f>DataPull!D3894</f>
        <v/>
      </c>
      <c r="G3894" s="94" t="str">
        <f t="shared" si="2"/>
        <v/>
      </c>
      <c r="H3894" s="94" t="str">
        <f t="shared" si="3"/>
        <v/>
      </c>
      <c r="I3894" s="94" t="str">
        <f t="shared" ref="I3894:J3894" si="3895">if(G3894 = "", , -G3894)</f>
        <v/>
      </c>
      <c r="J3894" s="94" t="str">
        <f t="shared" si="3895"/>
        <v/>
      </c>
      <c r="K3894" s="100"/>
      <c r="M3894" s="100"/>
      <c r="N3894" s="100"/>
      <c r="O3894" s="100"/>
      <c r="P3894" s="100"/>
    </row>
    <row r="3895">
      <c r="A3895" s="107">
        <v>1627784.0</v>
      </c>
      <c r="B3895" s="108" t="s">
        <v>193</v>
      </c>
      <c r="C3895" s="108" t="s">
        <v>940</v>
      </c>
      <c r="D3895" s="112" t="s">
        <v>181</v>
      </c>
      <c r="E3895" s="112">
        <v>53.2</v>
      </c>
      <c r="F3895" s="111" t="str">
        <f>DataPull!D3895</f>
        <v/>
      </c>
      <c r="G3895" s="94" t="str">
        <f t="shared" si="2"/>
        <v/>
      </c>
      <c r="H3895" s="94" t="str">
        <f t="shared" si="3"/>
        <v/>
      </c>
      <c r="I3895" s="94" t="str">
        <f t="shared" ref="I3895:J3895" si="3896">if(G3895 = "", , -G3895)</f>
        <v/>
      </c>
      <c r="J3895" s="94" t="str">
        <f t="shared" si="3896"/>
        <v/>
      </c>
      <c r="K3895" s="100"/>
      <c r="M3895" s="100"/>
      <c r="N3895" s="100"/>
      <c r="O3895" s="100"/>
      <c r="P3895" s="100"/>
    </row>
    <row r="3896">
      <c r="A3896" s="107">
        <v>1627785.0</v>
      </c>
      <c r="B3896" s="108" t="s">
        <v>190</v>
      </c>
      <c r="C3896" s="108" t="s">
        <v>941</v>
      </c>
      <c r="D3896" s="112" t="s">
        <v>176</v>
      </c>
      <c r="E3896" s="112">
        <v>1642.5</v>
      </c>
      <c r="F3896" s="111" t="str">
        <f>DataPull!D3896</f>
        <v/>
      </c>
      <c r="G3896" s="94" t="str">
        <f t="shared" si="2"/>
        <v/>
      </c>
      <c r="H3896" s="94" t="str">
        <f t="shared" si="3"/>
        <v/>
      </c>
      <c r="I3896" s="94" t="str">
        <f t="shared" ref="I3896:J3896" si="3897">if(G3896 = "", , -G3896)</f>
        <v/>
      </c>
      <c r="J3896" s="94" t="str">
        <f t="shared" si="3897"/>
        <v/>
      </c>
      <c r="K3896" s="100"/>
      <c r="M3896" s="100"/>
      <c r="N3896" s="100"/>
      <c r="O3896" s="100"/>
      <c r="P3896" s="100"/>
    </row>
    <row r="3897">
      <c r="A3897" s="107">
        <v>1627785.0</v>
      </c>
      <c r="B3897" s="108" t="s">
        <v>191</v>
      </c>
      <c r="C3897" s="108" t="s">
        <v>941</v>
      </c>
      <c r="D3897" s="112" t="s">
        <v>187</v>
      </c>
      <c r="E3897" s="112">
        <v>179.2</v>
      </c>
      <c r="F3897" s="111" t="str">
        <f>DataPull!D3897</f>
        <v/>
      </c>
      <c r="G3897" s="94" t="str">
        <f t="shared" si="2"/>
        <v/>
      </c>
      <c r="H3897" s="94" t="str">
        <f t="shared" si="3"/>
        <v/>
      </c>
      <c r="I3897" s="94" t="str">
        <f t="shared" ref="I3897:J3897" si="3898">if(G3897 = "", , -G3897)</f>
        <v/>
      </c>
      <c r="J3897" s="94" t="str">
        <f t="shared" si="3898"/>
        <v/>
      </c>
      <c r="K3897" s="100"/>
      <c r="L3897" s="100"/>
      <c r="N3897" s="100"/>
      <c r="O3897" s="100"/>
      <c r="P3897" s="100"/>
    </row>
    <row r="3898">
      <c r="A3898" s="107">
        <v>1627786.0</v>
      </c>
      <c r="B3898" s="108" t="s">
        <v>190</v>
      </c>
      <c r="C3898" s="108" t="s">
        <v>942</v>
      </c>
      <c r="D3898" s="112" t="s">
        <v>177</v>
      </c>
      <c r="E3898" s="112">
        <v>558.0</v>
      </c>
      <c r="F3898" s="111" t="str">
        <f>DataPull!D3898</f>
        <v/>
      </c>
      <c r="G3898" s="94" t="str">
        <f t="shared" si="2"/>
        <v/>
      </c>
      <c r="H3898" s="94" t="str">
        <f t="shared" si="3"/>
        <v/>
      </c>
      <c r="I3898" s="94" t="str">
        <f t="shared" ref="I3898:J3898" si="3899">if(G3898 = "", , -G3898)</f>
        <v/>
      </c>
      <c r="J3898" s="94" t="str">
        <f t="shared" si="3899"/>
        <v/>
      </c>
      <c r="K3898" s="100"/>
      <c r="M3898" s="100"/>
      <c r="N3898" s="100"/>
      <c r="O3898" s="100"/>
      <c r="P3898" s="100"/>
    </row>
    <row r="3899">
      <c r="A3899" s="107">
        <v>1627786.0</v>
      </c>
      <c r="B3899" s="108" t="s">
        <v>191</v>
      </c>
      <c r="C3899" s="108" t="s">
        <v>942</v>
      </c>
      <c r="D3899" s="112" t="s">
        <v>187</v>
      </c>
      <c r="E3899" s="112">
        <v>306.6</v>
      </c>
      <c r="F3899" s="111" t="str">
        <f>DataPull!D3899</f>
        <v/>
      </c>
      <c r="G3899" s="94" t="str">
        <f t="shared" si="2"/>
        <v/>
      </c>
      <c r="H3899" s="94" t="str">
        <f t="shared" si="3"/>
        <v/>
      </c>
      <c r="I3899" s="94" t="str">
        <f t="shared" ref="I3899:J3899" si="3900">if(G3899 = "", , -G3899)</f>
        <v/>
      </c>
      <c r="J3899" s="94" t="str">
        <f t="shared" si="3900"/>
        <v/>
      </c>
      <c r="K3899" s="100"/>
      <c r="M3899" s="100"/>
      <c r="N3899" s="100"/>
      <c r="O3899" s="100"/>
    </row>
    <row r="3900">
      <c r="A3900" s="107">
        <v>1627786.0</v>
      </c>
      <c r="B3900" s="108" t="s">
        <v>192</v>
      </c>
      <c r="C3900" s="108" t="s">
        <v>942</v>
      </c>
      <c r="D3900" s="112" t="s">
        <v>177</v>
      </c>
      <c r="E3900" s="112">
        <v>312.9</v>
      </c>
      <c r="F3900" s="111" t="str">
        <f>DataPull!D3900</f>
        <v/>
      </c>
      <c r="G3900" s="94" t="str">
        <f t="shared" si="2"/>
        <v/>
      </c>
      <c r="H3900" s="94" t="str">
        <f t="shared" si="3"/>
        <v/>
      </c>
      <c r="I3900" s="94" t="str">
        <f t="shared" ref="I3900:J3900" si="3901">if(G3900 = "", , -G3900)</f>
        <v/>
      </c>
      <c r="J3900" s="94" t="str">
        <f t="shared" si="3901"/>
        <v/>
      </c>
      <c r="K3900" s="100"/>
      <c r="M3900" s="100"/>
      <c r="N3900" s="100"/>
      <c r="O3900" s="100"/>
      <c r="P3900" s="100"/>
    </row>
    <row r="3901">
      <c r="A3901" s="107">
        <v>1627787.0</v>
      </c>
      <c r="B3901" s="108" t="s">
        <v>190</v>
      </c>
      <c r="C3901" s="108" t="s">
        <v>943</v>
      </c>
      <c r="D3901" s="112" t="s">
        <v>187</v>
      </c>
      <c r="E3901" s="112">
        <v>43.4</v>
      </c>
      <c r="F3901" s="111" t="str">
        <f>DataPull!D3901</f>
        <v/>
      </c>
      <c r="G3901" s="94" t="str">
        <f t="shared" si="2"/>
        <v/>
      </c>
      <c r="H3901" s="94" t="str">
        <f t="shared" si="3"/>
        <v/>
      </c>
      <c r="I3901" s="94" t="str">
        <f t="shared" ref="I3901:J3901" si="3902">if(G3901 = "", , -G3901)</f>
        <v/>
      </c>
      <c r="J3901" s="94" t="str">
        <f t="shared" si="3902"/>
        <v/>
      </c>
      <c r="K3901" s="100"/>
      <c r="M3901" s="100"/>
      <c r="N3901" s="100"/>
      <c r="O3901" s="100"/>
      <c r="P3901" s="100"/>
    </row>
    <row r="3902">
      <c r="A3902" s="107">
        <v>1627788.0</v>
      </c>
      <c r="B3902" s="108" t="s">
        <v>191</v>
      </c>
      <c r="C3902" s="108" t="s">
        <v>944</v>
      </c>
      <c r="D3902" s="112" t="s">
        <v>187</v>
      </c>
      <c r="E3902" s="112">
        <v>79.8</v>
      </c>
      <c r="F3902" s="111" t="str">
        <f>DataPull!D3902</f>
        <v/>
      </c>
      <c r="G3902" s="94" t="str">
        <f t="shared" si="2"/>
        <v/>
      </c>
      <c r="H3902" s="94" t="str">
        <f t="shared" si="3"/>
        <v/>
      </c>
      <c r="I3902" s="94" t="str">
        <f t="shared" ref="I3902:J3902" si="3903">if(G3902 = "", , -G3902)</f>
        <v/>
      </c>
      <c r="J3902" s="94" t="str">
        <f t="shared" si="3903"/>
        <v/>
      </c>
      <c r="K3902" s="100"/>
      <c r="M3902" s="100"/>
      <c r="N3902" s="100"/>
      <c r="O3902" s="100"/>
      <c r="P3902" s="100"/>
    </row>
    <row r="3903">
      <c r="A3903" s="107">
        <v>1627788.0</v>
      </c>
      <c r="B3903" s="108" t="s">
        <v>192</v>
      </c>
      <c r="C3903" s="108" t="s">
        <v>944</v>
      </c>
      <c r="D3903" s="112" t="s">
        <v>177</v>
      </c>
      <c r="E3903" s="112">
        <v>681.6</v>
      </c>
      <c r="F3903" s="111" t="str">
        <f>DataPull!D3903</f>
        <v/>
      </c>
      <c r="G3903" s="94" t="str">
        <f t="shared" si="2"/>
        <v/>
      </c>
      <c r="H3903" s="94" t="str">
        <f t="shared" si="3"/>
        <v/>
      </c>
      <c r="I3903" s="94" t="str">
        <f t="shared" ref="I3903:J3903" si="3904">if(G3903 = "", , -G3903)</f>
        <v/>
      </c>
      <c r="J3903" s="94" t="str">
        <f t="shared" si="3904"/>
        <v/>
      </c>
      <c r="K3903" s="100"/>
      <c r="L3903" s="100"/>
      <c r="N3903" s="100"/>
      <c r="O3903" s="100"/>
      <c r="P3903" s="100"/>
    </row>
    <row r="3904">
      <c r="A3904" s="107">
        <v>1627788.0</v>
      </c>
      <c r="B3904" s="108" t="s">
        <v>193</v>
      </c>
      <c r="C3904" s="108" t="s">
        <v>944</v>
      </c>
      <c r="D3904" s="112" t="s">
        <v>176</v>
      </c>
      <c r="E3904" s="112">
        <v>1562.4</v>
      </c>
      <c r="F3904" s="111" t="str">
        <f>DataPull!D3904</f>
        <v/>
      </c>
      <c r="G3904" s="94" t="str">
        <f t="shared" si="2"/>
        <v/>
      </c>
      <c r="H3904" s="94" t="str">
        <f t="shared" si="3"/>
        <v/>
      </c>
      <c r="I3904" s="94" t="str">
        <f t="shared" ref="I3904:J3904" si="3905">if(G3904 = "", , -G3904)</f>
        <v/>
      </c>
      <c r="J3904" s="94" t="str">
        <f t="shared" si="3905"/>
        <v/>
      </c>
      <c r="K3904" s="100"/>
      <c r="M3904" s="100"/>
      <c r="N3904" s="100"/>
      <c r="O3904" s="100"/>
      <c r="P3904" s="100"/>
    </row>
    <row r="3905">
      <c r="A3905" s="107">
        <v>1627788.0</v>
      </c>
      <c r="B3905" s="108" t="s">
        <v>243</v>
      </c>
      <c r="C3905" s="108" t="s">
        <v>944</v>
      </c>
      <c r="D3905" s="112" t="s">
        <v>177</v>
      </c>
      <c r="E3905" s="112">
        <v>1061.5</v>
      </c>
      <c r="F3905" s="111" t="str">
        <f>DataPull!D3905</f>
        <v/>
      </c>
      <c r="G3905" s="94" t="str">
        <f t="shared" si="2"/>
        <v/>
      </c>
      <c r="H3905" s="94" t="str">
        <f t="shared" si="3"/>
        <v/>
      </c>
      <c r="I3905" s="94" t="str">
        <f t="shared" ref="I3905:J3905" si="3906">if(G3905 = "", , -G3905)</f>
        <v/>
      </c>
      <c r="J3905" s="94" t="str">
        <f t="shared" si="3906"/>
        <v/>
      </c>
      <c r="K3905" s="100"/>
      <c r="M3905" s="100"/>
      <c r="N3905" s="100"/>
      <c r="O3905" s="100"/>
      <c r="P3905" s="100"/>
    </row>
    <row r="3906">
      <c r="A3906" s="107">
        <v>1627788.0</v>
      </c>
      <c r="B3906" s="108" t="s">
        <v>215</v>
      </c>
      <c r="C3906" s="108" t="s">
        <v>944</v>
      </c>
      <c r="D3906" s="112" t="s">
        <v>177</v>
      </c>
      <c r="E3906" s="112">
        <v>1413.7</v>
      </c>
      <c r="F3906" s="111" t="str">
        <f>DataPull!D3906</f>
        <v/>
      </c>
      <c r="G3906" s="94" t="str">
        <f t="shared" si="2"/>
        <v/>
      </c>
      <c r="H3906" s="94" t="str">
        <f t="shared" si="3"/>
        <v/>
      </c>
      <c r="I3906" s="94" t="str">
        <f t="shared" ref="I3906:J3906" si="3907">if(G3906 = "", , -G3906)</f>
        <v/>
      </c>
      <c r="J3906" s="94" t="str">
        <f t="shared" si="3907"/>
        <v/>
      </c>
      <c r="K3906" s="100"/>
      <c r="M3906" s="100"/>
      <c r="N3906" s="100"/>
      <c r="O3906" s="100"/>
      <c r="P3906" s="100"/>
    </row>
    <row r="3907">
      <c r="A3907" s="107">
        <v>1627788.0</v>
      </c>
      <c r="B3907" s="108" t="s">
        <v>244</v>
      </c>
      <c r="C3907" s="108" t="s">
        <v>944</v>
      </c>
      <c r="D3907" s="112" t="s">
        <v>187</v>
      </c>
      <c r="E3907" s="112">
        <v>355.2</v>
      </c>
      <c r="F3907" s="111" t="str">
        <f>DataPull!D3907</f>
        <v/>
      </c>
      <c r="G3907" s="94" t="str">
        <f t="shared" si="2"/>
        <v/>
      </c>
      <c r="H3907" s="94" t="str">
        <f t="shared" si="3"/>
        <v/>
      </c>
      <c r="I3907" s="94" t="str">
        <f t="shared" ref="I3907:J3907" si="3908">if(G3907 = "", , -G3907)</f>
        <v/>
      </c>
      <c r="J3907" s="94" t="str">
        <f t="shared" si="3908"/>
        <v/>
      </c>
      <c r="K3907" s="100"/>
      <c r="M3907" s="100"/>
      <c r="N3907" s="100"/>
      <c r="O3907" s="100"/>
      <c r="P3907" s="100"/>
    </row>
    <row r="3908">
      <c r="A3908" s="107">
        <v>1627788.0</v>
      </c>
      <c r="B3908" s="108" t="s">
        <v>245</v>
      </c>
      <c r="C3908" s="108" t="s">
        <v>944</v>
      </c>
      <c r="D3908" s="112" t="s">
        <v>187</v>
      </c>
      <c r="E3908" s="112">
        <v>301.0</v>
      </c>
      <c r="F3908" s="111" t="str">
        <f>DataPull!D3908</f>
        <v/>
      </c>
      <c r="G3908" s="94" t="str">
        <f t="shared" si="2"/>
        <v/>
      </c>
      <c r="H3908" s="94" t="str">
        <f t="shared" si="3"/>
        <v/>
      </c>
      <c r="I3908" s="94" t="str">
        <f t="shared" ref="I3908:J3908" si="3909">if(G3908 = "", , -G3908)</f>
        <v/>
      </c>
      <c r="J3908" s="94" t="str">
        <f t="shared" si="3909"/>
        <v/>
      </c>
      <c r="K3908" s="100"/>
      <c r="M3908" s="100"/>
      <c r="N3908" s="100"/>
      <c r="O3908" s="100"/>
      <c r="P3908" s="100"/>
    </row>
    <row r="3909">
      <c r="A3909" s="107">
        <v>1627789.0</v>
      </c>
      <c r="B3909" s="108" t="s">
        <v>190</v>
      </c>
      <c r="C3909" s="108" t="s">
        <v>945</v>
      </c>
      <c r="D3909" s="112" t="s">
        <v>177</v>
      </c>
      <c r="E3909" s="112">
        <v>1186.8</v>
      </c>
      <c r="F3909" s="111" t="str">
        <f>DataPull!D3909</f>
        <v/>
      </c>
      <c r="G3909" s="94" t="str">
        <f t="shared" si="2"/>
        <v/>
      </c>
      <c r="H3909" s="94" t="str">
        <f t="shared" si="3"/>
        <v/>
      </c>
      <c r="I3909" s="94" t="str">
        <f t="shared" ref="I3909:J3909" si="3910">if(G3909 = "", , -G3909)</f>
        <v/>
      </c>
      <c r="J3909" s="94" t="str">
        <f t="shared" si="3910"/>
        <v/>
      </c>
      <c r="K3909" s="100"/>
      <c r="M3909" s="100"/>
      <c r="N3909" s="100"/>
      <c r="O3909" s="100"/>
      <c r="P3909" s="100"/>
    </row>
    <row r="3910">
      <c r="A3910" s="107">
        <v>1627789.0</v>
      </c>
      <c r="B3910" s="108" t="s">
        <v>191</v>
      </c>
      <c r="C3910" s="108" t="s">
        <v>945</v>
      </c>
      <c r="D3910" s="112" t="s">
        <v>177</v>
      </c>
      <c r="E3910" s="112">
        <v>806.0</v>
      </c>
      <c r="F3910" s="111" t="str">
        <f>DataPull!D3910</f>
        <v/>
      </c>
      <c r="G3910" s="94" t="str">
        <f t="shared" si="2"/>
        <v/>
      </c>
      <c r="H3910" s="94" t="str">
        <f t="shared" si="3"/>
        <v/>
      </c>
      <c r="I3910" s="94" t="str">
        <f t="shared" ref="I3910:J3910" si="3911">if(G3910 = "", , -G3910)</f>
        <v/>
      </c>
      <c r="J3910" s="94" t="str">
        <f t="shared" si="3911"/>
        <v/>
      </c>
      <c r="K3910" s="100"/>
      <c r="M3910" s="100"/>
      <c r="N3910" s="100"/>
      <c r="O3910" s="100"/>
      <c r="P3910" s="100"/>
    </row>
    <row r="3911">
      <c r="A3911" s="107">
        <v>1627789.0</v>
      </c>
      <c r="B3911" s="108" t="s">
        <v>192</v>
      </c>
      <c r="C3911" s="108" t="s">
        <v>945</v>
      </c>
      <c r="D3911" s="112" t="s">
        <v>177</v>
      </c>
      <c r="E3911" s="112">
        <v>670.0</v>
      </c>
      <c r="F3911" s="111" t="str">
        <f>DataPull!D3911</f>
        <v/>
      </c>
      <c r="G3911" s="94" t="str">
        <f t="shared" si="2"/>
        <v/>
      </c>
      <c r="H3911" s="94" t="str">
        <f t="shared" si="3"/>
        <v/>
      </c>
      <c r="I3911" s="94" t="str">
        <f t="shared" ref="I3911:J3911" si="3912">if(G3911 = "", , -G3911)</f>
        <v/>
      </c>
      <c r="J3911" s="94" t="str">
        <f t="shared" si="3912"/>
        <v/>
      </c>
      <c r="K3911" s="100"/>
      <c r="M3911" s="100"/>
      <c r="N3911" s="100"/>
      <c r="O3911" s="100"/>
      <c r="P3911" s="100"/>
    </row>
    <row r="3912">
      <c r="A3912" s="107">
        <v>1627789.0</v>
      </c>
      <c r="B3912" s="108" t="s">
        <v>193</v>
      </c>
      <c r="C3912" s="108" t="s">
        <v>945</v>
      </c>
      <c r="D3912" s="112" t="s">
        <v>177</v>
      </c>
      <c r="E3912" s="112">
        <v>850.7</v>
      </c>
      <c r="F3912" s="111" t="str">
        <f>DataPull!D3912</f>
        <v/>
      </c>
      <c r="G3912" s="94" t="str">
        <f t="shared" si="2"/>
        <v/>
      </c>
      <c r="H3912" s="94" t="str">
        <f t="shared" si="3"/>
        <v/>
      </c>
      <c r="I3912" s="94" t="str">
        <f t="shared" ref="I3912:J3912" si="3913">if(G3912 = "", , -G3912)</f>
        <v/>
      </c>
      <c r="J3912" s="94" t="str">
        <f t="shared" si="3913"/>
        <v/>
      </c>
      <c r="K3912" s="100"/>
      <c r="M3912" s="100"/>
      <c r="N3912" s="100"/>
      <c r="O3912" s="100"/>
      <c r="P3912" s="100"/>
    </row>
    <row r="3913">
      <c r="A3913" s="107">
        <v>1627789.0</v>
      </c>
      <c r="B3913" s="108" t="s">
        <v>243</v>
      </c>
      <c r="C3913" s="108" t="s">
        <v>945</v>
      </c>
      <c r="D3913" s="112" t="s">
        <v>177</v>
      </c>
      <c r="E3913" s="112">
        <v>1049.8</v>
      </c>
      <c r="F3913" s="111" t="str">
        <f>DataPull!D3913</f>
        <v/>
      </c>
      <c r="G3913" s="94" t="str">
        <f t="shared" si="2"/>
        <v/>
      </c>
      <c r="H3913" s="94" t="str">
        <f t="shared" si="3"/>
        <v/>
      </c>
      <c r="I3913" s="94" t="str">
        <f t="shared" ref="I3913:J3913" si="3914">if(G3913 = "", , -G3913)</f>
        <v/>
      </c>
      <c r="J3913" s="94" t="str">
        <f t="shared" si="3914"/>
        <v/>
      </c>
      <c r="K3913" s="100"/>
      <c r="M3913" s="100"/>
      <c r="N3913" s="100"/>
      <c r="O3913" s="100"/>
      <c r="P3913" s="100"/>
    </row>
    <row r="3914">
      <c r="A3914" s="107">
        <v>1627789.0</v>
      </c>
      <c r="B3914" s="108" t="s">
        <v>215</v>
      </c>
      <c r="C3914" s="108" t="s">
        <v>945</v>
      </c>
      <c r="D3914" s="112" t="s">
        <v>177</v>
      </c>
      <c r="E3914" s="112">
        <v>686.4</v>
      </c>
      <c r="F3914" s="111" t="str">
        <f>DataPull!D3914</f>
        <v/>
      </c>
      <c r="G3914" s="94" t="str">
        <f t="shared" si="2"/>
        <v/>
      </c>
      <c r="H3914" s="94" t="str">
        <f t="shared" si="3"/>
        <v/>
      </c>
      <c r="I3914" s="94" t="str">
        <f t="shared" ref="I3914:J3914" si="3915">if(G3914 = "", , -G3914)</f>
        <v/>
      </c>
      <c r="J3914" s="94" t="str">
        <f t="shared" si="3915"/>
        <v/>
      </c>
      <c r="K3914" s="100"/>
      <c r="M3914" s="100"/>
      <c r="N3914" s="100"/>
      <c r="O3914" s="100"/>
      <c r="P3914" s="100"/>
    </row>
    <row r="3915">
      <c r="A3915" s="107">
        <v>1627790.0</v>
      </c>
      <c r="B3915" s="108" t="s">
        <v>191</v>
      </c>
      <c r="C3915" s="108" t="s">
        <v>946</v>
      </c>
      <c r="D3915" s="112" t="s">
        <v>187</v>
      </c>
      <c r="E3915" s="112">
        <v>214.4</v>
      </c>
      <c r="F3915" s="111" t="str">
        <f>DataPull!D3915</f>
        <v/>
      </c>
      <c r="G3915" s="94" t="str">
        <f t="shared" si="2"/>
        <v/>
      </c>
      <c r="H3915" s="94" t="str">
        <f t="shared" si="3"/>
        <v/>
      </c>
      <c r="I3915" s="94" t="str">
        <f t="shared" ref="I3915:J3915" si="3916">if(G3915 = "", , -G3915)</f>
        <v/>
      </c>
      <c r="J3915" s="94" t="str">
        <f t="shared" si="3916"/>
        <v/>
      </c>
      <c r="K3915" s="100"/>
      <c r="M3915" s="100"/>
      <c r="N3915" s="100"/>
      <c r="O3915" s="100"/>
      <c r="P3915" s="100"/>
    </row>
    <row r="3916">
      <c r="A3916" s="107">
        <v>1627790.0</v>
      </c>
      <c r="B3916" s="108" t="s">
        <v>192</v>
      </c>
      <c r="C3916" s="108" t="s">
        <v>946</v>
      </c>
      <c r="D3916" s="112" t="s">
        <v>177</v>
      </c>
      <c r="E3916" s="112">
        <v>1079.7</v>
      </c>
      <c r="F3916" s="111" t="str">
        <f>DataPull!D3916</f>
        <v/>
      </c>
      <c r="G3916" s="94" t="str">
        <f t="shared" si="2"/>
        <v/>
      </c>
      <c r="H3916" s="94" t="str">
        <f t="shared" si="3"/>
        <v/>
      </c>
      <c r="I3916" s="94" t="str">
        <f t="shared" ref="I3916:J3916" si="3917">if(G3916 = "", , -G3916)</f>
        <v/>
      </c>
      <c r="J3916" s="94" t="str">
        <f t="shared" si="3917"/>
        <v/>
      </c>
      <c r="K3916" s="100"/>
      <c r="M3916" s="100"/>
      <c r="N3916" s="100"/>
      <c r="O3916" s="100"/>
      <c r="P3916" s="100"/>
    </row>
    <row r="3917">
      <c r="A3917" s="107">
        <v>1627790.0</v>
      </c>
      <c r="B3917" s="108" t="s">
        <v>193</v>
      </c>
      <c r="C3917" s="108" t="s">
        <v>946</v>
      </c>
      <c r="D3917" s="112" t="s">
        <v>187</v>
      </c>
      <c r="E3917" s="112">
        <v>220.0</v>
      </c>
      <c r="F3917" s="111" t="str">
        <f>DataPull!D3917</f>
        <v/>
      </c>
      <c r="G3917" s="94" t="str">
        <f t="shared" si="2"/>
        <v/>
      </c>
      <c r="H3917" s="94" t="str">
        <f t="shared" si="3"/>
        <v/>
      </c>
      <c r="I3917" s="94" t="str">
        <f t="shared" ref="I3917:J3917" si="3918">if(G3917 = "", , -G3917)</f>
        <v/>
      </c>
      <c r="J3917" s="94" t="str">
        <f t="shared" si="3918"/>
        <v/>
      </c>
      <c r="K3917" s="100"/>
      <c r="M3917" s="100"/>
      <c r="N3917" s="100"/>
      <c r="O3917" s="100"/>
      <c r="P3917" s="100"/>
    </row>
    <row r="3918">
      <c r="A3918" s="107">
        <v>1627791.0</v>
      </c>
      <c r="B3918" s="108" t="s">
        <v>190</v>
      </c>
      <c r="C3918" s="108" t="s">
        <v>947</v>
      </c>
      <c r="D3918" s="112" t="s">
        <v>181</v>
      </c>
      <c r="E3918" s="112">
        <v>9.9</v>
      </c>
      <c r="F3918" s="111" t="str">
        <f>DataPull!D3918</f>
        <v/>
      </c>
      <c r="G3918" s="94" t="str">
        <f t="shared" si="2"/>
        <v/>
      </c>
      <c r="H3918" s="94" t="str">
        <f t="shared" si="3"/>
        <v/>
      </c>
      <c r="I3918" s="94" t="str">
        <f t="shared" ref="I3918:J3918" si="3919">if(G3918 = "", , -G3918)</f>
        <v/>
      </c>
      <c r="J3918" s="94" t="str">
        <f t="shared" si="3919"/>
        <v/>
      </c>
      <c r="K3918" s="100"/>
      <c r="M3918" s="100"/>
      <c r="N3918" s="100"/>
      <c r="O3918" s="100"/>
      <c r="P3918" s="100"/>
    </row>
    <row r="3919">
      <c r="A3919" s="107">
        <v>1627812.0</v>
      </c>
      <c r="B3919" s="108" t="s">
        <v>190</v>
      </c>
      <c r="C3919" s="108" t="s">
        <v>948</v>
      </c>
      <c r="D3919" s="112" t="s">
        <v>178</v>
      </c>
      <c r="E3919" s="112">
        <v>1196.0</v>
      </c>
      <c r="F3919" s="111" t="str">
        <f>DataPull!D3919</f>
        <v/>
      </c>
      <c r="G3919" s="94" t="str">
        <f t="shared" si="2"/>
        <v/>
      </c>
      <c r="H3919" s="94" t="str">
        <f t="shared" si="3"/>
        <v/>
      </c>
      <c r="I3919" s="94" t="str">
        <f t="shared" ref="I3919:J3919" si="3920">if(G3919 = "", , -G3919)</f>
        <v/>
      </c>
      <c r="J3919" s="94" t="str">
        <f t="shared" si="3920"/>
        <v/>
      </c>
      <c r="K3919" s="100"/>
      <c r="M3919" s="100"/>
      <c r="N3919" s="100"/>
      <c r="O3919" s="100"/>
      <c r="P3919" s="100"/>
    </row>
    <row r="3920">
      <c r="A3920" s="107">
        <v>1627812.0</v>
      </c>
      <c r="B3920" s="108" t="s">
        <v>191</v>
      </c>
      <c r="C3920" s="108" t="s">
        <v>948</v>
      </c>
      <c r="D3920" s="112" t="s">
        <v>178</v>
      </c>
      <c r="E3920" s="112">
        <v>2279.6</v>
      </c>
      <c r="F3920" s="111" t="str">
        <f>DataPull!D3920</f>
        <v/>
      </c>
      <c r="G3920" s="94" t="str">
        <f t="shared" si="2"/>
        <v/>
      </c>
      <c r="H3920" s="94" t="str">
        <f t="shared" si="3"/>
        <v/>
      </c>
      <c r="I3920" s="94" t="str">
        <f t="shared" ref="I3920:J3920" si="3921">if(G3920 = "", , -G3920)</f>
        <v/>
      </c>
      <c r="J3920" s="94" t="str">
        <f t="shared" si="3921"/>
        <v/>
      </c>
      <c r="K3920" s="100"/>
      <c r="M3920" s="100"/>
      <c r="N3920" s="100"/>
      <c r="O3920" s="100"/>
      <c r="P3920" s="100"/>
    </row>
    <row r="3921">
      <c r="A3921" s="107">
        <v>1627812.0</v>
      </c>
      <c r="B3921" s="108" t="s">
        <v>192</v>
      </c>
      <c r="C3921" s="108" t="s">
        <v>948</v>
      </c>
      <c r="D3921" s="112" t="s">
        <v>177</v>
      </c>
      <c r="E3921" s="112">
        <v>1065.0</v>
      </c>
      <c r="F3921" s="111" t="str">
        <f>DataPull!D3921</f>
        <v/>
      </c>
      <c r="G3921" s="94" t="str">
        <f t="shared" si="2"/>
        <v/>
      </c>
      <c r="H3921" s="94" t="str">
        <f t="shared" si="3"/>
        <v/>
      </c>
      <c r="I3921" s="94" t="str">
        <f t="shared" ref="I3921:J3921" si="3922">if(G3921 = "", , -G3921)</f>
        <v/>
      </c>
      <c r="J3921" s="94" t="str">
        <f t="shared" si="3922"/>
        <v/>
      </c>
      <c r="K3921" s="100"/>
      <c r="M3921" s="100"/>
      <c r="N3921" s="100"/>
      <c r="O3921" s="100"/>
      <c r="P3921" s="100"/>
    </row>
    <row r="3922">
      <c r="A3922" s="107">
        <v>1627812.0</v>
      </c>
      <c r="B3922" s="108" t="s">
        <v>193</v>
      </c>
      <c r="C3922" s="108" t="s">
        <v>948</v>
      </c>
      <c r="D3922" s="112" t="s">
        <v>187</v>
      </c>
      <c r="E3922" s="112">
        <v>530.0</v>
      </c>
      <c r="F3922" s="111" t="str">
        <f>DataPull!D3922</f>
        <v/>
      </c>
      <c r="G3922" s="94" t="str">
        <f t="shared" si="2"/>
        <v/>
      </c>
      <c r="H3922" s="94" t="str">
        <f t="shared" si="3"/>
        <v/>
      </c>
      <c r="I3922" s="94" t="str">
        <f t="shared" ref="I3922:J3922" si="3923">if(G3922 = "", , -G3922)</f>
        <v/>
      </c>
      <c r="J3922" s="94" t="str">
        <f t="shared" si="3923"/>
        <v/>
      </c>
      <c r="K3922" s="100"/>
      <c r="M3922" s="100"/>
      <c r="N3922" s="100"/>
      <c r="O3922" s="100"/>
      <c r="P3922" s="100"/>
    </row>
    <row r="3923">
      <c r="A3923" s="107">
        <v>1627812.0</v>
      </c>
      <c r="B3923" s="108" t="s">
        <v>243</v>
      </c>
      <c r="C3923" s="108" t="s">
        <v>948</v>
      </c>
      <c r="D3923" s="112" t="s">
        <v>187</v>
      </c>
      <c r="E3923" s="112">
        <v>137.0</v>
      </c>
      <c r="F3923" s="111" t="str">
        <f>DataPull!D3923</f>
        <v/>
      </c>
      <c r="G3923" s="94" t="str">
        <f t="shared" si="2"/>
        <v/>
      </c>
      <c r="H3923" s="94" t="str">
        <f t="shared" si="3"/>
        <v/>
      </c>
      <c r="I3923" s="94" t="str">
        <f t="shared" ref="I3923:J3923" si="3924">if(G3923 = "", , -G3923)</f>
        <v/>
      </c>
      <c r="J3923" s="94" t="str">
        <f t="shared" si="3924"/>
        <v/>
      </c>
      <c r="K3923" s="100"/>
      <c r="M3923" s="100"/>
      <c r="N3923" s="100"/>
      <c r="O3923" s="100"/>
      <c r="P3923" s="100"/>
    </row>
    <row r="3924">
      <c r="A3924" s="107">
        <v>1627814.0</v>
      </c>
      <c r="B3924" s="108" t="s">
        <v>191</v>
      </c>
      <c r="C3924" s="108" t="s">
        <v>949</v>
      </c>
      <c r="D3924" s="112" t="s">
        <v>178</v>
      </c>
      <c r="E3924" s="112">
        <v>405.0</v>
      </c>
      <c r="F3924" s="111" t="str">
        <f>DataPull!D3924</f>
        <v/>
      </c>
      <c r="G3924" s="94" t="str">
        <f t="shared" si="2"/>
        <v/>
      </c>
      <c r="H3924" s="94" t="str">
        <f t="shared" si="3"/>
        <v/>
      </c>
      <c r="I3924" s="94" t="str">
        <f t="shared" ref="I3924:J3924" si="3925">if(G3924 = "", , -G3924)</f>
        <v/>
      </c>
      <c r="J3924" s="94" t="str">
        <f t="shared" si="3925"/>
        <v/>
      </c>
      <c r="K3924" s="100"/>
      <c r="M3924" s="100"/>
      <c r="N3924" s="100"/>
      <c r="O3924" s="100"/>
      <c r="P3924" s="100"/>
    </row>
    <row r="3925">
      <c r="A3925" s="107">
        <v>1627814.0</v>
      </c>
      <c r="B3925" s="108" t="s">
        <v>192</v>
      </c>
      <c r="C3925" s="108" t="s">
        <v>949</v>
      </c>
      <c r="D3925" s="112" t="s">
        <v>177</v>
      </c>
      <c r="E3925" s="112">
        <v>374.4</v>
      </c>
      <c r="F3925" s="111" t="str">
        <f>DataPull!D3925</f>
        <v/>
      </c>
      <c r="G3925" s="94" t="str">
        <f t="shared" si="2"/>
        <v/>
      </c>
      <c r="H3925" s="94" t="str">
        <f t="shared" si="3"/>
        <v/>
      </c>
      <c r="I3925" s="94" t="str">
        <f t="shared" ref="I3925:J3925" si="3926">if(G3925 = "", , -G3925)</f>
        <v/>
      </c>
      <c r="J3925" s="94" t="str">
        <f t="shared" si="3926"/>
        <v/>
      </c>
      <c r="K3925" s="100"/>
      <c r="M3925" s="100"/>
      <c r="N3925" s="100"/>
      <c r="O3925" s="100"/>
      <c r="P3925" s="100"/>
    </row>
    <row r="3926">
      <c r="A3926" s="107">
        <v>1627814.0</v>
      </c>
      <c r="B3926" s="108" t="s">
        <v>193</v>
      </c>
      <c r="C3926" s="108" t="s">
        <v>949</v>
      </c>
      <c r="D3926" s="112" t="s">
        <v>178</v>
      </c>
      <c r="E3926" s="112">
        <v>1421.0</v>
      </c>
      <c r="F3926" s="111" t="str">
        <f>DataPull!D3926</f>
        <v/>
      </c>
      <c r="G3926" s="94" t="str">
        <f t="shared" si="2"/>
        <v/>
      </c>
      <c r="H3926" s="94" t="str">
        <f t="shared" si="3"/>
        <v/>
      </c>
      <c r="I3926" s="94" t="str">
        <f t="shared" ref="I3926:J3926" si="3927">if(G3926 = "", , -G3926)</f>
        <v/>
      </c>
      <c r="J3926" s="94" t="str">
        <f t="shared" si="3927"/>
        <v/>
      </c>
      <c r="K3926" s="100"/>
      <c r="L3926" s="100"/>
      <c r="M3926" s="100"/>
      <c r="N3926" s="100"/>
      <c r="O3926" s="100"/>
      <c r="P3926" s="100"/>
    </row>
    <row r="3927">
      <c r="A3927" s="107">
        <v>1627814.0</v>
      </c>
      <c r="B3927" s="108" t="s">
        <v>243</v>
      </c>
      <c r="C3927" s="108" t="s">
        <v>949</v>
      </c>
      <c r="D3927" s="112" t="s">
        <v>177</v>
      </c>
      <c r="E3927" s="112">
        <v>1077.3</v>
      </c>
      <c r="F3927" s="111" t="str">
        <f>DataPull!D3927</f>
        <v/>
      </c>
      <c r="G3927" s="94" t="str">
        <f t="shared" si="2"/>
        <v/>
      </c>
      <c r="H3927" s="94" t="str">
        <f t="shared" si="3"/>
        <v/>
      </c>
      <c r="I3927" s="94" t="str">
        <f t="shared" ref="I3927:J3927" si="3928">if(G3927 = "", , -G3927)</f>
        <v/>
      </c>
      <c r="J3927" s="94" t="str">
        <f t="shared" si="3928"/>
        <v/>
      </c>
      <c r="K3927" s="100"/>
      <c r="M3927" s="100"/>
      <c r="N3927" s="100"/>
      <c r="O3927" s="100"/>
      <c r="P3927" s="100"/>
    </row>
    <row r="3928">
      <c r="A3928" s="107">
        <v>1627814.0</v>
      </c>
      <c r="B3928" s="108" t="s">
        <v>215</v>
      </c>
      <c r="C3928" s="108" t="s">
        <v>949</v>
      </c>
      <c r="D3928" s="112" t="s">
        <v>177</v>
      </c>
      <c r="E3928" s="112">
        <v>1253.7</v>
      </c>
      <c r="F3928" s="111" t="str">
        <f>DataPull!D3928</f>
        <v/>
      </c>
      <c r="G3928" s="94" t="str">
        <f t="shared" si="2"/>
        <v/>
      </c>
      <c r="H3928" s="94" t="str">
        <f t="shared" si="3"/>
        <v/>
      </c>
      <c r="I3928" s="94" t="str">
        <f t="shared" ref="I3928:J3928" si="3929">if(G3928 = "", , -G3928)</f>
        <v/>
      </c>
      <c r="J3928" s="94" t="str">
        <f t="shared" si="3929"/>
        <v/>
      </c>
      <c r="K3928" s="100"/>
      <c r="L3928" s="100"/>
      <c r="M3928" s="100"/>
      <c r="N3928" s="100"/>
      <c r="O3928" s="100"/>
      <c r="P3928" s="100"/>
    </row>
    <row r="3929">
      <c r="A3929" s="107">
        <v>1627814.0</v>
      </c>
      <c r="B3929" s="108" t="s">
        <v>244</v>
      </c>
      <c r="C3929" s="108" t="s">
        <v>949</v>
      </c>
      <c r="D3929" s="112" t="s">
        <v>176</v>
      </c>
      <c r="E3929" s="112">
        <v>1509.6</v>
      </c>
      <c r="F3929" s="111" t="str">
        <f>DataPull!D3929</f>
        <v/>
      </c>
      <c r="G3929" s="94" t="str">
        <f t="shared" si="2"/>
        <v/>
      </c>
      <c r="H3929" s="94" t="str">
        <f t="shared" si="3"/>
        <v/>
      </c>
      <c r="I3929" s="94" t="str">
        <f t="shared" ref="I3929:J3929" si="3930">if(G3929 = "", , -G3929)</f>
        <v/>
      </c>
      <c r="J3929" s="94" t="str">
        <f t="shared" si="3930"/>
        <v/>
      </c>
      <c r="K3929" s="100"/>
      <c r="M3929" s="100"/>
      <c r="N3929" s="100"/>
      <c r="O3929" s="100"/>
      <c r="P3929" s="100"/>
    </row>
    <row r="3930">
      <c r="A3930" s="107">
        <v>1627814.0</v>
      </c>
      <c r="B3930" s="108" t="s">
        <v>246</v>
      </c>
      <c r="C3930" s="108" t="s">
        <v>949</v>
      </c>
      <c r="D3930" s="112" t="s">
        <v>187</v>
      </c>
      <c r="E3930" s="112">
        <v>145.0</v>
      </c>
      <c r="F3930" s="111" t="str">
        <f>DataPull!D3930</f>
        <v/>
      </c>
      <c r="G3930" s="94" t="str">
        <f t="shared" si="2"/>
        <v/>
      </c>
      <c r="H3930" s="94" t="str">
        <f t="shared" si="3"/>
        <v/>
      </c>
      <c r="I3930" s="94" t="str">
        <f t="shared" ref="I3930:J3930" si="3931">if(G3930 = "", , -G3930)</f>
        <v/>
      </c>
      <c r="J3930" s="94" t="str">
        <f t="shared" si="3931"/>
        <v/>
      </c>
      <c r="K3930" s="100"/>
      <c r="L3930" s="100"/>
      <c r="M3930" s="100"/>
      <c r="N3930" s="100"/>
      <c r="O3930" s="100"/>
      <c r="P3930" s="100"/>
    </row>
    <row r="3931">
      <c r="A3931" s="107">
        <v>1627815.0</v>
      </c>
      <c r="B3931" s="108" t="s">
        <v>190</v>
      </c>
      <c r="C3931" s="108" t="s">
        <v>950</v>
      </c>
      <c r="D3931" s="112" t="s">
        <v>187</v>
      </c>
      <c r="E3931" s="112">
        <v>288.0</v>
      </c>
      <c r="F3931" s="111" t="str">
        <f>DataPull!D3931</f>
        <v/>
      </c>
      <c r="G3931" s="94" t="str">
        <f t="shared" si="2"/>
        <v/>
      </c>
      <c r="H3931" s="94" t="str">
        <f t="shared" si="3"/>
        <v/>
      </c>
      <c r="I3931" s="94" t="str">
        <f t="shared" ref="I3931:J3931" si="3932">if(G3931 = "", , -G3931)</f>
        <v/>
      </c>
      <c r="J3931" s="94" t="str">
        <f t="shared" si="3932"/>
        <v/>
      </c>
      <c r="K3931" s="100"/>
      <c r="M3931" s="100"/>
      <c r="N3931" s="100"/>
      <c r="O3931" s="100"/>
      <c r="P3931" s="100"/>
    </row>
    <row r="3932">
      <c r="A3932" s="107">
        <v>1627816.0</v>
      </c>
      <c r="B3932" s="108" t="s">
        <v>190</v>
      </c>
      <c r="C3932" s="108" t="s">
        <v>951</v>
      </c>
      <c r="D3932" s="112" t="s">
        <v>181</v>
      </c>
      <c r="E3932" s="112">
        <v>156.6</v>
      </c>
      <c r="F3932" s="111" t="str">
        <f>DataPull!D3932</f>
        <v/>
      </c>
      <c r="G3932" s="94" t="str">
        <f t="shared" si="2"/>
        <v/>
      </c>
      <c r="H3932" s="94" t="str">
        <f t="shared" si="3"/>
        <v/>
      </c>
      <c r="I3932" s="94" t="str">
        <f t="shared" ref="I3932:J3932" si="3933">if(G3932 = "", , -G3932)</f>
        <v/>
      </c>
      <c r="J3932" s="94" t="str">
        <f t="shared" si="3933"/>
        <v/>
      </c>
      <c r="K3932" s="100"/>
      <c r="M3932" s="100"/>
      <c r="N3932" s="100"/>
      <c r="O3932" s="100"/>
      <c r="P3932" s="100"/>
    </row>
    <row r="3933">
      <c r="A3933" s="107">
        <v>1627816.0</v>
      </c>
      <c r="B3933" s="108" t="s">
        <v>191</v>
      </c>
      <c r="C3933" s="108" t="s">
        <v>951</v>
      </c>
      <c r="D3933" s="112" t="s">
        <v>187</v>
      </c>
      <c r="E3933" s="112">
        <v>105.0</v>
      </c>
      <c r="F3933" s="111" t="str">
        <f>DataPull!D3933</f>
        <v/>
      </c>
      <c r="G3933" s="94" t="str">
        <f t="shared" si="2"/>
        <v/>
      </c>
      <c r="H3933" s="94" t="str">
        <f t="shared" si="3"/>
        <v/>
      </c>
      <c r="I3933" s="94" t="str">
        <f t="shared" ref="I3933:J3933" si="3934">if(G3933 = "", , -G3933)</f>
        <v/>
      </c>
      <c r="J3933" s="94" t="str">
        <f t="shared" si="3934"/>
        <v/>
      </c>
      <c r="K3933" s="100"/>
      <c r="L3933" s="100"/>
      <c r="N3933" s="100"/>
      <c r="O3933" s="100"/>
      <c r="P3933" s="100"/>
    </row>
    <row r="3934">
      <c r="A3934" s="107">
        <v>1627816.0</v>
      </c>
      <c r="B3934" s="108" t="s">
        <v>192</v>
      </c>
      <c r="C3934" s="108" t="s">
        <v>951</v>
      </c>
      <c r="D3934" s="112" t="s">
        <v>177</v>
      </c>
      <c r="E3934" s="112">
        <v>304.5</v>
      </c>
      <c r="F3934" s="111" t="str">
        <f>DataPull!D3934</f>
        <v/>
      </c>
      <c r="G3934" s="94" t="str">
        <f t="shared" si="2"/>
        <v/>
      </c>
      <c r="H3934" s="94" t="str">
        <f t="shared" si="3"/>
        <v/>
      </c>
      <c r="I3934" s="94" t="str">
        <f t="shared" ref="I3934:J3934" si="3935">if(G3934 = "", , -G3934)</f>
        <v/>
      </c>
      <c r="J3934" s="94" t="str">
        <f t="shared" si="3935"/>
        <v/>
      </c>
      <c r="K3934" s="100"/>
      <c r="M3934" s="100"/>
      <c r="N3934" s="100"/>
      <c r="O3934" s="100"/>
      <c r="P3934" s="100"/>
    </row>
    <row r="3935">
      <c r="A3935" s="107">
        <v>1627817.0</v>
      </c>
      <c r="B3935" s="108" t="s">
        <v>190</v>
      </c>
      <c r="C3935" s="108" t="s">
        <v>952</v>
      </c>
      <c r="D3935" s="112" t="s">
        <v>187</v>
      </c>
      <c r="E3935" s="112">
        <v>80.0</v>
      </c>
      <c r="F3935" s="111" t="str">
        <f>DataPull!D3935</f>
        <v/>
      </c>
      <c r="G3935" s="94" t="str">
        <f t="shared" si="2"/>
        <v/>
      </c>
      <c r="H3935" s="94" t="str">
        <f t="shared" si="3"/>
        <v/>
      </c>
      <c r="I3935" s="94" t="str">
        <f t="shared" ref="I3935:J3935" si="3936">if(G3935 = "", , -G3935)</f>
        <v/>
      </c>
      <c r="J3935" s="94" t="str">
        <f t="shared" si="3936"/>
        <v/>
      </c>
      <c r="K3935" s="100"/>
      <c r="M3935" s="100"/>
      <c r="N3935" s="100"/>
      <c r="O3935" s="100"/>
      <c r="P3935" s="100"/>
    </row>
    <row r="3936">
      <c r="A3936" s="107">
        <v>1627817.0</v>
      </c>
      <c r="B3936" s="108" t="s">
        <v>191</v>
      </c>
      <c r="C3936" s="108" t="s">
        <v>952</v>
      </c>
      <c r="D3936" s="112" t="s">
        <v>181</v>
      </c>
      <c r="E3936" s="112">
        <v>12.9</v>
      </c>
      <c r="F3936" s="111" t="str">
        <f>DataPull!D3936</f>
        <v/>
      </c>
      <c r="G3936" s="94" t="str">
        <f t="shared" si="2"/>
        <v/>
      </c>
      <c r="H3936" s="94" t="str">
        <f t="shared" si="3"/>
        <v/>
      </c>
      <c r="I3936" s="94" t="str">
        <f t="shared" ref="I3936:J3936" si="3937">if(G3936 = "", , -G3936)</f>
        <v/>
      </c>
      <c r="J3936" s="94" t="str">
        <f t="shared" si="3937"/>
        <v/>
      </c>
      <c r="K3936" s="100"/>
      <c r="M3936" s="100"/>
      <c r="N3936" s="100"/>
      <c r="O3936" s="100"/>
      <c r="P3936" s="100"/>
    </row>
    <row r="3937">
      <c r="A3937" s="107">
        <v>1627819.0</v>
      </c>
      <c r="B3937" s="108" t="s">
        <v>190</v>
      </c>
      <c r="C3937" s="108" t="s">
        <v>953</v>
      </c>
      <c r="D3937" s="112" t="s">
        <v>181</v>
      </c>
      <c r="E3937" s="112">
        <v>52.0</v>
      </c>
      <c r="F3937" s="111" t="str">
        <f>DataPull!D3937</f>
        <v/>
      </c>
      <c r="G3937" s="94" t="str">
        <f t="shared" si="2"/>
        <v/>
      </c>
      <c r="H3937" s="94" t="str">
        <f t="shared" si="3"/>
        <v/>
      </c>
      <c r="I3937" s="94" t="str">
        <f t="shared" ref="I3937:J3937" si="3938">if(G3937 = "", , -G3937)</f>
        <v/>
      </c>
      <c r="J3937" s="94" t="str">
        <f t="shared" si="3938"/>
        <v/>
      </c>
      <c r="K3937" s="100"/>
      <c r="M3937" s="100"/>
      <c r="N3937" s="100"/>
      <c r="O3937" s="100"/>
      <c r="P3937" s="100"/>
    </row>
    <row r="3938">
      <c r="A3938" s="107">
        <v>1627819.0</v>
      </c>
      <c r="B3938" s="108" t="s">
        <v>191</v>
      </c>
      <c r="C3938" s="108" t="s">
        <v>953</v>
      </c>
      <c r="D3938" s="112" t="s">
        <v>177</v>
      </c>
      <c r="E3938" s="112">
        <v>1165.8</v>
      </c>
      <c r="F3938" s="111" t="str">
        <f>DataPull!D3938</f>
        <v/>
      </c>
      <c r="G3938" s="94" t="str">
        <f t="shared" si="2"/>
        <v/>
      </c>
      <c r="H3938" s="94" t="str">
        <f t="shared" si="3"/>
        <v/>
      </c>
      <c r="I3938" s="94" t="str">
        <f t="shared" ref="I3938:J3938" si="3939">if(G3938 = "", , -G3938)</f>
        <v/>
      </c>
      <c r="J3938" s="94" t="str">
        <f t="shared" si="3939"/>
        <v/>
      </c>
      <c r="K3938" s="100"/>
      <c r="M3938" s="100"/>
      <c r="N3938" s="100"/>
      <c r="O3938" s="100"/>
      <c r="P3938" s="100"/>
    </row>
    <row r="3939">
      <c r="A3939" s="107">
        <v>1627820.0</v>
      </c>
      <c r="B3939" s="108" t="s">
        <v>191</v>
      </c>
      <c r="C3939" s="108" t="s">
        <v>954</v>
      </c>
      <c r="D3939" s="112" t="s">
        <v>176</v>
      </c>
      <c r="E3939" s="112">
        <v>852.0</v>
      </c>
      <c r="F3939" s="111" t="str">
        <f>DataPull!D3939</f>
        <v/>
      </c>
      <c r="G3939" s="94" t="str">
        <f t="shared" si="2"/>
        <v/>
      </c>
      <c r="H3939" s="94" t="str">
        <f t="shared" si="3"/>
        <v/>
      </c>
      <c r="I3939" s="94" t="str">
        <f t="shared" ref="I3939:J3939" si="3940">if(G3939 = "", , -G3939)</f>
        <v/>
      </c>
      <c r="J3939" s="94" t="str">
        <f t="shared" si="3940"/>
        <v/>
      </c>
      <c r="K3939" s="100"/>
      <c r="M3939" s="100"/>
      <c r="N3939" s="100"/>
      <c r="O3939" s="100"/>
      <c r="P3939" s="100"/>
    </row>
    <row r="3940">
      <c r="A3940" s="107">
        <v>1627820.0</v>
      </c>
      <c r="B3940" s="108" t="s">
        <v>192</v>
      </c>
      <c r="C3940" s="108" t="s">
        <v>954</v>
      </c>
      <c r="D3940" s="112" t="s">
        <v>187</v>
      </c>
      <c r="E3940" s="112">
        <v>626.2</v>
      </c>
      <c r="F3940" s="111" t="str">
        <f>DataPull!D3940</f>
        <v/>
      </c>
      <c r="G3940" s="94" t="str">
        <f t="shared" si="2"/>
        <v/>
      </c>
      <c r="H3940" s="94" t="str">
        <f t="shared" si="3"/>
        <v/>
      </c>
      <c r="I3940" s="94" t="str">
        <f t="shared" ref="I3940:J3940" si="3941">if(G3940 = "", , -G3940)</f>
        <v/>
      </c>
      <c r="J3940" s="94" t="str">
        <f t="shared" si="3941"/>
        <v/>
      </c>
      <c r="K3940" s="100"/>
      <c r="M3940" s="100"/>
      <c r="N3940" s="100"/>
      <c r="O3940" s="100"/>
      <c r="P3940" s="100"/>
    </row>
    <row r="3941">
      <c r="A3941" s="107">
        <v>1627820.0</v>
      </c>
      <c r="B3941" s="108" t="s">
        <v>193</v>
      </c>
      <c r="C3941" s="108" t="s">
        <v>954</v>
      </c>
      <c r="D3941" s="112" t="s">
        <v>187</v>
      </c>
      <c r="E3941" s="112">
        <v>161.0</v>
      </c>
      <c r="F3941" s="111" t="str">
        <f>DataPull!D3941</f>
        <v/>
      </c>
      <c r="G3941" s="94" t="str">
        <f t="shared" si="2"/>
        <v/>
      </c>
      <c r="H3941" s="94" t="str">
        <f t="shared" si="3"/>
        <v/>
      </c>
      <c r="I3941" s="94" t="str">
        <f t="shared" ref="I3941:J3941" si="3942">if(G3941 = "", , -G3941)</f>
        <v/>
      </c>
      <c r="J3941" s="94" t="str">
        <f t="shared" si="3942"/>
        <v/>
      </c>
      <c r="K3941" s="100"/>
      <c r="M3941" s="100"/>
      <c r="N3941" s="100"/>
      <c r="O3941" s="100"/>
    </row>
    <row r="3942">
      <c r="A3942" s="107">
        <v>1627820.0</v>
      </c>
      <c r="B3942" s="108" t="s">
        <v>215</v>
      </c>
      <c r="C3942" s="108" t="s">
        <v>954</v>
      </c>
      <c r="D3942" s="112" t="s">
        <v>181</v>
      </c>
      <c r="E3942" s="112">
        <v>75.0</v>
      </c>
      <c r="F3942" s="111" t="str">
        <f>DataPull!D3942</f>
        <v/>
      </c>
      <c r="G3942" s="94" t="str">
        <f t="shared" si="2"/>
        <v/>
      </c>
      <c r="H3942" s="94" t="str">
        <f t="shared" si="3"/>
        <v/>
      </c>
      <c r="I3942" s="94" t="str">
        <f t="shared" ref="I3942:J3942" si="3943">if(G3942 = "", , -G3942)</f>
        <v/>
      </c>
      <c r="J3942" s="94" t="str">
        <f t="shared" si="3943"/>
        <v/>
      </c>
      <c r="K3942" s="100"/>
      <c r="N3942" s="100"/>
    </row>
    <row r="3943">
      <c r="A3943" s="107">
        <v>1627821.0</v>
      </c>
      <c r="B3943" s="108" t="s">
        <v>191</v>
      </c>
      <c r="C3943" s="108" t="s">
        <v>955</v>
      </c>
      <c r="D3943" s="112"/>
      <c r="E3943" s="112"/>
      <c r="F3943" s="111" t="str">
        <f>DataPull!D3943</f>
        <v/>
      </c>
      <c r="G3943" s="94" t="str">
        <f t="shared" si="2"/>
        <v/>
      </c>
      <c r="H3943" s="94" t="str">
        <f t="shared" si="3"/>
        <v/>
      </c>
      <c r="I3943" s="94" t="str">
        <f t="shared" ref="I3943:J3943" si="3944">if(G3943 = "", , -G3943)</f>
        <v/>
      </c>
      <c r="J3943" s="94" t="str">
        <f t="shared" si="3944"/>
        <v/>
      </c>
      <c r="K3943" s="100"/>
      <c r="L3943" s="100"/>
      <c r="M3943" s="100"/>
      <c r="N3943" s="100"/>
      <c r="O3943" s="100"/>
      <c r="P3943" s="100"/>
    </row>
    <row r="3944">
      <c r="A3944" s="107">
        <v>1627822.0</v>
      </c>
      <c r="B3944" s="108" t="s">
        <v>215</v>
      </c>
      <c r="C3944" s="108" t="s">
        <v>956</v>
      </c>
      <c r="D3944" s="112" t="s">
        <v>187</v>
      </c>
      <c r="E3944" s="112">
        <v>37.7</v>
      </c>
      <c r="F3944" s="111" t="str">
        <f>DataPull!D3944</f>
        <v/>
      </c>
      <c r="G3944" s="94" t="str">
        <f t="shared" si="2"/>
        <v/>
      </c>
      <c r="H3944" s="94" t="str">
        <f t="shared" si="3"/>
        <v/>
      </c>
      <c r="I3944" s="94" t="str">
        <f t="shared" ref="I3944:J3944" si="3945">if(G3944 = "", , -G3944)</f>
        <v/>
      </c>
      <c r="J3944" s="94" t="str">
        <f t="shared" si="3945"/>
        <v/>
      </c>
      <c r="K3944" s="100"/>
      <c r="L3944" s="100"/>
      <c r="N3944" s="100"/>
      <c r="O3944" s="100"/>
      <c r="P3944" s="100"/>
    </row>
    <row r="3945">
      <c r="A3945" s="107">
        <v>1627823.0</v>
      </c>
      <c r="B3945" s="108" t="s">
        <v>190</v>
      </c>
      <c r="C3945" s="108" t="s">
        <v>957</v>
      </c>
      <c r="D3945" s="112" t="s">
        <v>177</v>
      </c>
      <c r="E3945" s="112">
        <v>843.2</v>
      </c>
      <c r="F3945" s="111" t="str">
        <f>DataPull!D3945</f>
        <v/>
      </c>
      <c r="G3945" s="94" t="str">
        <f t="shared" si="2"/>
        <v/>
      </c>
      <c r="H3945" s="94" t="str">
        <f t="shared" si="3"/>
        <v/>
      </c>
      <c r="I3945" s="94" t="str">
        <f t="shared" ref="I3945:J3945" si="3946">if(G3945 = "", , -G3945)</f>
        <v/>
      </c>
      <c r="J3945" s="94" t="str">
        <f t="shared" si="3946"/>
        <v/>
      </c>
      <c r="K3945" s="100"/>
      <c r="M3945" s="100"/>
      <c r="N3945" s="100"/>
      <c r="O3945" s="100"/>
      <c r="P3945" s="100"/>
    </row>
    <row r="3946">
      <c r="A3946" s="107">
        <v>1627823.0</v>
      </c>
      <c r="B3946" s="108" t="s">
        <v>191</v>
      </c>
      <c r="C3946" s="108" t="s">
        <v>957</v>
      </c>
      <c r="D3946" s="112" t="s">
        <v>187</v>
      </c>
      <c r="E3946" s="112">
        <v>277.5</v>
      </c>
      <c r="F3946" s="111" t="str">
        <f>DataPull!D3946</f>
        <v/>
      </c>
      <c r="G3946" s="94" t="str">
        <f t="shared" si="2"/>
        <v/>
      </c>
      <c r="H3946" s="94" t="str">
        <f t="shared" si="3"/>
        <v/>
      </c>
      <c r="I3946" s="94" t="str">
        <f t="shared" ref="I3946:J3946" si="3947">if(G3946 = "", , -G3946)</f>
        <v/>
      </c>
      <c r="J3946" s="94" t="str">
        <f t="shared" si="3947"/>
        <v/>
      </c>
      <c r="K3946" s="100"/>
      <c r="M3946" s="100"/>
      <c r="N3946" s="100"/>
      <c r="O3946" s="100"/>
      <c r="P3946" s="100"/>
    </row>
    <row r="3947">
      <c r="A3947" s="107">
        <v>1627823.0</v>
      </c>
      <c r="B3947" s="108" t="s">
        <v>192</v>
      </c>
      <c r="C3947" s="108" t="s">
        <v>957</v>
      </c>
      <c r="D3947" s="112" t="s">
        <v>177</v>
      </c>
      <c r="E3947" s="112">
        <v>1358.0</v>
      </c>
      <c r="F3947" s="111" t="str">
        <f>DataPull!D3947</f>
        <v/>
      </c>
      <c r="G3947" s="94" t="str">
        <f t="shared" si="2"/>
        <v/>
      </c>
      <c r="H3947" s="94" t="str">
        <f t="shared" si="3"/>
        <v/>
      </c>
      <c r="I3947" s="94" t="str">
        <f t="shared" ref="I3947:J3947" si="3948">if(G3947 = "", , -G3947)</f>
        <v/>
      </c>
      <c r="J3947" s="94" t="str">
        <f t="shared" si="3948"/>
        <v/>
      </c>
      <c r="K3947" s="100"/>
      <c r="M3947" s="100"/>
      <c r="N3947" s="100"/>
      <c r="O3947" s="100"/>
      <c r="P3947" s="100"/>
    </row>
    <row r="3948">
      <c r="A3948" s="107">
        <v>1627823.0</v>
      </c>
      <c r="B3948" s="108" t="s">
        <v>193</v>
      </c>
      <c r="C3948" s="108" t="s">
        <v>957</v>
      </c>
      <c r="D3948" s="112" t="s">
        <v>177</v>
      </c>
      <c r="E3948" s="112">
        <v>835.2</v>
      </c>
      <c r="F3948" s="111" t="str">
        <f>DataPull!D3948</f>
        <v/>
      </c>
      <c r="G3948" s="94" t="str">
        <f t="shared" si="2"/>
        <v/>
      </c>
      <c r="H3948" s="94" t="str">
        <f t="shared" si="3"/>
        <v/>
      </c>
      <c r="I3948" s="94" t="str">
        <f t="shared" ref="I3948:J3948" si="3949">if(G3948 = "", , -G3948)</f>
        <v/>
      </c>
      <c r="J3948" s="94" t="str">
        <f t="shared" si="3949"/>
        <v/>
      </c>
      <c r="K3948" s="100"/>
      <c r="M3948" s="100"/>
      <c r="N3948" s="100"/>
      <c r="O3948" s="100"/>
      <c r="P3948" s="100"/>
    </row>
    <row r="3949">
      <c r="A3949" s="107">
        <v>1627823.0</v>
      </c>
      <c r="B3949" s="108" t="s">
        <v>243</v>
      </c>
      <c r="C3949" s="108" t="s">
        <v>957</v>
      </c>
      <c r="D3949" s="112" t="s">
        <v>177</v>
      </c>
      <c r="E3949" s="112">
        <v>899.6</v>
      </c>
      <c r="F3949" s="111" t="str">
        <f>DataPull!D3949</f>
        <v/>
      </c>
      <c r="G3949" s="94" t="str">
        <f t="shared" si="2"/>
        <v/>
      </c>
      <c r="H3949" s="94" t="str">
        <f t="shared" si="3"/>
        <v/>
      </c>
      <c r="I3949" s="94" t="str">
        <f t="shared" ref="I3949:J3949" si="3950">if(G3949 = "", , -G3949)</f>
        <v/>
      </c>
      <c r="J3949" s="94" t="str">
        <f t="shared" si="3950"/>
        <v/>
      </c>
      <c r="K3949" s="100"/>
      <c r="M3949" s="100"/>
      <c r="N3949" s="100"/>
      <c r="O3949" s="100"/>
      <c r="P3949" s="100"/>
    </row>
    <row r="3950">
      <c r="A3950" s="107">
        <v>1627823.0</v>
      </c>
      <c r="B3950" s="108" t="s">
        <v>215</v>
      </c>
      <c r="C3950" s="108" t="s">
        <v>957</v>
      </c>
      <c r="D3950" s="112" t="s">
        <v>187</v>
      </c>
      <c r="E3950" s="112">
        <v>444.0</v>
      </c>
      <c r="F3950" s="111" t="str">
        <f>DataPull!D3950</f>
        <v/>
      </c>
      <c r="G3950" s="94" t="str">
        <f t="shared" si="2"/>
        <v/>
      </c>
      <c r="H3950" s="94" t="str">
        <f t="shared" si="3"/>
        <v/>
      </c>
      <c r="I3950" s="94" t="str">
        <f t="shared" ref="I3950:J3950" si="3951">if(G3950 = "", , -G3950)</f>
        <v/>
      </c>
      <c r="J3950" s="94" t="str">
        <f t="shared" si="3951"/>
        <v/>
      </c>
      <c r="K3950" s="100"/>
      <c r="M3950" s="100"/>
      <c r="N3950" s="100"/>
      <c r="O3950" s="100"/>
      <c r="P3950" s="100"/>
    </row>
    <row r="3951">
      <c r="A3951" s="107">
        <v>1627823.0</v>
      </c>
      <c r="B3951" s="108" t="s">
        <v>244</v>
      </c>
      <c r="C3951" s="108" t="s">
        <v>957</v>
      </c>
      <c r="D3951" s="112" t="s">
        <v>187</v>
      </c>
      <c r="E3951" s="112">
        <v>613.2</v>
      </c>
      <c r="F3951" s="111" t="str">
        <f>DataPull!D3951</f>
        <v/>
      </c>
      <c r="G3951" s="94" t="str">
        <f t="shared" si="2"/>
        <v/>
      </c>
      <c r="H3951" s="94" t="str">
        <f t="shared" si="3"/>
        <v/>
      </c>
      <c r="I3951" s="94" t="str">
        <f t="shared" ref="I3951:J3951" si="3952">if(G3951 = "", , -G3951)</f>
        <v/>
      </c>
      <c r="J3951" s="94" t="str">
        <f t="shared" si="3952"/>
        <v/>
      </c>
      <c r="K3951" s="100"/>
      <c r="M3951" s="100"/>
      <c r="N3951" s="100"/>
      <c r="O3951" s="100"/>
      <c r="P3951" s="100"/>
    </row>
    <row r="3952">
      <c r="A3952" s="107">
        <v>1627824.0</v>
      </c>
      <c r="B3952" s="108" t="s">
        <v>191</v>
      </c>
      <c r="C3952" s="108" t="s">
        <v>958</v>
      </c>
      <c r="D3952" s="112" t="s">
        <v>187</v>
      </c>
      <c r="E3952" s="112">
        <v>234.3</v>
      </c>
      <c r="F3952" s="111" t="str">
        <f>DataPull!D3952</f>
        <v/>
      </c>
      <c r="G3952" s="94" t="str">
        <f t="shared" si="2"/>
        <v/>
      </c>
      <c r="H3952" s="94" t="str">
        <f t="shared" si="3"/>
        <v/>
      </c>
      <c r="I3952" s="94" t="str">
        <f t="shared" ref="I3952:J3952" si="3953">if(G3952 = "", , -G3952)</f>
        <v/>
      </c>
      <c r="J3952" s="94" t="str">
        <f t="shared" si="3953"/>
        <v/>
      </c>
      <c r="K3952" s="100"/>
      <c r="L3952" s="100"/>
      <c r="N3952" s="100"/>
      <c r="O3952" s="100"/>
      <c r="P3952" s="100"/>
    </row>
    <row r="3953">
      <c r="A3953" s="107">
        <v>1627824.0</v>
      </c>
      <c r="B3953" s="108" t="s">
        <v>192</v>
      </c>
      <c r="C3953" s="108" t="s">
        <v>958</v>
      </c>
      <c r="D3953" s="112" t="s">
        <v>187</v>
      </c>
      <c r="E3953" s="112">
        <v>250.1</v>
      </c>
      <c r="F3953" s="111" t="str">
        <f>DataPull!D3953</f>
        <v/>
      </c>
      <c r="G3953" s="94" t="str">
        <f t="shared" si="2"/>
        <v/>
      </c>
      <c r="H3953" s="94" t="str">
        <f t="shared" si="3"/>
        <v/>
      </c>
      <c r="I3953" s="94" t="str">
        <f t="shared" ref="I3953:J3953" si="3954">if(G3953 = "", , -G3953)</f>
        <v/>
      </c>
      <c r="J3953" s="94" t="str">
        <f t="shared" si="3954"/>
        <v/>
      </c>
      <c r="K3953" s="100"/>
      <c r="M3953" s="100"/>
      <c r="N3953" s="100"/>
      <c r="O3953" s="100"/>
      <c r="P3953" s="100"/>
    </row>
    <row r="3954">
      <c r="A3954" s="107">
        <v>1627824.0</v>
      </c>
      <c r="B3954" s="108" t="s">
        <v>246</v>
      </c>
      <c r="C3954" s="108" t="s">
        <v>958</v>
      </c>
      <c r="D3954" s="112" t="s">
        <v>176</v>
      </c>
      <c r="E3954" s="112">
        <v>1897.0</v>
      </c>
      <c r="F3954" s="111" t="str">
        <f>DataPull!D3954</f>
        <v/>
      </c>
      <c r="G3954" s="94" t="str">
        <f t="shared" si="2"/>
        <v/>
      </c>
      <c r="H3954" s="94" t="str">
        <f t="shared" si="3"/>
        <v/>
      </c>
      <c r="I3954" s="94" t="str">
        <f t="shared" ref="I3954:J3954" si="3955">if(G3954 = "", , -G3954)</f>
        <v/>
      </c>
      <c r="J3954" s="94" t="str">
        <f t="shared" si="3955"/>
        <v/>
      </c>
      <c r="K3954" s="100"/>
      <c r="M3954" s="100"/>
      <c r="N3954" s="100"/>
      <c r="O3954" s="100"/>
      <c r="P3954" s="100"/>
    </row>
    <row r="3955">
      <c r="A3955" s="114">
        <v>1627824.0</v>
      </c>
      <c r="B3955" s="113" t="s">
        <v>247</v>
      </c>
      <c r="C3955" s="113" t="s">
        <v>958</v>
      </c>
      <c r="D3955" s="112" t="s">
        <v>187</v>
      </c>
      <c r="E3955" s="112">
        <v>1005.0</v>
      </c>
      <c r="F3955" s="111" t="str">
        <f>DataPull!D3955</f>
        <v/>
      </c>
      <c r="G3955" s="94" t="str">
        <f t="shared" si="2"/>
        <v/>
      </c>
      <c r="H3955" s="94" t="str">
        <f t="shared" si="3"/>
        <v/>
      </c>
      <c r="I3955" s="94" t="str">
        <f t="shared" ref="I3955:J3955" si="3956">if(G3955 = "", , -G3955)</f>
        <v/>
      </c>
      <c r="J3955" s="94" t="str">
        <f t="shared" si="3956"/>
        <v/>
      </c>
      <c r="K3955" s="100"/>
      <c r="L3955" s="100"/>
      <c r="N3955" s="100"/>
      <c r="O3955" s="100"/>
      <c r="P3955" s="100"/>
    </row>
    <row r="3956">
      <c r="A3956" s="107">
        <v>1627826.0</v>
      </c>
      <c r="B3956" s="108" t="s">
        <v>190</v>
      </c>
      <c r="C3956" s="108" t="s">
        <v>959</v>
      </c>
      <c r="D3956" s="112" t="s">
        <v>177</v>
      </c>
      <c r="E3956" s="112">
        <v>608.0</v>
      </c>
      <c r="F3956" s="111" t="str">
        <f>DataPull!D3956</f>
        <v/>
      </c>
      <c r="G3956" s="94" t="str">
        <f t="shared" si="2"/>
        <v/>
      </c>
      <c r="H3956" s="94" t="str">
        <f t="shared" si="3"/>
        <v/>
      </c>
      <c r="I3956" s="94" t="str">
        <f t="shared" ref="I3956:J3956" si="3957">if(G3956 = "", , -G3956)</f>
        <v/>
      </c>
      <c r="J3956" s="94" t="str">
        <f t="shared" si="3957"/>
        <v/>
      </c>
      <c r="K3956" s="100"/>
      <c r="M3956" s="100"/>
      <c r="N3956" s="100"/>
      <c r="O3956" s="100"/>
      <c r="P3956" s="100"/>
    </row>
    <row r="3957">
      <c r="A3957" s="107">
        <v>1627826.0</v>
      </c>
      <c r="B3957" s="108" t="s">
        <v>191</v>
      </c>
      <c r="C3957" s="108" t="s">
        <v>959</v>
      </c>
      <c r="D3957" s="112" t="s">
        <v>187</v>
      </c>
      <c r="E3957" s="112">
        <v>408.5</v>
      </c>
      <c r="F3957" s="111" t="str">
        <f>DataPull!D3957</f>
        <v/>
      </c>
      <c r="G3957" s="94" t="str">
        <f t="shared" si="2"/>
        <v/>
      </c>
      <c r="H3957" s="94" t="str">
        <f t="shared" si="3"/>
        <v/>
      </c>
      <c r="I3957" s="94" t="str">
        <f t="shared" ref="I3957:J3957" si="3958">if(G3957 = "", , -G3957)</f>
        <v/>
      </c>
      <c r="J3957" s="94" t="str">
        <f t="shared" si="3958"/>
        <v/>
      </c>
      <c r="K3957" s="100"/>
      <c r="M3957" s="100"/>
      <c r="N3957" s="100"/>
      <c r="O3957" s="100"/>
      <c r="P3957" s="100"/>
    </row>
    <row r="3958">
      <c r="A3958" s="107">
        <v>1627826.0</v>
      </c>
      <c r="B3958" s="108" t="s">
        <v>192</v>
      </c>
      <c r="C3958" s="108" t="s">
        <v>959</v>
      </c>
      <c r="D3958" s="112" t="s">
        <v>177</v>
      </c>
      <c r="E3958" s="112">
        <v>1038.4</v>
      </c>
      <c r="F3958" s="111" t="str">
        <f>DataPull!D3958</f>
        <v/>
      </c>
      <c r="G3958" s="94" t="str">
        <f t="shared" si="2"/>
        <v/>
      </c>
      <c r="H3958" s="94" t="str">
        <f t="shared" si="3"/>
        <v/>
      </c>
      <c r="I3958" s="94" t="str">
        <f t="shared" ref="I3958:J3958" si="3959">if(G3958 = "", , -G3958)</f>
        <v/>
      </c>
      <c r="J3958" s="94" t="str">
        <f t="shared" si="3959"/>
        <v/>
      </c>
      <c r="K3958" s="100"/>
      <c r="M3958" s="100"/>
      <c r="N3958" s="100"/>
      <c r="O3958" s="100"/>
      <c r="P3958" s="100"/>
    </row>
    <row r="3959">
      <c r="A3959" s="107">
        <v>1627826.0</v>
      </c>
      <c r="B3959" s="108" t="s">
        <v>193</v>
      </c>
      <c r="C3959" s="108" t="s">
        <v>959</v>
      </c>
      <c r="D3959" s="112" t="s">
        <v>177</v>
      </c>
      <c r="E3959" s="112">
        <v>1324.8</v>
      </c>
      <c r="F3959" s="111" t="str">
        <f>DataPull!D3959</f>
        <v/>
      </c>
      <c r="G3959" s="94" t="str">
        <f t="shared" si="2"/>
        <v/>
      </c>
      <c r="H3959" s="94" t="str">
        <f t="shared" si="3"/>
        <v/>
      </c>
      <c r="I3959" s="94" t="str">
        <f t="shared" ref="I3959:J3959" si="3960">if(G3959 = "", , -G3959)</f>
        <v/>
      </c>
      <c r="J3959" s="94" t="str">
        <f t="shared" si="3960"/>
        <v/>
      </c>
      <c r="K3959" s="100"/>
      <c r="M3959" s="100"/>
      <c r="N3959" s="100"/>
      <c r="O3959" s="100"/>
      <c r="P3959" s="100"/>
    </row>
    <row r="3960">
      <c r="A3960" s="107">
        <v>1627826.0</v>
      </c>
      <c r="B3960" s="108" t="s">
        <v>243</v>
      </c>
      <c r="C3960" s="108" t="s">
        <v>959</v>
      </c>
      <c r="D3960" s="112" t="s">
        <v>176</v>
      </c>
      <c r="E3960" s="112">
        <v>1605.6</v>
      </c>
      <c r="F3960" s="111" t="str">
        <f>DataPull!D3960</f>
        <v/>
      </c>
      <c r="G3960" s="94" t="str">
        <f t="shared" si="2"/>
        <v/>
      </c>
      <c r="H3960" s="94" t="str">
        <f t="shared" si="3"/>
        <v/>
      </c>
      <c r="I3960" s="94" t="str">
        <f t="shared" ref="I3960:J3960" si="3961">if(G3960 = "", , -G3960)</f>
        <v/>
      </c>
      <c r="J3960" s="94" t="str">
        <f t="shared" si="3961"/>
        <v/>
      </c>
      <c r="K3960" s="100"/>
      <c r="N3960" s="100"/>
      <c r="O3960" s="100"/>
      <c r="P3960" s="100"/>
    </row>
    <row r="3961">
      <c r="A3961" s="107">
        <v>1627826.0</v>
      </c>
      <c r="B3961" s="108" t="s">
        <v>215</v>
      </c>
      <c r="C3961" s="108" t="s">
        <v>959</v>
      </c>
      <c r="D3961" s="112" t="s">
        <v>176</v>
      </c>
      <c r="E3961" s="112">
        <v>1854.4</v>
      </c>
      <c r="F3961" s="111" t="str">
        <f>DataPull!D3961</f>
        <v/>
      </c>
      <c r="G3961" s="94" t="str">
        <f t="shared" si="2"/>
        <v/>
      </c>
      <c r="H3961" s="94" t="str">
        <f t="shared" si="3"/>
        <v/>
      </c>
      <c r="I3961" s="94" t="str">
        <f t="shared" ref="I3961:J3961" si="3962">if(G3961 = "", , -G3961)</f>
        <v/>
      </c>
      <c r="J3961" s="94" t="str">
        <f t="shared" si="3962"/>
        <v/>
      </c>
      <c r="K3961" s="100"/>
      <c r="M3961" s="100"/>
      <c r="N3961" s="100"/>
      <c r="O3961" s="100"/>
      <c r="P3961" s="100"/>
    </row>
    <row r="3962">
      <c r="A3962" s="107">
        <v>1627826.0</v>
      </c>
      <c r="B3962" s="108" t="s">
        <v>244</v>
      </c>
      <c r="C3962" s="108" t="s">
        <v>959</v>
      </c>
      <c r="D3962" s="112" t="s">
        <v>178</v>
      </c>
      <c r="E3962" s="112">
        <v>2166.0</v>
      </c>
      <c r="F3962" s="111" t="str">
        <f>DataPull!D3962</f>
        <v/>
      </c>
      <c r="G3962" s="94" t="str">
        <f t="shared" si="2"/>
        <v/>
      </c>
      <c r="H3962" s="94" t="str">
        <f t="shared" si="3"/>
        <v/>
      </c>
      <c r="I3962" s="94" t="str">
        <f t="shared" ref="I3962:J3962" si="3963">if(G3962 = "", , -G3962)</f>
        <v/>
      </c>
      <c r="J3962" s="94" t="str">
        <f t="shared" si="3963"/>
        <v/>
      </c>
      <c r="K3962" s="100"/>
      <c r="L3962" s="100"/>
      <c r="N3962" s="100"/>
      <c r="O3962" s="100"/>
      <c r="P3962" s="100"/>
    </row>
    <row r="3963">
      <c r="A3963" s="107">
        <v>1627826.0</v>
      </c>
      <c r="B3963" s="108" t="s">
        <v>245</v>
      </c>
      <c r="C3963" s="108" t="s">
        <v>959</v>
      </c>
      <c r="D3963" s="112" t="s">
        <v>178</v>
      </c>
      <c r="E3963" s="112">
        <v>1795.2</v>
      </c>
      <c r="F3963" s="111" t="str">
        <f>DataPull!D3963</f>
        <v/>
      </c>
      <c r="G3963" s="94" t="str">
        <f t="shared" si="2"/>
        <v/>
      </c>
      <c r="H3963" s="94" t="str">
        <f t="shared" si="3"/>
        <v/>
      </c>
      <c r="I3963" s="94" t="str">
        <f t="shared" ref="I3963:J3963" si="3964">if(G3963 = "", , -G3963)</f>
        <v/>
      </c>
      <c r="J3963" s="94" t="str">
        <f t="shared" si="3964"/>
        <v/>
      </c>
      <c r="K3963" s="100"/>
      <c r="M3963" s="100"/>
      <c r="N3963" s="100"/>
      <c r="O3963" s="100"/>
      <c r="P3963" s="100"/>
    </row>
    <row r="3964">
      <c r="A3964" s="107">
        <v>1627826.0</v>
      </c>
      <c r="B3964" s="108" t="s">
        <v>246</v>
      </c>
      <c r="C3964" s="108" t="s">
        <v>959</v>
      </c>
      <c r="D3964" s="112" t="s">
        <v>184</v>
      </c>
      <c r="E3964" s="112">
        <v>2624.0</v>
      </c>
      <c r="F3964" s="111" t="str">
        <f>DataPull!D3964</f>
        <v/>
      </c>
      <c r="G3964" s="94" t="str">
        <f t="shared" si="2"/>
        <v/>
      </c>
      <c r="H3964" s="94" t="str">
        <f t="shared" si="3"/>
        <v/>
      </c>
      <c r="I3964" s="94" t="str">
        <f t="shared" ref="I3964:J3964" si="3965">if(G3964 = "", , -G3964)</f>
        <v/>
      </c>
      <c r="J3964" s="94" t="str">
        <f t="shared" si="3965"/>
        <v/>
      </c>
      <c r="K3964" s="100"/>
      <c r="L3964" s="100"/>
      <c r="N3964" s="100"/>
      <c r="O3964" s="100"/>
      <c r="P3964" s="100"/>
    </row>
    <row r="3965">
      <c r="A3965" s="114">
        <v>1627826.0</v>
      </c>
      <c r="B3965" s="113" t="s">
        <v>247</v>
      </c>
      <c r="C3965" s="113" t="s">
        <v>959</v>
      </c>
      <c r="D3965" s="112" t="s">
        <v>184</v>
      </c>
      <c r="E3965" s="112">
        <v>1444.8</v>
      </c>
      <c r="F3965" s="111" t="str">
        <f>DataPull!D3965</f>
        <v/>
      </c>
      <c r="G3965" s="94" t="str">
        <f t="shared" si="2"/>
        <v/>
      </c>
      <c r="H3965" s="94" t="str">
        <f t="shared" si="3"/>
        <v/>
      </c>
      <c r="I3965" s="94" t="str">
        <f t="shared" ref="I3965:J3965" si="3966">if(G3965 = "", , -G3965)</f>
        <v/>
      </c>
      <c r="J3965" s="94" t="str">
        <f t="shared" si="3966"/>
        <v/>
      </c>
      <c r="K3965" s="100"/>
      <c r="M3965" s="100"/>
      <c r="N3965" s="100"/>
      <c r="O3965" s="100"/>
      <c r="P3965" s="100"/>
    </row>
    <row r="3966">
      <c r="A3966" s="107">
        <v>1627827.0</v>
      </c>
      <c r="B3966" s="108" t="s">
        <v>190</v>
      </c>
      <c r="C3966" s="108" t="s">
        <v>960</v>
      </c>
      <c r="D3966" s="112" t="s">
        <v>177</v>
      </c>
      <c r="E3966" s="112">
        <v>1644.3</v>
      </c>
      <c r="F3966" s="111" t="str">
        <f>DataPull!D3966</f>
        <v/>
      </c>
      <c r="G3966" s="94" t="str">
        <f t="shared" si="2"/>
        <v/>
      </c>
      <c r="H3966" s="94" t="str">
        <f t="shared" si="3"/>
        <v/>
      </c>
      <c r="I3966" s="94" t="str">
        <f t="shared" ref="I3966:J3966" si="3967">if(G3966 = "", , -G3966)</f>
        <v/>
      </c>
      <c r="J3966" s="94" t="str">
        <f t="shared" si="3967"/>
        <v/>
      </c>
      <c r="K3966" s="100"/>
      <c r="M3966" s="100"/>
      <c r="N3966" s="100"/>
      <c r="O3966" s="100"/>
      <c r="P3966" s="100"/>
    </row>
    <row r="3967">
      <c r="A3967" s="107">
        <v>1627827.0</v>
      </c>
      <c r="B3967" s="108" t="s">
        <v>191</v>
      </c>
      <c r="C3967" s="108" t="s">
        <v>960</v>
      </c>
      <c r="D3967" s="112" t="s">
        <v>176</v>
      </c>
      <c r="E3967" s="112">
        <v>447.3</v>
      </c>
      <c r="F3967" s="111" t="str">
        <f>DataPull!D3967</f>
        <v/>
      </c>
      <c r="G3967" s="94" t="str">
        <f t="shared" si="2"/>
        <v/>
      </c>
      <c r="H3967" s="94" t="str">
        <f t="shared" si="3"/>
        <v/>
      </c>
      <c r="I3967" s="94" t="str">
        <f t="shared" ref="I3967:J3967" si="3968">if(G3967 = "", , -G3967)</f>
        <v/>
      </c>
      <c r="J3967" s="94" t="str">
        <f t="shared" si="3968"/>
        <v/>
      </c>
      <c r="K3967" s="100"/>
      <c r="M3967" s="100"/>
      <c r="N3967" s="100"/>
      <c r="O3967" s="100"/>
      <c r="P3967" s="100"/>
    </row>
    <row r="3968">
      <c r="A3968" s="107">
        <v>1627827.0</v>
      </c>
      <c r="B3968" s="108" t="s">
        <v>192</v>
      </c>
      <c r="C3968" s="108" t="s">
        <v>960</v>
      </c>
      <c r="D3968" s="112" t="s">
        <v>176</v>
      </c>
      <c r="E3968" s="112">
        <v>1984.5</v>
      </c>
      <c r="F3968" s="111" t="str">
        <f>DataPull!D3968</f>
        <v/>
      </c>
      <c r="G3968" s="94" t="str">
        <f t="shared" si="2"/>
        <v/>
      </c>
      <c r="H3968" s="94" t="str">
        <f t="shared" si="3"/>
        <v/>
      </c>
      <c r="I3968" s="94" t="str">
        <f t="shared" ref="I3968:J3968" si="3969">if(G3968 = "", , -G3968)</f>
        <v/>
      </c>
      <c r="J3968" s="94" t="str">
        <f t="shared" si="3969"/>
        <v/>
      </c>
      <c r="K3968" s="100"/>
      <c r="L3968" s="100"/>
      <c r="M3968" s="100"/>
      <c r="N3968" s="100"/>
      <c r="O3968" s="100"/>
      <c r="P3968" s="100"/>
    </row>
    <row r="3969">
      <c r="A3969" s="107">
        <v>1627827.0</v>
      </c>
      <c r="B3969" s="108" t="s">
        <v>193</v>
      </c>
      <c r="C3969" s="108" t="s">
        <v>960</v>
      </c>
      <c r="D3969" s="112" t="s">
        <v>178</v>
      </c>
      <c r="E3969" s="112">
        <v>2122.9</v>
      </c>
      <c r="F3969" s="111" t="str">
        <f>DataPull!D3969</f>
        <v/>
      </c>
      <c r="G3969" s="94" t="str">
        <f t="shared" si="2"/>
        <v/>
      </c>
      <c r="H3969" s="94" t="str">
        <f t="shared" si="3"/>
        <v/>
      </c>
      <c r="I3969" s="94" t="str">
        <f t="shared" ref="I3969:J3969" si="3970">if(G3969 = "", , -G3969)</f>
        <v/>
      </c>
      <c r="J3969" s="94" t="str">
        <f t="shared" si="3970"/>
        <v/>
      </c>
      <c r="K3969" s="100"/>
      <c r="M3969" s="100"/>
      <c r="N3969" s="100"/>
      <c r="O3969" s="100"/>
      <c r="P3969" s="100"/>
    </row>
    <row r="3970">
      <c r="A3970" s="107">
        <v>1627827.0</v>
      </c>
      <c r="B3970" s="108" t="s">
        <v>243</v>
      </c>
      <c r="C3970" s="108" t="s">
        <v>960</v>
      </c>
      <c r="D3970" s="112" t="s">
        <v>178</v>
      </c>
      <c r="E3970" s="112">
        <v>1920.0</v>
      </c>
      <c r="F3970" s="111" t="str">
        <f>DataPull!D3970</f>
        <v/>
      </c>
      <c r="G3970" s="94" t="str">
        <f t="shared" si="2"/>
        <v/>
      </c>
      <c r="H3970" s="94" t="str">
        <f t="shared" si="3"/>
        <v/>
      </c>
      <c r="I3970" s="94" t="str">
        <f t="shared" ref="I3970:J3970" si="3971">if(G3970 = "", , -G3970)</f>
        <v/>
      </c>
      <c r="J3970" s="94" t="str">
        <f t="shared" si="3971"/>
        <v/>
      </c>
      <c r="K3970" s="100"/>
      <c r="M3970" s="100"/>
      <c r="N3970" s="100"/>
      <c r="O3970" s="100"/>
      <c r="P3970" s="100"/>
    </row>
    <row r="3971">
      <c r="A3971" s="107">
        <v>1627827.0</v>
      </c>
      <c r="B3971" s="108" t="s">
        <v>215</v>
      </c>
      <c r="C3971" s="108" t="s">
        <v>960</v>
      </c>
      <c r="D3971" s="112" t="s">
        <v>178</v>
      </c>
      <c r="E3971" s="112">
        <v>2640.0</v>
      </c>
      <c r="F3971" s="111" t="str">
        <f>DataPull!D3971</f>
        <v/>
      </c>
      <c r="G3971" s="94" t="str">
        <f t="shared" si="2"/>
        <v/>
      </c>
      <c r="H3971" s="94" t="str">
        <f t="shared" si="3"/>
        <v/>
      </c>
      <c r="I3971" s="94" t="str">
        <f t="shared" ref="I3971:J3971" si="3972">if(G3971 = "", , -G3971)</f>
        <v/>
      </c>
      <c r="J3971" s="94" t="str">
        <f t="shared" si="3972"/>
        <v/>
      </c>
      <c r="K3971" s="100"/>
      <c r="L3971" s="100"/>
      <c r="M3971" s="100"/>
      <c r="N3971" s="100"/>
      <c r="O3971" s="100"/>
      <c r="P3971" s="100"/>
    </row>
    <row r="3972">
      <c r="A3972" s="107">
        <v>1627827.0</v>
      </c>
      <c r="B3972" s="108" t="s">
        <v>244</v>
      </c>
      <c r="C3972" s="108" t="s">
        <v>960</v>
      </c>
      <c r="D3972" s="112" t="s">
        <v>178</v>
      </c>
      <c r="E3972" s="112">
        <v>2006.4</v>
      </c>
      <c r="F3972" s="111" t="str">
        <f>DataPull!D3972</f>
        <v/>
      </c>
      <c r="G3972" s="94" t="str">
        <f t="shared" si="2"/>
        <v/>
      </c>
      <c r="H3972" s="94" t="str">
        <f t="shared" si="3"/>
        <v/>
      </c>
      <c r="I3972" s="94" t="str">
        <f t="shared" ref="I3972:J3972" si="3973">if(G3972 = "", , -G3972)</f>
        <v/>
      </c>
      <c r="J3972" s="94" t="str">
        <f t="shared" si="3973"/>
        <v/>
      </c>
      <c r="K3972" s="100"/>
      <c r="L3972" s="100"/>
      <c r="N3972" s="100"/>
      <c r="O3972" s="100"/>
      <c r="P3972" s="100"/>
    </row>
    <row r="3973">
      <c r="A3973" s="107">
        <v>1627827.0</v>
      </c>
      <c r="B3973" s="108" t="s">
        <v>245</v>
      </c>
      <c r="C3973" s="108" t="s">
        <v>960</v>
      </c>
      <c r="D3973" s="112" t="s">
        <v>176</v>
      </c>
      <c r="E3973" s="112">
        <v>1931.2</v>
      </c>
      <c r="F3973" s="111" t="str">
        <f>DataPull!D3973</f>
        <v/>
      </c>
      <c r="G3973" s="94" t="str">
        <f t="shared" si="2"/>
        <v/>
      </c>
      <c r="H3973" s="94" t="str">
        <f t="shared" si="3"/>
        <v/>
      </c>
      <c r="I3973" s="94" t="str">
        <f t="shared" ref="I3973:J3973" si="3974">if(G3973 = "", , -G3973)</f>
        <v/>
      </c>
      <c r="J3973" s="94" t="str">
        <f t="shared" si="3974"/>
        <v/>
      </c>
      <c r="K3973" s="100"/>
      <c r="M3973" s="100"/>
      <c r="N3973" s="100"/>
      <c r="O3973" s="100"/>
      <c r="P3973" s="100"/>
    </row>
    <row r="3974">
      <c r="A3974" s="107">
        <v>1627827.0</v>
      </c>
      <c r="B3974" s="108" t="s">
        <v>246</v>
      </c>
      <c r="C3974" s="108" t="s">
        <v>960</v>
      </c>
      <c r="D3974" s="112" t="s">
        <v>176</v>
      </c>
      <c r="E3974" s="112">
        <v>1820.7</v>
      </c>
      <c r="F3974" s="111" t="str">
        <f>DataPull!D3974</f>
        <v/>
      </c>
      <c r="G3974" s="94" t="str">
        <f t="shared" si="2"/>
        <v/>
      </c>
      <c r="H3974" s="94" t="str">
        <f t="shared" si="3"/>
        <v/>
      </c>
      <c r="I3974" s="94" t="str">
        <f t="shared" ref="I3974:J3974" si="3975">if(G3974 = "", , -G3974)</f>
        <v/>
      </c>
      <c r="J3974" s="94" t="str">
        <f t="shared" si="3975"/>
        <v/>
      </c>
      <c r="K3974" s="100"/>
      <c r="M3974" s="100"/>
      <c r="N3974" s="100"/>
      <c r="O3974" s="100"/>
      <c r="P3974" s="100"/>
    </row>
    <row r="3975">
      <c r="A3975" s="89">
        <v>1627827.0</v>
      </c>
      <c r="B3975" s="113" t="s">
        <v>247</v>
      </c>
      <c r="C3975" s="113" t="s">
        <v>960</v>
      </c>
      <c r="D3975" s="112" t="s">
        <v>177</v>
      </c>
      <c r="E3975" s="112">
        <v>621.6</v>
      </c>
      <c r="F3975" s="111" t="str">
        <f>DataPull!D3975</f>
        <v/>
      </c>
      <c r="G3975" s="94" t="str">
        <f t="shared" si="2"/>
        <v/>
      </c>
      <c r="H3975" s="94" t="str">
        <f t="shared" si="3"/>
        <v/>
      </c>
      <c r="I3975" s="94" t="str">
        <f t="shared" ref="I3975:J3975" si="3976">if(G3975 = "", , -G3975)</f>
        <v/>
      </c>
      <c r="J3975" s="94" t="str">
        <f t="shared" si="3976"/>
        <v/>
      </c>
      <c r="K3975" s="100"/>
      <c r="M3975" s="100"/>
      <c r="N3975" s="100"/>
      <c r="O3975" s="100"/>
      <c r="P3975" s="100"/>
    </row>
    <row r="3976">
      <c r="A3976" s="107">
        <v>1627832.0</v>
      </c>
      <c r="B3976" s="108" t="s">
        <v>190</v>
      </c>
      <c r="C3976" s="108" t="s">
        <v>961</v>
      </c>
      <c r="D3976" s="112" t="s">
        <v>187</v>
      </c>
      <c r="E3976" s="112">
        <v>292.3</v>
      </c>
      <c r="F3976" s="111" t="str">
        <f>DataPull!D3976</f>
        <v/>
      </c>
      <c r="G3976" s="94" t="str">
        <f t="shared" si="2"/>
        <v/>
      </c>
      <c r="H3976" s="94" t="str">
        <f t="shared" si="3"/>
        <v/>
      </c>
      <c r="I3976" s="94" t="str">
        <f t="shared" ref="I3976:J3976" si="3977">if(G3976 = "", , -G3976)</f>
        <v/>
      </c>
      <c r="J3976" s="94" t="str">
        <f t="shared" si="3977"/>
        <v/>
      </c>
      <c r="K3976" s="100"/>
      <c r="M3976" s="100"/>
      <c r="N3976" s="100"/>
      <c r="O3976" s="100"/>
      <c r="P3976" s="100"/>
    </row>
    <row r="3977">
      <c r="A3977" s="107">
        <v>1627832.0</v>
      </c>
      <c r="B3977" s="108" t="s">
        <v>191</v>
      </c>
      <c r="C3977" s="108" t="s">
        <v>961</v>
      </c>
      <c r="D3977" s="112" t="s">
        <v>177</v>
      </c>
      <c r="E3977" s="112">
        <v>1520.0</v>
      </c>
      <c r="F3977" s="111" t="str">
        <f>DataPull!D3977</f>
        <v/>
      </c>
      <c r="G3977" s="94" t="str">
        <f t="shared" si="2"/>
        <v/>
      </c>
      <c r="H3977" s="94" t="str">
        <f t="shared" si="3"/>
        <v/>
      </c>
      <c r="I3977" s="94" t="str">
        <f t="shared" ref="I3977:J3977" si="3978">if(G3977 = "", , -G3977)</f>
        <v/>
      </c>
      <c r="J3977" s="94" t="str">
        <f t="shared" si="3978"/>
        <v/>
      </c>
      <c r="K3977" s="100"/>
      <c r="M3977" s="100"/>
      <c r="N3977" s="100"/>
      <c r="O3977" s="100"/>
      <c r="P3977" s="100"/>
    </row>
    <row r="3978">
      <c r="A3978" s="107">
        <v>1627832.0</v>
      </c>
      <c r="B3978" s="108" t="s">
        <v>192</v>
      </c>
      <c r="C3978" s="108" t="s">
        <v>961</v>
      </c>
      <c r="D3978" s="112" t="s">
        <v>184</v>
      </c>
      <c r="E3978" s="112">
        <v>1760.0</v>
      </c>
      <c r="F3978" s="111" t="str">
        <f>DataPull!D3978</f>
        <v/>
      </c>
      <c r="G3978" s="94" t="str">
        <f t="shared" si="2"/>
        <v/>
      </c>
      <c r="H3978" s="94" t="str">
        <f t="shared" si="3"/>
        <v/>
      </c>
      <c r="I3978" s="94" t="str">
        <f t="shared" ref="I3978:J3978" si="3979">if(G3978 = "", , -G3978)</f>
        <v/>
      </c>
      <c r="J3978" s="94" t="str">
        <f t="shared" si="3979"/>
        <v/>
      </c>
      <c r="K3978" s="100"/>
      <c r="M3978" s="100"/>
      <c r="N3978" s="100"/>
      <c r="O3978" s="100"/>
      <c r="P3978" s="100"/>
    </row>
    <row r="3979">
      <c r="A3979" s="107">
        <v>1627832.0</v>
      </c>
      <c r="B3979" s="108" t="s">
        <v>193</v>
      </c>
      <c r="C3979" s="108" t="s">
        <v>961</v>
      </c>
      <c r="D3979" s="112" t="s">
        <v>184</v>
      </c>
      <c r="E3979" s="112">
        <v>1927.8</v>
      </c>
      <c r="F3979" s="111" t="str">
        <f>DataPull!D3979</f>
        <v/>
      </c>
      <c r="G3979" s="94" t="str">
        <f t="shared" si="2"/>
        <v/>
      </c>
      <c r="H3979" s="94" t="str">
        <f t="shared" si="3"/>
        <v/>
      </c>
      <c r="I3979" s="94" t="str">
        <f t="shared" ref="I3979:J3979" si="3980">if(G3979 = "", , -G3979)</f>
        <v/>
      </c>
      <c r="J3979" s="94" t="str">
        <f t="shared" si="3980"/>
        <v/>
      </c>
      <c r="K3979" s="100"/>
      <c r="M3979" s="100"/>
      <c r="N3979" s="100"/>
      <c r="O3979" s="100"/>
      <c r="P3979" s="100"/>
    </row>
    <row r="3980">
      <c r="A3980" s="107">
        <v>1627832.0</v>
      </c>
      <c r="B3980" s="108" t="s">
        <v>243</v>
      </c>
      <c r="C3980" s="108" t="s">
        <v>961</v>
      </c>
      <c r="D3980" s="112" t="s">
        <v>184</v>
      </c>
      <c r="E3980" s="112">
        <v>1898.0</v>
      </c>
      <c r="F3980" s="111" t="str">
        <f>DataPull!D3980</f>
        <v/>
      </c>
      <c r="G3980" s="94" t="str">
        <f t="shared" si="2"/>
        <v/>
      </c>
      <c r="H3980" s="94" t="str">
        <f t="shared" si="3"/>
        <v/>
      </c>
      <c r="I3980" s="94" t="str">
        <f t="shared" ref="I3980:J3980" si="3981">if(G3980 = "", , -G3980)</f>
        <v/>
      </c>
      <c r="J3980" s="94" t="str">
        <f t="shared" si="3981"/>
        <v/>
      </c>
      <c r="K3980" s="100"/>
      <c r="M3980" s="100"/>
      <c r="N3980" s="100"/>
      <c r="O3980" s="100"/>
      <c r="P3980" s="100"/>
    </row>
    <row r="3981">
      <c r="A3981" s="107">
        <v>1627832.0</v>
      </c>
      <c r="B3981" s="108" t="s">
        <v>215</v>
      </c>
      <c r="C3981" s="108" t="s">
        <v>961</v>
      </c>
      <c r="D3981" s="112" t="s">
        <v>184</v>
      </c>
      <c r="E3981" s="112">
        <v>2463.5</v>
      </c>
      <c r="F3981" s="111" t="str">
        <f>DataPull!D3981</f>
        <v/>
      </c>
      <c r="G3981" s="94" t="str">
        <f t="shared" si="2"/>
        <v/>
      </c>
      <c r="H3981" s="94" t="str">
        <f t="shared" si="3"/>
        <v/>
      </c>
      <c r="I3981" s="94" t="str">
        <f t="shared" ref="I3981:J3981" si="3982">if(G3981 = "", , -G3981)</f>
        <v/>
      </c>
      <c r="J3981" s="94" t="str">
        <f t="shared" si="3982"/>
        <v/>
      </c>
      <c r="K3981" s="100"/>
      <c r="M3981" s="100"/>
      <c r="N3981" s="100"/>
      <c r="O3981" s="100"/>
      <c r="P3981" s="100"/>
    </row>
    <row r="3982">
      <c r="A3982" s="107">
        <v>1627832.0</v>
      </c>
      <c r="B3982" s="108" t="s">
        <v>244</v>
      </c>
      <c r="C3982" s="108" t="s">
        <v>961</v>
      </c>
      <c r="D3982" s="112" t="s">
        <v>184</v>
      </c>
      <c r="E3982" s="112">
        <v>2532.3</v>
      </c>
      <c r="F3982" s="111" t="str">
        <f>DataPull!D3982</f>
        <v/>
      </c>
      <c r="G3982" s="94" t="str">
        <f t="shared" si="2"/>
        <v/>
      </c>
      <c r="H3982" s="94" t="str">
        <f t="shared" si="3"/>
        <v/>
      </c>
      <c r="I3982" s="94" t="str">
        <f t="shared" ref="I3982:J3982" si="3983">if(G3982 = "", , -G3982)</f>
        <v/>
      </c>
      <c r="J3982" s="94" t="str">
        <f t="shared" si="3983"/>
        <v/>
      </c>
      <c r="K3982" s="100"/>
      <c r="M3982" s="100"/>
      <c r="N3982" s="100"/>
      <c r="O3982" s="100"/>
      <c r="P3982" s="100"/>
    </row>
    <row r="3983">
      <c r="A3983" s="107">
        <v>1627832.0</v>
      </c>
      <c r="B3983" s="108" t="s">
        <v>245</v>
      </c>
      <c r="C3983" s="108" t="s">
        <v>961</v>
      </c>
      <c r="D3983" s="112" t="s">
        <v>184</v>
      </c>
      <c r="E3983" s="112">
        <v>2686.4</v>
      </c>
      <c r="F3983" s="111" t="str">
        <f>DataPull!D3983</f>
        <v/>
      </c>
      <c r="G3983" s="94" t="str">
        <f t="shared" si="2"/>
        <v/>
      </c>
      <c r="H3983" s="94" t="str">
        <f t="shared" si="3"/>
        <v/>
      </c>
      <c r="I3983" s="94" t="str">
        <f t="shared" ref="I3983:J3983" si="3984">if(G3983 = "", , -G3983)</f>
        <v/>
      </c>
      <c r="J3983" s="94" t="str">
        <f t="shared" si="3984"/>
        <v/>
      </c>
      <c r="K3983" s="100"/>
      <c r="L3983" s="100"/>
      <c r="N3983" s="100"/>
      <c r="O3983" s="100"/>
      <c r="P3983" s="100"/>
    </row>
    <row r="3984">
      <c r="A3984" s="107">
        <v>1627832.0</v>
      </c>
      <c r="B3984" s="108" t="s">
        <v>246</v>
      </c>
      <c r="C3984" s="108" t="s">
        <v>961</v>
      </c>
      <c r="D3984" s="112" t="s">
        <v>184</v>
      </c>
      <c r="E3984" s="112">
        <v>2112.0</v>
      </c>
      <c r="F3984" s="111" t="str">
        <f>DataPull!D3984</f>
        <v/>
      </c>
      <c r="G3984" s="94" t="str">
        <f t="shared" si="2"/>
        <v/>
      </c>
      <c r="H3984" s="94" t="str">
        <f t="shared" si="3"/>
        <v/>
      </c>
      <c r="I3984" s="94" t="str">
        <f t="shared" ref="I3984:J3984" si="3985">if(G3984 = "", , -G3984)</f>
        <v/>
      </c>
      <c r="J3984" s="94" t="str">
        <f t="shared" si="3985"/>
        <v/>
      </c>
      <c r="K3984" s="100"/>
      <c r="M3984" s="100"/>
      <c r="N3984" s="100"/>
      <c r="O3984" s="100"/>
      <c r="P3984" s="100"/>
    </row>
    <row r="3985">
      <c r="A3985" s="126">
        <v>1627832.0</v>
      </c>
      <c r="B3985" s="127" t="s">
        <v>247</v>
      </c>
      <c r="C3985" s="127" t="s">
        <v>961</v>
      </c>
      <c r="D3985" s="112"/>
      <c r="E3985" s="112"/>
      <c r="F3985" s="111" t="str">
        <f>DataPull!D3985</f>
        <v/>
      </c>
      <c r="G3985" s="94" t="str">
        <f t="shared" si="2"/>
        <v/>
      </c>
      <c r="H3985" s="94" t="str">
        <f t="shared" si="3"/>
        <v/>
      </c>
      <c r="I3985" s="94" t="str">
        <f t="shared" ref="I3985:J3985" si="3986">if(G3985 = "", , -G3985)</f>
        <v/>
      </c>
      <c r="J3985" s="94" t="str">
        <f t="shared" si="3986"/>
        <v/>
      </c>
      <c r="K3985" s="100"/>
      <c r="M3985" s="100"/>
      <c r="N3985" s="100"/>
      <c r="O3985" s="100"/>
      <c r="P3985" s="100"/>
    </row>
    <row r="3986">
      <c r="A3986" s="107">
        <v>1627834.0</v>
      </c>
      <c r="B3986" s="108" t="s">
        <v>190</v>
      </c>
      <c r="C3986" s="108" t="s">
        <v>962</v>
      </c>
      <c r="D3986" s="112" t="s">
        <v>177</v>
      </c>
      <c r="E3986" s="112">
        <v>354.2</v>
      </c>
      <c r="F3986" s="111" t="str">
        <f>DataPull!D3986</f>
        <v/>
      </c>
      <c r="G3986" s="94" t="str">
        <f t="shared" si="2"/>
        <v/>
      </c>
      <c r="H3986" s="94" t="str">
        <f t="shared" si="3"/>
        <v/>
      </c>
      <c r="I3986" s="94" t="str">
        <f t="shared" ref="I3986:J3986" si="3987">if(G3986 = "", , -G3986)</f>
        <v/>
      </c>
      <c r="J3986" s="94" t="str">
        <f t="shared" si="3987"/>
        <v/>
      </c>
      <c r="K3986" s="100"/>
      <c r="M3986" s="100"/>
      <c r="N3986" s="100"/>
      <c r="O3986" s="100"/>
      <c r="P3986" s="100"/>
    </row>
    <row r="3987">
      <c r="A3987" s="107">
        <v>1627834.0</v>
      </c>
      <c r="B3987" s="108" t="s">
        <v>191</v>
      </c>
      <c r="C3987" s="108" t="s">
        <v>962</v>
      </c>
      <c r="D3987" s="112" t="s">
        <v>187</v>
      </c>
      <c r="E3987" s="112">
        <v>122.4</v>
      </c>
      <c r="F3987" s="111" t="str">
        <f>DataPull!D3987</f>
        <v/>
      </c>
      <c r="G3987" s="94" t="str">
        <f t="shared" si="2"/>
        <v/>
      </c>
      <c r="H3987" s="94" t="str">
        <f t="shared" si="3"/>
        <v/>
      </c>
      <c r="I3987" s="94" t="str">
        <f t="shared" ref="I3987:J3987" si="3988">if(G3987 = "", , -G3987)</f>
        <v/>
      </c>
      <c r="J3987" s="94" t="str">
        <f t="shared" si="3988"/>
        <v/>
      </c>
      <c r="K3987" s="100"/>
      <c r="M3987" s="100"/>
      <c r="N3987" s="100"/>
      <c r="O3987" s="100"/>
      <c r="P3987" s="100"/>
    </row>
    <row r="3988">
      <c r="A3988" s="107">
        <v>1627835.0</v>
      </c>
      <c r="B3988" s="108" t="s">
        <v>190</v>
      </c>
      <c r="C3988" s="108" t="s">
        <v>963</v>
      </c>
      <c r="D3988" s="112" t="s">
        <v>177</v>
      </c>
      <c r="E3988" s="112">
        <v>844.8</v>
      </c>
      <c r="F3988" s="111" t="str">
        <f>DataPull!D3988</f>
        <v/>
      </c>
      <c r="G3988" s="94" t="str">
        <f t="shared" si="2"/>
        <v/>
      </c>
      <c r="H3988" s="94" t="str">
        <f t="shared" si="3"/>
        <v/>
      </c>
      <c r="I3988" s="94" t="str">
        <f t="shared" ref="I3988:J3988" si="3989">if(G3988 = "", , -G3988)</f>
        <v/>
      </c>
      <c r="J3988" s="94" t="str">
        <f t="shared" si="3989"/>
        <v/>
      </c>
      <c r="K3988" s="100"/>
      <c r="M3988" s="100"/>
      <c r="N3988" s="100"/>
      <c r="O3988" s="100"/>
      <c r="P3988" s="100"/>
    </row>
    <row r="3989">
      <c r="A3989" s="107">
        <v>1627835.0</v>
      </c>
      <c r="B3989" s="108" t="s">
        <v>191</v>
      </c>
      <c r="C3989" s="108" t="s">
        <v>963</v>
      </c>
      <c r="D3989" s="112" t="s">
        <v>177</v>
      </c>
      <c r="E3989" s="112">
        <v>826.2</v>
      </c>
      <c r="F3989" s="111" t="str">
        <f>DataPull!D3989</f>
        <v/>
      </c>
      <c r="G3989" s="94" t="str">
        <f t="shared" si="2"/>
        <v/>
      </c>
      <c r="H3989" s="94" t="str">
        <f t="shared" si="3"/>
        <v/>
      </c>
      <c r="I3989" s="94" t="str">
        <f t="shared" ref="I3989:J3989" si="3990">if(G3989 = "", , -G3989)</f>
        <v/>
      </c>
      <c r="J3989" s="94" t="str">
        <f t="shared" si="3990"/>
        <v/>
      </c>
      <c r="K3989" s="100"/>
      <c r="M3989" s="100"/>
      <c r="N3989" s="100"/>
      <c r="O3989" s="100"/>
      <c r="P3989" s="100"/>
    </row>
    <row r="3990">
      <c r="A3990" s="107">
        <v>1627846.0</v>
      </c>
      <c r="B3990" s="108" t="s">
        <v>191</v>
      </c>
      <c r="C3990" s="108" t="s">
        <v>964</v>
      </c>
      <c r="D3990" s="112" t="s">
        <v>187</v>
      </c>
      <c r="E3990" s="112">
        <v>523.2</v>
      </c>
      <c r="F3990" s="111" t="str">
        <f>DataPull!D3990</f>
        <v/>
      </c>
      <c r="G3990" s="94" t="str">
        <f t="shared" si="2"/>
        <v/>
      </c>
      <c r="H3990" s="94" t="str">
        <f t="shared" si="3"/>
        <v/>
      </c>
      <c r="I3990" s="94" t="str">
        <f t="shared" ref="I3990:J3990" si="3991">if(G3990 = "", , -G3990)</f>
        <v/>
      </c>
      <c r="J3990" s="94" t="str">
        <f t="shared" si="3991"/>
        <v/>
      </c>
      <c r="K3990" s="100"/>
      <c r="M3990" s="100"/>
      <c r="N3990" s="100"/>
      <c r="O3990" s="100"/>
      <c r="P3990" s="100"/>
    </row>
    <row r="3991">
      <c r="A3991" s="107">
        <v>1627846.0</v>
      </c>
      <c r="B3991" s="108" t="s">
        <v>192</v>
      </c>
      <c r="C3991" s="108" t="s">
        <v>964</v>
      </c>
      <c r="D3991" s="112" t="s">
        <v>177</v>
      </c>
      <c r="E3991" s="112">
        <v>695.4</v>
      </c>
      <c r="F3991" s="111" t="str">
        <f>DataPull!D3991</f>
        <v/>
      </c>
      <c r="G3991" s="94" t="str">
        <f t="shared" si="2"/>
        <v/>
      </c>
      <c r="H3991" s="94" t="str">
        <f t="shared" si="3"/>
        <v/>
      </c>
      <c r="I3991" s="94" t="str">
        <f t="shared" ref="I3991:J3991" si="3992">if(G3991 = "", , -G3991)</f>
        <v/>
      </c>
      <c r="J3991" s="94" t="str">
        <f t="shared" si="3992"/>
        <v/>
      </c>
      <c r="K3991" s="100"/>
      <c r="M3991" s="100"/>
      <c r="N3991" s="100"/>
      <c r="O3991" s="100"/>
      <c r="P3991" s="100"/>
    </row>
    <row r="3992">
      <c r="A3992" s="107">
        <v>1627846.0</v>
      </c>
      <c r="B3992" s="108" t="s">
        <v>193</v>
      </c>
      <c r="C3992" s="108" t="s">
        <v>964</v>
      </c>
      <c r="D3992" s="112" t="s">
        <v>177</v>
      </c>
      <c r="E3992" s="112">
        <v>869.0</v>
      </c>
      <c r="F3992" s="111" t="str">
        <f>DataPull!D3992</f>
        <v/>
      </c>
      <c r="G3992" s="94" t="str">
        <f t="shared" si="2"/>
        <v/>
      </c>
      <c r="H3992" s="94" t="str">
        <f t="shared" si="3"/>
        <v/>
      </c>
      <c r="I3992" s="94" t="str">
        <f t="shared" ref="I3992:J3992" si="3993">if(G3992 = "", , -G3992)</f>
        <v/>
      </c>
      <c r="J3992" s="94" t="str">
        <f t="shared" si="3993"/>
        <v/>
      </c>
      <c r="K3992" s="100"/>
      <c r="M3992" s="100"/>
      <c r="N3992" s="100"/>
      <c r="O3992" s="100"/>
      <c r="P3992" s="100"/>
    </row>
    <row r="3993">
      <c r="A3993" s="107">
        <v>1627846.0</v>
      </c>
      <c r="B3993" s="108" t="s">
        <v>243</v>
      </c>
      <c r="C3993" s="108" t="s">
        <v>964</v>
      </c>
      <c r="D3993" s="112" t="s">
        <v>177</v>
      </c>
      <c r="E3993" s="112">
        <v>355.2</v>
      </c>
      <c r="F3993" s="111" t="str">
        <f>DataPull!D3993</f>
        <v/>
      </c>
      <c r="G3993" s="94" t="str">
        <f t="shared" si="2"/>
        <v/>
      </c>
      <c r="H3993" s="94" t="str">
        <f t="shared" si="3"/>
        <v/>
      </c>
      <c r="I3993" s="94" t="str">
        <f t="shared" ref="I3993:J3993" si="3994">if(G3993 = "", , -G3993)</f>
        <v/>
      </c>
      <c r="J3993" s="94" t="str">
        <f t="shared" si="3994"/>
        <v/>
      </c>
      <c r="K3993" s="100"/>
      <c r="M3993" s="100"/>
      <c r="N3993" s="100"/>
      <c r="O3993" s="100"/>
      <c r="P3993" s="100"/>
    </row>
    <row r="3994">
      <c r="A3994" s="107">
        <v>1627846.0</v>
      </c>
      <c r="B3994" s="108" t="s">
        <v>215</v>
      </c>
      <c r="C3994" s="108" t="s">
        <v>964</v>
      </c>
      <c r="D3994" s="112" t="s">
        <v>187</v>
      </c>
      <c r="E3994" s="112">
        <v>145.6</v>
      </c>
      <c r="F3994" s="111" t="str">
        <f>DataPull!D3994</f>
        <v/>
      </c>
      <c r="G3994" s="94" t="str">
        <f t="shared" si="2"/>
        <v/>
      </c>
      <c r="H3994" s="94" t="str">
        <f t="shared" si="3"/>
        <v/>
      </c>
      <c r="I3994" s="94" t="str">
        <f t="shared" ref="I3994:J3994" si="3995">if(G3994 = "", , -G3994)</f>
        <v/>
      </c>
      <c r="J3994" s="94" t="str">
        <f t="shared" si="3995"/>
        <v/>
      </c>
      <c r="K3994" s="100"/>
      <c r="M3994" s="100"/>
      <c r="N3994" s="100"/>
      <c r="O3994" s="100"/>
      <c r="P3994" s="100"/>
    </row>
    <row r="3995">
      <c r="A3995" s="107">
        <v>1627848.0</v>
      </c>
      <c r="B3995" s="108" t="s">
        <v>190</v>
      </c>
      <c r="C3995" s="108" t="s">
        <v>965</v>
      </c>
      <c r="D3995" s="112" t="s">
        <v>187</v>
      </c>
      <c r="E3995" s="112">
        <v>234.0</v>
      </c>
      <c r="F3995" s="111" t="str">
        <f>DataPull!D3995</f>
        <v/>
      </c>
      <c r="G3995" s="94" t="str">
        <f t="shared" si="2"/>
        <v/>
      </c>
      <c r="H3995" s="94" t="str">
        <f t="shared" si="3"/>
        <v/>
      </c>
      <c r="I3995" s="94" t="str">
        <f t="shared" ref="I3995:J3995" si="3996">if(G3995 = "", , -G3995)</f>
        <v/>
      </c>
      <c r="J3995" s="94" t="str">
        <f t="shared" si="3996"/>
        <v/>
      </c>
      <c r="K3995" s="100"/>
      <c r="M3995" s="100"/>
      <c r="N3995" s="100"/>
      <c r="O3995" s="100"/>
      <c r="P3995" s="100"/>
    </row>
    <row r="3996">
      <c r="A3996" s="107">
        <v>1627849.0</v>
      </c>
      <c r="B3996" s="108" t="s">
        <v>190</v>
      </c>
      <c r="C3996" s="108" t="s">
        <v>966</v>
      </c>
      <c r="D3996" s="112" t="s">
        <v>187</v>
      </c>
      <c r="E3996" s="112">
        <v>74.1</v>
      </c>
      <c r="F3996" s="111" t="str">
        <f>DataPull!D3996</f>
        <v/>
      </c>
      <c r="G3996" s="94" t="str">
        <f t="shared" si="2"/>
        <v/>
      </c>
      <c r="H3996" s="94" t="str">
        <f t="shared" si="3"/>
        <v/>
      </c>
      <c r="I3996" s="94" t="str">
        <f t="shared" ref="I3996:J3996" si="3997">if(G3996 = "", , -G3996)</f>
        <v/>
      </c>
      <c r="J3996" s="94" t="str">
        <f t="shared" si="3997"/>
        <v/>
      </c>
      <c r="K3996" s="100"/>
      <c r="N3996" s="100"/>
      <c r="O3996" s="100"/>
      <c r="P3996" s="100"/>
    </row>
    <row r="3997">
      <c r="A3997" s="107">
        <v>1627850.0</v>
      </c>
      <c r="B3997" s="108" t="s">
        <v>190</v>
      </c>
      <c r="C3997" s="108" t="s">
        <v>967</v>
      </c>
      <c r="D3997" s="112" t="s">
        <v>187</v>
      </c>
      <c r="E3997" s="112">
        <v>170.1</v>
      </c>
      <c r="F3997" s="111" t="str">
        <f>DataPull!D3997</f>
        <v/>
      </c>
      <c r="G3997" s="94" t="str">
        <f t="shared" si="2"/>
        <v/>
      </c>
      <c r="H3997" s="94" t="str">
        <f t="shared" si="3"/>
        <v/>
      </c>
      <c r="I3997" s="94" t="str">
        <f t="shared" ref="I3997:J3997" si="3998">if(G3997 = "", , -G3997)</f>
        <v/>
      </c>
      <c r="J3997" s="94" t="str">
        <f t="shared" si="3998"/>
        <v/>
      </c>
      <c r="K3997" s="100"/>
      <c r="M3997" s="100"/>
      <c r="N3997" s="100"/>
      <c r="O3997" s="100"/>
      <c r="P3997" s="100"/>
    </row>
    <row r="3998">
      <c r="A3998" s="107">
        <v>1627850.0</v>
      </c>
      <c r="B3998" s="108" t="s">
        <v>191</v>
      </c>
      <c r="C3998" s="108" t="s">
        <v>967</v>
      </c>
      <c r="D3998" s="112" t="s">
        <v>181</v>
      </c>
      <c r="E3998" s="112">
        <v>52.0</v>
      </c>
      <c r="F3998" s="111" t="str">
        <f>DataPull!D3998</f>
        <v/>
      </c>
      <c r="G3998" s="94" t="str">
        <f t="shared" si="2"/>
        <v/>
      </c>
      <c r="H3998" s="94" t="str">
        <f t="shared" si="3"/>
        <v/>
      </c>
      <c r="I3998" s="94" t="str">
        <f t="shared" ref="I3998:J3998" si="3999">if(G3998 = "", , -G3998)</f>
        <v/>
      </c>
      <c r="J3998" s="94" t="str">
        <f t="shared" si="3999"/>
        <v/>
      </c>
      <c r="K3998" s="100"/>
      <c r="M3998" s="100"/>
      <c r="N3998" s="100"/>
      <c r="O3998" s="100"/>
      <c r="P3998" s="100"/>
    </row>
    <row r="3999">
      <c r="A3999" s="107">
        <v>1627851.0</v>
      </c>
      <c r="B3999" s="108" t="s">
        <v>190</v>
      </c>
      <c r="C3999" s="108" t="s">
        <v>968</v>
      </c>
      <c r="D3999" s="112" t="s">
        <v>177</v>
      </c>
      <c r="E3999" s="112">
        <v>1013.2</v>
      </c>
      <c r="F3999" s="111" t="str">
        <f>DataPull!D3999</f>
        <v/>
      </c>
      <c r="G3999" s="94" t="str">
        <f t="shared" si="2"/>
        <v/>
      </c>
      <c r="H3999" s="94" t="str">
        <f t="shared" si="3"/>
        <v/>
      </c>
      <c r="I3999" s="94" t="str">
        <f t="shared" ref="I3999:J3999" si="4000">if(G3999 = "", , -G3999)</f>
        <v/>
      </c>
      <c r="J3999" s="94" t="str">
        <f t="shared" si="4000"/>
        <v/>
      </c>
      <c r="K3999" s="100"/>
      <c r="L3999" s="100"/>
      <c r="N3999" s="100"/>
      <c r="O3999" s="100"/>
      <c r="P3999" s="100"/>
    </row>
    <row r="4000">
      <c r="A4000" s="107">
        <v>1627851.0</v>
      </c>
      <c r="B4000" s="108" t="s">
        <v>191</v>
      </c>
      <c r="C4000" s="108" t="s">
        <v>968</v>
      </c>
      <c r="D4000" s="112" t="s">
        <v>181</v>
      </c>
      <c r="E4000" s="112">
        <v>1.9</v>
      </c>
      <c r="F4000" s="111" t="str">
        <f>DataPull!D4000</f>
        <v/>
      </c>
      <c r="G4000" s="94" t="str">
        <f t="shared" si="2"/>
        <v/>
      </c>
      <c r="H4000" s="94" t="str">
        <f t="shared" si="3"/>
        <v/>
      </c>
      <c r="I4000" s="94" t="str">
        <f t="shared" ref="I4000:J4000" si="4001">if(G4000 = "", , -G4000)</f>
        <v/>
      </c>
      <c r="J4000" s="94" t="str">
        <f t="shared" si="4001"/>
        <v/>
      </c>
      <c r="K4000" s="100"/>
      <c r="M4000" s="100"/>
      <c r="N4000" s="100"/>
      <c r="O4000" s="100"/>
      <c r="P4000" s="100"/>
    </row>
    <row r="4001">
      <c r="A4001" s="107">
        <v>1627852.0</v>
      </c>
      <c r="B4001" s="108" t="s">
        <v>190</v>
      </c>
      <c r="C4001" s="108" t="s">
        <v>969</v>
      </c>
      <c r="D4001" s="112" t="s">
        <v>187</v>
      </c>
      <c r="E4001" s="112">
        <v>523.8</v>
      </c>
      <c r="F4001" s="111" t="str">
        <f>DataPull!D4001</f>
        <v/>
      </c>
      <c r="G4001" s="94" t="str">
        <f t="shared" si="2"/>
        <v/>
      </c>
      <c r="H4001" s="94" t="str">
        <f t="shared" si="3"/>
        <v/>
      </c>
      <c r="I4001" s="94" t="str">
        <f t="shared" ref="I4001:J4001" si="4002">if(G4001 = "", , -G4001)</f>
        <v/>
      </c>
      <c r="J4001" s="94" t="str">
        <f t="shared" si="4002"/>
        <v/>
      </c>
      <c r="K4001" s="100"/>
      <c r="M4001" s="100"/>
      <c r="N4001" s="100"/>
      <c r="O4001" s="100"/>
      <c r="P4001" s="100"/>
    </row>
    <row r="4002">
      <c r="A4002" s="107">
        <v>1627852.0</v>
      </c>
      <c r="B4002" s="108" t="s">
        <v>191</v>
      </c>
      <c r="C4002" s="108" t="s">
        <v>969</v>
      </c>
      <c r="D4002" s="112" t="s">
        <v>181</v>
      </c>
      <c r="E4002" s="112">
        <v>10.0</v>
      </c>
      <c r="F4002" s="111" t="str">
        <f>DataPull!D4002</f>
        <v/>
      </c>
      <c r="G4002" s="94" t="str">
        <f t="shared" si="2"/>
        <v/>
      </c>
      <c r="H4002" s="94" t="str">
        <f t="shared" si="3"/>
        <v/>
      </c>
      <c r="I4002" s="94" t="str">
        <f t="shared" ref="I4002:J4002" si="4003">if(G4002 = "", , -G4002)</f>
        <v/>
      </c>
      <c r="J4002" s="94" t="str">
        <f t="shared" si="4003"/>
        <v/>
      </c>
      <c r="K4002" s="100"/>
      <c r="M4002" s="100"/>
      <c r="N4002" s="100"/>
      <c r="O4002" s="100"/>
      <c r="P4002" s="100"/>
    </row>
    <row r="4003">
      <c r="A4003" s="107">
        <v>1627853.0</v>
      </c>
      <c r="B4003" s="108" t="s">
        <v>191</v>
      </c>
      <c r="C4003" s="108" t="s">
        <v>970</v>
      </c>
      <c r="D4003" s="112" t="s">
        <v>177</v>
      </c>
      <c r="E4003" s="112">
        <v>304.8</v>
      </c>
      <c r="F4003" s="111" t="str">
        <f>DataPull!D4003</f>
        <v/>
      </c>
      <c r="G4003" s="94" t="str">
        <f t="shared" si="2"/>
        <v/>
      </c>
      <c r="H4003" s="94" t="str">
        <f t="shared" si="3"/>
        <v/>
      </c>
      <c r="I4003" s="94" t="str">
        <f t="shared" ref="I4003:J4003" si="4004">if(G4003 = "", , -G4003)</f>
        <v/>
      </c>
      <c r="J4003" s="94" t="str">
        <f t="shared" si="4004"/>
        <v/>
      </c>
      <c r="K4003" s="100"/>
      <c r="M4003" s="100"/>
      <c r="N4003" s="100"/>
      <c r="O4003" s="100"/>
      <c r="P4003" s="100"/>
    </row>
    <row r="4004">
      <c r="A4004" s="107">
        <v>1627853.0</v>
      </c>
      <c r="B4004" s="108" t="s">
        <v>192</v>
      </c>
      <c r="C4004" s="108" t="s">
        <v>970</v>
      </c>
      <c r="D4004" s="112" t="s">
        <v>176</v>
      </c>
      <c r="E4004" s="112">
        <v>1960.2</v>
      </c>
      <c r="F4004" s="111" t="str">
        <f>DataPull!D4004</f>
        <v/>
      </c>
      <c r="G4004" s="94" t="str">
        <f t="shared" si="2"/>
        <v/>
      </c>
      <c r="H4004" s="94" t="str">
        <f t="shared" si="3"/>
        <v/>
      </c>
      <c r="I4004" s="94" t="str">
        <f t="shared" ref="I4004:J4004" si="4005">if(G4004 = "", , -G4004)</f>
        <v/>
      </c>
      <c r="J4004" s="94" t="str">
        <f t="shared" si="4005"/>
        <v/>
      </c>
      <c r="K4004" s="100"/>
      <c r="M4004" s="100"/>
      <c r="N4004" s="100"/>
      <c r="O4004" s="100"/>
      <c r="P4004" s="100"/>
    </row>
    <row r="4005">
      <c r="A4005" s="107">
        <v>1627853.0</v>
      </c>
      <c r="B4005" s="108" t="s">
        <v>193</v>
      </c>
      <c r="C4005" s="108" t="s">
        <v>970</v>
      </c>
      <c r="D4005" s="112" t="s">
        <v>177</v>
      </c>
      <c r="E4005" s="112">
        <v>928.0</v>
      </c>
      <c r="F4005" s="111" t="str">
        <f>DataPull!D4005</f>
        <v/>
      </c>
      <c r="G4005" s="94" t="str">
        <f t="shared" si="2"/>
        <v/>
      </c>
      <c r="H4005" s="94" t="str">
        <f t="shared" si="3"/>
        <v/>
      </c>
      <c r="I4005" s="94" t="str">
        <f t="shared" ref="I4005:J4005" si="4006">if(G4005 = "", , -G4005)</f>
        <v/>
      </c>
      <c r="J4005" s="94" t="str">
        <f t="shared" si="4006"/>
        <v/>
      </c>
      <c r="K4005" s="100"/>
      <c r="M4005" s="100"/>
      <c r="N4005" s="100"/>
      <c r="O4005" s="100"/>
      <c r="P4005" s="100"/>
    </row>
    <row r="4006">
      <c r="A4006" s="107">
        <v>1627853.0</v>
      </c>
      <c r="B4006" s="108" t="s">
        <v>243</v>
      </c>
      <c r="C4006" s="108" t="s">
        <v>970</v>
      </c>
      <c r="D4006" s="112" t="s">
        <v>177</v>
      </c>
      <c r="E4006" s="112">
        <v>448.8</v>
      </c>
      <c r="F4006" s="111" t="str">
        <f>DataPull!D4006</f>
        <v/>
      </c>
      <c r="G4006" s="94" t="str">
        <f t="shared" si="2"/>
        <v/>
      </c>
      <c r="H4006" s="94" t="str">
        <f t="shared" si="3"/>
        <v/>
      </c>
      <c r="I4006" s="94" t="str">
        <f t="shared" ref="I4006:J4006" si="4007">if(G4006 = "", , -G4006)</f>
        <v/>
      </c>
      <c r="J4006" s="94" t="str">
        <f t="shared" si="4007"/>
        <v/>
      </c>
      <c r="K4006" s="100"/>
      <c r="M4006" s="100"/>
      <c r="N4006" s="100"/>
      <c r="O4006" s="100"/>
      <c r="P4006" s="100"/>
    </row>
    <row r="4007">
      <c r="A4007" s="107">
        <v>1627853.0</v>
      </c>
      <c r="B4007" s="108" t="s">
        <v>215</v>
      </c>
      <c r="C4007" s="108" t="s">
        <v>970</v>
      </c>
      <c r="D4007" s="112" t="s">
        <v>187</v>
      </c>
      <c r="E4007" s="112">
        <v>76.0</v>
      </c>
      <c r="F4007" s="111" t="str">
        <f>DataPull!D4007</f>
        <v/>
      </c>
      <c r="G4007" s="94" t="str">
        <f t="shared" si="2"/>
        <v/>
      </c>
      <c r="H4007" s="94" t="str">
        <f t="shared" si="3"/>
        <v/>
      </c>
      <c r="I4007" s="94" t="str">
        <f t="shared" ref="I4007:J4007" si="4008">if(G4007 = "", , -G4007)</f>
        <v/>
      </c>
      <c r="J4007" s="94" t="str">
        <f t="shared" si="4008"/>
        <v/>
      </c>
      <c r="K4007" s="100"/>
      <c r="M4007" s="100"/>
      <c r="N4007" s="100"/>
      <c r="O4007" s="100"/>
      <c r="P4007" s="100"/>
    </row>
    <row r="4008">
      <c r="A4008" s="107">
        <v>1627853.0</v>
      </c>
      <c r="B4008" s="108" t="s">
        <v>244</v>
      </c>
      <c r="C4008" s="108" t="s">
        <v>970</v>
      </c>
      <c r="D4008" s="112" t="s">
        <v>187</v>
      </c>
      <c r="E4008" s="112">
        <v>172.0</v>
      </c>
      <c r="F4008" s="111" t="str">
        <f>DataPull!D4008</f>
        <v/>
      </c>
      <c r="G4008" s="94" t="str">
        <f t="shared" si="2"/>
        <v/>
      </c>
      <c r="H4008" s="94" t="str">
        <f t="shared" si="3"/>
        <v/>
      </c>
      <c r="I4008" s="94" t="str">
        <f t="shared" ref="I4008:J4008" si="4009">if(G4008 = "", , -G4008)</f>
        <v/>
      </c>
      <c r="J4008" s="94" t="str">
        <f t="shared" si="4009"/>
        <v/>
      </c>
      <c r="K4008" s="100"/>
      <c r="M4008" s="100"/>
      <c r="N4008" s="100"/>
      <c r="O4008" s="100"/>
      <c r="P4008" s="100"/>
    </row>
    <row r="4009">
      <c r="A4009" s="107">
        <v>1627853.0</v>
      </c>
      <c r="B4009" s="108" t="s">
        <v>245</v>
      </c>
      <c r="C4009" s="108" t="s">
        <v>970</v>
      </c>
      <c r="D4009" s="112" t="s">
        <v>187</v>
      </c>
      <c r="E4009" s="112">
        <v>46.0</v>
      </c>
      <c r="F4009" s="111" t="str">
        <f>DataPull!D4009</f>
        <v/>
      </c>
      <c r="G4009" s="94" t="str">
        <f t="shared" si="2"/>
        <v/>
      </c>
      <c r="H4009" s="94" t="str">
        <f t="shared" si="3"/>
        <v/>
      </c>
      <c r="I4009" s="94" t="str">
        <f t="shared" ref="I4009:J4009" si="4010">if(G4009 = "", , -G4009)</f>
        <v/>
      </c>
      <c r="J4009" s="94" t="str">
        <f t="shared" si="4010"/>
        <v/>
      </c>
      <c r="K4009" s="100"/>
      <c r="L4009" s="100"/>
      <c r="N4009" s="100"/>
      <c r="O4009" s="100"/>
      <c r="P4009" s="100"/>
    </row>
    <row r="4010">
      <c r="A4010" s="107">
        <v>1627854.0</v>
      </c>
      <c r="B4010" s="108" t="s">
        <v>190</v>
      </c>
      <c r="C4010" s="108" t="s">
        <v>971</v>
      </c>
      <c r="D4010" s="112" t="s">
        <v>187</v>
      </c>
      <c r="E4010" s="112">
        <v>284.4</v>
      </c>
      <c r="F4010" s="111" t="str">
        <f>DataPull!D4010</f>
        <v/>
      </c>
      <c r="G4010" s="94" t="str">
        <f t="shared" si="2"/>
        <v/>
      </c>
      <c r="H4010" s="94" t="str">
        <f t="shared" si="3"/>
        <v/>
      </c>
      <c r="I4010" s="94" t="str">
        <f t="shared" ref="I4010:J4010" si="4011">if(G4010 = "", , -G4010)</f>
        <v/>
      </c>
      <c r="J4010" s="94" t="str">
        <f t="shared" si="4011"/>
        <v/>
      </c>
      <c r="K4010" s="100"/>
      <c r="L4010" s="100"/>
      <c r="M4010" s="100"/>
      <c r="N4010" s="100"/>
      <c r="O4010" s="100"/>
      <c r="P4010" s="100"/>
    </row>
    <row r="4011">
      <c r="A4011" s="107">
        <v>1627854.0</v>
      </c>
      <c r="B4011" s="108" t="s">
        <v>191</v>
      </c>
      <c r="C4011" s="108" t="s">
        <v>971</v>
      </c>
      <c r="D4011" s="112" t="s">
        <v>177</v>
      </c>
      <c r="E4011" s="112">
        <v>1520.0</v>
      </c>
      <c r="F4011" s="111" t="str">
        <f>DataPull!D4011</f>
        <v/>
      </c>
      <c r="G4011" s="94" t="str">
        <f t="shared" si="2"/>
        <v/>
      </c>
      <c r="H4011" s="94" t="str">
        <f t="shared" si="3"/>
        <v/>
      </c>
      <c r="I4011" s="94" t="str">
        <f t="shared" ref="I4011:J4011" si="4012">if(G4011 = "", , -G4011)</f>
        <v/>
      </c>
      <c r="J4011" s="94" t="str">
        <f t="shared" si="4012"/>
        <v/>
      </c>
      <c r="K4011" s="100"/>
      <c r="M4011" s="100"/>
      <c r="N4011" s="100"/>
      <c r="O4011" s="100"/>
      <c r="P4011" s="100"/>
    </row>
    <row r="4012">
      <c r="A4012" s="107">
        <v>1627854.0</v>
      </c>
      <c r="B4012" s="108" t="s">
        <v>192</v>
      </c>
      <c r="C4012" s="108" t="s">
        <v>971</v>
      </c>
      <c r="D4012" s="112" t="s">
        <v>178</v>
      </c>
      <c r="E4012" s="112">
        <v>2296.0</v>
      </c>
      <c r="F4012" s="111" t="str">
        <f>DataPull!D4012</f>
        <v/>
      </c>
      <c r="G4012" s="94" t="str">
        <f t="shared" si="2"/>
        <v/>
      </c>
      <c r="H4012" s="94" t="str">
        <f t="shared" si="3"/>
        <v/>
      </c>
      <c r="I4012" s="94" t="str">
        <f t="shared" ref="I4012:J4012" si="4013">if(G4012 = "", , -G4012)</f>
        <v/>
      </c>
      <c r="J4012" s="94" t="str">
        <f t="shared" si="4013"/>
        <v/>
      </c>
      <c r="K4012" s="100"/>
      <c r="M4012" s="100"/>
      <c r="N4012" s="100"/>
      <c r="O4012" s="100"/>
      <c r="P4012" s="100"/>
    </row>
    <row r="4013">
      <c r="A4013" s="107">
        <v>1627854.0</v>
      </c>
      <c r="B4013" s="108" t="s">
        <v>193</v>
      </c>
      <c r="C4013" s="108" t="s">
        <v>971</v>
      </c>
      <c r="D4013" s="112" t="s">
        <v>178</v>
      </c>
      <c r="E4013" s="112">
        <v>1581.3</v>
      </c>
      <c r="F4013" s="111" t="str">
        <f>DataPull!D4013</f>
        <v/>
      </c>
      <c r="G4013" s="94" t="str">
        <f t="shared" si="2"/>
        <v/>
      </c>
      <c r="H4013" s="94" t="str">
        <f t="shared" si="3"/>
        <v/>
      </c>
      <c r="I4013" s="94" t="str">
        <f t="shared" ref="I4013:J4013" si="4014">if(G4013 = "", , -G4013)</f>
        <v/>
      </c>
      <c r="J4013" s="94" t="str">
        <f t="shared" si="4014"/>
        <v/>
      </c>
      <c r="K4013" s="100"/>
      <c r="M4013" s="100"/>
      <c r="N4013" s="100"/>
      <c r="O4013" s="100"/>
      <c r="P4013" s="100"/>
    </row>
    <row r="4014">
      <c r="A4014" s="107">
        <v>1627854.0</v>
      </c>
      <c r="B4014" s="108" t="s">
        <v>243</v>
      </c>
      <c r="C4014" s="108" t="s">
        <v>971</v>
      </c>
      <c r="D4014" s="112" t="s">
        <v>177</v>
      </c>
      <c r="E4014" s="112">
        <v>1351.0</v>
      </c>
      <c r="F4014" s="111" t="str">
        <f>DataPull!D4014</f>
        <v/>
      </c>
      <c r="G4014" s="94" t="str">
        <f t="shared" si="2"/>
        <v/>
      </c>
      <c r="H4014" s="94" t="str">
        <f t="shared" si="3"/>
        <v/>
      </c>
      <c r="I4014" s="94" t="str">
        <f t="shared" ref="I4014:J4014" si="4015">if(G4014 = "", , -G4014)</f>
        <v/>
      </c>
      <c r="J4014" s="94" t="str">
        <f t="shared" si="4015"/>
        <v/>
      </c>
      <c r="K4014" s="100"/>
      <c r="M4014" s="100"/>
      <c r="N4014" s="100"/>
      <c r="O4014" s="100"/>
      <c r="P4014" s="100"/>
    </row>
    <row r="4015">
      <c r="A4015" s="107">
        <v>1627854.0</v>
      </c>
      <c r="B4015" s="108" t="s">
        <v>215</v>
      </c>
      <c r="C4015" s="108" t="s">
        <v>971</v>
      </c>
      <c r="D4015" s="112" t="s">
        <v>177</v>
      </c>
      <c r="E4015" s="112">
        <v>1282.5</v>
      </c>
      <c r="F4015" s="111" t="str">
        <f>DataPull!D4015</f>
        <v/>
      </c>
      <c r="G4015" s="94" t="str">
        <f t="shared" si="2"/>
        <v/>
      </c>
      <c r="H4015" s="94" t="str">
        <f t="shared" si="3"/>
        <v/>
      </c>
      <c r="I4015" s="94" t="str">
        <f t="shared" ref="I4015:J4015" si="4016">if(G4015 = "", , -G4015)</f>
        <v/>
      </c>
      <c r="J4015" s="94" t="str">
        <f t="shared" si="4016"/>
        <v/>
      </c>
      <c r="K4015" s="100"/>
      <c r="L4015" s="100"/>
      <c r="M4015" s="100"/>
      <c r="N4015" s="100"/>
      <c r="O4015" s="100"/>
      <c r="P4015" s="100"/>
    </row>
    <row r="4016">
      <c r="A4016" s="107">
        <v>1627854.0</v>
      </c>
      <c r="B4016" s="108" t="s">
        <v>244</v>
      </c>
      <c r="C4016" s="108" t="s">
        <v>971</v>
      </c>
      <c r="D4016" s="112" t="s">
        <v>187</v>
      </c>
      <c r="E4016" s="112">
        <v>267.5</v>
      </c>
      <c r="F4016" s="111" t="str">
        <f>DataPull!D4016</f>
        <v/>
      </c>
      <c r="G4016" s="94" t="str">
        <f t="shared" si="2"/>
        <v/>
      </c>
      <c r="H4016" s="94" t="str">
        <f t="shared" si="3"/>
        <v/>
      </c>
      <c r="I4016" s="94" t="str">
        <f t="shared" ref="I4016:J4016" si="4017">if(G4016 = "", , -G4016)</f>
        <v/>
      </c>
      <c r="J4016" s="94" t="str">
        <f t="shared" si="4017"/>
        <v/>
      </c>
      <c r="K4016" s="100"/>
      <c r="M4016" s="100"/>
      <c r="N4016" s="100"/>
      <c r="O4016" s="100"/>
      <c r="P4016" s="100"/>
    </row>
    <row r="4017">
      <c r="A4017" s="107">
        <v>1627855.0</v>
      </c>
      <c r="B4017" s="108" t="s">
        <v>190</v>
      </c>
      <c r="C4017" s="108" t="s">
        <v>972</v>
      </c>
      <c r="D4017" s="112" t="s">
        <v>177</v>
      </c>
      <c r="E4017" s="112">
        <v>472.5</v>
      </c>
      <c r="F4017" s="111" t="str">
        <f>DataPull!D4017</f>
        <v/>
      </c>
      <c r="G4017" s="94" t="str">
        <f t="shared" si="2"/>
        <v/>
      </c>
      <c r="H4017" s="94" t="str">
        <f t="shared" si="3"/>
        <v/>
      </c>
      <c r="I4017" s="94" t="str">
        <f t="shared" ref="I4017:J4017" si="4018">if(G4017 = "", , -G4017)</f>
        <v/>
      </c>
      <c r="J4017" s="94" t="str">
        <f t="shared" si="4018"/>
        <v/>
      </c>
      <c r="K4017" s="100"/>
      <c r="M4017" s="100"/>
      <c r="N4017" s="100"/>
      <c r="O4017" s="100"/>
      <c r="P4017" s="100"/>
    </row>
    <row r="4018">
      <c r="A4018" s="107">
        <v>1627855.0</v>
      </c>
      <c r="B4018" s="108" t="s">
        <v>191</v>
      </c>
      <c r="C4018" s="108" t="s">
        <v>972</v>
      </c>
      <c r="D4018" s="112" t="s">
        <v>181</v>
      </c>
      <c r="E4018" s="112">
        <v>79.8</v>
      </c>
      <c r="F4018" s="111" t="str">
        <f>DataPull!D4018</f>
        <v/>
      </c>
      <c r="G4018" s="94" t="str">
        <f t="shared" si="2"/>
        <v/>
      </c>
      <c r="H4018" s="94" t="str">
        <f t="shared" si="3"/>
        <v/>
      </c>
      <c r="I4018" s="94" t="str">
        <f t="shared" ref="I4018:J4018" si="4019">if(G4018 = "", , -G4018)</f>
        <v/>
      </c>
      <c r="J4018" s="94" t="str">
        <f t="shared" si="4019"/>
        <v/>
      </c>
      <c r="K4018" s="100"/>
      <c r="M4018" s="100"/>
      <c r="N4018" s="100"/>
      <c r="O4018" s="100"/>
      <c r="P4018" s="100"/>
    </row>
    <row r="4019">
      <c r="A4019" s="107">
        <v>1627855.0</v>
      </c>
      <c r="B4019" s="108" t="s">
        <v>192</v>
      </c>
      <c r="C4019" s="108" t="s">
        <v>972</v>
      </c>
      <c r="D4019" s="112" t="s">
        <v>181</v>
      </c>
      <c r="E4019" s="112">
        <v>6.3</v>
      </c>
      <c r="F4019" s="111" t="str">
        <f>DataPull!D4019</f>
        <v/>
      </c>
      <c r="G4019" s="94" t="str">
        <f t="shared" si="2"/>
        <v/>
      </c>
      <c r="H4019" s="94" t="str">
        <f t="shared" si="3"/>
        <v/>
      </c>
      <c r="I4019" s="94" t="str">
        <f t="shared" ref="I4019:J4019" si="4020">if(G4019 = "", , -G4019)</f>
        <v/>
      </c>
      <c r="J4019" s="94" t="str">
        <f t="shared" si="4020"/>
        <v/>
      </c>
      <c r="K4019" s="100"/>
      <c r="L4019" s="100"/>
      <c r="M4019" s="100"/>
      <c r="N4019" s="100"/>
      <c r="O4019" s="100"/>
      <c r="P4019" s="100"/>
    </row>
    <row r="4020">
      <c r="A4020" s="107">
        <v>1627856.0</v>
      </c>
      <c r="B4020" s="108" t="s">
        <v>191</v>
      </c>
      <c r="C4020" s="108" t="s">
        <v>973</v>
      </c>
      <c r="D4020" s="112" t="s">
        <v>181</v>
      </c>
      <c r="E4020" s="112">
        <v>32.4</v>
      </c>
      <c r="F4020" s="111" t="str">
        <f>DataPull!D4020</f>
        <v/>
      </c>
      <c r="G4020" s="94" t="str">
        <f t="shared" si="2"/>
        <v/>
      </c>
      <c r="H4020" s="94" t="str">
        <f t="shared" si="3"/>
        <v/>
      </c>
      <c r="I4020" s="94" t="str">
        <f t="shared" ref="I4020:J4020" si="4021">if(G4020 = "", , -G4020)</f>
        <v/>
      </c>
      <c r="J4020" s="94" t="str">
        <f t="shared" si="4021"/>
        <v/>
      </c>
      <c r="K4020" s="100"/>
      <c r="M4020" s="100"/>
      <c r="N4020" s="100"/>
      <c r="O4020" s="100"/>
      <c r="P4020" s="100"/>
    </row>
    <row r="4021">
      <c r="A4021" s="107">
        <v>1627858.0</v>
      </c>
      <c r="B4021" s="108" t="s">
        <v>191</v>
      </c>
      <c r="C4021" s="108" t="s">
        <v>974</v>
      </c>
      <c r="D4021" s="112" t="s">
        <v>177</v>
      </c>
      <c r="E4021" s="112">
        <v>480.0</v>
      </c>
      <c r="F4021" s="111" t="str">
        <f>DataPull!D4021</f>
        <v/>
      </c>
      <c r="G4021" s="94" t="str">
        <f t="shared" si="2"/>
        <v/>
      </c>
      <c r="H4021" s="94" t="str">
        <f t="shared" si="3"/>
        <v/>
      </c>
      <c r="I4021" s="94" t="str">
        <f t="shared" ref="I4021:J4021" si="4022">if(G4021 = "", , -G4021)</f>
        <v/>
      </c>
      <c r="J4021" s="94" t="str">
        <f t="shared" si="4022"/>
        <v/>
      </c>
      <c r="K4021" s="100"/>
      <c r="M4021" s="100"/>
      <c r="N4021" s="100"/>
      <c r="O4021" s="100"/>
      <c r="P4021" s="100"/>
    </row>
    <row r="4022">
      <c r="A4022" s="107">
        <v>1627861.0</v>
      </c>
      <c r="B4022" s="108" t="s">
        <v>190</v>
      </c>
      <c r="C4022" s="108" t="s">
        <v>975</v>
      </c>
      <c r="D4022" s="112" t="s">
        <v>181</v>
      </c>
      <c r="E4022" s="112">
        <v>25.2</v>
      </c>
      <c r="F4022" s="111" t="str">
        <f>DataPull!D4022</f>
        <v/>
      </c>
      <c r="G4022" s="94" t="str">
        <f t="shared" si="2"/>
        <v/>
      </c>
      <c r="H4022" s="94" t="str">
        <f t="shared" si="3"/>
        <v/>
      </c>
      <c r="I4022" s="94" t="str">
        <f t="shared" ref="I4022:J4022" si="4023">if(G4022 = "", , -G4022)</f>
        <v/>
      </c>
      <c r="J4022" s="94" t="str">
        <f t="shared" si="4023"/>
        <v/>
      </c>
      <c r="K4022" s="100"/>
      <c r="M4022" s="100"/>
      <c r="N4022" s="100"/>
      <c r="O4022" s="100"/>
      <c r="P4022" s="100"/>
    </row>
    <row r="4023">
      <c r="A4023" s="107">
        <v>1627863.0</v>
      </c>
      <c r="B4023" s="108" t="s">
        <v>190</v>
      </c>
      <c r="C4023" s="108" t="s">
        <v>976</v>
      </c>
      <c r="D4023" s="112" t="s">
        <v>181</v>
      </c>
      <c r="E4023" s="112">
        <v>0.8</v>
      </c>
      <c r="F4023" s="111" t="str">
        <f>DataPull!D4023</f>
        <v/>
      </c>
      <c r="G4023" s="94" t="str">
        <f t="shared" si="2"/>
        <v/>
      </c>
      <c r="H4023" s="94" t="str">
        <f t="shared" si="3"/>
        <v/>
      </c>
      <c r="I4023" s="94" t="str">
        <f t="shared" ref="I4023:J4023" si="4024">if(G4023 = "", , -G4023)</f>
        <v/>
      </c>
      <c r="J4023" s="94" t="str">
        <f t="shared" si="4024"/>
        <v/>
      </c>
      <c r="K4023" s="100"/>
      <c r="M4023" s="100"/>
      <c r="N4023" s="100"/>
      <c r="O4023" s="100"/>
      <c r="P4023" s="100"/>
    </row>
    <row r="4024">
      <c r="A4024" s="107">
        <v>1627863.0</v>
      </c>
      <c r="B4024" s="108" t="s">
        <v>191</v>
      </c>
      <c r="C4024" s="108" t="s">
        <v>976</v>
      </c>
      <c r="D4024" s="112" t="s">
        <v>177</v>
      </c>
      <c r="E4024" s="112">
        <v>402.5</v>
      </c>
      <c r="F4024" s="111" t="str">
        <f>DataPull!D4024</f>
        <v/>
      </c>
      <c r="G4024" s="94" t="str">
        <f t="shared" si="2"/>
        <v/>
      </c>
      <c r="H4024" s="94" t="str">
        <f t="shared" si="3"/>
        <v/>
      </c>
      <c r="I4024" s="94" t="str">
        <f t="shared" ref="I4024:J4024" si="4025">if(G4024 = "", , -G4024)</f>
        <v/>
      </c>
      <c r="J4024" s="94" t="str">
        <f t="shared" si="4025"/>
        <v/>
      </c>
      <c r="K4024" s="100"/>
      <c r="M4024" s="100"/>
      <c r="N4024" s="100"/>
      <c r="O4024" s="100"/>
      <c r="P4024" s="100"/>
    </row>
    <row r="4025">
      <c r="A4025" s="107">
        <v>1627863.0</v>
      </c>
      <c r="B4025" s="108" t="s">
        <v>192</v>
      </c>
      <c r="C4025" s="108" t="s">
        <v>976</v>
      </c>
      <c r="D4025" s="112" t="s">
        <v>176</v>
      </c>
      <c r="E4025" s="112">
        <v>978.9</v>
      </c>
      <c r="F4025" s="111" t="str">
        <f>DataPull!D4025</f>
        <v/>
      </c>
      <c r="G4025" s="94" t="str">
        <f t="shared" si="2"/>
        <v/>
      </c>
      <c r="H4025" s="94" t="str">
        <f t="shared" si="3"/>
        <v/>
      </c>
      <c r="I4025" s="94" t="str">
        <f t="shared" ref="I4025:J4025" si="4026">if(G4025 = "", , -G4025)</f>
        <v/>
      </c>
      <c r="J4025" s="94" t="str">
        <f t="shared" si="4026"/>
        <v/>
      </c>
      <c r="K4025" s="100"/>
      <c r="L4025" s="100"/>
      <c r="M4025" s="100"/>
      <c r="N4025" s="100"/>
      <c r="O4025" s="100"/>
      <c r="P4025" s="100"/>
    </row>
    <row r="4026">
      <c r="A4026" s="107">
        <v>1627863.0</v>
      </c>
      <c r="B4026" s="108" t="s">
        <v>193</v>
      </c>
      <c r="C4026" s="108" t="s">
        <v>976</v>
      </c>
      <c r="D4026" s="112" t="s">
        <v>176</v>
      </c>
      <c r="E4026" s="112">
        <v>1915.2</v>
      </c>
      <c r="F4026" s="111" t="str">
        <f>DataPull!D4026</f>
        <v/>
      </c>
      <c r="G4026" s="94" t="str">
        <f t="shared" si="2"/>
        <v/>
      </c>
      <c r="H4026" s="94" t="str">
        <f t="shared" si="3"/>
        <v/>
      </c>
      <c r="I4026" s="94" t="str">
        <f t="shared" ref="I4026:J4026" si="4027">if(G4026 = "", , -G4026)</f>
        <v/>
      </c>
      <c r="J4026" s="94" t="str">
        <f t="shared" si="4027"/>
        <v/>
      </c>
      <c r="K4026" s="100"/>
      <c r="M4026" s="100"/>
      <c r="N4026" s="100"/>
      <c r="O4026" s="100"/>
      <c r="P4026" s="100"/>
    </row>
    <row r="4027">
      <c r="A4027" s="107">
        <v>1627863.0</v>
      </c>
      <c r="B4027" s="108" t="s">
        <v>243</v>
      </c>
      <c r="C4027" s="108" t="s">
        <v>976</v>
      </c>
      <c r="D4027" s="112" t="s">
        <v>176</v>
      </c>
      <c r="E4027" s="112">
        <v>932.4</v>
      </c>
      <c r="F4027" s="111" t="str">
        <f>DataPull!D4027</f>
        <v/>
      </c>
      <c r="G4027" s="94" t="str">
        <f t="shared" si="2"/>
        <v/>
      </c>
      <c r="H4027" s="94" t="str">
        <f t="shared" si="3"/>
        <v/>
      </c>
      <c r="I4027" s="94" t="str">
        <f t="shared" ref="I4027:J4027" si="4028">if(G4027 = "", , -G4027)</f>
        <v/>
      </c>
      <c r="J4027" s="94" t="str">
        <f t="shared" si="4028"/>
        <v/>
      </c>
      <c r="K4027" s="100"/>
      <c r="M4027" s="100"/>
      <c r="N4027" s="100"/>
      <c r="O4027" s="100"/>
      <c r="P4027" s="100"/>
    </row>
    <row r="4028">
      <c r="A4028" s="107">
        <v>1627863.0</v>
      </c>
      <c r="B4028" s="108" t="s">
        <v>215</v>
      </c>
      <c r="C4028" s="108" t="s">
        <v>976</v>
      </c>
      <c r="D4028" s="112" t="s">
        <v>177</v>
      </c>
      <c r="E4028" s="112">
        <v>726.6</v>
      </c>
      <c r="F4028" s="111" t="str">
        <f>DataPull!D4028</f>
        <v/>
      </c>
      <c r="G4028" s="94" t="str">
        <f t="shared" si="2"/>
        <v/>
      </c>
      <c r="H4028" s="94" t="str">
        <f t="shared" si="3"/>
        <v/>
      </c>
      <c r="I4028" s="94" t="str">
        <f t="shared" ref="I4028:J4028" si="4029">if(G4028 = "", , -G4028)</f>
        <v/>
      </c>
      <c r="J4028" s="94" t="str">
        <f t="shared" si="4029"/>
        <v/>
      </c>
      <c r="K4028" s="100"/>
      <c r="M4028" s="100"/>
      <c r="N4028" s="100"/>
      <c r="O4028" s="100"/>
      <c r="P4028" s="100"/>
    </row>
    <row r="4029">
      <c r="A4029" s="107">
        <v>1627863.0</v>
      </c>
      <c r="B4029" s="108" t="s">
        <v>244</v>
      </c>
      <c r="C4029" s="108" t="s">
        <v>976</v>
      </c>
      <c r="D4029" s="112" t="s">
        <v>177</v>
      </c>
      <c r="E4029" s="112">
        <v>806.4</v>
      </c>
      <c r="F4029" s="111" t="str">
        <f>DataPull!D4029</f>
        <v/>
      </c>
      <c r="G4029" s="94" t="str">
        <f t="shared" si="2"/>
        <v/>
      </c>
      <c r="H4029" s="94" t="str">
        <f t="shared" si="3"/>
        <v/>
      </c>
      <c r="I4029" s="94" t="str">
        <f t="shared" ref="I4029:J4029" si="4030">if(G4029 = "", , -G4029)</f>
        <v/>
      </c>
      <c r="J4029" s="94" t="str">
        <f t="shared" si="4030"/>
        <v/>
      </c>
      <c r="K4029" s="100"/>
      <c r="L4029" s="100"/>
      <c r="N4029" s="100"/>
      <c r="O4029" s="100"/>
      <c r="P4029" s="100"/>
    </row>
    <row r="4030">
      <c r="A4030" s="107">
        <v>1627863.0</v>
      </c>
      <c r="B4030" s="108" t="s">
        <v>245</v>
      </c>
      <c r="C4030" s="108" t="s">
        <v>976</v>
      </c>
      <c r="D4030" s="112" t="s">
        <v>177</v>
      </c>
      <c r="E4030" s="112">
        <v>510.0</v>
      </c>
      <c r="F4030" s="111" t="str">
        <f>DataPull!D4030</f>
        <v/>
      </c>
      <c r="G4030" s="94" t="str">
        <f t="shared" si="2"/>
        <v/>
      </c>
      <c r="H4030" s="94" t="str">
        <f t="shared" si="3"/>
        <v/>
      </c>
      <c r="I4030" s="94" t="str">
        <f t="shared" ref="I4030:J4030" si="4031">if(G4030 = "", , -G4030)</f>
        <v/>
      </c>
      <c r="J4030" s="94" t="str">
        <f t="shared" si="4031"/>
        <v/>
      </c>
      <c r="K4030" s="100"/>
      <c r="M4030" s="100"/>
      <c r="N4030" s="100"/>
      <c r="O4030" s="100"/>
      <c r="P4030" s="100"/>
    </row>
    <row r="4031">
      <c r="A4031" s="107">
        <v>1627866.0</v>
      </c>
      <c r="B4031" s="108" t="s">
        <v>191</v>
      </c>
      <c r="C4031" s="108" t="s">
        <v>977</v>
      </c>
      <c r="D4031" s="112" t="s">
        <v>181</v>
      </c>
      <c r="E4031" s="112">
        <v>27.0</v>
      </c>
      <c r="F4031" s="111" t="str">
        <f>DataPull!D4031</f>
        <v/>
      </c>
      <c r="G4031" s="94" t="str">
        <f t="shared" si="2"/>
        <v/>
      </c>
      <c r="H4031" s="94" t="str">
        <f t="shared" si="3"/>
        <v/>
      </c>
      <c r="I4031" s="94" t="str">
        <f t="shared" ref="I4031:J4031" si="4032">if(G4031 = "", , -G4031)</f>
        <v/>
      </c>
      <c r="J4031" s="94" t="str">
        <f t="shared" si="4032"/>
        <v/>
      </c>
      <c r="K4031" s="100"/>
      <c r="N4031" s="100"/>
      <c r="O4031" s="100"/>
      <c r="P4031" s="100"/>
    </row>
    <row r="4032">
      <c r="A4032" s="107">
        <v>1627868.0</v>
      </c>
      <c r="B4032" s="108" t="s">
        <v>190</v>
      </c>
      <c r="C4032" s="108" t="s">
        <v>978</v>
      </c>
      <c r="D4032" s="112" t="s">
        <v>181</v>
      </c>
      <c r="E4032" s="112">
        <v>43.0</v>
      </c>
      <c r="F4032" s="111" t="str">
        <f>DataPull!D4032</f>
        <v/>
      </c>
      <c r="G4032" s="94" t="str">
        <f t="shared" si="2"/>
        <v/>
      </c>
      <c r="H4032" s="94" t="str">
        <f t="shared" si="3"/>
        <v/>
      </c>
      <c r="I4032" s="94" t="str">
        <f t="shared" ref="I4032:J4032" si="4033">if(G4032 = "", , -G4032)</f>
        <v/>
      </c>
      <c r="J4032" s="94" t="str">
        <f t="shared" si="4033"/>
        <v/>
      </c>
      <c r="K4032" s="100"/>
      <c r="M4032" s="100"/>
      <c r="N4032" s="100"/>
      <c r="O4032" s="100"/>
      <c r="P4032" s="100"/>
    </row>
    <row r="4033">
      <c r="A4033" s="107">
        <v>1627875.0</v>
      </c>
      <c r="B4033" s="108" t="s">
        <v>190</v>
      </c>
      <c r="C4033" s="108" t="s">
        <v>979</v>
      </c>
      <c r="D4033" s="112" t="s">
        <v>181</v>
      </c>
      <c r="E4033" s="112">
        <v>47.5</v>
      </c>
      <c r="F4033" s="111" t="str">
        <f>DataPull!D4033</f>
        <v/>
      </c>
      <c r="G4033" s="94" t="str">
        <f t="shared" si="2"/>
        <v/>
      </c>
      <c r="H4033" s="94" t="str">
        <f t="shared" si="3"/>
        <v/>
      </c>
      <c r="I4033" s="94" t="str">
        <f t="shared" ref="I4033:J4033" si="4034">if(G4033 = "", , -G4033)</f>
        <v/>
      </c>
      <c r="J4033" s="94" t="str">
        <f t="shared" si="4034"/>
        <v/>
      </c>
      <c r="K4033" s="100"/>
      <c r="M4033" s="100"/>
      <c r="N4033" s="100"/>
      <c r="O4033" s="100"/>
      <c r="P4033" s="100"/>
    </row>
    <row r="4034">
      <c r="A4034" s="107">
        <v>1627875.0</v>
      </c>
      <c r="B4034" s="108" t="s">
        <v>191</v>
      </c>
      <c r="C4034" s="108" t="s">
        <v>979</v>
      </c>
      <c r="D4034" s="112" t="s">
        <v>187</v>
      </c>
      <c r="E4034" s="112">
        <v>222.6</v>
      </c>
      <c r="F4034" s="111" t="str">
        <f>DataPull!D4034</f>
        <v/>
      </c>
      <c r="G4034" s="94" t="str">
        <f t="shared" si="2"/>
        <v/>
      </c>
      <c r="H4034" s="94" t="str">
        <f t="shared" si="3"/>
        <v/>
      </c>
      <c r="I4034" s="94" t="str">
        <f t="shared" ref="I4034:J4034" si="4035">if(G4034 = "", , -G4034)</f>
        <v/>
      </c>
      <c r="J4034" s="94" t="str">
        <f t="shared" si="4035"/>
        <v/>
      </c>
      <c r="K4034" s="100"/>
      <c r="M4034" s="100"/>
      <c r="N4034" s="100"/>
      <c r="O4034" s="100"/>
      <c r="P4034" s="100"/>
    </row>
    <row r="4035">
      <c r="A4035" s="107">
        <v>1627879.0</v>
      </c>
      <c r="B4035" s="108" t="s">
        <v>190</v>
      </c>
      <c r="C4035" s="108" t="s">
        <v>980</v>
      </c>
      <c r="D4035" s="112" t="s">
        <v>187</v>
      </c>
      <c r="E4035" s="112">
        <v>174.6</v>
      </c>
      <c r="F4035" s="111" t="str">
        <f>DataPull!D4035</f>
        <v/>
      </c>
      <c r="G4035" s="94" t="str">
        <f t="shared" si="2"/>
        <v/>
      </c>
      <c r="H4035" s="94" t="str">
        <f t="shared" si="3"/>
        <v/>
      </c>
      <c r="I4035" s="94" t="str">
        <f t="shared" ref="I4035:J4035" si="4036">if(G4035 = "", , -G4035)</f>
        <v/>
      </c>
      <c r="J4035" s="94" t="str">
        <f t="shared" si="4036"/>
        <v/>
      </c>
      <c r="K4035" s="100"/>
      <c r="M4035" s="100"/>
      <c r="N4035" s="100"/>
      <c r="O4035" s="100"/>
      <c r="P4035" s="100"/>
    </row>
    <row r="4036">
      <c r="A4036" s="107">
        <v>1627883.0</v>
      </c>
      <c r="B4036" s="108" t="s">
        <v>191</v>
      </c>
      <c r="C4036" s="108" t="s">
        <v>981</v>
      </c>
      <c r="D4036" s="112" t="s">
        <v>187</v>
      </c>
      <c r="E4036" s="112">
        <v>180.8</v>
      </c>
      <c r="F4036" s="111" t="str">
        <f>DataPull!D4036</f>
        <v/>
      </c>
      <c r="G4036" s="94" t="str">
        <f t="shared" si="2"/>
        <v/>
      </c>
      <c r="H4036" s="94" t="str">
        <f t="shared" si="3"/>
        <v/>
      </c>
      <c r="I4036" s="94" t="str">
        <f t="shared" ref="I4036:J4036" si="4037">if(G4036 = "", , -G4036)</f>
        <v/>
      </c>
      <c r="J4036" s="94" t="str">
        <f t="shared" si="4037"/>
        <v/>
      </c>
      <c r="K4036" s="100"/>
      <c r="M4036" s="100"/>
      <c r="N4036" s="100"/>
      <c r="O4036" s="100"/>
    </row>
    <row r="4037">
      <c r="A4037" s="107">
        <v>1627883.0</v>
      </c>
      <c r="B4037" s="108" t="s">
        <v>192</v>
      </c>
      <c r="C4037" s="108" t="s">
        <v>981</v>
      </c>
      <c r="D4037" s="112" t="s">
        <v>187</v>
      </c>
      <c r="E4037" s="112">
        <v>214.4</v>
      </c>
      <c r="F4037" s="111" t="str">
        <f>DataPull!D4037</f>
        <v/>
      </c>
      <c r="G4037" s="94" t="str">
        <f t="shared" si="2"/>
        <v/>
      </c>
      <c r="H4037" s="94" t="str">
        <f t="shared" si="3"/>
        <v/>
      </c>
      <c r="I4037" s="94" t="str">
        <f t="shared" ref="I4037:J4037" si="4038">if(G4037 = "", , -G4037)</f>
        <v/>
      </c>
      <c r="J4037" s="94" t="str">
        <f t="shared" si="4038"/>
        <v/>
      </c>
      <c r="K4037" s="100"/>
      <c r="M4037" s="100"/>
      <c r="N4037" s="100"/>
      <c r="O4037" s="100"/>
      <c r="P4037" s="100"/>
    </row>
    <row r="4038">
      <c r="A4038" s="107">
        <v>1627884.0</v>
      </c>
      <c r="B4038" s="108" t="s">
        <v>190</v>
      </c>
      <c r="C4038" s="108" t="s">
        <v>982</v>
      </c>
      <c r="D4038" s="112" t="s">
        <v>177</v>
      </c>
      <c r="E4038" s="112">
        <v>544.0</v>
      </c>
      <c r="F4038" s="111" t="str">
        <f>DataPull!D4038</f>
        <v/>
      </c>
      <c r="G4038" s="94" t="str">
        <f t="shared" si="2"/>
        <v/>
      </c>
      <c r="H4038" s="94" t="str">
        <f t="shared" si="3"/>
        <v/>
      </c>
      <c r="I4038" s="94" t="str">
        <f t="shared" ref="I4038:J4038" si="4039">if(G4038 = "", , -G4038)</f>
        <v/>
      </c>
      <c r="J4038" s="94" t="str">
        <f t="shared" si="4039"/>
        <v/>
      </c>
      <c r="K4038" s="100"/>
      <c r="L4038" s="100"/>
      <c r="M4038" s="100"/>
      <c r="N4038" s="100"/>
      <c r="O4038" s="100"/>
    </row>
    <row r="4039">
      <c r="A4039" s="107">
        <v>1627884.0</v>
      </c>
      <c r="B4039" s="108" t="s">
        <v>191</v>
      </c>
      <c r="C4039" s="108" t="s">
        <v>982</v>
      </c>
      <c r="D4039" s="112" t="s">
        <v>187</v>
      </c>
      <c r="E4039" s="112">
        <v>246.0</v>
      </c>
      <c r="F4039" s="111" t="str">
        <f>DataPull!D4039</f>
        <v/>
      </c>
      <c r="G4039" s="94" t="str">
        <f t="shared" si="2"/>
        <v/>
      </c>
      <c r="H4039" s="94" t="str">
        <f t="shared" si="3"/>
        <v/>
      </c>
      <c r="I4039" s="94" t="str">
        <f t="shared" ref="I4039:J4039" si="4040">if(G4039 = "", , -G4039)</f>
        <v/>
      </c>
      <c r="J4039" s="94" t="str">
        <f t="shared" si="4040"/>
        <v/>
      </c>
      <c r="K4039" s="100"/>
      <c r="M4039" s="100"/>
      <c r="N4039" s="100"/>
      <c r="O4039" s="100"/>
      <c r="P4039" s="100"/>
    </row>
    <row r="4040">
      <c r="A4040" s="107">
        <v>1627884.0</v>
      </c>
      <c r="B4040" s="108" t="s">
        <v>192</v>
      </c>
      <c r="C4040" s="108" t="s">
        <v>982</v>
      </c>
      <c r="D4040" s="112" t="s">
        <v>177</v>
      </c>
      <c r="E4040" s="112">
        <v>1152.0</v>
      </c>
      <c r="F4040" s="111" t="str">
        <f>DataPull!D4040</f>
        <v/>
      </c>
      <c r="G4040" s="94" t="str">
        <f t="shared" si="2"/>
        <v/>
      </c>
      <c r="H4040" s="94" t="str">
        <f t="shared" si="3"/>
        <v/>
      </c>
      <c r="I4040" s="94" t="str">
        <f t="shared" ref="I4040:J4040" si="4041">if(G4040 = "", , -G4040)</f>
        <v/>
      </c>
      <c r="J4040" s="94" t="str">
        <f t="shared" si="4041"/>
        <v/>
      </c>
      <c r="K4040" s="100"/>
      <c r="M4040" s="100"/>
      <c r="N4040" s="100"/>
      <c r="O4040" s="100"/>
      <c r="P4040" s="100"/>
    </row>
    <row r="4041">
      <c r="A4041" s="107">
        <v>1627884.0</v>
      </c>
      <c r="B4041" s="108" t="s">
        <v>193</v>
      </c>
      <c r="C4041" s="108" t="s">
        <v>982</v>
      </c>
      <c r="D4041" s="112" t="s">
        <v>176</v>
      </c>
      <c r="E4041" s="112">
        <v>1374.7</v>
      </c>
      <c r="F4041" s="111" t="str">
        <f>DataPull!D4041</f>
        <v/>
      </c>
      <c r="G4041" s="94" t="str">
        <f t="shared" si="2"/>
        <v/>
      </c>
      <c r="H4041" s="94" t="str">
        <f t="shared" si="3"/>
        <v/>
      </c>
      <c r="I4041" s="94" t="str">
        <f t="shared" ref="I4041:J4041" si="4042">if(G4041 = "", , -G4041)</f>
        <v/>
      </c>
      <c r="J4041" s="94" t="str">
        <f t="shared" si="4042"/>
        <v/>
      </c>
      <c r="K4041" s="100"/>
      <c r="M4041" s="100"/>
      <c r="N4041" s="100"/>
      <c r="O4041" s="100"/>
      <c r="P4041" s="100"/>
    </row>
    <row r="4042">
      <c r="A4042" s="107">
        <v>1627884.0</v>
      </c>
      <c r="B4042" s="108" t="s">
        <v>243</v>
      </c>
      <c r="C4042" s="108" t="s">
        <v>982</v>
      </c>
      <c r="D4042" s="112" t="s">
        <v>177</v>
      </c>
      <c r="E4042" s="112">
        <v>1316.6</v>
      </c>
      <c r="F4042" s="111" t="str">
        <f>DataPull!D4042</f>
        <v/>
      </c>
      <c r="G4042" s="94" t="str">
        <f t="shared" si="2"/>
        <v/>
      </c>
      <c r="H4042" s="94" t="str">
        <f t="shared" si="3"/>
        <v/>
      </c>
      <c r="I4042" s="94" t="str">
        <f t="shared" ref="I4042:J4042" si="4043">if(G4042 = "", , -G4042)</f>
        <v/>
      </c>
      <c r="J4042" s="94" t="str">
        <f t="shared" si="4043"/>
        <v/>
      </c>
      <c r="K4042" s="100"/>
      <c r="M4042" s="100"/>
      <c r="N4042" s="100"/>
      <c r="O4042" s="100"/>
    </row>
    <row r="4043">
      <c r="A4043" s="107">
        <v>1627884.0</v>
      </c>
      <c r="B4043" s="108" t="s">
        <v>215</v>
      </c>
      <c r="C4043" s="108" t="s">
        <v>982</v>
      </c>
      <c r="D4043" s="112" t="s">
        <v>177</v>
      </c>
      <c r="E4043" s="112">
        <v>897.6</v>
      </c>
      <c r="F4043" s="111" t="str">
        <f>DataPull!D4043</f>
        <v/>
      </c>
      <c r="G4043" s="94" t="str">
        <f t="shared" si="2"/>
        <v/>
      </c>
      <c r="H4043" s="94" t="str">
        <f t="shared" si="3"/>
        <v/>
      </c>
      <c r="I4043" s="94" t="str">
        <f t="shared" ref="I4043:J4043" si="4044">if(G4043 = "", , -G4043)</f>
        <v/>
      </c>
      <c r="J4043" s="94" t="str">
        <f t="shared" si="4044"/>
        <v/>
      </c>
      <c r="K4043" s="100"/>
      <c r="M4043" s="100"/>
      <c r="N4043" s="100"/>
      <c r="O4043" s="100"/>
    </row>
    <row r="4044">
      <c r="A4044" s="107">
        <v>1627884.0</v>
      </c>
      <c r="B4044" s="108" t="s">
        <v>244</v>
      </c>
      <c r="C4044" s="108" t="s">
        <v>982</v>
      </c>
      <c r="D4044" s="112" t="s">
        <v>177</v>
      </c>
      <c r="E4044" s="112">
        <v>896.0</v>
      </c>
      <c r="F4044" s="111" t="str">
        <f>DataPull!D4044</f>
        <v/>
      </c>
      <c r="G4044" s="94" t="str">
        <f t="shared" si="2"/>
        <v/>
      </c>
      <c r="H4044" s="94" t="str">
        <f t="shared" si="3"/>
        <v/>
      </c>
      <c r="I4044" s="94" t="str">
        <f t="shared" ref="I4044:J4044" si="4045">if(G4044 = "", , -G4044)</f>
        <v/>
      </c>
      <c r="J4044" s="94" t="str">
        <f t="shared" si="4045"/>
        <v/>
      </c>
      <c r="K4044" s="100"/>
      <c r="M4044" s="100"/>
      <c r="N4044" s="100"/>
      <c r="O4044" s="100"/>
      <c r="P4044" s="100"/>
    </row>
    <row r="4045">
      <c r="A4045" s="107">
        <v>1627884.0</v>
      </c>
      <c r="B4045" s="108" t="s">
        <v>245</v>
      </c>
      <c r="C4045" s="108" t="s">
        <v>982</v>
      </c>
      <c r="D4045" s="112" t="s">
        <v>176</v>
      </c>
      <c r="E4045" s="112">
        <v>1786.0</v>
      </c>
      <c r="F4045" s="111" t="str">
        <f>DataPull!D4045</f>
        <v/>
      </c>
      <c r="G4045" s="94" t="str">
        <f t="shared" si="2"/>
        <v/>
      </c>
      <c r="H4045" s="94" t="str">
        <f t="shared" si="3"/>
        <v/>
      </c>
      <c r="I4045" s="94" t="str">
        <f t="shared" ref="I4045:J4045" si="4046">if(G4045 = "", , -G4045)</f>
        <v/>
      </c>
      <c r="J4045" s="94" t="str">
        <f t="shared" si="4046"/>
        <v/>
      </c>
      <c r="K4045" s="100"/>
      <c r="N4045" s="100"/>
      <c r="O4045" s="100"/>
      <c r="P4045" s="100"/>
    </row>
    <row r="4046">
      <c r="A4046" s="107">
        <v>1627884.0</v>
      </c>
      <c r="B4046" s="108" t="s">
        <v>246</v>
      </c>
      <c r="C4046" s="108" t="s">
        <v>982</v>
      </c>
      <c r="D4046" s="112" t="s">
        <v>176</v>
      </c>
      <c r="E4046" s="112">
        <v>1871.1</v>
      </c>
      <c r="F4046" s="111" t="str">
        <f>DataPull!D4046</f>
        <v/>
      </c>
      <c r="G4046" s="94" t="str">
        <f t="shared" si="2"/>
        <v/>
      </c>
      <c r="H4046" s="94" t="str">
        <f t="shared" si="3"/>
        <v/>
      </c>
      <c r="I4046" s="94" t="str">
        <f t="shared" ref="I4046:J4046" si="4047">if(G4046 = "", , -G4046)</f>
        <v/>
      </c>
      <c r="J4046" s="94" t="str">
        <f t="shared" si="4047"/>
        <v/>
      </c>
      <c r="K4046" s="100"/>
      <c r="M4046" s="100"/>
      <c r="N4046" s="100"/>
      <c r="O4046" s="100"/>
      <c r="P4046" s="100"/>
    </row>
    <row r="4047">
      <c r="A4047" s="114">
        <v>1627884.0</v>
      </c>
      <c r="B4047" s="113" t="s">
        <v>247</v>
      </c>
      <c r="C4047" s="108" t="s">
        <v>982</v>
      </c>
      <c r="D4047" s="112" t="s">
        <v>176</v>
      </c>
      <c r="E4047" s="112">
        <v>1350.0</v>
      </c>
      <c r="F4047" s="111" t="str">
        <f>DataPull!D4047</f>
        <v/>
      </c>
      <c r="G4047" s="94" t="str">
        <f t="shared" si="2"/>
        <v/>
      </c>
      <c r="H4047" s="94" t="str">
        <f t="shared" si="3"/>
        <v/>
      </c>
      <c r="I4047" s="94" t="str">
        <f t="shared" ref="I4047:J4047" si="4048">if(G4047 = "", , -G4047)</f>
        <v/>
      </c>
      <c r="J4047" s="94" t="str">
        <f t="shared" si="4048"/>
        <v/>
      </c>
      <c r="K4047" s="100"/>
      <c r="M4047" s="100"/>
      <c r="N4047" s="100"/>
      <c r="O4047" s="100"/>
      <c r="P4047" s="100"/>
    </row>
    <row r="4048">
      <c r="A4048" s="107">
        <v>1627885.0</v>
      </c>
      <c r="B4048" s="108" t="s">
        <v>191</v>
      </c>
      <c r="C4048" s="108" t="s">
        <v>983</v>
      </c>
      <c r="D4048" s="112" t="s">
        <v>177</v>
      </c>
      <c r="E4048" s="112">
        <v>384.1</v>
      </c>
      <c r="F4048" s="111" t="str">
        <f>DataPull!D4048</f>
        <v/>
      </c>
      <c r="G4048" s="94" t="str">
        <f t="shared" si="2"/>
        <v/>
      </c>
      <c r="H4048" s="94" t="str">
        <f t="shared" si="3"/>
        <v/>
      </c>
      <c r="I4048" s="94" t="str">
        <f t="shared" ref="I4048:J4048" si="4049">if(G4048 = "", , -G4048)</f>
        <v/>
      </c>
      <c r="J4048" s="94" t="str">
        <f t="shared" si="4049"/>
        <v/>
      </c>
      <c r="K4048" s="100"/>
      <c r="M4048" s="100"/>
      <c r="N4048" s="100"/>
      <c r="O4048" s="100"/>
      <c r="P4048" s="100"/>
    </row>
    <row r="4049">
      <c r="A4049" s="107">
        <v>1627885.0</v>
      </c>
      <c r="B4049" s="108" t="s">
        <v>192</v>
      </c>
      <c r="C4049" s="108" t="s">
        <v>983</v>
      </c>
      <c r="D4049" s="112" t="s">
        <v>177</v>
      </c>
      <c r="E4049" s="112">
        <v>1430.8</v>
      </c>
      <c r="F4049" s="111" t="str">
        <f>DataPull!D4049</f>
        <v/>
      </c>
      <c r="G4049" s="94" t="str">
        <f t="shared" si="2"/>
        <v/>
      </c>
      <c r="H4049" s="94" t="str">
        <f t="shared" si="3"/>
        <v/>
      </c>
      <c r="I4049" s="94" t="str">
        <f t="shared" ref="I4049:J4049" si="4050">if(G4049 = "", , -G4049)</f>
        <v/>
      </c>
      <c r="J4049" s="94" t="str">
        <f t="shared" si="4050"/>
        <v/>
      </c>
      <c r="K4049" s="100"/>
      <c r="L4049" s="100"/>
      <c r="M4049" s="100"/>
      <c r="N4049" s="100"/>
      <c r="O4049" s="100"/>
      <c r="P4049" s="100"/>
    </row>
    <row r="4050">
      <c r="A4050" s="107">
        <v>1627885.0</v>
      </c>
      <c r="B4050" s="108" t="s">
        <v>193</v>
      </c>
      <c r="C4050" s="108" t="s">
        <v>983</v>
      </c>
      <c r="D4050" s="112" t="s">
        <v>177</v>
      </c>
      <c r="E4050" s="112">
        <v>485.9</v>
      </c>
      <c r="F4050" s="111" t="str">
        <f>DataPull!D4050</f>
        <v/>
      </c>
      <c r="G4050" s="94" t="str">
        <f t="shared" si="2"/>
        <v/>
      </c>
      <c r="H4050" s="94" t="str">
        <f t="shared" si="3"/>
        <v/>
      </c>
      <c r="I4050" s="94" t="str">
        <f t="shared" ref="I4050:J4050" si="4051">if(G4050 = "", , -G4050)</f>
        <v/>
      </c>
      <c r="J4050" s="94" t="str">
        <f t="shared" si="4051"/>
        <v/>
      </c>
      <c r="K4050" s="100"/>
      <c r="M4050" s="100"/>
      <c r="N4050" s="100"/>
      <c r="O4050" s="100"/>
      <c r="P4050" s="100"/>
    </row>
    <row r="4051">
      <c r="A4051" s="107">
        <v>1627885.0</v>
      </c>
      <c r="B4051" s="108" t="s">
        <v>243</v>
      </c>
      <c r="C4051" s="108" t="s">
        <v>983</v>
      </c>
      <c r="D4051" s="112" t="s">
        <v>187</v>
      </c>
      <c r="E4051" s="112">
        <v>333.2</v>
      </c>
      <c r="F4051" s="111" t="str">
        <f>DataPull!D4051</f>
        <v/>
      </c>
      <c r="G4051" s="94" t="str">
        <f t="shared" si="2"/>
        <v/>
      </c>
      <c r="H4051" s="94" t="str">
        <f t="shared" si="3"/>
        <v/>
      </c>
      <c r="I4051" s="94" t="str">
        <f t="shared" ref="I4051:J4051" si="4052">if(G4051 = "", , -G4051)</f>
        <v/>
      </c>
      <c r="J4051" s="94" t="str">
        <f t="shared" si="4052"/>
        <v/>
      </c>
      <c r="K4051" s="100"/>
      <c r="M4051" s="100"/>
      <c r="N4051" s="100"/>
      <c r="O4051" s="100"/>
    </row>
    <row r="4052">
      <c r="A4052" s="107">
        <v>1627885.0</v>
      </c>
      <c r="B4052" s="108" t="s">
        <v>215</v>
      </c>
      <c r="C4052" s="108" t="s">
        <v>983</v>
      </c>
      <c r="D4052" s="112" t="s">
        <v>181</v>
      </c>
      <c r="E4052" s="112">
        <v>22.6</v>
      </c>
      <c r="F4052" s="111" t="str">
        <f>DataPull!D4052</f>
        <v/>
      </c>
      <c r="G4052" s="94" t="str">
        <f t="shared" si="2"/>
        <v/>
      </c>
      <c r="H4052" s="94" t="str">
        <f t="shared" si="3"/>
        <v/>
      </c>
      <c r="I4052" s="94" t="str">
        <f t="shared" ref="I4052:J4052" si="4053">if(G4052 = "", , -G4052)</f>
        <v/>
      </c>
      <c r="J4052" s="94" t="str">
        <f t="shared" si="4053"/>
        <v/>
      </c>
      <c r="K4052" s="100"/>
      <c r="M4052" s="100"/>
      <c r="N4052" s="100"/>
      <c r="O4052" s="100"/>
      <c r="P4052" s="100"/>
    </row>
    <row r="4053">
      <c r="A4053" s="107">
        <v>1627885.0</v>
      </c>
      <c r="B4053" s="108" t="s">
        <v>244</v>
      </c>
      <c r="C4053" s="108" t="s">
        <v>983</v>
      </c>
      <c r="D4053" s="112" t="s">
        <v>181</v>
      </c>
      <c r="E4053" s="112">
        <v>120.0</v>
      </c>
      <c r="F4053" s="111" t="str">
        <f>DataPull!D4053</f>
        <v/>
      </c>
      <c r="G4053" s="94" t="str">
        <f t="shared" si="2"/>
        <v/>
      </c>
      <c r="H4053" s="94" t="str">
        <f t="shared" si="3"/>
        <v/>
      </c>
      <c r="I4053" s="94" t="str">
        <f t="shared" ref="I4053:J4053" si="4054">if(G4053 = "", , -G4053)</f>
        <v/>
      </c>
      <c r="J4053" s="94" t="str">
        <f t="shared" si="4054"/>
        <v/>
      </c>
      <c r="K4053" s="100"/>
      <c r="L4053" s="100"/>
      <c r="M4053" s="100"/>
      <c r="N4053" s="100"/>
      <c r="O4053" s="100"/>
      <c r="P4053" s="100"/>
    </row>
    <row r="4054">
      <c r="A4054" s="107">
        <v>1627885.0</v>
      </c>
      <c r="B4054" s="108" t="s">
        <v>245</v>
      </c>
      <c r="C4054" s="108" t="s">
        <v>983</v>
      </c>
      <c r="D4054" s="112" t="s">
        <v>181</v>
      </c>
      <c r="E4054" s="112">
        <v>6.0</v>
      </c>
      <c r="F4054" s="111" t="str">
        <f>DataPull!D4054</f>
        <v/>
      </c>
      <c r="G4054" s="94" t="str">
        <f t="shared" si="2"/>
        <v/>
      </c>
      <c r="H4054" s="94" t="str">
        <f t="shared" si="3"/>
        <v/>
      </c>
      <c r="I4054" s="94" t="str">
        <f t="shared" ref="I4054:J4054" si="4055">if(G4054 = "", , -G4054)</f>
        <v/>
      </c>
      <c r="J4054" s="94" t="str">
        <f t="shared" si="4055"/>
        <v/>
      </c>
      <c r="K4054" s="100"/>
      <c r="L4054" s="100"/>
      <c r="M4054" s="100"/>
      <c r="N4054" s="100"/>
      <c r="O4054" s="100"/>
      <c r="P4054" s="100"/>
    </row>
    <row r="4055">
      <c r="A4055" s="107">
        <v>1627936.0</v>
      </c>
      <c r="B4055" s="108" t="s">
        <v>191</v>
      </c>
      <c r="C4055" s="108" t="s">
        <v>984</v>
      </c>
      <c r="D4055" s="112" t="s">
        <v>177</v>
      </c>
      <c r="E4055" s="112">
        <v>562.4</v>
      </c>
      <c r="F4055" s="111" t="str">
        <f>DataPull!D4055</f>
        <v/>
      </c>
      <c r="G4055" s="94" t="str">
        <f t="shared" si="2"/>
        <v/>
      </c>
      <c r="H4055" s="94" t="str">
        <f t="shared" si="3"/>
        <v/>
      </c>
      <c r="I4055" s="94" t="str">
        <f t="shared" ref="I4055:J4055" si="4056">if(G4055 = "", , -G4055)</f>
        <v/>
      </c>
      <c r="J4055" s="94" t="str">
        <f t="shared" si="4056"/>
        <v/>
      </c>
      <c r="K4055" s="100"/>
      <c r="N4055" s="100"/>
      <c r="O4055" s="100"/>
      <c r="P4055" s="100"/>
    </row>
    <row r="4056">
      <c r="A4056" s="107">
        <v>1627936.0</v>
      </c>
      <c r="B4056" s="108" t="s">
        <v>192</v>
      </c>
      <c r="C4056" s="108" t="s">
        <v>984</v>
      </c>
      <c r="D4056" s="112" t="s">
        <v>176</v>
      </c>
      <c r="E4056" s="112">
        <v>530.0</v>
      </c>
      <c r="F4056" s="111" t="str">
        <f>DataPull!D4056</f>
        <v/>
      </c>
      <c r="G4056" s="94" t="str">
        <f t="shared" si="2"/>
        <v/>
      </c>
      <c r="H4056" s="94" t="str">
        <f t="shared" si="3"/>
        <v/>
      </c>
      <c r="I4056" s="94" t="str">
        <f t="shared" ref="I4056:J4056" si="4057">if(G4056 = "", , -G4056)</f>
        <v/>
      </c>
      <c r="J4056" s="94" t="str">
        <f t="shared" si="4057"/>
        <v/>
      </c>
      <c r="K4056" s="100"/>
      <c r="L4056" s="100"/>
      <c r="M4056" s="100"/>
      <c r="N4056" s="100"/>
      <c r="O4056" s="100"/>
      <c r="P4056" s="100"/>
    </row>
    <row r="4057">
      <c r="A4057" s="107">
        <v>1627936.0</v>
      </c>
      <c r="B4057" s="108" t="s">
        <v>193</v>
      </c>
      <c r="C4057" s="108" t="s">
        <v>984</v>
      </c>
      <c r="D4057" s="112" t="s">
        <v>177</v>
      </c>
      <c r="E4057" s="112">
        <v>1177.6</v>
      </c>
      <c r="F4057" s="111" t="str">
        <f>DataPull!D4057</f>
        <v/>
      </c>
      <c r="G4057" s="94" t="str">
        <f t="shared" si="2"/>
        <v/>
      </c>
      <c r="H4057" s="94" t="str">
        <f t="shared" si="3"/>
        <v/>
      </c>
      <c r="I4057" s="94" t="str">
        <f t="shared" ref="I4057:J4057" si="4058">if(G4057 = "", , -G4057)</f>
        <v/>
      </c>
      <c r="J4057" s="94" t="str">
        <f t="shared" si="4058"/>
        <v/>
      </c>
      <c r="K4057" s="100"/>
      <c r="M4057" s="100"/>
      <c r="N4057" s="100"/>
      <c r="O4057" s="100"/>
      <c r="P4057" s="100"/>
    </row>
    <row r="4058">
      <c r="A4058" s="107">
        <v>1627936.0</v>
      </c>
      <c r="B4058" s="108" t="s">
        <v>243</v>
      </c>
      <c r="C4058" s="108" t="s">
        <v>984</v>
      </c>
      <c r="D4058" s="112" t="s">
        <v>176</v>
      </c>
      <c r="E4058" s="112">
        <v>1218.0</v>
      </c>
      <c r="F4058" s="111" t="str">
        <f>DataPull!D4058</f>
        <v/>
      </c>
      <c r="G4058" s="94" t="str">
        <f t="shared" si="2"/>
        <v/>
      </c>
      <c r="H4058" s="94" t="str">
        <f t="shared" si="3"/>
        <v/>
      </c>
      <c r="I4058" s="94" t="str">
        <f t="shared" ref="I4058:J4058" si="4059">if(G4058 = "", , -G4058)</f>
        <v/>
      </c>
      <c r="J4058" s="94" t="str">
        <f t="shared" si="4059"/>
        <v/>
      </c>
      <c r="K4058" s="100"/>
      <c r="M4058" s="100"/>
      <c r="N4058" s="100"/>
      <c r="O4058" s="100"/>
      <c r="P4058" s="100"/>
    </row>
    <row r="4059">
      <c r="A4059" s="107">
        <v>1627936.0</v>
      </c>
      <c r="B4059" s="108" t="s">
        <v>215</v>
      </c>
      <c r="C4059" s="108" t="s">
        <v>984</v>
      </c>
      <c r="D4059" s="112" t="s">
        <v>178</v>
      </c>
      <c r="E4059" s="112">
        <v>1148.0</v>
      </c>
      <c r="F4059" s="111" t="str">
        <f>DataPull!D4059</f>
        <v/>
      </c>
      <c r="G4059" s="94" t="str">
        <f t="shared" si="2"/>
        <v/>
      </c>
      <c r="H4059" s="94" t="str">
        <f t="shared" si="3"/>
        <v/>
      </c>
      <c r="I4059" s="94" t="str">
        <f t="shared" ref="I4059:J4059" si="4060">if(G4059 = "", , -G4059)</f>
        <v/>
      </c>
      <c r="J4059" s="94" t="str">
        <f t="shared" si="4060"/>
        <v/>
      </c>
      <c r="K4059" s="100"/>
      <c r="M4059" s="100"/>
      <c r="N4059" s="100"/>
      <c r="O4059" s="100"/>
    </row>
    <row r="4060">
      <c r="A4060" s="107">
        <v>1627936.0</v>
      </c>
      <c r="B4060" s="108" t="s">
        <v>244</v>
      </c>
      <c r="C4060" s="108" t="s">
        <v>984</v>
      </c>
      <c r="D4060" s="112" t="s">
        <v>176</v>
      </c>
      <c r="E4060" s="112">
        <v>1574.5</v>
      </c>
      <c r="F4060" s="111" t="str">
        <f>DataPull!D4060</f>
        <v/>
      </c>
      <c r="G4060" s="94" t="str">
        <f t="shared" si="2"/>
        <v/>
      </c>
      <c r="H4060" s="94" t="str">
        <f t="shared" si="3"/>
        <v/>
      </c>
      <c r="I4060" s="94" t="str">
        <f t="shared" ref="I4060:J4060" si="4061">if(G4060 = "", , -G4060)</f>
        <v/>
      </c>
      <c r="J4060" s="94" t="str">
        <f t="shared" si="4061"/>
        <v/>
      </c>
      <c r="K4060" s="100"/>
      <c r="L4060" s="100"/>
      <c r="N4060" s="100"/>
      <c r="O4060" s="100"/>
      <c r="P4060" s="100"/>
    </row>
    <row r="4061">
      <c r="A4061" s="107">
        <v>1627936.0</v>
      </c>
      <c r="B4061" s="108" t="s">
        <v>245</v>
      </c>
      <c r="C4061" s="108" t="s">
        <v>984</v>
      </c>
      <c r="D4061" s="112" t="s">
        <v>176</v>
      </c>
      <c r="E4061" s="112">
        <v>2037.7</v>
      </c>
      <c r="F4061" s="111" t="str">
        <f>DataPull!D4061</f>
        <v/>
      </c>
      <c r="G4061" s="94" t="str">
        <f t="shared" si="2"/>
        <v/>
      </c>
      <c r="H4061" s="94" t="str">
        <f t="shared" si="3"/>
        <v/>
      </c>
      <c r="I4061" s="94" t="str">
        <f t="shared" ref="I4061:J4061" si="4062">if(G4061 = "", , -G4061)</f>
        <v/>
      </c>
      <c r="J4061" s="94" t="str">
        <f t="shared" si="4062"/>
        <v/>
      </c>
      <c r="K4061" s="100"/>
      <c r="M4061" s="100"/>
      <c r="N4061" s="100"/>
      <c r="O4061" s="100"/>
      <c r="P4061" s="100"/>
    </row>
    <row r="4062">
      <c r="A4062" s="107">
        <v>1627936.0</v>
      </c>
      <c r="B4062" s="108" t="s">
        <v>246</v>
      </c>
      <c r="C4062" s="108" t="s">
        <v>984</v>
      </c>
      <c r="D4062" s="112" t="s">
        <v>177</v>
      </c>
      <c r="E4062" s="112">
        <v>1042.2</v>
      </c>
      <c r="F4062" s="111" t="str">
        <f>DataPull!D4062</f>
        <v/>
      </c>
      <c r="G4062" s="94" t="str">
        <f t="shared" si="2"/>
        <v/>
      </c>
      <c r="H4062" s="94" t="str">
        <f t="shared" si="3"/>
        <v/>
      </c>
      <c r="I4062" s="94" t="str">
        <f t="shared" ref="I4062:J4062" si="4063">if(G4062 = "", , -G4062)</f>
        <v/>
      </c>
      <c r="J4062" s="94" t="str">
        <f t="shared" si="4063"/>
        <v/>
      </c>
      <c r="K4062" s="100"/>
      <c r="M4062" s="100"/>
      <c r="N4062" s="100"/>
      <c r="O4062" s="100"/>
      <c r="P4062" s="100"/>
    </row>
    <row r="4063">
      <c r="A4063" s="114">
        <v>1627936.0</v>
      </c>
      <c r="B4063" s="113" t="s">
        <v>247</v>
      </c>
      <c r="C4063" s="113" t="s">
        <v>984</v>
      </c>
      <c r="D4063" s="112" t="s">
        <v>177</v>
      </c>
      <c r="E4063" s="112">
        <v>1019.2</v>
      </c>
      <c r="F4063" s="111" t="str">
        <f>DataPull!D4063</f>
        <v/>
      </c>
      <c r="G4063" s="94" t="str">
        <f t="shared" si="2"/>
        <v/>
      </c>
      <c r="H4063" s="94" t="str">
        <f t="shared" si="3"/>
        <v/>
      </c>
      <c r="I4063" s="94" t="str">
        <f t="shared" ref="I4063:J4063" si="4064">if(G4063 = "", , -G4063)</f>
        <v/>
      </c>
      <c r="J4063" s="94" t="str">
        <f t="shared" si="4064"/>
        <v/>
      </c>
      <c r="K4063" s="100"/>
      <c r="M4063" s="100"/>
      <c r="N4063" s="100"/>
      <c r="O4063" s="100"/>
      <c r="P4063" s="100"/>
    </row>
    <row r="4064">
      <c r="A4064" s="107">
        <v>1627982.0</v>
      </c>
      <c r="B4064" s="108" t="s">
        <v>191</v>
      </c>
      <c r="C4064" s="108" t="s">
        <v>985</v>
      </c>
      <c r="D4064" s="112" t="s">
        <v>181</v>
      </c>
      <c r="E4064" s="112">
        <v>86.5</v>
      </c>
      <c r="F4064" s="111" t="str">
        <f>DataPull!D4064</f>
        <v/>
      </c>
      <c r="G4064" s="94" t="str">
        <f t="shared" si="2"/>
        <v/>
      </c>
      <c r="H4064" s="94" t="str">
        <f t="shared" si="3"/>
        <v/>
      </c>
      <c r="I4064" s="94" t="str">
        <f t="shared" ref="I4064:J4064" si="4065">if(G4064 = "", , -G4064)</f>
        <v/>
      </c>
      <c r="J4064" s="94" t="str">
        <f t="shared" si="4065"/>
        <v/>
      </c>
      <c r="K4064" s="100"/>
      <c r="L4064" s="100"/>
      <c r="N4064" s="100"/>
      <c r="O4064" s="100"/>
      <c r="P4064" s="100"/>
    </row>
    <row r="4065">
      <c r="A4065" s="107">
        <v>1627982.0</v>
      </c>
      <c r="B4065" s="108" t="s">
        <v>193</v>
      </c>
      <c r="C4065" s="108" t="s">
        <v>985</v>
      </c>
      <c r="D4065" s="112" t="s">
        <v>181</v>
      </c>
      <c r="E4065" s="112">
        <v>22.8</v>
      </c>
      <c r="F4065" s="111" t="str">
        <f>DataPull!D4065</f>
        <v/>
      </c>
      <c r="G4065" s="94" t="str">
        <f t="shared" si="2"/>
        <v/>
      </c>
      <c r="H4065" s="94" t="str">
        <f t="shared" si="3"/>
        <v/>
      </c>
      <c r="I4065" s="94" t="str">
        <f t="shared" ref="I4065:J4065" si="4066">if(G4065 = "", , -G4065)</f>
        <v/>
      </c>
      <c r="J4065" s="94" t="str">
        <f t="shared" si="4066"/>
        <v/>
      </c>
      <c r="K4065" s="100"/>
      <c r="M4065" s="100"/>
      <c r="N4065" s="100"/>
      <c r="O4065" s="100"/>
      <c r="P4065" s="100"/>
    </row>
    <row r="4066">
      <c r="A4066" s="107">
        <v>1627988.0</v>
      </c>
      <c r="B4066" s="108" t="s">
        <v>191</v>
      </c>
      <c r="C4066" s="108" t="s">
        <v>986</v>
      </c>
      <c r="D4066" s="112" t="s">
        <v>177</v>
      </c>
      <c r="E4066" s="112">
        <v>378.0</v>
      </c>
      <c r="F4066" s="111" t="str">
        <f>DataPull!D4066</f>
        <v/>
      </c>
      <c r="G4066" s="94" t="str">
        <f t="shared" si="2"/>
        <v/>
      </c>
      <c r="H4066" s="94" t="str">
        <f t="shared" si="3"/>
        <v/>
      </c>
      <c r="I4066" s="94" t="str">
        <f t="shared" ref="I4066:J4066" si="4067">if(G4066 = "", , -G4066)</f>
        <v/>
      </c>
      <c r="J4066" s="94" t="str">
        <f t="shared" si="4067"/>
        <v/>
      </c>
      <c r="K4066" s="100"/>
      <c r="M4066" s="100"/>
      <c r="N4066" s="100"/>
      <c r="O4066" s="100"/>
      <c r="P4066" s="100"/>
    </row>
    <row r="4067">
      <c r="A4067" s="107">
        <v>1628021.0</v>
      </c>
      <c r="B4067" s="108" t="s">
        <v>190</v>
      </c>
      <c r="C4067" s="108" t="s">
        <v>987</v>
      </c>
      <c r="D4067" s="112" t="s">
        <v>176</v>
      </c>
      <c r="E4067" s="112">
        <v>398.0</v>
      </c>
      <c r="F4067" s="111" t="str">
        <f>DataPull!D4067</f>
        <v/>
      </c>
      <c r="G4067" s="94" t="str">
        <f t="shared" si="2"/>
        <v/>
      </c>
      <c r="H4067" s="94" t="str">
        <f t="shared" si="3"/>
        <v/>
      </c>
      <c r="I4067" s="94" t="str">
        <f t="shared" ref="I4067:J4067" si="4068">if(G4067 = "", , -G4067)</f>
        <v/>
      </c>
      <c r="J4067" s="94" t="str">
        <f t="shared" si="4068"/>
        <v/>
      </c>
      <c r="K4067" s="100"/>
      <c r="M4067" s="100"/>
      <c r="N4067" s="100"/>
      <c r="O4067" s="100"/>
      <c r="P4067" s="100"/>
    </row>
    <row r="4068">
      <c r="A4068" s="107">
        <v>1628021.0</v>
      </c>
      <c r="B4068" s="108" t="s">
        <v>191</v>
      </c>
      <c r="C4068" s="108" t="s">
        <v>987</v>
      </c>
      <c r="D4068" s="112" t="s">
        <v>176</v>
      </c>
      <c r="E4068" s="112">
        <v>1645.0</v>
      </c>
      <c r="F4068" s="111" t="str">
        <f>DataPull!D4068</f>
        <v/>
      </c>
      <c r="G4068" s="94" t="str">
        <f t="shared" si="2"/>
        <v/>
      </c>
      <c r="H4068" s="94" t="str">
        <f t="shared" si="3"/>
        <v/>
      </c>
      <c r="I4068" s="94" t="str">
        <f t="shared" ref="I4068:J4068" si="4069">if(G4068 = "", , -G4068)</f>
        <v/>
      </c>
      <c r="J4068" s="94" t="str">
        <f t="shared" si="4069"/>
        <v/>
      </c>
      <c r="K4068" s="100"/>
      <c r="M4068" s="100"/>
      <c r="N4068" s="100"/>
      <c r="O4068" s="100"/>
      <c r="P4068" s="100"/>
    </row>
    <row r="4069">
      <c r="A4069" s="107">
        <v>1628021.0</v>
      </c>
      <c r="B4069" s="108" t="s">
        <v>192</v>
      </c>
      <c r="C4069" s="108" t="s">
        <v>987</v>
      </c>
      <c r="D4069" s="112" t="s">
        <v>177</v>
      </c>
      <c r="E4069" s="112">
        <v>984.3</v>
      </c>
      <c r="F4069" s="111" t="str">
        <f>DataPull!D4069</f>
        <v/>
      </c>
      <c r="G4069" s="94" t="str">
        <f t="shared" si="2"/>
        <v/>
      </c>
      <c r="H4069" s="94" t="str">
        <f t="shared" si="3"/>
        <v/>
      </c>
      <c r="I4069" s="94" t="str">
        <f t="shared" ref="I4069:J4069" si="4070">if(G4069 = "", , -G4069)</f>
        <v/>
      </c>
      <c r="J4069" s="94" t="str">
        <f t="shared" si="4070"/>
        <v/>
      </c>
      <c r="K4069" s="100"/>
      <c r="M4069" s="100"/>
      <c r="N4069" s="100"/>
      <c r="O4069" s="100"/>
      <c r="P4069" s="100"/>
    </row>
    <row r="4070">
      <c r="A4070" s="107">
        <v>1628021.0</v>
      </c>
      <c r="B4070" s="108" t="s">
        <v>193</v>
      </c>
      <c r="C4070" s="108" t="s">
        <v>987</v>
      </c>
      <c r="D4070" s="112" t="s">
        <v>187</v>
      </c>
      <c r="E4070" s="112">
        <v>268.0</v>
      </c>
      <c r="F4070" s="111" t="str">
        <f>DataPull!D4070</f>
        <v/>
      </c>
      <c r="G4070" s="94" t="str">
        <f t="shared" si="2"/>
        <v/>
      </c>
      <c r="H4070" s="94" t="str">
        <f t="shared" si="3"/>
        <v/>
      </c>
      <c r="I4070" s="94" t="str">
        <f t="shared" ref="I4070:J4070" si="4071">if(G4070 = "", , -G4070)</f>
        <v/>
      </c>
      <c r="J4070" s="94" t="str">
        <f t="shared" si="4071"/>
        <v/>
      </c>
      <c r="K4070" s="100"/>
      <c r="M4070" s="100"/>
      <c r="N4070" s="100"/>
      <c r="O4070" s="100"/>
      <c r="P4070" s="100"/>
    </row>
    <row r="4071">
      <c r="A4071" s="107">
        <v>1628021.0</v>
      </c>
      <c r="B4071" s="108" t="s">
        <v>243</v>
      </c>
      <c r="C4071" s="108" t="s">
        <v>987</v>
      </c>
      <c r="D4071" s="112" t="s">
        <v>176</v>
      </c>
      <c r="E4071" s="112">
        <v>678.0</v>
      </c>
      <c r="F4071" s="111" t="str">
        <f>DataPull!D4071</f>
        <v/>
      </c>
      <c r="G4071" s="94" t="str">
        <f t="shared" si="2"/>
        <v/>
      </c>
      <c r="H4071" s="94" t="str">
        <f t="shared" si="3"/>
        <v/>
      </c>
      <c r="I4071" s="94" t="str">
        <f t="shared" ref="I4071:J4071" si="4072">if(G4071 = "", , -G4071)</f>
        <v/>
      </c>
      <c r="J4071" s="94" t="str">
        <f t="shared" si="4072"/>
        <v/>
      </c>
      <c r="K4071" s="100"/>
      <c r="M4071" s="100"/>
      <c r="N4071" s="100"/>
      <c r="O4071" s="100"/>
      <c r="P4071" s="100"/>
    </row>
    <row r="4072">
      <c r="A4072" s="107">
        <v>1628021.0</v>
      </c>
      <c r="B4072" s="108" t="s">
        <v>215</v>
      </c>
      <c r="C4072" s="108" t="s">
        <v>987</v>
      </c>
      <c r="D4072" s="112" t="s">
        <v>177</v>
      </c>
      <c r="E4072" s="112">
        <v>607.2</v>
      </c>
      <c r="F4072" s="111" t="str">
        <f>DataPull!D4072</f>
        <v/>
      </c>
      <c r="G4072" s="94" t="str">
        <f t="shared" si="2"/>
        <v/>
      </c>
      <c r="H4072" s="94" t="str">
        <f t="shared" si="3"/>
        <v/>
      </c>
      <c r="I4072" s="94" t="str">
        <f t="shared" ref="I4072:J4072" si="4073">if(G4072 = "", , -G4072)</f>
        <v/>
      </c>
      <c r="J4072" s="94" t="str">
        <f t="shared" si="4073"/>
        <v/>
      </c>
      <c r="K4072" s="100"/>
      <c r="M4072" s="100"/>
      <c r="N4072" s="100"/>
      <c r="O4072" s="100"/>
      <c r="P4072" s="100"/>
    </row>
    <row r="4073">
      <c r="A4073" s="107">
        <v>1628035.0</v>
      </c>
      <c r="B4073" s="108" t="s">
        <v>191</v>
      </c>
      <c r="C4073" s="108" t="s">
        <v>988</v>
      </c>
      <c r="D4073" s="112" t="s">
        <v>187</v>
      </c>
      <c r="E4073" s="112">
        <v>53.2</v>
      </c>
      <c r="F4073" s="111" t="str">
        <f>DataPull!D4073</f>
        <v/>
      </c>
      <c r="G4073" s="94" t="str">
        <f t="shared" si="2"/>
        <v/>
      </c>
      <c r="H4073" s="94" t="str">
        <f t="shared" si="3"/>
        <v/>
      </c>
      <c r="I4073" s="94" t="str">
        <f t="shared" ref="I4073:J4073" si="4074">if(G4073 = "", , -G4073)</f>
        <v/>
      </c>
      <c r="J4073" s="94" t="str">
        <f t="shared" si="4074"/>
        <v/>
      </c>
      <c r="K4073" s="100"/>
      <c r="M4073" s="100"/>
      <c r="N4073" s="100"/>
      <c r="O4073" s="100"/>
      <c r="P4073" s="100"/>
    </row>
    <row r="4074">
      <c r="A4074" s="107">
        <v>1628035.0</v>
      </c>
      <c r="B4074" s="108" t="s">
        <v>192</v>
      </c>
      <c r="C4074" s="108" t="s">
        <v>988</v>
      </c>
      <c r="D4074" s="112" t="s">
        <v>177</v>
      </c>
      <c r="E4074" s="112">
        <v>1000.8</v>
      </c>
      <c r="F4074" s="111" t="str">
        <f>DataPull!D4074</f>
        <v/>
      </c>
      <c r="G4074" s="94" t="str">
        <f t="shared" si="2"/>
        <v/>
      </c>
      <c r="H4074" s="94" t="str">
        <f t="shared" si="3"/>
        <v/>
      </c>
      <c r="I4074" s="94" t="str">
        <f t="shared" ref="I4074:J4074" si="4075">if(G4074 = "", , -G4074)</f>
        <v/>
      </c>
      <c r="J4074" s="94" t="str">
        <f t="shared" si="4075"/>
        <v/>
      </c>
      <c r="K4074" s="100"/>
      <c r="M4074" s="100"/>
      <c r="N4074" s="100"/>
      <c r="O4074" s="100"/>
      <c r="P4074" s="100"/>
    </row>
    <row r="4075">
      <c r="A4075" s="107">
        <v>1628035.0</v>
      </c>
      <c r="B4075" s="108" t="s">
        <v>193</v>
      </c>
      <c r="C4075" s="108" t="s">
        <v>988</v>
      </c>
      <c r="D4075" s="112" t="s">
        <v>177</v>
      </c>
      <c r="E4075" s="112">
        <v>592.0</v>
      </c>
      <c r="F4075" s="111" t="str">
        <f>DataPull!D4075</f>
        <v/>
      </c>
      <c r="G4075" s="94" t="str">
        <f t="shared" si="2"/>
        <v/>
      </c>
      <c r="H4075" s="94" t="str">
        <f t="shared" si="3"/>
        <v/>
      </c>
      <c r="I4075" s="94" t="str">
        <f t="shared" ref="I4075:J4075" si="4076">if(G4075 = "", , -G4075)</f>
        <v/>
      </c>
      <c r="J4075" s="94" t="str">
        <f t="shared" si="4076"/>
        <v/>
      </c>
      <c r="K4075" s="100"/>
      <c r="N4075" s="100"/>
      <c r="O4075" s="100"/>
      <c r="P4075" s="100"/>
    </row>
    <row r="4076">
      <c r="A4076" s="107">
        <v>1628035.0</v>
      </c>
      <c r="B4076" s="108" t="s">
        <v>243</v>
      </c>
      <c r="C4076" s="108" t="s">
        <v>988</v>
      </c>
      <c r="D4076" s="112" t="s">
        <v>187</v>
      </c>
      <c r="E4076" s="112">
        <v>257.4</v>
      </c>
      <c r="F4076" s="111" t="str">
        <f>DataPull!D4076</f>
        <v/>
      </c>
      <c r="G4076" s="94" t="str">
        <f t="shared" si="2"/>
        <v/>
      </c>
      <c r="H4076" s="94" t="str">
        <f t="shared" si="3"/>
        <v/>
      </c>
      <c r="I4076" s="94" t="str">
        <f t="shared" ref="I4076:J4076" si="4077">if(G4076 = "", , -G4076)</f>
        <v/>
      </c>
      <c r="J4076" s="94" t="str">
        <f t="shared" si="4077"/>
        <v/>
      </c>
      <c r="K4076" s="100"/>
      <c r="M4076" s="100"/>
      <c r="N4076" s="100"/>
      <c r="O4076" s="100"/>
      <c r="P4076" s="100"/>
    </row>
    <row r="4077">
      <c r="A4077" s="107">
        <v>1628035.0</v>
      </c>
      <c r="B4077" s="108" t="s">
        <v>215</v>
      </c>
      <c r="C4077" s="108" t="s">
        <v>988</v>
      </c>
      <c r="D4077" s="112" t="s">
        <v>187</v>
      </c>
      <c r="E4077" s="112">
        <v>205.7</v>
      </c>
      <c r="F4077" s="111" t="str">
        <f>DataPull!D4077</f>
        <v/>
      </c>
      <c r="G4077" s="94" t="str">
        <f t="shared" si="2"/>
        <v/>
      </c>
      <c r="H4077" s="94" t="str">
        <f t="shared" si="3"/>
        <v/>
      </c>
      <c r="I4077" s="94" t="str">
        <f t="shared" ref="I4077:J4077" si="4078">if(G4077 = "", , -G4077)</f>
        <v/>
      </c>
      <c r="J4077" s="94" t="str">
        <f t="shared" si="4078"/>
        <v/>
      </c>
      <c r="K4077" s="100"/>
      <c r="M4077" s="100"/>
      <c r="N4077" s="100"/>
      <c r="O4077" s="100"/>
      <c r="P4077" s="100"/>
    </row>
    <row r="4078">
      <c r="A4078" s="107">
        <v>1628070.0</v>
      </c>
      <c r="B4078" s="108" t="s">
        <v>192</v>
      </c>
      <c r="C4078" s="108" t="s">
        <v>989</v>
      </c>
      <c r="D4078" s="112" t="s">
        <v>187</v>
      </c>
      <c r="E4078" s="112">
        <v>55.2</v>
      </c>
      <c r="F4078" s="111" t="str">
        <f>DataPull!D4078</f>
        <v/>
      </c>
      <c r="G4078" s="94" t="str">
        <f t="shared" si="2"/>
        <v/>
      </c>
      <c r="H4078" s="94" t="str">
        <f t="shared" si="3"/>
        <v/>
      </c>
      <c r="I4078" s="94" t="str">
        <f t="shared" ref="I4078:J4078" si="4079">if(G4078 = "", , -G4078)</f>
        <v/>
      </c>
      <c r="J4078" s="94" t="str">
        <f t="shared" si="4079"/>
        <v/>
      </c>
      <c r="K4078" s="100"/>
      <c r="M4078" s="100"/>
      <c r="N4078" s="100"/>
      <c r="O4078" s="100"/>
      <c r="P4078" s="100"/>
    </row>
    <row r="4079">
      <c r="A4079" s="107">
        <v>1628221.0</v>
      </c>
      <c r="B4079" s="108" t="s">
        <v>215</v>
      </c>
      <c r="C4079" s="108" t="s">
        <v>990</v>
      </c>
      <c r="D4079" s="112" t="s">
        <v>181</v>
      </c>
      <c r="E4079" s="112">
        <v>21.4</v>
      </c>
      <c r="F4079" s="111" t="str">
        <f>DataPull!D4079</f>
        <v/>
      </c>
      <c r="G4079" s="94" t="str">
        <f t="shared" si="2"/>
        <v/>
      </c>
      <c r="H4079" s="94" t="str">
        <f t="shared" si="3"/>
        <v/>
      </c>
      <c r="I4079" s="94" t="str">
        <f t="shared" ref="I4079:J4079" si="4080">if(G4079 = "", , -G4079)</f>
        <v/>
      </c>
      <c r="J4079" s="94" t="str">
        <f t="shared" si="4080"/>
        <v/>
      </c>
      <c r="K4079" s="100"/>
      <c r="L4079" s="100"/>
      <c r="M4079" s="100"/>
      <c r="N4079" s="100"/>
      <c r="O4079" s="100"/>
      <c r="P4079" s="100"/>
    </row>
    <row r="4080">
      <c r="A4080" s="107">
        <v>1628221.0</v>
      </c>
      <c r="B4080" s="108" t="s">
        <v>244</v>
      </c>
      <c r="C4080" s="108" t="s">
        <v>990</v>
      </c>
      <c r="D4080" s="112" t="s">
        <v>181</v>
      </c>
      <c r="E4080" s="112">
        <v>55.8</v>
      </c>
      <c r="F4080" s="111" t="str">
        <f>DataPull!D4080</f>
        <v/>
      </c>
      <c r="G4080" s="94" t="str">
        <f t="shared" si="2"/>
        <v/>
      </c>
      <c r="H4080" s="94" t="str">
        <f t="shared" si="3"/>
        <v/>
      </c>
      <c r="I4080" s="94" t="str">
        <f t="shared" ref="I4080:J4080" si="4081">if(G4080 = "", , -G4080)</f>
        <v/>
      </c>
      <c r="J4080" s="94" t="str">
        <f t="shared" si="4081"/>
        <v/>
      </c>
      <c r="K4080" s="100"/>
      <c r="M4080" s="100"/>
      <c r="N4080" s="100"/>
      <c r="O4080" s="100"/>
      <c r="P4080" s="100"/>
    </row>
    <row r="4081">
      <c r="A4081" s="107">
        <v>1628238.0</v>
      </c>
      <c r="B4081" s="108" t="s">
        <v>215</v>
      </c>
      <c r="C4081" s="108" t="s">
        <v>991</v>
      </c>
      <c r="D4081" s="112" t="s">
        <v>181</v>
      </c>
      <c r="E4081" s="112">
        <v>7.4</v>
      </c>
      <c r="F4081" s="111" t="str">
        <f>DataPull!D4081</f>
        <v/>
      </c>
      <c r="G4081" s="94" t="str">
        <f t="shared" si="2"/>
        <v/>
      </c>
      <c r="H4081" s="94" t="str">
        <f t="shared" si="3"/>
        <v/>
      </c>
      <c r="I4081" s="94" t="str">
        <f t="shared" ref="I4081:J4081" si="4082">if(G4081 = "", , -G4081)</f>
        <v/>
      </c>
      <c r="J4081" s="94" t="str">
        <f t="shared" si="4082"/>
        <v/>
      </c>
      <c r="K4081" s="100"/>
      <c r="L4081" s="100"/>
      <c r="N4081" s="100"/>
      <c r="O4081" s="100"/>
      <c r="P4081" s="100"/>
    </row>
    <row r="4082">
      <c r="A4082" s="107">
        <v>1628249.0</v>
      </c>
      <c r="B4082" s="108" t="s">
        <v>192</v>
      </c>
      <c r="C4082" s="108" t="s">
        <v>992</v>
      </c>
      <c r="D4082" s="112" t="s">
        <v>181</v>
      </c>
      <c r="E4082" s="112">
        <v>47.0</v>
      </c>
      <c r="F4082" s="111" t="str">
        <f>DataPull!D4082</f>
        <v/>
      </c>
      <c r="G4082" s="94" t="str">
        <f t="shared" si="2"/>
        <v/>
      </c>
      <c r="H4082" s="94" t="str">
        <f t="shared" si="3"/>
        <v/>
      </c>
      <c r="I4082" s="94" t="str">
        <f t="shared" ref="I4082:J4082" si="4083">if(G4082 = "", , -G4082)</f>
        <v/>
      </c>
      <c r="J4082" s="94" t="str">
        <f t="shared" si="4083"/>
        <v/>
      </c>
      <c r="K4082" s="100"/>
      <c r="M4082" s="100"/>
      <c r="N4082" s="100"/>
      <c r="O4082" s="100"/>
      <c r="P4082" s="100"/>
    </row>
    <row r="4083">
      <c r="A4083" s="107">
        <v>1628365.0</v>
      </c>
      <c r="B4083" s="108" t="s">
        <v>191</v>
      </c>
      <c r="C4083" s="108" t="s">
        <v>993</v>
      </c>
      <c r="D4083" s="112" t="s">
        <v>187</v>
      </c>
      <c r="E4083" s="112">
        <v>253.4</v>
      </c>
      <c r="F4083" s="111" t="str">
        <f>DataPull!D4083</f>
        <v/>
      </c>
      <c r="G4083" s="94" t="str">
        <f t="shared" si="2"/>
        <v/>
      </c>
      <c r="H4083" s="94" t="str">
        <f t="shared" si="3"/>
        <v/>
      </c>
      <c r="I4083" s="94" t="str">
        <f t="shared" ref="I4083:J4083" si="4084">if(G4083 = "", , -G4083)</f>
        <v/>
      </c>
      <c r="J4083" s="94" t="str">
        <f t="shared" si="4084"/>
        <v/>
      </c>
      <c r="K4083" s="100"/>
      <c r="M4083" s="100"/>
      <c r="N4083" s="100"/>
      <c r="O4083" s="100"/>
      <c r="P4083" s="100"/>
    </row>
    <row r="4084">
      <c r="A4084" s="107">
        <v>1628365.0</v>
      </c>
      <c r="B4084" s="108" t="s">
        <v>192</v>
      </c>
      <c r="C4084" s="108" t="s">
        <v>993</v>
      </c>
      <c r="D4084" s="112" t="s">
        <v>176</v>
      </c>
      <c r="E4084" s="112">
        <v>427.5</v>
      </c>
      <c r="F4084" s="111" t="str">
        <f>DataPull!D4084</f>
        <v/>
      </c>
      <c r="G4084" s="94" t="str">
        <f t="shared" si="2"/>
        <v/>
      </c>
      <c r="H4084" s="94" t="str">
        <f t="shared" si="3"/>
        <v/>
      </c>
      <c r="I4084" s="94" t="str">
        <f t="shared" ref="I4084:J4084" si="4085">if(G4084 = "", , -G4084)</f>
        <v/>
      </c>
      <c r="J4084" s="94" t="str">
        <f t="shared" si="4085"/>
        <v/>
      </c>
      <c r="K4084" s="100"/>
      <c r="L4084" s="100"/>
      <c r="N4084" s="100"/>
      <c r="O4084" s="100"/>
      <c r="P4084" s="100"/>
    </row>
    <row r="4085">
      <c r="A4085" s="107">
        <v>1628365.0</v>
      </c>
      <c r="B4085" s="108" t="s">
        <v>193</v>
      </c>
      <c r="C4085" s="108" t="s">
        <v>993</v>
      </c>
      <c r="D4085" s="112" t="s">
        <v>178</v>
      </c>
      <c r="E4085" s="112">
        <v>1994.4</v>
      </c>
      <c r="F4085" s="111" t="str">
        <f>DataPull!D4085</f>
        <v/>
      </c>
      <c r="G4085" s="94" t="str">
        <f t="shared" si="2"/>
        <v/>
      </c>
      <c r="H4085" s="94" t="str">
        <f t="shared" si="3"/>
        <v/>
      </c>
      <c r="I4085" s="94" t="str">
        <f t="shared" ref="I4085:J4085" si="4086">if(G4085 = "", , -G4085)</f>
        <v/>
      </c>
      <c r="J4085" s="94" t="str">
        <f t="shared" si="4086"/>
        <v/>
      </c>
      <c r="K4085" s="100"/>
      <c r="M4085" s="100"/>
      <c r="N4085" s="100"/>
      <c r="O4085" s="100"/>
      <c r="P4085" s="100"/>
    </row>
    <row r="4086">
      <c r="A4086" s="107">
        <v>1628365.0</v>
      </c>
      <c r="B4086" s="108" t="s">
        <v>243</v>
      </c>
      <c r="C4086" s="108" t="s">
        <v>993</v>
      </c>
      <c r="D4086" s="112" t="s">
        <v>176</v>
      </c>
      <c r="E4086" s="112">
        <v>215.2</v>
      </c>
      <c r="F4086" s="111" t="str">
        <f>DataPull!D4086</f>
        <v/>
      </c>
      <c r="G4086" s="94" t="str">
        <f t="shared" si="2"/>
        <v/>
      </c>
      <c r="H4086" s="94" t="str">
        <f t="shared" si="3"/>
        <v/>
      </c>
      <c r="I4086" s="94" t="str">
        <f t="shared" ref="I4086:J4086" si="4087">if(G4086 = "", , -G4086)</f>
        <v/>
      </c>
      <c r="J4086" s="94" t="str">
        <f t="shared" si="4087"/>
        <v/>
      </c>
      <c r="K4086" s="100"/>
      <c r="L4086" s="100"/>
      <c r="N4086" s="100"/>
      <c r="O4086" s="100"/>
      <c r="P4086" s="100"/>
    </row>
    <row r="4087">
      <c r="A4087" s="107">
        <v>1628365.0</v>
      </c>
      <c r="B4087" s="108" t="s">
        <v>215</v>
      </c>
      <c r="C4087" s="108" t="s">
        <v>993</v>
      </c>
      <c r="D4087" s="112" t="s">
        <v>176</v>
      </c>
      <c r="E4087" s="112">
        <v>360.0</v>
      </c>
      <c r="F4087" s="111" t="str">
        <f>DataPull!D4087</f>
        <v/>
      </c>
      <c r="G4087" s="94" t="str">
        <f t="shared" si="2"/>
        <v/>
      </c>
      <c r="H4087" s="94" t="str">
        <f t="shared" si="3"/>
        <v/>
      </c>
      <c r="I4087" s="94" t="str">
        <f t="shared" ref="I4087:J4087" si="4088">if(G4087 = "", , -G4087)</f>
        <v/>
      </c>
      <c r="J4087" s="94" t="str">
        <f t="shared" si="4088"/>
        <v/>
      </c>
      <c r="K4087" s="100"/>
      <c r="M4087" s="100"/>
      <c r="N4087" s="100"/>
      <c r="O4087" s="100"/>
      <c r="P4087" s="100"/>
    </row>
    <row r="4088">
      <c r="A4088" s="107">
        <v>1628365.0</v>
      </c>
      <c r="B4088" s="108" t="s">
        <v>244</v>
      </c>
      <c r="C4088" s="108" t="s">
        <v>993</v>
      </c>
      <c r="D4088" s="112" t="s">
        <v>178</v>
      </c>
      <c r="E4088" s="112">
        <v>1776.0</v>
      </c>
      <c r="F4088" s="111" t="str">
        <f>DataPull!D4088</f>
        <v/>
      </c>
      <c r="G4088" s="94" t="str">
        <f t="shared" si="2"/>
        <v/>
      </c>
      <c r="H4088" s="94" t="str">
        <f t="shared" si="3"/>
        <v/>
      </c>
      <c r="I4088" s="94" t="str">
        <f t="shared" ref="I4088:J4088" si="4089">if(G4088 = "", , -G4088)</f>
        <v/>
      </c>
      <c r="J4088" s="94" t="str">
        <f t="shared" si="4089"/>
        <v/>
      </c>
      <c r="K4088" s="100"/>
      <c r="M4088" s="100"/>
      <c r="N4088" s="100"/>
      <c r="O4088" s="100"/>
      <c r="P4088" s="100"/>
    </row>
    <row r="4089">
      <c r="A4089" s="107">
        <v>1628365.0</v>
      </c>
      <c r="B4089" s="108" t="s">
        <v>245</v>
      </c>
      <c r="C4089" s="108" t="s">
        <v>993</v>
      </c>
      <c r="D4089" s="112" t="s">
        <v>176</v>
      </c>
      <c r="E4089" s="112">
        <v>911.6</v>
      </c>
      <c r="F4089" s="111" t="str">
        <f>DataPull!D4089</f>
        <v/>
      </c>
      <c r="G4089" s="94" t="str">
        <f t="shared" si="2"/>
        <v/>
      </c>
      <c r="H4089" s="94" t="str">
        <f t="shared" si="3"/>
        <v/>
      </c>
      <c r="I4089" s="94" t="str">
        <f t="shared" ref="I4089:J4089" si="4090">if(G4089 = "", , -G4089)</f>
        <v/>
      </c>
      <c r="J4089" s="94" t="str">
        <f t="shared" si="4090"/>
        <v/>
      </c>
      <c r="K4089" s="100"/>
      <c r="L4089" s="100"/>
      <c r="M4089" s="100"/>
      <c r="N4089" s="100"/>
      <c r="O4089" s="100"/>
    </row>
    <row r="4090">
      <c r="A4090" s="123">
        <v>1628365.0</v>
      </c>
      <c r="B4090" s="124" t="s">
        <v>246</v>
      </c>
      <c r="C4090" s="125" t="s">
        <v>993</v>
      </c>
      <c r="D4090" s="112" t="s">
        <v>187</v>
      </c>
      <c r="E4090" s="112">
        <v>184.8</v>
      </c>
      <c r="F4090" s="111" t="str">
        <f>DataPull!D4090</f>
        <v/>
      </c>
      <c r="G4090" s="94" t="str">
        <f t="shared" si="2"/>
        <v/>
      </c>
      <c r="H4090" s="94" t="str">
        <f t="shared" si="3"/>
        <v/>
      </c>
      <c r="I4090" s="94" t="str">
        <f t="shared" ref="I4090:J4090" si="4091">if(G4090 = "", , -G4090)</f>
        <v/>
      </c>
      <c r="J4090" s="94" t="str">
        <f t="shared" si="4091"/>
        <v/>
      </c>
      <c r="K4090" s="100"/>
      <c r="M4090" s="100"/>
      <c r="N4090" s="100"/>
      <c r="O4090" s="100"/>
      <c r="P4090" s="100"/>
    </row>
    <row r="4091">
      <c r="A4091" s="107">
        <v>1628366.0</v>
      </c>
      <c r="B4091" s="108" t="s">
        <v>191</v>
      </c>
      <c r="C4091" s="108" t="s">
        <v>994</v>
      </c>
      <c r="D4091" s="112" t="s">
        <v>178</v>
      </c>
      <c r="E4091" s="112">
        <v>1778.4</v>
      </c>
      <c r="F4091" s="111" t="str">
        <f>DataPull!D4091</f>
        <v/>
      </c>
      <c r="G4091" s="94" t="str">
        <f t="shared" si="2"/>
        <v/>
      </c>
      <c r="H4091" s="94" t="str">
        <f t="shared" si="3"/>
        <v/>
      </c>
      <c r="I4091" s="94" t="str">
        <f t="shared" ref="I4091:J4091" si="4092">if(G4091 = "", , -G4091)</f>
        <v/>
      </c>
      <c r="J4091" s="94" t="str">
        <f t="shared" si="4092"/>
        <v/>
      </c>
      <c r="L4091" s="100"/>
      <c r="M4091" s="100"/>
      <c r="N4091" s="100"/>
      <c r="O4091" s="100"/>
    </row>
    <row r="4092">
      <c r="A4092" s="107">
        <v>1628366.0</v>
      </c>
      <c r="B4092" s="108" t="s">
        <v>192</v>
      </c>
      <c r="C4092" s="108" t="s">
        <v>994</v>
      </c>
      <c r="D4092" s="112" t="s">
        <v>178</v>
      </c>
      <c r="E4092" s="112">
        <v>1424.1</v>
      </c>
      <c r="F4092" s="111" t="str">
        <f>DataPull!D4092</f>
        <v/>
      </c>
      <c r="G4092" s="94" t="str">
        <f t="shared" si="2"/>
        <v/>
      </c>
      <c r="H4092" s="94" t="str">
        <f t="shared" si="3"/>
        <v/>
      </c>
      <c r="I4092" s="94" t="str">
        <f t="shared" ref="I4092:J4092" si="4093">if(G4092 = "", , -G4092)</f>
        <v/>
      </c>
      <c r="J4092" s="94" t="str">
        <f t="shared" si="4093"/>
        <v/>
      </c>
      <c r="K4092" s="100"/>
      <c r="M4092" s="100"/>
      <c r="N4092" s="100"/>
      <c r="O4092" s="100"/>
      <c r="P4092" s="100"/>
    </row>
    <row r="4093">
      <c r="A4093" s="107">
        <v>1628366.0</v>
      </c>
      <c r="B4093" s="108" t="s">
        <v>193</v>
      </c>
      <c r="C4093" s="108" t="s">
        <v>994</v>
      </c>
      <c r="D4093" s="112" t="s">
        <v>178</v>
      </c>
      <c r="E4093" s="112">
        <v>2022.3</v>
      </c>
      <c r="F4093" s="111" t="str">
        <f>DataPull!D4093</f>
        <v/>
      </c>
      <c r="G4093" s="94" t="str">
        <f t="shared" si="2"/>
        <v/>
      </c>
      <c r="H4093" s="94" t="str">
        <f t="shared" si="3"/>
        <v/>
      </c>
      <c r="I4093" s="94" t="str">
        <f t="shared" ref="I4093:J4093" si="4094">if(G4093 = "", , -G4093)</f>
        <v/>
      </c>
      <c r="J4093" s="94" t="str">
        <f t="shared" si="4094"/>
        <v/>
      </c>
      <c r="K4093" s="100"/>
      <c r="M4093" s="100"/>
      <c r="N4093" s="100"/>
      <c r="O4093" s="100"/>
      <c r="P4093" s="100"/>
    </row>
    <row r="4094">
      <c r="A4094" s="107">
        <v>1628366.0</v>
      </c>
      <c r="B4094" s="108" t="s">
        <v>243</v>
      </c>
      <c r="C4094" s="108" t="s">
        <v>994</v>
      </c>
      <c r="D4094" s="112" t="s">
        <v>184</v>
      </c>
      <c r="E4094" s="112">
        <v>1749.0</v>
      </c>
      <c r="F4094" s="111" t="str">
        <f>DataPull!D4094</f>
        <v/>
      </c>
      <c r="G4094" s="94" t="str">
        <f t="shared" si="2"/>
        <v/>
      </c>
      <c r="H4094" s="94" t="str">
        <f t="shared" si="3"/>
        <v/>
      </c>
      <c r="I4094" s="94" t="str">
        <f t="shared" ref="I4094:J4094" si="4095">if(G4094 = "", , -G4094)</f>
        <v/>
      </c>
      <c r="J4094" s="94" t="str">
        <f t="shared" si="4095"/>
        <v/>
      </c>
      <c r="K4094" s="100"/>
      <c r="M4094" s="100"/>
      <c r="N4094" s="100"/>
      <c r="O4094" s="100"/>
      <c r="P4094" s="100"/>
    </row>
    <row r="4095">
      <c r="A4095" s="107">
        <v>1628366.0</v>
      </c>
      <c r="B4095" s="108" t="s">
        <v>215</v>
      </c>
      <c r="C4095" s="108" t="s">
        <v>994</v>
      </c>
      <c r="D4095" s="112" t="s">
        <v>184</v>
      </c>
      <c r="E4095" s="112">
        <v>1211.0</v>
      </c>
      <c r="F4095" s="111" t="str">
        <f>DataPull!D4095</f>
        <v/>
      </c>
      <c r="G4095" s="94" t="str">
        <f t="shared" si="2"/>
        <v/>
      </c>
      <c r="H4095" s="94" t="str">
        <f t="shared" si="3"/>
        <v/>
      </c>
      <c r="I4095" s="94" t="str">
        <f t="shared" ref="I4095:J4095" si="4096">if(G4095 = "", , -G4095)</f>
        <v/>
      </c>
      <c r="J4095" s="94" t="str">
        <f t="shared" si="4096"/>
        <v/>
      </c>
      <c r="K4095" s="100"/>
      <c r="M4095" s="100"/>
      <c r="N4095" s="100"/>
      <c r="O4095" s="100"/>
      <c r="P4095" s="100"/>
    </row>
    <row r="4096">
      <c r="A4096" s="107">
        <v>1628366.0</v>
      </c>
      <c r="B4096" s="108" t="s">
        <v>246</v>
      </c>
      <c r="C4096" s="108" t="s">
        <v>994</v>
      </c>
      <c r="D4096" s="112" t="s">
        <v>176</v>
      </c>
      <c r="E4096" s="112">
        <v>777.0</v>
      </c>
      <c r="F4096" s="111" t="str">
        <f>DataPull!D4096</f>
        <v/>
      </c>
      <c r="G4096" s="94" t="str">
        <f t="shared" si="2"/>
        <v/>
      </c>
      <c r="H4096" s="94" t="str">
        <f t="shared" si="3"/>
        <v/>
      </c>
      <c r="I4096" s="94" t="str">
        <f t="shared" ref="I4096:J4096" si="4097">if(G4096 = "", , -G4096)</f>
        <v/>
      </c>
      <c r="J4096" s="94" t="str">
        <f t="shared" si="4097"/>
        <v/>
      </c>
      <c r="K4096" s="100"/>
      <c r="M4096" s="100"/>
      <c r="N4096" s="100"/>
      <c r="O4096" s="100"/>
      <c r="P4096" s="100"/>
    </row>
    <row r="4097">
      <c r="A4097" s="114">
        <v>1628366.0</v>
      </c>
      <c r="B4097" s="113" t="s">
        <v>247</v>
      </c>
      <c r="C4097" s="113" t="s">
        <v>994</v>
      </c>
      <c r="D4097" s="112" t="s">
        <v>176</v>
      </c>
      <c r="E4097" s="112">
        <v>728.0</v>
      </c>
      <c r="F4097" s="111" t="str">
        <f>DataPull!D4097</f>
        <v/>
      </c>
      <c r="G4097" s="94" t="str">
        <f t="shared" si="2"/>
        <v/>
      </c>
      <c r="H4097" s="94" t="str">
        <f t="shared" si="3"/>
        <v/>
      </c>
      <c r="I4097" s="94" t="str">
        <f t="shared" ref="I4097:J4097" si="4098">if(G4097 = "", , -G4097)</f>
        <v/>
      </c>
      <c r="J4097" s="94" t="str">
        <f t="shared" si="4098"/>
        <v/>
      </c>
      <c r="K4097" s="100"/>
      <c r="M4097" s="100"/>
      <c r="N4097" s="100"/>
      <c r="O4097" s="100"/>
      <c r="P4097" s="100"/>
    </row>
    <row r="4098">
      <c r="A4098" s="107">
        <v>1628367.0</v>
      </c>
      <c r="B4098" s="108" t="s">
        <v>191</v>
      </c>
      <c r="C4098" s="108" t="s">
        <v>995</v>
      </c>
      <c r="D4098" s="112" t="s">
        <v>178</v>
      </c>
      <c r="E4098" s="112">
        <v>1955.8</v>
      </c>
      <c r="F4098" s="111" t="str">
        <f>DataPull!D4098</f>
        <v/>
      </c>
      <c r="G4098" s="94" t="str">
        <f t="shared" si="2"/>
        <v/>
      </c>
      <c r="H4098" s="94" t="str">
        <f t="shared" si="3"/>
        <v/>
      </c>
      <c r="I4098" s="94" t="str">
        <f t="shared" ref="I4098:J4098" si="4099">if(G4098 = "", , -G4098)</f>
        <v/>
      </c>
      <c r="J4098" s="94" t="str">
        <f t="shared" si="4099"/>
        <v/>
      </c>
      <c r="K4098" s="100"/>
      <c r="M4098" s="100"/>
      <c r="N4098" s="100"/>
      <c r="O4098" s="100"/>
      <c r="P4098" s="100"/>
    </row>
    <row r="4099">
      <c r="A4099" s="107">
        <v>1628367.0</v>
      </c>
      <c r="B4099" s="108" t="s">
        <v>192</v>
      </c>
      <c r="C4099" s="108" t="s">
        <v>995</v>
      </c>
      <c r="D4099" s="112" t="s">
        <v>176</v>
      </c>
      <c r="E4099" s="112">
        <v>1990.8</v>
      </c>
      <c r="F4099" s="111" t="str">
        <f>DataPull!D4099</f>
        <v/>
      </c>
      <c r="G4099" s="94" t="str">
        <f t="shared" si="2"/>
        <v/>
      </c>
      <c r="H4099" s="94" t="str">
        <f t="shared" si="3"/>
        <v/>
      </c>
      <c r="I4099" s="94" t="str">
        <f t="shared" ref="I4099:J4099" si="4100">if(G4099 = "", , -G4099)</f>
        <v/>
      </c>
      <c r="J4099" s="94" t="str">
        <f t="shared" si="4100"/>
        <v/>
      </c>
      <c r="K4099" s="100"/>
      <c r="M4099" s="100"/>
      <c r="N4099" s="100"/>
      <c r="O4099" s="100"/>
      <c r="P4099" s="100"/>
    </row>
    <row r="4100">
      <c r="A4100" s="107">
        <v>1628367.0</v>
      </c>
      <c r="B4100" s="108" t="s">
        <v>193</v>
      </c>
      <c r="C4100" s="108" t="s">
        <v>995</v>
      </c>
      <c r="D4100" s="112" t="s">
        <v>177</v>
      </c>
      <c r="E4100" s="112">
        <v>380.6</v>
      </c>
      <c r="F4100" s="111" t="str">
        <f>DataPull!D4100</f>
        <v/>
      </c>
      <c r="G4100" s="94" t="str">
        <f t="shared" si="2"/>
        <v/>
      </c>
      <c r="H4100" s="94" t="str">
        <f t="shared" si="3"/>
        <v/>
      </c>
      <c r="I4100" s="94" t="str">
        <f t="shared" ref="I4100:J4100" si="4101">if(G4100 = "", , -G4100)</f>
        <v/>
      </c>
      <c r="J4100" s="94" t="str">
        <f t="shared" si="4101"/>
        <v/>
      </c>
      <c r="K4100" s="100"/>
      <c r="M4100" s="100"/>
      <c r="N4100" s="100"/>
      <c r="O4100" s="100"/>
      <c r="P4100" s="100"/>
    </row>
    <row r="4101">
      <c r="A4101" s="107">
        <v>1628367.0</v>
      </c>
      <c r="B4101" s="108" t="s">
        <v>243</v>
      </c>
      <c r="C4101" s="108" t="s">
        <v>995</v>
      </c>
      <c r="D4101" s="112" t="s">
        <v>176</v>
      </c>
      <c r="E4101" s="112">
        <v>1562.4</v>
      </c>
      <c r="F4101" s="111" t="str">
        <f>DataPull!D4101</f>
        <v/>
      </c>
      <c r="G4101" s="94" t="str">
        <f t="shared" si="2"/>
        <v/>
      </c>
      <c r="H4101" s="94" t="str">
        <f t="shared" si="3"/>
        <v/>
      </c>
      <c r="I4101" s="94" t="str">
        <f t="shared" ref="I4101:J4101" si="4102">if(G4101 = "", , -G4101)</f>
        <v/>
      </c>
      <c r="J4101" s="94" t="str">
        <f t="shared" si="4102"/>
        <v/>
      </c>
      <c r="K4101" s="100"/>
      <c r="M4101" s="100"/>
      <c r="N4101" s="100"/>
      <c r="O4101" s="100"/>
      <c r="P4101" s="100"/>
    </row>
    <row r="4102">
      <c r="A4102" s="107">
        <v>1628367.0</v>
      </c>
      <c r="B4102" s="108" t="s">
        <v>215</v>
      </c>
      <c r="C4102" s="108" t="s">
        <v>995</v>
      </c>
      <c r="D4102" s="112" t="s">
        <v>177</v>
      </c>
      <c r="E4102" s="112">
        <v>831.3</v>
      </c>
      <c r="F4102" s="111" t="str">
        <f>DataPull!D4102</f>
        <v/>
      </c>
      <c r="G4102" s="94" t="str">
        <f t="shared" si="2"/>
        <v/>
      </c>
      <c r="H4102" s="94" t="str">
        <f t="shared" si="3"/>
        <v/>
      </c>
      <c r="I4102" s="94" t="str">
        <f t="shared" ref="I4102:J4102" si="4103">if(G4102 = "", , -G4102)</f>
        <v/>
      </c>
      <c r="J4102" s="94" t="str">
        <f t="shared" si="4103"/>
        <v/>
      </c>
      <c r="K4102" s="100"/>
      <c r="M4102" s="100"/>
      <c r="N4102" s="100"/>
      <c r="O4102" s="100"/>
      <c r="P4102" s="100"/>
    </row>
    <row r="4103">
      <c r="A4103" s="107">
        <v>1628368.0</v>
      </c>
      <c r="B4103" s="108" t="s">
        <v>191</v>
      </c>
      <c r="C4103" s="108" t="s">
        <v>996</v>
      </c>
      <c r="D4103" s="112" t="s">
        <v>178</v>
      </c>
      <c r="E4103" s="112">
        <v>2022.1</v>
      </c>
      <c r="F4103" s="111" t="str">
        <f>DataPull!D4103</f>
        <v/>
      </c>
      <c r="G4103" s="94" t="str">
        <f t="shared" si="2"/>
        <v/>
      </c>
      <c r="H4103" s="94" t="str">
        <f t="shared" si="3"/>
        <v/>
      </c>
      <c r="I4103" s="94" t="str">
        <f t="shared" ref="I4103:J4103" si="4104">if(G4103 = "", , -G4103)</f>
        <v/>
      </c>
      <c r="J4103" s="94" t="str">
        <f t="shared" si="4104"/>
        <v/>
      </c>
      <c r="K4103" s="100"/>
      <c r="M4103" s="100"/>
      <c r="N4103" s="100"/>
      <c r="O4103" s="100"/>
      <c r="P4103" s="100"/>
    </row>
    <row r="4104">
      <c r="A4104" s="107">
        <v>1628368.0</v>
      </c>
      <c r="B4104" s="108" t="s">
        <v>192</v>
      </c>
      <c r="C4104" s="108" t="s">
        <v>996</v>
      </c>
      <c r="D4104" s="112" t="s">
        <v>178</v>
      </c>
      <c r="E4104" s="112">
        <v>2543.4</v>
      </c>
      <c r="F4104" s="111" t="str">
        <f>DataPull!D4104</f>
        <v/>
      </c>
      <c r="G4104" s="94" t="str">
        <f t="shared" si="2"/>
        <v/>
      </c>
      <c r="H4104" s="94" t="str">
        <f t="shared" si="3"/>
        <v/>
      </c>
      <c r="I4104" s="94" t="str">
        <f t="shared" ref="I4104:J4104" si="4105">if(G4104 = "", , -G4104)</f>
        <v/>
      </c>
      <c r="J4104" s="94" t="str">
        <f t="shared" si="4105"/>
        <v/>
      </c>
      <c r="K4104" s="100"/>
      <c r="M4104" s="100"/>
      <c r="N4104" s="100"/>
      <c r="O4104" s="100"/>
      <c r="P4104" s="100"/>
    </row>
    <row r="4105">
      <c r="A4105" s="107">
        <v>1628368.0</v>
      </c>
      <c r="B4105" s="108" t="s">
        <v>193</v>
      </c>
      <c r="C4105" s="108" t="s">
        <v>996</v>
      </c>
      <c r="D4105" s="112" t="s">
        <v>184</v>
      </c>
      <c r="E4105" s="112">
        <v>1632.0</v>
      </c>
      <c r="F4105" s="111" t="str">
        <f>DataPull!D4105</f>
        <v/>
      </c>
      <c r="G4105" s="94" t="str">
        <f t="shared" si="2"/>
        <v/>
      </c>
      <c r="H4105" s="94" t="str">
        <f t="shared" si="3"/>
        <v/>
      </c>
      <c r="I4105" s="94" t="str">
        <f t="shared" ref="I4105:J4105" si="4106">if(G4105 = "", , -G4105)</f>
        <v/>
      </c>
      <c r="J4105" s="94" t="str">
        <f t="shared" si="4106"/>
        <v/>
      </c>
      <c r="K4105" s="100"/>
      <c r="M4105" s="100"/>
      <c r="N4105" s="100"/>
      <c r="O4105" s="100"/>
      <c r="P4105" s="100"/>
    </row>
    <row r="4106">
      <c r="A4106" s="107">
        <v>1628368.0</v>
      </c>
      <c r="B4106" s="108" t="s">
        <v>243</v>
      </c>
      <c r="C4106" s="108" t="s">
        <v>996</v>
      </c>
      <c r="D4106" s="112" t="s">
        <v>184</v>
      </c>
      <c r="E4106" s="112">
        <v>2035.8</v>
      </c>
      <c r="F4106" s="111" t="str">
        <f>DataPull!D4106</f>
        <v/>
      </c>
      <c r="G4106" s="94" t="str">
        <f t="shared" si="2"/>
        <v/>
      </c>
      <c r="H4106" s="94" t="str">
        <f t="shared" si="3"/>
        <v/>
      </c>
      <c r="I4106" s="94" t="str">
        <f t="shared" ref="I4106:J4106" si="4107">if(G4106 = "", , -G4106)</f>
        <v/>
      </c>
      <c r="J4106" s="94" t="str">
        <f t="shared" si="4107"/>
        <v/>
      </c>
      <c r="K4106" s="100"/>
      <c r="L4106" s="100"/>
      <c r="M4106" s="100"/>
      <c r="N4106" s="100"/>
      <c r="O4106" s="100"/>
      <c r="P4106" s="100"/>
    </row>
    <row r="4107">
      <c r="A4107" s="107">
        <v>1628368.0</v>
      </c>
      <c r="B4107" s="108" t="s">
        <v>215</v>
      </c>
      <c r="C4107" s="108" t="s">
        <v>996</v>
      </c>
      <c r="D4107" s="112" t="s">
        <v>184</v>
      </c>
      <c r="E4107" s="112">
        <v>2082.7</v>
      </c>
      <c r="F4107" s="111" t="str">
        <f>DataPull!D4107</f>
        <v/>
      </c>
      <c r="G4107" s="94" t="str">
        <f t="shared" si="2"/>
        <v/>
      </c>
      <c r="H4107" s="94" t="str">
        <f t="shared" si="3"/>
        <v/>
      </c>
      <c r="I4107" s="94" t="str">
        <f t="shared" ref="I4107:J4107" si="4108">if(G4107 = "", , -G4107)</f>
        <v/>
      </c>
      <c r="J4107" s="94" t="str">
        <f t="shared" si="4108"/>
        <v/>
      </c>
      <c r="K4107" s="100"/>
      <c r="L4107" s="100"/>
      <c r="N4107" s="100"/>
      <c r="O4107" s="100"/>
      <c r="P4107" s="100"/>
    </row>
    <row r="4108">
      <c r="A4108" s="107">
        <v>1628368.0</v>
      </c>
      <c r="B4108" s="108" t="s">
        <v>244</v>
      </c>
      <c r="C4108" s="108" t="s">
        <v>996</v>
      </c>
      <c r="D4108" s="112" t="s">
        <v>184</v>
      </c>
      <c r="E4108" s="112">
        <v>2438.2</v>
      </c>
      <c r="F4108" s="111" t="str">
        <f>DataPull!D4108</f>
        <v/>
      </c>
      <c r="G4108" s="94" t="str">
        <f t="shared" si="2"/>
        <v/>
      </c>
      <c r="H4108" s="94" t="str">
        <f t="shared" si="3"/>
        <v/>
      </c>
      <c r="I4108" s="94" t="str">
        <f t="shared" ref="I4108:J4108" si="4109">if(G4108 = "", , -G4108)</f>
        <v/>
      </c>
      <c r="J4108" s="94" t="str">
        <f t="shared" si="4109"/>
        <v/>
      </c>
      <c r="K4108" s="100"/>
      <c r="M4108" s="100"/>
      <c r="N4108" s="100"/>
      <c r="O4108" s="100"/>
      <c r="P4108" s="100"/>
    </row>
    <row r="4109">
      <c r="A4109" s="107">
        <v>1628368.0</v>
      </c>
      <c r="B4109" s="108" t="s">
        <v>245</v>
      </c>
      <c r="C4109" s="108" t="s">
        <v>996</v>
      </c>
      <c r="D4109" s="112" t="s">
        <v>184</v>
      </c>
      <c r="E4109" s="112">
        <v>2656.6</v>
      </c>
      <c r="F4109" s="111" t="str">
        <f>DataPull!D4109</f>
        <v/>
      </c>
      <c r="G4109" s="94" t="str">
        <f t="shared" si="2"/>
        <v/>
      </c>
      <c r="H4109" s="94" t="str">
        <f t="shared" si="3"/>
        <v/>
      </c>
      <c r="I4109" s="94" t="str">
        <f t="shared" ref="I4109:J4109" si="4110">if(G4109 = "", , -G4109)</f>
        <v/>
      </c>
      <c r="J4109" s="94" t="str">
        <f t="shared" si="4110"/>
        <v/>
      </c>
      <c r="K4109" s="100"/>
      <c r="M4109" s="100"/>
      <c r="N4109" s="100"/>
      <c r="O4109" s="100"/>
      <c r="P4109" s="100"/>
    </row>
    <row r="4110">
      <c r="A4110" s="107">
        <v>1628368.0</v>
      </c>
      <c r="B4110" s="108" t="s">
        <v>246</v>
      </c>
      <c r="C4110" s="108" t="s">
        <v>996</v>
      </c>
      <c r="D4110" s="112" t="s">
        <v>184</v>
      </c>
      <c r="E4110" s="112">
        <v>2238.2</v>
      </c>
      <c r="F4110" s="111" t="str">
        <f>DataPull!D4110</f>
        <v/>
      </c>
      <c r="G4110" s="94" t="str">
        <f t="shared" si="2"/>
        <v/>
      </c>
      <c r="H4110" s="94" t="str">
        <f t="shared" si="3"/>
        <v/>
      </c>
      <c r="I4110" s="94" t="str">
        <f t="shared" ref="I4110:J4110" si="4111">if(G4110 = "", , -G4110)</f>
        <v/>
      </c>
      <c r="J4110" s="94" t="str">
        <f t="shared" si="4111"/>
        <v/>
      </c>
      <c r="K4110" s="100"/>
      <c r="M4110" s="100"/>
      <c r="N4110" s="100"/>
      <c r="O4110" s="100"/>
      <c r="P4110" s="100"/>
    </row>
    <row r="4111">
      <c r="A4111" s="89">
        <v>1628368.0</v>
      </c>
      <c r="B4111" s="113" t="s">
        <v>247</v>
      </c>
      <c r="C4111" s="108" t="s">
        <v>996</v>
      </c>
      <c r="D4111" s="112" t="s">
        <v>184</v>
      </c>
      <c r="E4111" s="112">
        <v>2232.0</v>
      </c>
      <c r="F4111" s="111" t="str">
        <f>DataPull!D4111</f>
        <v/>
      </c>
      <c r="G4111" s="94" t="str">
        <f t="shared" si="2"/>
        <v/>
      </c>
      <c r="H4111" s="94" t="str">
        <f t="shared" si="3"/>
        <v/>
      </c>
      <c r="I4111" s="94" t="str">
        <f t="shared" ref="I4111:J4111" si="4112">if(G4111 = "", , -G4111)</f>
        <v/>
      </c>
      <c r="J4111" s="94" t="str">
        <f t="shared" si="4112"/>
        <v/>
      </c>
      <c r="K4111" s="100"/>
      <c r="M4111" s="100"/>
      <c r="N4111" s="100"/>
      <c r="O4111" s="100"/>
      <c r="P4111" s="100"/>
    </row>
    <row r="4112">
      <c r="A4112" s="107">
        <v>1628369.0</v>
      </c>
      <c r="B4112" s="108" t="s">
        <v>191</v>
      </c>
      <c r="C4112" s="108" t="s">
        <v>997</v>
      </c>
      <c r="D4112" s="112" t="s">
        <v>178</v>
      </c>
      <c r="E4112" s="112">
        <v>2440.0</v>
      </c>
      <c r="F4112" s="111" t="str">
        <f>DataPull!D4112</f>
        <v/>
      </c>
      <c r="G4112" s="94" t="str">
        <f t="shared" si="2"/>
        <v/>
      </c>
      <c r="H4112" s="94" t="str">
        <f t="shared" si="3"/>
        <v/>
      </c>
      <c r="I4112" s="94" t="str">
        <f t="shared" ref="I4112:J4112" si="4113">if(G4112 = "", , -G4112)</f>
        <v/>
      </c>
      <c r="J4112" s="94" t="str">
        <f t="shared" si="4113"/>
        <v/>
      </c>
      <c r="K4112" s="100"/>
      <c r="M4112" s="100"/>
      <c r="N4112" s="100"/>
      <c r="O4112" s="100"/>
      <c r="P4112" s="100"/>
    </row>
    <row r="4113">
      <c r="A4113" s="107">
        <v>1628369.0</v>
      </c>
      <c r="B4113" s="108" t="s">
        <v>192</v>
      </c>
      <c r="C4113" s="108" t="s">
        <v>997</v>
      </c>
      <c r="D4113" s="112" t="s">
        <v>184</v>
      </c>
      <c r="E4113" s="112">
        <v>2456.9</v>
      </c>
      <c r="F4113" s="111" t="str">
        <f>DataPull!D4113</f>
        <v/>
      </c>
      <c r="G4113" s="94" t="str">
        <f t="shared" si="2"/>
        <v/>
      </c>
      <c r="H4113" s="94" t="str">
        <f t="shared" si="3"/>
        <v/>
      </c>
      <c r="I4113" s="94" t="str">
        <f t="shared" ref="I4113:J4113" si="4114">if(G4113 = "", , -G4113)</f>
        <v/>
      </c>
      <c r="J4113" s="94" t="str">
        <f t="shared" si="4114"/>
        <v/>
      </c>
      <c r="K4113" s="100"/>
      <c r="M4113" s="100"/>
      <c r="N4113" s="100"/>
      <c r="O4113" s="100"/>
      <c r="P4113" s="100"/>
    </row>
    <row r="4114">
      <c r="A4114" s="107">
        <v>1628369.0</v>
      </c>
      <c r="B4114" s="108" t="s">
        <v>193</v>
      </c>
      <c r="C4114" s="108" t="s">
        <v>997</v>
      </c>
      <c r="D4114" s="112" t="s">
        <v>184</v>
      </c>
      <c r="E4114" s="112">
        <v>2263.8</v>
      </c>
      <c r="F4114" s="111" t="str">
        <f>DataPull!D4114</f>
        <v/>
      </c>
      <c r="G4114" s="94" t="str">
        <f t="shared" si="2"/>
        <v/>
      </c>
      <c r="H4114" s="94" t="str">
        <f t="shared" si="3"/>
        <v/>
      </c>
      <c r="I4114" s="94" t="str">
        <f t="shared" ref="I4114:J4114" si="4115">if(G4114 = "", , -G4114)</f>
        <v/>
      </c>
      <c r="J4114" s="94" t="str">
        <f t="shared" si="4115"/>
        <v/>
      </c>
      <c r="K4114" s="100"/>
      <c r="L4114" s="100"/>
      <c r="M4114" s="100"/>
      <c r="N4114" s="100"/>
      <c r="O4114" s="100"/>
      <c r="P4114" s="100"/>
    </row>
    <row r="4115">
      <c r="A4115" s="107">
        <v>1628369.0</v>
      </c>
      <c r="B4115" s="108" t="s">
        <v>243</v>
      </c>
      <c r="C4115" s="108" t="s">
        <v>997</v>
      </c>
      <c r="D4115" s="112" t="s">
        <v>184</v>
      </c>
      <c r="E4115" s="112">
        <v>2291.2</v>
      </c>
      <c r="F4115" s="111" t="str">
        <f>DataPull!D4115</f>
        <v/>
      </c>
      <c r="G4115" s="94" t="str">
        <f t="shared" si="2"/>
        <v/>
      </c>
      <c r="H4115" s="94" t="str">
        <f t="shared" si="3"/>
        <v/>
      </c>
      <c r="I4115" s="94" t="str">
        <f t="shared" ref="I4115:J4115" si="4116">if(G4115 = "", , -G4115)</f>
        <v/>
      </c>
      <c r="J4115" s="94" t="str">
        <f t="shared" si="4116"/>
        <v/>
      </c>
      <c r="K4115" s="100"/>
      <c r="M4115" s="100"/>
      <c r="N4115" s="100"/>
      <c r="O4115" s="100"/>
      <c r="P4115" s="100"/>
    </row>
    <row r="4116">
      <c r="A4116" s="107">
        <v>1628369.0</v>
      </c>
      <c r="B4116" s="108" t="s">
        <v>215</v>
      </c>
      <c r="C4116" s="108" t="s">
        <v>997</v>
      </c>
      <c r="D4116" s="112" t="s">
        <v>184</v>
      </c>
      <c r="E4116" s="112">
        <v>2728.4</v>
      </c>
      <c r="F4116" s="111" t="str">
        <f>DataPull!D4116</f>
        <v/>
      </c>
      <c r="G4116" s="94" t="str">
        <f t="shared" si="2"/>
        <v/>
      </c>
      <c r="H4116" s="94" t="str">
        <f t="shared" si="3"/>
        <v/>
      </c>
      <c r="I4116" s="94" t="str">
        <f t="shared" ref="I4116:J4116" si="4117">if(G4116 = "", , -G4116)</f>
        <v/>
      </c>
      <c r="J4116" s="94" t="str">
        <f t="shared" si="4117"/>
        <v/>
      </c>
      <c r="K4116" s="100"/>
      <c r="M4116" s="100"/>
      <c r="N4116" s="100"/>
      <c r="O4116" s="100"/>
      <c r="P4116" s="100"/>
    </row>
    <row r="4117">
      <c r="A4117" s="107">
        <v>1628369.0</v>
      </c>
      <c r="B4117" s="108" t="s">
        <v>244</v>
      </c>
      <c r="C4117" s="108" t="s">
        <v>997</v>
      </c>
      <c r="D4117" s="112" t="s">
        <v>184</v>
      </c>
      <c r="E4117" s="112">
        <v>2730.6</v>
      </c>
      <c r="F4117" s="111" t="str">
        <f>DataPull!D4117</f>
        <v/>
      </c>
      <c r="G4117" s="94" t="str">
        <f t="shared" si="2"/>
        <v/>
      </c>
      <c r="H4117" s="94" t="str">
        <f t="shared" si="3"/>
        <v/>
      </c>
      <c r="I4117" s="94" t="str">
        <f t="shared" ref="I4117:J4117" si="4118">if(G4117 = "", , -G4117)</f>
        <v/>
      </c>
      <c r="J4117" s="94" t="str">
        <f t="shared" si="4118"/>
        <v/>
      </c>
      <c r="K4117" s="100"/>
      <c r="M4117" s="100"/>
      <c r="N4117" s="100"/>
      <c r="O4117" s="100"/>
      <c r="P4117" s="100"/>
    </row>
    <row r="4118">
      <c r="A4118" s="107">
        <v>1628369.0</v>
      </c>
      <c r="B4118" s="108" t="s">
        <v>245</v>
      </c>
      <c r="C4118" s="108" t="s">
        <v>997</v>
      </c>
      <c r="D4118" s="112" t="s">
        <v>184</v>
      </c>
      <c r="E4118" s="112">
        <v>2641.8</v>
      </c>
      <c r="F4118" s="111" t="str">
        <f>DataPull!D4118</f>
        <v/>
      </c>
      <c r="G4118" s="94" t="str">
        <f t="shared" si="2"/>
        <v/>
      </c>
      <c r="H4118" s="94" t="str">
        <f t="shared" si="3"/>
        <v/>
      </c>
      <c r="I4118" s="94" t="str">
        <f t="shared" ref="I4118:J4118" si="4119">if(G4118 = "", , -G4118)</f>
        <v/>
      </c>
      <c r="J4118" s="94" t="str">
        <f t="shared" si="4119"/>
        <v/>
      </c>
      <c r="K4118" s="100"/>
      <c r="M4118" s="100"/>
      <c r="N4118" s="100"/>
      <c r="O4118" s="100"/>
      <c r="P4118" s="100"/>
    </row>
    <row r="4119">
      <c r="A4119" s="107">
        <v>1628369.0</v>
      </c>
      <c r="B4119" s="108" t="s">
        <v>246</v>
      </c>
      <c r="C4119" s="108" t="s">
        <v>997</v>
      </c>
      <c r="D4119" s="112" t="s">
        <v>184</v>
      </c>
      <c r="E4119" s="112">
        <v>2620.8</v>
      </c>
      <c r="F4119" s="111" t="str">
        <f>DataPull!D4119</f>
        <v/>
      </c>
      <c r="G4119" s="94" t="str">
        <f t="shared" si="2"/>
        <v/>
      </c>
      <c r="H4119" s="94" t="str">
        <f t="shared" si="3"/>
        <v/>
      </c>
      <c r="I4119" s="94" t="str">
        <f t="shared" ref="I4119:J4119" si="4120">if(G4119 = "", , -G4119)</f>
        <v/>
      </c>
      <c r="J4119" s="94" t="str">
        <f t="shared" si="4120"/>
        <v/>
      </c>
      <c r="K4119" s="100"/>
      <c r="N4119" s="100"/>
      <c r="O4119" s="100"/>
      <c r="P4119" s="100"/>
    </row>
    <row r="4120">
      <c r="A4120" s="107">
        <v>1628370.0</v>
      </c>
      <c r="B4120" s="108" t="s">
        <v>191</v>
      </c>
      <c r="C4120" s="108" t="s">
        <v>998</v>
      </c>
      <c r="D4120" s="112" t="s">
        <v>177</v>
      </c>
      <c r="E4120" s="112">
        <v>850.5</v>
      </c>
      <c r="F4120" s="111" t="str">
        <f>DataPull!D4120</f>
        <v/>
      </c>
      <c r="G4120" s="94" t="str">
        <f t="shared" si="2"/>
        <v/>
      </c>
      <c r="H4120" s="94" t="str">
        <f t="shared" si="3"/>
        <v/>
      </c>
      <c r="I4120" s="94" t="str">
        <f t="shared" ref="I4120:J4120" si="4121">if(G4120 = "", , -G4120)</f>
        <v/>
      </c>
      <c r="J4120" s="94" t="str">
        <f t="shared" si="4121"/>
        <v/>
      </c>
      <c r="K4120" s="100"/>
      <c r="L4120" s="100"/>
      <c r="N4120" s="100"/>
      <c r="O4120" s="100"/>
      <c r="P4120" s="100"/>
    </row>
    <row r="4121">
      <c r="A4121" s="107">
        <v>1628370.0</v>
      </c>
      <c r="B4121" s="108" t="s">
        <v>192</v>
      </c>
      <c r="C4121" s="108" t="s">
        <v>998</v>
      </c>
      <c r="D4121" s="112" t="s">
        <v>177</v>
      </c>
      <c r="E4121" s="112">
        <v>1255.6</v>
      </c>
      <c r="F4121" s="111" t="str">
        <f>DataPull!D4121</f>
        <v/>
      </c>
      <c r="G4121" s="94" t="str">
        <f t="shared" si="2"/>
        <v/>
      </c>
      <c r="H4121" s="94" t="str">
        <f t="shared" si="3"/>
        <v/>
      </c>
      <c r="I4121" s="94" t="str">
        <f t="shared" ref="I4121:J4121" si="4122">if(G4121 = "", , -G4121)</f>
        <v/>
      </c>
      <c r="J4121" s="94" t="str">
        <f t="shared" si="4122"/>
        <v/>
      </c>
      <c r="K4121" s="100"/>
      <c r="M4121" s="100"/>
      <c r="N4121" s="100"/>
      <c r="O4121" s="100"/>
      <c r="P4121" s="100"/>
    </row>
    <row r="4122">
      <c r="A4122" s="107">
        <v>1628370.0</v>
      </c>
      <c r="B4122" s="108" t="s">
        <v>193</v>
      </c>
      <c r="C4122" s="108" t="s">
        <v>998</v>
      </c>
      <c r="D4122" s="112" t="s">
        <v>176</v>
      </c>
      <c r="E4122" s="112">
        <v>1171.5</v>
      </c>
      <c r="F4122" s="111" t="str">
        <f>DataPull!D4122</f>
        <v/>
      </c>
      <c r="G4122" s="94" t="str">
        <f t="shared" si="2"/>
        <v/>
      </c>
      <c r="H4122" s="94" t="str">
        <f t="shared" si="3"/>
        <v/>
      </c>
      <c r="I4122" s="94" t="str">
        <f t="shared" ref="I4122:J4122" si="4123">if(G4122 = "", , -G4122)</f>
        <v/>
      </c>
      <c r="J4122" s="94" t="str">
        <f t="shared" si="4123"/>
        <v/>
      </c>
      <c r="K4122" s="100"/>
      <c r="N4122" s="100"/>
      <c r="O4122" s="100"/>
      <c r="P4122" s="100"/>
    </row>
    <row r="4123">
      <c r="A4123" s="107">
        <v>1628370.0</v>
      </c>
      <c r="B4123" s="108" t="s">
        <v>243</v>
      </c>
      <c r="C4123" s="108" t="s">
        <v>998</v>
      </c>
      <c r="D4123" s="112" t="s">
        <v>177</v>
      </c>
      <c r="E4123" s="112">
        <v>877.8</v>
      </c>
      <c r="F4123" s="111" t="str">
        <f>DataPull!D4123</f>
        <v/>
      </c>
      <c r="G4123" s="94" t="str">
        <f t="shared" si="2"/>
        <v/>
      </c>
      <c r="H4123" s="94" t="str">
        <f t="shared" si="3"/>
        <v/>
      </c>
      <c r="I4123" s="94" t="str">
        <f t="shared" ref="I4123:J4123" si="4124">if(G4123 = "", , -G4123)</f>
        <v/>
      </c>
      <c r="J4123" s="94" t="str">
        <f t="shared" si="4124"/>
        <v/>
      </c>
      <c r="K4123" s="100"/>
      <c r="M4123" s="100"/>
      <c r="N4123" s="100"/>
      <c r="O4123" s="100"/>
      <c r="P4123" s="100"/>
    </row>
    <row r="4124">
      <c r="A4124" s="107">
        <v>1628370.0</v>
      </c>
      <c r="B4124" s="108" t="s">
        <v>215</v>
      </c>
      <c r="C4124" s="108" t="s">
        <v>998</v>
      </c>
      <c r="D4124" s="112" t="s">
        <v>178</v>
      </c>
      <c r="E4124" s="112">
        <v>2135.6</v>
      </c>
      <c r="F4124" s="111" t="str">
        <f>DataPull!D4124</f>
        <v/>
      </c>
      <c r="G4124" s="94" t="str">
        <f t="shared" si="2"/>
        <v/>
      </c>
      <c r="H4124" s="94" t="str">
        <f t="shared" si="3"/>
        <v/>
      </c>
      <c r="I4124" s="94" t="str">
        <f t="shared" ref="I4124:J4124" si="4125">if(G4124 = "", , -G4124)</f>
        <v/>
      </c>
      <c r="J4124" s="94" t="str">
        <f t="shared" si="4125"/>
        <v/>
      </c>
      <c r="K4124" s="100"/>
      <c r="M4124" s="100"/>
      <c r="N4124" s="100"/>
      <c r="O4124" s="100"/>
      <c r="P4124" s="100"/>
    </row>
    <row r="4125">
      <c r="A4125" s="107">
        <v>1628370.0</v>
      </c>
      <c r="B4125" s="108" t="s">
        <v>244</v>
      </c>
      <c r="C4125" s="108" t="s">
        <v>998</v>
      </c>
      <c r="D4125" s="112" t="s">
        <v>176</v>
      </c>
      <c r="E4125" s="112">
        <v>1717.1</v>
      </c>
      <c r="F4125" s="111" t="str">
        <f>DataPull!D4125</f>
        <v/>
      </c>
      <c r="G4125" s="94" t="str">
        <f t="shared" si="2"/>
        <v/>
      </c>
      <c r="H4125" s="94" t="str">
        <f t="shared" si="3"/>
        <v/>
      </c>
      <c r="I4125" s="94" t="str">
        <f t="shared" ref="I4125:J4125" si="4126">if(G4125 = "", , -G4125)</f>
        <v/>
      </c>
      <c r="J4125" s="94" t="str">
        <f t="shared" si="4126"/>
        <v/>
      </c>
      <c r="K4125" s="100"/>
      <c r="M4125" s="100"/>
      <c r="N4125" s="100"/>
      <c r="O4125" s="100"/>
      <c r="P4125" s="100"/>
    </row>
    <row r="4126">
      <c r="A4126" s="107">
        <v>1628370.0</v>
      </c>
      <c r="B4126" s="108" t="s">
        <v>245</v>
      </c>
      <c r="C4126" s="108" t="s">
        <v>998</v>
      </c>
      <c r="D4126" s="112" t="s">
        <v>178</v>
      </c>
      <c r="E4126" s="112">
        <v>1872.0</v>
      </c>
      <c r="F4126" s="111" t="str">
        <f>DataPull!D4126</f>
        <v/>
      </c>
      <c r="G4126" s="94" t="str">
        <f t="shared" si="2"/>
        <v/>
      </c>
      <c r="H4126" s="94" t="str">
        <f t="shared" si="3"/>
        <v/>
      </c>
      <c r="I4126" s="94" t="str">
        <f t="shared" ref="I4126:J4126" si="4127">if(G4126 = "", , -G4126)</f>
        <v/>
      </c>
      <c r="J4126" s="94" t="str">
        <f t="shared" si="4127"/>
        <v/>
      </c>
      <c r="K4126" s="100"/>
      <c r="M4126" s="100"/>
      <c r="N4126" s="100"/>
      <c r="O4126" s="100"/>
      <c r="P4126" s="100"/>
    </row>
    <row r="4127">
      <c r="A4127" s="107">
        <v>1628370.0</v>
      </c>
      <c r="B4127" s="108" t="s">
        <v>246</v>
      </c>
      <c r="C4127" s="108" t="s">
        <v>998</v>
      </c>
      <c r="D4127" s="112" t="s">
        <v>176</v>
      </c>
      <c r="E4127" s="112">
        <v>2054.0</v>
      </c>
      <c r="F4127" s="111" t="str">
        <f>DataPull!D4127</f>
        <v/>
      </c>
      <c r="G4127" s="94" t="str">
        <f t="shared" si="2"/>
        <v/>
      </c>
      <c r="H4127" s="94" t="str">
        <f t="shared" si="3"/>
        <v/>
      </c>
      <c r="I4127" s="94" t="str">
        <f t="shared" ref="I4127:J4127" si="4128">if(G4127 = "", , -G4127)</f>
        <v/>
      </c>
      <c r="J4127" s="94" t="str">
        <f t="shared" si="4128"/>
        <v/>
      </c>
      <c r="K4127" s="100"/>
      <c r="L4127" s="100"/>
      <c r="M4127" s="100"/>
      <c r="N4127" s="100"/>
      <c r="O4127" s="100"/>
      <c r="P4127" s="100"/>
    </row>
    <row r="4128">
      <c r="A4128" s="114">
        <v>1628370.0</v>
      </c>
      <c r="B4128" s="113" t="s">
        <v>247</v>
      </c>
      <c r="C4128" s="113" t="s">
        <v>998</v>
      </c>
      <c r="D4128" s="112" t="s">
        <v>176</v>
      </c>
      <c r="E4128" s="112">
        <v>1364.0</v>
      </c>
      <c r="F4128" s="111" t="str">
        <f>DataPull!D4128</f>
        <v/>
      </c>
      <c r="G4128" s="94" t="str">
        <f t="shared" si="2"/>
        <v/>
      </c>
      <c r="H4128" s="94" t="str">
        <f t="shared" si="3"/>
        <v/>
      </c>
      <c r="I4128" s="94" t="str">
        <f t="shared" ref="I4128:J4128" si="4129">if(G4128 = "", , -G4128)</f>
        <v/>
      </c>
      <c r="J4128" s="94" t="str">
        <f t="shared" si="4129"/>
        <v/>
      </c>
      <c r="K4128" s="100"/>
      <c r="M4128" s="100"/>
      <c r="N4128" s="100"/>
      <c r="O4128" s="100"/>
      <c r="P4128" s="100"/>
    </row>
    <row r="4129">
      <c r="A4129" s="107">
        <v>1628371.0</v>
      </c>
      <c r="B4129" s="108" t="s">
        <v>191</v>
      </c>
      <c r="C4129" s="108" t="s">
        <v>999</v>
      </c>
      <c r="D4129" s="112" t="s">
        <v>176</v>
      </c>
      <c r="E4129" s="112">
        <v>534.6</v>
      </c>
      <c r="F4129" s="111" t="str">
        <f>DataPull!D4129</f>
        <v/>
      </c>
      <c r="G4129" s="94" t="str">
        <f t="shared" si="2"/>
        <v/>
      </c>
      <c r="H4129" s="94" t="str">
        <f t="shared" si="3"/>
        <v/>
      </c>
      <c r="I4129" s="94" t="str">
        <f t="shared" ref="I4129:J4129" si="4130">if(G4129 = "", , -G4129)</f>
        <v/>
      </c>
      <c r="J4129" s="94" t="str">
        <f t="shared" si="4130"/>
        <v/>
      </c>
      <c r="K4129" s="100"/>
      <c r="M4129" s="100"/>
      <c r="N4129" s="100"/>
      <c r="O4129" s="100"/>
      <c r="P4129" s="100"/>
    </row>
    <row r="4130">
      <c r="A4130" s="107">
        <v>1628371.0</v>
      </c>
      <c r="B4130" s="108" t="s">
        <v>192</v>
      </c>
      <c r="C4130" s="108" t="s">
        <v>999</v>
      </c>
      <c r="D4130" s="112" t="s">
        <v>178</v>
      </c>
      <c r="E4130" s="112">
        <v>1995.0</v>
      </c>
      <c r="F4130" s="111" t="str">
        <f>DataPull!D4130</f>
        <v/>
      </c>
      <c r="G4130" s="94" t="str">
        <f t="shared" si="2"/>
        <v/>
      </c>
      <c r="H4130" s="94" t="str">
        <f t="shared" si="3"/>
        <v/>
      </c>
      <c r="I4130" s="94" t="str">
        <f t="shared" ref="I4130:J4130" si="4131">if(G4130 = "", , -G4130)</f>
        <v/>
      </c>
      <c r="J4130" s="94" t="str">
        <f t="shared" si="4131"/>
        <v/>
      </c>
      <c r="K4130" s="100"/>
      <c r="M4130" s="100"/>
      <c r="N4130" s="100"/>
      <c r="O4130" s="100"/>
      <c r="P4130" s="100"/>
    </row>
    <row r="4131">
      <c r="A4131" s="107">
        <v>1628371.0</v>
      </c>
      <c r="B4131" s="108" t="s">
        <v>193</v>
      </c>
      <c r="C4131" s="108" t="s">
        <v>999</v>
      </c>
      <c r="D4131" s="112" t="s">
        <v>184</v>
      </c>
      <c r="E4131" s="112">
        <v>979.2</v>
      </c>
      <c r="F4131" s="111" t="str">
        <f>DataPull!D4131</f>
        <v/>
      </c>
      <c r="G4131" s="94" t="str">
        <f t="shared" si="2"/>
        <v/>
      </c>
      <c r="H4131" s="94" t="str">
        <f t="shared" si="3"/>
        <v/>
      </c>
      <c r="I4131" s="94" t="str">
        <f t="shared" ref="I4131:J4131" si="4132">if(G4131 = "", , -G4131)</f>
        <v/>
      </c>
      <c r="J4131" s="94" t="str">
        <f t="shared" si="4132"/>
        <v/>
      </c>
      <c r="K4131" s="100"/>
      <c r="M4131" s="100"/>
      <c r="N4131" s="100"/>
      <c r="O4131" s="100"/>
      <c r="P4131" s="100"/>
    </row>
    <row r="4132">
      <c r="A4132" s="107">
        <v>1628371.0</v>
      </c>
      <c r="B4132" s="108" t="s">
        <v>244</v>
      </c>
      <c r="C4132" s="108" t="s">
        <v>999</v>
      </c>
      <c r="D4132" s="112" t="s">
        <v>187</v>
      </c>
      <c r="E4132" s="112">
        <v>124.3</v>
      </c>
      <c r="F4132" s="111" t="str">
        <f>DataPull!D4132</f>
        <v/>
      </c>
      <c r="G4132" s="94" t="str">
        <f t="shared" si="2"/>
        <v/>
      </c>
      <c r="H4132" s="94" t="str">
        <f t="shared" si="3"/>
        <v/>
      </c>
      <c r="I4132" s="94" t="str">
        <f t="shared" ref="I4132:J4132" si="4133">if(G4132 = "", , -G4132)</f>
        <v/>
      </c>
      <c r="J4132" s="94" t="str">
        <f t="shared" si="4133"/>
        <v/>
      </c>
      <c r="K4132" s="100"/>
      <c r="M4132" s="100"/>
      <c r="N4132" s="100"/>
      <c r="O4132" s="100"/>
      <c r="P4132" s="100"/>
    </row>
    <row r="4133">
      <c r="A4133" s="107">
        <v>1628371.0</v>
      </c>
      <c r="B4133" s="108" t="s">
        <v>245</v>
      </c>
      <c r="C4133" s="108" t="s">
        <v>999</v>
      </c>
      <c r="D4133" s="112" t="s">
        <v>177</v>
      </c>
      <c r="E4133" s="112">
        <v>916.4</v>
      </c>
      <c r="F4133" s="111" t="str">
        <f>DataPull!D4133</f>
        <v/>
      </c>
      <c r="G4133" s="94" t="str">
        <f t="shared" si="2"/>
        <v/>
      </c>
      <c r="H4133" s="94" t="str">
        <f t="shared" si="3"/>
        <v/>
      </c>
      <c r="I4133" s="94" t="str">
        <f t="shared" ref="I4133:J4133" si="4134">if(G4133 = "", , -G4133)</f>
        <v/>
      </c>
      <c r="J4133" s="94" t="str">
        <f t="shared" si="4134"/>
        <v/>
      </c>
      <c r="K4133" s="100"/>
      <c r="M4133" s="100"/>
      <c r="N4133" s="100"/>
      <c r="O4133" s="100"/>
      <c r="P4133" s="100"/>
    </row>
    <row r="4134">
      <c r="A4134" s="107">
        <v>1628371.0</v>
      </c>
      <c r="B4134" s="108" t="s">
        <v>246</v>
      </c>
      <c r="C4134" s="108" t="s">
        <v>999</v>
      </c>
      <c r="D4134" s="112" t="s">
        <v>177</v>
      </c>
      <c r="E4134" s="112">
        <v>1093.4</v>
      </c>
      <c r="F4134" s="111" t="str">
        <f>DataPull!D4134</f>
        <v/>
      </c>
      <c r="G4134" s="94" t="str">
        <f t="shared" si="2"/>
        <v/>
      </c>
      <c r="H4134" s="94" t="str">
        <f t="shared" si="3"/>
        <v/>
      </c>
      <c r="I4134" s="94" t="str">
        <f t="shared" ref="I4134:J4134" si="4135">if(G4134 = "", , -G4134)</f>
        <v/>
      </c>
      <c r="J4134" s="94" t="str">
        <f t="shared" si="4135"/>
        <v/>
      </c>
      <c r="K4134" s="100"/>
      <c r="M4134" s="100"/>
      <c r="N4134" s="100"/>
      <c r="P4134" s="100"/>
    </row>
    <row r="4135">
      <c r="A4135" s="114">
        <v>1628371.0</v>
      </c>
      <c r="B4135" s="113" t="s">
        <v>247</v>
      </c>
      <c r="C4135" s="113" t="s">
        <v>999</v>
      </c>
      <c r="D4135" s="112" t="s">
        <v>187</v>
      </c>
      <c r="E4135" s="112">
        <v>520.0</v>
      </c>
      <c r="F4135" s="111" t="str">
        <f>DataPull!D4135</f>
        <v/>
      </c>
      <c r="G4135" s="94" t="str">
        <f t="shared" si="2"/>
        <v/>
      </c>
      <c r="H4135" s="94" t="str">
        <f t="shared" si="3"/>
        <v/>
      </c>
      <c r="I4135" s="94" t="str">
        <f t="shared" ref="I4135:J4135" si="4136">if(G4135 = "", , -G4135)</f>
        <v/>
      </c>
      <c r="J4135" s="94" t="str">
        <f t="shared" si="4136"/>
        <v/>
      </c>
      <c r="K4135" s="100"/>
      <c r="M4135" s="100"/>
      <c r="N4135" s="100"/>
      <c r="O4135" s="100"/>
      <c r="P4135" s="100"/>
    </row>
    <row r="4136">
      <c r="A4136" s="107">
        <v>1628372.0</v>
      </c>
      <c r="B4136" s="108" t="s">
        <v>191</v>
      </c>
      <c r="C4136" s="108" t="s">
        <v>1000</v>
      </c>
      <c r="D4136" s="112" t="s">
        <v>178</v>
      </c>
      <c r="E4136" s="112">
        <v>2049.3</v>
      </c>
      <c r="F4136" s="111" t="str">
        <f>DataPull!D4136</f>
        <v/>
      </c>
      <c r="G4136" s="94" t="str">
        <f t="shared" si="2"/>
        <v/>
      </c>
      <c r="H4136" s="94" t="str">
        <f t="shared" si="3"/>
        <v/>
      </c>
      <c r="I4136" s="94" t="str">
        <f t="shared" ref="I4136:J4136" si="4137">if(G4136 = "", , -G4136)</f>
        <v/>
      </c>
      <c r="J4136" s="94" t="str">
        <f t="shared" si="4137"/>
        <v/>
      </c>
      <c r="K4136" s="100"/>
      <c r="M4136" s="100"/>
      <c r="N4136" s="100"/>
      <c r="O4136" s="100"/>
      <c r="P4136" s="100"/>
    </row>
    <row r="4137">
      <c r="A4137" s="107">
        <v>1628372.0</v>
      </c>
      <c r="B4137" s="108" t="s">
        <v>192</v>
      </c>
      <c r="C4137" s="108" t="s">
        <v>1000</v>
      </c>
      <c r="D4137" s="112" t="s">
        <v>176</v>
      </c>
      <c r="E4137" s="112">
        <v>1510.5</v>
      </c>
      <c r="F4137" s="111" t="str">
        <f>DataPull!D4137</f>
        <v/>
      </c>
      <c r="G4137" s="94" t="str">
        <f t="shared" si="2"/>
        <v/>
      </c>
      <c r="H4137" s="94" t="str">
        <f t="shared" si="3"/>
        <v/>
      </c>
      <c r="I4137" s="94" t="str">
        <f t="shared" ref="I4137:J4137" si="4138">if(G4137 = "", , -G4137)</f>
        <v/>
      </c>
      <c r="J4137" s="94" t="str">
        <f t="shared" si="4138"/>
        <v/>
      </c>
      <c r="K4137" s="100"/>
      <c r="M4137" s="100"/>
      <c r="N4137" s="100"/>
      <c r="O4137" s="100"/>
      <c r="P4137" s="100"/>
    </row>
    <row r="4138">
      <c r="A4138" s="107">
        <v>1628372.0</v>
      </c>
      <c r="B4138" s="108" t="s">
        <v>193</v>
      </c>
      <c r="C4138" s="108" t="s">
        <v>1000</v>
      </c>
      <c r="D4138" s="112" t="s">
        <v>177</v>
      </c>
      <c r="E4138" s="112">
        <v>537.2</v>
      </c>
      <c r="F4138" s="111" t="str">
        <f>DataPull!D4138</f>
        <v/>
      </c>
      <c r="G4138" s="94" t="str">
        <f t="shared" si="2"/>
        <v/>
      </c>
      <c r="H4138" s="94" t="str">
        <f t="shared" si="3"/>
        <v/>
      </c>
      <c r="I4138" s="94" t="str">
        <f t="shared" ref="I4138:J4138" si="4139">if(G4138 = "", , -G4138)</f>
        <v/>
      </c>
      <c r="J4138" s="94" t="str">
        <f t="shared" si="4139"/>
        <v/>
      </c>
      <c r="K4138" s="100"/>
      <c r="N4138" s="100"/>
      <c r="O4138" s="100"/>
      <c r="P4138" s="100"/>
    </row>
    <row r="4139">
      <c r="A4139" s="107">
        <v>1628372.0</v>
      </c>
      <c r="B4139" s="108" t="s">
        <v>243</v>
      </c>
      <c r="C4139" s="108" t="s">
        <v>1000</v>
      </c>
      <c r="D4139" s="112" t="s">
        <v>177</v>
      </c>
      <c r="E4139" s="112">
        <v>420.9</v>
      </c>
      <c r="F4139" s="111" t="str">
        <f>DataPull!D4139</f>
        <v/>
      </c>
      <c r="G4139" s="94" t="str">
        <f t="shared" si="2"/>
        <v/>
      </c>
      <c r="H4139" s="94" t="str">
        <f t="shared" si="3"/>
        <v/>
      </c>
      <c r="I4139" s="94" t="str">
        <f t="shared" ref="I4139:J4139" si="4140">if(G4139 = "", , -G4139)</f>
        <v/>
      </c>
      <c r="J4139" s="94" t="str">
        <f t="shared" si="4140"/>
        <v/>
      </c>
      <c r="K4139" s="100"/>
      <c r="M4139" s="100"/>
      <c r="N4139" s="100"/>
      <c r="O4139" s="100"/>
      <c r="P4139" s="100"/>
    </row>
    <row r="4140">
      <c r="A4140" s="107">
        <v>1628372.0</v>
      </c>
      <c r="B4140" s="108" t="s">
        <v>215</v>
      </c>
      <c r="C4140" s="108" t="s">
        <v>1000</v>
      </c>
      <c r="D4140" s="112" t="s">
        <v>177</v>
      </c>
      <c r="E4140" s="112">
        <v>640.1</v>
      </c>
      <c r="F4140" s="111" t="str">
        <f>DataPull!D4140</f>
        <v/>
      </c>
      <c r="G4140" s="94" t="str">
        <f t="shared" si="2"/>
        <v/>
      </c>
      <c r="H4140" s="94" t="str">
        <f t="shared" si="3"/>
        <v/>
      </c>
      <c r="I4140" s="94" t="str">
        <f t="shared" ref="I4140:J4140" si="4141">if(G4140 = "", , -G4140)</f>
        <v/>
      </c>
      <c r="J4140" s="94" t="str">
        <f t="shared" si="4141"/>
        <v/>
      </c>
      <c r="K4140" s="100"/>
      <c r="L4140" s="100"/>
      <c r="N4140" s="100"/>
      <c r="O4140" s="100"/>
      <c r="P4140" s="100"/>
    </row>
    <row r="4141">
      <c r="A4141" s="107">
        <v>1628372.0</v>
      </c>
      <c r="B4141" s="108" t="s">
        <v>244</v>
      </c>
      <c r="C4141" s="108" t="s">
        <v>1000</v>
      </c>
      <c r="D4141" s="112" t="s">
        <v>176</v>
      </c>
      <c r="E4141" s="112">
        <v>1387.8</v>
      </c>
      <c r="F4141" s="111" t="str">
        <f>DataPull!D4141</f>
        <v/>
      </c>
      <c r="G4141" s="94" t="str">
        <f t="shared" si="2"/>
        <v/>
      </c>
      <c r="H4141" s="94" t="str">
        <f t="shared" si="3"/>
        <v/>
      </c>
      <c r="I4141" s="94" t="str">
        <f t="shared" ref="I4141:J4141" si="4142">if(G4141 = "", , -G4141)</f>
        <v/>
      </c>
      <c r="J4141" s="94" t="str">
        <f t="shared" si="4142"/>
        <v/>
      </c>
      <c r="K4141" s="100"/>
      <c r="M4141" s="100"/>
      <c r="N4141" s="100"/>
      <c r="O4141" s="100"/>
      <c r="P4141" s="100"/>
    </row>
    <row r="4142">
      <c r="A4142" s="107">
        <v>1628372.0</v>
      </c>
      <c r="B4142" s="108" t="s">
        <v>245</v>
      </c>
      <c r="C4142" s="108" t="s">
        <v>1000</v>
      </c>
      <c r="D4142" s="112" t="s">
        <v>177</v>
      </c>
      <c r="E4142" s="112">
        <v>1058.4</v>
      </c>
      <c r="F4142" s="111" t="str">
        <f>DataPull!D4142</f>
        <v/>
      </c>
      <c r="G4142" s="94" t="str">
        <f t="shared" si="2"/>
        <v/>
      </c>
      <c r="H4142" s="94" t="str">
        <f t="shared" si="3"/>
        <v/>
      </c>
      <c r="I4142" s="94" t="str">
        <f t="shared" ref="I4142:J4142" si="4143">if(G4142 = "", , -G4142)</f>
        <v/>
      </c>
      <c r="J4142" s="94" t="str">
        <f t="shared" si="4143"/>
        <v/>
      </c>
      <c r="K4142" s="100"/>
      <c r="M4142" s="100"/>
      <c r="N4142" s="100"/>
      <c r="O4142" s="100"/>
      <c r="P4142" s="100"/>
    </row>
    <row r="4143">
      <c r="A4143" s="107">
        <v>1628373.0</v>
      </c>
      <c r="B4143" s="108" t="s">
        <v>191</v>
      </c>
      <c r="C4143" s="108" t="s">
        <v>1001</v>
      </c>
      <c r="D4143" s="112" t="s">
        <v>176</v>
      </c>
      <c r="E4143" s="112">
        <v>1708.2</v>
      </c>
      <c r="F4143" s="111" t="str">
        <f>DataPull!D4143</f>
        <v/>
      </c>
      <c r="G4143" s="94" t="str">
        <f t="shared" si="2"/>
        <v/>
      </c>
      <c r="H4143" s="94" t="str">
        <f t="shared" si="3"/>
        <v/>
      </c>
      <c r="I4143" s="94" t="str">
        <f t="shared" ref="I4143:J4143" si="4144">if(G4143 = "", , -G4143)</f>
        <v/>
      </c>
      <c r="J4143" s="94" t="str">
        <f t="shared" si="4144"/>
        <v/>
      </c>
      <c r="K4143" s="100"/>
      <c r="M4143" s="100"/>
      <c r="N4143" s="100"/>
      <c r="O4143" s="100"/>
      <c r="P4143" s="100"/>
    </row>
    <row r="4144">
      <c r="A4144" s="107">
        <v>1628373.0</v>
      </c>
      <c r="B4144" s="108" t="s">
        <v>192</v>
      </c>
      <c r="C4144" s="108" t="s">
        <v>1001</v>
      </c>
      <c r="D4144" s="112" t="s">
        <v>176</v>
      </c>
      <c r="E4144" s="112">
        <v>903.0</v>
      </c>
      <c r="F4144" s="111" t="str">
        <f>DataPull!D4144</f>
        <v/>
      </c>
      <c r="G4144" s="94" t="str">
        <f t="shared" si="2"/>
        <v/>
      </c>
      <c r="H4144" s="94" t="str">
        <f t="shared" si="3"/>
        <v/>
      </c>
      <c r="I4144" s="94" t="str">
        <f t="shared" ref="I4144:J4144" si="4145">if(G4144 = "", , -G4144)</f>
        <v/>
      </c>
      <c r="J4144" s="94" t="str">
        <f t="shared" si="4145"/>
        <v/>
      </c>
      <c r="K4144" s="100"/>
      <c r="M4144" s="100"/>
      <c r="N4144" s="100"/>
      <c r="O4144" s="100"/>
      <c r="P4144" s="100"/>
    </row>
    <row r="4145">
      <c r="A4145" s="107">
        <v>1628373.0</v>
      </c>
      <c r="B4145" s="108" t="s">
        <v>193</v>
      </c>
      <c r="C4145" s="108" t="s">
        <v>1001</v>
      </c>
      <c r="D4145" s="112" t="s">
        <v>176</v>
      </c>
      <c r="E4145" s="112">
        <v>1185.6</v>
      </c>
      <c r="F4145" s="111" t="str">
        <f>DataPull!D4145</f>
        <v/>
      </c>
      <c r="G4145" s="94" t="str">
        <f t="shared" si="2"/>
        <v/>
      </c>
      <c r="H4145" s="94" t="str">
        <f t="shared" si="3"/>
        <v/>
      </c>
      <c r="I4145" s="94" t="str">
        <f t="shared" ref="I4145:J4145" si="4146">if(G4145 = "", , -G4145)</f>
        <v/>
      </c>
      <c r="J4145" s="94" t="str">
        <f t="shared" si="4146"/>
        <v/>
      </c>
      <c r="K4145" s="100"/>
      <c r="N4145" s="100"/>
      <c r="O4145" s="100"/>
      <c r="P4145" s="100"/>
    </row>
    <row r="4146">
      <c r="A4146" s="107">
        <v>1628373.0</v>
      </c>
      <c r="B4146" s="108" t="s">
        <v>243</v>
      </c>
      <c r="C4146" s="108" t="s">
        <v>1001</v>
      </c>
      <c r="D4146" s="112" t="s">
        <v>187</v>
      </c>
      <c r="E4146" s="112">
        <v>323.4</v>
      </c>
      <c r="F4146" s="111" t="str">
        <f>DataPull!D4146</f>
        <v/>
      </c>
      <c r="G4146" s="94" t="str">
        <f t="shared" si="2"/>
        <v/>
      </c>
      <c r="H4146" s="94" t="str">
        <f t="shared" si="3"/>
        <v/>
      </c>
      <c r="I4146" s="94" t="str">
        <f t="shared" ref="I4146:J4146" si="4147">if(G4146 = "", , -G4146)</f>
        <v/>
      </c>
      <c r="J4146" s="94" t="str">
        <f t="shared" si="4147"/>
        <v/>
      </c>
      <c r="K4146" s="100"/>
      <c r="L4146" s="100"/>
      <c r="M4146" s="100"/>
      <c r="N4146" s="100"/>
      <c r="O4146" s="100"/>
      <c r="P4146" s="100"/>
    </row>
    <row r="4147">
      <c r="A4147" s="107">
        <v>1628373.0</v>
      </c>
      <c r="B4147" s="108" t="s">
        <v>215</v>
      </c>
      <c r="C4147" s="108" t="s">
        <v>1001</v>
      </c>
      <c r="D4147" s="112" t="s">
        <v>177</v>
      </c>
      <c r="E4147" s="112">
        <v>684.4</v>
      </c>
      <c r="F4147" s="111" t="str">
        <f>DataPull!D4147</f>
        <v/>
      </c>
      <c r="G4147" s="94" t="str">
        <f t="shared" si="2"/>
        <v/>
      </c>
      <c r="H4147" s="94" t="str">
        <f t="shared" si="3"/>
        <v/>
      </c>
      <c r="I4147" s="94" t="str">
        <f t="shared" ref="I4147:J4147" si="4148">if(G4147 = "", , -G4147)</f>
        <v/>
      </c>
      <c r="J4147" s="94" t="str">
        <f t="shared" si="4148"/>
        <v/>
      </c>
      <c r="K4147" s="100"/>
      <c r="N4147" s="100"/>
      <c r="O4147" s="100"/>
      <c r="P4147" s="100"/>
    </row>
    <row r="4148">
      <c r="A4148" s="107">
        <v>1628373.0</v>
      </c>
      <c r="B4148" s="108" t="s">
        <v>244</v>
      </c>
      <c r="C4148" s="108" t="s">
        <v>1001</v>
      </c>
      <c r="D4148" s="112" t="s">
        <v>177</v>
      </c>
      <c r="E4148" s="112">
        <v>606.3</v>
      </c>
      <c r="F4148" s="111" t="str">
        <f>DataPull!D4148</f>
        <v/>
      </c>
      <c r="G4148" s="94" t="str">
        <f t="shared" si="2"/>
        <v/>
      </c>
      <c r="H4148" s="94" t="str">
        <f t="shared" si="3"/>
        <v/>
      </c>
      <c r="I4148" s="94" t="str">
        <f t="shared" ref="I4148:J4148" si="4149">if(G4148 = "", , -G4148)</f>
        <v/>
      </c>
      <c r="J4148" s="94" t="str">
        <f t="shared" si="4149"/>
        <v/>
      </c>
      <c r="K4148" s="100"/>
      <c r="M4148" s="100"/>
      <c r="N4148" s="100"/>
      <c r="O4148" s="100"/>
      <c r="P4148" s="100"/>
    </row>
    <row r="4149">
      <c r="A4149" s="107">
        <v>1628374.0</v>
      </c>
      <c r="B4149" s="108" t="s">
        <v>191</v>
      </c>
      <c r="C4149" s="108" t="s">
        <v>1002</v>
      </c>
      <c r="D4149" s="112" t="s">
        <v>178</v>
      </c>
      <c r="E4149" s="112">
        <v>2019.6</v>
      </c>
      <c r="F4149" s="111" t="str">
        <f>DataPull!D4149</f>
        <v/>
      </c>
      <c r="G4149" s="94" t="str">
        <f t="shared" si="2"/>
        <v/>
      </c>
      <c r="H4149" s="94" t="str">
        <f t="shared" si="3"/>
        <v/>
      </c>
      <c r="I4149" s="94" t="str">
        <f t="shared" ref="I4149:J4149" si="4150">if(G4149 = "", , -G4149)</f>
        <v/>
      </c>
      <c r="J4149" s="94" t="str">
        <f t="shared" si="4150"/>
        <v/>
      </c>
      <c r="K4149" s="100"/>
      <c r="M4149" s="100"/>
      <c r="N4149" s="100"/>
      <c r="O4149" s="100"/>
      <c r="P4149" s="100"/>
    </row>
    <row r="4150">
      <c r="A4150" s="107">
        <v>1628374.0</v>
      </c>
      <c r="B4150" s="108" t="s">
        <v>192</v>
      </c>
      <c r="C4150" s="108" t="s">
        <v>1002</v>
      </c>
      <c r="D4150" s="112" t="s">
        <v>178</v>
      </c>
      <c r="E4150" s="112">
        <v>1679.6</v>
      </c>
      <c r="F4150" s="111" t="str">
        <f>DataPull!D4150</f>
        <v/>
      </c>
      <c r="G4150" s="94" t="str">
        <f t="shared" si="2"/>
        <v/>
      </c>
      <c r="H4150" s="94" t="str">
        <f t="shared" si="3"/>
        <v/>
      </c>
      <c r="I4150" s="94" t="str">
        <f t="shared" ref="I4150:J4150" si="4151">if(G4150 = "", , -G4150)</f>
        <v/>
      </c>
      <c r="J4150" s="94" t="str">
        <f t="shared" si="4151"/>
        <v/>
      </c>
      <c r="K4150" s="100"/>
      <c r="M4150" s="100"/>
      <c r="N4150" s="100"/>
      <c r="O4150" s="100"/>
      <c r="P4150" s="100"/>
    </row>
    <row r="4151">
      <c r="A4151" s="107">
        <v>1628374.0</v>
      </c>
      <c r="B4151" s="108" t="s">
        <v>193</v>
      </c>
      <c r="C4151" s="108" t="s">
        <v>1002</v>
      </c>
      <c r="D4151" s="112" t="s">
        <v>178</v>
      </c>
      <c r="E4151" s="112">
        <v>1490.0</v>
      </c>
      <c r="F4151" s="111" t="str">
        <f>DataPull!D4151</f>
        <v/>
      </c>
      <c r="G4151" s="94" t="str">
        <f t="shared" si="2"/>
        <v/>
      </c>
      <c r="H4151" s="94" t="str">
        <f t="shared" si="3"/>
        <v/>
      </c>
      <c r="I4151" s="94" t="str">
        <f t="shared" ref="I4151:J4151" si="4152">if(G4151 = "", , -G4151)</f>
        <v/>
      </c>
      <c r="J4151" s="94" t="str">
        <f t="shared" si="4152"/>
        <v/>
      </c>
      <c r="K4151" s="100"/>
      <c r="M4151" s="100"/>
      <c r="N4151" s="100"/>
      <c r="O4151" s="100"/>
      <c r="P4151" s="100"/>
    </row>
    <row r="4152">
      <c r="A4152" s="107">
        <v>1628374.0</v>
      </c>
      <c r="B4152" s="108" t="s">
        <v>243</v>
      </c>
      <c r="C4152" s="108" t="s">
        <v>1002</v>
      </c>
      <c r="D4152" s="112" t="s">
        <v>176</v>
      </c>
      <c r="E4152" s="112">
        <v>1315.8</v>
      </c>
      <c r="F4152" s="111" t="str">
        <f>DataPull!D4152</f>
        <v/>
      </c>
      <c r="G4152" s="94" t="str">
        <f t="shared" si="2"/>
        <v/>
      </c>
      <c r="H4152" s="94" t="str">
        <f t="shared" si="3"/>
        <v/>
      </c>
      <c r="I4152" s="94" t="str">
        <f t="shared" ref="I4152:J4152" si="4153">if(G4152 = "", , -G4152)</f>
        <v/>
      </c>
      <c r="J4152" s="94" t="str">
        <f t="shared" si="4153"/>
        <v/>
      </c>
      <c r="K4152" s="100"/>
      <c r="M4152" s="100"/>
      <c r="N4152" s="100"/>
      <c r="O4152" s="100"/>
      <c r="P4152" s="100"/>
    </row>
    <row r="4153">
      <c r="A4153" s="107">
        <v>1628374.0</v>
      </c>
      <c r="B4153" s="108" t="s">
        <v>215</v>
      </c>
      <c r="C4153" s="108" t="s">
        <v>1002</v>
      </c>
      <c r="D4153" s="112" t="s">
        <v>178</v>
      </c>
      <c r="E4153" s="112">
        <v>1878.8</v>
      </c>
      <c r="F4153" s="111" t="str">
        <f>DataPull!D4153</f>
        <v/>
      </c>
      <c r="G4153" s="94" t="str">
        <f t="shared" si="2"/>
        <v/>
      </c>
      <c r="H4153" s="94" t="str">
        <f t="shared" si="3"/>
        <v/>
      </c>
      <c r="I4153" s="94" t="str">
        <f t="shared" ref="I4153:J4153" si="4154">if(G4153 = "", , -G4153)</f>
        <v/>
      </c>
      <c r="J4153" s="94" t="str">
        <f t="shared" si="4154"/>
        <v/>
      </c>
      <c r="K4153" s="100"/>
      <c r="M4153" s="100"/>
      <c r="N4153" s="100"/>
      <c r="O4153" s="100"/>
      <c r="P4153" s="100"/>
    </row>
    <row r="4154">
      <c r="A4154" s="107">
        <v>1628374.0</v>
      </c>
      <c r="B4154" s="108" t="s">
        <v>244</v>
      </c>
      <c r="C4154" s="108" t="s">
        <v>1002</v>
      </c>
      <c r="D4154" s="112" t="s">
        <v>184</v>
      </c>
      <c r="E4154" s="112">
        <v>2270.4</v>
      </c>
      <c r="F4154" s="111" t="str">
        <f>DataPull!D4154</f>
        <v/>
      </c>
      <c r="G4154" s="94" t="str">
        <f t="shared" si="2"/>
        <v/>
      </c>
      <c r="H4154" s="94" t="str">
        <f t="shared" si="3"/>
        <v/>
      </c>
      <c r="I4154" s="94" t="str">
        <f t="shared" ref="I4154:J4154" si="4155">if(G4154 = "", , -G4154)</f>
        <v/>
      </c>
      <c r="J4154" s="94" t="str">
        <f t="shared" si="4155"/>
        <v/>
      </c>
      <c r="K4154" s="100"/>
      <c r="M4154" s="100"/>
      <c r="N4154" s="100"/>
      <c r="O4154" s="100"/>
      <c r="P4154" s="100"/>
    </row>
    <row r="4155">
      <c r="A4155" s="107">
        <v>1628374.0</v>
      </c>
      <c r="B4155" s="108" t="s">
        <v>245</v>
      </c>
      <c r="C4155" s="108" t="s">
        <v>1002</v>
      </c>
      <c r="D4155" s="112" t="s">
        <v>184</v>
      </c>
      <c r="E4155" s="112">
        <v>1820.5</v>
      </c>
      <c r="F4155" s="111" t="str">
        <f>DataPull!D4155</f>
        <v/>
      </c>
      <c r="G4155" s="94" t="str">
        <f t="shared" si="2"/>
        <v/>
      </c>
      <c r="H4155" s="94" t="str">
        <f t="shared" si="3"/>
        <v/>
      </c>
      <c r="I4155" s="94" t="str">
        <f t="shared" ref="I4155:J4155" si="4156">if(G4155 = "", , -G4155)</f>
        <v/>
      </c>
      <c r="J4155" s="94" t="str">
        <f t="shared" si="4156"/>
        <v/>
      </c>
      <c r="K4155" s="100"/>
      <c r="M4155" s="100"/>
      <c r="N4155" s="100"/>
      <c r="O4155" s="100"/>
      <c r="P4155" s="100"/>
    </row>
    <row r="4156">
      <c r="A4156" s="107">
        <v>1628374.0</v>
      </c>
      <c r="B4156" s="108" t="s">
        <v>246</v>
      </c>
      <c r="C4156" s="108" t="s">
        <v>1002</v>
      </c>
      <c r="D4156" s="112" t="s">
        <v>178</v>
      </c>
      <c r="E4156" s="112">
        <v>1475.8</v>
      </c>
      <c r="F4156" s="111" t="str">
        <f>DataPull!D4156</f>
        <v/>
      </c>
      <c r="G4156" s="94" t="str">
        <f t="shared" si="2"/>
        <v/>
      </c>
      <c r="H4156" s="94" t="str">
        <f t="shared" si="3"/>
        <v/>
      </c>
      <c r="I4156" s="94" t="str">
        <f t="shared" ref="I4156:J4156" si="4157">if(G4156 = "", , -G4156)</f>
        <v/>
      </c>
      <c r="J4156" s="94" t="str">
        <f t="shared" si="4157"/>
        <v/>
      </c>
      <c r="K4156" s="100"/>
      <c r="L4156" s="100"/>
      <c r="M4156" s="100"/>
      <c r="N4156" s="100"/>
      <c r="O4156" s="100"/>
      <c r="P4156" s="100"/>
    </row>
    <row r="4157">
      <c r="A4157" s="114">
        <v>1628374.0</v>
      </c>
      <c r="B4157" s="113" t="s">
        <v>247</v>
      </c>
      <c r="C4157" s="113" t="s">
        <v>1002</v>
      </c>
      <c r="D4157" s="112" t="s">
        <v>184</v>
      </c>
      <c r="E4157" s="112">
        <v>1440.6</v>
      </c>
      <c r="F4157" s="111" t="str">
        <f>DataPull!D4157</f>
        <v/>
      </c>
      <c r="G4157" s="94" t="str">
        <f t="shared" si="2"/>
        <v/>
      </c>
      <c r="H4157" s="94" t="str">
        <f t="shared" si="3"/>
        <v/>
      </c>
      <c r="I4157" s="94" t="str">
        <f t="shared" ref="I4157:J4157" si="4158">if(G4157 = "", , -G4157)</f>
        <v/>
      </c>
      <c r="J4157" s="94" t="str">
        <f t="shared" si="4158"/>
        <v/>
      </c>
      <c r="K4157" s="100"/>
      <c r="M4157" s="100"/>
      <c r="N4157" s="100"/>
      <c r="O4157" s="100"/>
      <c r="P4157" s="100"/>
    </row>
    <row r="4158">
      <c r="A4158" s="107">
        <v>1628378.0</v>
      </c>
      <c r="B4158" s="108" t="s">
        <v>191</v>
      </c>
      <c r="C4158" s="108" t="s">
        <v>1003</v>
      </c>
      <c r="D4158" s="112" t="s">
        <v>178</v>
      </c>
      <c r="E4158" s="112">
        <v>2638.6</v>
      </c>
      <c r="F4158" s="111" t="str">
        <f>DataPull!D4158</f>
        <v/>
      </c>
      <c r="G4158" s="94" t="str">
        <f t="shared" si="2"/>
        <v/>
      </c>
      <c r="H4158" s="94" t="str">
        <f t="shared" si="3"/>
        <v/>
      </c>
      <c r="I4158" s="94" t="str">
        <f t="shared" ref="I4158:J4158" si="4159">if(G4158 = "", , -G4158)</f>
        <v/>
      </c>
      <c r="J4158" s="94" t="str">
        <f t="shared" si="4159"/>
        <v/>
      </c>
      <c r="K4158" s="100"/>
      <c r="M4158" s="100"/>
      <c r="N4158" s="100"/>
      <c r="O4158" s="100"/>
      <c r="P4158" s="100"/>
    </row>
    <row r="4159">
      <c r="A4159" s="107">
        <v>1628378.0</v>
      </c>
      <c r="B4159" s="108" t="s">
        <v>192</v>
      </c>
      <c r="C4159" s="108" t="s">
        <v>1003</v>
      </c>
      <c r="D4159" s="112" t="s">
        <v>184</v>
      </c>
      <c r="E4159" s="112">
        <v>2594.9</v>
      </c>
      <c r="F4159" s="111" t="str">
        <f>DataPull!D4159</f>
        <v/>
      </c>
      <c r="G4159" s="94" t="str">
        <f t="shared" si="2"/>
        <v/>
      </c>
      <c r="H4159" s="94" t="str">
        <f t="shared" si="3"/>
        <v/>
      </c>
      <c r="I4159" s="94" t="str">
        <f t="shared" ref="I4159:J4159" si="4160">if(G4159 = "", , -G4159)</f>
        <v/>
      </c>
      <c r="J4159" s="94" t="str">
        <f t="shared" si="4160"/>
        <v/>
      </c>
      <c r="K4159" s="100"/>
      <c r="M4159" s="100"/>
      <c r="N4159" s="100"/>
      <c r="O4159" s="100"/>
      <c r="P4159" s="100"/>
    </row>
    <row r="4160">
      <c r="A4160" s="107">
        <v>1628378.0</v>
      </c>
      <c r="B4160" s="108" t="s">
        <v>193</v>
      </c>
      <c r="C4160" s="108" t="s">
        <v>1003</v>
      </c>
      <c r="D4160" s="112" t="s">
        <v>184</v>
      </c>
      <c r="E4160" s="112">
        <v>2366.7</v>
      </c>
      <c r="F4160" s="111" t="str">
        <f>DataPull!D4160</f>
        <v/>
      </c>
      <c r="G4160" s="94" t="str">
        <f t="shared" si="2"/>
        <v/>
      </c>
      <c r="H4160" s="94" t="str">
        <f t="shared" si="3"/>
        <v/>
      </c>
      <c r="I4160" s="94" t="str">
        <f t="shared" ref="I4160:J4160" si="4161">if(G4160 = "", , -G4160)</f>
        <v/>
      </c>
      <c r="J4160" s="94" t="str">
        <f t="shared" si="4161"/>
        <v/>
      </c>
      <c r="K4160" s="100"/>
      <c r="M4160" s="100"/>
      <c r="N4160" s="100"/>
      <c r="O4160" s="100"/>
      <c r="P4160" s="100"/>
    </row>
    <row r="4161">
      <c r="A4161" s="107">
        <v>1628378.0</v>
      </c>
      <c r="B4161" s="108" t="s">
        <v>243</v>
      </c>
      <c r="C4161" s="108" t="s">
        <v>1003</v>
      </c>
      <c r="D4161" s="112" t="s">
        <v>184</v>
      </c>
      <c r="E4161" s="112">
        <v>1770.2</v>
      </c>
      <c r="F4161" s="111" t="str">
        <f>DataPull!D4161</f>
        <v/>
      </c>
      <c r="G4161" s="94" t="str">
        <f t="shared" si="2"/>
        <v/>
      </c>
      <c r="H4161" s="94" t="str">
        <f t="shared" si="3"/>
        <v/>
      </c>
      <c r="I4161" s="94" t="str">
        <f t="shared" ref="I4161:J4161" si="4162">if(G4161 = "", , -G4161)</f>
        <v/>
      </c>
      <c r="J4161" s="94" t="str">
        <f t="shared" si="4162"/>
        <v/>
      </c>
      <c r="K4161" s="100"/>
      <c r="M4161" s="100"/>
      <c r="N4161" s="100"/>
      <c r="O4161" s="100"/>
      <c r="P4161" s="100"/>
    </row>
    <row r="4162">
      <c r="A4162" s="107">
        <v>1628378.0</v>
      </c>
      <c r="B4162" s="108" t="s">
        <v>215</v>
      </c>
      <c r="C4162" s="108" t="s">
        <v>1003</v>
      </c>
      <c r="D4162" s="112" t="s">
        <v>184</v>
      </c>
      <c r="E4162" s="112">
        <v>2264.6</v>
      </c>
      <c r="F4162" s="111" t="str">
        <f>DataPull!D4162</f>
        <v/>
      </c>
      <c r="G4162" s="94" t="str">
        <f t="shared" si="2"/>
        <v/>
      </c>
      <c r="H4162" s="94" t="str">
        <f t="shared" si="3"/>
        <v/>
      </c>
      <c r="I4162" s="94" t="str">
        <f t="shared" ref="I4162:J4162" si="4163">if(G4162 = "", , -G4162)</f>
        <v/>
      </c>
      <c r="J4162" s="94" t="str">
        <f t="shared" si="4163"/>
        <v/>
      </c>
      <c r="K4162" s="100"/>
      <c r="L4162" s="100"/>
      <c r="N4162" s="100"/>
      <c r="O4162" s="100"/>
    </row>
    <row r="4163">
      <c r="A4163" s="107">
        <v>1628378.0</v>
      </c>
      <c r="B4163" s="108" t="s">
        <v>244</v>
      </c>
      <c r="C4163" s="108" t="s">
        <v>1003</v>
      </c>
      <c r="D4163" s="112" t="s">
        <v>184</v>
      </c>
      <c r="E4163" s="112">
        <v>2434.4</v>
      </c>
      <c r="F4163" s="111" t="str">
        <f>DataPull!D4163</f>
        <v/>
      </c>
      <c r="G4163" s="94" t="str">
        <f t="shared" si="2"/>
        <v/>
      </c>
      <c r="H4163" s="94" t="str">
        <f t="shared" si="3"/>
        <v/>
      </c>
      <c r="I4163" s="94" t="str">
        <f t="shared" ref="I4163:J4163" si="4164">if(G4163 = "", , -G4163)</f>
        <v/>
      </c>
      <c r="J4163" s="94" t="str">
        <f t="shared" si="4164"/>
        <v/>
      </c>
      <c r="K4163" s="100"/>
      <c r="M4163" s="100"/>
      <c r="N4163" s="100"/>
      <c r="O4163" s="100"/>
      <c r="P4163" s="100"/>
    </row>
    <row r="4164">
      <c r="A4164" s="107">
        <v>1628378.0</v>
      </c>
      <c r="B4164" s="108" t="s">
        <v>245</v>
      </c>
      <c r="C4164" s="108" t="s">
        <v>1003</v>
      </c>
      <c r="D4164" s="112" t="s">
        <v>184</v>
      </c>
      <c r="E4164" s="112">
        <v>1941.5</v>
      </c>
      <c r="F4164" s="111" t="str">
        <f>DataPull!D4164</f>
        <v/>
      </c>
      <c r="G4164" s="94" t="str">
        <f t="shared" si="2"/>
        <v/>
      </c>
      <c r="H4164" s="94" t="str">
        <f t="shared" si="3"/>
        <v/>
      </c>
      <c r="I4164" s="94" t="str">
        <f t="shared" ref="I4164:J4164" si="4165">if(G4164 = "", , -G4164)</f>
        <v/>
      </c>
      <c r="J4164" s="94" t="str">
        <f t="shared" si="4165"/>
        <v/>
      </c>
      <c r="K4164" s="100"/>
      <c r="M4164" s="100"/>
      <c r="N4164" s="100"/>
      <c r="O4164" s="100"/>
      <c r="P4164" s="100"/>
    </row>
    <row r="4165">
      <c r="A4165" s="107">
        <v>1628378.0</v>
      </c>
      <c r="B4165" s="108" t="s">
        <v>246</v>
      </c>
      <c r="C4165" s="108" t="s">
        <v>1003</v>
      </c>
      <c r="D4165" s="112" t="s">
        <v>184</v>
      </c>
      <c r="E4165" s="112">
        <v>2229.4</v>
      </c>
      <c r="F4165" s="111" t="str">
        <f>DataPull!D4165</f>
        <v/>
      </c>
      <c r="G4165" s="94" t="str">
        <f t="shared" si="2"/>
        <v/>
      </c>
      <c r="H4165" s="94" t="str">
        <f t="shared" si="3"/>
        <v/>
      </c>
      <c r="I4165" s="94" t="str">
        <f t="shared" ref="I4165:J4165" si="4166">if(G4165 = "", , -G4165)</f>
        <v/>
      </c>
      <c r="J4165" s="94" t="str">
        <f t="shared" si="4166"/>
        <v/>
      </c>
      <c r="K4165" s="100"/>
      <c r="M4165" s="100"/>
      <c r="N4165" s="100"/>
      <c r="O4165" s="100"/>
      <c r="P4165" s="100"/>
    </row>
    <row r="4166">
      <c r="A4166" s="114">
        <v>1628378.0</v>
      </c>
      <c r="B4166" s="113" t="s">
        <v>247</v>
      </c>
      <c r="C4166" s="113" t="s">
        <v>1003</v>
      </c>
      <c r="D4166" s="112" t="s">
        <v>184</v>
      </c>
      <c r="E4166" s="112">
        <v>2345.0</v>
      </c>
      <c r="F4166" s="111" t="str">
        <f>DataPull!D4166</f>
        <v/>
      </c>
      <c r="G4166" s="94" t="str">
        <f t="shared" si="2"/>
        <v/>
      </c>
      <c r="H4166" s="94" t="str">
        <f t="shared" si="3"/>
        <v/>
      </c>
      <c r="I4166" s="94" t="str">
        <f t="shared" ref="I4166:J4166" si="4167">if(G4166 = "", , -G4166)</f>
        <v/>
      </c>
      <c r="J4166" s="94" t="str">
        <f t="shared" si="4167"/>
        <v/>
      </c>
      <c r="K4166" s="100"/>
      <c r="L4166" s="100"/>
      <c r="N4166" s="100"/>
      <c r="O4166" s="100"/>
      <c r="P4166" s="100"/>
    </row>
    <row r="4167">
      <c r="A4167" s="107">
        <v>1628379.0</v>
      </c>
      <c r="B4167" s="108" t="s">
        <v>191</v>
      </c>
      <c r="C4167" s="108" t="s">
        <v>1004</v>
      </c>
      <c r="D4167" s="112" t="s">
        <v>177</v>
      </c>
      <c r="E4167" s="112">
        <v>1460.0</v>
      </c>
      <c r="F4167" s="111" t="str">
        <f>DataPull!D4167</f>
        <v/>
      </c>
      <c r="G4167" s="94" t="str">
        <f t="shared" si="2"/>
        <v/>
      </c>
      <c r="H4167" s="94" t="str">
        <f t="shared" si="3"/>
        <v/>
      </c>
      <c r="I4167" s="94" t="str">
        <f t="shared" ref="I4167:J4167" si="4168">if(G4167 = "", , -G4167)</f>
        <v/>
      </c>
      <c r="J4167" s="94" t="str">
        <f t="shared" si="4168"/>
        <v/>
      </c>
      <c r="K4167" s="100"/>
      <c r="M4167" s="100"/>
      <c r="N4167" s="100"/>
      <c r="O4167" s="100"/>
      <c r="P4167" s="100"/>
    </row>
    <row r="4168">
      <c r="A4168" s="107">
        <v>1628379.0</v>
      </c>
      <c r="B4168" s="108" t="s">
        <v>192</v>
      </c>
      <c r="C4168" s="108" t="s">
        <v>1004</v>
      </c>
      <c r="D4168" s="112" t="s">
        <v>176</v>
      </c>
      <c r="E4168" s="112">
        <v>1436.4</v>
      </c>
      <c r="F4168" s="111" t="str">
        <f>DataPull!D4168</f>
        <v/>
      </c>
      <c r="G4168" s="94" t="str">
        <f t="shared" si="2"/>
        <v/>
      </c>
      <c r="H4168" s="94" t="str">
        <f t="shared" si="3"/>
        <v/>
      </c>
      <c r="I4168" s="94" t="str">
        <f t="shared" ref="I4168:J4168" si="4169">if(G4168 = "", , -G4168)</f>
        <v/>
      </c>
      <c r="J4168" s="94" t="str">
        <f t="shared" si="4169"/>
        <v/>
      </c>
      <c r="K4168" s="100"/>
      <c r="M4168" s="100"/>
      <c r="N4168" s="100"/>
      <c r="O4168" s="100"/>
      <c r="P4168" s="100"/>
    </row>
    <row r="4169">
      <c r="A4169" s="107">
        <v>1628379.0</v>
      </c>
      <c r="B4169" s="108" t="s">
        <v>193</v>
      </c>
      <c r="C4169" s="108" t="s">
        <v>1004</v>
      </c>
      <c r="D4169" s="112" t="s">
        <v>178</v>
      </c>
      <c r="E4169" s="112">
        <v>921.2</v>
      </c>
      <c r="F4169" s="111" t="str">
        <f>DataPull!D4169</f>
        <v/>
      </c>
      <c r="G4169" s="94" t="str">
        <f t="shared" si="2"/>
        <v/>
      </c>
      <c r="H4169" s="94" t="str">
        <f t="shared" si="3"/>
        <v/>
      </c>
      <c r="I4169" s="94" t="str">
        <f t="shared" ref="I4169:J4169" si="4170">if(G4169 = "", , -G4169)</f>
        <v/>
      </c>
      <c r="J4169" s="94" t="str">
        <f t="shared" si="4170"/>
        <v/>
      </c>
      <c r="K4169" s="100"/>
      <c r="M4169" s="100"/>
      <c r="N4169" s="100"/>
      <c r="O4169" s="100"/>
      <c r="P4169" s="100"/>
    </row>
    <row r="4170">
      <c r="A4170" s="107">
        <v>1628379.0</v>
      </c>
      <c r="B4170" s="108" t="s">
        <v>243</v>
      </c>
      <c r="C4170" s="108" t="s">
        <v>1004</v>
      </c>
      <c r="D4170" s="112" t="s">
        <v>177</v>
      </c>
      <c r="E4170" s="112">
        <v>1234.8</v>
      </c>
      <c r="F4170" s="111" t="str">
        <f>DataPull!D4170</f>
        <v/>
      </c>
      <c r="G4170" s="94" t="str">
        <f t="shared" si="2"/>
        <v/>
      </c>
      <c r="H4170" s="94" t="str">
        <f t="shared" si="3"/>
        <v/>
      </c>
      <c r="I4170" s="94" t="str">
        <f t="shared" ref="I4170:J4170" si="4171">if(G4170 = "", , -G4170)</f>
        <v/>
      </c>
      <c r="J4170" s="94" t="str">
        <f t="shared" si="4171"/>
        <v/>
      </c>
      <c r="K4170" s="100"/>
      <c r="L4170" s="100"/>
      <c r="N4170" s="100"/>
      <c r="O4170" s="100"/>
      <c r="P4170" s="100"/>
    </row>
    <row r="4171">
      <c r="A4171" s="107">
        <v>1628379.0</v>
      </c>
      <c r="B4171" s="108" t="s">
        <v>215</v>
      </c>
      <c r="C4171" s="108" t="s">
        <v>1004</v>
      </c>
      <c r="D4171" s="112" t="s">
        <v>178</v>
      </c>
      <c r="E4171" s="112">
        <v>1918.0</v>
      </c>
      <c r="F4171" s="111" t="str">
        <f>DataPull!D4171</f>
        <v/>
      </c>
      <c r="G4171" s="94" t="str">
        <f t="shared" si="2"/>
        <v/>
      </c>
      <c r="H4171" s="94" t="str">
        <f t="shared" si="3"/>
        <v/>
      </c>
      <c r="I4171" s="94" t="str">
        <f t="shared" ref="I4171:J4171" si="4172">if(G4171 = "", , -G4171)</f>
        <v/>
      </c>
      <c r="J4171" s="94" t="str">
        <f t="shared" si="4172"/>
        <v/>
      </c>
      <c r="K4171" s="100"/>
      <c r="M4171" s="100"/>
      <c r="N4171" s="100"/>
      <c r="O4171" s="100"/>
      <c r="P4171" s="100"/>
    </row>
    <row r="4172">
      <c r="A4172" s="107">
        <v>1628379.0</v>
      </c>
      <c r="B4172" s="108" t="s">
        <v>244</v>
      </c>
      <c r="C4172" s="108" t="s">
        <v>1004</v>
      </c>
      <c r="D4172" s="112" t="s">
        <v>177</v>
      </c>
      <c r="E4172" s="112">
        <v>1315.7</v>
      </c>
      <c r="F4172" s="111" t="str">
        <f>DataPull!D4172</f>
        <v/>
      </c>
      <c r="G4172" s="94" t="str">
        <f t="shared" si="2"/>
        <v/>
      </c>
      <c r="H4172" s="94" t="str">
        <f t="shared" si="3"/>
        <v/>
      </c>
      <c r="I4172" s="94" t="str">
        <f t="shared" ref="I4172:J4172" si="4173">if(G4172 = "", , -G4172)</f>
        <v/>
      </c>
      <c r="J4172" s="94" t="str">
        <f t="shared" si="4173"/>
        <v/>
      </c>
      <c r="K4172" s="100"/>
      <c r="M4172" s="100"/>
      <c r="N4172" s="100"/>
      <c r="O4172" s="100"/>
      <c r="P4172" s="100"/>
    </row>
    <row r="4173">
      <c r="A4173" s="107">
        <v>1628379.0</v>
      </c>
      <c r="B4173" s="108" t="s">
        <v>245</v>
      </c>
      <c r="C4173" s="108" t="s">
        <v>1004</v>
      </c>
      <c r="D4173" s="112" t="s">
        <v>176</v>
      </c>
      <c r="E4173" s="112">
        <v>998.4</v>
      </c>
      <c r="F4173" s="111" t="str">
        <f>DataPull!D4173</f>
        <v/>
      </c>
      <c r="G4173" s="94" t="str">
        <f t="shared" si="2"/>
        <v/>
      </c>
      <c r="H4173" s="94" t="str">
        <f t="shared" si="3"/>
        <v/>
      </c>
      <c r="I4173" s="94" t="str">
        <f t="shared" ref="I4173:J4173" si="4174">if(G4173 = "", , -G4173)</f>
        <v/>
      </c>
      <c r="J4173" s="94" t="str">
        <f t="shared" si="4174"/>
        <v/>
      </c>
      <c r="K4173" s="100"/>
      <c r="L4173" s="100"/>
      <c r="N4173" s="100"/>
      <c r="O4173" s="100"/>
      <c r="P4173" s="100"/>
    </row>
    <row r="4174">
      <c r="A4174" s="107">
        <v>1628379.0</v>
      </c>
      <c r="B4174" s="108" t="s">
        <v>246</v>
      </c>
      <c r="C4174" s="108" t="s">
        <v>1004</v>
      </c>
      <c r="D4174" s="112" t="s">
        <v>176</v>
      </c>
      <c r="E4174" s="112">
        <v>1469.0</v>
      </c>
      <c r="F4174" s="111" t="str">
        <f>DataPull!D4174</f>
        <v/>
      </c>
      <c r="G4174" s="94" t="str">
        <f t="shared" si="2"/>
        <v/>
      </c>
      <c r="H4174" s="94" t="str">
        <f t="shared" si="3"/>
        <v/>
      </c>
      <c r="I4174" s="94" t="str">
        <f t="shared" ref="I4174:J4174" si="4175">if(G4174 = "", , -G4174)</f>
        <v/>
      </c>
      <c r="J4174" s="94" t="str">
        <f t="shared" si="4175"/>
        <v/>
      </c>
      <c r="K4174" s="100"/>
      <c r="L4174" s="100"/>
      <c r="M4174" s="100"/>
      <c r="N4174" s="100"/>
      <c r="O4174" s="100"/>
    </row>
    <row r="4175">
      <c r="A4175" s="114">
        <v>1628379.0</v>
      </c>
      <c r="B4175" s="113" t="s">
        <v>247</v>
      </c>
      <c r="C4175" s="113" t="s">
        <v>1004</v>
      </c>
      <c r="D4175" s="112" t="s">
        <v>177</v>
      </c>
      <c r="E4175" s="112">
        <v>1677.0</v>
      </c>
      <c r="F4175" s="111" t="str">
        <f>DataPull!D4175</f>
        <v/>
      </c>
      <c r="G4175" s="94" t="str">
        <f t="shared" si="2"/>
        <v/>
      </c>
      <c r="H4175" s="94" t="str">
        <f t="shared" si="3"/>
        <v/>
      </c>
      <c r="I4175" s="94" t="str">
        <f t="shared" ref="I4175:J4175" si="4176">if(G4175 = "", , -G4175)</f>
        <v/>
      </c>
      <c r="J4175" s="94" t="str">
        <f t="shared" si="4176"/>
        <v/>
      </c>
      <c r="K4175" s="100"/>
      <c r="M4175" s="100"/>
      <c r="N4175" s="100"/>
      <c r="O4175" s="100"/>
      <c r="P4175" s="100"/>
    </row>
    <row r="4176">
      <c r="A4176" s="107">
        <v>1628380.0</v>
      </c>
      <c r="B4176" s="108" t="s">
        <v>191</v>
      </c>
      <c r="C4176" s="108" t="s">
        <v>1005</v>
      </c>
      <c r="D4176" s="112" t="s">
        <v>177</v>
      </c>
      <c r="E4176" s="112">
        <v>1042.8</v>
      </c>
      <c r="F4176" s="111" t="str">
        <f>DataPull!D4176</f>
        <v/>
      </c>
      <c r="G4176" s="94" t="str">
        <f t="shared" si="2"/>
        <v/>
      </c>
      <c r="H4176" s="94" t="str">
        <f t="shared" si="3"/>
        <v/>
      </c>
      <c r="I4176" s="94" t="str">
        <f t="shared" ref="I4176:J4176" si="4177">if(G4176 = "", , -G4176)</f>
        <v/>
      </c>
      <c r="J4176" s="94" t="str">
        <f t="shared" si="4177"/>
        <v/>
      </c>
      <c r="K4176" s="100"/>
      <c r="M4176" s="100"/>
      <c r="N4176" s="100"/>
      <c r="O4176" s="100"/>
      <c r="P4176" s="100"/>
    </row>
    <row r="4177">
      <c r="A4177" s="107">
        <v>1628380.0</v>
      </c>
      <c r="B4177" s="108" t="s">
        <v>192</v>
      </c>
      <c r="C4177" s="108" t="s">
        <v>1005</v>
      </c>
      <c r="D4177" s="112" t="s">
        <v>177</v>
      </c>
      <c r="E4177" s="112">
        <v>1355.2</v>
      </c>
      <c r="F4177" s="111" t="str">
        <f>DataPull!D4177</f>
        <v/>
      </c>
      <c r="G4177" s="94" t="str">
        <f t="shared" si="2"/>
        <v/>
      </c>
      <c r="H4177" s="94" t="str">
        <f t="shared" si="3"/>
        <v/>
      </c>
      <c r="I4177" s="94" t="str">
        <f t="shared" ref="I4177:J4177" si="4178">if(G4177 = "", , -G4177)</f>
        <v/>
      </c>
      <c r="J4177" s="94" t="str">
        <f t="shared" si="4178"/>
        <v/>
      </c>
      <c r="K4177" s="100"/>
      <c r="M4177" s="100"/>
      <c r="N4177" s="100"/>
      <c r="O4177" s="100"/>
      <c r="P4177" s="100"/>
    </row>
    <row r="4178">
      <c r="A4178" s="107">
        <v>1628380.0</v>
      </c>
      <c r="B4178" s="108" t="s">
        <v>193</v>
      </c>
      <c r="C4178" s="108" t="s">
        <v>1005</v>
      </c>
      <c r="D4178" s="112" t="s">
        <v>187</v>
      </c>
      <c r="E4178" s="112">
        <v>290.4</v>
      </c>
      <c r="F4178" s="111" t="str">
        <f>DataPull!D4178</f>
        <v/>
      </c>
      <c r="G4178" s="94" t="str">
        <f t="shared" si="2"/>
        <v/>
      </c>
      <c r="H4178" s="94" t="str">
        <f t="shared" si="3"/>
        <v/>
      </c>
      <c r="I4178" s="94" t="str">
        <f t="shared" ref="I4178:J4178" si="4179">if(G4178 = "", , -G4178)</f>
        <v/>
      </c>
      <c r="J4178" s="94" t="str">
        <f t="shared" si="4179"/>
        <v/>
      </c>
      <c r="K4178" s="100"/>
      <c r="L4178" s="100"/>
      <c r="M4178" s="100"/>
      <c r="N4178" s="100"/>
      <c r="O4178" s="100"/>
      <c r="P4178" s="100"/>
    </row>
    <row r="4179">
      <c r="A4179" s="107">
        <v>1628380.0</v>
      </c>
      <c r="B4179" s="108" t="s">
        <v>215</v>
      </c>
      <c r="C4179" s="108" t="s">
        <v>1005</v>
      </c>
      <c r="D4179" s="112" t="s">
        <v>177</v>
      </c>
      <c r="E4179" s="112">
        <v>501.2</v>
      </c>
      <c r="F4179" s="111" t="str">
        <f>DataPull!D4179</f>
        <v/>
      </c>
      <c r="G4179" s="94" t="str">
        <f t="shared" si="2"/>
        <v/>
      </c>
      <c r="H4179" s="94" t="str">
        <f t="shared" si="3"/>
        <v/>
      </c>
      <c r="I4179" s="94" t="str">
        <f t="shared" ref="I4179:J4179" si="4180">if(G4179 = "", , -G4179)</f>
        <v/>
      </c>
      <c r="J4179" s="94" t="str">
        <f t="shared" si="4180"/>
        <v/>
      </c>
      <c r="K4179" s="100"/>
      <c r="M4179" s="100"/>
      <c r="N4179" s="100"/>
      <c r="O4179" s="100"/>
      <c r="P4179" s="100"/>
    </row>
    <row r="4180">
      <c r="A4180" s="107">
        <v>1628380.0</v>
      </c>
      <c r="B4180" s="108" t="s">
        <v>244</v>
      </c>
      <c r="C4180" s="108" t="s">
        <v>1005</v>
      </c>
      <c r="D4180" s="112" t="s">
        <v>176</v>
      </c>
      <c r="E4180" s="112">
        <v>1442.7</v>
      </c>
      <c r="F4180" s="111" t="str">
        <f>DataPull!D4180</f>
        <v/>
      </c>
      <c r="G4180" s="94" t="str">
        <f t="shared" si="2"/>
        <v/>
      </c>
      <c r="H4180" s="94" t="str">
        <f t="shared" si="3"/>
        <v/>
      </c>
      <c r="I4180" s="94" t="str">
        <f t="shared" ref="I4180:J4180" si="4181">if(G4180 = "", , -G4180)</f>
        <v/>
      </c>
      <c r="J4180" s="94" t="str">
        <f t="shared" si="4181"/>
        <v/>
      </c>
      <c r="K4180" s="100"/>
      <c r="M4180" s="100"/>
      <c r="N4180" s="100"/>
      <c r="O4180" s="100"/>
      <c r="P4180" s="100"/>
    </row>
    <row r="4181">
      <c r="A4181" s="107">
        <v>1628380.0</v>
      </c>
      <c r="B4181" s="108" t="s">
        <v>245</v>
      </c>
      <c r="C4181" s="108" t="s">
        <v>1005</v>
      </c>
      <c r="D4181" s="112" t="s">
        <v>176</v>
      </c>
      <c r="E4181" s="112">
        <v>1524.9</v>
      </c>
      <c r="F4181" s="111" t="str">
        <f>DataPull!D4181</f>
        <v/>
      </c>
      <c r="G4181" s="94" t="str">
        <f t="shared" si="2"/>
        <v/>
      </c>
      <c r="H4181" s="94" t="str">
        <f t="shared" si="3"/>
        <v/>
      </c>
      <c r="I4181" s="94" t="str">
        <f t="shared" ref="I4181:J4181" si="4182">if(G4181 = "", , -G4181)</f>
        <v/>
      </c>
      <c r="J4181" s="94" t="str">
        <f t="shared" si="4182"/>
        <v/>
      </c>
      <c r="K4181" s="100"/>
      <c r="M4181" s="100"/>
      <c r="N4181" s="100"/>
      <c r="O4181" s="100"/>
      <c r="P4181" s="100"/>
    </row>
    <row r="4182">
      <c r="A4182" s="107">
        <v>1628380.0</v>
      </c>
      <c r="B4182" s="108" t="s">
        <v>246</v>
      </c>
      <c r="C4182" s="108" t="s">
        <v>1005</v>
      </c>
      <c r="D4182" s="112" t="s">
        <v>177</v>
      </c>
      <c r="E4182" s="112">
        <v>979.2</v>
      </c>
      <c r="F4182" s="111" t="str">
        <f>DataPull!D4182</f>
        <v/>
      </c>
      <c r="G4182" s="94" t="str">
        <f t="shared" si="2"/>
        <v/>
      </c>
      <c r="H4182" s="94" t="str">
        <f t="shared" si="3"/>
        <v/>
      </c>
      <c r="I4182" s="94" t="str">
        <f t="shared" ref="I4182:J4182" si="4183">if(G4182 = "", , -G4182)</f>
        <v/>
      </c>
      <c r="J4182" s="94" t="str">
        <f t="shared" si="4183"/>
        <v/>
      </c>
      <c r="K4182" s="100"/>
      <c r="M4182" s="100"/>
      <c r="N4182" s="100"/>
      <c r="O4182" s="100"/>
      <c r="P4182" s="100"/>
    </row>
    <row r="4183">
      <c r="A4183" s="114">
        <v>1628380.0</v>
      </c>
      <c r="B4183" s="113" t="s">
        <v>247</v>
      </c>
      <c r="C4183" s="113" t="s">
        <v>1005</v>
      </c>
      <c r="D4183" s="112" t="s">
        <v>177</v>
      </c>
      <c r="E4183" s="112">
        <v>184.0</v>
      </c>
      <c r="F4183" s="111" t="str">
        <f>DataPull!D4183</f>
        <v/>
      </c>
      <c r="G4183" s="94" t="str">
        <f t="shared" si="2"/>
        <v/>
      </c>
      <c r="H4183" s="94" t="str">
        <f t="shared" si="3"/>
        <v/>
      </c>
      <c r="I4183" s="94" t="str">
        <f t="shared" ref="I4183:J4183" si="4184">if(G4183 = "", , -G4183)</f>
        <v/>
      </c>
      <c r="J4183" s="94" t="str">
        <f t="shared" si="4184"/>
        <v/>
      </c>
      <c r="K4183" s="100"/>
      <c r="L4183" s="100"/>
      <c r="M4183" s="100"/>
      <c r="N4183" s="100"/>
      <c r="O4183" s="100"/>
      <c r="P4183" s="100"/>
    </row>
    <row r="4184">
      <c r="A4184" s="107">
        <v>1628381.0</v>
      </c>
      <c r="B4184" s="108" t="s">
        <v>191</v>
      </c>
      <c r="C4184" s="108" t="s">
        <v>1006</v>
      </c>
      <c r="D4184" s="112" t="s">
        <v>176</v>
      </c>
      <c r="E4184" s="112">
        <v>1783.4</v>
      </c>
      <c r="F4184" s="111" t="str">
        <f>DataPull!D4184</f>
        <v/>
      </c>
      <c r="G4184" s="94" t="str">
        <f t="shared" si="2"/>
        <v/>
      </c>
      <c r="H4184" s="94" t="str">
        <f t="shared" si="3"/>
        <v/>
      </c>
      <c r="I4184" s="94" t="str">
        <f t="shared" ref="I4184:J4184" si="4185">if(G4184 = "", , -G4184)</f>
        <v/>
      </c>
      <c r="J4184" s="94" t="str">
        <f t="shared" si="4185"/>
        <v/>
      </c>
      <c r="K4184" s="100"/>
      <c r="M4184" s="100"/>
      <c r="N4184" s="100"/>
      <c r="O4184" s="100"/>
      <c r="P4184" s="100"/>
    </row>
    <row r="4185">
      <c r="A4185" s="107">
        <v>1628381.0</v>
      </c>
      <c r="B4185" s="108" t="s">
        <v>192</v>
      </c>
      <c r="C4185" s="108" t="s">
        <v>1006</v>
      </c>
      <c r="D4185" s="112" t="s">
        <v>178</v>
      </c>
      <c r="E4185" s="112">
        <v>1830.0</v>
      </c>
      <c r="F4185" s="111" t="str">
        <f>DataPull!D4185</f>
        <v/>
      </c>
      <c r="G4185" s="94" t="str">
        <f t="shared" si="2"/>
        <v/>
      </c>
      <c r="H4185" s="94" t="str">
        <f t="shared" si="3"/>
        <v/>
      </c>
      <c r="I4185" s="94" t="str">
        <f t="shared" ref="I4185:J4185" si="4186">if(G4185 = "", , -G4185)</f>
        <v/>
      </c>
      <c r="J4185" s="94" t="str">
        <f t="shared" si="4186"/>
        <v/>
      </c>
      <c r="K4185" s="100"/>
      <c r="M4185" s="100"/>
      <c r="N4185" s="100"/>
      <c r="O4185" s="100"/>
      <c r="P4185" s="100"/>
    </row>
    <row r="4186">
      <c r="A4186" s="107">
        <v>1628381.0</v>
      </c>
      <c r="B4186" s="108" t="s">
        <v>193</v>
      </c>
      <c r="C4186" s="108" t="s">
        <v>1006</v>
      </c>
      <c r="D4186" s="112" t="s">
        <v>184</v>
      </c>
      <c r="E4186" s="112">
        <v>1361.2</v>
      </c>
      <c r="F4186" s="111" t="str">
        <f>DataPull!D4186</f>
        <v/>
      </c>
      <c r="G4186" s="94" t="str">
        <f t="shared" si="2"/>
        <v/>
      </c>
      <c r="H4186" s="94" t="str">
        <f t="shared" si="3"/>
        <v/>
      </c>
      <c r="I4186" s="94" t="str">
        <f t="shared" ref="I4186:J4186" si="4187">if(G4186 = "", , -G4186)</f>
        <v/>
      </c>
      <c r="J4186" s="94" t="str">
        <f t="shared" si="4187"/>
        <v/>
      </c>
      <c r="K4186" s="100"/>
      <c r="M4186" s="100"/>
      <c r="N4186" s="100"/>
      <c r="O4186" s="100"/>
      <c r="P4186" s="100"/>
    </row>
    <row r="4187">
      <c r="A4187" s="107">
        <v>1628381.0</v>
      </c>
      <c r="B4187" s="108" t="s">
        <v>243</v>
      </c>
      <c r="C4187" s="108" t="s">
        <v>1006</v>
      </c>
      <c r="D4187" s="112" t="s">
        <v>176</v>
      </c>
      <c r="E4187" s="112">
        <v>1845.9</v>
      </c>
      <c r="F4187" s="111" t="str">
        <f>DataPull!D4187</f>
        <v/>
      </c>
      <c r="G4187" s="94" t="str">
        <f t="shared" si="2"/>
        <v/>
      </c>
      <c r="H4187" s="94" t="str">
        <f t="shared" si="3"/>
        <v/>
      </c>
      <c r="I4187" s="94" t="str">
        <f t="shared" ref="I4187:J4187" si="4188">if(G4187 = "", , -G4187)</f>
        <v/>
      </c>
      <c r="J4187" s="94" t="str">
        <f t="shared" si="4188"/>
        <v/>
      </c>
      <c r="K4187" s="100"/>
      <c r="M4187" s="100"/>
      <c r="N4187" s="100"/>
      <c r="O4187" s="100"/>
      <c r="P4187" s="100"/>
    </row>
    <row r="4188">
      <c r="A4188" s="107">
        <v>1628381.0</v>
      </c>
      <c r="B4188" s="108" t="s">
        <v>215</v>
      </c>
      <c r="C4188" s="108" t="s">
        <v>1006</v>
      </c>
      <c r="D4188" s="112" t="s">
        <v>184</v>
      </c>
      <c r="E4188" s="112">
        <v>1663.2</v>
      </c>
      <c r="F4188" s="111" t="str">
        <f>DataPull!D4188</f>
        <v/>
      </c>
      <c r="G4188" s="94" t="str">
        <f t="shared" si="2"/>
        <v/>
      </c>
      <c r="H4188" s="94" t="str">
        <f t="shared" si="3"/>
        <v/>
      </c>
      <c r="I4188" s="94" t="str">
        <f t="shared" ref="I4188:J4188" si="4189">if(G4188 = "", , -G4188)</f>
        <v/>
      </c>
      <c r="J4188" s="94" t="str">
        <f t="shared" si="4189"/>
        <v/>
      </c>
      <c r="K4188" s="100"/>
      <c r="M4188" s="100"/>
      <c r="N4188" s="100"/>
      <c r="O4188" s="100"/>
      <c r="P4188" s="100"/>
    </row>
    <row r="4189">
      <c r="A4189" s="107">
        <v>1628381.0</v>
      </c>
      <c r="B4189" s="108" t="s">
        <v>244</v>
      </c>
      <c r="C4189" s="108" t="s">
        <v>1006</v>
      </c>
      <c r="D4189" s="112" t="s">
        <v>178</v>
      </c>
      <c r="E4189" s="112">
        <v>2130.0</v>
      </c>
      <c r="F4189" s="111" t="str">
        <f>DataPull!D4189</f>
        <v/>
      </c>
      <c r="G4189" s="94" t="str">
        <f t="shared" si="2"/>
        <v/>
      </c>
      <c r="H4189" s="94" t="str">
        <f t="shared" si="3"/>
        <v/>
      </c>
      <c r="I4189" s="94" t="str">
        <f t="shared" ref="I4189:J4189" si="4190">if(G4189 = "", , -G4189)</f>
        <v/>
      </c>
      <c r="J4189" s="94" t="str">
        <f t="shared" si="4190"/>
        <v/>
      </c>
      <c r="K4189" s="100"/>
      <c r="M4189" s="100"/>
      <c r="N4189" s="100"/>
      <c r="O4189" s="100"/>
      <c r="P4189" s="100"/>
    </row>
    <row r="4190">
      <c r="A4190" s="107">
        <v>1628381.0</v>
      </c>
      <c r="B4190" s="108" t="s">
        <v>245</v>
      </c>
      <c r="C4190" s="108" t="s">
        <v>1006</v>
      </c>
      <c r="D4190" s="112" t="s">
        <v>178</v>
      </c>
      <c r="E4190" s="112">
        <v>1904.0</v>
      </c>
      <c r="F4190" s="111" t="str">
        <f>DataPull!D4190</f>
        <v/>
      </c>
      <c r="G4190" s="94" t="str">
        <f t="shared" si="2"/>
        <v/>
      </c>
      <c r="H4190" s="94" t="str">
        <f t="shared" si="3"/>
        <v/>
      </c>
      <c r="I4190" s="94" t="str">
        <f t="shared" ref="I4190:J4190" si="4191">if(G4190 = "", , -G4190)</f>
        <v/>
      </c>
      <c r="J4190" s="94" t="str">
        <f t="shared" si="4191"/>
        <v/>
      </c>
      <c r="K4190" s="100"/>
      <c r="M4190" s="100"/>
      <c r="N4190" s="100"/>
      <c r="O4190" s="100"/>
      <c r="P4190" s="100"/>
    </row>
    <row r="4191">
      <c r="A4191" s="107">
        <v>1628381.0</v>
      </c>
      <c r="B4191" s="108" t="s">
        <v>246</v>
      </c>
      <c r="C4191" s="108" t="s">
        <v>1006</v>
      </c>
      <c r="D4191" s="112" t="s">
        <v>178</v>
      </c>
      <c r="E4191" s="112">
        <v>1220.0</v>
      </c>
      <c r="F4191" s="111" t="str">
        <f>DataPull!D4191</f>
        <v/>
      </c>
      <c r="G4191" s="94" t="str">
        <f t="shared" si="2"/>
        <v/>
      </c>
      <c r="H4191" s="94" t="str">
        <f t="shared" si="3"/>
        <v/>
      </c>
      <c r="I4191" s="94" t="str">
        <f t="shared" ref="I4191:J4191" si="4192">if(G4191 = "", , -G4191)</f>
        <v/>
      </c>
      <c r="J4191" s="94" t="str">
        <f t="shared" si="4192"/>
        <v/>
      </c>
      <c r="K4191" s="100"/>
      <c r="M4191" s="100"/>
      <c r="N4191" s="100"/>
      <c r="O4191" s="100"/>
      <c r="P4191" s="100"/>
    </row>
    <row r="4192">
      <c r="A4192" s="114">
        <v>1628381.0</v>
      </c>
      <c r="B4192" s="113" t="s">
        <v>247</v>
      </c>
      <c r="C4192" s="113" t="s">
        <v>1006</v>
      </c>
      <c r="D4192" s="112" t="s">
        <v>178</v>
      </c>
      <c r="E4192" s="112">
        <v>1869.9</v>
      </c>
      <c r="F4192" s="111" t="str">
        <f>DataPull!D4192</f>
        <v/>
      </c>
      <c r="G4192" s="94" t="str">
        <f t="shared" si="2"/>
        <v/>
      </c>
      <c r="H4192" s="94" t="str">
        <f t="shared" si="3"/>
        <v/>
      </c>
      <c r="I4192" s="94" t="str">
        <f t="shared" ref="I4192:J4192" si="4193">if(G4192 = "", , -G4192)</f>
        <v/>
      </c>
      <c r="J4192" s="94" t="str">
        <f t="shared" si="4193"/>
        <v/>
      </c>
      <c r="K4192" s="100"/>
      <c r="M4192" s="100"/>
      <c r="N4192" s="100"/>
      <c r="O4192" s="100"/>
      <c r="P4192" s="100"/>
    </row>
    <row r="4193">
      <c r="A4193" s="107">
        <v>1628382.0</v>
      </c>
      <c r="B4193" s="108" t="s">
        <v>191</v>
      </c>
      <c r="C4193" s="108" t="s">
        <v>1007</v>
      </c>
      <c r="D4193" s="112" t="s">
        <v>176</v>
      </c>
      <c r="E4193" s="112">
        <v>1509.6</v>
      </c>
      <c r="F4193" s="111" t="str">
        <f>DataPull!D4193</f>
        <v/>
      </c>
      <c r="G4193" s="94" t="str">
        <f t="shared" si="2"/>
        <v/>
      </c>
      <c r="H4193" s="94" t="str">
        <f t="shared" si="3"/>
        <v/>
      </c>
      <c r="I4193" s="94" t="str">
        <f t="shared" ref="I4193:J4193" si="4194">if(G4193 = "", , -G4193)</f>
        <v/>
      </c>
      <c r="J4193" s="94" t="str">
        <f t="shared" si="4194"/>
        <v/>
      </c>
      <c r="K4193" s="100"/>
      <c r="M4193" s="100"/>
      <c r="N4193" s="100"/>
      <c r="O4193" s="100"/>
      <c r="P4193" s="100"/>
    </row>
    <row r="4194">
      <c r="A4194" s="107">
        <v>1628382.0</v>
      </c>
      <c r="B4194" s="108" t="s">
        <v>192</v>
      </c>
      <c r="C4194" s="108" t="s">
        <v>1007</v>
      </c>
      <c r="D4194" s="112" t="s">
        <v>176</v>
      </c>
      <c r="E4194" s="112">
        <v>1611.9</v>
      </c>
      <c r="F4194" s="111" t="str">
        <f>DataPull!D4194</f>
        <v/>
      </c>
      <c r="G4194" s="94" t="str">
        <f t="shared" si="2"/>
        <v/>
      </c>
      <c r="H4194" s="94" t="str">
        <f t="shared" si="3"/>
        <v/>
      </c>
      <c r="I4194" s="94" t="str">
        <f t="shared" ref="I4194:J4194" si="4195">if(G4194 = "", , -G4194)</f>
        <v/>
      </c>
      <c r="J4194" s="94" t="str">
        <f t="shared" si="4195"/>
        <v/>
      </c>
      <c r="K4194" s="100"/>
      <c r="M4194" s="100"/>
      <c r="N4194" s="100"/>
      <c r="O4194" s="100"/>
      <c r="P4194" s="100"/>
    </row>
    <row r="4195">
      <c r="A4195" s="107">
        <v>1628382.0</v>
      </c>
      <c r="B4195" s="108" t="s">
        <v>193</v>
      </c>
      <c r="C4195" s="108" t="s">
        <v>1007</v>
      </c>
      <c r="D4195" s="112" t="s">
        <v>177</v>
      </c>
      <c r="E4195" s="112">
        <v>1046.5</v>
      </c>
      <c r="F4195" s="111" t="str">
        <f>DataPull!D4195</f>
        <v/>
      </c>
      <c r="G4195" s="94" t="str">
        <f t="shared" si="2"/>
        <v/>
      </c>
      <c r="H4195" s="94" t="str">
        <f t="shared" si="3"/>
        <v/>
      </c>
      <c r="I4195" s="94" t="str">
        <f t="shared" ref="I4195:J4195" si="4196">if(G4195 = "", , -G4195)</f>
        <v/>
      </c>
      <c r="J4195" s="94" t="str">
        <f t="shared" si="4196"/>
        <v/>
      </c>
      <c r="K4195" s="100"/>
      <c r="M4195" s="100"/>
      <c r="N4195" s="100"/>
      <c r="O4195" s="100"/>
      <c r="P4195" s="100"/>
    </row>
    <row r="4196">
      <c r="A4196" s="107">
        <v>1628382.0</v>
      </c>
      <c r="B4196" s="108" t="s">
        <v>243</v>
      </c>
      <c r="C4196" s="108" t="s">
        <v>1007</v>
      </c>
      <c r="D4196" s="112" t="s">
        <v>177</v>
      </c>
      <c r="E4196" s="112">
        <v>578.0</v>
      </c>
      <c r="F4196" s="111" t="str">
        <f>DataPull!D4196</f>
        <v/>
      </c>
      <c r="G4196" s="94" t="str">
        <f t="shared" si="2"/>
        <v/>
      </c>
      <c r="H4196" s="94" t="str">
        <f t="shared" si="3"/>
        <v/>
      </c>
      <c r="I4196" s="94" t="str">
        <f t="shared" ref="I4196:J4196" si="4197">if(G4196 = "", , -G4196)</f>
        <v/>
      </c>
      <c r="J4196" s="94" t="str">
        <f t="shared" si="4197"/>
        <v/>
      </c>
      <c r="K4196" s="100"/>
      <c r="M4196" s="100"/>
      <c r="N4196" s="100"/>
      <c r="O4196" s="100"/>
      <c r="P4196" s="100"/>
    </row>
    <row r="4197">
      <c r="A4197" s="107">
        <v>1628382.0</v>
      </c>
      <c r="B4197" s="108" t="s">
        <v>215</v>
      </c>
      <c r="C4197" s="108" t="s">
        <v>1007</v>
      </c>
      <c r="D4197" s="112" t="s">
        <v>181</v>
      </c>
      <c r="E4197" s="112">
        <v>36.4</v>
      </c>
      <c r="F4197" s="111" t="str">
        <f>DataPull!D4197</f>
        <v/>
      </c>
      <c r="G4197" s="94" t="str">
        <f t="shared" si="2"/>
        <v/>
      </c>
      <c r="H4197" s="94" t="str">
        <f t="shared" si="3"/>
        <v/>
      </c>
      <c r="I4197" s="94" t="str">
        <f t="shared" ref="I4197:J4197" si="4198">if(G4197 = "", , -G4197)</f>
        <v/>
      </c>
      <c r="J4197" s="94" t="str">
        <f t="shared" si="4198"/>
        <v/>
      </c>
      <c r="K4197" s="100"/>
      <c r="M4197" s="100"/>
      <c r="N4197" s="100"/>
      <c r="O4197" s="100"/>
      <c r="P4197" s="100"/>
    </row>
    <row r="4198">
      <c r="A4198" s="107">
        <v>1628382.0</v>
      </c>
      <c r="B4198" s="108" t="s">
        <v>244</v>
      </c>
      <c r="C4198" s="108" t="s">
        <v>1007</v>
      </c>
      <c r="D4198" s="112" t="s">
        <v>187</v>
      </c>
      <c r="E4198" s="112">
        <v>108.1</v>
      </c>
      <c r="F4198" s="111" t="str">
        <f>DataPull!D4198</f>
        <v/>
      </c>
      <c r="G4198" s="94" t="str">
        <f t="shared" si="2"/>
        <v/>
      </c>
      <c r="H4198" s="94" t="str">
        <f t="shared" si="3"/>
        <v/>
      </c>
      <c r="I4198" s="94" t="str">
        <f t="shared" ref="I4198:J4198" si="4199">if(G4198 = "", , -G4198)</f>
        <v/>
      </c>
      <c r="J4198" s="94" t="str">
        <f t="shared" si="4199"/>
        <v/>
      </c>
      <c r="K4198" s="100"/>
      <c r="M4198" s="100"/>
      <c r="N4198" s="100"/>
      <c r="O4198" s="100"/>
      <c r="P4198" s="100"/>
    </row>
    <row r="4199">
      <c r="A4199" s="107">
        <v>1628383.0</v>
      </c>
      <c r="B4199" s="108" t="s">
        <v>191</v>
      </c>
      <c r="C4199" s="108" t="s">
        <v>1008</v>
      </c>
      <c r="D4199" s="112" t="s">
        <v>181</v>
      </c>
      <c r="E4199" s="112">
        <v>3.7</v>
      </c>
      <c r="F4199" s="111" t="str">
        <f>DataPull!D4199</f>
        <v/>
      </c>
      <c r="G4199" s="94" t="str">
        <f t="shared" si="2"/>
        <v/>
      </c>
      <c r="H4199" s="94" t="str">
        <f t="shared" si="3"/>
        <v/>
      </c>
      <c r="I4199" s="94" t="str">
        <f t="shared" ref="I4199:J4199" si="4200">if(G4199 = "", , -G4199)</f>
        <v/>
      </c>
      <c r="J4199" s="94" t="str">
        <f t="shared" si="4200"/>
        <v/>
      </c>
      <c r="K4199" s="100"/>
      <c r="M4199" s="100"/>
      <c r="N4199" s="100"/>
      <c r="O4199" s="100"/>
      <c r="P4199" s="100"/>
    </row>
    <row r="4200">
      <c r="A4200" s="107">
        <v>1628383.0</v>
      </c>
      <c r="B4200" s="108" t="s">
        <v>192</v>
      </c>
      <c r="C4200" s="108" t="s">
        <v>1008</v>
      </c>
      <c r="D4200" s="112" t="s">
        <v>181</v>
      </c>
      <c r="E4200" s="112">
        <v>20.7</v>
      </c>
      <c r="F4200" s="111" t="str">
        <f>DataPull!D4200</f>
        <v/>
      </c>
      <c r="G4200" s="94" t="str">
        <f t="shared" si="2"/>
        <v/>
      </c>
      <c r="H4200" s="94" t="str">
        <f t="shared" si="3"/>
        <v/>
      </c>
      <c r="I4200" s="94" t="str">
        <f t="shared" ref="I4200:J4200" si="4201">if(G4200 = "", , -G4200)</f>
        <v/>
      </c>
      <c r="J4200" s="94" t="str">
        <f t="shared" si="4201"/>
        <v/>
      </c>
      <c r="K4200" s="100"/>
      <c r="M4200" s="100"/>
      <c r="N4200" s="100"/>
      <c r="O4200" s="100"/>
      <c r="P4200" s="100"/>
    </row>
    <row r="4201">
      <c r="A4201" s="107">
        <v>1628383.0</v>
      </c>
      <c r="B4201" s="108" t="s">
        <v>193</v>
      </c>
      <c r="C4201" s="108" t="s">
        <v>1008</v>
      </c>
      <c r="D4201" s="112" t="s">
        <v>181</v>
      </c>
      <c r="E4201" s="112">
        <v>24.0</v>
      </c>
      <c r="F4201" s="111" t="str">
        <f>DataPull!D4201</f>
        <v/>
      </c>
      <c r="G4201" s="94" t="str">
        <f t="shared" si="2"/>
        <v/>
      </c>
      <c r="H4201" s="94" t="str">
        <f t="shared" si="3"/>
        <v/>
      </c>
      <c r="I4201" s="94" t="str">
        <f t="shared" ref="I4201:J4201" si="4202">if(G4201 = "", , -G4201)</f>
        <v/>
      </c>
      <c r="J4201" s="94" t="str">
        <f t="shared" si="4202"/>
        <v/>
      </c>
      <c r="K4201" s="100"/>
      <c r="M4201" s="100"/>
      <c r="N4201" s="100"/>
      <c r="O4201" s="100"/>
      <c r="P4201" s="100"/>
    </row>
    <row r="4202">
      <c r="A4202" s="107">
        <v>1628383.0</v>
      </c>
      <c r="B4202" s="108" t="s">
        <v>243</v>
      </c>
      <c r="C4202" s="108" t="s">
        <v>1008</v>
      </c>
      <c r="D4202" s="112" t="s">
        <v>187</v>
      </c>
      <c r="E4202" s="112">
        <v>247.0</v>
      </c>
      <c r="F4202" s="111" t="str">
        <f>DataPull!D4202</f>
        <v/>
      </c>
      <c r="G4202" s="94" t="str">
        <f t="shared" si="2"/>
        <v/>
      </c>
      <c r="H4202" s="94" t="str">
        <f t="shared" si="3"/>
        <v/>
      </c>
      <c r="I4202" s="94" t="str">
        <f t="shared" ref="I4202:J4202" si="4203">if(G4202 = "", , -G4202)</f>
        <v/>
      </c>
      <c r="J4202" s="94" t="str">
        <f t="shared" si="4203"/>
        <v/>
      </c>
      <c r="K4202" s="100"/>
      <c r="L4202" s="100"/>
      <c r="M4202" s="100"/>
      <c r="N4202" s="100"/>
      <c r="O4202" s="100"/>
      <c r="P4202" s="100"/>
    </row>
    <row r="4203">
      <c r="A4203" s="107">
        <v>1628384.0</v>
      </c>
      <c r="B4203" s="108" t="s">
        <v>191</v>
      </c>
      <c r="C4203" s="108" t="s">
        <v>1009</v>
      </c>
      <c r="D4203" s="112" t="s">
        <v>176</v>
      </c>
      <c r="E4203" s="112">
        <v>1480.0</v>
      </c>
      <c r="F4203" s="111" t="str">
        <f>DataPull!D4203</f>
        <v/>
      </c>
      <c r="G4203" s="94" t="str">
        <f t="shared" si="2"/>
        <v/>
      </c>
      <c r="H4203" s="94" t="str">
        <f t="shared" si="3"/>
        <v/>
      </c>
      <c r="I4203" s="94" t="str">
        <f t="shared" ref="I4203:J4203" si="4204">if(G4203 = "", , -G4203)</f>
        <v/>
      </c>
      <c r="J4203" s="94" t="str">
        <f t="shared" si="4204"/>
        <v/>
      </c>
      <c r="K4203" s="100"/>
      <c r="M4203" s="100"/>
      <c r="N4203" s="100"/>
      <c r="O4203" s="100"/>
      <c r="P4203" s="100"/>
    </row>
    <row r="4204">
      <c r="A4204" s="107">
        <v>1628384.0</v>
      </c>
      <c r="B4204" s="108" t="s">
        <v>192</v>
      </c>
      <c r="C4204" s="108" t="s">
        <v>1009</v>
      </c>
      <c r="D4204" s="112" t="s">
        <v>177</v>
      </c>
      <c r="E4204" s="112">
        <v>1353.4</v>
      </c>
      <c r="F4204" s="111" t="str">
        <f>DataPull!D4204</f>
        <v/>
      </c>
      <c r="G4204" s="94" t="str">
        <f t="shared" si="2"/>
        <v/>
      </c>
      <c r="H4204" s="94" t="str">
        <f t="shared" si="3"/>
        <v/>
      </c>
      <c r="I4204" s="94" t="str">
        <f t="shared" ref="I4204:J4204" si="4205">if(G4204 = "", , -G4204)</f>
        <v/>
      </c>
      <c r="J4204" s="94" t="str">
        <f t="shared" si="4205"/>
        <v/>
      </c>
      <c r="K4204" s="100"/>
      <c r="M4204" s="100"/>
      <c r="N4204" s="100"/>
      <c r="O4204" s="100"/>
      <c r="P4204" s="100"/>
    </row>
    <row r="4205">
      <c r="A4205" s="107">
        <v>1628384.0</v>
      </c>
      <c r="B4205" s="108" t="s">
        <v>193</v>
      </c>
      <c r="C4205" s="108" t="s">
        <v>1009</v>
      </c>
      <c r="D4205" s="112" t="s">
        <v>178</v>
      </c>
      <c r="E4205" s="112">
        <v>2063.1</v>
      </c>
      <c r="F4205" s="111" t="str">
        <f>DataPull!D4205</f>
        <v/>
      </c>
      <c r="G4205" s="94" t="str">
        <f t="shared" si="2"/>
        <v/>
      </c>
      <c r="H4205" s="94" t="str">
        <f t="shared" si="3"/>
        <v/>
      </c>
      <c r="I4205" s="94" t="str">
        <f t="shared" ref="I4205:J4205" si="4206">if(G4205 = "", , -G4205)</f>
        <v/>
      </c>
      <c r="J4205" s="94" t="str">
        <f t="shared" si="4206"/>
        <v/>
      </c>
      <c r="K4205" s="100"/>
      <c r="M4205" s="100"/>
      <c r="N4205" s="100"/>
      <c r="O4205" s="100"/>
      <c r="P4205" s="100"/>
    </row>
    <row r="4206">
      <c r="A4206" s="107">
        <v>1628384.0</v>
      </c>
      <c r="B4206" s="108" t="s">
        <v>243</v>
      </c>
      <c r="C4206" s="115" t="s">
        <v>1010</v>
      </c>
      <c r="D4206" s="112" t="s">
        <v>177</v>
      </c>
      <c r="E4206" s="112">
        <v>1085.6</v>
      </c>
      <c r="F4206" s="111" t="str">
        <f>DataPull!D4206</f>
        <v/>
      </c>
      <c r="G4206" s="94" t="str">
        <f t="shared" si="2"/>
        <v/>
      </c>
      <c r="H4206" s="94" t="str">
        <f t="shared" si="3"/>
        <v/>
      </c>
      <c r="I4206" s="94" t="str">
        <f t="shared" ref="I4206:J4206" si="4207">if(G4206 = "", , -G4206)</f>
        <v/>
      </c>
      <c r="J4206" s="94" t="str">
        <f t="shared" si="4207"/>
        <v/>
      </c>
      <c r="K4206" s="100"/>
      <c r="M4206" s="100"/>
      <c r="N4206" s="100"/>
      <c r="O4206" s="100"/>
      <c r="P4206" s="100"/>
    </row>
    <row r="4207">
      <c r="A4207" s="107">
        <v>1628384.0</v>
      </c>
      <c r="B4207" s="108" t="s">
        <v>215</v>
      </c>
      <c r="C4207" s="108" t="s">
        <v>1009</v>
      </c>
      <c r="D4207" s="112" t="s">
        <v>178</v>
      </c>
      <c r="E4207" s="112">
        <v>1728.0</v>
      </c>
      <c r="F4207" s="111" t="str">
        <f>DataPull!D4207</f>
        <v/>
      </c>
      <c r="G4207" s="94" t="str">
        <f t="shared" si="2"/>
        <v/>
      </c>
      <c r="H4207" s="94" t="str">
        <f t="shared" si="3"/>
        <v/>
      </c>
      <c r="I4207" s="94" t="str">
        <f t="shared" ref="I4207:J4207" si="4208">if(G4207 = "", , -G4207)</f>
        <v/>
      </c>
      <c r="J4207" s="94" t="str">
        <f t="shared" si="4208"/>
        <v/>
      </c>
      <c r="K4207" s="100"/>
      <c r="M4207" s="100"/>
      <c r="N4207" s="100"/>
      <c r="O4207" s="100"/>
      <c r="P4207" s="100"/>
    </row>
    <row r="4208">
      <c r="A4208" s="107">
        <v>1628384.0</v>
      </c>
      <c r="B4208" s="108" t="s">
        <v>244</v>
      </c>
      <c r="C4208" s="108" t="s">
        <v>1009</v>
      </c>
      <c r="D4208" s="112" t="s">
        <v>184</v>
      </c>
      <c r="E4208" s="112">
        <v>2385.2</v>
      </c>
      <c r="F4208" s="111" t="str">
        <f>DataPull!D4208</f>
        <v/>
      </c>
      <c r="G4208" s="94" t="str">
        <f t="shared" si="2"/>
        <v/>
      </c>
      <c r="H4208" s="94" t="str">
        <f t="shared" si="3"/>
        <v/>
      </c>
      <c r="I4208" s="94" t="str">
        <f t="shared" ref="I4208:J4208" si="4209">if(G4208 = "", , -G4208)</f>
        <v/>
      </c>
      <c r="J4208" s="94" t="str">
        <f t="shared" si="4209"/>
        <v/>
      </c>
      <c r="K4208" s="100"/>
      <c r="M4208" s="100"/>
      <c r="N4208" s="100"/>
      <c r="O4208" s="100"/>
      <c r="P4208" s="100"/>
    </row>
    <row r="4209">
      <c r="A4209" s="107">
        <v>1628384.0</v>
      </c>
      <c r="B4209" s="108" t="s">
        <v>245</v>
      </c>
      <c r="C4209" s="108" t="s">
        <v>1009</v>
      </c>
      <c r="D4209" s="112" t="s">
        <v>178</v>
      </c>
      <c r="E4209" s="112">
        <v>1700.0</v>
      </c>
      <c r="F4209" s="111" t="str">
        <f>DataPull!D4209</f>
        <v/>
      </c>
      <c r="G4209" s="94" t="str">
        <f t="shared" si="2"/>
        <v/>
      </c>
      <c r="H4209" s="94" t="str">
        <f t="shared" si="3"/>
        <v/>
      </c>
      <c r="I4209" s="94" t="str">
        <f t="shared" ref="I4209:J4209" si="4210">if(G4209 = "", , -G4209)</f>
        <v/>
      </c>
      <c r="J4209" s="94" t="str">
        <f t="shared" si="4210"/>
        <v/>
      </c>
      <c r="K4209" s="100"/>
      <c r="N4209" s="100"/>
      <c r="O4209" s="100"/>
      <c r="P4209" s="100"/>
    </row>
    <row r="4210">
      <c r="A4210" s="107">
        <v>1628384.0</v>
      </c>
      <c r="B4210" s="108" t="s">
        <v>246</v>
      </c>
      <c r="C4210" s="108" t="s">
        <v>1009</v>
      </c>
      <c r="D4210" s="112" t="s">
        <v>178</v>
      </c>
      <c r="E4210" s="112">
        <v>2708.4</v>
      </c>
      <c r="F4210" s="111" t="str">
        <f>DataPull!D4210</f>
        <v/>
      </c>
      <c r="G4210" s="94" t="str">
        <f t="shared" si="2"/>
        <v/>
      </c>
      <c r="H4210" s="94" t="str">
        <f t="shared" si="3"/>
        <v/>
      </c>
      <c r="I4210" s="94" t="str">
        <f t="shared" ref="I4210:J4210" si="4211">if(G4210 = "", , -G4210)</f>
        <v/>
      </c>
      <c r="J4210" s="94" t="str">
        <f t="shared" si="4211"/>
        <v/>
      </c>
      <c r="K4210" s="100"/>
      <c r="M4210" s="100"/>
      <c r="N4210" s="100"/>
      <c r="O4210" s="100"/>
      <c r="P4210" s="100"/>
    </row>
    <row r="4211">
      <c r="A4211" s="114">
        <v>1628384.0</v>
      </c>
      <c r="B4211" s="113" t="s">
        <v>247</v>
      </c>
      <c r="C4211" s="113" t="s">
        <v>1009</v>
      </c>
      <c r="D4211" s="112" t="s">
        <v>184</v>
      </c>
      <c r="E4211" s="112">
        <v>2224.4</v>
      </c>
      <c r="F4211" s="111" t="str">
        <f>DataPull!D4211</f>
        <v/>
      </c>
      <c r="G4211" s="94" t="str">
        <f t="shared" si="2"/>
        <v/>
      </c>
      <c r="H4211" s="94" t="str">
        <f t="shared" si="3"/>
        <v/>
      </c>
      <c r="I4211" s="94" t="str">
        <f t="shared" ref="I4211:J4211" si="4212">if(G4211 = "", , -G4211)</f>
        <v/>
      </c>
      <c r="J4211" s="94" t="str">
        <f t="shared" si="4212"/>
        <v/>
      </c>
      <c r="K4211" s="100"/>
      <c r="M4211" s="100"/>
      <c r="N4211" s="100"/>
      <c r="O4211" s="100"/>
      <c r="P4211" s="100"/>
    </row>
    <row r="4212">
      <c r="A4212" s="107">
        <v>1628385.0</v>
      </c>
      <c r="B4212" s="108" t="s">
        <v>192</v>
      </c>
      <c r="C4212" s="115" t="s">
        <v>1011</v>
      </c>
      <c r="D4212" s="112" t="s">
        <v>177</v>
      </c>
      <c r="E4212" s="112">
        <v>817.8</v>
      </c>
      <c r="F4212" s="111" t="str">
        <f>DataPull!D4212</f>
        <v/>
      </c>
      <c r="G4212" s="94" t="str">
        <f t="shared" si="2"/>
        <v/>
      </c>
      <c r="H4212" s="94" t="str">
        <f t="shared" si="3"/>
        <v/>
      </c>
      <c r="I4212" s="94" t="str">
        <f t="shared" ref="I4212:J4212" si="4213">if(G4212 = "", , -G4212)</f>
        <v/>
      </c>
      <c r="J4212" s="94" t="str">
        <f t="shared" si="4213"/>
        <v/>
      </c>
      <c r="K4212" s="100"/>
      <c r="M4212" s="100"/>
      <c r="N4212" s="100"/>
      <c r="O4212" s="100"/>
      <c r="P4212" s="100"/>
    </row>
    <row r="4213">
      <c r="A4213" s="107">
        <v>1628385.0</v>
      </c>
      <c r="B4213" s="108" t="s">
        <v>193</v>
      </c>
      <c r="C4213" s="115" t="s">
        <v>1011</v>
      </c>
      <c r="D4213" s="112" t="s">
        <v>177</v>
      </c>
      <c r="E4213" s="112">
        <v>667.0</v>
      </c>
      <c r="F4213" s="111" t="str">
        <f>DataPull!D4213</f>
        <v/>
      </c>
      <c r="G4213" s="94" t="str">
        <f t="shared" si="2"/>
        <v/>
      </c>
      <c r="H4213" s="94" t="str">
        <f t="shared" si="3"/>
        <v/>
      </c>
      <c r="I4213" s="94" t="str">
        <f t="shared" ref="I4213:J4213" si="4214">if(G4213 = "", , -G4213)</f>
        <v/>
      </c>
      <c r="J4213" s="94" t="str">
        <f t="shared" si="4214"/>
        <v/>
      </c>
      <c r="K4213" s="100"/>
      <c r="M4213" s="100"/>
      <c r="N4213" s="100"/>
      <c r="O4213" s="100"/>
      <c r="P4213" s="100"/>
    </row>
    <row r="4214">
      <c r="A4214" s="107">
        <v>1628385.0</v>
      </c>
      <c r="B4214" s="108" t="s">
        <v>243</v>
      </c>
      <c r="C4214" s="115" t="s">
        <v>1011</v>
      </c>
      <c r="D4214" s="112" t="s">
        <v>187</v>
      </c>
      <c r="E4214" s="112">
        <v>349.6</v>
      </c>
      <c r="F4214" s="111" t="str">
        <f>DataPull!D4214</f>
        <v/>
      </c>
      <c r="G4214" s="94" t="str">
        <f t="shared" si="2"/>
        <v/>
      </c>
      <c r="H4214" s="94" t="str">
        <f t="shared" si="3"/>
        <v/>
      </c>
      <c r="I4214" s="94" t="str">
        <f t="shared" ref="I4214:J4214" si="4215">if(G4214 = "", , -G4214)</f>
        <v/>
      </c>
      <c r="J4214" s="94" t="str">
        <f t="shared" si="4215"/>
        <v/>
      </c>
      <c r="K4214" s="100"/>
      <c r="M4214" s="100"/>
      <c r="N4214" s="100"/>
      <c r="O4214" s="100"/>
      <c r="P4214" s="100"/>
    </row>
    <row r="4215">
      <c r="A4215" s="107">
        <v>1628385.0</v>
      </c>
      <c r="B4215" s="108" t="s">
        <v>245</v>
      </c>
      <c r="C4215" s="115" t="s">
        <v>1011</v>
      </c>
      <c r="D4215" s="112" t="s">
        <v>187</v>
      </c>
      <c r="E4215" s="112">
        <v>98.9</v>
      </c>
      <c r="F4215" s="111" t="str">
        <f>DataPull!D4215</f>
        <v/>
      </c>
      <c r="G4215" s="94" t="str">
        <f t="shared" si="2"/>
        <v/>
      </c>
      <c r="H4215" s="94" t="str">
        <f t="shared" si="3"/>
        <v/>
      </c>
      <c r="I4215" s="94" t="str">
        <f t="shared" ref="I4215:J4215" si="4216">if(G4215 = "", , -G4215)</f>
        <v/>
      </c>
      <c r="J4215" s="94" t="str">
        <f t="shared" si="4216"/>
        <v/>
      </c>
      <c r="K4215" s="100"/>
      <c r="M4215" s="100"/>
      <c r="N4215" s="100"/>
      <c r="O4215" s="100"/>
      <c r="P4215" s="100"/>
    </row>
    <row r="4216">
      <c r="A4216" s="107">
        <v>1628386.0</v>
      </c>
      <c r="B4216" s="108" t="s">
        <v>191</v>
      </c>
      <c r="C4216" s="108" t="s">
        <v>1012</v>
      </c>
      <c r="D4216" s="112" t="s">
        <v>176</v>
      </c>
      <c r="E4216" s="112">
        <v>1440.0</v>
      </c>
      <c r="F4216" s="111" t="str">
        <f>DataPull!D4216</f>
        <v/>
      </c>
      <c r="G4216" s="94" t="str">
        <f t="shared" si="2"/>
        <v/>
      </c>
      <c r="H4216" s="94" t="str">
        <f t="shared" si="3"/>
        <v/>
      </c>
      <c r="I4216" s="94" t="str">
        <f t="shared" ref="I4216:J4216" si="4217">if(G4216 = "", , -G4216)</f>
        <v/>
      </c>
      <c r="J4216" s="94" t="str">
        <f t="shared" si="4217"/>
        <v/>
      </c>
      <c r="K4216" s="100"/>
      <c r="M4216" s="100"/>
      <c r="N4216" s="100"/>
      <c r="O4216" s="100"/>
      <c r="P4216" s="100"/>
    </row>
    <row r="4217">
      <c r="A4217" s="107">
        <v>1628386.0</v>
      </c>
      <c r="B4217" s="108" t="s">
        <v>192</v>
      </c>
      <c r="C4217" s="108" t="s">
        <v>1012</v>
      </c>
      <c r="D4217" s="112" t="s">
        <v>176</v>
      </c>
      <c r="E4217" s="112">
        <v>2096.0</v>
      </c>
      <c r="F4217" s="111" t="str">
        <f>DataPull!D4217</f>
        <v/>
      </c>
      <c r="G4217" s="94" t="str">
        <f t="shared" si="2"/>
        <v/>
      </c>
      <c r="H4217" s="94" t="str">
        <f t="shared" si="3"/>
        <v/>
      </c>
      <c r="I4217" s="94" t="str">
        <f t="shared" ref="I4217:J4217" si="4218">if(G4217 = "", , -G4217)</f>
        <v/>
      </c>
      <c r="J4217" s="94" t="str">
        <f t="shared" si="4218"/>
        <v/>
      </c>
      <c r="K4217" s="100"/>
      <c r="M4217" s="100"/>
      <c r="N4217" s="100"/>
      <c r="O4217" s="100"/>
      <c r="P4217" s="100"/>
    </row>
    <row r="4218">
      <c r="A4218" s="107">
        <v>1628386.0</v>
      </c>
      <c r="B4218" s="108" t="s">
        <v>193</v>
      </c>
      <c r="C4218" s="108" t="s">
        <v>1012</v>
      </c>
      <c r="D4218" s="112" t="s">
        <v>176</v>
      </c>
      <c r="E4218" s="112">
        <v>1855.0</v>
      </c>
      <c r="F4218" s="111" t="str">
        <f>DataPull!D4218</f>
        <v/>
      </c>
      <c r="G4218" s="94" t="str">
        <f t="shared" si="2"/>
        <v/>
      </c>
      <c r="H4218" s="94" t="str">
        <f t="shared" si="3"/>
        <v/>
      </c>
      <c r="I4218" s="94" t="str">
        <f t="shared" ref="I4218:J4218" si="4219">if(G4218 = "", , -G4218)</f>
        <v/>
      </c>
      <c r="J4218" s="94" t="str">
        <f t="shared" si="4219"/>
        <v/>
      </c>
      <c r="K4218" s="100"/>
      <c r="M4218" s="100"/>
      <c r="N4218" s="100"/>
      <c r="O4218" s="100"/>
      <c r="P4218" s="100"/>
    </row>
    <row r="4219">
      <c r="A4219" s="107">
        <v>1628386.0</v>
      </c>
      <c r="B4219" s="108" t="s">
        <v>243</v>
      </c>
      <c r="C4219" s="108" t="s">
        <v>1012</v>
      </c>
      <c r="D4219" s="112" t="s">
        <v>178</v>
      </c>
      <c r="E4219" s="112">
        <v>1864.8</v>
      </c>
      <c r="F4219" s="111" t="str">
        <f>DataPull!D4219</f>
        <v/>
      </c>
      <c r="G4219" s="94" t="str">
        <f t="shared" si="2"/>
        <v/>
      </c>
      <c r="H4219" s="94" t="str">
        <f t="shared" si="3"/>
        <v/>
      </c>
      <c r="I4219" s="94" t="str">
        <f t="shared" ref="I4219:J4219" si="4220">if(G4219 = "", , -G4219)</f>
        <v/>
      </c>
      <c r="J4219" s="94" t="str">
        <f t="shared" si="4220"/>
        <v/>
      </c>
      <c r="K4219" s="100"/>
      <c r="M4219" s="100"/>
      <c r="N4219" s="100"/>
      <c r="O4219" s="100"/>
      <c r="P4219" s="100"/>
    </row>
    <row r="4220">
      <c r="A4220" s="107">
        <v>1628386.0</v>
      </c>
      <c r="B4220" s="108" t="s">
        <v>215</v>
      </c>
      <c r="C4220" s="108" t="s">
        <v>1012</v>
      </c>
      <c r="D4220" s="112" t="s">
        <v>184</v>
      </c>
      <c r="E4220" s="112">
        <v>1808.8</v>
      </c>
      <c r="F4220" s="111" t="str">
        <f>DataPull!D4220</f>
        <v/>
      </c>
      <c r="G4220" s="94" t="str">
        <f t="shared" si="2"/>
        <v/>
      </c>
      <c r="H4220" s="94" t="str">
        <f t="shared" si="3"/>
        <v/>
      </c>
      <c r="I4220" s="94" t="str">
        <f t="shared" ref="I4220:J4220" si="4221">if(G4220 = "", , -G4220)</f>
        <v/>
      </c>
      <c r="J4220" s="94" t="str">
        <f t="shared" si="4221"/>
        <v/>
      </c>
      <c r="K4220" s="100"/>
      <c r="M4220" s="100"/>
      <c r="N4220" s="100"/>
      <c r="O4220" s="100"/>
      <c r="P4220" s="100"/>
    </row>
    <row r="4221">
      <c r="A4221" s="107">
        <v>1628386.0</v>
      </c>
      <c r="B4221" s="108" t="s">
        <v>244</v>
      </c>
      <c r="C4221" s="108" t="s">
        <v>1012</v>
      </c>
      <c r="D4221" s="112" t="s">
        <v>184</v>
      </c>
      <c r="E4221" s="112">
        <v>2216.8</v>
      </c>
      <c r="F4221" s="111" t="str">
        <f>DataPull!D4221</f>
        <v/>
      </c>
      <c r="G4221" s="94" t="str">
        <f t="shared" si="2"/>
        <v/>
      </c>
      <c r="H4221" s="94" t="str">
        <f t="shared" si="3"/>
        <v/>
      </c>
      <c r="I4221" s="94" t="str">
        <f t="shared" ref="I4221:J4221" si="4222">if(G4221 = "", , -G4221)</f>
        <v/>
      </c>
      <c r="J4221" s="94" t="str">
        <f t="shared" si="4222"/>
        <v/>
      </c>
      <c r="K4221" s="100"/>
      <c r="L4221" s="100"/>
      <c r="N4221" s="100"/>
      <c r="O4221" s="100"/>
      <c r="P4221" s="100"/>
    </row>
    <row r="4222">
      <c r="A4222" s="107">
        <v>1628386.0</v>
      </c>
      <c r="B4222" s="108" t="s">
        <v>245</v>
      </c>
      <c r="C4222" s="108" t="s">
        <v>1012</v>
      </c>
      <c r="D4222" s="112" t="s">
        <v>184</v>
      </c>
      <c r="E4222" s="112">
        <v>2440.9</v>
      </c>
      <c r="F4222" s="111" t="str">
        <f>DataPull!D4222</f>
        <v/>
      </c>
      <c r="G4222" s="94" t="str">
        <f t="shared" si="2"/>
        <v/>
      </c>
      <c r="H4222" s="94" t="str">
        <f t="shared" si="3"/>
        <v/>
      </c>
      <c r="I4222" s="94" t="str">
        <f t="shared" ref="I4222:J4222" si="4223">if(G4222 = "", , -G4222)</f>
        <v/>
      </c>
      <c r="J4222" s="94" t="str">
        <f t="shared" si="4223"/>
        <v/>
      </c>
      <c r="K4222" s="100"/>
      <c r="M4222" s="100"/>
      <c r="N4222" s="100"/>
      <c r="O4222" s="100"/>
      <c r="P4222" s="100"/>
    </row>
    <row r="4223">
      <c r="A4223" s="107">
        <v>1628386.0</v>
      </c>
      <c r="B4223" s="108" t="s">
        <v>246</v>
      </c>
      <c r="C4223" s="108" t="s">
        <v>1012</v>
      </c>
      <c r="D4223" s="112" t="s">
        <v>184</v>
      </c>
      <c r="E4223" s="112">
        <v>2296.0</v>
      </c>
      <c r="F4223" s="111" t="str">
        <f>DataPull!D4223</f>
        <v/>
      </c>
      <c r="G4223" s="94" t="str">
        <f t="shared" si="2"/>
        <v/>
      </c>
      <c r="H4223" s="94" t="str">
        <f t="shared" si="3"/>
        <v/>
      </c>
      <c r="I4223" s="94" t="str">
        <f t="shared" ref="I4223:J4223" si="4224">if(G4223 = "", , -G4223)</f>
        <v/>
      </c>
      <c r="J4223" s="94" t="str">
        <f t="shared" si="4224"/>
        <v/>
      </c>
      <c r="K4223" s="100"/>
      <c r="M4223" s="100"/>
      <c r="N4223" s="100"/>
      <c r="O4223" s="100"/>
      <c r="P4223" s="100"/>
    </row>
    <row r="4224">
      <c r="A4224" s="114">
        <v>1628386.0</v>
      </c>
      <c r="B4224" s="113" t="s">
        <v>247</v>
      </c>
      <c r="C4224" s="113" t="s">
        <v>1012</v>
      </c>
      <c r="D4224" s="112" t="s">
        <v>184</v>
      </c>
      <c r="E4224" s="112">
        <v>1517.6</v>
      </c>
      <c r="F4224" s="111" t="str">
        <f>DataPull!D4224</f>
        <v/>
      </c>
      <c r="G4224" s="94" t="str">
        <f t="shared" si="2"/>
        <v/>
      </c>
      <c r="H4224" s="94" t="str">
        <f t="shared" si="3"/>
        <v/>
      </c>
      <c r="I4224" s="94" t="str">
        <f t="shared" ref="I4224:J4224" si="4225">if(G4224 = "", , -G4224)</f>
        <v/>
      </c>
      <c r="J4224" s="94" t="str">
        <f t="shared" si="4225"/>
        <v/>
      </c>
      <c r="K4224" s="100"/>
      <c r="M4224" s="100"/>
      <c r="N4224" s="100"/>
      <c r="O4224" s="100"/>
      <c r="P4224" s="100"/>
    </row>
    <row r="4225">
      <c r="A4225" s="107">
        <v>1628387.0</v>
      </c>
      <c r="B4225" s="108" t="s">
        <v>191</v>
      </c>
      <c r="C4225" s="108" t="s">
        <v>1013</v>
      </c>
      <c r="D4225" s="112" t="s">
        <v>187</v>
      </c>
      <c r="E4225" s="112">
        <v>29.7</v>
      </c>
      <c r="F4225" s="111" t="str">
        <f>DataPull!D4225</f>
        <v/>
      </c>
      <c r="G4225" s="94" t="str">
        <f t="shared" si="2"/>
        <v/>
      </c>
      <c r="H4225" s="94" t="str">
        <f t="shared" si="3"/>
        <v/>
      </c>
      <c r="I4225" s="94" t="str">
        <f t="shared" ref="I4225:J4225" si="4226">if(G4225 = "", , -G4225)</f>
        <v/>
      </c>
      <c r="J4225" s="94" t="str">
        <f t="shared" si="4226"/>
        <v/>
      </c>
      <c r="K4225" s="100"/>
      <c r="L4225" s="100"/>
      <c r="M4225" s="100"/>
      <c r="N4225" s="100"/>
      <c r="O4225" s="100"/>
      <c r="P4225" s="100"/>
    </row>
    <row r="4226">
      <c r="A4226" s="107">
        <v>1628387.0</v>
      </c>
      <c r="B4226" s="108" t="s">
        <v>192</v>
      </c>
      <c r="C4226" s="108" t="s">
        <v>1013</v>
      </c>
      <c r="D4226" s="112" t="s">
        <v>181</v>
      </c>
      <c r="E4226" s="112">
        <v>6.3</v>
      </c>
      <c r="F4226" s="111" t="str">
        <f>DataPull!D4226</f>
        <v/>
      </c>
      <c r="G4226" s="94" t="str">
        <f t="shared" si="2"/>
        <v/>
      </c>
      <c r="H4226" s="94" t="str">
        <f t="shared" si="3"/>
        <v/>
      </c>
      <c r="I4226" s="94" t="str">
        <f t="shared" ref="I4226:J4226" si="4227">if(G4226 = "", , -G4226)</f>
        <v/>
      </c>
      <c r="J4226" s="94" t="str">
        <f t="shared" si="4227"/>
        <v/>
      </c>
      <c r="K4226" s="100"/>
      <c r="L4226" s="100"/>
      <c r="M4226" s="100"/>
      <c r="N4226" s="100"/>
      <c r="O4226" s="100"/>
      <c r="P4226" s="100"/>
    </row>
    <row r="4227">
      <c r="A4227" s="107">
        <v>1628388.0</v>
      </c>
      <c r="B4227" s="108" t="s">
        <v>191</v>
      </c>
      <c r="C4227" s="108" t="s">
        <v>1014</v>
      </c>
      <c r="D4227" s="112" t="s">
        <v>187</v>
      </c>
      <c r="E4227" s="112">
        <v>461.1</v>
      </c>
      <c r="F4227" s="111" t="str">
        <f>DataPull!D4227</f>
        <v/>
      </c>
      <c r="G4227" s="94" t="str">
        <f t="shared" si="2"/>
        <v/>
      </c>
      <c r="H4227" s="94" t="str">
        <f t="shared" si="3"/>
        <v/>
      </c>
      <c r="I4227" s="94" t="str">
        <f t="shared" ref="I4227:J4227" si="4228">if(G4227 = "", , -G4227)</f>
        <v/>
      </c>
      <c r="J4227" s="94" t="str">
        <f t="shared" si="4228"/>
        <v/>
      </c>
      <c r="K4227" s="100"/>
      <c r="M4227" s="100"/>
      <c r="N4227" s="100"/>
      <c r="O4227" s="100"/>
      <c r="P4227" s="100"/>
    </row>
    <row r="4228">
      <c r="A4228" s="107">
        <v>1628388.0</v>
      </c>
      <c r="B4228" s="108" t="s">
        <v>192</v>
      </c>
      <c r="C4228" s="108" t="s">
        <v>1014</v>
      </c>
      <c r="D4228" s="112" t="s">
        <v>187</v>
      </c>
      <c r="E4228" s="112">
        <v>522.0</v>
      </c>
      <c r="F4228" s="111" t="str">
        <f>DataPull!D4228</f>
        <v/>
      </c>
      <c r="G4228" s="94" t="str">
        <f t="shared" si="2"/>
        <v/>
      </c>
      <c r="H4228" s="94" t="str">
        <f t="shared" si="3"/>
        <v/>
      </c>
      <c r="I4228" s="94" t="str">
        <f t="shared" ref="I4228:J4228" si="4229">if(G4228 = "", , -G4228)</f>
        <v/>
      </c>
      <c r="J4228" s="94" t="str">
        <f t="shared" si="4229"/>
        <v/>
      </c>
      <c r="K4228" s="100"/>
      <c r="M4228" s="100"/>
      <c r="N4228" s="100"/>
      <c r="O4228" s="100"/>
      <c r="P4228" s="100"/>
    </row>
    <row r="4229">
      <c r="A4229" s="107">
        <v>1628388.0</v>
      </c>
      <c r="B4229" s="108" t="s">
        <v>193</v>
      </c>
      <c r="C4229" s="108" t="s">
        <v>1014</v>
      </c>
      <c r="D4229" s="112" t="s">
        <v>187</v>
      </c>
      <c r="E4229" s="112">
        <v>221.2</v>
      </c>
      <c r="F4229" s="111" t="str">
        <f>DataPull!D4229</f>
        <v/>
      </c>
      <c r="G4229" s="94" t="str">
        <f t="shared" si="2"/>
        <v/>
      </c>
      <c r="H4229" s="94" t="str">
        <f t="shared" si="3"/>
        <v/>
      </c>
      <c r="I4229" s="94" t="str">
        <f t="shared" ref="I4229:J4229" si="4230">if(G4229 = "", , -G4229)</f>
        <v/>
      </c>
      <c r="J4229" s="94" t="str">
        <f t="shared" si="4230"/>
        <v/>
      </c>
      <c r="K4229" s="100"/>
      <c r="N4229" s="100"/>
      <c r="O4229" s="100"/>
      <c r="P4229" s="100"/>
    </row>
    <row r="4230">
      <c r="A4230" s="107">
        <v>1628388.0</v>
      </c>
      <c r="B4230" s="108" t="s">
        <v>243</v>
      </c>
      <c r="C4230" s="108" t="s">
        <v>1014</v>
      </c>
      <c r="D4230" s="112" t="s">
        <v>181</v>
      </c>
      <c r="E4230" s="112">
        <v>35.7</v>
      </c>
      <c r="F4230" s="111" t="str">
        <f>DataPull!D4230</f>
        <v/>
      </c>
      <c r="G4230" s="94" t="str">
        <f t="shared" si="2"/>
        <v/>
      </c>
      <c r="H4230" s="94" t="str">
        <f t="shared" si="3"/>
        <v/>
      </c>
      <c r="I4230" s="94" t="str">
        <f t="shared" ref="I4230:J4230" si="4231">if(G4230 = "", , -G4230)</f>
        <v/>
      </c>
      <c r="J4230" s="94" t="str">
        <f t="shared" si="4231"/>
        <v/>
      </c>
      <c r="K4230" s="100"/>
      <c r="M4230" s="100"/>
      <c r="N4230" s="100"/>
      <c r="O4230" s="100"/>
      <c r="P4230" s="100"/>
    </row>
    <row r="4231">
      <c r="A4231" s="107">
        <v>1628389.0</v>
      </c>
      <c r="B4231" s="108" t="s">
        <v>191</v>
      </c>
      <c r="C4231" s="108" t="s">
        <v>1015</v>
      </c>
      <c r="D4231" s="112" t="s">
        <v>177</v>
      </c>
      <c r="E4231" s="112">
        <v>1366.2</v>
      </c>
      <c r="F4231" s="111" t="str">
        <f>DataPull!D4231</f>
        <v/>
      </c>
      <c r="G4231" s="94" t="str">
        <f t="shared" si="2"/>
        <v/>
      </c>
      <c r="H4231" s="94" t="str">
        <f t="shared" si="3"/>
        <v/>
      </c>
      <c r="I4231" s="94" t="str">
        <f t="shared" ref="I4231:J4231" si="4232">if(G4231 = "", , -G4231)</f>
        <v/>
      </c>
      <c r="J4231" s="94" t="str">
        <f t="shared" si="4232"/>
        <v/>
      </c>
      <c r="K4231" s="100"/>
      <c r="L4231" s="100"/>
      <c r="N4231" s="100"/>
      <c r="O4231" s="100"/>
      <c r="P4231" s="100"/>
    </row>
    <row r="4232">
      <c r="A4232" s="107">
        <v>1628389.0</v>
      </c>
      <c r="B4232" s="108" t="s">
        <v>192</v>
      </c>
      <c r="C4232" s="108" t="s">
        <v>1015</v>
      </c>
      <c r="D4232" s="112" t="s">
        <v>176</v>
      </c>
      <c r="E4232" s="112">
        <v>1910.6</v>
      </c>
      <c r="F4232" s="111" t="str">
        <f>DataPull!D4232</f>
        <v/>
      </c>
      <c r="G4232" s="94" t="str">
        <f t="shared" si="2"/>
        <v/>
      </c>
      <c r="H4232" s="94" t="str">
        <f t="shared" si="3"/>
        <v/>
      </c>
      <c r="I4232" s="94" t="str">
        <f t="shared" ref="I4232:J4232" si="4233">if(G4232 = "", , -G4232)</f>
        <v/>
      </c>
      <c r="J4232" s="94" t="str">
        <f t="shared" si="4233"/>
        <v/>
      </c>
      <c r="K4232" s="100"/>
      <c r="M4232" s="100"/>
      <c r="N4232" s="100"/>
      <c r="O4232" s="100"/>
      <c r="P4232" s="100"/>
    </row>
    <row r="4233">
      <c r="A4233" s="107">
        <v>1628389.0</v>
      </c>
      <c r="B4233" s="108" t="s">
        <v>193</v>
      </c>
      <c r="C4233" s="108" t="s">
        <v>1015</v>
      </c>
      <c r="D4233" s="112" t="s">
        <v>184</v>
      </c>
      <c r="E4233" s="112">
        <v>2419.2</v>
      </c>
      <c r="F4233" s="111" t="str">
        <f>DataPull!D4233</f>
        <v/>
      </c>
      <c r="G4233" s="94" t="str">
        <f t="shared" si="2"/>
        <v/>
      </c>
      <c r="H4233" s="94" t="str">
        <f t="shared" si="3"/>
        <v/>
      </c>
      <c r="I4233" s="94" t="str">
        <f t="shared" ref="I4233:J4233" si="4234">if(G4233 = "", , -G4233)</f>
        <v/>
      </c>
      <c r="J4233" s="94" t="str">
        <f t="shared" si="4234"/>
        <v/>
      </c>
      <c r="K4233" s="100"/>
      <c r="M4233" s="100"/>
      <c r="N4233" s="100"/>
      <c r="O4233" s="100"/>
      <c r="P4233" s="100"/>
    </row>
    <row r="4234">
      <c r="A4234" s="107">
        <v>1628389.0</v>
      </c>
      <c r="B4234" s="108" t="s">
        <v>243</v>
      </c>
      <c r="C4234" s="108" t="s">
        <v>1015</v>
      </c>
      <c r="D4234" s="112" t="s">
        <v>184</v>
      </c>
      <c r="E4234" s="112">
        <v>2144.0</v>
      </c>
      <c r="F4234" s="111" t="str">
        <f>DataPull!D4234</f>
        <v/>
      </c>
      <c r="G4234" s="94" t="str">
        <f t="shared" si="2"/>
        <v/>
      </c>
      <c r="H4234" s="94" t="str">
        <f t="shared" si="3"/>
        <v/>
      </c>
      <c r="I4234" s="94" t="str">
        <f t="shared" ref="I4234:J4234" si="4235">if(G4234 = "", , -G4234)</f>
        <v/>
      </c>
      <c r="J4234" s="94" t="str">
        <f t="shared" si="4235"/>
        <v/>
      </c>
      <c r="K4234" s="100"/>
      <c r="M4234" s="100"/>
      <c r="N4234" s="100"/>
      <c r="O4234" s="100"/>
      <c r="P4234" s="100"/>
    </row>
    <row r="4235">
      <c r="A4235" s="107">
        <v>1628389.0</v>
      </c>
      <c r="B4235" s="108" t="s">
        <v>215</v>
      </c>
      <c r="C4235" s="108" t="s">
        <v>1015</v>
      </c>
      <c r="D4235" s="112" t="s">
        <v>184</v>
      </c>
      <c r="E4235" s="112">
        <v>1825.6</v>
      </c>
      <c r="F4235" s="111" t="str">
        <f>DataPull!D4235</f>
        <v/>
      </c>
      <c r="G4235" s="94" t="str">
        <f t="shared" si="2"/>
        <v/>
      </c>
      <c r="H4235" s="94" t="str">
        <f t="shared" si="3"/>
        <v/>
      </c>
      <c r="I4235" s="94" t="str">
        <f t="shared" ref="I4235:J4235" si="4236">if(G4235 = "", , -G4235)</f>
        <v/>
      </c>
      <c r="J4235" s="94" t="str">
        <f t="shared" si="4236"/>
        <v/>
      </c>
      <c r="K4235" s="100"/>
      <c r="L4235" s="100"/>
      <c r="M4235" s="100"/>
      <c r="N4235" s="100"/>
      <c r="O4235" s="100"/>
      <c r="P4235" s="100"/>
    </row>
    <row r="4236">
      <c r="A4236" s="107">
        <v>1628389.0</v>
      </c>
      <c r="B4236" s="108" t="s">
        <v>244</v>
      </c>
      <c r="C4236" s="108" t="s">
        <v>1015</v>
      </c>
      <c r="D4236" s="112" t="s">
        <v>184</v>
      </c>
      <c r="E4236" s="112">
        <v>2595.0</v>
      </c>
      <c r="F4236" s="111" t="str">
        <f>DataPull!D4236</f>
        <v/>
      </c>
      <c r="G4236" s="94" t="str">
        <f t="shared" si="2"/>
        <v/>
      </c>
      <c r="H4236" s="94" t="str">
        <f t="shared" si="3"/>
        <v/>
      </c>
      <c r="I4236" s="94" t="str">
        <f t="shared" ref="I4236:J4236" si="4237">if(G4236 = "", , -G4236)</f>
        <v/>
      </c>
      <c r="J4236" s="94" t="str">
        <f t="shared" si="4237"/>
        <v/>
      </c>
      <c r="K4236" s="100"/>
      <c r="M4236" s="100"/>
      <c r="N4236" s="100"/>
      <c r="O4236" s="100"/>
      <c r="P4236" s="100"/>
    </row>
    <row r="4237">
      <c r="A4237" s="107">
        <v>1628389.0</v>
      </c>
      <c r="B4237" s="108" t="s">
        <v>245</v>
      </c>
      <c r="C4237" s="108" t="s">
        <v>1015</v>
      </c>
      <c r="D4237" s="112" t="s">
        <v>184</v>
      </c>
      <c r="E4237" s="112">
        <v>2414.0</v>
      </c>
      <c r="F4237" s="111" t="str">
        <f>DataPull!D4237</f>
        <v/>
      </c>
      <c r="G4237" s="94" t="str">
        <f t="shared" si="2"/>
        <v/>
      </c>
      <c r="H4237" s="94" t="str">
        <f t="shared" si="3"/>
        <v/>
      </c>
      <c r="I4237" s="94" t="str">
        <f t="shared" ref="I4237:J4237" si="4238">if(G4237 = "", , -G4237)</f>
        <v/>
      </c>
      <c r="J4237" s="94" t="str">
        <f t="shared" si="4238"/>
        <v/>
      </c>
      <c r="K4237" s="100"/>
      <c r="M4237" s="100"/>
      <c r="N4237" s="100"/>
      <c r="O4237" s="100"/>
      <c r="P4237" s="100"/>
    </row>
    <row r="4238">
      <c r="A4238" s="107">
        <v>1628389.0</v>
      </c>
      <c r="B4238" s="108" t="s">
        <v>246</v>
      </c>
      <c r="C4238" s="108" t="s">
        <v>1015</v>
      </c>
      <c r="D4238" s="112" t="s">
        <v>184</v>
      </c>
      <c r="E4238" s="112">
        <v>2675.4</v>
      </c>
      <c r="F4238" s="111" t="str">
        <f>DataPull!D4238</f>
        <v/>
      </c>
      <c r="G4238" s="94" t="str">
        <f t="shared" si="2"/>
        <v/>
      </c>
      <c r="H4238" s="94" t="str">
        <f t="shared" si="3"/>
        <v/>
      </c>
      <c r="I4238" s="94" t="str">
        <f t="shared" ref="I4238:J4238" si="4239">if(G4238 = "", , -G4238)</f>
        <v/>
      </c>
      <c r="J4238" s="94" t="str">
        <f t="shared" si="4239"/>
        <v/>
      </c>
      <c r="K4238" s="100"/>
      <c r="L4238" s="100"/>
      <c r="N4238" s="100"/>
      <c r="O4238" s="100"/>
      <c r="P4238" s="100"/>
    </row>
    <row r="4239">
      <c r="A4239" s="114">
        <v>1628389.0</v>
      </c>
      <c r="B4239" s="113" t="s">
        <v>247</v>
      </c>
      <c r="C4239" s="113" t="s">
        <v>1015</v>
      </c>
      <c r="D4239" s="112" t="s">
        <v>184</v>
      </c>
      <c r="E4239" s="112">
        <v>2365.2</v>
      </c>
      <c r="F4239" s="111" t="str">
        <f>DataPull!D4239</f>
        <v/>
      </c>
      <c r="G4239" s="94" t="str">
        <f t="shared" si="2"/>
        <v/>
      </c>
      <c r="H4239" s="94" t="str">
        <f t="shared" si="3"/>
        <v/>
      </c>
      <c r="I4239" s="94" t="str">
        <f t="shared" ref="I4239:J4239" si="4240">if(G4239 = "", , -G4239)</f>
        <v/>
      </c>
      <c r="J4239" s="94" t="str">
        <f t="shared" si="4240"/>
        <v/>
      </c>
      <c r="K4239" s="100"/>
      <c r="M4239" s="100"/>
      <c r="N4239" s="100"/>
      <c r="O4239" s="100"/>
      <c r="P4239" s="100"/>
    </row>
    <row r="4240">
      <c r="A4240" s="107">
        <v>1628390.0</v>
      </c>
      <c r="B4240" s="108" t="s">
        <v>191</v>
      </c>
      <c r="C4240" s="108" t="s">
        <v>1016</v>
      </c>
      <c r="D4240" s="112" t="s">
        <v>177</v>
      </c>
      <c r="E4240" s="112">
        <v>762.5</v>
      </c>
      <c r="F4240" s="111" t="str">
        <f>DataPull!D4240</f>
        <v/>
      </c>
      <c r="G4240" s="94" t="str">
        <f t="shared" si="2"/>
        <v/>
      </c>
      <c r="H4240" s="94" t="str">
        <f t="shared" si="3"/>
        <v/>
      </c>
      <c r="I4240" s="94" t="str">
        <f t="shared" ref="I4240:J4240" si="4241">if(G4240 = "", , -G4240)</f>
        <v/>
      </c>
      <c r="J4240" s="94" t="str">
        <f t="shared" si="4241"/>
        <v/>
      </c>
      <c r="K4240" s="100"/>
      <c r="M4240" s="100"/>
      <c r="N4240" s="100"/>
      <c r="O4240" s="100"/>
      <c r="P4240" s="100"/>
    </row>
    <row r="4241">
      <c r="A4241" s="107">
        <v>1628390.0</v>
      </c>
      <c r="B4241" s="108" t="s">
        <v>192</v>
      </c>
      <c r="C4241" s="108" t="s">
        <v>1016</v>
      </c>
      <c r="D4241" s="112" t="s">
        <v>176</v>
      </c>
      <c r="E4241" s="112">
        <v>1931.4</v>
      </c>
      <c r="F4241" s="111" t="str">
        <f>DataPull!D4241</f>
        <v/>
      </c>
      <c r="G4241" s="94" t="str">
        <f t="shared" si="2"/>
        <v/>
      </c>
      <c r="H4241" s="94" t="str">
        <f t="shared" si="3"/>
        <v/>
      </c>
      <c r="I4241" s="94" t="str">
        <f t="shared" ref="I4241:J4241" si="4242">if(G4241 = "", , -G4241)</f>
        <v/>
      </c>
      <c r="J4241" s="94" t="str">
        <f t="shared" si="4242"/>
        <v/>
      </c>
      <c r="K4241" s="100"/>
      <c r="M4241" s="100"/>
      <c r="N4241" s="100"/>
      <c r="O4241" s="100"/>
      <c r="P4241" s="100"/>
    </row>
    <row r="4242">
      <c r="A4242" s="107">
        <v>1628390.0</v>
      </c>
      <c r="B4242" s="108" t="s">
        <v>193</v>
      </c>
      <c r="C4242" s="108" t="s">
        <v>1016</v>
      </c>
      <c r="D4242" s="112" t="s">
        <v>176</v>
      </c>
      <c r="E4242" s="112">
        <v>1260.0</v>
      </c>
      <c r="F4242" s="111" t="str">
        <f>DataPull!D4242</f>
        <v/>
      </c>
      <c r="G4242" s="94" t="str">
        <f t="shared" si="2"/>
        <v/>
      </c>
      <c r="H4242" s="94" t="str">
        <f t="shared" si="3"/>
        <v/>
      </c>
      <c r="I4242" s="94" t="str">
        <f t="shared" ref="I4242:J4242" si="4243">if(G4242 = "", , -G4242)</f>
        <v/>
      </c>
      <c r="J4242" s="94" t="str">
        <f t="shared" si="4243"/>
        <v/>
      </c>
      <c r="K4242" s="100"/>
      <c r="M4242" s="100"/>
      <c r="N4242" s="100"/>
      <c r="O4242" s="100"/>
      <c r="P4242" s="100"/>
    </row>
    <row r="4243">
      <c r="A4243" s="107">
        <v>1628390.0</v>
      </c>
      <c r="B4243" s="108" t="s">
        <v>243</v>
      </c>
      <c r="C4243" s="108" t="s">
        <v>1016</v>
      </c>
      <c r="D4243" s="112" t="s">
        <v>187</v>
      </c>
      <c r="E4243" s="112">
        <v>49.4</v>
      </c>
      <c r="F4243" s="111" t="str">
        <f>DataPull!D4243</f>
        <v/>
      </c>
      <c r="G4243" s="94" t="str">
        <f t="shared" si="2"/>
        <v/>
      </c>
      <c r="H4243" s="94" t="str">
        <f t="shared" si="3"/>
        <v/>
      </c>
      <c r="I4243" s="94" t="str">
        <f t="shared" ref="I4243:J4243" si="4244">if(G4243 = "", , -G4243)</f>
        <v/>
      </c>
      <c r="J4243" s="94" t="str">
        <f t="shared" si="4244"/>
        <v/>
      </c>
      <c r="K4243" s="100"/>
      <c r="M4243" s="100"/>
      <c r="N4243" s="100"/>
      <c r="O4243" s="100"/>
      <c r="P4243" s="100"/>
    </row>
    <row r="4244">
      <c r="A4244" s="107">
        <v>1628391.0</v>
      </c>
      <c r="B4244" s="108" t="s">
        <v>191</v>
      </c>
      <c r="C4244" s="108" t="s">
        <v>1017</v>
      </c>
      <c r="D4244" s="112" t="s">
        <v>187</v>
      </c>
      <c r="E4244" s="112">
        <v>70.4</v>
      </c>
      <c r="F4244" s="111" t="str">
        <f>DataPull!D4244</f>
        <v/>
      </c>
      <c r="G4244" s="94" t="str">
        <f t="shared" si="2"/>
        <v/>
      </c>
      <c r="H4244" s="94" t="str">
        <f t="shared" si="3"/>
        <v/>
      </c>
      <c r="I4244" s="94" t="str">
        <f t="shared" ref="I4244:J4244" si="4245">if(G4244 = "", , -G4244)</f>
        <v/>
      </c>
      <c r="J4244" s="94" t="str">
        <f t="shared" si="4245"/>
        <v/>
      </c>
      <c r="K4244" s="100"/>
      <c r="M4244" s="100"/>
      <c r="N4244" s="100"/>
      <c r="O4244" s="100"/>
      <c r="P4244" s="100"/>
    </row>
    <row r="4245">
      <c r="A4245" s="107">
        <v>1628391.0</v>
      </c>
      <c r="B4245" s="108" t="s">
        <v>192</v>
      </c>
      <c r="C4245" s="108" t="s">
        <v>1017</v>
      </c>
      <c r="D4245" s="112" t="s">
        <v>177</v>
      </c>
      <c r="E4245" s="112">
        <v>883.2</v>
      </c>
      <c r="F4245" s="111" t="str">
        <f>DataPull!D4245</f>
        <v/>
      </c>
      <c r="G4245" s="94" t="str">
        <f t="shared" si="2"/>
        <v/>
      </c>
      <c r="H4245" s="94" t="str">
        <f t="shared" si="3"/>
        <v/>
      </c>
      <c r="I4245" s="94" t="str">
        <f t="shared" ref="I4245:J4245" si="4246">if(G4245 = "", , -G4245)</f>
        <v/>
      </c>
      <c r="J4245" s="94" t="str">
        <f t="shared" si="4246"/>
        <v/>
      </c>
      <c r="K4245" s="100"/>
      <c r="M4245" s="100"/>
      <c r="N4245" s="100"/>
      <c r="O4245" s="100"/>
      <c r="P4245" s="100"/>
    </row>
    <row r="4246">
      <c r="A4246" s="107">
        <v>1628391.0</v>
      </c>
      <c r="B4246" s="108" t="s">
        <v>193</v>
      </c>
      <c r="C4246" s="108" t="s">
        <v>1017</v>
      </c>
      <c r="D4246" s="112" t="s">
        <v>187</v>
      </c>
      <c r="E4246" s="112">
        <v>362.6</v>
      </c>
      <c r="F4246" s="111" t="str">
        <f>DataPull!D4246</f>
        <v/>
      </c>
      <c r="G4246" s="94" t="str">
        <f t="shared" si="2"/>
        <v/>
      </c>
      <c r="H4246" s="94" t="str">
        <f t="shared" si="3"/>
        <v/>
      </c>
      <c r="I4246" s="94" t="str">
        <f t="shared" ref="I4246:J4246" si="4247">if(G4246 = "", , -G4246)</f>
        <v/>
      </c>
      <c r="J4246" s="94" t="str">
        <f t="shared" si="4247"/>
        <v/>
      </c>
      <c r="K4246" s="100"/>
      <c r="M4246" s="100"/>
      <c r="N4246" s="100"/>
      <c r="O4246" s="100"/>
      <c r="P4246" s="100"/>
    </row>
    <row r="4247">
      <c r="A4247" s="107">
        <v>1628391.0</v>
      </c>
      <c r="B4247" s="108" t="s">
        <v>243</v>
      </c>
      <c r="C4247" s="108" t="s">
        <v>1017</v>
      </c>
      <c r="D4247" s="112" t="s">
        <v>177</v>
      </c>
      <c r="E4247" s="112">
        <v>434.0</v>
      </c>
      <c r="F4247" s="111" t="str">
        <f>DataPull!D4247</f>
        <v/>
      </c>
      <c r="G4247" s="94" t="str">
        <f t="shared" si="2"/>
        <v/>
      </c>
      <c r="H4247" s="94" t="str">
        <f t="shared" si="3"/>
        <v/>
      </c>
      <c r="I4247" s="94" t="str">
        <f t="shared" ref="I4247:J4247" si="4248">if(G4247 = "", , -G4247)</f>
        <v/>
      </c>
      <c r="J4247" s="94" t="str">
        <f t="shared" si="4248"/>
        <v/>
      </c>
      <c r="K4247" s="100"/>
      <c r="M4247" s="100"/>
      <c r="N4247" s="100"/>
      <c r="O4247" s="100"/>
      <c r="P4247" s="100"/>
    </row>
    <row r="4248">
      <c r="A4248" s="107">
        <v>1628391.0</v>
      </c>
      <c r="B4248" s="108" t="s">
        <v>215</v>
      </c>
      <c r="C4248" s="108" t="s">
        <v>1017</v>
      </c>
      <c r="D4248" s="112" t="s">
        <v>181</v>
      </c>
      <c r="E4248" s="112">
        <v>54.0</v>
      </c>
      <c r="F4248" s="111" t="str">
        <f>DataPull!D4248</f>
        <v/>
      </c>
      <c r="G4248" s="94" t="str">
        <f t="shared" si="2"/>
        <v/>
      </c>
      <c r="H4248" s="94" t="str">
        <f t="shared" si="3"/>
        <v/>
      </c>
      <c r="I4248" s="94" t="str">
        <f t="shared" ref="I4248:J4248" si="4249">if(G4248 = "", , -G4248)</f>
        <v/>
      </c>
      <c r="J4248" s="94" t="str">
        <f t="shared" si="4249"/>
        <v/>
      </c>
      <c r="K4248" s="100"/>
      <c r="M4248" s="100"/>
      <c r="N4248" s="100"/>
      <c r="O4248" s="100"/>
      <c r="P4248" s="100"/>
    </row>
    <row r="4249">
      <c r="A4249" s="107">
        <v>1628391.0</v>
      </c>
      <c r="B4249" s="108" t="s">
        <v>245</v>
      </c>
      <c r="C4249" s="108" t="s">
        <v>1017</v>
      </c>
      <c r="D4249" s="112" t="s">
        <v>181</v>
      </c>
      <c r="E4249" s="112">
        <v>15.4</v>
      </c>
      <c r="F4249" s="111" t="str">
        <f>DataPull!D4249</f>
        <v/>
      </c>
      <c r="G4249" s="94" t="str">
        <f t="shared" si="2"/>
        <v/>
      </c>
      <c r="H4249" s="94" t="str">
        <f t="shared" si="3"/>
        <v/>
      </c>
      <c r="I4249" s="94" t="str">
        <f t="shared" ref="I4249:J4249" si="4250">if(G4249 = "", , -G4249)</f>
        <v/>
      </c>
      <c r="J4249" s="94" t="str">
        <f t="shared" si="4250"/>
        <v/>
      </c>
      <c r="K4249" s="100"/>
      <c r="M4249" s="100"/>
      <c r="N4249" s="100"/>
      <c r="O4249" s="100"/>
      <c r="P4249" s="100"/>
    </row>
    <row r="4250">
      <c r="A4250" s="107">
        <v>1628392.0</v>
      </c>
      <c r="B4250" s="108" t="s">
        <v>192</v>
      </c>
      <c r="C4250" s="108" t="s">
        <v>1018</v>
      </c>
      <c r="D4250" s="112" t="s">
        <v>187</v>
      </c>
      <c r="E4250" s="112">
        <v>221.2</v>
      </c>
      <c r="F4250" s="111" t="str">
        <f>DataPull!D4250</f>
        <v/>
      </c>
      <c r="G4250" s="94" t="str">
        <f t="shared" si="2"/>
        <v/>
      </c>
      <c r="H4250" s="94" t="str">
        <f t="shared" si="3"/>
        <v/>
      </c>
      <c r="I4250" s="94" t="str">
        <f t="shared" ref="I4250:J4250" si="4251">if(G4250 = "", , -G4250)</f>
        <v/>
      </c>
      <c r="J4250" s="94" t="str">
        <f t="shared" si="4251"/>
        <v/>
      </c>
      <c r="K4250" s="100"/>
      <c r="M4250" s="100"/>
      <c r="N4250" s="100"/>
      <c r="O4250" s="100"/>
      <c r="P4250" s="100"/>
    </row>
    <row r="4251">
      <c r="A4251" s="107">
        <v>1628392.0</v>
      </c>
      <c r="B4251" s="108" t="s">
        <v>193</v>
      </c>
      <c r="C4251" s="108" t="s">
        <v>1018</v>
      </c>
      <c r="D4251" s="112" t="s">
        <v>187</v>
      </c>
      <c r="E4251" s="112">
        <v>266.8</v>
      </c>
      <c r="F4251" s="111" t="str">
        <f>DataPull!D4251</f>
        <v/>
      </c>
      <c r="G4251" s="94" t="str">
        <f t="shared" si="2"/>
        <v/>
      </c>
      <c r="H4251" s="94" t="str">
        <f t="shared" si="3"/>
        <v/>
      </c>
      <c r="I4251" s="94" t="str">
        <f t="shared" ref="I4251:J4251" si="4252">if(G4251 = "", , -G4251)</f>
        <v/>
      </c>
      <c r="J4251" s="94" t="str">
        <f t="shared" si="4252"/>
        <v/>
      </c>
      <c r="K4251" s="100"/>
      <c r="N4251" s="100"/>
      <c r="O4251" s="100"/>
      <c r="P4251" s="100"/>
    </row>
    <row r="4252">
      <c r="A4252" s="107">
        <v>1628392.0</v>
      </c>
      <c r="B4252" s="108" t="s">
        <v>243</v>
      </c>
      <c r="C4252" s="108" t="s">
        <v>1018</v>
      </c>
      <c r="D4252" s="112" t="s">
        <v>187</v>
      </c>
      <c r="E4252" s="112">
        <v>556.6</v>
      </c>
      <c r="F4252" s="111" t="str">
        <f>DataPull!D4252</f>
        <v/>
      </c>
      <c r="G4252" s="94" t="str">
        <f t="shared" si="2"/>
        <v/>
      </c>
      <c r="H4252" s="94" t="str">
        <f t="shared" si="3"/>
        <v/>
      </c>
      <c r="I4252" s="94" t="str">
        <f t="shared" ref="I4252:J4252" si="4253">if(G4252 = "", , -G4252)</f>
        <v/>
      </c>
      <c r="J4252" s="94" t="str">
        <f t="shared" si="4253"/>
        <v/>
      </c>
      <c r="K4252" s="100"/>
      <c r="M4252" s="100"/>
      <c r="N4252" s="100"/>
      <c r="O4252" s="100"/>
      <c r="P4252" s="100"/>
    </row>
    <row r="4253">
      <c r="A4253" s="107">
        <v>1628392.0</v>
      </c>
      <c r="B4253" s="108" t="s">
        <v>215</v>
      </c>
      <c r="C4253" s="108" t="s">
        <v>1018</v>
      </c>
      <c r="D4253" s="112" t="s">
        <v>177</v>
      </c>
      <c r="E4253" s="112">
        <v>1217.2</v>
      </c>
      <c r="F4253" s="111" t="str">
        <f>DataPull!D4253</f>
        <v/>
      </c>
      <c r="G4253" s="94" t="str">
        <f t="shared" si="2"/>
        <v/>
      </c>
      <c r="H4253" s="94" t="str">
        <f t="shared" si="3"/>
        <v/>
      </c>
      <c r="I4253" s="94" t="str">
        <f t="shared" ref="I4253:J4253" si="4254">if(G4253 = "", , -G4253)</f>
        <v/>
      </c>
      <c r="J4253" s="94" t="str">
        <f t="shared" si="4254"/>
        <v/>
      </c>
      <c r="K4253" s="100"/>
      <c r="M4253" s="100"/>
      <c r="N4253" s="100"/>
      <c r="O4253" s="100"/>
      <c r="P4253" s="100"/>
    </row>
    <row r="4254">
      <c r="A4254" s="107">
        <v>1628392.0</v>
      </c>
      <c r="B4254" s="108" t="s">
        <v>244</v>
      </c>
      <c r="C4254" s="108" t="s">
        <v>1018</v>
      </c>
      <c r="D4254" s="112" t="s">
        <v>177</v>
      </c>
      <c r="E4254" s="112">
        <v>1631.8</v>
      </c>
      <c r="F4254" s="111" t="str">
        <f>DataPull!D4254</f>
        <v/>
      </c>
      <c r="G4254" s="94" t="str">
        <f t="shared" si="2"/>
        <v/>
      </c>
      <c r="H4254" s="94" t="str">
        <f t="shared" si="3"/>
        <v/>
      </c>
      <c r="I4254" s="94" t="str">
        <f t="shared" ref="I4254:J4254" si="4255">if(G4254 = "", , -G4254)</f>
        <v/>
      </c>
      <c r="J4254" s="94" t="str">
        <f t="shared" si="4255"/>
        <v/>
      </c>
      <c r="K4254" s="100"/>
      <c r="M4254" s="100"/>
      <c r="N4254" s="100"/>
      <c r="O4254" s="100"/>
      <c r="P4254" s="100"/>
    </row>
    <row r="4255">
      <c r="A4255" s="107">
        <v>1628392.0</v>
      </c>
      <c r="B4255" s="108" t="s">
        <v>245</v>
      </c>
      <c r="C4255" s="108" t="s">
        <v>1018</v>
      </c>
      <c r="D4255" s="112" t="s">
        <v>176</v>
      </c>
      <c r="E4255" s="112">
        <v>1897.5</v>
      </c>
      <c r="F4255" s="111" t="str">
        <f>DataPull!D4255</f>
        <v/>
      </c>
      <c r="G4255" s="94" t="str">
        <f t="shared" si="2"/>
        <v/>
      </c>
      <c r="H4255" s="94" t="str">
        <f t="shared" si="3"/>
        <v/>
      </c>
      <c r="I4255" s="94" t="str">
        <f t="shared" ref="I4255:J4255" si="4256">if(G4255 = "", , -G4255)</f>
        <v/>
      </c>
      <c r="J4255" s="94" t="str">
        <f t="shared" si="4256"/>
        <v/>
      </c>
      <c r="K4255" s="100"/>
      <c r="M4255" s="100"/>
      <c r="N4255" s="100"/>
      <c r="O4255" s="100"/>
      <c r="P4255" s="100"/>
    </row>
    <row r="4256">
      <c r="A4256" s="107">
        <v>1628392.0</v>
      </c>
      <c r="B4256" s="108" t="s">
        <v>246</v>
      </c>
      <c r="C4256" s="108" t="s">
        <v>1018</v>
      </c>
      <c r="D4256" s="112" t="s">
        <v>184</v>
      </c>
      <c r="E4256" s="112">
        <v>1590.3</v>
      </c>
      <c r="F4256" s="111" t="str">
        <f>DataPull!D4256</f>
        <v/>
      </c>
      <c r="G4256" s="94" t="str">
        <f t="shared" si="2"/>
        <v/>
      </c>
      <c r="H4256" s="94" t="str">
        <f t="shared" si="3"/>
        <v/>
      </c>
      <c r="I4256" s="94" t="str">
        <f t="shared" ref="I4256:J4256" si="4257">if(G4256 = "", , -G4256)</f>
        <v/>
      </c>
      <c r="J4256" s="94" t="str">
        <f t="shared" si="4257"/>
        <v/>
      </c>
      <c r="K4256" s="100"/>
      <c r="M4256" s="100"/>
      <c r="N4256" s="100"/>
      <c r="O4256" s="100"/>
      <c r="P4256" s="100"/>
    </row>
    <row r="4257">
      <c r="A4257" s="114">
        <v>1628392.0</v>
      </c>
      <c r="B4257" s="113" t="s">
        <v>247</v>
      </c>
      <c r="C4257" s="113" t="s">
        <v>1018</v>
      </c>
      <c r="D4257" s="112" t="s">
        <v>176</v>
      </c>
      <c r="E4257" s="112">
        <v>1137.4</v>
      </c>
      <c r="F4257" s="111" t="str">
        <f>DataPull!D4257</f>
        <v/>
      </c>
      <c r="G4257" s="94" t="str">
        <f t="shared" si="2"/>
        <v/>
      </c>
      <c r="H4257" s="94" t="str">
        <f t="shared" si="3"/>
        <v/>
      </c>
      <c r="I4257" s="94" t="str">
        <f t="shared" ref="I4257:J4257" si="4258">if(G4257 = "", , -G4257)</f>
        <v/>
      </c>
      <c r="J4257" s="94" t="str">
        <f t="shared" si="4258"/>
        <v/>
      </c>
      <c r="K4257" s="100"/>
      <c r="M4257" s="100"/>
      <c r="N4257" s="100"/>
      <c r="O4257" s="100"/>
      <c r="P4257" s="100"/>
    </row>
    <row r="4258">
      <c r="A4258" s="107">
        <v>1628393.0</v>
      </c>
      <c r="B4258" s="108" t="s">
        <v>191</v>
      </c>
      <c r="C4258" s="108" t="s">
        <v>1019</v>
      </c>
      <c r="D4258" s="112" t="s">
        <v>177</v>
      </c>
      <c r="E4258" s="112">
        <v>777.6</v>
      </c>
      <c r="F4258" s="111" t="str">
        <f>DataPull!D4258</f>
        <v/>
      </c>
      <c r="G4258" s="94" t="str">
        <f t="shared" si="2"/>
        <v/>
      </c>
      <c r="H4258" s="94" t="str">
        <f t="shared" si="3"/>
        <v/>
      </c>
      <c r="I4258" s="94" t="str">
        <f t="shared" ref="I4258:J4258" si="4259">if(G4258 = "", , -G4258)</f>
        <v/>
      </c>
      <c r="J4258" s="94" t="str">
        <f t="shared" si="4259"/>
        <v/>
      </c>
      <c r="K4258" s="100"/>
      <c r="M4258" s="100"/>
      <c r="N4258" s="100"/>
      <c r="O4258" s="100"/>
      <c r="P4258" s="100"/>
    </row>
    <row r="4259">
      <c r="A4259" s="107">
        <v>1628393.0</v>
      </c>
      <c r="B4259" s="108" t="s">
        <v>192</v>
      </c>
      <c r="C4259" s="108" t="s">
        <v>1019</v>
      </c>
      <c r="D4259" s="112" t="s">
        <v>181</v>
      </c>
      <c r="E4259" s="112">
        <v>64.0</v>
      </c>
      <c r="F4259" s="111" t="str">
        <f>DataPull!D4259</f>
        <v/>
      </c>
      <c r="G4259" s="94" t="str">
        <f t="shared" si="2"/>
        <v/>
      </c>
      <c r="H4259" s="94" t="str">
        <f t="shared" si="3"/>
        <v/>
      </c>
      <c r="I4259" s="94" t="str">
        <f t="shared" ref="I4259:J4259" si="4260">if(G4259 = "", , -G4259)</f>
        <v/>
      </c>
      <c r="J4259" s="94" t="str">
        <f t="shared" si="4260"/>
        <v/>
      </c>
      <c r="K4259" s="100"/>
      <c r="M4259" s="100"/>
      <c r="N4259" s="100"/>
      <c r="O4259" s="100"/>
      <c r="P4259" s="100"/>
    </row>
    <row r="4260">
      <c r="A4260" s="107">
        <v>1628394.0</v>
      </c>
      <c r="B4260" s="108" t="s">
        <v>193</v>
      </c>
      <c r="C4260" s="108" t="s">
        <v>1020</v>
      </c>
      <c r="D4260" s="112" t="s">
        <v>177</v>
      </c>
      <c r="E4260" s="112">
        <v>437.4</v>
      </c>
      <c r="F4260" s="111" t="str">
        <f>DataPull!D4260</f>
        <v/>
      </c>
      <c r="G4260" s="94" t="str">
        <f t="shared" si="2"/>
        <v/>
      </c>
      <c r="H4260" s="94" t="str">
        <f t="shared" si="3"/>
        <v/>
      </c>
      <c r="I4260" s="94" t="str">
        <f t="shared" ref="I4260:J4260" si="4261">if(G4260 = "", , -G4260)</f>
        <v/>
      </c>
      <c r="J4260" s="94" t="str">
        <f t="shared" si="4261"/>
        <v/>
      </c>
      <c r="K4260" s="100"/>
      <c r="M4260" s="100"/>
      <c r="N4260" s="100"/>
      <c r="O4260" s="100"/>
      <c r="P4260" s="100"/>
    </row>
    <row r="4261">
      <c r="A4261" s="107">
        <v>1628394.0</v>
      </c>
      <c r="B4261" s="108" t="s">
        <v>243</v>
      </c>
      <c r="C4261" s="108" t="s">
        <v>1020</v>
      </c>
      <c r="D4261" s="112" t="s">
        <v>181</v>
      </c>
      <c r="E4261" s="112">
        <v>6.3</v>
      </c>
      <c r="F4261" s="111" t="str">
        <f>DataPull!D4261</f>
        <v/>
      </c>
      <c r="G4261" s="94" t="str">
        <f t="shared" si="2"/>
        <v/>
      </c>
      <c r="H4261" s="94" t="str">
        <f t="shared" si="3"/>
        <v/>
      </c>
      <c r="I4261" s="94" t="str">
        <f t="shared" ref="I4261:J4261" si="4262">if(G4261 = "", , -G4261)</f>
        <v/>
      </c>
      <c r="J4261" s="94" t="str">
        <f t="shared" si="4262"/>
        <v/>
      </c>
      <c r="K4261" s="100"/>
      <c r="L4261" s="100"/>
      <c r="N4261" s="100"/>
      <c r="O4261" s="100"/>
      <c r="P4261" s="100"/>
    </row>
    <row r="4262">
      <c r="A4262" s="107">
        <v>1628395.0</v>
      </c>
      <c r="B4262" s="108" t="s">
        <v>191</v>
      </c>
      <c r="C4262" s="108" t="s">
        <v>1021</v>
      </c>
      <c r="D4262" s="112" t="s">
        <v>177</v>
      </c>
      <c r="E4262" s="112">
        <v>809.4</v>
      </c>
      <c r="F4262" s="111" t="str">
        <f>DataPull!D4262</f>
        <v/>
      </c>
      <c r="G4262" s="94" t="str">
        <f t="shared" si="2"/>
        <v/>
      </c>
      <c r="H4262" s="94" t="str">
        <f t="shared" si="3"/>
        <v/>
      </c>
      <c r="I4262" s="94" t="str">
        <f t="shared" ref="I4262:J4262" si="4263">if(G4262 = "", , -G4262)</f>
        <v/>
      </c>
      <c r="J4262" s="94" t="str">
        <f t="shared" si="4263"/>
        <v/>
      </c>
      <c r="K4262" s="100"/>
      <c r="M4262" s="100"/>
      <c r="N4262" s="100"/>
      <c r="O4262" s="100"/>
      <c r="P4262" s="100"/>
    </row>
    <row r="4263">
      <c r="A4263" s="107">
        <v>1628395.0</v>
      </c>
      <c r="B4263" s="108" t="s">
        <v>192</v>
      </c>
      <c r="C4263" s="108" t="s">
        <v>1021</v>
      </c>
      <c r="D4263" s="112" t="s">
        <v>177</v>
      </c>
      <c r="E4263" s="112">
        <v>788.8</v>
      </c>
      <c r="F4263" s="111" t="str">
        <f>DataPull!D4263</f>
        <v/>
      </c>
      <c r="G4263" s="94" t="str">
        <f t="shared" si="2"/>
        <v/>
      </c>
      <c r="H4263" s="94" t="str">
        <f t="shared" si="3"/>
        <v/>
      </c>
      <c r="I4263" s="94" t="str">
        <f t="shared" ref="I4263:J4263" si="4264">if(G4263 = "", , -G4263)</f>
        <v/>
      </c>
      <c r="J4263" s="94" t="str">
        <f t="shared" si="4264"/>
        <v/>
      </c>
      <c r="K4263" s="100"/>
      <c r="M4263" s="100"/>
      <c r="N4263" s="100"/>
      <c r="O4263" s="100"/>
      <c r="P4263" s="100"/>
    </row>
    <row r="4264">
      <c r="A4264" s="107">
        <v>1628395.0</v>
      </c>
      <c r="B4264" s="108" t="s">
        <v>193</v>
      </c>
      <c r="C4264" s="108" t="s">
        <v>1021</v>
      </c>
      <c r="D4264" s="112" t="s">
        <v>187</v>
      </c>
      <c r="E4264" s="112">
        <v>255.2</v>
      </c>
      <c r="F4264" s="111" t="str">
        <f>DataPull!D4264</f>
        <v/>
      </c>
      <c r="G4264" s="94" t="str">
        <f t="shared" si="2"/>
        <v/>
      </c>
      <c r="H4264" s="94" t="str">
        <f t="shared" si="3"/>
        <v/>
      </c>
      <c r="I4264" s="94" t="str">
        <f t="shared" ref="I4264:J4264" si="4265">if(G4264 = "", , -G4264)</f>
        <v/>
      </c>
      <c r="J4264" s="94" t="str">
        <f t="shared" si="4265"/>
        <v/>
      </c>
      <c r="K4264" s="100"/>
      <c r="M4264" s="100"/>
      <c r="N4264" s="100"/>
      <c r="O4264" s="100"/>
      <c r="P4264" s="100"/>
    </row>
    <row r="4265">
      <c r="A4265" s="107">
        <v>1628395.0</v>
      </c>
      <c r="B4265" s="108" t="s">
        <v>243</v>
      </c>
      <c r="C4265" s="108" t="s">
        <v>1021</v>
      </c>
      <c r="D4265" s="112" t="s">
        <v>181</v>
      </c>
      <c r="E4265" s="112">
        <v>81.6</v>
      </c>
      <c r="F4265" s="111" t="str">
        <f>DataPull!D4265</f>
        <v/>
      </c>
      <c r="G4265" s="94" t="str">
        <f t="shared" si="2"/>
        <v/>
      </c>
      <c r="H4265" s="94" t="str">
        <f t="shared" si="3"/>
        <v/>
      </c>
      <c r="I4265" s="94" t="str">
        <f t="shared" ref="I4265:J4265" si="4266">if(G4265 = "", , -G4265)</f>
        <v/>
      </c>
      <c r="J4265" s="94" t="str">
        <f t="shared" si="4266"/>
        <v/>
      </c>
      <c r="K4265" s="100"/>
      <c r="M4265" s="100"/>
      <c r="N4265" s="100"/>
      <c r="O4265" s="100"/>
      <c r="P4265" s="100"/>
    </row>
    <row r="4266">
      <c r="A4266" s="107">
        <v>1628395.0</v>
      </c>
      <c r="B4266" s="108" t="s">
        <v>215</v>
      </c>
      <c r="C4266" s="108" t="s">
        <v>1021</v>
      </c>
      <c r="D4266" s="112" t="s">
        <v>181</v>
      </c>
      <c r="E4266" s="112">
        <v>2.0</v>
      </c>
      <c r="F4266" s="111" t="str">
        <f>DataPull!D4266</f>
        <v/>
      </c>
      <c r="G4266" s="94" t="str">
        <f t="shared" si="2"/>
        <v/>
      </c>
      <c r="H4266" s="94" t="str">
        <f t="shared" si="3"/>
        <v/>
      </c>
      <c r="I4266" s="94" t="str">
        <f t="shared" ref="I4266:J4266" si="4267">if(G4266 = "", , -G4266)</f>
        <v/>
      </c>
      <c r="J4266" s="94" t="str">
        <f t="shared" si="4267"/>
        <v/>
      </c>
      <c r="K4266" s="100"/>
      <c r="L4266" s="100"/>
      <c r="M4266" s="100"/>
      <c r="N4266" s="100"/>
      <c r="O4266" s="100"/>
      <c r="P4266" s="100"/>
    </row>
    <row r="4267">
      <c r="A4267" s="107">
        <v>1628396.0</v>
      </c>
      <c r="B4267" s="108" t="s">
        <v>191</v>
      </c>
      <c r="C4267" s="108" t="s">
        <v>1022</v>
      </c>
      <c r="D4267" s="112" t="s">
        <v>187</v>
      </c>
      <c r="E4267" s="112">
        <v>28.8</v>
      </c>
      <c r="F4267" s="111" t="str">
        <f>DataPull!D4267</f>
        <v/>
      </c>
      <c r="G4267" s="94" t="str">
        <f t="shared" si="2"/>
        <v/>
      </c>
      <c r="H4267" s="94" t="str">
        <f t="shared" si="3"/>
        <v/>
      </c>
      <c r="I4267" s="94" t="str">
        <f t="shared" ref="I4267:J4267" si="4268">if(G4267 = "", , -G4267)</f>
        <v/>
      </c>
      <c r="J4267" s="94" t="str">
        <f t="shared" si="4268"/>
        <v/>
      </c>
      <c r="K4267" s="100"/>
      <c r="M4267" s="100"/>
      <c r="N4267" s="100"/>
      <c r="O4267" s="100"/>
      <c r="P4267" s="100"/>
    </row>
    <row r="4268">
      <c r="A4268" s="107">
        <v>1628396.0</v>
      </c>
      <c r="B4268" s="108" t="s">
        <v>192</v>
      </c>
      <c r="C4268" s="108" t="s">
        <v>1022</v>
      </c>
      <c r="D4268" s="112" t="s">
        <v>181</v>
      </c>
      <c r="E4268" s="112">
        <v>36.0</v>
      </c>
      <c r="F4268" s="111" t="str">
        <f>DataPull!D4268</f>
        <v/>
      </c>
      <c r="G4268" s="94" t="str">
        <f t="shared" si="2"/>
        <v/>
      </c>
      <c r="H4268" s="94" t="str">
        <f t="shared" si="3"/>
        <v/>
      </c>
      <c r="I4268" s="94" t="str">
        <f t="shared" ref="I4268:J4268" si="4269">if(G4268 = "", , -G4268)</f>
        <v/>
      </c>
      <c r="J4268" s="94" t="str">
        <f t="shared" si="4269"/>
        <v/>
      </c>
      <c r="K4268" s="100"/>
      <c r="M4268" s="100"/>
      <c r="N4268" s="100"/>
      <c r="O4268" s="100"/>
      <c r="P4268" s="100"/>
    </row>
    <row r="4269">
      <c r="A4269" s="107">
        <v>1628396.0</v>
      </c>
      <c r="B4269" s="108" t="s">
        <v>193</v>
      </c>
      <c r="C4269" s="108" t="s">
        <v>1022</v>
      </c>
      <c r="D4269" s="112" t="s">
        <v>177</v>
      </c>
      <c r="E4269" s="112">
        <v>661.2</v>
      </c>
      <c r="F4269" s="111" t="str">
        <f>DataPull!D4269</f>
        <v/>
      </c>
      <c r="G4269" s="94" t="str">
        <f t="shared" si="2"/>
        <v/>
      </c>
      <c r="H4269" s="94" t="str">
        <f t="shared" si="3"/>
        <v/>
      </c>
      <c r="I4269" s="94" t="str">
        <f t="shared" ref="I4269:J4269" si="4270">if(G4269 = "", , -G4269)</f>
        <v/>
      </c>
      <c r="J4269" s="94" t="str">
        <f t="shared" si="4270"/>
        <v/>
      </c>
      <c r="K4269" s="100"/>
      <c r="M4269" s="100"/>
      <c r="N4269" s="100"/>
      <c r="O4269" s="100"/>
      <c r="P4269" s="100"/>
    </row>
    <row r="4270">
      <c r="A4270" s="107">
        <v>1628396.0</v>
      </c>
      <c r="B4270" s="108" t="s">
        <v>243</v>
      </c>
      <c r="C4270" s="108" t="s">
        <v>1022</v>
      </c>
      <c r="D4270" s="112" t="s">
        <v>177</v>
      </c>
      <c r="E4270" s="112">
        <v>684.6</v>
      </c>
      <c r="F4270" s="111" t="str">
        <f>DataPull!D4270</f>
        <v/>
      </c>
      <c r="G4270" s="94" t="str">
        <f t="shared" si="2"/>
        <v/>
      </c>
      <c r="H4270" s="94" t="str">
        <f t="shared" si="3"/>
        <v/>
      </c>
      <c r="I4270" s="94" t="str">
        <f t="shared" ref="I4270:J4270" si="4271">if(G4270 = "", , -G4270)</f>
        <v/>
      </c>
      <c r="J4270" s="94" t="str">
        <f t="shared" si="4271"/>
        <v/>
      </c>
      <c r="K4270" s="100"/>
      <c r="M4270" s="100"/>
      <c r="N4270" s="100"/>
      <c r="O4270" s="100"/>
      <c r="P4270" s="100"/>
    </row>
    <row r="4271">
      <c r="A4271" s="107">
        <v>1628396.0</v>
      </c>
      <c r="B4271" s="108" t="s">
        <v>215</v>
      </c>
      <c r="C4271" s="108" t="s">
        <v>1022</v>
      </c>
      <c r="D4271" s="112" t="s">
        <v>187</v>
      </c>
      <c r="E4271" s="112">
        <v>550.0</v>
      </c>
      <c r="F4271" s="111" t="str">
        <f>DataPull!D4271</f>
        <v/>
      </c>
      <c r="G4271" s="94" t="str">
        <f t="shared" si="2"/>
        <v/>
      </c>
      <c r="H4271" s="94" t="str">
        <f t="shared" si="3"/>
        <v/>
      </c>
      <c r="I4271" s="94" t="str">
        <f t="shared" ref="I4271:J4271" si="4272">if(G4271 = "", , -G4271)</f>
        <v/>
      </c>
      <c r="J4271" s="94" t="str">
        <f t="shared" si="4272"/>
        <v/>
      </c>
      <c r="K4271" s="100"/>
      <c r="M4271" s="100"/>
      <c r="N4271" s="100"/>
      <c r="O4271" s="100"/>
      <c r="P4271" s="100"/>
    </row>
    <row r="4272">
      <c r="A4272" s="107">
        <v>1628396.0</v>
      </c>
      <c r="B4272" s="108" t="s">
        <v>244</v>
      </c>
      <c r="C4272" s="108" t="s">
        <v>1022</v>
      </c>
      <c r="D4272" s="112" t="s">
        <v>187</v>
      </c>
      <c r="E4272" s="112">
        <v>33.6</v>
      </c>
      <c r="F4272" s="111" t="str">
        <f>DataPull!D4272</f>
        <v/>
      </c>
      <c r="G4272" s="94" t="str">
        <f t="shared" si="2"/>
        <v/>
      </c>
      <c r="H4272" s="94" t="str">
        <f t="shared" si="3"/>
        <v/>
      </c>
      <c r="I4272" s="94" t="str">
        <f t="shared" ref="I4272:J4272" si="4273">if(G4272 = "", , -G4272)</f>
        <v/>
      </c>
      <c r="J4272" s="94" t="str">
        <f t="shared" si="4273"/>
        <v/>
      </c>
      <c r="K4272" s="100"/>
      <c r="M4272" s="100"/>
      <c r="N4272" s="100"/>
      <c r="O4272" s="100"/>
      <c r="P4272" s="100"/>
    </row>
    <row r="4273">
      <c r="A4273" s="114">
        <v>1628396.0</v>
      </c>
      <c r="B4273" s="113" t="s">
        <v>247</v>
      </c>
      <c r="C4273" s="113" t="s">
        <v>1022</v>
      </c>
      <c r="D4273" s="112" t="s">
        <v>177</v>
      </c>
      <c r="E4273" s="112">
        <v>451.0</v>
      </c>
      <c r="F4273" s="111" t="str">
        <f>DataPull!D4273</f>
        <v/>
      </c>
      <c r="G4273" s="94" t="str">
        <f t="shared" si="2"/>
        <v/>
      </c>
      <c r="H4273" s="94" t="str">
        <f t="shared" si="3"/>
        <v/>
      </c>
      <c r="I4273" s="94" t="str">
        <f t="shared" ref="I4273:J4273" si="4274">if(G4273 = "", , -G4273)</f>
        <v/>
      </c>
      <c r="J4273" s="94" t="str">
        <f t="shared" si="4274"/>
        <v/>
      </c>
      <c r="K4273" s="100"/>
      <c r="L4273" s="100"/>
      <c r="N4273" s="100"/>
      <c r="O4273" s="100"/>
      <c r="P4273" s="100"/>
    </row>
    <row r="4274">
      <c r="A4274" s="107">
        <v>1628397.0</v>
      </c>
      <c r="B4274" s="108" t="s">
        <v>191</v>
      </c>
      <c r="C4274" s="108" t="s">
        <v>1023</v>
      </c>
      <c r="D4274" s="112" t="s">
        <v>177</v>
      </c>
      <c r="E4274" s="112">
        <v>514.8</v>
      </c>
      <c r="F4274" s="111" t="str">
        <f>DataPull!D4274</f>
        <v/>
      </c>
      <c r="G4274" s="94" t="str">
        <f t="shared" si="2"/>
        <v/>
      </c>
      <c r="H4274" s="94" t="str">
        <f t="shared" si="3"/>
        <v/>
      </c>
      <c r="I4274" s="94" t="str">
        <f t="shared" ref="I4274:J4274" si="4275">if(G4274 = "", , -G4274)</f>
        <v/>
      </c>
      <c r="J4274" s="94" t="str">
        <f t="shared" si="4275"/>
        <v/>
      </c>
      <c r="K4274" s="100"/>
      <c r="L4274" s="100"/>
      <c r="N4274" s="100"/>
      <c r="O4274" s="100"/>
      <c r="P4274" s="100"/>
    </row>
    <row r="4275">
      <c r="A4275" s="107">
        <v>1628397.0</v>
      </c>
      <c r="B4275" s="108" t="s">
        <v>192</v>
      </c>
      <c r="C4275" s="108" t="s">
        <v>1023</v>
      </c>
      <c r="D4275" s="112" t="s">
        <v>177</v>
      </c>
      <c r="E4275" s="112">
        <v>720.3</v>
      </c>
      <c r="F4275" s="111" t="str">
        <f>DataPull!D4275</f>
        <v/>
      </c>
      <c r="G4275" s="94" t="str">
        <f t="shared" si="2"/>
        <v/>
      </c>
      <c r="H4275" s="94" t="str">
        <f t="shared" si="3"/>
        <v/>
      </c>
      <c r="I4275" s="94" t="str">
        <f t="shared" ref="I4275:J4275" si="4276">if(G4275 = "", , -G4275)</f>
        <v/>
      </c>
      <c r="J4275" s="94" t="str">
        <f t="shared" si="4276"/>
        <v/>
      </c>
      <c r="K4275" s="100"/>
      <c r="L4275" s="100"/>
      <c r="M4275" s="100"/>
      <c r="N4275" s="100"/>
      <c r="O4275" s="100"/>
      <c r="P4275" s="100"/>
    </row>
    <row r="4276">
      <c r="A4276" s="107">
        <v>1628398.0</v>
      </c>
      <c r="B4276" s="108" t="s">
        <v>191</v>
      </c>
      <c r="C4276" s="108" t="s">
        <v>1024</v>
      </c>
      <c r="D4276" s="112" t="s">
        <v>178</v>
      </c>
      <c r="E4276" s="112">
        <v>2402.4</v>
      </c>
      <c r="F4276" s="111" t="str">
        <f>DataPull!D4276</f>
        <v/>
      </c>
      <c r="G4276" s="94" t="str">
        <f t="shared" si="2"/>
        <v/>
      </c>
      <c r="H4276" s="94" t="str">
        <f t="shared" si="3"/>
        <v/>
      </c>
      <c r="I4276" s="94" t="str">
        <f t="shared" ref="I4276:J4276" si="4277">if(G4276 = "", , -G4276)</f>
        <v/>
      </c>
      <c r="J4276" s="94" t="str">
        <f t="shared" si="4277"/>
        <v/>
      </c>
      <c r="K4276" s="100"/>
      <c r="M4276" s="100"/>
      <c r="N4276" s="100"/>
      <c r="O4276" s="100"/>
      <c r="P4276" s="100"/>
    </row>
    <row r="4277">
      <c r="A4277" s="107">
        <v>1628398.0</v>
      </c>
      <c r="B4277" s="108" t="s">
        <v>192</v>
      </c>
      <c r="C4277" s="108" t="s">
        <v>1024</v>
      </c>
      <c r="D4277" s="112" t="s">
        <v>178</v>
      </c>
      <c r="E4277" s="112">
        <v>2317.0</v>
      </c>
      <c r="F4277" s="111" t="str">
        <f>DataPull!D4277</f>
        <v/>
      </c>
      <c r="G4277" s="94" t="str">
        <f t="shared" si="2"/>
        <v/>
      </c>
      <c r="H4277" s="94" t="str">
        <f t="shared" si="3"/>
        <v/>
      </c>
      <c r="I4277" s="94" t="str">
        <f t="shared" ref="I4277:J4277" si="4278">if(G4277 = "", , -G4277)</f>
        <v/>
      </c>
      <c r="J4277" s="94" t="str">
        <f t="shared" si="4278"/>
        <v/>
      </c>
      <c r="K4277" s="100"/>
      <c r="M4277" s="100"/>
      <c r="N4277" s="100"/>
      <c r="O4277" s="100"/>
      <c r="P4277" s="100"/>
    </row>
    <row r="4278">
      <c r="A4278" s="107">
        <v>1628398.0</v>
      </c>
      <c r="B4278" s="108" t="s">
        <v>193</v>
      </c>
      <c r="C4278" s="108" t="s">
        <v>1024</v>
      </c>
      <c r="D4278" s="112" t="s">
        <v>178</v>
      </c>
      <c r="E4278" s="112">
        <v>1525.0</v>
      </c>
      <c r="F4278" s="111" t="str">
        <f>DataPull!D4278</f>
        <v/>
      </c>
      <c r="G4278" s="94" t="str">
        <f t="shared" si="2"/>
        <v/>
      </c>
      <c r="H4278" s="94" t="str">
        <f t="shared" si="3"/>
        <v/>
      </c>
      <c r="I4278" s="94" t="str">
        <f t="shared" ref="I4278:J4278" si="4279">if(G4278 = "", , -G4278)</f>
        <v/>
      </c>
      <c r="J4278" s="94" t="str">
        <f t="shared" si="4279"/>
        <v/>
      </c>
      <c r="K4278" s="100"/>
      <c r="M4278" s="100"/>
      <c r="N4278" s="100"/>
      <c r="O4278" s="100"/>
      <c r="P4278" s="100"/>
    </row>
    <row r="4279">
      <c r="A4279" s="107">
        <v>1628398.0</v>
      </c>
      <c r="B4279" s="108" t="s">
        <v>243</v>
      </c>
      <c r="C4279" s="108" t="s">
        <v>1024</v>
      </c>
      <c r="D4279" s="112" t="s">
        <v>178</v>
      </c>
      <c r="E4279" s="112">
        <v>1951.6</v>
      </c>
      <c r="F4279" s="111" t="str">
        <f>DataPull!D4279</f>
        <v/>
      </c>
      <c r="G4279" s="94" t="str">
        <f t="shared" si="2"/>
        <v/>
      </c>
      <c r="H4279" s="94" t="str">
        <f t="shared" si="3"/>
        <v/>
      </c>
      <c r="I4279" s="94" t="str">
        <f t="shared" ref="I4279:J4279" si="4280">if(G4279 = "", , -G4279)</f>
        <v/>
      </c>
      <c r="J4279" s="94" t="str">
        <f t="shared" si="4280"/>
        <v/>
      </c>
      <c r="K4279" s="100"/>
      <c r="M4279" s="100"/>
      <c r="N4279" s="100"/>
      <c r="O4279" s="100"/>
      <c r="P4279" s="100"/>
    </row>
    <row r="4280">
      <c r="A4280" s="107">
        <v>1628398.0</v>
      </c>
      <c r="B4280" s="108" t="s">
        <v>215</v>
      </c>
      <c r="C4280" s="108" t="s">
        <v>1024</v>
      </c>
      <c r="D4280" s="112" t="s">
        <v>178</v>
      </c>
      <c r="E4280" s="112">
        <v>2204.4</v>
      </c>
      <c r="F4280" s="111" t="str">
        <f>DataPull!D4280</f>
        <v/>
      </c>
      <c r="G4280" s="94" t="str">
        <f t="shared" si="2"/>
        <v/>
      </c>
      <c r="H4280" s="94" t="str">
        <f t="shared" si="3"/>
        <v/>
      </c>
      <c r="I4280" s="94" t="str">
        <f t="shared" ref="I4280:J4280" si="4281">if(G4280 = "", , -G4280)</f>
        <v/>
      </c>
      <c r="J4280" s="94" t="str">
        <f t="shared" si="4281"/>
        <v/>
      </c>
      <c r="K4280" s="100"/>
      <c r="M4280" s="100"/>
      <c r="N4280" s="100"/>
      <c r="O4280" s="100"/>
      <c r="P4280" s="100"/>
    </row>
    <row r="4281">
      <c r="A4281" s="107">
        <v>1628398.0</v>
      </c>
      <c r="B4281" s="108" t="s">
        <v>244</v>
      </c>
      <c r="C4281" s="108" t="s">
        <v>1024</v>
      </c>
      <c r="D4281" s="112" t="s">
        <v>178</v>
      </c>
      <c r="E4281" s="112">
        <v>2240.0</v>
      </c>
      <c r="F4281" s="111" t="str">
        <f>DataPull!D4281</f>
        <v/>
      </c>
      <c r="G4281" s="94" t="str">
        <f t="shared" si="2"/>
        <v/>
      </c>
      <c r="H4281" s="94" t="str">
        <f t="shared" si="3"/>
        <v/>
      </c>
      <c r="I4281" s="94" t="str">
        <f t="shared" ref="I4281:J4281" si="4282">if(G4281 = "", , -G4281)</f>
        <v/>
      </c>
      <c r="J4281" s="94" t="str">
        <f t="shared" si="4282"/>
        <v/>
      </c>
      <c r="K4281" s="100"/>
      <c r="M4281" s="100"/>
      <c r="N4281" s="100"/>
      <c r="O4281" s="100"/>
      <c r="P4281" s="100"/>
    </row>
    <row r="4282">
      <c r="A4282" s="107">
        <v>1628398.0</v>
      </c>
      <c r="B4282" s="108" t="s">
        <v>245</v>
      </c>
      <c r="C4282" s="108" t="s">
        <v>1024</v>
      </c>
      <c r="D4282" s="112" t="s">
        <v>178</v>
      </c>
      <c r="E4282" s="112">
        <v>2282.0</v>
      </c>
      <c r="F4282" s="111" t="str">
        <f>DataPull!D4282</f>
        <v/>
      </c>
      <c r="G4282" s="94" t="str">
        <f t="shared" si="2"/>
        <v/>
      </c>
      <c r="H4282" s="94" t="str">
        <f t="shared" si="3"/>
        <v/>
      </c>
      <c r="I4282" s="94" t="str">
        <f t="shared" ref="I4282:J4282" si="4283">if(G4282 = "", , -G4282)</f>
        <v/>
      </c>
      <c r="J4282" s="94" t="str">
        <f t="shared" si="4283"/>
        <v/>
      </c>
      <c r="K4282" s="100"/>
      <c r="M4282" s="100"/>
      <c r="N4282" s="100"/>
      <c r="O4282" s="100"/>
      <c r="P4282" s="100"/>
    </row>
    <row r="4283">
      <c r="A4283" s="107">
        <v>1628398.0</v>
      </c>
      <c r="B4283" s="108" t="s">
        <v>246</v>
      </c>
      <c r="C4283" s="108" t="s">
        <v>1024</v>
      </c>
      <c r="D4283" s="112" t="s">
        <v>178</v>
      </c>
      <c r="E4283" s="112">
        <v>1937.0</v>
      </c>
      <c r="F4283" s="111" t="str">
        <f>DataPull!D4283</f>
        <v/>
      </c>
      <c r="G4283" s="94" t="str">
        <f t="shared" si="2"/>
        <v/>
      </c>
      <c r="H4283" s="94" t="str">
        <f t="shared" si="3"/>
        <v/>
      </c>
      <c r="I4283" s="94" t="str">
        <f t="shared" ref="I4283:J4283" si="4284">if(G4283 = "", , -G4283)</f>
        <v/>
      </c>
      <c r="J4283" s="94" t="str">
        <f t="shared" si="4284"/>
        <v/>
      </c>
      <c r="K4283" s="100"/>
      <c r="M4283" s="100"/>
      <c r="N4283" s="100"/>
      <c r="O4283" s="100"/>
      <c r="P4283" s="100"/>
    </row>
    <row r="4284">
      <c r="A4284" s="114">
        <v>1628398.0</v>
      </c>
      <c r="B4284" s="113" t="s">
        <v>247</v>
      </c>
      <c r="C4284" s="113" t="s">
        <v>1024</v>
      </c>
      <c r="D4284" s="112" t="s">
        <v>176</v>
      </c>
      <c r="E4284" s="112">
        <v>1807.8</v>
      </c>
      <c r="F4284" s="111" t="str">
        <f>DataPull!D4284</f>
        <v/>
      </c>
      <c r="G4284" s="94" t="str">
        <f t="shared" si="2"/>
        <v/>
      </c>
      <c r="H4284" s="94" t="str">
        <f t="shared" si="3"/>
        <v/>
      </c>
      <c r="I4284" s="94" t="str">
        <f t="shared" ref="I4284:J4284" si="4285">if(G4284 = "", , -G4284)</f>
        <v/>
      </c>
      <c r="J4284" s="94" t="str">
        <f t="shared" si="4285"/>
        <v/>
      </c>
      <c r="K4284" s="100"/>
      <c r="M4284" s="100"/>
      <c r="N4284" s="100"/>
      <c r="O4284" s="100"/>
      <c r="P4284" s="100"/>
    </row>
    <row r="4285">
      <c r="A4285" s="107">
        <v>1628399.0</v>
      </c>
      <c r="B4285" s="108" t="s">
        <v>191</v>
      </c>
      <c r="C4285" s="108" t="s">
        <v>1025</v>
      </c>
      <c r="D4285" s="112" t="s">
        <v>181</v>
      </c>
      <c r="E4285" s="112">
        <v>2.2</v>
      </c>
      <c r="F4285" s="111" t="str">
        <f>DataPull!D4285</f>
        <v/>
      </c>
      <c r="G4285" s="94" t="str">
        <f t="shared" si="2"/>
        <v/>
      </c>
      <c r="H4285" s="94" t="str">
        <f t="shared" si="3"/>
        <v/>
      </c>
      <c r="I4285" s="94" t="str">
        <f t="shared" ref="I4285:J4285" si="4286">if(G4285 = "", , -G4285)</f>
        <v/>
      </c>
      <c r="J4285" s="94" t="str">
        <f t="shared" si="4286"/>
        <v/>
      </c>
      <c r="K4285" s="100"/>
      <c r="M4285" s="100"/>
      <c r="N4285" s="100"/>
      <c r="O4285" s="100"/>
      <c r="P4285" s="100"/>
    </row>
    <row r="4286">
      <c r="A4286" s="107">
        <v>1628399.0</v>
      </c>
      <c r="B4286" s="108" t="s">
        <v>192</v>
      </c>
      <c r="C4286" s="108" t="s">
        <v>1025</v>
      </c>
      <c r="D4286" s="112" t="s">
        <v>187</v>
      </c>
      <c r="E4286" s="112">
        <v>92.5</v>
      </c>
      <c r="F4286" s="111" t="str">
        <f>DataPull!D4286</f>
        <v/>
      </c>
      <c r="G4286" s="94" t="str">
        <f t="shared" si="2"/>
        <v/>
      </c>
      <c r="H4286" s="94" t="str">
        <f t="shared" si="3"/>
        <v/>
      </c>
      <c r="I4286" s="94" t="str">
        <f t="shared" ref="I4286:J4286" si="4287">if(G4286 = "", , -G4286)</f>
        <v/>
      </c>
      <c r="J4286" s="94" t="str">
        <f t="shared" si="4287"/>
        <v/>
      </c>
      <c r="K4286" s="100"/>
      <c r="L4286" s="100"/>
      <c r="M4286" s="100"/>
      <c r="N4286" s="100"/>
      <c r="O4286" s="100"/>
      <c r="P4286" s="100"/>
    </row>
    <row r="4287">
      <c r="A4287" s="107">
        <v>1628400.0</v>
      </c>
      <c r="B4287" s="108" t="s">
        <v>191</v>
      </c>
      <c r="C4287" s="108" t="s">
        <v>1026</v>
      </c>
      <c r="D4287" s="112" t="s">
        <v>177</v>
      </c>
      <c r="E4287" s="112">
        <v>1153.4</v>
      </c>
      <c r="F4287" s="111" t="str">
        <f>DataPull!D4287</f>
        <v/>
      </c>
      <c r="G4287" s="94" t="str">
        <f t="shared" si="2"/>
        <v/>
      </c>
      <c r="H4287" s="94" t="str">
        <f t="shared" si="3"/>
        <v/>
      </c>
      <c r="I4287" s="94" t="str">
        <f t="shared" ref="I4287:J4287" si="4288">if(G4287 = "", , -G4287)</f>
        <v/>
      </c>
      <c r="J4287" s="94" t="str">
        <f t="shared" si="4288"/>
        <v/>
      </c>
      <c r="K4287" s="100"/>
      <c r="M4287" s="100"/>
      <c r="N4287" s="100"/>
      <c r="O4287" s="100"/>
      <c r="P4287" s="100"/>
    </row>
    <row r="4288">
      <c r="A4288" s="107">
        <v>1628400.0</v>
      </c>
      <c r="B4288" s="108" t="s">
        <v>192</v>
      </c>
      <c r="C4288" s="108" t="s">
        <v>1026</v>
      </c>
      <c r="D4288" s="112" t="s">
        <v>187</v>
      </c>
      <c r="E4288" s="112">
        <v>593.6</v>
      </c>
      <c r="F4288" s="111" t="str">
        <f>DataPull!D4288</f>
        <v/>
      </c>
      <c r="G4288" s="94" t="str">
        <f t="shared" si="2"/>
        <v/>
      </c>
      <c r="H4288" s="94" t="str">
        <f t="shared" si="3"/>
        <v/>
      </c>
      <c r="I4288" s="94" t="str">
        <f t="shared" ref="I4288:J4288" si="4289">if(G4288 = "", , -G4288)</f>
        <v/>
      </c>
      <c r="J4288" s="94" t="str">
        <f t="shared" si="4289"/>
        <v/>
      </c>
      <c r="K4288" s="100"/>
      <c r="L4288" s="100"/>
      <c r="N4288" s="100"/>
      <c r="O4288" s="100"/>
      <c r="P4288" s="100"/>
    </row>
    <row r="4289">
      <c r="A4289" s="107">
        <v>1628400.0</v>
      </c>
      <c r="B4289" s="108" t="s">
        <v>193</v>
      </c>
      <c r="C4289" s="108" t="s">
        <v>1026</v>
      </c>
      <c r="D4289" s="112" t="s">
        <v>177</v>
      </c>
      <c r="E4289" s="112">
        <v>1007.4</v>
      </c>
      <c r="F4289" s="111" t="str">
        <f>DataPull!D4289</f>
        <v/>
      </c>
      <c r="G4289" s="94" t="str">
        <f t="shared" si="2"/>
        <v/>
      </c>
      <c r="H4289" s="94" t="str">
        <f t="shared" si="3"/>
        <v/>
      </c>
      <c r="I4289" s="94" t="str">
        <f t="shared" ref="I4289:J4289" si="4290">if(G4289 = "", , -G4289)</f>
        <v/>
      </c>
      <c r="J4289" s="94" t="str">
        <f t="shared" si="4290"/>
        <v/>
      </c>
      <c r="K4289" s="100"/>
      <c r="L4289" s="100"/>
      <c r="N4289" s="100"/>
      <c r="O4289" s="100"/>
      <c r="P4289" s="100"/>
    </row>
    <row r="4290">
      <c r="A4290" s="107">
        <v>1628400.0</v>
      </c>
      <c r="B4290" s="108" t="s">
        <v>243</v>
      </c>
      <c r="C4290" s="108" t="s">
        <v>1026</v>
      </c>
      <c r="D4290" s="112" t="s">
        <v>177</v>
      </c>
      <c r="E4290" s="112">
        <v>952.0</v>
      </c>
      <c r="F4290" s="111" t="str">
        <f>DataPull!D4290</f>
        <v/>
      </c>
      <c r="G4290" s="94" t="str">
        <f t="shared" si="2"/>
        <v/>
      </c>
      <c r="H4290" s="94" t="str">
        <f t="shared" si="3"/>
        <v/>
      </c>
      <c r="I4290" s="94" t="str">
        <f t="shared" ref="I4290:J4290" si="4291">if(G4290 = "", , -G4290)</f>
        <v/>
      </c>
      <c r="J4290" s="94" t="str">
        <f t="shared" si="4291"/>
        <v/>
      </c>
      <c r="K4290" s="100"/>
      <c r="M4290" s="100"/>
      <c r="N4290" s="100"/>
      <c r="O4290" s="100"/>
      <c r="P4290" s="100"/>
    </row>
    <row r="4291">
      <c r="A4291" s="107">
        <v>1628400.0</v>
      </c>
      <c r="B4291" s="108" t="s">
        <v>215</v>
      </c>
      <c r="C4291" s="108" t="s">
        <v>1026</v>
      </c>
      <c r="D4291" s="112" t="s">
        <v>177</v>
      </c>
      <c r="E4291" s="112">
        <v>405.0</v>
      </c>
      <c r="F4291" s="111" t="str">
        <f>DataPull!D4291</f>
        <v/>
      </c>
      <c r="G4291" s="94" t="str">
        <f t="shared" si="2"/>
        <v/>
      </c>
      <c r="H4291" s="94" t="str">
        <f t="shared" si="3"/>
        <v/>
      </c>
      <c r="I4291" s="94" t="str">
        <f t="shared" ref="I4291:J4291" si="4292">if(G4291 = "", , -G4291)</f>
        <v/>
      </c>
      <c r="J4291" s="94" t="str">
        <f t="shared" si="4292"/>
        <v/>
      </c>
      <c r="K4291" s="100"/>
      <c r="M4291" s="100"/>
      <c r="N4291" s="100"/>
      <c r="O4291" s="100"/>
      <c r="P4291" s="100"/>
    </row>
    <row r="4292">
      <c r="A4292" s="107">
        <v>1628401.0</v>
      </c>
      <c r="B4292" s="108" t="s">
        <v>191</v>
      </c>
      <c r="C4292" s="108" t="s">
        <v>1027</v>
      </c>
      <c r="D4292" s="112" t="s">
        <v>187</v>
      </c>
      <c r="E4292" s="112">
        <v>139.4</v>
      </c>
      <c r="F4292" s="111" t="str">
        <f>DataPull!D4292</f>
        <v/>
      </c>
      <c r="G4292" s="94" t="str">
        <f t="shared" si="2"/>
        <v/>
      </c>
      <c r="H4292" s="94" t="str">
        <f t="shared" si="3"/>
        <v/>
      </c>
      <c r="I4292" s="94" t="str">
        <f t="shared" ref="I4292:J4292" si="4293">if(G4292 = "", , -G4292)</f>
        <v/>
      </c>
      <c r="J4292" s="94" t="str">
        <f t="shared" si="4293"/>
        <v/>
      </c>
      <c r="K4292" s="100"/>
      <c r="L4292" s="100"/>
      <c r="M4292" s="100"/>
      <c r="N4292" s="100"/>
      <c r="O4292" s="100"/>
      <c r="P4292" s="100"/>
    </row>
    <row r="4293">
      <c r="A4293" s="107">
        <v>1628401.0</v>
      </c>
      <c r="B4293" s="108" t="s">
        <v>192</v>
      </c>
      <c r="C4293" s="108" t="s">
        <v>1027</v>
      </c>
      <c r="D4293" s="112" t="s">
        <v>178</v>
      </c>
      <c r="E4293" s="112">
        <v>1728.6</v>
      </c>
      <c r="F4293" s="111" t="str">
        <f>DataPull!D4293</f>
        <v/>
      </c>
      <c r="G4293" s="94" t="str">
        <f t="shared" si="2"/>
        <v/>
      </c>
      <c r="H4293" s="94" t="str">
        <f t="shared" si="3"/>
        <v/>
      </c>
      <c r="I4293" s="94" t="str">
        <f t="shared" ref="I4293:J4293" si="4294">if(G4293 = "", , -G4293)</f>
        <v/>
      </c>
      <c r="J4293" s="94" t="str">
        <f t="shared" si="4294"/>
        <v/>
      </c>
      <c r="K4293" s="100"/>
      <c r="L4293" s="100"/>
      <c r="N4293" s="100"/>
      <c r="O4293" s="100"/>
      <c r="P4293" s="100"/>
    </row>
    <row r="4294">
      <c r="A4294" s="107">
        <v>1628401.0</v>
      </c>
      <c r="B4294" s="108" t="s">
        <v>193</v>
      </c>
      <c r="C4294" s="108" t="s">
        <v>1027</v>
      </c>
      <c r="D4294" s="112" t="s">
        <v>184</v>
      </c>
      <c r="E4294" s="112">
        <v>1679.6</v>
      </c>
      <c r="F4294" s="111" t="str">
        <f>DataPull!D4294</f>
        <v/>
      </c>
      <c r="G4294" s="94" t="str">
        <f t="shared" si="2"/>
        <v/>
      </c>
      <c r="H4294" s="94" t="str">
        <f t="shared" si="3"/>
        <v/>
      </c>
      <c r="I4294" s="94" t="str">
        <f t="shared" ref="I4294:J4294" si="4295">if(G4294 = "", , -G4294)</f>
        <v/>
      </c>
      <c r="J4294" s="94" t="str">
        <f t="shared" si="4295"/>
        <v/>
      </c>
      <c r="K4294" s="100"/>
      <c r="M4294" s="100"/>
      <c r="N4294" s="100"/>
      <c r="O4294" s="100"/>
      <c r="P4294" s="100"/>
    </row>
    <row r="4295">
      <c r="A4295" s="107">
        <v>1628401.0</v>
      </c>
      <c r="B4295" s="108" t="s">
        <v>243</v>
      </c>
      <c r="C4295" s="108" t="s">
        <v>1027</v>
      </c>
      <c r="D4295" s="112" t="s">
        <v>184</v>
      </c>
      <c r="E4295" s="112">
        <v>1062.0</v>
      </c>
      <c r="F4295" s="111" t="str">
        <f>DataPull!D4295</f>
        <v/>
      </c>
      <c r="G4295" s="94" t="str">
        <f t="shared" si="2"/>
        <v/>
      </c>
      <c r="H4295" s="94" t="str">
        <f t="shared" si="3"/>
        <v/>
      </c>
      <c r="I4295" s="94" t="str">
        <f t="shared" ref="I4295:J4295" si="4296">if(G4295 = "", , -G4295)</f>
        <v/>
      </c>
      <c r="J4295" s="94" t="str">
        <f t="shared" si="4296"/>
        <v/>
      </c>
      <c r="K4295" s="100"/>
      <c r="M4295" s="100"/>
      <c r="N4295" s="100"/>
      <c r="O4295" s="100"/>
      <c r="P4295" s="100"/>
    </row>
    <row r="4296">
      <c r="A4296" s="107">
        <v>1628401.0</v>
      </c>
      <c r="B4296" s="108" t="s">
        <v>215</v>
      </c>
      <c r="C4296" s="108" t="s">
        <v>1027</v>
      </c>
      <c r="D4296" s="112" t="s">
        <v>184</v>
      </c>
      <c r="E4296" s="112">
        <v>2197.5</v>
      </c>
      <c r="F4296" s="111" t="str">
        <f>DataPull!D4296</f>
        <v/>
      </c>
      <c r="G4296" s="94" t="str">
        <f t="shared" si="2"/>
        <v/>
      </c>
      <c r="H4296" s="94" t="str">
        <f t="shared" si="3"/>
        <v/>
      </c>
      <c r="I4296" s="94" t="str">
        <f t="shared" ref="I4296:J4296" si="4297">if(G4296 = "", , -G4296)</f>
        <v/>
      </c>
      <c r="J4296" s="94" t="str">
        <f t="shared" si="4297"/>
        <v/>
      </c>
      <c r="K4296" s="100"/>
      <c r="M4296" s="100"/>
      <c r="N4296" s="100"/>
      <c r="O4296" s="100"/>
      <c r="P4296" s="100"/>
    </row>
    <row r="4297">
      <c r="A4297" s="107">
        <v>1628401.0</v>
      </c>
      <c r="B4297" s="108" t="s">
        <v>244</v>
      </c>
      <c r="C4297" s="108" t="s">
        <v>1027</v>
      </c>
      <c r="D4297" s="112" t="s">
        <v>184</v>
      </c>
      <c r="E4297" s="112">
        <v>2320.6</v>
      </c>
      <c r="F4297" s="111" t="str">
        <f>DataPull!D4297</f>
        <v/>
      </c>
      <c r="G4297" s="94" t="str">
        <f t="shared" si="2"/>
        <v/>
      </c>
      <c r="H4297" s="94" t="str">
        <f t="shared" si="3"/>
        <v/>
      </c>
      <c r="I4297" s="94" t="str">
        <f t="shared" ref="I4297:J4297" si="4298">if(G4297 = "", , -G4297)</f>
        <v/>
      </c>
      <c r="J4297" s="94" t="str">
        <f t="shared" si="4298"/>
        <v/>
      </c>
      <c r="K4297" s="100"/>
      <c r="L4297" s="100"/>
      <c r="N4297" s="100"/>
      <c r="O4297" s="100"/>
      <c r="P4297" s="100"/>
    </row>
    <row r="4298">
      <c r="A4298" s="107">
        <v>1628401.0</v>
      </c>
      <c r="B4298" s="108" t="s">
        <v>245</v>
      </c>
      <c r="C4298" s="108" t="s">
        <v>1027</v>
      </c>
      <c r="D4298" s="112" t="s">
        <v>184</v>
      </c>
      <c r="E4298" s="112">
        <v>2379.8</v>
      </c>
      <c r="F4298" s="111" t="str">
        <f>DataPull!D4298</f>
        <v/>
      </c>
      <c r="G4298" s="94" t="str">
        <f t="shared" si="2"/>
        <v/>
      </c>
      <c r="H4298" s="94" t="str">
        <f t="shared" si="3"/>
        <v/>
      </c>
      <c r="I4298" s="94" t="str">
        <f t="shared" ref="I4298:J4298" si="4299">if(G4298 = "", , -G4298)</f>
        <v/>
      </c>
      <c r="J4298" s="94" t="str">
        <f t="shared" si="4299"/>
        <v/>
      </c>
      <c r="K4298" s="100"/>
      <c r="M4298" s="100"/>
      <c r="N4298" s="100"/>
      <c r="O4298" s="100"/>
      <c r="P4298" s="100"/>
    </row>
    <row r="4299">
      <c r="A4299" s="107">
        <v>1628401.0</v>
      </c>
      <c r="B4299" s="108" t="s">
        <v>246</v>
      </c>
      <c r="C4299" s="108" t="s">
        <v>1027</v>
      </c>
      <c r="D4299" s="112" t="s">
        <v>184</v>
      </c>
      <c r="E4299" s="112">
        <v>2576.4</v>
      </c>
      <c r="F4299" s="111" t="str">
        <f>DataPull!D4299</f>
        <v/>
      </c>
      <c r="G4299" s="94" t="str">
        <f t="shared" si="2"/>
        <v/>
      </c>
      <c r="H4299" s="94" t="str">
        <f t="shared" si="3"/>
        <v/>
      </c>
      <c r="I4299" s="94" t="str">
        <f t="shared" ref="I4299:J4299" si="4300">if(G4299 = "", , -G4299)</f>
        <v/>
      </c>
      <c r="J4299" s="94" t="str">
        <f t="shared" si="4300"/>
        <v/>
      </c>
      <c r="K4299" s="100"/>
      <c r="M4299" s="100"/>
      <c r="N4299" s="100"/>
      <c r="O4299" s="100"/>
      <c r="P4299" s="100"/>
    </row>
    <row r="4300">
      <c r="A4300" s="114">
        <v>1628401.0</v>
      </c>
      <c r="B4300" s="113" t="s">
        <v>247</v>
      </c>
      <c r="C4300" s="113" t="s">
        <v>1027</v>
      </c>
      <c r="D4300" s="112" t="s">
        <v>184</v>
      </c>
      <c r="E4300" s="112">
        <v>2625.7</v>
      </c>
      <c r="F4300" s="111" t="str">
        <f>DataPull!D4300</f>
        <v/>
      </c>
      <c r="G4300" s="94" t="str">
        <f t="shared" si="2"/>
        <v/>
      </c>
      <c r="H4300" s="94" t="str">
        <f t="shared" si="3"/>
        <v/>
      </c>
      <c r="I4300" s="94" t="str">
        <f t="shared" ref="I4300:J4300" si="4301">if(G4300 = "", , -G4300)</f>
        <v/>
      </c>
      <c r="J4300" s="94" t="str">
        <f t="shared" si="4301"/>
        <v/>
      </c>
      <c r="K4300" s="100"/>
      <c r="M4300" s="100"/>
      <c r="N4300" s="100"/>
      <c r="O4300" s="100"/>
      <c r="P4300" s="100"/>
    </row>
    <row r="4301">
      <c r="A4301" s="107">
        <v>1628402.0</v>
      </c>
      <c r="B4301" s="108" t="s">
        <v>192</v>
      </c>
      <c r="C4301" s="108" t="s">
        <v>1028</v>
      </c>
      <c r="D4301" s="112"/>
      <c r="E4301" s="112">
        <v>1171.2</v>
      </c>
      <c r="F4301" s="111" t="str">
        <f>DataPull!D4301</f>
        <v/>
      </c>
      <c r="G4301" s="94" t="str">
        <f t="shared" si="2"/>
        <v/>
      </c>
      <c r="H4301" s="94" t="str">
        <f t="shared" si="3"/>
        <v/>
      </c>
      <c r="I4301" s="94" t="str">
        <f t="shared" ref="I4301:J4301" si="4302">if(G4301 = "", , -G4301)</f>
        <v/>
      </c>
      <c r="J4301" s="94" t="str">
        <f t="shared" si="4302"/>
        <v/>
      </c>
      <c r="K4301" s="100"/>
      <c r="M4301" s="100"/>
      <c r="N4301" s="100"/>
      <c r="O4301" s="100"/>
      <c r="P4301" s="100"/>
    </row>
    <row r="4302">
      <c r="A4302" s="107">
        <v>1628402.0</v>
      </c>
      <c r="B4302" s="108" t="s">
        <v>193</v>
      </c>
      <c r="C4302" s="108" t="s">
        <v>1028</v>
      </c>
      <c r="D4302" s="112"/>
      <c r="E4302" s="112">
        <v>796.5</v>
      </c>
      <c r="F4302" s="111" t="str">
        <f>DataPull!D4302</f>
        <v/>
      </c>
      <c r="G4302" s="94" t="str">
        <f t="shared" si="2"/>
        <v/>
      </c>
      <c r="H4302" s="94" t="str">
        <f t="shared" si="3"/>
        <v/>
      </c>
      <c r="I4302" s="94" t="str">
        <f t="shared" ref="I4302:J4302" si="4303">if(G4302 = "", , -G4302)</f>
        <v/>
      </c>
      <c r="J4302" s="94" t="str">
        <f t="shared" si="4303"/>
        <v/>
      </c>
      <c r="K4302" s="100"/>
      <c r="M4302" s="100"/>
      <c r="N4302" s="100"/>
      <c r="O4302" s="100"/>
      <c r="P4302" s="100"/>
    </row>
    <row r="4303">
      <c r="A4303" s="107">
        <v>1628402.0</v>
      </c>
      <c r="B4303" s="108" t="s">
        <v>243</v>
      </c>
      <c r="C4303" s="108" t="s">
        <v>1028</v>
      </c>
      <c r="D4303" s="112"/>
      <c r="E4303" s="112">
        <v>740.0</v>
      </c>
      <c r="F4303" s="111" t="str">
        <f>DataPull!D4303</f>
        <v/>
      </c>
      <c r="G4303" s="94" t="str">
        <f t="shared" si="2"/>
        <v/>
      </c>
      <c r="H4303" s="94" t="str">
        <f t="shared" si="3"/>
        <v/>
      </c>
      <c r="I4303" s="94" t="str">
        <f t="shared" ref="I4303:J4303" si="4304">if(G4303 = "", , -G4303)</f>
        <v/>
      </c>
      <c r="J4303" s="94" t="str">
        <f t="shared" si="4304"/>
        <v/>
      </c>
      <c r="K4303" s="100"/>
      <c r="M4303" s="100"/>
      <c r="N4303" s="100"/>
      <c r="O4303" s="100"/>
      <c r="P4303" s="100"/>
    </row>
    <row r="4304">
      <c r="A4304" s="107">
        <v>1628402.0</v>
      </c>
      <c r="B4304" s="108" t="s">
        <v>215</v>
      </c>
      <c r="C4304" s="108" t="s">
        <v>1028</v>
      </c>
      <c r="D4304" s="112"/>
      <c r="E4304" s="112">
        <v>1166.0</v>
      </c>
      <c r="F4304" s="111" t="str">
        <f>DataPull!D4304</f>
        <v/>
      </c>
      <c r="G4304" s="94" t="str">
        <f t="shared" si="2"/>
        <v/>
      </c>
      <c r="H4304" s="94" t="str">
        <f t="shared" si="3"/>
        <v/>
      </c>
      <c r="I4304" s="94" t="str">
        <f t="shared" ref="I4304:J4304" si="4305">if(G4304 = "", , -G4304)</f>
        <v/>
      </c>
      <c r="J4304" s="94" t="str">
        <f t="shared" si="4305"/>
        <v/>
      </c>
      <c r="K4304" s="100"/>
      <c r="M4304" s="100"/>
      <c r="N4304" s="100"/>
      <c r="O4304" s="100"/>
      <c r="P4304" s="100"/>
    </row>
    <row r="4305">
      <c r="A4305" s="107">
        <v>1628402.0</v>
      </c>
      <c r="B4305" s="108" t="s">
        <v>244</v>
      </c>
      <c r="C4305" s="108" t="s">
        <v>1028</v>
      </c>
      <c r="D4305" s="112"/>
      <c r="E4305" s="112">
        <v>5.1</v>
      </c>
      <c r="F4305" s="111" t="str">
        <f>DataPull!D4305</f>
        <v/>
      </c>
      <c r="G4305" s="94" t="str">
        <f t="shared" si="2"/>
        <v/>
      </c>
      <c r="H4305" s="94" t="str">
        <f t="shared" si="3"/>
        <v/>
      </c>
      <c r="I4305" s="94" t="str">
        <f t="shared" ref="I4305:J4305" si="4306">if(G4305 = "", , -G4305)</f>
        <v/>
      </c>
      <c r="J4305" s="94" t="str">
        <f t="shared" si="4306"/>
        <v/>
      </c>
      <c r="K4305" s="100"/>
      <c r="M4305" s="100"/>
      <c r="N4305" s="100"/>
      <c r="O4305" s="100"/>
      <c r="P4305" s="100"/>
    </row>
    <row r="4306">
      <c r="A4306" s="107">
        <v>1628403.0</v>
      </c>
      <c r="B4306" s="108" t="s">
        <v>191</v>
      </c>
      <c r="C4306" s="108" t="s">
        <v>1029</v>
      </c>
      <c r="D4306" s="112" t="s">
        <v>187</v>
      </c>
      <c r="E4306" s="112">
        <v>189.0</v>
      </c>
      <c r="F4306" s="111" t="str">
        <f>DataPull!D4306</f>
        <v/>
      </c>
      <c r="G4306" s="94" t="str">
        <f t="shared" si="2"/>
        <v/>
      </c>
      <c r="H4306" s="94" t="str">
        <f t="shared" si="3"/>
        <v/>
      </c>
      <c r="I4306" s="94" t="str">
        <f t="shared" ref="I4306:J4306" si="4307">if(G4306 = "", , -G4306)</f>
        <v/>
      </c>
      <c r="J4306" s="94" t="str">
        <f t="shared" si="4307"/>
        <v/>
      </c>
      <c r="K4306" s="100"/>
      <c r="M4306" s="100"/>
      <c r="N4306" s="100"/>
      <c r="O4306" s="100"/>
      <c r="P4306" s="100"/>
    </row>
    <row r="4307">
      <c r="A4307" s="107">
        <v>1628403.0</v>
      </c>
      <c r="B4307" s="108" t="s">
        <v>192</v>
      </c>
      <c r="C4307" s="108" t="s">
        <v>1029</v>
      </c>
      <c r="D4307" s="112" t="s">
        <v>187</v>
      </c>
      <c r="E4307" s="112">
        <v>178.5</v>
      </c>
      <c r="F4307" s="111" t="str">
        <f>DataPull!D4307</f>
        <v/>
      </c>
      <c r="G4307" s="94" t="str">
        <f t="shared" si="2"/>
        <v/>
      </c>
      <c r="H4307" s="94" t="str">
        <f t="shared" si="3"/>
        <v/>
      </c>
      <c r="I4307" s="94" t="str">
        <f t="shared" ref="I4307:J4307" si="4308">if(G4307 = "", , -G4307)</f>
        <v/>
      </c>
      <c r="J4307" s="94" t="str">
        <f t="shared" si="4308"/>
        <v/>
      </c>
      <c r="K4307" s="100"/>
      <c r="M4307" s="100"/>
      <c r="N4307" s="100"/>
      <c r="O4307" s="100"/>
      <c r="P4307" s="100"/>
    </row>
    <row r="4308">
      <c r="A4308" s="107">
        <v>1628403.0</v>
      </c>
      <c r="B4308" s="108" t="s">
        <v>193</v>
      </c>
      <c r="C4308" s="108" t="s">
        <v>1029</v>
      </c>
      <c r="D4308" s="112" t="s">
        <v>187</v>
      </c>
      <c r="E4308" s="112">
        <v>288.9</v>
      </c>
      <c r="F4308" s="111" t="str">
        <f>DataPull!D4308</f>
        <v/>
      </c>
      <c r="G4308" s="94" t="str">
        <f t="shared" si="2"/>
        <v/>
      </c>
      <c r="H4308" s="94" t="str">
        <f t="shared" si="3"/>
        <v/>
      </c>
      <c r="I4308" s="94" t="str">
        <f t="shared" ref="I4308:J4308" si="4309">if(G4308 = "", , -G4308)</f>
        <v/>
      </c>
      <c r="J4308" s="94" t="str">
        <f t="shared" si="4309"/>
        <v/>
      </c>
      <c r="K4308" s="100"/>
      <c r="M4308" s="100"/>
      <c r="N4308" s="100"/>
      <c r="O4308" s="100"/>
      <c r="P4308" s="100"/>
    </row>
    <row r="4309">
      <c r="A4309" s="107">
        <v>1628404.0</v>
      </c>
      <c r="B4309" s="108" t="s">
        <v>191</v>
      </c>
      <c r="C4309" s="108" t="s">
        <v>1030</v>
      </c>
      <c r="D4309" s="112" t="s">
        <v>176</v>
      </c>
      <c r="E4309" s="112">
        <v>1461.6</v>
      </c>
      <c r="F4309" s="111" t="str">
        <f>DataPull!D4309</f>
        <v/>
      </c>
      <c r="G4309" s="94" t="str">
        <f t="shared" si="2"/>
        <v/>
      </c>
      <c r="H4309" s="94" t="str">
        <f t="shared" si="3"/>
        <v/>
      </c>
      <c r="I4309" s="94" t="str">
        <f t="shared" ref="I4309:J4309" si="4310">if(G4309 = "", , -G4309)</f>
        <v/>
      </c>
      <c r="J4309" s="94" t="str">
        <f t="shared" si="4310"/>
        <v/>
      </c>
      <c r="K4309" s="100"/>
      <c r="M4309" s="100"/>
      <c r="N4309" s="100"/>
      <c r="O4309" s="100"/>
      <c r="P4309" s="100"/>
    </row>
    <row r="4310">
      <c r="A4310" s="107">
        <v>1628404.0</v>
      </c>
      <c r="B4310" s="108" t="s">
        <v>192</v>
      </c>
      <c r="C4310" s="108" t="s">
        <v>1030</v>
      </c>
      <c r="D4310" s="112" t="s">
        <v>176</v>
      </c>
      <c r="E4310" s="112">
        <v>1715.2</v>
      </c>
      <c r="F4310" s="111" t="str">
        <f>DataPull!D4310</f>
        <v/>
      </c>
      <c r="G4310" s="94" t="str">
        <f t="shared" si="2"/>
        <v/>
      </c>
      <c r="H4310" s="94" t="str">
        <f t="shared" si="3"/>
        <v/>
      </c>
      <c r="I4310" s="94" t="str">
        <f t="shared" ref="I4310:J4310" si="4311">if(G4310 = "", , -G4310)</f>
        <v/>
      </c>
      <c r="J4310" s="94" t="str">
        <f t="shared" si="4311"/>
        <v/>
      </c>
      <c r="K4310" s="100"/>
      <c r="M4310" s="100"/>
      <c r="N4310" s="100"/>
      <c r="O4310" s="100"/>
      <c r="P4310" s="100"/>
    </row>
    <row r="4311">
      <c r="A4311" s="107">
        <v>1628404.0</v>
      </c>
      <c r="B4311" s="108" t="s">
        <v>193</v>
      </c>
      <c r="C4311" s="108" t="s">
        <v>1030</v>
      </c>
      <c r="D4311" s="112" t="s">
        <v>178</v>
      </c>
      <c r="E4311" s="112">
        <v>1755.0</v>
      </c>
      <c r="F4311" s="111" t="str">
        <f>DataPull!D4311</f>
        <v/>
      </c>
      <c r="G4311" s="94" t="str">
        <f t="shared" si="2"/>
        <v/>
      </c>
      <c r="H4311" s="94" t="str">
        <f t="shared" si="3"/>
        <v/>
      </c>
      <c r="I4311" s="94" t="str">
        <f t="shared" ref="I4311:J4311" si="4312">if(G4311 = "", , -G4311)</f>
        <v/>
      </c>
      <c r="J4311" s="94" t="str">
        <f t="shared" si="4312"/>
        <v/>
      </c>
      <c r="K4311" s="100"/>
      <c r="L4311" s="100"/>
      <c r="N4311" s="100"/>
      <c r="O4311" s="100"/>
      <c r="P4311" s="100"/>
    </row>
    <row r="4312">
      <c r="A4312" s="107">
        <v>1628404.0</v>
      </c>
      <c r="B4312" s="108" t="s">
        <v>243</v>
      </c>
      <c r="C4312" s="108" t="s">
        <v>1030</v>
      </c>
      <c r="D4312" s="112" t="s">
        <v>178</v>
      </c>
      <c r="E4312" s="112">
        <v>1348.9</v>
      </c>
      <c r="F4312" s="111" t="str">
        <f>DataPull!D4312</f>
        <v/>
      </c>
      <c r="G4312" s="94" t="str">
        <f t="shared" si="2"/>
        <v/>
      </c>
      <c r="H4312" s="94" t="str">
        <f t="shared" si="3"/>
        <v/>
      </c>
      <c r="I4312" s="94" t="str">
        <f t="shared" ref="I4312:J4312" si="4313">if(G4312 = "", , -G4312)</f>
        <v/>
      </c>
      <c r="J4312" s="94" t="str">
        <f t="shared" si="4313"/>
        <v/>
      </c>
      <c r="K4312" s="100"/>
      <c r="M4312" s="100"/>
      <c r="N4312" s="100"/>
      <c r="O4312" s="100"/>
      <c r="P4312" s="100"/>
    </row>
    <row r="4313">
      <c r="A4313" s="107">
        <v>1628404.0</v>
      </c>
      <c r="B4313" s="108" t="s">
        <v>215</v>
      </c>
      <c r="C4313" s="108" t="s">
        <v>1030</v>
      </c>
      <c r="D4313" s="112" t="s">
        <v>178</v>
      </c>
      <c r="E4313" s="112">
        <v>1792.8</v>
      </c>
      <c r="F4313" s="111" t="str">
        <f>DataPull!D4313</f>
        <v/>
      </c>
      <c r="G4313" s="94" t="str">
        <f t="shared" si="2"/>
        <v/>
      </c>
      <c r="H4313" s="94" t="str">
        <f t="shared" si="3"/>
        <v/>
      </c>
      <c r="I4313" s="94" t="str">
        <f t="shared" ref="I4313:J4313" si="4314">if(G4313 = "", , -G4313)</f>
        <v/>
      </c>
      <c r="J4313" s="94" t="str">
        <f t="shared" si="4314"/>
        <v/>
      </c>
      <c r="K4313" s="100"/>
      <c r="M4313" s="100"/>
      <c r="N4313" s="100"/>
      <c r="O4313" s="100"/>
      <c r="P4313" s="100"/>
    </row>
    <row r="4314">
      <c r="A4314" s="107">
        <v>1628404.0</v>
      </c>
      <c r="B4314" s="108" t="s">
        <v>244</v>
      </c>
      <c r="C4314" s="108" t="s">
        <v>1030</v>
      </c>
      <c r="D4314" s="112" t="s">
        <v>178</v>
      </c>
      <c r="E4314" s="112">
        <v>2454.8</v>
      </c>
      <c r="F4314" s="111" t="str">
        <f>DataPull!D4314</f>
        <v/>
      </c>
      <c r="G4314" s="94" t="str">
        <f t="shared" si="2"/>
        <v/>
      </c>
      <c r="H4314" s="94" t="str">
        <f t="shared" si="3"/>
        <v/>
      </c>
      <c r="I4314" s="94" t="str">
        <f t="shared" ref="I4314:J4314" si="4315">if(G4314 = "", , -G4314)</f>
        <v/>
      </c>
      <c r="J4314" s="94" t="str">
        <f t="shared" si="4315"/>
        <v/>
      </c>
      <c r="K4314" s="100"/>
      <c r="M4314" s="100"/>
      <c r="N4314" s="100"/>
      <c r="O4314" s="100"/>
      <c r="P4314" s="100"/>
    </row>
    <row r="4315">
      <c r="A4315" s="107">
        <v>1628404.0</v>
      </c>
      <c r="B4315" s="108" t="s">
        <v>245</v>
      </c>
      <c r="C4315" s="108" t="s">
        <v>1030</v>
      </c>
      <c r="D4315" s="112" t="s">
        <v>178</v>
      </c>
      <c r="E4315" s="112">
        <v>2705.4</v>
      </c>
      <c r="F4315" s="111" t="str">
        <f>DataPull!D4315</f>
        <v/>
      </c>
      <c r="G4315" s="94" t="str">
        <f t="shared" si="2"/>
        <v/>
      </c>
      <c r="H4315" s="94" t="str">
        <f t="shared" si="3"/>
        <v/>
      </c>
      <c r="I4315" s="94" t="str">
        <f t="shared" ref="I4315:J4315" si="4316">if(G4315 = "", , -G4315)</f>
        <v/>
      </c>
      <c r="J4315" s="94" t="str">
        <f t="shared" si="4316"/>
        <v/>
      </c>
      <c r="K4315" s="100"/>
      <c r="M4315" s="100"/>
      <c r="N4315" s="100"/>
      <c r="O4315" s="100"/>
      <c r="P4315" s="100"/>
    </row>
    <row r="4316">
      <c r="A4316" s="107">
        <v>1628404.0</v>
      </c>
      <c r="B4316" s="108" t="s">
        <v>246</v>
      </c>
      <c r="C4316" s="108" t="s">
        <v>1030</v>
      </c>
      <c r="D4316" s="112" t="s">
        <v>184</v>
      </c>
      <c r="E4316" s="112">
        <v>2895.2</v>
      </c>
      <c r="F4316" s="111" t="str">
        <f>DataPull!D4316</f>
        <v/>
      </c>
      <c r="G4316" s="94" t="str">
        <f t="shared" si="2"/>
        <v/>
      </c>
      <c r="H4316" s="94" t="str">
        <f t="shared" si="3"/>
        <v/>
      </c>
      <c r="I4316" s="94" t="str">
        <f t="shared" ref="I4316:J4316" si="4317">if(G4316 = "", , -G4316)</f>
        <v/>
      </c>
      <c r="J4316" s="94" t="str">
        <f t="shared" si="4317"/>
        <v/>
      </c>
      <c r="K4316" s="100"/>
      <c r="M4316" s="100"/>
      <c r="N4316" s="100"/>
      <c r="O4316" s="100"/>
      <c r="P4316" s="100"/>
    </row>
    <row r="4317">
      <c r="A4317" s="114">
        <v>1628404.0</v>
      </c>
      <c r="B4317" s="113" t="s">
        <v>247</v>
      </c>
      <c r="C4317" s="113" t="s">
        <v>1030</v>
      </c>
      <c r="D4317" s="112" t="s">
        <v>184</v>
      </c>
      <c r="E4317" s="112">
        <v>1993.2</v>
      </c>
      <c r="F4317" s="111" t="str">
        <f>DataPull!D4317</f>
        <v/>
      </c>
      <c r="G4317" s="94" t="str">
        <f t="shared" si="2"/>
        <v/>
      </c>
      <c r="H4317" s="94" t="str">
        <f t="shared" si="3"/>
        <v/>
      </c>
      <c r="I4317" s="94" t="str">
        <f t="shared" ref="I4317:J4317" si="4318">if(G4317 = "", , -G4317)</f>
        <v/>
      </c>
      <c r="J4317" s="94" t="str">
        <f t="shared" si="4318"/>
        <v/>
      </c>
      <c r="K4317" s="100"/>
      <c r="M4317" s="100"/>
      <c r="N4317" s="100"/>
      <c r="O4317" s="100"/>
      <c r="P4317" s="100"/>
    </row>
    <row r="4318">
      <c r="A4318" s="107">
        <v>1628405.0</v>
      </c>
      <c r="B4318" s="108" t="s">
        <v>191</v>
      </c>
      <c r="C4318" s="108" t="s">
        <v>1031</v>
      </c>
      <c r="D4318" s="112" t="s">
        <v>187</v>
      </c>
      <c r="E4318" s="112">
        <v>176.0</v>
      </c>
      <c r="F4318" s="111" t="str">
        <f>DataPull!D4318</f>
        <v/>
      </c>
      <c r="G4318" s="94" t="str">
        <f t="shared" si="2"/>
        <v/>
      </c>
      <c r="H4318" s="94" t="str">
        <f t="shared" si="3"/>
        <v/>
      </c>
      <c r="I4318" s="94" t="str">
        <f t="shared" ref="I4318:J4318" si="4319">if(G4318 = "", , -G4318)</f>
        <v/>
      </c>
      <c r="J4318" s="94" t="str">
        <f t="shared" si="4319"/>
        <v/>
      </c>
      <c r="K4318" s="100"/>
      <c r="M4318" s="100"/>
      <c r="N4318" s="100"/>
      <c r="O4318" s="100"/>
    </row>
    <row r="4319">
      <c r="A4319" s="107">
        <v>1628405.0</v>
      </c>
      <c r="B4319" s="108" t="s">
        <v>192</v>
      </c>
      <c r="C4319" s="108" t="s">
        <v>1031</v>
      </c>
      <c r="D4319" s="112" t="s">
        <v>187</v>
      </c>
      <c r="E4319" s="112">
        <v>156.2</v>
      </c>
      <c r="F4319" s="111" t="str">
        <f>DataPull!D4319</f>
        <v/>
      </c>
      <c r="G4319" s="94" t="str">
        <f t="shared" si="2"/>
        <v/>
      </c>
      <c r="H4319" s="94" t="str">
        <f t="shared" si="3"/>
        <v/>
      </c>
      <c r="I4319" s="94" t="str">
        <f t="shared" ref="I4319:J4319" si="4320">if(G4319 = "", , -G4319)</f>
        <v/>
      </c>
      <c r="J4319" s="94" t="str">
        <f t="shared" si="4320"/>
        <v/>
      </c>
      <c r="K4319" s="100"/>
      <c r="M4319" s="100"/>
      <c r="N4319" s="100"/>
      <c r="O4319" s="100"/>
      <c r="P4319" s="100"/>
    </row>
    <row r="4320">
      <c r="A4320" s="107">
        <v>1628405.0</v>
      </c>
      <c r="B4320" s="108" t="s">
        <v>193</v>
      </c>
      <c r="C4320" s="108" t="s">
        <v>1031</v>
      </c>
      <c r="D4320" s="112" t="s">
        <v>187</v>
      </c>
      <c r="E4320" s="112">
        <v>41.6</v>
      </c>
      <c r="F4320" s="111" t="str">
        <f>DataPull!D4320</f>
        <v/>
      </c>
      <c r="G4320" s="94" t="str">
        <f t="shared" si="2"/>
        <v/>
      </c>
      <c r="H4320" s="94" t="str">
        <f t="shared" si="3"/>
        <v/>
      </c>
      <c r="I4320" s="94" t="str">
        <f t="shared" ref="I4320:J4320" si="4321">if(G4320 = "", , -G4320)</f>
        <v/>
      </c>
      <c r="J4320" s="94" t="str">
        <f t="shared" si="4321"/>
        <v/>
      </c>
      <c r="K4320" s="100"/>
      <c r="L4320" s="100"/>
      <c r="N4320" s="100"/>
      <c r="O4320" s="100"/>
      <c r="P4320" s="100"/>
    </row>
    <row r="4321">
      <c r="A4321" s="107">
        <v>1628407.0</v>
      </c>
      <c r="B4321" s="108" t="s">
        <v>191</v>
      </c>
      <c r="C4321" s="108" t="s">
        <v>1032</v>
      </c>
      <c r="D4321" s="112" t="s">
        <v>177</v>
      </c>
      <c r="E4321" s="112">
        <v>715.5</v>
      </c>
      <c r="F4321" s="111" t="str">
        <f>DataPull!D4321</f>
        <v/>
      </c>
      <c r="G4321" s="94" t="str">
        <f t="shared" si="2"/>
        <v/>
      </c>
      <c r="H4321" s="94" t="str">
        <f t="shared" si="3"/>
        <v/>
      </c>
      <c r="I4321" s="94" t="str">
        <f t="shared" ref="I4321:J4321" si="4322">if(G4321 = "", , -G4321)</f>
        <v/>
      </c>
      <c r="J4321" s="94" t="str">
        <f t="shared" si="4322"/>
        <v/>
      </c>
      <c r="K4321" s="100"/>
      <c r="M4321" s="100"/>
      <c r="N4321" s="100"/>
      <c r="O4321" s="100"/>
      <c r="P4321" s="100"/>
    </row>
    <row r="4322">
      <c r="A4322" s="107">
        <v>1628407.0</v>
      </c>
      <c r="B4322" s="108" t="s">
        <v>192</v>
      </c>
      <c r="C4322" s="108" t="s">
        <v>1032</v>
      </c>
      <c r="D4322" s="112" t="s">
        <v>177</v>
      </c>
      <c r="E4322" s="112">
        <v>756.8</v>
      </c>
      <c r="F4322" s="111" t="str">
        <f>DataPull!D4322</f>
        <v/>
      </c>
      <c r="G4322" s="94" t="str">
        <f t="shared" si="2"/>
        <v/>
      </c>
      <c r="H4322" s="94" t="str">
        <f t="shared" si="3"/>
        <v/>
      </c>
      <c r="I4322" s="94" t="str">
        <f t="shared" ref="I4322:J4322" si="4323">if(G4322 = "", , -G4322)</f>
        <v/>
      </c>
      <c r="J4322" s="94" t="str">
        <f t="shared" si="4323"/>
        <v/>
      </c>
      <c r="K4322" s="100"/>
      <c r="M4322" s="100"/>
      <c r="N4322" s="100"/>
      <c r="O4322" s="100"/>
      <c r="P4322" s="100"/>
    </row>
    <row r="4323">
      <c r="A4323" s="107">
        <v>1628407.0</v>
      </c>
      <c r="B4323" s="108" t="s">
        <v>193</v>
      </c>
      <c r="C4323" s="108" t="s">
        <v>1032</v>
      </c>
      <c r="D4323" s="112" t="s">
        <v>177</v>
      </c>
      <c r="E4323" s="112">
        <v>686.4</v>
      </c>
      <c r="F4323" s="111" t="str">
        <f>DataPull!D4323</f>
        <v/>
      </c>
      <c r="G4323" s="94" t="str">
        <f t="shared" si="2"/>
        <v/>
      </c>
      <c r="H4323" s="94" t="str">
        <f t="shared" si="3"/>
        <v/>
      </c>
      <c r="I4323" s="94" t="str">
        <f t="shared" ref="I4323:J4323" si="4324">if(G4323 = "", , -G4323)</f>
        <v/>
      </c>
      <c r="J4323" s="94" t="str">
        <f t="shared" si="4324"/>
        <v/>
      </c>
      <c r="K4323" s="100"/>
      <c r="M4323" s="100"/>
      <c r="N4323" s="100"/>
      <c r="O4323" s="100"/>
      <c r="P4323" s="100"/>
    </row>
    <row r="4324">
      <c r="A4324" s="107">
        <v>1628407.0</v>
      </c>
      <c r="B4324" s="108" t="s">
        <v>243</v>
      </c>
      <c r="C4324" s="108" t="s">
        <v>1032</v>
      </c>
      <c r="D4324" s="112" t="s">
        <v>176</v>
      </c>
      <c r="E4324" s="112">
        <v>1850.4</v>
      </c>
      <c r="F4324" s="111" t="str">
        <f>DataPull!D4324</f>
        <v/>
      </c>
      <c r="G4324" s="94" t="str">
        <f t="shared" si="2"/>
        <v/>
      </c>
      <c r="H4324" s="94" t="str">
        <f t="shared" si="3"/>
        <v/>
      </c>
      <c r="I4324" s="94" t="str">
        <f t="shared" ref="I4324:J4324" si="4325">if(G4324 = "", , -G4324)</f>
        <v/>
      </c>
      <c r="J4324" s="94" t="str">
        <f t="shared" si="4325"/>
        <v/>
      </c>
      <c r="K4324" s="100"/>
      <c r="N4324" s="100"/>
      <c r="O4324" s="100"/>
      <c r="P4324" s="100"/>
    </row>
    <row r="4325">
      <c r="A4325" s="107">
        <v>1628408.0</v>
      </c>
      <c r="B4325" s="108" t="s">
        <v>191</v>
      </c>
      <c r="C4325" s="108" t="s">
        <v>1033</v>
      </c>
      <c r="D4325" s="112" t="s">
        <v>181</v>
      </c>
      <c r="E4325" s="112">
        <v>3.2</v>
      </c>
      <c r="F4325" s="111" t="str">
        <f>DataPull!D4325</f>
        <v/>
      </c>
      <c r="G4325" s="94" t="str">
        <f t="shared" si="2"/>
        <v/>
      </c>
      <c r="H4325" s="94" t="str">
        <f t="shared" si="3"/>
        <v/>
      </c>
      <c r="I4325" s="94" t="str">
        <f t="shared" ref="I4325:J4325" si="4326">if(G4325 = "", , -G4325)</f>
        <v/>
      </c>
      <c r="J4325" s="94" t="str">
        <f t="shared" si="4326"/>
        <v/>
      </c>
      <c r="K4325" s="100"/>
      <c r="M4325" s="100"/>
      <c r="N4325" s="100"/>
      <c r="O4325" s="100"/>
      <c r="P4325" s="100"/>
    </row>
    <row r="4326">
      <c r="A4326" s="107">
        <v>1628408.0</v>
      </c>
      <c r="B4326" s="108" t="s">
        <v>192</v>
      </c>
      <c r="C4326" s="108" t="s">
        <v>1033</v>
      </c>
      <c r="D4326" s="112" t="s">
        <v>181</v>
      </c>
      <c r="E4326" s="112">
        <v>51.0</v>
      </c>
      <c r="F4326" s="111" t="str">
        <f>DataPull!D4326</f>
        <v/>
      </c>
      <c r="G4326" s="94" t="str">
        <f t="shared" si="2"/>
        <v/>
      </c>
      <c r="H4326" s="94" t="str">
        <f t="shared" si="3"/>
        <v/>
      </c>
      <c r="I4326" s="94" t="str">
        <f t="shared" ref="I4326:J4326" si="4327">if(G4326 = "", , -G4326)</f>
        <v/>
      </c>
      <c r="J4326" s="94" t="str">
        <f t="shared" si="4327"/>
        <v/>
      </c>
      <c r="K4326" s="100"/>
      <c r="M4326" s="100"/>
      <c r="N4326" s="100"/>
      <c r="O4326" s="100"/>
      <c r="P4326" s="100"/>
    </row>
    <row r="4327">
      <c r="A4327" s="107">
        <v>1628408.0</v>
      </c>
      <c r="B4327" s="108" t="s">
        <v>193</v>
      </c>
      <c r="C4327" s="108" t="s">
        <v>1033</v>
      </c>
      <c r="D4327" s="112" t="s">
        <v>177</v>
      </c>
      <c r="E4327" s="112">
        <v>411.8</v>
      </c>
      <c r="F4327" s="111" t="str">
        <f>DataPull!D4327</f>
        <v/>
      </c>
      <c r="G4327" s="94" t="str">
        <f t="shared" si="2"/>
        <v/>
      </c>
      <c r="H4327" s="94" t="str">
        <f t="shared" si="3"/>
        <v/>
      </c>
      <c r="I4327" s="94" t="str">
        <f t="shared" ref="I4327:J4327" si="4328">if(G4327 = "", , -G4327)</f>
        <v/>
      </c>
      <c r="J4327" s="94" t="str">
        <f t="shared" si="4328"/>
        <v/>
      </c>
      <c r="K4327" s="100"/>
      <c r="N4327" s="100"/>
      <c r="O4327" s="100"/>
    </row>
    <row r="4328">
      <c r="A4328" s="107">
        <v>1628408.0</v>
      </c>
      <c r="B4328" s="108" t="s">
        <v>243</v>
      </c>
      <c r="C4328" s="108" t="s">
        <v>1033</v>
      </c>
      <c r="D4328" s="112" t="s">
        <v>176</v>
      </c>
      <c r="E4328" s="112">
        <v>1090.0</v>
      </c>
      <c r="F4328" s="111" t="str">
        <f>DataPull!D4328</f>
        <v/>
      </c>
      <c r="G4328" s="94" t="str">
        <f t="shared" si="2"/>
        <v/>
      </c>
      <c r="H4328" s="94" t="str">
        <f t="shared" si="3"/>
        <v/>
      </c>
      <c r="I4328" s="94" t="str">
        <f t="shared" ref="I4328:J4328" si="4329">if(G4328 = "", , -G4328)</f>
        <v/>
      </c>
      <c r="J4328" s="94" t="str">
        <f t="shared" si="4329"/>
        <v/>
      </c>
      <c r="K4328" s="100"/>
      <c r="M4328" s="100"/>
      <c r="N4328" s="100"/>
      <c r="O4328" s="100"/>
      <c r="P4328" s="100"/>
    </row>
    <row r="4329">
      <c r="A4329" s="107">
        <v>1628408.0</v>
      </c>
      <c r="B4329" s="108" t="s">
        <v>215</v>
      </c>
      <c r="C4329" s="108" t="s">
        <v>1033</v>
      </c>
      <c r="D4329" s="112" t="s">
        <v>177</v>
      </c>
      <c r="E4329" s="112">
        <v>340.2</v>
      </c>
      <c r="F4329" s="111" t="str">
        <f>DataPull!D4329</f>
        <v/>
      </c>
      <c r="G4329" s="94" t="str">
        <f t="shared" si="2"/>
        <v/>
      </c>
      <c r="H4329" s="94" t="str">
        <f t="shared" si="3"/>
        <v/>
      </c>
      <c r="I4329" s="94" t="str">
        <f t="shared" ref="I4329:J4329" si="4330">if(G4329 = "", , -G4329)</f>
        <v/>
      </c>
      <c r="J4329" s="94" t="str">
        <f t="shared" si="4330"/>
        <v/>
      </c>
      <c r="K4329" s="100"/>
      <c r="M4329" s="100"/>
      <c r="N4329" s="100"/>
      <c r="O4329" s="100"/>
      <c r="P4329" s="100"/>
    </row>
    <row r="4330">
      <c r="A4330" s="107">
        <v>1628408.0</v>
      </c>
      <c r="B4330" s="108" t="s">
        <v>244</v>
      </c>
      <c r="C4330" s="108" t="s">
        <v>1033</v>
      </c>
      <c r="D4330" s="112" t="s">
        <v>187</v>
      </c>
      <c r="E4330" s="112">
        <v>80.0</v>
      </c>
      <c r="F4330" s="111" t="str">
        <f>DataPull!D4330</f>
        <v/>
      </c>
      <c r="G4330" s="94" t="str">
        <f t="shared" si="2"/>
        <v/>
      </c>
      <c r="H4330" s="94" t="str">
        <f t="shared" si="3"/>
        <v/>
      </c>
      <c r="I4330" s="94" t="str">
        <f t="shared" ref="I4330:J4330" si="4331">if(G4330 = "", , -G4330)</f>
        <v/>
      </c>
      <c r="J4330" s="94" t="str">
        <f t="shared" si="4331"/>
        <v/>
      </c>
      <c r="K4330" s="100"/>
      <c r="M4330" s="100"/>
      <c r="N4330" s="100"/>
      <c r="O4330" s="100"/>
      <c r="P4330" s="100"/>
    </row>
    <row r="4331">
      <c r="A4331" s="107">
        <v>1628408.0</v>
      </c>
      <c r="B4331" s="108" t="s">
        <v>246</v>
      </c>
      <c r="C4331" s="108" t="s">
        <v>1033</v>
      </c>
      <c r="D4331" s="112" t="s">
        <v>187</v>
      </c>
      <c r="E4331" s="112">
        <v>35.1</v>
      </c>
      <c r="F4331" s="111" t="str">
        <f>DataPull!D4331</f>
        <v/>
      </c>
      <c r="G4331" s="94" t="str">
        <f t="shared" si="2"/>
        <v/>
      </c>
      <c r="H4331" s="94" t="str">
        <f t="shared" si="3"/>
        <v/>
      </c>
      <c r="I4331" s="94" t="str">
        <f t="shared" ref="I4331:J4331" si="4332">if(G4331 = "", , -G4331)</f>
        <v/>
      </c>
      <c r="J4331" s="94" t="str">
        <f t="shared" si="4332"/>
        <v/>
      </c>
      <c r="K4331" s="100"/>
      <c r="M4331" s="100"/>
      <c r="N4331" s="100"/>
      <c r="O4331" s="100"/>
      <c r="P4331" s="100"/>
    </row>
    <row r="4332">
      <c r="A4332" s="107">
        <v>1628409.0</v>
      </c>
      <c r="B4332" s="108" t="s">
        <v>191</v>
      </c>
      <c r="C4332" s="108" t="s">
        <v>1034</v>
      </c>
      <c r="D4332" s="112" t="s">
        <v>187</v>
      </c>
      <c r="E4332" s="112">
        <v>224.0</v>
      </c>
      <c r="F4332" s="111" t="str">
        <f>DataPull!D4332</f>
        <v/>
      </c>
      <c r="G4332" s="94" t="str">
        <f t="shared" si="2"/>
        <v/>
      </c>
      <c r="H4332" s="94" t="str">
        <f t="shared" si="3"/>
        <v/>
      </c>
      <c r="I4332" s="94" t="str">
        <f t="shared" ref="I4332:J4332" si="4333">if(G4332 = "", , -G4332)</f>
        <v/>
      </c>
      <c r="J4332" s="94" t="str">
        <f t="shared" si="4333"/>
        <v/>
      </c>
      <c r="K4332" s="100"/>
      <c r="M4332" s="100"/>
      <c r="N4332" s="100"/>
      <c r="O4332" s="100"/>
      <c r="P4332" s="100"/>
    </row>
    <row r="4333">
      <c r="A4333" s="107">
        <v>1628410.0</v>
      </c>
      <c r="B4333" s="108" t="s">
        <v>191</v>
      </c>
      <c r="C4333" s="108" t="s">
        <v>1035</v>
      </c>
      <c r="D4333" s="112" t="s">
        <v>181</v>
      </c>
      <c r="E4333" s="112">
        <v>2.2</v>
      </c>
      <c r="F4333" s="111" t="str">
        <f>DataPull!D4333</f>
        <v/>
      </c>
      <c r="G4333" s="94" t="str">
        <f t="shared" si="2"/>
        <v/>
      </c>
      <c r="H4333" s="94" t="str">
        <f t="shared" si="3"/>
        <v/>
      </c>
      <c r="I4333" s="94" t="str">
        <f t="shared" ref="I4333:J4333" si="4334">if(G4333 = "", , -G4333)</f>
        <v/>
      </c>
      <c r="J4333" s="94" t="str">
        <f t="shared" si="4334"/>
        <v/>
      </c>
      <c r="K4333" s="100"/>
      <c r="M4333" s="100"/>
      <c r="N4333" s="100"/>
      <c r="O4333" s="100"/>
      <c r="P4333" s="100"/>
    </row>
    <row r="4334">
      <c r="A4334" s="107">
        <v>1628410.0</v>
      </c>
      <c r="B4334" s="108" t="s">
        <v>192</v>
      </c>
      <c r="C4334" s="108" t="s">
        <v>1035</v>
      </c>
      <c r="D4334" s="112" t="s">
        <v>187</v>
      </c>
      <c r="E4334" s="112">
        <v>209.3</v>
      </c>
      <c r="F4334" s="111" t="str">
        <f>DataPull!D4334</f>
        <v/>
      </c>
      <c r="G4334" s="94" t="str">
        <f t="shared" si="2"/>
        <v/>
      </c>
      <c r="H4334" s="94" t="str">
        <f t="shared" si="3"/>
        <v/>
      </c>
      <c r="I4334" s="94" t="str">
        <f t="shared" ref="I4334:J4334" si="4335">if(G4334 = "", , -G4334)</f>
        <v/>
      </c>
      <c r="J4334" s="94" t="str">
        <f t="shared" si="4335"/>
        <v/>
      </c>
      <c r="K4334" s="100"/>
      <c r="M4334" s="100"/>
      <c r="N4334" s="100"/>
      <c r="O4334" s="100"/>
      <c r="P4334" s="100"/>
    </row>
    <row r="4335">
      <c r="A4335" s="107">
        <v>1628410.0</v>
      </c>
      <c r="B4335" s="108" t="s">
        <v>193</v>
      </c>
      <c r="C4335" s="108" t="s">
        <v>1035</v>
      </c>
      <c r="D4335" s="112" t="s">
        <v>177</v>
      </c>
      <c r="E4335" s="112">
        <v>446.4</v>
      </c>
      <c r="F4335" s="111" t="str">
        <f>DataPull!D4335</f>
        <v/>
      </c>
      <c r="G4335" s="94" t="str">
        <f t="shared" si="2"/>
        <v/>
      </c>
      <c r="H4335" s="94" t="str">
        <f t="shared" si="3"/>
        <v/>
      </c>
      <c r="I4335" s="94" t="str">
        <f t="shared" ref="I4335:J4335" si="4336">if(G4335 = "", , -G4335)</f>
        <v/>
      </c>
      <c r="J4335" s="94" t="str">
        <f t="shared" si="4336"/>
        <v/>
      </c>
      <c r="K4335" s="100"/>
      <c r="M4335" s="100"/>
      <c r="N4335" s="100"/>
      <c r="O4335" s="100"/>
      <c r="P4335" s="100"/>
    </row>
    <row r="4336">
      <c r="A4336" s="107">
        <v>1628410.0</v>
      </c>
      <c r="B4336" s="108" t="s">
        <v>243</v>
      </c>
      <c r="C4336" s="108" t="s">
        <v>1035</v>
      </c>
      <c r="D4336" s="112" t="s">
        <v>177</v>
      </c>
      <c r="E4336" s="112">
        <v>858.6</v>
      </c>
      <c r="F4336" s="111" t="str">
        <f>DataPull!D4336</f>
        <v/>
      </c>
      <c r="G4336" s="94" t="str">
        <f t="shared" si="2"/>
        <v/>
      </c>
      <c r="H4336" s="94" t="str">
        <f t="shared" si="3"/>
        <v/>
      </c>
      <c r="I4336" s="94" t="str">
        <f t="shared" ref="I4336:J4336" si="4337">if(G4336 = "", , -G4336)</f>
        <v/>
      </c>
      <c r="J4336" s="94" t="str">
        <f t="shared" si="4337"/>
        <v/>
      </c>
      <c r="K4336" s="100"/>
      <c r="M4336" s="100"/>
      <c r="N4336" s="100"/>
      <c r="O4336" s="100"/>
      <c r="P4336" s="100"/>
    </row>
    <row r="4337">
      <c r="A4337" s="107">
        <v>1628410.0</v>
      </c>
      <c r="B4337" s="108" t="s">
        <v>244</v>
      </c>
      <c r="C4337" s="108" t="s">
        <v>1035</v>
      </c>
      <c r="D4337" s="112" t="s">
        <v>177</v>
      </c>
      <c r="E4337" s="112">
        <v>736.7</v>
      </c>
      <c r="F4337" s="111" t="str">
        <f>DataPull!D4337</f>
        <v/>
      </c>
      <c r="G4337" s="94" t="str">
        <f t="shared" si="2"/>
        <v/>
      </c>
      <c r="H4337" s="94" t="str">
        <f t="shared" si="3"/>
        <v/>
      </c>
      <c r="I4337" s="94" t="str">
        <f t="shared" ref="I4337:J4337" si="4338">if(G4337 = "", , -G4337)</f>
        <v/>
      </c>
      <c r="J4337" s="94" t="str">
        <f t="shared" si="4338"/>
        <v/>
      </c>
      <c r="K4337" s="100"/>
      <c r="M4337" s="100"/>
      <c r="N4337" s="100"/>
      <c r="O4337" s="100"/>
      <c r="P4337" s="100"/>
    </row>
    <row r="4338">
      <c r="A4338" s="107">
        <v>1628411.0</v>
      </c>
      <c r="B4338" s="108" t="s">
        <v>191</v>
      </c>
      <c r="C4338" s="108" t="s">
        <v>1036</v>
      </c>
      <c r="D4338" s="112" t="s">
        <v>177</v>
      </c>
      <c r="E4338" s="112">
        <v>1023.0</v>
      </c>
      <c r="F4338" s="111" t="str">
        <f>DataPull!D4338</f>
        <v/>
      </c>
      <c r="G4338" s="94" t="str">
        <f t="shared" si="2"/>
        <v/>
      </c>
      <c r="H4338" s="94" t="str">
        <f t="shared" si="3"/>
        <v/>
      </c>
      <c r="I4338" s="94" t="str">
        <f t="shared" ref="I4338:J4338" si="4339">if(G4338 = "", , -G4338)</f>
        <v/>
      </c>
      <c r="J4338" s="94" t="str">
        <f t="shared" si="4339"/>
        <v/>
      </c>
      <c r="K4338" s="100"/>
      <c r="M4338" s="100"/>
      <c r="N4338" s="100"/>
      <c r="O4338" s="100"/>
      <c r="P4338" s="100"/>
    </row>
    <row r="4339">
      <c r="A4339" s="107">
        <v>1628411.0</v>
      </c>
      <c r="B4339" s="108" t="s">
        <v>192</v>
      </c>
      <c r="C4339" s="108" t="s">
        <v>1036</v>
      </c>
      <c r="D4339" s="112" t="s">
        <v>177</v>
      </c>
      <c r="E4339" s="112">
        <v>1230.8</v>
      </c>
      <c r="F4339" s="111" t="str">
        <f>DataPull!D4339</f>
        <v/>
      </c>
      <c r="G4339" s="94" t="str">
        <f t="shared" si="2"/>
        <v/>
      </c>
      <c r="H4339" s="94" t="str">
        <f t="shared" si="3"/>
        <v/>
      </c>
      <c r="I4339" s="94" t="str">
        <f t="shared" ref="I4339:J4339" si="4340">if(G4339 = "", , -G4339)</f>
        <v/>
      </c>
      <c r="J4339" s="94" t="str">
        <f t="shared" si="4340"/>
        <v/>
      </c>
      <c r="K4339" s="100"/>
      <c r="M4339" s="100"/>
      <c r="N4339" s="100"/>
      <c r="O4339" s="100"/>
      <c r="P4339" s="100"/>
    </row>
    <row r="4340">
      <c r="A4340" s="107">
        <v>1628411.0</v>
      </c>
      <c r="B4340" s="108" t="s">
        <v>193</v>
      </c>
      <c r="C4340" s="108" t="s">
        <v>1036</v>
      </c>
      <c r="D4340" s="112" t="s">
        <v>177</v>
      </c>
      <c r="E4340" s="112">
        <v>951.6</v>
      </c>
      <c r="F4340" s="111" t="str">
        <f>DataPull!D4340</f>
        <v/>
      </c>
      <c r="G4340" s="94" t="str">
        <f t="shared" si="2"/>
        <v/>
      </c>
      <c r="H4340" s="94" t="str">
        <f t="shared" si="3"/>
        <v/>
      </c>
      <c r="I4340" s="94" t="str">
        <f t="shared" ref="I4340:J4340" si="4341">if(G4340 = "", , -G4340)</f>
        <v/>
      </c>
      <c r="J4340" s="94" t="str">
        <f t="shared" si="4341"/>
        <v/>
      </c>
      <c r="K4340" s="100"/>
      <c r="L4340" s="100"/>
      <c r="N4340" s="100"/>
      <c r="O4340" s="100"/>
      <c r="P4340" s="100"/>
    </row>
    <row r="4341">
      <c r="A4341" s="107">
        <v>1628411.0</v>
      </c>
      <c r="B4341" s="108" t="s">
        <v>243</v>
      </c>
      <c r="C4341" s="108" t="s">
        <v>1036</v>
      </c>
      <c r="D4341" s="112" t="s">
        <v>187</v>
      </c>
      <c r="E4341" s="112">
        <v>537.1</v>
      </c>
      <c r="F4341" s="111" t="str">
        <f>DataPull!D4341</f>
        <v/>
      </c>
      <c r="G4341" s="94" t="str">
        <f t="shared" si="2"/>
        <v/>
      </c>
      <c r="H4341" s="94" t="str">
        <f t="shared" si="3"/>
        <v/>
      </c>
      <c r="I4341" s="94" t="str">
        <f t="shared" ref="I4341:J4341" si="4342">if(G4341 = "", , -G4341)</f>
        <v/>
      </c>
      <c r="J4341" s="94" t="str">
        <f t="shared" si="4342"/>
        <v/>
      </c>
      <c r="K4341" s="100"/>
      <c r="M4341" s="100"/>
      <c r="N4341" s="100"/>
      <c r="O4341" s="100"/>
      <c r="P4341" s="100"/>
    </row>
    <row r="4342">
      <c r="A4342" s="107">
        <v>1628411.0</v>
      </c>
      <c r="B4342" s="108" t="s">
        <v>215</v>
      </c>
      <c r="C4342" s="108" t="s">
        <v>1036</v>
      </c>
      <c r="D4342" s="112" t="s">
        <v>181</v>
      </c>
      <c r="E4342" s="112">
        <v>82.2</v>
      </c>
      <c r="F4342" s="111" t="str">
        <f>DataPull!D4342</f>
        <v/>
      </c>
      <c r="G4342" s="94" t="str">
        <f t="shared" si="2"/>
        <v/>
      </c>
      <c r="H4342" s="94" t="str">
        <f t="shared" si="3"/>
        <v/>
      </c>
      <c r="I4342" s="94" t="str">
        <f t="shared" ref="I4342:J4342" si="4343">if(G4342 = "", , -G4342)</f>
        <v/>
      </c>
      <c r="J4342" s="94" t="str">
        <f t="shared" si="4343"/>
        <v/>
      </c>
      <c r="K4342" s="100"/>
      <c r="M4342" s="100"/>
      <c r="N4342" s="100"/>
      <c r="O4342" s="100"/>
      <c r="P4342" s="100"/>
    </row>
    <row r="4343">
      <c r="A4343" s="107">
        <v>1628412.0</v>
      </c>
      <c r="B4343" s="108" t="s">
        <v>191</v>
      </c>
      <c r="C4343" s="115" t="s">
        <v>1037</v>
      </c>
      <c r="D4343" s="112" t="s">
        <v>176</v>
      </c>
      <c r="E4343" s="112">
        <v>982.8</v>
      </c>
      <c r="F4343" s="111" t="str">
        <f>DataPull!D4343</f>
        <v/>
      </c>
      <c r="G4343" s="94" t="str">
        <f t="shared" si="2"/>
        <v/>
      </c>
      <c r="H4343" s="94" t="str">
        <f t="shared" si="3"/>
        <v/>
      </c>
      <c r="I4343" s="94" t="str">
        <f t="shared" ref="I4343:J4343" si="4344">if(G4343 = "", , -G4343)</f>
        <v/>
      </c>
      <c r="J4343" s="94" t="str">
        <f t="shared" si="4344"/>
        <v/>
      </c>
      <c r="K4343" s="100"/>
      <c r="M4343" s="100"/>
      <c r="N4343" s="100"/>
      <c r="O4343" s="100"/>
      <c r="P4343" s="100"/>
    </row>
    <row r="4344">
      <c r="A4344" s="107">
        <v>1628412.0</v>
      </c>
      <c r="B4344" s="108" t="s">
        <v>192</v>
      </c>
      <c r="C4344" s="115" t="s">
        <v>1037</v>
      </c>
      <c r="D4344" s="112" t="s">
        <v>177</v>
      </c>
      <c r="E4344" s="112">
        <v>437.0</v>
      </c>
      <c r="F4344" s="111" t="str">
        <f>DataPull!D4344</f>
        <v/>
      </c>
      <c r="G4344" s="94" t="str">
        <f t="shared" si="2"/>
        <v/>
      </c>
      <c r="H4344" s="94" t="str">
        <f t="shared" si="3"/>
        <v/>
      </c>
      <c r="I4344" s="94" t="str">
        <f t="shared" ref="I4344:J4344" si="4345">if(G4344 = "", , -G4344)</f>
        <v/>
      </c>
      <c r="J4344" s="94" t="str">
        <f t="shared" si="4345"/>
        <v/>
      </c>
      <c r="K4344" s="100"/>
      <c r="M4344" s="100"/>
      <c r="N4344" s="100"/>
      <c r="O4344" s="100"/>
      <c r="P4344" s="100"/>
    </row>
    <row r="4345">
      <c r="A4345" s="107">
        <v>1628412.0</v>
      </c>
      <c r="B4345" s="108" t="s">
        <v>193</v>
      </c>
      <c r="C4345" s="115" t="s">
        <v>1037</v>
      </c>
      <c r="D4345" s="112" t="s">
        <v>187</v>
      </c>
      <c r="E4345" s="112">
        <v>117.9</v>
      </c>
      <c r="F4345" s="111" t="str">
        <f>DataPull!D4345</f>
        <v/>
      </c>
      <c r="G4345" s="94" t="str">
        <f t="shared" si="2"/>
        <v/>
      </c>
      <c r="H4345" s="94" t="str">
        <f t="shared" si="3"/>
        <v/>
      </c>
      <c r="I4345" s="94" t="str">
        <f t="shared" ref="I4345:J4345" si="4346">if(G4345 = "", , -G4345)</f>
        <v/>
      </c>
      <c r="J4345" s="94" t="str">
        <f t="shared" si="4346"/>
        <v/>
      </c>
      <c r="K4345" s="100"/>
      <c r="M4345" s="100"/>
      <c r="N4345" s="100"/>
      <c r="O4345" s="100"/>
      <c r="P4345" s="100"/>
    </row>
    <row r="4346">
      <c r="A4346" s="107">
        <v>1628412.0</v>
      </c>
      <c r="B4346" s="108" t="s">
        <v>243</v>
      </c>
      <c r="C4346" s="115" t="s">
        <v>1037</v>
      </c>
      <c r="D4346" s="112" t="s">
        <v>181</v>
      </c>
      <c r="E4346" s="112">
        <v>79.2</v>
      </c>
      <c r="F4346" s="111" t="str">
        <f>DataPull!D4346</f>
        <v/>
      </c>
      <c r="G4346" s="94" t="str">
        <f t="shared" si="2"/>
        <v/>
      </c>
      <c r="H4346" s="94" t="str">
        <f t="shared" si="3"/>
        <v/>
      </c>
      <c r="I4346" s="94" t="str">
        <f t="shared" ref="I4346:J4346" si="4347">if(G4346 = "", , -G4346)</f>
        <v/>
      </c>
      <c r="J4346" s="94" t="str">
        <f t="shared" si="4347"/>
        <v/>
      </c>
      <c r="K4346" s="100"/>
      <c r="L4346" s="100"/>
      <c r="N4346" s="100"/>
      <c r="O4346" s="100"/>
      <c r="P4346" s="100"/>
    </row>
    <row r="4347">
      <c r="A4347" s="107">
        <v>1628413.0</v>
      </c>
      <c r="B4347" s="108" t="s">
        <v>192</v>
      </c>
      <c r="C4347" s="108" t="s">
        <v>1038</v>
      </c>
      <c r="D4347" s="112" t="s">
        <v>177</v>
      </c>
      <c r="E4347" s="112">
        <v>638.0</v>
      </c>
      <c r="F4347" s="111" t="str">
        <f>DataPull!D4347</f>
        <v/>
      </c>
      <c r="G4347" s="94" t="str">
        <f t="shared" si="2"/>
        <v/>
      </c>
      <c r="H4347" s="94" t="str">
        <f t="shared" si="3"/>
        <v/>
      </c>
      <c r="I4347" s="94" t="str">
        <f t="shared" ref="I4347:J4347" si="4348">if(G4347 = "", , -G4347)</f>
        <v/>
      </c>
      <c r="J4347" s="94" t="str">
        <f t="shared" si="4348"/>
        <v/>
      </c>
      <c r="K4347" s="100"/>
      <c r="M4347" s="100"/>
      <c r="N4347" s="100"/>
      <c r="O4347" s="100"/>
      <c r="P4347" s="100"/>
    </row>
    <row r="4348">
      <c r="A4348" s="107">
        <v>1628413.0</v>
      </c>
      <c r="B4348" s="108" t="s">
        <v>193</v>
      </c>
      <c r="C4348" s="108" t="s">
        <v>1038</v>
      </c>
      <c r="D4348" s="112" t="s">
        <v>181</v>
      </c>
      <c r="E4348" s="112">
        <v>46.9</v>
      </c>
      <c r="F4348" s="111" t="str">
        <f>DataPull!D4348</f>
        <v/>
      </c>
      <c r="G4348" s="94" t="str">
        <f t="shared" si="2"/>
        <v/>
      </c>
      <c r="H4348" s="94" t="str">
        <f t="shared" si="3"/>
        <v/>
      </c>
      <c r="I4348" s="94" t="str">
        <f t="shared" ref="I4348:J4348" si="4349">if(G4348 = "", , -G4348)</f>
        <v/>
      </c>
      <c r="J4348" s="94" t="str">
        <f t="shared" si="4349"/>
        <v/>
      </c>
      <c r="K4348" s="100"/>
      <c r="M4348" s="100"/>
      <c r="N4348" s="100"/>
      <c r="O4348" s="100"/>
      <c r="P4348" s="100"/>
    </row>
    <row r="4349">
      <c r="A4349" s="107">
        <v>1628414.0</v>
      </c>
      <c r="B4349" s="108" t="s">
        <v>191</v>
      </c>
      <c r="C4349" s="108" t="s">
        <v>1039</v>
      </c>
      <c r="D4349" s="112" t="s">
        <v>177</v>
      </c>
      <c r="E4349" s="112">
        <v>1153.4</v>
      </c>
      <c r="F4349" s="111" t="str">
        <f>DataPull!D4349</f>
        <v/>
      </c>
      <c r="G4349" s="94" t="str">
        <f t="shared" si="2"/>
        <v/>
      </c>
      <c r="H4349" s="94" t="str">
        <f t="shared" si="3"/>
        <v/>
      </c>
      <c r="I4349" s="94" t="str">
        <f t="shared" ref="I4349:J4349" si="4350">if(G4349 = "", , -G4349)</f>
        <v/>
      </c>
      <c r="J4349" s="94" t="str">
        <f t="shared" si="4350"/>
        <v/>
      </c>
      <c r="K4349" s="100"/>
      <c r="M4349" s="100"/>
      <c r="N4349" s="100"/>
      <c r="O4349" s="100"/>
      <c r="P4349" s="100"/>
    </row>
    <row r="4350">
      <c r="A4350" s="107">
        <v>1628414.0</v>
      </c>
      <c r="B4350" s="108" t="s">
        <v>192</v>
      </c>
      <c r="C4350" s="108" t="s">
        <v>1039</v>
      </c>
      <c r="D4350" s="112" t="s">
        <v>187</v>
      </c>
      <c r="E4350" s="112">
        <v>313.6</v>
      </c>
      <c r="F4350" s="111" t="str">
        <f>DataPull!D4350</f>
        <v/>
      </c>
      <c r="G4350" s="94" t="str">
        <f t="shared" si="2"/>
        <v/>
      </c>
      <c r="H4350" s="94" t="str">
        <f t="shared" si="3"/>
        <v/>
      </c>
      <c r="I4350" s="94" t="str">
        <f t="shared" ref="I4350:J4350" si="4351">if(G4350 = "", , -G4350)</f>
        <v/>
      </c>
      <c r="J4350" s="94" t="str">
        <f t="shared" si="4351"/>
        <v/>
      </c>
      <c r="K4350" s="100"/>
      <c r="L4350" s="100"/>
      <c r="N4350" s="100"/>
      <c r="O4350" s="100"/>
      <c r="P4350" s="100"/>
    </row>
    <row r="4351">
      <c r="A4351" s="107">
        <v>1628414.0</v>
      </c>
      <c r="B4351" s="108" t="s">
        <v>193</v>
      </c>
      <c r="C4351" s="108" t="s">
        <v>1039</v>
      </c>
      <c r="D4351" s="112" t="s">
        <v>181</v>
      </c>
      <c r="E4351" s="112">
        <v>35.4</v>
      </c>
      <c r="F4351" s="111" t="str">
        <f>DataPull!D4351</f>
        <v/>
      </c>
      <c r="G4351" s="94" t="str">
        <f t="shared" si="2"/>
        <v/>
      </c>
      <c r="H4351" s="94" t="str">
        <f t="shared" si="3"/>
        <v/>
      </c>
      <c r="I4351" s="94" t="str">
        <f t="shared" ref="I4351:J4351" si="4352">if(G4351 = "", , -G4351)</f>
        <v/>
      </c>
      <c r="J4351" s="94" t="str">
        <f t="shared" si="4352"/>
        <v/>
      </c>
      <c r="K4351" s="100"/>
      <c r="L4351" s="100"/>
      <c r="M4351" s="100"/>
      <c r="N4351" s="100"/>
      <c r="O4351" s="100"/>
      <c r="P4351" s="100"/>
    </row>
    <row r="4352">
      <c r="A4352" s="107">
        <v>1628414.0</v>
      </c>
      <c r="B4352" s="108" t="s">
        <v>243</v>
      </c>
      <c r="C4352" s="108" t="s">
        <v>1039</v>
      </c>
      <c r="D4352" s="112" t="s">
        <v>187</v>
      </c>
      <c r="E4352" s="112">
        <v>216.3</v>
      </c>
      <c r="F4352" s="111" t="str">
        <f>DataPull!D4352</f>
        <v/>
      </c>
      <c r="G4352" s="94" t="str">
        <f t="shared" si="2"/>
        <v/>
      </c>
      <c r="H4352" s="94" t="str">
        <f t="shared" si="3"/>
        <v/>
      </c>
      <c r="I4352" s="94" t="str">
        <f t="shared" ref="I4352:J4352" si="4353">if(G4352 = "", , -G4352)</f>
        <v/>
      </c>
      <c r="J4352" s="94" t="str">
        <f t="shared" si="4353"/>
        <v/>
      </c>
      <c r="K4352" s="100"/>
      <c r="L4352" s="100"/>
      <c r="N4352" s="100"/>
      <c r="O4352" s="100"/>
      <c r="P4352" s="100"/>
    </row>
    <row r="4353">
      <c r="A4353" s="107">
        <v>1628415.0</v>
      </c>
      <c r="B4353" s="108" t="s">
        <v>191</v>
      </c>
      <c r="C4353" s="108" t="s">
        <v>1040</v>
      </c>
      <c r="D4353" s="112" t="s">
        <v>178</v>
      </c>
      <c r="E4353" s="112">
        <v>2353.4</v>
      </c>
      <c r="F4353" s="111" t="str">
        <f>DataPull!D4353</f>
        <v/>
      </c>
      <c r="G4353" s="94" t="str">
        <f t="shared" si="2"/>
        <v/>
      </c>
      <c r="H4353" s="94" t="str">
        <f t="shared" si="3"/>
        <v/>
      </c>
      <c r="I4353" s="94" t="str">
        <f t="shared" ref="I4353:J4353" si="4354">if(G4353 = "", , -G4353)</f>
        <v/>
      </c>
      <c r="J4353" s="94" t="str">
        <f t="shared" si="4354"/>
        <v/>
      </c>
      <c r="K4353" s="100"/>
      <c r="M4353" s="100"/>
      <c r="N4353" s="100"/>
      <c r="O4353" s="100"/>
      <c r="P4353" s="100"/>
    </row>
    <row r="4354">
      <c r="A4354" s="107">
        <v>1628415.0</v>
      </c>
      <c r="B4354" s="108" t="s">
        <v>192</v>
      </c>
      <c r="C4354" s="108" t="s">
        <v>1040</v>
      </c>
      <c r="D4354" s="112" t="s">
        <v>177</v>
      </c>
      <c r="E4354" s="112">
        <v>329.4</v>
      </c>
      <c r="F4354" s="111" t="str">
        <f>DataPull!D4354</f>
        <v/>
      </c>
      <c r="G4354" s="94" t="str">
        <f t="shared" si="2"/>
        <v/>
      </c>
      <c r="H4354" s="94" t="str">
        <f t="shared" si="3"/>
        <v/>
      </c>
      <c r="I4354" s="94" t="str">
        <f t="shared" ref="I4354:J4354" si="4355">if(G4354 = "", , -G4354)</f>
        <v/>
      </c>
      <c r="J4354" s="94" t="str">
        <f t="shared" si="4355"/>
        <v/>
      </c>
      <c r="K4354" s="100"/>
      <c r="M4354" s="100"/>
      <c r="N4354" s="100"/>
      <c r="O4354" s="100"/>
      <c r="P4354" s="100"/>
    </row>
    <row r="4355">
      <c r="A4355" s="107">
        <v>1628415.0</v>
      </c>
      <c r="B4355" s="108" t="s">
        <v>193</v>
      </c>
      <c r="C4355" s="108" t="s">
        <v>1040</v>
      </c>
      <c r="D4355" s="112" t="s">
        <v>178</v>
      </c>
      <c r="E4355" s="112">
        <v>2109.7</v>
      </c>
      <c r="F4355" s="111" t="str">
        <f>DataPull!D4355</f>
        <v/>
      </c>
      <c r="G4355" s="94" t="str">
        <f t="shared" si="2"/>
        <v/>
      </c>
      <c r="H4355" s="94" t="str">
        <f t="shared" si="3"/>
        <v/>
      </c>
      <c r="I4355" s="94" t="str">
        <f t="shared" ref="I4355:J4355" si="4356">if(G4355 = "", , -G4355)</f>
        <v/>
      </c>
      <c r="J4355" s="94" t="str">
        <f t="shared" si="4356"/>
        <v/>
      </c>
      <c r="K4355" s="100"/>
      <c r="M4355" s="100"/>
      <c r="N4355" s="100"/>
      <c r="O4355" s="100"/>
      <c r="P4355" s="100"/>
    </row>
    <row r="4356">
      <c r="A4356" s="107">
        <v>1628415.0</v>
      </c>
      <c r="B4356" s="108" t="s">
        <v>243</v>
      </c>
      <c r="C4356" s="108" t="s">
        <v>1040</v>
      </c>
      <c r="D4356" s="112" t="s">
        <v>178</v>
      </c>
      <c r="E4356" s="112">
        <v>1996.6</v>
      </c>
      <c r="F4356" s="111" t="str">
        <f>DataPull!D4356</f>
        <v/>
      </c>
      <c r="G4356" s="94" t="str">
        <f t="shared" si="2"/>
        <v/>
      </c>
      <c r="H4356" s="94" t="str">
        <f t="shared" si="3"/>
        <v/>
      </c>
      <c r="I4356" s="94" t="str">
        <f t="shared" ref="I4356:J4356" si="4357">if(G4356 = "", , -G4356)</f>
        <v/>
      </c>
      <c r="J4356" s="94" t="str">
        <f t="shared" si="4357"/>
        <v/>
      </c>
      <c r="K4356" s="100"/>
      <c r="M4356" s="100"/>
      <c r="N4356" s="100"/>
      <c r="O4356" s="100"/>
      <c r="P4356" s="100"/>
    </row>
    <row r="4357">
      <c r="A4357" s="107">
        <v>1628415.0</v>
      </c>
      <c r="B4357" s="108" t="s">
        <v>215</v>
      </c>
      <c r="C4357" s="108" t="s">
        <v>1040</v>
      </c>
      <c r="D4357" s="112" t="s">
        <v>178</v>
      </c>
      <c r="E4357" s="112">
        <v>886.4</v>
      </c>
      <c r="F4357" s="111" t="str">
        <f>DataPull!D4357</f>
        <v/>
      </c>
      <c r="G4357" s="94" t="str">
        <f t="shared" si="2"/>
        <v/>
      </c>
      <c r="H4357" s="94" t="str">
        <f t="shared" si="3"/>
        <v/>
      </c>
      <c r="I4357" s="94" t="str">
        <f t="shared" ref="I4357:J4357" si="4358">if(G4357 = "", , -G4357)</f>
        <v/>
      </c>
      <c r="J4357" s="94" t="str">
        <f t="shared" si="4358"/>
        <v/>
      </c>
      <c r="K4357" s="100"/>
      <c r="M4357" s="100"/>
      <c r="N4357" s="100"/>
      <c r="O4357" s="100"/>
      <c r="P4357" s="100"/>
    </row>
    <row r="4358">
      <c r="A4358" s="107">
        <v>1628415.0</v>
      </c>
      <c r="B4358" s="108" t="s">
        <v>244</v>
      </c>
      <c r="C4358" s="108" t="s">
        <v>1040</v>
      </c>
      <c r="D4358" s="112" t="s">
        <v>178</v>
      </c>
      <c r="E4358" s="112">
        <v>2211.9</v>
      </c>
      <c r="F4358" s="111" t="str">
        <f>DataPull!D4358</f>
        <v/>
      </c>
      <c r="G4358" s="94" t="str">
        <f t="shared" si="2"/>
        <v/>
      </c>
      <c r="H4358" s="94" t="str">
        <f t="shared" si="3"/>
        <v/>
      </c>
      <c r="I4358" s="94" t="str">
        <f t="shared" ref="I4358:J4358" si="4359">if(G4358 = "", , -G4358)</f>
        <v/>
      </c>
      <c r="J4358" s="94" t="str">
        <f t="shared" si="4359"/>
        <v/>
      </c>
      <c r="K4358" s="100"/>
      <c r="M4358" s="100"/>
      <c r="N4358" s="100"/>
      <c r="O4358" s="100"/>
      <c r="P4358" s="100"/>
    </row>
    <row r="4359">
      <c r="A4359" s="107">
        <v>1628415.0</v>
      </c>
      <c r="B4359" s="108" t="s">
        <v>245</v>
      </c>
      <c r="C4359" s="108" t="s">
        <v>1040</v>
      </c>
      <c r="D4359" s="112" t="s">
        <v>178</v>
      </c>
      <c r="E4359" s="112">
        <v>2224.8</v>
      </c>
      <c r="F4359" s="111" t="str">
        <f>DataPull!D4359</f>
        <v/>
      </c>
      <c r="G4359" s="94" t="str">
        <f t="shared" si="2"/>
        <v/>
      </c>
      <c r="H4359" s="94" t="str">
        <f t="shared" si="3"/>
        <v/>
      </c>
      <c r="I4359" s="94" t="str">
        <f t="shared" ref="I4359:J4359" si="4360">if(G4359 = "", , -G4359)</f>
        <v/>
      </c>
      <c r="J4359" s="94" t="str">
        <f t="shared" si="4360"/>
        <v/>
      </c>
      <c r="K4359" s="100"/>
      <c r="M4359" s="100"/>
      <c r="N4359" s="100"/>
      <c r="O4359" s="100"/>
      <c r="P4359" s="100"/>
    </row>
    <row r="4360">
      <c r="A4360" s="107">
        <v>1628415.0</v>
      </c>
      <c r="B4360" s="108" t="s">
        <v>246</v>
      </c>
      <c r="C4360" s="108" t="s">
        <v>1040</v>
      </c>
      <c r="D4360" s="112" t="s">
        <v>178</v>
      </c>
      <c r="E4360" s="112">
        <v>2385.0</v>
      </c>
      <c r="F4360" s="111" t="str">
        <f>DataPull!D4360</f>
        <v/>
      </c>
      <c r="G4360" s="94" t="str">
        <f t="shared" si="2"/>
        <v/>
      </c>
      <c r="H4360" s="94" t="str">
        <f t="shared" si="3"/>
        <v/>
      </c>
      <c r="I4360" s="94" t="str">
        <f t="shared" ref="I4360:J4360" si="4361">if(G4360 = "", , -G4360)</f>
        <v/>
      </c>
      <c r="J4360" s="94" t="str">
        <f t="shared" si="4361"/>
        <v/>
      </c>
      <c r="K4360" s="100"/>
      <c r="M4360" s="100"/>
      <c r="N4360" s="100"/>
      <c r="O4360" s="100"/>
      <c r="P4360" s="100"/>
    </row>
    <row r="4361">
      <c r="A4361" s="114">
        <v>1628415.0</v>
      </c>
      <c r="B4361" s="113" t="s">
        <v>247</v>
      </c>
      <c r="C4361" s="113" t="s">
        <v>1040</v>
      </c>
      <c r="D4361" s="112" t="s">
        <v>178</v>
      </c>
      <c r="E4361" s="112">
        <v>1702.4</v>
      </c>
      <c r="F4361" s="111" t="str">
        <f>DataPull!D4361</f>
        <v/>
      </c>
      <c r="G4361" s="94" t="str">
        <f t="shared" si="2"/>
        <v/>
      </c>
      <c r="H4361" s="94" t="str">
        <f t="shared" si="3"/>
        <v/>
      </c>
      <c r="I4361" s="94" t="str">
        <f t="shared" ref="I4361:J4361" si="4362">if(G4361 = "", , -G4361)</f>
        <v/>
      </c>
      <c r="J4361" s="94" t="str">
        <f t="shared" si="4362"/>
        <v/>
      </c>
      <c r="K4361" s="100"/>
      <c r="M4361" s="100"/>
      <c r="N4361" s="100"/>
      <c r="O4361" s="100"/>
      <c r="P4361" s="100"/>
    </row>
    <row r="4362">
      <c r="A4362" s="107">
        <v>1628416.0</v>
      </c>
      <c r="B4362" s="108" t="s">
        <v>191</v>
      </c>
      <c r="C4362" s="108" t="s">
        <v>1041</v>
      </c>
      <c r="D4362" s="112" t="s">
        <v>177</v>
      </c>
      <c r="E4362" s="112">
        <v>974.4</v>
      </c>
      <c r="F4362" s="111" t="str">
        <f>DataPull!D4362</f>
        <v/>
      </c>
      <c r="G4362" s="94" t="str">
        <f t="shared" si="2"/>
        <v/>
      </c>
      <c r="H4362" s="94" t="str">
        <f t="shared" si="3"/>
        <v/>
      </c>
      <c r="I4362" s="94" t="str">
        <f t="shared" ref="I4362:J4362" si="4363">if(G4362 = "", , -G4362)</f>
        <v/>
      </c>
      <c r="J4362" s="94" t="str">
        <f t="shared" si="4363"/>
        <v/>
      </c>
      <c r="K4362" s="100"/>
      <c r="M4362" s="100"/>
      <c r="N4362" s="100"/>
      <c r="O4362" s="100"/>
      <c r="P4362" s="100"/>
    </row>
    <row r="4363">
      <c r="A4363" s="107">
        <v>1628416.0</v>
      </c>
      <c r="B4363" s="108" t="s">
        <v>192</v>
      </c>
      <c r="C4363" s="108" t="s">
        <v>1041</v>
      </c>
      <c r="D4363" s="112" t="s">
        <v>187</v>
      </c>
      <c r="E4363" s="112">
        <v>696.0</v>
      </c>
      <c r="F4363" s="111" t="str">
        <f>DataPull!D4363</f>
        <v/>
      </c>
      <c r="G4363" s="94" t="str">
        <f t="shared" si="2"/>
        <v/>
      </c>
      <c r="H4363" s="94" t="str">
        <f t="shared" si="3"/>
        <v/>
      </c>
      <c r="I4363" s="94" t="str">
        <f t="shared" ref="I4363:J4363" si="4364">if(G4363 = "", , -G4363)</f>
        <v/>
      </c>
      <c r="J4363" s="94" t="str">
        <f t="shared" si="4364"/>
        <v/>
      </c>
      <c r="K4363" s="100"/>
      <c r="L4363" s="100"/>
      <c r="M4363" s="100"/>
      <c r="N4363" s="100"/>
      <c r="O4363" s="100"/>
      <c r="P4363" s="100"/>
    </row>
    <row r="4364">
      <c r="A4364" s="107">
        <v>1628416.0</v>
      </c>
      <c r="B4364" s="108" t="s">
        <v>244</v>
      </c>
      <c r="C4364" s="108" t="s">
        <v>1041</v>
      </c>
      <c r="D4364" s="112" t="s">
        <v>181</v>
      </c>
      <c r="E4364" s="112">
        <v>8.4</v>
      </c>
      <c r="F4364" s="111" t="str">
        <f>DataPull!D4364</f>
        <v/>
      </c>
      <c r="G4364" s="94" t="str">
        <f t="shared" si="2"/>
        <v/>
      </c>
      <c r="H4364" s="94" t="str">
        <f t="shared" si="3"/>
        <v/>
      </c>
      <c r="I4364" s="94" t="str">
        <f t="shared" ref="I4364:J4364" si="4365">if(G4364 = "", , -G4364)</f>
        <v/>
      </c>
      <c r="J4364" s="94" t="str">
        <f t="shared" si="4365"/>
        <v/>
      </c>
      <c r="K4364" s="100"/>
      <c r="L4364" s="100"/>
      <c r="M4364" s="100"/>
      <c r="N4364" s="100"/>
      <c r="O4364" s="100"/>
      <c r="P4364" s="100"/>
    </row>
    <row r="4365">
      <c r="A4365" s="107">
        <v>1628417.0</v>
      </c>
      <c r="B4365" s="108" t="s">
        <v>192</v>
      </c>
      <c r="C4365" s="108" t="s">
        <v>1042</v>
      </c>
      <c r="D4365" s="112" t="s">
        <v>177</v>
      </c>
      <c r="E4365" s="112">
        <v>440.1</v>
      </c>
      <c r="F4365" s="111" t="str">
        <f>DataPull!D4365</f>
        <v/>
      </c>
      <c r="G4365" s="94" t="str">
        <f t="shared" si="2"/>
        <v/>
      </c>
      <c r="H4365" s="94" t="str">
        <f t="shared" si="3"/>
        <v/>
      </c>
      <c r="I4365" s="94" t="str">
        <f t="shared" ref="I4365:J4365" si="4366">if(G4365 = "", , -G4365)</f>
        <v/>
      </c>
      <c r="J4365" s="94" t="str">
        <f t="shared" si="4366"/>
        <v/>
      </c>
      <c r="K4365" s="100"/>
      <c r="M4365" s="100"/>
      <c r="N4365" s="100"/>
      <c r="O4365" s="100"/>
      <c r="P4365" s="100"/>
    </row>
    <row r="4366">
      <c r="A4366" s="107">
        <v>1628418.0</v>
      </c>
      <c r="B4366" s="108" t="s">
        <v>191</v>
      </c>
      <c r="C4366" s="108" t="s">
        <v>1043</v>
      </c>
      <c r="D4366" s="112" t="s">
        <v>187</v>
      </c>
      <c r="E4366" s="112">
        <v>72.0</v>
      </c>
      <c r="F4366" s="111" t="str">
        <f>DataPull!D4366</f>
        <v/>
      </c>
      <c r="G4366" s="94" t="str">
        <f t="shared" si="2"/>
        <v/>
      </c>
      <c r="H4366" s="94" t="str">
        <f t="shared" si="3"/>
        <v/>
      </c>
      <c r="I4366" s="94" t="str">
        <f t="shared" ref="I4366:J4366" si="4367">if(G4366 = "", , -G4366)</f>
        <v/>
      </c>
      <c r="J4366" s="94" t="str">
        <f t="shared" si="4367"/>
        <v/>
      </c>
      <c r="K4366" s="100"/>
      <c r="M4366" s="100"/>
      <c r="N4366" s="100"/>
      <c r="O4366" s="100"/>
      <c r="P4366" s="100"/>
    </row>
    <row r="4367">
      <c r="A4367" s="107">
        <v>1628418.0</v>
      </c>
      <c r="B4367" s="108" t="s">
        <v>192</v>
      </c>
      <c r="C4367" s="108" t="s">
        <v>1043</v>
      </c>
      <c r="D4367" s="112" t="s">
        <v>177</v>
      </c>
      <c r="E4367" s="112">
        <v>1497.6</v>
      </c>
      <c r="F4367" s="111" t="str">
        <f>DataPull!D4367</f>
        <v/>
      </c>
      <c r="G4367" s="94" t="str">
        <f t="shared" si="2"/>
        <v/>
      </c>
      <c r="H4367" s="94" t="str">
        <f t="shared" si="3"/>
        <v/>
      </c>
      <c r="I4367" s="94" t="str">
        <f t="shared" ref="I4367:J4367" si="4368">if(G4367 = "", , -G4367)</f>
        <v/>
      </c>
      <c r="J4367" s="94" t="str">
        <f t="shared" si="4368"/>
        <v/>
      </c>
      <c r="K4367" s="100"/>
      <c r="M4367" s="100"/>
      <c r="N4367" s="100"/>
      <c r="O4367" s="100"/>
      <c r="P4367" s="100"/>
    </row>
    <row r="4368">
      <c r="A4368" s="107">
        <v>1628418.0</v>
      </c>
      <c r="B4368" s="108" t="s">
        <v>193</v>
      </c>
      <c r="C4368" s="108" t="s">
        <v>1043</v>
      </c>
      <c r="D4368" s="112" t="s">
        <v>176</v>
      </c>
      <c r="E4368" s="112">
        <v>1145.4</v>
      </c>
      <c r="F4368" s="111" t="str">
        <f>DataPull!D4368</f>
        <v/>
      </c>
      <c r="G4368" s="94" t="str">
        <f t="shared" si="2"/>
        <v/>
      </c>
      <c r="H4368" s="94" t="str">
        <f t="shared" si="3"/>
        <v/>
      </c>
      <c r="I4368" s="94" t="str">
        <f t="shared" ref="I4368:J4368" si="4369">if(G4368 = "", , -G4368)</f>
        <v/>
      </c>
      <c r="J4368" s="94" t="str">
        <f t="shared" si="4369"/>
        <v/>
      </c>
      <c r="K4368" s="100"/>
      <c r="M4368" s="100"/>
      <c r="N4368" s="100"/>
      <c r="O4368" s="100"/>
    </row>
    <row r="4369">
      <c r="A4369" s="107">
        <v>1628418.0</v>
      </c>
      <c r="B4369" s="108" t="s">
        <v>243</v>
      </c>
      <c r="C4369" s="108" t="s">
        <v>1043</v>
      </c>
      <c r="D4369" s="112" t="s">
        <v>178</v>
      </c>
      <c r="E4369" s="112">
        <v>271.0</v>
      </c>
      <c r="F4369" s="111" t="str">
        <f>DataPull!D4369</f>
        <v/>
      </c>
      <c r="G4369" s="94" t="str">
        <f t="shared" si="2"/>
        <v/>
      </c>
      <c r="H4369" s="94" t="str">
        <f t="shared" si="3"/>
        <v/>
      </c>
      <c r="I4369" s="94" t="str">
        <f t="shared" ref="I4369:J4369" si="4370">if(G4369 = "", , -G4369)</f>
        <v/>
      </c>
      <c r="J4369" s="94" t="str">
        <f t="shared" si="4370"/>
        <v/>
      </c>
      <c r="K4369" s="100"/>
      <c r="M4369" s="100"/>
      <c r="N4369" s="100"/>
      <c r="O4369" s="100"/>
      <c r="P4369" s="100"/>
    </row>
    <row r="4370">
      <c r="A4370" s="107">
        <v>1628418.0</v>
      </c>
      <c r="B4370" s="108" t="s">
        <v>215</v>
      </c>
      <c r="C4370" s="108" t="s">
        <v>1043</v>
      </c>
      <c r="D4370" s="112" t="s">
        <v>177</v>
      </c>
      <c r="E4370" s="112">
        <v>440.1</v>
      </c>
      <c r="F4370" s="111" t="str">
        <f>DataPull!D4370</f>
        <v/>
      </c>
      <c r="G4370" s="94" t="str">
        <f t="shared" si="2"/>
        <v/>
      </c>
      <c r="H4370" s="94" t="str">
        <f t="shared" si="3"/>
        <v/>
      </c>
      <c r="I4370" s="94" t="str">
        <f t="shared" ref="I4370:J4370" si="4371">if(G4370 = "", , -G4370)</f>
        <v/>
      </c>
      <c r="J4370" s="94" t="str">
        <f t="shared" si="4371"/>
        <v/>
      </c>
      <c r="K4370" s="100"/>
      <c r="M4370" s="100"/>
      <c r="N4370" s="100"/>
      <c r="O4370" s="100"/>
      <c r="P4370" s="100"/>
    </row>
    <row r="4371">
      <c r="A4371" s="107">
        <v>1628418.0</v>
      </c>
      <c r="B4371" s="108" t="s">
        <v>244</v>
      </c>
      <c r="C4371" s="108" t="s">
        <v>1043</v>
      </c>
      <c r="D4371" s="112" t="s">
        <v>176</v>
      </c>
      <c r="E4371" s="112">
        <v>1079.7</v>
      </c>
      <c r="F4371" s="111" t="str">
        <f>DataPull!D4371</f>
        <v/>
      </c>
      <c r="G4371" s="94" t="str">
        <f t="shared" si="2"/>
        <v/>
      </c>
      <c r="H4371" s="94" t="str">
        <f t="shared" si="3"/>
        <v/>
      </c>
      <c r="I4371" s="94" t="str">
        <f t="shared" ref="I4371:J4371" si="4372">if(G4371 = "", , -G4371)</f>
        <v/>
      </c>
      <c r="J4371" s="94" t="str">
        <f t="shared" si="4372"/>
        <v/>
      </c>
      <c r="K4371" s="100"/>
      <c r="M4371" s="100"/>
      <c r="N4371" s="100"/>
      <c r="O4371" s="100"/>
      <c r="P4371" s="100"/>
    </row>
    <row r="4372">
      <c r="A4372" s="107">
        <v>1628418.0</v>
      </c>
      <c r="B4372" s="108" t="s">
        <v>245</v>
      </c>
      <c r="C4372" s="108" t="s">
        <v>1043</v>
      </c>
      <c r="D4372" s="112" t="s">
        <v>177</v>
      </c>
      <c r="E4372" s="112">
        <v>440.8</v>
      </c>
      <c r="F4372" s="111" t="str">
        <f>DataPull!D4372</f>
        <v/>
      </c>
      <c r="G4372" s="94" t="str">
        <f t="shared" si="2"/>
        <v/>
      </c>
      <c r="H4372" s="94" t="str">
        <f t="shared" si="3"/>
        <v/>
      </c>
      <c r="I4372" s="94" t="str">
        <f t="shared" ref="I4372:J4372" si="4373">if(G4372 = "", , -G4372)</f>
        <v/>
      </c>
      <c r="J4372" s="94" t="str">
        <f t="shared" si="4373"/>
        <v/>
      </c>
      <c r="K4372" s="100"/>
      <c r="M4372" s="100"/>
      <c r="N4372" s="100"/>
      <c r="O4372" s="100"/>
      <c r="P4372" s="100"/>
    </row>
    <row r="4373">
      <c r="A4373" s="107">
        <v>1628418.0</v>
      </c>
      <c r="B4373" s="108" t="s">
        <v>246</v>
      </c>
      <c r="C4373" s="108" t="s">
        <v>1043</v>
      </c>
      <c r="D4373" s="112" t="s">
        <v>177</v>
      </c>
      <c r="E4373" s="112">
        <v>963.6</v>
      </c>
      <c r="F4373" s="111" t="str">
        <f>DataPull!D4373</f>
        <v/>
      </c>
      <c r="G4373" s="94" t="str">
        <f t="shared" si="2"/>
        <v/>
      </c>
      <c r="H4373" s="94" t="str">
        <f t="shared" si="3"/>
        <v/>
      </c>
      <c r="I4373" s="94" t="str">
        <f t="shared" ref="I4373:J4373" si="4374">if(G4373 = "", , -G4373)</f>
        <v/>
      </c>
      <c r="J4373" s="94" t="str">
        <f t="shared" si="4374"/>
        <v/>
      </c>
      <c r="K4373" s="100"/>
      <c r="M4373" s="100"/>
      <c r="N4373" s="100"/>
      <c r="O4373" s="100"/>
      <c r="P4373" s="100"/>
    </row>
    <row r="4374">
      <c r="A4374" s="114">
        <v>1628418.0</v>
      </c>
      <c r="B4374" s="113" t="s">
        <v>247</v>
      </c>
      <c r="C4374" s="113" t="s">
        <v>1043</v>
      </c>
      <c r="D4374" s="112" t="s">
        <v>177</v>
      </c>
      <c r="E4374" s="112">
        <v>732.0</v>
      </c>
      <c r="F4374" s="111" t="str">
        <f>DataPull!D4374</f>
        <v/>
      </c>
      <c r="G4374" s="94" t="str">
        <f t="shared" si="2"/>
        <v/>
      </c>
      <c r="H4374" s="94" t="str">
        <f t="shared" si="3"/>
        <v/>
      </c>
      <c r="I4374" s="94" t="str">
        <f t="shared" ref="I4374:J4374" si="4375">if(G4374 = "", , -G4374)</f>
        <v/>
      </c>
      <c r="J4374" s="94" t="str">
        <f t="shared" si="4375"/>
        <v/>
      </c>
      <c r="K4374" s="100"/>
      <c r="M4374" s="100"/>
      <c r="N4374" s="100"/>
      <c r="O4374" s="100"/>
      <c r="P4374" s="100"/>
    </row>
    <row r="4375">
      <c r="A4375" s="107">
        <v>1628419.0</v>
      </c>
      <c r="B4375" s="108" t="s">
        <v>243</v>
      </c>
      <c r="C4375" s="108" t="s">
        <v>1044</v>
      </c>
      <c r="D4375" s="112" t="s">
        <v>181</v>
      </c>
      <c r="E4375" s="112">
        <v>87.2</v>
      </c>
      <c r="F4375" s="111" t="str">
        <f>DataPull!D4375</f>
        <v/>
      </c>
      <c r="G4375" s="94" t="str">
        <f t="shared" si="2"/>
        <v/>
      </c>
      <c r="H4375" s="94" t="str">
        <f t="shared" si="3"/>
        <v/>
      </c>
      <c r="I4375" s="94" t="str">
        <f t="shared" ref="I4375:J4375" si="4376">if(G4375 = "", , -G4375)</f>
        <v/>
      </c>
      <c r="J4375" s="94" t="str">
        <f t="shared" si="4376"/>
        <v/>
      </c>
      <c r="K4375" s="100"/>
      <c r="M4375" s="100"/>
      <c r="N4375" s="100"/>
      <c r="O4375" s="100"/>
      <c r="P4375" s="100"/>
    </row>
    <row r="4376">
      <c r="A4376" s="107">
        <v>1628419.0</v>
      </c>
      <c r="B4376" s="108" t="s">
        <v>215</v>
      </c>
      <c r="C4376" s="108" t="s">
        <v>1044</v>
      </c>
      <c r="D4376" s="112" t="s">
        <v>181</v>
      </c>
      <c r="E4376" s="112">
        <v>43.4</v>
      </c>
      <c r="F4376" s="111" t="str">
        <f>DataPull!D4376</f>
        <v/>
      </c>
      <c r="G4376" s="94" t="str">
        <f t="shared" si="2"/>
        <v/>
      </c>
      <c r="H4376" s="94" t="str">
        <f t="shared" si="3"/>
        <v/>
      </c>
      <c r="I4376" s="94" t="str">
        <f t="shared" ref="I4376:J4376" si="4377">if(G4376 = "", , -G4376)</f>
        <v/>
      </c>
      <c r="J4376" s="94" t="str">
        <f t="shared" si="4377"/>
        <v/>
      </c>
      <c r="K4376" s="100"/>
      <c r="M4376" s="100"/>
      <c r="N4376" s="100"/>
      <c r="O4376" s="100"/>
      <c r="P4376" s="100"/>
    </row>
    <row r="4377">
      <c r="A4377" s="107">
        <v>1628420.0</v>
      </c>
      <c r="B4377" s="108" t="s">
        <v>191</v>
      </c>
      <c r="C4377" s="108" t="s">
        <v>1045</v>
      </c>
      <c r="D4377" s="112" t="s">
        <v>181</v>
      </c>
      <c r="E4377" s="112">
        <v>25.2</v>
      </c>
      <c r="F4377" s="111" t="str">
        <f>DataPull!D4377</f>
        <v/>
      </c>
      <c r="G4377" s="94" t="str">
        <f t="shared" si="2"/>
        <v/>
      </c>
      <c r="H4377" s="94" t="str">
        <f t="shared" si="3"/>
        <v/>
      </c>
      <c r="I4377" s="94" t="str">
        <f t="shared" ref="I4377:J4377" si="4378">if(G4377 = "", , -G4377)</f>
        <v/>
      </c>
      <c r="J4377" s="94" t="str">
        <f t="shared" si="4378"/>
        <v/>
      </c>
      <c r="K4377" s="100"/>
      <c r="L4377" s="100"/>
      <c r="N4377" s="100"/>
      <c r="O4377" s="100"/>
      <c r="P4377" s="100"/>
    </row>
    <row r="4378">
      <c r="A4378" s="107">
        <v>1628420.0</v>
      </c>
      <c r="B4378" s="108" t="s">
        <v>192</v>
      </c>
      <c r="C4378" s="108" t="s">
        <v>1045</v>
      </c>
      <c r="D4378" s="112" t="s">
        <v>176</v>
      </c>
      <c r="E4378" s="112">
        <v>1968.0</v>
      </c>
      <c r="F4378" s="111" t="str">
        <f>DataPull!D4378</f>
        <v/>
      </c>
      <c r="G4378" s="94" t="str">
        <f t="shared" si="2"/>
        <v/>
      </c>
      <c r="H4378" s="94" t="str">
        <f t="shared" si="3"/>
        <v/>
      </c>
      <c r="I4378" s="94" t="str">
        <f t="shared" ref="I4378:J4378" si="4379">if(G4378 = "", , -G4378)</f>
        <v/>
      </c>
      <c r="J4378" s="94" t="str">
        <f t="shared" si="4379"/>
        <v/>
      </c>
      <c r="K4378" s="100"/>
      <c r="M4378" s="100"/>
      <c r="N4378" s="100"/>
      <c r="O4378" s="100"/>
      <c r="P4378" s="100"/>
    </row>
    <row r="4379">
      <c r="A4379" s="107">
        <v>1628420.0</v>
      </c>
      <c r="B4379" s="108" t="s">
        <v>193</v>
      </c>
      <c r="C4379" s="108" t="s">
        <v>1045</v>
      </c>
      <c r="D4379" s="112" t="s">
        <v>176</v>
      </c>
      <c r="E4379" s="112">
        <v>1635.2</v>
      </c>
      <c r="F4379" s="111" t="str">
        <f>DataPull!D4379</f>
        <v/>
      </c>
      <c r="G4379" s="94" t="str">
        <f t="shared" si="2"/>
        <v/>
      </c>
      <c r="H4379" s="94" t="str">
        <f t="shared" si="3"/>
        <v/>
      </c>
      <c r="I4379" s="94" t="str">
        <f t="shared" ref="I4379:J4379" si="4380">if(G4379 = "", , -G4379)</f>
        <v/>
      </c>
      <c r="J4379" s="94" t="str">
        <f t="shared" si="4380"/>
        <v/>
      </c>
      <c r="K4379" s="100"/>
      <c r="L4379" s="100"/>
      <c r="N4379" s="100"/>
      <c r="O4379" s="100"/>
      <c r="P4379" s="100"/>
    </row>
    <row r="4380">
      <c r="A4380" s="107">
        <v>1628420.0</v>
      </c>
      <c r="B4380" s="108" t="s">
        <v>243</v>
      </c>
      <c r="C4380" s="108" t="s">
        <v>1045</v>
      </c>
      <c r="D4380" s="112" t="s">
        <v>176</v>
      </c>
      <c r="E4380" s="112">
        <v>1198.5</v>
      </c>
      <c r="F4380" s="111" t="str">
        <f>DataPull!D4380</f>
        <v/>
      </c>
      <c r="G4380" s="94" t="str">
        <f t="shared" si="2"/>
        <v/>
      </c>
      <c r="H4380" s="94" t="str">
        <f t="shared" si="3"/>
        <v/>
      </c>
      <c r="I4380" s="94" t="str">
        <f t="shared" ref="I4380:J4380" si="4381">if(G4380 = "", , -G4380)</f>
        <v/>
      </c>
      <c r="J4380" s="94" t="str">
        <f t="shared" si="4381"/>
        <v/>
      </c>
      <c r="K4380" s="100"/>
      <c r="M4380" s="100"/>
      <c r="N4380" s="100"/>
      <c r="O4380" s="100"/>
      <c r="P4380" s="100"/>
    </row>
    <row r="4381">
      <c r="A4381" s="107">
        <v>1628420.0</v>
      </c>
      <c r="B4381" s="108" t="s">
        <v>215</v>
      </c>
      <c r="C4381" s="108" t="s">
        <v>1045</v>
      </c>
      <c r="D4381" s="112" t="s">
        <v>178</v>
      </c>
      <c r="E4381" s="112">
        <v>2242.5</v>
      </c>
      <c r="F4381" s="111" t="str">
        <f>DataPull!D4381</f>
        <v/>
      </c>
      <c r="G4381" s="94" t="str">
        <f t="shared" si="2"/>
        <v/>
      </c>
      <c r="H4381" s="94" t="str">
        <f t="shared" si="3"/>
        <v/>
      </c>
      <c r="I4381" s="94" t="str">
        <f t="shared" ref="I4381:J4381" si="4382">if(G4381 = "", , -G4381)</f>
        <v/>
      </c>
      <c r="J4381" s="94" t="str">
        <f t="shared" si="4382"/>
        <v/>
      </c>
      <c r="K4381" s="100"/>
      <c r="M4381" s="100"/>
      <c r="N4381" s="100"/>
      <c r="O4381" s="100"/>
      <c r="P4381" s="100"/>
    </row>
    <row r="4382">
      <c r="A4382" s="107">
        <v>1628420.0</v>
      </c>
      <c r="B4382" s="108" t="s">
        <v>244</v>
      </c>
      <c r="C4382" s="108" t="s">
        <v>1045</v>
      </c>
      <c r="D4382" s="112" t="s">
        <v>178</v>
      </c>
      <c r="E4382" s="112">
        <v>1698.8</v>
      </c>
      <c r="F4382" s="111" t="str">
        <f>DataPull!D4382</f>
        <v/>
      </c>
      <c r="G4382" s="94" t="str">
        <f t="shared" si="2"/>
        <v/>
      </c>
      <c r="H4382" s="94" t="str">
        <f t="shared" si="3"/>
        <v/>
      </c>
      <c r="I4382" s="94" t="str">
        <f t="shared" ref="I4382:J4382" si="4383">if(G4382 = "", , -G4382)</f>
        <v/>
      </c>
      <c r="J4382" s="94" t="str">
        <f t="shared" si="4383"/>
        <v/>
      </c>
      <c r="K4382" s="100"/>
      <c r="M4382" s="100"/>
      <c r="N4382" s="100"/>
      <c r="O4382" s="100"/>
      <c r="P4382" s="100"/>
    </row>
    <row r="4383">
      <c r="A4383" s="107">
        <v>1628420.0</v>
      </c>
      <c r="B4383" s="108" t="s">
        <v>245</v>
      </c>
      <c r="C4383" s="108" t="s">
        <v>1045</v>
      </c>
      <c r="D4383" s="112" t="s">
        <v>177</v>
      </c>
      <c r="E4383" s="112">
        <v>475.2</v>
      </c>
      <c r="F4383" s="111" t="str">
        <f>DataPull!D4383</f>
        <v/>
      </c>
      <c r="G4383" s="94" t="str">
        <f t="shared" si="2"/>
        <v/>
      </c>
      <c r="H4383" s="94" t="str">
        <f t="shared" si="3"/>
        <v/>
      </c>
      <c r="I4383" s="94" t="str">
        <f t="shared" ref="I4383:J4383" si="4384">if(G4383 = "", , -G4383)</f>
        <v/>
      </c>
      <c r="J4383" s="94" t="str">
        <f t="shared" si="4384"/>
        <v/>
      </c>
      <c r="K4383" s="100"/>
      <c r="M4383" s="100"/>
      <c r="N4383" s="100"/>
      <c r="O4383" s="100"/>
      <c r="P4383" s="100"/>
    </row>
    <row r="4384">
      <c r="A4384" s="107">
        <v>1628420.0</v>
      </c>
      <c r="B4384" s="108" t="s">
        <v>246</v>
      </c>
      <c r="C4384" s="108" t="s">
        <v>1045</v>
      </c>
      <c r="D4384" s="112" t="s">
        <v>177</v>
      </c>
      <c r="E4384" s="112">
        <v>571.5</v>
      </c>
      <c r="F4384" s="111" t="str">
        <f>DataPull!D4384</f>
        <v/>
      </c>
      <c r="G4384" s="94" t="str">
        <f t="shared" si="2"/>
        <v/>
      </c>
      <c r="H4384" s="94" t="str">
        <f t="shared" si="3"/>
        <v/>
      </c>
      <c r="I4384" s="94" t="str">
        <f t="shared" ref="I4384:J4384" si="4385">if(G4384 = "", , -G4384)</f>
        <v/>
      </c>
      <c r="J4384" s="94" t="str">
        <f t="shared" si="4385"/>
        <v/>
      </c>
      <c r="K4384" s="100"/>
      <c r="M4384" s="100"/>
      <c r="N4384" s="100"/>
      <c r="O4384" s="100"/>
      <c r="P4384" s="100"/>
    </row>
    <row r="4385">
      <c r="A4385" s="89">
        <v>1628420.0</v>
      </c>
      <c r="B4385" s="113" t="s">
        <v>247</v>
      </c>
      <c r="C4385" s="113" t="s">
        <v>1045</v>
      </c>
      <c r="D4385" s="112" t="s">
        <v>177</v>
      </c>
      <c r="E4385" s="112">
        <v>64.8</v>
      </c>
      <c r="F4385" s="111" t="str">
        <f>DataPull!D4385</f>
        <v/>
      </c>
      <c r="G4385" s="94" t="str">
        <f t="shared" si="2"/>
        <v/>
      </c>
      <c r="H4385" s="94" t="str">
        <f t="shared" si="3"/>
        <v/>
      </c>
      <c r="I4385" s="94" t="str">
        <f t="shared" ref="I4385:J4385" si="4386">if(G4385 = "", , -G4385)</f>
        <v/>
      </c>
      <c r="J4385" s="94" t="str">
        <f t="shared" si="4386"/>
        <v/>
      </c>
      <c r="K4385" s="100"/>
      <c r="L4385" s="100"/>
      <c r="N4385" s="100"/>
      <c r="O4385" s="100"/>
      <c r="P4385" s="100"/>
    </row>
    <row r="4386">
      <c r="A4386" s="107">
        <v>1628421.0</v>
      </c>
      <c r="B4386" s="108" t="s">
        <v>191</v>
      </c>
      <c r="C4386" s="108" t="s">
        <v>1046</v>
      </c>
      <c r="D4386" s="112" t="s">
        <v>181</v>
      </c>
      <c r="E4386" s="112">
        <v>13.2</v>
      </c>
      <c r="F4386" s="111" t="str">
        <f>DataPull!D4386</f>
        <v/>
      </c>
      <c r="G4386" s="94" t="str">
        <f t="shared" si="2"/>
        <v/>
      </c>
      <c r="H4386" s="94" t="str">
        <f t="shared" si="3"/>
        <v/>
      </c>
      <c r="I4386" s="94" t="str">
        <f t="shared" ref="I4386:J4386" si="4387">if(G4386 = "", , -G4386)</f>
        <v/>
      </c>
      <c r="J4386" s="94" t="str">
        <f t="shared" si="4387"/>
        <v/>
      </c>
      <c r="K4386" s="100"/>
      <c r="M4386" s="100"/>
      <c r="N4386" s="100"/>
      <c r="O4386" s="100"/>
      <c r="P4386" s="100"/>
    </row>
    <row r="4387">
      <c r="A4387" s="107">
        <v>1628421.0</v>
      </c>
      <c r="B4387" s="108" t="s">
        <v>192</v>
      </c>
      <c r="C4387" s="108" t="s">
        <v>1046</v>
      </c>
      <c r="D4387" s="112" t="s">
        <v>181</v>
      </c>
      <c r="E4387" s="112">
        <v>94.5</v>
      </c>
      <c r="F4387" s="111" t="str">
        <f>DataPull!D4387</f>
        <v/>
      </c>
      <c r="G4387" s="94" t="str">
        <f t="shared" si="2"/>
        <v/>
      </c>
      <c r="H4387" s="94" t="str">
        <f t="shared" si="3"/>
        <v/>
      </c>
      <c r="I4387" s="94" t="str">
        <f t="shared" ref="I4387:J4387" si="4388">if(G4387 = "", , -G4387)</f>
        <v/>
      </c>
      <c r="J4387" s="94" t="str">
        <f t="shared" si="4388"/>
        <v/>
      </c>
      <c r="K4387" s="100"/>
      <c r="M4387" s="100"/>
      <c r="N4387" s="100"/>
      <c r="O4387" s="100"/>
      <c r="P4387" s="100"/>
    </row>
    <row r="4388">
      <c r="A4388" s="107">
        <v>1628422.0</v>
      </c>
      <c r="B4388" s="108" t="s">
        <v>191</v>
      </c>
      <c r="C4388" s="108" t="s">
        <v>1047</v>
      </c>
      <c r="D4388" s="112" t="s">
        <v>177</v>
      </c>
      <c r="E4388" s="112">
        <v>475.2</v>
      </c>
      <c r="F4388" s="111" t="str">
        <f>DataPull!D4388</f>
        <v/>
      </c>
      <c r="G4388" s="94" t="str">
        <f t="shared" si="2"/>
        <v/>
      </c>
      <c r="H4388" s="94" t="str">
        <f t="shared" si="3"/>
        <v/>
      </c>
      <c r="I4388" s="94" t="str">
        <f t="shared" ref="I4388:J4388" si="4389">if(G4388 = "", , -G4388)</f>
        <v/>
      </c>
      <c r="J4388" s="94" t="str">
        <f t="shared" si="4389"/>
        <v/>
      </c>
      <c r="K4388" s="100"/>
      <c r="M4388" s="100"/>
      <c r="N4388" s="100"/>
      <c r="O4388" s="100"/>
      <c r="P4388" s="100"/>
    </row>
    <row r="4389">
      <c r="A4389" s="107">
        <v>1628422.0</v>
      </c>
      <c r="B4389" s="108" t="s">
        <v>192</v>
      </c>
      <c r="C4389" s="108" t="s">
        <v>1047</v>
      </c>
      <c r="D4389" s="112" t="s">
        <v>178</v>
      </c>
      <c r="E4389" s="112">
        <v>2000.2</v>
      </c>
      <c r="F4389" s="111" t="str">
        <f>DataPull!D4389</f>
        <v/>
      </c>
      <c r="G4389" s="94" t="str">
        <f t="shared" si="2"/>
        <v/>
      </c>
      <c r="H4389" s="94" t="str">
        <f t="shared" si="3"/>
        <v/>
      </c>
      <c r="I4389" s="94" t="str">
        <f t="shared" ref="I4389:J4389" si="4390">if(G4389 = "", , -G4389)</f>
        <v/>
      </c>
      <c r="J4389" s="94" t="str">
        <f t="shared" si="4390"/>
        <v/>
      </c>
      <c r="K4389" s="100"/>
      <c r="M4389" s="100"/>
      <c r="N4389" s="100"/>
      <c r="O4389" s="100"/>
      <c r="P4389" s="100"/>
    </row>
    <row r="4390">
      <c r="A4390" s="107">
        <v>1628422.0</v>
      </c>
      <c r="B4390" s="108" t="s">
        <v>193</v>
      </c>
      <c r="C4390" s="108" t="s">
        <v>1047</v>
      </c>
      <c r="D4390" s="112" t="s">
        <v>177</v>
      </c>
      <c r="E4390" s="112">
        <v>835.2</v>
      </c>
      <c r="F4390" s="111" t="str">
        <f>DataPull!D4390</f>
        <v/>
      </c>
      <c r="G4390" s="94" t="str">
        <f t="shared" si="2"/>
        <v/>
      </c>
      <c r="H4390" s="94" t="str">
        <f t="shared" si="3"/>
        <v/>
      </c>
      <c r="I4390" s="94" t="str">
        <f t="shared" ref="I4390:J4390" si="4391">if(G4390 = "", , -G4390)</f>
        <v/>
      </c>
      <c r="J4390" s="94" t="str">
        <f t="shared" si="4391"/>
        <v/>
      </c>
      <c r="K4390" s="100"/>
      <c r="M4390" s="100"/>
      <c r="N4390" s="100"/>
      <c r="O4390" s="100"/>
      <c r="P4390" s="100"/>
    </row>
    <row r="4391">
      <c r="A4391" s="107">
        <v>1628422.0</v>
      </c>
      <c r="B4391" s="108" t="s">
        <v>243</v>
      </c>
      <c r="C4391" s="108" t="s">
        <v>1047</v>
      </c>
      <c r="D4391" s="112" t="s">
        <v>177</v>
      </c>
      <c r="E4391" s="112">
        <v>906.2</v>
      </c>
      <c r="F4391" s="111" t="str">
        <f>DataPull!D4391</f>
        <v/>
      </c>
      <c r="G4391" s="94" t="str">
        <f t="shared" si="2"/>
        <v/>
      </c>
      <c r="H4391" s="94" t="str">
        <f t="shared" si="3"/>
        <v/>
      </c>
      <c r="I4391" s="94" t="str">
        <f t="shared" ref="I4391:J4391" si="4392">if(G4391 = "", , -G4391)</f>
        <v/>
      </c>
      <c r="J4391" s="94" t="str">
        <f t="shared" si="4392"/>
        <v/>
      </c>
      <c r="K4391" s="100"/>
      <c r="M4391" s="100"/>
      <c r="N4391" s="100"/>
      <c r="O4391" s="100"/>
      <c r="P4391" s="100"/>
    </row>
    <row r="4392">
      <c r="A4392" s="107">
        <v>1628422.0</v>
      </c>
      <c r="B4392" s="108" t="s">
        <v>215</v>
      </c>
      <c r="C4392" s="108" t="s">
        <v>1047</v>
      </c>
      <c r="D4392" s="112" t="s">
        <v>181</v>
      </c>
      <c r="E4392" s="112">
        <v>20.6</v>
      </c>
      <c r="F4392" s="111" t="str">
        <f>DataPull!D4392</f>
        <v/>
      </c>
      <c r="G4392" s="94" t="str">
        <f t="shared" si="2"/>
        <v/>
      </c>
      <c r="H4392" s="94" t="str">
        <f t="shared" si="3"/>
        <v/>
      </c>
      <c r="I4392" s="94" t="str">
        <f t="shared" ref="I4392:J4392" si="4393">if(G4392 = "", , -G4392)</f>
        <v/>
      </c>
      <c r="J4392" s="94" t="str">
        <f t="shared" si="4393"/>
        <v/>
      </c>
      <c r="K4392" s="100"/>
      <c r="M4392" s="100"/>
      <c r="N4392" s="100"/>
      <c r="O4392" s="100"/>
      <c r="P4392" s="100"/>
    </row>
    <row r="4393">
      <c r="A4393" s="107">
        <v>1628424.0</v>
      </c>
      <c r="B4393" s="108" t="s">
        <v>191</v>
      </c>
      <c r="C4393" s="108" t="s">
        <v>1048</v>
      </c>
      <c r="D4393" s="112" t="s">
        <v>176</v>
      </c>
      <c r="E4393" s="112">
        <v>643.2</v>
      </c>
      <c r="F4393" s="111" t="str">
        <f>DataPull!D4393</f>
        <v/>
      </c>
      <c r="G4393" s="94" t="str">
        <f t="shared" si="2"/>
        <v/>
      </c>
      <c r="H4393" s="94" t="str">
        <f t="shared" si="3"/>
        <v/>
      </c>
      <c r="I4393" s="94" t="str">
        <f t="shared" ref="I4393:J4393" si="4394">if(G4393 = "", , -G4393)</f>
        <v/>
      </c>
      <c r="J4393" s="94" t="str">
        <f t="shared" si="4394"/>
        <v/>
      </c>
      <c r="K4393" s="100"/>
      <c r="L4393" s="100"/>
      <c r="N4393" s="100"/>
      <c r="O4393" s="100"/>
      <c r="P4393" s="100"/>
    </row>
    <row r="4394">
      <c r="A4394" s="107">
        <v>1628424.0</v>
      </c>
      <c r="B4394" s="108" t="s">
        <v>192</v>
      </c>
      <c r="C4394" s="108" t="s">
        <v>1048</v>
      </c>
      <c r="D4394" s="112" t="s">
        <v>181</v>
      </c>
      <c r="E4394" s="112">
        <v>1.8</v>
      </c>
      <c r="F4394" s="111" t="str">
        <f>DataPull!D4394</f>
        <v/>
      </c>
      <c r="G4394" s="94" t="str">
        <f t="shared" si="2"/>
        <v/>
      </c>
      <c r="H4394" s="94" t="str">
        <f t="shared" si="3"/>
        <v/>
      </c>
      <c r="I4394" s="94" t="str">
        <f t="shared" ref="I4394:J4394" si="4395">if(G4394 = "", , -G4394)</f>
        <v/>
      </c>
      <c r="J4394" s="94" t="str">
        <f t="shared" si="4395"/>
        <v/>
      </c>
      <c r="K4394" s="100"/>
      <c r="M4394" s="100"/>
      <c r="N4394" s="100"/>
      <c r="O4394" s="100"/>
      <c r="P4394" s="100"/>
    </row>
    <row r="4395">
      <c r="A4395" s="107">
        <v>1628424.0</v>
      </c>
      <c r="B4395" s="108" t="s">
        <v>244</v>
      </c>
      <c r="C4395" s="108" t="s">
        <v>1048</v>
      </c>
      <c r="D4395" s="112" t="s">
        <v>181</v>
      </c>
      <c r="E4395" s="112">
        <v>28.0</v>
      </c>
      <c r="F4395" s="111" t="str">
        <f>DataPull!D4395</f>
        <v/>
      </c>
      <c r="G4395" s="94" t="str">
        <f t="shared" si="2"/>
        <v/>
      </c>
      <c r="H4395" s="94" t="str">
        <f t="shared" si="3"/>
        <v/>
      </c>
      <c r="I4395" s="94" t="str">
        <f t="shared" ref="I4395:J4395" si="4396">if(G4395 = "", , -G4395)</f>
        <v/>
      </c>
      <c r="J4395" s="94" t="str">
        <f t="shared" si="4396"/>
        <v/>
      </c>
      <c r="K4395" s="100"/>
      <c r="M4395" s="100"/>
      <c r="N4395" s="100"/>
      <c r="O4395" s="100"/>
      <c r="P4395" s="100"/>
    </row>
    <row r="4396">
      <c r="A4396" s="107">
        <v>1628425.0</v>
      </c>
      <c r="B4396" s="108" t="s">
        <v>191</v>
      </c>
      <c r="C4396" s="108" t="s">
        <v>1049</v>
      </c>
      <c r="D4396" s="112" t="s">
        <v>177</v>
      </c>
      <c r="E4396" s="112">
        <v>777.6</v>
      </c>
      <c r="F4396" s="111" t="str">
        <f>DataPull!D4396</f>
        <v/>
      </c>
      <c r="G4396" s="94" t="str">
        <f t="shared" si="2"/>
        <v/>
      </c>
      <c r="H4396" s="94" t="str">
        <f t="shared" si="3"/>
        <v/>
      </c>
      <c r="I4396" s="94" t="str">
        <f t="shared" ref="I4396:J4396" si="4397">if(G4396 = "", , -G4396)</f>
        <v/>
      </c>
      <c r="J4396" s="94" t="str">
        <f t="shared" si="4397"/>
        <v/>
      </c>
      <c r="K4396" s="100"/>
      <c r="M4396" s="100"/>
      <c r="N4396" s="100"/>
      <c r="O4396" s="100"/>
      <c r="P4396" s="100"/>
    </row>
    <row r="4397">
      <c r="A4397" s="107">
        <v>1628425.0</v>
      </c>
      <c r="B4397" s="108" t="s">
        <v>192</v>
      </c>
      <c r="C4397" s="108" t="s">
        <v>1049</v>
      </c>
      <c r="D4397" s="112" t="s">
        <v>177</v>
      </c>
      <c r="E4397" s="112">
        <v>1032.4</v>
      </c>
      <c r="F4397" s="111" t="str">
        <f>DataPull!D4397</f>
        <v/>
      </c>
      <c r="G4397" s="94" t="str">
        <f t="shared" si="2"/>
        <v/>
      </c>
      <c r="H4397" s="94" t="str">
        <f t="shared" si="3"/>
        <v/>
      </c>
      <c r="I4397" s="94" t="str">
        <f t="shared" ref="I4397:J4397" si="4398">if(G4397 = "", , -G4397)</f>
        <v/>
      </c>
      <c r="J4397" s="94" t="str">
        <f t="shared" si="4398"/>
        <v/>
      </c>
      <c r="K4397" s="100"/>
      <c r="L4397" s="100"/>
      <c r="M4397" s="100"/>
      <c r="N4397" s="100"/>
      <c r="O4397" s="100"/>
      <c r="P4397" s="100"/>
    </row>
    <row r="4398">
      <c r="A4398" s="107">
        <v>1628425.0</v>
      </c>
      <c r="B4398" s="108" t="s">
        <v>193</v>
      </c>
      <c r="C4398" s="108" t="s">
        <v>1049</v>
      </c>
      <c r="D4398" s="112" t="s">
        <v>177</v>
      </c>
      <c r="E4398" s="112">
        <v>764.4</v>
      </c>
      <c r="F4398" s="111" t="str">
        <f>DataPull!D4398</f>
        <v/>
      </c>
      <c r="G4398" s="94" t="str">
        <f t="shared" si="2"/>
        <v/>
      </c>
      <c r="H4398" s="94" t="str">
        <f t="shared" si="3"/>
        <v/>
      </c>
      <c r="I4398" s="94" t="str">
        <f t="shared" ref="I4398:J4398" si="4399">if(G4398 = "", , -G4398)</f>
        <v/>
      </c>
      <c r="J4398" s="94" t="str">
        <f t="shared" si="4399"/>
        <v/>
      </c>
      <c r="K4398" s="100"/>
      <c r="L4398" s="100"/>
      <c r="N4398" s="100"/>
      <c r="O4398" s="100"/>
      <c r="P4398" s="100"/>
    </row>
    <row r="4399">
      <c r="A4399" s="107">
        <v>1628425.0</v>
      </c>
      <c r="B4399" s="108" t="s">
        <v>243</v>
      </c>
      <c r="C4399" s="108" t="s">
        <v>1049</v>
      </c>
      <c r="D4399" s="112" t="s">
        <v>176</v>
      </c>
      <c r="E4399" s="112">
        <v>1229.1</v>
      </c>
      <c r="F4399" s="111" t="str">
        <f>DataPull!D4399</f>
        <v/>
      </c>
      <c r="G4399" s="94" t="str">
        <f t="shared" si="2"/>
        <v/>
      </c>
      <c r="H4399" s="94" t="str">
        <f t="shared" si="3"/>
        <v/>
      </c>
      <c r="I4399" s="94" t="str">
        <f t="shared" ref="I4399:J4399" si="4400">if(G4399 = "", , -G4399)</f>
        <v/>
      </c>
      <c r="J4399" s="94" t="str">
        <f t="shared" si="4400"/>
        <v/>
      </c>
      <c r="K4399" s="100"/>
      <c r="M4399" s="100"/>
      <c r="N4399" s="100"/>
      <c r="O4399" s="100"/>
      <c r="P4399" s="100"/>
    </row>
    <row r="4400">
      <c r="A4400" s="107">
        <v>1628425.0</v>
      </c>
      <c r="B4400" s="108" t="s">
        <v>215</v>
      </c>
      <c r="C4400" s="108" t="s">
        <v>1049</v>
      </c>
      <c r="D4400" s="112" t="s">
        <v>177</v>
      </c>
      <c r="E4400" s="112">
        <v>627.2</v>
      </c>
      <c r="F4400" s="111" t="str">
        <f>DataPull!D4400</f>
        <v/>
      </c>
      <c r="G4400" s="94" t="str">
        <f t="shared" si="2"/>
        <v/>
      </c>
      <c r="H4400" s="94" t="str">
        <f t="shared" si="3"/>
        <v/>
      </c>
      <c r="I4400" s="94" t="str">
        <f t="shared" ref="I4400:J4400" si="4401">if(G4400 = "", , -G4400)</f>
        <v/>
      </c>
      <c r="J4400" s="94" t="str">
        <f t="shared" si="4401"/>
        <v/>
      </c>
      <c r="K4400" s="100"/>
      <c r="L4400" s="100"/>
      <c r="N4400" s="100"/>
      <c r="O4400" s="100"/>
      <c r="P4400" s="100"/>
    </row>
    <row r="4401">
      <c r="A4401" s="107">
        <v>1628425.0</v>
      </c>
      <c r="B4401" s="108" t="s">
        <v>244</v>
      </c>
      <c r="C4401" s="108" t="s">
        <v>1049</v>
      </c>
      <c r="D4401" s="112" t="s">
        <v>181</v>
      </c>
      <c r="E4401" s="112">
        <v>24.4</v>
      </c>
      <c r="F4401" s="111" t="str">
        <f>DataPull!D4401</f>
        <v/>
      </c>
      <c r="G4401" s="94" t="str">
        <f t="shared" si="2"/>
        <v/>
      </c>
      <c r="H4401" s="94" t="str">
        <f t="shared" si="3"/>
        <v/>
      </c>
      <c r="I4401" s="94" t="str">
        <f t="shared" ref="I4401:J4401" si="4402">if(G4401 = "", , -G4401)</f>
        <v/>
      </c>
      <c r="J4401" s="94" t="str">
        <f t="shared" si="4402"/>
        <v/>
      </c>
      <c r="K4401" s="100"/>
      <c r="L4401" s="100"/>
      <c r="N4401" s="100"/>
      <c r="O4401" s="100"/>
      <c r="P4401" s="100"/>
    </row>
    <row r="4402">
      <c r="A4402" s="107">
        <v>1628426.0</v>
      </c>
      <c r="B4402" s="108" t="s">
        <v>245</v>
      </c>
      <c r="C4402" s="108" t="s">
        <v>1050</v>
      </c>
      <c r="D4402" s="112" t="s">
        <v>177</v>
      </c>
      <c r="E4402" s="112">
        <v>512.4</v>
      </c>
      <c r="F4402" s="111" t="str">
        <f>DataPull!D4402</f>
        <v/>
      </c>
      <c r="G4402" s="94" t="str">
        <f t="shared" si="2"/>
        <v/>
      </c>
      <c r="H4402" s="94" t="str">
        <f t="shared" si="3"/>
        <v/>
      </c>
      <c r="I4402" s="94" t="str">
        <f t="shared" ref="I4402:J4402" si="4403">if(G4402 = "", , -G4402)</f>
        <v/>
      </c>
      <c r="J4402" s="94" t="str">
        <f t="shared" si="4403"/>
        <v/>
      </c>
      <c r="K4402" s="100"/>
      <c r="M4402" s="100"/>
      <c r="N4402" s="100"/>
      <c r="O4402" s="100"/>
      <c r="P4402" s="100"/>
    </row>
    <row r="4403">
      <c r="A4403" s="107">
        <v>1628427.0</v>
      </c>
      <c r="B4403" s="108" t="s">
        <v>193</v>
      </c>
      <c r="C4403" s="108" t="s">
        <v>1051</v>
      </c>
      <c r="D4403" s="112" t="s">
        <v>187</v>
      </c>
      <c r="E4403" s="112">
        <v>44.8</v>
      </c>
      <c r="F4403" s="111" t="str">
        <f>DataPull!D4403</f>
        <v/>
      </c>
      <c r="G4403" s="94" t="str">
        <f t="shared" si="2"/>
        <v/>
      </c>
      <c r="H4403" s="94" t="str">
        <f t="shared" si="3"/>
        <v/>
      </c>
      <c r="I4403" s="94" t="str">
        <f t="shared" ref="I4403:J4403" si="4404">if(G4403 = "", , -G4403)</f>
        <v/>
      </c>
      <c r="J4403" s="94" t="str">
        <f t="shared" si="4404"/>
        <v/>
      </c>
      <c r="K4403" s="100"/>
      <c r="M4403" s="100"/>
      <c r="N4403" s="100"/>
      <c r="O4403" s="100"/>
      <c r="P4403" s="100"/>
    </row>
    <row r="4404">
      <c r="A4404" s="107">
        <v>1628427.0</v>
      </c>
      <c r="B4404" s="108" t="s">
        <v>243</v>
      </c>
      <c r="C4404" s="108" t="s">
        <v>1051</v>
      </c>
      <c r="D4404" s="112" t="s">
        <v>187</v>
      </c>
      <c r="E4404" s="112">
        <v>282.9</v>
      </c>
      <c r="F4404" s="111" t="str">
        <f>DataPull!D4404</f>
        <v/>
      </c>
      <c r="G4404" s="94" t="str">
        <f t="shared" si="2"/>
        <v/>
      </c>
      <c r="H4404" s="94" t="str">
        <f t="shared" si="3"/>
        <v/>
      </c>
      <c r="I4404" s="94" t="str">
        <f t="shared" ref="I4404:J4404" si="4405">if(G4404 = "", , -G4404)</f>
        <v/>
      </c>
      <c r="J4404" s="94" t="str">
        <f t="shared" si="4405"/>
        <v/>
      </c>
      <c r="K4404" s="100"/>
      <c r="M4404" s="100"/>
      <c r="N4404" s="100"/>
      <c r="O4404" s="100"/>
      <c r="P4404" s="100"/>
    </row>
    <row r="4405">
      <c r="A4405" s="107">
        <v>1628427.0</v>
      </c>
      <c r="B4405" s="108" t="s">
        <v>215</v>
      </c>
      <c r="C4405" s="108" t="s">
        <v>1051</v>
      </c>
      <c r="D4405" s="112" t="s">
        <v>187</v>
      </c>
      <c r="E4405" s="112">
        <v>177.0</v>
      </c>
      <c r="F4405" s="111" t="str">
        <f>DataPull!D4405</f>
        <v/>
      </c>
      <c r="G4405" s="94" t="str">
        <f t="shared" si="2"/>
        <v/>
      </c>
      <c r="H4405" s="94" t="str">
        <f t="shared" si="3"/>
        <v/>
      </c>
      <c r="I4405" s="94" t="str">
        <f t="shared" ref="I4405:J4405" si="4406">if(G4405 = "", , -G4405)</f>
        <v/>
      </c>
      <c r="J4405" s="94" t="str">
        <f t="shared" si="4406"/>
        <v/>
      </c>
      <c r="K4405" s="100"/>
      <c r="M4405" s="100"/>
      <c r="N4405" s="100"/>
      <c r="O4405" s="100"/>
      <c r="P4405" s="100"/>
    </row>
    <row r="4406">
      <c r="A4406" s="107">
        <v>1628427.0</v>
      </c>
      <c r="B4406" s="108" t="s">
        <v>244</v>
      </c>
      <c r="C4406" s="108" t="s">
        <v>1051</v>
      </c>
      <c r="D4406" s="112" t="s">
        <v>187</v>
      </c>
      <c r="E4406" s="112">
        <v>888.0</v>
      </c>
      <c r="F4406" s="111" t="str">
        <f>DataPull!D4406</f>
        <v/>
      </c>
      <c r="G4406" s="94" t="str">
        <f t="shared" si="2"/>
        <v/>
      </c>
      <c r="H4406" s="94" t="str">
        <f t="shared" si="3"/>
        <v/>
      </c>
      <c r="I4406" s="94" t="str">
        <f t="shared" ref="I4406:J4406" si="4407">if(G4406 = "", , -G4406)</f>
        <v/>
      </c>
      <c r="J4406" s="94" t="str">
        <f t="shared" si="4407"/>
        <v/>
      </c>
      <c r="K4406" s="100"/>
      <c r="N4406" s="100"/>
      <c r="O4406" s="100"/>
      <c r="P4406" s="100"/>
    </row>
    <row r="4407">
      <c r="A4407" s="107">
        <v>1628427.0</v>
      </c>
      <c r="B4407" s="108" t="s">
        <v>246</v>
      </c>
      <c r="C4407" s="108" t="s">
        <v>1051</v>
      </c>
      <c r="D4407" s="112" t="s">
        <v>187</v>
      </c>
      <c r="E4407" s="112">
        <v>135.2</v>
      </c>
      <c r="F4407" s="111" t="str">
        <f>DataPull!D4407</f>
        <v/>
      </c>
      <c r="G4407" s="94" t="str">
        <f t="shared" si="2"/>
        <v/>
      </c>
      <c r="H4407" s="94" t="str">
        <f t="shared" si="3"/>
        <v/>
      </c>
      <c r="I4407" s="94" t="str">
        <f t="shared" ref="I4407:J4407" si="4408">if(G4407 = "", , -G4407)</f>
        <v/>
      </c>
      <c r="J4407" s="94" t="str">
        <f t="shared" si="4408"/>
        <v/>
      </c>
      <c r="K4407" s="100"/>
      <c r="M4407" s="100"/>
      <c r="N4407" s="100"/>
      <c r="O4407" s="100"/>
      <c r="P4407" s="100"/>
    </row>
    <row r="4408">
      <c r="A4408" s="107">
        <v>1628429.0</v>
      </c>
      <c r="B4408" s="108" t="s">
        <v>191</v>
      </c>
      <c r="C4408" s="108" t="s">
        <v>1052</v>
      </c>
      <c r="D4408" s="112" t="s">
        <v>187</v>
      </c>
      <c r="E4408" s="112">
        <v>37.7</v>
      </c>
      <c r="F4408" s="111" t="str">
        <f>DataPull!D4408</f>
        <v/>
      </c>
      <c r="G4408" s="94" t="str">
        <f t="shared" si="2"/>
        <v/>
      </c>
      <c r="H4408" s="94" t="str">
        <f t="shared" si="3"/>
        <v/>
      </c>
      <c r="I4408" s="94" t="str">
        <f t="shared" ref="I4408:J4408" si="4409">if(G4408 = "", , -G4408)</f>
        <v/>
      </c>
      <c r="J4408" s="94" t="str">
        <f t="shared" si="4409"/>
        <v/>
      </c>
      <c r="K4408" s="100"/>
      <c r="L4408" s="100"/>
      <c r="N4408" s="100"/>
      <c r="O4408" s="100"/>
      <c r="P4408" s="100"/>
    </row>
    <row r="4409">
      <c r="A4409" s="107">
        <v>1628430.0</v>
      </c>
      <c r="B4409" s="108" t="s">
        <v>193</v>
      </c>
      <c r="C4409" s="108" t="s">
        <v>1053</v>
      </c>
      <c r="D4409" s="112" t="s">
        <v>187</v>
      </c>
      <c r="E4409" s="112">
        <v>50.0</v>
      </c>
      <c r="F4409" s="111" t="str">
        <f>DataPull!D4409</f>
        <v/>
      </c>
      <c r="G4409" s="94" t="str">
        <f t="shared" si="2"/>
        <v/>
      </c>
      <c r="H4409" s="94" t="str">
        <f t="shared" si="3"/>
        <v/>
      </c>
      <c r="I4409" s="94" t="str">
        <f t="shared" ref="I4409:J4409" si="4410">if(G4409 = "", , -G4409)</f>
        <v/>
      </c>
      <c r="J4409" s="94" t="str">
        <f t="shared" si="4410"/>
        <v/>
      </c>
      <c r="K4409" s="100"/>
      <c r="M4409" s="100"/>
      <c r="N4409" s="100"/>
      <c r="O4409" s="100"/>
      <c r="P4409" s="100"/>
    </row>
    <row r="4410">
      <c r="A4410" s="107">
        <v>1628432.0</v>
      </c>
      <c r="B4410" s="108" t="s">
        <v>191</v>
      </c>
      <c r="C4410" s="108" t="s">
        <v>1054</v>
      </c>
      <c r="D4410" s="112" t="s">
        <v>187</v>
      </c>
      <c r="E4410" s="112">
        <v>241.5</v>
      </c>
      <c r="F4410" s="111" t="str">
        <f>DataPull!D4410</f>
        <v/>
      </c>
      <c r="G4410" s="94" t="str">
        <f t="shared" si="2"/>
        <v/>
      </c>
      <c r="H4410" s="94" t="str">
        <f t="shared" si="3"/>
        <v/>
      </c>
      <c r="I4410" s="94" t="str">
        <f t="shared" ref="I4410:J4410" si="4411">if(G4410 = "", , -G4410)</f>
        <v/>
      </c>
      <c r="J4410" s="94" t="str">
        <f t="shared" si="4411"/>
        <v/>
      </c>
      <c r="K4410" s="100"/>
      <c r="L4410" s="100"/>
      <c r="N4410" s="100"/>
      <c r="O4410" s="100"/>
      <c r="P4410" s="100"/>
    </row>
    <row r="4411">
      <c r="A4411" s="107">
        <v>1628432.0</v>
      </c>
      <c r="B4411" s="108" t="s">
        <v>192</v>
      </c>
      <c r="C4411" s="108" t="s">
        <v>1054</v>
      </c>
      <c r="D4411" s="112" t="s">
        <v>187</v>
      </c>
      <c r="E4411" s="112">
        <v>47.0</v>
      </c>
      <c r="F4411" s="111" t="str">
        <f>DataPull!D4411</f>
        <v/>
      </c>
      <c r="G4411" s="94" t="str">
        <f t="shared" si="2"/>
        <v/>
      </c>
      <c r="H4411" s="94" t="str">
        <f t="shared" si="3"/>
        <v/>
      </c>
      <c r="I4411" s="94" t="str">
        <f t="shared" ref="I4411:J4411" si="4412">if(G4411 = "", , -G4411)</f>
        <v/>
      </c>
      <c r="J4411" s="94" t="str">
        <f t="shared" si="4412"/>
        <v/>
      </c>
      <c r="K4411" s="100"/>
      <c r="M4411" s="100"/>
      <c r="N4411" s="100"/>
      <c r="O4411" s="100"/>
      <c r="P4411" s="100"/>
    </row>
    <row r="4412">
      <c r="A4412" s="107">
        <v>1628432.0</v>
      </c>
      <c r="B4412" s="108" t="s">
        <v>215</v>
      </c>
      <c r="C4412" s="108" t="s">
        <v>1054</v>
      </c>
      <c r="D4412" s="112" t="s">
        <v>177</v>
      </c>
      <c r="E4412" s="112">
        <v>667.2</v>
      </c>
      <c r="F4412" s="111" t="str">
        <f>DataPull!D4412</f>
        <v/>
      </c>
      <c r="G4412" s="94" t="str">
        <f t="shared" si="2"/>
        <v/>
      </c>
      <c r="H4412" s="94" t="str">
        <f t="shared" si="3"/>
        <v/>
      </c>
      <c r="I4412" s="94" t="str">
        <f t="shared" ref="I4412:J4412" si="4413">if(G4412 = "", , -G4412)</f>
        <v/>
      </c>
      <c r="J4412" s="94" t="str">
        <f t="shared" si="4413"/>
        <v/>
      </c>
      <c r="K4412" s="100"/>
      <c r="M4412" s="100"/>
      <c r="N4412" s="100"/>
      <c r="O4412" s="100"/>
      <c r="P4412" s="100"/>
    </row>
    <row r="4413">
      <c r="A4413" s="107">
        <v>1628432.0</v>
      </c>
      <c r="B4413" s="108" t="s">
        <v>244</v>
      </c>
      <c r="C4413" s="108" t="s">
        <v>1054</v>
      </c>
      <c r="D4413" s="112" t="s">
        <v>187</v>
      </c>
      <c r="E4413" s="112">
        <v>344.0</v>
      </c>
      <c r="F4413" s="111" t="str">
        <f>DataPull!D4413</f>
        <v/>
      </c>
      <c r="G4413" s="94" t="str">
        <f t="shared" si="2"/>
        <v/>
      </c>
      <c r="H4413" s="94" t="str">
        <f t="shared" si="3"/>
        <v/>
      </c>
      <c r="I4413" s="94" t="str">
        <f t="shared" ref="I4413:J4413" si="4414">if(G4413 = "", , -G4413)</f>
        <v/>
      </c>
      <c r="J4413" s="94" t="str">
        <f t="shared" si="4414"/>
        <v/>
      </c>
      <c r="K4413" s="100"/>
      <c r="M4413" s="100"/>
      <c r="N4413" s="100"/>
      <c r="O4413" s="100"/>
      <c r="P4413" s="100"/>
    </row>
    <row r="4414">
      <c r="A4414" s="107">
        <v>1628435.0</v>
      </c>
      <c r="B4414" s="108" t="s">
        <v>244</v>
      </c>
      <c r="C4414" s="108" t="s">
        <v>1055</v>
      </c>
      <c r="D4414" s="112" t="s">
        <v>181</v>
      </c>
      <c r="E4414" s="112">
        <v>20.8</v>
      </c>
      <c r="F4414" s="111" t="str">
        <f>DataPull!D4414</f>
        <v/>
      </c>
      <c r="G4414" s="94" t="str">
        <f t="shared" si="2"/>
        <v/>
      </c>
      <c r="H4414" s="94" t="str">
        <f t="shared" si="3"/>
        <v/>
      </c>
      <c r="I4414" s="94" t="str">
        <f t="shared" ref="I4414:J4414" si="4415">if(G4414 = "", , -G4414)</f>
        <v/>
      </c>
      <c r="J4414" s="94" t="str">
        <f t="shared" si="4415"/>
        <v/>
      </c>
      <c r="K4414" s="100"/>
      <c r="M4414" s="100"/>
      <c r="N4414" s="100"/>
      <c r="O4414" s="100"/>
      <c r="P4414" s="100"/>
    </row>
    <row r="4415">
      <c r="A4415" s="107">
        <v>1628436.0</v>
      </c>
      <c r="B4415" s="108" t="s">
        <v>191</v>
      </c>
      <c r="C4415" s="108" t="s">
        <v>1056</v>
      </c>
      <c r="D4415" s="112" t="s">
        <v>177</v>
      </c>
      <c r="E4415" s="112">
        <v>326.0</v>
      </c>
      <c r="F4415" s="111" t="str">
        <f>DataPull!D4415</f>
        <v/>
      </c>
      <c r="G4415" s="94" t="str">
        <f t="shared" si="2"/>
        <v/>
      </c>
      <c r="H4415" s="94" t="str">
        <f t="shared" si="3"/>
        <v/>
      </c>
      <c r="I4415" s="94" t="str">
        <f t="shared" ref="I4415:J4415" si="4416">if(G4415 = "", , -G4415)</f>
        <v/>
      </c>
      <c r="J4415" s="94" t="str">
        <f t="shared" si="4416"/>
        <v/>
      </c>
      <c r="K4415" s="100"/>
      <c r="M4415" s="100"/>
      <c r="N4415" s="100"/>
      <c r="O4415" s="100"/>
      <c r="P4415" s="100"/>
    </row>
    <row r="4416">
      <c r="A4416" s="107">
        <v>1628436.0</v>
      </c>
      <c r="B4416" s="108" t="s">
        <v>192</v>
      </c>
      <c r="C4416" s="108" t="s">
        <v>1056</v>
      </c>
      <c r="D4416" s="112" t="s">
        <v>177</v>
      </c>
      <c r="E4416" s="112">
        <v>782.0</v>
      </c>
      <c r="F4416" s="111" t="str">
        <f>DataPull!D4416</f>
        <v/>
      </c>
      <c r="G4416" s="94" t="str">
        <f t="shared" si="2"/>
        <v/>
      </c>
      <c r="H4416" s="94" t="str">
        <f t="shared" si="3"/>
        <v/>
      </c>
      <c r="I4416" s="94" t="str">
        <f t="shared" ref="I4416:J4416" si="4417">if(G4416 = "", , -G4416)</f>
        <v/>
      </c>
      <c r="J4416" s="94" t="str">
        <f t="shared" si="4417"/>
        <v/>
      </c>
      <c r="K4416" s="100"/>
      <c r="M4416" s="100"/>
      <c r="N4416" s="100"/>
      <c r="O4416" s="100"/>
      <c r="P4416" s="100"/>
    </row>
    <row r="4417">
      <c r="A4417" s="107">
        <v>1628436.0</v>
      </c>
      <c r="B4417" s="108" t="s">
        <v>193</v>
      </c>
      <c r="C4417" s="108" t="s">
        <v>1056</v>
      </c>
      <c r="D4417" s="112" t="s">
        <v>177</v>
      </c>
      <c r="E4417" s="112">
        <v>558.0</v>
      </c>
      <c r="F4417" s="111" t="str">
        <f>DataPull!D4417</f>
        <v/>
      </c>
      <c r="G4417" s="94" t="str">
        <f t="shared" si="2"/>
        <v/>
      </c>
      <c r="H4417" s="94" t="str">
        <f t="shared" si="3"/>
        <v/>
      </c>
      <c r="I4417" s="94" t="str">
        <f t="shared" ref="I4417:J4417" si="4418">if(G4417 = "", , -G4417)</f>
        <v/>
      </c>
      <c r="J4417" s="94" t="str">
        <f t="shared" si="4418"/>
        <v/>
      </c>
      <c r="K4417" s="100"/>
      <c r="M4417" s="100"/>
      <c r="N4417" s="100"/>
      <c r="O4417" s="100"/>
      <c r="P4417" s="100"/>
    </row>
    <row r="4418">
      <c r="A4418" s="107">
        <v>1628436.0</v>
      </c>
      <c r="B4418" s="108" t="s">
        <v>243</v>
      </c>
      <c r="C4418" s="108" t="s">
        <v>1056</v>
      </c>
      <c r="D4418" s="112" t="s">
        <v>187</v>
      </c>
      <c r="E4418" s="112">
        <v>347.2</v>
      </c>
      <c r="F4418" s="111" t="str">
        <f>DataPull!D4418</f>
        <v/>
      </c>
      <c r="G4418" s="94" t="str">
        <f t="shared" si="2"/>
        <v/>
      </c>
      <c r="H4418" s="94" t="str">
        <f t="shared" si="3"/>
        <v/>
      </c>
      <c r="I4418" s="94" t="str">
        <f t="shared" ref="I4418:J4418" si="4419">if(G4418 = "", , -G4418)</f>
        <v/>
      </c>
      <c r="J4418" s="94" t="str">
        <f t="shared" si="4419"/>
        <v/>
      </c>
      <c r="K4418" s="100"/>
      <c r="M4418" s="100"/>
      <c r="N4418" s="100"/>
      <c r="O4418" s="100"/>
      <c r="P4418" s="100"/>
    </row>
    <row r="4419">
      <c r="A4419" s="107">
        <v>1628436.0</v>
      </c>
      <c r="B4419" s="108" t="s">
        <v>215</v>
      </c>
      <c r="C4419" s="108" t="s">
        <v>1056</v>
      </c>
      <c r="D4419" s="112" t="s">
        <v>187</v>
      </c>
      <c r="E4419" s="112">
        <v>103.5</v>
      </c>
      <c r="F4419" s="111" t="str">
        <f>DataPull!D4419</f>
        <v/>
      </c>
      <c r="G4419" s="94" t="str">
        <f t="shared" si="2"/>
        <v/>
      </c>
      <c r="H4419" s="94" t="str">
        <f t="shared" si="3"/>
        <v/>
      </c>
      <c r="I4419" s="94" t="str">
        <f t="shared" ref="I4419:J4419" si="4420">if(G4419 = "", , -G4419)</f>
        <v/>
      </c>
      <c r="J4419" s="94" t="str">
        <f t="shared" si="4420"/>
        <v/>
      </c>
      <c r="K4419" s="100"/>
      <c r="M4419" s="100"/>
      <c r="N4419" s="100"/>
      <c r="O4419" s="100"/>
    </row>
    <row r="4420">
      <c r="A4420" s="107">
        <v>1628436.0</v>
      </c>
      <c r="B4420" s="108" t="s">
        <v>244</v>
      </c>
      <c r="C4420" s="108" t="s">
        <v>1056</v>
      </c>
      <c r="D4420" s="112" t="s">
        <v>177</v>
      </c>
      <c r="E4420" s="112">
        <v>807.3</v>
      </c>
      <c r="F4420" s="111" t="str">
        <f>DataPull!D4420</f>
        <v/>
      </c>
      <c r="G4420" s="94" t="str">
        <f t="shared" si="2"/>
        <v/>
      </c>
      <c r="H4420" s="94" t="str">
        <f t="shared" si="3"/>
        <v/>
      </c>
      <c r="I4420" s="94" t="str">
        <f t="shared" ref="I4420:J4420" si="4421">if(G4420 = "", , -G4420)</f>
        <v/>
      </c>
      <c r="J4420" s="94" t="str">
        <f t="shared" si="4421"/>
        <v/>
      </c>
      <c r="K4420" s="100"/>
      <c r="M4420" s="100"/>
      <c r="N4420" s="100"/>
      <c r="O4420" s="100"/>
      <c r="P4420" s="100"/>
    </row>
    <row r="4421">
      <c r="A4421" s="107">
        <v>1628436.0</v>
      </c>
      <c r="B4421" s="108" t="s">
        <v>245</v>
      </c>
      <c r="C4421" s="108" t="s">
        <v>1056</v>
      </c>
      <c r="D4421" s="112" t="s">
        <v>177</v>
      </c>
      <c r="E4421" s="112">
        <v>982.8</v>
      </c>
      <c r="F4421" s="111" t="str">
        <f>DataPull!D4421</f>
        <v/>
      </c>
      <c r="G4421" s="94" t="str">
        <f t="shared" si="2"/>
        <v/>
      </c>
      <c r="H4421" s="94" t="str">
        <f t="shared" si="3"/>
        <v/>
      </c>
      <c r="I4421" s="94" t="str">
        <f t="shared" ref="I4421:J4421" si="4422">if(G4421 = "", , -G4421)</f>
        <v/>
      </c>
      <c r="J4421" s="94" t="str">
        <f t="shared" si="4422"/>
        <v/>
      </c>
      <c r="K4421" s="100"/>
      <c r="L4421" s="100"/>
      <c r="M4421" s="100"/>
      <c r="N4421" s="100"/>
      <c r="O4421" s="100"/>
      <c r="P4421" s="100"/>
    </row>
    <row r="4422">
      <c r="A4422" s="107">
        <v>1628436.0</v>
      </c>
      <c r="B4422" s="108" t="s">
        <v>246</v>
      </c>
      <c r="C4422" s="108" t="s">
        <v>1056</v>
      </c>
      <c r="D4422" s="112" t="s">
        <v>177</v>
      </c>
      <c r="E4422" s="112">
        <v>1357.8</v>
      </c>
      <c r="F4422" s="111" t="str">
        <f>DataPull!D4422</f>
        <v/>
      </c>
      <c r="G4422" s="94" t="str">
        <f t="shared" si="2"/>
        <v/>
      </c>
      <c r="H4422" s="94" t="str">
        <f t="shared" si="3"/>
        <v/>
      </c>
      <c r="I4422" s="94" t="str">
        <f t="shared" ref="I4422:J4422" si="4423">if(G4422 = "", , -G4422)</f>
        <v/>
      </c>
      <c r="J4422" s="94" t="str">
        <f t="shared" si="4423"/>
        <v/>
      </c>
      <c r="K4422" s="100"/>
      <c r="M4422" s="100"/>
      <c r="N4422" s="100"/>
      <c r="O4422" s="100"/>
      <c r="P4422" s="100"/>
    </row>
    <row r="4423">
      <c r="A4423" s="114">
        <v>1628436.0</v>
      </c>
      <c r="B4423" s="113" t="s">
        <v>247</v>
      </c>
      <c r="C4423" s="113" t="s">
        <v>1056</v>
      </c>
      <c r="D4423" s="112" t="s">
        <v>176</v>
      </c>
      <c r="E4423" s="112">
        <v>1428.0</v>
      </c>
      <c r="F4423" s="111" t="str">
        <f>DataPull!D4423</f>
        <v/>
      </c>
      <c r="G4423" s="94" t="str">
        <f t="shared" si="2"/>
        <v/>
      </c>
      <c r="H4423" s="94" t="str">
        <f t="shared" si="3"/>
        <v/>
      </c>
      <c r="I4423" s="94" t="str">
        <f t="shared" ref="I4423:J4423" si="4424">if(G4423 = "", , -G4423)</f>
        <v/>
      </c>
      <c r="J4423" s="94" t="str">
        <f t="shared" si="4424"/>
        <v/>
      </c>
      <c r="K4423" s="100"/>
      <c r="L4423" s="100"/>
      <c r="M4423" s="100"/>
      <c r="N4423" s="100"/>
      <c r="O4423" s="100"/>
      <c r="P4423" s="100"/>
    </row>
    <row r="4424">
      <c r="A4424" s="107">
        <v>1628439.0</v>
      </c>
      <c r="B4424" s="108" t="s">
        <v>191</v>
      </c>
      <c r="C4424" s="108" t="s">
        <v>1057</v>
      </c>
      <c r="D4424" s="112" t="s">
        <v>187</v>
      </c>
      <c r="E4424" s="112">
        <v>239.4</v>
      </c>
      <c r="F4424" s="111" t="str">
        <f>DataPull!D4424</f>
        <v/>
      </c>
      <c r="G4424" s="94" t="str">
        <f t="shared" si="2"/>
        <v/>
      </c>
      <c r="H4424" s="94" t="str">
        <f t="shared" si="3"/>
        <v/>
      </c>
      <c r="I4424" s="94" t="str">
        <f t="shared" ref="I4424:J4424" si="4425">if(G4424 = "", , -G4424)</f>
        <v/>
      </c>
      <c r="J4424" s="94" t="str">
        <f t="shared" si="4425"/>
        <v/>
      </c>
      <c r="K4424" s="100"/>
      <c r="M4424" s="100"/>
      <c r="N4424" s="100"/>
      <c r="O4424" s="100"/>
      <c r="P4424" s="100"/>
    </row>
    <row r="4425">
      <c r="A4425" s="107">
        <v>1628439.0</v>
      </c>
      <c r="B4425" s="108" t="s">
        <v>192</v>
      </c>
      <c r="C4425" s="108" t="s">
        <v>1057</v>
      </c>
      <c r="D4425" s="112" t="s">
        <v>181</v>
      </c>
      <c r="E4425" s="112">
        <v>32.4</v>
      </c>
      <c r="F4425" s="111" t="str">
        <f>DataPull!D4425</f>
        <v/>
      </c>
      <c r="G4425" s="94" t="str">
        <f t="shared" si="2"/>
        <v/>
      </c>
      <c r="H4425" s="94" t="str">
        <f t="shared" si="3"/>
        <v/>
      </c>
      <c r="I4425" s="94" t="str">
        <f t="shared" ref="I4425:J4425" si="4426">if(G4425 = "", , -G4425)</f>
        <v/>
      </c>
      <c r="J4425" s="94" t="str">
        <f t="shared" si="4426"/>
        <v/>
      </c>
      <c r="K4425" s="100"/>
      <c r="M4425" s="100"/>
      <c r="N4425" s="100"/>
      <c r="O4425" s="100"/>
      <c r="P4425" s="100"/>
    </row>
    <row r="4426">
      <c r="A4426" s="107">
        <v>1628443.0</v>
      </c>
      <c r="B4426" s="108" t="s">
        <v>191</v>
      </c>
      <c r="C4426" s="108" t="s">
        <v>1058</v>
      </c>
      <c r="D4426" s="112" t="s">
        <v>187</v>
      </c>
      <c r="E4426" s="112">
        <v>108.0</v>
      </c>
      <c r="F4426" s="111" t="str">
        <f>DataPull!D4426</f>
        <v/>
      </c>
      <c r="G4426" s="94" t="str">
        <f t="shared" si="2"/>
        <v/>
      </c>
      <c r="H4426" s="94" t="str">
        <f t="shared" si="3"/>
        <v/>
      </c>
      <c r="I4426" s="94" t="str">
        <f t="shared" ref="I4426:J4426" si="4427">if(G4426 = "", , -G4426)</f>
        <v/>
      </c>
      <c r="J4426" s="94" t="str">
        <f t="shared" si="4427"/>
        <v/>
      </c>
      <c r="K4426" s="100"/>
      <c r="M4426" s="100"/>
      <c r="N4426" s="100"/>
      <c r="O4426" s="100"/>
    </row>
    <row r="4427">
      <c r="A4427" s="107">
        <v>1628443.0</v>
      </c>
      <c r="B4427" s="108" t="s">
        <v>192</v>
      </c>
      <c r="C4427" s="108" t="s">
        <v>1058</v>
      </c>
      <c r="D4427" s="112" t="s">
        <v>176</v>
      </c>
      <c r="E4427" s="112">
        <v>416.1</v>
      </c>
      <c r="F4427" s="111" t="str">
        <f>DataPull!D4427</f>
        <v/>
      </c>
      <c r="G4427" s="94" t="str">
        <f t="shared" si="2"/>
        <v/>
      </c>
      <c r="H4427" s="94" t="str">
        <f t="shared" si="3"/>
        <v/>
      </c>
      <c r="I4427" s="94" t="str">
        <f t="shared" ref="I4427:J4427" si="4428">if(G4427 = "", , -G4427)</f>
        <v/>
      </c>
      <c r="J4427" s="94" t="str">
        <f t="shared" si="4428"/>
        <v/>
      </c>
      <c r="K4427" s="100"/>
      <c r="M4427" s="100"/>
      <c r="N4427" s="100"/>
      <c r="O4427" s="100"/>
      <c r="P4427" s="100"/>
    </row>
    <row r="4428">
      <c r="A4428" s="107">
        <v>1628443.0</v>
      </c>
      <c r="B4428" s="108" t="s">
        <v>193</v>
      </c>
      <c r="C4428" s="108" t="s">
        <v>1058</v>
      </c>
      <c r="D4428" s="112" t="s">
        <v>187</v>
      </c>
      <c r="E4428" s="112">
        <v>117.0</v>
      </c>
      <c r="F4428" s="111" t="str">
        <f>DataPull!D4428</f>
        <v/>
      </c>
      <c r="G4428" s="94" t="str">
        <f t="shared" si="2"/>
        <v/>
      </c>
      <c r="H4428" s="94" t="str">
        <f t="shared" si="3"/>
        <v/>
      </c>
      <c r="I4428" s="94" t="str">
        <f t="shared" ref="I4428:J4428" si="4429">if(G4428 = "", , -G4428)</f>
        <v/>
      </c>
      <c r="J4428" s="94" t="str">
        <f t="shared" si="4429"/>
        <v/>
      </c>
      <c r="K4428" s="100"/>
      <c r="L4428" s="100"/>
      <c r="M4428" s="100"/>
      <c r="N4428" s="100"/>
      <c r="O4428" s="100"/>
      <c r="P4428" s="100"/>
    </row>
    <row r="4429">
      <c r="A4429" s="107">
        <v>1628444.0</v>
      </c>
      <c r="B4429" s="108" t="s">
        <v>191</v>
      </c>
      <c r="C4429" s="108" t="s">
        <v>1059</v>
      </c>
      <c r="D4429" s="112" t="s">
        <v>187</v>
      </c>
      <c r="E4429" s="112">
        <v>114.4</v>
      </c>
      <c r="F4429" s="111" t="str">
        <f>DataPull!D4429</f>
        <v/>
      </c>
      <c r="G4429" s="94" t="str">
        <f t="shared" si="2"/>
        <v/>
      </c>
      <c r="H4429" s="94" t="str">
        <f t="shared" si="3"/>
        <v/>
      </c>
      <c r="I4429" s="94" t="str">
        <f t="shared" ref="I4429:J4429" si="4430">if(G4429 = "", , -G4429)</f>
        <v/>
      </c>
      <c r="J4429" s="94" t="str">
        <f t="shared" si="4430"/>
        <v/>
      </c>
      <c r="K4429" s="100"/>
      <c r="M4429" s="100"/>
      <c r="N4429" s="100"/>
      <c r="O4429" s="100"/>
      <c r="P4429" s="100"/>
    </row>
    <row r="4430">
      <c r="A4430" s="107">
        <v>1628449.0</v>
      </c>
      <c r="B4430" s="108" t="s">
        <v>191</v>
      </c>
      <c r="C4430" s="108" t="s">
        <v>1060</v>
      </c>
      <c r="D4430" s="112" t="s">
        <v>181</v>
      </c>
      <c r="E4430" s="112">
        <v>1.3</v>
      </c>
      <c r="F4430" s="111" t="str">
        <f>DataPull!D4430</f>
        <v/>
      </c>
      <c r="G4430" s="94" t="str">
        <f t="shared" si="2"/>
        <v/>
      </c>
      <c r="H4430" s="94" t="str">
        <f t="shared" si="3"/>
        <v/>
      </c>
      <c r="I4430" s="94" t="str">
        <f t="shared" ref="I4430:J4430" si="4431">if(G4430 = "", , -G4430)</f>
        <v/>
      </c>
      <c r="J4430" s="94" t="str">
        <f t="shared" si="4431"/>
        <v/>
      </c>
      <c r="K4430" s="100"/>
      <c r="M4430" s="100"/>
      <c r="N4430" s="100"/>
      <c r="O4430" s="100"/>
      <c r="P4430" s="100"/>
    </row>
    <row r="4431">
      <c r="A4431" s="107">
        <v>1628449.0</v>
      </c>
      <c r="B4431" s="108" t="s">
        <v>192</v>
      </c>
      <c r="C4431" s="108" t="s">
        <v>1060</v>
      </c>
      <c r="D4431" s="112" t="s">
        <v>187</v>
      </c>
      <c r="E4431" s="112">
        <v>162.4</v>
      </c>
      <c r="F4431" s="111" t="str">
        <f>DataPull!D4431</f>
        <v/>
      </c>
      <c r="G4431" s="94" t="str">
        <f t="shared" si="2"/>
        <v/>
      </c>
      <c r="H4431" s="94" t="str">
        <f t="shared" si="3"/>
        <v/>
      </c>
      <c r="I4431" s="94" t="str">
        <f t="shared" ref="I4431:J4431" si="4432">if(G4431 = "", , -G4431)</f>
        <v/>
      </c>
      <c r="J4431" s="94" t="str">
        <f t="shared" si="4432"/>
        <v/>
      </c>
      <c r="K4431" s="100"/>
      <c r="M4431" s="100"/>
      <c r="N4431" s="100"/>
      <c r="O4431" s="100"/>
      <c r="P4431" s="100"/>
    </row>
    <row r="4432">
      <c r="A4432" s="107">
        <v>1628449.0</v>
      </c>
      <c r="B4432" s="108" t="s">
        <v>193</v>
      </c>
      <c r="C4432" s="108" t="s">
        <v>1060</v>
      </c>
      <c r="D4432" s="112" t="s">
        <v>187</v>
      </c>
      <c r="E4432" s="112">
        <v>818.4</v>
      </c>
      <c r="F4432" s="111" t="str">
        <f>DataPull!D4432</f>
        <v/>
      </c>
      <c r="G4432" s="94" t="str">
        <f t="shared" si="2"/>
        <v/>
      </c>
      <c r="H4432" s="94" t="str">
        <f t="shared" si="3"/>
        <v/>
      </c>
      <c r="I4432" s="94" t="str">
        <f t="shared" ref="I4432:J4432" si="4433">if(G4432 = "", , -G4432)</f>
        <v/>
      </c>
      <c r="J4432" s="94" t="str">
        <f t="shared" si="4433"/>
        <v/>
      </c>
      <c r="K4432" s="100"/>
      <c r="M4432" s="100"/>
      <c r="N4432" s="100"/>
      <c r="O4432" s="100"/>
      <c r="P4432" s="100"/>
    </row>
    <row r="4433">
      <c r="A4433" s="107">
        <v>1628449.0</v>
      </c>
      <c r="B4433" s="108" t="s">
        <v>243</v>
      </c>
      <c r="C4433" s="108" t="s">
        <v>1060</v>
      </c>
      <c r="D4433" s="112" t="s">
        <v>177</v>
      </c>
      <c r="E4433" s="112">
        <v>1452.0</v>
      </c>
      <c r="F4433" s="111" t="str">
        <f>DataPull!D4433</f>
        <v/>
      </c>
      <c r="G4433" s="94" t="str">
        <f t="shared" si="2"/>
        <v/>
      </c>
      <c r="H4433" s="94" t="str">
        <f t="shared" si="3"/>
        <v/>
      </c>
      <c r="I4433" s="94" t="str">
        <f t="shared" ref="I4433:J4433" si="4434">if(G4433 = "", , -G4433)</f>
        <v/>
      </c>
      <c r="J4433" s="94" t="str">
        <f t="shared" si="4434"/>
        <v/>
      </c>
      <c r="K4433" s="100"/>
      <c r="M4433" s="100"/>
      <c r="N4433" s="100"/>
      <c r="O4433" s="100"/>
      <c r="P4433" s="100"/>
    </row>
    <row r="4434">
      <c r="A4434" s="107">
        <v>1628449.0</v>
      </c>
      <c r="B4434" s="108" t="s">
        <v>215</v>
      </c>
      <c r="C4434" s="108" t="s">
        <v>1060</v>
      </c>
      <c r="D4434" s="112" t="s">
        <v>176</v>
      </c>
      <c r="E4434" s="112">
        <v>1688.0</v>
      </c>
      <c r="F4434" s="111" t="str">
        <f>DataPull!D4434</f>
        <v/>
      </c>
      <c r="G4434" s="94" t="str">
        <f t="shared" si="2"/>
        <v/>
      </c>
      <c r="H4434" s="94" t="str">
        <f t="shared" si="3"/>
        <v/>
      </c>
      <c r="I4434" s="94" t="str">
        <f t="shared" ref="I4434:J4434" si="4435">if(G4434 = "", , -G4434)</f>
        <v/>
      </c>
      <c r="J4434" s="94" t="str">
        <f t="shared" si="4435"/>
        <v/>
      </c>
      <c r="K4434" s="100"/>
      <c r="M4434" s="100"/>
      <c r="N4434" s="100"/>
      <c r="O4434" s="100"/>
      <c r="P4434" s="100"/>
    </row>
    <row r="4435">
      <c r="A4435" s="107">
        <v>1628449.0</v>
      </c>
      <c r="B4435" s="108" t="s">
        <v>244</v>
      </c>
      <c r="C4435" s="108" t="s">
        <v>1060</v>
      </c>
      <c r="D4435" s="112" t="s">
        <v>177</v>
      </c>
      <c r="E4435" s="112">
        <v>1520.0</v>
      </c>
      <c r="F4435" s="111" t="str">
        <f>DataPull!D4435</f>
        <v/>
      </c>
      <c r="G4435" s="94" t="str">
        <f t="shared" si="2"/>
        <v/>
      </c>
      <c r="H4435" s="94" t="str">
        <f t="shared" si="3"/>
        <v/>
      </c>
      <c r="I4435" s="94" t="str">
        <f t="shared" ref="I4435:J4435" si="4436">if(G4435 = "", , -G4435)</f>
        <v/>
      </c>
      <c r="J4435" s="94" t="str">
        <f t="shared" si="4436"/>
        <v/>
      </c>
      <c r="K4435" s="100"/>
      <c r="M4435" s="100"/>
      <c r="N4435" s="100"/>
      <c r="O4435" s="100"/>
      <c r="P4435" s="100"/>
    </row>
    <row r="4436">
      <c r="A4436" s="107">
        <v>1628449.0</v>
      </c>
      <c r="B4436" s="108" t="s">
        <v>245</v>
      </c>
      <c r="C4436" s="108" t="s">
        <v>1060</v>
      </c>
      <c r="D4436" s="112" t="s">
        <v>177</v>
      </c>
      <c r="E4436" s="112">
        <v>705.0</v>
      </c>
      <c r="F4436" s="111" t="str">
        <f>DataPull!D4436</f>
        <v/>
      </c>
      <c r="G4436" s="94" t="str">
        <f t="shared" si="2"/>
        <v/>
      </c>
      <c r="H4436" s="94" t="str">
        <f t="shared" si="3"/>
        <v/>
      </c>
      <c r="I4436" s="94" t="str">
        <f t="shared" ref="I4436:J4436" si="4437">if(G4436 = "", , -G4436)</f>
        <v/>
      </c>
      <c r="J4436" s="94" t="str">
        <f t="shared" si="4437"/>
        <v/>
      </c>
      <c r="K4436" s="100"/>
      <c r="M4436" s="100"/>
      <c r="N4436" s="100"/>
      <c r="O4436" s="100"/>
      <c r="P4436" s="100"/>
    </row>
    <row r="4437">
      <c r="A4437" s="107">
        <v>1628449.0</v>
      </c>
      <c r="B4437" s="108" t="s">
        <v>246</v>
      </c>
      <c r="C4437" s="108" t="s">
        <v>1060</v>
      </c>
      <c r="D4437" s="112" t="s">
        <v>177</v>
      </c>
      <c r="E4437" s="112">
        <v>860.0</v>
      </c>
      <c r="F4437" s="111" t="str">
        <f>DataPull!D4437</f>
        <v/>
      </c>
      <c r="G4437" s="94" t="str">
        <f t="shared" si="2"/>
        <v/>
      </c>
      <c r="H4437" s="94" t="str">
        <f t="shared" si="3"/>
        <v/>
      </c>
      <c r="I4437" s="94" t="str">
        <f t="shared" ref="I4437:J4437" si="4438">if(G4437 = "", , -G4437)</f>
        <v/>
      </c>
      <c r="J4437" s="94" t="str">
        <f t="shared" si="4438"/>
        <v/>
      </c>
      <c r="K4437" s="100"/>
      <c r="M4437" s="100"/>
      <c r="N4437" s="100"/>
      <c r="O4437" s="100"/>
      <c r="P4437" s="100"/>
    </row>
    <row r="4438">
      <c r="A4438" s="114">
        <v>1628449.0</v>
      </c>
      <c r="B4438" s="113" t="s">
        <v>247</v>
      </c>
      <c r="C4438" s="113" t="s">
        <v>1060</v>
      </c>
      <c r="D4438" s="112" t="s">
        <v>187</v>
      </c>
      <c r="E4438" s="112">
        <v>94.5</v>
      </c>
      <c r="F4438" s="111" t="str">
        <f>DataPull!D4438</f>
        <v/>
      </c>
      <c r="G4438" s="94" t="str">
        <f t="shared" si="2"/>
        <v/>
      </c>
      <c r="H4438" s="94" t="str">
        <f t="shared" si="3"/>
        <v/>
      </c>
      <c r="I4438" s="94" t="str">
        <f t="shared" ref="I4438:J4438" si="4439">if(G4438 = "", , -G4438)</f>
        <v/>
      </c>
      <c r="J4438" s="94" t="str">
        <f t="shared" si="4439"/>
        <v/>
      </c>
      <c r="K4438" s="100"/>
      <c r="M4438" s="100"/>
      <c r="N4438" s="100"/>
      <c r="O4438" s="100"/>
      <c r="P4438" s="100"/>
    </row>
    <row r="4439">
      <c r="A4439" s="107">
        <v>1628450.0</v>
      </c>
      <c r="B4439" s="108" t="s">
        <v>193</v>
      </c>
      <c r="C4439" s="108" t="s">
        <v>1061</v>
      </c>
      <c r="D4439" s="112" t="s">
        <v>181</v>
      </c>
      <c r="E4439" s="112">
        <v>19.0</v>
      </c>
      <c r="F4439" s="111" t="str">
        <f>DataPull!D4439</f>
        <v/>
      </c>
      <c r="G4439" s="94" t="str">
        <f t="shared" si="2"/>
        <v/>
      </c>
      <c r="H4439" s="94" t="str">
        <f t="shared" si="3"/>
        <v/>
      </c>
      <c r="I4439" s="94" t="str">
        <f t="shared" ref="I4439:J4439" si="4440">if(G4439 = "", , -G4439)</f>
        <v/>
      </c>
      <c r="J4439" s="94" t="str">
        <f t="shared" si="4440"/>
        <v/>
      </c>
      <c r="K4439" s="100"/>
      <c r="M4439" s="100"/>
      <c r="N4439" s="100"/>
      <c r="O4439" s="100"/>
      <c r="P4439" s="100"/>
    </row>
    <row r="4440">
      <c r="A4440" s="107">
        <v>1628451.0</v>
      </c>
      <c r="B4440" s="108" t="s">
        <v>191</v>
      </c>
      <c r="C4440" s="108" t="s">
        <v>1062</v>
      </c>
      <c r="D4440" s="112" t="s">
        <v>181</v>
      </c>
      <c r="E4440" s="112">
        <v>33.5</v>
      </c>
      <c r="F4440" s="111" t="str">
        <f>DataPull!D4440</f>
        <v/>
      </c>
      <c r="G4440" s="94" t="str">
        <f t="shared" si="2"/>
        <v/>
      </c>
      <c r="H4440" s="94" t="str">
        <f t="shared" si="3"/>
        <v/>
      </c>
      <c r="I4440" s="94" t="str">
        <f t="shared" ref="I4440:J4440" si="4441">if(G4440 = "", , -G4440)</f>
        <v/>
      </c>
      <c r="J4440" s="94" t="str">
        <f t="shared" si="4441"/>
        <v/>
      </c>
      <c r="K4440" s="100"/>
      <c r="M4440" s="100"/>
      <c r="N4440" s="100"/>
      <c r="O4440" s="100"/>
      <c r="P4440" s="100"/>
    </row>
    <row r="4441">
      <c r="A4441" s="107">
        <v>1628455.0</v>
      </c>
      <c r="B4441" s="108" t="s">
        <v>243</v>
      </c>
      <c r="C4441" s="108" t="s">
        <v>224</v>
      </c>
      <c r="D4441" s="112" t="s">
        <v>187</v>
      </c>
      <c r="E4441" s="112">
        <v>236.6</v>
      </c>
      <c r="F4441" s="111" t="str">
        <f>DataPull!D4441</f>
        <v/>
      </c>
      <c r="G4441" s="94" t="str">
        <f t="shared" si="2"/>
        <v/>
      </c>
      <c r="H4441" s="94" t="str">
        <f t="shared" si="3"/>
        <v/>
      </c>
      <c r="I4441" s="94" t="str">
        <f t="shared" ref="I4441:J4441" si="4442">if(G4441 = "", , -G4441)</f>
        <v/>
      </c>
      <c r="J4441" s="94" t="str">
        <f t="shared" si="4442"/>
        <v/>
      </c>
      <c r="K4441" s="100"/>
      <c r="L4441" s="100"/>
      <c r="N4441" s="100"/>
      <c r="O4441" s="100"/>
      <c r="P4441" s="100"/>
    </row>
    <row r="4442">
      <c r="A4442" s="107">
        <v>1628462.0</v>
      </c>
      <c r="B4442" s="108" t="s">
        <v>191</v>
      </c>
      <c r="C4442" s="108" t="s">
        <v>1063</v>
      </c>
      <c r="D4442" s="112" t="s">
        <v>176</v>
      </c>
      <c r="E4442" s="112">
        <v>1134.0</v>
      </c>
      <c r="F4442" s="111" t="str">
        <f>DataPull!D4442</f>
        <v/>
      </c>
      <c r="G4442" s="94" t="str">
        <f t="shared" si="2"/>
        <v/>
      </c>
      <c r="H4442" s="94" t="str">
        <f t="shared" si="3"/>
        <v/>
      </c>
      <c r="I4442" s="94" t="str">
        <f t="shared" ref="I4442:J4442" si="4443">if(G4442 = "", , -G4442)</f>
        <v/>
      </c>
      <c r="J4442" s="94" t="str">
        <f t="shared" si="4443"/>
        <v/>
      </c>
      <c r="K4442" s="100"/>
      <c r="M4442" s="100"/>
      <c r="N4442" s="100"/>
      <c r="O4442" s="100"/>
      <c r="P4442" s="100"/>
    </row>
    <row r="4443">
      <c r="A4443" s="107">
        <v>1628462.0</v>
      </c>
      <c r="B4443" s="108" t="s">
        <v>192</v>
      </c>
      <c r="C4443" s="108" t="s">
        <v>1063</v>
      </c>
      <c r="D4443" s="112" t="s">
        <v>187</v>
      </c>
      <c r="E4443" s="112">
        <v>150.0</v>
      </c>
      <c r="F4443" s="111" t="str">
        <f>DataPull!D4443</f>
        <v/>
      </c>
      <c r="G4443" s="94" t="str">
        <f t="shared" si="2"/>
        <v/>
      </c>
      <c r="H4443" s="94" t="str">
        <f t="shared" si="3"/>
        <v/>
      </c>
      <c r="I4443" s="94" t="str">
        <f t="shared" ref="I4443:J4443" si="4444">if(G4443 = "", , -G4443)</f>
        <v/>
      </c>
      <c r="J4443" s="94" t="str">
        <f t="shared" si="4444"/>
        <v/>
      </c>
      <c r="K4443" s="100"/>
      <c r="M4443" s="100"/>
      <c r="N4443" s="100"/>
      <c r="O4443" s="100"/>
      <c r="P4443" s="100"/>
    </row>
    <row r="4444">
      <c r="A4444" s="107">
        <v>1628463.0</v>
      </c>
      <c r="B4444" s="108" t="s">
        <v>191</v>
      </c>
      <c r="C4444" s="108" t="s">
        <v>1064</v>
      </c>
      <c r="D4444" s="112" t="s">
        <v>177</v>
      </c>
      <c r="E4444" s="112">
        <v>518.7</v>
      </c>
      <c r="F4444" s="111" t="str">
        <f>DataPull!D4444</f>
        <v/>
      </c>
      <c r="G4444" s="94" t="str">
        <f t="shared" si="2"/>
        <v/>
      </c>
      <c r="H4444" s="94" t="str">
        <f t="shared" si="3"/>
        <v/>
      </c>
      <c r="I4444" s="94" t="str">
        <f t="shared" ref="I4444:J4444" si="4445">if(G4444 = "", , -G4444)</f>
        <v/>
      </c>
      <c r="J4444" s="94" t="str">
        <f t="shared" si="4445"/>
        <v/>
      </c>
      <c r="K4444" s="100"/>
      <c r="M4444" s="100"/>
      <c r="N4444" s="100"/>
      <c r="O4444" s="100"/>
      <c r="P4444" s="100"/>
    </row>
    <row r="4445">
      <c r="A4445" s="107">
        <v>1628463.0</v>
      </c>
      <c r="B4445" s="108" t="s">
        <v>192</v>
      </c>
      <c r="C4445" s="108" t="s">
        <v>1064</v>
      </c>
      <c r="D4445" s="112" t="s">
        <v>187</v>
      </c>
      <c r="E4445" s="112">
        <v>39.6</v>
      </c>
      <c r="F4445" s="111" t="str">
        <f>DataPull!D4445</f>
        <v/>
      </c>
      <c r="G4445" s="94" t="str">
        <f t="shared" si="2"/>
        <v/>
      </c>
      <c r="H4445" s="94" t="str">
        <f t="shared" si="3"/>
        <v/>
      </c>
      <c r="I4445" s="94" t="str">
        <f t="shared" ref="I4445:J4445" si="4446">if(G4445 = "", , -G4445)</f>
        <v/>
      </c>
      <c r="J4445" s="94" t="str">
        <f t="shared" si="4446"/>
        <v/>
      </c>
      <c r="K4445" s="100"/>
      <c r="M4445" s="100"/>
      <c r="N4445" s="100"/>
      <c r="O4445" s="100"/>
      <c r="P4445" s="100"/>
    </row>
    <row r="4446">
      <c r="A4446" s="107">
        <v>1628464.0</v>
      </c>
      <c r="B4446" s="108" t="s">
        <v>191</v>
      </c>
      <c r="C4446" s="108" t="s">
        <v>1065</v>
      </c>
      <c r="D4446" s="112" t="s">
        <v>177</v>
      </c>
      <c r="E4446" s="112">
        <v>938.7</v>
      </c>
      <c r="F4446" s="111" t="str">
        <f>DataPull!D4446</f>
        <v/>
      </c>
      <c r="G4446" s="94" t="str">
        <f t="shared" si="2"/>
        <v/>
      </c>
      <c r="H4446" s="94" t="str">
        <f t="shared" si="3"/>
        <v/>
      </c>
      <c r="I4446" s="94" t="str">
        <f t="shared" ref="I4446:J4446" si="4447">if(G4446 = "", , -G4446)</f>
        <v/>
      </c>
      <c r="J4446" s="94" t="str">
        <f t="shared" si="4447"/>
        <v/>
      </c>
      <c r="K4446" s="100"/>
      <c r="M4446" s="100"/>
      <c r="N4446" s="100"/>
      <c r="O4446" s="100"/>
      <c r="P4446" s="100"/>
    </row>
    <row r="4447">
      <c r="A4447" s="107">
        <v>1628464.0</v>
      </c>
      <c r="B4447" s="108" t="s">
        <v>192</v>
      </c>
      <c r="C4447" s="108" t="s">
        <v>1065</v>
      </c>
      <c r="D4447" s="112" t="s">
        <v>177</v>
      </c>
      <c r="E4447" s="112">
        <v>910.8</v>
      </c>
      <c r="F4447" s="111" t="str">
        <f>DataPull!D4447</f>
        <v/>
      </c>
      <c r="G4447" s="94" t="str">
        <f t="shared" si="2"/>
        <v/>
      </c>
      <c r="H4447" s="94" t="str">
        <f t="shared" si="3"/>
        <v/>
      </c>
      <c r="I4447" s="94" t="str">
        <f t="shared" ref="I4447:J4447" si="4448">if(G4447 = "", , -G4447)</f>
        <v/>
      </c>
      <c r="J4447" s="94" t="str">
        <f t="shared" si="4448"/>
        <v/>
      </c>
      <c r="K4447" s="100"/>
      <c r="M4447" s="100"/>
      <c r="N4447" s="100"/>
      <c r="O4447" s="100"/>
      <c r="P4447" s="100"/>
    </row>
    <row r="4448">
      <c r="A4448" s="107">
        <v>1628464.0</v>
      </c>
      <c r="B4448" s="108" t="s">
        <v>193</v>
      </c>
      <c r="C4448" s="108" t="s">
        <v>1065</v>
      </c>
      <c r="D4448" s="112" t="s">
        <v>176</v>
      </c>
      <c r="E4448" s="112">
        <v>1566.5</v>
      </c>
      <c r="F4448" s="111" t="str">
        <f>DataPull!D4448</f>
        <v/>
      </c>
      <c r="G4448" s="94" t="str">
        <f t="shared" si="2"/>
        <v/>
      </c>
      <c r="H4448" s="94" t="str">
        <f t="shared" si="3"/>
        <v/>
      </c>
      <c r="I4448" s="94" t="str">
        <f t="shared" ref="I4448:J4448" si="4449">if(G4448 = "", , -G4448)</f>
        <v/>
      </c>
      <c r="J4448" s="94" t="str">
        <f t="shared" si="4449"/>
        <v/>
      </c>
      <c r="K4448" s="100"/>
      <c r="M4448" s="100"/>
      <c r="N4448" s="100"/>
      <c r="O4448" s="100"/>
      <c r="P4448" s="100"/>
    </row>
    <row r="4449">
      <c r="A4449" s="107">
        <v>1628464.0</v>
      </c>
      <c r="B4449" s="108" t="s">
        <v>243</v>
      </c>
      <c r="C4449" s="108" t="s">
        <v>1065</v>
      </c>
      <c r="D4449" s="112" t="s">
        <v>176</v>
      </c>
      <c r="E4449" s="112">
        <v>1599.0</v>
      </c>
      <c r="F4449" s="111" t="str">
        <f>DataPull!D4449</f>
        <v/>
      </c>
      <c r="G4449" s="94" t="str">
        <f t="shared" si="2"/>
        <v/>
      </c>
      <c r="H4449" s="94" t="str">
        <f t="shared" si="3"/>
        <v/>
      </c>
      <c r="I4449" s="94" t="str">
        <f t="shared" ref="I4449:J4449" si="4450">if(G4449 = "", , -G4449)</f>
        <v/>
      </c>
      <c r="J4449" s="94" t="str">
        <f t="shared" si="4450"/>
        <v/>
      </c>
      <c r="K4449" s="100"/>
      <c r="M4449" s="100"/>
      <c r="N4449" s="100"/>
      <c r="O4449" s="100"/>
      <c r="P4449" s="100"/>
    </row>
    <row r="4450">
      <c r="A4450" s="107">
        <v>1628464.0</v>
      </c>
      <c r="B4450" s="108" t="s">
        <v>215</v>
      </c>
      <c r="C4450" s="108" t="s">
        <v>1065</v>
      </c>
      <c r="D4450" s="112" t="s">
        <v>176</v>
      </c>
      <c r="E4450" s="112">
        <v>977.6</v>
      </c>
      <c r="F4450" s="111" t="str">
        <f>DataPull!D4450</f>
        <v/>
      </c>
      <c r="G4450" s="94" t="str">
        <f t="shared" si="2"/>
        <v/>
      </c>
      <c r="H4450" s="94" t="str">
        <f t="shared" si="3"/>
        <v/>
      </c>
      <c r="I4450" s="94" t="str">
        <f t="shared" ref="I4450:J4450" si="4451">if(G4450 = "", , -G4450)</f>
        <v/>
      </c>
      <c r="J4450" s="94" t="str">
        <f t="shared" si="4451"/>
        <v/>
      </c>
      <c r="K4450" s="100"/>
      <c r="M4450" s="100"/>
      <c r="N4450" s="100"/>
      <c r="O4450" s="100"/>
      <c r="P4450" s="100"/>
    </row>
    <row r="4451">
      <c r="A4451" s="107">
        <v>1628464.0</v>
      </c>
      <c r="B4451" s="108" t="s">
        <v>244</v>
      </c>
      <c r="C4451" s="108" t="s">
        <v>1065</v>
      </c>
      <c r="D4451" s="112" t="s">
        <v>181</v>
      </c>
      <c r="E4451" s="112">
        <v>108.5</v>
      </c>
      <c r="F4451" s="111" t="str">
        <f>DataPull!D4451</f>
        <v/>
      </c>
      <c r="G4451" s="94" t="str">
        <f t="shared" si="2"/>
        <v/>
      </c>
      <c r="H4451" s="94" t="str">
        <f t="shared" si="3"/>
        <v/>
      </c>
      <c r="I4451" s="94" t="str">
        <f t="shared" ref="I4451:J4451" si="4452">if(G4451 = "", , -G4451)</f>
        <v/>
      </c>
      <c r="J4451" s="94" t="str">
        <f t="shared" si="4452"/>
        <v/>
      </c>
      <c r="K4451" s="100"/>
      <c r="M4451" s="100"/>
      <c r="N4451" s="100"/>
      <c r="P4451" s="100"/>
    </row>
    <row r="4452">
      <c r="A4452" s="107">
        <v>1628464.0</v>
      </c>
      <c r="B4452" s="108" t="s">
        <v>245</v>
      </c>
      <c r="C4452" s="108" t="s">
        <v>1065</v>
      </c>
      <c r="D4452" s="112" t="s">
        <v>177</v>
      </c>
      <c r="E4452" s="112">
        <v>1014.0</v>
      </c>
      <c r="F4452" s="111" t="str">
        <f>DataPull!D4452</f>
        <v/>
      </c>
      <c r="G4452" s="94" t="str">
        <f t="shared" si="2"/>
        <v/>
      </c>
      <c r="H4452" s="94" t="str">
        <f t="shared" si="3"/>
        <v/>
      </c>
      <c r="I4452" s="94" t="str">
        <f t="shared" ref="I4452:J4452" si="4453">if(G4452 = "", , -G4452)</f>
        <v/>
      </c>
      <c r="J4452" s="94" t="str">
        <f t="shared" si="4453"/>
        <v/>
      </c>
      <c r="K4452" s="100"/>
      <c r="M4452" s="100"/>
      <c r="N4452" s="100"/>
      <c r="O4452" s="100"/>
      <c r="P4452" s="100"/>
    </row>
    <row r="4453">
      <c r="A4453" s="107">
        <v>1628464.0</v>
      </c>
      <c r="B4453" s="108" t="s">
        <v>246</v>
      </c>
      <c r="C4453" s="108" t="s">
        <v>1065</v>
      </c>
      <c r="D4453" s="112" t="s">
        <v>177</v>
      </c>
      <c r="E4453" s="112">
        <v>619.4</v>
      </c>
      <c r="F4453" s="111" t="str">
        <f>DataPull!D4453</f>
        <v/>
      </c>
      <c r="G4453" s="94" t="str">
        <f t="shared" si="2"/>
        <v/>
      </c>
      <c r="H4453" s="94" t="str">
        <f t="shared" si="3"/>
        <v/>
      </c>
      <c r="I4453" s="94" t="str">
        <f t="shared" ref="I4453:J4453" si="4454">if(G4453 = "", , -G4453)</f>
        <v/>
      </c>
      <c r="J4453" s="94" t="str">
        <f t="shared" si="4454"/>
        <v/>
      </c>
      <c r="K4453" s="100"/>
      <c r="M4453" s="100"/>
      <c r="N4453" s="100"/>
      <c r="O4453" s="100"/>
      <c r="P4453" s="100"/>
    </row>
    <row r="4454">
      <c r="A4454" s="107">
        <v>1628467.0</v>
      </c>
      <c r="B4454" s="108" t="s">
        <v>191</v>
      </c>
      <c r="C4454" s="108" t="s">
        <v>1066</v>
      </c>
      <c r="D4454" s="112" t="s">
        <v>177</v>
      </c>
      <c r="E4454" s="112">
        <v>1209.6</v>
      </c>
      <c r="F4454" s="111" t="str">
        <f>DataPull!D4454</f>
        <v/>
      </c>
      <c r="G4454" s="94" t="str">
        <f t="shared" si="2"/>
        <v/>
      </c>
      <c r="H4454" s="94" t="str">
        <f t="shared" si="3"/>
        <v/>
      </c>
      <c r="I4454" s="94" t="str">
        <f t="shared" ref="I4454:J4454" si="4455">if(G4454 = "", , -G4454)</f>
        <v/>
      </c>
      <c r="J4454" s="94" t="str">
        <f t="shared" si="4455"/>
        <v/>
      </c>
      <c r="K4454" s="100"/>
      <c r="M4454" s="100"/>
      <c r="N4454" s="100"/>
      <c r="O4454" s="100"/>
      <c r="P4454" s="100"/>
    </row>
    <row r="4455">
      <c r="A4455" s="107">
        <v>1628467.0</v>
      </c>
      <c r="B4455" s="108" t="s">
        <v>192</v>
      </c>
      <c r="C4455" s="108" t="s">
        <v>1066</v>
      </c>
      <c r="D4455" s="112" t="s">
        <v>176</v>
      </c>
      <c r="E4455" s="112">
        <v>1505.2</v>
      </c>
      <c r="F4455" s="111" t="str">
        <f>DataPull!D4455</f>
        <v/>
      </c>
      <c r="G4455" s="94" t="str">
        <f t="shared" si="2"/>
        <v/>
      </c>
      <c r="H4455" s="94" t="str">
        <f t="shared" si="3"/>
        <v/>
      </c>
      <c r="I4455" s="94" t="str">
        <f t="shared" ref="I4455:J4455" si="4456">if(G4455 = "", , -G4455)</f>
        <v/>
      </c>
      <c r="J4455" s="94" t="str">
        <f t="shared" si="4456"/>
        <v/>
      </c>
      <c r="K4455" s="100"/>
      <c r="M4455" s="100"/>
      <c r="N4455" s="100"/>
      <c r="O4455" s="100"/>
      <c r="P4455" s="100"/>
    </row>
    <row r="4456">
      <c r="A4456" s="107">
        <v>1628467.0</v>
      </c>
      <c r="B4456" s="108" t="s">
        <v>193</v>
      </c>
      <c r="C4456" s="108" t="s">
        <v>1066</v>
      </c>
      <c r="D4456" s="112" t="s">
        <v>176</v>
      </c>
      <c r="E4456" s="112">
        <v>1887.0</v>
      </c>
      <c r="F4456" s="111" t="str">
        <f>DataPull!D4456</f>
        <v/>
      </c>
      <c r="G4456" s="94" t="str">
        <f t="shared" si="2"/>
        <v/>
      </c>
      <c r="H4456" s="94" t="str">
        <f t="shared" si="3"/>
        <v/>
      </c>
      <c r="I4456" s="94" t="str">
        <f t="shared" ref="I4456:J4456" si="4457">if(G4456 = "", , -G4456)</f>
        <v/>
      </c>
      <c r="J4456" s="94" t="str">
        <f t="shared" si="4457"/>
        <v/>
      </c>
      <c r="K4456" s="100"/>
      <c r="L4456" s="100"/>
      <c r="N4456" s="100"/>
      <c r="O4456" s="100"/>
      <c r="P4456" s="100"/>
    </row>
    <row r="4457">
      <c r="A4457" s="107">
        <v>1628467.0</v>
      </c>
      <c r="B4457" s="108" t="s">
        <v>243</v>
      </c>
      <c r="C4457" s="108" t="s">
        <v>1066</v>
      </c>
      <c r="D4457" s="112" t="s">
        <v>176</v>
      </c>
      <c r="E4457" s="112">
        <v>1340.0</v>
      </c>
      <c r="F4457" s="111" t="str">
        <f>DataPull!D4457</f>
        <v/>
      </c>
      <c r="G4457" s="94" t="str">
        <f t="shared" si="2"/>
        <v/>
      </c>
      <c r="H4457" s="94" t="str">
        <f t="shared" si="3"/>
        <v/>
      </c>
      <c r="I4457" s="94" t="str">
        <f t="shared" ref="I4457:J4457" si="4458">if(G4457 = "", , -G4457)</f>
        <v/>
      </c>
      <c r="J4457" s="94" t="str">
        <f t="shared" si="4458"/>
        <v/>
      </c>
      <c r="K4457" s="100"/>
      <c r="M4457" s="100"/>
      <c r="N4457" s="100"/>
      <c r="O4457" s="100"/>
      <c r="P4457" s="100"/>
    </row>
    <row r="4458">
      <c r="A4458" s="107">
        <v>1628467.0</v>
      </c>
      <c r="B4458" s="108" t="s">
        <v>215</v>
      </c>
      <c r="C4458" s="108" t="s">
        <v>1066</v>
      </c>
      <c r="D4458" s="112" t="s">
        <v>176</v>
      </c>
      <c r="E4458" s="112">
        <v>1451.4</v>
      </c>
      <c r="F4458" s="111" t="str">
        <f>DataPull!D4458</f>
        <v/>
      </c>
      <c r="G4458" s="94" t="str">
        <f t="shared" si="2"/>
        <v/>
      </c>
      <c r="H4458" s="94" t="str">
        <f t="shared" si="3"/>
        <v/>
      </c>
      <c r="I4458" s="94" t="str">
        <f t="shared" ref="I4458:J4458" si="4459">if(G4458 = "", , -G4458)</f>
        <v/>
      </c>
      <c r="J4458" s="94" t="str">
        <f t="shared" si="4459"/>
        <v/>
      </c>
      <c r="K4458" s="100"/>
      <c r="M4458" s="100"/>
      <c r="N4458" s="100"/>
      <c r="O4458" s="100"/>
      <c r="P4458" s="100"/>
    </row>
    <row r="4459">
      <c r="A4459" s="107">
        <v>1628467.0</v>
      </c>
      <c r="B4459" s="108" t="s">
        <v>244</v>
      </c>
      <c r="C4459" s="108" t="s">
        <v>1066</v>
      </c>
      <c r="D4459" s="112" t="s">
        <v>176</v>
      </c>
      <c r="E4459" s="112">
        <v>928.7</v>
      </c>
      <c r="F4459" s="111" t="str">
        <f>DataPull!D4459</f>
        <v/>
      </c>
      <c r="G4459" s="94" t="str">
        <f t="shared" si="2"/>
        <v/>
      </c>
      <c r="H4459" s="94" t="str">
        <f t="shared" si="3"/>
        <v/>
      </c>
      <c r="I4459" s="94" t="str">
        <f t="shared" ref="I4459:J4459" si="4460">if(G4459 = "", , -G4459)</f>
        <v/>
      </c>
      <c r="J4459" s="94" t="str">
        <f t="shared" si="4460"/>
        <v/>
      </c>
      <c r="K4459" s="100"/>
      <c r="M4459" s="100"/>
      <c r="N4459" s="100"/>
      <c r="O4459" s="100"/>
      <c r="P4459" s="100"/>
    </row>
    <row r="4460">
      <c r="A4460" s="107">
        <v>1628467.0</v>
      </c>
      <c r="B4460" s="108" t="s">
        <v>245</v>
      </c>
      <c r="C4460" s="108" t="s">
        <v>1066</v>
      </c>
      <c r="D4460" s="112" t="s">
        <v>177</v>
      </c>
      <c r="E4460" s="112">
        <v>872.9</v>
      </c>
      <c r="F4460" s="111" t="str">
        <f>DataPull!D4460</f>
        <v/>
      </c>
      <c r="G4460" s="94" t="str">
        <f t="shared" si="2"/>
        <v/>
      </c>
      <c r="H4460" s="94" t="str">
        <f t="shared" si="3"/>
        <v/>
      </c>
      <c r="I4460" s="94" t="str">
        <f t="shared" ref="I4460:J4460" si="4461">if(G4460 = "", , -G4460)</f>
        <v/>
      </c>
      <c r="J4460" s="94" t="str">
        <f t="shared" si="4461"/>
        <v/>
      </c>
      <c r="K4460" s="100"/>
      <c r="M4460" s="100"/>
      <c r="N4460" s="100"/>
      <c r="O4460" s="100"/>
      <c r="P4460" s="100"/>
    </row>
    <row r="4461">
      <c r="A4461" s="107">
        <v>1628467.0</v>
      </c>
      <c r="B4461" s="108" t="s">
        <v>246</v>
      </c>
      <c r="C4461" s="108" t="s">
        <v>1066</v>
      </c>
      <c r="D4461" s="112" t="s">
        <v>177</v>
      </c>
      <c r="E4461" s="112">
        <v>635.8</v>
      </c>
      <c r="F4461" s="111" t="str">
        <f>DataPull!D4461</f>
        <v/>
      </c>
      <c r="G4461" s="94" t="str">
        <f t="shared" si="2"/>
        <v/>
      </c>
      <c r="H4461" s="94" t="str">
        <f t="shared" si="3"/>
        <v/>
      </c>
      <c r="I4461" s="94" t="str">
        <f t="shared" ref="I4461:J4461" si="4462">if(G4461 = "", , -G4461)</f>
        <v/>
      </c>
      <c r="J4461" s="94" t="str">
        <f t="shared" si="4462"/>
        <v/>
      </c>
      <c r="K4461" s="100"/>
      <c r="L4461" s="100"/>
      <c r="N4461" s="100"/>
      <c r="O4461" s="100"/>
      <c r="P4461" s="100"/>
    </row>
    <row r="4462">
      <c r="A4462" s="89">
        <v>1628467.0</v>
      </c>
      <c r="B4462" s="113" t="s">
        <v>247</v>
      </c>
      <c r="C4462" s="113" t="s">
        <v>1066</v>
      </c>
      <c r="D4462" s="112" t="s">
        <v>187</v>
      </c>
      <c r="E4462" s="112">
        <v>460.1</v>
      </c>
      <c r="F4462" s="111" t="str">
        <f>DataPull!D4462</f>
        <v/>
      </c>
      <c r="G4462" s="94" t="str">
        <f t="shared" si="2"/>
        <v/>
      </c>
      <c r="H4462" s="94" t="str">
        <f t="shared" si="3"/>
        <v/>
      </c>
      <c r="I4462" s="94" t="str">
        <f t="shared" ref="I4462:J4462" si="4463">if(G4462 = "", , -G4462)</f>
        <v/>
      </c>
      <c r="J4462" s="94" t="str">
        <f t="shared" si="4463"/>
        <v/>
      </c>
      <c r="K4462" s="100"/>
      <c r="M4462" s="100"/>
      <c r="N4462" s="100"/>
      <c r="O4462" s="100"/>
      <c r="P4462" s="100"/>
    </row>
    <row r="4463">
      <c r="A4463" s="107">
        <v>1628469.0</v>
      </c>
      <c r="B4463" s="108" t="s">
        <v>191</v>
      </c>
      <c r="C4463" s="108" t="s">
        <v>1067</v>
      </c>
      <c r="D4463" s="112" t="s">
        <v>177</v>
      </c>
      <c r="E4463" s="112">
        <v>313.5</v>
      </c>
      <c r="F4463" s="111" t="str">
        <f>DataPull!D4463</f>
        <v/>
      </c>
      <c r="G4463" s="94" t="str">
        <f t="shared" si="2"/>
        <v/>
      </c>
      <c r="H4463" s="94" t="str">
        <f t="shared" si="3"/>
        <v/>
      </c>
      <c r="I4463" s="94" t="str">
        <f t="shared" ref="I4463:J4463" si="4464">if(G4463 = "", , -G4463)</f>
        <v/>
      </c>
      <c r="J4463" s="94" t="str">
        <f t="shared" si="4464"/>
        <v/>
      </c>
      <c r="K4463" s="100"/>
      <c r="M4463" s="100"/>
      <c r="N4463" s="100"/>
      <c r="O4463" s="100"/>
      <c r="P4463" s="100"/>
    </row>
    <row r="4464">
      <c r="A4464" s="107">
        <v>1628469.0</v>
      </c>
      <c r="B4464" s="108" t="s">
        <v>192</v>
      </c>
      <c r="C4464" s="108" t="s">
        <v>1067</v>
      </c>
      <c r="D4464" s="112" t="s">
        <v>177</v>
      </c>
      <c r="E4464" s="112">
        <v>826.5</v>
      </c>
      <c r="F4464" s="111" t="str">
        <f>DataPull!D4464</f>
        <v/>
      </c>
      <c r="G4464" s="94" t="str">
        <f t="shared" si="2"/>
        <v/>
      </c>
      <c r="H4464" s="94" t="str">
        <f t="shared" si="3"/>
        <v/>
      </c>
      <c r="I4464" s="94" t="str">
        <f t="shared" ref="I4464:J4464" si="4465">if(G4464 = "", , -G4464)</f>
        <v/>
      </c>
      <c r="J4464" s="94" t="str">
        <f t="shared" si="4465"/>
        <v/>
      </c>
      <c r="K4464" s="100"/>
      <c r="M4464" s="100"/>
      <c r="N4464" s="100"/>
      <c r="O4464" s="100"/>
      <c r="P4464" s="100"/>
    </row>
    <row r="4465">
      <c r="A4465" s="107">
        <v>1628470.0</v>
      </c>
      <c r="B4465" s="108" t="s">
        <v>191</v>
      </c>
      <c r="C4465" s="108" t="s">
        <v>1068</v>
      </c>
      <c r="D4465" s="112" t="s">
        <v>177</v>
      </c>
      <c r="E4465" s="112">
        <v>627.9</v>
      </c>
      <c r="F4465" s="111" t="str">
        <f>DataPull!D4465</f>
        <v/>
      </c>
      <c r="G4465" s="94" t="str">
        <f t="shared" si="2"/>
        <v/>
      </c>
      <c r="H4465" s="94" t="str">
        <f t="shared" si="3"/>
        <v/>
      </c>
      <c r="I4465" s="94" t="str">
        <f t="shared" ref="I4465:J4465" si="4466">if(G4465 = "", , -G4465)</f>
        <v/>
      </c>
      <c r="J4465" s="94" t="str">
        <f t="shared" si="4466"/>
        <v/>
      </c>
      <c r="K4465" s="100"/>
      <c r="M4465" s="100"/>
      <c r="N4465" s="100"/>
      <c r="O4465" s="100"/>
      <c r="P4465" s="100"/>
    </row>
    <row r="4466">
      <c r="A4466" s="107">
        <v>1628470.0</v>
      </c>
      <c r="B4466" s="108" t="s">
        <v>192</v>
      </c>
      <c r="C4466" s="108" t="s">
        <v>1068</v>
      </c>
      <c r="D4466" s="112" t="s">
        <v>176</v>
      </c>
      <c r="E4466" s="112">
        <v>1500.0</v>
      </c>
      <c r="F4466" s="111" t="str">
        <f>DataPull!D4466</f>
        <v/>
      </c>
      <c r="G4466" s="94" t="str">
        <f t="shared" si="2"/>
        <v/>
      </c>
      <c r="H4466" s="94" t="str">
        <f t="shared" si="3"/>
        <v/>
      </c>
      <c r="I4466" s="94" t="str">
        <f t="shared" ref="I4466:J4466" si="4467">if(G4466 = "", , -G4466)</f>
        <v/>
      </c>
      <c r="J4466" s="94" t="str">
        <f t="shared" si="4467"/>
        <v/>
      </c>
      <c r="K4466" s="100"/>
      <c r="M4466" s="100"/>
      <c r="N4466" s="100"/>
      <c r="O4466" s="100"/>
      <c r="P4466" s="100"/>
    </row>
    <row r="4467">
      <c r="A4467" s="107">
        <v>1628470.0</v>
      </c>
      <c r="B4467" s="108" t="s">
        <v>193</v>
      </c>
      <c r="C4467" s="108" t="s">
        <v>1068</v>
      </c>
      <c r="D4467" s="112" t="s">
        <v>177</v>
      </c>
      <c r="E4467" s="112">
        <v>1073.0</v>
      </c>
      <c r="F4467" s="111" t="str">
        <f>DataPull!D4467</f>
        <v/>
      </c>
      <c r="G4467" s="94" t="str">
        <f t="shared" si="2"/>
        <v/>
      </c>
      <c r="H4467" s="94" t="str">
        <f t="shared" si="3"/>
        <v/>
      </c>
      <c r="I4467" s="94" t="str">
        <f t="shared" ref="I4467:J4467" si="4468">if(G4467 = "", , -G4467)</f>
        <v/>
      </c>
      <c r="J4467" s="94" t="str">
        <f t="shared" si="4468"/>
        <v/>
      </c>
      <c r="K4467" s="100"/>
      <c r="M4467" s="100"/>
      <c r="N4467" s="100"/>
      <c r="O4467" s="100"/>
      <c r="P4467" s="100"/>
    </row>
    <row r="4468">
      <c r="A4468" s="107">
        <v>1628470.0</v>
      </c>
      <c r="B4468" s="108" t="s">
        <v>243</v>
      </c>
      <c r="C4468" s="108" t="s">
        <v>1068</v>
      </c>
      <c r="D4468" s="112" t="s">
        <v>176</v>
      </c>
      <c r="E4468" s="112">
        <v>805.0</v>
      </c>
      <c r="F4468" s="111" t="str">
        <f>DataPull!D4468</f>
        <v/>
      </c>
      <c r="G4468" s="94" t="str">
        <f t="shared" si="2"/>
        <v/>
      </c>
      <c r="H4468" s="94" t="str">
        <f t="shared" si="3"/>
        <v/>
      </c>
      <c r="I4468" s="94" t="str">
        <f t="shared" ref="I4468:J4468" si="4469">if(G4468 = "", , -G4468)</f>
        <v/>
      </c>
      <c r="J4468" s="94" t="str">
        <f t="shared" si="4469"/>
        <v/>
      </c>
      <c r="K4468" s="100"/>
      <c r="M4468" s="100"/>
      <c r="N4468" s="100"/>
      <c r="O4468" s="100"/>
      <c r="P4468" s="100"/>
    </row>
    <row r="4469">
      <c r="A4469" s="107">
        <v>1628470.0</v>
      </c>
      <c r="B4469" s="108" t="s">
        <v>215</v>
      </c>
      <c r="C4469" s="108" t="s">
        <v>1068</v>
      </c>
      <c r="D4469" s="112" t="s">
        <v>177</v>
      </c>
      <c r="E4469" s="112">
        <v>1599.0</v>
      </c>
      <c r="F4469" s="111" t="str">
        <f>DataPull!D4469</f>
        <v/>
      </c>
      <c r="G4469" s="94" t="str">
        <f t="shared" si="2"/>
        <v/>
      </c>
      <c r="H4469" s="94" t="str">
        <f t="shared" si="3"/>
        <v/>
      </c>
      <c r="I4469" s="94" t="str">
        <f t="shared" ref="I4469:J4469" si="4470">if(G4469 = "", , -G4469)</f>
        <v/>
      </c>
      <c r="J4469" s="94" t="str">
        <f t="shared" si="4470"/>
        <v/>
      </c>
      <c r="K4469" s="100"/>
      <c r="L4469" s="100"/>
      <c r="M4469" s="100"/>
      <c r="N4469" s="100"/>
      <c r="O4469" s="100"/>
      <c r="P4469" s="100"/>
    </row>
    <row r="4470">
      <c r="A4470" s="107">
        <v>1628470.0</v>
      </c>
      <c r="B4470" s="108" t="s">
        <v>244</v>
      </c>
      <c r="C4470" s="108" t="s">
        <v>1068</v>
      </c>
      <c r="D4470" s="112" t="s">
        <v>176</v>
      </c>
      <c r="E4470" s="112">
        <v>1951.3</v>
      </c>
      <c r="F4470" s="111" t="str">
        <f>DataPull!D4470</f>
        <v/>
      </c>
      <c r="G4470" s="94" t="str">
        <f t="shared" si="2"/>
        <v/>
      </c>
      <c r="H4470" s="94" t="str">
        <f t="shared" si="3"/>
        <v/>
      </c>
      <c r="I4470" s="94" t="str">
        <f t="shared" ref="I4470:J4470" si="4471">if(G4470 = "", , -G4470)</f>
        <v/>
      </c>
      <c r="J4470" s="94" t="str">
        <f t="shared" si="4471"/>
        <v/>
      </c>
      <c r="K4470" s="100"/>
      <c r="M4470" s="100"/>
      <c r="N4470" s="100"/>
      <c r="O4470" s="100"/>
      <c r="P4470" s="100"/>
    </row>
    <row r="4471">
      <c r="A4471" s="107">
        <v>1628470.0</v>
      </c>
      <c r="B4471" s="108" t="s">
        <v>245</v>
      </c>
      <c r="C4471" s="108" t="s">
        <v>1068</v>
      </c>
      <c r="D4471" s="112" t="s">
        <v>177</v>
      </c>
      <c r="E4471" s="112">
        <v>1049.4</v>
      </c>
      <c r="F4471" s="111" t="str">
        <f>DataPull!D4471</f>
        <v/>
      </c>
      <c r="G4471" s="94" t="str">
        <f t="shared" si="2"/>
        <v/>
      </c>
      <c r="H4471" s="94" t="str">
        <f t="shared" si="3"/>
        <v/>
      </c>
      <c r="I4471" s="94" t="str">
        <f t="shared" ref="I4471:J4471" si="4472">if(G4471 = "", , -G4471)</f>
        <v/>
      </c>
      <c r="J4471" s="94" t="str">
        <f t="shared" si="4472"/>
        <v/>
      </c>
      <c r="K4471" s="100"/>
      <c r="L4471" s="100"/>
      <c r="M4471" s="100"/>
      <c r="N4471" s="100"/>
      <c r="O4471" s="100"/>
      <c r="P4471" s="100"/>
    </row>
    <row r="4472">
      <c r="A4472" s="107">
        <v>1628470.0</v>
      </c>
      <c r="B4472" s="108" t="s">
        <v>246</v>
      </c>
      <c r="C4472" s="108" t="s">
        <v>1068</v>
      </c>
      <c r="D4472" s="112" t="s">
        <v>187</v>
      </c>
      <c r="E4472" s="112">
        <v>314.6</v>
      </c>
      <c r="F4472" s="111" t="str">
        <f>DataPull!D4472</f>
        <v/>
      </c>
      <c r="G4472" s="94" t="str">
        <f t="shared" si="2"/>
        <v/>
      </c>
      <c r="H4472" s="94" t="str">
        <f t="shared" si="3"/>
        <v/>
      </c>
      <c r="I4472" s="94" t="str">
        <f t="shared" ref="I4472:J4472" si="4473">if(G4472 = "", , -G4472)</f>
        <v/>
      </c>
      <c r="J4472" s="94" t="str">
        <f t="shared" si="4473"/>
        <v/>
      </c>
      <c r="K4472" s="100"/>
      <c r="L4472" s="100"/>
      <c r="M4472" s="100"/>
      <c r="N4472" s="100"/>
      <c r="O4472" s="100"/>
      <c r="P4472" s="100"/>
    </row>
    <row r="4473">
      <c r="A4473" s="107">
        <v>1628475.0</v>
      </c>
      <c r="B4473" s="108" t="s">
        <v>191</v>
      </c>
      <c r="C4473" s="108" t="s">
        <v>1069</v>
      </c>
      <c r="D4473" s="112" t="s">
        <v>181</v>
      </c>
      <c r="E4473" s="112">
        <v>11.4</v>
      </c>
      <c r="F4473" s="111" t="str">
        <f>DataPull!D4473</f>
        <v/>
      </c>
      <c r="G4473" s="94" t="str">
        <f t="shared" si="2"/>
        <v/>
      </c>
      <c r="H4473" s="94" t="str">
        <f t="shared" si="3"/>
        <v/>
      </c>
      <c r="I4473" s="94" t="str">
        <f t="shared" ref="I4473:J4473" si="4474">if(G4473 = "", , -G4473)</f>
        <v/>
      </c>
      <c r="J4473" s="94" t="str">
        <f t="shared" si="4474"/>
        <v/>
      </c>
      <c r="K4473" s="100"/>
      <c r="M4473" s="100"/>
      <c r="N4473" s="100"/>
      <c r="O4473" s="100"/>
      <c r="P4473" s="100"/>
    </row>
    <row r="4474">
      <c r="A4474" s="107">
        <v>1628476.0</v>
      </c>
      <c r="B4474" s="108" t="s">
        <v>191</v>
      </c>
      <c r="C4474" s="108" t="s">
        <v>1070</v>
      </c>
      <c r="D4474" s="112" t="s">
        <v>187</v>
      </c>
      <c r="E4474" s="112">
        <v>147.2</v>
      </c>
      <c r="F4474" s="111" t="str">
        <f>DataPull!D4474</f>
        <v/>
      </c>
      <c r="G4474" s="94" t="str">
        <f t="shared" si="2"/>
        <v/>
      </c>
      <c r="H4474" s="94" t="str">
        <f t="shared" si="3"/>
        <v/>
      </c>
      <c r="I4474" s="94" t="str">
        <f t="shared" ref="I4474:J4474" si="4475">if(G4474 = "", , -G4474)</f>
        <v/>
      </c>
      <c r="J4474" s="94" t="str">
        <f t="shared" si="4475"/>
        <v/>
      </c>
      <c r="K4474" s="100"/>
      <c r="M4474" s="100"/>
      <c r="N4474" s="100"/>
      <c r="O4474" s="100"/>
      <c r="P4474" s="100"/>
    </row>
    <row r="4475">
      <c r="A4475" s="107">
        <v>1628476.0</v>
      </c>
      <c r="B4475" s="108" t="s">
        <v>193</v>
      </c>
      <c r="C4475" s="108" t="s">
        <v>1070</v>
      </c>
      <c r="D4475" s="112" t="s">
        <v>187</v>
      </c>
      <c r="E4475" s="112">
        <v>249.6</v>
      </c>
      <c r="F4475" s="111" t="str">
        <f>DataPull!D4475</f>
        <v/>
      </c>
      <c r="G4475" s="94" t="str">
        <f t="shared" si="2"/>
        <v/>
      </c>
      <c r="H4475" s="94" t="str">
        <f t="shared" si="3"/>
        <v/>
      </c>
      <c r="I4475" s="94" t="str">
        <f t="shared" ref="I4475:J4475" si="4476">if(G4475 = "", , -G4475)</f>
        <v/>
      </c>
      <c r="J4475" s="94" t="str">
        <f t="shared" si="4476"/>
        <v/>
      </c>
      <c r="K4475" s="100"/>
      <c r="M4475" s="100"/>
      <c r="N4475" s="100"/>
      <c r="O4475" s="100"/>
      <c r="P4475" s="100"/>
    </row>
    <row r="4476">
      <c r="A4476" s="107">
        <v>1628476.0</v>
      </c>
      <c r="B4476" s="108" t="s">
        <v>215</v>
      </c>
      <c r="C4476" s="108" t="s">
        <v>1070</v>
      </c>
      <c r="D4476" s="112" t="s">
        <v>181</v>
      </c>
      <c r="E4476" s="112">
        <v>108.3</v>
      </c>
      <c r="F4476" s="111" t="str">
        <f>DataPull!D4476</f>
        <v/>
      </c>
      <c r="G4476" s="94" t="str">
        <f t="shared" si="2"/>
        <v/>
      </c>
      <c r="H4476" s="94" t="str">
        <f t="shared" si="3"/>
        <v/>
      </c>
      <c r="I4476" s="94" t="str">
        <f t="shared" ref="I4476:J4476" si="4477">if(G4476 = "", , -G4476)</f>
        <v/>
      </c>
      <c r="J4476" s="94" t="str">
        <f t="shared" si="4477"/>
        <v/>
      </c>
      <c r="K4476" s="100"/>
      <c r="M4476" s="100"/>
      <c r="N4476" s="100"/>
      <c r="O4476" s="100"/>
      <c r="P4476" s="100"/>
    </row>
    <row r="4477">
      <c r="A4477" s="107">
        <v>1628492.0</v>
      </c>
      <c r="B4477" s="108" t="s">
        <v>191</v>
      </c>
      <c r="C4477" s="108" t="s">
        <v>1071</v>
      </c>
      <c r="D4477" s="112" t="s">
        <v>181</v>
      </c>
      <c r="E4477" s="112">
        <v>63.7</v>
      </c>
      <c r="F4477" s="111" t="str">
        <f>DataPull!D4477</f>
        <v/>
      </c>
      <c r="G4477" s="94" t="str">
        <f t="shared" si="2"/>
        <v/>
      </c>
      <c r="H4477" s="94" t="str">
        <f t="shared" si="3"/>
        <v/>
      </c>
      <c r="I4477" s="94" t="str">
        <f t="shared" ref="I4477:J4477" si="4478">if(G4477 = "", , -G4477)</f>
        <v/>
      </c>
      <c r="J4477" s="94" t="str">
        <f t="shared" si="4478"/>
        <v/>
      </c>
      <c r="K4477" s="100"/>
      <c r="M4477" s="100"/>
      <c r="N4477" s="100"/>
      <c r="O4477" s="100"/>
      <c r="P4477" s="100"/>
    </row>
    <row r="4478">
      <c r="A4478" s="107">
        <v>1628493.0</v>
      </c>
      <c r="B4478" s="108" t="s">
        <v>191</v>
      </c>
      <c r="C4478" s="108" t="s">
        <v>1072</v>
      </c>
      <c r="D4478" s="112" t="s">
        <v>181</v>
      </c>
      <c r="E4478" s="112">
        <v>20.0</v>
      </c>
      <c r="F4478" s="111" t="str">
        <f>DataPull!D4478</f>
        <v/>
      </c>
      <c r="G4478" s="94" t="str">
        <f t="shared" si="2"/>
        <v/>
      </c>
      <c r="H4478" s="94" t="str">
        <f t="shared" si="3"/>
        <v/>
      </c>
      <c r="I4478" s="94" t="str">
        <f t="shared" ref="I4478:J4478" si="4479">if(G4478 = "", , -G4478)</f>
        <v/>
      </c>
      <c r="J4478" s="94" t="str">
        <f t="shared" si="4479"/>
        <v/>
      </c>
      <c r="K4478" s="100"/>
      <c r="M4478" s="100"/>
      <c r="N4478" s="100"/>
      <c r="O4478" s="100"/>
      <c r="P4478" s="100"/>
    </row>
    <row r="4479">
      <c r="A4479" s="107">
        <v>1628495.0</v>
      </c>
      <c r="B4479" s="108" t="s">
        <v>191</v>
      </c>
      <c r="C4479" s="108" t="s">
        <v>1073</v>
      </c>
      <c r="D4479" s="112" t="s">
        <v>187</v>
      </c>
      <c r="E4479" s="112">
        <v>125.0</v>
      </c>
      <c r="F4479" s="111" t="str">
        <f>DataPull!D4479</f>
        <v/>
      </c>
      <c r="G4479" s="94" t="str">
        <f t="shared" si="2"/>
        <v/>
      </c>
      <c r="H4479" s="94" t="str">
        <f t="shared" si="3"/>
        <v/>
      </c>
      <c r="I4479" s="94" t="str">
        <f t="shared" ref="I4479:J4479" si="4480">if(G4479 = "", , -G4479)</f>
        <v/>
      </c>
      <c r="J4479" s="94" t="str">
        <f t="shared" si="4480"/>
        <v/>
      </c>
      <c r="K4479" s="100"/>
      <c r="L4479" s="100"/>
      <c r="N4479" s="100"/>
      <c r="O4479" s="100"/>
      <c r="P4479" s="100"/>
    </row>
    <row r="4480">
      <c r="A4480" s="107">
        <v>1628499.0</v>
      </c>
      <c r="B4480" s="108" t="s">
        <v>191</v>
      </c>
      <c r="C4480" s="108" t="s">
        <v>1074</v>
      </c>
      <c r="D4480" s="112" t="s">
        <v>187</v>
      </c>
      <c r="E4480" s="112">
        <v>122.4</v>
      </c>
      <c r="F4480" s="111" t="str">
        <f>DataPull!D4480</f>
        <v/>
      </c>
      <c r="G4480" s="94" t="str">
        <f t="shared" si="2"/>
        <v/>
      </c>
      <c r="H4480" s="94" t="str">
        <f t="shared" si="3"/>
        <v/>
      </c>
      <c r="I4480" s="94" t="str">
        <f t="shared" ref="I4480:J4480" si="4481">if(G4480 = "", , -G4480)</f>
        <v/>
      </c>
      <c r="J4480" s="94" t="str">
        <f t="shared" si="4481"/>
        <v/>
      </c>
      <c r="K4480" s="100"/>
      <c r="M4480" s="100"/>
      <c r="N4480" s="100"/>
      <c r="O4480" s="100"/>
      <c r="P4480" s="100"/>
    </row>
    <row r="4481">
      <c r="A4481" s="107">
        <v>1628499.0</v>
      </c>
      <c r="B4481" s="108" t="s">
        <v>193</v>
      </c>
      <c r="C4481" s="108" t="s">
        <v>1074</v>
      </c>
      <c r="D4481" s="112" t="s">
        <v>187</v>
      </c>
      <c r="E4481" s="112">
        <v>46.2</v>
      </c>
      <c r="F4481" s="111" t="str">
        <f>DataPull!D4481</f>
        <v/>
      </c>
      <c r="G4481" s="94" t="str">
        <f t="shared" si="2"/>
        <v/>
      </c>
      <c r="H4481" s="94" t="str">
        <f t="shared" si="3"/>
        <v/>
      </c>
      <c r="I4481" s="94" t="str">
        <f t="shared" ref="I4481:J4481" si="4482">if(G4481 = "", , -G4481)</f>
        <v/>
      </c>
      <c r="J4481" s="94" t="str">
        <f t="shared" si="4482"/>
        <v/>
      </c>
      <c r="K4481" s="100"/>
      <c r="M4481" s="100"/>
      <c r="N4481" s="100"/>
      <c r="O4481" s="100"/>
      <c r="P4481" s="100"/>
    </row>
    <row r="4482">
      <c r="A4482" s="107">
        <v>1628500.0</v>
      </c>
      <c r="B4482" s="108" t="s">
        <v>191</v>
      </c>
      <c r="C4482" s="108" t="s">
        <v>1075</v>
      </c>
      <c r="D4482" s="112" t="s">
        <v>181</v>
      </c>
      <c r="E4482" s="112">
        <v>9.2</v>
      </c>
      <c r="F4482" s="111" t="str">
        <f>DataPull!D4482</f>
        <v/>
      </c>
      <c r="G4482" s="94" t="str">
        <f t="shared" si="2"/>
        <v/>
      </c>
      <c r="H4482" s="94" t="str">
        <f t="shared" si="3"/>
        <v/>
      </c>
      <c r="I4482" s="94" t="str">
        <f t="shared" ref="I4482:J4482" si="4483">if(G4482 = "", , -G4482)</f>
        <v/>
      </c>
      <c r="J4482" s="94" t="str">
        <f t="shared" si="4483"/>
        <v/>
      </c>
      <c r="K4482" s="100"/>
      <c r="M4482" s="100"/>
      <c r="N4482" s="100"/>
      <c r="O4482" s="100"/>
      <c r="P4482" s="100"/>
    </row>
    <row r="4483">
      <c r="A4483" s="107">
        <v>1628502.0</v>
      </c>
      <c r="B4483" s="108" t="s">
        <v>191</v>
      </c>
      <c r="C4483" s="108" t="s">
        <v>1076</v>
      </c>
      <c r="D4483" s="112" t="s">
        <v>181</v>
      </c>
      <c r="E4483" s="112">
        <v>122.4</v>
      </c>
      <c r="F4483" s="111" t="str">
        <f>DataPull!D4483</f>
        <v/>
      </c>
      <c r="G4483" s="94" t="str">
        <f t="shared" si="2"/>
        <v/>
      </c>
      <c r="H4483" s="94" t="str">
        <f t="shared" si="3"/>
        <v/>
      </c>
      <c r="I4483" s="94" t="str">
        <f t="shared" ref="I4483:J4483" si="4484">if(G4483 = "", , -G4483)</f>
        <v/>
      </c>
      <c r="J4483" s="94" t="str">
        <f t="shared" si="4484"/>
        <v/>
      </c>
      <c r="K4483" s="100"/>
      <c r="M4483" s="100"/>
      <c r="N4483" s="100"/>
      <c r="O4483" s="100"/>
      <c r="P4483" s="100"/>
    </row>
    <row r="4484">
      <c r="A4484" s="114">
        <v>1628502.0</v>
      </c>
      <c r="B4484" s="113" t="s">
        <v>247</v>
      </c>
      <c r="C4484" s="113" t="s">
        <v>1077</v>
      </c>
      <c r="D4484" s="112"/>
      <c r="E4484" s="112">
        <v>194.4</v>
      </c>
      <c r="F4484" s="111" t="str">
        <f>DataPull!D4484</f>
        <v/>
      </c>
      <c r="G4484" s="94" t="str">
        <f t="shared" si="2"/>
        <v/>
      </c>
      <c r="H4484" s="94" t="str">
        <f t="shared" si="3"/>
        <v/>
      </c>
      <c r="I4484" s="94" t="str">
        <f t="shared" ref="I4484:J4484" si="4485">if(G4484 = "", , -G4484)</f>
        <v/>
      </c>
      <c r="J4484" s="94" t="str">
        <f t="shared" si="4485"/>
        <v/>
      </c>
      <c r="K4484" s="100"/>
      <c r="M4484" s="100"/>
      <c r="N4484" s="100"/>
      <c r="O4484" s="100"/>
      <c r="P4484" s="100"/>
    </row>
    <row r="4485">
      <c r="A4485" s="107">
        <v>1628503.0</v>
      </c>
      <c r="B4485" s="108" t="s">
        <v>191</v>
      </c>
      <c r="C4485" s="108" t="s">
        <v>1078</v>
      </c>
      <c r="D4485" s="112" t="s">
        <v>187</v>
      </c>
      <c r="E4485" s="112">
        <v>279.0</v>
      </c>
      <c r="F4485" s="111" t="str">
        <f>DataPull!D4485</f>
        <v/>
      </c>
      <c r="G4485" s="94" t="str">
        <f t="shared" si="2"/>
        <v/>
      </c>
      <c r="H4485" s="94" t="str">
        <f t="shared" si="3"/>
        <v/>
      </c>
      <c r="I4485" s="94" t="str">
        <f t="shared" ref="I4485:J4485" si="4486">if(G4485 = "", , -G4485)</f>
        <v/>
      </c>
      <c r="J4485" s="94" t="str">
        <f t="shared" si="4486"/>
        <v/>
      </c>
      <c r="K4485" s="100"/>
      <c r="M4485" s="100"/>
      <c r="N4485" s="100"/>
      <c r="O4485" s="100"/>
      <c r="P4485" s="100"/>
    </row>
    <row r="4486">
      <c r="A4486" s="107">
        <v>1628504.0</v>
      </c>
      <c r="B4486" s="108" t="s">
        <v>191</v>
      </c>
      <c r="C4486" s="108" t="s">
        <v>1079</v>
      </c>
      <c r="D4486" s="112"/>
      <c r="E4486" s="112">
        <v>118.0</v>
      </c>
      <c r="F4486" s="111" t="str">
        <f>DataPull!D4486</f>
        <v/>
      </c>
      <c r="G4486" s="94" t="str">
        <f t="shared" si="2"/>
        <v/>
      </c>
      <c r="H4486" s="94" t="str">
        <f t="shared" si="3"/>
        <v/>
      </c>
      <c r="I4486" s="94" t="str">
        <f t="shared" ref="I4486:J4486" si="4487">if(G4486 = "", , -G4486)</f>
        <v/>
      </c>
      <c r="J4486" s="94" t="str">
        <f t="shared" si="4487"/>
        <v/>
      </c>
      <c r="K4486" s="100"/>
      <c r="M4486" s="100"/>
      <c r="N4486" s="100"/>
      <c r="O4486" s="100"/>
      <c r="P4486" s="100"/>
    </row>
    <row r="4487">
      <c r="A4487" s="107">
        <v>1628505.0</v>
      </c>
      <c r="B4487" s="108" t="s">
        <v>192</v>
      </c>
      <c r="C4487" s="108" t="s">
        <v>1080</v>
      </c>
      <c r="D4487" s="112" t="s">
        <v>181</v>
      </c>
      <c r="E4487" s="112">
        <v>15.6</v>
      </c>
      <c r="F4487" s="111" t="str">
        <f>DataPull!D4487</f>
        <v/>
      </c>
      <c r="G4487" s="94" t="str">
        <f t="shared" si="2"/>
        <v/>
      </c>
      <c r="H4487" s="94" t="str">
        <f t="shared" si="3"/>
        <v/>
      </c>
      <c r="I4487" s="94" t="str">
        <f t="shared" ref="I4487:J4487" si="4488">if(G4487 = "", , -G4487)</f>
        <v/>
      </c>
      <c r="J4487" s="94" t="str">
        <f t="shared" si="4488"/>
        <v/>
      </c>
      <c r="K4487" s="100"/>
      <c r="M4487" s="100"/>
      <c r="N4487" s="100"/>
      <c r="O4487" s="100"/>
      <c r="P4487" s="100"/>
    </row>
    <row r="4488">
      <c r="A4488" s="107">
        <v>1628506.0</v>
      </c>
      <c r="B4488" s="108" t="s">
        <v>191</v>
      </c>
      <c r="C4488" s="108" t="s">
        <v>1081</v>
      </c>
      <c r="D4488" s="112" t="s">
        <v>187</v>
      </c>
      <c r="E4488" s="112">
        <v>65.8</v>
      </c>
      <c r="F4488" s="111" t="str">
        <f>DataPull!D4488</f>
        <v/>
      </c>
      <c r="G4488" s="94" t="str">
        <f t="shared" si="2"/>
        <v/>
      </c>
      <c r="H4488" s="94" t="str">
        <f t="shared" si="3"/>
        <v/>
      </c>
      <c r="I4488" s="94" t="str">
        <f t="shared" ref="I4488:J4488" si="4489">if(G4488 = "", , -G4488)</f>
        <v/>
      </c>
      <c r="J4488" s="94" t="str">
        <f t="shared" si="4489"/>
        <v/>
      </c>
      <c r="K4488" s="100"/>
      <c r="M4488" s="100"/>
      <c r="N4488" s="100"/>
      <c r="O4488" s="100"/>
      <c r="P4488" s="100"/>
    </row>
    <row r="4489">
      <c r="A4489" s="107">
        <v>1628510.0</v>
      </c>
      <c r="B4489" s="108" t="s">
        <v>191</v>
      </c>
      <c r="C4489" s="115" t="s">
        <v>1082</v>
      </c>
      <c r="D4489" s="112" t="s">
        <v>187</v>
      </c>
      <c r="E4489" s="112">
        <v>208.5</v>
      </c>
      <c r="F4489" s="111" t="str">
        <f>DataPull!D4489</f>
        <v/>
      </c>
      <c r="G4489" s="94" t="str">
        <f t="shared" si="2"/>
        <v/>
      </c>
      <c r="H4489" s="94" t="str">
        <f t="shared" si="3"/>
        <v/>
      </c>
      <c r="I4489" s="94" t="str">
        <f t="shared" ref="I4489:J4489" si="4490">if(G4489 = "", , -G4489)</f>
        <v/>
      </c>
      <c r="J4489" s="94" t="str">
        <f t="shared" si="4490"/>
        <v/>
      </c>
      <c r="K4489" s="100"/>
      <c r="M4489" s="100"/>
      <c r="N4489" s="100"/>
      <c r="O4489" s="100"/>
      <c r="P4489" s="100"/>
    </row>
    <row r="4490">
      <c r="A4490" s="107">
        <v>1628513.0</v>
      </c>
      <c r="B4490" s="108" t="s">
        <v>191</v>
      </c>
      <c r="C4490" s="108" t="s">
        <v>1083</v>
      </c>
      <c r="D4490" s="112" t="s">
        <v>181</v>
      </c>
      <c r="E4490" s="112">
        <v>0.5</v>
      </c>
      <c r="F4490" s="111" t="str">
        <f>DataPull!D4490</f>
        <v/>
      </c>
      <c r="G4490" s="94" t="str">
        <f t="shared" si="2"/>
        <v/>
      </c>
      <c r="H4490" s="94" t="str">
        <f t="shared" si="3"/>
        <v/>
      </c>
      <c r="I4490" s="94" t="str">
        <f t="shared" ref="I4490:J4490" si="4491">if(G4490 = "", , -G4490)</f>
        <v/>
      </c>
      <c r="J4490" s="94" t="str">
        <f t="shared" si="4491"/>
        <v/>
      </c>
      <c r="K4490" s="100"/>
      <c r="M4490" s="100"/>
      <c r="N4490" s="100"/>
      <c r="O4490" s="100"/>
      <c r="P4490" s="100"/>
    </row>
    <row r="4491">
      <c r="A4491" s="107">
        <v>1628513.0</v>
      </c>
      <c r="B4491" s="108" t="s">
        <v>192</v>
      </c>
      <c r="C4491" s="108" t="s">
        <v>1083</v>
      </c>
      <c r="D4491" s="112" t="s">
        <v>187</v>
      </c>
      <c r="E4491" s="112">
        <v>84.0</v>
      </c>
      <c r="F4491" s="111" t="str">
        <f>DataPull!D4491</f>
        <v/>
      </c>
      <c r="G4491" s="94" t="str">
        <f t="shared" si="2"/>
        <v/>
      </c>
      <c r="H4491" s="94" t="str">
        <f t="shared" si="3"/>
        <v/>
      </c>
      <c r="I4491" s="94" t="str">
        <f t="shared" ref="I4491:J4491" si="4492">if(G4491 = "", , -G4491)</f>
        <v/>
      </c>
      <c r="J4491" s="94" t="str">
        <f t="shared" si="4492"/>
        <v/>
      </c>
      <c r="K4491" s="100"/>
      <c r="M4491" s="100"/>
      <c r="N4491" s="100"/>
      <c r="O4491" s="100"/>
      <c r="P4491" s="100"/>
    </row>
    <row r="4492">
      <c r="A4492" s="107">
        <v>1628513.0</v>
      </c>
      <c r="B4492" s="108" t="s">
        <v>193</v>
      </c>
      <c r="C4492" s="108" t="s">
        <v>1083</v>
      </c>
      <c r="D4492" s="112" t="s">
        <v>181</v>
      </c>
      <c r="E4492" s="112">
        <v>47.0</v>
      </c>
      <c r="F4492" s="111" t="str">
        <f>DataPull!D4492</f>
        <v/>
      </c>
      <c r="G4492" s="94" t="str">
        <f t="shared" si="2"/>
        <v/>
      </c>
      <c r="H4492" s="94" t="str">
        <f t="shared" si="3"/>
        <v/>
      </c>
      <c r="I4492" s="94" t="str">
        <f t="shared" ref="I4492:J4492" si="4493">if(G4492 = "", , -G4492)</f>
        <v/>
      </c>
      <c r="J4492" s="94" t="str">
        <f t="shared" si="4493"/>
        <v/>
      </c>
      <c r="K4492" s="100"/>
      <c r="M4492" s="100"/>
      <c r="N4492" s="100"/>
      <c r="O4492" s="100"/>
      <c r="P4492" s="100"/>
    </row>
    <row r="4493">
      <c r="A4493" s="107">
        <v>1628515.0</v>
      </c>
      <c r="B4493" s="108" t="s">
        <v>192</v>
      </c>
      <c r="C4493" s="108" t="s">
        <v>1084</v>
      </c>
      <c r="D4493" s="112" t="s">
        <v>177</v>
      </c>
      <c r="E4493" s="112">
        <v>557.7</v>
      </c>
      <c r="F4493" s="111" t="str">
        <f>DataPull!D4493</f>
        <v/>
      </c>
      <c r="G4493" s="94" t="str">
        <f t="shared" si="2"/>
        <v/>
      </c>
      <c r="H4493" s="94" t="str">
        <f t="shared" si="3"/>
        <v/>
      </c>
      <c r="I4493" s="94" t="str">
        <f t="shared" ref="I4493:J4493" si="4494">if(G4493 = "", , -G4493)</f>
        <v/>
      </c>
      <c r="J4493" s="94" t="str">
        <f t="shared" si="4494"/>
        <v/>
      </c>
      <c r="K4493" s="100"/>
      <c r="M4493" s="100"/>
      <c r="N4493" s="100"/>
      <c r="O4493" s="100"/>
      <c r="P4493" s="100"/>
    </row>
    <row r="4494">
      <c r="A4494" s="107">
        <v>1628518.0</v>
      </c>
      <c r="B4494" s="108" t="s">
        <v>192</v>
      </c>
      <c r="C4494" s="108" t="s">
        <v>1085</v>
      </c>
      <c r="D4494" s="112" t="s">
        <v>187</v>
      </c>
      <c r="E4494" s="112">
        <v>68.4</v>
      </c>
      <c r="F4494" s="111" t="str">
        <f>DataPull!D4494</f>
        <v/>
      </c>
      <c r="G4494" s="94" t="str">
        <f t="shared" si="2"/>
        <v/>
      </c>
      <c r="H4494" s="94" t="str">
        <f t="shared" si="3"/>
        <v/>
      </c>
      <c r="I4494" s="94" t="str">
        <f t="shared" ref="I4494:J4494" si="4495">if(G4494 = "", , -G4494)</f>
        <v/>
      </c>
      <c r="J4494" s="94" t="str">
        <f t="shared" si="4495"/>
        <v/>
      </c>
      <c r="K4494" s="100"/>
      <c r="M4494" s="100"/>
      <c r="N4494" s="100"/>
      <c r="O4494" s="100"/>
      <c r="P4494" s="100"/>
    </row>
    <row r="4495">
      <c r="A4495" s="107">
        <v>1628518.0</v>
      </c>
      <c r="B4495" s="108" t="s">
        <v>193</v>
      </c>
      <c r="C4495" s="108" t="s">
        <v>1085</v>
      </c>
      <c r="D4495" s="112" t="s">
        <v>187</v>
      </c>
      <c r="E4495" s="112">
        <v>73.8</v>
      </c>
      <c r="F4495" s="111" t="str">
        <f>DataPull!D4495</f>
        <v/>
      </c>
      <c r="G4495" s="94" t="str">
        <f t="shared" si="2"/>
        <v/>
      </c>
      <c r="H4495" s="94" t="str">
        <f t="shared" si="3"/>
        <v/>
      </c>
      <c r="I4495" s="94" t="str">
        <f t="shared" ref="I4495:J4495" si="4496">if(G4495 = "", , -G4495)</f>
        <v/>
      </c>
      <c r="J4495" s="94" t="str">
        <f t="shared" si="4496"/>
        <v/>
      </c>
      <c r="K4495" s="100"/>
      <c r="M4495" s="100"/>
      <c r="N4495" s="100"/>
      <c r="O4495" s="100"/>
      <c r="P4495" s="100"/>
    </row>
    <row r="4496">
      <c r="A4496" s="107">
        <v>1628537.0</v>
      </c>
      <c r="B4496" s="108" t="s">
        <v>191</v>
      </c>
      <c r="C4496" s="108" t="s">
        <v>1086</v>
      </c>
      <c r="D4496" s="112" t="s">
        <v>181</v>
      </c>
      <c r="E4496" s="112">
        <v>98.4</v>
      </c>
      <c r="F4496" s="111" t="str">
        <f>DataPull!D4496</f>
        <v/>
      </c>
      <c r="G4496" s="94" t="str">
        <f t="shared" si="2"/>
        <v/>
      </c>
      <c r="H4496" s="94" t="str">
        <f t="shared" si="3"/>
        <v/>
      </c>
      <c r="I4496" s="94" t="str">
        <f t="shared" ref="I4496:J4496" si="4497">if(G4496 = "", , -G4496)</f>
        <v/>
      </c>
      <c r="J4496" s="94" t="str">
        <f t="shared" si="4497"/>
        <v/>
      </c>
      <c r="K4496" s="100"/>
      <c r="M4496" s="100"/>
      <c r="N4496" s="100"/>
      <c r="O4496" s="100"/>
      <c r="P4496" s="100"/>
    </row>
    <row r="4497">
      <c r="A4497" s="107">
        <v>1628537.0</v>
      </c>
      <c r="B4497" s="108" t="s">
        <v>192</v>
      </c>
      <c r="C4497" s="108" t="s">
        <v>1086</v>
      </c>
      <c r="D4497" s="112" t="s">
        <v>181</v>
      </c>
      <c r="E4497" s="112">
        <v>28.4</v>
      </c>
      <c r="F4497" s="111" t="str">
        <f>DataPull!D4497</f>
        <v/>
      </c>
      <c r="G4497" s="94" t="str">
        <f t="shared" si="2"/>
        <v/>
      </c>
      <c r="H4497" s="94" t="str">
        <f t="shared" si="3"/>
        <v/>
      </c>
      <c r="I4497" s="94" t="str">
        <f t="shared" ref="I4497:J4497" si="4498">if(G4497 = "", , -G4497)</f>
        <v/>
      </c>
      <c r="J4497" s="94" t="str">
        <f t="shared" si="4498"/>
        <v/>
      </c>
      <c r="K4497" s="100"/>
      <c r="M4497" s="100"/>
      <c r="N4497" s="100"/>
      <c r="O4497" s="100"/>
      <c r="P4497" s="100"/>
    </row>
    <row r="4498">
      <c r="A4498" s="107">
        <v>1628537.0</v>
      </c>
      <c r="B4498" s="108" t="s">
        <v>215</v>
      </c>
      <c r="C4498" s="108" t="s">
        <v>1086</v>
      </c>
      <c r="D4498" s="112" t="s">
        <v>181</v>
      </c>
      <c r="E4498" s="112">
        <v>15.9</v>
      </c>
      <c r="F4498" s="111" t="str">
        <f>DataPull!D4498</f>
        <v/>
      </c>
      <c r="G4498" s="94" t="str">
        <f t="shared" si="2"/>
        <v/>
      </c>
      <c r="H4498" s="94" t="str">
        <f t="shared" si="3"/>
        <v/>
      </c>
      <c r="I4498" s="94" t="str">
        <f t="shared" ref="I4498:J4498" si="4499">if(G4498 = "", , -G4498)</f>
        <v/>
      </c>
      <c r="J4498" s="94" t="str">
        <f t="shared" si="4499"/>
        <v/>
      </c>
      <c r="K4498" s="100"/>
      <c r="M4498" s="100"/>
      <c r="N4498" s="100"/>
      <c r="O4498" s="100"/>
      <c r="P4498" s="100"/>
    </row>
    <row r="4499">
      <c r="A4499" s="107">
        <v>1628539.0</v>
      </c>
      <c r="B4499" s="108" t="s">
        <v>193</v>
      </c>
      <c r="C4499" s="108" t="s">
        <v>1087</v>
      </c>
      <c r="D4499" s="112" t="s">
        <v>181</v>
      </c>
      <c r="E4499" s="112">
        <v>203.7</v>
      </c>
      <c r="F4499" s="111" t="str">
        <f>DataPull!D4499</f>
        <v/>
      </c>
      <c r="G4499" s="94" t="str">
        <f t="shared" si="2"/>
        <v/>
      </c>
      <c r="H4499" s="94" t="str">
        <f t="shared" si="3"/>
        <v/>
      </c>
      <c r="I4499" s="94" t="str">
        <f t="shared" ref="I4499:J4499" si="4500">if(G4499 = "", , -G4499)</f>
        <v/>
      </c>
      <c r="J4499" s="94" t="str">
        <f t="shared" si="4500"/>
        <v/>
      </c>
      <c r="K4499" s="100"/>
      <c r="M4499" s="100"/>
      <c r="N4499" s="100"/>
      <c r="O4499" s="100"/>
      <c r="P4499" s="100"/>
    </row>
    <row r="4500">
      <c r="A4500" s="107">
        <v>1628539.0</v>
      </c>
      <c r="B4500" s="108" t="s">
        <v>243</v>
      </c>
      <c r="C4500" s="108" t="s">
        <v>1087</v>
      </c>
      <c r="D4500" s="112" t="s">
        <v>177</v>
      </c>
      <c r="E4500" s="112">
        <v>768.0</v>
      </c>
      <c r="F4500" s="111" t="str">
        <f>DataPull!D4500</f>
        <v/>
      </c>
      <c r="G4500" s="94" t="str">
        <f t="shared" si="2"/>
        <v/>
      </c>
      <c r="H4500" s="94" t="str">
        <f t="shared" si="3"/>
        <v/>
      </c>
      <c r="I4500" s="94" t="str">
        <f t="shared" ref="I4500:J4500" si="4501">if(G4500 = "", , -G4500)</f>
        <v/>
      </c>
      <c r="J4500" s="94" t="str">
        <f t="shared" si="4501"/>
        <v/>
      </c>
      <c r="K4500" s="100"/>
      <c r="M4500" s="100"/>
      <c r="N4500" s="100"/>
      <c r="O4500" s="100"/>
      <c r="P4500" s="100"/>
    </row>
    <row r="4501">
      <c r="A4501" s="107">
        <v>1628539.0</v>
      </c>
      <c r="B4501" s="108" t="s">
        <v>215</v>
      </c>
      <c r="C4501" s="108" t="s">
        <v>1087</v>
      </c>
      <c r="D4501" s="112" t="s">
        <v>187</v>
      </c>
      <c r="E4501" s="112">
        <v>239.7</v>
      </c>
      <c r="F4501" s="111" t="str">
        <f>DataPull!D4501</f>
        <v/>
      </c>
      <c r="G4501" s="94" t="str">
        <f t="shared" si="2"/>
        <v/>
      </c>
      <c r="H4501" s="94" t="str">
        <f t="shared" si="3"/>
        <v/>
      </c>
      <c r="I4501" s="94" t="str">
        <f t="shared" ref="I4501:J4501" si="4502">if(G4501 = "", , -G4501)</f>
        <v/>
      </c>
      <c r="J4501" s="94" t="str">
        <f t="shared" si="4502"/>
        <v/>
      </c>
      <c r="K4501" s="100"/>
      <c r="M4501" s="100"/>
      <c r="N4501" s="100"/>
      <c r="O4501" s="100"/>
      <c r="P4501" s="100"/>
    </row>
    <row r="4502">
      <c r="A4502" s="107">
        <v>1628571.0</v>
      </c>
      <c r="B4502" s="108" t="s">
        <v>191</v>
      </c>
      <c r="C4502" s="108" t="s">
        <v>1088</v>
      </c>
      <c r="D4502" s="112" t="s">
        <v>181</v>
      </c>
      <c r="E4502" s="112">
        <v>7.6</v>
      </c>
      <c r="F4502" s="111" t="str">
        <f>DataPull!D4502</f>
        <v/>
      </c>
      <c r="G4502" s="94" t="str">
        <f t="shared" si="2"/>
        <v/>
      </c>
      <c r="H4502" s="94" t="str">
        <f t="shared" si="3"/>
        <v/>
      </c>
      <c r="I4502" s="94" t="str">
        <f t="shared" ref="I4502:J4502" si="4503">if(G4502 = "", , -G4502)</f>
        <v/>
      </c>
      <c r="J4502" s="94" t="str">
        <f t="shared" si="4503"/>
        <v/>
      </c>
      <c r="K4502" s="100"/>
      <c r="M4502" s="100"/>
      <c r="N4502" s="100"/>
      <c r="O4502" s="100"/>
      <c r="P4502" s="100"/>
    </row>
    <row r="4503">
      <c r="A4503" s="107">
        <v>1628578.0</v>
      </c>
      <c r="B4503" s="108" t="s">
        <v>243</v>
      </c>
      <c r="C4503" s="108" t="s">
        <v>1089</v>
      </c>
      <c r="D4503" s="112" t="s">
        <v>181</v>
      </c>
      <c r="E4503" s="112">
        <v>29.5</v>
      </c>
      <c r="F4503" s="111" t="str">
        <f>DataPull!D4503</f>
        <v/>
      </c>
      <c r="G4503" s="94" t="str">
        <f t="shared" si="2"/>
        <v/>
      </c>
      <c r="H4503" s="94" t="str">
        <f t="shared" si="3"/>
        <v/>
      </c>
      <c r="I4503" s="94" t="str">
        <f t="shared" ref="I4503:J4503" si="4504">if(G4503 = "", , -G4503)</f>
        <v/>
      </c>
      <c r="J4503" s="94" t="str">
        <f t="shared" si="4504"/>
        <v/>
      </c>
      <c r="K4503" s="100"/>
      <c r="M4503" s="100"/>
      <c r="N4503" s="100"/>
      <c r="O4503" s="100"/>
      <c r="P4503" s="100"/>
    </row>
    <row r="4504">
      <c r="A4504" s="107">
        <v>1628591.0</v>
      </c>
      <c r="B4504" s="108" t="s">
        <v>215</v>
      </c>
      <c r="C4504" s="108" t="s">
        <v>1090</v>
      </c>
      <c r="D4504" s="112" t="s">
        <v>181</v>
      </c>
      <c r="E4504" s="112">
        <v>18.9</v>
      </c>
      <c r="F4504" s="111" t="str">
        <f>DataPull!D4504</f>
        <v/>
      </c>
      <c r="G4504" s="94" t="str">
        <f t="shared" si="2"/>
        <v/>
      </c>
      <c r="H4504" s="94" t="str">
        <f t="shared" si="3"/>
        <v/>
      </c>
      <c r="I4504" s="94" t="str">
        <f t="shared" ref="I4504:J4504" si="4505">if(G4504 = "", , -G4504)</f>
        <v/>
      </c>
      <c r="J4504" s="94" t="str">
        <f t="shared" si="4505"/>
        <v/>
      </c>
      <c r="K4504" s="100"/>
      <c r="M4504" s="100"/>
      <c r="N4504" s="100"/>
      <c r="O4504" s="100"/>
      <c r="P4504" s="100"/>
    </row>
    <row r="4505">
      <c r="A4505" s="107">
        <v>1628605.0</v>
      </c>
      <c r="B4505" s="108" t="s">
        <v>192</v>
      </c>
      <c r="C4505" s="108" t="s">
        <v>1091</v>
      </c>
      <c r="D4505" s="112" t="s">
        <v>181</v>
      </c>
      <c r="E4505" s="112">
        <v>26.0</v>
      </c>
      <c r="F4505" s="111" t="str">
        <f>DataPull!D4505</f>
        <v/>
      </c>
      <c r="G4505" s="94" t="str">
        <f t="shared" si="2"/>
        <v/>
      </c>
      <c r="H4505" s="94" t="str">
        <f t="shared" si="3"/>
        <v/>
      </c>
      <c r="I4505" s="94" t="str">
        <f t="shared" ref="I4505:J4505" si="4506">if(G4505 = "", , -G4505)</f>
        <v/>
      </c>
      <c r="J4505" s="94" t="str">
        <f t="shared" si="4506"/>
        <v/>
      </c>
      <c r="K4505" s="100"/>
      <c r="M4505" s="100"/>
      <c r="N4505" s="100"/>
      <c r="O4505" s="100"/>
      <c r="P4505" s="100"/>
    </row>
    <row r="4506">
      <c r="A4506" s="107">
        <v>1628605.0</v>
      </c>
      <c r="B4506" s="108" t="s">
        <v>193</v>
      </c>
      <c r="C4506" s="108" t="s">
        <v>1091</v>
      </c>
      <c r="D4506" s="112" t="s">
        <v>181</v>
      </c>
      <c r="E4506" s="112">
        <v>13.4</v>
      </c>
      <c r="F4506" s="111" t="str">
        <f>DataPull!D4506</f>
        <v/>
      </c>
      <c r="G4506" s="94" t="str">
        <f t="shared" si="2"/>
        <v/>
      </c>
      <c r="H4506" s="94" t="str">
        <f t="shared" si="3"/>
        <v/>
      </c>
      <c r="I4506" s="94" t="str">
        <f t="shared" ref="I4506:J4506" si="4507">if(G4506 = "", , -G4506)</f>
        <v/>
      </c>
      <c r="J4506" s="94" t="str">
        <f t="shared" si="4507"/>
        <v/>
      </c>
      <c r="K4506" s="100"/>
      <c r="M4506" s="100"/>
      <c r="N4506" s="100"/>
      <c r="O4506" s="100"/>
      <c r="P4506" s="100"/>
    </row>
    <row r="4507">
      <c r="A4507" s="107">
        <v>1628656.0</v>
      </c>
      <c r="B4507" s="108" t="s">
        <v>192</v>
      </c>
      <c r="C4507" s="108" t="s">
        <v>1092</v>
      </c>
      <c r="D4507" s="112" t="s">
        <v>181</v>
      </c>
      <c r="E4507" s="112">
        <v>63.6</v>
      </c>
      <c r="F4507" s="111" t="str">
        <f>DataPull!D4507</f>
        <v/>
      </c>
      <c r="G4507" s="94" t="str">
        <f t="shared" si="2"/>
        <v/>
      </c>
      <c r="H4507" s="94" t="str">
        <f t="shared" si="3"/>
        <v/>
      </c>
      <c r="I4507" s="94" t="str">
        <f t="shared" ref="I4507:J4507" si="4508">if(G4507 = "", , -G4507)</f>
        <v/>
      </c>
      <c r="J4507" s="94" t="str">
        <f t="shared" si="4508"/>
        <v/>
      </c>
      <c r="K4507" s="100"/>
      <c r="M4507" s="100"/>
      <c r="N4507" s="100"/>
      <c r="O4507" s="100"/>
      <c r="P4507" s="100"/>
    </row>
    <row r="4508">
      <c r="A4508" s="107">
        <v>1628681.0</v>
      </c>
      <c r="B4508" s="108" t="s">
        <v>191</v>
      </c>
      <c r="C4508" s="108" t="s">
        <v>1093</v>
      </c>
      <c r="D4508" s="112" t="s">
        <v>187</v>
      </c>
      <c r="E4508" s="112">
        <v>289.6</v>
      </c>
      <c r="F4508" s="111" t="str">
        <f>DataPull!D4508</f>
        <v/>
      </c>
      <c r="G4508" s="94" t="str">
        <f t="shared" si="2"/>
        <v/>
      </c>
      <c r="H4508" s="94" t="str">
        <f t="shared" si="3"/>
        <v/>
      </c>
      <c r="I4508" s="94" t="str">
        <f t="shared" ref="I4508:J4508" si="4509">if(G4508 = "", , -G4508)</f>
        <v/>
      </c>
      <c r="J4508" s="94" t="str">
        <f t="shared" si="4509"/>
        <v/>
      </c>
      <c r="K4508" s="100"/>
      <c r="M4508" s="100"/>
      <c r="N4508" s="100"/>
      <c r="O4508" s="100"/>
      <c r="P4508" s="100"/>
    </row>
    <row r="4509">
      <c r="A4509" s="107">
        <v>1628769.0</v>
      </c>
      <c r="B4509" s="108" t="s">
        <v>192</v>
      </c>
      <c r="C4509" s="108" t="s">
        <v>1094</v>
      </c>
      <c r="D4509" s="112" t="s">
        <v>181</v>
      </c>
      <c r="E4509" s="112">
        <v>8.0</v>
      </c>
      <c r="F4509" s="111" t="str">
        <f>DataPull!D4509</f>
        <v/>
      </c>
      <c r="G4509" s="94" t="str">
        <f t="shared" si="2"/>
        <v/>
      </c>
      <c r="H4509" s="94" t="str">
        <f t="shared" si="3"/>
        <v/>
      </c>
      <c r="I4509" s="94" t="str">
        <f t="shared" ref="I4509:J4509" si="4510">if(G4509 = "", , -G4509)</f>
        <v/>
      </c>
      <c r="J4509" s="94" t="str">
        <f t="shared" si="4510"/>
        <v/>
      </c>
      <c r="K4509" s="100"/>
      <c r="M4509" s="100"/>
      <c r="N4509" s="100"/>
      <c r="O4509" s="100"/>
      <c r="P4509" s="100"/>
    </row>
    <row r="4510">
      <c r="A4510" s="107">
        <v>1628778.0</v>
      </c>
      <c r="B4510" s="108" t="s">
        <v>193</v>
      </c>
      <c r="C4510" s="108" t="s">
        <v>1095</v>
      </c>
      <c r="D4510" s="112" t="s">
        <v>187</v>
      </c>
      <c r="E4510" s="112">
        <v>87.0</v>
      </c>
      <c r="F4510" s="111" t="str">
        <f>DataPull!D4510</f>
        <v/>
      </c>
      <c r="G4510" s="94" t="str">
        <f t="shared" si="2"/>
        <v/>
      </c>
      <c r="H4510" s="94" t="str">
        <f t="shared" si="3"/>
        <v/>
      </c>
      <c r="I4510" s="94" t="str">
        <f t="shared" ref="I4510:J4510" si="4511">if(G4510 = "", , -G4510)</f>
        <v/>
      </c>
      <c r="J4510" s="94" t="str">
        <f t="shared" si="4511"/>
        <v/>
      </c>
      <c r="K4510" s="100"/>
      <c r="M4510" s="100"/>
      <c r="N4510" s="100"/>
      <c r="O4510" s="100"/>
      <c r="P4510" s="100"/>
    </row>
    <row r="4511">
      <c r="A4511" s="107">
        <v>1628778.0</v>
      </c>
      <c r="B4511" s="108" t="s">
        <v>243</v>
      </c>
      <c r="C4511" s="108" t="s">
        <v>1095</v>
      </c>
      <c r="D4511" s="112" t="s">
        <v>187</v>
      </c>
      <c r="E4511" s="112">
        <v>297.0</v>
      </c>
      <c r="F4511" s="111" t="str">
        <f>DataPull!D4511</f>
        <v/>
      </c>
      <c r="G4511" s="94" t="str">
        <f t="shared" si="2"/>
        <v/>
      </c>
      <c r="H4511" s="94" t="str">
        <f t="shared" si="3"/>
        <v/>
      </c>
      <c r="I4511" s="94" t="str">
        <f t="shared" ref="I4511:J4511" si="4512">if(G4511 = "", , -G4511)</f>
        <v/>
      </c>
      <c r="J4511" s="94" t="str">
        <f t="shared" si="4512"/>
        <v/>
      </c>
      <c r="K4511" s="100"/>
      <c r="M4511" s="100"/>
      <c r="N4511" s="100"/>
      <c r="O4511" s="100"/>
      <c r="P4511" s="100"/>
    </row>
    <row r="4512">
      <c r="A4512" s="107">
        <v>1628778.0</v>
      </c>
      <c r="B4512" s="108" t="s">
        <v>215</v>
      </c>
      <c r="C4512" s="108" t="s">
        <v>1095</v>
      </c>
      <c r="D4512" s="112" t="s">
        <v>187</v>
      </c>
      <c r="E4512" s="112">
        <v>156.6</v>
      </c>
      <c r="F4512" s="111" t="str">
        <f>DataPull!D4512</f>
        <v/>
      </c>
      <c r="G4512" s="94" t="str">
        <f t="shared" si="2"/>
        <v/>
      </c>
      <c r="H4512" s="94" t="str">
        <f t="shared" si="3"/>
        <v/>
      </c>
      <c r="I4512" s="94" t="str">
        <f t="shared" ref="I4512:J4512" si="4513">if(G4512 = "", , -G4512)</f>
        <v/>
      </c>
      <c r="J4512" s="94" t="str">
        <f t="shared" si="4513"/>
        <v/>
      </c>
      <c r="K4512" s="100"/>
      <c r="L4512" s="100"/>
      <c r="N4512" s="100"/>
      <c r="O4512" s="100"/>
      <c r="P4512" s="100"/>
    </row>
    <row r="4513">
      <c r="A4513" s="107">
        <v>1628935.0</v>
      </c>
      <c r="B4513" s="108" t="s">
        <v>191</v>
      </c>
      <c r="C4513" s="108" t="s">
        <v>1096</v>
      </c>
      <c r="D4513" s="112" t="s">
        <v>181</v>
      </c>
      <c r="E4513" s="112">
        <v>34.5</v>
      </c>
      <c r="F4513" s="111" t="str">
        <f>DataPull!D4513</f>
        <v/>
      </c>
      <c r="G4513" s="94" t="str">
        <f t="shared" si="2"/>
        <v/>
      </c>
      <c r="H4513" s="94" t="str">
        <f t="shared" si="3"/>
        <v/>
      </c>
      <c r="I4513" s="94" t="str">
        <f t="shared" ref="I4513:J4513" si="4514">if(G4513 = "", , -G4513)</f>
        <v/>
      </c>
      <c r="J4513" s="94" t="str">
        <f t="shared" si="4514"/>
        <v/>
      </c>
      <c r="K4513" s="100"/>
      <c r="M4513" s="100"/>
      <c r="N4513" s="100"/>
      <c r="O4513" s="100"/>
      <c r="P4513" s="100"/>
    </row>
    <row r="4514">
      <c r="A4514" s="107">
        <v>1628959.0</v>
      </c>
      <c r="B4514" s="108" t="s">
        <v>192</v>
      </c>
      <c r="C4514" s="108" t="s">
        <v>1097</v>
      </c>
      <c r="D4514" s="112" t="s">
        <v>187</v>
      </c>
      <c r="E4514" s="112">
        <v>120.0</v>
      </c>
      <c r="F4514" s="111" t="str">
        <f>DataPull!D4514</f>
        <v/>
      </c>
      <c r="G4514" s="94" t="str">
        <f t="shared" si="2"/>
        <v/>
      </c>
      <c r="H4514" s="94" t="str">
        <f t="shared" si="3"/>
        <v/>
      </c>
      <c r="I4514" s="94" t="str">
        <f t="shared" ref="I4514:J4514" si="4515">if(G4514 = "", , -G4514)</f>
        <v/>
      </c>
      <c r="J4514" s="94" t="str">
        <f t="shared" si="4515"/>
        <v/>
      </c>
      <c r="K4514" s="100"/>
      <c r="L4514" s="100"/>
      <c r="N4514" s="100"/>
      <c r="O4514" s="100"/>
      <c r="P4514" s="100"/>
    </row>
    <row r="4515">
      <c r="A4515" s="107">
        <v>1628960.0</v>
      </c>
      <c r="B4515" s="108" t="s">
        <v>192</v>
      </c>
      <c r="C4515" s="108" t="s">
        <v>1098</v>
      </c>
      <c r="D4515" s="112" t="s">
        <v>177</v>
      </c>
      <c r="E4515" s="112">
        <v>418.0</v>
      </c>
      <c r="F4515" s="111" t="str">
        <f>DataPull!D4515</f>
        <v/>
      </c>
      <c r="G4515" s="94" t="str">
        <f t="shared" si="2"/>
        <v/>
      </c>
      <c r="H4515" s="94" t="str">
        <f t="shared" si="3"/>
        <v/>
      </c>
      <c r="I4515" s="94" t="str">
        <f t="shared" ref="I4515:J4515" si="4516">if(G4515 = "", , -G4515)</f>
        <v/>
      </c>
      <c r="J4515" s="94" t="str">
        <f t="shared" si="4516"/>
        <v/>
      </c>
      <c r="K4515" s="100"/>
      <c r="M4515" s="100"/>
      <c r="N4515" s="100"/>
      <c r="O4515" s="100"/>
      <c r="P4515" s="100"/>
    </row>
    <row r="4516">
      <c r="A4516" s="107">
        <v>1628960.0</v>
      </c>
      <c r="B4516" s="108" t="s">
        <v>193</v>
      </c>
      <c r="C4516" s="108" t="s">
        <v>1098</v>
      </c>
      <c r="D4516" s="112" t="s">
        <v>176</v>
      </c>
      <c r="E4516" s="112">
        <v>718.2</v>
      </c>
      <c r="F4516" s="111" t="str">
        <f>DataPull!D4516</f>
        <v/>
      </c>
      <c r="G4516" s="94" t="str">
        <f t="shared" si="2"/>
        <v/>
      </c>
      <c r="H4516" s="94" t="str">
        <f t="shared" si="3"/>
        <v/>
      </c>
      <c r="I4516" s="94" t="str">
        <f t="shared" ref="I4516:J4516" si="4517">if(G4516 = "", , -G4516)</f>
        <v/>
      </c>
      <c r="J4516" s="94" t="str">
        <f t="shared" si="4517"/>
        <v/>
      </c>
      <c r="K4516" s="100"/>
      <c r="L4516" s="100"/>
      <c r="M4516" s="100"/>
      <c r="N4516" s="100"/>
      <c r="O4516" s="100"/>
      <c r="P4516" s="100"/>
    </row>
    <row r="4517">
      <c r="A4517" s="107">
        <v>1628960.0</v>
      </c>
      <c r="B4517" s="108" t="s">
        <v>243</v>
      </c>
      <c r="C4517" s="108" t="s">
        <v>1098</v>
      </c>
      <c r="D4517" s="112" t="s">
        <v>178</v>
      </c>
      <c r="E4517" s="112">
        <v>1260.0</v>
      </c>
      <c r="F4517" s="111" t="str">
        <f>DataPull!D4517</f>
        <v/>
      </c>
      <c r="G4517" s="94" t="str">
        <f t="shared" si="2"/>
        <v/>
      </c>
      <c r="H4517" s="94" t="str">
        <f t="shared" si="3"/>
        <v/>
      </c>
      <c r="I4517" s="94" t="str">
        <f t="shared" ref="I4517:J4517" si="4518">if(G4517 = "", , -G4517)</f>
        <v/>
      </c>
      <c r="J4517" s="94" t="str">
        <f t="shared" si="4518"/>
        <v/>
      </c>
      <c r="K4517" s="100"/>
      <c r="M4517" s="100"/>
      <c r="N4517" s="100"/>
      <c r="O4517" s="100"/>
      <c r="P4517" s="100"/>
    </row>
    <row r="4518">
      <c r="A4518" s="107">
        <v>1628960.0</v>
      </c>
      <c r="B4518" s="108" t="s">
        <v>215</v>
      </c>
      <c r="C4518" s="108" t="s">
        <v>1098</v>
      </c>
      <c r="D4518" s="112" t="s">
        <v>178</v>
      </c>
      <c r="E4518" s="112">
        <v>1801.8</v>
      </c>
      <c r="F4518" s="111" t="str">
        <f>DataPull!D4518</f>
        <v/>
      </c>
      <c r="G4518" s="94" t="str">
        <f t="shared" si="2"/>
        <v/>
      </c>
      <c r="H4518" s="94" t="str">
        <f t="shared" si="3"/>
        <v/>
      </c>
      <c r="I4518" s="94" t="str">
        <f t="shared" ref="I4518:J4518" si="4519">if(G4518 = "", , -G4518)</f>
        <v/>
      </c>
      <c r="J4518" s="94" t="str">
        <f t="shared" si="4519"/>
        <v/>
      </c>
      <c r="K4518" s="100"/>
      <c r="M4518" s="100"/>
      <c r="N4518" s="100"/>
      <c r="O4518" s="100"/>
      <c r="P4518" s="100"/>
    </row>
    <row r="4519">
      <c r="A4519" s="107">
        <v>1628960.0</v>
      </c>
      <c r="B4519" s="108" t="s">
        <v>244</v>
      </c>
      <c r="C4519" s="108" t="s">
        <v>1098</v>
      </c>
      <c r="D4519" s="112" t="s">
        <v>178</v>
      </c>
      <c r="E4519" s="112">
        <v>1972.8</v>
      </c>
      <c r="F4519" s="111" t="str">
        <f>DataPull!D4519</f>
        <v/>
      </c>
      <c r="G4519" s="94" t="str">
        <f t="shared" si="2"/>
        <v/>
      </c>
      <c r="H4519" s="94" t="str">
        <f t="shared" si="3"/>
        <v/>
      </c>
      <c r="I4519" s="94" t="str">
        <f t="shared" ref="I4519:J4519" si="4520">if(G4519 = "", , -G4519)</f>
        <v/>
      </c>
      <c r="J4519" s="94" t="str">
        <f t="shared" si="4520"/>
        <v/>
      </c>
      <c r="K4519" s="100"/>
      <c r="M4519" s="100"/>
      <c r="N4519" s="100"/>
      <c r="O4519" s="100"/>
      <c r="P4519" s="100"/>
    </row>
    <row r="4520">
      <c r="A4520" s="107">
        <v>1628960.0</v>
      </c>
      <c r="B4520" s="108" t="s">
        <v>245</v>
      </c>
      <c r="C4520" s="108" t="s">
        <v>1098</v>
      </c>
      <c r="D4520" s="112" t="s">
        <v>178</v>
      </c>
      <c r="E4520" s="112">
        <v>2512.5</v>
      </c>
      <c r="F4520" s="111" t="str">
        <f>DataPull!D4520</f>
        <v/>
      </c>
      <c r="G4520" s="94" t="str">
        <f t="shared" si="2"/>
        <v/>
      </c>
      <c r="H4520" s="94" t="str">
        <f t="shared" si="3"/>
        <v/>
      </c>
      <c r="I4520" s="94" t="str">
        <f t="shared" ref="I4520:J4520" si="4521">if(G4520 = "", , -G4520)</f>
        <v/>
      </c>
      <c r="J4520" s="94" t="str">
        <f t="shared" si="4521"/>
        <v/>
      </c>
      <c r="K4520" s="100"/>
      <c r="L4520" s="100"/>
      <c r="M4520" s="100"/>
      <c r="N4520" s="100"/>
      <c r="O4520" s="100"/>
      <c r="P4520" s="100"/>
    </row>
    <row r="4521">
      <c r="A4521" s="107">
        <v>1628960.0</v>
      </c>
      <c r="B4521" s="108" t="s">
        <v>246</v>
      </c>
      <c r="C4521" s="108" t="s">
        <v>1098</v>
      </c>
      <c r="D4521" s="112" t="s">
        <v>176</v>
      </c>
      <c r="E4521" s="112">
        <v>1542.4</v>
      </c>
      <c r="F4521" s="111" t="str">
        <f>DataPull!D4521</f>
        <v/>
      </c>
      <c r="G4521" s="94" t="str">
        <f t="shared" si="2"/>
        <v/>
      </c>
      <c r="H4521" s="94" t="str">
        <f t="shared" si="3"/>
        <v/>
      </c>
      <c r="I4521" s="94" t="str">
        <f t="shared" ref="I4521:J4521" si="4522">if(G4521 = "", , -G4521)</f>
        <v/>
      </c>
      <c r="J4521" s="94" t="str">
        <f t="shared" si="4522"/>
        <v/>
      </c>
      <c r="K4521" s="100"/>
      <c r="M4521" s="100"/>
      <c r="N4521" s="100"/>
      <c r="O4521" s="100"/>
      <c r="P4521" s="100"/>
    </row>
    <row r="4522">
      <c r="A4522" s="114">
        <v>1628960.0</v>
      </c>
      <c r="B4522" s="113" t="s">
        <v>247</v>
      </c>
      <c r="C4522" s="113" t="s">
        <v>1098</v>
      </c>
      <c r="D4522" s="112" t="s">
        <v>178</v>
      </c>
      <c r="E4522" s="112">
        <v>1468.8</v>
      </c>
      <c r="F4522" s="111" t="str">
        <f>DataPull!D4522</f>
        <v/>
      </c>
      <c r="G4522" s="94" t="str">
        <f t="shared" si="2"/>
        <v/>
      </c>
      <c r="H4522" s="94" t="str">
        <f t="shared" si="3"/>
        <v/>
      </c>
      <c r="I4522" s="94" t="str">
        <f t="shared" ref="I4522:J4522" si="4523">if(G4522 = "", , -G4522)</f>
        <v/>
      </c>
      <c r="J4522" s="94" t="str">
        <f t="shared" si="4523"/>
        <v/>
      </c>
      <c r="K4522" s="100"/>
      <c r="M4522" s="100"/>
      <c r="N4522" s="100"/>
      <c r="O4522" s="100"/>
      <c r="P4522" s="100"/>
    </row>
    <row r="4523">
      <c r="A4523" s="107">
        <v>1628961.0</v>
      </c>
      <c r="B4523" s="108" t="s">
        <v>192</v>
      </c>
      <c r="C4523" s="108" t="s">
        <v>1099</v>
      </c>
      <c r="D4523" s="112" t="s">
        <v>181</v>
      </c>
      <c r="E4523" s="112">
        <v>10.6</v>
      </c>
      <c r="F4523" s="111" t="str">
        <f>DataPull!D4523</f>
        <v/>
      </c>
      <c r="G4523" s="94" t="str">
        <f t="shared" si="2"/>
        <v/>
      </c>
      <c r="H4523" s="94" t="str">
        <f t="shared" si="3"/>
        <v/>
      </c>
      <c r="I4523" s="94" t="str">
        <f t="shared" ref="I4523:J4523" si="4524">if(G4523 = "", , -G4523)</f>
        <v/>
      </c>
      <c r="J4523" s="94" t="str">
        <f t="shared" si="4524"/>
        <v/>
      </c>
      <c r="K4523" s="100"/>
      <c r="M4523" s="100"/>
      <c r="N4523" s="100"/>
      <c r="O4523" s="100"/>
      <c r="P4523" s="100"/>
    </row>
    <row r="4524">
      <c r="A4524" s="107">
        <v>1628961.0</v>
      </c>
      <c r="B4524" s="108" t="s">
        <v>193</v>
      </c>
      <c r="C4524" s="108" t="s">
        <v>1099</v>
      </c>
      <c r="D4524" s="112" t="s">
        <v>181</v>
      </c>
      <c r="E4524" s="112">
        <v>20.0</v>
      </c>
      <c r="F4524" s="111" t="str">
        <f>DataPull!D4524</f>
        <v/>
      </c>
      <c r="G4524" s="94" t="str">
        <f t="shared" si="2"/>
        <v/>
      </c>
      <c r="H4524" s="94" t="str">
        <f t="shared" si="3"/>
        <v/>
      </c>
      <c r="I4524" s="94" t="str">
        <f t="shared" ref="I4524:J4524" si="4525">if(G4524 = "", , -G4524)</f>
        <v/>
      </c>
      <c r="J4524" s="94" t="str">
        <f t="shared" si="4525"/>
        <v/>
      </c>
      <c r="K4524" s="100"/>
      <c r="M4524" s="100"/>
      <c r="N4524" s="100"/>
      <c r="O4524" s="100"/>
      <c r="P4524" s="100"/>
    </row>
    <row r="4525">
      <c r="A4525" s="107">
        <v>1628961.0</v>
      </c>
      <c r="B4525" s="108" t="s">
        <v>243</v>
      </c>
      <c r="C4525" s="108" t="s">
        <v>1099</v>
      </c>
      <c r="D4525" s="112" t="s">
        <v>187</v>
      </c>
      <c r="E4525" s="112">
        <v>55.5</v>
      </c>
      <c r="F4525" s="111" t="str">
        <f>DataPull!D4525</f>
        <v/>
      </c>
      <c r="G4525" s="94" t="str">
        <f t="shared" si="2"/>
        <v/>
      </c>
      <c r="H4525" s="94" t="str">
        <f t="shared" si="3"/>
        <v/>
      </c>
      <c r="I4525" s="94" t="str">
        <f t="shared" ref="I4525:J4525" si="4526">if(G4525 = "", , -G4525)</f>
        <v/>
      </c>
      <c r="J4525" s="94" t="str">
        <f t="shared" si="4526"/>
        <v/>
      </c>
      <c r="K4525" s="100"/>
      <c r="M4525" s="100"/>
      <c r="N4525" s="100"/>
      <c r="O4525" s="100"/>
      <c r="P4525" s="100"/>
    </row>
    <row r="4526">
      <c r="A4526" s="107">
        <v>1628962.0</v>
      </c>
      <c r="B4526" s="108" t="s">
        <v>243</v>
      </c>
      <c r="C4526" s="108" t="s">
        <v>1100</v>
      </c>
      <c r="D4526" s="112" t="s">
        <v>187</v>
      </c>
      <c r="E4526" s="112">
        <v>57.0</v>
      </c>
      <c r="F4526" s="111" t="str">
        <f>DataPull!D4526</f>
        <v/>
      </c>
      <c r="G4526" s="94" t="str">
        <f t="shared" si="2"/>
        <v/>
      </c>
      <c r="H4526" s="94" t="str">
        <f t="shared" si="3"/>
        <v/>
      </c>
      <c r="I4526" s="94" t="str">
        <f t="shared" ref="I4526:J4526" si="4527">if(G4526 = "", , -G4526)</f>
        <v/>
      </c>
      <c r="J4526" s="94" t="str">
        <f t="shared" si="4527"/>
        <v/>
      </c>
      <c r="K4526" s="100"/>
      <c r="M4526" s="100"/>
      <c r="N4526" s="100"/>
      <c r="O4526" s="100"/>
      <c r="P4526" s="100"/>
    </row>
    <row r="4527">
      <c r="A4527" s="107">
        <v>1628962.0</v>
      </c>
      <c r="B4527" s="108" t="s">
        <v>215</v>
      </c>
      <c r="C4527" s="108" t="s">
        <v>1100</v>
      </c>
      <c r="D4527" s="112" t="s">
        <v>187</v>
      </c>
      <c r="E4527" s="112">
        <v>195.5</v>
      </c>
      <c r="F4527" s="111" t="str">
        <f>DataPull!D4527</f>
        <v/>
      </c>
      <c r="G4527" s="94" t="str">
        <f t="shared" si="2"/>
        <v/>
      </c>
      <c r="H4527" s="94" t="str">
        <f t="shared" si="3"/>
        <v/>
      </c>
      <c r="I4527" s="94" t="str">
        <f t="shared" ref="I4527:J4527" si="4528">if(G4527 = "", , -G4527)</f>
        <v/>
      </c>
      <c r="J4527" s="94" t="str">
        <f t="shared" si="4528"/>
        <v/>
      </c>
      <c r="K4527" s="100"/>
      <c r="M4527" s="100"/>
      <c r="N4527" s="100"/>
      <c r="O4527" s="100"/>
      <c r="P4527" s="100"/>
    </row>
    <row r="4528">
      <c r="A4528" s="107">
        <v>1628962.0</v>
      </c>
      <c r="B4528" s="108" t="s">
        <v>244</v>
      </c>
      <c r="C4528" s="108" t="s">
        <v>1100</v>
      </c>
      <c r="D4528" s="112" t="s">
        <v>187</v>
      </c>
      <c r="E4528" s="112">
        <v>360.0</v>
      </c>
      <c r="F4528" s="111" t="str">
        <f>DataPull!D4528</f>
        <v/>
      </c>
      <c r="G4528" s="94" t="str">
        <f t="shared" si="2"/>
        <v/>
      </c>
      <c r="H4528" s="94" t="str">
        <f t="shared" si="3"/>
        <v/>
      </c>
      <c r="I4528" s="94" t="str">
        <f t="shared" ref="I4528:J4528" si="4529">if(G4528 = "", , -G4528)</f>
        <v/>
      </c>
      <c r="J4528" s="94" t="str">
        <f t="shared" si="4529"/>
        <v/>
      </c>
      <c r="K4528" s="100"/>
      <c r="L4528" s="100"/>
      <c r="M4528" s="100"/>
      <c r="N4528" s="100"/>
      <c r="O4528" s="100"/>
      <c r="P4528" s="100"/>
    </row>
    <row r="4529">
      <c r="A4529" s="107">
        <v>1628962.0</v>
      </c>
      <c r="B4529" s="108" t="s">
        <v>245</v>
      </c>
      <c r="C4529" s="108" t="s">
        <v>1100</v>
      </c>
      <c r="D4529" s="112" t="s">
        <v>187</v>
      </c>
      <c r="E4529" s="112">
        <v>113.6</v>
      </c>
      <c r="F4529" s="111" t="str">
        <f>DataPull!D4529</f>
        <v/>
      </c>
      <c r="G4529" s="94" t="str">
        <f t="shared" si="2"/>
        <v/>
      </c>
      <c r="H4529" s="94" t="str">
        <f t="shared" si="3"/>
        <v/>
      </c>
      <c r="I4529" s="94" t="str">
        <f t="shared" ref="I4529:J4529" si="4530">if(G4529 = "", , -G4529)</f>
        <v/>
      </c>
      <c r="J4529" s="94" t="str">
        <f t="shared" si="4530"/>
        <v/>
      </c>
      <c r="K4529" s="100"/>
      <c r="M4529" s="100"/>
      <c r="N4529" s="100"/>
      <c r="O4529" s="100"/>
      <c r="P4529" s="100"/>
    </row>
    <row r="4530">
      <c r="A4530" s="107">
        <v>1628963.0</v>
      </c>
      <c r="B4530" s="108" t="s">
        <v>192</v>
      </c>
      <c r="C4530" s="115" t="s">
        <v>1101</v>
      </c>
      <c r="D4530" s="112" t="s">
        <v>176</v>
      </c>
      <c r="E4530" s="112">
        <v>1568.6</v>
      </c>
      <c r="F4530" s="111" t="str">
        <f>DataPull!D4530</f>
        <v/>
      </c>
      <c r="G4530" s="94" t="str">
        <f t="shared" si="2"/>
        <v/>
      </c>
      <c r="H4530" s="94" t="str">
        <f t="shared" si="3"/>
        <v/>
      </c>
      <c r="I4530" s="94" t="str">
        <f t="shared" ref="I4530:J4530" si="4531">if(G4530 = "", , -G4530)</f>
        <v/>
      </c>
      <c r="J4530" s="94" t="str">
        <f t="shared" si="4531"/>
        <v/>
      </c>
      <c r="K4530" s="100"/>
      <c r="M4530" s="100"/>
      <c r="N4530" s="100"/>
      <c r="O4530" s="100"/>
      <c r="P4530" s="100"/>
    </row>
    <row r="4531">
      <c r="A4531" s="107">
        <v>1628963.0</v>
      </c>
      <c r="B4531" s="108" t="s">
        <v>193</v>
      </c>
      <c r="C4531" s="115" t="s">
        <v>1101</v>
      </c>
      <c r="D4531" s="112" t="s">
        <v>176</v>
      </c>
      <c r="E4531" s="112">
        <v>334.1</v>
      </c>
      <c r="F4531" s="111" t="str">
        <f>DataPull!D4531</f>
        <v/>
      </c>
      <c r="G4531" s="94" t="str">
        <f t="shared" si="2"/>
        <v/>
      </c>
      <c r="H4531" s="94" t="str">
        <f t="shared" si="3"/>
        <v/>
      </c>
      <c r="I4531" s="94" t="str">
        <f t="shared" ref="I4531:J4531" si="4532">if(G4531 = "", , -G4531)</f>
        <v/>
      </c>
      <c r="J4531" s="94" t="str">
        <f t="shared" si="4532"/>
        <v/>
      </c>
      <c r="K4531" s="100"/>
      <c r="M4531" s="100"/>
      <c r="N4531" s="100"/>
      <c r="O4531" s="100"/>
      <c r="P4531" s="100"/>
    </row>
    <row r="4532">
      <c r="A4532" s="107">
        <v>1628963.0</v>
      </c>
      <c r="B4532" s="108" t="s">
        <v>243</v>
      </c>
      <c r="C4532" s="115" t="s">
        <v>1101</v>
      </c>
      <c r="D4532" s="112" t="s">
        <v>176</v>
      </c>
      <c r="E4532" s="112">
        <v>1113.7</v>
      </c>
      <c r="F4532" s="111" t="str">
        <f>DataPull!D4532</f>
        <v/>
      </c>
      <c r="G4532" s="94" t="str">
        <f t="shared" si="2"/>
        <v/>
      </c>
      <c r="H4532" s="94" t="str">
        <f t="shared" si="3"/>
        <v/>
      </c>
      <c r="I4532" s="94" t="str">
        <f t="shared" ref="I4532:J4532" si="4533">if(G4532 = "", , -G4532)</f>
        <v/>
      </c>
      <c r="J4532" s="94" t="str">
        <f t="shared" si="4533"/>
        <v/>
      </c>
      <c r="K4532" s="100"/>
      <c r="L4532" s="100"/>
      <c r="N4532" s="100"/>
      <c r="O4532" s="100"/>
      <c r="P4532" s="100"/>
    </row>
    <row r="4533">
      <c r="A4533" s="107">
        <v>1628963.0</v>
      </c>
      <c r="B4533" s="108" t="s">
        <v>215</v>
      </c>
      <c r="C4533" s="115" t="s">
        <v>1101</v>
      </c>
      <c r="D4533" s="112" t="s">
        <v>176</v>
      </c>
      <c r="E4533" s="112">
        <v>1147.2</v>
      </c>
      <c r="F4533" s="111" t="str">
        <f>DataPull!D4533</f>
        <v/>
      </c>
      <c r="G4533" s="94" t="str">
        <f t="shared" si="2"/>
        <v/>
      </c>
      <c r="H4533" s="94" t="str">
        <f t="shared" si="3"/>
        <v/>
      </c>
      <c r="I4533" s="94" t="str">
        <f t="shared" ref="I4533:J4533" si="4534">if(G4533 = "", , -G4533)</f>
        <v/>
      </c>
      <c r="J4533" s="94" t="str">
        <f t="shared" si="4534"/>
        <v/>
      </c>
      <c r="K4533" s="100"/>
      <c r="M4533" s="100"/>
      <c r="N4533" s="100"/>
      <c r="O4533" s="100"/>
      <c r="P4533" s="100"/>
    </row>
    <row r="4534">
      <c r="A4534" s="107">
        <v>1628963.0</v>
      </c>
      <c r="B4534" s="108" t="s">
        <v>244</v>
      </c>
      <c r="C4534" s="115" t="s">
        <v>1101</v>
      </c>
      <c r="D4534" s="112" t="s">
        <v>176</v>
      </c>
      <c r="E4534" s="112">
        <v>991.2</v>
      </c>
      <c r="F4534" s="111" t="str">
        <f>DataPull!D4534</f>
        <v/>
      </c>
      <c r="G4534" s="94" t="str">
        <f t="shared" si="2"/>
        <v/>
      </c>
      <c r="H4534" s="94" t="str">
        <f t="shared" si="3"/>
        <v/>
      </c>
      <c r="I4534" s="94" t="str">
        <f t="shared" ref="I4534:J4534" si="4535">if(G4534 = "", , -G4534)</f>
        <v/>
      </c>
      <c r="J4534" s="94" t="str">
        <f t="shared" si="4535"/>
        <v/>
      </c>
      <c r="K4534" s="100"/>
      <c r="M4534" s="100"/>
      <c r="N4534" s="100"/>
      <c r="O4534" s="100"/>
      <c r="P4534" s="100"/>
    </row>
    <row r="4535">
      <c r="A4535" s="107">
        <v>1628963.0</v>
      </c>
      <c r="B4535" s="108" t="s">
        <v>245</v>
      </c>
      <c r="C4535" s="115" t="s">
        <v>1101</v>
      </c>
      <c r="D4535" s="112" t="s">
        <v>177</v>
      </c>
      <c r="E4535" s="112">
        <v>1055.0</v>
      </c>
      <c r="F4535" s="111" t="str">
        <f>DataPull!D4535</f>
        <v/>
      </c>
      <c r="G4535" s="94" t="str">
        <f t="shared" si="2"/>
        <v/>
      </c>
      <c r="H4535" s="94" t="str">
        <f t="shared" si="3"/>
        <v/>
      </c>
      <c r="I4535" s="94" t="str">
        <f t="shared" ref="I4535:J4535" si="4536">if(G4535 = "", , -G4535)</f>
        <v/>
      </c>
      <c r="J4535" s="94" t="str">
        <f t="shared" si="4536"/>
        <v/>
      </c>
      <c r="K4535" s="100"/>
      <c r="M4535" s="100"/>
      <c r="N4535" s="100"/>
      <c r="O4535" s="100"/>
      <c r="P4535" s="100"/>
    </row>
    <row r="4536">
      <c r="A4536" s="107">
        <v>1628963.0</v>
      </c>
      <c r="B4536" s="108" t="s">
        <v>246</v>
      </c>
      <c r="C4536" s="115" t="s">
        <v>1101</v>
      </c>
      <c r="D4536" s="112" t="s">
        <v>187</v>
      </c>
      <c r="E4536" s="112">
        <v>266.6</v>
      </c>
      <c r="F4536" s="111" t="str">
        <f>DataPull!D4536</f>
        <v/>
      </c>
      <c r="G4536" s="94" t="str">
        <f t="shared" si="2"/>
        <v/>
      </c>
      <c r="H4536" s="94" t="str">
        <f t="shared" si="3"/>
        <v/>
      </c>
      <c r="I4536" s="94" t="str">
        <f t="shared" ref="I4536:J4536" si="4537">if(G4536 = "", , -G4536)</f>
        <v/>
      </c>
      <c r="J4536" s="94" t="str">
        <f t="shared" si="4537"/>
        <v/>
      </c>
      <c r="K4536" s="100"/>
      <c r="M4536" s="100"/>
      <c r="N4536" s="100"/>
      <c r="O4536" s="100"/>
      <c r="P4536" s="100"/>
    </row>
    <row r="4537">
      <c r="A4537" s="114">
        <v>1628963.0</v>
      </c>
      <c r="B4537" s="113" t="s">
        <v>247</v>
      </c>
      <c r="C4537" s="115" t="s">
        <v>1101</v>
      </c>
      <c r="D4537" s="112" t="s">
        <v>176</v>
      </c>
      <c r="E4537" s="112">
        <v>1200.0</v>
      </c>
      <c r="F4537" s="111" t="str">
        <f>DataPull!D4537</f>
        <v/>
      </c>
      <c r="G4537" s="94" t="str">
        <f t="shared" si="2"/>
        <v/>
      </c>
      <c r="H4537" s="94" t="str">
        <f t="shared" si="3"/>
        <v/>
      </c>
      <c r="I4537" s="94" t="str">
        <f t="shared" ref="I4537:J4537" si="4538">if(G4537 = "", , -G4537)</f>
        <v/>
      </c>
      <c r="J4537" s="94" t="str">
        <f t="shared" si="4538"/>
        <v/>
      </c>
      <c r="K4537" s="100"/>
      <c r="M4537" s="100"/>
      <c r="N4537" s="100"/>
      <c r="O4537" s="100"/>
      <c r="P4537" s="100"/>
    </row>
    <row r="4538">
      <c r="A4538" s="107">
        <v>1628964.0</v>
      </c>
      <c r="B4538" s="108" t="s">
        <v>192</v>
      </c>
      <c r="C4538" s="108" t="s">
        <v>1102</v>
      </c>
      <c r="D4538" s="112" t="s">
        <v>177</v>
      </c>
      <c r="E4538" s="112">
        <v>766.1</v>
      </c>
      <c r="F4538" s="111" t="str">
        <f>DataPull!D4538</f>
        <v/>
      </c>
      <c r="G4538" s="94" t="str">
        <f t="shared" si="2"/>
        <v/>
      </c>
      <c r="H4538" s="94" t="str">
        <f t="shared" si="3"/>
        <v/>
      </c>
      <c r="I4538" s="94" t="str">
        <f t="shared" ref="I4538:J4538" si="4539">if(G4538 = "", , -G4538)</f>
        <v/>
      </c>
      <c r="J4538" s="94" t="str">
        <f t="shared" si="4539"/>
        <v/>
      </c>
      <c r="K4538" s="100"/>
      <c r="M4538" s="100"/>
      <c r="N4538" s="100"/>
      <c r="O4538" s="100"/>
      <c r="P4538" s="100"/>
    </row>
    <row r="4539">
      <c r="A4539" s="107">
        <v>1628964.0</v>
      </c>
      <c r="B4539" s="108" t="s">
        <v>193</v>
      </c>
      <c r="C4539" s="108" t="s">
        <v>1102</v>
      </c>
      <c r="D4539" s="112" t="s">
        <v>177</v>
      </c>
      <c r="E4539" s="112">
        <v>880.4</v>
      </c>
      <c r="F4539" s="111" t="str">
        <f>DataPull!D4539</f>
        <v/>
      </c>
      <c r="G4539" s="94" t="str">
        <f t="shared" si="2"/>
        <v/>
      </c>
      <c r="H4539" s="94" t="str">
        <f t="shared" si="3"/>
        <v/>
      </c>
      <c r="I4539" s="94" t="str">
        <f t="shared" ref="I4539:J4539" si="4540">if(G4539 = "", , -G4539)</f>
        <v/>
      </c>
      <c r="J4539" s="94" t="str">
        <f t="shared" si="4540"/>
        <v/>
      </c>
      <c r="K4539" s="100"/>
      <c r="M4539" s="100"/>
      <c r="N4539" s="100"/>
      <c r="O4539" s="100"/>
      <c r="P4539" s="100"/>
    </row>
    <row r="4540">
      <c r="A4540" s="107">
        <v>1628964.0</v>
      </c>
      <c r="B4540" s="108" t="s">
        <v>243</v>
      </c>
      <c r="C4540" s="108" t="s">
        <v>1102</v>
      </c>
      <c r="D4540" s="112" t="s">
        <v>177</v>
      </c>
      <c r="E4540" s="112">
        <v>726.8</v>
      </c>
      <c r="F4540" s="111" t="str">
        <f>DataPull!D4540</f>
        <v/>
      </c>
      <c r="G4540" s="94" t="str">
        <f t="shared" si="2"/>
        <v/>
      </c>
      <c r="H4540" s="94" t="str">
        <f t="shared" si="3"/>
        <v/>
      </c>
      <c r="I4540" s="94" t="str">
        <f t="shared" ref="I4540:J4540" si="4541">if(G4540 = "", , -G4540)</f>
        <v/>
      </c>
      <c r="J4540" s="94" t="str">
        <f t="shared" si="4541"/>
        <v/>
      </c>
      <c r="K4540" s="100"/>
      <c r="M4540" s="100"/>
      <c r="N4540" s="100"/>
      <c r="O4540" s="100"/>
      <c r="P4540" s="100"/>
    </row>
    <row r="4541">
      <c r="A4541" s="107">
        <v>1628964.0</v>
      </c>
      <c r="B4541" s="108" t="s">
        <v>215</v>
      </c>
      <c r="C4541" s="108" t="s">
        <v>1102</v>
      </c>
      <c r="D4541" s="112" t="s">
        <v>176</v>
      </c>
      <c r="E4541" s="112">
        <v>1824.7</v>
      </c>
      <c r="F4541" s="111" t="str">
        <f>DataPull!D4541</f>
        <v/>
      </c>
      <c r="G4541" s="94" t="str">
        <f t="shared" si="2"/>
        <v/>
      </c>
      <c r="H4541" s="94" t="str">
        <f t="shared" si="3"/>
        <v/>
      </c>
      <c r="I4541" s="94" t="str">
        <f t="shared" ref="I4541:J4541" si="4542">if(G4541 = "", , -G4541)</f>
        <v/>
      </c>
      <c r="J4541" s="94" t="str">
        <f t="shared" si="4542"/>
        <v/>
      </c>
      <c r="K4541" s="100"/>
      <c r="M4541" s="100"/>
      <c r="N4541" s="100"/>
      <c r="O4541" s="100"/>
      <c r="P4541" s="100"/>
    </row>
    <row r="4542">
      <c r="A4542" s="107">
        <v>1628964.0</v>
      </c>
      <c r="B4542" s="108" t="s">
        <v>244</v>
      </c>
      <c r="C4542" s="108" t="s">
        <v>1102</v>
      </c>
      <c r="D4542" s="112" t="s">
        <v>177</v>
      </c>
      <c r="E4542" s="112">
        <v>769.3</v>
      </c>
      <c r="F4542" s="111" t="str">
        <f>DataPull!D4542</f>
        <v/>
      </c>
      <c r="G4542" s="94" t="str">
        <f t="shared" si="2"/>
        <v/>
      </c>
      <c r="H4542" s="94" t="str">
        <f t="shared" si="3"/>
        <v/>
      </c>
      <c r="I4542" s="94" t="str">
        <f t="shared" ref="I4542:J4542" si="4543">if(G4542 = "", , -G4542)</f>
        <v/>
      </c>
      <c r="J4542" s="94" t="str">
        <f t="shared" si="4543"/>
        <v/>
      </c>
      <c r="K4542" s="100"/>
      <c r="L4542" s="100"/>
      <c r="N4542" s="100"/>
      <c r="O4542" s="100"/>
      <c r="P4542" s="100"/>
    </row>
    <row r="4543">
      <c r="A4543" s="107">
        <v>1628964.0</v>
      </c>
      <c r="B4543" s="108" t="s">
        <v>245</v>
      </c>
      <c r="C4543" s="108" t="s">
        <v>1102</v>
      </c>
      <c r="D4543" s="112" t="s">
        <v>177</v>
      </c>
      <c r="E4543" s="112">
        <v>741.0</v>
      </c>
      <c r="F4543" s="111" t="str">
        <f>DataPull!D4543</f>
        <v/>
      </c>
      <c r="G4543" s="94" t="str">
        <f t="shared" si="2"/>
        <v/>
      </c>
      <c r="H4543" s="94" t="str">
        <f t="shared" si="3"/>
        <v/>
      </c>
      <c r="I4543" s="94" t="str">
        <f t="shared" ref="I4543:J4543" si="4544">if(G4543 = "", , -G4543)</f>
        <v/>
      </c>
      <c r="J4543" s="94" t="str">
        <f t="shared" si="4544"/>
        <v/>
      </c>
      <c r="K4543" s="100"/>
      <c r="M4543" s="100"/>
      <c r="N4543" s="100"/>
      <c r="O4543" s="100"/>
      <c r="P4543" s="100"/>
    </row>
    <row r="4544">
      <c r="A4544" s="107">
        <v>1628964.0</v>
      </c>
      <c r="B4544" s="108" t="s">
        <v>246</v>
      </c>
      <c r="C4544" s="108" t="s">
        <v>1102</v>
      </c>
      <c r="D4544" s="112" t="s">
        <v>177</v>
      </c>
      <c r="E4544" s="112">
        <v>412.8</v>
      </c>
      <c r="F4544" s="111" t="str">
        <f>DataPull!D4544</f>
        <v/>
      </c>
      <c r="G4544" s="94" t="str">
        <f t="shared" si="2"/>
        <v/>
      </c>
      <c r="H4544" s="94" t="str">
        <f t="shared" si="3"/>
        <v/>
      </c>
      <c r="I4544" s="94" t="str">
        <f t="shared" ref="I4544:J4544" si="4545">if(G4544 = "", , -G4544)</f>
        <v/>
      </c>
      <c r="J4544" s="94" t="str">
        <f t="shared" si="4545"/>
        <v/>
      </c>
      <c r="K4544" s="100"/>
      <c r="M4544" s="100"/>
      <c r="N4544" s="100"/>
      <c r="O4544" s="100"/>
      <c r="P4544" s="100"/>
    </row>
    <row r="4545">
      <c r="A4545" s="107">
        <v>1628966.0</v>
      </c>
      <c r="B4545" s="108" t="s">
        <v>192</v>
      </c>
      <c r="C4545" s="108" t="s">
        <v>1103</v>
      </c>
      <c r="D4545" s="112" t="s">
        <v>177</v>
      </c>
      <c r="E4545" s="112">
        <v>504.0</v>
      </c>
      <c r="F4545" s="111" t="str">
        <f>DataPull!D4545</f>
        <v/>
      </c>
      <c r="G4545" s="94" t="str">
        <f t="shared" si="2"/>
        <v/>
      </c>
      <c r="H4545" s="94" t="str">
        <f t="shared" si="3"/>
        <v/>
      </c>
      <c r="I4545" s="94" t="str">
        <f t="shared" ref="I4545:J4545" si="4546">if(G4545 = "", , -G4545)</f>
        <v/>
      </c>
      <c r="J4545" s="94" t="str">
        <f t="shared" si="4546"/>
        <v/>
      </c>
      <c r="K4545" s="100"/>
      <c r="N4545" s="100"/>
      <c r="O4545" s="100"/>
      <c r="P4545" s="100"/>
    </row>
    <row r="4546">
      <c r="A4546" s="107">
        <v>1628966.0</v>
      </c>
      <c r="B4546" s="108" t="s">
        <v>193</v>
      </c>
      <c r="C4546" s="108" t="s">
        <v>1103</v>
      </c>
      <c r="D4546" s="112" t="s">
        <v>177</v>
      </c>
      <c r="E4546" s="112">
        <v>743.6</v>
      </c>
      <c r="F4546" s="111" t="str">
        <f>DataPull!D4546</f>
        <v/>
      </c>
      <c r="G4546" s="94" t="str">
        <f t="shared" si="2"/>
        <v/>
      </c>
      <c r="H4546" s="94" t="str">
        <f t="shared" si="3"/>
        <v/>
      </c>
      <c r="I4546" s="94" t="str">
        <f t="shared" ref="I4546:J4546" si="4547">if(G4546 = "", , -G4546)</f>
        <v/>
      </c>
      <c r="J4546" s="94" t="str">
        <f t="shared" si="4547"/>
        <v/>
      </c>
      <c r="K4546" s="100"/>
      <c r="M4546" s="100"/>
      <c r="N4546" s="100"/>
      <c r="O4546" s="100"/>
      <c r="P4546" s="100"/>
    </row>
    <row r="4547">
      <c r="A4547" s="107">
        <v>1628966.0</v>
      </c>
      <c r="B4547" s="108" t="s">
        <v>243</v>
      </c>
      <c r="C4547" s="108" t="s">
        <v>1103</v>
      </c>
      <c r="D4547" s="112" t="s">
        <v>187</v>
      </c>
      <c r="E4547" s="112">
        <v>246.0</v>
      </c>
      <c r="F4547" s="111" t="str">
        <f>DataPull!D4547</f>
        <v/>
      </c>
      <c r="G4547" s="94" t="str">
        <f t="shared" si="2"/>
        <v/>
      </c>
      <c r="H4547" s="94" t="str">
        <f t="shared" si="3"/>
        <v/>
      </c>
      <c r="I4547" s="94" t="str">
        <f t="shared" ref="I4547:J4547" si="4548">if(G4547 = "", , -G4547)</f>
        <v/>
      </c>
      <c r="J4547" s="94" t="str">
        <f t="shared" si="4548"/>
        <v/>
      </c>
      <c r="K4547" s="100"/>
      <c r="N4547" s="100"/>
      <c r="O4547" s="100"/>
      <c r="P4547" s="100"/>
    </row>
    <row r="4548">
      <c r="A4548" s="107">
        <v>1628966.0</v>
      </c>
      <c r="B4548" s="108" t="s">
        <v>215</v>
      </c>
      <c r="C4548" s="108" t="s">
        <v>1103</v>
      </c>
      <c r="D4548" s="112" t="s">
        <v>177</v>
      </c>
      <c r="E4548" s="112">
        <v>955.8</v>
      </c>
      <c r="F4548" s="111" t="str">
        <f>DataPull!D4548</f>
        <v/>
      </c>
      <c r="G4548" s="94" t="str">
        <f t="shared" si="2"/>
        <v/>
      </c>
      <c r="H4548" s="94" t="str">
        <f t="shared" si="3"/>
        <v/>
      </c>
      <c r="I4548" s="94" t="str">
        <f t="shared" ref="I4548:J4548" si="4549">if(G4548 = "", , -G4548)</f>
        <v/>
      </c>
      <c r="J4548" s="94" t="str">
        <f t="shared" si="4549"/>
        <v/>
      </c>
      <c r="K4548" s="100"/>
      <c r="M4548" s="100"/>
      <c r="N4548" s="100"/>
      <c r="O4548" s="100"/>
      <c r="P4548" s="100"/>
    </row>
    <row r="4549">
      <c r="A4549" s="107">
        <v>1628966.0</v>
      </c>
      <c r="B4549" s="108" t="s">
        <v>244</v>
      </c>
      <c r="C4549" s="108" t="s">
        <v>1103</v>
      </c>
      <c r="D4549" s="112" t="s">
        <v>176</v>
      </c>
      <c r="E4549" s="112">
        <v>1453.9</v>
      </c>
      <c r="F4549" s="111" t="str">
        <f>DataPull!D4549</f>
        <v/>
      </c>
      <c r="G4549" s="94" t="str">
        <f t="shared" si="2"/>
        <v/>
      </c>
      <c r="H4549" s="94" t="str">
        <f t="shared" si="3"/>
        <v/>
      </c>
      <c r="I4549" s="94" t="str">
        <f t="shared" ref="I4549:J4549" si="4550">if(G4549 = "", , -G4549)</f>
        <v/>
      </c>
      <c r="J4549" s="94" t="str">
        <f t="shared" si="4550"/>
        <v/>
      </c>
      <c r="K4549" s="100"/>
      <c r="M4549" s="100"/>
      <c r="N4549" s="100"/>
      <c r="O4549" s="100"/>
      <c r="P4549" s="100"/>
    </row>
    <row r="4550">
      <c r="A4550" s="107">
        <v>1628966.0</v>
      </c>
      <c r="B4550" s="108" t="s">
        <v>245</v>
      </c>
      <c r="C4550" s="108" t="s">
        <v>1103</v>
      </c>
      <c r="D4550" s="112" t="s">
        <v>177</v>
      </c>
      <c r="E4550" s="112">
        <v>662.5</v>
      </c>
      <c r="F4550" s="111" t="str">
        <f>DataPull!D4550</f>
        <v/>
      </c>
      <c r="G4550" s="94" t="str">
        <f t="shared" si="2"/>
        <v/>
      </c>
      <c r="H4550" s="94" t="str">
        <f t="shared" si="3"/>
        <v/>
      </c>
      <c r="I4550" s="94" t="str">
        <f t="shared" ref="I4550:J4550" si="4551">if(G4550 = "", , -G4550)</f>
        <v/>
      </c>
      <c r="J4550" s="94" t="str">
        <f t="shared" si="4551"/>
        <v/>
      </c>
      <c r="K4550" s="100"/>
      <c r="M4550" s="100"/>
      <c r="N4550" s="100"/>
      <c r="O4550" s="100"/>
      <c r="P4550" s="100"/>
    </row>
    <row r="4551">
      <c r="A4551" s="107">
        <v>1628968.0</v>
      </c>
      <c r="B4551" s="108" t="s">
        <v>193</v>
      </c>
      <c r="C4551" s="108" t="s">
        <v>1104</v>
      </c>
      <c r="D4551" s="112" t="s">
        <v>181</v>
      </c>
      <c r="E4551" s="112">
        <v>31.2</v>
      </c>
      <c r="F4551" s="111" t="str">
        <f>DataPull!D4551</f>
        <v/>
      </c>
      <c r="G4551" s="94" t="str">
        <f t="shared" si="2"/>
        <v/>
      </c>
      <c r="H4551" s="94" t="str">
        <f t="shared" si="3"/>
        <v/>
      </c>
      <c r="I4551" s="94" t="str">
        <f t="shared" ref="I4551:J4551" si="4552">if(G4551 = "", , -G4551)</f>
        <v/>
      </c>
      <c r="J4551" s="94" t="str">
        <f t="shared" si="4552"/>
        <v/>
      </c>
      <c r="K4551" s="100"/>
      <c r="M4551" s="100"/>
      <c r="N4551" s="100"/>
      <c r="O4551" s="100"/>
      <c r="P4551" s="100"/>
    </row>
    <row r="4552">
      <c r="A4552" s="107">
        <v>1628968.0</v>
      </c>
      <c r="B4552" s="108" t="s">
        <v>243</v>
      </c>
      <c r="C4552" s="108" t="s">
        <v>1104</v>
      </c>
      <c r="D4552" s="112" t="s">
        <v>181</v>
      </c>
      <c r="E4552" s="112">
        <v>15.0</v>
      </c>
      <c r="F4552" s="111" t="str">
        <f>DataPull!D4552</f>
        <v/>
      </c>
      <c r="G4552" s="94" t="str">
        <f t="shared" si="2"/>
        <v/>
      </c>
      <c r="H4552" s="94" t="str">
        <f t="shared" si="3"/>
        <v/>
      </c>
      <c r="I4552" s="94" t="str">
        <f t="shared" ref="I4552:J4552" si="4553">if(G4552 = "", , -G4552)</f>
        <v/>
      </c>
      <c r="J4552" s="94" t="str">
        <f t="shared" si="4553"/>
        <v/>
      </c>
      <c r="K4552" s="100"/>
      <c r="M4552" s="100"/>
      <c r="N4552" s="100"/>
      <c r="O4552" s="100"/>
      <c r="P4552" s="100"/>
    </row>
    <row r="4553">
      <c r="A4553" s="107">
        <v>1628969.0</v>
      </c>
      <c r="B4553" s="108" t="s">
        <v>192</v>
      </c>
      <c r="C4553" s="108" t="s">
        <v>1105</v>
      </c>
      <c r="D4553" s="112" t="s">
        <v>176</v>
      </c>
      <c r="E4553" s="112">
        <v>2419.0</v>
      </c>
      <c r="F4553" s="111" t="str">
        <f>DataPull!D4553</f>
        <v/>
      </c>
      <c r="G4553" s="94" t="str">
        <f t="shared" si="2"/>
        <v/>
      </c>
      <c r="H4553" s="94" t="str">
        <f t="shared" si="3"/>
        <v/>
      </c>
      <c r="I4553" s="94" t="str">
        <f t="shared" ref="I4553:J4553" si="4554">if(G4553 = "", , -G4553)</f>
        <v/>
      </c>
      <c r="J4553" s="94" t="str">
        <f t="shared" si="4554"/>
        <v/>
      </c>
      <c r="K4553" s="100"/>
      <c r="M4553" s="100"/>
      <c r="N4553" s="100"/>
      <c r="O4553" s="100"/>
      <c r="P4553" s="100"/>
    </row>
    <row r="4554">
      <c r="A4554" s="107">
        <v>1628969.0</v>
      </c>
      <c r="B4554" s="108" t="s">
        <v>193</v>
      </c>
      <c r="C4554" s="108" t="s">
        <v>1105</v>
      </c>
      <c r="D4554" s="112" t="s">
        <v>178</v>
      </c>
      <c r="E4554" s="112">
        <v>2044.0</v>
      </c>
      <c r="F4554" s="111" t="str">
        <f>DataPull!D4554</f>
        <v/>
      </c>
      <c r="G4554" s="94" t="str">
        <f t="shared" si="2"/>
        <v/>
      </c>
      <c r="H4554" s="94" t="str">
        <f t="shared" si="3"/>
        <v/>
      </c>
      <c r="I4554" s="94" t="str">
        <f t="shared" ref="I4554:J4554" si="4555">if(G4554 = "", , -G4554)</f>
        <v/>
      </c>
      <c r="J4554" s="94" t="str">
        <f t="shared" si="4555"/>
        <v/>
      </c>
      <c r="K4554" s="100"/>
      <c r="M4554" s="100"/>
      <c r="N4554" s="100"/>
      <c r="O4554" s="100"/>
      <c r="P4554" s="100"/>
    </row>
    <row r="4555">
      <c r="A4555" s="107">
        <v>1628969.0</v>
      </c>
      <c r="B4555" s="108" t="s">
        <v>243</v>
      </c>
      <c r="C4555" s="108" t="s">
        <v>1105</v>
      </c>
      <c r="D4555" s="112" t="s">
        <v>184</v>
      </c>
      <c r="E4555" s="112">
        <v>2347.2</v>
      </c>
      <c r="F4555" s="111" t="str">
        <f>DataPull!D4555</f>
        <v/>
      </c>
      <c r="G4555" s="94" t="str">
        <f t="shared" si="2"/>
        <v/>
      </c>
      <c r="H4555" s="94" t="str">
        <f t="shared" si="3"/>
        <v/>
      </c>
      <c r="I4555" s="94" t="str">
        <f t="shared" ref="I4555:J4555" si="4556">if(G4555 = "", , -G4555)</f>
        <v/>
      </c>
      <c r="J4555" s="94" t="str">
        <f t="shared" si="4556"/>
        <v/>
      </c>
      <c r="K4555" s="100"/>
      <c r="M4555" s="100"/>
      <c r="N4555" s="100"/>
      <c r="O4555" s="100"/>
      <c r="P4555" s="100"/>
    </row>
    <row r="4556">
      <c r="A4556" s="107">
        <v>1628969.0</v>
      </c>
      <c r="B4556" s="108" t="s">
        <v>215</v>
      </c>
      <c r="C4556" s="108" t="s">
        <v>1105</v>
      </c>
      <c r="D4556" s="112" t="s">
        <v>184</v>
      </c>
      <c r="E4556" s="112">
        <v>2853.6</v>
      </c>
      <c r="F4556" s="111" t="str">
        <f>DataPull!D4556</f>
        <v/>
      </c>
      <c r="G4556" s="94" t="str">
        <f t="shared" si="2"/>
        <v/>
      </c>
      <c r="H4556" s="94" t="str">
        <f t="shared" si="3"/>
        <v/>
      </c>
      <c r="I4556" s="94" t="str">
        <f t="shared" ref="I4556:J4556" si="4557">if(G4556 = "", , -G4556)</f>
        <v/>
      </c>
      <c r="J4556" s="94" t="str">
        <f t="shared" si="4557"/>
        <v/>
      </c>
      <c r="K4556" s="100"/>
      <c r="M4556" s="100"/>
      <c r="N4556" s="100"/>
      <c r="O4556" s="100"/>
      <c r="P4556" s="100"/>
    </row>
    <row r="4557">
      <c r="A4557" s="107">
        <v>1628969.0</v>
      </c>
      <c r="B4557" s="108" t="s">
        <v>244</v>
      </c>
      <c r="C4557" s="108" t="s">
        <v>1105</v>
      </c>
      <c r="D4557" s="112" t="s">
        <v>184</v>
      </c>
      <c r="E4557" s="112">
        <v>2963.1</v>
      </c>
      <c r="F4557" s="111" t="str">
        <f>DataPull!D4557</f>
        <v/>
      </c>
      <c r="G4557" s="94" t="str">
        <f t="shared" si="2"/>
        <v/>
      </c>
      <c r="H4557" s="94" t="str">
        <f t="shared" si="3"/>
        <v/>
      </c>
      <c r="I4557" s="94" t="str">
        <f t="shared" ref="I4557:J4557" si="4558">if(G4557 = "", , -G4557)</f>
        <v/>
      </c>
      <c r="J4557" s="94" t="str">
        <f t="shared" si="4558"/>
        <v/>
      </c>
      <c r="K4557" s="100"/>
      <c r="M4557" s="100"/>
      <c r="N4557" s="100"/>
      <c r="O4557" s="100"/>
      <c r="P4557" s="100"/>
    </row>
    <row r="4558">
      <c r="A4558" s="107">
        <v>1628969.0</v>
      </c>
      <c r="B4558" s="108" t="s">
        <v>245</v>
      </c>
      <c r="C4558" s="108" t="s">
        <v>1105</v>
      </c>
      <c r="D4558" s="112" t="s">
        <v>178</v>
      </c>
      <c r="E4558" s="112">
        <v>2853.6</v>
      </c>
      <c r="F4558" s="111" t="str">
        <f>DataPull!D4558</f>
        <v/>
      </c>
      <c r="G4558" s="94" t="str">
        <f t="shared" si="2"/>
        <v/>
      </c>
      <c r="H4558" s="94" t="str">
        <f t="shared" si="3"/>
        <v/>
      </c>
      <c r="I4558" s="94" t="str">
        <f t="shared" ref="I4558:J4558" si="4559">if(G4558 = "", , -G4558)</f>
        <v/>
      </c>
      <c r="J4558" s="94" t="str">
        <f t="shared" si="4559"/>
        <v/>
      </c>
      <c r="K4558" s="100"/>
      <c r="M4558" s="100"/>
      <c r="N4558" s="100"/>
      <c r="O4558" s="100"/>
      <c r="P4558" s="100"/>
    </row>
    <row r="4559">
      <c r="A4559" s="107">
        <v>1628969.0</v>
      </c>
      <c r="B4559" s="108" t="s">
        <v>246</v>
      </c>
      <c r="C4559" s="108" t="s">
        <v>1105</v>
      </c>
      <c r="D4559" s="112" t="s">
        <v>178</v>
      </c>
      <c r="E4559" s="112">
        <v>3034.0</v>
      </c>
      <c r="F4559" s="111" t="str">
        <f>DataPull!D4559</f>
        <v/>
      </c>
      <c r="G4559" s="94" t="str">
        <f t="shared" si="2"/>
        <v/>
      </c>
      <c r="H4559" s="94" t="str">
        <f t="shared" si="3"/>
        <v/>
      </c>
      <c r="I4559" s="94" t="str">
        <f t="shared" ref="I4559:J4559" si="4560">if(G4559 = "", , -G4559)</f>
        <v/>
      </c>
      <c r="J4559" s="94" t="str">
        <f t="shared" si="4560"/>
        <v/>
      </c>
      <c r="K4559" s="100"/>
      <c r="M4559" s="100"/>
      <c r="N4559" s="100"/>
      <c r="O4559" s="100"/>
      <c r="P4559" s="100"/>
    </row>
    <row r="4560">
      <c r="A4560" s="114">
        <v>1628969.0</v>
      </c>
      <c r="B4560" s="113" t="s">
        <v>247</v>
      </c>
      <c r="C4560" s="113" t="s">
        <v>1105</v>
      </c>
      <c r="D4560" s="112" t="s">
        <v>184</v>
      </c>
      <c r="E4560" s="112">
        <v>2689.6</v>
      </c>
      <c r="F4560" s="111" t="str">
        <f>DataPull!D4560</f>
        <v/>
      </c>
      <c r="G4560" s="94" t="str">
        <f t="shared" si="2"/>
        <v/>
      </c>
      <c r="H4560" s="94" t="str">
        <f t="shared" si="3"/>
        <v/>
      </c>
      <c r="I4560" s="94" t="str">
        <f t="shared" ref="I4560:J4560" si="4561">if(G4560 = "", , -G4560)</f>
        <v/>
      </c>
      <c r="J4560" s="94" t="str">
        <f t="shared" si="4561"/>
        <v/>
      </c>
      <c r="K4560" s="100"/>
      <c r="M4560" s="100"/>
      <c r="N4560" s="100"/>
      <c r="O4560" s="100"/>
      <c r="P4560" s="100"/>
    </row>
    <row r="4561">
      <c r="A4561" s="107">
        <v>1628970.0</v>
      </c>
      <c r="B4561" s="108" t="s">
        <v>192</v>
      </c>
      <c r="C4561" s="108" t="s">
        <v>1106</v>
      </c>
      <c r="D4561" s="112" t="s">
        <v>176</v>
      </c>
      <c r="E4561" s="112">
        <v>1696.0</v>
      </c>
      <c r="F4561" s="111" t="str">
        <f>DataPull!D4561</f>
        <v/>
      </c>
      <c r="G4561" s="94" t="str">
        <f t="shared" si="2"/>
        <v/>
      </c>
      <c r="H4561" s="94" t="str">
        <f t="shared" si="3"/>
        <v/>
      </c>
      <c r="I4561" s="94" t="str">
        <f t="shared" ref="I4561:J4561" si="4562">if(G4561 = "", , -G4561)</f>
        <v/>
      </c>
      <c r="J4561" s="94" t="str">
        <f t="shared" si="4562"/>
        <v/>
      </c>
      <c r="K4561" s="100"/>
      <c r="M4561" s="100"/>
      <c r="N4561" s="100"/>
      <c r="O4561" s="100"/>
      <c r="P4561" s="100"/>
    </row>
    <row r="4562">
      <c r="A4562" s="107">
        <v>1628970.0</v>
      </c>
      <c r="B4562" s="108" t="s">
        <v>193</v>
      </c>
      <c r="C4562" s="108" t="s">
        <v>1106</v>
      </c>
      <c r="D4562" s="112" t="s">
        <v>178</v>
      </c>
      <c r="E4562" s="112">
        <v>1995.5</v>
      </c>
      <c r="F4562" s="111" t="str">
        <f>DataPull!D4562</f>
        <v/>
      </c>
      <c r="G4562" s="94" t="str">
        <f t="shared" si="2"/>
        <v/>
      </c>
      <c r="H4562" s="94" t="str">
        <f t="shared" si="3"/>
        <v/>
      </c>
      <c r="I4562" s="94" t="str">
        <f t="shared" ref="I4562:J4562" si="4563">if(G4562 = "", , -G4562)</f>
        <v/>
      </c>
      <c r="J4562" s="94" t="str">
        <f t="shared" si="4563"/>
        <v/>
      </c>
      <c r="K4562" s="100"/>
      <c r="M4562" s="100"/>
      <c r="N4562" s="100"/>
      <c r="O4562" s="100"/>
      <c r="P4562" s="100"/>
    </row>
    <row r="4563">
      <c r="A4563" s="107">
        <v>1628970.0</v>
      </c>
      <c r="B4563" s="108" t="s">
        <v>243</v>
      </c>
      <c r="C4563" s="108" t="s">
        <v>1106</v>
      </c>
      <c r="D4563" s="112" t="s">
        <v>178</v>
      </c>
      <c r="E4563" s="112">
        <v>1933.8</v>
      </c>
      <c r="F4563" s="111" t="str">
        <f>DataPull!D4563</f>
        <v/>
      </c>
      <c r="G4563" s="94" t="str">
        <f t="shared" si="2"/>
        <v/>
      </c>
      <c r="H4563" s="94" t="str">
        <f t="shared" si="3"/>
        <v/>
      </c>
      <c r="I4563" s="94" t="str">
        <f t="shared" ref="I4563:J4563" si="4564">if(G4563 = "", , -G4563)</f>
        <v/>
      </c>
      <c r="J4563" s="94" t="str">
        <f t="shared" si="4564"/>
        <v/>
      </c>
      <c r="K4563" s="100"/>
      <c r="M4563" s="100"/>
      <c r="N4563" s="100"/>
      <c r="O4563" s="100"/>
      <c r="P4563" s="100"/>
    </row>
    <row r="4564">
      <c r="A4564" s="107">
        <v>1628970.0</v>
      </c>
      <c r="B4564" s="108" t="s">
        <v>215</v>
      </c>
      <c r="C4564" s="108" t="s">
        <v>1106</v>
      </c>
      <c r="D4564" s="112" t="s">
        <v>178</v>
      </c>
      <c r="E4564" s="112">
        <v>2840.0</v>
      </c>
      <c r="F4564" s="111" t="str">
        <f>DataPull!D4564</f>
        <v/>
      </c>
      <c r="G4564" s="94" t="str">
        <f t="shared" si="2"/>
        <v/>
      </c>
      <c r="H4564" s="94" t="str">
        <f t="shared" si="3"/>
        <v/>
      </c>
      <c r="I4564" s="94" t="str">
        <f t="shared" ref="I4564:J4564" si="4565">if(G4564 = "", , -G4564)</f>
        <v/>
      </c>
      <c r="J4564" s="94" t="str">
        <f t="shared" si="4565"/>
        <v/>
      </c>
      <c r="K4564" s="100"/>
      <c r="M4564" s="100"/>
      <c r="N4564" s="100"/>
      <c r="O4564" s="100"/>
      <c r="P4564" s="100"/>
    </row>
    <row r="4565">
      <c r="A4565" s="107">
        <v>1628970.0</v>
      </c>
      <c r="B4565" s="108" t="s">
        <v>245</v>
      </c>
      <c r="C4565" s="108" t="s">
        <v>1106</v>
      </c>
      <c r="D4565" s="112" t="s">
        <v>178</v>
      </c>
      <c r="E4565" s="112">
        <v>2580.6</v>
      </c>
      <c r="F4565" s="111" t="str">
        <f>DataPull!D4565</f>
        <v/>
      </c>
      <c r="G4565" s="94" t="str">
        <f t="shared" si="2"/>
        <v/>
      </c>
      <c r="H4565" s="94" t="str">
        <f t="shared" si="3"/>
        <v/>
      </c>
      <c r="I4565" s="94" t="str">
        <f t="shared" ref="I4565:J4565" si="4566">if(G4565 = "", , -G4565)</f>
        <v/>
      </c>
      <c r="J4565" s="94" t="str">
        <f t="shared" si="4566"/>
        <v/>
      </c>
      <c r="K4565" s="100"/>
      <c r="M4565" s="100"/>
      <c r="N4565" s="100"/>
      <c r="O4565" s="100"/>
      <c r="P4565" s="100"/>
    </row>
    <row r="4566">
      <c r="A4566" s="107">
        <v>1628970.0</v>
      </c>
      <c r="B4566" s="108" t="s">
        <v>246</v>
      </c>
      <c r="C4566" s="108" t="s">
        <v>1106</v>
      </c>
      <c r="D4566" s="112" t="s">
        <v>178</v>
      </c>
      <c r="E4566" s="112">
        <v>2028.8</v>
      </c>
      <c r="F4566" s="111" t="str">
        <f>DataPull!D4566</f>
        <v/>
      </c>
      <c r="G4566" s="94" t="str">
        <f t="shared" si="2"/>
        <v/>
      </c>
      <c r="H4566" s="94" t="str">
        <f t="shared" si="3"/>
        <v/>
      </c>
      <c r="I4566" s="94" t="str">
        <f t="shared" ref="I4566:J4566" si="4567">if(G4566 = "", , -G4566)</f>
        <v/>
      </c>
      <c r="J4566" s="94" t="str">
        <f t="shared" si="4567"/>
        <v/>
      </c>
      <c r="K4566" s="100"/>
      <c r="M4566" s="100"/>
      <c r="N4566" s="100"/>
      <c r="O4566" s="100"/>
      <c r="P4566" s="100"/>
    </row>
    <row r="4567">
      <c r="A4567" s="114">
        <v>1628970.0</v>
      </c>
      <c r="B4567" s="113" t="s">
        <v>247</v>
      </c>
      <c r="C4567" s="113" t="s">
        <v>1106</v>
      </c>
      <c r="D4567" s="112" t="s">
        <v>184</v>
      </c>
      <c r="E4567" s="112">
        <v>2387.0</v>
      </c>
      <c r="F4567" s="111" t="str">
        <f>DataPull!D4567</f>
        <v/>
      </c>
      <c r="G4567" s="94" t="str">
        <f t="shared" si="2"/>
        <v/>
      </c>
      <c r="H4567" s="94" t="str">
        <f t="shared" si="3"/>
        <v/>
      </c>
      <c r="I4567" s="94" t="str">
        <f t="shared" ref="I4567:J4567" si="4568">if(G4567 = "", , -G4567)</f>
        <v/>
      </c>
      <c r="J4567" s="94" t="str">
        <f t="shared" si="4568"/>
        <v/>
      </c>
      <c r="K4567" s="100"/>
      <c r="M4567" s="100"/>
      <c r="N4567" s="100"/>
      <c r="O4567" s="100"/>
      <c r="P4567" s="100"/>
    </row>
    <row r="4568">
      <c r="A4568" s="107">
        <v>1628971.0</v>
      </c>
      <c r="B4568" s="108" t="s">
        <v>192</v>
      </c>
      <c r="C4568" s="108" t="s">
        <v>1107</v>
      </c>
      <c r="D4568" s="112" t="s">
        <v>177</v>
      </c>
      <c r="E4568" s="112">
        <v>1450.4</v>
      </c>
      <c r="F4568" s="111" t="str">
        <f>DataPull!D4568</f>
        <v/>
      </c>
      <c r="G4568" s="94" t="str">
        <f t="shared" si="2"/>
        <v/>
      </c>
      <c r="H4568" s="94" t="str">
        <f t="shared" si="3"/>
        <v/>
      </c>
      <c r="I4568" s="94" t="str">
        <f t="shared" ref="I4568:J4568" si="4569">if(G4568 = "", , -G4568)</f>
        <v/>
      </c>
      <c r="J4568" s="94" t="str">
        <f t="shared" si="4569"/>
        <v/>
      </c>
      <c r="K4568" s="100"/>
      <c r="M4568" s="100"/>
      <c r="N4568" s="100"/>
      <c r="O4568" s="100"/>
      <c r="P4568" s="100"/>
    </row>
    <row r="4569">
      <c r="A4569" s="107">
        <v>1628971.0</v>
      </c>
      <c r="B4569" s="108" t="s">
        <v>193</v>
      </c>
      <c r="C4569" s="108" t="s">
        <v>1107</v>
      </c>
      <c r="D4569" s="112" t="s">
        <v>178</v>
      </c>
      <c r="E4569" s="112">
        <v>1635.6</v>
      </c>
      <c r="F4569" s="111" t="str">
        <f>DataPull!D4569</f>
        <v/>
      </c>
      <c r="G4569" s="94" t="str">
        <f t="shared" si="2"/>
        <v/>
      </c>
      <c r="H4569" s="94" t="str">
        <f t="shared" si="3"/>
        <v/>
      </c>
      <c r="I4569" s="94" t="str">
        <f t="shared" ref="I4569:J4569" si="4570">if(G4569 = "", , -G4569)</f>
        <v/>
      </c>
      <c r="J4569" s="94" t="str">
        <f t="shared" si="4570"/>
        <v/>
      </c>
      <c r="K4569" s="100"/>
      <c r="M4569" s="100"/>
      <c r="N4569" s="100"/>
      <c r="O4569" s="100"/>
      <c r="P4569" s="100"/>
    </row>
    <row r="4570">
      <c r="A4570" s="107">
        <v>1628971.0</v>
      </c>
      <c r="B4570" s="108" t="s">
        <v>243</v>
      </c>
      <c r="C4570" s="108" t="s">
        <v>1107</v>
      </c>
      <c r="D4570" s="112" t="s">
        <v>176</v>
      </c>
      <c r="E4570" s="112">
        <v>1449.5</v>
      </c>
      <c r="F4570" s="111" t="str">
        <f>DataPull!D4570</f>
        <v/>
      </c>
      <c r="G4570" s="94" t="str">
        <f t="shared" si="2"/>
        <v/>
      </c>
      <c r="H4570" s="94" t="str">
        <f t="shared" si="3"/>
        <v/>
      </c>
      <c r="I4570" s="94" t="str">
        <f t="shared" ref="I4570:J4570" si="4571">if(G4570 = "", , -G4570)</f>
        <v/>
      </c>
      <c r="J4570" s="94" t="str">
        <f t="shared" si="4571"/>
        <v/>
      </c>
      <c r="K4570" s="100"/>
      <c r="M4570" s="100"/>
      <c r="N4570" s="100"/>
      <c r="O4570" s="100"/>
      <c r="P4570" s="100"/>
    </row>
    <row r="4571">
      <c r="A4571" s="107">
        <v>1628971.0</v>
      </c>
      <c r="B4571" s="108" t="s">
        <v>215</v>
      </c>
      <c r="C4571" s="108" t="s">
        <v>1107</v>
      </c>
      <c r="D4571" s="112" t="s">
        <v>176</v>
      </c>
      <c r="E4571" s="112">
        <v>1771.2</v>
      </c>
      <c r="F4571" s="111" t="str">
        <f>DataPull!D4571</f>
        <v/>
      </c>
      <c r="G4571" s="94" t="str">
        <f t="shared" si="2"/>
        <v/>
      </c>
      <c r="H4571" s="94" t="str">
        <f t="shared" si="3"/>
        <v/>
      </c>
      <c r="I4571" s="94" t="str">
        <f t="shared" ref="I4571:J4571" si="4572">if(G4571 = "", , -G4571)</f>
        <v/>
      </c>
      <c r="J4571" s="94" t="str">
        <f t="shared" si="4572"/>
        <v/>
      </c>
      <c r="K4571" s="100"/>
      <c r="M4571" s="100"/>
      <c r="N4571" s="100"/>
      <c r="O4571" s="100"/>
      <c r="P4571" s="100"/>
    </row>
    <row r="4572">
      <c r="A4572" s="107">
        <v>1628971.0</v>
      </c>
      <c r="B4572" s="108" t="s">
        <v>244</v>
      </c>
      <c r="C4572" s="108" t="s">
        <v>1107</v>
      </c>
      <c r="D4572" s="112" t="s">
        <v>176</v>
      </c>
      <c r="E4572" s="112">
        <v>2280.0</v>
      </c>
      <c r="F4572" s="111" t="str">
        <f>DataPull!D4572</f>
        <v/>
      </c>
      <c r="G4572" s="94" t="str">
        <f t="shared" si="2"/>
        <v/>
      </c>
      <c r="H4572" s="94" t="str">
        <f t="shared" si="3"/>
        <v/>
      </c>
      <c r="I4572" s="94" t="str">
        <f t="shared" ref="I4572:J4572" si="4573">if(G4572 = "", , -G4572)</f>
        <v/>
      </c>
      <c r="J4572" s="94" t="str">
        <f t="shared" si="4573"/>
        <v/>
      </c>
      <c r="K4572" s="100"/>
      <c r="M4572" s="100"/>
      <c r="N4572" s="100"/>
      <c r="O4572" s="100"/>
      <c r="P4572" s="100"/>
    </row>
    <row r="4573">
      <c r="A4573" s="107">
        <v>1628971.0</v>
      </c>
      <c r="B4573" s="108" t="s">
        <v>245</v>
      </c>
      <c r="C4573" s="108" t="s">
        <v>1107</v>
      </c>
      <c r="D4573" s="112" t="s">
        <v>176</v>
      </c>
      <c r="E4573" s="112">
        <v>1862.6</v>
      </c>
      <c r="F4573" s="111" t="str">
        <f>DataPull!D4573</f>
        <v/>
      </c>
      <c r="G4573" s="94" t="str">
        <f t="shared" si="2"/>
        <v/>
      </c>
      <c r="H4573" s="94" t="str">
        <f t="shared" si="3"/>
        <v/>
      </c>
      <c r="I4573" s="94" t="str">
        <f t="shared" ref="I4573:J4573" si="4574">if(G4573 = "", , -G4573)</f>
        <v/>
      </c>
      <c r="J4573" s="94" t="str">
        <f t="shared" si="4574"/>
        <v/>
      </c>
      <c r="K4573" s="100"/>
      <c r="M4573" s="100"/>
      <c r="N4573" s="100"/>
      <c r="O4573" s="100"/>
      <c r="P4573" s="100"/>
    </row>
    <row r="4574">
      <c r="A4574" s="107">
        <v>1628971.0</v>
      </c>
      <c r="B4574" s="108" t="s">
        <v>246</v>
      </c>
      <c r="C4574" s="108" t="s">
        <v>1107</v>
      </c>
      <c r="D4574" s="112" t="s">
        <v>176</v>
      </c>
      <c r="E4574" s="112">
        <v>922.5</v>
      </c>
      <c r="F4574" s="111" t="str">
        <f>DataPull!D4574</f>
        <v/>
      </c>
      <c r="G4574" s="94" t="str">
        <f t="shared" si="2"/>
        <v/>
      </c>
      <c r="H4574" s="94" t="str">
        <f t="shared" si="3"/>
        <v/>
      </c>
      <c r="I4574" s="94" t="str">
        <f t="shared" ref="I4574:J4574" si="4575">if(G4574 = "", , -G4574)</f>
        <v/>
      </c>
      <c r="J4574" s="94" t="str">
        <f t="shared" si="4575"/>
        <v/>
      </c>
      <c r="K4574" s="100"/>
      <c r="L4574" s="100"/>
      <c r="M4574" s="100"/>
      <c r="N4574" s="100"/>
      <c r="O4574" s="100"/>
      <c r="P4574" s="100"/>
    </row>
    <row r="4575">
      <c r="A4575" s="114">
        <v>1628971.0</v>
      </c>
      <c r="B4575" s="113" t="s">
        <v>247</v>
      </c>
      <c r="C4575" s="113" t="s">
        <v>1107</v>
      </c>
      <c r="D4575" s="112" t="s">
        <v>176</v>
      </c>
      <c r="E4575" s="112">
        <v>2000.8</v>
      </c>
      <c r="F4575" s="111" t="str">
        <f>DataPull!D4575</f>
        <v/>
      </c>
      <c r="G4575" s="94" t="str">
        <f t="shared" si="2"/>
        <v/>
      </c>
      <c r="H4575" s="94" t="str">
        <f t="shared" si="3"/>
        <v/>
      </c>
      <c r="I4575" s="94" t="str">
        <f t="shared" ref="I4575:J4575" si="4576">if(G4575 = "", , -G4575)</f>
        <v/>
      </c>
      <c r="J4575" s="94" t="str">
        <f t="shared" si="4576"/>
        <v/>
      </c>
      <c r="K4575" s="100"/>
      <c r="M4575" s="100"/>
      <c r="N4575" s="100"/>
      <c r="O4575" s="100"/>
      <c r="P4575" s="100"/>
    </row>
    <row r="4576">
      <c r="A4576" s="107">
        <v>1628972.0</v>
      </c>
      <c r="B4576" s="108" t="s">
        <v>192</v>
      </c>
      <c r="C4576" s="108" t="s">
        <v>1108</v>
      </c>
      <c r="D4576" s="112" t="s">
        <v>177</v>
      </c>
      <c r="E4576" s="112">
        <v>728.0</v>
      </c>
      <c r="F4576" s="111" t="str">
        <f>DataPull!D4576</f>
        <v/>
      </c>
      <c r="G4576" s="94" t="str">
        <f t="shared" si="2"/>
        <v/>
      </c>
      <c r="H4576" s="94" t="str">
        <f t="shared" si="3"/>
        <v/>
      </c>
      <c r="I4576" s="94" t="str">
        <f t="shared" ref="I4576:J4576" si="4577">if(G4576 = "", , -G4576)</f>
        <v/>
      </c>
      <c r="J4576" s="94" t="str">
        <f t="shared" si="4577"/>
        <v/>
      </c>
      <c r="K4576" s="100"/>
      <c r="L4576" s="100"/>
      <c r="N4576" s="100"/>
      <c r="O4576" s="100"/>
      <c r="P4576" s="100"/>
    </row>
    <row r="4577">
      <c r="A4577" s="107">
        <v>1628972.0</v>
      </c>
      <c r="B4577" s="108" t="s">
        <v>193</v>
      </c>
      <c r="C4577" s="108" t="s">
        <v>1108</v>
      </c>
      <c r="D4577" s="112" t="s">
        <v>178</v>
      </c>
      <c r="E4577" s="112">
        <v>1780.2</v>
      </c>
      <c r="F4577" s="111" t="str">
        <f>DataPull!D4577</f>
        <v/>
      </c>
      <c r="G4577" s="94" t="str">
        <f t="shared" si="2"/>
        <v/>
      </c>
      <c r="H4577" s="94" t="str">
        <f t="shared" si="3"/>
        <v/>
      </c>
      <c r="I4577" s="94" t="str">
        <f t="shared" ref="I4577:J4577" si="4578">if(G4577 = "", , -G4577)</f>
        <v/>
      </c>
      <c r="J4577" s="94" t="str">
        <f t="shared" si="4578"/>
        <v/>
      </c>
      <c r="K4577" s="100"/>
      <c r="M4577" s="100"/>
      <c r="N4577" s="100"/>
      <c r="O4577" s="100"/>
      <c r="P4577" s="100"/>
    </row>
    <row r="4578">
      <c r="A4578" s="107">
        <v>1628972.0</v>
      </c>
      <c r="B4578" s="108" t="s">
        <v>243</v>
      </c>
      <c r="C4578" s="108" t="s">
        <v>1108</v>
      </c>
      <c r="D4578" s="112" t="s">
        <v>187</v>
      </c>
      <c r="E4578" s="112">
        <v>523.6</v>
      </c>
      <c r="F4578" s="111" t="str">
        <f>DataPull!D4578</f>
        <v/>
      </c>
      <c r="G4578" s="94" t="str">
        <f t="shared" si="2"/>
        <v/>
      </c>
      <c r="H4578" s="94" t="str">
        <f t="shared" si="3"/>
        <v/>
      </c>
      <c r="I4578" s="94" t="str">
        <f t="shared" ref="I4578:J4578" si="4579">if(G4578 = "", , -G4578)</f>
        <v/>
      </c>
      <c r="J4578" s="94" t="str">
        <f t="shared" si="4579"/>
        <v/>
      </c>
      <c r="M4578" s="100"/>
      <c r="N4578" s="100"/>
      <c r="O4578" s="100"/>
    </row>
    <row r="4579">
      <c r="A4579" s="107">
        <v>1628972.0</v>
      </c>
      <c r="B4579" s="108" t="s">
        <v>215</v>
      </c>
      <c r="C4579" s="108" t="s">
        <v>1108</v>
      </c>
      <c r="D4579" s="112" t="s">
        <v>177</v>
      </c>
      <c r="E4579" s="112">
        <v>1056.0</v>
      </c>
      <c r="F4579" s="111" t="str">
        <f>DataPull!D4579</f>
        <v/>
      </c>
      <c r="G4579" s="94" t="str">
        <f t="shared" si="2"/>
        <v/>
      </c>
      <c r="H4579" s="94" t="str">
        <f t="shared" si="3"/>
        <v/>
      </c>
      <c r="I4579" s="94" t="str">
        <f t="shared" ref="I4579:J4579" si="4580">if(G4579 = "", , -G4579)</f>
        <v/>
      </c>
      <c r="J4579" s="94" t="str">
        <f t="shared" si="4580"/>
        <v/>
      </c>
      <c r="K4579" s="100"/>
      <c r="M4579" s="100"/>
      <c r="N4579" s="100"/>
      <c r="O4579" s="100"/>
      <c r="P4579" s="100"/>
    </row>
    <row r="4580">
      <c r="A4580" s="107">
        <v>1628972.0</v>
      </c>
      <c r="B4580" s="108" t="s">
        <v>244</v>
      </c>
      <c r="C4580" s="108" t="s">
        <v>1108</v>
      </c>
      <c r="D4580" s="112" t="s">
        <v>176</v>
      </c>
      <c r="E4580" s="112">
        <v>1862.0</v>
      </c>
      <c r="F4580" s="111" t="str">
        <f>DataPull!D4580</f>
        <v/>
      </c>
      <c r="G4580" s="94" t="str">
        <f t="shared" si="2"/>
        <v/>
      </c>
      <c r="H4580" s="94" t="str">
        <f t="shared" si="3"/>
        <v/>
      </c>
      <c r="I4580" s="94" t="str">
        <f t="shared" ref="I4580:J4580" si="4581">if(G4580 = "", , -G4580)</f>
        <v/>
      </c>
      <c r="J4580" s="94" t="str">
        <f t="shared" si="4581"/>
        <v/>
      </c>
      <c r="K4580" s="100"/>
      <c r="L4580" s="100"/>
      <c r="N4580" s="100"/>
      <c r="O4580" s="100"/>
      <c r="P4580" s="100"/>
    </row>
    <row r="4581">
      <c r="A4581" s="107">
        <v>1628972.0</v>
      </c>
      <c r="B4581" s="108" t="s">
        <v>245</v>
      </c>
      <c r="C4581" s="108" t="s">
        <v>1108</v>
      </c>
      <c r="D4581" s="112" t="s">
        <v>177</v>
      </c>
      <c r="E4581" s="112">
        <v>826.0</v>
      </c>
      <c r="F4581" s="111" t="str">
        <f>DataPull!D4581</f>
        <v/>
      </c>
      <c r="G4581" s="94" t="str">
        <f t="shared" si="2"/>
        <v/>
      </c>
      <c r="H4581" s="94" t="str">
        <f t="shared" si="3"/>
        <v/>
      </c>
      <c r="I4581" s="94" t="str">
        <f t="shared" ref="I4581:J4581" si="4582">if(G4581 = "", , -G4581)</f>
        <v/>
      </c>
      <c r="J4581" s="94" t="str">
        <f t="shared" si="4582"/>
        <v/>
      </c>
      <c r="K4581" s="100"/>
      <c r="M4581" s="100"/>
      <c r="N4581" s="100"/>
      <c r="O4581" s="100"/>
      <c r="P4581" s="100"/>
    </row>
    <row r="4582">
      <c r="A4582" s="107">
        <v>1628973.0</v>
      </c>
      <c r="B4582" s="108" t="s">
        <v>192</v>
      </c>
      <c r="C4582" s="108" t="s">
        <v>1109</v>
      </c>
      <c r="D4582" s="112" t="s">
        <v>176</v>
      </c>
      <c r="E4582" s="112">
        <v>1591.4</v>
      </c>
      <c r="F4582" s="111" t="str">
        <f>DataPull!D4582</f>
        <v/>
      </c>
      <c r="G4582" s="94" t="str">
        <f t="shared" si="2"/>
        <v/>
      </c>
      <c r="H4582" s="94" t="str">
        <f t="shared" si="3"/>
        <v/>
      </c>
      <c r="I4582" s="94" t="str">
        <f t="shared" ref="I4582:J4582" si="4583">if(G4582 = "", , -G4582)</f>
        <v/>
      </c>
      <c r="J4582" s="94" t="str">
        <f t="shared" si="4583"/>
        <v/>
      </c>
      <c r="K4582" s="100"/>
      <c r="M4582" s="100"/>
      <c r="N4582" s="100"/>
      <c r="O4582" s="100"/>
      <c r="P4582" s="100"/>
    </row>
    <row r="4583">
      <c r="A4583" s="107">
        <v>1628973.0</v>
      </c>
      <c r="B4583" s="108" t="s">
        <v>193</v>
      </c>
      <c r="C4583" s="108" t="s">
        <v>1109</v>
      </c>
      <c r="D4583" s="112" t="s">
        <v>177</v>
      </c>
      <c r="E4583" s="112">
        <v>1020.3</v>
      </c>
      <c r="F4583" s="111" t="str">
        <f>DataPull!D4583</f>
        <v/>
      </c>
      <c r="G4583" s="94" t="str">
        <f t="shared" si="2"/>
        <v/>
      </c>
      <c r="H4583" s="94" t="str">
        <f t="shared" si="3"/>
        <v/>
      </c>
      <c r="I4583" s="94" t="str">
        <f t="shared" ref="I4583:J4583" si="4584">if(G4583 = "", , -G4583)</f>
        <v/>
      </c>
      <c r="J4583" s="94" t="str">
        <f t="shared" si="4584"/>
        <v/>
      </c>
      <c r="K4583" s="100"/>
      <c r="M4583" s="100"/>
      <c r="N4583" s="100"/>
      <c r="O4583" s="100"/>
      <c r="P4583" s="100"/>
    </row>
    <row r="4584">
      <c r="A4584" s="107">
        <v>1628973.0</v>
      </c>
      <c r="B4584" s="108" t="s">
        <v>243</v>
      </c>
      <c r="C4584" s="108" t="s">
        <v>1109</v>
      </c>
      <c r="D4584" s="112" t="s">
        <v>176</v>
      </c>
      <c r="E4584" s="112">
        <v>1700.0</v>
      </c>
      <c r="F4584" s="111" t="str">
        <f>DataPull!D4584</f>
        <v/>
      </c>
      <c r="G4584" s="94" t="str">
        <f t="shared" si="2"/>
        <v/>
      </c>
      <c r="H4584" s="94" t="str">
        <f t="shared" si="3"/>
        <v/>
      </c>
      <c r="I4584" s="94" t="str">
        <f t="shared" ref="I4584:J4584" si="4585">if(G4584 = "", , -G4584)</f>
        <v/>
      </c>
      <c r="J4584" s="94" t="str">
        <f t="shared" si="4585"/>
        <v/>
      </c>
      <c r="K4584" s="100"/>
      <c r="M4584" s="100"/>
      <c r="N4584" s="100"/>
      <c r="O4584" s="100"/>
      <c r="P4584" s="100"/>
    </row>
    <row r="4585">
      <c r="A4585" s="107">
        <v>1628973.0</v>
      </c>
      <c r="B4585" s="108" t="s">
        <v>215</v>
      </c>
      <c r="C4585" s="108" t="s">
        <v>1109</v>
      </c>
      <c r="D4585" s="112" t="s">
        <v>178</v>
      </c>
      <c r="E4585" s="112">
        <v>2520.1</v>
      </c>
      <c r="F4585" s="111" t="str">
        <f>DataPull!D4585</f>
        <v/>
      </c>
      <c r="G4585" s="94" t="str">
        <f t="shared" si="2"/>
        <v/>
      </c>
      <c r="H4585" s="94" t="str">
        <f t="shared" si="3"/>
        <v/>
      </c>
      <c r="I4585" s="94" t="str">
        <f t="shared" ref="I4585:J4585" si="4586">if(G4585 = "", , -G4585)</f>
        <v/>
      </c>
      <c r="J4585" s="94" t="str">
        <f t="shared" si="4586"/>
        <v/>
      </c>
      <c r="K4585" s="100"/>
      <c r="L4585" s="100"/>
      <c r="M4585" s="100"/>
      <c r="N4585" s="100"/>
      <c r="O4585" s="100"/>
      <c r="P4585" s="100"/>
    </row>
    <row r="4586">
      <c r="A4586" s="107">
        <v>1628973.0</v>
      </c>
      <c r="B4586" s="108" t="s">
        <v>244</v>
      </c>
      <c r="C4586" s="108" t="s">
        <v>1109</v>
      </c>
      <c r="D4586" s="112" t="s">
        <v>184</v>
      </c>
      <c r="E4586" s="112">
        <v>2380.0</v>
      </c>
      <c r="F4586" s="111" t="str">
        <f>DataPull!D4586</f>
        <v/>
      </c>
      <c r="G4586" s="94" t="str">
        <f t="shared" si="2"/>
        <v/>
      </c>
      <c r="H4586" s="94" t="str">
        <f t="shared" si="3"/>
        <v/>
      </c>
      <c r="I4586" s="94" t="str">
        <f t="shared" ref="I4586:J4586" si="4587">if(G4586 = "", , -G4586)</f>
        <v/>
      </c>
      <c r="J4586" s="94" t="str">
        <f t="shared" si="4587"/>
        <v/>
      </c>
      <c r="K4586" s="100"/>
      <c r="L4586" s="100"/>
      <c r="N4586" s="100"/>
      <c r="O4586" s="100"/>
      <c r="P4586" s="100"/>
    </row>
    <row r="4587">
      <c r="A4587" s="107">
        <v>1628973.0</v>
      </c>
      <c r="B4587" s="108" t="s">
        <v>245</v>
      </c>
      <c r="C4587" s="108" t="s">
        <v>1109</v>
      </c>
      <c r="D4587" s="112" t="s">
        <v>184</v>
      </c>
      <c r="E4587" s="112">
        <v>2725.8</v>
      </c>
      <c r="F4587" s="111" t="str">
        <f>DataPull!D4587</f>
        <v/>
      </c>
      <c r="G4587" s="94" t="str">
        <f t="shared" si="2"/>
        <v/>
      </c>
      <c r="H4587" s="94" t="str">
        <f t="shared" si="3"/>
        <v/>
      </c>
      <c r="I4587" s="94" t="str">
        <f t="shared" ref="I4587:J4587" si="4588">if(G4587 = "", , -G4587)</f>
        <v/>
      </c>
      <c r="J4587" s="94" t="str">
        <f t="shared" si="4588"/>
        <v/>
      </c>
      <c r="K4587" s="100"/>
      <c r="L4587" s="100"/>
      <c r="M4587" s="100"/>
      <c r="N4587" s="100"/>
      <c r="O4587" s="100"/>
      <c r="P4587" s="100"/>
    </row>
    <row r="4588">
      <c r="A4588" s="107">
        <v>1628973.0</v>
      </c>
      <c r="B4588" s="108" t="s">
        <v>246</v>
      </c>
      <c r="C4588" s="108" t="s">
        <v>1109</v>
      </c>
      <c r="D4588" s="112" t="s">
        <v>184</v>
      </c>
      <c r="E4588" s="112">
        <v>2301.0</v>
      </c>
      <c r="F4588" s="111" t="str">
        <f>DataPull!D4588</f>
        <v/>
      </c>
      <c r="G4588" s="94" t="str">
        <f t="shared" si="2"/>
        <v/>
      </c>
      <c r="H4588" s="94" t="str">
        <f t="shared" si="3"/>
        <v/>
      </c>
      <c r="I4588" s="94" t="str">
        <f t="shared" ref="I4588:J4588" si="4589">if(G4588 = "", , -G4588)</f>
        <v/>
      </c>
      <c r="J4588" s="94" t="str">
        <f t="shared" si="4589"/>
        <v/>
      </c>
      <c r="K4588" s="100"/>
      <c r="M4588" s="100"/>
      <c r="N4588" s="100"/>
      <c r="O4588" s="100"/>
      <c r="P4588" s="100"/>
    </row>
    <row r="4589">
      <c r="A4589" s="114">
        <v>1628973.0</v>
      </c>
      <c r="B4589" s="113" t="s">
        <v>247</v>
      </c>
      <c r="C4589" s="113" t="s">
        <v>1109</v>
      </c>
      <c r="D4589" s="112" t="s">
        <v>184</v>
      </c>
      <c r="E4589" s="112">
        <v>2590.0</v>
      </c>
      <c r="F4589" s="111" t="str">
        <f>DataPull!D4589</f>
        <v/>
      </c>
      <c r="G4589" s="94" t="str">
        <f t="shared" si="2"/>
        <v/>
      </c>
      <c r="H4589" s="94" t="str">
        <f t="shared" si="3"/>
        <v/>
      </c>
      <c r="I4589" s="94" t="str">
        <f t="shared" ref="I4589:J4589" si="4590">if(G4589 = "", , -G4589)</f>
        <v/>
      </c>
      <c r="J4589" s="94" t="str">
        <f t="shared" si="4590"/>
        <v/>
      </c>
      <c r="K4589" s="100"/>
      <c r="L4589" s="100"/>
      <c r="N4589" s="100"/>
      <c r="O4589" s="100"/>
      <c r="P4589" s="100"/>
    </row>
    <row r="4590">
      <c r="A4590" s="107">
        <v>1628975.0</v>
      </c>
      <c r="B4590" s="108" t="s">
        <v>192</v>
      </c>
      <c r="C4590" s="108" t="s">
        <v>1110</v>
      </c>
      <c r="D4590" s="112" t="s">
        <v>177</v>
      </c>
      <c r="E4590" s="112">
        <v>577.2</v>
      </c>
      <c r="F4590" s="111" t="str">
        <f>DataPull!D4590</f>
        <v/>
      </c>
      <c r="G4590" s="94" t="str">
        <f t="shared" si="2"/>
        <v/>
      </c>
      <c r="H4590" s="94" t="str">
        <f t="shared" si="3"/>
        <v/>
      </c>
      <c r="I4590" s="94" t="str">
        <f t="shared" ref="I4590:J4590" si="4591">if(G4590 = "", , -G4590)</f>
        <v/>
      </c>
      <c r="J4590" s="94" t="str">
        <f t="shared" si="4591"/>
        <v/>
      </c>
      <c r="K4590" s="100"/>
      <c r="M4590" s="100"/>
      <c r="N4590" s="100"/>
      <c r="O4590" s="100"/>
      <c r="P4590" s="100"/>
    </row>
    <row r="4591">
      <c r="A4591" s="107">
        <v>1628975.0</v>
      </c>
      <c r="B4591" s="108" t="s">
        <v>193</v>
      </c>
      <c r="C4591" s="108" t="s">
        <v>1110</v>
      </c>
      <c r="D4591" s="112" t="s">
        <v>177</v>
      </c>
      <c r="E4591" s="112">
        <v>945.4</v>
      </c>
      <c r="F4591" s="111" t="str">
        <f>DataPull!D4591</f>
        <v/>
      </c>
      <c r="G4591" s="94" t="str">
        <f t="shared" si="2"/>
        <v/>
      </c>
      <c r="H4591" s="94" t="str">
        <f t="shared" si="3"/>
        <v/>
      </c>
      <c r="I4591" s="94" t="str">
        <f t="shared" ref="I4591:J4591" si="4592">if(G4591 = "", , -G4591)</f>
        <v/>
      </c>
      <c r="J4591" s="94" t="str">
        <f t="shared" si="4592"/>
        <v/>
      </c>
      <c r="K4591" s="100"/>
      <c r="M4591" s="100"/>
      <c r="N4591" s="100"/>
      <c r="O4591" s="100"/>
      <c r="P4591" s="100"/>
    </row>
    <row r="4592">
      <c r="A4592" s="107">
        <v>1628975.0</v>
      </c>
      <c r="B4592" s="108" t="s">
        <v>243</v>
      </c>
      <c r="C4592" s="108" t="s">
        <v>1110</v>
      </c>
      <c r="D4592" s="112" t="s">
        <v>177</v>
      </c>
      <c r="E4592" s="112">
        <v>714.0</v>
      </c>
      <c r="F4592" s="111" t="str">
        <f>DataPull!D4592</f>
        <v/>
      </c>
      <c r="G4592" s="94" t="str">
        <f t="shared" si="2"/>
        <v/>
      </c>
      <c r="H4592" s="94" t="str">
        <f t="shared" si="3"/>
        <v/>
      </c>
      <c r="I4592" s="94" t="str">
        <f t="shared" ref="I4592:J4592" si="4593">if(G4592 = "", , -G4592)</f>
        <v/>
      </c>
      <c r="J4592" s="94" t="str">
        <f t="shared" si="4593"/>
        <v/>
      </c>
      <c r="K4592" s="100"/>
      <c r="M4592" s="100"/>
      <c r="N4592" s="100"/>
      <c r="O4592" s="100"/>
      <c r="P4592" s="100"/>
    </row>
    <row r="4593">
      <c r="A4593" s="107">
        <v>1628975.0</v>
      </c>
      <c r="B4593" s="108" t="s">
        <v>215</v>
      </c>
      <c r="C4593" s="108" t="s">
        <v>1110</v>
      </c>
      <c r="D4593" s="112" t="s">
        <v>177</v>
      </c>
      <c r="E4593" s="112">
        <v>904.2</v>
      </c>
      <c r="F4593" s="111" t="str">
        <f>DataPull!D4593</f>
        <v/>
      </c>
      <c r="G4593" s="94" t="str">
        <f t="shared" si="2"/>
        <v/>
      </c>
      <c r="H4593" s="94" t="str">
        <f t="shared" si="3"/>
        <v/>
      </c>
      <c r="I4593" s="94" t="str">
        <f t="shared" ref="I4593:J4593" si="4594">if(G4593 = "", , -G4593)</f>
        <v/>
      </c>
      <c r="J4593" s="94" t="str">
        <f t="shared" si="4594"/>
        <v/>
      </c>
      <c r="K4593" s="100"/>
      <c r="M4593" s="100"/>
      <c r="N4593" s="100"/>
      <c r="O4593" s="100"/>
      <c r="P4593" s="100"/>
    </row>
    <row r="4594">
      <c r="A4594" s="107">
        <v>1628975.0</v>
      </c>
      <c r="B4594" s="108" t="s">
        <v>244</v>
      </c>
      <c r="C4594" s="108" t="s">
        <v>1110</v>
      </c>
      <c r="D4594" s="112" t="s">
        <v>176</v>
      </c>
      <c r="E4594" s="112">
        <v>1814.4</v>
      </c>
      <c r="F4594" s="111" t="str">
        <f>DataPull!D4594</f>
        <v/>
      </c>
      <c r="G4594" s="94" t="str">
        <f t="shared" si="2"/>
        <v/>
      </c>
      <c r="H4594" s="94" t="str">
        <f t="shared" si="3"/>
        <v/>
      </c>
      <c r="I4594" s="94" t="str">
        <f t="shared" ref="I4594:J4594" si="4595">if(G4594 = "", , -G4594)</f>
        <v/>
      </c>
      <c r="J4594" s="94" t="str">
        <f t="shared" si="4595"/>
        <v/>
      </c>
      <c r="K4594" s="100"/>
      <c r="M4594" s="100"/>
      <c r="N4594" s="100"/>
      <c r="O4594" s="100"/>
      <c r="P4594" s="100"/>
    </row>
    <row r="4595">
      <c r="A4595" s="107">
        <v>1628975.0</v>
      </c>
      <c r="B4595" s="108" t="s">
        <v>245</v>
      </c>
      <c r="C4595" s="108" t="s">
        <v>1110</v>
      </c>
      <c r="D4595" s="112" t="s">
        <v>177</v>
      </c>
      <c r="E4595" s="112">
        <v>1000.8</v>
      </c>
      <c r="F4595" s="111" t="str">
        <f>DataPull!D4595</f>
        <v/>
      </c>
      <c r="G4595" s="94" t="str">
        <f t="shared" si="2"/>
        <v/>
      </c>
      <c r="H4595" s="94" t="str">
        <f t="shared" si="3"/>
        <v/>
      </c>
      <c r="I4595" s="94" t="str">
        <f t="shared" ref="I4595:J4595" si="4596">if(G4595 = "", , -G4595)</f>
        <v/>
      </c>
      <c r="J4595" s="94" t="str">
        <f t="shared" si="4596"/>
        <v/>
      </c>
      <c r="K4595" s="100"/>
      <c r="L4595" s="100"/>
      <c r="M4595" s="100"/>
      <c r="N4595" s="100"/>
      <c r="O4595" s="100"/>
      <c r="P4595" s="100"/>
    </row>
    <row r="4596">
      <c r="A4596" s="107">
        <v>1628975.0</v>
      </c>
      <c r="B4596" s="108" t="s">
        <v>246</v>
      </c>
      <c r="C4596" s="108" t="s">
        <v>1110</v>
      </c>
      <c r="D4596" s="112" t="s">
        <v>187</v>
      </c>
      <c r="E4596" s="112">
        <v>320.4</v>
      </c>
      <c r="F4596" s="111" t="str">
        <f>DataPull!D4596</f>
        <v/>
      </c>
      <c r="G4596" s="94" t="str">
        <f t="shared" si="2"/>
        <v/>
      </c>
      <c r="H4596" s="94" t="str">
        <f t="shared" si="3"/>
        <v/>
      </c>
      <c r="I4596" s="94" t="str">
        <f t="shared" ref="I4596:J4596" si="4597">if(G4596 = "", , -G4596)</f>
        <v/>
      </c>
      <c r="J4596" s="94" t="str">
        <f t="shared" si="4597"/>
        <v/>
      </c>
      <c r="K4596" s="100"/>
      <c r="L4596" s="100"/>
      <c r="N4596" s="100"/>
      <c r="O4596" s="100"/>
      <c r="P4596" s="100"/>
    </row>
    <row r="4597">
      <c r="A4597" s="114">
        <v>1628975.0</v>
      </c>
      <c r="B4597" s="113" t="s">
        <v>247</v>
      </c>
      <c r="C4597" s="113" t="s">
        <v>1110</v>
      </c>
      <c r="D4597" s="112" t="s">
        <v>177</v>
      </c>
      <c r="E4597" s="112">
        <v>869.2</v>
      </c>
      <c r="F4597" s="111" t="str">
        <f>DataPull!D4597</f>
        <v/>
      </c>
      <c r="G4597" s="94" t="str">
        <f t="shared" si="2"/>
        <v/>
      </c>
      <c r="H4597" s="94" t="str">
        <f t="shared" si="3"/>
        <v/>
      </c>
      <c r="I4597" s="94" t="str">
        <f t="shared" ref="I4597:J4597" si="4598">if(G4597 = "", , -G4597)</f>
        <v/>
      </c>
      <c r="J4597" s="94" t="str">
        <f t="shared" si="4598"/>
        <v/>
      </c>
      <c r="K4597" s="100"/>
      <c r="M4597" s="100"/>
      <c r="N4597" s="100"/>
      <c r="O4597" s="100"/>
      <c r="P4597" s="100"/>
    </row>
    <row r="4598">
      <c r="A4598" s="107">
        <v>1628976.0</v>
      </c>
      <c r="B4598" s="108" t="s">
        <v>192</v>
      </c>
      <c r="C4598" s="108" t="s">
        <v>1111</v>
      </c>
      <c r="D4598" s="112" t="s">
        <v>176</v>
      </c>
      <c r="E4598" s="112">
        <v>1108.8</v>
      </c>
      <c r="F4598" s="111" t="str">
        <f>DataPull!D4598</f>
        <v/>
      </c>
      <c r="G4598" s="94" t="str">
        <f t="shared" si="2"/>
        <v/>
      </c>
      <c r="H4598" s="94" t="str">
        <f t="shared" si="3"/>
        <v/>
      </c>
      <c r="I4598" s="94" t="str">
        <f t="shared" ref="I4598:J4598" si="4599">if(G4598 = "", , -G4598)</f>
        <v/>
      </c>
      <c r="J4598" s="94" t="str">
        <f t="shared" si="4599"/>
        <v/>
      </c>
      <c r="K4598" s="100"/>
      <c r="M4598" s="100"/>
      <c r="N4598" s="100"/>
      <c r="O4598" s="100"/>
      <c r="P4598" s="100"/>
    </row>
    <row r="4599">
      <c r="A4599" s="107">
        <v>1628976.0</v>
      </c>
      <c r="B4599" s="108" t="s">
        <v>193</v>
      </c>
      <c r="C4599" s="108" t="s">
        <v>1111</v>
      </c>
      <c r="D4599" s="112" t="s">
        <v>178</v>
      </c>
      <c r="E4599" s="112">
        <v>1255.6</v>
      </c>
      <c r="F4599" s="111" t="str">
        <f>DataPull!D4599</f>
        <v/>
      </c>
      <c r="G4599" s="94" t="str">
        <f t="shared" si="2"/>
        <v/>
      </c>
      <c r="H4599" s="94" t="str">
        <f t="shared" si="3"/>
        <v/>
      </c>
      <c r="I4599" s="94" t="str">
        <f t="shared" ref="I4599:J4599" si="4600">if(G4599 = "", , -G4599)</f>
        <v/>
      </c>
      <c r="J4599" s="94" t="str">
        <f t="shared" si="4600"/>
        <v/>
      </c>
      <c r="K4599" s="100"/>
      <c r="M4599" s="100"/>
      <c r="N4599" s="100"/>
      <c r="O4599" s="100"/>
      <c r="P4599" s="100"/>
    </row>
    <row r="4600">
      <c r="A4600" s="107">
        <v>1628976.0</v>
      </c>
      <c r="B4600" s="108" t="s">
        <v>243</v>
      </c>
      <c r="C4600" s="108" t="s">
        <v>1111</v>
      </c>
      <c r="D4600" s="112" t="s">
        <v>176</v>
      </c>
      <c r="E4600" s="112">
        <v>1377.0</v>
      </c>
      <c r="F4600" s="111" t="str">
        <f>DataPull!D4600</f>
        <v/>
      </c>
      <c r="G4600" s="94" t="str">
        <f t="shared" si="2"/>
        <v/>
      </c>
      <c r="H4600" s="94" t="str">
        <f t="shared" si="3"/>
        <v/>
      </c>
      <c r="I4600" s="94" t="str">
        <f t="shared" ref="I4600:J4600" si="4601">if(G4600 = "", , -G4600)</f>
        <v/>
      </c>
      <c r="J4600" s="94" t="str">
        <f t="shared" si="4601"/>
        <v/>
      </c>
      <c r="K4600" s="100"/>
      <c r="N4600" s="100"/>
      <c r="O4600" s="100"/>
      <c r="P4600" s="100"/>
    </row>
    <row r="4601">
      <c r="A4601" s="107">
        <v>1628976.0</v>
      </c>
      <c r="B4601" s="108" t="s">
        <v>215</v>
      </c>
      <c r="C4601" s="108" t="s">
        <v>1111</v>
      </c>
      <c r="D4601" s="112" t="s">
        <v>178</v>
      </c>
      <c r="E4601" s="112">
        <v>1853.8</v>
      </c>
      <c r="F4601" s="111" t="str">
        <f>DataPull!D4601</f>
        <v/>
      </c>
      <c r="G4601" s="94" t="str">
        <f t="shared" si="2"/>
        <v/>
      </c>
      <c r="H4601" s="94" t="str">
        <f t="shared" si="3"/>
        <v/>
      </c>
      <c r="I4601" s="94" t="str">
        <f t="shared" ref="I4601:J4601" si="4602">if(G4601 = "", , -G4601)</f>
        <v/>
      </c>
      <c r="J4601" s="94" t="str">
        <f t="shared" si="4602"/>
        <v/>
      </c>
      <c r="K4601" s="100"/>
      <c r="M4601" s="100"/>
      <c r="N4601" s="100"/>
      <c r="O4601" s="100"/>
      <c r="P4601" s="100"/>
    </row>
    <row r="4602">
      <c r="A4602" s="107">
        <v>1628976.0</v>
      </c>
      <c r="B4602" s="108" t="s">
        <v>244</v>
      </c>
      <c r="C4602" s="108" t="s">
        <v>1111</v>
      </c>
      <c r="D4602" s="112" t="s">
        <v>178</v>
      </c>
      <c r="E4602" s="112">
        <v>1687.2</v>
      </c>
      <c r="F4602" s="111" t="str">
        <f>DataPull!D4602</f>
        <v/>
      </c>
      <c r="G4602" s="94" t="str">
        <f t="shared" si="2"/>
        <v/>
      </c>
      <c r="H4602" s="94" t="str">
        <f t="shared" si="3"/>
        <v/>
      </c>
      <c r="I4602" s="94" t="str">
        <f t="shared" ref="I4602:J4602" si="4603">if(G4602 = "", , -G4602)</f>
        <v/>
      </c>
      <c r="J4602" s="94" t="str">
        <f t="shared" si="4603"/>
        <v/>
      </c>
      <c r="K4602" s="100"/>
      <c r="M4602" s="100"/>
      <c r="N4602" s="100"/>
      <c r="O4602" s="100"/>
      <c r="P4602" s="100"/>
    </row>
    <row r="4603">
      <c r="A4603" s="107">
        <v>1628976.0</v>
      </c>
      <c r="B4603" s="108" t="s">
        <v>245</v>
      </c>
      <c r="C4603" s="108" t="s">
        <v>1111</v>
      </c>
      <c r="D4603" s="112" t="s">
        <v>184</v>
      </c>
      <c r="E4603" s="112">
        <v>1408.0</v>
      </c>
      <c r="F4603" s="111" t="str">
        <f>DataPull!D4603</f>
        <v/>
      </c>
      <c r="G4603" s="94" t="str">
        <f t="shared" si="2"/>
        <v/>
      </c>
      <c r="H4603" s="94" t="str">
        <f t="shared" si="3"/>
        <v/>
      </c>
      <c r="I4603" s="94" t="str">
        <f t="shared" ref="I4603:J4603" si="4604">if(G4603 = "", , -G4603)</f>
        <v/>
      </c>
      <c r="J4603" s="94" t="str">
        <f t="shared" si="4604"/>
        <v/>
      </c>
      <c r="K4603" s="100"/>
      <c r="L4603" s="100"/>
      <c r="N4603" s="100"/>
      <c r="O4603" s="100"/>
      <c r="P4603" s="100"/>
    </row>
    <row r="4604">
      <c r="A4604" s="107">
        <v>1628976.0</v>
      </c>
      <c r="B4604" s="108" t="s">
        <v>246</v>
      </c>
      <c r="C4604" s="108" t="s">
        <v>1111</v>
      </c>
      <c r="D4604" s="112" t="s">
        <v>178</v>
      </c>
      <c r="E4604" s="112">
        <v>1761.2</v>
      </c>
      <c r="F4604" s="111" t="str">
        <f>DataPull!D4604</f>
        <v/>
      </c>
      <c r="G4604" s="94" t="str">
        <f t="shared" si="2"/>
        <v/>
      </c>
      <c r="H4604" s="94" t="str">
        <f t="shared" si="3"/>
        <v/>
      </c>
      <c r="I4604" s="94" t="str">
        <f t="shared" ref="I4604:J4604" si="4605">if(G4604 = "", , -G4604)</f>
        <v/>
      </c>
      <c r="J4604" s="94" t="str">
        <f t="shared" si="4605"/>
        <v/>
      </c>
      <c r="K4604" s="100"/>
      <c r="M4604" s="100"/>
      <c r="N4604" s="100"/>
      <c r="O4604" s="100"/>
      <c r="P4604" s="100"/>
    </row>
    <row r="4605">
      <c r="A4605" s="114">
        <v>1628976.0</v>
      </c>
      <c r="B4605" s="113" t="s">
        <v>247</v>
      </c>
      <c r="C4605" s="108" t="s">
        <v>1111</v>
      </c>
      <c r="D4605" s="112" t="s">
        <v>178</v>
      </c>
      <c r="E4605" s="112">
        <v>2285.4</v>
      </c>
      <c r="F4605" s="111" t="str">
        <f>DataPull!D4605</f>
        <v/>
      </c>
      <c r="G4605" s="94" t="str">
        <f t="shared" si="2"/>
        <v/>
      </c>
      <c r="H4605" s="94" t="str">
        <f t="shared" si="3"/>
        <v/>
      </c>
      <c r="I4605" s="94" t="str">
        <f t="shared" ref="I4605:J4605" si="4606">if(G4605 = "", , -G4605)</f>
        <v/>
      </c>
      <c r="J4605" s="94" t="str">
        <f t="shared" si="4606"/>
        <v/>
      </c>
      <c r="K4605" s="100"/>
      <c r="M4605" s="100"/>
      <c r="N4605" s="100"/>
      <c r="O4605" s="100"/>
      <c r="P4605" s="100"/>
    </row>
    <row r="4606">
      <c r="A4606" s="107">
        <v>1628977.0</v>
      </c>
      <c r="B4606" s="108" t="s">
        <v>192</v>
      </c>
      <c r="C4606" s="108" t="s">
        <v>1112</v>
      </c>
      <c r="D4606" s="112" t="s">
        <v>177</v>
      </c>
      <c r="E4606" s="112">
        <v>525.3</v>
      </c>
      <c r="F4606" s="111" t="str">
        <f>DataPull!D4606</f>
        <v/>
      </c>
      <c r="G4606" s="94" t="str">
        <f t="shared" si="2"/>
        <v/>
      </c>
      <c r="H4606" s="94" t="str">
        <f t="shared" si="3"/>
        <v/>
      </c>
      <c r="I4606" s="94" t="str">
        <f t="shared" ref="I4606:J4606" si="4607">if(G4606 = "", , -G4606)</f>
        <v/>
      </c>
      <c r="J4606" s="94" t="str">
        <f t="shared" si="4607"/>
        <v/>
      </c>
      <c r="K4606" s="100"/>
      <c r="L4606" s="100"/>
      <c r="N4606" s="100"/>
      <c r="O4606" s="100"/>
      <c r="P4606" s="100"/>
    </row>
    <row r="4607">
      <c r="A4607" s="107">
        <v>1628977.0</v>
      </c>
      <c r="B4607" s="108" t="s">
        <v>193</v>
      </c>
      <c r="C4607" s="108" t="s">
        <v>1112</v>
      </c>
      <c r="D4607" s="112" t="s">
        <v>177</v>
      </c>
      <c r="E4607" s="112">
        <v>897.0</v>
      </c>
      <c r="F4607" s="111" t="str">
        <f>DataPull!D4607</f>
        <v/>
      </c>
      <c r="G4607" s="94" t="str">
        <f t="shared" si="2"/>
        <v/>
      </c>
      <c r="H4607" s="94" t="str">
        <f t="shared" si="3"/>
        <v/>
      </c>
      <c r="I4607" s="94" t="str">
        <f t="shared" ref="I4607:J4607" si="4608">if(G4607 = "", , -G4607)</f>
        <v/>
      </c>
      <c r="J4607" s="94" t="str">
        <f t="shared" si="4608"/>
        <v/>
      </c>
      <c r="K4607" s="100"/>
      <c r="M4607" s="100"/>
      <c r="N4607" s="100"/>
      <c r="O4607" s="100"/>
      <c r="P4607" s="100"/>
    </row>
    <row r="4608">
      <c r="A4608" s="107">
        <v>1628977.0</v>
      </c>
      <c r="B4608" s="108" t="s">
        <v>243</v>
      </c>
      <c r="C4608" s="108" t="s">
        <v>1112</v>
      </c>
      <c r="D4608" s="112" t="s">
        <v>176</v>
      </c>
      <c r="E4608" s="112">
        <v>1227.2</v>
      </c>
      <c r="F4608" s="111" t="str">
        <f>DataPull!D4608</f>
        <v/>
      </c>
      <c r="G4608" s="94" t="str">
        <f t="shared" si="2"/>
        <v/>
      </c>
      <c r="H4608" s="94" t="str">
        <f t="shared" si="3"/>
        <v/>
      </c>
      <c r="I4608" s="94" t="str">
        <f t="shared" ref="I4608:J4608" si="4609">if(G4608 = "", , -G4608)</f>
        <v/>
      </c>
      <c r="J4608" s="94" t="str">
        <f t="shared" si="4609"/>
        <v/>
      </c>
      <c r="K4608" s="100"/>
      <c r="M4608" s="100"/>
      <c r="N4608" s="100"/>
      <c r="O4608" s="100"/>
      <c r="P4608" s="100"/>
    </row>
    <row r="4609">
      <c r="A4609" s="107">
        <v>1628977.0</v>
      </c>
      <c r="B4609" s="108" t="s">
        <v>215</v>
      </c>
      <c r="C4609" s="108" t="s">
        <v>1112</v>
      </c>
      <c r="D4609" s="112" t="s">
        <v>176</v>
      </c>
      <c r="E4609" s="112">
        <v>1270.2</v>
      </c>
      <c r="F4609" s="111" t="str">
        <f>DataPull!D4609</f>
        <v/>
      </c>
      <c r="G4609" s="94" t="str">
        <f t="shared" si="2"/>
        <v/>
      </c>
      <c r="H4609" s="94" t="str">
        <f t="shared" si="3"/>
        <v/>
      </c>
      <c r="I4609" s="94" t="str">
        <f t="shared" ref="I4609:J4609" si="4610">if(G4609 = "", , -G4609)</f>
        <v/>
      </c>
      <c r="J4609" s="94" t="str">
        <f t="shared" si="4610"/>
        <v/>
      </c>
      <c r="K4609" s="100"/>
      <c r="M4609" s="100"/>
      <c r="N4609" s="100"/>
      <c r="O4609" s="100"/>
      <c r="P4609" s="100"/>
    </row>
    <row r="4610">
      <c r="A4610" s="107">
        <v>1628977.0</v>
      </c>
      <c r="B4610" s="108" t="s">
        <v>244</v>
      </c>
      <c r="C4610" s="108" t="s">
        <v>1112</v>
      </c>
      <c r="D4610" s="112" t="s">
        <v>177</v>
      </c>
      <c r="E4610" s="112">
        <v>996.8</v>
      </c>
      <c r="F4610" s="111" t="str">
        <f>DataPull!D4610</f>
        <v/>
      </c>
      <c r="G4610" s="94" t="str">
        <f t="shared" si="2"/>
        <v/>
      </c>
      <c r="H4610" s="94" t="str">
        <f t="shared" si="3"/>
        <v/>
      </c>
      <c r="I4610" s="94" t="str">
        <f t="shared" ref="I4610:J4610" si="4611">if(G4610 = "", , -G4610)</f>
        <v/>
      </c>
      <c r="J4610" s="94" t="str">
        <f t="shared" si="4611"/>
        <v/>
      </c>
      <c r="K4610" s="100"/>
      <c r="M4610" s="100"/>
      <c r="N4610" s="100"/>
      <c r="O4610" s="100"/>
      <c r="P4610" s="100"/>
    </row>
    <row r="4611">
      <c r="A4611" s="107">
        <v>1628977.0</v>
      </c>
      <c r="B4611" s="108" t="s">
        <v>245</v>
      </c>
      <c r="C4611" s="108" t="s">
        <v>1112</v>
      </c>
      <c r="D4611" s="112" t="s">
        <v>181</v>
      </c>
      <c r="E4611" s="112">
        <v>4.8</v>
      </c>
      <c r="F4611" s="111" t="str">
        <f>DataPull!D4611</f>
        <v/>
      </c>
      <c r="G4611" s="94" t="str">
        <f t="shared" si="2"/>
        <v/>
      </c>
      <c r="H4611" s="94" t="str">
        <f t="shared" si="3"/>
        <v/>
      </c>
      <c r="I4611" s="94" t="str">
        <f t="shared" ref="I4611:J4611" si="4612">if(G4611 = "", , -G4611)</f>
        <v/>
      </c>
      <c r="J4611" s="94" t="str">
        <f t="shared" si="4612"/>
        <v/>
      </c>
      <c r="K4611" s="100"/>
      <c r="M4611" s="100"/>
      <c r="N4611" s="100"/>
      <c r="O4611" s="100"/>
      <c r="P4611" s="100"/>
    </row>
    <row r="4612">
      <c r="A4612" s="107">
        <v>1628978.0</v>
      </c>
      <c r="B4612" s="108" t="s">
        <v>192</v>
      </c>
      <c r="C4612" s="108" t="s">
        <v>1113</v>
      </c>
      <c r="D4612" s="112" t="s">
        <v>177</v>
      </c>
      <c r="E4612" s="112">
        <v>410.4</v>
      </c>
      <c r="F4612" s="111" t="str">
        <f>DataPull!D4612</f>
        <v/>
      </c>
      <c r="G4612" s="94" t="str">
        <f t="shared" si="2"/>
        <v/>
      </c>
      <c r="H4612" s="94" t="str">
        <f t="shared" si="3"/>
        <v/>
      </c>
      <c r="I4612" s="94" t="str">
        <f t="shared" ref="I4612:J4612" si="4613">if(G4612 = "", , -G4612)</f>
        <v/>
      </c>
      <c r="J4612" s="94" t="str">
        <f t="shared" si="4613"/>
        <v/>
      </c>
      <c r="K4612" s="100"/>
      <c r="M4612" s="100"/>
      <c r="N4612" s="100"/>
      <c r="O4612" s="100"/>
      <c r="P4612" s="100"/>
    </row>
    <row r="4613">
      <c r="A4613" s="107">
        <v>1628978.0</v>
      </c>
      <c r="B4613" s="108" t="s">
        <v>193</v>
      </c>
      <c r="C4613" s="108" t="s">
        <v>1113</v>
      </c>
      <c r="D4613" s="112" t="s">
        <v>176</v>
      </c>
      <c r="E4613" s="112">
        <v>1518.0</v>
      </c>
      <c r="F4613" s="111" t="str">
        <f>DataPull!D4613</f>
        <v/>
      </c>
      <c r="G4613" s="94" t="str">
        <f t="shared" si="2"/>
        <v/>
      </c>
      <c r="H4613" s="94" t="str">
        <f t="shared" si="3"/>
        <v/>
      </c>
      <c r="I4613" s="94" t="str">
        <f t="shared" ref="I4613:J4613" si="4614">if(G4613 = "", , -G4613)</f>
        <v/>
      </c>
      <c r="J4613" s="94" t="str">
        <f t="shared" si="4614"/>
        <v/>
      </c>
      <c r="K4613" s="100"/>
      <c r="M4613" s="100"/>
      <c r="N4613" s="100"/>
      <c r="O4613" s="100"/>
      <c r="P4613" s="100"/>
    </row>
    <row r="4614">
      <c r="A4614" s="107">
        <v>1628978.0</v>
      </c>
      <c r="B4614" s="108" t="s">
        <v>243</v>
      </c>
      <c r="C4614" s="108" t="s">
        <v>1113</v>
      </c>
      <c r="D4614" s="112" t="s">
        <v>184</v>
      </c>
      <c r="E4614" s="112">
        <v>1815.0</v>
      </c>
      <c r="F4614" s="111" t="str">
        <f>DataPull!D4614</f>
        <v/>
      </c>
      <c r="G4614" s="94" t="str">
        <f t="shared" si="2"/>
        <v/>
      </c>
      <c r="H4614" s="94" t="str">
        <f t="shared" si="3"/>
        <v/>
      </c>
      <c r="I4614" s="94" t="str">
        <f t="shared" ref="I4614:J4614" si="4615">if(G4614 = "", , -G4614)</f>
        <v/>
      </c>
      <c r="J4614" s="94" t="str">
        <f t="shared" si="4615"/>
        <v/>
      </c>
      <c r="K4614" s="100"/>
      <c r="M4614" s="100"/>
      <c r="N4614" s="100"/>
      <c r="O4614" s="100"/>
      <c r="P4614" s="100"/>
    </row>
    <row r="4615">
      <c r="A4615" s="107">
        <v>1628978.0</v>
      </c>
      <c r="B4615" s="108" t="s">
        <v>215</v>
      </c>
      <c r="C4615" s="108" t="s">
        <v>1113</v>
      </c>
      <c r="D4615" s="112" t="s">
        <v>176</v>
      </c>
      <c r="E4615" s="112">
        <v>1003.8</v>
      </c>
      <c r="F4615" s="111" t="str">
        <f>DataPull!D4615</f>
        <v/>
      </c>
      <c r="G4615" s="94" t="str">
        <f t="shared" si="2"/>
        <v/>
      </c>
      <c r="H4615" s="94" t="str">
        <f t="shared" si="3"/>
        <v/>
      </c>
      <c r="I4615" s="94" t="str">
        <f t="shared" ref="I4615:J4615" si="4616">if(G4615 = "", , -G4615)</f>
        <v/>
      </c>
      <c r="J4615" s="94" t="str">
        <f t="shared" si="4616"/>
        <v/>
      </c>
      <c r="K4615" s="100"/>
      <c r="M4615" s="100"/>
      <c r="N4615" s="100"/>
      <c r="O4615" s="100"/>
      <c r="P4615" s="100"/>
    </row>
    <row r="4616">
      <c r="A4616" s="107">
        <v>1628978.0</v>
      </c>
      <c r="B4616" s="108" t="s">
        <v>244</v>
      </c>
      <c r="C4616" s="108" t="s">
        <v>1113</v>
      </c>
      <c r="D4616" s="112" t="s">
        <v>176</v>
      </c>
      <c r="E4616" s="112">
        <v>1893.6</v>
      </c>
      <c r="F4616" s="111" t="str">
        <f>DataPull!D4616</f>
        <v/>
      </c>
      <c r="G4616" s="94" t="str">
        <f t="shared" si="2"/>
        <v/>
      </c>
      <c r="H4616" s="94" t="str">
        <f t="shared" si="3"/>
        <v/>
      </c>
      <c r="I4616" s="94" t="str">
        <f t="shared" ref="I4616:J4616" si="4617">if(G4616 = "", , -G4616)</f>
        <v/>
      </c>
      <c r="J4616" s="94" t="str">
        <f t="shared" si="4617"/>
        <v/>
      </c>
      <c r="K4616" s="100"/>
      <c r="M4616" s="100"/>
      <c r="N4616" s="100"/>
      <c r="O4616" s="100"/>
      <c r="P4616" s="100"/>
    </row>
    <row r="4617">
      <c r="A4617" s="107">
        <v>1628978.0</v>
      </c>
      <c r="B4617" s="108" t="s">
        <v>245</v>
      </c>
      <c r="C4617" s="108" t="s">
        <v>1113</v>
      </c>
      <c r="D4617" s="112" t="s">
        <v>176</v>
      </c>
      <c r="E4617" s="112">
        <v>2357.1</v>
      </c>
      <c r="F4617" s="111" t="str">
        <f>DataPull!D4617</f>
        <v/>
      </c>
      <c r="G4617" s="94" t="str">
        <f t="shared" si="2"/>
        <v/>
      </c>
      <c r="H4617" s="94" t="str">
        <f t="shared" si="3"/>
        <v/>
      </c>
      <c r="I4617" s="94" t="str">
        <f t="shared" ref="I4617:J4617" si="4618">if(G4617 = "", , -G4617)</f>
        <v/>
      </c>
      <c r="J4617" s="94" t="str">
        <f t="shared" si="4618"/>
        <v/>
      </c>
      <c r="K4617" s="100"/>
      <c r="M4617" s="100"/>
      <c r="N4617" s="100"/>
      <c r="O4617" s="100"/>
      <c r="P4617" s="100"/>
    </row>
    <row r="4618">
      <c r="A4618" s="107">
        <v>1628978.0</v>
      </c>
      <c r="B4618" s="108" t="s">
        <v>246</v>
      </c>
      <c r="C4618" s="108" t="s">
        <v>1113</v>
      </c>
      <c r="D4618" s="112" t="s">
        <v>176</v>
      </c>
      <c r="E4618" s="112">
        <v>1605.8</v>
      </c>
      <c r="F4618" s="111" t="str">
        <f>DataPull!D4618</f>
        <v/>
      </c>
      <c r="G4618" s="94" t="str">
        <f t="shared" si="2"/>
        <v/>
      </c>
      <c r="H4618" s="94" t="str">
        <f t="shared" si="3"/>
        <v/>
      </c>
      <c r="I4618" s="94" t="str">
        <f t="shared" ref="I4618:J4618" si="4619">if(G4618 = "", , -G4618)</f>
        <v/>
      </c>
      <c r="J4618" s="94" t="str">
        <f t="shared" si="4619"/>
        <v/>
      </c>
      <c r="K4618" s="100"/>
      <c r="M4618" s="100"/>
      <c r="N4618" s="100"/>
      <c r="O4618" s="100"/>
    </row>
    <row r="4619">
      <c r="A4619" s="114">
        <v>1628978.0</v>
      </c>
      <c r="B4619" s="113" t="s">
        <v>247</v>
      </c>
      <c r="C4619" s="113" t="s">
        <v>1113</v>
      </c>
      <c r="D4619" s="112" t="s">
        <v>184</v>
      </c>
      <c r="E4619" s="112">
        <v>2492.8</v>
      </c>
      <c r="F4619" s="111" t="str">
        <f>DataPull!D4619</f>
        <v/>
      </c>
      <c r="G4619" s="94" t="str">
        <f t="shared" si="2"/>
        <v/>
      </c>
      <c r="H4619" s="94" t="str">
        <f t="shared" si="3"/>
        <v/>
      </c>
      <c r="I4619" s="94" t="str">
        <f t="shared" ref="I4619:J4619" si="4620">if(G4619 = "", , -G4619)</f>
        <v/>
      </c>
      <c r="J4619" s="94" t="str">
        <f t="shared" si="4620"/>
        <v/>
      </c>
      <c r="K4619" s="100"/>
      <c r="M4619" s="100"/>
      <c r="N4619" s="100"/>
      <c r="O4619" s="100"/>
      <c r="P4619" s="100"/>
    </row>
    <row r="4620">
      <c r="A4620" s="107">
        <v>1628979.0</v>
      </c>
      <c r="B4620" s="108" t="s">
        <v>192</v>
      </c>
      <c r="C4620" s="108" t="s">
        <v>1114</v>
      </c>
      <c r="D4620" s="112" t="s">
        <v>181</v>
      </c>
      <c r="E4620" s="112">
        <v>5.7</v>
      </c>
      <c r="F4620" s="111" t="str">
        <f>DataPull!D4620</f>
        <v/>
      </c>
      <c r="G4620" s="94" t="str">
        <f t="shared" si="2"/>
        <v/>
      </c>
      <c r="H4620" s="94" t="str">
        <f t="shared" si="3"/>
        <v/>
      </c>
      <c r="I4620" s="94" t="str">
        <f t="shared" ref="I4620:J4620" si="4621">if(G4620 = "", , -G4620)</f>
        <v/>
      </c>
      <c r="J4620" s="94" t="str">
        <f t="shared" si="4621"/>
        <v/>
      </c>
      <c r="K4620" s="100"/>
      <c r="M4620" s="100"/>
      <c r="N4620" s="100"/>
      <c r="O4620" s="100"/>
      <c r="P4620" s="100"/>
    </row>
    <row r="4621">
      <c r="A4621" s="107">
        <v>1628980.0</v>
      </c>
      <c r="B4621" s="108" t="s">
        <v>192</v>
      </c>
      <c r="C4621" s="108" t="s">
        <v>1115</v>
      </c>
      <c r="D4621" s="112" t="s">
        <v>187</v>
      </c>
      <c r="E4621" s="112">
        <v>204.0</v>
      </c>
      <c r="F4621" s="111" t="str">
        <f>DataPull!D4621</f>
        <v/>
      </c>
      <c r="G4621" s="94" t="str">
        <f t="shared" si="2"/>
        <v/>
      </c>
      <c r="H4621" s="94" t="str">
        <f t="shared" si="3"/>
        <v/>
      </c>
      <c r="I4621" s="94" t="str">
        <f t="shared" ref="I4621:J4621" si="4622">if(G4621 = "", , -G4621)</f>
        <v/>
      </c>
      <c r="J4621" s="94" t="str">
        <f t="shared" si="4622"/>
        <v/>
      </c>
      <c r="K4621" s="100"/>
      <c r="M4621" s="100"/>
      <c r="N4621" s="100"/>
      <c r="O4621" s="100"/>
      <c r="P4621" s="100"/>
    </row>
    <row r="4622">
      <c r="A4622" s="107">
        <v>1628980.0</v>
      </c>
      <c r="B4622" s="108" t="s">
        <v>193</v>
      </c>
      <c r="C4622" s="108" t="s">
        <v>1115</v>
      </c>
      <c r="D4622" s="112" t="s">
        <v>177</v>
      </c>
      <c r="E4622" s="112">
        <v>417.6</v>
      </c>
      <c r="F4622" s="111" t="str">
        <f>DataPull!D4622</f>
        <v/>
      </c>
      <c r="G4622" s="94" t="str">
        <f t="shared" si="2"/>
        <v/>
      </c>
      <c r="H4622" s="94" t="str">
        <f t="shared" si="3"/>
        <v/>
      </c>
      <c r="I4622" s="94" t="str">
        <f t="shared" ref="I4622:J4622" si="4623">if(G4622 = "", , -G4622)</f>
        <v/>
      </c>
      <c r="J4622" s="94" t="str">
        <f t="shared" si="4623"/>
        <v/>
      </c>
      <c r="K4622" s="100"/>
      <c r="M4622" s="100"/>
      <c r="N4622" s="100"/>
      <c r="O4622" s="100"/>
      <c r="P4622" s="100"/>
    </row>
    <row r="4623">
      <c r="A4623" s="107">
        <v>1628981.0</v>
      </c>
      <c r="B4623" s="108" t="s">
        <v>193</v>
      </c>
      <c r="C4623" s="108" t="s">
        <v>1116</v>
      </c>
      <c r="D4623" s="112" t="s">
        <v>177</v>
      </c>
      <c r="E4623" s="112">
        <v>711.2</v>
      </c>
      <c r="F4623" s="111" t="str">
        <f>DataPull!D4623</f>
        <v/>
      </c>
      <c r="G4623" s="94" t="str">
        <f t="shared" si="2"/>
        <v/>
      </c>
      <c r="H4623" s="94" t="str">
        <f t="shared" si="3"/>
        <v/>
      </c>
      <c r="I4623" s="94" t="str">
        <f t="shared" ref="I4623:J4623" si="4624">if(G4623 = "", , -G4623)</f>
        <v/>
      </c>
      <c r="J4623" s="94" t="str">
        <f t="shared" si="4624"/>
        <v/>
      </c>
      <c r="K4623" s="100"/>
      <c r="M4623" s="100"/>
      <c r="N4623" s="100"/>
      <c r="O4623" s="100"/>
      <c r="P4623" s="100"/>
    </row>
    <row r="4624">
      <c r="A4624" s="107">
        <v>1628981.0</v>
      </c>
      <c r="B4624" s="108" t="s">
        <v>243</v>
      </c>
      <c r="C4624" s="108" t="s">
        <v>1116</v>
      </c>
      <c r="D4624" s="112" t="s">
        <v>187</v>
      </c>
      <c r="E4624" s="112">
        <v>224.4</v>
      </c>
      <c r="F4624" s="111" t="str">
        <f>DataPull!D4624</f>
        <v/>
      </c>
      <c r="G4624" s="94" t="str">
        <f t="shared" si="2"/>
        <v/>
      </c>
      <c r="H4624" s="94" t="str">
        <f t="shared" si="3"/>
        <v/>
      </c>
      <c r="I4624" s="94" t="str">
        <f t="shared" ref="I4624:J4624" si="4625">if(G4624 = "", , -G4624)</f>
        <v/>
      </c>
      <c r="J4624" s="94" t="str">
        <f t="shared" si="4625"/>
        <v/>
      </c>
      <c r="K4624" s="100"/>
      <c r="M4624" s="100"/>
      <c r="N4624" s="100"/>
      <c r="O4624" s="100"/>
      <c r="P4624" s="100"/>
    </row>
    <row r="4625">
      <c r="A4625" s="107">
        <v>1628981.0</v>
      </c>
      <c r="B4625" s="108" t="s">
        <v>215</v>
      </c>
      <c r="C4625" s="108" t="s">
        <v>1116</v>
      </c>
      <c r="D4625" s="112" t="s">
        <v>187</v>
      </c>
      <c r="E4625" s="112">
        <v>153.0</v>
      </c>
      <c r="F4625" s="111" t="str">
        <f>DataPull!D4625</f>
        <v/>
      </c>
      <c r="G4625" s="94" t="str">
        <f t="shared" si="2"/>
        <v/>
      </c>
      <c r="H4625" s="94" t="str">
        <f t="shared" si="3"/>
        <v/>
      </c>
      <c r="I4625" s="94" t="str">
        <f t="shared" ref="I4625:J4625" si="4626">if(G4625 = "", , -G4625)</f>
        <v/>
      </c>
      <c r="J4625" s="94" t="str">
        <f t="shared" si="4626"/>
        <v/>
      </c>
      <c r="K4625" s="100"/>
      <c r="L4625" s="100"/>
      <c r="N4625" s="100"/>
      <c r="O4625" s="100"/>
      <c r="P4625" s="100"/>
    </row>
    <row r="4626">
      <c r="A4626" s="107">
        <v>1628981.0</v>
      </c>
      <c r="B4626" s="108" t="s">
        <v>244</v>
      </c>
      <c r="C4626" s="108" t="s">
        <v>1116</v>
      </c>
      <c r="D4626" s="112" t="s">
        <v>187</v>
      </c>
      <c r="E4626" s="112">
        <v>405.6</v>
      </c>
      <c r="F4626" s="111" t="str">
        <f>DataPull!D4626</f>
        <v/>
      </c>
      <c r="G4626" s="94" t="str">
        <f t="shared" si="2"/>
        <v/>
      </c>
      <c r="H4626" s="94" t="str">
        <f t="shared" si="3"/>
        <v/>
      </c>
      <c r="I4626" s="94" t="str">
        <f t="shared" ref="I4626:J4626" si="4627">if(G4626 = "", , -G4626)</f>
        <v/>
      </c>
      <c r="J4626" s="94" t="str">
        <f t="shared" si="4627"/>
        <v/>
      </c>
      <c r="K4626" s="100"/>
      <c r="M4626" s="100"/>
      <c r="N4626" s="100"/>
      <c r="O4626" s="100"/>
      <c r="P4626" s="100"/>
    </row>
    <row r="4627">
      <c r="A4627" s="107">
        <v>1628981.0</v>
      </c>
      <c r="B4627" s="108" t="s">
        <v>245</v>
      </c>
      <c r="C4627" s="108" t="s">
        <v>1116</v>
      </c>
      <c r="D4627" s="112" t="s">
        <v>177</v>
      </c>
      <c r="E4627" s="112">
        <v>684.0</v>
      </c>
      <c r="F4627" s="111" t="str">
        <f>DataPull!D4627</f>
        <v/>
      </c>
      <c r="G4627" s="94" t="str">
        <f t="shared" si="2"/>
        <v/>
      </c>
      <c r="H4627" s="94" t="str">
        <f t="shared" si="3"/>
        <v/>
      </c>
      <c r="I4627" s="94" t="str">
        <f t="shared" ref="I4627:J4627" si="4628">if(G4627 = "", , -G4627)</f>
        <v/>
      </c>
      <c r="J4627" s="94" t="str">
        <f t="shared" si="4628"/>
        <v/>
      </c>
      <c r="K4627" s="100"/>
      <c r="M4627" s="100"/>
      <c r="N4627" s="100"/>
      <c r="O4627" s="100"/>
      <c r="P4627" s="100"/>
    </row>
    <row r="4628">
      <c r="A4628" s="107">
        <v>1628981.0</v>
      </c>
      <c r="B4628" s="108" t="s">
        <v>246</v>
      </c>
      <c r="C4628" s="108" t="s">
        <v>1116</v>
      </c>
      <c r="D4628" s="112" t="s">
        <v>187</v>
      </c>
      <c r="E4628" s="112">
        <v>146.2</v>
      </c>
      <c r="F4628" s="111" t="str">
        <f>DataPull!D4628</f>
        <v/>
      </c>
      <c r="G4628" s="94" t="str">
        <f t="shared" si="2"/>
        <v/>
      </c>
      <c r="H4628" s="94" t="str">
        <f t="shared" si="3"/>
        <v/>
      </c>
      <c r="I4628" s="94" t="str">
        <f t="shared" ref="I4628:J4628" si="4629">if(G4628 = "", , -G4628)</f>
        <v/>
      </c>
      <c r="J4628" s="94" t="str">
        <f t="shared" si="4629"/>
        <v/>
      </c>
      <c r="K4628" s="100"/>
      <c r="M4628" s="100"/>
      <c r="N4628" s="100"/>
      <c r="O4628" s="100"/>
      <c r="P4628" s="100"/>
    </row>
    <row r="4629">
      <c r="A4629" s="107">
        <v>1628982.0</v>
      </c>
      <c r="B4629" s="108" t="s">
        <v>192</v>
      </c>
      <c r="C4629" s="108" t="s">
        <v>1117</v>
      </c>
      <c r="D4629" s="112" t="s">
        <v>187</v>
      </c>
      <c r="E4629" s="112">
        <v>44.0</v>
      </c>
      <c r="F4629" s="111" t="str">
        <f>DataPull!D4629</f>
        <v/>
      </c>
      <c r="G4629" s="94" t="str">
        <f t="shared" si="2"/>
        <v/>
      </c>
      <c r="H4629" s="94" t="str">
        <f t="shared" si="3"/>
        <v/>
      </c>
      <c r="I4629" s="94" t="str">
        <f t="shared" ref="I4629:J4629" si="4630">if(G4629 = "", , -G4629)</f>
        <v/>
      </c>
      <c r="J4629" s="94" t="str">
        <f t="shared" si="4630"/>
        <v/>
      </c>
      <c r="K4629" s="100"/>
      <c r="M4629" s="100"/>
      <c r="N4629" s="100"/>
      <c r="O4629" s="100"/>
      <c r="P4629" s="100"/>
    </row>
    <row r="4630">
      <c r="A4630" s="107">
        <v>1628982.0</v>
      </c>
      <c r="B4630" s="108" t="s">
        <v>193</v>
      </c>
      <c r="C4630" s="108" t="s">
        <v>1117</v>
      </c>
      <c r="D4630" s="112" t="s">
        <v>187</v>
      </c>
      <c r="E4630" s="112">
        <v>125.4</v>
      </c>
      <c r="F4630" s="111" t="str">
        <f>DataPull!D4630</f>
        <v/>
      </c>
      <c r="G4630" s="94" t="str">
        <f t="shared" si="2"/>
        <v/>
      </c>
      <c r="H4630" s="94" t="str">
        <f t="shared" si="3"/>
        <v/>
      </c>
      <c r="I4630" s="94" t="str">
        <f t="shared" ref="I4630:J4630" si="4631">if(G4630 = "", , -G4630)</f>
        <v/>
      </c>
      <c r="J4630" s="94" t="str">
        <f t="shared" si="4631"/>
        <v/>
      </c>
      <c r="K4630" s="100"/>
      <c r="M4630" s="100"/>
      <c r="N4630" s="100"/>
      <c r="O4630" s="100"/>
      <c r="P4630" s="100"/>
    </row>
    <row r="4631">
      <c r="A4631" s="107">
        <v>1628982.0</v>
      </c>
      <c r="B4631" s="108" t="s">
        <v>215</v>
      </c>
      <c r="C4631" s="108" t="s">
        <v>1117</v>
      </c>
      <c r="D4631" s="112" t="s">
        <v>181</v>
      </c>
      <c r="E4631" s="112">
        <v>119.7</v>
      </c>
      <c r="F4631" s="111" t="str">
        <f>DataPull!D4631</f>
        <v/>
      </c>
      <c r="G4631" s="94" t="str">
        <f t="shared" si="2"/>
        <v/>
      </c>
      <c r="H4631" s="94" t="str">
        <f t="shared" si="3"/>
        <v/>
      </c>
      <c r="I4631" s="94" t="str">
        <f t="shared" ref="I4631:J4631" si="4632">if(G4631 = "", , -G4631)</f>
        <v/>
      </c>
      <c r="J4631" s="94" t="str">
        <f t="shared" si="4632"/>
        <v/>
      </c>
      <c r="K4631" s="100"/>
      <c r="M4631" s="100"/>
      <c r="N4631" s="100"/>
      <c r="O4631" s="100"/>
      <c r="P4631" s="100"/>
    </row>
    <row r="4632">
      <c r="A4632" s="107">
        <v>1628983.0</v>
      </c>
      <c r="B4632" s="108" t="s">
        <v>192</v>
      </c>
      <c r="C4632" s="108" t="s">
        <v>1118</v>
      </c>
      <c r="D4632" s="112" t="s">
        <v>176</v>
      </c>
      <c r="E4632" s="112">
        <v>2173.0</v>
      </c>
      <c r="F4632" s="111" t="str">
        <f>DataPull!D4632</f>
        <v/>
      </c>
      <c r="G4632" s="94" t="str">
        <f t="shared" si="2"/>
        <v/>
      </c>
      <c r="H4632" s="94" t="str">
        <f t="shared" si="3"/>
        <v/>
      </c>
      <c r="I4632" s="94" t="str">
        <f t="shared" ref="I4632:J4632" si="4633">if(G4632 = "", , -G4632)</f>
        <v/>
      </c>
      <c r="J4632" s="94" t="str">
        <f t="shared" si="4633"/>
        <v/>
      </c>
      <c r="K4632" s="100"/>
      <c r="M4632" s="100"/>
      <c r="N4632" s="100"/>
      <c r="O4632" s="100"/>
      <c r="P4632" s="100"/>
    </row>
    <row r="4633">
      <c r="A4633" s="107">
        <v>1628983.0</v>
      </c>
      <c r="B4633" s="108" t="s">
        <v>193</v>
      </c>
      <c r="C4633" s="108" t="s">
        <v>1118</v>
      </c>
      <c r="D4633" s="112" t="s">
        <v>184</v>
      </c>
      <c r="E4633" s="112">
        <v>2429.0</v>
      </c>
      <c r="F4633" s="111" t="str">
        <f>DataPull!D4633</f>
        <v/>
      </c>
      <c r="G4633" s="94" t="str">
        <f t="shared" si="2"/>
        <v/>
      </c>
      <c r="H4633" s="94" t="str">
        <f t="shared" si="3"/>
        <v/>
      </c>
      <c r="I4633" s="94" t="str">
        <f t="shared" ref="I4633:J4633" si="4634">if(G4633 = "", , -G4633)</f>
        <v/>
      </c>
      <c r="J4633" s="94" t="str">
        <f t="shared" si="4634"/>
        <v/>
      </c>
      <c r="K4633" s="100"/>
      <c r="M4633" s="100"/>
      <c r="N4633" s="100"/>
      <c r="O4633" s="100"/>
      <c r="P4633" s="100"/>
    </row>
    <row r="4634">
      <c r="A4634" s="107">
        <v>1628983.0</v>
      </c>
      <c r="B4634" s="108" t="s">
        <v>243</v>
      </c>
      <c r="C4634" s="108" t="s">
        <v>1118</v>
      </c>
      <c r="D4634" s="112" t="s">
        <v>184</v>
      </c>
      <c r="E4634" s="112">
        <v>1179.5</v>
      </c>
      <c r="F4634" s="111" t="str">
        <f>DataPull!D4634</f>
        <v/>
      </c>
      <c r="G4634" s="94" t="str">
        <f t="shared" si="2"/>
        <v/>
      </c>
      <c r="H4634" s="94" t="str">
        <f t="shared" si="3"/>
        <v/>
      </c>
      <c r="I4634" s="94" t="str">
        <f t="shared" ref="I4634:J4634" si="4635">if(G4634 = "", , -G4634)</f>
        <v/>
      </c>
      <c r="J4634" s="94" t="str">
        <f t="shared" si="4635"/>
        <v/>
      </c>
      <c r="K4634" s="100"/>
      <c r="M4634" s="100"/>
      <c r="N4634" s="100"/>
      <c r="O4634" s="100"/>
      <c r="P4634" s="100"/>
    </row>
    <row r="4635">
      <c r="A4635" s="107">
        <v>1628983.0</v>
      </c>
      <c r="B4635" s="108" t="s">
        <v>215</v>
      </c>
      <c r="C4635" s="108" t="s">
        <v>1118</v>
      </c>
      <c r="D4635" s="112" t="s">
        <v>184</v>
      </c>
      <c r="E4635" s="112">
        <v>1943.2</v>
      </c>
      <c r="F4635" s="111" t="str">
        <f>DataPull!D4635</f>
        <v/>
      </c>
      <c r="G4635" s="94" t="str">
        <f t="shared" si="2"/>
        <v/>
      </c>
      <c r="H4635" s="94" t="str">
        <f t="shared" si="3"/>
        <v/>
      </c>
      <c r="I4635" s="94" t="str">
        <f t="shared" ref="I4635:J4635" si="4636">if(G4635 = "", , -G4635)</f>
        <v/>
      </c>
      <c r="J4635" s="94" t="str">
        <f t="shared" si="4636"/>
        <v/>
      </c>
      <c r="K4635" s="100"/>
      <c r="L4635" s="100"/>
      <c r="M4635" s="100"/>
      <c r="N4635" s="100"/>
      <c r="O4635" s="100"/>
      <c r="P4635" s="100"/>
    </row>
    <row r="4636">
      <c r="A4636" s="107">
        <v>1628983.0</v>
      </c>
      <c r="B4636" s="108" t="s">
        <v>244</v>
      </c>
      <c r="C4636" s="108" t="s">
        <v>1118</v>
      </c>
      <c r="D4636" s="112" t="s">
        <v>184</v>
      </c>
      <c r="E4636" s="112">
        <v>2414.0</v>
      </c>
      <c r="F4636" s="111" t="str">
        <f>DataPull!D4636</f>
        <v/>
      </c>
      <c r="G4636" s="94" t="str">
        <f t="shared" si="2"/>
        <v/>
      </c>
      <c r="H4636" s="94" t="str">
        <f t="shared" si="3"/>
        <v/>
      </c>
      <c r="I4636" s="94" t="str">
        <f t="shared" ref="I4636:J4636" si="4637">if(G4636 = "", , -G4636)</f>
        <v/>
      </c>
      <c r="J4636" s="94" t="str">
        <f t="shared" si="4637"/>
        <v/>
      </c>
      <c r="K4636" s="100"/>
      <c r="M4636" s="100"/>
      <c r="N4636" s="100"/>
      <c r="O4636" s="100"/>
      <c r="P4636" s="100"/>
    </row>
    <row r="4637">
      <c r="A4637" s="107">
        <v>1628983.0</v>
      </c>
      <c r="B4637" s="108" t="s">
        <v>245</v>
      </c>
      <c r="C4637" s="108" t="s">
        <v>1118</v>
      </c>
      <c r="D4637" s="112" t="s">
        <v>184</v>
      </c>
      <c r="E4637" s="112">
        <v>2550.0</v>
      </c>
      <c r="F4637" s="111" t="str">
        <f>DataPull!D4637</f>
        <v/>
      </c>
      <c r="G4637" s="94" t="str">
        <f t="shared" si="2"/>
        <v/>
      </c>
      <c r="H4637" s="94" t="str">
        <f t="shared" si="3"/>
        <v/>
      </c>
      <c r="I4637" s="94" t="str">
        <f t="shared" ref="I4637:J4637" si="4638">if(G4637 = "", , -G4637)</f>
        <v/>
      </c>
      <c r="J4637" s="94" t="str">
        <f t="shared" si="4638"/>
        <v/>
      </c>
      <c r="K4637" s="100"/>
      <c r="L4637" s="100"/>
      <c r="M4637" s="100"/>
      <c r="N4637" s="100"/>
      <c r="O4637" s="100"/>
      <c r="P4637" s="100"/>
    </row>
    <row r="4638">
      <c r="A4638" s="107">
        <v>1628983.0</v>
      </c>
      <c r="B4638" s="108" t="s">
        <v>246</v>
      </c>
      <c r="C4638" s="108" t="s">
        <v>1118</v>
      </c>
      <c r="D4638" s="112" t="s">
        <v>184</v>
      </c>
      <c r="E4638" s="112">
        <v>2599.2</v>
      </c>
      <c r="F4638" s="111" t="str">
        <f>DataPull!D4638</f>
        <v/>
      </c>
      <c r="G4638" s="94" t="str">
        <f t="shared" si="2"/>
        <v/>
      </c>
      <c r="H4638" s="94" t="str">
        <f t="shared" si="3"/>
        <v/>
      </c>
      <c r="I4638" s="94" t="str">
        <f t="shared" ref="I4638:J4638" si="4639">if(G4638 = "", , -G4638)</f>
        <v/>
      </c>
      <c r="J4638" s="94" t="str">
        <f t="shared" si="4639"/>
        <v/>
      </c>
      <c r="K4638" s="100"/>
      <c r="M4638" s="100"/>
      <c r="N4638" s="100"/>
      <c r="O4638" s="100"/>
      <c r="P4638" s="100"/>
    </row>
    <row r="4639">
      <c r="A4639" s="114">
        <v>1628983.0</v>
      </c>
      <c r="B4639" s="113" t="s">
        <v>247</v>
      </c>
      <c r="C4639" s="113" t="s">
        <v>1118</v>
      </c>
      <c r="D4639" s="112" t="s">
        <v>184</v>
      </c>
      <c r="E4639" s="112">
        <v>2257.6</v>
      </c>
      <c r="F4639" s="111" t="str">
        <f>DataPull!D4639</f>
        <v/>
      </c>
      <c r="G4639" s="94" t="str">
        <f t="shared" si="2"/>
        <v/>
      </c>
      <c r="H4639" s="94" t="str">
        <f t="shared" si="3"/>
        <v/>
      </c>
      <c r="I4639" s="94" t="str">
        <f t="shared" ref="I4639:J4639" si="4640">if(G4639 = "", , -G4639)</f>
        <v/>
      </c>
      <c r="J4639" s="94" t="str">
        <f t="shared" si="4640"/>
        <v/>
      </c>
      <c r="K4639" s="100"/>
      <c r="M4639" s="100"/>
      <c r="N4639" s="100"/>
      <c r="O4639" s="100"/>
      <c r="P4639" s="100"/>
    </row>
    <row r="4640">
      <c r="A4640" s="107">
        <v>1628984.0</v>
      </c>
      <c r="B4640" s="108" t="s">
        <v>192</v>
      </c>
      <c r="C4640" s="108" t="s">
        <v>1119</v>
      </c>
      <c r="D4640" s="112" t="s">
        <v>177</v>
      </c>
      <c r="E4640" s="112">
        <v>676.2</v>
      </c>
      <c r="F4640" s="111" t="str">
        <f>DataPull!D4640</f>
        <v/>
      </c>
      <c r="G4640" s="94" t="str">
        <f t="shared" si="2"/>
        <v/>
      </c>
      <c r="H4640" s="94" t="str">
        <f t="shared" si="3"/>
        <v/>
      </c>
      <c r="I4640" s="94" t="str">
        <f t="shared" ref="I4640:J4640" si="4641">if(G4640 = "", , -G4640)</f>
        <v/>
      </c>
      <c r="J4640" s="94" t="str">
        <f t="shared" si="4641"/>
        <v/>
      </c>
      <c r="K4640" s="100"/>
      <c r="L4640" s="100"/>
      <c r="M4640" s="100"/>
      <c r="N4640" s="100"/>
      <c r="O4640" s="100"/>
      <c r="P4640" s="100"/>
    </row>
    <row r="4641">
      <c r="A4641" s="107">
        <v>1628984.0</v>
      </c>
      <c r="B4641" s="108" t="s">
        <v>193</v>
      </c>
      <c r="C4641" s="108" t="s">
        <v>1119</v>
      </c>
      <c r="D4641" s="112" t="s">
        <v>178</v>
      </c>
      <c r="E4641" s="112">
        <v>2211.3</v>
      </c>
      <c r="F4641" s="111" t="str">
        <f>DataPull!D4641</f>
        <v/>
      </c>
      <c r="G4641" s="94" t="str">
        <f t="shared" si="2"/>
        <v/>
      </c>
      <c r="H4641" s="94" t="str">
        <f t="shared" si="3"/>
        <v/>
      </c>
      <c r="I4641" s="94" t="str">
        <f t="shared" ref="I4641:J4641" si="4642">if(G4641 = "", , -G4641)</f>
        <v/>
      </c>
      <c r="J4641" s="94" t="str">
        <f t="shared" si="4642"/>
        <v/>
      </c>
      <c r="K4641" s="100"/>
      <c r="L4641" s="100"/>
      <c r="M4641" s="100"/>
      <c r="N4641" s="100"/>
      <c r="O4641" s="100"/>
      <c r="P4641" s="100"/>
    </row>
    <row r="4642">
      <c r="A4642" s="107">
        <v>1628984.0</v>
      </c>
      <c r="B4642" s="108" t="s">
        <v>243</v>
      </c>
      <c r="C4642" s="108" t="s">
        <v>1119</v>
      </c>
      <c r="D4642" s="112" t="s">
        <v>184</v>
      </c>
      <c r="E4642" s="112">
        <v>1661.0</v>
      </c>
      <c r="F4642" s="111" t="str">
        <f>DataPull!D4642</f>
        <v/>
      </c>
      <c r="G4642" s="94" t="str">
        <f t="shared" si="2"/>
        <v/>
      </c>
      <c r="H4642" s="94" t="str">
        <f t="shared" si="3"/>
        <v/>
      </c>
      <c r="I4642" s="94" t="str">
        <f t="shared" ref="I4642:J4642" si="4643">if(G4642 = "", , -G4642)</f>
        <v/>
      </c>
      <c r="J4642" s="94" t="str">
        <f t="shared" si="4643"/>
        <v/>
      </c>
      <c r="K4642" s="100"/>
      <c r="L4642" s="100"/>
      <c r="N4642" s="100"/>
      <c r="O4642" s="100"/>
      <c r="P4642" s="100"/>
    </row>
    <row r="4643">
      <c r="A4643" s="107">
        <v>1628984.0</v>
      </c>
      <c r="B4643" s="108" t="s">
        <v>215</v>
      </c>
      <c r="C4643" s="108" t="s">
        <v>1119</v>
      </c>
      <c r="D4643" s="112" t="s">
        <v>176</v>
      </c>
      <c r="E4643" s="112">
        <v>2158.4</v>
      </c>
      <c r="F4643" s="111" t="str">
        <f>DataPull!D4643</f>
        <v/>
      </c>
      <c r="G4643" s="94" t="str">
        <f t="shared" si="2"/>
        <v/>
      </c>
      <c r="H4643" s="94" t="str">
        <f t="shared" si="3"/>
        <v/>
      </c>
      <c r="I4643" s="94" t="str">
        <f t="shared" ref="I4643:J4643" si="4644">if(G4643 = "", , -G4643)</f>
        <v/>
      </c>
      <c r="J4643" s="94" t="str">
        <f t="shared" si="4644"/>
        <v/>
      </c>
      <c r="K4643" s="100"/>
      <c r="M4643" s="100"/>
      <c r="N4643" s="100"/>
      <c r="O4643" s="100"/>
      <c r="P4643" s="100"/>
    </row>
    <row r="4644">
      <c r="A4644" s="107">
        <v>1628984.0</v>
      </c>
      <c r="B4644" s="108" t="s">
        <v>244</v>
      </c>
      <c r="C4644" s="108" t="s">
        <v>1119</v>
      </c>
      <c r="D4644" s="112" t="s">
        <v>177</v>
      </c>
      <c r="E4644" s="112">
        <v>1335.9</v>
      </c>
      <c r="F4644" s="111" t="str">
        <f>DataPull!D4644</f>
        <v/>
      </c>
      <c r="G4644" s="94" t="str">
        <f t="shared" si="2"/>
        <v/>
      </c>
      <c r="H4644" s="94" t="str">
        <f t="shared" si="3"/>
        <v/>
      </c>
      <c r="I4644" s="94" t="str">
        <f t="shared" ref="I4644:J4644" si="4645">if(G4644 = "", , -G4644)</f>
        <v/>
      </c>
      <c r="J4644" s="94" t="str">
        <f t="shared" si="4645"/>
        <v/>
      </c>
      <c r="K4644" s="100"/>
      <c r="M4644" s="100"/>
      <c r="N4644" s="100"/>
      <c r="O4644" s="100"/>
      <c r="P4644" s="100"/>
    </row>
    <row r="4645">
      <c r="A4645" s="107">
        <v>1628984.0</v>
      </c>
      <c r="B4645" s="108" t="s">
        <v>245</v>
      </c>
      <c r="C4645" s="108" t="s">
        <v>1119</v>
      </c>
      <c r="D4645" s="112" t="s">
        <v>177</v>
      </c>
      <c r="E4645" s="112">
        <v>312.8</v>
      </c>
      <c r="F4645" s="111" t="str">
        <f>DataPull!D4645</f>
        <v/>
      </c>
      <c r="G4645" s="94" t="str">
        <f t="shared" si="2"/>
        <v/>
      </c>
      <c r="H4645" s="94" t="str">
        <f t="shared" si="3"/>
        <v/>
      </c>
      <c r="I4645" s="94" t="str">
        <f t="shared" ref="I4645:J4645" si="4646">if(G4645 = "", , -G4645)</f>
        <v/>
      </c>
      <c r="J4645" s="94" t="str">
        <f t="shared" si="4646"/>
        <v/>
      </c>
      <c r="K4645" s="100"/>
      <c r="M4645" s="100"/>
      <c r="N4645" s="100"/>
      <c r="O4645" s="100"/>
      <c r="P4645" s="100"/>
    </row>
    <row r="4646">
      <c r="A4646" s="107">
        <v>1628985.0</v>
      </c>
      <c r="B4646" s="108" t="s">
        <v>193</v>
      </c>
      <c r="C4646" s="108" t="s">
        <v>1120</v>
      </c>
      <c r="D4646" s="112" t="s">
        <v>187</v>
      </c>
      <c r="E4646" s="112">
        <v>80.3</v>
      </c>
      <c r="F4646" s="111" t="str">
        <f>DataPull!D4646</f>
        <v/>
      </c>
      <c r="G4646" s="94" t="str">
        <f t="shared" si="2"/>
        <v/>
      </c>
      <c r="H4646" s="94" t="str">
        <f t="shared" si="3"/>
        <v/>
      </c>
      <c r="I4646" s="94" t="str">
        <f t="shared" ref="I4646:J4646" si="4647">if(G4646 = "", , -G4646)</f>
        <v/>
      </c>
      <c r="J4646" s="94" t="str">
        <f t="shared" si="4647"/>
        <v/>
      </c>
      <c r="K4646" s="100"/>
      <c r="M4646" s="100"/>
      <c r="N4646" s="100"/>
      <c r="O4646" s="100"/>
      <c r="P4646" s="100"/>
    </row>
    <row r="4647">
      <c r="A4647" s="107">
        <v>1628987.0</v>
      </c>
      <c r="B4647" s="108" t="s">
        <v>193</v>
      </c>
      <c r="C4647" s="108" t="s">
        <v>1121</v>
      </c>
      <c r="D4647" s="112" t="s">
        <v>187</v>
      </c>
      <c r="E4647" s="112">
        <v>52.0</v>
      </c>
      <c r="F4647" s="111" t="str">
        <f>DataPull!D4647</f>
        <v/>
      </c>
      <c r="G4647" s="94" t="str">
        <f t="shared" si="2"/>
        <v/>
      </c>
      <c r="H4647" s="94" t="str">
        <f t="shared" si="3"/>
        <v/>
      </c>
      <c r="I4647" s="94" t="str">
        <f t="shared" ref="I4647:J4647" si="4648">if(G4647 = "", , -G4647)</f>
        <v/>
      </c>
      <c r="J4647" s="94" t="str">
        <f t="shared" si="4648"/>
        <v/>
      </c>
      <c r="K4647" s="100"/>
      <c r="M4647" s="100"/>
      <c r="N4647" s="100"/>
      <c r="O4647" s="100"/>
      <c r="P4647" s="100"/>
    </row>
    <row r="4648">
      <c r="A4648" s="107">
        <v>1628988.0</v>
      </c>
      <c r="B4648" s="108" t="s">
        <v>192</v>
      </c>
      <c r="C4648" s="108" t="s">
        <v>1122</v>
      </c>
      <c r="D4648" s="112" t="s">
        <v>177</v>
      </c>
      <c r="E4648" s="112">
        <v>645.0</v>
      </c>
      <c r="F4648" s="111" t="str">
        <f>DataPull!D4648</f>
        <v/>
      </c>
      <c r="G4648" s="94" t="str">
        <f t="shared" si="2"/>
        <v/>
      </c>
      <c r="H4648" s="94" t="str">
        <f t="shared" si="3"/>
        <v/>
      </c>
      <c r="I4648" s="94" t="str">
        <f t="shared" ref="I4648:J4648" si="4649">if(G4648 = "", , -G4648)</f>
        <v/>
      </c>
      <c r="J4648" s="94" t="str">
        <f t="shared" si="4649"/>
        <v/>
      </c>
      <c r="K4648" s="100"/>
      <c r="M4648" s="100"/>
      <c r="N4648" s="100"/>
      <c r="O4648" s="100"/>
      <c r="P4648" s="100"/>
    </row>
    <row r="4649">
      <c r="A4649" s="107">
        <v>1628988.0</v>
      </c>
      <c r="B4649" s="108" t="s">
        <v>193</v>
      </c>
      <c r="C4649" s="108" t="s">
        <v>1122</v>
      </c>
      <c r="D4649" s="112" t="s">
        <v>176</v>
      </c>
      <c r="E4649" s="112">
        <v>1617.0</v>
      </c>
      <c r="F4649" s="111" t="str">
        <f>DataPull!D4649</f>
        <v/>
      </c>
      <c r="G4649" s="94" t="str">
        <f t="shared" si="2"/>
        <v/>
      </c>
      <c r="H4649" s="94" t="str">
        <f t="shared" si="3"/>
        <v/>
      </c>
      <c r="I4649" s="94" t="str">
        <f t="shared" ref="I4649:J4649" si="4650">if(G4649 = "", , -G4649)</f>
        <v/>
      </c>
      <c r="J4649" s="94" t="str">
        <f t="shared" si="4650"/>
        <v/>
      </c>
      <c r="K4649" s="100"/>
      <c r="L4649" s="100"/>
      <c r="M4649" s="100"/>
      <c r="N4649" s="100"/>
      <c r="O4649" s="100"/>
      <c r="P4649" s="100"/>
    </row>
    <row r="4650">
      <c r="A4650" s="107">
        <v>1628988.0</v>
      </c>
      <c r="B4650" s="108" t="s">
        <v>243</v>
      </c>
      <c r="C4650" s="108" t="s">
        <v>1122</v>
      </c>
      <c r="D4650" s="112" t="s">
        <v>177</v>
      </c>
      <c r="E4650" s="112">
        <v>1174.8</v>
      </c>
      <c r="F4650" s="111" t="str">
        <f>DataPull!D4650</f>
        <v/>
      </c>
      <c r="G4650" s="94" t="str">
        <f t="shared" si="2"/>
        <v/>
      </c>
      <c r="H4650" s="94" t="str">
        <f t="shared" si="3"/>
        <v/>
      </c>
      <c r="I4650" s="94" t="str">
        <f t="shared" ref="I4650:J4650" si="4651">if(G4650 = "", , -G4650)</f>
        <v/>
      </c>
      <c r="J4650" s="94" t="str">
        <f t="shared" si="4651"/>
        <v/>
      </c>
      <c r="K4650" s="100"/>
      <c r="M4650" s="100"/>
      <c r="N4650" s="100"/>
      <c r="O4650" s="100"/>
      <c r="P4650" s="100"/>
    </row>
    <row r="4651">
      <c r="A4651" s="107">
        <v>1628988.0</v>
      </c>
      <c r="B4651" s="108" t="s">
        <v>215</v>
      </c>
      <c r="C4651" s="108" t="s">
        <v>1122</v>
      </c>
      <c r="D4651" s="112" t="s">
        <v>177</v>
      </c>
      <c r="E4651" s="112">
        <v>1020.6</v>
      </c>
      <c r="F4651" s="111" t="str">
        <f>DataPull!D4651</f>
        <v/>
      </c>
      <c r="G4651" s="94" t="str">
        <f t="shared" si="2"/>
        <v/>
      </c>
      <c r="H4651" s="94" t="str">
        <f t="shared" si="3"/>
        <v/>
      </c>
      <c r="I4651" s="94" t="str">
        <f t="shared" ref="I4651:J4651" si="4652">if(G4651 = "", , -G4651)</f>
        <v/>
      </c>
      <c r="J4651" s="94" t="str">
        <f t="shared" si="4652"/>
        <v/>
      </c>
      <c r="K4651" s="100"/>
      <c r="M4651" s="100"/>
      <c r="N4651" s="100"/>
      <c r="O4651" s="100"/>
      <c r="P4651" s="100"/>
    </row>
    <row r="4652">
      <c r="A4652" s="107">
        <v>1628988.0</v>
      </c>
      <c r="B4652" s="108" t="s">
        <v>244</v>
      </c>
      <c r="C4652" s="108" t="s">
        <v>1122</v>
      </c>
      <c r="D4652" s="112" t="s">
        <v>177</v>
      </c>
      <c r="E4652" s="112">
        <v>844.2</v>
      </c>
      <c r="F4652" s="111" t="str">
        <f>DataPull!D4652</f>
        <v/>
      </c>
      <c r="G4652" s="94" t="str">
        <f t="shared" si="2"/>
        <v/>
      </c>
      <c r="H4652" s="94" t="str">
        <f t="shared" si="3"/>
        <v/>
      </c>
      <c r="I4652" s="94" t="str">
        <f t="shared" ref="I4652:J4652" si="4653">if(G4652 = "", , -G4652)</f>
        <v/>
      </c>
      <c r="J4652" s="94" t="str">
        <f t="shared" si="4653"/>
        <v/>
      </c>
      <c r="K4652" s="100"/>
      <c r="M4652" s="100"/>
      <c r="N4652" s="100"/>
      <c r="O4652" s="100"/>
      <c r="P4652" s="100"/>
    </row>
    <row r="4653">
      <c r="A4653" s="107">
        <v>1628988.0</v>
      </c>
      <c r="B4653" s="108" t="s">
        <v>245</v>
      </c>
      <c r="C4653" s="108" t="s">
        <v>1122</v>
      </c>
      <c r="D4653" s="112" t="s">
        <v>177</v>
      </c>
      <c r="E4653" s="112">
        <v>1271.4</v>
      </c>
      <c r="F4653" s="111" t="str">
        <f>DataPull!D4653</f>
        <v/>
      </c>
      <c r="G4653" s="94" t="str">
        <f t="shared" si="2"/>
        <v/>
      </c>
      <c r="H4653" s="94" t="str">
        <f t="shared" si="3"/>
        <v/>
      </c>
      <c r="I4653" s="94" t="str">
        <f t="shared" ref="I4653:J4653" si="4654">if(G4653 = "", , -G4653)</f>
        <v/>
      </c>
      <c r="J4653" s="94" t="str">
        <f t="shared" si="4654"/>
        <v/>
      </c>
      <c r="K4653" s="100"/>
      <c r="M4653" s="100"/>
      <c r="N4653" s="100"/>
      <c r="O4653" s="100"/>
      <c r="P4653" s="100"/>
    </row>
    <row r="4654">
      <c r="A4654" s="107">
        <v>1628988.0</v>
      </c>
      <c r="B4654" s="108" t="s">
        <v>246</v>
      </c>
      <c r="C4654" s="108" t="s">
        <v>1122</v>
      </c>
      <c r="D4654" s="112" t="s">
        <v>177</v>
      </c>
      <c r="E4654" s="112">
        <v>793.6</v>
      </c>
      <c r="F4654" s="111" t="str">
        <f>DataPull!D4654</f>
        <v/>
      </c>
      <c r="G4654" s="94" t="str">
        <f t="shared" si="2"/>
        <v/>
      </c>
      <c r="H4654" s="94" t="str">
        <f t="shared" si="3"/>
        <v/>
      </c>
      <c r="I4654" s="94" t="str">
        <f t="shared" ref="I4654:J4654" si="4655">if(G4654 = "", , -G4654)</f>
        <v/>
      </c>
      <c r="J4654" s="94" t="str">
        <f t="shared" si="4655"/>
        <v/>
      </c>
      <c r="K4654" s="100"/>
      <c r="L4654" s="100"/>
      <c r="N4654" s="100"/>
      <c r="O4654" s="100"/>
      <c r="P4654" s="100"/>
    </row>
    <row r="4655">
      <c r="A4655" s="114">
        <v>1628988.0</v>
      </c>
      <c r="B4655" s="113" t="s">
        <v>247</v>
      </c>
      <c r="C4655" s="113" t="s">
        <v>1122</v>
      </c>
      <c r="D4655" s="112" t="s">
        <v>177</v>
      </c>
      <c r="E4655" s="112">
        <v>780.9</v>
      </c>
      <c r="F4655" s="111" t="str">
        <f>DataPull!D4655</f>
        <v/>
      </c>
      <c r="G4655" s="94" t="str">
        <f t="shared" si="2"/>
        <v/>
      </c>
      <c r="H4655" s="94" t="str">
        <f t="shared" si="3"/>
        <v/>
      </c>
      <c r="I4655" s="94" t="str">
        <f t="shared" ref="I4655:J4655" si="4656">if(G4655 = "", , -G4655)</f>
        <v/>
      </c>
      <c r="J4655" s="94" t="str">
        <f t="shared" si="4656"/>
        <v/>
      </c>
      <c r="K4655" s="100"/>
      <c r="L4655" s="100"/>
      <c r="N4655" s="100"/>
      <c r="O4655" s="100"/>
      <c r="P4655" s="100"/>
    </row>
    <row r="4656">
      <c r="A4656" s="107">
        <v>1628989.0</v>
      </c>
      <c r="B4656" s="108" t="s">
        <v>192</v>
      </c>
      <c r="C4656" s="108" t="s">
        <v>1123</v>
      </c>
      <c r="D4656" s="112" t="s">
        <v>178</v>
      </c>
      <c r="E4656" s="112">
        <v>2047.5</v>
      </c>
      <c r="F4656" s="111" t="str">
        <f>DataPull!D4656</f>
        <v/>
      </c>
      <c r="G4656" s="94" t="str">
        <f t="shared" si="2"/>
        <v/>
      </c>
      <c r="H4656" s="94" t="str">
        <f t="shared" si="3"/>
        <v/>
      </c>
      <c r="I4656" s="94" t="str">
        <f t="shared" ref="I4656:J4656" si="4657">if(G4656 = "", , -G4656)</f>
        <v/>
      </c>
      <c r="J4656" s="94" t="str">
        <f t="shared" si="4657"/>
        <v/>
      </c>
      <c r="K4656" s="100"/>
      <c r="M4656" s="100"/>
      <c r="N4656" s="100"/>
      <c r="O4656" s="100"/>
      <c r="P4656" s="100"/>
    </row>
    <row r="4657">
      <c r="A4657" s="107">
        <v>1628989.0</v>
      </c>
      <c r="B4657" s="108" t="s">
        <v>193</v>
      </c>
      <c r="C4657" s="108" t="s">
        <v>1123</v>
      </c>
      <c r="D4657" s="112" t="s">
        <v>178</v>
      </c>
      <c r="E4657" s="112">
        <v>1758.4</v>
      </c>
      <c r="F4657" s="111" t="str">
        <f>DataPull!D4657</f>
        <v/>
      </c>
      <c r="G4657" s="94" t="str">
        <f t="shared" si="2"/>
        <v/>
      </c>
      <c r="H4657" s="94" t="str">
        <f t="shared" si="3"/>
        <v/>
      </c>
      <c r="I4657" s="94" t="str">
        <f t="shared" ref="I4657:J4657" si="4658">if(G4657 = "", , -G4657)</f>
        <v/>
      </c>
      <c r="J4657" s="94" t="str">
        <f t="shared" si="4658"/>
        <v/>
      </c>
      <c r="K4657" s="100"/>
      <c r="M4657" s="100"/>
      <c r="N4657" s="100"/>
      <c r="O4657" s="100"/>
      <c r="P4657" s="100"/>
    </row>
    <row r="4658">
      <c r="A4658" s="107">
        <v>1628989.0</v>
      </c>
      <c r="B4658" s="108" t="s">
        <v>243</v>
      </c>
      <c r="C4658" s="108" t="s">
        <v>1123</v>
      </c>
      <c r="D4658" s="112" t="s">
        <v>178</v>
      </c>
      <c r="E4658" s="112">
        <v>2125.2</v>
      </c>
      <c r="F4658" s="111" t="str">
        <f>DataPull!D4658</f>
        <v/>
      </c>
      <c r="G4658" s="94" t="str">
        <f t="shared" si="2"/>
        <v/>
      </c>
      <c r="H4658" s="94" t="str">
        <f t="shared" si="3"/>
        <v/>
      </c>
      <c r="I4658" s="94" t="str">
        <f t="shared" ref="I4658:J4658" si="4659">if(G4658 = "", , -G4658)</f>
        <v/>
      </c>
      <c r="J4658" s="94" t="str">
        <f t="shared" si="4659"/>
        <v/>
      </c>
      <c r="K4658" s="100"/>
      <c r="M4658" s="100"/>
      <c r="N4658" s="100"/>
      <c r="O4658" s="100"/>
      <c r="P4658" s="100"/>
    </row>
    <row r="4659">
      <c r="A4659" s="107">
        <v>1628989.0</v>
      </c>
      <c r="B4659" s="108" t="s">
        <v>215</v>
      </c>
      <c r="C4659" s="108" t="s">
        <v>1123</v>
      </c>
      <c r="D4659" s="112" t="s">
        <v>178</v>
      </c>
      <c r="E4659" s="112">
        <v>2190.4</v>
      </c>
      <c r="F4659" s="111" t="str">
        <f>DataPull!D4659</f>
        <v/>
      </c>
      <c r="G4659" s="94" t="str">
        <f t="shared" si="2"/>
        <v/>
      </c>
      <c r="H4659" s="94" t="str">
        <f t="shared" si="3"/>
        <v/>
      </c>
      <c r="I4659" s="94" t="str">
        <f t="shared" ref="I4659:J4659" si="4660">if(G4659 = "", , -G4659)</f>
        <v/>
      </c>
      <c r="J4659" s="94" t="str">
        <f t="shared" si="4660"/>
        <v/>
      </c>
      <c r="K4659" s="100"/>
      <c r="M4659" s="100"/>
      <c r="N4659" s="100"/>
      <c r="O4659" s="100"/>
      <c r="P4659" s="100"/>
    </row>
    <row r="4660">
      <c r="A4660" s="107">
        <v>1628989.0</v>
      </c>
      <c r="B4660" s="108" t="s">
        <v>244</v>
      </c>
      <c r="C4660" s="108" t="s">
        <v>1123</v>
      </c>
      <c r="D4660" s="112" t="s">
        <v>178</v>
      </c>
      <c r="E4660" s="112">
        <v>2205.0</v>
      </c>
      <c r="F4660" s="111" t="str">
        <f>DataPull!D4660</f>
        <v/>
      </c>
      <c r="G4660" s="94" t="str">
        <f t="shared" si="2"/>
        <v/>
      </c>
      <c r="H4660" s="94" t="str">
        <f t="shared" si="3"/>
        <v/>
      </c>
      <c r="I4660" s="94" t="str">
        <f t="shared" ref="I4660:J4660" si="4661">if(G4660 = "", , -G4660)</f>
        <v/>
      </c>
      <c r="J4660" s="94" t="str">
        <f t="shared" si="4661"/>
        <v/>
      </c>
      <c r="K4660" s="100"/>
      <c r="M4660" s="100"/>
      <c r="N4660" s="100"/>
      <c r="O4660" s="100"/>
      <c r="P4660" s="100"/>
    </row>
    <row r="4661">
      <c r="A4661" s="107">
        <v>1628989.0</v>
      </c>
      <c r="B4661" s="108" t="s">
        <v>245</v>
      </c>
      <c r="C4661" s="108" t="s">
        <v>1123</v>
      </c>
      <c r="D4661" s="112" t="s">
        <v>176</v>
      </c>
      <c r="E4661" s="112">
        <v>1561.6</v>
      </c>
      <c r="F4661" s="111" t="str">
        <f>DataPull!D4661</f>
        <v/>
      </c>
      <c r="G4661" s="94" t="str">
        <f t="shared" si="2"/>
        <v/>
      </c>
      <c r="H4661" s="94" t="str">
        <f t="shared" si="3"/>
        <v/>
      </c>
      <c r="I4661" s="94" t="str">
        <f t="shared" ref="I4661:J4661" si="4662">if(G4661 = "", , -G4661)</f>
        <v/>
      </c>
      <c r="J4661" s="94" t="str">
        <f t="shared" si="4662"/>
        <v/>
      </c>
      <c r="K4661" s="100"/>
      <c r="M4661" s="100"/>
      <c r="N4661" s="100"/>
      <c r="O4661" s="100"/>
      <c r="P4661" s="100"/>
    </row>
    <row r="4662">
      <c r="A4662" s="107">
        <v>1628989.0</v>
      </c>
      <c r="B4662" s="108" t="s">
        <v>246</v>
      </c>
      <c r="C4662" s="108" t="s">
        <v>1123</v>
      </c>
      <c r="D4662" s="112" t="s">
        <v>177</v>
      </c>
      <c r="E4662" s="112">
        <v>1676.7</v>
      </c>
      <c r="F4662" s="111" t="str">
        <f>DataPull!D4662</f>
        <v/>
      </c>
      <c r="G4662" s="94" t="str">
        <f t="shared" si="2"/>
        <v/>
      </c>
      <c r="H4662" s="94" t="str">
        <f t="shared" si="3"/>
        <v/>
      </c>
      <c r="I4662" s="94" t="str">
        <f t="shared" ref="I4662:J4662" si="4663">if(G4662 = "", , -G4662)</f>
        <v/>
      </c>
      <c r="J4662" s="94" t="str">
        <f t="shared" si="4663"/>
        <v/>
      </c>
      <c r="K4662" s="100"/>
      <c r="M4662" s="100"/>
      <c r="N4662" s="100"/>
      <c r="O4662" s="100"/>
      <c r="P4662" s="100"/>
    </row>
    <row r="4663">
      <c r="A4663" s="114">
        <v>1628989.0</v>
      </c>
      <c r="B4663" s="113" t="s">
        <v>247</v>
      </c>
      <c r="C4663" s="113" t="s">
        <v>1123</v>
      </c>
      <c r="D4663" s="112" t="s">
        <v>176</v>
      </c>
      <c r="E4663" s="112">
        <v>1552.5</v>
      </c>
      <c r="F4663" s="111" t="str">
        <f>DataPull!D4663</f>
        <v/>
      </c>
      <c r="G4663" s="94" t="str">
        <f t="shared" si="2"/>
        <v/>
      </c>
      <c r="H4663" s="94" t="str">
        <f t="shared" si="3"/>
        <v/>
      </c>
      <c r="I4663" s="94" t="str">
        <f t="shared" ref="I4663:J4663" si="4664">if(G4663 = "", , -G4663)</f>
        <v/>
      </c>
      <c r="J4663" s="94" t="str">
        <f t="shared" si="4664"/>
        <v/>
      </c>
      <c r="K4663" s="100"/>
      <c r="M4663" s="100"/>
      <c r="N4663" s="100"/>
      <c r="O4663" s="100"/>
      <c r="P4663" s="100"/>
    </row>
    <row r="4664">
      <c r="A4664" s="107">
        <v>1628990.0</v>
      </c>
      <c r="B4664" s="108" t="s">
        <v>192</v>
      </c>
      <c r="C4664" s="108" t="s">
        <v>1124</v>
      </c>
      <c r="D4664" s="112" t="s">
        <v>177</v>
      </c>
      <c r="E4664" s="112">
        <v>893.2</v>
      </c>
      <c r="F4664" s="111" t="str">
        <f>DataPull!D4664</f>
        <v/>
      </c>
      <c r="G4664" s="94" t="str">
        <f t="shared" si="2"/>
        <v/>
      </c>
      <c r="H4664" s="94" t="str">
        <f t="shared" si="3"/>
        <v/>
      </c>
      <c r="I4664" s="94" t="str">
        <f t="shared" ref="I4664:J4664" si="4665">if(G4664 = "", , -G4664)</f>
        <v/>
      </c>
      <c r="J4664" s="94" t="str">
        <f t="shared" si="4665"/>
        <v/>
      </c>
      <c r="K4664" s="100"/>
      <c r="M4664" s="100"/>
      <c r="N4664" s="100"/>
      <c r="O4664" s="100"/>
      <c r="P4664" s="100"/>
    </row>
    <row r="4665">
      <c r="A4665" s="107">
        <v>1628990.0</v>
      </c>
      <c r="B4665" s="108" t="s">
        <v>193</v>
      </c>
      <c r="C4665" s="108" t="s">
        <v>1124</v>
      </c>
      <c r="D4665" s="112" t="s">
        <v>177</v>
      </c>
      <c r="E4665" s="112">
        <v>526.4</v>
      </c>
      <c r="F4665" s="111" t="str">
        <f>DataPull!D4665</f>
        <v/>
      </c>
      <c r="G4665" s="94" t="str">
        <f t="shared" si="2"/>
        <v/>
      </c>
      <c r="H4665" s="94" t="str">
        <f t="shared" si="3"/>
        <v/>
      </c>
      <c r="I4665" s="94" t="str">
        <f t="shared" ref="I4665:J4665" si="4666">if(G4665 = "", , -G4665)</f>
        <v/>
      </c>
      <c r="J4665" s="94" t="str">
        <f t="shared" si="4666"/>
        <v/>
      </c>
      <c r="K4665" s="100"/>
      <c r="L4665" s="100"/>
      <c r="M4665" s="100"/>
      <c r="N4665" s="100"/>
      <c r="O4665" s="100"/>
      <c r="P4665" s="100"/>
    </row>
    <row r="4666">
      <c r="A4666" s="107">
        <v>1628990.0</v>
      </c>
      <c r="B4666" s="108" t="s">
        <v>243</v>
      </c>
      <c r="C4666" s="108" t="s">
        <v>1124</v>
      </c>
      <c r="D4666" s="112" t="s">
        <v>187</v>
      </c>
      <c r="E4666" s="112">
        <v>345.0</v>
      </c>
      <c r="F4666" s="111" t="str">
        <f>DataPull!D4666</f>
        <v/>
      </c>
      <c r="G4666" s="94" t="str">
        <f t="shared" si="2"/>
        <v/>
      </c>
      <c r="H4666" s="94" t="str">
        <f t="shared" si="3"/>
        <v/>
      </c>
      <c r="I4666" s="94" t="str">
        <f t="shared" ref="I4666:J4666" si="4667">if(G4666 = "", , -G4666)</f>
        <v/>
      </c>
      <c r="J4666" s="94" t="str">
        <f t="shared" si="4667"/>
        <v/>
      </c>
      <c r="K4666" s="100"/>
      <c r="M4666" s="100"/>
      <c r="N4666" s="100"/>
      <c r="O4666" s="100"/>
      <c r="P4666" s="100"/>
    </row>
    <row r="4667">
      <c r="A4667" s="107">
        <v>1628990.0</v>
      </c>
      <c r="B4667" s="108" t="s">
        <v>215</v>
      </c>
      <c r="C4667" s="108" t="s">
        <v>1124</v>
      </c>
      <c r="D4667" s="112" t="s">
        <v>181</v>
      </c>
      <c r="E4667" s="112">
        <v>22.2</v>
      </c>
      <c r="F4667" s="111" t="str">
        <f>DataPull!D4667</f>
        <v/>
      </c>
      <c r="G4667" s="94" t="str">
        <f t="shared" si="2"/>
        <v/>
      </c>
      <c r="H4667" s="94" t="str">
        <f t="shared" si="3"/>
        <v/>
      </c>
      <c r="I4667" s="94" t="str">
        <f t="shared" ref="I4667:J4667" si="4668">if(G4667 = "", , -G4667)</f>
        <v/>
      </c>
      <c r="J4667" s="94" t="str">
        <f t="shared" si="4668"/>
        <v/>
      </c>
      <c r="K4667" s="100"/>
      <c r="M4667" s="100"/>
      <c r="N4667" s="100"/>
      <c r="O4667" s="100"/>
      <c r="P4667" s="100"/>
    </row>
    <row r="4668">
      <c r="A4668" s="107">
        <v>1628991.0</v>
      </c>
      <c r="B4668" s="108" t="s">
        <v>192</v>
      </c>
      <c r="C4668" s="108" t="s">
        <v>1125</v>
      </c>
      <c r="D4668" s="112" t="s">
        <v>176</v>
      </c>
      <c r="E4668" s="112">
        <v>1513.8</v>
      </c>
      <c r="F4668" s="111" t="str">
        <f>DataPull!D4668</f>
        <v/>
      </c>
      <c r="G4668" s="94" t="str">
        <f t="shared" si="2"/>
        <v/>
      </c>
      <c r="H4668" s="94" t="str">
        <f t="shared" si="3"/>
        <v/>
      </c>
      <c r="I4668" s="94" t="str">
        <f t="shared" ref="I4668:J4668" si="4669">if(G4668 = "", , -G4668)</f>
        <v/>
      </c>
      <c r="J4668" s="94" t="str">
        <f t="shared" si="4669"/>
        <v/>
      </c>
      <c r="K4668" s="100"/>
      <c r="M4668" s="100"/>
      <c r="N4668" s="100"/>
      <c r="O4668" s="100"/>
      <c r="P4668" s="100"/>
    </row>
    <row r="4669">
      <c r="A4669" s="107">
        <v>1628991.0</v>
      </c>
      <c r="B4669" s="108" t="s">
        <v>193</v>
      </c>
      <c r="C4669" s="108" t="s">
        <v>1125</v>
      </c>
      <c r="D4669" s="112" t="s">
        <v>178</v>
      </c>
      <c r="E4669" s="112">
        <v>1624.5</v>
      </c>
      <c r="F4669" s="111" t="str">
        <f>DataPull!D4669</f>
        <v/>
      </c>
      <c r="G4669" s="94" t="str">
        <f t="shared" si="2"/>
        <v/>
      </c>
      <c r="H4669" s="94" t="str">
        <f t="shared" si="3"/>
        <v/>
      </c>
      <c r="I4669" s="94" t="str">
        <f t="shared" ref="I4669:J4669" si="4670">if(G4669 = "", , -G4669)</f>
        <v/>
      </c>
      <c r="J4669" s="94" t="str">
        <f t="shared" si="4670"/>
        <v/>
      </c>
      <c r="K4669" s="100"/>
      <c r="M4669" s="100"/>
      <c r="N4669" s="100"/>
      <c r="O4669" s="100"/>
      <c r="P4669" s="100"/>
    </row>
    <row r="4670">
      <c r="A4670" s="107">
        <v>1628991.0</v>
      </c>
      <c r="B4670" s="108" t="s">
        <v>243</v>
      </c>
      <c r="C4670" s="108" t="s">
        <v>1125</v>
      </c>
      <c r="D4670" s="112" t="s">
        <v>176</v>
      </c>
      <c r="E4670" s="112">
        <v>258.5</v>
      </c>
      <c r="F4670" s="111" t="str">
        <f>DataPull!D4670</f>
        <v/>
      </c>
      <c r="G4670" s="94" t="str">
        <f t="shared" si="2"/>
        <v/>
      </c>
      <c r="H4670" s="94" t="str">
        <f t="shared" si="3"/>
        <v/>
      </c>
      <c r="I4670" s="94" t="str">
        <f t="shared" ref="I4670:J4670" si="4671">if(G4670 = "", , -G4670)</f>
        <v/>
      </c>
      <c r="J4670" s="94" t="str">
        <f t="shared" si="4671"/>
        <v/>
      </c>
      <c r="N4670" s="100"/>
      <c r="O4670" s="100"/>
      <c r="P4670" s="100"/>
    </row>
    <row r="4671">
      <c r="A4671" s="107">
        <v>1628991.0</v>
      </c>
      <c r="B4671" s="108" t="s">
        <v>215</v>
      </c>
      <c r="C4671" s="108" t="s">
        <v>1125</v>
      </c>
      <c r="D4671" s="112" t="s">
        <v>184</v>
      </c>
      <c r="E4671" s="112">
        <v>2129.4</v>
      </c>
      <c r="F4671" s="111" t="str">
        <f>DataPull!D4671</f>
        <v/>
      </c>
      <c r="G4671" s="94" t="str">
        <f t="shared" si="2"/>
        <v/>
      </c>
      <c r="H4671" s="94" t="str">
        <f t="shared" si="3"/>
        <v/>
      </c>
      <c r="I4671" s="94" t="str">
        <f t="shared" ref="I4671:J4671" si="4672">if(G4671 = "", , -G4671)</f>
        <v/>
      </c>
      <c r="J4671" s="94" t="str">
        <f t="shared" si="4672"/>
        <v/>
      </c>
      <c r="K4671" s="100"/>
      <c r="M4671" s="100"/>
      <c r="N4671" s="100"/>
      <c r="O4671" s="100"/>
      <c r="P4671" s="100"/>
    </row>
    <row r="4672">
      <c r="A4672" s="107">
        <v>1628991.0</v>
      </c>
      <c r="B4672" s="108" t="s">
        <v>244</v>
      </c>
      <c r="C4672" s="108" t="s">
        <v>1125</v>
      </c>
      <c r="D4672" s="112" t="s">
        <v>184</v>
      </c>
      <c r="E4672" s="112">
        <v>1789.2</v>
      </c>
      <c r="F4672" s="111" t="str">
        <f>DataPull!D4672</f>
        <v/>
      </c>
      <c r="G4672" s="94" t="str">
        <f t="shared" si="2"/>
        <v/>
      </c>
      <c r="H4672" s="94" t="str">
        <f t="shared" si="3"/>
        <v/>
      </c>
      <c r="I4672" s="94" t="str">
        <f t="shared" ref="I4672:J4672" si="4673">if(G4672 = "", , -G4672)</f>
        <v/>
      </c>
      <c r="J4672" s="94" t="str">
        <f t="shared" si="4673"/>
        <v/>
      </c>
      <c r="K4672" s="100"/>
      <c r="M4672" s="100"/>
      <c r="N4672" s="100"/>
      <c r="O4672" s="100"/>
      <c r="P4672" s="100"/>
    </row>
    <row r="4673">
      <c r="A4673" s="107">
        <v>1628991.0</v>
      </c>
      <c r="B4673" s="108" t="s">
        <v>245</v>
      </c>
      <c r="C4673" s="108" t="s">
        <v>1125</v>
      </c>
      <c r="D4673" s="112" t="s">
        <v>184</v>
      </c>
      <c r="E4673" s="112">
        <v>2125.2</v>
      </c>
      <c r="F4673" s="111" t="str">
        <f>DataPull!D4673</f>
        <v/>
      </c>
      <c r="G4673" s="94" t="str">
        <f t="shared" si="2"/>
        <v/>
      </c>
      <c r="H4673" s="94" t="str">
        <f t="shared" si="3"/>
        <v/>
      </c>
      <c r="I4673" s="94" t="str">
        <f t="shared" ref="I4673:J4673" si="4674">if(G4673 = "", , -G4673)</f>
        <v/>
      </c>
      <c r="J4673" s="94" t="str">
        <f t="shared" si="4674"/>
        <v/>
      </c>
      <c r="K4673" s="100"/>
      <c r="M4673" s="100"/>
      <c r="N4673" s="100"/>
      <c r="O4673" s="100"/>
      <c r="P4673" s="100"/>
    </row>
    <row r="4674">
      <c r="A4674" s="107">
        <v>1628991.0</v>
      </c>
      <c r="B4674" s="108" t="s">
        <v>246</v>
      </c>
      <c r="C4674" s="108" t="s">
        <v>1125</v>
      </c>
      <c r="D4674" s="112" t="s">
        <v>184</v>
      </c>
      <c r="E4674" s="112">
        <v>2205.2</v>
      </c>
      <c r="F4674" s="111" t="str">
        <f>DataPull!D4674</f>
        <v/>
      </c>
      <c r="G4674" s="94" t="str">
        <f t="shared" si="2"/>
        <v/>
      </c>
      <c r="H4674" s="94" t="str">
        <f t="shared" si="3"/>
        <v/>
      </c>
      <c r="I4674" s="94" t="str">
        <f t="shared" ref="I4674:J4674" si="4675">if(G4674 = "", , -G4674)</f>
        <v/>
      </c>
      <c r="J4674" s="94" t="str">
        <f t="shared" si="4675"/>
        <v/>
      </c>
      <c r="K4674" s="100"/>
      <c r="L4674" s="100"/>
      <c r="N4674" s="100"/>
      <c r="O4674" s="100"/>
      <c r="P4674" s="100"/>
    </row>
    <row r="4675">
      <c r="A4675" s="114">
        <v>1628991.0</v>
      </c>
      <c r="B4675" s="113" t="s">
        <v>247</v>
      </c>
      <c r="C4675" s="108" t="s">
        <v>1125</v>
      </c>
      <c r="D4675" s="112" t="s">
        <v>184</v>
      </c>
      <c r="E4675" s="112">
        <v>1454.4</v>
      </c>
      <c r="F4675" s="111" t="str">
        <f>DataPull!D4675</f>
        <v/>
      </c>
      <c r="G4675" s="94" t="str">
        <f t="shared" si="2"/>
        <v/>
      </c>
      <c r="H4675" s="94" t="str">
        <f t="shared" si="3"/>
        <v/>
      </c>
      <c r="I4675" s="94" t="str">
        <f t="shared" ref="I4675:J4675" si="4676">if(G4675 = "", , -G4675)</f>
        <v/>
      </c>
      <c r="J4675" s="94" t="str">
        <f t="shared" si="4676"/>
        <v/>
      </c>
      <c r="K4675" s="100"/>
      <c r="N4675" s="100"/>
      <c r="O4675" s="100"/>
      <c r="P4675" s="100"/>
    </row>
    <row r="4676">
      <c r="A4676" s="107">
        <v>1628993.0</v>
      </c>
      <c r="B4676" s="108" t="s">
        <v>192</v>
      </c>
      <c r="C4676" s="108" t="s">
        <v>1126</v>
      </c>
      <c r="D4676" s="112" t="s">
        <v>187</v>
      </c>
      <c r="E4676" s="112">
        <v>64.4</v>
      </c>
      <c r="F4676" s="111" t="str">
        <f>DataPull!D4676</f>
        <v/>
      </c>
      <c r="G4676" s="94" t="str">
        <f t="shared" si="2"/>
        <v/>
      </c>
      <c r="H4676" s="94" t="str">
        <f t="shared" si="3"/>
        <v/>
      </c>
      <c r="I4676" s="94" t="str">
        <f t="shared" ref="I4676:J4676" si="4677">if(G4676 = "", , -G4676)</f>
        <v/>
      </c>
      <c r="J4676" s="94" t="str">
        <f t="shared" si="4677"/>
        <v/>
      </c>
      <c r="K4676" s="100"/>
      <c r="M4676" s="100"/>
      <c r="N4676" s="100"/>
      <c r="O4676" s="100"/>
      <c r="P4676" s="100"/>
    </row>
    <row r="4677">
      <c r="A4677" s="107">
        <v>1628993.0</v>
      </c>
      <c r="B4677" s="108" t="s">
        <v>193</v>
      </c>
      <c r="C4677" s="108" t="s">
        <v>1126</v>
      </c>
      <c r="D4677" s="112" t="s">
        <v>187</v>
      </c>
      <c r="E4677" s="112">
        <v>117.3</v>
      </c>
      <c r="F4677" s="111" t="str">
        <f>DataPull!D4677</f>
        <v/>
      </c>
      <c r="G4677" s="94" t="str">
        <f t="shared" si="2"/>
        <v/>
      </c>
      <c r="H4677" s="94" t="str">
        <f t="shared" si="3"/>
        <v/>
      </c>
      <c r="I4677" s="94" t="str">
        <f t="shared" ref="I4677:J4677" si="4678">if(G4677 = "", , -G4677)</f>
        <v/>
      </c>
      <c r="J4677" s="94" t="str">
        <f t="shared" si="4678"/>
        <v/>
      </c>
      <c r="K4677" s="100"/>
      <c r="M4677" s="100"/>
      <c r="N4677" s="100"/>
      <c r="O4677" s="100"/>
      <c r="P4677" s="100"/>
    </row>
    <row r="4678">
      <c r="A4678" s="107">
        <v>1628993.0</v>
      </c>
      <c r="B4678" s="108" t="s">
        <v>243</v>
      </c>
      <c r="C4678" s="108" t="s">
        <v>1126</v>
      </c>
      <c r="D4678" s="112" t="s">
        <v>187</v>
      </c>
      <c r="E4678" s="112">
        <v>189.0</v>
      </c>
      <c r="F4678" s="111" t="str">
        <f>DataPull!D4678</f>
        <v/>
      </c>
      <c r="G4678" s="94" t="str">
        <f t="shared" si="2"/>
        <v/>
      </c>
      <c r="H4678" s="94" t="str">
        <f t="shared" si="3"/>
        <v/>
      </c>
      <c r="I4678" s="94" t="str">
        <f t="shared" ref="I4678:J4678" si="4679">if(G4678 = "", , -G4678)</f>
        <v/>
      </c>
      <c r="J4678" s="94" t="str">
        <f t="shared" si="4679"/>
        <v/>
      </c>
      <c r="K4678" s="100"/>
      <c r="M4678" s="100"/>
      <c r="N4678" s="100"/>
      <c r="O4678" s="100"/>
      <c r="P4678" s="100"/>
    </row>
    <row r="4679">
      <c r="A4679" s="107">
        <v>1628993.0</v>
      </c>
      <c r="B4679" s="108" t="s">
        <v>215</v>
      </c>
      <c r="C4679" s="108" t="s">
        <v>1126</v>
      </c>
      <c r="D4679" s="112" t="s">
        <v>187</v>
      </c>
      <c r="E4679" s="112">
        <v>167.9</v>
      </c>
      <c r="F4679" s="111" t="str">
        <f>DataPull!D4679</f>
        <v/>
      </c>
      <c r="G4679" s="94" t="str">
        <f t="shared" si="2"/>
        <v/>
      </c>
      <c r="H4679" s="94" t="str">
        <f t="shared" si="3"/>
        <v/>
      </c>
      <c r="I4679" s="94" t="str">
        <f t="shared" ref="I4679:J4679" si="4680">if(G4679 = "", , -G4679)</f>
        <v/>
      </c>
      <c r="J4679" s="94" t="str">
        <f t="shared" si="4680"/>
        <v/>
      </c>
      <c r="K4679" s="100"/>
      <c r="M4679" s="100"/>
      <c r="N4679" s="100"/>
      <c r="O4679" s="100"/>
      <c r="P4679" s="100"/>
    </row>
    <row r="4680">
      <c r="A4680" s="107">
        <v>1628993.0</v>
      </c>
      <c r="B4680" s="108" t="s">
        <v>244</v>
      </c>
      <c r="C4680" s="108" t="s">
        <v>1126</v>
      </c>
      <c r="D4680" s="112" t="s">
        <v>181</v>
      </c>
      <c r="E4680" s="112">
        <v>29.6</v>
      </c>
      <c r="F4680" s="111" t="str">
        <f>DataPull!D4680</f>
        <v/>
      </c>
      <c r="G4680" s="94" t="str">
        <f t="shared" si="2"/>
        <v/>
      </c>
      <c r="H4680" s="94" t="str">
        <f t="shared" si="3"/>
        <v/>
      </c>
      <c r="I4680" s="94" t="str">
        <f t="shared" ref="I4680:J4680" si="4681">if(G4680 = "", , -G4680)</f>
        <v/>
      </c>
      <c r="J4680" s="94" t="str">
        <f t="shared" si="4681"/>
        <v/>
      </c>
      <c r="K4680" s="100"/>
      <c r="M4680" s="100"/>
      <c r="N4680" s="100"/>
      <c r="O4680" s="100"/>
      <c r="P4680" s="100"/>
    </row>
    <row r="4681">
      <c r="A4681" s="107">
        <v>1628994.0</v>
      </c>
      <c r="B4681" s="108" t="s">
        <v>192</v>
      </c>
      <c r="C4681" s="108" t="s">
        <v>1127</v>
      </c>
      <c r="D4681" s="112" t="s">
        <v>181</v>
      </c>
      <c r="E4681" s="112">
        <v>5.9</v>
      </c>
      <c r="F4681" s="111" t="str">
        <f>DataPull!D4681</f>
        <v/>
      </c>
      <c r="G4681" s="94" t="str">
        <f t="shared" si="2"/>
        <v/>
      </c>
      <c r="H4681" s="94" t="str">
        <f t="shared" si="3"/>
        <v/>
      </c>
      <c r="I4681" s="94" t="str">
        <f t="shared" ref="I4681:J4681" si="4682">if(G4681 = "", , -G4681)</f>
        <v/>
      </c>
      <c r="J4681" s="94" t="str">
        <f t="shared" si="4682"/>
        <v/>
      </c>
      <c r="K4681" s="100"/>
      <c r="M4681" s="100"/>
      <c r="N4681" s="100"/>
      <c r="O4681" s="100"/>
      <c r="P4681" s="100"/>
    </row>
    <row r="4682">
      <c r="A4682" s="107">
        <v>1628994.0</v>
      </c>
      <c r="B4682" s="108" t="s">
        <v>215</v>
      </c>
      <c r="C4682" s="108" t="s">
        <v>1127</v>
      </c>
      <c r="D4682" s="112" t="s">
        <v>181</v>
      </c>
      <c r="E4682" s="112">
        <v>19.2</v>
      </c>
      <c r="F4682" s="111" t="str">
        <f>DataPull!D4682</f>
        <v/>
      </c>
      <c r="G4682" s="94" t="str">
        <f t="shared" si="2"/>
        <v/>
      </c>
      <c r="H4682" s="94" t="str">
        <f t="shared" si="3"/>
        <v/>
      </c>
      <c r="I4682" s="94" t="str">
        <f t="shared" ref="I4682:J4682" si="4683">if(G4682 = "", , -G4682)</f>
        <v/>
      </c>
      <c r="J4682" s="94" t="str">
        <f t="shared" si="4683"/>
        <v/>
      </c>
      <c r="K4682" s="100"/>
      <c r="L4682" s="100"/>
      <c r="N4682" s="100"/>
      <c r="O4682" s="100"/>
      <c r="P4682" s="100"/>
    </row>
    <row r="4683">
      <c r="A4683" s="107">
        <v>1628995.0</v>
      </c>
      <c r="B4683" s="108" t="s">
        <v>192</v>
      </c>
      <c r="C4683" s="108" t="s">
        <v>1128</v>
      </c>
      <c r="D4683" s="112" t="s">
        <v>178</v>
      </c>
      <c r="E4683" s="112">
        <v>2160.0</v>
      </c>
      <c r="F4683" s="111" t="str">
        <f>DataPull!D4683</f>
        <v/>
      </c>
      <c r="G4683" s="94" t="str">
        <f t="shared" si="2"/>
        <v/>
      </c>
      <c r="H4683" s="94" t="str">
        <f t="shared" si="3"/>
        <v/>
      </c>
      <c r="I4683" s="94" t="str">
        <f t="shared" ref="I4683:J4683" si="4684">if(G4683 = "", , -G4683)</f>
        <v/>
      </c>
      <c r="J4683" s="94" t="str">
        <f t="shared" si="4684"/>
        <v/>
      </c>
      <c r="K4683" s="100"/>
      <c r="M4683" s="100"/>
      <c r="N4683" s="100"/>
      <c r="O4683" s="100"/>
      <c r="P4683" s="100"/>
    </row>
    <row r="4684">
      <c r="A4684" s="107">
        <v>1628995.0</v>
      </c>
      <c r="B4684" s="108" t="s">
        <v>193</v>
      </c>
      <c r="C4684" s="108" t="s">
        <v>1128</v>
      </c>
      <c r="D4684" s="112" t="s">
        <v>177</v>
      </c>
      <c r="E4684" s="112">
        <v>1163.5</v>
      </c>
      <c r="F4684" s="111" t="str">
        <f>DataPull!D4684</f>
        <v/>
      </c>
      <c r="G4684" s="94" t="str">
        <f t="shared" si="2"/>
        <v/>
      </c>
      <c r="H4684" s="94" t="str">
        <f t="shared" si="3"/>
        <v/>
      </c>
      <c r="I4684" s="94" t="str">
        <f t="shared" ref="I4684:J4684" si="4685">if(G4684 = "", , -G4684)</f>
        <v/>
      </c>
      <c r="J4684" s="94" t="str">
        <f t="shared" si="4685"/>
        <v/>
      </c>
      <c r="K4684" s="100"/>
      <c r="M4684" s="100"/>
      <c r="N4684" s="100"/>
      <c r="O4684" s="100"/>
      <c r="P4684" s="100"/>
    </row>
    <row r="4685">
      <c r="A4685" s="107">
        <v>1628995.0</v>
      </c>
      <c r="B4685" s="108" t="s">
        <v>243</v>
      </c>
      <c r="C4685" s="108" t="s">
        <v>1128</v>
      </c>
      <c r="D4685" s="112" t="s">
        <v>177</v>
      </c>
      <c r="E4685" s="112">
        <v>466.2</v>
      </c>
      <c r="F4685" s="111" t="str">
        <f>DataPull!D4685</f>
        <v/>
      </c>
      <c r="G4685" s="94" t="str">
        <f t="shared" si="2"/>
        <v/>
      </c>
      <c r="H4685" s="94" t="str">
        <f t="shared" si="3"/>
        <v/>
      </c>
      <c r="I4685" s="94" t="str">
        <f t="shared" ref="I4685:J4685" si="4686">if(G4685 = "", , -G4685)</f>
        <v/>
      </c>
      <c r="J4685" s="94" t="str">
        <f t="shared" si="4686"/>
        <v/>
      </c>
      <c r="K4685" s="100"/>
      <c r="M4685" s="100"/>
      <c r="N4685" s="100"/>
      <c r="O4685" s="100"/>
      <c r="P4685" s="100"/>
    </row>
    <row r="4686">
      <c r="A4686" s="107">
        <v>1628995.0</v>
      </c>
      <c r="B4686" s="108" t="s">
        <v>215</v>
      </c>
      <c r="C4686" s="108" t="s">
        <v>1128</v>
      </c>
      <c r="D4686" s="112" t="s">
        <v>187</v>
      </c>
      <c r="E4686" s="112">
        <v>222.0</v>
      </c>
      <c r="F4686" s="111" t="str">
        <f>DataPull!D4686</f>
        <v/>
      </c>
      <c r="G4686" s="94" t="str">
        <f t="shared" si="2"/>
        <v/>
      </c>
      <c r="H4686" s="94" t="str">
        <f t="shared" si="3"/>
        <v/>
      </c>
      <c r="I4686" s="94" t="str">
        <f t="shared" ref="I4686:J4686" si="4687">if(G4686 = "", , -G4686)</f>
        <v/>
      </c>
      <c r="J4686" s="94" t="str">
        <f t="shared" si="4687"/>
        <v/>
      </c>
      <c r="K4686" s="100"/>
      <c r="M4686" s="100"/>
      <c r="N4686" s="100"/>
      <c r="O4686" s="100"/>
      <c r="P4686" s="100"/>
    </row>
    <row r="4687">
      <c r="A4687" s="107">
        <v>1628995.0</v>
      </c>
      <c r="B4687" s="108" t="s">
        <v>244</v>
      </c>
      <c r="C4687" s="108" t="s">
        <v>1128</v>
      </c>
      <c r="D4687" s="112" t="s">
        <v>177</v>
      </c>
      <c r="E4687" s="112">
        <v>951.3</v>
      </c>
      <c r="F4687" s="111" t="str">
        <f>DataPull!D4687</f>
        <v/>
      </c>
      <c r="G4687" s="94" t="str">
        <f t="shared" si="2"/>
        <v/>
      </c>
      <c r="H4687" s="94" t="str">
        <f t="shared" si="3"/>
        <v/>
      </c>
      <c r="I4687" s="94" t="str">
        <f t="shared" ref="I4687:J4687" si="4688">if(G4687 = "", , -G4687)</f>
        <v/>
      </c>
      <c r="J4687" s="94" t="str">
        <f t="shared" si="4688"/>
        <v/>
      </c>
      <c r="K4687" s="100"/>
      <c r="M4687" s="100"/>
      <c r="N4687" s="100"/>
      <c r="O4687" s="100"/>
      <c r="P4687" s="100"/>
    </row>
    <row r="4688">
      <c r="A4688" s="107">
        <v>1628995.0</v>
      </c>
      <c r="B4688" s="108" t="s">
        <v>245</v>
      </c>
      <c r="C4688" s="108" t="s">
        <v>1128</v>
      </c>
      <c r="D4688" s="112" t="s">
        <v>177</v>
      </c>
      <c r="E4688" s="112">
        <v>561.1</v>
      </c>
      <c r="F4688" s="111" t="str">
        <f>DataPull!D4688</f>
        <v/>
      </c>
      <c r="G4688" s="94" t="str">
        <f t="shared" si="2"/>
        <v/>
      </c>
      <c r="H4688" s="94" t="str">
        <f t="shared" si="3"/>
        <v/>
      </c>
      <c r="I4688" s="94" t="str">
        <f t="shared" ref="I4688:J4688" si="4689">if(G4688 = "", , -G4688)</f>
        <v/>
      </c>
      <c r="J4688" s="94" t="str">
        <f t="shared" si="4689"/>
        <v/>
      </c>
      <c r="K4688" s="100"/>
      <c r="M4688" s="100"/>
      <c r="N4688" s="100"/>
      <c r="O4688" s="100"/>
      <c r="P4688" s="100"/>
    </row>
    <row r="4689">
      <c r="A4689" s="123">
        <v>1628995.0</v>
      </c>
      <c r="B4689" s="124" t="s">
        <v>246</v>
      </c>
      <c r="C4689" s="125" t="s">
        <v>1128</v>
      </c>
      <c r="D4689" s="112" t="s">
        <v>187</v>
      </c>
      <c r="E4689" s="112">
        <v>84.0</v>
      </c>
      <c r="F4689" s="111" t="str">
        <f>DataPull!D4689</f>
        <v/>
      </c>
      <c r="G4689" s="94" t="str">
        <f t="shared" si="2"/>
        <v/>
      </c>
      <c r="H4689" s="94" t="str">
        <f t="shared" si="3"/>
        <v/>
      </c>
      <c r="I4689" s="94" t="str">
        <f t="shared" ref="I4689:J4689" si="4690">if(G4689 = "", , -G4689)</f>
        <v/>
      </c>
      <c r="J4689" s="94" t="str">
        <f t="shared" si="4690"/>
        <v/>
      </c>
      <c r="K4689" s="100"/>
      <c r="M4689" s="100"/>
      <c r="N4689" s="100"/>
      <c r="O4689" s="100"/>
      <c r="P4689" s="100"/>
    </row>
    <row r="4690">
      <c r="A4690" s="107">
        <v>1628997.0</v>
      </c>
      <c r="B4690" s="108" t="s">
        <v>193</v>
      </c>
      <c r="C4690" s="108" t="s">
        <v>1129</v>
      </c>
      <c r="D4690" s="112" t="s">
        <v>177</v>
      </c>
      <c r="E4690" s="112">
        <v>316.8</v>
      </c>
      <c r="F4690" s="111" t="str">
        <f>DataPull!D4690</f>
        <v/>
      </c>
      <c r="G4690" s="94" t="str">
        <f t="shared" si="2"/>
        <v/>
      </c>
      <c r="H4690" s="94" t="str">
        <f t="shared" si="3"/>
        <v/>
      </c>
      <c r="I4690" s="94" t="str">
        <f t="shared" ref="I4690:J4690" si="4691">if(G4690 = "", , -G4690)</f>
        <v/>
      </c>
      <c r="J4690" s="94" t="str">
        <f t="shared" si="4691"/>
        <v/>
      </c>
      <c r="K4690" s="100"/>
      <c r="M4690" s="100"/>
      <c r="N4690" s="100"/>
      <c r="O4690" s="100"/>
      <c r="P4690" s="100"/>
    </row>
    <row r="4691">
      <c r="A4691" s="107">
        <v>1628997.0</v>
      </c>
      <c r="B4691" s="108" t="s">
        <v>243</v>
      </c>
      <c r="C4691" s="108" t="s">
        <v>1129</v>
      </c>
      <c r="D4691" s="112" t="s">
        <v>177</v>
      </c>
      <c r="E4691" s="112">
        <v>816.2</v>
      </c>
      <c r="F4691" s="111" t="str">
        <f>DataPull!D4691</f>
        <v/>
      </c>
      <c r="G4691" s="94" t="str">
        <f t="shared" si="2"/>
        <v/>
      </c>
      <c r="H4691" s="94" t="str">
        <f t="shared" si="3"/>
        <v/>
      </c>
      <c r="I4691" s="94" t="str">
        <f t="shared" ref="I4691:J4691" si="4692">if(G4691 = "", , -G4691)</f>
        <v/>
      </c>
      <c r="J4691" s="94" t="str">
        <f t="shared" si="4692"/>
        <v/>
      </c>
      <c r="K4691" s="100"/>
      <c r="L4691" s="100"/>
      <c r="M4691" s="100"/>
      <c r="N4691" s="100"/>
      <c r="O4691" s="100"/>
      <c r="P4691" s="100"/>
    </row>
    <row r="4692">
      <c r="A4692" s="107">
        <v>1628997.0</v>
      </c>
      <c r="B4692" s="108" t="s">
        <v>215</v>
      </c>
      <c r="C4692" s="108" t="s">
        <v>1129</v>
      </c>
      <c r="D4692" s="112" t="s">
        <v>176</v>
      </c>
      <c r="E4692" s="112">
        <v>1374.0</v>
      </c>
      <c r="F4692" s="111" t="str">
        <f>DataPull!D4692</f>
        <v/>
      </c>
      <c r="G4692" s="94" t="str">
        <f t="shared" si="2"/>
        <v/>
      </c>
      <c r="H4692" s="94" t="str">
        <f t="shared" si="3"/>
        <v/>
      </c>
      <c r="I4692" s="94" t="str">
        <f t="shared" ref="I4692:J4692" si="4693">if(G4692 = "", , -G4692)</f>
        <v/>
      </c>
      <c r="J4692" s="94" t="str">
        <f t="shared" si="4693"/>
        <v/>
      </c>
      <c r="K4692" s="100"/>
      <c r="M4692" s="100"/>
      <c r="N4692" s="100"/>
      <c r="O4692" s="100"/>
      <c r="P4692" s="100"/>
    </row>
    <row r="4693">
      <c r="A4693" s="107">
        <v>1628997.0</v>
      </c>
      <c r="B4693" s="108" t="s">
        <v>244</v>
      </c>
      <c r="C4693" s="108" t="s">
        <v>1129</v>
      </c>
      <c r="D4693" s="112" t="s">
        <v>178</v>
      </c>
      <c r="E4693" s="112">
        <v>2080.3</v>
      </c>
      <c r="F4693" s="111" t="str">
        <f>DataPull!D4693</f>
        <v/>
      </c>
      <c r="G4693" s="94" t="str">
        <f t="shared" si="2"/>
        <v/>
      </c>
      <c r="H4693" s="94" t="str">
        <f t="shared" si="3"/>
        <v/>
      </c>
      <c r="I4693" s="94" t="str">
        <f t="shared" ref="I4693:J4693" si="4694">if(G4693 = "", , -G4693)</f>
        <v/>
      </c>
      <c r="J4693" s="94" t="str">
        <f t="shared" si="4694"/>
        <v/>
      </c>
      <c r="K4693" s="100"/>
      <c r="L4693" s="100"/>
      <c r="N4693" s="100"/>
      <c r="O4693" s="100"/>
      <c r="P4693" s="100"/>
    </row>
    <row r="4694">
      <c r="A4694" s="107">
        <v>1628997.0</v>
      </c>
      <c r="B4694" s="108" t="s">
        <v>245</v>
      </c>
      <c r="C4694" s="108" t="s">
        <v>1129</v>
      </c>
      <c r="D4694" s="112" t="s">
        <v>176</v>
      </c>
      <c r="E4694" s="112">
        <v>1753.6</v>
      </c>
      <c r="F4694" s="111" t="str">
        <f>DataPull!D4694</f>
        <v/>
      </c>
      <c r="G4694" s="94" t="str">
        <f t="shared" si="2"/>
        <v/>
      </c>
      <c r="H4694" s="94" t="str">
        <f t="shared" si="3"/>
        <v/>
      </c>
      <c r="I4694" s="94" t="str">
        <f t="shared" ref="I4694:J4694" si="4695">if(G4694 = "", , -G4694)</f>
        <v/>
      </c>
      <c r="J4694" s="94" t="str">
        <f t="shared" si="4695"/>
        <v/>
      </c>
      <c r="K4694" s="100"/>
      <c r="M4694" s="100"/>
      <c r="N4694" s="100"/>
      <c r="O4694" s="100"/>
      <c r="P4694" s="100"/>
    </row>
    <row r="4695">
      <c r="A4695" s="107">
        <v>1628997.0</v>
      </c>
      <c r="B4695" s="128" t="s">
        <v>246</v>
      </c>
      <c r="C4695" s="128" t="s">
        <v>1129</v>
      </c>
      <c r="D4695" s="112" t="s">
        <v>178</v>
      </c>
      <c r="E4695" s="112">
        <v>1219.5</v>
      </c>
      <c r="F4695" s="111" t="str">
        <f>DataPull!D4695</f>
        <v/>
      </c>
      <c r="G4695" s="94" t="str">
        <f t="shared" si="2"/>
        <v/>
      </c>
      <c r="H4695" s="94" t="str">
        <f t="shared" si="3"/>
        <v/>
      </c>
      <c r="I4695" s="94" t="str">
        <f t="shared" ref="I4695:J4695" si="4696">if(G4695 = "", , -G4695)</f>
        <v/>
      </c>
      <c r="J4695" s="94" t="str">
        <f t="shared" si="4696"/>
        <v/>
      </c>
      <c r="K4695" s="100"/>
      <c r="M4695" s="100"/>
      <c r="N4695" s="100"/>
      <c r="O4695" s="100"/>
      <c r="P4695" s="100"/>
    </row>
    <row r="4696">
      <c r="A4696" s="114">
        <v>1628997.0</v>
      </c>
      <c r="B4696" s="113" t="s">
        <v>247</v>
      </c>
      <c r="C4696" s="113" t="s">
        <v>1129</v>
      </c>
      <c r="D4696" s="112" t="s">
        <v>177</v>
      </c>
      <c r="E4696" s="112">
        <v>858.4</v>
      </c>
      <c r="F4696" s="111" t="str">
        <f>DataPull!D4696</f>
        <v/>
      </c>
      <c r="G4696" s="94" t="str">
        <f t="shared" si="2"/>
        <v/>
      </c>
      <c r="H4696" s="94" t="str">
        <f t="shared" si="3"/>
        <v/>
      </c>
      <c r="I4696" s="94" t="str">
        <f t="shared" ref="I4696:J4696" si="4697">if(G4696 = "", , -G4696)</f>
        <v/>
      </c>
      <c r="J4696" s="94" t="str">
        <f t="shared" si="4697"/>
        <v/>
      </c>
      <c r="K4696" s="100"/>
      <c r="M4696" s="100"/>
      <c r="N4696" s="100"/>
      <c r="O4696" s="100"/>
      <c r="P4696" s="100"/>
    </row>
    <row r="4697">
      <c r="A4697" s="107">
        <v>1628998.0</v>
      </c>
      <c r="B4697" s="108" t="s">
        <v>193</v>
      </c>
      <c r="C4697" s="108" t="s">
        <v>1130</v>
      </c>
      <c r="D4697" s="112" t="s">
        <v>177</v>
      </c>
      <c r="E4697" s="112">
        <v>902.4</v>
      </c>
      <c r="F4697" s="111" t="str">
        <f>DataPull!D4697</f>
        <v/>
      </c>
      <c r="G4697" s="94" t="str">
        <f t="shared" si="2"/>
        <v/>
      </c>
      <c r="H4697" s="94" t="str">
        <f t="shared" si="3"/>
        <v/>
      </c>
      <c r="I4697" s="94" t="str">
        <f t="shared" ref="I4697:J4697" si="4698">if(G4697 = "", , -G4697)</f>
        <v/>
      </c>
      <c r="J4697" s="94" t="str">
        <f t="shared" si="4698"/>
        <v/>
      </c>
      <c r="K4697" s="100"/>
      <c r="M4697" s="100"/>
      <c r="N4697" s="100"/>
      <c r="O4697" s="100"/>
      <c r="P4697" s="100"/>
    </row>
    <row r="4698">
      <c r="A4698" s="107">
        <v>1628998.0</v>
      </c>
      <c r="B4698" s="108" t="s">
        <v>243</v>
      </c>
      <c r="C4698" s="108" t="s">
        <v>1130</v>
      </c>
      <c r="D4698" s="112" t="s">
        <v>177</v>
      </c>
      <c r="E4698" s="112">
        <v>847.6</v>
      </c>
      <c r="F4698" s="111" t="str">
        <f>DataPull!D4698</f>
        <v/>
      </c>
      <c r="G4698" s="94" t="str">
        <f t="shared" si="2"/>
        <v/>
      </c>
      <c r="H4698" s="94" t="str">
        <f t="shared" si="3"/>
        <v/>
      </c>
      <c r="I4698" s="94" t="str">
        <f t="shared" ref="I4698:J4698" si="4699">if(G4698 = "", , -G4698)</f>
        <v/>
      </c>
      <c r="J4698" s="94" t="str">
        <f t="shared" si="4699"/>
        <v/>
      </c>
      <c r="K4698" s="100"/>
      <c r="M4698" s="100"/>
      <c r="N4698" s="100"/>
      <c r="O4698" s="100"/>
      <c r="P4698" s="100"/>
    </row>
    <row r="4699">
      <c r="A4699" s="107">
        <v>1628998.0</v>
      </c>
      <c r="B4699" s="108" t="s">
        <v>215</v>
      </c>
      <c r="C4699" s="108" t="s">
        <v>1130</v>
      </c>
      <c r="D4699" s="112" t="s">
        <v>176</v>
      </c>
      <c r="E4699" s="112">
        <v>1867.3</v>
      </c>
      <c r="F4699" s="111" t="str">
        <f>DataPull!D4699</f>
        <v/>
      </c>
      <c r="G4699" s="94" t="str">
        <f t="shared" si="2"/>
        <v/>
      </c>
      <c r="H4699" s="94" t="str">
        <f t="shared" si="3"/>
        <v/>
      </c>
      <c r="I4699" s="94" t="str">
        <f t="shared" ref="I4699:J4699" si="4700">if(G4699 = "", , -G4699)</f>
        <v/>
      </c>
      <c r="J4699" s="94" t="str">
        <f t="shared" si="4700"/>
        <v/>
      </c>
      <c r="K4699" s="100"/>
      <c r="M4699" s="100"/>
      <c r="N4699" s="100"/>
      <c r="O4699" s="100"/>
      <c r="P4699" s="100"/>
    </row>
    <row r="4700">
      <c r="A4700" s="107">
        <v>1628998.0</v>
      </c>
      <c r="B4700" s="108" t="s">
        <v>244</v>
      </c>
      <c r="C4700" s="108" t="s">
        <v>1130</v>
      </c>
      <c r="D4700" s="112" t="s">
        <v>181</v>
      </c>
      <c r="E4700" s="112">
        <v>133.7</v>
      </c>
      <c r="F4700" s="111" t="str">
        <f>DataPull!D4700</f>
        <v/>
      </c>
      <c r="G4700" s="94" t="str">
        <f t="shared" si="2"/>
        <v/>
      </c>
      <c r="H4700" s="94" t="str">
        <f t="shared" si="3"/>
        <v/>
      </c>
      <c r="I4700" s="94" t="str">
        <f t="shared" ref="I4700:J4700" si="4701">if(G4700 = "", , -G4700)</f>
        <v/>
      </c>
      <c r="J4700" s="94" t="str">
        <f t="shared" si="4701"/>
        <v/>
      </c>
      <c r="K4700" s="100"/>
      <c r="M4700" s="100"/>
      <c r="N4700" s="100"/>
      <c r="O4700" s="100"/>
      <c r="P4700" s="100"/>
    </row>
    <row r="4701">
      <c r="A4701" s="107">
        <v>1628998.0</v>
      </c>
      <c r="B4701" s="108" t="s">
        <v>245</v>
      </c>
      <c r="C4701" s="108" t="s">
        <v>1130</v>
      </c>
      <c r="D4701" s="112" t="s">
        <v>176</v>
      </c>
      <c r="E4701" s="112">
        <v>753.2</v>
      </c>
      <c r="F4701" s="111" t="str">
        <f>DataPull!D4701</f>
        <v/>
      </c>
      <c r="G4701" s="94" t="str">
        <f t="shared" si="2"/>
        <v/>
      </c>
      <c r="H4701" s="94" t="str">
        <f t="shared" si="3"/>
        <v/>
      </c>
      <c r="I4701" s="94" t="str">
        <f t="shared" ref="I4701:J4701" si="4702">if(G4701 = "", , -G4701)</f>
        <v/>
      </c>
      <c r="J4701" s="94" t="str">
        <f t="shared" si="4702"/>
        <v/>
      </c>
      <c r="K4701" s="100"/>
      <c r="M4701" s="100"/>
      <c r="N4701" s="100"/>
      <c r="O4701" s="100"/>
      <c r="P4701" s="100"/>
    </row>
    <row r="4702">
      <c r="A4702" s="107">
        <v>1628998.0</v>
      </c>
      <c r="B4702" s="108" t="s">
        <v>246</v>
      </c>
      <c r="C4702" s="108" t="s">
        <v>1130</v>
      </c>
      <c r="D4702" s="112" t="s">
        <v>176</v>
      </c>
      <c r="E4702" s="112">
        <v>1171.3</v>
      </c>
      <c r="F4702" s="111" t="str">
        <f>DataPull!D4702</f>
        <v/>
      </c>
      <c r="G4702" s="94" t="str">
        <f t="shared" si="2"/>
        <v/>
      </c>
      <c r="H4702" s="94" t="str">
        <f t="shared" si="3"/>
        <v/>
      </c>
      <c r="I4702" s="94" t="str">
        <f t="shared" ref="I4702:J4702" si="4703">if(G4702 = "", , -G4702)</f>
        <v/>
      </c>
      <c r="J4702" s="94" t="str">
        <f t="shared" si="4703"/>
        <v/>
      </c>
      <c r="K4702" s="100"/>
      <c r="M4702" s="100"/>
      <c r="N4702" s="100"/>
      <c r="O4702" s="100"/>
      <c r="P4702" s="100"/>
    </row>
    <row r="4703">
      <c r="A4703" s="114">
        <v>1628998.0</v>
      </c>
      <c r="B4703" s="113" t="s">
        <v>247</v>
      </c>
      <c r="C4703" s="113" t="s">
        <v>1130</v>
      </c>
      <c r="D4703" s="112" t="s">
        <v>181</v>
      </c>
      <c r="E4703" s="112">
        <v>55.2</v>
      </c>
      <c r="F4703" s="111" t="str">
        <f>DataPull!D4703</f>
        <v/>
      </c>
      <c r="G4703" s="94" t="str">
        <f t="shared" si="2"/>
        <v/>
      </c>
      <c r="H4703" s="94" t="str">
        <f t="shared" si="3"/>
        <v/>
      </c>
      <c r="I4703" s="94" t="str">
        <f t="shared" ref="I4703:J4703" si="4704">if(G4703 = "", , -G4703)</f>
        <v/>
      </c>
      <c r="J4703" s="94" t="str">
        <f t="shared" si="4704"/>
        <v/>
      </c>
      <c r="K4703" s="100"/>
      <c r="M4703" s="100"/>
      <c r="N4703" s="100"/>
      <c r="O4703" s="100"/>
      <c r="P4703" s="100"/>
    </row>
    <row r="4704">
      <c r="A4704" s="107">
        <v>1628999.0</v>
      </c>
      <c r="B4704" s="108" t="s">
        <v>192</v>
      </c>
      <c r="C4704" s="108" t="s">
        <v>1131</v>
      </c>
      <c r="D4704" s="112" t="s">
        <v>181</v>
      </c>
      <c r="E4704" s="112">
        <v>13.0</v>
      </c>
      <c r="F4704" s="111" t="str">
        <f>DataPull!D4704</f>
        <v/>
      </c>
      <c r="G4704" s="94" t="str">
        <f t="shared" si="2"/>
        <v/>
      </c>
      <c r="H4704" s="94" t="str">
        <f t="shared" si="3"/>
        <v/>
      </c>
      <c r="I4704" s="94" t="str">
        <f t="shared" ref="I4704:J4704" si="4705">if(G4704 = "", , -G4704)</f>
        <v/>
      </c>
      <c r="J4704" s="94" t="str">
        <f t="shared" si="4705"/>
        <v/>
      </c>
      <c r="K4704" s="100"/>
      <c r="M4704" s="100"/>
      <c r="N4704" s="100"/>
      <c r="O4704" s="100"/>
      <c r="P4704" s="100"/>
    </row>
    <row r="4705">
      <c r="A4705" s="107">
        <v>1629001.0</v>
      </c>
      <c r="B4705" s="108" t="s">
        <v>192</v>
      </c>
      <c r="C4705" s="108" t="s">
        <v>1132</v>
      </c>
      <c r="D4705" s="112" t="s">
        <v>177</v>
      </c>
      <c r="E4705" s="112">
        <v>985.0</v>
      </c>
      <c r="F4705" s="111" t="str">
        <f>DataPull!D4705</f>
        <v/>
      </c>
      <c r="G4705" s="94" t="str">
        <f t="shared" si="2"/>
        <v/>
      </c>
      <c r="H4705" s="94" t="str">
        <f t="shared" si="3"/>
        <v/>
      </c>
      <c r="I4705" s="94" t="str">
        <f t="shared" ref="I4705:J4705" si="4706">if(G4705 = "", , -G4705)</f>
        <v/>
      </c>
      <c r="J4705" s="94" t="str">
        <f t="shared" si="4706"/>
        <v/>
      </c>
      <c r="K4705" s="100"/>
      <c r="M4705" s="100"/>
      <c r="N4705" s="100"/>
      <c r="O4705" s="100"/>
      <c r="P4705" s="100"/>
    </row>
    <row r="4706">
      <c r="A4706" s="107">
        <v>1629001.0</v>
      </c>
      <c r="B4706" s="108" t="s">
        <v>193</v>
      </c>
      <c r="C4706" s="108" t="s">
        <v>1132</v>
      </c>
      <c r="D4706" s="112" t="s">
        <v>176</v>
      </c>
      <c r="E4706" s="112">
        <v>1170.0</v>
      </c>
      <c r="F4706" s="111" t="str">
        <f>DataPull!D4706</f>
        <v/>
      </c>
      <c r="G4706" s="94" t="str">
        <f t="shared" si="2"/>
        <v/>
      </c>
      <c r="H4706" s="94" t="str">
        <f t="shared" si="3"/>
        <v/>
      </c>
      <c r="I4706" s="94" t="str">
        <f t="shared" ref="I4706:J4706" si="4707">if(G4706 = "", , -G4706)</f>
        <v/>
      </c>
      <c r="J4706" s="94" t="str">
        <f t="shared" si="4707"/>
        <v/>
      </c>
      <c r="K4706" s="100"/>
      <c r="M4706" s="100"/>
      <c r="N4706" s="100"/>
      <c r="O4706" s="100"/>
      <c r="P4706" s="100"/>
    </row>
    <row r="4707">
      <c r="A4707" s="107">
        <v>1629001.0</v>
      </c>
      <c r="B4707" s="108" t="s">
        <v>243</v>
      </c>
      <c r="C4707" s="108" t="s">
        <v>1132</v>
      </c>
      <c r="D4707" s="112" t="s">
        <v>176</v>
      </c>
      <c r="E4707" s="112">
        <v>1045.2</v>
      </c>
      <c r="F4707" s="111" t="str">
        <f>DataPull!D4707</f>
        <v/>
      </c>
      <c r="G4707" s="94" t="str">
        <f t="shared" si="2"/>
        <v/>
      </c>
      <c r="H4707" s="94" t="str">
        <f t="shared" si="3"/>
        <v/>
      </c>
      <c r="I4707" s="94" t="str">
        <f t="shared" ref="I4707:J4707" si="4708">if(G4707 = "", , -G4707)</f>
        <v/>
      </c>
      <c r="J4707" s="94" t="str">
        <f t="shared" si="4708"/>
        <v/>
      </c>
      <c r="K4707" s="100"/>
      <c r="M4707" s="100"/>
      <c r="N4707" s="100"/>
      <c r="P4707" s="100"/>
    </row>
    <row r="4708">
      <c r="A4708" s="107">
        <v>1629001.0</v>
      </c>
      <c r="B4708" s="108" t="s">
        <v>215</v>
      </c>
      <c r="C4708" s="108" t="s">
        <v>1132</v>
      </c>
      <c r="D4708" s="112" t="s">
        <v>176</v>
      </c>
      <c r="E4708" s="112">
        <v>1657.1</v>
      </c>
      <c r="F4708" s="111" t="str">
        <f>DataPull!D4708</f>
        <v/>
      </c>
      <c r="G4708" s="94" t="str">
        <f t="shared" si="2"/>
        <v/>
      </c>
      <c r="H4708" s="94" t="str">
        <f t="shared" si="3"/>
        <v/>
      </c>
      <c r="I4708" s="94" t="str">
        <f t="shared" ref="I4708:J4708" si="4709">if(G4708 = "", , -G4708)</f>
        <v/>
      </c>
      <c r="J4708" s="94" t="str">
        <f t="shared" si="4709"/>
        <v/>
      </c>
      <c r="K4708" s="100"/>
      <c r="M4708" s="100"/>
      <c r="N4708" s="100"/>
      <c r="O4708" s="100"/>
      <c r="P4708" s="100"/>
    </row>
    <row r="4709">
      <c r="A4709" s="107">
        <v>1629001.0</v>
      </c>
      <c r="B4709" s="108" t="s">
        <v>244</v>
      </c>
      <c r="C4709" s="108" t="s">
        <v>1132</v>
      </c>
      <c r="D4709" s="112" t="s">
        <v>178</v>
      </c>
      <c r="E4709" s="112">
        <v>2148.3</v>
      </c>
      <c r="F4709" s="111" t="str">
        <f>DataPull!D4709</f>
        <v/>
      </c>
      <c r="G4709" s="94" t="str">
        <f t="shared" si="2"/>
        <v/>
      </c>
      <c r="H4709" s="94" t="str">
        <f t="shared" si="3"/>
        <v/>
      </c>
      <c r="I4709" s="94" t="str">
        <f t="shared" ref="I4709:J4709" si="4710">if(G4709 = "", , -G4709)</f>
        <v/>
      </c>
      <c r="J4709" s="94" t="str">
        <f t="shared" si="4710"/>
        <v/>
      </c>
      <c r="K4709" s="100"/>
      <c r="M4709" s="100"/>
      <c r="N4709" s="100"/>
      <c r="O4709" s="100"/>
      <c r="P4709" s="100"/>
    </row>
    <row r="4710">
      <c r="A4710" s="107">
        <v>1629001.0</v>
      </c>
      <c r="B4710" s="108" t="s">
        <v>245</v>
      </c>
      <c r="C4710" s="108" t="s">
        <v>1132</v>
      </c>
      <c r="D4710" s="112" t="s">
        <v>176</v>
      </c>
      <c r="E4710" s="112">
        <v>1022.2</v>
      </c>
      <c r="F4710" s="111" t="str">
        <f>DataPull!D4710</f>
        <v/>
      </c>
      <c r="G4710" s="94" t="str">
        <f t="shared" si="2"/>
        <v/>
      </c>
      <c r="H4710" s="94" t="str">
        <f t="shared" si="3"/>
        <v/>
      </c>
      <c r="I4710" s="94" t="str">
        <f t="shared" ref="I4710:J4710" si="4711">if(G4710 = "", , -G4710)</f>
        <v/>
      </c>
      <c r="J4710" s="94" t="str">
        <f t="shared" si="4711"/>
        <v/>
      </c>
      <c r="K4710" s="100"/>
      <c r="M4710" s="100"/>
      <c r="N4710" s="100"/>
      <c r="O4710" s="100"/>
      <c r="P4710" s="100"/>
    </row>
    <row r="4711">
      <c r="A4711" s="107">
        <v>1629001.0</v>
      </c>
      <c r="B4711" s="108" t="s">
        <v>246</v>
      </c>
      <c r="C4711" s="108" t="s">
        <v>1132</v>
      </c>
      <c r="D4711" s="112" t="s">
        <v>181</v>
      </c>
      <c r="E4711" s="112">
        <v>121.2</v>
      </c>
      <c r="F4711" s="111" t="str">
        <f>DataPull!D4711</f>
        <v/>
      </c>
      <c r="G4711" s="94" t="str">
        <f t="shared" si="2"/>
        <v/>
      </c>
      <c r="H4711" s="94" t="str">
        <f t="shared" si="3"/>
        <v/>
      </c>
      <c r="I4711" s="94" t="str">
        <f t="shared" ref="I4711:J4711" si="4712">if(G4711 = "", , -G4711)</f>
        <v/>
      </c>
      <c r="J4711" s="94" t="str">
        <f t="shared" si="4712"/>
        <v/>
      </c>
      <c r="K4711" s="100"/>
      <c r="L4711" s="100"/>
      <c r="M4711" s="100"/>
      <c r="N4711" s="100"/>
      <c r="O4711" s="100"/>
      <c r="P4711" s="100"/>
    </row>
    <row r="4712">
      <c r="A4712" s="89">
        <v>1629001.0</v>
      </c>
      <c r="B4712" s="113" t="s">
        <v>247</v>
      </c>
      <c r="C4712" s="113" t="s">
        <v>1132</v>
      </c>
      <c r="D4712" s="112" t="s">
        <v>176</v>
      </c>
      <c r="E4712" s="112">
        <v>1127.0</v>
      </c>
      <c r="F4712" s="111" t="str">
        <f>DataPull!D4712</f>
        <v/>
      </c>
      <c r="G4712" s="94" t="str">
        <f t="shared" si="2"/>
        <v/>
      </c>
      <c r="H4712" s="94" t="str">
        <f t="shared" si="3"/>
        <v/>
      </c>
      <c r="I4712" s="94" t="str">
        <f t="shared" ref="I4712:J4712" si="4713">if(G4712 = "", , -G4712)</f>
        <v/>
      </c>
      <c r="J4712" s="94" t="str">
        <f t="shared" si="4713"/>
        <v/>
      </c>
      <c r="K4712" s="100"/>
      <c r="L4712" s="100"/>
      <c r="N4712" s="100"/>
      <c r="O4712" s="100"/>
    </row>
    <row r="4713">
      <c r="A4713" s="107">
        <v>1629002.0</v>
      </c>
      <c r="B4713" s="108" t="s">
        <v>192</v>
      </c>
      <c r="C4713" s="108" t="s">
        <v>1133</v>
      </c>
      <c r="D4713" s="112" t="s">
        <v>187</v>
      </c>
      <c r="E4713" s="112">
        <v>145.0</v>
      </c>
      <c r="F4713" s="111" t="str">
        <f>DataPull!D4713</f>
        <v/>
      </c>
      <c r="G4713" s="94" t="str">
        <f t="shared" si="2"/>
        <v/>
      </c>
      <c r="H4713" s="94" t="str">
        <f t="shared" si="3"/>
        <v/>
      </c>
      <c r="I4713" s="94" t="str">
        <f t="shared" ref="I4713:J4713" si="4714">if(G4713 = "", , -G4713)</f>
        <v/>
      </c>
      <c r="J4713" s="94" t="str">
        <f t="shared" si="4714"/>
        <v/>
      </c>
      <c r="K4713" s="100"/>
      <c r="L4713" s="100"/>
      <c r="N4713" s="100"/>
      <c r="O4713" s="100"/>
      <c r="P4713" s="100"/>
    </row>
    <row r="4714">
      <c r="A4714" s="107">
        <v>1629002.0</v>
      </c>
      <c r="B4714" s="108" t="s">
        <v>193</v>
      </c>
      <c r="C4714" s="108" t="s">
        <v>1133</v>
      </c>
      <c r="D4714" s="112" t="s">
        <v>187</v>
      </c>
      <c r="E4714" s="112">
        <v>104.4</v>
      </c>
      <c r="F4714" s="111" t="str">
        <f>DataPull!D4714</f>
        <v/>
      </c>
      <c r="G4714" s="94" t="str">
        <f t="shared" si="2"/>
        <v/>
      </c>
      <c r="H4714" s="94" t="str">
        <f t="shared" si="3"/>
        <v/>
      </c>
      <c r="I4714" s="94" t="str">
        <f t="shared" ref="I4714:J4714" si="4715">if(G4714 = "", , -G4714)</f>
        <v/>
      </c>
      <c r="J4714" s="94" t="str">
        <f t="shared" si="4715"/>
        <v/>
      </c>
      <c r="K4714" s="100"/>
      <c r="M4714" s="100"/>
      <c r="N4714" s="100"/>
      <c r="O4714" s="100"/>
      <c r="P4714" s="100"/>
    </row>
    <row r="4715">
      <c r="A4715" s="107">
        <v>1629002.0</v>
      </c>
      <c r="B4715" s="108" t="s">
        <v>243</v>
      </c>
      <c r="C4715" s="108" t="s">
        <v>1133</v>
      </c>
      <c r="D4715" s="112" t="s">
        <v>177</v>
      </c>
      <c r="E4715" s="112">
        <v>489.6</v>
      </c>
      <c r="F4715" s="111" t="str">
        <f>DataPull!D4715</f>
        <v/>
      </c>
      <c r="G4715" s="94" t="str">
        <f t="shared" si="2"/>
        <v/>
      </c>
      <c r="H4715" s="94" t="str">
        <f t="shared" si="3"/>
        <v/>
      </c>
      <c r="I4715" s="94" t="str">
        <f t="shared" ref="I4715:J4715" si="4716">if(G4715 = "", , -G4715)</f>
        <v/>
      </c>
      <c r="J4715" s="94" t="str">
        <f t="shared" si="4716"/>
        <v/>
      </c>
      <c r="K4715" s="100"/>
      <c r="M4715" s="100"/>
      <c r="N4715" s="100"/>
      <c r="O4715" s="100"/>
      <c r="P4715" s="100"/>
    </row>
    <row r="4716">
      <c r="A4716" s="107">
        <v>1629002.0</v>
      </c>
      <c r="B4716" s="108" t="s">
        <v>215</v>
      </c>
      <c r="C4716" s="108" t="s">
        <v>1133</v>
      </c>
      <c r="D4716" s="112" t="s">
        <v>176</v>
      </c>
      <c r="E4716" s="112">
        <v>1278.0</v>
      </c>
      <c r="F4716" s="111" t="str">
        <f>DataPull!D4716</f>
        <v/>
      </c>
      <c r="G4716" s="94" t="str">
        <f t="shared" si="2"/>
        <v/>
      </c>
      <c r="H4716" s="94" t="str">
        <f t="shared" si="3"/>
        <v/>
      </c>
      <c r="I4716" s="94" t="str">
        <f t="shared" ref="I4716:J4716" si="4717">if(G4716 = "", , -G4716)</f>
        <v/>
      </c>
      <c r="J4716" s="94" t="str">
        <f t="shared" si="4717"/>
        <v/>
      </c>
      <c r="K4716" s="100"/>
      <c r="M4716" s="100"/>
      <c r="N4716" s="100"/>
      <c r="O4716" s="100"/>
      <c r="P4716" s="100"/>
    </row>
    <row r="4717">
      <c r="A4717" s="107">
        <v>1629002.0</v>
      </c>
      <c r="B4717" s="108" t="s">
        <v>244</v>
      </c>
      <c r="C4717" s="108" t="s">
        <v>1133</v>
      </c>
      <c r="D4717" s="112" t="s">
        <v>187</v>
      </c>
      <c r="E4717" s="112">
        <v>686.4</v>
      </c>
      <c r="F4717" s="111" t="str">
        <f>DataPull!D4717</f>
        <v/>
      </c>
      <c r="G4717" s="94" t="str">
        <f t="shared" si="2"/>
        <v/>
      </c>
      <c r="H4717" s="94" t="str">
        <f t="shared" si="3"/>
        <v/>
      </c>
      <c r="I4717" s="94" t="str">
        <f t="shared" ref="I4717:J4717" si="4718">if(G4717 = "", , -G4717)</f>
        <v/>
      </c>
      <c r="J4717" s="94" t="str">
        <f t="shared" si="4718"/>
        <v/>
      </c>
      <c r="K4717" s="100"/>
      <c r="M4717" s="100"/>
      <c r="N4717" s="100"/>
      <c r="O4717" s="100"/>
      <c r="P4717" s="100"/>
    </row>
    <row r="4718">
      <c r="A4718" s="107">
        <v>1629002.0</v>
      </c>
      <c r="B4718" s="108" t="s">
        <v>245</v>
      </c>
      <c r="C4718" s="108" t="s">
        <v>1133</v>
      </c>
      <c r="D4718" s="112" t="s">
        <v>177</v>
      </c>
      <c r="E4718" s="112">
        <v>856.8</v>
      </c>
      <c r="F4718" s="111" t="str">
        <f>DataPull!D4718</f>
        <v/>
      </c>
      <c r="G4718" s="94" t="str">
        <f t="shared" si="2"/>
        <v/>
      </c>
      <c r="H4718" s="94" t="str">
        <f t="shared" si="3"/>
        <v/>
      </c>
      <c r="I4718" s="94" t="str">
        <f t="shared" ref="I4718:J4718" si="4719">if(G4718 = "", , -G4718)</f>
        <v/>
      </c>
      <c r="J4718" s="94" t="str">
        <f t="shared" si="4719"/>
        <v/>
      </c>
      <c r="K4718" s="100"/>
      <c r="M4718" s="100"/>
      <c r="N4718" s="100"/>
      <c r="O4718" s="100"/>
      <c r="P4718" s="100"/>
    </row>
    <row r="4719">
      <c r="A4719" s="107">
        <v>1629003.0</v>
      </c>
      <c r="B4719" s="108" t="s">
        <v>192</v>
      </c>
      <c r="C4719" s="108" t="s">
        <v>1134</v>
      </c>
      <c r="D4719" s="112" t="s">
        <v>187</v>
      </c>
      <c r="E4719" s="112">
        <v>268.0</v>
      </c>
      <c r="F4719" s="111" t="str">
        <f>DataPull!D4719</f>
        <v/>
      </c>
      <c r="G4719" s="94" t="str">
        <f t="shared" si="2"/>
        <v/>
      </c>
      <c r="H4719" s="94" t="str">
        <f t="shared" si="3"/>
        <v/>
      </c>
      <c r="I4719" s="94" t="str">
        <f t="shared" ref="I4719:J4719" si="4720">if(G4719 = "", , -G4719)</f>
        <v/>
      </c>
      <c r="J4719" s="94" t="str">
        <f t="shared" si="4720"/>
        <v/>
      </c>
      <c r="K4719" s="100"/>
      <c r="L4719" s="100"/>
      <c r="N4719" s="100"/>
      <c r="O4719" s="100"/>
      <c r="P4719" s="100"/>
    </row>
    <row r="4720">
      <c r="A4720" s="107">
        <v>1629003.0</v>
      </c>
      <c r="B4720" s="108" t="s">
        <v>193</v>
      </c>
      <c r="C4720" s="108" t="s">
        <v>1134</v>
      </c>
      <c r="D4720" s="112" t="s">
        <v>177</v>
      </c>
      <c r="E4720" s="112">
        <v>804.0</v>
      </c>
      <c r="F4720" s="111" t="str">
        <f>DataPull!D4720</f>
        <v/>
      </c>
      <c r="G4720" s="94" t="str">
        <f t="shared" si="2"/>
        <v/>
      </c>
      <c r="H4720" s="94" t="str">
        <f t="shared" si="3"/>
        <v/>
      </c>
      <c r="I4720" s="94" t="str">
        <f t="shared" ref="I4720:J4720" si="4721">if(G4720 = "", , -G4720)</f>
        <v/>
      </c>
      <c r="J4720" s="94" t="str">
        <f t="shared" si="4721"/>
        <v/>
      </c>
      <c r="K4720" s="100"/>
      <c r="N4720" s="100"/>
      <c r="O4720" s="100"/>
      <c r="P4720" s="100"/>
    </row>
    <row r="4721">
      <c r="A4721" s="107">
        <v>1629003.0</v>
      </c>
      <c r="B4721" s="108" t="s">
        <v>243</v>
      </c>
      <c r="C4721" s="108" t="s">
        <v>1134</v>
      </c>
      <c r="D4721" s="112" t="s">
        <v>176</v>
      </c>
      <c r="E4721" s="112">
        <v>1461.6</v>
      </c>
      <c r="F4721" s="111" t="str">
        <f>DataPull!D4721</f>
        <v/>
      </c>
      <c r="G4721" s="94" t="str">
        <f t="shared" si="2"/>
        <v/>
      </c>
      <c r="H4721" s="94" t="str">
        <f t="shared" si="3"/>
        <v/>
      </c>
      <c r="I4721" s="94" t="str">
        <f t="shared" ref="I4721:J4721" si="4722">if(G4721 = "", , -G4721)</f>
        <v/>
      </c>
      <c r="J4721" s="94" t="str">
        <f t="shared" si="4722"/>
        <v/>
      </c>
      <c r="K4721" s="100"/>
      <c r="M4721" s="100"/>
      <c r="N4721" s="100"/>
      <c r="O4721" s="100"/>
      <c r="P4721" s="100"/>
    </row>
    <row r="4722">
      <c r="A4722" s="107">
        <v>1629003.0</v>
      </c>
      <c r="B4722" s="108" t="s">
        <v>215</v>
      </c>
      <c r="C4722" s="108" t="s">
        <v>1134</v>
      </c>
      <c r="D4722" s="112" t="s">
        <v>177</v>
      </c>
      <c r="E4722" s="112">
        <v>1177.0</v>
      </c>
      <c r="F4722" s="111" t="str">
        <f>DataPull!D4722</f>
        <v/>
      </c>
      <c r="G4722" s="94" t="str">
        <f t="shared" si="2"/>
        <v/>
      </c>
      <c r="H4722" s="94" t="str">
        <f t="shared" si="3"/>
        <v/>
      </c>
      <c r="I4722" s="94" t="str">
        <f t="shared" ref="I4722:J4722" si="4723">if(G4722 = "", , -G4722)</f>
        <v/>
      </c>
      <c r="J4722" s="94" t="str">
        <f t="shared" si="4723"/>
        <v/>
      </c>
      <c r="K4722" s="100"/>
      <c r="M4722" s="100"/>
      <c r="N4722" s="100"/>
      <c r="O4722" s="100"/>
      <c r="P4722" s="100"/>
    </row>
    <row r="4723">
      <c r="A4723" s="107">
        <v>1629003.0</v>
      </c>
      <c r="B4723" s="108" t="s">
        <v>244</v>
      </c>
      <c r="C4723" s="108" t="s">
        <v>1134</v>
      </c>
      <c r="D4723" s="112" t="s">
        <v>176</v>
      </c>
      <c r="E4723" s="112">
        <v>1565.6</v>
      </c>
      <c r="F4723" s="111" t="str">
        <f>DataPull!D4723</f>
        <v/>
      </c>
      <c r="G4723" s="94" t="str">
        <f t="shared" si="2"/>
        <v/>
      </c>
      <c r="H4723" s="94" t="str">
        <f t="shared" si="3"/>
        <v/>
      </c>
      <c r="I4723" s="94" t="str">
        <f t="shared" ref="I4723:J4723" si="4724">if(G4723 = "", , -G4723)</f>
        <v/>
      </c>
      <c r="J4723" s="94" t="str">
        <f t="shared" si="4724"/>
        <v/>
      </c>
      <c r="K4723" s="100"/>
      <c r="M4723" s="100"/>
      <c r="N4723" s="100"/>
      <c r="O4723" s="100"/>
      <c r="P4723" s="100"/>
    </row>
    <row r="4724">
      <c r="A4724" s="107">
        <v>1629003.0</v>
      </c>
      <c r="B4724" s="108" t="s">
        <v>245</v>
      </c>
      <c r="C4724" s="108" t="s">
        <v>1134</v>
      </c>
      <c r="D4724" s="112" t="s">
        <v>177</v>
      </c>
      <c r="E4724" s="112">
        <v>580.8</v>
      </c>
      <c r="F4724" s="111" t="str">
        <f>DataPull!D4724</f>
        <v/>
      </c>
      <c r="G4724" s="94" t="str">
        <f t="shared" si="2"/>
        <v/>
      </c>
      <c r="H4724" s="94" t="str">
        <f t="shared" si="3"/>
        <v/>
      </c>
      <c r="I4724" s="94" t="str">
        <f t="shared" ref="I4724:J4724" si="4725">if(G4724 = "", , -G4724)</f>
        <v/>
      </c>
      <c r="J4724" s="94" t="str">
        <f t="shared" si="4725"/>
        <v/>
      </c>
      <c r="K4724" s="100"/>
      <c r="L4724" s="100"/>
      <c r="N4724" s="100"/>
      <c r="O4724" s="100"/>
    </row>
    <row r="4725">
      <c r="A4725" s="107">
        <v>1629003.0</v>
      </c>
      <c r="B4725" s="108" t="s">
        <v>246</v>
      </c>
      <c r="C4725" s="108" t="s">
        <v>1134</v>
      </c>
      <c r="D4725" s="112" t="s">
        <v>177</v>
      </c>
      <c r="E4725" s="112">
        <v>837.9</v>
      </c>
      <c r="F4725" s="111" t="str">
        <f>DataPull!D4725</f>
        <v/>
      </c>
      <c r="G4725" s="94" t="str">
        <f t="shared" si="2"/>
        <v/>
      </c>
      <c r="H4725" s="94" t="str">
        <f t="shared" si="3"/>
        <v/>
      </c>
      <c r="I4725" s="94" t="str">
        <f t="shared" ref="I4725:J4725" si="4726">if(G4725 = "", , -G4725)</f>
        <v/>
      </c>
      <c r="J4725" s="94" t="str">
        <f t="shared" si="4726"/>
        <v/>
      </c>
      <c r="K4725" s="100"/>
      <c r="L4725" s="100"/>
      <c r="M4725" s="100"/>
      <c r="N4725" s="100"/>
      <c r="O4725" s="100"/>
      <c r="P4725" s="100"/>
    </row>
    <row r="4726">
      <c r="A4726" s="107">
        <v>1629004.0</v>
      </c>
      <c r="B4726" s="108" t="s">
        <v>192</v>
      </c>
      <c r="C4726" s="108" t="s">
        <v>1135</v>
      </c>
      <c r="D4726" s="112" t="s">
        <v>187</v>
      </c>
      <c r="E4726" s="112">
        <v>441.0</v>
      </c>
      <c r="F4726" s="111" t="str">
        <f>DataPull!D4726</f>
        <v/>
      </c>
      <c r="G4726" s="94" t="str">
        <f t="shared" si="2"/>
        <v/>
      </c>
      <c r="H4726" s="94" t="str">
        <f t="shared" si="3"/>
        <v/>
      </c>
      <c r="I4726" s="94" t="str">
        <f t="shared" ref="I4726:J4726" si="4727">if(G4726 = "", , -G4726)</f>
        <v/>
      </c>
      <c r="J4726" s="94" t="str">
        <f t="shared" si="4727"/>
        <v/>
      </c>
      <c r="K4726" s="100"/>
      <c r="L4726" s="100"/>
      <c r="M4726" s="100"/>
      <c r="N4726" s="100"/>
      <c r="O4726" s="100"/>
      <c r="P4726" s="100"/>
    </row>
    <row r="4727">
      <c r="A4727" s="107">
        <v>1629004.0</v>
      </c>
      <c r="B4727" s="108" t="s">
        <v>193</v>
      </c>
      <c r="C4727" s="108" t="s">
        <v>1135</v>
      </c>
      <c r="D4727" s="112" t="s">
        <v>176</v>
      </c>
      <c r="E4727" s="112">
        <v>1265.6</v>
      </c>
      <c r="F4727" s="111" t="str">
        <f>DataPull!D4727</f>
        <v/>
      </c>
      <c r="G4727" s="94" t="str">
        <f t="shared" si="2"/>
        <v/>
      </c>
      <c r="H4727" s="94" t="str">
        <f t="shared" si="3"/>
        <v/>
      </c>
      <c r="I4727" s="94" t="str">
        <f t="shared" ref="I4727:J4727" si="4728">if(G4727 = "", , -G4727)</f>
        <v/>
      </c>
      <c r="J4727" s="94" t="str">
        <f t="shared" si="4728"/>
        <v/>
      </c>
      <c r="N4727" s="100"/>
      <c r="O4727" s="100"/>
      <c r="P4727" s="100"/>
    </row>
    <row r="4728">
      <c r="A4728" s="107">
        <v>1629004.0</v>
      </c>
      <c r="B4728" s="108" t="s">
        <v>243</v>
      </c>
      <c r="C4728" s="108" t="s">
        <v>1135</v>
      </c>
      <c r="D4728" s="112" t="s">
        <v>177</v>
      </c>
      <c r="E4728" s="112">
        <v>1326.6</v>
      </c>
      <c r="F4728" s="111" t="str">
        <f>DataPull!D4728</f>
        <v/>
      </c>
      <c r="G4728" s="94" t="str">
        <f t="shared" si="2"/>
        <v/>
      </c>
      <c r="H4728" s="94" t="str">
        <f t="shared" si="3"/>
        <v/>
      </c>
      <c r="I4728" s="94" t="str">
        <f t="shared" ref="I4728:J4728" si="4729">if(G4728 = "", , -G4728)</f>
        <v/>
      </c>
      <c r="J4728" s="94" t="str">
        <f t="shared" si="4729"/>
        <v/>
      </c>
      <c r="K4728" s="100"/>
      <c r="L4728" s="100"/>
      <c r="M4728" s="100"/>
      <c r="N4728" s="100"/>
      <c r="O4728" s="100"/>
      <c r="P4728" s="100"/>
    </row>
    <row r="4729">
      <c r="A4729" s="107">
        <v>1629004.0</v>
      </c>
      <c r="B4729" s="108" t="s">
        <v>215</v>
      </c>
      <c r="C4729" s="108" t="s">
        <v>1135</v>
      </c>
      <c r="D4729" s="112" t="s">
        <v>187</v>
      </c>
      <c r="E4729" s="112">
        <v>716.8</v>
      </c>
      <c r="F4729" s="111" t="str">
        <f>DataPull!D4729</f>
        <v/>
      </c>
      <c r="G4729" s="94" t="str">
        <f t="shared" si="2"/>
        <v/>
      </c>
      <c r="H4729" s="94" t="str">
        <f t="shared" si="3"/>
        <v/>
      </c>
      <c r="I4729" s="94" t="str">
        <f t="shared" ref="I4729:J4729" si="4730">if(G4729 = "", , -G4729)</f>
        <v/>
      </c>
      <c r="J4729" s="94" t="str">
        <f t="shared" si="4730"/>
        <v/>
      </c>
      <c r="K4729" s="100"/>
      <c r="L4729" s="100"/>
      <c r="N4729" s="100"/>
      <c r="O4729" s="100"/>
      <c r="P4729" s="100"/>
    </row>
    <row r="4730">
      <c r="A4730" s="107">
        <v>1629004.0</v>
      </c>
      <c r="B4730" s="108" t="s">
        <v>244</v>
      </c>
      <c r="C4730" s="108" t="s">
        <v>1135</v>
      </c>
      <c r="D4730" s="112" t="s">
        <v>176</v>
      </c>
      <c r="E4730" s="112">
        <v>467.2</v>
      </c>
      <c r="F4730" s="111" t="str">
        <f>DataPull!D4730</f>
        <v/>
      </c>
      <c r="G4730" s="94" t="str">
        <f t="shared" si="2"/>
        <v/>
      </c>
      <c r="H4730" s="94" t="str">
        <f t="shared" si="3"/>
        <v/>
      </c>
      <c r="I4730" s="94" t="str">
        <f t="shared" ref="I4730:J4730" si="4731">if(G4730 = "", , -G4730)</f>
        <v/>
      </c>
      <c r="J4730" s="94" t="str">
        <f t="shared" si="4731"/>
        <v/>
      </c>
      <c r="K4730" s="100"/>
      <c r="M4730" s="100"/>
      <c r="N4730" s="100"/>
      <c r="O4730" s="100"/>
      <c r="P4730" s="100"/>
    </row>
    <row r="4731">
      <c r="A4731" s="107">
        <v>1629004.0</v>
      </c>
      <c r="B4731" s="108" t="s">
        <v>245</v>
      </c>
      <c r="C4731" s="108" t="s">
        <v>1135</v>
      </c>
      <c r="D4731" s="112" t="s">
        <v>177</v>
      </c>
      <c r="E4731" s="112">
        <v>414.1</v>
      </c>
      <c r="F4731" s="111" t="str">
        <f>DataPull!D4731</f>
        <v/>
      </c>
      <c r="G4731" s="94" t="str">
        <f t="shared" si="2"/>
        <v/>
      </c>
      <c r="H4731" s="94" t="str">
        <f t="shared" si="3"/>
        <v/>
      </c>
      <c r="I4731" s="94" t="str">
        <f t="shared" ref="I4731:J4731" si="4732">if(G4731 = "", , -G4731)</f>
        <v/>
      </c>
      <c r="J4731" s="94" t="str">
        <f t="shared" si="4732"/>
        <v/>
      </c>
      <c r="K4731" s="100"/>
      <c r="M4731" s="100"/>
      <c r="N4731" s="100"/>
      <c r="O4731" s="100"/>
      <c r="P4731" s="100"/>
    </row>
    <row r="4732">
      <c r="A4732" s="107">
        <v>1629004.0</v>
      </c>
      <c r="B4732" s="108" t="s">
        <v>246</v>
      </c>
      <c r="C4732" s="108" t="s">
        <v>1135</v>
      </c>
      <c r="D4732" s="112" t="s">
        <v>176</v>
      </c>
      <c r="E4732" s="112">
        <v>760.0</v>
      </c>
      <c r="F4732" s="111" t="str">
        <f>DataPull!D4732</f>
        <v/>
      </c>
      <c r="G4732" s="94" t="str">
        <f t="shared" si="2"/>
        <v/>
      </c>
      <c r="H4732" s="94" t="str">
        <f t="shared" si="3"/>
        <v/>
      </c>
      <c r="I4732" s="94" t="str">
        <f t="shared" ref="I4732:J4732" si="4733">if(G4732 = "", , -G4732)</f>
        <v/>
      </c>
      <c r="J4732" s="94" t="str">
        <f t="shared" si="4733"/>
        <v/>
      </c>
      <c r="K4732" s="100"/>
      <c r="M4732" s="100"/>
      <c r="N4732" s="100"/>
      <c r="O4732" s="100"/>
      <c r="P4732" s="100"/>
    </row>
    <row r="4733">
      <c r="A4733" s="114">
        <v>1629004.0</v>
      </c>
      <c r="B4733" s="113" t="s">
        <v>247</v>
      </c>
      <c r="C4733" s="113" t="s">
        <v>1135</v>
      </c>
      <c r="D4733" s="112" t="s">
        <v>176</v>
      </c>
      <c r="E4733" s="112">
        <v>1155.0</v>
      </c>
      <c r="F4733" s="111" t="str">
        <f>DataPull!D4733</f>
        <v/>
      </c>
      <c r="G4733" s="94" t="str">
        <f t="shared" si="2"/>
        <v/>
      </c>
      <c r="H4733" s="94" t="str">
        <f t="shared" si="3"/>
        <v/>
      </c>
      <c r="I4733" s="94" t="str">
        <f t="shared" ref="I4733:J4733" si="4734">if(G4733 = "", , -G4733)</f>
        <v/>
      </c>
      <c r="J4733" s="94" t="str">
        <f t="shared" si="4734"/>
        <v/>
      </c>
      <c r="K4733" s="100"/>
      <c r="M4733" s="100"/>
      <c r="N4733" s="100"/>
      <c r="O4733" s="100"/>
      <c r="P4733" s="100"/>
    </row>
    <row r="4734">
      <c r="A4734" s="107">
        <v>1629005.0</v>
      </c>
      <c r="B4734" s="108" t="s">
        <v>193</v>
      </c>
      <c r="C4734" s="108" t="s">
        <v>1136</v>
      </c>
      <c r="D4734" s="112" t="s">
        <v>181</v>
      </c>
      <c r="E4734" s="112">
        <v>3.7</v>
      </c>
      <c r="F4734" s="111" t="str">
        <f>DataPull!D4734</f>
        <v/>
      </c>
      <c r="G4734" s="94" t="str">
        <f t="shared" si="2"/>
        <v/>
      </c>
      <c r="H4734" s="94" t="str">
        <f t="shared" si="3"/>
        <v/>
      </c>
      <c r="I4734" s="94" t="str">
        <f t="shared" ref="I4734:J4734" si="4735">if(G4734 = "", , -G4734)</f>
        <v/>
      </c>
      <c r="J4734" s="94" t="str">
        <f t="shared" si="4735"/>
        <v/>
      </c>
      <c r="K4734" s="100"/>
      <c r="M4734" s="100"/>
      <c r="N4734" s="100"/>
      <c r="O4734" s="100"/>
      <c r="P4734" s="100"/>
    </row>
    <row r="4735">
      <c r="A4735" s="107">
        <v>1629005.0</v>
      </c>
      <c r="B4735" s="108" t="s">
        <v>215</v>
      </c>
      <c r="C4735" s="108" t="s">
        <v>1136</v>
      </c>
      <c r="D4735" s="112" t="s">
        <v>181</v>
      </c>
      <c r="E4735" s="112">
        <v>7.7</v>
      </c>
      <c r="F4735" s="111" t="str">
        <f>DataPull!D4735</f>
        <v/>
      </c>
      <c r="G4735" s="94" t="str">
        <f t="shared" si="2"/>
        <v/>
      </c>
      <c r="H4735" s="94" t="str">
        <f t="shared" si="3"/>
        <v/>
      </c>
      <c r="I4735" s="94" t="str">
        <f t="shared" ref="I4735:J4735" si="4736">if(G4735 = "", , -G4735)</f>
        <v/>
      </c>
      <c r="J4735" s="94" t="str">
        <f t="shared" si="4736"/>
        <v/>
      </c>
      <c r="K4735" s="100"/>
      <c r="M4735" s="100"/>
      <c r="N4735" s="100"/>
      <c r="O4735" s="100"/>
      <c r="P4735" s="100"/>
    </row>
    <row r="4736">
      <c r="A4736" s="107">
        <v>1629006.0</v>
      </c>
      <c r="B4736" s="108" t="s">
        <v>192</v>
      </c>
      <c r="C4736" s="108" t="s">
        <v>1137</v>
      </c>
      <c r="D4736" s="112" t="s">
        <v>176</v>
      </c>
      <c r="E4736" s="112">
        <v>1753.8</v>
      </c>
      <c r="F4736" s="111" t="str">
        <f>DataPull!D4736</f>
        <v/>
      </c>
      <c r="G4736" s="94" t="str">
        <f t="shared" si="2"/>
        <v/>
      </c>
      <c r="H4736" s="94" t="str">
        <f t="shared" si="3"/>
        <v/>
      </c>
      <c r="I4736" s="94" t="str">
        <f t="shared" ref="I4736:J4736" si="4737">if(G4736 = "", , -G4736)</f>
        <v/>
      </c>
      <c r="J4736" s="94" t="str">
        <f t="shared" si="4737"/>
        <v/>
      </c>
      <c r="K4736" s="100"/>
      <c r="L4736" s="100"/>
      <c r="N4736" s="100"/>
      <c r="O4736" s="100"/>
      <c r="P4736" s="100"/>
    </row>
    <row r="4737">
      <c r="A4737" s="107">
        <v>1629006.0</v>
      </c>
      <c r="B4737" s="108" t="s">
        <v>193</v>
      </c>
      <c r="C4737" s="108" t="s">
        <v>1137</v>
      </c>
      <c r="D4737" s="112" t="s">
        <v>176</v>
      </c>
      <c r="E4737" s="112">
        <v>1550.0</v>
      </c>
      <c r="F4737" s="111" t="str">
        <f>DataPull!D4737</f>
        <v/>
      </c>
      <c r="G4737" s="94" t="str">
        <f t="shared" si="2"/>
        <v/>
      </c>
      <c r="H4737" s="94" t="str">
        <f t="shared" si="3"/>
        <v/>
      </c>
      <c r="I4737" s="94" t="str">
        <f t="shared" ref="I4737:J4737" si="4738">if(G4737 = "", , -G4737)</f>
        <v/>
      </c>
      <c r="J4737" s="94" t="str">
        <f t="shared" si="4738"/>
        <v/>
      </c>
      <c r="K4737" s="100"/>
      <c r="L4737" s="100"/>
      <c r="N4737" s="100"/>
      <c r="O4737" s="100"/>
      <c r="P4737" s="100"/>
    </row>
    <row r="4738">
      <c r="A4738" s="107">
        <v>1629006.0</v>
      </c>
      <c r="B4738" s="108" t="s">
        <v>243</v>
      </c>
      <c r="C4738" s="108" t="s">
        <v>1137</v>
      </c>
      <c r="D4738" s="112" t="s">
        <v>176</v>
      </c>
      <c r="E4738" s="112">
        <v>1197.7</v>
      </c>
      <c r="F4738" s="111" t="str">
        <f>DataPull!D4738</f>
        <v/>
      </c>
      <c r="G4738" s="94" t="str">
        <f t="shared" si="2"/>
        <v/>
      </c>
      <c r="H4738" s="94" t="str">
        <f t="shared" si="3"/>
        <v/>
      </c>
      <c r="I4738" s="94" t="str">
        <f t="shared" ref="I4738:J4738" si="4739">if(G4738 = "", , -G4738)</f>
        <v/>
      </c>
      <c r="J4738" s="94" t="str">
        <f t="shared" si="4739"/>
        <v/>
      </c>
      <c r="K4738" s="100"/>
      <c r="M4738" s="100"/>
      <c r="N4738" s="100"/>
      <c r="O4738" s="100"/>
      <c r="P4738" s="100"/>
    </row>
    <row r="4739">
      <c r="A4739" s="107">
        <v>1629006.0</v>
      </c>
      <c r="B4739" s="108" t="s">
        <v>215</v>
      </c>
      <c r="C4739" s="108" t="s">
        <v>1137</v>
      </c>
      <c r="D4739" s="112" t="s">
        <v>187</v>
      </c>
      <c r="E4739" s="112">
        <v>514.5</v>
      </c>
      <c r="F4739" s="111" t="str">
        <f>DataPull!D4739</f>
        <v/>
      </c>
      <c r="G4739" s="94" t="str">
        <f t="shared" si="2"/>
        <v/>
      </c>
      <c r="H4739" s="94" t="str">
        <f t="shared" si="3"/>
        <v/>
      </c>
      <c r="I4739" s="94" t="str">
        <f t="shared" ref="I4739:J4739" si="4740">if(G4739 = "", , -G4739)</f>
        <v/>
      </c>
      <c r="J4739" s="94" t="str">
        <f t="shared" si="4740"/>
        <v/>
      </c>
      <c r="K4739" s="100"/>
      <c r="M4739" s="100"/>
      <c r="N4739" s="100"/>
      <c r="O4739" s="100"/>
      <c r="P4739" s="100"/>
    </row>
    <row r="4740">
      <c r="A4740" s="107">
        <v>1629006.0</v>
      </c>
      <c r="B4740" s="108" t="s">
        <v>244</v>
      </c>
      <c r="C4740" s="108" t="s">
        <v>1137</v>
      </c>
      <c r="D4740" s="112" t="s">
        <v>177</v>
      </c>
      <c r="E4740" s="112">
        <v>1353.6</v>
      </c>
      <c r="F4740" s="111" t="str">
        <f>DataPull!D4740</f>
        <v/>
      </c>
      <c r="G4740" s="94" t="str">
        <f t="shared" si="2"/>
        <v/>
      </c>
      <c r="H4740" s="94" t="str">
        <f t="shared" si="3"/>
        <v/>
      </c>
      <c r="I4740" s="94" t="str">
        <f t="shared" ref="I4740:J4740" si="4741">if(G4740 = "", , -G4740)</f>
        <v/>
      </c>
      <c r="J4740" s="94" t="str">
        <f t="shared" si="4741"/>
        <v/>
      </c>
      <c r="K4740" s="100"/>
      <c r="M4740" s="100"/>
      <c r="N4740" s="100"/>
      <c r="O4740" s="100"/>
      <c r="P4740" s="100"/>
    </row>
    <row r="4741">
      <c r="A4741" s="107">
        <v>1629006.0</v>
      </c>
      <c r="B4741" s="108" t="s">
        <v>245</v>
      </c>
      <c r="C4741" s="108" t="s">
        <v>1137</v>
      </c>
      <c r="D4741" s="112" t="s">
        <v>177</v>
      </c>
      <c r="E4741" s="112">
        <v>960.0</v>
      </c>
      <c r="F4741" s="111" t="str">
        <f>DataPull!D4741</f>
        <v/>
      </c>
      <c r="G4741" s="94" t="str">
        <f t="shared" si="2"/>
        <v/>
      </c>
      <c r="H4741" s="94" t="str">
        <f t="shared" si="3"/>
        <v/>
      </c>
      <c r="I4741" s="94" t="str">
        <f t="shared" ref="I4741:J4741" si="4742">if(G4741 = "", , -G4741)</f>
        <v/>
      </c>
      <c r="J4741" s="94" t="str">
        <f t="shared" si="4742"/>
        <v/>
      </c>
      <c r="K4741" s="100"/>
      <c r="M4741" s="100"/>
      <c r="N4741" s="100"/>
      <c r="O4741" s="100"/>
      <c r="P4741" s="100"/>
    </row>
    <row r="4742">
      <c r="A4742" s="107">
        <v>1629006.0</v>
      </c>
      <c r="B4742" s="108" t="s">
        <v>246</v>
      </c>
      <c r="C4742" s="108" t="s">
        <v>1137</v>
      </c>
      <c r="D4742" s="112" t="s">
        <v>177</v>
      </c>
      <c r="E4742" s="112">
        <v>624.0</v>
      </c>
      <c r="F4742" s="111" t="str">
        <f>DataPull!D4742</f>
        <v/>
      </c>
      <c r="G4742" s="94" t="str">
        <f t="shared" si="2"/>
        <v/>
      </c>
      <c r="H4742" s="94" t="str">
        <f t="shared" si="3"/>
        <v/>
      </c>
      <c r="I4742" s="94" t="str">
        <f t="shared" ref="I4742:J4742" si="4743">if(G4742 = "", , -G4742)</f>
        <v/>
      </c>
      <c r="J4742" s="94" t="str">
        <f t="shared" si="4743"/>
        <v/>
      </c>
      <c r="K4742" s="100"/>
      <c r="L4742" s="100"/>
      <c r="N4742" s="100"/>
      <c r="O4742" s="100"/>
      <c r="P4742" s="100"/>
    </row>
    <row r="4743">
      <c r="A4743" s="114">
        <v>1629006.0</v>
      </c>
      <c r="B4743" s="113" t="s">
        <v>247</v>
      </c>
      <c r="C4743" s="113" t="s">
        <v>1137</v>
      </c>
      <c r="D4743" s="112" t="s">
        <v>177</v>
      </c>
      <c r="E4743" s="112">
        <v>1357.2</v>
      </c>
      <c r="F4743" s="111" t="str">
        <f>DataPull!D4743</f>
        <v/>
      </c>
      <c r="G4743" s="94" t="str">
        <f t="shared" si="2"/>
        <v/>
      </c>
      <c r="H4743" s="94" t="str">
        <f t="shared" si="3"/>
        <v/>
      </c>
      <c r="I4743" s="94" t="str">
        <f t="shared" ref="I4743:J4743" si="4744">if(G4743 = "", , -G4743)</f>
        <v/>
      </c>
      <c r="J4743" s="94" t="str">
        <f t="shared" si="4744"/>
        <v/>
      </c>
      <c r="K4743" s="100"/>
      <c r="M4743" s="100"/>
      <c r="N4743" s="100"/>
      <c r="O4743" s="100"/>
      <c r="P4743" s="100"/>
    </row>
    <row r="4744">
      <c r="A4744" s="107">
        <v>1629007.0</v>
      </c>
      <c r="B4744" s="108" t="s">
        <v>243</v>
      </c>
      <c r="C4744" s="108" t="s">
        <v>1138</v>
      </c>
      <c r="D4744" s="112" t="s">
        <v>187</v>
      </c>
      <c r="E4744" s="112">
        <v>53.9</v>
      </c>
      <c r="F4744" s="111" t="str">
        <f>DataPull!D4744</f>
        <v/>
      </c>
      <c r="G4744" s="94" t="str">
        <f t="shared" si="2"/>
        <v/>
      </c>
      <c r="H4744" s="94" t="str">
        <f t="shared" si="3"/>
        <v/>
      </c>
      <c r="I4744" s="94" t="str">
        <f t="shared" ref="I4744:J4744" si="4745">if(G4744 = "", , -G4744)</f>
        <v/>
      </c>
      <c r="J4744" s="94" t="str">
        <f t="shared" si="4745"/>
        <v/>
      </c>
      <c r="K4744" s="100"/>
      <c r="M4744" s="100"/>
      <c r="N4744" s="100"/>
      <c r="O4744" s="100"/>
      <c r="P4744" s="100"/>
    </row>
    <row r="4745">
      <c r="A4745" s="107">
        <v>1629007.0</v>
      </c>
      <c r="B4745" s="108" t="s">
        <v>245</v>
      </c>
      <c r="C4745" s="108" t="s">
        <v>1138</v>
      </c>
      <c r="D4745" s="112" t="s">
        <v>177</v>
      </c>
      <c r="E4745" s="112">
        <v>358.8</v>
      </c>
      <c r="F4745" s="111" t="str">
        <f>DataPull!D4745</f>
        <v/>
      </c>
      <c r="G4745" s="94" t="str">
        <f t="shared" si="2"/>
        <v/>
      </c>
      <c r="H4745" s="94" t="str">
        <f t="shared" si="3"/>
        <v/>
      </c>
      <c r="I4745" s="94" t="str">
        <f t="shared" ref="I4745:J4745" si="4746">if(G4745 = "", , -G4745)</f>
        <v/>
      </c>
      <c r="J4745" s="94" t="str">
        <f t="shared" si="4746"/>
        <v/>
      </c>
      <c r="K4745" s="100"/>
      <c r="M4745" s="100"/>
      <c r="N4745" s="100"/>
      <c r="O4745" s="100"/>
      <c r="P4745" s="100"/>
    </row>
    <row r="4746">
      <c r="A4746" s="107">
        <v>1629008.0</v>
      </c>
      <c r="B4746" s="108" t="s">
        <v>193</v>
      </c>
      <c r="C4746" s="108" t="s">
        <v>1139</v>
      </c>
      <c r="D4746" s="112" t="s">
        <v>177</v>
      </c>
      <c r="E4746" s="112">
        <v>902.0</v>
      </c>
      <c r="F4746" s="111" t="str">
        <f>DataPull!D4746</f>
        <v/>
      </c>
      <c r="G4746" s="94" t="str">
        <f t="shared" si="2"/>
        <v/>
      </c>
      <c r="H4746" s="94" t="str">
        <f t="shared" si="3"/>
        <v/>
      </c>
      <c r="I4746" s="94" t="str">
        <f t="shared" ref="I4746:J4746" si="4747">if(G4746 = "", , -G4746)</f>
        <v/>
      </c>
      <c r="J4746" s="94" t="str">
        <f t="shared" si="4747"/>
        <v/>
      </c>
      <c r="K4746" s="100"/>
      <c r="M4746" s="100"/>
      <c r="N4746" s="100"/>
      <c r="O4746" s="100"/>
      <c r="P4746" s="100"/>
    </row>
    <row r="4747">
      <c r="A4747" s="107">
        <v>1629008.0</v>
      </c>
      <c r="B4747" s="108" t="s">
        <v>243</v>
      </c>
      <c r="C4747" s="108" t="s">
        <v>1139</v>
      </c>
      <c r="D4747" s="112" t="s">
        <v>184</v>
      </c>
      <c r="E4747" s="112">
        <v>1909.3</v>
      </c>
      <c r="F4747" s="111" t="str">
        <f>DataPull!D4747</f>
        <v/>
      </c>
      <c r="G4747" s="94" t="str">
        <f t="shared" si="2"/>
        <v/>
      </c>
      <c r="H4747" s="94" t="str">
        <f t="shared" si="3"/>
        <v/>
      </c>
      <c r="I4747" s="94" t="str">
        <f t="shared" ref="I4747:J4747" si="4748">if(G4747 = "", , -G4747)</f>
        <v/>
      </c>
      <c r="J4747" s="94" t="str">
        <f t="shared" si="4748"/>
        <v/>
      </c>
      <c r="K4747" s="100"/>
      <c r="M4747" s="100"/>
      <c r="N4747" s="100"/>
      <c r="O4747" s="100"/>
      <c r="P4747" s="100"/>
    </row>
    <row r="4748">
      <c r="A4748" s="107">
        <v>1629008.0</v>
      </c>
      <c r="B4748" s="108" t="s">
        <v>215</v>
      </c>
      <c r="C4748" s="108" t="s">
        <v>1139</v>
      </c>
      <c r="D4748" s="112" t="s">
        <v>178</v>
      </c>
      <c r="E4748" s="112">
        <v>264.6</v>
      </c>
      <c r="F4748" s="111" t="str">
        <f>DataPull!D4748</f>
        <v/>
      </c>
      <c r="G4748" s="94" t="str">
        <f t="shared" si="2"/>
        <v/>
      </c>
      <c r="H4748" s="94" t="str">
        <f t="shared" si="3"/>
        <v/>
      </c>
      <c r="I4748" s="94" t="str">
        <f t="shared" ref="I4748:J4748" si="4749">if(G4748 = "", , -G4748)</f>
        <v/>
      </c>
      <c r="J4748" s="94" t="str">
        <f t="shared" si="4749"/>
        <v/>
      </c>
      <c r="K4748" s="100"/>
      <c r="M4748" s="100"/>
      <c r="N4748" s="100"/>
      <c r="O4748" s="100"/>
      <c r="P4748" s="100"/>
    </row>
    <row r="4749">
      <c r="A4749" s="107">
        <v>1629008.0</v>
      </c>
      <c r="B4749" s="108" t="s">
        <v>244</v>
      </c>
      <c r="C4749" s="108" t="s">
        <v>1139</v>
      </c>
      <c r="D4749" s="112" t="s">
        <v>178</v>
      </c>
      <c r="E4749" s="112">
        <v>1798.0</v>
      </c>
      <c r="F4749" s="111" t="str">
        <f>DataPull!D4749</f>
        <v/>
      </c>
      <c r="G4749" s="94" t="str">
        <f t="shared" si="2"/>
        <v/>
      </c>
      <c r="H4749" s="94" t="str">
        <f t="shared" si="3"/>
        <v/>
      </c>
      <c r="I4749" s="94" t="str">
        <f t="shared" ref="I4749:J4749" si="4750">if(G4749 = "", , -G4749)</f>
        <v/>
      </c>
      <c r="J4749" s="94" t="str">
        <f t="shared" si="4750"/>
        <v/>
      </c>
      <c r="K4749" s="100"/>
      <c r="M4749" s="100"/>
      <c r="N4749" s="100"/>
      <c r="O4749" s="100"/>
      <c r="P4749" s="100"/>
    </row>
    <row r="4750">
      <c r="A4750" s="107">
        <v>1629008.0</v>
      </c>
      <c r="B4750" s="108" t="s">
        <v>245</v>
      </c>
      <c r="C4750" s="108" t="s">
        <v>1139</v>
      </c>
      <c r="D4750" s="112" t="s">
        <v>178</v>
      </c>
      <c r="E4750" s="112">
        <v>2567.7</v>
      </c>
      <c r="F4750" s="111" t="str">
        <f>DataPull!D4750</f>
        <v/>
      </c>
      <c r="G4750" s="94" t="str">
        <f t="shared" si="2"/>
        <v/>
      </c>
      <c r="H4750" s="94" t="str">
        <f t="shared" si="3"/>
        <v/>
      </c>
      <c r="I4750" s="94" t="str">
        <f t="shared" ref="I4750:J4750" si="4751">if(G4750 = "", , -G4750)</f>
        <v/>
      </c>
      <c r="J4750" s="94" t="str">
        <f t="shared" si="4751"/>
        <v/>
      </c>
      <c r="K4750" s="100"/>
      <c r="L4750" s="100"/>
      <c r="N4750" s="100"/>
      <c r="O4750" s="100"/>
      <c r="P4750" s="100"/>
    </row>
    <row r="4751">
      <c r="A4751" s="107">
        <v>1629008.0</v>
      </c>
      <c r="B4751" s="108" t="s">
        <v>246</v>
      </c>
      <c r="C4751" s="108" t="s">
        <v>1139</v>
      </c>
      <c r="D4751" s="112" t="s">
        <v>178</v>
      </c>
      <c r="E4751" s="112">
        <v>2594.9</v>
      </c>
      <c r="F4751" s="111" t="str">
        <f>DataPull!D4751</f>
        <v/>
      </c>
      <c r="G4751" s="94" t="str">
        <f t="shared" si="2"/>
        <v/>
      </c>
      <c r="H4751" s="94" t="str">
        <f t="shared" si="3"/>
        <v/>
      </c>
      <c r="I4751" s="94" t="str">
        <f t="shared" ref="I4751:J4751" si="4752">if(G4751 = "", , -G4751)</f>
        <v/>
      </c>
      <c r="J4751" s="94" t="str">
        <f t="shared" si="4752"/>
        <v/>
      </c>
      <c r="K4751" s="100"/>
      <c r="L4751" s="100"/>
      <c r="N4751" s="100"/>
      <c r="O4751" s="100"/>
      <c r="P4751" s="100"/>
    </row>
    <row r="4752">
      <c r="A4752" s="114">
        <v>1629008.0</v>
      </c>
      <c r="B4752" s="113" t="s">
        <v>247</v>
      </c>
      <c r="C4752" s="108" t="s">
        <v>1139</v>
      </c>
      <c r="D4752" s="112" t="s">
        <v>178</v>
      </c>
      <c r="E4752" s="112">
        <v>1690.0</v>
      </c>
      <c r="F4752" s="111" t="str">
        <f>DataPull!D4752</f>
        <v/>
      </c>
      <c r="G4752" s="94" t="str">
        <f t="shared" si="2"/>
        <v/>
      </c>
      <c r="H4752" s="94" t="str">
        <f t="shared" si="3"/>
        <v/>
      </c>
      <c r="I4752" s="94" t="str">
        <f t="shared" ref="I4752:J4752" si="4753">if(G4752 = "", , -G4752)</f>
        <v/>
      </c>
      <c r="J4752" s="94" t="str">
        <f t="shared" si="4753"/>
        <v/>
      </c>
      <c r="K4752" s="100"/>
      <c r="M4752" s="100"/>
      <c r="N4752" s="100"/>
      <c r="O4752" s="100"/>
      <c r="P4752" s="100"/>
    </row>
    <row r="4753">
      <c r="A4753" s="107">
        <v>1629010.0</v>
      </c>
      <c r="B4753" s="108" t="s">
        <v>192</v>
      </c>
      <c r="C4753" s="108" t="s">
        <v>1140</v>
      </c>
      <c r="D4753" s="112" t="s">
        <v>187</v>
      </c>
      <c r="E4753" s="112">
        <v>320.1</v>
      </c>
      <c r="F4753" s="111" t="str">
        <f>DataPull!D4753</f>
        <v/>
      </c>
      <c r="G4753" s="94" t="str">
        <f t="shared" si="2"/>
        <v/>
      </c>
      <c r="H4753" s="94" t="str">
        <f t="shared" si="3"/>
        <v/>
      </c>
      <c r="I4753" s="94" t="str">
        <f t="shared" ref="I4753:J4753" si="4754">if(G4753 = "", , -G4753)</f>
        <v/>
      </c>
      <c r="J4753" s="94" t="str">
        <f t="shared" si="4754"/>
        <v/>
      </c>
      <c r="K4753" s="100"/>
      <c r="M4753" s="100"/>
      <c r="N4753" s="100"/>
      <c r="O4753" s="100"/>
      <c r="P4753" s="100"/>
    </row>
    <row r="4754">
      <c r="A4754" s="107">
        <v>1629010.0</v>
      </c>
      <c r="B4754" s="108" t="s">
        <v>193</v>
      </c>
      <c r="C4754" s="108" t="s">
        <v>1140</v>
      </c>
      <c r="D4754" s="112" t="s">
        <v>177</v>
      </c>
      <c r="E4754" s="112">
        <v>976.5</v>
      </c>
      <c r="F4754" s="111" t="str">
        <f>DataPull!D4754</f>
        <v/>
      </c>
      <c r="G4754" s="94" t="str">
        <f t="shared" si="2"/>
        <v/>
      </c>
      <c r="H4754" s="94" t="str">
        <f t="shared" si="3"/>
        <v/>
      </c>
      <c r="I4754" s="94" t="str">
        <f t="shared" ref="I4754:J4754" si="4755">if(G4754 = "", , -G4754)</f>
        <v/>
      </c>
      <c r="J4754" s="94" t="str">
        <f t="shared" si="4755"/>
        <v/>
      </c>
      <c r="M4754" s="100"/>
      <c r="N4754" s="100"/>
      <c r="O4754" s="100"/>
    </row>
    <row r="4755">
      <c r="A4755" s="107">
        <v>1629010.0</v>
      </c>
      <c r="B4755" s="108" t="s">
        <v>243</v>
      </c>
      <c r="C4755" s="108" t="s">
        <v>1140</v>
      </c>
      <c r="D4755" s="112" t="s">
        <v>177</v>
      </c>
      <c r="E4755" s="112">
        <v>304.3</v>
      </c>
      <c r="F4755" s="111" t="str">
        <f>DataPull!D4755</f>
        <v/>
      </c>
      <c r="G4755" s="94" t="str">
        <f t="shared" si="2"/>
        <v/>
      </c>
      <c r="H4755" s="94" t="str">
        <f t="shared" si="3"/>
        <v/>
      </c>
      <c r="I4755" s="94" t="str">
        <f t="shared" ref="I4755:J4755" si="4756">if(G4755 = "", , -G4755)</f>
        <v/>
      </c>
      <c r="J4755" s="94" t="str">
        <f t="shared" si="4756"/>
        <v/>
      </c>
      <c r="K4755" s="100"/>
      <c r="L4755" s="100"/>
      <c r="N4755" s="100"/>
      <c r="O4755" s="100"/>
      <c r="P4755" s="100"/>
    </row>
    <row r="4756">
      <c r="A4756" s="107">
        <v>1629010.0</v>
      </c>
      <c r="B4756" s="108" t="s">
        <v>245</v>
      </c>
      <c r="C4756" s="108" t="s">
        <v>1140</v>
      </c>
      <c r="D4756" s="112" t="s">
        <v>187</v>
      </c>
      <c r="E4756" s="112">
        <v>81.4</v>
      </c>
      <c r="F4756" s="111" t="str">
        <f>DataPull!D4756</f>
        <v/>
      </c>
      <c r="G4756" s="94" t="str">
        <f t="shared" si="2"/>
        <v/>
      </c>
      <c r="H4756" s="94" t="str">
        <f t="shared" si="3"/>
        <v/>
      </c>
      <c r="I4756" s="94" t="str">
        <f t="shared" ref="I4756:J4756" si="4757">if(G4756 = "", , -G4756)</f>
        <v/>
      </c>
      <c r="J4756" s="94" t="str">
        <f t="shared" si="4757"/>
        <v/>
      </c>
      <c r="K4756" s="100"/>
      <c r="M4756" s="100"/>
      <c r="N4756" s="100"/>
      <c r="O4756" s="100"/>
      <c r="P4756" s="100"/>
    </row>
    <row r="4757">
      <c r="A4757" s="107">
        <v>1629011.0</v>
      </c>
      <c r="B4757" s="108" t="s">
        <v>192</v>
      </c>
      <c r="C4757" s="108" t="s">
        <v>1141</v>
      </c>
      <c r="D4757" s="112" t="s">
        <v>176</v>
      </c>
      <c r="E4757" s="112">
        <v>1359.6</v>
      </c>
      <c r="F4757" s="111" t="str">
        <f>DataPull!D4757</f>
        <v/>
      </c>
      <c r="G4757" s="94" t="str">
        <f t="shared" si="2"/>
        <v/>
      </c>
      <c r="H4757" s="94" t="str">
        <f t="shared" si="3"/>
        <v/>
      </c>
      <c r="I4757" s="94" t="str">
        <f t="shared" ref="I4757:J4757" si="4758">if(G4757 = "", , -G4757)</f>
        <v/>
      </c>
      <c r="J4757" s="94" t="str">
        <f t="shared" si="4758"/>
        <v/>
      </c>
      <c r="K4757" s="100"/>
      <c r="M4757" s="100"/>
      <c r="N4757" s="100"/>
      <c r="O4757" s="100"/>
      <c r="P4757" s="100"/>
    </row>
    <row r="4758">
      <c r="A4758" s="107">
        <v>1629011.0</v>
      </c>
      <c r="B4758" s="108" t="s">
        <v>193</v>
      </c>
      <c r="C4758" s="108" t="s">
        <v>1141</v>
      </c>
      <c r="D4758" s="112" t="s">
        <v>176</v>
      </c>
      <c r="E4758" s="112">
        <v>1415.2</v>
      </c>
      <c r="F4758" s="111" t="str">
        <f>DataPull!D4758</f>
        <v/>
      </c>
      <c r="G4758" s="94" t="str">
        <f t="shared" si="2"/>
        <v/>
      </c>
      <c r="H4758" s="94" t="str">
        <f t="shared" si="3"/>
        <v/>
      </c>
      <c r="I4758" s="94" t="str">
        <f t="shared" ref="I4758:J4758" si="4759">if(G4758 = "", , -G4758)</f>
        <v/>
      </c>
      <c r="J4758" s="94" t="str">
        <f t="shared" si="4759"/>
        <v/>
      </c>
      <c r="K4758" s="100"/>
      <c r="M4758" s="100"/>
      <c r="N4758" s="100"/>
      <c r="O4758" s="100"/>
      <c r="P4758" s="100"/>
    </row>
    <row r="4759">
      <c r="A4759" s="107">
        <v>1629011.0</v>
      </c>
      <c r="B4759" s="108" t="s">
        <v>243</v>
      </c>
      <c r="C4759" s="108" t="s">
        <v>1141</v>
      </c>
      <c r="D4759" s="112" t="s">
        <v>178</v>
      </c>
      <c r="E4759" s="112">
        <v>852.5</v>
      </c>
      <c r="F4759" s="111" t="str">
        <f>DataPull!D4759</f>
        <v/>
      </c>
      <c r="G4759" s="94" t="str">
        <f t="shared" si="2"/>
        <v/>
      </c>
      <c r="H4759" s="94" t="str">
        <f t="shared" si="3"/>
        <v/>
      </c>
      <c r="I4759" s="94" t="str">
        <f t="shared" ref="I4759:J4759" si="4760">if(G4759 = "", , -G4759)</f>
        <v/>
      </c>
      <c r="J4759" s="94" t="str">
        <f t="shared" si="4760"/>
        <v/>
      </c>
      <c r="K4759" s="100"/>
      <c r="M4759" s="100"/>
      <c r="N4759" s="100"/>
      <c r="O4759" s="100"/>
    </row>
    <row r="4760">
      <c r="A4760" s="107">
        <v>1629011.0</v>
      </c>
      <c r="B4760" s="108" t="s">
        <v>215</v>
      </c>
      <c r="C4760" s="108" t="s">
        <v>1141</v>
      </c>
      <c r="D4760" s="112" t="s">
        <v>184</v>
      </c>
      <c r="E4760" s="112">
        <v>1850.4</v>
      </c>
      <c r="F4760" s="111" t="str">
        <f>DataPull!D4760</f>
        <v/>
      </c>
      <c r="G4760" s="94" t="str">
        <f t="shared" si="2"/>
        <v/>
      </c>
      <c r="H4760" s="94" t="str">
        <f t="shared" si="3"/>
        <v/>
      </c>
      <c r="I4760" s="94" t="str">
        <f t="shared" ref="I4760:J4760" si="4761">if(G4760 = "", , -G4760)</f>
        <v/>
      </c>
      <c r="J4760" s="94" t="str">
        <f t="shared" si="4761"/>
        <v/>
      </c>
      <c r="K4760" s="100"/>
      <c r="M4760" s="100"/>
      <c r="N4760" s="100"/>
      <c r="O4760" s="100"/>
      <c r="P4760" s="100"/>
    </row>
    <row r="4761">
      <c r="A4761" s="107">
        <v>1629011.0</v>
      </c>
      <c r="B4761" s="108" t="s">
        <v>244</v>
      </c>
      <c r="C4761" s="108" t="s">
        <v>1141</v>
      </c>
      <c r="D4761" s="112" t="s">
        <v>176</v>
      </c>
      <c r="E4761" s="112">
        <v>1587.1</v>
      </c>
      <c r="F4761" s="111" t="str">
        <f>DataPull!D4761</f>
        <v/>
      </c>
      <c r="G4761" s="94" t="str">
        <f t="shared" si="2"/>
        <v/>
      </c>
      <c r="H4761" s="94" t="str">
        <f t="shared" si="3"/>
        <v/>
      </c>
      <c r="I4761" s="94" t="str">
        <f t="shared" ref="I4761:J4761" si="4762">if(G4761 = "", , -G4761)</f>
        <v/>
      </c>
      <c r="J4761" s="94" t="str">
        <f t="shared" si="4762"/>
        <v/>
      </c>
      <c r="K4761" s="100"/>
      <c r="M4761" s="100"/>
      <c r="N4761" s="100"/>
      <c r="O4761" s="100"/>
      <c r="P4761" s="100"/>
    </row>
    <row r="4762">
      <c r="A4762" s="107">
        <v>1629011.0</v>
      </c>
      <c r="B4762" s="108" t="s">
        <v>245</v>
      </c>
      <c r="C4762" s="108" t="s">
        <v>1141</v>
      </c>
      <c r="D4762" s="112" t="s">
        <v>176</v>
      </c>
      <c r="E4762" s="112">
        <v>768.8</v>
      </c>
      <c r="F4762" s="111" t="str">
        <f>DataPull!D4762</f>
        <v/>
      </c>
      <c r="G4762" s="94" t="str">
        <f t="shared" si="2"/>
        <v/>
      </c>
      <c r="H4762" s="94" t="str">
        <f t="shared" si="3"/>
        <v/>
      </c>
      <c r="I4762" s="94" t="str">
        <f t="shared" ref="I4762:J4762" si="4763">if(G4762 = "", , -G4762)</f>
        <v/>
      </c>
      <c r="J4762" s="94" t="str">
        <f t="shared" si="4763"/>
        <v/>
      </c>
      <c r="K4762" s="100"/>
      <c r="M4762" s="100"/>
      <c r="N4762" s="100"/>
      <c r="O4762" s="100"/>
      <c r="P4762" s="100"/>
    </row>
    <row r="4763">
      <c r="A4763" s="107">
        <v>1629011.0</v>
      </c>
      <c r="B4763" s="108" t="s">
        <v>246</v>
      </c>
      <c r="C4763" s="108" t="s">
        <v>1141</v>
      </c>
      <c r="D4763" s="112" t="s">
        <v>187</v>
      </c>
      <c r="E4763" s="112">
        <v>290.7</v>
      </c>
      <c r="F4763" s="111" t="str">
        <f>DataPull!D4763</f>
        <v/>
      </c>
      <c r="G4763" s="94" t="str">
        <f t="shared" si="2"/>
        <v/>
      </c>
      <c r="H4763" s="94" t="str">
        <f t="shared" si="3"/>
        <v/>
      </c>
      <c r="I4763" s="94" t="str">
        <f t="shared" ref="I4763:J4763" si="4764">if(G4763 = "", , -G4763)</f>
        <v/>
      </c>
      <c r="J4763" s="94" t="str">
        <f t="shared" si="4764"/>
        <v/>
      </c>
      <c r="K4763" s="100"/>
      <c r="M4763" s="100"/>
      <c r="N4763" s="100"/>
      <c r="O4763" s="100"/>
      <c r="P4763" s="100"/>
    </row>
    <row r="4764">
      <c r="A4764" s="114">
        <v>1629011.0</v>
      </c>
      <c r="B4764" s="113" t="s">
        <v>247</v>
      </c>
      <c r="C4764" s="113" t="s">
        <v>1141</v>
      </c>
      <c r="D4764" s="112" t="s">
        <v>177</v>
      </c>
      <c r="E4764" s="112">
        <v>1176.0</v>
      </c>
      <c r="F4764" s="111" t="str">
        <f>DataPull!D4764</f>
        <v/>
      </c>
      <c r="G4764" s="94" t="str">
        <f t="shared" si="2"/>
        <v/>
      </c>
      <c r="H4764" s="94" t="str">
        <f t="shared" si="3"/>
        <v/>
      </c>
      <c r="I4764" s="94" t="str">
        <f t="shared" ref="I4764:J4764" si="4765">if(G4764 = "", , -G4764)</f>
        <v/>
      </c>
      <c r="J4764" s="94" t="str">
        <f t="shared" si="4765"/>
        <v/>
      </c>
      <c r="K4764" s="100"/>
      <c r="M4764" s="100"/>
      <c r="N4764" s="100"/>
      <c r="O4764" s="100"/>
      <c r="P4764" s="100"/>
    </row>
    <row r="4765">
      <c r="A4765" s="107">
        <v>1629012.0</v>
      </c>
      <c r="B4765" s="108" t="s">
        <v>192</v>
      </c>
      <c r="C4765" s="108" t="s">
        <v>1142</v>
      </c>
      <c r="D4765" s="112" t="s">
        <v>178</v>
      </c>
      <c r="E4765" s="112">
        <v>2607.6</v>
      </c>
      <c r="F4765" s="111" t="str">
        <f>DataPull!D4765</f>
        <v/>
      </c>
      <c r="G4765" s="94" t="str">
        <f t="shared" si="2"/>
        <v/>
      </c>
      <c r="H4765" s="94" t="str">
        <f t="shared" si="3"/>
        <v/>
      </c>
      <c r="I4765" s="94" t="str">
        <f t="shared" ref="I4765:J4765" si="4766">if(G4765 = "", , -G4765)</f>
        <v/>
      </c>
      <c r="J4765" s="94" t="str">
        <f t="shared" si="4766"/>
        <v/>
      </c>
      <c r="K4765" s="100"/>
      <c r="L4765" s="100"/>
      <c r="N4765" s="100"/>
      <c r="O4765" s="100"/>
      <c r="P4765" s="100"/>
    </row>
    <row r="4766">
      <c r="A4766" s="107">
        <v>1629012.0</v>
      </c>
      <c r="B4766" s="108" t="s">
        <v>193</v>
      </c>
      <c r="C4766" s="108" t="s">
        <v>1142</v>
      </c>
      <c r="D4766" s="112" t="s">
        <v>178</v>
      </c>
      <c r="E4766" s="112">
        <v>2145.0</v>
      </c>
      <c r="F4766" s="111" t="str">
        <f>DataPull!D4766</f>
        <v/>
      </c>
      <c r="G4766" s="94" t="str">
        <f t="shared" si="2"/>
        <v/>
      </c>
      <c r="H4766" s="94" t="str">
        <f t="shared" si="3"/>
        <v/>
      </c>
      <c r="I4766" s="94" t="str">
        <f t="shared" ref="I4766:J4766" si="4767">if(G4766 = "", , -G4766)</f>
        <v/>
      </c>
      <c r="J4766" s="94" t="str">
        <f t="shared" si="4767"/>
        <v/>
      </c>
      <c r="K4766" s="100"/>
      <c r="M4766" s="100"/>
      <c r="N4766" s="100"/>
      <c r="O4766" s="100"/>
      <c r="P4766" s="100"/>
    </row>
    <row r="4767">
      <c r="A4767" s="107">
        <v>1629012.0</v>
      </c>
      <c r="B4767" s="108" t="s">
        <v>243</v>
      </c>
      <c r="C4767" s="108" t="s">
        <v>1142</v>
      </c>
      <c r="D4767" s="112" t="s">
        <v>178</v>
      </c>
      <c r="E4767" s="112">
        <v>2118.0</v>
      </c>
      <c r="F4767" s="111" t="str">
        <f>DataPull!D4767</f>
        <v/>
      </c>
      <c r="G4767" s="94" t="str">
        <f t="shared" si="2"/>
        <v/>
      </c>
      <c r="H4767" s="94" t="str">
        <f t="shared" si="3"/>
        <v/>
      </c>
      <c r="I4767" s="94" t="str">
        <f t="shared" ref="I4767:J4767" si="4768">if(G4767 = "", , -G4767)</f>
        <v/>
      </c>
      <c r="J4767" s="94" t="str">
        <f t="shared" si="4768"/>
        <v/>
      </c>
      <c r="K4767" s="100"/>
      <c r="M4767" s="100"/>
      <c r="N4767" s="100"/>
      <c r="O4767" s="100"/>
      <c r="P4767" s="100"/>
    </row>
    <row r="4768">
      <c r="A4768" s="107">
        <v>1629012.0</v>
      </c>
      <c r="B4768" s="108" t="s">
        <v>215</v>
      </c>
      <c r="C4768" s="108" t="s">
        <v>1142</v>
      </c>
      <c r="D4768" s="112" t="s">
        <v>176</v>
      </c>
      <c r="E4768" s="112">
        <v>316.8</v>
      </c>
      <c r="F4768" s="111" t="str">
        <f>DataPull!D4768</f>
        <v/>
      </c>
      <c r="G4768" s="94" t="str">
        <f t="shared" si="2"/>
        <v/>
      </c>
      <c r="H4768" s="94" t="str">
        <f t="shared" si="3"/>
        <v/>
      </c>
      <c r="I4768" s="94" t="str">
        <f t="shared" ref="I4768:J4768" si="4769">if(G4768 = "", , -G4768)</f>
        <v/>
      </c>
      <c r="J4768" s="94" t="str">
        <f t="shared" si="4769"/>
        <v/>
      </c>
      <c r="K4768" s="100"/>
      <c r="M4768" s="100"/>
      <c r="N4768" s="100"/>
      <c r="O4768" s="100"/>
      <c r="P4768" s="100"/>
    </row>
    <row r="4769">
      <c r="A4769" s="107">
        <v>1629012.0</v>
      </c>
      <c r="B4769" s="108" t="s">
        <v>244</v>
      </c>
      <c r="C4769" s="108" t="s">
        <v>1142</v>
      </c>
      <c r="D4769" s="112" t="s">
        <v>176</v>
      </c>
      <c r="E4769" s="112">
        <v>1147.2</v>
      </c>
      <c r="F4769" s="111" t="str">
        <f>DataPull!D4769</f>
        <v/>
      </c>
      <c r="G4769" s="94" t="str">
        <f t="shared" si="2"/>
        <v/>
      </c>
      <c r="H4769" s="94" t="str">
        <f t="shared" si="3"/>
        <v/>
      </c>
      <c r="I4769" s="94" t="str">
        <f t="shared" ref="I4769:J4769" si="4770">if(G4769 = "", , -G4769)</f>
        <v/>
      </c>
      <c r="J4769" s="94" t="str">
        <f t="shared" si="4770"/>
        <v/>
      </c>
      <c r="K4769" s="100"/>
      <c r="M4769" s="100"/>
      <c r="N4769" s="100"/>
      <c r="O4769" s="100"/>
      <c r="P4769" s="100"/>
    </row>
    <row r="4770">
      <c r="A4770" s="107">
        <v>1629012.0</v>
      </c>
      <c r="B4770" s="108" t="s">
        <v>245</v>
      </c>
      <c r="C4770" s="108" t="s">
        <v>1142</v>
      </c>
      <c r="D4770" s="112" t="s">
        <v>178</v>
      </c>
      <c r="E4770" s="112">
        <v>2074.8</v>
      </c>
      <c r="F4770" s="111" t="str">
        <f>DataPull!D4770</f>
        <v/>
      </c>
      <c r="G4770" s="94" t="str">
        <f t="shared" si="2"/>
        <v/>
      </c>
      <c r="H4770" s="94" t="str">
        <f t="shared" si="3"/>
        <v/>
      </c>
      <c r="I4770" s="94" t="str">
        <f t="shared" ref="I4770:J4770" si="4771">if(G4770 = "", , -G4770)</f>
        <v/>
      </c>
      <c r="J4770" s="94" t="str">
        <f t="shared" si="4771"/>
        <v/>
      </c>
      <c r="K4770" s="100"/>
      <c r="M4770" s="100"/>
      <c r="N4770" s="100"/>
      <c r="O4770" s="100"/>
      <c r="P4770" s="100"/>
    </row>
    <row r="4771">
      <c r="A4771" s="107">
        <v>1629012.0</v>
      </c>
      <c r="B4771" s="108" t="s">
        <v>246</v>
      </c>
      <c r="C4771" s="108" t="s">
        <v>1142</v>
      </c>
      <c r="D4771" s="112" t="s">
        <v>178</v>
      </c>
      <c r="E4771" s="112">
        <v>1757.7</v>
      </c>
      <c r="F4771" s="111" t="str">
        <f>DataPull!D4771</f>
        <v/>
      </c>
      <c r="G4771" s="94" t="str">
        <f t="shared" si="2"/>
        <v/>
      </c>
      <c r="H4771" s="94" t="str">
        <f t="shared" si="3"/>
        <v/>
      </c>
      <c r="I4771" s="94" t="str">
        <f t="shared" ref="I4771:J4771" si="4772">if(G4771 = "", , -G4771)</f>
        <v/>
      </c>
      <c r="J4771" s="94" t="str">
        <f t="shared" si="4772"/>
        <v/>
      </c>
      <c r="K4771" s="100"/>
      <c r="M4771" s="100"/>
      <c r="N4771" s="100"/>
      <c r="O4771" s="100"/>
      <c r="P4771" s="100"/>
    </row>
    <row r="4772">
      <c r="A4772" s="114">
        <v>1629012.0</v>
      </c>
      <c r="B4772" s="113" t="s">
        <v>247</v>
      </c>
      <c r="C4772" s="113" t="s">
        <v>1142</v>
      </c>
      <c r="D4772" s="112" t="s">
        <v>176</v>
      </c>
      <c r="E4772" s="112">
        <v>1611.6</v>
      </c>
      <c r="F4772" s="111" t="str">
        <f>DataPull!D4772</f>
        <v/>
      </c>
      <c r="G4772" s="94" t="str">
        <f t="shared" si="2"/>
        <v/>
      </c>
      <c r="H4772" s="94" t="str">
        <f t="shared" si="3"/>
        <v/>
      </c>
      <c r="I4772" s="94" t="str">
        <f t="shared" ref="I4772:J4772" si="4773">if(G4772 = "", , -G4772)</f>
        <v/>
      </c>
      <c r="J4772" s="94" t="str">
        <f t="shared" si="4773"/>
        <v/>
      </c>
      <c r="K4772" s="100"/>
      <c r="M4772" s="100"/>
      <c r="N4772" s="100"/>
      <c r="O4772" s="100"/>
      <c r="P4772" s="100"/>
    </row>
    <row r="4773">
      <c r="A4773" s="107">
        <v>1629013.0</v>
      </c>
      <c r="B4773" s="108" t="s">
        <v>192</v>
      </c>
      <c r="C4773" s="108" t="s">
        <v>1143</v>
      </c>
      <c r="D4773" s="112" t="s">
        <v>177</v>
      </c>
      <c r="E4773" s="112">
        <v>1801.2</v>
      </c>
      <c r="F4773" s="111" t="str">
        <f>DataPull!D4773</f>
        <v/>
      </c>
      <c r="G4773" s="94" t="str">
        <f t="shared" si="2"/>
        <v/>
      </c>
      <c r="H4773" s="94" t="str">
        <f t="shared" si="3"/>
        <v/>
      </c>
      <c r="I4773" s="94" t="str">
        <f t="shared" ref="I4773:J4773" si="4774">if(G4773 = "", , -G4773)</f>
        <v/>
      </c>
      <c r="J4773" s="94" t="str">
        <f t="shared" si="4774"/>
        <v/>
      </c>
      <c r="K4773" s="100"/>
      <c r="M4773" s="100"/>
      <c r="N4773" s="100"/>
      <c r="O4773" s="100"/>
      <c r="P4773" s="100"/>
    </row>
    <row r="4774">
      <c r="A4774" s="107">
        <v>1629013.0</v>
      </c>
      <c r="B4774" s="108" t="s">
        <v>193</v>
      </c>
      <c r="C4774" s="108" t="s">
        <v>1143</v>
      </c>
      <c r="D4774" s="112" t="s">
        <v>176</v>
      </c>
      <c r="E4774" s="112">
        <v>1452.2</v>
      </c>
      <c r="F4774" s="111" t="str">
        <f>DataPull!D4774</f>
        <v/>
      </c>
      <c r="G4774" s="94" t="str">
        <f t="shared" si="2"/>
        <v/>
      </c>
      <c r="H4774" s="94" t="str">
        <f t="shared" si="3"/>
        <v/>
      </c>
      <c r="I4774" s="94" t="str">
        <f t="shared" ref="I4774:J4774" si="4775">if(G4774 = "", , -G4774)</f>
        <v/>
      </c>
      <c r="J4774" s="94" t="str">
        <f t="shared" si="4775"/>
        <v/>
      </c>
      <c r="K4774" s="100"/>
      <c r="M4774" s="100"/>
      <c r="N4774" s="100"/>
      <c r="O4774" s="100"/>
      <c r="P4774" s="100"/>
    </row>
    <row r="4775">
      <c r="A4775" s="107">
        <v>1629013.0</v>
      </c>
      <c r="B4775" s="108" t="s">
        <v>243</v>
      </c>
      <c r="C4775" s="108" t="s">
        <v>1143</v>
      </c>
      <c r="D4775" s="112" t="s">
        <v>176</v>
      </c>
      <c r="E4775" s="112">
        <v>1403.0</v>
      </c>
      <c r="F4775" s="111" t="str">
        <f>DataPull!D4775</f>
        <v/>
      </c>
      <c r="G4775" s="94" t="str">
        <f t="shared" si="2"/>
        <v/>
      </c>
      <c r="H4775" s="94" t="str">
        <f t="shared" si="3"/>
        <v/>
      </c>
      <c r="I4775" s="94" t="str">
        <f t="shared" ref="I4775:J4775" si="4776">if(G4775 = "", , -G4775)</f>
        <v/>
      </c>
      <c r="J4775" s="94" t="str">
        <f t="shared" si="4776"/>
        <v/>
      </c>
      <c r="K4775" s="100"/>
      <c r="M4775" s="100"/>
      <c r="N4775" s="100"/>
      <c r="O4775" s="100"/>
      <c r="P4775" s="100"/>
    </row>
    <row r="4776">
      <c r="A4776" s="107">
        <v>1629013.0</v>
      </c>
      <c r="B4776" s="108" t="s">
        <v>215</v>
      </c>
      <c r="C4776" s="108" t="s">
        <v>1143</v>
      </c>
      <c r="D4776" s="112" t="s">
        <v>177</v>
      </c>
      <c r="E4776" s="112">
        <v>1435.2</v>
      </c>
      <c r="F4776" s="111" t="str">
        <f>DataPull!D4776</f>
        <v/>
      </c>
      <c r="G4776" s="94" t="str">
        <f t="shared" si="2"/>
        <v/>
      </c>
      <c r="H4776" s="94" t="str">
        <f t="shared" si="3"/>
        <v/>
      </c>
      <c r="I4776" s="94" t="str">
        <f t="shared" ref="I4776:J4776" si="4777">if(G4776 = "", , -G4776)</f>
        <v/>
      </c>
      <c r="J4776" s="94" t="str">
        <f t="shared" si="4777"/>
        <v/>
      </c>
      <c r="K4776" s="100"/>
      <c r="M4776" s="100"/>
      <c r="N4776" s="100"/>
      <c r="O4776" s="100"/>
      <c r="P4776" s="100"/>
    </row>
    <row r="4777">
      <c r="A4777" s="107">
        <v>1629013.0</v>
      </c>
      <c r="B4777" s="108" t="s">
        <v>244</v>
      </c>
      <c r="C4777" s="108" t="s">
        <v>1143</v>
      </c>
      <c r="D4777" s="112" t="s">
        <v>177</v>
      </c>
      <c r="E4777" s="112">
        <v>808.0</v>
      </c>
      <c r="F4777" s="111" t="str">
        <f>DataPull!D4777</f>
        <v/>
      </c>
      <c r="G4777" s="94" t="str">
        <f t="shared" si="2"/>
        <v/>
      </c>
      <c r="H4777" s="94" t="str">
        <f t="shared" si="3"/>
        <v/>
      </c>
      <c r="I4777" s="94" t="str">
        <f t="shared" ref="I4777:J4777" si="4778">if(G4777 = "", , -G4777)</f>
        <v/>
      </c>
      <c r="J4777" s="94" t="str">
        <f t="shared" si="4778"/>
        <v/>
      </c>
      <c r="K4777" s="100"/>
      <c r="M4777" s="100"/>
      <c r="N4777" s="100"/>
      <c r="O4777" s="100"/>
      <c r="P4777" s="100"/>
    </row>
    <row r="4778">
      <c r="A4778" s="107">
        <v>1629013.0</v>
      </c>
      <c r="B4778" s="108" t="s">
        <v>245</v>
      </c>
      <c r="C4778" s="108" t="s">
        <v>1143</v>
      </c>
      <c r="D4778" s="112" t="s">
        <v>177</v>
      </c>
      <c r="E4778" s="112">
        <v>726.8</v>
      </c>
      <c r="F4778" s="111" t="str">
        <f>DataPull!D4778</f>
        <v/>
      </c>
      <c r="G4778" s="94" t="str">
        <f t="shared" si="2"/>
        <v/>
      </c>
      <c r="H4778" s="94" t="str">
        <f t="shared" si="3"/>
        <v/>
      </c>
      <c r="I4778" s="94" t="str">
        <f t="shared" ref="I4778:J4778" si="4779">if(G4778 = "", , -G4778)</f>
        <v/>
      </c>
      <c r="J4778" s="94" t="str">
        <f t="shared" si="4779"/>
        <v/>
      </c>
      <c r="K4778" s="100"/>
      <c r="M4778" s="100"/>
      <c r="N4778" s="100"/>
      <c r="O4778" s="100"/>
      <c r="P4778" s="100"/>
    </row>
    <row r="4779">
      <c r="A4779" s="120">
        <v>1629013.0</v>
      </c>
      <c r="B4779" s="121" t="s">
        <v>246</v>
      </c>
      <c r="C4779" s="121" t="s">
        <v>1143</v>
      </c>
      <c r="D4779" s="122" t="s">
        <v>177</v>
      </c>
      <c r="E4779" s="122">
        <v>760.0</v>
      </c>
      <c r="F4779" s="111" t="str">
        <f>DataPull!D4779</f>
        <v/>
      </c>
      <c r="G4779" s="94" t="str">
        <f t="shared" si="2"/>
        <v/>
      </c>
      <c r="H4779" s="94" t="str">
        <f t="shared" si="3"/>
        <v/>
      </c>
      <c r="I4779" s="94" t="str">
        <f t="shared" ref="I4779:J4779" si="4780">if(G4779 = "", , -G4779)</f>
        <v/>
      </c>
      <c r="J4779" s="94" t="str">
        <f t="shared" si="4780"/>
        <v/>
      </c>
      <c r="K4779" s="100"/>
      <c r="M4779" s="100"/>
      <c r="N4779" s="100"/>
      <c r="O4779" s="100"/>
      <c r="P4779" s="100"/>
    </row>
    <row r="4780">
      <c r="A4780" s="114">
        <v>1629013.0</v>
      </c>
      <c r="B4780" s="113" t="s">
        <v>247</v>
      </c>
      <c r="C4780" s="113" t="s">
        <v>1143</v>
      </c>
      <c r="D4780" s="112" t="s">
        <v>176</v>
      </c>
      <c r="E4780" s="112">
        <v>1173.0</v>
      </c>
      <c r="F4780" s="111" t="str">
        <f>DataPull!D4780</f>
        <v/>
      </c>
      <c r="G4780" s="94" t="str">
        <f t="shared" si="2"/>
        <v/>
      </c>
      <c r="H4780" s="94" t="str">
        <f t="shared" si="3"/>
        <v/>
      </c>
      <c r="I4780" s="94" t="str">
        <f t="shared" ref="I4780:J4780" si="4781">if(G4780 = "", , -G4780)</f>
        <v/>
      </c>
      <c r="J4780" s="94" t="str">
        <f t="shared" si="4781"/>
        <v/>
      </c>
      <c r="K4780" s="100"/>
      <c r="L4780" s="100"/>
      <c r="N4780" s="100"/>
      <c r="O4780" s="100"/>
      <c r="P4780" s="100"/>
    </row>
    <row r="4781">
      <c r="A4781" s="107">
        <v>1629014.0</v>
      </c>
      <c r="B4781" s="108" t="s">
        <v>192</v>
      </c>
      <c r="C4781" s="108" t="s">
        <v>1144</v>
      </c>
      <c r="D4781" s="112" t="s">
        <v>187</v>
      </c>
      <c r="E4781" s="112">
        <v>140.0</v>
      </c>
      <c r="F4781" s="111" t="str">
        <f>DataPull!D4781</f>
        <v/>
      </c>
      <c r="G4781" s="94" t="str">
        <f t="shared" si="2"/>
        <v/>
      </c>
      <c r="H4781" s="94" t="str">
        <f t="shared" si="3"/>
        <v/>
      </c>
      <c r="I4781" s="94" t="str">
        <f t="shared" ref="I4781:J4781" si="4782">if(G4781 = "", , -G4781)</f>
        <v/>
      </c>
      <c r="J4781" s="94" t="str">
        <f t="shared" si="4782"/>
        <v/>
      </c>
      <c r="K4781" s="100"/>
      <c r="M4781" s="100"/>
      <c r="N4781" s="100"/>
      <c r="O4781" s="100"/>
      <c r="P4781" s="100"/>
    </row>
    <row r="4782">
      <c r="A4782" s="107">
        <v>1629014.0</v>
      </c>
      <c r="B4782" s="108" t="s">
        <v>193</v>
      </c>
      <c r="C4782" s="108" t="s">
        <v>1144</v>
      </c>
      <c r="D4782" s="112" t="s">
        <v>177</v>
      </c>
      <c r="E4782" s="112">
        <v>1449.0</v>
      </c>
      <c r="F4782" s="111" t="str">
        <f>DataPull!D4782</f>
        <v/>
      </c>
      <c r="G4782" s="94" t="str">
        <f t="shared" si="2"/>
        <v/>
      </c>
      <c r="H4782" s="94" t="str">
        <f t="shared" si="3"/>
        <v/>
      </c>
      <c r="I4782" s="94" t="str">
        <f t="shared" ref="I4782:J4782" si="4783">if(G4782 = "", , -G4782)</f>
        <v/>
      </c>
      <c r="J4782" s="94" t="str">
        <f t="shared" si="4783"/>
        <v/>
      </c>
      <c r="K4782" s="100"/>
      <c r="L4782" s="100"/>
      <c r="N4782" s="100"/>
      <c r="O4782" s="100"/>
      <c r="P4782" s="100"/>
    </row>
    <row r="4783">
      <c r="A4783" s="107">
        <v>1629014.0</v>
      </c>
      <c r="B4783" s="108" t="s">
        <v>243</v>
      </c>
      <c r="C4783" s="108" t="s">
        <v>1144</v>
      </c>
      <c r="D4783" s="112" t="s">
        <v>177</v>
      </c>
      <c r="E4783" s="112">
        <v>1107.2</v>
      </c>
      <c r="F4783" s="111" t="str">
        <f>DataPull!D4783</f>
        <v/>
      </c>
      <c r="G4783" s="94" t="str">
        <f t="shared" si="2"/>
        <v/>
      </c>
      <c r="H4783" s="94" t="str">
        <f t="shared" si="3"/>
        <v/>
      </c>
      <c r="I4783" s="94" t="str">
        <f t="shared" ref="I4783:J4783" si="4784">if(G4783 = "", , -G4783)</f>
        <v/>
      </c>
      <c r="J4783" s="94" t="str">
        <f t="shared" si="4784"/>
        <v/>
      </c>
      <c r="K4783" s="100"/>
      <c r="M4783" s="100"/>
      <c r="N4783" s="100"/>
      <c r="O4783" s="100"/>
      <c r="P4783" s="100"/>
    </row>
    <row r="4784">
      <c r="A4784" s="107">
        <v>1629014.0</v>
      </c>
      <c r="B4784" s="108" t="s">
        <v>215</v>
      </c>
      <c r="C4784" s="108" t="s">
        <v>1144</v>
      </c>
      <c r="D4784" s="112" t="s">
        <v>176</v>
      </c>
      <c r="E4784" s="112">
        <v>1681.5</v>
      </c>
      <c r="F4784" s="111" t="str">
        <f>DataPull!D4784</f>
        <v/>
      </c>
      <c r="G4784" s="94" t="str">
        <f t="shared" si="2"/>
        <v/>
      </c>
      <c r="H4784" s="94" t="str">
        <f t="shared" si="3"/>
        <v/>
      </c>
      <c r="I4784" s="94" t="str">
        <f t="shared" ref="I4784:J4784" si="4785">if(G4784 = "", , -G4784)</f>
        <v/>
      </c>
      <c r="J4784" s="94" t="str">
        <f t="shared" si="4785"/>
        <v/>
      </c>
      <c r="K4784" s="100"/>
      <c r="L4784" s="100"/>
      <c r="M4784" s="100"/>
      <c r="N4784" s="100"/>
      <c r="O4784" s="100"/>
      <c r="P4784" s="100"/>
    </row>
    <row r="4785">
      <c r="A4785" s="107">
        <v>1629014.0</v>
      </c>
      <c r="B4785" s="108" t="s">
        <v>244</v>
      </c>
      <c r="C4785" s="108" t="s">
        <v>1144</v>
      </c>
      <c r="D4785" s="112" t="s">
        <v>178</v>
      </c>
      <c r="E4785" s="112">
        <v>2170.0</v>
      </c>
      <c r="F4785" s="111" t="str">
        <f>DataPull!D4785</f>
        <v/>
      </c>
      <c r="G4785" s="94" t="str">
        <f t="shared" si="2"/>
        <v/>
      </c>
      <c r="H4785" s="94" t="str">
        <f t="shared" si="3"/>
        <v/>
      </c>
      <c r="I4785" s="94" t="str">
        <f t="shared" ref="I4785:J4785" si="4786">if(G4785 = "", , -G4785)</f>
        <v/>
      </c>
      <c r="J4785" s="94" t="str">
        <f t="shared" si="4786"/>
        <v/>
      </c>
      <c r="K4785" s="100"/>
      <c r="M4785" s="100"/>
      <c r="N4785" s="100"/>
      <c r="O4785" s="100"/>
      <c r="P4785" s="100"/>
    </row>
    <row r="4786">
      <c r="A4786" s="107">
        <v>1629014.0</v>
      </c>
      <c r="B4786" s="108" t="s">
        <v>245</v>
      </c>
      <c r="C4786" s="108" t="s">
        <v>1144</v>
      </c>
      <c r="D4786" s="112" t="s">
        <v>178</v>
      </c>
      <c r="E4786" s="112">
        <v>1582.4</v>
      </c>
      <c r="F4786" s="111" t="str">
        <f>DataPull!D4786</f>
        <v/>
      </c>
      <c r="G4786" s="94" t="str">
        <f t="shared" si="2"/>
        <v/>
      </c>
      <c r="H4786" s="94" t="str">
        <f t="shared" si="3"/>
        <v/>
      </c>
      <c r="I4786" s="94" t="str">
        <f t="shared" ref="I4786:J4786" si="4787">if(G4786 = "", , -G4786)</f>
        <v/>
      </c>
      <c r="J4786" s="94" t="str">
        <f t="shared" si="4787"/>
        <v/>
      </c>
      <c r="K4786" s="100"/>
      <c r="M4786" s="100"/>
      <c r="N4786" s="100"/>
      <c r="O4786" s="100"/>
      <c r="P4786" s="100"/>
    </row>
    <row r="4787">
      <c r="A4787" s="107">
        <v>1629014.0</v>
      </c>
      <c r="B4787" s="108" t="s">
        <v>246</v>
      </c>
      <c r="C4787" s="108" t="s">
        <v>1144</v>
      </c>
      <c r="D4787" s="112" t="s">
        <v>178</v>
      </c>
      <c r="E4787" s="112">
        <v>2289.0</v>
      </c>
      <c r="F4787" s="111" t="str">
        <f>DataPull!D4787</f>
        <v/>
      </c>
      <c r="G4787" s="94" t="str">
        <f t="shared" si="2"/>
        <v/>
      </c>
      <c r="H4787" s="94" t="str">
        <f t="shared" si="3"/>
        <v/>
      </c>
      <c r="I4787" s="94" t="str">
        <f t="shared" ref="I4787:J4787" si="4788">if(G4787 = "", , -G4787)</f>
        <v/>
      </c>
      <c r="J4787" s="94" t="str">
        <f t="shared" si="4788"/>
        <v/>
      </c>
      <c r="K4787" s="100"/>
      <c r="M4787" s="100"/>
      <c r="N4787" s="100"/>
      <c r="O4787" s="100"/>
      <c r="P4787" s="100"/>
    </row>
    <row r="4788">
      <c r="A4788" s="114">
        <v>1629014.0</v>
      </c>
      <c r="B4788" s="113" t="s">
        <v>247</v>
      </c>
      <c r="C4788" s="113" t="s">
        <v>1144</v>
      </c>
      <c r="D4788" s="112" t="s">
        <v>178</v>
      </c>
      <c r="E4788" s="112">
        <v>1369.5</v>
      </c>
      <c r="F4788" s="111" t="str">
        <f>DataPull!D4788</f>
        <v/>
      </c>
      <c r="G4788" s="94" t="str">
        <f t="shared" si="2"/>
        <v/>
      </c>
      <c r="H4788" s="94" t="str">
        <f t="shared" si="3"/>
        <v/>
      </c>
      <c r="I4788" s="94" t="str">
        <f t="shared" ref="I4788:J4788" si="4789">if(G4788 = "", , -G4788)</f>
        <v/>
      </c>
      <c r="J4788" s="94" t="str">
        <f t="shared" si="4789"/>
        <v/>
      </c>
      <c r="K4788" s="100"/>
      <c r="M4788" s="100"/>
      <c r="N4788" s="100"/>
      <c r="O4788" s="100"/>
      <c r="P4788" s="100"/>
    </row>
    <row r="4789">
      <c r="A4789" s="107">
        <v>1629015.0</v>
      </c>
      <c r="B4789" s="108" t="s">
        <v>192</v>
      </c>
      <c r="C4789" s="108" t="s">
        <v>1145</v>
      </c>
      <c r="D4789" s="112" t="s">
        <v>181</v>
      </c>
      <c r="E4789" s="112">
        <v>110.4</v>
      </c>
      <c r="F4789" s="111" t="str">
        <f>DataPull!D4789</f>
        <v/>
      </c>
      <c r="G4789" s="94" t="str">
        <f t="shared" si="2"/>
        <v/>
      </c>
      <c r="H4789" s="94" t="str">
        <f t="shared" si="3"/>
        <v/>
      </c>
      <c r="I4789" s="94" t="str">
        <f t="shared" ref="I4789:J4789" si="4790">if(G4789 = "", , -G4789)</f>
        <v/>
      </c>
      <c r="J4789" s="94" t="str">
        <f t="shared" si="4790"/>
        <v/>
      </c>
      <c r="K4789" s="100"/>
      <c r="M4789" s="100"/>
      <c r="N4789" s="100"/>
      <c r="O4789" s="100"/>
      <c r="P4789" s="100"/>
    </row>
    <row r="4790">
      <c r="A4790" s="107">
        <v>1629015.0</v>
      </c>
      <c r="B4790" s="108" t="s">
        <v>193</v>
      </c>
      <c r="C4790" s="108" t="s">
        <v>1145</v>
      </c>
      <c r="D4790" s="112" t="s">
        <v>181</v>
      </c>
      <c r="E4790" s="112">
        <v>32.2</v>
      </c>
      <c r="F4790" s="111" t="str">
        <f>DataPull!D4790</f>
        <v/>
      </c>
      <c r="G4790" s="94" t="str">
        <f t="shared" si="2"/>
        <v/>
      </c>
      <c r="H4790" s="94" t="str">
        <f t="shared" si="3"/>
        <v/>
      </c>
      <c r="I4790" s="94" t="str">
        <f t="shared" ref="I4790:J4790" si="4791">if(G4790 = "", , -G4790)</f>
        <v/>
      </c>
      <c r="J4790" s="94" t="str">
        <f t="shared" si="4791"/>
        <v/>
      </c>
      <c r="K4790" s="100"/>
      <c r="M4790" s="100"/>
      <c r="N4790" s="100"/>
      <c r="O4790" s="100"/>
      <c r="P4790" s="100"/>
    </row>
    <row r="4791">
      <c r="A4791" s="107">
        <v>1629016.0</v>
      </c>
      <c r="B4791" s="108" t="s">
        <v>192</v>
      </c>
      <c r="C4791" s="108" t="s">
        <v>1146</v>
      </c>
      <c r="D4791" s="112" t="s">
        <v>177</v>
      </c>
      <c r="E4791" s="112">
        <v>805.0</v>
      </c>
      <c r="F4791" s="111" t="str">
        <f>DataPull!D4791</f>
        <v/>
      </c>
      <c r="G4791" s="94" t="str">
        <f t="shared" si="2"/>
        <v/>
      </c>
      <c r="H4791" s="94" t="str">
        <f t="shared" si="3"/>
        <v/>
      </c>
      <c r="I4791" s="94" t="str">
        <f t="shared" ref="I4791:J4791" si="4792">if(G4791 = "", , -G4791)</f>
        <v/>
      </c>
      <c r="J4791" s="94" t="str">
        <f t="shared" si="4792"/>
        <v/>
      </c>
      <c r="K4791" s="100"/>
      <c r="M4791" s="100"/>
      <c r="N4791" s="100"/>
      <c r="O4791" s="100"/>
      <c r="P4791" s="100"/>
    </row>
    <row r="4792">
      <c r="A4792" s="107">
        <v>1629016.0</v>
      </c>
      <c r="B4792" s="108" t="s">
        <v>193</v>
      </c>
      <c r="C4792" s="108" t="s">
        <v>1146</v>
      </c>
      <c r="D4792" s="112" t="s">
        <v>177</v>
      </c>
      <c r="E4792" s="112">
        <v>886.9</v>
      </c>
      <c r="F4792" s="111" t="str">
        <f>DataPull!D4792</f>
        <v/>
      </c>
      <c r="G4792" s="94" t="str">
        <f t="shared" si="2"/>
        <v/>
      </c>
      <c r="H4792" s="94" t="str">
        <f t="shared" si="3"/>
        <v/>
      </c>
      <c r="I4792" s="94" t="str">
        <f t="shared" ref="I4792:J4792" si="4793">if(G4792 = "", , -G4792)</f>
        <v/>
      </c>
      <c r="J4792" s="94" t="str">
        <f t="shared" si="4793"/>
        <v/>
      </c>
      <c r="K4792" s="100"/>
      <c r="M4792" s="100"/>
      <c r="N4792" s="100"/>
      <c r="O4792" s="100"/>
      <c r="P4792" s="100"/>
    </row>
    <row r="4793">
      <c r="A4793" s="107">
        <v>1629017.0</v>
      </c>
      <c r="B4793" s="108" t="s">
        <v>192</v>
      </c>
      <c r="C4793" s="108" t="s">
        <v>1147</v>
      </c>
      <c r="D4793" s="112" t="s">
        <v>187</v>
      </c>
      <c r="E4793" s="112">
        <v>195.0</v>
      </c>
      <c r="F4793" s="111" t="str">
        <f>DataPull!D4793</f>
        <v/>
      </c>
      <c r="G4793" s="94" t="str">
        <f t="shared" si="2"/>
        <v/>
      </c>
      <c r="H4793" s="94" t="str">
        <f t="shared" si="3"/>
        <v/>
      </c>
      <c r="I4793" s="94" t="str">
        <f t="shared" ref="I4793:J4793" si="4794">if(G4793 = "", , -G4793)</f>
        <v/>
      </c>
      <c r="J4793" s="94" t="str">
        <f t="shared" si="4794"/>
        <v/>
      </c>
      <c r="K4793" s="100"/>
      <c r="M4793" s="100"/>
      <c r="N4793" s="100"/>
      <c r="O4793" s="100"/>
      <c r="P4793" s="100"/>
    </row>
    <row r="4794">
      <c r="A4794" s="107">
        <v>1629017.0</v>
      </c>
      <c r="B4794" s="108" t="s">
        <v>193</v>
      </c>
      <c r="C4794" s="108" t="s">
        <v>1147</v>
      </c>
      <c r="D4794" s="112" t="s">
        <v>187</v>
      </c>
      <c r="E4794" s="112">
        <v>61.6</v>
      </c>
      <c r="F4794" s="111" t="str">
        <f>DataPull!D4794</f>
        <v/>
      </c>
      <c r="G4794" s="94" t="str">
        <f t="shared" si="2"/>
        <v/>
      </c>
      <c r="H4794" s="94" t="str">
        <f t="shared" si="3"/>
        <v/>
      </c>
      <c r="I4794" s="94" t="str">
        <f t="shared" ref="I4794:J4794" si="4795">if(G4794 = "", , -G4794)</f>
        <v/>
      </c>
      <c r="J4794" s="94" t="str">
        <f t="shared" si="4795"/>
        <v/>
      </c>
      <c r="K4794" s="100"/>
      <c r="M4794" s="100"/>
      <c r="N4794" s="100"/>
      <c r="O4794" s="100"/>
      <c r="P4794" s="100"/>
    </row>
    <row r="4795">
      <c r="A4795" s="107">
        <v>1629017.0</v>
      </c>
      <c r="B4795" s="108" t="s">
        <v>243</v>
      </c>
      <c r="C4795" s="108" t="s">
        <v>1147</v>
      </c>
      <c r="D4795" s="112" t="s">
        <v>181</v>
      </c>
      <c r="E4795" s="112">
        <v>153.0</v>
      </c>
      <c r="F4795" s="111" t="str">
        <f>DataPull!D4795</f>
        <v/>
      </c>
      <c r="G4795" s="94" t="str">
        <f t="shared" si="2"/>
        <v/>
      </c>
      <c r="H4795" s="94" t="str">
        <f t="shared" si="3"/>
        <v/>
      </c>
      <c r="I4795" s="94" t="str">
        <f t="shared" ref="I4795:J4795" si="4796">if(G4795 = "", , -G4795)</f>
        <v/>
      </c>
      <c r="J4795" s="94" t="str">
        <f t="shared" si="4796"/>
        <v/>
      </c>
      <c r="K4795" s="100"/>
      <c r="L4795" s="100"/>
      <c r="M4795" s="100"/>
      <c r="N4795" s="100"/>
      <c r="O4795" s="100"/>
      <c r="P4795" s="100"/>
    </row>
    <row r="4796">
      <c r="A4796" s="107">
        <v>1629018.0</v>
      </c>
      <c r="B4796" s="108" t="s">
        <v>192</v>
      </c>
      <c r="C4796" s="108" t="s">
        <v>1148</v>
      </c>
      <c r="D4796" s="112" t="s">
        <v>187</v>
      </c>
      <c r="E4796" s="112">
        <v>111.0</v>
      </c>
      <c r="F4796" s="111" t="str">
        <f>DataPull!D4796</f>
        <v/>
      </c>
      <c r="G4796" s="94" t="str">
        <f t="shared" si="2"/>
        <v/>
      </c>
      <c r="H4796" s="94" t="str">
        <f t="shared" si="3"/>
        <v/>
      </c>
      <c r="I4796" s="94" t="str">
        <f t="shared" ref="I4796:J4796" si="4797">if(G4796 = "", , -G4796)</f>
        <v/>
      </c>
      <c r="J4796" s="94" t="str">
        <f t="shared" si="4797"/>
        <v/>
      </c>
      <c r="K4796" s="100"/>
      <c r="M4796" s="100"/>
      <c r="N4796" s="100"/>
      <c r="O4796" s="100"/>
      <c r="P4796" s="100"/>
    </row>
    <row r="4797">
      <c r="A4797" s="107">
        <v>1629018.0</v>
      </c>
      <c r="B4797" s="108" t="s">
        <v>193</v>
      </c>
      <c r="C4797" s="108" t="s">
        <v>1148</v>
      </c>
      <c r="D4797" s="112" t="s">
        <v>177</v>
      </c>
      <c r="E4797" s="112">
        <v>1329.8</v>
      </c>
      <c r="F4797" s="111" t="str">
        <f>DataPull!D4797</f>
        <v/>
      </c>
      <c r="G4797" s="94" t="str">
        <f t="shared" si="2"/>
        <v/>
      </c>
      <c r="H4797" s="94" t="str">
        <f t="shared" si="3"/>
        <v/>
      </c>
      <c r="I4797" s="94" t="str">
        <f t="shared" ref="I4797:J4797" si="4798">if(G4797 = "", , -G4797)</f>
        <v/>
      </c>
      <c r="J4797" s="94" t="str">
        <f t="shared" si="4798"/>
        <v/>
      </c>
      <c r="K4797" s="100"/>
      <c r="M4797" s="100"/>
      <c r="N4797" s="100"/>
      <c r="O4797" s="100"/>
      <c r="P4797" s="100"/>
    </row>
    <row r="4798">
      <c r="A4798" s="107">
        <v>1629018.0</v>
      </c>
      <c r="B4798" s="108" t="s">
        <v>243</v>
      </c>
      <c r="C4798" s="108" t="s">
        <v>1148</v>
      </c>
      <c r="D4798" s="112" t="s">
        <v>178</v>
      </c>
      <c r="E4798" s="112">
        <v>1803.8</v>
      </c>
      <c r="F4798" s="111" t="str">
        <f>DataPull!D4798</f>
        <v/>
      </c>
      <c r="G4798" s="94" t="str">
        <f t="shared" si="2"/>
        <v/>
      </c>
      <c r="H4798" s="94" t="str">
        <f t="shared" si="3"/>
        <v/>
      </c>
      <c r="I4798" s="94" t="str">
        <f t="shared" ref="I4798:J4798" si="4799">if(G4798 = "", , -G4798)</f>
        <v/>
      </c>
      <c r="J4798" s="94" t="str">
        <f t="shared" si="4799"/>
        <v/>
      </c>
      <c r="K4798" s="100"/>
      <c r="M4798" s="100"/>
      <c r="N4798" s="100"/>
      <c r="O4798" s="100"/>
      <c r="P4798" s="100"/>
    </row>
    <row r="4799">
      <c r="A4799" s="107">
        <v>1629018.0</v>
      </c>
      <c r="B4799" s="108" t="s">
        <v>215</v>
      </c>
      <c r="C4799" s="108" t="s">
        <v>1148</v>
      </c>
      <c r="D4799" s="112" t="s">
        <v>178</v>
      </c>
      <c r="E4799" s="112">
        <v>2450.0</v>
      </c>
      <c r="F4799" s="111" t="str">
        <f>DataPull!D4799</f>
        <v/>
      </c>
      <c r="G4799" s="94" t="str">
        <f t="shared" si="2"/>
        <v/>
      </c>
      <c r="H4799" s="94" t="str">
        <f t="shared" si="3"/>
        <v/>
      </c>
      <c r="I4799" s="94" t="str">
        <f t="shared" ref="I4799:J4799" si="4800">if(G4799 = "", , -G4799)</f>
        <v/>
      </c>
      <c r="J4799" s="94" t="str">
        <f t="shared" si="4800"/>
        <v/>
      </c>
      <c r="K4799" s="100"/>
      <c r="M4799" s="100"/>
      <c r="N4799" s="100"/>
      <c r="O4799" s="100"/>
      <c r="P4799" s="100"/>
    </row>
    <row r="4800">
      <c r="A4800" s="107">
        <v>1629018.0</v>
      </c>
      <c r="B4800" s="108" t="s">
        <v>244</v>
      </c>
      <c r="C4800" s="108" t="s">
        <v>1148</v>
      </c>
      <c r="D4800" s="112" t="s">
        <v>178</v>
      </c>
      <c r="E4800" s="112">
        <v>2118.6</v>
      </c>
      <c r="F4800" s="111" t="str">
        <f>DataPull!D4800</f>
        <v/>
      </c>
      <c r="G4800" s="94" t="str">
        <f t="shared" si="2"/>
        <v/>
      </c>
      <c r="H4800" s="94" t="str">
        <f t="shared" si="3"/>
        <v/>
      </c>
      <c r="I4800" s="94" t="str">
        <f t="shared" ref="I4800:J4800" si="4801">if(G4800 = "", , -G4800)</f>
        <v/>
      </c>
      <c r="J4800" s="94" t="str">
        <f t="shared" si="4801"/>
        <v/>
      </c>
      <c r="K4800" s="100"/>
      <c r="M4800" s="100"/>
      <c r="N4800" s="100"/>
      <c r="O4800" s="100"/>
      <c r="P4800" s="100"/>
    </row>
    <row r="4801">
      <c r="A4801" s="107">
        <v>1629018.0</v>
      </c>
      <c r="B4801" s="108" t="s">
        <v>245</v>
      </c>
      <c r="C4801" s="108" t="s">
        <v>1148</v>
      </c>
      <c r="D4801" s="112" t="s">
        <v>176</v>
      </c>
      <c r="E4801" s="112">
        <v>1995.1</v>
      </c>
      <c r="F4801" s="111" t="str">
        <f>DataPull!D4801</f>
        <v/>
      </c>
      <c r="G4801" s="94" t="str">
        <f t="shared" si="2"/>
        <v/>
      </c>
      <c r="H4801" s="94" t="str">
        <f t="shared" si="3"/>
        <v/>
      </c>
      <c r="I4801" s="94" t="str">
        <f t="shared" ref="I4801:J4801" si="4802">if(G4801 = "", , -G4801)</f>
        <v/>
      </c>
      <c r="J4801" s="94" t="str">
        <f t="shared" si="4802"/>
        <v/>
      </c>
      <c r="K4801" s="100"/>
      <c r="M4801" s="100"/>
      <c r="N4801" s="100"/>
      <c r="O4801" s="100"/>
      <c r="P4801" s="100"/>
    </row>
    <row r="4802">
      <c r="A4802" s="107">
        <v>1629018.0</v>
      </c>
      <c r="B4802" s="108" t="s">
        <v>246</v>
      </c>
      <c r="C4802" s="108" t="s">
        <v>1148</v>
      </c>
      <c r="D4802" s="112" t="s">
        <v>176</v>
      </c>
      <c r="E4802" s="112">
        <v>1894.4</v>
      </c>
      <c r="F4802" s="111" t="str">
        <f>DataPull!D4802</f>
        <v/>
      </c>
      <c r="G4802" s="94" t="str">
        <f t="shared" si="2"/>
        <v/>
      </c>
      <c r="H4802" s="94" t="str">
        <f t="shared" si="3"/>
        <v/>
      </c>
      <c r="I4802" s="94" t="str">
        <f t="shared" ref="I4802:J4802" si="4803">if(G4802 = "", , -G4802)</f>
        <v/>
      </c>
      <c r="J4802" s="94" t="str">
        <f t="shared" si="4803"/>
        <v/>
      </c>
      <c r="K4802" s="100"/>
      <c r="M4802" s="100"/>
      <c r="N4802" s="100"/>
      <c r="O4802" s="100"/>
      <c r="P4802" s="100"/>
    </row>
    <row r="4803">
      <c r="A4803" s="114">
        <v>1629018.0</v>
      </c>
      <c r="B4803" s="113" t="s">
        <v>247</v>
      </c>
      <c r="C4803" s="108" t="s">
        <v>1148</v>
      </c>
      <c r="D4803" s="112" t="s">
        <v>176</v>
      </c>
      <c r="E4803" s="112">
        <v>1378.0</v>
      </c>
      <c r="F4803" s="111" t="str">
        <f>DataPull!D4803</f>
        <v/>
      </c>
      <c r="G4803" s="94" t="str">
        <f t="shared" si="2"/>
        <v/>
      </c>
      <c r="H4803" s="94" t="str">
        <f t="shared" si="3"/>
        <v/>
      </c>
      <c r="I4803" s="94" t="str">
        <f t="shared" ref="I4803:J4803" si="4804">if(G4803 = "", , -G4803)</f>
        <v/>
      </c>
      <c r="J4803" s="94" t="str">
        <f t="shared" si="4804"/>
        <v/>
      </c>
      <c r="K4803" s="100"/>
      <c r="M4803" s="100"/>
      <c r="N4803" s="100"/>
      <c r="O4803" s="100"/>
      <c r="P4803" s="100"/>
    </row>
    <row r="4804">
      <c r="A4804" s="107">
        <v>1629019.0</v>
      </c>
      <c r="B4804" s="108" t="s">
        <v>192</v>
      </c>
      <c r="C4804" s="108" t="s">
        <v>1149</v>
      </c>
      <c r="D4804" s="112" t="s">
        <v>176</v>
      </c>
      <c r="E4804" s="112">
        <v>1459.2</v>
      </c>
      <c r="F4804" s="111" t="str">
        <f>DataPull!D4804</f>
        <v/>
      </c>
      <c r="G4804" s="94" t="str">
        <f t="shared" si="2"/>
        <v/>
      </c>
      <c r="H4804" s="94" t="str">
        <f t="shared" si="3"/>
        <v/>
      </c>
      <c r="I4804" s="94" t="str">
        <f t="shared" ref="I4804:J4804" si="4805">if(G4804 = "", , -G4804)</f>
        <v/>
      </c>
      <c r="J4804" s="94" t="str">
        <f t="shared" si="4805"/>
        <v/>
      </c>
      <c r="K4804" s="100"/>
      <c r="M4804" s="100"/>
      <c r="N4804" s="100"/>
      <c r="O4804" s="100"/>
      <c r="P4804" s="100"/>
    </row>
    <row r="4805">
      <c r="A4805" s="107">
        <v>1629019.0</v>
      </c>
      <c r="B4805" s="108" t="s">
        <v>193</v>
      </c>
      <c r="C4805" s="108" t="s">
        <v>1149</v>
      </c>
      <c r="D4805" s="112" t="s">
        <v>187</v>
      </c>
      <c r="E4805" s="112">
        <v>290.4</v>
      </c>
      <c r="F4805" s="111" t="str">
        <f>DataPull!D4805</f>
        <v/>
      </c>
      <c r="G4805" s="94" t="str">
        <f t="shared" si="2"/>
        <v/>
      </c>
      <c r="H4805" s="94" t="str">
        <f t="shared" si="3"/>
        <v/>
      </c>
      <c r="I4805" s="94" t="str">
        <f t="shared" ref="I4805:J4805" si="4806">if(G4805 = "", , -G4805)</f>
        <v/>
      </c>
      <c r="J4805" s="94" t="str">
        <f t="shared" si="4806"/>
        <v/>
      </c>
      <c r="K4805" s="100"/>
      <c r="M4805" s="100"/>
      <c r="N4805" s="100"/>
      <c r="O4805" s="100"/>
      <c r="P4805" s="100"/>
    </row>
    <row r="4806">
      <c r="A4806" s="107">
        <v>1629020.0</v>
      </c>
      <c r="B4806" s="108" t="s">
        <v>192</v>
      </c>
      <c r="C4806" s="108" t="s">
        <v>1150</v>
      </c>
      <c r="D4806" s="112" t="s">
        <v>187</v>
      </c>
      <c r="E4806" s="112">
        <v>69.7</v>
      </c>
      <c r="F4806" s="111" t="str">
        <f>DataPull!D4806</f>
        <v/>
      </c>
      <c r="G4806" s="94" t="str">
        <f t="shared" si="2"/>
        <v/>
      </c>
      <c r="H4806" s="94" t="str">
        <f t="shared" si="3"/>
        <v/>
      </c>
      <c r="I4806" s="94" t="str">
        <f t="shared" ref="I4806:J4806" si="4807">if(G4806 = "", , -G4806)</f>
        <v/>
      </c>
      <c r="J4806" s="94" t="str">
        <f t="shared" si="4807"/>
        <v/>
      </c>
      <c r="K4806" s="100"/>
      <c r="M4806" s="100"/>
      <c r="N4806" s="100"/>
      <c r="O4806" s="100"/>
      <c r="P4806" s="100"/>
    </row>
    <row r="4807">
      <c r="A4807" s="107">
        <v>1629020.0</v>
      </c>
      <c r="B4807" s="108" t="s">
        <v>193</v>
      </c>
      <c r="C4807" s="108" t="s">
        <v>1150</v>
      </c>
      <c r="D4807" s="112" t="s">
        <v>187</v>
      </c>
      <c r="E4807" s="112">
        <v>46.2</v>
      </c>
      <c r="F4807" s="111" t="str">
        <f>DataPull!D4807</f>
        <v/>
      </c>
      <c r="G4807" s="94" t="str">
        <f t="shared" si="2"/>
        <v/>
      </c>
      <c r="H4807" s="94" t="str">
        <f t="shared" si="3"/>
        <v/>
      </c>
      <c r="I4807" s="94" t="str">
        <f t="shared" ref="I4807:J4807" si="4808">if(G4807 = "", , -G4807)</f>
        <v/>
      </c>
      <c r="J4807" s="94" t="str">
        <f t="shared" si="4808"/>
        <v/>
      </c>
      <c r="K4807" s="100"/>
      <c r="M4807" s="100"/>
      <c r="N4807" s="100"/>
      <c r="O4807" s="100"/>
      <c r="P4807" s="100"/>
    </row>
    <row r="4808">
      <c r="A4808" s="107">
        <v>1629020.0</v>
      </c>
      <c r="B4808" s="108" t="s">
        <v>243</v>
      </c>
      <c r="C4808" s="108" t="s">
        <v>1150</v>
      </c>
      <c r="D4808" s="112" t="s">
        <v>177</v>
      </c>
      <c r="E4808" s="112">
        <v>1139.2</v>
      </c>
      <c r="F4808" s="111" t="str">
        <f>DataPull!D4808</f>
        <v/>
      </c>
      <c r="G4808" s="94" t="str">
        <f t="shared" si="2"/>
        <v/>
      </c>
      <c r="H4808" s="94" t="str">
        <f t="shared" si="3"/>
        <v/>
      </c>
      <c r="I4808" s="94" t="str">
        <f t="shared" ref="I4808:J4808" si="4809">if(G4808 = "", , -G4808)</f>
        <v/>
      </c>
      <c r="J4808" s="94" t="str">
        <f t="shared" si="4809"/>
        <v/>
      </c>
      <c r="K4808" s="100"/>
      <c r="M4808" s="100"/>
      <c r="N4808" s="100"/>
      <c r="O4808" s="100"/>
      <c r="P4808" s="100"/>
    </row>
    <row r="4809">
      <c r="A4809" s="107">
        <v>1629020.0</v>
      </c>
      <c r="B4809" s="108" t="s">
        <v>215</v>
      </c>
      <c r="C4809" s="108" t="s">
        <v>1150</v>
      </c>
      <c r="D4809" s="112" t="s">
        <v>176</v>
      </c>
      <c r="E4809" s="112">
        <v>1879.6</v>
      </c>
      <c r="F4809" s="111" t="str">
        <f>DataPull!D4809</f>
        <v/>
      </c>
      <c r="G4809" s="94" t="str">
        <f t="shared" si="2"/>
        <v/>
      </c>
      <c r="H4809" s="94" t="str">
        <f t="shared" si="3"/>
        <v/>
      </c>
      <c r="I4809" s="94" t="str">
        <f t="shared" ref="I4809:J4809" si="4810">if(G4809 = "", , -G4809)</f>
        <v/>
      </c>
      <c r="J4809" s="94" t="str">
        <f t="shared" si="4810"/>
        <v/>
      </c>
      <c r="K4809" s="100"/>
      <c r="M4809" s="100"/>
      <c r="N4809" s="100"/>
      <c r="O4809" s="100"/>
      <c r="P4809" s="100"/>
    </row>
    <row r="4810">
      <c r="A4810" s="107">
        <v>1629020.0</v>
      </c>
      <c r="B4810" s="108" t="s">
        <v>244</v>
      </c>
      <c r="C4810" s="108" t="s">
        <v>1150</v>
      </c>
      <c r="D4810" s="112" t="s">
        <v>176</v>
      </c>
      <c r="E4810" s="112">
        <v>1879.8</v>
      </c>
      <c r="F4810" s="111" t="str">
        <f>DataPull!D4810</f>
        <v/>
      </c>
      <c r="G4810" s="94" t="str">
        <f t="shared" si="2"/>
        <v/>
      </c>
      <c r="H4810" s="94" t="str">
        <f t="shared" si="3"/>
        <v/>
      </c>
      <c r="I4810" s="94" t="str">
        <f t="shared" ref="I4810:J4810" si="4811">if(G4810 = "", , -G4810)</f>
        <v/>
      </c>
      <c r="J4810" s="94" t="str">
        <f t="shared" si="4811"/>
        <v/>
      </c>
      <c r="K4810" s="100"/>
      <c r="L4810" s="100"/>
      <c r="N4810" s="100"/>
      <c r="O4810" s="100"/>
      <c r="P4810" s="100"/>
    </row>
    <row r="4811">
      <c r="A4811" s="107">
        <v>1629020.0</v>
      </c>
      <c r="B4811" s="108" t="s">
        <v>245</v>
      </c>
      <c r="C4811" s="108" t="s">
        <v>1150</v>
      </c>
      <c r="D4811" s="112" t="s">
        <v>177</v>
      </c>
      <c r="E4811" s="112">
        <v>580.0</v>
      </c>
      <c r="F4811" s="111" t="str">
        <f>DataPull!D4811</f>
        <v/>
      </c>
      <c r="G4811" s="94" t="str">
        <f t="shared" si="2"/>
        <v/>
      </c>
      <c r="H4811" s="94" t="str">
        <f t="shared" si="3"/>
        <v/>
      </c>
      <c r="I4811" s="94" t="str">
        <f t="shared" ref="I4811:J4811" si="4812">if(G4811 = "", , -G4811)</f>
        <v/>
      </c>
      <c r="J4811" s="94" t="str">
        <f t="shared" si="4812"/>
        <v/>
      </c>
      <c r="K4811" s="100"/>
      <c r="M4811" s="100"/>
      <c r="N4811" s="100"/>
      <c r="O4811" s="100"/>
      <c r="P4811" s="100"/>
    </row>
    <row r="4812">
      <c r="A4812" s="107">
        <v>1629020.0</v>
      </c>
      <c r="B4812" s="108" t="s">
        <v>246</v>
      </c>
      <c r="C4812" s="108" t="s">
        <v>1150</v>
      </c>
      <c r="D4812" s="112" t="s">
        <v>177</v>
      </c>
      <c r="E4812" s="112">
        <v>579.6</v>
      </c>
      <c r="F4812" s="111" t="str">
        <f>DataPull!D4812</f>
        <v/>
      </c>
      <c r="G4812" s="94" t="str">
        <f t="shared" si="2"/>
        <v/>
      </c>
      <c r="H4812" s="94" t="str">
        <f t="shared" si="3"/>
        <v/>
      </c>
      <c r="I4812" s="94" t="str">
        <f t="shared" ref="I4812:J4812" si="4813">if(G4812 = "", , -G4812)</f>
        <v/>
      </c>
      <c r="J4812" s="94" t="str">
        <f t="shared" si="4813"/>
        <v/>
      </c>
      <c r="K4812" s="100"/>
      <c r="L4812" s="100"/>
      <c r="N4812" s="100"/>
      <c r="O4812" s="100"/>
      <c r="P4812" s="100"/>
    </row>
    <row r="4813">
      <c r="A4813" s="114">
        <v>1629020.0</v>
      </c>
      <c r="B4813" s="113" t="s">
        <v>247</v>
      </c>
      <c r="C4813" s="113" t="s">
        <v>1150</v>
      </c>
      <c r="D4813" s="112" t="s">
        <v>177</v>
      </c>
      <c r="E4813" s="112">
        <v>1124.5</v>
      </c>
      <c r="F4813" s="111" t="str">
        <f>DataPull!D4813</f>
        <v/>
      </c>
      <c r="G4813" s="94" t="str">
        <f t="shared" si="2"/>
        <v/>
      </c>
      <c r="H4813" s="94" t="str">
        <f t="shared" si="3"/>
        <v/>
      </c>
      <c r="I4813" s="94" t="str">
        <f t="shared" ref="I4813:J4813" si="4814">if(G4813 = "", , -G4813)</f>
        <v/>
      </c>
      <c r="J4813" s="94" t="str">
        <f t="shared" si="4814"/>
        <v/>
      </c>
      <c r="K4813" s="100"/>
      <c r="M4813" s="100"/>
      <c r="N4813" s="100"/>
      <c r="O4813" s="100"/>
      <c r="P4813" s="100"/>
    </row>
    <row r="4814">
      <c r="A4814" s="107">
        <v>1629021.0</v>
      </c>
      <c r="B4814" s="108" t="s">
        <v>192</v>
      </c>
      <c r="C4814" s="108" t="s">
        <v>1151</v>
      </c>
      <c r="D4814" s="112"/>
      <c r="E4814" s="112">
        <v>447.2</v>
      </c>
      <c r="F4814" s="111" t="str">
        <f>DataPull!D4814</f>
        <v/>
      </c>
      <c r="G4814" s="94" t="str">
        <f t="shared" si="2"/>
        <v/>
      </c>
      <c r="H4814" s="94" t="str">
        <f t="shared" si="3"/>
        <v/>
      </c>
      <c r="I4814" s="94" t="str">
        <f t="shared" ref="I4814:J4814" si="4815">if(G4814 = "", , -G4814)</f>
        <v/>
      </c>
      <c r="J4814" s="94" t="str">
        <f t="shared" si="4815"/>
        <v/>
      </c>
      <c r="K4814" s="100"/>
      <c r="L4814" s="100"/>
      <c r="N4814" s="100"/>
      <c r="O4814" s="100"/>
      <c r="P4814" s="100"/>
    </row>
    <row r="4815">
      <c r="A4815" s="107">
        <v>1629021.0</v>
      </c>
      <c r="B4815" s="108" t="s">
        <v>193</v>
      </c>
      <c r="C4815" s="108" t="s">
        <v>1151</v>
      </c>
      <c r="D4815" s="112"/>
      <c r="E4815" s="112">
        <v>837.0</v>
      </c>
      <c r="F4815" s="111" t="str">
        <f>DataPull!D4815</f>
        <v/>
      </c>
      <c r="G4815" s="94" t="str">
        <f t="shared" si="2"/>
        <v/>
      </c>
      <c r="H4815" s="94" t="str">
        <f t="shared" si="3"/>
        <v/>
      </c>
      <c r="I4815" s="94" t="str">
        <f t="shared" ref="I4815:J4815" si="4816">if(G4815 = "", , -G4815)</f>
        <v/>
      </c>
      <c r="J4815" s="94" t="str">
        <f t="shared" si="4816"/>
        <v/>
      </c>
      <c r="K4815" s="100"/>
      <c r="M4815" s="100"/>
      <c r="N4815" s="100"/>
      <c r="O4815" s="100"/>
      <c r="P4815" s="100"/>
    </row>
    <row r="4816">
      <c r="A4816" s="107">
        <v>1629021.0</v>
      </c>
      <c r="B4816" s="108" t="s">
        <v>243</v>
      </c>
      <c r="C4816" s="108" t="s">
        <v>1151</v>
      </c>
      <c r="D4816" s="112"/>
      <c r="E4816" s="112">
        <v>720.0</v>
      </c>
      <c r="F4816" s="111" t="str">
        <f>DataPull!D4816</f>
        <v/>
      </c>
      <c r="G4816" s="94" t="str">
        <f t="shared" si="2"/>
        <v/>
      </c>
      <c r="H4816" s="94" t="str">
        <f t="shared" si="3"/>
        <v/>
      </c>
      <c r="I4816" s="94" t="str">
        <f t="shared" ref="I4816:J4816" si="4817">if(G4816 = "", , -G4816)</f>
        <v/>
      </c>
      <c r="J4816" s="94" t="str">
        <f t="shared" si="4817"/>
        <v/>
      </c>
      <c r="K4816" s="100"/>
      <c r="M4816" s="100"/>
      <c r="N4816" s="100"/>
      <c r="O4816" s="100"/>
      <c r="P4816" s="100"/>
    </row>
    <row r="4817">
      <c r="A4817" s="107">
        <v>1629021.0</v>
      </c>
      <c r="B4817" s="108" t="s">
        <v>215</v>
      </c>
      <c r="C4817" s="108" t="s">
        <v>1151</v>
      </c>
      <c r="D4817" s="112"/>
      <c r="E4817" s="112">
        <v>957.6</v>
      </c>
      <c r="F4817" s="111" t="str">
        <f>DataPull!D4817</f>
        <v/>
      </c>
      <c r="G4817" s="94" t="str">
        <f t="shared" si="2"/>
        <v/>
      </c>
      <c r="H4817" s="94" t="str">
        <f t="shared" si="3"/>
        <v/>
      </c>
      <c r="I4817" s="94" t="str">
        <f t="shared" ref="I4817:J4817" si="4818">if(G4817 = "", , -G4817)</f>
        <v/>
      </c>
      <c r="J4817" s="94" t="str">
        <f t="shared" si="4818"/>
        <v/>
      </c>
      <c r="K4817" s="100"/>
      <c r="M4817" s="100"/>
      <c r="N4817" s="100"/>
      <c r="O4817" s="100"/>
      <c r="P4817" s="100"/>
    </row>
    <row r="4818">
      <c r="A4818" s="107">
        <v>1629021.0</v>
      </c>
      <c r="B4818" s="108" t="s">
        <v>244</v>
      </c>
      <c r="C4818" s="108" t="s">
        <v>1151</v>
      </c>
      <c r="D4818" s="112"/>
      <c r="E4818" s="112">
        <v>1111.5</v>
      </c>
      <c r="F4818" s="111" t="str">
        <f>DataPull!D4818</f>
        <v/>
      </c>
      <c r="G4818" s="94" t="str">
        <f t="shared" si="2"/>
        <v/>
      </c>
      <c r="H4818" s="94" t="str">
        <f t="shared" si="3"/>
        <v/>
      </c>
      <c r="I4818" s="94" t="str">
        <f t="shared" ref="I4818:J4818" si="4819">if(G4818 = "", , -G4818)</f>
        <v/>
      </c>
      <c r="J4818" s="94" t="str">
        <f t="shared" si="4819"/>
        <v/>
      </c>
      <c r="K4818" s="100"/>
      <c r="M4818" s="100"/>
      <c r="N4818" s="100"/>
      <c r="O4818" s="100"/>
    </row>
    <row r="4819">
      <c r="A4819" s="107">
        <v>1629021.0</v>
      </c>
      <c r="B4819" s="108" t="s">
        <v>245</v>
      </c>
      <c r="C4819" s="108" t="s">
        <v>1151</v>
      </c>
      <c r="D4819" s="112"/>
      <c r="E4819" s="112">
        <v>1416.0</v>
      </c>
      <c r="F4819" s="111" t="str">
        <f>DataPull!D4819</f>
        <v/>
      </c>
      <c r="G4819" s="94" t="str">
        <f t="shared" si="2"/>
        <v/>
      </c>
      <c r="H4819" s="94" t="str">
        <f t="shared" si="3"/>
        <v/>
      </c>
      <c r="I4819" s="94" t="str">
        <f t="shared" ref="I4819:J4819" si="4820">if(G4819 = "", , -G4819)</f>
        <v/>
      </c>
      <c r="J4819" s="94" t="str">
        <f t="shared" si="4820"/>
        <v/>
      </c>
      <c r="K4819" s="100"/>
      <c r="L4819" s="100"/>
      <c r="M4819" s="100"/>
      <c r="N4819" s="100"/>
      <c r="O4819" s="100"/>
      <c r="P4819" s="100"/>
    </row>
    <row r="4820">
      <c r="A4820" s="107">
        <v>1629021.0</v>
      </c>
      <c r="B4820" s="108" t="s">
        <v>246</v>
      </c>
      <c r="C4820" s="108" t="s">
        <v>1151</v>
      </c>
      <c r="D4820" s="112"/>
      <c r="E4820" s="112">
        <v>564.0</v>
      </c>
      <c r="F4820" s="111" t="str">
        <f>DataPull!D4820</f>
        <v/>
      </c>
      <c r="G4820" s="94" t="str">
        <f t="shared" si="2"/>
        <v/>
      </c>
      <c r="H4820" s="94" t="str">
        <f t="shared" si="3"/>
        <v/>
      </c>
      <c r="I4820" s="94" t="str">
        <f t="shared" ref="I4820:J4820" si="4821">if(G4820 = "", , -G4820)</f>
        <v/>
      </c>
      <c r="J4820" s="94" t="str">
        <f t="shared" si="4821"/>
        <v/>
      </c>
      <c r="K4820" s="100"/>
      <c r="M4820" s="100"/>
      <c r="N4820" s="100"/>
      <c r="O4820" s="100"/>
      <c r="P4820" s="100"/>
    </row>
    <row r="4821">
      <c r="A4821" s="89">
        <v>1629021.0</v>
      </c>
      <c r="B4821" s="113" t="s">
        <v>247</v>
      </c>
      <c r="C4821" s="113" t="s">
        <v>1151</v>
      </c>
      <c r="D4821" s="112"/>
      <c r="E4821" s="112">
        <v>424.8</v>
      </c>
      <c r="F4821" s="111" t="str">
        <f>DataPull!D4821</f>
        <v/>
      </c>
      <c r="G4821" s="94" t="str">
        <f t="shared" si="2"/>
        <v/>
      </c>
      <c r="H4821" s="94" t="str">
        <f t="shared" si="3"/>
        <v/>
      </c>
      <c r="I4821" s="94" t="str">
        <f t="shared" ref="I4821:J4821" si="4822">if(G4821 = "", , -G4821)</f>
        <v/>
      </c>
      <c r="J4821" s="94" t="str">
        <f t="shared" si="4822"/>
        <v/>
      </c>
      <c r="K4821" s="100"/>
      <c r="M4821" s="100"/>
      <c r="N4821" s="100"/>
      <c r="O4821" s="100"/>
      <c r="P4821" s="100"/>
    </row>
    <row r="4822">
      <c r="A4822" s="107">
        <v>1629022.0</v>
      </c>
      <c r="B4822" s="108" t="s">
        <v>192</v>
      </c>
      <c r="C4822" s="108" t="s">
        <v>1152</v>
      </c>
      <c r="D4822" s="112" t="s">
        <v>187</v>
      </c>
      <c r="E4822" s="112">
        <v>117.3</v>
      </c>
      <c r="F4822" s="111" t="str">
        <f>DataPull!D4822</f>
        <v/>
      </c>
      <c r="G4822" s="94" t="str">
        <f t="shared" si="2"/>
        <v/>
      </c>
      <c r="H4822" s="94" t="str">
        <f t="shared" si="3"/>
        <v/>
      </c>
      <c r="I4822" s="94" t="str">
        <f t="shared" ref="I4822:J4822" si="4823">if(G4822 = "", , -G4822)</f>
        <v/>
      </c>
      <c r="J4822" s="94" t="str">
        <f t="shared" si="4823"/>
        <v/>
      </c>
      <c r="K4822" s="100"/>
      <c r="M4822" s="100"/>
      <c r="N4822" s="100"/>
      <c r="O4822" s="100"/>
      <c r="P4822" s="100"/>
    </row>
    <row r="4823">
      <c r="A4823" s="107">
        <v>1629022.0</v>
      </c>
      <c r="B4823" s="108" t="s">
        <v>193</v>
      </c>
      <c r="C4823" s="108" t="s">
        <v>1152</v>
      </c>
      <c r="D4823" s="112" t="s">
        <v>177</v>
      </c>
      <c r="E4823" s="112">
        <v>988.2</v>
      </c>
      <c r="F4823" s="111" t="str">
        <f>DataPull!D4823</f>
        <v/>
      </c>
      <c r="G4823" s="94" t="str">
        <f t="shared" si="2"/>
        <v/>
      </c>
      <c r="H4823" s="94" t="str">
        <f t="shared" si="3"/>
        <v/>
      </c>
      <c r="I4823" s="94" t="str">
        <f t="shared" ref="I4823:J4823" si="4824">if(G4823 = "", , -G4823)</f>
        <v/>
      </c>
      <c r="J4823" s="94" t="str">
        <f t="shared" si="4824"/>
        <v/>
      </c>
      <c r="K4823" s="100"/>
      <c r="L4823" s="100"/>
      <c r="N4823" s="100"/>
      <c r="O4823" s="100"/>
      <c r="P4823" s="100"/>
    </row>
    <row r="4824">
      <c r="A4824" s="107">
        <v>1629022.0</v>
      </c>
      <c r="B4824" s="108" t="s">
        <v>243</v>
      </c>
      <c r="C4824" s="108" t="s">
        <v>1152</v>
      </c>
      <c r="D4824" s="112" t="s">
        <v>176</v>
      </c>
      <c r="E4824" s="112">
        <v>1524.0</v>
      </c>
      <c r="F4824" s="111" t="str">
        <f>DataPull!D4824</f>
        <v/>
      </c>
      <c r="G4824" s="94" t="str">
        <f t="shared" si="2"/>
        <v/>
      </c>
      <c r="H4824" s="94" t="str">
        <f t="shared" si="3"/>
        <v/>
      </c>
      <c r="I4824" s="94" t="str">
        <f t="shared" ref="I4824:J4824" si="4825">if(G4824 = "", , -G4824)</f>
        <v/>
      </c>
      <c r="J4824" s="94" t="str">
        <f t="shared" si="4825"/>
        <v/>
      </c>
      <c r="K4824" s="100"/>
      <c r="M4824" s="100"/>
      <c r="N4824" s="100"/>
      <c r="O4824" s="100"/>
      <c r="P4824" s="100"/>
    </row>
    <row r="4825">
      <c r="A4825" s="107">
        <v>1629022.0</v>
      </c>
      <c r="B4825" s="108" t="s">
        <v>215</v>
      </c>
      <c r="C4825" s="108" t="s">
        <v>1152</v>
      </c>
      <c r="D4825" s="112" t="s">
        <v>176</v>
      </c>
      <c r="E4825" s="112">
        <v>1610.0</v>
      </c>
      <c r="F4825" s="111" t="str">
        <f>DataPull!D4825</f>
        <v/>
      </c>
      <c r="G4825" s="94" t="str">
        <f t="shared" si="2"/>
        <v/>
      </c>
      <c r="H4825" s="94" t="str">
        <f t="shared" si="3"/>
        <v/>
      </c>
      <c r="I4825" s="94" t="str">
        <f t="shared" ref="I4825:J4825" si="4826">if(G4825 = "", , -G4825)</f>
        <v/>
      </c>
      <c r="J4825" s="94" t="str">
        <f t="shared" si="4826"/>
        <v/>
      </c>
      <c r="K4825" s="100"/>
      <c r="M4825" s="100"/>
      <c r="N4825" s="100"/>
      <c r="O4825" s="100"/>
      <c r="P4825" s="100"/>
    </row>
    <row r="4826">
      <c r="A4826" s="107">
        <v>1629022.0</v>
      </c>
      <c r="B4826" s="108" t="s">
        <v>244</v>
      </c>
      <c r="C4826" s="108" t="s">
        <v>1152</v>
      </c>
      <c r="D4826" s="112" t="s">
        <v>176</v>
      </c>
      <c r="E4826" s="112">
        <v>1299.2</v>
      </c>
      <c r="F4826" s="111" t="str">
        <f>DataPull!D4826</f>
        <v/>
      </c>
      <c r="G4826" s="94" t="str">
        <f t="shared" si="2"/>
        <v/>
      </c>
      <c r="H4826" s="94" t="str">
        <f t="shared" si="3"/>
        <v/>
      </c>
      <c r="I4826" s="94" t="str">
        <f t="shared" ref="I4826:J4826" si="4827">if(G4826 = "", , -G4826)</f>
        <v/>
      </c>
      <c r="J4826" s="94" t="str">
        <f t="shared" si="4827"/>
        <v/>
      </c>
      <c r="K4826" s="100"/>
      <c r="M4826" s="100"/>
      <c r="N4826" s="100"/>
      <c r="O4826" s="100"/>
      <c r="P4826" s="100"/>
    </row>
    <row r="4827">
      <c r="A4827" s="107">
        <v>1629022.0</v>
      </c>
      <c r="B4827" s="108" t="s">
        <v>245</v>
      </c>
      <c r="C4827" s="108" t="s">
        <v>1152</v>
      </c>
      <c r="D4827" s="112" t="s">
        <v>177</v>
      </c>
      <c r="E4827" s="112">
        <v>1009.2</v>
      </c>
      <c r="F4827" s="111" t="str">
        <f>DataPull!D4827</f>
        <v/>
      </c>
      <c r="G4827" s="94" t="str">
        <f t="shared" si="2"/>
        <v/>
      </c>
      <c r="H4827" s="94" t="str">
        <f t="shared" si="3"/>
        <v/>
      </c>
      <c r="I4827" s="94" t="str">
        <f t="shared" ref="I4827:J4827" si="4828">if(G4827 = "", , -G4827)</f>
        <v/>
      </c>
      <c r="J4827" s="94" t="str">
        <f t="shared" si="4828"/>
        <v/>
      </c>
      <c r="K4827" s="100"/>
      <c r="M4827" s="100"/>
      <c r="N4827" s="100"/>
      <c r="O4827" s="100"/>
      <c r="P4827" s="100"/>
    </row>
    <row r="4828">
      <c r="A4828" s="123">
        <v>1629022.0</v>
      </c>
      <c r="B4828" s="124" t="s">
        <v>246</v>
      </c>
      <c r="C4828" s="125" t="s">
        <v>1152</v>
      </c>
      <c r="D4828" s="112" t="s">
        <v>176</v>
      </c>
      <c r="E4828" s="112">
        <v>476.0</v>
      </c>
      <c r="F4828" s="111" t="str">
        <f>DataPull!D4828</f>
        <v/>
      </c>
      <c r="G4828" s="94" t="str">
        <f t="shared" si="2"/>
        <v/>
      </c>
      <c r="H4828" s="94" t="str">
        <f t="shared" si="3"/>
        <v/>
      </c>
      <c r="I4828" s="94" t="str">
        <f t="shared" ref="I4828:J4828" si="4829">if(G4828 = "", , -G4828)</f>
        <v/>
      </c>
      <c r="J4828" s="94" t="str">
        <f t="shared" si="4829"/>
        <v/>
      </c>
      <c r="K4828" s="100"/>
      <c r="M4828" s="100"/>
      <c r="N4828" s="100"/>
      <c r="O4828" s="100"/>
      <c r="P4828" s="100"/>
    </row>
    <row r="4829">
      <c r="A4829" s="107">
        <v>1629023.0</v>
      </c>
      <c r="B4829" s="108" t="s">
        <v>193</v>
      </c>
      <c r="C4829" s="108" t="s">
        <v>1153</v>
      </c>
      <c r="D4829" s="112" t="s">
        <v>178</v>
      </c>
      <c r="E4829" s="112">
        <v>1757.4</v>
      </c>
      <c r="F4829" s="111" t="str">
        <f>DataPull!D4829</f>
        <v/>
      </c>
      <c r="G4829" s="94" t="str">
        <f t="shared" si="2"/>
        <v/>
      </c>
      <c r="H4829" s="94" t="str">
        <f t="shared" si="3"/>
        <v/>
      </c>
      <c r="I4829" s="94" t="str">
        <f t="shared" ref="I4829:J4829" si="4830">if(G4829 = "", , -G4829)</f>
        <v/>
      </c>
      <c r="J4829" s="94" t="str">
        <f t="shared" si="4830"/>
        <v/>
      </c>
      <c r="K4829" s="100"/>
      <c r="M4829" s="100"/>
      <c r="N4829" s="100"/>
      <c r="O4829" s="100"/>
      <c r="P4829" s="100"/>
    </row>
    <row r="4830">
      <c r="A4830" s="107">
        <v>1629023.0</v>
      </c>
      <c r="B4830" s="108" t="s">
        <v>243</v>
      </c>
      <c r="C4830" s="108" t="s">
        <v>1153</v>
      </c>
      <c r="D4830" s="112" t="s">
        <v>178</v>
      </c>
      <c r="E4830" s="112">
        <v>1952.0</v>
      </c>
      <c r="F4830" s="111" t="str">
        <f>DataPull!D4830</f>
        <v/>
      </c>
      <c r="G4830" s="94" t="str">
        <f t="shared" si="2"/>
        <v/>
      </c>
      <c r="H4830" s="94" t="str">
        <f t="shared" si="3"/>
        <v/>
      </c>
      <c r="I4830" s="94" t="str">
        <f t="shared" ref="I4830:J4830" si="4831">if(G4830 = "", , -G4830)</f>
        <v/>
      </c>
      <c r="J4830" s="94" t="str">
        <f t="shared" si="4831"/>
        <v/>
      </c>
      <c r="K4830" s="100"/>
      <c r="M4830" s="100"/>
      <c r="N4830" s="100"/>
      <c r="O4830" s="100"/>
      <c r="P4830" s="100"/>
    </row>
    <row r="4831">
      <c r="A4831" s="107">
        <v>1629023.0</v>
      </c>
      <c r="B4831" s="108" t="s">
        <v>215</v>
      </c>
      <c r="C4831" s="108" t="s">
        <v>1153</v>
      </c>
      <c r="D4831" s="112" t="s">
        <v>178</v>
      </c>
      <c r="E4831" s="112">
        <v>1768.0</v>
      </c>
      <c r="F4831" s="111" t="str">
        <f>DataPull!D4831</f>
        <v/>
      </c>
      <c r="G4831" s="94" t="str">
        <f t="shared" si="2"/>
        <v/>
      </c>
      <c r="H4831" s="94" t="str">
        <f t="shared" si="3"/>
        <v/>
      </c>
      <c r="I4831" s="94" t="str">
        <f t="shared" ref="I4831:J4831" si="4832">if(G4831 = "", , -G4831)</f>
        <v/>
      </c>
      <c r="J4831" s="94" t="str">
        <f t="shared" si="4832"/>
        <v/>
      </c>
      <c r="K4831" s="100"/>
      <c r="M4831" s="100"/>
      <c r="N4831" s="100"/>
      <c r="O4831" s="100"/>
      <c r="P4831" s="100"/>
    </row>
    <row r="4832">
      <c r="A4832" s="107">
        <v>1629023.0</v>
      </c>
      <c r="B4832" s="108" t="s">
        <v>244</v>
      </c>
      <c r="C4832" s="108" t="s">
        <v>1153</v>
      </c>
      <c r="D4832" s="112" t="s">
        <v>178</v>
      </c>
      <c r="E4832" s="112">
        <v>2379.8</v>
      </c>
      <c r="F4832" s="111" t="str">
        <f>DataPull!D4832</f>
        <v/>
      </c>
      <c r="G4832" s="94" t="str">
        <f t="shared" si="2"/>
        <v/>
      </c>
      <c r="H4832" s="94" t="str">
        <f t="shared" si="3"/>
        <v/>
      </c>
      <c r="I4832" s="94" t="str">
        <f t="shared" ref="I4832:J4832" si="4833">if(G4832 = "", , -G4832)</f>
        <v/>
      </c>
      <c r="J4832" s="94" t="str">
        <f t="shared" si="4833"/>
        <v/>
      </c>
      <c r="K4832" s="100"/>
      <c r="L4832" s="100"/>
      <c r="M4832" s="100"/>
      <c r="N4832" s="100"/>
      <c r="O4832" s="100"/>
      <c r="P4832" s="100"/>
    </row>
    <row r="4833">
      <c r="A4833" s="107">
        <v>1629023.0</v>
      </c>
      <c r="B4833" s="108" t="s">
        <v>245</v>
      </c>
      <c r="C4833" s="108" t="s">
        <v>1153</v>
      </c>
      <c r="D4833" s="112" t="s">
        <v>176</v>
      </c>
      <c r="E4833" s="112">
        <v>2219.2</v>
      </c>
      <c r="F4833" s="111" t="str">
        <f>DataPull!D4833</f>
        <v/>
      </c>
      <c r="G4833" s="94" t="str">
        <f t="shared" si="2"/>
        <v/>
      </c>
      <c r="H4833" s="94" t="str">
        <f t="shared" si="3"/>
        <v/>
      </c>
      <c r="I4833" s="94" t="str">
        <f t="shared" ref="I4833:J4833" si="4834">if(G4833 = "", , -G4833)</f>
        <v/>
      </c>
      <c r="J4833" s="94" t="str">
        <f t="shared" si="4834"/>
        <v/>
      </c>
      <c r="K4833" s="100"/>
      <c r="M4833" s="100"/>
      <c r="N4833" s="100"/>
      <c r="O4833" s="100"/>
      <c r="P4833" s="100"/>
    </row>
    <row r="4834">
      <c r="A4834" s="107">
        <v>1629023.0</v>
      </c>
      <c r="B4834" s="108" t="s">
        <v>246</v>
      </c>
      <c r="C4834" s="108" t="s">
        <v>1153</v>
      </c>
      <c r="D4834" s="112" t="s">
        <v>178</v>
      </c>
      <c r="E4834" s="112">
        <v>1835.4</v>
      </c>
      <c r="F4834" s="111" t="str">
        <f>DataPull!D4834</f>
        <v/>
      </c>
      <c r="G4834" s="94" t="str">
        <f t="shared" si="2"/>
        <v/>
      </c>
      <c r="H4834" s="94" t="str">
        <f t="shared" si="3"/>
        <v/>
      </c>
      <c r="I4834" s="94" t="str">
        <f t="shared" ref="I4834:J4834" si="4835">if(G4834 = "", , -G4834)</f>
        <v/>
      </c>
      <c r="J4834" s="94" t="str">
        <f t="shared" si="4835"/>
        <v/>
      </c>
      <c r="K4834" s="100"/>
      <c r="M4834" s="100"/>
      <c r="N4834" s="100"/>
      <c r="O4834" s="100"/>
      <c r="P4834" s="100"/>
    </row>
    <row r="4835">
      <c r="A4835" s="114">
        <v>1629023.0</v>
      </c>
      <c r="B4835" s="113" t="s">
        <v>247</v>
      </c>
      <c r="C4835" s="108" t="s">
        <v>1153</v>
      </c>
      <c r="D4835" s="112" t="s">
        <v>178</v>
      </c>
      <c r="E4835" s="112">
        <v>1736.0</v>
      </c>
      <c r="F4835" s="111" t="str">
        <f>DataPull!D4835</f>
        <v/>
      </c>
      <c r="G4835" s="94" t="str">
        <f t="shared" si="2"/>
        <v/>
      </c>
      <c r="H4835" s="94" t="str">
        <f t="shared" si="3"/>
        <v/>
      </c>
      <c r="I4835" s="94" t="str">
        <f t="shared" ref="I4835:J4835" si="4836">if(G4835 = "", , -G4835)</f>
        <v/>
      </c>
      <c r="J4835" s="94" t="str">
        <f t="shared" si="4836"/>
        <v/>
      </c>
      <c r="K4835" s="100"/>
      <c r="M4835" s="100"/>
      <c r="N4835" s="100"/>
      <c r="O4835" s="100"/>
      <c r="P4835" s="100"/>
    </row>
    <row r="4836">
      <c r="A4836" s="107">
        <v>1629026.0</v>
      </c>
      <c r="B4836" s="108" t="s">
        <v>192</v>
      </c>
      <c r="C4836" s="108" t="s">
        <v>1154</v>
      </c>
      <c r="D4836" s="112" t="s">
        <v>176</v>
      </c>
      <c r="E4836" s="112">
        <v>1081.0</v>
      </c>
      <c r="F4836" s="111" t="str">
        <f>DataPull!D4836</f>
        <v/>
      </c>
      <c r="G4836" s="94" t="str">
        <f t="shared" si="2"/>
        <v/>
      </c>
      <c r="H4836" s="94" t="str">
        <f t="shared" si="3"/>
        <v/>
      </c>
      <c r="I4836" s="94" t="str">
        <f t="shared" ref="I4836:J4836" si="4837">if(G4836 = "", , -G4836)</f>
        <v/>
      </c>
      <c r="J4836" s="94" t="str">
        <f t="shared" si="4837"/>
        <v/>
      </c>
      <c r="K4836" s="100"/>
      <c r="M4836" s="100"/>
      <c r="N4836" s="100"/>
      <c r="O4836" s="100"/>
      <c r="P4836" s="100"/>
    </row>
    <row r="4837">
      <c r="A4837" s="107">
        <v>1629026.0</v>
      </c>
      <c r="B4837" s="108" t="s">
        <v>193</v>
      </c>
      <c r="C4837" s="108" t="s">
        <v>1154</v>
      </c>
      <c r="D4837" s="112" t="s">
        <v>176</v>
      </c>
      <c r="E4837" s="112">
        <v>830.7</v>
      </c>
      <c r="F4837" s="111" t="str">
        <f>DataPull!D4837</f>
        <v/>
      </c>
      <c r="G4837" s="94" t="str">
        <f t="shared" si="2"/>
        <v/>
      </c>
      <c r="H4837" s="94" t="str">
        <f t="shared" si="3"/>
        <v/>
      </c>
      <c r="I4837" s="94" t="str">
        <f t="shared" ref="I4837:J4837" si="4838">if(G4837 = "", , -G4837)</f>
        <v/>
      </c>
      <c r="J4837" s="94" t="str">
        <f t="shared" si="4838"/>
        <v/>
      </c>
      <c r="K4837" s="100"/>
      <c r="M4837" s="100"/>
      <c r="N4837" s="100"/>
      <c r="O4837" s="100"/>
      <c r="P4837" s="100"/>
    </row>
    <row r="4838">
      <c r="A4838" s="107">
        <v>1629026.0</v>
      </c>
      <c r="B4838" s="108" t="s">
        <v>243</v>
      </c>
      <c r="C4838" s="108" t="s">
        <v>1154</v>
      </c>
      <c r="D4838" s="112" t="s">
        <v>176</v>
      </c>
      <c r="E4838" s="112">
        <v>1425.6</v>
      </c>
      <c r="F4838" s="111" t="str">
        <f>DataPull!D4838</f>
        <v/>
      </c>
      <c r="G4838" s="94" t="str">
        <f t="shared" si="2"/>
        <v/>
      </c>
      <c r="H4838" s="94" t="str">
        <f t="shared" si="3"/>
        <v/>
      </c>
      <c r="I4838" s="94" t="str">
        <f t="shared" ref="I4838:J4838" si="4839">if(G4838 = "", , -G4838)</f>
        <v/>
      </c>
      <c r="J4838" s="94" t="str">
        <f t="shared" si="4839"/>
        <v/>
      </c>
      <c r="K4838" s="100"/>
      <c r="M4838" s="100"/>
      <c r="N4838" s="100"/>
      <c r="O4838" s="100"/>
      <c r="P4838" s="100"/>
    </row>
    <row r="4839">
      <c r="A4839" s="107">
        <v>1629026.0</v>
      </c>
      <c r="B4839" s="108" t="s">
        <v>215</v>
      </c>
      <c r="C4839" s="108" t="s">
        <v>1154</v>
      </c>
      <c r="D4839" s="112" t="s">
        <v>176</v>
      </c>
      <c r="E4839" s="112">
        <v>1073.1</v>
      </c>
      <c r="F4839" s="111" t="str">
        <f>DataPull!D4839</f>
        <v/>
      </c>
      <c r="G4839" s="94" t="str">
        <f t="shared" si="2"/>
        <v/>
      </c>
      <c r="H4839" s="94" t="str">
        <f t="shared" si="3"/>
        <v/>
      </c>
      <c r="I4839" s="94" t="str">
        <f t="shared" ref="I4839:J4839" si="4840">if(G4839 = "", , -G4839)</f>
        <v/>
      </c>
      <c r="J4839" s="94" t="str">
        <f t="shared" si="4840"/>
        <v/>
      </c>
      <c r="K4839" s="100"/>
      <c r="M4839" s="100"/>
      <c r="N4839" s="100"/>
      <c r="P4839" s="100"/>
    </row>
    <row r="4840">
      <c r="A4840" s="107">
        <v>1629026.0</v>
      </c>
      <c r="B4840" s="108" t="s">
        <v>244</v>
      </c>
      <c r="C4840" s="108" t="s">
        <v>1154</v>
      </c>
      <c r="D4840" s="112" t="s">
        <v>178</v>
      </c>
      <c r="E4840" s="112">
        <v>1208.4</v>
      </c>
      <c r="F4840" s="111" t="str">
        <f>DataPull!D4840</f>
        <v/>
      </c>
      <c r="G4840" s="94" t="str">
        <f t="shared" si="2"/>
        <v/>
      </c>
      <c r="H4840" s="94" t="str">
        <f t="shared" si="3"/>
        <v/>
      </c>
      <c r="I4840" s="94" t="str">
        <f t="shared" ref="I4840:J4840" si="4841">if(G4840 = "", , -G4840)</f>
        <v/>
      </c>
      <c r="J4840" s="94" t="str">
        <f t="shared" si="4841"/>
        <v/>
      </c>
      <c r="K4840" s="100"/>
      <c r="M4840" s="100"/>
      <c r="N4840" s="100"/>
      <c r="O4840" s="100"/>
      <c r="P4840" s="100"/>
    </row>
    <row r="4841">
      <c r="A4841" s="107">
        <v>1629026.0</v>
      </c>
      <c r="B4841" s="108" t="s">
        <v>245</v>
      </c>
      <c r="C4841" s="108" t="s">
        <v>1154</v>
      </c>
      <c r="D4841" s="112" t="s">
        <v>177</v>
      </c>
      <c r="E4841" s="112">
        <v>1028.1</v>
      </c>
      <c r="F4841" s="111" t="str">
        <f>DataPull!D4841</f>
        <v/>
      </c>
      <c r="G4841" s="94" t="str">
        <f t="shared" si="2"/>
        <v/>
      </c>
      <c r="H4841" s="94" t="str">
        <f t="shared" si="3"/>
        <v/>
      </c>
      <c r="I4841" s="94" t="str">
        <f t="shared" ref="I4841:J4841" si="4842">if(G4841 = "", , -G4841)</f>
        <v/>
      </c>
      <c r="J4841" s="94" t="str">
        <f t="shared" si="4842"/>
        <v/>
      </c>
      <c r="K4841" s="100"/>
      <c r="M4841" s="100"/>
      <c r="N4841" s="100"/>
      <c r="O4841" s="100"/>
      <c r="P4841" s="100"/>
    </row>
    <row r="4842">
      <c r="A4842" s="107">
        <v>1629026.0</v>
      </c>
      <c r="B4842" s="108" t="s">
        <v>246</v>
      </c>
      <c r="C4842" s="108" t="s">
        <v>1154</v>
      </c>
      <c r="D4842" s="112" t="s">
        <v>177</v>
      </c>
      <c r="E4842" s="112">
        <v>1131.6</v>
      </c>
      <c r="F4842" s="111" t="str">
        <f>DataPull!D4842</f>
        <v/>
      </c>
      <c r="G4842" s="94" t="str">
        <f t="shared" si="2"/>
        <v/>
      </c>
      <c r="H4842" s="94" t="str">
        <f t="shared" si="3"/>
        <v/>
      </c>
      <c r="I4842" s="94" t="str">
        <f t="shared" ref="I4842:J4842" si="4843">if(G4842 = "", , -G4842)</f>
        <v/>
      </c>
      <c r="J4842" s="94" t="str">
        <f t="shared" si="4843"/>
        <v/>
      </c>
      <c r="K4842" s="100"/>
      <c r="M4842" s="100"/>
      <c r="N4842" s="100"/>
      <c r="O4842" s="100"/>
      <c r="P4842" s="100"/>
    </row>
    <row r="4843">
      <c r="A4843" s="89">
        <v>1629026.0</v>
      </c>
      <c r="B4843" s="113" t="s">
        <v>247</v>
      </c>
      <c r="C4843" s="113" t="s">
        <v>1154</v>
      </c>
      <c r="D4843" s="112" t="s">
        <v>177</v>
      </c>
      <c r="E4843" s="112">
        <v>856.8</v>
      </c>
      <c r="F4843" s="111" t="str">
        <f>DataPull!D4843</f>
        <v/>
      </c>
      <c r="G4843" s="94" t="str">
        <f t="shared" si="2"/>
        <v/>
      </c>
      <c r="H4843" s="94" t="str">
        <f t="shared" si="3"/>
        <v/>
      </c>
      <c r="I4843" s="94" t="str">
        <f t="shared" ref="I4843:J4843" si="4844">if(G4843 = "", , -G4843)</f>
        <v/>
      </c>
      <c r="J4843" s="94" t="str">
        <f t="shared" si="4844"/>
        <v/>
      </c>
      <c r="K4843" s="100"/>
      <c r="M4843" s="100"/>
      <c r="N4843" s="100"/>
      <c r="O4843" s="100"/>
      <c r="P4843" s="100"/>
    </row>
    <row r="4844">
      <c r="A4844" s="107">
        <v>1629027.0</v>
      </c>
      <c r="B4844" s="108" t="s">
        <v>192</v>
      </c>
      <c r="C4844" s="108" t="s">
        <v>1155</v>
      </c>
      <c r="D4844" s="112" t="s">
        <v>178</v>
      </c>
      <c r="E4844" s="112">
        <v>2502.9</v>
      </c>
      <c r="F4844" s="111" t="str">
        <f>DataPull!D4844</f>
        <v/>
      </c>
      <c r="G4844" s="94" t="str">
        <f t="shared" si="2"/>
        <v/>
      </c>
      <c r="H4844" s="94" t="str">
        <f t="shared" si="3"/>
        <v/>
      </c>
      <c r="I4844" s="94" t="str">
        <f t="shared" ref="I4844:J4844" si="4845">if(G4844 = "", , -G4844)</f>
        <v/>
      </c>
      <c r="J4844" s="94" t="str">
        <f t="shared" si="4845"/>
        <v/>
      </c>
      <c r="K4844" s="100"/>
      <c r="M4844" s="100"/>
      <c r="N4844" s="100"/>
      <c r="O4844" s="100"/>
      <c r="P4844" s="100"/>
    </row>
    <row r="4845">
      <c r="A4845" s="107">
        <v>1629027.0</v>
      </c>
      <c r="B4845" s="108" t="s">
        <v>193</v>
      </c>
      <c r="C4845" s="108" t="s">
        <v>1155</v>
      </c>
      <c r="D4845" s="112" t="s">
        <v>184</v>
      </c>
      <c r="E4845" s="112">
        <v>2118.0</v>
      </c>
      <c r="F4845" s="111" t="str">
        <f>DataPull!D4845</f>
        <v/>
      </c>
      <c r="G4845" s="94" t="str">
        <f t="shared" si="2"/>
        <v/>
      </c>
      <c r="H4845" s="94" t="str">
        <f t="shared" si="3"/>
        <v/>
      </c>
      <c r="I4845" s="94" t="str">
        <f t="shared" ref="I4845:J4845" si="4846">if(G4845 = "", , -G4845)</f>
        <v/>
      </c>
      <c r="J4845" s="94" t="str">
        <f t="shared" si="4846"/>
        <v/>
      </c>
      <c r="K4845" s="100"/>
      <c r="M4845" s="100"/>
      <c r="N4845" s="100"/>
      <c r="O4845" s="100"/>
      <c r="P4845" s="100"/>
    </row>
    <row r="4846">
      <c r="A4846" s="107">
        <v>1629027.0</v>
      </c>
      <c r="B4846" s="108" t="s">
        <v>243</v>
      </c>
      <c r="C4846" s="108" t="s">
        <v>1155</v>
      </c>
      <c r="D4846" s="112" t="s">
        <v>184</v>
      </c>
      <c r="E4846" s="112">
        <v>2123.1</v>
      </c>
      <c r="F4846" s="111" t="str">
        <f>DataPull!D4846</f>
        <v/>
      </c>
      <c r="G4846" s="94" t="str">
        <f t="shared" si="2"/>
        <v/>
      </c>
      <c r="H4846" s="94" t="str">
        <f t="shared" si="3"/>
        <v/>
      </c>
      <c r="I4846" s="94" t="str">
        <f t="shared" ref="I4846:J4846" si="4847">if(G4846 = "", , -G4846)</f>
        <v/>
      </c>
      <c r="J4846" s="94" t="str">
        <f t="shared" si="4847"/>
        <v/>
      </c>
      <c r="K4846" s="100"/>
      <c r="M4846" s="100"/>
      <c r="N4846" s="100"/>
      <c r="O4846" s="100"/>
      <c r="P4846" s="100"/>
    </row>
    <row r="4847">
      <c r="A4847" s="107">
        <v>1629027.0</v>
      </c>
      <c r="B4847" s="108" t="s">
        <v>215</v>
      </c>
      <c r="C4847" s="108" t="s">
        <v>1155</v>
      </c>
      <c r="D4847" s="112" t="s">
        <v>184</v>
      </c>
      <c r="E4847" s="112">
        <v>2652.4</v>
      </c>
      <c r="F4847" s="111" t="str">
        <f>DataPull!D4847</f>
        <v/>
      </c>
      <c r="G4847" s="94" t="str">
        <f t="shared" si="2"/>
        <v/>
      </c>
      <c r="H4847" s="94" t="str">
        <f t="shared" si="3"/>
        <v/>
      </c>
      <c r="I4847" s="94" t="str">
        <f t="shared" ref="I4847:J4847" si="4848">if(G4847 = "", , -G4847)</f>
        <v/>
      </c>
      <c r="J4847" s="94" t="str">
        <f t="shared" si="4848"/>
        <v/>
      </c>
      <c r="K4847" s="100"/>
      <c r="M4847" s="100"/>
      <c r="N4847" s="100"/>
      <c r="O4847" s="100"/>
      <c r="P4847" s="100"/>
    </row>
    <row r="4848">
      <c r="A4848" s="107">
        <v>1629027.0</v>
      </c>
      <c r="B4848" s="108" t="s">
        <v>244</v>
      </c>
      <c r="C4848" s="108" t="s">
        <v>1155</v>
      </c>
      <c r="D4848" s="112" t="s">
        <v>184</v>
      </c>
      <c r="E4848" s="112">
        <v>2540.4</v>
      </c>
      <c r="F4848" s="111" t="str">
        <f>DataPull!D4848</f>
        <v/>
      </c>
      <c r="G4848" s="94" t="str">
        <f t="shared" si="2"/>
        <v/>
      </c>
      <c r="H4848" s="94" t="str">
        <f t="shared" si="3"/>
        <v/>
      </c>
      <c r="I4848" s="94" t="str">
        <f t="shared" ref="I4848:J4848" si="4849">if(G4848 = "", , -G4848)</f>
        <v/>
      </c>
      <c r="J4848" s="94" t="str">
        <f t="shared" si="4849"/>
        <v/>
      </c>
      <c r="K4848" s="100"/>
      <c r="M4848" s="100"/>
      <c r="N4848" s="100"/>
      <c r="O4848" s="100"/>
      <c r="P4848" s="100"/>
    </row>
    <row r="4849">
      <c r="A4849" s="107">
        <v>1629027.0</v>
      </c>
      <c r="B4849" s="108" t="s">
        <v>245</v>
      </c>
      <c r="C4849" s="108" t="s">
        <v>1155</v>
      </c>
      <c r="D4849" s="112" t="s">
        <v>184</v>
      </c>
      <c r="E4849" s="112">
        <v>1944.0</v>
      </c>
      <c r="F4849" s="111" t="str">
        <f>DataPull!D4849</f>
        <v/>
      </c>
      <c r="G4849" s="94" t="str">
        <f t="shared" si="2"/>
        <v/>
      </c>
      <c r="H4849" s="94" t="str">
        <f t="shared" si="3"/>
        <v/>
      </c>
      <c r="I4849" s="94" t="str">
        <f t="shared" ref="I4849:J4849" si="4850">if(G4849 = "", , -G4849)</f>
        <v/>
      </c>
      <c r="J4849" s="94" t="str">
        <f t="shared" si="4850"/>
        <v/>
      </c>
      <c r="K4849" s="100"/>
      <c r="M4849" s="100"/>
      <c r="N4849" s="100"/>
      <c r="O4849" s="100"/>
      <c r="P4849" s="100"/>
    </row>
    <row r="4850">
      <c r="A4850" s="107">
        <v>1629027.0</v>
      </c>
      <c r="B4850" s="108" t="s">
        <v>246</v>
      </c>
      <c r="C4850" s="108" t="s">
        <v>1155</v>
      </c>
      <c r="D4850" s="112" t="s">
        <v>184</v>
      </c>
      <c r="E4850" s="112">
        <v>2736.0</v>
      </c>
      <c r="F4850" s="111" t="str">
        <f>DataPull!D4850</f>
        <v/>
      </c>
      <c r="G4850" s="94" t="str">
        <f t="shared" si="2"/>
        <v/>
      </c>
      <c r="H4850" s="94" t="str">
        <f t="shared" si="3"/>
        <v/>
      </c>
      <c r="I4850" s="94" t="str">
        <f t="shared" ref="I4850:J4850" si="4851">if(G4850 = "", , -G4850)</f>
        <v/>
      </c>
      <c r="J4850" s="94" t="str">
        <f t="shared" si="4851"/>
        <v/>
      </c>
      <c r="K4850" s="100"/>
      <c r="M4850" s="100"/>
      <c r="N4850" s="100"/>
      <c r="O4850" s="100"/>
      <c r="P4850" s="100"/>
    </row>
    <row r="4851">
      <c r="A4851" s="114">
        <v>1629027.0</v>
      </c>
      <c r="B4851" s="113" t="s">
        <v>247</v>
      </c>
      <c r="C4851" s="113" t="s">
        <v>1155</v>
      </c>
      <c r="D4851" s="112" t="s">
        <v>176</v>
      </c>
      <c r="E4851" s="112">
        <v>384.0</v>
      </c>
      <c r="F4851" s="111" t="str">
        <f>DataPull!D4851</f>
        <v/>
      </c>
      <c r="G4851" s="94" t="str">
        <f t="shared" si="2"/>
        <v/>
      </c>
      <c r="H4851" s="94" t="str">
        <f t="shared" si="3"/>
        <v/>
      </c>
      <c r="I4851" s="94" t="str">
        <f t="shared" ref="I4851:J4851" si="4852">if(G4851 = "", , -G4851)</f>
        <v/>
      </c>
      <c r="J4851" s="94" t="str">
        <f t="shared" si="4852"/>
        <v/>
      </c>
      <c r="K4851" s="100"/>
      <c r="M4851" s="100"/>
      <c r="N4851" s="100"/>
      <c r="O4851" s="100"/>
      <c r="P4851" s="100"/>
    </row>
    <row r="4852">
      <c r="A4852" s="107">
        <v>1629028.0</v>
      </c>
      <c r="B4852" s="108" t="s">
        <v>192</v>
      </c>
      <c r="C4852" s="108" t="s">
        <v>1156</v>
      </c>
      <c r="D4852" s="112" t="s">
        <v>178</v>
      </c>
      <c r="E4852" s="112">
        <v>2179.7</v>
      </c>
      <c r="F4852" s="111" t="str">
        <f>DataPull!D4852</f>
        <v/>
      </c>
      <c r="G4852" s="94" t="str">
        <f t="shared" si="2"/>
        <v/>
      </c>
      <c r="H4852" s="94" t="str">
        <f t="shared" si="3"/>
        <v/>
      </c>
      <c r="I4852" s="94" t="str">
        <f t="shared" ref="I4852:J4852" si="4853">if(G4852 = "", , -G4852)</f>
        <v/>
      </c>
      <c r="J4852" s="94" t="str">
        <f t="shared" si="4853"/>
        <v/>
      </c>
      <c r="K4852" s="100"/>
      <c r="M4852" s="100"/>
      <c r="N4852" s="100"/>
      <c r="O4852" s="100"/>
      <c r="P4852" s="100"/>
    </row>
    <row r="4853">
      <c r="A4853" s="107">
        <v>1629028.0</v>
      </c>
      <c r="B4853" s="108" t="s">
        <v>193</v>
      </c>
      <c r="C4853" s="108" t="s">
        <v>1156</v>
      </c>
      <c r="D4853" s="112" t="s">
        <v>178</v>
      </c>
      <c r="E4853" s="112">
        <v>1235.0</v>
      </c>
      <c r="F4853" s="111" t="str">
        <f>DataPull!D4853</f>
        <v/>
      </c>
      <c r="G4853" s="94" t="str">
        <f t="shared" si="2"/>
        <v/>
      </c>
      <c r="H4853" s="94" t="str">
        <f t="shared" si="3"/>
        <v/>
      </c>
      <c r="I4853" s="94" t="str">
        <f t="shared" ref="I4853:J4853" si="4854">if(G4853 = "", , -G4853)</f>
        <v/>
      </c>
      <c r="J4853" s="94" t="str">
        <f t="shared" si="4854"/>
        <v/>
      </c>
      <c r="K4853" s="100"/>
      <c r="M4853" s="100"/>
      <c r="N4853" s="100"/>
      <c r="O4853" s="100"/>
      <c r="P4853" s="100"/>
    </row>
    <row r="4854">
      <c r="A4854" s="107">
        <v>1629028.0</v>
      </c>
      <c r="B4854" s="108" t="s">
        <v>243</v>
      </c>
      <c r="C4854" s="108" t="s">
        <v>1156</v>
      </c>
      <c r="D4854" s="112" t="s">
        <v>184</v>
      </c>
      <c r="E4854" s="112">
        <v>2111.4</v>
      </c>
      <c r="F4854" s="111" t="str">
        <f>DataPull!D4854</f>
        <v/>
      </c>
      <c r="G4854" s="94" t="str">
        <f t="shared" si="2"/>
        <v/>
      </c>
      <c r="H4854" s="94" t="str">
        <f t="shared" si="3"/>
        <v/>
      </c>
      <c r="I4854" s="94" t="str">
        <f t="shared" ref="I4854:J4854" si="4855">if(G4854 = "", , -G4854)</f>
        <v/>
      </c>
      <c r="J4854" s="94" t="str">
        <f t="shared" si="4855"/>
        <v/>
      </c>
      <c r="K4854" s="100"/>
      <c r="M4854" s="100"/>
      <c r="N4854" s="100"/>
      <c r="O4854" s="100"/>
      <c r="P4854" s="100"/>
    </row>
    <row r="4855">
      <c r="A4855" s="107">
        <v>1629028.0</v>
      </c>
      <c r="B4855" s="108" t="s">
        <v>215</v>
      </c>
      <c r="C4855" s="108" t="s">
        <v>1156</v>
      </c>
      <c r="D4855" s="112" t="s">
        <v>184</v>
      </c>
      <c r="E4855" s="112">
        <v>1711.0</v>
      </c>
      <c r="F4855" s="111" t="str">
        <f>DataPull!D4855</f>
        <v/>
      </c>
      <c r="G4855" s="94" t="str">
        <f t="shared" si="2"/>
        <v/>
      </c>
      <c r="H4855" s="94" t="str">
        <f t="shared" si="3"/>
        <v/>
      </c>
      <c r="I4855" s="94" t="str">
        <f t="shared" ref="I4855:J4855" si="4856">if(G4855 = "", , -G4855)</f>
        <v/>
      </c>
      <c r="J4855" s="94" t="str">
        <f t="shared" si="4856"/>
        <v/>
      </c>
      <c r="K4855" s="100"/>
      <c r="M4855" s="100"/>
      <c r="N4855" s="100"/>
      <c r="O4855" s="100"/>
      <c r="P4855" s="100"/>
    </row>
    <row r="4856">
      <c r="A4856" s="107">
        <v>1629028.0</v>
      </c>
      <c r="B4856" s="108" t="s">
        <v>244</v>
      </c>
      <c r="C4856" s="108" t="s">
        <v>1156</v>
      </c>
      <c r="D4856" s="112" t="s">
        <v>178</v>
      </c>
      <c r="E4856" s="112">
        <v>2036.8</v>
      </c>
      <c r="F4856" s="111" t="str">
        <f>DataPull!D4856</f>
        <v/>
      </c>
      <c r="G4856" s="94" t="str">
        <f t="shared" si="2"/>
        <v/>
      </c>
      <c r="H4856" s="94" t="str">
        <f t="shared" si="3"/>
        <v/>
      </c>
      <c r="I4856" s="94" t="str">
        <f t="shared" ref="I4856:J4856" si="4857">if(G4856 = "", , -G4856)</f>
        <v/>
      </c>
      <c r="J4856" s="94" t="str">
        <f t="shared" si="4857"/>
        <v/>
      </c>
      <c r="K4856" s="100"/>
      <c r="M4856" s="100"/>
      <c r="N4856" s="100"/>
      <c r="O4856" s="100"/>
      <c r="P4856" s="100"/>
    </row>
    <row r="4857">
      <c r="A4857" s="107">
        <v>1629028.0</v>
      </c>
      <c r="B4857" s="108" t="s">
        <v>245</v>
      </c>
      <c r="C4857" s="108" t="s">
        <v>1156</v>
      </c>
      <c r="D4857" s="112" t="s">
        <v>178</v>
      </c>
      <c r="E4857" s="112">
        <v>1782.0</v>
      </c>
      <c r="F4857" s="111" t="str">
        <f>DataPull!D4857</f>
        <v/>
      </c>
      <c r="G4857" s="94" t="str">
        <f t="shared" si="2"/>
        <v/>
      </c>
      <c r="H4857" s="94" t="str">
        <f t="shared" si="3"/>
        <v/>
      </c>
      <c r="I4857" s="94" t="str">
        <f t="shared" ref="I4857:J4857" si="4858">if(G4857 = "", , -G4857)</f>
        <v/>
      </c>
      <c r="J4857" s="94" t="str">
        <f t="shared" si="4858"/>
        <v/>
      </c>
      <c r="K4857" s="100"/>
      <c r="M4857" s="100"/>
      <c r="N4857" s="100"/>
      <c r="O4857" s="100"/>
      <c r="P4857" s="100"/>
    </row>
    <row r="4858">
      <c r="A4858" s="107">
        <v>1629028.0</v>
      </c>
      <c r="B4858" s="108" t="s">
        <v>246</v>
      </c>
      <c r="C4858" s="108" t="s">
        <v>1156</v>
      </c>
      <c r="D4858" s="112" t="s">
        <v>178</v>
      </c>
      <c r="E4858" s="112">
        <v>1204.0</v>
      </c>
      <c r="F4858" s="111" t="str">
        <f>DataPull!D4858</f>
        <v/>
      </c>
      <c r="G4858" s="94" t="str">
        <f t="shared" si="2"/>
        <v/>
      </c>
      <c r="H4858" s="94" t="str">
        <f t="shared" si="3"/>
        <v/>
      </c>
      <c r="I4858" s="94" t="str">
        <f t="shared" ref="I4858:J4858" si="4859">if(G4858 = "", , -G4858)</f>
        <v/>
      </c>
      <c r="J4858" s="94" t="str">
        <f t="shared" si="4859"/>
        <v/>
      </c>
      <c r="K4858" s="100"/>
      <c r="M4858" s="100"/>
      <c r="N4858" s="100"/>
      <c r="O4858" s="100"/>
      <c r="P4858" s="100"/>
    </row>
    <row r="4859">
      <c r="A4859" s="114">
        <v>1629028.0</v>
      </c>
      <c r="B4859" s="113" t="s">
        <v>247</v>
      </c>
      <c r="C4859" s="113" t="s">
        <v>1156</v>
      </c>
      <c r="D4859" s="112" t="s">
        <v>176</v>
      </c>
      <c r="E4859" s="112">
        <v>1958.4</v>
      </c>
      <c r="F4859" s="111" t="str">
        <f>DataPull!D4859</f>
        <v/>
      </c>
      <c r="G4859" s="94" t="str">
        <f t="shared" si="2"/>
        <v/>
      </c>
      <c r="H4859" s="94" t="str">
        <f t="shared" si="3"/>
        <v/>
      </c>
      <c r="I4859" s="94" t="str">
        <f t="shared" ref="I4859:J4859" si="4860">if(G4859 = "", , -G4859)</f>
        <v/>
      </c>
      <c r="J4859" s="94" t="str">
        <f t="shared" si="4860"/>
        <v/>
      </c>
      <c r="K4859" s="100"/>
      <c r="L4859" s="100"/>
      <c r="M4859" s="100"/>
      <c r="N4859" s="100"/>
      <c r="O4859" s="100"/>
      <c r="P4859" s="100"/>
    </row>
    <row r="4860">
      <c r="A4860" s="107">
        <v>1629029.0</v>
      </c>
      <c r="B4860" s="108" t="s">
        <v>192</v>
      </c>
      <c r="C4860" s="108" t="s">
        <v>1157</v>
      </c>
      <c r="D4860" s="112" t="s">
        <v>178</v>
      </c>
      <c r="E4860" s="112">
        <v>2318.4</v>
      </c>
      <c r="F4860" s="111" t="str">
        <f>DataPull!D4860</f>
        <v/>
      </c>
      <c r="G4860" s="94" t="str">
        <f t="shared" si="2"/>
        <v/>
      </c>
      <c r="H4860" s="94" t="str">
        <f t="shared" si="3"/>
        <v/>
      </c>
      <c r="I4860" s="94" t="str">
        <f t="shared" ref="I4860:J4860" si="4861">if(G4860 = "", , -G4860)</f>
        <v/>
      </c>
      <c r="J4860" s="94" t="str">
        <f t="shared" si="4861"/>
        <v/>
      </c>
      <c r="N4860" s="100"/>
      <c r="O4860" s="100"/>
      <c r="P4860" s="100"/>
    </row>
    <row r="4861">
      <c r="A4861" s="107">
        <v>1629029.0</v>
      </c>
      <c r="B4861" s="108" t="s">
        <v>193</v>
      </c>
      <c r="C4861" s="108" t="s">
        <v>1157</v>
      </c>
      <c r="D4861" s="112" t="s">
        <v>184</v>
      </c>
      <c r="E4861" s="112">
        <v>2049.6</v>
      </c>
      <c r="F4861" s="111" t="str">
        <f>DataPull!D4861</f>
        <v/>
      </c>
      <c r="G4861" s="94" t="str">
        <f t="shared" si="2"/>
        <v/>
      </c>
      <c r="H4861" s="94" t="str">
        <f t="shared" si="3"/>
        <v/>
      </c>
      <c r="I4861" s="94" t="str">
        <f t="shared" ref="I4861:J4861" si="4862">if(G4861 = "", , -G4861)</f>
        <v/>
      </c>
      <c r="J4861" s="94" t="str">
        <f t="shared" si="4862"/>
        <v/>
      </c>
      <c r="K4861" s="100"/>
      <c r="M4861" s="100"/>
      <c r="N4861" s="100"/>
      <c r="O4861" s="100"/>
      <c r="P4861" s="100"/>
    </row>
    <row r="4862">
      <c r="A4862" s="107">
        <v>1629029.0</v>
      </c>
      <c r="B4862" s="108" t="s">
        <v>243</v>
      </c>
      <c r="C4862" s="108" t="s">
        <v>1157</v>
      </c>
      <c r="D4862" s="112" t="s">
        <v>184</v>
      </c>
      <c r="E4862" s="112">
        <v>2263.8</v>
      </c>
      <c r="F4862" s="111" t="str">
        <f>DataPull!D4862</f>
        <v/>
      </c>
      <c r="G4862" s="94" t="str">
        <f t="shared" si="2"/>
        <v/>
      </c>
      <c r="H4862" s="94" t="str">
        <f t="shared" si="3"/>
        <v/>
      </c>
      <c r="I4862" s="94" t="str">
        <f t="shared" ref="I4862:J4862" si="4863">if(G4862 = "", , -G4862)</f>
        <v/>
      </c>
      <c r="J4862" s="94" t="str">
        <f t="shared" si="4863"/>
        <v/>
      </c>
      <c r="K4862" s="100"/>
      <c r="M4862" s="100"/>
      <c r="N4862" s="100"/>
      <c r="O4862" s="100"/>
      <c r="P4862" s="100"/>
    </row>
    <row r="4863">
      <c r="A4863" s="107">
        <v>1629029.0</v>
      </c>
      <c r="B4863" s="108" t="s">
        <v>215</v>
      </c>
      <c r="C4863" s="108" t="s">
        <v>1157</v>
      </c>
      <c r="D4863" s="112" t="s">
        <v>184</v>
      </c>
      <c r="E4863" s="112">
        <v>2301.0</v>
      </c>
      <c r="F4863" s="111" t="str">
        <f>DataPull!D4863</f>
        <v/>
      </c>
      <c r="G4863" s="94" t="str">
        <f t="shared" si="2"/>
        <v/>
      </c>
      <c r="H4863" s="94" t="str">
        <f t="shared" si="3"/>
        <v/>
      </c>
      <c r="I4863" s="94" t="str">
        <f t="shared" ref="I4863:J4863" si="4864">if(G4863 = "", , -G4863)</f>
        <v/>
      </c>
      <c r="J4863" s="94" t="str">
        <f t="shared" si="4864"/>
        <v/>
      </c>
      <c r="K4863" s="100"/>
      <c r="M4863" s="100"/>
      <c r="N4863" s="100"/>
      <c r="O4863" s="100"/>
      <c r="P4863" s="100"/>
    </row>
    <row r="4864">
      <c r="A4864" s="107">
        <v>1629029.0</v>
      </c>
      <c r="B4864" s="108" t="s">
        <v>244</v>
      </c>
      <c r="C4864" s="108" t="s">
        <v>1157</v>
      </c>
      <c r="D4864" s="112" t="s">
        <v>184</v>
      </c>
      <c r="E4864" s="112">
        <v>2389.2</v>
      </c>
      <c r="F4864" s="111" t="str">
        <f>DataPull!D4864</f>
        <v/>
      </c>
      <c r="G4864" s="94" t="str">
        <f t="shared" si="2"/>
        <v/>
      </c>
      <c r="H4864" s="94" t="str">
        <f t="shared" si="3"/>
        <v/>
      </c>
      <c r="I4864" s="94" t="str">
        <f t="shared" ref="I4864:J4864" si="4865">if(G4864 = "", , -G4864)</f>
        <v/>
      </c>
      <c r="J4864" s="94" t="str">
        <f t="shared" si="4865"/>
        <v/>
      </c>
      <c r="K4864" s="100"/>
      <c r="M4864" s="100"/>
      <c r="N4864" s="100"/>
      <c r="O4864" s="100"/>
      <c r="P4864" s="100"/>
    </row>
    <row r="4865">
      <c r="A4865" s="107">
        <v>1629029.0</v>
      </c>
      <c r="B4865" s="108" t="s">
        <v>245</v>
      </c>
      <c r="C4865" s="108" t="s">
        <v>1157</v>
      </c>
      <c r="D4865" s="112" t="s">
        <v>184</v>
      </c>
      <c r="E4865" s="112">
        <v>2625.0</v>
      </c>
      <c r="F4865" s="111" t="str">
        <f>DataPull!D4865</f>
        <v/>
      </c>
      <c r="G4865" s="94" t="str">
        <f t="shared" si="2"/>
        <v/>
      </c>
      <c r="H4865" s="94" t="str">
        <f t="shared" si="3"/>
        <v/>
      </c>
      <c r="I4865" s="94" t="str">
        <f t="shared" ref="I4865:J4865" si="4866">if(G4865 = "", , -G4865)</f>
        <v/>
      </c>
      <c r="J4865" s="94" t="str">
        <f t="shared" si="4866"/>
        <v/>
      </c>
      <c r="K4865" s="100"/>
      <c r="M4865" s="100"/>
      <c r="N4865" s="100"/>
      <c r="O4865" s="100"/>
      <c r="P4865" s="100"/>
    </row>
    <row r="4866">
      <c r="A4866" s="107">
        <v>1629029.0</v>
      </c>
      <c r="B4866" s="108" t="s">
        <v>246</v>
      </c>
      <c r="C4866" s="108" t="s">
        <v>1157</v>
      </c>
      <c r="D4866" s="112" t="s">
        <v>184</v>
      </c>
      <c r="E4866" s="112">
        <v>1770.0</v>
      </c>
      <c r="F4866" s="111" t="str">
        <f>DataPull!D4866</f>
        <v/>
      </c>
      <c r="G4866" s="94" t="str">
        <f t="shared" si="2"/>
        <v/>
      </c>
      <c r="H4866" s="94" t="str">
        <f t="shared" si="3"/>
        <v/>
      </c>
      <c r="I4866" s="94" t="str">
        <f t="shared" ref="I4866:J4866" si="4867">if(G4866 = "", , -G4866)</f>
        <v/>
      </c>
      <c r="J4866" s="94" t="str">
        <f t="shared" si="4867"/>
        <v/>
      </c>
      <c r="K4866" s="100"/>
      <c r="M4866" s="100"/>
      <c r="N4866" s="100"/>
      <c r="O4866" s="100"/>
      <c r="P4866" s="100"/>
    </row>
    <row r="4867">
      <c r="A4867" s="114">
        <v>1629029.0</v>
      </c>
      <c r="B4867" s="113" t="s">
        <v>247</v>
      </c>
      <c r="C4867" s="108" t="s">
        <v>1157</v>
      </c>
      <c r="D4867" s="112" t="s">
        <v>184</v>
      </c>
      <c r="E4867" s="112">
        <v>2291.2</v>
      </c>
      <c r="F4867" s="111" t="str">
        <f>DataPull!D4867</f>
        <v/>
      </c>
      <c r="G4867" s="94" t="str">
        <f t="shared" si="2"/>
        <v/>
      </c>
      <c r="H4867" s="94" t="str">
        <f t="shared" si="3"/>
        <v/>
      </c>
      <c r="I4867" s="94" t="str">
        <f t="shared" ref="I4867:J4867" si="4868">if(G4867 = "", , -G4867)</f>
        <v/>
      </c>
      <c r="J4867" s="94" t="str">
        <f t="shared" si="4868"/>
        <v/>
      </c>
      <c r="K4867" s="100"/>
      <c r="M4867" s="100"/>
      <c r="N4867" s="100"/>
      <c r="O4867" s="100"/>
      <c r="P4867" s="100"/>
    </row>
    <row r="4868">
      <c r="A4868" s="107">
        <v>1629033.0</v>
      </c>
      <c r="B4868" s="108" t="s">
        <v>192</v>
      </c>
      <c r="C4868" s="108" t="s">
        <v>1158</v>
      </c>
      <c r="D4868" s="112" t="s">
        <v>187</v>
      </c>
      <c r="E4868" s="112">
        <v>210.6</v>
      </c>
      <c r="F4868" s="111" t="str">
        <f>DataPull!D4868</f>
        <v/>
      </c>
      <c r="G4868" s="94" t="str">
        <f t="shared" si="2"/>
        <v/>
      </c>
      <c r="H4868" s="94" t="str">
        <f t="shared" si="3"/>
        <v/>
      </c>
      <c r="I4868" s="94" t="str">
        <f t="shared" ref="I4868:J4868" si="4869">if(G4868 = "", , -G4868)</f>
        <v/>
      </c>
      <c r="J4868" s="94" t="str">
        <f t="shared" si="4869"/>
        <v/>
      </c>
      <c r="K4868" s="100"/>
      <c r="M4868" s="100"/>
      <c r="N4868" s="100"/>
      <c r="O4868" s="100"/>
      <c r="P4868" s="100"/>
    </row>
    <row r="4869">
      <c r="A4869" s="107">
        <v>1629033.0</v>
      </c>
      <c r="B4869" s="108" t="s">
        <v>193</v>
      </c>
      <c r="C4869" s="108" t="s">
        <v>1158</v>
      </c>
      <c r="D4869" s="112" t="s">
        <v>177</v>
      </c>
      <c r="E4869" s="112">
        <v>366.3</v>
      </c>
      <c r="F4869" s="111" t="str">
        <f>DataPull!D4869</f>
        <v/>
      </c>
      <c r="G4869" s="94" t="str">
        <f t="shared" si="2"/>
        <v/>
      </c>
      <c r="H4869" s="94" t="str">
        <f t="shared" si="3"/>
        <v/>
      </c>
      <c r="I4869" s="94" t="str">
        <f t="shared" ref="I4869:J4869" si="4870">if(G4869 = "", , -G4869)</f>
        <v/>
      </c>
      <c r="J4869" s="94" t="str">
        <f t="shared" si="4870"/>
        <v/>
      </c>
      <c r="K4869" s="100"/>
      <c r="M4869" s="100"/>
      <c r="N4869" s="100"/>
      <c r="O4869" s="100"/>
      <c r="P4869" s="100"/>
    </row>
    <row r="4870">
      <c r="A4870" s="107">
        <v>1629033.0</v>
      </c>
      <c r="B4870" s="108" t="s">
        <v>243</v>
      </c>
      <c r="C4870" s="108" t="s">
        <v>1158</v>
      </c>
      <c r="D4870" s="112" t="s">
        <v>187</v>
      </c>
      <c r="E4870" s="112">
        <v>34.0</v>
      </c>
      <c r="F4870" s="111" t="str">
        <f>DataPull!D4870</f>
        <v/>
      </c>
      <c r="G4870" s="94" t="str">
        <f t="shared" si="2"/>
        <v/>
      </c>
      <c r="H4870" s="94" t="str">
        <f t="shared" si="3"/>
        <v/>
      </c>
      <c r="I4870" s="94" t="str">
        <f t="shared" ref="I4870:J4870" si="4871">if(G4870 = "", , -G4870)</f>
        <v/>
      </c>
      <c r="J4870" s="94" t="str">
        <f t="shared" si="4871"/>
        <v/>
      </c>
      <c r="K4870" s="100"/>
      <c r="M4870" s="100"/>
      <c r="N4870" s="100"/>
      <c r="O4870" s="100"/>
      <c r="P4870" s="100"/>
    </row>
    <row r="4871">
      <c r="A4871" s="107">
        <v>1629033.0</v>
      </c>
      <c r="B4871" s="108" t="s">
        <v>215</v>
      </c>
      <c r="C4871" s="108" t="s">
        <v>1158</v>
      </c>
      <c r="D4871" s="112" t="s">
        <v>187</v>
      </c>
      <c r="E4871" s="112">
        <v>148.2</v>
      </c>
      <c r="F4871" s="111" t="str">
        <f>DataPull!D4871</f>
        <v/>
      </c>
      <c r="G4871" s="94" t="str">
        <f t="shared" si="2"/>
        <v/>
      </c>
      <c r="H4871" s="94" t="str">
        <f t="shared" si="3"/>
        <v/>
      </c>
      <c r="I4871" s="94" t="str">
        <f t="shared" ref="I4871:J4871" si="4872">if(G4871 = "", , -G4871)</f>
        <v/>
      </c>
      <c r="J4871" s="94" t="str">
        <f t="shared" si="4872"/>
        <v/>
      </c>
      <c r="K4871" s="100"/>
      <c r="M4871" s="100"/>
      <c r="N4871" s="100"/>
      <c r="O4871" s="100"/>
      <c r="P4871" s="100"/>
    </row>
    <row r="4872">
      <c r="A4872" s="107">
        <v>1629033.0</v>
      </c>
      <c r="B4872" s="108" t="s">
        <v>244</v>
      </c>
      <c r="C4872" s="108" t="s">
        <v>1158</v>
      </c>
      <c r="D4872" s="112" t="s">
        <v>187</v>
      </c>
      <c r="E4872" s="112">
        <v>324.0</v>
      </c>
      <c r="F4872" s="111" t="str">
        <f>DataPull!D4872</f>
        <v/>
      </c>
      <c r="G4872" s="94" t="str">
        <f t="shared" si="2"/>
        <v/>
      </c>
      <c r="H4872" s="94" t="str">
        <f t="shared" si="3"/>
        <v/>
      </c>
      <c r="I4872" s="94" t="str">
        <f t="shared" ref="I4872:J4872" si="4873">if(G4872 = "", , -G4872)</f>
        <v/>
      </c>
      <c r="J4872" s="94" t="str">
        <f t="shared" si="4873"/>
        <v/>
      </c>
      <c r="K4872" s="100"/>
      <c r="M4872" s="100"/>
      <c r="N4872" s="100"/>
      <c r="O4872" s="100"/>
      <c r="P4872" s="100"/>
    </row>
    <row r="4873">
      <c r="A4873" s="107">
        <v>1629034.0</v>
      </c>
      <c r="B4873" s="108" t="s">
        <v>192</v>
      </c>
      <c r="C4873" s="108" t="s">
        <v>1159</v>
      </c>
      <c r="D4873" s="112" t="s">
        <v>187</v>
      </c>
      <c r="E4873" s="112">
        <v>147.0</v>
      </c>
      <c r="F4873" s="111" t="str">
        <f>DataPull!D4873</f>
        <v/>
      </c>
      <c r="G4873" s="94" t="str">
        <f t="shared" si="2"/>
        <v/>
      </c>
      <c r="H4873" s="94" t="str">
        <f t="shared" si="3"/>
        <v/>
      </c>
      <c r="I4873" s="94" t="str">
        <f t="shared" ref="I4873:J4873" si="4874">if(G4873 = "", , -G4873)</f>
        <v/>
      </c>
      <c r="J4873" s="94" t="str">
        <f t="shared" si="4874"/>
        <v/>
      </c>
      <c r="K4873" s="100"/>
      <c r="M4873" s="100"/>
      <c r="N4873" s="100"/>
      <c r="O4873" s="100"/>
      <c r="P4873" s="100"/>
    </row>
    <row r="4874">
      <c r="A4874" s="107">
        <v>1629034.0</v>
      </c>
      <c r="B4874" s="108" t="s">
        <v>243</v>
      </c>
      <c r="C4874" s="108" t="s">
        <v>1159</v>
      </c>
      <c r="D4874" s="112" t="s">
        <v>181</v>
      </c>
      <c r="E4874" s="112">
        <v>18.8</v>
      </c>
      <c r="F4874" s="111" t="str">
        <f>DataPull!D4874</f>
        <v/>
      </c>
      <c r="G4874" s="94" t="str">
        <f t="shared" si="2"/>
        <v/>
      </c>
      <c r="H4874" s="94" t="str">
        <f t="shared" si="3"/>
        <v/>
      </c>
      <c r="I4874" s="94" t="str">
        <f t="shared" ref="I4874:J4874" si="4875">if(G4874 = "", , -G4874)</f>
        <v/>
      </c>
      <c r="J4874" s="94" t="str">
        <f t="shared" si="4875"/>
        <v/>
      </c>
      <c r="K4874" s="100"/>
      <c r="M4874" s="100"/>
      <c r="N4874" s="100"/>
      <c r="O4874" s="100"/>
      <c r="P4874" s="100"/>
    </row>
    <row r="4875">
      <c r="A4875" s="107">
        <v>1629035.0</v>
      </c>
      <c r="B4875" s="108" t="s">
        <v>193</v>
      </c>
      <c r="C4875" s="108" t="s">
        <v>1160</v>
      </c>
      <c r="D4875" s="112" t="s">
        <v>187</v>
      </c>
      <c r="E4875" s="112">
        <v>351.5</v>
      </c>
      <c r="F4875" s="111" t="str">
        <f>DataPull!D4875</f>
        <v/>
      </c>
      <c r="G4875" s="94" t="str">
        <f t="shared" si="2"/>
        <v/>
      </c>
      <c r="H4875" s="94" t="str">
        <f t="shared" si="3"/>
        <v/>
      </c>
      <c r="I4875" s="94" t="str">
        <f t="shared" ref="I4875:J4875" si="4876">if(G4875 = "", , -G4875)</f>
        <v/>
      </c>
      <c r="J4875" s="94" t="str">
        <f t="shared" si="4876"/>
        <v/>
      </c>
      <c r="K4875" s="100"/>
      <c r="M4875" s="100"/>
      <c r="N4875" s="100"/>
      <c r="O4875" s="100"/>
      <c r="P4875" s="100"/>
    </row>
    <row r="4876">
      <c r="A4876" s="107">
        <v>1629035.0</v>
      </c>
      <c r="B4876" s="108" t="s">
        <v>243</v>
      </c>
      <c r="C4876" s="108" t="s">
        <v>1160</v>
      </c>
      <c r="D4876" s="112" t="s">
        <v>187</v>
      </c>
      <c r="E4876" s="112">
        <v>275.9</v>
      </c>
      <c r="F4876" s="111" t="str">
        <f>DataPull!D4876</f>
        <v/>
      </c>
      <c r="G4876" s="94" t="str">
        <f t="shared" si="2"/>
        <v/>
      </c>
      <c r="H4876" s="94" t="str">
        <f t="shared" si="3"/>
        <v/>
      </c>
      <c r="I4876" s="94" t="str">
        <f t="shared" ref="I4876:J4876" si="4877">if(G4876 = "", , -G4876)</f>
        <v/>
      </c>
      <c r="J4876" s="94" t="str">
        <f t="shared" si="4877"/>
        <v/>
      </c>
      <c r="K4876" s="100"/>
      <c r="M4876" s="100"/>
      <c r="N4876" s="100"/>
      <c r="O4876" s="100"/>
      <c r="P4876" s="100"/>
    </row>
    <row r="4877">
      <c r="A4877" s="107">
        <v>1629035.0</v>
      </c>
      <c r="B4877" s="108" t="s">
        <v>215</v>
      </c>
      <c r="C4877" s="108" t="s">
        <v>1160</v>
      </c>
      <c r="D4877" s="112" t="s">
        <v>181</v>
      </c>
      <c r="E4877" s="112">
        <v>79.2</v>
      </c>
      <c r="F4877" s="111" t="str">
        <f>DataPull!D4877</f>
        <v/>
      </c>
      <c r="G4877" s="94" t="str">
        <f t="shared" si="2"/>
        <v/>
      </c>
      <c r="H4877" s="94" t="str">
        <f t="shared" si="3"/>
        <v/>
      </c>
      <c r="I4877" s="94" t="str">
        <f t="shared" ref="I4877:J4877" si="4878">if(G4877 = "", , -G4877)</f>
        <v/>
      </c>
      <c r="J4877" s="94" t="str">
        <f t="shared" si="4878"/>
        <v/>
      </c>
      <c r="K4877" s="100"/>
      <c r="L4877" s="100"/>
      <c r="N4877" s="100"/>
      <c r="O4877" s="100"/>
      <c r="P4877" s="100"/>
    </row>
    <row r="4878">
      <c r="A4878" s="107">
        <v>1629044.0</v>
      </c>
      <c r="B4878" s="108" t="s">
        <v>193</v>
      </c>
      <c r="C4878" s="108" t="s">
        <v>1161</v>
      </c>
      <c r="D4878" s="112" t="s">
        <v>181</v>
      </c>
      <c r="E4878" s="112">
        <v>10.4</v>
      </c>
      <c r="F4878" s="111" t="str">
        <f>DataPull!D4878</f>
        <v/>
      </c>
      <c r="G4878" s="94" t="str">
        <f t="shared" si="2"/>
        <v/>
      </c>
      <c r="H4878" s="94" t="str">
        <f t="shared" si="3"/>
        <v/>
      </c>
      <c r="I4878" s="94" t="str">
        <f t="shared" ref="I4878:J4878" si="4879">if(G4878 = "", , -G4878)</f>
        <v/>
      </c>
      <c r="J4878" s="94" t="str">
        <f t="shared" si="4879"/>
        <v/>
      </c>
      <c r="K4878" s="100"/>
      <c r="M4878" s="100"/>
      <c r="N4878" s="100"/>
      <c r="O4878" s="100"/>
      <c r="P4878" s="100"/>
    </row>
    <row r="4879">
      <c r="A4879" s="107">
        <v>1629045.0</v>
      </c>
      <c r="B4879" s="108" t="s">
        <v>192</v>
      </c>
      <c r="C4879" s="108" t="s">
        <v>1162</v>
      </c>
      <c r="D4879" s="112" t="s">
        <v>181</v>
      </c>
      <c r="E4879" s="112">
        <v>98.4</v>
      </c>
      <c r="F4879" s="111" t="str">
        <f>DataPull!D4879</f>
        <v/>
      </c>
      <c r="G4879" s="94" t="str">
        <f t="shared" si="2"/>
        <v/>
      </c>
      <c r="H4879" s="94" t="str">
        <f t="shared" si="3"/>
        <v/>
      </c>
      <c r="I4879" s="94" t="str">
        <f t="shared" ref="I4879:J4879" si="4880">if(G4879 = "", , -G4879)</f>
        <v/>
      </c>
      <c r="J4879" s="94" t="str">
        <f t="shared" si="4880"/>
        <v/>
      </c>
      <c r="K4879" s="100"/>
      <c r="M4879" s="100"/>
      <c r="N4879" s="100"/>
      <c r="O4879" s="100"/>
      <c r="P4879" s="100"/>
    </row>
    <row r="4880">
      <c r="A4880" s="107">
        <v>1629048.0</v>
      </c>
      <c r="B4880" s="108" t="s">
        <v>193</v>
      </c>
      <c r="C4880" s="108" t="s">
        <v>1163</v>
      </c>
      <c r="D4880" s="112" t="s">
        <v>187</v>
      </c>
      <c r="E4880" s="112">
        <v>469.8</v>
      </c>
      <c r="F4880" s="111" t="str">
        <f>DataPull!D4880</f>
        <v/>
      </c>
      <c r="G4880" s="94" t="str">
        <f t="shared" si="2"/>
        <v/>
      </c>
      <c r="H4880" s="94" t="str">
        <f t="shared" si="3"/>
        <v/>
      </c>
      <c r="I4880" s="94" t="str">
        <f t="shared" ref="I4880:J4880" si="4881">if(G4880 = "", , -G4880)</f>
        <v/>
      </c>
      <c r="J4880" s="94" t="str">
        <f t="shared" si="4881"/>
        <v/>
      </c>
      <c r="K4880" s="100"/>
      <c r="M4880" s="100"/>
      <c r="N4880" s="100"/>
      <c r="O4880" s="100"/>
      <c r="P4880" s="100"/>
    </row>
    <row r="4881">
      <c r="A4881" s="107">
        <v>1629048.0</v>
      </c>
      <c r="B4881" s="108" t="s">
        <v>243</v>
      </c>
      <c r="C4881" s="108" t="s">
        <v>1163</v>
      </c>
      <c r="D4881" s="112" t="s">
        <v>177</v>
      </c>
      <c r="E4881" s="112">
        <v>562.5</v>
      </c>
      <c r="F4881" s="111" t="str">
        <f>DataPull!D4881</f>
        <v/>
      </c>
      <c r="G4881" s="94" t="str">
        <f t="shared" si="2"/>
        <v/>
      </c>
      <c r="H4881" s="94" t="str">
        <f t="shared" si="3"/>
        <v/>
      </c>
      <c r="I4881" s="94" t="str">
        <f t="shared" ref="I4881:J4881" si="4882">if(G4881 = "", , -G4881)</f>
        <v/>
      </c>
      <c r="J4881" s="94" t="str">
        <f t="shared" si="4882"/>
        <v/>
      </c>
      <c r="K4881" s="100"/>
      <c r="M4881" s="100"/>
      <c r="N4881" s="100"/>
      <c r="O4881" s="100"/>
      <c r="P4881" s="100"/>
    </row>
    <row r="4882">
      <c r="A4882" s="107">
        <v>1629048.0</v>
      </c>
      <c r="B4882" s="108" t="s">
        <v>215</v>
      </c>
      <c r="C4882" s="108" t="s">
        <v>1163</v>
      </c>
      <c r="D4882" s="112" t="s">
        <v>177</v>
      </c>
      <c r="E4882" s="112">
        <v>730.0</v>
      </c>
      <c r="F4882" s="111" t="str">
        <f>DataPull!D4882</f>
        <v/>
      </c>
      <c r="G4882" s="94" t="str">
        <f t="shared" si="2"/>
        <v/>
      </c>
      <c r="H4882" s="94" t="str">
        <f t="shared" si="3"/>
        <v/>
      </c>
      <c r="I4882" s="94" t="str">
        <f t="shared" ref="I4882:J4882" si="4883">if(G4882 = "", , -G4882)</f>
        <v/>
      </c>
      <c r="J4882" s="94" t="str">
        <f t="shared" si="4883"/>
        <v/>
      </c>
      <c r="K4882" s="100"/>
      <c r="M4882" s="100"/>
      <c r="N4882" s="100"/>
      <c r="O4882" s="100"/>
      <c r="P4882" s="100"/>
    </row>
    <row r="4883">
      <c r="A4883" s="107">
        <v>1629048.0</v>
      </c>
      <c r="B4883" s="108" t="s">
        <v>244</v>
      </c>
      <c r="C4883" s="108" t="s">
        <v>1163</v>
      </c>
      <c r="D4883" s="112" t="s">
        <v>187</v>
      </c>
      <c r="E4883" s="112">
        <v>456.0</v>
      </c>
      <c r="F4883" s="111" t="str">
        <f>DataPull!D4883</f>
        <v/>
      </c>
      <c r="G4883" s="94" t="str">
        <f t="shared" si="2"/>
        <v/>
      </c>
      <c r="H4883" s="94" t="str">
        <f t="shared" si="3"/>
        <v/>
      </c>
      <c r="I4883" s="94" t="str">
        <f t="shared" ref="I4883:J4883" si="4884">if(G4883 = "", , -G4883)</f>
        <v/>
      </c>
      <c r="J4883" s="94" t="str">
        <f t="shared" si="4884"/>
        <v/>
      </c>
      <c r="K4883" s="100"/>
      <c r="L4883" s="100"/>
      <c r="M4883" s="100"/>
      <c r="N4883" s="100"/>
      <c r="O4883" s="100"/>
      <c r="P4883" s="100"/>
    </row>
    <row r="4884">
      <c r="A4884" s="107">
        <v>1629048.0</v>
      </c>
      <c r="B4884" s="108" t="s">
        <v>245</v>
      </c>
      <c r="C4884" s="108" t="s">
        <v>1163</v>
      </c>
      <c r="D4884" s="112" t="s">
        <v>177</v>
      </c>
      <c r="E4884" s="112">
        <v>954.8</v>
      </c>
      <c r="F4884" s="111" t="str">
        <f>DataPull!D4884</f>
        <v/>
      </c>
      <c r="G4884" s="94" t="str">
        <f t="shared" si="2"/>
        <v/>
      </c>
      <c r="H4884" s="94" t="str">
        <f t="shared" si="3"/>
        <v/>
      </c>
      <c r="I4884" s="94" t="str">
        <f t="shared" ref="I4884:J4884" si="4885">if(G4884 = "", , -G4884)</f>
        <v/>
      </c>
      <c r="J4884" s="94" t="str">
        <f t="shared" si="4885"/>
        <v/>
      </c>
      <c r="K4884" s="100"/>
      <c r="L4884" s="100"/>
      <c r="N4884" s="100"/>
      <c r="O4884" s="100"/>
      <c r="P4884" s="100"/>
    </row>
    <row r="4885">
      <c r="A4885" s="107">
        <v>1629048.0</v>
      </c>
      <c r="B4885" s="108" t="s">
        <v>246</v>
      </c>
      <c r="C4885" s="108" t="s">
        <v>1163</v>
      </c>
      <c r="D4885" s="112" t="s">
        <v>177</v>
      </c>
      <c r="E4885" s="112">
        <v>1428.0</v>
      </c>
      <c r="F4885" s="111" t="str">
        <f>DataPull!D4885</f>
        <v/>
      </c>
      <c r="G4885" s="94" t="str">
        <f t="shared" si="2"/>
        <v/>
      </c>
      <c r="H4885" s="94" t="str">
        <f t="shared" si="3"/>
        <v/>
      </c>
      <c r="I4885" s="94" t="str">
        <f t="shared" ref="I4885:J4885" si="4886">if(G4885 = "", , -G4885)</f>
        <v/>
      </c>
      <c r="J4885" s="94" t="str">
        <f t="shared" si="4886"/>
        <v/>
      </c>
      <c r="K4885" s="100"/>
      <c r="M4885" s="100"/>
      <c r="N4885" s="100"/>
      <c r="O4885" s="100"/>
    </row>
    <row r="4886">
      <c r="A4886" s="114">
        <v>1629048.0</v>
      </c>
      <c r="B4886" s="113" t="s">
        <v>247</v>
      </c>
      <c r="C4886" s="113" t="s">
        <v>1163</v>
      </c>
      <c r="D4886" s="112" t="s">
        <v>177</v>
      </c>
      <c r="E4886" s="112">
        <v>972.8</v>
      </c>
      <c r="F4886" s="111" t="str">
        <f>DataPull!D4886</f>
        <v/>
      </c>
      <c r="G4886" s="94" t="str">
        <f t="shared" si="2"/>
        <v/>
      </c>
      <c r="H4886" s="94" t="str">
        <f t="shared" si="3"/>
        <v/>
      </c>
      <c r="I4886" s="94" t="str">
        <f t="shared" ref="I4886:J4886" si="4887">if(G4886 = "", , -G4886)</f>
        <v/>
      </c>
      <c r="J4886" s="94" t="str">
        <f t="shared" si="4887"/>
        <v/>
      </c>
      <c r="K4886" s="100"/>
      <c r="N4886" s="100"/>
      <c r="O4886" s="100"/>
      <c r="P4886" s="100"/>
    </row>
    <row r="4887">
      <c r="A4887" s="107">
        <v>1629052.0</v>
      </c>
      <c r="B4887" s="108" t="s">
        <v>193</v>
      </c>
      <c r="C4887" s="108" t="s">
        <v>1164</v>
      </c>
      <c r="D4887" s="112" t="s">
        <v>187</v>
      </c>
      <c r="E4887" s="112">
        <v>134.9</v>
      </c>
      <c r="F4887" s="111" t="str">
        <f>DataPull!D4887</f>
        <v/>
      </c>
      <c r="G4887" s="94" t="str">
        <f t="shared" si="2"/>
        <v/>
      </c>
      <c r="H4887" s="94" t="str">
        <f t="shared" si="3"/>
        <v/>
      </c>
      <c r="I4887" s="94" t="str">
        <f t="shared" ref="I4887:J4887" si="4888">if(G4887 = "", , -G4887)</f>
        <v/>
      </c>
      <c r="J4887" s="94" t="str">
        <f t="shared" si="4888"/>
        <v/>
      </c>
      <c r="K4887" s="100"/>
      <c r="M4887" s="100"/>
      <c r="N4887" s="100"/>
      <c r="O4887" s="100"/>
      <c r="P4887" s="100"/>
    </row>
    <row r="4888">
      <c r="A4888" s="107">
        <v>1629052.0</v>
      </c>
      <c r="B4888" s="108" t="s">
        <v>243</v>
      </c>
      <c r="C4888" s="108" t="s">
        <v>1164</v>
      </c>
      <c r="D4888" s="112" t="s">
        <v>176</v>
      </c>
      <c r="E4888" s="112">
        <v>518.7</v>
      </c>
      <c r="F4888" s="111" t="str">
        <f>DataPull!D4888</f>
        <v/>
      </c>
      <c r="G4888" s="94" t="str">
        <f t="shared" si="2"/>
        <v/>
      </c>
      <c r="H4888" s="94" t="str">
        <f t="shared" si="3"/>
        <v/>
      </c>
      <c r="I4888" s="94" t="str">
        <f t="shared" ref="I4888:J4888" si="4889">if(G4888 = "", , -G4888)</f>
        <v/>
      </c>
      <c r="J4888" s="94" t="str">
        <f t="shared" si="4889"/>
        <v/>
      </c>
      <c r="K4888" s="100"/>
      <c r="M4888" s="100"/>
      <c r="N4888" s="100"/>
      <c r="O4888" s="100"/>
      <c r="P4888" s="100"/>
    </row>
    <row r="4889">
      <c r="A4889" s="107">
        <v>1629052.0</v>
      </c>
      <c r="B4889" s="108" t="s">
        <v>215</v>
      </c>
      <c r="C4889" s="108" t="s">
        <v>1164</v>
      </c>
      <c r="D4889" s="112" t="s">
        <v>176</v>
      </c>
      <c r="E4889" s="112">
        <v>1561.1</v>
      </c>
      <c r="F4889" s="111" t="str">
        <f>DataPull!D4889</f>
        <v/>
      </c>
      <c r="G4889" s="94" t="str">
        <f t="shared" si="2"/>
        <v/>
      </c>
      <c r="H4889" s="94" t="str">
        <f t="shared" si="3"/>
        <v/>
      </c>
      <c r="I4889" s="94" t="str">
        <f t="shared" ref="I4889:J4889" si="4890">if(G4889 = "", , -G4889)</f>
        <v/>
      </c>
      <c r="J4889" s="94" t="str">
        <f t="shared" si="4890"/>
        <v/>
      </c>
      <c r="K4889" s="100"/>
      <c r="M4889" s="100"/>
      <c r="N4889" s="100"/>
      <c r="O4889" s="100"/>
      <c r="P4889" s="100"/>
    </row>
    <row r="4890">
      <c r="A4890" s="107">
        <v>1629052.0</v>
      </c>
      <c r="B4890" s="108" t="s">
        <v>244</v>
      </c>
      <c r="C4890" s="108" t="s">
        <v>1164</v>
      </c>
      <c r="D4890" s="112" t="s">
        <v>177</v>
      </c>
      <c r="E4890" s="112">
        <v>1085.5</v>
      </c>
      <c r="F4890" s="111" t="str">
        <f>DataPull!D4890</f>
        <v/>
      </c>
      <c r="G4890" s="94" t="str">
        <f t="shared" si="2"/>
        <v/>
      </c>
      <c r="H4890" s="94" t="str">
        <f t="shared" si="3"/>
        <v/>
      </c>
      <c r="I4890" s="94" t="str">
        <f t="shared" ref="I4890:J4890" si="4891">if(G4890 = "", , -G4890)</f>
        <v/>
      </c>
      <c r="J4890" s="94" t="str">
        <f t="shared" si="4891"/>
        <v/>
      </c>
      <c r="K4890" s="100"/>
      <c r="M4890" s="100"/>
      <c r="N4890" s="100"/>
      <c r="O4890" s="100"/>
      <c r="P4890" s="100"/>
    </row>
    <row r="4891">
      <c r="A4891" s="107">
        <v>1629052.0</v>
      </c>
      <c r="B4891" s="108" t="s">
        <v>245</v>
      </c>
      <c r="C4891" s="108" t="s">
        <v>1164</v>
      </c>
      <c r="D4891" s="112" t="s">
        <v>177</v>
      </c>
      <c r="E4891" s="112">
        <v>632.5</v>
      </c>
      <c r="F4891" s="111" t="str">
        <f>DataPull!D4891</f>
        <v/>
      </c>
      <c r="G4891" s="94" t="str">
        <f t="shared" si="2"/>
        <v/>
      </c>
      <c r="H4891" s="94" t="str">
        <f t="shared" si="3"/>
        <v/>
      </c>
      <c r="I4891" s="94" t="str">
        <f t="shared" ref="I4891:J4891" si="4892">if(G4891 = "", , -G4891)</f>
        <v/>
      </c>
      <c r="J4891" s="94" t="str">
        <f t="shared" si="4892"/>
        <v/>
      </c>
      <c r="K4891" s="100"/>
      <c r="M4891" s="100"/>
      <c r="N4891" s="100"/>
      <c r="O4891" s="100"/>
      <c r="P4891" s="100"/>
    </row>
    <row r="4892">
      <c r="A4892" s="123">
        <v>1629052.0</v>
      </c>
      <c r="B4892" s="124" t="s">
        <v>246</v>
      </c>
      <c r="C4892" s="125" t="s">
        <v>1164</v>
      </c>
      <c r="D4892" s="112" t="s">
        <v>181</v>
      </c>
      <c r="E4892" s="112">
        <v>142.2</v>
      </c>
      <c r="F4892" s="111" t="str">
        <f>DataPull!D4892</f>
        <v/>
      </c>
      <c r="G4892" s="94" t="str">
        <f t="shared" si="2"/>
        <v/>
      </c>
      <c r="H4892" s="94" t="str">
        <f t="shared" si="3"/>
        <v/>
      </c>
      <c r="I4892" s="94" t="str">
        <f t="shared" ref="I4892:J4892" si="4893">if(G4892 = "", , -G4892)</f>
        <v/>
      </c>
      <c r="J4892" s="94" t="str">
        <f t="shared" si="4893"/>
        <v/>
      </c>
      <c r="K4892" s="100"/>
      <c r="M4892" s="100"/>
      <c r="N4892" s="100"/>
      <c r="O4892" s="100"/>
      <c r="P4892" s="100"/>
    </row>
    <row r="4893">
      <c r="A4893" s="107">
        <v>1629053.0</v>
      </c>
      <c r="B4893" s="108" t="s">
        <v>192</v>
      </c>
      <c r="C4893" s="108" t="s">
        <v>1165</v>
      </c>
      <c r="D4893" s="112"/>
      <c r="E4893" s="112"/>
      <c r="F4893" s="111" t="str">
        <f>DataPull!D4893</f>
        <v/>
      </c>
      <c r="G4893" s="94" t="str">
        <f t="shared" si="2"/>
        <v/>
      </c>
      <c r="H4893" s="94" t="str">
        <f t="shared" si="3"/>
        <v/>
      </c>
      <c r="I4893" s="94" t="str">
        <f t="shared" ref="I4893:J4893" si="4894">if(G4893 = "", , -G4893)</f>
        <v/>
      </c>
      <c r="J4893" s="94" t="str">
        <f t="shared" si="4894"/>
        <v/>
      </c>
      <c r="K4893" s="100"/>
      <c r="L4893" s="100"/>
      <c r="N4893" s="100"/>
      <c r="O4893" s="100"/>
      <c r="P4893" s="100"/>
    </row>
    <row r="4894">
      <c r="A4894" s="107">
        <v>1629055.0</v>
      </c>
      <c r="B4894" s="108" t="s">
        <v>192</v>
      </c>
      <c r="C4894" s="108" t="s">
        <v>1166</v>
      </c>
      <c r="D4894" s="112" t="s">
        <v>181</v>
      </c>
      <c r="E4894" s="112">
        <v>2.4</v>
      </c>
      <c r="F4894" s="111" t="str">
        <f>DataPull!D4894</f>
        <v/>
      </c>
      <c r="G4894" s="94" t="str">
        <f t="shared" si="2"/>
        <v/>
      </c>
      <c r="H4894" s="94" t="str">
        <f t="shared" si="3"/>
        <v/>
      </c>
      <c r="I4894" s="94" t="str">
        <f t="shared" ref="I4894:J4894" si="4895">if(G4894 = "", , -G4894)</f>
        <v/>
      </c>
      <c r="J4894" s="94" t="str">
        <f t="shared" si="4895"/>
        <v/>
      </c>
      <c r="K4894" s="100"/>
      <c r="L4894" s="100"/>
      <c r="M4894" s="100"/>
      <c r="N4894" s="100"/>
      <c r="O4894" s="100"/>
    </row>
    <row r="4895">
      <c r="A4895" s="107">
        <v>1629056.0</v>
      </c>
      <c r="B4895" s="108" t="s">
        <v>193</v>
      </c>
      <c r="C4895" s="108" t="s">
        <v>1167</v>
      </c>
      <c r="D4895" s="112" t="s">
        <v>177</v>
      </c>
      <c r="E4895" s="112">
        <v>1209.6</v>
      </c>
      <c r="F4895" s="111" t="str">
        <f>DataPull!D4895</f>
        <v/>
      </c>
      <c r="G4895" s="94" t="str">
        <f t="shared" si="2"/>
        <v/>
      </c>
      <c r="H4895" s="94" t="str">
        <f t="shared" si="3"/>
        <v/>
      </c>
      <c r="I4895" s="94" t="str">
        <f t="shared" ref="I4895:J4895" si="4896">if(G4895 = "", , -G4895)</f>
        <v/>
      </c>
      <c r="J4895" s="94" t="str">
        <f t="shared" si="4896"/>
        <v/>
      </c>
      <c r="K4895" s="100"/>
      <c r="M4895" s="100"/>
      <c r="N4895" s="100"/>
      <c r="O4895" s="100"/>
      <c r="P4895" s="100"/>
    </row>
    <row r="4896">
      <c r="A4896" s="107">
        <v>1629056.0</v>
      </c>
      <c r="B4896" s="108" t="s">
        <v>243</v>
      </c>
      <c r="C4896" s="108" t="s">
        <v>1167</v>
      </c>
      <c r="D4896" s="112" t="s">
        <v>177</v>
      </c>
      <c r="E4896" s="112">
        <v>1073.6</v>
      </c>
      <c r="F4896" s="111" t="str">
        <f>DataPull!D4896</f>
        <v/>
      </c>
      <c r="G4896" s="94" t="str">
        <f t="shared" si="2"/>
        <v/>
      </c>
      <c r="H4896" s="94" t="str">
        <f t="shared" si="3"/>
        <v/>
      </c>
      <c r="I4896" s="94" t="str">
        <f t="shared" ref="I4896:J4896" si="4897">if(G4896 = "", , -G4896)</f>
        <v/>
      </c>
      <c r="J4896" s="94" t="str">
        <f t="shared" si="4897"/>
        <v/>
      </c>
      <c r="K4896" s="100"/>
      <c r="L4896" s="100"/>
      <c r="M4896" s="100"/>
      <c r="N4896" s="100"/>
      <c r="O4896" s="100"/>
      <c r="P4896" s="100"/>
    </row>
    <row r="4897">
      <c r="A4897" s="107">
        <v>1629056.0</v>
      </c>
      <c r="B4897" s="108" t="s">
        <v>215</v>
      </c>
      <c r="C4897" s="108" t="s">
        <v>1167</v>
      </c>
      <c r="D4897" s="112" t="s">
        <v>177</v>
      </c>
      <c r="E4897" s="112">
        <v>537.0</v>
      </c>
      <c r="F4897" s="111" t="str">
        <f>DataPull!D4897</f>
        <v/>
      </c>
      <c r="G4897" s="94" t="str">
        <f t="shared" si="2"/>
        <v/>
      </c>
      <c r="H4897" s="94" t="str">
        <f t="shared" si="3"/>
        <v/>
      </c>
      <c r="I4897" s="94" t="str">
        <f t="shared" ref="I4897:J4897" si="4898">if(G4897 = "", , -G4897)</f>
        <v/>
      </c>
      <c r="J4897" s="94" t="str">
        <f t="shared" si="4898"/>
        <v/>
      </c>
      <c r="K4897" s="100"/>
      <c r="M4897" s="100"/>
      <c r="N4897" s="100"/>
      <c r="O4897" s="100"/>
      <c r="P4897" s="100"/>
    </row>
    <row r="4898">
      <c r="A4898" s="107">
        <v>1629056.0</v>
      </c>
      <c r="B4898" s="108" t="s">
        <v>244</v>
      </c>
      <c r="C4898" s="108" t="s">
        <v>1167</v>
      </c>
      <c r="D4898" s="112" t="s">
        <v>177</v>
      </c>
      <c r="E4898" s="112">
        <v>838.4</v>
      </c>
      <c r="F4898" s="111" t="str">
        <f>DataPull!D4898</f>
        <v/>
      </c>
      <c r="G4898" s="94" t="str">
        <f t="shared" si="2"/>
        <v/>
      </c>
      <c r="H4898" s="94" t="str">
        <f t="shared" si="3"/>
        <v/>
      </c>
      <c r="I4898" s="94" t="str">
        <f t="shared" ref="I4898:J4898" si="4899">if(G4898 = "", , -G4898)</f>
        <v/>
      </c>
      <c r="J4898" s="94" t="str">
        <f t="shared" si="4899"/>
        <v/>
      </c>
      <c r="K4898" s="100"/>
      <c r="M4898" s="100"/>
      <c r="N4898" s="100"/>
      <c r="O4898" s="100"/>
      <c r="P4898" s="100"/>
    </row>
    <row r="4899">
      <c r="A4899" s="107">
        <v>1629057.0</v>
      </c>
      <c r="B4899" s="108" t="s">
        <v>192</v>
      </c>
      <c r="C4899" s="115" t="s">
        <v>1168</v>
      </c>
      <c r="D4899" s="112" t="s">
        <v>187</v>
      </c>
      <c r="E4899" s="112">
        <v>281.6</v>
      </c>
      <c r="F4899" s="111" t="str">
        <f>DataPull!D4899</f>
        <v/>
      </c>
      <c r="G4899" s="94" t="str">
        <f t="shared" si="2"/>
        <v/>
      </c>
      <c r="H4899" s="94" t="str">
        <f t="shared" si="3"/>
        <v/>
      </c>
      <c r="I4899" s="94" t="str">
        <f t="shared" ref="I4899:J4899" si="4900">if(G4899 = "", , -G4899)</f>
        <v/>
      </c>
      <c r="J4899" s="94" t="str">
        <f t="shared" si="4900"/>
        <v/>
      </c>
      <c r="K4899" s="100"/>
      <c r="L4899" s="100"/>
      <c r="M4899" s="100"/>
      <c r="N4899" s="100"/>
      <c r="O4899" s="100"/>
      <c r="P4899" s="100"/>
    </row>
    <row r="4900">
      <c r="A4900" s="107">
        <v>1629057.0</v>
      </c>
      <c r="B4900" s="108" t="s">
        <v>193</v>
      </c>
      <c r="C4900" s="115" t="s">
        <v>1168</v>
      </c>
      <c r="D4900" s="112" t="s">
        <v>177</v>
      </c>
      <c r="E4900" s="112">
        <v>388.6</v>
      </c>
      <c r="F4900" s="111" t="str">
        <f>DataPull!D4900</f>
        <v/>
      </c>
      <c r="G4900" s="94" t="str">
        <f t="shared" si="2"/>
        <v/>
      </c>
      <c r="H4900" s="94" t="str">
        <f t="shared" si="3"/>
        <v/>
      </c>
      <c r="I4900" s="94" t="str">
        <f t="shared" ref="I4900:J4900" si="4901">if(G4900 = "", , -G4900)</f>
        <v/>
      </c>
      <c r="J4900" s="94" t="str">
        <f t="shared" si="4901"/>
        <v/>
      </c>
      <c r="K4900" s="100"/>
      <c r="M4900" s="100"/>
      <c r="N4900" s="100"/>
      <c r="O4900" s="100"/>
      <c r="P4900" s="100"/>
    </row>
    <row r="4901">
      <c r="A4901" s="107">
        <v>1629057.0</v>
      </c>
      <c r="B4901" s="108" t="s">
        <v>243</v>
      </c>
      <c r="C4901" s="115" t="s">
        <v>1168</v>
      </c>
      <c r="D4901" s="112" t="s">
        <v>177</v>
      </c>
      <c r="E4901" s="112">
        <v>982.8</v>
      </c>
      <c r="F4901" s="111" t="str">
        <f>DataPull!D4901</f>
        <v/>
      </c>
      <c r="G4901" s="94" t="str">
        <f t="shared" si="2"/>
        <v/>
      </c>
      <c r="H4901" s="94" t="str">
        <f t="shared" si="3"/>
        <v/>
      </c>
      <c r="I4901" s="94" t="str">
        <f t="shared" ref="I4901:J4901" si="4902">if(G4901 = "", , -G4901)</f>
        <v/>
      </c>
      <c r="J4901" s="94" t="str">
        <f t="shared" si="4902"/>
        <v/>
      </c>
      <c r="K4901" s="100"/>
      <c r="M4901" s="100"/>
      <c r="N4901" s="100"/>
      <c r="O4901" s="100"/>
      <c r="P4901" s="100"/>
    </row>
    <row r="4902">
      <c r="A4902" s="107">
        <v>1629057.0</v>
      </c>
      <c r="B4902" s="108" t="s">
        <v>215</v>
      </c>
      <c r="C4902" s="115" t="s">
        <v>1168</v>
      </c>
      <c r="D4902" s="112" t="s">
        <v>184</v>
      </c>
      <c r="E4902" s="112">
        <v>1805.6</v>
      </c>
      <c r="F4902" s="111" t="str">
        <f>DataPull!D4902</f>
        <v/>
      </c>
      <c r="G4902" s="94" t="str">
        <f t="shared" si="2"/>
        <v/>
      </c>
      <c r="H4902" s="94" t="str">
        <f t="shared" si="3"/>
        <v/>
      </c>
      <c r="I4902" s="94" t="str">
        <f t="shared" ref="I4902:J4902" si="4903">if(G4902 = "", , -G4902)</f>
        <v/>
      </c>
      <c r="J4902" s="94" t="str">
        <f t="shared" si="4903"/>
        <v/>
      </c>
      <c r="K4902" s="100"/>
      <c r="M4902" s="100"/>
      <c r="N4902" s="100"/>
      <c r="O4902" s="100"/>
      <c r="P4902" s="100"/>
    </row>
    <row r="4903">
      <c r="A4903" s="107">
        <v>1629057.0</v>
      </c>
      <c r="B4903" s="108" t="s">
        <v>244</v>
      </c>
      <c r="C4903" s="115" t="s">
        <v>1168</v>
      </c>
      <c r="D4903" s="112" t="s">
        <v>176</v>
      </c>
      <c r="E4903" s="112">
        <v>822.5</v>
      </c>
      <c r="F4903" s="111" t="str">
        <f>DataPull!D4903</f>
        <v/>
      </c>
      <c r="G4903" s="94" t="str">
        <f t="shared" si="2"/>
        <v/>
      </c>
      <c r="H4903" s="94" t="str">
        <f t="shared" si="3"/>
        <v/>
      </c>
      <c r="I4903" s="94" t="str">
        <f t="shared" ref="I4903:J4903" si="4904">if(G4903 = "", , -G4903)</f>
        <v/>
      </c>
      <c r="J4903" s="94" t="str">
        <f t="shared" si="4904"/>
        <v/>
      </c>
      <c r="K4903" s="100"/>
      <c r="M4903" s="100"/>
      <c r="N4903" s="100"/>
      <c r="O4903" s="100"/>
      <c r="P4903" s="100"/>
    </row>
    <row r="4904">
      <c r="A4904" s="107">
        <v>1629057.0</v>
      </c>
      <c r="B4904" s="108" t="s">
        <v>245</v>
      </c>
      <c r="C4904" s="115" t="s">
        <v>1168</v>
      </c>
      <c r="D4904" s="112" t="s">
        <v>181</v>
      </c>
      <c r="E4904" s="112">
        <v>118.8</v>
      </c>
      <c r="F4904" s="111" t="str">
        <f>DataPull!D4904</f>
        <v/>
      </c>
      <c r="G4904" s="94" t="str">
        <f t="shared" si="2"/>
        <v/>
      </c>
      <c r="H4904" s="94" t="str">
        <f t="shared" si="3"/>
        <v/>
      </c>
      <c r="I4904" s="94" t="str">
        <f t="shared" ref="I4904:J4904" si="4905">if(G4904 = "", , -G4904)</f>
        <v/>
      </c>
      <c r="J4904" s="94" t="str">
        <f t="shared" si="4905"/>
        <v/>
      </c>
      <c r="K4904" s="100"/>
      <c r="L4904" s="100"/>
      <c r="N4904" s="100"/>
      <c r="O4904" s="100"/>
      <c r="P4904" s="100"/>
    </row>
    <row r="4905">
      <c r="A4905" s="107">
        <v>1629057.0</v>
      </c>
      <c r="B4905" s="108" t="s">
        <v>246</v>
      </c>
      <c r="C4905" s="115" t="s">
        <v>1168</v>
      </c>
      <c r="D4905" s="112" t="s">
        <v>177</v>
      </c>
      <c r="E4905" s="112">
        <v>352.0</v>
      </c>
      <c r="F4905" s="111" t="str">
        <f>DataPull!D4905</f>
        <v/>
      </c>
      <c r="G4905" s="94" t="str">
        <f t="shared" si="2"/>
        <v/>
      </c>
      <c r="H4905" s="94" t="str">
        <f t="shared" si="3"/>
        <v/>
      </c>
      <c r="I4905" s="94" t="str">
        <f t="shared" ref="I4905:J4905" si="4906">if(G4905 = "", , -G4905)</f>
        <v/>
      </c>
      <c r="J4905" s="94" t="str">
        <f t="shared" si="4906"/>
        <v/>
      </c>
      <c r="K4905" s="100"/>
      <c r="M4905" s="100"/>
      <c r="N4905" s="100"/>
      <c r="O4905" s="100"/>
      <c r="P4905" s="100"/>
    </row>
    <row r="4906">
      <c r="A4906" s="114">
        <v>1629057.0</v>
      </c>
      <c r="B4906" s="113" t="s">
        <v>247</v>
      </c>
      <c r="C4906" s="115" t="s">
        <v>1168</v>
      </c>
      <c r="D4906" s="112" t="s">
        <v>177</v>
      </c>
      <c r="E4906" s="112">
        <v>1008.9</v>
      </c>
      <c r="F4906" s="111" t="str">
        <f>DataPull!D4906</f>
        <v/>
      </c>
      <c r="G4906" s="94" t="str">
        <f t="shared" si="2"/>
        <v/>
      </c>
      <c r="H4906" s="94" t="str">
        <f t="shared" si="3"/>
        <v/>
      </c>
      <c r="I4906" s="94" t="str">
        <f t="shared" ref="I4906:J4906" si="4907">if(G4906 = "", , -G4906)</f>
        <v/>
      </c>
      <c r="J4906" s="94" t="str">
        <f t="shared" si="4907"/>
        <v/>
      </c>
      <c r="K4906" s="100"/>
      <c r="L4906" s="100"/>
      <c r="M4906" s="100"/>
      <c r="N4906" s="100"/>
      <c r="O4906" s="100"/>
    </row>
    <row r="4907">
      <c r="A4907" s="107">
        <v>1629058.0</v>
      </c>
      <c r="B4907" s="108" t="s">
        <v>192</v>
      </c>
      <c r="C4907" s="108" t="s">
        <v>1169</v>
      </c>
      <c r="D4907" s="112" t="s">
        <v>187</v>
      </c>
      <c r="E4907" s="112">
        <v>39.6</v>
      </c>
      <c r="F4907" s="111" t="str">
        <f>DataPull!D4907</f>
        <v/>
      </c>
      <c r="G4907" s="94" t="str">
        <f t="shared" si="2"/>
        <v/>
      </c>
      <c r="H4907" s="94" t="str">
        <f t="shared" si="3"/>
        <v/>
      </c>
      <c r="I4907" s="94" t="str">
        <f t="shared" ref="I4907:J4907" si="4908">if(G4907 = "", , -G4907)</f>
        <v/>
      </c>
      <c r="J4907" s="94" t="str">
        <f t="shared" si="4908"/>
        <v/>
      </c>
      <c r="K4907" s="100"/>
      <c r="M4907" s="100"/>
      <c r="N4907" s="100"/>
      <c r="O4907" s="100"/>
      <c r="P4907" s="100"/>
    </row>
    <row r="4908">
      <c r="A4908" s="107">
        <v>1629058.0</v>
      </c>
      <c r="B4908" s="108" t="s">
        <v>193</v>
      </c>
      <c r="C4908" s="108" t="s">
        <v>1169</v>
      </c>
      <c r="D4908" s="112" t="s">
        <v>177</v>
      </c>
      <c r="E4908" s="112">
        <v>488.0</v>
      </c>
      <c r="F4908" s="111" t="str">
        <f>DataPull!D4908</f>
        <v/>
      </c>
      <c r="G4908" s="94" t="str">
        <f t="shared" si="2"/>
        <v/>
      </c>
      <c r="H4908" s="94" t="str">
        <f t="shared" si="3"/>
        <v/>
      </c>
      <c r="I4908" s="94" t="str">
        <f t="shared" ref="I4908:J4908" si="4909">if(G4908 = "", , -G4908)</f>
        <v/>
      </c>
      <c r="J4908" s="94" t="str">
        <f t="shared" si="4909"/>
        <v/>
      </c>
      <c r="K4908" s="100"/>
      <c r="M4908" s="100"/>
      <c r="N4908" s="100"/>
      <c r="O4908" s="100"/>
      <c r="P4908" s="100"/>
    </row>
    <row r="4909">
      <c r="A4909" s="107">
        <v>1629059.0</v>
      </c>
      <c r="B4909" s="108" t="s">
        <v>192</v>
      </c>
      <c r="C4909" s="108" t="s">
        <v>1170</v>
      </c>
      <c r="D4909" s="112" t="s">
        <v>177</v>
      </c>
      <c r="E4909" s="112">
        <v>959.3</v>
      </c>
      <c r="F4909" s="111" t="str">
        <f>DataPull!D4909</f>
        <v/>
      </c>
      <c r="G4909" s="94" t="str">
        <f t="shared" si="2"/>
        <v/>
      </c>
      <c r="H4909" s="94" t="str">
        <f t="shared" si="3"/>
        <v/>
      </c>
      <c r="I4909" s="94" t="str">
        <f t="shared" ref="I4909:J4909" si="4910">if(G4909 = "", , -G4909)</f>
        <v/>
      </c>
      <c r="J4909" s="94" t="str">
        <f t="shared" si="4910"/>
        <v/>
      </c>
      <c r="K4909" s="100"/>
      <c r="M4909" s="100"/>
      <c r="N4909" s="100"/>
      <c r="O4909" s="100"/>
      <c r="P4909" s="100"/>
    </row>
    <row r="4910">
      <c r="A4910" s="107">
        <v>1629059.0</v>
      </c>
      <c r="B4910" s="108" t="s">
        <v>193</v>
      </c>
      <c r="C4910" s="108" t="s">
        <v>1170</v>
      </c>
      <c r="D4910" s="112" t="s">
        <v>177</v>
      </c>
      <c r="E4910" s="112">
        <v>720.5</v>
      </c>
      <c r="F4910" s="111" t="str">
        <f>DataPull!D4910</f>
        <v/>
      </c>
      <c r="G4910" s="94" t="str">
        <f t="shared" si="2"/>
        <v/>
      </c>
      <c r="H4910" s="94" t="str">
        <f t="shared" si="3"/>
        <v/>
      </c>
      <c r="I4910" s="94" t="str">
        <f t="shared" ref="I4910:J4910" si="4911">if(G4910 = "", , -G4910)</f>
        <v/>
      </c>
      <c r="J4910" s="94" t="str">
        <f t="shared" si="4911"/>
        <v/>
      </c>
      <c r="K4910" s="100"/>
      <c r="M4910" s="100"/>
      <c r="N4910" s="100"/>
      <c r="O4910" s="100"/>
      <c r="P4910" s="100"/>
    </row>
    <row r="4911">
      <c r="A4911" s="107">
        <v>1629060.0</v>
      </c>
      <c r="B4911" s="108" t="s">
        <v>193</v>
      </c>
      <c r="C4911" s="108" t="s">
        <v>1171</v>
      </c>
      <c r="D4911" s="112" t="s">
        <v>178</v>
      </c>
      <c r="E4911" s="112">
        <v>1444.8</v>
      </c>
      <c r="F4911" s="111" t="str">
        <f>DataPull!D4911</f>
        <v/>
      </c>
      <c r="G4911" s="94" t="str">
        <f t="shared" si="2"/>
        <v/>
      </c>
      <c r="H4911" s="94" t="str">
        <f t="shared" si="3"/>
        <v/>
      </c>
      <c r="I4911" s="94" t="str">
        <f t="shared" ref="I4911:J4911" si="4912">if(G4911 = "", , -G4911)</f>
        <v/>
      </c>
      <c r="J4911" s="94" t="str">
        <f t="shared" si="4912"/>
        <v/>
      </c>
      <c r="K4911" s="100"/>
      <c r="M4911" s="100"/>
      <c r="N4911" s="100"/>
      <c r="O4911" s="100"/>
      <c r="P4911" s="100"/>
    </row>
    <row r="4912">
      <c r="A4912" s="107">
        <v>1629060.0</v>
      </c>
      <c r="B4912" s="108" t="s">
        <v>243</v>
      </c>
      <c r="C4912" s="108" t="s">
        <v>1171</v>
      </c>
      <c r="D4912" s="112" t="s">
        <v>178</v>
      </c>
      <c r="E4912" s="112">
        <v>1795.5</v>
      </c>
      <c r="F4912" s="111" t="str">
        <f>DataPull!D4912</f>
        <v/>
      </c>
      <c r="G4912" s="94" t="str">
        <f t="shared" si="2"/>
        <v/>
      </c>
      <c r="H4912" s="94" t="str">
        <f t="shared" si="3"/>
        <v/>
      </c>
      <c r="I4912" s="94" t="str">
        <f t="shared" ref="I4912:J4912" si="4913">if(G4912 = "", , -G4912)</f>
        <v/>
      </c>
      <c r="J4912" s="94" t="str">
        <f t="shared" si="4913"/>
        <v/>
      </c>
      <c r="K4912" s="100"/>
      <c r="M4912" s="100"/>
      <c r="N4912" s="100"/>
      <c r="O4912" s="100"/>
      <c r="P4912" s="100"/>
    </row>
    <row r="4913">
      <c r="A4913" s="107">
        <v>1629060.0</v>
      </c>
      <c r="B4913" s="108" t="s">
        <v>215</v>
      </c>
      <c r="C4913" s="108" t="s">
        <v>1171</v>
      </c>
      <c r="D4913" s="112" t="s">
        <v>176</v>
      </c>
      <c r="E4913" s="112">
        <v>945.0</v>
      </c>
      <c r="F4913" s="111" t="str">
        <f>DataPull!D4913</f>
        <v/>
      </c>
      <c r="G4913" s="94" t="str">
        <f t="shared" si="2"/>
        <v/>
      </c>
      <c r="H4913" s="94" t="str">
        <f t="shared" si="3"/>
        <v/>
      </c>
      <c r="I4913" s="94" t="str">
        <f t="shared" ref="I4913:J4913" si="4914">if(G4913 = "", , -G4913)</f>
        <v/>
      </c>
      <c r="J4913" s="94" t="str">
        <f t="shared" si="4914"/>
        <v/>
      </c>
      <c r="K4913" s="100"/>
      <c r="M4913" s="100"/>
      <c r="N4913" s="100"/>
      <c r="O4913" s="100"/>
      <c r="P4913" s="100"/>
    </row>
    <row r="4914">
      <c r="A4914" s="107">
        <v>1629060.0</v>
      </c>
      <c r="B4914" s="108" t="s">
        <v>244</v>
      </c>
      <c r="C4914" s="108" t="s">
        <v>1171</v>
      </c>
      <c r="D4914" s="112" t="s">
        <v>176</v>
      </c>
      <c r="E4914" s="112">
        <v>1467.9</v>
      </c>
      <c r="F4914" s="111" t="str">
        <f>DataPull!D4914</f>
        <v/>
      </c>
      <c r="G4914" s="94" t="str">
        <f t="shared" si="2"/>
        <v/>
      </c>
      <c r="H4914" s="94" t="str">
        <f t="shared" si="3"/>
        <v/>
      </c>
      <c r="I4914" s="94" t="str">
        <f t="shared" ref="I4914:J4914" si="4915">if(G4914 = "", , -G4914)</f>
        <v/>
      </c>
      <c r="J4914" s="94" t="str">
        <f t="shared" si="4915"/>
        <v/>
      </c>
      <c r="K4914" s="100"/>
      <c r="M4914" s="100"/>
      <c r="N4914" s="100"/>
      <c r="O4914" s="100"/>
      <c r="P4914" s="100"/>
    </row>
    <row r="4915">
      <c r="A4915" s="107">
        <v>1629060.0</v>
      </c>
      <c r="B4915" s="108" t="s">
        <v>245</v>
      </c>
      <c r="C4915" s="108" t="s">
        <v>1171</v>
      </c>
      <c r="D4915" s="112" t="s">
        <v>176</v>
      </c>
      <c r="E4915" s="112">
        <v>1822.4</v>
      </c>
      <c r="F4915" s="111" t="str">
        <f>DataPull!D4915</f>
        <v/>
      </c>
      <c r="G4915" s="94" t="str">
        <f t="shared" si="2"/>
        <v/>
      </c>
      <c r="H4915" s="94" t="str">
        <f t="shared" si="3"/>
        <v/>
      </c>
      <c r="I4915" s="94" t="str">
        <f t="shared" ref="I4915:J4915" si="4916">if(G4915 = "", , -G4915)</f>
        <v/>
      </c>
      <c r="J4915" s="94" t="str">
        <f t="shared" si="4916"/>
        <v/>
      </c>
      <c r="K4915" s="100"/>
      <c r="M4915" s="100"/>
      <c r="N4915" s="100"/>
      <c r="O4915" s="100"/>
      <c r="P4915" s="100"/>
    </row>
    <row r="4916">
      <c r="A4916" s="107">
        <v>1629060.0</v>
      </c>
      <c r="B4916" s="108" t="s">
        <v>246</v>
      </c>
      <c r="C4916" s="108" t="s">
        <v>1171</v>
      </c>
      <c r="D4916" s="112" t="s">
        <v>178</v>
      </c>
      <c r="E4916" s="112">
        <v>1870.3</v>
      </c>
      <c r="F4916" s="111" t="str">
        <f>DataPull!D4916</f>
        <v/>
      </c>
      <c r="G4916" s="94" t="str">
        <f t="shared" si="2"/>
        <v/>
      </c>
      <c r="H4916" s="94" t="str">
        <f t="shared" si="3"/>
        <v/>
      </c>
      <c r="I4916" s="94" t="str">
        <f t="shared" ref="I4916:J4916" si="4917">if(G4916 = "", , -G4916)</f>
        <v/>
      </c>
      <c r="J4916" s="94" t="str">
        <f t="shared" si="4917"/>
        <v/>
      </c>
      <c r="K4916" s="100"/>
      <c r="M4916" s="100"/>
      <c r="N4916" s="100"/>
      <c r="O4916" s="100"/>
      <c r="P4916" s="100"/>
    </row>
    <row r="4917">
      <c r="A4917" s="114">
        <v>1629060.0</v>
      </c>
      <c r="B4917" s="113" t="s">
        <v>247</v>
      </c>
      <c r="C4917" s="113" t="s">
        <v>1171</v>
      </c>
      <c r="D4917" s="112" t="s">
        <v>178</v>
      </c>
      <c r="E4917" s="112">
        <v>1924.4</v>
      </c>
      <c r="F4917" s="111" t="str">
        <f>DataPull!D4917</f>
        <v/>
      </c>
      <c r="G4917" s="94" t="str">
        <f t="shared" si="2"/>
        <v/>
      </c>
      <c r="H4917" s="94" t="str">
        <f t="shared" si="3"/>
        <v/>
      </c>
      <c r="I4917" s="94" t="str">
        <f t="shared" ref="I4917:J4917" si="4918">if(G4917 = "", , -G4917)</f>
        <v/>
      </c>
      <c r="J4917" s="94" t="str">
        <f t="shared" si="4918"/>
        <v/>
      </c>
      <c r="K4917" s="100"/>
      <c r="M4917" s="100"/>
      <c r="N4917" s="100"/>
      <c r="O4917" s="100"/>
      <c r="P4917" s="100"/>
    </row>
    <row r="4918">
      <c r="A4918" s="107">
        <v>1629061.0</v>
      </c>
      <c r="B4918" s="108" t="s">
        <v>192</v>
      </c>
      <c r="C4918" s="108" t="s">
        <v>1172</v>
      </c>
      <c r="D4918" s="112" t="s">
        <v>187</v>
      </c>
      <c r="E4918" s="112">
        <v>193.8</v>
      </c>
      <c r="F4918" s="111" t="str">
        <f>DataPull!D4918</f>
        <v/>
      </c>
      <c r="G4918" s="94" t="str">
        <f t="shared" si="2"/>
        <v/>
      </c>
      <c r="H4918" s="94" t="str">
        <f t="shared" si="3"/>
        <v/>
      </c>
      <c r="I4918" s="94" t="str">
        <f t="shared" ref="I4918:J4918" si="4919">if(G4918 = "", , -G4918)</f>
        <v/>
      </c>
      <c r="J4918" s="94" t="str">
        <f t="shared" si="4919"/>
        <v/>
      </c>
      <c r="K4918" s="100"/>
      <c r="M4918" s="100"/>
      <c r="N4918" s="100"/>
      <c r="O4918" s="100"/>
      <c r="P4918" s="100"/>
    </row>
    <row r="4919">
      <c r="A4919" s="107">
        <v>1629065.0</v>
      </c>
      <c r="B4919" s="108" t="s">
        <v>193</v>
      </c>
      <c r="C4919" s="108" t="s">
        <v>1173</v>
      </c>
      <c r="D4919" s="112" t="s">
        <v>176</v>
      </c>
      <c r="E4919" s="112">
        <v>1017.0</v>
      </c>
      <c r="F4919" s="111" t="str">
        <f>DataPull!D4919</f>
        <v/>
      </c>
      <c r="G4919" s="94" t="str">
        <f t="shared" si="2"/>
        <v/>
      </c>
      <c r="H4919" s="94" t="str">
        <f t="shared" si="3"/>
        <v/>
      </c>
      <c r="I4919" s="94" t="str">
        <f t="shared" ref="I4919:J4919" si="4920">if(G4919 = "", , -G4919)</f>
        <v/>
      </c>
      <c r="J4919" s="94" t="str">
        <f t="shared" si="4920"/>
        <v/>
      </c>
      <c r="K4919" s="100"/>
      <c r="M4919" s="100"/>
      <c r="N4919" s="100"/>
      <c r="O4919" s="100"/>
      <c r="P4919" s="100"/>
    </row>
    <row r="4920">
      <c r="A4920" s="107">
        <v>1629066.0</v>
      </c>
      <c r="B4920" s="108" t="s">
        <v>192</v>
      </c>
      <c r="C4920" s="108" t="s">
        <v>1174</v>
      </c>
      <c r="D4920" s="112" t="s">
        <v>176</v>
      </c>
      <c r="E4920" s="112">
        <v>1291.5</v>
      </c>
      <c r="F4920" s="111" t="str">
        <f>DataPull!D4920</f>
        <v/>
      </c>
      <c r="G4920" s="94" t="str">
        <f t="shared" si="2"/>
        <v/>
      </c>
      <c r="H4920" s="94" t="str">
        <f t="shared" si="3"/>
        <v/>
      </c>
      <c r="I4920" s="94" t="str">
        <f t="shared" ref="I4920:J4920" si="4921">if(G4920 = "", , -G4920)</f>
        <v/>
      </c>
      <c r="J4920" s="94" t="str">
        <f t="shared" si="4921"/>
        <v/>
      </c>
      <c r="K4920" s="100"/>
      <c r="M4920" s="100"/>
      <c r="N4920" s="100"/>
      <c r="O4920" s="100"/>
      <c r="P4920" s="100"/>
    </row>
    <row r="4921">
      <c r="A4921" s="107">
        <v>1629066.0</v>
      </c>
      <c r="B4921" s="108" t="s">
        <v>193</v>
      </c>
      <c r="C4921" s="108" t="s">
        <v>1174</v>
      </c>
      <c r="D4921" s="112" t="s">
        <v>177</v>
      </c>
      <c r="E4921" s="112">
        <v>681.5</v>
      </c>
      <c r="F4921" s="111" t="str">
        <f>DataPull!D4921</f>
        <v/>
      </c>
      <c r="G4921" s="94" t="str">
        <f t="shared" si="2"/>
        <v/>
      </c>
      <c r="H4921" s="94" t="str">
        <f t="shared" si="3"/>
        <v/>
      </c>
      <c r="I4921" s="94" t="str">
        <f t="shared" ref="I4921:J4921" si="4922">if(G4921 = "", , -G4921)</f>
        <v/>
      </c>
      <c r="J4921" s="94" t="str">
        <f t="shared" si="4922"/>
        <v/>
      </c>
      <c r="K4921" s="100"/>
      <c r="M4921" s="100"/>
      <c r="N4921" s="100"/>
      <c r="O4921" s="100"/>
      <c r="P4921" s="100"/>
    </row>
    <row r="4922">
      <c r="A4922" s="107">
        <v>1629066.0</v>
      </c>
      <c r="B4922" s="108" t="s">
        <v>243</v>
      </c>
      <c r="C4922" s="108" t="s">
        <v>1174</v>
      </c>
      <c r="D4922" s="112" t="s">
        <v>187</v>
      </c>
      <c r="E4922" s="112">
        <v>123.9</v>
      </c>
      <c r="F4922" s="111" t="str">
        <f>DataPull!D4922</f>
        <v/>
      </c>
      <c r="G4922" s="94" t="str">
        <f t="shared" si="2"/>
        <v/>
      </c>
      <c r="H4922" s="94" t="str">
        <f t="shared" si="3"/>
        <v/>
      </c>
      <c r="I4922" s="94" t="str">
        <f t="shared" ref="I4922:J4922" si="4923">if(G4922 = "", , -G4922)</f>
        <v/>
      </c>
      <c r="J4922" s="94" t="str">
        <f t="shared" si="4923"/>
        <v/>
      </c>
      <c r="K4922" s="100"/>
      <c r="M4922" s="100"/>
      <c r="N4922" s="100"/>
      <c r="O4922" s="100"/>
      <c r="P4922" s="100"/>
    </row>
    <row r="4923">
      <c r="A4923" s="107">
        <v>1629067.0</v>
      </c>
      <c r="B4923" s="108" t="s">
        <v>192</v>
      </c>
      <c r="C4923" s="108" t="s">
        <v>1175</v>
      </c>
      <c r="D4923" s="112" t="s">
        <v>187</v>
      </c>
      <c r="E4923" s="112">
        <v>121.0</v>
      </c>
      <c r="F4923" s="111" t="str">
        <f>DataPull!D4923</f>
        <v/>
      </c>
      <c r="G4923" s="94" t="str">
        <f t="shared" si="2"/>
        <v/>
      </c>
      <c r="H4923" s="94" t="str">
        <f t="shared" si="3"/>
        <v/>
      </c>
      <c r="I4923" s="94" t="str">
        <f t="shared" ref="I4923:J4923" si="4924">if(G4923 = "", , -G4923)</f>
        <v/>
      </c>
      <c r="J4923" s="94" t="str">
        <f t="shared" si="4924"/>
        <v/>
      </c>
      <c r="K4923" s="100"/>
      <c r="M4923" s="100"/>
      <c r="N4923" s="100"/>
      <c r="O4923" s="100"/>
      <c r="P4923" s="100"/>
    </row>
    <row r="4924">
      <c r="A4924" s="107">
        <v>1629067.0</v>
      </c>
      <c r="B4924" s="108" t="s">
        <v>193</v>
      </c>
      <c r="C4924" s="108" t="s">
        <v>1175</v>
      </c>
      <c r="D4924" s="112" t="s">
        <v>177</v>
      </c>
      <c r="E4924" s="112">
        <v>1247.4</v>
      </c>
      <c r="F4924" s="111" t="str">
        <f>DataPull!D4924</f>
        <v/>
      </c>
      <c r="G4924" s="94" t="str">
        <f t="shared" si="2"/>
        <v/>
      </c>
      <c r="H4924" s="94" t="str">
        <f t="shared" si="3"/>
        <v/>
      </c>
      <c r="I4924" s="94" t="str">
        <f t="shared" ref="I4924:J4924" si="4925">if(G4924 = "", , -G4924)</f>
        <v/>
      </c>
      <c r="J4924" s="94" t="str">
        <f t="shared" si="4925"/>
        <v/>
      </c>
      <c r="K4924" s="100"/>
      <c r="M4924" s="100"/>
      <c r="N4924" s="100"/>
      <c r="O4924" s="100"/>
      <c r="P4924" s="100"/>
    </row>
    <row r="4925">
      <c r="A4925" s="107">
        <v>1629067.0</v>
      </c>
      <c r="B4925" s="108" t="s">
        <v>243</v>
      </c>
      <c r="C4925" s="108" t="s">
        <v>1175</v>
      </c>
      <c r="D4925" s="112" t="s">
        <v>177</v>
      </c>
      <c r="E4925" s="112">
        <v>432.0</v>
      </c>
      <c r="F4925" s="111" t="str">
        <f>DataPull!D4925</f>
        <v/>
      </c>
      <c r="G4925" s="94" t="str">
        <f t="shared" si="2"/>
        <v/>
      </c>
      <c r="H4925" s="94" t="str">
        <f t="shared" si="3"/>
        <v/>
      </c>
      <c r="I4925" s="94" t="str">
        <f t="shared" ref="I4925:J4925" si="4926">if(G4925 = "", , -G4925)</f>
        <v/>
      </c>
      <c r="J4925" s="94" t="str">
        <f t="shared" si="4926"/>
        <v/>
      </c>
      <c r="K4925" s="100"/>
      <c r="M4925" s="100"/>
      <c r="N4925" s="100"/>
      <c r="O4925" s="100"/>
      <c r="P4925" s="100"/>
    </row>
    <row r="4926">
      <c r="A4926" s="107">
        <v>1629067.0</v>
      </c>
      <c r="B4926" s="108" t="s">
        <v>215</v>
      </c>
      <c r="C4926" s="108" t="s">
        <v>1175</v>
      </c>
      <c r="D4926" s="112" t="s">
        <v>187</v>
      </c>
      <c r="E4926" s="112">
        <v>69.0</v>
      </c>
      <c r="F4926" s="111" t="str">
        <f>DataPull!D4926</f>
        <v/>
      </c>
      <c r="G4926" s="94" t="str">
        <f t="shared" si="2"/>
        <v/>
      </c>
      <c r="H4926" s="94" t="str">
        <f t="shared" si="3"/>
        <v/>
      </c>
      <c r="I4926" s="94" t="str">
        <f t="shared" ref="I4926:J4926" si="4927">if(G4926 = "", , -G4926)</f>
        <v/>
      </c>
      <c r="J4926" s="94" t="str">
        <f t="shared" si="4927"/>
        <v/>
      </c>
      <c r="K4926" s="100"/>
      <c r="M4926" s="100"/>
      <c r="N4926" s="100"/>
      <c r="O4926" s="100"/>
      <c r="P4926" s="100"/>
    </row>
    <row r="4927">
      <c r="A4927" s="107">
        <v>1629076.0</v>
      </c>
      <c r="B4927" s="108" t="s">
        <v>193</v>
      </c>
      <c r="C4927" s="108" t="s">
        <v>1176</v>
      </c>
      <c r="D4927" s="112" t="s">
        <v>187</v>
      </c>
      <c r="E4927" s="112">
        <v>54.6</v>
      </c>
      <c r="F4927" s="111" t="str">
        <f>DataPull!D4927</f>
        <v/>
      </c>
      <c r="G4927" s="94" t="str">
        <f t="shared" si="2"/>
        <v/>
      </c>
      <c r="H4927" s="94" t="str">
        <f t="shared" si="3"/>
        <v/>
      </c>
      <c r="I4927" s="94" t="str">
        <f t="shared" ref="I4927:J4927" si="4928">if(G4927 = "", , -G4927)</f>
        <v/>
      </c>
      <c r="J4927" s="94" t="str">
        <f t="shared" si="4928"/>
        <v/>
      </c>
      <c r="K4927" s="100"/>
      <c r="M4927" s="100"/>
      <c r="N4927" s="100"/>
      <c r="O4927" s="100"/>
      <c r="P4927" s="100"/>
    </row>
    <row r="4928">
      <c r="A4928" s="107">
        <v>1629076.0</v>
      </c>
      <c r="B4928" s="108" t="s">
        <v>243</v>
      </c>
      <c r="C4928" s="108" t="s">
        <v>1176</v>
      </c>
      <c r="D4928" s="112" t="s">
        <v>177</v>
      </c>
      <c r="E4928" s="112">
        <v>438.4</v>
      </c>
      <c r="F4928" s="111" t="str">
        <f>DataPull!D4928</f>
        <v/>
      </c>
      <c r="G4928" s="94" t="str">
        <f t="shared" si="2"/>
        <v/>
      </c>
      <c r="H4928" s="94" t="str">
        <f t="shared" si="3"/>
        <v/>
      </c>
      <c r="I4928" s="94" t="str">
        <f t="shared" ref="I4928:J4928" si="4929">if(G4928 = "", , -G4928)</f>
        <v/>
      </c>
      <c r="J4928" s="94" t="str">
        <f t="shared" si="4929"/>
        <v/>
      </c>
      <c r="K4928" s="100"/>
      <c r="M4928" s="100"/>
      <c r="N4928" s="100"/>
      <c r="O4928" s="100"/>
      <c r="P4928" s="100"/>
    </row>
    <row r="4929">
      <c r="A4929" s="107">
        <v>1629076.0</v>
      </c>
      <c r="B4929" s="108" t="s">
        <v>215</v>
      </c>
      <c r="C4929" s="108" t="s">
        <v>1176</v>
      </c>
      <c r="D4929" s="112" t="s">
        <v>187</v>
      </c>
      <c r="E4929" s="112">
        <v>200.0</v>
      </c>
      <c r="F4929" s="111" t="str">
        <f>DataPull!D4929</f>
        <v/>
      </c>
      <c r="G4929" s="94" t="str">
        <f t="shared" si="2"/>
        <v/>
      </c>
      <c r="H4929" s="94" t="str">
        <f t="shared" si="3"/>
        <v/>
      </c>
      <c r="I4929" s="94" t="str">
        <f t="shared" ref="I4929:J4929" si="4930">if(G4929 = "", , -G4929)</f>
        <v/>
      </c>
      <c r="J4929" s="94" t="str">
        <f t="shared" si="4930"/>
        <v/>
      </c>
      <c r="K4929" s="100"/>
      <c r="M4929" s="100"/>
      <c r="N4929" s="100"/>
      <c r="O4929" s="100"/>
      <c r="P4929" s="100"/>
    </row>
    <row r="4930">
      <c r="A4930" s="107">
        <v>1629083.0</v>
      </c>
      <c r="B4930" s="108" t="s">
        <v>215</v>
      </c>
      <c r="C4930" s="108" t="s">
        <v>1177</v>
      </c>
      <c r="D4930" s="112" t="s">
        <v>181</v>
      </c>
      <c r="E4930" s="112">
        <v>5.4</v>
      </c>
      <c r="F4930" s="111" t="str">
        <f>DataPull!D4930</f>
        <v/>
      </c>
      <c r="G4930" s="94" t="str">
        <f t="shared" si="2"/>
        <v/>
      </c>
      <c r="H4930" s="94" t="str">
        <f t="shared" si="3"/>
        <v/>
      </c>
      <c r="I4930" s="94" t="str">
        <f t="shared" ref="I4930:J4930" si="4931">if(G4930 = "", , -G4930)</f>
        <v/>
      </c>
      <c r="J4930" s="94" t="str">
        <f t="shared" si="4931"/>
        <v/>
      </c>
      <c r="K4930" s="100"/>
      <c r="M4930" s="100"/>
      <c r="N4930" s="100"/>
      <c r="O4930" s="100"/>
      <c r="P4930" s="100"/>
    </row>
    <row r="4931">
      <c r="A4931" s="107">
        <v>1629091.0</v>
      </c>
      <c r="B4931" s="108" t="s">
        <v>243</v>
      </c>
      <c r="C4931" s="108" t="s">
        <v>1178</v>
      </c>
      <c r="D4931" s="112" t="s">
        <v>181</v>
      </c>
      <c r="E4931" s="112">
        <v>31.6</v>
      </c>
      <c r="F4931" s="111" t="str">
        <f>DataPull!D4931</f>
        <v/>
      </c>
      <c r="G4931" s="94" t="str">
        <f t="shared" si="2"/>
        <v/>
      </c>
      <c r="H4931" s="94" t="str">
        <f t="shared" si="3"/>
        <v/>
      </c>
      <c r="I4931" s="94" t="str">
        <f t="shared" ref="I4931:J4931" si="4932">if(G4931 = "", , -G4931)</f>
        <v/>
      </c>
      <c r="J4931" s="94" t="str">
        <f t="shared" si="4932"/>
        <v/>
      </c>
      <c r="K4931" s="100"/>
      <c r="M4931" s="100"/>
      <c r="N4931" s="100"/>
      <c r="O4931" s="100"/>
      <c r="P4931" s="100"/>
    </row>
    <row r="4932">
      <c r="A4932" s="107">
        <v>1629093.0</v>
      </c>
      <c r="B4932" s="108" t="s">
        <v>192</v>
      </c>
      <c r="C4932" s="108" t="s">
        <v>1179</v>
      </c>
      <c r="D4932" s="112" t="s">
        <v>181</v>
      </c>
      <c r="E4932" s="112">
        <v>0.9</v>
      </c>
      <c r="F4932" s="111" t="str">
        <f>DataPull!D4932</f>
        <v/>
      </c>
      <c r="G4932" s="94" t="str">
        <f t="shared" si="2"/>
        <v/>
      </c>
      <c r="H4932" s="94" t="str">
        <f t="shared" si="3"/>
        <v/>
      </c>
      <c r="I4932" s="94" t="str">
        <f t="shared" ref="I4932:J4932" si="4933">if(G4932 = "", , -G4932)</f>
        <v/>
      </c>
      <c r="J4932" s="94" t="str">
        <f t="shared" si="4933"/>
        <v/>
      </c>
      <c r="K4932" s="100"/>
      <c r="M4932" s="100"/>
      <c r="N4932" s="100"/>
      <c r="O4932" s="100"/>
      <c r="P4932" s="100"/>
    </row>
    <row r="4933">
      <c r="A4933" s="107">
        <v>1629094.0</v>
      </c>
      <c r="B4933" s="108" t="s">
        <v>192</v>
      </c>
      <c r="C4933" s="108" t="s">
        <v>1180</v>
      </c>
      <c r="D4933" s="112" t="s">
        <v>187</v>
      </c>
      <c r="E4933" s="112">
        <v>67.1</v>
      </c>
      <c r="F4933" s="111" t="str">
        <f>DataPull!D4933</f>
        <v/>
      </c>
      <c r="G4933" s="94" t="str">
        <f t="shared" si="2"/>
        <v/>
      </c>
      <c r="H4933" s="94" t="str">
        <f t="shared" si="3"/>
        <v/>
      </c>
      <c r="I4933" s="94" t="str">
        <f t="shared" ref="I4933:J4933" si="4934">if(G4933 = "", , -G4933)</f>
        <v/>
      </c>
      <c r="J4933" s="94" t="str">
        <f t="shared" si="4934"/>
        <v/>
      </c>
      <c r="K4933" s="100"/>
      <c r="L4933" s="100"/>
      <c r="M4933" s="100"/>
      <c r="N4933" s="100"/>
      <c r="O4933" s="100"/>
      <c r="P4933" s="100"/>
    </row>
    <row r="4934">
      <c r="A4934" s="107">
        <v>1629098.0</v>
      </c>
      <c r="B4934" s="108" t="s">
        <v>246</v>
      </c>
      <c r="C4934" s="108" t="s">
        <v>1181</v>
      </c>
      <c r="D4934" s="112" t="s">
        <v>187</v>
      </c>
      <c r="E4934" s="112">
        <v>43.2</v>
      </c>
      <c r="F4934" s="111" t="str">
        <f>DataPull!D4934</f>
        <v/>
      </c>
      <c r="G4934" s="94" t="str">
        <f t="shared" si="2"/>
        <v/>
      </c>
      <c r="H4934" s="94" t="str">
        <f t="shared" si="3"/>
        <v/>
      </c>
      <c r="I4934" s="94" t="str">
        <f t="shared" ref="I4934:J4934" si="4935">if(G4934 = "", , -G4934)</f>
        <v/>
      </c>
      <c r="J4934" s="94" t="str">
        <f t="shared" si="4935"/>
        <v/>
      </c>
      <c r="K4934" s="100"/>
      <c r="L4934" s="100"/>
      <c r="N4934" s="100"/>
      <c r="O4934" s="100"/>
      <c r="P4934" s="100"/>
    </row>
    <row r="4935">
      <c r="A4935" s="107">
        <v>1629102.0</v>
      </c>
      <c r="B4935" s="108" t="s">
        <v>192</v>
      </c>
      <c r="C4935" s="108" t="s">
        <v>1182</v>
      </c>
      <c r="D4935" s="112" t="s">
        <v>187</v>
      </c>
      <c r="E4935" s="112">
        <v>214.2</v>
      </c>
      <c r="F4935" s="111" t="str">
        <f>DataPull!D4935</f>
        <v/>
      </c>
      <c r="G4935" s="94" t="str">
        <f t="shared" si="2"/>
        <v/>
      </c>
      <c r="H4935" s="94" t="str">
        <f t="shared" si="3"/>
        <v/>
      </c>
      <c r="I4935" s="94" t="str">
        <f t="shared" ref="I4935:J4935" si="4936">if(G4935 = "", , -G4935)</f>
        <v/>
      </c>
      <c r="J4935" s="94" t="str">
        <f t="shared" si="4936"/>
        <v/>
      </c>
      <c r="K4935" s="100"/>
      <c r="M4935" s="100"/>
      <c r="N4935" s="100"/>
      <c r="O4935" s="100"/>
      <c r="P4935" s="100"/>
    </row>
    <row r="4936">
      <c r="A4936" s="107">
        <v>1629103.0</v>
      </c>
      <c r="B4936" s="108" t="s">
        <v>193</v>
      </c>
      <c r="C4936" s="108" t="s">
        <v>1183</v>
      </c>
      <c r="D4936" s="112" t="s">
        <v>177</v>
      </c>
      <c r="E4936" s="112">
        <v>496.0</v>
      </c>
      <c r="F4936" s="111" t="str">
        <f>DataPull!D4936</f>
        <v/>
      </c>
      <c r="G4936" s="94" t="str">
        <f t="shared" si="2"/>
        <v/>
      </c>
      <c r="H4936" s="94" t="str">
        <f t="shared" si="3"/>
        <v/>
      </c>
      <c r="I4936" s="94" t="str">
        <f t="shared" ref="I4936:J4936" si="4937">if(G4936 = "", , -G4936)</f>
        <v/>
      </c>
      <c r="J4936" s="94" t="str">
        <f t="shared" si="4937"/>
        <v/>
      </c>
      <c r="K4936" s="100"/>
      <c r="M4936" s="100"/>
      <c r="N4936" s="100"/>
      <c r="O4936" s="100"/>
      <c r="P4936" s="100"/>
    </row>
    <row r="4937">
      <c r="A4937" s="107">
        <v>1629103.0</v>
      </c>
      <c r="B4937" s="108" t="s">
        <v>243</v>
      </c>
      <c r="C4937" s="108" t="s">
        <v>1183</v>
      </c>
      <c r="D4937" s="112" t="s">
        <v>187</v>
      </c>
      <c r="E4937" s="112">
        <v>322.0</v>
      </c>
      <c r="F4937" s="111" t="str">
        <f>DataPull!D4937</f>
        <v/>
      </c>
      <c r="G4937" s="94" t="str">
        <f t="shared" si="2"/>
        <v/>
      </c>
      <c r="H4937" s="94" t="str">
        <f t="shared" si="3"/>
        <v/>
      </c>
      <c r="I4937" s="94" t="str">
        <f t="shared" ref="I4937:J4937" si="4938">if(G4937 = "", , -G4937)</f>
        <v/>
      </c>
      <c r="J4937" s="94" t="str">
        <f t="shared" si="4938"/>
        <v/>
      </c>
      <c r="K4937" s="100"/>
      <c r="M4937" s="100"/>
      <c r="N4937" s="100"/>
      <c r="O4937" s="100"/>
      <c r="P4937" s="100"/>
    </row>
    <row r="4938">
      <c r="A4938" s="107">
        <v>1629103.0</v>
      </c>
      <c r="B4938" s="108" t="s">
        <v>215</v>
      </c>
      <c r="C4938" s="108" t="s">
        <v>1183</v>
      </c>
      <c r="D4938" s="112" t="s">
        <v>177</v>
      </c>
      <c r="E4938" s="112">
        <v>450.0</v>
      </c>
      <c r="F4938" s="111" t="str">
        <f>DataPull!D4938</f>
        <v/>
      </c>
      <c r="G4938" s="94" t="str">
        <f t="shared" si="2"/>
        <v/>
      </c>
      <c r="H4938" s="94" t="str">
        <f t="shared" si="3"/>
        <v/>
      </c>
      <c r="I4938" s="94" t="str">
        <f t="shared" ref="I4938:J4938" si="4939">if(G4938 = "", , -G4938)</f>
        <v/>
      </c>
      <c r="J4938" s="94" t="str">
        <f t="shared" si="4939"/>
        <v/>
      </c>
      <c r="K4938" s="100"/>
      <c r="M4938" s="100"/>
      <c r="N4938" s="100"/>
      <c r="O4938" s="100"/>
      <c r="P4938" s="100"/>
    </row>
    <row r="4939">
      <c r="A4939" s="107">
        <v>1629109.0</v>
      </c>
      <c r="B4939" s="108" t="s">
        <v>192</v>
      </c>
      <c r="C4939" s="108" t="s">
        <v>1184</v>
      </c>
      <c r="D4939" s="112" t="s">
        <v>177</v>
      </c>
      <c r="E4939" s="112">
        <v>642.6</v>
      </c>
      <c r="F4939" s="111" t="str">
        <f>DataPull!D4939</f>
        <v/>
      </c>
      <c r="G4939" s="94" t="str">
        <f t="shared" si="2"/>
        <v/>
      </c>
      <c r="H4939" s="94" t="str">
        <f t="shared" si="3"/>
        <v/>
      </c>
      <c r="I4939" s="94" t="str">
        <f t="shared" ref="I4939:J4939" si="4940">if(G4939 = "", , -G4939)</f>
        <v/>
      </c>
      <c r="J4939" s="94" t="str">
        <f t="shared" si="4940"/>
        <v/>
      </c>
      <c r="K4939" s="100"/>
      <c r="M4939" s="100"/>
      <c r="N4939" s="100"/>
      <c r="O4939" s="100"/>
      <c r="P4939" s="100"/>
    </row>
    <row r="4940">
      <c r="A4940" s="107">
        <v>1629109.0</v>
      </c>
      <c r="B4940" s="108" t="s">
        <v>193</v>
      </c>
      <c r="C4940" s="108" t="s">
        <v>1184</v>
      </c>
      <c r="D4940" s="112" t="s">
        <v>177</v>
      </c>
      <c r="E4940" s="112">
        <v>567.0</v>
      </c>
      <c r="F4940" s="111" t="str">
        <f>DataPull!D4940</f>
        <v/>
      </c>
      <c r="G4940" s="94" t="str">
        <f t="shared" si="2"/>
        <v/>
      </c>
      <c r="H4940" s="94" t="str">
        <f t="shared" si="3"/>
        <v/>
      </c>
      <c r="I4940" s="94" t="str">
        <f t="shared" ref="I4940:J4940" si="4941">if(G4940 = "", , -G4940)</f>
        <v/>
      </c>
      <c r="J4940" s="94" t="str">
        <f t="shared" si="4941"/>
        <v/>
      </c>
      <c r="K4940" s="100"/>
      <c r="M4940" s="100"/>
      <c r="N4940" s="100"/>
      <c r="O4940" s="100"/>
      <c r="P4940" s="100"/>
    </row>
    <row r="4941">
      <c r="A4941" s="107">
        <v>1629109.0</v>
      </c>
      <c r="B4941" s="108" t="s">
        <v>243</v>
      </c>
      <c r="C4941" s="108" t="s">
        <v>1184</v>
      </c>
      <c r="D4941" s="112" t="s">
        <v>177</v>
      </c>
      <c r="E4941" s="112">
        <v>655.2</v>
      </c>
      <c r="F4941" s="111" t="str">
        <f>DataPull!D4941</f>
        <v/>
      </c>
      <c r="G4941" s="94" t="str">
        <f t="shared" si="2"/>
        <v/>
      </c>
      <c r="H4941" s="94" t="str">
        <f t="shared" si="3"/>
        <v/>
      </c>
      <c r="I4941" s="94" t="str">
        <f t="shared" ref="I4941:J4941" si="4942">if(G4941 = "", , -G4941)</f>
        <v/>
      </c>
      <c r="J4941" s="94" t="str">
        <f t="shared" si="4942"/>
        <v/>
      </c>
      <c r="K4941" s="100"/>
      <c r="M4941" s="100"/>
      <c r="N4941" s="100"/>
      <c r="O4941" s="100"/>
      <c r="P4941" s="100"/>
    </row>
    <row r="4942">
      <c r="A4942" s="107">
        <v>1629109.0</v>
      </c>
      <c r="B4942" s="108" t="s">
        <v>215</v>
      </c>
      <c r="C4942" s="108" t="s">
        <v>1184</v>
      </c>
      <c r="D4942" s="112" t="s">
        <v>187</v>
      </c>
      <c r="E4942" s="112">
        <v>380.0</v>
      </c>
      <c r="F4942" s="111" t="str">
        <f>DataPull!D4942</f>
        <v/>
      </c>
      <c r="G4942" s="94" t="str">
        <f t="shared" si="2"/>
        <v/>
      </c>
      <c r="H4942" s="94" t="str">
        <f t="shared" si="3"/>
        <v/>
      </c>
      <c r="I4942" s="94" t="str">
        <f t="shared" ref="I4942:J4942" si="4943">if(G4942 = "", , -G4942)</f>
        <v/>
      </c>
      <c r="J4942" s="94" t="str">
        <f t="shared" si="4943"/>
        <v/>
      </c>
      <c r="K4942" s="100"/>
      <c r="L4942" s="100"/>
      <c r="M4942" s="100"/>
      <c r="N4942" s="100"/>
      <c r="O4942" s="100"/>
      <c r="P4942" s="100"/>
    </row>
    <row r="4943">
      <c r="A4943" s="107">
        <v>1629111.0</v>
      </c>
      <c r="B4943" s="108" t="s">
        <v>215</v>
      </c>
      <c r="C4943" s="108" t="s">
        <v>1185</v>
      </c>
      <c r="D4943" s="112" t="s">
        <v>177</v>
      </c>
      <c r="E4943" s="112">
        <v>588.6</v>
      </c>
      <c r="F4943" s="111" t="str">
        <f>DataPull!D4943</f>
        <v/>
      </c>
      <c r="G4943" s="94" t="str">
        <f t="shared" si="2"/>
        <v/>
      </c>
      <c r="H4943" s="94" t="str">
        <f t="shared" si="3"/>
        <v/>
      </c>
      <c r="I4943" s="94" t="str">
        <f t="shared" ref="I4943:J4943" si="4944">if(G4943 = "", , -G4943)</f>
        <v/>
      </c>
      <c r="J4943" s="94" t="str">
        <f t="shared" si="4944"/>
        <v/>
      </c>
      <c r="K4943" s="100"/>
      <c r="M4943" s="100"/>
      <c r="N4943" s="100"/>
      <c r="O4943" s="100"/>
      <c r="P4943" s="100"/>
    </row>
    <row r="4944">
      <c r="A4944" s="107">
        <v>1629111.0</v>
      </c>
      <c r="B4944" s="108" t="s">
        <v>244</v>
      </c>
      <c r="C4944" s="108" t="s">
        <v>1185</v>
      </c>
      <c r="D4944" s="112" t="s">
        <v>177</v>
      </c>
      <c r="E4944" s="112">
        <v>979.8</v>
      </c>
      <c r="F4944" s="111" t="str">
        <f>DataPull!D4944</f>
        <v/>
      </c>
      <c r="G4944" s="94" t="str">
        <f t="shared" si="2"/>
        <v/>
      </c>
      <c r="H4944" s="94" t="str">
        <f t="shared" si="3"/>
        <v/>
      </c>
      <c r="I4944" s="94" t="str">
        <f t="shared" ref="I4944:J4944" si="4945">if(G4944 = "", , -G4944)</f>
        <v/>
      </c>
      <c r="J4944" s="94" t="str">
        <f t="shared" si="4945"/>
        <v/>
      </c>
      <c r="K4944" s="100"/>
      <c r="L4944" s="100"/>
      <c r="M4944" s="100"/>
      <c r="N4944" s="100"/>
      <c r="O4944" s="100"/>
      <c r="P4944" s="100"/>
    </row>
    <row r="4945">
      <c r="A4945" s="107">
        <v>1629111.0</v>
      </c>
      <c r="B4945" s="108" t="s">
        <v>245</v>
      </c>
      <c r="C4945" s="108" t="s">
        <v>1185</v>
      </c>
      <c r="D4945" s="112" t="s">
        <v>177</v>
      </c>
      <c r="E4945" s="112">
        <v>761.6</v>
      </c>
      <c r="F4945" s="111" t="str">
        <f>DataPull!D4945</f>
        <v/>
      </c>
      <c r="G4945" s="94" t="str">
        <f t="shared" si="2"/>
        <v/>
      </c>
      <c r="H4945" s="94" t="str">
        <f t="shared" si="3"/>
        <v/>
      </c>
      <c r="I4945" s="94" t="str">
        <f t="shared" ref="I4945:J4945" si="4946">if(G4945 = "", , -G4945)</f>
        <v/>
      </c>
      <c r="J4945" s="94" t="str">
        <f t="shared" si="4946"/>
        <v/>
      </c>
      <c r="K4945" s="100"/>
      <c r="M4945" s="100"/>
      <c r="N4945" s="100"/>
      <c r="O4945" s="100"/>
      <c r="P4945" s="100"/>
    </row>
    <row r="4946">
      <c r="A4946" s="107">
        <v>1629111.0</v>
      </c>
      <c r="B4946" s="108" t="s">
        <v>246</v>
      </c>
      <c r="C4946" s="108" t="s">
        <v>1185</v>
      </c>
      <c r="D4946" s="112" t="s">
        <v>177</v>
      </c>
      <c r="E4946" s="112">
        <v>499.8</v>
      </c>
      <c r="F4946" s="111" t="str">
        <f>DataPull!D4946</f>
        <v/>
      </c>
      <c r="G4946" s="94" t="str">
        <f t="shared" si="2"/>
        <v/>
      </c>
      <c r="H4946" s="94" t="str">
        <f t="shared" si="3"/>
        <v/>
      </c>
      <c r="I4946" s="94" t="str">
        <f t="shared" ref="I4946:J4946" si="4947">if(G4946 = "", , -G4946)</f>
        <v/>
      </c>
      <c r="J4946" s="94" t="str">
        <f t="shared" si="4947"/>
        <v/>
      </c>
      <c r="K4946" s="100"/>
      <c r="M4946" s="100"/>
      <c r="N4946" s="100"/>
      <c r="O4946" s="100"/>
      <c r="P4946" s="100"/>
    </row>
    <row r="4947">
      <c r="A4947" s="114">
        <v>1629111.0</v>
      </c>
      <c r="B4947" s="113" t="s">
        <v>247</v>
      </c>
      <c r="C4947" s="113" t="s">
        <v>1185</v>
      </c>
      <c r="D4947" s="112" t="s">
        <v>176</v>
      </c>
      <c r="E4947" s="112">
        <v>1502.8</v>
      </c>
      <c r="F4947" s="111" t="str">
        <f>DataPull!D4947</f>
        <v/>
      </c>
      <c r="G4947" s="94" t="str">
        <f t="shared" si="2"/>
        <v/>
      </c>
      <c r="H4947" s="94" t="str">
        <f t="shared" si="3"/>
        <v/>
      </c>
      <c r="I4947" s="94" t="str">
        <f t="shared" ref="I4947:J4947" si="4948">if(G4947 = "", , -G4947)</f>
        <v/>
      </c>
      <c r="J4947" s="94" t="str">
        <f t="shared" si="4948"/>
        <v/>
      </c>
      <c r="K4947" s="100"/>
      <c r="M4947" s="100"/>
      <c r="N4947" s="100"/>
      <c r="O4947" s="100"/>
      <c r="P4947" s="100"/>
    </row>
    <row r="4948">
      <c r="A4948" s="107">
        <v>1629116.0</v>
      </c>
      <c r="B4948" s="108" t="s">
        <v>192</v>
      </c>
      <c r="C4948" s="108" t="s">
        <v>1186</v>
      </c>
      <c r="D4948" s="112" t="s">
        <v>181</v>
      </c>
      <c r="E4948" s="112">
        <v>14.8</v>
      </c>
      <c r="F4948" s="111" t="str">
        <f>DataPull!D4948</f>
        <v/>
      </c>
      <c r="G4948" s="94" t="str">
        <f t="shared" si="2"/>
        <v/>
      </c>
      <c r="H4948" s="94" t="str">
        <f t="shared" si="3"/>
        <v/>
      </c>
      <c r="I4948" s="94" t="str">
        <f t="shared" ref="I4948:J4948" si="4949">if(G4948 = "", , -G4948)</f>
        <v/>
      </c>
      <c r="J4948" s="94" t="str">
        <f t="shared" si="4949"/>
        <v/>
      </c>
      <c r="K4948" s="100"/>
      <c r="M4948" s="100"/>
      <c r="N4948" s="100"/>
      <c r="O4948" s="100"/>
      <c r="P4948" s="100"/>
    </row>
    <row r="4949">
      <c r="A4949" s="107">
        <v>1629117.0</v>
      </c>
      <c r="B4949" s="108" t="s">
        <v>193</v>
      </c>
      <c r="C4949" s="108" t="s">
        <v>1187</v>
      </c>
      <c r="D4949" s="112" t="s">
        <v>187</v>
      </c>
      <c r="E4949" s="112">
        <v>234.0</v>
      </c>
      <c r="F4949" s="111" t="str">
        <f>DataPull!D4949</f>
        <v/>
      </c>
      <c r="G4949" s="94" t="str">
        <f t="shared" si="2"/>
        <v/>
      </c>
      <c r="H4949" s="94" t="str">
        <f t="shared" si="3"/>
        <v/>
      </c>
      <c r="I4949" s="94" t="str">
        <f t="shared" ref="I4949:J4949" si="4950">if(G4949 = "", , -G4949)</f>
        <v/>
      </c>
      <c r="J4949" s="94" t="str">
        <f t="shared" si="4950"/>
        <v/>
      </c>
      <c r="K4949" s="100"/>
      <c r="M4949" s="100"/>
      <c r="N4949" s="100"/>
      <c r="O4949" s="100"/>
      <c r="P4949" s="100"/>
    </row>
    <row r="4950">
      <c r="A4950" s="107">
        <v>1629117.0</v>
      </c>
      <c r="B4950" s="108" t="s">
        <v>243</v>
      </c>
      <c r="C4950" s="108" t="s">
        <v>1187</v>
      </c>
      <c r="D4950" s="112" t="s">
        <v>187</v>
      </c>
      <c r="E4950" s="112">
        <v>241.5</v>
      </c>
      <c r="F4950" s="111" t="str">
        <f>DataPull!D4950</f>
        <v/>
      </c>
      <c r="G4950" s="94" t="str">
        <f t="shared" si="2"/>
        <v/>
      </c>
      <c r="H4950" s="94" t="str">
        <f t="shared" si="3"/>
        <v/>
      </c>
      <c r="I4950" s="94" t="str">
        <f t="shared" ref="I4950:J4950" si="4951">if(G4950 = "", , -G4950)</f>
        <v/>
      </c>
      <c r="J4950" s="94" t="str">
        <f t="shared" si="4951"/>
        <v/>
      </c>
      <c r="K4950" s="100"/>
      <c r="M4950" s="100"/>
      <c r="N4950" s="100"/>
      <c r="O4950" s="100"/>
      <c r="P4950" s="100"/>
    </row>
    <row r="4951">
      <c r="A4951" s="107">
        <v>1629117.0</v>
      </c>
      <c r="B4951" s="108" t="s">
        <v>215</v>
      </c>
      <c r="C4951" s="108" t="s">
        <v>1187</v>
      </c>
      <c r="D4951" s="112" t="s">
        <v>177</v>
      </c>
      <c r="E4951" s="112">
        <v>358.8</v>
      </c>
      <c r="F4951" s="111" t="str">
        <f>DataPull!D4951</f>
        <v/>
      </c>
      <c r="G4951" s="94" t="str">
        <f t="shared" si="2"/>
        <v/>
      </c>
      <c r="H4951" s="94" t="str">
        <f t="shared" si="3"/>
        <v/>
      </c>
      <c r="I4951" s="94" t="str">
        <f t="shared" ref="I4951:J4951" si="4952">if(G4951 = "", , -G4951)</f>
        <v/>
      </c>
      <c r="J4951" s="94" t="str">
        <f t="shared" si="4952"/>
        <v/>
      </c>
      <c r="K4951" s="100"/>
      <c r="M4951" s="100"/>
      <c r="N4951" s="100"/>
      <c r="O4951" s="100"/>
      <c r="P4951" s="100"/>
    </row>
    <row r="4952">
      <c r="A4952" s="107">
        <v>1629117.0</v>
      </c>
      <c r="B4952" s="108" t="s">
        <v>244</v>
      </c>
      <c r="C4952" s="108" t="s">
        <v>1187</v>
      </c>
      <c r="D4952" s="112" t="s">
        <v>177</v>
      </c>
      <c r="E4952" s="112">
        <v>1026.8</v>
      </c>
      <c r="F4952" s="111" t="str">
        <f>DataPull!D4952</f>
        <v/>
      </c>
      <c r="G4952" s="94" t="str">
        <f t="shared" si="2"/>
        <v/>
      </c>
      <c r="H4952" s="94" t="str">
        <f t="shared" si="3"/>
        <v/>
      </c>
      <c r="I4952" s="94" t="str">
        <f t="shared" ref="I4952:J4952" si="4953">if(G4952 = "", , -G4952)</f>
        <v/>
      </c>
      <c r="J4952" s="94" t="str">
        <f t="shared" si="4953"/>
        <v/>
      </c>
      <c r="K4952" s="100"/>
      <c r="M4952" s="100"/>
      <c r="N4952" s="100"/>
      <c r="O4952" s="100"/>
      <c r="P4952" s="100"/>
    </row>
    <row r="4953">
      <c r="A4953" s="107">
        <v>1629118.0</v>
      </c>
      <c r="B4953" s="108" t="s">
        <v>192</v>
      </c>
      <c r="C4953" s="108" t="s">
        <v>1188</v>
      </c>
      <c r="D4953" s="112" t="s">
        <v>187</v>
      </c>
      <c r="E4953" s="112">
        <v>36.3</v>
      </c>
      <c r="F4953" s="111" t="str">
        <f>DataPull!D4953</f>
        <v/>
      </c>
      <c r="G4953" s="94" t="str">
        <f t="shared" si="2"/>
        <v/>
      </c>
      <c r="H4953" s="94" t="str">
        <f t="shared" si="3"/>
        <v/>
      </c>
      <c r="I4953" s="94" t="str">
        <f t="shared" ref="I4953:J4953" si="4954">if(G4953 = "", , -G4953)</f>
        <v/>
      </c>
      <c r="J4953" s="94" t="str">
        <f t="shared" si="4954"/>
        <v/>
      </c>
      <c r="K4953" s="100"/>
      <c r="M4953" s="100"/>
      <c r="N4953" s="100"/>
      <c r="O4953" s="100"/>
      <c r="P4953" s="100"/>
    </row>
    <row r="4954">
      <c r="A4954" s="107">
        <v>1629121.0</v>
      </c>
      <c r="B4954" s="108" t="s">
        <v>192</v>
      </c>
      <c r="C4954" s="108" t="s">
        <v>1189</v>
      </c>
      <c r="D4954" s="112" t="s">
        <v>177</v>
      </c>
      <c r="E4954" s="112">
        <v>428.4</v>
      </c>
      <c r="F4954" s="111" t="str">
        <f>DataPull!D4954</f>
        <v/>
      </c>
      <c r="G4954" s="94" t="str">
        <f t="shared" si="2"/>
        <v/>
      </c>
      <c r="H4954" s="94" t="str">
        <f t="shared" si="3"/>
        <v/>
      </c>
      <c r="I4954" s="94" t="str">
        <f t="shared" ref="I4954:J4954" si="4955">if(G4954 = "", , -G4954)</f>
        <v/>
      </c>
      <c r="J4954" s="94" t="str">
        <f t="shared" si="4955"/>
        <v/>
      </c>
      <c r="K4954" s="100"/>
      <c r="M4954" s="100"/>
      <c r="N4954" s="100"/>
      <c r="O4954" s="100"/>
      <c r="P4954" s="100"/>
    </row>
    <row r="4955">
      <c r="A4955" s="107">
        <v>1629121.0</v>
      </c>
      <c r="B4955" s="108" t="s">
        <v>243</v>
      </c>
      <c r="C4955" s="108" t="s">
        <v>1189</v>
      </c>
      <c r="D4955" s="112" t="s">
        <v>181</v>
      </c>
      <c r="E4955" s="112">
        <v>18.2</v>
      </c>
      <c r="F4955" s="111" t="str">
        <f>DataPull!D4955</f>
        <v/>
      </c>
      <c r="G4955" s="94" t="str">
        <f t="shared" si="2"/>
        <v/>
      </c>
      <c r="H4955" s="94" t="str">
        <f t="shared" si="3"/>
        <v/>
      </c>
      <c r="I4955" s="94" t="str">
        <f t="shared" ref="I4955:J4955" si="4956">if(G4955 = "", , -G4955)</f>
        <v/>
      </c>
      <c r="J4955" s="94" t="str">
        <f t="shared" si="4956"/>
        <v/>
      </c>
      <c r="K4955" s="100"/>
      <c r="M4955" s="100"/>
      <c r="N4955" s="100"/>
      <c r="O4955" s="100"/>
      <c r="P4955" s="100"/>
    </row>
    <row r="4956">
      <c r="A4956" s="107">
        <v>1629122.0</v>
      </c>
      <c r="B4956" s="108" t="s">
        <v>192</v>
      </c>
      <c r="C4956" s="108" t="s">
        <v>1190</v>
      </c>
      <c r="D4956" s="112"/>
      <c r="E4956" s="112">
        <v>16.8</v>
      </c>
      <c r="F4956" s="111" t="str">
        <f>DataPull!D4956</f>
        <v/>
      </c>
      <c r="G4956" s="94" t="str">
        <f t="shared" si="2"/>
        <v/>
      </c>
      <c r="H4956" s="94" t="str">
        <f t="shared" si="3"/>
        <v/>
      </c>
      <c r="I4956" s="94" t="str">
        <f t="shared" ref="I4956:J4956" si="4957">if(G4956 = "", , -G4956)</f>
        <v/>
      </c>
      <c r="J4956" s="94" t="str">
        <f t="shared" si="4957"/>
        <v/>
      </c>
      <c r="K4956" s="100"/>
      <c r="M4956" s="100"/>
      <c r="N4956" s="100"/>
      <c r="O4956" s="100"/>
      <c r="P4956" s="100"/>
    </row>
    <row r="4957">
      <c r="A4957" s="107">
        <v>1629122.0</v>
      </c>
      <c r="B4957" s="108" t="s">
        <v>193</v>
      </c>
      <c r="C4957" s="108" t="s">
        <v>1190</v>
      </c>
      <c r="D4957" s="112"/>
      <c r="E4957" s="112">
        <v>0.6</v>
      </c>
      <c r="F4957" s="111" t="str">
        <f>DataPull!D4957</f>
        <v/>
      </c>
      <c r="G4957" s="94" t="str">
        <f t="shared" si="2"/>
        <v/>
      </c>
      <c r="H4957" s="94" t="str">
        <f t="shared" si="3"/>
        <v/>
      </c>
      <c r="I4957" s="94" t="str">
        <f t="shared" ref="I4957:J4957" si="4958">if(G4957 = "", , -G4957)</f>
        <v/>
      </c>
      <c r="J4957" s="94" t="str">
        <f t="shared" si="4958"/>
        <v/>
      </c>
      <c r="K4957" s="100"/>
      <c r="L4957" s="100"/>
      <c r="M4957" s="100"/>
      <c r="N4957" s="100"/>
      <c r="O4957" s="100"/>
      <c r="P4957" s="100"/>
    </row>
    <row r="4958">
      <c r="A4958" s="107">
        <v>1629123.0</v>
      </c>
      <c r="B4958" s="108" t="s">
        <v>192</v>
      </c>
      <c r="C4958" s="108" t="s">
        <v>1191</v>
      </c>
      <c r="D4958" s="112" t="s">
        <v>187</v>
      </c>
      <c r="E4958" s="112">
        <v>110.6</v>
      </c>
      <c r="F4958" s="111" t="str">
        <f>DataPull!D4958</f>
        <v/>
      </c>
      <c r="G4958" s="94" t="str">
        <f t="shared" si="2"/>
        <v/>
      </c>
      <c r="H4958" s="94" t="str">
        <f t="shared" si="3"/>
        <v/>
      </c>
      <c r="I4958" s="94" t="str">
        <f t="shared" ref="I4958:J4958" si="4959">if(G4958 = "", , -G4958)</f>
        <v/>
      </c>
      <c r="J4958" s="94" t="str">
        <f t="shared" si="4959"/>
        <v/>
      </c>
      <c r="K4958" s="100"/>
      <c r="M4958" s="100"/>
      <c r="N4958" s="100"/>
      <c r="O4958" s="100"/>
      <c r="P4958" s="100"/>
    </row>
    <row r="4959">
      <c r="A4959" s="107">
        <v>1629126.0</v>
      </c>
      <c r="B4959" s="108" t="s">
        <v>192</v>
      </c>
      <c r="C4959" s="108" t="s">
        <v>1192</v>
      </c>
      <c r="D4959" s="112"/>
      <c r="E4959" s="112">
        <v>240.0</v>
      </c>
      <c r="F4959" s="111" t="str">
        <f>DataPull!D4959</f>
        <v/>
      </c>
      <c r="G4959" s="94" t="str">
        <f t="shared" si="2"/>
        <v/>
      </c>
      <c r="H4959" s="94" t="str">
        <f t="shared" si="3"/>
        <v/>
      </c>
      <c r="I4959" s="94" t="str">
        <f t="shared" ref="I4959:J4959" si="4960">if(G4959 = "", , -G4959)</f>
        <v/>
      </c>
      <c r="J4959" s="94" t="str">
        <f t="shared" si="4960"/>
        <v/>
      </c>
      <c r="K4959" s="100"/>
      <c r="L4959" s="100"/>
      <c r="N4959" s="100"/>
      <c r="O4959" s="100"/>
      <c r="P4959" s="100"/>
    </row>
    <row r="4960">
      <c r="A4960" s="107">
        <v>1629126.0</v>
      </c>
      <c r="B4960" s="108" t="s">
        <v>193</v>
      </c>
      <c r="C4960" s="108" t="s">
        <v>1192</v>
      </c>
      <c r="D4960" s="112"/>
      <c r="E4960" s="112">
        <v>354.9</v>
      </c>
      <c r="F4960" s="111" t="str">
        <f>DataPull!D4960</f>
        <v/>
      </c>
      <c r="G4960" s="94" t="str">
        <f t="shared" si="2"/>
        <v/>
      </c>
      <c r="H4960" s="94" t="str">
        <f t="shared" si="3"/>
        <v/>
      </c>
      <c r="I4960" s="94" t="str">
        <f t="shared" ref="I4960:J4960" si="4961">if(G4960 = "", , -G4960)</f>
        <v/>
      </c>
      <c r="J4960" s="94" t="str">
        <f t="shared" si="4961"/>
        <v/>
      </c>
      <c r="K4960" s="100"/>
      <c r="M4960" s="100"/>
      <c r="N4960" s="100"/>
      <c r="O4960" s="100"/>
      <c r="P4960" s="100"/>
    </row>
    <row r="4961">
      <c r="A4961" s="107">
        <v>1629126.0</v>
      </c>
      <c r="B4961" s="108" t="s">
        <v>244</v>
      </c>
      <c r="C4961" s="108" t="s">
        <v>1192</v>
      </c>
      <c r="D4961" s="112"/>
      <c r="E4961" s="112">
        <v>6.4</v>
      </c>
      <c r="F4961" s="111" t="str">
        <f>DataPull!D4961</f>
        <v/>
      </c>
      <c r="G4961" s="94" t="str">
        <f t="shared" si="2"/>
        <v/>
      </c>
      <c r="H4961" s="94" t="str">
        <f t="shared" si="3"/>
        <v/>
      </c>
      <c r="I4961" s="94" t="str">
        <f t="shared" ref="I4961:J4961" si="4962">if(G4961 = "", , -G4961)</f>
        <v/>
      </c>
      <c r="J4961" s="94" t="str">
        <f t="shared" si="4962"/>
        <v/>
      </c>
      <c r="K4961" s="100"/>
      <c r="M4961" s="100"/>
      <c r="N4961" s="100"/>
      <c r="O4961" s="100"/>
      <c r="P4961" s="100"/>
    </row>
    <row r="4962">
      <c r="A4962" s="107">
        <v>1629130.0</v>
      </c>
      <c r="B4962" s="108" t="s">
        <v>192</v>
      </c>
      <c r="C4962" s="108" t="s">
        <v>1193</v>
      </c>
      <c r="D4962" s="112" t="s">
        <v>187</v>
      </c>
      <c r="E4962" s="112">
        <v>160.5</v>
      </c>
      <c r="F4962" s="111" t="str">
        <f>DataPull!D4962</f>
        <v/>
      </c>
      <c r="G4962" s="94" t="str">
        <f t="shared" si="2"/>
        <v/>
      </c>
      <c r="H4962" s="94" t="str">
        <f t="shared" si="3"/>
        <v/>
      </c>
      <c r="I4962" s="94" t="str">
        <f t="shared" ref="I4962:J4962" si="4963">if(G4962 = "", , -G4962)</f>
        <v/>
      </c>
      <c r="J4962" s="94" t="str">
        <f t="shared" si="4963"/>
        <v/>
      </c>
      <c r="K4962" s="100"/>
      <c r="M4962" s="100"/>
      <c r="N4962" s="100"/>
      <c r="O4962" s="100"/>
      <c r="P4962" s="100"/>
    </row>
    <row r="4963">
      <c r="A4963" s="107">
        <v>1629130.0</v>
      </c>
      <c r="B4963" s="108" t="s">
        <v>193</v>
      </c>
      <c r="C4963" s="108" t="s">
        <v>1193</v>
      </c>
      <c r="D4963" s="112" t="s">
        <v>178</v>
      </c>
      <c r="E4963" s="112">
        <v>2168.1</v>
      </c>
      <c r="F4963" s="111" t="str">
        <f>DataPull!D4963</f>
        <v/>
      </c>
      <c r="G4963" s="94" t="str">
        <f t="shared" si="2"/>
        <v/>
      </c>
      <c r="H4963" s="94" t="str">
        <f t="shared" si="3"/>
        <v/>
      </c>
      <c r="I4963" s="94" t="str">
        <f t="shared" ref="I4963:J4963" si="4964">if(G4963 = "", , -G4963)</f>
        <v/>
      </c>
      <c r="J4963" s="94" t="str">
        <f t="shared" si="4964"/>
        <v/>
      </c>
      <c r="K4963" s="100"/>
      <c r="M4963" s="100"/>
      <c r="N4963" s="100"/>
      <c r="O4963" s="100"/>
      <c r="P4963" s="100"/>
    </row>
    <row r="4964">
      <c r="A4964" s="107">
        <v>1629130.0</v>
      </c>
      <c r="B4964" s="108" t="s">
        <v>243</v>
      </c>
      <c r="C4964" s="108" t="s">
        <v>1193</v>
      </c>
      <c r="D4964" s="112" t="s">
        <v>178</v>
      </c>
      <c r="E4964" s="112">
        <v>2260.8</v>
      </c>
      <c r="F4964" s="111" t="str">
        <f>DataPull!D4964</f>
        <v/>
      </c>
      <c r="G4964" s="94" t="str">
        <f t="shared" si="2"/>
        <v/>
      </c>
      <c r="H4964" s="94" t="str">
        <f t="shared" si="3"/>
        <v/>
      </c>
      <c r="I4964" s="94" t="str">
        <f t="shared" ref="I4964:J4964" si="4965">if(G4964 = "", , -G4964)</f>
        <v/>
      </c>
      <c r="J4964" s="94" t="str">
        <f t="shared" si="4965"/>
        <v/>
      </c>
      <c r="K4964" s="100"/>
      <c r="M4964" s="100"/>
      <c r="N4964" s="100"/>
      <c r="O4964" s="100"/>
      <c r="P4964" s="100"/>
    </row>
    <row r="4965">
      <c r="A4965" s="107">
        <v>1629130.0</v>
      </c>
      <c r="B4965" s="108" t="s">
        <v>215</v>
      </c>
      <c r="C4965" s="108" t="s">
        <v>1193</v>
      </c>
      <c r="D4965" s="112" t="s">
        <v>176</v>
      </c>
      <c r="E4965" s="112">
        <v>2046.1</v>
      </c>
      <c r="F4965" s="111" t="str">
        <f>DataPull!D4965</f>
        <v/>
      </c>
      <c r="G4965" s="94" t="str">
        <f t="shared" si="2"/>
        <v/>
      </c>
      <c r="H4965" s="94" t="str">
        <f t="shared" si="3"/>
        <v/>
      </c>
      <c r="I4965" s="94" t="str">
        <f t="shared" ref="I4965:J4965" si="4966">if(G4965 = "", , -G4965)</f>
        <v/>
      </c>
      <c r="J4965" s="94" t="str">
        <f t="shared" si="4966"/>
        <v/>
      </c>
      <c r="K4965" s="100"/>
      <c r="M4965" s="100"/>
      <c r="N4965" s="100"/>
      <c r="O4965" s="100"/>
      <c r="P4965" s="100"/>
    </row>
    <row r="4966">
      <c r="A4966" s="107">
        <v>1629130.0</v>
      </c>
      <c r="B4966" s="108" t="s">
        <v>244</v>
      </c>
      <c r="C4966" s="108" t="s">
        <v>1193</v>
      </c>
      <c r="D4966" s="112" t="s">
        <v>177</v>
      </c>
      <c r="E4966" s="112">
        <v>688.8</v>
      </c>
      <c r="F4966" s="111" t="str">
        <f>DataPull!D4966</f>
        <v/>
      </c>
      <c r="G4966" s="94" t="str">
        <f t="shared" si="2"/>
        <v/>
      </c>
      <c r="H4966" s="94" t="str">
        <f t="shared" si="3"/>
        <v/>
      </c>
      <c r="I4966" s="94" t="str">
        <f t="shared" ref="I4966:J4966" si="4967">if(G4966 = "", , -G4966)</f>
        <v/>
      </c>
      <c r="J4966" s="94" t="str">
        <f t="shared" si="4967"/>
        <v/>
      </c>
      <c r="K4966" s="100"/>
      <c r="L4966" s="100"/>
      <c r="M4966" s="100"/>
      <c r="N4966" s="100"/>
      <c r="O4966" s="100"/>
      <c r="P4966" s="100"/>
    </row>
    <row r="4967">
      <c r="A4967" s="107">
        <v>1629130.0</v>
      </c>
      <c r="B4967" s="108" t="s">
        <v>245</v>
      </c>
      <c r="C4967" s="108" t="s">
        <v>1193</v>
      </c>
      <c r="D4967" s="112" t="s">
        <v>176</v>
      </c>
      <c r="E4967" s="112">
        <v>1904.0</v>
      </c>
      <c r="F4967" s="111" t="str">
        <f>DataPull!D4967</f>
        <v/>
      </c>
      <c r="G4967" s="94" t="str">
        <f t="shared" si="2"/>
        <v/>
      </c>
      <c r="H4967" s="94" t="str">
        <f t="shared" si="3"/>
        <v/>
      </c>
      <c r="I4967" s="94" t="str">
        <f t="shared" ref="I4967:J4967" si="4968">if(G4967 = "", , -G4967)</f>
        <v/>
      </c>
      <c r="J4967" s="94" t="str">
        <f t="shared" si="4968"/>
        <v/>
      </c>
      <c r="K4967" s="100"/>
      <c r="M4967" s="100"/>
      <c r="N4967" s="100"/>
      <c r="O4967" s="100"/>
      <c r="P4967" s="100"/>
    </row>
    <row r="4968">
      <c r="A4968" s="107">
        <v>1629130.0</v>
      </c>
      <c r="B4968" s="108" t="s">
        <v>246</v>
      </c>
      <c r="C4968" s="108" t="s">
        <v>1193</v>
      </c>
      <c r="D4968" s="112" t="s">
        <v>176</v>
      </c>
      <c r="E4968" s="112">
        <v>1783.4</v>
      </c>
      <c r="F4968" s="111" t="str">
        <f>DataPull!D4968</f>
        <v/>
      </c>
      <c r="G4968" s="94" t="str">
        <f t="shared" si="2"/>
        <v/>
      </c>
      <c r="H4968" s="94" t="str">
        <f t="shared" si="3"/>
        <v/>
      </c>
      <c r="I4968" s="94" t="str">
        <f t="shared" ref="I4968:J4968" si="4969">if(G4968 = "", , -G4968)</f>
        <v/>
      </c>
      <c r="J4968" s="94" t="str">
        <f t="shared" si="4969"/>
        <v/>
      </c>
      <c r="K4968" s="100"/>
      <c r="M4968" s="100"/>
      <c r="N4968" s="100"/>
      <c r="O4968" s="100"/>
      <c r="P4968" s="100"/>
    </row>
    <row r="4969">
      <c r="A4969" s="114">
        <v>1629130.0</v>
      </c>
      <c r="B4969" s="113" t="s">
        <v>247</v>
      </c>
      <c r="C4969" s="113" t="s">
        <v>1193</v>
      </c>
      <c r="D4969" s="112" t="s">
        <v>178</v>
      </c>
      <c r="E4969" s="112">
        <v>2109.8</v>
      </c>
      <c r="F4969" s="111" t="str">
        <f>DataPull!D4969</f>
        <v/>
      </c>
      <c r="G4969" s="94" t="str">
        <f t="shared" si="2"/>
        <v/>
      </c>
      <c r="H4969" s="94" t="str">
        <f t="shared" si="3"/>
        <v/>
      </c>
      <c r="I4969" s="94" t="str">
        <f t="shared" ref="I4969:J4969" si="4970">if(G4969 = "", , -G4969)</f>
        <v/>
      </c>
      <c r="J4969" s="94" t="str">
        <f t="shared" si="4970"/>
        <v/>
      </c>
      <c r="K4969" s="100"/>
      <c r="M4969" s="100"/>
      <c r="N4969" s="100"/>
      <c r="O4969" s="100"/>
      <c r="P4969" s="100"/>
    </row>
    <row r="4970">
      <c r="A4970" s="107">
        <v>1629133.0</v>
      </c>
      <c r="B4970" s="108" t="s">
        <v>192</v>
      </c>
      <c r="C4970" s="108" t="s">
        <v>1194</v>
      </c>
      <c r="D4970" s="112" t="s">
        <v>181</v>
      </c>
      <c r="E4970" s="112">
        <v>89.6</v>
      </c>
      <c r="F4970" s="111" t="str">
        <f>DataPull!D4970</f>
        <v/>
      </c>
      <c r="G4970" s="94" t="str">
        <f t="shared" si="2"/>
        <v/>
      </c>
      <c r="H4970" s="94" t="str">
        <f t="shared" si="3"/>
        <v/>
      </c>
      <c r="I4970" s="94" t="str">
        <f t="shared" ref="I4970:J4970" si="4971">if(G4970 = "", , -G4970)</f>
        <v/>
      </c>
      <c r="J4970" s="94" t="str">
        <f t="shared" si="4971"/>
        <v/>
      </c>
      <c r="K4970" s="100"/>
      <c r="M4970" s="100"/>
      <c r="N4970" s="100"/>
      <c r="O4970" s="100"/>
      <c r="P4970" s="100"/>
    </row>
    <row r="4971">
      <c r="A4971" s="107">
        <v>1629133.0</v>
      </c>
      <c r="B4971" s="108" t="s">
        <v>193</v>
      </c>
      <c r="C4971" s="108" t="s">
        <v>1194</v>
      </c>
      <c r="D4971" s="112" t="s">
        <v>181</v>
      </c>
      <c r="E4971" s="112">
        <v>14.0</v>
      </c>
      <c r="F4971" s="111" t="str">
        <f>DataPull!D4971</f>
        <v/>
      </c>
      <c r="G4971" s="94" t="str">
        <f t="shared" si="2"/>
        <v/>
      </c>
      <c r="H4971" s="94" t="str">
        <f t="shared" si="3"/>
        <v/>
      </c>
      <c r="I4971" s="94" t="str">
        <f t="shared" ref="I4971:J4971" si="4972">if(G4971 = "", , -G4971)</f>
        <v/>
      </c>
      <c r="J4971" s="94" t="str">
        <f t="shared" si="4972"/>
        <v/>
      </c>
      <c r="K4971" s="100"/>
      <c r="M4971" s="100"/>
      <c r="N4971" s="100"/>
      <c r="O4971" s="100"/>
      <c r="P4971" s="100"/>
    </row>
    <row r="4972">
      <c r="A4972" s="107">
        <v>1629134.0</v>
      </c>
      <c r="B4972" s="108" t="s">
        <v>193</v>
      </c>
      <c r="C4972" s="108" t="s">
        <v>1195</v>
      </c>
      <c r="D4972" s="112" t="s">
        <v>178</v>
      </c>
      <c r="E4972" s="112">
        <v>1963.1</v>
      </c>
      <c r="F4972" s="111" t="str">
        <f>DataPull!D4972</f>
        <v/>
      </c>
      <c r="G4972" s="94" t="str">
        <f t="shared" si="2"/>
        <v/>
      </c>
      <c r="H4972" s="94" t="str">
        <f t="shared" si="3"/>
        <v/>
      </c>
      <c r="I4972" s="94" t="str">
        <f t="shared" ref="I4972:J4972" si="4973">if(G4972 = "", , -G4972)</f>
        <v/>
      </c>
      <c r="J4972" s="94" t="str">
        <f t="shared" si="4973"/>
        <v/>
      </c>
      <c r="K4972" s="100"/>
      <c r="M4972" s="100"/>
      <c r="N4972" s="100"/>
      <c r="O4972" s="100"/>
      <c r="P4972" s="100"/>
    </row>
    <row r="4973">
      <c r="A4973" s="107">
        <v>1629134.0</v>
      </c>
      <c r="B4973" s="108" t="s">
        <v>243</v>
      </c>
      <c r="C4973" s="108" t="s">
        <v>1195</v>
      </c>
      <c r="D4973" s="112" t="s">
        <v>178</v>
      </c>
      <c r="E4973" s="112">
        <v>1652.0</v>
      </c>
      <c r="F4973" s="111" t="str">
        <f>DataPull!D4973</f>
        <v/>
      </c>
      <c r="G4973" s="94" t="str">
        <f t="shared" si="2"/>
        <v/>
      </c>
      <c r="H4973" s="94" t="str">
        <f t="shared" si="3"/>
        <v/>
      </c>
      <c r="I4973" s="94" t="str">
        <f t="shared" ref="I4973:J4973" si="4974">if(G4973 = "", , -G4973)</f>
        <v/>
      </c>
      <c r="J4973" s="94" t="str">
        <f t="shared" si="4974"/>
        <v/>
      </c>
      <c r="K4973" s="100"/>
      <c r="M4973" s="100"/>
      <c r="N4973" s="100"/>
      <c r="O4973" s="100"/>
      <c r="P4973" s="100"/>
    </row>
    <row r="4974">
      <c r="A4974" s="107">
        <v>1629134.0</v>
      </c>
      <c r="B4974" s="108" t="s">
        <v>244</v>
      </c>
      <c r="C4974" s="108" t="s">
        <v>1195</v>
      </c>
      <c r="D4974" s="112" t="s">
        <v>177</v>
      </c>
      <c r="E4974" s="112">
        <v>966.0</v>
      </c>
      <c r="F4974" s="111" t="str">
        <f>DataPull!D4974</f>
        <v/>
      </c>
      <c r="G4974" s="94" t="str">
        <f t="shared" si="2"/>
        <v/>
      </c>
      <c r="H4974" s="94" t="str">
        <f t="shared" si="3"/>
        <v/>
      </c>
      <c r="I4974" s="94" t="str">
        <f t="shared" ref="I4974:J4974" si="4975">if(G4974 = "", , -G4974)</f>
        <v/>
      </c>
      <c r="J4974" s="94" t="str">
        <f t="shared" si="4975"/>
        <v/>
      </c>
      <c r="K4974" s="100"/>
      <c r="L4974" s="100"/>
      <c r="N4974" s="100"/>
      <c r="O4974" s="100"/>
      <c r="P4974" s="100"/>
    </row>
    <row r="4975">
      <c r="A4975" s="107">
        <v>1629139.0</v>
      </c>
      <c r="B4975" s="108" t="s">
        <v>192</v>
      </c>
      <c r="C4975" s="108" t="s">
        <v>1196</v>
      </c>
      <c r="D4975" s="112" t="s">
        <v>187</v>
      </c>
      <c r="E4975" s="112">
        <v>174.0</v>
      </c>
      <c r="F4975" s="111" t="str">
        <f>DataPull!D4975</f>
        <v/>
      </c>
      <c r="G4975" s="94" t="str">
        <f t="shared" si="2"/>
        <v/>
      </c>
      <c r="H4975" s="94" t="str">
        <f t="shared" si="3"/>
        <v/>
      </c>
      <c r="I4975" s="94" t="str">
        <f t="shared" ref="I4975:J4975" si="4976">if(G4975 = "", , -G4975)</f>
        <v/>
      </c>
      <c r="J4975" s="94" t="str">
        <f t="shared" si="4976"/>
        <v/>
      </c>
      <c r="K4975" s="100"/>
      <c r="L4975" s="100"/>
      <c r="N4975" s="100"/>
      <c r="O4975" s="100"/>
      <c r="P4975" s="100"/>
    </row>
    <row r="4976">
      <c r="A4976" s="107">
        <v>1629139.0</v>
      </c>
      <c r="B4976" s="108" t="s">
        <v>193</v>
      </c>
      <c r="C4976" s="108" t="s">
        <v>1196</v>
      </c>
      <c r="D4976" s="112" t="s">
        <v>187</v>
      </c>
      <c r="E4976" s="112">
        <v>104.4</v>
      </c>
      <c r="F4976" s="111" t="str">
        <f>DataPull!D4976</f>
        <v/>
      </c>
      <c r="G4976" s="94" t="str">
        <f t="shared" si="2"/>
        <v/>
      </c>
      <c r="H4976" s="94" t="str">
        <f t="shared" si="3"/>
        <v/>
      </c>
      <c r="I4976" s="94" t="str">
        <f t="shared" ref="I4976:J4976" si="4977">if(G4976 = "", , -G4976)</f>
        <v/>
      </c>
      <c r="J4976" s="94" t="str">
        <f t="shared" si="4977"/>
        <v/>
      </c>
      <c r="K4976" s="100"/>
      <c r="M4976" s="100"/>
      <c r="N4976" s="100"/>
      <c r="O4976" s="100"/>
      <c r="P4976" s="100"/>
    </row>
    <row r="4977">
      <c r="A4977" s="107">
        <v>1629139.0</v>
      </c>
      <c r="B4977" s="108" t="s">
        <v>243</v>
      </c>
      <c r="C4977" s="108" t="s">
        <v>1196</v>
      </c>
      <c r="D4977" s="112" t="s">
        <v>177</v>
      </c>
      <c r="E4977" s="112">
        <v>725.0</v>
      </c>
      <c r="F4977" s="111" t="str">
        <f>DataPull!D4977</f>
        <v/>
      </c>
      <c r="G4977" s="94" t="str">
        <f t="shared" si="2"/>
        <v/>
      </c>
      <c r="H4977" s="94" t="str">
        <f t="shared" si="3"/>
        <v/>
      </c>
      <c r="I4977" s="94" t="str">
        <f t="shared" ref="I4977:J4977" si="4978">if(G4977 = "", , -G4977)</f>
        <v/>
      </c>
      <c r="J4977" s="94" t="str">
        <f t="shared" si="4978"/>
        <v/>
      </c>
      <c r="K4977" s="100"/>
      <c r="M4977" s="100"/>
      <c r="N4977" s="100"/>
      <c r="O4977" s="100"/>
      <c r="P4977" s="100"/>
    </row>
    <row r="4978">
      <c r="A4978" s="107">
        <v>1629139.0</v>
      </c>
      <c r="B4978" s="108" t="s">
        <v>215</v>
      </c>
      <c r="C4978" s="108" t="s">
        <v>1196</v>
      </c>
      <c r="D4978" s="112" t="s">
        <v>187</v>
      </c>
      <c r="E4978" s="112">
        <v>444.6</v>
      </c>
      <c r="F4978" s="111" t="str">
        <f>DataPull!D4978</f>
        <v/>
      </c>
      <c r="G4978" s="94" t="str">
        <f t="shared" si="2"/>
        <v/>
      </c>
      <c r="H4978" s="94" t="str">
        <f t="shared" si="3"/>
        <v/>
      </c>
      <c r="I4978" s="94" t="str">
        <f t="shared" ref="I4978:J4978" si="4979">if(G4978 = "", , -G4978)</f>
        <v/>
      </c>
      <c r="J4978" s="94" t="str">
        <f t="shared" si="4979"/>
        <v/>
      </c>
      <c r="K4978" s="100"/>
      <c r="M4978" s="100"/>
      <c r="N4978" s="100"/>
      <c r="O4978" s="100"/>
      <c r="P4978" s="100"/>
    </row>
    <row r="4979">
      <c r="A4979" s="107">
        <v>1629139.0</v>
      </c>
      <c r="B4979" s="108" t="s">
        <v>244</v>
      </c>
      <c r="C4979" s="108" t="s">
        <v>1196</v>
      </c>
      <c r="D4979" s="112" t="s">
        <v>177</v>
      </c>
      <c r="E4979" s="112">
        <v>928.0</v>
      </c>
      <c r="F4979" s="111" t="str">
        <f>DataPull!D4979</f>
        <v/>
      </c>
      <c r="G4979" s="94" t="str">
        <f t="shared" si="2"/>
        <v/>
      </c>
      <c r="H4979" s="94" t="str">
        <f t="shared" si="3"/>
        <v/>
      </c>
      <c r="I4979" s="94" t="str">
        <f t="shared" ref="I4979:J4979" si="4980">if(G4979 = "", , -G4979)</f>
        <v/>
      </c>
      <c r="J4979" s="94" t="str">
        <f t="shared" si="4980"/>
        <v/>
      </c>
      <c r="K4979" s="100"/>
      <c r="L4979" s="100"/>
      <c r="N4979" s="100"/>
      <c r="O4979" s="100"/>
      <c r="P4979" s="100"/>
    </row>
    <row r="4980">
      <c r="A4980" s="107">
        <v>1629139.0</v>
      </c>
      <c r="B4980" s="108" t="s">
        <v>245</v>
      </c>
      <c r="C4980" s="108" t="s">
        <v>1196</v>
      </c>
      <c r="D4980" s="112" t="s">
        <v>177</v>
      </c>
      <c r="E4980" s="112">
        <v>465.8</v>
      </c>
      <c r="F4980" s="111" t="str">
        <f>DataPull!D4980</f>
        <v/>
      </c>
      <c r="G4980" s="94" t="str">
        <f t="shared" si="2"/>
        <v/>
      </c>
      <c r="H4980" s="94" t="str">
        <f t="shared" si="3"/>
        <v/>
      </c>
      <c r="I4980" s="94" t="str">
        <f t="shared" ref="I4980:J4980" si="4981">if(G4980 = "", , -G4980)</f>
        <v/>
      </c>
      <c r="J4980" s="94" t="str">
        <f t="shared" si="4981"/>
        <v/>
      </c>
      <c r="K4980" s="100"/>
      <c r="M4980" s="100"/>
      <c r="N4980" s="100"/>
      <c r="O4980" s="100"/>
      <c r="P4980" s="100"/>
    </row>
    <row r="4981">
      <c r="A4981" s="107">
        <v>1629140.0</v>
      </c>
      <c r="B4981" s="108" t="s">
        <v>192</v>
      </c>
      <c r="C4981" s="108" t="s">
        <v>1197</v>
      </c>
      <c r="D4981" s="112" t="s">
        <v>177</v>
      </c>
      <c r="E4981" s="112">
        <v>372.0</v>
      </c>
      <c r="F4981" s="111" t="str">
        <f>DataPull!D4981</f>
        <v/>
      </c>
      <c r="G4981" s="94" t="str">
        <f t="shared" si="2"/>
        <v/>
      </c>
      <c r="H4981" s="94" t="str">
        <f t="shared" si="3"/>
        <v/>
      </c>
      <c r="I4981" s="94" t="str">
        <f t="shared" ref="I4981:J4981" si="4982">if(G4981 = "", , -G4981)</f>
        <v/>
      </c>
      <c r="J4981" s="94" t="str">
        <f t="shared" si="4982"/>
        <v/>
      </c>
      <c r="K4981" s="100"/>
      <c r="L4981" s="100"/>
      <c r="M4981" s="100"/>
      <c r="N4981" s="100"/>
      <c r="O4981" s="100"/>
      <c r="P4981" s="100"/>
    </row>
    <row r="4982">
      <c r="A4982" s="107">
        <v>1629140.0</v>
      </c>
      <c r="B4982" s="108" t="s">
        <v>193</v>
      </c>
      <c r="C4982" s="108" t="s">
        <v>1197</v>
      </c>
      <c r="D4982" s="112" t="s">
        <v>187</v>
      </c>
      <c r="E4982" s="112">
        <v>180.0</v>
      </c>
      <c r="F4982" s="111" t="str">
        <f>DataPull!D4982</f>
        <v/>
      </c>
      <c r="G4982" s="94" t="str">
        <f t="shared" si="2"/>
        <v/>
      </c>
      <c r="H4982" s="94" t="str">
        <f t="shared" si="3"/>
        <v/>
      </c>
      <c r="I4982" s="94" t="str">
        <f t="shared" ref="I4982:J4982" si="4983">if(G4982 = "", , -G4982)</f>
        <v/>
      </c>
      <c r="J4982" s="94" t="str">
        <f t="shared" si="4983"/>
        <v/>
      </c>
      <c r="K4982" s="100"/>
      <c r="M4982" s="100"/>
      <c r="N4982" s="100"/>
      <c r="O4982" s="100"/>
      <c r="P4982" s="100"/>
    </row>
    <row r="4983">
      <c r="A4983" s="107">
        <v>1629147.0</v>
      </c>
      <c r="B4983" s="108" t="s">
        <v>192</v>
      </c>
      <c r="C4983" s="108" t="s">
        <v>1198</v>
      </c>
      <c r="D4983" s="112" t="s">
        <v>181</v>
      </c>
      <c r="E4983" s="112">
        <v>7.8</v>
      </c>
      <c r="F4983" s="111" t="str">
        <f>DataPull!D4983</f>
        <v/>
      </c>
      <c r="G4983" s="94" t="str">
        <f t="shared" si="2"/>
        <v/>
      </c>
      <c r="H4983" s="94" t="str">
        <f t="shared" si="3"/>
        <v/>
      </c>
      <c r="I4983" s="94" t="str">
        <f t="shared" ref="I4983:J4983" si="4984">if(G4983 = "", , -G4983)</f>
        <v/>
      </c>
      <c r="J4983" s="94" t="str">
        <f t="shared" si="4984"/>
        <v/>
      </c>
      <c r="K4983" s="100"/>
      <c r="L4983" s="100"/>
      <c r="N4983" s="100"/>
      <c r="O4983" s="100"/>
      <c r="P4983" s="100"/>
    </row>
    <row r="4984">
      <c r="A4984" s="107">
        <v>1629147.0</v>
      </c>
      <c r="B4984" s="108" t="s">
        <v>193</v>
      </c>
      <c r="C4984" s="108" t="s">
        <v>1198</v>
      </c>
      <c r="D4984" s="112" t="s">
        <v>181</v>
      </c>
      <c r="E4984" s="112">
        <v>33.6</v>
      </c>
      <c r="F4984" s="111" t="str">
        <f>DataPull!D4984</f>
        <v/>
      </c>
      <c r="G4984" s="94" t="str">
        <f t="shared" si="2"/>
        <v/>
      </c>
      <c r="H4984" s="94" t="str">
        <f t="shared" si="3"/>
        <v/>
      </c>
      <c r="I4984" s="94" t="str">
        <f t="shared" ref="I4984:J4984" si="4985">if(G4984 = "", , -G4984)</f>
        <v/>
      </c>
      <c r="J4984" s="94" t="str">
        <f t="shared" si="4985"/>
        <v/>
      </c>
      <c r="K4984" s="100"/>
      <c r="M4984" s="100"/>
      <c r="N4984" s="100"/>
      <c r="O4984" s="100"/>
      <c r="P4984" s="100"/>
    </row>
    <row r="4985">
      <c r="A4985" s="107">
        <v>1629150.0</v>
      </c>
      <c r="B4985" s="108" t="s">
        <v>192</v>
      </c>
      <c r="C4985" s="108" t="s">
        <v>1199</v>
      </c>
      <c r="D4985" s="112" t="s">
        <v>181</v>
      </c>
      <c r="E4985" s="112">
        <v>22.8</v>
      </c>
      <c r="F4985" s="111" t="str">
        <f>DataPull!D4985</f>
        <v/>
      </c>
      <c r="G4985" s="94" t="str">
        <f t="shared" si="2"/>
        <v/>
      </c>
      <c r="H4985" s="94" t="str">
        <f t="shared" si="3"/>
        <v/>
      </c>
      <c r="I4985" s="94" t="str">
        <f t="shared" ref="I4985:J4985" si="4986">if(G4985 = "", , -G4985)</f>
        <v/>
      </c>
      <c r="J4985" s="94" t="str">
        <f t="shared" si="4986"/>
        <v/>
      </c>
      <c r="K4985" s="100"/>
      <c r="M4985" s="100"/>
      <c r="N4985" s="100"/>
      <c r="O4985" s="100"/>
      <c r="P4985" s="100"/>
    </row>
    <row r="4986">
      <c r="A4986" s="107">
        <v>1629150.0</v>
      </c>
      <c r="B4986" s="108" t="s">
        <v>215</v>
      </c>
      <c r="C4986" s="108" t="s">
        <v>1199</v>
      </c>
      <c r="D4986" s="112" t="s">
        <v>181</v>
      </c>
      <c r="E4986" s="112">
        <v>18.3</v>
      </c>
      <c r="F4986" s="111" t="str">
        <f>DataPull!D4986</f>
        <v/>
      </c>
      <c r="G4986" s="94" t="str">
        <f t="shared" si="2"/>
        <v/>
      </c>
      <c r="H4986" s="94" t="str">
        <f t="shared" si="3"/>
        <v/>
      </c>
      <c r="I4986" s="94" t="str">
        <f t="shared" ref="I4986:J4986" si="4987">if(G4986 = "", , -G4986)</f>
        <v/>
      </c>
      <c r="J4986" s="94" t="str">
        <f t="shared" si="4987"/>
        <v/>
      </c>
      <c r="K4986" s="100"/>
      <c r="M4986" s="100"/>
      <c r="N4986" s="100"/>
      <c r="O4986" s="100"/>
      <c r="P4986" s="100"/>
    </row>
    <row r="4987">
      <c r="A4987" s="107">
        <v>1629151.0</v>
      </c>
      <c r="B4987" s="108" t="s">
        <v>192</v>
      </c>
      <c r="C4987" s="108" t="s">
        <v>1200</v>
      </c>
      <c r="D4987" s="112" t="s">
        <v>177</v>
      </c>
      <c r="E4987" s="112">
        <v>453.6</v>
      </c>
      <c r="F4987" s="111" t="str">
        <f>DataPull!D4987</f>
        <v/>
      </c>
      <c r="G4987" s="94" t="str">
        <f t="shared" si="2"/>
        <v/>
      </c>
      <c r="H4987" s="94" t="str">
        <f t="shared" si="3"/>
        <v/>
      </c>
      <c r="I4987" s="94" t="str">
        <f t="shared" ref="I4987:J4987" si="4988">if(G4987 = "", , -G4987)</f>
        <v/>
      </c>
      <c r="J4987" s="94" t="str">
        <f t="shared" si="4988"/>
        <v/>
      </c>
      <c r="K4987" s="100"/>
      <c r="N4987" s="100"/>
      <c r="O4987" s="100"/>
      <c r="P4987" s="100"/>
    </row>
    <row r="4988">
      <c r="A4988" s="107">
        <v>1629151.0</v>
      </c>
      <c r="B4988" s="108" t="s">
        <v>193</v>
      </c>
      <c r="C4988" s="108" t="s">
        <v>1200</v>
      </c>
      <c r="D4988" s="112" t="s">
        <v>187</v>
      </c>
      <c r="E4988" s="112">
        <v>180.2</v>
      </c>
      <c r="F4988" s="111" t="str">
        <f>DataPull!D4988</f>
        <v/>
      </c>
      <c r="G4988" s="94" t="str">
        <f t="shared" si="2"/>
        <v/>
      </c>
      <c r="H4988" s="94" t="str">
        <f t="shared" si="3"/>
        <v/>
      </c>
      <c r="I4988" s="94" t="str">
        <f t="shared" ref="I4988:J4988" si="4989">if(G4988 = "", , -G4988)</f>
        <v/>
      </c>
      <c r="J4988" s="94" t="str">
        <f t="shared" si="4989"/>
        <v/>
      </c>
      <c r="K4988" s="100"/>
      <c r="M4988" s="100"/>
      <c r="N4988" s="100"/>
      <c r="O4988" s="100"/>
      <c r="P4988" s="100"/>
    </row>
    <row r="4989">
      <c r="A4989" s="107">
        <v>1629152.0</v>
      </c>
      <c r="B4989" s="108" t="s">
        <v>192</v>
      </c>
      <c r="C4989" s="108" t="s">
        <v>1201</v>
      </c>
      <c r="D4989" s="112" t="s">
        <v>181</v>
      </c>
      <c r="E4989" s="112">
        <v>21.7</v>
      </c>
      <c r="F4989" s="111" t="str">
        <f>DataPull!D4989</f>
        <v/>
      </c>
      <c r="G4989" s="94" t="str">
        <f t="shared" si="2"/>
        <v/>
      </c>
      <c r="H4989" s="94" t="str">
        <f t="shared" si="3"/>
        <v/>
      </c>
      <c r="I4989" s="94" t="str">
        <f t="shared" ref="I4989:J4989" si="4990">if(G4989 = "", , -G4989)</f>
        <v/>
      </c>
      <c r="J4989" s="94" t="str">
        <f t="shared" si="4990"/>
        <v/>
      </c>
      <c r="K4989" s="100"/>
      <c r="M4989" s="100"/>
      <c r="N4989" s="100"/>
      <c r="O4989" s="100"/>
      <c r="P4989" s="100"/>
    </row>
    <row r="4990">
      <c r="A4990" s="107">
        <v>1629155.0</v>
      </c>
      <c r="B4990" s="108" t="s">
        <v>192</v>
      </c>
      <c r="C4990" s="108" t="s">
        <v>1202</v>
      </c>
      <c r="D4990" s="112" t="s">
        <v>181</v>
      </c>
      <c r="E4990" s="112">
        <v>3.8</v>
      </c>
      <c r="F4990" s="111" t="str">
        <f>DataPull!D4990</f>
        <v/>
      </c>
      <c r="G4990" s="94" t="str">
        <f t="shared" si="2"/>
        <v/>
      </c>
      <c r="H4990" s="94" t="str">
        <f t="shared" si="3"/>
        <v/>
      </c>
      <c r="I4990" s="94" t="str">
        <f t="shared" ref="I4990:J4990" si="4991">if(G4990 = "", , -G4990)</f>
        <v/>
      </c>
      <c r="J4990" s="94" t="str">
        <f t="shared" si="4991"/>
        <v/>
      </c>
      <c r="K4990" s="100"/>
      <c r="M4990" s="100"/>
      <c r="N4990" s="100"/>
      <c r="O4990" s="100"/>
      <c r="P4990" s="100"/>
    </row>
    <row r="4991">
      <c r="A4991" s="107">
        <v>1629162.0</v>
      </c>
      <c r="B4991" s="108" t="s">
        <v>193</v>
      </c>
      <c r="C4991" s="108" t="s">
        <v>1203</v>
      </c>
      <c r="D4991" s="112" t="s">
        <v>177</v>
      </c>
      <c r="E4991" s="112">
        <v>591.0</v>
      </c>
      <c r="F4991" s="111" t="str">
        <f>DataPull!D4991</f>
        <v/>
      </c>
      <c r="G4991" s="94" t="str">
        <f t="shared" si="2"/>
        <v/>
      </c>
      <c r="H4991" s="94" t="str">
        <f t="shared" si="3"/>
        <v/>
      </c>
      <c r="I4991" s="94" t="str">
        <f t="shared" ref="I4991:J4991" si="4992">if(G4991 = "", , -G4991)</f>
        <v/>
      </c>
      <c r="J4991" s="94" t="str">
        <f t="shared" si="4992"/>
        <v/>
      </c>
      <c r="K4991" s="100"/>
      <c r="M4991" s="100"/>
      <c r="N4991" s="100"/>
      <c r="O4991" s="100"/>
      <c r="P4991" s="100"/>
    </row>
    <row r="4992">
      <c r="A4992" s="107">
        <v>1629162.0</v>
      </c>
      <c r="B4992" s="108" t="s">
        <v>243</v>
      </c>
      <c r="C4992" s="108" t="s">
        <v>1203</v>
      </c>
      <c r="D4992" s="112" t="s">
        <v>177</v>
      </c>
      <c r="E4992" s="112">
        <v>938.4</v>
      </c>
      <c r="F4992" s="111" t="str">
        <f>DataPull!D4992</f>
        <v/>
      </c>
      <c r="G4992" s="94" t="str">
        <f t="shared" si="2"/>
        <v/>
      </c>
      <c r="H4992" s="94" t="str">
        <f t="shared" si="3"/>
        <v/>
      </c>
      <c r="I4992" s="94" t="str">
        <f t="shared" ref="I4992:J4992" si="4993">if(G4992 = "", , -G4992)</f>
        <v/>
      </c>
      <c r="J4992" s="94" t="str">
        <f t="shared" si="4993"/>
        <v/>
      </c>
      <c r="K4992" s="100"/>
      <c r="M4992" s="100"/>
      <c r="N4992" s="100"/>
      <c r="O4992" s="100"/>
      <c r="P4992" s="100"/>
    </row>
    <row r="4993">
      <c r="A4993" s="107">
        <v>1629162.0</v>
      </c>
      <c r="B4993" s="108" t="s">
        <v>215</v>
      </c>
      <c r="C4993" s="108" t="s">
        <v>1203</v>
      </c>
      <c r="D4993" s="112" t="s">
        <v>177</v>
      </c>
      <c r="E4993" s="112">
        <v>899.0</v>
      </c>
      <c r="F4993" s="111" t="str">
        <f>DataPull!D4993</f>
        <v/>
      </c>
      <c r="G4993" s="94" t="str">
        <f t="shared" si="2"/>
        <v/>
      </c>
      <c r="H4993" s="94" t="str">
        <f t="shared" si="3"/>
        <v/>
      </c>
      <c r="I4993" s="94" t="str">
        <f t="shared" ref="I4993:J4993" si="4994">if(G4993 = "", , -G4993)</f>
        <v/>
      </c>
      <c r="J4993" s="94" t="str">
        <f t="shared" si="4994"/>
        <v/>
      </c>
      <c r="K4993" s="100"/>
      <c r="L4993" s="100"/>
      <c r="N4993" s="100"/>
      <c r="O4993" s="100"/>
      <c r="P4993" s="100"/>
    </row>
    <row r="4994">
      <c r="A4994" s="107">
        <v>1629162.0</v>
      </c>
      <c r="B4994" s="108" t="s">
        <v>244</v>
      </c>
      <c r="C4994" s="108" t="s">
        <v>1203</v>
      </c>
      <c r="D4994" s="112" t="s">
        <v>177</v>
      </c>
      <c r="E4994" s="112">
        <v>679.4</v>
      </c>
      <c r="F4994" s="111" t="str">
        <f>DataPull!D4994</f>
        <v/>
      </c>
      <c r="G4994" s="94" t="str">
        <f t="shared" si="2"/>
        <v/>
      </c>
      <c r="H4994" s="94" t="str">
        <f t="shared" si="3"/>
        <v/>
      </c>
      <c r="I4994" s="94" t="str">
        <f t="shared" ref="I4994:J4994" si="4995">if(G4994 = "", , -G4994)</f>
        <v/>
      </c>
      <c r="J4994" s="94" t="str">
        <f t="shared" si="4995"/>
        <v/>
      </c>
      <c r="K4994" s="100"/>
      <c r="M4994" s="100"/>
      <c r="N4994" s="100"/>
      <c r="O4994" s="100"/>
      <c r="P4994" s="100"/>
    </row>
    <row r="4995">
      <c r="A4995" s="107">
        <v>1629162.0</v>
      </c>
      <c r="B4995" s="108" t="s">
        <v>245</v>
      </c>
      <c r="C4995" s="108" t="s">
        <v>1203</v>
      </c>
      <c r="D4995" s="112" t="s">
        <v>177</v>
      </c>
      <c r="E4995" s="112">
        <v>627.2</v>
      </c>
      <c r="F4995" s="111" t="str">
        <f>DataPull!D4995</f>
        <v/>
      </c>
      <c r="G4995" s="94" t="str">
        <f t="shared" si="2"/>
        <v/>
      </c>
      <c r="H4995" s="94" t="str">
        <f t="shared" si="3"/>
        <v/>
      </c>
      <c r="I4995" s="94" t="str">
        <f t="shared" ref="I4995:J4995" si="4996">if(G4995 = "", , -G4995)</f>
        <v/>
      </c>
      <c r="J4995" s="94" t="str">
        <f t="shared" si="4996"/>
        <v/>
      </c>
      <c r="K4995" s="100"/>
      <c r="M4995" s="100"/>
      <c r="N4995" s="100"/>
      <c r="O4995" s="100"/>
      <c r="P4995" s="100"/>
    </row>
    <row r="4996">
      <c r="A4996" s="107">
        <v>1629162.0</v>
      </c>
      <c r="B4996" s="108" t="s">
        <v>246</v>
      </c>
      <c r="C4996" s="108" t="s">
        <v>1203</v>
      </c>
      <c r="D4996" s="112" t="s">
        <v>187</v>
      </c>
      <c r="E4996" s="112">
        <v>312.8</v>
      </c>
      <c r="F4996" s="111" t="str">
        <f>DataPull!D4996</f>
        <v/>
      </c>
      <c r="G4996" s="94" t="str">
        <f t="shared" si="2"/>
        <v/>
      </c>
      <c r="H4996" s="94" t="str">
        <f t="shared" si="3"/>
        <v/>
      </c>
      <c r="I4996" s="94" t="str">
        <f t="shared" ref="I4996:J4996" si="4997">if(G4996 = "", , -G4996)</f>
        <v/>
      </c>
      <c r="J4996" s="94" t="str">
        <f t="shared" si="4997"/>
        <v/>
      </c>
      <c r="K4996" s="100"/>
      <c r="M4996" s="100"/>
      <c r="N4996" s="100"/>
      <c r="O4996" s="100"/>
      <c r="P4996" s="100"/>
    </row>
    <row r="4997">
      <c r="A4997" s="114">
        <v>1629162.0</v>
      </c>
      <c r="B4997" s="113" t="s">
        <v>247</v>
      </c>
      <c r="C4997" s="113" t="s">
        <v>1203</v>
      </c>
      <c r="D4997" s="112" t="s">
        <v>187</v>
      </c>
      <c r="E4997" s="112">
        <v>281.6</v>
      </c>
      <c r="F4997" s="111" t="str">
        <f>DataPull!D4997</f>
        <v/>
      </c>
      <c r="G4997" s="94" t="str">
        <f t="shared" si="2"/>
        <v/>
      </c>
      <c r="H4997" s="94" t="str">
        <f t="shared" si="3"/>
        <v/>
      </c>
      <c r="I4997" s="94" t="str">
        <f t="shared" ref="I4997:J4997" si="4998">if(G4997 = "", , -G4997)</f>
        <v/>
      </c>
      <c r="J4997" s="94" t="str">
        <f t="shared" si="4998"/>
        <v/>
      </c>
      <c r="K4997" s="100"/>
      <c r="M4997" s="100"/>
      <c r="N4997" s="100"/>
      <c r="O4997" s="100"/>
      <c r="P4997" s="100"/>
    </row>
    <row r="4998">
      <c r="A4998" s="107">
        <v>1629164.0</v>
      </c>
      <c r="B4998" s="108" t="s">
        <v>192</v>
      </c>
      <c r="C4998" s="108" t="s">
        <v>1204</v>
      </c>
      <c r="D4998" s="112" t="s">
        <v>187</v>
      </c>
      <c r="E4998" s="112">
        <v>57.6</v>
      </c>
      <c r="F4998" s="111" t="str">
        <f>DataPull!D4998</f>
        <v/>
      </c>
      <c r="G4998" s="94" t="str">
        <f t="shared" si="2"/>
        <v/>
      </c>
      <c r="H4998" s="94" t="str">
        <f t="shared" si="3"/>
        <v/>
      </c>
      <c r="I4998" s="94" t="str">
        <f t="shared" ref="I4998:J4998" si="4999">if(G4998 = "", , -G4998)</f>
        <v/>
      </c>
      <c r="J4998" s="94" t="str">
        <f t="shared" si="4999"/>
        <v/>
      </c>
      <c r="K4998" s="100"/>
      <c r="M4998" s="100"/>
      <c r="N4998" s="100"/>
      <c r="O4998" s="100"/>
      <c r="P4998" s="100"/>
    </row>
    <row r="4999">
      <c r="A4999" s="107">
        <v>1629164.0</v>
      </c>
      <c r="B4999" s="108" t="s">
        <v>193</v>
      </c>
      <c r="C4999" s="108" t="s">
        <v>1204</v>
      </c>
      <c r="D4999" s="112" t="s">
        <v>177</v>
      </c>
      <c r="E4999" s="112">
        <v>431.8</v>
      </c>
      <c r="F4999" s="111" t="str">
        <f>DataPull!D4999</f>
        <v/>
      </c>
      <c r="G4999" s="94" t="str">
        <f t="shared" si="2"/>
        <v/>
      </c>
      <c r="H4999" s="94" t="str">
        <f t="shared" si="3"/>
        <v/>
      </c>
      <c r="I4999" s="94" t="str">
        <f t="shared" ref="I4999:J4999" si="5000">if(G4999 = "", , -G4999)</f>
        <v/>
      </c>
      <c r="J4999" s="94" t="str">
        <f t="shared" si="5000"/>
        <v/>
      </c>
      <c r="K4999" s="100"/>
      <c r="M4999" s="100"/>
      <c r="N4999" s="100"/>
      <c r="O4999" s="100"/>
      <c r="P4999" s="100"/>
    </row>
    <row r="5000">
      <c r="A5000" s="107">
        <v>1629164.0</v>
      </c>
      <c r="B5000" s="108" t="s">
        <v>243</v>
      </c>
      <c r="C5000" s="108" t="s">
        <v>1204</v>
      </c>
      <c r="D5000" s="112" t="s">
        <v>177</v>
      </c>
      <c r="E5000" s="112">
        <v>620.4</v>
      </c>
      <c r="F5000" s="111" t="str">
        <f>DataPull!D5000</f>
        <v/>
      </c>
      <c r="G5000" s="94" t="str">
        <f t="shared" si="2"/>
        <v/>
      </c>
      <c r="H5000" s="94" t="str">
        <f t="shared" si="3"/>
        <v/>
      </c>
      <c r="I5000" s="94" t="str">
        <f t="shared" ref="I5000:J5000" si="5001">if(G5000 = "", , -G5000)</f>
        <v/>
      </c>
      <c r="J5000" s="94" t="str">
        <f t="shared" si="5001"/>
        <v/>
      </c>
      <c r="K5000" s="100"/>
      <c r="M5000" s="100"/>
      <c r="N5000" s="100"/>
      <c r="O5000" s="100"/>
      <c r="P5000" s="100"/>
    </row>
    <row r="5001">
      <c r="A5001" s="107">
        <v>1629164.0</v>
      </c>
      <c r="B5001" s="108" t="s">
        <v>215</v>
      </c>
      <c r="C5001" s="108" t="s">
        <v>1204</v>
      </c>
      <c r="D5001" s="112" t="s">
        <v>177</v>
      </c>
      <c r="E5001" s="112">
        <v>500.4</v>
      </c>
      <c r="F5001" s="111" t="str">
        <f>DataPull!D5001</f>
        <v/>
      </c>
      <c r="G5001" s="94" t="str">
        <f t="shared" si="2"/>
        <v/>
      </c>
      <c r="H5001" s="94" t="str">
        <f t="shared" si="3"/>
        <v/>
      </c>
      <c r="I5001" s="94" t="str">
        <f t="shared" ref="I5001:J5001" si="5002">if(G5001 = "", , -G5001)</f>
        <v/>
      </c>
      <c r="J5001" s="94" t="str">
        <f t="shared" si="5002"/>
        <v/>
      </c>
      <c r="K5001" s="100"/>
      <c r="M5001" s="100"/>
      <c r="N5001" s="100"/>
      <c r="O5001" s="100"/>
      <c r="P5001" s="100"/>
    </row>
    <row r="5002">
      <c r="A5002" s="107">
        <v>1629168.0</v>
      </c>
      <c r="B5002" s="108" t="s">
        <v>192</v>
      </c>
      <c r="C5002" s="108" t="s">
        <v>1205</v>
      </c>
      <c r="D5002" s="112" t="s">
        <v>181</v>
      </c>
      <c r="E5002" s="112">
        <v>49.7</v>
      </c>
      <c r="F5002" s="111" t="str">
        <f>DataPull!D5002</f>
        <v/>
      </c>
      <c r="G5002" s="94" t="str">
        <f t="shared" si="2"/>
        <v/>
      </c>
      <c r="H5002" s="94" t="str">
        <f t="shared" si="3"/>
        <v/>
      </c>
      <c r="I5002" s="94" t="str">
        <f t="shared" ref="I5002:J5002" si="5003">if(G5002 = "", , -G5002)</f>
        <v/>
      </c>
      <c r="J5002" s="94" t="str">
        <f t="shared" si="5003"/>
        <v/>
      </c>
      <c r="K5002" s="100"/>
      <c r="M5002" s="100"/>
      <c r="N5002" s="100"/>
      <c r="O5002" s="100"/>
      <c r="P5002" s="100"/>
    </row>
    <row r="5003">
      <c r="A5003" s="107">
        <v>1629168.0</v>
      </c>
      <c r="B5003" s="108" t="s">
        <v>193</v>
      </c>
      <c r="C5003" s="108" t="s">
        <v>1205</v>
      </c>
      <c r="D5003" s="112" t="s">
        <v>187</v>
      </c>
      <c r="E5003" s="112">
        <v>83.0</v>
      </c>
      <c r="F5003" s="111" t="str">
        <f>DataPull!D5003</f>
        <v/>
      </c>
      <c r="G5003" s="94" t="str">
        <f t="shared" si="2"/>
        <v/>
      </c>
      <c r="H5003" s="94" t="str">
        <f t="shared" si="3"/>
        <v/>
      </c>
      <c r="I5003" s="94" t="str">
        <f t="shared" ref="I5003:J5003" si="5004">if(G5003 = "", , -G5003)</f>
        <v/>
      </c>
      <c r="J5003" s="94" t="str">
        <f t="shared" si="5004"/>
        <v/>
      </c>
      <c r="K5003" s="100"/>
      <c r="M5003" s="100"/>
      <c r="N5003" s="100"/>
      <c r="O5003" s="100"/>
      <c r="P5003" s="100"/>
    </row>
    <row r="5004">
      <c r="A5004" s="107">
        <v>1629168.0</v>
      </c>
      <c r="B5004" s="108" t="s">
        <v>215</v>
      </c>
      <c r="C5004" s="108" t="s">
        <v>1205</v>
      </c>
      <c r="D5004" s="112" t="s">
        <v>181</v>
      </c>
      <c r="E5004" s="112">
        <v>64.4</v>
      </c>
      <c r="F5004" s="111" t="str">
        <f>DataPull!D5004</f>
        <v/>
      </c>
      <c r="G5004" s="94" t="str">
        <f t="shared" si="2"/>
        <v/>
      </c>
      <c r="H5004" s="94" t="str">
        <f t="shared" si="3"/>
        <v/>
      </c>
      <c r="I5004" s="94" t="str">
        <f t="shared" ref="I5004:J5004" si="5005">if(G5004 = "", , -G5004)</f>
        <v/>
      </c>
      <c r="J5004" s="94" t="str">
        <f t="shared" si="5005"/>
        <v/>
      </c>
      <c r="K5004" s="100"/>
      <c r="M5004" s="100"/>
      <c r="N5004" s="100"/>
      <c r="O5004" s="100"/>
      <c r="P5004" s="100"/>
    </row>
    <row r="5005">
      <c r="A5005" s="107">
        <v>1629185.0</v>
      </c>
      <c r="B5005" s="108" t="s">
        <v>192</v>
      </c>
      <c r="C5005" s="108" t="s">
        <v>1206</v>
      </c>
      <c r="D5005" s="112" t="s">
        <v>181</v>
      </c>
      <c r="E5005" s="112">
        <v>32.2</v>
      </c>
      <c r="F5005" s="111" t="str">
        <f>DataPull!D5005</f>
        <v/>
      </c>
      <c r="G5005" s="94" t="str">
        <f t="shared" si="2"/>
        <v/>
      </c>
      <c r="H5005" s="94" t="str">
        <f t="shared" si="3"/>
        <v/>
      </c>
      <c r="I5005" s="94" t="str">
        <f t="shared" ref="I5005:J5005" si="5006">if(G5005 = "", , -G5005)</f>
        <v/>
      </c>
      <c r="J5005" s="94" t="str">
        <f t="shared" si="5006"/>
        <v/>
      </c>
      <c r="K5005" s="100"/>
      <c r="M5005" s="100"/>
      <c r="N5005" s="100"/>
      <c r="O5005" s="100"/>
      <c r="P5005" s="100"/>
    </row>
    <row r="5006">
      <c r="A5006" s="107">
        <v>1629185.0</v>
      </c>
      <c r="B5006" s="108" t="s">
        <v>193</v>
      </c>
      <c r="C5006" s="108" t="s">
        <v>1206</v>
      </c>
      <c r="D5006" s="112" t="s">
        <v>187</v>
      </c>
      <c r="E5006" s="112">
        <v>400.4</v>
      </c>
      <c r="F5006" s="111" t="str">
        <f>DataPull!D5006</f>
        <v/>
      </c>
      <c r="G5006" s="94" t="str">
        <f t="shared" si="2"/>
        <v/>
      </c>
      <c r="H5006" s="94" t="str">
        <f t="shared" si="3"/>
        <v/>
      </c>
      <c r="I5006" s="94" t="str">
        <f t="shared" ref="I5006:J5006" si="5007">if(G5006 = "", , -G5006)</f>
        <v/>
      </c>
      <c r="J5006" s="94" t="str">
        <f t="shared" si="5007"/>
        <v/>
      </c>
      <c r="K5006" s="100"/>
      <c r="M5006" s="100"/>
      <c r="N5006" s="100"/>
      <c r="O5006" s="100"/>
      <c r="P5006" s="100"/>
    </row>
    <row r="5007">
      <c r="A5007" s="107">
        <v>1629185.0</v>
      </c>
      <c r="B5007" s="108" t="s">
        <v>243</v>
      </c>
      <c r="C5007" s="108" t="s">
        <v>1206</v>
      </c>
      <c r="D5007" s="112" t="s">
        <v>187</v>
      </c>
      <c r="E5007" s="112">
        <v>233.2</v>
      </c>
      <c r="F5007" s="111" t="str">
        <f>DataPull!D5007</f>
        <v/>
      </c>
      <c r="G5007" s="94" t="str">
        <f t="shared" si="2"/>
        <v/>
      </c>
      <c r="H5007" s="94" t="str">
        <f t="shared" si="3"/>
        <v/>
      </c>
      <c r="I5007" s="94" t="str">
        <f t="shared" ref="I5007:J5007" si="5008">if(G5007 = "", , -G5007)</f>
        <v/>
      </c>
      <c r="J5007" s="94" t="str">
        <f t="shared" si="5008"/>
        <v/>
      </c>
      <c r="K5007" s="100"/>
      <c r="M5007" s="100"/>
      <c r="N5007" s="100"/>
      <c r="O5007" s="100"/>
      <c r="P5007" s="100"/>
    </row>
    <row r="5008">
      <c r="A5008" s="107">
        <v>1629185.0</v>
      </c>
      <c r="B5008" s="108" t="s">
        <v>215</v>
      </c>
      <c r="C5008" s="108" t="s">
        <v>1206</v>
      </c>
      <c r="D5008" s="112" t="s">
        <v>177</v>
      </c>
      <c r="E5008" s="112">
        <v>370.6</v>
      </c>
      <c r="F5008" s="111" t="str">
        <f>DataPull!D5008</f>
        <v/>
      </c>
      <c r="G5008" s="94" t="str">
        <f t="shared" si="2"/>
        <v/>
      </c>
      <c r="H5008" s="94" t="str">
        <f t="shared" si="3"/>
        <v/>
      </c>
      <c r="I5008" s="94" t="str">
        <f t="shared" ref="I5008:J5008" si="5009">if(G5008 = "", , -G5008)</f>
        <v/>
      </c>
      <c r="J5008" s="94" t="str">
        <f t="shared" si="5009"/>
        <v/>
      </c>
      <c r="K5008" s="100"/>
      <c r="M5008" s="100"/>
      <c r="N5008" s="100"/>
      <c r="O5008" s="100"/>
      <c r="P5008" s="100"/>
    </row>
    <row r="5009">
      <c r="A5009" s="107">
        <v>1629203.0</v>
      </c>
      <c r="B5009" s="108" t="s">
        <v>192</v>
      </c>
      <c r="C5009" s="108" t="s">
        <v>1207</v>
      </c>
      <c r="D5009" s="112" t="s">
        <v>181</v>
      </c>
      <c r="E5009" s="112">
        <v>143.4</v>
      </c>
      <c r="F5009" s="111" t="str">
        <f>DataPull!D5009</f>
        <v/>
      </c>
      <c r="G5009" s="94" t="str">
        <f t="shared" si="2"/>
        <v/>
      </c>
      <c r="H5009" s="94" t="str">
        <f t="shared" si="3"/>
        <v/>
      </c>
      <c r="I5009" s="94" t="str">
        <f t="shared" ref="I5009:J5009" si="5010">if(G5009 = "", , -G5009)</f>
        <v/>
      </c>
      <c r="J5009" s="94" t="str">
        <f t="shared" si="5010"/>
        <v/>
      </c>
      <c r="K5009" s="100"/>
      <c r="L5009" s="100"/>
      <c r="N5009" s="100"/>
      <c r="O5009" s="100"/>
      <c r="P5009" s="100"/>
    </row>
    <row r="5010">
      <c r="A5010" s="107">
        <v>1629203.0</v>
      </c>
      <c r="B5010" s="108" t="s">
        <v>215</v>
      </c>
      <c r="C5010" s="108" t="s">
        <v>1207</v>
      </c>
      <c r="D5010" s="112" t="s">
        <v>181</v>
      </c>
      <c r="E5010" s="112">
        <v>14.8</v>
      </c>
      <c r="F5010" s="111" t="str">
        <f>DataPull!D5010</f>
        <v/>
      </c>
      <c r="G5010" s="94" t="str">
        <f t="shared" si="2"/>
        <v/>
      </c>
      <c r="H5010" s="94" t="str">
        <f t="shared" si="3"/>
        <v/>
      </c>
      <c r="I5010" s="94" t="str">
        <f t="shared" ref="I5010:J5010" si="5011">if(G5010 = "", , -G5010)</f>
        <v/>
      </c>
      <c r="J5010" s="94" t="str">
        <f t="shared" si="5011"/>
        <v/>
      </c>
      <c r="N5010" s="100"/>
      <c r="O5010" s="100"/>
      <c r="P5010" s="100"/>
    </row>
    <row r="5011">
      <c r="A5011" s="107">
        <v>1629216.0</v>
      </c>
      <c r="B5011" s="108" t="s">
        <v>193</v>
      </c>
      <c r="C5011" s="108" t="s">
        <v>1208</v>
      </c>
      <c r="D5011" s="112" t="s">
        <v>187</v>
      </c>
      <c r="E5011" s="112">
        <v>82.8</v>
      </c>
      <c r="F5011" s="111" t="str">
        <f>DataPull!D5011</f>
        <v/>
      </c>
      <c r="G5011" s="94" t="str">
        <f t="shared" si="2"/>
        <v/>
      </c>
      <c r="H5011" s="94" t="str">
        <f t="shared" si="3"/>
        <v/>
      </c>
      <c r="I5011" s="94" t="str">
        <f t="shared" ref="I5011:J5011" si="5012">if(G5011 = "", , -G5011)</f>
        <v/>
      </c>
      <c r="J5011" s="94" t="str">
        <f t="shared" si="5012"/>
        <v/>
      </c>
      <c r="K5011" s="100"/>
      <c r="M5011" s="100"/>
      <c r="N5011" s="100"/>
      <c r="O5011" s="100"/>
      <c r="P5011" s="100"/>
    </row>
    <row r="5012">
      <c r="A5012" s="107">
        <v>1629216.0</v>
      </c>
      <c r="B5012" s="108" t="s">
        <v>243</v>
      </c>
      <c r="C5012" s="108" t="s">
        <v>1208</v>
      </c>
      <c r="D5012" s="112" t="s">
        <v>187</v>
      </c>
      <c r="E5012" s="112">
        <v>655.0</v>
      </c>
      <c r="F5012" s="111" t="str">
        <f>DataPull!D5012</f>
        <v/>
      </c>
      <c r="G5012" s="94" t="str">
        <f t="shared" si="2"/>
        <v/>
      </c>
      <c r="H5012" s="94" t="str">
        <f t="shared" si="3"/>
        <v/>
      </c>
      <c r="I5012" s="94" t="str">
        <f t="shared" ref="I5012:J5012" si="5013">if(G5012 = "", , -G5012)</f>
        <v/>
      </c>
      <c r="J5012" s="94" t="str">
        <f t="shared" si="5013"/>
        <v/>
      </c>
      <c r="K5012" s="100"/>
      <c r="M5012" s="100"/>
      <c r="N5012" s="100"/>
      <c r="O5012" s="100"/>
      <c r="P5012" s="100"/>
    </row>
    <row r="5013">
      <c r="A5013" s="107">
        <v>1629216.0</v>
      </c>
      <c r="B5013" s="108" t="s">
        <v>215</v>
      </c>
      <c r="C5013" s="108" t="s">
        <v>1208</v>
      </c>
      <c r="D5013" s="112" t="s">
        <v>176</v>
      </c>
      <c r="E5013" s="112">
        <v>1591.2</v>
      </c>
      <c r="F5013" s="111" t="str">
        <f>DataPull!D5013</f>
        <v/>
      </c>
      <c r="G5013" s="94" t="str">
        <f t="shared" si="2"/>
        <v/>
      </c>
      <c r="H5013" s="94" t="str">
        <f t="shared" si="3"/>
        <v/>
      </c>
      <c r="I5013" s="94" t="str">
        <f t="shared" ref="I5013:J5013" si="5014">if(G5013 = "", , -G5013)</f>
        <v/>
      </c>
      <c r="J5013" s="94" t="str">
        <f t="shared" si="5014"/>
        <v/>
      </c>
      <c r="K5013" s="100"/>
      <c r="M5013" s="100"/>
      <c r="N5013" s="100"/>
      <c r="O5013" s="100"/>
      <c r="P5013" s="100"/>
    </row>
    <row r="5014">
      <c r="A5014" s="107">
        <v>1629216.0</v>
      </c>
      <c r="B5014" s="108" t="s">
        <v>244</v>
      </c>
      <c r="C5014" s="108" t="s">
        <v>1208</v>
      </c>
      <c r="D5014" s="112" t="s">
        <v>176</v>
      </c>
      <c r="E5014" s="112">
        <v>1761.2</v>
      </c>
      <c r="F5014" s="111" t="str">
        <f>DataPull!D5014</f>
        <v/>
      </c>
      <c r="G5014" s="94" t="str">
        <f t="shared" si="2"/>
        <v/>
      </c>
      <c r="H5014" s="94" t="str">
        <f t="shared" si="3"/>
        <v/>
      </c>
      <c r="I5014" s="94" t="str">
        <f t="shared" ref="I5014:J5014" si="5015">if(G5014 = "", , -G5014)</f>
        <v/>
      </c>
      <c r="J5014" s="94" t="str">
        <f t="shared" si="5015"/>
        <v/>
      </c>
      <c r="K5014" s="100"/>
      <c r="L5014" s="100"/>
      <c r="M5014" s="100"/>
      <c r="N5014" s="100"/>
      <c r="O5014" s="100"/>
      <c r="P5014" s="100"/>
    </row>
    <row r="5015">
      <c r="A5015" s="107">
        <v>1629216.0</v>
      </c>
      <c r="B5015" s="108" t="s">
        <v>245</v>
      </c>
      <c r="C5015" s="108" t="s">
        <v>1208</v>
      </c>
      <c r="D5015" s="112" t="s">
        <v>187</v>
      </c>
      <c r="E5015" s="112">
        <v>217.8</v>
      </c>
      <c r="F5015" s="111" t="str">
        <f>DataPull!D5015</f>
        <v/>
      </c>
      <c r="G5015" s="94" t="str">
        <f t="shared" si="2"/>
        <v/>
      </c>
      <c r="H5015" s="94" t="str">
        <f t="shared" si="3"/>
        <v/>
      </c>
      <c r="I5015" s="94" t="str">
        <f t="shared" ref="I5015:J5015" si="5016">if(G5015 = "", , -G5015)</f>
        <v/>
      </c>
      <c r="J5015" s="94" t="str">
        <f t="shared" si="5016"/>
        <v/>
      </c>
      <c r="K5015" s="100"/>
      <c r="M5015" s="100"/>
      <c r="N5015" s="100"/>
      <c r="O5015" s="100"/>
      <c r="P5015" s="100"/>
    </row>
    <row r="5016">
      <c r="A5016" s="107">
        <v>1629216.0</v>
      </c>
      <c r="B5016" s="108" t="s">
        <v>246</v>
      </c>
      <c r="C5016" s="108" t="s">
        <v>1208</v>
      </c>
      <c r="D5016" s="112" t="s">
        <v>176</v>
      </c>
      <c r="E5016" s="112">
        <v>1526.4</v>
      </c>
      <c r="F5016" s="111" t="str">
        <f>DataPull!D5016</f>
        <v/>
      </c>
      <c r="G5016" s="94" t="str">
        <f t="shared" si="2"/>
        <v/>
      </c>
      <c r="H5016" s="94" t="str">
        <f t="shared" si="3"/>
        <v/>
      </c>
      <c r="I5016" s="94" t="str">
        <f t="shared" ref="I5016:J5016" si="5017">if(G5016 = "", , -G5016)</f>
        <v/>
      </c>
      <c r="J5016" s="94" t="str">
        <f t="shared" si="5017"/>
        <v/>
      </c>
      <c r="K5016" s="100"/>
      <c r="M5016" s="100"/>
      <c r="N5016" s="100"/>
      <c r="O5016" s="100"/>
      <c r="P5016" s="100"/>
    </row>
    <row r="5017">
      <c r="A5017" s="114">
        <v>1629216.0</v>
      </c>
      <c r="B5017" s="113" t="s">
        <v>247</v>
      </c>
      <c r="C5017" s="113" t="s">
        <v>1208</v>
      </c>
      <c r="D5017" s="112" t="s">
        <v>177</v>
      </c>
      <c r="E5017" s="112">
        <v>879.8</v>
      </c>
      <c r="F5017" s="111" t="str">
        <f>DataPull!D5017</f>
        <v/>
      </c>
      <c r="G5017" s="94" t="str">
        <f t="shared" si="2"/>
        <v/>
      </c>
      <c r="H5017" s="94" t="str">
        <f t="shared" si="3"/>
        <v/>
      </c>
      <c r="I5017" s="94" t="str">
        <f t="shared" ref="I5017:J5017" si="5018">if(G5017 = "", , -G5017)</f>
        <v/>
      </c>
      <c r="J5017" s="94" t="str">
        <f t="shared" si="5018"/>
        <v/>
      </c>
      <c r="K5017" s="100"/>
      <c r="M5017" s="100"/>
      <c r="N5017" s="100"/>
      <c r="O5017" s="100"/>
      <c r="P5017" s="100"/>
    </row>
    <row r="5018">
      <c r="A5018" s="107">
        <v>1629232.0</v>
      </c>
      <c r="B5018" s="108" t="s">
        <v>245</v>
      </c>
      <c r="C5018" s="108" t="s">
        <v>1209</v>
      </c>
      <c r="D5018" s="112" t="s">
        <v>181</v>
      </c>
      <c r="E5018" s="112">
        <v>7.4</v>
      </c>
      <c r="F5018" s="111" t="str">
        <f>DataPull!D5018</f>
        <v/>
      </c>
      <c r="G5018" s="94" t="str">
        <f t="shared" si="2"/>
        <v/>
      </c>
      <c r="H5018" s="94" t="str">
        <f t="shared" si="3"/>
        <v/>
      </c>
      <c r="I5018" s="94" t="str">
        <f t="shared" ref="I5018:J5018" si="5019">if(G5018 = "", , -G5018)</f>
        <v/>
      </c>
      <c r="J5018" s="94" t="str">
        <f t="shared" si="5019"/>
        <v/>
      </c>
      <c r="K5018" s="100"/>
      <c r="M5018" s="100"/>
      <c r="N5018" s="100"/>
      <c r="O5018" s="100"/>
      <c r="P5018" s="100"/>
    </row>
    <row r="5019">
      <c r="A5019" s="107">
        <v>1629234.0</v>
      </c>
      <c r="B5019" s="108" t="s">
        <v>192</v>
      </c>
      <c r="C5019" s="108" t="s">
        <v>1210</v>
      </c>
      <c r="D5019" s="112" t="s">
        <v>187</v>
      </c>
      <c r="E5019" s="112">
        <v>112.7</v>
      </c>
      <c r="F5019" s="111" t="str">
        <f>DataPull!D5019</f>
        <v/>
      </c>
      <c r="G5019" s="94" t="str">
        <f t="shared" si="2"/>
        <v/>
      </c>
      <c r="H5019" s="94" t="str">
        <f t="shared" si="3"/>
        <v/>
      </c>
      <c r="I5019" s="94" t="str">
        <f t="shared" ref="I5019:J5019" si="5020">if(G5019 = "", , -G5019)</f>
        <v/>
      </c>
      <c r="J5019" s="94" t="str">
        <f t="shared" si="5020"/>
        <v/>
      </c>
      <c r="K5019" s="100"/>
      <c r="M5019" s="100"/>
      <c r="N5019" s="100"/>
      <c r="O5019" s="100"/>
      <c r="P5019" s="100"/>
    </row>
    <row r="5020">
      <c r="A5020" s="107">
        <v>1629234.0</v>
      </c>
      <c r="B5020" s="108" t="s">
        <v>193</v>
      </c>
      <c r="C5020" s="108" t="s">
        <v>1210</v>
      </c>
      <c r="D5020" s="112" t="s">
        <v>187</v>
      </c>
      <c r="E5020" s="112">
        <v>272.8</v>
      </c>
      <c r="F5020" s="111" t="str">
        <f>DataPull!D5020</f>
        <v/>
      </c>
      <c r="G5020" s="94" t="str">
        <f t="shared" si="2"/>
        <v/>
      </c>
      <c r="H5020" s="94" t="str">
        <f t="shared" si="3"/>
        <v/>
      </c>
      <c r="I5020" s="94" t="str">
        <f t="shared" ref="I5020:J5020" si="5021">if(G5020 = "", , -G5020)</f>
        <v/>
      </c>
      <c r="J5020" s="94" t="str">
        <f t="shared" si="5021"/>
        <v/>
      </c>
      <c r="K5020" s="100"/>
      <c r="M5020" s="100"/>
      <c r="N5020" s="100"/>
      <c r="O5020" s="100"/>
      <c r="P5020" s="100"/>
    </row>
    <row r="5021">
      <c r="A5021" s="107">
        <v>1629234.0</v>
      </c>
      <c r="B5021" s="108" t="s">
        <v>243</v>
      </c>
      <c r="C5021" s="108" t="s">
        <v>1210</v>
      </c>
      <c r="D5021" s="112" t="s">
        <v>177</v>
      </c>
      <c r="E5021" s="112">
        <v>756.0</v>
      </c>
      <c r="F5021" s="111" t="str">
        <f>DataPull!D5021</f>
        <v/>
      </c>
      <c r="G5021" s="94" t="str">
        <f t="shared" si="2"/>
        <v/>
      </c>
      <c r="H5021" s="94" t="str">
        <f t="shared" si="3"/>
        <v/>
      </c>
      <c r="I5021" s="94" t="str">
        <f t="shared" ref="I5021:J5021" si="5022">if(G5021 = "", , -G5021)</f>
        <v/>
      </c>
      <c r="J5021" s="94" t="str">
        <f t="shared" si="5022"/>
        <v/>
      </c>
      <c r="K5021" s="100"/>
      <c r="M5021" s="100"/>
      <c r="N5021" s="100"/>
      <c r="O5021" s="100"/>
      <c r="P5021" s="100"/>
    </row>
    <row r="5022">
      <c r="A5022" s="107">
        <v>1629234.0</v>
      </c>
      <c r="B5022" s="108" t="s">
        <v>215</v>
      </c>
      <c r="C5022" s="108" t="s">
        <v>1210</v>
      </c>
      <c r="D5022" s="112" t="s">
        <v>177</v>
      </c>
      <c r="E5022" s="112">
        <v>1242.5</v>
      </c>
      <c r="F5022" s="111" t="str">
        <f>DataPull!D5022</f>
        <v/>
      </c>
      <c r="G5022" s="94" t="str">
        <f t="shared" si="2"/>
        <v/>
      </c>
      <c r="H5022" s="94" t="str">
        <f t="shared" si="3"/>
        <v/>
      </c>
      <c r="I5022" s="94" t="str">
        <f t="shared" ref="I5022:J5022" si="5023">if(G5022 = "", , -G5022)</f>
        <v/>
      </c>
      <c r="J5022" s="94" t="str">
        <f t="shared" si="5023"/>
        <v/>
      </c>
      <c r="K5022" s="100"/>
      <c r="L5022" s="100"/>
      <c r="M5022" s="100"/>
      <c r="N5022" s="100"/>
      <c r="O5022" s="100"/>
      <c r="P5022" s="100"/>
    </row>
    <row r="5023">
      <c r="A5023" s="107">
        <v>1629234.0</v>
      </c>
      <c r="B5023" s="108" t="s">
        <v>244</v>
      </c>
      <c r="C5023" s="108" t="s">
        <v>1210</v>
      </c>
      <c r="D5023" s="112" t="s">
        <v>177</v>
      </c>
      <c r="E5023" s="112">
        <v>1583.4</v>
      </c>
      <c r="F5023" s="111" t="str">
        <f>DataPull!D5023</f>
        <v/>
      </c>
      <c r="G5023" s="94" t="str">
        <f t="shared" si="2"/>
        <v/>
      </c>
      <c r="H5023" s="94" t="str">
        <f t="shared" si="3"/>
        <v/>
      </c>
      <c r="I5023" s="94" t="str">
        <f t="shared" ref="I5023:J5023" si="5024">if(G5023 = "", , -G5023)</f>
        <v/>
      </c>
      <c r="J5023" s="94" t="str">
        <f t="shared" si="5024"/>
        <v/>
      </c>
      <c r="K5023" s="100"/>
      <c r="L5023" s="100"/>
      <c r="M5023" s="100"/>
      <c r="N5023" s="100"/>
      <c r="O5023" s="100"/>
      <c r="P5023" s="100"/>
    </row>
    <row r="5024">
      <c r="A5024" s="107">
        <v>1629234.0</v>
      </c>
      <c r="B5024" s="108" t="s">
        <v>245</v>
      </c>
      <c r="C5024" s="108" t="s">
        <v>1210</v>
      </c>
      <c r="D5024" s="112" t="s">
        <v>177</v>
      </c>
      <c r="E5024" s="112">
        <v>1170.0</v>
      </c>
      <c r="F5024" s="111" t="str">
        <f>DataPull!D5024</f>
        <v/>
      </c>
      <c r="G5024" s="94" t="str">
        <f t="shared" si="2"/>
        <v/>
      </c>
      <c r="H5024" s="94" t="str">
        <f t="shared" si="3"/>
        <v/>
      </c>
      <c r="I5024" s="94" t="str">
        <f t="shared" ref="I5024:J5024" si="5025">if(G5024 = "", , -G5024)</f>
        <v/>
      </c>
      <c r="J5024" s="94" t="str">
        <f t="shared" si="5025"/>
        <v/>
      </c>
      <c r="N5024" s="100"/>
      <c r="O5024" s="100"/>
      <c r="P5024" s="100"/>
    </row>
    <row r="5025">
      <c r="A5025" s="107">
        <v>1629234.0</v>
      </c>
      <c r="B5025" s="108" t="s">
        <v>246</v>
      </c>
      <c r="C5025" s="108" t="s">
        <v>1210</v>
      </c>
      <c r="D5025" s="112" t="s">
        <v>177</v>
      </c>
      <c r="E5025" s="112">
        <v>744.2</v>
      </c>
      <c r="F5025" s="111" t="str">
        <f>DataPull!D5025</f>
        <v/>
      </c>
      <c r="G5025" s="94" t="str">
        <f t="shared" si="2"/>
        <v/>
      </c>
      <c r="H5025" s="94" t="str">
        <f t="shared" si="3"/>
        <v/>
      </c>
      <c r="I5025" s="94" t="str">
        <f t="shared" ref="I5025:J5025" si="5026">if(G5025 = "", , -G5025)</f>
        <v/>
      </c>
      <c r="J5025" s="94" t="str">
        <f t="shared" si="5026"/>
        <v/>
      </c>
      <c r="K5025" s="100"/>
      <c r="M5025" s="100"/>
      <c r="N5025" s="100"/>
      <c r="O5025" s="100"/>
      <c r="P5025" s="100"/>
    </row>
    <row r="5026">
      <c r="A5026" s="114">
        <v>1629234.0</v>
      </c>
      <c r="B5026" s="113" t="s">
        <v>247</v>
      </c>
      <c r="C5026" s="113" t="s">
        <v>1210</v>
      </c>
      <c r="D5026" s="112" t="s">
        <v>177</v>
      </c>
      <c r="E5026" s="112">
        <v>550.2</v>
      </c>
      <c r="F5026" s="111" t="str">
        <f>DataPull!D5026</f>
        <v/>
      </c>
      <c r="G5026" s="94" t="str">
        <f t="shared" si="2"/>
        <v/>
      </c>
      <c r="H5026" s="94" t="str">
        <f t="shared" si="3"/>
        <v/>
      </c>
      <c r="I5026" s="94" t="str">
        <f t="shared" ref="I5026:J5026" si="5027">if(G5026 = "", , -G5026)</f>
        <v/>
      </c>
      <c r="J5026" s="94" t="str">
        <f t="shared" si="5027"/>
        <v/>
      </c>
      <c r="K5026" s="100"/>
      <c r="M5026" s="100"/>
      <c r="N5026" s="100"/>
      <c r="O5026" s="100"/>
      <c r="P5026" s="100"/>
    </row>
    <row r="5027">
      <c r="A5027" s="107">
        <v>1629244.0</v>
      </c>
      <c r="B5027" s="108" t="s">
        <v>192</v>
      </c>
      <c r="C5027" s="108" t="s">
        <v>1211</v>
      </c>
      <c r="D5027" s="112" t="s">
        <v>187</v>
      </c>
      <c r="E5027" s="112">
        <v>260.3</v>
      </c>
      <c r="F5027" s="111" t="str">
        <f>DataPull!D5027</f>
        <v/>
      </c>
      <c r="G5027" s="94" t="str">
        <f t="shared" si="2"/>
        <v/>
      </c>
      <c r="H5027" s="94" t="str">
        <f t="shared" si="3"/>
        <v/>
      </c>
      <c r="I5027" s="94" t="str">
        <f t="shared" ref="I5027:J5027" si="5028">if(G5027 = "", , -G5027)</f>
        <v/>
      </c>
      <c r="J5027" s="94" t="str">
        <f t="shared" si="5028"/>
        <v/>
      </c>
      <c r="K5027" s="100"/>
      <c r="M5027" s="100"/>
      <c r="N5027" s="100"/>
      <c r="O5027" s="100"/>
      <c r="P5027" s="100"/>
    </row>
    <row r="5028">
      <c r="A5028" s="107">
        <v>1629244.0</v>
      </c>
      <c r="B5028" s="108" t="s">
        <v>243</v>
      </c>
      <c r="C5028" s="108" t="s">
        <v>1211</v>
      </c>
      <c r="D5028" s="112" t="s">
        <v>181</v>
      </c>
      <c r="E5028" s="112">
        <v>40.5</v>
      </c>
      <c r="F5028" s="111" t="str">
        <f>DataPull!D5028</f>
        <v/>
      </c>
      <c r="G5028" s="94" t="str">
        <f t="shared" si="2"/>
        <v/>
      </c>
      <c r="H5028" s="94" t="str">
        <f t="shared" si="3"/>
        <v/>
      </c>
      <c r="I5028" s="94" t="str">
        <f t="shared" ref="I5028:J5028" si="5029">if(G5028 = "", , -G5028)</f>
        <v/>
      </c>
      <c r="J5028" s="94" t="str">
        <f t="shared" si="5029"/>
        <v/>
      </c>
      <c r="K5028" s="100"/>
      <c r="M5028" s="100"/>
      <c r="N5028" s="100"/>
      <c r="O5028" s="100"/>
      <c r="P5028" s="100"/>
    </row>
    <row r="5029">
      <c r="A5029" s="107">
        <v>1629308.0</v>
      </c>
      <c r="B5029" s="108" t="s">
        <v>193</v>
      </c>
      <c r="C5029" s="108" t="s">
        <v>1212</v>
      </c>
      <c r="D5029" s="112" t="s">
        <v>187</v>
      </c>
      <c r="E5029" s="112">
        <v>271.7</v>
      </c>
      <c r="F5029" s="111" t="str">
        <f>DataPull!D5029</f>
        <v/>
      </c>
      <c r="G5029" s="94" t="str">
        <f t="shared" si="2"/>
        <v/>
      </c>
      <c r="H5029" s="94" t="str">
        <f t="shared" si="3"/>
        <v/>
      </c>
      <c r="I5029" s="94" t="str">
        <f t="shared" ref="I5029:J5029" si="5030">if(G5029 = "", , -G5029)</f>
        <v/>
      </c>
      <c r="J5029" s="94" t="str">
        <f t="shared" si="5030"/>
        <v/>
      </c>
      <c r="K5029" s="100"/>
      <c r="M5029" s="100"/>
      <c r="N5029" s="100"/>
      <c r="O5029" s="100"/>
      <c r="P5029" s="100"/>
    </row>
    <row r="5030">
      <c r="A5030" s="107">
        <v>1629308.0</v>
      </c>
      <c r="B5030" s="108" t="s">
        <v>243</v>
      </c>
      <c r="C5030" s="108" t="s">
        <v>1212</v>
      </c>
      <c r="D5030" s="112" t="s">
        <v>176</v>
      </c>
      <c r="E5030" s="112">
        <v>1107.7</v>
      </c>
      <c r="F5030" s="111" t="str">
        <f>DataPull!D5030</f>
        <v/>
      </c>
      <c r="G5030" s="94" t="str">
        <f t="shared" si="2"/>
        <v/>
      </c>
      <c r="H5030" s="94" t="str">
        <f t="shared" si="3"/>
        <v/>
      </c>
      <c r="I5030" s="94" t="str">
        <f t="shared" ref="I5030:J5030" si="5031">if(G5030 = "", , -G5030)</f>
        <v/>
      </c>
      <c r="J5030" s="94" t="str">
        <f t="shared" si="5031"/>
        <v/>
      </c>
      <c r="K5030" s="100"/>
      <c r="M5030" s="100"/>
      <c r="N5030" s="100"/>
      <c r="O5030" s="100"/>
      <c r="P5030" s="100"/>
    </row>
    <row r="5031">
      <c r="A5031" s="107">
        <v>1629308.0</v>
      </c>
      <c r="B5031" s="108" t="s">
        <v>215</v>
      </c>
      <c r="C5031" s="108" t="s">
        <v>1212</v>
      </c>
      <c r="D5031" s="112" t="s">
        <v>177</v>
      </c>
      <c r="E5031" s="112">
        <v>992.8</v>
      </c>
      <c r="F5031" s="111" t="str">
        <f>DataPull!D5031</f>
        <v/>
      </c>
      <c r="G5031" s="94" t="str">
        <f t="shared" si="2"/>
        <v/>
      </c>
      <c r="H5031" s="94" t="str">
        <f t="shared" si="3"/>
        <v/>
      </c>
      <c r="I5031" s="94" t="str">
        <f t="shared" ref="I5031:J5031" si="5032">if(G5031 = "", , -G5031)</f>
        <v/>
      </c>
      <c r="J5031" s="94" t="str">
        <f t="shared" si="5032"/>
        <v/>
      </c>
      <c r="K5031" s="100"/>
      <c r="M5031" s="100"/>
      <c r="N5031" s="100"/>
      <c r="O5031" s="100"/>
    </row>
    <row r="5032">
      <c r="A5032" s="107">
        <v>1629308.0</v>
      </c>
      <c r="B5032" s="108" t="s">
        <v>244</v>
      </c>
      <c r="C5032" s="108" t="s">
        <v>1212</v>
      </c>
      <c r="D5032" s="112" t="s">
        <v>177</v>
      </c>
      <c r="E5032" s="112">
        <v>702.0</v>
      </c>
      <c r="F5032" s="111" t="str">
        <f>DataPull!D5032</f>
        <v/>
      </c>
      <c r="G5032" s="94" t="str">
        <f t="shared" si="2"/>
        <v/>
      </c>
      <c r="H5032" s="94" t="str">
        <f t="shared" si="3"/>
        <v/>
      </c>
      <c r="I5032" s="94" t="str">
        <f t="shared" ref="I5032:J5032" si="5033">if(G5032 = "", , -G5032)</f>
        <v/>
      </c>
      <c r="J5032" s="94" t="str">
        <f t="shared" si="5033"/>
        <v/>
      </c>
      <c r="K5032" s="100"/>
      <c r="M5032" s="100"/>
      <c r="N5032" s="100"/>
      <c r="O5032" s="100"/>
      <c r="P5032" s="100"/>
    </row>
    <row r="5033">
      <c r="A5033" s="107">
        <v>1629308.0</v>
      </c>
      <c r="B5033" s="108" t="s">
        <v>245</v>
      </c>
      <c r="C5033" s="108" t="s">
        <v>1212</v>
      </c>
      <c r="D5033" s="112" t="s">
        <v>187</v>
      </c>
      <c r="E5033" s="112">
        <v>52.8</v>
      </c>
      <c r="F5033" s="111" t="str">
        <f>DataPull!D5033</f>
        <v/>
      </c>
      <c r="G5033" s="94" t="str">
        <f t="shared" si="2"/>
        <v/>
      </c>
      <c r="H5033" s="94" t="str">
        <f t="shared" si="3"/>
        <v/>
      </c>
      <c r="I5033" s="94" t="str">
        <f t="shared" ref="I5033:J5033" si="5034">if(G5033 = "", , -G5033)</f>
        <v/>
      </c>
      <c r="J5033" s="94" t="str">
        <f t="shared" si="5034"/>
        <v/>
      </c>
      <c r="K5033" s="100"/>
      <c r="M5033" s="100"/>
      <c r="N5033" s="100"/>
      <c r="O5033" s="100"/>
      <c r="P5033" s="100"/>
    </row>
    <row r="5034">
      <c r="A5034" s="107">
        <v>1629309.0</v>
      </c>
      <c r="B5034" s="108" t="s">
        <v>215</v>
      </c>
      <c r="C5034" s="108" t="s">
        <v>1213</v>
      </c>
      <c r="D5034" s="112" t="s">
        <v>181</v>
      </c>
      <c r="E5034" s="112">
        <v>16.8</v>
      </c>
      <c r="F5034" s="111" t="str">
        <f>DataPull!D5034</f>
        <v/>
      </c>
      <c r="G5034" s="94" t="str">
        <f t="shared" si="2"/>
        <v/>
      </c>
      <c r="H5034" s="94" t="str">
        <f t="shared" si="3"/>
        <v/>
      </c>
      <c r="I5034" s="94" t="str">
        <f t="shared" ref="I5034:J5034" si="5035">if(G5034 = "", , -G5034)</f>
        <v/>
      </c>
      <c r="J5034" s="94" t="str">
        <f t="shared" si="5035"/>
        <v/>
      </c>
      <c r="K5034" s="100"/>
      <c r="M5034" s="100"/>
      <c r="N5034" s="100"/>
      <c r="O5034" s="100"/>
      <c r="P5034" s="100"/>
    </row>
    <row r="5035">
      <c r="A5035" s="107">
        <v>1629312.0</v>
      </c>
      <c r="B5035" s="108" t="s">
        <v>192</v>
      </c>
      <c r="C5035" s="108" t="s">
        <v>1214</v>
      </c>
      <c r="D5035" s="112" t="s">
        <v>181</v>
      </c>
      <c r="E5035" s="112">
        <v>40.0</v>
      </c>
      <c r="F5035" s="111" t="str">
        <f>DataPull!D5035</f>
        <v/>
      </c>
      <c r="G5035" s="94" t="str">
        <f t="shared" si="2"/>
        <v/>
      </c>
      <c r="H5035" s="94" t="str">
        <f t="shared" si="3"/>
        <v/>
      </c>
      <c r="I5035" s="94" t="str">
        <f t="shared" ref="I5035:J5035" si="5036">if(G5035 = "", , -G5035)</f>
        <v/>
      </c>
      <c r="J5035" s="94" t="str">
        <f t="shared" si="5036"/>
        <v/>
      </c>
      <c r="K5035" s="100"/>
      <c r="M5035" s="100"/>
      <c r="N5035" s="100"/>
      <c r="O5035" s="100"/>
      <c r="P5035" s="100"/>
    </row>
    <row r="5036">
      <c r="A5036" s="107">
        <v>1629312.0</v>
      </c>
      <c r="B5036" s="108" t="s">
        <v>215</v>
      </c>
      <c r="C5036" s="108" t="s">
        <v>1214</v>
      </c>
      <c r="D5036" s="112" t="s">
        <v>187</v>
      </c>
      <c r="E5036" s="112">
        <v>163.4</v>
      </c>
      <c r="F5036" s="111" t="str">
        <f>DataPull!D5036</f>
        <v/>
      </c>
      <c r="G5036" s="94" t="str">
        <f t="shared" si="2"/>
        <v/>
      </c>
      <c r="H5036" s="94" t="str">
        <f t="shared" si="3"/>
        <v/>
      </c>
      <c r="I5036" s="94" t="str">
        <f t="shared" ref="I5036:J5036" si="5037">if(G5036 = "", , -G5036)</f>
        <v/>
      </c>
      <c r="J5036" s="94" t="str">
        <f t="shared" si="5037"/>
        <v/>
      </c>
      <c r="K5036" s="100"/>
      <c r="L5036" s="100"/>
      <c r="N5036" s="100"/>
      <c r="O5036" s="100"/>
      <c r="P5036" s="100"/>
    </row>
    <row r="5037">
      <c r="A5037" s="107">
        <v>1629312.0</v>
      </c>
      <c r="B5037" s="108" t="s">
        <v>244</v>
      </c>
      <c r="C5037" s="108" t="s">
        <v>1214</v>
      </c>
      <c r="D5037" s="112" t="s">
        <v>177</v>
      </c>
      <c r="E5037" s="112">
        <v>972.0</v>
      </c>
      <c r="F5037" s="111" t="str">
        <f>DataPull!D5037</f>
        <v/>
      </c>
      <c r="G5037" s="94" t="str">
        <f t="shared" si="2"/>
        <v/>
      </c>
      <c r="H5037" s="94" t="str">
        <f t="shared" si="3"/>
        <v/>
      </c>
      <c r="I5037" s="94" t="str">
        <f t="shared" ref="I5037:J5037" si="5038">if(G5037 = "", , -G5037)</f>
        <v/>
      </c>
      <c r="J5037" s="94" t="str">
        <f t="shared" si="5038"/>
        <v/>
      </c>
      <c r="K5037" s="100"/>
      <c r="M5037" s="100"/>
      <c r="N5037" s="100"/>
      <c r="O5037" s="100"/>
      <c r="P5037" s="100"/>
    </row>
    <row r="5038">
      <c r="A5038" s="107">
        <v>1629312.0</v>
      </c>
      <c r="B5038" s="108" t="s">
        <v>245</v>
      </c>
      <c r="C5038" s="108" t="s">
        <v>1214</v>
      </c>
      <c r="D5038" s="112" t="s">
        <v>176</v>
      </c>
      <c r="E5038" s="112">
        <v>1366.2</v>
      </c>
      <c r="F5038" s="111" t="str">
        <f>DataPull!D5038</f>
        <v/>
      </c>
      <c r="G5038" s="94" t="str">
        <f t="shared" si="2"/>
        <v/>
      </c>
      <c r="H5038" s="94" t="str">
        <f t="shared" si="3"/>
        <v/>
      </c>
      <c r="I5038" s="94" t="str">
        <f t="shared" ref="I5038:J5038" si="5039">if(G5038 = "", , -G5038)</f>
        <v/>
      </c>
      <c r="J5038" s="94" t="str">
        <f t="shared" si="5039"/>
        <v/>
      </c>
      <c r="K5038" s="100"/>
      <c r="M5038" s="100"/>
      <c r="N5038" s="100"/>
      <c r="O5038" s="100"/>
    </row>
    <row r="5039">
      <c r="A5039" s="107">
        <v>1629312.0</v>
      </c>
      <c r="B5039" s="108" t="s">
        <v>246</v>
      </c>
      <c r="C5039" s="108" t="s">
        <v>1214</v>
      </c>
      <c r="D5039" s="112" t="s">
        <v>176</v>
      </c>
      <c r="E5039" s="112">
        <v>1820.4</v>
      </c>
      <c r="F5039" s="111" t="str">
        <f>DataPull!D5039</f>
        <v/>
      </c>
      <c r="G5039" s="94" t="str">
        <f t="shared" si="2"/>
        <v/>
      </c>
      <c r="H5039" s="94" t="str">
        <f t="shared" si="3"/>
        <v/>
      </c>
      <c r="I5039" s="94" t="str">
        <f t="shared" ref="I5039:J5039" si="5040">if(G5039 = "", , -G5039)</f>
        <v/>
      </c>
      <c r="J5039" s="94" t="str">
        <f t="shared" si="5040"/>
        <v/>
      </c>
      <c r="K5039" s="100"/>
      <c r="L5039" s="100"/>
      <c r="N5039" s="100"/>
      <c r="O5039" s="100"/>
      <c r="P5039" s="100"/>
    </row>
    <row r="5040">
      <c r="A5040" s="89">
        <v>1629312.0</v>
      </c>
      <c r="B5040" s="113" t="s">
        <v>247</v>
      </c>
      <c r="C5040" s="113" t="s">
        <v>1214</v>
      </c>
      <c r="D5040" s="112"/>
      <c r="E5040" s="112">
        <v>91.0</v>
      </c>
      <c r="F5040" s="111" t="str">
        <f>DataPull!D5040</f>
        <v/>
      </c>
      <c r="G5040" s="94" t="str">
        <f t="shared" si="2"/>
        <v/>
      </c>
      <c r="H5040" s="94" t="str">
        <f t="shared" si="3"/>
        <v/>
      </c>
      <c r="I5040" s="94" t="str">
        <f t="shared" ref="I5040:J5040" si="5041">if(G5040 = "", , -G5040)</f>
        <v/>
      </c>
      <c r="J5040" s="94" t="str">
        <f t="shared" si="5041"/>
        <v/>
      </c>
      <c r="K5040" s="100"/>
      <c r="M5040" s="100"/>
      <c r="N5040" s="100"/>
      <c r="O5040" s="100"/>
      <c r="P5040" s="100"/>
    </row>
    <row r="5041">
      <c r="A5041" s="107">
        <v>1629346.0</v>
      </c>
      <c r="B5041" s="108" t="s">
        <v>193</v>
      </c>
      <c r="C5041" s="108" t="s">
        <v>1215</v>
      </c>
      <c r="D5041" s="112" t="s">
        <v>187</v>
      </c>
      <c r="E5041" s="112">
        <v>138.6</v>
      </c>
      <c r="F5041" s="111" t="str">
        <f>DataPull!D5041</f>
        <v/>
      </c>
      <c r="G5041" s="94" t="str">
        <f t="shared" si="2"/>
        <v/>
      </c>
      <c r="H5041" s="94" t="str">
        <f t="shared" si="3"/>
        <v/>
      </c>
      <c r="I5041" s="94" t="str">
        <f t="shared" ref="I5041:J5041" si="5042">if(G5041 = "", , -G5041)</f>
        <v/>
      </c>
      <c r="J5041" s="94" t="str">
        <f t="shared" si="5042"/>
        <v/>
      </c>
      <c r="K5041" s="100"/>
      <c r="L5041" s="100"/>
      <c r="N5041" s="100"/>
      <c r="O5041" s="100"/>
      <c r="P5041" s="100"/>
    </row>
    <row r="5042">
      <c r="A5042" s="107">
        <v>1629346.0</v>
      </c>
      <c r="B5042" s="108" t="s">
        <v>243</v>
      </c>
      <c r="C5042" s="108" t="s">
        <v>1215</v>
      </c>
      <c r="D5042" s="112" t="s">
        <v>187</v>
      </c>
      <c r="E5042" s="112">
        <v>84.0</v>
      </c>
      <c r="F5042" s="111" t="str">
        <f>DataPull!D5042</f>
        <v/>
      </c>
      <c r="G5042" s="94" t="str">
        <f t="shared" si="2"/>
        <v/>
      </c>
      <c r="H5042" s="94" t="str">
        <f t="shared" si="3"/>
        <v/>
      </c>
      <c r="I5042" s="94" t="str">
        <f t="shared" ref="I5042:J5042" si="5043">if(G5042 = "", , -G5042)</f>
        <v/>
      </c>
      <c r="J5042" s="94" t="str">
        <f t="shared" si="5043"/>
        <v/>
      </c>
      <c r="K5042" s="100"/>
      <c r="M5042" s="100"/>
      <c r="N5042" s="100"/>
      <c r="O5042" s="100"/>
      <c r="P5042" s="100"/>
    </row>
    <row r="5043">
      <c r="A5043" s="107">
        <v>1629353.0</v>
      </c>
      <c r="B5043" s="108" t="s">
        <v>192</v>
      </c>
      <c r="C5043" s="108" t="s">
        <v>1216</v>
      </c>
      <c r="D5043" s="112" t="s">
        <v>181</v>
      </c>
      <c r="E5043" s="112">
        <v>56.5</v>
      </c>
      <c r="F5043" s="111" t="str">
        <f>DataPull!D5043</f>
        <v/>
      </c>
      <c r="G5043" s="94" t="str">
        <f t="shared" si="2"/>
        <v/>
      </c>
      <c r="H5043" s="94" t="str">
        <f t="shared" si="3"/>
        <v/>
      </c>
      <c r="I5043" s="94" t="str">
        <f t="shared" ref="I5043:J5043" si="5044">if(G5043 = "", , -G5043)</f>
        <v/>
      </c>
      <c r="J5043" s="94" t="str">
        <f t="shared" si="5044"/>
        <v/>
      </c>
      <c r="K5043" s="100"/>
      <c r="M5043" s="100"/>
      <c r="N5043" s="100"/>
      <c r="O5043" s="100"/>
      <c r="P5043" s="100"/>
    </row>
    <row r="5044">
      <c r="A5044" s="107">
        <v>1629541.0</v>
      </c>
      <c r="B5044" s="108" t="s">
        <v>192</v>
      </c>
      <c r="C5044" s="108" t="s">
        <v>1217</v>
      </c>
      <c r="D5044" s="112" t="s">
        <v>187</v>
      </c>
      <c r="E5044" s="112">
        <v>166.8</v>
      </c>
      <c r="F5044" s="111" t="str">
        <f>DataPull!D5044</f>
        <v/>
      </c>
      <c r="G5044" s="94" t="str">
        <f t="shared" si="2"/>
        <v/>
      </c>
      <c r="H5044" s="94" t="str">
        <f t="shared" si="3"/>
        <v/>
      </c>
      <c r="I5044" s="94" t="str">
        <f t="shared" ref="I5044:J5044" si="5045">if(G5044 = "", , -G5044)</f>
        <v/>
      </c>
      <c r="J5044" s="94" t="str">
        <f t="shared" si="5045"/>
        <v/>
      </c>
      <c r="K5044" s="100"/>
      <c r="M5044" s="100"/>
      <c r="N5044" s="100"/>
      <c r="O5044" s="100"/>
      <c r="P5044" s="100"/>
    </row>
    <row r="5045">
      <c r="A5045" s="107">
        <v>1629597.0</v>
      </c>
      <c r="B5045" s="108" t="s">
        <v>193</v>
      </c>
      <c r="C5045" s="108" t="s">
        <v>1218</v>
      </c>
      <c r="D5045" s="112" t="s">
        <v>181</v>
      </c>
      <c r="E5045" s="112">
        <v>51.2</v>
      </c>
      <c r="F5045" s="111" t="str">
        <f>DataPull!D5045</f>
        <v/>
      </c>
      <c r="G5045" s="94" t="str">
        <f t="shared" si="2"/>
        <v/>
      </c>
      <c r="H5045" s="94" t="str">
        <f t="shared" si="3"/>
        <v/>
      </c>
      <c r="I5045" s="94" t="str">
        <f t="shared" ref="I5045:J5045" si="5046">if(G5045 = "", , -G5045)</f>
        <v/>
      </c>
      <c r="J5045" s="94" t="str">
        <f t="shared" si="5046"/>
        <v/>
      </c>
      <c r="K5045" s="100"/>
      <c r="M5045" s="100"/>
      <c r="N5045" s="100"/>
      <c r="O5045" s="100"/>
      <c r="P5045" s="100"/>
    </row>
    <row r="5046">
      <c r="A5046" s="107">
        <v>1629597.0</v>
      </c>
      <c r="B5046" s="108" t="s">
        <v>215</v>
      </c>
      <c r="C5046" s="108" t="s">
        <v>1218</v>
      </c>
      <c r="D5046" s="112" t="s">
        <v>181</v>
      </c>
      <c r="E5046" s="112">
        <v>5.2</v>
      </c>
      <c r="F5046" s="111" t="str">
        <f>DataPull!D5046</f>
        <v/>
      </c>
      <c r="G5046" s="94" t="str">
        <f t="shared" si="2"/>
        <v/>
      </c>
      <c r="H5046" s="94" t="str">
        <f t="shared" si="3"/>
        <v/>
      </c>
      <c r="I5046" s="94" t="str">
        <f t="shared" ref="I5046:J5046" si="5047">if(G5046 = "", , -G5046)</f>
        <v/>
      </c>
      <c r="J5046" s="94" t="str">
        <f t="shared" si="5047"/>
        <v/>
      </c>
      <c r="K5046" s="100"/>
      <c r="M5046" s="100"/>
      <c r="N5046" s="100"/>
      <c r="O5046" s="100"/>
      <c r="P5046" s="100"/>
    </row>
    <row r="5047">
      <c r="A5047" s="107">
        <v>1629598.0</v>
      </c>
      <c r="B5047" s="108" t="s">
        <v>193</v>
      </c>
      <c r="C5047" s="108" t="s">
        <v>1219</v>
      </c>
      <c r="D5047" s="112" t="s">
        <v>187</v>
      </c>
      <c r="E5047" s="112">
        <v>290.4</v>
      </c>
      <c r="F5047" s="111" t="str">
        <f>DataPull!D5047</f>
        <v/>
      </c>
      <c r="G5047" s="94" t="str">
        <f t="shared" si="2"/>
        <v/>
      </c>
      <c r="H5047" s="94" t="str">
        <f t="shared" si="3"/>
        <v/>
      </c>
      <c r="I5047" s="94" t="str">
        <f t="shared" ref="I5047:J5047" si="5048">if(G5047 = "", , -G5047)</f>
        <v/>
      </c>
      <c r="J5047" s="94" t="str">
        <f t="shared" si="5048"/>
        <v/>
      </c>
      <c r="K5047" s="100"/>
      <c r="L5047" s="100"/>
      <c r="M5047" s="100"/>
      <c r="N5047" s="100"/>
      <c r="O5047" s="100"/>
      <c r="P5047" s="100"/>
    </row>
    <row r="5048">
      <c r="A5048" s="107">
        <v>1629599.0</v>
      </c>
      <c r="B5048" s="108" t="s">
        <v>193</v>
      </c>
      <c r="C5048" s="108" t="s">
        <v>1220</v>
      </c>
      <c r="D5048" s="112" t="s">
        <v>187</v>
      </c>
      <c r="E5048" s="112">
        <v>158.4</v>
      </c>
      <c r="F5048" s="111" t="str">
        <f>DataPull!D5048</f>
        <v/>
      </c>
      <c r="G5048" s="94" t="str">
        <f t="shared" si="2"/>
        <v/>
      </c>
      <c r="H5048" s="94" t="str">
        <f t="shared" si="3"/>
        <v/>
      </c>
      <c r="I5048" s="94" t="str">
        <f t="shared" ref="I5048:J5048" si="5049">if(G5048 = "", , -G5048)</f>
        <v/>
      </c>
      <c r="J5048" s="94" t="str">
        <f t="shared" si="5049"/>
        <v/>
      </c>
      <c r="K5048" s="100"/>
      <c r="M5048" s="100"/>
      <c r="N5048" s="100"/>
      <c r="O5048" s="100"/>
      <c r="P5048" s="100"/>
    </row>
    <row r="5049">
      <c r="A5049" s="107">
        <v>1629599.0</v>
      </c>
      <c r="B5049" s="108" t="s">
        <v>243</v>
      </c>
      <c r="C5049" s="108" t="s">
        <v>1220</v>
      </c>
      <c r="D5049" s="112" t="s">
        <v>187</v>
      </c>
      <c r="E5049" s="112">
        <v>396.0</v>
      </c>
      <c r="F5049" s="111" t="str">
        <f>DataPull!D5049</f>
        <v/>
      </c>
      <c r="G5049" s="94" t="str">
        <f t="shared" si="2"/>
        <v/>
      </c>
      <c r="H5049" s="94" t="str">
        <f t="shared" si="3"/>
        <v/>
      </c>
      <c r="I5049" s="94" t="str">
        <f t="shared" ref="I5049:J5049" si="5050">if(G5049 = "", , -G5049)</f>
        <v/>
      </c>
      <c r="J5049" s="94" t="str">
        <f t="shared" si="5050"/>
        <v/>
      </c>
      <c r="K5049" s="100"/>
      <c r="M5049" s="100"/>
      <c r="N5049" s="100"/>
      <c r="O5049" s="100"/>
      <c r="P5049" s="100"/>
    </row>
    <row r="5050">
      <c r="A5050" s="107">
        <v>1629599.0</v>
      </c>
      <c r="B5050" s="108" t="s">
        <v>215</v>
      </c>
      <c r="C5050" s="108" t="s">
        <v>1220</v>
      </c>
      <c r="D5050" s="112" t="s">
        <v>176</v>
      </c>
      <c r="E5050" s="112">
        <v>1566.3</v>
      </c>
      <c r="F5050" s="111" t="str">
        <f>DataPull!D5050</f>
        <v/>
      </c>
      <c r="G5050" s="94" t="str">
        <f t="shared" si="2"/>
        <v/>
      </c>
      <c r="H5050" s="94" t="str">
        <f t="shared" si="3"/>
        <v/>
      </c>
      <c r="I5050" s="94" t="str">
        <f t="shared" ref="I5050:J5050" si="5051">if(G5050 = "", , -G5050)</f>
        <v/>
      </c>
      <c r="J5050" s="94" t="str">
        <f t="shared" si="5051"/>
        <v/>
      </c>
      <c r="K5050" s="100"/>
      <c r="M5050" s="100"/>
      <c r="N5050" s="100"/>
      <c r="O5050" s="100"/>
      <c r="P5050" s="100"/>
    </row>
    <row r="5051">
      <c r="A5051" s="107">
        <v>1629599.0</v>
      </c>
      <c r="B5051" s="108" t="s">
        <v>244</v>
      </c>
      <c r="C5051" s="108" t="s">
        <v>1220</v>
      </c>
      <c r="D5051" s="112" t="s">
        <v>177</v>
      </c>
      <c r="E5051" s="112">
        <v>625.0</v>
      </c>
      <c r="F5051" s="111" t="str">
        <f>DataPull!D5051</f>
        <v/>
      </c>
      <c r="G5051" s="94" t="str">
        <f t="shared" si="2"/>
        <v/>
      </c>
      <c r="H5051" s="94" t="str">
        <f t="shared" si="3"/>
        <v/>
      </c>
      <c r="I5051" s="94" t="str">
        <f t="shared" ref="I5051:J5051" si="5052">if(G5051 = "", , -G5051)</f>
        <v/>
      </c>
      <c r="J5051" s="94" t="str">
        <f t="shared" si="5052"/>
        <v/>
      </c>
      <c r="K5051" s="100"/>
      <c r="M5051" s="100"/>
      <c r="N5051" s="100"/>
      <c r="O5051" s="100"/>
      <c r="P5051" s="100"/>
    </row>
    <row r="5052">
      <c r="A5052" s="107">
        <v>1629599.0</v>
      </c>
      <c r="B5052" s="108" t="s">
        <v>245</v>
      </c>
      <c r="C5052" s="108" t="s">
        <v>1220</v>
      </c>
      <c r="D5052" s="112" t="s">
        <v>176</v>
      </c>
      <c r="E5052" s="112">
        <v>1463.0</v>
      </c>
      <c r="F5052" s="111" t="str">
        <f>DataPull!D5052</f>
        <v/>
      </c>
      <c r="G5052" s="94" t="str">
        <f t="shared" si="2"/>
        <v/>
      </c>
      <c r="H5052" s="94" t="str">
        <f t="shared" si="3"/>
        <v/>
      </c>
      <c r="I5052" s="94" t="str">
        <f t="shared" ref="I5052:J5052" si="5053">if(G5052 = "", , -G5052)</f>
        <v/>
      </c>
      <c r="J5052" s="94" t="str">
        <f t="shared" si="5053"/>
        <v/>
      </c>
      <c r="K5052" s="100"/>
      <c r="L5052" s="100"/>
      <c r="N5052" s="100"/>
      <c r="O5052" s="100"/>
      <c r="P5052" s="100"/>
    </row>
    <row r="5053">
      <c r="A5053" s="107">
        <v>1629599.0</v>
      </c>
      <c r="B5053" s="108" t="s">
        <v>246</v>
      </c>
      <c r="C5053" s="108" t="s">
        <v>1220</v>
      </c>
      <c r="D5053" s="112" t="s">
        <v>176</v>
      </c>
      <c r="E5053" s="112">
        <v>1749.6</v>
      </c>
      <c r="F5053" s="111" t="str">
        <f>DataPull!D5053</f>
        <v/>
      </c>
      <c r="G5053" s="94" t="str">
        <f t="shared" si="2"/>
        <v/>
      </c>
      <c r="H5053" s="94" t="str">
        <f t="shared" si="3"/>
        <v/>
      </c>
      <c r="I5053" s="94" t="str">
        <f t="shared" ref="I5053:J5053" si="5054">if(G5053 = "", , -G5053)</f>
        <v/>
      </c>
      <c r="J5053" s="94" t="str">
        <f t="shared" si="5054"/>
        <v/>
      </c>
      <c r="K5053" s="100"/>
      <c r="M5053" s="100"/>
      <c r="N5053" s="100"/>
      <c r="O5053" s="100"/>
      <c r="P5053" s="100"/>
    </row>
    <row r="5054">
      <c r="A5054" s="114">
        <v>1629599.0</v>
      </c>
      <c r="B5054" s="113" t="s">
        <v>247</v>
      </c>
      <c r="C5054" s="113" t="s">
        <v>1220</v>
      </c>
      <c r="D5054" s="112" t="s">
        <v>187</v>
      </c>
      <c r="E5054" s="112">
        <v>492.2</v>
      </c>
      <c r="F5054" s="111" t="str">
        <f>DataPull!D5054</f>
        <v/>
      </c>
      <c r="G5054" s="94" t="str">
        <f t="shared" si="2"/>
        <v/>
      </c>
      <c r="H5054" s="94" t="str">
        <f t="shared" si="3"/>
        <v/>
      </c>
      <c r="I5054" s="94" t="str">
        <f t="shared" ref="I5054:J5054" si="5055">if(G5054 = "", , -G5054)</f>
        <v/>
      </c>
      <c r="J5054" s="94" t="str">
        <f t="shared" si="5055"/>
        <v/>
      </c>
      <c r="K5054" s="100"/>
      <c r="M5054" s="100"/>
      <c r="N5054" s="100"/>
      <c r="O5054" s="100"/>
      <c r="P5054" s="100"/>
    </row>
    <row r="5055">
      <c r="A5055" s="107">
        <v>1629600.0</v>
      </c>
      <c r="B5055" s="108" t="s">
        <v>215</v>
      </c>
      <c r="C5055" s="108" t="s">
        <v>1221</v>
      </c>
      <c r="D5055" s="112" t="s">
        <v>181</v>
      </c>
      <c r="E5055" s="112">
        <v>12.3</v>
      </c>
      <c r="F5055" s="111" t="str">
        <f>DataPull!D5055</f>
        <v/>
      </c>
      <c r="G5055" s="94" t="str">
        <f t="shared" si="2"/>
        <v/>
      </c>
      <c r="H5055" s="94" t="str">
        <f t="shared" si="3"/>
        <v/>
      </c>
      <c r="I5055" s="94" t="str">
        <f t="shared" ref="I5055:J5055" si="5056">if(G5055 = "", , -G5055)</f>
        <v/>
      </c>
      <c r="J5055" s="94" t="str">
        <f t="shared" si="5056"/>
        <v/>
      </c>
      <c r="K5055" s="100"/>
      <c r="M5055" s="100"/>
      <c r="N5055" s="100"/>
      <c r="O5055" s="100"/>
      <c r="P5055" s="100"/>
    </row>
    <row r="5056">
      <c r="A5056" s="107">
        <v>1629602.0</v>
      </c>
      <c r="B5056" s="108" t="s">
        <v>215</v>
      </c>
      <c r="C5056" s="108" t="s">
        <v>1222</v>
      </c>
      <c r="D5056" s="112" t="s">
        <v>181</v>
      </c>
      <c r="E5056" s="112">
        <v>2.8</v>
      </c>
      <c r="F5056" s="111" t="str">
        <f>DataPull!D5056</f>
        <v/>
      </c>
      <c r="G5056" s="94" t="str">
        <f t="shared" si="2"/>
        <v/>
      </c>
      <c r="H5056" s="94" t="str">
        <f t="shared" si="3"/>
        <v/>
      </c>
      <c r="I5056" s="94" t="str">
        <f t="shared" ref="I5056:J5056" si="5057">if(G5056 = "", , -G5056)</f>
        <v/>
      </c>
      <c r="J5056" s="94" t="str">
        <f t="shared" si="5057"/>
        <v/>
      </c>
      <c r="K5056" s="100"/>
      <c r="M5056" s="100"/>
      <c r="N5056" s="100"/>
      <c r="O5056" s="100"/>
      <c r="P5056" s="100"/>
    </row>
    <row r="5057">
      <c r="A5057" s="107">
        <v>1629603.0</v>
      </c>
      <c r="B5057" s="108" t="s">
        <v>243</v>
      </c>
      <c r="C5057" s="108" t="s">
        <v>1223</v>
      </c>
      <c r="D5057" s="112" t="s">
        <v>187</v>
      </c>
      <c r="E5057" s="112">
        <v>141.4</v>
      </c>
      <c r="F5057" s="111" t="str">
        <f>DataPull!D5057</f>
        <v/>
      </c>
      <c r="G5057" s="94" t="str">
        <f t="shared" si="2"/>
        <v/>
      </c>
      <c r="H5057" s="94" t="str">
        <f t="shared" si="3"/>
        <v/>
      </c>
      <c r="I5057" s="94" t="str">
        <f t="shared" ref="I5057:J5057" si="5058">if(G5057 = "", , -G5057)</f>
        <v/>
      </c>
      <c r="J5057" s="94" t="str">
        <f t="shared" si="5058"/>
        <v/>
      </c>
      <c r="K5057" s="100"/>
      <c r="M5057" s="100"/>
      <c r="N5057" s="100"/>
      <c r="O5057" s="100"/>
      <c r="P5057" s="100"/>
    </row>
    <row r="5058">
      <c r="A5058" s="107">
        <v>1629603.0</v>
      </c>
      <c r="B5058" s="108" t="s">
        <v>215</v>
      </c>
      <c r="C5058" s="108" t="s">
        <v>1223</v>
      </c>
      <c r="D5058" s="112" t="s">
        <v>187</v>
      </c>
      <c r="E5058" s="112">
        <v>187.2</v>
      </c>
      <c r="F5058" s="111" t="str">
        <f>DataPull!D5058</f>
        <v/>
      </c>
      <c r="G5058" s="94" t="str">
        <f t="shared" si="2"/>
        <v/>
      </c>
      <c r="H5058" s="94" t="str">
        <f t="shared" si="3"/>
        <v/>
      </c>
      <c r="I5058" s="94" t="str">
        <f t="shared" ref="I5058:J5058" si="5059">if(G5058 = "", , -G5058)</f>
        <v/>
      </c>
      <c r="J5058" s="94" t="str">
        <f t="shared" si="5059"/>
        <v/>
      </c>
      <c r="K5058" s="100"/>
      <c r="M5058" s="100"/>
      <c r="N5058" s="100"/>
      <c r="O5058" s="100"/>
      <c r="P5058" s="100"/>
    </row>
    <row r="5059">
      <c r="A5059" s="107">
        <v>1629603.0</v>
      </c>
      <c r="B5059" s="108" t="s">
        <v>244</v>
      </c>
      <c r="C5059" s="108" t="s">
        <v>1223</v>
      </c>
      <c r="D5059" s="112" t="s">
        <v>187</v>
      </c>
      <c r="E5059" s="112">
        <v>176.0</v>
      </c>
      <c r="F5059" s="111" t="str">
        <f>DataPull!D5059</f>
        <v/>
      </c>
      <c r="G5059" s="94" t="str">
        <f t="shared" si="2"/>
        <v/>
      </c>
      <c r="H5059" s="94" t="str">
        <f t="shared" si="3"/>
        <v/>
      </c>
      <c r="I5059" s="94" t="str">
        <f t="shared" ref="I5059:J5059" si="5060">if(G5059 = "", , -G5059)</f>
        <v/>
      </c>
      <c r="J5059" s="94" t="str">
        <f t="shared" si="5060"/>
        <v/>
      </c>
      <c r="K5059" s="100"/>
      <c r="M5059" s="100"/>
      <c r="N5059" s="100"/>
      <c r="O5059" s="100"/>
      <c r="P5059" s="100"/>
    </row>
    <row r="5060">
      <c r="A5060" s="107">
        <v>1629603.0</v>
      </c>
      <c r="B5060" s="108" t="s">
        <v>245</v>
      </c>
      <c r="C5060" s="108" t="s">
        <v>1223</v>
      </c>
      <c r="D5060" s="112" t="s">
        <v>181</v>
      </c>
      <c r="E5060" s="112">
        <v>24.6</v>
      </c>
      <c r="F5060" s="111" t="str">
        <f>DataPull!D5060</f>
        <v/>
      </c>
      <c r="G5060" s="94" t="str">
        <f t="shared" si="2"/>
        <v/>
      </c>
      <c r="H5060" s="94" t="str">
        <f t="shared" si="3"/>
        <v/>
      </c>
      <c r="I5060" s="94" t="str">
        <f t="shared" ref="I5060:J5060" si="5061">if(G5060 = "", , -G5060)</f>
        <v/>
      </c>
      <c r="J5060" s="94" t="str">
        <f t="shared" si="5061"/>
        <v/>
      </c>
      <c r="K5060" s="100"/>
      <c r="M5060" s="100"/>
      <c r="N5060" s="100"/>
      <c r="O5060" s="100"/>
      <c r="P5060" s="100"/>
    </row>
    <row r="5061">
      <c r="A5061" s="107">
        <v>1629604.0</v>
      </c>
      <c r="B5061" s="108" t="s">
        <v>243</v>
      </c>
      <c r="C5061" s="108" t="s">
        <v>1224</v>
      </c>
      <c r="D5061" s="112" t="s">
        <v>187</v>
      </c>
      <c r="E5061" s="112">
        <v>192.0</v>
      </c>
      <c r="F5061" s="111" t="str">
        <f>DataPull!D5061</f>
        <v/>
      </c>
      <c r="G5061" s="94" t="str">
        <f t="shared" si="2"/>
        <v/>
      </c>
      <c r="H5061" s="94" t="str">
        <f t="shared" si="3"/>
        <v/>
      </c>
      <c r="I5061" s="94" t="str">
        <f t="shared" ref="I5061:J5061" si="5062">if(G5061 = "", , -G5061)</f>
        <v/>
      </c>
      <c r="J5061" s="94" t="str">
        <f t="shared" si="5062"/>
        <v/>
      </c>
      <c r="K5061" s="100"/>
      <c r="M5061" s="100"/>
      <c r="N5061" s="100"/>
      <c r="O5061" s="100"/>
      <c r="P5061" s="100"/>
    </row>
    <row r="5062">
      <c r="A5062" s="107">
        <v>1629604.0</v>
      </c>
      <c r="B5062" s="108" t="s">
        <v>215</v>
      </c>
      <c r="C5062" s="108" t="s">
        <v>1224</v>
      </c>
      <c r="D5062" s="112" t="s">
        <v>177</v>
      </c>
      <c r="E5062" s="112">
        <v>1171.6</v>
      </c>
      <c r="F5062" s="111" t="str">
        <f>DataPull!D5062</f>
        <v/>
      </c>
      <c r="G5062" s="94" t="str">
        <f t="shared" si="2"/>
        <v/>
      </c>
      <c r="H5062" s="94" t="str">
        <f t="shared" si="3"/>
        <v/>
      </c>
      <c r="I5062" s="94" t="str">
        <f t="shared" ref="I5062:J5062" si="5063">if(G5062 = "", , -G5062)</f>
        <v/>
      </c>
      <c r="J5062" s="94" t="str">
        <f t="shared" si="5063"/>
        <v/>
      </c>
      <c r="K5062" s="100"/>
      <c r="M5062" s="100"/>
      <c r="N5062" s="100"/>
      <c r="O5062" s="100"/>
      <c r="P5062" s="100"/>
    </row>
    <row r="5063">
      <c r="A5063" s="107">
        <v>1629605.0</v>
      </c>
      <c r="B5063" s="108" t="s">
        <v>193</v>
      </c>
      <c r="C5063" s="108" t="s">
        <v>1225</v>
      </c>
      <c r="D5063" s="112" t="s">
        <v>181</v>
      </c>
      <c r="E5063" s="112">
        <v>32.2</v>
      </c>
      <c r="F5063" s="111" t="str">
        <f>DataPull!D5063</f>
        <v/>
      </c>
      <c r="G5063" s="94" t="str">
        <f t="shared" si="2"/>
        <v/>
      </c>
      <c r="H5063" s="94" t="str">
        <f t="shared" si="3"/>
        <v/>
      </c>
      <c r="I5063" s="94" t="str">
        <f t="shared" ref="I5063:J5063" si="5064">if(G5063 = "", , -G5063)</f>
        <v/>
      </c>
      <c r="J5063" s="94" t="str">
        <f t="shared" si="5064"/>
        <v/>
      </c>
      <c r="K5063" s="100"/>
      <c r="M5063" s="100"/>
      <c r="N5063" s="100"/>
      <c r="O5063" s="100"/>
      <c r="P5063" s="100"/>
    </row>
    <row r="5064">
      <c r="A5064" s="107">
        <v>1629605.0</v>
      </c>
      <c r="B5064" s="108" t="s">
        <v>243</v>
      </c>
      <c r="C5064" s="108" t="s">
        <v>1225</v>
      </c>
      <c r="D5064" s="112" t="s">
        <v>187</v>
      </c>
      <c r="E5064" s="112">
        <v>134.9</v>
      </c>
      <c r="F5064" s="111" t="str">
        <f>DataPull!D5064</f>
        <v/>
      </c>
      <c r="G5064" s="94" t="str">
        <f t="shared" si="2"/>
        <v/>
      </c>
      <c r="H5064" s="94" t="str">
        <f t="shared" si="3"/>
        <v/>
      </c>
      <c r="I5064" s="94" t="str">
        <f t="shared" ref="I5064:J5064" si="5065">if(G5064 = "", , -G5064)</f>
        <v/>
      </c>
      <c r="J5064" s="94" t="str">
        <f t="shared" si="5065"/>
        <v/>
      </c>
      <c r="K5064" s="100"/>
      <c r="M5064" s="100"/>
      <c r="N5064" s="100"/>
      <c r="O5064" s="100"/>
      <c r="P5064" s="100"/>
    </row>
    <row r="5065">
      <c r="A5065" s="107">
        <v>1629605.0</v>
      </c>
      <c r="B5065" s="108" t="s">
        <v>215</v>
      </c>
      <c r="C5065" s="108" t="s">
        <v>1225</v>
      </c>
      <c r="D5065" s="112" t="s">
        <v>187</v>
      </c>
      <c r="E5065" s="112">
        <v>58.3</v>
      </c>
      <c r="F5065" s="111" t="str">
        <f>DataPull!D5065</f>
        <v/>
      </c>
      <c r="G5065" s="94" t="str">
        <f t="shared" si="2"/>
        <v/>
      </c>
      <c r="H5065" s="94" t="str">
        <f t="shared" si="3"/>
        <v/>
      </c>
      <c r="I5065" s="94" t="str">
        <f t="shared" ref="I5065:J5065" si="5066">if(G5065 = "", , -G5065)</f>
        <v/>
      </c>
      <c r="J5065" s="94" t="str">
        <f t="shared" si="5066"/>
        <v/>
      </c>
      <c r="K5065" s="100"/>
      <c r="M5065" s="100"/>
      <c r="N5065" s="100"/>
      <c r="O5065" s="100"/>
      <c r="P5065" s="100"/>
    </row>
    <row r="5066">
      <c r="A5066" s="107">
        <v>1629606.0</v>
      </c>
      <c r="B5066" s="108" t="s">
        <v>243</v>
      </c>
      <c r="C5066" s="108" t="s">
        <v>1226</v>
      </c>
      <c r="D5066" s="112"/>
      <c r="E5066" s="112">
        <v>100.8</v>
      </c>
      <c r="F5066" s="111" t="str">
        <f>DataPull!D5066</f>
        <v/>
      </c>
      <c r="G5066" s="94" t="str">
        <f t="shared" si="2"/>
        <v/>
      </c>
      <c r="H5066" s="94" t="str">
        <f t="shared" si="3"/>
        <v/>
      </c>
      <c r="I5066" s="94" t="str">
        <f t="shared" ref="I5066:J5066" si="5067">if(G5066 = "", , -G5066)</f>
        <v/>
      </c>
      <c r="J5066" s="94" t="str">
        <f t="shared" si="5067"/>
        <v/>
      </c>
      <c r="K5066" s="100"/>
      <c r="M5066" s="100"/>
      <c r="N5066" s="100"/>
      <c r="O5066" s="100"/>
      <c r="P5066" s="100"/>
    </row>
    <row r="5067">
      <c r="A5067" s="107">
        <v>1629607.0</v>
      </c>
      <c r="B5067" s="108" t="s">
        <v>193</v>
      </c>
      <c r="C5067" s="108" t="s">
        <v>1227</v>
      </c>
      <c r="D5067" s="112" t="s">
        <v>181</v>
      </c>
      <c r="E5067" s="112">
        <v>7.8</v>
      </c>
      <c r="F5067" s="111" t="str">
        <f>DataPull!D5067</f>
        <v/>
      </c>
      <c r="G5067" s="94" t="str">
        <f t="shared" si="2"/>
        <v/>
      </c>
      <c r="H5067" s="94" t="str">
        <f t="shared" si="3"/>
        <v/>
      </c>
      <c r="I5067" s="94" t="str">
        <f t="shared" ref="I5067:J5067" si="5068">if(G5067 = "", , -G5067)</f>
        <v/>
      </c>
      <c r="J5067" s="94" t="str">
        <f t="shared" si="5068"/>
        <v/>
      </c>
      <c r="K5067" s="100"/>
      <c r="M5067" s="100"/>
      <c r="N5067" s="100"/>
      <c r="O5067" s="100"/>
      <c r="P5067" s="100"/>
    </row>
    <row r="5068">
      <c r="A5068" s="107">
        <v>1629607.0</v>
      </c>
      <c r="B5068" s="108" t="s">
        <v>243</v>
      </c>
      <c r="C5068" s="108" t="s">
        <v>1227</v>
      </c>
      <c r="D5068" s="112" t="s">
        <v>187</v>
      </c>
      <c r="E5068" s="112">
        <v>16.0</v>
      </c>
      <c r="F5068" s="111" t="str">
        <f>DataPull!D5068</f>
        <v/>
      </c>
      <c r="G5068" s="94" t="str">
        <f t="shared" si="2"/>
        <v/>
      </c>
      <c r="H5068" s="94" t="str">
        <f t="shared" si="3"/>
        <v/>
      </c>
      <c r="I5068" s="94" t="str">
        <f t="shared" ref="I5068:J5068" si="5069">if(G5068 = "", , -G5068)</f>
        <v/>
      </c>
      <c r="J5068" s="94" t="str">
        <f t="shared" si="5069"/>
        <v/>
      </c>
      <c r="K5068" s="100"/>
      <c r="M5068" s="100"/>
      <c r="N5068" s="100"/>
      <c r="O5068" s="100"/>
      <c r="P5068" s="100"/>
    </row>
    <row r="5069">
      <c r="A5069" s="107">
        <v>1629607.0</v>
      </c>
      <c r="B5069" s="108" t="s">
        <v>215</v>
      </c>
      <c r="C5069" s="108" t="s">
        <v>1227</v>
      </c>
      <c r="D5069" s="112" t="s">
        <v>181</v>
      </c>
      <c r="E5069" s="112">
        <v>43.0</v>
      </c>
      <c r="F5069" s="111" t="str">
        <f>DataPull!D5069</f>
        <v/>
      </c>
      <c r="G5069" s="94" t="str">
        <f t="shared" si="2"/>
        <v/>
      </c>
      <c r="H5069" s="94" t="str">
        <f t="shared" si="3"/>
        <v/>
      </c>
      <c r="I5069" s="94" t="str">
        <f t="shared" ref="I5069:J5069" si="5070">if(G5069 = "", , -G5069)</f>
        <v/>
      </c>
      <c r="J5069" s="94" t="str">
        <f t="shared" si="5070"/>
        <v/>
      </c>
      <c r="K5069" s="100"/>
      <c r="M5069" s="100"/>
      <c r="N5069" s="100"/>
      <c r="O5069" s="100"/>
      <c r="P5069" s="100"/>
    </row>
    <row r="5070">
      <c r="A5070" s="107">
        <v>1629608.0</v>
      </c>
      <c r="B5070" s="108" t="s">
        <v>193</v>
      </c>
      <c r="C5070" s="108" t="s">
        <v>1228</v>
      </c>
      <c r="D5070" s="112" t="s">
        <v>181</v>
      </c>
      <c r="E5070" s="112">
        <v>28.2</v>
      </c>
      <c r="F5070" s="111" t="str">
        <f>DataPull!D5070</f>
        <v/>
      </c>
      <c r="G5070" s="94" t="str">
        <f t="shared" si="2"/>
        <v/>
      </c>
      <c r="H5070" s="94" t="str">
        <f t="shared" si="3"/>
        <v/>
      </c>
      <c r="I5070" s="94" t="str">
        <f t="shared" ref="I5070:J5070" si="5071">if(G5070 = "", , -G5070)</f>
        <v/>
      </c>
      <c r="J5070" s="94" t="str">
        <f t="shared" si="5071"/>
        <v/>
      </c>
      <c r="K5070" s="100"/>
      <c r="M5070" s="100"/>
      <c r="N5070" s="100"/>
      <c r="O5070" s="100"/>
      <c r="P5070" s="100"/>
    </row>
    <row r="5071">
      <c r="A5071" s="107">
        <v>1629610.0</v>
      </c>
      <c r="B5071" s="108" t="s">
        <v>193</v>
      </c>
      <c r="C5071" s="108" t="s">
        <v>1229</v>
      </c>
      <c r="D5071" s="112" t="s">
        <v>187</v>
      </c>
      <c r="E5071" s="112">
        <v>141.7</v>
      </c>
      <c r="F5071" s="111" t="str">
        <f>DataPull!D5071</f>
        <v/>
      </c>
      <c r="G5071" s="94" t="str">
        <f t="shared" si="2"/>
        <v/>
      </c>
      <c r="H5071" s="94" t="str">
        <f t="shared" si="3"/>
        <v/>
      </c>
      <c r="I5071" s="94" t="str">
        <f t="shared" ref="I5071:J5071" si="5072">if(G5071 = "", , -G5071)</f>
        <v/>
      </c>
      <c r="J5071" s="94" t="str">
        <f t="shared" si="5072"/>
        <v/>
      </c>
      <c r="K5071" s="100"/>
      <c r="M5071" s="100"/>
      <c r="N5071" s="100"/>
      <c r="O5071" s="100"/>
      <c r="P5071" s="100"/>
    </row>
    <row r="5072">
      <c r="A5072" s="107">
        <v>1629610.0</v>
      </c>
      <c r="B5072" s="108" t="s">
        <v>243</v>
      </c>
      <c r="C5072" s="108" t="s">
        <v>1229</v>
      </c>
      <c r="D5072" s="112" t="s">
        <v>187</v>
      </c>
      <c r="E5072" s="112">
        <v>492.9</v>
      </c>
      <c r="F5072" s="111" t="str">
        <f>DataPull!D5072</f>
        <v/>
      </c>
      <c r="G5072" s="94" t="str">
        <f t="shared" si="2"/>
        <v/>
      </c>
      <c r="H5072" s="94" t="str">
        <f t="shared" si="3"/>
        <v/>
      </c>
      <c r="I5072" s="94" t="str">
        <f t="shared" ref="I5072:J5072" si="5073">if(G5072 = "", , -G5072)</f>
        <v/>
      </c>
      <c r="J5072" s="94" t="str">
        <f t="shared" si="5073"/>
        <v/>
      </c>
      <c r="K5072" s="100"/>
      <c r="M5072" s="100"/>
      <c r="N5072" s="100"/>
      <c r="O5072" s="100"/>
      <c r="P5072" s="100"/>
    </row>
    <row r="5073">
      <c r="A5073" s="107">
        <v>1629610.0</v>
      </c>
      <c r="B5073" s="108" t="s">
        <v>215</v>
      </c>
      <c r="C5073" s="108" t="s">
        <v>1229</v>
      </c>
      <c r="D5073" s="112" t="s">
        <v>181</v>
      </c>
      <c r="E5073" s="112">
        <v>8.7</v>
      </c>
      <c r="F5073" s="111" t="str">
        <f>DataPull!D5073</f>
        <v/>
      </c>
      <c r="G5073" s="94" t="str">
        <f t="shared" si="2"/>
        <v/>
      </c>
      <c r="H5073" s="94" t="str">
        <f t="shared" si="3"/>
        <v/>
      </c>
      <c r="I5073" s="94" t="str">
        <f t="shared" ref="I5073:J5073" si="5074">if(G5073 = "", , -G5073)</f>
        <v/>
      </c>
      <c r="J5073" s="94" t="str">
        <f t="shared" si="5074"/>
        <v/>
      </c>
      <c r="K5073" s="100"/>
      <c r="M5073" s="100"/>
      <c r="N5073" s="100"/>
      <c r="O5073" s="100"/>
      <c r="P5073" s="100"/>
    </row>
    <row r="5074">
      <c r="A5074" s="107">
        <v>1629610.0</v>
      </c>
      <c r="B5074" s="108" t="s">
        <v>245</v>
      </c>
      <c r="C5074" s="108" t="s">
        <v>1229</v>
      </c>
      <c r="D5074" s="112" t="s">
        <v>187</v>
      </c>
      <c r="E5074" s="112">
        <v>45.9</v>
      </c>
      <c r="F5074" s="111" t="str">
        <f>DataPull!D5074</f>
        <v/>
      </c>
      <c r="G5074" s="94" t="str">
        <f t="shared" si="2"/>
        <v/>
      </c>
      <c r="H5074" s="94" t="str">
        <f t="shared" si="3"/>
        <v/>
      </c>
      <c r="I5074" s="94" t="str">
        <f t="shared" ref="I5074:J5074" si="5075">if(G5074 = "", , -G5074)</f>
        <v/>
      </c>
      <c r="J5074" s="94" t="str">
        <f t="shared" si="5075"/>
        <v/>
      </c>
      <c r="K5074" s="100"/>
      <c r="M5074" s="100"/>
      <c r="N5074" s="100"/>
      <c r="O5074" s="100"/>
      <c r="P5074" s="100"/>
    </row>
    <row r="5075">
      <c r="A5075" s="107">
        <v>1629610.0</v>
      </c>
      <c r="B5075" s="108" t="s">
        <v>246</v>
      </c>
      <c r="C5075" s="108" t="s">
        <v>1229</v>
      </c>
      <c r="D5075" s="112" t="s">
        <v>176</v>
      </c>
      <c r="E5075" s="112">
        <v>1071.6</v>
      </c>
      <c r="F5075" s="111" t="str">
        <f>DataPull!D5075</f>
        <v/>
      </c>
      <c r="G5075" s="94" t="str">
        <f t="shared" si="2"/>
        <v/>
      </c>
      <c r="H5075" s="94" t="str">
        <f t="shared" si="3"/>
        <v/>
      </c>
      <c r="I5075" s="94" t="str">
        <f t="shared" ref="I5075:J5075" si="5076">if(G5075 = "", , -G5075)</f>
        <v/>
      </c>
      <c r="J5075" s="94" t="str">
        <f t="shared" si="5076"/>
        <v/>
      </c>
      <c r="K5075" s="100"/>
      <c r="M5075" s="100"/>
      <c r="N5075" s="100"/>
      <c r="O5075" s="100"/>
      <c r="P5075" s="100"/>
    </row>
    <row r="5076">
      <c r="A5076" s="107">
        <v>1629611.0</v>
      </c>
      <c r="B5076" s="108" t="s">
        <v>193</v>
      </c>
      <c r="C5076" s="108" t="s">
        <v>1230</v>
      </c>
      <c r="D5076" s="112" t="s">
        <v>187</v>
      </c>
      <c r="E5076" s="112">
        <v>360.8</v>
      </c>
      <c r="F5076" s="111" t="str">
        <f>DataPull!D5076</f>
        <v/>
      </c>
      <c r="G5076" s="94" t="str">
        <f t="shared" si="2"/>
        <v/>
      </c>
      <c r="H5076" s="94" t="str">
        <f t="shared" si="3"/>
        <v/>
      </c>
      <c r="I5076" s="94" t="str">
        <f t="shared" ref="I5076:J5076" si="5077">if(G5076 = "", , -G5076)</f>
        <v/>
      </c>
      <c r="J5076" s="94" t="str">
        <f t="shared" si="5077"/>
        <v/>
      </c>
      <c r="K5076" s="100"/>
      <c r="M5076" s="100"/>
      <c r="N5076" s="100"/>
      <c r="O5076" s="100"/>
      <c r="P5076" s="100"/>
    </row>
    <row r="5077">
      <c r="A5077" s="107">
        <v>1629611.0</v>
      </c>
      <c r="B5077" s="108" t="s">
        <v>243</v>
      </c>
      <c r="C5077" s="108" t="s">
        <v>1230</v>
      </c>
      <c r="D5077" s="112" t="s">
        <v>177</v>
      </c>
      <c r="E5077" s="112">
        <v>1266.3</v>
      </c>
      <c r="F5077" s="111" t="str">
        <f>DataPull!D5077</f>
        <v/>
      </c>
      <c r="G5077" s="94" t="str">
        <f t="shared" si="2"/>
        <v/>
      </c>
      <c r="H5077" s="94" t="str">
        <f t="shared" si="3"/>
        <v/>
      </c>
      <c r="I5077" s="94" t="str">
        <f t="shared" ref="I5077:J5077" si="5078">if(G5077 = "", , -G5077)</f>
        <v/>
      </c>
      <c r="J5077" s="94" t="str">
        <f t="shared" si="5078"/>
        <v/>
      </c>
      <c r="K5077" s="100"/>
      <c r="M5077" s="100"/>
      <c r="N5077" s="100"/>
      <c r="O5077" s="100"/>
      <c r="P5077" s="100"/>
    </row>
    <row r="5078">
      <c r="A5078" s="107">
        <v>1629611.0</v>
      </c>
      <c r="B5078" s="108" t="s">
        <v>215</v>
      </c>
      <c r="C5078" s="108" t="s">
        <v>1230</v>
      </c>
      <c r="D5078" s="112" t="s">
        <v>178</v>
      </c>
      <c r="E5078" s="112">
        <v>2316.6</v>
      </c>
      <c r="F5078" s="111" t="str">
        <f>DataPull!D5078</f>
        <v/>
      </c>
      <c r="G5078" s="94" t="str">
        <f t="shared" si="2"/>
        <v/>
      </c>
      <c r="H5078" s="94" t="str">
        <f t="shared" si="3"/>
        <v/>
      </c>
      <c r="I5078" s="94" t="str">
        <f t="shared" ref="I5078:J5078" si="5079">if(G5078 = "", , -G5078)</f>
        <v/>
      </c>
      <c r="J5078" s="94" t="str">
        <f t="shared" si="5079"/>
        <v/>
      </c>
      <c r="K5078" s="100"/>
      <c r="L5078" s="100"/>
      <c r="N5078" s="100"/>
      <c r="O5078" s="100"/>
      <c r="P5078" s="100"/>
    </row>
    <row r="5079">
      <c r="A5079" s="107">
        <v>1629611.0</v>
      </c>
      <c r="B5079" s="108" t="s">
        <v>244</v>
      </c>
      <c r="C5079" s="108" t="s">
        <v>1230</v>
      </c>
      <c r="D5079" s="112" t="s">
        <v>176</v>
      </c>
      <c r="E5079" s="112">
        <v>1871.1</v>
      </c>
      <c r="F5079" s="111" t="str">
        <f>DataPull!D5079</f>
        <v/>
      </c>
      <c r="G5079" s="94" t="str">
        <f t="shared" si="2"/>
        <v/>
      </c>
      <c r="H5079" s="94" t="str">
        <f t="shared" si="3"/>
        <v/>
      </c>
      <c r="I5079" s="94" t="str">
        <f t="shared" ref="I5079:J5079" si="5080">if(G5079 = "", , -G5079)</f>
        <v/>
      </c>
      <c r="J5079" s="94" t="str">
        <f t="shared" si="5080"/>
        <v/>
      </c>
      <c r="K5079" s="100"/>
      <c r="M5079" s="100"/>
      <c r="N5079" s="100"/>
      <c r="O5079" s="100"/>
      <c r="P5079" s="100"/>
    </row>
    <row r="5080">
      <c r="A5080" s="107">
        <v>1629611.0</v>
      </c>
      <c r="B5080" s="108" t="s">
        <v>245</v>
      </c>
      <c r="C5080" s="108" t="s">
        <v>1230</v>
      </c>
      <c r="D5080" s="112" t="s">
        <v>176</v>
      </c>
      <c r="E5080" s="112">
        <v>1875.0</v>
      </c>
      <c r="F5080" s="111" t="str">
        <f>DataPull!D5080</f>
        <v/>
      </c>
      <c r="G5080" s="94" t="str">
        <f t="shared" si="2"/>
        <v/>
      </c>
      <c r="H5080" s="94" t="str">
        <f t="shared" si="3"/>
        <v/>
      </c>
      <c r="I5080" s="94" t="str">
        <f t="shared" ref="I5080:J5080" si="5081">if(G5080 = "", , -G5080)</f>
        <v/>
      </c>
      <c r="J5080" s="94" t="str">
        <f t="shared" si="5081"/>
        <v/>
      </c>
      <c r="K5080" s="100"/>
      <c r="M5080" s="100"/>
      <c r="N5080" s="100"/>
      <c r="O5080" s="100"/>
      <c r="P5080" s="100"/>
    </row>
    <row r="5081">
      <c r="A5081" s="107">
        <v>1629611.0</v>
      </c>
      <c r="B5081" s="108" t="s">
        <v>246</v>
      </c>
      <c r="C5081" s="108" t="s">
        <v>1230</v>
      </c>
      <c r="D5081" s="112" t="s">
        <v>177</v>
      </c>
      <c r="E5081" s="112">
        <v>1413.7</v>
      </c>
      <c r="F5081" s="111" t="str">
        <f>DataPull!D5081</f>
        <v/>
      </c>
      <c r="G5081" s="94" t="str">
        <f t="shared" si="2"/>
        <v/>
      </c>
      <c r="H5081" s="94" t="str">
        <f t="shared" si="3"/>
        <v/>
      </c>
      <c r="I5081" s="94" t="str">
        <f t="shared" ref="I5081:J5081" si="5082">if(G5081 = "", , -G5081)</f>
        <v/>
      </c>
      <c r="J5081" s="94" t="str">
        <f t="shared" si="5082"/>
        <v/>
      </c>
      <c r="K5081" s="100"/>
      <c r="M5081" s="100"/>
      <c r="N5081" s="100"/>
      <c r="O5081" s="100"/>
      <c r="P5081" s="100"/>
    </row>
    <row r="5082">
      <c r="A5082" s="114">
        <v>1629611.0</v>
      </c>
      <c r="B5082" s="113" t="s">
        <v>247</v>
      </c>
      <c r="C5082" s="113" t="s">
        <v>1230</v>
      </c>
      <c r="D5082" s="112" t="s">
        <v>178</v>
      </c>
      <c r="E5082" s="112">
        <v>1530.9</v>
      </c>
      <c r="F5082" s="111" t="str">
        <f>DataPull!D5082</f>
        <v/>
      </c>
      <c r="G5082" s="94" t="str">
        <f t="shared" si="2"/>
        <v/>
      </c>
      <c r="H5082" s="94" t="str">
        <f t="shared" si="3"/>
        <v/>
      </c>
      <c r="I5082" s="94" t="str">
        <f t="shared" ref="I5082:J5082" si="5083">if(G5082 = "", , -G5082)</f>
        <v/>
      </c>
      <c r="J5082" s="94" t="str">
        <f t="shared" si="5083"/>
        <v/>
      </c>
      <c r="K5082" s="100"/>
      <c r="M5082" s="100"/>
      <c r="N5082" s="100"/>
      <c r="O5082" s="100"/>
      <c r="P5082" s="100"/>
    </row>
    <row r="5083">
      <c r="A5083" s="107">
        <v>1629614.0</v>
      </c>
      <c r="B5083" s="108" t="s">
        <v>244</v>
      </c>
      <c r="C5083" s="108" t="s">
        <v>1231</v>
      </c>
      <c r="D5083" s="112" t="s">
        <v>178</v>
      </c>
      <c r="E5083" s="112">
        <v>2070.0</v>
      </c>
      <c r="F5083" s="111" t="str">
        <f>DataPull!D5083</f>
        <v/>
      </c>
      <c r="G5083" s="94" t="str">
        <f t="shared" si="2"/>
        <v/>
      </c>
      <c r="H5083" s="94" t="str">
        <f t="shared" si="3"/>
        <v/>
      </c>
      <c r="I5083" s="94" t="str">
        <f t="shared" ref="I5083:J5083" si="5084">if(G5083 = "", , -G5083)</f>
        <v/>
      </c>
      <c r="J5083" s="94" t="str">
        <f t="shared" si="5084"/>
        <v/>
      </c>
      <c r="K5083" s="100"/>
      <c r="M5083" s="100"/>
      <c r="N5083" s="100"/>
      <c r="O5083" s="100"/>
      <c r="P5083" s="100"/>
    </row>
    <row r="5084">
      <c r="A5084" s="107">
        <v>1629614.0</v>
      </c>
      <c r="B5084" s="108" t="s">
        <v>245</v>
      </c>
      <c r="C5084" s="108" t="s">
        <v>1231</v>
      </c>
      <c r="D5084" s="112" t="s">
        <v>176</v>
      </c>
      <c r="E5084" s="112">
        <v>1700.0</v>
      </c>
      <c r="F5084" s="111" t="str">
        <f>DataPull!D5084</f>
        <v/>
      </c>
      <c r="G5084" s="94" t="str">
        <f t="shared" si="2"/>
        <v/>
      </c>
      <c r="H5084" s="94" t="str">
        <f t="shared" si="3"/>
        <v/>
      </c>
      <c r="I5084" s="94" t="str">
        <f t="shared" ref="I5084:J5084" si="5085">if(G5084 = "", , -G5084)</f>
        <v/>
      </c>
      <c r="J5084" s="94" t="str">
        <f t="shared" si="5085"/>
        <v/>
      </c>
      <c r="K5084" s="100"/>
      <c r="M5084" s="100"/>
      <c r="N5084" s="100"/>
      <c r="O5084" s="100"/>
      <c r="P5084" s="100"/>
    </row>
    <row r="5085">
      <c r="A5085" s="107">
        <v>1629614.0</v>
      </c>
      <c r="B5085" s="108" t="s">
        <v>246</v>
      </c>
      <c r="C5085" s="108" t="s">
        <v>1231</v>
      </c>
      <c r="D5085" s="112" t="s">
        <v>178</v>
      </c>
      <c r="E5085" s="112">
        <v>1878.5</v>
      </c>
      <c r="F5085" s="111" t="str">
        <f>DataPull!D5085</f>
        <v/>
      </c>
      <c r="G5085" s="94" t="str">
        <f t="shared" si="2"/>
        <v/>
      </c>
      <c r="H5085" s="94" t="str">
        <f t="shared" si="3"/>
        <v/>
      </c>
      <c r="I5085" s="94" t="str">
        <f t="shared" ref="I5085:J5085" si="5086">if(G5085 = "", , -G5085)</f>
        <v/>
      </c>
      <c r="J5085" s="94" t="str">
        <f t="shared" si="5086"/>
        <v/>
      </c>
      <c r="K5085" s="100"/>
      <c r="L5085" s="100"/>
      <c r="N5085" s="100"/>
      <c r="O5085" s="100"/>
      <c r="P5085" s="100"/>
    </row>
    <row r="5086">
      <c r="A5086" s="114">
        <v>1629614.0</v>
      </c>
      <c r="B5086" s="113" t="s">
        <v>247</v>
      </c>
      <c r="C5086" s="113" t="s">
        <v>1231</v>
      </c>
      <c r="D5086" s="112" t="s">
        <v>178</v>
      </c>
      <c r="E5086" s="112">
        <v>1784.1</v>
      </c>
      <c r="F5086" s="111" t="str">
        <f>DataPull!D5086</f>
        <v/>
      </c>
      <c r="G5086" s="94" t="str">
        <f t="shared" si="2"/>
        <v/>
      </c>
      <c r="H5086" s="94" t="str">
        <f t="shared" si="3"/>
        <v/>
      </c>
      <c r="I5086" s="94" t="str">
        <f t="shared" ref="I5086:J5086" si="5087">if(G5086 = "", , -G5086)</f>
        <v/>
      </c>
      <c r="J5086" s="94" t="str">
        <f t="shared" si="5087"/>
        <v/>
      </c>
      <c r="K5086" s="100"/>
      <c r="L5086" s="100"/>
      <c r="N5086" s="100"/>
      <c r="O5086" s="100"/>
      <c r="P5086" s="100"/>
    </row>
    <row r="5087">
      <c r="A5087" s="107">
        <v>1629617.0</v>
      </c>
      <c r="B5087" s="108" t="s">
        <v>243</v>
      </c>
      <c r="C5087" s="108" t="s">
        <v>1232</v>
      </c>
      <c r="D5087" s="112" t="s">
        <v>187</v>
      </c>
      <c r="E5087" s="112">
        <v>210.6</v>
      </c>
      <c r="F5087" s="111" t="str">
        <f>DataPull!D5087</f>
        <v/>
      </c>
      <c r="G5087" s="94" t="str">
        <f t="shared" si="2"/>
        <v/>
      </c>
      <c r="H5087" s="94" t="str">
        <f t="shared" si="3"/>
        <v/>
      </c>
      <c r="I5087" s="94" t="str">
        <f t="shared" ref="I5087:J5087" si="5088">if(G5087 = "", , -G5087)</f>
        <v/>
      </c>
      <c r="J5087" s="94" t="str">
        <f t="shared" si="5088"/>
        <v/>
      </c>
      <c r="K5087" s="100"/>
      <c r="M5087" s="100"/>
      <c r="N5087" s="100"/>
      <c r="O5087" s="100"/>
      <c r="P5087" s="100"/>
    </row>
    <row r="5088">
      <c r="A5088" s="107">
        <v>1629617.0</v>
      </c>
      <c r="B5088" s="108" t="s">
        <v>215</v>
      </c>
      <c r="C5088" s="108" t="s">
        <v>1232</v>
      </c>
      <c r="D5088" s="112" t="s">
        <v>187</v>
      </c>
      <c r="E5088" s="112">
        <v>187.0</v>
      </c>
      <c r="F5088" s="111" t="str">
        <f>DataPull!D5088</f>
        <v/>
      </c>
      <c r="G5088" s="94" t="str">
        <f t="shared" si="2"/>
        <v/>
      </c>
      <c r="H5088" s="94" t="str">
        <f t="shared" si="3"/>
        <v/>
      </c>
      <c r="I5088" s="94" t="str">
        <f t="shared" ref="I5088:J5088" si="5089">if(G5088 = "", , -G5088)</f>
        <v/>
      </c>
      <c r="J5088" s="94" t="str">
        <f t="shared" si="5089"/>
        <v/>
      </c>
      <c r="K5088" s="100"/>
      <c r="M5088" s="100"/>
      <c r="N5088" s="100"/>
      <c r="O5088" s="100"/>
      <c r="P5088" s="100"/>
    </row>
    <row r="5089">
      <c r="A5089" s="107">
        <v>1629618.0</v>
      </c>
      <c r="B5089" s="108" t="s">
        <v>245</v>
      </c>
      <c r="C5089" s="108" t="s">
        <v>1233</v>
      </c>
      <c r="D5089" s="112" t="s">
        <v>187</v>
      </c>
      <c r="E5089" s="112">
        <v>121.5</v>
      </c>
      <c r="F5089" s="111" t="str">
        <f>DataPull!D5089</f>
        <v/>
      </c>
      <c r="G5089" s="94" t="str">
        <f t="shared" si="2"/>
        <v/>
      </c>
      <c r="H5089" s="94" t="str">
        <f t="shared" si="3"/>
        <v/>
      </c>
      <c r="I5089" s="94" t="str">
        <f t="shared" ref="I5089:J5089" si="5090">if(G5089 = "", , -G5089)</f>
        <v/>
      </c>
      <c r="J5089" s="94" t="str">
        <f t="shared" si="5090"/>
        <v/>
      </c>
      <c r="K5089" s="100"/>
      <c r="M5089" s="100"/>
      <c r="N5089" s="100"/>
      <c r="O5089" s="100"/>
      <c r="P5089" s="100"/>
    </row>
    <row r="5090">
      <c r="A5090" s="107">
        <v>1629618.0</v>
      </c>
      <c r="B5090" s="108" t="s">
        <v>246</v>
      </c>
      <c r="C5090" s="108" t="s">
        <v>1233</v>
      </c>
      <c r="D5090" s="112" t="s">
        <v>177</v>
      </c>
      <c r="E5090" s="112">
        <v>666.4</v>
      </c>
      <c r="F5090" s="111" t="str">
        <f>DataPull!D5090</f>
        <v/>
      </c>
      <c r="G5090" s="94" t="str">
        <f t="shared" si="2"/>
        <v/>
      </c>
      <c r="H5090" s="94" t="str">
        <f t="shared" si="3"/>
        <v/>
      </c>
      <c r="I5090" s="94" t="str">
        <f t="shared" ref="I5090:J5090" si="5091">if(G5090 = "", , -G5090)</f>
        <v/>
      </c>
      <c r="J5090" s="94" t="str">
        <f t="shared" si="5091"/>
        <v/>
      </c>
      <c r="K5090" s="100"/>
      <c r="M5090" s="100"/>
      <c r="N5090" s="100"/>
      <c r="O5090" s="100"/>
      <c r="P5090" s="100"/>
    </row>
    <row r="5091">
      <c r="A5091" s="114">
        <v>1629618.0</v>
      </c>
      <c r="B5091" s="113" t="s">
        <v>247</v>
      </c>
      <c r="C5091" s="113" t="s">
        <v>1233</v>
      </c>
      <c r="D5091" s="112" t="s">
        <v>177</v>
      </c>
      <c r="E5091" s="112">
        <v>805.0</v>
      </c>
      <c r="F5091" s="111" t="str">
        <f>DataPull!D5091</f>
        <v/>
      </c>
      <c r="G5091" s="94" t="str">
        <f t="shared" si="2"/>
        <v/>
      </c>
      <c r="H5091" s="94" t="str">
        <f t="shared" si="3"/>
        <v/>
      </c>
      <c r="I5091" s="94" t="str">
        <f t="shared" ref="I5091:J5091" si="5092">if(G5091 = "", , -G5091)</f>
        <v/>
      </c>
      <c r="J5091" s="94" t="str">
        <f t="shared" si="5092"/>
        <v/>
      </c>
      <c r="K5091" s="100"/>
      <c r="M5091" s="100"/>
      <c r="N5091" s="100"/>
      <c r="O5091" s="100"/>
      <c r="P5091" s="100"/>
    </row>
    <row r="5092">
      <c r="A5092" s="107">
        <v>1629619.0</v>
      </c>
      <c r="B5092" s="108" t="s">
        <v>215</v>
      </c>
      <c r="C5092" s="108" t="s">
        <v>1234</v>
      </c>
      <c r="D5092" s="112" t="s">
        <v>187</v>
      </c>
      <c r="E5092" s="112">
        <v>51.7</v>
      </c>
      <c r="F5092" s="111" t="str">
        <f>DataPull!D5092</f>
        <v/>
      </c>
      <c r="G5092" s="94" t="str">
        <f t="shared" si="2"/>
        <v/>
      </c>
      <c r="H5092" s="94" t="str">
        <f t="shared" si="3"/>
        <v/>
      </c>
      <c r="I5092" s="94" t="str">
        <f t="shared" ref="I5092:J5092" si="5093">if(G5092 = "", , -G5092)</f>
        <v/>
      </c>
      <c r="J5092" s="94" t="str">
        <f t="shared" si="5093"/>
        <v/>
      </c>
      <c r="K5092" s="100"/>
      <c r="M5092" s="100"/>
      <c r="N5092" s="100"/>
      <c r="O5092" s="100"/>
    </row>
    <row r="5093">
      <c r="A5093" s="107">
        <v>1629620.0</v>
      </c>
      <c r="B5093" s="108" t="s">
        <v>193</v>
      </c>
      <c r="C5093" s="108" t="s">
        <v>1235</v>
      </c>
      <c r="D5093" s="112"/>
      <c r="E5093" s="112">
        <v>48.6</v>
      </c>
      <c r="F5093" s="111" t="str">
        <f>DataPull!D5093</f>
        <v/>
      </c>
      <c r="G5093" s="94" t="str">
        <f t="shared" si="2"/>
        <v/>
      </c>
      <c r="H5093" s="94" t="str">
        <f t="shared" si="3"/>
        <v/>
      </c>
      <c r="I5093" s="94" t="str">
        <f t="shared" ref="I5093:J5093" si="5094">if(G5093 = "", , -G5093)</f>
        <v/>
      </c>
      <c r="J5093" s="94" t="str">
        <f t="shared" si="5094"/>
        <v/>
      </c>
      <c r="K5093" s="100"/>
      <c r="M5093" s="100"/>
      <c r="N5093" s="100"/>
      <c r="O5093" s="100"/>
      <c r="P5093" s="100"/>
    </row>
    <row r="5094">
      <c r="A5094" s="107">
        <v>1629620.0</v>
      </c>
      <c r="B5094" s="108" t="s">
        <v>243</v>
      </c>
      <c r="C5094" s="108" t="s">
        <v>1235</v>
      </c>
      <c r="D5094" s="112"/>
      <c r="E5094" s="112">
        <v>87.3</v>
      </c>
      <c r="F5094" s="111" t="str">
        <f>DataPull!D5094</f>
        <v/>
      </c>
      <c r="G5094" s="94" t="str">
        <f t="shared" si="2"/>
        <v/>
      </c>
      <c r="H5094" s="94" t="str">
        <f t="shared" si="3"/>
        <v/>
      </c>
      <c r="I5094" s="94" t="str">
        <f t="shared" ref="I5094:J5094" si="5095">if(G5094 = "", , -G5094)</f>
        <v/>
      </c>
      <c r="J5094" s="94" t="str">
        <f t="shared" si="5095"/>
        <v/>
      </c>
      <c r="K5094" s="100"/>
      <c r="N5094" s="100"/>
      <c r="O5094" s="100"/>
      <c r="P5094" s="100"/>
    </row>
    <row r="5095">
      <c r="A5095" s="107">
        <v>1629620.0</v>
      </c>
      <c r="B5095" s="108" t="s">
        <v>215</v>
      </c>
      <c r="C5095" s="108" t="s">
        <v>1235</v>
      </c>
      <c r="D5095" s="112"/>
      <c r="E5095" s="112">
        <v>302.5</v>
      </c>
      <c r="F5095" s="111" t="str">
        <f>DataPull!D5095</f>
        <v/>
      </c>
      <c r="G5095" s="94" t="str">
        <f t="shared" si="2"/>
        <v/>
      </c>
      <c r="H5095" s="94" t="str">
        <f t="shared" si="3"/>
        <v/>
      </c>
      <c r="I5095" s="94" t="str">
        <f t="shared" ref="I5095:J5095" si="5096">if(G5095 = "", , -G5095)</f>
        <v/>
      </c>
      <c r="J5095" s="94" t="str">
        <f t="shared" si="5096"/>
        <v/>
      </c>
      <c r="K5095" s="100"/>
      <c r="M5095" s="100"/>
      <c r="N5095" s="100"/>
      <c r="O5095" s="100"/>
      <c r="P5095" s="100"/>
    </row>
    <row r="5096">
      <c r="A5096" s="107">
        <v>1629621.0</v>
      </c>
      <c r="B5096" s="108" t="s">
        <v>193</v>
      </c>
      <c r="C5096" s="108" t="s">
        <v>1236</v>
      </c>
      <c r="D5096" s="112" t="s">
        <v>181</v>
      </c>
      <c r="E5096" s="112">
        <v>28.0</v>
      </c>
      <c r="F5096" s="111" t="str">
        <f>DataPull!D5096</f>
        <v/>
      </c>
      <c r="G5096" s="94" t="str">
        <f t="shared" si="2"/>
        <v/>
      </c>
      <c r="H5096" s="94" t="str">
        <f t="shared" si="3"/>
        <v/>
      </c>
      <c r="I5096" s="94" t="str">
        <f t="shared" ref="I5096:J5096" si="5097">if(G5096 = "", , -G5096)</f>
        <v/>
      </c>
      <c r="J5096" s="94" t="str">
        <f t="shared" si="5097"/>
        <v/>
      </c>
      <c r="K5096" s="100"/>
      <c r="L5096" s="100"/>
      <c r="N5096" s="100"/>
      <c r="O5096" s="100"/>
      <c r="P5096" s="100"/>
    </row>
    <row r="5097">
      <c r="A5097" s="107">
        <v>1629622.0</v>
      </c>
      <c r="B5097" s="108" t="s">
        <v>193</v>
      </c>
      <c r="C5097" s="108" t="s">
        <v>1237</v>
      </c>
      <c r="D5097" s="112" t="s">
        <v>181</v>
      </c>
      <c r="E5097" s="112">
        <v>6.2</v>
      </c>
      <c r="F5097" s="111" t="str">
        <f>DataPull!D5097</f>
        <v/>
      </c>
      <c r="G5097" s="94" t="str">
        <f t="shared" si="2"/>
        <v/>
      </c>
      <c r="H5097" s="94" t="str">
        <f t="shared" si="3"/>
        <v/>
      </c>
      <c r="I5097" s="94" t="str">
        <f t="shared" ref="I5097:J5097" si="5098">if(G5097 = "", , -G5097)</f>
        <v/>
      </c>
      <c r="J5097" s="94" t="str">
        <f t="shared" si="5098"/>
        <v/>
      </c>
      <c r="K5097" s="100"/>
      <c r="L5097" s="100"/>
      <c r="N5097" s="100"/>
      <c r="O5097" s="100"/>
      <c r="P5097" s="100"/>
    </row>
    <row r="5098">
      <c r="A5098" s="107">
        <v>1629622.0</v>
      </c>
      <c r="B5098" s="108" t="s">
        <v>243</v>
      </c>
      <c r="C5098" s="108" t="s">
        <v>1237</v>
      </c>
      <c r="D5098" s="112" t="s">
        <v>187</v>
      </c>
      <c r="E5098" s="112">
        <v>507.0</v>
      </c>
      <c r="F5098" s="111" t="str">
        <f>DataPull!D5098</f>
        <v/>
      </c>
      <c r="G5098" s="94" t="str">
        <f t="shared" si="2"/>
        <v/>
      </c>
      <c r="H5098" s="94" t="str">
        <f t="shared" si="3"/>
        <v/>
      </c>
      <c r="I5098" s="94" t="str">
        <f t="shared" ref="I5098:J5098" si="5099">if(G5098 = "", , -G5098)</f>
        <v/>
      </c>
      <c r="J5098" s="94" t="str">
        <f t="shared" si="5099"/>
        <v/>
      </c>
      <c r="K5098" s="100"/>
      <c r="M5098" s="100"/>
      <c r="N5098" s="100"/>
      <c r="O5098" s="100"/>
      <c r="P5098" s="100"/>
    </row>
    <row r="5099">
      <c r="A5099" s="107">
        <v>1629622.0</v>
      </c>
      <c r="B5099" s="108" t="s">
        <v>215</v>
      </c>
      <c r="C5099" s="108" t="s">
        <v>1237</v>
      </c>
      <c r="D5099" s="112" t="s">
        <v>176</v>
      </c>
      <c r="E5099" s="112">
        <v>1584.4</v>
      </c>
      <c r="F5099" s="111" t="str">
        <f>DataPull!D5099</f>
        <v/>
      </c>
      <c r="G5099" s="94" t="str">
        <f t="shared" si="2"/>
        <v/>
      </c>
      <c r="H5099" s="94" t="str">
        <f t="shared" si="3"/>
        <v/>
      </c>
      <c r="I5099" s="94" t="str">
        <f t="shared" ref="I5099:J5099" si="5100">if(G5099 = "", , -G5099)</f>
        <v/>
      </c>
      <c r="J5099" s="94" t="str">
        <f t="shared" si="5100"/>
        <v/>
      </c>
      <c r="K5099" s="100"/>
      <c r="M5099" s="100"/>
      <c r="N5099" s="100"/>
      <c r="O5099" s="100"/>
      <c r="P5099" s="100"/>
    </row>
    <row r="5100">
      <c r="A5100" s="107">
        <v>1629622.0</v>
      </c>
      <c r="B5100" s="108" t="s">
        <v>244</v>
      </c>
      <c r="C5100" s="108" t="s">
        <v>1237</v>
      </c>
      <c r="D5100" s="112" t="s">
        <v>176</v>
      </c>
      <c r="E5100" s="112">
        <v>2272.0</v>
      </c>
      <c r="F5100" s="111" t="str">
        <f>DataPull!D5100</f>
        <v/>
      </c>
      <c r="G5100" s="94" t="str">
        <f t="shared" si="2"/>
        <v/>
      </c>
      <c r="H5100" s="94" t="str">
        <f t="shared" si="3"/>
        <v/>
      </c>
      <c r="I5100" s="94" t="str">
        <f t="shared" ref="I5100:J5100" si="5101">if(G5100 = "", , -G5100)</f>
        <v/>
      </c>
      <c r="J5100" s="94" t="str">
        <f t="shared" si="5101"/>
        <v/>
      </c>
      <c r="K5100" s="100"/>
      <c r="M5100" s="100"/>
      <c r="N5100" s="100"/>
      <c r="O5100" s="100"/>
      <c r="P5100" s="100"/>
    </row>
    <row r="5101">
      <c r="A5101" s="107">
        <v>1629622.0</v>
      </c>
      <c r="B5101" s="108" t="s">
        <v>245</v>
      </c>
      <c r="C5101" s="108" t="s">
        <v>1237</v>
      </c>
      <c r="D5101" s="112" t="s">
        <v>178</v>
      </c>
      <c r="E5101" s="112">
        <v>2240.0</v>
      </c>
      <c r="F5101" s="111" t="str">
        <f>DataPull!D5101</f>
        <v/>
      </c>
      <c r="G5101" s="94" t="str">
        <f t="shared" si="2"/>
        <v/>
      </c>
      <c r="H5101" s="94" t="str">
        <f t="shared" si="3"/>
        <v/>
      </c>
      <c r="I5101" s="94" t="str">
        <f t="shared" ref="I5101:J5101" si="5102">if(G5101 = "", , -G5101)</f>
        <v/>
      </c>
      <c r="J5101" s="94" t="str">
        <f t="shared" si="5102"/>
        <v/>
      </c>
      <c r="K5101" s="100"/>
      <c r="M5101" s="100"/>
      <c r="N5101" s="100"/>
      <c r="O5101" s="100"/>
      <c r="P5101" s="100"/>
    </row>
    <row r="5102">
      <c r="A5102" s="107">
        <v>1629622.0</v>
      </c>
      <c r="B5102" s="108" t="s">
        <v>246</v>
      </c>
      <c r="C5102" s="108" t="s">
        <v>1237</v>
      </c>
      <c r="D5102" s="112" t="s">
        <v>178</v>
      </c>
      <c r="E5102" s="112">
        <v>1275.0</v>
      </c>
      <c r="F5102" s="111" t="str">
        <f>DataPull!D5102</f>
        <v/>
      </c>
      <c r="G5102" s="94" t="str">
        <f t="shared" si="2"/>
        <v/>
      </c>
      <c r="H5102" s="94" t="str">
        <f t="shared" si="3"/>
        <v/>
      </c>
      <c r="I5102" s="94" t="str">
        <f t="shared" ref="I5102:J5102" si="5103">if(G5102 = "", , -G5102)</f>
        <v/>
      </c>
      <c r="J5102" s="94" t="str">
        <f t="shared" si="5103"/>
        <v/>
      </c>
      <c r="K5102" s="100"/>
      <c r="M5102" s="100"/>
      <c r="N5102" s="100"/>
      <c r="O5102" s="100"/>
      <c r="P5102" s="100"/>
    </row>
    <row r="5103">
      <c r="A5103" s="89">
        <v>1629622.0</v>
      </c>
      <c r="B5103" s="113" t="s">
        <v>247</v>
      </c>
      <c r="C5103" s="113" t="s">
        <v>1237</v>
      </c>
      <c r="D5103" s="112"/>
      <c r="E5103" s="112">
        <v>288.0</v>
      </c>
      <c r="F5103" s="111" t="str">
        <f>DataPull!D5103</f>
        <v/>
      </c>
      <c r="G5103" s="94" t="str">
        <f t="shared" si="2"/>
        <v/>
      </c>
      <c r="H5103" s="94" t="str">
        <f t="shared" si="3"/>
        <v/>
      </c>
      <c r="I5103" s="94" t="str">
        <f t="shared" ref="I5103:J5103" si="5104">if(G5103 = "", , -G5103)</f>
        <v/>
      </c>
      <c r="J5103" s="94" t="str">
        <f t="shared" si="5104"/>
        <v/>
      </c>
      <c r="K5103" s="100"/>
      <c r="M5103" s="100"/>
      <c r="N5103" s="100"/>
      <c r="O5103" s="100"/>
      <c r="P5103" s="100"/>
    </row>
    <row r="5104">
      <c r="A5104" s="107">
        <v>1629623.0</v>
      </c>
      <c r="B5104" s="108" t="s">
        <v>215</v>
      </c>
      <c r="C5104" s="108" t="s">
        <v>1238</v>
      </c>
      <c r="D5104" s="112" t="s">
        <v>187</v>
      </c>
      <c r="E5104" s="112">
        <v>199.5</v>
      </c>
      <c r="F5104" s="111" t="str">
        <f>DataPull!D5104</f>
        <v/>
      </c>
      <c r="G5104" s="94" t="str">
        <f t="shared" si="2"/>
        <v/>
      </c>
      <c r="H5104" s="94" t="str">
        <f t="shared" si="3"/>
        <v/>
      </c>
      <c r="I5104" s="94" t="str">
        <f t="shared" ref="I5104:J5104" si="5105">if(G5104 = "", , -G5104)</f>
        <v/>
      </c>
      <c r="J5104" s="94" t="str">
        <f t="shared" si="5105"/>
        <v/>
      </c>
      <c r="K5104" s="100"/>
      <c r="M5104" s="100"/>
      <c r="N5104" s="100"/>
      <c r="O5104" s="100"/>
      <c r="P5104" s="100"/>
    </row>
    <row r="5105">
      <c r="A5105" s="107">
        <v>1629623.0</v>
      </c>
      <c r="B5105" s="108" t="s">
        <v>244</v>
      </c>
      <c r="C5105" s="108" t="s">
        <v>1238</v>
      </c>
      <c r="D5105" s="112" t="s">
        <v>181</v>
      </c>
      <c r="E5105" s="112">
        <v>86.8</v>
      </c>
      <c r="F5105" s="111" t="str">
        <f>DataPull!D5105</f>
        <v/>
      </c>
      <c r="G5105" s="94" t="str">
        <f t="shared" si="2"/>
        <v/>
      </c>
      <c r="H5105" s="94" t="str">
        <f t="shared" si="3"/>
        <v/>
      </c>
      <c r="I5105" s="94" t="str">
        <f t="shared" ref="I5105:J5105" si="5106">if(G5105 = "", , -G5105)</f>
        <v/>
      </c>
      <c r="J5105" s="94" t="str">
        <f t="shared" si="5106"/>
        <v/>
      </c>
      <c r="K5105" s="100"/>
      <c r="M5105" s="100"/>
      <c r="N5105" s="100"/>
      <c r="O5105" s="100"/>
      <c r="P5105" s="100"/>
    </row>
    <row r="5106">
      <c r="A5106" s="107">
        <v>1629623.0</v>
      </c>
      <c r="B5106" s="108" t="s">
        <v>245</v>
      </c>
      <c r="C5106" s="108" t="s">
        <v>1238</v>
      </c>
      <c r="D5106" s="112" t="s">
        <v>181</v>
      </c>
      <c r="E5106" s="112">
        <v>7.5</v>
      </c>
      <c r="F5106" s="111" t="str">
        <f>DataPull!D5106</f>
        <v/>
      </c>
      <c r="G5106" s="94" t="str">
        <f t="shared" si="2"/>
        <v/>
      </c>
      <c r="H5106" s="94" t="str">
        <f t="shared" si="3"/>
        <v/>
      </c>
      <c r="I5106" s="94" t="str">
        <f t="shared" ref="I5106:J5106" si="5107">if(G5106 = "", , -G5106)</f>
        <v/>
      </c>
      <c r="J5106" s="94" t="str">
        <f t="shared" si="5107"/>
        <v/>
      </c>
      <c r="K5106" s="100"/>
      <c r="M5106" s="100"/>
      <c r="N5106" s="100"/>
      <c r="O5106" s="100"/>
      <c r="P5106" s="100"/>
    </row>
    <row r="5107">
      <c r="A5107" s="107">
        <v>1629625.0</v>
      </c>
      <c r="B5107" s="108" t="s">
        <v>193</v>
      </c>
      <c r="C5107" s="108" t="s">
        <v>1239</v>
      </c>
      <c r="D5107" s="112" t="s">
        <v>181</v>
      </c>
      <c r="E5107" s="112">
        <v>45.2</v>
      </c>
      <c r="F5107" s="111" t="str">
        <f>DataPull!D5107</f>
        <v/>
      </c>
      <c r="G5107" s="94" t="str">
        <f t="shared" si="2"/>
        <v/>
      </c>
      <c r="H5107" s="94" t="str">
        <f t="shared" si="3"/>
        <v/>
      </c>
      <c r="I5107" s="94" t="str">
        <f t="shared" ref="I5107:J5107" si="5108">if(G5107 = "", , -G5107)</f>
        <v/>
      </c>
      <c r="J5107" s="94" t="str">
        <f t="shared" si="5108"/>
        <v/>
      </c>
      <c r="K5107" s="100"/>
      <c r="M5107" s="100"/>
      <c r="N5107" s="100"/>
      <c r="O5107" s="100"/>
      <c r="P5107" s="100"/>
    </row>
    <row r="5108">
      <c r="A5108" s="107">
        <v>1629626.0</v>
      </c>
      <c r="B5108" s="108" t="s">
        <v>193</v>
      </c>
      <c r="C5108" s="108" t="s">
        <v>1240</v>
      </c>
      <c r="D5108" s="112" t="s">
        <v>181</v>
      </c>
      <c r="E5108" s="112">
        <v>86.8</v>
      </c>
      <c r="F5108" s="111" t="str">
        <f>DataPull!D5108</f>
        <v/>
      </c>
      <c r="G5108" s="94" t="str">
        <f t="shared" si="2"/>
        <v/>
      </c>
      <c r="H5108" s="94" t="str">
        <f t="shared" si="3"/>
        <v/>
      </c>
      <c r="I5108" s="94" t="str">
        <f t="shared" ref="I5108:J5108" si="5109">if(G5108 = "", , -G5108)</f>
        <v/>
      </c>
      <c r="J5108" s="94" t="str">
        <f t="shared" si="5109"/>
        <v/>
      </c>
      <c r="K5108" s="100"/>
      <c r="L5108" s="100"/>
      <c r="M5108" s="100"/>
      <c r="N5108" s="100"/>
      <c r="O5108" s="100"/>
      <c r="P5108" s="100"/>
    </row>
    <row r="5109">
      <c r="A5109" s="107">
        <v>1629626.0</v>
      </c>
      <c r="B5109" s="108" t="s">
        <v>243</v>
      </c>
      <c r="C5109" s="108" t="s">
        <v>1240</v>
      </c>
      <c r="D5109" s="112" t="s">
        <v>187</v>
      </c>
      <c r="E5109" s="112">
        <v>160.0</v>
      </c>
      <c r="F5109" s="111" t="str">
        <f>DataPull!D5109</f>
        <v/>
      </c>
      <c r="G5109" s="94" t="str">
        <f t="shared" si="2"/>
        <v/>
      </c>
      <c r="H5109" s="94" t="str">
        <f t="shared" si="3"/>
        <v/>
      </c>
      <c r="I5109" s="94" t="str">
        <f t="shared" ref="I5109:J5109" si="5110">if(G5109 = "", , -G5109)</f>
        <v/>
      </c>
      <c r="J5109" s="94" t="str">
        <f t="shared" si="5110"/>
        <v/>
      </c>
      <c r="K5109" s="100"/>
      <c r="M5109" s="100"/>
      <c r="N5109" s="100"/>
      <c r="O5109" s="100"/>
      <c r="P5109" s="100"/>
    </row>
    <row r="5110">
      <c r="A5110" s="107">
        <v>1629626.0</v>
      </c>
      <c r="B5110" s="108" t="s">
        <v>215</v>
      </c>
      <c r="C5110" s="108" t="s">
        <v>1240</v>
      </c>
      <c r="D5110" s="112" t="s">
        <v>187</v>
      </c>
      <c r="E5110" s="112">
        <v>81.2</v>
      </c>
      <c r="F5110" s="111" t="str">
        <f>DataPull!D5110</f>
        <v/>
      </c>
      <c r="G5110" s="94" t="str">
        <f t="shared" si="2"/>
        <v/>
      </c>
      <c r="H5110" s="94" t="str">
        <f t="shared" si="3"/>
        <v/>
      </c>
      <c r="I5110" s="94" t="str">
        <f t="shared" ref="I5110:J5110" si="5111">if(G5110 = "", , -G5110)</f>
        <v/>
      </c>
      <c r="J5110" s="94" t="str">
        <f t="shared" si="5111"/>
        <v/>
      </c>
      <c r="K5110" s="100"/>
      <c r="M5110" s="100"/>
      <c r="N5110" s="100"/>
      <c r="O5110" s="100"/>
      <c r="P5110" s="100"/>
    </row>
    <row r="5111">
      <c r="A5111" s="107">
        <v>1629626.0</v>
      </c>
      <c r="B5111" s="108" t="s">
        <v>244</v>
      </c>
      <c r="C5111" s="108" t="s">
        <v>1240</v>
      </c>
      <c r="D5111" s="112" t="s">
        <v>176</v>
      </c>
      <c r="E5111" s="112">
        <v>1505.0</v>
      </c>
      <c r="F5111" s="111" t="str">
        <f>DataPull!D5111</f>
        <v/>
      </c>
      <c r="G5111" s="94" t="str">
        <f t="shared" si="2"/>
        <v/>
      </c>
      <c r="H5111" s="94" t="str">
        <f t="shared" si="3"/>
        <v/>
      </c>
      <c r="I5111" s="94" t="str">
        <f t="shared" ref="I5111:J5111" si="5112">if(G5111 = "", , -G5111)</f>
        <v/>
      </c>
      <c r="J5111" s="94" t="str">
        <f t="shared" si="5112"/>
        <v/>
      </c>
      <c r="K5111" s="100"/>
      <c r="M5111" s="100"/>
      <c r="N5111" s="100"/>
      <c r="O5111" s="100"/>
      <c r="P5111" s="100"/>
    </row>
    <row r="5112">
      <c r="A5112" s="107">
        <v>1629626.0</v>
      </c>
      <c r="B5112" s="108" t="s">
        <v>245</v>
      </c>
      <c r="C5112" s="108" t="s">
        <v>1240</v>
      </c>
      <c r="D5112" s="112" t="s">
        <v>177</v>
      </c>
      <c r="E5112" s="112">
        <v>468.7</v>
      </c>
      <c r="F5112" s="111" t="str">
        <f>DataPull!D5112</f>
        <v/>
      </c>
      <c r="G5112" s="94" t="str">
        <f t="shared" si="2"/>
        <v/>
      </c>
      <c r="H5112" s="94" t="str">
        <f t="shared" si="3"/>
        <v/>
      </c>
      <c r="I5112" s="94" t="str">
        <f t="shared" ref="I5112:J5112" si="5113">if(G5112 = "", , -G5112)</f>
        <v/>
      </c>
      <c r="J5112" s="94" t="str">
        <f t="shared" si="5113"/>
        <v/>
      </c>
      <c r="K5112" s="100"/>
      <c r="M5112" s="100"/>
      <c r="N5112" s="100"/>
      <c r="O5112" s="100"/>
      <c r="P5112" s="100"/>
    </row>
    <row r="5113">
      <c r="A5113" s="107">
        <v>1629626.0</v>
      </c>
      <c r="B5113" s="108" t="s">
        <v>246</v>
      </c>
      <c r="C5113" s="108" t="s">
        <v>1240</v>
      </c>
      <c r="D5113" s="112" t="s">
        <v>177</v>
      </c>
      <c r="E5113" s="112">
        <v>450.0</v>
      </c>
      <c r="F5113" s="111" t="str">
        <f>DataPull!D5113</f>
        <v/>
      </c>
      <c r="G5113" s="94" t="str">
        <f t="shared" si="2"/>
        <v/>
      </c>
      <c r="H5113" s="94" t="str">
        <f t="shared" si="3"/>
        <v/>
      </c>
      <c r="I5113" s="94" t="str">
        <f t="shared" ref="I5113:J5113" si="5114">if(G5113 = "", , -G5113)</f>
        <v/>
      </c>
      <c r="J5113" s="94" t="str">
        <f t="shared" si="5114"/>
        <v/>
      </c>
      <c r="K5113" s="100"/>
      <c r="M5113" s="100"/>
      <c r="N5113" s="100"/>
      <c r="O5113" s="100"/>
      <c r="P5113" s="100"/>
    </row>
    <row r="5114">
      <c r="A5114" s="107">
        <v>1629627.0</v>
      </c>
      <c r="B5114" s="108" t="s">
        <v>193</v>
      </c>
      <c r="C5114" s="108" t="s">
        <v>1241</v>
      </c>
      <c r="D5114" s="112" t="s">
        <v>178</v>
      </c>
      <c r="E5114" s="112">
        <v>667.2</v>
      </c>
      <c r="F5114" s="111" t="str">
        <f>DataPull!D5114</f>
        <v/>
      </c>
      <c r="G5114" s="94" t="str">
        <f t="shared" si="2"/>
        <v/>
      </c>
      <c r="H5114" s="94" t="str">
        <f t="shared" si="3"/>
        <v/>
      </c>
      <c r="I5114" s="94" t="str">
        <f t="shared" ref="I5114:J5114" si="5115">if(G5114 = "", , -G5114)</f>
        <v/>
      </c>
      <c r="J5114" s="94" t="str">
        <f t="shared" si="5115"/>
        <v/>
      </c>
      <c r="K5114" s="100"/>
      <c r="M5114" s="100"/>
      <c r="N5114" s="100"/>
      <c r="O5114" s="100"/>
      <c r="P5114" s="100"/>
    </row>
    <row r="5115">
      <c r="A5115" s="107">
        <v>1629627.0</v>
      </c>
      <c r="B5115" s="108" t="s">
        <v>243</v>
      </c>
      <c r="C5115" s="108" t="s">
        <v>1241</v>
      </c>
      <c r="D5115" s="112" t="s">
        <v>184</v>
      </c>
      <c r="E5115" s="112">
        <v>2025.2</v>
      </c>
      <c r="F5115" s="111" t="str">
        <f>DataPull!D5115</f>
        <v/>
      </c>
      <c r="G5115" s="94" t="str">
        <f t="shared" si="2"/>
        <v/>
      </c>
      <c r="H5115" s="94" t="str">
        <f t="shared" si="3"/>
        <v/>
      </c>
      <c r="I5115" s="94" t="str">
        <f t="shared" ref="I5115:J5115" si="5116">if(G5115 = "", , -G5115)</f>
        <v/>
      </c>
      <c r="J5115" s="94" t="str">
        <f t="shared" si="5116"/>
        <v/>
      </c>
      <c r="K5115" s="100"/>
      <c r="M5115" s="100"/>
      <c r="N5115" s="100"/>
      <c r="O5115" s="100"/>
      <c r="P5115" s="100"/>
    </row>
    <row r="5116">
      <c r="A5116" s="107">
        <v>1629627.0</v>
      </c>
      <c r="B5116" s="108" t="s">
        <v>244</v>
      </c>
      <c r="C5116" s="108" t="s">
        <v>1241</v>
      </c>
      <c r="D5116" s="112" t="s">
        <v>184</v>
      </c>
      <c r="E5116" s="112">
        <v>957.0</v>
      </c>
      <c r="F5116" s="111" t="str">
        <f>DataPull!D5116</f>
        <v/>
      </c>
      <c r="G5116" s="94" t="str">
        <f t="shared" si="2"/>
        <v/>
      </c>
      <c r="H5116" s="94" t="str">
        <f t="shared" si="3"/>
        <v/>
      </c>
      <c r="I5116" s="94" t="str">
        <f t="shared" ref="I5116:J5116" si="5117">if(G5116 = "", , -G5116)</f>
        <v/>
      </c>
      <c r="J5116" s="94" t="str">
        <f t="shared" si="5117"/>
        <v/>
      </c>
      <c r="K5116" s="100"/>
      <c r="L5116" s="100"/>
      <c r="M5116" s="100"/>
      <c r="N5116" s="100"/>
      <c r="O5116" s="100"/>
    </row>
    <row r="5117">
      <c r="A5117" s="107">
        <v>1629627.0</v>
      </c>
      <c r="B5117" s="108" t="s">
        <v>245</v>
      </c>
      <c r="C5117" s="108" t="s">
        <v>1241</v>
      </c>
      <c r="D5117" s="112" t="s">
        <v>184</v>
      </c>
      <c r="E5117" s="112">
        <v>2205.0</v>
      </c>
      <c r="F5117" s="111" t="str">
        <f>DataPull!D5117</f>
        <v/>
      </c>
      <c r="G5117" s="94" t="str">
        <f t="shared" si="2"/>
        <v/>
      </c>
      <c r="H5117" s="94" t="str">
        <f t="shared" si="3"/>
        <v/>
      </c>
      <c r="I5117" s="94" t="str">
        <f t="shared" ref="I5117:J5117" si="5118">if(G5117 = "", , -G5117)</f>
        <v/>
      </c>
      <c r="J5117" s="94" t="str">
        <f t="shared" si="5118"/>
        <v/>
      </c>
      <c r="K5117" s="100"/>
      <c r="M5117" s="100"/>
      <c r="N5117" s="100"/>
      <c r="O5117" s="100"/>
      <c r="P5117" s="100"/>
    </row>
    <row r="5118">
      <c r="A5118" s="107">
        <v>1629627.0</v>
      </c>
      <c r="B5118" s="108" t="s">
        <v>246</v>
      </c>
      <c r="C5118" s="108" t="s">
        <v>1241</v>
      </c>
      <c r="D5118" s="112" t="s">
        <v>176</v>
      </c>
      <c r="E5118" s="112">
        <v>858.0</v>
      </c>
      <c r="F5118" s="111" t="str">
        <f>DataPull!D5118</f>
        <v/>
      </c>
      <c r="G5118" s="94" t="str">
        <f t="shared" si="2"/>
        <v/>
      </c>
      <c r="H5118" s="94" t="str">
        <f t="shared" si="3"/>
        <v/>
      </c>
      <c r="I5118" s="94" t="str">
        <f t="shared" ref="I5118:J5118" si="5119">if(G5118 = "", , -G5118)</f>
        <v/>
      </c>
      <c r="J5118" s="94" t="str">
        <f t="shared" si="5119"/>
        <v/>
      </c>
      <c r="K5118" s="100"/>
      <c r="M5118" s="100"/>
      <c r="N5118" s="100"/>
      <c r="O5118" s="100"/>
      <c r="P5118" s="100"/>
    </row>
    <row r="5119">
      <c r="A5119" s="114">
        <v>1629627.0</v>
      </c>
      <c r="B5119" s="113" t="s">
        <v>247</v>
      </c>
      <c r="C5119" s="113" t="s">
        <v>1241</v>
      </c>
      <c r="D5119" s="112" t="s">
        <v>184</v>
      </c>
      <c r="E5119" s="112">
        <v>1841.4</v>
      </c>
      <c r="F5119" s="111" t="str">
        <f>DataPull!D5119</f>
        <v/>
      </c>
      <c r="G5119" s="94" t="str">
        <f t="shared" si="2"/>
        <v/>
      </c>
      <c r="H5119" s="94" t="str">
        <f t="shared" si="3"/>
        <v/>
      </c>
      <c r="I5119" s="94" t="str">
        <f t="shared" ref="I5119:J5119" si="5120">if(G5119 = "", , -G5119)</f>
        <v/>
      </c>
      <c r="J5119" s="94" t="str">
        <f t="shared" si="5120"/>
        <v/>
      </c>
      <c r="K5119" s="100"/>
      <c r="M5119" s="100"/>
      <c r="N5119" s="100"/>
      <c r="O5119" s="100"/>
      <c r="P5119" s="100"/>
    </row>
    <row r="5120">
      <c r="A5120" s="107">
        <v>1629628.0</v>
      </c>
      <c r="B5120" s="108" t="s">
        <v>193</v>
      </c>
      <c r="C5120" s="108" t="s">
        <v>1242</v>
      </c>
      <c r="D5120" s="112" t="s">
        <v>178</v>
      </c>
      <c r="E5120" s="112">
        <v>1702.4</v>
      </c>
      <c r="F5120" s="111" t="str">
        <f>DataPull!D5120</f>
        <v/>
      </c>
      <c r="G5120" s="94" t="str">
        <f t="shared" si="2"/>
        <v/>
      </c>
      <c r="H5120" s="94" t="str">
        <f t="shared" si="3"/>
        <v/>
      </c>
      <c r="I5120" s="94" t="str">
        <f t="shared" ref="I5120:J5120" si="5121">if(G5120 = "", , -G5120)</f>
        <v/>
      </c>
      <c r="J5120" s="94" t="str">
        <f t="shared" si="5121"/>
        <v/>
      </c>
      <c r="K5120" s="100"/>
      <c r="M5120" s="100"/>
      <c r="N5120" s="100"/>
      <c r="O5120" s="100"/>
      <c r="P5120" s="100"/>
    </row>
    <row r="5121">
      <c r="A5121" s="107">
        <v>1629628.0</v>
      </c>
      <c r="B5121" s="108" t="s">
        <v>243</v>
      </c>
      <c r="C5121" s="108" t="s">
        <v>1242</v>
      </c>
      <c r="D5121" s="112" t="s">
        <v>178</v>
      </c>
      <c r="E5121" s="112">
        <v>2512.8</v>
      </c>
      <c r="F5121" s="111" t="str">
        <f>DataPull!D5121</f>
        <v/>
      </c>
      <c r="G5121" s="94" t="str">
        <f t="shared" si="2"/>
        <v/>
      </c>
      <c r="H5121" s="94" t="str">
        <f t="shared" si="3"/>
        <v/>
      </c>
      <c r="I5121" s="94" t="str">
        <f t="shared" ref="I5121:J5121" si="5122">if(G5121 = "", , -G5121)</f>
        <v/>
      </c>
      <c r="J5121" s="94" t="str">
        <f t="shared" si="5122"/>
        <v/>
      </c>
      <c r="K5121" s="100"/>
      <c r="M5121" s="100"/>
      <c r="N5121" s="100"/>
      <c r="O5121" s="100"/>
      <c r="P5121" s="100"/>
    </row>
    <row r="5122">
      <c r="A5122" s="107">
        <v>1629628.0</v>
      </c>
      <c r="B5122" s="108" t="s">
        <v>215</v>
      </c>
      <c r="C5122" s="108" t="s">
        <v>1242</v>
      </c>
      <c r="D5122" s="112" t="s">
        <v>178</v>
      </c>
      <c r="E5122" s="112">
        <v>2415.0</v>
      </c>
      <c r="F5122" s="111" t="str">
        <f>DataPull!D5122</f>
        <v/>
      </c>
      <c r="G5122" s="94" t="str">
        <f t="shared" si="2"/>
        <v/>
      </c>
      <c r="H5122" s="94" t="str">
        <f t="shared" si="3"/>
        <v/>
      </c>
      <c r="I5122" s="94" t="str">
        <f t="shared" ref="I5122:J5122" si="5123">if(G5122 = "", , -G5122)</f>
        <v/>
      </c>
      <c r="J5122" s="94" t="str">
        <f t="shared" si="5123"/>
        <v/>
      </c>
      <c r="K5122" s="100"/>
      <c r="M5122" s="100"/>
      <c r="N5122" s="100"/>
      <c r="O5122" s="100"/>
      <c r="P5122" s="100"/>
    </row>
    <row r="5123">
      <c r="A5123" s="107">
        <v>1629628.0</v>
      </c>
      <c r="B5123" s="108" t="s">
        <v>244</v>
      </c>
      <c r="C5123" s="108" t="s">
        <v>1242</v>
      </c>
      <c r="D5123" s="112" t="s">
        <v>178</v>
      </c>
      <c r="E5123" s="112">
        <v>2474.7</v>
      </c>
      <c r="F5123" s="111" t="str">
        <f>DataPull!D5123</f>
        <v/>
      </c>
      <c r="G5123" s="94" t="str">
        <f t="shared" si="2"/>
        <v/>
      </c>
      <c r="H5123" s="94" t="str">
        <f t="shared" si="3"/>
        <v/>
      </c>
      <c r="I5123" s="94" t="str">
        <f t="shared" ref="I5123:J5123" si="5124">if(G5123 = "", , -G5123)</f>
        <v/>
      </c>
      <c r="J5123" s="94" t="str">
        <f t="shared" si="5124"/>
        <v/>
      </c>
      <c r="K5123" s="100"/>
      <c r="L5123" s="100"/>
      <c r="N5123" s="100"/>
      <c r="O5123" s="100"/>
      <c r="P5123" s="100"/>
    </row>
    <row r="5124">
      <c r="A5124" s="107">
        <v>1629628.0</v>
      </c>
      <c r="B5124" s="108" t="s">
        <v>245</v>
      </c>
      <c r="C5124" s="108" t="s">
        <v>1242</v>
      </c>
      <c r="D5124" s="112" t="s">
        <v>178</v>
      </c>
      <c r="E5124" s="112">
        <v>1838.6</v>
      </c>
      <c r="F5124" s="111" t="str">
        <f>DataPull!D5124</f>
        <v/>
      </c>
      <c r="G5124" s="94" t="str">
        <f t="shared" si="2"/>
        <v/>
      </c>
      <c r="H5124" s="94" t="str">
        <f t="shared" si="3"/>
        <v/>
      </c>
      <c r="I5124" s="94" t="str">
        <f t="shared" ref="I5124:J5124" si="5125">if(G5124 = "", , -G5124)</f>
        <v/>
      </c>
      <c r="J5124" s="94" t="str">
        <f t="shared" si="5125"/>
        <v/>
      </c>
      <c r="K5124" s="100"/>
      <c r="M5124" s="100"/>
      <c r="N5124" s="100"/>
      <c r="O5124" s="100"/>
      <c r="P5124" s="100"/>
    </row>
    <row r="5125">
      <c r="A5125" s="107">
        <v>1629628.0</v>
      </c>
      <c r="B5125" s="108" t="s">
        <v>246</v>
      </c>
      <c r="C5125" s="108" t="s">
        <v>1242</v>
      </c>
      <c r="D5125" s="112" t="s">
        <v>178</v>
      </c>
      <c r="E5125" s="112">
        <v>1867.6</v>
      </c>
      <c r="F5125" s="111" t="str">
        <f>DataPull!D5125</f>
        <v/>
      </c>
      <c r="G5125" s="94" t="str">
        <f t="shared" si="2"/>
        <v/>
      </c>
      <c r="H5125" s="94" t="str">
        <f t="shared" si="3"/>
        <v/>
      </c>
      <c r="I5125" s="94" t="str">
        <f t="shared" ref="I5125:J5125" si="5126">if(G5125 = "", , -G5125)</f>
        <v/>
      </c>
      <c r="J5125" s="94" t="str">
        <f t="shared" si="5126"/>
        <v/>
      </c>
      <c r="K5125" s="100"/>
      <c r="M5125" s="100"/>
      <c r="N5125" s="100"/>
      <c r="O5125" s="100"/>
      <c r="P5125" s="100"/>
    </row>
    <row r="5126">
      <c r="A5126" s="114">
        <v>1629628.0</v>
      </c>
      <c r="B5126" s="113" t="s">
        <v>247</v>
      </c>
      <c r="C5126" s="113" t="s">
        <v>1242</v>
      </c>
      <c r="D5126" s="112" t="s">
        <v>178</v>
      </c>
      <c r="E5126" s="112">
        <v>1727.1</v>
      </c>
      <c r="F5126" s="111" t="str">
        <f>DataPull!D5126</f>
        <v/>
      </c>
      <c r="G5126" s="94" t="str">
        <f t="shared" si="2"/>
        <v/>
      </c>
      <c r="H5126" s="94" t="str">
        <f t="shared" si="3"/>
        <v/>
      </c>
      <c r="I5126" s="94" t="str">
        <f t="shared" ref="I5126:J5126" si="5127">if(G5126 = "", , -G5126)</f>
        <v/>
      </c>
      <c r="J5126" s="94" t="str">
        <f t="shared" si="5127"/>
        <v/>
      </c>
      <c r="K5126" s="100"/>
      <c r="M5126" s="100"/>
      <c r="N5126" s="100"/>
      <c r="O5126" s="100"/>
      <c r="P5126" s="100"/>
    </row>
    <row r="5127">
      <c r="A5127" s="107">
        <v>1629629.0</v>
      </c>
      <c r="B5127" s="108" t="s">
        <v>193</v>
      </c>
      <c r="C5127" s="108" t="s">
        <v>1243</v>
      </c>
      <c r="D5127" s="112" t="s">
        <v>178</v>
      </c>
      <c r="E5127" s="112">
        <v>1548.6</v>
      </c>
      <c r="F5127" s="111" t="str">
        <f>DataPull!D5127</f>
        <v/>
      </c>
      <c r="G5127" s="94" t="str">
        <f t="shared" si="2"/>
        <v/>
      </c>
      <c r="H5127" s="94" t="str">
        <f t="shared" si="3"/>
        <v/>
      </c>
      <c r="I5127" s="94" t="str">
        <f t="shared" ref="I5127:J5127" si="5128">if(G5127 = "", , -G5127)</f>
        <v/>
      </c>
      <c r="J5127" s="94" t="str">
        <f t="shared" si="5128"/>
        <v/>
      </c>
      <c r="K5127" s="100"/>
      <c r="M5127" s="100"/>
      <c r="N5127" s="100"/>
      <c r="O5127" s="100"/>
      <c r="P5127" s="100"/>
    </row>
    <row r="5128">
      <c r="A5128" s="107">
        <v>1629629.0</v>
      </c>
      <c r="B5128" s="108" t="s">
        <v>243</v>
      </c>
      <c r="C5128" s="108" t="s">
        <v>1243</v>
      </c>
      <c r="D5128" s="112" t="s">
        <v>176</v>
      </c>
      <c r="E5128" s="112">
        <v>751.4</v>
      </c>
      <c r="F5128" s="111" t="str">
        <f>DataPull!D5128</f>
        <v/>
      </c>
      <c r="G5128" s="94" t="str">
        <f t="shared" si="2"/>
        <v/>
      </c>
      <c r="H5128" s="94" t="str">
        <f t="shared" si="3"/>
        <v/>
      </c>
      <c r="I5128" s="94" t="str">
        <f t="shared" ref="I5128:J5128" si="5129">if(G5128 = "", , -G5128)</f>
        <v/>
      </c>
      <c r="J5128" s="94" t="str">
        <f t="shared" si="5129"/>
        <v/>
      </c>
      <c r="K5128" s="100"/>
      <c r="M5128" s="100"/>
      <c r="N5128" s="100"/>
      <c r="O5128" s="100"/>
      <c r="P5128" s="100"/>
    </row>
    <row r="5129">
      <c r="A5129" s="107">
        <v>1629629.0</v>
      </c>
      <c r="B5129" s="108" t="s">
        <v>215</v>
      </c>
      <c r="C5129" s="108" t="s">
        <v>1243</v>
      </c>
      <c r="D5129" s="112" t="s">
        <v>176</v>
      </c>
      <c r="E5129" s="112">
        <v>1014.3</v>
      </c>
      <c r="F5129" s="111" t="str">
        <f>DataPull!D5129</f>
        <v/>
      </c>
      <c r="G5129" s="94" t="str">
        <f t="shared" si="2"/>
        <v/>
      </c>
      <c r="H5129" s="94" t="str">
        <f t="shared" si="3"/>
        <v/>
      </c>
      <c r="I5129" s="94" t="str">
        <f t="shared" ref="I5129:J5129" si="5130">if(G5129 = "", , -G5129)</f>
        <v/>
      </c>
      <c r="J5129" s="94" t="str">
        <f t="shared" si="5130"/>
        <v/>
      </c>
      <c r="K5129" s="100"/>
      <c r="M5129" s="100"/>
      <c r="N5129" s="100"/>
      <c r="O5129" s="100"/>
      <c r="P5129" s="100"/>
    </row>
    <row r="5130">
      <c r="A5130" s="107">
        <v>1629629.0</v>
      </c>
      <c r="B5130" s="108" t="s">
        <v>244</v>
      </c>
      <c r="C5130" s="108" t="s">
        <v>1243</v>
      </c>
      <c r="D5130" s="112" t="s">
        <v>176</v>
      </c>
      <c r="E5130" s="112">
        <v>988.0</v>
      </c>
      <c r="F5130" s="111" t="str">
        <f>DataPull!D5130</f>
        <v/>
      </c>
      <c r="G5130" s="94" t="str">
        <f t="shared" si="2"/>
        <v/>
      </c>
      <c r="H5130" s="94" t="str">
        <f t="shared" si="3"/>
        <v/>
      </c>
      <c r="I5130" s="94" t="str">
        <f t="shared" ref="I5130:J5130" si="5131">if(G5130 = "", , -G5130)</f>
        <v/>
      </c>
      <c r="J5130" s="94" t="str">
        <f t="shared" si="5131"/>
        <v/>
      </c>
      <c r="K5130" s="100"/>
      <c r="M5130" s="100"/>
      <c r="N5130" s="100"/>
      <c r="O5130" s="100"/>
      <c r="P5130" s="100"/>
    </row>
    <row r="5131">
      <c r="A5131" s="107">
        <v>1629629.0</v>
      </c>
      <c r="B5131" s="108" t="s">
        <v>245</v>
      </c>
      <c r="C5131" s="108" t="s">
        <v>1243</v>
      </c>
      <c r="D5131" s="112" t="s">
        <v>177</v>
      </c>
      <c r="E5131" s="112">
        <v>984.0</v>
      </c>
      <c r="F5131" s="111" t="str">
        <f>DataPull!D5131</f>
        <v/>
      </c>
      <c r="G5131" s="94" t="str">
        <f t="shared" si="2"/>
        <v/>
      </c>
      <c r="H5131" s="94" t="str">
        <f t="shared" si="3"/>
        <v/>
      </c>
      <c r="I5131" s="94" t="str">
        <f t="shared" ref="I5131:J5131" si="5132">if(G5131 = "", , -G5131)</f>
        <v/>
      </c>
      <c r="J5131" s="94" t="str">
        <f t="shared" si="5132"/>
        <v/>
      </c>
      <c r="K5131" s="100"/>
      <c r="M5131" s="100"/>
      <c r="N5131" s="100"/>
      <c r="O5131" s="100"/>
      <c r="P5131" s="100"/>
    </row>
    <row r="5132">
      <c r="A5132" s="107">
        <v>1629629.0</v>
      </c>
      <c r="B5132" s="108" t="s">
        <v>246</v>
      </c>
      <c r="C5132" s="108" t="s">
        <v>1243</v>
      </c>
      <c r="D5132" s="112" t="s">
        <v>177</v>
      </c>
      <c r="E5132" s="112">
        <v>590.7</v>
      </c>
      <c r="F5132" s="111" t="str">
        <f>DataPull!D5132</f>
        <v/>
      </c>
      <c r="G5132" s="94" t="str">
        <f t="shared" si="2"/>
        <v/>
      </c>
      <c r="H5132" s="94" t="str">
        <f t="shared" si="3"/>
        <v/>
      </c>
      <c r="I5132" s="94" t="str">
        <f t="shared" ref="I5132:J5132" si="5133">if(G5132 = "", , -G5132)</f>
        <v/>
      </c>
      <c r="J5132" s="94" t="str">
        <f t="shared" si="5133"/>
        <v/>
      </c>
      <c r="K5132" s="100"/>
      <c r="M5132" s="100"/>
      <c r="N5132" s="100"/>
      <c r="O5132" s="100"/>
      <c r="P5132" s="100"/>
    </row>
    <row r="5133">
      <c r="A5133" s="107">
        <v>1629630.0</v>
      </c>
      <c r="B5133" s="108" t="s">
        <v>193</v>
      </c>
      <c r="C5133" s="108" t="s">
        <v>1244</v>
      </c>
      <c r="D5133" s="112" t="s">
        <v>178</v>
      </c>
      <c r="E5133" s="112">
        <v>2077.0</v>
      </c>
      <c r="F5133" s="111" t="str">
        <f>DataPull!D5133</f>
        <v/>
      </c>
      <c r="G5133" s="94" t="str">
        <f t="shared" si="2"/>
        <v/>
      </c>
      <c r="H5133" s="94" t="str">
        <f t="shared" si="3"/>
        <v/>
      </c>
      <c r="I5133" s="94" t="str">
        <f t="shared" ref="I5133:J5133" si="5134">if(G5133 = "", , -G5133)</f>
        <v/>
      </c>
      <c r="J5133" s="94" t="str">
        <f t="shared" si="5134"/>
        <v/>
      </c>
      <c r="K5133" s="100"/>
      <c r="L5133" s="100"/>
      <c r="N5133" s="100"/>
      <c r="O5133" s="100"/>
      <c r="P5133" s="100"/>
    </row>
    <row r="5134">
      <c r="A5134" s="107">
        <v>1629630.0</v>
      </c>
      <c r="B5134" s="108" t="s">
        <v>243</v>
      </c>
      <c r="C5134" s="108" t="s">
        <v>1244</v>
      </c>
      <c r="D5134" s="112" t="s">
        <v>184</v>
      </c>
      <c r="E5134" s="112">
        <v>2053.8</v>
      </c>
      <c r="F5134" s="111" t="str">
        <f>DataPull!D5134</f>
        <v/>
      </c>
      <c r="G5134" s="94" t="str">
        <f t="shared" si="2"/>
        <v/>
      </c>
      <c r="H5134" s="94" t="str">
        <f t="shared" si="3"/>
        <v/>
      </c>
      <c r="I5134" s="94" t="str">
        <f t="shared" ref="I5134:J5134" si="5135">if(G5134 = "", , -G5134)</f>
        <v/>
      </c>
      <c r="J5134" s="94" t="str">
        <f t="shared" si="5135"/>
        <v/>
      </c>
      <c r="K5134" s="100"/>
      <c r="L5134" s="100"/>
      <c r="M5134" s="100"/>
      <c r="N5134" s="100"/>
      <c r="O5134" s="100"/>
      <c r="P5134" s="100"/>
    </row>
    <row r="5135">
      <c r="A5135" s="107">
        <v>1629630.0</v>
      </c>
      <c r="B5135" s="108" t="s">
        <v>215</v>
      </c>
      <c r="C5135" s="108" t="s">
        <v>1244</v>
      </c>
      <c r="D5135" s="112" t="s">
        <v>184</v>
      </c>
      <c r="E5135" s="112">
        <v>1886.7</v>
      </c>
      <c r="F5135" s="111" t="str">
        <f>DataPull!D5135</f>
        <v/>
      </c>
      <c r="G5135" s="94" t="str">
        <f t="shared" si="2"/>
        <v/>
      </c>
      <c r="H5135" s="94" t="str">
        <f t="shared" si="3"/>
        <v/>
      </c>
      <c r="I5135" s="94" t="str">
        <f t="shared" ref="I5135:J5135" si="5136">if(G5135 = "", , -G5135)</f>
        <v/>
      </c>
      <c r="J5135" s="94" t="str">
        <f t="shared" si="5136"/>
        <v/>
      </c>
      <c r="K5135" s="100"/>
      <c r="L5135" s="100"/>
      <c r="N5135" s="100"/>
      <c r="O5135" s="100"/>
      <c r="P5135" s="100"/>
    </row>
    <row r="5136">
      <c r="A5136" s="107">
        <v>1629630.0</v>
      </c>
      <c r="B5136" s="108" t="s">
        <v>244</v>
      </c>
      <c r="C5136" s="108" t="s">
        <v>1244</v>
      </c>
      <c r="D5136" s="112" t="s">
        <v>184</v>
      </c>
      <c r="E5136" s="112">
        <v>1945.9</v>
      </c>
      <c r="F5136" s="111" t="str">
        <f>DataPull!D5136</f>
        <v/>
      </c>
      <c r="G5136" s="94" t="str">
        <f t="shared" si="2"/>
        <v/>
      </c>
      <c r="H5136" s="94" t="str">
        <f t="shared" si="3"/>
        <v/>
      </c>
      <c r="I5136" s="94" t="str">
        <f t="shared" ref="I5136:J5136" si="5137">if(G5136 = "", , -G5136)</f>
        <v/>
      </c>
      <c r="J5136" s="94" t="str">
        <f t="shared" si="5137"/>
        <v/>
      </c>
      <c r="K5136" s="100"/>
      <c r="M5136" s="100"/>
      <c r="N5136" s="100"/>
      <c r="O5136" s="100"/>
      <c r="P5136" s="100"/>
    </row>
    <row r="5137">
      <c r="A5137" s="107">
        <v>1629630.0</v>
      </c>
      <c r="B5137" s="108" t="s">
        <v>245</v>
      </c>
      <c r="C5137" s="108" t="s">
        <v>1244</v>
      </c>
      <c r="D5137" s="112" t="s">
        <v>184</v>
      </c>
      <c r="E5137" s="112">
        <v>317.7</v>
      </c>
      <c r="F5137" s="111" t="str">
        <f>DataPull!D5137</f>
        <v/>
      </c>
      <c r="G5137" s="94" t="str">
        <f t="shared" si="2"/>
        <v/>
      </c>
      <c r="H5137" s="94" t="str">
        <f t="shared" si="3"/>
        <v/>
      </c>
      <c r="I5137" s="94" t="str">
        <f t="shared" ref="I5137:J5137" si="5138">if(G5137 = "", , -G5137)</f>
        <v/>
      </c>
      <c r="J5137" s="94" t="str">
        <f t="shared" si="5138"/>
        <v/>
      </c>
      <c r="K5137" s="100"/>
      <c r="L5137" s="100"/>
      <c r="N5137" s="100"/>
      <c r="O5137" s="100"/>
      <c r="P5137" s="100"/>
    </row>
    <row r="5138">
      <c r="A5138" s="107">
        <v>1629630.0</v>
      </c>
      <c r="B5138" s="108" t="s">
        <v>246</v>
      </c>
      <c r="C5138" s="108" t="s">
        <v>1244</v>
      </c>
      <c r="D5138" s="112" t="s">
        <v>184</v>
      </c>
      <c r="E5138" s="112">
        <v>1520.0</v>
      </c>
      <c r="F5138" s="111" t="str">
        <f>DataPull!D5138</f>
        <v/>
      </c>
      <c r="G5138" s="94" t="str">
        <f t="shared" si="2"/>
        <v/>
      </c>
      <c r="H5138" s="94" t="str">
        <f t="shared" si="3"/>
        <v/>
      </c>
      <c r="I5138" s="94" t="str">
        <f t="shared" ref="I5138:J5138" si="5139">if(G5138 = "", , -G5138)</f>
        <v/>
      </c>
      <c r="J5138" s="94" t="str">
        <f t="shared" si="5139"/>
        <v/>
      </c>
      <c r="K5138" s="100"/>
      <c r="M5138" s="100"/>
      <c r="N5138" s="100"/>
      <c r="O5138" s="100"/>
      <c r="P5138" s="100"/>
    </row>
    <row r="5139">
      <c r="A5139" s="114">
        <v>1629630.0</v>
      </c>
      <c r="B5139" s="113" t="s">
        <v>247</v>
      </c>
      <c r="C5139" s="113" t="s">
        <v>1244</v>
      </c>
      <c r="D5139" s="112" t="s">
        <v>184</v>
      </c>
      <c r="E5139" s="112">
        <v>568.0</v>
      </c>
      <c r="F5139" s="111" t="str">
        <f>DataPull!D5139</f>
        <v/>
      </c>
      <c r="G5139" s="94" t="str">
        <f t="shared" si="2"/>
        <v/>
      </c>
      <c r="H5139" s="94" t="str">
        <f t="shared" si="3"/>
        <v/>
      </c>
      <c r="I5139" s="94" t="str">
        <f t="shared" ref="I5139:J5139" si="5140">if(G5139 = "", , -G5139)</f>
        <v/>
      </c>
      <c r="J5139" s="94" t="str">
        <f t="shared" si="5140"/>
        <v/>
      </c>
      <c r="K5139" s="100"/>
      <c r="L5139" s="100"/>
      <c r="N5139" s="100"/>
      <c r="O5139" s="100"/>
      <c r="P5139" s="100"/>
    </row>
    <row r="5140">
      <c r="A5140" s="107">
        <v>1629631.0</v>
      </c>
      <c r="B5140" s="108" t="s">
        <v>193</v>
      </c>
      <c r="C5140" s="108" t="s">
        <v>1245</v>
      </c>
      <c r="D5140" s="112" t="s">
        <v>178</v>
      </c>
      <c r="E5140" s="112">
        <v>2016.0</v>
      </c>
      <c r="F5140" s="111" t="str">
        <f>DataPull!D5140</f>
        <v/>
      </c>
      <c r="G5140" s="94" t="str">
        <f t="shared" si="2"/>
        <v/>
      </c>
      <c r="H5140" s="94" t="str">
        <f t="shared" si="3"/>
        <v/>
      </c>
      <c r="I5140" s="94" t="str">
        <f t="shared" ref="I5140:J5140" si="5141">if(G5140 = "", , -G5140)</f>
        <v/>
      </c>
      <c r="J5140" s="94" t="str">
        <f t="shared" si="5141"/>
        <v/>
      </c>
      <c r="K5140" s="100"/>
      <c r="M5140" s="100"/>
      <c r="N5140" s="100"/>
      <c r="O5140" s="100"/>
      <c r="P5140" s="100"/>
    </row>
    <row r="5141">
      <c r="A5141" s="107">
        <v>1629631.0</v>
      </c>
      <c r="B5141" s="108" t="s">
        <v>243</v>
      </c>
      <c r="C5141" s="108" t="s">
        <v>1245</v>
      </c>
      <c r="D5141" s="112" t="s">
        <v>178</v>
      </c>
      <c r="E5141" s="112">
        <v>678.5</v>
      </c>
      <c r="F5141" s="111" t="str">
        <f>DataPull!D5141</f>
        <v/>
      </c>
      <c r="G5141" s="94" t="str">
        <f t="shared" si="2"/>
        <v/>
      </c>
      <c r="H5141" s="94" t="str">
        <f t="shared" si="3"/>
        <v/>
      </c>
      <c r="I5141" s="94" t="str">
        <f t="shared" ref="I5141:J5141" si="5142">if(G5141 = "", , -G5141)</f>
        <v/>
      </c>
      <c r="J5141" s="94" t="str">
        <f t="shared" si="5142"/>
        <v/>
      </c>
      <c r="K5141" s="100"/>
      <c r="M5141" s="100"/>
      <c r="N5141" s="100"/>
      <c r="O5141" s="100"/>
      <c r="P5141" s="100"/>
    </row>
    <row r="5142">
      <c r="A5142" s="107">
        <v>1629631.0</v>
      </c>
      <c r="B5142" s="108" t="s">
        <v>215</v>
      </c>
      <c r="C5142" s="108" t="s">
        <v>1245</v>
      </c>
      <c r="D5142" s="112" t="s">
        <v>178</v>
      </c>
      <c r="E5142" s="112">
        <v>1579.4</v>
      </c>
      <c r="F5142" s="111" t="str">
        <f>DataPull!D5142</f>
        <v/>
      </c>
      <c r="G5142" s="94" t="str">
        <f t="shared" si="2"/>
        <v/>
      </c>
      <c r="H5142" s="94" t="str">
        <f t="shared" si="3"/>
        <v/>
      </c>
      <c r="I5142" s="94" t="str">
        <f t="shared" ref="I5142:J5142" si="5143">if(G5142 = "", , -G5142)</f>
        <v/>
      </c>
      <c r="J5142" s="94" t="str">
        <f t="shared" si="5143"/>
        <v/>
      </c>
      <c r="K5142" s="100"/>
      <c r="M5142" s="100"/>
      <c r="N5142" s="100"/>
      <c r="O5142" s="100"/>
      <c r="P5142" s="100"/>
    </row>
    <row r="5143">
      <c r="A5143" s="107">
        <v>1629631.0</v>
      </c>
      <c r="B5143" s="108" t="s">
        <v>244</v>
      </c>
      <c r="C5143" s="108" t="s">
        <v>1245</v>
      </c>
      <c r="D5143" s="112" t="s">
        <v>178</v>
      </c>
      <c r="E5143" s="112">
        <v>2123.9</v>
      </c>
      <c r="F5143" s="111" t="str">
        <f>DataPull!D5143</f>
        <v/>
      </c>
      <c r="G5143" s="94" t="str">
        <f t="shared" si="2"/>
        <v/>
      </c>
      <c r="H5143" s="94" t="str">
        <f t="shared" si="3"/>
        <v/>
      </c>
      <c r="I5143" s="94" t="str">
        <f t="shared" ref="I5143:J5143" si="5144">if(G5143 = "", , -G5143)</f>
        <v/>
      </c>
      <c r="J5143" s="94" t="str">
        <f t="shared" si="5144"/>
        <v/>
      </c>
      <c r="K5143" s="100"/>
      <c r="M5143" s="100"/>
      <c r="N5143" s="100"/>
      <c r="O5143" s="100"/>
      <c r="P5143" s="100"/>
    </row>
    <row r="5144">
      <c r="A5144" s="107">
        <v>1629631.0</v>
      </c>
      <c r="B5144" s="108" t="s">
        <v>245</v>
      </c>
      <c r="C5144" s="108" t="s">
        <v>1245</v>
      </c>
      <c r="D5144" s="112" t="s">
        <v>176</v>
      </c>
      <c r="E5144" s="112">
        <v>1681.5</v>
      </c>
      <c r="F5144" s="111" t="str">
        <f>DataPull!D5144</f>
        <v/>
      </c>
      <c r="G5144" s="94" t="str">
        <f t="shared" si="2"/>
        <v/>
      </c>
      <c r="H5144" s="94" t="str">
        <f t="shared" si="3"/>
        <v/>
      </c>
      <c r="I5144" s="94" t="str">
        <f t="shared" ref="I5144:J5144" si="5145">if(G5144 = "", , -G5144)</f>
        <v/>
      </c>
      <c r="J5144" s="94" t="str">
        <f t="shared" si="5145"/>
        <v/>
      </c>
      <c r="K5144" s="100"/>
      <c r="M5144" s="100"/>
      <c r="N5144" s="100"/>
      <c r="O5144" s="100"/>
      <c r="P5144" s="100"/>
    </row>
    <row r="5145">
      <c r="A5145" s="107">
        <v>1629631.0</v>
      </c>
      <c r="B5145" s="108" t="s">
        <v>246</v>
      </c>
      <c r="C5145" s="108" t="s">
        <v>1245</v>
      </c>
      <c r="D5145" s="112" t="s">
        <v>178</v>
      </c>
      <c r="E5145" s="112">
        <v>1740.8</v>
      </c>
      <c r="F5145" s="111" t="str">
        <f>DataPull!D5145</f>
        <v/>
      </c>
      <c r="G5145" s="94" t="str">
        <f t="shared" si="2"/>
        <v/>
      </c>
      <c r="H5145" s="94" t="str">
        <f t="shared" si="3"/>
        <v/>
      </c>
      <c r="I5145" s="94" t="str">
        <f t="shared" ref="I5145:J5145" si="5146">if(G5145 = "", , -G5145)</f>
        <v/>
      </c>
      <c r="J5145" s="94" t="str">
        <f t="shared" si="5146"/>
        <v/>
      </c>
      <c r="K5145" s="100"/>
      <c r="N5145" s="100"/>
      <c r="O5145" s="100"/>
      <c r="P5145" s="100"/>
    </row>
    <row r="5146">
      <c r="A5146" s="114">
        <v>1629631.0</v>
      </c>
      <c r="B5146" s="113" t="s">
        <v>247</v>
      </c>
      <c r="C5146" s="108" t="s">
        <v>1245</v>
      </c>
      <c r="D5146" s="112" t="s">
        <v>176</v>
      </c>
      <c r="E5146" s="112">
        <v>1174.5</v>
      </c>
      <c r="F5146" s="111" t="str">
        <f>DataPull!D5146</f>
        <v/>
      </c>
      <c r="G5146" s="94" t="str">
        <f t="shared" si="2"/>
        <v/>
      </c>
      <c r="H5146" s="94" t="str">
        <f t="shared" si="3"/>
        <v/>
      </c>
      <c r="I5146" s="94" t="str">
        <f t="shared" ref="I5146:J5146" si="5147">if(G5146 = "", , -G5146)</f>
        <v/>
      </c>
      <c r="J5146" s="94" t="str">
        <f t="shared" si="5147"/>
        <v/>
      </c>
      <c r="K5146" s="100"/>
      <c r="M5146" s="100"/>
      <c r="N5146" s="100"/>
      <c r="O5146" s="100"/>
      <c r="P5146" s="100"/>
    </row>
    <row r="5147">
      <c r="A5147" s="107">
        <v>1629632.0</v>
      </c>
      <c r="B5147" s="108" t="s">
        <v>193</v>
      </c>
      <c r="C5147" s="108" t="s">
        <v>1246</v>
      </c>
      <c r="D5147" s="112" t="s">
        <v>178</v>
      </c>
      <c r="E5147" s="112">
        <v>1677.0</v>
      </c>
      <c r="F5147" s="111" t="str">
        <f>DataPull!D5147</f>
        <v/>
      </c>
      <c r="G5147" s="94" t="str">
        <f t="shared" si="2"/>
        <v/>
      </c>
      <c r="H5147" s="94" t="str">
        <f t="shared" si="3"/>
        <v/>
      </c>
      <c r="I5147" s="94" t="str">
        <f t="shared" ref="I5147:J5147" si="5148">if(G5147 = "", , -G5147)</f>
        <v/>
      </c>
      <c r="J5147" s="94" t="str">
        <f t="shared" si="5148"/>
        <v/>
      </c>
      <c r="K5147" s="100"/>
      <c r="M5147" s="100"/>
      <c r="N5147" s="100"/>
      <c r="O5147" s="100"/>
      <c r="P5147" s="100"/>
    </row>
    <row r="5148">
      <c r="A5148" s="107">
        <v>1629632.0</v>
      </c>
      <c r="B5148" s="108" t="s">
        <v>243</v>
      </c>
      <c r="C5148" s="108" t="s">
        <v>1246</v>
      </c>
      <c r="D5148" s="112" t="s">
        <v>178</v>
      </c>
      <c r="E5148" s="112">
        <v>2152.8</v>
      </c>
      <c r="F5148" s="111" t="str">
        <f>DataPull!D5148</f>
        <v/>
      </c>
      <c r="G5148" s="94" t="str">
        <f t="shared" si="2"/>
        <v/>
      </c>
      <c r="H5148" s="94" t="str">
        <f t="shared" si="3"/>
        <v/>
      </c>
      <c r="I5148" s="94" t="str">
        <f t="shared" ref="I5148:J5148" si="5149">if(G5148 = "", , -G5148)</f>
        <v/>
      </c>
      <c r="J5148" s="94" t="str">
        <f t="shared" si="5149"/>
        <v/>
      </c>
      <c r="K5148" s="100"/>
      <c r="M5148" s="100"/>
      <c r="N5148" s="100"/>
      <c r="O5148" s="100"/>
      <c r="P5148" s="100"/>
    </row>
    <row r="5149">
      <c r="A5149" s="107">
        <v>1629632.0</v>
      </c>
      <c r="B5149" s="108" t="s">
        <v>215</v>
      </c>
      <c r="C5149" s="108" t="s">
        <v>1246</v>
      </c>
      <c r="D5149" s="112" t="s">
        <v>176</v>
      </c>
      <c r="E5149" s="112">
        <v>1677.5</v>
      </c>
      <c r="F5149" s="111" t="str">
        <f>DataPull!D5149</f>
        <v/>
      </c>
      <c r="G5149" s="94" t="str">
        <f t="shared" si="2"/>
        <v/>
      </c>
      <c r="H5149" s="94" t="str">
        <f t="shared" si="3"/>
        <v/>
      </c>
      <c r="I5149" s="94" t="str">
        <f t="shared" ref="I5149:J5149" si="5150">if(G5149 = "", , -G5149)</f>
        <v/>
      </c>
      <c r="J5149" s="94" t="str">
        <f t="shared" si="5150"/>
        <v/>
      </c>
      <c r="K5149" s="100"/>
      <c r="M5149" s="100"/>
      <c r="N5149" s="100"/>
      <c r="O5149" s="100"/>
      <c r="P5149" s="100"/>
    </row>
    <row r="5150">
      <c r="A5150" s="107">
        <v>1629632.0</v>
      </c>
      <c r="B5150" s="108" t="s">
        <v>244</v>
      </c>
      <c r="C5150" s="108" t="s">
        <v>1246</v>
      </c>
      <c r="D5150" s="112" t="s">
        <v>176</v>
      </c>
      <c r="E5150" s="112">
        <v>1731.6</v>
      </c>
      <c r="F5150" s="111" t="str">
        <f>DataPull!D5150</f>
        <v/>
      </c>
      <c r="G5150" s="94" t="str">
        <f t="shared" si="2"/>
        <v/>
      </c>
      <c r="H5150" s="94" t="str">
        <f t="shared" si="3"/>
        <v/>
      </c>
      <c r="I5150" s="94" t="str">
        <f t="shared" ref="I5150:J5150" si="5151">if(G5150 = "", , -G5150)</f>
        <v/>
      </c>
      <c r="J5150" s="94" t="str">
        <f t="shared" si="5151"/>
        <v/>
      </c>
      <c r="K5150" s="100"/>
      <c r="L5150" s="100"/>
      <c r="N5150" s="100"/>
      <c r="O5150" s="100"/>
      <c r="P5150" s="100"/>
    </row>
    <row r="5151">
      <c r="A5151" s="107">
        <v>1629632.0</v>
      </c>
      <c r="B5151" s="108" t="s">
        <v>245</v>
      </c>
      <c r="C5151" s="108" t="s">
        <v>1246</v>
      </c>
      <c r="D5151" s="112" t="s">
        <v>178</v>
      </c>
      <c r="E5151" s="112">
        <v>2883.5</v>
      </c>
      <c r="F5151" s="111" t="str">
        <f>DataPull!D5151</f>
        <v/>
      </c>
      <c r="G5151" s="94" t="str">
        <f t="shared" si="2"/>
        <v/>
      </c>
      <c r="H5151" s="94" t="str">
        <f t="shared" si="3"/>
        <v/>
      </c>
      <c r="I5151" s="94" t="str">
        <f t="shared" ref="I5151:J5151" si="5152">if(G5151 = "", , -G5151)</f>
        <v/>
      </c>
      <c r="J5151" s="94" t="str">
        <f t="shared" si="5152"/>
        <v/>
      </c>
      <c r="K5151" s="100"/>
      <c r="L5151" s="100"/>
      <c r="N5151" s="100"/>
      <c r="O5151" s="100"/>
      <c r="P5151" s="100"/>
    </row>
    <row r="5152">
      <c r="A5152" s="107">
        <v>1629632.0</v>
      </c>
      <c r="B5152" s="108" t="s">
        <v>246</v>
      </c>
      <c r="C5152" s="108" t="s">
        <v>1246</v>
      </c>
      <c r="D5152" s="112" t="s">
        <v>178</v>
      </c>
      <c r="E5152" s="112">
        <v>2449.4</v>
      </c>
      <c r="F5152" s="111" t="str">
        <f>DataPull!D5152</f>
        <v/>
      </c>
      <c r="G5152" s="94" t="str">
        <f t="shared" si="2"/>
        <v/>
      </c>
      <c r="H5152" s="94" t="str">
        <f t="shared" si="3"/>
        <v/>
      </c>
      <c r="I5152" s="94" t="str">
        <f t="shared" ref="I5152:J5152" si="5153">if(G5152 = "", , -G5152)</f>
        <v/>
      </c>
      <c r="J5152" s="94" t="str">
        <f t="shared" si="5153"/>
        <v/>
      </c>
      <c r="K5152" s="100"/>
      <c r="M5152" s="100"/>
      <c r="N5152" s="100"/>
      <c r="O5152" s="100"/>
      <c r="P5152" s="100"/>
    </row>
    <row r="5153">
      <c r="A5153" s="126">
        <v>1629632.0</v>
      </c>
      <c r="B5153" s="129" t="s">
        <v>246</v>
      </c>
      <c r="C5153" s="129" t="s">
        <v>1246</v>
      </c>
      <c r="D5153" s="112" t="s">
        <v>178</v>
      </c>
      <c r="E5153" s="112">
        <v>2449.4</v>
      </c>
      <c r="F5153" s="111" t="str">
        <f>DataPull!D5153</f>
        <v/>
      </c>
      <c r="G5153" s="94" t="str">
        <f t="shared" si="2"/>
        <v/>
      </c>
      <c r="H5153" s="94" t="str">
        <f t="shared" si="3"/>
        <v/>
      </c>
      <c r="I5153" s="94" t="str">
        <f t="shared" ref="I5153:J5153" si="5154">if(G5153 = "", , -G5153)</f>
        <v/>
      </c>
      <c r="J5153" s="94" t="str">
        <f t="shared" si="5154"/>
        <v/>
      </c>
      <c r="K5153" s="100"/>
      <c r="M5153" s="100"/>
      <c r="N5153" s="100"/>
      <c r="O5153" s="100"/>
      <c r="P5153" s="100"/>
    </row>
    <row r="5154">
      <c r="A5154" s="107">
        <v>1629633.0</v>
      </c>
      <c r="B5154" s="108" t="s">
        <v>193</v>
      </c>
      <c r="C5154" s="108" t="s">
        <v>1247</v>
      </c>
      <c r="D5154" s="112" t="s">
        <v>176</v>
      </c>
      <c r="E5154" s="112">
        <v>1505.7</v>
      </c>
      <c r="F5154" s="111" t="str">
        <f>DataPull!D5154</f>
        <v/>
      </c>
      <c r="G5154" s="94" t="str">
        <f t="shared" si="2"/>
        <v/>
      </c>
      <c r="H5154" s="94" t="str">
        <f t="shared" si="3"/>
        <v/>
      </c>
      <c r="I5154" s="94" t="str">
        <f t="shared" ref="I5154:J5154" si="5155">if(G5154 = "", , -G5154)</f>
        <v/>
      </c>
      <c r="J5154" s="94" t="str">
        <f t="shared" si="5155"/>
        <v/>
      </c>
      <c r="K5154" s="100"/>
      <c r="M5154" s="100"/>
      <c r="N5154" s="100"/>
      <c r="O5154" s="100"/>
      <c r="P5154" s="100"/>
    </row>
    <row r="5155">
      <c r="A5155" s="107">
        <v>1629633.0</v>
      </c>
      <c r="B5155" s="108" t="s">
        <v>243</v>
      </c>
      <c r="C5155" s="108" t="s">
        <v>1247</v>
      </c>
      <c r="D5155" s="112" t="s">
        <v>177</v>
      </c>
      <c r="E5155" s="112">
        <v>499.8</v>
      </c>
      <c r="F5155" s="111" t="str">
        <f>DataPull!D5155</f>
        <v/>
      </c>
      <c r="G5155" s="94" t="str">
        <f t="shared" si="2"/>
        <v/>
      </c>
      <c r="H5155" s="94" t="str">
        <f t="shared" si="3"/>
        <v/>
      </c>
      <c r="I5155" s="94" t="str">
        <f t="shared" ref="I5155:J5155" si="5156">if(G5155 = "", , -G5155)</f>
        <v/>
      </c>
      <c r="J5155" s="94" t="str">
        <f t="shared" si="5156"/>
        <v/>
      </c>
      <c r="K5155" s="100"/>
      <c r="M5155" s="100"/>
      <c r="N5155" s="100"/>
      <c r="O5155" s="100"/>
      <c r="P5155" s="100"/>
    </row>
    <row r="5156">
      <c r="A5156" s="107">
        <v>1629633.0</v>
      </c>
      <c r="B5156" s="108" t="s">
        <v>215</v>
      </c>
      <c r="C5156" s="108" t="s">
        <v>1247</v>
      </c>
      <c r="D5156" s="112" t="s">
        <v>187</v>
      </c>
      <c r="E5156" s="112">
        <v>336.7</v>
      </c>
      <c r="F5156" s="111" t="str">
        <f>DataPull!D5156</f>
        <v/>
      </c>
      <c r="G5156" s="94" t="str">
        <f t="shared" si="2"/>
        <v/>
      </c>
      <c r="H5156" s="94" t="str">
        <f t="shared" si="3"/>
        <v/>
      </c>
      <c r="I5156" s="94" t="str">
        <f t="shared" ref="I5156:J5156" si="5157">if(G5156 = "", , -G5156)</f>
        <v/>
      </c>
      <c r="J5156" s="94" t="str">
        <f t="shared" si="5157"/>
        <v/>
      </c>
      <c r="K5156" s="100"/>
      <c r="M5156" s="100"/>
      <c r="N5156" s="100"/>
      <c r="O5156" s="100"/>
      <c r="P5156" s="100"/>
    </row>
    <row r="5157">
      <c r="A5157" s="107">
        <v>1629633.0</v>
      </c>
      <c r="B5157" s="108" t="s">
        <v>244</v>
      </c>
      <c r="C5157" s="108" t="s">
        <v>1247</v>
      </c>
      <c r="D5157" s="112" t="s">
        <v>187</v>
      </c>
      <c r="E5157" s="112">
        <v>137.0</v>
      </c>
      <c r="F5157" s="111" t="str">
        <f>DataPull!D5157</f>
        <v/>
      </c>
      <c r="G5157" s="94" t="str">
        <f t="shared" si="2"/>
        <v/>
      </c>
      <c r="H5157" s="94" t="str">
        <f t="shared" si="3"/>
        <v/>
      </c>
      <c r="I5157" s="94" t="str">
        <f t="shared" ref="I5157:J5157" si="5158">if(G5157 = "", , -G5157)</f>
        <v/>
      </c>
      <c r="J5157" s="94" t="str">
        <f t="shared" si="5158"/>
        <v/>
      </c>
      <c r="K5157" s="100"/>
      <c r="M5157" s="100"/>
      <c r="N5157" s="100"/>
      <c r="O5157" s="100"/>
      <c r="P5157" s="100"/>
    </row>
    <row r="5158">
      <c r="A5158" s="107">
        <v>1629634.0</v>
      </c>
      <c r="B5158" s="108" t="s">
        <v>193</v>
      </c>
      <c r="C5158" s="108" t="s">
        <v>1248</v>
      </c>
      <c r="D5158" s="112" t="s">
        <v>176</v>
      </c>
      <c r="E5158" s="112">
        <v>1299.2</v>
      </c>
      <c r="F5158" s="111" t="str">
        <f>DataPull!D5158</f>
        <v/>
      </c>
      <c r="G5158" s="94" t="str">
        <f t="shared" si="2"/>
        <v/>
      </c>
      <c r="H5158" s="94" t="str">
        <f t="shared" si="3"/>
        <v/>
      </c>
      <c r="I5158" s="94" t="str">
        <f t="shared" ref="I5158:J5158" si="5159">if(G5158 = "", , -G5158)</f>
        <v/>
      </c>
      <c r="J5158" s="94" t="str">
        <f t="shared" si="5159"/>
        <v/>
      </c>
      <c r="K5158" s="100"/>
      <c r="M5158" s="100"/>
      <c r="N5158" s="100"/>
      <c r="O5158" s="100"/>
    </row>
    <row r="5159">
      <c r="A5159" s="107">
        <v>1629634.0</v>
      </c>
      <c r="B5159" s="108" t="s">
        <v>243</v>
      </c>
      <c r="C5159" s="108" t="s">
        <v>1248</v>
      </c>
      <c r="D5159" s="112" t="s">
        <v>176</v>
      </c>
      <c r="E5159" s="112">
        <v>1416.0</v>
      </c>
      <c r="F5159" s="111" t="str">
        <f>DataPull!D5159</f>
        <v/>
      </c>
      <c r="G5159" s="94" t="str">
        <f t="shared" si="2"/>
        <v/>
      </c>
      <c r="H5159" s="94" t="str">
        <f t="shared" si="3"/>
        <v/>
      </c>
      <c r="I5159" s="94" t="str">
        <f t="shared" ref="I5159:J5159" si="5160">if(G5159 = "", , -G5159)</f>
        <v/>
      </c>
      <c r="J5159" s="94" t="str">
        <f t="shared" si="5160"/>
        <v/>
      </c>
      <c r="K5159" s="100"/>
      <c r="M5159" s="100"/>
      <c r="N5159" s="100"/>
      <c r="O5159" s="100"/>
      <c r="P5159" s="100"/>
    </row>
    <row r="5160">
      <c r="A5160" s="107">
        <v>1629634.0</v>
      </c>
      <c r="B5160" s="108" t="s">
        <v>215</v>
      </c>
      <c r="C5160" s="108" t="s">
        <v>1248</v>
      </c>
      <c r="D5160" s="112" t="s">
        <v>177</v>
      </c>
      <c r="E5160" s="112">
        <v>1248.0</v>
      </c>
      <c r="F5160" s="111" t="str">
        <f>DataPull!D5160</f>
        <v/>
      </c>
      <c r="G5160" s="94" t="str">
        <f t="shared" si="2"/>
        <v/>
      </c>
      <c r="H5160" s="94" t="str">
        <f t="shared" si="3"/>
        <v/>
      </c>
      <c r="I5160" s="94" t="str">
        <f t="shared" ref="I5160:J5160" si="5161">if(G5160 = "", , -G5160)</f>
        <v/>
      </c>
      <c r="J5160" s="94" t="str">
        <f t="shared" si="5161"/>
        <v/>
      </c>
      <c r="K5160" s="100"/>
      <c r="M5160" s="100"/>
      <c r="N5160" s="100"/>
      <c r="O5160" s="100"/>
      <c r="P5160" s="100"/>
    </row>
    <row r="5161">
      <c r="A5161" s="107">
        <v>1629634.0</v>
      </c>
      <c r="B5161" s="108" t="s">
        <v>244</v>
      </c>
      <c r="C5161" s="108" t="s">
        <v>1248</v>
      </c>
      <c r="D5161" s="112" t="s">
        <v>176</v>
      </c>
      <c r="E5161" s="112">
        <v>1092.0</v>
      </c>
      <c r="F5161" s="111" t="str">
        <f>DataPull!D5161</f>
        <v/>
      </c>
      <c r="G5161" s="94" t="str">
        <f t="shared" si="2"/>
        <v/>
      </c>
      <c r="H5161" s="94" t="str">
        <f t="shared" si="3"/>
        <v/>
      </c>
      <c r="I5161" s="94" t="str">
        <f t="shared" ref="I5161:J5161" si="5162">if(G5161 = "", , -G5161)</f>
        <v/>
      </c>
      <c r="J5161" s="94" t="str">
        <f t="shared" si="5162"/>
        <v/>
      </c>
      <c r="K5161" s="100"/>
      <c r="M5161" s="100"/>
      <c r="N5161" s="100"/>
      <c r="O5161" s="100"/>
      <c r="P5161" s="100"/>
    </row>
    <row r="5162">
      <c r="A5162" s="107">
        <v>1629634.0</v>
      </c>
      <c r="B5162" s="108" t="s">
        <v>245</v>
      </c>
      <c r="C5162" s="108" t="s">
        <v>1248</v>
      </c>
      <c r="D5162" s="112" t="s">
        <v>181</v>
      </c>
      <c r="E5162" s="112">
        <v>134.4</v>
      </c>
      <c r="F5162" s="111" t="str">
        <f>DataPull!D5162</f>
        <v/>
      </c>
      <c r="G5162" s="94" t="str">
        <f t="shared" si="2"/>
        <v/>
      </c>
      <c r="H5162" s="94" t="str">
        <f t="shared" si="3"/>
        <v/>
      </c>
      <c r="I5162" s="94" t="str">
        <f t="shared" ref="I5162:J5162" si="5163">if(G5162 = "", , -G5162)</f>
        <v/>
      </c>
      <c r="J5162" s="94" t="str">
        <f t="shared" si="5163"/>
        <v/>
      </c>
      <c r="K5162" s="100"/>
      <c r="M5162" s="100"/>
      <c r="N5162" s="100"/>
      <c r="O5162" s="100"/>
      <c r="P5162" s="100"/>
    </row>
    <row r="5163">
      <c r="A5163" s="107">
        <v>1629634.0</v>
      </c>
      <c r="B5163" s="108" t="s">
        <v>246</v>
      </c>
      <c r="C5163" s="108" t="s">
        <v>1248</v>
      </c>
      <c r="D5163" s="112" t="s">
        <v>177</v>
      </c>
      <c r="E5163" s="112">
        <v>1209.6</v>
      </c>
      <c r="F5163" s="111" t="str">
        <f>DataPull!D5163</f>
        <v/>
      </c>
      <c r="G5163" s="94" t="str">
        <f t="shared" si="2"/>
        <v/>
      </c>
      <c r="H5163" s="94" t="str">
        <f t="shared" si="3"/>
        <v/>
      </c>
      <c r="I5163" s="94" t="str">
        <f t="shared" ref="I5163:J5163" si="5164">if(G5163 = "", , -G5163)</f>
        <v/>
      </c>
      <c r="J5163" s="94" t="str">
        <f t="shared" si="5164"/>
        <v/>
      </c>
      <c r="K5163" s="100"/>
      <c r="M5163" s="100"/>
      <c r="N5163" s="100"/>
      <c r="O5163" s="100"/>
      <c r="P5163" s="100"/>
    </row>
    <row r="5164">
      <c r="A5164" s="89">
        <v>1629634.0</v>
      </c>
      <c r="B5164" s="113" t="s">
        <v>247</v>
      </c>
      <c r="C5164" s="113" t="s">
        <v>1248</v>
      </c>
      <c r="D5164" s="112" t="s">
        <v>181</v>
      </c>
      <c r="E5164" s="112">
        <v>20.4</v>
      </c>
      <c r="F5164" s="111" t="str">
        <f>DataPull!D5164</f>
        <v/>
      </c>
      <c r="G5164" s="94" t="str">
        <f t="shared" si="2"/>
        <v/>
      </c>
      <c r="H5164" s="94" t="str">
        <f t="shared" si="3"/>
        <v/>
      </c>
      <c r="I5164" s="94" t="str">
        <f t="shared" ref="I5164:J5164" si="5165">if(G5164 = "", , -G5164)</f>
        <v/>
      </c>
      <c r="J5164" s="94" t="str">
        <f t="shared" si="5165"/>
        <v/>
      </c>
      <c r="K5164" s="100"/>
      <c r="M5164" s="100"/>
      <c r="N5164" s="100"/>
      <c r="O5164" s="100"/>
      <c r="P5164" s="100"/>
    </row>
    <row r="5165">
      <c r="A5165" s="107">
        <v>1629635.0</v>
      </c>
      <c r="B5165" s="108" t="s">
        <v>193</v>
      </c>
      <c r="C5165" s="108" t="s">
        <v>1249</v>
      </c>
      <c r="D5165" s="112" t="s">
        <v>177</v>
      </c>
      <c r="E5165" s="112">
        <v>752.4</v>
      </c>
      <c r="F5165" s="111" t="str">
        <f>DataPull!D5165</f>
        <v/>
      </c>
      <c r="G5165" s="94" t="str">
        <f t="shared" si="2"/>
        <v/>
      </c>
      <c r="H5165" s="94" t="str">
        <f t="shared" si="3"/>
        <v/>
      </c>
      <c r="I5165" s="94" t="str">
        <f t="shared" ref="I5165:J5165" si="5166">if(G5165 = "", , -G5165)</f>
        <v/>
      </c>
      <c r="J5165" s="94" t="str">
        <f t="shared" si="5166"/>
        <v/>
      </c>
      <c r="K5165" s="100"/>
      <c r="M5165" s="100"/>
      <c r="N5165" s="100"/>
      <c r="O5165" s="100"/>
      <c r="P5165" s="100"/>
    </row>
    <row r="5166">
      <c r="A5166" s="107">
        <v>1629635.0</v>
      </c>
      <c r="B5166" s="108" t="s">
        <v>243</v>
      </c>
      <c r="C5166" s="108" t="s">
        <v>1249</v>
      </c>
      <c r="D5166" s="112" t="s">
        <v>177</v>
      </c>
      <c r="E5166" s="112">
        <v>868.0</v>
      </c>
      <c r="F5166" s="111" t="str">
        <f>DataPull!D5166</f>
        <v/>
      </c>
      <c r="G5166" s="94" t="str">
        <f t="shared" si="2"/>
        <v/>
      </c>
      <c r="H5166" s="94" t="str">
        <f t="shared" si="3"/>
        <v/>
      </c>
      <c r="I5166" s="94" t="str">
        <f t="shared" ref="I5166:J5166" si="5167">if(G5166 = "", , -G5166)</f>
        <v/>
      </c>
      <c r="J5166" s="94" t="str">
        <f t="shared" si="5167"/>
        <v/>
      </c>
      <c r="K5166" s="100"/>
      <c r="M5166" s="100"/>
      <c r="N5166" s="100"/>
      <c r="O5166" s="100"/>
      <c r="P5166" s="100"/>
    </row>
    <row r="5167">
      <c r="A5167" s="107">
        <v>1629635.0</v>
      </c>
      <c r="B5167" s="108" t="s">
        <v>215</v>
      </c>
      <c r="C5167" s="108" t="s">
        <v>1249</v>
      </c>
      <c r="D5167" s="112" t="s">
        <v>181</v>
      </c>
      <c r="E5167" s="112">
        <v>16.4</v>
      </c>
      <c r="F5167" s="111" t="str">
        <f>DataPull!D5167</f>
        <v/>
      </c>
      <c r="G5167" s="94" t="str">
        <f t="shared" si="2"/>
        <v/>
      </c>
      <c r="H5167" s="94" t="str">
        <f t="shared" si="3"/>
        <v/>
      </c>
      <c r="I5167" s="94" t="str">
        <f t="shared" ref="I5167:J5167" si="5168">if(G5167 = "", , -G5167)</f>
        <v/>
      </c>
      <c r="J5167" s="94" t="str">
        <f t="shared" si="5168"/>
        <v/>
      </c>
      <c r="K5167" s="100"/>
      <c r="M5167" s="100"/>
      <c r="N5167" s="100"/>
      <c r="O5167" s="100"/>
      <c r="P5167" s="100"/>
    </row>
    <row r="5168">
      <c r="A5168" s="107">
        <v>1629636.0</v>
      </c>
      <c r="B5168" s="108" t="s">
        <v>193</v>
      </c>
      <c r="C5168" s="108" t="s">
        <v>1250</v>
      </c>
      <c r="D5168" s="112" t="s">
        <v>178</v>
      </c>
      <c r="E5168" s="112">
        <v>1823.1</v>
      </c>
      <c r="F5168" s="111" t="str">
        <f>DataPull!D5168</f>
        <v/>
      </c>
      <c r="G5168" s="94" t="str">
        <f t="shared" si="2"/>
        <v/>
      </c>
      <c r="H5168" s="94" t="str">
        <f t="shared" si="3"/>
        <v/>
      </c>
      <c r="I5168" s="94" t="str">
        <f t="shared" ref="I5168:J5168" si="5169">if(G5168 = "", , -G5168)</f>
        <v/>
      </c>
      <c r="J5168" s="94" t="str">
        <f t="shared" si="5169"/>
        <v/>
      </c>
      <c r="K5168" s="100"/>
      <c r="L5168" s="100"/>
      <c r="M5168" s="100"/>
      <c r="N5168" s="100"/>
      <c r="O5168" s="100"/>
      <c r="P5168" s="100"/>
    </row>
    <row r="5169">
      <c r="A5169" s="107">
        <v>1629636.0</v>
      </c>
      <c r="B5169" s="108" t="s">
        <v>243</v>
      </c>
      <c r="C5169" s="108" t="s">
        <v>1250</v>
      </c>
      <c r="D5169" s="112" t="s">
        <v>178</v>
      </c>
      <c r="E5169" s="112">
        <v>1787.4</v>
      </c>
      <c r="F5169" s="111" t="str">
        <f>DataPull!D5169</f>
        <v/>
      </c>
      <c r="G5169" s="94" t="str">
        <f t="shared" si="2"/>
        <v/>
      </c>
      <c r="H5169" s="94" t="str">
        <f t="shared" si="3"/>
        <v/>
      </c>
      <c r="I5169" s="94" t="str">
        <f t="shared" ref="I5169:J5169" si="5170">if(G5169 = "", , -G5169)</f>
        <v/>
      </c>
      <c r="J5169" s="94" t="str">
        <f t="shared" si="5170"/>
        <v/>
      </c>
      <c r="K5169" s="100"/>
      <c r="M5169" s="100"/>
      <c r="N5169" s="100"/>
      <c r="O5169" s="100"/>
      <c r="P5169" s="100"/>
    </row>
    <row r="5170">
      <c r="A5170" s="107">
        <v>1629636.0</v>
      </c>
      <c r="B5170" s="108" t="s">
        <v>215</v>
      </c>
      <c r="C5170" s="108" t="s">
        <v>1250</v>
      </c>
      <c r="D5170" s="112" t="s">
        <v>184</v>
      </c>
      <c r="E5170" s="112">
        <v>2427.6</v>
      </c>
      <c r="F5170" s="111" t="str">
        <f>DataPull!D5170</f>
        <v/>
      </c>
      <c r="G5170" s="94" t="str">
        <f t="shared" si="2"/>
        <v/>
      </c>
      <c r="H5170" s="94" t="str">
        <f t="shared" si="3"/>
        <v/>
      </c>
      <c r="I5170" s="94" t="str">
        <f t="shared" ref="I5170:J5170" si="5171">if(G5170 = "", , -G5170)</f>
        <v/>
      </c>
      <c r="J5170" s="94" t="str">
        <f t="shared" si="5171"/>
        <v/>
      </c>
      <c r="K5170" s="100"/>
      <c r="L5170" s="100"/>
      <c r="M5170" s="100"/>
      <c r="N5170" s="100"/>
      <c r="O5170" s="100"/>
      <c r="P5170" s="100"/>
    </row>
    <row r="5171">
      <c r="A5171" s="107">
        <v>1629636.0</v>
      </c>
      <c r="B5171" s="108" t="s">
        <v>244</v>
      </c>
      <c r="C5171" s="108" t="s">
        <v>1250</v>
      </c>
      <c r="D5171" s="112" t="s">
        <v>184</v>
      </c>
      <c r="E5171" s="112">
        <v>2449.5</v>
      </c>
      <c r="F5171" s="111" t="str">
        <f>DataPull!D5171</f>
        <v/>
      </c>
      <c r="G5171" s="94" t="str">
        <f t="shared" si="2"/>
        <v/>
      </c>
      <c r="H5171" s="94" t="str">
        <f t="shared" si="3"/>
        <v/>
      </c>
      <c r="I5171" s="94" t="str">
        <f t="shared" ref="I5171:J5171" si="5172">if(G5171 = "", , -G5171)</f>
        <v/>
      </c>
      <c r="J5171" s="94" t="str">
        <f t="shared" si="5172"/>
        <v/>
      </c>
      <c r="K5171" s="100"/>
      <c r="M5171" s="100"/>
      <c r="N5171" s="100"/>
      <c r="O5171" s="100"/>
      <c r="P5171" s="100"/>
    </row>
    <row r="5172">
      <c r="A5172" s="107">
        <v>1629636.0</v>
      </c>
      <c r="B5172" s="108" t="s">
        <v>245</v>
      </c>
      <c r="C5172" s="108" t="s">
        <v>1250</v>
      </c>
      <c r="D5172" s="112" t="s">
        <v>178</v>
      </c>
      <c r="E5172" s="112">
        <v>1898.1</v>
      </c>
      <c r="F5172" s="111" t="str">
        <f>DataPull!D5172</f>
        <v/>
      </c>
      <c r="G5172" s="94" t="str">
        <f t="shared" si="2"/>
        <v/>
      </c>
      <c r="H5172" s="94" t="str">
        <f t="shared" si="3"/>
        <v/>
      </c>
      <c r="I5172" s="94" t="str">
        <f t="shared" ref="I5172:J5172" si="5173">if(G5172 = "", , -G5172)</f>
        <v/>
      </c>
      <c r="J5172" s="94" t="str">
        <f t="shared" si="5173"/>
        <v/>
      </c>
      <c r="K5172" s="100"/>
      <c r="M5172" s="100"/>
      <c r="N5172" s="100"/>
      <c r="O5172" s="100"/>
      <c r="P5172" s="100"/>
    </row>
    <row r="5173">
      <c r="A5173" s="107">
        <v>1629636.0</v>
      </c>
      <c r="B5173" s="108" t="s">
        <v>246</v>
      </c>
      <c r="C5173" s="108" t="s">
        <v>1250</v>
      </c>
      <c r="D5173" s="112" t="s">
        <v>184</v>
      </c>
      <c r="E5173" s="112">
        <v>2302.5</v>
      </c>
      <c r="F5173" s="111" t="str">
        <f>DataPull!D5173</f>
        <v/>
      </c>
      <c r="G5173" s="94" t="str">
        <f t="shared" si="2"/>
        <v/>
      </c>
      <c r="H5173" s="94" t="str">
        <f t="shared" si="3"/>
        <v/>
      </c>
      <c r="I5173" s="94" t="str">
        <f t="shared" ref="I5173:J5173" si="5174">if(G5173 = "", , -G5173)</f>
        <v/>
      </c>
      <c r="J5173" s="94" t="str">
        <f t="shared" si="5174"/>
        <v/>
      </c>
      <c r="K5173" s="100"/>
      <c r="L5173" s="100"/>
      <c r="N5173" s="100"/>
      <c r="O5173" s="100"/>
      <c r="P5173" s="100"/>
    </row>
    <row r="5174">
      <c r="A5174" s="114">
        <v>1629636.0</v>
      </c>
      <c r="B5174" s="113" t="s">
        <v>247</v>
      </c>
      <c r="C5174" s="113" t="s">
        <v>1250</v>
      </c>
      <c r="D5174" s="112" t="s">
        <v>184</v>
      </c>
      <c r="E5174" s="112">
        <v>1345.5</v>
      </c>
      <c r="F5174" s="111" t="str">
        <f>DataPull!D5174</f>
        <v/>
      </c>
      <c r="G5174" s="94" t="str">
        <f t="shared" si="2"/>
        <v/>
      </c>
      <c r="H5174" s="94" t="str">
        <f t="shared" si="3"/>
        <v/>
      </c>
      <c r="I5174" s="94" t="str">
        <f t="shared" ref="I5174:J5174" si="5175">if(G5174 = "", , -G5174)</f>
        <v/>
      </c>
      <c r="J5174" s="94" t="str">
        <f t="shared" si="5175"/>
        <v/>
      </c>
      <c r="K5174" s="100"/>
      <c r="M5174" s="100"/>
      <c r="N5174" s="100"/>
      <c r="O5174" s="100"/>
      <c r="P5174" s="100"/>
    </row>
    <row r="5175">
      <c r="A5175" s="107">
        <v>1629637.0</v>
      </c>
      <c r="B5175" s="108" t="s">
        <v>193</v>
      </c>
      <c r="C5175" s="108" t="s">
        <v>1251</v>
      </c>
      <c r="D5175" s="112" t="s">
        <v>177</v>
      </c>
      <c r="E5175" s="112">
        <v>1081.6</v>
      </c>
      <c r="F5175" s="111" t="str">
        <f>DataPull!D5175</f>
        <v/>
      </c>
      <c r="G5175" s="94" t="str">
        <f t="shared" si="2"/>
        <v/>
      </c>
      <c r="H5175" s="94" t="str">
        <f t="shared" si="3"/>
        <v/>
      </c>
      <c r="I5175" s="94" t="str">
        <f t="shared" ref="I5175:J5175" si="5176">if(G5175 = "", , -G5175)</f>
        <v/>
      </c>
      <c r="J5175" s="94" t="str">
        <f t="shared" si="5176"/>
        <v/>
      </c>
      <c r="K5175" s="100"/>
      <c r="M5175" s="100"/>
      <c r="N5175" s="100"/>
      <c r="O5175" s="100"/>
      <c r="P5175" s="100"/>
    </row>
    <row r="5176">
      <c r="A5176" s="107">
        <v>1629637.0</v>
      </c>
      <c r="B5176" s="108" t="s">
        <v>243</v>
      </c>
      <c r="C5176" s="108" t="s">
        <v>1251</v>
      </c>
      <c r="D5176" s="112" t="s">
        <v>177</v>
      </c>
      <c r="E5176" s="112">
        <v>966.0</v>
      </c>
      <c r="F5176" s="111" t="str">
        <f>DataPull!D5176</f>
        <v/>
      </c>
      <c r="G5176" s="94" t="str">
        <f t="shared" si="2"/>
        <v/>
      </c>
      <c r="H5176" s="94" t="str">
        <f t="shared" si="3"/>
        <v/>
      </c>
      <c r="I5176" s="94" t="str">
        <f t="shared" ref="I5176:J5176" si="5177">if(G5176 = "", , -G5176)</f>
        <v/>
      </c>
      <c r="J5176" s="94" t="str">
        <f t="shared" si="5177"/>
        <v/>
      </c>
      <c r="K5176" s="100"/>
      <c r="L5176" s="100"/>
      <c r="N5176" s="100"/>
      <c r="O5176" s="100"/>
      <c r="P5176" s="100"/>
    </row>
    <row r="5177">
      <c r="A5177" s="107">
        <v>1629637.0</v>
      </c>
      <c r="B5177" s="108" t="s">
        <v>215</v>
      </c>
      <c r="C5177" s="108" t="s">
        <v>1251</v>
      </c>
      <c r="D5177" s="112" t="s">
        <v>177</v>
      </c>
      <c r="E5177" s="112">
        <v>1400.0</v>
      </c>
      <c r="F5177" s="111" t="str">
        <f>DataPull!D5177</f>
        <v/>
      </c>
      <c r="G5177" s="94" t="str">
        <f t="shared" si="2"/>
        <v/>
      </c>
      <c r="H5177" s="94" t="str">
        <f t="shared" si="3"/>
        <v/>
      </c>
      <c r="I5177" s="94" t="str">
        <f t="shared" ref="I5177:J5177" si="5178">if(G5177 = "", , -G5177)</f>
        <v/>
      </c>
      <c r="J5177" s="94" t="str">
        <f t="shared" si="5178"/>
        <v/>
      </c>
      <c r="K5177" s="100"/>
      <c r="M5177" s="100"/>
      <c r="N5177" s="100"/>
      <c r="O5177" s="100"/>
      <c r="P5177" s="100"/>
    </row>
    <row r="5178">
      <c r="A5178" s="107">
        <v>1629637.0</v>
      </c>
      <c r="B5178" s="108" t="s">
        <v>244</v>
      </c>
      <c r="C5178" s="108" t="s">
        <v>1251</v>
      </c>
      <c r="D5178" s="112" t="s">
        <v>177</v>
      </c>
      <c r="E5178" s="112">
        <v>611.0</v>
      </c>
      <c r="F5178" s="111" t="str">
        <f>DataPull!D5178</f>
        <v/>
      </c>
      <c r="G5178" s="94" t="str">
        <f t="shared" si="2"/>
        <v/>
      </c>
      <c r="H5178" s="94" t="str">
        <f t="shared" si="3"/>
        <v/>
      </c>
      <c r="I5178" s="94" t="str">
        <f t="shared" ref="I5178:J5178" si="5179">if(G5178 = "", , -G5178)</f>
        <v/>
      </c>
      <c r="J5178" s="94" t="str">
        <f t="shared" si="5179"/>
        <v/>
      </c>
      <c r="K5178" s="100"/>
      <c r="M5178" s="100"/>
      <c r="N5178" s="100"/>
      <c r="O5178" s="100"/>
      <c r="P5178" s="100"/>
    </row>
    <row r="5179">
      <c r="A5179" s="107">
        <v>1629637.0</v>
      </c>
      <c r="B5179" s="108" t="s">
        <v>245</v>
      </c>
      <c r="C5179" s="108" t="s">
        <v>1251</v>
      </c>
      <c r="D5179" s="112" t="s">
        <v>177</v>
      </c>
      <c r="E5179" s="112">
        <v>875.0</v>
      </c>
      <c r="F5179" s="111" t="str">
        <f>DataPull!D5179</f>
        <v/>
      </c>
      <c r="G5179" s="94" t="str">
        <f t="shared" si="2"/>
        <v/>
      </c>
      <c r="H5179" s="94" t="str">
        <f t="shared" si="3"/>
        <v/>
      </c>
      <c r="I5179" s="94" t="str">
        <f t="shared" ref="I5179:J5179" si="5180">if(G5179 = "", , -G5179)</f>
        <v/>
      </c>
      <c r="J5179" s="94" t="str">
        <f t="shared" si="5180"/>
        <v/>
      </c>
      <c r="K5179" s="100"/>
      <c r="M5179" s="100"/>
      <c r="N5179" s="100"/>
      <c r="O5179" s="100"/>
      <c r="P5179" s="100"/>
    </row>
    <row r="5180">
      <c r="A5180" s="107">
        <v>1629637.0</v>
      </c>
      <c r="B5180" s="108" t="s">
        <v>246</v>
      </c>
      <c r="C5180" s="108" t="s">
        <v>1251</v>
      </c>
      <c r="D5180" s="112" t="s">
        <v>177</v>
      </c>
      <c r="E5180" s="112">
        <v>1092.0</v>
      </c>
      <c r="F5180" s="111" t="str">
        <f>DataPull!D5180</f>
        <v/>
      </c>
      <c r="G5180" s="94" t="str">
        <f t="shared" si="2"/>
        <v/>
      </c>
      <c r="H5180" s="94" t="str">
        <f t="shared" si="3"/>
        <v/>
      </c>
      <c r="I5180" s="94" t="str">
        <f t="shared" ref="I5180:J5180" si="5181">if(G5180 = "", , -G5180)</f>
        <v/>
      </c>
      <c r="J5180" s="94" t="str">
        <f t="shared" si="5181"/>
        <v/>
      </c>
      <c r="K5180" s="100"/>
      <c r="M5180" s="100"/>
      <c r="N5180" s="100"/>
      <c r="O5180" s="100"/>
      <c r="P5180" s="100"/>
    </row>
    <row r="5181">
      <c r="A5181" s="114">
        <v>1629637.0</v>
      </c>
      <c r="B5181" s="113" t="s">
        <v>247</v>
      </c>
      <c r="C5181" s="113" t="s">
        <v>1251</v>
      </c>
      <c r="D5181" s="112" t="s">
        <v>177</v>
      </c>
      <c r="E5181" s="112">
        <v>1207.8</v>
      </c>
      <c r="F5181" s="111" t="str">
        <f>DataPull!D5181</f>
        <v/>
      </c>
      <c r="G5181" s="94" t="str">
        <f t="shared" si="2"/>
        <v/>
      </c>
      <c r="H5181" s="94" t="str">
        <f t="shared" si="3"/>
        <v/>
      </c>
      <c r="I5181" s="94" t="str">
        <f t="shared" ref="I5181:J5181" si="5182">if(G5181 = "", , -G5181)</f>
        <v/>
      </c>
      <c r="J5181" s="94" t="str">
        <f t="shared" si="5182"/>
        <v/>
      </c>
      <c r="K5181" s="100"/>
      <c r="M5181" s="100"/>
      <c r="N5181" s="100"/>
      <c r="O5181" s="100"/>
      <c r="P5181" s="100"/>
    </row>
    <row r="5182">
      <c r="A5182" s="107">
        <v>1629638.0</v>
      </c>
      <c r="B5182" s="108" t="s">
        <v>193</v>
      </c>
      <c r="C5182" s="108" t="s">
        <v>1252</v>
      </c>
      <c r="D5182" s="112" t="s">
        <v>177</v>
      </c>
      <c r="E5182" s="112">
        <v>592.2</v>
      </c>
      <c r="F5182" s="111" t="str">
        <f>DataPull!D5182</f>
        <v/>
      </c>
      <c r="G5182" s="94" t="str">
        <f t="shared" si="2"/>
        <v/>
      </c>
      <c r="H5182" s="94" t="str">
        <f t="shared" si="3"/>
        <v/>
      </c>
      <c r="I5182" s="94" t="str">
        <f t="shared" ref="I5182:J5182" si="5183">if(G5182 = "", , -G5182)</f>
        <v/>
      </c>
      <c r="J5182" s="94" t="str">
        <f t="shared" si="5183"/>
        <v/>
      </c>
      <c r="K5182" s="100"/>
      <c r="M5182" s="100"/>
      <c r="N5182" s="100"/>
      <c r="O5182" s="100"/>
      <c r="P5182" s="100"/>
    </row>
    <row r="5183">
      <c r="A5183" s="107">
        <v>1629638.0</v>
      </c>
      <c r="B5183" s="108" t="s">
        <v>243</v>
      </c>
      <c r="C5183" s="108" t="s">
        <v>1252</v>
      </c>
      <c r="D5183" s="112" t="s">
        <v>176</v>
      </c>
      <c r="E5183" s="112">
        <v>1007.4</v>
      </c>
      <c r="F5183" s="111" t="str">
        <f>DataPull!D5183</f>
        <v/>
      </c>
      <c r="G5183" s="94" t="str">
        <f t="shared" si="2"/>
        <v/>
      </c>
      <c r="H5183" s="94" t="str">
        <f t="shared" si="3"/>
        <v/>
      </c>
      <c r="I5183" s="94" t="str">
        <f t="shared" ref="I5183:J5183" si="5184">if(G5183 = "", , -G5183)</f>
        <v/>
      </c>
      <c r="J5183" s="94" t="str">
        <f t="shared" si="5184"/>
        <v/>
      </c>
      <c r="K5183" s="100"/>
      <c r="M5183" s="100"/>
      <c r="N5183" s="100"/>
      <c r="O5183" s="100"/>
      <c r="P5183" s="100"/>
    </row>
    <row r="5184">
      <c r="A5184" s="107">
        <v>1629638.0</v>
      </c>
      <c r="B5184" s="108" t="s">
        <v>215</v>
      </c>
      <c r="C5184" s="108" t="s">
        <v>1252</v>
      </c>
      <c r="D5184" s="112" t="s">
        <v>176</v>
      </c>
      <c r="E5184" s="112">
        <v>1469.0</v>
      </c>
      <c r="F5184" s="111" t="str">
        <f>DataPull!D5184</f>
        <v/>
      </c>
      <c r="G5184" s="94" t="str">
        <f t="shared" si="2"/>
        <v/>
      </c>
      <c r="H5184" s="94" t="str">
        <f t="shared" si="3"/>
        <v/>
      </c>
      <c r="I5184" s="94" t="str">
        <f t="shared" ref="I5184:J5184" si="5185">if(G5184 = "", , -G5184)</f>
        <v/>
      </c>
      <c r="J5184" s="94" t="str">
        <f t="shared" si="5185"/>
        <v/>
      </c>
      <c r="K5184" s="100"/>
      <c r="M5184" s="100"/>
      <c r="N5184" s="100"/>
      <c r="O5184" s="100"/>
      <c r="P5184" s="100"/>
    </row>
    <row r="5185">
      <c r="A5185" s="107">
        <v>1629638.0</v>
      </c>
      <c r="B5185" s="108" t="s">
        <v>244</v>
      </c>
      <c r="C5185" s="108" t="s">
        <v>1252</v>
      </c>
      <c r="D5185" s="112" t="s">
        <v>177</v>
      </c>
      <c r="E5185" s="112">
        <v>885.0</v>
      </c>
      <c r="F5185" s="111" t="str">
        <f>DataPull!D5185</f>
        <v/>
      </c>
      <c r="G5185" s="94" t="str">
        <f t="shared" si="2"/>
        <v/>
      </c>
      <c r="H5185" s="94" t="str">
        <f t="shared" si="3"/>
        <v/>
      </c>
      <c r="I5185" s="94" t="str">
        <f t="shared" ref="I5185:J5185" si="5186">if(G5185 = "", , -G5185)</f>
        <v/>
      </c>
      <c r="J5185" s="94" t="str">
        <f t="shared" si="5186"/>
        <v/>
      </c>
      <c r="K5185" s="100"/>
      <c r="M5185" s="100"/>
      <c r="N5185" s="100"/>
      <c r="O5185" s="100"/>
      <c r="P5185" s="100"/>
    </row>
    <row r="5186">
      <c r="A5186" s="107">
        <v>1629638.0</v>
      </c>
      <c r="B5186" s="108" t="s">
        <v>245</v>
      </c>
      <c r="C5186" s="108" t="s">
        <v>1252</v>
      </c>
      <c r="D5186" s="112" t="s">
        <v>176</v>
      </c>
      <c r="E5186" s="112">
        <v>1918.8</v>
      </c>
      <c r="F5186" s="111" t="str">
        <f>DataPull!D5186</f>
        <v/>
      </c>
      <c r="G5186" s="94" t="str">
        <f t="shared" si="2"/>
        <v/>
      </c>
      <c r="H5186" s="94" t="str">
        <f t="shared" si="3"/>
        <v/>
      </c>
      <c r="I5186" s="94" t="str">
        <f t="shared" ref="I5186:J5186" si="5187">if(G5186 = "", , -G5186)</f>
        <v/>
      </c>
      <c r="J5186" s="94" t="str">
        <f t="shared" si="5187"/>
        <v/>
      </c>
      <c r="K5186" s="100"/>
      <c r="M5186" s="100"/>
      <c r="N5186" s="100"/>
      <c r="O5186" s="100"/>
      <c r="P5186" s="100"/>
    </row>
    <row r="5187">
      <c r="A5187" s="107">
        <v>1629638.0</v>
      </c>
      <c r="B5187" s="108" t="s">
        <v>246</v>
      </c>
      <c r="C5187" s="108" t="s">
        <v>1252</v>
      </c>
      <c r="D5187" s="112" t="s">
        <v>176</v>
      </c>
      <c r="E5187" s="112">
        <v>2074.6</v>
      </c>
      <c r="F5187" s="111" t="str">
        <f>DataPull!D5187</f>
        <v/>
      </c>
      <c r="G5187" s="94" t="str">
        <f t="shared" si="2"/>
        <v/>
      </c>
      <c r="H5187" s="94" t="str">
        <f t="shared" si="3"/>
        <v/>
      </c>
      <c r="I5187" s="94" t="str">
        <f t="shared" ref="I5187:J5187" si="5188">if(G5187 = "", , -G5187)</f>
        <v/>
      </c>
      <c r="J5187" s="94" t="str">
        <f t="shared" si="5188"/>
        <v/>
      </c>
      <c r="K5187" s="100"/>
      <c r="L5187" s="100"/>
      <c r="N5187" s="100"/>
      <c r="O5187" s="100"/>
      <c r="P5187" s="100"/>
    </row>
    <row r="5188">
      <c r="A5188" s="114">
        <v>1629638.0</v>
      </c>
      <c r="B5188" s="113" t="s">
        <v>247</v>
      </c>
      <c r="C5188" s="113" t="s">
        <v>1252</v>
      </c>
      <c r="D5188" s="112" t="s">
        <v>178</v>
      </c>
      <c r="E5188" s="112">
        <v>2605.2</v>
      </c>
      <c r="F5188" s="111" t="str">
        <f>DataPull!D5188</f>
        <v/>
      </c>
      <c r="G5188" s="94" t="str">
        <f t="shared" si="2"/>
        <v/>
      </c>
      <c r="H5188" s="94" t="str">
        <f t="shared" si="3"/>
        <v/>
      </c>
      <c r="I5188" s="94" t="str">
        <f t="shared" ref="I5188:J5188" si="5189">if(G5188 = "", , -G5188)</f>
        <v/>
      </c>
      <c r="J5188" s="94" t="str">
        <f t="shared" si="5189"/>
        <v/>
      </c>
      <c r="K5188" s="100"/>
      <c r="M5188" s="100"/>
      <c r="N5188" s="100"/>
      <c r="O5188" s="100"/>
      <c r="P5188" s="100"/>
    </row>
    <row r="5189">
      <c r="A5189" s="107">
        <v>1629639.0</v>
      </c>
      <c r="B5189" s="108" t="s">
        <v>193</v>
      </c>
      <c r="C5189" s="108" t="s">
        <v>1253</v>
      </c>
      <c r="D5189" s="112" t="s">
        <v>176</v>
      </c>
      <c r="E5189" s="112">
        <v>1507.0</v>
      </c>
      <c r="F5189" s="111" t="str">
        <f>DataPull!D5189</f>
        <v/>
      </c>
      <c r="G5189" s="94" t="str">
        <f t="shared" si="2"/>
        <v/>
      </c>
      <c r="H5189" s="94" t="str">
        <f t="shared" si="3"/>
        <v/>
      </c>
      <c r="I5189" s="94" t="str">
        <f t="shared" ref="I5189:J5189" si="5190">if(G5189 = "", , -G5189)</f>
        <v/>
      </c>
      <c r="J5189" s="94" t="str">
        <f t="shared" si="5190"/>
        <v/>
      </c>
      <c r="K5189" s="100"/>
      <c r="M5189" s="100"/>
      <c r="N5189" s="100"/>
      <c r="O5189" s="100"/>
      <c r="P5189" s="100"/>
    </row>
    <row r="5190">
      <c r="A5190" s="107">
        <v>1629639.0</v>
      </c>
      <c r="B5190" s="108" t="s">
        <v>243</v>
      </c>
      <c r="C5190" s="108" t="s">
        <v>1253</v>
      </c>
      <c r="D5190" s="112" t="s">
        <v>178</v>
      </c>
      <c r="E5190" s="112">
        <v>1636.2</v>
      </c>
      <c r="F5190" s="111" t="str">
        <f>DataPull!D5190</f>
        <v/>
      </c>
      <c r="G5190" s="94" t="str">
        <f t="shared" si="2"/>
        <v/>
      </c>
      <c r="H5190" s="94" t="str">
        <f t="shared" si="3"/>
        <v/>
      </c>
      <c r="I5190" s="94" t="str">
        <f t="shared" ref="I5190:J5190" si="5191">if(G5190 = "", , -G5190)</f>
        <v/>
      </c>
      <c r="J5190" s="94" t="str">
        <f t="shared" si="5191"/>
        <v/>
      </c>
      <c r="K5190" s="100"/>
      <c r="M5190" s="100"/>
      <c r="N5190" s="100"/>
      <c r="O5190" s="100"/>
      <c r="P5190" s="100"/>
    </row>
    <row r="5191">
      <c r="A5191" s="107">
        <v>1629639.0</v>
      </c>
      <c r="B5191" s="108" t="s">
        <v>215</v>
      </c>
      <c r="C5191" s="108" t="s">
        <v>1253</v>
      </c>
      <c r="D5191" s="112" t="s">
        <v>178</v>
      </c>
      <c r="E5191" s="112">
        <v>2151.6</v>
      </c>
      <c r="F5191" s="111" t="str">
        <f>DataPull!D5191</f>
        <v/>
      </c>
      <c r="G5191" s="94" t="str">
        <f t="shared" si="2"/>
        <v/>
      </c>
      <c r="H5191" s="94" t="str">
        <f t="shared" si="3"/>
        <v/>
      </c>
      <c r="I5191" s="94" t="str">
        <f t="shared" ref="I5191:J5191" si="5192">if(G5191 = "", , -G5191)</f>
        <v/>
      </c>
      <c r="J5191" s="94" t="str">
        <f t="shared" si="5192"/>
        <v/>
      </c>
      <c r="K5191" s="100"/>
      <c r="M5191" s="100"/>
      <c r="N5191" s="100"/>
      <c r="O5191" s="100"/>
      <c r="P5191" s="100"/>
    </row>
    <row r="5192">
      <c r="A5192" s="107">
        <v>1629639.0</v>
      </c>
      <c r="B5192" s="108" t="s">
        <v>244</v>
      </c>
      <c r="C5192" s="108" t="s">
        <v>1253</v>
      </c>
      <c r="D5192" s="112" t="s">
        <v>178</v>
      </c>
      <c r="E5192" s="112">
        <v>2338.3</v>
      </c>
      <c r="F5192" s="111" t="str">
        <f>DataPull!D5192</f>
        <v/>
      </c>
      <c r="G5192" s="94" t="str">
        <f t="shared" si="2"/>
        <v/>
      </c>
      <c r="H5192" s="94" t="str">
        <f t="shared" si="3"/>
        <v/>
      </c>
      <c r="I5192" s="94" t="str">
        <f t="shared" ref="I5192:J5192" si="5193">if(G5192 = "", , -G5192)</f>
        <v/>
      </c>
      <c r="J5192" s="94" t="str">
        <f t="shared" si="5193"/>
        <v/>
      </c>
      <c r="K5192" s="100"/>
      <c r="M5192" s="100"/>
      <c r="N5192" s="100"/>
      <c r="O5192" s="100"/>
      <c r="P5192" s="100"/>
    </row>
    <row r="5193">
      <c r="A5193" s="107">
        <v>1629639.0</v>
      </c>
      <c r="B5193" s="108" t="s">
        <v>245</v>
      </c>
      <c r="C5193" s="108" t="s">
        <v>1253</v>
      </c>
      <c r="D5193" s="112" t="s">
        <v>178</v>
      </c>
      <c r="E5193" s="112">
        <v>1407.0</v>
      </c>
      <c r="F5193" s="111" t="str">
        <f>DataPull!D5193</f>
        <v/>
      </c>
      <c r="G5193" s="94" t="str">
        <f t="shared" si="2"/>
        <v/>
      </c>
      <c r="H5193" s="94" t="str">
        <f t="shared" si="3"/>
        <v/>
      </c>
      <c r="I5193" s="94" t="str">
        <f t="shared" ref="I5193:J5193" si="5194">if(G5193 = "", , -G5193)</f>
        <v/>
      </c>
      <c r="J5193" s="94" t="str">
        <f t="shared" si="5194"/>
        <v/>
      </c>
      <c r="K5193" s="100"/>
      <c r="M5193" s="100"/>
      <c r="N5193" s="100"/>
      <c r="O5193" s="100"/>
      <c r="P5193" s="100"/>
    </row>
    <row r="5194">
      <c r="A5194" s="107">
        <v>1629639.0</v>
      </c>
      <c r="B5194" s="108" t="s">
        <v>246</v>
      </c>
      <c r="C5194" s="108" t="s">
        <v>1253</v>
      </c>
      <c r="D5194" s="112" t="s">
        <v>184</v>
      </c>
      <c r="E5194" s="112">
        <v>2725.8</v>
      </c>
      <c r="F5194" s="111" t="str">
        <f>DataPull!D5194</f>
        <v/>
      </c>
      <c r="G5194" s="94" t="str">
        <f t="shared" si="2"/>
        <v/>
      </c>
      <c r="H5194" s="94" t="str">
        <f t="shared" si="3"/>
        <v/>
      </c>
      <c r="I5194" s="94" t="str">
        <f t="shared" ref="I5194:J5194" si="5195">if(G5194 = "", , -G5194)</f>
        <v/>
      </c>
      <c r="J5194" s="94" t="str">
        <f t="shared" si="5195"/>
        <v/>
      </c>
      <c r="K5194" s="100"/>
      <c r="M5194" s="100"/>
      <c r="N5194" s="100"/>
      <c r="O5194" s="100"/>
    </row>
    <row r="5195">
      <c r="A5195" s="89">
        <v>1629639.0</v>
      </c>
      <c r="B5195" s="113" t="s">
        <v>247</v>
      </c>
      <c r="C5195" s="113" t="s">
        <v>1253</v>
      </c>
      <c r="D5195" s="112" t="s">
        <v>178</v>
      </c>
      <c r="E5195" s="112">
        <v>1032.9</v>
      </c>
      <c r="F5195" s="111" t="str">
        <f>DataPull!D5195</f>
        <v/>
      </c>
      <c r="G5195" s="94" t="str">
        <f t="shared" si="2"/>
        <v/>
      </c>
      <c r="H5195" s="94" t="str">
        <f t="shared" si="3"/>
        <v/>
      </c>
      <c r="I5195" s="94" t="str">
        <f t="shared" ref="I5195:J5195" si="5196">if(G5195 = "", , -G5195)</f>
        <v/>
      </c>
      <c r="J5195" s="94" t="str">
        <f t="shared" si="5196"/>
        <v/>
      </c>
      <c r="K5195" s="100"/>
      <c r="M5195" s="100"/>
      <c r="N5195" s="100"/>
      <c r="O5195" s="100"/>
    </row>
    <row r="5196">
      <c r="A5196" s="107">
        <v>1629640.0</v>
      </c>
      <c r="B5196" s="108" t="s">
        <v>193</v>
      </c>
      <c r="C5196" s="108" t="s">
        <v>1254</v>
      </c>
      <c r="D5196" s="112" t="s">
        <v>177</v>
      </c>
      <c r="E5196" s="112">
        <v>300.9</v>
      </c>
      <c r="F5196" s="111" t="str">
        <f>DataPull!D5196</f>
        <v/>
      </c>
      <c r="G5196" s="94" t="str">
        <f t="shared" si="2"/>
        <v/>
      </c>
      <c r="H5196" s="94" t="str">
        <f t="shared" si="3"/>
        <v/>
      </c>
      <c r="I5196" s="94" t="str">
        <f t="shared" ref="I5196:J5196" si="5197">if(G5196 = "", , -G5196)</f>
        <v/>
      </c>
      <c r="J5196" s="94" t="str">
        <f t="shared" si="5197"/>
        <v/>
      </c>
      <c r="K5196" s="100"/>
      <c r="M5196" s="100"/>
      <c r="N5196" s="100"/>
      <c r="O5196" s="100"/>
      <c r="P5196" s="100"/>
    </row>
    <row r="5197">
      <c r="A5197" s="107">
        <v>1629640.0</v>
      </c>
      <c r="B5197" s="108" t="s">
        <v>243</v>
      </c>
      <c r="C5197" s="108" t="s">
        <v>1254</v>
      </c>
      <c r="D5197" s="112" t="s">
        <v>178</v>
      </c>
      <c r="E5197" s="112">
        <v>1966.5</v>
      </c>
      <c r="F5197" s="111" t="str">
        <f>DataPull!D5197</f>
        <v/>
      </c>
      <c r="G5197" s="94" t="str">
        <f t="shared" si="2"/>
        <v/>
      </c>
      <c r="H5197" s="94" t="str">
        <f t="shared" si="3"/>
        <v/>
      </c>
      <c r="I5197" s="94" t="str">
        <f t="shared" ref="I5197:J5197" si="5198">if(G5197 = "", , -G5197)</f>
        <v/>
      </c>
      <c r="J5197" s="94" t="str">
        <f t="shared" si="5198"/>
        <v/>
      </c>
      <c r="K5197" s="100"/>
      <c r="M5197" s="100"/>
      <c r="N5197" s="100"/>
      <c r="O5197" s="100"/>
      <c r="P5197" s="100"/>
    </row>
    <row r="5198">
      <c r="A5198" s="107">
        <v>1629640.0</v>
      </c>
      <c r="B5198" s="108" t="s">
        <v>215</v>
      </c>
      <c r="C5198" s="108" t="s">
        <v>1254</v>
      </c>
      <c r="D5198" s="112" t="s">
        <v>178</v>
      </c>
      <c r="E5198" s="112">
        <v>2392.5</v>
      </c>
      <c r="F5198" s="111" t="str">
        <f>DataPull!D5198</f>
        <v/>
      </c>
      <c r="G5198" s="94" t="str">
        <f t="shared" si="2"/>
        <v/>
      </c>
      <c r="H5198" s="94" t="str">
        <f t="shared" si="3"/>
        <v/>
      </c>
      <c r="I5198" s="94" t="str">
        <f t="shared" ref="I5198:J5198" si="5199">if(G5198 = "", , -G5198)</f>
        <v/>
      </c>
      <c r="J5198" s="94" t="str">
        <f t="shared" si="5199"/>
        <v/>
      </c>
      <c r="K5198" s="100"/>
      <c r="M5198" s="100"/>
      <c r="N5198" s="100"/>
      <c r="O5198" s="100"/>
      <c r="P5198" s="100"/>
    </row>
    <row r="5199">
      <c r="A5199" s="107">
        <v>1629640.0</v>
      </c>
      <c r="B5199" s="108" t="s">
        <v>244</v>
      </c>
      <c r="C5199" s="108" t="s">
        <v>1254</v>
      </c>
      <c r="D5199" s="112" t="s">
        <v>178</v>
      </c>
      <c r="E5199" s="112">
        <v>2066.4</v>
      </c>
      <c r="F5199" s="111" t="str">
        <f>DataPull!D5199</f>
        <v/>
      </c>
      <c r="G5199" s="94" t="str">
        <f t="shared" si="2"/>
        <v/>
      </c>
      <c r="H5199" s="94" t="str">
        <f t="shared" si="3"/>
        <v/>
      </c>
      <c r="I5199" s="94" t="str">
        <f t="shared" ref="I5199:J5199" si="5200">if(G5199 = "", , -G5199)</f>
        <v/>
      </c>
      <c r="J5199" s="94" t="str">
        <f t="shared" si="5200"/>
        <v/>
      </c>
      <c r="K5199" s="100"/>
      <c r="M5199" s="100"/>
      <c r="N5199" s="100"/>
      <c r="O5199" s="100"/>
      <c r="P5199" s="100"/>
    </row>
    <row r="5200">
      <c r="A5200" s="107">
        <v>1629640.0</v>
      </c>
      <c r="B5200" s="108" t="s">
        <v>245</v>
      </c>
      <c r="C5200" s="108" t="s">
        <v>1254</v>
      </c>
      <c r="D5200" s="112" t="s">
        <v>178</v>
      </c>
      <c r="E5200" s="112">
        <v>2035.5</v>
      </c>
      <c r="F5200" s="111" t="str">
        <f>DataPull!D5200</f>
        <v/>
      </c>
      <c r="G5200" s="94" t="str">
        <f t="shared" si="2"/>
        <v/>
      </c>
      <c r="H5200" s="94" t="str">
        <f t="shared" si="3"/>
        <v/>
      </c>
      <c r="I5200" s="94" t="str">
        <f t="shared" ref="I5200:J5200" si="5201">if(G5200 = "", , -G5200)</f>
        <v/>
      </c>
      <c r="J5200" s="94" t="str">
        <f t="shared" si="5201"/>
        <v/>
      </c>
      <c r="K5200" s="100"/>
      <c r="M5200" s="100"/>
      <c r="N5200" s="100"/>
      <c r="O5200" s="100"/>
      <c r="P5200" s="100"/>
    </row>
    <row r="5201">
      <c r="A5201" s="107">
        <v>1629640.0</v>
      </c>
      <c r="B5201" s="108" t="s">
        <v>246</v>
      </c>
      <c r="C5201" s="108" t="s">
        <v>1254</v>
      </c>
      <c r="D5201" s="112" t="s">
        <v>176</v>
      </c>
      <c r="E5201" s="112">
        <v>1840.3</v>
      </c>
      <c r="F5201" s="111" t="str">
        <f>DataPull!D5201</f>
        <v/>
      </c>
      <c r="G5201" s="94" t="str">
        <f t="shared" si="2"/>
        <v/>
      </c>
      <c r="H5201" s="94" t="str">
        <f t="shared" si="3"/>
        <v/>
      </c>
      <c r="I5201" s="94" t="str">
        <f t="shared" ref="I5201:J5201" si="5202">if(G5201 = "", , -G5201)</f>
        <v/>
      </c>
      <c r="J5201" s="94" t="str">
        <f t="shared" si="5202"/>
        <v/>
      </c>
      <c r="K5201" s="100"/>
      <c r="M5201" s="100"/>
      <c r="N5201" s="100"/>
      <c r="O5201" s="100"/>
      <c r="P5201" s="100"/>
    </row>
    <row r="5202">
      <c r="A5202" s="114">
        <v>1629640.0</v>
      </c>
      <c r="B5202" s="113" t="s">
        <v>247</v>
      </c>
      <c r="C5202" s="113" t="s">
        <v>1254</v>
      </c>
      <c r="D5202" s="112" t="s">
        <v>176</v>
      </c>
      <c r="E5202" s="112">
        <v>1910.6</v>
      </c>
      <c r="F5202" s="111" t="str">
        <f>DataPull!D5202</f>
        <v/>
      </c>
      <c r="G5202" s="94" t="str">
        <f t="shared" si="2"/>
        <v/>
      </c>
      <c r="H5202" s="94" t="str">
        <f t="shared" si="3"/>
        <v/>
      </c>
      <c r="I5202" s="94" t="str">
        <f t="shared" ref="I5202:J5202" si="5203">if(G5202 = "", , -G5202)</f>
        <v/>
      </c>
      <c r="J5202" s="94" t="str">
        <f t="shared" si="5203"/>
        <v/>
      </c>
      <c r="K5202" s="100"/>
      <c r="M5202" s="100"/>
      <c r="N5202" s="100"/>
      <c r="O5202" s="100"/>
      <c r="P5202" s="100"/>
    </row>
    <row r="5203">
      <c r="A5203" s="107">
        <v>1629641.0</v>
      </c>
      <c r="B5203" s="108" t="s">
        <v>193</v>
      </c>
      <c r="C5203" s="108" t="s">
        <v>1255</v>
      </c>
      <c r="D5203" s="112" t="s">
        <v>177</v>
      </c>
      <c r="E5203" s="112">
        <v>371.2</v>
      </c>
      <c r="F5203" s="111" t="str">
        <f>DataPull!D5203</f>
        <v/>
      </c>
      <c r="G5203" s="94" t="str">
        <f t="shared" si="2"/>
        <v/>
      </c>
      <c r="H5203" s="94" t="str">
        <f t="shared" si="3"/>
        <v/>
      </c>
      <c r="I5203" s="94" t="str">
        <f t="shared" ref="I5203:J5203" si="5204">if(G5203 = "", , -G5203)</f>
        <v/>
      </c>
      <c r="J5203" s="94" t="str">
        <f t="shared" si="5204"/>
        <v/>
      </c>
      <c r="K5203" s="100"/>
      <c r="M5203" s="100"/>
      <c r="N5203" s="100"/>
      <c r="O5203" s="100"/>
      <c r="P5203" s="100"/>
    </row>
    <row r="5204">
      <c r="A5204" s="107">
        <v>1629641.0</v>
      </c>
      <c r="B5204" s="108" t="s">
        <v>243</v>
      </c>
      <c r="C5204" s="108" t="s">
        <v>1255</v>
      </c>
      <c r="D5204" s="112" t="s">
        <v>187</v>
      </c>
      <c r="E5204" s="112">
        <v>282.6</v>
      </c>
      <c r="F5204" s="111" t="str">
        <f>DataPull!D5204</f>
        <v/>
      </c>
      <c r="G5204" s="94" t="str">
        <f t="shared" si="2"/>
        <v/>
      </c>
      <c r="H5204" s="94" t="str">
        <f t="shared" si="3"/>
        <v/>
      </c>
      <c r="I5204" s="94" t="str">
        <f t="shared" ref="I5204:J5204" si="5205">if(G5204 = "", , -G5204)</f>
        <v/>
      </c>
      <c r="J5204" s="94" t="str">
        <f t="shared" si="5205"/>
        <v/>
      </c>
      <c r="K5204" s="100"/>
      <c r="M5204" s="100"/>
      <c r="N5204" s="100"/>
      <c r="O5204" s="100"/>
      <c r="P5204" s="100"/>
    </row>
    <row r="5205">
      <c r="A5205" s="107">
        <v>1629641.0</v>
      </c>
      <c r="B5205" s="108" t="s">
        <v>215</v>
      </c>
      <c r="C5205" s="108" t="s">
        <v>1255</v>
      </c>
      <c r="D5205" s="112" t="s">
        <v>177</v>
      </c>
      <c r="E5205" s="112">
        <v>772.8</v>
      </c>
      <c r="F5205" s="111" t="str">
        <f>DataPull!D5205</f>
        <v/>
      </c>
      <c r="G5205" s="94" t="str">
        <f t="shared" si="2"/>
        <v/>
      </c>
      <c r="H5205" s="94" t="str">
        <f t="shared" si="3"/>
        <v/>
      </c>
      <c r="I5205" s="94" t="str">
        <f t="shared" ref="I5205:J5205" si="5206">if(G5205 = "", , -G5205)</f>
        <v/>
      </c>
      <c r="J5205" s="94" t="str">
        <f t="shared" si="5206"/>
        <v/>
      </c>
      <c r="K5205" s="100"/>
      <c r="M5205" s="100"/>
      <c r="N5205" s="100"/>
      <c r="O5205" s="100"/>
      <c r="P5205" s="100"/>
    </row>
    <row r="5206">
      <c r="A5206" s="107">
        <v>1629641.0</v>
      </c>
      <c r="B5206" s="108" t="s">
        <v>244</v>
      </c>
      <c r="C5206" s="108" t="s">
        <v>1255</v>
      </c>
      <c r="D5206" s="112" t="s">
        <v>177</v>
      </c>
      <c r="E5206" s="112">
        <v>842.8</v>
      </c>
      <c r="F5206" s="111" t="str">
        <f>DataPull!D5206</f>
        <v/>
      </c>
      <c r="G5206" s="94" t="str">
        <f t="shared" si="2"/>
        <v/>
      </c>
      <c r="H5206" s="94" t="str">
        <f t="shared" si="3"/>
        <v/>
      </c>
      <c r="I5206" s="94" t="str">
        <f t="shared" ref="I5206:J5206" si="5207">if(G5206 = "", , -G5206)</f>
        <v/>
      </c>
      <c r="J5206" s="94" t="str">
        <f t="shared" si="5207"/>
        <v/>
      </c>
      <c r="K5206" s="100"/>
      <c r="M5206" s="100"/>
      <c r="N5206" s="100"/>
      <c r="O5206" s="100"/>
      <c r="P5206" s="100"/>
    </row>
    <row r="5207">
      <c r="A5207" s="107">
        <v>1629642.0</v>
      </c>
      <c r="B5207" s="108" t="s">
        <v>193</v>
      </c>
      <c r="C5207" s="108" t="s">
        <v>1256</v>
      </c>
      <c r="D5207" s="112" t="s">
        <v>177</v>
      </c>
      <c r="E5207" s="112">
        <v>571.2</v>
      </c>
      <c r="F5207" s="111" t="str">
        <f>DataPull!D5207</f>
        <v/>
      </c>
      <c r="G5207" s="94" t="str">
        <f t="shared" si="2"/>
        <v/>
      </c>
      <c r="H5207" s="94" t="str">
        <f t="shared" si="3"/>
        <v/>
      </c>
      <c r="I5207" s="94" t="str">
        <f t="shared" ref="I5207:J5207" si="5208">if(G5207 = "", , -G5207)</f>
        <v/>
      </c>
      <c r="J5207" s="94" t="str">
        <f t="shared" si="5208"/>
        <v/>
      </c>
      <c r="K5207" s="100"/>
      <c r="M5207" s="100"/>
      <c r="N5207" s="100"/>
      <c r="O5207" s="100"/>
      <c r="P5207" s="100"/>
    </row>
    <row r="5208">
      <c r="A5208" s="107">
        <v>1629642.0</v>
      </c>
      <c r="B5208" s="108" t="s">
        <v>243</v>
      </c>
      <c r="C5208" s="108" t="s">
        <v>1256</v>
      </c>
      <c r="D5208" s="112" t="s">
        <v>187</v>
      </c>
      <c r="E5208" s="112">
        <v>638.4</v>
      </c>
      <c r="F5208" s="111" t="str">
        <f>DataPull!D5208</f>
        <v/>
      </c>
      <c r="G5208" s="94" t="str">
        <f t="shared" si="2"/>
        <v/>
      </c>
      <c r="H5208" s="94" t="str">
        <f t="shared" si="3"/>
        <v/>
      </c>
      <c r="I5208" s="94" t="str">
        <f t="shared" ref="I5208:J5208" si="5209">if(G5208 = "", , -G5208)</f>
        <v/>
      </c>
      <c r="J5208" s="94" t="str">
        <f t="shared" si="5209"/>
        <v/>
      </c>
      <c r="K5208" s="100"/>
      <c r="M5208" s="100"/>
      <c r="N5208" s="100"/>
      <c r="O5208" s="100"/>
      <c r="P5208" s="100"/>
    </row>
    <row r="5209">
      <c r="A5209" s="107">
        <v>1629642.0</v>
      </c>
      <c r="B5209" s="108" t="s">
        <v>215</v>
      </c>
      <c r="C5209" s="108" t="s">
        <v>1256</v>
      </c>
      <c r="D5209" s="112" t="s">
        <v>176</v>
      </c>
      <c r="E5209" s="112">
        <v>1087.8</v>
      </c>
      <c r="F5209" s="111" t="str">
        <f>DataPull!D5209</f>
        <v/>
      </c>
      <c r="G5209" s="94" t="str">
        <f t="shared" si="2"/>
        <v/>
      </c>
      <c r="H5209" s="94" t="str">
        <f t="shared" si="3"/>
        <v/>
      </c>
      <c r="I5209" s="94" t="str">
        <f t="shared" ref="I5209:J5209" si="5210">if(G5209 = "", , -G5209)</f>
        <v/>
      </c>
      <c r="J5209" s="94" t="str">
        <f t="shared" si="5210"/>
        <v/>
      </c>
      <c r="K5209" s="100"/>
      <c r="M5209" s="100"/>
      <c r="N5209" s="100"/>
      <c r="O5209" s="100"/>
      <c r="P5209" s="100"/>
    </row>
    <row r="5210">
      <c r="A5210" s="107">
        <v>1629642.0</v>
      </c>
      <c r="B5210" s="108" t="s">
        <v>244</v>
      </c>
      <c r="C5210" s="108" t="s">
        <v>1256</v>
      </c>
      <c r="D5210" s="112" t="s">
        <v>177</v>
      </c>
      <c r="E5210" s="112">
        <v>977.4</v>
      </c>
      <c r="F5210" s="111" t="str">
        <f>DataPull!D5210</f>
        <v/>
      </c>
      <c r="G5210" s="94" t="str">
        <f t="shared" si="2"/>
        <v/>
      </c>
      <c r="H5210" s="94" t="str">
        <f t="shared" si="3"/>
        <v/>
      </c>
      <c r="I5210" s="94" t="str">
        <f t="shared" ref="I5210:J5210" si="5211">if(G5210 = "", , -G5210)</f>
        <v/>
      </c>
      <c r="J5210" s="94" t="str">
        <f t="shared" si="5211"/>
        <v/>
      </c>
      <c r="K5210" s="100"/>
      <c r="M5210" s="100"/>
      <c r="N5210" s="100"/>
      <c r="O5210" s="100"/>
      <c r="P5210" s="100"/>
    </row>
    <row r="5211">
      <c r="A5211" s="107">
        <v>1629642.0</v>
      </c>
      <c r="B5211" s="108" t="s">
        <v>245</v>
      </c>
      <c r="C5211" s="108" t="s">
        <v>1256</v>
      </c>
      <c r="D5211" s="112" t="s">
        <v>177</v>
      </c>
      <c r="E5211" s="112">
        <v>459.0</v>
      </c>
      <c r="F5211" s="111" t="str">
        <f>DataPull!D5211</f>
        <v/>
      </c>
      <c r="G5211" s="94" t="str">
        <f t="shared" si="2"/>
        <v/>
      </c>
      <c r="H5211" s="94" t="str">
        <f t="shared" si="3"/>
        <v/>
      </c>
      <c r="I5211" s="94" t="str">
        <f t="shared" ref="I5211:J5211" si="5212">if(G5211 = "", , -G5211)</f>
        <v/>
      </c>
      <c r="J5211" s="94" t="str">
        <f t="shared" si="5212"/>
        <v/>
      </c>
      <c r="K5211" s="100"/>
      <c r="M5211" s="100"/>
      <c r="N5211" s="100"/>
      <c r="O5211" s="100"/>
      <c r="P5211" s="100"/>
    </row>
    <row r="5212">
      <c r="A5212" s="107">
        <v>1629643.0</v>
      </c>
      <c r="B5212" s="108" t="s">
        <v>243</v>
      </c>
      <c r="C5212" s="108" t="s">
        <v>1257</v>
      </c>
      <c r="D5212" s="112" t="s">
        <v>176</v>
      </c>
      <c r="E5212" s="112">
        <v>1134.0</v>
      </c>
      <c r="F5212" s="111" t="str">
        <f>DataPull!D5212</f>
        <v/>
      </c>
      <c r="G5212" s="94" t="str">
        <f t="shared" si="2"/>
        <v/>
      </c>
      <c r="H5212" s="94" t="str">
        <f t="shared" si="3"/>
        <v/>
      </c>
      <c r="I5212" s="94" t="str">
        <f t="shared" ref="I5212:J5212" si="5213">if(G5212 = "", , -G5212)</f>
        <v/>
      </c>
      <c r="J5212" s="94" t="str">
        <f t="shared" si="5213"/>
        <v/>
      </c>
      <c r="K5212" s="100"/>
      <c r="M5212" s="100"/>
      <c r="N5212" s="100"/>
      <c r="O5212" s="100"/>
      <c r="P5212" s="100"/>
    </row>
    <row r="5213">
      <c r="A5213" s="107">
        <v>1629643.0</v>
      </c>
      <c r="B5213" s="108" t="s">
        <v>215</v>
      </c>
      <c r="C5213" s="108" t="s">
        <v>1257</v>
      </c>
      <c r="D5213" s="112" t="s">
        <v>176</v>
      </c>
      <c r="E5213" s="112">
        <v>1750.0</v>
      </c>
      <c r="F5213" s="111" t="str">
        <f>DataPull!D5213</f>
        <v/>
      </c>
      <c r="G5213" s="94" t="str">
        <f t="shared" si="2"/>
        <v/>
      </c>
      <c r="H5213" s="94" t="str">
        <f t="shared" si="3"/>
        <v/>
      </c>
      <c r="I5213" s="94" t="str">
        <f t="shared" ref="I5213:J5213" si="5214">if(G5213 = "", , -G5213)</f>
        <v/>
      </c>
      <c r="J5213" s="94" t="str">
        <f t="shared" si="5214"/>
        <v/>
      </c>
      <c r="K5213" s="100"/>
      <c r="M5213" s="100"/>
      <c r="N5213" s="100"/>
      <c r="O5213" s="100"/>
      <c r="P5213" s="100"/>
    </row>
    <row r="5214">
      <c r="A5214" s="107">
        <v>1629643.0</v>
      </c>
      <c r="B5214" s="108" t="s">
        <v>244</v>
      </c>
      <c r="C5214" s="108" t="s">
        <v>1257</v>
      </c>
      <c r="D5214" s="112" t="s">
        <v>177</v>
      </c>
      <c r="E5214" s="112">
        <v>518.4</v>
      </c>
      <c r="F5214" s="111" t="str">
        <f>DataPull!D5214</f>
        <v/>
      </c>
      <c r="G5214" s="94" t="str">
        <f t="shared" si="2"/>
        <v/>
      </c>
      <c r="H5214" s="94" t="str">
        <f t="shared" si="3"/>
        <v/>
      </c>
      <c r="I5214" s="94" t="str">
        <f t="shared" ref="I5214:J5214" si="5215">if(G5214 = "", , -G5214)</f>
        <v/>
      </c>
      <c r="J5214" s="94" t="str">
        <f t="shared" si="5215"/>
        <v/>
      </c>
      <c r="K5214" s="100"/>
      <c r="M5214" s="100"/>
      <c r="N5214" s="100"/>
      <c r="O5214" s="100"/>
      <c r="P5214" s="100"/>
    </row>
    <row r="5215">
      <c r="A5215" s="107">
        <v>1629643.0</v>
      </c>
      <c r="B5215" s="108" t="s">
        <v>245</v>
      </c>
      <c r="C5215" s="108" t="s">
        <v>1257</v>
      </c>
      <c r="D5215" s="112" t="s">
        <v>187</v>
      </c>
      <c r="E5215" s="112">
        <v>432.4</v>
      </c>
      <c r="F5215" s="111" t="str">
        <f>DataPull!D5215</f>
        <v/>
      </c>
      <c r="G5215" s="94" t="str">
        <f t="shared" si="2"/>
        <v/>
      </c>
      <c r="H5215" s="94" t="str">
        <f t="shared" si="3"/>
        <v/>
      </c>
      <c r="I5215" s="94" t="str">
        <f t="shared" ref="I5215:J5215" si="5216">if(G5215 = "", , -G5215)</f>
        <v/>
      </c>
      <c r="J5215" s="94" t="str">
        <f t="shared" si="5216"/>
        <v/>
      </c>
      <c r="K5215" s="100"/>
      <c r="M5215" s="100"/>
      <c r="N5215" s="100"/>
      <c r="O5215" s="100"/>
      <c r="P5215" s="100"/>
    </row>
    <row r="5216">
      <c r="A5216" s="123">
        <v>1629643.0</v>
      </c>
      <c r="B5216" s="124" t="s">
        <v>246</v>
      </c>
      <c r="C5216" s="125" t="s">
        <v>1257</v>
      </c>
      <c r="D5216" s="130" t="s">
        <v>181</v>
      </c>
      <c r="E5216" s="130">
        <v>197.1</v>
      </c>
      <c r="F5216" s="111" t="str">
        <f>DataPull!D5216</f>
        <v/>
      </c>
      <c r="G5216" s="94" t="str">
        <f t="shared" si="2"/>
        <v/>
      </c>
      <c r="H5216" s="94" t="str">
        <f t="shared" si="3"/>
        <v/>
      </c>
      <c r="I5216" s="94" t="str">
        <f t="shared" ref="I5216:J5216" si="5217">if(G5216 = "", , -G5216)</f>
        <v/>
      </c>
      <c r="J5216" s="94" t="str">
        <f t="shared" si="5217"/>
        <v/>
      </c>
      <c r="K5216" s="100"/>
      <c r="M5216" s="100"/>
      <c r="N5216" s="100"/>
      <c r="O5216" s="100"/>
      <c r="P5216" s="100"/>
    </row>
    <row r="5217">
      <c r="A5217" s="107">
        <v>1629644.0</v>
      </c>
      <c r="B5217" s="108" t="s">
        <v>193</v>
      </c>
      <c r="C5217" s="108" t="s">
        <v>1258</v>
      </c>
      <c r="D5217" s="112" t="s">
        <v>181</v>
      </c>
      <c r="E5217" s="112">
        <v>26.0</v>
      </c>
      <c r="F5217" s="111" t="str">
        <f>DataPull!D5217</f>
        <v/>
      </c>
      <c r="G5217" s="94" t="str">
        <f t="shared" si="2"/>
        <v/>
      </c>
      <c r="H5217" s="94" t="str">
        <f t="shared" si="3"/>
        <v/>
      </c>
      <c r="I5217" s="94" t="str">
        <f t="shared" ref="I5217:J5217" si="5218">if(G5217 = "", , -G5217)</f>
        <v/>
      </c>
      <c r="J5217" s="94" t="str">
        <f t="shared" si="5218"/>
        <v/>
      </c>
      <c r="K5217" s="100"/>
      <c r="M5217" s="100"/>
      <c r="N5217" s="100"/>
      <c r="O5217" s="100"/>
      <c r="P5217" s="100"/>
    </row>
    <row r="5218">
      <c r="A5218" s="107">
        <v>1629644.0</v>
      </c>
      <c r="B5218" s="108" t="s">
        <v>243</v>
      </c>
      <c r="C5218" s="108" t="s">
        <v>1258</v>
      </c>
      <c r="D5218" s="112" t="s">
        <v>187</v>
      </c>
      <c r="E5218" s="112">
        <v>447.7</v>
      </c>
      <c r="F5218" s="111" t="str">
        <f>DataPull!D5218</f>
        <v/>
      </c>
      <c r="G5218" s="94" t="str">
        <f t="shared" si="2"/>
        <v/>
      </c>
      <c r="H5218" s="94" t="str">
        <f t="shared" si="3"/>
        <v/>
      </c>
      <c r="I5218" s="94" t="str">
        <f t="shared" ref="I5218:J5218" si="5219">if(G5218 = "", , -G5218)</f>
        <v/>
      </c>
      <c r="J5218" s="94" t="str">
        <f t="shared" si="5219"/>
        <v/>
      </c>
      <c r="K5218" s="100"/>
      <c r="M5218" s="100"/>
      <c r="N5218" s="100"/>
      <c r="O5218" s="100"/>
      <c r="P5218" s="100"/>
    </row>
    <row r="5219">
      <c r="A5219" s="107">
        <v>1629644.0</v>
      </c>
      <c r="B5219" s="108" t="s">
        <v>215</v>
      </c>
      <c r="C5219" s="108" t="s">
        <v>1258</v>
      </c>
      <c r="D5219" s="112" t="s">
        <v>187</v>
      </c>
      <c r="E5219" s="112">
        <v>243.6</v>
      </c>
      <c r="F5219" s="111" t="str">
        <f>DataPull!D5219</f>
        <v/>
      </c>
      <c r="G5219" s="94" t="str">
        <f t="shared" si="2"/>
        <v/>
      </c>
      <c r="H5219" s="94" t="str">
        <f t="shared" si="3"/>
        <v/>
      </c>
      <c r="I5219" s="94" t="str">
        <f t="shared" ref="I5219:J5219" si="5220">if(G5219 = "", , -G5219)</f>
        <v/>
      </c>
      <c r="J5219" s="94" t="str">
        <f t="shared" si="5220"/>
        <v/>
      </c>
      <c r="K5219" s="100"/>
      <c r="M5219" s="100"/>
      <c r="N5219" s="100"/>
      <c r="O5219" s="100"/>
      <c r="P5219" s="100"/>
    </row>
    <row r="5220">
      <c r="A5220" s="107">
        <v>1629644.0</v>
      </c>
      <c r="B5220" s="108" t="s">
        <v>244</v>
      </c>
      <c r="C5220" s="108" t="s">
        <v>1258</v>
      </c>
      <c r="D5220" s="112" t="s">
        <v>187</v>
      </c>
      <c r="E5220" s="112">
        <v>248.5</v>
      </c>
      <c r="F5220" s="111" t="str">
        <f>DataPull!D5220</f>
        <v/>
      </c>
      <c r="G5220" s="94" t="str">
        <f t="shared" si="2"/>
        <v/>
      </c>
      <c r="H5220" s="94" t="str">
        <f t="shared" si="3"/>
        <v/>
      </c>
      <c r="I5220" s="94" t="str">
        <f t="shared" ref="I5220:J5220" si="5221">if(G5220 = "", , -G5220)</f>
        <v/>
      </c>
      <c r="J5220" s="94" t="str">
        <f t="shared" si="5221"/>
        <v/>
      </c>
      <c r="K5220" s="100"/>
      <c r="M5220" s="100"/>
      <c r="N5220" s="100"/>
      <c r="O5220" s="100"/>
      <c r="P5220" s="100"/>
    </row>
    <row r="5221">
      <c r="A5221" s="107">
        <v>1629645.0</v>
      </c>
      <c r="B5221" s="108" t="s">
        <v>193</v>
      </c>
      <c r="C5221" s="108" t="s">
        <v>1259</v>
      </c>
      <c r="D5221" s="112" t="s">
        <v>176</v>
      </c>
      <c r="E5221" s="112">
        <v>1160.0</v>
      </c>
      <c r="F5221" s="111" t="str">
        <f>DataPull!D5221</f>
        <v/>
      </c>
      <c r="G5221" s="94" t="str">
        <f t="shared" si="2"/>
        <v/>
      </c>
      <c r="H5221" s="94" t="str">
        <f t="shared" si="3"/>
        <v/>
      </c>
      <c r="I5221" s="94" t="str">
        <f t="shared" ref="I5221:J5221" si="5222">if(G5221 = "", , -G5221)</f>
        <v/>
      </c>
      <c r="J5221" s="94" t="str">
        <f t="shared" si="5222"/>
        <v/>
      </c>
      <c r="K5221" s="100"/>
      <c r="L5221" s="100"/>
      <c r="N5221" s="100"/>
      <c r="O5221" s="100"/>
      <c r="P5221" s="100"/>
    </row>
    <row r="5222">
      <c r="A5222" s="107">
        <v>1629645.0</v>
      </c>
      <c r="B5222" s="108" t="s">
        <v>243</v>
      </c>
      <c r="C5222" s="108" t="s">
        <v>1259</v>
      </c>
      <c r="D5222" s="112" t="s">
        <v>178</v>
      </c>
      <c r="E5222" s="112">
        <v>834.6</v>
      </c>
      <c r="F5222" s="111" t="str">
        <f>DataPull!D5222</f>
        <v/>
      </c>
      <c r="G5222" s="94" t="str">
        <f t="shared" si="2"/>
        <v/>
      </c>
      <c r="H5222" s="94" t="str">
        <f t="shared" si="3"/>
        <v/>
      </c>
      <c r="I5222" s="94" t="str">
        <f t="shared" ref="I5222:J5222" si="5223">if(G5222 = "", , -G5222)</f>
        <v/>
      </c>
      <c r="J5222" s="94" t="str">
        <f t="shared" si="5223"/>
        <v/>
      </c>
      <c r="K5222" s="100"/>
      <c r="M5222" s="100"/>
      <c r="N5222" s="100"/>
      <c r="O5222" s="100"/>
      <c r="P5222" s="100"/>
    </row>
    <row r="5223">
      <c r="A5223" s="107">
        <v>1629645.0</v>
      </c>
      <c r="B5223" s="108" t="s">
        <v>215</v>
      </c>
      <c r="C5223" s="108" t="s">
        <v>1259</v>
      </c>
      <c r="D5223" s="112" t="s">
        <v>178</v>
      </c>
      <c r="E5223" s="112">
        <v>1909.3</v>
      </c>
      <c r="F5223" s="111" t="str">
        <f>DataPull!D5223</f>
        <v/>
      </c>
      <c r="G5223" s="94" t="str">
        <f t="shared" si="2"/>
        <v/>
      </c>
      <c r="H5223" s="94" t="str">
        <f t="shared" si="3"/>
        <v/>
      </c>
      <c r="I5223" s="94" t="str">
        <f t="shared" ref="I5223:J5223" si="5224">if(G5223 = "", , -G5223)</f>
        <v/>
      </c>
      <c r="J5223" s="94" t="str">
        <f t="shared" si="5224"/>
        <v/>
      </c>
      <c r="K5223" s="100"/>
      <c r="M5223" s="100"/>
      <c r="N5223" s="100"/>
      <c r="O5223" s="100"/>
      <c r="P5223" s="100"/>
    </row>
    <row r="5224">
      <c r="A5224" s="107">
        <v>1629645.0</v>
      </c>
      <c r="B5224" s="108" t="s">
        <v>244</v>
      </c>
      <c r="C5224" s="108" t="s">
        <v>1259</v>
      </c>
      <c r="D5224" s="112" t="s">
        <v>178</v>
      </c>
      <c r="E5224" s="112">
        <v>2023.7</v>
      </c>
      <c r="F5224" s="111" t="str">
        <f>DataPull!D5224</f>
        <v/>
      </c>
      <c r="G5224" s="94" t="str">
        <f t="shared" si="2"/>
        <v/>
      </c>
      <c r="H5224" s="94" t="str">
        <f t="shared" si="3"/>
        <v/>
      </c>
      <c r="I5224" s="94" t="str">
        <f t="shared" ref="I5224:J5224" si="5225">if(G5224 = "", , -G5224)</f>
        <v/>
      </c>
      <c r="J5224" s="94" t="str">
        <f t="shared" si="5225"/>
        <v/>
      </c>
      <c r="K5224" s="100"/>
      <c r="M5224" s="100"/>
      <c r="N5224" s="100"/>
      <c r="O5224" s="100"/>
      <c r="P5224" s="100"/>
    </row>
    <row r="5225">
      <c r="A5225" s="107">
        <v>1629645.0</v>
      </c>
      <c r="B5225" s="108" t="s">
        <v>246</v>
      </c>
      <c r="C5225" s="108" t="s">
        <v>1259</v>
      </c>
      <c r="D5225" s="112" t="s">
        <v>177</v>
      </c>
      <c r="E5225" s="112">
        <v>1485.0</v>
      </c>
      <c r="F5225" s="111" t="str">
        <f>DataPull!D5225</f>
        <v/>
      </c>
      <c r="G5225" s="94" t="str">
        <f t="shared" si="2"/>
        <v/>
      </c>
      <c r="H5225" s="94" t="str">
        <f t="shared" si="3"/>
        <v/>
      </c>
      <c r="I5225" s="94" t="str">
        <f t="shared" ref="I5225:J5225" si="5226">if(G5225 = "", , -G5225)</f>
        <v/>
      </c>
      <c r="J5225" s="94" t="str">
        <f t="shared" si="5226"/>
        <v/>
      </c>
      <c r="K5225" s="100"/>
      <c r="M5225" s="100"/>
      <c r="N5225" s="100"/>
      <c r="O5225" s="100"/>
      <c r="P5225" s="100"/>
    </row>
    <row r="5226">
      <c r="A5226" s="114">
        <v>1629645.0</v>
      </c>
      <c r="B5226" s="113" t="s">
        <v>247</v>
      </c>
      <c r="C5226" s="108" t="s">
        <v>1259</v>
      </c>
      <c r="D5226" s="112" t="s">
        <v>178</v>
      </c>
      <c r="E5226" s="112">
        <v>1261.6</v>
      </c>
      <c r="F5226" s="111" t="str">
        <f>DataPull!D5226</f>
        <v/>
      </c>
      <c r="G5226" s="94" t="str">
        <f t="shared" si="2"/>
        <v/>
      </c>
      <c r="H5226" s="94" t="str">
        <f t="shared" si="3"/>
        <v/>
      </c>
      <c r="I5226" s="94" t="str">
        <f t="shared" ref="I5226:J5226" si="5227">if(G5226 = "", , -G5226)</f>
        <v/>
      </c>
      <c r="J5226" s="94" t="str">
        <f t="shared" si="5227"/>
        <v/>
      </c>
      <c r="K5226" s="100"/>
      <c r="M5226" s="100"/>
      <c r="N5226" s="100"/>
      <c r="O5226" s="100"/>
      <c r="P5226" s="100"/>
    </row>
    <row r="5227">
      <c r="A5227" s="107">
        <v>1629646.0</v>
      </c>
      <c r="B5227" s="108" t="s">
        <v>215</v>
      </c>
      <c r="C5227" s="108" t="s">
        <v>1260</v>
      </c>
      <c r="D5227" s="112" t="s">
        <v>187</v>
      </c>
      <c r="E5227" s="112">
        <v>167.9</v>
      </c>
      <c r="F5227" s="111" t="str">
        <f>DataPull!D5227</f>
        <v/>
      </c>
      <c r="G5227" s="94" t="str">
        <f t="shared" si="2"/>
        <v/>
      </c>
      <c r="H5227" s="94" t="str">
        <f t="shared" si="3"/>
        <v/>
      </c>
      <c r="I5227" s="94" t="str">
        <f t="shared" ref="I5227:J5227" si="5228">if(G5227 = "", , -G5227)</f>
        <v/>
      </c>
      <c r="J5227" s="94" t="str">
        <f t="shared" si="5228"/>
        <v/>
      </c>
      <c r="K5227" s="100"/>
      <c r="M5227" s="100"/>
      <c r="N5227" s="100"/>
      <c r="O5227" s="100"/>
      <c r="P5227" s="100"/>
    </row>
    <row r="5228">
      <c r="A5228" s="107">
        <v>1629646.0</v>
      </c>
      <c r="B5228" s="108" t="s">
        <v>244</v>
      </c>
      <c r="C5228" s="108" t="s">
        <v>1260</v>
      </c>
      <c r="D5228" s="112" t="s">
        <v>177</v>
      </c>
      <c r="E5228" s="112">
        <v>507.5</v>
      </c>
      <c r="F5228" s="111" t="str">
        <f>DataPull!D5228</f>
        <v/>
      </c>
      <c r="G5228" s="94" t="str">
        <f t="shared" si="2"/>
        <v/>
      </c>
      <c r="H5228" s="94" t="str">
        <f t="shared" si="3"/>
        <v/>
      </c>
      <c r="I5228" s="94" t="str">
        <f t="shared" ref="I5228:J5228" si="5229">if(G5228 = "", , -G5228)</f>
        <v/>
      </c>
      <c r="J5228" s="94" t="str">
        <f t="shared" si="5229"/>
        <v/>
      </c>
      <c r="K5228" s="100"/>
      <c r="M5228" s="100"/>
      <c r="N5228" s="100"/>
      <c r="O5228" s="100"/>
      <c r="P5228" s="100"/>
    </row>
    <row r="5229">
      <c r="A5229" s="107">
        <v>1629646.0</v>
      </c>
      <c r="B5229" s="108" t="s">
        <v>245</v>
      </c>
      <c r="C5229" s="108" t="s">
        <v>1260</v>
      </c>
      <c r="D5229" s="112" t="s">
        <v>187</v>
      </c>
      <c r="E5229" s="112">
        <v>205.2</v>
      </c>
      <c r="F5229" s="111" t="str">
        <f>DataPull!D5229</f>
        <v/>
      </c>
      <c r="G5229" s="94" t="str">
        <f t="shared" si="2"/>
        <v/>
      </c>
      <c r="H5229" s="94" t="str">
        <f t="shared" si="3"/>
        <v/>
      </c>
      <c r="I5229" s="94" t="str">
        <f t="shared" ref="I5229:J5229" si="5230">if(G5229 = "", , -G5229)</f>
        <v/>
      </c>
      <c r="J5229" s="94" t="str">
        <f t="shared" si="5230"/>
        <v/>
      </c>
      <c r="K5229" s="100"/>
      <c r="L5229" s="100"/>
      <c r="N5229" s="100"/>
      <c r="O5229" s="100"/>
      <c r="P5229" s="100"/>
    </row>
    <row r="5230">
      <c r="A5230" s="107">
        <v>1629646.0</v>
      </c>
      <c r="B5230" s="108" t="s">
        <v>246</v>
      </c>
      <c r="C5230" s="108" t="s">
        <v>1260</v>
      </c>
      <c r="D5230" s="112" t="s">
        <v>177</v>
      </c>
      <c r="E5230" s="112">
        <v>374.4</v>
      </c>
      <c r="F5230" s="111" t="str">
        <f>DataPull!D5230</f>
        <v/>
      </c>
      <c r="G5230" s="94" t="str">
        <f t="shared" si="2"/>
        <v/>
      </c>
      <c r="H5230" s="94" t="str">
        <f t="shared" si="3"/>
        <v/>
      </c>
      <c r="I5230" s="94" t="str">
        <f t="shared" ref="I5230:J5230" si="5231">if(G5230 = "", , -G5230)</f>
        <v/>
      </c>
      <c r="J5230" s="94" t="str">
        <f t="shared" si="5231"/>
        <v/>
      </c>
      <c r="K5230" s="100"/>
      <c r="M5230" s="100"/>
      <c r="N5230" s="100"/>
      <c r="O5230" s="100"/>
      <c r="P5230" s="100"/>
    </row>
    <row r="5231">
      <c r="A5231" s="114">
        <v>1629646.0</v>
      </c>
      <c r="B5231" s="113" t="s">
        <v>247</v>
      </c>
      <c r="C5231" s="113" t="s">
        <v>1260</v>
      </c>
      <c r="D5231" s="112" t="s">
        <v>181</v>
      </c>
      <c r="E5231" s="112">
        <v>152.1</v>
      </c>
      <c r="F5231" s="111" t="str">
        <f>DataPull!D5231</f>
        <v/>
      </c>
      <c r="G5231" s="94" t="str">
        <f t="shared" si="2"/>
        <v/>
      </c>
      <c r="H5231" s="94" t="str">
        <f t="shared" si="3"/>
        <v/>
      </c>
      <c r="I5231" s="94" t="str">
        <f t="shared" ref="I5231:J5231" si="5232">if(G5231 = "", , -G5231)</f>
        <v/>
      </c>
      <c r="J5231" s="94" t="str">
        <f t="shared" si="5232"/>
        <v/>
      </c>
      <c r="K5231" s="100"/>
      <c r="M5231" s="100"/>
      <c r="N5231" s="100"/>
      <c r="O5231" s="100"/>
      <c r="P5231" s="100"/>
    </row>
    <row r="5232">
      <c r="A5232" s="107">
        <v>1629647.0</v>
      </c>
      <c r="B5232" s="108" t="s">
        <v>193</v>
      </c>
      <c r="C5232" s="108" t="s">
        <v>1261</v>
      </c>
      <c r="D5232" s="112" t="s">
        <v>177</v>
      </c>
      <c r="E5232" s="112">
        <v>1128.5</v>
      </c>
      <c r="F5232" s="111" t="str">
        <f>DataPull!D5232</f>
        <v/>
      </c>
      <c r="G5232" s="94" t="str">
        <f t="shared" si="2"/>
        <v/>
      </c>
      <c r="H5232" s="94" t="str">
        <f t="shared" si="3"/>
        <v/>
      </c>
      <c r="I5232" s="94" t="str">
        <f t="shared" ref="I5232:J5232" si="5233">if(G5232 = "", , -G5232)</f>
        <v/>
      </c>
      <c r="J5232" s="94" t="str">
        <f t="shared" si="5233"/>
        <v/>
      </c>
      <c r="K5232" s="100"/>
      <c r="M5232" s="100"/>
      <c r="N5232" s="100"/>
      <c r="O5232" s="100"/>
      <c r="P5232" s="100"/>
    </row>
    <row r="5233">
      <c r="A5233" s="107">
        <v>1629647.0</v>
      </c>
      <c r="B5233" s="108" t="s">
        <v>243</v>
      </c>
      <c r="C5233" s="108" t="s">
        <v>1261</v>
      </c>
      <c r="D5233" s="112" t="s">
        <v>178</v>
      </c>
      <c r="E5233" s="112">
        <v>1716.0</v>
      </c>
      <c r="F5233" s="111" t="str">
        <f>DataPull!D5233</f>
        <v/>
      </c>
      <c r="G5233" s="94" t="str">
        <f t="shared" si="2"/>
        <v/>
      </c>
      <c r="H5233" s="94" t="str">
        <f t="shared" si="3"/>
        <v/>
      </c>
      <c r="I5233" s="94" t="str">
        <f t="shared" ref="I5233:J5233" si="5234">if(G5233 = "", , -G5233)</f>
        <v/>
      </c>
      <c r="J5233" s="94" t="str">
        <f t="shared" si="5234"/>
        <v/>
      </c>
      <c r="K5233" s="100"/>
      <c r="M5233" s="100"/>
      <c r="N5233" s="100"/>
      <c r="O5233" s="100"/>
      <c r="P5233" s="100"/>
    </row>
    <row r="5234">
      <c r="A5234" s="107">
        <v>1629647.0</v>
      </c>
      <c r="B5234" s="108" t="s">
        <v>215</v>
      </c>
      <c r="C5234" s="108" t="s">
        <v>1261</v>
      </c>
      <c r="D5234" s="112" t="s">
        <v>178</v>
      </c>
      <c r="E5234" s="112">
        <v>1925.1</v>
      </c>
      <c r="F5234" s="111" t="str">
        <f>DataPull!D5234</f>
        <v/>
      </c>
      <c r="G5234" s="94" t="str">
        <f t="shared" si="2"/>
        <v/>
      </c>
      <c r="H5234" s="94" t="str">
        <f t="shared" si="3"/>
        <v/>
      </c>
      <c r="I5234" s="94" t="str">
        <f t="shared" ref="I5234:J5234" si="5235">if(G5234 = "", , -G5234)</f>
        <v/>
      </c>
      <c r="J5234" s="94" t="str">
        <f t="shared" si="5235"/>
        <v/>
      </c>
      <c r="K5234" s="100"/>
      <c r="M5234" s="100"/>
      <c r="N5234" s="100"/>
      <c r="O5234" s="100"/>
      <c r="P5234" s="100"/>
    </row>
    <row r="5235">
      <c r="A5235" s="107">
        <v>1629647.0</v>
      </c>
      <c r="B5235" s="108" t="s">
        <v>244</v>
      </c>
      <c r="C5235" s="108" t="s">
        <v>1261</v>
      </c>
      <c r="D5235" s="112" t="s">
        <v>177</v>
      </c>
      <c r="E5235" s="112">
        <v>614.9</v>
      </c>
      <c r="F5235" s="111" t="str">
        <f>DataPull!D5235</f>
        <v/>
      </c>
      <c r="G5235" s="94" t="str">
        <f t="shared" si="2"/>
        <v/>
      </c>
      <c r="H5235" s="94" t="str">
        <f t="shared" si="3"/>
        <v/>
      </c>
      <c r="I5235" s="94" t="str">
        <f t="shared" ref="I5235:J5235" si="5236">if(G5235 = "", , -G5235)</f>
        <v/>
      </c>
      <c r="J5235" s="94" t="str">
        <f t="shared" si="5236"/>
        <v/>
      </c>
      <c r="K5235" s="100"/>
      <c r="M5235" s="100"/>
      <c r="N5235" s="100"/>
      <c r="O5235" s="100"/>
      <c r="P5235" s="100"/>
    </row>
    <row r="5236">
      <c r="A5236" s="107">
        <v>1629647.0</v>
      </c>
      <c r="B5236" s="108" t="s">
        <v>245</v>
      </c>
      <c r="C5236" s="108" t="s">
        <v>1261</v>
      </c>
      <c r="D5236" s="112" t="s">
        <v>181</v>
      </c>
      <c r="E5236" s="112">
        <v>152.1</v>
      </c>
      <c r="F5236" s="111" t="str">
        <f>DataPull!D5236</f>
        <v/>
      </c>
      <c r="G5236" s="94" t="str">
        <f t="shared" si="2"/>
        <v/>
      </c>
      <c r="H5236" s="94" t="str">
        <f t="shared" si="3"/>
        <v/>
      </c>
      <c r="I5236" s="94" t="str">
        <f t="shared" ref="I5236:J5236" si="5237">if(G5236 = "", , -G5236)</f>
        <v/>
      </c>
      <c r="J5236" s="94" t="str">
        <f t="shared" si="5237"/>
        <v/>
      </c>
      <c r="K5236" s="100"/>
      <c r="M5236" s="100"/>
      <c r="N5236" s="100"/>
      <c r="O5236" s="100"/>
      <c r="P5236" s="100"/>
    </row>
    <row r="5237">
      <c r="A5237" s="107">
        <v>1629648.0</v>
      </c>
      <c r="B5237" s="108" t="s">
        <v>193</v>
      </c>
      <c r="C5237" s="108" t="s">
        <v>1262</v>
      </c>
      <c r="D5237" s="112" t="s">
        <v>187</v>
      </c>
      <c r="E5237" s="112">
        <v>53.0</v>
      </c>
      <c r="F5237" s="111" t="str">
        <f>DataPull!D5237</f>
        <v/>
      </c>
      <c r="G5237" s="94" t="str">
        <f t="shared" si="2"/>
        <v/>
      </c>
      <c r="H5237" s="94" t="str">
        <f t="shared" si="3"/>
        <v/>
      </c>
      <c r="I5237" s="94" t="str">
        <f t="shared" ref="I5237:J5237" si="5238">if(G5237 = "", , -G5237)</f>
        <v/>
      </c>
      <c r="J5237" s="94" t="str">
        <f t="shared" si="5238"/>
        <v/>
      </c>
      <c r="K5237" s="100"/>
      <c r="M5237" s="100"/>
      <c r="N5237" s="100"/>
      <c r="O5237" s="100"/>
      <c r="P5237" s="100"/>
    </row>
    <row r="5238">
      <c r="A5238" s="107">
        <v>1629648.0</v>
      </c>
      <c r="B5238" s="108" t="s">
        <v>243</v>
      </c>
      <c r="C5238" s="108" t="s">
        <v>1262</v>
      </c>
      <c r="D5238" s="112" t="s">
        <v>187</v>
      </c>
      <c r="E5238" s="112">
        <v>196.0</v>
      </c>
      <c r="F5238" s="111" t="str">
        <f>DataPull!D5238</f>
        <v/>
      </c>
      <c r="G5238" s="94" t="str">
        <f t="shared" si="2"/>
        <v/>
      </c>
      <c r="H5238" s="94" t="str">
        <f t="shared" si="3"/>
        <v/>
      </c>
      <c r="I5238" s="94" t="str">
        <f t="shared" ref="I5238:J5238" si="5239">if(G5238 = "", , -G5238)</f>
        <v/>
      </c>
      <c r="J5238" s="94" t="str">
        <f t="shared" si="5239"/>
        <v/>
      </c>
      <c r="K5238" s="100"/>
      <c r="M5238" s="100"/>
      <c r="N5238" s="100"/>
      <c r="O5238" s="100"/>
      <c r="P5238" s="100"/>
    </row>
    <row r="5239">
      <c r="A5239" s="107">
        <v>1629649.0</v>
      </c>
      <c r="B5239" s="108" t="s">
        <v>193</v>
      </c>
      <c r="C5239" s="108" t="s">
        <v>1263</v>
      </c>
      <c r="D5239" s="112" t="s">
        <v>187</v>
      </c>
      <c r="E5239" s="112">
        <v>53.1</v>
      </c>
      <c r="F5239" s="111" t="str">
        <f>DataPull!D5239</f>
        <v/>
      </c>
      <c r="G5239" s="94" t="str">
        <f t="shared" si="2"/>
        <v/>
      </c>
      <c r="H5239" s="94" t="str">
        <f t="shared" si="3"/>
        <v/>
      </c>
      <c r="I5239" s="94" t="str">
        <f t="shared" ref="I5239:J5239" si="5240">if(G5239 = "", , -G5239)</f>
        <v/>
      </c>
      <c r="J5239" s="94" t="str">
        <f t="shared" si="5240"/>
        <v/>
      </c>
      <c r="K5239" s="100"/>
      <c r="M5239" s="100"/>
      <c r="N5239" s="100"/>
      <c r="O5239" s="100"/>
      <c r="P5239" s="100"/>
    </row>
    <row r="5240">
      <c r="A5240" s="107">
        <v>1629649.0</v>
      </c>
      <c r="B5240" s="108" t="s">
        <v>243</v>
      </c>
      <c r="C5240" s="108" t="s">
        <v>1263</v>
      </c>
      <c r="D5240" s="112" t="s">
        <v>178</v>
      </c>
      <c r="E5240" s="112">
        <v>248.3</v>
      </c>
      <c r="F5240" s="111" t="str">
        <f>DataPull!D5240</f>
        <v/>
      </c>
      <c r="G5240" s="94" t="str">
        <f t="shared" si="2"/>
        <v/>
      </c>
      <c r="H5240" s="94" t="str">
        <f t="shared" si="3"/>
        <v/>
      </c>
      <c r="I5240" s="94" t="str">
        <f t="shared" ref="I5240:J5240" si="5241">if(G5240 = "", , -G5240)</f>
        <v/>
      </c>
      <c r="J5240" s="94" t="str">
        <f t="shared" si="5241"/>
        <v/>
      </c>
      <c r="K5240" s="100"/>
      <c r="M5240" s="100"/>
      <c r="N5240" s="100"/>
      <c r="O5240" s="100"/>
      <c r="P5240" s="100"/>
    </row>
    <row r="5241">
      <c r="A5241" s="107">
        <v>1629649.0</v>
      </c>
      <c r="B5241" s="108" t="s">
        <v>215</v>
      </c>
      <c r="C5241" s="108" t="s">
        <v>1263</v>
      </c>
      <c r="D5241" s="112" t="s">
        <v>177</v>
      </c>
      <c r="E5241" s="112">
        <v>537.6</v>
      </c>
      <c r="F5241" s="111" t="str">
        <f>DataPull!D5241</f>
        <v/>
      </c>
      <c r="G5241" s="94" t="str">
        <f t="shared" si="2"/>
        <v/>
      </c>
      <c r="H5241" s="94" t="str">
        <f t="shared" si="3"/>
        <v/>
      </c>
      <c r="I5241" s="94" t="str">
        <f t="shared" ref="I5241:J5241" si="5242">if(G5241 = "", , -G5241)</f>
        <v/>
      </c>
      <c r="J5241" s="94" t="str">
        <f t="shared" si="5242"/>
        <v/>
      </c>
      <c r="K5241" s="100"/>
      <c r="M5241" s="100"/>
      <c r="N5241" s="100"/>
      <c r="O5241" s="100"/>
      <c r="P5241" s="100"/>
    </row>
    <row r="5242">
      <c r="A5242" s="107">
        <v>1629650.0</v>
      </c>
      <c r="B5242" s="108" t="s">
        <v>193</v>
      </c>
      <c r="C5242" s="108" t="s">
        <v>1264</v>
      </c>
      <c r="D5242" s="112" t="s">
        <v>187</v>
      </c>
      <c r="E5242" s="112">
        <v>32.4</v>
      </c>
      <c r="F5242" s="111" t="str">
        <f>DataPull!D5242</f>
        <v/>
      </c>
      <c r="G5242" s="94" t="str">
        <f t="shared" si="2"/>
        <v/>
      </c>
      <c r="H5242" s="94" t="str">
        <f t="shared" si="3"/>
        <v/>
      </c>
      <c r="I5242" s="94" t="str">
        <f t="shared" ref="I5242:J5242" si="5243">if(G5242 = "", , -G5242)</f>
        <v/>
      </c>
      <c r="J5242" s="94" t="str">
        <f t="shared" si="5243"/>
        <v/>
      </c>
      <c r="K5242" s="100"/>
      <c r="M5242" s="100"/>
      <c r="N5242" s="100"/>
      <c r="O5242" s="100"/>
      <c r="P5242" s="100"/>
    </row>
    <row r="5243">
      <c r="A5243" s="107">
        <v>1629650.0</v>
      </c>
      <c r="B5243" s="108" t="s">
        <v>243</v>
      </c>
      <c r="C5243" s="108" t="s">
        <v>1264</v>
      </c>
      <c r="D5243" s="112" t="s">
        <v>176</v>
      </c>
      <c r="E5243" s="112">
        <v>920.2</v>
      </c>
      <c r="F5243" s="111" t="str">
        <f>DataPull!D5243</f>
        <v/>
      </c>
      <c r="G5243" s="94" t="str">
        <f t="shared" si="2"/>
        <v/>
      </c>
      <c r="H5243" s="94" t="str">
        <f t="shared" si="3"/>
        <v/>
      </c>
      <c r="I5243" s="94" t="str">
        <f t="shared" ref="I5243:J5243" si="5244">if(G5243 = "", , -G5243)</f>
        <v/>
      </c>
      <c r="J5243" s="94" t="str">
        <f t="shared" si="5244"/>
        <v/>
      </c>
      <c r="K5243" s="100"/>
      <c r="M5243" s="100"/>
      <c r="N5243" s="100"/>
      <c r="O5243" s="100"/>
      <c r="P5243" s="100"/>
    </row>
    <row r="5244">
      <c r="A5244" s="107">
        <v>1629650.0</v>
      </c>
      <c r="B5244" s="108" t="s">
        <v>215</v>
      </c>
      <c r="C5244" s="108" t="s">
        <v>1264</v>
      </c>
      <c r="D5244" s="112" t="s">
        <v>187</v>
      </c>
      <c r="E5244" s="112">
        <v>344.0</v>
      </c>
      <c r="F5244" s="111" t="str">
        <f>DataPull!D5244</f>
        <v/>
      </c>
      <c r="G5244" s="94" t="str">
        <f t="shared" si="2"/>
        <v/>
      </c>
      <c r="H5244" s="94" t="str">
        <f t="shared" si="3"/>
        <v/>
      </c>
      <c r="I5244" s="94" t="str">
        <f t="shared" ref="I5244:J5244" si="5245">if(G5244 = "", , -G5244)</f>
        <v/>
      </c>
      <c r="J5244" s="94" t="str">
        <f t="shared" si="5245"/>
        <v/>
      </c>
      <c r="K5244" s="100"/>
      <c r="M5244" s="100"/>
      <c r="N5244" s="100"/>
      <c r="O5244" s="100"/>
      <c r="P5244" s="100"/>
    </row>
    <row r="5245">
      <c r="A5245" s="107">
        <v>1629650.0</v>
      </c>
      <c r="B5245" s="108" t="s">
        <v>244</v>
      </c>
      <c r="C5245" s="108" t="s">
        <v>1264</v>
      </c>
      <c r="D5245" s="112" t="s">
        <v>187</v>
      </c>
      <c r="E5245" s="112">
        <v>295.2</v>
      </c>
      <c r="F5245" s="111" t="str">
        <f>DataPull!D5245</f>
        <v/>
      </c>
      <c r="G5245" s="94" t="str">
        <f t="shared" si="2"/>
        <v/>
      </c>
      <c r="H5245" s="94" t="str">
        <f t="shared" si="3"/>
        <v/>
      </c>
      <c r="I5245" s="94" t="str">
        <f t="shared" ref="I5245:J5245" si="5246">if(G5245 = "", , -G5245)</f>
        <v/>
      </c>
      <c r="J5245" s="94" t="str">
        <f t="shared" si="5246"/>
        <v/>
      </c>
      <c r="K5245" s="100"/>
      <c r="M5245" s="100"/>
      <c r="N5245" s="100"/>
      <c r="O5245" s="100"/>
      <c r="P5245" s="100"/>
    </row>
    <row r="5246">
      <c r="A5246" s="107">
        <v>1629650.0</v>
      </c>
      <c r="B5246" s="108" t="s">
        <v>245</v>
      </c>
      <c r="C5246" s="108" t="s">
        <v>1264</v>
      </c>
      <c r="D5246" s="112" t="s">
        <v>187</v>
      </c>
      <c r="E5246" s="112">
        <v>200.2</v>
      </c>
      <c r="F5246" s="111" t="str">
        <f>DataPull!D5246</f>
        <v/>
      </c>
      <c r="G5246" s="94" t="str">
        <f t="shared" si="2"/>
        <v/>
      </c>
      <c r="H5246" s="94" t="str">
        <f t="shared" si="3"/>
        <v/>
      </c>
      <c r="I5246" s="94" t="str">
        <f t="shared" ref="I5246:J5246" si="5247">if(G5246 = "", , -G5246)</f>
        <v/>
      </c>
      <c r="J5246" s="94" t="str">
        <f t="shared" si="5247"/>
        <v/>
      </c>
      <c r="K5246" s="100"/>
      <c r="M5246" s="100"/>
      <c r="N5246" s="100"/>
      <c r="O5246" s="100"/>
      <c r="P5246" s="100"/>
    </row>
    <row r="5247">
      <c r="A5247" s="123">
        <v>1629650.0</v>
      </c>
      <c r="B5247" s="124" t="s">
        <v>246</v>
      </c>
      <c r="C5247" s="125" t="s">
        <v>1264</v>
      </c>
      <c r="D5247" s="112" t="s">
        <v>187</v>
      </c>
      <c r="E5247" s="112">
        <v>118.3</v>
      </c>
      <c r="F5247" s="111" t="str">
        <f>DataPull!D5247</f>
        <v/>
      </c>
      <c r="G5247" s="94" t="str">
        <f t="shared" si="2"/>
        <v/>
      </c>
      <c r="H5247" s="94" t="str">
        <f t="shared" si="3"/>
        <v/>
      </c>
      <c r="I5247" s="94" t="str">
        <f t="shared" ref="I5247:J5247" si="5248">if(G5247 = "", , -G5247)</f>
        <v/>
      </c>
      <c r="J5247" s="94" t="str">
        <f t="shared" si="5248"/>
        <v/>
      </c>
      <c r="K5247" s="100"/>
      <c r="M5247" s="100"/>
      <c r="N5247" s="100"/>
      <c r="O5247" s="100"/>
      <c r="P5247" s="100"/>
    </row>
    <row r="5248">
      <c r="A5248" s="107">
        <v>1629651.0</v>
      </c>
      <c r="B5248" s="108" t="s">
        <v>193</v>
      </c>
      <c r="C5248" s="108" t="s">
        <v>1265</v>
      </c>
      <c r="D5248" s="112" t="s">
        <v>187</v>
      </c>
      <c r="E5248" s="112">
        <v>187.5</v>
      </c>
      <c r="F5248" s="111" t="str">
        <f>DataPull!D5248</f>
        <v/>
      </c>
      <c r="G5248" s="94" t="str">
        <f t="shared" si="2"/>
        <v/>
      </c>
      <c r="H5248" s="94" t="str">
        <f t="shared" si="3"/>
        <v/>
      </c>
      <c r="I5248" s="94" t="str">
        <f t="shared" ref="I5248:J5248" si="5249">if(G5248 = "", , -G5248)</f>
        <v/>
      </c>
      <c r="J5248" s="94" t="str">
        <f t="shared" si="5249"/>
        <v/>
      </c>
      <c r="K5248" s="100"/>
      <c r="M5248" s="100"/>
      <c r="N5248" s="100"/>
      <c r="O5248" s="100"/>
      <c r="P5248" s="100"/>
    </row>
    <row r="5249">
      <c r="A5249" s="107">
        <v>1629651.0</v>
      </c>
      <c r="B5249" s="108" t="s">
        <v>243</v>
      </c>
      <c r="C5249" s="108" t="s">
        <v>1265</v>
      </c>
      <c r="D5249" s="112" t="s">
        <v>177</v>
      </c>
      <c r="E5249" s="112">
        <v>595.2</v>
      </c>
      <c r="F5249" s="111" t="str">
        <f>DataPull!D5249</f>
        <v/>
      </c>
      <c r="G5249" s="94" t="str">
        <f t="shared" si="2"/>
        <v/>
      </c>
      <c r="H5249" s="94" t="str">
        <f t="shared" si="3"/>
        <v/>
      </c>
      <c r="I5249" s="94" t="str">
        <f t="shared" ref="I5249:J5249" si="5250">if(G5249 = "", , -G5249)</f>
        <v/>
      </c>
      <c r="J5249" s="94" t="str">
        <f t="shared" si="5250"/>
        <v/>
      </c>
      <c r="K5249" s="100"/>
      <c r="M5249" s="100"/>
      <c r="N5249" s="100"/>
      <c r="O5249" s="100"/>
      <c r="P5249" s="100"/>
    </row>
    <row r="5250">
      <c r="A5250" s="107">
        <v>1629651.0</v>
      </c>
      <c r="B5250" s="108" t="s">
        <v>215</v>
      </c>
      <c r="C5250" s="108" t="s">
        <v>1265</v>
      </c>
      <c r="D5250" s="112" t="s">
        <v>177</v>
      </c>
      <c r="E5250" s="112">
        <v>972.9</v>
      </c>
      <c r="F5250" s="111" t="str">
        <f>DataPull!D5250</f>
        <v/>
      </c>
      <c r="G5250" s="94" t="str">
        <f t="shared" si="2"/>
        <v/>
      </c>
      <c r="H5250" s="94" t="str">
        <f t="shared" si="3"/>
        <v/>
      </c>
      <c r="I5250" s="94" t="str">
        <f t="shared" ref="I5250:J5250" si="5251">if(G5250 = "", , -G5250)</f>
        <v/>
      </c>
      <c r="J5250" s="94" t="str">
        <f t="shared" si="5251"/>
        <v/>
      </c>
      <c r="K5250" s="100"/>
      <c r="L5250" s="100"/>
      <c r="N5250" s="100"/>
      <c r="O5250" s="100"/>
      <c r="P5250" s="100"/>
    </row>
    <row r="5251">
      <c r="A5251" s="107">
        <v>1629651.0</v>
      </c>
      <c r="B5251" s="108" t="s">
        <v>244</v>
      </c>
      <c r="C5251" s="108" t="s">
        <v>1265</v>
      </c>
      <c r="D5251" s="112" t="s">
        <v>176</v>
      </c>
      <c r="E5251" s="112">
        <v>2272.4</v>
      </c>
      <c r="F5251" s="111" t="str">
        <f>DataPull!D5251</f>
        <v/>
      </c>
      <c r="G5251" s="94" t="str">
        <f t="shared" si="2"/>
        <v/>
      </c>
      <c r="H5251" s="94" t="str">
        <f t="shared" si="3"/>
        <v/>
      </c>
      <c r="I5251" s="94" t="str">
        <f t="shared" ref="I5251:J5251" si="5252">if(G5251 = "", , -G5251)</f>
        <v/>
      </c>
      <c r="J5251" s="94" t="str">
        <f t="shared" si="5252"/>
        <v/>
      </c>
      <c r="K5251" s="100"/>
      <c r="M5251" s="100"/>
      <c r="N5251" s="100"/>
      <c r="O5251" s="100"/>
      <c r="P5251" s="100"/>
    </row>
    <row r="5252">
      <c r="A5252" s="107">
        <v>1629651.0</v>
      </c>
      <c r="B5252" s="108" t="s">
        <v>245</v>
      </c>
      <c r="C5252" s="108" t="s">
        <v>1265</v>
      </c>
      <c r="D5252" s="112" t="s">
        <v>184</v>
      </c>
      <c r="E5252" s="112">
        <v>2115.8</v>
      </c>
      <c r="F5252" s="111" t="str">
        <f>DataPull!D5252</f>
        <v/>
      </c>
      <c r="G5252" s="94" t="str">
        <f t="shared" si="2"/>
        <v/>
      </c>
      <c r="H5252" s="94" t="str">
        <f t="shared" si="3"/>
        <v/>
      </c>
      <c r="I5252" s="94" t="str">
        <f t="shared" ref="I5252:J5252" si="5253">if(G5252 = "", , -G5252)</f>
        <v/>
      </c>
      <c r="J5252" s="94" t="str">
        <f t="shared" si="5253"/>
        <v/>
      </c>
      <c r="K5252" s="100"/>
      <c r="L5252" s="100"/>
      <c r="M5252" s="100"/>
      <c r="N5252" s="100"/>
      <c r="O5252" s="100"/>
      <c r="P5252" s="100"/>
    </row>
    <row r="5253">
      <c r="A5253" s="107">
        <v>1629651.0</v>
      </c>
      <c r="B5253" s="108" t="s">
        <v>246</v>
      </c>
      <c r="C5253" s="108" t="s">
        <v>1265</v>
      </c>
      <c r="D5253" s="112" t="s">
        <v>176</v>
      </c>
      <c r="E5253" s="112">
        <v>1883.0</v>
      </c>
      <c r="F5253" s="111" t="str">
        <f>DataPull!D5253</f>
        <v/>
      </c>
      <c r="G5253" s="94" t="str">
        <f t="shared" si="2"/>
        <v/>
      </c>
      <c r="H5253" s="94" t="str">
        <f t="shared" si="3"/>
        <v/>
      </c>
      <c r="I5253" s="94" t="str">
        <f t="shared" ref="I5253:J5253" si="5254">if(G5253 = "", , -G5253)</f>
        <v/>
      </c>
      <c r="J5253" s="94" t="str">
        <f t="shared" si="5254"/>
        <v/>
      </c>
      <c r="K5253" s="100"/>
      <c r="M5253" s="100"/>
      <c r="N5253" s="100"/>
      <c r="O5253" s="100"/>
      <c r="P5253" s="100"/>
    </row>
    <row r="5254">
      <c r="A5254" s="114">
        <v>1629651.0</v>
      </c>
      <c r="B5254" s="113" t="s">
        <v>247</v>
      </c>
      <c r="C5254" s="113" t="s">
        <v>1265</v>
      </c>
      <c r="D5254" s="112" t="s">
        <v>178</v>
      </c>
      <c r="E5254" s="112">
        <v>1918.2</v>
      </c>
      <c r="F5254" s="111" t="str">
        <f>DataPull!D5254</f>
        <v/>
      </c>
      <c r="G5254" s="94" t="str">
        <f t="shared" si="2"/>
        <v/>
      </c>
      <c r="H5254" s="94" t="str">
        <f t="shared" si="3"/>
        <v/>
      </c>
      <c r="I5254" s="94" t="str">
        <f t="shared" ref="I5254:J5254" si="5255">if(G5254 = "", , -G5254)</f>
        <v/>
      </c>
      <c r="J5254" s="94" t="str">
        <f t="shared" si="5255"/>
        <v/>
      </c>
      <c r="K5254" s="100"/>
      <c r="M5254" s="100"/>
      <c r="N5254" s="100"/>
    </row>
    <row r="5255">
      <c r="A5255" s="107">
        <v>1629652.0</v>
      </c>
      <c r="B5255" s="108" t="s">
        <v>193</v>
      </c>
      <c r="C5255" s="108" t="s">
        <v>1266</v>
      </c>
      <c r="D5255" s="112" t="s">
        <v>176</v>
      </c>
      <c r="E5255" s="112">
        <v>820.8</v>
      </c>
      <c r="F5255" s="111" t="str">
        <f>DataPull!D5255</f>
        <v/>
      </c>
      <c r="G5255" s="94" t="str">
        <f t="shared" si="2"/>
        <v/>
      </c>
      <c r="H5255" s="94" t="str">
        <f t="shared" si="3"/>
        <v/>
      </c>
      <c r="I5255" s="94" t="str">
        <f t="shared" ref="I5255:J5255" si="5256">if(G5255 = "", , -G5255)</f>
        <v/>
      </c>
      <c r="J5255" s="94" t="str">
        <f t="shared" si="5256"/>
        <v/>
      </c>
      <c r="K5255" s="100"/>
      <c r="M5255" s="100"/>
      <c r="N5255" s="100"/>
      <c r="O5255" s="100"/>
      <c r="P5255" s="100"/>
    </row>
    <row r="5256">
      <c r="A5256" s="107">
        <v>1629652.0</v>
      </c>
      <c r="B5256" s="108" t="s">
        <v>243</v>
      </c>
      <c r="C5256" s="108" t="s">
        <v>1266</v>
      </c>
      <c r="D5256" s="112" t="s">
        <v>178</v>
      </c>
      <c r="E5256" s="112">
        <v>1544.4</v>
      </c>
      <c r="F5256" s="111" t="str">
        <f>DataPull!D5256</f>
        <v/>
      </c>
      <c r="G5256" s="94" t="str">
        <f t="shared" si="2"/>
        <v/>
      </c>
      <c r="H5256" s="94" t="str">
        <f t="shared" si="3"/>
        <v/>
      </c>
      <c r="I5256" s="94" t="str">
        <f t="shared" ref="I5256:J5256" si="5257">if(G5256 = "", , -G5256)</f>
        <v/>
      </c>
      <c r="J5256" s="94" t="str">
        <f t="shared" si="5257"/>
        <v/>
      </c>
      <c r="K5256" s="100"/>
      <c r="M5256" s="100"/>
      <c r="N5256" s="100"/>
      <c r="O5256" s="100"/>
      <c r="P5256" s="100"/>
    </row>
    <row r="5257">
      <c r="A5257" s="107">
        <v>1629652.0</v>
      </c>
      <c r="B5257" s="108" t="s">
        <v>215</v>
      </c>
      <c r="C5257" s="108" t="s">
        <v>1266</v>
      </c>
      <c r="D5257" s="112" t="s">
        <v>178</v>
      </c>
      <c r="E5257" s="112">
        <v>1667.7</v>
      </c>
      <c r="F5257" s="111" t="str">
        <f>DataPull!D5257</f>
        <v/>
      </c>
      <c r="G5257" s="94" t="str">
        <f t="shared" si="2"/>
        <v/>
      </c>
      <c r="H5257" s="94" t="str">
        <f t="shared" si="3"/>
        <v/>
      </c>
      <c r="I5257" s="94" t="str">
        <f t="shared" ref="I5257:J5257" si="5258">if(G5257 = "", , -G5257)</f>
        <v/>
      </c>
      <c r="J5257" s="94" t="str">
        <f t="shared" si="5258"/>
        <v/>
      </c>
      <c r="K5257" s="100"/>
      <c r="M5257" s="100"/>
      <c r="N5257" s="100"/>
      <c r="O5257" s="100"/>
      <c r="P5257" s="100"/>
    </row>
    <row r="5258">
      <c r="A5258" s="107">
        <v>1629652.0</v>
      </c>
      <c r="B5258" s="108" t="s">
        <v>244</v>
      </c>
      <c r="C5258" s="108" t="s">
        <v>1266</v>
      </c>
      <c r="D5258" s="112" t="s">
        <v>178</v>
      </c>
      <c r="E5258" s="112">
        <v>2271.8</v>
      </c>
      <c r="F5258" s="111" t="str">
        <f>DataPull!D5258</f>
        <v/>
      </c>
      <c r="G5258" s="94" t="str">
        <f t="shared" si="2"/>
        <v/>
      </c>
      <c r="H5258" s="94" t="str">
        <f t="shared" si="3"/>
        <v/>
      </c>
      <c r="I5258" s="94" t="str">
        <f t="shared" ref="I5258:J5258" si="5259">if(G5258 = "", , -G5258)</f>
        <v/>
      </c>
      <c r="J5258" s="94" t="str">
        <f t="shared" si="5259"/>
        <v/>
      </c>
      <c r="K5258" s="100"/>
      <c r="L5258" s="100"/>
      <c r="N5258" s="100"/>
      <c r="O5258" s="100"/>
      <c r="P5258" s="100"/>
    </row>
    <row r="5259">
      <c r="A5259" s="107">
        <v>1629652.0</v>
      </c>
      <c r="B5259" s="108" t="s">
        <v>245</v>
      </c>
      <c r="C5259" s="108" t="s">
        <v>1266</v>
      </c>
      <c r="D5259" s="112" t="s">
        <v>178</v>
      </c>
      <c r="E5259" s="112">
        <v>2243.6</v>
      </c>
      <c r="F5259" s="111" t="str">
        <f>DataPull!D5259</f>
        <v/>
      </c>
      <c r="G5259" s="94" t="str">
        <f t="shared" si="2"/>
        <v/>
      </c>
      <c r="H5259" s="94" t="str">
        <f t="shared" si="3"/>
        <v/>
      </c>
      <c r="I5259" s="94" t="str">
        <f t="shared" ref="I5259:J5259" si="5260">if(G5259 = "", , -G5259)</f>
        <v/>
      </c>
      <c r="J5259" s="94" t="str">
        <f t="shared" si="5260"/>
        <v/>
      </c>
      <c r="K5259" s="100"/>
      <c r="M5259" s="100"/>
      <c r="N5259" s="100"/>
      <c r="O5259" s="100"/>
      <c r="P5259" s="100"/>
    </row>
    <row r="5260">
      <c r="A5260" s="107">
        <v>1629652.0</v>
      </c>
      <c r="B5260" s="108" t="s">
        <v>246</v>
      </c>
      <c r="C5260" s="108" t="s">
        <v>1266</v>
      </c>
      <c r="D5260" s="112" t="s">
        <v>178</v>
      </c>
      <c r="E5260" s="112">
        <v>2073.2</v>
      </c>
      <c r="F5260" s="111" t="str">
        <f>DataPull!D5260</f>
        <v/>
      </c>
      <c r="G5260" s="94" t="str">
        <f t="shared" si="2"/>
        <v/>
      </c>
      <c r="H5260" s="94" t="str">
        <f t="shared" si="3"/>
        <v/>
      </c>
      <c r="I5260" s="94" t="str">
        <f t="shared" ref="I5260:J5260" si="5261">if(G5260 = "", , -G5260)</f>
        <v/>
      </c>
      <c r="J5260" s="94" t="str">
        <f t="shared" si="5261"/>
        <v/>
      </c>
      <c r="K5260" s="100"/>
      <c r="M5260" s="100"/>
      <c r="N5260" s="100"/>
      <c r="O5260" s="100"/>
      <c r="P5260" s="100"/>
    </row>
    <row r="5261">
      <c r="A5261" s="114">
        <v>1629652.0</v>
      </c>
      <c r="B5261" s="113" t="s">
        <v>247</v>
      </c>
      <c r="C5261" s="113" t="s">
        <v>1266</v>
      </c>
      <c r="D5261" s="112" t="s">
        <v>178</v>
      </c>
      <c r="E5261" s="112">
        <v>1849.2</v>
      </c>
      <c r="F5261" s="111" t="str">
        <f>DataPull!D5261</f>
        <v/>
      </c>
      <c r="G5261" s="94" t="str">
        <f t="shared" si="2"/>
        <v/>
      </c>
      <c r="H5261" s="94" t="str">
        <f t="shared" si="3"/>
        <v/>
      </c>
      <c r="I5261" s="94" t="str">
        <f t="shared" ref="I5261:J5261" si="5262">if(G5261 = "", , -G5261)</f>
        <v/>
      </c>
      <c r="J5261" s="94" t="str">
        <f t="shared" si="5262"/>
        <v/>
      </c>
      <c r="K5261" s="100"/>
      <c r="L5261" s="100"/>
      <c r="M5261" s="100"/>
      <c r="N5261" s="100"/>
      <c r="O5261" s="100"/>
      <c r="P5261" s="100"/>
    </row>
    <row r="5262">
      <c r="A5262" s="107">
        <v>1629653.0</v>
      </c>
      <c r="B5262" s="108" t="s">
        <v>243</v>
      </c>
      <c r="C5262" s="108" t="s">
        <v>1267</v>
      </c>
      <c r="D5262" s="112" t="s">
        <v>187</v>
      </c>
      <c r="E5262" s="112">
        <v>50.6</v>
      </c>
      <c r="F5262" s="111" t="str">
        <f>DataPull!D5262</f>
        <v/>
      </c>
      <c r="G5262" s="94" t="str">
        <f t="shared" si="2"/>
        <v/>
      </c>
      <c r="H5262" s="94" t="str">
        <f t="shared" si="3"/>
        <v/>
      </c>
      <c r="I5262" s="94" t="str">
        <f t="shared" ref="I5262:J5262" si="5263">if(G5262 = "", , -G5262)</f>
        <v/>
      </c>
      <c r="J5262" s="94" t="str">
        <f t="shared" si="5263"/>
        <v/>
      </c>
      <c r="K5262" s="100"/>
      <c r="M5262" s="100"/>
      <c r="N5262" s="100"/>
      <c r="O5262" s="100"/>
      <c r="P5262" s="100"/>
    </row>
    <row r="5263">
      <c r="A5263" s="107">
        <v>1629653.0</v>
      </c>
      <c r="B5263" s="108" t="s">
        <v>215</v>
      </c>
      <c r="C5263" s="108" t="s">
        <v>1267</v>
      </c>
      <c r="D5263" s="112" t="s">
        <v>187</v>
      </c>
      <c r="E5263" s="112">
        <v>84.7</v>
      </c>
      <c r="F5263" s="111" t="str">
        <f>DataPull!D5263</f>
        <v/>
      </c>
      <c r="G5263" s="94" t="str">
        <f t="shared" si="2"/>
        <v/>
      </c>
      <c r="H5263" s="94" t="str">
        <f t="shared" si="3"/>
        <v/>
      </c>
      <c r="I5263" s="94" t="str">
        <f t="shared" ref="I5263:J5263" si="5264">if(G5263 = "", , -G5263)</f>
        <v/>
      </c>
      <c r="J5263" s="94" t="str">
        <f t="shared" si="5264"/>
        <v/>
      </c>
      <c r="K5263" s="100"/>
      <c r="M5263" s="100"/>
      <c r="N5263" s="100"/>
      <c r="O5263" s="100"/>
      <c r="P5263" s="100"/>
    </row>
    <row r="5264">
      <c r="A5264" s="107">
        <v>1629653.0</v>
      </c>
      <c r="B5264" s="108" t="s">
        <v>244</v>
      </c>
      <c r="C5264" s="108" t="s">
        <v>1267</v>
      </c>
      <c r="D5264" s="112" t="s">
        <v>181</v>
      </c>
      <c r="E5264" s="112">
        <v>53.4</v>
      </c>
      <c r="F5264" s="111" t="str">
        <f>DataPull!D5264</f>
        <v/>
      </c>
      <c r="G5264" s="94" t="str">
        <f t="shared" si="2"/>
        <v/>
      </c>
      <c r="H5264" s="94" t="str">
        <f t="shared" si="3"/>
        <v/>
      </c>
      <c r="I5264" s="94" t="str">
        <f t="shared" ref="I5264:J5264" si="5265">if(G5264 = "", , -G5264)</f>
        <v/>
      </c>
      <c r="J5264" s="94" t="str">
        <f t="shared" si="5265"/>
        <v/>
      </c>
      <c r="K5264" s="100"/>
      <c r="M5264" s="100"/>
      <c r="N5264" s="100"/>
      <c r="O5264" s="100"/>
      <c r="P5264" s="100"/>
    </row>
    <row r="5265">
      <c r="A5265" s="107">
        <v>1629655.0</v>
      </c>
      <c r="B5265" s="108" t="s">
        <v>193</v>
      </c>
      <c r="C5265" s="108" t="s">
        <v>1268</v>
      </c>
      <c r="D5265" s="112" t="s">
        <v>177</v>
      </c>
      <c r="E5265" s="112">
        <v>610.6</v>
      </c>
      <c r="F5265" s="111" t="str">
        <f>DataPull!D5265</f>
        <v/>
      </c>
      <c r="G5265" s="94" t="str">
        <f t="shared" si="2"/>
        <v/>
      </c>
      <c r="H5265" s="94" t="str">
        <f t="shared" si="3"/>
        <v/>
      </c>
      <c r="I5265" s="94" t="str">
        <f t="shared" ref="I5265:J5265" si="5266">if(G5265 = "", , -G5265)</f>
        <v/>
      </c>
      <c r="J5265" s="94" t="str">
        <f t="shared" si="5266"/>
        <v/>
      </c>
      <c r="K5265" s="100"/>
      <c r="M5265" s="100"/>
      <c r="N5265" s="100"/>
      <c r="O5265" s="100"/>
      <c r="P5265" s="100"/>
    </row>
    <row r="5266">
      <c r="A5266" s="107">
        <v>1629655.0</v>
      </c>
      <c r="B5266" s="108" t="s">
        <v>243</v>
      </c>
      <c r="C5266" s="108" t="s">
        <v>1268</v>
      </c>
      <c r="D5266" s="112" t="s">
        <v>177</v>
      </c>
      <c r="E5266" s="112">
        <v>793.8</v>
      </c>
      <c r="F5266" s="111" t="str">
        <f>DataPull!D5266</f>
        <v/>
      </c>
      <c r="G5266" s="94" t="str">
        <f t="shared" si="2"/>
        <v/>
      </c>
      <c r="H5266" s="94" t="str">
        <f t="shared" si="3"/>
        <v/>
      </c>
      <c r="I5266" s="94" t="str">
        <f t="shared" ref="I5266:J5266" si="5267">if(G5266 = "", , -G5266)</f>
        <v/>
      </c>
      <c r="J5266" s="94" t="str">
        <f t="shared" si="5267"/>
        <v/>
      </c>
      <c r="K5266" s="100"/>
      <c r="M5266" s="100"/>
      <c r="N5266" s="100"/>
      <c r="O5266" s="100"/>
      <c r="P5266" s="100"/>
    </row>
    <row r="5267">
      <c r="A5267" s="107">
        <v>1629655.0</v>
      </c>
      <c r="B5267" s="108" t="s">
        <v>215</v>
      </c>
      <c r="C5267" s="108" t="s">
        <v>1268</v>
      </c>
      <c r="D5267" s="112" t="s">
        <v>177</v>
      </c>
      <c r="E5267" s="112">
        <v>1447.2</v>
      </c>
      <c r="F5267" s="111" t="str">
        <f>DataPull!D5267</f>
        <v/>
      </c>
      <c r="G5267" s="94" t="str">
        <f t="shared" si="2"/>
        <v/>
      </c>
      <c r="H5267" s="94" t="str">
        <f t="shared" si="3"/>
        <v/>
      </c>
      <c r="I5267" s="94" t="str">
        <f t="shared" ref="I5267:J5267" si="5268">if(G5267 = "", , -G5267)</f>
        <v/>
      </c>
      <c r="J5267" s="94" t="str">
        <f t="shared" si="5268"/>
        <v/>
      </c>
      <c r="K5267" s="100"/>
      <c r="M5267" s="100"/>
      <c r="N5267" s="100"/>
      <c r="O5267" s="100"/>
      <c r="P5267" s="100"/>
    </row>
    <row r="5268">
      <c r="A5268" s="107">
        <v>1629655.0</v>
      </c>
      <c r="B5268" s="108" t="s">
        <v>244</v>
      </c>
      <c r="C5268" s="108" t="s">
        <v>1268</v>
      </c>
      <c r="D5268" s="112" t="s">
        <v>177</v>
      </c>
      <c r="E5268" s="112">
        <v>1606.8</v>
      </c>
      <c r="F5268" s="111" t="str">
        <f>DataPull!D5268</f>
        <v/>
      </c>
      <c r="G5268" s="94" t="str">
        <f t="shared" si="2"/>
        <v/>
      </c>
      <c r="H5268" s="94" t="str">
        <f t="shared" si="3"/>
        <v/>
      </c>
      <c r="I5268" s="94" t="str">
        <f t="shared" ref="I5268:J5268" si="5269">if(G5268 = "", , -G5268)</f>
        <v/>
      </c>
      <c r="J5268" s="94" t="str">
        <f t="shared" si="5269"/>
        <v/>
      </c>
      <c r="K5268" s="100"/>
      <c r="M5268" s="100"/>
      <c r="N5268" s="100"/>
      <c r="O5268" s="100"/>
      <c r="P5268" s="100"/>
    </row>
    <row r="5269">
      <c r="A5269" s="107">
        <v>1629655.0</v>
      </c>
      <c r="B5269" s="108" t="s">
        <v>245</v>
      </c>
      <c r="C5269" s="108" t="s">
        <v>1268</v>
      </c>
      <c r="D5269" s="112" t="s">
        <v>176</v>
      </c>
      <c r="E5269" s="112">
        <v>1813.0</v>
      </c>
      <c r="F5269" s="111" t="str">
        <f>DataPull!D5269</f>
        <v/>
      </c>
      <c r="G5269" s="94" t="str">
        <f t="shared" si="2"/>
        <v/>
      </c>
      <c r="H5269" s="94" t="str">
        <f t="shared" si="3"/>
        <v/>
      </c>
      <c r="I5269" s="94" t="str">
        <f t="shared" ref="I5269:J5269" si="5270">if(G5269 = "", , -G5269)</f>
        <v/>
      </c>
      <c r="J5269" s="94" t="str">
        <f t="shared" si="5270"/>
        <v/>
      </c>
      <c r="K5269" s="100"/>
      <c r="M5269" s="100"/>
      <c r="N5269" s="100"/>
      <c r="O5269" s="100"/>
      <c r="P5269" s="100"/>
    </row>
    <row r="5270">
      <c r="A5270" s="107">
        <v>1629655.0</v>
      </c>
      <c r="B5270" s="108" t="s">
        <v>246</v>
      </c>
      <c r="C5270" s="108" t="s">
        <v>1268</v>
      </c>
      <c r="D5270" s="112" t="s">
        <v>177</v>
      </c>
      <c r="E5270" s="112">
        <v>1225.5</v>
      </c>
      <c r="F5270" s="111" t="str">
        <f>DataPull!D5270</f>
        <v/>
      </c>
      <c r="G5270" s="94" t="str">
        <f t="shared" si="2"/>
        <v/>
      </c>
      <c r="H5270" s="94" t="str">
        <f t="shared" si="3"/>
        <v/>
      </c>
      <c r="I5270" s="94" t="str">
        <f t="shared" ref="I5270:J5270" si="5271">if(G5270 = "", , -G5270)</f>
        <v/>
      </c>
      <c r="J5270" s="94" t="str">
        <f t="shared" si="5271"/>
        <v/>
      </c>
      <c r="K5270" s="100"/>
      <c r="M5270" s="100"/>
      <c r="N5270" s="100"/>
      <c r="O5270" s="100"/>
      <c r="P5270" s="100"/>
    </row>
    <row r="5271">
      <c r="A5271" s="114">
        <v>1629655.0</v>
      </c>
      <c r="B5271" s="113" t="s">
        <v>247</v>
      </c>
      <c r="C5271" s="113" t="s">
        <v>1268</v>
      </c>
      <c r="D5271" s="112" t="s">
        <v>177</v>
      </c>
      <c r="E5271" s="112">
        <v>1193.5</v>
      </c>
      <c r="F5271" s="111" t="str">
        <f>DataPull!D5271</f>
        <v/>
      </c>
      <c r="G5271" s="94" t="str">
        <f t="shared" si="2"/>
        <v/>
      </c>
      <c r="H5271" s="94" t="str">
        <f t="shared" si="3"/>
        <v/>
      </c>
      <c r="I5271" s="94" t="str">
        <f t="shared" ref="I5271:J5271" si="5272">if(G5271 = "", , -G5271)</f>
        <v/>
      </c>
      <c r="J5271" s="94" t="str">
        <f t="shared" si="5272"/>
        <v/>
      </c>
      <c r="K5271" s="100"/>
      <c r="M5271" s="100"/>
      <c r="N5271" s="100"/>
      <c r="O5271" s="100"/>
      <c r="P5271" s="100"/>
    </row>
    <row r="5272">
      <c r="A5272" s="107">
        <v>1629656.0</v>
      </c>
      <c r="B5272" s="108" t="s">
        <v>215</v>
      </c>
      <c r="C5272" s="108" t="s">
        <v>1269</v>
      </c>
      <c r="D5272" s="112" t="s">
        <v>177</v>
      </c>
      <c r="E5272" s="112">
        <v>786.6</v>
      </c>
      <c r="F5272" s="111" t="str">
        <f>DataPull!D5272</f>
        <v/>
      </c>
      <c r="G5272" s="94" t="str">
        <f t="shared" si="2"/>
        <v/>
      </c>
      <c r="H5272" s="94" t="str">
        <f t="shared" si="3"/>
        <v/>
      </c>
      <c r="I5272" s="94" t="str">
        <f t="shared" ref="I5272:J5272" si="5273">if(G5272 = "", , -G5272)</f>
        <v/>
      </c>
      <c r="J5272" s="94" t="str">
        <f t="shared" si="5273"/>
        <v/>
      </c>
      <c r="K5272" s="100"/>
      <c r="M5272" s="100"/>
      <c r="N5272" s="100"/>
      <c r="O5272" s="100"/>
      <c r="P5272" s="100"/>
    </row>
    <row r="5273">
      <c r="A5273" s="107">
        <v>1629656.0</v>
      </c>
      <c r="B5273" s="108" t="s">
        <v>244</v>
      </c>
      <c r="C5273" s="108" t="s">
        <v>1269</v>
      </c>
      <c r="D5273" s="112" t="s">
        <v>178</v>
      </c>
      <c r="E5273" s="112">
        <v>2122.9</v>
      </c>
      <c r="F5273" s="111" t="str">
        <f>DataPull!D5273</f>
        <v/>
      </c>
      <c r="G5273" s="94" t="str">
        <f t="shared" si="2"/>
        <v/>
      </c>
      <c r="H5273" s="94" t="str">
        <f t="shared" si="3"/>
        <v/>
      </c>
      <c r="I5273" s="94" t="str">
        <f t="shared" ref="I5273:J5273" si="5274">if(G5273 = "", , -G5273)</f>
        <v/>
      </c>
      <c r="J5273" s="94" t="str">
        <f t="shared" si="5274"/>
        <v/>
      </c>
      <c r="K5273" s="100"/>
      <c r="M5273" s="100"/>
      <c r="N5273" s="100"/>
      <c r="O5273" s="100"/>
      <c r="P5273" s="100"/>
    </row>
    <row r="5274">
      <c r="A5274" s="107">
        <v>1629656.0</v>
      </c>
      <c r="B5274" s="108" t="s">
        <v>245</v>
      </c>
      <c r="C5274" s="108" t="s">
        <v>1269</v>
      </c>
      <c r="D5274" s="112" t="s">
        <v>177</v>
      </c>
      <c r="E5274" s="112">
        <v>1025.1</v>
      </c>
      <c r="F5274" s="111" t="str">
        <f>DataPull!D5274</f>
        <v/>
      </c>
      <c r="G5274" s="94" t="str">
        <f t="shared" si="2"/>
        <v/>
      </c>
      <c r="H5274" s="94" t="str">
        <f t="shared" si="3"/>
        <v/>
      </c>
      <c r="I5274" s="94" t="str">
        <f t="shared" ref="I5274:J5274" si="5275">if(G5274 = "", , -G5274)</f>
        <v/>
      </c>
      <c r="J5274" s="94" t="str">
        <f t="shared" si="5275"/>
        <v/>
      </c>
      <c r="K5274" s="100"/>
      <c r="M5274" s="100"/>
      <c r="N5274" s="100"/>
      <c r="O5274" s="100"/>
      <c r="P5274" s="100"/>
    </row>
    <row r="5275">
      <c r="A5275" s="107">
        <v>1629656.0</v>
      </c>
      <c r="B5275" s="108" t="s">
        <v>246</v>
      </c>
      <c r="C5275" s="108" t="s">
        <v>1269</v>
      </c>
      <c r="D5275" s="112" t="s">
        <v>176</v>
      </c>
      <c r="E5275" s="112">
        <v>2010.0</v>
      </c>
      <c r="F5275" s="111" t="str">
        <f>DataPull!D5275</f>
        <v/>
      </c>
      <c r="G5275" s="94" t="str">
        <f t="shared" si="2"/>
        <v/>
      </c>
      <c r="H5275" s="94" t="str">
        <f t="shared" si="3"/>
        <v/>
      </c>
      <c r="I5275" s="94" t="str">
        <f t="shared" ref="I5275:J5275" si="5276">if(G5275 = "", , -G5275)</f>
        <v/>
      </c>
      <c r="J5275" s="94" t="str">
        <f t="shared" si="5276"/>
        <v/>
      </c>
      <c r="K5275" s="100"/>
      <c r="M5275" s="100"/>
      <c r="N5275" s="100"/>
      <c r="O5275" s="100"/>
      <c r="P5275" s="100"/>
    </row>
    <row r="5276">
      <c r="A5276" s="114">
        <v>1629656.0</v>
      </c>
      <c r="B5276" s="113" t="s">
        <v>247</v>
      </c>
      <c r="C5276" s="113" t="s">
        <v>1269</v>
      </c>
      <c r="D5276" s="112" t="s">
        <v>176</v>
      </c>
      <c r="E5276" s="112">
        <v>2205.0</v>
      </c>
      <c r="F5276" s="111" t="str">
        <f>DataPull!D5276</f>
        <v/>
      </c>
      <c r="G5276" s="94" t="str">
        <f t="shared" si="2"/>
        <v/>
      </c>
      <c r="H5276" s="94" t="str">
        <f t="shared" si="3"/>
        <v/>
      </c>
      <c r="I5276" s="94" t="str">
        <f t="shared" ref="I5276:J5276" si="5277">if(G5276 = "", , -G5276)</f>
        <v/>
      </c>
      <c r="J5276" s="94" t="str">
        <f t="shared" si="5277"/>
        <v/>
      </c>
      <c r="K5276" s="100"/>
      <c r="M5276" s="100"/>
      <c r="N5276" s="100"/>
      <c r="O5276" s="100"/>
      <c r="P5276" s="100"/>
    </row>
    <row r="5277">
      <c r="A5277" s="107">
        <v>1629657.0</v>
      </c>
      <c r="B5277" s="108" t="s">
        <v>193</v>
      </c>
      <c r="C5277" s="108" t="s">
        <v>1270</v>
      </c>
      <c r="D5277" s="112" t="s">
        <v>181</v>
      </c>
      <c r="E5277" s="112">
        <v>9.6</v>
      </c>
      <c r="F5277" s="111" t="str">
        <f>DataPull!D5277</f>
        <v/>
      </c>
      <c r="G5277" s="94" t="str">
        <f t="shared" si="2"/>
        <v/>
      </c>
      <c r="H5277" s="94" t="str">
        <f t="shared" si="3"/>
        <v/>
      </c>
      <c r="I5277" s="94" t="str">
        <f t="shared" ref="I5277:J5277" si="5278">if(G5277 = "", , -G5277)</f>
        <v/>
      </c>
      <c r="J5277" s="94" t="str">
        <f t="shared" si="5278"/>
        <v/>
      </c>
      <c r="K5277" s="100"/>
      <c r="M5277" s="100"/>
      <c r="N5277" s="100"/>
      <c r="O5277" s="100"/>
      <c r="P5277" s="100"/>
    </row>
    <row r="5278">
      <c r="A5278" s="107">
        <v>1629657.0</v>
      </c>
      <c r="B5278" s="108" t="s">
        <v>243</v>
      </c>
      <c r="C5278" s="108" t="s">
        <v>1270</v>
      </c>
      <c r="D5278" s="112" t="s">
        <v>187</v>
      </c>
      <c r="E5278" s="112">
        <v>235.6</v>
      </c>
      <c r="F5278" s="111" t="str">
        <f>DataPull!D5278</f>
        <v/>
      </c>
      <c r="G5278" s="94" t="str">
        <f t="shared" si="2"/>
        <v/>
      </c>
      <c r="H5278" s="94" t="str">
        <f t="shared" si="3"/>
        <v/>
      </c>
      <c r="I5278" s="94" t="str">
        <f t="shared" ref="I5278:J5278" si="5279">if(G5278 = "", , -G5278)</f>
        <v/>
      </c>
      <c r="J5278" s="94" t="str">
        <f t="shared" si="5279"/>
        <v/>
      </c>
      <c r="K5278" s="100"/>
      <c r="M5278" s="100"/>
      <c r="N5278" s="100"/>
      <c r="O5278" s="100"/>
      <c r="P5278" s="100"/>
    </row>
    <row r="5279">
      <c r="A5279" s="107">
        <v>1629657.0</v>
      </c>
      <c r="B5279" s="108" t="s">
        <v>215</v>
      </c>
      <c r="C5279" s="108" t="s">
        <v>1270</v>
      </c>
      <c r="D5279" s="112" t="s">
        <v>187</v>
      </c>
      <c r="E5279" s="112">
        <v>186.2</v>
      </c>
      <c r="F5279" s="111" t="str">
        <f>DataPull!D5279</f>
        <v/>
      </c>
      <c r="G5279" s="94" t="str">
        <f t="shared" si="2"/>
        <v/>
      </c>
      <c r="H5279" s="94" t="str">
        <f t="shared" si="3"/>
        <v/>
      </c>
      <c r="I5279" s="94" t="str">
        <f t="shared" ref="I5279:J5279" si="5280">if(G5279 = "", , -G5279)</f>
        <v/>
      </c>
      <c r="J5279" s="94" t="str">
        <f t="shared" si="5280"/>
        <v/>
      </c>
      <c r="K5279" s="100"/>
      <c r="M5279" s="100"/>
      <c r="N5279" s="100"/>
      <c r="O5279" s="100"/>
      <c r="P5279" s="100"/>
    </row>
    <row r="5280">
      <c r="A5280" s="107">
        <v>1629658.0</v>
      </c>
      <c r="B5280" s="108" t="s">
        <v>193</v>
      </c>
      <c r="C5280" s="108" t="s">
        <v>1271</v>
      </c>
      <c r="D5280" s="112" t="s">
        <v>187</v>
      </c>
      <c r="E5280" s="112">
        <v>102.7</v>
      </c>
      <c r="F5280" s="111" t="str">
        <f>DataPull!D5280</f>
        <v/>
      </c>
      <c r="G5280" s="94" t="str">
        <f t="shared" si="2"/>
        <v/>
      </c>
      <c r="H5280" s="94" t="str">
        <f t="shared" si="3"/>
        <v/>
      </c>
      <c r="I5280" s="94" t="str">
        <f t="shared" ref="I5280:J5280" si="5281">if(G5280 = "", , -G5280)</f>
        <v/>
      </c>
      <c r="J5280" s="94" t="str">
        <f t="shared" si="5281"/>
        <v/>
      </c>
      <c r="K5280" s="100"/>
      <c r="M5280" s="100"/>
      <c r="N5280" s="100"/>
      <c r="O5280" s="100"/>
      <c r="P5280" s="100"/>
    </row>
    <row r="5281">
      <c r="A5281" s="107">
        <v>1629658.0</v>
      </c>
      <c r="B5281" s="108" t="s">
        <v>243</v>
      </c>
      <c r="C5281" s="108" t="s">
        <v>1271</v>
      </c>
      <c r="D5281" s="112" t="s">
        <v>177</v>
      </c>
      <c r="E5281" s="112">
        <v>319.2</v>
      </c>
      <c r="F5281" s="111" t="str">
        <f>DataPull!D5281</f>
        <v/>
      </c>
      <c r="G5281" s="94" t="str">
        <f t="shared" si="2"/>
        <v/>
      </c>
      <c r="H5281" s="94" t="str">
        <f t="shared" si="3"/>
        <v/>
      </c>
      <c r="I5281" s="94" t="str">
        <f t="shared" ref="I5281:J5281" si="5282">if(G5281 = "", , -G5281)</f>
        <v/>
      </c>
      <c r="J5281" s="94" t="str">
        <f t="shared" si="5282"/>
        <v/>
      </c>
      <c r="K5281" s="100"/>
      <c r="M5281" s="100"/>
      <c r="N5281" s="100"/>
      <c r="O5281" s="100"/>
      <c r="P5281" s="100"/>
    </row>
    <row r="5282">
      <c r="A5282" s="107">
        <v>1629658.0</v>
      </c>
      <c r="B5282" s="108" t="s">
        <v>215</v>
      </c>
      <c r="C5282" s="108" t="s">
        <v>1271</v>
      </c>
      <c r="D5282" s="112" t="s">
        <v>181</v>
      </c>
      <c r="E5282" s="112">
        <v>239.4</v>
      </c>
      <c r="F5282" s="111" t="str">
        <f>DataPull!D5282</f>
        <v/>
      </c>
      <c r="G5282" s="94" t="str">
        <f t="shared" si="2"/>
        <v/>
      </c>
      <c r="H5282" s="94" t="str">
        <f t="shared" si="3"/>
        <v/>
      </c>
      <c r="I5282" s="94" t="str">
        <f t="shared" ref="I5282:J5282" si="5283">if(G5282 = "", , -G5282)</f>
        <v/>
      </c>
      <c r="J5282" s="94" t="str">
        <f t="shared" si="5283"/>
        <v/>
      </c>
      <c r="K5282" s="100"/>
      <c r="M5282" s="100"/>
      <c r="N5282" s="100"/>
      <c r="O5282" s="100"/>
      <c r="P5282" s="100"/>
    </row>
    <row r="5283">
      <c r="A5283" s="107">
        <v>1629659.0</v>
      </c>
      <c r="B5283" s="108" t="s">
        <v>193</v>
      </c>
      <c r="C5283" s="108" t="s">
        <v>1272</v>
      </c>
      <c r="D5283" s="112" t="s">
        <v>181</v>
      </c>
      <c r="E5283" s="112">
        <v>81.0</v>
      </c>
      <c r="F5283" s="111" t="str">
        <f>DataPull!D5283</f>
        <v/>
      </c>
      <c r="G5283" s="94" t="str">
        <f t="shared" si="2"/>
        <v/>
      </c>
      <c r="H5283" s="94" t="str">
        <f t="shared" si="3"/>
        <v/>
      </c>
      <c r="I5283" s="94" t="str">
        <f t="shared" ref="I5283:J5283" si="5284">if(G5283 = "", , -G5283)</f>
        <v/>
      </c>
      <c r="J5283" s="94" t="str">
        <f t="shared" si="5284"/>
        <v/>
      </c>
      <c r="K5283" s="100"/>
      <c r="M5283" s="100"/>
      <c r="N5283" s="100"/>
      <c r="O5283" s="100"/>
      <c r="P5283" s="100"/>
    </row>
    <row r="5284">
      <c r="A5284" s="107">
        <v>1629659.0</v>
      </c>
      <c r="B5284" s="108" t="s">
        <v>243</v>
      </c>
      <c r="C5284" s="108" t="s">
        <v>1272</v>
      </c>
      <c r="D5284" s="112" t="s">
        <v>176</v>
      </c>
      <c r="E5284" s="112">
        <v>1306.5</v>
      </c>
      <c r="F5284" s="111" t="str">
        <f>DataPull!D5284</f>
        <v/>
      </c>
      <c r="G5284" s="94" t="str">
        <f t="shared" si="2"/>
        <v/>
      </c>
      <c r="H5284" s="94" t="str">
        <f t="shared" si="3"/>
        <v/>
      </c>
      <c r="I5284" s="94" t="str">
        <f t="shared" ref="I5284:J5284" si="5285">if(G5284 = "", , -G5284)</f>
        <v/>
      </c>
      <c r="J5284" s="94" t="str">
        <f t="shared" si="5285"/>
        <v/>
      </c>
      <c r="K5284" s="100"/>
      <c r="M5284" s="100"/>
      <c r="N5284" s="100"/>
      <c r="O5284" s="100"/>
      <c r="P5284" s="100"/>
    </row>
    <row r="5285">
      <c r="A5285" s="107">
        <v>1629659.0</v>
      </c>
      <c r="B5285" s="108" t="s">
        <v>215</v>
      </c>
      <c r="C5285" s="108" t="s">
        <v>1272</v>
      </c>
      <c r="D5285" s="112" t="s">
        <v>176</v>
      </c>
      <c r="E5285" s="112">
        <v>1512.0</v>
      </c>
      <c r="F5285" s="111" t="str">
        <f>DataPull!D5285</f>
        <v/>
      </c>
      <c r="G5285" s="94" t="str">
        <f t="shared" si="2"/>
        <v/>
      </c>
      <c r="H5285" s="94" t="str">
        <f t="shared" si="3"/>
        <v/>
      </c>
      <c r="I5285" s="94" t="str">
        <f t="shared" ref="I5285:J5285" si="5286">if(G5285 = "", , -G5285)</f>
        <v/>
      </c>
      <c r="J5285" s="94" t="str">
        <f t="shared" si="5286"/>
        <v/>
      </c>
      <c r="K5285" s="100"/>
      <c r="M5285" s="100"/>
      <c r="N5285" s="100"/>
      <c r="O5285" s="100"/>
      <c r="P5285" s="100"/>
    </row>
    <row r="5286">
      <c r="A5286" s="107">
        <v>1629659.0</v>
      </c>
      <c r="B5286" s="108" t="s">
        <v>244</v>
      </c>
      <c r="C5286" s="108" t="s">
        <v>1272</v>
      </c>
      <c r="D5286" s="112" t="s">
        <v>177</v>
      </c>
      <c r="E5286" s="112">
        <v>1313.0</v>
      </c>
      <c r="F5286" s="111" t="str">
        <f>DataPull!D5286</f>
        <v/>
      </c>
      <c r="G5286" s="94" t="str">
        <f t="shared" si="2"/>
        <v/>
      </c>
      <c r="H5286" s="94" t="str">
        <f t="shared" si="3"/>
        <v/>
      </c>
      <c r="I5286" s="94" t="str">
        <f t="shared" ref="I5286:J5286" si="5287">if(G5286 = "", , -G5286)</f>
        <v/>
      </c>
      <c r="J5286" s="94" t="str">
        <f t="shared" si="5287"/>
        <v/>
      </c>
      <c r="K5286" s="100"/>
      <c r="M5286" s="100"/>
      <c r="N5286" s="100"/>
      <c r="O5286" s="100"/>
      <c r="P5286" s="100"/>
    </row>
    <row r="5287">
      <c r="A5287" s="107">
        <v>1629659.0</v>
      </c>
      <c r="B5287" s="108" t="s">
        <v>245</v>
      </c>
      <c r="C5287" s="108" t="s">
        <v>1272</v>
      </c>
      <c r="D5287" s="112" t="s">
        <v>177</v>
      </c>
      <c r="E5287" s="112">
        <v>1009.8</v>
      </c>
      <c r="F5287" s="111" t="str">
        <f>DataPull!D5287</f>
        <v/>
      </c>
      <c r="G5287" s="94" t="str">
        <f t="shared" si="2"/>
        <v/>
      </c>
      <c r="H5287" s="94" t="str">
        <f t="shared" si="3"/>
        <v/>
      </c>
      <c r="I5287" s="94" t="str">
        <f t="shared" ref="I5287:J5287" si="5288">if(G5287 = "", , -G5287)</f>
        <v/>
      </c>
      <c r="J5287" s="94" t="str">
        <f t="shared" si="5288"/>
        <v/>
      </c>
      <c r="N5287" s="100"/>
      <c r="O5287" s="100"/>
      <c r="P5287" s="100"/>
    </row>
    <row r="5288">
      <c r="A5288" s="107">
        <v>1629659.0</v>
      </c>
      <c r="B5288" s="108" t="s">
        <v>246</v>
      </c>
      <c r="C5288" s="108" t="s">
        <v>1272</v>
      </c>
      <c r="D5288" s="112" t="s">
        <v>177</v>
      </c>
      <c r="E5288" s="112">
        <v>725.0</v>
      </c>
      <c r="F5288" s="111" t="str">
        <f>DataPull!D5288</f>
        <v/>
      </c>
      <c r="G5288" s="94" t="str">
        <f t="shared" si="2"/>
        <v/>
      </c>
      <c r="H5288" s="94" t="str">
        <f t="shared" si="3"/>
        <v/>
      </c>
      <c r="I5288" s="94" t="str">
        <f t="shared" ref="I5288:J5288" si="5289">if(G5288 = "", , -G5288)</f>
        <v/>
      </c>
      <c r="J5288" s="94" t="str">
        <f t="shared" si="5289"/>
        <v/>
      </c>
      <c r="K5288" s="100"/>
      <c r="M5288" s="100"/>
      <c r="N5288" s="100"/>
      <c r="O5288" s="100"/>
      <c r="P5288" s="100"/>
    </row>
    <row r="5289">
      <c r="A5289" s="107">
        <v>1629660.0</v>
      </c>
      <c r="B5289" s="108" t="s">
        <v>193</v>
      </c>
      <c r="C5289" s="108" t="s">
        <v>1273</v>
      </c>
      <c r="D5289" s="112" t="s">
        <v>177</v>
      </c>
      <c r="E5289" s="112">
        <v>328.6</v>
      </c>
      <c r="F5289" s="111" t="str">
        <f>DataPull!D5289</f>
        <v/>
      </c>
      <c r="G5289" s="94" t="str">
        <f t="shared" si="2"/>
        <v/>
      </c>
      <c r="H5289" s="94" t="str">
        <f t="shared" si="3"/>
        <v/>
      </c>
      <c r="I5289" s="94" t="str">
        <f t="shared" ref="I5289:J5289" si="5290">if(G5289 = "", , -G5289)</f>
        <v/>
      </c>
      <c r="J5289" s="94" t="str">
        <f t="shared" si="5290"/>
        <v/>
      </c>
      <c r="K5289" s="100"/>
      <c r="M5289" s="100"/>
      <c r="N5289" s="100"/>
      <c r="O5289" s="100"/>
      <c r="P5289" s="100"/>
    </row>
    <row r="5290">
      <c r="A5290" s="107">
        <v>1629660.0</v>
      </c>
      <c r="B5290" s="108" t="s">
        <v>243</v>
      </c>
      <c r="C5290" s="108" t="s">
        <v>1273</v>
      </c>
      <c r="D5290" s="112" t="s">
        <v>176</v>
      </c>
      <c r="E5290" s="112">
        <v>788.7</v>
      </c>
      <c r="F5290" s="111" t="str">
        <f>DataPull!D5290</f>
        <v/>
      </c>
      <c r="G5290" s="94" t="str">
        <f t="shared" si="2"/>
        <v/>
      </c>
      <c r="H5290" s="94" t="str">
        <f t="shared" si="3"/>
        <v/>
      </c>
      <c r="I5290" s="94" t="str">
        <f t="shared" ref="I5290:J5290" si="5291">if(G5290 = "", , -G5290)</f>
        <v/>
      </c>
      <c r="J5290" s="94" t="str">
        <f t="shared" si="5291"/>
        <v/>
      </c>
      <c r="K5290" s="100"/>
      <c r="M5290" s="100"/>
      <c r="N5290" s="100"/>
      <c r="O5290" s="100"/>
      <c r="P5290" s="100"/>
    </row>
    <row r="5291">
      <c r="A5291" s="107">
        <v>1629660.0</v>
      </c>
      <c r="B5291" s="108" t="s">
        <v>215</v>
      </c>
      <c r="C5291" s="108" t="s">
        <v>1273</v>
      </c>
      <c r="D5291" s="112" t="s">
        <v>177</v>
      </c>
      <c r="E5291" s="112">
        <v>801.6</v>
      </c>
      <c r="F5291" s="111" t="str">
        <f>DataPull!D5291</f>
        <v/>
      </c>
      <c r="G5291" s="94" t="str">
        <f t="shared" si="2"/>
        <v/>
      </c>
      <c r="H5291" s="94" t="str">
        <f t="shared" si="3"/>
        <v/>
      </c>
      <c r="I5291" s="94" t="str">
        <f t="shared" ref="I5291:J5291" si="5292">if(G5291 = "", , -G5291)</f>
        <v/>
      </c>
      <c r="J5291" s="94" t="str">
        <f t="shared" si="5292"/>
        <v/>
      </c>
      <c r="K5291" s="100"/>
      <c r="M5291" s="100"/>
      <c r="N5291" s="100"/>
      <c r="O5291" s="100"/>
      <c r="P5291" s="100"/>
    </row>
    <row r="5292">
      <c r="A5292" s="107">
        <v>1629660.0</v>
      </c>
      <c r="B5292" s="108" t="s">
        <v>244</v>
      </c>
      <c r="C5292" s="108" t="s">
        <v>1273</v>
      </c>
      <c r="D5292" s="112" t="s">
        <v>177</v>
      </c>
      <c r="E5292" s="112">
        <v>814.5</v>
      </c>
      <c r="F5292" s="111" t="str">
        <f>DataPull!D5292</f>
        <v/>
      </c>
      <c r="G5292" s="94" t="str">
        <f t="shared" si="2"/>
        <v/>
      </c>
      <c r="H5292" s="94" t="str">
        <f t="shared" si="3"/>
        <v/>
      </c>
      <c r="I5292" s="94" t="str">
        <f t="shared" ref="I5292:J5292" si="5293">if(G5292 = "", , -G5292)</f>
        <v/>
      </c>
      <c r="J5292" s="94" t="str">
        <f t="shared" si="5293"/>
        <v/>
      </c>
      <c r="K5292" s="100"/>
      <c r="M5292" s="100"/>
      <c r="N5292" s="100"/>
      <c r="O5292" s="100"/>
      <c r="P5292" s="100"/>
    </row>
    <row r="5293">
      <c r="A5293" s="107">
        <v>1629660.0</v>
      </c>
      <c r="B5293" s="108" t="s">
        <v>245</v>
      </c>
      <c r="C5293" s="108" t="s">
        <v>1273</v>
      </c>
      <c r="D5293" s="112" t="s">
        <v>181</v>
      </c>
      <c r="E5293" s="112">
        <v>14.8</v>
      </c>
      <c r="F5293" s="111" t="str">
        <f>DataPull!D5293</f>
        <v/>
      </c>
      <c r="G5293" s="94" t="str">
        <f t="shared" si="2"/>
        <v/>
      </c>
      <c r="H5293" s="94" t="str">
        <f t="shared" si="3"/>
        <v/>
      </c>
      <c r="I5293" s="94" t="str">
        <f t="shared" ref="I5293:J5293" si="5294">if(G5293 = "", , -G5293)</f>
        <v/>
      </c>
      <c r="J5293" s="94" t="str">
        <f t="shared" si="5294"/>
        <v/>
      </c>
      <c r="K5293" s="100"/>
      <c r="M5293" s="100"/>
      <c r="N5293" s="100"/>
      <c r="O5293" s="100"/>
      <c r="P5293" s="100"/>
    </row>
    <row r="5294">
      <c r="A5294" s="107">
        <v>1629660.0</v>
      </c>
      <c r="B5294" s="108" t="s">
        <v>246</v>
      </c>
      <c r="C5294" s="108" t="s">
        <v>1273</v>
      </c>
      <c r="D5294" s="112" t="s">
        <v>176</v>
      </c>
      <c r="E5294" s="112">
        <v>1393.0</v>
      </c>
      <c r="F5294" s="111" t="str">
        <f>DataPull!D5294</f>
        <v/>
      </c>
      <c r="G5294" s="94" t="str">
        <f t="shared" si="2"/>
        <v/>
      </c>
      <c r="H5294" s="94" t="str">
        <f t="shared" si="3"/>
        <v/>
      </c>
      <c r="I5294" s="94" t="str">
        <f t="shared" ref="I5294:J5294" si="5295">if(G5294 = "", , -G5294)</f>
        <v/>
      </c>
      <c r="J5294" s="94" t="str">
        <f t="shared" si="5295"/>
        <v/>
      </c>
      <c r="K5294" s="100"/>
      <c r="M5294" s="100"/>
      <c r="N5294" s="100"/>
      <c r="O5294" s="100"/>
      <c r="P5294" s="100"/>
    </row>
    <row r="5295">
      <c r="A5295" s="89">
        <v>1629660.0</v>
      </c>
      <c r="B5295" s="113" t="s">
        <v>247</v>
      </c>
      <c r="C5295" s="113" t="s">
        <v>1273</v>
      </c>
      <c r="D5295" s="112" t="s">
        <v>176</v>
      </c>
      <c r="E5295" s="112">
        <v>339.0</v>
      </c>
      <c r="F5295" s="111" t="str">
        <f>DataPull!D5295</f>
        <v/>
      </c>
      <c r="G5295" s="94" t="str">
        <f t="shared" si="2"/>
        <v/>
      </c>
      <c r="H5295" s="94" t="str">
        <f t="shared" si="3"/>
        <v/>
      </c>
      <c r="I5295" s="94" t="str">
        <f t="shared" ref="I5295:J5295" si="5296">if(G5295 = "", , -G5295)</f>
        <v/>
      </c>
      <c r="J5295" s="94" t="str">
        <f t="shared" si="5296"/>
        <v/>
      </c>
      <c r="K5295" s="100"/>
      <c r="M5295" s="100"/>
      <c r="N5295" s="100"/>
      <c r="O5295" s="100"/>
      <c r="P5295" s="100"/>
    </row>
    <row r="5296">
      <c r="A5296" s="107">
        <v>1629661.0</v>
      </c>
      <c r="B5296" s="108" t="s">
        <v>193</v>
      </c>
      <c r="C5296" s="108" t="s">
        <v>1274</v>
      </c>
      <c r="D5296" s="112" t="s">
        <v>176</v>
      </c>
      <c r="E5296" s="112">
        <v>1254.0</v>
      </c>
      <c r="F5296" s="111" t="str">
        <f>DataPull!D5296</f>
        <v/>
      </c>
      <c r="G5296" s="94" t="str">
        <f t="shared" si="2"/>
        <v/>
      </c>
      <c r="H5296" s="94" t="str">
        <f t="shared" si="3"/>
        <v/>
      </c>
      <c r="I5296" s="94" t="str">
        <f t="shared" ref="I5296:J5296" si="5297">if(G5296 = "", , -G5296)</f>
        <v/>
      </c>
      <c r="J5296" s="94" t="str">
        <f t="shared" si="5297"/>
        <v/>
      </c>
      <c r="K5296" s="100"/>
      <c r="L5296" s="100"/>
      <c r="N5296" s="100"/>
      <c r="O5296" s="100"/>
      <c r="P5296" s="100"/>
    </row>
    <row r="5297">
      <c r="A5297" s="107">
        <v>1629661.0</v>
      </c>
      <c r="B5297" s="108" t="s">
        <v>243</v>
      </c>
      <c r="C5297" s="108" t="s">
        <v>1274</v>
      </c>
      <c r="D5297" s="112" t="s">
        <v>176</v>
      </c>
      <c r="E5297" s="112">
        <v>1440.0</v>
      </c>
      <c r="F5297" s="111" t="str">
        <f>DataPull!D5297</f>
        <v/>
      </c>
      <c r="G5297" s="94" t="str">
        <f t="shared" si="2"/>
        <v/>
      </c>
      <c r="H5297" s="94" t="str">
        <f t="shared" si="3"/>
        <v/>
      </c>
      <c r="I5297" s="94" t="str">
        <f t="shared" ref="I5297:J5297" si="5298">if(G5297 = "", , -G5297)</f>
        <v/>
      </c>
      <c r="J5297" s="94" t="str">
        <f t="shared" si="5298"/>
        <v/>
      </c>
      <c r="K5297" s="100"/>
      <c r="M5297" s="100"/>
      <c r="N5297" s="100"/>
      <c r="O5297" s="100"/>
      <c r="P5297" s="100"/>
    </row>
    <row r="5298">
      <c r="A5298" s="107">
        <v>1629661.0</v>
      </c>
      <c r="B5298" s="108" t="s">
        <v>215</v>
      </c>
      <c r="C5298" s="108" t="s">
        <v>1274</v>
      </c>
      <c r="D5298" s="112" t="s">
        <v>176</v>
      </c>
      <c r="E5298" s="112">
        <v>1729.2</v>
      </c>
      <c r="F5298" s="111" t="str">
        <f>DataPull!D5298</f>
        <v/>
      </c>
      <c r="G5298" s="94" t="str">
        <f t="shared" si="2"/>
        <v/>
      </c>
      <c r="H5298" s="94" t="str">
        <f t="shared" si="3"/>
        <v/>
      </c>
      <c r="I5298" s="94" t="str">
        <f t="shared" ref="I5298:J5298" si="5299">if(G5298 = "", , -G5298)</f>
        <v/>
      </c>
      <c r="J5298" s="94" t="str">
        <f t="shared" si="5299"/>
        <v/>
      </c>
      <c r="K5298" s="100"/>
      <c r="M5298" s="100"/>
      <c r="N5298" s="100"/>
      <c r="O5298" s="100"/>
      <c r="P5298" s="100"/>
    </row>
    <row r="5299">
      <c r="A5299" s="107">
        <v>1629661.0</v>
      </c>
      <c r="B5299" s="108" t="s">
        <v>244</v>
      </c>
      <c r="C5299" s="108" t="s">
        <v>1274</v>
      </c>
      <c r="D5299" s="112" t="s">
        <v>176</v>
      </c>
      <c r="E5299" s="112">
        <v>1201.2</v>
      </c>
      <c r="F5299" s="111" t="str">
        <f>DataPull!D5299</f>
        <v/>
      </c>
      <c r="G5299" s="94" t="str">
        <f t="shared" si="2"/>
        <v/>
      </c>
      <c r="H5299" s="94" t="str">
        <f t="shared" si="3"/>
        <v/>
      </c>
      <c r="I5299" s="94" t="str">
        <f t="shared" ref="I5299:J5299" si="5300">if(G5299 = "", , -G5299)</f>
        <v/>
      </c>
      <c r="J5299" s="94" t="str">
        <f t="shared" si="5300"/>
        <v/>
      </c>
      <c r="K5299" s="100"/>
      <c r="M5299" s="100"/>
      <c r="N5299" s="100"/>
      <c r="O5299" s="100"/>
      <c r="P5299" s="100"/>
    </row>
    <row r="5300">
      <c r="A5300" s="107">
        <v>1629661.0</v>
      </c>
      <c r="B5300" s="108" t="s">
        <v>245</v>
      </c>
      <c r="C5300" s="108" t="s">
        <v>1274</v>
      </c>
      <c r="D5300" s="112" t="s">
        <v>176</v>
      </c>
      <c r="E5300" s="112">
        <v>1600.8</v>
      </c>
      <c r="F5300" s="111" t="str">
        <f>DataPull!D5300</f>
        <v/>
      </c>
      <c r="G5300" s="94" t="str">
        <f t="shared" si="2"/>
        <v/>
      </c>
      <c r="H5300" s="94" t="str">
        <f t="shared" si="3"/>
        <v/>
      </c>
      <c r="I5300" s="94" t="str">
        <f t="shared" ref="I5300:J5300" si="5301">if(G5300 = "", , -G5300)</f>
        <v/>
      </c>
      <c r="J5300" s="94" t="str">
        <f t="shared" si="5301"/>
        <v/>
      </c>
      <c r="K5300" s="100"/>
      <c r="M5300" s="100"/>
      <c r="N5300" s="100"/>
      <c r="O5300" s="100"/>
      <c r="P5300" s="100"/>
    </row>
    <row r="5301">
      <c r="A5301" s="107">
        <v>1629661.0</v>
      </c>
      <c r="B5301" s="108" t="s">
        <v>246</v>
      </c>
      <c r="C5301" s="108" t="s">
        <v>1274</v>
      </c>
      <c r="D5301" s="112" t="s">
        <v>178</v>
      </c>
      <c r="E5301" s="112">
        <v>1801.2</v>
      </c>
      <c r="F5301" s="111" t="str">
        <f>DataPull!D5301</f>
        <v/>
      </c>
      <c r="G5301" s="94" t="str">
        <f t="shared" si="2"/>
        <v/>
      </c>
      <c r="H5301" s="94" t="str">
        <f t="shared" si="3"/>
        <v/>
      </c>
      <c r="I5301" s="94" t="str">
        <f t="shared" ref="I5301:J5301" si="5302">if(G5301 = "", , -G5301)</f>
        <v/>
      </c>
      <c r="J5301" s="94" t="str">
        <f t="shared" si="5302"/>
        <v/>
      </c>
      <c r="K5301" s="100"/>
      <c r="M5301" s="100"/>
      <c r="N5301" s="100"/>
      <c r="O5301" s="100"/>
      <c r="P5301" s="100"/>
    </row>
    <row r="5302">
      <c r="A5302" s="114">
        <v>1629661.0</v>
      </c>
      <c r="B5302" s="113" t="s">
        <v>247</v>
      </c>
      <c r="C5302" s="113" t="s">
        <v>1274</v>
      </c>
      <c r="D5302" s="112" t="s">
        <v>178</v>
      </c>
      <c r="E5302" s="112">
        <v>1647.0</v>
      </c>
      <c r="F5302" s="111" t="str">
        <f>DataPull!D5302</f>
        <v/>
      </c>
      <c r="G5302" s="94" t="str">
        <f t="shared" si="2"/>
        <v/>
      </c>
      <c r="H5302" s="94" t="str">
        <f t="shared" si="3"/>
        <v/>
      </c>
      <c r="I5302" s="94" t="str">
        <f t="shared" ref="I5302:J5302" si="5303">if(G5302 = "", , -G5302)</f>
        <v/>
      </c>
      <c r="J5302" s="94" t="str">
        <f t="shared" si="5303"/>
        <v/>
      </c>
      <c r="K5302" s="100"/>
      <c r="M5302" s="100"/>
      <c r="N5302" s="100"/>
      <c r="O5302" s="100"/>
      <c r="P5302" s="100"/>
    </row>
    <row r="5303">
      <c r="A5303" s="107">
        <v>1629662.0</v>
      </c>
      <c r="B5303" s="108" t="s">
        <v>193</v>
      </c>
      <c r="C5303" s="108" t="s">
        <v>1275</v>
      </c>
      <c r="D5303" s="112" t="s">
        <v>187</v>
      </c>
      <c r="E5303" s="112">
        <v>64.8</v>
      </c>
      <c r="F5303" s="111" t="str">
        <f>DataPull!D5303</f>
        <v/>
      </c>
      <c r="G5303" s="94" t="str">
        <f t="shared" si="2"/>
        <v/>
      </c>
      <c r="H5303" s="94" t="str">
        <f t="shared" si="3"/>
        <v/>
      </c>
      <c r="I5303" s="94" t="str">
        <f t="shared" ref="I5303:J5303" si="5304">if(G5303 = "", , -G5303)</f>
        <v/>
      </c>
      <c r="J5303" s="94" t="str">
        <f t="shared" si="5304"/>
        <v/>
      </c>
      <c r="K5303" s="100"/>
      <c r="M5303" s="100"/>
      <c r="N5303" s="100"/>
      <c r="O5303" s="100"/>
    </row>
    <row r="5304">
      <c r="A5304" s="107">
        <v>1629662.0</v>
      </c>
      <c r="B5304" s="108" t="s">
        <v>243</v>
      </c>
      <c r="C5304" s="108" t="s">
        <v>1275</v>
      </c>
      <c r="D5304" s="112" t="s">
        <v>187</v>
      </c>
      <c r="E5304" s="112">
        <v>280.8</v>
      </c>
      <c r="F5304" s="111" t="str">
        <f>DataPull!D5304</f>
        <v/>
      </c>
      <c r="G5304" s="94" t="str">
        <f t="shared" si="2"/>
        <v/>
      </c>
      <c r="H5304" s="94" t="str">
        <f t="shared" si="3"/>
        <v/>
      </c>
      <c r="I5304" s="94" t="str">
        <f t="shared" ref="I5304:J5304" si="5305">if(G5304 = "", , -G5304)</f>
        <v/>
      </c>
      <c r="J5304" s="94" t="str">
        <f t="shared" si="5305"/>
        <v/>
      </c>
      <c r="K5304" s="100"/>
      <c r="M5304" s="100"/>
      <c r="N5304" s="100"/>
      <c r="O5304" s="100"/>
    </row>
    <row r="5305">
      <c r="A5305" s="107">
        <v>1629662.0</v>
      </c>
      <c r="B5305" s="108" t="s">
        <v>244</v>
      </c>
      <c r="C5305" s="108" t="s">
        <v>1275</v>
      </c>
      <c r="D5305" s="112" t="s">
        <v>181</v>
      </c>
      <c r="E5305" s="112">
        <v>36.4</v>
      </c>
      <c r="F5305" s="111" t="str">
        <f>DataPull!D5305</f>
        <v/>
      </c>
      <c r="G5305" s="94" t="str">
        <f t="shared" si="2"/>
        <v/>
      </c>
      <c r="H5305" s="94" t="str">
        <f t="shared" si="3"/>
        <v/>
      </c>
      <c r="I5305" s="94" t="str">
        <f t="shared" ref="I5305:J5305" si="5306">if(G5305 = "", , -G5305)</f>
        <v/>
      </c>
      <c r="J5305" s="94" t="str">
        <f t="shared" si="5306"/>
        <v/>
      </c>
      <c r="K5305" s="100"/>
      <c r="M5305" s="100"/>
      <c r="N5305" s="100"/>
      <c r="O5305" s="100"/>
      <c r="P5305" s="100"/>
    </row>
    <row r="5306">
      <c r="A5306" s="107">
        <v>1629663.0</v>
      </c>
      <c r="B5306" s="108" t="s">
        <v>193</v>
      </c>
      <c r="C5306" s="108" t="s">
        <v>1276</v>
      </c>
      <c r="D5306" s="112" t="s">
        <v>187</v>
      </c>
      <c r="E5306" s="112">
        <v>62.0</v>
      </c>
      <c r="F5306" s="111" t="str">
        <f>DataPull!D5306</f>
        <v/>
      </c>
      <c r="G5306" s="94" t="str">
        <f t="shared" si="2"/>
        <v/>
      </c>
      <c r="H5306" s="94" t="str">
        <f t="shared" si="3"/>
        <v/>
      </c>
      <c r="I5306" s="94" t="str">
        <f t="shared" ref="I5306:J5306" si="5307">if(G5306 = "", , -G5306)</f>
        <v/>
      </c>
      <c r="J5306" s="94" t="str">
        <f t="shared" si="5307"/>
        <v/>
      </c>
      <c r="K5306" s="100"/>
      <c r="M5306" s="100"/>
      <c r="N5306" s="100"/>
      <c r="O5306" s="100"/>
      <c r="P5306" s="100"/>
    </row>
    <row r="5307">
      <c r="A5307" s="107">
        <v>1629663.0</v>
      </c>
      <c r="B5307" s="108" t="s">
        <v>243</v>
      </c>
      <c r="C5307" s="108" t="s">
        <v>1276</v>
      </c>
      <c r="D5307" s="112" t="s">
        <v>181</v>
      </c>
      <c r="E5307" s="112">
        <v>85.2</v>
      </c>
      <c r="F5307" s="111" t="str">
        <f>DataPull!D5307</f>
        <v/>
      </c>
      <c r="G5307" s="94" t="str">
        <f t="shared" si="2"/>
        <v/>
      </c>
      <c r="H5307" s="94" t="str">
        <f t="shared" si="3"/>
        <v/>
      </c>
      <c r="I5307" s="94" t="str">
        <f t="shared" ref="I5307:J5307" si="5308">if(G5307 = "", , -G5307)</f>
        <v/>
      </c>
      <c r="J5307" s="94" t="str">
        <f t="shared" si="5308"/>
        <v/>
      </c>
      <c r="K5307" s="100"/>
      <c r="L5307" s="100"/>
      <c r="N5307" s="100"/>
      <c r="O5307" s="100"/>
      <c r="P5307" s="100"/>
    </row>
    <row r="5308">
      <c r="A5308" s="107">
        <v>1629663.0</v>
      </c>
      <c r="B5308" s="108" t="s">
        <v>215</v>
      </c>
      <c r="C5308" s="108" t="s">
        <v>1276</v>
      </c>
      <c r="D5308" s="112" t="s">
        <v>187</v>
      </c>
      <c r="E5308" s="112">
        <v>104.0</v>
      </c>
      <c r="F5308" s="111" t="str">
        <f>DataPull!D5308</f>
        <v/>
      </c>
      <c r="G5308" s="94" t="str">
        <f t="shared" si="2"/>
        <v/>
      </c>
      <c r="H5308" s="94" t="str">
        <f t="shared" si="3"/>
        <v/>
      </c>
      <c r="I5308" s="94" t="str">
        <f t="shared" ref="I5308:J5308" si="5309">if(G5308 = "", , -G5308)</f>
        <v/>
      </c>
      <c r="J5308" s="94" t="str">
        <f t="shared" si="5309"/>
        <v/>
      </c>
      <c r="K5308" s="100"/>
      <c r="M5308" s="100"/>
      <c r="N5308" s="100"/>
      <c r="O5308" s="100"/>
      <c r="P5308" s="100"/>
    </row>
    <row r="5309">
      <c r="A5309" s="107">
        <v>1629663.0</v>
      </c>
      <c r="B5309" s="108" t="s">
        <v>244</v>
      </c>
      <c r="C5309" s="108" t="s">
        <v>1276</v>
      </c>
      <c r="D5309" s="112" t="s">
        <v>181</v>
      </c>
      <c r="E5309" s="112">
        <v>28.8</v>
      </c>
      <c r="F5309" s="111" t="str">
        <f>DataPull!D5309</f>
        <v/>
      </c>
      <c r="G5309" s="94" t="str">
        <f t="shared" si="2"/>
        <v/>
      </c>
      <c r="H5309" s="94" t="str">
        <f t="shared" si="3"/>
        <v/>
      </c>
      <c r="I5309" s="94" t="str">
        <f t="shared" ref="I5309:J5309" si="5310">if(G5309 = "", , -G5309)</f>
        <v/>
      </c>
      <c r="J5309" s="94" t="str">
        <f t="shared" si="5310"/>
        <v/>
      </c>
      <c r="K5309" s="100"/>
      <c r="M5309" s="100"/>
      <c r="N5309" s="100"/>
      <c r="O5309" s="100"/>
      <c r="P5309" s="100"/>
    </row>
    <row r="5310">
      <c r="A5310" s="107">
        <v>1629665.0</v>
      </c>
      <c r="B5310" s="108" t="s">
        <v>193</v>
      </c>
      <c r="C5310" s="108" t="s">
        <v>1277</v>
      </c>
      <c r="D5310" s="112" t="s">
        <v>181</v>
      </c>
      <c r="E5310" s="112">
        <v>31.5</v>
      </c>
      <c r="F5310" s="111" t="str">
        <f>DataPull!D5310</f>
        <v/>
      </c>
      <c r="G5310" s="94" t="str">
        <f t="shared" si="2"/>
        <v/>
      </c>
      <c r="H5310" s="94" t="str">
        <f t="shared" si="3"/>
        <v/>
      </c>
      <c r="I5310" s="94" t="str">
        <f t="shared" ref="I5310:J5310" si="5311">if(G5310 = "", , -G5310)</f>
        <v/>
      </c>
      <c r="J5310" s="94" t="str">
        <f t="shared" si="5311"/>
        <v/>
      </c>
      <c r="K5310" s="100"/>
      <c r="M5310" s="100"/>
      <c r="N5310" s="100"/>
      <c r="O5310" s="100"/>
      <c r="P5310" s="100"/>
    </row>
    <row r="5311">
      <c r="A5311" s="107">
        <v>1629665.0</v>
      </c>
      <c r="B5311" s="108" t="s">
        <v>243</v>
      </c>
      <c r="C5311" s="108" t="s">
        <v>1277</v>
      </c>
      <c r="D5311" s="112" t="s">
        <v>181</v>
      </c>
      <c r="E5311" s="112">
        <v>12.0</v>
      </c>
      <c r="F5311" s="111" t="str">
        <f>DataPull!D5311</f>
        <v/>
      </c>
      <c r="G5311" s="94" t="str">
        <f t="shared" si="2"/>
        <v/>
      </c>
      <c r="H5311" s="94" t="str">
        <f t="shared" si="3"/>
        <v/>
      </c>
      <c r="I5311" s="94" t="str">
        <f t="shared" ref="I5311:J5311" si="5312">if(G5311 = "", , -G5311)</f>
        <v/>
      </c>
      <c r="J5311" s="94" t="str">
        <f t="shared" si="5312"/>
        <v/>
      </c>
      <c r="K5311" s="100"/>
      <c r="L5311" s="100"/>
      <c r="M5311" s="100"/>
      <c r="N5311" s="100"/>
      <c r="O5311" s="100"/>
    </row>
    <row r="5312">
      <c r="A5312" s="107">
        <v>1629667.0</v>
      </c>
      <c r="B5312" s="108" t="s">
        <v>193</v>
      </c>
      <c r="C5312" s="108" t="s">
        <v>1278</v>
      </c>
      <c r="D5312" s="112" t="s">
        <v>187</v>
      </c>
      <c r="E5312" s="112">
        <v>292.8</v>
      </c>
      <c r="F5312" s="111" t="str">
        <f>DataPull!D5312</f>
        <v/>
      </c>
      <c r="G5312" s="94" t="str">
        <f t="shared" si="2"/>
        <v/>
      </c>
      <c r="H5312" s="94" t="str">
        <f t="shared" si="3"/>
        <v/>
      </c>
      <c r="I5312" s="94" t="str">
        <f t="shared" ref="I5312:J5312" si="5313">if(G5312 = "", , -G5312)</f>
        <v/>
      </c>
      <c r="J5312" s="94" t="str">
        <f t="shared" si="5313"/>
        <v/>
      </c>
      <c r="K5312" s="100"/>
      <c r="M5312" s="100"/>
      <c r="N5312" s="100"/>
      <c r="O5312" s="100"/>
      <c r="P5312" s="100"/>
    </row>
    <row r="5313">
      <c r="A5313" s="107">
        <v>1629667.0</v>
      </c>
      <c r="B5313" s="108" t="s">
        <v>243</v>
      </c>
      <c r="C5313" s="108" t="s">
        <v>1278</v>
      </c>
      <c r="D5313" s="112" t="s">
        <v>177</v>
      </c>
      <c r="E5313" s="112">
        <v>902.4</v>
      </c>
      <c r="F5313" s="111" t="str">
        <f>DataPull!D5313</f>
        <v/>
      </c>
      <c r="G5313" s="94" t="str">
        <f t="shared" si="2"/>
        <v/>
      </c>
      <c r="H5313" s="94" t="str">
        <f t="shared" si="3"/>
        <v/>
      </c>
      <c r="I5313" s="94" t="str">
        <f t="shared" ref="I5313:J5313" si="5314">if(G5313 = "", , -G5313)</f>
        <v/>
      </c>
      <c r="J5313" s="94" t="str">
        <f t="shared" si="5314"/>
        <v/>
      </c>
      <c r="K5313" s="100"/>
      <c r="M5313" s="100"/>
      <c r="N5313" s="100"/>
      <c r="O5313" s="100"/>
      <c r="P5313" s="100"/>
    </row>
    <row r="5314">
      <c r="A5314" s="107">
        <v>1629667.0</v>
      </c>
      <c r="B5314" s="108" t="s">
        <v>215</v>
      </c>
      <c r="C5314" s="108" t="s">
        <v>1278</v>
      </c>
      <c r="D5314" s="112" t="s">
        <v>177</v>
      </c>
      <c r="E5314" s="112">
        <v>896.5</v>
      </c>
      <c r="F5314" s="111" t="str">
        <f>DataPull!D5314</f>
        <v/>
      </c>
      <c r="G5314" s="94" t="str">
        <f t="shared" si="2"/>
        <v/>
      </c>
      <c r="H5314" s="94" t="str">
        <f t="shared" si="3"/>
        <v/>
      </c>
      <c r="I5314" s="94" t="str">
        <f t="shared" ref="I5314:J5314" si="5315">if(G5314 = "", , -G5314)</f>
        <v/>
      </c>
      <c r="J5314" s="94" t="str">
        <f t="shared" si="5315"/>
        <v/>
      </c>
      <c r="K5314" s="100"/>
      <c r="M5314" s="100"/>
      <c r="N5314" s="100"/>
      <c r="O5314" s="100"/>
      <c r="P5314" s="100"/>
    </row>
    <row r="5315">
      <c r="A5315" s="107">
        <v>1629667.0</v>
      </c>
      <c r="B5315" s="108" t="s">
        <v>244</v>
      </c>
      <c r="C5315" s="108" t="s">
        <v>1278</v>
      </c>
      <c r="D5315" s="112" t="s">
        <v>176</v>
      </c>
      <c r="E5315" s="112">
        <v>1912.0</v>
      </c>
      <c r="F5315" s="111" t="str">
        <f>DataPull!D5315</f>
        <v/>
      </c>
      <c r="G5315" s="94" t="str">
        <f t="shared" si="2"/>
        <v/>
      </c>
      <c r="H5315" s="94" t="str">
        <f t="shared" si="3"/>
        <v/>
      </c>
      <c r="I5315" s="94" t="str">
        <f t="shared" ref="I5315:J5315" si="5316">if(G5315 = "", , -G5315)</f>
        <v/>
      </c>
      <c r="J5315" s="94" t="str">
        <f t="shared" si="5316"/>
        <v/>
      </c>
      <c r="K5315" s="100"/>
      <c r="M5315" s="100"/>
      <c r="N5315" s="100"/>
      <c r="O5315" s="100"/>
    </row>
    <row r="5316">
      <c r="A5316" s="107">
        <v>1629667.0</v>
      </c>
      <c r="B5316" s="108" t="s">
        <v>245</v>
      </c>
      <c r="C5316" s="108" t="s">
        <v>1278</v>
      </c>
      <c r="D5316" s="112" t="s">
        <v>177</v>
      </c>
      <c r="E5316" s="112">
        <v>540.0</v>
      </c>
      <c r="F5316" s="111" t="str">
        <f>DataPull!D5316</f>
        <v/>
      </c>
      <c r="G5316" s="94" t="str">
        <f t="shared" si="2"/>
        <v/>
      </c>
      <c r="H5316" s="94" t="str">
        <f t="shared" si="3"/>
        <v/>
      </c>
      <c r="I5316" s="94" t="str">
        <f t="shared" ref="I5316:J5316" si="5317">if(G5316 = "", , -G5316)</f>
        <v/>
      </c>
      <c r="J5316" s="94" t="str">
        <f t="shared" si="5317"/>
        <v/>
      </c>
      <c r="K5316" s="100"/>
      <c r="M5316" s="100"/>
      <c r="N5316" s="100"/>
      <c r="O5316" s="100"/>
      <c r="P5316" s="100"/>
    </row>
    <row r="5317">
      <c r="A5317" s="123">
        <v>1629667.0</v>
      </c>
      <c r="B5317" s="124" t="s">
        <v>246</v>
      </c>
      <c r="C5317" s="125" t="s">
        <v>1278</v>
      </c>
      <c r="D5317" s="112" t="s">
        <v>181</v>
      </c>
      <c r="E5317" s="112">
        <v>7.2</v>
      </c>
      <c r="F5317" s="111" t="str">
        <f>DataPull!D5317</f>
        <v/>
      </c>
      <c r="G5317" s="94" t="str">
        <f t="shared" si="2"/>
        <v/>
      </c>
      <c r="H5317" s="94" t="str">
        <f t="shared" si="3"/>
        <v/>
      </c>
      <c r="I5317" s="94" t="str">
        <f t="shared" ref="I5317:J5317" si="5318">if(G5317 = "", , -G5317)</f>
        <v/>
      </c>
      <c r="J5317" s="94" t="str">
        <f t="shared" si="5318"/>
        <v/>
      </c>
      <c r="K5317" s="100"/>
      <c r="M5317" s="100"/>
      <c r="N5317" s="100"/>
      <c r="O5317" s="100"/>
      <c r="P5317" s="100"/>
    </row>
    <row r="5318">
      <c r="A5318" s="107">
        <v>1629668.0</v>
      </c>
      <c r="B5318" s="108" t="s">
        <v>193</v>
      </c>
      <c r="C5318" s="108" t="s">
        <v>1279</v>
      </c>
      <c r="D5318" s="112" t="s">
        <v>181</v>
      </c>
      <c r="E5318" s="112">
        <v>41.0</v>
      </c>
      <c r="F5318" s="111" t="str">
        <f>DataPull!D5318</f>
        <v/>
      </c>
      <c r="G5318" s="94" t="str">
        <f t="shared" si="2"/>
        <v/>
      </c>
      <c r="H5318" s="94" t="str">
        <f t="shared" si="3"/>
        <v/>
      </c>
      <c r="I5318" s="94" t="str">
        <f t="shared" ref="I5318:J5318" si="5319">if(G5318 = "", , -G5318)</f>
        <v/>
      </c>
      <c r="J5318" s="94" t="str">
        <f t="shared" si="5319"/>
        <v/>
      </c>
      <c r="K5318" s="100"/>
      <c r="M5318" s="100"/>
      <c r="N5318" s="100"/>
      <c r="O5318" s="100"/>
      <c r="P5318" s="100"/>
    </row>
    <row r="5319">
      <c r="A5319" s="107">
        <v>1629669.0</v>
      </c>
      <c r="B5319" s="108" t="s">
        <v>193</v>
      </c>
      <c r="C5319" s="108" t="s">
        <v>1280</v>
      </c>
      <c r="D5319" s="112" t="s">
        <v>187</v>
      </c>
      <c r="E5319" s="112">
        <v>151.5</v>
      </c>
      <c r="F5319" s="111" t="str">
        <f>DataPull!D5319</f>
        <v/>
      </c>
      <c r="G5319" s="94" t="str">
        <f t="shared" si="2"/>
        <v/>
      </c>
      <c r="H5319" s="94" t="str">
        <f t="shared" si="3"/>
        <v/>
      </c>
      <c r="I5319" s="94" t="str">
        <f t="shared" ref="I5319:J5319" si="5320">if(G5319 = "", , -G5319)</f>
        <v/>
      </c>
      <c r="J5319" s="94" t="str">
        <f t="shared" si="5320"/>
        <v/>
      </c>
      <c r="K5319" s="100"/>
      <c r="M5319" s="100"/>
      <c r="N5319" s="100"/>
      <c r="O5319" s="100"/>
      <c r="P5319" s="100"/>
    </row>
    <row r="5320">
      <c r="A5320" s="107">
        <v>1629669.0</v>
      </c>
      <c r="B5320" s="108" t="s">
        <v>243</v>
      </c>
      <c r="C5320" s="108" t="s">
        <v>1280</v>
      </c>
      <c r="D5320" s="112" t="s">
        <v>177</v>
      </c>
      <c r="E5320" s="112">
        <v>760.2</v>
      </c>
      <c r="F5320" s="111" t="str">
        <f>DataPull!D5320</f>
        <v/>
      </c>
      <c r="G5320" s="94" t="str">
        <f t="shared" si="2"/>
        <v/>
      </c>
      <c r="H5320" s="94" t="str">
        <f t="shared" si="3"/>
        <v/>
      </c>
      <c r="I5320" s="94" t="str">
        <f t="shared" ref="I5320:J5320" si="5321">if(G5320 = "", , -G5320)</f>
        <v/>
      </c>
      <c r="J5320" s="94" t="str">
        <f t="shared" si="5321"/>
        <v/>
      </c>
      <c r="K5320" s="100"/>
      <c r="M5320" s="100"/>
      <c r="N5320" s="100"/>
      <c r="O5320" s="100"/>
      <c r="P5320" s="100"/>
    </row>
    <row r="5321">
      <c r="A5321" s="107">
        <v>1629669.0</v>
      </c>
      <c r="B5321" s="108" t="s">
        <v>215</v>
      </c>
      <c r="C5321" s="108" t="s">
        <v>1280</v>
      </c>
      <c r="D5321" s="112" t="s">
        <v>177</v>
      </c>
      <c r="E5321" s="112">
        <v>973.4</v>
      </c>
      <c r="F5321" s="111" t="str">
        <f>DataPull!D5321</f>
        <v/>
      </c>
      <c r="G5321" s="94" t="str">
        <f t="shared" si="2"/>
        <v/>
      </c>
      <c r="H5321" s="94" t="str">
        <f t="shared" si="3"/>
        <v/>
      </c>
      <c r="I5321" s="94" t="str">
        <f t="shared" ref="I5321:J5321" si="5322">if(G5321 = "", , -G5321)</f>
        <v/>
      </c>
      <c r="J5321" s="94" t="str">
        <f t="shared" si="5322"/>
        <v/>
      </c>
      <c r="K5321" s="100"/>
      <c r="M5321" s="100"/>
      <c r="N5321" s="100"/>
      <c r="O5321" s="100"/>
      <c r="P5321" s="100"/>
    </row>
    <row r="5322">
      <c r="A5322" s="107">
        <v>1629669.0</v>
      </c>
      <c r="B5322" s="108" t="s">
        <v>244</v>
      </c>
      <c r="C5322" s="108" t="s">
        <v>1280</v>
      </c>
      <c r="D5322" s="112" t="s">
        <v>177</v>
      </c>
      <c r="E5322" s="112">
        <v>1254.5</v>
      </c>
      <c r="F5322" s="111" t="str">
        <f>DataPull!D5322</f>
        <v/>
      </c>
      <c r="G5322" s="94" t="str">
        <f t="shared" si="2"/>
        <v/>
      </c>
      <c r="H5322" s="94" t="str">
        <f t="shared" si="3"/>
        <v/>
      </c>
      <c r="I5322" s="94" t="str">
        <f t="shared" ref="I5322:J5322" si="5323">if(G5322 = "", , -G5322)</f>
        <v/>
      </c>
      <c r="J5322" s="94" t="str">
        <f t="shared" si="5323"/>
        <v/>
      </c>
      <c r="K5322" s="100"/>
      <c r="M5322" s="100"/>
      <c r="N5322" s="100"/>
      <c r="O5322" s="100"/>
      <c r="P5322" s="100"/>
    </row>
    <row r="5323">
      <c r="A5323" s="107">
        <v>1629669.0</v>
      </c>
      <c r="B5323" s="108" t="s">
        <v>245</v>
      </c>
      <c r="C5323" s="108" t="s">
        <v>1280</v>
      </c>
      <c r="D5323" s="112" t="s">
        <v>187</v>
      </c>
      <c r="E5323" s="112">
        <v>213.2</v>
      </c>
      <c r="F5323" s="111" t="str">
        <f>DataPull!D5323</f>
        <v/>
      </c>
      <c r="G5323" s="94" t="str">
        <f t="shared" si="2"/>
        <v/>
      </c>
      <c r="H5323" s="94" t="str">
        <f t="shared" si="3"/>
        <v/>
      </c>
      <c r="I5323" s="94" t="str">
        <f t="shared" ref="I5323:J5323" si="5324">if(G5323 = "", , -G5323)</f>
        <v/>
      </c>
      <c r="J5323" s="94" t="str">
        <f t="shared" si="5324"/>
        <v/>
      </c>
      <c r="K5323" s="100"/>
      <c r="M5323" s="100"/>
      <c r="N5323" s="100"/>
      <c r="O5323" s="100"/>
      <c r="P5323" s="100"/>
    </row>
    <row r="5324">
      <c r="A5324" s="107">
        <v>1629669.0</v>
      </c>
      <c r="B5324" s="108" t="s">
        <v>246</v>
      </c>
      <c r="C5324" s="108" t="s">
        <v>1280</v>
      </c>
      <c r="D5324" s="112" t="s">
        <v>181</v>
      </c>
      <c r="E5324" s="112">
        <v>168.0</v>
      </c>
      <c r="F5324" s="111" t="str">
        <f>DataPull!D5324</f>
        <v/>
      </c>
      <c r="G5324" s="94" t="str">
        <f t="shared" si="2"/>
        <v/>
      </c>
      <c r="H5324" s="94" t="str">
        <f t="shared" si="3"/>
        <v/>
      </c>
      <c r="I5324" s="94" t="str">
        <f t="shared" ref="I5324:J5324" si="5325">if(G5324 = "", , -G5324)</f>
        <v/>
      </c>
      <c r="J5324" s="94" t="str">
        <f t="shared" si="5325"/>
        <v/>
      </c>
      <c r="K5324" s="100"/>
      <c r="L5324" s="100"/>
      <c r="N5324" s="100"/>
      <c r="O5324" s="100"/>
      <c r="P5324" s="100"/>
    </row>
    <row r="5325">
      <c r="A5325" s="107">
        <v>1629670.0</v>
      </c>
      <c r="B5325" s="108" t="s">
        <v>243</v>
      </c>
      <c r="C5325" s="108" t="s">
        <v>1281</v>
      </c>
      <c r="D5325" s="112" t="s">
        <v>187</v>
      </c>
      <c r="E5325" s="112">
        <v>273.0</v>
      </c>
      <c r="F5325" s="111" t="str">
        <f>DataPull!D5325</f>
        <v/>
      </c>
      <c r="G5325" s="94" t="str">
        <f t="shared" si="2"/>
        <v/>
      </c>
      <c r="H5325" s="94" t="str">
        <f t="shared" si="3"/>
        <v/>
      </c>
      <c r="I5325" s="94" t="str">
        <f t="shared" ref="I5325:J5325" si="5326">if(G5325 = "", , -G5325)</f>
        <v/>
      </c>
      <c r="J5325" s="94" t="str">
        <f t="shared" si="5326"/>
        <v/>
      </c>
      <c r="K5325" s="100"/>
      <c r="M5325" s="100"/>
      <c r="N5325" s="100"/>
      <c r="O5325" s="100"/>
      <c r="P5325" s="100"/>
    </row>
    <row r="5326">
      <c r="A5326" s="107">
        <v>1629670.0</v>
      </c>
      <c r="B5326" s="108" t="s">
        <v>215</v>
      </c>
      <c r="C5326" s="108" t="s">
        <v>1281</v>
      </c>
      <c r="D5326" s="112" t="s">
        <v>177</v>
      </c>
      <c r="E5326" s="112">
        <v>1184.2</v>
      </c>
      <c r="F5326" s="111" t="str">
        <f>DataPull!D5326</f>
        <v/>
      </c>
      <c r="G5326" s="94" t="str">
        <f t="shared" si="2"/>
        <v/>
      </c>
      <c r="H5326" s="94" t="str">
        <f t="shared" si="3"/>
        <v/>
      </c>
      <c r="I5326" s="94" t="str">
        <f t="shared" ref="I5326:J5326" si="5327">if(G5326 = "", , -G5326)</f>
        <v/>
      </c>
      <c r="J5326" s="94" t="str">
        <f t="shared" si="5327"/>
        <v/>
      </c>
      <c r="K5326" s="100"/>
      <c r="M5326" s="100"/>
      <c r="N5326" s="100"/>
      <c r="O5326" s="100"/>
      <c r="P5326" s="100"/>
    </row>
    <row r="5327">
      <c r="A5327" s="107">
        <v>1629670.0</v>
      </c>
      <c r="B5327" s="108" t="s">
        <v>244</v>
      </c>
      <c r="C5327" s="108" t="s">
        <v>1281</v>
      </c>
      <c r="D5327" s="112" t="s">
        <v>177</v>
      </c>
      <c r="E5327" s="112">
        <v>1190.4</v>
      </c>
      <c r="F5327" s="111" t="str">
        <f>DataPull!D5327</f>
        <v/>
      </c>
      <c r="G5327" s="94" t="str">
        <f t="shared" si="2"/>
        <v/>
      </c>
      <c r="H5327" s="94" t="str">
        <f t="shared" si="3"/>
        <v/>
      </c>
      <c r="I5327" s="94" t="str">
        <f t="shared" ref="I5327:J5327" si="5328">if(G5327 = "", , -G5327)</f>
        <v/>
      </c>
      <c r="J5327" s="94" t="str">
        <f t="shared" si="5328"/>
        <v/>
      </c>
      <c r="K5327" s="100"/>
      <c r="L5327" s="100"/>
      <c r="M5327" s="100"/>
      <c r="N5327" s="100"/>
      <c r="O5327" s="100"/>
      <c r="P5327" s="100"/>
    </row>
    <row r="5328">
      <c r="A5328" s="107">
        <v>1629670.0</v>
      </c>
      <c r="B5328" s="108" t="s">
        <v>245</v>
      </c>
      <c r="C5328" s="108" t="s">
        <v>1281</v>
      </c>
      <c r="D5328" s="112" t="s">
        <v>177</v>
      </c>
      <c r="E5328" s="112">
        <v>712.4</v>
      </c>
      <c r="F5328" s="111" t="str">
        <f>DataPull!D5328</f>
        <v/>
      </c>
      <c r="G5328" s="94" t="str">
        <f t="shared" si="2"/>
        <v/>
      </c>
      <c r="H5328" s="94" t="str">
        <f t="shared" si="3"/>
        <v/>
      </c>
      <c r="I5328" s="94" t="str">
        <f t="shared" ref="I5328:J5328" si="5329">if(G5328 = "", , -G5328)</f>
        <v/>
      </c>
      <c r="J5328" s="94" t="str">
        <f t="shared" si="5329"/>
        <v/>
      </c>
      <c r="K5328" s="100"/>
      <c r="M5328" s="100"/>
      <c r="N5328" s="100"/>
      <c r="O5328" s="100"/>
    </row>
    <row r="5329">
      <c r="A5329" s="107">
        <v>1629671.0</v>
      </c>
      <c r="B5329" s="108" t="s">
        <v>193</v>
      </c>
      <c r="C5329" s="108" t="s">
        <v>1282</v>
      </c>
      <c r="D5329" s="112" t="s">
        <v>187</v>
      </c>
      <c r="E5329" s="112">
        <v>109.0</v>
      </c>
      <c r="F5329" s="111" t="str">
        <f>DataPull!D5329</f>
        <v/>
      </c>
      <c r="G5329" s="94" t="str">
        <f t="shared" si="2"/>
        <v/>
      </c>
      <c r="H5329" s="94" t="str">
        <f t="shared" si="3"/>
        <v/>
      </c>
      <c r="I5329" s="94" t="str">
        <f t="shared" ref="I5329:J5329" si="5330">if(G5329 = "", , -G5329)</f>
        <v/>
      </c>
      <c r="J5329" s="94" t="str">
        <f t="shared" si="5330"/>
        <v/>
      </c>
      <c r="K5329" s="100"/>
      <c r="M5329" s="100"/>
      <c r="N5329" s="100"/>
      <c r="O5329" s="100"/>
      <c r="P5329" s="100"/>
    </row>
    <row r="5330">
      <c r="A5330" s="107">
        <v>1629671.0</v>
      </c>
      <c r="B5330" s="108" t="s">
        <v>243</v>
      </c>
      <c r="C5330" s="108" t="s">
        <v>1282</v>
      </c>
      <c r="D5330" s="112" t="s">
        <v>187</v>
      </c>
      <c r="E5330" s="112">
        <v>518.4</v>
      </c>
      <c r="F5330" s="111" t="str">
        <f>DataPull!D5330</f>
        <v/>
      </c>
      <c r="G5330" s="94" t="str">
        <f t="shared" si="2"/>
        <v/>
      </c>
      <c r="H5330" s="94" t="str">
        <f t="shared" si="3"/>
        <v/>
      </c>
      <c r="I5330" s="94" t="str">
        <f t="shared" ref="I5330:J5330" si="5331">if(G5330 = "", , -G5330)</f>
        <v/>
      </c>
      <c r="J5330" s="94" t="str">
        <f t="shared" si="5331"/>
        <v/>
      </c>
      <c r="K5330" s="100"/>
      <c r="M5330" s="100"/>
      <c r="N5330" s="100"/>
      <c r="O5330" s="100"/>
      <c r="P5330" s="100"/>
    </row>
    <row r="5331">
      <c r="A5331" s="107">
        <v>1629671.0</v>
      </c>
      <c r="B5331" s="108" t="s">
        <v>215</v>
      </c>
      <c r="C5331" s="108" t="s">
        <v>1282</v>
      </c>
      <c r="D5331" s="112" t="s">
        <v>187</v>
      </c>
      <c r="E5331" s="112">
        <v>44.8</v>
      </c>
      <c r="F5331" s="111" t="str">
        <f>DataPull!D5331</f>
        <v/>
      </c>
      <c r="G5331" s="94" t="str">
        <f t="shared" si="2"/>
        <v/>
      </c>
      <c r="H5331" s="94" t="str">
        <f t="shared" si="3"/>
        <v/>
      </c>
      <c r="I5331" s="94" t="str">
        <f t="shared" ref="I5331:J5331" si="5332">if(G5331 = "", , -G5331)</f>
        <v/>
      </c>
      <c r="J5331" s="94" t="str">
        <f t="shared" si="5332"/>
        <v/>
      </c>
      <c r="K5331" s="100"/>
      <c r="M5331" s="100"/>
      <c r="N5331" s="100"/>
      <c r="O5331" s="100"/>
      <c r="P5331" s="100"/>
    </row>
    <row r="5332">
      <c r="A5332" s="107">
        <v>1629672.0</v>
      </c>
      <c r="B5332" s="108" t="s">
        <v>193</v>
      </c>
      <c r="C5332" s="108" t="s">
        <v>1283</v>
      </c>
      <c r="D5332" s="112" t="s">
        <v>176</v>
      </c>
      <c r="E5332" s="112">
        <v>1656.0</v>
      </c>
      <c r="F5332" s="111" t="str">
        <f>DataPull!D5332</f>
        <v/>
      </c>
      <c r="G5332" s="94" t="str">
        <f t="shared" si="2"/>
        <v/>
      </c>
      <c r="H5332" s="94" t="str">
        <f t="shared" si="3"/>
        <v/>
      </c>
      <c r="I5332" s="94" t="str">
        <f t="shared" ref="I5332:J5332" si="5333">if(G5332 = "", , -G5332)</f>
        <v/>
      </c>
      <c r="J5332" s="94" t="str">
        <f t="shared" si="5333"/>
        <v/>
      </c>
      <c r="K5332" s="100"/>
      <c r="M5332" s="100"/>
      <c r="N5332" s="100"/>
      <c r="O5332" s="100"/>
      <c r="P5332" s="100"/>
    </row>
    <row r="5333">
      <c r="A5333" s="107">
        <v>1629672.0</v>
      </c>
      <c r="B5333" s="108" t="s">
        <v>243</v>
      </c>
      <c r="C5333" s="108" t="s">
        <v>1283</v>
      </c>
      <c r="D5333" s="112" t="s">
        <v>177</v>
      </c>
      <c r="E5333" s="112">
        <v>696.0</v>
      </c>
      <c r="F5333" s="111" t="str">
        <f>DataPull!D5333</f>
        <v/>
      </c>
      <c r="G5333" s="94" t="str">
        <f t="shared" si="2"/>
        <v/>
      </c>
      <c r="H5333" s="94" t="str">
        <f t="shared" si="3"/>
        <v/>
      </c>
      <c r="I5333" s="94" t="str">
        <f t="shared" ref="I5333:J5333" si="5334">if(G5333 = "", , -G5333)</f>
        <v/>
      </c>
      <c r="J5333" s="94" t="str">
        <f t="shared" si="5334"/>
        <v/>
      </c>
      <c r="K5333" s="100"/>
      <c r="M5333" s="100"/>
      <c r="N5333" s="100"/>
      <c r="O5333" s="100"/>
      <c r="P5333" s="100"/>
    </row>
    <row r="5334">
      <c r="A5334" s="107">
        <v>1629672.0</v>
      </c>
      <c r="B5334" s="108" t="s">
        <v>215</v>
      </c>
      <c r="C5334" s="108" t="s">
        <v>1283</v>
      </c>
      <c r="D5334" s="112" t="s">
        <v>187</v>
      </c>
      <c r="E5334" s="112">
        <v>736.6</v>
      </c>
      <c r="F5334" s="111" t="str">
        <f>DataPull!D5334</f>
        <v/>
      </c>
      <c r="G5334" s="94" t="str">
        <f t="shared" si="2"/>
        <v/>
      </c>
      <c r="H5334" s="94" t="str">
        <f t="shared" si="3"/>
        <v/>
      </c>
      <c r="I5334" s="94" t="str">
        <f t="shared" ref="I5334:J5334" si="5335">if(G5334 = "", , -G5334)</f>
        <v/>
      </c>
      <c r="J5334" s="94" t="str">
        <f t="shared" si="5335"/>
        <v/>
      </c>
      <c r="K5334" s="100"/>
      <c r="M5334" s="100"/>
      <c r="N5334" s="100"/>
      <c r="O5334" s="100"/>
    </row>
    <row r="5335">
      <c r="A5335" s="107">
        <v>1629673.0</v>
      </c>
      <c r="B5335" s="108" t="s">
        <v>193</v>
      </c>
      <c r="C5335" s="108" t="s">
        <v>1284</v>
      </c>
      <c r="D5335" s="112" t="s">
        <v>176</v>
      </c>
      <c r="E5335" s="112">
        <v>1271.1</v>
      </c>
      <c r="F5335" s="111" t="str">
        <f>DataPull!D5335</f>
        <v/>
      </c>
      <c r="G5335" s="94" t="str">
        <f t="shared" si="2"/>
        <v/>
      </c>
      <c r="H5335" s="94" t="str">
        <f t="shared" si="3"/>
        <v/>
      </c>
      <c r="I5335" s="94" t="str">
        <f t="shared" ref="I5335:J5335" si="5336">if(G5335 = "", , -G5335)</f>
        <v/>
      </c>
      <c r="J5335" s="94" t="str">
        <f t="shared" si="5336"/>
        <v/>
      </c>
      <c r="K5335" s="100"/>
      <c r="M5335" s="100"/>
      <c r="N5335" s="100"/>
      <c r="O5335" s="100"/>
      <c r="P5335" s="100"/>
    </row>
    <row r="5336">
      <c r="A5336" s="107">
        <v>1629673.0</v>
      </c>
      <c r="B5336" s="108" t="s">
        <v>243</v>
      </c>
      <c r="C5336" s="108" t="s">
        <v>1284</v>
      </c>
      <c r="D5336" s="112" t="s">
        <v>177</v>
      </c>
      <c r="E5336" s="112">
        <v>989.4</v>
      </c>
      <c r="F5336" s="111" t="str">
        <f>DataPull!D5336</f>
        <v/>
      </c>
      <c r="G5336" s="94" t="str">
        <f t="shared" si="2"/>
        <v/>
      </c>
      <c r="H5336" s="94" t="str">
        <f t="shared" si="3"/>
        <v/>
      </c>
      <c r="I5336" s="94" t="str">
        <f t="shared" ref="I5336:J5336" si="5337">if(G5336 = "", , -G5336)</f>
        <v/>
      </c>
      <c r="J5336" s="94" t="str">
        <f t="shared" si="5337"/>
        <v/>
      </c>
      <c r="K5336" s="100"/>
      <c r="M5336" s="100"/>
      <c r="N5336" s="100"/>
      <c r="O5336" s="100"/>
    </row>
    <row r="5337">
      <c r="A5337" s="107">
        <v>1629673.0</v>
      </c>
      <c r="B5337" s="108" t="s">
        <v>215</v>
      </c>
      <c r="C5337" s="108" t="s">
        <v>1284</v>
      </c>
      <c r="D5337" s="112" t="s">
        <v>178</v>
      </c>
      <c r="E5337" s="112">
        <v>2280.0</v>
      </c>
      <c r="F5337" s="111" t="str">
        <f>DataPull!D5337</f>
        <v/>
      </c>
      <c r="G5337" s="94" t="str">
        <f t="shared" si="2"/>
        <v/>
      </c>
      <c r="H5337" s="94" t="str">
        <f t="shared" si="3"/>
        <v/>
      </c>
      <c r="I5337" s="94" t="str">
        <f t="shared" ref="I5337:J5337" si="5338">if(G5337 = "", , -G5337)</f>
        <v/>
      </c>
      <c r="J5337" s="94" t="str">
        <f t="shared" si="5338"/>
        <v/>
      </c>
      <c r="K5337" s="100"/>
      <c r="M5337" s="100"/>
      <c r="N5337" s="100"/>
      <c r="O5337" s="100"/>
      <c r="P5337" s="100"/>
    </row>
    <row r="5338">
      <c r="A5338" s="107">
        <v>1629673.0</v>
      </c>
      <c r="B5338" s="108" t="s">
        <v>244</v>
      </c>
      <c r="C5338" s="108" t="s">
        <v>1284</v>
      </c>
      <c r="D5338" s="112" t="s">
        <v>178</v>
      </c>
      <c r="E5338" s="112">
        <v>2460.0</v>
      </c>
      <c r="F5338" s="111" t="str">
        <f>DataPull!D5338</f>
        <v/>
      </c>
      <c r="G5338" s="94" t="str">
        <f t="shared" si="2"/>
        <v/>
      </c>
      <c r="H5338" s="94" t="str">
        <f t="shared" si="3"/>
        <v/>
      </c>
      <c r="I5338" s="94" t="str">
        <f t="shared" ref="I5338:J5338" si="5339">if(G5338 = "", , -G5338)</f>
        <v/>
      </c>
      <c r="J5338" s="94" t="str">
        <f t="shared" si="5339"/>
        <v/>
      </c>
      <c r="K5338" s="100"/>
      <c r="M5338" s="100"/>
      <c r="N5338" s="100"/>
      <c r="O5338" s="100"/>
      <c r="P5338" s="100"/>
    </row>
    <row r="5339">
      <c r="A5339" s="107">
        <v>1629673.0</v>
      </c>
      <c r="B5339" s="108" t="s">
        <v>245</v>
      </c>
      <c r="C5339" s="108" t="s">
        <v>1284</v>
      </c>
      <c r="D5339" s="112" t="s">
        <v>178</v>
      </c>
      <c r="E5339" s="112">
        <v>2347.8</v>
      </c>
      <c r="F5339" s="111" t="str">
        <f>DataPull!D5339</f>
        <v/>
      </c>
      <c r="G5339" s="94" t="str">
        <f t="shared" si="2"/>
        <v/>
      </c>
      <c r="H5339" s="94" t="str">
        <f t="shared" si="3"/>
        <v/>
      </c>
      <c r="I5339" s="94" t="str">
        <f t="shared" ref="I5339:J5339" si="5340">if(G5339 = "", , -G5339)</f>
        <v/>
      </c>
      <c r="J5339" s="94" t="str">
        <f t="shared" si="5340"/>
        <v/>
      </c>
      <c r="K5339" s="100"/>
      <c r="M5339" s="100"/>
      <c r="N5339" s="100"/>
      <c r="O5339" s="100"/>
      <c r="P5339" s="100"/>
    </row>
    <row r="5340">
      <c r="A5340" s="107">
        <v>1629673.0</v>
      </c>
      <c r="B5340" s="108" t="s">
        <v>246</v>
      </c>
      <c r="C5340" s="108" t="s">
        <v>1284</v>
      </c>
      <c r="D5340" s="112" t="s">
        <v>178</v>
      </c>
      <c r="E5340" s="112">
        <v>1999.2</v>
      </c>
      <c r="F5340" s="111" t="str">
        <f>DataPull!D5340</f>
        <v/>
      </c>
      <c r="G5340" s="94" t="str">
        <f t="shared" si="2"/>
        <v/>
      </c>
      <c r="H5340" s="94" t="str">
        <f t="shared" si="3"/>
        <v/>
      </c>
      <c r="I5340" s="94" t="str">
        <f t="shared" ref="I5340:J5340" si="5341">if(G5340 = "", , -G5340)</f>
        <v/>
      </c>
      <c r="J5340" s="94" t="str">
        <f t="shared" si="5341"/>
        <v/>
      </c>
      <c r="K5340" s="100"/>
      <c r="M5340" s="100"/>
      <c r="N5340" s="100"/>
      <c r="O5340" s="100"/>
      <c r="P5340" s="100"/>
    </row>
    <row r="5341">
      <c r="A5341" s="114">
        <v>1629673.0</v>
      </c>
      <c r="B5341" s="113" t="s">
        <v>247</v>
      </c>
      <c r="C5341" s="113" t="s">
        <v>1284</v>
      </c>
      <c r="D5341" s="112" t="s">
        <v>176</v>
      </c>
      <c r="E5341" s="112">
        <v>932.1</v>
      </c>
      <c r="F5341" s="111" t="str">
        <f>DataPull!D5341</f>
        <v/>
      </c>
      <c r="G5341" s="94" t="str">
        <f t="shared" si="2"/>
        <v/>
      </c>
      <c r="H5341" s="94" t="str">
        <f t="shared" si="3"/>
        <v/>
      </c>
      <c r="I5341" s="94" t="str">
        <f t="shared" ref="I5341:J5341" si="5342">if(G5341 = "", , -G5341)</f>
        <v/>
      </c>
      <c r="J5341" s="94" t="str">
        <f t="shared" si="5342"/>
        <v/>
      </c>
      <c r="K5341" s="100"/>
      <c r="L5341" s="100"/>
      <c r="M5341" s="100"/>
      <c r="N5341" s="100"/>
      <c r="O5341" s="100"/>
    </row>
    <row r="5342">
      <c r="A5342" s="107">
        <v>1629674.0</v>
      </c>
      <c r="B5342" s="108" t="s">
        <v>215</v>
      </c>
      <c r="C5342" s="108" t="s">
        <v>1285</v>
      </c>
      <c r="D5342" s="112" t="s">
        <v>187</v>
      </c>
      <c r="E5342" s="112">
        <v>120.0</v>
      </c>
      <c r="F5342" s="111" t="str">
        <f>DataPull!D5342</f>
        <v/>
      </c>
      <c r="G5342" s="94" t="str">
        <f t="shared" si="2"/>
        <v/>
      </c>
      <c r="H5342" s="94" t="str">
        <f t="shared" si="3"/>
        <v/>
      </c>
      <c r="I5342" s="94" t="str">
        <f t="shared" ref="I5342:J5342" si="5343">if(G5342 = "", , -G5342)</f>
        <v/>
      </c>
      <c r="J5342" s="94" t="str">
        <f t="shared" si="5343"/>
        <v/>
      </c>
      <c r="K5342" s="100"/>
      <c r="M5342" s="100"/>
      <c r="N5342" s="100"/>
      <c r="O5342" s="100"/>
      <c r="P5342" s="100"/>
    </row>
    <row r="5343">
      <c r="A5343" s="107">
        <v>1629674.0</v>
      </c>
      <c r="B5343" s="108" t="s">
        <v>244</v>
      </c>
      <c r="C5343" s="108" t="s">
        <v>1285</v>
      </c>
      <c r="D5343" s="112" t="s">
        <v>181</v>
      </c>
      <c r="E5343" s="112">
        <v>28.5</v>
      </c>
      <c r="F5343" s="111" t="str">
        <f>DataPull!D5343</f>
        <v/>
      </c>
      <c r="G5343" s="94" t="str">
        <f t="shared" si="2"/>
        <v/>
      </c>
      <c r="H5343" s="94" t="str">
        <f t="shared" si="3"/>
        <v/>
      </c>
      <c r="I5343" s="94" t="str">
        <f t="shared" ref="I5343:J5343" si="5344">if(G5343 = "", , -G5343)</f>
        <v/>
      </c>
      <c r="J5343" s="94" t="str">
        <f t="shared" si="5344"/>
        <v/>
      </c>
      <c r="K5343" s="100"/>
      <c r="M5343" s="100"/>
      <c r="N5343" s="100"/>
      <c r="O5343" s="100"/>
      <c r="P5343" s="100"/>
    </row>
    <row r="5344">
      <c r="A5344" s="107">
        <v>1629674.0</v>
      </c>
      <c r="B5344" s="108" t="s">
        <v>245</v>
      </c>
      <c r="C5344" s="108" t="s">
        <v>1285</v>
      </c>
      <c r="D5344" s="112" t="s">
        <v>177</v>
      </c>
      <c r="E5344" s="112">
        <v>333.2</v>
      </c>
      <c r="F5344" s="111" t="str">
        <f>DataPull!D5344</f>
        <v/>
      </c>
      <c r="G5344" s="94" t="str">
        <f t="shared" si="2"/>
        <v/>
      </c>
      <c r="H5344" s="94" t="str">
        <f t="shared" si="3"/>
        <v/>
      </c>
      <c r="I5344" s="94" t="str">
        <f t="shared" ref="I5344:J5344" si="5345">if(G5344 = "", , -G5344)</f>
        <v/>
      </c>
      <c r="J5344" s="94" t="str">
        <f t="shared" si="5345"/>
        <v/>
      </c>
      <c r="K5344" s="100"/>
      <c r="M5344" s="100"/>
      <c r="N5344" s="100"/>
      <c r="O5344" s="100"/>
      <c r="P5344" s="100"/>
    </row>
    <row r="5345">
      <c r="A5345" s="107">
        <v>1629674.0</v>
      </c>
      <c r="B5345" s="108" t="s">
        <v>246</v>
      </c>
      <c r="C5345" s="108" t="s">
        <v>1285</v>
      </c>
      <c r="D5345" s="112" t="s">
        <v>187</v>
      </c>
      <c r="E5345" s="112">
        <v>861.8</v>
      </c>
      <c r="F5345" s="111" t="str">
        <f>DataPull!D5345</f>
        <v/>
      </c>
      <c r="G5345" s="94" t="str">
        <f t="shared" si="2"/>
        <v/>
      </c>
      <c r="H5345" s="94" t="str">
        <f t="shared" si="3"/>
        <v/>
      </c>
      <c r="I5345" s="94" t="str">
        <f t="shared" ref="I5345:J5345" si="5346">if(G5345 = "", , -G5345)</f>
        <v/>
      </c>
      <c r="J5345" s="94" t="str">
        <f t="shared" si="5346"/>
        <v/>
      </c>
      <c r="K5345" s="100"/>
      <c r="M5345" s="100"/>
      <c r="N5345" s="100"/>
      <c r="O5345" s="100"/>
      <c r="P5345" s="100"/>
    </row>
    <row r="5346">
      <c r="A5346" s="114">
        <v>1629674.0</v>
      </c>
      <c r="B5346" s="113" t="s">
        <v>247</v>
      </c>
      <c r="C5346" s="113" t="s">
        <v>1285</v>
      </c>
      <c r="D5346" s="112" t="s">
        <v>184</v>
      </c>
      <c r="E5346" s="112">
        <v>1922.8</v>
      </c>
      <c r="F5346" s="111" t="str">
        <f>DataPull!D5346</f>
        <v/>
      </c>
      <c r="G5346" s="94" t="str">
        <f t="shared" si="2"/>
        <v/>
      </c>
      <c r="H5346" s="94" t="str">
        <f t="shared" si="3"/>
        <v/>
      </c>
      <c r="I5346" s="94" t="str">
        <f t="shared" ref="I5346:J5346" si="5347">if(G5346 = "", , -G5346)</f>
        <v/>
      </c>
      <c r="J5346" s="94" t="str">
        <f t="shared" si="5347"/>
        <v/>
      </c>
      <c r="K5346" s="100"/>
      <c r="M5346" s="100"/>
      <c r="N5346" s="100"/>
      <c r="O5346" s="100"/>
      <c r="P5346" s="100"/>
    </row>
    <row r="5347">
      <c r="A5347" s="107">
        <v>1629675.0</v>
      </c>
      <c r="B5347" s="108" t="s">
        <v>193</v>
      </c>
      <c r="C5347" s="108" t="s">
        <v>1286</v>
      </c>
      <c r="D5347" s="112" t="s">
        <v>177</v>
      </c>
      <c r="E5347" s="112">
        <v>495.0</v>
      </c>
      <c r="F5347" s="111" t="str">
        <f>DataPull!D5347</f>
        <v/>
      </c>
      <c r="G5347" s="94" t="str">
        <f t="shared" si="2"/>
        <v/>
      </c>
      <c r="H5347" s="94" t="str">
        <f t="shared" si="3"/>
        <v/>
      </c>
      <c r="I5347" s="94" t="str">
        <f t="shared" ref="I5347:J5347" si="5348">if(G5347 = "", , -G5347)</f>
        <v/>
      </c>
      <c r="J5347" s="94" t="str">
        <f t="shared" si="5348"/>
        <v/>
      </c>
      <c r="K5347" s="100"/>
      <c r="L5347" s="100"/>
      <c r="N5347" s="100"/>
      <c r="O5347" s="100"/>
      <c r="P5347" s="100"/>
    </row>
    <row r="5348">
      <c r="A5348" s="107">
        <v>1629675.0</v>
      </c>
      <c r="B5348" s="108" t="s">
        <v>243</v>
      </c>
      <c r="C5348" s="108" t="s">
        <v>1286</v>
      </c>
      <c r="D5348" s="112" t="s">
        <v>177</v>
      </c>
      <c r="E5348" s="112">
        <v>1344.0</v>
      </c>
      <c r="F5348" s="111" t="str">
        <f>DataPull!D5348</f>
        <v/>
      </c>
      <c r="G5348" s="94" t="str">
        <f t="shared" si="2"/>
        <v/>
      </c>
      <c r="H5348" s="94" t="str">
        <f t="shared" si="3"/>
        <v/>
      </c>
      <c r="I5348" s="94" t="str">
        <f t="shared" ref="I5348:J5348" si="5349">if(G5348 = "", , -G5348)</f>
        <v/>
      </c>
      <c r="J5348" s="94" t="str">
        <f t="shared" si="5349"/>
        <v/>
      </c>
      <c r="K5348" s="100"/>
      <c r="M5348" s="100"/>
      <c r="N5348" s="100"/>
      <c r="O5348" s="100"/>
      <c r="P5348" s="100"/>
    </row>
    <row r="5349">
      <c r="A5349" s="107">
        <v>1629675.0</v>
      </c>
      <c r="B5349" s="108" t="s">
        <v>215</v>
      </c>
      <c r="C5349" s="108" t="s">
        <v>1286</v>
      </c>
      <c r="D5349" s="112" t="s">
        <v>177</v>
      </c>
      <c r="E5349" s="112">
        <v>1216.6</v>
      </c>
      <c r="F5349" s="111" t="str">
        <f>DataPull!D5349</f>
        <v/>
      </c>
      <c r="G5349" s="94" t="str">
        <f t="shared" si="2"/>
        <v/>
      </c>
      <c r="H5349" s="94" t="str">
        <f t="shared" si="3"/>
        <v/>
      </c>
      <c r="I5349" s="94" t="str">
        <f t="shared" ref="I5349:J5349" si="5350">if(G5349 = "", , -G5349)</f>
        <v/>
      </c>
      <c r="J5349" s="94" t="str">
        <f t="shared" si="5350"/>
        <v/>
      </c>
      <c r="K5349" s="100"/>
      <c r="M5349" s="100"/>
      <c r="N5349" s="100"/>
      <c r="O5349" s="100"/>
      <c r="P5349" s="100"/>
    </row>
    <row r="5350">
      <c r="A5350" s="107">
        <v>1629675.0</v>
      </c>
      <c r="B5350" s="108" t="s">
        <v>244</v>
      </c>
      <c r="C5350" s="108" t="s">
        <v>1286</v>
      </c>
      <c r="D5350" s="112" t="s">
        <v>177</v>
      </c>
      <c r="E5350" s="112">
        <v>1251.2</v>
      </c>
      <c r="F5350" s="111" t="str">
        <f>DataPull!D5350</f>
        <v/>
      </c>
      <c r="G5350" s="94" t="str">
        <f t="shared" si="2"/>
        <v/>
      </c>
      <c r="H5350" s="94" t="str">
        <f t="shared" si="3"/>
        <v/>
      </c>
      <c r="I5350" s="94" t="str">
        <f t="shared" ref="I5350:J5350" si="5351">if(G5350 = "", , -G5350)</f>
        <v/>
      </c>
      <c r="J5350" s="94" t="str">
        <f t="shared" si="5351"/>
        <v/>
      </c>
      <c r="K5350" s="100"/>
      <c r="M5350" s="100"/>
      <c r="N5350" s="100"/>
      <c r="O5350" s="100"/>
      <c r="P5350" s="100"/>
    </row>
    <row r="5351">
      <c r="A5351" s="107">
        <v>1629675.0</v>
      </c>
      <c r="B5351" s="108" t="s">
        <v>245</v>
      </c>
      <c r="C5351" s="108" t="s">
        <v>1286</v>
      </c>
      <c r="D5351" s="112" t="s">
        <v>176</v>
      </c>
      <c r="E5351" s="112">
        <v>1960.2</v>
      </c>
      <c r="F5351" s="111" t="str">
        <f>DataPull!D5351</f>
        <v/>
      </c>
      <c r="G5351" s="94" t="str">
        <f t="shared" si="2"/>
        <v/>
      </c>
      <c r="H5351" s="94" t="str">
        <f t="shared" si="3"/>
        <v/>
      </c>
      <c r="I5351" s="94" t="str">
        <f t="shared" ref="I5351:J5351" si="5352">if(G5351 = "", , -G5351)</f>
        <v/>
      </c>
      <c r="J5351" s="94" t="str">
        <f t="shared" si="5352"/>
        <v/>
      </c>
      <c r="K5351" s="100"/>
      <c r="M5351" s="100"/>
      <c r="N5351" s="100"/>
      <c r="O5351" s="100"/>
      <c r="P5351" s="100"/>
    </row>
    <row r="5352">
      <c r="A5352" s="107">
        <v>1629675.0</v>
      </c>
      <c r="B5352" s="108" t="s">
        <v>246</v>
      </c>
      <c r="C5352" s="108" t="s">
        <v>1286</v>
      </c>
      <c r="D5352" s="112" t="s">
        <v>184</v>
      </c>
      <c r="E5352" s="112">
        <v>2200.0</v>
      </c>
      <c r="F5352" s="111" t="str">
        <f>DataPull!D5352</f>
        <v/>
      </c>
      <c r="G5352" s="94" t="str">
        <f t="shared" si="2"/>
        <v/>
      </c>
      <c r="H5352" s="94" t="str">
        <f t="shared" si="3"/>
        <v/>
      </c>
      <c r="I5352" s="94" t="str">
        <f t="shared" ref="I5352:J5352" si="5353">if(G5352 = "", , -G5352)</f>
        <v/>
      </c>
      <c r="J5352" s="94" t="str">
        <f t="shared" si="5353"/>
        <v/>
      </c>
      <c r="K5352" s="100"/>
      <c r="M5352" s="100"/>
      <c r="N5352" s="100"/>
      <c r="O5352" s="100"/>
      <c r="P5352" s="100"/>
    </row>
    <row r="5353">
      <c r="A5353" s="114">
        <v>1629675.0</v>
      </c>
      <c r="B5353" s="113" t="s">
        <v>247</v>
      </c>
      <c r="C5353" s="113" t="s">
        <v>1286</v>
      </c>
      <c r="D5353" s="112" t="s">
        <v>176</v>
      </c>
      <c r="E5353" s="112">
        <v>2009.7</v>
      </c>
      <c r="F5353" s="111" t="str">
        <f>DataPull!D5353</f>
        <v/>
      </c>
      <c r="G5353" s="94" t="str">
        <f t="shared" si="2"/>
        <v/>
      </c>
      <c r="H5353" s="94" t="str">
        <f t="shared" si="3"/>
        <v/>
      </c>
      <c r="I5353" s="94" t="str">
        <f t="shared" ref="I5353:J5353" si="5354">if(G5353 = "", , -G5353)</f>
        <v/>
      </c>
      <c r="J5353" s="94" t="str">
        <f t="shared" si="5354"/>
        <v/>
      </c>
      <c r="K5353" s="100"/>
      <c r="M5353" s="100"/>
      <c r="N5353" s="100"/>
      <c r="O5353" s="100"/>
      <c r="P5353" s="100"/>
    </row>
    <row r="5354">
      <c r="A5354" s="107">
        <v>1629676.0</v>
      </c>
      <c r="B5354" s="108" t="s">
        <v>193</v>
      </c>
      <c r="C5354" s="108" t="s">
        <v>1287</v>
      </c>
      <c r="D5354" s="112" t="s">
        <v>181</v>
      </c>
      <c r="E5354" s="112">
        <v>11.4</v>
      </c>
      <c r="F5354" s="111" t="str">
        <f>DataPull!D5354</f>
        <v/>
      </c>
      <c r="G5354" s="94" t="str">
        <f t="shared" si="2"/>
        <v/>
      </c>
      <c r="H5354" s="94" t="str">
        <f t="shared" si="3"/>
        <v/>
      </c>
      <c r="I5354" s="94" t="str">
        <f t="shared" ref="I5354:J5354" si="5355">if(G5354 = "", , -G5354)</f>
        <v/>
      </c>
      <c r="J5354" s="94" t="str">
        <f t="shared" si="5355"/>
        <v/>
      </c>
      <c r="K5354" s="100"/>
      <c r="M5354" s="100"/>
      <c r="N5354" s="100"/>
      <c r="O5354" s="100"/>
      <c r="P5354" s="100"/>
    </row>
    <row r="5355">
      <c r="A5355" s="107">
        <v>1629676.0</v>
      </c>
      <c r="B5355" s="108" t="s">
        <v>243</v>
      </c>
      <c r="C5355" s="108" t="s">
        <v>1287</v>
      </c>
      <c r="D5355" s="112" t="s">
        <v>176</v>
      </c>
      <c r="E5355" s="112">
        <v>1427.4</v>
      </c>
      <c r="F5355" s="111" t="str">
        <f>DataPull!D5355</f>
        <v/>
      </c>
      <c r="G5355" s="94" t="str">
        <f t="shared" si="2"/>
        <v/>
      </c>
      <c r="H5355" s="94" t="str">
        <f t="shared" si="3"/>
        <v/>
      </c>
      <c r="I5355" s="94" t="str">
        <f t="shared" ref="I5355:J5355" si="5356">if(G5355 = "", , -G5355)</f>
        <v/>
      </c>
      <c r="J5355" s="94" t="str">
        <f t="shared" si="5356"/>
        <v/>
      </c>
      <c r="K5355" s="100"/>
      <c r="M5355" s="100"/>
      <c r="N5355" s="100"/>
      <c r="O5355" s="100"/>
      <c r="P5355" s="100"/>
    </row>
    <row r="5356">
      <c r="A5356" s="107">
        <v>1629676.0</v>
      </c>
      <c r="B5356" s="108" t="s">
        <v>215</v>
      </c>
      <c r="C5356" s="108" t="s">
        <v>1287</v>
      </c>
      <c r="D5356" s="112" t="s">
        <v>176</v>
      </c>
      <c r="E5356" s="112">
        <v>949.5</v>
      </c>
      <c r="F5356" s="111" t="str">
        <f>DataPull!D5356</f>
        <v/>
      </c>
      <c r="G5356" s="94" t="str">
        <f t="shared" si="2"/>
        <v/>
      </c>
      <c r="H5356" s="94" t="str">
        <f t="shared" si="3"/>
        <v/>
      </c>
      <c r="I5356" s="94" t="str">
        <f t="shared" ref="I5356:J5356" si="5357">if(G5356 = "", , -G5356)</f>
        <v/>
      </c>
      <c r="J5356" s="94" t="str">
        <f t="shared" si="5357"/>
        <v/>
      </c>
      <c r="K5356" s="100"/>
      <c r="M5356" s="100"/>
      <c r="N5356" s="100"/>
      <c r="O5356" s="100"/>
      <c r="P5356" s="100"/>
    </row>
    <row r="5357">
      <c r="A5357" s="107">
        <v>1629676.0</v>
      </c>
      <c r="B5357" s="108" t="s">
        <v>244</v>
      </c>
      <c r="C5357" s="108" t="s">
        <v>1287</v>
      </c>
      <c r="D5357" s="112" t="s">
        <v>177</v>
      </c>
      <c r="E5357" s="112">
        <v>474.6</v>
      </c>
      <c r="F5357" s="111" t="str">
        <f>DataPull!D5357</f>
        <v/>
      </c>
      <c r="G5357" s="94" t="str">
        <f t="shared" si="2"/>
        <v/>
      </c>
      <c r="H5357" s="94" t="str">
        <f t="shared" si="3"/>
        <v/>
      </c>
      <c r="I5357" s="94" t="str">
        <f t="shared" ref="I5357:J5357" si="5358">if(G5357 = "", , -G5357)</f>
        <v/>
      </c>
      <c r="J5357" s="94" t="str">
        <f t="shared" si="5358"/>
        <v/>
      </c>
      <c r="K5357" s="100"/>
      <c r="M5357" s="100"/>
      <c r="N5357" s="100"/>
      <c r="O5357" s="100"/>
      <c r="P5357" s="100"/>
    </row>
    <row r="5358">
      <c r="A5358" s="107">
        <v>1629677.0</v>
      </c>
      <c r="B5358" s="108" t="s">
        <v>193</v>
      </c>
      <c r="C5358" s="108" t="s">
        <v>1288</v>
      </c>
      <c r="D5358" s="112" t="s">
        <v>181</v>
      </c>
      <c r="E5358" s="112">
        <v>48.3</v>
      </c>
      <c r="F5358" s="111" t="str">
        <f>DataPull!D5358</f>
        <v/>
      </c>
      <c r="G5358" s="94" t="str">
        <f t="shared" si="2"/>
        <v/>
      </c>
      <c r="H5358" s="94" t="str">
        <f t="shared" si="3"/>
        <v/>
      </c>
      <c r="I5358" s="94" t="str">
        <f t="shared" ref="I5358:J5358" si="5359">if(G5358 = "", , -G5358)</f>
        <v/>
      </c>
      <c r="J5358" s="94" t="str">
        <f t="shared" si="5359"/>
        <v/>
      </c>
      <c r="K5358" s="100"/>
      <c r="M5358" s="100"/>
      <c r="N5358" s="100"/>
      <c r="O5358" s="100"/>
      <c r="P5358" s="100"/>
    </row>
    <row r="5359">
      <c r="A5359" s="107">
        <v>1629677.0</v>
      </c>
      <c r="B5359" s="108" t="s">
        <v>243</v>
      </c>
      <c r="C5359" s="108" t="s">
        <v>1288</v>
      </c>
      <c r="D5359" s="112" t="s">
        <v>187</v>
      </c>
      <c r="E5359" s="112">
        <v>306.9</v>
      </c>
      <c r="F5359" s="111" t="str">
        <f>DataPull!D5359</f>
        <v/>
      </c>
      <c r="G5359" s="94" t="str">
        <f t="shared" si="2"/>
        <v/>
      </c>
      <c r="H5359" s="94" t="str">
        <f t="shared" si="3"/>
        <v/>
      </c>
      <c r="I5359" s="94" t="str">
        <f t="shared" ref="I5359:J5359" si="5360">if(G5359 = "", , -G5359)</f>
        <v/>
      </c>
      <c r="J5359" s="94" t="str">
        <f t="shared" si="5360"/>
        <v/>
      </c>
      <c r="K5359" s="100"/>
      <c r="M5359" s="100"/>
      <c r="N5359" s="100"/>
      <c r="O5359" s="100"/>
      <c r="P5359" s="100"/>
    </row>
    <row r="5360">
      <c r="A5360" s="107">
        <v>1629677.0</v>
      </c>
      <c r="B5360" s="108" t="s">
        <v>244</v>
      </c>
      <c r="C5360" s="108" t="s">
        <v>1288</v>
      </c>
      <c r="D5360" s="112" t="s">
        <v>181</v>
      </c>
      <c r="E5360" s="112">
        <v>161.0</v>
      </c>
      <c r="F5360" s="111" t="str">
        <f>DataPull!D5360</f>
        <v/>
      </c>
      <c r="G5360" s="94" t="str">
        <f t="shared" si="2"/>
        <v/>
      </c>
      <c r="H5360" s="94" t="str">
        <f t="shared" si="3"/>
        <v/>
      </c>
      <c r="I5360" s="94" t="str">
        <f t="shared" ref="I5360:J5360" si="5361">if(G5360 = "", , -G5360)</f>
        <v/>
      </c>
      <c r="J5360" s="94" t="str">
        <f t="shared" si="5361"/>
        <v/>
      </c>
      <c r="K5360" s="100"/>
      <c r="M5360" s="100"/>
      <c r="N5360" s="100"/>
      <c r="O5360" s="100"/>
      <c r="P5360" s="100"/>
    </row>
    <row r="5361">
      <c r="A5361" s="107">
        <v>1629677.0</v>
      </c>
      <c r="B5361" s="108" t="s">
        <v>245</v>
      </c>
      <c r="C5361" s="108" t="s">
        <v>1288</v>
      </c>
      <c r="D5361" s="112" t="s">
        <v>187</v>
      </c>
      <c r="E5361" s="112">
        <v>404.2</v>
      </c>
      <c r="F5361" s="111" t="str">
        <f>DataPull!D5361</f>
        <v/>
      </c>
      <c r="G5361" s="94" t="str">
        <f t="shared" si="2"/>
        <v/>
      </c>
      <c r="H5361" s="94" t="str">
        <f t="shared" si="3"/>
        <v/>
      </c>
      <c r="I5361" s="94" t="str">
        <f t="shared" ref="I5361:J5361" si="5362">if(G5361 = "", , -G5361)</f>
        <v/>
      </c>
      <c r="J5361" s="94" t="str">
        <f t="shared" si="5362"/>
        <v/>
      </c>
      <c r="K5361" s="100"/>
      <c r="L5361" s="100"/>
      <c r="N5361" s="100"/>
      <c r="O5361" s="100"/>
      <c r="P5361" s="100"/>
    </row>
    <row r="5362">
      <c r="A5362" s="107">
        <v>1629678.0</v>
      </c>
      <c r="B5362" s="108" t="s">
        <v>193</v>
      </c>
      <c r="C5362" s="108" t="s">
        <v>1289</v>
      </c>
      <c r="D5362" s="112" t="s">
        <v>177</v>
      </c>
      <c r="E5362" s="112">
        <v>369.6</v>
      </c>
      <c r="F5362" s="111" t="str">
        <f>DataPull!D5362</f>
        <v/>
      </c>
      <c r="G5362" s="94" t="str">
        <f t="shared" si="2"/>
        <v/>
      </c>
      <c r="H5362" s="94" t="str">
        <f t="shared" si="3"/>
        <v/>
      </c>
      <c r="I5362" s="94" t="str">
        <f t="shared" ref="I5362:J5362" si="5363">if(G5362 = "", , -G5362)</f>
        <v/>
      </c>
      <c r="J5362" s="94" t="str">
        <f t="shared" si="5363"/>
        <v/>
      </c>
      <c r="K5362" s="100"/>
      <c r="M5362" s="100"/>
      <c r="N5362" s="100"/>
      <c r="O5362" s="100"/>
      <c r="P5362" s="100"/>
    </row>
    <row r="5363">
      <c r="A5363" s="107">
        <v>1629678.0</v>
      </c>
      <c r="B5363" s="108" t="s">
        <v>215</v>
      </c>
      <c r="C5363" s="108" t="s">
        <v>1289</v>
      </c>
      <c r="D5363" s="112" t="s">
        <v>177</v>
      </c>
      <c r="E5363" s="112">
        <v>467.4</v>
      </c>
      <c r="F5363" s="111" t="str">
        <f>DataPull!D5363</f>
        <v/>
      </c>
      <c r="G5363" s="94" t="str">
        <f t="shared" si="2"/>
        <v/>
      </c>
      <c r="H5363" s="94" t="str">
        <f t="shared" si="3"/>
        <v/>
      </c>
      <c r="I5363" s="94" t="str">
        <f t="shared" ref="I5363:J5363" si="5364">if(G5363 = "", , -G5363)</f>
        <v/>
      </c>
      <c r="J5363" s="94" t="str">
        <f t="shared" si="5364"/>
        <v/>
      </c>
      <c r="K5363" s="100"/>
      <c r="M5363" s="100"/>
      <c r="N5363" s="100"/>
      <c r="O5363" s="100"/>
      <c r="P5363" s="100"/>
    </row>
    <row r="5364">
      <c r="A5364" s="107">
        <v>1629678.0</v>
      </c>
      <c r="B5364" s="108" t="s">
        <v>244</v>
      </c>
      <c r="C5364" s="108" t="s">
        <v>1289</v>
      </c>
      <c r="D5364" s="112" t="s">
        <v>177</v>
      </c>
      <c r="E5364" s="112">
        <v>451.4</v>
      </c>
      <c r="F5364" s="111" t="str">
        <f>DataPull!D5364</f>
        <v/>
      </c>
      <c r="G5364" s="94" t="str">
        <f t="shared" si="2"/>
        <v/>
      </c>
      <c r="H5364" s="94" t="str">
        <f t="shared" si="3"/>
        <v/>
      </c>
      <c r="I5364" s="94" t="str">
        <f t="shared" ref="I5364:J5364" si="5365">if(G5364 = "", , -G5364)</f>
        <v/>
      </c>
      <c r="J5364" s="94" t="str">
        <f t="shared" si="5365"/>
        <v/>
      </c>
      <c r="K5364" s="100"/>
      <c r="M5364" s="100"/>
      <c r="N5364" s="100"/>
      <c r="O5364" s="100"/>
      <c r="P5364" s="100"/>
    </row>
    <row r="5365">
      <c r="A5365" s="107">
        <v>1629678.0</v>
      </c>
      <c r="B5365" s="108" t="s">
        <v>245</v>
      </c>
      <c r="C5365" s="108" t="s">
        <v>1289</v>
      </c>
      <c r="D5365" s="112" t="s">
        <v>187</v>
      </c>
      <c r="E5365" s="112">
        <v>85.1</v>
      </c>
      <c r="F5365" s="111" t="str">
        <f>DataPull!D5365</f>
        <v/>
      </c>
      <c r="G5365" s="94" t="str">
        <f t="shared" si="2"/>
        <v/>
      </c>
      <c r="H5365" s="94" t="str">
        <f t="shared" si="3"/>
        <v/>
      </c>
      <c r="I5365" s="94" t="str">
        <f t="shared" ref="I5365:J5365" si="5366">if(G5365 = "", , -G5365)</f>
        <v/>
      </c>
      <c r="J5365" s="94" t="str">
        <f t="shared" si="5366"/>
        <v/>
      </c>
      <c r="K5365" s="100"/>
      <c r="M5365" s="100"/>
      <c r="N5365" s="100"/>
      <c r="O5365" s="100"/>
      <c r="P5365" s="100"/>
    </row>
    <row r="5366">
      <c r="A5366" s="107">
        <v>1629680.0</v>
      </c>
      <c r="B5366" s="108" t="s">
        <v>193</v>
      </c>
      <c r="C5366" s="108" t="s">
        <v>1290</v>
      </c>
      <c r="D5366" s="112" t="s">
        <v>177</v>
      </c>
      <c r="E5366" s="112">
        <v>1287.0</v>
      </c>
      <c r="F5366" s="111" t="str">
        <f>DataPull!D5366</f>
        <v/>
      </c>
      <c r="G5366" s="94" t="str">
        <f t="shared" si="2"/>
        <v/>
      </c>
      <c r="H5366" s="94" t="str">
        <f t="shared" si="3"/>
        <v/>
      </c>
      <c r="I5366" s="94" t="str">
        <f t="shared" ref="I5366:J5366" si="5367">if(G5366 = "", , -G5366)</f>
        <v/>
      </c>
      <c r="J5366" s="94" t="str">
        <f t="shared" si="5367"/>
        <v/>
      </c>
      <c r="K5366" s="100"/>
      <c r="M5366" s="100"/>
      <c r="N5366" s="100"/>
      <c r="O5366" s="100"/>
      <c r="P5366" s="100"/>
    </row>
    <row r="5367">
      <c r="A5367" s="107">
        <v>1629680.0</v>
      </c>
      <c r="B5367" s="108" t="s">
        <v>243</v>
      </c>
      <c r="C5367" s="108" t="s">
        <v>1290</v>
      </c>
      <c r="D5367" s="112" t="s">
        <v>176</v>
      </c>
      <c r="E5367" s="112">
        <v>1300.0</v>
      </c>
      <c r="F5367" s="111" t="str">
        <f>DataPull!D5367</f>
        <v/>
      </c>
      <c r="G5367" s="94" t="str">
        <f t="shared" si="2"/>
        <v/>
      </c>
      <c r="H5367" s="94" t="str">
        <f t="shared" si="3"/>
        <v/>
      </c>
      <c r="I5367" s="94" t="str">
        <f t="shared" ref="I5367:J5367" si="5368">if(G5367 = "", , -G5367)</f>
        <v/>
      </c>
      <c r="J5367" s="94" t="str">
        <f t="shared" si="5368"/>
        <v/>
      </c>
      <c r="K5367" s="100"/>
      <c r="M5367" s="100"/>
      <c r="N5367" s="100"/>
      <c r="O5367" s="100"/>
      <c r="P5367" s="100"/>
    </row>
    <row r="5368">
      <c r="A5368" s="107">
        <v>1629680.0</v>
      </c>
      <c r="B5368" s="108" t="s">
        <v>215</v>
      </c>
      <c r="C5368" s="108" t="s">
        <v>1290</v>
      </c>
      <c r="D5368" s="112" t="s">
        <v>176</v>
      </c>
      <c r="E5368" s="112">
        <v>1683.0</v>
      </c>
      <c r="F5368" s="111" t="str">
        <f>DataPull!D5368</f>
        <v/>
      </c>
      <c r="G5368" s="94" t="str">
        <f t="shared" si="2"/>
        <v/>
      </c>
      <c r="H5368" s="94" t="str">
        <f t="shared" si="3"/>
        <v/>
      </c>
      <c r="I5368" s="94" t="str">
        <f t="shared" ref="I5368:J5368" si="5369">if(G5368 = "", , -G5368)</f>
        <v/>
      </c>
      <c r="J5368" s="94" t="str">
        <f t="shared" si="5369"/>
        <v/>
      </c>
      <c r="M5368" s="100"/>
      <c r="N5368" s="100"/>
      <c r="O5368" s="100"/>
      <c r="P5368" s="100"/>
    </row>
    <row r="5369">
      <c r="A5369" s="107">
        <v>1629680.0</v>
      </c>
      <c r="B5369" s="108" t="s">
        <v>244</v>
      </c>
      <c r="C5369" s="108" t="s">
        <v>1290</v>
      </c>
      <c r="D5369" s="112" t="s">
        <v>177</v>
      </c>
      <c r="E5369" s="112">
        <v>1199.9</v>
      </c>
      <c r="F5369" s="111" t="str">
        <f>DataPull!D5369</f>
        <v/>
      </c>
      <c r="G5369" s="94" t="str">
        <f t="shared" si="2"/>
        <v/>
      </c>
      <c r="H5369" s="94" t="str">
        <f t="shared" si="3"/>
        <v/>
      </c>
      <c r="I5369" s="94" t="str">
        <f t="shared" ref="I5369:J5369" si="5370">if(G5369 = "", , -G5369)</f>
        <v/>
      </c>
      <c r="J5369" s="94" t="str">
        <f t="shared" si="5370"/>
        <v/>
      </c>
      <c r="K5369" s="100"/>
      <c r="M5369" s="100"/>
      <c r="N5369" s="100"/>
      <c r="O5369" s="100"/>
    </row>
    <row r="5370">
      <c r="A5370" s="107">
        <v>1629680.0</v>
      </c>
      <c r="B5370" s="108" t="s">
        <v>245</v>
      </c>
      <c r="C5370" s="108" t="s">
        <v>1290</v>
      </c>
      <c r="D5370" s="112" t="s">
        <v>176</v>
      </c>
      <c r="E5370" s="112">
        <v>1488.5</v>
      </c>
      <c r="F5370" s="111" t="str">
        <f>DataPull!D5370</f>
        <v/>
      </c>
      <c r="G5370" s="94" t="str">
        <f t="shared" si="2"/>
        <v/>
      </c>
      <c r="H5370" s="94" t="str">
        <f t="shared" si="3"/>
        <v/>
      </c>
      <c r="I5370" s="94" t="str">
        <f t="shared" ref="I5370:J5370" si="5371">if(G5370 = "", , -G5370)</f>
        <v/>
      </c>
      <c r="J5370" s="94" t="str">
        <f t="shared" si="5371"/>
        <v/>
      </c>
      <c r="K5370" s="100"/>
      <c r="M5370" s="100"/>
      <c r="N5370" s="100"/>
      <c r="O5370" s="100"/>
      <c r="P5370" s="100"/>
    </row>
    <row r="5371">
      <c r="A5371" s="107">
        <v>1629680.0</v>
      </c>
      <c r="B5371" s="108" t="s">
        <v>246</v>
      </c>
      <c r="C5371" s="108" t="s">
        <v>1290</v>
      </c>
      <c r="D5371" s="112" t="s">
        <v>177</v>
      </c>
      <c r="E5371" s="112">
        <v>312.0</v>
      </c>
      <c r="F5371" s="111" t="str">
        <f>DataPull!D5371</f>
        <v/>
      </c>
      <c r="G5371" s="94" t="str">
        <f t="shared" si="2"/>
        <v/>
      </c>
      <c r="H5371" s="94" t="str">
        <f t="shared" si="3"/>
        <v/>
      </c>
      <c r="I5371" s="94" t="str">
        <f t="shared" ref="I5371:J5371" si="5372">if(G5371 = "", , -G5371)</f>
        <v/>
      </c>
      <c r="J5371" s="94" t="str">
        <f t="shared" si="5372"/>
        <v/>
      </c>
      <c r="K5371" s="100"/>
      <c r="M5371" s="100"/>
      <c r="N5371" s="100"/>
    </row>
    <row r="5372">
      <c r="A5372" s="114">
        <v>1629680.0</v>
      </c>
      <c r="B5372" s="113" t="s">
        <v>247</v>
      </c>
      <c r="C5372" s="113" t="s">
        <v>1290</v>
      </c>
      <c r="D5372" s="112" t="s">
        <v>181</v>
      </c>
      <c r="E5372" s="112">
        <v>480.0</v>
      </c>
      <c r="F5372" s="111" t="str">
        <f>DataPull!D5372</f>
        <v/>
      </c>
      <c r="G5372" s="94" t="str">
        <f t="shared" si="2"/>
        <v/>
      </c>
      <c r="H5372" s="94" t="str">
        <f t="shared" si="3"/>
        <v/>
      </c>
      <c r="I5372" s="94" t="str">
        <f t="shared" ref="I5372:J5372" si="5373">if(G5372 = "", , -G5372)</f>
        <v/>
      </c>
      <c r="J5372" s="94" t="str">
        <f t="shared" si="5373"/>
        <v/>
      </c>
      <c r="K5372" s="100"/>
      <c r="M5372" s="100"/>
      <c r="N5372" s="100"/>
      <c r="O5372" s="100"/>
      <c r="P5372" s="100"/>
    </row>
    <row r="5373">
      <c r="A5373" s="107">
        <v>1629681.0</v>
      </c>
      <c r="B5373" s="108" t="s">
        <v>243</v>
      </c>
      <c r="C5373" s="108" t="s">
        <v>1291</v>
      </c>
      <c r="D5373" s="112" t="s">
        <v>187</v>
      </c>
      <c r="E5373" s="112">
        <v>181.8</v>
      </c>
      <c r="F5373" s="111" t="str">
        <f>DataPull!D5373</f>
        <v/>
      </c>
      <c r="G5373" s="94" t="str">
        <f t="shared" si="2"/>
        <v/>
      </c>
      <c r="H5373" s="94" t="str">
        <f t="shared" si="3"/>
        <v/>
      </c>
      <c r="I5373" s="94" t="str">
        <f t="shared" ref="I5373:J5373" si="5374">if(G5373 = "", , -G5373)</f>
        <v/>
      </c>
      <c r="J5373" s="94" t="str">
        <f t="shared" si="5374"/>
        <v/>
      </c>
      <c r="M5373" s="100"/>
      <c r="N5373" s="100"/>
      <c r="O5373" s="100"/>
      <c r="P5373" s="100"/>
    </row>
    <row r="5374">
      <c r="A5374" s="107">
        <v>1629681.0</v>
      </c>
      <c r="B5374" s="108" t="s">
        <v>215</v>
      </c>
      <c r="C5374" s="108" t="s">
        <v>1291</v>
      </c>
      <c r="D5374" s="112" t="s">
        <v>177</v>
      </c>
      <c r="E5374" s="112">
        <v>460.8</v>
      </c>
      <c r="F5374" s="111" t="str">
        <f>DataPull!D5374</f>
        <v/>
      </c>
      <c r="G5374" s="94" t="str">
        <f t="shared" si="2"/>
        <v/>
      </c>
      <c r="H5374" s="94" t="str">
        <f t="shared" si="3"/>
        <v/>
      </c>
      <c r="I5374" s="94" t="str">
        <f t="shared" ref="I5374:J5374" si="5375">if(G5374 = "", , -G5374)</f>
        <v/>
      </c>
      <c r="J5374" s="94" t="str">
        <f t="shared" si="5375"/>
        <v/>
      </c>
      <c r="K5374" s="100"/>
      <c r="M5374" s="100"/>
      <c r="N5374" s="100"/>
      <c r="O5374" s="100"/>
      <c r="P5374" s="100"/>
    </row>
    <row r="5375">
      <c r="A5375" s="107">
        <v>1629682.0</v>
      </c>
      <c r="B5375" s="108" t="s">
        <v>193</v>
      </c>
      <c r="C5375" s="108" t="s">
        <v>1292</v>
      </c>
      <c r="D5375" s="112" t="s">
        <v>187</v>
      </c>
      <c r="E5375" s="112">
        <v>118.8</v>
      </c>
      <c r="F5375" s="111" t="str">
        <f>DataPull!D5375</f>
        <v/>
      </c>
      <c r="G5375" s="94" t="str">
        <f t="shared" si="2"/>
        <v/>
      </c>
      <c r="H5375" s="94" t="str">
        <f t="shared" si="3"/>
        <v/>
      </c>
      <c r="I5375" s="94" t="str">
        <f t="shared" ref="I5375:J5375" si="5376">if(G5375 = "", , -G5375)</f>
        <v/>
      </c>
      <c r="J5375" s="94" t="str">
        <f t="shared" si="5376"/>
        <v/>
      </c>
      <c r="M5375" s="100"/>
      <c r="N5375" s="100"/>
      <c r="O5375" s="100"/>
    </row>
    <row r="5376">
      <c r="A5376" s="107">
        <v>1629682.0</v>
      </c>
      <c r="B5376" s="108" t="s">
        <v>243</v>
      </c>
      <c r="C5376" s="108" t="s">
        <v>1292</v>
      </c>
      <c r="D5376" s="112" t="s">
        <v>187</v>
      </c>
      <c r="E5376" s="112">
        <v>236.6</v>
      </c>
      <c r="F5376" s="111" t="str">
        <f>DataPull!D5376</f>
        <v/>
      </c>
      <c r="G5376" s="94" t="str">
        <f t="shared" si="2"/>
        <v/>
      </c>
      <c r="H5376" s="94" t="str">
        <f t="shared" si="3"/>
        <v/>
      </c>
      <c r="I5376" s="94" t="str">
        <f t="shared" ref="I5376:J5376" si="5377">if(G5376 = "", , -G5376)</f>
        <v/>
      </c>
      <c r="J5376" s="94" t="str">
        <f t="shared" si="5377"/>
        <v/>
      </c>
      <c r="M5376" s="100"/>
      <c r="N5376" s="100"/>
      <c r="P5376" s="100"/>
    </row>
    <row r="5377">
      <c r="A5377" s="107">
        <v>1629682.0</v>
      </c>
      <c r="B5377" s="108" t="s">
        <v>215</v>
      </c>
      <c r="C5377" s="108" t="s">
        <v>1292</v>
      </c>
      <c r="D5377" s="112" t="s">
        <v>181</v>
      </c>
      <c r="E5377" s="112">
        <v>50.4</v>
      </c>
      <c r="F5377" s="111" t="str">
        <f>DataPull!D5377</f>
        <v/>
      </c>
      <c r="G5377" s="94" t="str">
        <f t="shared" si="2"/>
        <v/>
      </c>
      <c r="H5377" s="94" t="str">
        <f t="shared" si="3"/>
        <v/>
      </c>
      <c r="I5377" s="94" t="str">
        <f t="shared" ref="I5377:J5377" si="5378">if(G5377 = "", , -G5377)</f>
        <v/>
      </c>
      <c r="J5377" s="94" t="str">
        <f t="shared" si="5378"/>
        <v/>
      </c>
      <c r="K5377" s="100"/>
      <c r="M5377" s="100"/>
      <c r="N5377" s="100"/>
      <c r="O5377" s="100"/>
    </row>
    <row r="5378">
      <c r="A5378" s="107">
        <v>1629683.0</v>
      </c>
      <c r="B5378" s="108" t="s">
        <v>193</v>
      </c>
      <c r="C5378" s="108" t="s">
        <v>1293</v>
      </c>
      <c r="D5378" s="112" t="s">
        <v>187</v>
      </c>
      <c r="E5378" s="112">
        <v>78.1</v>
      </c>
      <c r="F5378" s="111" t="str">
        <f>DataPull!D5378</f>
        <v/>
      </c>
      <c r="G5378" s="94" t="str">
        <f t="shared" si="2"/>
        <v/>
      </c>
      <c r="H5378" s="94" t="str">
        <f t="shared" si="3"/>
        <v/>
      </c>
      <c r="I5378" s="94" t="str">
        <f t="shared" ref="I5378:J5378" si="5379">if(G5378 = "", , -G5378)</f>
        <v/>
      </c>
      <c r="J5378" s="94" t="str">
        <f t="shared" si="5379"/>
        <v/>
      </c>
      <c r="K5378" s="100"/>
      <c r="M5378" s="100"/>
      <c r="N5378" s="100"/>
      <c r="O5378" s="100"/>
      <c r="P5378" s="100"/>
    </row>
    <row r="5379">
      <c r="A5379" s="107">
        <v>1629683.0</v>
      </c>
      <c r="B5379" s="108" t="s">
        <v>243</v>
      </c>
      <c r="C5379" s="108" t="s">
        <v>1293</v>
      </c>
      <c r="D5379" s="112" t="s">
        <v>187</v>
      </c>
      <c r="E5379" s="112">
        <v>122.0</v>
      </c>
      <c r="F5379" s="111" t="str">
        <f>DataPull!D5379</f>
        <v/>
      </c>
      <c r="G5379" s="94" t="str">
        <f t="shared" si="2"/>
        <v/>
      </c>
      <c r="H5379" s="94" t="str">
        <f t="shared" si="3"/>
        <v/>
      </c>
      <c r="I5379" s="94" t="str">
        <f t="shared" ref="I5379:J5379" si="5380">if(G5379 = "", , -G5379)</f>
        <v/>
      </c>
      <c r="J5379" s="94" t="str">
        <f t="shared" si="5380"/>
        <v/>
      </c>
      <c r="K5379" s="100"/>
      <c r="M5379" s="100"/>
      <c r="N5379" s="100"/>
      <c r="O5379" s="100"/>
      <c r="P5379" s="100"/>
    </row>
    <row r="5380">
      <c r="A5380" s="107">
        <v>1629683.0</v>
      </c>
      <c r="B5380" s="108" t="s">
        <v>215</v>
      </c>
      <c r="C5380" s="108" t="s">
        <v>1293</v>
      </c>
      <c r="D5380" s="112" t="s">
        <v>187</v>
      </c>
      <c r="E5380" s="112">
        <v>73.7</v>
      </c>
      <c r="F5380" s="111" t="str">
        <f>DataPull!D5380</f>
        <v/>
      </c>
      <c r="G5380" s="94" t="str">
        <f t="shared" si="2"/>
        <v/>
      </c>
      <c r="H5380" s="94" t="str">
        <f t="shared" si="3"/>
        <v/>
      </c>
      <c r="I5380" s="94" t="str">
        <f t="shared" ref="I5380:J5380" si="5381">if(G5380 = "", , -G5380)</f>
        <v/>
      </c>
      <c r="J5380" s="94" t="str">
        <f t="shared" si="5381"/>
        <v/>
      </c>
      <c r="K5380" s="100"/>
      <c r="M5380" s="100"/>
      <c r="N5380" s="100"/>
      <c r="O5380" s="100"/>
      <c r="P5380" s="100"/>
    </row>
    <row r="5381">
      <c r="A5381" s="107">
        <v>1629684.0</v>
      </c>
      <c r="B5381" s="108" t="s">
        <v>193</v>
      </c>
      <c r="C5381" s="108" t="s">
        <v>1294</v>
      </c>
      <c r="D5381" s="112" t="s">
        <v>177</v>
      </c>
      <c r="E5381" s="112">
        <v>1041.9</v>
      </c>
      <c r="F5381" s="111" t="str">
        <f>DataPull!D5381</f>
        <v/>
      </c>
      <c r="G5381" s="94" t="str">
        <f t="shared" si="2"/>
        <v/>
      </c>
      <c r="H5381" s="94" t="str">
        <f t="shared" si="3"/>
        <v/>
      </c>
      <c r="I5381" s="94" t="str">
        <f t="shared" ref="I5381:J5381" si="5382">if(G5381 = "", , -G5381)</f>
        <v/>
      </c>
      <c r="J5381" s="94" t="str">
        <f t="shared" si="5382"/>
        <v/>
      </c>
      <c r="K5381" s="100"/>
      <c r="L5381" s="100"/>
      <c r="N5381" s="100"/>
      <c r="O5381" s="100"/>
      <c r="P5381" s="100"/>
    </row>
    <row r="5382">
      <c r="A5382" s="107">
        <v>1629684.0</v>
      </c>
      <c r="B5382" s="108" t="s">
        <v>243</v>
      </c>
      <c r="C5382" s="108" t="s">
        <v>1294</v>
      </c>
      <c r="D5382" s="112" t="s">
        <v>177</v>
      </c>
      <c r="E5382" s="112">
        <v>1140.3</v>
      </c>
      <c r="F5382" s="111" t="str">
        <f>DataPull!D5382</f>
        <v/>
      </c>
      <c r="G5382" s="94" t="str">
        <f t="shared" si="2"/>
        <v/>
      </c>
      <c r="H5382" s="94" t="str">
        <f t="shared" si="3"/>
        <v/>
      </c>
      <c r="I5382" s="94" t="str">
        <f t="shared" ref="I5382:J5382" si="5383">if(G5382 = "", , -G5382)</f>
        <v/>
      </c>
      <c r="J5382" s="94" t="str">
        <f t="shared" si="5383"/>
        <v/>
      </c>
      <c r="K5382" s="100"/>
      <c r="M5382" s="100"/>
      <c r="N5382" s="100"/>
      <c r="O5382" s="100"/>
      <c r="P5382" s="100"/>
    </row>
    <row r="5383">
      <c r="A5383" s="107">
        <v>1629684.0</v>
      </c>
      <c r="B5383" s="108" t="s">
        <v>215</v>
      </c>
      <c r="C5383" s="108" t="s">
        <v>1294</v>
      </c>
      <c r="D5383" s="112" t="s">
        <v>176</v>
      </c>
      <c r="E5383" s="112">
        <v>1878.8</v>
      </c>
      <c r="F5383" s="111" t="str">
        <f>DataPull!D5383</f>
        <v/>
      </c>
      <c r="G5383" s="94" t="str">
        <f t="shared" si="2"/>
        <v/>
      </c>
      <c r="H5383" s="94" t="str">
        <f t="shared" si="3"/>
        <v/>
      </c>
      <c r="I5383" s="94" t="str">
        <f t="shared" ref="I5383:J5383" si="5384">if(G5383 = "", , -G5383)</f>
        <v/>
      </c>
      <c r="J5383" s="94" t="str">
        <f t="shared" si="5384"/>
        <v/>
      </c>
      <c r="K5383" s="100"/>
      <c r="M5383" s="100"/>
      <c r="N5383" s="100"/>
      <c r="O5383" s="100"/>
      <c r="P5383" s="100"/>
    </row>
    <row r="5384">
      <c r="A5384" s="107">
        <v>1629684.0</v>
      </c>
      <c r="B5384" s="108" t="s">
        <v>244</v>
      </c>
      <c r="C5384" s="108" t="s">
        <v>1294</v>
      </c>
      <c r="D5384" s="112" t="s">
        <v>176</v>
      </c>
      <c r="E5384" s="112">
        <v>2046.1</v>
      </c>
      <c r="F5384" s="111" t="str">
        <f>DataPull!D5384</f>
        <v/>
      </c>
      <c r="G5384" s="94" t="str">
        <f t="shared" si="2"/>
        <v/>
      </c>
      <c r="H5384" s="94" t="str">
        <f t="shared" si="3"/>
        <v/>
      </c>
      <c r="I5384" s="94" t="str">
        <f t="shared" ref="I5384:J5384" si="5385">if(G5384 = "", , -G5384)</f>
        <v/>
      </c>
      <c r="J5384" s="94" t="str">
        <f t="shared" si="5385"/>
        <v/>
      </c>
      <c r="K5384" s="100"/>
      <c r="M5384" s="100"/>
      <c r="N5384" s="100"/>
      <c r="O5384" s="100"/>
      <c r="P5384" s="100"/>
    </row>
    <row r="5385">
      <c r="A5385" s="107">
        <v>1629684.0</v>
      </c>
      <c r="B5385" s="108" t="s">
        <v>245</v>
      </c>
      <c r="C5385" s="108" t="s">
        <v>1294</v>
      </c>
      <c r="D5385" s="112" t="s">
        <v>178</v>
      </c>
      <c r="E5385" s="112">
        <v>2128.0</v>
      </c>
      <c r="F5385" s="111" t="str">
        <f>DataPull!D5385</f>
        <v/>
      </c>
      <c r="G5385" s="94" t="str">
        <f t="shared" si="2"/>
        <v/>
      </c>
      <c r="H5385" s="94" t="str">
        <f t="shared" si="3"/>
        <v/>
      </c>
      <c r="I5385" s="94" t="str">
        <f t="shared" ref="I5385:J5385" si="5386">if(G5385 = "", , -G5385)</f>
        <v/>
      </c>
      <c r="J5385" s="94" t="str">
        <f t="shared" si="5386"/>
        <v/>
      </c>
      <c r="K5385" s="100"/>
      <c r="M5385" s="100"/>
      <c r="N5385" s="100"/>
      <c r="O5385" s="100"/>
      <c r="P5385" s="100"/>
    </row>
    <row r="5386">
      <c r="A5386" s="107">
        <v>1629684.0</v>
      </c>
      <c r="B5386" s="108" t="s">
        <v>246</v>
      </c>
      <c r="C5386" s="108" t="s">
        <v>1294</v>
      </c>
      <c r="D5386" s="112" t="s">
        <v>178</v>
      </c>
      <c r="E5386" s="112">
        <v>478.4</v>
      </c>
      <c r="F5386" s="111" t="str">
        <f>DataPull!D5386</f>
        <v/>
      </c>
      <c r="G5386" s="94" t="str">
        <f t="shared" si="2"/>
        <v/>
      </c>
      <c r="H5386" s="94" t="str">
        <f t="shared" si="3"/>
        <v/>
      </c>
      <c r="I5386" s="94" t="str">
        <f t="shared" ref="I5386:J5386" si="5387">if(G5386 = "", , -G5386)</f>
        <v/>
      </c>
      <c r="J5386" s="94" t="str">
        <f t="shared" si="5387"/>
        <v/>
      </c>
      <c r="K5386" s="100"/>
      <c r="M5386" s="100"/>
      <c r="N5386" s="100"/>
      <c r="O5386" s="100"/>
      <c r="P5386" s="100"/>
    </row>
    <row r="5387">
      <c r="A5387" s="114">
        <v>1629684.0</v>
      </c>
      <c r="B5387" s="113" t="s">
        <v>247</v>
      </c>
      <c r="C5387" s="113" t="s">
        <v>1294</v>
      </c>
      <c r="D5387" s="112" t="s">
        <v>177</v>
      </c>
      <c r="E5387" s="112">
        <v>712.8</v>
      </c>
      <c r="F5387" s="111" t="str">
        <f>DataPull!D5387</f>
        <v/>
      </c>
      <c r="G5387" s="94" t="str">
        <f t="shared" si="2"/>
        <v/>
      </c>
      <c r="H5387" s="94" t="str">
        <f t="shared" si="3"/>
        <v/>
      </c>
      <c r="I5387" s="94" t="str">
        <f t="shared" ref="I5387:J5387" si="5388">if(G5387 = "", , -G5387)</f>
        <v/>
      </c>
      <c r="J5387" s="94" t="str">
        <f t="shared" si="5388"/>
        <v/>
      </c>
      <c r="K5387" s="100"/>
      <c r="M5387" s="100"/>
      <c r="N5387" s="100"/>
      <c r="O5387" s="100"/>
      <c r="P5387" s="100"/>
    </row>
    <row r="5388">
      <c r="A5388" s="107">
        <v>1629685.0</v>
      </c>
      <c r="B5388" s="108" t="s">
        <v>243</v>
      </c>
      <c r="C5388" s="108" t="s">
        <v>1295</v>
      </c>
      <c r="D5388" s="112" t="s">
        <v>177</v>
      </c>
      <c r="E5388" s="112">
        <v>511.5</v>
      </c>
      <c r="F5388" s="111" t="str">
        <f>DataPull!D5388</f>
        <v/>
      </c>
      <c r="G5388" s="94" t="str">
        <f t="shared" si="2"/>
        <v/>
      </c>
      <c r="H5388" s="94" t="str">
        <f t="shared" si="3"/>
        <v/>
      </c>
      <c r="I5388" s="94" t="str">
        <f t="shared" ref="I5388:J5388" si="5389">if(G5388 = "", , -G5388)</f>
        <v/>
      </c>
      <c r="J5388" s="94" t="str">
        <f t="shared" si="5389"/>
        <v/>
      </c>
      <c r="K5388" s="100"/>
      <c r="L5388" s="100"/>
      <c r="N5388" s="100"/>
      <c r="O5388" s="100"/>
      <c r="P5388" s="100"/>
    </row>
    <row r="5389">
      <c r="A5389" s="107">
        <v>1629685.0</v>
      </c>
      <c r="B5389" s="108" t="s">
        <v>215</v>
      </c>
      <c r="C5389" s="108" t="s">
        <v>1295</v>
      </c>
      <c r="D5389" s="112" t="s">
        <v>187</v>
      </c>
      <c r="E5389" s="112">
        <v>460.0</v>
      </c>
      <c r="F5389" s="111" t="str">
        <f>DataPull!D5389</f>
        <v/>
      </c>
      <c r="G5389" s="94" t="str">
        <f t="shared" si="2"/>
        <v/>
      </c>
      <c r="H5389" s="94" t="str">
        <f t="shared" si="3"/>
        <v/>
      </c>
      <c r="I5389" s="94" t="str">
        <f t="shared" ref="I5389:J5389" si="5390">if(G5389 = "", , -G5389)</f>
        <v/>
      </c>
      <c r="J5389" s="94" t="str">
        <f t="shared" si="5390"/>
        <v/>
      </c>
      <c r="K5389" s="100"/>
      <c r="L5389" s="100"/>
      <c r="N5389" s="100"/>
      <c r="O5389" s="100"/>
      <c r="P5389" s="100"/>
    </row>
    <row r="5390">
      <c r="A5390" s="107">
        <v>1629685.0</v>
      </c>
      <c r="B5390" s="108" t="s">
        <v>244</v>
      </c>
      <c r="C5390" s="108" t="s">
        <v>1295</v>
      </c>
      <c r="D5390" s="112" t="s">
        <v>181</v>
      </c>
      <c r="E5390" s="112">
        <v>10.5</v>
      </c>
      <c r="F5390" s="111" t="str">
        <f>DataPull!D5390</f>
        <v/>
      </c>
      <c r="G5390" s="94" t="str">
        <f t="shared" si="2"/>
        <v/>
      </c>
      <c r="H5390" s="94" t="str">
        <f t="shared" si="3"/>
        <v/>
      </c>
      <c r="I5390" s="94" t="str">
        <f t="shared" ref="I5390:J5390" si="5391">if(G5390 = "", , -G5390)</f>
        <v/>
      </c>
      <c r="J5390" s="94" t="str">
        <f t="shared" si="5391"/>
        <v/>
      </c>
      <c r="K5390" s="100"/>
      <c r="M5390" s="100"/>
      <c r="N5390" s="100"/>
      <c r="O5390" s="100"/>
      <c r="P5390" s="100"/>
    </row>
    <row r="5391">
      <c r="A5391" s="107">
        <v>1629685.0</v>
      </c>
      <c r="B5391" s="108" t="s">
        <v>245</v>
      </c>
      <c r="C5391" s="108" t="s">
        <v>1295</v>
      </c>
      <c r="D5391" s="112" t="s">
        <v>181</v>
      </c>
      <c r="E5391" s="112">
        <v>108.8</v>
      </c>
      <c r="F5391" s="111" t="str">
        <f>DataPull!D5391</f>
        <v/>
      </c>
      <c r="G5391" s="94" t="str">
        <f t="shared" si="2"/>
        <v/>
      </c>
      <c r="H5391" s="94" t="str">
        <f t="shared" si="3"/>
        <v/>
      </c>
      <c r="I5391" s="94" t="str">
        <f t="shared" ref="I5391:J5391" si="5392">if(G5391 = "", , -G5391)</f>
        <v/>
      </c>
      <c r="J5391" s="94" t="str">
        <f t="shared" si="5392"/>
        <v/>
      </c>
      <c r="K5391" s="100"/>
      <c r="M5391" s="100"/>
      <c r="N5391" s="100"/>
      <c r="O5391" s="100"/>
      <c r="P5391" s="100"/>
    </row>
    <row r="5392">
      <c r="A5392" s="107">
        <v>1629686.0</v>
      </c>
      <c r="B5392" s="108" t="s">
        <v>243</v>
      </c>
      <c r="C5392" s="108" t="s">
        <v>1296</v>
      </c>
      <c r="D5392" s="112" t="s">
        <v>187</v>
      </c>
      <c r="E5392" s="112">
        <v>134.0</v>
      </c>
      <c r="F5392" s="111" t="str">
        <f>DataPull!D5392</f>
        <v/>
      </c>
      <c r="G5392" s="94" t="str">
        <f t="shared" si="2"/>
        <v/>
      </c>
      <c r="H5392" s="94" t="str">
        <f t="shared" si="3"/>
        <v/>
      </c>
      <c r="I5392" s="94" t="str">
        <f t="shared" ref="I5392:J5392" si="5393">if(G5392 = "", , -G5392)</f>
        <v/>
      </c>
      <c r="J5392" s="94" t="str">
        <f t="shared" si="5393"/>
        <v/>
      </c>
      <c r="K5392" s="100"/>
      <c r="M5392" s="100"/>
      <c r="N5392" s="100"/>
      <c r="O5392" s="100"/>
      <c r="P5392" s="100"/>
    </row>
    <row r="5393">
      <c r="A5393" s="107">
        <v>1629686.0</v>
      </c>
      <c r="B5393" s="108" t="s">
        <v>215</v>
      </c>
      <c r="C5393" s="108" t="s">
        <v>1296</v>
      </c>
      <c r="D5393" s="112" t="s">
        <v>181</v>
      </c>
      <c r="E5393" s="112">
        <v>26.7</v>
      </c>
      <c r="F5393" s="111" t="str">
        <f>DataPull!D5393</f>
        <v/>
      </c>
      <c r="G5393" s="94" t="str">
        <f t="shared" si="2"/>
        <v/>
      </c>
      <c r="H5393" s="94" t="str">
        <f t="shared" si="3"/>
        <v/>
      </c>
      <c r="I5393" s="94" t="str">
        <f t="shared" ref="I5393:J5393" si="5394">if(G5393 = "", , -G5393)</f>
        <v/>
      </c>
      <c r="J5393" s="94" t="str">
        <f t="shared" si="5394"/>
        <v/>
      </c>
      <c r="K5393" s="100"/>
      <c r="M5393" s="100"/>
      <c r="N5393" s="100"/>
      <c r="O5393" s="100"/>
      <c r="P5393" s="100"/>
    </row>
    <row r="5394">
      <c r="A5394" s="107">
        <v>1629690.0</v>
      </c>
      <c r="B5394" s="108" t="s">
        <v>193</v>
      </c>
      <c r="C5394" s="108" t="s">
        <v>1297</v>
      </c>
      <c r="D5394" s="112" t="s">
        <v>187</v>
      </c>
      <c r="E5394" s="112">
        <v>112.2</v>
      </c>
      <c r="F5394" s="111" t="str">
        <f>DataPull!D5394</f>
        <v/>
      </c>
      <c r="G5394" s="94" t="str">
        <f t="shared" si="2"/>
        <v/>
      </c>
      <c r="H5394" s="94" t="str">
        <f t="shared" si="3"/>
        <v/>
      </c>
      <c r="I5394" s="94" t="str">
        <f t="shared" ref="I5394:J5394" si="5395">if(G5394 = "", , -G5394)</f>
        <v/>
      </c>
      <c r="J5394" s="94" t="str">
        <f t="shared" si="5395"/>
        <v/>
      </c>
      <c r="K5394" s="100"/>
      <c r="M5394" s="100"/>
      <c r="N5394" s="100"/>
      <c r="O5394" s="100"/>
      <c r="P5394" s="100"/>
    </row>
    <row r="5395">
      <c r="A5395" s="107">
        <v>1629690.0</v>
      </c>
      <c r="B5395" s="108" t="s">
        <v>243</v>
      </c>
      <c r="C5395" s="108" t="s">
        <v>1297</v>
      </c>
      <c r="D5395" s="112" t="s">
        <v>187</v>
      </c>
      <c r="E5395" s="112">
        <v>56.0</v>
      </c>
      <c r="F5395" s="111" t="str">
        <f>DataPull!D5395</f>
        <v/>
      </c>
      <c r="G5395" s="94" t="str">
        <f t="shared" si="2"/>
        <v/>
      </c>
      <c r="H5395" s="94" t="str">
        <f t="shared" si="3"/>
        <v/>
      </c>
      <c r="I5395" s="94" t="str">
        <f t="shared" ref="I5395:J5395" si="5396">if(G5395 = "", , -G5395)</f>
        <v/>
      </c>
      <c r="J5395" s="94" t="str">
        <f t="shared" si="5396"/>
        <v/>
      </c>
      <c r="K5395" s="100"/>
      <c r="M5395" s="100"/>
      <c r="N5395" s="100"/>
      <c r="O5395" s="100"/>
      <c r="P5395" s="100"/>
    </row>
    <row r="5396">
      <c r="A5396" s="107">
        <v>1629712.0</v>
      </c>
      <c r="B5396" s="108" t="s">
        <v>243</v>
      </c>
      <c r="C5396" s="108" t="s">
        <v>1298</v>
      </c>
      <c r="D5396" s="112" t="s">
        <v>181</v>
      </c>
      <c r="E5396" s="112">
        <v>56.4</v>
      </c>
      <c r="F5396" s="111" t="str">
        <f>DataPull!D5396</f>
        <v/>
      </c>
      <c r="G5396" s="94" t="str">
        <f t="shared" si="2"/>
        <v/>
      </c>
      <c r="H5396" s="94" t="str">
        <f t="shared" si="3"/>
        <v/>
      </c>
      <c r="I5396" s="94" t="str">
        <f t="shared" ref="I5396:J5396" si="5397">if(G5396 = "", , -G5396)</f>
        <v/>
      </c>
      <c r="J5396" s="94" t="str">
        <f t="shared" si="5397"/>
        <v/>
      </c>
      <c r="K5396" s="100"/>
      <c r="M5396" s="100"/>
      <c r="N5396" s="100"/>
      <c r="O5396" s="100"/>
      <c r="P5396" s="100"/>
    </row>
    <row r="5397">
      <c r="A5397" s="107">
        <v>1629712.0</v>
      </c>
      <c r="B5397" s="108" t="s">
        <v>215</v>
      </c>
      <c r="C5397" s="108" t="s">
        <v>1298</v>
      </c>
      <c r="D5397" s="112" t="s">
        <v>181</v>
      </c>
      <c r="E5397" s="112">
        <v>129.6</v>
      </c>
      <c r="F5397" s="111" t="str">
        <f>DataPull!D5397</f>
        <v/>
      </c>
      <c r="G5397" s="94" t="str">
        <f t="shared" si="2"/>
        <v/>
      </c>
      <c r="H5397" s="94" t="str">
        <f t="shared" si="3"/>
        <v/>
      </c>
      <c r="I5397" s="94" t="str">
        <f t="shared" ref="I5397:J5397" si="5398">if(G5397 = "", , -G5397)</f>
        <v/>
      </c>
      <c r="J5397" s="94" t="str">
        <f t="shared" si="5398"/>
        <v/>
      </c>
      <c r="K5397" s="100"/>
      <c r="M5397" s="100"/>
      <c r="N5397" s="100"/>
      <c r="O5397" s="100"/>
      <c r="P5397" s="100"/>
    </row>
    <row r="5398">
      <c r="A5398" s="107">
        <v>1629713.0</v>
      </c>
      <c r="B5398" s="108" t="s">
        <v>193</v>
      </c>
      <c r="C5398" s="116" t="s">
        <v>1299</v>
      </c>
      <c r="D5398" s="24" t="s">
        <v>187</v>
      </c>
      <c r="E5398" s="112">
        <v>234.0</v>
      </c>
      <c r="F5398" s="111" t="str">
        <f>DataPull!D5398</f>
        <v/>
      </c>
      <c r="G5398" s="94" t="str">
        <f t="shared" si="2"/>
        <v/>
      </c>
      <c r="H5398" s="94" t="str">
        <f t="shared" si="3"/>
        <v/>
      </c>
      <c r="I5398" s="94" t="str">
        <f t="shared" ref="I5398:J5398" si="5399">if(G5398 = "", , -G5398)</f>
        <v/>
      </c>
      <c r="J5398" s="94" t="str">
        <f t="shared" si="5399"/>
        <v/>
      </c>
      <c r="K5398" s="100"/>
      <c r="M5398" s="100"/>
      <c r="N5398" s="100"/>
      <c r="O5398" s="100"/>
      <c r="P5398" s="100"/>
    </row>
    <row r="5399">
      <c r="A5399" s="107">
        <v>1629713.0</v>
      </c>
      <c r="B5399" s="108" t="s">
        <v>243</v>
      </c>
      <c r="C5399" s="108" t="s">
        <v>1299</v>
      </c>
      <c r="D5399" s="112" t="s">
        <v>187</v>
      </c>
      <c r="E5399" s="112">
        <v>309.6</v>
      </c>
      <c r="F5399" s="111" t="str">
        <f>DataPull!D5399</f>
        <v/>
      </c>
      <c r="G5399" s="94" t="str">
        <f t="shared" si="2"/>
        <v/>
      </c>
      <c r="H5399" s="94" t="str">
        <f t="shared" si="3"/>
        <v/>
      </c>
      <c r="I5399" s="94" t="str">
        <f t="shared" ref="I5399:J5399" si="5400">if(G5399 = "", , -G5399)</f>
        <v/>
      </c>
      <c r="J5399" s="94" t="str">
        <f t="shared" si="5400"/>
        <v/>
      </c>
      <c r="K5399" s="100"/>
      <c r="M5399" s="100"/>
      <c r="N5399" s="100"/>
      <c r="O5399" s="100"/>
      <c r="P5399" s="100"/>
    </row>
    <row r="5400">
      <c r="A5400" s="107">
        <v>1629714.0</v>
      </c>
      <c r="B5400" s="108" t="s">
        <v>193</v>
      </c>
      <c r="C5400" s="108" t="s">
        <v>1300</v>
      </c>
      <c r="D5400" s="112" t="s">
        <v>187</v>
      </c>
      <c r="E5400" s="112">
        <v>96.3</v>
      </c>
      <c r="F5400" s="111" t="str">
        <f>DataPull!D5400</f>
        <v/>
      </c>
      <c r="G5400" s="94" t="str">
        <f t="shared" si="2"/>
        <v/>
      </c>
      <c r="H5400" s="94" t="str">
        <f t="shared" si="3"/>
        <v/>
      </c>
      <c r="I5400" s="94" t="str">
        <f t="shared" ref="I5400:J5400" si="5401">if(G5400 = "", , -G5400)</f>
        <v/>
      </c>
      <c r="J5400" s="94" t="str">
        <f t="shared" si="5401"/>
        <v/>
      </c>
      <c r="K5400" s="100"/>
      <c r="M5400" s="100"/>
      <c r="N5400" s="100"/>
      <c r="O5400" s="100"/>
      <c r="P5400" s="100"/>
    </row>
    <row r="5401">
      <c r="A5401" s="107">
        <v>1629714.0</v>
      </c>
      <c r="B5401" s="108" t="s">
        <v>243</v>
      </c>
      <c r="C5401" s="108" t="s">
        <v>1300</v>
      </c>
      <c r="D5401" s="112" t="s">
        <v>187</v>
      </c>
      <c r="E5401" s="112">
        <v>137.2</v>
      </c>
      <c r="F5401" s="111" t="str">
        <f>DataPull!D5401</f>
        <v/>
      </c>
      <c r="G5401" s="94" t="str">
        <f t="shared" si="2"/>
        <v/>
      </c>
      <c r="H5401" s="94" t="str">
        <f t="shared" si="3"/>
        <v/>
      </c>
      <c r="I5401" s="94" t="str">
        <f t="shared" ref="I5401:J5401" si="5402">if(G5401 = "", , -G5401)</f>
        <v/>
      </c>
      <c r="J5401" s="94" t="str">
        <f t="shared" si="5402"/>
        <v/>
      </c>
      <c r="K5401" s="100"/>
      <c r="L5401" s="100"/>
      <c r="M5401" s="100"/>
      <c r="N5401" s="100"/>
      <c r="O5401" s="100"/>
      <c r="P5401" s="100"/>
    </row>
    <row r="5402">
      <c r="A5402" s="107">
        <v>1629714.0</v>
      </c>
      <c r="B5402" s="108" t="s">
        <v>244</v>
      </c>
      <c r="C5402" s="108" t="s">
        <v>1300</v>
      </c>
      <c r="D5402" s="112" t="s">
        <v>181</v>
      </c>
      <c r="E5402" s="112">
        <v>38.8</v>
      </c>
      <c r="F5402" s="111" t="str">
        <f>DataPull!D5402</f>
        <v/>
      </c>
      <c r="G5402" s="94" t="str">
        <f t="shared" si="2"/>
        <v/>
      </c>
      <c r="H5402" s="94" t="str">
        <f t="shared" si="3"/>
        <v/>
      </c>
      <c r="I5402" s="94" t="str">
        <f t="shared" ref="I5402:J5402" si="5403">if(G5402 = "", , -G5402)</f>
        <v/>
      </c>
      <c r="J5402" s="94" t="str">
        <f t="shared" si="5403"/>
        <v/>
      </c>
      <c r="K5402" s="100"/>
      <c r="M5402" s="100"/>
      <c r="N5402" s="100"/>
      <c r="O5402" s="100"/>
      <c r="P5402" s="100"/>
    </row>
    <row r="5403">
      <c r="A5403" s="107">
        <v>1629716.0</v>
      </c>
      <c r="B5403" s="108" t="s">
        <v>193</v>
      </c>
      <c r="C5403" s="108" t="s">
        <v>1301</v>
      </c>
      <c r="D5403" s="112" t="s">
        <v>181</v>
      </c>
      <c r="E5403" s="112">
        <v>2.8</v>
      </c>
      <c r="F5403" s="111" t="str">
        <f>DataPull!D5403</f>
        <v/>
      </c>
      <c r="G5403" s="94" t="str">
        <f t="shared" si="2"/>
        <v/>
      </c>
      <c r="H5403" s="94" t="str">
        <f t="shared" si="3"/>
        <v/>
      </c>
      <c r="I5403" s="94" t="str">
        <f t="shared" ref="I5403:J5403" si="5404">if(G5403 = "", , -G5403)</f>
        <v/>
      </c>
      <c r="J5403" s="94" t="str">
        <f t="shared" si="5404"/>
        <v/>
      </c>
      <c r="K5403" s="100"/>
      <c r="M5403" s="100"/>
      <c r="N5403" s="100"/>
      <c r="O5403" s="100"/>
      <c r="P5403" s="100"/>
    </row>
    <row r="5404">
      <c r="A5404" s="107">
        <v>1629716.0</v>
      </c>
      <c r="B5404" s="108" t="s">
        <v>243</v>
      </c>
      <c r="C5404" s="108" t="s">
        <v>1301</v>
      </c>
      <c r="D5404" s="112" t="s">
        <v>181</v>
      </c>
      <c r="E5404" s="112">
        <v>28.8</v>
      </c>
      <c r="F5404" s="111" t="str">
        <f>DataPull!D5404</f>
        <v/>
      </c>
      <c r="G5404" s="94" t="str">
        <f t="shared" si="2"/>
        <v/>
      </c>
      <c r="H5404" s="94" t="str">
        <f t="shared" si="3"/>
        <v/>
      </c>
      <c r="I5404" s="94" t="str">
        <f t="shared" ref="I5404:J5404" si="5405">if(G5404 = "", , -G5404)</f>
        <v/>
      </c>
      <c r="J5404" s="94" t="str">
        <f t="shared" si="5405"/>
        <v/>
      </c>
      <c r="K5404" s="100"/>
      <c r="M5404" s="100"/>
      <c r="N5404" s="100"/>
      <c r="O5404" s="100"/>
      <c r="P5404" s="100"/>
    </row>
    <row r="5405">
      <c r="A5405" s="107">
        <v>1629716.0</v>
      </c>
      <c r="B5405" s="108" t="s">
        <v>245</v>
      </c>
      <c r="C5405" s="108" t="s">
        <v>1301</v>
      </c>
      <c r="D5405" s="112" t="s">
        <v>187</v>
      </c>
      <c r="E5405" s="112">
        <v>121.0</v>
      </c>
      <c r="F5405" s="111" t="str">
        <f>DataPull!D5405</f>
        <v/>
      </c>
      <c r="G5405" s="94" t="str">
        <f t="shared" si="2"/>
        <v/>
      </c>
      <c r="H5405" s="94" t="str">
        <f t="shared" si="3"/>
        <v/>
      </c>
      <c r="I5405" s="94" t="str">
        <f t="shared" ref="I5405:J5405" si="5406">if(G5405 = "", , -G5405)</f>
        <v/>
      </c>
      <c r="J5405" s="94" t="str">
        <f t="shared" si="5406"/>
        <v/>
      </c>
      <c r="K5405" s="100"/>
      <c r="M5405" s="100"/>
      <c r="N5405" s="100"/>
      <c r="O5405" s="100"/>
    </row>
    <row r="5406">
      <c r="A5406" s="107">
        <v>1629717.0</v>
      </c>
      <c r="B5406" s="108" t="s">
        <v>243</v>
      </c>
      <c r="C5406" s="108" t="s">
        <v>1302</v>
      </c>
      <c r="D5406" s="112" t="s">
        <v>176</v>
      </c>
      <c r="E5406" s="112">
        <v>520.0</v>
      </c>
      <c r="F5406" s="111" t="str">
        <f>DataPull!D5406</f>
        <v/>
      </c>
      <c r="G5406" s="94" t="str">
        <f t="shared" si="2"/>
        <v/>
      </c>
      <c r="H5406" s="94" t="str">
        <f t="shared" si="3"/>
        <v/>
      </c>
      <c r="I5406" s="94" t="str">
        <f t="shared" ref="I5406:J5406" si="5407">if(G5406 = "", , -G5406)</f>
        <v/>
      </c>
      <c r="J5406" s="94" t="str">
        <f t="shared" si="5407"/>
        <v/>
      </c>
      <c r="K5406" s="100"/>
      <c r="M5406" s="100"/>
      <c r="N5406" s="100"/>
      <c r="O5406" s="100"/>
      <c r="P5406" s="100"/>
    </row>
    <row r="5407">
      <c r="A5407" s="107">
        <v>1629717.0</v>
      </c>
      <c r="B5407" s="108" t="s">
        <v>215</v>
      </c>
      <c r="C5407" s="108" t="s">
        <v>1302</v>
      </c>
      <c r="D5407" s="112" t="s">
        <v>177</v>
      </c>
      <c r="E5407" s="112">
        <v>842.4</v>
      </c>
      <c r="F5407" s="111" t="str">
        <f>DataPull!D5407</f>
        <v/>
      </c>
      <c r="G5407" s="94" t="str">
        <f t="shared" si="2"/>
        <v/>
      </c>
      <c r="H5407" s="94" t="str">
        <f t="shared" si="3"/>
        <v/>
      </c>
      <c r="I5407" s="94" t="str">
        <f t="shared" ref="I5407:J5407" si="5408">if(G5407 = "", , -G5407)</f>
        <v/>
      </c>
      <c r="J5407" s="94" t="str">
        <f t="shared" si="5408"/>
        <v/>
      </c>
      <c r="K5407" s="100"/>
      <c r="M5407" s="100"/>
      <c r="N5407" s="100"/>
      <c r="O5407" s="100"/>
      <c r="P5407" s="100"/>
    </row>
    <row r="5408">
      <c r="A5408" s="107">
        <v>1629717.0</v>
      </c>
      <c r="B5408" s="108" t="s">
        <v>245</v>
      </c>
      <c r="C5408" s="108" t="s">
        <v>1302</v>
      </c>
      <c r="D5408" s="112" t="s">
        <v>187</v>
      </c>
      <c r="E5408" s="112">
        <v>104.0</v>
      </c>
      <c r="F5408" s="111" t="str">
        <f>DataPull!D5408</f>
        <v/>
      </c>
      <c r="G5408" s="94" t="str">
        <f t="shared" si="2"/>
        <v/>
      </c>
      <c r="H5408" s="94" t="str">
        <f t="shared" si="3"/>
        <v/>
      </c>
      <c r="I5408" s="94" t="str">
        <f t="shared" ref="I5408:J5408" si="5409">if(G5408 = "", , -G5408)</f>
        <v/>
      </c>
      <c r="J5408" s="94" t="str">
        <f t="shared" si="5409"/>
        <v/>
      </c>
      <c r="K5408" s="100"/>
      <c r="M5408" s="100"/>
      <c r="N5408" s="100"/>
      <c r="O5408" s="100"/>
      <c r="P5408" s="100"/>
    </row>
    <row r="5409">
      <c r="A5409" s="107">
        <v>1629718.0</v>
      </c>
      <c r="B5409" s="108" t="s">
        <v>193</v>
      </c>
      <c r="C5409" s="108" t="s">
        <v>1303</v>
      </c>
      <c r="D5409" s="112" t="s">
        <v>187</v>
      </c>
      <c r="E5409" s="112">
        <v>40.0</v>
      </c>
      <c r="F5409" s="111" t="str">
        <f>DataPull!D5409</f>
        <v/>
      </c>
      <c r="G5409" s="94" t="str">
        <f t="shared" si="2"/>
        <v/>
      </c>
      <c r="H5409" s="94" t="str">
        <f t="shared" si="3"/>
        <v/>
      </c>
      <c r="I5409" s="94" t="str">
        <f t="shared" ref="I5409:J5409" si="5410">if(G5409 = "", , -G5409)</f>
        <v/>
      </c>
      <c r="J5409" s="94" t="str">
        <f t="shared" si="5410"/>
        <v/>
      </c>
      <c r="K5409" s="100"/>
      <c r="M5409" s="100"/>
      <c r="N5409" s="100"/>
      <c r="O5409" s="100"/>
      <c r="P5409" s="100"/>
    </row>
    <row r="5410">
      <c r="A5410" s="107">
        <v>1629718.0</v>
      </c>
      <c r="B5410" s="108" t="s">
        <v>243</v>
      </c>
      <c r="C5410" s="108" t="s">
        <v>1303</v>
      </c>
      <c r="D5410" s="112" t="s">
        <v>187</v>
      </c>
      <c r="E5410" s="112">
        <v>152.1</v>
      </c>
      <c r="F5410" s="111" t="str">
        <f>DataPull!D5410</f>
        <v/>
      </c>
      <c r="G5410" s="94" t="str">
        <f t="shared" si="2"/>
        <v/>
      </c>
      <c r="H5410" s="94" t="str">
        <f t="shared" si="3"/>
        <v/>
      </c>
      <c r="I5410" s="94" t="str">
        <f t="shared" ref="I5410:J5410" si="5411">if(G5410 = "", , -G5410)</f>
        <v/>
      </c>
      <c r="J5410" s="94" t="str">
        <f t="shared" si="5411"/>
        <v/>
      </c>
      <c r="K5410" s="100"/>
      <c r="M5410" s="100"/>
      <c r="N5410" s="100"/>
      <c r="O5410" s="100"/>
      <c r="P5410" s="100"/>
    </row>
    <row r="5411">
      <c r="A5411" s="107">
        <v>1629718.0</v>
      </c>
      <c r="B5411" s="108" t="s">
        <v>215</v>
      </c>
      <c r="C5411" s="108" t="s">
        <v>1303</v>
      </c>
      <c r="D5411" s="112" t="s">
        <v>187</v>
      </c>
      <c r="E5411" s="112">
        <v>178.2</v>
      </c>
      <c r="F5411" s="111" t="str">
        <f>DataPull!D5411</f>
        <v/>
      </c>
      <c r="G5411" s="94" t="str">
        <f t="shared" si="2"/>
        <v/>
      </c>
      <c r="H5411" s="94" t="str">
        <f t="shared" si="3"/>
        <v/>
      </c>
      <c r="I5411" s="94" t="str">
        <f t="shared" ref="I5411:J5411" si="5412">if(G5411 = "", , -G5411)</f>
        <v/>
      </c>
      <c r="J5411" s="94" t="str">
        <f t="shared" si="5412"/>
        <v/>
      </c>
      <c r="K5411" s="100"/>
      <c r="M5411" s="100"/>
      <c r="N5411" s="100"/>
      <c r="O5411" s="100"/>
      <c r="P5411" s="100"/>
    </row>
    <row r="5412">
      <c r="A5412" s="107">
        <v>1629718.0</v>
      </c>
      <c r="B5412" s="108" t="s">
        <v>245</v>
      </c>
      <c r="C5412" s="108" t="s">
        <v>1303</v>
      </c>
      <c r="D5412" s="112" t="s">
        <v>181</v>
      </c>
      <c r="E5412" s="112">
        <v>37.6</v>
      </c>
      <c r="F5412" s="111" t="str">
        <f>DataPull!D5412</f>
        <v/>
      </c>
      <c r="G5412" s="94" t="str">
        <f t="shared" si="2"/>
        <v/>
      </c>
      <c r="H5412" s="94" t="str">
        <f t="shared" si="3"/>
        <v/>
      </c>
      <c r="I5412" s="94" t="str">
        <f t="shared" ref="I5412:J5412" si="5413">if(G5412 = "", , -G5412)</f>
        <v/>
      </c>
      <c r="J5412" s="94" t="str">
        <f t="shared" si="5413"/>
        <v/>
      </c>
      <c r="K5412" s="100"/>
      <c r="M5412" s="100"/>
      <c r="N5412" s="100"/>
      <c r="O5412" s="100"/>
      <c r="P5412" s="100"/>
    </row>
    <row r="5413">
      <c r="A5413" s="107">
        <v>1629719.0</v>
      </c>
      <c r="B5413" s="108" t="s">
        <v>193</v>
      </c>
      <c r="C5413" s="108" t="s">
        <v>1304</v>
      </c>
      <c r="D5413" s="112"/>
      <c r="E5413" s="112">
        <v>8.9</v>
      </c>
      <c r="F5413" s="111" t="str">
        <f>DataPull!D5413</f>
        <v/>
      </c>
      <c r="G5413" s="94" t="str">
        <f t="shared" si="2"/>
        <v/>
      </c>
      <c r="H5413" s="94" t="str">
        <f t="shared" si="3"/>
        <v/>
      </c>
      <c r="I5413" s="94" t="str">
        <f t="shared" ref="I5413:J5413" si="5414">if(G5413 = "", , -G5413)</f>
        <v/>
      </c>
      <c r="J5413" s="94" t="str">
        <f t="shared" si="5414"/>
        <v/>
      </c>
      <c r="K5413" s="100"/>
      <c r="M5413" s="100"/>
      <c r="N5413" s="100"/>
      <c r="O5413" s="100"/>
      <c r="P5413" s="100"/>
    </row>
    <row r="5414">
      <c r="A5414" s="107">
        <v>1629719.0</v>
      </c>
      <c r="B5414" s="108" t="s">
        <v>243</v>
      </c>
      <c r="C5414" s="108" t="s">
        <v>1304</v>
      </c>
      <c r="D5414" s="112"/>
      <c r="E5414" s="112">
        <v>98.0</v>
      </c>
      <c r="F5414" s="111" t="str">
        <f>DataPull!D5414</f>
        <v/>
      </c>
      <c r="G5414" s="94" t="str">
        <f t="shared" si="2"/>
        <v/>
      </c>
      <c r="H5414" s="94" t="str">
        <f t="shared" si="3"/>
        <v/>
      </c>
      <c r="I5414" s="94" t="str">
        <f t="shared" ref="I5414:J5414" si="5415">if(G5414 = "", , -G5414)</f>
        <v/>
      </c>
      <c r="J5414" s="94" t="str">
        <f t="shared" si="5415"/>
        <v/>
      </c>
      <c r="K5414" s="100"/>
      <c r="M5414" s="100"/>
      <c r="N5414" s="100"/>
      <c r="O5414" s="100"/>
      <c r="P5414" s="100"/>
    </row>
    <row r="5415">
      <c r="A5415" s="107">
        <v>1629719.0</v>
      </c>
      <c r="B5415" s="108" t="s">
        <v>215</v>
      </c>
      <c r="C5415" s="108" t="s">
        <v>1304</v>
      </c>
      <c r="D5415" s="112"/>
      <c r="E5415" s="112">
        <v>121.5</v>
      </c>
      <c r="F5415" s="111" t="str">
        <f>DataPull!D5415</f>
        <v/>
      </c>
      <c r="G5415" s="94" t="str">
        <f t="shared" si="2"/>
        <v/>
      </c>
      <c r="H5415" s="94" t="str">
        <f t="shared" si="3"/>
        <v/>
      </c>
      <c r="I5415" s="94" t="str">
        <f t="shared" ref="I5415:J5415" si="5416">if(G5415 = "", , -G5415)</f>
        <v/>
      </c>
      <c r="J5415" s="94" t="str">
        <f t="shared" si="5416"/>
        <v/>
      </c>
      <c r="K5415" s="100"/>
      <c r="M5415" s="100"/>
      <c r="N5415" s="100"/>
      <c r="O5415" s="100"/>
      <c r="P5415" s="100"/>
    </row>
    <row r="5416">
      <c r="A5416" s="107">
        <v>1629723.0</v>
      </c>
      <c r="B5416" s="108" t="s">
        <v>193</v>
      </c>
      <c r="C5416" s="108" t="s">
        <v>1305</v>
      </c>
      <c r="D5416" s="112"/>
      <c r="E5416" s="112">
        <v>180.5</v>
      </c>
      <c r="F5416" s="111" t="str">
        <f>DataPull!D5416</f>
        <v/>
      </c>
      <c r="G5416" s="94" t="str">
        <f t="shared" si="2"/>
        <v/>
      </c>
      <c r="H5416" s="94" t="str">
        <f t="shared" si="3"/>
        <v/>
      </c>
      <c r="I5416" s="94" t="str">
        <f t="shared" ref="I5416:J5416" si="5417">if(G5416 = "", , -G5416)</f>
        <v/>
      </c>
      <c r="J5416" s="94" t="str">
        <f t="shared" si="5417"/>
        <v/>
      </c>
      <c r="K5416" s="100"/>
      <c r="N5416" s="100"/>
      <c r="O5416" s="100"/>
      <c r="P5416" s="100"/>
    </row>
    <row r="5417">
      <c r="A5417" s="107">
        <v>1629723.0</v>
      </c>
      <c r="B5417" s="108" t="s">
        <v>243</v>
      </c>
      <c r="C5417" s="108" t="s">
        <v>1305</v>
      </c>
      <c r="D5417" s="112"/>
      <c r="E5417" s="112">
        <v>576.2</v>
      </c>
      <c r="F5417" s="111" t="str">
        <f>DataPull!D5417</f>
        <v/>
      </c>
      <c r="G5417" s="94" t="str">
        <f t="shared" si="2"/>
        <v/>
      </c>
      <c r="H5417" s="94" t="str">
        <f t="shared" si="3"/>
        <v/>
      </c>
      <c r="I5417" s="94" t="str">
        <f t="shared" ref="I5417:J5417" si="5418">if(G5417 = "", , -G5417)</f>
        <v/>
      </c>
      <c r="J5417" s="94" t="str">
        <f t="shared" si="5418"/>
        <v/>
      </c>
      <c r="K5417" s="100"/>
      <c r="M5417" s="100"/>
      <c r="N5417" s="100"/>
      <c r="O5417" s="100"/>
      <c r="P5417" s="100"/>
    </row>
    <row r="5418">
      <c r="A5418" s="107">
        <v>1629723.0</v>
      </c>
      <c r="B5418" s="108" t="s">
        <v>215</v>
      </c>
      <c r="C5418" s="108" t="s">
        <v>1305</v>
      </c>
      <c r="D5418" s="112"/>
      <c r="E5418" s="112">
        <v>1288.8</v>
      </c>
      <c r="F5418" s="111" t="str">
        <f>DataPull!D5418</f>
        <v/>
      </c>
      <c r="G5418" s="94" t="str">
        <f t="shared" si="2"/>
        <v/>
      </c>
      <c r="H5418" s="94" t="str">
        <f t="shared" si="3"/>
        <v/>
      </c>
      <c r="I5418" s="94" t="str">
        <f t="shared" ref="I5418:J5418" si="5419">if(G5418 = "", , -G5418)</f>
        <v/>
      </c>
      <c r="J5418" s="94" t="str">
        <f t="shared" si="5419"/>
        <v/>
      </c>
      <c r="K5418" s="100"/>
      <c r="M5418" s="100"/>
      <c r="N5418" s="100"/>
      <c r="O5418" s="100"/>
      <c r="P5418" s="100"/>
    </row>
    <row r="5419">
      <c r="A5419" s="107">
        <v>1629723.0</v>
      </c>
      <c r="B5419" s="108" t="s">
        <v>244</v>
      </c>
      <c r="C5419" s="108" t="s">
        <v>1305</v>
      </c>
      <c r="D5419" s="112"/>
      <c r="E5419" s="112">
        <v>1490.4</v>
      </c>
      <c r="F5419" s="111" t="str">
        <f>DataPull!D5419</f>
        <v/>
      </c>
      <c r="G5419" s="94" t="str">
        <f t="shared" si="2"/>
        <v/>
      </c>
      <c r="H5419" s="94" t="str">
        <f t="shared" si="3"/>
        <v/>
      </c>
      <c r="I5419" s="94" t="str">
        <f t="shared" ref="I5419:J5419" si="5420">if(G5419 = "", , -G5419)</f>
        <v/>
      </c>
      <c r="J5419" s="94" t="str">
        <f t="shared" si="5420"/>
        <v/>
      </c>
      <c r="K5419" s="100"/>
      <c r="M5419" s="100"/>
      <c r="N5419" s="100"/>
      <c r="O5419" s="100"/>
      <c r="P5419" s="100"/>
    </row>
    <row r="5420">
      <c r="A5420" s="107">
        <v>1629723.0</v>
      </c>
      <c r="B5420" s="108" t="s">
        <v>245</v>
      </c>
      <c r="C5420" s="108" t="s">
        <v>1305</v>
      </c>
      <c r="D5420" s="112"/>
      <c r="E5420" s="112">
        <v>1171.5</v>
      </c>
      <c r="F5420" s="111" t="str">
        <f>DataPull!D5420</f>
        <v/>
      </c>
      <c r="G5420" s="94" t="str">
        <f t="shared" si="2"/>
        <v/>
      </c>
      <c r="H5420" s="94" t="str">
        <f t="shared" si="3"/>
        <v/>
      </c>
      <c r="I5420" s="94" t="str">
        <f t="shared" ref="I5420:J5420" si="5421">if(G5420 = "", , -G5420)</f>
        <v/>
      </c>
      <c r="J5420" s="94" t="str">
        <f t="shared" si="5421"/>
        <v/>
      </c>
      <c r="K5420" s="100"/>
      <c r="M5420" s="100"/>
      <c r="N5420" s="100"/>
      <c r="O5420" s="100"/>
      <c r="P5420" s="100"/>
    </row>
    <row r="5421">
      <c r="A5421" s="107">
        <v>1629723.0</v>
      </c>
      <c r="B5421" s="108" t="s">
        <v>246</v>
      </c>
      <c r="C5421" s="108" t="s">
        <v>1305</v>
      </c>
      <c r="D5421" s="112"/>
      <c r="E5421" s="112">
        <v>556.6</v>
      </c>
      <c r="F5421" s="111" t="str">
        <f>DataPull!D5421</f>
        <v/>
      </c>
      <c r="G5421" s="94" t="str">
        <f t="shared" si="2"/>
        <v/>
      </c>
      <c r="H5421" s="94" t="str">
        <f t="shared" si="3"/>
        <v/>
      </c>
      <c r="I5421" s="94" t="str">
        <f t="shared" ref="I5421:J5421" si="5422">if(G5421 = "", , -G5421)</f>
        <v/>
      </c>
      <c r="J5421" s="94" t="str">
        <f t="shared" si="5422"/>
        <v/>
      </c>
      <c r="K5421" s="100"/>
      <c r="M5421" s="100"/>
      <c r="N5421" s="100"/>
      <c r="O5421" s="100"/>
      <c r="P5421" s="100"/>
    </row>
    <row r="5422">
      <c r="A5422" s="114">
        <v>1629723.0</v>
      </c>
      <c r="B5422" s="113" t="s">
        <v>247</v>
      </c>
      <c r="C5422" s="113" t="s">
        <v>1305</v>
      </c>
      <c r="D5422" s="112"/>
      <c r="E5422" s="112">
        <v>1114.4</v>
      </c>
      <c r="F5422" s="111" t="str">
        <f>DataPull!D5422</f>
        <v/>
      </c>
      <c r="G5422" s="94" t="str">
        <f t="shared" si="2"/>
        <v/>
      </c>
      <c r="H5422" s="94" t="str">
        <f t="shared" si="3"/>
        <v/>
      </c>
      <c r="I5422" s="94" t="str">
        <f t="shared" ref="I5422:J5422" si="5423">if(G5422 = "", , -G5422)</f>
        <v/>
      </c>
      <c r="J5422" s="94" t="str">
        <f t="shared" si="5423"/>
        <v/>
      </c>
      <c r="K5422" s="100"/>
      <c r="L5422" s="100"/>
      <c r="N5422" s="100"/>
      <c r="O5422" s="100"/>
      <c r="P5422" s="100"/>
    </row>
    <row r="5423">
      <c r="A5423" s="107">
        <v>1629724.0</v>
      </c>
      <c r="B5423" s="108" t="s">
        <v>193</v>
      </c>
      <c r="C5423" s="108" t="s">
        <v>1306</v>
      </c>
      <c r="D5423" s="112" t="s">
        <v>187</v>
      </c>
      <c r="E5423" s="112">
        <v>61.6</v>
      </c>
      <c r="F5423" s="111" t="str">
        <f>DataPull!D5423</f>
        <v/>
      </c>
      <c r="G5423" s="94" t="str">
        <f t="shared" si="2"/>
        <v/>
      </c>
      <c r="H5423" s="94" t="str">
        <f t="shared" si="3"/>
        <v/>
      </c>
      <c r="I5423" s="94" t="str">
        <f t="shared" ref="I5423:J5423" si="5424">if(G5423 = "", , -G5423)</f>
        <v/>
      </c>
      <c r="J5423" s="94" t="str">
        <f t="shared" si="5424"/>
        <v/>
      </c>
      <c r="K5423" s="100"/>
      <c r="M5423" s="100"/>
      <c r="N5423" s="100"/>
      <c r="O5423" s="100"/>
      <c r="P5423" s="100"/>
    </row>
    <row r="5424">
      <c r="A5424" s="107">
        <v>1629725.0</v>
      </c>
      <c r="B5424" s="108" t="s">
        <v>193</v>
      </c>
      <c r="C5424" s="108" t="s">
        <v>1307</v>
      </c>
      <c r="D5424" s="112"/>
      <c r="E5424" s="112">
        <v>99.0</v>
      </c>
      <c r="F5424" s="111" t="str">
        <f>DataPull!D5424</f>
        <v/>
      </c>
      <c r="G5424" s="94" t="str">
        <f t="shared" si="2"/>
        <v/>
      </c>
      <c r="H5424" s="94" t="str">
        <f t="shared" si="3"/>
        <v/>
      </c>
      <c r="I5424" s="94" t="str">
        <f t="shared" ref="I5424:J5424" si="5425">if(G5424 = "", , -G5424)</f>
        <v/>
      </c>
      <c r="J5424" s="94" t="str">
        <f t="shared" si="5425"/>
        <v/>
      </c>
      <c r="K5424" s="100"/>
      <c r="L5424" s="100"/>
      <c r="N5424" s="100"/>
      <c r="O5424" s="100"/>
      <c r="P5424" s="100"/>
    </row>
    <row r="5425">
      <c r="A5425" s="107">
        <v>1629725.0</v>
      </c>
      <c r="B5425" s="108" t="s">
        <v>243</v>
      </c>
      <c r="C5425" s="108" t="s">
        <v>1307</v>
      </c>
      <c r="D5425" s="112"/>
      <c r="E5425" s="112">
        <v>75.6</v>
      </c>
      <c r="F5425" s="111" t="str">
        <f>DataPull!D5425</f>
        <v/>
      </c>
      <c r="G5425" s="94" t="str">
        <f t="shared" si="2"/>
        <v/>
      </c>
      <c r="H5425" s="94" t="str">
        <f t="shared" si="3"/>
        <v/>
      </c>
      <c r="I5425" s="94" t="str">
        <f t="shared" ref="I5425:J5425" si="5426">if(G5425 = "", , -G5425)</f>
        <v/>
      </c>
      <c r="J5425" s="94" t="str">
        <f t="shared" si="5426"/>
        <v/>
      </c>
      <c r="K5425" s="100"/>
      <c r="M5425" s="100"/>
      <c r="N5425" s="100"/>
      <c r="O5425" s="100"/>
      <c r="P5425" s="100"/>
    </row>
    <row r="5426">
      <c r="A5426" s="107">
        <v>1629726.0</v>
      </c>
      <c r="B5426" s="108" t="s">
        <v>193</v>
      </c>
      <c r="C5426" s="108" t="s">
        <v>1308</v>
      </c>
      <c r="D5426" s="112" t="s">
        <v>187</v>
      </c>
      <c r="E5426" s="112">
        <v>226.8</v>
      </c>
      <c r="F5426" s="111" t="str">
        <f>DataPull!D5426</f>
        <v/>
      </c>
      <c r="G5426" s="94" t="str">
        <f t="shared" si="2"/>
        <v/>
      </c>
      <c r="H5426" s="94" t="str">
        <f t="shared" si="3"/>
        <v/>
      </c>
      <c r="I5426" s="94" t="str">
        <f t="shared" ref="I5426:J5426" si="5427">if(G5426 = "", , -G5426)</f>
        <v/>
      </c>
      <c r="J5426" s="94" t="str">
        <f t="shared" si="5427"/>
        <v/>
      </c>
      <c r="K5426" s="100"/>
      <c r="M5426" s="100"/>
      <c r="N5426" s="100"/>
      <c r="O5426" s="100"/>
      <c r="P5426" s="100"/>
    </row>
    <row r="5427">
      <c r="A5427" s="107">
        <v>1629726.0</v>
      </c>
      <c r="B5427" s="108" t="s">
        <v>243</v>
      </c>
      <c r="C5427" s="108" t="s">
        <v>1308</v>
      </c>
      <c r="D5427" s="112" t="s">
        <v>177</v>
      </c>
      <c r="E5427" s="112">
        <v>1036.8</v>
      </c>
      <c r="F5427" s="111" t="str">
        <f>DataPull!D5427</f>
        <v/>
      </c>
      <c r="G5427" s="94" t="str">
        <f t="shared" si="2"/>
        <v/>
      </c>
      <c r="H5427" s="94" t="str">
        <f t="shared" si="3"/>
        <v/>
      </c>
      <c r="I5427" s="94" t="str">
        <f t="shared" ref="I5427:J5427" si="5428">if(G5427 = "", , -G5427)</f>
        <v/>
      </c>
      <c r="J5427" s="94" t="str">
        <f t="shared" si="5428"/>
        <v/>
      </c>
      <c r="K5427" s="100"/>
      <c r="M5427" s="100"/>
      <c r="N5427" s="100"/>
      <c r="O5427" s="100"/>
      <c r="P5427" s="100"/>
    </row>
    <row r="5428">
      <c r="A5428" s="107">
        <v>1629726.0</v>
      </c>
      <c r="B5428" s="108" t="s">
        <v>215</v>
      </c>
      <c r="C5428" s="108" t="s">
        <v>1308</v>
      </c>
      <c r="D5428" s="112" t="s">
        <v>176</v>
      </c>
      <c r="E5428" s="112">
        <v>1709.5</v>
      </c>
      <c r="F5428" s="111" t="str">
        <f>DataPull!D5428</f>
        <v/>
      </c>
      <c r="G5428" s="94" t="str">
        <f t="shared" si="2"/>
        <v/>
      </c>
      <c r="H5428" s="94" t="str">
        <f t="shared" si="3"/>
        <v/>
      </c>
      <c r="I5428" s="94" t="str">
        <f t="shared" ref="I5428:J5428" si="5429">if(G5428 = "", , -G5428)</f>
        <v/>
      </c>
      <c r="J5428" s="94" t="str">
        <f t="shared" si="5429"/>
        <v/>
      </c>
      <c r="K5428" s="100"/>
      <c r="M5428" s="100"/>
      <c r="N5428" s="100"/>
      <c r="O5428" s="100"/>
      <c r="P5428" s="100"/>
    </row>
    <row r="5429">
      <c r="A5429" s="107">
        <v>1629726.0</v>
      </c>
      <c r="B5429" s="108" t="s">
        <v>244</v>
      </c>
      <c r="C5429" s="108" t="s">
        <v>1308</v>
      </c>
      <c r="D5429" s="112" t="s">
        <v>187</v>
      </c>
      <c r="E5429" s="112">
        <v>685.8</v>
      </c>
      <c r="F5429" s="111" t="str">
        <f>DataPull!D5429</f>
        <v/>
      </c>
      <c r="G5429" s="94" t="str">
        <f t="shared" si="2"/>
        <v/>
      </c>
      <c r="H5429" s="94" t="str">
        <f t="shared" si="3"/>
        <v/>
      </c>
      <c r="I5429" s="94" t="str">
        <f t="shared" ref="I5429:J5429" si="5430">if(G5429 = "", , -G5429)</f>
        <v/>
      </c>
      <c r="J5429" s="94" t="str">
        <f t="shared" si="5430"/>
        <v/>
      </c>
      <c r="K5429" s="100"/>
      <c r="M5429" s="100"/>
      <c r="N5429" s="100"/>
      <c r="O5429" s="100"/>
      <c r="P5429" s="100"/>
    </row>
    <row r="5430">
      <c r="A5430" s="107">
        <v>1629726.0</v>
      </c>
      <c r="B5430" s="108" t="s">
        <v>245</v>
      </c>
      <c r="C5430" s="108" t="s">
        <v>1308</v>
      </c>
      <c r="D5430" s="112" t="s">
        <v>177</v>
      </c>
      <c r="E5430" s="112">
        <v>990.0</v>
      </c>
      <c r="F5430" s="111" t="str">
        <f>DataPull!D5430</f>
        <v/>
      </c>
      <c r="G5430" s="94" t="str">
        <f t="shared" si="2"/>
        <v/>
      </c>
      <c r="H5430" s="94" t="str">
        <f t="shared" si="3"/>
        <v/>
      </c>
      <c r="I5430" s="94" t="str">
        <f t="shared" ref="I5430:J5430" si="5431">if(G5430 = "", , -G5430)</f>
        <v/>
      </c>
      <c r="J5430" s="94" t="str">
        <f t="shared" si="5431"/>
        <v/>
      </c>
      <c r="K5430" s="100"/>
      <c r="M5430" s="100"/>
      <c r="N5430" s="100"/>
      <c r="O5430" s="100"/>
      <c r="P5430" s="100"/>
    </row>
    <row r="5431">
      <c r="A5431" s="107">
        <v>1629726.0</v>
      </c>
      <c r="B5431" s="108" t="s">
        <v>246</v>
      </c>
      <c r="C5431" s="108" t="s">
        <v>1308</v>
      </c>
      <c r="D5431" s="112" t="s">
        <v>177</v>
      </c>
      <c r="E5431" s="112">
        <v>827.2</v>
      </c>
      <c r="F5431" s="111" t="str">
        <f>DataPull!D5431</f>
        <v/>
      </c>
      <c r="G5431" s="94" t="str">
        <f t="shared" si="2"/>
        <v/>
      </c>
      <c r="H5431" s="94" t="str">
        <f t="shared" si="3"/>
        <v/>
      </c>
      <c r="I5431" s="94" t="str">
        <f t="shared" ref="I5431:J5431" si="5432">if(G5431 = "", , -G5431)</f>
        <v/>
      </c>
      <c r="J5431" s="94" t="str">
        <f t="shared" si="5432"/>
        <v/>
      </c>
      <c r="K5431" s="100"/>
      <c r="M5431" s="100"/>
      <c r="N5431" s="100"/>
      <c r="O5431" s="100"/>
      <c r="P5431" s="100"/>
    </row>
    <row r="5432">
      <c r="A5432" s="114">
        <v>1629726.0</v>
      </c>
      <c r="B5432" s="113" t="s">
        <v>247</v>
      </c>
      <c r="C5432" s="113" t="s">
        <v>1308</v>
      </c>
      <c r="D5432" s="112" t="s">
        <v>177</v>
      </c>
      <c r="E5432" s="112">
        <v>196.5</v>
      </c>
      <c r="F5432" s="111" t="str">
        <f>DataPull!D5432</f>
        <v/>
      </c>
      <c r="G5432" s="94" t="str">
        <f t="shared" si="2"/>
        <v/>
      </c>
      <c r="H5432" s="94" t="str">
        <f t="shared" si="3"/>
        <v/>
      </c>
      <c r="I5432" s="94" t="str">
        <f t="shared" ref="I5432:J5432" si="5433">if(G5432 = "", , -G5432)</f>
        <v/>
      </c>
      <c r="J5432" s="94" t="str">
        <f t="shared" si="5433"/>
        <v/>
      </c>
      <c r="N5432" s="100"/>
      <c r="O5432" s="100"/>
    </row>
    <row r="5433">
      <c r="A5433" s="107">
        <v>1629729.0</v>
      </c>
      <c r="B5433" s="108" t="s">
        <v>193</v>
      </c>
      <c r="C5433" s="108" t="s">
        <v>1309</v>
      </c>
      <c r="D5433" s="112" t="s">
        <v>181</v>
      </c>
      <c r="E5433" s="112">
        <v>28.4</v>
      </c>
      <c r="F5433" s="111" t="str">
        <f>DataPull!D5433</f>
        <v/>
      </c>
      <c r="G5433" s="94" t="str">
        <f t="shared" si="2"/>
        <v/>
      </c>
      <c r="H5433" s="94" t="str">
        <f t="shared" si="3"/>
        <v/>
      </c>
      <c r="I5433" s="94" t="str">
        <f t="shared" ref="I5433:J5433" si="5434">if(G5433 = "", , -G5433)</f>
        <v/>
      </c>
      <c r="J5433" s="94" t="str">
        <f t="shared" si="5434"/>
        <v/>
      </c>
      <c r="K5433" s="100"/>
      <c r="M5433" s="100"/>
      <c r="N5433" s="100"/>
      <c r="O5433" s="100"/>
      <c r="P5433" s="100"/>
    </row>
    <row r="5434">
      <c r="A5434" s="107">
        <v>1629730.0</v>
      </c>
      <c r="B5434" s="108" t="s">
        <v>193</v>
      </c>
      <c r="C5434" s="108" t="s">
        <v>1310</v>
      </c>
      <c r="D5434" s="112" t="s">
        <v>187</v>
      </c>
      <c r="E5434" s="112">
        <v>162.0</v>
      </c>
      <c r="F5434" s="111" t="str">
        <f>DataPull!D5434</f>
        <v/>
      </c>
      <c r="G5434" s="94" t="str">
        <f t="shared" si="2"/>
        <v/>
      </c>
      <c r="H5434" s="94" t="str">
        <f t="shared" si="3"/>
        <v/>
      </c>
      <c r="I5434" s="94" t="str">
        <f t="shared" ref="I5434:J5434" si="5435">if(G5434 = "", , -G5434)</f>
        <v/>
      </c>
      <c r="J5434" s="94" t="str">
        <f t="shared" si="5435"/>
        <v/>
      </c>
      <c r="K5434" s="100"/>
      <c r="M5434" s="100"/>
      <c r="N5434" s="100"/>
      <c r="O5434" s="100"/>
      <c r="P5434" s="100"/>
    </row>
    <row r="5435">
      <c r="A5435" s="107">
        <v>1629730.0</v>
      </c>
      <c r="B5435" s="108" t="s">
        <v>243</v>
      </c>
      <c r="C5435" s="108" t="s">
        <v>1310</v>
      </c>
      <c r="D5435" s="112" t="s">
        <v>187</v>
      </c>
      <c r="E5435" s="112">
        <v>68.6</v>
      </c>
      <c r="F5435" s="111" t="str">
        <f>DataPull!D5435</f>
        <v/>
      </c>
      <c r="G5435" s="94" t="str">
        <f t="shared" si="2"/>
        <v/>
      </c>
      <c r="H5435" s="94" t="str">
        <f t="shared" si="3"/>
        <v/>
      </c>
      <c r="I5435" s="94" t="str">
        <f t="shared" ref="I5435:J5435" si="5436">if(G5435 = "", , -G5435)</f>
        <v/>
      </c>
      <c r="J5435" s="94" t="str">
        <f t="shared" si="5436"/>
        <v/>
      </c>
      <c r="K5435" s="100"/>
      <c r="M5435" s="100"/>
      <c r="N5435" s="100"/>
      <c r="O5435" s="100"/>
      <c r="P5435" s="100"/>
    </row>
    <row r="5436">
      <c r="A5436" s="107">
        <v>1629730.0</v>
      </c>
      <c r="B5436" s="108" t="s">
        <v>215</v>
      </c>
      <c r="C5436" s="108" t="s">
        <v>1310</v>
      </c>
      <c r="D5436" s="112" t="s">
        <v>181</v>
      </c>
      <c r="E5436" s="112">
        <v>71.0</v>
      </c>
      <c r="F5436" s="111" t="str">
        <f>DataPull!D5436</f>
        <v/>
      </c>
      <c r="G5436" s="94" t="str">
        <f t="shared" si="2"/>
        <v/>
      </c>
      <c r="H5436" s="94" t="str">
        <f t="shared" si="3"/>
        <v/>
      </c>
      <c r="I5436" s="94" t="str">
        <f t="shared" ref="I5436:J5436" si="5437">if(G5436 = "", , -G5436)</f>
        <v/>
      </c>
      <c r="J5436" s="94" t="str">
        <f t="shared" si="5437"/>
        <v/>
      </c>
      <c r="K5436" s="100"/>
      <c r="M5436" s="100"/>
      <c r="N5436" s="100"/>
      <c r="O5436" s="100"/>
      <c r="P5436" s="100"/>
    </row>
    <row r="5437">
      <c r="A5437" s="107">
        <v>1629731.0</v>
      </c>
      <c r="B5437" s="108" t="s">
        <v>193</v>
      </c>
      <c r="C5437" s="108" t="s">
        <v>1311</v>
      </c>
      <c r="D5437" s="112" t="s">
        <v>187</v>
      </c>
      <c r="E5437" s="112">
        <v>72.0</v>
      </c>
      <c r="F5437" s="111" t="str">
        <f>DataPull!D5437</f>
        <v/>
      </c>
      <c r="G5437" s="94" t="str">
        <f t="shared" si="2"/>
        <v/>
      </c>
      <c r="H5437" s="94" t="str">
        <f t="shared" si="3"/>
        <v/>
      </c>
      <c r="I5437" s="94" t="str">
        <f t="shared" ref="I5437:J5437" si="5438">if(G5437 = "", , -G5437)</f>
        <v/>
      </c>
      <c r="J5437" s="94" t="str">
        <f t="shared" si="5438"/>
        <v/>
      </c>
      <c r="K5437" s="100"/>
      <c r="L5437" s="100"/>
      <c r="N5437" s="100"/>
      <c r="O5437" s="100"/>
      <c r="P5437" s="100"/>
    </row>
    <row r="5438">
      <c r="A5438" s="107">
        <v>1629731.0</v>
      </c>
      <c r="B5438" s="108" t="s">
        <v>243</v>
      </c>
      <c r="C5438" s="108" t="s">
        <v>1311</v>
      </c>
      <c r="D5438" s="112" t="s">
        <v>177</v>
      </c>
      <c r="E5438" s="112">
        <v>1209.6</v>
      </c>
      <c r="F5438" s="111" t="str">
        <f>DataPull!D5438</f>
        <v/>
      </c>
      <c r="G5438" s="94" t="str">
        <f t="shared" si="2"/>
        <v/>
      </c>
      <c r="H5438" s="94" t="str">
        <f t="shared" si="3"/>
        <v/>
      </c>
      <c r="I5438" s="94" t="str">
        <f t="shared" ref="I5438:J5438" si="5439">if(G5438 = "", , -G5438)</f>
        <v/>
      </c>
      <c r="J5438" s="94" t="str">
        <f t="shared" si="5439"/>
        <v/>
      </c>
      <c r="K5438" s="100"/>
      <c r="M5438" s="100"/>
      <c r="N5438" s="100"/>
      <c r="O5438" s="100"/>
      <c r="P5438" s="100"/>
    </row>
    <row r="5439">
      <c r="A5439" s="107">
        <v>1629731.0</v>
      </c>
      <c r="B5439" s="108" t="s">
        <v>215</v>
      </c>
      <c r="C5439" s="108" t="s">
        <v>1311</v>
      </c>
      <c r="D5439" s="112" t="s">
        <v>177</v>
      </c>
      <c r="E5439" s="112">
        <v>979.2</v>
      </c>
      <c r="F5439" s="111" t="str">
        <f>DataPull!D5439</f>
        <v/>
      </c>
      <c r="G5439" s="94" t="str">
        <f t="shared" si="2"/>
        <v/>
      </c>
      <c r="H5439" s="94" t="str">
        <f t="shared" si="3"/>
        <v/>
      </c>
      <c r="I5439" s="94" t="str">
        <f t="shared" ref="I5439:J5439" si="5440">if(G5439 = "", , -G5439)</f>
        <v/>
      </c>
      <c r="J5439" s="94" t="str">
        <f t="shared" si="5440"/>
        <v/>
      </c>
      <c r="K5439" s="100"/>
      <c r="M5439" s="100"/>
      <c r="N5439" s="100"/>
      <c r="O5439" s="100"/>
      <c r="P5439" s="100"/>
    </row>
    <row r="5440">
      <c r="A5440" s="107">
        <v>1629731.0</v>
      </c>
      <c r="B5440" s="108" t="s">
        <v>244</v>
      </c>
      <c r="C5440" s="108" t="s">
        <v>1311</v>
      </c>
      <c r="D5440" s="112" t="s">
        <v>176</v>
      </c>
      <c r="E5440" s="112">
        <v>893.2</v>
      </c>
      <c r="F5440" s="111" t="str">
        <f>DataPull!D5440</f>
        <v/>
      </c>
      <c r="G5440" s="94" t="str">
        <f t="shared" si="2"/>
        <v/>
      </c>
      <c r="H5440" s="94" t="str">
        <f t="shared" si="3"/>
        <v/>
      </c>
      <c r="I5440" s="94" t="str">
        <f t="shared" ref="I5440:J5440" si="5441">if(G5440 = "", , -G5440)</f>
        <v/>
      </c>
      <c r="J5440" s="94" t="str">
        <f t="shared" si="5441"/>
        <v/>
      </c>
      <c r="K5440" s="100"/>
      <c r="L5440" s="100"/>
      <c r="N5440" s="100"/>
      <c r="O5440" s="100"/>
      <c r="P5440" s="100"/>
    </row>
    <row r="5441">
      <c r="A5441" s="107">
        <v>1629731.0</v>
      </c>
      <c r="B5441" s="108" t="s">
        <v>245</v>
      </c>
      <c r="C5441" s="108" t="s">
        <v>1311</v>
      </c>
      <c r="D5441" s="112" t="s">
        <v>177</v>
      </c>
      <c r="E5441" s="112">
        <v>1107.0</v>
      </c>
      <c r="F5441" s="111" t="str">
        <f>DataPull!D5441</f>
        <v/>
      </c>
      <c r="G5441" s="94" t="str">
        <f t="shared" si="2"/>
        <v/>
      </c>
      <c r="H5441" s="94" t="str">
        <f t="shared" si="3"/>
        <v/>
      </c>
      <c r="I5441" s="94" t="str">
        <f t="shared" ref="I5441:J5441" si="5442">if(G5441 = "", , -G5441)</f>
        <v/>
      </c>
      <c r="J5441" s="94" t="str">
        <f t="shared" si="5442"/>
        <v/>
      </c>
      <c r="K5441" s="100"/>
      <c r="L5441" s="100"/>
      <c r="M5441" s="100"/>
      <c r="N5441" s="100"/>
      <c r="O5441" s="100"/>
      <c r="P5441" s="100"/>
    </row>
    <row r="5442">
      <c r="A5442" s="107">
        <v>1629731.0</v>
      </c>
      <c r="B5442" s="108" t="s">
        <v>246</v>
      </c>
      <c r="C5442" s="108" t="s">
        <v>1311</v>
      </c>
      <c r="D5442" s="112" t="s">
        <v>176</v>
      </c>
      <c r="E5442" s="112">
        <v>1250.8</v>
      </c>
      <c r="F5442" s="111" t="str">
        <f>DataPull!D5442</f>
        <v/>
      </c>
      <c r="G5442" s="94" t="str">
        <f t="shared" si="2"/>
        <v/>
      </c>
      <c r="H5442" s="94" t="str">
        <f t="shared" si="3"/>
        <v/>
      </c>
      <c r="I5442" s="94" t="str">
        <f t="shared" ref="I5442:J5442" si="5443">if(G5442 = "", , -G5442)</f>
        <v/>
      </c>
      <c r="J5442" s="94" t="str">
        <f t="shared" si="5443"/>
        <v/>
      </c>
      <c r="K5442" s="100"/>
      <c r="M5442" s="100"/>
      <c r="N5442" s="100"/>
      <c r="O5442" s="100"/>
      <c r="P5442" s="100"/>
    </row>
    <row r="5443">
      <c r="A5443" s="114">
        <v>1629731.0</v>
      </c>
      <c r="B5443" s="113" t="s">
        <v>247</v>
      </c>
      <c r="C5443" s="113" t="s">
        <v>1311</v>
      </c>
      <c r="D5443" s="112" t="s">
        <v>176</v>
      </c>
      <c r="E5443" s="112">
        <v>1315.7</v>
      </c>
      <c r="F5443" s="111" t="str">
        <f>DataPull!D5443</f>
        <v/>
      </c>
      <c r="G5443" s="94" t="str">
        <f t="shared" si="2"/>
        <v/>
      </c>
      <c r="H5443" s="94" t="str">
        <f t="shared" si="3"/>
        <v/>
      </c>
      <c r="I5443" s="94" t="str">
        <f t="shared" ref="I5443:J5443" si="5444">if(G5443 = "", , -G5443)</f>
        <v/>
      </c>
      <c r="J5443" s="94" t="str">
        <f t="shared" si="5444"/>
        <v/>
      </c>
      <c r="K5443" s="100"/>
      <c r="M5443" s="100"/>
      <c r="N5443" s="100"/>
      <c r="O5443" s="100"/>
      <c r="P5443" s="100"/>
    </row>
    <row r="5444">
      <c r="A5444" s="107">
        <v>1629734.0</v>
      </c>
      <c r="B5444" s="108" t="s">
        <v>193</v>
      </c>
      <c r="C5444" s="108" t="s">
        <v>1312</v>
      </c>
      <c r="D5444" s="112"/>
      <c r="E5444" s="112">
        <v>13.4</v>
      </c>
      <c r="F5444" s="111" t="str">
        <f>DataPull!D5444</f>
        <v/>
      </c>
      <c r="G5444" s="94" t="str">
        <f t="shared" si="2"/>
        <v/>
      </c>
      <c r="H5444" s="94" t="str">
        <f t="shared" si="3"/>
        <v/>
      </c>
      <c r="I5444" s="94" t="str">
        <f t="shared" ref="I5444:J5444" si="5445">if(G5444 = "", , -G5444)</f>
        <v/>
      </c>
      <c r="J5444" s="94" t="str">
        <f t="shared" si="5445"/>
        <v/>
      </c>
      <c r="K5444" s="100"/>
      <c r="M5444" s="100"/>
      <c r="N5444" s="100"/>
      <c r="O5444" s="100"/>
      <c r="P5444" s="100"/>
    </row>
    <row r="5445">
      <c r="A5445" s="107">
        <v>1629735.0</v>
      </c>
      <c r="B5445" s="108" t="s">
        <v>193</v>
      </c>
      <c r="C5445" s="108" t="s">
        <v>1313</v>
      </c>
      <c r="D5445" s="112"/>
      <c r="E5445" s="112">
        <v>347.6</v>
      </c>
      <c r="F5445" s="111" t="str">
        <f>DataPull!D5445</f>
        <v/>
      </c>
      <c r="G5445" s="94" t="str">
        <f t="shared" si="2"/>
        <v/>
      </c>
      <c r="H5445" s="94" t="str">
        <f t="shared" si="3"/>
        <v/>
      </c>
      <c r="I5445" s="94" t="str">
        <f t="shared" ref="I5445:J5445" si="5446">if(G5445 = "", , -G5445)</f>
        <v/>
      </c>
      <c r="J5445" s="94" t="str">
        <f t="shared" si="5446"/>
        <v/>
      </c>
      <c r="K5445" s="100"/>
      <c r="M5445" s="100"/>
      <c r="N5445" s="100"/>
      <c r="O5445" s="100"/>
      <c r="P5445" s="100"/>
    </row>
    <row r="5446">
      <c r="A5446" s="107">
        <v>1629735.0</v>
      </c>
      <c r="B5446" s="108" t="s">
        <v>243</v>
      </c>
      <c r="C5446" s="108" t="s">
        <v>1313</v>
      </c>
      <c r="D5446" s="112"/>
      <c r="E5446" s="112">
        <v>93.0</v>
      </c>
      <c r="F5446" s="111" t="str">
        <f>DataPull!D5446</f>
        <v/>
      </c>
      <c r="G5446" s="94" t="str">
        <f t="shared" si="2"/>
        <v/>
      </c>
      <c r="H5446" s="94" t="str">
        <f t="shared" si="3"/>
        <v/>
      </c>
      <c r="I5446" s="94" t="str">
        <f t="shared" ref="I5446:J5446" si="5447">if(G5446 = "", , -G5446)</f>
        <v/>
      </c>
      <c r="J5446" s="94" t="str">
        <f t="shared" si="5447"/>
        <v/>
      </c>
      <c r="K5446" s="100"/>
      <c r="M5446" s="100"/>
      <c r="N5446" s="100"/>
      <c r="O5446" s="100"/>
      <c r="P5446" s="100"/>
    </row>
    <row r="5447">
      <c r="A5447" s="107">
        <v>1629735.0</v>
      </c>
      <c r="B5447" s="108" t="s">
        <v>215</v>
      </c>
      <c r="C5447" s="108" t="s">
        <v>1313</v>
      </c>
      <c r="D5447" s="112"/>
      <c r="E5447" s="112">
        <v>91.0</v>
      </c>
      <c r="F5447" s="111" t="str">
        <f>DataPull!D5447</f>
        <v/>
      </c>
      <c r="G5447" s="94" t="str">
        <f t="shared" si="2"/>
        <v/>
      </c>
      <c r="H5447" s="94" t="str">
        <f t="shared" si="3"/>
        <v/>
      </c>
      <c r="I5447" s="94" t="str">
        <f t="shared" ref="I5447:J5447" si="5448">if(G5447 = "", , -G5447)</f>
        <v/>
      </c>
      <c r="J5447" s="94" t="str">
        <f t="shared" si="5448"/>
        <v/>
      </c>
      <c r="K5447" s="100"/>
      <c r="M5447" s="100"/>
      <c r="N5447" s="100"/>
      <c r="O5447" s="100"/>
      <c r="P5447" s="100"/>
    </row>
    <row r="5448">
      <c r="A5448" s="107">
        <v>1629735.0</v>
      </c>
      <c r="B5448" s="108" t="s">
        <v>244</v>
      </c>
      <c r="C5448" s="108" t="s">
        <v>1313</v>
      </c>
      <c r="D5448" s="112"/>
      <c r="E5448" s="112">
        <v>3.0</v>
      </c>
      <c r="F5448" s="111" t="str">
        <f>DataPull!D5448</f>
        <v/>
      </c>
      <c r="G5448" s="94" t="str">
        <f t="shared" si="2"/>
        <v/>
      </c>
      <c r="H5448" s="94" t="str">
        <f t="shared" si="3"/>
        <v/>
      </c>
      <c r="I5448" s="94" t="str">
        <f t="shared" ref="I5448:J5448" si="5449">if(G5448 = "", , -G5448)</f>
        <v/>
      </c>
      <c r="J5448" s="94" t="str">
        <f t="shared" si="5449"/>
        <v/>
      </c>
      <c r="K5448" s="100"/>
      <c r="M5448" s="100"/>
      <c r="N5448" s="100"/>
      <c r="O5448" s="100"/>
      <c r="P5448" s="100"/>
    </row>
    <row r="5449">
      <c r="A5449" s="107">
        <v>1629738.0</v>
      </c>
      <c r="B5449" s="108" t="s">
        <v>193</v>
      </c>
      <c r="C5449" s="108" t="s">
        <v>1314</v>
      </c>
      <c r="D5449" s="112" t="s">
        <v>187</v>
      </c>
      <c r="E5449" s="112">
        <v>129.8</v>
      </c>
      <c r="F5449" s="111" t="str">
        <f>DataPull!D5449</f>
        <v/>
      </c>
      <c r="G5449" s="94" t="str">
        <f t="shared" si="2"/>
        <v/>
      </c>
      <c r="H5449" s="94" t="str">
        <f t="shared" si="3"/>
        <v/>
      </c>
      <c r="I5449" s="94" t="str">
        <f t="shared" ref="I5449:J5449" si="5450">if(G5449 = "", , -G5449)</f>
        <v/>
      </c>
      <c r="J5449" s="94" t="str">
        <f t="shared" si="5450"/>
        <v/>
      </c>
      <c r="K5449" s="100"/>
      <c r="L5449" s="100"/>
      <c r="N5449" s="100"/>
      <c r="O5449" s="100"/>
      <c r="P5449" s="100"/>
    </row>
    <row r="5450">
      <c r="A5450" s="107">
        <v>1629738.0</v>
      </c>
      <c r="B5450" s="108" t="s">
        <v>243</v>
      </c>
      <c r="C5450" s="108" t="s">
        <v>1314</v>
      </c>
      <c r="D5450" s="112" t="s">
        <v>187</v>
      </c>
      <c r="E5450" s="112">
        <v>39.0</v>
      </c>
      <c r="F5450" s="111" t="str">
        <f>DataPull!D5450</f>
        <v/>
      </c>
      <c r="G5450" s="94" t="str">
        <f t="shared" si="2"/>
        <v/>
      </c>
      <c r="H5450" s="94" t="str">
        <f t="shared" si="3"/>
        <v/>
      </c>
      <c r="I5450" s="94" t="str">
        <f t="shared" ref="I5450:J5450" si="5451">if(G5450 = "", , -G5450)</f>
        <v/>
      </c>
      <c r="J5450" s="94" t="str">
        <f t="shared" si="5451"/>
        <v/>
      </c>
      <c r="K5450" s="100"/>
      <c r="M5450" s="100"/>
      <c r="N5450" s="100"/>
      <c r="O5450" s="100"/>
      <c r="P5450" s="100"/>
    </row>
    <row r="5451">
      <c r="A5451" s="107">
        <v>1629739.0</v>
      </c>
      <c r="B5451" s="108" t="s">
        <v>193</v>
      </c>
      <c r="C5451" s="108" t="s">
        <v>1315</v>
      </c>
      <c r="D5451" s="112" t="s">
        <v>181</v>
      </c>
      <c r="E5451" s="112">
        <v>13.2</v>
      </c>
      <c r="F5451" s="111" t="str">
        <f>DataPull!D5451</f>
        <v/>
      </c>
      <c r="G5451" s="94" t="str">
        <f t="shared" si="2"/>
        <v/>
      </c>
      <c r="H5451" s="94" t="str">
        <f t="shared" si="3"/>
        <v/>
      </c>
      <c r="I5451" s="94" t="str">
        <f t="shared" ref="I5451:J5451" si="5452">if(G5451 = "", , -G5451)</f>
        <v/>
      </c>
      <c r="J5451" s="94" t="str">
        <f t="shared" si="5452"/>
        <v/>
      </c>
      <c r="K5451" s="100"/>
      <c r="M5451" s="100"/>
      <c r="N5451" s="100"/>
      <c r="O5451" s="100"/>
      <c r="P5451" s="100"/>
    </row>
    <row r="5452">
      <c r="A5452" s="107">
        <v>1629740.0</v>
      </c>
      <c r="B5452" s="108" t="s">
        <v>193</v>
      </c>
      <c r="C5452" s="108" t="s">
        <v>1316</v>
      </c>
      <c r="D5452" s="112" t="s">
        <v>177</v>
      </c>
      <c r="E5452" s="112">
        <v>1044.0</v>
      </c>
      <c r="F5452" s="111" t="str">
        <f>DataPull!D5452</f>
        <v/>
      </c>
      <c r="G5452" s="94" t="str">
        <f t="shared" si="2"/>
        <v/>
      </c>
      <c r="H5452" s="94" t="str">
        <f t="shared" si="3"/>
        <v/>
      </c>
      <c r="I5452" s="94" t="str">
        <f t="shared" ref="I5452:J5452" si="5453">if(G5452 = "", , -G5452)</f>
        <v/>
      </c>
      <c r="J5452" s="94" t="str">
        <f t="shared" si="5453"/>
        <v/>
      </c>
      <c r="K5452" s="100"/>
      <c r="M5452" s="100"/>
      <c r="N5452" s="100"/>
      <c r="O5452" s="100"/>
      <c r="P5452" s="100"/>
    </row>
    <row r="5453">
      <c r="A5453" s="107">
        <v>1629740.0</v>
      </c>
      <c r="B5453" s="108" t="s">
        <v>243</v>
      </c>
      <c r="C5453" s="108" t="s">
        <v>1316</v>
      </c>
      <c r="D5453" s="112" t="s">
        <v>177</v>
      </c>
      <c r="E5453" s="112">
        <v>567.0</v>
      </c>
      <c r="F5453" s="111" t="str">
        <f>DataPull!D5453</f>
        <v/>
      </c>
      <c r="G5453" s="94" t="str">
        <f t="shared" si="2"/>
        <v/>
      </c>
      <c r="H5453" s="94" t="str">
        <f t="shared" si="3"/>
        <v/>
      </c>
      <c r="I5453" s="94" t="str">
        <f t="shared" ref="I5453:J5453" si="5454">if(G5453 = "", , -G5453)</f>
        <v/>
      </c>
      <c r="J5453" s="94" t="str">
        <f t="shared" si="5454"/>
        <v/>
      </c>
      <c r="K5453" s="100"/>
      <c r="M5453" s="100"/>
      <c r="N5453" s="100"/>
      <c r="O5453" s="100"/>
      <c r="P5453" s="100"/>
    </row>
    <row r="5454">
      <c r="A5454" s="107">
        <v>1629741.0</v>
      </c>
      <c r="B5454" s="108" t="s">
        <v>193</v>
      </c>
      <c r="C5454" s="108" t="s">
        <v>1317</v>
      </c>
      <c r="D5454" s="112" t="s">
        <v>177</v>
      </c>
      <c r="E5454" s="112">
        <v>484.0</v>
      </c>
      <c r="F5454" s="111" t="str">
        <f>DataPull!D5454</f>
        <v/>
      </c>
      <c r="G5454" s="94" t="str">
        <f t="shared" si="2"/>
        <v/>
      </c>
      <c r="H5454" s="94" t="str">
        <f t="shared" si="3"/>
        <v/>
      </c>
      <c r="I5454" s="94" t="str">
        <f t="shared" ref="I5454:J5454" si="5455">if(G5454 = "", , -G5454)</f>
        <v/>
      </c>
      <c r="J5454" s="94" t="str">
        <f t="shared" si="5455"/>
        <v/>
      </c>
      <c r="K5454" s="100"/>
      <c r="M5454" s="100"/>
      <c r="N5454" s="100"/>
      <c r="O5454" s="100"/>
      <c r="P5454" s="100"/>
    </row>
    <row r="5455">
      <c r="A5455" s="107">
        <v>1629742.0</v>
      </c>
      <c r="B5455" s="108" t="s">
        <v>193</v>
      </c>
      <c r="C5455" s="108" t="s">
        <v>1318</v>
      </c>
      <c r="D5455" s="112"/>
      <c r="E5455" s="112">
        <v>15.2</v>
      </c>
      <c r="F5455" s="111" t="str">
        <f>DataPull!D5455</f>
        <v/>
      </c>
      <c r="G5455" s="94" t="str">
        <f t="shared" si="2"/>
        <v/>
      </c>
      <c r="H5455" s="94" t="str">
        <f t="shared" si="3"/>
        <v/>
      </c>
      <c r="I5455" s="94" t="str">
        <f t="shared" ref="I5455:J5455" si="5456">if(G5455 = "", , -G5455)</f>
        <v/>
      </c>
      <c r="J5455" s="94" t="str">
        <f t="shared" si="5456"/>
        <v/>
      </c>
      <c r="K5455" s="100"/>
      <c r="M5455" s="100"/>
      <c r="N5455" s="100"/>
      <c r="O5455" s="100"/>
      <c r="P5455" s="100"/>
    </row>
    <row r="5456">
      <c r="A5456" s="107">
        <v>1629743.0</v>
      </c>
      <c r="B5456" s="108" t="s">
        <v>193</v>
      </c>
      <c r="C5456" s="108" t="s">
        <v>1319</v>
      </c>
      <c r="D5456" s="112" t="s">
        <v>181</v>
      </c>
      <c r="E5456" s="112">
        <v>133.2</v>
      </c>
      <c r="F5456" s="111" t="str">
        <f>DataPull!D5456</f>
        <v/>
      </c>
      <c r="G5456" s="94" t="str">
        <f t="shared" si="2"/>
        <v/>
      </c>
      <c r="H5456" s="94" t="str">
        <f t="shared" si="3"/>
        <v/>
      </c>
      <c r="I5456" s="94" t="str">
        <f t="shared" ref="I5456:J5456" si="5457">if(G5456 = "", , -G5456)</f>
        <v/>
      </c>
      <c r="J5456" s="94" t="str">
        <f t="shared" si="5457"/>
        <v/>
      </c>
      <c r="K5456" s="100"/>
      <c r="L5456" s="100"/>
      <c r="N5456" s="100"/>
      <c r="O5456" s="100"/>
      <c r="P5456" s="100"/>
    </row>
    <row r="5457">
      <c r="A5457" s="107">
        <v>1629743.0</v>
      </c>
      <c r="B5457" s="108" t="s">
        <v>243</v>
      </c>
      <c r="C5457" s="108" t="s">
        <v>1319</v>
      </c>
      <c r="D5457" s="112" t="s">
        <v>187</v>
      </c>
      <c r="E5457" s="112">
        <v>179.4</v>
      </c>
      <c r="F5457" s="111" t="str">
        <f>DataPull!D5457</f>
        <v/>
      </c>
      <c r="G5457" s="94" t="str">
        <f t="shared" si="2"/>
        <v/>
      </c>
      <c r="H5457" s="94" t="str">
        <f t="shared" si="3"/>
        <v/>
      </c>
      <c r="I5457" s="94" t="str">
        <f t="shared" ref="I5457:J5457" si="5458">if(G5457 = "", , -G5457)</f>
        <v/>
      </c>
      <c r="J5457" s="94" t="str">
        <f t="shared" si="5458"/>
        <v/>
      </c>
      <c r="M5457" s="100"/>
      <c r="N5457" s="100"/>
      <c r="O5457" s="100"/>
    </row>
    <row r="5458">
      <c r="A5458" s="107">
        <v>1629744.0</v>
      </c>
      <c r="B5458" s="108" t="s">
        <v>193</v>
      </c>
      <c r="C5458" s="108" t="s">
        <v>1320</v>
      </c>
      <c r="D5458" s="112" t="s">
        <v>187</v>
      </c>
      <c r="E5458" s="112">
        <v>438.7</v>
      </c>
      <c r="F5458" s="111" t="str">
        <f>DataPull!D5458</f>
        <v/>
      </c>
      <c r="G5458" s="94" t="str">
        <f t="shared" si="2"/>
        <v/>
      </c>
      <c r="H5458" s="94" t="str">
        <f t="shared" si="3"/>
        <v/>
      </c>
      <c r="I5458" s="94" t="str">
        <f t="shared" ref="I5458:J5458" si="5459">if(G5458 = "", , -G5458)</f>
        <v/>
      </c>
      <c r="J5458" s="94" t="str">
        <f t="shared" si="5459"/>
        <v/>
      </c>
      <c r="K5458" s="100"/>
      <c r="L5458" s="100"/>
      <c r="N5458" s="100"/>
      <c r="O5458" s="100"/>
      <c r="P5458" s="100"/>
    </row>
    <row r="5459">
      <c r="A5459" s="107">
        <v>1629744.0</v>
      </c>
      <c r="B5459" s="108" t="s">
        <v>243</v>
      </c>
      <c r="C5459" s="108" t="s">
        <v>1320</v>
      </c>
      <c r="D5459" s="112" t="s">
        <v>187</v>
      </c>
      <c r="E5459" s="112">
        <v>328.5</v>
      </c>
      <c r="F5459" s="111" t="str">
        <f>DataPull!D5459</f>
        <v/>
      </c>
      <c r="G5459" s="94" t="str">
        <f t="shared" si="2"/>
        <v/>
      </c>
      <c r="H5459" s="94" t="str">
        <f t="shared" si="3"/>
        <v/>
      </c>
      <c r="I5459" s="94" t="str">
        <f t="shared" ref="I5459:J5459" si="5460">if(G5459 = "", , -G5459)</f>
        <v/>
      </c>
      <c r="J5459" s="94" t="str">
        <f t="shared" si="5460"/>
        <v/>
      </c>
      <c r="K5459" s="100"/>
      <c r="M5459" s="100"/>
      <c r="N5459" s="100"/>
      <c r="O5459" s="100"/>
      <c r="P5459" s="100"/>
    </row>
    <row r="5460">
      <c r="A5460" s="107">
        <v>1629744.0</v>
      </c>
      <c r="B5460" s="108" t="s">
        <v>215</v>
      </c>
      <c r="C5460" s="108" t="s">
        <v>1320</v>
      </c>
      <c r="D5460" s="112" t="s">
        <v>187</v>
      </c>
      <c r="E5460" s="112">
        <v>460.0</v>
      </c>
      <c r="F5460" s="111" t="str">
        <f>DataPull!D5460</f>
        <v/>
      </c>
      <c r="G5460" s="94" t="str">
        <f t="shared" si="2"/>
        <v/>
      </c>
      <c r="H5460" s="94" t="str">
        <f t="shared" si="3"/>
        <v/>
      </c>
      <c r="I5460" s="94" t="str">
        <f t="shared" ref="I5460:J5460" si="5461">if(G5460 = "", , -G5460)</f>
        <v/>
      </c>
      <c r="J5460" s="94" t="str">
        <f t="shared" si="5461"/>
        <v/>
      </c>
      <c r="K5460" s="100"/>
      <c r="M5460" s="100"/>
      <c r="N5460" s="100"/>
      <c r="O5460" s="100"/>
      <c r="P5460" s="100"/>
    </row>
    <row r="5461">
      <c r="A5461" s="107">
        <v>1629745.0</v>
      </c>
      <c r="B5461" s="108" t="s">
        <v>193</v>
      </c>
      <c r="C5461" s="108" t="s">
        <v>1321</v>
      </c>
      <c r="D5461" s="112" t="s">
        <v>181</v>
      </c>
      <c r="E5461" s="112">
        <v>15.3</v>
      </c>
      <c r="F5461" s="111" t="str">
        <f>DataPull!D5461</f>
        <v/>
      </c>
      <c r="G5461" s="94" t="str">
        <f t="shared" si="2"/>
        <v/>
      </c>
      <c r="H5461" s="94" t="str">
        <f t="shared" si="3"/>
        <v/>
      </c>
      <c r="I5461" s="94" t="str">
        <f t="shared" ref="I5461:J5461" si="5462">if(G5461 = "", , -G5461)</f>
        <v/>
      </c>
      <c r="J5461" s="94" t="str">
        <f t="shared" si="5462"/>
        <v/>
      </c>
      <c r="K5461" s="100"/>
      <c r="M5461" s="100"/>
      <c r="N5461" s="100"/>
      <c r="O5461" s="100"/>
      <c r="P5461" s="100"/>
    </row>
    <row r="5462">
      <c r="A5462" s="107">
        <v>1629750.0</v>
      </c>
      <c r="B5462" s="108" t="s">
        <v>193</v>
      </c>
      <c r="C5462" s="108" t="s">
        <v>1322</v>
      </c>
      <c r="D5462" s="112" t="s">
        <v>187</v>
      </c>
      <c r="E5462" s="112">
        <v>465.6</v>
      </c>
      <c r="F5462" s="111" t="str">
        <f>DataPull!D5462</f>
        <v/>
      </c>
      <c r="G5462" s="94" t="str">
        <f t="shared" si="2"/>
        <v/>
      </c>
      <c r="H5462" s="94" t="str">
        <f t="shared" si="3"/>
        <v/>
      </c>
      <c r="I5462" s="94" t="str">
        <f t="shared" ref="I5462:J5462" si="5463">if(G5462 = "", , -G5462)</f>
        <v/>
      </c>
      <c r="J5462" s="94" t="str">
        <f t="shared" si="5463"/>
        <v/>
      </c>
      <c r="K5462" s="100"/>
      <c r="M5462" s="100"/>
      <c r="N5462" s="100"/>
      <c r="O5462" s="100"/>
      <c r="P5462" s="100"/>
    </row>
    <row r="5463">
      <c r="A5463" s="107">
        <v>1629750.0</v>
      </c>
      <c r="B5463" s="108" t="s">
        <v>243</v>
      </c>
      <c r="C5463" s="108" t="s">
        <v>1322</v>
      </c>
      <c r="D5463" s="112" t="s">
        <v>177</v>
      </c>
      <c r="E5463" s="112">
        <v>475.6</v>
      </c>
      <c r="F5463" s="111" t="str">
        <f>DataPull!D5463</f>
        <v/>
      </c>
      <c r="G5463" s="94" t="str">
        <f t="shared" si="2"/>
        <v/>
      </c>
      <c r="H5463" s="94" t="str">
        <f t="shared" si="3"/>
        <v/>
      </c>
      <c r="I5463" s="94" t="str">
        <f t="shared" ref="I5463:J5463" si="5464">if(G5463 = "", , -G5463)</f>
        <v/>
      </c>
      <c r="J5463" s="94" t="str">
        <f t="shared" si="5464"/>
        <v/>
      </c>
      <c r="K5463" s="100"/>
      <c r="M5463" s="100"/>
      <c r="N5463" s="100"/>
      <c r="O5463" s="100"/>
      <c r="P5463" s="100"/>
    </row>
    <row r="5464">
      <c r="A5464" s="107">
        <v>1629750.0</v>
      </c>
      <c r="B5464" s="108" t="s">
        <v>215</v>
      </c>
      <c r="C5464" s="108" t="s">
        <v>1322</v>
      </c>
      <c r="D5464" s="112" t="s">
        <v>176</v>
      </c>
      <c r="E5464" s="112">
        <v>1521.0</v>
      </c>
      <c r="F5464" s="111" t="str">
        <f>DataPull!D5464</f>
        <v/>
      </c>
      <c r="G5464" s="94" t="str">
        <f t="shared" si="2"/>
        <v/>
      </c>
      <c r="H5464" s="94" t="str">
        <f t="shared" si="3"/>
        <v/>
      </c>
      <c r="I5464" s="94" t="str">
        <f t="shared" ref="I5464:J5464" si="5465">if(G5464 = "", , -G5464)</f>
        <v/>
      </c>
      <c r="J5464" s="94" t="str">
        <f t="shared" si="5465"/>
        <v/>
      </c>
      <c r="K5464" s="100"/>
      <c r="M5464" s="100"/>
      <c r="N5464" s="100"/>
      <c r="O5464" s="100"/>
      <c r="P5464" s="100"/>
    </row>
    <row r="5465">
      <c r="A5465" s="107">
        <v>1629750.0</v>
      </c>
      <c r="B5465" s="108" t="s">
        <v>244</v>
      </c>
      <c r="C5465" s="108" t="s">
        <v>1322</v>
      </c>
      <c r="D5465" s="112" t="s">
        <v>177</v>
      </c>
      <c r="E5465" s="112">
        <v>480.0</v>
      </c>
      <c r="F5465" s="111" t="str">
        <f>DataPull!D5465</f>
        <v/>
      </c>
      <c r="G5465" s="94" t="str">
        <f t="shared" si="2"/>
        <v/>
      </c>
      <c r="H5465" s="94" t="str">
        <f t="shared" si="3"/>
        <v/>
      </c>
      <c r="I5465" s="94" t="str">
        <f t="shared" ref="I5465:J5465" si="5466">if(G5465 = "", , -G5465)</f>
        <v/>
      </c>
      <c r="J5465" s="94" t="str">
        <f t="shared" si="5466"/>
        <v/>
      </c>
      <c r="K5465" s="100"/>
      <c r="M5465" s="100"/>
      <c r="N5465" s="100"/>
      <c r="O5465" s="100"/>
    </row>
    <row r="5466">
      <c r="A5466" s="107">
        <v>1629750.0</v>
      </c>
      <c r="B5466" s="108" t="s">
        <v>245</v>
      </c>
      <c r="C5466" s="108" t="s">
        <v>1322</v>
      </c>
      <c r="D5466" s="112" t="s">
        <v>187</v>
      </c>
      <c r="E5466" s="112">
        <v>230.4</v>
      </c>
      <c r="F5466" s="111" t="str">
        <f>DataPull!D5466</f>
        <v/>
      </c>
      <c r="G5466" s="94" t="str">
        <f t="shared" si="2"/>
        <v/>
      </c>
      <c r="H5466" s="94" t="str">
        <f t="shared" si="3"/>
        <v/>
      </c>
      <c r="I5466" s="94" t="str">
        <f t="shared" ref="I5466:J5466" si="5467">if(G5466 = "", , -G5466)</f>
        <v/>
      </c>
      <c r="J5466" s="94" t="str">
        <f t="shared" si="5467"/>
        <v/>
      </c>
      <c r="K5466" s="100"/>
      <c r="M5466" s="100"/>
      <c r="N5466" s="100"/>
      <c r="O5466" s="100"/>
      <c r="P5466" s="100"/>
    </row>
    <row r="5467">
      <c r="A5467" s="107">
        <v>1629750.0</v>
      </c>
      <c r="B5467" s="108" t="s">
        <v>246</v>
      </c>
      <c r="C5467" s="108" t="s">
        <v>1322</v>
      </c>
      <c r="D5467" s="112" t="s">
        <v>176</v>
      </c>
      <c r="E5467" s="112">
        <v>1258.0</v>
      </c>
      <c r="F5467" s="111" t="str">
        <f>DataPull!D5467</f>
        <v/>
      </c>
      <c r="G5467" s="94" t="str">
        <f t="shared" si="2"/>
        <v/>
      </c>
      <c r="H5467" s="94" t="str">
        <f t="shared" si="3"/>
        <v/>
      </c>
      <c r="I5467" s="94" t="str">
        <f t="shared" ref="I5467:J5467" si="5468">if(G5467 = "", , -G5467)</f>
        <v/>
      </c>
      <c r="J5467" s="94" t="str">
        <f t="shared" si="5468"/>
        <v/>
      </c>
      <c r="K5467" s="100"/>
      <c r="M5467" s="100"/>
      <c r="N5467" s="100"/>
      <c r="O5467" s="100"/>
      <c r="P5467" s="100"/>
    </row>
    <row r="5468">
      <c r="A5468" s="114">
        <v>1629750.0</v>
      </c>
      <c r="B5468" s="113" t="s">
        <v>247</v>
      </c>
      <c r="C5468" s="113" t="s">
        <v>1322</v>
      </c>
      <c r="D5468" s="112" t="s">
        <v>177</v>
      </c>
      <c r="E5468" s="112">
        <v>1443.2</v>
      </c>
      <c r="F5468" s="111" t="str">
        <f>DataPull!D5468</f>
        <v/>
      </c>
      <c r="G5468" s="94" t="str">
        <f t="shared" si="2"/>
        <v/>
      </c>
      <c r="H5468" s="94" t="str">
        <f t="shared" si="3"/>
        <v/>
      </c>
      <c r="I5468" s="94" t="str">
        <f t="shared" ref="I5468:J5468" si="5469">if(G5468 = "", , -G5468)</f>
        <v/>
      </c>
      <c r="J5468" s="94" t="str">
        <f t="shared" si="5469"/>
        <v/>
      </c>
      <c r="K5468" s="100"/>
      <c r="M5468" s="100"/>
      <c r="N5468" s="100"/>
      <c r="O5468" s="100"/>
      <c r="P5468" s="100"/>
    </row>
    <row r="5469">
      <c r="A5469" s="107">
        <v>1629751.0</v>
      </c>
      <c r="B5469" s="108" t="s">
        <v>243</v>
      </c>
      <c r="C5469" s="108" t="s">
        <v>1323</v>
      </c>
      <c r="D5469" s="112"/>
      <c r="E5469" s="112">
        <v>123.2</v>
      </c>
      <c r="F5469" s="111" t="str">
        <f>DataPull!D5469</f>
        <v/>
      </c>
      <c r="G5469" s="94" t="str">
        <f t="shared" si="2"/>
        <v/>
      </c>
      <c r="H5469" s="94" t="str">
        <f t="shared" si="3"/>
        <v/>
      </c>
      <c r="I5469" s="94" t="str">
        <f t="shared" ref="I5469:J5469" si="5470">if(G5469 = "", , -G5469)</f>
        <v/>
      </c>
      <c r="J5469" s="94" t="str">
        <f t="shared" si="5470"/>
        <v/>
      </c>
      <c r="K5469" s="100"/>
      <c r="M5469" s="100"/>
      <c r="N5469" s="100"/>
      <c r="O5469" s="100"/>
      <c r="P5469" s="100"/>
    </row>
    <row r="5470">
      <c r="A5470" s="107">
        <v>1629751.0</v>
      </c>
      <c r="B5470" s="108" t="s">
        <v>215</v>
      </c>
      <c r="C5470" s="108" t="s">
        <v>1323</v>
      </c>
      <c r="D5470" s="112"/>
      <c r="E5470" s="112">
        <v>16.2</v>
      </c>
      <c r="F5470" s="111" t="str">
        <f>DataPull!D5470</f>
        <v/>
      </c>
      <c r="G5470" s="94" t="str">
        <f t="shared" si="2"/>
        <v/>
      </c>
      <c r="H5470" s="94" t="str">
        <f t="shared" si="3"/>
        <v/>
      </c>
      <c r="I5470" s="94" t="str">
        <f t="shared" ref="I5470:J5470" si="5471">if(G5470 = "", , -G5470)</f>
        <v/>
      </c>
      <c r="J5470" s="94" t="str">
        <f t="shared" si="5471"/>
        <v/>
      </c>
      <c r="K5470" s="100"/>
      <c r="M5470" s="100"/>
      <c r="N5470" s="100"/>
      <c r="O5470" s="100"/>
      <c r="P5470" s="100"/>
    </row>
    <row r="5471">
      <c r="A5471" s="107">
        <v>1629752.0</v>
      </c>
      <c r="B5471" s="108" t="s">
        <v>193</v>
      </c>
      <c r="C5471" s="108" t="s">
        <v>1324</v>
      </c>
      <c r="D5471" s="112" t="s">
        <v>187</v>
      </c>
      <c r="E5471" s="112">
        <v>134.4</v>
      </c>
      <c r="F5471" s="111" t="str">
        <f>DataPull!D5471</f>
        <v/>
      </c>
      <c r="G5471" s="94" t="str">
        <f t="shared" si="2"/>
        <v/>
      </c>
      <c r="H5471" s="94" t="str">
        <f t="shared" si="3"/>
        <v/>
      </c>
      <c r="I5471" s="94" t="str">
        <f t="shared" ref="I5471:J5471" si="5472">if(G5471 = "", , -G5471)</f>
        <v/>
      </c>
      <c r="J5471" s="94" t="str">
        <f t="shared" si="5472"/>
        <v/>
      </c>
      <c r="K5471" s="100"/>
      <c r="L5471" s="100"/>
      <c r="N5471" s="100"/>
      <c r="O5471" s="100"/>
      <c r="P5471" s="100"/>
    </row>
    <row r="5472">
      <c r="A5472" s="107">
        <v>1629752.0</v>
      </c>
      <c r="B5472" s="108" t="s">
        <v>243</v>
      </c>
      <c r="C5472" s="108" t="s">
        <v>1324</v>
      </c>
      <c r="D5472" s="112" t="s">
        <v>187</v>
      </c>
      <c r="E5472" s="112">
        <v>147.9</v>
      </c>
      <c r="F5472" s="111" t="str">
        <f>DataPull!D5472</f>
        <v/>
      </c>
      <c r="G5472" s="94" t="str">
        <f t="shared" si="2"/>
        <v/>
      </c>
      <c r="H5472" s="94" t="str">
        <f t="shared" si="3"/>
        <v/>
      </c>
      <c r="I5472" s="94" t="str">
        <f t="shared" ref="I5472:J5472" si="5473">if(G5472 = "", , -G5472)</f>
        <v/>
      </c>
      <c r="J5472" s="94" t="str">
        <f t="shared" si="5473"/>
        <v/>
      </c>
      <c r="K5472" s="100"/>
      <c r="M5472" s="100"/>
      <c r="N5472" s="100"/>
      <c r="O5472" s="100"/>
      <c r="P5472" s="100"/>
    </row>
    <row r="5473">
      <c r="A5473" s="107">
        <v>1629752.0</v>
      </c>
      <c r="B5473" s="108" t="s">
        <v>215</v>
      </c>
      <c r="C5473" s="108" t="s">
        <v>1324</v>
      </c>
      <c r="D5473" s="112" t="s">
        <v>181</v>
      </c>
      <c r="E5473" s="112">
        <v>31.0</v>
      </c>
      <c r="F5473" s="111" t="str">
        <f>DataPull!D5473</f>
        <v/>
      </c>
      <c r="G5473" s="94" t="str">
        <f t="shared" si="2"/>
        <v/>
      </c>
      <c r="H5473" s="94" t="str">
        <f t="shared" si="3"/>
        <v/>
      </c>
      <c r="I5473" s="94" t="str">
        <f t="shared" ref="I5473:J5473" si="5474">if(G5473 = "", , -G5473)</f>
        <v/>
      </c>
      <c r="J5473" s="94" t="str">
        <f t="shared" si="5474"/>
        <v/>
      </c>
      <c r="K5473" s="100"/>
      <c r="M5473" s="100"/>
      <c r="N5473" s="100"/>
      <c r="O5473" s="100"/>
      <c r="P5473" s="100"/>
    </row>
    <row r="5474">
      <c r="A5474" s="107">
        <v>1629755.0</v>
      </c>
      <c r="B5474" s="108" t="s">
        <v>215</v>
      </c>
      <c r="C5474" s="108" t="s">
        <v>1325</v>
      </c>
      <c r="D5474" s="112" t="s">
        <v>181</v>
      </c>
      <c r="E5474" s="112">
        <v>171.2</v>
      </c>
      <c r="F5474" s="111" t="str">
        <f>DataPull!D5474</f>
        <v/>
      </c>
      <c r="G5474" s="94" t="str">
        <f t="shared" si="2"/>
        <v/>
      </c>
      <c r="H5474" s="94" t="str">
        <f t="shared" si="3"/>
        <v/>
      </c>
      <c r="I5474" s="94" t="str">
        <f t="shared" ref="I5474:J5474" si="5475">if(G5474 = "", , -G5474)</f>
        <v/>
      </c>
      <c r="J5474" s="94" t="str">
        <f t="shared" si="5475"/>
        <v/>
      </c>
      <c r="K5474" s="100"/>
      <c r="M5474" s="100"/>
      <c r="N5474" s="100"/>
      <c r="O5474" s="100"/>
      <c r="P5474" s="100"/>
    </row>
    <row r="5475">
      <c r="A5475" s="107">
        <v>1629760.0</v>
      </c>
      <c r="B5475" s="108" t="s">
        <v>193</v>
      </c>
      <c r="C5475" s="108" t="s">
        <v>1326</v>
      </c>
      <c r="D5475" s="112"/>
      <c r="E5475" s="112">
        <v>18.8</v>
      </c>
      <c r="F5475" s="111" t="str">
        <f>DataPull!D5475</f>
        <v/>
      </c>
      <c r="G5475" s="94" t="str">
        <f t="shared" si="2"/>
        <v/>
      </c>
      <c r="H5475" s="94" t="str">
        <f t="shared" si="3"/>
        <v/>
      </c>
      <c r="I5475" s="94" t="str">
        <f t="shared" ref="I5475:J5475" si="5476">if(G5475 = "", , -G5475)</f>
        <v/>
      </c>
      <c r="J5475" s="94" t="str">
        <f t="shared" si="5476"/>
        <v/>
      </c>
      <c r="K5475" s="100"/>
      <c r="M5475" s="100"/>
      <c r="N5475" s="100"/>
      <c r="O5475" s="100"/>
      <c r="P5475" s="100"/>
    </row>
    <row r="5476">
      <c r="A5476" s="107">
        <v>1629760.0</v>
      </c>
      <c r="B5476" s="108" t="s">
        <v>215</v>
      </c>
      <c r="C5476" s="108" t="s">
        <v>1326</v>
      </c>
      <c r="D5476" s="112"/>
      <c r="E5476" s="112">
        <v>1.9</v>
      </c>
      <c r="F5476" s="111" t="str">
        <f>DataPull!D5476</f>
        <v/>
      </c>
      <c r="G5476" s="94" t="str">
        <f t="shared" si="2"/>
        <v/>
      </c>
      <c r="H5476" s="94" t="str">
        <f t="shared" si="3"/>
        <v/>
      </c>
      <c r="I5476" s="94" t="str">
        <f t="shared" ref="I5476:J5476" si="5477">if(G5476 = "", , -G5476)</f>
        <v/>
      </c>
      <c r="J5476" s="94" t="str">
        <f t="shared" si="5477"/>
        <v/>
      </c>
      <c r="K5476" s="100"/>
      <c r="L5476" s="100"/>
      <c r="N5476" s="100"/>
      <c r="O5476" s="100"/>
      <c r="P5476" s="100"/>
    </row>
    <row r="5477">
      <c r="A5477" s="107">
        <v>1629783.0</v>
      </c>
      <c r="B5477" s="108" t="s">
        <v>215</v>
      </c>
      <c r="C5477" s="108" t="s">
        <v>1327</v>
      </c>
      <c r="D5477" s="112" t="s">
        <v>181</v>
      </c>
      <c r="E5477" s="112">
        <v>9.8</v>
      </c>
      <c r="F5477" s="111" t="str">
        <f>DataPull!D5477</f>
        <v/>
      </c>
      <c r="G5477" s="94" t="str">
        <f t="shared" si="2"/>
        <v/>
      </c>
      <c r="H5477" s="94" t="str">
        <f t="shared" si="3"/>
        <v/>
      </c>
      <c r="I5477" s="94" t="str">
        <f t="shared" ref="I5477:J5477" si="5478">if(G5477 = "", , -G5477)</f>
        <v/>
      </c>
      <c r="J5477" s="94" t="str">
        <f t="shared" si="5478"/>
        <v/>
      </c>
      <c r="K5477" s="100"/>
      <c r="M5477" s="100"/>
      <c r="N5477" s="100"/>
      <c r="O5477" s="100"/>
      <c r="P5477" s="100"/>
    </row>
    <row r="5478">
      <c r="A5478" s="107">
        <v>1629788.0</v>
      </c>
      <c r="B5478" s="108" t="s">
        <v>215</v>
      </c>
      <c r="C5478" s="108" t="s">
        <v>1328</v>
      </c>
      <c r="D5478" s="112" t="s">
        <v>181</v>
      </c>
      <c r="E5478" s="112">
        <v>1.9</v>
      </c>
      <c r="F5478" s="111" t="str">
        <f>DataPull!D5478</f>
        <v/>
      </c>
      <c r="G5478" s="94" t="str">
        <f t="shared" si="2"/>
        <v/>
      </c>
      <c r="H5478" s="94" t="str">
        <f t="shared" si="3"/>
        <v/>
      </c>
      <c r="I5478" s="94" t="str">
        <f t="shared" ref="I5478:J5478" si="5479">if(G5478 = "", , -G5478)</f>
        <v/>
      </c>
      <c r="J5478" s="94" t="str">
        <f t="shared" si="5479"/>
        <v/>
      </c>
      <c r="K5478" s="100"/>
      <c r="M5478" s="100"/>
      <c r="N5478" s="100"/>
      <c r="O5478" s="100"/>
      <c r="P5478" s="100"/>
    </row>
    <row r="5479">
      <c r="A5479" s="107">
        <v>1629833.0</v>
      </c>
      <c r="B5479" s="108" t="s">
        <v>243</v>
      </c>
      <c r="C5479" s="108" t="s">
        <v>1329</v>
      </c>
      <c r="D5479" s="112" t="s">
        <v>187</v>
      </c>
      <c r="E5479" s="112">
        <v>74.8</v>
      </c>
      <c r="F5479" s="111" t="str">
        <f>DataPull!D5479</f>
        <v/>
      </c>
      <c r="G5479" s="94" t="str">
        <f t="shared" si="2"/>
        <v/>
      </c>
      <c r="H5479" s="94" t="str">
        <f t="shared" si="3"/>
        <v/>
      </c>
      <c r="I5479" s="94" t="str">
        <f t="shared" ref="I5479:J5479" si="5480">if(G5479 = "", , -G5479)</f>
        <v/>
      </c>
      <c r="J5479" s="94" t="str">
        <f t="shared" si="5480"/>
        <v/>
      </c>
      <c r="K5479" s="100"/>
      <c r="L5479" s="100"/>
      <c r="N5479" s="100"/>
      <c r="O5479" s="100"/>
      <c r="P5479" s="100"/>
    </row>
    <row r="5480">
      <c r="A5480" s="107">
        <v>1629833.0</v>
      </c>
      <c r="B5480" s="108" t="s">
        <v>215</v>
      </c>
      <c r="C5480" s="108" t="s">
        <v>1329</v>
      </c>
      <c r="D5480" s="112" t="s">
        <v>177</v>
      </c>
      <c r="E5480" s="112">
        <v>350.3</v>
      </c>
      <c r="F5480" s="111" t="str">
        <f>DataPull!D5480</f>
        <v/>
      </c>
      <c r="G5480" s="94" t="str">
        <f t="shared" si="2"/>
        <v/>
      </c>
      <c r="H5480" s="94" t="str">
        <f t="shared" si="3"/>
        <v/>
      </c>
      <c r="I5480" s="94" t="str">
        <f t="shared" ref="I5480:J5480" si="5481">if(G5480 = "", , -G5480)</f>
        <v/>
      </c>
      <c r="J5480" s="94" t="str">
        <f t="shared" si="5481"/>
        <v/>
      </c>
      <c r="K5480" s="100"/>
      <c r="M5480" s="100"/>
      <c r="N5480" s="100"/>
      <c r="O5480" s="100"/>
      <c r="P5480" s="100"/>
    </row>
    <row r="5481">
      <c r="A5481" s="107">
        <v>1629873.0</v>
      </c>
      <c r="B5481" s="108" t="s">
        <v>215</v>
      </c>
      <c r="C5481" s="108" t="s">
        <v>1330</v>
      </c>
      <c r="D5481" s="112" t="s">
        <v>181</v>
      </c>
      <c r="E5481" s="112">
        <v>6.6</v>
      </c>
      <c r="F5481" s="111" t="str">
        <f>DataPull!D5481</f>
        <v/>
      </c>
      <c r="G5481" s="94" t="str">
        <f t="shared" si="2"/>
        <v/>
      </c>
      <c r="H5481" s="94" t="str">
        <f t="shared" si="3"/>
        <v/>
      </c>
      <c r="I5481" s="94" t="str">
        <f t="shared" ref="I5481:J5481" si="5482">if(G5481 = "", , -G5481)</f>
        <v/>
      </c>
      <c r="J5481" s="94" t="str">
        <f t="shared" si="5482"/>
        <v/>
      </c>
      <c r="K5481" s="100"/>
      <c r="M5481" s="100"/>
      <c r="N5481" s="100"/>
      <c r="O5481" s="100"/>
      <c r="P5481" s="100"/>
    </row>
    <row r="5482">
      <c r="A5482" s="107">
        <v>1629875.0</v>
      </c>
      <c r="B5482" s="108" t="s">
        <v>215</v>
      </c>
      <c r="C5482" s="108" t="s">
        <v>1331</v>
      </c>
      <c r="D5482" s="112" t="s">
        <v>187</v>
      </c>
      <c r="E5482" s="112">
        <v>137.0</v>
      </c>
      <c r="F5482" s="111" t="str">
        <f>DataPull!D5482</f>
        <v/>
      </c>
      <c r="G5482" s="94" t="str">
        <f t="shared" si="2"/>
        <v/>
      </c>
      <c r="H5482" s="94" t="str">
        <f t="shared" si="3"/>
        <v/>
      </c>
      <c r="I5482" s="94" t="str">
        <f t="shared" ref="I5482:J5482" si="5483">if(G5482 = "", , -G5482)</f>
        <v/>
      </c>
      <c r="J5482" s="94" t="str">
        <f t="shared" si="5483"/>
        <v/>
      </c>
      <c r="K5482" s="100"/>
      <c r="M5482" s="100"/>
      <c r="N5482" s="100"/>
      <c r="O5482" s="100"/>
      <c r="P5482" s="100"/>
    </row>
    <row r="5483">
      <c r="A5483" s="107">
        <v>1629875.0</v>
      </c>
      <c r="B5483" s="108" t="s">
        <v>244</v>
      </c>
      <c r="C5483" s="108" t="s">
        <v>1331</v>
      </c>
      <c r="D5483" s="112" t="s">
        <v>181</v>
      </c>
      <c r="E5483" s="112">
        <v>19.6</v>
      </c>
      <c r="F5483" s="111" t="str">
        <f>DataPull!D5483</f>
        <v/>
      </c>
      <c r="G5483" s="94" t="str">
        <f t="shared" si="2"/>
        <v/>
      </c>
      <c r="H5483" s="94" t="str">
        <f t="shared" si="3"/>
        <v/>
      </c>
      <c r="I5483" s="94" t="str">
        <f t="shared" ref="I5483:J5483" si="5484">if(G5483 = "", , -G5483)</f>
        <v/>
      </c>
      <c r="J5483" s="94" t="str">
        <f t="shared" si="5484"/>
        <v/>
      </c>
      <c r="K5483" s="100"/>
      <c r="M5483" s="100"/>
      <c r="N5483" s="100"/>
      <c r="O5483" s="100"/>
      <c r="P5483" s="100"/>
    </row>
    <row r="5484">
      <c r="A5484" s="107">
        <v>1629875.0</v>
      </c>
      <c r="B5484" s="108" t="s">
        <v>245</v>
      </c>
      <c r="C5484" s="108" t="s">
        <v>1331</v>
      </c>
      <c r="D5484" s="112" t="s">
        <v>187</v>
      </c>
      <c r="E5484" s="112">
        <v>119.0</v>
      </c>
      <c r="F5484" s="111" t="str">
        <f>DataPull!D5484</f>
        <v/>
      </c>
      <c r="G5484" s="94" t="str">
        <f t="shared" si="2"/>
        <v/>
      </c>
      <c r="H5484" s="94" t="str">
        <f t="shared" si="3"/>
        <v/>
      </c>
      <c r="I5484" s="94" t="str">
        <f t="shared" ref="I5484:J5484" si="5485">if(G5484 = "", , -G5484)</f>
        <v/>
      </c>
      <c r="J5484" s="94" t="str">
        <f t="shared" si="5485"/>
        <v/>
      </c>
      <c r="K5484" s="100"/>
      <c r="M5484" s="100"/>
      <c r="N5484" s="100"/>
      <c r="O5484" s="100"/>
      <c r="P5484" s="100"/>
    </row>
    <row r="5485">
      <c r="A5485" s="107">
        <v>1629958.0</v>
      </c>
      <c r="B5485" s="108" t="s">
        <v>215</v>
      </c>
      <c r="C5485" s="108" t="s">
        <v>1332</v>
      </c>
      <c r="D5485" s="112" t="s">
        <v>181</v>
      </c>
      <c r="E5485" s="112">
        <v>0.8</v>
      </c>
      <c r="F5485" s="111" t="str">
        <f>DataPull!D5485</f>
        <v/>
      </c>
      <c r="G5485" s="94" t="str">
        <f t="shared" si="2"/>
        <v/>
      </c>
      <c r="H5485" s="94" t="str">
        <f t="shared" si="3"/>
        <v/>
      </c>
      <c r="I5485" s="94" t="str">
        <f t="shared" ref="I5485:J5485" si="5486">if(G5485 = "", , -G5485)</f>
        <v/>
      </c>
      <c r="J5485" s="94" t="str">
        <f t="shared" si="5486"/>
        <v/>
      </c>
      <c r="K5485" s="100"/>
      <c r="M5485" s="100"/>
      <c r="N5485" s="100"/>
      <c r="O5485" s="100"/>
      <c r="P5485" s="100"/>
    </row>
    <row r="5486">
      <c r="A5486" s="107">
        <v>1629962.0</v>
      </c>
      <c r="B5486" s="108" t="s">
        <v>243</v>
      </c>
      <c r="C5486" s="108" t="s">
        <v>1333</v>
      </c>
      <c r="D5486" s="112"/>
      <c r="E5486" s="112">
        <v>74.4</v>
      </c>
      <c r="F5486" s="111" t="str">
        <f>DataPull!D5486</f>
        <v/>
      </c>
      <c r="G5486" s="94" t="str">
        <f t="shared" si="2"/>
        <v/>
      </c>
      <c r="H5486" s="94" t="str">
        <f t="shared" si="3"/>
        <v/>
      </c>
      <c r="I5486" s="94" t="str">
        <f t="shared" ref="I5486:J5486" si="5487">if(G5486 = "", , -G5486)</f>
        <v/>
      </c>
      <c r="J5486" s="94" t="str">
        <f t="shared" si="5487"/>
        <v/>
      </c>
      <c r="K5486" s="100"/>
      <c r="M5486" s="100"/>
      <c r="N5486" s="100"/>
      <c r="O5486" s="100"/>
      <c r="P5486" s="100"/>
    </row>
    <row r="5487">
      <c r="A5487" s="107">
        <v>1629962.0</v>
      </c>
      <c r="B5487" s="108" t="s">
        <v>215</v>
      </c>
      <c r="C5487" s="108" t="s">
        <v>1333</v>
      </c>
      <c r="D5487" s="112"/>
      <c r="E5487" s="112">
        <v>144.5</v>
      </c>
      <c r="F5487" s="111" t="str">
        <f>DataPull!D5487</f>
        <v/>
      </c>
      <c r="G5487" s="94" t="str">
        <f t="shared" si="2"/>
        <v/>
      </c>
      <c r="H5487" s="94" t="str">
        <f t="shared" si="3"/>
        <v/>
      </c>
      <c r="I5487" s="94" t="str">
        <f t="shared" ref="I5487:J5487" si="5488">if(G5487 = "", , -G5487)</f>
        <v/>
      </c>
      <c r="J5487" s="94" t="str">
        <f t="shared" si="5488"/>
        <v/>
      </c>
      <c r="K5487" s="100"/>
      <c r="M5487" s="100"/>
      <c r="N5487" s="100"/>
      <c r="O5487" s="100"/>
      <c r="P5487" s="100"/>
    </row>
    <row r="5488">
      <c r="A5488" s="107">
        <v>1630162.0</v>
      </c>
      <c r="B5488" s="108" t="s">
        <v>243</v>
      </c>
      <c r="C5488" s="108" t="s">
        <v>1334</v>
      </c>
      <c r="D5488" s="112" t="s">
        <v>178</v>
      </c>
      <c r="E5488" s="112">
        <v>2311.2</v>
      </c>
      <c r="F5488" s="111" t="str">
        <f>DataPull!D5488</f>
        <v/>
      </c>
      <c r="G5488" s="94" t="str">
        <f t="shared" si="2"/>
        <v/>
      </c>
      <c r="H5488" s="94" t="str">
        <f t="shared" si="3"/>
        <v/>
      </c>
      <c r="I5488" s="94" t="str">
        <f t="shared" ref="I5488:J5488" si="5489">if(G5488 = "", , -G5488)</f>
        <v/>
      </c>
      <c r="J5488" s="94" t="str">
        <f t="shared" si="5489"/>
        <v/>
      </c>
      <c r="K5488" s="100"/>
      <c r="M5488" s="100"/>
      <c r="N5488" s="100"/>
      <c r="O5488" s="100"/>
      <c r="P5488" s="100"/>
    </row>
    <row r="5489">
      <c r="A5489" s="107">
        <v>1630162.0</v>
      </c>
      <c r="B5489" s="108" t="s">
        <v>215</v>
      </c>
      <c r="C5489" s="108" t="s">
        <v>1334</v>
      </c>
      <c r="D5489" s="112" t="s">
        <v>178</v>
      </c>
      <c r="E5489" s="112">
        <v>2462.4</v>
      </c>
      <c r="F5489" s="111" t="str">
        <f>DataPull!D5489</f>
        <v/>
      </c>
      <c r="G5489" s="94" t="str">
        <f t="shared" si="2"/>
        <v/>
      </c>
      <c r="H5489" s="94" t="str">
        <f t="shared" si="3"/>
        <v/>
      </c>
      <c r="I5489" s="94" t="str">
        <f t="shared" ref="I5489:J5489" si="5490">if(G5489 = "", , -G5489)</f>
        <v/>
      </c>
      <c r="J5489" s="94" t="str">
        <f t="shared" si="5490"/>
        <v/>
      </c>
      <c r="K5489" s="100"/>
      <c r="L5489" s="100"/>
      <c r="N5489" s="100"/>
      <c r="O5489" s="100"/>
      <c r="P5489" s="100"/>
    </row>
    <row r="5490">
      <c r="A5490" s="107">
        <v>1630162.0</v>
      </c>
      <c r="B5490" s="108" t="s">
        <v>244</v>
      </c>
      <c r="C5490" s="108" t="s">
        <v>1334</v>
      </c>
      <c r="D5490" s="112" t="s">
        <v>178</v>
      </c>
      <c r="E5490" s="112">
        <v>2844.0</v>
      </c>
      <c r="F5490" s="111" t="str">
        <f>DataPull!D5490</f>
        <v/>
      </c>
      <c r="G5490" s="94" t="str">
        <f t="shared" si="2"/>
        <v/>
      </c>
      <c r="H5490" s="94" t="str">
        <f t="shared" si="3"/>
        <v/>
      </c>
      <c r="I5490" s="94" t="str">
        <f t="shared" ref="I5490:J5490" si="5491">if(G5490 = "", , -G5490)</f>
        <v/>
      </c>
      <c r="J5490" s="94" t="str">
        <f t="shared" si="5491"/>
        <v/>
      </c>
      <c r="K5490" s="100"/>
      <c r="L5490" s="100"/>
      <c r="M5490" s="100"/>
      <c r="N5490" s="100"/>
      <c r="O5490" s="100"/>
      <c r="P5490" s="100"/>
    </row>
    <row r="5491">
      <c r="A5491" s="107">
        <v>1630162.0</v>
      </c>
      <c r="B5491" s="108" t="s">
        <v>245</v>
      </c>
      <c r="C5491" s="108" t="s">
        <v>1334</v>
      </c>
      <c r="D5491" s="112" t="s">
        <v>184</v>
      </c>
      <c r="E5491" s="112">
        <v>2772.9</v>
      </c>
      <c r="F5491" s="111" t="str">
        <f>DataPull!D5491</f>
        <v/>
      </c>
      <c r="G5491" s="94" t="str">
        <f t="shared" si="2"/>
        <v/>
      </c>
      <c r="H5491" s="94" t="str">
        <f t="shared" si="3"/>
        <v/>
      </c>
      <c r="I5491" s="94" t="str">
        <f t="shared" ref="I5491:J5491" si="5492">if(G5491 = "", , -G5491)</f>
        <v/>
      </c>
      <c r="J5491" s="94" t="str">
        <f t="shared" si="5492"/>
        <v/>
      </c>
      <c r="K5491" s="100"/>
      <c r="M5491" s="100"/>
      <c r="N5491" s="100"/>
      <c r="O5491" s="100"/>
      <c r="P5491" s="100"/>
    </row>
    <row r="5492">
      <c r="A5492" s="107">
        <v>1630162.0</v>
      </c>
      <c r="B5492" s="108" t="s">
        <v>246</v>
      </c>
      <c r="C5492" s="108" t="s">
        <v>1334</v>
      </c>
      <c r="D5492" s="112" t="s">
        <v>184</v>
      </c>
      <c r="E5492" s="112">
        <v>2867.7</v>
      </c>
      <c r="F5492" s="111" t="str">
        <f>DataPull!D5492</f>
        <v/>
      </c>
      <c r="G5492" s="94" t="str">
        <f t="shared" si="2"/>
        <v/>
      </c>
      <c r="H5492" s="94" t="str">
        <f t="shared" si="3"/>
        <v/>
      </c>
      <c r="I5492" s="94" t="str">
        <f t="shared" ref="I5492:J5492" si="5493">if(G5492 = "", , -G5492)</f>
        <v/>
      </c>
      <c r="J5492" s="94" t="str">
        <f t="shared" si="5493"/>
        <v/>
      </c>
      <c r="K5492" s="100"/>
      <c r="L5492" s="100"/>
      <c r="M5492" s="100"/>
      <c r="N5492" s="100"/>
      <c r="O5492" s="100"/>
      <c r="P5492" s="100"/>
    </row>
    <row r="5493">
      <c r="A5493" s="114">
        <v>1630162.0</v>
      </c>
      <c r="B5493" s="113" t="s">
        <v>247</v>
      </c>
      <c r="C5493" s="113" t="s">
        <v>1334</v>
      </c>
      <c r="D5493" s="112" t="s">
        <v>184</v>
      </c>
      <c r="E5493" s="112">
        <v>2135.0</v>
      </c>
      <c r="F5493" s="111" t="str">
        <f>DataPull!D5493</f>
        <v/>
      </c>
      <c r="G5493" s="94" t="str">
        <f t="shared" si="2"/>
        <v/>
      </c>
      <c r="H5493" s="94" t="str">
        <f t="shared" si="3"/>
        <v/>
      </c>
      <c r="I5493" s="94" t="str">
        <f t="shared" ref="I5493:J5493" si="5494">if(G5493 = "", , -G5493)</f>
        <v/>
      </c>
      <c r="J5493" s="94" t="str">
        <f t="shared" si="5494"/>
        <v/>
      </c>
      <c r="K5493" s="100"/>
      <c r="M5493" s="100"/>
      <c r="N5493" s="100"/>
      <c r="O5493" s="100"/>
      <c r="P5493" s="100"/>
    </row>
    <row r="5494">
      <c r="A5494" s="107">
        <v>1630163.0</v>
      </c>
      <c r="B5494" s="108" t="s">
        <v>243</v>
      </c>
      <c r="C5494" s="108" t="s">
        <v>1335</v>
      </c>
      <c r="D5494" s="112" t="s">
        <v>176</v>
      </c>
      <c r="E5494" s="112">
        <v>1468.8</v>
      </c>
      <c r="F5494" s="111" t="str">
        <f>DataPull!D5494</f>
        <v/>
      </c>
      <c r="G5494" s="94" t="str">
        <f t="shared" si="2"/>
        <v/>
      </c>
      <c r="H5494" s="94" t="str">
        <f t="shared" si="3"/>
        <v/>
      </c>
      <c r="I5494" s="94" t="str">
        <f t="shared" ref="I5494:J5494" si="5495">if(G5494 = "", , -G5494)</f>
        <v/>
      </c>
      <c r="J5494" s="94" t="str">
        <f t="shared" si="5495"/>
        <v/>
      </c>
      <c r="K5494" s="100"/>
      <c r="M5494" s="100"/>
      <c r="N5494" s="100"/>
      <c r="O5494" s="100"/>
      <c r="P5494" s="100"/>
    </row>
    <row r="5495">
      <c r="A5495" s="107">
        <v>1630163.0</v>
      </c>
      <c r="B5495" s="108" t="s">
        <v>215</v>
      </c>
      <c r="C5495" s="108" t="s">
        <v>1335</v>
      </c>
      <c r="D5495" s="112" t="s">
        <v>184</v>
      </c>
      <c r="E5495" s="112">
        <v>2422.5</v>
      </c>
      <c r="F5495" s="111" t="str">
        <f>DataPull!D5495</f>
        <v/>
      </c>
      <c r="G5495" s="94" t="str">
        <f t="shared" si="2"/>
        <v/>
      </c>
      <c r="H5495" s="94" t="str">
        <f t="shared" si="3"/>
        <v/>
      </c>
      <c r="I5495" s="94" t="str">
        <f t="shared" ref="I5495:J5495" si="5496">if(G5495 = "", , -G5495)</f>
        <v/>
      </c>
      <c r="J5495" s="94" t="str">
        <f t="shared" si="5496"/>
        <v/>
      </c>
      <c r="K5495" s="100"/>
      <c r="M5495" s="100"/>
      <c r="N5495" s="100"/>
      <c r="O5495" s="100"/>
      <c r="P5495" s="100"/>
    </row>
    <row r="5496">
      <c r="A5496" s="107">
        <v>1630163.0</v>
      </c>
      <c r="B5496" s="108" t="s">
        <v>244</v>
      </c>
      <c r="C5496" s="108" t="s">
        <v>1335</v>
      </c>
      <c r="D5496" s="112" t="s">
        <v>184</v>
      </c>
      <c r="E5496" s="112">
        <v>1267.2</v>
      </c>
      <c r="F5496" s="111" t="str">
        <f>DataPull!D5496</f>
        <v/>
      </c>
      <c r="G5496" s="94" t="str">
        <f t="shared" si="2"/>
        <v/>
      </c>
      <c r="H5496" s="94" t="str">
        <f t="shared" si="3"/>
        <v/>
      </c>
      <c r="I5496" s="94" t="str">
        <f t="shared" ref="I5496:J5496" si="5497">if(G5496 = "", , -G5496)</f>
        <v/>
      </c>
      <c r="J5496" s="94" t="str">
        <f t="shared" si="5497"/>
        <v/>
      </c>
      <c r="K5496" s="100"/>
      <c r="M5496" s="100"/>
      <c r="N5496" s="100"/>
      <c r="O5496" s="100"/>
      <c r="P5496" s="100"/>
    </row>
    <row r="5497">
      <c r="A5497" s="107">
        <v>1630163.0</v>
      </c>
      <c r="B5497" s="108" t="s">
        <v>245</v>
      </c>
      <c r="C5497" s="108" t="s">
        <v>1335</v>
      </c>
      <c r="D5497" s="112" t="s">
        <v>184</v>
      </c>
      <c r="E5497" s="112">
        <v>710.6</v>
      </c>
      <c r="F5497" s="111" t="str">
        <f>DataPull!D5497</f>
        <v/>
      </c>
      <c r="G5497" s="94" t="str">
        <f t="shared" si="2"/>
        <v/>
      </c>
      <c r="H5497" s="94" t="str">
        <f t="shared" si="3"/>
        <v/>
      </c>
      <c r="I5497" s="94" t="str">
        <f t="shared" ref="I5497:J5497" si="5498">if(G5497 = "", , -G5497)</f>
        <v/>
      </c>
      <c r="J5497" s="94" t="str">
        <f t="shared" si="5498"/>
        <v/>
      </c>
      <c r="K5497" s="100"/>
      <c r="M5497" s="100"/>
      <c r="N5497" s="100"/>
      <c r="O5497" s="100"/>
      <c r="P5497" s="100"/>
    </row>
    <row r="5498">
      <c r="A5498" s="107">
        <v>1630163.0</v>
      </c>
      <c r="B5498" s="108" t="s">
        <v>246</v>
      </c>
      <c r="C5498" s="108" t="s">
        <v>1335</v>
      </c>
      <c r="D5498" s="112" t="s">
        <v>184</v>
      </c>
      <c r="E5498" s="112">
        <v>1504.0</v>
      </c>
      <c r="F5498" s="111" t="str">
        <f>DataPull!D5498</f>
        <v/>
      </c>
      <c r="G5498" s="94" t="str">
        <f t="shared" si="2"/>
        <v/>
      </c>
      <c r="H5498" s="94" t="str">
        <f t="shared" si="3"/>
        <v/>
      </c>
      <c r="I5498" s="94" t="str">
        <f t="shared" ref="I5498:J5498" si="5499">if(G5498 = "", , -G5498)</f>
        <v/>
      </c>
      <c r="J5498" s="94" t="str">
        <f t="shared" si="5499"/>
        <v/>
      </c>
      <c r="K5498" s="100"/>
      <c r="M5498" s="100"/>
      <c r="N5498" s="100"/>
      <c r="O5498" s="100"/>
      <c r="P5498" s="100"/>
    </row>
    <row r="5499">
      <c r="A5499" s="114">
        <v>1630163.0</v>
      </c>
      <c r="B5499" s="113" t="s">
        <v>247</v>
      </c>
      <c r="C5499" s="113" t="s">
        <v>1335</v>
      </c>
      <c r="D5499" s="112" t="s">
        <v>184</v>
      </c>
      <c r="E5499" s="112">
        <v>2016.0</v>
      </c>
      <c r="F5499" s="111" t="str">
        <f>DataPull!D5499</f>
        <v/>
      </c>
      <c r="G5499" s="94" t="str">
        <f t="shared" si="2"/>
        <v/>
      </c>
      <c r="H5499" s="94" t="str">
        <f t="shared" si="3"/>
        <v/>
      </c>
      <c r="I5499" s="94" t="str">
        <f t="shared" ref="I5499:J5499" si="5500">if(G5499 = "", , -G5499)</f>
        <v/>
      </c>
      <c r="J5499" s="94" t="str">
        <f t="shared" si="5500"/>
        <v/>
      </c>
      <c r="K5499" s="100"/>
      <c r="M5499" s="100"/>
      <c r="N5499" s="100"/>
      <c r="O5499" s="100"/>
      <c r="P5499" s="100"/>
    </row>
    <row r="5500">
      <c r="A5500" s="107">
        <v>1630164.0</v>
      </c>
      <c r="B5500" s="108" t="s">
        <v>243</v>
      </c>
      <c r="C5500" s="108" t="s">
        <v>1336</v>
      </c>
      <c r="D5500" s="112" t="s">
        <v>178</v>
      </c>
      <c r="E5500" s="112">
        <v>834.6</v>
      </c>
      <c r="F5500" s="111" t="str">
        <f>DataPull!D5500</f>
        <v/>
      </c>
      <c r="G5500" s="94" t="str">
        <f t="shared" si="2"/>
        <v/>
      </c>
      <c r="H5500" s="94" t="str">
        <f t="shared" si="3"/>
        <v/>
      </c>
      <c r="I5500" s="94" t="str">
        <f t="shared" ref="I5500:J5500" si="5501">if(G5500 = "", , -G5500)</f>
        <v/>
      </c>
      <c r="J5500" s="94" t="str">
        <f t="shared" si="5501"/>
        <v/>
      </c>
      <c r="K5500" s="100"/>
      <c r="M5500" s="100"/>
      <c r="N5500" s="100"/>
      <c r="O5500" s="100"/>
      <c r="P5500" s="100"/>
    </row>
    <row r="5501">
      <c r="A5501" s="107">
        <v>1630164.0</v>
      </c>
      <c r="B5501" s="108" t="s">
        <v>244</v>
      </c>
      <c r="C5501" s="108" t="s">
        <v>1336</v>
      </c>
      <c r="D5501" s="112" t="s">
        <v>176</v>
      </c>
      <c r="E5501" s="112">
        <v>868.5</v>
      </c>
      <c r="F5501" s="111" t="str">
        <f>DataPull!D5501</f>
        <v/>
      </c>
      <c r="G5501" s="94" t="str">
        <f t="shared" si="2"/>
        <v/>
      </c>
      <c r="H5501" s="94" t="str">
        <f t="shared" si="3"/>
        <v/>
      </c>
      <c r="I5501" s="94" t="str">
        <f t="shared" ref="I5501:J5501" si="5502">if(G5501 = "", , -G5501)</f>
        <v/>
      </c>
      <c r="J5501" s="94" t="str">
        <f t="shared" si="5502"/>
        <v/>
      </c>
      <c r="K5501" s="100"/>
      <c r="L5501" s="100"/>
      <c r="N5501" s="100"/>
      <c r="O5501" s="100"/>
      <c r="P5501" s="100"/>
    </row>
    <row r="5502">
      <c r="A5502" s="107">
        <v>1630164.0</v>
      </c>
      <c r="B5502" s="108" t="s">
        <v>245</v>
      </c>
      <c r="C5502" s="108" t="s">
        <v>1336</v>
      </c>
      <c r="D5502" s="112" t="s">
        <v>177</v>
      </c>
      <c r="E5502" s="112">
        <v>1089.9</v>
      </c>
      <c r="F5502" s="111" t="str">
        <f>DataPull!D5502</f>
        <v/>
      </c>
      <c r="G5502" s="94" t="str">
        <f t="shared" si="2"/>
        <v/>
      </c>
      <c r="H5502" s="94" t="str">
        <f t="shared" si="3"/>
        <v/>
      </c>
      <c r="I5502" s="94" t="str">
        <f t="shared" ref="I5502:J5502" si="5503">if(G5502 = "", , -G5502)</f>
        <v/>
      </c>
      <c r="J5502" s="94" t="str">
        <f t="shared" si="5503"/>
        <v/>
      </c>
      <c r="K5502" s="100"/>
      <c r="M5502" s="100"/>
      <c r="N5502" s="100"/>
      <c r="O5502" s="100"/>
      <c r="P5502" s="100"/>
    </row>
    <row r="5503">
      <c r="A5503" s="107">
        <v>1630164.0</v>
      </c>
      <c r="B5503" s="108" t="s">
        <v>246</v>
      </c>
      <c r="C5503" s="108" t="s">
        <v>1336</v>
      </c>
      <c r="D5503" s="112" t="s">
        <v>181</v>
      </c>
      <c r="E5503" s="112">
        <v>4.6</v>
      </c>
      <c r="F5503" s="111" t="str">
        <f>DataPull!D5503</f>
        <v/>
      </c>
      <c r="G5503" s="94" t="str">
        <f t="shared" si="2"/>
        <v/>
      </c>
      <c r="H5503" s="94" t="str">
        <f t="shared" si="3"/>
        <v/>
      </c>
      <c r="I5503" s="94" t="str">
        <f t="shared" ref="I5503:J5503" si="5504">if(G5503 = "", , -G5503)</f>
        <v/>
      </c>
      <c r="J5503" s="94" t="str">
        <f t="shared" si="5504"/>
        <v/>
      </c>
      <c r="K5503" s="100"/>
      <c r="M5503" s="100"/>
      <c r="N5503" s="100"/>
      <c r="O5503" s="100"/>
      <c r="P5503" s="100"/>
    </row>
    <row r="5504">
      <c r="A5504" s="114">
        <v>1630164.0</v>
      </c>
      <c r="B5504" s="113" t="s">
        <v>247</v>
      </c>
      <c r="C5504" s="113" t="s">
        <v>1336</v>
      </c>
      <c r="D5504" s="112" t="s">
        <v>181</v>
      </c>
      <c r="E5504" s="112">
        <v>58.4</v>
      </c>
      <c r="F5504" s="111" t="str">
        <f>DataPull!D5504</f>
        <v/>
      </c>
      <c r="G5504" s="94" t="str">
        <f t="shared" si="2"/>
        <v/>
      </c>
      <c r="H5504" s="94" t="str">
        <f t="shared" si="3"/>
        <v/>
      </c>
      <c r="I5504" s="94" t="str">
        <f t="shared" ref="I5504:J5504" si="5505">if(G5504 = "", , -G5504)</f>
        <v/>
      </c>
      <c r="J5504" s="94" t="str">
        <f t="shared" si="5505"/>
        <v/>
      </c>
      <c r="K5504" s="100"/>
      <c r="M5504" s="100"/>
      <c r="N5504" s="100"/>
      <c r="O5504" s="100"/>
      <c r="P5504" s="100"/>
    </row>
    <row r="5505">
      <c r="A5505" s="107">
        <v>1630165.0</v>
      </c>
      <c r="B5505" s="108" t="s">
        <v>243</v>
      </c>
      <c r="C5505" s="108" t="s">
        <v>1337</v>
      </c>
      <c r="D5505" s="112" t="s">
        <v>176</v>
      </c>
      <c r="E5505" s="112">
        <v>670.8</v>
      </c>
      <c r="F5505" s="111" t="str">
        <f>DataPull!D5505</f>
        <v/>
      </c>
      <c r="G5505" s="94" t="str">
        <f t="shared" si="2"/>
        <v/>
      </c>
      <c r="H5505" s="94" t="str">
        <f t="shared" si="3"/>
        <v/>
      </c>
      <c r="I5505" s="94" t="str">
        <f t="shared" ref="I5505:J5505" si="5506">if(G5505 = "", , -G5505)</f>
        <v/>
      </c>
      <c r="J5505" s="94" t="str">
        <f t="shared" si="5506"/>
        <v/>
      </c>
      <c r="K5505" s="100"/>
      <c r="M5505" s="100"/>
      <c r="N5505" s="100"/>
      <c r="O5505" s="100"/>
      <c r="P5505" s="100"/>
    </row>
    <row r="5506">
      <c r="A5506" s="107">
        <v>1630165.0</v>
      </c>
      <c r="B5506" s="108" t="s">
        <v>215</v>
      </c>
      <c r="C5506" s="108" t="s">
        <v>1337</v>
      </c>
      <c r="D5506" s="112" t="s">
        <v>176</v>
      </c>
      <c r="E5506" s="112">
        <v>1650.0</v>
      </c>
      <c r="F5506" s="111" t="str">
        <f>DataPull!D5506</f>
        <v/>
      </c>
      <c r="G5506" s="94" t="str">
        <f t="shared" si="2"/>
        <v/>
      </c>
      <c r="H5506" s="94" t="str">
        <f t="shared" si="3"/>
        <v/>
      </c>
      <c r="I5506" s="94" t="str">
        <f t="shared" ref="I5506:J5506" si="5507">if(G5506 = "", , -G5506)</f>
        <v/>
      </c>
      <c r="J5506" s="94" t="str">
        <f t="shared" si="5507"/>
        <v/>
      </c>
      <c r="K5506" s="100"/>
      <c r="M5506" s="100"/>
      <c r="N5506" s="100"/>
      <c r="O5506" s="100"/>
      <c r="P5506" s="100"/>
    </row>
    <row r="5507">
      <c r="A5507" s="107">
        <v>1630165.0</v>
      </c>
      <c r="B5507" s="108" t="s">
        <v>244</v>
      </c>
      <c r="C5507" s="108" t="s">
        <v>1337</v>
      </c>
      <c r="D5507" s="112" t="s">
        <v>178</v>
      </c>
      <c r="E5507" s="112">
        <v>2150.8</v>
      </c>
      <c r="F5507" s="111" t="str">
        <f>DataPull!D5507</f>
        <v/>
      </c>
      <c r="G5507" s="94" t="str">
        <f t="shared" si="2"/>
        <v/>
      </c>
      <c r="H5507" s="94" t="str">
        <f t="shared" si="3"/>
        <v/>
      </c>
      <c r="I5507" s="94" t="str">
        <f t="shared" ref="I5507:J5507" si="5508">if(G5507 = "", , -G5507)</f>
        <v/>
      </c>
      <c r="J5507" s="94" t="str">
        <f t="shared" si="5508"/>
        <v/>
      </c>
      <c r="K5507" s="100"/>
      <c r="M5507" s="100"/>
      <c r="N5507" s="100"/>
      <c r="P5507" s="100"/>
    </row>
    <row r="5508">
      <c r="A5508" s="107">
        <v>1630165.0</v>
      </c>
      <c r="B5508" s="108" t="s">
        <v>245</v>
      </c>
      <c r="C5508" s="108" t="s">
        <v>1337</v>
      </c>
      <c r="D5508" s="112" t="s">
        <v>176</v>
      </c>
      <c r="E5508" s="112">
        <v>1008.0</v>
      </c>
      <c r="F5508" s="111" t="str">
        <f>DataPull!D5508</f>
        <v/>
      </c>
      <c r="G5508" s="94" t="str">
        <f t="shared" si="2"/>
        <v/>
      </c>
      <c r="H5508" s="94" t="str">
        <f t="shared" si="3"/>
        <v/>
      </c>
      <c r="I5508" s="94" t="str">
        <f t="shared" ref="I5508:J5508" si="5509">if(G5508 = "", , -G5508)</f>
        <v/>
      </c>
      <c r="J5508" s="94" t="str">
        <f t="shared" si="5509"/>
        <v/>
      </c>
      <c r="K5508" s="100"/>
      <c r="M5508" s="100"/>
      <c r="N5508" s="100"/>
      <c r="O5508" s="100"/>
      <c r="P5508" s="100"/>
    </row>
    <row r="5509">
      <c r="A5509" s="120">
        <v>1630165.0</v>
      </c>
      <c r="B5509" s="121" t="s">
        <v>246</v>
      </c>
      <c r="C5509" s="121" t="s">
        <v>1337</v>
      </c>
      <c r="D5509" s="122" t="s">
        <v>181</v>
      </c>
      <c r="E5509" s="122">
        <v>162.6</v>
      </c>
      <c r="F5509" s="111" t="str">
        <f>DataPull!D5509</f>
        <v/>
      </c>
      <c r="G5509" s="94" t="str">
        <f t="shared" si="2"/>
        <v/>
      </c>
      <c r="H5509" s="94" t="str">
        <f t="shared" si="3"/>
        <v/>
      </c>
      <c r="I5509" s="94" t="str">
        <f t="shared" ref="I5509:J5509" si="5510">if(G5509 = "", , -G5509)</f>
        <v/>
      </c>
      <c r="J5509" s="94" t="str">
        <f t="shared" si="5510"/>
        <v/>
      </c>
      <c r="K5509" s="100"/>
      <c r="M5509" s="100"/>
      <c r="N5509" s="100"/>
      <c r="O5509" s="100"/>
      <c r="P5509" s="100"/>
    </row>
    <row r="5510">
      <c r="A5510" s="126">
        <v>1630165.0</v>
      </c>
      <c r="B5510" s="127" t="s">
        <v>247</v>
      </c>
      <c r="C5510" s="127" t="s">
        <v>1337</v>
      </c>
      <c r="D5510" s="112"/>
      <c r="E5510" s="112">
        <v>404.8</v>
      </c>
      <c r="F5510" s="111" t="str">
        <f>DataPull!D5510</f>
        <v/>
      </c>
      <c r="G5510" s="94" t="str">
        <f t="shared" si="2"/>
        <v/>
      </c>
      <c r="H5510" s="94" t="str">
        <f t="shared" si="3"/>
        <v/>
      </c>
      <c r="I5510" s="94" t="str">
        <f t="shared" ref="I5510:J5510" si="5511">if(G5510 = "", , -G5510)</f>
        <v/>
      </c>
      <c r="J5510" s="94" t="str">
        <f t="shared" si="5511"/>
        <v/>
      </c>
      <c r="K5510" s="100"/>
      <c r="M5510" s="100"/>
      <c r="N5510" s="100"/>
      <c r="O5510" s="100"/>
      <c r="P5510" s="100"/>
    </row>
    <row r="5511">
      <c r="A5511" s="107">
        <v>1630166.0</v>
      </c>
      <c r="B5511" s="108" t="s">
        <v>243</v>
      </c>
      <c r="C5511" s="108" t="s">
        <v>1338</v>
      </c>
      <c r="D5511" s="112" t="s">
        <v>176</v>
      </c>
      <c r="E5511" s="112">
        <v>1258.2</v>
      </c>
      <c r="F5511" s="111" t="str">
        <f>DataPull!D5511</f>
        <v/>
      </c>
      <c r="G5511" s="94" t="str">
        <f t="shared" si="2"/>
        <v/>
      </c>
      <c r="H5511" s="94" t="str">
        <f t="shared" si="3"/>
        <v/>
      </c>
      <c r="I5511" s="94" t="str">
        <f t="shared" ref="I5511:J5511" si="5512">if(G5511 = "", , -G5511)</f>
        <v/>
      </c>
      <c r="J5511" s="94" t="str">
        <f t="shared" si="5512"/>
        <v/>
      </c>
      <c r="K5511" s="100"/>
      <c r="M5511" s="100"/>
      <c r="N5511" s="100"/>
      <c r="O5511" s="100"/>
      <c r="P5511" s="100"/>
    </row>
    <row r="5512">
      <c r="A5512" s="107">
        <v>1630166.0</v>
      </c>
      <c r="B5512" s="108" t="s">
        <v>215</v>
      </c>
      <c r="C5512" s="108" t="s">
        <v>1338</v>
      </c>
      <c r="D5512" s="112" t="s">
        <v>176</v>
      </c>
      <c r="E5512" s="112">
        <v>1984.4</v>
      </c>
      <c r="F5512" s="111" t="str">
        <f>DataPull!D5512</f>
        <v/>
      </c>
      <c r="G5512" s="94" t="str">
        <f t="shared" si="2"/>
        <v/>
      </c>
      <c r="H5512" s="94" t="str">
        <f t="shared" si="3"/>
        <v/>
      </c>
      <c r="I5512" s="94" t="str">
        <f t="shared" ref="I5512:J5512" si="5513">if(G5512 = "", , -G5512)</f>
        <v/>
      </c>
      <c r="J5512" s="94" t="str">
        <f t="shared" si="5513"/>
        <v/>
      </c>
      <c r="K5512" s="100"/>
      <c r="M5512" s="100"/>
      <c r="N5512" s="100"/>
      <c r="O5512" s="100"/>
      <c r="P5512" s="100"/>
    </row>
    <row r="5513">
      <c r="A5513" s="107">
        <v>1630166.0</v>
      </c>
      <c r="B5513" s="108" t="s">
        <v>244</v>
      </c>
      <c r="C5513" s="108" t="s">
        <v>1338</v>
      </c>
      <c r="D5513" s="112" t="s">
        <v>176</v>
      </c>
      <c r="E5513" s="112">
        <v>2021.6</v>
      </c>
      <c r="F5513" s="111" t="str">
        <f>DataPull!D5513</f>
        <v/>
      </c>
      <c r="G5513" s="94" t="str">
        <f t="shared" si="2"/>
        <v/>
      </c>
      <c r="H5513" s="94" t="str">
        <f t="shared" si="3"/>
        <v/>
      </c>
      <c r="I5513" s="94" t="str">
        <f t="shared" ref="I5513:J5513" si="5514">if(G5513 = "", , -G5513)</f>
        <v/>
      </c>
      <c r="J5513" s="94" t="str">
        <f t="shared" si="5514"/>
        <v/>
      </c>
      <c r="K5513" s="100"/>
      <c r="M5513" s="100"/>
      <c r="N5513" s="100"/>
      <c r="O5513" s="100"/>
      <c r="P5513" s="100"/>
    </row>
    <row r="5514">
      <c r="A5514" s="107">
        <v>1630166.0</v>
      </c>
      <c r="B5514" s="108" t="s">
        <v>245</v>
      </c>
      <c r="C5514" s="108" t="s">
        <v>1338</v>
      </c>
      <c r="D5514" s="112" t="s">
        <v>178</v>
      </c>
      <c r="E5514" s="112">
        <v>2257.5</v>
      </c>
      <c r="F5514" s="111" t="str">
        <f>DataPull!D5514</f>
        <v/>
      </c>
      <c r="G5514" s="94" t="str">
        <f t="shared" si="2"/>
        <v/>
      </c>
      <c r="H5514" s="94" t="str">
        <f t="shared" si="3"/>
        <v/>
      </c>
      <c r="I5514" s="94" t="str">
        <f t="shared" ref="I5514:J5514" si="5515">if(G5514 = "", , -G5514)</f>
        <v/>
      </c>
      <c r="J5514" s="94" t="str">
        <f t="shared" si="5515"/>
        <v/>
      </c>
      <c r="K5514" s="100"/>
      <c r="M5514" s="100"/>
      <c r="N5514" s="100"/>
      <c r="O5514" s="100"/>
      <c r="P5514" s="100"/>
    </row>
    <row r="5515">
      <c r="A5515" s="107">
        <v>1630166.0</v>
      </c>
      <c r="B5515" s="108" t="s">
        <v>246</v>
      </c>
      <c r="C5515" s="108" t="s">
        <v>1338</v>
      </c>
      <c r="D5515" s="112" t="s">
        <v>176</v>
      </c>
      <c r="E5515" s="112">
        <v>2160.0</v>
      </c>
      <c r="F5515" s="111" t="str">
        <f>DataPull!D5515</f>
        <v/>
      </c>
      <c r="G5515" s="94" t="str">
        <f t="shared" si="2"/>
        <v/>
      </c>
      <c r="H5515" s="94" t="str">
        <f t="shared" si="3"/>
        <v/>
      </c>
      <c r="I5515" s="94" t="str">
        <f t="shared" ref="I5515:J5515" si="5516">if(G5515 = "", , -G5515)</f>
        <v/>
      </c>
      <c r="J5515" s="94" t="str">
        <f t="shared" si="5516"/>
        <v/>
      </c>
      <c r="K5515" s="100"/>
      <c r="L5515" s="100"/>
      <c r="M5515" s="100"/>
      <c r="N5515" s="100"/>
      <c r="O5515" s="100"/>
      <c r="P5515" s="100"/>
    </row>
    <row r="5516">
      <c r="A5516" s="114">
        <v>1630166.0</v>
      </c>
      <c r="B5516" s="113" t="s">
        <v>247</v>
      </c>
      <c r="C5516" s="113" t="s">
        <v>1338</v>
      </c>
      <c r="D5516" s="112" t="s">
        <v>184</v>
      </c>
      <c r="E5516" s="112">
        <v>2197.8</v>
      </c>
      <c r="F5516" s="111" t="str">
        <f>DataPull!D5516</f>
        <v/>
      </c>
      <c r="G5516" s="94" t="str">
        <f t="shared" si="2"/>
        <v/>
      </c>
      <c r="H5516" s="94" t="str">
        <f t="shared" si="3"/>
        <v/>
      </c>
      <c r="I5516" s="94" t="str">
        <f t="shared" ref="I5516:J5516" si="5517">if(G5516 = "", , -G5516)</f>
        <v/>
      </c>
      <c r="J5516" s="94" t="str">
        <f t="shared" si="5517"/>
        <v/>
      </c>
      <c r="K5516" s="100"/>
      <c r="M5516" s="100"/>
      <c r="N5516" s="100"/>
      <c r="O5516" s="100"/>
      <c r="P5516" s="100"/>
    </row>
    <row r="5517">
      <c r="A5517" s="107">
        <v>1630167.0</v>
      </c>
      <c r="B5517" s="108" t="s">
        <v>243</v>
      </c>
      <c r="C5517" s="108" t="s">
        <v>1339</v>
      </c>
      <c r="D5517" s="112" t="s">
        <v>177</v>
      </c>
      <c r="E5517" s="112">
        <v>682.0</v>
      </c>
      <c r="F5517" s="111" t="str">
        <f>DataPull!D5517</f>
        <v/>
      </c>
      <c r="G5517" s="94" t="str">
        <f t="shared" si="2"/>
        <v/>
      </c>
      <c r="H5517" s="94" t="str">
        <f t="shared" si="3"/>
        <v/>
      </c>
      <c r="I5517" s="94" t="str">
        <f t="shared" ref="I5517:J5517" si="5518">if(G5517 = "", , -G5517)</f>
        <v/>
      </c>
      <c r="J5517" s="94" t="str">
        <f t="shared" si="5518"/>
        <v/>
      </c>
      <c r="K5517" s="100"/>
      <c r="M5517" s="100"/>
      <c r="N5517" s="100"/>
      <c r="O5517" s="100"/>
      <c r="P5517" s="100"/>
    </row>
    <row r="5518">
      <c r="A5518" s="107">
        <v>1630167.0</v>
      </c>
      <c r="B5518" s="108" t="s">
        <v>215</v>
      </c>
      <c r="C5518" s="108" t="s">
        <v>1339</v>
      </c>
      <c r="D5518" s="112" t="s">
        <v>177</v>
      </c>
      <c r="E5518" s="112">
        <v>1231.2</v>
      </c>
      <c r="F5518" s="111" t="str">
        <f>DataPull!D5518</f>
        <v/>
      </c>
      <c r="G5518" s="94" t="str">
        <f t="shared" si="2"/>
        <v/>
      </c>
      <c r="H5518" s="94" t="str">
        <f t="shared" si="3"/>
        <v/>
      </c>
      <c r="I5518" s="94" t="str">
        <f t="shared" ref="I5518:J5518" si="5519">if(G5518 = "", , -G5518)</f>
        <v/>
      </c>
      <c r="J5518" s="94" t="str">
        <f t="shared" si="5519"/>
        <v/>
      </c>
      <c r="K5518" s="100"/>
      <c r="M5518" s="100"/>
      <c r="N5518" s="100"/>
      <c r="O5518" s="100"/>
      <c r="P5518" s="100"/>
    </row>
    <row r="5519">
      <c r="A5519" s="107">
        <v>1630167.0</v>
      </c>
      <c r="B5519" s="108" t="s">
        <v>244</v>
      </c>
      <c r="C5519" s="108" t="s">
        <v>1339</v>
      </c>
      <c r="D5519" s="112" t="s">
        <v>177</v>
      </c>
      <c r="E5519" s="112">
        <v>1051.9</v>
      </c>
      <c r="F5519" s="111" t="str">
        <f>DataPull!D5519</f>
        <v/>
      </c>
      <c r="G5519" s="94" t="str">
        <f t="shared" si="2"/>
        <v/>
      </c>
      <c r="H5519" s="94" t="str">
        <f t="shared" si="3"/>
        <v/>
      </c>
      <c r="I5519" s="94" t="str">
        <f t="shared" ref="I5519:J5519" si="5520">if(G5519 = "", , -G5519)</f>
        <v/>
      </c>
      <c r="J5519" s="94" t="str">
        <f t="shared" si="5520"/>
        <v/>
      </c>
      <c r="K5519" s="100"/>
      <c r="M5519" s="100"/>
      <c r="N5519" s="100"/>
      <c r="O5519" s="100"/>
      <c r="P5519" s="100"/>
    </row>
    <row r="5520">
      <c r="A5520" s="107">
        <v>1630167.0</v>
      </c>
      <c r="B5520" s="108" t="s">
        <v>245</v>
      </c>
      <c r="C5520" s="108" t="s">
        <v>1339</v>
      </c>
      <c r="D5520" s="112" t="s">
        <v>176</v>
      </c>
      <c r="E5520" s="112">
        <v>1730.2</v>
      </c>
      <c r="F5520" s="111" t="str">
        <f>DataPull!D5520</f>
        <v/>
      </c>
      <c r="G5520" s="94" t="str">
        <f t="shared" si="2"/>
        <v/>
      </c>
      <c r="H5520" s="94" t="str">
        <f t="shared" si="3"/>
        <v/>
      </c>
      <c r="I5520" s="94" t="str">
        <f t="shared" ref="I5520:J5520" si="5521">if(G5520 = "", , -G5520)</f>
        <v/>
      </c>
      <c r="J5520" s="94" t="str">
        <f t="shared" si="5521"/>
        <v/>
      </c>
      <c r="K5520" s="100"/>
      <c r="M5520" s="100"/>
      <c r="N5520" s="100"/>
      <c r="O5520" s="100"/>
      <c r="P5520" s="100"/>
    </row>
    <row r="5521">
      <c r="A5521" s="107">
        <v>1630167.0</v>
      </c>
      <c r="B5521" s="108" t="s">
        <v>246</v>
      </c>
      <c r="C5521" s="108" t="s">
        <v>1339</v>
      </c>
      <c r="D5521" s="112" t="s">
        <v>176</v>
      </c>
      <c r="E5521" s="112">
        <v>1548.4</v>
      </c>
      <c r="F5521" s="111" t="str">
        <f>DataPull!D5521</f>
        <v/>
      </c>
      <c r="G5521" s="94" t="str">
        <f t="shared" si="2"/>
        <v/>
      </c>
      <c r="H5521" s="94" t="str">
        <f t="shared" si="3"/>
        <v/>
      </c>
      <c r="I5521" s="94" t="str">
        <f t="shared" ref="I5521:J5521" si="5522">if(G5521 = "", , -G5521)</f>
        <v/>
      </c>
      <c r="J5521" s="94" t="str">
        <f t="shared" si="5522"/>
        <v/>
      </c>
      <c r="K5521" s="100"/>
      <c r="L5521" s="100"/>
      <c r="N5521" s="100"/>
      <c r="O5521" s="100"/>
      <c r="P5521" s="100"/>
    </row>
    <row r="5522">
      <c r="A5522" s="114">
        <v>1630167.0</v>
      </c>
      <c r="B5522" s="113" t="s">
        <v>247</v>
      </c>
      <c r="C5522" s="113" t="s">
        <v>1339</v>
      </c>
      <c r="D5522" s="112" t="s">
        <v>181</v>
      </c>
      <c r="E5522" s="112">
        <v>424.8</v>
      </c>
      <c r="F5522" s="111" t="str">
        <f>DataPull!D5522</f>
        <v/>
      </c>
      <c r="G5522" s="94" t="str">
        <f t="shared" si="2"/>
        <v/>
      </c>
      <c r="H5522" s="94" t="str">
        <f t="shared" si="3"/>
        <v/>
      </c>
      <c r="I5522" s="94" t="str">
        <f t="shared" ref="I5522:J5522" si="5523">if(G5522 = "", , -G5522)</f>
        <v/>
      </c>
      <c r="J5522" s="94" t="str">
        <f t="shared" si="5523"/>
        <v/>
      </c>
      <c r="K5522" s="100"/>
      <c r="M5522" s="100"/>
      <c r="N5522" s="100"/>
      <c r="O5522" s="100"/>
      <c r="P5522" s="100"/>
    </row>
    <row r="5523">
      <c r="A5523" s="107">
        <v>1630168.0</v>
      </c>
      <c r="B5523" s="108" t="s">
        <v>243</v>
      </c>
      <c r="C5523" s="108" t="s">
        <v>1340</v>
      </c>
      <c r="D5523" s="112" t="s">
        <v>177</v>
      </c>
      <c r="E5523" s="112">
        <v>600.0</v>
      </c>
      <c r="F5523" s="111" t="str">
        <f>DataPull!D5523</f>
        <v/>
      </c>
      <c r="G5523" s="94" t="str">
        <f t="shared" si="2"/>
        <v/>
      </c>
      <c r="H5523" s="94" t="str">
        <f t="shared" si="3"/>
        <v/>
      </c>
      <c r="I5523" s="94" t="str">
        <f t="shared" ref="I5523:J5523" si="5524">if(G5523 = "", , -G5523)</f>
        <v/>
      </c>
      <c r="J5523" s="94" t="str">
        <f t="shared" si="5524"/>
        <v/>
      </c>
      <c r="K5523" s="100"/>
      <c r="M5523" s="100"/>
      <c r="N5523" s="100"/>
      <c r="O5523" s="100"/>
      <c r="P5523" s="100"/>
    </row>
    <row r="5524">
      <c r="A5524" s="107">
        <v>1630168.0</v>
      </c>
      <c r="B5524" s="108" t="s">
        <v>215</v>
      </c>
      <c r="C5524" s="108" t="s">
        <v>1340</v>
      </c>
      <c r="D5524" s="112" t="s">
        <v>177</v>
      </c>
      <c r="E5524" s="112">
        <v>993.6</v>
      </c>
      <c r="F5524" s="111" t="str">
        <f>DataPull!D5524</f>
        <v/>
      </c>
      <c r="G5524" s="94" t="str">
        <f t="shared" si="2"/>
        <v/>
      </c>
      <c r="H5524" s="94" t="str">
        <f t="shared" si="3"/>
        <v/>
      </c>
      <c r="I5524" s="94" t="str">
        <f t="shared" ref="I5524:J5524" si="5525">if(G5524 = "", , -G5524)</f>
        <v/>
      </c>
      <c r="J5524" s="94" t="str">
        <f t="shared" si="5525"/>
        <v/>
      </c>
      <c r="K5524" s="100"/>
      <c r="M5524" s="100"/>
      <c r="N5524" s="100"/>
      <c r="O5524" s="100"/>
      <c r="P5524" s="100"/>
    </row>
    <row r="5525">
      <c r="A5525" s="107">
        <v>1630168.0</v>
      </c>
      <c r="B5525" s="108" t="s">
        <v>244</v>
      </c>
      <c r="C5525" s="108" t="s">
        <v>1340</v>
      </c>
      <c r="D5525" s="112" t="s">
        <v>176</v>
      </c>
      <c r="E5525" s="112">
        <v>1848.0</v>
      </c>
      <c r="F5525" s="111" t="str">
        <f>DataPull!D5525</f>
        <v/>
      </c>
      <c r="G5525" s="94" t="str">
        <f t="shared" si="2"/>
        <v/>
      </c>
      <c r="H5525" s="94" t="str">
        <f t="shared" si="3"/>
        <v/>
      </c>
      <c r="I5525" s="94" t="str">
        <f t="shared" ref="I5525:J5525" si="5526">if(G5525 = "", , -G5525)</f>
        <v/>
      </c>
      <c r="J5525" s="94" t="str">
        <f t="shared" si="5526"/>
        <v/>
      </c>
      <c r="K5525" s="100"/>
      <c r="M5525" s="100"/>
      <c r="N5525" s="100"/>
      <c r="O5525" s="100"/>
      <c r="P5525" s="100"/>
    </row>
    <row r="5526">
      <c r="A5526" s="107">
        <v>1630168.0</v>
      </c>
      <c r="B5526" s="108" t="s">
        <v>245</v>
      </c>
      <c r="C5526" s="108" t="s">
        <v>1340</v>
      </c>
      <c r="D5526" s="112" t="s">
        <v>176</v>
      </c>
      <c r="E5526" s="112">
        <v>1402.5</v>
      </c>
      <c r="F5526" s="111" t="str">
        <f>DataPull!D5526</f>
        <v/>
      </c>
      <c r="G5526" s="94" t="str">
        <f t="shared" si="2"/>
        <v/>
      </c>
      <c r="H5526" s="94" t="str">
        <f t="shared" si="3"/>
        <v/>
      </c>
      <c r="I5526" s="94" t="str">
        <f t="shared" ref="I5526:J5526" si="5527">if(G5526 = "", , -G5526)</f>
        <v/>
      </c>
      <c r="J5526" s="94" t="str">
        <f t="shared" si="5527"/>
        <v/>
      </c>
      <c r="K5526" s="100"/>
      <c r="M5526" s="100"/>
      <c r="N5526" s="100"/>
      <c r="O5526" s="100"/>
      <c r="P5526" s="100"/>
    </row>
    <row r="5527">
      <c r="A5527" s="107">
        <v>1630168.0</v>
      </c>
      <c r="B5527" s="108" t="s">
        <v>246</v>
      </c>
      <c r="C5527" s="108" t="s">
        <v>1340</v>
      </c>
      <c r="D5527" s="112" t="s">
        <v>184</v>
      </c>
      <c r="E5527" s="112">
        <v>2064.6</v>
      </c>
      <c r="F5527" s="111" t="str">
        <f>DataPull!D5527</f>
        <v/>
      </c>
      <c r="G5527" s="94" t="str">
        <f t="shared" si="2"/>
        <v/>
      </c>
      <c r="H5527" s="94" t="str">
        <f t="shared" si="3"/>
        <v/>
      </c>
      <c r="I5527" s="94" t="str">
        <f t="shared" ref="I5527:J5527" si="5528">if(G5527 = "", , -G5527)</f>
        <v/>
      </c>
      <c r="J5527" s="94" t="str">
        <f t="shared" si="5528"/>
        <v/>
      </c>
      <c r="K5527" s="100"/>
      <c r="M5527" s="100"/>
      <c r="N5527" s="100"/>
      <c r="O5527" s="100"/>
      <c r="P5527" s="100"/>
    </row>
    <row r="5528">
      <c r="A5528" s="114">
        <v>1630168.0</v>
      </c>
      <c r="B5528" s="113" t="s">
        <v>247</v>
      </c>
      <c r="C5528" s="113" t="s">
        <v>1340</v>
      </c>
      <c r="D5528" s="112" t="s">
        <v>178</v>
      </c>
      <c r="E5528" s="112">
        <v>2294.0</v>
      </c>
      <c r="F5528" s="111" t="str">
        <f>DataPull!D5528</f>
        <v/>
      </c>
      <c r="G5528" s="94" t="str">
        <f t="shared" si="2"/>
        <v/>
      </c>
      <c r="H5528" s="94" t="str">
        <f t="shared" si="3"/>
        <v/>
      </c>
      <c r="I5528" s="94" t="str">
        <f t="shared" ref="I5528:J5528" si="5529">if(G5528 = "", , -G5528)</f>
        <v/>
      </c>
      <c r="J5528" s="94" t="str">
        <f t="shared" si="5529"/>
        <v/>
      </c>
      <c r="K5528" s="100"/>
      <c r="M5528" s="100"/>
      <c r="N5528" s="100"/>
      <c r="O5528" s="100"/>
      <c r="P5528" s="100"/>
    </row>
    <row r="5529">
      <c r="A5529" s="107">
        <v>1630169.0</v>
      </c>
      <c r="B5529" s="108" t="s">
        <v>243</v>
      </c>
      <c r="C5529" s="108" t="s">
        <v>1341</v>
      </c>
      <c r="D5529" s="112" t="s">
        <v>178</v>
      </c>
      <c r="E5529" s="112">
        <v>1745.8</v>
      </c>
      <c r="F5529" s="111" t="str">
        <f>DataPull!D5529</f>
        <v/>
      </c>
      <c r="G5529" s="94" t="str">
        <f t="shared" si="2"/>
        <v/>
      </c>
      <c r="H5529" s="94" t="str">
        <f t="shared" si="3"/>
        <v/>
      </c>
      <c r="I5529" s="94" t="str">
        <f t="shared" ref="I5529:J5529" si="5530">if(G5529 = "", , -G5529)</f>
        <v/>
      </c>
      <c r="J5529" s="94" t="str">
        <f t="shared" si="5530"/>
        <v/>
      </c>
      <c r="K5529" s="100"/>
      <c r="M5529" s="100"/>
      <c r="N5529" s="100"/>
      <c r="O5529" s="100"/>
      <c r="P5529" s="100"/>
    </row>
    <row r="5530">
      <c r="A5530" s="107">
        <v>1630169.0</v>
      </c>
      <c r="B5530" s="108" t="s">
        <v>215</v>
      </c>
      <c r="C5530" s="108" t="s">
        <v>1341</v>
      </c>
      <c r="D5530" s="112" t="s">
        <v>178</v>
      </c>
      <c r="E5530" s="112">
        <v>2695.0</v>
      </c>
      <c r="F5530" s="111" t="str">
        <f>DataPull!D5530</f>
        <v/>
      </c>
      <c r="G5530" s="94" t="str">
        <f t="shared" si="2"/>
        <v/>
      </c>
      <c r="H5530" s="94" t="str">
        <f t="shared" si="3"/>
        <v/>
      </c>
      <c r="I5530" s="94" t="str">
        <f t="shared" ref="I5530:J5530" si="5531">if(G5530 = "", , -G5530)</f>
        <v/>
      </c>
      <c r="J5530" s="94" t="str">
        <f t="shared" si="5531"/>
        <v/>
      </c>
      <c r="K5530" s="100"/>
      <c r="M5530" s="100"/>
      <c r="N5530" s="100"/>
      <c r="O5530" s="100"/>
      <c r="P5530" s="100"/>
    </row>
    <row r="5531">
      <c r="A5531" s="107">
        <v>1630169.0</v>
      </c>
      <c r="B5531" s="108" t="s">
        <v>244</v>
      </c>
      <c r="C5531" s="108" t="s">
        <v>1341</v>
      </c>
      <c r="D5531" s="112" t="s">
        <v>184</v>
      </c>
      <c r="E5531" s="112">
        <v>1881.6</v>
      </c>
      <c r="F5531" s="111" t="str">
        <f>DataPull!D5531</f>
        <v/>
      </c>
      <c r="G5531" s="94" t="str">
        <f t="shared" si="2"/>
        <v/>
      </c>
      <c r="H5531" s="94" t="str">
        <f t="shared" si="3"/>
        <v/>
      </c>
      <c r="I5531" s="94" t="str">
        <f t="shared" ref="I5531:J5531" si="5532">if(G5531 = "", , -G5531)</f>
        <v/>
      </c>
      <c r="J5531" s="94" t="str">
        <f t="shared" si="5532"/>
        <v/>
      </c>
      <c r="K5531" s="100"/>
      <c r="M5531" s="100"/>
      <c r="N5531" s="100"/>
      <c r="O5531" s="100"/>
      <c r="P5531" s="100"/>
    </row>
    <row r="5532">
      <c r="A5532" s="107">
        <v>1630169.0</v>
      </c>
      <c r="B5532" s="108" t="s">
        <v>245</v>
      </c>
      <c r="C5532" s="108" t="s">
        <v>1341</v>
      </c>
      <c r="D5532" s="112" t="s">
        <v>184</v>
      </c>
      <c r="E5532" s="112">
        <v>2221.8</v>
      </c>
      <c r="F5532" s="111" t="str">
        <f>DataPull!D5532</f>
        <v/>
      </c>
      <c r="G5532" s="94" t="str">
        <f t="shared" si="2"/>
        <v/>
      </c>
      <c r="H5532" s="94" t="str">
        <f t="shared" si="3"/>
        <v/>
      </c>
      <c r="I5532" s="94" t="str">
        <f t="shared" ref="I5532:J5532" si="5533">if(G5532 = "", , -G5532)</f>
        <v/>
      </c>
      <c r="J5532" s="94" t="str">
        <f t="shared" si="5533"/>
        <v/>
      </c>
      <c r="K5532" s="100"/>
      <c r="M5532" s="100"/>
      <c r="N5532" s="100"/>
      <c r="O5532" s="100"/>
      <c r="P5532" s="100"/>
    </row>
    <row r="5533">
      <c r="A5533" s="107">
        <v>1630169.0</v>
      </c>
      <c r="B5533" s="108" t="s">
        <v>246</v>
      </c>
      <c r="C5533" s="108" t="s">
        <v>1341</v>
      </c>
      <c r="D5533" s="112" t="s">
        <v>184</v>
      </c>
      <c r="E5533" s="112">
        <v>2452.8</v>
      </c>
      <c r="F5533" s="111" t="str">
        <f>DataPull!D5533</f>
        <v/>
      </c>
      <c r="G5533" s="94" t="str">
        <f t="shared" si="2"/>
        <v/>
      </c>
      <c r="H5533" s="94" t="str">
        <f t="shared" si="3"/>
        <v/>
      </c>
      <c r="I5533" s="94" t="str">
        <f t="shared" ref="I5533:J5533" si="5534">if(G5533 = "", , -G5533)</f>
        <v/>
      </c>
      <c r="J5533" s="94" t="str">
        <f t="shared" si="5534"/>
        <v/>
      </c>
      <c r="K5533" s="100"/>
      <c r="M5533" s="100"/>
      <c r="N5533" s="100"/>
      <c r="O5533" s="100"/>
      <c r="P5533" s="100"/>
    </row>
    <row r="5534">
      <c r="A5534" s="107">
        <v>1630170.0</v>
      </c>
      <c r="B5534" s="108" t="s">
        <v>243</v>
      </c>
      <c r="C5534" s="108" t="s">
        <v>1342</v>
      </c>
      <c r="D5534" s="112" t="s">
        <v>177</v>
      </c>
      <c r="E5534" s="112">
        <v>1054.0</v>
      </c>
      <c r="F5534" s="111" t="str">
        <f>DataPull!D5534</f>
        <v/>
      </c>
      <c r="G5534" s="94" t="str">
        <f t="shared" si="2"/>
        <v/>
      </c>
      <c r="H5534" s="94" t="str">
        <f t="shared" si="3"/>
        <v/>
      </c>
      <c r="I5534" s="94" t="str">
        <f t="shared" ref="I5534:J5534" si="5535">if(G5534 = "", , -G5534)</f>
        <v/>
      </c>
      <c r="J5534" s="94" t="str">
        <f t="shared" si="5535"/>
        <v/>
      </c>
      <c r="K5534" s="100"/>
      <c r="M5534" s="100"/>
      <c r="N5534" s="100"/>
      <c r="O5534" s="100"/>
      <c r="P5534" s="100"/>
    </row>
    <row r="5535">
      <c r="A5535" s="107">
        <v>1630170.0</v>
      </c>
      <c r="B5535" s="108" t="s">
        <v>215</v>
      </c>
      <c r="C5535" s="108" t="s">
        <v>1342</v>
      </c>
      <c r="D5535" s="112" t="s">
        <v>178</v>
      </c>
      <c r="E5535" s="112">
        <v>1938.3</v>
      </c>
      <c r="F5535" s="111" t="str">
        <f>DataPull!D5535</f>
        <v/>
      </c>
      <c r="G5535" s="94" t="str">
        <f t="shared" si="2"/>
        <v/>
      </c>
      <c r="H5535" s="94" t="str">
        <f t="shared" si="3"/>
        <v/>
      </c>
      <c r="I5535" s="94" t="str">
        <f t="shared" ref="I5535:J5535" si="5536">if(G5535 = "", , -G5535)</f>
        <v/>
      </c>
      <c r="J5535" s="94" t="str">
        <f t="shared" si="5536"/>
        <v/>
      </c>
      <c r="K5535" s="100"/>
      <c r="M5535" s="100"/>
      <c r="N5535" s="100"/>
      <c r="O5535" s="100"/>
      <c r="P5535" s="100"/>
    </row>
    <row r="5536">
      <c r="A5536" s="107">
        <v>1630170.0</v>
      </c>
      <c r="B5536" s="108" t="s">
        <v>244</v>
      </c>
      <c r="C5536" s="108" t="s">
        <v>1342</v>
      </c>
      <c r="D5536" s="112" t="s">
        <v>178</v>
      </c>
      <c r="E5536" s="112">
        <v>1178.0</v>
      </c>
      <c r="F5536" s="111" t="str">
        <f>DataPull!D5536</f>
        <v/>
      </c>
      <c r="G5536" s="94" t="str">
        <f t="shared" si="2"/>
        <v/>
      </c>
      <c r="H5536" s="94" t="str">
        <f t="shared" si="3"/>
        <v/>
      </c>
      <c r="I5536" s="94" t="str">
        <f t="shared" ref="I5536:J5536" si="5537">if(G5536 = "", , -G5536)</f>
        <v/>
      </c>
      <c r="J5536" s="94" t="str">
        <f t="shared" si="5537"/>
        <v/>
      </c>
      <c r="K5536" s="100"/>
      <c r="M5536" s="100"/>
      <c r="N5536" s="100"/>
      <c r="O5536" s="100"/>
      <c r="P5536" s="100"/>
    </row>
    <row r="5537">
      <c r="A5537" s="107">
        <v>1630170.0</v>
      </c>
      <c r="B5537" s="108" t="s">
        <v>245</v>
      </c>
      <c r="C5537" s="108" t="s">
        <v>1342</v>
      </c>
      <c r="D5537" s="112" t="s">
        <v>178</v>
      </c>
      <c r="E5537" s="112">
        <v>2250.8</v>
      </c>
      <c r="F5537" s="111" t="str">
        <f>DataPull!D5537</f>
        <v/>
      </c>
      <c r="G5537" s="94" t="str">
        <f t="shared" si="2"/>
        <v/>
      </c>
      <c r="H5537" s="94" t="str">
        <f t="shared" si="3"/>
        <v/>
      </c>
      <c r="I5537" s="94" t="str">
        <f t="shared" ref="I5537:J5537" si="5538">if(G5537 = "", , -G5537)</f>
        <v/>
      </c>
      <c r="J5537" s="94" t="str">
        <f t="shared" si="5538"/>
        <v/>
      </c>
      <c r="K5537" s="100"/>
      <c r="M5537" s="100"/>
      <c r="N5537" s="100"/>
      <c r="O5537" s="100"/>
      <c r="P5537" s="100"/>
    </row>
    <row r="5538">
      <c r="A5538" s="107">
        <v>1630170.0</v>
      </c>
      <c r="B5538" s="108" t="s">
        <v>246</v>
      </c>
      <c r="C5538" s="108" t="s">
        <v>1342</v>
      </c>
      <c r="D5538" s="112" t="s">
        <v>178</v>
      </c>
      <c r="E5538" s="112">
        <v>1984.0</v>
      </c>
      <c r="F5538" s="111" t="str">
        <f>DataPull!D5538</f>
        <v/>
      </c>
      <c r="G5538" s="94" t="str">
        <f t="shared" si="2"/>
        <v/>
      </c>
      <c r="H5538" s="94" t="str">
        <f t="shared" si="3"/>
        <v/>
      </c>
      <c r="I5538" s="94" t="str">
        <f t="shared" ref="I5538:J5538" si="5539">if(G5538 = "", , -G5538)</f>
        <v/>
      </c>
      <c r="J5538" s="94" t="str">
        <f t="shared" si="5539"/>
        <v/>
      </c>
      <c r="K5538" s="100"/>
      <c r="M5538" s="100"/>
      <c r="N5538" s="100"/>
      <c r="O5538" s="100"/>
      <c r="P5538" s="100"/>
    </row>
    <row r="5539">
      <c r="A5539" s="114">
        <v>1630170.0</v>
      </c>
      <c r="B5539" s="113" t="s">
        <v>247</v>
      </c>
      <c r="C5539" s="113" t="s">
        <v>1342</v>
      </c>
      <c r="D5539" s="112" t="s">
        <v>178</v>
      </c>
      <c r="E5539" s="112">
        <v>2043.5</v>
      </c>
      <c r="F5539" s="111" t="str">
        <f>DataPull!D5539</f>
        <v/>
      </c>
      <c r="G5539" s="94" t="str">
        <f t="shared" si="2"/>
        <v/>
      </c>
      <c r="H5539" s="94" t="str">
        <f t="shared" si="3"/>
        <v/>
      </c>
      <c r="I5539" s="94" t="str">
        <f t="shared" ref="I5539:J5539" si="5540">if(G5539 = "", , -G5539)</f>
        <v/>
      </c>
      <c r="J5539" s="94" t="str">
        <f t="shared" si="5540"/>
        <v/>
      </c>
      <c r="K5539" s="100"/>
      <c r="M5539" s="100"/>
      <c r="N5539" s="100"/>
      <c r="O5539" s="100"/>
      <c r="P5539" s="100"/>
    </row>
    <row r="5540">
      <c r="A5540" s="107">
        <v>1630171.0</v>
      </c>
      <c r="B5540" s="108" t="s">
        <v>243</v>
      </c>
      <c r="C5540" s="108" t="s">
        <v>1343</v>
      </c>
      <c r="D5540" s="112" t="s">
        <v>178</v>
      </c>
      <c r="E5540" s="112">
        <v>2170.8</v>
      </c>
      <c r="F5540" s="111" t="str">
        <f>DataPull!D5540</f>
        <v/>
      </c>
      <c r="G5540" s="94" t="str">
        <f t="shared" si="2"/>
        <v/>
      </c>
      <c r="H5540" s="94" t="str">
        <f t="shared" si="3"/>
        <v/>
      </c>
      <c r="I5540" s="94" t="str">
        <f t="shared" ref="I5540:J5540" si="5541">if(G5540 = "", , -G5540)</f>
        <v/>
      </c>
      <c r="J5540" s="94" t="str">
        <f t="shared" si="5541"/>
        <v/>
      </c>
      <c r="K5540" s="100"/>
      <c r="M5540" s="100"/>
      <c r="N5540" s="100"/>
      <c r="O5540" s="100"/>
      <c r="P5540" s="100"/>
    </row>
    <row r="5541">
      <c r="A5541" s="107">
        <v>1630171.0</v>
      </c>
      <c r="B5541" s="108" t="s">
        <v>215</v>
      </c>
      <c r="C5541" s="108" t="s">
        <v>1343</v>
      </c>
      <c r="D5541" s="112" t="s">
        <v>176</v>
      </c>
      <c r="E5541" s="112">
        <v>1983.2</v>
      </c>
      <c r="F5541" s="111" t="str">
        <f>DataPull!D5541</f>
        <v/>
      </c>
      <c r="G5541" s="94" t="str">
        <f t="shared" si="2"/>
        <v/>
      </c>
      <c r="H5541" s="94" t="str">
        <f t="shared" si="3"/>
        <v/>
      </c>
      <c r="I5541" s="94" t="str">
        <f t="shared" ref="I5541:J5541" si="5542">if(G5541 = "", , -G5541)</f>
        <v/>
      </c>
      <c r="J5541" s="94" t="str">
        <f t="shared" si="5542"/>
        <v/>
      </c>
      <c r="K5541" s="100"/>
      <c r="M5541" s="100"/>
      <c r="N5541" s="100"/>
      <c r="O5541" s="100"/>
      <c r="P5541" s="100"/>
    </row>
    <row r="5542">
      <c r="A5542" s="107">
        <v>1630171.0</v>
      </c>
      <c r="B5542" s="108" t="s">
        <v>244</v>
      </c>
      <c r="C5542" s="108" t="s">
        <v>1343</v>
      </c>
      <c r="D5542" s="112" t="s">
        <v>176</v>
      </c>
      <c r="E5542" s="112">
        <v>1649.2</v>
      </c>
      <c r="F5542" s="111" t="str">
        <f>DataPull!D5542</f>
        <v/>
      </c>
      <c r="G5542" s="94" t="str">
        <f t="shared" si="2"/>
        <v/>
      </c>
      <c r="H5542" s="94" t="str">
        <f t="shared" si="3"/>
        <v/>
      </c>
      <c r="I5542" s="94" t="str">
        <f t="shared" ref="I5542:J5542" si="5543">if(G5542 = "", , -G5542)</f>
        <v/>
      </c>
      <c r="J5542" s="94" t="str">
        <f t="shared" si="5543"/>
        <v/>
      </c>
      <c r="K5542" s="100"/>
      <c r="M5542" s="100"/>
      <c r="N5542" s="100"/>
      <c r="O5542" s="100"/>
      <c r="P5542" s="100"/>
    </row>
    <row r="5543">
      <c r="A5543" s="107">
        <v>1630171.0</v>
      </c>
      <c r="B5543" s="108" t="s">
        <v>245</v>
      </c>
      <c r="C5543" s="108" t="s">
        <v>1343</v>
      </c>
      <c r="D5543" s="112" t="s">
        <v>176</v>
      </c>
      <c r="E5543" s="112">
        <v>1883.7</v>
      </c>
      <c r="F5543" s="111" t="str">
        <f>DataPull!D5543</f>
        <v/>
      </c>
      <c r="G5543" s="94" t="str">
        <f t="shared" si="2"/>
        <v/>
      </c>
      <c r="H5543" s="94" t="str">
        <f t="shared" si="3"/>
        <v/>
      </c>
      <c r="I5543" s="94" t="str">
        <f t="shared" ref="I5543:J5543" si="5544">if(G5543 = "", , -G5543)</f>
        <v/>
      </c>
      <c r="J5543" s="94" t="str">
        <f t="shared" si="5544"/>
        <v/>
      </c>
      <c r="K5543" s="100"/>
      <c r="L5543" s="100"/>
      <c r="N5543" s="100"/>
      <c r="O5543" s="100"/>
      <c r="P5543" s="100"/>
    </row>
    <row r="5544">
      <c r="A5544" s="107">
        <v>1630171.0</v>
      </c>
      <c r="B5544" s="108" t="s">
        <v>246</v>
      </c>
      <c r="C5544" s="108" t="s">
        <v>1343</v>
      </c>
      <c r="D5544" s="112" t="s">
        <v>176</v>
      </c>
      <c r="E5544" s="112">
        <v>1050.5</v>
      </c>
      <c r="F5544" s="111" t="str">
        <f>DataPull!D5544</f>
        <v/>
      </c>
      <c r="G5544" s="94" t="str">
        <f t="shared" si="2"/>
        <v/>
      </c>
      <c r="H5544" s="94" t="str">
        <f t="shared" si="3"/>
        <v/>
      </c>
      <c r="I5544" s="94" t="str">
        <f t="shared" ref="I5544:J5544" si="5545">if(G5544 = "", , -G5544)</f>
        <v/>
      </c>
      <c r="J5544" s="94" t="str">
        <f t="shared" si="5545"/>
        <v/>
      </c>
      <c r="K5544" s="100"/>
      <c r="M5544" s="100"/>
      <c r="N5544" s="100"/>
      <c r="O5544" s="100"/>
      <c r="P5544" s="100"/>
    </row>
    <row r="5545">
      <c r="A5545" s="114">
        <v>1630171.0</v>
      </c>
      <c r="B5545" s="113" t="s">
        <v>247</v>
      </c>
      <c r="C5545" s="113" t="s">
        <v>1343</v>
      </c>
      <c r="D5545" s="112" t="s">
        <v>176</v>
      </c>
      <c r="E5545" s="112">
        <v>1694.7</v>
      </c>
      <c r="F5545" s="111" t="str">
        <f>DataPull!D5545</f>
        <v/>
      </c>
      <c r="G5545" s="94" t="str">
        <f t="shared" si="2"/>
        <v/>
      </c>
      <c r="H5545" s="94" t="str">
        <f t="shared" si="3"/>
        <v/>
      </c>
      <c r="I5545" s="94" t="str">
        <f t="shared" ref="I5545:J5545" si="5546">if(G5545 = "", , -G5545)</f>
        <v/>
      </c>
      <c r="J5545" s="94" t="str">
        <f t="shared" si="5546"/>
        <v/>
      </c>
      <c r="K5545" s="100"/>
      <c r="M5545" s="100"/>
      <c r="N5545" s="100"/>
      <c r="O5545" s="100"/>
      <c r="P5545" s="100"/>
    </row>
    <row r="5546">
      <c r="A5546" s="107">
        <v>1630172.0</v>
      </c>
      <c r="B5546" s="108" t="s">
        <v>243</v>
      </c>
      <c r="C5546" s="108" t="s">
        <v>1344</v>
      </c>
      <c r="D5546" s="112" t="s">
        <v>178</v>
      </c>
      <c r="E5546" s="112">
        <v>1980.9</v>
      </c>
      <c r="F5546" s="111" t="str">
        <f>DataPull!D5546</f>
        <v/>
      </c>
      <c r="G5546" s="94" t="str">
        <f t="shared" si="2"/>
        <v/>
      </c>
      <c r="H5546" s="94" t="str">
        <f t="shared" si="3"/>
        <v/>
      </c>
      <c r="I5546" s="94" t="str">
        <f t="shared" ref="I5546:J5546" si="5547">if(G5546 = "", , -G5546)</f>
        <v/>
      </c>
      <c r="J5546" s="94" t="str">
        <f t="shared" si="5547"/>
        <v/>
      </c>
      <c r="K5546" s="100"/>
      <c r="M5546" s="100"/>
      <c r="N5546" s="100"/>
      <c r="O5546" s="100"/>
      <c r="P5546" s="100"/>
    </row>
    <row r="5547">
      <c r="A5547" s="107">
        <v>1630172.0</v>
      </c>
      <c r="B5547" s="108" t="s">
        <v>215</v>
      </c>
      <c r="C5547" s="108" t="s">
        <v>1344</v>
      </c>
      <c r="D5547" s="112" t="s">
        <v>176</v>
      </c>
      <c r="E5547" s="112">
        <v>421.6</v>
      </c>
      <c r="F5547" s="111" t="str">
        <f>DataPull!D5547</f>
        <v/>
      </c>
      <c r="G5547" s="94" t="str">
        <f t="shared" si="2"/>
        <v/>
      </c>
      <c r="H5547" s="94" t="str">
        <f t="shared" si="3"/>
        <v/>
      </c>
      <c r="I5547" s="94" t="str">
        <f t="shared" ref="I5547:J5547" si="5548">if(G5547 = "", , -G5547)</f>
        <v/>
      </c>
      <c r="J5547" s="94" t="str">
        <f t="shared" si="5548"/>
        <v/>
      </c>
      <c r="K5547" s="100"/>
      <c r="M5547" s="100"/>
      <c r="N5547" s="100"/>
      <c r="O5547" s="100"/>
      <c r="P5547" s="100"/>
    </row>
    <row r="5548">
      <c r="A5548" s="107">
        <v>1630172.0</v>
      </c>
      <c r="B5548" s="108" t="s">
        <v>244</v>
      </c>
      <c r="C5548" s="108" t="s">
        <v>1344</v>
      </c>
      <c r="D5548" s="112" t="s">
        <v>178</v>
      </c>
      <c r="E5548" s="112">
        <v>2320.6</v>
      </c>
      <c r="F5548" s="111" t="str">
        <f>DataPull!D5548</f>
        <v/>
      </c>
      <c r="G5548" s="94" t="str">
        <f t="shared" si="2"/>
        <v/>
      </c>
      <c r="H5548" s="94" t="str">
        <f t="shared" si="3"/>
        <v/>
      </c>
      <c r="I5548" s="94" t="str">
        <f t="shared" ref="I5548:J5548" si="5549">if(G5548 = "", , -G5548)</f>
        <v/>
      </c>
      <c r="J5548" s="94" t="str">
        <f t="shared" si="5549"/>
        <v/>
      </c>
      <c r="K5548" s="100"/>
      <c r="M5548" s="100"/>
      <c r="N5548" s="100"/>
      <c r="O5548" s="100"/>
      <c r="P5548" s="100"/>
    </row>
    <row r="5549">
      <c r="A5549" s="107">
        <v>1630172.0</v>
      </c>
      <c r="B5549" s="108" t="s">
        <v>245</v>
      </c>
      <c r="C5549" s="108" t="s">
        <v>1344</v>
      </c>
      <c r="D5549" s="112" t="s">
        <v>176</v>
      </c>
      <c r="E5549" s="112">
        <v>1173.9</v>
      </c>
      <c r="F5549" s="111" t="str">
        <f>DataPull!D5549</f>
        <v/>
      </c>
      <c r="G5549" s="94" t="str">
        <f t="shared" si="2"/>
        <v/>
      </c>
      <c r="H5549" s="94" t="str">
        <f t="shared" si="3"/>
        <v/>
      </c>
      <c r="I5549" s="94" t="str">
        <f t="shared" ref="I5549:J5549" si="5550">if(G5549 = "", , -G5549)</f>
        <v/>
      </c>
      <c r="J5549" s="94" t="str">
        <f t="shared" si="5550"/>
        <v/>
      </c>
      <c r="K5549" s="100"/>
      <c r="M5549" s="100"/>
      <c r="N5549" s="100"/>
      <c r="O5549" s="100"/>
      <c r="P5549" s="100"/>
    </row>
    <row r="5550">
      <c r="A5550" s="107">
        <v>1630172.0</v>
      </c>
      <c r="B5550" s="108" t="s">
        <v>246</v>
      </c>
      <c r="C5550" s="108" t="s">
        <v>1344</v>
      </c>
      <c r="D5550" s="112" t="s">
        <v>176</v>
      </c>
      <c r="E5550" s="112">
        <v>1575.0</v>
      </c>
      <c r="F5550" s="111" t="str">
        <f>DataPull!D5550</f>
        <v/>
      </c>
      <c r="G5550" s="94" t="str">
        <f t="shared" si="2"/>
        <v/>
      </c>
      <c r="H5550" s="94" t="str">
        <f t="shared" si="3"/>
        <v/>
      </c>
      <c r="I5550" s="94" t="str">
        <f t="shared" ref="I5550:J5550" si="5551">if(G5550 = "", , -G5550)</f>
        <v/>
      </c>
      <c r="J5550" s="94" t="str">
        <f t="shared" si="5551"/>
        <v/>
      </c>
      <c r="K5550" s="100"/>
      <c r="M5550" s="100"/>
      <c r="N5550" s="100"/>
      <c r="O5550" s="100"/>
      <c r="P5550" s="100"/>
    </row>
    <row r="5551">
      <c r="A5551" s="114">
        <v>1630172.0</v>
      </c>
      <c r="B5551" s="113" t="s">
        <v>247</v>
      </c>
      <c r="C5551" s="131" t="s">
        <v>1344</v>
      </c>
      <c r="D5551" s="24" t="s">
        <v>177</v>
      </c>
      <c r="E5551" s="112">
        <v>1476.0</v>
      </c>
      <c r="F5551" s="111" t="str">
        <f>DataPull!D5551</f>
        <v/>
      </c>
      <c r="G5551" s="94" t="str">
        <f t="shared" si="2"/>
        <v/>
      </c>
      <c r="H5551" s="94" t="str">
        <f t="shared" si="3"/>
        <v/>
      </c>
      <c r="I5551" s="94" t="str">
        <f t="shared" ref="I5551:J5551" si="5552">if(G5551 = "", , -G5551)</f>
        <v/>
      </c>
      <c r="J5551" s="94" t="str">
        <f t="shared" si="5552"/>
        <v/>
      </c>
      <c r="K5551" s="100"/>
      <c r="M5551" s="100"/>
      <c r="N5551" s="100"/>
      <c r="O5551" s="100"/>
      <c r="P5551" s="100"/>
    </row>
    <row r="5552">
      <c r="A5552" s="107">
        <v>1630173.0</v>
      </c>
      <c r="B5552" s="108" t="s">
        <v>243</v>
      </c>
      <c r="C5552" s="108" t="s">
        <v>1345</v>
      </c>
      <c r="D5552" s="112" t="s">
        <v>187</v>
      </c>
      <c r="E5552" s="112">
        <v>738.1</v>
      </c>
      <c r="F5552" s="111" t="str">
        <f>DataPull!D5552</f>
        <v/>
      </c>
      <c r="G5552" s="94" t="str">
        <f t="shared" si="2"/>
        <v/>
      </c>
      <c r="H5552" s="94" t="str">
        <f t="shared" si="3"/>
        <v/>
      </c>
      <c r="I5552" s="94" t="str">
        <f t="shared" ref="I5552:J5552" si="5553">if(G5552 = "", , -G5552)</f>
        <v/>
      </c>
      <c r="J5552" s="94" t="str">
        <f t="shared" si="5553"/>
        <v/>
      </c>
      <c r="K5552" s="100"/>
      <c r="M5552" s="100"/>
      <c r="N5552" s="100"/>
      <c r="O5552" s="100"/>
      <c r="P5552" s="100"/>
    </row>
    <row r="5553">
      <c r="A5553" s="107">
        <v>1630173.0</v>
      </c>
      <c r="B5553" s="108" t="s">
        <v>215</v>
      </c>
      <c r="C5553" s="108" t="s">
        <v>1345</v>
      </c>
      <c r="D5553" s="112" t="s">
        <v>176</v>
      </c>
      <c r="E5553" s="112">
        <v>1722.8</v>
      </c>
      <c r="F5553" s="111" t="str">
        <f>DataPull!D5553</f>
        <v/>
      </c>
      <c r="G5553" s="94" t="str">
        <f t="shared" si="2"/>
        <v/>
      </c>
      <c r="H5553" s="94" t="str">
        <f t="shared" si="3"/>
        <v/>
      </c>
      <c r="I5553" s="94" t="str">
        <f t="shared" ref="I5553:J5553" si="5554">if(G5553 = "", , -G5553)</f>
        <v/>
      </c>
      <c r="J5553" s="94" t="str">
        <f t="shared" si="5554"/>
        <v/>
      </c>
      <c r="K5553" s="100"/>
      <c r="M5553" s="100"/>
      <c r="N5553" s="100"/>
      <c r="O5553" s="100"/>
      <c r="P5553" s="100"/>
    </row>
    <row r="5554">
      <c r="A5554" s="107">
        <v>1630173.0</v>
      </c>
      <c r="B5554" s="108" t="s">
        <v>244</v>
      </c>
      <c r="C5554" s="108" t="s">
        <v>1345</v>
      </c>
      <c r="D5554" s="112" t="s">
        <v>176</v>
      </c>
      <c r="E5554" s="112">
        <v>1138.5</v>
      </c>
      <c r="F5554" s="111" t="str">
        <f>DataPull!D5554</f>
        <v/>
      </c>
      <c r="G5554" s="94" t="str">
        <f t="shared" si="2"/>
        <v/>
      </c>
      <c r="H5554" s="94" t="str">
        <f t="shared" si="3"/>
        <v/>
      </c>
      <c r="I5554" s="94" t="str">
        <f t="shared" ref="I5554:J5554" si="5555">if(G5554 = "", , -G5554)</f>
        <v/>
      </c>
      <c r="J5554" s="94" t="str">
        <f t="shared" si="5555"/>
        <v/>
      </c>
      <c r="K5554" s="100"/>
      <c r="M5554" s="100"/>
      <c r="N5554" s="100"/>
      <c r="O5554" s="100"/>
      <c r="P5554" s="100"/>
    </row>
    <row r="5555">
      <c r="A5555" s="107">
        <v>1630173.0</v>
      </c>
      <c r="B5555" s="108" t="s">
        <v>245</v>
      </c>
      <c r="C5555" s="108" t="s">
        <v>1345</v>
      </c>
      <c r="D5555" s="112" t="s">
        <v>176</v>
      </c>
      <c r="E5555" s="112">
        <v>1620.6</v>
      </c>
      <c r="F5555" s="111" t="str">
        <f>DataPull!D5555</f>
        <v/>
      </c>
      <c r="G5555" s="94" t="str">
        <f t="shared" si="2"/>
        <v/>
      </c>
      <c r="H5555" s="94" t="str">
        <f t="shared" si="3"/>
        <v/>
      </c>
      <c r="I5555" s="94" t="str">
        <f t="shared" ref="I5555:J5555" si="5556">if(G5555 = "", , -G5555)</f>
        <v/>
      </c>
      <c r="J5555" s="94" t="str">
        <f t="shared" si="5556"/>
        <v/>
      </c>
      <c r="K5555" s="100"/>
      <c r="L5555" s="100"/>
      <c r="N5555" s="100"/>
      <c r="O5555" s="100"/>
      <c r="P5555" s="100"/>
    </row>
    <row r="5556">
      <c r="A5556" s="107">
        <v>1630173.0</v>
      </c>
      <c r="B5556" s="108" t="s">
        <v>246</v>
      </c>
      <c r="C5556" s="108" t="s">
        <v>1345</v>
      </c>
      <c r="D5556" s="112" t="s">
        <v>176</v>
      </c>
      <c r="E5556" s="112">
        <v>1168.5</v>
      </c>
      <c r="F5556" s="111" t="str">
        <f>DataPull!D5556</f>
        <v/>
      </c>
      <c r="G5556" s="94" t="str">
        <f t="shared" si="2"/>
        <v/>
      </c>
      <c r="H5556" s="94" t="str">
        <f t="shared" si="3"/>
        <v/>
      </c>
      <c r="I5556" s="94" t="str">
        <f t="shared" ref="I5556:J5556" si="5557">if(G5556 = "", , -G5556)</f>
        <v/>
      </c>
      <c r="J5556" s="94" t="str">
        <f t="shared" si="5557"/>
        <v/>
      </c>
      <c r="K5556" s="100"/>
      <c r="M5556" s="100"/>
      <c r="N5556" s="100"/>
      <c r="O5556" s="100"/>
      <c r="P5556" s="100"/>
    </row>
    <row r="5557">
      <c r="A5557" s="114">
        <v>1630173.0</v>
      </c>
      <c r="B5557" s="113" t="s">
        <v>247</v>
      </c>
      <c r="C5557" s="113" t="s">
        <v>1345</v>
      </c>
      <c r="D5557" s="112" t="s">
        <v>177</v>
      </c>
      <c r="E5557" s="112">
        <v>1744.7</v>
      </c>
      <c r="F5557" s="111" t="str">
        <f>DataPull!D5557</f>
        <v/>
      </c>
      <c r="G5557" s="94" t="str">
        <f t="shared" si="2"/>
        <v/>
      </c>
      <c r="H5557" s="94" t="str">
        <f t="shared" si="3"/>
        <v/>
      </c>
      <c r="I5557" s="94" t="str">
        <f t="shared" ref="I5557:J5557" si="5558">if(G5557 = "", , -G5557)</f>
        <v/>
      </c>
      <c r="J5557" s="94" t="str">
        <f t="shared" si="5558"/>
        <v/>
      </c>
      <c r="K5557" s="100"/>
      <c r="M5557" s="100"/>
      <c r="N5557" s="100"/>
      <c r="O5557" s="100"/>
      <c r="P5557" s="100"/>
    </row>
    <row r="5558">
      <c r="A5558" s="107">
        <v>1630174.0</v>
      </c>
      <c r="B5558" s="108" t="s">
        <v>243</v>
      </c>
      <c r="C5558" s="108" t="s">
        <v>1346</v>
      </c>
      <c r="D5558" s="112" t="s">
        <v>177</v>
      </c>
      <c r="E5558" s="112">
        <v>667.0</v>
      </c>
      <c r="F5558" s="111" t="str">
        <f>DataPull!D5558</f>
        <v/>
      </c>
      <c r="G5558" s="94" t="str">
        <f t="shared" si="2"/>
        <v/>
      </c>
      <c r="H5558" s="94" t="str">
        <f t="shared" si="3"/>
        <v/>
      </c>
      <c r="I5558" s="94" t="str">
        <f t="shared" ref="I5558:J5558" si="5559">if(G5558 = "", , -G5558)</f>
        <v/>
      </c>
      <c r="J5558" s="94" t="str">
        <f t="shared" si="5559"/>
        <v/>
      </c>
      <c r="K5558" s="100"/>
      <c r="M5558" s="100"/>
      <c r="N5558" s="100"/>
      <c r="O5558" s="100"/>
      <c r="P5558" s="100"/>
    </row>
    <row r="5559">
      <c r="A5559" s="107">
        <v>1630174.0</v>
      </c>
      <c r="B5559" s="108" t="s">
        <v>215</v>
      </c>
      <c r="C5559" s="108" t="s">
        <v>1346</v>
      </c>
      <c r="D5559" s="112" t="s">
        <v>177</v>
      </c>
      <c r="E5559" s="112">
        <v>572.0</v>
      </c>
      <c r="F5559" s="111" t="str">
        <f>DataPull!D5559</f>
        <v/>
      </c>
      <c r="G5559" s="94" t="str">
        <f t="shared" si="2"/>
        <v/>
      </c>
      <c r="H5559" s="94" t="str">
        <f t="shared" si="3"/>
        <v/>
      </c>
      <c r="I5559" s="94" t="str">
        <f t="shared" ref="I5559:J5559" si="5560">if(G5559 = "", , -G5559)</f>
        <v/>
      </c>
      <c r="J5559" s="94" t="str">
        <f t="shared" si="5560"/>
        <v/>
      </c>
      <c r="K5559" s="100"/>
      <c r="M5559" s="100"/>
      <c r="N5559" s="100"/>
      <c r="O5559" s="100"/>
      <c r="P5559" s="100"/>
    </row>
    <row r="5560">
      <c r="A5560" s="107">
        <v>1630174.0</v>
      </c>
      <c r="B5560" s="108" t="s">
        <v>244</v>
      </c>
      <c r="C5560" s="108" t="s">
        <v>1346</v>
      </c>
      <c r="D5560" s="112" t="s">
        <v>176</v>
      </c>
      <c r="E5560" s="112">
        <v>1817.7</v>
      </c>
      <c r="F5560" s="111" t="str">
        <f>DataPull!D5560</f>
        <v/>
      </c>
      <c r="G5560" s="94" t="str">
        <f t="shared" si="2"/>
        <v/>
      </c>
      <c r="H5560" s="94" t="str">
        <f t="shared" si="3"/>
        <v/>
      </c>
      <c r="I5560" s="94" t="str">
        <f t="shared" ref="I5560:J5560" si="5561">if(G5560 = "", , -G5560)</f>
        <v/>
      </c>
      <c r="J5560" s="94" t="str">
        <f t="shared" si="5561"/>
        <v/>
      </c>
      <c r="K5560" s="100"/>
      <c r="L5560" s="100"/>
      <c r="N5560" s="100"/>
      <c r="O5560" s="100"/>
      <c r="P5560" s="100"/>
    </row>
    <row r="5561">
      <c r="A5561" s="107">
        <v>1630174.0</v>
      </c>
      <c r="B5561" s="108" t="s">
        <v>245</v>
      </c>
      <c r="C5561" s="108" t="s">
        <v>1346</v>
      </c>
      <c r="D5561" s="112" t="s">
        <v>178</v>
      </c>
      <c r="E5561" s="112">
        <v>1994.4</v>
      </c>
      <c r="F5561" s="111" t="str">
        <f>DataPull!D5561</f>
        <v/>
      </c>
      <c r="G5561" s="94" t="str">
        <f t="shared" si="2"/>
        <v/>
      </c>
      <c r="H5561" s="94" t="str">
        <f t="shared" si="3"/>
        <v/>
      </c>
      <c r="I5561" s="94" t="str">
        <f t="shared" ref="I5561:J5561" si="5562">if(G5561 = "", , -G5561)</f>
        <v/>
      </c>
      <c r="J5561" s="94" t="str">
        <f t="shared" si="5562"/>
        <v/>
      </c>
      <c r="K5561" s="100"/>
      <c r="M5561" s="100"/>
      <c r="N5561" s="100"/>
      <c r="O5561" s="100"/>
      <c r="P5561" s="100"/>
    </row>
    <row r="5562">
      <c r="A5562" s="107">
        <v>1630174.0</v>
      </c>
      <c r="B5562" s="108" t="s">
        <v>246</v>
      </c>
      <c r="C5562" s="108" t="s">
        <v>1346</v>
      </c>
      <c r="D5562" s="112" t="s">
        <v>176</v>
      </c>
      <c r="E5562" s="112">
        <v>1120.5</v>
      </c>
      <c r="F5562" s="111" t="str">
        <f>DataPull!D5562</f>
        <v/>
      </c>
      <c r="G5562" s="94" t="str">
        <f t="shared" si="2"/>
        <v/>
      </c>
      <c r="H5562" s="94" t="str">
        <f t="shared" si="3"/>
        <v/>
      </c>
      <c r="I5562" s="94" t="str">
        <f t="shared" ref="I5562:J5562" si="5563">if(G5562 = "", , -G5562)</f>
        <v/>
      </c>
      <c r="J5562" s="94" t="str">
        <f t="shared" si="5563"/>
        <v/>
      </c>
      <c r="K5562" s="100"/>
      <c r="M5562" s="100"/>
      <c r="N5562" s="100"/>
      <c r="O5562" s="100"/>
    </row>
    <row r="5563">
      <c r="A5563" s="114">
        <v>1630174.0</v>
      </c>
      <c r="B5563" s="113" t="s">
        <v>247</v>
      </c>
      <c r="C5563" s="113" t="s">
        <v>1346</v>
      </c>
      <c r="D5563" s="112" t="s">
        <v>178</v>
      </c>
      <c r="E5563" s="112">
        <v>1336.5</v>
      </c>
      <c r="F5563" s="111" t="str">
        <f>DataPull!D5563</f>
        <v/>
      </c>
      <c r="G5563" s="94" t="str">
        <f t="shared" si="2"/>
        <v/>
      </c>
      <c r="H5563" s="94" t="str">
        <f t="shared" si="3"/>
        <v/>
      </c>
      <c r="I5563" s="94" t="str">
        <f t="shared" ref="I5563:J5563" si="5564">if(G5563 = "", , -G5563)</f>
        <v/>
      </c>
      <c r="J5563" s="94" t="str">
        <f t="shared" si="5564"/>
        <v/>
      </c>
      <c r="K5563" s="100"/>
      <c r="M5563" s="100"/>
      <c r="N5563" s="100"/>
      <c r="O5563" s="100"/>
      <c r="P5563" s="100"/>
    </row>
    <row r="5564">
      <c r="A5564" s="107">
        <v>1630175.0</v>
      </c>
      <c r="B5564" s="108" t="s">
        <v>243</v>
      </c>
      <c r="C5564" s="108" t="s">
        <v>1347</v>
      </c>
      <c r="D5564" s="112" t="s">
        <v>176</v>
      </c>
      <c r="E5564" s="112">
        <v>1273.7</v>
      </c>
      <c r="F5564" s="111" t="str">
        <f>DataPull!D5564</f>
        <v/>
      </c>
      <c r="G5564" s="94" t="str">
        <f t="shared" si="2"/>
        <v/>
      </c>
      <c r="H5564" s="94" t="str">
        <f t="shared" si="3"/>
        <v/>
      </c>
      <c r="I5564" s="94" t="str">
        <f t="shared" ref="I5564:J5564" si="5565">if(G5564 = "", , -G5564)</f>
        <v/>
      </c>
      <c r="J5564" s="94" t="str">
        <f t="shared" si="5565"/>
        <v/>
      </c>
      <c r="K5564" s="100"/>
      <c r="M5564" s="100"/>
      <c r="N5564" s="100"/>
      <c r="O5564" s="100"/>
      <c r="P5564" s="100"/>
    </row>
    <row r="5565">
      <c r="A5565" s="107">
        <v>1630175.0</v>
      </c>
      <c r="B5565" s="108" t="s">
        <v>215</v>
      </c>
      <c r="C5565" s="108" t="s">
        <v>1347</v>
      </c>
      <c r="D5565" s="112" t="s">
        <v>178</v>
      </c>
      <c r="E5565" s="112">
        <v>2060.5</v>
      </c>
      <c r="F5565" s="111" t="str">
        <f>DataPull!D5565</f>
        <v/>
      </c>
      <c r="G5565" s="94" t="str">
        <f t="shared" si="2"/>
        <v/>
      </c>
      <c r="H5565" s="94" t="str">
        <f t="shared" si="3"/>
        <v/>
      </c>
      <c r="I5565" s="94" t="str">
        <f t="shared" ref="I5565:J5565" si="5566">if(G5565 = "", , -G5565)</f>
        <v/>
      </c>
      <c r="J5565" s="94" t="str">
        <f t="shared" si="5566"/>
        <v/>
      </c>
      <c r="K5565" s="100"/>
      <c r="M5565" s="100"/>
      <c r="N5565" s="100"/>
      <c r="O5565" s="100"/>
      <c r="P5565" s="100"/>
    </row>
    <row r="5566">
      <c r="A5566" s="107">
        <v>1630175.0</v>
      </c>
      <c r="B5566" s="108" t="s">
        <v>244</v>
      </c>
      <c r="C5566" s="108" t="s">
        <v>1347</v>
      </c>
      <c r="D5566" s="112" t="s">
        <v>178</v>
      </c>
      <c r="E5566" s="112">
        <v>1554.0</v>
      </c>
      <c r="F5566" s="111" t="str">
        <f>DataPull!D5566</f>
        <v/>
      </c>
      <c r="G5566" s="94" t="str">
        <f t="shared" si="2"/>
        <v/>
      </c>
      <c r="H5566" s="94" t="str">
        <f t="shared" si="3"/>
        <v/>
      </c>
      <c r="I5566" s="94" t="str">
        <f t="shared" ref="I5566:J5566" si="5567">if(G5566 = "", , -G5566)</f>
        <v/>
      </c>
      <c r="J5566" s="94" t="str">
        <f t="shared" si="5567"/>
        <v/>
      </c>
      <c r="K5566" s="100"/>
      <c r="L5566" s="100"/>
      <c r="N5566" s="100"/>
      <c r="O5566" s="100"/>
      <c r="P5566" s="100"/>
    </row>
    <row r="5567">
      <c r="A5567" s="107">
        <v>1630175.0</v>
      </c>
      <c r="B5567" s="108" t="s">
        <v>245</v>
      </c>
      <c r="C5567" s="108" t="s">
        <v>1347</v>
      </c>
      <c r="D5567" s="112" t="s">
        <v>176</v>
      </c>
      <c r="E5567" s="112">
        <v>1814.4</v>
      </c>
      <c r="F5567" s="111" t="str">
        <f>DataPull!D5567</f>
        <v/>
      </c>
      <c r="G5567" s="94" t="str">
        <f t="shared" si="2"/>
        <v/>
      </c>
      <c r="H5567" s="94" t="str">
        <f t="shared" si="3"/>
        <v/>
      </c>
      <c r="I5567" s="94" t="str">
        <f t="shared" ref="I5567:J5567" si="5568">if(G5567 = "", , -G5567)</f>
        <v/>
      </c>
      <c r="J5567" s="94" t="str">
        <f t="shared" si="5568"/>
        <v/>
      </c>
      <c r="K5567" s="100"/>
      <c r="M5567" s="100"/>
      <c r="N5567" s="100"/>
      <c r="O5567" s="100"/>
      <c r="P5567" s="100"/>
    </row>
    <row r="5568">
      <c r="A5568" s="107">
        <v>1630175.0</v>
      </c>
      <c r="B5568" s="108" t="s">
        <v>246</v>
      </c>
      <c r="C5568" s="108" t="s">
        <v>1347</v>
      </c>
      <c r="D5568" s="112" t="s">
        <v>177</v>
      </c>
      <c r="E5568" s="112">
        <v>1232.8</v>
      </c>
      <c r="F5568" s="111" t="str">
        <f>DataPull!D5568</f>
        <v/>
      </c>
      <c r="G5568" s="94" t="str">
        <f t="shared" si="2"/>
        <v/>
      </c>
      <c r="H5568" s="94" t="str">
        <f t="shared" si="3"/>
        <v/>
      </c>
      <c r="I5568" s="94" t="str">
        <f t="shared" ref="I5568:J5568" si="5569">if(G5568 = "", , -G5568)</f>
        <v/>
      </c>
      <c r="J5568" s="94" t="str">
        <f t="shared" si="5569"/>
        <v/>
      </c>
      <c r="K5568" s="100"/>
      <c r="M5568" s="100"/>
      <c r="N5568" s="100"/>
      <c r="O5568" s="100"/>
      <c r="P5568" s="100"/>
    </row>
    <row r="5569">
      <c r="A5569" s="114">
        <v>1630175.0</v>
      </c>
      <c r="B5569" s="113" t="s">
        <v>247</v>
      </c>
      <c r="C5569" s="113" t="s">
        <v>1347</v>
      </c>
      <c r="D5569" s="112" t="s">
        <v>177</v>
      </c>
      <c r="E5569" s="112">
        <v>525.0</v>
      </c>
      <c r="F5569" s="111" t="str">
        <f>DataPull!D5569</f>
        <v/>
      </c>
      <c r="G5569" s="94" t="str">
        <f t="shared" si="2"/>
        <v/>
      </c>
      <c r="H5569" s="94" t="str">
        <f t="shared" si="3"/>
        <v/>
      </c>
      <c r="I5569" s="94" t="str">
        <f t="shared" ref="I5569:J5569" si="5570">if(G5569 = "", , -G5569)</f>
        <v/>
      </c>
      <c r="J5569" s="94" t="str">
        <f t="shared" si="5570"/>
        <v/>
      </c>
      <c r="K5569" s="100"/>
      <c r="M5569" s="100"/>
      <c r="N5569" s="100"/>
      <c r="O5569" s="100"/>
      <c r="P5569" s="100"/>
    </row>
    <row r="5570">
      <c r="A5570" s="107">
        <v>1630176.0</v>
      </c>
      <c r="B5570" s="108" t="s">
        <v>243</v>
      </c>
      <c r="C5570" s="108" t="s">
        <v>1348</v>
      </c>
      <c r="D5570" s="112" t="s">
        <v>187</v>
      </c>
      <c r="E5570" s="112">
        <v>114.0</v>
      </c>
      <c r="F5570" s="111" t="str">
        <f>DataPull!D5570</f>
        <v/>
      </c>
      <c r="G5570" s="94" t="str">
        <f t="shared" si="2"/>
        <v/>
      </c>
      <c r="H5570" s="94" t="str">
        <f t="shared" si="3"/>
        <v/>
      </c>
      <c r="I5570" s="94" t="str">
        <f t="shared" ref="I5570:J5570" si="5571">if(G5570 = "", , -G5570)</f>
        <v/>
      </c>
      <c r="J5570" s="94" t="str">
        <f t="shared" si="5571"/>
        <v/>
      </c>
      <c r="K5570" s="100"/>
      <c r="M5570" s="100"/>
      <c r="N5570" s="100"/>
      <c r="O5570" s="100"/>
      <c r="P5570" s="100"/>
    </row>
    <row r="5571">
      <c r="A5571" s="107">
        <v>1630176.0</v>
      </c>
      <c r="B5571" s="108" t="s">
        <v>215</v>
      </c>
      <c r="C5571" s="108" t="s">
        <v>1348</v>
      </c>
      <c r="D5571" s="112" t="s">
        <v>181</v>
      </c>
      <c r="E5571" s="112">
        <v>44.1</v>
      </c>
      <c r="F5571" s="111" t="str">
        <f>DataPull!D5571</f>
        <v/>
      </c>
      <c r="G5571" s="94" t="str">
        <f t="shared" si="2"/>
        <v/>
      </c>
      <c r="H5571" s="94" t="str">
        <f t="shared" si="3"/>
        <v/>
      </c>
      <c r="I5571" s="94" t="str">
        <f t="shared" ref="I5571:J5571" si="5572">if(G5571 = "", , -G5571)</f>
        <v/>
      </c>
      <c r="J5571" s="94" t="str">
        <f t="shared" si="5572"/>
        <v/>
      </c>
      <c r="K5571" s="100"/>
      <c r="M5571" s="100"/>
      <c r="N5571" s="100"/>
      <c r="O5571" s="100"/>
      <c r="P5571" s="100"/>
    </row>
    <row r="5572">
      <c r="A5572" s="107">
        <v>1630176.0</v>
      </c>
      <c r="B5572" s="108" t="s">
        <v>244</v>
      </c>
      <c r="C5572" s="108" t="s">
        <v>1348</v>
      </c>
      <c r="D5572" s="112" t="s">
        <v>187</v>
      </c>
      <c r="E5572" s="112">
        <v>28.6</v>
      </c>
      <c r="F5572" s="111" t="str">
        <f>DataPull!D5572</f>
        <v/>
      </c>
      <c r="G5572" s="94" t="str">
        <f t="shared" si="2"/>
        <v/>
      </c>
      <c r="H5572" s="94" t="str">
        <f t="shared" si="3"/>
        <v/>
      </c>
      <c r="I5572" s="94" t="str">
        <f t="shared" ref="I5572:J5572" si="5573">if(G5572 = "", , -G5572)</f>
        <v/>
      </c>
      <c r="J5572" s="94" t="str">
        <f t="shared" si="5573"/>
        <v/>
      </c>
      <c r="K5572" s="100"/>
      <c r="M5572" s="100"/>
      <c r="N5572" s="100"/>
      <c r="O5572" s="100"/>
      <c r="P5572" s="100"/>
    </row>
    <row r="5573">
      <c r="A5573" s="107">
        <v>1630177.0</v>
      </c>
      <c r="B5573" s="108" t="s">
        <v>243</v>
      </c>
      <c r="C5573" s="108" t="s">
        <v>1349</v>
      </c>
      <c r="D5573" s="112" t="s">
        <v>178</v>
      </c>
      <c r="E5573" s="112">
        <v>1774.5</v>
      </c>
      <c r="F5573" s="111" t="str">
        <f>DataPull!D5573</f>
        <v/>
      </c>
      <c r="G5573" s="94" t="str">
        <f t="shared" si="2"/>
        <v/>
      </c>
      <c r="H5573" s="94" t="str">
        <f t="shared" si="3"/>
        <v/>
      </c>
      <c r="I5573" s="94" t="str">
        <f t="shared" ref="I5573:J5573" si="5574">if(G5573 = "", , -G5573)</f>
        <v/>
      </c>
      <c r="J5573" s="94" t="str">
        <f t="shared" si="5574"/>
        <v/>
      </c>
      <c r="K5573" s="100"/>
      <c r="M5573" s="100"/>
      <c r="N5573" s="100"/>
      <c r="O5573" s="100"/>
      <c r="P5573" s="100"/>
    </row>
    <row r="5574">
      <c r="A5574" s="107">
        <v>1630177.0</v>
      </c>
      <c r="B5574" s="108" t="s">
        <v>215</v>
      </c>
      <c r="C5574" s="108" t="s">
        <v>1349</v>
      </c>
      <c r="D5574" s="112" t="s">
        <v>177</v>
      </c>
      <c r="E5574" s="112">
        <v>907.8</v>
      </c>
      <c r="F5574" s="111" t="str">
        <f>DataPull!D5574</f>
        <v/>
      </c>
      <c r="G5574" s="94" t="str">
        <f t="shared" si="2"/>
        <v/>
      </c>
      <c r="H5574" s="94" t="str">
        <f t="shared" si="3"/>
        <v/>
      </c>
      <c r="I5574" s="94" t="str">
        <f t="shared" ref="I5574:J5574" si="5575">if(G5574 = "", , -G5574)</f>
        <v/>
      </c>
      <c r="J5574" s="94" t="str">
        <f t="shared" si="5575"/>
        <v/>
      </c>
      <c r="K5574" s="100"/>
      <c r="M5574" s="100"/>
      <c r="N5574" s="100"/>
      <c r="O5574" s="100"/>
      <c r="P5574" s="100"/>
    </row>
    <row r="5575">
      <c r="A5575" s="107">
        <v>1630177.0</v>
      </c>
      <c r="B5575" s="108" t="s">
        <v>244</v>
      </c>
      <c r="C5575" s="108" t="s">
        <v>1349</v>
      </c>
      <c r="D5575" s="112" t="s">
        <v>177</v>
      </c>
      <c r="E5575" s="112">
        <v>853.6</v>
      </c>
      <c r="F5575" s="111" t="str">
        <f>DataPull!D5575</f>
        <v/>
      </c>
      <c r="G5575" s="94" t="str">
        <f t="shared" si="2"/>
        <v/>
      </c>
      <c r="H5575" s="94" t="str">
        <f t="shared" si="3"/>
        <v/>
      </c>
      <c r="I5575" s="94" t="str">
        <f t="shared" ref="I5575:J5575" si="5576">if(G5575 = "", , -G5575)</f>
        <v/>
      </c>
      <c r="J5575" s="94" t="str">
        <f t="shared" si="5576"/>
        <v/>
      </c>
      <c r="K5575" s="100"/>
      <c r="M5575" s="100"/>
      <c r="N5575" s="100"/>
      <c r="O5575" s="100"/>
      <c r="P5575" s="100"/>
    </row>
    <row r="5576">
      <c r="A5576" s="107">
        <v>1630177.0</v>
      </c>
      <c r="B5576" s="108" t="s">
        <v>245</v>
      </c>
      <c r="C5576" s="108" t="s">
        <v>1349</v>
      </c>
      <c r="D5576" s="112" t="s">
        <v>187</v>
      </c>
      <c r="E5576" s="112">
        <v>212.5</v>
      </c>
      <c r="F5576" s="111" t="str">
        <f>DataPull!D5576</f>
        <v/>
      </c>
      <c r="G5576" s="94" t="str">
        <f t="shared" si="2"/>
        <v/>
      </c>
      <c r="H5576" s="94" t="str">
        <f t="shared" si="3"/>
        <v/>
      </c>
      <c r="I5576" s="94" t="str">
        <f t="shared" ref="I5576:J5576" si="5577">if(G5576 = "", , -G5576)</f>
        <v/>
      </c>
      <c r="J5576" s="94" t="str">
        <f t="shared" si="5577"/>
        <v/>
      </c>
      <c r="K5576" s="100"/>
      <c r="N5576" s="100"/>
      <c r="O5576" s="100"/>
      <c r="P5576" s="100"/>
    </row>
    <row r="5577">
      <c r="A5577" s="107">
        <v>1630178.0</v>
      </c>
      <c r="B5577" s="108" t="s">
        <v>243</v>
      </c>
      <c r="C5577" s="108" t="s">
        <v>1350</v>
      </c>
      <c r="D5577" s="112" t="s">
        <v>177</v>
      </c>
      <c r="E5577" s="112">
        <v>933.3</v>
      </c>
      <c r="F5577" s="111" t="str">
        <f>DataPull!D5577</f>
        <v/>
      </c>
      <c r="G5577" s="94" t="str">
        <f t="shared" si="2"/>
        <v/>
      </c>
      <c r="H5577" s="94" t="str">
        <f t="shared" si="3"/>
        <v/>
      </c>
      <c r="I5577" s="94" t="str">
        <f t="shared" ref="I5577:J5577" si="5578">if(G5577 = "", , -G5577)</f>
        <v/>
      </c>
      <c r="J5577" s="94" t="str">
        <f t="shared" si="5578"/>
        <v/>
      </c>
      <c r="K5577" s="100"/>
      <c r="M5577" s="100"/>
      <c r="N5577" s="100"/>
      <c r="O5577" s="100"/>
      <c r="P5577" s="100"/>
    </row>
    <row r="5578">
      <c r="A5578" s="107">
        <v>1630178.0</v>
      </c>
      <c r="B5578" s="108" t="s">
        <v>215</v>
      </c>
      <c r="C5578" s="108" t="s">
        <v>1350</v>
      </c>
      <c r="D5578" s="112" t="s">
        <v>178</v>
      </c>
      <c r="E5578" s="112">
        <v>2647.5</v>
      </c>
      <c r="F5578" s="111" t="str">
        <f>DataPull!D5578</f>
        <v/>
      </c>
      <c r="G5578" s="94" t="str">
        <f t="shared" si="2"/>
        <v/>
      </c>
      <c r="H5578" s="94" t="str">
        <f t="shared" si="3"/>
        <v/>
      </c>
      <c r="I5578" s="94" t="str">
        <f t="shared" ref="I5578:J5578" si="5579">if(G5578 = "", , -G5578)</f>
        <v/>
      </c>
      <c r="J5578" s="94" t="str">
        <f t="shared" si="5579"/>
        <v/>
      </c>
      <c r="K5578" s="100"/>
      <c r="N5578" s="100"/>
    </row>
    <row r="5579">
      <c r="A5579" s="107">
        <v>1630178.0</v>
      </c>
      <c r="B5579" s="108" t="s">
        <v>244</v>
      </c>
      <c r="C5579" s="108" t="s">
        <v>1350</v>
      </c>
      <c r="D5579" s="112" t="s">
        <v>184</v>
      </c>
      <c r="E5579" s="112">
        <v>2016.0</v>
      </c>
      <c r="F5579" s="111" t="str">
        <f>DataPull!D5579</f>
        <v/>
      </c>
      <c r="G5579" s="94" t="str">
        <f t="shared" si="2"/>
        <v/>
      </c>
      <c r="H5579" s="94" t="str">
        <f t="shared" si="3"/>
        <v/>
      </c>
      <c r="I5579" s="94" t="str">
        <f t="shared" ref="I5579:J5579" si="5580">if(G5579 = "", , -G5579)</f>
        <v/>
      </c>
      <c r="J5579" s="94" t="str">
        <f t="shared" si="5580"/>
        <v/>
      </c>
      <c r="K5579" s="100"/>
      <c r="M5579" s="100"/>
      <c r="N5579" s="100"/>
      <c r="O5579" s="100"/>
    </row>
    <row r="5580">
      <c r="A5580" s="107">
        <v>1630178.0</v>
      </c>
      <c r="B5580" s="108" t="s">
        <v>245</v>
      </c>
      <c r="C5580" s="108" t="s">
        <v>1350</v>
      </c>
      <c r="D5580" s="112" t="s">
        <v>184</v>
      </c>
      <c r="E5580" s="112">
        <v>2625.0</v>
      </c>
      <c r="F5580" s="111" t="str">
        <f>DataPull!D5580</f>
        <v/>
      </c>
      <c r="G5580" s="94" t="str">
        <f t="shared" si="2"/>
        <v/>
      </c>
      <c r="H5580" s="94" t="str">
        <f t="shared" si="3"/>
        <v/>
      </c>
      <c r="I5580" s="94" t="str">
        <f t="shared" ref="I5580:J5580" si="5581">if(G5580 = "", , -G5580)</f>
        <v/>
      </c>
      <c r="J5580" s="94" t="str">
        <f t="shared" si="5581"/>
        <v/>
      </c>
      <c r="K5580" s="100"/>
      <c r="M5580" s="100"/>
      <c r="N5580" s="100"/>
      <c r="O5580" s="100"/>
      <c r="P5580" s="100"/>
    </row>
    <row r="5581">
      <c r="A5581" s="107">
        <v>1630178.0</v>
      </c>
      <c r="B5581" s="108" t="s">
        <v>246</v>
      </c>
      <c r="C5581" s="108" t="s">
        <v>1350</v>
      </c>
      <c r="D5581" s="112" t="s">
        <v>184</v>
      </c>
      <c r="E5581" s="112">
        <v>1960.4</v>
      </c>
      <c r="F5581" s="111" t="str">
        <f>DataPull!D5581</f>
        <v/>
      </c>
      <c r="G5581" s="94" t="str">
        <f t="shared" si="2"/>
        <v/>
      </c>
      <c r="H5581" s="94" t="str">
        <f t="shared" si="3"/>
        <v/>
      </c>
      <c r="I5581" s="94" t="str">
        <f t="shared" ref="I5581:J5581" si="5582">if(G5581 = "", , -G5581)</f>
        <v/>
      </c>
      <c r="J5581" s="94" t="str">
        <f t="shared" si="5582"/>
        <v/>
      </c>
      <c r="K5581" s="100"/>
      <c r="L5581" s="100"/>
      <c r="M5581" s="100"/>
      <c r="N5581" s="100"/>
      <c r="O5581" s="100"/>
    </row>
    <row r="5582">
      <c r="A5582" s="114">
        <v>1630178.0</v>
      </c>
      <c r="B5582" s="113" t="s">
        <v>247</v>
      </c>
      <c r="C5582" s="113" t="s">
        <v>1350</v>
      </c>
      <c r="D5582" s="112" t="s">
        <v>184</v>
      </c>
      <c r="E5582" s="112">
        <v>2660.0</v>
      </c>
      <c r="F5582" s="111" t="str">
        <f>DataPull!D5582</f>
        <v/>
      </c>
      <c r="G5582" s="94" t="str">
        <f t="shared" si="2"/>
        <v/>
      </c>
      <c r="H5582" s="94" t="str">
        <f t="shared" si="3"/>
        <v/>
      </c>
      <c r="I5582" s="94" t="str">
        <f t="shared" ref="I5582:J5582" si="5583">if(G5582 = "", , -G5582)</f>
        <v/>
      </c>
      <c r="J5582" s="94" t="str">
        <f t="shared" si="5583"/>
        <v/>
      </c>
      <c r="K5582" s="100"/>
      <c r="L5582" s="100"/>
      <c r="M5582" s="100"/>
      <c r="N5582" s="100"/>
      <c r="O5582" s="100"/>
    </row>
    <row r="5583">
      <c r="A5583" s="107">
        <v>1630179.0</v>
      </c>
      <c r="B5583" s="108" t="s">
        <v>243</v>
      </c>
      <c r="C5583" s="108" t="s">
        <v>1351</v>
      </c>
      <c r="D5583" s="112" t="s">
        <v>187</v>
      </c>
      <c r="E5583" s="112">
        <v>56.1</v>
      </c>
      <c r="F5583" s="111" t="str">
        <f>DataPull!D5583</f>
        <v/>
      </c>
      <c r="G5583" s="94" t="str">
        <f t="shared" si="2"/>
        <v/>
      </c>
      <c r="H5583" s="94" t="str">
        <f t="shared" si="3"/>
        <v/>
      </c>
      <c r="I5583" s="94" t="str">
        <f t="shared" ref="I5583:J5583" si="5584">if(G5583 = "", , -G5583)</f>
        <v/>
      </c>
      <c r="J5583" s="94" t="str">
        <f t="shared" si="5584"/>
        <v/>
      </c>
      <c r="K5583" s="100"/>
      <c r="L5583" s="100"/>
      <c r="M5583" s="100"/>
      <c r="N5583" s="100"/>
      <c r="O5583" s="100"/>
      <c r="P5583" s="100"/>
    </row>
    <row r="5584">
      <c r="A5584" s="107">
        <v>1630179.0</v>
      </c>
      <c r="B5584" s="108" t="s">
        <v>215</v>
      </c>
      <c r="C5584" s="108" t="s">
        <v>1351</v>
      </c>
      <c r="D5584" s="112" t="s">
        <v>181</v>
      </c>
      <c r="E5584" s="112">
        <v>3.0</v>
      </c>
      <c r="F5584" s="111" t="str">
        <f>DataPull!D5584</f>
        <v/>
      </c>
      <c r="G5584" s="94" t="str">
        <f t="shared" si="2"/>
        <v/>
      </c>
      <c r="H5584" s="94" t="str">
        <f t="shared" si="3"/>
        <v/>
      </c>
      <c r="I5584" s="94" t="str">
        <f t="shared" ref="I5584:J5584" si="5585">if(G5584 = "", , -G5584)</f>
        <v/>
      </c>
      <c r="J5584" s="94" t="str">
        <f t="shared" si="5585"/>
        <v/>
      </c>
      <c r="K5584" s="100"/>
      <c r="M5584" s="100"/>
      <c r="N5584" s="100"/>
      <c r="O5584" s="100"/>
      <c r="P5584" s="100"/>
    </row>
    <row r="5585">
      <c r="A5585" s="107">
        <v>1630180.0</v>
      </c>
      <c r="B5585" s="108" t="s">
        <v>243</v>
      </c>
      <c r="C5585" s="108" t="s">
        <v>1352</v>
      </c>
      <c r="D5585" s="112" t="s">
        <v>178</v>
      </c>
      <c r="E5585" s="112">
        <v>1911.0</v>
      </c>
      <c r="F5585" s="111" t="str">
        <f>DataPull!D5585</f>
        <v/>
      </c>
      <c r="G5585" s="94" t="str">
        <f t="shared" si="2"/>
        <v/>
      </c>
      <c r="H5585" s="94" t="str">
        <f t="shared" si="3"/>
        <v/>
      </c>
      <c r="I5585" s="94" t="str">
        <f t="shared" ref="I5585:J5585" si="5586">if(G5585 = "", , -G5585)</f>
        <v/>
      </c>
      <c r="J5585" s="94" t="str">
        <f t="shared" si="5586"/>
        <v/>
      </c>
      <c r="K5585" s="100"/>
      <c r="M5585" s="100"/>
      <c r="N5585" s="100"/>
      <c r="O5585" s="100"/>
      <c r="P5585" s="100"/>
    </row>
    <row r="5586">
      <c r="A5586" s="107">
        <v>1630180.0</v>
      </c>
      <c r="B5586" s="108" t="s">
        <v>215</v>
      </c>
      <c r="C5586" s="108" t="s">
        <v>1352</v>
      </c>
      <c r="D5586" s="112" t="s">
        <v>178</v>
      </c>
      <c r="E5586" s="112">
        <v>2706.0</v>
      </c>
      <c r="F5586" s="111" t="str">
        <f>DataPull!D5586</f>
        <v/>
      </c>
      <c r="G5586" s="94" t="str">
        <f t="shared" si="2"/>
        <v/>
      </c>
      <c r="H5586" s="94" t="str">
        <f t="shared" si="3"/>
        <v/>
      </c>
      <c r="I5586" s="94" t="str">
        <f t="shared" ref="I5586:J5586" si="5587">if(G5586 = "", , -G5586)</f>
        <v/>
      </c>
      <c r="J5586" s="94" t="str">
        <f t="shared" si="5587"/>
        <v/>
      </c>
      <c r="K5586" s="100"/>
      <c r="L5586" s="100"/>
      <c r="M5586" s="100"/>
      <c r="N5586" s="100"/>
      <c r="O5586" s="100"/>
      <c r="P5586" s="100"/>
    </row>
    <row r="5587">
      <c r="A5587" s="107">
        <v>1630180.0</v>
      </c>
      <c r="B5587" s="108" t="s">
        <v>244</v>
      </c>
      <c r="C5587" s="108" t="s">
        <v>1352</v>
      </c>
      <c r="D5587" s="112" t="s">
        <v>178</v>
      </c>
      <c r="E5587" s="112">
        <v>2125.2</v>
      </c>
      <c r="F5587" s="111" t="str">
        <f>DataPull!D5587</f>
        <v/>
      </c>
      <c r="G5587" s="94" t="str">
        <f t="shared" si="2"/>
        <v/>
      </c>
      <c r="H5587" s="94" t="str">
        <f t="shared" si="3"/>
        <v/>
      </c>
      <c r="I5587" s="94" t="str">
        <f t="shared" ref="I5587:J5587" si="5588">if(G5587 = "", , -G5587)</f>
        <v/>
      </c>
      <c r="J5587" s="94" t="str">
        <f t="shared" si="5588"/>
        <v/>
      </c>
      <c r="M5587" s="100"/>
      <c r="N5587" s="100"/>
      <c r="O5587" s="100"/>
      <c r="P5587" s="100"/>
    </row>
    <row r="5588">
      <c r="A5588" s="107">
        <v>1630180.0</v>
      </c>
      <c r="B5588" s="108" t="s">
        <v>245</v>
      </c>
      <c r="C5588" s="108" t="s">
        <v>1352</v>
      </c>
      <c r="D5588" s="112" t="s">
        <v>178</v>
      </c>
      <c r="E5588" s="112">
        <v>2060.1</v>
      </c>
      <c r="F5588" s="111" t="str">
        <f>DataPull!D5588</f>
        <v/>
      </c>
      <c r="G5588" s="94" t="str">
        <f t="shared" si="2"/>
        <v/>
      </c>
      <c r="H5588" s="94" t="str">
        <f t="shared" si="3"/>
        <v/>
      </c>
      <c r="I5588" s="94" t="str">
        <f t="shared" ref="I5588:J5588" si="5589">if(G5588 = "", , -G5588)</f>
        <v/>
      </c>
      <c r="J5588" s="94" t="str">
        <f t="shared" si="5589"/>
        <v/>
      </c>
      <c r="K5588" s="100"/>
      <c r="M5588" s="100"/>
      <c r="N5588" s="100"/>
      <c r="O5588" s="100"/>
      <c r="P5588" s="100"/>
    </row>
    <row r="5589">
      <c r="A5589" s="114">
        <v>1630180.0</v>
      </c>
      <c r="B5589" s="113" t="s">
        <v>247</v>
      </c>
      <c r="C5589" s="113" t="s">
        <v>1352</v>
      </c>
      <c r="D5589" s="112" t="s">
        <v>184</v>
      </c>
      <c r="E5589" s="112">
        <v>2246.4</v>
      </c>
      <c r="F5589" s="111" t="str">
        <f>DataPull!D5589</f>
        <v/>
      </c>
      <c r="G5589" s="94" t="str">
        <f t="shared" si="2"/>
        <v/>
      </c>
      <c r="H5589" s="94" t="str">
        <f t="shared" si="3"/>
        <v/>
      </c>
      <c r="I5589" s="94" t="str">
        <f t="shared" ref="I5589:J5589" si="5590">if(G5589 = "", , -G5589)</f>
        <v/>
      </c>
      <c r="J5589" s="94" t="str">
        <f t="shared" si="5590"/>
        <v/>
      </c>
      <c r="K5589" s="100"/>
      <c r="M5589" s="100"/>
      <c r="N5589" s="100"/>
      <c r="O5589" s="100"/>
      <c r="P5589" s="100"/>
    </row>
    <row r="5590">
      <c r="A5590" s="107">
        <v>1630181.0</v>
      </c>
      <c r="B5590" s="108" t="s">
        <v>243</v>
      </c>
      <c r="C5590" s="108" t="s">
        <v>1353</v>
      </c>
      <c r="D5590" s="112" t="s">
        <v>176</v>
      </c>
      <c r="E5590" s="112">
        <v>887.4</v>
      </c>
      <c r="F5590" s="111" t="str">
        <f>DataPull!D5590</f>
        <v/>
      </c>
      <c r="G5590" s="94" t="str">
        <f t="shared" si="2"/>
        <v/>
      </c>
      <c r="H5590" s="94" t="str">
        <f t="shared" si="3"/>
        <v/>
      </c>
      <c r="I5590" s="94" t="str">
        <f t="shared" ref="I5590:J5590" si="5591">if(G5590 = "", , -G5590)</f>
        <v/>
      </c>
      <c r="J5590" s="94" t="str">
        <f t="shared" si="5591"/>
        <v/>
      </c>
      <c r="N5590" s="100"/>
      <c r="O5590" s="100"/>
      <c r="P5590" s="100"/>
    </row>
    <row r="5591">
      <c r="A5591" s="107">
        <v>1630181.0</v>
      </c>
      <c r="B5591" s="108" t="s">
        <v>215</v>
      </c>
      <c r="C5591" s="108" t="s">
        <v>1353</v>
      </c>
      <c r="D5591" s="112" t="s">
        <v>176</v>
      </c>
      <c r="E5591" s="112">
        <v>1401.6</v>
      </c>
      <c r="F5591" s="111" t="str">
        <f>DataPull!D5591</f>
        <v/>
      </c>
      <c r="G5591" s="94" t="str">
        <f t="shared" si="2"/>
        <v/>
      </c>
      <c r="H5591" s="94" t="str">
        <f t="shared" si="3"/>
        <v/>
      </c>
      <c r="I5591" s="94" t="str">
        <f t="shared" ref="I5591:J5591" si="5592">if(G5591 = "", , -G5591)</f>
        <v/>
      </c>
      <c r="J5591" s="94" t="str">
        <f t="shared" si="5592"/>
        <v/>
      </c>
      <c r="K5591" s="100"/>
      <c r="M5591" s="100"/>
      <c r="N5591" s="100"/>
      <c r="O5591" s="100"/>
      <c r="P5591" s="100"/>
    </row>
    <row r="5592">
      <c r="A5592" s="107">
        <v>1630181.0</v>
      </c>
      <c r="B5592" s="108" t="s">
        <v>244</v>
      </c>
      <c r="C5592" s="108" t="s">
        <v>1353</v>
      </c>
      <c r="D5592" s="112" t="s">
        <v>177</v>
      </c>
      <c r="E5592" s="112">
        <v>747.3</v>
      </c>
      <c r="F5592" s="111" t="str">
        <f>DataPull!D5592</f>
        <v/>
      </c>
      <c r="G5592" s="94" t="str">
        <f t="shared" si="2"/>
        <v/>
      </c>
      <c r="H5592" s="94" t="str">
        <f t="shared" si="3"/>
        <v/>
      </c>
      <c r="I5592" s="94" t="str">
        <f t="shared" ref="I5592:J5592" si="5593">if(G5592 = "", , -G5592)</f>
        <v/>
      </c>
      <c r="J5592" s="94" t="str">
        <f t="shared" si="5593"/>
        <v/>
      </c>
      <c r="K5592" s="100"/>
      <c r="M5592" s="100"/>
      <c r="N5592" s="100"/>
      <c r="O5592" s="100"/>
    </row>
    <row r="5593">
      <c r="A5593" s="107">
        <v>1630181.0</v>
      </c>
      <c r="B5593" s="108" t="s">
        <v>245</v>
      </c>
      <c r="C5593" s="108" t="s">
        <v>1353</v>
      </c>
      <c r="D5593" s="112" t="s">
        <v>181</v>
      </c>
      <c r="E5593" s="112">
        <v>76.0</v>
      </c>
      <c r="F5593" s="111" t="str">
        <f>DataPull!D5593</f>
        <v/>
      </c>
      <c r="G5593" s="94" t="str">
        <f t="shared" si="2"/>
        <v/>
      </c>
      <c r="H5593" s="94" t="str">
        <f t="shared" si="3"/>
        <v/>
      </c>
      <c r="I5593" s="94" t="str">
        <f t="shared" ref="I5593:J5593" si="5594">if(G5593 = "", , -G5593)</f>
        <v/>
      </c>
      <c r="J5593" s="94" t="str">
        <f t="shared" si="5594"/>
        <v/>
      </c>
      <c r="K5593" s="100"/>
      <c r="M5593" s="100"/>
      <c r="O5593" s="100"/>
      <c r="P5593" s="100"/>
    </row>
    <row r="5594">
      <c r="A5594" s="107">
        <v>1630182.0</v>
      </c>
      <c r="B5594" s="108" t="s">
        <v>243</v>
      </c>
      <c r="C5594" s="108" t="s">
        <v>1354</v>
      </c>
      <c r="D5594" s="112" t="s">
        <v>177</v>
      </c>
      <c r="E5594" s="112">
        <v>444.6</v>
      </c>
      <c r="F5594" s="111" t="str">
        <f>DataPull!D5594</f>
        <v/>
      </c>
      <c r="G5594" s="94" t="str">
        <f t="shared" si="2"/>
        <v/>
      </c>
      <c r="H5594" s="94" t="str">
        <f t="shared" si="3"/>
        <v/>
      </c>
      <c r="I5594" s="94" t="str">
        <f t="shared" ref="I5594:J5594" si="5595">if(G5594 = "", , -G5594)</f>
        <v/>
      </c>
      <c r="J5594" s="94" t="str">
        <f t="shared" si="5595"/>
        <v/>
      </c>
      <c r="K5594" s="100"/>
      <c r="M5594" s="100"/>
      <c r="N5594" s="100"/>
      <c r="O5594" s="100"/>
      <c r="P5594" s="100"/>
    </row>
    <row r="5595">
      <c r="A5595" s="107">
        <v>1630182.0</v>
      </c>
      <c r="B5595" s="108" t="s">
        <v>215</v>
      </c>
      <c r="C5595" s="108" t="s">
        <v>1354</v>
      </c>
      <c r="D5595" s="112" t="s">
        <v>177</v>
      </c>
      <c r="E5595" s="112">
        <v>1038.5</v>
      </c>
      <c r="F5595" s="111" t="str">
        <f>DataPull!D5595</f>
        <v/>
      </c>
      <c r="G5595" s="94" t="str">
        <f t="shared" si="2"/>
        <v/>
      </c>
      <c r="H5595" s="94" t="str">
        <f t="shared" si="3"/>
        <v/>
      </c>
      <c r="I5595" s="94" t="str">
        <f t="shared" ref="I5595:J5595" si="5596">if(G5595 = "", , -G5595)</f>
        <v/>
      </c>
      <c r="J5595" s="94" t="str">
        <f t="shared" si="5596"/>
        <v/>
      </c>
      <c r="K5595" s="100"/>
      <c r="M5595" s="100"/>
      <c r="N5595" s="100"/>
      <c r="O5595" s="100"/>
      <c r="P5595" s="100"/>
    </row>
    <row r="5596">
      <c r="A5596" s="107">
        <v>1630182.0</v>
      </c>
      <c r="B5596" s="108" t="s">
        <v>244</v>
      </c>
      <c r="C5596" s="108" t="s">
        <v>1354</v>
      </c>
      <c r="D5596" s="112" t="s">
        <v>176</v>
      </c>
      <c r="E5596" s="112">
        <v>1542.0</v>
      </c>
      <c r="F5596" s="111" t="str">
        <f>DataPull!D5596</f>
        <v/>
      </c>
      <c r="G5596" s="94" t="str">
        <f t="shared" si="2"/>
        <v/>
      </c>
      <c r="H5596" s="94" t="str">
        <f t="shared" si="3"/>
        <v/>
      </c>
      <c r="I5596" s="94" t="str">
        <f t="shared" ref="I5596:J5596" si="5597">if(G5596 = "", , -G5596)</f>
        <v/>
      </c>
      <c r="J5596" s="94" t="str">
        <f t="shared" si="5597"/>
        <v/>
      </c>
      <c r="K5596" s="100"/>
      <c r="L5596" s="100"/>
      <c r="N5596" s="100"/>
      <c r="O5596" s="100"/>
      <c r="P5596" s="100"/>
    </row>
    <row r="5597">
      <c r="A5597" s="107">
        <v>1630182.0</v>
      </c>
      <c r="B5597" s="108" t="s">
        <v>245</v>
      </c>
      <c r="C5597" s="108" t="s">
        <v>1354</v>
      </c>
      <c r="D5597" s="112" t="s">
        <v>176</v>
      </c>
      <c r="E5597" s="112">
        <v>1504.8</v>
      </c>
      <c r="F5597" s="111" t="str">
        <f>DataPull!D5597</f>
        <v/>
      </c>
      <c r="G5597" s="94" t="str">
        <f t="shared" si="2"/>
        <v/>
      </c>
      <c r="H5597" s="94" t="str">
        <f t="shared" si="3"/>
        <v/>
      </c>
      <c r="I5597" s="94" t="str">
        <f t="shared" ref="I5597:J5597" si="5598">if(G5597 = "", , -G5597)</f>
        <v/>
      </c>
      <c r="J5597" s="94" t="str">
        <f t="shared" si="5598"/>
        <v/>
      </c>
      <c r="K5597" s="100"/>
      <c r="M5597" s="100"/>
      <c r="N5597" s="100"/>
      <c r="O5597" s="100"/>
      <c r="P5597" s="100"/>
    </row>
    <row r="5598">
      <c r="A5598" s="107">
        <v>1630182.0</v>
      </c>
      <c r="B5598" s="108" t="s">
        <v>246</v>
      </c>
      <c r="C5598" s="108" t="s">
        <v>1354</v>
      </c>
      <c r="D5598" s="112" t="s">
        <v>178</v>
      </c>
      <c r="E5598" s="112">
        <v>1890.4</v>
      </c>
      <c r="F5598" s="111" t="str">
        <f>DataPull!D5598</f>
        <v/>
      </c>
      <c r="G5598" s="94" t="str">
        <f t="shared" si="2"/>
        <v/>
      </c>
      <c r="H5598" s="94" t="str">
        <f t="shared" si="3"/>
        <v/>
      </c>
      <c r="I5598" s="94" t="str">
        <f t="shared" ref="I5598:J5598" si="5599">if(G5598 = "", , -G5598)</f>
        <v/>
      </c>
      <c r="J5598" s="94" t="str">
        <f t="shared" si="5599"/>
        <v/>
      </c>
      <c r="K5598" s="100"/>
      <c r="M5598" s="100"/>
      <c r="N5598" s="100"/>
      <c r="O5598" s="100"/>
      <c r="P5598" s="100"/>
    </row>
    <row r="5599">
      <c r="A5599" s="89">
        <v>1630182.0</v>
      </c>
      <c r="B5599" s="113" t="s">
        <v>247</v>
      </c>
      <c r="C5599" s="113" t="s">
        <v>1354</v>
      </c>
      <c r="D5599" s="112" t="s">
        <v>177</v>
      </c>
      <c r="E5599" s="112">
        <v>910.6</v>
      </c>
      <c r="F5599" s="111" t="str">
        <f>DataPull!D5599</f>
        <v/>
      </c>
      <c r="G5599" s="94" t="str">
        <f t="shared" si="2"/>
        <v/>
      </c>
      <c r="H5599" s="94" t="str">
        <f t="shared" si="3"/>
        <v/>
      </c>
      <c r="I5599" s="94" t="str">
        <f t="shared" ref="I5599:J5599" si="5600">if(G5599 = "", , -G5599)</f>
        <v/>
      </c>
      <c r="J5599" s="94" t="str">
        <f t="shared" si="5600"/>
        <v/>
      </c>
      <c r="K5599" s="100"/>
      <c r="M5599" s="100"/>
      <c r="N5599" s="100"/>
      <c r="O5599" s="100"/>
      <c r="P5599" s="100"/>
    </row>
    <row r="5600">
      <c r="A5600" s="107">
        <v>1630183.0</v>
      </c>
      <c r="B5600" s="108" t="s">
        <v>243</v>
      </c>
      <c r="C5600" s="108" t="s">
        <v>1355</v>
      </c>
      <c r="D5600" s="112" t="s">
        <v>176</v>
      </c>
      <c r="E5600" s="112">
        <v>1512.0</v>
      </c>
      <c r="F5600" s="111" t="str">
        <f>DataPull!D5600</f>
        <v/>
      </c>
      <c r="G5600" s="94" t="str">
        <f t="shared" si="2"/>
        <v/>
      </c>
      <c r="H5600" s="94" t="str">
        <f t="shared" si="3"/>
        <v/>
      </c>
      <c r="I5600" s="94" t="str">
        <f t="shared" ref="I5600:J5600" si="5601">if(G5600 = "", , -G5600)</f>
        <v/>
      </c>
      <c r="J5600" s="94" t="str">
        <f t="shared" si="5601"/>
        <v/>
      </c>
      <c r="K5600" s="100"/>
      <c r="M5600" s="100"/>
      <c r="N5600" s="100"/>
      <c r="O5600" s="100"/>
    </row>
    <row r="5601">
      <c r="A5601" s="107">
        <v>1630183.0</v>
      </c>
      <c r="B5601" s="108" t="s">
        <v>215</v>
      </c>
      <c r="C5601" s="108" t="s">
        <v>1355</v>
      </c>
      <c r="D5601" s="112" t="s">
        <v>178</v>
      </c>
      <c r="E5601" s="112">
        <v>1806.0</v>
      </c>
      <c r="F5601" s="111" t="str">
        <f>DataPull!D5601</f>
        <v/>
      </c>
      <c r="G5601" s="94" t="str">
        <f t="shared" si="2"/>
        <v/>
      </c>
      <c r="H5601" s="94" t="str">
        <f t="shared" si="3"/>
        <v/>
      </c>
      <c r="I5601" s="94" t="str">
        <f t="shared" ref="I5601:J5601" si="5602">if(G5601 = "", , -G5601)</f>
        <v/>
      </c>
      <c r="J5601" s="94" t="str">
        <f t="shared" si="5602"/>
        <v/>
      </c>
      <c r="K5601" s="100"/>
      <c r="M5601" s="100"/>
      <c r="N5601" s="100"/>
      <c r="O5601" s="100"/>
      <c r="P5601" s="100"/>
    </row>
    <row r="5602">
      <c r="A5602" s="107">
        <v>1630183.0</v>
      </c>
      <c r="B5602" s="108" t="s">
        <v>244</v>
      </c>
      <c r="C5602" s="108" t="s">
        <v>1355</v>
      </c>
      <c r="D5602" s="112" t="s">
        <v>176</v>
      </c>
      <c r="E5602" s="112">
        <v>2417.4</v>
      </c>
      <c r="F5602" s="111" t="str">
        <f>DataPull!D5602</f>
        <v/>
      </c>
      <c r="G5602" s="94" t="str">
        <f t="shared" si="2"/>
        <v/>
      </c>
      <c r="H5602" s="94" t="str">
        <f t="shared" si="3"/>
        <v/>
      </c>
      <c r="I5602" s="94" t="str">
        <f t="shared" ref="I5602:J5602" si="5603">if(G5602 = "", , -G5602)</f>
        <v/>
      </c>
      <c r="J5602" s="94" t="str">
        <f t="shared" si="5603"/>
        <v/>
      </c>
      <c r="K5602" s="100"/>
      <c r="M5602" s="100"/>
      <c r="N5602" s="100"/>
      <c r="O5602" s="100"/>
    </row>
    <row r="5603">
      <c r="A5603" s="107">
        <v>1630183.0</v>
      </c>
      <c r="B5603" s="108" t="s">
        <v>245</v>
      </c>
      <c r="C5603" s="108" t="s">
        <v>1355</v>
      </c>
      <c r="D5603" s="112" t="s">
        <v>178</v>
      </c>
      <c r="E5603" s="112">
        <v>2102.4</v>
      </c>
      <c r="F5603" s="111" t="str">
        <f>DataPull!D5603</f>
        <v/>
      </c>
      <c r="G5603" s="94" t="str">
        <f t="shared" si="2"/>
        <v/>
      </c>
      <c r="H5603" s="94" t="str">
        <f t="shared" si="3"/>
        <v/>
      </c>
      <c r="I5603" s="94" t="str">
        <f t="shared" ref="I5603:J5603" si="5604">if(G5603 = "", , -G5603)</f>
        <v/>
      </c>
      <c r="J5603" s="94" t="str">
        <f t="shared" si="5604"/>
        <v/>
      </c>
      <c r="K5603" s="100"/>
      <c r="L5603" s="100"/>
      <c r="M5603" s="100"/>
      <c r="N5603" s="100"/>
      <c r="O5603" s="100"/>
      <c r="P5603" s="100"/>
    </row>
    <row r="5604">
      <c r="A5604" s="107">
        <v>1630183.0</v>
      </c>
      <c r="B5604" s="108" t="s">
        <v>246</v>
      </c>
      <c r="C5604" s="108" t="s">
        <v>1355</v>
      </c>
      <c r="D5604" s="112" t="s">
        <v>184</v>
      </c>
      <c r="E5604" s="112">
        <v>2615.8</v>
      </c>
      <c r="F5604" s="111" t="str">
        <f>DataPull!D5604</f>
        <v/>
      </c>
      <c r="G5604" s="94" t="str">
        <f t="shared" si="2"/>
        <v/>
      </c>
      <c r="H5604" s="94" t="str">
        <f t="shared" si="3"/>
        <v/>
      </c>
      <c r="I5604" s="94" t="str">
        <f t="shared" ref="I5604:J5604" si="5605">if(G5604 = "", , -G5604)</f>
        <v/>
      </c>
      <c r="J5604" s="94" t="str">
        <f t="shared" si="5605"/>
        <v/>
      </c>
      <c r="K5604" s="100"/>
      <c r="N5604" s="100"/>
      <c r="O5604" s="100"/>
      <c r="P5604" s="100"/>
    </row>
    <row r="5605">
      <c r="A5605" s="114">
        <v>1630183.0</v>
      </c>
      <c r="B5605" s="113" t="s">
        <v>247</v>
      </c>
      <c r="C5605" s="113" t="s">
        <v>1355</v>
      </c>
      <c r="D5605" s="112" t="s">
        <v>178</v>
      </c>
      <c r="E5605" s="112">
        <v>2314.1</v>
      </c>
      <c r="F5605" s="111" t="str">
        <f>DataPull!D5605</f>
        <v/>
      </c>
      <c r="G5605" s="94" t="str">
        <f t="shared" si="2"/>
        <v/>
      </c>
      <c r="H5605" s="94" t="str">
        <f t="shared" si="3"/>
        <v/>
      </c>
      <c r="I5605" s="94" t="str">
        <f t="shared" ref="I5605:J5605" si="5606">if(G5605 = "", , -G5605)</f>
        <v/>
      </c>
      <c r="J5605" s="94" t="str">
        <f t="shared" si="5606"/>
        <v/>
      </c>
      <c r="K5605" s="100"/>
      <c r="M5605" s="100"/>
      <c r="N5605" s="100"/>
      <c r="O5605" s="100"/>
    </row>
    <row r="5606">
      <c r="A5606" s="107">
        <v>1630184.0</v>
      </c>
      <c r="B5606" s="108" t="s">
        <v>243</v>
      </c>
      <c r="C5606" s="108" t="s">
        <v>1356</v>
      </c>
      <c r="D5606" s="112" t="s">
        <v>177</v>
      </c>
      <c r="E5606" s="112">
        <v>901.8</v>
      </c>
      <c r="F5606" s="111" t="str">
        <f>DataPull!D5606</f>
        <v/>
      </c>
      <c r="G5606" s="94" t="str">
        <f t="shared" si="2"/>
        <v/>
      </c>
      <c r="H5606" s="94" t="str">
        <f t="shared" si="3"/>
        <v/>
      </c>
      <c r="I5606" s="94" t="str">
        <f t="shared" ref="I5606:J5606" si="5607">if(G5606 = "", , -G5606)</f>
        <v/>
      </c>
      <c r="J5606" s="94" t="str">
        <f t="shared" si="5607"/>
        <v/>
      </c>
      <c r="K5606" s="100"/>
      <c r="N5606" s="100"/>
      <c r="O5606" s="100"/>
      <c r="P5606" s="100"/>
    </row>
    <row r="5607">
      <c r="A5607" s="107">
        <v>1630184.0</v>
      </c>
      <c r="B5607" s="108" t="s">
        <v>215</v>
      </c>
      <c r="C5607" s="108" t="s">
        <v>1356</v>
      </c>
      <c r="D5607" s="112" t="s">
        <v>177</v>
      </c>
      <c r="E5607" s="112">
        <v>340.8</v>
      </c>
      <c r="F5607" s="111" t="str">
        <f>DataPull!D5607</f>
        <v/>
      </c>
      <c r="G5607" s="94" t="str">
        <f t="shared" si="2"/>
        <v/>
      </c>
      <c r="H5607" s="94" t="str">
        <f t="shared" si="3"/>
        <v/>
      </c>
      <c r="I5607" s="94" t="str">
        <f t="shared" ref="I5607:J5607" si="5608">if(G5607 = "", , -G5607)</f>
        <v/>
      </c>
      <c r="J5607" s="94" t="str">
        <f t="shared" si="5608"/>
        <v/>
      </c>
      <c r="K5607" s="100"/>
      <c r="L5607" s="100"/>
      <c r="M5607" s="100"/>
      <c r="N5607" s="100"/>
      <c r="O5607" s="100"/>
      <c r="P5607" s="100"/>
    </row>
    <row r="5608">
      <c r="A5608" s="107">
        <v>1630184.0</v>
      </c>
      <c r="B5608" s="108" t="s">
        <v>244</v>
      </c>
      <c r="C5608" s="108" t="s">
        <v>1356</v>
      </c>
      <c r="D5608" s="112" t="s">
        <v>187</v>
      </c>
      <c r="E5608" s="112">
        <v>235.0</v>
      </c>
      <c r="F5608" s="111" t="str">
        <f>DataPull!D5608</f>
        <v/>
      </c>
      <c r="G5608" s="94" t="str">
        <f t="shared" si="2"/>
        <v/>
      </c>
      <c r="H5608" s="94" t="str">
        <f t="shared" si="3"/>
        <v/>
      </c>
      <c r="I5608" s="94" t="str">
        <f t="shared" ref="I5608:J5608" si="5609">if(G5608 = "", , -G5608)</f>
        <v/>
      </c>
      <c r="J5608" s="94" t="str">
        <f t="shared" si="5609"/>
        <v/>
      </c>
      <c r="K5608" s="100"/>
      <c r="L5608" s="100"/>
      <c r="M5608" s="100"/>
      <c r="N5608" s="100"/>
      <c r="O5608" s="100"/>
      <c r="P5608" s="100"/>
    </row>
    <row r="5609">
      <c r="A5609" s="107">
        <v>1630184.0</v>
      </c>
      <c r="B5609" s="108" t="s">
        <v>245</v>
      </c>
      <c r="C5609" s="108" t="s">
        <v>1356</v>
      </c>
      <c r="D5609" s="112" t="s">
        <v>187</v>
      </c>
      <c r="E5609" s="112">
        <v>263.2</v>
      </c>
      <c r="F5609" s="111" t="str">
        <f>DataPull!D5609</f>
        <v/>
      </c>
      <c r="G5609" s="94" t="str">
        <f t="shared" si="2"/>
        <v/>
      </c>
      <c r="H5609" s="94" t="str">
        <f t="shared" si="3"/>
        <v/>
      </c>
      <c r="I5609" s="94" t="str">
        <f t="shared" ref="I5609:J5609" si="5610">if(G5609 = "", , -G5609)</f>
        <v/>
      </c>
      <c r="J5609" s="94" t="str">
        <f t="shared" si="5610"/>
        <v/>
      </c>
      <c r="K5609" s="100"/>
      <c r="M5609" s="100"/>
      <c r="N5609" s="100"/>
      <c r="O5609" s="100"/>
      <c r="P5609" s="100"/>
    </row>
    <row r="5610">
      <c r="A5610" s="107">
        <v>1630185.0</v>
      </c>
      <c r="B5610" s="108" t="s">
        <v>243</v>
      </c>
      <c r="C5610" s="108" t="s">
        <v>1357</v>
      </c>
      <c r="D5610" s="112" t="s">
        <v>177</v>
      </c>
      <c r="E5610" s="112">
        <v>363.0</v>
      </c>
      <c r="F5610" s="111" t="str">
        <f>DataPull!D5610</f>
        <v/>
      </c>
      <c r="G5610" s="94" t="str">
        <f t="shared" si="2"/>
        <v/>
      </c>
      <c r="H5610" s="94" t="str">
        <f t="shared" si="3"/>
        <v/>
      </c>
      <c r="I5610" s="94" t="str">
        <f t="shared" ref="I5610:J5610" si="5611">if(G5610 = "", , -G5610)</f>
        <v/>
      </c>
      <c r="J5610" s="94" t="str">
        <f t="shared" si="5611"/>
        <v/>
      </c>
      <c r="K5610" s="100"/>
      <c r="M5610" s="100"/>
      <c r="N5610" s="100"/>
      <c r="O5610" s="100"/>
      <c r="P5610" s="100"/>
    </row>
    <row r="5611">
      <c r="A5611" s="107">
        <v>1630186.0</v>
      </c>
      <c r="B5611" s="108" t="s">
        <v>243</v>
      </c>
      <c r="C5611" s="108" t="s">
        <v>1358</v>
      </c>
      <c r="D5611" s="112" t="s">
        <v>187</v>
      </c>
      <c r="E5611" s="112">
        <v>94.9</v>
      </c>
      <c r="F5611" s="111" t="str">
        <f>DataPull!D5611</f>
        <v/>
      </c>
      <c r="G5611" s="94" t="str">
        <f t="shared" si="2"/>
        <v/>
      </c>
      <c r="H5611" s="94" t="str">
        <f t="shared" si="3"/>
        <v/>
      </c>
      <c r="I5611" s="94" t="str">
        <f t="shared" ref="I5611:J5611" si="5612">if(G5611 = "", , -G5611)</f>
        <v/>
      </c>
      <c r="J5611" s="94" t="str">
        <f t="shared" si="5612"/>
        <v/>
      </c>
      <c r="K5611" s="100"/>
      <c r="M5611" s="100"/>
      <c r="N5611" s="100"/>
      <c r="O5611" s="100"/>
      <c r="P5611" s="100"/>
    </row>
    <row r="5612">
      <c r="A5612" s="107">
        <v>1630186.0</v>
      </c>
      <c r="B5612" s="108" t="s">
        <v>215</v>
      </c>
      <c r="C5612" s="108" t="s">
        <v>1358</v>
      </c>
      <c r="D5612" s="112" t="s">
        <v>187</v>
      </c>
      <c r="E5612" s="112">
        <v>133.0</v>
      </c>
      <c r="F5612" s="111" t="str">
        <f>DataPull!D5612</f>
        <v/>
      </c>
      <c r="G5612" s="94" t="str">
        <f t="shared" si="2"/>
        <v/>
      </c>
      <c r="H5612" s="94" t="str">
        <f t="shared" si="3"/>
        <v/>
      </c>
      <c r="I5612" s="94" t="str">
        <f t="shared" ref="I5612:J5612" si="5613">if(G5612 = "", , -G5612)</f>
        <v/>
      </c>
      <c r="J5612" s="94" t="str">
        <f t="shared" si="5613"/>
        <v/>
      </c>
      <c r="K5612" s="100"/>
      <c r="M5612" s="100"/>
      <c r="N5612" s="100"/>
      <c r="O5612" s="100"/>
    </row>
    <row r="5613">
      <c r="A5613" s="107">
        <v>1630187.0</v>
      </c>
      <c r="B5613" s="108" t="s">
        <v>243</v>
      </c>
      <c r="C5613" s="108" t="s">
        <v>1359</v>
      </c>
      <c r="D5613" s="112" t="s">
        <v>187</v>
      </c>
      <c r="E5613" s="112">
        <v>162.0</v>
      </c>
      <c r="F5613" s="111" t="str">
        <f>DataPull!D5613</f>
        <v/>
      </c>
      <c r="G5613" s="94" t="str">
        <f t="shared" si="2"/>
        <v/>
      </c>
      <c r="H5613" s="94" t="str">
        <f t="shared" si="3"/>
        <v/>
      </c>
      <c r="I5613" s="94" t="str">
        <f t="shared" ref="I5613:J5613" si="5614">if(G5613 = "", , -G5613)</f>
        <v/>
      </c>
      <c r="J5613" s="94" t="str">
        <f t="shared" si="5614"/>
        <v/>
      </c>
      <c r="K5613" s="100"/>
      <c r="M5613" s="100"/>
      <c r="N5613" s="100"/>
      <c r="O5613" s="100"/>
      <c r="P5613" s="100"/>
    </row>
    <row r="5614">
      <c r="A5614" s="107">
        <v>1630187.0</v>
      </c>
      <c r="B5614" s="108" t="s">
        <v>215</v>
      </c>
      <c r="C5614" s="108" t="s">
        <v>1359</v>
      </c>
      <c r="D5614" s="112" t="s">
        <v>181</v>
      </c>
      <c r="E5614" s="112">
        <v>27.3</v>
      </c>
      <c r="F5614" s="111" t="str">
        <f>DataPull!D5614</f>
        <v/>
      </c>
      <c r="G5614" s="94" t="str">
        <f t="shared" si="2"/>
        <v/>
      </c>
      <c r="H5614" s="94" t="str">
        <f t="shared" si="3"/>
        <v/>
      </c>
      <c r="I5614" s="94" t="str">
        <f t="shared" ref="I5614:J5614" si="5615">if(G5614 = "", , -G5614)</f>
        <v/>
      </c>
      <c r="J5614" s="94" t="str">
        <f t="shared" si="5615"/>
        <v/>
      </c>
      <c r="K5614" s="100"/>
      <c r="L5614" s="100"/>
      <c r="N5614" s="100"/>
      <c r="O5614" s="100"/>
      <c r="P5614" s="100"/>
    </row>
    <row r="5615">
      <c r="A5615" s="107">
        <v>1630188.0</v>
      </c>
      <c r="B5615" s="108" t="s">
        <v>243</v>
      </c>
      <c r="C5615" s="108" t="s">
        <v>1360</v>
      </c>
      <c r="D5615" s="112" t="s">
        <v>187</v>
      </c>
      <c r="E5615" s="112">
        <v>156.6</v>
      </c>
      <c r="F5615" s="111" t="str">
        <f>DataPull!D5615</f>
        <v/>
      </c>
      <c r="G5615" s="94" t="str">
        <f t="shared" si="2"/>
        <v/>
      </c>
      <c r="H5615" s="94" t="str">
        <f t="shared" si="3"/>
        <v/>
      </c>
      <c r="I5615" s="94" t="str">
        <f t="shared" ref="I5615:J5615" si="5616">if(G5615 = "", , -G5615)</f>
        <v/>
      </c>
      <c r="J5615" s="94" t="str">
        <f t="shared" si="5616"/>
        <v/>
      </c>
      <c r="K5615" s="100"/>
      <c r="M5615" s="100"/>
      <c r="N5615" s="100"/>
      <c r="O5615" s="100"/>
      <c r="P5615" s="100"/>
    </row>
    <row r="5616">
      <c r="A5616" s="107">
        <v>1630188.0</v>
      </c>
      <c r="B5616" s="108" t="s">
        <v>215</v>
      </c>
      <c r="C5616" s="108" t="s">
        <v>1360</v>
      </c>
      <c r="D5616" s="112" t="s">
        <v>177</v>
      </c>
      <c r="E5616" s="112">
        <v>923.1</v>
      </c>
      <c r="F5616" s="111" t="str">
        <f>DataPull!D5616</f>
        <v/>
      </c>
      <c r="G5616" s="94" t="str">
        <f t="shared" si="2"/>
        <v/>
      </c>
      <c r="H5616" s="94" t="str">
        <f t="shared" si="3"/>
        <v/>
      </c>
      <c r="I5616" s="94" t="str">
        <f t="shared" ref="I5616:J5616" si="5617">if(G5616 = "", , -G5616)</f>
        <v/>
      </c>
      <c r="J5616" s="94" t="str">
        <f t="shared" si="5617"/>
        <v/>
      </c>
      <c r="K5616" s="100"/>
      <c r="M5616" s="100"/>
      <c r="N5616" s="100"/>
      <c r="O5616" s="100"/>
      <c r="P5616" s="100"/>
    </row>
    <row r="5617">
      <c r="A5617" s="107">
        <v>1630188.0</v>
      </c>
      <c r="B5617" s="108" t="s">
        <v>244</v>
      </c>
      <c r="C5617" s="108" t="s">
        <v>1360</v>
      </c>
      <c r="D5617" s="112" t="s">
        <v>177</v>
      </c>
      <c r="E5617" s="112">
        <v>1278.4</v>
      </c>
      <c r="F5617" s="111" t="str">
        <f>DataPull!D5617</f>
        <v/>
      </c>
      <c r="G5617" s="94" t="str">
        <f t="shared" si="2"/>
        <v/>
      </c>
      <c r="H5617" s="94" t="str">
        <f t="shared" si="3"/>
        <v/>
      </c>
      <c r="I5617" s="94" t="str">
        <f t="shared" ref="I5617:J5617" si="5618">if(G5617 = "", , -G5617)</f>
        <v/>
      </c>
      <c r="J5617" s="94" t="str">
        <f t="shared" si="5618"/>
        <v/>
      </c>
      <c r="K5617" s="100"/>
      <c r="M5617" s="100"/>
      <c r="N5617" s="100"/>
      <c r="O5617" s="100"/>
      <c r="P5617" s="100"/>
    </row>
    <row r="5618">
      <c r="A5618" s="107">
        <v>1630188.0</v>
      </c>
      <c r="B5618" s="108" t="s">
        <v>245</v>
      </c>
      <c r="C5618" s="108" t="s">
        <v>1360</v>
      </c>
      <c r="D5618" s="112" t="s">
        <v>177</v>
      </c>
      <c r="E5618" s="112">
        <v>1049.2</v>
      </c>
      <c r="F5618" s="111" t="str">
        <f>DataPull!D5618</f>
        <v/>
      </c>
      <c r="G5618" s="94" t="str">
        <f t="shared" si="2"/>
        <v/>
      </c>
      <c r="H5618" s="94" t="str">
        <f t="shared" si="3"/>
        <v/>
      </c>
      <c r="I5618" s="94" t="str">
        <f t="shared" ref="I5618:J5618" si="5619">if(G5618 = "", , -G5618)</f>
        <v/>
      </c>
      <c r="J5618" s="94" t="str">
        <f t="shared" si="5619"/>
        <v/>
      </c>
      <c r="K5618" s="100"/>
      <c r="M5618" s="100"/>
      <c r="N5618" s="100"/>
      <c r="O5618" s="100"/>
      <c r="P5618" s="100"/>
    </row>
    <row r="5619">
      <c r="A5619" s="107">
        <v>1630188.0</v>
      </c>
      <c r="B5619" s="108" t="s">
        <v>246</v>
      </c>
      <c r="C5619" s="108" t="s">
        <v>1360</v>
      </c>
      <c r="D5619" s="112" t="s">
        <v>177</v>
      </c>
      <c r="E5619" s="112">
        <v>960.0</v>
      </c>
      <c r="F5619" s="111" t="str">
        <f>DataPull!D5619</f>
        <v/>
      </c>
      <c r="G5619" s="94" t="str">
        <f t="shared" si="2"/>
        <v/>
      </c>
      <c r="H5619" s="94" t="str">
        <f t="shared" si="3"/>
        <v/>
      </c>
      <c r="I5619" s="94" t="str">
        <f t="shared" ref="I5619:J5619" si="5620">if(G5619 = "", , -G5619)</f>
        <v/>
      </c>
      <c r="J5619" s="94" t="str">
        <f t="shared" si="5620"/>
        <v/>
      </c>
      <c r="K5619" s="100"/>
      <c r="M5619" s="100"/>
      <c r="N5619" s="100"/>
      <c r="O5619" s="100"/>
      <c r="P5619" s="100"/>
    </row>
    <row r="5620">
      <c r="A5620" s="114">
        <v>1630188.0</v>
      </c>
      <c r="B5620" s="113" t="s">
        <v>247</v>
      </c>
      <c r="C5620" s="113" t="s">
        <v>1360</v>
      </c>
      <c r="D5620" s="112" t="s">
        <v>176</v>
      </c>
      <c r="E5620" s="112">
        <v>1097.1</v>
      </c>
      <c r="F5620" s="111" t="str">
        <f>DataPull!D5620</f>
        <v/>
      </c>
      <c r="G5620" s="94" t="str">
        <f t="shared" si="2"/>
        <v/>
      </c>
      <c r="H5620" s="94" t="str">
        <f t="shared" si="3"/>
        <v/>
      </c>
      <c r="I5620" s="94" t="str">
        <f t="shared" ref="I5620:J5620" si="5621">if(G5620 = "", , -G5620)</f>
        <v/>
      </c>
      <c r="J5620" s="94" t="str">
        <f t="shared" si="5621"/>
        <v/>
      </c>
      <c r="K5620" s="100"/>
      <c r="L5620" s="100"/>
      <c r="M5620" s="100"/>
      <c r="N5620" s="100"/>
      <c r="O5620" s="100"/>
    </row>
    <row r="5621">
      <c r="A5621" s="107">
        <v>1630189.0</v>
      </c>
      <c r="B5621" s="108" t="s">
        <v>243</v>
      </c>
      <c r="C5621" s="108" t="s">
        <v>1361</v>
      </c>
      <c r="D5621" s="112" t="s">
        <v>187</v>
      </c>
      <c r="E5621" s="112">
        <v>70.2</v>
      </c>
      <c r="F5621" s="111" t="str">
        <f>DataPull!D5621</f>
        <v/>
      </c>
      <c r="G5621" s="94" t="str">
        <f t="shared" si="2"/>
        <v/>
      </c>
      <c r="H5621" s="94" t="str">
        <f t="shared" si="3"/>
        <v/>
      </c>
      <c r="I5621" s="94" t="str">
        <f t="shared" ref="I5621:J5621" si="5622">if(G5621 = "", , -G5621)</f>
        <v/>
      </c>
      <c r="J5621" s="94" t="str">
        <f t="shared" si="5622"/>
        <v/>
      </c>
      <c r="K5621" s="100"/>
      <c r="M5621" s="100"/>
      <c r="N5621" s="100"/>
      <c r="O5621" s="100"/>
      <c r="P5621" s="100"/>
    </row>
    <row r="5622">
      <c r="A5622" s="107">
        <v>1630190.0</v>
      </c>
      <c r="B5622" s="108" t="s">
        <v>243</v>
      </c>
      <c r="C5622" s="108" t="s">
        <v>1362</v>
      </c>
      <c r="D5622" s="112" t="s">
        <v>187</v>
      </c>
      <c r="E5622" s="112">
        <v>63.0</v>
      </c>
      <c r="F5622" s="111" t="str">
        <f>DataPull!D5622</f>
        <v/>
      </c>
      <c r="G5622" s="94" t="str">
        <f t="shared" si="2"/>
        <v/>
      </c>
      <c r="H5622" s="94" t="str">
        <f t="shared" si="3"/>
        <v/>
      </c>
      <c r="I5622" s="94" t="str">
        <f t="shared" ref="I5622:J5622" si="5623">if(G5622 = "", , -G5622)</f>
        <v/>
      </c>
      <c r="J5622" s="94" t="str">
        <f t="shared" si="5623"/>
        <v/>
      </c>
      <c r="K5622" s="100"/>
      <c r="M5622" s="100"/>
      <c r="N5622" s="100"/>
      <c r="O5622" s="100"/>
      <c r="P5622" s="100"/>
    </row>
    <row r="5623">
      <c r="A5623" s="107">
        <v>1630190.0</v>
      </c>
      <c r="B5623" s="108" t="s">
        <v>215</v>
      </c>
      <c r="C5623" s="108" t="s">
        <v>1362</v>
      </c>
      <c r="D5623" s="112" t="s">
        <v>177</v>
      </c>
      <c r="E5623" s="112">
        <v>435.6</v>
      </c>
      <c r="F5623" s="111" t="str">
        <f>DataPull!D5623</f>
        <v/>
      </c>
      <c r="G5623" s="94" t="str">
        <f t="shared" si="2"/>
        <v/>
      </c>
      <c r="H5623" s="94" t="str">
        <f t="shared" si="3"/>
        <v/>
      </c>
      <c r="I5623" s="94" t="str">
        <f t="shared" ref="I5623:J5623" si="5624">if(G5623 = "", , -G5623)</f>
        <v/>
      </c>
      <c r="J5623" s="94" t="str">
        <f t="shared" si="5624"/>
        <v/>
      </c>
      <c r="K5623" s="100"/>
      <c r="M5623" s="100"/>
      <c r="N5623" s="100"/>
      <c r="O5623" s="100"/>
    </row>
    <row r="5624">
      <c r="A5624" s="107">
        <v>1630191.0</v>
      </c>
      <c r="B5624" s="108" t="s">
        <v>243</v>
      </c>
      <c r="C5624" s="108" t="s">
        <v>1363</v>
      </c>
      <c r="D5624" s="112" t="s">
        <v>176</v>
      </c>
      <c r="E5624" s="112">
        <v>1455.2</v>
      </c>
      <c r="F5624" s="111" t="str">
        <f>DataPull!D5624</f>
        <v/>
      </c>
      <c r="G5624" s="94" t="str">
        <f t="shared" si="2"/>
        <v/>
      </c>
      <c r="H5624" s="94" t="str">
        <f t="shared" si="3"/>
        <v/>
      </c>
      <c r="I5624" s="94" t="str">
        <f t="shared" ref="I5624:J5624" si="5625">if(G5624 = "", , -G5624)</f>
        <v/>
      </c>
      <c r="J5624" s="94" t="str">
        <f t="shared" si="5625"/>
        <v/>
      </c>
      <c r="K5624" s="100"/>
      <c r="N5624" s="100"/>
      <c r="O5624" s="100"/>
      <c r="P5624" s="100"/>
    </row>
    <row r="5625">
      <c r="A5625" s="107">
        <v>1630191.0</v>
      </c>
      <c r="B5625" s="108" t="s">
        <v>215</v>
      </c>
      <c r="C5625" s="108" t="s">
        <v>1363</v>
      </c>
      <c r="D5625" s="112" t="s">
        <v>178</v>
      </c>
      <c r="E5625" s="112">
        <v>1817.6</v>
      </c>
      <c r="F5625" s="111" t="str">
        <f>DataPull!D5625</f>
        <v/>
      </c>
      <c r="G5625" s="94" t="str">
        <f t="shared" si="2"/>
        <v/>
      </c>
      <c r="H5625" s="94" t="str">
        <f t="shared" si="3"/>
        <v/>
      </c>
      <c r="I5625" s="94" t="str">
        <f t="shared" ref="I5625:J5625" si="5626">if(G5625 = "", , -G5625)</f>
        <v/>
      </c>
      <c r="J5625" s="94" t="str">
        <f t="shared" si="5626"/>
        <v/>
      </c>
      <c r="K5625" s="100"/>
      <c r="M5625" s="100"/>
      <c r="N5625" s="100"/>
      <c r="O5625" s="100"/>
      <c r="P5625" s="100"/>
    </row>
    <row r="5626">
      <c r="A5626" s="107">
        <v>1630191.0</v>
      </c>
      <c r="B5626" s="108" t="s">
        <v>244</v>
      </c>
      <c r="C5626" s="108" t="s">
        <v>1363</v>
      </c>
      <c r="D5626" s="112" t="s">
        <v>176</v>
      </c>
      <c r="E5626" s="112">
        <v>1415.0</v>
      </c>
      <c r="F5626" s="111" t="str">
        <f>DataPull!D5626</f>
        <v/>
      </c>
      <c r="G5626" s="94" t="str">
        <f t="shared" si="2"/>
        <v/>
      </c>
      <c r="H5626" s="94" t="str">
        <f t="shared" si="3"/>
        <v/>
      </c>
      <c r="I5626" s="94" t="str">
        <f t="shared" ref="I5626:J5626" si="5627">if(G5626 = "", , -G5626)</f>
        <v/>
      </c>
      <c r="J5626" s="94" t="str">
        <f t="shared" si="5627"/>
        <v/>
      </c>
      <c r="K5626" s="100"/>
      <c r="M5626" s="100"/>
      <c r="N5626" s="100"/>
      <c r="O5626" s="100"/>
      <c r="P5626" s="100"/>
    </row>
    <row r="5627">
      <c r="A5627" s="107">
        <v>1630191.0</v>
      </c>
      <c r="B5627" s="108" t="s">
        <v>245</v>
      </c>
      <c r="C5627" s="108" t="s">
        <v>1363</v>
      </c>
      <c r="D5627" s="112" t="s">
        <v>178</v>
      </c>
      <c r="E5627" s="112">
        <v>1421.4</v>
      </c>
      <c r="F5627" s="111" t="str">
        <f>DataPull!D5627</f>
        <v/>
      </c>
      <c r="G5627" s="94" t="str">
        <f t="shared" si="2"/>
        <v/>
      </c>
      <c r="H5627" s="94" t="str">
        <f t="shared" si="3"/>
        <v/>
      </c>
      <c r="I5627" s="94" t="str">
        <f t="shared" ref="I5627:J5627" si="5628">if(G5627 = "", , -G5627)</f>
        <v/>
      </c>
      <c r="J5627" s="94" t="str">
        <f t="shared" si="5628"/>
        <v/>
      </c>
      <c r="K5627" s="100"/>
      <c r="L5627" s="100"/>
      <c r="M5627" s="100"/>
      <c r="N5627" s="100"/>
      <c r="O5627" s="100"/>
    </row>
    <row r="5628">
      <c r="A5628" s="107">
        <v>1630191.0</v>
      </c>
      <c r="B5628" s="108" t="s">
        <v>246</v>
      </c>
      <c r="C5628" s="108" t="s">
        <v>1363</v>
      </c>
      <c r="D5628" s="112" t="s">
        <v>177</v>
      </c>
      <c r="E5628" s="112">
        <v>1432.8</v>
      </c>
      <c r="F5628" s="111" t="str">
        <f>DataPull!D5628</f>
        <v/>
      </c>
      <c r="G5628" s="94" t="str">
        <f t="shared" si="2"/>
        <v/>
      </c>
      <c r="H5628" s="94" t="str">
        <f t="shared" si="3"/>
        <v/>
      </c>
      <c r="I5628" s="94" t="str">
        <f t="shared" ref="I5628:J5628" si="5629">if(G5628 = "", , -G5628)</f>
        <v/>
      </c>
      <c r="J5628" s="94" t="str">
        <f t="shared" si="5629"/>
        <v/>
      </c>
      <c r="K5628" s="100"/>
      <c r="M5628" s="100"/>
      <c r="N5628" s="100"/>
      <c r="O5628" s="100"/>
      <c r="P5628" s="100"/>
    </row>
    <row r="5629">
      <c r="A5629" s="114">
        <v>1630191.0</v>
      </c>
      <c r="B5629" s="113" t="s">
        <v>247</v>
      </c>
      <c r="C5629" s="113" t="s">
        <v>1363</v>
      </c>
      <c r="D5629" s="112" t="s">
        <v>176</v>
      </c>
      <c r="E5629" s="112">
        <v>1316.6</v>
      </c>
      <c r="F5629" s="111" t="str">
        <f>DataPull!D5629</f>
        <v/>
      </c>
      <c r="G5629" s="94" t="str">
        <f t="shared" si="2"/>
        <v/>
      </c>
      <c r="H5629" s="94" t="str">
        <f t="shared" si="3"/>
        <v/>
      </c>
      <c r="I5629" s="94" t="str">
        <f t="shared" ref="I5629:J5629" si="5630">if(G5629 = "", , -G5629)</f>
        <v/>
      </c>
      <c r="J5629" s="94" t="str">
        <f t="shared" si="5630"/>
        <v/>
      </c>
      <c r="K5629" s="100"/>
      <c r="M5629" s="100"/>
      <c r="N5629" s="100"/>
      <c r="O5629" s="100"/>
      <c r="P5629" s="100"/>
    </row>
    <row r="5630">
      <c r="A5630" s="107">
        <v>1630192.0</v>
      </c>
      <c r="B5630" s="108" t="s">
        <v>243</v>
      </c>
      <c r="C5630" s="108" t="s">
        <v>1364</v>
      </c>
      <c r="D5630" s="112" t="s">
        <v>187</v>
      </c>
      <c r="E5630" s="112">
        <v>399.0</v>
      </c>
      <c r="F5630" s="111" t="str">
        <f>DataPull!D5630</f>
        <v/>
      </c>
      <c r="G5630" s="94" t="str">
        <f t="shared" si="2"/>
        <v/>
      </c>
      <c r="H5630" s="94" t="str">
        <f t="shared" si="3"/>
        <v/>
      </c>
      <c r="I5630" s="94" t="str">
        <f t="shared" ref="I5630:J5630" si="5631">if(G5630 = "", , -G5630)</f>
        <v/>
      </c>
      <c r="J5630" s="94" t="str">
        <f t="shared" si="5631"/>
        <v/>
      </c>
      <c r="K5630" s="100"/>
      <c r="M5630" s="100"/>
      <c r="N5630" s="100"/>
      <c r="O5630" s="100"/>
      <c r="P5630" s="100"/>
    </row>
    <row r="5631">
      <c r="A5631" s="107">
        <v>1630192.0</v>
      </c>
      <c r="B5631" s="108" t="s">
        <v>215</v>
      </c>
      <c r="C5631" s="108" t="s">
        <v>1364</v>
      </c>
      <c r="D5631" s="112" t="s">
        <v>177</v>
      </c>
      <c r="E5631" s="112">
        <v>697.0</v>
      </c>
      <c r="F5631" s="111" t="str">
        <f>DataPull!D5631</f>
        <v/>
      </c>
      <c r="G5631" s="94" t="str">
        <f t="shared" si="2"/>
        <v/>
      </c>
      <c r="H5631" s="94" t="str">
        <f t="shared" si="3"/>
        <v/>
      </c>
      <c r="I5631" s="94" t="str">
        <f t="shared" ref="I5631:J5631" si="5632">if(G5631 = "", , -G5631)</f>
        <v/>
      </c>
      <c r="J5631" s="94" t="str">
        <f t="shared" si="5632"/>
        <v/>
      </c>
      <c r="K5631" s="100"/>
      <c r="M5631" s="100"/>
      <c r="N5631" s="100"/>
      <c r="O5631" s="100"/>
      <c r="P5631" s="100"/>
    </row>
    <row r="5632">
      <c r="A5632" s="107">
        <v>1630192.0</v>
      </c>
      <c r="B5632" s="108" t="s">
        <v>244</v>
      </c>
      <c r="C5632" s="108" t="s">
        <v>1364</v>
      </c>
      <c r="D5632" s="112" t="s">
        <v>187</v>
      </c>
      <c r="E5632" s="112">
        <v>726.1</v>
      </c>
      <c r="F5632" s="111" t="str">
        <f>DataPull!D5632</f>
        <v/>
      </c>
      <c r="G5632" s="94" t="str">
        <f t="shared" si="2"/>
        <v/>
      </c>
      <c r="H5632" s="94" t="str">
        <f t="shared" si="3"/>
        <v/>
      </c>
      <c r="I5632" s="94" t="str">
        <f t="shared" ref="I5632:J5632" si="5633">if(G5632 = "", , -G5632)</f>
        <v/>
      </c>
      <c r="J5632" s="94" t="str">
        <f t="shared" si="5633"/>
        <v/>
      </c>
      <c r="K5632" s="100"/>
      <c r="M5632" s="100"/>
      <c r="N5632" s="100"/>
      <c r="O5632" s="100"/>
      <c r="P5632" s="100"/>
    </row>
    <row r="5633">
      <c r="A5633" s="107">
        <v>1630192.0</v>
      </c>
      <c r="B5633" s="108" t="s">
        <v>245</v>
      </c>
      <c r="C5633" s="108" t="s">
        <v>1364</v>
      </c>
      <c r="D5633" s="112" t="s">
        <v>187</v>
      </c>
      <c r="E5633" s="112">
        <v>574.2</v>
      </c>
      <c r="F5633" s="111" t="str">
        <f>DataPull!D5633</f>
        <v/>
      </c>
      <c r="G5633" s="94" t="str">
        <f t="shared" si="2"/>
        <v/>
      </c>
      <c r="H5633" s="94" t="str">
        <f t="shared" si="3"/>
        <v/>
      </c>
      <c r="I5633" s="94" t="str">
        <f t="shared" ref="I5633:J5633" si="5634">if(G5633 = "", , -G5633)</f>
        <v/>
      </c>
      <c r="J5633" s="94" t="str">
        <f t="shared" si="5634"/>
        <v/>
      </c>
      <c r="K5633" s="100"/>
      <c r="L5633" s="100"/>
      <c r="M5633" s="100"/>
      <c r="N5633" s="100"/>
      <c r="O5633" s="100"/>
    </row>
    <row r="5634">
      <c r="A5634" s="107">
        <v>1630192.0</v>
      </c>
      <c r="B5634" s="108" t="s">
        <v>246</v>
      </c>
      <c r="C5634" s="108" t="s">
        <v>1364</v>
      </c>
      <c r="D5634" s="112" t="s">
        <v>177</v>
      </c>
      <c r="E5634" s="112">
        <v>609.9</v>
      </c>
      <c r="F5634" s="111" t="str">
        <f>DataPull!D5634</f>
        <v/>
      </c>
      <c r="G5634" s="94" t="str">
        <f t="shared" si="2"/>
        <v/>
      </c>
      <c r="H5634" s="94" t="str">
        <f t="shared" si="3"/>
        <v/>
      </c>
      <c r="I5634" s="94" t="str">
        <f t="shared" ref="I5634:J5634" si="5635">if(G5634 = "", , -G5634)</f>
        <v/>
      </c>
      <c r="J5634" s="94" t="str">
        <f t="shared" si="5635"/>
        <v/>
      </c>
      <c r="K5634" s="100"/>
      <c r="M5634" s="100"/>
      <c r="N5634" s="100"/>
      <c r="O5634" s="100"/>
      <c r="P5634" s="100"/>
    </row>
    <row r="5635">
      <c r="A5635" s="114">
        <v>1630192.0</v>
      </c>
      <c r="B5635" s="113" t="s">
        <v>247</v>
      </c>
      <c r="C5635" s="113" t="s">
        <v>1364</v>
      </c>
      <c r="D5635" s="112" t="s">
        <v>177</v>
      </c>
      <c r="E5635" s="112">
        <v>624.0</v>
      </c>
      <c r="F5635" s="111" t="str">
        <f>DataPull!D5635</f>
        <v/>
      </c>
      <c r="G5635" s="94" t="str">
        <f t="shared" si="2"/>
        <v/>
      </c>
      <c r="H5635" s="94" t="str">
        <f t="shared" si="3"/>
        <v/>
      </c>
      <c r="I5635" s="94" t="str">
        <f t="shared" ref="I5635:J5635" si="5636">if(G5635 = "", , -G5635)</f>
        <v/>
      </c>
      <c r="J5635" s="94" t="str">
        <f t="shared" si="5636"/>
        <v/>
      </c>
      <c r="K5635" s="100"/>
      <c r="M5635" s="100"/>
      <c r="N5635" s="100"/>
      <c r="O5635" s="100"/>
      <c r="P5635" s="100"/>
    </row>
    <row r="5636">
      <c r="A5636" s="107">
        <v>1630193.0</v>
      </c>
      <c r="B5636" s="108" t="s">
        <v>243</v>
      </c>
      <c r="C5636" s="108" t="s">
        <v>1365</v>
      </c>
      <c r="D5636" s="112" t="s">
        <v>177</v>
      </c>
      <c r="E5636" s="112">
        <v>1241.6</v>
      </c>
      <c r="F5636" s="111" t="str">
        <f>DataPull!D5636</f>
        <v/>
      </c>
      <c r="G5636" s="94" t="str">
        <f t="shared" si="2"/>
        <v/>
      </c>
      <c r="H5636" s="94" t="str">
        <f t="shared" si="3"/>
        <v/>
      </c>
      <c r="I5636" s="94" t="str">
        <f t="shared" ref="I5636:J5636" si="5637">if(G5636 = "", , -G5636)</f>
        <v/>
      </c>
      <c r="J5636" s="94" t="str">
        <f t="shared" si="5637"/>
        <v/>
      </c>
      <c r="K5636" s="100"/>
      <c r="M5636" s="100"/>
      <c r="N5636" s="100"/>
      <c r="O5636" s="100"/>
      <c r="P5636" s="100"/>
    </row>
    <row r="5637">
      <c r="A5637" s="107">
        <v>1630193.0</v>
      </c>
      <c r="B5637" s="108" t="s">
        <v>215</v>
      </c>
      <c r="C5637" s="108" t="s">
        <v>1365</v>
      </c>
      <c r="D5637" s="112" t="s">
        <v>176</v>
      </c>
      <c r="E5637" s="112">
        <v>1801.8</v>
      </c>
      <c r="F5637" s="111" t="str">
        <f>DataPull!D5637</f>
        <v/>
      </c>
      <c r="G5637" s="94" t="str">
        <f t="shared" si="2"/>
        <v/>
      </c>
      <c r="H5637" s="94" t="str">
        <f t="shared" si="3"/>
        <v/>
      </c>
      <c r="I5637" s="94" t="str">
        <f t="shared" ref="I5637:J5637" si="5638">if(G5637 = "", , -G5637)</f>
        <v/>
      </c>
      <c r="J5637" s="94" t="str">
        <f t="shared" si="5638"/>
        <v/>
      </c>
      <c r="K5637" s="100"/>
      <c r="L5637" s="100"/>
      <c r="N5637" s="100"/>
      <c r="O5637" s="100"/>
      <c r="P5637" s="100"/>
    </row>
    <row r="5638">
      <c r="A5638" s="107">
        <v>1630193.0</v>
      </c>
      <c r="B5638" s="108" t="s">
        <v>244</v>
      </c>
      <c r="C5638" s="108" t="s">
        <v>1365</v>
      </c>
      <c r="D5638" s="112" t="s">
        <v>176</v>
      </c>
      <c r="E5638" s="112">
        <v>2340.9</v>
      </c>
      <c r="F5638" s="111" t="str">
        <f>DataPull!D5638</f>
        <v/>
      </c>
      <c r="G5638" s="94" t="str">
        <f t="shared" si="2"/>
        <v/>
      </c>
      <c r="H5638" s="94" t="str">
        <f t="shared" si="3"/>
        <v/>
      </c>
      <c r="I5638" s="94" t="str">
        <f t="shared" ref="I5638:J5638" si="5639">if(G5638 = "", , -G5638)</f>
        <v/>
      </c>
      <c r="J5638" s="94" t="str">
        <f t="shared" si="5639"/>
        <v/>
      </c>
      <c r="K5638" s="100"/>
      <c r="L5638" s="100"/>
      <c r="M5638" s="100"/>
      <c r="N5638" s="100"/>
      <c r="O5638" s="100"/>
    </row>
    <row r="5639">
      <c r="A5639" s="107">
        <v>1630193.0</v>
      </c>
      <c r="B5639" s="108" t="s">
        <v>245</v>
      </c>
      <c r="C5639" s="108" t="s">
        <v>1365</v>
      </c>
      <c r="D5639" s="112" t="s">
        <v>184</v>
      </c>
      <c r="E5639" s="112">
        <v>1985.6</v>
      </c>
      <c r="F5639" s="111" t="str">
        <f>DataPull!D5639</f>
        <v/>
      </c>
      <c r="G5639" s="94" t="str">
        <f t="shared" si="2"/>
        <v/>
      </c>
      <c r="H5639" s="94" t="str">
        <f t="shared" si="3"/>
        <v/>
      </c>
      <c r="I5639" s="94" t="str">
        <f t="shared" ref="I5639:J5639" si="5640">if(G5639 = "", , -G5639)</f>
        <v/>
      </c>
      <c r="J5639" s="94" t="str">
        <f t="shared" si="5640"/>
        <v/>
      </c>
      <c r="K5639" s="100"/>
      <c r="M5639" s="100"/>
      <c r="N5639" s="100"/>
      <c r="O5639" s="100"/>
      <c r="P5639" s="100"/>
    </row>
    <row r="5640">
      <c r="A5640" s="107">
        <v>1630193.0</v>
      </c>
      <c r="B5640" s="108" t="s">
        <v>246</v>
      </c>
      <c r="C5640" s="108" t="s">
        <v>1365</v>
      </c>
      <c r="D5640" s="112" t="s">
        <v>184</v>
      </c>
      <c r="E5640" s="112">
        <v>917.4</v>
      </c>
      <c r="F5640" s="111" t="str">
        <f>DataPull!D5640</f>
        <v/>
      </c>
      <c r="G5640" s="94" t="str">
        <f t="shared" si="2"/>
        <v/>
      </c>
      <c r="H5640" s="94" t="str">
        <f t="shared" si="3"/>
        <v/>
      </c>
      <c r="I5640" s="94" t="str">
        <f t="shared" ref="I5640:J5640" si="5641">if(G5640 = "", , -G5640)</f>
        <v/>
      </c>
      <c r="J5640" s="94" t="str">
        <f t="shared" si="5641"/>
        <v/>
      </c>
      <c r="K5640" s="100"/>
      <c r="M5640" s="100"/>
      <c r="N5640" s="100"/>
      <c r="O5640" s="100"/>
      <c r="P5640" s="100"/>
    </row>
    <row r="5641">
      <c r="A5641" s="114">
        <v>1630193.0</v>
      </c>
      <c r="B5641" s="113" t="s">
        <v>247</v>
      </c>
      <c r="C5641" s="113" t="s">
        <v>1365</v>
      </c>
      <c r="D5641" s="112" t="s">
        <v>184</v>
      </c>
      <c r="E5641" s="112">
        <v>2233.0</v>
      </c>
      <c r="F5641" s="111" t="str">
        <f>DataPull!D5641</f>
        <v/>
      </c>
      <c r="G5641" s="94" t="str">
        <f t="shared" si="2"/>
        <v/>
      </c>
      <c r="H5641" s="94" t="str">
        <f t="shared" si="3"/>
        <v/>
      </c>
      <c r="I5641" s="94" t="str">
        <f t="shared" ref="I5641:J5641" si="5642">if(G5641 = "", , -G5641)</f>
        <v/>
      </c>
      <c r="J5641" s="94" t="str">
        <f t="shared" si="5642"/>
        <v/>
      </c>
      <c r="K5641" s="100"/>
      <c r="L5641" s="100"/>
      <c r="N5641" s="100"/>
      <c r="O5641" s="100"/>
      <c r="P5641" s="100"/>
    </row>
    <row r="5642">
      <c r="A5642" s="107">
        <v>1630194.0</v>
      </c>
      <c r="B5642" s="108" t="s">
        <v>243</v>
      </c>
      <c r="C5642" s="108" t="s">
        <v>1366</v>
      </c>
      <c r="D5642" s="112" t="s">
        <v>187</v>
      </c>
      <c r="E5642" s="112">
        <v>176.8</v>
      </c>
      <c r="F5642" s="111" t="str">
        <f>DataPull!D5642</f>
        <v/>
      </c>
      <c r="G5642" s="94" t="str">
        <f t="shared" si="2"/>
        <v/>
      </c>
      <c r="H5642" s="94" t="str">
        <f t="shared" si="3"/>
        <v/>
      </c>
      <c r="I5642" s="94" t="str">
        <f t="shared" ref="I5642:J5642" si="5643">if(G5642 = "", , -G5642)</f>
        <v/>
      </c>
      <c r="J5642" s="94" t="str">
        <f t="shared" si="5643"/>
        <v/>
      </c>
      <c r="K5642" s="100"/>
      <c r="M5642" s="100"/>
      <c r="N5642" s="100"/>
      <c r="O5642" s="100"/>
      <c r="P5642" s="100"/>
    </row>
    <row r="5643">
      <c r="A5643" s="107">
        <v>1630194.0</v>
      </c>
      <c r="B5643" s="108" t="s">
        <v>215</v>
      </c>
      <c r="C5643" s="108" t="s">
        <v>1366</v>
      </c>
      <c r="D5643" s="112" t="s">
        <v>187</v>
      </c>
      <c r="E5643" s="112">
        <v>304.0</v>
      </c>
      <c r="F5643" s="111" t="str">
        <f>DataPull!D5643</f>
        <v/>
      </c>
      <c r="G5643" s="94" t="str">
        <f t="shared" si="2"/>
        <v/>
      </c>
      <c r="H5643" s="94" t="str">
        <f t="shared" si="3"/>
        <v/>
      </c>
      <c r="I5643" s="94" t="str">
        <f t="shared" ref="I5643:J5643" si="5644">if(G5643 = "", , -G5643)</f>
        <v/>
      </c>
      <c r="J5643" s="94" t="str">
        <f t="shared" si="5644"/>
        <v/>
      </c>
      <c r="K5643" s="100"/>
      <c r="M5643" s="100"/>
      <c r="N5643" s="100"/>
      <c r="O5643" s="100"/>
      <c r="P5643" s="100"/>
    </row>
    <row r="5644">
      <c r="A5644" s="107">
        <v>1630194.0</v>
      </c>
      <c r="B5644" s="108" t="s">
        <v>244</v>
      </c>
      <c r="C5644" s="108" t="s">
        <v>1366</v>
      </c>
      <c r="D5644" s="112" t="s">
        <v>177</v>
      </c>
      <c r="E5644" s="112">
        <v>752.1</v>
      </c>
      <c r="F5644" s="111" t="str">
        <f>DataPull!D5644</f>
        <v/>
      </c>
      <c r="G5644" s="94" t="str">
        <f t="shared" si="2"/>
        <v/>
      </c>
      <c r="H5644" s="94" t="str">
        <f t="shared" si="3"/>
        <v/>
      </c>
      <c r="I5644" s="94" t="str">
        <f t="shared" ref="I5644:J5644" si="5645">if(G5644 = "", , -G5644)</f>
        <v/>
      </c>
      <c r="J5644" s="94" t="str">
        <f t="shared" si="5645"/>
        <v/>
      </c>
      <c r="K5644" s="100"/>
      <c r="M5644" s="100"/>
      <c r="N5644" s="100"/>
      <c r="O5644" s="100"/>
      <c r="P5644" s="100"/>
    </row>
    <row r="5645">
      <c r="A5645" s="107">
        <v>1630194.0</v>
      </c>
      <c r="B5645" s="108" t="s">
        <v>245</v>
      </c>
      <c r="C5645" s="108" t="s">
        <v>1366</v>
      </c>
      <c r="D5645" s="112" t="s">
        <v>177</v>
      </c>
      <c r="E5645" s="112">
        <v>1590.8</v>
      </c>
      <c r="F5645" s="111" t="str">
        <f>DataPull!D5645</f>
        <v/>
      </c>
      <c r="G5645" s="94" t="str">
        <f t="shared" si="2"/>
        <v/>
      </c>
      <c r="H5645" s="94" t="str">
        <f t="shared" si="3"/>
        <v/>
      </c>
      <c r="I5645" s="94" t="str">
        <f t="shared" ref="I5645:J5645" si="5646">if(G5645 = "", , -G5645)</f>
        <v/>
      </c>
      <c r="J5645" s="94" t="str">
        <f t="shared" si="5646"/>
        <v/>
      </c>
      <c r="K5645" s="100"/>
      <c r="M5645" s="100"/>
      <c r="N5645" s="100"/>
      <c r="O5645" s="100"/>
      <c r="P5645" s="100"/>
    </row>
    <row r="5646">
      <c r="A5646" s="107">
        <v>1630194.0</v>
      </c>
      <c r="B5646" s="108" t="s">
        <v>246</v>
      </c>
      <c r="C5646" s="108" t="s">
        <v>1366</v>
      </c>
      <c r="D5646" s="112" t="s">
        <v>187</v>
      </c>
      <c r="E5646" s="112">
        <v>436.5</v>
      </c>
      <c r="F5646" s="111" t="str">
        <f>DataPull!D5646</f>
        <v/>
      </c>
      <c r="G5646" s="94" t="str">
        <f t="shared" si="2"/>
        <v/>
      </c>
      <c r="H5646" s="94" t="str">
        <f t="shared" si="3"/>
        <v/>
      </c>
      <c r="I5646" s="94" t="str">
        <f t="shared" ref="I5646:J5646" si="5647">if(G5646 = "", , -G5646)</f>
        <v/>
      </c>
      <c r="J5646" s="94" t="str">
        <f t="shared" si="5647"/>
        <v/>
      </c>
      <c r="K5646" s="100"/>
      <c r="M5646" s="100"/>
      <c r="N5646" s="100"/>
      <c r="O5646" s="100"/>
      <c r="P5646" s="100"/>
    </row>
    <row r="5647">
      <c r="A5647" s="114">
        <v>1630194.0</v>
      </c>
      <c r="B5647" s="113" t="s">
        <v>247</v>
      </c>
      <c r="C5647" s="113" t="s">
        <v>1366</v>
      </c>
      <c r="D5647" s="112" t="s">
        <v>177</v>
      </c>
      <c r="E5647" s="112">
        <v>903.5</v>
      </c>
      <c r="F5647" s="111" t="str">
        <f>DataPull!D5647</f>
        <v/>
      </c>
      <c r="G5647" s="94" t="str">
        <f t="shared" si="2"/>
        <v/>
      </c>
      <c r="H5647" s="94" t="str">
        <f t="shared" si="3"/>
        <v/>
      </c>
      <c r="I5647" s="94" t="str">
        <f t="shared" ref="I5647:J5647" si="5648">if(G5647 = "", , -G5647)</f>
        <v/>
      </c>
      <c r="J5647" s="94" t="str">
        <f t="shared" si="5648"/>
        <v/>
      </c>
      <c r="K5647" s="100"/>
      <c r="M5647" s="100"/>
      <c r="N5647" s="100"/>
      <c r="O5647" s="100"/>
      <c r="P5647" s="100"/>
    </row>
    <row r="5648">
      <c r="A5648" s="107">
        <v>1630195.0</v>
      </c>
      <c r="B5648" s="108" t="s">
        <v>215</v>
      </c>
      <c r="C5648" s="108" t="s">
        <v>1367</v>
      </c>
      <c r="D5648" s="112" t="s">
        <v>187</v>
      </c>
      <c r="E5648" s="112">
        <v>241.5</v>
      </c>
      <c r="F5648" s="111" t="str">
        <f>DataPull!D5648</f>
        <v/>
      </c>
      <c r="G5648" s="94" t="str">
        <f t="shared" si="2"/>
        <v/>
      </c>
      <c r="H5648" s="94" t="str">
        <f t="shared" si="3"/>
        <v/>
      </c>
      <c r="I5648" s="94" t="str">
        <f t="shared" ref="I5648:J5648" si="5649">if(G5648 = "", , -G5648)</f>
        <v/>
      </c>
      <c r="J5648" s="94" t="str">
        <f t="shared" si="5649"/>
        <v/>
      </c>
      <c r="K5648" s="100"/>
      <c r="M5648" s="100"/>
      <c r="N5648" s="100"/>
      <c r="O5648" s="100"/>
      <c r="P5648" s="100"/>
    </row>
    <row r="5649">
      <c r="A5649" s="107">
        <v>1630195.0</v>
      </c>
      <c r="B5649" s="108" t="s">
        <v>244</v>
      </c>
      <c r="C5649" s="108" t="s">
        <v>1367</v>
      </c>
      <c r="D5649" s="112" t="s">
        <v>187</v>
      </c>
      <c r="E5649" s="112">
        <v>68.6</v>
      </c>
      <c r="F5649" s="111" t="str">
        <f>DataPull!D5649</f>
        <v/>
      </c>
      <c r="G5649" s="94" t="str">
        <f t="shared" si="2"/>
        <v/>
      </c>
      <c r="H5649" s="94" t="str">
        <f t="shared" si="3"/>
        <v/>
      </c>
      <c r="I5649" s="94" t="str">
        <f t="shared" ref="I5649:J5649" si="5650">if(G5649 = "", , -G5649)</f>
        <v/>
      </c>
      <c r="J5649" s="94" t="str">
        <f t="shared" si="5650"/>
        <v/>
      </c>
      <c r="N5649" s="100"/>
      <c r="O5649" s="100"/>
    </row>
    <row r="5650">
      <c r="A5650" s="107">
        <v>1630196.0</v>
      </c>
      <c r="B5650" s="108" t="s">
        <v>245</v>
      </c>
      <c r="C5650" s="108" t="s">
        <v>1368</v>
      </c>
      <c r="D5650" s="112" t="s">
        <v>181</v>
      </c>
      <c r="E5650" s="112">
        <v>9.3</v>
      </c>
      <c r="F5650" s="111" t="str">
        <f>DataPull!D5650</f>
        <v/>
      </c>
      <c r="G5650" s="94" t="str">
        <f t="shared" si="2"/>
        <v/>
      </c>
      <c r="H5650" s="94" t="str">
        <f t="shared" si="3"/>
        <v/>
      </c>
      <c r="I5650" s="94" t="str">
        <f t="shared" ref="I5650:J5650" si="5651">if(G5650 = "", , -G5650)</f>
        <v/>
      </c>
      <c r="J5650" s="94" t="str">
        <f t="shared" si="5651"/>
        <v/>
      </c>
      <c r="K5650" s="100"/>
      <c r="L5650" s="100"/>
      <c r="N5650" s="100"/>
      <c r="O5650" s="100"/>
    </row>
    <row r="5651">
      <c r="A5651" s="107">
        <v>1630197.0</v>
      </c>
      <c r="B5651" s="108" t="s">
        <v>243</v>
      </c>
      <c r="C5651" s="115" t="s">
        <v>1369</v>
      </c>
      <c r="D5651" s="112"/>
      <c r="E5651" s="112"/>
      <c r="F5651" s="111" t="str">
        <f>DataPull!D5651</f>
        <v/>
      </c>
      <c r="G5651" s="94" t="str">
        <f t="shared" si="2"/>
        <v/>
      </c>
      <c r="H5651" s="94" t="str">
        <f t="shared" si="3"/>
        <v/>
      </c>
      <c r="I5651" s="94" t="str">
        <f t="shared" ref="I5651:J5651" si="5652">if(G5651 = "", , -G5651)</f>
        <v/>
      </c>
      <c r="J5651" s="94" t="str">
        <f t="shared" si="5652"/>
        <v/>
      </c>
      <c r="K5651" s="100"/>
      <c r="M5651" s="100"/>
      <c r="N5651" s="100"/>
      <c r="O5651" s="100"/>
      <c r="P5651" s="100"/>
    </row>
    <row r="5652">
      <c r="A5652" s="107">
        <v>1630197.0</v>
      </c>
      <c r="B5652" s="108" t="s">
        <v>215</v>
      </c>
      <c r="C5652" s="108" t="s">
        <v>1370</v>
      </c>
      <c r="D5652" s="112" t="s">
        <v>177</v>
      </c>
      <c r="E5652" s="112">
        <v>1232.2</v>
      </c>
      <c r="F5652" s="111" t="str">
        <f>DataPull!D5652</f>
        <v/>
      </c>
      <c r="G5652" s="94" t="str">
        <f t="shared" si="2"/>
        <v/>
      </c>
      <c r="H5652" s="94" t="str">
        <f t="shared" si="3"/>
        <v/>
      </c>
      <c r="I5652" s="94" t="str">
        <f t="shared" ref="I5652:J5652" si="5653">if(G5652 = "", , -G5652)</f>
        <v/>
      </c>
      <c r="J5652" s="94" t="str">
        <f t="shared" si="5653"/>
        <v/>
      </c>
      <c r="K5652" s="100"/>
      <c r="M5652" s="100"/>
      <c r="N5652" s="100"/>
      <c r="O5652" s="100"/>
      <c r="P5652" s="100"/>
    </row>
    <row r="5653">
      <c r="A5653" s="107">
        <v>1630197.0</v>
      </c>
      <c r="B5653" s="108" t="s">
        <v>244</v>
      </c>
      <c r="C5653" s="108" t="s">
        <v>1370</v>
      </c>
      <c r="D5653" s="112" t="s">
        <v>176</v>
      </c>
      <c r="E5653" s="112">
        <v>700.4</v>
      </c>
      <c r="F5653" s="111" t="str">
        <f>DataPull!D5653</f>
        <v/>
      </c>
      <c r="G5653" s="94" t="str">
        <f t="shared" si="2"/>
        <v/>
      </c>
      <c r="H5653" s="94" t="str">
        <f t="shared" si="3"/>
        <v/>
      </c>
      <c r="I5653" s="94" t="str">
        <f t="shared" ref="I5653:J5653" si="5654">if(G5653 = "", , -G5653)</f>
        <v/>
      </c>
      <c r="J5653" s="94" t="str">
        <f t="shared" si="5654"/>
        <v/>
      </c>
      <c r="K5653" s="100"/>
      <c r="M5653" s="100"/>
      <c r="N5653" s="100"/>
      <c r="O5653" s="100"/>
      <c r="P5653" s="100"/>
    </row>
    <row r="5654">
      <c r="A5654" s="107">
        <v>1630197.0</v>
      </c>
      <c r="B5654" s="108" t="s">
        <v>245</v>
      </c>
      <c r="C5654" s="108" t="s">
        <v>1370</v>
      </c>
      <c r="D5654" s="112" t="s">
        <v>177</v>
      </c>
      <c r="E5654" s="112">
        <v>406.0</v>
      </c>
      <c r="F5654" s="111" t="str">
        <f>DataPull!D5654</f>
        <v/>
      </c>
      <c r="G5654" s="94" t="str">
        <f t="shared" si="2"/>
        <v/>
      </c>
      <c r="H5654" s="94" t="str">
        <f t="shared" si="3"/>
        <v/>
      </c>
      <c r="I5654" s="94" t="str">
        <f t="shared" ref="I5654:J5654" si="5655">if(G5654 = "", , -G5654)</f>
        <v/>
      </c>
      <c r="J5654" s="94" t="str">
        <f t="shared" si="5655"/>
        <v/>
      </c>
      <c r="K5654" s="100"/>
      <c r="M5654" s="100"/>
      <c r="N5654" s="100"/>
      <c r="O5654" s="100"/>
      <c r="P5654" s="100"/>
    </row>
    <row r="5655">
      <c r="A5655" s="107">
        <v>1630198.0</v>
      </c>
      <c r="B5655" s="108" t="s">
        <v>243</v>
      </c>
      <c r="C5655" s="108" t="s">
        <v>1371</v>
      </c>
      <c r="D5655" s="112" t="s">
        <v>187</v>
      </c>
      <c r="E5655" s="112">
        <v>381.3</v>
      </c>
      <c r="F5655" s="111" t="str">
        <f>DataPull!D5655</f>
        <v/>
      </c>
      <c r="G5655" s="94" t="str">
        <f t="shared" si="2"/>
        <v/>
      </c>
      <c r="H5655" s="94" t="str">
        <f t="shared" si="3"/>
        <v/>
      </c>
      <c r="I5655" s="94" t="str">
        <f t="shared" ref="I5655:J5655" si="5656">if(G5655 = "", , -G5655)</f>
        <v/>
      </c>
      <c r="J5655" s="94" t="str">
        <f t="shared" si="5656"/>
        <v/>
      </c>
      <c r="K5655" s="100"/>
      <c r="M5655" s="100"/>
      <c r="N5655" s="100"/>
      <c r="O5655" s="100"/>
      <c r="P5655" s="100"/>
    </row>
    <row r="5656">
      <c r="A5656" s="107">
        <v>1630198.0</v>
      </c>
      <c r="B5656" s="108" t="s">
        <v>215</v>
      </c>
      <c r="C5656" s="108" t="s">
        <v>1371</v>
      </c>
      <c r="D5656" s="112" t="s">
        <v>187</v>
      </c>
      <c r="E5656" s="112">
        <v>610.5</v>
      </c>
      <c r="F5656" s="111" t="str">
        <f>DataPull!D5656</f>
        <v/>
      </c>
      <c r="G5656" s="94" t="str">
        <f t="shared" si="2"/>
        <v/>
      </c>
      <c r="H5656" s="94" t="str">
        <f t="shared" si="3"/>
        <v/>
      </c>
      <c r="I5656" s="94" t="str">
        <f t="shared" ref="I5656:J5656" si="5657">if(G5656 = "", , -G5656)</f>
        <v/>
      </c>
      <c r="J5656" s="94" t="str">
        <f t="shared" si="5657"/>
        <v/>
      </c>
      <c r="K5656" s="100"/>
      <c r="M5656" s="100"/>
      <c r="O5656" s="100"/>
    </row>
    <row r="5657">
      <c r="A5657" s="107">
        <v>1630198.0</v>
      </c>
      <c r="B5657" s="108" t="s">
        <v>244</v>
      </c>
      <c r="C5657" s="108" t="s">
        <v>1371</v>
      </c>
      <c r="D5657" s="112" t="s">
        <v>176</v>
      </c>
      <c r="E5657" s="112">
        <v>1394.3</v>
      </c>
      <c r="F5657" s="111" t="str">
        <f>DataPull!D5657</f>
        <v/>
      </c>
      <c r="G5657" s="94" t="str">
        <f t="shared" si="2"/>
        <v/>
      </c>
      <c r="H5657" s="94" t="str">
        <f t="shared" si="3"/>
        <v/>
      </c>
      <c r="I5657" s="94" t="str">
        <f t="shared" ref="I5657:J5657" si="5658">if(G5657 = "", , -G5657)</f>
        <v/>
      </c>
      <c r="J5657" s="94" t="str">
        <f t="shared" si="5658"/>
        <v/>
      </c>
      <c r="K5657" s="100"/>
      <c r="L5657" s="100"/>
      <c r="M5657" s="100"/>
      <c r="N5657" s="100"/>
      <c r="O5657" s="100"/>
      <c r="P5657" s="100"/>
    </row>
    <row r="5658">
      <c r="A5658" s="107">
        <v>1630198.0</v>
      </c>
      <c r="B5658" s="108" t="s">
        <v>245</v>
      </c>
      <c r="C5658" s="108" t="s">
        <v>1371</v>
      </c>
      <c r="D5658" s="112" t="s">
        <v>176</v>
      </c>
      <c r="E5658" s="112">
        <v>1443.0</v>
      </c>
      <c r="F5658" s="111" t="str">
        <f>DataPull!D5658</f>
        <v/>
      </c>
      <c r="G5658" s="94" t="str">
        <f t="shared" si="2"/>
        <v/>
      </c>
      <c r="H5658" s="94" t="str">
        <f t="shared" si="3"/>
        <v/>
      </c>
      <c r="I5658" s="94" t="str">
        <f t="shared" ref="I5658:J5658" si="5659">if(G5658 = "", , -G5658)</f>
        <v/>
      </c>
      <c r="J5658" s="94" t="str">
        <f t="shared" si="5659"/>
        <v/>
      </c>
      <c r="K5658" s="100"/>
      <c r="L5658" s="100"/>
      <c r="M5658" s="100"/>
      <c r="N5658" s="100"/>
      <c r="O5658" s="100"/>
    </row>
    <row r="5659">
      <c r="A5659" s="107">
        <v>1630198.0</v>
      </c>
      <c r="B5659" s="108" t="s">
        <v>246</v>
      </c>
      <c r="C5659" s="108" t="s">
        <v>1371</v>
      </c>
      <c r="D5659" s="112" t="s">
        <v>176</v>
      </c>
      <c r="E5659" s="112">
        <v>1605.8</v>
      </c>
      <c r="F5659" s="111" t="str">
        <f>DataPull!D5659</f>
        <v/>
      </c>
      <c r="G5659" s="94" t="str">
        <f t="shared" si="2"/>
        <v/>
      </c>
      <c r="H5659" s="94" t="str">
        <f t="shared" si="3"/>
        <v/>
      </c>
      <c r="I5659" s="94" t="str">
        <f t="shared" ref="I5659:J5659" si="5660">if(G5659 = "", , -G5659)</f>
        <v/>
      </c>
      <c r="J5659" s="94" t="str">
        <f t="shared" si="5660"/>
        <v/>
      </c>
      <c r="K5659" s="100"/>
      <c r="L5659" s="100"/>
      <c r="M5659" s="100"/>
      <c r="N5659" s="100"/>
      <c r="O5659" s="100"/>
      <c r="P5659" s="100"/>
    </row>
    <row r="5660">
      <c r="A5660" s="114">
        <v>1630198.0</v>
      </c>
      <c r="B5660" s="113" t="s">
        <v>247</v>
      </c>
      <c r="C5660" s="113" t="s">
        <v>1371</v>
      </c>
      <c r="D5660" s="112" t="s">
        <v>176</v>
      </c>
      <c r="E5660" s="112">
        <v>1505.2</v>
      </c>
      <c r="F5660" s="111" t="str">
        <f>DataPull!D5660</f>
        <v/>
      </c>
      <c r="G5660" s="94" t="str">
        <f t="shared" si="2"/>
        <v/>
      </c>
      <c r="H5660" s="94" t="str">
        <f t="shared" si="3"/>
        <v/>
      </c>
      <c r="I5660" s="94" t="str">
        <f t="shared" ref="I5660:J5660" si="5661">if(G5660 = "", , -G5660)</f>
        <v/>
      </c>
      <c r="J5660" s="94" t="str">
        <f t="shared" si="5661"/>
        <v/>
      </c>
      <c r="K5660" s="100"/>
      <c r="L5660" s="100"/>
      <c r="M5660" s="100"/>
      <c r="N5660" s="100"/>
      <c r="O5660" s="100"/>
    </row>
    <row r="5661">
      <c r="A5661" s="107">
        <v>1630199.0</v>
      </c>
      <c r="B5661" s="108" t="s">
        <v>243</v>
      </c>
      <c r="C5661" s="108" t="s">
        <v>1372</v>
      </c>
      <c r="D5661" s="112" t="s">
        <v>187</v>
      </c>
      <c r="E5661" s="112">
        <v>93.6</v>
      </c>
      <c r="F5661" s="111" t="str">
        <f>DataPull!D5661</f>
        <v/>
      </c>
      <c r="G5661" s="94" t="str">
        <f t="shared" si="2"/>
        <v/>
      </c>
      <c r="H5661" s="94" t="str">
        <f t="shared" si="3"/>
        <v/>
      </c>
      <c r="I5661" s="94" t="str">
        <f t="shared" ref="I5661:J5661" si="5662">if(G5661 = "", , -G5661)</f>
        <v/>
      </c>
      <c r="J5661" s="94" t="str">
        <f t="shared" si="5662"/>
        <v/>
      </c>
      <c r="K5661" s="100"/>
      <c r="L5661" s="100"/>
      <c r="M5661" s="100"/>
      <c r="N5661" s="100"/>
      <c r="O5661" s="100"/>
    </row>
    <row r="5662">
      <c r="A5662" s="107">
        <v>1630199.0</v>
      </c>
      <c r="B5662" s="108" t="s">
        <v>215</v>
      </c>
      <c r="C5662" s="108" t="s">
        <v>1372</v>
      </c>
      <c r="D5662" s="112" t="s">
        <v>187</v>
      </c>
      <c r="E5662" s="112">
        <v>154.8</v>
      </c>
      <c r="F5662" s="111" t="str">
        <f>DataPull!D5662</f>
        <v/>
      </c>
      <c r="G5662" s="94" t="str">
        <f t="shared" si="2"/>
        <v/>
      </c>
      <c r="H5662" s="94" t="str">
        <f t="shared" si="3"/>
        <v/>
      </c>
      <c r="I5662" s="94" t="str">
        <f t="shared" ref="I5662:J5662" si="5663">if(G5662 = "", , -G5662)</f>
        <v/>
      </c>
      <c r="J5662" s="94" t="str">
        <f t="shared" si="5663"/>
        <v/>
      </c>
      <c r="K5662" s="100"/>
      <c r="N5662" s="100"/>
      <c r="O5662" s="100"/>
      <c r="P5662" s="100"/>
    </row>
    <row r="5663">
      <c r="A5663" s="107">
        <v>1630200.0</v>
      </c>
      <c r="B5663" s="108" t="s">
        <v>243</v>
      </c>
      <c r="C5663" s="108" t="s">
        <v>1373</v>
      </c>
      <c r="D5663" s="112" t="s">
        <v>187</v>
      </c>
      <c r="E5663" s="112">
        <v>270.1</v>
      </c>
      <c r="F5663" s="111" t="str">
        <f>DataPull!D5663</f>
        <v/>
      </c>
      <c r="G5663" s="94" t="str">
        <f t="shared" si="2"/>
        <v/>
      </c>
      <c r="H5663" s="94" t="str">
        <f t="shared" si="3"/>
        <v/>
      </c>
      <c r="I5663" s="94" t="str">
        <f t="shared" ref="I5663:J5663" si="5664">if(G5663 = "", , -G5663)</f>
        <v/>
      </c>
      <c r="J5663" s="94" t="str">
        <f t="shared" si="5664"/>
        <v/>
      </c>
      <c r="K5663" s="100"/>
      <c r="L5663" s="100"/>
      <c r="M5663" s="100"/>
      <c r="N5663" s="100"/>
      <c r="O5663" s="100"/>
    </row>
    <row r="5664">
      <c r="A5664" s="107">
        <v>1630200.0</v>
      </c>
      <c r="B5664" s="108" t="s">
        <v>215</v>
      </c>
      <c r="C5664" s="108" t="s">
        <v>1373</v>
      </c>
      <c r="D5664" s="112" t="s">
        <v>177</v>
      </c>
      <c r="E5664" s="112">
        <v>1145.4</v>
      </c>
      <c r="F5664" s="111" t="str">
        <f>DataPull!D5664</f>
        <v/>
      </c>
      <c r="G5664" s="94" t="str">
        <f t="shared" si="2"/>
        <v/>
      </c>
      <c r="H5664" s="94" t="str">
        <f t="shared" si="3"/>
        <v/>
      </c>
      <c r="I5664" s="94" t="str">
        <f t="shared" ref="I5664:J5664" si="5665">if(G5664 = "", , -G5664)</f>
        <v/>
      </c>
      <c r="J5664" s="94" t="str">
        <f t="shared" si="5665"/>
        <v/>
      </c>
      <c r="K5664" s="100"/>
      <c r="M5664" s="100"/>
      <c r="N5664" s="100"/>
      <c r="O5664" s="100"/>
      <c r="P5664" s="100"/>
    </row>
    <row r="5665">
      <c r="A5665" s="107">
        <v>1630200.0</v>
      </c>
      <c r="B5665" s="108" t="s">
        <v>244</v>
      </c>
      <c r="C5665" s="108" t="s">
        <v>1373</v>
      </c>
      <c r="D5665" s="112" t="s">
        <v>178</v>
      </c>
      <c r="E5665" s="112">
        <v>1985.6</v>
      </c>
      <c r="F5665" s="111" t="str">
        <f>DataPull!D5665</f>
        <v/>
      </c>
      <c r="G5665" s="94" t="str">
        <f t="shared" si="2"/>
        <v/>
      </c>
      <c r="H5665" s="94" t="str">
        <f t="shared" si="3"/>
        <v/>
      </c>
      <c r="I5665" s="94" t="str">
        <f t="shared" ref="I5665:J5665" si="5666">if(G5665 = "", , -G5665)</f>
        <v/>
      </c>
      <c r="J5665" s="94" t="str">
        <f t="shared" si="5666"/>
        <v/>
      </c>
      <c r="M5665" s="100"/>
      <c r="N5665" s="100"/>
      <c r="O5665" s="100"/>
    </row>
    <row r="5666">
      <c r="A5666" s="107">
        <v>1630200.0</v>
      </c>
      <c r="B5666" s="108" t="s">
        <v>245</v>
      </c>
      <c r="C5666" s="108" t="s">
        <v>1373</v>
      </c>
      <c r="D5666" s="112" t="s">
        <v>178</v>
      </c>
      <c r="E5666" s="112">
        <v>2140.6</v>
      </c>
      <c r="F5666" s="111" t="str">
        <f>DataPull!D5666</f>
        <v/>
      </c>
      <c r="G5666" s="94" t="str">
        <f t="shared" si="2"/>
        <v/>
      </c>
      <c r="H5666" s="94" t="str">
        <f t="shared" si="3"/>
        <v/>
      </c>
      <c r="I5666" s="94" t="str">
        <f t="shared" ref="I5666:J5666" si="5667">if(G5666 = "", , -G5666)</f>
        <v/>
      </c>
      <c r="J5666" s="94" t="str">
        <f t="shared" si="5667"/>
        <v/>
      </c>
      <c r="K5666" s="100"/>
      <c r="M5666" s="100"/>
      <c r="N5666" s="100"/>
      <c r="O5666" s="100"/>
      <c r="P5666" s="100"/>
    </row>
    <row r="5667">
      <c r="A5667" s="107">
        <v>1630200.0</v>
      </c>
      <c r="B5667" s="116" t="s">
        <v>246</v>
      </c>
      <c r="C5667" s="116" t="s">
        <v>1373</v>
      </c>
      <c r="D5667" s="24" t="s">
        <v>177</v>
      </c>
      <c r="E5667" s="112">
        <v>906.2</v>
      </c>
      <c r="F5667" s="111" t="str">
        <f>DataPull!D5667</f>
        <v/>
      </c>
      <c r="G5667" s="94" t="str">
        <f t="shared" si="2"/>
        <v/>
      </c>
      <c r="H5667" s="94" t="str">
        <f t="shared" si="3"/>
        <v/>
      </c>
      <c r="I5667" s="94" t="str">
        <f t="shared" ref="I5667:J5667" si="5668">if(G5667 = "", , -G5667)</f>
        <v/>
      </c>
      <c r="J5667" s="94" t="str">
        <f t="shared" si="5668"/>
        <v/>
      </c>
      <c r="K5667" s="100"/>
      <c r="L5667" s="100"/>
      <c r="M5667" s="100"/>
      <c r="N5667" s="100"/>
      <c r="O5667" s="100"/>
    </row>
    <row r="5668">
      <c r="A5668" s="114">
        <v>1630200.0</v>
      </c>
      <c r="B5668" s="131" t="s">
        <v>247</v>
      </c>
      <c r="C5668" s="131" t="s">
        <v>1373</v>
      </c>
      <c r="D5668" s="24" t="s">
        <v>178</v>
      </c>
      <c r="E5668" s="112">
        <v>1755.0</v>
      </c>
      <c r="F5668" s="111" t="str">
        <f>DataPull!D5668</f>
        <v/>
      </c>
      <c r="G5668" s="94" t="str">
        <f t="shared" si="2"/>
        <v/>
      </c>
      <c r="H5668" s="94" t="str">
        <f t="shared" si="3"/>
        <v/>
      </c>
      <c r="I5668" s="94" t="str">
        <f t="shared" ref="I5668:J5668" si="5669">if(G5668 = "", , -G5668)</f>
        <v/>
      </c>
      <c r="J5668" s="94" t="str">
        <f t="shared" si="5669"/>
        <v/>
      </c>
      <c r="K5668" s="100"/>
      <c r="M5668" s="100"/>
      <c r="N5668" s="100"/>
      <c r="O5668" s="100"/>
      <c r="P5668" s="100"/>
    </row>
    <row r="5669">
      <c r="A5669" s="107">
        <v>1630201.0</v>
      </c>
      <c r="B5669" s="116" t="s">
        <v>243</v>
      </c>
      <c r="C5669" s="116" t="s">
        <v>1374</v>
      </c>
      <c r="D5669" s="24" t="s">
        <v>177</v>
      </c>
      <c r="E5669" s="112">
        <v>925.9</v>
      </c>
      <c r="F5669" s="111" t="str">
        <f>DataPull!D5669</f>
        <v/>
      </c>
      <c r="G5669" s="94" t="str">
        <f t="shared" si="2"/>
        <v/>
      </c>
      <c r="H5669" s="94" t="str">
        <f t="shared" si="3"/>
        <v/>
      </c>
      <c r="I5669" s="94" t="str">
        <f t="shared" ref="I5669:J5669" si="5670">if(G5669 = "", , -G5669)</f>
        <v/>
      </c>
      <c r="J5669" s="94" t="str">
        <f t="shared" si="5670"/>
        <v/>
      </c>
      <c r="K5669" s="100"/>
      <c r="M5669" s="100"/>
      <c r="N5669" s="100"/>
      <c r="O5669" s="100"/>
      <c r="P5669" s="100"/>
    </row>
    <row r="5670">
      <c r="A5670" s="107">
        <v>1630201.0</v>
      </c>
      <c r="B5670" s="116" t="s">
        <v>215</v>
      </c>
      <c r="C5670" s="116" t="s">
        <v>1374</v>
      </c>
      <c r="D5670" s="24" t="s">
        <v>187</v>
      </c>
      <c r="E5670" s="112">
        <v>536.8</v>
      </c>
      <c r="F5670" s="111" t="str">
        <f>DataPull!D5670</f>
        <v/>
      </c>
      <c r="G5670" s="94" t="str">
        <f t="shared" si="2"/>
        <v/>
      </c>
      <c r="H5670" s="94" t="str">
        <f t="shared" si="3"/>
        <v/>
      </c>
      <c r="I5670" s="94" t="str">
        <f t="shared" ref="I5670:J5670" si="5671">if(G5670 = "", , -G5670)</f>
        <v/>
      </c>
      <c r="J5670" s="94" t="str">
        <f t="shared" si="5671"/>
        <v/>
      </c>
      <c r="K5670" s="100"/>
      <c r="M5670" s="100"/>
      <c r="N5670" s="100"/>
      <c r="O5670" s="100"/>
      <c r="P5670" s="100"/>
    </row>
    <row r="5671">
      <c r="A5671" s="107">
        <v>1630201.0</v>
      </c>
      <c r="B5671" s="116" t="s">
        <v>244</v>
      </c>
      <c r="C5671" s="116" t="s">
        <v>1374</v>
      </c>
      <c r="D5671" s="24" t="s">
        <v>187</v>
      </c>
      <c r="E5671" s="112">
        <v>689.0</v>
      </c>
      <c r="F5671" s="111" t="str">
        <f>DataPull!D5671</f>
        <v/>
      </c>
      <c r="G5671" s="94" t="str">
        <f t="shared" si="2"/>
        <v/>
      </c>
      <c r="H5671" s="94" t="str">
        <f t="shared" si="3"/>
        <v/>
      </c>
      <c r="I5671" s="94" t="str">
        <f t="shared" ref="I5671:J5671" si="5672">if(G5671 = "", , -G5671)</f>
        <v/>
      </c>
      <c r="J5671" s="94" t="str">
        <f t="shared" si="5672"/>
        <v/>
      </c>
      <c r="K5671" s="100"/>
      <c r="L5671" s="100"/>
      <c r="M5671" s="100"/>
      <c r="N5671" s="100"/>
      <c r="O5671" s="100"/>
      <c r="P5671" s="100"/>
    </row>
    <row r="5672">
      <c r="A5672" s="107">
        <v>1630201.0</v>
      </c>
      <c r="B5672" s="116" t="s">
        <v>245</v>
      </c>
      <c r="C5672" s="116" t="s">
        <v>1374</v>
      </c>
      <c r="D5672" s="24" t="s">
        <v>177</v>
      </c>
      <c r="E5672" s="112">
        <v>876.3</v>
      </c>
      <c r="F5672" s="111" t="str">
        <f>DataPull!D5672</f>
        <v/>
      </c>
      <c r="G5672" s="94" t="str">
        <f t="shared" si="2"/>
        <v/>
      </c>
      <c r="H5672" s="94" t="str">
        <f t="shared" si="3"/>
        <v/>
      </c>
      <c r="I5672" s="94" t="str">
        <f t="shared" ref="I5672:J5672" si="5673">if(G5672 = "", , -G5672)</f>
        <v/>
      </c>
      <c r="J5672" s="94" t="str">
        <f t="shared" si="5673"/>
        <v/>
      </c>
      <c r="K5672" s="100"/>
      <c r="L5672" s="100"/>
      <c r="N5672" s="100"/>
      <c r="O5672" s="100"/>
    </row>
    <row r="5673">
      <c r="A5673" s="123">
        <v>1630201.0</v>
      </c>
      <c r="B5673" s="132" t="s">
        <v>246</v>
      </c>
      <c r="C5673" s="133" t="s">
        <v>1374</v>
      </c>
      <c r="D5673" s="24" t="s">
        <v>181</v>
      </c>
      <c r="E5673" s="112">
        <v>43.6</v>
      </c>
      <c r="F5673" s="111" t="str">
        <f>DataPull!D5673</f>
        <v/>
      </c>
      <c r="G5673" s="94" t="str">
        <f t="shared" si="2"/>
        <v/>
      </c>
      <c r="H5673" s="94" t="str">
        <f t="shared" si="3"/>
        <v/>
      </c>
      <c r="I5673" s="94" t="str">
        <f t="shared" ref="I5673:J5673" si="5674">if(G5673 = "", , -G5673)</f>
        <v/>
      </c>
      <c r="J5673" s="94" t="str">
        <f t="shared" si="5674"/>
        <v/>
      </c>
      <c r="L5673" s="100"/>
      <c r="M5673" s="100"/>
      <c r="N5673" s="100"/>
      <c r="O5673" s="100"/>
      <c r="P5673" s="100"/>
    </row>
    <row r="5674">
      <c r="A5674" s="107">
        <v>1630202.0</v>
      </c>
      <c r="B5674" s="116" t="s">
        <v>243</v>
      </c>
      <c r="C5674" s="116" t="s">
        <v>1375</v>
      </c>
      <c r="D5674" s="24" t="s">
        <v>177</v>
      </c>
      <c r="E5674" s="112">
        <v>1267.2</v>
      </c>
      <c r="F5674" s="111" t="str">
        <f>DataPull!D5674</f>
        <v/>
      </c>
      <c r="G5674" s="94" t="str">
        <f t="shared" si="2"/>
        <v/>
      </c>
      <c r="H5674" s="94" t="str">
        <f t="shared" si="3"/>
        <v/>
      </c>
      <c r="I5674" s="94" t="str">
        <f t="shared" ref="I5674:J5674" si="5675">if(G5674 = "", , -G5674)</f>
        <v/>
      </c>
      <c r="J5674" s="94" t="str">
        <f t="shared" si="5675"/>
        <v/>
      </c>
      <c r="K5674" s="100"/>
      <c r="L5674" s="100"/>
      <c r="N5674" s="100"/>
      <c r="O5674" s="100"/>
    </row>
    <row r="5675">
      <c r="A5675" s="107">
        <v>1630202.0</v>
      </c>
      <c r="B5675" s="116" t="s">
        <v>215</v>
      </c>
      <c r="C5675" s="116" t="s">
        <v>1375</v>
      </c>
      <c r="D5675" s="24" t="s">
        <v>177</v>
      </c>
      <c r="E5675" s="112">
        <v>1001.1</v>
      </c>
      <c r="F5675" s="111" t="str">
        <f>DataPull!D5675</f>
        <v/>
      </c>
      <c r="G5675" s="94" t="str">
        <f t="shared" si="2"/>
        <v/>
      </c>
      <c r="H5675" s="94" t="str">
        <f t="shared" si="3"/>
        <v/>
      </c>
      <c r="I5675" s="94" t="str">
        <f t="shared" ref="I5675:J5675" si="5676">if(G5675 = "", , -G5675)</f>
        <v/>
      </c>
      <c r="J5675" s="94" t="str">
        <f t="shared" si="5676"/>
        <v/>
      </c>
      <c r="K5675" s="100"/>
      <c r="L5675" s="100"/>
      <c r="N5675" s="100"/>
      <c r="O5675" s="100"/>
      <c r="P5675" s="100"/>
    </row>
    <row r="5676">
      <c r="A5676" s="107">
        <v>1630202.0</v>
      </c>
      <c r="B5676" s="116" t="s">
        <v>244</v>
      </c>
      <c r="C5676" s="116" t="s">
        <v>1375</v>
      </c>
      <c r="D5676" s="24" t="s">
        <v>177</v>
      </c>
      <c r="E5676" s="112">
        <v>643.2</v>
      </c>
      <c r="F5676" s="111" t="str">
        <f>DataPull!D5676</f>
        <v/>
      </c>
      <c r="G5676" s="94" t="str">
        <f t="shared" si="2"/>
        <v/>
      </c>
      <c r="H5676" s="94" t="str">
        <f t="shared" si="3"/>
        <v/>
      </c>
      <c r="I5676" s="94" t="str">
        <f t="shared" ref="I5676:J5676" si="5677">if(G5676 = "", , -G5676)</f>
        <v/>
      </c>
      <c r="J5676" s="94" t="str">
        <f t="shared" si="5677"/>
        <v/>
      </c>
      <c r="K5676" s="100"/>
      <c r="M5676" s="100"/>
      <c r="N5676" s="100"/>
      <c r="O5676" s="100"/>
      <c r="P5676" s="100"/>
    </row>
    <row r="5677">
      <c r="A5677" s="107">
        <v>1630202.0</v>
      </c>
      <c r="B5677" s="116" t="s">
        <v>245</v>
      </c>
      <c r="C5677" s="116" t="s">
        <v>1375</v>
      </c>
      <c r="D5677" s="24" t="s">
        <v>176</v>
      </c>
      <c r="E5677" s="112">
        <v>1828.6</v>
      </c>
      <c r="F5677" s="111" t="str">
        <f>DataPull!D5677</f>
        <v/>
      </c>
      <c r="G5677" s="94" t="str">
        <f t="shared" si="2"/>
        <v/>
      </c>
      <c r="H5677" s="94" t="str">
        <f t="shared" si="3"/>
        <v/>
      </c>
      <c r="I5677" s="94" t="str">
        <f t="shared" ref="I5677:J5677" si="5678">if(G5677 = "", , -G5677)</f>
        <v/>
      </c>
      <c r="J5677" s="94" t="str">
        <f t="shared" si="5678"/>
        <v/>
      </c>
      <c r="K5677" s="100"/>
      <c r="M5677" s="100"/>
      <c r="N5677" s="100"/>
      <c r="O5677" s="100"/>
      <c r="P5677" s="100"/>
    </row>
    <row r="5678">
      <c r="A5678" s="107">
        <v>1630202.0</v>
      </c>
      <c r="B5678" s="116" t="s">
        <v>246</v>
      </c>
      <c r="C5678" s="116" t="s">
        <v>1375</v>
      </c>
      <c r="D5678" s="24" t="s">
        <v>176</v>
      </c>
      <c r="E5678" s="112">
        <v>2272.0</v>
      </c>
      <c r="F5678" s="111" t="str">
        <f>DataPull!D5678</f>
        <v/>
      </c>
      <c r="G5678" s="94" t="str">
        <f t="shared" si="2"/>
        <v/>
      </c>
      <c r="H5678" s="94" t="str">
        <f t="shared" si="3"/>
        <v/>
      </c>
      <c r="I5678" s="94" t="str">
        <f t="shared" ref="I5678:J5678" si="5679">if(G5678 = "", , -G5678)</f>
        <v/>
      </c>
      <c r="J5678" s="94" t="str">
        <f t="shared" si="5679"/>
        <v/>
      </c>
      <c r="K5678" s="100"/>
      <c r="M5678" s="100"/>
      <c r="N5678" s="100"/>
      <c r="O5678" s="100"/>
      <c r="P5678" s="100"/>
    </row>
    <row r="5679">
      <c r="A5679" s="114">
        <v>1630202.0</v>
      </c>
      <c r="B5679" s="131" t="s">
        <v>247</v>
      </c>
      <c r="C5679" s="131" t="s">
        <v>1375</v>
      </c>
      <c r="D5679" s="24" t="s">
        <v>184</v>
      </c>
      <c r="E5679" s="112">
        <v>2551.7</v>
      </c>
      <c r="F5679" s="111" t="str">
        <f>DataPull!D5679</f>
        <v/>
      </c>
      <c r="G5679" s="94" t="str">
        <f t="shared" si="2"/>
        <v/>
      </c>
      <c r="H5679" s="94" t="str">
        <f t="shared" si="3"/>
        <v/>
      </c>
      <c r="I5679" s="94" t="str">
        <f t="shared" ref="I5679:J5679" si="5680">if(G5679 = "", , -G5679)</f>
        <v/>
      </c>
      <c r="J5679" s="94" t="str">
        <f t="shared" si="5680"/>
        <v/>
      </c>
      <c r="K5679" s="100"/>
      <c r="M5679" s="100"/>
      <c r="N5679" s="100"/>
      <c r="O5679" s="100"/>
      <c r="P5679" s="100"/>
    </row>
    <row r="5680">
      <c r="A5680" s="107">
        <v>1630203.0</v>
      </c>
      <c r="B5680" s="116" t="s">
        <v>243</v>
      </c>
      <c r="C5680" s="116" t="s">
        <v>1376</v>
      </c>
      <c r="D5680" s="24" t="s">
        <v>181</v>
      </c>
      <c r="E5680" s="112">
        <v>27.3</v>
      </c>
      <c r="F5680" s="111" t="str">
        <f>DataPull!D5680</f>
        <v/>
      </c>
      <c r="G5680" s="94" t="str">
        <f t="shared" si="2"/>
        <v/>
      </c>
      <c r="H5680" s="94" t="str">
        <f t="shared" si="3"/>
        <v/>
      </c>
      <c r="I5680" s="94" t="str">
        <f t="shared" ref="I5680:J5680" si="5681">if(G5680 = "", , -G5680)</f>
        <v/>
      </c>
      <c r="J5680" s="94" t="str">
        <f t="shared" si="5681"/>
        <v/>
      </c>
      <c r="K5680" s="100"/>
      <c r="M5680" s="100"/>
      <c r="N5680" s="100"/>
      <c r="O5680" s="100"/>
      <c r="P5680" s="100"/>
    </row>
    <row r="5681">
      <c r="A5681" s="107">
        <v>1630204.0</v>
      </c>
      <c r="B5681" s="116" t="s">
        <v>243</v>
      </c>
      <c r="C5681" s="116" t="s">
        <v>1377</v>
      </c>
      <c r="D5681" s="24" t="s">
        <v>181</v>
      </c>
      <c r="E5681" s="112">
        <v>4.0</v>
      </c>
      <c r="F5681" s="111" t="str">
        <f>DataPull!D5681</f>
        <v/>
      </c>
      <c r="G5681" s="94" t="str">
        <f t="shared" si="2"/>
        <v/>
      </c>
      <c r="H5681" s="94" t="str">
        <f t="shared" si="3"/>
        <v/>
      </c>
      <c r="I5681" s="94" t="str">
        <f t="shared" ref="I5681:J5681" si="5682">if(G5681 = "", , -G5681)</f>
        <v/>
      </c>
      <c r="J5681" s="94" t="str">
        <f t="shared" si="5682"/>
        <v/>
      </c>
      <c r="K5681" s="100"/>
      <c r="M5681" s="100"/>
      <c r="N5681" s="100"/>
      <c r="O5681" s="100"/>
      <c r="P5681" s="100"/>
    </row>
    <row r="5682">
      <c r="A5682" s="107">
        <v>1630204.0</v>
      </c>
      <c r="B5682" s="116" t="s">
        <v>245</v>
      </c>
      <c r="C5682" s="116" t="s">
        <v>1377</v>
      </c>
      <c r="D5682" s="24" t="s">
        <v>177</v>
      </c>
      <c r="E5682" s="112">
        <v>315.4</v>
      </c>
      <c r="F5682" s="111" t="str">
        <f>DataPull!D5682</f>
        <v/>
      </c>
      <c r="G5682" s="94" t="str">
        <f t="shared" si="2"/>
        <v/>
      </c>
      <c r="H5682" s="94" t="str">
        <f t="shared" si="3"/>
        <v/>
      </c>
      <c r="I5682" s="94" t="str">
        <f t="shared" ref="I5682:J5682" si="5683">if(G5682 = "", , -G5682)</f>
        <v/>
      </c>
      <c r="J5682" s="94" t="str">
        <f t="shared" si="5683"/>
        <v/>
      </c>
      <c r="K5682" s="100"/>
      <c r="L5682" s="100"/>
      <c r="M5682" s="100"/>
      <c r="N5682" s="100"/>
      <c r="O5682" s="100"/>
      <c r="P5682" s="100"/>
    </row>
    <row r="5683">
      <c r="A5683" s="107">
        <v>1630205.0</v>
      </c>
      <c r="B5683" s="116" t="s">
        <v>243</v>
      </c>
      <c r="C5683" s="116" t="s">
        <v>1378</v>
      </c>
      <c r="D5683" s="24" t="s">
        <v>177</v>
      </c>
      <c r="E5683" s="112">
        <v>500.0</v>
      </c>
      <c r="F5683" s="111" t="str">
        <f>DataPull!D5683</f>
        <v/>
      </c>
      <c r="G5683" s="94" t="str">
        <f t="shared" si="2"/>
        <v/>
      </c>
      <c r="H5683" s="94" t="str">
        <f t="shared" si="3"/>
        <v/>
      </c>
      <c r="I5683" s="94" t="str">
        <f t="shared" ref="I5683:J5683" si="5684">if(G5683 = "", , -G5683)</f>
        <v/>
      </c>
      <c r="J5683" s="94" t="str">
        <f t="shared" si="5684"/>
        <v/>
      </c>
      <c r="K5683" s="100"/>
      <c r="N5683" s="100"/>
      <c r="O5683" s="100"/>
    </row>
    <row r="5684">
      <c r="A5684" s="107">
        <v>1630205.0</v>
      </c>
      <c r="B5684" s="116" t="s">
        <v>215</v>
      </c>
      <c r="C5684" s="116" t="s">
        <v>1378</v>
      </c>
      <c r="D5684" s="24" t="s">
        <v>177</v>
      </c>
      <c r="E5684" s="112">
        <v>1014.3</v>
      </c>
      <c r="F5684" s="111" t="str">
        <f>DataPull!D5684</f>
        <v/>
      </c>
      <c r="G5684" s="94" t="str">
        <f t="shared" si="2"/>
        <v/>
      </c>
      <c r="H5684" s="94" t="str">
        <f t="shared" si="3"/>
        <v/>
      </c>
      <c r="I5684" s="94" t="str">
        <f t="shared" ref="I5684:J5684" si="5685">if(G5684 = "", , -G5684)</f>
        <v/>
      </c>
      <c r="J5684" s="94" t="str">
        <f t="shared" si="5685"/>
        <v/>
      </c>
      <c r="K5684" s="100"/>
      <c r="M5684" s="100"/>
      <c r="N5684" s="100"/>
      <c r="O5684" s="100"/>
      <c r="P5684" s="100"/>
    </row>
    <row r="5685">
      <c r="A5685" s="107">
        <v>1630205.0</v>
      </c>
      <c r="B5685" s="116" t="s">
        <v>244</v>
      </c>
      <c r="C5685" s="116" t="s">
        <v>1378</v>
      </c>
      <c r="D5685" s="24" t="s">
        <v>177</v>
      </c>
      <c r="E5685" s="112">
        <v>1122.2</v>
      </c>
      <c r="F5685" s="111" t="str">
        <f>DataPull!D5685</f>
        <v/>
      </c>
      <c r="G5685" s="94" t="str">
        <f t="shared" si="2"/>
        <v/>
      </c>
      <c r="H5685" s="94" t="str">
        <f t="shared" si="3"/>
        <v/>
      </c>
      <c r="I5685" s="94" t="str">
        <f t="shared" ref="I5685:J5685" si="5686">if(G5685 = "", , -G5685)</f>
        <v/>
      </c>
      <c r="J5685" s="94" t="str">
        <f t="shared" si="5686"/>
        <v/>
      </c>
      <c r="K5685" s="100"/>
      <c r="M5685" s="100"/>
      <c r="N5685" s="100"/>
      <c r="O5685" s="100"/>
      <c r="P5685" s="100"/>
    </row>
    <row r="5686">
      <c r="A5686" s="107">
        <v>1630205.0</v>
      </c>
      <c r="B5686" s="116" t="s">
        <v>245</v>
      </c>
      <c r="C5686" s="116" t="s">
        <v>1378</v>
      </c>
      <c r="D5686" s="24" t="s">
        <v>176</v>
      </c>
      <c r="E5686" s="112">
        <v>558.6</v>
      </c>
      <c r="F5686" s="111" t="str">
        <f>DataPull!D5686</f>
        <v/>
      </c>
      <c r="G5686" s="94" t="str">
        <f t="shared" si="2"/>
        <v/>
      </c>
      <c r="H5686" s="94" t="str">
        <f t="shared" si="3"/>
        <v/>
      </c>
      <c r="I5686" s="94" t="str">
        <f t="shared" ref="I5686:J5686" si="5687">if(G5686 = "", , -G5686)</f>
        <v/>
      </c>
      <c r="J5686" s="94" t="str">
        <f t="shared" si="5687"/>
        <v/>
      </c>
      <c r="K5686" s="100"/>
      <c r="M5686" s="100"/>
      <c r="N5686" s="100"/>
      <c r="O5686" s="100"/>
      <c r="P5686" s="100"/>
    </row>
    <row r="5687">
      <c r="A5687" s="123">
        <v>1630205.0</v>
      </c>
      <c r="B5687" s="132" t="s">
        <v>246</v>
      </c>
      <c r="C5687" s="133" t="s">
        <v>1378</v>
      </c>
      <c r="D5687" s="24" t="s">
        <v>187</v>
      </c>
      <c r="E5687" s="112">
        <v>154.7</v>
      </c>
      <c r="F5687" s="111" t="str">
        <f>DataPull!D5687</f>
        <v/>
      </c>
      <c r="G5687" s="94" t="str">
        <f t="shared" si="2"/>
        <v/>
      </c>
      <c r="H5687" s="94" t="str">
        <f t="shared" si="3"/>
        <v/>
      </c>
      <c r="I5687" s="94" t="str">
        <f t="shared" ref="I5687:J5687" si="5688">if(G5687 = "", , -G5687)</f>
        <v/>
      </c>
      <c r="J5687" s="94" t="str">
        <f t="shared" si="5688"/>
        <v/>
      </c>
      <c r="K5687" s="100"/>
      <c r="M5687" s="100"/>
      <c r="N5687" s="100"/>
      <c r="O5687" s="100"/>
      <c r="P5687" s="100"/>
    </row>
    <row r="5688">
      <c r="A5688" s="107">
        <v>1630206.0</v>
      </c>
      <c r="B5688" s="116" t="s">
        <v>243</v>
      </c>
      <c r="C5688" s="116" t="s">
        <v>1379</v>
      </c>
      <c r="D5688" s="24" t="s">
        <v>181</v>
      </c>
      <c r="E5688" s="112">
        <v>84.0</v>
      </c>
      <c r="F5688" s="111" t="str">
        <f>DataPull!D5688</f>
        <v/>
      </c>
      <c r="G5688" s="94" t="str">
        <f t="shared" si="2"/>
        <v/>
      </c>
      <c r="H5688" s="94" t="str">
        <f t="shared" si="3"/>
        <v/>
      </c>
      <c r="I5688" s="94" t="str">
        <f t="shared" ref="I5688:J5688" si="5689">if(G5688 = "", , -G5688)</f>
        <v/>
      </c>
      <c r="J5688" s="94" t="str">
        <f t="shared" si="5689"/>
        <v/>
      </c>
      <c r="K5688" s="100"/>
      <c r="M5688" s="100"/>
      <c r="N5688" s="100"/>
      <c r="O5688" s="100"/>
      <c r="P5688" s="100"/>
    </row>
    <row r="5689">
      <c r="A5689" s="107">
        <v>1630206.0</v>
      </c>
      <c r="B5689" s="116" t="s">
        <v>215</v>
      </c>
      <c r="C5689" s="116" t="s">
        <v>1379</v>
      </c>
      <c r="D5689" s="24" t="s">
        <v>187</v>
      </c>
      <c r="E5689" s="112">
        <v>120.6</v>
      </c>
      <c r="F5689" s="111" t="str">
        <f>DataPull!D5689</f>
        <v/>
      </c>
      <c r="G5689" s="94" t="str">
        <f t="shared" si="2"/>
        <v/>
      </c>
      <c r="H5689" s="94" t="str">
        <f t="shared" si="3"/>
        <v/>
      </c>
      <c r="I5689" s="94" t="str">
        <f t="shared" ref="I5689:J5689" si="5690">if(G5689 = "", , -G5689)</f>
        <v/>
      </c>
      <c r="J5689" s="94" t="str">
        <f t="shared" si="5690"/>
        <v/>
      </c>
      <c r="K5689" s="100"/>
      <c r="M5689" s="100"/>
      <c r="N5689" s="100"/>
      <c r="O5689" s="100"/>
      <c r="P5689" s="100"/>
    </row>
    <row r="5690">
      <c r="A5690" s="107">
        <v>1630206.0</v>
      </c>
      <c r="B5690" s="116" t="s">
        <v>244</v>
      </c>
      <c r="C5690" s="116" t="s">
        <v>1379</v>
      </c>
      <c r="D5690" s="24" t="s">
        <v>181</v>
      </c>
      <c r="E5690" s="112">
        <v>30.2</v>
      </c>
      <c r="F5690" s="111" t="str">
        <f>DataPull!D5690</f>
        <v/>
      </c>
      <c r="G5690" s="94" t="str">
        <f t="shared" si="2"/>
        <v/>
      </c>
      <c r="H5690" s="94" t="str">
        <f t="shared" si="3"/>
        <v/>
      </c>
      <c r="I5690" s="94" t="str">
        <f t="shared" ref="I5690:J5690" si="5691">if(G5690 = "", , -G5690)</f>
        <v/>
      </c>
      <c r="J5690" s="94" t="str">
        <f t="shared" si="5691"/>
        <v/>
      </c>
      <c r="K5690" s="100"/>
      <c r="M5690" s="100"/>
      <c r="N5690" s="100"/>
      <c r="O5690" s="100"/>
      <c r="P5690" s="100"/>
    </row>
    <row r="5691">
      <c r="A5691" s="107">
        <v>1630207.0</v>
      </c>
      <c r="B5691" s="116" t="s">
        <v>243</v>
      </c>
      <c r="C5691" s="116" t="s">
        <v>1380</v>
      </c>
      <c r="D5691" s="24" t="s">
        <v>187</v>
      </c>
      <c r="E5691" s="112">
        <v>92.4</v>
      </c>
      <c r="F5691" s="111" t="str">
        <f>DataPull!D5691</f>
        <v/>
      </c>
      <c r="G5691" s="94" t="str">
        <f t="shared" si="2"/>
        <v/>
      </c>
      <c r="H5691" s="94" t="str">
        <f t="shared" si="3"/>
        <v/>
      </c>
      <c r="I5691" s="94" t="str">
        <f t="shared" ref="I5691:J5691" si="5692">if(G5691 = "", , -G5691)</f>
        <v/>
      </c>
      <c r="J5691" s="94" t="str">
        <f t="shared" si="5692"/>
        <v/>
      </c>
      <c r="K5691" s="100"/>
      <c r="M5691" s="100"/>
      <c r="N5691" s="100"/>
      <c r="O5691" s="100"/>
      <c r="P5691" s="100"/>
    </row>
    <row r="5692">
      <c r="A5692" s="107">
        <v>1630207.0</v>
      </c>
      <c r="B5692" s="116" t="s">
        <v>215</v>
      </c>
      <c r="C5692" s="116" t="s">
        <v>1380</v>
      </c>
      <c r="D5692" s="24" t="s">
        <v>181</v>
      </c>
      <c r="E5692" s="112">
        <v>2.4</v>
      </c>
      <c r="F5692" s="111" t="str">
        <f>DataPull!D5692</f>
        <v/>
      </c>
      <c r="G5692" s="94" t="str">
        <f t="shared" si="2"/>
        <v/>
      </c>
      <c r="H5692" s="94" t="str">
        <f t="shared" si="3"/>
        <v/>
      </c>
      <c r="I5692" s="94" t="str">
        <f t="shared" ref="I5692:J5692" si="5693">if(G5692 = "", , -G5692)</f>
        <v/>
      </c>
      <c r="J5692" s="94" t="str">
        <f t="shared" si="5693"/>
        <v/>
      </c>
      <c r="K5692" s="100"/>
      <c r="M5692" s="100"/>
      <c r="N5692" s="100"/>
      <c r="O5692" s="100"/>
      <c r="P5692" s="100"/>
    </row>
    <row r="5693">
      <c r="A5693" s="107">
        <v>1630207.0</v>
      </c>
      <c r="B5693" s="116" t="s">
        <v>245</v>
      </c>
      <c r="C5693" s="116" t="s">
        <v>1380</v>
      </c>
      <c r="D5693" s="24" t="s">
        <v>187</v>
      </c>
      <c r="E5693" s="112">
        <v>75.0</v>
      </c>
      <c r="F5693" s="111" t="str">
        <f>DataPull!D5693</f>
        <v/>
      </c>
      <c r="G5693" s="94" t="str">
        <f t="shared" si="2"/>
        <v/>
      </c>
      <c r="H5693" s="94" t="str">
        <f t="shared" si="3"/>
        <v/>
      </c>
      <c r="I5693" s="94" t="str">
        <f t="shared" ref="I5693:J5693" si="5694">if(G5693 = "", , -G5693)</f>
        <v/>
      </c>
      <c r="J5693" s="94" t="str">
        <f t="shared" si="5694"/>
        <v/>
      </c>
      <c r="K5693" s="100"/>
      <c r="M5693" s="100"/>
      <c r="N5693" s="100"/>
      <c r="O5693" s="100"/>
      <c r="P5693" s="100"/>
    </row>
    <row r="5694">
      <c r="A5694" s="107">
        <v>1630208.0</v>
      </c>
      <c r="B5694" s="116" t="s">
        <v>243</v>
      </c>
      <c r="C5694" s="116" t="s">
        <v>1381</v>
      </c>
      <c r="D5694" s="24" t="s">
        <v>187</v>
      </c>
      <c r="E5694" s="112">
        <v>63.0</v>
      </c>
      <c r="F5694" s="111" t="str">
        <f>DataPull!D5694</f>
        <v/>
      </c>
      <c r="G5694" s="94" t="str">
        <f t="shared" si="2"/>
        <v/>
      </c>
      <c r="H5694" s="94" t="str">
        <f t="shared" si="3"/>
        <v/>
      </c>
      <c r="I5694" s="94" t="str">
        <f t="shared" ref="I5694:J5694" si="5695">if(G5694 = "", , -G5694)</f>
        <v/>
      </c>
      <c r="J5694" s="94" t="str">
        <f t="shared" si="5695"/>
        <v/>
      </c>
      <c r="K5694" s="100"/>
      <c r="M5694" s="100"/>
      <c r="N5694" s="100"/>
      <c r="O5694" s="100"/>
      <c r="P5694" s="100"/>
    </row>
    <row r="5695">
      <c r="A5695" s="107">
        <v>1630208.0</v>
      </c>
      <c r="B5695" s="116" t="s">
        <v>215</v>
      </c>
      <c r="C5695" s="116" t="s">
        <v>1381</v>
      </c>
      <c r="D5695" s="24" t="s">
        <v>187</v>
      </c>
      <c r="E5695" s="112">
        <v>365.0</v>
      </c>
      <c r="F5695" s="111" t="str">
        <f>DataPull!D5695</f>
        <v/>
      </c>
      <c r="G5695" s="94" t="str">
        <f t="shared" si="2"/>
        <v/>
      </c>
      <c r="H5695" s="94" t="str">
        <f t="shared" si="3"/>
        <v/>
      </c>
      <c r="I5695" s="94" t="str">
        <f t="shared" ref="I5695:J5695" si="5696">if(G5695 = "", , -G5695)</f>
        <v/>
      </c>
      <c r="J5695" s="94" t="str">
        <f t="shared" si="5696"/>
        <v/>
      </c>
      <c r="K5695" s="100"/>
      <c r="L5695" s="100"/>
      <c r="N5695" s="100"/>
      <c r="O5695" s="100"/>
      <c r="P5695" s="100"/>
    </row>
    <row r="5696">
      <c r="A5696" s="107">
        <v>1630208.0</v>
      </c>
      <c r="B5696" s="116" t="s">
        <v>244</v>
      </c>
      <c r="C5696" s="116" t="s">
        <v>1381</v>
      </c>
      <c r="D5696" s="24" t="s">
        <v>177</v>
      </c>
      <c r="E5696" s="112">
        <v>1215.5</v>
      </c>
      <c r="F5696" s="111" t="str">
        <f>DataPull!D5696</f>
        <v/>
      </c>
      <c r="G5696" s="94" t="str">
        <f t="shared" si="2"/>
        <v/>
      </c>
      <c r="H5696" s="94" t="str">
        <f t="shared" si="3"/>
        <v/>
      </c>
      <c r="I5696" s="94" t="str">
        <f t="shared" ref="I5696:J5696" si="5697">if(G5696 = "", , -G5696)</f>
        <v/>
      </c>
      <c r="J5696" s="94" t="str">
        <f t="shared" si="5697"/>
        <v/>
      </c>
      <c r="K5696" s="100"/>
      <c r="M5696" s="100"/>
      <c r="N5696" s="100"/>
      <c r="O5696" s="100"/>
      <c r="P5696" s="100"/>
    </row>
    <row r="5697">
      <c r="A5697" s="107">
        <v>1630208.0</v>
      </c>
      <c r="B5697" s="116" t="s">
        <v>245</v>
      </c>
      <c r="C5697" s="116" t="s">
        <v>1381</v>
      </c>
      <c r="D5697" s="24" t="s">
        <v>176</v>
      </c>
      <c r="E5697" s="112">
        <v>1755.4</v>
      </c>
      <c r="F5697" s="111" t="str">
        <f>DataPull!D5697</f>
        <v/>
      </c>
      <c r="G5697" s="94" t="str">
        <f t="shared" si="2"/>
        <v/>
      </c>
      <c r="H5697" s="94" t="str">
        <f t="shared" si="3"/>
        <v/>
      </c>
      <c r="I5697" s="94" t="str">
        <f t="shared" ref="I5697:J5697" si="5698">if(G5697 = "", , -G5697)</f>
        <v/>
      </c>
      <c r="J5697" s="94" t="str">
        <f t="shared" si="5698"/>
        <v/>
      </c>
      <c r="K5697" s="100"/>
      <c r="M5697" s="100"/>
      <c r="N5697" s="100"/>
      <c r="O5697" s="100"/>
      <c r="P5697" s="100"/>
    </row>
    <row r="5698">
      <c r="A5698" s="107">
        <v>1630208.0</v>
      </c>
      <c r="B5698" s="116" t="s">
        <v>246</v>
      </c>
      <c r="C5698" s="116" t="s">
        <v>1381</v>
      </c>
      <c r="D5698" s="24" t="s">
        <v>176</v>
      </c>
      <c r="E5698" s="112">
        <v>1254.0</v>
      </c>
      <c r="F5698" s="111" t="str">
        <f>DataPull!D5698</f>
        <v/>
      </c>
      <c r="G5698" s="94" t="str">
        <f t="shared" si="2"/>
        <v/>
      </c>
      <c r="H5698" s="94" t="str">
        <f t="shared" si="3"/>
        <v/>
      </c>
      <c r="I5698" s="94" t="str">
        <f t="shared" ref="I5698:J5698" si="5699">if(G5698 = "", , -G5698)</f>
        <v/>
      </c>
      <c r="J5698" s="94" t="str">
        <f t="shared" si="5699"/>
        <v/>
      </c>
      <c r="K5698" s="100"/>
      <c r="M5698" s="100"/>
      <c r="N5698" s="100"/>
      <c r="O5698" s="100"/>
      <c r="P5698" s="100"/>
    </row>
    <row r="5699">
      <c r="A5699" s="114">
        <v>1630208.0</v>
      </c>
      <c r="B5699" s="131" t="s">
        <v>247</v>
      </c>
      <c r="C5699" s="131" t="s">
        <v>1381</v>
      </c>
      <c r="D5699" s="24" t="s">
        <v>187</v>
      </c>
      <c r="E5699" s="112">
        <v>700.8</v>
      </c>
      <c r="F5699" s="111" t="str">
        <f>DataPull!D5699</f>
        <v/>
      </c>
      <c r="G5699" s="94" t="str">
        <f t="shared" si="2"/>
        <v/>
      </c>
      <c r="H5699" s="94" t="str">
        <f t="shared" si="3"/>
        <v/>
      </c>
      <c r="I5699" s="94" t="str">
        <f t="shared" ref="I5699:J5699" si="5700">if(G5699 = "", , -G5699)</f>
        <v/>
      </c>
      <c r="J5699" s="94" t="str">
        <f t="shared" si="5700"/>
        <v/>
      </c>
      <c r="K5699" s="100"/>
      <c r="M5699" s="100"/>
      <c r="N5699" s="100"/>
      <c r="O5699" s="100"/>
      <c r="P5699" s="100"/>
    </row>
    <row r="5700">
      <c r="A5700" s="107">
        <v>1630209.0</v>
      </c>
      <c r="B5700" s="116" t="s">
        <v>215</v>
      </c>
      <c r="C5700" s="116" t="s">
        <v>1382</v>
      </c>
      <c r="D5700" s="24" t="s">
        <v>187</v>
      </c>
      <c r="E5700" s="112">
        <v>705.6</v>
      </c>
      <c r="F5700" s="111" t="str">
        <f>DataPull!D5700</f>
        <v/>
      </c>
      <c r="G5700" s="94" t="str">
        <f t="shared" si="2"/>
        <v/>
      </c>
      <c r="H5700" s="94" t="str">
        <f t="shared" si="3"/>
        <v/>
      </c>
      <c r="I5700" s="94" t="str">
        <f t="shared" ref="I5700:J5700" si="5701">if(G5700 = "", , -G5700)</f>
        <v/>
      </c>
      <c r="J5700" s="94" t="str">
        <f t="shared" si="5701"/>
        <v/>
      </c>
      <c r="K5700" s="100"/>
      <c r="M5700" s="100"/>
      <c r="N5700" s="100"/>
      <c r="O5700" s="100"/>
      <c r="P5700" s="100"/>
    </row>
    <row r="5701">
      <c r="A5701" s="107">
        <v>1630209.0</v>
      </c>
      <c r="B5701" s="116" t="s">
        <v>244</v>
      </c>
      <c r="C5701" s="116" t="s">
        <v>1382</v>
      </c>
      <c r="D5701" s="24" t="s">
        <v>187</v>
      </c>
      <c r="E5701" s="112">
        <v>82.8</v>
      </c>
      <c r="F5701" s="111" t="str">
        <f>DataPull!D5701</f>
        <v/>
      </c>
      <c r="G5701" s="94" t="str">
        <f t="shared" si="2"/>
        <v/>
      </c>
      <c r="H5701" s="94" t="str">
        <f t="shared" si="3"/>
        <v/>
      </c>
      <c r="I5701" s="94" t="str">
        <f t="shared" ref="I5701:J5701" si="5702">if(G5701 = "", , -G5701)</f>
        <v/>
      </c>
      <c r="J5701" s="94" t="str">
        <f t="shared" si="5702"/>
        <v/>
      </c>
      <c r="K5701" s="100"/>
      <c r="M5701" s="100"/>
      <c r="N5701" s="100"/>
      <c r="O5701" s="100"/>
      <c r="P5701" s="100"/>
    </row>
    <row r="5702">
      <c r="A5702" s="107">
        <v>1630209.0</v>
      </c>
      <c r="B5702" s="116" t="s">
        <v>245</v>
      </c>
      <c r="C5702" s="116" t="s">
        <v>1382</v>
      </c>
      <c r="D5702" s="24" t="s">
        <v>177</v>
      </c>
      <c r="E5702" s="112">
        <v>547.2</v>
      </c>
      <c r="F5702" s="111" t="str">
        <f>DataPull!D5702</f>
        <v/>
      </c>
      <c r="G5702" s="94" t="str">
        <f t="shared" si="2"/>
        <v/>
      </c>
      <c r="H5702" s="94" t="str">
        <f t="shared" si="3"/>
        <v/>
      </c>
      <c r="I5702" s="94" t="str">
        <f t="shared" ref="I5702:J5702" si="5703">if(G5702 = "", , -G5702)</f>
        <v/>
      </c>
      <c r="J5702" s="94" t="str">
        <f t="shared" si="5703"/>
        <v/>
      </c>
      <c r="K5702" s="100"/>
      <c r="M5702" s="100"/>
      <c r="N5702" s="100"/>
      <c r="O5702" s="100"/>
      <c r="P5702" s="100"/>
    </row>
    <row r="5703">
      <c r="A5703" s="107">
        <v>1630210.0</v>
      </c>
      <c r="B5703" s="116" t="s">
        <v>243</v>
      </c>
      <c r="C5703" s="116" t="s">
        <v>1383</v>
      </c>
      <c r="D5703" s="24" t="s">
        <v>187</v>
      </c>
      <c r="E5703" s="112">
        <v>203.5</v>
      </c>
      <c r="F5703" s="111" t="str">
        <f>DataPull!D5703</f>
        <v/>
      </c>
      <c r="G5703" s="94" t="str">
        <f t="shared" si="2"/>
        <v/>
      </c>
      <c r="H5703" s="94" t="str">
        <f t="shared" si="3"/>
        <v/>
      </c>
      <c r="I5703" s="94" t="str">
        <f t="shared" ref="I5703:J5703" si="5704">if(G5703 = "", , -G5703)</f>
        <v/>
      </c>
      <c r="J5703" s="94" t="str">
        <f t="shared" si="5704"/>
        <v/>
      </c>
      <c r="K5703" s="100"/>
      <c r="M5703" s="100"/>
      <c r="N5703" s="100"/>
      <c r="O5703" s="100"/>
      <c r="P5703" s="100"/>
    </row>
    <row r="5704">
      <c r="A5704" s="107">
        <v>1630210.0</v>
      </c>
      <c r="B5704" s="116" t="s">
        <v>215</v>
      </c>
      <c r="C5704" s="116" t="s">
        <v>1383</v>
      </c>
      <c r="D5704" s="24" t="s">
        <v>187</v>
      </c>
      <c r="E5704" s="112">
        <v>176.7</v>
      </c>
      <c r="F5704" s="111" t="str">
        <f>DataPull!D5704</f>
        <v/>
      </c>
      <c r="G5704" s="94" t="str">
        <f t="shared" si="2"/>
        <v/>
      </c>
      <c r="H5704" s="94" t="str">
        <f t="shared" si="3"/>
        <v/>
      </c>
      <c r="I5704" s="94" t="str">
        <f t="shared" ref="I5704:J5704" si="5705">if(G5704 = "", , -G5704)</f>
        <v/>
      </c>
      <c r="J5704" s="94" t="str">
        <f t="shared" si="5705"/>
        <v/>
      </c>
      <c r="K5704" s="100"/>
      <c r="M5704" s="100"/>
      <c r="N5704" s="100"/>
      <c r="O5704" s="100"/>
      <c r="P5704" s="100"/>
    </row>
    <row r="5705">
      <c r="A5705" s="107">
        <v>1630211.0</v>
      </c>
      <c r="B5705" s="116" t="s">
        <v>243</v>
      </c>
      <c r="C5705" s="116" t="s">
        <v>1384</v>
      </c>
      <c r="D5705" s="24" t="s">
        <v>187</v>
      </c>
      <c r="E5705" s="112">
        <v>88.0</v>
      </c>
      <c r="F5705" s="111" t="str">
        <f>DataPull!D5705</f>
        <v/>
      </c>
      <c r="G5705" s="94" t="str">
        <f t="shared" si="2"/>
        <v/>
      </c>
      <c r="H5705" s="94" t="str">
        <f t="shared" si="3"/>
        <v/>
      </c>
      <c r="I5705" s="94" t="str">
        <f t="shared" ref="I5705:J5705" si="5706">if(G5705 = "", , -G5705)</f>
        <v/>
      </c>
      <c r="J5705" s="94" t="str">
        <f t="shared" si="5706"/>
        <v/>
      </c>
      <c r="K5705" s="100"/>
      <c r="M5705" s="100"/>
      <c r="N5705" s="100"/>
      <c r="O5705" s="100"/>
      <c r="P5705" s="100"/>
    </row>
    <row r="5706">
      <c r="A5706" s="107">
        <v>1630214.0</v>
      </c>
      <c r="B5706" s="116" t="s">
        <v>243</v>
      </c>
      <c r="C5706" s="134" t="s">
        <v>1010</v>
      </c>
      <c r="D5706" s="24" t="s">
        <v>177</v>
      </c>
      <c r="E5706" s="112">
        <v>1085.6</v>
      </c>
      <c r="F5706" s="111" t="str">
        <f>DataPull!D5706</f>
        <v/>
      </c>
      <c r="G5706" s="94" t="str">
        <f t="shared" si="2"/>
        <v/>
      </c>
      <c r="H5706" s="94" t="str">
        <f t="shared" si="3"/>
        <v/>
      </c>
      <c r="I5706" s="94" t="str">
        <f t="shared" ref="I5706:J5706" si="5707">if(G5706 = "", , -G5706)</f>
        <v/>
      </c>
      <c r="J5706" s="94" t="str">
        <f t="shared" si="5707"/>
        <v/>
      </c>
      <c r="K5706" s="100"/>
      <c r="M5706" s="100"/>
      <c r="N5706" s="100"/>
      <c r="O5706" s="100"/>
      <c r="P5706" s="100"/>
    </row>
    <row r="5707">
      <c r="A5707" s="107">
        <v>1630214.0</v>
      </c>
      <c r="B5707" s="116" t="s">
        <v>215</v>
      </c>
      <c r="C5707" s="134" t="s">
        <v>1010</v>
      </c>
      <c r="D5707" s="24" t="s">
        <v>177</v>
      </c>
      <c r="E5707" s="112">
        <v>699.6</v>
      </c>
      <c r="F5707" s="111" t="str">
        <f>DataPull!D5707</f>
        <v/>
      </c>
      <c r="G5707" s="94" t="str">
        <f t="shared" si="2"/>
        <v/>
      </c>
      <c r="H5707" s="94" t="str">
        <f t="shared" si="3"/>
        <v/>
      </c>
      <c r="I5707" s="94" t="str">
        <f t="shared" ref="I5707:J5707" si="5708">if(G5707 = "", , -G5707)</f>
        <v/>
      </c>
      <c r="J5707" s="94" t="str">
        <f t="shared" si="5708"/>
        <v/>
      </c>
      <c r="K5707" s="100"/>
      <c r="M5707" s="100"/>
      <c r="N5707" s="100"/>
      <c r="O5707" s="100"/>
      <c r="P5707" s="100"/>
    </row>
    <row r="5708">
      <c r="A5708" s="107">
        <v>1630214.0</v>
      </c>
      <c r="B5708" s="116" t="s">
        <v>244</v>
      </c>
      <c r="C5708" s="134" t="s">
        <v>1010</v>
      </c>
      <c r="D5708" s="24" t="s">
        <v>176</v>
      </c>
      <c r="E5708" s="112">
        <v>1177.3</v>
      </c>
      <c r="F5708" s="111" t="str">
        <f>DataPull!D5708</f>
        <v/>
      </c>
      <c r="G5708" s="94" t="str">
        <f t="shared" si="2"/>
        <v/>
      </c>
      <c r="H5708" s="94" t="str">
        <f t="shared" si="3"/>
        <v/>
      </c>
      <c r="I5708" s="94" t="str">
        <f t="shared" ref="I5708:J5708" si="5709">if(G5708 = "", , -G5708)</f>
        <v/>
      </c>
      <c r="J5708" s="94" t="str">
        <f t="shared" si="5709"/>
        <v/>
      </c>
      <c r="K5708" s="100"/>
      <c r="M5708" s="100"/>
      <c r="N5708" s="100"/>
      <c r="O5708" s="100"/>
      <c r="P5708" s="100"/>
    </row>
    <row r="5709">
      <c r="A5709" s="107">
        <v>1630214.0</v>
      </c>
      <c r="B5709" s="116" t="s">
        <v>245</v>
      </c>
      <c r="C5709" s="116" t="s">
        <v>1010</v>
      </c>
      <c r="D5709" s="24" t="s">
        <v>177</v>
      </c>
      <c r="E5709" s="112">
        <v>972.0</v>
      </c>
      <c r="F5709" s="111" t="str">
        <f>DataPull!D5709</f>
        <v/>
      </c>
      <c r="G5709" s="94" t="str">
        <f t="shared" si="2"/>
        <v/>
      </c>
      <c r="H5709" s="94" t="str">
        <f t="shared" si="3"/>
        <v/>
      </c>
      <c r="I5709" s="94" t="str">
        <f t="shared" ref="I5709:J5709" si="5710">if(G5709 = "", , -G5709)</f>
        <v/>
      </c>
      <c r="J5709" s="94" t="str">
        <f t="shared" si="5710"/>
        <v/>
      </c>
      <c r="K5709" s="100"/>
      <c r="M5709" s="100"/>
      <c r="N5709" s="100"/>
      <c r="O5709" s="100"/>
      <c r="P5709" s="100"/>
    </row>
    <row r="5710">
      <c r="A5710" s="107">
        <v>1630214.0</v>
      </c>
      <c r="B5710" s="116" t="s">
        <v>246</v>
      </c>
      <c r="C5710" s="116" t="s">
        <v>1010</v>
      </c>
      <c r="D5710" s="24" t="s">
        <v>187</v>
      </c>
      <c r="E5710" s="112">
        <v>231.0</v>
      </c>
      <c r="F5710" s="111" t="str">
        <f>DataPull!D5710</f>
        <v/>
      </c>
      <c r="G5710" s="94" t="str">
        <f t="shared" si="2"/>
        <v/>
      </c>
      <c r="H5710" s="94" t="str">
        <f t="shared" si="3"/>
        <v/>
      </c>
      <c r="I5710" s="94" t="str">
        <f t="shared" ref="I5710:J5710" si="5711">if(G5710 = "", , -G5710)</f>
        <v/>
      </c>
      <c r="J5710" s="94" t="str">
        <f t="shared" si="5711"/>
        <v/>
      </c>
      <c r="K5710" s="100"/>
      <c r="M5710" s="100"/>
      <c r="N5710" s="100"/>
      <c r="O5710" s="100"/>
      <c r="P5710" s="100"/>
    </row>
    <row r="5711">
      <c r="A5711" s="114">
        <v>1630214.0</v>
      </c>
      <c r="B5711" s="131" t="s">
        <v>247</v>
      </c>
      <c r="C5711" s="131" t="s">
        <v>1010</v>
      </c>
      <c r="D5711" s="24" t="s">
        <v>187</v>
      </c>
      <c r="E5711" s="112">
        <v>183.0</v>
      </c>
      <c r="F5711" s="111" t="str">
        <f>DataPull!D5711</f>
        <v/>
      </c>
      <c r="G5711" s="94" t="str">
        <f t="shared" si="2"/>
        <v/>
      </c>
      <c r="H5711" s="94" t="str">
        <f t="shared" si="3"/>
        <v/>
      </c>
      <c r="I5711" s="94" t="str">
        <f t="shared" ref="I5711:J5711" si="5712">if(G5711 = "", , -G5711)</f>
        <v/>
      </c>
      <c r="J5711" s="94" t="str">
        <f t="shared" si="5712"/>
        <v/>
      </c>
      <c r="K5711" s="100"/>
      <c r="M5711" s="100"/>
      <c r="N5711" s="100"/>
      <c r="O5711" s="100"/>
      <c r="P5711" s="100"/>
    </row>
    <row r="5712">
      <c r="A5712" s="107">
        <v>1630215.0</v>
      </c>
      <c r="B5712" s="116" t="s">
        <v>215</v>
      </c>
      <c r="C5712" s="116" t="s">
        <v>1385</v>
      </c>
      <c r="D5712" s="24" t="s">
        <v>187</v>
      </c>
      <c r="E5712" s="112">
        <v>361.2</v>
      </c>
      <c r="F5712" s="111" t="str">
        <f>DataPull!D5712</f>
        <v/>
      </c>
      <c r="G5712" s="94" t="str">
        <f t="shared" si="2"/>
        <v/>
      </c>
      <c r="H5712" s="94" t="str">
        <f t="shared" si="3"/>
        <v/>
      </c>
      <c r="I5712" s="94" t="str">
        <f t="shared" ref="I5712:J5712" si="5713">if(G5712 = "", , -G5712)</f>
        <v/>
      </c>
      <c r="J5712" s="94" t="str">
        <f t="shared" si="5713"/>
        <v/>
      </c>
      <c r="K5712" s="100"/>
      <c r="M5712" s="100"/>
      <c r="N5712" s="100"/>
      <c r="O5712" s="100"/>
      <c r="P5712" s="100"/>
    </row>
    <row r="5713">
      <c r="A5713" s="107">
        <v>1630215.0</v>
      </c>
      <c r="B5713" s="116" t="s">
        <v>244</v>
      </c>
      <c r="C5713" s="116" t="s">
        <v>1385</v>
      </c>
      <c r="D5713" s="24" t="s">
        <v>181</v>
      </c>
      <c r="E5713" s="112">
        <v>76.8</v>
      </c>
      <c r="F5713" s="111" t="str">
        <f>DataPull!D5713</f>
        <v/>
      </c>
      <c r="G5713" s="94" t="str">
        <f t="shared" si="2"/>
        <v/>
      </c>
      <c r="H5713" s="94" t="str">
        <f t="shared" si="3"/>
        <v/>
      </c>
      <c r="I5713" s="94" t="str">
        <f t="shared" ref="I5713:J5713" si="5714">if(G5713 = "", , -G5713)</f>
        <v/>
      </c>
      <c r="J5713" s="94" t="str">
        <f t="shared" si="5714"/>
        <v/>
      </c>
      <c r="K5713" s="100"/>
      <c r="M5713" s="100"/>
      <c r="N5713" s="100"/>
      <c r="O5713" s="100"/>
      <c r="P5713" s="100"/>
    </row>
    <row r="5714">
      <c r="A5714" s="107">
        <v>1630215.0</v>
      </c>
      <c r="B5714" s="116" t="s">
        <v>245</v>
      </c>
      <c r="C5714" s="116" t="s">
        <v>1385</v>
      </c>
      <c r="D5714" s="24" t="s">
        <v>177</v>
      </c>
      <c r="E5714" s="112">
        <v>564.0</v>
      </c>
      <c r="F5714" s="111" t="str">
        <f>DataPull!D5714</f>
        <v/>
      </c>
      <c r="G5714" s="94" t="str">
        <f t="shared" si="2"/>
        <v/>
      </c>
      <c r="H5714" s="94" t="str">
        <f t="shared" si="3"/>
        <v/>
      </c>
      <c r="I5714" s="94" t="str">
        <f t="shared" ref="I5714:J5714" si="5715">if(G5714 = "", , -G5714)</f>
        <v/>
      </c>
      <c r="J5714" s="94" t="str">
        <f t="shared" si="5715"/>
        <v/>
      </c>
      <c r="K5714" s="100"/>
      <c r="M5714" s="100"/>
      <c r="N5714" s="100"/>
      <c r="O5714" s="100"/>
      <c r="P5714" s="100"/>
    </row>
    <row r="5715">
      <c r="A5715" s="107">
        <v>1630215.0</v>
      </c>
      <c r="B5715" s="116" t="s">
        <v>246</v>
      </c>
      <c r="C5715" s="116" t="s">
        <v>1385</v>
      </c>
      <c r="D5715" s="24" t="s">
        <v>177</v>
      </c>
      <c r="E5715" s="24">
        <v>1044.0</v>
      </c>
      <c r="F5715" s="111" t="str">
        <f>DataPull!D5715</f>
        <v/>
      </c>
      <c r="G5715" s="94" t="str">
        <f t="shared" si="2"/>
        <v/>
      </c>
      <c r="H5715" s="94" t="str">
        <f t="shared" si="3"/>
        <v/>
      </c>
      <c r="I5715" s="94" t="str">
        <f t="shared" ref="I5715:J5715" si="5716">if(G5715 = "", , -G5715)</f>
        <v/>
      </c>
      <c r="J5715" s="94" t="str">
        <f t="shared" si="5716"/>
        <v/>
      </c>
      <c r="K5715" s="100"/>
      <c r="M5715" s="100"/>
      <c r="N5715" s="100"/>
      <c r="O5715" s="100"/>
      <c r="P5715" s="100"/>
    </row>
    <row r="5716">
      <c r="A5716" s="107">
        <v>1630216.0</v>
      </c>
      <c r="B5716" s="116" t="s">
        <v>243</v>
      </c>
      <c r="C5716" s="116" t="s">
        <v>1386</v>
      </c>
      <c r="D5716" s="24" t="s">
        <v>187</v>
      </c>
      <c r="E5716" s="24">
        <v>99.0</v>
      </c>
      <c r="F5716" s="111" t="str">
        <f>DataPull!D5716</f>
        <v/>
      </c>
      <c r="G5716" s="94" t="str">
        <f t="shared" si="2"/>
        <v/>
      </c>
      <c r="H5716" s="94" t="str">
        <f t="shared" si="3"/>
        <v/>
      </c>
      <c r="I5716" s="94" t="str">
        <f t="shared" ref="I5716:J5716" si="5717">if(G5716 = "", , -G5716)</f>
        <v/>
      </c>
      <c r="J5716" s="94" t="str">
        <f t="shared" si="5717"/>
        <v/>
      </c>
      <c r="K5716" s="100"/>
      <c r="M5716" s="100"/>
      <c r="N5716" s="100"/>
      <c r="O5716" s="100"/>
      <c r="P5716" s="100"/>
    </row>
    <row r="5717">
      <c r="A5717" s="107">
        <v>1630216.0</v>
      </c>
      <c r="B5717" s="116" t="s">
        <v>215</v>
      </c>
      <c r="C5717" s="116" t="s">
        <v>1386</v>
      </c>
      <c r="D5717" s="24" t="s">
        <v>181</v>
      </c>
      <c r="E5717" s="24">
        <v>39.2</v>
      </c>
      <c r="F5717" s="111" t="str">
        <f>DataPull!D5717</f>
        <v/>
      </c>
      <c r="G5717" s="94" t="str">
        <f t="shared" si="2"/>
        <v/>
      </c>
      <c r="H5717" s="94" t="str">
        <f t="shared" si="3"/>
        <v/>
      </c>
      <c r="I5717" s="94" t="str">
        <f t="shared" ref="I5717:J5717" si="5718">if(G5717 = "", , -G5717)</f>
        <v/>
      </c>
      <c r="J5717" s="94" t="str">
        <f t="shared" si="5718"/>
        <v/>
      </c>
      <c r="K5717" s="100"/>
      <c r="M5717" s="100"/>
      <c r="N5717" s="100"/>
      <c r="O5717" s="100"/>
      <c r="P5717" s="100"/>
    </row>
    <row r="5718">
      <c r="A5718" s="107">
        <v>1630217.0</v>
      </c>
      <c r="B5718" s="116" t="s">
        <v>243</v>
      </c>
      <c r="C5718" s="116" t="s">
        <v>1387</v>
      </c>
      <c r="D5718" s="24" t="s">
        <v>176</v>
      </c>
      <c r="E5718" s="24">
        <v>1516.4</v>
      </c>
      <c r="F5718" s="111" t="str">
        <f>DataPull!D5718</f>
        <v/>
      </c>
      <c r="G5718" s="94" t="str">
        <f t="shared" si="2"/>
        <v/>
      </c>
      <c r="H5718" s="94" t="str">
        <f t="shared" si="3"/>
        <v/>
      </c>
      <c r="I5718" s="94" t="str">
        <f t="shared" ref="I5718:J5718" si="5719">if(G5718 = "", , -G5718)</f>
        <v/>
      </c>
      <c r="J5718" s="94" t="str">
        <f t="shared" si="5719"/>
        <v/>
      </c>
      <c r="K5718" s="100"/>
      <c r="M5718" s="100"/>
      <c r="N5718" s="100"/>
      <c r="O5718" s="100"/>
      <c r="P5718" s="100"/>
    </row>
    <row r="5719">
      <c r="A5719" s="107">
        <v>1630217.0</v>
      </c>
      <c r="B5719" s="116" t="s">
        <v>215</v>
      </c>
      <c r="C5719" s="116" t="s">
        <v>1387</v>
      </c>
      <c r="D5719" s="24" t="s">
        <v>178</v>
      </c>
      <c r="E5719" s="24">
        <v>2264.8</v>
      </c>
      <c r="F5719" s="111" t="str">
        <f>DataPull!D5719</f>
        <v/>
      </c>
      <c r="G5719" s="94" t="str">
        <f t="shared" si="2"/>
        <v/>
      </c>
      <c r="H5719" s="94" t="str">
        <f t="shared" si="3"/>
        <v/>
      </c>
      <c r="I5719" s="94" t="str">
        <f t="shared" ref="I5719:J5719" si="5720">if(G5719 = "", , -G5719)</f>
        <v/>
      </c>
      <c r="J5719" s="94" t="str">
        <f t="shared" si="5720"/>
        <v/>
      </c>
      <c r="K5719" s="100"/>
      <c r="M5719" s="100"/>
      <c r="N5719" s="100"/>
      <c r="O5719" s="100"/>
      <c r="P5719" s="100"/>
    </row>
    <row r="5720">
      <c r="A5720" s="107">
        <v>1630217.0</v>
      </c>
      <c r="B5720" s="116" t="s">
        <v>244</v>
      </c>
      <c r="C5720" s="116" t="s">
        <v>1387</v>
      </c>
      <c r="D5720" s="24" t="s">
        <v>184</v>
      </c>
      <c r="E5720" s="24">
        <v>1838.6</v>
      </c>
      <c r="F5720" s="111" t="str">
        <f>DataPull!D5720</f>
        <v/>
      </c>
      <c r="G5720" s="94" t="str">
        <f t="shared" si="2"/>
        <v/>
      </c>
      <c r="H5720" s="94" t="str">
        <f t="shared" si="3"/>
        <v/>
      </c>
      <c r="I5720" s="94" t="str">
        <f t="shared" ref="I5720:J5720" si="5721">if(G5720 = "", , -G5720)</f>
        <v/>
      </c>
      <c r="J5720" s="94" t="str">
        <f t="shared" si="5721"/>
        <v/>
      </c>
      <c r="K5720" s="100"/>
      <c r="M5720" s="100"/>
      <c r="N5720" s="100"/>
      <c r="O5720" s="100"/>
      <c r="P5720" s="100"/>
    </row>
    <row r="5721">
      <c r="A5721" s="107">
        <v>1630217.0</v>
      </c>
      <c r="B5721" s="116" t="s">
        <v>245</v>
      </c>
      <c r="C5721" s="116" t="s">
        <v>1387</v>
      </c>
      <c r="D5721" s="24" t="s">
        <v>184</v>
      </c>
      <c r="E5721" s="24">
        <v>1444.8</v>
      </c>
      <c r="F5721" s="111" t="str">
        <f>DataPull!D5721</f>
        <v/>
      </c>
      <c r="G5721" s="94" t="str">
        <f t="shared" si="2"/>
        <v/>
      </c>
      <c r="H5721" s="94" t="str">
        <f t="shared" si="3"/>
        <v/>
      </c>
      <c r="I5721" s="94" t="str">
        <f t="shared" ref="I5721:J5721" si="5722">if(G5721 = "", , -G5721)</f>
        <v/>
      </c>
      <c r="J5721" s="94" t="str">
        <f t="shared" si="5722"/>
        <v/>
      </c>
      <c r="K5721" s="100"/>
      <c r="M5721" s="100"/>
      <c r="N5721" s="100"/>
      <c r="O5721" s="100"/>
      <c r="P5721" s="100"/>
    </row>
    <row r="5722">
      <c r="A5722" s="107">
        <v>1630217.0</v>
      </c>
      <c r="B5722" s="116" t="s">
        <v>246</v>
      </c>
      <c r="C5722" s="116" t="s">
        <v>1387</v>
      </c>
      <c r="D5722" s="24" t="s">
        <v>184</v>
      </c>
      <c r="E5722" s="24">
        <v>2208.0</v>
      </c>
      <c r="F5722" s="111" t="str">
        <f>DataPull!D5722</f>
        <v/>
      </c>
      <c r="G5722" s="94" t="str">
        <f t="shared" si="2"/>
        <v/>
      </c>
      <c r="H5722" s="94" t="str">
        <f t="shared" si="3"/>
        <v/>
      </c>
      <c r="I5722" s="94" t="str">
        <f t="shared" ref="I5722:J5722" si="5723">if(G5722 = "", , -G5722)</f>
        <v/>
      </c>
      <c r="J5722" s="94" t="str">
        <f t="shared" si="5723"/>
        <v/>
      </c>
      <c r="K5722" s="100"/>
      <c r="M5722" s="100"/>
      <c r="N5722" s="100"/>
      <c r="O5722" s="100"/>
      <c r="P5722" s="100"/>
    </row>
    <row r="5723">
      <c r="A5723" s="114">
        <v>1630217.0</v>
      </c>
      <c r="B5723" s="131" t="s">
        <v>247</v>
      </c>
      <c r="C5723" s="131" t="s">
        <v>1387</v>
      </c>
      <c r="D5723" s="24" t="s">
        <v>184</v>
      </c>
      <c r="E5723" s="24">
        <v>2755.2</v>
      </c>
      <c r="F5723" s="111" t="str">
        <f>DataPull!D5723</f>
        <v/>
      </c>
      <c r="G5723" s="94" t="str">
        <f t="shared" si="2"/>
        <v/>
      </c>
      <c r="H5723" s="94" t="str">
        <f t="shared" si="3"/>
        <v/>
      </c>
      <c r="I5723" s="94" t="str">
        <f t="shared" ref="I5723:J5723" si="5724">if(G5723 = "", , -G5723)</f>
        <v/>
      </c>
      <c r="J5723" s="94" t="str">
        <f t="shared" si="5724"/>
        <v/>
      </c>
      <c r="K5723" s="100"/>
      <c r="M5723" s="100"/>
      <c r="N5723" s="100"/>
      <c r="O5723" s="100"/>
      <c r="P5723" s="100"/>
    </row>
    <row r="5724">
      <c r="A5724" s="107">
        <v>1630218.0</v>
      </c>
      <c r="B5724" s="116" t="s">
        <v>243</v>
      </c>
      <c r="C5724" s="116" t="s">
        <v>1388</v>
      </c>
      <c r="D5724" s="24" t="s">
        <v>187</v>
      </c>
      <c r="E5724" s="24">
        <v>45.5</v>
      </c>
      <c r="F5724" s="111" t="str">
        <f>DataPull!D5724</f>
        <v/>
      </c>
      <c r="G5724" s="94" t="str">
        <f t="shared" si="2"/>
        <v/>
      </c>
      <c r="H5724" s="94" t="str">
        <f t="shared" si="3"/>
        <v/>
      </c>
      <c r="I5724" s="94" t="str">
        <f t="shared" ref="I5724:J5724" si="5725">if(G5724 = "", , -G5724)</f>
        <v/>
      </c>
      <c r="J5724" s="94" t="str">
        <f t="shared" si="5725"/>
        <v/>
      </c>
      <c r="K5724" s="100"/>
      <c r="M5724" s="100"/>
      <c r="N5724" s="100"/>
      <c r="O5724" s="100"/>
      <c r="P5724" s="100"/>
    </row>
    <row r="5725">
      <c r="A5725" s="107">
        <v>1630218.0</v>
      </c>
      <c r="B5725" s="116" t="s">
        <v>215</v>
      </c>
      <c r="C5725" s="116" t="s">
        <v>1388</v>
      </c>
      <c r="D5725" s="24" t="s">
        <v>187</v>
      </c>
      <c r="E5725" s="24">
        <v>42.0</v>
      </c>
      <c r="F5725" s="111" t="str">
        <f>DataPull!D5725</f>
        <v/>
      </c>
      <c r="G5725" s="94" t="str">
        <f t="shared" si="2"/>
        <v/>
      </c>
      <c r="H5725" s="94" t="str">
        <f t="shared" si="3"/>
        <v/>
      </c>
      <c r="I5725" s="94" t="str">
        <f t="shared" ref="I5725:J5725" si="5726">if(G5725 = "", , -G5725)</f>
        <v/>
      </c>
      <c r="J5725" s="94" t="str">
        <f t="shared" si="5726"/>
        <v/>
      </c>
      <c r="K5725" s="100"/>
      <c r="M5725" s="100"/>
      <c r="N5725" s="100"/>
      <c r="O5725" s="100"/>
      <c r="P5725" s="100"/>
    </row>
    <row r="5726">
      <c r="A5726" s="107">
        <v>1630219.0</v>
      </c>
      <c r="B5726" s="116" t="s">
        <v>243</v>
      </c>
      <c r="C5726" s="116" t="s">
        <v>1389</v>
      </c>
      <c r="D5726" s="24" t="s">
        <v>187</v>
      </c>
      <c r="E5726" s="24">
        <v>270.6</v>
      </c>
      <c r="F5726" s="111" t="str">
        <f>DataPull!D5726</f>
        <v/>
      </c>
      <c r="G5726" s="94" t="str">
        <f t="shared" si="2"/>
        <v/>
      </c>
      <c r="H5726" s="94" t="str">
        <f t="shared" si="3"/>
        <v/>
      </c>
      <c r="I5726" s="94" t="str">
        <f t="shared" ref="I5726:J5726" si="5727">if(G5726 = "", , -G5726)</f>
        <v/>
      </c>
      <c r="J5726" s="94" t="str">
        <f t="shared" si="5727"/>
        <v/>
      </c>
      <c r="K5726" s="100"/>
      <c r="M5726" s="100"/>
      <c r="N5726" s="100"/>
      <c r="O5726" s="100"/>
      <c r="P5726" s="100"/>
    </row>
    <row r="5727">
      <c r="A5727" s="107">
        <v>1630219.0</v>
      </c>
      <c r="B5727" s="116" t="s">
        <v>215</v>
      </c>
      <c r="C5727" s="116" t="s">
        <v>1389</v>
      </c>
      <c r="D5727" s="24" t="s">
        <v>187</v>
      </c>
      <c r="E5727" s="24">
        <v>221.2</v>
      </c>
      <c r="F5727" s="111" t="str">
        <f>DataPull!D5727</f>
        <v/>
      </c>
      <c r="G5727" s="94" t="str">
        <f t="shared" si="2"/>
        <v/>
      </c>
      <c r="H5727" s="94" t="str">
        <f t="shared" si="3"/>
        <v/>
      </c>
      <c r="I5727" s="94" t="str">
        <f t="shared" ref="I5727:J5727" si="5728">if(G5727 = "", , -G5727)</f>
        <v/>
      </c>
      <c r="J5727" s="94" t="str">
        <f t="shared" si="5728"/>
        <v/>
      </c>
      <c r="K5727" s="100"/>
      <c r="M5727" s="100"/>
      <c r="N5727" s="100"/>
      <c r="O5727" s="100"/>
      <c r="P5727" s="100"/>
    </row>
    <row r="5728">
      <c r="A5728" s="107">
        <v>1630219.0</v>
      </c>
      <c r="B5728" s="116" t="s">
        <v>244</v>
      </c>
      <c r="C5728" s="116" t="s">
        <v>1389</v>
      </c>
      <c r="D5728" s="24" t="s">
        <v>181</v>
      </c>
      <c r="E5728" s="24">
        <v>189.0</v>
      </c>
      <c r="F5728" s="111" t="str">
        <f>DataPull!D5728</f>
        <v/>
      </c>
      <c r="G5728" s="94" t="str">
        <f t="shared" si="2"/>
        <v/>
      </c>
      <c r="H5728" s="94" t="str">
        <f t="shared" si="3"/>
        <v/>
      </c>
      <c r="I5728" s="94" t="str">
        <f t="shared" ref="I5728:J5728" si="5729">if(G5728 = "", , -G5728)</f>
        <v/>
      </c>
      <c r="J5728" s="94" t="str">
        <f t="shared" si="5729"/>
        <v/>
      </c>
      <c r="K5728" s="100"/>
      <c r="M5728" s="100"/>
      <c r="N5728" s="100"/>
      <c r="O5728" s="100"/>
      <c r="P5728" s="100"/>
    </row>
    <row r="5729">
      <c r="A5729" s="107">
        <v>1630219.0</v>
      </c>
      <c r="B5729" s="116" t="s">
        <v>245</v>
      </c>
      <c r="C5729" s="116" t="s">
        <v>1389</v>
      </c>
      <c r="D5729" s="24" t="s">
        <v>177</v>
      </c>
      <c r="E5729" s="24">
        <v>433.2</v>
      </c>
      <c r="F5729" s="111" t="str">
        <f>DataPull!D5729</f>
        <v/>
      </c>
      <c r="G5729" s="94" t="str">
        <f t="shared" si="2"/>
        <v/>
      </c>
      <c r="H5729" s="94" t="str">
        <f t="shared" si="3"/>
        <v/>
      </c>
      <c r="I5729" s="94" t="str">
        <f t="shared" ref="I5729:J5729" si="5730">if(G5729 = "", , -G5729)</f>
        <v/>
      </c>
      <c r="J5729" s="94" t="str">
        <f t="shared" si="5730"/>
        <v/>
      </c>
      <c r="K5729" s="100"/>
      <c r="M5729" s="100"/>
      <c r="N5729" s="100"/>
      <c r="O5729" s="100"/>
      <c r="P5729" s="100"/>
    </row>
    <row r="5730">
      <c r="A5730" s="107">
        <v>1630221.0</v>
      </c>
      <c r="B5730" s="116" t="s">
        <v>243</v>
      </c>
      <c r="C5730" s="116" t="s">
        <v>1390</v>
      </c>
      <c r="D5730" s="24" t="s">
        <v>177</v>
      </c>
      <c r="E5730" s="24">
        <v>336.0</v>
      </c>
      <c r="F5730" s="111" t="str">
        <f>DataPull!D5730</f>
        <v/>
      </c>
      <c r="G5730" s="94" t="str">
        <f t="shared" si="2"/>
        <v/>
      </c>
      <c r="H5730" s="94" t="str">
        <f t="shared" si="3"/>
        <v/>
      </c>
      <c r="I5730" s="94" t="str">
        <f t="shared" ref="I5730:J5730" si="5731">if(G5730 = "", , -G5730)</f>
        <v/>
      </c>
      <c r="J5730" s="94" t="str">
        <f t="shared" si="5731"/>
        <v/>
      </c>
      <c r="K5730" s="100"/>
      <c r="M5730" s="100"/>
      <c r="N5730" s="100"/>
      <c r="O5730" s="100"/>
      <c r="P5730" s="100"/>
    </row>
    <row r="5731">
      <c r="A5731" s="107">
        <v>1630222.0</v>
      </c>
      <c r="B5731" s="116" t="s">
        <v>243</v>
      </c>
      <c r="C5731" s="116" t="s">
        <v>1391</v>
      </c>
      <c r="D5731" s="24" t="s">
        <v>177</v>
      </c>
      <c r="E5731" s="24">
        <v>336.0</v>
      </c>
      <c r="F5731" s="111" t="str">
        <f>DataPull!D5731</f>
        <v/>
      </c>
      <c r="G5731" s="94" t="str">
        <f t="shared" si="2"/>
        <v/>
      </c>
      <c r="H5731" s="94" t="str">
        <f t="shared" si="3"/>
        <v/>
      </c>
      <c r="I5731" s="94" t="str">
        <f t="shared" ref="I5731:J5731" si="5732">if(G5731 = "", , -G5731)</f>
        <v/>
      </c>
      <c r="J5731" s="94" t="str">
        <f t="shared" si="5732"/>
        <v/>
      </c>
      <c r="K5731" s="100"/>
      <c r="M5731" s="100"/>
      <c r="N5731" s="100"/>
      <c r="O5731" s="100"/>
      <c r="P5731" s="100"/>
    </row>
    <row r="5732">
      <c r="A5732" s="107">
        <v>1630222.0</v>
      </c>
      <c r="B5732" s="116" t="s">
        <v>215</v>
      </c>
      <c r="C5732" s="116" t="s">
        <v>1391</v>
      </c>
      <c r="D5732" s="24" t="s">
        <v>181</v>
      </c>
      <c r="E5732" s="24">
        <v>50.4</v>
      </c>
      <c r="F5732" s="111" t="str">
        <f>DataPull!D5732</f>
        <v/>
      </c>
      <c r="G5732" s="94" t="str">
        <f t="shared" si="2"/>
        <v/>
      </c>
      <c r="H5732" s="94" t="str">
        <f t="shared" si="3"/>
        <v/>
      </c>
      <c r="I5732" s="94" t="str">
        <f t="shared" ref="I5732:J5732" si="5733">if(G5732 = "", , -G5732)</f>
        <v/>
      </c>
      <c r="J5732" s="94" t="str">
        <f t="shared" si="5733"/>
        <v/>
      </c>
      <c r="K5732" s="100"/>
      <c r="M5732" s="100"/>
      <c r="N5732" s="100"/>
      <c r="O5732" s="100"/>
      <c r="P5732" s="100"/>
    </row>
    <row r="5733">
      <c r="A5733" s="107">
        <v>1630222.0</v>
      </c>
      <c r="B5733" s="116" t="s">
        <v>245</v>
      </c>
      <c r="C5733" s="116" t="s">
        <v>1391</v>
      </c>
      <c r="D5733" s="24" t="s">
        <v>181</v>
      </c>
      <c r="E5733" s="24">
        <v>27.5</v>
      </c>
      <c r="F5733" s="111" t="str">
        <f>DataPull!D5733</f>
        <v/>
      </c>
      <c r="G5733" s="94" t="str">
        <f t="shared" si="2"/>
        <v/>
      </c>
      <c r="H5733" s="94" t="str">
        <f t="shared" si="3"/>
        <v/>
      </c>
      <c r="I5733" s="94" t="str">
        <f t="shared" ref="I5733:J5733" si="5734">if(G5733 = "", , -G5733)</f>
        <v/>
      </c>
      <c r="J5733" s="94" t="str">
        <f t="shared" si="5734"/>
        <v/>
      </c>
      <c r="K5733" s="100"/>
      <c r="M5733" s="100"/>
      <c r="N5733" s="100"/>
      <c r="O5733" s="100"/>
      <c r="P5733" s="100"/>
    </row>
    <row r="5734">
      <c r="A5734" s="107">
        <v>1630222.0</v>
      </c>
      <c r="B5734" s="116" t="s">
        <v>246</v>
      </c>
      <c r="C5734" s="116" t="s">
        <v>1391</v>
      </c>
      <c r="D5734" s="24" t="s">
        <v>187</v>
      </c>
      <c r="E5734" s="24">
        <v>45.0</v>
      </c>
      <c r="F5734" s="111" t="str">
        <f>DataPull!D5734</f>
        <v/>
      </c>
      <c r="G5734" s="94" t="str">
        <f t="shared" si="2"/>
        <v/>
      </c>
      <c r="H5734" s="94" t="str">
        <f t="shared" si="3"/>
        <v/>
      </c>
      <c r="I5734" s="94" t="str">
        <f t="shared" ref="I5734:J5734" si="5735">if(G5734 = "", , -G5734)</f>
        <v/>
      </c>
      <c r="J5734" s="94" t="str">
        <f t="shared" si="5735"/>
        <v/>
      </c>
      <c r="K5734" s="100"/>
      <c r="M5734" s="100"/>
      <c r="N5734" s="100"/>
      <c r="O5734" s="100"/>
      <c r="P5734" s="100"/>
    </row>
    <row r="5735">
      <c r="A5735" s="107">
        <v>1630223.0</v>
      </c>
      <c r="B5735" s="116" t="s">
        <v>243</v>
      </c>
      <c r="C5735" s="116" t="s">
        <v>1392</v>
      </c>
      <c r="D5735" s="24" t="s">
        <v>187</v>
      </c>
      <c r="E5735" s="24">
        <v>171.6</v>
      </c>
      <c r="F5735" s="111" t="str">
        <f>DataPull!D5735</f>
        <v/>
      </c>
      <c r="G5735" s="94" t="str">
        <f t="shared" si="2"/>
        <v/>
      </c>
      <c r="H5735" s="94" t="str">
        <f t="shared" si="3"/>
        <v/>
      </c>
      <c r="I5735" s="94" t="str">
        <f t="shared" ref="I5735:J5735" si="5736">if(G5735 = "", , -G5735)</f>
        <v/>
      </c>
      <c r="J5735" s="94" t="str">
        <f t="shared" si="5736"/>
        <v/>
      </c>
      <c r="K5735" s="100"/>
      <c r="M5735" s="100"/>
      <c r="N5735" s="100"/>
      <c r="O5735" s="100"/>
      <c r="P5735" s="100"/>
    </row>
    <row r="5736">
      <c r="A5736" s="107">
        <v>1630224.0</v>
      </c>
      <c r="B5736" s="108" t="s">
        <v>215</v>
      </c>
      <c r="C5736" s="108" t="s">
        <v>1393</v>
      </c>
      <c r="D5736" s="24" t="s">
        <v>178</v>
      </c>
      <c r="E5736" s="24">
        <v>2137.3</v>
      </c>
      <c r="F5736" s="111" t="str">
        <f>DataPull!D5736</f>
        <v/>
      </c>
      <c r="G5736" s="94" t="str">
        <f t="shared" si="2"/>
        <v/>
      </c>
      <c r="H5736" s="94" t="str">
        <f t="shared" si="3"/>
        <v/>
      </c>
      <c r="I5736" s="94" t="str">
        <f t="shared" ref="I5736:J5736" si="5737">if(G5736 = "", , -G5736)</f>
        <v/>
      </c>
      <c r="J5736" s="94" t="str">
        <f t="shared" si="5737"/>
        <v/>
      </c>
      <c r="K5736" s="100"/>
      <c r="M5736" s="100"/>
      <c r="N5736" s="100"/>
      <c r="O5736" s="100"/>
      <c r="P5736" s="100"/>
    </row>
    <row r="5737">
      <c r="A5737" s="107">
        <v>1630224.0</v>
      </c>
      <c r="B5737" s="108" t="s">
        <v>244</v>
      </c>
      <c r="C5737" s="108" t="s">
        <v>1393</v>
      </c>
      <c r="D5737" s="24" t="s">
        <v>178</v>
      </c>
      <c r="E5737" s="24">
        <v>2599.2</v>
      </c>
      <c r="F5737" s="111" t="str">
        <f>DataPull!D5737</f>
        <v/>
      </c>
      <c r="G5737" s="94" t="str">
        <f t="shared" si="2"/>
        <v/>
      </c>
      <c r="H5737" s="94" t="str">
        <f t="shared" si="3"/>
        <v/>
      </c>
      <c r="I5737" s="94" t="str">
        <f t="shared" ref="I5737:J5737" si="5738">if(G5737 = "", , -G5737)</f>
        <v/>
      </c>
      <c r="J5737" s="94" t="str">
        <f t="shared" si="5738"/>
        <v/>
      </c>
      <c r="K5737" s="100"/>
      <c r="M5737" s="100"/>
      <c r="N5737" s="100"/>
      <c r="O5737" s="100"/>
      <c r="P5737" s="100"/>
    </row>
    <row r="5738">
      <c r="A5738" s="135">
        <v>1630224.0</v>
      </c>
      <c r="B5738" s="108" t="s">
        <v>245</v>
      </c>
      <c r="C5738" s="116" t="s">
        <v>1393</v>
      </c>
      <c r="D5738" s="24" t="s">
        <v>178</v>
      </c>
      <c r="E5738" s="24">
        <v>2599.4</v>
      </c>
      <c r="F5738" s="111" t="str">
        <f>DataPull!D5738</f>
        <v/>
      </c>
      <c r="G5738" s="94" t="str">
        <f t="shared" si="2"/>
        <v/>
      </c>
      <c r="H5738" s="94" t="str">
        <f t="shared" si="3"/>
        <v/>
      </c>
      <c r="I5738" s="94" t="str">
        <f t="shared" ref="I5738:J5738" si="5739">if(G5738 = "", , -G5738)</f>
        <v/>
      </c>
      <c r="J5738" s="94" t="str">
        <f t="shared" si="5739"/>
        <v/>
      </c>
      <c r="K5738" s="100"/>
      <c r="M5738" s="100"/>
      <c r="N5738" s="100"/>
      <c r="O5738" s="100"/>
      <c r="P5738" s="100"/>
    </row>
    <row r="5739">
      <c r="A5739" s="107">
        <v>1630224.0</v>
      </c>
      <c r="B5739" s="108" t="s">
        <v>246</v>
      </c>
      <c r="C5739" s="108" t="s">
        <v>1393</v>
      </c>
      <c r="D5739" s="24" t="s">
        <v>178</v>
      </c>
      <c r="E5739" s="24">
        <v>2697.8</v>
      </c>
      <c r="F5739" s="111" t="str">
        <f>DataPull!D5739</f>
        <v/>
      </c>
      <c r="G5739" s="94" t="str">
        <f t="shared" si="2"/>
        <v/>
      </c>
      <c r="H5739" s="94" t="str">
        <f t="shared" si="3"/>
        <v/>
      </c>
      <c r="I5739" s="94" t="str">
        <f t="shared" ref="I5739:J5739" si="5740">if(G5739 = "", , -G5739)</f>
        <v/>
      </c>
      <c r="J5739" s="94" t="str">
        <f t="shared" si="5740"/>
        <v/>
      </c>
      <c r="K5739" s="100"/>
      <c r="M5739" s="100"/>
      <c r="N5739" s="100"/>
      <c r="O5739" s="100"/>
      <c r="P5739" s="100"/>
    </row>
    <row r="5740">
      <c r="A5740" s="114">
        <v>1630224.0</v>
      </c>
      <c r="B5740" s="113" t="s">
        <v>247</v>
      </c>
      <c r="C5740" s="131" t="s">
        <v>1393</v>
      </c>
      <c r="D5740" s="24" t="s">
        <v>177</v>
      </c>
      <c r="E5740" s="24">
        <v>828.8</v>
      </c>
      <c r="F5740" s="111" t="str">
        <f>DataPull!D5740</f>
        <v/>
      </c>
      <c r="G5740" s="94" t="str">
        <f t="shared" si="2"/>
        <v/>
      </c>
      <c r="H5740" s="94" t="str">
        <f t="shared" si="3"/>
        <v/>
      </c>
      <c r="I5740" s="94" t="str">
        <f t="shared" ref="I5740:J5740" si="5741">if(G5740 = "", , -G5740)</f>
        <v/>
      </c>
      <c r="J5740" s="94" t="str">
        <f t="shared" si="5741"/>
        <v/>
      </c>
      <c r="K5740" s="100"/>
      <c r="M5740" s="100"/>
      <c r="N5740" s="100"/>
      <c r="O5740" s="100"/>
      <c r="P5740" s="100"/>
    </row>
    <row r="5741">
      <c r="A5741" s="107">
        <v>1630225.0</v>
      </c>
      <c r="B5741" s="108" t="s">
        <v>215</v>
      </c>
      <c r="C5741" s="116" t="s">
        <v>1394</v>
      </c>
      <c r="D5741" s="24" t="s">
        <v>187</v>
      </c>
      <c r="E5741" s="24">
        <v>74.4</v>
      </c>
      <c r="F5741" s="111" t="str">
        <f>DataPull!D5741</f>
        <v/>
      </c>
      <c r="G5741" s="94" t="str">
        <f t="shared" si="2"/>
        <v/>
      </c>
      <c r="H5741" s="94" t="str">
        <f t="shared" si="3"/>
        <v/>
      </c>
      <c r="I5741" s="94" t="str">
        <f t="shared" ref="I5741:J5741" si="5742">if(G5741 = "", , -G5741)</f>
        <v/>
      </c>
      <c r="J5741" s="94" t="str">
        <f t="shared" si="5742"/>
        <v/>
      </c>
      <c r="K5741" s="100"/>
      <c r="M5741" s="100"/>
      <c r="N5741" s="100"/>
      <c r="O5741" s="100"/>
      <c r="P5741" s="100"/>
    </row>
    <row r="5742">
      <c r="A5742" s="107">
        <v>1630225.0</v>
      </c>
      <c r="B5742" s="108" t="s">
        <v>244</v>
      </c>
      <c r="C5742" s="108" t="s">
        <v>1394</v>
      </c>
      <c r="D5742" s="24" t="s">
        <v>181</v>
      </c>
      <c r="E5742" s="24">
        <v>61.2</v>
      </c>
      <c r="F5742" s="111" t="str">
        <f>DataPull!D5742</f>
        <v/>
      </c>
      <c r="G5742" s="94" t="str">
        <f t="shared" si="2"/>
        <v/>
      </c>
      <c r="H5742" s="94" t="str">
        <f t="shared" si="3"/>
        <v/>
      </c>
      <c r="I5742" s="94" t="str">
        <f t="shared" ref="I5742:J5742" si="5743">if(G5742 = "", , -G5742)</f>
        <v/>
      </c>
      <c r="J5742" s="94" t="str">
        <f t="shared" si="5743"/>
        <v/>
      </c>
      <c r="K5742" s="100"/>
      <c r="M5742" s="100"/>
      <c r="N5742" s="100"/>
      <c r="O5742" s="100"/>
      <c r="P5742" s="100"/>
    </row>
    <row r="5743">
      <c r="A5743" s="107">
        <v>1630227.0</v>
      </c>
      <c r="B5743" s="108" t="s">
        <v>215</v>
      </c>
      <c r="C5743" s="108" t="s">
        <v>1395</v>
      </c>
      <c r="D5743" s="24" t="s">
        <v>187</v>
      </c>
      <c r="E5743" s="24">
        <v>261.6</v>
      </c>
      <c r="F5743" s="111" t="str">
        <f>DataPull!D5743</f>
        <v/>
      </c>
      <c r="G5743" s="94" t="str">
        <f t="shared" si="2"/>
        <v/>
      </c>
      <c r="H5743" s="94" t="str">
        <f t="shared" si="3"/>
        <v/>
      </c>
      <c r="I5743" s="94" t="str">
        <f t="shared" ref="I5743:J5743" si="5744">if(G5743 = "", , -G5743)</f>
        <v/>
      </c>
      <c r="J5743" s="94" t="str">
        <f t="shared" si="5744"/>
        <v/>
      </c>
      <c r="K5743" s="100"/>
      <c r="M5743" s="100"/>
      <c r="N5743" s="100"/>
      <c r="O5743" s="100"/>
      <c r="P5743" s="100"/>
    </row>
    <row r="5744">
      <c r="A5744" s="107">
        <v>1630227.0</v>
      </c>
      <c r="B5744" s="108" t="s">
        <v>244</v>
      </c>
      <c r="C5744" s="108" t="s">
        <v>1395</v>
      </c>
      <c r="D5744" s="24" t="s">
        <v>187</v>
      </c>
      <c r="E5744" s="24">
        <v>912.0</v>
      </c>
      <c r="F5744" s="111" t="str">
        <f>DataPull!D5744</f>
        <v/>
      </c>
      <c r="G5744" s="94" t="str">
        <f t="shared" si="2"/>
        <v/>
      </c>
      <c r="H5744" s="94" t="str">
        <f t="shared" si="3"/>
        <v/>
      </c>
      <c r="I5744" s="94" t="str">
        <f t="shared" ref="I5744:J5744" si="5745">if(G5744 = "", , -G5744)</f>
        <v/>
      </c>
      <c r="J5744" s="94" t="str">
        <f t="shared" si="5745"/>
        <v/>
      </c>
      <c r="K5744" s="100"/>
      <c r="M5744" s="100"/>
      <c r="N5744" s="100"/>
      <c r="O5744" s="100"/>
      <c r="P5744" s="100"/>
    </row>
    <row r="5745">
      <c r="A5745" s="107">
        <v>1630227.0</v>
      </c>
      <c r="B5745" s="108" t="s">
        <v>245</v>
      </c>
      <c r="C5745" s="116" t="s">
        <v>1395</v>
      </c>
      <c r="D5745" s="24" t="s">
        <v>187</v>
      </c>
      <c r="E5745" s="24">
        <v>49.5</v>
      </c>
      <c r="F5745" s="111" t="str">
        <f>DataPull!D5745</f>
        <v/>
      </c>
      <c r="G5745" s="94" t="str">
        <f t="shared" si="2"/>
        <v/>
      </c>
      <c r="H5745" s="94" t="str">
        <f t="shared" si="3"/>
        <v/>
      </c>
      <c r="I5745" s="94" t="str">
        <f t="shared" ref="I5745:J5745" si="5746">if(G5745 = "", , -G5745)</f>
        <v/>
      </c>
      <c r="J5745" s="94" t="str">
        <f t="shared" si="5746"/>
        <v/>
      </c>
      <c r="K5745" s="100"/>
      <c r="M5745" s="100"/>
      <c r="N5745" s="100"/>
      <c r="O5745" s="100"/>
      <c r="P5745" s="100"/>
    </row>
    <row r="5746">
      <c r="A5746" s="107">
        <v>1630227.0</v>
      </c>
      <c r="B5746" s="108" t="s">
        <v>246</v>
      </c>
      <c r="C5746" s="116" t="s">
        <v>1395</v>
      </c>
      <c r="D5746" s="24" t="s">
        <v>181</v>
      </c>
      <c r="E5746" s="24">
        <v>13.2</v>
      </c>
      <c r="F5746" s="111" t="str">
        <f>DataPull!D5746</f>
        <v/>
      </c>
      <c r="G5746" s="94" t="str">
        <f t="shared" si="2"/>
        <v/>
      </c>
      <c r="H5746" s="94" t="str">
        <f t="shared" si="3"/>
        <v/>
      </c>
      <c r="I5746" s="94" t="str">
        <f t="shared" ref="I5746:J5746" si="5747">if(G5746 = "", , -G5746)</f>
        <v/>
      </c>
      <c r="J5746" s="94" t="str">
        <f t="shared" si="5747"/>
        <v/>
      </c>
      <c r="K5746" s="100"/>
      <c r="M5746" s="100"/>
      <c r="N5746" s="100"/>
      <c r="O5746" s="100"/>
      <c r="P5746" s="100"/>
    </row>
    <row r="5747">
      <c r="A5747" s="107">
        <v>1630228.0</v>
      </c>
      <c r="B5747" s="108" t="s">
        <v>215</v>
      </c>
      <c r="C5747" s="108" t="s">
        <v>1396</v>
      </c>
      <c r="D5747" s="24" t="s">
        <v>177</v>
      </c>
      <c r="E5747" s="24">
        <v>1183.0</v>
      </c>
      <c r="F5747" s="111" t="str">
        <f>DataPull!D5747</f>
        <v/>
      </c>
      <c r="G5747" s="94" t="str">
        <f t="shared" si="2"/>
        <v/>
      </c>
      <c r="H5747" s="94" t="str">
        <f t="shared" si="3"/>
        <v/>
      </c>
      <c r="I5747" s="94" t="str">
        <f t="shared" ref="I5747:J5747" si="5748">if(G5747 = "", , -G5747)</f>
        <v/>
      </c>
      <c r="J5747" s="94" t="str">
        <f t="shared" si="5748"/>
        <v/>
      </c>
      <c r="K5747" s="100"/>
      <c r="M5747" s="100"/>
      <c r="N5747" s="100"/>
      <c r="O5747" s="100"/>
      <c r="P5747" s="100"/>
    </row>
    <row r="5748">
      <c r="A5748" s="107">
        <v>1630228.0</v>
      </c>
      <c r="B5748" s="108" t="s">
        <v>244</v>
      </c>
      <c r="C5748" s="108" t="s">
        <v>1396</v>
      </c>
      <c r="D5748" s="24" t="s">
        <v>176</v>
      </c>
      <c r="E5748" s="24">
        <v>1393.6</v>
      </c>
      <c r="F5748" s="111" t="str">
        <f>DataPull!D5748</f>
        <v/>
      </c>
      <c r="G5748" s="94" t="str">
        <f t="shared" si="2"/>
        <v/>
      </c>
      <c r="H5748" s="94" t="str">
        <f t="shared" si="3"/>
        <v/>
      </c>
      <c r="I5748" s="94" t="str">
        <f t="shared" ref="I5748:J5748" si="5749">if(G5748 = "", , -G5748)</f>
        <v/>
      </c>
      <c r="J5748" s="94" t="str">
        <f t="shared" si="5749"/>
        <v/>
      </c>
      <c r="K5748" s="100"/>
      <c r="M5748" s="100"/>
      <c r="N5748" s="100"/>
      <c r="O5748" s="100"/>
      <c r="P5748" s="100"/>
    </row>
    <row r="5749">
      <c r="A5749" s="107">
        <v>1630228.0</v>
      </c>
      <c r="B5749" s="108" t="s">
        <v>245</v>
      </c>
      <c r="C5749" s="108" t="s">
        <v>1396</v>
      </c>
      <c r="D5749" s="24" t="s">
        <v>176</v>
      </c>
      <c r="E5749" s="24">
        <v>1946.2</v>
      </c>
      <c r="F5749" s="111" t="str">
        <f>DataPull!D5749</f>
        <v/>
      </c>
      <c r="G5749" s="94" t="str">
        <f t="shared" si="2"/>
        <v/>
      </c>
      <c r="H5749" s="94" t="str">
        <f t="shared" si="3"/>
        <v/>
      </c>
      <c r="I5749" s="94" t="str">
        <f t="shared" ref="I5749:J5749" si="5750">if(G5749 = "", , -G5749)</f>
        <v/>
      </c>
      <c r="J5749" s="94" t="str">
        <f t="shared" si="5750"/>
        <v/>
      </c>
      <c r="K5749" s="100"/>
      <c r="M5749" s="100"/>
      <c r="N5749" s="100"/>
      <c r="O5749" s="100"/>
      <c r="P5749" s="100"/>
    </row>
    <row r="5750">
      <c r="A5750" s="107">
        <v>1630228.0</v>
      </c>
      <c r="B5750" s="108" t="s">
        <v>246</v>
      </c>
      <c r="C5750" s="108" t="s">
        <v>1396</v>
      </c>
      <c r="D5750" s="24" t="s">
        <v>176</v>
      </c>
      <c r="E5750" s="24">
        <v>1142.1</v>
      </c>
      <c r="F5750" s="111" t="str">
        <f>DataPull!D5750</f>
        <v/>
      </c>
      <c r="G5750" s="94" t="str">
        <f t="shared" si="2"/>
        <v/>
      </c>
      <c r="H5750" s="94" t="str">
        <f t="shared" si="3"/>
        <v/>
      </c>
      <c r="I5750" s="94" t="str">
        <f t="shared" ref="I5750:J5750" si="5751">if(G5750 = "", , -G5750)</f>
        <v/>
      </c>
      <c r="J5750" s="94" t="str">
        <f t="shared" si="5751"/>
        <v/>
      </c>
      <c r="K5750" s="100"/>
      <c r="M5750" s="100"/>
      <c r="N5750" s="100"/>
      <c r="O5750" s="100"/>
      <c r="P5750" s="100"/>
    </row>
    <row r="5751">
      <c r="A5751" s="114">
        <v>1630228.0</v>
      </c>
      <c r="B5751" s="113" t="s">
        <v>247</v>
      </c>
      <c r="C5751" s="113" t="s">
        <v>1396</v>
      </c>
      <c r="D5751" s="24" t="s">
        <v>176</v>
      </c>
      <c r="E5751" s="24">
        <v>831.6</v>
      </c>
      <c r="F5751" s="111" t="str">
        <f>DataPull!D5751</f>
        <v/>
      </c>
      <c r="G5751" s="94" t="str">
        <f t="shared" si="2"/>
        <v/>
      </c>
      <c r="H5751" s="94" t="str">
        <f t="shared" si="3"/>
        <v/>
      </c>
      <c r="I5751" s="94" t="str">
        <f t="shared" ref="I5751:J5751" si="5752">if(G5751 = "", , -G5751)</f>
        <v/>
      </c>
      <c r="J5751" s="94" t="str">
        <f t="shared" si="5752"/>
        <v/>
      </c>
      <c r="K5751" s="100"/>
      <c r="M5751" s="100"/>
      <c r="N5751" s="100"/>
      <c r="O5751" s="100"/>
      <c r="P5751" s="100"/>
    </row>
    <row r="5752">
      <c r="A5752" s="107">
        <v>1630230.0</v>
      </c>
      <c r="B5752" s="108" t="s">
        <v>243</v>
      </c>
      <c r="C5752" s="116" t="s">
        <v>1397</v>
      </c>
      <c r="D5752" s="24" t="s">
        <v>176</v>
      </c>
      <c r="E5752" s="24">
        <v>700.8</v>
      </c>
      <c r="F5752" s="111" t="str">
        <f>DataPull!D5752</f>
        <v/>
      </c>
      <c r="G5752" s="94" t="str">
        <f t="shared" si="2"/>
        <v/>
      </c>
      <c r="H5752" s="94" t="str">
        <f t="shared" si="3"/>
        <v/>
      </c>
      <c r="I5752" s="94" t="str">
        <f t="shared" ref="I5752:J5752" si="5753">if(G5752 = "", , -G5752)</f>
        <v/>
      </c>
      <c r="J5752" s="94" t="str">
        <f t="shared" si="5753"/>
        <v/>
      </c>
      <c r="K5752" s="100"/>
      <c r="M5752" s="100"/>
      <c r="N5752" s="100"/>
      <c r="O5752" s="100"/>
      <c r="P5752" s="100"/>
    </row>
    <row r="5753">
      <c r="A5753" s="107">
        <v>1630230.0</v>
      </c>
      <c r="B5753" s="108" t="s">
        <v>215</v>
      </c>
      <c r="C5753" s="108" t="s">
        <v>1397</v>
      </c>
      <c r="D5753" s="24" t="s">
        <v>177</v>
      </c>
      <c r="E5753" s="24">
        <v>737.0</v>
      </c>
      <c r="F5753" s="111" t="str">
        <f>DataPull!D5753</f>
        <v/>
      </c>
      <c r="G5753" s="94" t="str">
        <f t="shared" si="2"/>
        <v/>
      </c>
      <c r="H5753" s="94" t="str">
        <f t="shared" si="3"/>
        <v/>
      </c>
      <c r="I5753" s="94" t="str">
        <f t="shared" ref="I5753:J5753" si="5754">if(G5753 = "", , -G5753)</f>
        <v/>
      </c>
      <c r="J5753" s="94" t="str">
        <f t="shared" si="5754"/>
        <v/>
      </c>
      <c r="K5753" s="100"/>
      <c r="M5753" s="100"/>
      <c r="N5753" s="100"/>
      <c r="O5753" s="100"/>
      <c r="P5753" s="100"/>
    </row>
    <row r="5754">
      <c r="A5754" s="107">
        <v>1630230.0</v>
      </c>
      <c r="B5754" s="108" t="s">
        <v>244</v>
      </c>
      <c r="C5754" s="116" t="s">
        <v>1397</v>
      </c>
      <c r="D5754" s="24" t="s">
        <v>176</v>
      </c>
      <c r="E5754" s="24">
        <v>1794.1</v>
      </c>
      <c r="F5754" s="111" t="str">
        <f>DataPull!D5754</f>
        <v/>
      </c>
      <c r="G5754" s="94" t="str">
        <f t="shared" si="2"/>
        <v/>
      </c>
      <c r="H5754" s="94" t="str">
        <f t="shared" si="3"/>
        <v/>
      </c>
      <c r="I5754" s="94" t="str">
        <f t="shared" ref="I5754:J5754" si="5755">if(G5754 = "", , -G5754)</f>
        <v/>
      </c>
      <c r="J5754" s="94" t="str">
        <f t="shared" si="5755"/>
        <v/>
      </c>
      <c r="K5754" s="100"/>
      <c r="M5754" s="100"/>
      <c r="N5754" s="100"/>
      <c r="O5754" s="100"/>
      <c r="P5754" s="100"/>
    </row>
    <row r="5755">
      <c r="A5755" s="107">
        <v>1630230.0</v>
      </c>
      <c r="B5755" s="108" t="s">
        <v>245</v>
      </c>
      <c r="C5755" s="116" t="s">
        <v>1397</v>
      </c>
      <c r="D5755" s="24" t="s">
        <v>177</v>
      </c>
      <c r="E5755" s="24">
        <v>1254.0</v>
      </c>
      <c r="F5755" s="111" t="str">
        <f>DataPull!D5755</f>
        <v/>
      </c>
      <c r="G5755" s="94" t="str">
        <f t="shared" si="2"/>
        <v/>
      </c>
      <c r="H5755" s="94" t="str">
        <f t="shared" si="3"/>
        <v/>
      </c>
      <c r="I5755" s="94" t="str">
        <f t="shared" ref="I5755:J5755" si="5756">if(G5755 = "", , -G5755)</f>
        <v/>
      </c>
      <c r="J5755" s="94" t="str">
        <f t="shared" si="5756"/>
        <v/>
      </c>
      <c r="K5755" s="100"/>
      <c r="M5755" s="100"/>
      <c r="N5755" s="100"/>
      <c r="O5755" s="100"/>
      <c r="P5755" s="100"/>
    </row>
    <row r="5756">
      <c r="A5756" s="107">
        <v>1630230.0</v>
      </c>
      <c r="B5756" s="108" t="s">
        <v>246</v>
      </c>
      <c r="C5756" s="116" t="s">
        <v>1397</v>
      </c>
      <c r="D5756" s="24" t="s">
        <v>176</v>
      </c>
      <c r="E5756" s="24">
        <v>1918.2</v>
      </c>
      <c r="F5756" s="111" t="str">
        <f>DataPull!D5756</f>
        <v/>
      </c>
      <c r="G5756" s="94" t="str">
        <f t="shared" si="2"/>
        <v/>
      </c>
      <c r="H5756" s="94" t="str">
        <f t="shared" si="3"/>
        <v/>
      </c>
      <c r="I5756" s="94" t="str">
        <f t="shared" ref="I5756:J5756" si="5757">if(G5756 = "", , -G5756)</f>
        <v/>
      </c>
      <c r="J5756" s="94" t="str">
        <f t="shared" si="5757"/>
        <v/>
      </c>
      <c r="K5756" s="100"/>
      <c r="M5756" s="100"/>
      <c r="N5756" s="100"/>
      <c r="O5756" s="100"/>
      <c r="P5756" s="100"/>
    </row>
    <row r="5757">
      <c r="A5757" s="114">
        <v>1630230.0</v>
      </c>
      <c r="B5757" s="113" t="s">
        <v>247</v>
      </c>
      <c r="C5757" s="113" t="s">
        <v>1397</v>
      </c>
      <c r="D5757" s="24" t="s">
        <v>178</v>
      </c>
      <c r="E5757" s="24">
        <v>2183.0</v>
      </c>
      <c r="F5757" s="111" t="str">
        <f>DataPull!D5757</f>
        <v/>
      </c>
      <c r="G5757" s="94" t="str">
        <f t="shared" si="2"/>
        <v/>
      </c>
      <c r="H5757" s="94" t="str">
        <f t="shared" si="3"/>
        <v/>
      </c>
      <c r="I5757" s="94" t="str">
        <f t="shared" ref="I5757:J5757" si="5758">if(G5757 = "", , -G5757)</f>
        <v/>
      </c>
      <c r="J5757" s="94" t="str">
        <f t="shared" si="5758"/>
        <v/>
      </c>
      <c r="K5757" s="100"/>
      <c r="M5757" s="100"/>
      <c r="N5757" s="100"/>
      <c r="O5757" s="100"/>
      <c r="P5757" s="100"/>
    </row>
    <row r="5758">
      <c r="A5758" s="107">
        <v>1630231.0</v>
      </c>
      <c r="B5758" s="108" t="s">
        <v>243</v>
      </c>
      <c r="C5758" s="115" t="s">
        <v>206</v>
      </c>
      <c r="D5758" s="24" t="s">
        <v>176</v>
      </c>
      <c r="E5758" s="24">
        <v>1066.5</v>
      </c>
      <c r="F5758" s="111" t="str">
        <f>DataPull!D5758</f>
        <v/>
      </c>
      <c r="G5758" s="94" t="str">
        <f t="shared" si="2"/>
        <v/>
      </c>
      <c r="H5758" s="94" t="str">
        <f t="shared" si="3"/>
        <v/>
      </c>
      <c r="I5758" s="94" t="str">
        <f t="shared" ref="I5758:J5758" si="5759">if(G5758 = "", , -G5758)</f>
        <v/>
      </c>
      <c r="J5758" s="94" t="str">
        <f t="shared" si="5759"/>
        <v/>
      </c>
      <c r="K5758" s="100"/>
      <c r="M5758" s="100"/>
      <c r="N5758" s="100"/>
      <c r="O5758" s="100"/>
      <c r="P5758" s="100"/>
    </row>
    <row r="5759">
      <c r="A5759" s="107">
        <v>1630231.0</v>
      </c>
      <c r="B5759" s="108" t="s">
        <v>215</v>
      </c>
      <c r="C5759" s="115" t="s">
        <v>206</v>
      </c>
      <c r="D5759" s="24" t="s">
        <v>176</v>
      </c>
      <c r="E5759" s="24">
        <v>1659.0</v>
      </c>
      <c r="F5759" s="111" t="str">
        <f>DataPull!D5759</f>
        <v/>
      </c>
      <c r="G5759" s="94" t="str">
        <f t="shared" si="2"/>
        <v/>
      </c>
      <c r="H5759" s="94" t="str">
        <f t="shared" si="3"/>
        <v/>
      </c>
      <c r="I5759" s="94" t="str">
        <f t="shared" ref="I5759:J5759" si="5760">if(G5759 = "", , -G5759)</f>
        <v/>
      </c>
      <c r="J5759" s="94" t="str">
        <f t="shared" si="5760"/>
        <v/>
      </c>
      <c r="K5759" s="100"/>
      <c r="M5759" s="100"/>
      <c r="N5759" s="100"/>
      <c r="O5759" s="100"/>
      <c r="P5759" s="100"/>
    </row>
    <row r="5760">
      <c r="A5760" s="107">
        <v>1630231.0</v>
      </c>
      <c r="B5760" s="108" t="s">
        <v>244</v>
      </c>
      <c r="C5760" s="115" t="s">
        <v>206</v>
      </c>
      <c r="D5760" s="24" t="s">
        <v>176</v>
      </c>
      <c r="E5760" s="24">
        <v>2296.0</v>
      </c>
      <c r="F5760" s="111" t="str">
        <f>DataPull!D5760</f>
        <v/>
      </c>
      <c r="G5760" s="94" t="str">
        <f t="shared" si="2"/>
        <v/>
      </c>
      <c r="H5760" s="94" t="str">
        <f t="shared" si="3"/>
        <v/>
      </c>
      <c r="I5760" s="94" t="str">
        <f t="shared" ref="I5760:J5760" si="5761">if(G5760 = "", , -G5760)</f>
        <v/>
      </c>
      <c r="J5760" s="94" t="str">
        <f t="shared" si="5761"/>
        <v/>
      </c>
      <c r="K5760" s="100"/>
      <c r="M5760" s="100"/>
      <c r="N5760" s="100"/>
      <c r="O5760" s="100"/>
      <c r="P5760" s="100"/>
    </row>
    <row r="5761">
      <c r="A5761" s="107">
        <v>1630231.0</v>
      </c>
      <c r="B5761" s="108" t="s">
        <v>245</v>
      </c>
      <c r="C5761" s="115" t="s">
        <v>206</v>
      </c>
      <c r="D5761" s="24" t="s">
        <v>177</v>
      </c>
      <c r="E5761" s="24">
        <v>744.0</v>
      </c>
      <c r="F5761" s="111" t="str">
        <f>DataPull!D5761</f>
        <v/>
      </c>
      <c r="G5761" s="94" t="str">
        <f t="shared" si="2"/>
        <v/>
      </c>
      <c r="H5761" s="94" t="str">
        <f t="shared" si="3"/>
        <v/>
      </c>
      <c r="I5761" s="94" t="str">
        <f t="shared" ref="I5761:J5761" si="5762">if(G5761 = "", , -G5761)</f>
        <v/>
      </c>
      <c r="J5761" s="94" t="str">
        <f t="shared" si="5762"/>
        <v/>
      </c>
      <c r="K5761" s="100"/>
      <c r="M5761" s="100"/>
      <c r="N5761" s="100"/>
      <c r="O5761" s="100"/>
      <c r="P5761" s="100"/>
    </row>
    <row r="5762">
      <c r="A5762" s="107">
        <v>1630231.0</v>
      </c>
      <c r="B5762" s="108" t="s">
        <v>246</v>
      </c>
      <c r="C5762" s="115" t="s">
        <v>206</v>
      </c>
      <c r="D5762" s="24" t="s">
        <v>177</v>
      </c>
      <c r="E5762" s="24">
        <v>911.6</v>
      </c>
      <c r="F5762" s="111" t="str">
        <f>DataPull!D5762</f>
        <v/>
      </c>
      <c r="G5762" s="94" t="str">
        <f t="shared" si="2"/>
        <v/>
      </c>
      <c r="H5762" s="94" t="str">
        <f t="shared" si="3"/>
        <v/>
      </c>
      <c r="I5762" s="94" t="str">
        <f t="shared" ref="I5762:J5762" si="5763">if(G5762 = "", , -G5762)</f>
        <v/>
      </c>
      <c r="J5762" s="94" t="str">
        <f t="shared" si="5763"/>
        <v/>
      </c>
      <c r="K5762" s="100"/>
      <c r="M5762" s="100"/>
      <c r="N5762" s="100"/>
      <c r="O5762" s="100"/>
      <c r="P5762" s="100"/>
    </row>
    <row r="5763">
      <c r="A5763" s="107">
        <v>1630233.0</v>
      </c>
      <c r="B5763" s="116" t="s">
        <v>243</v>
      </c>
      <c r="C5763" s="108" t="s">
        <v>1398</v>
      </c>
      <c r="D5763" s="24" t="s">
        <v>187</v>
      </c>
      <c r="E5763" s="24">
        <v>277.2</v>
      </c>
      <c r="F5763" s="111" t="str">
        <f>DataPull!D5763</f>
        <v/>
      </c>
      <c r="G5763" s="94" t="str">
        <f t="shared" si="2"/>
        <v/>
      </c>
      <c r="H5763" s="94" t="str">
        <f t="shared" si="3"/>
        <v/>
      </c>
      <c r="I5763" s="94" t="str">
        <f t="shared" ref="I5763:J5763" si="5764">if(G5763 = "", , -G5763)</f>
        <v/>
      </c>
      <c r="J5763" s="94" t="str">
        <f t="shared" si="5764"/>
        <v/>
      </c>
      <c r="K5763" s="100"/>
      <c r="M5763" s="100"/>
      <c r="N5763" s="100"/>
      <c r="O5763" s="100"/>
      <c r="P5763" s="100"/>
    </row>
    <row r="5764">
      <c r="A5764" s="107">
        <v>1630233.0</v>
      </c>
      <c r="B5764" s="116" t="s">
        <v>215</v>
      </c>
      <c r="C5764" s="108" t="s">
        <v>1398</v>
      </c>
      <c r="D5764" s="24" t="s">
        <v>187</v>
      </c>
      <c r="E5764" s="24">
        <v>266.4</v>
      </c>
      <c r="F5764" s="111" t="str">
        <f>DataPull!D5764</f>
        <v/>
      </c>
      <c r="G5764" s="94" t="str">
        <f t="shared" si="2"/>
        <v/>
      </c>
      <c r="H5764" s="94" t="str">
        <f t="shared" si="3"/>
        <v/>
      </c>
      <c r="I5764" s="94" t="str">
        <f t="shared" ref="I5764:J5764" si="5765">if(G5764 = "", , -G5764)</f>
        <v/>
      </c>
      <c r="J5764" s="94" t="str">
        <f t="shared" si="5765"/>
        <v/>
      </c>
      <c r="K5764" s="100"/>
      <c r="M5764" s="100"/>
      <c r="N5764" s="100"/>
      <c r="O5764" s="100"/>
      <c r="P5764" s="100"/>
    </row>
    <row r="5765">
      <c r="A5765" s="107">
        <v>1630233.0</v>
      </c>
      <c r="B5765" s="108" t="s">
        <v>244</v>
      </c>
      <c r="C5765" s="108" t="s">
        <v>1398</v>
      </c>
      <c r="D5765" s="24" t="s">
        <v>187</v>
      </c>
      <c r="E5765" s="24">
        <v>292.6</v>
      </c>
      <c r="F5765" s="111" t="str">
        <f>DataPull!D5765</f>
        <v/>
      </c>
      <c r="G5765" s="94" t="str">
        <f t="shared" si="2"/>
        <v/>
      </c>
      <c r="H5765" s="94" t="str">
        <f t="shared" si="3"/>
        <v/>
      </c>
      <c r="I5765" s="94" t="str">
        <f t="shared" ref="I5765:J5765" si="5766">if(G5765 = "", , -G5765)</f>
        <v/>
      </c>
      <c r="J5765" s="94" t="str">
        <f t="shared" si="5766"/>
        <v/>
      </c>
      <c r="K5765" s="100"/>
      <c r="M5765" s="100"/>
      <c r="N5765" s="100"/>
      <c r="O5765" s="100"/>
      <c r="P5765" s="100"/>
    </row>
    <row r="5766">
      <c r="A5766" s="107">
        <v>1630234.0</v>
      </c>
      <c r="B5766" s="108" t="s">
        <v>243</v>
      </c>
      <c r="C5766" s="116" t="s">
        <v>1399</v>
      </c>
      <c r="D5766" s="24" t="s">
        <v>187</v>
      </c>
      <c r="E5766" s="24">
        <v>48.0</v>
      </c>
      <c r="F5766" s="111" t="str">
        <f>DataPull!D5766</f>
        <v/>
      </c>
      <c r="G5766" s="94" t="str">
        <f t="shared" si="2"/>
        <v/>
      </c>
      <c r="H5766" s="94" t="str">
        <f t="shared" si="3"/>
        <v/>
      </c>
      <c r="I5766" s="94" t="str">
        <f t="shared" ref="I5766:J5766" si="5767">if(G5766 = "", , -G5766)</f>
        <v/>
      </c>
      <c r="J5766" s="94" t="str">
        <f t="shared" si="5767"/>
        <v/>
      </c>
      <c r="K5766" s="100"/>
      <c r="M5766" s="100"/>
      <c r="N5766" s="100"/>
      <c r="O5766" s="100"/>
      <c r="P5766" s="100"/>
    </row>
    <row r="5767">
      <c r="A5767" s="107">
        <v>1630235.0</v>
      </c>
      <c r="B5767" s="108" t="s">
        <v>243</v>
      </c>
      <c r="C5767" s="116" t="s">
        <v>1400</v>
      </c>
      <c r="D5767" s="24" t="s">
        <v>187</v>
      </c>
      <c r="E5767" s="24">
        <v>303.0</v>
      </c>
      <c r="F5767" s="111" t="str">
        <f>DataPull!D5767</f>
        <v/>
      </c>
      <c r="G5767" s="94" t="str">
        <f t="shared" si="2"/>
        <v/>
      </c>
      <c r="H5767" s="94" t="str">
        <f t="shared" si="3"/>
        <v/>
      </c>
      <c r="I5767" s="94" t="str">
        <f t="shared" ref="I5767:J5767" si="5768">if(G5767 = "", , -G5767)</f>
        <v/>
      </c>
      <c r="J5767" s="94" t="str">
        <f t="shared" si="5768"/>
        <v/>
      </c>
      <c r="K5767" s="100"/>
      <c r="M5767" s="100"/>
      <c r="N5767" s="100"/>
      <c r="O5767" s="100"/>
      <c r="P5767" s="100"/>
    </row>
    <row r="5768">
      <c r="A5768" s="107">
        <v>1630235.0</v>
      </c>
      <c r="B5768" s="108" t="s">
        <v>215</v>
      </c>
      <c r="C5768" s="116" t="s">
        <v>1400</v>
      </c>
      <c r="D5768" s="24" t="s">
        <v>187</v>
      </c>
      <c r="E5768" s="24">
        <v>768.0</v>
      </c>
      <c r="F5768" s="111" t="str">
        <f>DataPull!D5768</f>
        <v/>
      </c>
      <c r="G5768" s="94" t="str">
        <f t="shared" si="2"/>
        <v/>
      </c>
      <c r="H5768" s="94" t="str">
        <f t="shared" si="3"/>
        <v/>
      </c>
      <c r="I5768" s="94" t="str">
        <f t="shared" ref="I5768:J5768" si="5769">if(G5768 = "", , -G5768)</f>
        <v/>
      </c>
      <c r="J5768" s="94" t="str">
        <f t="shared" si="5769"/>
        <v/>
      </c>
      <c r="K5768" s="100"/>
      <c r="M5768" s="100"/>
      <c r="N5768" s="100"/>
      <c r="O5768" s="100"/>
      <c r="P5768" s="100"/>
    </row>
    <row r="5769">
      <c r="A5769" s="107">
        <v>1630235.0</v>
      </c>
      <c r="B5769" s="108" t="s">
        <v>244</v>
      </c>
      <c r="C5769" s="116" t="s">
        <v>1400</v>
      </c>
      <c r="D5769" s="24" t="s">
        <v>187</v>
      </c>
      <c r="E5769" s="24">
        <v>276.0</v>
      </c>
      <c r="F5769" s="111" t="str">
        <f>DataPull!D5769</f>
        <v/>
      </c>
      <c r="G5769" s="94" t="str">
        <f t="shared" si="2"/>
        <v/>
      </c>
      <c r="H5769" s="94" t="str">
        <f t="shared" si="3"/>
        <v/>
      </c>
      <c r="I5769" s="94" t="str">
        <f t="shared" ref="I5769:J5769" si="5770">if(G5769 = "", , -G5769)</f>
        <v/>
      </c>
      <c r="J5769" s="94" t="str">
        <f t="shared" si="5770"/>
        <v/>
      </c>
      <c r="K5769" s="100"/>
      <c r="M5769" s="100"/>
      <c r="N5769" s="100"/>
      <c r="O5769" s="100"/>
      <c r="P5769" s="100"/>
    </row>
    <row r="5770">
      <c r="A5770" s="107">
        <v>1630235.0</v>
      </c>
      <c r="B5770" s="116" t="s">
        <v>245</v>
      </c>
      <c r="C5770" s="116" t="s">
        <v>1400</v>
      </c>
      <c r="D5770" s="24" t="s">
        <v>187</v>
      </c>
      <c r="E5770" s="24">
        <v>414.2</v>
      </c>
      <c r="F5770" s="111" t="str">
        <f>DataPull!D5770</f>
        <v/>
      </c>
      <c r="G5770" s="94" t="str">
        <f t="shared" si="2"/>
        <v/>
      </c>
      <c r="H5770" s="94" t="str">
        <f t="shared" si="3"/>
        <v/>
      </c>
      <c r="I5770" s="94" t="str">
        <f t="shared" ref="I5770:J5770" si="5771">if(G5770 = "", , -G5770)</f>
        <v/>
      </c>
      <c r="J5770" s="94" t="str">
        <f t="shared" si="5771"/>
        <v/>
      </c>
      <c r="K5770" s="100"/>
      <c r="M5770" s="100"/>
      <c r="N5770" s="100"/>
      <c r="O5770" s="100"/>
      <c r="P5770" s="100"/>
    </row>
    <row r="5771">
      <c r="A5771" s="107">
        <v>1630237.0</v>
      </c>
      <c r="B5771" s="116" t="s">
        <v>243</v>
      </c>
      <c r="C5771" s="116" t="s">
        <v>1401</v>
      </c>
      <c r="D5771" s="24" t="s">
        <v>177</v>
      </c>
      <c r="E5771" s="24">
        <v>415.2</v>
      </c>
      <c r="F5771" s="111" t="str">
        <f>DataPull!D5771</f>
        <v/>
      </c>
      <c r="G5771" s="94" t="str">
        <f t="shared" si="2"/>
        <v/>
      </c>
      <c r="H5771" s="94" t="str">
        <f t="shared" si="3"/>
        <v/>
      </c>
      <c r="I5771" s="94" t="str">
        <f t="shared" ref="I5771:J5771" si="5772">if(G5771 = "", , -G5771)</f>
        <v/>
      </c>
      <c r="J5771" s="94" t="str">
        <f t="shared" si="5772"/>
        <v/>
      </c>
      <c r="K5771" s="100"/>
      <c r="M5771" s="100"/>
      <c r="N5771" s="100"/>
      <c r="O5771" s="100"/>
      <c r="P5771" s="100"/>
    </row>
    <row r="5772">
      <c r="A5772" s="107">
        <v>1630237.0</v>
      </c>
      <c r="B5772" s="108" t="s">
        <v>215</v>
      </c>
      <c r="C5772" s="116" t="s">
        <v>1401</v>
      </c>
      <c r="D5772" s="24" t="s">
        <v>181</v>
      </c>
      <c r="E5772" s="24">
        <v>7.6</v>
      </c>
      <c r="F5772" s="111" t="str">
        <f>DataPull!D5772</f>
        <v/>
      </c>
      <c r="G5772" s="94" t="str">
        <f t="shared" si="2"/>
        <v/>
      </c>
      <c r="H5772" s="94" t="str">
        <f t="shared" si="3"/>
        <v/>
      </c>
      <c r="I5772" s="94" t="str">
        <f t="shared" ref="I5772:J5772" si="5773">if(G5772 = "", , -G5772)</f>
        <v/>
      </c>
      <c r="J5772" s="94" t="str">
        <f t="shared" si="5773"/>
        <v/>
      </c>
      <c r="K5772" s="100"/>
      <c r="M5772" s="100"/>
      <c r="N5772" s="100"/>
      <c r="O5772" s="100"/>
      <c r="P5772" s="100"/>
    </row>
    <row r="5773">
      <c r="A5773" s="107">
        <v>1630237.0</v>
      </c>
      <c r="B5773" s="108" t="s">
        <v>244</v>
      </c>
      <c r="C5773" s="116" t="s">
        <v>1401</v>
      </c>
      <c r="D5773" s="24" t="s">
        <v>177</v>
      </c>
      <c r="E5773" s="24">
        <v>1196.6</v>
      </c>
      <c r="F5773" s="111" t="str">
        <f>DataPull!D5773</f>
        <v/>
      </c>
      <c r="G5773" s="94" t="str">
        <f t="shared" si="2"/>
        <v/>
      </c>
      <c r="H5773" s="94" t="str">
        <f t="shared" si="3"/>
        <v/>
      </c>
      <c r="I5773" s="94" t="str">
        <f t="shared" ref="I5773:J5773" si="5774">if(G5773 = "", , -G5773)</f>
        <v/>
      </c>
      <c r="J5773" s="94" t="str">
        <f t="shared" si="5774"/>
        <v/>
      </c>
      <c r="K5773" s="100"/>
      <c r="M5773" s="100"/>
      <c r="N5773" s="100"/>
      <c r="O5773" s="100"/>
      <c r="P5773" s="100"/>
    </row>
    <row r="5774">
      <c r="A5774" s="107">
        <v>1630238.0</v>
      </c>
      <c r="B5774" s="108" t="s">
        <v>243</v>
      </c>
      <c r="C5774" s="116" t="s">
        <v>1402</v>
      </c>
      <c r="D5774" s="24" t="s">
        <v>181</v>
      </c>
      <c r="E5774" s="24">
        <v>10.8</v>
      </c>
      <c r="F5774" s="111" t="str">
        <f>DataPull!D5774</f>
        <v/>
      </c>
      <c r="G5774" s="94" t="str">
        <f t="shared" si="2"/>
        <v/>
      </c>
      <c r="H5774" s="94" t="str">
        <f t="shared" si="3"/>
        <v/>
      </c>
      <c r="I5774" s="94" t="str">
        <f t="shared" ref="I5774:J5774" si="5775">if(G5774 = "", , -G5774)</f>
        <v/>
      </c>
      <c r="J5774" s="94" t="str">
        <f t="shared" si="5775"/>
        <v/>
      </c>
      <c r="K5774" s="100"/>
      <c r="M5774" s="100"/>
      <c r="N5774" s="100"/>
      <c r="O5774" s="100"/>
      <c r="P5774" s="100"/>
    </row>
    <row r="5775">
      <c r="A5775" s="107">
        <v>1630238.0</v>
      </c>
      <c r="B5775" s="116" t="s">
        <v>215</v>
      </c>
      <c r="C5775" s="116" t="s">
        <v>1402</v>
      </c>
      <c r="D5775" s="24" t="s">
        <v>181</v>
      </c>
      <c r="E5775" s="24">
        <v>63.0</v>
      </c>
      <c r="F5775" s="111" t="str">
        <f>DataPull!D5775</f>
        <v/>
      </c>
      <c r="G5775" s="94" t="str">
        <f t="shared" si="2"/>
        <v/>
      </c>
      <c r="H5775" s="94" t="str">
        <f t="shared" si="3"/>
        <v/>
      </c>
      <c r="I5775" s="94" t="str">
        <f t="shared" ref="I5775:J5775" si="5776">if(G5775 = "", , -G5775)</f>
        <v/>
      </c>
      <c r="J5775" s="94" t="str">
        <f t="shared" si="5776"/>
        <v/>
      </c>
      <c r="K5775" s="100"/>
      <c r="M5775" s="100"/>
      <c r="N5775" s="100"/>
      <c r="O5775" s="100"/>
      <c r="P5775" s="100"/>
    </row>
    <row r="5776">
      <c r="A5776" s="107">
        <v>1630240.0</v>
      </c>
      <c r="B5776" s="108" t="s">
        <v>243</v>
      </c>
      <c r="C5776" s="116" t="s">
        <v>1403</v>
      </c>
      <c r="D5776" s="24" t="s">
        <v>177</v>
      </c>
      <c r="E5776" s="24">
        <v>782.4</v>
      </c>
      <c r="F5776" s="111" t="str">
        <f>DataPull!D5776</f>
        <v/>
      </c>
      <c r="G5776" s="94" t="str">
        <f t="shared" si="2"/>
        <v/>
      </c>
      <c r="H5776" s="94" t="str">
        <f t="shared" si="3"/>
        <v/>
      </c>
      <c r="I5776" s="94" t="str">
        <f t="shared" ref="I5776:J5776" si="5777">if(G5776 = "", , -G5776)</f>
        <v/>
      </c>
      <c r="J5776" s="94" t="str">
        <f t="shared" si="5777"/>
        <v/>
      </c>
      <c r="K5776" s="100"/>
      <c r="M5776" s="100"/>
      <c r="N5776" s="100"/>
      <c r="O5776" s="100"/>
      <c r="P5776" s="100"/>
    </row>
    <row r="5777">
      <c r="A5777" s="107">
        <v>1630240.0</v>
      </c>
      <c r="B5777" s="116" t="s">
        <v>215</v>
      </c>
      <c r="C5777" s="116" t="s">
        <v>1403</v>
      </c>
      <c r="D5777" s="24" t="s">
        <v>177</v>
      </c>
      <c r="E5777" s="24">
        <v>603.1</v>
      </c>
      <c r="F5777" s="111" t="str">
        <f>DataPull!D5777</f>
        <v/>
      </c>
      <c r="G5777" s="94" t="str">
        <f t="shared" si="2"/>
        <v/>
      </c>
      <c r="H5777" s="94" t="str">
        <f t="shared" si="3"/>
        <v/>
      </c>
      <c r="I5777" s="94" t="str">
        <f t="shared" ref="I5777:J5777" si="5778">if(G5777 = "", , -G5777)</f>
        <v/>
      </c>
      <c r="J5777" s="94" t="str">
        <f t="shared" si="5778"/>
        <v/>
      </c>
      <c r="K5777" s="100"/>
      <c r="M5777" s="100"/>
      <c r="N5777" s="100"/>
      <c r="O5777" s="100"/>
      <c r="P5777" s="100"/>
    </row>
    <row r="5778">
      <c r="A5778" s="107">
        <v>1630240.0</v>
      </c>
      <c r="B5778" s="116" t="s">
        <v>244</v>
      </c>
      <c r="C5778" s="116" t="s">
        <v>1403</v>
      </c>
      <c r="D5778" s="24" t="s">
        <v>177</v>
      </c>
      <c r="E5778" s="24">
        <v>372.5</v>
      </c>
      <c r="F5778" s="111" t="str">
        <f>DataPull!D5778</f>
        <v/>
      </c>
      <c r="G5778" s="94" t="str">
        <f t="shared" si="2"/>
        <v/>
      </c>
      <c r="H5778" s="94" t="str">
        <f t="shared" si="3"/>
        <v/>
      </c>
      <c r="I5778" s="94" t="str">
        <f t="shared" ref="I5778:J5778" si="5779">if(G5778 = "", , -G5778)</f>
        <v/>
      </c>
      <c r="J5778" s="94" t="str">
        <f t="shared" si="5779"/>
        <v/>
      </c>
      <c r="K5778" s="100"/>
      <c r="M5778" s="100"/>
      <c r="N5778" s="100"/>
      <c r="O5778" s="100"/>
      <c r="P5778" s="100"/>
    </row>
    <row r="5779">
      <c r="A5779" s="107">
        <v>1630240.0</v>
      </c>
      <c r="B5779" s="116" t="s">
        <v>245</v>
      </c>
      <c r="C5779" s="116" t="s">
        <v>1403</v>
      </c>
      <c r="D5779" s="24" t="s">
        <v>187</v>
      </c>
      <c r="E5779" s="24">
        <v>184.8</v>
      </c>
      <c r="F5779" s="111" t="str">
        <f>DataPull!D5779</f>
        <v/>
      </c>
      <c r="G5779" s="94" t="str">
        <f t="shared" si="2"/>
        <v/>
      </c>
      <c r="H5779" s="94" t="str">
        <f t="shared" si="3"/>
        <v/>
      </c>
      <c r="I5779" s="94" t="str">
        <f t="shared" ref="I5779:J5779" si="5780">if(G5779 = "", , -G5779)</f>
        <v/>
      </c>
      <c r="J5779" s="94" t="str">
        <f t="shared" si="5780"/>
        <v/>
      </c>
      <c r="K5779" s="100"/>
      <c r="M5779" s="100"/>
      <c r="N5779" s="100"/>
      <c r="O5779" s="100"/>
      <c r="P5779" s="100"/>
    </row>
    <row r="5780">
      <c r="A5780" s="107">
        <v>1630241.0</v>
      </c>
      <c r="B5780" s="116" t="s">
        <v>243</v>
      </c>
      <c r="C5780" s="116" t="s">
        <v>1404</v>
      </c>
      <c r="D5780" s="24" t="s">
        <v>187</v>
      </c>
      <c r="E5780" s="24">
        <v>234.0</v>
      </c>
      <c r="F5780" s="111" t="str">
        <f>DataPull!D5780</f>
        <v/>
      </c>
      <c r="G5780" s="94" t="str">
        <f t="shared" si="2"/>
        <v/>
      </c>
      <c r="H5780" s="94" t="str">
        <f t="shared" si="3"/>
        <v/>
      </c>
      <c r="I5780" s="94" t="str">
        <f t="shared" ref="I5780:J5780" si="5781">if(G5780 = "", , -G5780)</f>
        <v/>
      </c>
      <c r="J5780" s="94" t="str">
        <f t="shared" si="5781"/>
        <v/>
      </c>
      <c r="K5780" s="100"/>
      <c r="M5780" s="100"/>
      <c r="N5780" s="100"/>
      <c r="O5780" s="100"/>
      <c r="P5780" s="100"/>
    </row>
    <row r="5781">
      <c r="A5781" s="107">
        <v>1630241.0</v>
      </c>
      <c r="B5781" s="116" t="s">
        <v>215</v>
      </c>
      <c r="C5781" s="116" t="s">
        <v>1404</v>
      </c>
      <c r="D5781" s="24" t="s">
        <v>181</v>
      </c>
      <c r="E5781" s="24">
        <v>57.6</v>
      </c>
      <c r="F5781" s="111" t="str">
        <f>DataPull!D5781</f>
        <v/>
      </c>
      <c r="G5781" s="94" t="str">
        <f t="shared" si="2"/>
        <v/>
      </c>
      <c r="H5781" s="94" t="str">
        <f t="shared" si="3"/>
        <v/>
      </c>
      <c r="I5781" s="94" t="str">
        <f t="shared" ref="I5781:J5781" si="5782">if(G5781 = "", , -G5781)</f>
        <v/>
      </c>
      <c r="J5781" s="94" t="str">
        <f t="shared" si="5782"/>
        <v/>
      </c>
      <c r="K5781" s="100"/>
      <c r="M5781" s="100"/>
      <c r="N5781" s="100"/>
      <c r="O5781" s="100"/>
      <c r="P5781" s="100"/>
    </row>
    <row r="5782">
      <c r="A5782" s="107">
        <v>1630241.0</v>
      </c>
      <c r="B5782" s="116" t="s">
        <v>244</v>
      </c>
      <c r="C5782" s="116" t="s">
        <v>1404</v>
      </c>
      <c r="D5782" s="24" t="s">
        <v>181</v>
      </c>
      <c r="E5782" s="24">
        <v>58.5</v>
      </c>
      <c r="F5782" s="111" t="str">
        <f>DataPull!D5782</f>
        <v/>
      </c>
      <c r="G5782" s="94" t="str">
        <f t="shared" si="2"/>
        <v/>
      </c>
      <c r="H5782" s="94" t="str">
        <f t="shared" si="3"/>
        <v/>
      </c>
      <c r="I5782" s="94" t="str">
        <f t="shared" ref="I5782:J5782" si="5783">if(G5782 = "", , -G5782)</f>
        <v/>
      </c>
      <c r="J5782" s="94" t="str">
        <f t="shared" si="5783"/>
        <v/>
      </c>
      <c r="K5782" s="100"/>
      <c r="M5782" s="100"/>
      <c r="N5782" s="100"/>
      <c r="O5782" s="100"/>
      <c r="P5782" s="100"/>
    </row>
    <row r="5783">
      <c r="A5783" s="107">
        <v>1630241.0</v>
      </c>
      <c r="B5783" s="116" t="s">
        <v>245</v>
      </c>
      <c r="C5783" s="116" t="s">
        <v>1404</v>
      </c>
      <c r="D5783" s="24" t="s">
        <v>177</v>
      </c>
      <c r="E5783" s="24">
        <v>1067.5</v>
      </c>
      <c r="F5783" s="111" t="str">
        <f>DataPull!D5783</f>
        <v/>
      </c>
      <c r="G5783" s="94" t="str">
        <f t="shared" si="2"/>
        <v/>
      </c>
      <c r="H5783" s="94" t="str">
        <f t="shared" si="3"/>
        <v/>
      </c>
      <c r="I5783" s="94" t="str">
        <f t="shared" ref="I5783:J5783" si="5784">if(G5783 = "", , -G5783)</f>
        <v/>
      </c>
      <c r="J5783" s="94" t="str">
        <f t="shared" si="5784"/>
        <v/>
      </c>
      <c r="K5783" s="100"/>
      <c r="M5783" s="100"/>
      <c r="N5783" s="100"/>
      <c r="O5783" s="100"/>
      <c r="P5783" s="100"/>
    </row>
    <row r="5784">
      <c r="A5784" s="107">
        <v>1630241.0</v>
      </c>
      <c r="B5784" s="116" t="s">
        <v>246</v>
      </c>
      <c r="C5784" s="116" t="s">
        <v>1404</v>
      </c>
      <c r="D5784" s="24" t="s">
        <v>176</v>
      </c>
      <c r="E5784" s="24">
        <v>1398.7</v>
      </c>
      <c r="F5784" s="111" t="str">
        <f>DataPull!D5784</f>
        <v/>
      </c>
      <c r="G5784" s="94" t="str">
        <f t="shared" si="2"/>
        <v/>
      </c>
      <c r="H5784" s="94" t="str">
        <f t="shared" si="3"/>
        <v/>
      </c>
      <c r="I5784" s="94" t="str">
        <f t="shared" ref="I5784:J5784" si="5785">if(G5784 = "", , -G5784)</f>
        <v/>
      </c>
      <c r="J5784" s="94" t="str">
        <f t="shared" si="5785"/>
        <v/>
      </c>
      <c r="K5784" s="100"/>
      <c r="M5784" s="100"/>
      <c r="N5784" s="100"/>
      <c r="O5784" s="100"/>
      <c r="P5784" s="100"/>
    </row>
    <row r="5785">
      <c r="A5785" s="114">
        <v>1630241.0</v>
      </c>
      <c r="B5785" s="131" t="s">
        <v>247</v>
      </c>
      <c r="C5785" s="131" t="s">
        <v>1404</v>
      </c>
      <c r="D5785" s="24" t="s">
        <v>176</v>
      </c>
      <c r="E5785" s="24">
        <v>1378.0</v>
      </c>
      <c r="F5785" s="111" t="str">
        <f>DataPull!D5785</f>
        <v/>
      </c>
      <c r="G5785" s="94" t="str">
        <f t="shared" si="2"/>
        <v/>
      </c>
      <c r="H5785" s="94" t="str">
        <f t="shared" si="3"/>
        <v/>
      </c>
      <c r="I5785" s="94" t="str">
        <f t="shared" ref="I5785:J5785" si="5786">if(G5785 = "", , -G5785)</f>
        <v/>
      </c>
      <c r="J5785" s="94" t="str">
        <f t="shared" si="5786"/>
        <v/>
      </c>
      <c r="K5785" s="100"/>
      <c r="M5785" s="100"/>
      <c r="N5785" s="100"/>
      <c r="O5785" s="100"/>
      <c r="P5785" s="100"/>
    </row>
    <row r="5786">
      <c r="A5786" s="107">
        <v>1630243.0</v>
      </c>
      <c r="B5786" s="116" t="s">
        <v>215</v>
      </c>
      <c r="C5786" s="116" t="s">
        <v>1405</v>
      </c>
      <c r="D5786" s="24" t="s">
        <v>187</v>
      </c>
      <c r="E5786" s="24">
        <v>74.0</v>
      </c>
      <c r="F5786" s="111" t="str">
        <f>DataPull!D5786</f>
        <v/>
      </c>
      <c r="G5786" s="94" t="str">
        <f t="shared" si="2"/>
        <v/>
      </c>
      <c r="H5786" s="94" t="str">
        <f t="shared" si="3"/>
        <v/>
      </c>
      <c r="I5786" s="94" t="str">
        <f t="shared" ref="I5786:J5786" si="5787">if(G5786 = "", , -G5786)</f>
        <v/>
      </c>
      <c r="J5786" s="94" t="str">
        <f t="shared" si="5787"/>
        <v/>
      </c>
      <c r="K5786" s="100"/>
      <c r="M5786" s="100"/>
      <c r="N5786" s="100"/>
      <c r="O5786" s="100"/>
      <c r="P5786" s="100"/>
    </row>
    <row r="5787">
      <c r="A5787" s="107">
        <v>1630243.0</v>
      </c>
      <c r="B5787" s="116" t="s">
        <v>244</v>
      </c>
      <c r="C5787" s="116" t="s">
        <v>1405</v>
      </c>
      <c r="D5787" s="24" t="s">
        <v>181</v>
      </c>
      <c r="E5787" s="24">
        <v>70.0</v>
      </c>
      <c r="F5787" s="111" t="str">
        <f>DataPull!D5787</f>
        <v/>
      </c>
      <c r="G5787" s="94" t="str">
        <f t="shared" si="2"/>
        <v/>
      </c>
      <c r="H5787" s="94" t="str">
        <f t="shared" si="3"/>
        <v/>
      </c>
      <c r="I5787" s="94" t="str">
        <f t="shared" ref="I5787:J5787" si="5788">if(G5787 = "", , -G5787)</f>
        <v/>
      </c>
      <c r="J5787" s="94" t="str">
        <f t="shared" si="5788"/>
        <v/>
      </c>
      <c r="K5787" s="100"/>
      <c r="M5787" s="100"/>
      <c r="N5787" s="100"/>
      <c r="O5787" s="100"/>
      <c r="P5787" s="100"/>
    </row>
    <row r="5788">
      <c r="A5788" s="107">
        <v>1630243.0</v>
      </c>
      <c r="B5788" s="116" t="s">
        <v>245</v>
      </c>
      <c r="C5788" s="116" t="s">
        <v>1405</v>
      </c>
      <c r="D5788" s="24" t="s">
        <v>187</v>
      </c>
      <c r="E5788" s="24">
        <v>165.2</v>
      </c>
      <c r="F5788" s="111" t="str">
        <f>DataPull!D5788</f>
        <v/>
      </c>
      <c r="G5788" s="94" t="str">
        <f t="shared" si="2"/>
        <v/>
      </c>
      <c r="H5788" s="94" t="str">
        <f t="shared" si="3"/>
        <v/>
      </c>
      <c r="I5788" s="94" t="str">
        <f t="shared" ref="I5788:J5788" si="5789">if(G5788 = "", , -G5788)</f>
        <v/>
      </c>
      <c r="J5788" s="94" t="str">
        <f t="shared" si="5789"/>
        <v/>
      </c>
      <c r="K5788" s="100"/>
      <c r="M5788" s="100"/>
      <c r="N5788" s="100"/>
      <c r="O5788" s="100"/>
      <c r="P5788" s="100"/>
    </row>
    <row r="5789">
      <c r="A5789" s="107">
        <v>1630243.0</v>
      </c>
      <c r="B5789" s="116" t="s">
        <v>246</v>
      </c>
      <c r="C5789" s="116" t="s">
        <v>1405</v>
      </c>
      <c r="D5789" s="24" t="s">
        <v>177</v>
      </c>
      <c r="E5789" s="24">
        <v>430.9</v>
      </c>
      <c r="F5789" s="111" t="str">
        <f>DataPull!D5789</f>
        <v/>
      </c>
      <c r="G5789" s="94" t="str">
        <f t="shared" si="2"/>
        <v/>
      </c>
      <c r="H5789" s="94" t="str">
        <f t="shared" si="3"/>
        <v/>
      </c>
      <c r="I5789" s="94" t="str">
        <f t="shared" ref="I5789:J5789" si="5790">if(G5789 = "", , -G5789)</f>
        <v/>
      </c>
      <c r="J5789" s="94" t="str">
        <f t="shared" si="5790"/>
        <v/>
      </c>
      <c r="K5789" s="100"/>
      <c r="M5789" s="100"/>
      <c r="N5789" s="100"/>
      <c r="O5789" s="100"/>
      <c r="P5789" s="100"/>
    </row>
    <row r="5790">
      <c r="A5790" s="107">
        <v>1630245.0</v>
      </c>
      <c r="B5790" s="116" t="s">
        <v>215</v>
      </c>
      <c r="C5790" s="116" t="s">
        <v>1406</v>
      </c>
      <c r="D5790" s="24" t="s">
        <v>176</v>
      </c>
      <c r="E5790" s="24">
        <v>2109.8</v>
      </c>
      <c r="F5790" s="111" t="str">
        <f>DataPull!D5790</f>
        <v/>
      </c>
      <c r="G5790" s="94" t="str">
        <f t="shared" si="2"/>
        <v/>
      </c>
      <c r="H5790" s="94" t="str">
        <f t="shared" si="3"/>
        <v/>
      </c>
      <c r="I5790" s="94" t="str">
        <f t="shared" ref="I5790:J5790" si="5791">if(G5790 = "", , -G5790)</f>
        <v/>
      </c>
      <c r="J5790" s="94" t="str">
        <f t="shared" si="5791"/>
        <v/>
      </c>
      <c r="K5790" s="100"/>
      <c r="M5790" s="100"/>
      <c r="N5790" s="100"/>
      <c r="O5790" s="100"/>
      <c r="P5790" s="100"/>
    </row>
    <row r="5791">
      <c r="A5791" s="107">
        <v>1630245.0</v>
      </c>
      <c r="B5791" s="116" t="s">
        <v>244</v>
      </c>
      <c r="C5791" s="116" t="s">
        <v>1406</v>
      </c>
      <c r="D5791" s="24" t="s">
        <v>176</v>
      </c>
      <c r="E5791" s="24">
        <v>2096.0</v>
      </c>
      <c r="F5791" s="111" t="str">
        <f>DataPull!D5791</f>
        <v/>
      </c>
      <c r="G5791" s="94" t="str">
        <f t="shared" si="2"/>
        <v/>
      </c>
      <c r="H5791" s="94" t="str">
        <f t="shared" si="3"/>
        <v/>
      </c>
      <c r="I5791" s="94" t="str">
        <f t="shared" ref="I5791:J5791" si="5792">if(G5791 = "", , -G5791)</f>
        <v/>
      </c>
      <c r="J5791" s="94" t="str">
        <f t="shared" si="5792"/>
        <v/>
      </c>
      <c r="K5791" s="100"/>
      <c r="M5791" s="100"/>
      <c r="N5791" s="100"/>
      <c r="O5791" s="100"/>
      <c r="P5791" s="100"/>
    </row>
    <row r="5792">
      <c r="A5792" s="107">
        <v>1630245.0</v>
      </c>
      <c r="B5792" s="116" t="s">
        <v>245</v>
      </c>
      <c r="C5792" s="116" t="s">
        <v>1406</v>
      </c>
      <c r="D5792" s="24" t="s">
        <v>178</v>
      </c>
      <c r="E5792" s="24">
        <v>2211.6</v>
      </c>
      <c r="F5792" s="111" t="str">
        <f>DataPull!D5792</f>
        <v/>
      </c>
      <c r="G5792" s="94" t="str">
        <f t="shared" si="2"/>
        <v/>
      </c>
      <c r="H5792" s="94" t="str">
        <f t="shared" si="3"/>
        <v/>
      </c>
      <c r="I5792" s="94" t="str">
        <f t="shared" ref="I5792:J5792" si="5793">if(G5792 = "", , -G5792)</f>
        <v/>
      </c>
      <c r="J5792" s="94" t="str">
        <f t="shared" si="5793"/>
        <v/>
      </c>
      <c r="K5792" s="100"/>
      <c r="M5792" s="100"/>
      <c r="N5792" s="100"/>
      <c r="O5792" s="100"/>
      <c r="P5792" s="100"/>
    </row>
    <row r="5793">
      <c r="A5793" s="107">
        <v>1630245.0</v>
      </c>
      <c r="B5793" s="116" t="s">
        <v>246</v>
      </c>
      <c r="C5793" s="116" t="s">
        <v>1406</v>
      </c>
      <c r="D5793" s="24" t="s">
        <v>178</v>
      </c>
      <c r="E5793" s="24">
        <v>1393.8</v>
      </c>
      <c r="F5793" s="111" t="str">
        <f>DataPull!D5793</f>
        <v/>
      </c>
      <c r="G5793" s="94" t="str">
        <f t="shared" si="2"/>
        <v/>
      </c>
      <c r="H5793" s="94" t="str">
        <f t="shared" si="3"/>
        <v/>
      </c>
      <c r="I5793" s="94" t="str">
        <f t="shared" ref="I5793:J5793" si="5794">if(G5793 = "", , -G5793)</f>
        <v/>
      </c>
      <c r="J5793" s="94" t="str">
        <f t="shared" si="5794"/>
        <v/>
      </c>
      <c r="K5793" s="100"/>
      <c r="M5793" s="100"/>
      <c r="N5793" s="100"/>
      <c r="O5793" s="100"/>
      <c r="P5793" s="100"/>
    </row>
    <row r="5794">
      <c r="A5794" s="114">
        <v>1630245.0</v>
      </c>
      <c r="B5794" s="131" t="s">
        <v>247</v>
      </c>
      <c r="C5794" s="131" t="s">
        <v>1406</v>
      </c>
      <c r="D5794" s="24" t="s">
        <v>176</v>
      </c>
      <c r="E5794" s="24">
        <v>1883.7</v>
      </c>
      <c r="F5794" s="111" t="str">
        <f>DataPull!D5794</f>
        <v/>
      </c>
      <c r="G5794" s="94" t="str">
        <f t="shared" si="2"/>
        <v/>
      </c>
      <c r="H5794" s="94" t="str">
        <f t="shared" si="3"/>
        <v/>
      </c>
      <c r="I5794" s="94" t="str">
        <f t="shared" ref="I5794:J5794" si="5795">if(G5794 = "", , -G5794)</f>
        <v/>
      </c>
      <c r="J5794" s="94" t="str">
        <f t="shared" si="5795"/>
        <v/>
      </c>
      <c r="K5794" s="100"/>
      <c r="M5794" s="100"/>
      <c r="N5794" s="100"/>
      <c r="O5794" s="100"/>
      <c r="P5794" s="100"/>
    </row>
    <row r="5795">
      <c r="A5795" s="107">
        <v>1630249.0</v>
      </c>
      <c r="B5795" s="116" t="s">
        <v>215</v>
      </c>
      <c r="C5795" s="116" t="s">
        <v>1407</v>
      </c>
      <c r="D5795" s="24" t="s">
        <v>176</v>
      </c>
      <c r="E5795" s="24">
        <v>690.0</v>
      </c>
      <c r="F5795" s="111" t="str">
        <f>DataPull!D5795</f>
        <v/>
      </c>
      <c r="G5795" s="94" t="str">
        <f t="shared" si="2"/>
        <v/>
      </c>
      <c r="H5795" s="94" t="str">
        <f t="shared" si="3"/>
        <v/>
      </c>
      <c r="I5795" s="94" t="str">
        <f t="shared" ref="I5795:J5795" si="5796">if(G5795 = "", , -G5795)</f>
        <v/>
      </c>
      <c r="J5795" s="94" t="str">
        <f t="shared" si="5796"/>
        <v/>
      </c>
      <c r="K5795" s="100"/>
      <c r="M5795" s="100"/>
      <c r="N5795" s="100"/>
      <c r="O5795" s="100"/>
      <c r="P5795" s="100"/>
    </row>
    <row r="5796">
      <c r="A5796" s="107">
        <v>1630249.0</v>
      </c>
      <c r="B5796" s="116" t="s">
        <v>244</v>
      </c>
      <c r="C5796" s="116" t="s">
        <v>1407</v>
      </c>
      <c r="D5796" s="24" t="s">
        <v>187</v>
      </c>
      <c r="E5796" s="24">
        <v>165.3</v>
      </c>
      <c r="F5796" s="111" t="str">
        <f>DataPull!D5796</f>
        <v/>
      </c>
      <c r="G5796" s="94" t="str">
        <f t="shared" si="2"/>
        <v/>
      </c>
      <c r="H5796" s="94" t="str">
        <f t="shared" si="3"/>
        <v/>
      </c>
      <c r="I5796" s="94" t="str">
        <f t="shared" ref="I5796:J5796" si="5797">if(G5796 = "", , -G5796)</f>
        <v/>
      </c>
      <c r="J5796" s="94" t="str">
        <f t="shared" si="5797"/>
        <v/>
      </c>
      <c r="K5796" s="100"/>
      <c r="M5796" s="100"/>
      <c r="N5796" s="100"/>
      <c r="O5796" s="100"/>
      <c r="P5796" s="100"/>
    </row>
    <row r="5797">
      <c r="A5797" s="107">
        <v>1630249.0</v>
      </c>
      <c r="B5797" s="116" t="s">
        <v>245</v>
      </c>
      <c r="C5797" s="116" t="s">
        <v>1407</v>
      </c>
      <c r="D5797" s="24" t="s">
        <v>176</v>
      </c>
      <c r="E5797" s="24">
        <v>541.2</v>
      </c>
      <c r="F5797" s="111" t="str">
        <f>DataPull!D5797</f>
        <v/>
      </c>
      <c r="G5797" s="94" t="str">
        <f t="shared" si="2"/>
        <v/>
      </c>
      <c r="H5797" s="94" t="str">
        <f t="shared" si="3"/>
        <v/>
      </c>
      <c r="I5797" s="94" t="str">
        <f t="shared" ref="I5797:J5797" si="5798">if(G5797 = "", , -G5797)</f>
        <v/>
      </c>
      <c r="J5797" s="94" t="str">
        <f t="shared" si="5798"/>
        <v/>
      </c>
      <c r="K5797" s="100"/>
      <c r="M5797" s="100"/>
      <c r="N5797" s="100"/>
      <c r="O5797" s="100"/>
      <c r="P5797" s="100"/>
    </row>
    <row r="5798">
      <c r="A5798" s="107">
        <v>1630249.0</v>
      </c>
      <c r="B5798" s="116" t="s">
        <v>246</v>
      </c>
      <c r="C5798" s="116" t="s">
        <v>1407</v>
      </c>
      <c r="D5798" s="24" t="s">
        <v>177</v>
      </c>
      <c r="E5798" s="24">
        <v>1151.4</v>
      </c>
      <c r="F5798" s="111" t="str">
        <f>DataPull!D5798</f>
        <v/>
      </c>
      <c r="G5798" s="94" t="str">
        <f t="shared" si="2"/>
        <v/>
      </c>
      <c r="H5798" s="94" t="str">
        <f t="shared" si="3"/>
        <v/>
      </c>
      <c r="I5798" s="94" t="str">
        <f t="shared" ref="I5798:J5798" si="5799">if(G5798 = "", , -G5798)</f>
        <v/>
      </c>
      <c r="J5798" s="94" t="str">
        <f t="shared" si="5799"/>
        <v/>
      </c>
      <c r="K5798" s="100"/>
      <c r="M5798" s="100"/>
      <c r="N5798" s="100"/>
      <c r="O5798" s="100"/>
      <c r="P5798" s="100"/>
    </row>
    <row r="5799">
      <c r="A5799" s="114">
        <v>1630249.0</v>
      </c>
      <c r="B5799" s="131" t="s">
        <v>247</v>
      </c>
      <c r="C5799" s="116" t="s">
        <v>1407</v>
      </c>
      <c r="D5799" s="24" t="s">
        <v>176</v>
      </c>
      <c r="E5799" s="24">
        <v>1391.0</v>
      </c>
      <c r="F5799" s="111" t="str">
        <f>DataPull!D5799</f>
        <v/>
      </c>
      <c r="G5799" s="94" t="str">
        <f t="shared" si="2"/>
        <v/>
      </c>
      <c r="H5799" s="94" t="str">
        <f t="shared" si="3"/>
        <v/>
      </c>
      <c r="I5799" s="94" t="str">
        <f t="shared" ref="I5799:J5799" si="5800">if(G5799 = "", , -G5799)</f>
        <v/>
      </c>
      <c r="J5799" s="94" t="str">
        <f t="shared" si="5800"/>
        <v/>
      </c>
      <c r="K5799" s="100"/>
      <c r="M5799" s="100"/>
      <c r="N5799" s="100"/>
      <c r="O5799" s="100"/>
      <c r="P5799" s="100"/>
    </row>
    <row r="5800">
      <c r="A5800" s="107">
        <v>1630250.0</v>
      </c>
      <c r="B5800" s="116" t="s">
        <v>215</v>
      </c>
      <c r="C5800" s="116" t="s">
        <v>1408</v>
      </c>
      <c r="D5800" s="24" t="s">
        <v>187</v>
      </c>
      <c r="E5800" s="24">
        <v>35.1</v>
      </c>
      <c r="F5800" s="111" t="str">
        <f>DataPull!D5800</f>
        <v/>
      </c>
      <c r="G5800" s="94" t="str">
        <f t="shared" si="2"/>
        <v/>
      </c>
      <c r="H5800" s="94" t="str">
        <f t="shared" si="3"/>
        <v/>
      </c>
      <c r="I5800" s="94" t="str">
        <f t="shared" ref="I5800:J5800" si="5801">if(G5800 = "", , -G5800)</f>
        <v/>
      </c>
      <c r="J5800" s="94" t="str">
        <f t="shared" si="5801"/>
        <v/>
      </c>
      <c r="K5800" s="100"/>
      <c r="M5800" s="100"/>
      <c r="N5800" s="100"/>
      <c r="O5800" s="100"/>
      <c r="P5800" s="100"/>
    </row>
    <row r="5801">
      <c r="A5801" s="107">
        <v>1630250.0</v>
      </c>
      <c r="B5801" s="116" t="s">
        <v>244</v>
      </c>
      <c r="C5801" s="116" t="s">
        <v>1408</v>
      </c>
      <c r="D5801" s="24" t="s">
        <v>181</v>
      </c>
      <c r="E5801" s="24">
        <v>19.6</v>
      </c>
      <c r="F5801" s="111" t="str">
        <f>DataPull!D5801</f>
        <v/>
      </c>
      <c r="G5801" s="94" t="str">
        <f t="shared" si="2"/>
        <v/>
      </c>
      <c r="H5801" s="94" t="str">
        <f t="shared" si="3"/>
        <v/>
      </c>
      <c r="I5801" s="94" t="str">
        <f t="shared" ref="I5801:J5801" si="5802">if(G5801 = "", , -G5801)</f>
        <v/>
      </c>
      <c r="J5801" s="94" t="str">
        <f t="shared" si="5802"/>
        <v/>
      </c>
      <c r="K5801" s="100"/>
      <c r="M5801" s="100"/>
      <c r="N5801" s="100"/>
      <c r="O5801" s="100"/>
      <c r="P5801" s="100"/>
    </row>
    <row r="5802">
      <c r="A5802" s="107">
        <v>1630253.0</v>
      </c>
      <c r="B5802" s="116" t="s">
        <v>243</v>
      </c>
      <c r="C5802" s="116" t="s">
        <v>1409</v>
      </c>
      <c r="D5802" s="24" t="s">
        <v>187</v>
      </c>
      <c r="E5802" s="24">
        <v>158.4</v>
      </c>
      <c r="F5802" s="111" t="str">
        <f>DataPull!D5802</f>
        <v/>
      </c>
      <c r="G5802" s="94" t="str">
        <f t="shared" si="2"/>
        <v/>
      </c>
      <c r="H5802" s="94" t="str">
        <f t="shared" si="3"/>
        <v/>
      </c>
      <c r="I5802" s="94" t="str">
        <f t="shared" ref="I5802:J5802" si="5803">if(G5802 = "", , -G5802)</f>
        <v/>
      </c>
      <c r="J5802" s="94" t="str">
        <f t="shared" si="5803"/>
        <v/>
      </c>
      <c r="K5802" s="100"/>
      <c r="M5802" s="100"/>
      <c r="N5802" s="100"/>
      <c r="O5802" s="100"/>
      <c r="P5802" s="100"/>
    </row>
    <row r="5803">
      <c r="A5803" s="107">
        <v>1630256.0</v>
      </c>
      <c r="B5803" s="116" t="s">
        <v>243</v>
      </c>
      <c r="C5803" s="116" t="s">
        <v>1410</v>
      </c>
      <c r="D5803" s="24" t="s">
        <v>176</v>
      </c>
      <c r="E5803" s="24">
        <v>2044.0</v>
      </c>
      <c r="F5803" s="111" t="str">
        <f>DataPull!D5803</f>
        <v/>
      </c>
      <c r="G5803" s="94" t="str">
        <f t="shared" si="2"/>
        <v/>
      </c>
      <c r="H5803" s="94" t="str">
        <f t="shared" si="3"/>
        <v/>
      </c>
      <c r="I5803" s="94" t="str">
        <f t="shared" ref="I5803:J5803" si="5804">if(G5803 = "", , -G5803)</f>
        <v/>
      </c>
      <c r="J5803" s="94" t="str">
        <f t="shared" si="5804"/>
        <v/>
      </c>
      <c r="K5803" s="100"/>
      <c r="M5803" s="100"/>
      <c r="N5803" s="100"/>
      <c r="O5803" s="100"/>
      <c r="P5803" s="100"/>
    </row>
    <row r="5804">
      <c r="A5804" s="107">
        <v>1630256.0</v>
      </c>
      <c r="B5804" s="116" t="s">
        <v>215</v>
      </c>
      <c r="C5804" s="116" t="s">
        <v>1410</v>
      </c>
      <c r="D5804" s="24" t="s">
        <v>176</v>
      </c>
      <c r="E5804" s="24">
        <v>2059.2</v>
      </c>
      <c r="F5804" s="111" t="str">
        <f>DataPull!D5804</f>
        <v/>
      </c>
      <c r="G5804" s="94" t="str">
        <f t="shared" si="2"/>
        <v/>
      </c>
      <c r="H5804" s="94" t="str">
        <f t="shared" si="3"/>
        <v/>
      </c>
      <c r="I5804" s="94" t="str">
        <f t="shared" ref="I5804:J5804" si="5805">if(G5804 = "", , -G5804)</f>
        <v/>
      </c>
      <c r="J5804" s="94" t="str">
        <f t="shared" si="5805"/>
        <v/>
      </c>
      <c r="K5804" s="100"/>
      <c r="M5804" s="100"/>
      <c r="N5804" s="100"/>
      <c r="O5804" s="100"/>
      <c r="P5804" s="100"/>
    </row>
    <row r="5805">
      <c r="A5805" s="107">
        <v>1630256.0</v>
      </c>
      <c r="B5805" s="116" t="s">
        <v>244</v>
      </c>
      <c r="C5805" s="116" t="s">
        <v>1410</v>
      </c>
      <c r="D5805" s="24" t="s">
        <v>176</v>
      </c>
      <c r="E5805" s="24">
        <v>678.9</v>
      </c>
      <c r="F5805" s="111" t="str">
        <f>DataPull!D5805</f>
        <v/>
      </c>
      <c r="G5805" s="94" t="str">
        <f t="shared" si="2"/>
        <v/>
      </c>
      <c r="H5805" s="94" t="str">
        <f t="shared" si="3"/>
        <v/>
      </c>
      <c r="I5805" s="94" t="str">
        <f t="shared" ref="I5805:J5805" si="5806">if(G5805 = "", , -G5805)</f>
        <v/>
      </c>
      <c r="J5805" s="94" t="str">
        <f t="shared" si="5806"/>
        <v/>
      </c>
      <c r="K5805" s="100"/>
      <c r="M5805" s="100"/>
      <c r="N5805" s="100"/>
      <c r="O5805" s="100"/>
      <c r="P5805" s="100"/>
    </row>
    <row r="5806">
      <c r="A5806" s="107">
        <v>1630256.0</v>
      </c>
      <c r="B5806" s="116" t="s">
        <v>245</v>
      </c>
      <c r="C5806" s="116" t="s">
        <v>1410</v>
      </c>
      <c r="D5806" s="24" t="s">
        <v>177</v>
      </c>
      <c r="E5806" s="24">
        <v>1033.5</v>
      </c>
      <c r="F5806" s="111" t="str">
        <f>DataPull!D5806</f>
        <v/>
      </c>
      <c r="G5806" s="94" t="str">
        <f t="shared" si="2"/>
        <v/>
      </c>
      <c r="H5806" s="94" t="str">
        <f t="shared" si="3"/>
        <v/>
      </c>
      <c r="I5806" s="94" t="str">
        <f t="shared" ref="I5806:J5806" si="5807">if(G5806 = "", , -G5806)</f>
        <v/>
      </c>
      <c r="J5806" s="94" t="str">
        <f t="shared" si="5807"/>
        <v/>
      </c>
      <c r="K5806" s="100"/>
      <c r="M5806" s="100"/>
      <c r="N5806" s="100"/>
      <c r="O5806" s="100"/>
      <c r="P5806" s="100"/>
    </row>
    <row r="5807">
      <c r="A5807" s="107">
        <v>1630256.0</v>
      </c>
      <c r="B5807" s="116" t="s">
        <v>246</v>
      </c>
      <c r="C5807" s="116" t="s">
        <v>1410</v>
      </c>
      <c r="D5807" s="24" t="s">
        <v>177</v>
      </c>
      <c r="E5807" s="24">
        <v>587.6</v>
      </c>
      <c r="F5807" s="111" t="str">
        <f>DataPull!D5807</f>
        <v/>
      </c>
      <c r="G5807" s="94" t="str">
        <f t="shared" si="2"/>
        <v/>
      </c>
      <c r="H5807" s="94" t="str">
        <f t="shared" si="3"/>
        <v/>
      </c>
      <c r="I5807" s="94" t="str">
        <f t="shared" ref="I5807:J5807" si="5808">if(G5807 = "", , -G5807)</f>
        <v/>
      </c>
      <c r="J5807" s="94" t="str">
        <f t="shared" si="5808"/>
        <v/>
      </c>
      <c r="K5807" s="100"/>
      <c r="M5807" s="100"/>
      <c r="N5807" s="100"/>
      <c r="O5807" s="100"/>
      <c r="P5807" s="100"/>
    </row>
    <row r="5808">
      <c r="A5808" s="114">
        <v>1630256.0</v>
      </c>
      <c r="B5808" s="131" t="s">
        <v>247</v>
      </c>
      <c r="C5808" s="116" t="s">
        <v>1410</v>
      </c>
      <c r="D5808" s="24" t="s">
        <v>187</v>
      </c>
      <c r="E5808" s="24">
        <v>404.8</v>
      </c>
      <c r="F5808" s="111" t="str">
        <f>DataPull!D5808</f>
        <v/>
      </c>
      <c r="G5808" s="94" t="str">
        <f t="shared" si="2"/>
        <v/>
      </c>
      <c r="H5808" s="94" t="str">
        <f t="shared" si="3"/>
        <v/>
      </c>
      <c r="I5808" s="94" t="str">
        <f t="shared" ref="I5808:J5808" si="5809">if(G5808 = "", , -G5808)</f>
        <v/>
      </c>
      <c r="J5808" s="94" t="str">
        <f t="shared" si="5809"/>
        <v/>
      </c>
      <c r="K5808" s="100"/>
      <c r="M5808" s="100"/>
      <c r="N5808" s="100"/>
      <c r="O5808" s="100"/>
      <c r="P5808" s="100"/>
    </row>
    <row r="5809">
      <c r="A5809" s="107">
        <v>1630257.0</v>
      </c>
      <c r="B5809" s="116" t="s">
        <v>215</v>
      </c>
      <c r="C5809" s="116" t="s">
        <v>1411</v>
      </c>
      <c r="D5809" s="24" t="s">
        <v>181</v>
      </c>
      <c r="E5809" s="24">
        <v>7.8</v>
      </c>
      <c r="F5809" s="111" t="str">
        <f>DataPull!D5809</f>
        <v/>
      </c>
      <c r="G5809" s="94" t="str">
        <f t="shared" si="2"/>
        <v/>
      </c>
      <c r="H5809" s="94" t="str">
        <f t="shared" si="3"/>
        <v/>
      </c>
      <c r="I5809" s="94" t="str">
        <f t="shared" ref="I5809:J5809" si="5810">if(G5809 = "", , -G5809)</f>
        <v/>
      </c>
      <c r="J5809" s="94" t="str">
        <f t="shared" si="5810"/>
        <v/>
      </c>
      <c r="K5809" s="100"/>
      <c r="M5809" s="100"/>
      <c r="N5809" s="100"/>
      <c r="O5809" s="100"/>
      <c r="P5809" s="100"/>
    </row>
    <row r="5810">
      <c r="A5810" s="107">
        <v>1630259.0</v>
      </c>
      <c r="B5810" s="116" t="s">
        <v>245</v>
      </c>
      <c r="C5810" s="116" t="s">
        <v>1412</v>
      </c>
      <c r="D5810" s="24" t="s">
        <v>181</v>
      </c>
      <c r="E5810" s="24">
        <v>21.6</v>
      </c>
      <c r="F5810" s="111" t="str">
        <f>DataPull!D5810</f>
        <v/>
      </c>
      <c r="G5810" s="94" t="str">
        <f t="shared" si="2"/>
        <v/>
      </c>
      <c r="H5810" s="94" t="str">
        <f t="shared" si="3"/>
        <v/>
      </c>
      <c r="I5810" s="94" t="str">
        <f t="shared" ref="I5810:J5810" si="5811">if(G5810 = "", , -G5810)</f>
        <v/>
      </c>
      <c r="J5810" s="94" t="str">
        <f t="shared" si="5811"/>
        <v/>
      </c>
      <c r="K5810" s="100"/>
      <c r="M5810" s="100"/>
      <c r="N5810" s="100"/>
      <c r="O5810" s="100"/>
      <c r="P5810" s="100"/>
    </row>
    <row r="5811">
      <c r="A5811" s="107">
        <v>1630264.0</v>
      </c>
      <c r="B5811" s="116" t="s">
        <v>243</v>
      </c>
      <c r="C5811" s="116" t="s">
        <v>1413</v>
      </c>
      <c r="D5811" s="24" t="s">
        <v>187</v>
      </c>
      <c r="E5811" s="24">
        <v>218.4</v>
      </c>
      <c r="F5811" s="111" t="str">
        <f>DataPull!D5811</f>
        <v/>
      </c>
      <c r="G5811" s="94" t="str">
        <f t="shared" si="2"/>
        <v/>
      </c>
      <c r="H5811" s="94" t="str">
        <f t="shared" si="3"/>
        <v/>
      </c>
      <c r="I5811" s="94" t="str">
        <f t="shared" ref="I5811:J5811" si="5812">if(G5811 = "", , -G5811)</f>
        <v/>
      </c>
      <c r="J5811" s="94" t="str">
        <f t="shared" si="5812"/>
        <v/>
      </c>
      <c r="K5811" s="100"/>
      <c r="M5811" s="100"/>
      <c r="N5811" s="100"/>
      <c r="O5811" s="100"/>
      <c r="P5811" s="100"/>
    </row>
    <row r="5812">
      <c r="A5812" s="107">
        <v>1630264.0</v>
      </c>
      <c r="B5812" s="116" t="s">
        <v>215</v>
      </c>
      <c r="C5812" s="116" t="s">
        <v>1413</v>
      </c>
      <c r="D5812" s="24" t="s">
        <v>177</v>
      </c>
      <c r="E5812" s="24">
        <v>462.0</v>
      </c>
      <c r="F5812" s="111" t="str">
        <f>DataPull!D5812</f>
        <v/>
      </c>
      <c r="G5812" s="94" t="str">
        <f t="shared" si="2"/>
        <v/>
      </c>
      <c r="H5812" s="94" t="str">
        <f t="shared" si="3"/>
        <v/>
      </c>
      <c r="I5812" s="94" t="str">
        <f t="shared" ref="I5812:J5812" si="5813">if(G5812 = "", , -G5812)</f>
        <v/>
      </c>
      <c r="J5812" s="94" t="str">
        <f t="shared" si="5813"/>
        <v/>
      </c>
      <c r="K5812" s="100"/>
      <c r="M5812" s="100"/>
      <c r="N5812" s="100"/>
      <c r="O5812" s="100"/>
      <c r="P5812" s="100"/>
    </row>
    <row r="5813">
      <c r="A5813" s="107">
        <v>1630264.0</v>
      </c>
      <c r="B5813" s="116" t="s">
        <v>244</v>
      </c>
      <c r="C5813" s="116" t="s">
        <v>1413</v>
      </c>
      <c r="D5813" s="24" t="s">
        <v>177</v>
      </c>
      <c r="E5813" s="24">
        <v>625.4</v>
      </c>
      <c r="F5813" s="111" t="str">
        <f>DataPull!D5813</f>
        <v/>
      </c>
      <c r="G5813" s="94" t="str">
        <f t="shared" si="2"/>
        <v/>
      </c>
      <c r="H5813" s="94" t="str">
        <f t="shared" si="3"/>
        <v/>
      </c>
      <c r="I5813" s="94" t="str">
        <f t="shared" ref="I5813:J5813" si="5814">if(G5813 = "", , -G5813)</f>
        <v/>
      </c>
      <c r="J5813" s="94" t="str">
        <f t="shared" si="5814"/>
        <v/>
      </c>
      <c r="K5813" s="100"/>
      <c r="M5813" s="100"/>
      <c r="N5813" s="100"/>
      <c r="O5813" s="100"/>
      <c r="P5813" s="100"/>
    </row>
    <row r="5814">
      <c r="A5814" s="136">
        <v>1630264.0</v>
      </c>
      <c r="B5814" s="116" t="s">
        <v>245</v>
      </c>
      <c r="C5814" s="137" t="s">
        <v>1413</v>
      </c>
      <c r="D5814" s="24" t="s">
        <v>187</v>
      </c>
      <c r="E5814" s="24">
        <v>465.0</v>
      </c>
      <c r="F5814" s="111" t="str">
        <f>DataPull!D5814</f>
        <v/>
      </c>
      <c r="G5814" s="94" t="str">
        <f t="shared" si="2"/>
        <v/>
      </c>
      <c r="H5814" s="94" t="str">
        <f t="shared" si="3"/>
        <v/>
      </c>
      <c r="I5814" s="94" t="str">
        <f t="shared" ref="I5814:J5814" si="5815">if(G5814 = "", , -G5814)</f>
        <v/>
      </c>
      <c r="J5814" s="94" t="str">
        <f t="shared" si="5815"/>
        <v/>
      </c>
      <c r="K5814" s="100"/>
      <c r="M5814" s="100"/>
      <c r="N5814" s="100"/>
      <c r="O5814" s="100"/>
      <c r="P5814" s="100"/>
    </row>
    <row r="5815">
      <c r="A5815" s="107">
        <v>1630264.0</v>
      </c>
      <c r="B5815" s="116" t="s">
        <v>246</v>
      </c>
      <c r="C5815" s="116" t="s">
        <v>1413</v>
      </c>
      <c r="D5815" s="24" t="s">
        <v>187</v>
      </c>
      <c r="E5815" s="24">
        <v>397.8</v>
      </c>
      <c r="F5815" s="111" t="str">
        <f>DataPull!D5815</f>
        <v/>
      </c>
      <c r="G5815" s="94" t="str">
        <f t="shared" si="2"/>
        <v/>
      </c>
      <c r="H5815" s="94" t="str">
        <f t="shared" si="3"/>
        <v/>
      </c>
      <c r="I5815" s="94" t="str">
        <f t="shared" ref="I5815:J5815" si="5816">if(G5815 = "", , -G5815)</f>
        <v/>
      </c>
      <c r="J5815" s="94" t="str">
        <f t="shared" si="5816"/>
        <v/>
      </c>
      <c r="K5815" s="100"/>
      <c r="M5815" s="100"/>
      <c r="N5815" s="100"/>
      <c r="O5815" s="100"/>
      <c r="P5815" s="100"/>
    </row>
    <row r="5816">
      <c r="A5816" s="114">
        <v>1630264.0</v>
      </c>
      <c r="B5816" s="131" t="s">
        <v>247</v>
      </c>
      <c r="C5816" s="131" t="s">
        <v>1413</v>
      </c>
      <c r="D5816" s="24" t="s">
        <v>187</v>
      </c>
      <c r="E5816" s="24">
        <v>951.5</v>
      </c>
      <c r="F5816" s="111" t="str">
        <f>DataPull!D5816</f>
        <v/>
      </c>
      <c r="G5816" s="94" t="str">
        <f t="shared" si="2"/>
        <v/>
      </c>
      <c r="H5816" s="94" t="str">
        <f t="shared" si="3"/>
        <v/>
      </c>
      <c r="I5816" s="94" t="str">
        <f t="shared" ref="I5816:J5816" si="5817">if(G5816 = "", , -G5816)</f>
        <v/>
      </c>
      <c r="J5816" s="94" t="str">
        <f t="shared" si="5817"/>
        <v/>
      </c>
      <c r="K5816" s="100"/>
      <c r="M5816" s="100"/>
      <c r="N5816" s="100"/>
      <c r="O5816" s="100"/>
      <c r="P5816" s="100"/>
    </row>
    <row r="5817">
      <c r="A5817" s="107">
        <v>1630266.0</v>
      </c>
      <c r="B5817" s="116" t="s">
        <v>243</v>
      </c>
      <c r="C5817" s="116" t="s">
        <v>1414</v>
      </c>
      <c r="D5817" s="24" t="s">
        <v>181</v>
      </c>
      <c r="E5817" s="24">
        <v>3.3</v>
      </c>
      <c r="F5817" s="111" t="str">
        <f>DataPull!D5817</f>
        <v/>
      </c>
      <c r="G5817" s="94" t="str">
        <f t="shared" si="2"/>
        <v/>
      </c>
      <c r="H5817" s="94" t="str">
        <f t="shared" si="3"/>
        <v/>
      </c>
      <c r="I5817" s="94" t="str">
        <f t="shared" ref="I5817:J5817" si="5818">if(G5817 = "", , -G5817)</f>
        <v/>
      </c>
      <c r="J5817" s="94" t="str">
        <f t="shared" si="5818"/>
        <v/>
      </c>
      <c r="K5817" s="100"/>
      <c r="M5817" s="100"/>
      <c r="N5817" s="100"/>
      <c r="O5817" s="100"/>
      <c r="P5817" s="100"/>
    </row>
    <row r="5818">
      <c r="A5818" s="107">
        <v>1630267.0</v>
      </c>
      <c r="B5818" s="116" t="s">
        <v>243</v>
      </c>
      <c r="C5818" s="116" t="s">
        <v>1415</v>
      </c>
      <c r="D5818" s="24" t="s">
        <v>176</v>
      </c>
      <c r="E5818" s="24">
        <v>1423.5</v>
      </c>
      <c r="F5818" s="111" t="str">
        <f>DataPull!D5818</f>
        <v/>
      </c>
      <c r="G5818" s="94" t="str">
        <f t="shared" si="2"/>
        <v/>
      </c>
      <c r="H5818" s="94" t="str">
        <f t="shared" si="3"/>
        <v/>
      </c>
      <c r="I5818" s="94" t="str">
        <f t="shared" ref="I5818:J5818" si="5819">if(G5818 = "", , -G5818)</f>
        <v/>
      </c>
      <c r="J5818" s="94" t="str">
        <f t="shared" si="5819"/>
        <v/>
      </c>
      <c r="K5818" s="100"/>
      <c r="M5818" s="100"/>
      <c r="N5818" s="100"/>
      <c r="O5818" s="100"/>
      <c r="P5818" s="100"/>
    </row>
    <row r="5819">
      <c r="A5819" s="107">
        <v>1630267.0</v>
      </c>
      <c r="B5819" s="116" t="s">
        <v>215</v>
      </c>
      <c r="C5819" s="116" t="s">
        <v>1415</v>
      </c>
      <c r="D5819" s="24" t="s">
        <v>177</v>
      </c>
      <c r="E5819" s="24">
        <v>1183.0</v>
      </c>
      <c r="F5819" s="111" t="str">
        <f>DataPull!D5819</f>
        <v/>
      </c>
      <c r="G5819" s="94" t="str">
        <f t="shared" si="2"/>
        <v/>
      </c>
      <c r="H5819" s="94" t="str">
        <f t="shared" si="3"/>
        <v/>
      </c>
      <c r="I5819" s="94" t="str">
        <f t="shared" ref="I5819:J5819" si="5820">if(G5819 = "", , -G5819)</f>
        <v/>
      </c>
      <c r="J5819" s="94" t="str">
        <f t="shared" si="5820"/>
        <v/>
      </c>
      <c r="K5819" s="100"/>
      <c r="M5819" s="100"/>
      <c r="N5819" s="100"/>
      <c r="O5819" s="100"/>
      <c r="P5819" s="100"/>
    </row>
    <row r="5820">
      <c r="A5820" s="107">
        <v>1630267.0</v>
      </c>
      <c r="B5820" s="116" t="s">
        <v>244</v>
      </c>
      <c r="C5820" s="116" t="s">
        <v>1415</v>
      </c>
      <c r="D5820" s="24" t="s">
        <v>181</v>
      </c>
      <c r="E5820" s="24">
        <v>52.0</v>
      </c>
      <c r="F5820" s="111" t="str">
        <f>DataPull!D5820</f>
        <v/>
      </c>
      <c r="G5820" s="94" t="str">
        <f t="shared" si="2"/>
        <v/>
      </c>
      <c r="H5820" s="94" t="str">
        <f t="shared" si="3"/>
        <v/>
      </c>
      <c r="I5820" s="94" t="str">
        <f t="shared" ref="I5820:J5820" si="5821">if(G5820 = "", , -G5820)</f>
        <v/>
      </c>
      <c r="J5820" s="94" t="str">
        <f t="shared" si="5821"/>
        <v/>
      </c>
      <c r="K5820" s="100"/>
      <c r="M5820" s="100"/>
      <c r="N5820" s="100"/>
      <c r="O5820" s="100"/>
      <c r="P5820" s="100"/>
    </row>
    <row r="5821">
      <c r="A5821" s="107">
        <v>1630268.0</v>
      </c>
      <c r="B5821" s="116" t="s">
        <v>243</v>
      </c>
      <c r="C5821" s="116" t="s">
        <v>1416</v>
      </c>
      <c r="D5821" s="24" t="s">
        <v>181</v>
      </c>
      <c r="E5821" s="24">
        <v>25.9</v>
      </c>
      <c r="F5821" s="111" t="str">
        <f>DataPull!D5821</f>
        <v/>
      </c>
      <c r="G5821" s="94" t="str">
        <f t="shared" si="2"/>
        <v/>
      </c>
      <c r="H5821" s="94" t="str">
        <f t="shared" si="3"/>
        <v/>
      </c>
      <c r="I5821" s="94" t="str">
        <f t="shared" ref="I5821:J5821" si="5822">if(G5821 = "", , -G5821)</f>
        <v/>
      </c>
      <c r="J5821" s="94" t="str">
        <f t="shared" si="5822"/>
        <v/>
      </c>
      <c r="K5821" s="100"/>
      <c r="M5821" s="100"/>
      <c r="N5821" s="100"/>
      <c r="O5821" s="100"/>
      <c r="P5821" s="100"/>
    </row>
    <row r="5822">
      <c r="A5822" s="107">
        <v>1630270.0</v>
      </c>
      <c r="B5822" s="116" t="s">
        <v>215</v>
      </c>
      <c r="C5822" s="116" t="s">
        <v>1417</v>
      </c>
      <c r="D5822" s="24" t="s">
        <v>181</v>
      </c>
      <c r="E5822" s="24">
        <v>38.7</v>
      </c>
      <c r="F5822" s="111" t="str">
        <f>DataPull!D5822</f>
        <v/>
      </c>
      <c r="G5822" s="94" t="str">
        <f t="shared" si="2"/>
        <v/>
      </c>
      <c r="H5822" s="94" t="str">
        <f t="shared" si="3"/>
        <v/>
      </c>
      <c r="I5822" s="94" t="str">
        <f t="shared" ref="I5822:J5822" si="5823">if(G5822 = "", , -G5822)</f>
        <v/>
      </c>
      <c r="J5822" s="94" t="str">
        <f t="shared" si="5823"/>
        <v/>
      </c>
      <c r="K5822" s="100"/>
      <c r="M5822" s="100"/>
      <c r="N5822" s="100"/>
      <c r="O5822" s="100"/>
      <c r="P5822" s="100"/>
    </row>
    <row r="5823">
      <c r="A5823" s="107">
        <v>1630270.0</v>
      </c>
      <c r="B5823" s="116" t="s">
        <v>244</v>
      </c>
      <c r="C5823" s="116" t="s">
        <v>1417</v>
      </c>
      <c r="D5823" s="24" t="s">
        <v>181</v>
      </c>
      <c r="E5823" s="24">
        <v>48.4</v>
      </c>
      <c r="F5823" s="111" t="str">
        <f>DataPull!D5823</f>
        <v/>
      </c>
      <c r="G5823" s="94" t="str">
        <f t="shared" si="2"/>
        <v/>
      </c>
      <c r="H5823" s="94" t="str">
        <f t="shared" si="3"/>
        <v/>
      </c>
      <c r="I5823" s="94" t="str">
        <f t="shared" ref="I5823:J5823" si="5824">if(G5823 = "", , -G5823)</f>
        <v/>
      </c>
      <c r="J5823" s="94" t="str">
        <f t="shared" si="5824"/>
        <v/>
      </c>
      <c r="K5823" s="100"/>
      <c r="M5823" s="100"/>
      <c r="N5823" s="100"/>
      <c r="O5823" s="100"/>
      <c r="P5823" s="100"/>
    </row>
    <row r="5824">
      <c r="A5824" s="107">
        <v>1630271.0</v>
      </c>
      <c r="B5824" s="116" t="s">
        <v>243</v>
      </c>
      <c r="C5824" s="116" t="s">
        <v>1418</v>
      </c>
      <c r="D5824" s="24" t="s">
        <v>177</v>
      </c>
      <c r="E5824" s="24">
        <v>400.0</v>
      </c>
      <c r="F5824" s="111" t="str">
        <f>DataPull!D5824</f>
        <v/>
      </c>
      <c r="G5824" s="94" t="str">
        <f t="shared" si="2"/>
        <v/>
      </c>
      <c r="H5824" s="94" t="str">
        <f t="shared" si="3"/>
        <v/>
      </c>
      <c r="I5824" s="94" t="str">
        <f t="shared" ref="I5824:J5824" si="5825">if(G5824 = "", , -G5824)</f>
        <v/>
      </c>
      <c r="J5824" s="94" t="str">
        <f t="shared" si="5825"/>
        <v/>
      </c>
      <c r="K5824" s="100"/>
      <c r="M5824" s="100"/>
      <c r="N5824" s="100"/>
      <c r="O5824" s="100"/>
      <c r="P5824" s="100"/>
    </row>
    <row r="5825">
      <c r="A5825" s="107">
        <v>1630271.0</v>
      </c>
      <c r="B5825" s="116" t="s">
        <v>215</v>
      </c>
      <c r="C5825" s="116" t="s">
        <v>1418</v>
      </c>
      <c r="D5825" s="24" t="s">
        <v>187</v>
      </c>
      <c r="E5825" s="24">
        <v>60.0</v>
      </c>
      <c r="F5825" s="111" t="str">
        <f>DataPull!D5825</f>
        <v/>
      </c>
      <c r="G5825" s="94" t="str">
        <f t="shared" si="2"/>
        <v/>
      </c>
      <c r="H5825" s="94" t="str">
        <f t="shared" si="3"/>
        <v/>
      </c>
      <c r="I5825" s="94" t="str">
        <f t="shared" ref="I5825:J5825" si="5826">if(G5825 = "", , -G5825)</f>
        <v/>
      </c>
      <c r="J5825" s="94" t="str">
        <f t="shared" si="5826"/>
        <v/>
      </c>
      <c r="K5825" s="100"/>
      <c r="M5825" s="100"/>
      <c r="N5825" s="100"/>
      <c r="O5825" s="100"/>
      <c r="P5825" s="100"/>
    </row>
    <row r="5826">
      <c r="A5826" s="107">
        <v>1630273.0</v>
      </c>
      <c r="B5826" s="116" t="s">
        <v>243</v>
      </c>
      <c r="C5826" s="116" t="s">
        <v>1419</v>
      </c>
      <c r="D5826" s="24" t="s">
        <v>177</v>
      </c>
      <c r="E5826" s="24">
        <v>392.0</v>
      </c>
      <c r="F5826" s="111" t="str">
        <f>DataPull!D5826</f>
        <v/>
      </c>
      <c r="G5826" s="94" t="str">
        <f t="shared" si="2"/>
        <v/>
      </c>
      <c r="H5826" s="94" t="str">
        <f t="shared" si="3"/>
        <v/>
      </c>
      <c r="I5826" s="94" t="str">
        <f t="shared" ref="I5826:J5826" si="5827">if(G5826 = "", , -G5826)</f>
        <v/>
      </c>
      <c r="J5826" s="94" t="str">
        <f t="shared" si="5827"/>
        <v/>
      </c>
      <c r="K5826" s="100"/>
      <c r="M5826" s="100"/>
      <c r="N5826" s="100"/>
      <c r="O5826" s="100"/>
      <c r="P5826" s="100"/>
    </row>
    <row r="5827">
      <c r="A5827" s="107">
        <v>1630273.0</v>
      </c>
      <c r="B5827" s="116" t="s">
        <v>215</v>
      </c>
      <c r="C5827" s="116" t="s">
        <v>1419</v>
      </c>
      <c r="D5827" s="24" t="s">
        <v>187</v>
      </c>
      <c r="E5827" s="24">
        <v>118.8</v>
      </c>
      <c r="F5827" s="111" t="str">
        <f>DataPull!D5827</f>
        <v/>
      </c>
      <c r="G5827" s="94" t="str">
        <f t="shared" si="2"/>
        <v/>
      </c>
      <c r="H5827" s="94" t="str">
        <f t="shared" si="3"/>
        <v/>
      </c>
      <c r="I5827" s="94" t="str">
        <f t="shared" ref="I5827:J5827" si="5828">if(G5827 = "", , -G5827)</f>
        <v/>
      </c>
      <c r="J5827" s="94" t="str">
        <f t="shared" si="5828"/>
        <v/>
      </c>
      <c r="K5827" s="100"/>
      <c r="M5827" s="100"/>
      <c r="N5827" s="100"/>
      <c r="O5827" s="100"/>
      <c r="P5827" s="100"/>
    </row>
    <row r="5828">
      <c r="A5828" s="107">
        <v>1630278.0</v>
      </c>
      <c r="B5828" s="116" t="s">
        <v>215</v>
      </c>
      <c r="C5828" s="116" t="s">
        <v>1420</v>
      </c>
      <c r="D5828" s="24" t="s">
        <v>181</v>
      </c>
      <c r="E5828" s="24">
        <v>1.5</v>
      </c>
      <c r="F5828" s="111" t="str">
        <f>DataPull!D5828</f>
        <v/>
      </c>
      <c r="G5828" s="94" t="str">
        <f t="shared" si="2"/>
        <v/>
      </c>
      <c r="H5828" s="94" t="str">
        <f t="shared" si="3"/>
        <v/>
      </c>
      <c r="I5828" s="94" t="str">
        <f t="shared" ref="I5828:J5828" si="5829">if(G5828 = "", , -G5828)</f>
        <v/>
      </c>
      <c r="J5828" s="94" t="str">
        <f t="shared" si="5829"/>
        <v/>
      </c>
      <c r="K5828" s="100"/>
      <c r="M5828" s="100"/>
      <c r="N5828" s="100"/>
      <c r="O5828" s="100"/>
      <c r="P5828" s="100"/>
    </row>
    <row r="5829">
      <c r="A5829" s="120">
        <v>1630283.0</v>
      </c>
      <c r="B5829" s="138" t="s">
        <v>246</v>
      </c>
      <c r="C5829" s="138" t="s">
        <v>1421</v>
      </c>
      <c r="D5829" s="139" t="s">
        <v>181</v>
      </c>
      <c r="E5829" s="139">
        <v>126.5</v>
      </c>
      <c r="F5829" s="111" t="str">
        <f>DataPull!D5829</f>
        <v/>
      </c>
      <c r="G5829" s="94" t="str">
        <f t="shared" si="2"/>
        <v/>
      </c>
      <c r="H5829" s="94" t="str">
        <f t="shared" si="3"/>
        <v/>
      </c>
      <c r="I5829" s="94" t="str">
        <f t="shared" ref="I5829:J5829" si="5830">if(G5829 = "", , -G5829)</f>
        <v/>
      </c>
      <c r="J5829" s="94" t="str">
        <f t="shared" si="5830"/>
        <v/>
      </c>
      <c r="K5829" s="100"/>
      <c r="M5829" s="100"/>
      <c r="N5829" s="100"/>
      <c r="O5829" s="100"/>
      <c r="P5829" s="100"/>
    </row>
    <row r="5830">
      <c r="A5830" s="107">
        <v>1630284.0</v>
      </c>
      <c r="B5830" s="116" t="s">
        <v>244</v>
      </c>
      <c r="C5830" s="116" t="s">
        <v>1422</v>
      </c>
      <c r="D5830" s="24" t="s">
        <v>177</v>
      </c>
      <c r="E5830" s="24">
        <v>455.6</v>
      </c>
      <c r="F5830" s="111" t="str">
        <f>DataPull!D5830</f>
        <v/>
      </c>
      <c r="G5830" s="94" t="str">
        <f t="shared" si="2"/>
        <v/>
      </c>
      <c r="H5830" s="94" t="str">
        <f t="shared" si="3"/>
        <v/>
      </c>
      <c r="I5830" s="94" t="str">
        <f t="shared" ref="I5830:J5830" si="5831">if(G5830 = "", , -G5830)</f>
        <v/>
      </c>
      <c r="J5830" s="94" t="str">
        <f t="shared" si="5831"/>
        <v/>
      </c>
      <c r="K5830" s="100"/>
      <c r="M5830" s="100"/>
      <c r="N5830" s="100"/>
      <c r="O5830" s="100"/>
      <c r="P5830" s="100"/>
    </row>
    <row r="5831">
      <c r="A5831" s="107">
        <v>1630284.0</v>
      </c>
      <c r="B5831" s="116" t="s">
        <v>245</v>
      </c>
      <c r="C5831" s="116" t="s">
        <v>1422</v>
      </c>
      <c r="D5831" s="24" t="s">
        <v>181</v>
      </c>
      <c r="E5831" s="24">
        <v>6.0</v>
      </c>
      <c r="F5831" s="111" t="str">
        <f>DataPull!D5831</f>
        <v/>
      </c>
      <c r="G5831" s="94" t="str">
        <f t="shared" si="2"/>
        <v/>
      </c>
      <c r="H5831" s="94" t="str">
        <f t="shared" si="3"/>
        <v/>
      </c>
      <c r="I5831" s="94" t="str">
        <f t="shared" ref="I5831:J5831" si="5832">if(G5831 = "", , -G5831)</f>
        <v/>
      </c>
      <c r="J5831" s="94" t="str">
        <f t="shared" si="5832"/>
        <v/>
      </c>
      <c r="K5831" s="100"/>
      <c r="M5831" s="100"/>
      <c r="N5831" s="100"/>
      <c r="O5831" s="100"/>
      <c r="P5831" s="100"/>
    </row>
    <row r="5832">
      <c r="A5832" s="89">
        <v>1630284.0</v>
      </c>
      <c r="B5832" s="131" t="s">
        <v>247</v>
      </c>
      <c r="C5832" s="131" t="s">
        <v>1422</v>
      </c>
      <c r="D5832" s="24"/>
      <c r="E5832" s="24"/>
      <c r="F5832" s="111" t="str">
        <f>DataPull!D5832</f>
        <v/>
      </c>
      <c r="G5832" s="94" t="str">
        <f t="shared" si="2"/>
        <v/>
      </c>
      <c r="H5832" s="94" t="str">
        <f t="shared" si="3"/>
        <v/>
      </c>
      <c r="I5832" s="94" t="str">
        <f t="shared" ref="I5832:J5832" si="5833">if(G5832 = "", , -G5832)</f>
        <v/>
      </c>
      <c r="J5832" s="94" t="str">
        <f t="shared" si="5833"/>
        <v/>
      </c>
      <c r="K5832" s="100"/>
      <c r="M5832" s="100"/>
      <c r="N5832" s="100"/>
      <c r="O5832" s="100"/>
      <c r="P5832" s="100"/>
    </row>
    <row r="5833">
      <c r="A5833" s="107">
        <v>1630285.0</v>
      </c>
      <c r="B5833" s="116" t="s">
        <v>215</v>
      </c>
      <c r="C5833" s="116" t="s">
        <v>1423</v>
      </c>
      <c r="D5833" s="24" t="s">
        <v>181</v>
      </c>
      <c r="E5833" s="24">
        <v>174.0</v>
      </c>
      <c r="F5833" s="111" t="str">
        <f>DataPull!D5833</f>
        <v/>
      </c>
      <c r="G5833" s="94" t="str">
        <f t="shared" si="2"/>
        <v/>
      </c>
      <c r="H5833" s="94" t="str">
        <f t="shared" si="3"/>
        <v/>
      </c>
      <c r="I5833" s="94" t="str">
        <f t="shared" ref="I5833:J5833" si="5834">if(G5833 = "", , -G5833)</f>
        <v/>
      </c>
      <c r="J5833" s="94" t="str">
        <f t="shared" si="5834"/>
        <v/>
      </c>
      <c r="K5833" s="100"/>
      <c r="M5833" s="100"/>
      <c r="N5833" s="100"/>
      <c r="O5833" s="100"/>
      <c r="P5833" s="100"/>
    </row>
    <row r="5834">
      <c r="A5834" s="107">
        <v>1630285.0</v>
      </c>
      <c r="B5834" s="116" t="s">
        <v>245</v>
      </c>
      <c r="C5834" s="116" t="s">
        <v>1423</v>
      </c>
      <c r="D5834" s="24" t="s">
        <v>181</v>
      </c>
      <c r="E5834" s="24">
        <v>161.7</v>
      </c>
      <c r="F5834" s="111" t="str">
        <f>DataPull!D5834</f>
        <v/>
      </c>
      <c r="G5834" s="94" t="str">
        <f t="shared" si="2"/>
        <v/>
      </c>
      <c r="H5834" s="94" t="str">
        <f t="shared" si="3"/>
        <v/>
      </c>
      <c r="I5834" s="94" t="str">
        <f t="shared" ref="I5834:J5834" si="5835">if(G5834 = "", , -G5834)</f>
        <v/>
      </c>
      <c r="J5834" s="94" t="str">
        <f t="shared" si="5835"/>
        <v/>
      </c>
      <c r="K5834" s="100"/>
      <c r="M5834" s="100"/>
      <c r="N5834" s="100"/>
      <c r="O5834" s="100"/>
      <c r="P5834" s="100"/>
    </row>
    <row r="5835">
      <c r="A5835" s="107">
        <v>1630286.0</v>
      </c>
      <c r="B5835" s="116" t="s">
        <v>215</v>
      </c>
      <c r="C5835" s="116" t="s">
        <v>1424</v>
      </c>
      <c r="D5835" s="24" t="s">
        <v>181</v>
      </c>
      <c r="E5835" s="24">
        <v>11.4</v>
      </c>
      <c r="F5835" s="111" t="str">
        <f>DataPull!D5835</f>
        <v/>
      </c>
      <c r="G5835" s="94" t="str">
        <f t="shared" si="2"/>
        <v/>
      </c>
      <c r="H5835" s="94" t="str">
        <f t="shared" si="3"/>
        <v/>
      </c>
      <c r="I5835" s="94" t="str">
        <f t="shared" ref="I5835:J5835" si="5836">if(G5835 = "", , -G5835)</f>
        <v/>
      </c>
      <c r="J5835" s="94" t="str">
        <f t="shared" si="5836"/>
        <v/>
      </c>
      <c r="K5835" s="100"/>
      <c r="M5835" s="100"/>
      <c r="N5835" s="100"/>
      <c r="O5835" s="100"/>
      <c r="P5835" s="100"/>
    </row>
    <row r="5836">
      <c r="A5836" s="107">
        <v>1630288.0</v>
      </c>
      <c r="B5836" s="116" t="s">
        <v>215</v>
      </c>
      <c r="C5836" s="116" t="s">
        <v>1425</v>
      </c>
      <c r="D5836" s="24" t="s">
        <v>181</v>
      </c>
      <c r="E5836" s="24">
        <v>108.0</v>
      </c>
      <c r="F5836" s="111" t="str">
        <f>DataPull!D5836</f>
        <v/>
      </c>
      <c r="G5836" s="94" t="str">
        <f t="shared" si="2"/>
        <v/>
      </c>
      <c r="H5836" s="94" t="str">
        <f t="shared" si="3"/>
        <v/>
      </c>
      <c r="I5836" s="94" t="str">
        <f t="shared" ref="I5836:J5836" si="5837">if(G5836 = "", , -G5836)</f>
        <v/>
      </c>
      <c r="J5836" s="94" t="str">
        <f t="shared" si="5837"/>
        <v/>
      </c>
      <c r="K5836" s="100"/>
      <c r="M5836" s="100"/>
      <c r="N5836" s="100"/>
      <c r="O5836" s="100"/>
      <c r="P5836" s="100"/>
    </row>
    <row r="5837">
      <c r="A5837" s="107">
        <v>1630288.0</v>
      </c>
      <c r="B5837" s="116" t="s">
        <v>244</v>
      </c>
      <c r="C5837" s="140" t="s">
        <v>1369</v>
      </c>
      <c r="D5837" s="24" t="s">
        <v>187</v>
      </c>
      <c r="E5837" s="24">
        <v>248.6</v>
      </c>
      <c r="F5837" s="111" t="str">
        <f>DataPull!D5837</f>
        <v/>
      </c>
      <c r="G5837" s="94" t="str">
        <f t="shared" si="2"/>
        <v/>
      </c>
      <c r="H5837" s="94" t="str">
        <f t="shared" si="3"/>
        <v/>
      </c>
      <c r="I5837" s="94" t="str">
        <f t="shared" ref="I5837:J5837" si="5838">if(G5837 = "", , -G5837)</f>
        <v/>
      </c>
      <c r="J5837" s="94" t="str">
        <f t="shared" si="5838"/>
        <v/>
      </c>
      <c r="K5837" s="100"/>
      <c r="M5837" s="100"/>
      <c r="N5837" s="100"/>
      <c r="O5837" s="100"/>
      <c r="P5837" s="100"/>
    </row>
    <row r="5838">
      <c r="A5838" s="107">
        <v>1630288.0</v>
      </c>
      <c r="B5838" s="116" t="s">
        <v>245</v>
      </c>
      <c r="C5838" s="116" t="s">
        <v>1425</v>
      </c>
      <c r="D5838" s="24" t="s">
        <v>187</v>
      </c>
      <c r="E5838" s="24">
        <v>141.6</v>
      </c>
      <c r="F5838" s="111" t="str">
        <f>DataPull!D5838</f>
        <v/>
      </c>
      <c r="G5838" s="94" t="str">
        <f t="shared" si="2"/>
        <v/>
      </c>
      <c r="H5838" s="94" t="str">
        <f t="shared" si="3"/>
        <v/>
      </c>
      <c r="I5838" s="94" t="str">
        <f t="shared" ref="I5838:J5838" si="5839">if(G5838 = "", , -G5838)</f>
        <v/>
      </c>
      <c r="J5838" s="94" t="str">
        <f t="shared" si="5839"/>
        <v/>
      </c>
      <c r="K5838" s="100"/>
      <c r="M5838" s="100"/>
      <c r="N5838" s="100"/>
      <c r="O5838" s="100"/>
      <c r="P5838" s="100"/>
    </row>
    <row r="5839">
      <c r="A5839" s="107">
        <v>1630288.0</v>
      </c>
      <c r="B5839" s="116" t="s">
        <v>246</v>
      </c>
      <c r="C5839" s="116" t="s">
        <v>1425</v>
      </c>
      <c r="D5839" s="24" t="s">
        <v>177</v>
      </c>
      <c r="E5839" s="24">
        <v>619.1</v>
      </c>
      <c r="F5839" s="111" t="str">
        <f>DataPull!D5839</f>
        <v/>
      </c>
      <c r="G5839" s="94" t="str">
        <f t="shared" si="2"/>
        <v/>
      </c>
      <c r="H5839" s="94" t="str">
        <f t="shared" si="3"/>
        <v/>
      </c>
      <c r="I5839" s="94" t="str">
        <f t="shared" ref="I5839:J5839" si="5840">if(G5839 = "", , -G5839)</f>
        <v/>
      </c>
      <c r="J5839" s="94" t="str">
        <f t="shared" si="5840"/>
        <v/>
      </c>
      <c r="K5839" s="100"/>
      <c r="M5839" s="100"/>
      <c r="N5839" s="100"/>
      <c r="O5839" s="100"/>
      <c r="P5839" s="100"/>
    </row>
    <row r="5840">
      <c r="A5840" s="107">
        <v>1630296.0</v>
      </c>
      <c r="B5840" s="116" t="s">
        <v>215</v>
      </c>
      <c r="C5840" s="116" t="s">
        <v>1426</v>
      </c>
      <c r="D5840" s="24" t="s">
        <v>187</v>
      </c>
      <c r="E5840" s="24">
        <v>196.9</v>
      </c>
      <c r="F5840" s="111" t="str">
        <f>DataPull!D5840</f>
        <v/>
      </c>
      <c r="G5840" s="94" t="str">
        <f t="shared" si="2"/>
        <v/>
      </c>
      <c r="H5840" s="94" t="str">
        <f t="shared" si="3"/>
        <v/>
      </c>
      <c r="I5840" s="94" t="str">
        <f t="shared" ref="I5840:J5840" si="5841">if(G5840 = "", , -G5840)</f>
        <v/>
      </c>
      <c r="J5840" s="94" t="str">
        <f t="shared" si="5841"/>
        <v/>
      </c>
      <c r="K5840" s="100"/>
      <c r="M5840" s="100"/>
      <c r="N5840" s="100"/>
      <c r="O5840" s="100"/>
      <c r="P5840" s="100"/>
    </row>
    <row r="5841">
      <c r="A5841" s="107">
        <v>1630296.0</v>
      </c>
      <c r="B5841" s="116" t="s">
        <v>244</v>
      </c>
      <c r="C5841" s="116" t="s">
        <v>1426</v>
      </c>
      <c r="D5841" s="24" t="s">
        <v>181</v>
      </c>
      <c r="E5841" s="24">
        <v>9.0</v>
      </c>
      <c r="F5841" s="111" t="str">
        <f>DataPull!D5841</f>
        <v/>
      </c>
      <c r="G5841" s="94" t="str">
        <f t="shared" si="2"/>
        <v/>
      </c>
      <c r="H5841" s="94" t="str">
        <f t="shared" si="3"/>
        <v/>
      </c>
      <c r="I5841" s="94" t="str">
        <f t="shared" ref="I5841:J5841" si="5842">if(G5841 = "", , -G5841)</f>
        <v/>
      </c>
      <c r="J5841" s="94" t="str">
        <f t="shared" si="5842"/>
        <v/>
      </c>
      <c r="K5841" s="100"/>
      <c r="M5841" s="100"/>
      <c r="N5841" s="100"/>
      <c r="O5841" s="100"/>
      <c r="P5841" s="100"/>
    </row>
    <row r="5842">
      <c r="A5842" s="107">
        <v>1630296.0</v>
      </c>
      <c r="B5842" s="116" t="s">
        <v>245</v>
      </c>
      <c r="C5842" s="116" t="s">
        <v>1426</v>
      </c>
      <c r="D5842" s="24" t="s">
        <v>187</v>
      </c>
      <c r="E5842" s="24">
        <v>60.0</v>
      </c>
      <c r="F5842" s="111" t="str">
        <f>DataPull!D5842</f>
        <v/>
      </c>
      <c r="G5842" s="94" t="str">
        <f t="shared" si="2"/>
        <v/>
      </c>
      <c r="H5842" s="94" t="str">
        <f t="shared" si="3"/>
        <v/>
      </c>
      <c r="I5842" s="94" t="str">
        <f t="shared" ref="I5842:J5842" si="5843">if(G5842 = "", , -G5842)</f>
        <v/>
      </c>
      <c r="J5842" s="94" t="str">
        <f t="shared" si="5843"/>
        <v/>
      </c>
      <c r="K5842" s="100"/>
      <c r="M5842" s="100"/>
      <c r="N5842" s="100"/>
      <c r="O5842" s="100"/>
      <c r="P5842" s="100"/>
    </row>
    <row r="5843">
      <c r="A5843" s="123">
        <v>1630296.0</v>
      </c>
      <c r="B5843" s="132" t="s">
        <v>246</v>
      </c>
      <c r="C5843" s="133" t="s">
        <v>1426</v>
      </c>
      <c r="D5843" s="24" t="s">
        <v>181</v>
      </c>
      <c r="E5843" s="24">
        <v>10.8</v>
      </c>
      <c r="F5843" s="111" t="str">
        <f>DataPull!D5843</f>
        <v/>
      </c>
      <c r="G5843" s="94" t="str">
        <f t="shared" si="2"/>
        <v/>
      </c>
      <c r="H5843" s="94" t="str">
        <f t="shared" si="3"/>
        <v/>
      </c>
      <c r="I5843" s="94" t="str">
        <f t="shared" ref="I5843:J5843" si="5844">if(G5843 = "", , -G5843)</f>
        <v/>
      </c>
      <c r="J5843" s="94" t="str">
        <f t="shared" si="5844"/>
        <v/>
      </c>
      <c r="K5843" s="100"/>
      <c r="M5843" s="100"/>
      <c r="N5843" s="100"/>
      <c r="O5843" s="100"/>
      <c r="P5843" s="100"/>
    </row>
    <row r="5844">
      <c r="A5844" s="107">
        <v>1630306.0</v>
      </c>
      <c r="B5844" s="116" t="s">
        <v>215</v>
      </c>
      <c r="C5844" s="116" t="s">
        <v>1427</v>
      </c>
      <c r="D5844" s="24" t="s">
        <v>181</v>
      </c>
      <c r="E5844" s="24">
        <v>10.8</v>
      </c>
      <c r="F5844" s="111" t="str">
        <f>DataPull!D5844</f>
        <v/>
      </c>
      <c r="G5844" s="94" t="str">
        <f t="shared" si="2"/>
        <v/>
      </c>
      <c r="H5844" s="94" t="str">
        <f t="shared" si="3"/>
        <v/>
      </c>
      <c r="I5844" s="94" t="str">
        <f t="shared" ref="I5844:J5844" si="5845">if(G5844 = "", , -G5844)</f>
        <v/>
      </c>
      <c r="J5844" s="94" t="str">
        <f t="shared" si="5845"/>
        <v/>
      </c>
      <c r="K5844" s="100"/>
      <c r="M5844" s="100"/>
      <c r="N5844" s="100"/>
      <c r="O5844" s="100"/>
      <c r="P5844" s="100"/>
    </row>
    <row r="5845">
      <c r="A5845" s="107">
        <v>1630311.0</v>
      </c>
      <c r="B5845" s="116" t="s">
        <v>245</v>
      </c>
      <c r="C5845" s="116" t="s">
        <v>1428</v>
      </c>
      <c r="D5845" s="24" t="s">
        <v>181</v>
      </c>
      <c r="E5845" s="24">
        <v>25.8</v>
      </c>
      <c r="F5845" s="111" t="str">
        <f>DataPull!D5845</f>
        <v/>
      </c>
      <c r="G5845" s="94" t="str">
        <f t="shared" si="2"/>
        <v/>
      </c>
      <c r="H5845" s="94" t="str">
        <f t="shared" si="3"/>
        <v/>
      </c>
      <c r="I5845" s="94" t="str">
        <f t="shared" ref="I5845:J5845" si="5846">if(G5845 = "", , -G5845)</f>
        <v/>
      </c>
      <c r="J5845" s="94" t="str">
        <f t="shared" si="5846"/>
        <v/>
      </c>
      <c r="K5845" s="100"/>
      <c r="M5845" s="100"/>
      <c r="N5845" s="100"/>
      <c r="O5845" s="100"/>
      <c r="P5845" s="100"/>
    </row>
    <row r="5846">
      <c r="A5846" s="107">
        <v>1630311.0</v>
      </c>
      <c r="B5846" s="116" t="s">
        <v>246</v>
      </c>
      <c r="C5846" s="116" t="s">
        <v>1428</v>
      </c>
      <c r="D5846" s="24" t="s">
        <v>187</v>
      </c>
      <c r="E5846" s="24">
        <v>249.6</v>
      </c>
      <c r="F5846" s="111" t="str">
        <f>DataPull!D5846</f>
        <v/>
      </c>
      <c r="G5846" s="94" t="str">
        <f t="shared" si="2"/>
        <v/>
      </c>
      <c r="H5846" s="94" t="str">
        <f t="shared" si="3"/>
        <v/>
      </c>
      <c r="I5846" s="94" t="str">
        <f t="shared" ref="I5846:J5846" si="5847">if(G5846 = "", , -G5846)</f>
        <v/>
      </c>
      <c r="J5846" s="94" t="str">
        <f t="shared" si="5847"/>
        <v/>
      </c>
      <c r="K5846" s="100"/>
      <c r="M5846" s="100"/>
      <c r="N5846" s="100"/>
      <c r="O5846" s="100"/>
      <c r="P5846" s="100"/>
    </row>
    <row r="5847">
      <c r="A5847" s="114">
        <v>1630311.0</v>
      </c>
      <c r="B5847" s="131" t="s">
        <v>247</v>
      </c>
      <c r="C5847" s="131" t="s">
        <v>1428</v>
      </c>
      <c r="D5847" s="24" t="s">
        <v>177</v>
      </c>
      <c r="E5847" s="24">
        <v>1227.6</v>
      </c>
      <c r="F5847" s="111" t="str">
        <f>DataPull!D5847</f>
        <v/>
      </c>
      <c r="G5847" s="94" t="str">
        <f t="shared" si="2"/>
        <v/>
      </c>
      <c r="H5847" s="94" t="str">
        <f t="shared" si="3"/>
        <v/>
      </c>
      <c r="I5847" s="94" t="str">
        <f t="shared" ref="I5847:J5847" si="5848">if(G5847 = "", , -G5847)</f>
        <v/>
      </c>
      <c r="J5847" s="94" t="str">
        <f t="shared" si="5848"/>
        <v/>
      </c>
      <c r="K5847" s="100"/>
      <c r="M5847" s="100"/>
      <c r="N5847" s="100"/>
      <c r="O5847" s="100"/>
      <c r="P5847" s="100"/>
    </row>
    <row r="5848">
      <c r="A5848" s="107">
        <v>1630314.0</v>
      </c>
      <c r="B5848" s="116" t="s">
        <v>215</v>
      </c>
      <c r="C5848" s="116" t="s">
        <v>1429</v>
      </c>
      <c r="D5848" s="24" t="s">
        <v>176</v>
      </c>
      <c r="E5848" s="24">
        <v>640.8</v>
      </c>
      <c r="F5848" s="111" t="str">
        <f>DataPull!D5848</f>
        <v/>
      </c>
      <c r="G5848" s="94" t="str">
        <f t="shared" si="2"/>
        <v/>
      </c>
      <c r="H5848" s="94" t="str">
        <f t="shared" si="3"/>
        <v/>
      </c>
      <c r="I5848" s="94" t="str">
        <f t="shared" ref="I5848:J5848" si="5849">if(G5848 = "", , -G5848)</f>
        <v/>
      </c>
      <c r="J5848" s="94" t="str">
        <f t="shared" si="5849"/>
        <v/>
      </c>
      <c r="K5848" s="100"/>
      <c r="M5848" s="100"/>
      <c r="N5848" s="100"/>
      <c r="O5848" s="100"/>
      <c r="P5848" s="100"/>
    </row>
    <row r="5849">
      <c r="A5849" s="107">
        <v>1630314.0</v>
      </c>
      <c r="B5849" s="116" t="s">
        <v>245</v>
      </c>
      <c r="C5849" s="116" t="s">
        <v>1429</v>
      </c>
      <c r="D5849" s="24" t="s">
        <v>187</v>
      </c>
      <c r="E5849" s="24">
        <v>112.2</v>
      </c>
      <c r="F5849" s="111" t="str">
        <f>DataPull!D5849</f>
        <v/>
      </c>
      <c r="G5849" s="94" t="str">
        <f t="shared" si="2"/>
        <v/>
      </c>
      <c r="H5849" s="94" t="str">
        <f t="shared" si="3"/>
        <v/>
      </c>
      <c r="I5849" s="94" t="str">
        <f t="shared" ref="I5849:J5849" si="5850">if(G5849 = "", , -G5849)</f>
        <v/>
      </c>
      <c r="J5849" s="94" t="str">
        <f t="shared" si="5850"/>
        <v/>
      </c>
      <c r="K5849" s="100"/>
      <c r="M5849" s="100"/>
      <c r="N5849" s="100"/>
      <c r="O5849" s="100"/>
      <c r="P5849" s="100"/>
    </row>
    <row r="5850">
      <c r="A5850" s="107">
        <v>1630314.0</v>
      </c>
      <c r="B5850" s="116" t="s">
        <v>246</v>
      </c>
      <c r="C5850" s="116" t="s">
        <v>1429</v>
      </c>
      <c r="D5850" s="24" t="s">
        <v>177</v>
      </c>
      <c r="E5850" s="24">
        <v>488.4</v>
      </c>
      <c r="F5850" s="111" t="str">
        <f>DataPull!D5850</f>
        <v/>
      </c>
      <c r="G5850" s="94" t="str">
        <f t="shared" si="2"/>
        <v/>
      </c>
      <c r="H5850" s="94" t="str">
        <f t="shared" si="3"/>
        <v/>
      </c>
      <c r="I5850" s="94" t="str">
        <f t="shared" ref="I5850:J5850" si="5851">if(G5850 = "", , -G5850)</f>
        <v/>
      </c>
      <c r="J5850" s="94" t="str">
        <f t="shared" si="5851"/>
        <v/>
      </c>
      <c r="K5850" s="100"/>
      <c r="M5850" s="100"/>
      <c r="N5850" s="100"/>
      <c r="O5850" s="100"/>
      <c r="P5850" s="100"/>
    </row>
    <row r="5851">
      <c r="A5851" s="114">
        <v>1630314.0</v>
      </c>
      <c r="B5851" s="131" t="s">
        <v>247</v>
      </c>
      <c r="C5851" s="131" t="s">
        <v>1429</v>
      </c>
      <c r="D5851" s="24" t="s">
        <v>176</v>
      </c>
      <c r="E5851" s="24">
        <v>1465.2</v>
      </c>
      <c r="F5851" s="111" t="str">
        <f>DataPull!D5851</f>
        <v/>
      </c>
      <c r="G5851" s="94" t="str">
        <f t="shared" si="2"/>
        <v/>
      </c>
      <c r="H5851" s="94" t="str">
        <f t="shared" si="3"/>
        <v/>
      </c>
      <c r="I5851" s="94" t="str">
        <f t="shared" ref="I5851:J5851" si="5852">if(G5851 = "", , -G5851)</f>
        <v/>
      </c>
      <c r="J5851" s="94" t="str">
        <f t="shared" si="5852"/>
        <v/>
      </c>
      <c r="K5851" s="100"/>
      <c r="M5851" s="100"/>
      <c r="N5851" s="100"/>
      <c r="O5851" s="100"/>
      <c r="P5851" s="100"/>
    </row>
    <row r="5852">
      <c r="A5852" s="107">
        <v>1630322.0</v>
      </c>
      <c r="B5852" s="116" t="s">
        <v>215</v>
      </c>
      <c r="C5852" s="140" t="s">
        <v>1430</v>
      </c>
      <c r="D5852" s="24" t="s">
        <v>177</v>
      </c>
      <c r="E5852" s="24">
        <v>465.0</v>
      </c>
      <c r="F5852" s="111" t="str">
        <f>DataPull!D5852</f>
        <v/>
      </c>
      <c r="G5852" s="94" t="str">
        <f t="shared" si="2"/>
        <v/>
      </c>
      <c r="H5852" s="94" t="str">
        <f t="shared" si="3"/>
        <v/>
      </c>
      <c r="I5852" s="94" t="str">
        <f t="shared" ref="I5852:J5852" si="5853">if(G5852 = "", , -G5852)</f>
        <v/>
      </c>
      <c r="J5852" s="94" t="str">
        <f t="shared" si="5853"/>
        <v/>
      </c>
      <c r="K5852" s="100"/>
      <c r="M5852" s="100"/>
      <c r="N5852" s="100"/>
      <c r="O5852" s="100"/>
      <c r="P5852" s="100"/>
    </row>
    <row r="5853">
      <c r="A5853" s="107">
        <v>1630322.0</v>
      </c>
      <c r="B5853" s="116" t="s">
        <v>244</v>
      </c>
      <c r="C5853" s="140" t="s">
        <v>1430</v>
      </c>
      <c r="D5853" s="24" t="s">
        <v>177</v>
      </c>
      <c r="E5853" s="24">
        <v>528.9</v>
      </c>
      <c r="F5853" s="111" t="str">
        <f>DataPull!D5853</f>
        <v/>
      </c>
      <c r="G5853" s="94" t="str">
        <f t="shared" si="2"/>
        <v/>
      </c>
      <c r="H5853" s="94" t="str">
        <f t="shared" si="3"/>
        <v/>
      </c>
      <c r="I5853" s="94" t="str">
        <f t="shared" ref="I5853:J5853" si="5854">if(G5853 = "", , -G5853)</f>
        <v/>
      </c>
      <c r="J5853" s="94" t="str">
        <f t="shared" si="5854"/>
        <v/>
      </c>
      <c r="K5853" s="100"/>
      <c r="M5853" s="100"/>
      <c r="N5853" s="100"/>
      <c r="O5853" s="100"/>
      <c r="P5853" s="100"/>
    </row>
    <row r="5854">
      <c r="A5854" s="107">
        <v>1630322.0</v>
      </c>
      <c r="B5854" s="116" t="s">
        <v>245</v>
      </c>
      <c r="C5854" s="140" t="s">
        <v>1430</v>
      </c>
      <c r="D5854" s="24" t="s">
        <v>187</v>
      </c>
      <c r="E5854" s="24">
        <v>281.2</v>
      </c>
      <c r="F5854" s="111" t="str">
        <f>DataPull!D5854</f>
        <v/>
      </c>
      <c r="G5854" s="94" t="str">
        <f t="shared" si="2"/>
        <v/>
      </c>
      <c r="H5854" s="94" t="str">
        <f t="shared" si="3"/>
        <v/>
      </c>
      <c r="I5854" s="94" t="str">
        <f t="shared" ref="I5854:J5854" si="5855">if(G5854 = "", , -G5854)</f>
        <v/>
      </c>
      <c r="J5854" s="94" t="str">
        <f t="shared" si="5855"/>
        <v/>
      </c>
      <c r="K5854" s="100"/>
      <c r="M5854" s="100"/>
      <c r="N5854" s="100"/>
      <c r="O5854" s="100"/>
      <c r="P5854" s="100"/>
    </row>
    <row r="5855">
      <c r="A5855" s="107">
        <v>1630322.0</v>
      </c>
      <c r="B5855" s="116" t="s">
        <v>246</v>
      </c>
      <c r="C5855" s="140" t="s">
        <v>1430</v>
      </c>
      <c r="D5855" s="24" t="s">
        <v>177</v>
      </c>
      <c r="E5855" s="24">
        <v>780.0</v>
      </c>
      <c r="F5855" s="111" t="str">
        <f>DataPull!D5855</f>
        <v/>
      </c>
      <c r="G5855" s="94" t="str">
        <f t="shared" si="2"/>
        <v/>
      </c>
      <c r="H5855" s="94" t="str">
        <f t="shared" si="3"/>
        <v/>
      </c>
      <c r="I5855" s="94" t="str">
        <f t="shared" ref="I5855:J5855" si="5856">if(G5855 = "", , -G5855)</f>
        <v/>
      </c>
      <c r="J5855" s="94" t="str">
        <f t="shared" si="5856"/>
        <v/>
      </c>
      <c r="K5855" s="100"/>
      <c r="M5855" s="100"/>
      <c r="N5855" s="100"/>
      <c r="O5855" s="100"/>
      <c r="P5855" s="100"/>
    </row>
    <row r="5856">
      <c r="A5856" s="114">
        <v>1630322.0</v>
      </c>
      <c r="B5856" s="131" t="s">
        <v>247</v>
      </c>
      <c r="C5856" s="140" t="s">
        <v>1430</v>
      </c>
      <c r="D5856" s="24" t="s">
        <v>187</v>
      </c>
      <c r="E5856" s="24">
        <v>284.0</v>
      </c>
      <c r="F5856" s="111" t="str">
        <f>DataPull!D5856</f>
        <v/>
      </c>
      <c r="G5856" s="94" t="str">
        <f t="shared" si="2"/>
        <v/>
      </c>
      <c r="H5856" s="94" t="str">
        <f t="shared" si="3"/>
        <v/>
      </c>
      <c r="I5856" s="94" t="str">
        <f t="shared" ref="I5856:J5856" si="5857">if(G5856 = "", , -G5856)</f>
        <v/>
      </c>
      <c r="J5856" s="94" t="str">
        <f t="shared" si="5857"/>
        <v/>
      </c>
      <c r="K5856" s="100"/>
      <c r="M5856" s="100"/>
      <c r="N5856" s="100"/>
      <c r="O5856" s="100"/>
      <c r="P5856" s="100"/>
    </row>
    <row r="5857">
      <c r="A5857" s="107">
        <v>1630346.0</v>
      </c>
      <c r="B5857" s="116" t="s">
        <v>215</v>
      </c>
      <c r="C5857" s="116" t="s">
        <v>1431</v>
      </c>
      <c r="D5857" s="24" t="s">
        <v>181</v>
      </c>
      <c r="E5857" s="24">
        <v>5.3</v>
      </c>
      <c r="F5857" s="111" t="str">
        <f>DataPull!D5857</f>
        <v/>
      </c>
      <c r="G5857" s="94" t="str">
        <f t="shared" si="2"/>
        <v/>
      </c>
      <c r="H5857" s="94" t="str">
        <f t="shared" si="3"/>
        <v/>
      </c>
      <c r="I5857" s="94" t="str">
        <f t="shared" ref="I5857:J5857" si="5858">if(G5857 = "", , -G5857)</f>
        <v/>
      </c>
      <c r="J5857" s="94" t="str">
        <f t="shared" si="5858"/>
        <v/>
      </c>
      <c r="K5857" s="100"/>
      <c r="M5857" s="100"/>
      <c r="N5857" s="100"/>
      <c r="O5857" s="100"/>
      <c r="P5857" s="100"/>
    </row>
    <row r="5858">
      <c r="A5858" s="107">
        <v>1630346.0</v>
      </c>
      <c r="B5858" s="116" t="s">
        <v>244</v>
      </c>
      <c r="C5858" s="116" t="s">
        <v>1431</v>
      </c>
      <c r="D5858" s="24" t="s">
        <v>187</v>
      </c>
      <c r="E5858" s="24">
        <v>309.4</v>
      </c>
      <c r="F5858" s="111" t="str">
        <f>DataPull!D5858</f>
        <v/>
      </c>
      <c r="G5858" s="94" t="str">
        <f t="shared" si="2"/>
        <v/>
      </c>
      <c r="H5858" s="94" t="str">
        <f t="shared" si="3"/>
        <v/>
      </c>
      <c r="I5858" s="94" t="str">
        <f t="shared" ref="I5858:J5858" si="5859">if(G5858 = "", , -G5858)</f>
        <v/>
      </c>
      <c r="J5858" s="94" t="str">
        <f t="shared" si="5859"/>
        <v/>
      </c>
      <c r="K5858" s="100"/>
      <c r="M5858" s="100"/>
      <c r="N5858" s="100"/>
      <c r="O5858" s="100"/>
      <c r="P5858" s="100"/>
    </row>
    <row r="5859">
      <c r="A5859" s="107">
        <v>1630346.0</v>
      </c>
      <c r="B5859" s="116" t="s">
        <v>245</v>
      </c>
      <c r="C5859" s="116" t="s">
        <v>1431</v>
      </c>
      <c r="D5859" s="24" t="s">
        <v>177</v>
      </c>
      <c r="E5859" s="24">
        <v>389.2</v>
      </c>
      <c r="F5859" s="111" t="str">
        <f>DataPull!D5859</f>
        <v/>
      </c>
      <c r="G5859" s="94" t="str">
        <f t="shared" si="2"/>
        <v/>
      </c>
      <c r="H5859" s="94" t="str">
        <f t="shared" si="3"/>
        <v/>
      </c>
      <c r="I5859" s="94" t="str">
        <f t="shared" ref="I5859:J5859" si="5860">if(G5859 = "", , -G5859)</f>
        <v/>
      </c>
      <c r="J5859" s="94" t="str">
        <f t="shared" si="5860"/>
        <v/>
      </c>
      <c r="K5859" s="100"/>
      <c r="M5859" s="100"/>
      <c r="N5859" s="100"/>
      <c r="O5859" s="100"/>
      <c r="P5859" s="100"/>
    </row>
    <row r="5860">
      <c r="A5860" s="107">
        <v>1630346.0</v>
      </c>
      <c r="B5860" s="116" t="s">
        <v>246</v>
      </c>
      <c r="C5860" s="116" t="s">
        <v>1431</v>
      </c>
      <c r="D5860" s="24" t="s">
        <v>187</v>
      </c>
      <c r="E5860" s="24">
        <v>68.4</v>
      </c>
      <c r="F5860" s="111" t="str">
        <f>DataPull!D5860</f>
        <v/>
      </c>
      <c r="G5860" s="94" t="str">
        <f t="shared" si="2"/>
        <v/>
      </c>
      <c r="H5860" s="94" t="str">
        <f t="shared" si="3"/>
        <v/>
      </c>
      <c r="I5860" s="94" t="str">
        <f t="shared" ref="I5860:J5860" si="5861">if(G5860 = "", , -G5860)</f>
        <v/>
      </c>
      <c r="J5860" s="94" t="str">
        <f t="shared" si="5861"/>
        <v/>
      </c>
      <c r="K5860" s="100"/>
      <c r="M5860" s="100"/>
      <c r="N5860" s="100"/>
      <c r="O5860" s="100"/>
      <c r="P5860" s="100"/>
    </row>
    <row r="5861">
      <c r="A5861" s="107">
        <v>1630466.0</v>
      </c>
      <c r="B5861" s="116" t="s">
        <v>243</v>
      </c>
      <c r="C5861" s="116" t="s">
        <v>1432</v>
      </c>
      <c r="D5861" s="24" t="s">
        <v>187</v>
      </c>
      <c r="E5861" s="24">
        <v>212.0</v>
      </c>
      <c r="F5861" s="111" t="str">
        <f>DataPull!D5861</f>
        <v/>
      </c>
      <c r="G5861" s="94" t="str">
        <f t="shared" si="2"/>
        <v/>
      </c>
      <c r="H5861" s="94" t="str">
        <f t="shared" si="3"/>
        <v/>
      </c>
      <c r="I5861" s="94" t="str">
        <f t="shared" ref="I5861:J5861" si="5862">if(G5861 = "", , -G5861)</f>
        <v/>
      </c>
      <c r="J5861" s="94" t="str">
        <f t="shared" si="5862"/>
        <v/>
      </c>
      <c r="K5861" s="100"/>
      <c r="M5861" s="100"/>
      <c r="N5861" s="100"/>
      <c r="O5861" s="100"/>
      <c r="P5861" s="100"/>
    </row>
    <row r="5862">
      <c r="A5862" s="107">
        <v>1630466.0</v>
      </c>
      <c r="B5862" s="116" t="s">
        <v>215</v>
      </c>
      <c r="C5862" s="116" t="s">
        <v>1432</v>
      </c>
      <c r="D5862" s="24" t="s">
        <v>181</v>
      </c>
      <c r="E5862" s="24">
        <v>55.3</v>
      </c>
      <c r="F5862" s="111" t="str">
        <f>DataPull!D5862</f>
        <v/>
      </c>
      <c r="G5862" s="94" t="str">
        <f t="shared" si="2"/>
        <v/>
      </c>
      <c r="H5862" s="94" t="str">
        <f t="shared" si="3"/>
        <v/>
      </c>
      <c r="I5862" s="94" t="str">
        <f t="shared" ref="I5862:J5862" si="5863">if(G5862 = "", , -G5862)</f>
        <v/>
      </c>
      <c r="J5862" s="94" t="str">
        <f t="shared" si="5863"/>
        <v/>
      </c>
      <c r="K5862" s="100"/>
      <c r="M5862" s="100"/>
      <c r="N5862" s="100"/>
      <c r="O5862" s="100"/>
      <c r="P5862" s="100"/>
    </row>
    <row r="5863">
      <c r="A5863" s="107">
        <v>1630525.0</v>
      </c>
      <c r="B5863" s="116" t="s">
        <v>215</v>
      </c>
      <c r="C5863" s="116" t="s">
        <v>1433</v>
      </c>
      <c r="D5863" s="24" t="s">
        <v>181</v>
      </c>
      <c r="E5863" s="24">
        <v>2.0</v>
      </c>
      <c r="F5863" s="111" t="str">
        <f>DataPull!D5863</f>
        <v/>
      </c>
      <c r="G5863" s="94" t="str">
        <f t="shared" si="2"/>
        <v/>
      </c>
      <c r="H5863" s="94" t="str">
        <f t="shared" si="3"/>
        <v/>
      </c>
      <c r="I5863" s="94" t="str">
        <f t="shared" ref="I5863:J5863" si="5864">if(G5863 = "", , -G5863)</f>
        <v/>
      </c>
      <c r="J5863" s="94" t="str">
        <f t="shared" si="5864"/>
        <v/>
      </c>
      <c r="K5863" s="100"/>
      <c r="M5863" s="100"/>
      <c r="N5863" s="100"/>
      <c r="O5863" s="100"/>
      <c r="P5863" s="100"/>
    </row>
    <row r="5864">
      <c r="A5864" s="107">
        <v>1630526.0</v>
      </c>
      <c r="B5864" s="116" t="s">
        <v>215</v>
      </c>
      <c r="C5864" s="116" t="s">
        <v>1434</v>
      </c>
      <c r="D5864" s="24" t="s">
        <v>176</v>
      </c>
      <c r="E5864" s="24">
        <v>1087.8</v>
      </c>
      <c r="F5864" s="111" t="str">
        <f>DataPull!D5864</f>
        <v/>
      </c>
      <c r="G5864" s="94" t="str">
        <f t="shared" si="2"/>
        <v/>
      </c>
      <c r="H5864" s="94" t="str">
        <f t="shared" si="3"/>
        <v/>
      </c>
      <c r="I5864" s="94" t="str">
        <f t="shared" ref="I5864:J5864" si="5865">if(G5864 = "", , -G5864)</f>
        <v/>
      </c>
      <c r="J5864" s="94" t="str">
        <f t="shared" si="5865"/>
        <v/>
      </c>
      <c r="K5864" s="100"/>
      <c r="M5864" s="100"/>
      <c r="N5864" s="100"/>
      <c r="O5864" s="100"/>
      <c r="P5864" s="100"/>
    </row>
    <row r="5865">
      <c r="A5865" s="107">
        <v>1630526.0</v>
      </c>
      <c r="B5865" s="116" t="s">
        <v>244</v>
      </c>
      <c r="C5865" s="116" t="s">
        <v>1434</v>
      </c>
      <c r="D5865" s="24" t="s">
        <v>177</v>
      </c>
      <c r="E5865" s="24">
        <v>812.7</v>
      </c>
      <c r="F5865" s="111" t="str">
        <f>DataPull!D5865</f>
        <v/>
      </c>
      <c r="G5865" s="94" t="str">
        <f t="shared" si="2"/>
        <v/>
      </c>
      <c r="H5865" s="94" t="str">
        <f t="shared" si="3"/>
        <v/>
      </c>
      <c r="I5865" s="94" t="str">
        <f t="shared" ref="I5865:J5865" si="5866">if(G5865 = "", , -G5865)</f>
        <v/>
      </c>
      <c r="J5865" s="94" t="str">
        <f t="shared" si="5866"/>
        <v/>
      </c>
      <c r="K5865" s="100"/>
      <c r="M5865" s="100"/>
      <c r="N5865" s="100"/>
      <c r="O5865" s="100"/>
      <c r="P5865" s="100"/>
    </row>
    <row r="5866">
      <c r="A5866" s="107">
        <v>1630526.0</v>
      </c>
      <c r="B5866" s="116" t="s">
        <v>245</v>
      </c>
      <c r="C5866" s="116" t="s">
        <v>1434</v>
      </c>
      <c r="D5866" s="24" t="s">
        <v>187</v>
      </c>
      <c r="E5866" s="24">
        <v>335.4</v>
      </c>
      <c r="F5866" s="111" t="str">
        <f>DataPull!D5866</f>
        <v/>
      </c>
      <c r="G5866" s="94" t="str">
        <f t="shared" si="2"/>
        <v/>
      </c>
      <c r="H5866" s="94" t="str">
        <f t="shared" si="3"/>
        <v/>
      </c>
      <c r="I5866" s="94" t="str">
        <f t="shared" ref="I5866:J5866" si="5867">if(G5866 = "", , -G5866)</f>
        <v/>
      </c>
      <c r="J5866" s="94" t="str">
        <f t="shared" si="5867"/>
        <v/>
      </c>
      <c r="K5866" s="100"/>
      <c r="M5866" s="100"/>
      <c r="N5866" s="100"/>
      <c r="O5866" s="100"/>
      <c r="P5866" s="100"/>
    </row>
    <row r="5867">
      <c r="A5867" s="107">
        <v>1630526.0</v>
      </c>
      <c r="B5867" s="116" t="s">
        <v>246</v>
      </c>
      <c r="C5867" s="116" t="s">
        <v>1434</v>
      </c>
      <c r="D5867" s="24" t="s">
        <v>177</v>
      </c>
      <c r="E5867" s="24">
        <v>1240.8</v>
      </c>
      <c r="F5867" s="111" t="str">
        <f>DataPull!D5867</f>
        <v/>
      </c>
      <c r="G5867" s="94" t="str">
        <f t="shared" si="2"/>
        <v/>
      </c>
      <c r="H5867" s="94" t="str">
        <f t="shared" si="3"/>
        <v/>
      </c>
      <c r="I5867" s="94" t="str">
        <f t="shared" ref="I5867:J5867" si="5868">if(G5867 = "", , -G5867)</f>
        <v/>
      </c>
      <c r="J5867" s="94" t="str">
        <f t="shared" si="5868"/>
        <v/>
      </c>
      <c r="K5867" s="100"/>
      <c r="M5867" s="100"/>
      <c r="N5867" s="100"/>
      <c r="O5867" s="100"/>
      <c r="P5867" s="100"/>
    </row>
    <row r="5868">
      <c r="A5868" s="114">
        <v>1630526.0</v>
      </c>
      <c r="B5868" s="131" t="s">
        <v>247</v>
      </c>
      <c r="C5868" s="131" t="s">
        <v>1434</v>
      </c>
      <c r="D5868" s="24" t="s">
        <v>177</v>
      </c>
      <c r="E5868" s="24">
        <v>360.8</v>
      </c>
      <c r="F5868" s="111" t="str">
        <f>DataPull!D5868</f>
        <v/>
      </c>
      <c r="G5868" s="94" t="str">
        <f t="shared" si="2"/>
        <v/>
      </c>
      <c r="H5868" s="94" t="str">
        <f t="shared" si="3"/>
        <v/>
      </c>
      <c r="I5868" s="94" t="str">
        <f t="shared" ref="I5868:J5868" si="5869">if(G5868 = "", , -G5868)</f>
        <v/>
      </c>
      <c r="J5868" s="94" t="str">
        <f t="shared" si="5869"/>
        <v/>
      </c>
      <c r="K5868" s="100"/>
      <c r="M5868" s="100"/>
      <c r="N5868" s="100"/>
      <c r="O5868" s="100"/>
      <c r="P5868" s="100"/>
    </row>
    <row r="5869">
      <c r="A5869" s="107">
        <v>1630527.0</v>
      </c>
      <c r="B5869" s="116" t="s">
        <v>215</v>
      </c>
      <c r="C5869" s="140" t="s">
        <v>1369</v>
      </c>
      <c r="D5869" s="24" t="s">
        <v>177</v>
      </c>
      <c r="E5869" s="24">
        <v>759.9</v>
      </c>
      <c r="F5869" s="111" t="str">
        <f>DataPull!D5869</f>
        <v/>
      </c>
      <c r="G5869" s="94" t="str">
        <f t="shared" si="2"/>
        <v/>
      </c>
      <c r="H5869" s="94" t="str">
        <f t="shared" si="3"/>
        <v/>
      </c>
      <c r="I5869" s="94" t="str">
        <f t="shared" ref="I5869:J5869" si="5870">if(G5869 = "", , -G5869)</f>
        <v/>
      </c>
      <c r="J5869" s="94" t="str">
        <f t="shared" si="5870"/>
        <v/>
      </c>
      <c r="K5869" s="100"/>
      <c r="M5869" s="100"/>
      <c r="N5869" s="100"/>
      <c r="O5869" s="100"/>
      <c r="P5869" s="100"/>
    </row>
    <row r="5870">
      <c r="A5870" s="107">
        <v>1630527.0</v>
      </c>
      <c r="B5870" s="116" t="s">
        <v>244</v>
      </c>
      <c r="C5870" s="140" t="s">
        <v>1369</v>
      </c>
      <c r="D5870" s="24" t="s">
        <v>187</v>
      </c>
      <c r="E5870" s="24">
        <v>248.6</v>
      </c>
      <c r="F5870" s="111" t="str">
        <f>DataPull!D5870</f>
        <v/>
      </c>
      <c r="G5870" s="94" t="str">
        <f t="shared" si="2"/>
        <v/>
      </c>
      <c r="H5870" s="94" t="str">
        <f t="shared" si="3"/>
        <v/>
      </c>
      <c r="I5870" s="94" t="str">
        <f t="shared" ref="I5870:J5870" si="5871">if(G5870 = "", , -G5870)</f>
        <v/>
      </c>
      <c r="J5870" s="94" t="str">
        <f t="shared" si="5871"/>
        <v/>
      </c>
      <c r="K5870" s="100"/>
      <c r="M5870" s="100"/>
      <c r="N5870" s="100"/>
      <c r="O5870" s="100"/>
      <c r="P5870" s="100"/>
    </row>
    <row r="5871">
      <c r="A5871" s="107">
        <v>1630527.0</v>
      </c>
      <c r="B5871" s="116" t="s">
        <v>245</v>
      </c>
      <c r="C5871" s="140" t="s">
        <v>1369</v>
      </c>
      <c r="D5871" s="24" t="s">
        <v>177</v>
      </c>
      <c r="E5871" s="24">
        <v>345.6</v>
      </c>
      <c r="F5871" s="111" t="str">
        <f>DataPull!D5871</f>
        <v/>
      </c>
      <c r="G5871" s="94" t="str">
        <f t="shared" si="2"/>
        <v/>
      </c>
      <c r="H5871" s="94" t="str">
        <f t="shared" si="3"/>
        <v/>
      </c>
      <c r="I5871" s="94" t="str">
        <f t="shared" ref="I5871:J5871" si="5872">if(G5871 = "", , -G5871)</f>
        <v/>
      </c>
      <c r="J5871" s="94" t="str">
        <f t="shared" si="5872"/>
        <v/>
      </c>
      <c r="K5871" s="100"/>
      <c r="M5871" s="100"/>
      <c r="N5871" s="100"/>
      <c r="O5871" s="100"/>
      <c r="P5871" s="100"/>
    </row>
    <row r="5872">
      <c r="A5872" s="107">
        <v>1630527.0</v>
      </c>
      <c r="B5872" s="116" t="s">
        <v>246</v>
      </c>
      <c r="C5872" s="140" t="s">
        <v>1369</v>
      </c>
      <c r="D5872" s="24" t="s">
        <v>176</v>
      </c>
      <c r="E5872" s="24">
        <v>991.2</v>
      </c>
      <c r="F5872" s="111" t="str">
        <f>DataPull!D5872</f>
        <v/>
      </c>
      <c r="G5872" s="94" t="str">
        <f t="shared" si="2"/>
        <v/>
      </c>
      <c r="H5872" s="94" t="str">
        <f t="shared" si="3"/>
        <v/>
      </c>
      <c r="I5872" s="94" t="str">
        <f t="shared" ref="I5872:J5872" si="5873">if(G5872 = "", , -G5872)</f>
        <v/>
      </c>
      <c r="J5872" s="94" t="str">
        <f t="shared" si="5873"/>
        <v/>
      </c>
      <c r="K5872" s="100"/>
      <c r="M5872" s="100"/>
      <c r="N5872" s="100"/>
      <c r="O5872" s="100"/>
      <c r="P5872" s="100"/>
    </row>
    <row r="5873">
      <c r="A5873" s="107">
        <v>1630528.0</v>
      </c>
      <c r="B5873" s="116" t="s">
        <v>215</v>
      </c>
      <c r="C5873" s="116" t="s">
        <v>1435</v>
      </c>
      <c r="D5873" s="24" t="s">
        <v>177</v>
      </c>
      <c r="E5873" s="24">
        <v>1332.0</v>
      </c>
      <c r="F5873" s="111" t="str">
        <f>DataPull!D5873</f>
        <v/>
      </c>
      <c r="G5873" s="94" t="str">
        <f t="shared" si="2"/>
        <v/>
      </c>
      <c r="H5873" s="94" t="str">
        <f t="shared" si="3"/>
        <v/>
      </c>
      <c r="I5873" s="94" t="str">
        <f t="shared" ref="I5873:J5873" si="5874">if(G5873 = "", , -G5873)</f>
        <v/>
      </c>
      <c r="J5873" s="94" t="str">
        <f t="shared" si="5874"/>
        <v/>
      </c>
      <c r="K5873" s="100"/>
      <c r="M5873" s="100"/>
      <c r="N5873" s="100"/>
      <c r="O5873" s="100"/>
      <c r="P5873" s="100"/>
    </row>
    <row r="5874">
      <c r="A5874" s="107">
        <v>1630528.0</v>
      </c>
      <c r="B5874" s="116" t="s">
        <v>244</v>
      </c>
      <c r="C5874" s="116" t="s">
        <v>1435</v>
      </c>
      <c r="D5874" s="24" t="s">
        <v>187</v>
      </c>
      <c r="E5874" s="24">
        <v>787.2</v>
      </c>
      <c r="F5874" s="111" t="str">
        <f>DataPull!D5874</f>
        <v/>
      </c>
      <c r="G5874" s="94" t="str">
        <f t="shared" si="2"/>
        <v/>
      </c>
      <c r="H5874" s="94" t="str">
        <f t="shared" si="3"/>
        <v/>
      </c>
      <c r="I5874" s="94" t="str">
        <f t="shared" ref="I5874:J5874" si="5875">if(G5874 = "", , -G5874)</f>
        <v/>
      </c>
      <c r="J5874" s="94" t="str">
        <f t="shared" si="5875"/>
        <v/>
      </c>
      <c r="K5874" s="100"/>
      <c r="M5874" s="100"/>
      <c r="N5874" s="100"/>
      <c r="O5874" s="100"/>
      <c r="P5874" s="100"/>
    </row>
    <row r="5875">
      <c r="A5875" s="107">
        <v>1630528.0</v>
      </c>
      <c r="B5875" s="116" t="s">
        <v>246</v>
      </c>
      <c r="C5875" s="116" t="s">
        <v>1435</v>
      </c>
      <c r="D5875" s="24" t="s">
        <v>187</v>
      </c>
      <c r="E5875" s="24">
        <v>70.0</v>
      </c>
      <c r="F5875" s="111" t="str">
        <f>DataPull!D5875</f>
        <v/>
      </c>
      <c r="G5875" s="94" t="str">
        <f t="shared" si="2"/>
        <v/>
      </c>
      <c r="H5875" s="94" t="str">
        <f t="shared" si="3"/>
        <v/>
      </c>
      <c r="I5875" s="94" t="str">
        <f t="shared" ref="I5875:J5875" si="5876">if(G5875 = "", , -G5875)</f>
        <v/>
      </c>
      <c r="J5875" s="94" t="str">
        <f t="shared" si="5876"/>
        <v/>
      </c>
      <c r="K5875" s="100"/>
      <c r="M5875" s="100"/>
      <c r="N5875" s="100"/>
      <c r="O5875" s="100"/>
      <c r="P5875" s="100"/>
    </row>
    <row r="5876">
      <c r="A5876" s="107">
        <v>1630529.0</v>
      </c>
      <c r="B5876" s="116" t="s">
        <v>215</v>
      </c>
      <c r="C5876" s="116" t="s">
        <v>1436</v>
      </c>
      <c r="D5876" s="24" t="s">
        <v>178</v>
      </c>
      <c r="E5876" s="24">
        <v>2332.2</v>
      </c>
      <c r="F5876" s="111" t="str">
        <f>DataPull!D5876</f>
        <v/>
      </c>
      <c r="G5876" s="94" t="str">
        <f t="shared" si="2"/>
        <v/>
      </c>
      <c r="H5876" s="94" t="str">
        <f t="shared" si="3"/>
        <v/>
      </c>
      <c r="I5876" s="94" t="str">
        <f t="shared" ref="I5876:J5876" si="5877">if(G5876 = "", , -G5876)</f>
        <v/>
      </c>
      <c r="J5876" s="94" t="str">
        <f t="shared" si="5877"/>
        <v/>
      </c>
      <c r="K5876" s="100"/>
      <c r="M5876" s="100"/>
      <c r="N5876" s="100"/>
      <c r="O5876" s="100"/>
      <c r="P5876" s="100"/>
    </row>
    <row r="5877">
      <c r="A5877" s="107">
        <v>1630529.0</v>
      </c>
      <c r="B5877" s="116" t="s">
        <v>244</v>
      </c>
      <c r="C5877" s="116" t="s">
        <v>1436</v>
      </c>
      <c r="D5877" s="24" t="s">
        <v>178</v>
      </c>
      <c r="E5877" s="24">
        <v>1953.6</v>
      </c>
      <c r="F5877" s="111" t="str">
        <f>DataPull!D5877</f>
        <v/>
      </c>
      <c r="G5877" s="94" t="str">
        <f t="shared" si="2"/>
        <v/>
      </c>
      <c r="H5877" s="94" t="str">
        <f t="shared" si="3"/>
        <v/>
      </c>
      <c r="I5877" s="94" t="str">
        <f t="shared" ref="I5877:J5877" si="5878">if(G5877 = "", , -G5877)</f>
        <v/>
      </c>
      <c r="J5877" s="94" t="str">
        <f t="shared" si="5878"/>
        <v/>
      </c>
      <c r="K5877" s="100"/>
      <c r="M5877" s="100"/>
      <c r="N5877" s="100"/>
      <c r="O5877" s="100"/>
      <c r="P5877" s="100"/>
    </row>
    <row r="5878">
      <c r="A5878" s="107">
        <v>1630529.0</v>
      </c>
      <c r="B5878" s="116" t="s">
        <v>245</v>
      </c>
      <c r="C5878" s="116" t="s">
        <v>1436</v>
      </c>
      <c r="D5878" s="24" t="s">
        <v>178</v>
      </c>
      <c r="E5878" s="24">
        <v>2318.0</v>
      </c>
      <c r="F5878" s="111" t="str">
        <f>DataPull!D5878</f>
        <v/>
      </c>
      <c r="G5878" s="94" t="str">
        <f t="shared" si="2"/>
        <v/>
      </c>
      <c r="H5878" s="94" t="str">
        <f t="shared" si="3"/>
        <v/>
      </c>
      <c r="I5878" s="94" t="str">
        <f t="shared" ref="I5878:J5878" si="5879">if(G5878 = "", , -G5878)</f>
        <v/>
      </c>
      <c r="J5878" s="94" t="str">
        <f t="shared" si="5879"/>
        <v/>
      </c>
      <c r="K5878" s="100"/>
      <c r="M5878" s="100"/>
      <c r="N5878" s="100"/>
      <c r="O5878" s="100"/>
      <c r="P5878" s="100"/>
    </row>
    <row r="5879">
      <c r="A5879" s="107">
        <v>1630529.0</v>
      </c>
      <c r="B5879" s="116" t="s">
        <v>246</v>
      </c>
      <c r="C5879" s="116" t="s">
        <v>1436</v>
      </c>
      <c r="D5879" s="24" t="s">
        <v>178</v>
      </c>
      <c r="E5879" s="24">
        <v>648.0</v>
      </c>
      <c r="F5879" s="111" t="str">
        <f>DataPull!D5879</f>
        <v/>
      </c>
      <c r="G5879" s="94" t="str">
        <f t="shared" si="2"/>
        <v/>
      </c>
      <c r="H5879" s="94" t="str">
        <f t="shared" si="3"/>
        <v/>
      </c>
      <c r="I5879" s="94" t="str">
        <f t="shared" ref="I5879:J5879" si="5880">if(G5879 = "", , -G5879)</f>
        <v/>
      </c>
      <c r="J5879" s="94" t="str">
        <f t="shared" si="5880"/>
        <v/>
      </c>
      <c r="K5879" s="100"/>
      <c r="M5879" s="100"/>
      <c r="N5879" s="100"/>
      <c r="O5879" s="100"/>
      <c r="P5879" s="100"/>
    </row>
    <row r="5880">
      <c r="A5880" s="114">
        <v>1630529.0</v>
      </c>
      <c r="B5880" s="131" t="s">
        <v>247</v>
      </c>
      <c r="C5880" s="131" t="s">
        <v>1436</v>
      </c>
      <c r="D5880" s="24" t="s">
        <v>178</v>
      </c>
      <c r="E5880" s="24">
        <v>1590.4</v>
      </c>
      <c r="F5880" s="111" t="str">
        <f>DataPull!D5880</f>
        <v/>
      </c>
      <c r="G5880" s="94" t="str">
        <f t="shared" si="2"/>
        <v/>
      </c>
      <c r="H5880" s="94" t="str">
        <f t="shared" si="3"/>
        <v/>
      </c>
      <c r="I5880" s="94" t="str">
        <f t="shared" ref="I5880:J5880" si="5881">if(G5880 = "", , -G5880)</f>
        <v/>
      </c>
      <c r="J5880" s="94" t="str">
        <f t="shared" si="5881"/>
        <v/>
      </c>
      <c r="K5880" s="100"/>
      <c r="M5880" s="100"/>
      <c r="N5880" s="100"/>
      <c r="O5880" s="100"/>
      <c r="P5880" s="100"/>
    </row>
    <row r="5881">
      <c r="A5881" s="107">
        <v>1630530.0</v>
      </c>
      <c r="B5881" s="116" t="s">
        <v>215</v>
      </c>
      <c r="C5881" s="140" t="s">
        <v>1437</v>
      </c>
      <c r="D5881" s="24" t="s">
        <v>177</v>
      </c>
      <c r="E5881" s="24">
        <v>861.8</v>
      </c>
      <c r="F5881" s="111" t="str">
        <f>DataPull!D5881</f>
        <v/>
      </c>
      <c r="G5881" s="94" t="str">
        <f t="shared" si="2"/>
        <v/>
      </c>
      <c r="H5881" s="94" t="str">
        <f t="shared" si="3"/>
        <v/>
      </c>
      <c r="I5881" s="94" t="str">
        <f t="shared" ref="I5881:J5881" si="5882">if(G5881 = "", , -G5881)</f>
        <v/>
      </c>
      <c r="J5881" s="94" t="str">
        <f t="shared" si="5882"/>
        <v/>
      </c>
      <c r="K5881" s="100"/>
      <c r="M5881" s="100"/>
      <c r="N5881" s="100"/>
      <c r="O5881" s="100"/>
      <c r="P5881" s="100"/>
    </row>
    <row r="5882">
      <c r="A5882" s="107">
        <v>1630530.0</v>
      </c>
      <c r="B5882" s="116" t="s">
        <v>244</v>
      </c>
      <c r="C5882" s="140" t="s">
        <v>1437</v>
      </c>
      <c r="D5882" s="24" t="s">
        <v>178</v>
      </c>
      <c r="E5882" s="24">
        <v>2449.0</v>
      </c>
      <c r="F5882" s="111" t="str">
        <f>DataPull!D5882</f>
        <v/>
      </c>
      <c r="G5882" s="94" t="str">
        <f t="shared" si="2"/>
        <v/>
      </c>
      <c r="H5882" s="94" t="str">
        <f t="shared" si="3"/>
        <v/>
      </c>
      <c r="I5882" s="94" t="str">
        <f t="shared" ref="I5882:J5882" si="5883">if(G5882 = "", , -G5882)</f>
        <v/>
      </c>
      <c r="J5882" s="94" t="str">
        <f t="shared" si="5883"/>
        <v/>
      </c>
      <c r="K5882" s="100"/>
      <c r="M5882" s="100"/>
      <c r="N5882" s="100"/>
      <c r="O5882" s="100"/>
      <c r="P5882" s="100"/>
    </row>
    <row r="5883">
      <c r="A5883" s="107">
        <v>1630530.0</v>
      </c>
      <c r="B5883" s="116" t="s">
        <v>245</v>
      </c>
      <c r="C5883" s="140" t="s">
        <v>1437</v>
      </c>
      <c r="D5883" s="24" t="s">
        <v>184</v>
      </c>
      <c r="E5883" s="24">
        <v>1692.9</v>
      </c>
      <c r="F5883" s="111" t="str">
        <f>DataPull!D5883</f>
        <v/>
      </c>
      <c r="G5883" s="94" t="str">
        <f t="shared" si="2"/>
        <v/>
      </c>
      <c r="H5883" s="94" t="str">
        <f t="shared" si="3"/>
        <v/>
      </c>
      <c r="I5883" s="94" t="str">
        <f t="shared" ref="I5883:J5883" si="5884">if(G5883 = "", , -G5883)</f>
        <v/>
      </c>
      <c r="J5883" s="94" t="str">
        <f t="shared" si="5884"/>
        <v/>
      </c>
      <c r="K5883" s="100"/>
      <c r="M5883" s="100"/>
      <c r="N5883" s="100"/>
      <c r="O5883" s="100"/>
      <c r="P5883" s="100"/>
    </row>
    <row r="5884">
      <c r="A5884" s="107">
        <v>1630530.0</v>
      </c>
      <c r="B5884" s="116" t="s">
        <v>246</v>
      </c>
      <c r="C5884" s="140" t="s">
        <v>1437</v>
      </c>
      <c r="D5884" s="24" t="s">
        <v>178</v>
      </c>
      <c r="E5884" s="24">
        <v>1855.0</v>
      </c>
      <c r="F5884" s="111" t="str">
        <f>DataPull!D5884</f>
        <v/>
      </c>
      <c r="G5884" s="94" t="str">
        <f t="shared" si="2"/>
        <v/>
      </c>
      <c r="H5884" s="94" t="str">
        <f t="shared" si="3"/>
        <v/>
      </c>
      <c r="I5884" s="94" t="str">
        <f t="shared" ref="I5884:J5884" si="5885">if(G5884 = "", , -G5884)</f>
        <v/>
      </c>
      <c r="J5884" s="94" t="str">
        <f t="shared" si="5885"/>
        <v/>
      </c>
      <c r="K5884" s="100"/>
      <c r="M5884" s="100"/>
      <c r="N5884" s="100"/>
      <c r="O5884" s="100"/>
      <c r="P5884" s="100"/>
    </row>
    <row r="5885">
      <c r="A5885" s="114">
        <v>1630530.0</v>
      </c>
      <c r="B5885" s="131" t="s">
        <v>247</v>
      </c>
      <c r="C5885" s="140" t="s">
        <v>1437</v>
      </c>
      <c r="D5885" s="24" t="s">
        <v>178</v>
      </c>
      <c r="E5885" s="24">
        <v>2343.0</v>
      </c>
      <c r="F5885" s="111" t="str">
        <f>DataPull!D5885</f>
        <v/>
      </c>
      <c r="G5885" s="94" t="str">
        <f t="shared" si="2"/>
        <v/>
      </c>
      <c r="H5885" s="94" t="str">
        <f t="shared" si="3"/>
        <v/>
      </c>
      <c r="I5885" s="94" t="str">
        <f t="shared" ref="I5885:J5885" si="5886">if(G5885 = "", , -G5885)</f>
        <v/>
      </c>
      <c r="J5885" s="94" t="str">
        <f t="shared" si="5886"/>
        <v/>
      </c>
      <c r="K5885" s="100"/>
      <c r="M5885" s="100"/>
      <c r="N5885" s="100"/>
      <c r="O5885" s="100"/>
      <c r="P5885" s="100"/>
    </row>
    <row r="5886">
      <c r="A5886" s="107">
        <v>1630531.0</v>
      </c>
      <c r="B5886" s="116" t="s">
        <v>215</v>
      </c>
      <c r="C5886" s="116" t="s">
        <v>1438</v>
      </c>
      <c r="D5886" s="24" t="s">
        <v>181</v>
      </c>
      <c r="E5886" s="24">
        <v>5.6</v>
      </c>
      <c r="F5886" s="111" t="str">
        <f>DataPull!D5886</f>
        <v/>
      </c>
      <c r="G5886" s="94" t="str">
        <f t="shared" si="2"/>
        <v/>
      </c>
      <c r="H5886" s="94" t="str">
        <f t="shared" si="3"/>
        <v/>
      </c>
      <c r="I5886" s="94" t="str">
        <f t="shared" ref="I5886:J5886" si="5887">if(G5886 = "", , -G5886)</f>
        <v/>
      </c>
      <c r="J5886" s="94" t="str">
        <f t="shared" si="5887"/>
        <v/>
      </c>
      <c r="K5886" s="100"/>
      <c r="M5886" s="100"/>
      <c r="N5886" s="100"/>
      <c r="O5886" s="100"/>
      <c r="P5886" s="100"/>
    </row>
    <row r="5887">
      <c r="A5887" s="107">
        <v>1630531.0</v>
      </c>
      <c r="B5887" s="116" t="s">
        <v>244</v>
      </c>
      <c r="C5887" s="116" t="s">
        <v>1438</v>
      </c>
      <c r="D5887" s="24" t="s">
        <v>187</v>
      </c>
      <c r="E5887" s="24">
        <v>89.6</v>
      </c>
      <c r="F5887" s="111" t="str">
        <f>DataPull!D5887</f>
        <v/>
      </c>
      <c r="G5887" s="94" t="str">
        <f t="shared" si="2"/>
        <v/>
      </c>
      <c r="H5887" s="94" t="str">
        <f t="shared" si="3"/>
        <v/>
      </c>
      <c r="I5887" s="94" t="str">
        <f t="shared" ref="I5887:J5887" si="5888">if(G5887 = "", , -G5887)</f>
        <v/>
      </c>
      <c r="J5887" s="94" t="str">
        <f t="shared" si="5888"/>
        <v/>
      </c>
      <c r="K5887" s="100"/>
      <c r="M5887" s="100"/>
      <c r="N5887" s="100"/>
      <c r="O5887" s="100"/>
      <c r="P5887" s="100"/>
    </row>
    <row r="5888">
      <c r="A5888" s="107">
        <v>1630531.0</v>
      </c>
      <c r="B5888" s="116" t="s">
        <v>245</v>
      </c>
      <c r="C5888" s="116" t="s">
        <v>1438</v>
      </c>
      <c r="D5888" s="24" t="s">
        <v>177</v>
      </c>
      <c r="E5888" s="24">
        <v>504.7</v>
      </c>
      <c r="F5888" s="111" t="str">
        <f>DataPull!D5888</f>
        <v/>
      </c>
      <c r="G5888" s="94" t="str">
        <f t="shared" si="2"/>
        <v/>
      </c>
      <c r="H5888" s="94" t="str">
        <f t="shared" si="3"/>
        <v/>
      </c>
      <c r="I5888" s="94" t="str">
        <f t="shared" ref="I5888:J5888" si="5889">if(G5888 = "", , -G5888)</f>
        <v/>
      </c>
      <c r="J5888" s="94" t="str">
        <f t="shared" si="5889"/>
        <v/>
      </c>
      <c r="K5888" s="100"/>
      <c r="M5888" s="100"/>
      <c r="N5888" s="100"/>
      <c r="O5888" s="100"/>
      <c r="P5888" s="100"/>
    </row>
    <row r="5889">
      <c r="A5889" s="107">
        <v>1630531.0</v>
      </c>
      <c r="B5889" s="116" t="s">
        <v>246</v>
      </c>
      <c r="C5889" s="116" t="s">
        <v>1438</v>
      </c>
      <c r="D5889" s="24" t="s">
        <v>187</v>
      </c>
      <c r="E5889" s="24">
        <v>365.5</v>
      </c>
      <c r="F5889" s="111" t="str">
        <f>DataPull!D5889</f>
        <v/>
      </c>
      <c r="G5889" s="94" t="str">
        <f t="shared" si="2"/>
        <v/>
      </c>
      <c r="H5889" s="94" t="str">
        <f t="shared" si="3"/>
        <v/>
      </c>
      <c r="I5889" s="94" t="str">
        <f t="shared" ref="I5889:J5889" si="5890">if(G5889 = "", , -G5889)</f>
        <v/>
      </c>
      <c r="J5889" s="94" t="str">
        <f t="shared" si="5890"/>
        <v/>
      </c>
      <c r="K5889" s="100"/>
      <c r="M5889" s="100"/>
      <c r="N5889" s="100"/>
      <c r="O5889" s="100"/>
      <c r="P5889" s="100"/>
    </row>
    <row r="5890">
      <c r="A5890" s="107">
        <v>1630532.0</v>
      </c>
      <c r="B5890" s="116" t="s">
        <v>215</v>
      </c>
      <c r="C5890" s="116" t="s">
        <v>1439</v>
      </c>
      <c r="D5890" s="24" t="s">
        <v>178</v>
      </c>
      <c r="E5890" s="24">
        <v>2425.3</v>
      </c>
      <c r="F5890" s="111" t="str">
        <f>DataPull!D5890</f>
        <v/>
      </c>
      <c r="G5890" s="94" t="str">
        <f t="shared" si="2"/>
        <v/>
      </c>
      <c r="H5890" s="94" t="str">
        <f t="shared" si="3"/>
        <v/>
      </c>
      <c r="I5890" s="94" t="str">
        <f t="shared" ref="I5890:J5890" si="5891">if(G5890 = "", , -G5890)</f>
        <v/>
      </c>
      <c r="J5890" s="94" t="str">
        <f t="shared" si="5891"/>
        <v/>
      </c>
      <c r="K5890" s="100"/>
      <c r="M5890" s="100"/>
      <c r="N5890" s="100"/>
      <c r="O5890" s="100"/>
      <c r="P5890" s="100"/>
    </row>
    <row r="5891">
      <c r="A5891" s="107">
        <v>1630532.0</v>
      </c>
      <c r="B5891" s="116" t="s">
        <v>244</v>
      </c>
      <c r="C5891" s="116" t="s">
        <v>1439</v>
      </c>
      <c r="D5891" s="24" t="s">
        <v>178</v>
      </c>
      <c r="E5891" s="24">
        <v>2608.0</v>
      </c>
      <c r="F5891" s="111" t="str">
        <f>DataPull!D5891</f>
        <v/>
      </c>
      <c r="G5891" s="94" t="str">
        <f t="shared" si="2"/>
        <v/>
      </c>
      <c r="H5891" s="94" t="str">
        <f t="shared" si="3"/>
        <v/>
      </c>
      <c r="I5891" s="94" t="str">
        <f t="shared" ref="I5891:J5891" si="5892">if(G5891 = "", , -G5891)</f>
        <v/>
      </c>
      <c r="J5891" s="94" t="str">
        <f t="shared" si="5892"/>
        <v/>
      </c>
      <c r="K5891" s="100"/>
      <c r="M5891" s="100"/>
      <c r="N5891" s="100"/>
      <c r="O5891" s="100"/>
      <c r="P5891" s="100"/>
    </row>
    <row r="5892">
      <c r="A5892" s="107">
        <v>1630532.0</v>
      </c>
      <c r="B5892" s="116" t="s">
        <v>245</v>
      </c>
      <c r="C5892" s="116" t="s">
        <v>1439</v>
      </c>
      <c r="D5892" s="24" t="s">
        <v>184</v>
      </c>
      <c r="E5892" s="24">
        <v>2340.0</v>
      </c>
      <c r="F5892" s="111" t="str">
        <f>DataPull!D5892</f>
        <v/>
      </c>
      <c r="G5892" s="94" t="str">
        <f t="shared" si="2"/>
        <v/>
      </c>
      <c r="H5892" s="94" t="str">
        <f t="shared" si="3"/>
        <v/>
      </c>
      <c r="I5892" s="94" t="str">
        <f t="shared" ref="I5892:J5892" si="5893">if(G5892 = "", , -G5892)</f>
        <v/>
      </c>
      <c r="J5892" s="94" t="str">
        <f t="shared" si="5893"/>
        <v/>
      </c>
      <c r="K5892" s="100"/>
      <c r="M5892" s="100"/>
      <c r="N5892" s="100"/>
      <c r="O5892" s="100"/>
      <c r="P5892" s="100"/>
    </row>
    <row r="5893">
      <c r="A5893" s="107">
        <v>1630532.0</v>
      </c>
      <c r="B5893" s="116" t="s">
        <v>246</v>
      </c>
      <c r="C5893" s="116" t="s">
        <v>1439</v>
      </c>
      <c r="D5893" s="24" t="s">
        <v>184</v>
      </c>
      <c r="E5893" s="24">
        <v>2022.0</v>
      </c>
      <c r="F5893" s="111" t="str">
        <f>DataPull!D5893</f>
        <v/>
      </c>
      <c r="G5893" s="94" t="str">
        <f t="shared" si="2"/>
        <v/>
      </c>
      <c r="H5893" s="94" t="str">
        <f t="shared" si="3"/>
        <v/>
      </c>
      <c r="I5893" s="94" t="str">
        <f t="shared" ref="I5893:J5893" si="5894">if(G5893 = "", , -G5893)</f>
        <v/>
      </c>
      <c r="J5893" s="94" t="str">
        <f t="shared" si="5894"/>
        <v/>
      </c>
      <c r="K5893" s="100"/>
      <c r="M5893" s="100"/>
      <c r="N5893" s="100"/>
      <c r="O5893" s="100"/>
      <c r="P5893" s="100"/>
    </row>
    <row r="5894">
      <c r="A5894" s="114">
        <v>1630532.0</v>
      </c>
      <c r="B5894" s="131" t="s">
        <v>247</v>
      </c>
      <c r="C5894" s="131" t="s">
        <v>1439</v>
      </c>
      <c r="D5894" s="24" t="s">
        <v>184</v>
      </c>
      <c r="E5894" s="24">
        <v>1020.0</v>
      </c>
      <c r="F5894" s="111" t="str">
        <f>DataPull!D5894</f>
        <v/>
      </c>
      <c r="G5894" s="94" t="str">
        <f t="shared" si="2"/>
        <v/>
      </c>
      <c r="H5894" s="94" t="str">
        <f t="shared" si="3"/>
        <v/>
      </c>
      <c r="I5894" s="94" t="str">
        <f t="shared" ref="I5894:J5894" si="5895">if(G5894 = "", , -G5894)</f>
        <v/>
      </c>
      <c r="J5894" s="94" t="str">
        <f t="shared" si="5895"/>
        <v/>
      </c>
      <c r="K5894" s="100"/>
      <c r="M5894" s="100"/>
      <c r="N5894" s="100"/>
      <c r="O5894" s="100"/>
      <c r="P5894" s="100"/>
    </row>
    <row r="5895">
      <c r="A5895" s="107">
        <v>1630533.0</v>
      </c>
      <c r="B5895" s="116" t="s">
        <v>215</v>
      </c>
      <c r="C5895" s="116" t="s">
        <v>1440</v>
      </c>
      <c r="D5895" s="24" t="s">
        <v>176</v>
      </c>
      <c r="E5895" s="24">
        <v>1345.4</v>
      </c>
      <c r="F5895" s="111" t="str">
        <f>DataPull!D5895</f>
        <v/>
      </c>
      <c r="G5895" s="94" t="str">
        <f t="shared" si="2"/>
        <v/>
      </c>
      <c r="H5895" s="94" t="str">
        <f t="shared" si="3"/>
        <v/>
      </c>
      <c r="I5895" s="94" t="str">
        <f t="shared" ref="I5895:J5895" si="5896">if(G5895 = "", , -G5895)</f>
        <v/>
      </c>
      <c r="J5895" s="94" t="str">
        <f t="shared" si="5896"/>
        <v/>
      </c>
      <c r="K5895" s="100"/>
      <c r="M5895" s="100"/>
      <c r="N5895" s="100"/>
      <c r="O5895" s="100"/>
      <c r="P5895" s="100"/>
    </row>
    <row r="5896">
      <c r="A5896" s="107">
        <v>1630533.0</v>
      </c>
      <c r="B5896" s="116" t="s">
        <v>244</v>
      </c>
      <c r="C5896" s="116" t="s">
        <v>1440</v>
      </c>
      <c r="D5896" s="24" t="s">
        <v>177</v>
      </c>
      <c r="E5896" s="24">
        <v>562.4</v>
      </c>
      <c r="F5896" s="111" t="str">
        <f>DataPull!D5896</f>
        <v/>
      </c>
      <c r="G5896" s="94" t="str">
        <f t="shared" si="2"/>
        <v/>
      </c>
      <c r="H5896" s="94" t="str">
        <f t="shared" si="3"/>
        <v/>
      </c>
      <c r="I5896" s="94" t="str">
        <f t="shared" ref="I5896:J5896" si="5897">if(G5896 = "", , -G5896)</f>
        <v/>
      </c>
      <c r="J5896" s="94" t="str">
        <f t="shared" si="5897"/>
        <v/>
      </c>
      <c r="K5896" s="100"/>
      <c r="M5896" s="100"/>
      <c r="N5896" s="100"/>
      <c r="O5896" s="100"/>
      <c r="P5896" s="100"/>
    </row>
    <row r="5897">
      <c r="A5897" s="107">
        <v>1630533.0</v>
      </c>
      <c r="B5897" s="116" t="s">
        <v>245</v>
      </c>
      <c r="C5897" s="116" t="s">
        <v>1440</v>
      </c>
      <c r="D5897" s="24" t="s">
        <v>177</v>
      </c>
      <c r="E5897" s="24">
        <v>1035.3</v>
      </c>
      <c r="F5897" s="111" t="str">
        <f>DataPull!D5897</f>
        <v/>
      </c>
      <c r="G5897" s="94" t="str">
        <f t="shared" si="2"/>
        <v/>
      </c>
      <c r="H5897" s="94" t="str">
        <f t="shared" si="3"/>
        <v/>
      </c>
      <c r="I5897" s="94" t="str">
        <f t="shared" ref="I5897:J5897" si="5898">if(G5897 = "", , -G5897)</f>
        <v/>
      </c>
      <c r="J5897" s="94" t="str">
        <f t="shared" si="5898"/>
        <v/>
      </c>
      <c r="K5897" s="100"/>
      <c r="M5897" s="100"/>
      <c r="N5897" s="100"/>
      <c r="O5897" s="100"/>
      <c r="P5897" s="100"/>
    </row>
    <row r="5898">
      <c r="A5898" s="107">
        <v>1630533.0</v>
      </c>
      <c r="B5898" s="116" t="s">
        <v>246</v>
      </c>
      <c r="C5898" s="116" t="s">
        <v>1440</v>
      </c>
      <c r="D5898" s="24" t="s">
        <v>176</v>
      </c>
      <c r="E5898" s="24">
        <v>1543.5</v>
      </c>
      <c r="F5898" s="111" t="str">
        <f>DataPull!D5898</f>
        <v/>
      </c>
      <c r="G5898" s="94" t="str">
        <f t="shared" si="2"/>
        <v/>
      </c>
      <c r="H5898" s="94" t="str">
        <f t="shared" si="3"/>
        <v/>
      </c>
      <c r="I5898" s="94" t="str">
        <f t="shared" ref="I5898:J5898" si="5899">if(G5898 = "", , -G5898)</f>
        <v/>
      </c>
      <c r="J5898" s="94" t="str">
        <f t="shared" si="5899"/>
        <v/>
      </c>
      <c r="K5898" s="100"/>
      <c r="M5898" s="100"/>
      <c r="N5898" s="100"/>
      <c r="O5898" s="100"/>
      <c r="P5898" s="100"/>
    </row>
    <row r="5899">
      <c r="A5899" s="114">
        <v>1630533.0</v>
      </c>
      <c r="B5899" s="131" t="s">
        <v>247</v>
      </c>
      <c r="C5899" s="131" t="s">
        <v>1440</v>
      </c>
      <c r="D5899" s="24" t="s">
        <v>176</v>
      </c>
      <c r="E5899" s="24">
        <v>1282.4</v>
      </c>
      <c r="F5899" s="111" t="str">
        <f>DataPull!D5899</f>
        <v/>
      </c>
      <c r="G5899" s="94" t="str">
        <f t="shared" si="2"/>
        <v/>
      </c>
      <c r="H5899" s="94" t="str">
        <f t="shared" si="3"/>
        <v/>
      </c>
      <c r="I5899" s="94" t="str">
        <f t="shared" ref="I5899:J5899" si="5900">if(G5899 = "", , -G5899)</f>
        <v/>
      </c>
      <c r="J5899" s="94" t="str">
        <f t="shared" si="5900"/>
        <v/>
      </c>
      <c r="K5899" s="100"/>
      <c r="M5899" s="100"/>
      <c r="N5899" s="100"/>
      <c r="O5899" s="100"/>
      <c r="P5899" s="100"/>
    </row>
    <row r="5900">
      <c r="A5900" s="107">
        <v>1630534.0</v>
      </c>
      <c r="B5900" s="116" t="s">
        <v>244</v>
      </c>
      <c r="C5900" s="116" t="s">
        <v>1441</v>
      </c>
      <c r="D5900" s="24" t="s">
        <v>177</v>
      </c>
      <c r="E5900" s="24">
        <v>1209.5</v>
      </c>
      <c r="F5900" s="111" t="str">
        <f>DataPull!D5900</f>
        <v/>
      </c>
      <c r="G5900" s="94" t="str">
        <f t="shared" si="2"/>
        <v/>
      </c>
      <c r="H5900" s="94" t="str">
        <f t="shared" si="3"/>
        <v/>
      </c>
      <c r="I5900" s="94" t="str">
        <f t="shared" ref="I5900:J5900" si="5901">if(G5900 = "", , -G5900)</f>
        <v/>
      </c>
      <c r="J5900" s="94" t="str">
        <f t="shared" si="5901"/>
        <v/>
      </c>
      <c r="K5900" s="100"/>
      <c r="M5900" s="100"/>
      <c r="N5900" s="100"/>
      <c r="O5900" s="100"/>
      <c r="P5900" s="100"/>
    </row>
    <row r="5901">
      <c r="A5901" s="107">
        <v>1630534.0</v>
      </c>
      <c r="B5901" s="116" t="s">
        <v>245</v>
      </c>
      <c r="C5901" s="116" t="s">
        <v>1441</v>
      </c>
      <c r="D5901" s="24" t="s">
        <v>177</v>
      </c>
      <c r="E5901" s="24">
        <v>1638.0</v>
      </c>
      <c r="F5901" s="111" t="str">
        <f>DataPull!D5901</f>
        <v/>
      </c>
      <c r="G5901" s="94" t="str">
        <f t="shared" si="2"/>
        <v/>
      </c>
      <c r="H5901" s="94" t="str">
        <f t="shared" si="3"/>
        <v/>
      </c>
      <c r="I5901" s="94" t="str">
        <f t="shared" ref="I5901:J5901" si="5902">if(G5901 = "", , -G5901)</f>
        <v/>
      </c>
      <c r="J5901" s="94" t="str">
        <f t="shared" si="5902"/>
        <v/>
      </c>
      <c r="K5901" s="100"/>
      <c r="M5901" s="100"/>
      <c r="N5901" s="100"/>
      <c r="O5901" s="100"/>
      <c r="P5901" s="100"/>
    </row>
    <row r="5902">
      <c r="A5902" s="136">
        <v>1630534.0</v>
      </c>
      <c r="B5902" s="116" t="s">
        <v>246</v>
      </c>
      <c r="C5902" s="137" t="s">
        <v>1441</v>
      </c>
      <c r="D5902" s="24" t="s">
        <v>176</v>
      </c>
      <c r="E5902" s="24">
        <v>1740.8</v>
      </c>
      <c r="F5902" s="111" t="str">
        <f>DataPull!D5902</f>
        <v/>
      </c>
      <c r="G5902" s="94" t="str">
        <f t="shared" si="2"/>
        <v/>
      </c>
      <c r="H5902" s="94" t="str">
        <f t="shared" si="3"/>
        <v/>
      </c>
      <c r="I5902" s="94" t="str">
        <f t="shared" ref="I5902:J5902" si="5903">if(G5902 = "", , -G5902)</f>
        <v/>
      </c>
      <c r="J5902" s="94" t="str">
        <f t="shared" si="5903"/>
        <v/>
      </c>
      <c r="K5902" s="100"/>
      <c r="M5902" s="100"/>
      <c r="N5902" s="100"/>
      <c r="O5902" s="100"/>
      <c r="P5902" s="100"/>
    </row>
    <row r="5903">
      <c r="A5903" s="114">
        <v>1630534.0</v>
      </c>
      <c r="B5903" s="131" t="s">
        <v>247</v>
      </c>
      <c r="C5903" s="131" t="s">
        <v>1441</v>
      </c>
      <c r="D5903" s="24" t="s">
        <v>177</v>
      </c>
      <c r="E5903" s="24">
        <v>973.4</v>
      </c>
      <c r="F5903" s="111" t="str">
        <f>DataPull!D5903</f>
        <v/>
      </c>
      <c r="G5903" s="94" t="str">
        <f t="shared" si="2"/>
        <v/>
      </c>
      <c r="H5903" s="94" t="str">
        <f t="shared" si="3"/>
        <v/>
      </c>
      <c r="I5903" s="94" t="str">
        <f t="shared" ref="I5903:J5903" si="5904">if(G5903 = "", , -G5903)</f>
        <v/>
      </c>
      <c r="J5903" s="94" t="str">
        <f t="shared" si="5904"/>
        <v/>
      </c>
      <c r="K5903" s="100"/>
      <c r="M5903" s="100"/>
      <c r="N5903" s="100"/>
      <c r="O5903" s="100"/>
      <c r="P5903" s="100"/>
    </row>
    <row r="5904">
      <c r="A5904" s="107">
        <v>1630535.0</v>
      </c>
      <c r="B5904" s="116" t="s">
        <v>215</v>
      </c>
      <c r="C5904" s="140" t="s">
        <v>1442</v>
      </c>
      <c r="D5904" s="24" t="s">
        <v>177</v>
      </c>
      <c r="E5904" s="24">
        <v>638.4</v>
      </c>
      <c r="F5904" s="111" t="str">
        <f>DataPull!D5904</f>
        <v/>
      </c>
      <c r="G5904" s="94" t="str">
        <f t="shared" si="2"/>
        <v/>
      </c>
      <c r="H5904" s="94" t="str">
        <f t="shared" si="3"/>
        <v/>
      </c>
      <c r="I5904" s="94" t="str">
        <f t="shared" ref="I5904:J5904" si="5905">if(G5904 = "", , -G5904)</f>
        <v/>
      </c>
      <c r="J5904" s="94" t="str">
        <f t="shared" si="5905"/>
        <v/>
      </c>
      <c r="K5904" s="100"/>
      <c r="M5904" s="100"/>
      <c r="N5904" s="100"/>
      <c r="O5904" s="100"/>
      <c r="P5904" s="100"/>
    </row>
    <row r="5905">
      <c r="A5905" s="107">
        <v>1630535.0</v>
      </c>
      <c r="B5905" s="116" t="s">
        <v>244</v>
      </c>
      <c r="C5905" s="140" t="s">
        <v>1442</v>
      </c>
      <c r="D5905" s="24" t="s">
        <v>187</v>
      </c>
      <c r="E5905" s="24">
        <v>92.8</v>
      </c>
      <c r="F5905" s="111" t="str">
        <f>DataPull!D5905</f>
        <v/>
      </c>
      <c r="G5905" s="94" t="str">
        <f t="shared" si="2"/>
        <v/>
      </c>
      <c r="H5905" s="94" t="str">
        <f t="shared" si="3"/>
        <v/>
      </c>
      <c r="I5905" s="94" t="str">
        <f t="shared" ref="I5905:J5905" si="5906">if(G5905 = "", , -G5905)</f>
        <v/>
      </c>
      <c r="J5905" s="94" t="str">
        <f t="shared" si="5906"/>
        <v/>
      </c>
      <c r="K5905" s="100"/>
      <c r="M5905" s="100"/>
      <c r="N5905" s="100"/>
      <c r="O5905" s="100"/>
      <c r="P5905" s="100"/>
    </row>
    <row r="5906">
      <c r="A5906" s="107">
        <v>1630535.0</v>
      </c>
      <c r="B5906" s="116" t="s">
        <v>245</v>
      </c>
      <c r="C5906" s="140" t="s">
        <v>1442</v>
      </c>
      <c r="D5906" s="24" t="s">
        <v>181</v>
      </c>
      <c r="E5906" s="24">
        <v>39.6</v>
      </c>
      <c r="F5906" s="111" t="str">
        <f>DataPull!D5906</f>
        <v/>
      </c>
      <c r="G5906" s="94" t="str">
        <f t="shared" si="2"/>
        <v/>
      </c>
      <c r="H5906" s="94" t="str">
        <f t="shared" si="3"/>
        <v/>
      </c>
      <c r="I5906" s="94" t="str">
        <f t="shared" ref="I5906:J5906" si="5907">if(G5906 = "", , -G5906)</f>
        <v/>
      </c>
      <c r="J5906" s="94" t="str">
        <f t="shared" si="5907"/>
        <v/>
      </c>
      <c r="K5906" s="100"/>
      <c r="M5906" s="100"/>
      <c r="N5906" s="100"/>
      <c r="O5906" s="100"/>
      <c r="P5906" s="100"/>
    </row>
    <row r="5907">
      <c r="A5907" s="107">
        <v>1630536.0</v>
      </c>
      <c r="B5907" s="116" t="s">
        <v>215</v>
      </c>
      <c r="C5907" s="116" t="s">
        <v>1443</v>
      </c>
      <c r="D5907" s="24" t="s">
        <v>187</v>
      </c>
      <c r="E5907" s="24">
        <v>39.0</v>
      </c>
      <c r="F5907" s="111" t="str">
        <f>DataPull!D5907</f>
        <v/>
      </c>
      <c r="G5907" s="94" t="str">
        <f t="shared" si="2"/>
        <v/>
      </c>
      <c r="H5907" s="94" t="str">
        <f t="shared" si="3"/>
        <v/>
      </c>
      <c r="I5907" s="94" t="str">
        <f t="shared" ref="I5907:J5907" si="5908">if(G5907 = "", , -G5907)</f>
        <v/>
      </c>
      <c r="J5907" s="94" t="str">
        <f t="shared" si="5908"/>
        <v/>
      </c>
      <c r="K5907" s="100"/>
      <c r="M5907" s="100"/>
      <c r="N5907" s="100"/>
      <c r="O5907" s="100"/>
      <c r="P5907" s="100"/>
    </row>
    <row r="5908">
      <c r="A5908" s="114">
        <v>1630536.0</v>
      </c>
      <c r="B5908" s="131" t="s">
        <v>247</v>
      </c>
      <c r="C5908" s="131" t="s">
        <v>1443</v>
      </c>
      <c r="D5908" s="24" t="s">
        <v>177</v>
      </c>
      <c r="E5908" s="24">
        <v>701.1</v>
      </c>
      <c r="F5908" s="111" t="str">
        <f>DataPull!D5908</f>
        <v/>
      </c>
      <c r="G5908" s="94" t="str">
        <f t="shared" si="2"/>
        <v/>
      </c>
      <c r="H5908" s="94" t="str">
        <f t="shared" si="3"/>
        <v/>
      </c>
      <c r="I5908" s="94" t="str">
        <f t="shared" ref="I5908:J5908" si="5909">if(G5908 = "", , -G5908)</f>
        <v/>
      </c>
      <c r="J5908" s="94" t="str">
        <f t="shared" si="5909"/>
        <v/>
      </c>
      <c r="K5908" s="100"/>
      <c r="M5908" s="100"/>
      <c r="N5908" s="100"/>
      <c r="O5908" s="100"/>
      <c r="P5908" s="100"/>
    </row>
    <row r="5909">
      <c r="A5909" s="107">
        <v>1630537.0</v>
      </c>
      <c r="B5909" s="116" t="s">
        <v>215</v>
      </c>
      <c r="C5909" s="116" t="s">
        <v>1444</v>
      </c>
      <c r="D5909" s="24" t="s">
        <v>176</v>
      </c>
      <c r="E5909" s="24">
        <v>1540.0</v>
      </c>
      <c r="F5909" s="111" t="str">
        <f>DataPull!D5909</f>
        <v/>
      </c>
      <c r="G5909" s="94" t="str">
        <f t="shared" si="2"/>
        <v/>
      </c>
      <c r="H5909" s="94" t="str">
        <f t="shared" si="3"/>
        <v/>
      </c>
      <c r="I5909" s="94" t="str">
        <f t="shared" ref="I5909:J5909" si="5910">if(G5909 = "", , -G5909)</f>
        <v/>
      </c>
      <c r="J5909" s="94" t="str">
        <f t="shared" si="5910"/>
        <v/>
      </c>
      <c r="K5909" s="100"/>
      <c r="M5909" s="100"/>
      <c r="N5909" s="100"/>
      <c r="O5909" s="100"/>
      <c r="P5909" s="100"/>
    </row>
    <row r="5910">
      <c r="A5910" s="107">
        <v>1630537.0</v>
      </c>
      <c r="B5910" s="116" t="s">
        <v>244</v>
      </c>
      <c r="C5910" s="116" t="s">
        <v>1444</v>
      </c>
      <c r="D5910" s="24" t="s">
        <v>177</v>
      </c>
      <c r="E5910" s="24">
        <v>897.0</v>
      </c>
      <c r="F5910" s="111" t="str">
        <f>DataPull!D5910</f>
        <v/>
      </c>
      <c r="G5910" s="94" t="str">
        <f t="shared" si="2"/>
        <v/>
      </c>
      <c r="H5910" s="94" t="str">
        <f t="shared" si="3"/>
        <v/>
      </c>
      <c r="I5910" s="94" t="str">
        <f t="shared" ref="I5910:J5910" si="5911">if(G5910 = "", , -G5910)</f>
        <v/>
      </c>
      <c r="J5910" s="94" t="str">
        <f t="shared" si="5911"/>
        <v/>
      </c>
      <c r="K5910" s="100"/>
      <c r="M5910" s="100"/>
      <c r="N5910" s="100"/>
      <c r="O5910" s="100"/>
      <c r="P5910" s="100"/>
    </row>
    <row r="5911">
      <c r="A5911" s="107">
        <v>1630537.0</v>
      </c>
      <c r="B5911" s="116" t="s">
        <v>245</v>
      </c>
      <c r="C5911" s="116" t="s">
        <v>1444</v>
      </c>
      <c r="D5911" s="24" t="s">
        <v>177</v>
      </c>
      <c r="E5911" s="24">
        <v>719.8</v>
      </c>
      <c r="F5911" s="111" t="str">
        <f>DataPull!D5911</f>
        <v/>
      </c>
      <c r="G5911" s="94" t="str">
        <f t="shared" si="2"/>
        <v/>
      </c>
      <c r="H5911" s="94" t="str">
        <f t="shared" si="3"/>
        <v/>
      </c>
      <c r="I5911" s="94" t="str">
        <f t="shared" ref="I5911:J5911" si="5912">if(G5911 = "", , -G5911)</f>
        <v/>
      </c>
      <c r="J5911" s="94" t="str">
        <f t="shared" si="5912"/>
        <v/>
      </c>
      <c r="K5911" s="100"/>
      <c r="M5911" s="100"/>
      <c r="N5911" s="100"/>
      <c r="O5911" s="100"/>
      <c r="P5911" s="100"/>
    </row>
    <row r="5912">
      <c r="A5912" s="107">
        <v>1630537.0</v>
      </c>
      <c r="B5912" s="116" t="s">
        <v>246</v>
      </c>
      <c r="C5912" s="116" t="s">
        <v>1444</v>
      </c>
      <c r="D5912" s="24" t="s">
        <v>187</v>
      </c>
      <c r="E5912" s="24">
        <v>74.8</v>
      </c>
      <c r="F5912" s="111" t="str">
        <f>DataPull!D5912</f>
        <v/>
      </c>
      <c r="G5912" s="94" t="str">
        <f t="shared" si="2"/>
        <v/>
      </c>
      <c r="H5912" s="94" t="str">
        <f t="shared" si="3"/>
        <v/>
      </c>
      <c r="I5912" s="94" t="str">
        <f t="shared" ref="I5912:J5912" si="5913">if(G5912 = "", , -G5912)</f>
        <v/>
      </c>
      <c r="J5912" s="94" t="str">
        <f t="shared" si="5913"/>
        <v/>
      </c>
      <c r="K5912" s="100"/>
      <c r="M5912" s="100"/>
      <c r="N5912" s="100"/>
      <c r="O5912" s="100"/>
      <c r="P5912" s="100"/>
    </row>
    <row r="5913">
      <c r="A5913" s="107">
        <v>1630538.0</v>
      </c>
      <c r="B5913" s="116" t="s">
        <v>215</v>
      </c>
      <c r="C5913" s="116" t="s">
        <v>1445</v>
      </c>
      <c r="D5913" s="24" t="s">
        <v>177</v>
      </c>
      <c r="E5913" s="24">
        <v>1311.0</v>
      </c>
      <c r="F5913" s="111" t="str">
        <f>DataPull!D5913</f>
        <v/>
      </c>
      <c r="G5913" s="94" t="str">
        <f t="shared" si="2"/>
        <v/>
      </c>
      <c r="H5913" s="94" t="str">
        <f t="shared" si="3"/>
        <v/>
      </c>
      <c r="I5913" s="94" t="str">
        <f t="shared" ref="I5913:J5913" si="5914">if(G5913 = "", , -G5913)</f>
        <v/>
      </c>
      <c r="J5913" s="94" t="str">
        <f t="shared" si="5914"/>
        <v/>
      </c>
      <c r="K5913" s="100"/>
      <c r="M5913" s="100"/>
      <c r="N5913" s="100"/>
      <c r="O5913" s="100"/>
      <c r="P5913" s="100"/>
    </row>
    <row r="5914">
      <c r="A5914" s="107">
        <v>1630538.0</v>
      </c>
      <c r="B5914" s="116" t="s">
        <v>244</v>
      </c>
      <c r="C5914" s="116" t="s">
        <v>1445</v>
      </c>
      <c r="D5914" s="24" t="s">
        <v>177</v>
      </c>
      <c r="E5914" s="24">
        <v>1086.4</v>
      </c>
      <c r="F5914" s="111" t="str">
        <f>DataPull!D5914</f>
        <v/>
      </c>
      <c r="G5914" s="94" t="str">
        <f t="shared" si="2"/>
        <v/>
      </c>
      <c r="H5914" s="94" t="str">
        <f t="shared" si="3"/>
        <v/>
      </c>
      <c r="I5914" s="94" t="str">
        <f t="shared" ref="I5914:J5914" si="5915">if(G5914 = "", , -G5914)</f>
        <v/>
      </c>
      <c r="J5914" s="94" t="str">
        <f t="shared" si="5915"/>
        <v/>
      </c>
      <c r="K5914" s="100"/>
      <c r="M5914" s="100"/>
      <c r="N5914" s="100"/>
      <c r="O5914" s="100"/>
      <c r="P5914" s="100"/>
    </row>
    <row r="5915">
      <c r="A5915" s="107">
        <v>1630538.0</v>
      </c>
      <c r="B5915" s="116" t="s">
        <v>245</v>
      </c>
      <c r="C5915" s="137" t="s">
        <v>1445</v>
      </c>
      <c r="D5915" s="24" t="s">
        <v>177</v>
      </c>
      <c r="E5915" s="24">
        <v>540.2</v>
      </c>
      <c r="F5915" s="111" t="str">
        <f>DataPull!D5915</f>
        <v/>
      </c>
      <c r="G5915" s="94" t="str">
        <f t="shared" si="2"/>
        <v/>
      </c>
      <c r="H5915" s="94" t="str">
        <f t="shared" si="3"/>
        <v/>
      </c>
      <c r="I5915" s="94" t="str">
        <f t="shared" ref="I5915:J5915" si="5916">if(G5915 = "", , -G5915)</f>
        <v/>
      </c>
      <c r="J5915" s="94" t="str">
        <f t="shared" si="5916"/>
        <v/>
      </c>
      <c r="K5915" s="100"/>
      <c r="M5915" s="100"/>
      <c r="N5915" s="100"/>
      <c r="O5915" s="100"/>
      <c r="P5915" s="100"/>
    </row>
    <row r="5916">
      <c r="A5916" s="107">
        <v>1630538.0</v>
      </c>
      <c r="B5916" s="116" t="s">
        <v>246</v>
      </c>
      <c r="C5916" s="116" t="s">
        <v>1445</v>
      </c>
      <c r="D5916" s="24" t="s">
        <v>187</v>
      </c>
      <c r="E5916" s="24">
        <v>237.6</v>
      </c>
      <c r="F5916" s="111" t="str">
        <f>DataPull!D5916</f>
        <v/>
      </c>
      <c r="G5916" s="94" t="str">
        <f t="shared" si="2"/>
        <v/>
      </c>
      <c r="H5916" s="94" t="str">
        <f t="shared" si="3"/>
        <v/>
      </c>
      <c r="I5916" s="94" t="str">
        <f t="shared" ref="I5916:J5916" si="5917">if(G5916 = "", , -G5916)</f>
        <v/>
      </c>
      <c r="J5916" s="94" t="str">
        <f t="shared" si="5917"/>
        <v/>
      </c>
      <c r="K5916" s="100"/>
      <c r="M5916" s="100"/>
      <c r="N5916" s="100"/>
      <c r="O5916" s="100"/>
      <c r="P5916" s="100"/>
    </row>
    <row r="5917">
      <c r="A5917" s="114">
        <v>1630538.0</v>
      </c>
      <c r="B5917" s="131" t="s">
        <v>247</v>
      </c>
      <c r="C5917" s="131" t="s">
        <v>1445</v>
      </c>
      <c r="D5917" s="24" t="s">
        <v>177</v>
      </c>
      <c r="E5917" s="24">
        <v>1178.6</v>
      </c>
      <c r="F5917" s="111" t="str">
        <f>DataPull!D5917</f>
        <v/>
      </c>
      <c r="G5917" s="94" t="str">
        <f t="shared" si="2"/>
        <v/>
      </c>
      <c r="H5917" s="94" t="str">
        <f t="shared" si="3"/>
        <v/>
      </c>
      <c r="I5917" s="94" t="str">
        <f t="shared" ref="I5917:J5917" si="5918">if(G5917 = "", , -G5917)</f>
        <v/>
      </c>
      <c r="J5917" s="94" t="str">
        <f t="shared" si="5918"/>
        <v/>
      </c>
      <c r="K5917" s="100"/>
      <c r="M5917" s="100"/>
      <c r="N5917" s="100"/>
      <c r="O5917" s="100"/>
      <c r="P5917" s="100"/>
    </row>
    <row r="5918">
      <c r="A5918" s="107">
        <v>1630539.0</v>
      </c>
      <c r="B5918" s="116" t="s">
        <v>215</v>
      </c>
      <c r="C5918" s="116" t="s">
        <v>1446</v>
      </c>
      <c r="D5918" s="24" t="s">
        <v>187</v>
      </c>
      <c r="E5918" s="24">
        <v>63.0</v>
      </c>
      <c r="F5918" s="111" t="str">
        <f>DataPull!D5918</f>
        <v/>
      </c>
      <c r="G5918" s="94" t="str">
        <f t="shared" si="2"/>
        <v/>
      </c>
      <c r="H5918" s="94" t="str">
        <f t="shared" si="3"/>
        <v/>
      </c>
      <c r="I5918" s="94" t="str">
        <f t="shared" ref="I5918:J5918" si="5919">if(G5918 = "", , -G5918)</f>
        <v/>
      </c>
      <c r="J5918" s="94" t="str">
        <f t="shared" si="5919"/>
        <v/>
      </c>
      <c r="K5918" s="100"/>
      <c r="M5918" s="100"/>
      <c r="N5918" s="100"/>
      <c r="O5918" s="100"/>
      <c r="P5918" s="100"/>
    </row>
    <row r="5919">
      <c r="A5919" s="107">
        <v>1630539.0</v>
      </c>
      <c r="B5919" s="116" t="s">
        <v>244</v>
      </c>
      <c r="C5919" s="116" t="s">
        <v>1446</v>
      </c>
      <c r="D5919" s="24" t="s">
        <v>177</v>
      </c>
      <c r="E5919" s="24">
        <v>547.4</v>
      </c>
      <c r="F5919" s="111" t="str">
        <f>DataPull!D5919</f>
        <v/>
      </c>
      <c r="G5919" s="94" t="str">
        <f t="shared" si="2"/>
        <v/>
      </c>
      <c r="H5919" s="94" t="str">
        <f t="shared" si="3"/>
        <v/>
      </c>
      <c r="I5919" s="94" t="str">
        <f t="shared" ref="I5919:J5919" si="5920">if(G5919 = "", , -G5919)</f>
        <v/>
      </c>
      <c r="J5919" s="94" t="str">
        <f t="shared" si="5920"/>
        <v/>
      </c>
      <c r="K5919" s="100"/>
      <c r="M5919" s="100"/>
      <c r="N5919" s="100"/>
      <c r="O5919" s="100"/>
      <c r="P5919" s="100"/>
    </row>
    <row r="5920">
      <c r="A5920" s="107">
        <v>1630539.0</v>
      </c>
      <c r="B5920" s="116" t="s">
        <v>246</v>
      </c>
      <c r="C5920" s="116" t="s">
        <v>1446</v>
      </c>
      <c r="D5920" s="24" t="s">
        <v>187</v>
      </c>
      <c r="E5920" s="24">
        <v>468.0</v>
      </c>
      <c r="F5920" s="111" t="str">
        <f>DataPull!D5920</f>
        <v/>
      </c>
      <c r="G5920" s="94" t="str">
        <f t="shared" si="2"/>
        <v/>
      </c>
      <c r="H5920" s="94" t="str">
        <f t="shared" si="3"/>
        <v/>
      </c>
      <c r="I5920" s="94" t="str">
        <f t="shared" ref="I5920:J5920" si="5921">if(G5920 = "", , -G5920)</f>
        <v/>
      </c>
      <c r="J5920" s="94" t="str">
        <f t="shared" si="5921"/>
        <v/>
      </c>
      <c r="K5920" s="100"/>
      <c r="M5920" s="100"/>
      <c r="N5920" s="100"/>
      <c r="O5920" s="100"/>
      <c r="P5920" s="100"/>
    </row>
    <row r="5921">
      <c r="A5921" s="107">
        <v>1630540.0</v>
      </c>
      <c r="B5921" s="116" t="s">
        <v>215</v>
      </c>
      <c r="C5921" s="116" t="s">
        <v>1447</v>
      </c>
      <c r="D5921" s="24" t="s">
        <v>187</v>
      </c>
      <c r="E5921" s="24">
        <v>372.0</v>
      </c>
      <c r="F5921" s="111" t="str">
        <f>DataPull!D5921</f>
        <v/>
      </c>
      <c r="G5921" s="94" t="str">
        <f t="shared" si="2"/>
        <v/>
      </c>
      <c r="H5921" s="94" t="str">
        <f t="shared" si="3"/>
        <v/>
      </c>
      <c r="I5921" s="94" t="str">
        <f t="shared" ref="I5921:J5921" si="5922">if(G5921 = "", , -G5921)</f>
        <v/>
      </c>
      <c r="J5921" s="94" t="str">
        <f t="shared" si="5922"/>
        <v/>
      </c>
      <c r="K5921" s="100"/>
      <c r="M5921" s="100"/>
      <c r="N5921" s="100"/>
      <c r="O5921" s="100"/>
      <c r="P5921" s="100"/>
    </row>
    <row r="5922">
      <c r="A5922" s="107">
        <v>1630540.0</v>
      </c>
      <c r="B5922" s="116" t="s">
        <v>244</v>
      </c>
      <c r="C5922" s="116" t="s">
        <v>1447</v>
      </c>
      <c r="D5922" s="24" t="s">
        <v>177</v>
      </c>
      <c r="E5922" s="24">
        <v>761.6</v>
      </c>
      <c r="F5922" s="111" t="str">
        <f>DataPull!D5922</f>
        <v/>
      </c>
      <c r="G5922" s="94" t="str">
        <f t="shared" si="2"/>
        <v/>
      </c>
      <c r="H5922" s="94" t="str">
        <f t="shared" si="3"/>
        <v/>
      </c>
      <c r="I5922" s="94" t="str">
        <f t="shared" ref="I5922:J5922" si="5923">if(G5922 = "", , -G5922)</f>
        <v/>
      </c>
      <c r="J5922" s="94" t="str">
        <f t="shared" si="5923"/>
        <v/>
      </c>
      <c r="K5922" s="100"/>
      <c r="M5922" s="100"/>
      <c r="N5922" s="100"/>
      <c r="O5922" s="100"/>
      <c r="P5922" s="100"/>
    </row>
    <row r="5923">
      <c r="A5923" s="107">
        <v>1630540.0</v>
      </c>
      <c r="B5923" s="116" t="s">
        <v>245</v>
      </c>
      <c r="C5923" s="116" t="s">
        <v>1447</v>
      </c>
      <c r="D5923" s="24" t="s">
        <v>177</v>
      </c>
      <c r="E5923" s="24">
        <v>1326.0</v>
      </c>
      <c r="F5923" s="111" t="str">
        <f>DataPull!D5923</f>
        <v/>
      </c>
      <c r="G5923" s="94" t="str">
        <f t="shared" si="2"/>
        <v/>
      </c>
      <c r="H5923" s="94" t="str">
        <f t="shared" si="3"/>
        <v/>
      </c>
      <c r="I5923" s="94" t="str">
        <f t="shared" ref="I5923:J5923" si="5924">if(G5923 = "", , -G5923)</f>
        <v/>
      </c>
      <c r="J5923" s="94" t="str">
        <f t="shared" si="5924"/>
        <v/>
      </c>
      <c r="K5923" s="100"/>
      <c r="M5923" s="100"/>
      <c r="N5923" s="100"/>
      <c r="O5923" s="100"/>
      <c r="P5923" s="100"/>
    </row>
    <row r="5924">
      <c r="A5924" s="107">
        <v>1630540.0</v>
      </c>
      <c r="B5924" s="116" t="s">
        <v>246</v>
      </c>
      <c r="C5924" s="116" t="s">
        <v>1447</v>
      </c>
      <c r="D5924" s="24" t="s">
        <v>176</v>
      </c>
      <c r="E5924" s="24">
        <v>1593.6</v>
      </c>
      <c r="F5924" s="111" t="str">
        <f>DataPull!D5924</f>
        <v/>
      </c>
      <c r="G5924" s="94" t="str">
        <f t="shared" si="2"/>
        <v/>
      </c>
      <c r="H5924" s="94" t="str">
        <f t="shared" si="3"/>
        <v/>
      </c>
      <c r="I5924" s="94" t="str">
        <f t="shared" ref="I5924:J5924" si="5925">if(G5924 = "", , -G5924)</f>
        <v/>
      </c>
      <c r="J5924" s="94" t="str">
        <f t="shared" si="5925"/>
        <v/>
      </c>
      <c r="K5924" s="100"/>
      <c r="M5924" s="100"/>
      <c r="N5924" s="100"/>
      <c r="O5924" s="100"/>
      <c r="P5924" s="100"/>
    </row>
    <row r="5925">
      <c r="A5925" s="114">
        <v>1630540.0</v>
      </c>
      <c r="B5925" s="131" t="s">
        <v>247</v>
      </c>
      <c r="C5925" s="131" t="s">
        <v>1447</v>
      </c>
      <c r="D5925" s="24" t="s">
        <v>176</v>
      </c>
      <c r="E5925" s="24">
        <v>1078.3</v>
      </c>
      <c r="F5925" s="111" t="str">
        <f>DataPull!D5925</f>
        <v/>
      </c>
      <c r="G5925" s="94" t="str">
        <f t="shared" si="2"/>
        <v/>
      </c>
      <c r="H5925" s="94" t="str">
        <f t="shared" si="3"/>
        <v/>
      </c>
      <c r="I5925" s="94" t="str">
        <f t="shared" ref="I5925:J5925" si="5926">if(G5925 = "", , -G5925)</f>
        <v/>
      </c>
      <c r="J5925" s="94" t="str">
        <f t="shared" si="5926"/>
        <v/>
      </c>
      <c r="K5925" s="100"/>
      <c r="M5925" s="100"/>
      <c r="N5925" s="100"/>
      <c r="O5925" s="100"/>
      <c r="P5925" s="100"/>
    </row>
    <row r="5926">
      <c r="A5926" s="107">
        <v>1630541.0</v>
      </c>
      <c r="B5926" s="116" t="s">
        <v>215</v>
      </c>
      <c r="C5926" s="116" t="s">
        <v>1448</v>
      </c>
      <c r="D5926" s="24" t="s">
        <v>177</v>
      </c>
      <c r="E5926" s="24">
        <v>608.4</v>
      </c>
      <c r="F5926" s="111" t="str">
        <f>DataPull!D5926</f>
        <v/>
      </c>
      <c r="G5926" s="94" t="str">
        <f t="shared" si="2"/>
        <v/>
      </c>
      <c r="H5926" s="94" t="str">
        <f t="shared" si="3"/>
        <v/>
      </c>
      <c r="I5926" s="94" t="str">
        <f t="shared" ref="I5926:J5926" si="5927">if(G5926 = "", , -G5926)</f>
        <v/>
      </c>
      <c r="J5926" s="94" t="str">
        <f t="shared" si="5927"/>
        <v/>
      </c>
      <c r="K5926" s="100"/>
      <c r="M5926" s="100"/>
      <c r="N5926" s="100"/>
      <c r="O5926" s="100"/>
      <c r="P5926" s="100"/>
    </row>
    <row r="5927">
      <c r="A5927" s="107">
        <v>1630541.0</v>
      </c>
      <c r="B5927" s="116" t="s">
        <v>244</v>
      </c>
      <c r="C5927" s="116" t="s">
        <v>1448</v>
      </c>
      <c r="D5927" s="24" t="s">
        <v>177</v>
      </c>
      <c r="E5927" s="24">
        <v>819.0</v>
      </c>
      <c r="F5927" s="111" t="str">
        <f>DataPull!D5927</f>
        <v/>
      </c>
      <c r="G5927" s="94" t="str">
        <f t="shared" si="2"/>
        <v/>
      </c>
      <c r="H5927" s="94" t="str">
        <f t="shared" si="3"/>
        <v/>
      </c>
      <c r="I5927" s="94" t="str">
        <f t="shared" ref="I5927:J5927" si="5928">if(G5927 = "", , -G5927)</f>
        <v/>
      </c>
      <c r="J5927" s="94" t="str">
        <f t="shared" si="5928"/>
        <v/>
      </c>
      <c r="K5927" s="100"/>
      <c r="M5927" s="100"/>
      <c r="N5927" s="100"/>
      <c r="O5927" s="100"/>
      <c r="P5927" s="100"/>
    </row>
    <row r="5928">
      <c r="A5928" s="107">
        <v>1630541.0</v>
      </c>
      <c r="B5928" s="116" t="s">
        <v>245</v>
      </c>
      <c r="C5928" s="116" t="s">
        <v>1448</v>
      </c>
      <c r="D5928" s="24" t="s">
        <v>177</v>
      </c>
      <c r="E5928" s="24">
        <v>1155.0</v>
      </c>
      <c r="F5928" s="111" t="str">
        <f>DataPull!D5928</f>
        <v/>
      </c>
      <c r="G5928" s="94" t="str">
        <f t="shared" si="2"/>
        <v/>
      </c>
      <c r="H5928" s="94" t="str">
        <f t="shared" si="3"/>
        <v/>
      </c>
      <c r="I5928" s="94" t="str">
        <f t="shared" ref="I5928:J5928" si="5929">if(G5928 = "", , -G5928)</f>
        <v/>
      </c>
      <c r="J5928" s="94" t="str">
        <f t="shared" si="5929"/>
        <v/>
      </c>
      <c r="K5928" s="100"/>
      <c r="M5928" s="100"/>
      <c r="N5928" s="100"/>
      <c r="O5928" s="100"/>
      <c r="P5928" s="100"/>
    </row>
    <row r="5929">
      <c r="A5929" s="107">
        <v>1630541.0</v>
      </c>
      <c r="B5929" s="116" t="s">
        <v>246</v>
      </c>
      <c r="C5929" s="116" t="s">
        <v>1448</v>
      </c>
      <c r="D5929" s="24" t="s">
        <v>176</v>
      </c>
      <c r="E5929" s="24">
        <v>1650.2</v>
      </c>
      <c r="F5929" s="111" t="str">
        <f>DataPull!D5929</f>
        <v/>
      </c>
      <c r="G5929" s="94" t="str">
        <f t="shared" si="2"/>
        <v/>
      </c>
      <c r="H5929" s="94" t="str">
        <f t="shared" si="3"/>
        <v/>
      </c>
      <c r="I5929" s="94" t="str">
        <f t="shared" ref="I5929:J5929" si="5930">if(G5929 = "", , -G5929)</f>
        <v/>
      </c>
      <c r="J5929" s="94" t="str">
        <f t="shared" si="5930"/>
        <v/>
      </c>
      <c r="K5929" s="100"/>
      <c r="M5929" s="100"/>
      <c r="N5929" s="100"/>
      <c r="O5929" s="100"/>
      <c r="P5929" s="100"/>
    </row>
    <row r="5930">
      <c r="A5930" s="114">
        <v>1630541.0</v>
      </c>
      <c r="B5930" s="131" t="s">
        <v>247</v>
      </c>
      <c r="C5930" s="131" t="s">
        <v>1448</v>
      </c>
      <c r="D5930" s="24" t="s">
        <v>178</v>
      </c>
      <c r="E5930" s="24">
        <v>1542.0</v>
      </c>
      <c r="F5930" s="111" t="str">
        <f>DataPull!D5930</f>
        <v/>
      </c>
      <c r="G5930" s="94" t="str">
        <f t="shared" si="2"/>
        <v/>
      </c>
      <c r="H5930" s="94" t="str">
        <f t="shared" si="3"/>
        <v/>
      </c>
      <c r="I5930" s="94" t="str">
        <f t="shared" ref="I5930:J5930" si="5931">if(G5930 = "", , -G5930)</f>
        <v/>
      </c>
      <c r="J5930" s="94" t="str">
        <f t="shared" si="5931"/>
        <v/>
      </c>
      <c r="K5930" s="100"/>
      <c r="M5930" s="100"/>
      <c r="N5930" s="100"/>
      <c r="O5930" s="100"/>
      <c r="P5930" s="100"/>
    </row>
    <row r="5931">
      <c r="A5931" s="120">
        <v>1630542.0</v>
      </c>
      <c r="B5931" s="138" t="s">
        <v>246</v>
      </c>
      <c r="C5931" s="138" t="s">
        <v>1449</v>
      </c>
      <c r="D5931" s="139" t="s">
        <v>187</v>
      </c>
      <c r="E5931" s="139">
        <v>253.0</v>
      </c>
      <c r="F5931" s="111" t="str">
        <f>DataPull!D5931</f>
        <v/>
      </c>
      <c r="G5931" s="94" t="str">
        <f t="shared" si="2"/>
        <v/>
      </c>
      <c r="H5931" s="94" t="str">
        <f t="shared" si="3"/>
        <v/>
      </c>
      <c r="I5931" s="94" t="str">
        <f t="shared" ref="I5931:J5931" si="5932">if(G5931 = "", , -G5931)</f>
        <v/>
      </c>
      <c r="J5931" s="94" t="str">
        <f t="shared" si="5932"/>
        <v/>
      </c>
      <c r="K5931" s="100"/>
      <c r="M5931" s="100"/>
      <c r="N5931" s="100"/>
      <c r="O5931" s="100"/>
      <c r="P5931" s="100"/>
    </row>
    <row r="5932">
      <c r="A5932" s="107">
        <v>1630543.0</v>
      </c>
      <c r="B5932" s="116" t="s">
        <v>215</v>
      </c>
      <c r="C5932" s="116" t="s">
        <v>1450</v>
      </c>
      <c r="D5932" s="24" t="s">
        <v>177</v>
      </c>
      <c r="E5932" s="24">
        <v>540.0</v>
      </c>
      <c r="F5932" s="111" t="str">
        <f>DataPull!D5932</f>
        <v/>
      </c>
      <c r="G5932" s="94" t="str">
        <f t="shared" si="2"/>
        <v/>
      </c>
      <c r="H5932" s="94" t="str">
        <f t="shared" si="3"/>
        <v/>
      </c>
      <c r="I5932" s="94" t="str">
        <f t="shared" ref="I5932:J5932" si="5933">if(G5932 = "", , -G5932)</f>
        <v/>
      </c>
      <c r="J5932" s="94" t="str">
        <f t="shared" si="5933"/>
        <v/>
      </c>
      <c r="K5932" s="100"/>
      <c r="M5932" s="100"/>
      <c r="N5932" s="100"/>
      <c r="O5932" s="100"/>
      <c r="P5932" s="100"/>
    </row>
    <row r="5933">
      <c r="A5933" s="107">
        <v>1630543.0</v>
      </c>
      <c r="B5933" s="116" t="s">
        <v>244</v>
      </c>
      <c r="C5933" s="116" t="s">
        <v>1450</v>
      </c>
      <c r="D5933" s="24" t="s">
        <v>177</v>
      </c>
      <c r="E5933" s="24">
        <v>1039.5</v>
      </c>
      <c r="F5933" s="111" t="str">
        <f>DataPull!D5933</f>
        <v/>
      </c>
      <c r="G5933" s="94" t="str">
        <f t="shared" si="2"/>
        <v/>
      </c>
      <c r="H5933" s="94" t="str">
        <f t="shared" si="3"/>
        <v/>
      </c>
      <c r="I5933" s="94" t="str">
        <f t="shared" ref="I5933:J5933" si="5934">if(G5933 = "", , -G5933)</f>
        <v/>
      </c>
      <c r="J5933" s="94" t="str">
        <f t="shared" si="5934"/>
        <v/>
      </c>
      <c r="K5933" s="100"/>
      <c r="M5933" s="100"/>
      <c r="N5933" s="100"/>
      <c r="O5933" s="100"/>
      <c r="P5933" s="100"/>
    </row>
    <row r="5934">
      <c r="A5934" s="107">
        <v>1630543.0</v>
      </c>
      <c r="B5934" s="116" t="s">
        <v>245</v>
      </c>
      <c r="C5934" s="116" t="s">
        <v>1450</v>
      </c>
      <c r="D5934" s="24" t="s">
        <v>177</v>
      </c>
      <c r="E5934" s="24">
        <v>768.0</v>
      </c>
      <c r="F5934" s="111" t="str">
        <f>DataPull!D5934</f>
        <v/>
      </c>
      <c r="G5934" s="94" t="str">
        <f t="shared" si="2"/>
        <v/>
      </c>
      <c r="H5934" s="94" t="str">
        <f t="shared" si="3"/>
        <v/>
      </c>
      <c r="I5934" s="94" t="str">
        <f t="shared" ref="I5934:J5934" si="5935">if(G5934 = "", , -G5934)</f>
        <v/>
      </c>
      <c r="J5934" s="94" t="str">
        <f t="shared" si="5935"/>
        <v/>
      </c>
      <c r="K5934" s="100"/>
      <c r="M5934" s="100"/>
      <c r="N5934" s="100"/>
      <c r="O5934" s="100"/>
      <c r="P5934" s="100"/>
    </row>
    <row r="5935">
      <c r="A5935" s="107">
        <v>1630543.0</v>
      </c>
      <c r="B5935" s="116" t="s">
        <v>246</v>
      </c>
      <c r="C5935" s="116" t="s">
        <v>1450</v>
      </c>
      <c r="D5935" s="24" t="s">
        <v>181</v>
      </c>
      <c r="E5935" s="24">
        <v>84.0</v>
      </c>
      <c r="F5935" s="111" t="str">
        <f>DataPull!D5935</f>
        <v/>
      </c>
      <c r="G5935" s="94" t="str">
        <f t="shared" si="2"/>
        <v/>
      </c>
      <c r="H5935" s="94" t="str">
        <f t="shared" si="3"/>
        <v/>
      </c>
      <c r="I5935" s="94" t="str">
        <f t="shared" ref="I5935:J5935" si="5936">if(G5935 = "", , -G5935)</f>
        <v/>
      </c>
      <c r="J5935" s="94" t="str">
        <f t="shared" si="5936"/>
        <v/>
      </c>
      <c r="K5935" s="100"/>
      <c r="M5935" s="100"/>
      <c r="N5935" s="100"/>
      <c r="O5935" s="100"/>
      <c r="P5935" s="100"/>
    </row>
    <row r="5936">
      <c r="A5936" s="114">
        <v>1630543.0</v>
      </c>
      <c r="B5936" s="131" t="s">
        <v>247</v>
      </c>
      <c r="C5936" s="131" t="s">
        <v>1450</v>
      </c>
      <c r="D5936" s="24" t="s">
        <v>177</v>
      </c>
      <c r="E5936" s="24">
        <v>907.5</v>
      </c>
      <c r="F5936" s="111" t="str">
        <f>DataPull!D5936</f>
        <v/>
      </c>
      <c r="G5936" s="94" t="str">
        <f t="shared" si="2"/>
        <v/>
      </c>
      <c r="H5936" s="94" t="str">
        <f t="shared" si="3"/>
        <v/>
      </c>
      <c r="I5936" s="94" t="str">
        <f t="shared" ref="I5936:J5936" si="5937">if(G5936 = "", , -G5936)</f>
        <v/>
      </c>
      <c r="J5936" s="94" t="str">
        <f t="shared" si="5937"/>
        <v/>
      </c>
      <c r="K5936" s="100"/>
      <c r="M5936" s="100"/>
      <c r="N5936" s="100"/>
      <c r="O5936" s="100"/>
      <c r="P5936" s="100"/>
    </row>
    <row r="5937">
      <c r="A5937" s="107">
        <v>1630544.0</v>
      </c>
      <c r="B5937" s="116" t="s">
        <v>215</v>
      </c>
      <c r="C5937" s="116" t="s">
        <v>1451</v>
      </c>
      <c r="D5937" s="24" t="s">
        <v>176</v>
      </c>
      <c r="E5937" s="24">
        <v>1368.0</v>
      </c>
      <c r="F5937" s="111" t="str">
        <f>DataPull!D5937</f>
        <v/>
      </c>
      <c r="G5937" s="94" t="str">
        <f t="shared" si="2"/>
        <v/>
      </c>
      <c r="H5937" s="94" t="str">
        <f t="shared" si="3"/>
        <v/>
      </c>
      <c r="I5937" s="94" t="str">
        <f t="shared" ref="I5937:J5937" si="5938">if(G5937 = "", , -G5937)</f>
        <v/>
      </c>
      <c r="J5937" s="94" t="str">
        <f t="shared" si="5938"/>
        <v/>
      </c>
      <c r="K5937" s="100"/>
      <c r="M5937" s="100"/>
      <c r="N5937" s="100"/>
      <c r="O5937" s="100"/>
      <c r="P5937" s="100"/>
    </row>
    <row r="5938">
      <c r="A5938" s="107">
        <v>1630544.0</v>
      </c>
      <c r="B5938" s="116" t="s">
        <v>244</v>
      </c>
      <c r="C5938" s="116" t="s">
        <v>1451</v>
      </c>
      <c r="D5938" s="24" t="s">
        <v>177</v>
      </c>
      <c r="E5938" s="24">
        <v>1185.9</v>
      </c>
      <c r="F5938" s="111" t="str">
        <f>DataPull!D5938</f>
        <v/>
      </c>
      <c r="G5938" s="94" t="str">
        <f t="shared" si="2"/>
        <v/>
      </c>
      <c r="H5938" s="94" t="str">
        <f t="shared" si="3"/>
        <v/>
      </c>
      <c r="I5938" s="94" t="str">
        <f t="shared" ref="I5938:J5938" si="5939">if(G5938 = "", , -G5938)</f>
        <v/>
      </c>
      <c r="J5938" s="94" t="str">
        <f t="shared" si="5939"/>
        <v/>
      </c>
      <c r="K5938" s="100"/>
      <c r="M5938" s="100"/>
      <c r="N5938" s="100"/>
      <c r="O5938" s="100"/>
      <c r="P5938" s="100"/>
    </row>
    <row r="5939">
      <c r="A5939" s="107">
        <v>1630544.0</v>
      </c>
      <c r="B5939" s="116" t="s">
        <v>245</v>
      </c>
      <c r="C5939" s="116" t="s">
        <v>1451</v>
      </c>
      <c r="D5939" s="24" t="s">
        <v>176</v>
      </c>
      <c r="E5939" s="24">
        <v>988.1</v>
      </c>
      <c r="F5939" s="111" t="str">
        <f>DataPull!D5939</f>
        <v/>
      </c>
      <c r="G5939" s="94" t="str">
        <f t="shared" si="2"/>
        <v/>
      </c>
      <c r="H5939" s="94" t="str">
        <f t="shared" si="3"/>
        <v/>
      </c>
      <c r="I5939" s="94" t="str">
        <f t="shared" ref="I5939:J5939" si="5940">if(G5939 = "", , -G5939)</f>
        <v/>
      </c>
      <c r="J5939" s="94" t="str">
        <f t="shared" si="5940"/>
        <v/>
      </c>
      <c r="K5939" s="100"/>
      <c r="M5939" s="100"/>
      <c r="N5939" s="100"/>
      <c r="O5939" s="100"/>
      <c r="P5939" s="100"/>
    </row>
    <row r="5940">
      <c r="A5940" s="107">
        <v>1630544.0</v>
      </c>
      <c r="B5940" s="116" t="s">
        <v>246</v>
      </c>
      <c r="C5940" s="116" t="s">
        <v>1451</v>
      </c>
      <c r="D5940" s="24" t="s">
        <v>176</v>
      </c>
      <c r="E5940" s="24">
        <v>318.5</v>
      </c>
      <c r="F5940" s="111" t="str">
        <f>DataPull!D5940</f>
        <v/>
      </c>
      <c r="G5940" s="94" t="str">
        <f t="shared" si="2"/>
        <v/>
      </c>
      <c r="H5940" s="94" t="str">
        <f t="shared" si="3"/>
        <v/>
      </c>
      <c r="I5940" s="94" t="str">
        <f t="shared" ref="I5940:J5940" si="5941">if(G5940 = "", , -G5940)</f>
        <v/>
      </c>
      <c r="J5940" s="94" t="str">
        <f t="shared" si="5941"/>
        <v/>
      </c>
      <c r="K5940" s="100"/>
      <c r="M5940" s="100"/>
      <c r="N5940" s="100"/>
      <c r="O5940" s="100"/>
      <c r="P5940" s="100"/>
    </row>
    <row r="5941">
      <c r="A5941" s="114">
        <v>1630544.0</v>
      </c>
      <c r="B5941" s="131" t="s">
        <v>247</v>
      </c>
      <c r="C5941" s="131" t="s">
        <v>1451</v>
      </c>
      <c r="D5941" s="24" t="s">
        <v>177</v>
      </c>
      <c r="E5941" s="24">
        <v>667.8</v>
      </c>
      <c r="F5941" s="111" t="str">
        <f>DataPull!D5941</f>
        <v/>
      </c>
      <c r="G5941" s="94" t="str">
        <f t="shared" si="2"/>
        <v/>
      </c>
      <c r="H5941" s="94" t="str">
        <f t="shared" si="3"/>
        <v/>
      </c>
      <c r="I5941" s="94" t="str">
        <f t="shared" ref="I5941:J5941" si="5942">if(G5941 = "", , -G5941)</f>
        <v/>
      </c>
      <c r="J5941" s="94" t="str">
        <f t="shared" si="5942"/>
        <v/>
      </c>
      <c r="K5941" s="100"/>
      <c r="M5941" s="100"/>
      <c r="N5941" s="100"/>
      <c r="O5941" s="100"/>
      <c r="P5941" s="100"/>
    </row>
    <row r="5942">
      <c r="A5942" s="107">
        <v>1630545.0</v>
      </c>
      <c r="B5942" s="116" t="s">
        <v>246</v>
      </c>
      <c r="C5942" s="116" t="s">
        <v>1452</v>
      </c>
      <c r="D5942" s="24" t="s">
        <v>177</v>
      </c>
      <c r="E5942" s="24">
        <v>339.2</v>
      </c>
      <c r="F5942" s="111" t="str">
        <f>DataPull!D5942</f>
        <v/>
      </c>
      <c r="G5942" s="94" t="str">
        <f t="shared" si="2"/>
        <v/>
      </c>
      <c r="H5942" s="94" t="str">
        <f t="shared" si="3"/>
        <v/>
      </c>
      <c r="I5942" s="94" t="str">
        <f t="shared" ref="I5942:J5942" si="5943">if(G5942 = "", , -G5942)</f>
        <v/>
      </c>
      <c r="J5942" s="94" t="str">
        <f t="shared" si="5943"/>
        <v/>
      </c>
      <c r="K5942" s="100"/>
      <c r="M5942" s="100"/>
      <c r="N5942" s="100"/>
      <c r="O5942" s="100"/>
      <c r="P5942" s="100"/>
    </row>
    <row r="5943">
      <c r="A5943" s="114">
        <v>1630545.0</v>
      </c>
      <c r="B5943" s="131" t="s">
        <v>247</v>
      </c>
      <c r="C5943" s="116" t="s">
        <v>1452</v>
      </c>
      <c r="D5943" s="24" t="s">
        <v>177</v>
      </c>
      <c r="E5943" s="24">
        <v>537.5</v>
      </c>
      <c r="F5943" s="111" t="str">
        <f>DataPull!D5943</f>
        <v/>
      </c>
      <c r="G5943" s="94" t="str">
        <f t="shared" si="2"/>
        <v/>
      </c>
      <c r="H5943" s="94" t="str">
        <f t="shared" si="3"/>
        <v/>
      </c>
      <c r="I5943" s="94" t="str">
        <f t="shared" ref="I5943:J5943" si="5944">if(G5943 = "", , -G5943)</f>
        <v/>
      </c>
      <c r="J5943" s="94" t="str">
        <f t="shared" si="5944"/>
        <v/>
      </c>
      <c r="K5943" s="100"/>
      <c r="M5943" s="100"/>
      <c r="N5943" s="100"/>
      <c r="O5943" s="100"/>
      <c r="P5943" s="100"/>
    </row>
    <row r="5944">
      <c r="A5944" s="107">
        <v>1630547.0</v>
      </c>
      <c r="B5944" s="116" t="s">
        <v>215</v>
      </c>
      <c r="C5944" s="116" t="s">
        <v>1453</v>
      </c>
      <c r="D5944" s="24" t="s">
        <v>187</v>
      </c>
      <c r="E5944" s="24">
        <v>303.8</v>
      </c>
      <c r="F5944" s="111" t="str">
        <f>DataPull!D5944</f>
        <v/>
      </c>
      <c r="G5944" s="94" t="str">
        <f t="shared" si="2"/>
        <v/>
      </c>
      <c r="H5944" s="94" t="str">
        <f t="shared" si="3"/>
        <v/>
      </c>
      <c r="I5944" s="94" t="str">
        <f t="shared" ref="I5944:J5944" si="5945">if(G5944 = "", , -G5944)</f>
        <v/>
      </c>
      <c r="J5944" s="94" t="str">
        <f t="shared" si="5945"/>
        <v/>
      </c>
      <c r="K5944" s="100"/>
      <c r="M5944" s="100"/>
      <c r="N5944" s="100"/>
      <c r="O5944" s="100"/>
      <c r="P5944" s="100"/>
    </row>
    <row r="5945">
      <c r="A5945" s="107">
        <v>1630547.0</v>
      </c>
      <c r="B5945" s="116" t="s">
        <v>244</v>
      </c>
      <c r="C5945" s="116" t="s">
        <v>1453</v>
      </c>
      <c r="D5945" s="24" t="s">
        <v>177</v>
      </c>
      <c r="E5945" s="24">
        <v>516.8</v>
      </c>
      <c r="F5945" s="111" t="str">
        <f>DataPull!D5945</f>
        <v/>
      </c>
      <c r="G5945" s="94" t="str">
        <f t="shared" si="2"/>
        <v/>
      </c>
      <c r="H5945" s="94" t="str">
        <f t="shared" si="3"/>
        <v/>
      </c>
      <c r="I5945" s="94" t="str">
        <f t="shared" ref="I5945:J5945" si="5946">if(G5945 = "", , -G5945)</f>
        <v/>
      </c>
      <c r="J5945" s="94" t="str">
        <f t="shared" si="5946"/>
        <v/>
      </c>
      <c r="K5945" s="100"/>
      <c r="M5945" s="100"/>
      <c r="N5945" s="100"/>
      <c r="O5945" s="100"/>
      <c r="P5945" s="100"/>
    </row>
    <row r="5946">
      <c r="A5946" s="107">
        <v>1630547.0</v>
      </c>
      <c r="B5946" s="116" t="s">
        <v>245</v>
      </c>
      <c r="C5946" s="116" t="s">
        <v>1453</v>
      </c>
      <c r="D5946" s="24" t="s">
        <v>187</v>
      </c>
      <c r="E5946" s="24">
        <v>81.2</v>
      </c>
      <c r="F5946" s="111" t="str">
        <f>DataPull!D5946</f>
        <v/>
      </c>
      <c r="G5946" s="94" t="str">
        <f t="shared" si="2"/>
        <v/>
      </c>
      <c r="H5946" s="94" t="str">
        <f t="shared" si="3"/>
        <v/>
      </c>
      <c r="I5946" s="94" t="str">
        <f t="shared" ref="I5946:J5946" si="5947">if(G5946 = "", , -G5946)</f>
        <v/>
      </c>
      <c r="J5946" s="94" t="str">
        <f t="shared" si="5947"/>
        <v/>
      </c>
      <c r="K5946" s="100"/>
      <c r="M5946" s="100"/>
      <c r="N5946" s="100"/>
      <c r="O5946" s="100"/>
      <c r="P5946" s="100"/>
    </row>
    <row r="5947">
      <c r="A5947" s="107">
        <v>1630548.0</v>
      </c>
      <c r="B5947" s="116" t="s">
        <v>244</v>
      </c>
      <c r="C5947" s="116" t="s">
        <v>1454</v>
      </c>
      <c r="D5947" s="24" t="s">
        <v>187</v>
      </c>
      <c r="E5947" s="24">
        <v>232.2</v>
      </c>
      <c r="F5947" s="111" t="str">
        <f>DataPull!D5947</f>
        <v/>
      </c>
      <c r="G5947" s="94" t="str">
        <f t="shared" si="2"/>
        <v/>
      </c>
      <c r="H5947" s="94" t="str">
        <f t="shared" si="3"/>
        <v/>
      </c>
      <c r="I5947" s="94" t="str">
        <f t="shared" ref="I5947:J5947" si="5948">if(G5947 = "", , -G5947)</f>
        <v/>
      </c>
      <c r="J5947" s="94" t="str">
        <f t="shared" si="5948"/>
        <v/>
      </c>
      <c r="K5947" s="100"/>
      <c r="M5947" s="100"/>
      <c r="N5947" s="100"/>
      <c r="O5947" s="100"/>
      <c r="P5947" s="100"/>
    </row>
    <row r="5948">
      <c r="A5948" s="107">
        <v>1630548.0</v>
      </c>
      <c r="B5948" s="116" t="s">
        <v>245</v>
      </c>
      <c r="C5948" s="116" t="s">
        <v>1454</v>
      </c>
      <c r="D5948" s="24" t="s">
        <v>177</v>
      </c>
      <c r="E5948" s="24">
        <v>372.0</v>
      </c>
      <c r="F5948" s="111" t="str">
        <f>DataPull!D5948</f>
        <v/>
      </c>
      <c r="G5948" s="94" t="str">
        <f t="shared" si="2"/>
        <v/>
      </c>
      <c r="H5948" s="94" t="str">
        <f t="shared" si="3"/>
        <v/>
      </c>
      <c r="I5948" s="94" t="str">
        <f t="shared" ref="I5948:J5948" si="5949">if(G5948 = "", , -G5948)</f>
        <v/>
      </c>
      <c r="J5948" s="94" t="str">
        <f t="shared" si="5949"/>
        <v/>
      </c>
      <c r="K5948" s="100"/>
      <c r="M5948" s="100"/>
      <c r="N5948" s="100"/>
      <c r="O5948" s="100"/>
      <c r="P5948" s="100"/>
    </row>
    <row r="5949">
      <c r="A5949" s="107">
        <v>1630548.0</v>
      </c>
      <c r="B5949" s="116" t="s">
        <v>246</v>
      </c>
      <c r="C5949" s="116" t="s">
        <v>1454</v>
      </c>
      <c r="D5949" s="24" t="s">
        <v>176</v>
      </c>
      <c r="E5949" s="24">
        <v>1267.2</v>
      </c>
      <c r="F5949" s="111" t="str">
        <f>DataPull!D5949</f>
        <v/>
      </c>
      <c r="G5949" s="94" t="str">
        <f t="shared" si="2"/>
        <v/>
      </c>
      <c r="H5949" s="94" t="str">
        <f t="shared" si="3"/>
        <v/>
      </c>
      <c r="I5949" s="94" t="str">
        <f t="shared" ref="I5949:J5949" si="5950">if(G5949 = "", , -G5949)</f>
        <v/>
      </c>
      <c r="J5949" s="94" t="str">
        <f t="shared" si="5950"/>
        <v/>
      </c>
      <c r="K5949" s="100"/>
      <c r="M5949" s="100"/>
      <c r="N5949" s="100"/>
      <c r="O5949" s="100"/>
      <c r="P5949" s="100"/>
    </row>
    <row r="5950">
      <c r="A5950" s="114">
        <v>1630548.0</v>
      </c>
      <c r="B5950" s="131" t="s">
        <v>247</v>
      </c>
      <c r="C5950" s="131" t="s">
        <v>1454</v>
      </c>
      <c r="D5950" s="24" t="s">
        <v>187</v>
      </c>
      <c r="E5950" s="24">
        <v>88.2</v>
      </c>
      <c r="F5950" s="111" t="str">
        <f>DataPull!D5950</f>
        <v/>
      </c>
      <c r="G5950" s="94" t="str">
        <f t="shared" si="2"/>
        <v/>
      </c>
      <c r="H5950" s="94" t="str">
        <f t="shared" si="3"/>
        <v/>
      </c>
      <c r="I5950" s="94" t="str">
        <f t="shared" ref="I5950:J5950" si="5951">if(G5950 = "", , -G5950)</f>
        <v/>
      </c>
      <c r="J5950" s="94" t="str">
        <f t="shared" si="5951"/>
        <v/>
      </c>
      <c r="K5950" s="100"/>
      <c r="M5950" s="100"/>
      <c r="N5950" s="100"/>
      <c r="O5950" s="100"/>
      <c r="P5950" s="100"/>
    </row>
    <row r="5951">
      <c r="A5951" s="107">
        <v>1630549.0</v>
      </c>
      <c r="B5951" s="116" t="s">
        <v>215</v>
      </c>
      <c r="C5951" s="116" t="s">
        <v>1455</v>
      </c>
      <c r="D5951" s="24" t="s">
        <v>177</v>
      </c>
      <c r="E5951" s="24">
        <v>390.4</v>
      </c>
      <c r="F5951" s="111" t="str">
        <f>DataPull!D5951</f>
        <v/>
      </c>
      <c r="G5951" s="94" t="str">
        <f t="shared" si="2"/>
        <v/>
      </c>
      <c r="H5951" s="94" t="str">
        <f t="shared" si="3"/>
        <v/>
      </c>
      <c r="I5951" s="94" t="str">
        <f t="shared" ref="I5951:J5951" si="5952">if(G5951 = "", , -G5951)</f>
        <v/>
      </c>
      <c r="J5951" s="94" t="str">
        <f t="shared" si="5952"/>
        <v/>
      </c>
      <c r="K5951" s="100"/>
      <c r="M5951" s="100"/>
      <c r="N5951" s="100"/>
      <c r="O5951" s="100"/>
      <c r="P5951" s="100"/>
    </row>
    <row r="5952">
      <c r="A5952" s="107">
        <v>1630549.0</v>
      </c>
      <c r="B5952" s="116" t="s">
        <v>244</v>
      </c>
      <c r="C5952" s="116" t="s">
        <v>1455</v>
      </c>
      <c r="D5952" s="24" t="s">
        <v>177</v>
      </c>
      <c r="E5952" s="24">
        <v>552.0</v>
      </c>
      <c r="F5952" s="111" t="str">
        <f>DataPull!D5952</f>
        <v/>
      </c>
      <c r="G5952" s="94" t="str">
        <f t="shared" si="2"/>
        <v/>
      </c>
      <c r="H5952" s="94" t="str">
        <f t="shared" si="3"/>
        <v/>
      </c>
      <c r="I5952" s="94" t="str">
        <f t="shared" ref="I5952:J5952" si="5953">if(G5952 = "", , -G5952)</f>
        <v/>
      </c>
      <c r="J5952" s="94" t="str">
        <f t="shared" si="5953"/>
        <v/>
      </c>
      <c r="K5952" s="100"/>
      <c r="M5952" s="100"/>
      <c r="N5952" s="100"/>
      <c r="O5952" s="100"/>
      <c r="P5952" s="100"/>
    </row>
    <row r="5953">
      <c r="A5953" s="107">
        <v>1630549.0</v>
      </c>
      <c r="B5953" s="116" t="s">
        <v>245</v>
      </c>
      <c r="C5953" s="116" t="s">
        <v>1455</v>
      </c>
      <c r="D5953" s="24" t="s">
        <v>177</v>
      </c>
      <c r="E5953" s="24">
        <v>921.1</v>
      </c>
      <c r="F5953" s="111" t="str">
        <f>DataPull!D5953</f>
        <v/>
      </c>
      <c r="G5953" s="94" t="str">
        <f t="shared" si="2"/>
        <v/>
      </c>
      <c r="H5953" s="94" t="str">
        <f t="shared" si="3"/>
        <v/>
      </c>
      <c r="I5953" s="94" t="str">
        <f t="shared" ref="I5953:J5953" si="5954">if(G5953 = "", , -G5953)</f>
        <v/>
      </c>
      <c r="J5953" s="94" t="str">
        <f t="shared" si="5954"/>
        <v/>
      </c>
      <c r="K5953" s="100"/>
      <c r="M5953" s="100"/>
      <c r="N5953" s="100"/>
      <c r="O5953" s="100"/>
      <c r="P5953" s="100"/>
    </row>
    <row r="5954">
      <c r="A5954" s="107">
        <v>1630549.0</v>
      </c>
      <c r="B5954" s="116" t="s">
        <v>246</v>
      </c>
      <c r="C5954" s="116" t="s">
        <v>1455</v>
      </c>
      <c r="D5954" s="24" t="s">
        <v>177</v>
      </c>
      <c r="E5954" s="24">
        <v>905.0</v>
      </c>
      <c r="F5954" s="111" t="str">
        <f>DataPull!D5954</f>
        <v/>
      </c>
      <c r="G5954" s="94" t="str">
        <f t="shared" si="2"/>
        <v/>
      </c>
      <c r="H5954" s="94" t="str">
        <f t="shared" si="3"/>
        <v/>
      </c>
      <c r="I5954" s="94" t="str">
        <f t="shared" ref="I5954:J5954" si="5955">if(G5954 = "", , -G5954)</f>
        <v/>
      </c>
      <c r="J5954" s="94" t="str">
        <f t="shared" si="5955"/>
        <v/>
      </c>
      <c r="K5954" s="100"/>
      <c r="M5954" s="100"/>
      <c r="N5954" s="100"/>
      <c r="O5954" s="100"/>
      <c r="P5954" s="100"/>
    </row>
    <row r="5955">
      <c r="A5955" s="114">
        <v>1630549.0</v>
      </c>
      <c r="B5955" s="131" t="s">
        <v>247</v>
      </c>
      <c r="C5955" s="116" t="s">
        <v>1455</v>
      </c>
      <c r="D5955" s="24" t="s">
        <v>177</v>
      </c>
      <c r="E5955" s="24">
        <v>1159.4</v>
      </c>
      <c r="F5955" s="111" t="str">
        <f>DataPull!D5955</f>
        <v/>
      </c>
      <c r="G5955" s="94" t="str">
        <f t="shared" si="2"/>
        <v/>
      </c>
      <c r="H5955" s="94" t="str">
        <f t="shared" si="3"/>
        <v/>
      </c>
      <c r="I5955" s="94" t="str">
        <f t="shared" ref="I5955:J5955" si="5956">if(G5955 = "", , -G5955)</f>
        <v/>
      </c>
      <c r="J5955" s="94" t="str">
        <f t="shared" si="5956"/>
        <v/>
      </c>
      <c r="K5955" s="100"/>
      <c r="M5955" s="100"/>
      <c r="N5955" s="100"/>
      <c r="O5955" s="100"/>
      <c r="P5955" s="100"/>
    </row>
    <row r="5956">
      <c r="A5956" s="107">
        <v>1630550.0</v>
      </c>
      <c r="B5956" s="116" t="s">
        <v>215</v>
      </c>
      <c r="C5956" s="116" t="s">
        <v>1456</v>
      </c>
      <c r="D5956" s="24" t="s">
        <v>187</v>
      </c>
      <c r="E5956" s="24">
        <v>260.7</v>
      </c>
      <c r="F5956" s="111" t="str">
        <f>DataPull!D5956</f>
        <v/>
      </c>
      <c r="G5956" s="94" t="str">
        <f t="shared" si="2"/>
        <v/>
      </c>
      <c r="H5956" s="94" t="str">
        <f t="shared" si="3"/>
        <v/>
      </c>
      <c r="I5956" s="94" t="str">
        <f t="shared" ref="I5956:J5956" si="5957">if(G5956 = "", , -G5956)</f>
        <v/>
      </c>
      <c r="J5956" s="94" t="str">
        <f t="shared" si="5957"/>
        <v/>
      </c>
      <c r="K5956" s="100"/>
      <c r="M5956" s="100"/>
      <c r="N5956" s="100"/>
      <c r="O5956" s="100"/>
      <c r="P5956" s="100"/>
    </row>
    <row r="5957">
      <c r="A5957" s="107">
        <v>1630550.0</v>
      </c>
      <c r="B5957" s="116" t="s">
        <v>244</v>
      </c>
      <c r="C5957" s="116" t="s">
        <v>1456</v>
      </c>
      <c r="D5957" s="24" t="s">
        <v>177</v>
      </c>
      <c r="E5957" s="24">
        <v>966.0</v>
      </c>
      <c r="F5957" s="111" t="str">
        <f>DataPull!D5957</f>
        <v/>
      </c>
      <c r="G5957" s="94" t="str">
        <f t="shared" si="2"/>
        <v/>
      </c>
      <c r="H5957" s="94" t="str">
        <f t="shared" si="3"/>
        <v/>
      </c>
      <c r="I5957" s="94" t="str">
        <f t="shared" ref="I5957:J5957" si="5958">if(G5957 = "", , -G5957)</f>
        <v/>
      </c>
      <c r="J5957" s="94" t="str">
        <f t="shared" si="5958"/>
        <v/>
      </c>
      <c r="K5957" s="100"/>
      <c r="M5957" s="100"/>
      <c r="N5957" s="100"/>
      <c r="O5957" s="100"/>
      <c r="P5957" s="100"/>
    </row>
    <row r="5958">
      <c r="A5958" s="107">
        <v>1630550.0</v>
      </c>
      <c r="B5958" s="116" t="s">
        <v>245</v>
      </c>
      <c r="C5958" s="116" t="s">
        <v>1456</v>
      </c>
      <c r="D5958" s="24" t="s">
        <v>177</v>
      </c>
      <c r="E5958" s="24">
        <v>781.2</v>
      </c>
      <c r="F5958" s="111" t="str">
        <f>DataPull!D5958</f>
        <v/>
      </c>
      <c r="G5958" s="94" t="str">
        <f t="shared" si="2"/>
        <v/>
      </c>
      <c r="H5958" s="94" t="str">
        <f t="shared" si="3"/>
        <v/>
      </c>
      <c r="I5958" s="94" t="str">
        <f t="shared" ref="I5958:J5958" si="5959">if(G5958 = "", , -G5958)</f>
        <v/>
      </c>
      <c r="J5958" s="94" t="str">
        <f t="shared" si="5959"/>
        <v/>
      </c>
      <c r="K5958" s="100"/>
      <c r="M5958" s="100"/>
      <c r="N5958" s="100"/>
      <c r="O5958" s="100"/>
      <c r="P5958" s="100"/>
    </row>
    <row r="5959">
      <c r="A5959" s="107">
        <v>1630550.0</v>
      </c>
      <c r="B5959" s="116" t="s">
        <v>246</v>
      </c>
      <c r="C5959" s="116" t="s">
        <v>1456</v>
      </c>
      <c r="D5959" s="24" t="s">
        <v>187</v>
      </c>
      <c r="E5959" s="24">
        <v>250.0</v>
      </c>
      <c r="F5959" s="111" t="str">
        <f>DataPull!D5959</f>
        <v/>
      </c>
      <c r="G5959" s="94" t="str">
        <f t="shared" si="2"/>
        <v/>
      </c>
      <c r="H5959" s="94" t="str">
        <f t="shared" si="3"/>
        <v/>
      </c>
      <c r="I5959" s="94" t="str">
        <f t="shared" ref="I5959:J5959" si="5960">if(G5959 = "", , -G5959)</f>
        <v/>
      </c>
      <c r="J5959" s="94" t="str">
        <f t="shared" si="5960"/>
        <v/>
      </c>
      <c r="K5959" s="100"/>
      <c r="M5959" s="100"/>
      <c r="N5959" s="100"/>
      <c r="O5959" s="100"/>
      <c r="P5959" s="100"/>
    </row>
    <row r="5960">
      <c r="A5960" s="107">
        <v>1630551.0</v>
      </c>
      <c r="B5960" s="116" t="s">
        <v>215</v>
      </c>
      <c r="C5960" s="116" t="s">
        <v>1457</v>
      </c>
      <c r="D5960" s="24" t="s">
        <v>187</v>
      </c>
      <c r="E5960" s="24">
        <v>280.8</v>
      </c>
      <c r="F5960" s="111" t="str">
        <f>DataPull!D5960</f>
        <v/>
      </c>
      <c r="G5960" s="94" t="str">
        <f t="shared" si="2"/>
        <v/>
      </c>
      <c r="H5960" s="94" t="str">
        <f t="shared" si="3"/>
        <v/>
      </c>
      <c r="I5960" s="94" t="str">
        <f t="shared" ref="I5960:J5960" si="5961">if(G5960 = "", , -G5960)</f>
        <v/>
      </c>
      <c r="J5960" s="94" t="str">
        <f t="shared" si="5961"/>
        <v/>
      </c>
      <c r="K5960" s="100"/>
      <c r="M5960" s="100"/>
      <c r="N5960" s="100"/>
      <c r="O5960" s="100"/>
      <c r="P5960" s="100"/>
    </row>
    <row r="5961">
      <c r="A5961" s="107">
        <v>1630551.0</v>
      </c>
      <c r="B5961" s="116" t="s">
        <v>244</v>
      </c>
      <c r="C5961" s="116" t="s">
        <v>1457</v>
      </c>
      <c r="D5961" s="24" t="s">
        <v>181</v>
      </c>
      <c r="E5961" s="24">
        <v>34.5</v>
      </c>
      <c r="F5961" s="111" t="str">
        <f>DataPull!D5961</f>
        <v/>
      </c>
      <c r="G5961" s="94" t="str">
        <f t="shared" si="2"/>
        <v/>
      </c>
      <c r="H5961" s="94" t="str">
        <f t="shared" si="3"/>
        <v/>
      </c>
      <c r="I5961" s="94" t="str">
        <f t="shared" ref="I5961:J5961" si="5962">if(G5961 = "", , -G5961)</f>
        <v/>
      </c>
      <c r="J5961" s="94" t="str">
        <f t="shared" si="5962"/>
        <v/>
      </c>
      <c r="K5961" s="100"/>
      <c r="M5961" s="100"/>
      <c r="N5961" s="100"/>
      <c r="O5961" s="100"/>
      <c r="P5961" s="100"/>
    </row>
    <row r="5962">
      <c r="A5962" s="107">
        <v>1630551.0</v>
      </c>
      <c r="B5962" s="116" t="s">
        <v>245</v>
      </c>
      <c r="C5962" s="116" t="s">
        <v>1457</v>
      </c>
      <c r="D5962" s="24" t="s">
        <v>187</v>
      </c>
      <c r="E5962" s="24">
        <v>235.5</v>
      </c>
      <c r="F5962" s="111" t="str">
        <f>DataPull!D5962</f>
        <v/>
      </c>
      <c r="G5962" s="94" t="str">
        <f t="shared" si="2"/>
        <v/>
      </c>
      <c r="H5962" s="94" t="str">
        <f t="shared" si="3"/>
        <v/>
      </c>
      <c r="I5962" s="94" t="str">
        <f t="shared" ref="I5962:J5962" si="5963">if(G5962 = "", , -G5962)</f>
        <v/>
      </c>
      <c r="J5962" s="94" t="str">
        <f t="shared" si="5963"/>
        <v/>
      </c>
      <c r="K5962" s="100"/>
      <c r="M5962" s="100"/>
      <c r="N5962" s="100"/>
      <c r="O5962" s="100"/>
      <c r="P5962" s="100"/>
    </row>
    <row r="5963">
      <c r="A5963" s="107">
        <v>1630551.0</v>
      </c>
      <c r="B5963" s="116" t="s">
        <v>246</v>
      </c>
      <c r="C5963" s="116" t="s">
        <v>1457</v>
      </c>
      <c r="D5963" s="24" t="s">
        <v>176</v>
      </c>
      <c r="E5963" s="24">
        <v>1339.2</v>
      </c>
      <c r="F5963" s="111" t="str">
        <f>DataPull!D5963</f>
        <v/>
      </c>
      <c r="G5963" s="94" t="str">
        <f t="shared" si="2"/>
        <v/>
      </c>
      <c r="H5963" s="94" t="str">
        <f t="shared" si="3"/>
        <v/>
      </c>
      <c r="I5963" s="94" t="str">
        <f t="shared" ref="I5963:J5963" si="5964">if(G5963 = "", , -G5963)</f>
        <v/>
      </c>
      <c r="J5963" s="94" t="str">
        <f t="shared" si="5964"/>
        <v/>
      </c>
      <c r="K5963" s="100"/>
      <c r="M5963" s="100"/>
      <c r="N5963" s="100"/>
      <c r="O5963" s="100"/>
      <c r="P5963" s="100"/>
    </row>
    <row r="5964">
      <c r="A5964" s="114">
        <v>1630551.0</v>
      </c>
      <c r="B5964" s="131" t="s">
        <v>247</v>
      </c>
      <c r="C5964" s="131" t="s">
        <v>1457</v>
      </c>
      <c r="D5964" s="24" t="s">
        <v>176</v>
      </c>
      <c r="E5964" s="24">
        <v>1380.0</v>
      </c>
      <c r="F5964" s="111" t="str">
        <f>DataPull!D5964</f>
        <v/>
      </c>
      <c r="G5964" s="94" t="str">
        <f t="shared" si="2"/>
        <v/>
      </c>
      <c r="H5964" s="94" t="str">
        <f t="shared" si="3"/>
        <v/>
      </c>
      <c r="I5964" s="94" t="str">
        <f t="shared" ref="I5964:J5964" si="5965">if(G5964 = "", , -G5964)</f>
        <v/>
      </c>
      <c r="J5964" s="94" t="str">
        <f t="shared" si="5965"/>
        <v/>
      </c>
      <c r="K5964" s="100"/>
      <c r="M5964" s="100"/>
      <c r="N5964" s="100"/>
      <c r="O5964" s="100"/>
      <c r="P5964" s="100"/>
    </row>
    <row r="5965">
      <c r="A5965" s="107">
        <v>1630552.0</v>
      </c>
      <c r="B5965" s="116" t="s">
        <v>215</v>
      </c>
      <c r="C5965" s="116" t="s">
        <v>1458</v>
      </c>
      <c r="D5965" s="24" t="s">
        <v>187</v>
      </c>
      <c r="E5965" s="24">
        <v>121.0</v>
      </c>
      <c r="F5965" s="111" t="str">
        <f>DataPull!D5965</f>
        <v/>
      </c>
      <c r="G5965" s="94" t="str">
        <f t="shared" si="2"/>
        <v/>
      </c>
      <c r="H5965" s="94" t="str">
        <f t="shared" si="3"/>
        <v/>
      </c>
      <c r="I5965" s="94" t="str">
        <f t="shared" ref="I5965:J5965" si="5966">if(G5965 = "", , -G5965)</f>
        <v/>
      </c>
      <c r="J5965" s="94" t="str">
        <f t="shared" si="5966"/>
        <v/>
      </c>
      <c r="K5965" s="100"/>
      <c r="M5965" s="100"/>
      <c r="N5965" s="100"/>
      <c r="O5965" s="100"/>
      <c r="P5965" s="100"/>
    </row>
    <row r="5966">
      <c r="A5966" s="107">
        <v>1630552.0</v>
      </c>
      <c r="B5966" s="116" t="s">
        <v>244</v>
      </c>
      <c r="C5966" s="116" t="s">
        <v>1458</v>
      </c>
      <c r="D5966" s="24" t="s">
        <v>177</v>
      </c>
      <c r="E5966" s="24">
        <v>1043.0</v>
      </c>
      <c r="F5966" s="111" t="str">
        <f>DataPull!D5966</f>
        <v/>
      </c>
      <c r="G5966" s="94" t="str">
        <f t="shared" si="2"/>
        <v/>
      </c>
      <c r="H5966" s="94" t="str">
        <f t="shared" si="3"/>
        <v/>
      </c>
      <c r="I5966" s="94" t="str">
        <f t="shared" ref="I5966:J5966" si="5967">if(G5966 = "", , -G5966)</f>
        <v/>
      </c>
      <c r="J5966" s="94" t="str">
        <f t="shared" si="5967"/>
        <v/>
      </c>
      <c r="K5966" s="100"/>
      <c r="M5966" s="100"/>
      <c r="N5966" s="100"/>
      <c r="O5966" s="100"/>
      <c r="P5966" s="100"/>
    </row>
    <row r="5967">
      <c r="A5967" s="107">
        <v>1630552.0</v>
      </c>
      <c r="B5967" s="116" t="s">
        <v>245</v>
      </c>
      <c r="C5967" s="116" t="s">
        <v>1458</v>
      </c>
      <c r="D5967" s="24" t="s">
        <v>178</v>
      </c>
      <c r="E5967" s="24">
        <v>1887.2</v>
      </c>
      <c r="F5967" s="111" t="str">
        <f>DataPull!D5967</f>
        <v/>
      </c>
      <c r="G5967" s="94" t="str">
        <f t="shared" si="2"/>
        <v/>
      </c>
      <c r="H5967" s="94" t="str">
        <f t="shared" si="3"/>
        <v/>
      </c>
      <c r="I5967" s="94" t="str">
        <f t="shared" ref="I5967:J5967" si="5968">if(G5967 = "", , -G5967)</f>
        <v/>
      </c>
      <c r="J5967" s="94" t="str">
        <f t="shared" si="5968"/>
        <v/>
      </c>
      <c r="K5967" s="100"/>
      <c r="M5967" s="100"/>
      <c r="N5967" s="100"/>
      <c r="O5967" s="100"/>
      <c r="P5967" s="100"/>
    </row>
    <row r="5968">
      <c r="A5968" s="107">
        <v>1630552.0</v>
      </c>
      <c r="B5968" s="116" t="s">
        <v>246</v>
      </c>
      <c r="C5968" s="116" t="s">
        <v>1458</v>
      </c>
      <c r="D5968" s="24" t="s">
        <v>184</v>
      </c>
      <c r="E5968" s="24">
        <v>1285.2</v>
      </c>
      <c r="F5968" s="111" t="str">
        <f>DataPull!D5968</f>
        <v/>
      </c>
      <c r="G5968" s="94" t="str">
        <f t="shared" si="2"/>
        <v/>
      </c>
      <c r="H5968" s="94" t="str">
        <f t="shared" si="3"/>
        <v/>
      </c>
      <c r="I5968" s="94" t="str">
        <f t="shared" ref="I5968:J5968" si="5969">if(G5968 = "", , -G5968)</f>
        <v/>
      </c>
      <c r="J5968" s="94" t="str">
        <f t="shared" si="5969"/>
        <v/>
      </c>
      <c r="K5968" s="100"/>
      <c r="M5968" s="100"/>
      <c r="N5968" s="100"/>
      <c r="O5968" s="100"/>
      <c r="P5968" s="100"/>
    </row>
    <row r="5969">
      <c r="A5969" s="114">
        <v>1630552.0</v>
      </c>
      <c r="B5969" s="131" t="s">
        <v>247</v>
      </c>
      <c r="C5969" s="131" t="s">
        <v>1458</v>
      </c>
      <c r="D5969" s="24" t="s">
        <v>184</v>
      </c>
      <c r="E5969" s="24">
        <v>2534.4</v>
      </c>
      <c r="F5969" s="111" t="str">
        <f>DataPull!D5969</f>
        <v/>
      </c>
      <c r="G5969" s="94" t="str">
        <f t="shared" si="2"/>
        <v/>
      </c>
      <c r="H5969" s="94" t="str">
        <f t="shared" si="3"/>
        <v/>
      </c>
      <c r="I5969" s="94" t="str">
        <f t="shared" ref="I5969:J5969" si="5970">if(G5969 = "", , -G5969)</f>
        <v/>
      </c>
      <c r="J5969" s="94" t="str">
        <f t="shared" si="5970"/>
        <v/>
      </c>
      <c r="K5969" s="100"/>
      <c r="M5969" s="100"/>
      <c r="N5969" s="100"/>
      <c r="O5969" s="100"/>
      <c r="P5969" s="100"/>
    </row>
    <row r="5970">
      <c r="A5970" s="107">
        <v>1630553.0</v>
      </c>
      <c r="B5970" s="116" t="s">
        <v>215</v>
      </c>
      <c r="C5970" s="116" t="s">
        <v>1459</v>
      </c>
      <c r="D5970" s="24" t="s">
        <v>176</v>
      </c>
      <c r="E5970" s="24">
        <v>695.6</v>
      </c>
      <c r="F5970" s="111" t="str">
        <f>DataPull!D5970</f>
        <v/>
      </c>
      <c r="G5970" s="94" t="str">
        <f t="shared" si="2"/>
        <v/>
      </c>
      <c r="H5970" s="94" t="str">
        <f t="shared" si="3"/>
        <v/>
      </c>
      <c r="I5970" s="94" t="str">
        <f t="shared" ref="I5970:J5970" si="5971">if(G5970 = "", , -G5970)</f>
        <v/>
      </c>
      <c r="J5970" s="94" t="str">
        <f t="shared" si="5971"/>
        <v/>
      </c>
      <c r="K5970" s="100"/>
      <c r="M5970" s="100"/>
      <c r="N5970" s="100"/>
      <c r="O5970" s="100"/>
      <c r="P5970" s="100"/>
    </row>
    <row r="5971">
      <c r="A5971" s="107">
        <v>1630553.0</v>
      </c>
      <c r="B5971" s="116" t="s">
        <v>244</v>
      </c>
      <c r="C5971" s="116" t="s">
        <v>1459</v>
      </c>
      <c r="D5971" s="24" t="s">
        <v>177</v>
      </c>
      <c r="E5971" s="24">
        <v>416.0</v>
      </c>
      <c r="F5971" s="111" t="str">
        <f>DataPull!D5971</f>
        <v/>
      </c>
      <c r="G5971" s="94" t="str">
        <f t="shared" si="2"/>
        <v/>
      </c>
      <c r="H5971" s="94" t="str">
        <f t="shared" si="3"/>
        <v/>
      </c>
      <c r="I5971" s="94" t="str">
        <f t="shared" ref="I5971:J5971" si="5972">if(G5971 = "", , -G5971)</f>
        <v/>
      </c>
      <c r="J5971" s="94" t="str">
        <f t="shared" si="5972"/>
        <v/>
      </c>
      <c r="K5971" s="100"/>
      <c r="M5971" s="100"/>
      <c r="N5971" s="100"/>
      <c r="O5971" s="100"/>
      <c r="P5971" s="100"/>
    </row>
    <row r="5972">
      <c r="A5972" s="107">
        <v>1630553.0</v>
      </c>
      <c r="B5972" s="116" t="s">
        <v>245</v>
      </c>
      <c r="C5972" s="116" t="s">
        <v>1459</v>
      </c>
      <c r="D5972" s="24" t="s">
        <v>181</v>
      </c>
      <c r="E5972" s="24">
        <v>61.5</v>
      </c>
      <c r="F5972" s="111" t="str">
        <f>DataPull!D5972</f>
        <v/>
      </c>
      <c r="G5972" s="94" t="str">
        <f t="shared" si="2"/>
        <v/>
      </c>
      <c r="H5972" s="94" t="str">
        <f t="shared" si="3"/>
        <v/>
      </c>
      <c r="I5972" s="94" t="str">
        <f t="shared" ref="I5972:J5972" si="5973">if(G5972 = "", , -G5972)</f>
        <v/>
      </c>
      <c r="J5972" s="94" t="str">
        <f t="shared" si="5973"/>
        <v/>
      </c>
      <c r="K5972" s="100"/>
      <c r="M5972" s="100"/>
      <c r="N5972" s="100"/>
      <c r="O5972" s="100"/>
      <c r="P5972" s="100"/>
    </row>
    <row r="5973">
      <c r="A5973" s="107">
        <v>1630553.0</v>
      </c>
      <c r="B5973" s="116" t="s">
        <v>246</v>
      </c>
      <c r="C5973" s="116" t="s">
        <v>1459</v>
      </c>
      <c r="D5973" s="24" t="s">
        <v>176</v>
      </c>
      <c r="E5973" s="24">
        <v>1927.6</v>
      </c>
      <c r="F5973" s="111" t="str">
        <f>DataPull!D5973</f>
        <v/>
      </c>
      <c r="G5973" s="94" t="str">
        <f t="shared" si="2"/>
        <v/>
      </c>
      <c r="H5973" s="94" t="str">
        <f t="shared" si="3"/>
        <v/>
      </c>
      <c r="I5973" s="94" t="str">
        <f t="shared" ref="I5973:J5973" si="5974">if(G5973 = "", , -G5973)</f>
        <v/>
      </c>
      <c r="J5973" s="94" t="str">
        <f t="shared" si="5974"/>
        <v/>
      </c>
      <c r="K5973" s="100"/>
      <c r="M5973" s="100"/>
      <c r="N5973" s="100"/>
      <c r="O5973" s="100"/>
      <c r="P5973" s="100"/>
    </row>
    <row r="5974">
      <c r="A5974" s="107">
        <v>1630554.0</v>
      </c>
      <c r="B5974" s="116" t="s">
        <v>244</v>
      </c>
      <c r="C5974" s="116" t="s">
        <v>1460</v>
      </c>
      <c r="D5974" s="24" t="s">
        <v>187</v>
      </c>
      <c r="E5974" s="24">
        <v>123.2</v>
      </c>
      <c r="F5974" s="111" t="str">
        <f>DataPull!D5974</f>
        <v/>
      </c>
      <c r="G5974" s="94" t="str">
        <f t="shared" si="2"/>
        <v/>
      </c>
      <c r="H5974" s="94" t="str">
        <f t="shared" si="3"/>
        <v/>
      </c>
      <c r="I5974" s="94" t="str">
        <f t="shared" ref="I5974:J5974" si="5975">if(G5974 = "", , -G5974)</f>
        <v/>
      </c>
      <c r="J5974" s="94" t="str">
        <f t="shared" si="5975"/>
        <v/>
      </c>
      <c r="K5974" s="100"/>
      <c r="M5974" s="100"/>
      <c r="N5974" s="100"/>
      <c r="O5974" s="100"/>
      <c r="P5974" s="100"/>
    </row>
    <row r="5975">
      <c r="A5975" s="107">
        <v>1630554.0</v>
      </c>
      <c r="B5975" s="116" t="s">
        <v>245</v>
      </c>
      <c r="C5975" s="116" t="s">
        <v>1460</v>
      </c>
      <c r="D5975" s="24" t="s">
        <v>181</v>
      </c>
      <c r="E5975" s="24">
        <v>71.4</v>
      </c>
      <c r="F5975" s="111" t="str">
        <f>DataPull!D5975</f>
        <v/>
      </c>
      <c r="G5975" s="94" t="str">
        <f t="shared" si="2"/>
        <v/>
      </c>
      <c r="H5975" s="94" t="str">
        <f t="shared" si="3"/>
        <v/>
      </c>
      <c r="I5975" s="94" t="str">
        <f t="shared" ref="I5975:J5975" si="5976">if(G5975 = "", , -G5975)</f>
        <v/>
      </c>
      <c r="J5975" s="94" t="str">
        <f t="shared" si="5976"/>
        <v/>
      </c>
      <c r="K5975" s="100"/>
      <c r="M5975" s="100"/>
      <c r="N5975" s="100"/>
      <c r="O5975" s="100"/>
      <c r="P5975" s="100"/>
    </row>
    <row r="5976">
      <c r="A5976" s="107">
        <v>1630554.0</v>
      </c>
      <c r="B5976" s="116" t="s">
        <v>246</v>
      </c>
      <c r="C5976" s="116" t="s">
        <v>1460</v>
      </c>
      <c r="D5976" s="24"/>
      <c r="E5976" s="24"/>
      <c r="F5976" s="111" t="str">
        <f>DataPull!D5976</f>
        <v/>
      </c>
      <c r="G5976" s="94" t="str">
        <f t="shared" si="2"/>
        <v/>
      </c>
      <c r="H5976" s="94" t="str">
        <f t="shared" si="3"/>
        <v/>
      </c>
      <c r="I5976" s="94" t="str">
        <f t="shared" ref="I5976:J5976" si="5977">if(G5976 = "", , -G5976)</f>
        <v/>
      </c>
      <c r="J5976" s="94" t="str">
        <f t="shared" si="5977"/>
        <v/>
      </c>
      <c r="K5976" s="100"/>
      <c r="M5976" s="100"/>
      <c r="N5976" s="100"/>
      <c r="O5976" s="100"/>
      <c r="P5976" s="100"/>
    </row>
    <row r="5977">
      <c r="A5977" s="107">
        <v>1630555.0</v>
      </c>
      <c r="B5977" s="116" t="s">
        <v>215</v>
      </c>
      <c r="C5977" s="116" t="s">
        <v>1461</v>
      </c>
      <c r="D5977" s="24" t="s">
        <v>181</v>
      </c>
      <c r="E5977" s="24">
        <v>20.3</v>
      </c>
      <c r="F5977" s="111" t="str">
        <f>DataPull!D5977</f>
        <v/>
      </c>
      <c r="G5977" s="94" t="str">
        <f t="shared" si="2"/>
        <v/>
      </c>
      <c r="H5977" s="94" t="str">
        <f t="shared" si="3"/>
        <v/>
      </c>
      <c r="I5977" s="94" t="str">
        <f t="shared" ref="I5977:J5977" si="5978">if(G5977 = "", , -G5977)</f>
        <v/>
      </c>
      <c r="J5977" s="94" t="str">
        <f t="shared" si="5978"/>
        <v/>
      </c>
      <c r="K5977" s="100"/>
      <c r="M5977" s="100"/>
      <c r="N5977" s="100"/>
      <c r="O5977" s="100"/>
      <c r="P5977" s="100"/>
    </row>
    <row r="5978">
      <c r="A5978" s="107">
        <v>1630556.0</v>
      </c>
      <c r="B5978" s="116" t="s">
        <v>215</v>
      </c>
      <c r="C5978" s="116" t="s">
        <v>1462</v>
      </c>
      <c r="D5978" s="24" t="s">
        <v>177</v>
      </c>
      <c r="E5978" s="24">
        <v>988.8</v>
      </c>
      <c r="F5978" s="111" t="str">
        <f>DataPull!D5978</f>
        <v/>
      </c>
      <c r="G5978" s="94" t="str">
        <f t="shared" si="2"/>
        <v/>
      </c>
      <c r="H5978" s="94" t="str">
        <f t="shared" si="3"/>
        <v/>
      </c>
      <c r="I5978" s="94" t="str">
        <f t="shared" ref="I5978:J5978" si="5979">if(G5978 = "", , -G5978)</f>
        <v/>
      </c>
      <c r="J5978" s="94" t="str">
        <f t="shared" si="5979"/>
        <v/>
      </c>
      <c r="K5978" s="100"/>
      <c r="M5978" s="100"/>
      <c r="N5978" s="100"/>
      <c r="O5978" s="100"/>
      <c r="P5978" s="100"/>
    </row>
    <row r="5979">
      <c r="A5979" s="107">
        <v>1630556.0</v>
      </c>
      <c r="B5979" s="116" t="s">
        <v>244</v>
      </c>
      <c r="C5979" s="116" t="s">
        <v>1462</v>
      </c>
      <c r="D5979" s="24" t="s">
        <v>177</v>
      </c>
      <c r="E5979" s="24">
        <v>385.2</v>
      </c>
      <c r="F5979" s="111" t="str">
        <f>DataPull!D5979</f>
        <v/>
      </c>
      <c r="G5979" s="94" t="str">
        <f t="shared" si="2"/>
        <v/>
      </c>
      <c r="H5979" s="94" t="str">
        <f t="shared" si="3"/>
        <v/>
      </c>
      <c r="I5979" s="94" t="str">
        <f t="shared" ref="I5979:J5979" si="5980">if(G5979 = "", , -G5979)</f>
        <v/>
      </c>
      <c r="J5979" s="94" t="str">
        <f t="shared" si="5980"/>
        <v/>
      </c>
      <c r="K5979" s="100"/>
      <c r="M5979" s="100"/>
      <c r="N5979" s="100"/>
      <c r="O5979" s="100"/>
      <c r="P5979" s="100"/>
    </row>
    <row r="5980">
      <c r="A5980" s="107">
        <v>1630556.0</v>
      </c>
      <c r="B5980" s="116" t="s">
        <v>245</v>
      </c>
      <c r="C5980" s="116" t="s">
        <v>1462</v>
      </c>
      <c r="D5980" s="24" t="s">
        <v>187</v>
      </c>
      <c r="E5980" s="24">
        <v>275.4</v>
      </c>
      <c r="F5980" s="111" t="str">
        <f>DataPull!D5980</f>
        <v/>
      </c>
      <c r="G5980" s="94" t="str">
        <f t="shared" si="2"/>
        <v/>
      </c>
      <c r="H5980" s="94" t="str">
        <f t="shared" si="3"/>
        <v/>
      </c>
      <c r="I5980" s="94" t="str">
        <f t="shared" ref="I5980:J5980" si="5981">if(G5980 = "", , -G5980)</f>
        <v/>
      </c>
      <c r="J5980" s="94" t="str">
        <f t="shared" si="5981"/>
        <v/>
      </c>
      <c r="K5980" s="100"/>
      <c r="M5980" s="100"/>
      <c r="N5980" s="100"/>
      <c r="O5980" s="100"/>
      <c r="P5980" s="100"/>
    </row>
    <row r="5981">
      <c r="A5981" s="107">
        <v>1630556.0</v>
      </c>
      <c r="B5981" s="116" t="s">
        <v>246</v>
      </c>
      <c r="C5981" s="116" t="s">
        <v>1462</v>
      </c>
      <c r="D5981" s="24" t="s">
        <v>177</v>
      </c>
      <c r="E5981" s="24">
        <v>608.0</v>
      </c>
      <c r="F5981" s="111" t="str">
        <f>DataPull!D5981</f>
        <v/>
      </c>
      <c r="G5981" s="94" t="str">
        <f t="shared" si="2"/>
        <v/>
      </c>
      <c r="H5981" s="94" t="str">
        <f t="shared" si="3"/>
        <v/>
      </c>
      <c r="I5981" s="94" t="str">
        <f t="shared" ref="I5981:J5981" si="5982">if(G5981 = "", , -G5981)</f>
        <v/>
      </c>
      <c r="J5981" s="94" t="str">
        <f t="shared" si="5982"/>
        <v/>
      </c>
      <c r="K5981" s="100"/>
      <c r="M5981" s="100"/>
      <c r="N5981" s="100"/>
      <c r="O5981" s="100"/>
      <c r="P5981" s="100"/>
    </row>
    <row r="5982">
      <c r="A5982" s="107">
        <v>1630557.0</v>
      </c>
      <c r="B5982" s="116" t="s">
        <v>215</v>
      </c>
      <c r="C5982" s="116" t="s">
        <v>1463</v>
      </c>
      <c r="D5982" s="24" t="s">
        <v>176</v>
      </c>
      <c r="E5982" s="24">
        <v>1801.8</v>
      </c>
      <c r="F5982" s="111" t="str">
        <f>DataPull!D5982</f>
        <v/>
      </c>
      <c r="G5982" s="94" t="str">
        <f t="shared" si="2"/>
        <v/>
      </c>
      <c r="H5982" s="94" t="str">
        <f t="shared" si="3"/>
        <v/>
      </c>
      <c r="I5982" s="94" t="str">
        <f t="shared" ref="I5982:J5982" si="5983">if(G5982 = "", , -G5982)</f>
        <v/>
      </c>
      <c r="J5982" s="94" t="str">
        <f t="shared" si="5983"/>
        <v/>
      </c>
      <c r="K5982" s="100"/>
      <c r="M5982" s="100"/>
      <c r="N5982" s="100"/>
      <c r="O5982" s="100"/>
      <c r="P5982" s="100"/>
    </row>
    <row r="5983">
      <c r="A5983" s="107">
        <v>1630557.0</v>
      </c>
      <c r="B5983" s="116" t="s">
        <v>244</v>
      </c>
      <c r="C5983" s="116" t="s">
        <v>1463</v>
      </c>
      <c r="D5983" s="24" t="s">
        <v>178</v>
      </c>
      <c r="E5983" s="24">
        <v>2094.2</v>
      </c>
      <c r="F5983" s="111" t="str">
        <f>DataPull!D5983</f>
        <v/>
      </c>
      <c r="G5983" s="94" t="str">
        <f t="shared" si="2"/>
        <v/>
      </c>
      <c r="H5983" s="94" t="str">
        <f t="shared" si="3"/>
        <v/>
      </c>
      <c r="I5983" s="94" t="str">
        <f t="shared" ref="I5983:J5983" si="5984">if(G5983 = "", , -G5983)</f>
        <v/>
      </c>
      <c r="J5983" s="94" t="str">
        <f t="shared" si="5984"/>
        <v/>
      </c>
      <c r="K5983" s="100"/>
      <c r="M5983" s="100"/>
      <c r="N5983" s="100"/>
      <c r="O5983" s="100"/>
      <c r="P5983" s="100"/>
    </row>
    <row r="5984">
      <c r="A5984" s="107">
        <v>1630557.0</v>
      </c>
      <c r="B5984" s="116" t="s">
        <v>245</v>
      </c>
      <c r="C5984" s="116" t="s">
        <v>1463</v>
      </c>
      <c r="D5984" s="24" t="s">
        <v>176</v>
      </c>
      <c r="E5984" s="24">
        <v>2064.0</v>
      </c>
      <c r="F5984" s="111" t="str">
        <f>DataPull!D5984</f>
        <v/>
      </c>
      <c r="G5984" s="94" t="str">
        <f t="shared" si="2"/>
        <v/>
      </c>
      <c r="H5984" s="94" t="str">
        <f t="shared" si="3"/>
        <v/>
      </c>
      <c r="I5984" s="94" t="str">
        <f t="shared" ref="I5984:J5984" si="5985">if(G5984 = "", , -G5984)</f>
        <v/>
      </c>
      <c r="J5984" s="94" t="str">
        <f t="shared" si="5985"/>
        <v/>
      </c>
      <c r="K5984" s="100"/>
      <c r="M5984" s="100"/>
      <c r="N5984" s="100"/>
      <c r="O5984" s="100"/>
      <c r="P5984" s="100"/>
    </row>
    <row r="5985">
      <c r="A5985" s="107">
        <v>1630557.0</v>
      </c>
      <c r="B5985" s="116" t="s">
        <v>246</v>
      </c>
      <c r="C5985" s="116" t="s">
        <v>1463</v>
      </c>
      <c r="D5985" s="24" t="s">
        <v>176</v>
      </c>
      <c r="E5985" s="24">
        <v>1604.3</v>
      </c>
      <c r="F5985" s="111" t="str">
        <f>DataPull!D5985</f>
        <v/>
      </c>
      <c r="G5985" s="94" t="str">
        <f t="shared" si="2"/>
        <v/>
      </c>
      <c r="H5985" s="94" t="str">
        <f t="shared" si="3"/>
        <v/>
      </c>
      <c r="I5985" s="94" t="str">
        <f t="shared" ref="I5985:J5985" si="5986">if(G5985 = "", , -G5985)</f>
        <v/>
      </c>
      <c r="J5985" s="94" t="str">
        <f t="shared" si="5986"/>
        <v/>
      </c>
      <c r="K5985" s="100"/>
      <c r="M5985" s="100"/>
      <c r="N5985" s="100"/>
      <c r="O5985" s="100"/>
      <c r="P5985" s="100"/>
    </row>
    <row r="5986">
      <c r="A5986" s="114">
        <v>1630557.0</v>
      </c>
      <c r="B5986" s="131" t="s">
        <v>247</v>
      </c>
      <c r="C5986" s="131" t="s">
        <v>1463</v>
      </c>
      <c r="D5986" s="24" t="s">
        <v>176</v>
      </c>
      <c r="E5986" s="24">
        <v>1078.8</v>
      </c>
      <c r="F5986" s="111" t="str">
        <f>DataPull!D5986</f>
        <v/>
      </c>
      <c r="G5986" s="94" t="str">
        <f t="shared" si="2"/>
        <v/>
      </c>
      <c r="H5986" s="94" t="str">
        <f t="shared" si="3"/>
        <v/>
      </c>
      <c r="I5986" s="94" t="str">
        <f t="shared" ref="I5986:J5986" si="5987">if(G5986 = "", , -G5986)</f>
        <v/>
      </c>
      <c r="J5986" s="94" t="str">
        <f t="shared" si="5987"/>
        <v/>
      </c>
      <c r="K5986" s="100"/>
      <c r="M5986" s="100"/>
      <c r="N5986" s="100"/>
      <c r="O5986" s="100"/>
      <c r="P5986" s="100"/>
    </row>
    <row r="5987">
      <c r="A5987" s="107">
        <v>1630558.0</v>
      </c>
      <c r="B5987" s="116" t="s">
        <v>215</v>
      </c>
      <c r="C5987" s="116" t="s">
        <v>1464</v>
      </c>
      <c r="D5987" s="24" t="s">
        <v>176</v>
      </c>
      <c r="E5987" s="24">
        <v>2077.5</v>
      </c>
      <c r="F5987" s="111" t="str">
        <f>DataPull!D5987</f>
        <v/>
      </c>
      <c r="G5987" s="94" t="str">
        <f t="shared" si="2"/>
        <v/>
      </c>
      <c r="H5987" s="94" t="str">
        <f t="shared" si="3"/>
        <v/>
      </c>
      <c r="I5987" s="94" t="str">
        <f t="shared" ref="I5987:J5987" si="5988">if(G5987 = "", , -G5987)</f>
        <v/>
      </c>
      <c r="J5987" s="94" t="str">
        <f t="shared" si="5988"/>
        <v/>
      </c>
      <c r="K5987" s="100"/>
      <c r="M5987" s="100"/>
      <c r="N5987" s="100"/>
      <c r="O5987" s="100"/>
      <c r="P5987" s="100"/>
    </row>
    <row r="5988">
      <c r="A5988" s="107">
        <v>1630558.0</v>
      </c>
      <c r="B5988" s="116" t="s">
        <v>244</v>
      </c>
      <c r="C5988" s="116" t="s">
        <v>1464</v>
      </c>
      <c r="D5988" s="24" t="s">
        <v>176</v>
      </c>
      <c r="E5988" s="24">
        <v>1448.0</v>
      </c>
      <c r="F5988" s="111" t="str">
        <f>DataPull!D5988</f>
        <v/>
      </c>
      <c r="G5988" s="94" t="str">
        <f t="shared" si="2"/>
        <v/>
      </c>
      <c r="H5988" s="94" t="str">
        <f t="shared" si="3"/>
        <v/>
      </c>
      <c r="I5988" s="94" t="str">
        <f t="shared" ref="I5988:J5988" si="5989">if(G5988 = "", , -G5988)</f>
        <v/>
      </c>
      <c r="J5988" s="94" t="str">
        <f t="shared" si="5989"/>
        <v/>
      </c>
      <c r="K5988" s="100"/>
      <c r="M5988" s="100"/>
      <c r="N5988" s="100"/>
      <c r="O5988" s="100"/>
      <c r="P5988" s="100"/>
    </row>
    <row r="5989">
      <c r="A5989" s="107">
        <v>1630558.0</v>
      </c>
      <c r="B5989" s="116" t="s">
        <v>245</v>
      </c>
      <c r="C5989" s="116" t="s">
        <v>1464</v>
      </c>
      <c r="D5989" s="24" t="s">
        <v>177</v>
      </c>
      <c r="E5989" s="24">
        <v>1101.6</v>
      </c>
      <c r="F5989" s="111" t="str">
        <f>DataPull!D5989</f>
        <v/>
      </c>
      <c r="G5989" s="94" t="str">
        <f t="shared" si="2"/>
        <v/>
      </c>
      <c r="H5989" s="94" t="str">
        <f t="shared" si="3"/>
        <v/>
      </c>
      <c r="I5989" s="94" t="str">
        <f t="shared" ref="I5989:J5989" si="5990">if(G5989 = "", , -G5989)</f>
        <v/>
      </c>
      <c r="J5989" s="94" t="str">
        <f t="shared" si="5990"/>
        <v/>
      </c>
      <c r="K5989" s="100"/>
      <c r="M5989" s="100"/>
      <c r="N5989" s="100"/>
      <c r="O5989" s="100"/>
      <c r="P5989" s="100"/>
    </row>
    <row r="5990">
      <c r="A5990" s="107">
        <v>1630558.0</v>
      </c>
      <c r="B5990" s="116" t="s">
        <v>246</v>
      </c>
      <c r="C5990" s="116" t="s">
        <v>1464</v>
      </c>
      <c r="D5990" s="24" t="s">
        <v>176</v>
      </c>
      <c r="E5990" s="24">
        <v>2027.6</v>
      </c>
      <c r="F5990" s="111" t="str">
        <f>DataPull!D5990</f>
        <v/>
      </c>
      <c r="G5990" s="94" t="str">
        <f t="shared" si="2"/>
        <v/>
      </c>
      <c r="H5990" s="94" t="str">
        <f t="shared" si="3"/>
        <v/>
      </c>
      <c r="I5990" s="94" t="str">
        <f t="shared" ref="I5990:J5990" si="5991">if(G5990 = "", , -G5990)</f>
        <v/>
      </c>
      <c r="J5990" s="94" t="str">
        <f t="shared" si="5991"/>
        <v/>
      </c>
      <c r="K5990" s="100"/>
      <c r="M5990" s="100"/>
      <c r="N5990" s="100"/>
      <c r="O5990" s="100"/>
      <c r="P5990" s="100"/>
    </row>
    <row r="5991">
      <c r="A5991" s="114">
        <v>1630558.0</v>
      </c>
      <c r="B5991" s="131" t="s">
        <v>247</v>
      </c>
      <c r="C5991" s="131" t="s">
        <v>1464</v>
      </c>
      <c r="D5991" s="24" t="s">
        <v>178</v>
      </c>
      <c r="E5991" s="24">
        <v>2002.0</v>
      </c>
      <c r="F5991" s="111" t="str">
        <f>DataPull!D5991</f>
        <v/>
      </c>
      <c r="G5991" s="94" t="str">
        <f t="shared" si="2"/>
        <v/>
      </c>
      <c r="H5991" s="94" t="str">
        <f t="shared" si="3"/>
        <v/>
      </c>
      <c r="I5991" s="94" t="str">
        <f t="shared" ref="I5991:J5991" si="5992">if(G5991 = "", , -G5991)</f>
        <v/>
      </c>
      <c r="J5991" s="94" t="str">
        <f t="shared" si="5992"/>
        <v/>
      </c>
      <c r="K5991" s="100"/>
      <c r="M5991" s="100"/>
      <c r="N5991" s="100"/>
      <c r="O5991" s="100"/>
      <c r="P5991" s="100"/>
    </row>
    <row r="5992">
      <c r="A5992" s="107">
        <v>1630559.0</v>
      </c>
      <c r="B5992" s="116" t="s">
        <v>215</v>
      </c>
      <c r="C5992" s="116" t="s">
        <v>1465</v>
      </c>
      <c r="D5992" s="24" t="s">
        <v>176</v>
      </c>
      <c r="E5992" s="24">
        <v>1415.2</v>
      </c>
      <c r="F5992" s="111" t="str">
        <f>DataPull!D5992</f>
        <v/>
      </c>
      <c r="G5992" s="94" t="str">
        <f t="shared" si="2"/>
        <v/>
      </c>
      <c r="H5992" s="94" t="str">
        <f t="shared" si="3"/>
        <v/>
      </c>
      <c r="I5992" s="94" t="str">
        <f t="shared" ref="I5992:J5992" si="5993">if(G5992 = "", , -G5992)</f>
        <v/>
      </c>
      <c r="J5992" s="94" t="str">
        <f t="shared" si="5993"/>
        <v/>
      </c>
      <c r="K5992" s="100"/>
      <c r="M5992" s="100"/>
      <c r="N5992" s="100"/>
      <c r="O5992" s="100"/>
      <c r="P5992" s="100"/>
    </row>
    <row r="5993">
      <c r="A5993" s="107">
        <v>1630559.0</v>
      </c>
      <c r="B5993" s="116" t="s">
        <v>244</v>
      </c>
      <c r="C5993" s="116" t="s">
        <v>1465</v>
      </c>
      <c r="D5993" s="24" t="s">
        <v>178</v>
      </c>
      <c r="E5993" s="24">
        <v>1843.2</v>
      </c>
      <c r="F5993" s="111" t="str">
        <f>DataPull!D5993</f>
        <v/>
      </c>
      <c r="G5993" s="94" t="str">
        <f t="shared" si="2"/>
        <v/>
      </c>
      <c r="H5993" s="94" t="str">
        <f t="shared" si="3"/>
        <v/>
      </c>
      <c r="I5993" s="94" t="str">
        <f t="shared" ref="I5993:J5993" si="5994">if(G5993 = "", , -G5993)</f>
        <v/>
      </c>
      <c r="J5993" s="94" t="str">
        <f t="shared" si="5994"/>
        <v/>
      </c>
      <c r="K5993" s="100"/>
      <c r="M5993" s="100"/>
      <c r="N5993" s="100"/>
      <c r="O5993" s="100"/>
      <c r="P5993" s="100"/>
    </row>
    <row r="5994">
      <c r="A5994" s="107">
        <v>1630559.0</v>
      </c>
      <c r="B5994" s="116" t="s">
        <v>245</v>
      </c>
      <c r="C5994" s="116" t="s">
        <v>1465</v>
      </c>
      <c r="D5994" s="24" t="s">
        <v>178</v>
      </c>
      <c r="E5994" s="24">
        <v>2632.2</v>
      </c>
      <c r="F5994" s="111" t="str">
        <f>DataPull!D5994</f>
        <v/>
      </c>
      <c r="G5994" s="94" t="str">
        <f t="shared" si="2"/>
        <v/>
      </c>
      <c r="H5994" s="94" t="str">
        <f t="shared" si="3"/>
        <v/>
      </c>
      <c r="I5994" s="94" t="str">
        <f t="shared" ref="I5994:J5994" si="5995">if(G5994 = "", , -G5994)</f>
        <v/>
      </c>
      <c r="J5994" s="94" t="str">
        <f t="shared" si="5995"/>
        <v/>
      </c>
      <c r="K5994" s="100"/>
      <c r="M5994" s="100"/>
      <c r="N5994" s="100"/>
      <c r="O5994" s="100"/>
      <c r="P5994" s="100"/>
    </row>
    <row r="5995">
      <c r="A5995" s="107">
        <v>1630559.0</v>
      </c>
      <c r="B5995" s="116" t="s">
        <v>246</v>
      </c>
      <c r="C5995" s="116" t="s">
        <v>1465</v>
      </c>
      <c r="D5995" s="24" t="s">
        <v>184</v>
      </c>
      <c r="E5995" s="24">
        <v>2547.7</v>
      </c>
      <c r="F5995" s="111" t="str">
        <f>DataPull!D5995</f>
        <v/>
      </c>
      <c r="G5995" s="94" t="str">
        <f t="shared" si="2"/>
        <v/>
      </c>
      <c r="H5995" s="94" t="str">
        <f t="shared" si="3"/>
        <v/>
      </c>
      <c r="I5995" s="94" t="str">
        <f t="shared" ref="I5995:J5995" si="5996">if(G5995 = "", , -G5995)</f>
        <v/>
      </c>
      <c r="J5995" s="94" t="str">
        <f t="shared" si="5996"/>
        <v/>
      </c>
      <c r="K5995" s="100"/>
      <c r="M5995" s="100"/>
      <c r="N5995" s="100"/>
      <c r="O5995" s="100"/>
      <c r="P5995" s="100"/>
    </row>
    <row r="5996">
      <c r="A5996" s="114">
        <v>1630559.0</v>
      </c>
      <c r="B5996" s="131" t="s">
        <v>247</v>
      </c>
      <c r="C5996" s="131" t="s">
        <v>1465</v>
      </c>
      <c r="D5996" s="24" t="s">
        <v>184</v>
      </c>
      <c r="E5996" s="24">
        <v>1759.5</v>
      </c>
      <c r="F5996" s="111" t="str">
        <f>DataPull!D5996</f>
        <v/>
      </c>
      <c r="G5996" s="94" t="str">
        <f t="shared" si="2"/>
        <v/>
      </c>
      <c r="H5996" s="94" t="str">
        <f t="shared" si="3"/>
        <v/>
      </c>
      <c r="I5996" s="94" t="str">
        <f t="shared" ref="I5996:J5996" si="5997">if(G5996 = "", , -G5996)</f>
        <v/>
      </c>
      <c r="J5996" s="94" t="str">
        <f t="shared" si="5997"/>
        <v/>
      </c>
      <c r="K5996" s="100"/>
      <c r="M5996" s="100"/>
      <c r="N5996" s="100"/>
      <c r="O5996" s="100"/>
      <c r="P5996" s="100"/>
    </row>
    <row r="5997">
      <c r="A5997" s="107">
        <v>1630560.0</v>
      </c>
      <c r="B5997" s="116" t="s">
        <v>215</v>
      </c>
      <c r="C5997" s="116" t="s">
        <v>1466</v>
      </c>
      <c r="D5997" s="24" t="s">
        <v>177</v>
      </c>
      <c r="E5997" s="24">
        <v>1179.2</v>
      </c>
      <c r="F5997" s="111" t="str">
        <f>DataPull!D5997</f>
        <v/>
      </c>
      <c r="G5997" s="94" t="str">
        <f t="shared" si="2"/>
        <v/>
      </c>
      <c r="H5997" s="94" t="str">
        <f t="shared" si="3"/>
        <v/>
      </c>
      <c r="I5997" s="94" t="str">
        <f t="shared" ref="I5997:J5997" si="5998">if(G5997 = "", , -G5997)</f>
        <v/>
      </c>
      <c r="J5997" s="94" t="str">
        <f t="shared" si="5998"/>
        <v/>
      </c>
      <c r="K5997" s="100"/>
      <c r="M5997" s="100"/>
      <c r="N5997" s="100"/>
      <c r="O5997" s="100"/>
      <c r="P5997" s="100"/>
    </row>
    <row r="5998">
      <c r="A5998" s="107">
        <v>1630560.0</v>
      </c>
      <c r="B5998" s="116" t="s">
        <v>244</v>
      </c>
      <c r="C5998" s="116" t="s">
        <v>1466</v>
      </c>
      <c r="D5998" s="24" t="s">
        <v>177</v>
      </c>
      <c r="E5998" s="24">
        <v>946.2</v>
      </c>
      <c r="F5998" s="111" t="str">
        <f>DataPull!D5998</f>
        <v/>
      </c>
      <c r="G5998" s="94" t="str">
        <f t="shared" si="2"/>
        <v/>
      </c>
      <c r="H5998" s="94" t="str">
        <f t="shared" si="3"/>
        <v/>
      </c>
      <c r="I5998" s="94" t="str">
        <f t="shared" ref="I5998:J5998" si="5999">if(G5998 = "", , -G5998)</f>
        <v/>
      </c>
      <c r="J5998" s="94" t="str">
        <f t="shared" si="5999"/>
        <v/>
      </c>
      <c r="K5998" s="100"/>
      <c r="M5998" s="100"/>
      <c r="N5998" s="100"/>
      <c r="O5998" s="100"/>
      <c r="P5998" s="100"/>
    </row>
    <row r="5999">
      <c r="A5999" s="107">
        <v>1630560.0</v>
      </c>
      <c r="B5999" s="116" t="s">
        <v>245</v>
      </c>
      <c r="C5999" s="116" t="s">
        <v>1466</v>
      </c>
      <c r="D5999" s="24" t="s">
        <v>178</v>
      </c>
      <c r="E5999" s="24">
        <v>2072.4</v>
      </c>
      <c r="F5999" s="111" t="str">
        <f>DataPull!D5999</f>
        <v/>
      </c>
      <c r="G5999" s="94" t="str">
        <f t="shared" si="2"/>
        <v/>
      </c>
      <c r="H5999" s="94" t="str">
        <f t="shared" si="3"/>
        <v/>
      </c>
      <c r="I5999" s="94" t="str">
        <f t="shared" ref="I5999:J5999" si="6000">if(G5999 = "", , -G5999)</f>
        <v/>
      </c>
      <c r="J5999" s="94" t="str">
        <f t="shared" si="6000"/>
        <v/>
      </c>
      <c r="K5999" s="100"/>
      <c r="M5999" s="100"/>
      <c r="N5999" s="100"/>
      <c r="O5999" s="100"/>
      <c r="P5999" s="100"/>
    </row>
    <row r="6000">
      <c r="A6000" s="107">
        <v>1630560.0</v>
      </c>
      <c r="B6000" s="116" t="s">
        <v>246</v>
      </c>
      <c r="C6000" s="116" t="s">
        <v>1466</v>
      </c>
      <c r="D6000" s="24" t="s">
        <v>178</v>
      </c>
      <c r="E6000" s="24">
        <v>780.0</v>
      </c>
      <c r="F6000" s="111" t="str">
        <f>DataPull!D6000</f>
        <v/>
      </c>
      <c r="G6000" s="94" t="str">
        <f t="shared" si="2"/>
        <v/>
      </c>
      <c r="H6000" s="94" t="str">
        <f t="shared" si="3"/>
        <v/>
      </c>
      <c r="I6000" s="94" t="str">
        <f t="shared" ref="I6000:J6000" si="6001">if(G6000 = "", , -G6000)</f>
        <v/>
      </c>
      <c r="J6000" s="94" t="str">
        <f t="shared" si="6001"/>
        <v/>
      </c>
      <c r="K6000" s="100"/>
      <c r="M6000" s="100"/>
      <c r="N6000" s="100"/>
      <c r="O6000" s="100"/>
      <c r="P6000" s="100"/>
    </row>
    <row r="6001">
      <c r="A6001" s="114">
        <v>1630560.0</v>
      </c>
      <c r="B6001" s="131" t="s">
        <v>247</v>
      </c>
      <c r="C6001" s="131" t="s">
        <v>1466</v>
      </c>
      <c r="D6001" s="24" t="s">
        <v>176</v>
      </c>
      <c r="E6001" s="24">
        <v>882.0</v>
      </c>
      <c r="F6001" s="111" t="str">
        <f>DataPull!D6001</f>
        <v/>
      </c>
      <c r="G6001" s="94" t="str">
        <f t="shared" si="2"/>
        <v/>
      </c>
      <c r="H6001" s="94" t="str">
        <f t="shared" si="3"/>
        <v/>
      </c>
      <c r="I6001" s="94" t="str">
        <f t="shared" ref="I6001:J6001" si="6002">if(G6001 = "", , -G6001)</f>
        <v/>
      </c>
      <c r="J6001" s="94" t="str">
        <f t="shared" si="6002"/>
        <v/>
      </c>
      <c r="K6001" s="100"/>
      <c r="M6001" s="100"/>
      <c r="N6001" s="100"/>
      <c r="O6001" s="100"/>
      <c r="P6001" s="100"/>
    </row>
    <row r="6002">
      <c r="A6002" s="107">
        <v>1630561.0</v>
      </c>
      <c r="B6002" s="116" t="s">
        <v>215</v>
      </c>
      <c r="C6002" s="116" t="s">
        <v>1467</v>
      </c>
      <c r="D6002" s="24" t="s">
        <v>177</v>
      </c>
      <c r="E6002" s="24">
        <v>341.0</v>
      </c>
      <c r="F6002" s="111" t="str">
        <f>DataPull!D6002</f>
        <v/>
      </c>
      <c r="G6002" s="94" t="str">
        <f t="shared" si="2"/>
        <v/>
      </c>
      <c r="H6002" s="94" t="str">
        <f t="shared" si="3"/>
        <v/>
      </c>
      <c r="I6002" s="94" t="str">
        <f t="shared" ref="I6002:J6002" si="6003">if(G6002 = "", , -G6002)</f>
        <v/>
      </c>
      <c r="J6002" s="94" t="str">
        <f t="shared" si="6003"/>
        <v/>
      </c>
      <c r="K6002" s="100"/>
      <c r="M6002" s="100"/>
      <c r="N6002" s="100"/>
      <c r="O6002" s="100"/>
      <c r="P6002" s="100"/>
    </row>
    <row r="6003">
      <c r="A6003" s="107">
        <v>1630561.0</v>
      </c>
      <c r="B6003" s="116" t="s">
        <v>244</v>
      </c>
      <c r="C6003" s="116" t="s">
        <v>1467</v>
      </c>
      <c r="D6003" s="24" t="s">
        <v>187</v>
      </c>
      <c r="E6003" s="24">
        <v>227.7</v>
      </c>
      <c r="F6003" s="111" t="str">
        <f>DataPull!D6003</f>
        <v/>
      </c>
      <c r="G6003" s="94" t="str">
        <f t="shared" si="2"/>
        <v/>
      </c>
      <c r="H6003" s="94" t="str">
        <f t="shared" si="3"/>
        <v/>
      </c>
      <c r="I6003" s="94" t="str">
        <f t="shared" ref="I6003:J6003" si="6004">if(G6003 = "", , -G6003)</f>
        <v/>
      </c>
      <c r="J6003" s="94" t="str">
        <f t="shared" si="6004"/>
        <v/>
      </c>
      <c r="K6003" s="100"/>
      <c r="M6003" s="100"/>
      <c r="N6003" s="100"/>
      <c r="O6003" s="100"/>
      <c r="P6003" s="100"/>
    </row>
    <row r="6004">
      <c r="A6004" s="107">
        <v>1630561.0</v>
      </c>
      <c r="B6004" s="116" t="s">
        <v>245</v>
      </c>
      <c r="C6004" s="116" t="s">
        <v>1467</v>
      </c>
      <c r="D6004" s="24"/>
      <c r="E6004" s="24">
        <v>51.2</v>
      </c>
      <c r="F6004" s="111" t="str">
        <f>DataPull!D6004</f>
        <v/>
      </c>
      <c r="G6004" s="94" t="str">
        <f t="shared" si="2"/>
        <v/>
      </c>
      <c r="H6004" s="94" t="str">
        <f t="shared" si="3"/>
        <v/>
      </c>
      <c r="I6004" s="94" t="str">
        <f t="shared" ref="I6004:J6004" si="6005">if(G6004 = "", , -G6004)</f>
        <v/>
      </c>
      <c r="J6004" s="94" t="str">
        <f t="shared" si="6005"/>
        <v/>
      </c>
      <c r="K6004" s="100"/>
      <c r="M6004" s="100"/>
      <c r="N6004" s="100"/>
      <c r="O6004" s="100"/>
      <c r="P6004" s="100"/>
    </row>
    <row r="6005">
      <c r="A6005" s="107">
        <v>1630561.0</v>
      </c>
      <c r="B6005" s="116" t="s">
        <v>246</v>
      </c>
      <c r="C6005" s="116" t="s">
        <v>1467</v>
      </c>
      <c r="D6005" s="24" t="s">
        <v>181</v>
      </c>
      <c r="E6005" s="24">
        <v>33.6</v>
      </c>
      <c r="F6005" s="111" t="str">
        <f>DataPull!D6005</f>
        <v/>
      </c>
      <c r="G6005" s="94" t="str">
        <f t="shared" si="2"/>
        <v/>
      </c>
      <c r="H6005" s="94" t="str">
        <f t="shared" si="3"/>
        <v/>
      </c>
      <c r="I6005" s="94" t="str">
        <f t="shared" ref="I6005:J6005" si="6006">if(G6005 = "", , -G6005)</f>
        <v/>
      </c>
      <c r="J6005" s="94" t="str">
        <f t="shared" si="6006"/>
        <v/>
      </c>
      <c r="K6005" s="100"/>
      <c r="M6005" s="100"/>
      <c r="N6005" s="100"/>
      <c r="O6005" s="100"/>
      <c r="P6005" s="100"/>
    </row>
    <row r="6006">
      <c r="A6006" s="107">
        <v>1630563.0</v>
      </c>
      <c r="B6006" s="116" t="s">
        <v>215</v>
      </c>
      <c r="C6006" s="116" t="s">
        <v>1468</v>
      </c>
      <c r="D6006" s="24" t="s">
        <v>177</v>
      </c>
      <c r="E6006" s="24">
        <v>965.0</v>
      </c>
      <c r="F6006" s="111" t="str">
        <f>DataPull!D6006</f>
        <v/>
      </c>
      <c r="G6006" s="94" t="str">
        <f t="shared" si="2"/>
        <v/>
      </c>
      <c r="H6006" s="94" t="str">
        <f t="shared" si="3"/>
        <v/>
      </c>
      <c r="I6006" s="94" t="str">
        <f t="shared" ref="I6006:J6006" si="6007">if(G6006 = "", , -G6006)</f>
        <v/>
      </c>
      <c r="J6006" s="94" t="str">
        <f t="shared" si="6007"/>
        <v/>
      </c>
      <c r="K6006" s="100"/>
      <c r="M6006" s="100"/>
      <c r="N6006" s="100"/>
      <c r="O6006" s="100"/>
      <c r="P6006" s="100"/>
    </row>
    <row r="6007">
      <c r="A6007" s="107">
        <v>1630563.0</v>
      </c>
      <c r="B6007" s="116" t="s">
        <v>244</v>
      </c>
      <c r="C6007" s="116" t="s">
        <v>1468</v>
      </c>
      <c r="D6007" s="24" t="s">
        <v>181</v>
      </c>
      <c r="E6007" s="24">
        <v>93.2</v>
      </c>
      <c r="F6007" s="111" t="str">
        <f>DataPull!D6007</f>
        <v/>
      </c>
      <c r="G6007" s="94" t="str">
        <f t="shared" si="2"/>
        <v/>
      </c>
      <c r="H6007" s="94" t="str">
        <f t="shared" si="3"/>
        <v/>
      </c>
      <c r="I6007" s="94" t="str">
        <f t="shared" ref="I6007:J6007" si="6008">if(G6007 = "", , -G6007)</f>
        <v/>
      </c>
      <c r="J6007" s="94" t="str">
        <f t="shared" si="6008"/>
        <v/>
      </c>
      <c r="K6007" s="100"/>
      <c r="M6007" s="100"/>
      <c r="N6007" s="100"/>
      <c r="O6007" s="100"/>
      <c r="P6007" s="100"/>
    </row>
    <row r="6008">
      <c r="A6008" s="107">
        <v>1630563.0</v>
      </c>
      <c r="B6008" s="116" t="s">
        <v>245</v>
      </c>
      <c r="C6008" s="116" t="s">
        <v>1468</v>
      </c>
      <c r="D6008" s="24" t="s">
        <v>181</v>
      </c>
      <c r="E6008" s="24">
        <v>10.2</v>
      </c>
      <c r="F6008" s="111" t="str">
        <f>DataPull!D6008</f>
        <v/>
      </c>
      <c r="G6008" s="94" t="str">
        <f t="shared" si="2"/>
        <v/>
      </c>
      <c r="H6008" s="94" t="str">
        <f t="shared" si="3"/>
        <v/>
      </c>
      <c r="I6008" s="94" t="str">
        <f t="shared" ref="I6008:J6008" si="6009">if(G6008 = "", , -G6008)</f>
        <v/>
      </c>
      <c r="J6008" s="94" t="str">
        <f t="shared" si="6009"/>
        <v/>
      </c>
      <c r="K6008" s="100"/>
      <c r="M6008" s="100"/>
      <c r="N6008" s="100"/>
      <c r="O6008" s="100"/>
      <c r="P6008" s="100"/>
    </row>
    <row r="6009">
      <c r="A6009" s="107">
        <v>1630564.0</v>
      </c>
      <c r="B6009" s="116" t="s">
        <v>244</v>
      </c>
      <c r="C6009" s="116" t="s">
        <v>1469</v>
      </c>
      <c r="D6009" s="24" t="s">
        <v>181</v>
      </c>
      <c r="E6009" s="24">
        <v>35.1</v>
      </c>
      <c r="F6009" s="111" t="str">
        <f>DataPull!D6009</f>
        <v/>
      </c>
      <c r="G6009" s="94" t="str">
        <f t="shared" si="2"/>
        <v/>
      </c>
      <c r="H6009" s="94" t="str">
        <f t="shared" si="3"/>
        <v/>
      </c>
      <c r="I6009" s="94" t="str">
        <f t="shared" ref="I6009:J6009" si="6010">if(G6009 = "", , -G6009)</f>
        <v/>
      </c>
      <c r="J6009" s="94" t="str">
        <f t="shared" si="6010"/>
        <v/>
      </c>
      <c r="K6009" s="100"/>
      <c r="M6009" s="100"/>
      <c r="N6009" s="100"/>
      <c r="O6009" s="100"/>
      <c r="P6009" s="100"/>
    </row>
    <row r="6010">
      <c r="A6010" s="107">
        <v>1630564.0</v>
      </c>
      <c r="B6010" s="116" t="s">
        <v>245</v>
      </c>
      <c r="C6010" s="116" t="s">
        <v>1469</v>
      </c>
      <c r="D6010" s="24" t="s">
        <v>181</v>
      </c>
      <c r="E6010" s="24">
        <v>39.0</v>
      </c>
      <c r="F6010" s="111" t="str">
        <f>DataPull!D6010</f>
        <v/>
      </c>
      <c r="G6010" s="94" t="str">
        <f t="shared" si="2"/>
        <v/>
      </c>
      <c r="H6010" s="94" t="str">
        <f t="shared" si="3"/>
        <v/>
      </c>
      <c r="I6010" s="94" t="str">
        <f t="shared" ref="I6010:J6010" si="6011">if(G6010 = "", , -G6010)</f>
        <v/>
      </c>
      <c r="J6010" s="94" t="str">
        <f t="shared" si="6011"/>
        <v/>
      </c>
      <c r="K6010" s="100"/>
      <c r="M6010" s="100"/>
      <c r="N6010" s="100"/>
      <c r="O6010" s="100"/>
      <c r="P6010" s="100"/>
    </row>
    <row r="6011">
      <c r="A6011" s="107">
        <v>1630565.0</v>
      </c>
      <c r="B6011" s="116" t="s">
        <v>215</v>
      </c>
      <c r="C6011" s="116" t="s">
        <v>1470</v>
      </c>
      <c r="D6011" s="24" t="s">
        <v>181</v>
      </c>
      <c r="E6011" s="24">
        <v>16.8</v>
      </c>
      <c r="F6011" s="111" t="str">
        <f>DataPull!D6011</f>
        <v/>
      </c>
      <c r="G6011" s="94" t="str">
        <f t="shared" si="2"/>
        <v/>
      </c>
      <c r="H6011" s="94" t="str">
        <f t="shared" si="3"/>
        <v/>
      </c>
      <c r="I6011" s="94" t="str">
        <f t="shared" ref="I6011:J6011" si="6012">if(G6011 = "", , -G6011)</f>
        <v/>
      </c>
      <c r="J6011" s="94" t="str">
        <f t="shared" si="6012"/>
        <v/>
      </c>
      <c r="K6011" s="100"/>
      <c r="M6011" s="100"/>
      <c r="N6011" s="100"/>
      <c r="O6011" s="100"/>
      <c r="P6011" s="100"/>
    </row>
    <row r="6012">
      <c r="A6012" s="107">
        <v>1630567.0</v>
      </c>
      <c r="B6012" s="116" t="s">
        <v>215</v>
      </c>
      <c r="C6012" s="116" t="s">
        <v>1471</v>
      </c>
      <c r="D6012" s="24" t="s">
        <v>178</v>
      </c>
      <c r="E6012" s="24">
        <v>2619.6</v>
      </c>
      <c r="F6012" s="111" t="str">
        <f>DataPull!D6012</f>
        <v/>
      </c>
      <c r="G6012" s="94" t="str">
        <f t="shared" si="2"/>
        <v/>
      </c>
      <c r="H6012" s="94" t="str">
        <f t="shared" si="3"/>
        <v/>
      </c>
      <c r="I6012" s="94" t="str">
        <f t="shared" ref="I6012:J6012" si="6013">if(G6012 = "", , -G6012)</f>
        <v/>
      </c>
      <c r="J6012" s="94" t="str">
        <f t="shared" si="6013"/>
        <v/>
      </c>
      <c r="K6012" s="100"/>
      <c r="M6012" s="100"/>
      <c r="N6012" s="100"/>
      <c r="O6012" s="100"/>
      <c r="P6012" s="100"/>
    </row>
    <row r="6013">
      <c r="A6013" s="107">
        <v>1630567.0</v>
      </c>
      <c r="B6013" s="116" t="s">
        <v>244</v>
      </c>
      <c r="C6013" s="116" t="s">
        <v>1471</v>
      </c>
      <c r="D6013" s="24" t="s">
        <v>184</v>
      </c>
      <c r="E6013" s="24">
        <v>2679.6</v>
      </c>
      <c r="F6013" s="111" t="str">
        <f>DataPull!D6013</f>
        <v/>
      </c>
      <c r="G6013" s="94" t="str">
        <f t="shared" si="2"/>
        <v/>
      </c>
      <c r="H6013" s="94" t="str">
        <f t="shared" si="3"/>
        <v/>
      </c>
      <c r="I6013" s="94" t="str">
        <f t="shared" ref="I6013:J6013" si="6014">if(G6013 = "", , -G6013)</f>
        <v/>
      </c>
      <c r="J6013" s="94" t="str">
        <f t="shared" si="6014"/>
        <v/>
      </c>
      <c r="K6013" s="100"/>
      <c r="M6013" s="100"/>
      <c r="N6013" s="100"/>
      <c r="O6013" s="100"/>
      <c r="P6013" s="100"/>
    </row>
    <row r="6014">
      <c r="A6014" s="107">
        <v>1630567.0</v>
      </c>
      <c r="B6014" s="116" t="s">
        <v>245</v>
      </c>
      <c r="C6014" s="116" t="s">
        <v>1471</v>
      </c>
      <c r="D6014" s="24" t="s">
        <v>184</v>
      </c>
      <c r="E6014" s="24">
        <v>2094.0</v>
      </c>
      <c r="F6014" s="111" t="str">
        <f>DataPull!D6014</f>
        <v/>
      </c>
      <c r="G6014" s="94" t="str">
        <f t="shared" si="2"/>
        <v/>
      </c>
      <c r="H6014" s="94" t="str">
        <f t="shared" si="3"/>
        <v/>
      </c>
      <c r="I6014" s="94" t="str">
        <f t="shared" ref="I6014:J6014" si="6015">if(G6014 = "", , -G6014)</f>
        <v/>
      </c>
      <c r="J6014" s="94" t="str">
        <f t="shared" si="6015"/>
        <v/>
      </c>
      <c r="K6014" s="100"/>
      <c r="M6014" s="100"/>
      <c r="N6014" s="100"/>
      <c r="O6014" s="100"/>
      <c r="P6014" s="100"/>
    </row>
    <row r="6015">
      <c r="A6015" s="107">
        <v>1630567.0</v>
      </c>
      <c r="B6015" s="116" t="s">
        <v>246</v>
      </c>
      <c r="C6015" s="116" t="s">
        <v>1471</v>
      </c>
      <c r="D6015" s="24" t="s">
        <v>184</v>
      </c>
      <c r="E6015" s="24">
        <v>2132.0</v>
      </c>
      <c r="F6015" s="111" t="str">
        <f>DataPull!D6015</f>
        <v/>
      </c>
      <c r="G6015" s="94" t="str">
        <f t="shared" si="2"/>
        <v/>
      </c>
      <c r="H6015" s="94" t="str">
        <f t="shared" si="3"/>
        <v/>
      </c>
      <c r="I6015" s="94" t="str">
        <f t="shared" ref="I6015:J6015" si="6016">if(G6015 = "", , -G6015)</f>
        <v/>
      </c>
      <c r="J6015" s="94" t="str">
        <f t="shared" si="6016"/>
        <v/>
      </c>
      <c r="K6015" s="100"/>
      <c r="M6015" s="100"/>
      <c r="N6015" s="100"/>
      <c r="O6015" s="100"/>
      <c r="P6015" s="100"/>
    </row>
    <row r="6016">
      <c r="A6016" s="114">
        <v>1630567.0</v>
      </c>
      <c r="B6016" s="131" t="s">
        <v>247</v>
      </c>
      <c r="C6016" s="131" t="s">
        <v>1471</v>
      </c>
      <c r="D6016" s="24" t="s">
        <v>184</v>
      </c>
      <c r="E6016" s="24">
        <v>2680.0</v>
      </c>
      <c r="F6016" s="111" t="str">
        <f>DataPull!D6016</f>
        <v/>
      </c>
      <c r="G6016" s="94" t="str">
        <f t="shared" si="2"/>
        <v/>
      </c>
      <c r="H6016" s="94" t="str">
        <f t="shared" si="3"/>
        <v/>
      </c>
      <c r="I6016" s="94" t="str">
        <f t="shared" ref="I6016:J6016" si="6017">if(G6016 = "", , -G6016)</f>
        <v/>
      </c>
      <c r="J6016" s="94" t="str">
        <f t="shared" si="6017"/>
        <v/>
      </c>
      <c r="K6016" s="100"/>
      <c r="M6016" s="100"/>
      <c r="N6016" s="100"/>
      <c r="O6016" s="100"/>
      <c r="P6016" s="100"/>
    </row>
    <row r="6017">
      <c r="A6017" s="107">
        <v>1630568.0</v>
      </c>
      <c r="B6017" s="116" t="s">
        <v>215</v>
      </c>
      <c r="C6017" s="116" t="s">
        <v>1472</v>
      </c>
      <c r="D6017" s="24" t="s">
        <v>177</v>
      </c>
      <c r="E6017" s="24">
        <v>390.4</v>
      </c>
      <c r="F6017" s="111" t="str">
        <f>DataPull!D6017</f>
        <v/>
      </c>
      <c r="G6017" s="94" t="str">
        <f t="shared" si="2"/>
        <v/>
      </c>
      <c r="H6017" s="94" t="str">
        <f t="shared" si="3"/>
        <v/>
      </c>
      <c r="I6017" s="94" t="str">
        <f t="shared" ref="I6017:J6017" si="6018">if(G6017 = "", , -G6017)</f>
        <v/>
      </c>
      <c r="J6017" s="94" t="str">
        <f t="shared" si="6018"/>
        <v/>
      </c>
      <c r="K6017" s="100"/>
      <c r="M6017" s="100"/>
      <c r="N6017" s="100"/>
      <c r="O6017" s="100"/>
      <c r="P6017" s="100"/>
    </row>
    <row r="6018">
      <c r="A6018" s="107">
        <v>1630568.0</v>
      </c>
      <c r="B6018" s="116" t="s">
        <v>244</v>
      </c>
      <c r="C6018" s="116" t="s">
        <v>1472</v>
      </c>
      <c r="D6018" s="24" t="s">
        <v>187</v>
      </c>
      <c r="E6018" s="24">
        <v>243.6</v>
      </c>
      <c r="F6018" s="111" t="str">
        <f>DataPull!D6018</f>
        <v/>
      </c>
      <c r="G6018" s="94" t="str">
        <f t="shared" si="2"/>
        <v/>
      </c>
      <c r="H6018" s="94" t="str">
        <f t="shared" si="3"/>
        <v/>
      </c>
      <c r="I6018" s="94" t="str">
        <f t="shared" ref="I6018:J6018" si="6019">if(G6018 = "", , -G6018)</f>
        <v/>
      </c>
      <c r="J6018" s="94" t="str">
        <f t="shared" si="6019"/>
        <v/>
      </c>
      <c r="K6018" s="100"/>
      <c r="M6018" s="100"/>
      <c r="N6018" s="100"/>
      <c r="O6018" s="100"/>
      <c r="P6018" s="100"/>
    </row>
    <row r="6019">
      <c r="A6019" s="107">
        <v>1630568.0</v>
      </c>
      <c r="B6019" s="116" t="s">
        <v>245</v>
      </c>
      <c r="C6019" s="116" t="s">
        <v>1472</v>
      </c>
      <c r="D6019" s="24" t="s">
        <v>187</v>
      </c>
      <c r="E6019" s="24">
        <v>122.5</v>
      </c>
      <c r="F6019" s="111" t="str">
        <f>DataPull!D6019</f>
        <v/>
      </c>
      <c r="G6019" s="94" t="str">
        <f t="shared" si="2"/>
        <v/>
      </c>
      <c r="H6019" s="94" t="str">
        <f t="shared" si="3"/>
        <v/>
      </c>
      <c r="I6019" s="94" t="str">
        <f t="shared" ref="I6019:J6019" si="6020">if(G6019 = "", , -G6019)</f>
        <v/>
      </c>
      <c r="J6019" s="94" t="str">
        <f t="shared" si="6020"/>
        <v/>
      </c>
      <c r="K6019" s="100"/>
      <c r="M6019" s="100"/>
      <c r="N6019" s="100"/>
      <c r="O6019" s="100"/>
      <c r="P6019" s="100"/>
    </row>
    <row r="6020">
      <c r="A6020" s="107">
        <v>1630568.0</v>
      </c>
      <c r="B6020" s="116" t="s">
        <v>246</v>
      </c>
      <c r="C6020" s="116" t="s">
        <v>1472</v>
      </c>
      <c r="D6020" s="24" t="s">
        <v>187</v>
      </c>
      <c r="E6020" s="24">
        <v>218.4</v>
      </c>
      <c r="F6020" s="111" t="str">
        <f>DataPull!D6020</f>
        <v/>
      </c>
      <c r="G6020" s="94" t="str">
        <f t="shared" si="2"/>
        <v/>
      </c>
      <c r="H6020" s="94" t="str">
        <f t="shared" si="3"/>
        <v/>
      </c>
      <c r="I6020" s="94" t="str">
        <f t="shared" ref="I6020:J6020" si="6021">if(G6020 = "", , -G6020)</f>
        <v/>
      </c>
      <c r="J6020" s="94" t="str">
        <f t="shared" si="6021"/>
        <v/>
      </c>
      <c r="K6020" s="100"/>
      <c r="M6020" s="100"/>
      <c r="N6020" s="100"/>
      <c r="O6020" s="100"/>
      <c r="P6020" s="100"/>
    </row>
    <row r="6021">
      <c r="A6021" s="114">
        <v>1630568.0</v>
      </c>
      <c r="B6021" s="131" t="s">
        <v>247</v>
      </c>
      <c r="C6021" s="131" t="s">
        <v>1472</v>
      </c>
      <c r="D6021" s="24" t="s">
        <v>177</v>
      </c>
      <c r="E6021" s="24">
        <v>1117.8</v>
      </c>
      <c r="F6021" s="111" t="str">
        <f>DataPull!D6021</f>
        <v/>
      </c>
      <c r="G6021" s="94" t="str">
        <f t="shared" si="2"/>
        <v/>
      </c>
      <c r="H6021" s="94" t="str">
        <f t="shared" si="3"/>
        <v/>
      </c>
      <c r="I6021" s="94" t="str">
        <f t="shared" ref="I6021:J6021" si="6022">if(G6021 = "", , -G6021)</f>
        <v/>
      </c>
      <c r="J6021" s="94" t="str">
        <f t="shared" si="6022"/>
        <v/>
      </c>
      <c r="K6021" s="100"/>
      <c r="M6021" s="100"/>
      <c r="N6021" s="100"/>
      <c r="O6021" s="100"/>
      <c r="P6021" s="100"/>
    </row>
    <row r="6022">
      <c r="A6022" s="107">
        <v>1630569.0</v>
      </c>
      <c r="B6022" s="116" t="s">
        <v>246</v>
      </c>
      <c r="C6022" s="116" t="s">
        <v>1473</v>
      </c>
      <c r="D6022" s="24"/>
      <c r="E6022" s="24"/>
      <c r="F6022" s="111" t="str">
        <f>DataPull!D6022</f>
        <v/>
      </c>
      <c r="G6022" s="94" t="str">
        <f t="shared" si="2"/>
        <v/>
      </c>
      <c r="H6022" s="94" t="str">
        <f t="shared" si="3"/>
        <v/>
      </c>
      <c r="I6022" s="94" t="str">
        <f t="shared" ref="I6022:J6022" si="6023">if(G6022 = "", , -G6022)</f>
        <v/>
      </c>
      <c r="J6022" s="94" t="str">
        <f t="shared" si="6023"/>
        <v/>
      </c>
      <c r="K6022" s="100"/>
      <c r="M6022" s="100"/>
      <c r="N6022" s="100"/>
      <c r="O6022" s="100"/>
      <c r="P6022" s="100"/>
    </row>
    <row r="6023">
      <c r="A6023" s="107">
        <v>1630570.0</v>
      </c>
      <c r="B6023" s="116" t="s">
        <v>215</v>
      </c>
      <c r="C6023" s="116" t="s">
        <v>1474</v>
      </c>
      <c r="D6023" s="24" t="s">
        <v>177</v>
      </c>
      <c r="E6023" s="24">
        <v>868.8</v>
      </c>
      <c r="F6023" s="111" t="str">
        <f>DataPull!D6023</f>
        <v/>
      </c>
      <c r="G6023" s="94" t="str">
        <f t="shared" si="2"/>
        <v/>
      </c>
      <c r="H6023" s="94" t="str">
        <f t="shared" si="3"/>
        <v/>
      </c>
      <c r="I6023" s="94" t="str">
        <f t="shared" ref="I6023:J6023" si="6024">if(G6023 = "", , -G6023)</f>
        <v/>
      </c>
      <c r="J6023" s="94" t="str">
        <f t="shared" si="6024"/>
        <v/>
      </c>
      <c r="K6023" s="100"/>
      <c r="M6023" s="100"/>
      <c r="N6023" s="100"/>
      <c r="O6023" s="100"/>
      <c r="P6023" s="100"/>
    </row>
    <row r="6024">
      <c r="A6024" s="107">
        <v>1630570.0</v>
      </c>
      <c r="B6024" s="116" t="s">
        <v>244</v>
      </c>
      <c r="C6024" s="116" t="s">
        <v>1474</v>
      </c>
      <c r="D6024" s="24" t="s">
        <v>177</v>
      </c>
      <c r="E6024" s="24">
        <v>1184.2</v>
      </c>
      <c r="F6024" s="111" t="str">
        <f>DataPull!D6024</f>
        <v/>
      </c>
      <c r="G6024" s="94" t="str">
        <f t="shared" si="2"/>
        <v/>
      </c>
      <c r="H6024" s="94" t="str">
        <f t="shared" si="3"/>
        <v/>
      </c>
      <c r="I6024" s="94" t="str">
        <f t="shared" ref="I6024:J6024" si="6025">if(G6024 = "", , -G6024)</f>
        <v/>
      </c>
      <c r="J6024" s="94" t="str">
        <f t="shared" si="6025"/>
        <v/>
      </c>
      <c r="K6024" s="100"/>
      <c r="M6024" s="100"/>
      <c r="N6024" s="100"/>
      <c r="O6024" s="100"/>
      <c r="P6024" s="100"/>
    </row>
    <row r="6025">
      <c r="A6025" s="107">
        <v>1630570.0</v>
      </c>
      <c r="B6025" s="116" t="s">
        <v>245</v>
      </c>
      <c r="C6025" s="116" t="s">
        <v>1474</v>
      </c>
      <c r="D6025" s="24" t="s">
        <v>177</v>
      </c>
      <c r="E6025" s="24">
        <v>856.8</v>
      </c>
      <c r="F6025" s="111" t="str">
        <f>DataPull!D6025</f>
        <v/>
      </c>
      <c r="G6025" s="94" t="str">
        <f t="shared" si="2"/>
        <v/>
      </c>
      <c r="H6025" s="94" t="str">
        <f t="shared" si="3"/>
        <v/>
      </c>
      <c r="I6025" s="94" t="str">
        <f t="shared" ref="I6025:J6025" si="6026">if(G6025 = "", , -G6025)</f>
        <v/>
      </c>
      <c r="J6025" s="94" t="str">
        <f t="shared" si="6026"/>
        <v/>
      </c>
      <c r="K6025" s="100"/>
      <c r="M6025" s="100"/>
      <c r="N6025" s="100"/>
      <c r="O6025" s="100"/>
      <c r="P6025" s="100"/>
    </row>
    <row r="6026">
      <c r="A6026" s="107">
        <v>1630570.0</v>
      </c>
      <c r="B6026" s="116" t="s">
        <v>246</v>
      </c>
      <c r="C6026" s="116" t="s">
        <v>1474</v>
      </c>
      <c r="D6026" s="24" t="s">
        <v>176</v>
      </c>
      <c r="E6026" s="24">
        <v>910.8</v>
      </c>
      <c r="F6026" s="111" t="str">
        <f>DataPull!D6026</f>
        <v/>
      </c>
      <c r="G6026" s="94" t="str">
        <f t="shared" si="2"/>
        <v/>
      </c>
      <c r="H6026" s="94" t="str">
        <f t="shared" si="3"/>
        <v/>
      </c>
      <c r="I6026" s="94" t="str">
        <f t="shared" ref="I6026:J6026" si="6027">if(G6026 = "", , -G6026)</f>
        <v/>
      </c>
      <c r="J6026" s="94" t="str">
        <f t="shared" si="6027"/>
        <v/>
      </c>
      <c r="K6026" s="100"/>
      <c r="M6026" s="100"/>
      <c r="N6026" s="100"/>
      <c r="O6026" s="100"/>
      <c r="P6026" s="100"/>
    </row>
    <row r="6027">
      <c r="A6027" s="114">
        <v>1630570.0</v>
      </c>
      <c r="B6027" s="131" t="s">
        <v>247</v>
      </c>
      <c r="C6027" s="131" t="s">
        <v>1474</v>
      </c>
      <c r="D6027" s="24" t="s">
        <v>177</v>
      </c>
      <c r="E6027" s="24">
        <v>863.9</v>
      </c>
      <c r="F6027" s="111" t="str">
        <f>DataPull!D6027</f>
        <v/>
      </c>
      <c r="G6027" s="94" t="str">
        <f t="shared" si="2"/>
        <v/>
      </c>
      <c r="H6027" s="94" t="str">
        <f t="shared" si="3"/>
        <v/>
      </c>
      <c r="I6027" s="94" t="str">
        <f t="shared" ref="I6027:J6027" si="6028">if(G6027 = "", , -G6027)</f>
        <v/>
      </c>
      <c r="J6027" s="94" t="str">
        <f t="shared" si="6028"/>
        <v/>
      </c>
      <c r="K6027" s="100"/>
      <c r="M6027" s="100"/>
      <c r="N6027" s="100"/>
      <c r="O6027" s="100"/>
      <c r="P6027" s="100"/>
    </row>
    <row r="6028">
      <c r="A6028" s="107">
        <v>1630572.0</v>
      </c>
      <c r="B6028" s="116" t="s">
        <v>215</v>
      </c>
      <c r="C6028" s="116" t="s">
        <v>1475</v>
      </c>
      <c r="D6028" s="24" t="s">
        <v>187</v>
      </c>
      <c r="E6028" s="24">
        <v>405.9</v>
      </c>
      <c r="F6028" s="111" t="str">
        <f>DataPull!D6028</f>
        <v/>
      </c>
      <c r="G6028" s="94" t="str">
        <f t="shared" si="2"/>
        <v/>
      </c>
      <c r="H6028" s="94" t="str">
        <f t="shared" si="3"/>
        <v/>
      </c>
      <c r="I6028" s="94" t="str">
        <f t="shared" ref="I6028:J6028" si="6029">if(G6028 = "", , -G6028)</f>
        <v/>
      </c>
      <c r="J6028" s="94" t="str">
        <f t="shared" si="6029"/>
        <v/>
      </c>
      <c r="K6028" s="100"/>
      <c r="M6028" s="100"/>
      <c r="N6028" s="100"/>
      <c r="O6028" s="100"/>
      <c r="P6028" s="100"/>
    </row>
    <row r="6029">
      <c r="A6029" s="107">
        <v>1630572.0</v>
      </c>
      <c r="B6029" s="116" t="s">
        <v>244</v>
      </c>
      <c r="C6029" s="116" t="s">
        <v>1475</v>
      </c>
      <c r="D6029" s="24" t="s">
        <v>187</v>
      </c>
      <c r="E6029" s="24">
        <v>657.9</v>
      </c>
      <c r="F6029" s="111" t="str">
        <f>DataPull!D6029</f>
        <v/>
      </c>
      <c r="G6029" s="94" t="str">
        <f t="shared" si="2"/>
        <v/>
      </c>
      <c r="H6029" s="94" t="str">
        <f t="shared" si="3"/>
        <v/>
      </c>
      <c r="I6029" s="94" t="str">
        <f t="shared" ref="I6029:J6029" si="6030">if(G6029 = "", , -G6029)</f>
        <v/>
      </c>
      <c r="J6029" s="94" t="str">
        <f t="shared" si="6030"/>
        <v/>
      </c>
      <c r="K6029" s="100"/>
      <c r="M6029" s="100"/>
      <c r="N6029" s="100"/>
      <c r="O6029" s="100"/>
      <c r="P6029" s="100"/>
    </row>
    <row r="6030">
      <c r="A6030" s="107">
        <v>1630572.0</v>
      </c>
      <c r="B6030" s="116" t="s">
        <v>245</v>
      </c>
      <c r="C6030" s="116" t="s">
        <v>1475</v>
      </c>
      <c r="D6030" s="24" t="s">
        <v>187</v>
      </c>
      <c r="E6030" s="24">
        <v>450.8</v>
      </c>
      <c r="F6030" s="111" t="str">
        <f>DataPull!D6030</f>
        <v/>
      </c>
      <c r="G6030" s="94" t="str">
        <f t="shared" si="2"/>
        <v/>
      </c>
      <c r="H6030" s="94" t="str">
        <f t="shared" si="3"/>
        <v/>
      </c>
      <c r="I6030" s="94" t="str">
        <f t="shared" ref="I6030:J6030" si="6031">if(G6030 = "", , -G6030)</f>
        <v/>
      </c>
      <c r="J6030" s="94" t="str">
        <f t="shared" si="6031"/>
        <v/>
      </c>
      <c r="K6030" s="100"/>
      <c r="M6030" s="100"/>
      <c r="N6030" s="100"/>
      <c r="O6030" s="100"/>
      <c r="P6030" s="100"/>
    </row>
    <row r="6031">
      <c r="A6031" s="107">
        <v>1630572.0</v>
      </c>
      <c r="B6031" s="116" t="s">
        <v>246</v>
      </c>
      <c r="C6031" s="116" t="s">
        <v>1475</v>
      </c>
      <c r="D6031" s="24" t="s">
        <v>177</v>
      </c>
      <c r="E6031" s="24">
        <v>683.2</v>
      </c>
      <c r="F6031" s="111" t="str">
        <f>DataPull!D6031</f>
        <v/>
      </c>
      <c r="G6031" s="94" t="str">
        <f t="shared" si="2"/>
        <v/>
      </c>
      <c r="H6031" s="94" t="str">
        <f t="shared" si="3"/>
        <v/>
      </c>
      <c r="I6031" s="94" t="str">
        <f t="shared" ref="I6031:J6031" si="6032">if(G6031 = "", , -G6031)</f>
        <v/>
      </c>
      <c r="J6031" s="94" t="str">
        <f t="shared" si="6032"/>
        <v/>
      </c>
      <c r="K6031" s="100"/>
      <c r="M6031" s="100"/>
      <c r="N6031" s="100"/>
      <c r="O6031" s="100"/>
      <c r="P6031" s="100"/>
    </row>
    <row r="6032">
      <c r="A6032" s="114">
        <v>1630572.0</v>
      </c>
      <c r="B6032" s="131" t="s">
        <v>247</v>
      </c>
      <c r="C6032" s="131" t="s">
        <v>1475</v>
      </c>
      <c r="D6032" s="24" t="s">
        <v>176</v>
      </c>
      <c r="E6032" s="24">
        <v>1752.0</v>
      </c>
      <c r="F6032" s="111" t="str">
        <f>DataPull!D6032</f>
        <v/>
      </c>
      <c r="G6032" s="94" t="str">
        <f t="shared" si="2"/>
        <v/>
      </c>
      <c r="H6032" s="94" t="str">
        <f t="shared" si="3"/>
        <v/>
      </c>
      <c r="I6032" s="94" t="str">
        <f t="shared" ref="I6032:J6032" si="6033">if(G6032 = "", , -G6032)</f>
        <v/>
      </c>
      <c r="J6032" s="94" t="str">
        <f t="shared" si="6033"/>
        <v/>
      </c>
      <c r="K6032" s="100"/>
      <c r="M6032" s="100"/>
      <c r="N6032" s="100"/>
      <c r="O6032" s="100"/>
      <c r="P6032" s="100"/>
    </row>
    <row r="6033">
      <c r="A6033" s="107">
        <v>1630573.0</v>
      </c>
      <c r="B6033" s="116" t="s">
        <v>215</v>
      </c>
      <c r="C6033" s="116" t="s">
        <v>1476</v>
      </c>
      <c r="D6033" s="24" t="s">
        <v>187</v>
      </c>
      <c r="E6033" s="24">
        <v>158.6</v>
      </c>
      <c r="F6033" s="111" t="str">
        <f>DataPull!D6033</f>
        <v/>
      </c>
      <c r="G6033" s="94" t="str">
        <f t="shared" si="2"/>
        <v/>
      </c>
      <c r="H6033" s="94" t="str">
        <f t="shared" si="3"/>
        <v/>
      </c>
      <c r="I6033" s="94" t="str">
        <f t="shared" ref="I6033:J6033" si="6034">if(G6033 = "", , -G6033)</f>
        <v/>
      </c>
      <c r="J6033" s="94" t="str">
        <f t="shared" si="6034"/>
        <v/>
      </c>
      <c r="K6033" s="100"/>
      <c r="M6033" s="100"/>
      <c r="N6033" s="100"/>
      <c r="O6033" s="100"/>
      <c r="P6033" s="100"/>
    </row>
    <row r="6034">
      <c r="A6034" s="107">
        <v>1630573.0</v>
      </c>
      <c r="B6034" s="116" t="s">
        <v>244</v>
      </c>
      <c r="C6034" s="116" t="s">
        <v>1476</v>
      </c>
      <c r="D6034" s="24" t="s">
        <v>177</v>
      </c>
      <c r="E6034" s="24">
        <v>1288.0</v>
      </c>
      <c r="F6034" s="111" t="str">
        <f>DataPull!D6034</f>
        <v/>
      </c>
      <c r="G6034" s="94" t="str">
        <f t="shared" si="2"/>
        <v/>
      </c>
      <c r="H6034" s="94" t="str">
        <f t="shared" si="3"/>
        <v/>
      </c>
      <c r="I6034" s="94" t="str">
        <f t="shared" ref="I6034:J6034" si="6035">if(G6034 = "", , -G6034)</f>
        <v/>
      </c>
      <c r="J6034" s="94" t="str">
        <f t="shared" si="6035"/>
        <v/>
      </c>
      <c r="K6034" s="100"/>
      <c r="M6034" s="100"/>
      <c r="N6034" s="100"/>
      <c r="O6034" s="100"/>
      <c r="P6034" s="100"/>
    </row>
    <row r="6035">
      <c r="A6035" s="107">
        <v>1630573.0</v>
      </c>
      <c r="B6035" s="116" t="s">
        <v>245</v>
      </c>
      <c r="C6035" s="116" t="s">
        <v>1476</v>
      </c>
      <c r="D6035" s="24" t="s">
        <v>176</v>
      </c>
      <c r="E6035" s="24">
        <v>1738.0</v>
      </c>
      <c r="F6035" s="111" t="str">
        <f>DataPull!D6035</f>
        <v/>
      </c>
      <c r="G6035" s="94" t="str">
        <f t="shared" si="2"/>
        <v/>
      </c>
      <c r="H6035" s="94" t="str">
        <f t="shared" si="3"/>
        <v/>
      </c>
      <c r="I6035" s="94" t="str">
        <f t="shared" ref="I6035:J6035" si="6036">if(G6035 = "", , -G6035)</f>
        <v/>
      </c>
      <c r="J6035" s="94" t="str">
        <f t="shared" si="6036"/>
        <v/>
      </c>
      <c r="K6035" s="100"/>
      <c r="M6035" s="100"/>
      <c r="N6035" s="100"/>
      <c r="O6035" s="100"/>
      <c r="P6035" s="100"/>
    </row>
    <row r="6036">
      <c r="A6036" s="107">
        <v>1630573.0</v>
      </c>
      <c r="B6036" s="116" t="s">
        <v>246</v>
      </c>
      <c r="C6036" s="116" t="s">
        <v>1476</v>
      </c>
      <c r="D6036" s="24" t="s">
        <v>177</v>
      </c>
      <c r="E6036" s="24">
        <v>1540.7</v>
      </c>
      <c r="F6036" s="111" t="str">
        <f>DataPull!D6036</f>
        <v/>
      </c>
      <c r="G6036" s="94" t="str">
        <f t="shared" si="2"/>
        <v/>
      </c>
      <c r="H6036" s="94" t="str">
        <f t="shared" si="3"/>
        <v/>
      </c>
      <c r="I6036" s="94" t="str">
        <f t="shared" ref="I6036:J6036" si="6037">if(G6036 = "", , -G6036)</f>
        <v/>
      </c>
      <c r="J6036" s="94" t="str">
        <f t="shared" si="6037"/>
        <v/>
      </c>
      <c r="K6036" s="100"/>
      <c r="M6036" s="100"/>
      <c r="N6036" s="100"/>
      <c r="O6036" s="100"/>
      <c r="P6036" s="100"/>
    </row>
    <row r="6037">
      <c r="A6037" s="114">
        <v>1630573.0</v>
      </c>
      <c r="B6037" s="131" t="s">
        <v>247</v>
      </c>
      <c r="C6037" s="131" t="s">
        <v>1476</v>
      </c>
      <c r="D6037" s="24" t="s">
        <v>176</v>
      </c>
      <c r="E6037" s="24">
        <v>1934.4</v>
      </c>
      <c r="F6037" s="111" t="str">
        <f>DataPull!D6037</f>
        <v/>
      </c>
      <c r="G6037" s="94" t="str">
        <f t="shared" si="2"/>
        <v/>
      </c>
      <c r="H6037" s="94" t="str">
        <f t="shared" si="3"/>
        <v/>
      </c>
      <c r="I6037" s="94" t="str">
        <f t="shared" ref="I6037:J6037" si="6038">if(G6037 = "", , -G6037)</f>
        <v/>
      </c>
      <c r="J6037" s="94" t="str">
        <f t="shared" si="6038"/>
        <v/>
      </c>
      <c r="K6037" s="100"/>
      <c r="M6037" s="100"/>
      <c r="N6037" s="100"/>
      <c r="O6037" s="100"/>
      <c r="P6037" s="100"/>
    </row>
    <row r="6038">
      <c r="A6038" s="107">
        <v>1630574.0</v>
      </c>
      <c r="B6038" s="116" t="s">
        <v>246</v>
      </c>
      <c r="C6038" s="116" t="s">
        <v>1477</v>
      </c>
      <c r="D6038" s="24" t="s">
        <v>187</v>
      </c>
      <c r="E6038" s="24">
        <v>217.5</v>
      </c>
      <c r="F6038" s="111" t="str">
        <f>DataPull!D6038</f>
        <v/>
      </c>
      <c r="G6038" s="94" t="str">
        <f t="shared" si="2"/>
        <v/>
      </c>
      <c r="H6038" s="94" t="str">
        <f t="shared" si="3"/>
        <v/>
      </c>
      <c r="I6038" s="94" t="str">
        <f t="shared" ref="I6038:J6038" si="6039">if(G6038 = "", , -G6038)</f>
        <v/>
      </c>
      <c r="J6038" s="94" t="str">
        <f t="shared" si="6039"/>
        <v/>
      </c>
      <c r="K6038" s="100"/>
      <c r="M6038" s="100"/>
      <c r="N6038" s="100"/>
      <c r="O6038" s="100"/>
      <c r="P6038" s="100"/>
    </row>
    <row r="6039">
      <c r="A6039" s="114">
        <v>1630574.0</v>
      </c>
      <c r="B6039" s="131" t="s">
        <v>247</v>
      </c>
      <c r="C6039" s="131" t="s">
        <v>1477</v>
      </c>
      <c r="D6039" s="24" t="s">
        <v>187</v>
      </c>
      <c r="E6039" s="24">
        <v>496.8</v>
      </c>
      <c r="F6039" s="111" t="str">
        <f>DataPull!D6039</f>
        <v/>
      </c>
      <c r="G6039" s="94" t="str">
        <f t="shared" si="2"/>
        <v/>
      </c>
      <c r="H6039" s="94" t="str">
        <f t="shared" si="3"/>
        <v/>
      </c>
      <c r="I6039" s="94" t="str">
        <f t="shared" ref="I6039:J6039" si="6040">if(G6039 = "", , -G6039)</f>
        <v/>
      </c>
      <c r="J6039" s="94" t="str">
        <f t="shared" si="6040"/>
        <v/>
      </c>
      <c r="K6039" s="100"/>
      <c r="M6039" s="100"/>
      <c r="N6039" s="100"/>
      <c r="O6039" s="100"/>
      <c r="P6039" s="100"/>
    </row>
    <row r="6040">
      <c r="A6040" s="107">
        <v>1630575.0</v>
      </c>
      <c r="B6040" s="116" t="s">
        <v>215</v>
      </c>
      <c r="C6040" s="116" t="s">
        <v>1478</v>
      </c>
      <c r="D6040" s="24" t="s">
        <v>181</v>
      </c>
      <c r="E6040" s="24">
        <v>6.6</v>
      </c>
      <c r="F6040" s="111" t="str">
        <f>DataPull!D6040</f>
        <v/>
      </c>
      <c r="G6040" s="94" t="str">
        <f t="shared" si="2"/>
        <v/>
      </c>
      <c r="H6040" s="94" t="str">
        <f t="shared" si="3"/>
        <v/>
      </c>
      <c r="I6040" s="94" t="str">
        <f t="shared" ref="I6040:J6040" si="6041">if(G6040 = "", , -G6040)</f>
        <v/>
      </c>
      <c r="J6040" s="94" t="str">
        <f t="shared" si="6041"/>
        <v/>
      </c>
      <c r="K6040" s="100"/>
      <c r="M6040" s="100"/>
      <c r="N6040" s="100"/>
      <c r="O6040" s="100"/>
      <c r="P6040" s="100"/>
    </row>
    <row r="6041">
      <c r="A6041" s="107">
        <v>1630577.0</v>
      </c>
      <c r="B6041" s="116" t="s">
        <v>244</v>
      </c>
      <c r="C6041" s="116" t="s">
        <v>1479</v>
      </c>
      <c r="D6041" s="24" t="s">
        <v>176</v>
      </c>
      <c r="E6041" s="24">
        <v>319.6</v>
      </c>
      <c r="F6041" s="111" t="str">
        <f>DataPull!D6041</f>
        <v/>
      </c>
      <c r="G6041" s="94" t="str">
        <f t="shared" si="2"/>
        <v/>
      </c>
      <c r="H6041" s="94" t="str">
        <f t="shared" si="3"/>
        <v/>
      </c>
      <c r="I6041" s="94" t="str">
        <f t="shared" ref="I6041:J6041" si="6042">if(G6041 = "", , -G6041)</f>
        <v/>
      </c>
      <c r="J6041" s="94" t="str">
        <f t="shared" si="6042"/>
        <v/>
      </c>
      <c r="K6041" s="100"/>
      <c r="M6041" s="100"/>
      <c r="N6041" s="100"/>
      <c r="O6041" s="100"/>
      <c r="P6041" s="100"/>
    </row>
    <row r="6042">
      <c r="A6042" s="107">
        <v>1630577.0</v>
      </c>
      <c r="B6042" s="116" t="s">
        <v>245</v>
      </c>
      <c r="C6042" s="116" t="s">
        <v>1479</v>
      </c>
      <c r="D6042" s="24" t="s">
        <v>177</v>
      </c>
      <c r="E6042" s="24">
        <v>1465.2</v>
      </c>
      <c r="F6042" s="111" t="str">
        <f>DataPull!D6042</f>
        <v/>
      </c>
      <c r="G6042" s="94" t="str">
        <f t="shared" si="2"/>
        <v/>
      </c>
      <c r="H6042" s="94" t="str">
        <f t="shared" si="3"/>
        <v/>
      </c>
      <c r="I6042" s="94" t="str">
        <f t="shared" ref="I6042:J6042" si="6043">if(G6042 = "", , -G6042)</f>
        <v/>
      </c>
      <c r="J6042" s="94" t="str">
        <f t="shared" si="6043"/>
        <v/>
      </c>
      <c r="K6042" s="100"/>
      <c r="M6042" s="100"/>
      <c r="N6042" s="100"/>
      <c r="O6042" s="100"/>
      <c r="P6042" s="100"/>
    </row>
    <row r="6043">
      <c r="A6043" s="107">
        <v>1630577.0</v>
      </c>
      <c r="B6043" s="116" t="s">
        <v>246</v>
      </c>
      <c r="C6043" s="116" t="s">
        <v>1479</v>
      </c>
      <c r="D6043" s="24" t="s">
        <v>176</v>
      </c>
      <c r="E6043" s="24">
        <v>1935.2</v>
      </c>
      <c r="F6043" s="111" t="str">
        <f>DataPull!D6043</f>
        <v/>
      </c>
      <c r="G6043" s="94" t="str">
        <f t="shared" si="2"/>
        <v/>
      </c>
      <c r="H6043" s="94" t="str">
        <f t="shared" si="3"/>
        <v/>
      </c>
      <c r="I6043" s="94" t="str">
        <f t="shared" ref="I6043:J6043" si="6044">if(G6043 = "", , -G6043)</f>
        <v/>
      </c>
      <c r="J6043" s="94" t="str">
        <f t="shared" si="6044"/>
        <v/>
      </c>
      <c r="K6043" s="100"/>
      <c r="M6043" s="100"/>
      <c r="N6043" s="100"/>
      <c r="O6043" s="100"/>
      <c r="P6043" s="100"/>
    </row>
    <row r="6044">
      <c r="A6044" s="114">
        <v>1630577.0</v>
      </c>
      <c r="B6044" s="131" t="s">
        <v>247</v>
      </c>
      <c r="C6044" s="131" t="s">
        <v>1479</v>
      </c>
      <c r="D6044" s="24" t="s">
        <v>178</v>
      </c>
      <c r="E6044" s="24">
        <v>2263.2</v>
      </c>
      <c r="F6044" s="111" t="str">
        <f>DataPull!D6044</f>
        <v/>
      </c>
      <c r="G6044" s="94" t="str">
        <f t="shared" si="2"/>
        <v/>
      </c>
      <c r="H6044" s="94" t="str">
        <f t="shared" si="3"/>
        <v/>
      </c>
      <c r="I6044" s="94" t="str">
        <f t="shared" ref="I6044:J6044" si="6045">if(G6044 = "", , -G6044)</f>
        <v/>
      </c>
      <c r="J6044" s="94" t="str">
        <f t="shared" si="6045"/>
        <v/>
      </c>
      <c r="K6044" s="100"/>
      <c r="M6044" s="100"/>
      <c r="N6044" s="100"/>
      <c r="O6044" s="100"/>
      <c r="P6044" s="100"/>
    </row>
    <row r="6045">
      <c r="A6045" s="107">
        <v>1630578.0</v>
      </c>
      <c r="B6045" s="116" t="s">
        <v>215</v>
      </c>
      <c r="C6045" s="116" t="s">
        <v>1480</v>
      </c>
      <c r="D6045" s="24" t="s">
        <v>176</v>
      </c>
      <c r="E6045" s="24">
        <v>1490.4</v>
      </c>
      <c r="F6045" s="111" t="str">
        <f>DataPull!D6045</f>
        <v/>
      </c>
      <c r="G6045" s="94" t="str">
        <f t="shared" si="2"/>
        <v/>
      </c>
      <c r="H6045" s="94" t="str">
        <f t="shared" si="3"/>
        <v/>
      </c>
      <c r="I6045" s="94" t="str">
        <f t="shared" ref="I6045:J6045" si="6046">if(G6045 = "", , -G6045)</f>
        <v/>
      </c>
      <c r="J6045" s="94" t="str">
        <f t="shared" si="6046"/>
        <v/>
      </c>
      <c r="K6045" s="100"/>
      <c r="M6045" s="100"/>
      <c r="N6045" s="100"/>
      <c r="O6045" s="100"/>
      <c r="P6045" s="100"/>
    </row>
    <row r="6046">
      <c r="A6046" s="107">
        <v>1630578.0</v>
      </c>
      <c r="B6046" s="116" t="s">
        <v>244</v>
      </c>
      <c r="C6046" s="116" t="s">
        <v>1480</v>
      </c>
      <c r="D6046" s="24" t="s">
        <v>178</v>
      </c>
      <c r="E6046" s="24">
        <v>2167.5</v>
      </c>
      <c r="F6046" s="111" t="str">
        <f>DataPull!D6046</f>
        <v/>
      </c>
      <c r="G6046" s="94" t="str">
        <f t="shared" si="2"/>
        <v/>
      </c>
      <c r="H6046" s="94" t="str">
        <f t="shared" si="3"/>
        <v/>
      </c>
      <c r="I6046" s="94" t="str">
        <f t="shared" ref="I6046:J6046" si="6047">if(G6046 = "", , -G6046)</f>
        <v/>
      </c>
      <c r="J6046" s="94" t="str">
        <f t="shared" si="6047"/>
        <v/>
      </c>
      <c r="K6046" s="100"/>
      <c r="M6046" s="100"/>
      <c r="N6046" s="100"/>
      <c r="O6046" s="100"/>
      <c r="P6046" s="100"/>
    </row>
    <row r="6047">
      <c r="A6047" s="107">
        <v>1630578.0</v>
      </c>
      <c r="B6047" s="116" t="s">
        <v>245</v>
      </c>
      <c r="C6047" s="116" t="s">
        <v>1480</v>
      </c>
      <c r="D6047" s="24" t="s">
        <v>184</v>
      </c>
      <c r="E6047" s="24">
        <v>2047.5</v>
      </c>
      <c r="F6047" s="111" t="str">
        <f>DataPull!D6047</f>
        <v/>
      </c>
      <c r="G6047" s="94" t="str">
        <f t="shared" si="2"/>
        <v/>
      </c>
      <c r="H6047" s="94" t="str">
        <f t="shared" si="3"/>
        <v/>
      </c>
      <c r="I6047" s="94" t="str">
        <f t="shared" ref="I6047:J6047" si="6048">if(G6047 = "", , -G6047)</f>
        <v/>
      </c>
      <c r="J6047" s="94" t="str">
        <f t="shared" si="6048"/>
        <v/>
      </c>
      <c r="K6047" s="100"/>
      <c r="M6047" s="100"/>
      <c r="N6047" s="100"/>
      <c r="O6047" s="100"/>
      <c r="P6047" s="100"/>
    </row>
    <row r="6048">
      <c r="A6048" s="136">
        <v>1630578.0</v>
      </c>
      <c r="B6048" s="116" t="s">
        <v>246</v>
      </c>
      <c r="C6048" s="116" t="s">
        <v>1480</v>
      </c>
      <c r="D6048" s="24" t="s">
        <v>184</v>
      </c>
      <c r="E6048" s="24">
        <v>2394.0</v>
      </c>
      <c r="F6048" s="111" t="str">
        <f>DataPull!D6048</f>
        <v/>
      </c>
      <c r="G6048" s="94" t="str">
        <f t="shared" si="2"/>
        <v/>
      </c>
      <c r="H6048" s="94" t="str">
        <f t="shared" si="3"/>
        <v/>
      </c>
      <c r="I6048" s="94" t="str">
        <f t="shared" ref="I6048:J6048" si="6049">if(G6048 = "", , -G6048)</f>
        <v/>
      </c>
      <c r="J6048" s="94" t="str">
        <f t="shared" si="6049"/>
        <v/>
      </c>
      <c r="K6048" s="100"/>
      <c r="M6048" s="100"/>
      <c r="N6048" s="100"/>
      <c r="O6048" s="100"/>
      <c r="P6048" s="100"/>
    </row>
    <row r="6049">
      <c r="A6049" s="114">
        <v>1630578.0</v>
      </c>
      <c r="B6049" s="131" t="s">
        <v>247</v>
      </c>
      <c r="C6049" s="131" t="s">
        <v>1480</v>
      </c>
      <c r="D6049" s="24" t="s">
        <v>184</v>
      </c>
      <c r="E6049" s="24">
        <v>2397.6</v>
      </c>
      <c r="F6049" s="111" t="str">
        <f>DataPull!D6049</f>
        <v/>
      </c>
      <c r="G6049" s="94" t="str">
        <f t="shared" si="2"/>
        <v/>
      </c>
      <c r="H6049" s="94" t="str">
        <f t="shared" si="3"/>
        <v/>
      </c>
      <c r="I6049" s="94" t="str">
        <f t="shared" ref="I6049:J6049" si="6050">if(G6049 = "", , -G6049)</f>
        <v/>
      </c>
      <c r="J6049" s="94" t="str">
        <f t="shared" si="6050"/>
        <v/>
      </c>
      <c r="K6049" s="100"/>
      <c r="M6049" s="100"/>
      <c r="N6049" s="100"/>
      <c r="O6049" s="100"/>
      <c r="P6049" s="100"/>
    </row>
    <row r="6050">
      <c r="A6050" s="107">
        <v>1630579.0</v>
      </c>
      <c r="B6050" s="116" t="s">
        <v>215</v>
      </c>
      <c r="C6050" s="116" t="s">
        <v>1481</v>
      </c>
      <c r="D6050" s="24" t="s">
        <v>177</v>
      </c>
      <c r="E6050" s="24">
        <v>553.5</v>
      </c>
      <c r="F6050" s="111" t="str">
        <f>DataPull!D6050</f>
        <v/>
      </c>
      <c r="G6050" s="94" t="str">
        <f t="shared" si="2"/>
        <v/>
      </c>
      <c r="H6050" s="94" t="str">
        <f t="shared" si="3"/>
        <v/>
      </c>
      <c r="I6050" s="94" t="str">
        <f t="shared" ref="I6050:J6050" si="6051">if(G6050 = "", , -G6050)</f>
        <v/>
      </c>
      <c r="J6050" s="94" t="str">
        <f t="shared" si="6051"/>
        <v/>
      </c>
      <c r="K6050" s="100"/>
      <c r="M6050" s="100"/>
      <c r="N6050" s="100"/>
      <c r="O6050" s="100"/>
      <c r="P6050" s="100"/>
    </row>
    <row r="6051">
      <c r="A6051" s="107">
        <v>1630579.0</v>
      </c>
      <c r="B6051" s="116" t="s">
        <v>244</v>
      </c>
      <c r="C6051" s="116" t="s">
        <v>1481</v>
      </c>
      <c r="D6051" s="24" t="s">
        <v>177</v>
      </c>
      <c r="E6051" s="24">
        <v>811.2</v>
      </c>
      <c r="F6051" s="111" t="str">
        <f>DataPull!D6051</f>
        <v/>
      </c>
      <c r="G6051" s="94" t="str">
        <f t="shared" si="2"/>
        <v/>
      </c>
      <c r="H6051" s="94" t="str">
        <f t="shared" si="3"/>
        <v/>
      </c>
      <c r="I6051" s="94" t="str">
        <f t="shared" ref="I6051:J6051" si="6052">if(G6051 = "", , -G6051)</f>
        <v/>
      </c>
      <c r="J6051" s="94" t="str">
        <f t="shared" si="6052"/>
        <v/>
      </c>
      <c r="K6051" s="100"/>
      <c r="M6051" s="100"/>
      <c r="N6051" s="100"/>
      <c r="O6051" s="100"/>
      <c r="P6051" s="100"/>
    </row>
    <row r="6052">
      <c r="A6052" s="107">
        <v>1630579.0</v>
      </c>
      <c r="B6052" s="116" t="s">
        <v>245</v>
      </c>
      <c r="C6052" s="116" t="s">
        <v>1481</v>
      </c>
      <c r="D6052" s="24" t="s">
        <v>177</v>
      </c>
      <c r="E6052" s="24">
        <v>585.0</v>
      </c>
      <c r="F6052" s="111" t="str">
        <f>DataPull!D6052</f>
        <v/>
      </c>
      <c r="G6052" s="94" t="str">
        <f t="shared" si="2"/>
        <v/>
      </c>
      <c r="H6052" s="94" t="str">
        <f t="shared" si="3"/>
        <v/>
      </c>
      <c r="I6052" s="94" t="str">
        <f t="shared" ref="I6052:J6052" si="6053">if(G6052 = "", , -G6052)</f>
        <v/>
      </c>
      <c r="J6052" s="94" t="str">
        <f t="shared" si="6053"/>
        <v/>
      </c>
      <c r="K6052" s="100"/>
      <c r="M6052" s="100"/>
      <c r="N6052" s="100"/>
      <c r="O6052" s="100"/>
      <c r="P6052" s="100"/>
    </row>
    <row r="6053">
      <c r="A6053" s="107">
        <v>1630579.0</v>
      </c>
      <c r="B6053" s="116" t="s">
        <v>246</v>
      </c>
      <c r="C6053" s="116" t="s">
        <v>1481</v>
      </c>
      <c r="D6053" s="24" t="s">
        <v>187</v>
      </c>
      <c r="E6053" s="24">
        <v>630.7</v>
      </c>
      <c r="F6053" s="111" t="str">
        <f>DataPull!D6053</f>
        <v/>
      </c>
      <c r="G6053" s="94" t="str">
        <f t="shared" si="2"/>
        <v/>
      </c>
      <c r="H6053" s="94" t="str">
        <f t="shared" si="3"/>
        <v/>
      </c>
      <c r="I6053" s="94" t="str">
        <f t="shared" ref="I6053:J6053" si="6054">if(G6053 = "", , -G6053)</f>
        <v/>
      </c>
      <c r="J6053" s="94" t="str">
        <f t="shared" si="6054"/>
        <v/>
      </c>
      <c r="K6053" s="100"/>
      <c r="M6053" s="100"/>
      <c r="N6053" s="100"/>
      <c r="O6053" s="100"/>
      <c r="P6053" s="100"/>
    </row>
    <row r="6054">
      <c r="A6054" s="114">
        <v>1630579.0</v>
      </c>
      <c r="B6054" s="131" t="s">
        <v>247</v>
      </c>
      <c r="C6054" s="131" t="s">
        <v>1481</v>
      </c>
      <c r="D6054" s="24" t="s">
        <v>177</v>
      </c>
      <c r="E6054" s="24">
        <v>1319.9</v>
      </c>
      <c r="F6054" s="111" t="str">
        <f>DataPull!D6054</f>
        <v/>
      </c>
      <c r="G6054" s="94" t="str">
        <f t="shared" si="2"/>
        <v/>
      </c>
      <c r="H6054" s="94" t="str">
        <f t="shared" si="3"/>
        <v/>
      </c>
      <c r="I6054" s="94" t="str">
        <f t="shared" ref="I6054:J6054" si="6055">if(G6054 = "", , -G6054)</f>
        <v/>
      </c>
      <c r="J6054" s="94" t="str">
        <f t="shared" si="6055"/>
        <v/>
      </c>
      <c r="K6054" s="100"/>
      <c r="M6054" s="100"/>
      <c r="N6054" s="100"/>
      <c r="O6054" s="100"/>
      <c r="P6054" s="100"/>
    </row>
    <row r="6055">
      <c r="A6055" s="107">
        <v>1630580.0</v>
      </c>
      <c r="B6055" s="116" t="s">
        <v>215</v>
      </c>
      <c r="C6055" s="116" t="s">
        <v>1482</v>
      </c>
      <c r="D6055" s="24" t="s">
        <v>187</v>
      </c>
      <c r="E6055" s="24">
        <v>205.9</v>
      </c>
      <c r="F6055" s="111" t="str">
        <f>DataPull!D6055</f>
        <v/>
      </c>
      <c r="G6055" s="94" t="str">
        <f t="shared" si="2"/>
        <v/>
      </c>
      <c r="H6055" s="94" t="str">
        <f t="shared" si="3"/>
        <v/>
      </c>
      <c r="I6055" s="94" t="str">
        <f t="shared" ref="I6055:J6055" si="6056">if(G6055 = "", , -G6055)</f>
        <v/>
      </c>
      <c r="J6055" s="94" t="str">
        <f t="shared" si="6056"/>
        <v/>
      </c>
      <c r="K6055" s="100"/>
      <c r="M6055" s="100"/>
      <c r="N6055" s="100"/>
      <c r="O6055" s="100"/>
      <c r="P6055" s="100"/>
    </row>
    <row r="6056">
      <c r="A6056" s="107">
        <v>1630580.0</v>
      </c>
      <c r="B6056" s="116" t="s">
        <v>244</v>
      </c>
      <c r="C6056" s="116" t="s">
        <v>1482</v>
      </c>
      <c r="D6056" s="24" t="s">
        <v>187</v>
      </c>
      <c r="E6056" s="24">
        <v>49.5</v>
      </c>
      <c r="F6056" s="111" t="str">
        <f>DataPull!D6056</f>
        <v/>
      </c>
      <c r="G6056" s="94" t="str">
        <f t="shared" si="2"/>
        <v/>
      </c>
      <c r="H6056" s="94" t="str">
        <f t="shared" si="3"/>
        <v/>
      </c>
      <c r="I6056" s="94" t="str">
        <f t="shared" ref="I6056:J6056" si="6057">if(G6056 = "", , -G6056)</f>
        <v/>
      </c>
      <c r="J6056" s="94" t="str">
        <f t="shared" si="6057"/>
        <v/>
      </c>
      <c r="K6056" s="100"/>
      <c r="M6056" s="100"/>
      <c r="N6056" s="100"/>
      <c r="O6056" s="100"/>
      <c r="P6056" s="100"/>
    </row>
    <row r="6057">
      <c r="A6057" s="107">
        <v>1630581.0</v>
      </c>
      <c r="B6057" s="116" t="s">
        <v>215</v>
      </c>
      <c r="C6057" s="116" t="s">
        <v>1483</v>
      </c>
      <c r="D6057" s="24" t="s">
        <v>178</v>
      </c>
      <c r="E6057" s="24">
        <v>1701.0</v>
      </c>
      <c r="F6057" s="111" t="str">
        <f>DataPull!D6057</f>
        <v/>
      </c>
      <c r="G6057" s="94" t="str">
        <f t="shared" si="2"/>
        <v/>
      </c>
      <c r="H6057" s="94" t="str">
        <f t="shared" si="3"/>
        <v/>
      </c>
      <c r="I6057" s="94" t="str">
        <f t="shared" ref="I6057:J6057" si="6058">if(G6057 = "", , -G6057)</f>
        <v/>
      </c>
      <c r="J6057" s="94" t="str">
        <f t="shared" si="6058"/>
        <v/>
      </c>
      <c r="K6057" s="100"/>
      <c r="M6057" s="100"/>
      <c r="N6057" s="100"/>
      <c r="O6057" s="100"/>
      <c r="P6057" s="100"/>
    </row>
    <row r="6058">
      <c r="A6058" s="107">
        <v>1630581.0</v>
      </c>
      <c r="B6058" s="116" t="s">
        <v>244</v>
      </c>
      <c r="C6058" s="116" t="s">
        <v>1483</v>
      </c>
      <c r="D6058" s="24" t="s">
        <v>178</v>
      </c>
      <c r="E6058" s="24">
        <v>2363.6</v>
      </c>
      <c r="F6058" s="111" t="str">
        <f>DataPull!D6058</f>
        <v/>
      </c>
      <c r="G6058" s="94" t="str">
        <f t="shared" si="2"/>
        <v/>
      </c>
      <c r="H6058" s="94" t="str">
        <f t="shared" si="3"/>
        <v/>
      </c>
      <c r="I6058" s="94" t="str">
        <f t="shared" ref="I6058:J6058" si="6059">if(G6058 = "", , -G6058)</f>
        <v/>
      </c>
      <c r="J6058" s="94" t="str">
        <f t="shared" si="6059"/>
        <v/>
      </c>
      <c r="K6058" s="100"/>
      <c r="M6058" s="100"/>
      <c r="N6058" s="100"/>
      <c r="O6058" s="100"/>
      <c r="P6058" s="100"/>
    </row>
    <row r="6059">
      <c r="A6059" s="107">
        <v>1630581.0</v>
      </c>
      <c r="B6059" s="116" t="s">
        <v>245</v>
      </c>
      <c r="C6059" s="116" t="s">
        <v>1483</v>
      </c>
      <c r="D6059" s="24" t="s">
        <v>178</v>
      </c>
      <c r="E6059" s="24">
        <v>2008.0</v>
      </c>
      <c r="F6059" s="111" t="str">
        <f>DataPull!D6059</f>
        <v/>
      </c>
      <c r="G6059" s="94" t="str">
        <f t="shared" si="2"/>
        <v/>
      </c>
      <c r="H6059" s="94" t="str">
        <f t="shared" si="3"/>
        <v/>
      </c>
      <c r="I6059" s="94" t="str">
        <f t="shared" ref="I6059:J6059" si="6060">if(G6059 = "", , -G6059)</f>
        <v/>
      </c>
      <c r="J6059" s="94" t="str">
        <f t="shared" si="6060"/>
        <v/>
      </c>
      <c r="K6059" s="100"/>
      <c r="M6059" s="100"/>
      <c r="N6059" s="100"/>
      <c r="O6059" s="100"/>
      <c r="P6059" s="100"/>
    </row>
    <row r="6060">
      <c r="A6060" s="107">
        <v>1630581.0</v>
      </c>
      <c r="B6060" s="116" t="s">
        <v>246</v>
      </c>
      <c r="C6060" s="116" t="s">
        <v>1483</v>
      </c>
      <c r="D6060" s="24" t="s">
        <v>178</v>
      </c>
      <c r="E6060" s="24">
        <v>2114.0</v>
      </c>
      <c r="F6060" s="111" t="str">
        <f>DataPull!D6060</f>
        <v/>
      </c>
      <c r="G6060" s="94" t="str">
        <f t="shared" si="2"/>
        <v/>
      </c>
      <c r="H6060" s="94" t="str">
        <f t="shared" si="3"/>
        <v/>
      </c>
      <c r="I6060" s="94" t="str">
        <f t="shared" ref="I6060:J6060" si="6061">if(G6060 = "", , -G6060)</f>
        <v/>
      </c>
      <c r="J6060" s="94" t="str">
        <f t="shared" si="6061"/>
        <v/>
      </c>
      <c r="K6060" s="100"/>
      <c r="M6060" s="100"/>
      <c r="N6060" s="100"/>
      <c r="O6060" s="100"/>
      <c r="P6060" s="100"/>
    </row>
    <row r="6061">
      <c r="A6061" s="114">
        <v>1630581.0</v>
      </c>
      <c r="B6061" s="131" t="s">
        <v>247</v>
      </c>
      <c r="C6061" s="131" t="s">
        <v>1483</v>
      </c>
      <c r="D6061" s="24" t="s">
        <v>178</v>
      </c>
      <c r="E6061" s="24">
        <v>1733.4</v>
      </c>
      <c r="F6061" s="111" t="str">
        <f>DataPull!D6061</f>
        <v/>
      </c>
      <c r="G6061" s="94" t="str">
        <f t="shared" si="2"/>
        <v/>
      </c>
      <c r="H6061" s="94" t="str">
        <f t="shared" si="3"/>
        <v/>
      </c>
      <c r="I6061" s="94" t="str">
        <f t="shared" ref="I6061:J6061" si="6062">if(G6061 = "", , -G6061)</f>
        <v/>
      </c>
      <c r="J6061" s="94" t="str">
        <f t="shared" si="6062"/>
        <v/>
      </c>
      <c r="K6061" s="100"/>
      <c r="M6061" s="100"/>
      <c r="N6061" s="100"/>
      <c r="O6061" s="100"/>
      <c r="P6061" s="100"/>
    </row>
    <row r="6062">
      <c r="A6062" s="107">
        <v>1630582.0</v>
      </c>
      <c r="B6062" s="116" t="s">
        <v>215</v>
      </c>
      <c r="C6062" s="116" t="s">
        <v>1484</v>
      </c>
      <c r="D6062" s="24" t="s">
        <v>187</v>
      </c>
      <c r="E6062" s="24">
        <v>70.8</v>
      </c>
      <c r="F6062" s="111" t="str">
        <f>DataPull!D6062</f>
        <v/>
      </c>
      <c r="G6062" s="94" t="str">
        <f t="shared" si="2"/>
        <v/>
      </c>
      <c r="H6062" s="94" t="str">
        <f t="shared" si="3"/>
        <v/>
      </c>
      <c r="I6062" s="94" t="str">
        <f t="shared" ref="I6062:J6062" si="6063">if(G6062 = "", , -G6062)</f>
        <v/>
      </c>
      <c r="J6062" s="94" t="str">
        <f t="shared" si="6063"/>
        <v/>
      </c>
      <c r="K6062" s="100"/>
      <c r="M6062" s="100"/>
      <c r="N6062" s="100"/>
      <c r="O6062" s="100"/>
      <c r="P6062" s="100"/>
    </row>
    <row r="6063">
      <c r="A6063" s="107">
        <v>1630583.0</v>
      </c>
      <c r="B6063" s="116" t="s">
        <v>215</v>
      </c>
      <c r="C6063" s="116" t="s">
        <v>1485</v>
      </c>
      <c r="D6063" s="24" t="s">
        <v>177</v>
      </c>
      <c r="E6063" s="24">
        <v>358.4</v>
      </c>
      <c r="F6063" s="111" t="str">
        <f>DataPull!D6063</f>
        <v/>
      </c>
      <c r="G6063" s="94" t="str">
        <f t="shared" si="2"/>
        <v/>
      </c>
      <c r="H6063" s="94" t="str">
        <f t="shared" si="3"/>
        <v/>
      </c>
      <c r="I6063" s="94" t="str">
        <f t="shared" ref="I6063:J6063" si="6064">if(G6063 = "", , -G6063)</f>
        <v/>
      </c>
      <c r="J6063" s="94" t="str">
        <f t="shared" si="6064"/>
        <v/>
      </c>
      <c r="K6063" s="100"/>
      <c r="M6063" s="100"/>
      <c r="N6063" s="100"/>
      <c r="O6063" s="100"/>
      <c r="P6063" s="100"/>
    </row>
    <row r="6064">
      <c r="A6064" s="107">
        <v>1630583.0</v>
      </c>
      <c r="B6064" s="116" t="s">
        <v>244</v>
      </c>
      <c r="C6064" s="116" t="s">
        <v>1485</v>
      </c>
      <c r="D6064" s="24" t="s">
        <v>176</v>
      </c>
      <c r="E6064" s="24">
        <v>1678.6</v>
      </c>
      <c r="F6064" s="111" t="str">
        <f>DataPull!D6064</f>
        <v/>
      </c>
      <c r="G6064" s="94" t="str">
        <f t="shared" si="2"/>
        <v/>
      </c>
      <c r="H6064" s="94" t="str">
        <f t="shared" si="3"/>
        <v/>
      </c>
      <c r="I6064" s="94" t="str">
        <f t="shared" ref="I6064:J6064" si="6065">if(G6064 = "", , -G6064)</f>
        <v/>
      </c>
      <c r="J6064" s="94" t="str">
        <f t="shared" si="6065"/>
        <v/>
      </c>
      <c r="K6064" s="100"/>
      <c r="M6064" s="100"/>
      <c r="N6064" s="100"/>
      <c r="O6064" s="100"/>
      <c r="P6064" s="100"/>
    </row>
    <row r="6065">
      <c r="A6065" s="107">
        <v>1630583.0</v>
      </c>
      <c r="B6065" s="116" t="s">
        <v>245</v>
      </c>
      <c r="C6065" s="116" t="s">
        <v>1485</v>
      </c>
      <c r="D6065" s="24" t="s">
        <v>176</v>
      </c>
      <c r="E6065" s="24">
        <v>1616.5</v>
      </c>
      <c r="F6065" s="111" t="str">
        <f>DataPull!D6065</f>
        <v/>
      </c>
      <c r="G6065" s="94" t="str">
        <f t="shared" si="2"/>
        <v/>
      </c>
      <c r="H6065" s="94" t="str">
        <f t="shared" si="3"/>
        <v/>
      </c>
      <c r="I6065" s="94" t="str">
        <f t="shared" ref="I6065:J6065" si="6066">if(G6065 = "", , -G6065)</f>
        <v/>
      </c>
      <c r="J6065" s="94" t="str">
        <f t="shared" si="6066"/>
        <v/>
      </c>
      <c r="K6065" s="100"/>
      <c r="M6065" s="100"/>
      <c r="N6065" s="100"/>
      <c r="O6065" s="100"/>
      <c r="P6065" s="100"/>
    </row>
    <row r="6066">
      <c r="A6066" s="107">
        <v>1630583.0</v>
      </c>
      <c r="B6066" s="116" t="s">
        <v>246</v>
      </c>
      <c r="C6066" s="116" t="s">
        <v>1485</v>
      </c>
      <c r="D6066" s="24" t="s">
        <v>184</v>
      </c>
      <c r="E6066" s="24">
        <v>1657.5</v>
      </c>
      <c r="F6066" s="111" t="str">
        <f>DataPull!D6066</f>
        <v/>
      </c>
      <c r="G6066" s="94" t="str">
        <f t="shared" si="2"/>
        <v/>
      </c>
      <c r="H6066" s="94" t="str">
        <f t="shared" si="3"/>
        <v/>
      </c>
      <c r="I6066" s="94" t="str">
        <f t="shared" ref="I6066:J6066" si="6067">if(G6066 = "", , -G6066)</f>
        <v/>
      </c>
      <c r="J6066" s="94" t="str">
        <f t="shared" si="6067"/>
        <v/>
      </c>
      <c r="K6066" s="100"/>
      <c r="M6066" s="100"/>
      <c r="N6066" s="100"/>
      <c r="O6066" s="100"/>
      <c r="P6066" s="100"/>
    </row>
    <row r="6067">
      <c r="A6067" s="114">
        <v>1630583.0</v>
      </c>
      <c r="B6067" s="131" t="s">
        <v>247</v>
      </c>
      <c r="C6067" s="131" t="s">
        <v>1485</v>
      </c>
      <c r="D6067" s="24" t="s">
        <v>178</v>
      </c>
      <c r="E6067" s="24">
        <v>1199.7</v>
      </c>
      <c r="F6067" s="111" t="str">
        <f>DataPull!D6067</f>
        <v/>
      </c>
      <c r="G6067" s="94" t="str">
        <f t="shared" si="2"/>
        <v/>
      </c>
      <c r="H6067" s="94" t="str">
        <f t="shared" si="3"/>
        <v/>
      </c>
      <c r="I6067" s="94" t="str">
        <f t="shared" ref="I6067:J6067" si="6068">if(G6067 = "", , -G6067)</f>
        <v/>
      </c>
      <c r="J6067" s="94" t="str">
        <f t="shared" si="6068"/>
        <v/>
      </c>
      <c r="K6067" s="100"/>
      <c r="M6067" s="100"/>
      <c r="N6067" s="100"/>
      <c r="O6067" s="100"/>
      <c r="P6067" s="100"/>
    </row>
    <row r="6068">
      <c r="A6068" s="107">
        <v>1630585.0</v>
      </c>
      <c r="B6068" s="116" t="s">
        <v>215</v>
      </c>
      <c r="C6068" s="116" t="s">
        <v>1486</v>
      </c>
      <c r="D6068" s="24" t="s">
        <v>187</v>
      </c>
      <c r="E6068" s="24">
        <v>128.4</v>
      </c>
      <c r="F6068" s="111" t="str">
        <f>DataPull!D6068</f>
        <v/>
      </c>
      <c r="G6068" s="94" t="str">
        <f t="shared" si="2"/>
        <v/>
      </c>
      <c r="H6068" s="94" t="str">
        <f t="shared" si="3"/>
        <v/>
      </c>
      <c r="I6068" s="94" t="str">
        <f t="shared" ref="I6068:J6068" si="6069">if(G6068 = "", , -G6068)</f>
        <v/>
      </c>
      <c r="J6068" s="94" t="str">
        <f t="shared" si="6069"/>
        <v/>
      </c>
      <c r="K6068" s="100"/>
      <c r="M6068" s="100"/>
      <c r="N6068" s="100"/>
      <c r="O6068" s="100"/>
      <c r="P6068" s="100"/>
    </row>
    <row r="6069">
      <c r="A6069" s="123">
        <v>1630585.0</v>
      </c>
      <c r="B6069" s="132" t="s">
        <v>246</v>
      </c>
      <c r="C6069" s="133" t="s">
        <v>1486</v>
      </c>
      <c r="D6069" s="24" t="s">
        <v>181</v>
      </c>
      <c r="E6069" s="24">
        <v>79.2</v>
      </c>
      <c r="F6069" s="111" t="str">
        <f>DataPull!D6069</f>
        <v/>
      </c>
      <c r="G6069" s="94" t="str">
        <f t="shared" si="2"/>
        <v/>
      </c>
      <c r="H6069" s="94" t="str">
        <f t="shared" si="3"/>
        <v/>
      </c>
      <c r="I6069" s="94" t="str">
        <f t="shared" ref="I6069:J6069" si="6070">if(G6069 = "", , -G6069)</f>
        <v/>
      </c>
      <c r="J6069" s="94" t="str">
        <f t="shared" si="6070"/>
        <v/>
      </c>
      <c r="K6069" s="100"/>
      <c r="M6069" s="100"/>
      <c r="N6069" s="100"/>
      <c r="O6069" s="100"/>
      <c r="P6069" s="100"/>
    </row>
    <row r="6070">
      <c r="A6070" s="107">
        <v>1630586.0</v>
      </c>
      <c r="B6070" s="116" t="s">
        <v>215</v>
      </c>
      <c r="C6070" s="116" t="s">
        <v>1487</v>
      </c>
      <c r="D6070" s="24" t="s">
        <v>187</v>
      </c>
      <c r="E6070" s="24">
        <v>240.0</v>
      </c>
      <c r="F6070" s="111" t="str">
        <f>DataPull!D6070</f>
        <v/>
      </c>
      <c r="G6070" s="94" t="str">
        <f t="shared" si="2"/>
        <v/>
      </c>
      <c r="H6070" s="94" t="str">
        <f t="shared" si="3"/>
        <v/>
      </c>
      <c r="I6070" s="94" t="str">
        <f t="shared" ref="I6070:J6070" si="6071">if(G6070 = "", , -G6070)</f>
        <v/>
      </c>
      <c r="J6070" s="94" t="str">
        <f t="shared" si="6071"/>
        <v/>
      </c>
      <c r="K6070" s="100"/>
      <c r="M6070" s="100"/>
      <c r="N6070" s="100"/>
      <c r="O6070" s="100"/>
      <c r="P6070" s="100"/>
    </row>
    <row r="6071">
      <c r="A6071" s="107">
        <v>1630586.0</v>
      </c>
      <c r="B6071" s="116" t="s">
        <v>244</v>
      </c>
      <c r="C6071" s="116" t="s">
        <v>1487</v>
      </c>
      <c r="D6071" s="24" t="s">
        <v>187</v>
      </c>
      <c r="E6071" s="24">
        <v>967.5</v>
      </c>
      <c r="F6071" s="111" t="str">
        <f>DataPull!D6071</f>
        <v/>
      </c>
      <c r="G6071" s="94" t="str">
        <f t="shared" si="2"/>
        <v/>
      </c>
      <c r="H6071" s="94" t="str">
        <f t="shared" si="3"/>
        <v/>
      </c>
      <c r="I6071" s="94" t="str">
        <f t="shared" ref="I6071:J6071" si="6072">if(G6071 = "", , -G6071)</f>
        <v/>
      </c>
      <c r="J6071" s="94" t="str">
        <f t="shared" si="6072"/>
        <v/>
      </c>
      <c r="K6071" s="100"/>
      <c r="M6071" s="100"/>
      <c r="N6071" s="100"/>
      <c r="O6071" s="100"/>
      <c r="P6071" s="100"/>
    </row>
    <row r="6072">
      <c r="A6072" s="107">
        <v>1630586.0</v>
      </c>
      <c r="B6072" s="116" t="s">
        <v>245</v>
      </c>
      <c r="C6072" s="116" t="s">
        <v>1487</v>
      </c>
      <c r="D6072" s="24" t="s">
        <v>181</v>
      </c>
      <c r="E6072" s="24">
        <v>18.0</v>
      </c>
      <c r="F6072" s="111" t="str">
        <f>DataPull!D6072</f>
        <v/>
      </c>
      <c r="G6072" s="94" t="str">
        <f t="shared" si="2"/>
        <v/>
      </c>
      <c r="H6072" s="94" t="str">
        <f t="shared" si="3"/>
        <v/>
      </c>
      <c r="I6072" s="94" t="str">
        <f t="shared" ref="I6072:J6072" si="6073">if(G6072 = "", , -G6072)</f>
        <v/>
      </c>
      <c r="J6072" s="94" t="str">
        <f t="shared" si="6073"/>
        <v/>
      </c>
      <c r="K6072" s="100"/>
      <c r="M6072" s="100"/>
      <c r="N6072" s="100"/>
      <c r="O6072" s="100"/>
      <c r="P6072" s="100"/>
    </row>
    <row r="6073">
      <c r="A6073" s="107">
        <v>1630587.0</v>
      </c>
      <c r="B6073" s="116" t="s">
        <v>215</v>
      </c>
      <c r="C6073" s="116" t="s">
        <v>1488</v>
      </c>
      <c r="D6073" s="24" t="s">
        <v>176</v>
      </c>
      <c r="E6073" s="24">
        <v>383.8</v>
      </c>
      <c r="F6073" s="111" t="str">
        <f>DataPull!D6073</f>
        <v/>
      </c>
      <c r="G6073" s="94" t="str">
        <f t="shared" si="2"/>
        <v/>
      </c>
      <c r="H6073" s="94" t="str">
        <f t="shared" si="3"/>
        <v/>
      </c>
      <c r="I6073" s="94" t="str">
        <f t="shared" ref="I6073:J6073" si="6074">if(G6073 = "", , -G6073)</f>
        <v/>
      </c>
      <c r="J6073" s="94" t="str">
        <f t="shared" si="6074"/>
        <v/>
      </c>
      <c r="K6073" s="100"/>
      <c r="M6073" s="100"/>
      <c r="N6073" s="100"/>
      <c r="O6073" s="100"/>
      <c r="P6073" s="100"/>
    </row>
    <row r="6074">
      <c r="A6074" s="107">
        <v>1630587.0</v>
      </c>
      <c r="B6074" s="116" t="s">
        <v>244</v>
      </c>
      <c r="C6074" s="116" t="s">
        <v>1488</v>
      </c>
      <c r="D6074" s="24" t="s">
        <v>176</v>
      </c>
      <c r="E6074" s="24">
        <v>1201.2</v>
      </c>
      <c r="F6074" s="111" t="str">
        <f>DataPull!D6074</f>
        <v/>
      </c>
      <c r="G6074" s="94" t="str">
        <f t="shared" si="2"/>
        <v/>
      </c>
      <c r="H6074" s="94" t="str">
        <f t="shared" si="3"/>
        <v/>
      </c>
      <c r="I6074" s="94" t="str">
        <f t="shared" ref="I6074:J6074" si="6075">if(G6074 = "", , -G6074)</f>
        <v/>
      </c>
      <c r="J6074" s="94" t="str">
        <f t="shared" si="6075"/>
        <v/>
      </c>
      <c r="K6074" s="100"/>
      <c r="M6074" s="100"/>
      <c r="N6074" s="100"/>
      <c r="O6074" s="100"/>
      <c r="P6074" s="100"/>
    </row>
    <row r="6075">
      <c r="A6075" s="107">
        <v>1630587.0</v>
      </c>
      <c r="B6075" s="116" t="s">
        <v>245</v>
      </c>
      <c r="C6075" s="116" t="s">
        <v>1488</v>
      </c>
      <c r="D6075" s="24" t="s">
        <v>176</v>
      </c>
      <c r="E6075" s="24">
        <v>469.2</v>
      </c>
      <c r="F6075" s="111" t="str">
        <f>DataPull!D6075</f>
        <v/>
      </c>
      <c r="G6075" s="94" t="str">
        <f t="shared" si="2"/>
        <v/>
      </c>
      <c r="H6075" s="94" t="str">
        <f t="shared" si="3"/>
        <v/>
      </c>
      <c r="I6075" s="94" t="str">
        <f t="shared" ref="I6075:J6075" si="6076">if(G6075 = "", , -G6075)</f>
        <v/>
      </c>
      <c r="J6075" s="94" t="str">
        <f t="shared" si="6076"/>
        <v/>
      </c>
      <c r="K6075" s="100"/>
      <c r="M6075" s="100"/>
      <c r="N6075" s="100"/>
      <c r="O6075" s="100"/>
      <c r="P6075" s="100"/>
    </row>
    <row r="6076">
      <c r="A6076" s="114">
        <v>1630587.0</v>
      </c>
      <c r="B6076" s="131" t="s">
        <v>247</v>
      </c>
      <c r="C6076" s="131" t="s">
        <v>1488</v>
      </c>
      <c r="D6076" s="24" t="s">
        <v>177</v>
      </c>
      <c r="E6076" s="24">
        <v>345.6</v>
      </c>
      <c r="F6076" s="111" t="str">
        <f>DataPull!D6076</f>
        <v/>
      </c>
      <c r="G6076" s="94" t="str">
        <f t="shared" si="2"/>
        <v/>
      </c>
      <c r="H6076" s="94" t="str">
        <f t="shared" si="3"/>
        <v/>
      </c>
      <c r="I6076" s="94" t="str">
        <f t="shared" ref="I6076:J6076" si="6077">if(G6076 = "", , -G6076)</f>
        <v/>
      </c>
      <c r="J6076" s="94" t="str">
        <f t="shared" si="6077"/>
        <v/>
      </c>
      <c r="K6076" s="100"/>
      <c r="M6076" s="100"/>
      <c r="N6076" s="100"/>
      <c r="O6076" s="100"/>
      <c r="P6076" s="100"/>
    </row>
    <row r="6077">
      <c r="A6077" s="107">
        <v>1630589.0</v>
      </c>
      <c r="B6077" s="116" t="s">
        <v>215</v>
      </c>
      <c r="C6077" s="116" t="s">
        <v>1489</v>
      </c>
      <c r="D6077" s="24" t="s">
        <v>181</v>
      </c>
      <c r="E6077" s="24">
        <v>14.8</v>
      </c>
      <c r="F6077" s="111" t="str">
        <f>DataPull!D6077</f>
        <v/>
      </c>
      <c r="G6077" s="94" t="str">
        <f t="shared" si="2"/>
        <v/>
      </c>
      <c r="H6077" s="94" t="str">
        <f t="shared" si="3"/>
        <v/>
      </c>
      <c r="I6077" s="94" t="str">
        <f t="shared" ref="I6077:J6077" si="6078">if(G6077 = "", , -G6077)</f>
        <v/>
      </c>
      <c r="J6077" s="94" t="str">
        <f t="shared" si="6078"/>
        <v/>
      </c>
      <c r="K6077" s="100"/>
      <c r="M6077" s="100"/>
      <c r="N6077" s="100"/>
      <c r="O6077" s="100"/>
      <c r="P6077" s="100"/>
    </row>
    <row r="6078">
      <c r="A6078" s="107">
        <v>1630590.0</v>
      </c>
      <c r="B6078" s="116" t="s">
        <v>244</v>
      </c>
      <c r="C6078" s="116" t="s">
        <v>1490</v>
      </c>
      <c r="D6078" s="24" t="s">
        <v>181</v>
      </c>
      <c r="E6078" s="24">
        <v>31.8</v>
      </c>
      <c r="F6078" s="111" t="str">
        <f>DataPull!D6078</f>
        <v/>
      </c>
      <c r="G6078" s="94" t="str">
        <f t="shared" si="2"/>
        <v/>
      </c>
      <c r="H6078" s="94" t="str">
        <f t="shared" si="3"/>
        <v/>
      </c>
      <c r="I6078" s="94" t="str">
        <f t="shared" ref="I6078:J6078" si="6079">if(G6078 = "", , -G6078)</f>
        <v/>
      </c>
      <c r="J6078" s="94" t="str">
        <f t="shared" si="6079"/>
        <v/>
      </c>
      <c r="K6078" s="100"/>
      <c r="M6078" s="100"/>
      <c r="N6078" s="100"/>
      <c r="O6078" s="100"/>
      <c r="P6078" s="100"/>
    </row>
    <row r="6079">
      <c r="A6079" s="107">
        <v>1630590.0</v>
      </c>
      <c r="B6079" s="116" t="s">
        <v>245</v>
      </c>
      <c r="C6079" s="116" t="s">
        <v>1490</v>
      </c>
      <c r="D6079" s="24" t="s">
        <v>176</v>
      </c>
      <c r="E6079" s="24">
        <v>527.1</v>
      </c>
      <c r="F6079" s="111" t="str">
        <f>DataPull!D6079</f>
        <v/>
      </c>
      <c r="G6079" s="94" t="str">
        <f t="shared" si="2"/>
        <v/>
      </c>
      <c r="H6079" s="94" t="str">
        <f t="shared" si="3"/>
        <v/>
      </c>
      <c r="I6079" s="94" t="str">
        <f t="shared" ref="I6079:J6079" si="6080">if(G6079 = "", , -G6079)</f>
        <v/>
      </c>
      <c r="J6079" s="94" t="str">
        <f t="shared" si="6080"/>
        <v/>
      </c>
      <c r="K6079" s="100"/>
      <c r="M6079" s="100"/>
      <c r="N6079" s="100"/>
      <c r="O6079" s="100"/>
      <c r="P6079" s="100"/>
    </row>
    <row r="6080">
      <c r="A6080" s="107">
        <v>1630590.0</v>
      </c>
      <c r="B6080" s="116" t="s">
        <v>246</v>
      </c>
      <c r="C6080" s="116" t="s">
        <v>1490</v>
      </c>
      <c r="D6080" s="24" t="s">
        <v>176</v>
      </c>
      <c r="E6080" s="24">
        <v>1682.7</v>
      </c>
      <c r="F6080" s="111" t="str">
        <f>DataPull!D6080</f>
        <v/>
      </c>
      <c r="G6080" s="94" t="str">
        <f t="shared" si="2"/>
        <v/>
      </c>
      <c r="H6080" s="94" t="str">
        <f t="shared" si="3"/>
        <v/>
      </c>
      <c r="I6080" s="94" t="str">
        <f t="shared" ref="I6080:J6080" si="6081">if(G6080 = "", , -G6080)</f>
        <v/>
      </c>
      <c r="J6080" s="94" t="str">
        <f t="shared" si="6081"/>
        <v/>
      </c>
      <c r="K6080" s="100"/>
      <c r="M6080" s="100"/>
      <c r="N6080" s="100"/>
      <c r="O6080" s="100"/>
      <c r="P6080" s="100"/>
    </row>
    <row r="6081">
      <c r="A6081" s="89">
        <v>1630590.0</v>
      </c>
      <c r="B6081" s="131" t="s">
        <v>247</v>
      </c>
      <c r="C6081" s="131" t="s">
        <v>1490</v>
      </c>
      <c r="D6081" s="24" t="s">
        <v>181</v>
      </c>
      <c r="E6081" s="24">
        <v>212.0</v>
      </c>
      <c r="F6081" s="111" t="str">
        <f>DataPull!D6081</f>
        <v/>
      </c>
      <c r="G6081" s="94" t="str">
        <f t="shared" si="2"/>
        <v/>
      </c>
      <c r="H6081" s="94" t="str">
        <f t="shared" si="3"/>
        <v/>
      </c>
      <c r="I6081" s="94" t="str">
        <f t="shared" ref="I6081:J6081" si="6082">if(G6081 = "", , -G6081)</f>
        <v/>
      </c>
      <c r="J6081" s="94" t="str">
        <f t="shared" si="6082"/>
        <v/>
      </c>
      <c r="K6081" s="100"/>
      <c r="M6081" s="100"/>
      <c r="N6081" s="100"/>
      <c r="O6081" s="100"/>
      <c r="P6081" s="100"/>
    </row>
    <row r="6082">
      <c r="A6082" s="107">
        <v>1630591.0</v>
      </c>
      <c r="B6082" s="116" t="s">
        <v>215</v>
      </c>
      <c r="C6082" s="116" t="s">
        <v>1491</v>
      </c>
      <c r="D6082" s="24" t="s">
        <v>178</v>
      </c>
      <c r="E6082" s="24">
        <v>1305.6</v>
      </c>
      <c r="F6082" s="111" t="str">
        <f>DataPull!D6082</f>
        <v/>
      </c>
      <c r="G6082" s="94" t="str">
        <f t="shared" si="2"/>
        <v/>
      </c>
      <c r="H6082" s="94" t="str">
        <f t="shared" si="3"/>
        <v/>
      </c>
      <c r="I6082" s="94" t="str">
        <f t="shared" ref="I6082:J6082" si="6083">if(G6082 = "", , -G6082)</f>
        <v/>
      </c>
      <c r="J6082" s="94" t="str">
        <f t="shared" si="6083"/>
        <v/>
      </c>
      <c r="K6082" s="100"/>
      <c r="M6082" s="100"/>
      <c r="N6082" s="100"/>
      <c r="O6082" s="100"/>
      <c r="P6082" s="100"/>
    </row>
    <row r="6083">
      <c r="A6083" s="107">
        <v>1630591.0</v>
      </c>
      <c r="B6083" s="116" t="s">
        <v>244</v>
      </c>
      <c r="C6083" s="116" t="s">
        <v>1491</v>
      </c>
      <c r="D6083" s="24" t="s">
        <v>176</v>
      </c>
      <c r="E6083" s="24">
        <v>1245.5</v>
      </c>
      <c r="F6083" s="111" t="str">
        <f>DataPull!D6083</f>
        <v/>
      </c>
      <c r="G6083" s="94" t="str">
        <f t="shared" si="2"/>
        <v/>
      </c>
      <c r="H6083" s="94" t="str">
        <f t="shared" si="3"/>
        <v/>
      </c>
      <c r="I6083" s="94" t="str">
        <f t="shared" ref="I6083:J6083" si="6084">if(G6083 = "", , -G6083)</f>
        <v/>
      </c>
      <c r="J6083" s="94" t="str">
        <f t="shared" si="6084"/>
        <v/>
      </c>
      <c r="K6083" s="100"/>
      <c r="M6083" s="100"/>
      <c r="N6083" s="100"/>
      <c r="O6083" s="100"/>
      <c r="P6083" s="100"/>
    </row>
    <row r="6084">
      <c r="A6084" s="107">
        <v>1630591.0</v>
      </c>
      <c r="B6084" s="116" t="s">
        <v>245</v>
      </c>
      <c r="C6084" s="116" t="s">
        <v>1491</v>
      </c>
      <c r="D6084" s="24" t="s">
        <v>178</v>
      </c>
      <c r="E6084" s="24">
        <v>2025.0</v>
      </c>
      <c r="F6084" s="111" t="str">
        <f>DataPull!D6084</f>
        <v/>
      </c>
      <c r="G6084" s="94" t="str">
        <f t="shared" si="2"/>
        <v/>
      </c>
      <c r="H6084" s="94" t="str">
        <f t="shared" si="3"/>
        <v/>
      </c>
      <c r="I6084" s="94" t="str">
        <f t="shared" ref="I6084:J6084" si="6085">if(G6084 = "", , -G6084)</f>
        <v/>
      </c>
      <c r="J6084" s="94" t="str">
        <f t="shared" si="6085"/>
        <v/>
      </c>
      <c r="K6084" s="100"/>
      <c r="M6084" s="100"/>
      <c r="N6084" s="100"/>
      <c r="O6084" s="100"/>
      <c r="P6084" s="100"/>
    </row>
    <row r="6085">
      <c r="A6085" s="107">
        <v>1630591.0</v>
      </c>
      <c r="B6085" s="116" t="s">
        <v>246</v>
      </c>
      <c r="C6085" s="116" t="s">
        <v>1491</v>
      </c>
      <c r="D6085" s="24" t="s">
        <v>184</v>
      </c>
      <c r="E6085" s="24">
        <v>1001.0</v>
      </c>
      <c r="F6085" s="111" t="str">
        <f>DataPull!D6085</f>
        <v/>
      </c>
      <c r="G6085" s="94" t="str">
        <f t="shared" si="2"/>
        <v/>
      </c>
      <c r="H6085" s="94" t="str">
        <f t="shared" si="3"/>
        <v/>
      </c>
      <c r="I6085" s="94" t="str">
        <f t="shared" ref="I6085:J6085" si="6086">if(G6085 = "", , -G6085)</f>
        <v/>
      </c>
      <c r="J6085" s="94" t="str">
        <f t="shared" si="6086"/>
        <v/>
      </c>
      <c r="K6085" s="100"/>
      <c r="M6085" s="100"/>
      <c r="N6085" s="100"/>
      <c r="O6085" s="100"/>
      <c r="P6085" s="100"/>
    </row>
    <row r="6086">
      <c r="A6086" s="114">
        <v>1630591.0</v>
      </c>
      <c r="B6086" s="131" t="s">
        <v>247</v>
      </c>
      <c r="C6086" s="131" t="s">
        <v>1491</v>
      </c>
      <c r="D6086" s="24" t="s">
        <v>176</v>
      </c>
      <c r="E6086" s="24">
        <v>1573.2</v>
      </c>
      <c r="F6086" s="111" t="str">
        <f>DataPull!D6086</f>
        <v/>
      </c>
      <c r="G6086" s="94" t="str">
        <f t="shared" si="2"/>
        <v/>
      </c>
      <c r="H6086" s="94" t="str">
        <f t="shared" si="3"/>
        <v/>
      </c>
      <c r="I6086" s="94" t="str">
        <f t="shared" ref="I6086:J6086" si="6087">if(G6086 = "", , -G6086)</f>
        <v/>
      </c>
      <c r="J6086" s="94" t="str">
        <f t="shared" si="6087"/>
        <v/>
      </c>
      <c r="K6086" s="100"/>
      <c r="M6086" s="100"/>
      <c r="N6086" s="100"/>
      <c r="O6086" s="100"/>
      <c r="P6086" s="100"/>
    </row>
    <row r="6087">
      <c r="A6087" s="107">
        <v>1630592.0</v>
      </c>
      <c r="B6087" s="116" t="s">
        <v>245</v>
      </c>
      <c r="C6087" s="116" t="s">
        <v>1492</v>
      </c>
      <c r="D6087" s="24" t="s">
        <v>177</v>
      </c>
      <c r="E6087" s="24">
        <v>666.5</v>
      </c>
      <c r="F6087" s="111" t="str">
        <f>DataPull!D6087</f>
        <v/>
      </c>
      <c r="G6087" s="94" t="str">
        <f t="shared" si="2"/>
        <v/>
      </c>
      <c r="H6087" s="94" t="str">
        <f t="shared" si="3"/>
        <v/>
      </c>
      <c r="I6087" s="94" t="str">
        <f t="shared" ref="I6087:J6087" si="6088">if(G6087 = "", , -G6087)</f>
        <v/>
      </c>
      <c r="J6087" s="94" t="str">
        <f t="shared" si="6088"/>
        <v/>
      </c>
      <c r="K6087" s="100"/>
      <c r="M6087" s="100"/>
      <c r="N6087" s="100"/>
      <c r="O6087" s="100"/>
      <c r="P6087" s="100"/>
    </row>
    <row r="6088">
      <c r="A6088" s="107">
        <v>1630592.0</v>
      </c>
      <c r="B6088" s="116" t="s">
        <v>246</v>
      </c>
      <c r="C6088" s="116" t="s">
        <v>1492</v>
      </c>
      <c r="D6088" s="24" t="s">
        <v>176</v>
      </c>
      <c r="E6088" s="24">
        <v>2030.3</v>
      </c>
      <c r="F6088" s="111" t="str">
        <f>DataPull!D6088</f>
        <v/>
      </c>
      <c r="G6088" s="94" t="str">
        <f t="shared" si="2"/>
        <v/>
      </c>
      <c r="H6088" s="94" t="str">
        <f t="shared" si="3"/>
        <v/>
      </c>
      <c r="I6088" s="94" t="str">
        <f t="shared" ref="I6088:J6088" si="6089">if(G6088 = "", , -G6088)</f>
        <v/>
      </c>
      <c r="J6088" s="94" t="str">
        <f t="shared" si="6089"/>
        <v/>
      </c>
      <c r="K6088" s="100"/>
      <c r="M6088" s="100"/>
      <c r="N6088" s="100"/>
      <c r="O6088" s="100"/>
      <c r="P6088" s="100"/>
    </row>
    <row r="6089">
      <c r="A6089" s="114">
        <v>1630592.0</v>
      </c>
      <c r="B6089" s="131" t="s">
        <v>247</v>
      </c>
      <c r="C6089" s="131" t="s">
        <v>1492</v>
      </c>
      <c r="D6089" s="24" t="s">
        <v>177</v>
      </c>
      <c r="E6089" s="24">
        <v>858.6</v>
      </c>
      <c r="F6089" s="111" t="str">
        <f>DataPull!D6089</f>
        <v/>
      </c>
      <c r="G6089" s="94" t="str">
        <f t="shared" si="2"/>
        <v/>
      </c>
      <c r="H6089" s="94" t="str">
        <f t="shared" si="3"/>
        <v/>
      </c>
      <c r="I6089" s="94" t="str">
        <f t="shared" ref="I6089:J6089" si="6090">if(G6089 = "", , -G6089)</f>
        <v/>
      </c>
      <c r="J6089" s="94" t="str">
        <f t="shared" si="6090"/>
        <v/>
      </c>
      <c r="K6089" s="100"/>
      <c r="M6089" s="100"/>
      <c r="N6089" s="100"/>
      <c r="O6089" s="100"/>
      <c r="P6089" s="100"/>
    </row>
    <row r="6090">
      <c r="A6090" s="107">
        <v>1630593.0</v>
      </c>
      <c r="B6090" s="116" t="s">
        <v>215</v>
      </c>
      <c r="C6090" s="116" t="s">
        <v>1493</v>
      </c>
      <c r="D6090" s="24" t="s">
        <v>181</v>
      </c>
      <c r="E6090" s="24">
        <v>19.0</v>
      </c>
      <c r="F6090" s="111" t="str">
        <f>DataPull!D6090</f>
        <v/>
      </c>
      <c r="G6090" s="94" t="str">
        <f t="shared" si="2"/>
        <v/>
      </c>
      <c r="H6090" s="94" t="str">
        <f t="shared" si="3"/>
        <v/>
      </c>
      <c r="I6090" s="94" t="str">
        <f t="shared" ref="I6090:J6090" si="6091">if(G6090 = "", , -G6090)</f>
        <v/>
      </c>
      <c r="J6090" s="94" t="str">
        <f t="shared" si="6091"/>
        <v/>
      </c>
      <c r="K6090" s="100"/>
      <c r="M6090" s="100"/>
      <c r="N6090" s="100"/>
      <c r="O6090" s="100"/>
      <c r="P6090" s="100"/>
    </row>
    <row r="6091">
      <c r="A6091" s="107">
        <v>1630593.0</v>
      </c>
      <c r="B6091" s="116" t="s">
        <v>244</v>
      </c>
      <c r="C6091" s="116" t="s">
        <v>1493</v>
      </c>
      <c r="D6091" s="24" t="s">
        <v>177</v>
      </c>
      <c r="E6091" s="24">
        <v>334.8</v>
      </c>
      <c r="F6091" s="111" t="str">
        <f>DataPull!D6091</f>
        <v/>
      </c>
      <c r="G6091" s="94" t="str">
        <f t="shared" si="2"/>
        <v/>
      </c>
      <c r="H6091" s="94" t="str">
        <f t="shared" si="3"/>
        <v/>
      </c>
      <c r="I6091" s="94" t="str">
        <f t="shared" ref="I6091:J6091" si="6092">if(G6091 = "", , -G6091)</f>
        <v/>
      </c>
      <c r="J6091" s="94" t="str">
        <f t="shared" si="6092"/>
        <v/>
      </c>
      <c r="K6091" s="100"/>
      <c r="M6091" s="100"/>
      <c r="N6091" s="100"/>
      <c r="O6091" s="100"/>
      <c r="P6091" s="100"/>
    </row>
    <row r="6092">
      <c r="A6092" s="107">
        <v>1630595.0</v>
      </c>
      <c r="B6092" s="116" t="s">
        <v>215</v>
      </c>
      <c r="C6092" s="116" t="s">
        <v>1494</v>
      </c>
      <c r="D6092" s="24" t="s">
        <v>178</v>
      </c>
      <c r="E6092" s="24">
        <v>2086.4</v>
      </c>
      <c r="F6092" s="111" t="str">
        <f>DataPull!D6092</f>
        <v/>
      </c>
      <c r="G6092" s="94" t="str">
        <f t="shared" si="2"/>
        <v/>
      </c>
      <c r="H6092" s="94" t="str">
        <f t="shared" si="3"/>
        <v/>
      </c>
      <c r="I6092" s="94" t="str">
        <f t="shared" ref="I6092:J6092" si="6093">if(G6092 = "", , -G6092)</f>
        <v/>
      </c>
      <c r="J6092" s="94" t="str">
        <f t="shared" si="6093"/>
        <v/>
      </c>
      <c r="K6092" s="100"/>
      <c r="M6092" s="100"/>
      <c r="N6092" s="100"/>
      <c r="O6092" s="100"/>
      <c r="P6092" s="100"/>
    </row>
    <row r="6093">
      <c r="A6093" s="107">
        <v>1630595.0</v>
      </c>
      <c r="B6093" s="116" t="s">
        <v>244</v>
      </c>
      <c r="C6093" s="116" t="s">
        <v>1494</v>
      </c>
      <c r="D6093" s="24" t="s">
        <v>178</v>
      </c>
      <c r="E6093" s="24">
        <v>399.6</v>
      </c>
      <c r="F6093" s="111" t="str">
        <f>DataPull!D6093</f>
        <v/>
      </c>
      <c r="G6093" s="94" t="str">
        <f t="shared" si="2"/>
        <v/>
      </c>
      <c r="H6093" s="94" t="str">
        <f t="shared" si="3"/>
        <v/>
      </c>
      <c r="I6093" s="94" t="str">
        <f t="shared" ref="I6093:J6093" si="6094">if(G6093 = "", , -G6093)</f>
        <v/>
      </c>
      <c r="J6093" s="94" t="str">
        <f t="shared" si="6094"/>
        <v/>
      </c>
      <c r="K6093" s="100"/>
      <c r="M6093" s="100"/>
      <c r="N6093" s="100"/>
      <c r="O6093" s="100"/>
      <c r="P6093" s="100"/>
    </row>
    <row r="6094">
      <c r="A6094" s="107">
        <v>1630595.0</v>
      </c>
      <c r="B6094" s="116" t="s">
        <v>245</v>
      </c>
      <c r="C6094" s="116" t="s">
        <v>1494</v>
      </c>
      <c r="D6094" s="24" t="s">
        <v>178</v>
      </c>
      <c r="E6094" s="24">
        <v>2077.0</v>
      </c>
      <c r="F6094" s="111" t="str">
        <f>DataPull!D6094</f>
        <v/>
      </c>
      <c r="G6094" s="94" t="str">
        <f t="shared" si="2"/>
        <v/>
      </c>
      <c r="H6094" s="94" t="str">
        <f t="shared" si="3"/>
        <v/>
      </c>
      <c r="I6094" s="94" t="str">
        <f t="shared" ref="I6094:J6094" si="6095">if(G6094 = "", , -G6094)</f>
        <v/>
      </c>
      <c r="J6094" s="94" t="str">
        <f t="shared" si="6095"/>
        <v/>
      </c>
      <c r="K6094" s="100"/>
      <c r="M6094" s="100"/>
      <c r="N6094" s="100"/>
      <c r="O6094" s="100"/>
      <c r="P6094" s="100"/>
    </row>
    <row r="6095">
      <c r="A6095" s="107">
        <v>1630595.0</v>
      </c>
      <c r="B6095" s="116" t="s">
        <v>246</v>
      </c>
      <c r="C6095" s="116" t="s">
        <v>1494</v>
      </c>
      <c r="D6095" s="24" t="s">
        <v>184</v>
      </c>
      <c r="E6095" s="24">
        <v>2450.0</v>
      </c>
      <c r="F6095" s="111" t="str">
        <f>DataPull!D6095</f>
        <v/>
      </c>
      <c r="G6095" s="94" t="str">
        <f t="shared" si="2"/>
        <v/>
      </c>
      <c r="H6095" s="94" t="str">
        <f t="shared" si="3"/>
        <v/>
      </c>
      <c r="I6095" s="94" t="str">
        <f t="shared" ref="I6095:J6095" si="6096">if(G6095 = "", , -G6095)</f>
        <v/>
      </c>
      <c r="J6095" s="94" t="str">
        <f t="shared" si="6096"/>
        <v/>
      </c>
      <c r="K6095" s="100"/>
      <c r="M6095" s="100"/>
      <c r="N6095" s="100"/>
      <c r="O6095" s="100"/>
      <c r="P6095" s="100"/>
    </row>
    <row r="6096">
      <c r="A6096" s="114">
        <v>1630595.0</v>
      </c>
      <c r="B6096" s="131" t="s">
        <v>247</v>
      </c>
      <c r="C6096" s="131" t="s">
        <v>1494</v>
      </c>
      <c r="D6096" s="24" t="s">
        <v>184</v>
      </c>
      <c r="E6096" s="24">
        <v>2169.6</v>
      </c>
      <c r="F6096" s="111" t="str">
        <f>DataPull!D6096</f>
        <v/>
      </c>
      <c r="G6096" s="94" t="str">
        <f t="shared" si="2"/>
        <v/>
      </c>
      <c r="H6096" s="94" t="str">
        <f t="shared" si="3"/>
        <v/>
      </c>
      <c r="I6096" s="94" t="str">
        <f t="shared" ref="I6096:J6096" si="6097">if(G6096 = "", , -G6096)</f>
        <v/>
      </c>
      <c r="J6096" s="94" t="str">
        <f t="shared" si="6097"/>
        <v/>
      </c>
      <c r="K6096" s="100"/>
      <c r="M6096" s="100"/>
      <c r="N6096" s="100"/>
      <c r="O6096" s="100"/>
      <c r="P6096" s="100"/>
    </row>
    <row r="6097">
      <c r="A6097" s="107">
        <v>1630596.0</v>
      </c>
      <c r="B6097" s="116" t="s">
        <v>215</v>
      </c>
      <c r="C6097" s="116" t="s">
        <v>1495</v>
      </c>
      <c r="D6097" s="24" t="s">
        <v>178</v>
      </c>
      <c r="E6097" s="24">
        <v>2332.2</v>
      </c>
      <c r="F6097" s="111" t="str">
        <f>DataPull!D6097</f>
        <v/>
      </c>
      <c r="G6097" s="94" t="str">
        <f t="shared" si="2"/>
        <v/>
      </c>
      <c r="H6097" s="94" t="str">
        <f t="shared" si="3"/>
        <v/>
      </c>
      <c r="I6097" s="94" t="str">
        <f t="shared" ref="I6097:J6097" si="6098">if(G6097 = "", , -G6097)</f>
        <v/>
      </c>
      <c r="J6097" s="94" t="str">
        <f t="shared" si="6098"/>
        <v/>
      </c>
      <c r="K6097" s="100"/>
      <c r="M6097" s="100"/>
      <c r="N6097" s="100"/>
      <c r="O6097" s="100"/>
      <c r="P6097" s="100"/>
    </row>
    <row r="6098">
      <c r="A6098" s="107">
        <v>1630596.0</v>
      </c>
      <c r="B6098" s="116" t="s">
        <v>244</v>
      </c>
      <c r="C6098" s="116" t="s">
        <v>1495</v>
      </c>
      <c r="D6098" s="24" t="s">
        <v>184</v>
      </c>
      <c r="E6098" s="24">
        <v>2717.6</v>
      </c>
      <c r="F6098" s="111" t="str">
        <f>DataPull!D6098</f>
        <v/>
      </c>
      <c r="G6098" s="94" t="str">
        <f t="shared" si="2"/>
        <v/>
      </c>
      <c r="H6098" s="94" t="str">
        <f t="shared" si="3"/>
        <v/>
      </c>
      <c r="I6098" s="94" t="str">
        <f t="shared" ref="I6098:J6098" si="6099">if(G6098 = "", , -G6098)</f>
        <v/>
      </c>
      <c r="J6098" s="94" t="str">
        <f t="shared" si="6099"/>
        <v/>
      </c>
      <c r="K6098" s="100"/>
      <c r="M6098" s="100"/>
      <c r="N6098" s="100"/>
      <c r="O6098" s="100"/>
      <c r="P6098" s="100"/>
    </row>
    <row r="6099">
      <c r="A6099" s="107">
        <v>1630596.0</v>
      </c>
      <c r="B6099" s="116" t="s">
        <v>245</v>
      </c>
      <c r="C6099" s="116" t="s">
        <v>1495</v>
      </c>
      <c r="D6099" s="24" t="s">
        <v>184</v>
      </c>
      <c r="E6099" s="24">
        <v>1530.0</v>
      </c>
      <c r="F6099" s="111" t="str">
        <f>DataPull!D6099</f>
        <v/>
      </c>
      <c r="G6099" s="94" t="str">
        <f t="shared" si="2"/>
        <v/>
      </c>
      <c r="H6099" s="94" t="str">
        <f t="shared" si="3"/>
        <v/>
      </c>
      <c r="I6099" s="94" t="str">
        <f t="shared" ref="I6099:J6099" si="6100">if(G6099 = "", , -G6099)</f>
        <v/>
      </c>
      <c r="J6099" s="94" t="str">
        <f t="shared" si="6100"/>
        <v/>
      </c>
      <c r="K6099" s="100"/>
      <c r="M6099" s="100"/>
      <c r="N6099" s="100"/>
      <c r="O6099" s="100"/>
      <c r="P6099" s="100"/>
    </row>
    <row r="6100">
      <c r="A6100" s="107">
        <v>1630596.0</v>
      </c>
      <c r="B6100" s="116" t="s">
        <v>246</v>
      </c>
      <c r="C6100" s="116" t="s">
        <v>1495</v>
      </c>
      <c r="D6100" s="24" t="s">
        <v>184</v>
      </c>
      <c r="E6100" s="24">
        <v>2165.5</v>
      </c>
      <c r="F6100" s="111" t="str">
        <f>DataPull!D6100</f>
        <v/>
      </c>
      <c r="G6100" s="94" t="str">
        <f t="shared" si="2"/>
        <v/>
      </c>
      <c r="H6100" s="94" t="str">
        <f t="shared" si="3"/>
        <v/>
      </c>
      <c r="I6100" s="94" t="str">
        <f t="shared" ref="I6100:J6100" si="6101">if(G6100 = "", , -G6100)</f>
        <v/>
      </c>
      <c r="J6100" s="94" t="str">
        <f t="shared" si="6101"/>
        <v/>
      </c>
      <c r="K6100" s="100"/>
      <c r="M6100" s="100"/>
      <c r="N6100" s="100"/>
      <c r="O6100" s="100"/>
      <c r="P6100" s="100"/>
    </row>
    <row r="6101">
      <c r="A6101" s="114">
        <v>1630596.0</v>
      </c>
      <c r="B6101" s="131" t="s">
        <v>247</v>
      </c>
      <c r="C6101" s="131" t="s">
        <v>1495</v>
      </c>
      <c r="D6101" s="24" t="s">
        <v>184</v>
      </c>
      <c r="E6101" s="24">
        <v>2073.5</v>
      </c>
      <c r="F6101" s="111" t="str">
        <f>DataPull!D6101</f>
        <v/>
      </c>
      <c r="G6101" s="94" t="str">
        <f t="shared" si="2"/>
        <v/>
      </c>
      <c r="H6101" s="94" t="str">
        <f t="shared" si="3"/>
        <v/>
      </c>
      <c r="I6101" s="94" t="str">
        <f t="shared" ref="I6101:J6101" si="6102">if(G6101 = "", , -G6101)</f>
        <v/>
      </c>
      <c r="J6101" s="94" t="str">
        <f t="shared" si="6102"/>
        <v/>
      </c>
      <c r="K6101" s="100"/>
      <c r="M6101" s="100"/>
      <c r="N6101" s="100"/>
      <c r="O6101" s="100"/>
      <c r="P6101" s="100"/>
    </row>
    <row r="6102">
      <c r="A6102" s="107">
        <v>1630598.0</v>
      </c>
      <c r="B6102" s="116" t="s">
        <v>215</v>
      </c>
      <c r="C6102" s="116" t="s">
        <v>1496</v>
      </c>
      <c r="D6102" s="24" t="s">
        <v>178</v>
      </c>
      <c r="E6102" s="24">
        <v>1210.0</v>
      </c>
      <c r="F6102" s="111" t="str">
        <f>DataPull!D6102</f>
        <v/>
      </c>
      <c r="G6102" s="94" t="str">
        <f t="shared" si="2"/>
        <v/>
      </c>
      <c r="H6102" s="94" t="str">
        <f t="shared" si="3"/>
        <v/>
      </c>
      <c r="I6102" s="94" t="str">
        <f t="shared" ref="I6102:J6102" si="6103">if(G6102 = "", , -G6102)</f>
        <v/>
      </c>
      <c r="J6102" s="94" t="str">
        <f t="shared" si="6103"/>
        <v/>
      </c>
      <c r="K6102" s="100"/>
      <c r="M6102" s="100"/>
      <c r="N6102" s="100"/>
      <c r="O6102" s="100"/>
      <c r="P6102" s="100"/>
    </row>
    <row r="6103">
      <c r="A6103" s="107">
        <v>1630598.0</v>
      </c>
      <c r="B6103" s="116" t="s">
        <v>244</v>
      </c>
      <c r="C6103" s="116" t="s">
        <v>1496</v>
      </c>
      <c r="D6103" s="24" t="s">
        <v>177</v>
      </c>
      <c r="E6103" s="24">
        <v>1295.0</v>
      </c>
      <c r="F6103" s="111" t="str">
        <f>DataPull!D6103</f>
        <v/>
      </c>
      <c r="G6103" s="94" t="str">
        <f t="shared" si="2"/>
        <v/>
      </c>
      <c r="H6103" s="94" t="str">
        <f t="shared" si="3"/>
        <v/>
      </c>
      <c r="I6103" s="94" t="str">
        <f t="shared" ref="I6103:J6103" si="6104">if(G6103 = "", , -G6103)</f>
        <v/>
      </c>
      <c r="J6103" s="94" t="str">
        <f t="shared" si="6104"/>
        <v/>
      </c>
      <c r="K6103" s="100"/>
      <c r="M6103" s="100"/>
      <c r="N6103" s="100"/>
      <c r="O6103" s="100"/>
      <c r="P6103" s="100"/>
    </row>
    <row r="6104">
      <c r="A6104" s="107">
        <v>1630598.0</v>
      </c>
      <c r="B6104" s="116" t="s">
        <v>245</v>
      </c>
      <c r="C6104" s="116" t="s">
        <v>1496</v>
      </c>
      <c r="D6104" s="24" t="s">
        <v>177</v>
      </c>
      <c r="E6104" s="24">
        <v>1224.6</v>
      </c>
      <c r="F6104" s="111" t="str">
        <f>DataPull!D6104</f>
        <v/>
      </c>
      <c r="G6104" s="94" t="str">
        <f t="shared" si="2"/>
        <v/>
      </c>
      <c r="H6104" s="94" t="str">
        <f t="shared" si="3"/>
        <v/>
      </c>
      <c r="I6104" s="94" t="str">
        <f t="shared" ref="I6104:J6104" si="6105">if(G6104 = "", , -G6104)</f>
        <v/>
      </c>
      <c r="J6104" s="94" t="str">
        <f t="shared" si="6105"/>
        <v/>
      </c>
      <c r="K6104" s="100"/>
      <c r="M6104" s="100"/>
      <c r="N6104" s="100"/>
      <c r="O6104" s="100"/>
      <c r="P6104" s="100"/>
    </row>
    <row r="6105">
      <c r="A6105" s="107">
        <v>1630598.0</v>
      </c>
      <c r="B6105" s="116" t="s">
        <v>246</v>
      </c>
      <c r="C6105" s="116" t="s">
        <v>1496</v>
      </c>
      <c r="D6105" s="24" t="s">
        <v>176</v>
      </c>
      <c r="E6105" s="24">
        <v>1740.4</v>
      </c>
      <c r="F6105" s="111" t="str">
        <f>DataPull!D6105</f>
        <v/>
      </c>
      <c r="G6105" s="94" t="str">
        <f t="shared" si="2"/>
        <v/>
      </c>
      <c r="H6105" s="94" t="str">
        <f t="shared" si="3"/>
        <v/>
      </c>
      <c r="I6105" s="94" t="str">
        <f t="shared" ref="I6105:J6105" si="6106">if(G6105 = "", , -G6105)</f>
        <v/>
      </c>
      <c r="J6105" s="94" t="str">
        <f t="shared" si="6106"/>
        <v/>
      </c>
      <c r="K6105" s="100"/>
      <c r="M6105" s="100"/>
      <c r="N6105" s="100"/>
      <c r="O6105" s="100"/>
      <c r="P6105" s="100"/>
    </row>
    <row r="6106">
      <c r="A6106" s="114">
        <v>1630598.0</v>
      </c>
      <c r="B6106" s="131" t="s">
        <v>247</v>
      </c>
      <c r="C6106" s="131" t="s">
        <v>1496</v>
      </c>
      <c r="D6106" s="24" t="s">
        <v>176</v>
      </c>
      <c r="E6106" s="24">
        <v>1417.0</v>
      </c>
      <c r="F6106" s="111" t="str">
        <f>DataPull!D6106</f>
        <v/>
      </c>
      <c r="G6106" s="94" t="str">
        <f t="shared" si="2"/>
        <v/>
      </c>
      <c r="H6106" s="94" t="str">
        <f t="shared" si="3"/>
        <v/>
      </c>
      <c r="I6106" s="94" t="str">
        <f t="shared" ref="I6106:J6106" si="6107">if(G6106 = "", , -G6106)</f>
        <v/>
      </c>
      <c r="J6106" s="94" t="str">
        <f t="shared" si="6107"/>
        <v/>
      </c>
      <c r="K6106" s="100"/>
      <c r="M6106" s="100"/>
      <c r="N6106" s="100"/>
      <c r="O6106" s="100"/>
      <c r="P6106" s="100"/>
    </row>
    <row r="6107">
      <c r="A6107" s="107">
        <v>1630600.0</v>
      </c>
      <c r="B6107" s="116" t="s">
        <v>244</v>
      </c>
      <c r="C6107" s="116" t="s">
        <v>1497</v>
      </c>
      <c r="D6107" s="24" t="s">
        <v>187</v>
      </c>
      <c r="E6107" s="24">
        <v>84.0</v>
      </c>
      <c r="F6107" s="111" t="str">
        <f>DataPull!D6107</f>
        <v/>
      </c>
      <c r="G6107" s="94" t="str">
        <f t="shared" si="2"/>
        <v/>
      </c>
      <c r="H6107" s="94" t="str">
        <f t="shared" si="3"/>
        <v/>
      </c>
      <c r="I6107" s="94" t="str">
        <f t="shared" ref="I6107:J6107" si="6108">if(G6107 = "", , -G6107)</f>
        <v/>
      </c>
      <c r="J6107" s="94" t="str">
        <f t="shared" si="6108"/>
        <v/>
      </c>
      <c r="K6107" s="100"/>
      <c r="M6107" s="100"/>
      <c r="N6107" s="100"/>
      <c r="O6107" s="100"/>
      <c r="P6107" s="100"/>
    </row>
    <row r="6108">
      <c r="A6108" s="107">
        <v>1630600.0</v>
      </c>
      <c r="B6108" s="116" t="s">
        <v>245</v>
      </c>
      <c r="C6108" s="116" t="s">
        <v>1497</v>
      </c>
      <c r="D6108" s="24" t="s">
        <v>187</v>
      </c>
      <c r="E6108" s="24">
        <v>72.0</v>
      </c>
      <c r="F6108" s="111" t="str">
        <f>DataPull!D6108</f>
        <v/>
      </c>
      <c r="G6108" s="94" t="str">
        <f t="shared" si="2"/>
        <v/>
      </c>
      <c r="H6108" s="94" t="str">
        <f t="shared" si="3"/>
        <v/>
      </c>
      <c r="I6108" s="94" t="str">
        <f t="shared" ref="I6108:J6108" si="6109">if(G6108 = "", , -G6108)</f>
        <v/>
      </c>
      <c r="J6108" s="94" t="str">
        <f t="shared" si="6109"/>
        <v/>
      </c>
      <c r="K6108" s="100"/>
      <c r="M6108" s="100"/>
      <c r="N6108" s="100"/>
      <c r="O6108" s="100"/>
      <c r="P6108" s="100"/>
    </row>
    <row r="6109">
      <c r="A6109" s="107">
        <v>1630602.0</v>
      </c>
      <c r="B6109" s="116" t="s">
        <v>215</v>
      </c>
      <c r="C6109" s="116" t="s">
        <v>1498</v>
      </c>
      <c r="D6109" s="24" t="s">
        <v>181</v>
      </c>
      <c r="E6109" s="24">
        <v>103.5</v>
      </c>
      <c r="F6109" s="111" t="str">
        <f>DataPull!D6109</f>
        <v/>
      </c>
      <c r="G6109" s="94" t="str">
        <f t="shared" si="2"/>
        <v/>
      </c>
      <c r="H6109" s="94" t="str">
        <f t="shared" si="3"/>
        <v/>
      </c>
      <c r="I6109" s="94" t="str">
        <f t="shared" ref="I6109:J6109" si="6110">if(G6109 = "", , -G6109)</f>
        <v/>
      </c>
      <c r="J6109" s="94" t="str">
        <f t="shared" si="6110"/>
        <v/>
      </c>
      <c r="K6109" s="100"/>
      <c r="M6109" s="100"/>
      <c r="N6109" s="100"/>
      <c r="O6109" s="100"/>
      <c r="P6109" s="100"/>
    </row>
    <row r="6110">
      <c r="A6110" s="107">
        <v>1630604.0</v>
      </c>
      <c r="B6110" s="116" t="s">
        <v>245</v>
      </c>
      <c r="C6110" s="116" t="s">
        <v>1499</v>
      </c>
      <c r="D6110" s="24" t="s">
        <v>181</v>
      </c>
      <c r="E6110" s="24">
        <v>23.2</v>
      </c>
      <c r="F6110" s="111" t="str">
        <f>DataPull!D6110</f>
        <v/>
      </c>
      <c r="G6110" s="94" t="str">
        <f t="shared" si="2"/>
        <v/>
      </c>
      <c r="H6110" s="94" t="str">
        <f t="shared" si="3"/>
        <v/>
      </c>
      <c r="I6110" s="94" t="str">
        <f t="shared" ref="I6110:J6110" si="6111">if(G6110 = "", , -G6110)</f>
        <v/>
      </c>
      <c r="J6110" s="94" t="str">
        <f t="shared" si="6111"/>
        <v/>
      </c>
      <c r="K6110" s="100"/>
      <c r="M6110" s="100"/>
      <c r="N6110" s="100"/>
      <c r="O6110" s="100"/>
      <c r="P6110" s="100"/>
    </row>
    <row r="6111">
      <c r="A6111" s="107">
        <v>1630604.0</v>
      </c>
      <c r="B6111" s="116" t="s">
        <v>246</v>
      </c>
      <c r="C6111" s="116" t="s">
        <v>1499</v>
      </c>
      <c r="D6111" s="24" t="s">
        <v>187</v>
      </c>
      <c r="E6111" s="24">
        <v>52.8</v>
      </c>
      <c r="F6111" s="111" t="str">
        <f>DataPull!D6111</f>
        <v/>
      </c>
      <c r="G6111" s="94" t="str">
        <f t="shared" si="2"/>
        <v/>
      </c>
      <c r="H6111" s="94" t="str">
        <f t="shared" si="3"/>
        <v/>
      </c>
      <c r="I6111" s="94" t="str">
        <f t="shared" ref="I6111:J6111" si="6112">if(G6111 = "", , -G6111)</f>
        <v/>
      </c>
      <c r="J6111" s="94" t="str">
        <f t="shared" si="6112"/>
        <v/>
      </c>
      <c r="K6111" s="100"/>
      <c r="M6111" s="100"/>
      <c r="N6111" s="100"/>
      <c r="O6111" s="100"/>
      <c r="P6111" s="100"/>
    </row>
    <row r="6112">
      <c r="A6112" s="114">
        <v>1630604.0</v>
      </c>
      <c r="B6112" s="131" t="s">
        <v>247</v>
      </c>
      <c r="C6112" s="116" t="s">
        <v>1499</v>
      </c>
      <c r="D6112" s="24" t="s">
        <v>187</v>
      </c>
      <c r="E6112" s="24">
        <v>348.4</v>
      </c>
      <c r="F6112" s="111" t="str">
        <f>DataPull!D6112</f>
        <v/>
      </c>
      <c r="G6112" s="94" t="str">
        <f t="shared" si="2"/>
        <v/>
      </c>
      <c r="H6112" s="94" t="str">
        <f t="shared" si="3"/>
        <v/>
      </c>
      <c r="I6112" s="94" t="str">
        <f t="shared" ref="I6112:J6112" si="6113">if(G6112 = "", , -G6112)</f>
        <v/>
      </c>
      <c r="J6112" s="94" t="str">
        <f t="shared" si="6113"/>
        <v/>
      </c>
      <c r="K6112" s="100"/>
      <c r="M6112" s="100"/>
      <c r="N6112" s="100"/>
      <c r="O6112" s="100"/>
      <c r="P6112" s="100"/>
    </row>
    <row r="6113">
      <c r="A6113" s="107">
        <v>1630605.0</v>
      </c>
      <c r="B6113" s="116" t="s">
        <v>215</v>
      </c>
      <c r="C6113" s="116" t="s">
        <v>1500</v>
      </c>
      <c r="D6113" s="24" t="s">
        <v>181</v>
      </c>
      <c r="E6113" s="24">
        <v>10.8</v>
      </c>
      <c r="F6113" s="111" t="str">
        <f>DataPull!D6113</f>
        <v/>
      </c>
      <c r="G6113" s="94" t="str">
        <f t="shared" si="2"/>
        <v/>
      </c>
      <c r="H6113" s="94" t="str">
        <f t="shared" si="3"/>
        <v/>
      </c>
      <c r="I6113" s="94" t="str">
        <f t="shared" ref="I6113:J6113" si="6114">if(G6113 = "", , -G6113)</f>
        <v/>
      </c>
      <c r="J6113" s="94" t="str">
        <f t="shared" si="6114"/>
        <v/>
      </c>
      <c r="K6113" s="100"/>
      <c r="M6113" s="100"/>
      <c r="N6113" s="100"/>
      <c r="O6113" s="100"/>
      <c r="P6113" s="100"/>
    </row>
    <row r="6114">
      <c r="A6114" s="107">
        <v>1630606.0</v>
      </c>
      <c r="B6114" s="116" t="s">
        <v>215</v>
      </c>
      <c r="C6114" s="116" t="s">
        <v>1501</v>
      </c>
      <c r="D6114" s="24" t="s">
        <v>187</v>
      </c>
      <c r="E6114" s="24">
        <v>200.6</v>
      </c>
      <c r="F6114" s="111" t="str">
        <f>DataPull!D6114</f>
        <v/>
      </c>
      <c r="G6114" s="94" t="str">
        <f t="shared" si="2"/>
        <v/>
      </c>
      <c r="H6114" s="94" t="str">
        <f t="shared" si="3"/>
        <v/>
      </c>
      <c r="I6114" s="94" t="str">
        <f t="shared" ref="I6114:J6114" si="6115">if(G6114 = "", , -G6114)</f>
        <v/>
      </c>
      <c r="J6114" s="94" t="str">
        <f t="shared" si="6115"/>
        <v/>
      </c>
      <c r="K6114" s="100"/>
      <c r="M6114" s="100"/>
      <c r="N6114" s="100"/>
      <c r="O6114" s="100"/>
      <c r="P6114" s="100"/>
    </row>
    <row r="6115">
      <c r="A6115" s="107">
        <v>1630606.0</v>
      </c>
      <c r="B6115" s="116" t="s">
        <v>245</v>
      </c>
      <c r="C6115" s="116" t="s">
        <v>1501</v>
      </c>
      <c r="D6115" s="24" t="s">
        <v>181</v>
      </c>
      <c r="E6115" s="24">
        <v>0.7</v>
      </c>
      <c r="F6115" s="111" t="str">
        <f>DataPull!D6115</f>
        <v/>
      </c>
      <c r="G6115" s="94" t="str">
        <f t="shared" si="2"/>
        <v/>
      </c>
      <c r="H6115" s="94" t="str">
        <f t="shared" si="3"/>
        <v/>
      </c>
      <c r="I6115" s="94" t="str">
        <f t="shared" ref="I6115:J6115" si="6116">if(G6115 = "", , -G6115)</f>
        <v/>
      </c>
      <c r="J6115" s="94" t="str">
        <f t="shared" si="6116"/>
        <v/>
      </c>
      <c r="K6115" s="100"/>
      <c r="M6115" s="100"/>
      <c r="N6115" s="100"/>
      <c r="O6115" s="100"/>
      <c r="P6115" s="100"/>
    </row>
    <row r="6116">
      <c r="A6116" s="107">
        <v>1630608.0</v>
      </c>
      <c r="B6116" s="116" t="s">
        <v>245</v>
      </c>
      <c r="C6116" s="116" t="s">
        <v>1502</v>
      </c>
      <c r="D6116" s="24" t="s">
        <v>181</v>
      </c>
      <c r="E6116" s="24">
        <v>2.6</v>
      </c>
      <c r="F6116" s="111" t="str">
        <f>DataPull!D6116</f>
        <v/>
      </c>
      <c r="G6116" s="94" t="str">
        <f t="shared" si="2"/>
        <v/>
      </c>
      <c r="H6116" s="94" t="str">
        <f t="shared" si="3"/>
        <v/>
      </c>
      <c r="I6116" s="94" t="str">
        <f t="shared" ref="I6116:J6116" si="6117">if(G6116 = "", , -G6116)</f>
        <v/>
      </c>
      <c r="J6116" s="94" t="str">
        <f t="shared" si="6117"/>
        <v/>
      </c>
      <c r="K6116" s="100"/>
      <c r="M6116" s="100"/>
      <c r="N6116" s="100"/>
      <c r="O6116" s="100"/>
      <c r="P6116" s="100"/>
    </row>
    <row r="6117">
      <c r="A6117" s="107">
        <v>1630610.0</v>
      </c>
      <c r="B6117" s="116" t="s">
        <v>215</v>
      </c>
      <c r="C6117" s="116" t="s">
        <v>1503</v>
      </c>
      <c r="D6117" s="24" t="s">
        <v>181</v>
      </c>
      <c r="E6117" s="24">
        <v>0.9</v>
      </c>
      <c r="F6117" s="111" t="str">
        <f>DataPull!D6117</f>
        <v/>
      </c>
      <c r="G6117" s="94" t="str">
        <f t="shared" si="2"/>
        <v/>
      </c>
      <c r="H6117" s="94" t="str">
        <f t="shared" si="3"/>
        <v/>
      </c>
      <c r="I6117" s="94" t="str">
        <f t="shared" ref="I6117:J6117" si="6118">if(G6117 = "", , -G6117)</f>
        <v/>
      </c>
      <c r="J6117" s="94" t="str">
        <f t="shared" si="6118"/>
        <v/>
      </c>
      <c r="K6117" s="100"/>
      <c r="M6117" s="100"/>
      <c r="N6117" s="100"/>
      <c r="O6117" s="100"/>
      <c r="P6117" s="100"/>
    </row>
    <row r="6118">
      <c r="A6118" s="107">
        <v>1630610.0</v>
      </c>
      <c r="B6118" s="116" t="s">
        <v>245</v>
      </c>
      <c r="C6118" s="116" t="s">
        <v>1503</v>
      </c>
      <c r="D6118" s="24" t="s">
        <v>187</v>
      </c>
      <c r="E6118" s="24">
        <v>149.4</v>
      </c>
      <c r="F6118" s="111" t="str">
        <f>DataPull!D6118</f>
        <v/>
      </c>
      <c r="G6118" s="94" t="str">
        <f t="shared" si="2"/>
        <v/>
      </c>
      <c r="H6118" s="94" t="str">
        <f t="shared" si="3"/>
        <v/>
      </c>
      <c r="I6118" s="94" t="str">
        <f t="shared" ref="I6118:J6118" si="6119">if(G6118 = "", , -G6118)</f>
        <v/>
      </c>
      <c r="J6118" s="94" t="str">
        <f t="shared" si="6119"/>
        <v/>
      </c>
      <c r="K6118" s="100"/>
      <c r="M6118" s="100"/>
      <c r="N6118" s="100"/>
      <c r="O6118" s="100"/>
      <c r="P6118" s="100"/>
    </row>
    <row r="6119">
      <c r="A6119" s="107">
        <v>1630611.0</v>
      </c>
      <c r="B6119" s="116" t="s">
        <v>245</v>
      </c>
      <c r="C6119" s="116" t="s">
        <v>1504</v>
      </c>
      <c r="D6119" s="24" t="s">
        <v>187</v>
      </c>
      <c r="E6119" s="24">
        <v>193.2</v>
      </c>
      <c r="F6119" s="111" t="str">
        <f>DataPull!D6119</f>
        <v/>
      </c>
      <c r="G6119" s="94" t="str">
        <f t="shared" si="2"/>
        <v/>
      </c>
      <c r="H6119" s="94" t="str">
        <f t="shared" si="3"/>
        <v/>
      </c>
      <c r="I6119" s="94" t="str">
        <f t="shared" ref="I6119:J6119" si="6120">if(G6119 = "", , -G6119)</f>
        <v/>
      </c>
      <c r="J6119" s="94" t="str">
        <f t="shared" si="6120"/>
        <v/>
      </c>
      <c r="K6119" s="100"/>
      <c r="M6119" s="100"/>
      <c r="N6119" s="100"/>
      <c r="O6119" s="100"/>
      <c r="P6119" s="100"/>
    </row>
    <row r="6120">
      <c r="A6120" s="107">
        <v>1630611.0</v>
      </c>
      <c r="B6120" s="116" t="s">
        <v>246</v>
      </c>
      <c r="C6120" s="116" t="s">
        <v>1504</v>
      </c>
      <c r="D6120" s="24" t="s">
        <v>177</v>
      </c>
      <c r="E6120" s="24">
        <v>761.6</v>
      </c>
      <c r="F6120" s="111" t="str">
        <f>DataPull!D6120</f>
        <v/>
      </c>
      <c r="G6120" s="94" t="str">
        <f t="shared" si="2"/>
        <v/>
      </c>
      <c r="H6120" s="94" t="str">
        <f t="shared" si="3"/>
        <v/>
      </c>
      <c r="I6120" s="94" t="str">
        <f t="shared" ref="I6120:J6120" si="6121">if(G6120 = "", , -G6120)</f>
        <v/>
      </c>
      <c r="J6120" s="94" t="str">
        <f t="shared" si="6121"/>
        <v/>
      </c>
      <c r="K6120" s="100"/>
      <c r="M6120" s="100"/>
      <c r="N6120" s="100"/>
      <c r="O6120" s="100"/>
      <c r="P6120" s="100"/>
    </row>
    <row r="6121">
      <c r="A6121" s="114">
        <v>1630611.0</v>
      </c>
      <c r="B6121" s="131" t="s">
        <v>247</v>
      </c>
      <c r="C6121" s="131" t="s">
        <v>1504</v>
      </c>
      <c r="D6121" s="24" t="s">
        <v>177</v>
      </c>
      <c r="E6121" s="24">
        <v>1394.0</v>
      </c>
      <c r="F6121" s="111" t="str">
        <f>DataPull!D6121</f>
        <v/>
      </c>
      <c r="G6121" s="94" t="str">
        <f t="shared" si="2"/>
        <v/>
      </c>
      <c r="H6121" s="94" t="str">
        <f t="shared" si="3"/>
        <v/>
      </c>
      <c r="I6121" s="94" t="str">
        <f t="shared" ref="I6121:J6121" si="6122">if(G6121 = "", , -G6121)</f>
        <v/>
      </c>
      <c r="J6121" s="94" t="str">
        <f t="shared" si="6122"/>
        <v/>
      </c>
      <c r="K6121" s="100"/>
      <c r="M6121" s="100"/>
      <c r="N6121" s="100"/>
      <c r="O6121" s="100"/>
      <c r="P6121" s="100"/>
    </row>
    <row r="6122">
      <c r="A6122" s="107">
        <v>1630612.0</v>
      </c>
      <c r="B6122" s="116" t="s">
        <v>215</v>
      </c>
      <c r="C6122" s="116" t="s">
        <v>1505</v>
      </c>
      <c r="D6122" s="24"/>
      <c r="E6122" s="24"/>
      <c r="F6122" s="111" t="str">
        <f>DataPull!D6122</f>
        <v/>
      </c>
      <c r="G6122" s="94" t="str">
        <f t="shared" si="2"/>
        <v/>
      </c>
      <c r="H6122" s="94" t="str">
        <f t="shared" si="3"/>
        <v/>
      </c>
      <c r="I6122" s="94" t="str">
        <f t="shared" ref="I6122:J6122" si="6123">if(G6122 = "", , -G6122)</f>
        <v/>
      </c>
      <c r="J6122" s="94" t="str">
        <f t="shared" si="6123"/>
        <v/>
      </c>
      <c r="K6122" s="100"/>
      <c r="M6122" s="100"/>
      <c r="N6122" s="100"/>
      <c r="O6122" s="100"/>
      <c r="P6122" s="100"/>
    </row>
    <row r="6123">
      <c r="A6123" s="107">
        <v>1630613.0</v>
      </c>
      <c r="B6123" s="116" t="s">
        <v>215</v>
      </c>
      <c r="C6123" s="116" t="s">
        <v>1506</v>
      </c>
      <c r="D6123" s="24" t="s">
        <v>177</v>
      </c>
      <c r="E6123" s="24">
        <v>969.6</v>
      </c>
      <c r="F6123" s="111" t="str">
        <f>DataPull!D6123</f>
        <v/>
      </c>
      <c r="G6123" s="94" t="str">
        <f t="shared" si="2"/>
        <v/>
      </c>
      <c r="H6123" s="94" t="str">
        <f t="shared" si="3"/>
        <v/>
      </c>
      <c r="I6123" s="94" t="str">
        <f t="shared" ref="I6123:J6123" si="6124">if(G6123 = "", , -G6123)</f>
        <v/>
      </c>
      <c r="J6123" s="94" t="str">
        <f t="shared" si="6124"/>
        <v/>
      </c>
      <c r="K6123" s="100"/>
      <c r="M6123" s="100"/>
      <c r="N6123" s="100"/>
      <c r="O6123" s="100"/>
      <c r="P6123" s="100"/>
    </row>
    <row r="6124">
      <c r="A6124" s="107">
        <v>1630613.0</v>
      </c>
      <c r="B6124" s="116" t="s">
        <v>244</v>
      </c>
      <c r="C6124" s="116" t="s">
        <v>1506</v>
      </c>
      <c r="D6124" s="24" t="s">
        <v>177</v>
      </c>
      <c r="E6124" s="24">
        <v>393.7</v>
      </c>
      <c r="F6124" s="111" t="str">
        <f>DataPull!D6124</f>
        <v/>
      </c>
      <c r="G6124" s="94" t="str">
        <f t="shared" si="2"/>
        <v/>
      </c>
      <c r="H6124" s="94" t="str">
        <f t="shared" si="3"/>
        <v/>
      </c>
      <c r="I6124" s="94" t="str">
        <f t="shared" ref="I6124:J6124" si="6125">if(G6124 = "", , -G6124)</f>
        <v/>
      </c>
      <c r="J6124" s="94" t="str">
        <f t="shared" si="6125"/>
        <v/>
      </c>
      <c r="K6124" s="100"/>
      <c r="M6124" s="100"/>
      <c r="N6124" s="100"/>
      <c r="O6124" s="100"/>
      <c r="P6124" s="100"/>
    </row>
    <row r="6125">
      <c r="A6125" s="107">
        <v>1630613.0</v>
      </c>
      <c r="B6125" s="116" t="s">
        <v>245</v>
      </c>
      <c r="C6125" s="116" t="s">
        <v>1506</v>
      </c>
      <c r="D6125" s="24"/>
      <c r="E6125" s="24"/>
      <c r="F6125" s="111" t="str">
        <f>DataPull!D6125</f>
        <v/>
      </c>
      <c r="G6125" s="94" t="str">
        <f t="shared" si="2"/>
        <v/>
      </c>
      <c r="H6125" s="94" t="str">
        <f t="shared" si="3"/>
        <v/>
      </c>
      <c r="I6125" s="94" t="str">
        <f t="shared" ref="I6125:J6125" si="6126">if(G6125 = "", , -G6125)</f>
        <v/>
      </c>
      <c r="J6125" s="94" t="str">
        <f t="shared" si="6126"/>
        <v/>
      </c>
      <c r="K6125" s="100"/>
      <c r="M6125" s="100"/>
      <c r="N6125" s="100"/>
      <c r="O6125" s="100"/>
      <c r="P6125" s="100"/>
    </row>
    <row r="6126">
      <c r="A6126" s="107">
        <v>1630618.0</v>
      </c>
      <c r="B6126" s="116" t="s">
        <v>245</v>
      </c>
      <c r="C6126" s="116" t="s">
        <v>1507</v>
      </c>
      <c r="D6126" s="24" t="s">
        <v>181</v>
      </c>
      <c r="E6126" s="24">
        <v>35.6</v>
      </c>
      <c r="F6126" s="111" t="str">
        <f>DataPull!D6126</f>
        <v/>
      </c>
      <c r="G6126" s="94" t="str">
        <f t="shared" si="2"/>
        <v/>
      </c>
      <c r="H6126" s="94" t="str">
        <f t="shared" si="3"/>
        <v/>
      </c>
      <c r="I6126" s="94" t="str">
        <f t="shared" ref="I6126:J6126" si="6127">if(G6126 = "", , -G6126)</f>
        <v/>
      </c>
      <c r="J6126" s="94" t="str">
        <f t="shared" si="6127"/>
        <v/>
      </c>
      <c r="K6126" s="100"/>
      <c r="M6126" s="100"/>
      <c r="N6126" s="100"/>
      <c r="O6126" s="100"/>
      <c r="P6126" s="100"/>
    </row>
    <row r="6127">
      <c r="A6127" s="107">
        <v>1630618.0</v>
      </c>
      <c r="B6127" s="116" t="s">
        <v>246</v>
      </c>
      <c r="C6127" s="116" t="s">
        <v>1507</v>
      </c>
      <c r="D6127" s="24" t="s">
        <v>181</v>
      </c>
      <c r="E6127" s="24">
        <v>33.2</v>
      </c>
      <c r="F6127" s="111" t="str">
        <f>DataPull!D6127</f>
        <v/>
      </c>
      <c r="G6127" s="94" t="str">
        <f t="shared" si="2"/>
        <v/>
      </c>
      <c r="H6127" s="94" t="str">
        <f t="shared" si="3"/>
        <v/>
      </c>
      <c r="I6127" s="94" t="str">
        <f t="shared" ref="I6127:J6127" si="6128">if(G6127 = "", , -G6127)</f>
        <v/>
      </c>
      <c r="J6127" s="94" t="str">
        <f t="shared" si="6128"/>
        <v/>
      </c>
      <c r="K6127" s="100"/>
      <c r="M6127" s="100"/>
      <c r="N6127" s="100"/>
      <c r="O6127" s="100"/>
      <c r="P6127" s="100"/>
    </row>
    <row r="6128">
      <c r="A6128" s="114">
        <v>1630619.0</v>
      </c>
      <c r="B6128" s="131" t="s">
        <v>247</v>
      </c>
      <c r="C6128" s="131" t="s">
        <v>1508</v>
      </c>
      <c r="D6128" s="24" t="s">
        <v>177</v>
      </c>
      <c r="E6128" s="24">
        <v>528.2</v>
      </c>
      <c r="F6128" s="111" t="str">
        <f>DataPull!D6128</f>
        <v/>
      </c>
      <c r="G6128" s="94" t="str">
        <f t="shared" si="2"/>
        <v/>
      </c>
      <c r="H6128" s="94" t="str">
        <f t="shared" si="3"/>
        <v/>
      </c>
      <c r="I6128" s="94" t="str">
        <f t="shared" ref="I6128:J6128" si="6129">if(G6128 = "", , -G6128)</f>
        <v/>
      </c>
      <c r="J6128" s="94" t="str">
        <f t="shared" si="6129"/>
        <v/>
      </c>
      <c r="K6128" s="100"/>
      <c r="M6128" s="100"/>
      <c r="N6128" s="100"/>
      <c r="O6128" s="100"/>
      <c r="P6128" s="100"/>
    </row>
    <row r="6129">
      <c r="A6129" s="107">
        <v>1630620.0</v>
      </c>
      <c r="B6129" s="116" t="s">
        <v>244</v>
      </c>
      <c r="C6129" s="116" t="s">
        <v>1509</v>
      </c>
      <c r="D6129" s="24" t="s">
        <v>181</v>
      </c>
      <c r="E6129" s="24">
        <v>24.8</v>
      </c>
      <c r="F6129" s="111" t="str">
        <f>DataPull!D6129</f>
        <v/>
      </c>
      <c r="G6129" s="94" t="str">
        <f t="shared" si="2"/>
        <v/>
      </c>
      <c r="H6129" s="94" t="str">
        <f t="shared" si="3"/>
        <v/>
      </c>
      <c r="I6129" s="94" t="str">
        <f t="shared" ref="I6129:J6129" si="6130">if(G6129 = "", , -G6129)</f>
        <v/>
      </c>
      <c r="J6129" s="94" t="str">
        <f t="shared" si="6130"/>
        <v/>
      </c>
      <c r="K6129" s="100"/>
      <c r="M6129" s="100"/>
      <c r="N6129" s="100"/>
      <c r="O6129" s="100"/>
      <c r="P6129" s="100"/>
    </row>
    <row r="6130">
      <c r="A6130" s="114">
        <v>1630621.0</v>
      </c>
      <c r="B6130" s="131" t="s">
        <v>247</v>
      </c>
      <c r="C6130" s="131" t="s">
        <v>1510</v>
      </c>
      <c r="D6130" s="24" t="s">
        <v>181</v>
      </c>
      <c r="E6130" s="24">
        <v>42.5</v>
      </c>
      <c r="F6130" s="111" t="str">
        <f>DataPull!D6130</f>
        <v/>
      </c>
      <c r="G6130" s="94" t="str">
        <f t="shared" si="2"/>
        <v/>
      </c>
      <c r="H6130" s="94" t="str">
        <f t="shared" si="3"/>
        <v/>
      </c>
      <c r="I6130" s="94" t="str">
        <f t="shared" ref="I6130:J6130" si="6131">if(G6130 = "", , -G6130)</f>
        <v/>
      </c>
      <c r="J6130" s="94" t="str">
        <f t="shared" si="6131"/>
        <v/>
      </c>
      <c r="K6130" s="100"/>
      <c r="M6130" s="100"/>
      <c r="N6130" s="100"/>
      <c r="O6130" s="100"/>
      <c r="P6130" s="100"/>
    </row>
    <row r="6131">
      <c r="A6131" s="123">
        <v>1630623.0</v>
      </c>
      <c r="B6131" s="132" t="s">
        <v>246</v>
      </c>
      <c r="C6131" s="133" t="s">
        <v>1511</v>
      </c>
      <c r="D6131" s="24" t="s">
        <v>181</v>
      </c>
      <c r="E6131" s="24">
        <v>151.2</v>
      </c>
      <c r="F6131" s="111" t="str">
        <f>DataPull!D6131</f>
        <v/>
      </c>
      <c r="G6131" s="94" t="str">
        <f t="shared" si="2"/>
        <v/>
      </c>
      <c r="H6131" s="94" t="str">
        <f t="shared" si="3"/>
        <v/>
      </c>
      <c r="I6131" s="94" t="str">
        <f t="shared" ref="I6131:J6131" si="6132">if(G6131 = "", , -G6131)</f>
        <v/>
      </c>
      <c r="J6131" s="94" t="str">
        <f t="shared" si="6132"/>
        <v/>
      </c>
      <c r="K6131" s="100"/>
      <c r="M6131" s="100"/>
      <c r="N6131" s="100"/>
      <c r="O6131" s="100"/>
      <c r="P6131" s="100"/>
    </row>
    <row r="6132">
      <c r="A6132" s="114">
        <v>1630623.0</v>
      </c>
      <c r="B6132" s="131" t="s">
        <v>247</v>
      </c>
      <c r="C6132" s="131" t="s">
        <v>1511</v>
      </c>
      <c r="D6132" s="24" t="s">
        <v>187</v>
      </c>
      <c r="E6132" s="24">
        <v>379.2</v>
      </c>
      <c r="F6132" s="111" t="str">
        <f>DataPull!D6132</f>
        <v/>
      </c>
      <c r="G6132" s="94" t="str">
        <f t="shared" si="2"/>
        <v/>
      </c>
      <c r="H6132" s="94" t="str">
        <f t="shared" si="3"/>
        <v/>
      </c>
      <c r="I6132" s="94" t="str">
        <f t="shared" ref="I6132:J6132" si="6133">if(G6132 = "", , -G6132)</f>
        <v/>
      </c>
      <c r="J6132" s="94" t="str">
        <f t="shared" si="6133"/>
        <v/>
      </c>
      <c r="K6132" s="100"/>
      <c r="M6132" s="100"/>
      <c r="N6132" s="100"/>
      <c r="O6132" s="100"/>
      <c r="P6132" s="100"/>
    </row>
    <row r="6133">
      <c r="A6133" s="107">
        <v>1630624.0</v>
      </c>
      <c r="B6133" s="116" t="s">
        <v>215</v>
      </c>
      <c r="C6133" s="116" t="s">
        <v>1512</v>
      </c>
      <c r="D6133" s="24" t="s">
        <v>181</v>
      </c>
      <c r="E6133" s="24">
        <v>8.4</v>
      </c>
      <c r="F6133" s="111" t="str">
        <f>DataPull!D6133</f>
        <v/>
      </c>
      <c r="G6133" s="94" t="str">
        <f t="shared" si="2"/>
        <v/>
      </c>
      <c r="H6133" s="94" t="str">
        <f t="shared" si="3"/>
        <v/>
      </c>
      <c r="I6133" s="94" t="str">
        <f t="shared" ref="I6133:J6133" si="6134">if(G6133 = "", , -G6133)</f>
        <v/>
      </c>
      <c r="J6133" s="94" t="str">
        <f t="shared" si="6134"/>
        <v/>
      </c>
      <c r="K6133" s="100"/>
      <c r="M6133" s="100"/>
      <c r="N6133" s="100"/>
      <c r="O6133" s="100"/>
      <c r="P6133" s="100"/>
    </row>
    <row r="6134">
      <c r="A6134" s="107">
        <v>1630625.0</v>
      </c>
      <c r="B6134" s="116" t="s">
        <v>215</v>
      </c>
      <c r="C6134" s="116" t="s">
        <v>1513</v>
      </c>
      <c r="D6134" s="24" t="s">
        <v>187</v>
      </c>
      <c r="E6134" s="24">
        <v>697.6</v>
      </c>
      <c r="F6134" s="111" t="str">
        <f>DataPull!D6134</f>
        <v/>
      </c>
      <c r="G6134" s="94" t="str">
        <f t="shared" si="2"/>
        <v/>
      </c>
      <c r="H6134" s="94" t="str">
        <f t="shared" si="3"/>
        <v/>
      </c>
      <c r="I6134" s="94" t="str">
        <f t="shared" ref="I6134:J6134" si="6135">if(G6134 = "", , -G6134)</f>
        <v/>
      </c>
      <c r="J6134" s="94" t="str">
        <f t="shared" si="6135"/>
        <v/>
      </c>
      <c r="K6134" s="100"/>
      <c r="M6134" s="100"/>
      <c r="N6134" s="100"/>
      <c r="O6134" s="100"/>
      <c r="P6134" s="100"/>
    </row>
    <row r="6135">
      <c r="A6135" s="107">
        <v>1630625.0</v>
      </c>
      <c r="B6135" s="116" t="s">
        <v>244</v>
      </c>
      <c r="C6135" s="116" t="s">
        <v>1513</v>
      </c>
      <c r="D6135" s="24" t="s">
        <v>187</v>
      </c>
      <c r="E6135" s="24">
        <v>279.0</v>
      </c>
      <c r="F6135" s="111" t="str">
        <f>DataPull!D6135</f>
        <v/>
      </c>
      <c r="G6135" s="94" t="str">
        <f t="shared" si="2"/>
        <v/>
      </c>
      <c r="H6135" s="94" t="str">
        <f t="shared" si="3"/>
        <v/>
      </c>
      <c r="I6135" s="94" t="str">
        <f t="shared" ref="I6135:J6135" si="6136">if(G6135 = "", , -G6135)</f>
        <v/>
      </c>
      <c r="J6135" s="94" t="str">
        <f t="shared" si="6136"/>
        <v/>
      </c>
      <c r="K6135" s="100"/>
      <c r="M6135" s="100"/>
      <c r="N6135" s="100"/>
      <c r="O6135" s="100"/>
      <c r="P6135" s="100"/>
    </row>
    <row r="6136">
      <c r="A6136" s="107">
        <v>1630625.0</v>
      </c>
      <c r="B6136" s="116" t="s">
        <v>245</v>
      </c>
      <c r="C6136" s="116" t="s">
        <v>1513</v>
      </c>
      <c r="D6136" s="24" t="s">
        <v>178</v>
      </c>
      <c r="E6136" s="24">
        <v>1047.6</v>
      </c>
      <c r="F6136" s="111" t="str">
        <f>DataPull!D6136</f>
        <v/>
      </c>
      <c r="G6136" s="94" t="str">
        <f t="shared" si="2"/>
        <v/>
      </c>
      <c r="H6136" s="94" t="str">
        <f t="shared" si="3"/>
        <v/>
      </c>
      <c r="I6136" s="94" t="str">
        <f t="shared" ref="I6136:J6136" si="6137">if(G6136 = "", , -G6136)</f>
        <v/>
      </c>
      <c r="J6136" s="94" t="str">
        <f t="shared" si="6137"/>
        <v/>
      </c>
      <c r="K6136" s="100"/>
      <c r="M6136" s="100"/>
      <c r="N6136" s="100"/>
      <c r="O6136" s="100"/>
      <c r="P6136" s="100"/>
    </row>
    <row r="6137">
      <c r="A6137" s="107">
        <v>1630625.0</v>
      </c>
      <c r="B6137" s="116" t="s">
        <v>246</v>
      </c>
      <c r="C6137" s="116" t="s">
        <v>1513</v>
      </c>
      <c r="D6137" s="24" t="s">
        <v>177</v>
      </c>
      <c r="E6137" s="24">
        <v>1118.9</v>
      </c>
      <c r="F6137" s="111" t="str">
        <f>DataPull!D6137</f>
        <v/>
      </c>
      <c r="G6137" s="94" t="str">
        <f t="shared" si="2"/>
        <v/>
      </c>
      <c r="H6137" s="94" t="str">
        <f t="shared" si="3"/>
        <v/>
      </c>
      <c r="I6137" s="94" t="str">
        <f t="shared" ref="I6137:J6137" si="6138">if(G6137 = "", , -G6137)</f>
        <v/>
      </c>
      <c r="J6137" s="94" t="str">
        <f t="shared" si="6138"/>
        <v/>
      </c>
      <c r="K6137" s="100"/>
      <c r="M6137" s="100"/>
      <c r="N6137" s="100"/>
      <c r="O6137" s="100"/>
      <c r="P6137" s="100"/>
    </row>
    <row r="6138">
      <c r="A6138" s="126">
        <v>1630625.0</v>
      </c>
      <c r="B6138" s="141" t="s">
        <v>247</v>
      </c>
      <c r="C6138" s="141" t="s">
        <v>1513</v>
      </c>
      <c r="D6138" s="24" t="s">
        <v>181</v>
      </c>
      <c r="E6138" s="24">
        <v>61.8</v>
      </c>
      <c r="F6138" s="111" t="str">
        <f>DataPull!D6138</f>
        <v/>
      </c>
      <c r="G6138" s="94" t="str">
        <f t="shared" si="2"/>
        <v/>
      </c>
      <c r="H6138" s="94" t="str">
        <f t="shared" si="3"/>
        <v/>
      </c>
      <c r="I6138" s="94" t="str">
        <f t="shared" ref="I6138:J6138" si="6139">if(G6138 = "", , -G6138)</f>
        <v/>
      </c>
      <c r="J6138" s="94" t="str">
        <f t="shared" si="6139"/>
        <v/>
      </c>
      <c r="K6138" s="100"/>
      <c r="M6138" s="100"/>
      <c r="N6138" s="100"/>
      <c r="O6138" s="100"/>
      <c r="P6138" s="100"/>
    </row>
    <row r="6139">
      <c r="A6139" s="107">
        <v>1630631.0</v>
      </c>
      <c r="B6139" s="116" t="s">
        <v>215</v>
      </c>
      <c r="C6139" s="116" t="s">
        <v>1514</v>
      </c>
      <c r="D6139" s="24" t="s">
        <v>177</v>
      </c>
      <c r="E6139" s="24">
        <v>831.6</v>
      </c>
      <c r="F6139" s="111" t="str">
        <f>DataPull!D6139</f>
        <v/>
      </c>
      <c r="G6139" s="94" t="str">
        <f t="shared" si="2"/>
        <v/>
      </c>
      <c r="H6139" s="94" t="str">
        <f t="shared" si="3"/>
        <v/>
      </c>
      <c r="I6139" s="94" t="str">
        <f t="shared" ref="I6139:J6139" si="6140">if(G6139 = "", , -G6139)</f>
        <v/>
      </c>
      <c r="J6139" s="94" t="str">
        <f t="shared" si="6140"/>
        <v/>
      </c>
      <c r="K6139" s="100"/>
      <c r="M6139" s="100"/>
      <c r="N6139" s="100"/>
      <c r="O6139" s="100"/>
      <c r="P6139" s="100"/>
    </row>
    <row r="6140">
      <c r="A6140" s="107">
        <v>1630631.0</v>
      </c>
      <c r="B6140" s="116" t="s">
        <v>244</v>
      </c>
      <c r="C6140" s="116" t="s">
        <v>1514</v>
      </c>
      <c r="D6140" s="24" t="s">
        <v>176</v>
      </c>
      <c r="E6140" s="24">
        <v>1311.5</v>
      </c>
      <c r="F6140" s="111" t="str">
        <f>DataPull!D6140</f>
        <v/>
      </c>
      <c r="G6140" s="94" t="str">
        <f t="shared" si="2"/>
        <v/>
      </c>
      <c r="H6140" s="94" t="str">
        <f t="shared" si="3"/>
        <v/>
      </c>
      <c r="I6140" s="94" t="str">
        <f t="shared" ref="I6140:J6140" si="6141">if(G6140 = "", , -G6140)</f>
        <v/>
      </c>
      <c r="J6140" s="94" t="str">
        <f t="shared" si="6141"/>
        <v/>
      </c>
      <c r="K6140" s="100"/>
      <c r="M6140" s="100"/>
      <c r="N6140" s="100"/>
      <c r="O6140" s="100"/>
      <c r="P6140" s="100"/>
    </row>
    <row r="6141">
      <c r="A6141" s="107">
        <v>1630631.0</v>
      </c>
      <c r="B6141" s="116" t="s">
        <v>245</v>
      </c>
      <c r="C6141" s="116" t="s">
        <v>1514</v>
      </c>
      <c r="D6141" s="24" t="s">
        <v>177</v>
      </c>
      <c r="E6141" s="24">
        <v>1030.4</v>
      </c>
      <c r="F6141" s="111" t="str">
        <f>DataPull!D6141</f>
        <v/>
      </c>
      <c r="G6141" s="94" t="str">
        <f t="shared" si="2"/>
        <v/>
      </c>
      <c r="H6141" s="94" t="str">
        <f t="shared" si="3"/>
        <v/>
      </c>
      <c r="I6141" s="94" t="str">
        <f t="shared" ref="I6141:J6141" si="6142">if(G6141 = "", , -G6141)</f>
        <v/>
      </c>
      <c r="J6141" s="94" t="str">
        <f t="shared" si="6142"/>
        <v/>
      </c>
      <c r="K6141" s="100"/>
      <c r="M6141" s="100"/>
      <c r="N6141" s="100"/>
      <c r="O6141" s="100"/>
      <c r="P6141" s="100"/>
    </row>
    <row r="6142">
      <c r="A6142" s="107">
        <v>1630631.0</v>
      </c>
      <c r="B6142" s="116" t="s">
        <v>246</v>
      </c>
      <c r="C6142" s="116" t="s">
        <v>1514</v>
      </c>
      <c r="D6142" s="24" t="s">
        <v>176</v>
      </c>
      <c r="E6142" s="24">
        <v>1366.4</v>
      </c>
      <c r="F6142" s="111" t="str">
        <f>DataPull!D6142</f>
        <v/>
      </c>
      <c r="G6142" s="94" t="str">
        <f t="shared" si="2"/>
        <v/>
      </c>
      <c r="H6142" s="94" t="str">
        <f t="shared" si="3"/>
        <v/>
      </c>
      <c r="I6142" s="94" t="str">
        <f t="shared" ref="I6142:J6142" si="6143">if(G6142 = "", , -G6142)</f>
        <v/>
      </c>
      <c r="J6142" s="94" t="str">
        <f t="shared" si="6143"/>
        <v/>
      </c>
      <c r="K6142" s="100"/>
      <c r="M6142" s="100"/>
      <c r="N6142" s="100"/>
      <c r="O6142" s="100"/>
      <c r="P6142" s="100"/>
    </row>
    <row r="6143">
      <c r="A6143" s="114">
        <v>1630631.0</v>
      </c>
      <c r="B6143" s="131" t="s">
        <v>247</v>
      </c>
      <c r="C6143" s="131" t="s">
        <v>1514</v>
      </c>
      <c r="D6143" s="24" t="s">
        <v>176</v>
      </c>
      <c r="E6143" s="24">
        <v>1373.1</v>
      </c>
      <c r="F6143" s="111" t="str">
        <f>DataPull!D6143</f>
        <v/>
      </c>
      <c r="G6143" s="94" t="str">
        <f t="shared" si="2"/>
        <v/>
      </c>
      <c r="H6143" s="94" t="str">
        <f t="shared" si="3"/>
        <v/>
      </c>
      <c r="I6143" s="94" t="str">
        <f t="shared" ref="I6143:J6143" si="6144">if(G6143 = "", , -G6143)</f>
        <v/>
      </c>
      <c r="J6143" s="94" t="str">
        <f t="shared" si="6144"/>
        <v/>
      </c>
      <c r="K6143" s="100"/>
      <c r="M6143" s="100"/>
      <c r="N6143" s="100"/>
      <c r="O6143" s="100"/>
      <c r="P6143" s="100"/>
    </row>
    <row r="6144">
      <c r="A6144" s="107">
        <v>1630637.0</v>
      </c>
      <c r="B6144" s="116" t="s">
        <v>215</v>
      </c>
      <c r="C6144" s="116" t="s">
        <v>1515</v>
      </c>
      <c r="D6144" s="24" t="s">
        <v>181</v>
      </c>
      <c r="E6144" s="24">
        <v>23.5</v>
      </c>
      <c r="F6144" s="111" t="str">
        <f>DataPull!D6144</f>
        <v/>
      </c>
      <c r="G6144" s="94" t="str">
        <f t="shared" si="2"/>
        <v/>
      </c>
      <c r="H6144" s="94" t="str">
        <f t="shared" si="3"/>
        <v/>
      </c>
      <c r="I6144" s="94" t="str">
        <f t="shared" ref="I6144:J6144" si="6145">if(G6144 = "", , -G6144)</f>
        <v/>
      </c>
      <c r="J6144" s="94" t="str">
        <f t="shared" si="6145"/>
        <v/>
      </c>
      <c r="K6144" s="100"/>
      <c r="M6144" s="100"/>
      <c r="N6144" s="100"/>
      <c r="O6144" s="100"/>
      <c r="P6144" s="100"/>
    </row>
    <row r="6145">
      <c r="A6145" s="107">
        <v>1630637.0</v>
      </c>
      <c r="B6145" s="116" t="s">
        <v>244</v>
      </c>
      <c r="C6145" s="116" t="s">
        <v>1515</v>
      </c>
      <c r="D6145" s="24" t="s">
        <v>181</v>
      </c>
      <c r="E6145" s="24">
        <v>56.0</v>
      </c>
      <c r="F6145" s="111" t="str">
        <f>DataPull!D6145</f>
        <v/>
      </c>
      <c r="G6145" s="94" t="str">
        <f t="shared" si="2"/>
        <v/>
      </c>
      <c r="H6145" s="94" t="str">
        <f t="shared" si="3"/>
        <v/>
      </c>
      <c r="I6145" s="94" t="str">
        <f t="shared" ref="I6145:J6145" si="6146">if(G6145 = "", , -G6145)</f>
        <v/>
      </c>
      <c r="J6145" s="94" t="str">
        <f t="shared" si="6146"/>
        <v/>
      </c>
      <c r="K6145" s="100"/>
      <c r="M6145" s="100"/>
      <c r="N6145" s="100"/>
      <c r="O6145" s="100"/>
      <c r="P6145" s="100"/>
    </row>
    <row r="6146">
      <c r="A6146" s="107">
        <v>1630639.0</v>
      </c>
      <c r="B6146" s="116" t="s">
        <v>244</v>
      </c>
      <c r="C6146" s="116" t="s">
        <v>1516</v>
      </c>
      <c r="D6146" s="24" t="s">
        <v>187</v>
      </c>
      <c r="E6146" s="24">
        <v>108.0</v>
      </c>
      <c r="F6146" s="111" t="str">
        <f>DataPull!D6146</f>
        <v/>
      </c>
      <c r="G6146" s="94" t="str">
        <f t="shared" si="2"/>
        <v/>
      </c>
      <c r="H6146" s="94" t="str">
        <f t="shared" si="3"/>
        <v/>
      </c>
      <c r="I6146" s="94" t="str">
        <f t="shared" ref="I6146:J6146" si="6147">if(G6146 = "", , -G6146)</f>
        <v/>
      </c>
      <c r="J6146" s="94" t="str">
        <f t="shared" si="6147"/>
        <v/>
      </c>
      <c r="K6146" s="100"/>
      <c r="M6146" s="100"/>
      <c r="N6146" s="100"/>
      <c r="O6146" s="100"/>
      <c r="P6146" s="100"/>
    </row>
    <row r="6147">
      <c r="A6147" s="107">
        <v>1630639.0</v>
      </c>
      <c r="B6147" s="116" t="s">
        <v>245</v>
      </c>
      <c r="C6147" s="116" t="s">
        <v>1516</v>
      </c>
      <c r="D6147" s="24" t="s">
        <v>187</v>
      </c>
      <c r="E6147" s="24">
        <v>310.8</v>
      </c>
      <c r="F6147" s="111" t="str">
        <f>DataPull!D6147</f>
        <v/>
      </c>
      <c r="G6147" s="94" t="str">
        <f t="shared" si="2"/>
        <v/>
      </c>
      <c r="H6147" s="94" t="str">
        <f t="shared" si="3"/>
        <v/>
      </c>
      <c r="I6147" s="94" t="str">
        <f t="shared" ref="I6147:J6147" si="6148">if(G6147 = "", , -G6147)</f>
        <v/>
      </c>
      <c r="J6147" s="94" t="str">
        <f t="shared" si="6148"/>
        <v/>
      </c>
      <c r="K6147" s="100"/>
      <c r="M6147" s="100"/>
      <c r="N6147" s="100"/>
      <c r="O6147" s="100"/>
      <c r="P6147" s="100"/>
    </row>
    <row r="6148">
      <c r="A6148" s="120">
        <v>1630639.0</v>
      </c>
      <c r="B6148" s="138" t="s">
        <v>246</v>
      </c>
      <c r="C6148" s="138" t="s">
        <v>1516</v>
      </c>
      <c r="D6148" s="139" t="s">
        <v>177</v>
      </c>
      <c r="E6148" s="139">
        <v>486.2</v>
      </c>
      <c r="F6148" s="111" t="str">
        <f>DataPull!D6148</f>
        <v/>
      </c>
      <c r="G6148" s="94" t="str">
        <f t="shared" si="2"/>
        <v/>
      </c>
      <c r="H6148" s="94" t="str">
        <f t="shared" si="3"/>
        <v/>
      </c>
      <c r="I6148" s="94" t="str">
        <f t="shared" ref="I6148:J6148" si="6149">if(G6148 = "", , -G6148)</f>
        <v/>
      </c>
      <c r="J6148" s="94" t="str">
        <f t="shared" si="6149"/>
        <v/>
      </c>
      <c r="K6148" s="100"/>
      <c r="M6148" s="100"/>
      <c r="N6148" s="100"/>
      <c r="O6148" s="100"/>
      <c r="P6148" s="100"/>
    </row>
    <row r="6149">
      <c r="A6149" s="89">
        <v>1630639.0</v>
      </c>
      <c r="B6149" s="131" t="s">
        <v>247</v>
      </c>
      <c r="C6149" s="131" t="s">
        <v>1516</v>
      </c>
      <c r="D6149" s="24" t="s">
        <v>187</v>
      </c>
      <c r="E6149" s="24">
        <v>225.6</v>
      </c>
      <c r="F6149" s="111" t="str">
        <f>DataPull!D6149</f>
        <v/>
      </c>
      <c r="G6149" s="94" t="str">
        <f t="shared" si="2"/>
        <v/>
      </c>
      <c r="H6149" s="94" t="str">
        <f t="shared" si="3"/>
        <v/>
      </c>
      <c r="I6149" s="94" t="str">
        <f t="shared" ref="I6149:J6149" si="6150">if(G6149 = "", , -G6149)</f>
        <v/>
      </c>
      <c r="J6149" s="94" t="str">
        <f t="shared" si="6150"/>
        <v/>
      </c>
      <c r="K6149" s="100"/>
      <c r="M6149" s="100"/>
      <c r="N6149" s="100"/>
      <c r="O6149" s="100"/>
      <c r="P6149" s="100"/>
    </row>
    <row r="6150">
      <c r="A6150" s="107">
        <v>1630640.0</v>
      </c>
      <c r="B6150" s="116" t="s">
        <v>215</v>
      </c>
      <c r="C6150" s="116" t="s">
        <v>1517</v>
      </c>
      <c r="D6150" s="24" t="s">
        <v>181</v>
      </c>
      <c r="E6150" s="24">
        <v>8.4</v>
      </c>
      <c r="F6150" s="111" t="str">
        <f>DataPull!D6150</f>
        <v/>
      </c>
      <c r="G6150" s="94" t="str">
        <f t="shared" si="2"/>
        <v/>
      </c>
      <c r="H6150" s="94" t="str">
        <f t="shared" si="3"/>
        <v/>
      </c>
      <c r="I6150" s="94" t="str">
        <f t="shared" ref="I6150:J6150" si="6151">if(G6150 = "", , -G6150)</f>
        <v/>
      </c>
      <c r="J6150" s="94" t="str">
        <f t="shared" si="6151"/>
        <v/>
      </c>
      <c r="K6150" s="100"/>
      <c r="M6150" s="100"/>
      <c r="N6150" s="100"/>
      <c r="O6150" s="100"/>
      <c r="P6150" s="100"/>
    </row>
    <row r="6151">
      <c r="A6151" s="107">
        <v>1630641.0</v>
      </c>
      <c r="B6151" s="116" t="s">
        <v>245</v>
      </c>
      <c r="C6151" s="116" t="s">
        <v>1518</v>
      </c>
      <c r="D6151" s="24" t="s">
        <v>187</v>
      </c>
      <c r="E6151" s="24">
        <v>226.6</v>
      </c>
      <c r="F6151" s="111" t="str">
        <f>DataPull!D6151</f>
        <v/>
      </c>
      <c r="G6151" s="94" t="str">
        <f t="shared" si="2"/>
        <v/>
      </c>
      <c r="H6151" s="94" t="str">
        <f t="shared" si="3"/>
        <v/>
      </c>
      <c r="I6151" s="94" t="str">
        <f t="shared" ref="I6151:J6151" si="6152">if(G6151 = "", , -G6151)</f>
        <v/>
      </c>
      <c r="J6151" s="94" t="str">
        <f t="shared" si="6152"/>
        <v/>
      </c>
      <c r="K6151" s="100"/>
      <c r="M6151" s="100"/>
      <c r="N6151" s="100"/>
      <c r="O6151" s="100"/>
      <c r="P6151" s="100"/>
    </row>
    <row r="6152">
      <c r="A6152" s="107">
        <v>1630643.0</v>
      </c>
      <c r="B6152" s="116" t="s">
        <v>215</v>
      </c>
      <c r="C6152" s="116" t="s">
        <v>1519</v>
      </c>
      <c r="D6152" s="24" t="s">
        <v>181</v>
      </c>
      <c r="E6152" s="24">
        <v>20.4</v>
      </c>
      <c r="F6152" s="111" t="str">
        <f>DataPull!D6152</f>
        <v/>
      </c>
      <c r="G6152" s="94" t="str">
        <f t="shared" si="2"/>
        <v/>
      </c>
      <c r="H6152" s="94" t="str">
        <f t="shared" si="3"/>
        <v/>
      </c>
      <c r="I6152" s="94" t="str">
        <f t="shared" ref="I6152:J6152" si="6153">if(G6152 = "", , -G6152)</f>
        <v/>
      </c>
      <c r="J6152" s="94" t="str">
        <f t="shared" si="6153"/>
        <v/>
      </c>
      <c r="K6152" s="100"/>
      <c r="M6152" s="100"/>
      <c r="N6152" s="100"/>
      <c r="O6152" s="100"/>
      <c r="P6152" s="100"/>
    </row>
    <row r="6153">
      <c r="A6153" s="107">
        <v>1630643.0</v>
      </c>
      <c r="B6153" s="116" t="s">
        <v>244</v>
      </c>
      <c r="C6153" s="116" t="s">
        <v>1519</v>
      </c>
      <c r="D6153" s="24" t="s">
        <v>181</v>
      </c>
      <c r="E6153" s="24">
        <v>95.2</v>
      </c>
      <c r="F6153" s="111" t="str">
        <f>DataPull!D6153</f>
        <v/>
      </c>
      <c r="G6153" s="94" t="str">
        <f t="shared" si="2"/>
        <v/>
      </c>
      <c r="H6153" s="94" t="str">
        <f t="shared" si="3"/>
        <v/>
      </c>
      <c r="I6153" s="94" t="str">
        <f t="shared" ref="I6153:J6153" si="6154">if(G6153 = "", , -G6153)</f>
        <v/>
      </c>
      <c r="J6153" s="94" t="str">
        <f t="shared" si="6154"/>
        <v/>
      </c>
      <c r="K6153" s="100"/>
      <c r="M6153" s="100"/>
      <c r="N6153" s="100"/>
      <c r="O6153" s="100"/>
      <c r="P6153" s="100"/>
    </row>
    <row r="6154">
      <c r="A6154" s="107">
        <v>1630643.0</v>
      </c>
      <c r="B6154" s="116" t="s">
        <v>245</v>
      </c>
      <c r="C6154" s="116" t="s">
        <v>1519</v>
      </c>
      <c r="D6154" s="24" t="s">
        <v>187</v>
      </c>
      <c r="E6154" s="24">
        <v>50.0</v>
      </c>
      <c r="F6154" s="111" t="str">
        <f>DataPull!D6154</f>
        <v/>
      </c>
      <c r="G6154" s="94" t="str">
        <f t="shared" si="2"/>
        <v/>
      </c>
      <c r="H6154" s="94" t="str">
        <f t="shared" si="3"/>
        <v/>
      </c>
      <c r="I6154" s="94" t="str">
        <f t="shared" ref="I6154:J6154" si="6155">if(G6154 = "", , -G6154)</f>
        <v/>
      </c>
      <c r="J6154" s="94" t="str">
        <f t="shared" si="6155"/>
        <v/>
      </c>
      <c r="K6154" s="100"/>
      <c r="M6154" s="100"/>
      <c r="N6154" s="100"/>
      <c r="O6154" s="100"/>
      <c r="P6154" s="100"/>
    </row>
    <row r="6155">
      <c r="A6155" s="107">
        <v>1630643.0</v>
      </c>
      <c r="B6155" s="116" t="s">
        <v>246</v>
      </c>
      <c r="C6155" s="116" t="s">
        <v>1519</v>
      </c>
      <c r="D6155" s="24" t="s">
        <v>177</v>
      </c>
      <c r="E6155" s="24">
        <v>748.8</v>
      </c>
      <c r="F6155" s="111" t="str">
        <f>DataPull!D6155</f>
        <v/>
      </c>
      <c r="G6155" s="94" t="str">
        <f t="shared" si="2"/>
        <v/>
      </c>
      <c r="H6155" s="94" t="str">
        <f t="shared" si="3"/>
        <v/>
      </c>
      <c r="I6155" s="94" t="str">
        <f t="shared" ref="I6155:J6155" si="6156">if(G6155 = "", , -G6155)</f>
        <v/>
      </c>
      <c r="J6155" s="94" t="str">
        <f t="shared" si="6156"/>
        <v/>
      </c>
      <c r="K6155" s="100"/>
      <c r="M6155" s="100"/>
      <c r="N6155" s="100"/>
      <c r="O6155" s="100"/>
      <c r="P6155" s="100"/>
    </row>
    <row r="6156">
      <c r="A6156" s="114">
        <v>1630643.0</v>
      </c>
      <c r="B6156" s="131" t="s">
        <v>247</v>
      </c>
      <c r="C6156" s="131" t="s">
        <v>1519</v>
      </c>
      <c r="D6156" s="24" t="s">
        <v>176</v>
      </c>
      <c r="E6156" s="24">
        <v>1722.0</v>
      </c>
      <c r="F6156" s="111" t="str">
        <f>DataPull!D6156</f>
        <v/>
      </c>
      <c r="G6156" s="94" t="str">
        <f t="shared" si="2"/>
        <v/>
      </c>
      <c r="H6156" s="94" t="str">
        <f t="shared" si="3"/>
        <v/>
      </c>
      <c r="I6156" s="94" t="str">
        <f t="shared" ref="I6156:J6156" si="6157">if(G6156 = "", , -G6156)</f>
        <v/>
      </c>
      <c r="J6156" s="94" t="str">
        <f t="shared" si="6157"/>
        <v/>
      </c>
      <c r="K6156" s="100"/>
      <c r="M6156" s="100"/>
      <c r="N6156" s="100"/>
      <c r="O6156" s="100"/>
      <c r="P6156" s="100"/>
    </row>
    <row r="6157">
      <c r="A6157" s="107">
        <v>1630644.0</v>
      </c>
      <c r="B6157" s="116" t="s">
        <v>215</v>
      </c>
      <c r="C6157" s="116" t="s">
        <v>1520</v>
      </c>
      <c r="D6157" s="24" t="s">
        <v>181</v>
      </c>
      <c r="E6157" s="24">
        <v>24.4</v>
      </c>
      <c r="F6157" s="111" t="str">
        <f>DataPull!D6157</f>
        <v/>
      </c>
      <c r="G6157" s="94" t="str">
        <f t="shared" si="2"/>
        <v/>
      </c>
      <c r="H6157" s="94" t="str">
        <f t="shared" si="3"/>
        <v/>
      </c>
      <c r="I6157" s="94" t="str">
        <f t="shared" ref="I6157:J6157" si="6158">if(G6157 = "", , -G6157)</f>
        <v/>
      </c>
      <c r="J6157" s="94" t="str">
        <f t="shared" si="6158"/>
        <v/>
      </c>
      <c r="K6157" s="100"/>
      <c r="M6157" s="100"/>
      <c r="N6157" s="100"/>
      <c r="O6157" s="100"/>
      <c r="P6157" s="100"/>
    </row>
    <row r="6158">
      <c r="A6158" s="107">
        <v>1630644.0</v>
      </c>
      <c r="B6158" s="116" t="s">
        <v>244</v>
      </c>
      <c r="C6158" s="116" t="s">
        <v>1520</v>
      </c>
      <c r="D6158" s="24" t="s">
        <v>181</v>
      </c>
      <c r="E6158" s="24">
        <v>41.0</v>
      </c>
      <c r="F6158" s="111" t="str">
        <f>DataPull!D6158</f>
        <v/>
      </c>
      <c r="G6158" s="94" t="str">
        <f t="shared" si="2"/>
        <v/>
      </c>
      <c r="H6158" s="94" t="str">
        <f t="shared" si="3"/>
        <v/>
      </c>
      <c r="I6158" s="94" t="str">
        <f t="shared" ref="I6158:J6158" si="6159">if(G6158 = "", , -G6158)</f>
        <v/>
      </c>
      <c r="J6158" s="94" t="str">
        <f t="shared" si="6159"/>
        <v/>
      </c>
      <c r="K6158" s="100"/>
      <c r="M6158" s="100"/>
      <c r="N6158" s="100"/>
      <c r="O6158" s="100"/>
      <c r="P6158" s="100"/>
    </row>
    <row r="6159">
      <c r="A6159" s="107">
        <v>1630644.0</v>
      </c>
      <c r="B6159" s="116" t="s">
        <v>246</v>
      </c>
      <c r="C6159" s="116" t="s">
        <v>1520</v>
      </c>
      <c r="D6159" s="24" t="s">
        <v>181</v>
      </c>
      <c r="E6159" s="24">
        <v>10.2</v>
      </c>
      <c r="F6159" s="111" t="str">
        <f>DataPull!D6159</f>
        <v/>
      </c>
      <c r="G6159" s="94" t="str">
        <f t="shared" si="2"/>
        <v/>
      </c>
      <c r="H6159" s="94" t="str">
        <f t="shared" si="3"/>
        <v/>
      </c>
      <c r="I6159" s="94" t="str">
        <f t="shared" ref="I6159:J6159" si="6160">if(G6159 = "", , -G6159)</f>
        <v/>
      </c>
      <c r="J6159" s="94" t="str">
        <f t="shared" si="6160"/>
        <v/>
      </c>
      <c r="K6159" s="100"/>
      <c r="M6159" s="100"/>
      <c r="N6159" s="100"/>
      <c r="O6159" s="100"/>
      <c r="P6159" s="100"/>
    </row>
    <row r="6160">
      <c r="A6160" s="114">
        <v>1630644.0</v>
      </c>
      <c r="B6160" s="131" t="s">
        <v>247</v>
      </c>
      <c r="C6160" s="131" t="s">
        <v>1520</v>
      </c>
      <c r="D6160" s="24" t="s">
        <v>181</v>
      </c>
      <c r="E6160" s="24">
        <v>135.3</v>
      </c>
      <c r="F6160" s="111" t="str">
        <f>DataPull!D6160</f>
        <v/>
      </c>
      <c r="G6160" s="94" t="str">
        <f t="shared" si="2"/>
        <v/>
      </c>
      <c r="H6160" s="94" t="str">
        <f t="shared" si="3"/>
        <v/>
      </c>
      <c r="I6160" s="94" t="str">
        <f t="shared" ref="I6160:J6160" si="6161">if(G6160 = "", , -G6160)</f>
        <v/>
      </c>
      <c r="J6160" s="94" t="str">
        <f t="shared" si="6161"/>
        <v/>
      </c>
      <c r="K6160" s="100"/>
      <c r="M6160" s="100"/>
      <c r="N6160" s="100"/>
      <c r="O6160" s="100"/>
      <c r="P6160" s="100"/>
    </row>
    <row r="6161">
      <c r="A6161" s="107">
        <v>1630647.0</v>
      </c>
      <c r="B6161" s="116" t="s">
        <v>215</v>
      </c>
      <c r="C6161" s="116" t="s">
        <v>1521</v>
      </c>
      <c r="D6161" s="24" t="s">
        <v>181</v>
      </c>
      <c r="E6161" s="24">
        <v>18.0</v>
      </c>
      <c r="F6161" s="111" t="str">
        <f>DataPull!D6161</f>
        <v/>
      </c>
      <c r="G6161" s="94" t="str">
        <f t="shared" si="2"/>
        <v/>
      </c>
      <c r="H6161" s="94" t="str">
        <f t="shared" si="3"/>
        <v/>
      </c>
      <c r="I6161" s="94" t="str">
        <f t="shared" ref="I6161:J6161" si="6162">if(G6161 = "", , -G6161)</f>
        <v/>
      </c>
      <c r="J6161" s="94" t="str">
        <f t="shared" si="6162"/>
        <v/>
      </c>
      <c r="K6161" s="100"/>
      <c r="M6161" s="100"/>
      <c r="N6161" s="100"/>
      <c r="O6161" s="100"/>
      <c r="P6161" s="100"/>
    </row>
    <row r="6162">
      <c r="A6162" s="107">
        <v>1630647.0</v>
      </c>
      <c r="B6162" s="116" t="s">
        <v>244</v>
      </c>
      <c r="C6162" s="116" t="s">
        <v>1521</v>
      </c>
      <c r="D6162" s="24" t="s">
        <v>187</v>
      </c>
      <c r="E6162" s="24">
        <v>644.0</v>
      </c>
      <c r="F6162" s="111" t="str">
        <f>DataPull!D6162</f>
        <v/>
      </c>
      <c r="G6162" s="94" t="str">
        <f t="shared" si="2"/>
        <v/>
      </c>
      <c r="H6162" s="94" t="str">
        <f t="shared" si="3"/>
        <v/>
      </c>
      <c r="I6162" s="94" t="str">
        <f t="shared" ref="I6162:J6162" si="6163">if(G6162 = "", , -G6162)</f>
        <v/>
      </c>
      <c r="J6162" s="94" t="str">
        <f t="shared" si="6163"/>
        <v/>
      </c>
      <c r="K6162" s="100"/>
      <c r="M6162" s="100"/>
      <c r="N6162" s="100"/>
      <c r="O6162" s="100"/>
      <c r="P6162" s="100"/>
    </row>
    <row r="6163">
      <c r="A6163" s="107">
        <v>1630647.0</v>
      </c>
      <c r="B6163" s="116" t="s">
        <v>245</v>
      </c>
      <c r="C6163" s="116" t="s">
        <v>1521</v>
      </c>
      <c r="D6163" s="24" t="s">
        <v>187</v>
      </c>
      <c r="E6163" s="24">
        <v>391.3</v>
      </c>
      <c r="F6163" s="111" t="str">
        <f>DataPull!D6163</f>
        <v/>
      </c>
      <c r="G6163" s="94" t="str">
        <f t="shared" si="2"/>
        <v/>
      </c>
      <c r="H6163" s="94" t="str">
        <f t="shared" si="3"/>
        <v/>
      </c>
      <c r="I6163" s="94" t="str">
        <f t="shared" ref="I6163:J6163" si="6164">if(G6163 = "", , -G6163)</f>
        <v/>
      </c>
      <c r="J6163" s="94" t="str">
        <f t="shared" si="6164"/>
        <v/>
      </c>
      <c r="K6163" s="100"/>
      <c r="M6163" s="100"/>
      <c r="N6163" s="100"/>
      <c r="O6163" s="100"/>
      <c r="P6163" s="100"/>
    </row>
    <row r="6164">
      <c r="A6164" s="107">
        <v>1630648.0</v>
      </c>
      <c r="B6164" s="116" t="s">
        <v>215</v>
      </c>
      <c r="C6164" s="116" t="s">
        <v>1522</v>
      </c>
      <c r="D6164" s="24" t="s">
        <v>181</v>
      </c>
      <c r="E6164" s="24">
        <v>30.4</v>
      </c>
      <c r="F6164" s="111" t="str">
        <f>DataPull!D6164</f>
        <v/>
      </c>
      <c r="G6164" s="94" t="str">
        <f t="shared" si="2"/>
        <v/>
      </c>
      <c r="H6164" s="94" t="str">
        <f t="shared" si="3"/>
        <v/>
      </c>
      <c r="I6164" s="94" t="str">
        <f t="shared" ref="I6164:J6164" si="6165">if(G6164 = "", , -G6164)</f>
        <v/>
      </c>
      <c r="J6164" s="94" t="str">
        <f t="shared" si="6165"/>
        <v/>
      </c>
      <c r="K6164" s="100"/>
      <c r="M6164" s="100"/>
      <c r="N6164" s="100"/>
      <c r="O6164" s="100"/>
      <c r="P6164" s="100"/>
    </row>
    <row r="6165">
      <c r="A6165" s="107">
        <v>1630648.0</v>
      </c>
      <c r="B6165" s="116" t="s">
        <v>244</v>
      </c>
      <c r="C6165" s="116" t="s">
        <v>1522</v>
      </c>
      <c r="D6165" s="24" t="s">
        <v>181</v>
      </c>
      <c r="E6165" s="24">
        <v>6.2</v>
      </c>
      <c r="F6165" s="111" t="str">
        <f>DataPull!D6165</f>
        <v/>
      </c>
      <c r="G6165" s="94" t="str">
        <f t="shared" si="2"/>
        <v/>
      </c>
      <c r="H6165" s="94" t="str">
        <f t="shared" si="3"/>
        <v/>
      </c>
      <c r="I6165" s="94" t="str">
        <f t="shared" ref="I6165:J6165" si="6166">if(G6165 = "", , -G6165)</f>
        <v/>
      </c>
      <c r="J6165" s="94" t="str">
        <f t="shared" si="6166"/>
        <v/>
      </c>
      <c r="K6165" s="100"/>
      <c r="M6165" s="100"/>
      <c r="N6165" s="100"/>
      <c r="O6165" s="100"/>
      <c r="P6165" s="100"/>
    </row>
    <row r="6166">
      <c r="A6166" s="107">
        <v>1630649.0</v>
      </c>
      <c r="B6166" s="116" t="s">
        <v>244</v>
      </c>
      <c r="C6166" s="116" t="s">
        <v>1523</v>
      </c>
      <c r="D6166" s="24" t="s">
        <v>181</v>
      </c>
      <c r="E6166" s="24">
        <v>2.1</v>
      </c>
      <c r="F6166" s="111" t="str">
        <f>DataPull!D6166</f>
        <v/>
      </c>
      <c r="G6166" s="94" t="str">
        <f t="shared" si="2"/>
        <v/>
      </c>
      <c r="H6166" s="94" t="str">
        <f t="shared" si="3"/>
        <v/>
      </c>
      <c r="I6166" s="94" t="str">
        <f t="shared" ref="I6166:J6166" si="6167">if(G6166 = "", , -G6166)</f>
        <v/>
      </c>
      <c r="J6166" s="94" t="str">
        <f t="shared" si="6167"/>
        <v/>
      </c>
      <c r="K6166" s="100"/>
      <c r="M6166" s="100"/>
      <c r="N6166" s="100"/>
      <c r="O6166" s="100"/>
      <c r="P6166" s="100"/>
    </row>
    <row r="6167">
      <c r="A6167" s="107">
        <v>1630649.0</v>
      </c>
      <c r="B6167" s="116" t="s">
        <v>245</v>
      </c>
      <c r="C6167" s="116" t="s">
        <v>1523</v>
      </c>
      <c r="D6167" s="24" t="s">
        <v>177</v>
      </c>
      <c r="E6167" s="24">
        <v>307.2</v>
      </c>
      <c r="F6167" s="111" t="str">
        <f>DataPull!D6167</f>
        <v/>
      </c>
      <c r="G6167" s="94" t="str">
        <f t="shared" si="2"/>
        <v/>
      </c>
      <c r="H6167" s="94" t="str">
        <f t="shared" si="3"/>
        <v/>
      </c>
      <c r="I6167" s="94" t="str">
        <f t="shared" ref="I6167:J6167" si="6168">if(G6167 = "", , -G6167)</f>
        <v/>
      </c>
      <c r="J6167" s="94" t="str">
        <f t="shared" si="6168"/>
        <v/>
      </c>
      <c r="K6167" s="100"/>
      <c r="M6167" s="100"/>
      <c r="N6167" s="100"/>
      <c r="O6167" s="100"/>
      <c r="P6167" s="100"/>
    </row>
    <row r="6168">
      <c r="A6168" s="107">
        <v>1630649.0</v>
      </c>
      <c r="B6168" s="116" t="s">
        <v>246</v>
      </c>
      <c r="C6168" s="116" t="s">
        <v>1523</v>
      </c>
      <c r="D6168" s="24" t="s">
        <v>187</v>
      </c>
      <c r="E6168" s="24">
        <v>85.8</v>
      </c>
      <c r="F6168" s="111" t="str">
        <f>DataPull!D6168</f>
        <v/>
      </c>
      <c r="G6168" s="94" t="str">
        <f t="shared" si="2"/>
        <v/>
      </c>
      <c r="H6168" s="94" t="str">
        <f t="shared" si="3"/>
        <v/>
      </c>
      <c r="I6168" s="94" t="str">
        <f t="shared" ref="I6168:J6168" si="6169">if(G6168 = "", , -G6168)</f>
        <v/>
      </c>
      <c r="J6168" s="94" t="str">
        <f t="shared" si="6169"/>
        <v/>
      </c>
      <c r="K6168" s="100"/>
      <c r="M6168" s="100"/>
      <c r="N6168" s="100"/>
      <c r="O6168" s="100"/>
      <c r="P6168" s="100"/>
    </row>
    <row r="6169">
      <c r="A6169" s="126">
        <v>1630649.0</v>
      </c>
      <c r="B6169" s="141" t="s">
        <v>247</v>
      </c>
      <c r="C6169" s="141" t="s">
        <v>1523</v>
      </c>
      <c r="D6169" s="24" t="s">
        <v>181</v>
      </c>
      <c r="E6169" s="24">
        <v>6.6</v>
      </c>
      <c r="F6169" s="111" t="str">
        <f>DataPull!D6169</f>
        <v/>
      </c>
      <c r="G6169" s="94" t="str">
        <f t="shared" si="2"/>
        <v/>
      </c>
      <c r="H6169" s="94" t="str">
        <f t="shared" si="3"/>
        <v/>
      </c>
      <c r="I6169" s="94" t="str">
        <f t="shared" ref="I6169:J6169" si="6170">if(G6169 = "", , -G6169)</f>
        <v/>
      </c>
      <c r="J6169" s="94" t="str">
        <f t="shared" si="6170"/>
        <v/>
      </c>
      <c r="K6169" s="100"/>
      <c r="M6169" s="100"/>
      <c r="N6169" s="100"/>
      <c r="O6169" s="100"/>
      <c r="P6169" s="100"/>
    </row>
    <row r="6170">
      <c r="A6170" s="107">
        <v>1630658.0</v>
      </c>
      <c r="B6170" s="116" t="s">
        <v>245</v>
      </c>
      <c r="C6170" s="116" t="s">
        <v>1524</v>
      </c>
      <c r="D6170" s="24" t="s">
        <v>187</v>
      </c>
      <c r="E6170" s="24">
        <v>59.2</v>
      </c>
      <c r="F6170" s="111" t="str">
        <f>DataPull!D6170</f>
        <v/>
      </c>
      <c r="G6170" s="94" t="str">
        <f t="shared" si="2"/>
        <v/>
      </c>
      <c r="H6170" s="94" t="str">
        <f t="shared" si="3"/>
        <v/>
      </c>
      <c r="I6170" s="94" t="str">
        <f t="shared" ref="I6170:J6170" si="6171">if(G6170 = "", , -G6170)</f>
        <v/>
      </c>
      <c r="J6170" s="94" t="str">
        <f t="shared" si="6171"/>
        <v/>
      </c>
      <c r="K6170" s="100"/>
      <c r="M6170" s="100"/>
      <c r="N6170" s="100"/>
      <c r="O6170" s="100"/>
      <c r="P6170" s="100"/>
    </row>
    <row r="6171">
      <c r="A6171" s="107">
        <v>1630658.0</v>
      </c>
      <c r="B6171" s="116" t="s">
        <v>246</v>
      </c>
      <c r="C6171" s="116" t="s">
        <v>1524</v>
      </c>
      <c r="D6171" s="24" t="s">
        <v>176</v>
      </c>
      <c r="E6171" s="24">
        <v>431.6</v>
      </c>
      <c r="F6171" s="111" t="str">
        <f>DataPull!D6171</f>
        <v/>
      </c>
      <c r="G6171" s="94" t="str">
        <f t="shared" si="2"/>
        <v/>
      </c>
      <c r="H6171" s="94" t="str">
        <f t="shared" si="3"/>
        <v/>
      </c>
      <c r="I6171" s="94" t="str">
        <f t="shared" ref="I6171:J6171" si="6172">if(G6171 = "", , -G6171)</f>
        <v/>
      </c>
      <c r="J6171" s="94" t="str">
        <f t="shared" si="6172"/>
        <v/>
      </c>
      <c r="K6171" s="100"/>
      <c r="M6171" s="100"/>
      <c r="N6171" s="100"/>
      <c r="O6171" s="100"/>
      <c r="P6171" s="100"/>
    </row>
    <row r="6172">
      <c r="A6172" s="126">
        <v>1630658.0</v>
      </c>
      <c r="B6172" s="141" t="s">
        <v>247</v>
      </c>
      <c r="C6172" s="141" t="s">
        <v>1524</v>
      </c>
      <c r="D6172" s="24"/>
      <c r="E6172" s="24">
        <v>21.2</v>
      </c>
      <c r="F6172" s="111" t="str">
        <f>DataPull!D6172</f>
        <v/>
      </c>
      <c r="G6172" s="94" t="str">
        <f t="shared" si="2"/>
        <v/>
      </c>
      <c r="H6172" s="94" t="str">
        <f t="shared" si="3"/>
        <v/>
      </c>
      <c r="I6172" s="94" t="str">
        <f t="shared" ref="I6172:J6172" si="6173">if(G6172 = "", , -G6172)</f>
        <v/>
      </c>
      <c r="J6172" s="94" t="str">
        <f t="shared" si="6173"/>
        <v/>
      </c>
      <c r="K6172" s="100"/>
      <c r="M6172" s="100"/>
      <c r="N6172" s="100"/>
      <c r="O6172" s="100"/>
      <c r="P6172" s="100"/>
    </row>
    <row r="6173">
      <c r="A6173" s="107">
        <v>1630678.0</v>
      </c>
      <c r="B6173" s="116" t="s">
        <v>215</v>
      </c>
      <c r="C6173" s="116" t="s">
        <v>1525</v>
      </c>
      <c r="D6173" s="24" t="s">
        <v>177</v>
      </c>
      <c r="E6173" s="24">
        <v>712.8</v>
      </c>
      <c r="F6173" s="111" t="str">
        <f>DataPull!D6173</f>
        <v/>
      </c>
      <c r="G6173" s="94" t="str">
        <f t="shared" si="2"/>
        <v/>
      </c>
      <c r="H6173" s="94" t="str">
        <f t="shared" si="3"/>
        <v/>
      </c>
      <c r="I6173" s="94" t="str">
        <f t="shared" ref="I6173:J6173" si="6174">if(G6173 = "", , -G6173)</f>
        <v/>
      </c>
      <c r="J6173" s="94" t="str">
        <f t="shared" si="6174"/>
        <v/>
      </c>
      <c r="K6173" s="100"/>
      <c r="M6173" s="100"/>
      <c r="N6173" s="100"/>
      <c r="O6173" s="100"/>
      <c r="P6173" s="100"/>
    </row>
    <row r="6174">
      <c r="A6174" s="107">
        <v>1630678.0</v>
      </c>
      <c r="B6174" s="116" t="s">
        <v>244</v>
      </c>
      <c r="C6174" s="116" t="s">
        <v>1525</v>
      </c>
      <c r="D6174" s="24" t="s">
        <v>187</v>
      </c>
      <c r="E6174" s="24">
        <v>263.5</v>
      </c>
      <c r="F6174" s="111" t="str">
        <f>DataPull!D6174</f>
        <v/>
      </c>
      <c r="G6174" s="94" t="str">
        <f t="shared" si="2"/>
        <v/>
      </c>
      <c r="H6174" s="94" t="str">
        <f t="shared" si="3"/>
        <v/>
      </c>
      <c r="I6174" s="94" t="str">
        <f t="shared" ref="I6174:J6174" si="6175">if(G6174 = "", , -G6174)</f>
        <v/>
      </c>
      <c r="J6174" s="94" t="str">
        <f t="shared" si="6175"/>
        <v/>
      </c>
      <c r="K6174" s="100"/>
      <c r="M6174" s="100"/>
      <c r="N6174" s="100"/>
      <c r="O6174" s="100"/>
      <c r="P6174" s="100"/>
    </row>
    <row r="6175">
      <c r="A6175" s="107">
        <v>1630678.0</v>
      </c>
      <c r="B6175" s="116" t="s">
        <v>245</v>
      </c>
      <c r="C6175" s="116" t="s">
        <v>1525</v>
      </c>
      <c r="D6175" s="24" t="s">
        <v>187</v>
      </c>
      <c r="E6175" s="24">
        <v>189.1</v>
      </c>
      <c r="F6175" s="111" t="str">
        <f>DataPull!D6175</f>
        <v/>
      </c>
      <c r="G6175" s="94" t="str">
        <f t="shared" si="2"/>
        <v/>
      </c>
      <c r="H6175" s="94" t="str">
        <f t="shared" si="3"/>
        <v/>
      </c>
      <c r="I6175" s="94" t="str">
        <f t="shared" ref="I6175:J6175" si="6176">if(G6175 = "", , -G6175)</f>
        <v/>
      </c>
      <c r="J6175" s="94" t="str">
        <f t="shared" si="6176"/>
        <v/>
      </c>
      <c r="K6175" s="100"/>
      <c r="M6175" s="100"/>
      <c r="N6175" s="100"/>
      <c r="O6175" s="100"/>
      <c r="P6175" s="100"/>
    </row>
    <row r="6176">
      <c r="A6176" s="123">
        <v>1630678.0</v>
      </c>
      <c r="B6176" s="132" t="s">
        <v>246</v>
      </c>
      <c r="C6176" s="133" t="s">
        <v>1525</v>
      </c>
      <c r="D6176" s="24" t="s">
        <v>181</v>
      </c>
      <c r="E6176" s="24">
        <v>6.3</v>
      </c>
      <c r="F6176" s="111" t="str">
        <f>DataPull!D6176</f>
        <v/>
      </c>
      <c r="G6176" s="94" t="str">
        <f t="shared" si="2"/>
        <v/>
      </c>
      <c r="H6176" s="94" t="str">
        <f t="shared" si="3"/>
        <v/>
      </c>
      <c r="I6176" s="94" t="str">
        <f t="shared" ref="I6176:J6176" si="6177">if(G6176 = "", , -G6176)</f>
        <v/>
      </c>
      <c r="J6176" s="94" t="str">
        <f t="shared" si="6177"/>
        <v/>
      </c>
      <c r="K6176" s="100"/>
      <c r="M6176" s="100"/>
      <c r="N6176" s="100"/>
      <c r="O6176" s="100"/>
      <c r="P6176" s="100"/>
    </row>
    <row r="6177">
      <c r="A6177" s="123">
        <v>1630679.0</v>
      </c>
      <c r="B6177" s="132" t="s">
        <v>246</v>
      </c>
      <c r="C6177" s="133" t="s">
        <v>1526</v>
      </c>
      <c r="D6177" s="142"/>
      <c r="E6177" s="142"/>
      <c r="F6177" s="111" t="str">
        <f>DataPull!D6177</f>
        <v/>
      </c>
      <c r="G6177" s="94" t="str">
        <f t="shared" si="2"/>
        <v/>
      </c>
      <c r="H6177" s="94" t="str">
        <f t="shared" si="3"/>
        <v/>
      </c>
      <c r="I6177" s="94" t="str">
        <f t="shared" ref="I6177:J6177" si="6178">if(G6177 = "", , -G6177)</f>
        <v/>
      </c>
      <c r="J6177" s="94" t="str">
        <f t="shared" si="6178"/>
        <v/>
      </c>
      <c r="K6177" s="100"/>
      <c r="M6177" s="100"/>
      <c r="N6177" s="100"/>
      <c r="O6177" s="100"/>
      <c r="P6177" s="100"/>
    </row>
    <row r="6178">
      <c r="A6178" s="114">
        <v>1630679.0</v>
      </c>
      <c r="B6178" s="131" t="s">
        <v>247</v>
      </c>
      <c r="C6178" s="131" t="s">
        <v>1526</v>
      </c>
      <c r="D6178" s="24" t="s">
        <v>177</v>
      </c>
      <c r="E6178" s="24">
        <v>652.8</v>
      </c>
      <c r="F6178" s="111" t="str">
        <f>DataPull!D6178</f>
        <v/>
      </c>
      <c r="G6178" s="94" t="str">
        <f t="shared" si="2"/>
        <v/>
      </c>
      <c r="H6178" s="94" t="str">
        <f t="shared" si="3"/>
        <v/>
      </c>
      <c r="I6178" s="94" t="str">
        <f t="shared" ref="I6178:J6178" si="6179">if(G6178 = "", , -G6178)</f>
        <v/>
      </c>
      <c r="J6178" s="94" t="str">
        <f t="shared" si="6179"/>
        <v/>
      </c>
      <c r="K6178" s="100"/>
      <c r="M6178" s="100"/>
      <c r="N6178" s="100"/>
      <c r="O6178" s="100"/>
      <c r="P6178" s="100"/>
    </row>
    <row r="6179">
      <c r="A6179" s="107">
        <v>1630686.0</v>
      </c>
      <c r="B6179" s="116" t="s">
        <v>215</v>
      </c>
      <c r="C6179" s="116" t="s">
        <v>1527</v>
      </c>
      <c r="D6179" s="24" t="s">
        <v>187</v>
      </c>
      <c r="E6179" s="24">
        <v>213.2</v>
      </c>
      <c r="F6179" s="111" t="str">
        <f>DataPull!D6179</f>
        <v/>
      </c>
      <c r="G6179" s="94" t="str">
        <f t="shared" si="2"/>
        <v/>
      </c>
      <c r="H6179" s="94" t="str">
        <f t="shared" si="3"/>
        <v/>
      </c>
      <c r="I6179" s="94" t="str">
        <f t="shared" ref="I6179:J6179" si="6180">if(G6179 = "", , -G6179)</f>
        <v/>
      </c>
      <c r="J6179" s="94" t="str">
        <f t="shared" si="6180"/>
        <v/>
      </c>
      <c r="K6179" s="100"/>
      <c r="M6179" s="100"/>
      <c r="N6179" s="100"/>
      <c r="O6179" s="100"/>
      <c r="P6179" s="100"/>
    </row>
    <row r="6180">
      <c r="A6180" s="107">
        <v>1630688.0</v>
      </c>
      <c r="B6180" s="116" t="s">
        <v>215</v>
      </c>
      <c r="C6180" s="116" t="s">
        <v>1528</v>
      </c>
      <c r="D6180" s="24" t="s">
        <v>187</v>
      </c>
      <c r="E6180" s="24">
        <v>360.0</v>
      </c>
      <c r="F6180" s="111" t="str">
        <f>DataPull!D6180</f>
        <v/>
      </c>
      <c r="G6180" s="94" t="str">
        <f t="shared" si="2"/>
        <v/>
      </c>
      <c r="H6180" s="94" t="str">
        <f t="shared" si="3"/>
        <v/>
      </c>
      <c r="I6180" s="94" t="str">
        <f t="shared" ref="I6180:J6180" si="6181">if(G6180 = "", , -G6180)</f>
        <v/>
      </c>
      <c r="J6180" s="94" t="str">
        <f t="shared" si="6181"/>
        <v/>
      </c>
      <c r="K6180" s="100"/>
      <c r="M6180" s="100"/>
      <c r="N6180" s="100"/>
      <c r="O6180" s="100"/>
      <c r="P6180" s="100"/>
    </row>
    <row r="6181">
      <c r="A6181" s="107">
        <v>1630688.0</v>
      </c>
      <c r="B6181" s="116" t="s">
        <v>244</v>
      </c>
      <c r="C6181" s="116" t="s">
        <v>1528</v>
      </c>
      <c r="D6181" s="24" t="s">
        <v>177</v>
      </c>
      <c r="E6181" s="24">
        <v>918.0</v>
      </c>
      <c r="F6181" s="111" t="str">
        <f>DataPull!D6181</f>
        <v/>
      </c>
      <c r="G6181" s="94" t="str">
        <f t="shared" si="2"/>
        <v/>
      </c>
      <c r="H6181" s="94" t="str">
        <f t="shared" si="3"/>
        <v/>
      </c>
      <c r="I6181" s="94" t="str">
        <f t="shared" ref="I6181:J6181" si="6182">if(G6181 = "", , -G6181)</f>
        <v/>
      </c>
      <c r="J6181" s="94" t="str">
        <f t="shared" si="6182"/>
        <v/>
      </c>
      <c r="K6181" s="100"/>
      <c r="M6181" s="100"/>
      <c r="N6181" s="100"/>
      <c r="O6181" s="100"/>
      <c r="P6181" s="100"/>
    </row>
    <row r="6182">
      <c r="A6182" s="107">
        <v>1630688.0</v>
      </c>
      <c r="B6182" s="116" t="s">
        <v>245</v>
      </c>
      <c r="C6182" s="116" t="s">
        <v>1528</v>
      </c>
      <c r="D6182" s="24" t="s">
        <v>181</v>
      </c>
      <c r="E6182" s="24">
        <v>62.7</v>
      </c>
      <c r="F6182" s="111" t="str">
        <f>DataPull!D6182</f>
        <v/>
      </c>
      <c r="G6182" s="94" t="str">
        <f t="shared" si="2"/>
        <v/>
      </c>
      <c r="H6182" s="94" t="str">
        <f t="shared" si="3"/>
        <v/>
      </c>
      <c r="I6182" s="94" t="str">
        <f t="shared" ref="I6182:J6182" si="6183">if(G6182 = "", , -G6182)</f>
        <v/>
      </c>
      <c r="J6182" s="94" t="str">
        <f t="shared" si="6183"/>
        <v/>
      </c>
      <c r="K6182" s="100"/>
      <c r="M6182" s="100"/>
      <c r="N6182" s="100"/>
      <c r="O6182" s="100"/>
      <c r="P6182" s="100"/>
    </row>
    <row r="6183">
      <c r="A6183" s="107">
        <v>1630691.0</v>
      </c>
      <c r="B6183" s="116" t="s">
        <v>215</v>
      </c>
      <c r="C6183" s="116" t="s">
        <v>1529</v>
      </c>
      <c r="D6183" s="24" t="s">
        <v>187</v>
      </c>
      <c r="E6183" s="24">
        <v>176.8</v>
      </c>
      <c r="F6183" s="111" t="str">
        <f>DataPull!D6183</f>
        <v/>
      </c>
      <c r="G6183" s="94" t="str">
        <f t="shared" si="2"/>
        <v/>
      </c>
      <c r="H6183" s="94" t="str">
        <f t="shared" si="3"/>
        <v/>
      </c>
      <c r="I6183" s="94" t="str">
        <f t="shared" ref="I6183:J6183" si="6184">if(G6183 = "", , -G6183)</f>
        <v/>
      </c>
      <c r="J6183" s="94" t="str">
        <f t="shared" si="6184"/>
        <v/>
      </c>
      <c r="K6183" s="100"/>
      <c r="M6183" s="100"/>
      <c r="N6183" s="100"/>
      <c r="O6183" s="100"/>
      <c r="P6183" s="100"/>
    </row>
    <row r="6184">
      <c r="A6184" s="107">
        <v>1630692.0</v>
      </c>
      <c r="B6184" s="116" t="s">
        <v>215</v>
      </c>
      <c r="C6184" s="116" t="s">
        <v>1530</v>
      </c>
      <c r="D6184" s="24" t="s">
        <v>181</v>
      </c>
      <c r="E6184" s="24">
        <v>6.0</v>
      </c>
      <c r="F6184" s="111" t="str">
        <f>DataPull!D6184</f>
        <v/>
      </c>
      <c r="G6184" s="94" t="str">
        <f t="shared" si="2"/>
        <v/>
      </c>
      <c r="H6184" s="94" t="str">
        <f t="shared" si="3"/>
        <v/>
      </c>
      <c r="I6184" s="94" t="str">
        <f t="shared" ref="I6184:J6184" si="6185">if(G6184 = "", , -G6184)</f>
        <v/>
      </c>
      <c r="J6184" s="94" t="str">
        <f t="shared" si="6185"/>
        <v/>
      </c>
      <c r="K6184" s="100"/>
      <c r="M6184" s="100"/>
      <c r="N6184" s="100"/>
      <c r="O6184" s="100"/>
      <c r="P6184" s="100"/>
    </row>
    <row r="6185">
      <c r="A6185" s="107">
        <v>1630692.0</v>
      </c>
      <c r="B6185" s="116" t="s">
        <v>244</v>
      </c>
      <c r="C6185" s="116" t="s">
        <v>1530</v>
      </c>
      <c r="D6185" s="24" t="s">
        <v>177</v>
      </c>
      <c r="E6185" s="24">
        <v>1103.6</v>
      </c>
      <c r="F6185" s="111" t="str">
        <f>DataPull!D6185</f>
        <v/>
      </c>
      <c r="G6185" s="94" t="str">
        <f t="shared" si="2"/>
        <v/>
      </c>
      <c r="H6185" s="94" t="str">
        <f t="shared" si="3"/>
        <v/>
      </c>
      <c r="I6185" s="94" t="str">
        <f t="shared" ref="I6185:J6185" si="6186">if(G6185 = "", , -G6185)</f>
        <v/>
      </c>
      <c r="J6185" s="94" t="str">
        <f t="shared" si="6186"/>
        <v/>
      </c>
      <c r="K6185" s="100"/>
      <c r="M6185" s="100"/>
      <c r="N6185" s="100"/>
      <c r="O6185" s="100"/>
      <c r="P6185" s="100"/>
    </row>
    <row r="6186">
      <c r="A6186" s="107">
        <v>1630692.0</v>
      </c>
      <c r="B6186" s="116" t="s">
        <v>245</v>
      </c>
      <c r="C6186" s="116" t="s">
        <v>1530</v>
      </c>
      <c r="D6186" s="24" t="s">
        <v>177</v>
      </c>
      <c r="E6186" s="24">
        <v>1054.5</v>
      </c>
      <c r="F6186" s="111" t="str">
        <f>DataPull!D6186</f>
        <v/>
      </c>
      <c r="G6186" s="94" t="str">
        <f t="shared" si="2"/>
        <v/>
      </c>
      <c r="H6186" s="94" t="str">
        <f t="shared" si="3"/>
        <v/>
      </c>
      <c r="I6186" s="94" t="str">
        <f t="shared" ref="I6186:J6186" si="6187">if(G6186 = "", , -G6186)</f>
        <v/>
      </c>
      <c r="J6186" s="94" t="str">
        <f t="shared" si="6187"/>
        <v/>
      </c>
      <c r="K6186" s="100"/>
      <c r="M6186" s="100"/>
      <c r="N6186" s="100"/>
      <c r="O6186" s="100"/>
      <c r="P6186" s="100"/>
    </row>
    <row r="6187">
      <c r="A6187" s="123">
        <v>1630692.0</v>
      </c>
      <c r="B6187" s="132" t="s">
        <v>246</v>
      </c>
      <c r="C6187" s="133" t="s">
        <v>1530</v>
      </c>
      <c r="D6187" s="142" t="s">
        <v>177</v>
      </c>
      <c r="E6187" s="142">
        <v>542.3</v>
      </c>
      <c r="F6187" s="111" t="str">
        <f>DataPull!D6187</f>
        <v/>
      </c>
      <c r="G6187" s="94" t="str">
        <f t="shared" si="2"/>
        <v/>
      </c>
      <c r="H6187" s="94" t="str">
        <f t="shared" si="3"/>
        <v/>
      </c>
      <c r="I6187" s="94" t="str">
        <f t="shared" ref="I6187:J6187" si="6188">if(G6187 = "", , -G6187)</f>
        <v/>
      </c>
      <c r="J6187" s="94" t="str">
        <f t="shared" si="6188"/>
        <v/>
      </c>
      <c r="K6187" s="100"/>
      <c r="M6187" s="100"/>
      <c r="N6187" s="100"/>
      <c r="O6187" s="100"/>
      <c r="P6187" s="100"/>
    </row>
    <row r="6188">
      <c r="A6188" s="114">
        <v>1630692.0</v>
      </c>
      <c r="B6188" s="131" t="s">
        <v>247</v>
      </c>
      <c r="C6188" s="131" t="s">
        <v>1530</v>
      </c>
      <c r="D6188" s="24" t="s">
        <v>176</v>
      </c>
      <c r="E6188" s="24">
        <v>1575.0</v>
      </c>
      <c r="F6188" s="111" t="str">
        <f>DataPull!D6188</f>
        <v/>
      </c>
      <c r="G6188" s="94" t="str">
        <f t="shared" si="2"/>
        <v/>
      </c>
      <c r="H6188" s="94" t="str">
        <f t="shared" si="3"/>
        <v/>
      </c>
      <c r="I6188" s="94" t="str">
        <f t="shared" ref="I6188:J6188" si="6189">if(G6188 = "", , -G6188)</f>
        <v/>
      </c>
      <c r="J6188" s="94" t="str">
        <f t="shared" si="6189"/>
        <v/>
      </c>
      <c r="K6188" s="100"/>
      <c r="M6188" s="100"/>
      <c r="N6188" s="100"/>
      <c r="O6188" s="100"/>
      <c r="P6188" s="100"/>
    </row>
    <row r="6189">
      <c r="A6189" s="107">
        <v>1630693.0</v>
      </c>
      <c r="B6189" s="116" t="s">
        <v>215</v>
      </c>
      <c r="C6189" s="116" t="s">
        <v>1531</v>
      </c>
      <c r="D6189" s="24"/>
      <c r="E6189" s="24">
        <v>3.1</v>
      </c>
      <c r="F6189" s="111" t="str">
        <f>DataPull!D6189</f>
        <v/>
      </c>
      <c r="G6189" s="94" t="str">
        <f t="shared" si="2"/>
        <v/>
      </c>
      <c r="H6189" s="94" t="str">
        <f t="shared" si="3"/>
        <v/>
      </c>
      <c r="I6189" s="94" t="str">
        <f t="shared" ref="I6189:J6189" si="6190">if(G6189 = "", , -G6189)</f>
        <v/>
      </c>
      <c r="J6189" s="94" t="str">
        <f t="shared" si="6190"/>
        <v/>
      </c>
      <c r="K6189" s="100"/>
      <c r="M6189" s="100"/>
      <c r="N6189" s="100"/>
      <c r="O6189" s="100"/>
      <c r="P6189" s="100"/>
    </row>
    <row r="6190">
      <c r="A6190" s="107">
        <v>1630695.0</v>
      </c>
      <c r="B6190" s="116" t="s">
        <v>215</v>
      </c>
      <c r="C6190" s="116" t="s">
        <v>1532</v>
      </c>
      <c r="D6190" s="24" t="s">
        <v>181</v>
      </c>
      <c r="E6190" s="24">
        <v>30.9</v>
      </c>
      <c r="F6190" s="111" t="str">
        <f>DataPull!D6190</f>
        <v/>
      </c>
      <c r="G6190" s="94" t="str">
        <f t="shared" si="2"/>
        <v/>
      </c>
      <c r="H6190" s="94" t="str">
        <f t="shared" si="3"/>
        <v/>
      </c>
      <c r="I6190" s="94" t="str">
        <f t="shared" ref="I6190:J6190" si="6191">if(G6190 = "", , -G6190)</f>
        <v/>
      </c>
      <c r="J6190" s="94" t="str">
        <f t="shared" si="6191"/>
        <v/>
      </c>
      <c r="K6190" s="100"/>
      <c r="M6190" s="100"/>
      <c r="N6190" s="100"/>
      <c r="O6190" s="100"/>
      <c r="P6190" s="100"/>
    </row>
    <row r="6191">
      <c r="A6191" s="107">
        <v>1630695.0</v>
      </c>
      <c r="B6191" s="116" t="s">
        <v>244</v>
      </c>
      <c r="C6191" s="116" t="s">
        <v>1532</v>
      </c>
      <c r="D6191" s="24" t="s">
        <v>181</v>
      </c>
      <c r="E6191" s="24">
        <v>52.5</v>
      </c>
      <c r="F6191" s="111" t="str">
        <f>DataPull!D6191</f>
        <v/>
      </c>
      <c r="G6191" s="94" t="str">
        <f t="shared" si="2"/>
        <v/>
      </c>
      <c r="H6191" s="94" t="str">
        <f t="shared" si="3"/>
        <v/>
      </c>
      <c r="I6191" s="94" t="str">
        <f t="shared" ref="I6191:J6191" si="6192">if(G6191 = "", , -G6191)</f>
        <v/>
      </c>
      <c r="J6191" s="94" t="str">
        <f t="shared" si="6192"/>
        <v/>
      </c>
      <c r="K6191" s="100"/>
      <c r="M6191" s="100"/>
      <c r="N6191" s="100"/>
      <c r="O6191" s="100"/>
      <c r="P6191" s="100"/>
    </row>
    <row r="6192">
      <c r="A6192" s="107">
        <v>1630695.0</v>
      </c>
      <c r="B6192" s="116" t="s">
        <v>245</v>
      </c>
      <c r="C6192" s="116" t="s">
        <v>1532</v>
      </c>
      <c r="D6192" s="24" t="s">
        <v>187</v>
      </c>
      <c r="E6192" s="24">
        <v>185.6</v>
      </c>
      <c r="F6192" s="111" t="str">
        <f>DataPull!D6192</f>
        <v/>
      </c>
      <c r="G6192" s="94" t="str">
        <f t="shared" si="2"/>
        <v/>
      </c>
      <c r="H6192" s="94" t="str">
        <f t="shared" si="3"/>
        <v/>
      </c>
      <c r="I6192" s="94" t="str">
        <f t="shared" ref="I6192:J6192" si="6193">if(G6192 = "", , -G6192)</f>
        <v/>
      </c>
      <c r="J6192" s="94" t="str">
        <f t="shared" si="6193"/>
        <v/>
      </c>
      <c r="K6192" s="100"/>
      <c r="M6192" s="100"/>
      <c r="N6192" s="100"/>
      <c r="O6192" s="100"/>
      <c r="P6192" s="100"/>
    </row>
    <row r="6193">
      <c r="A6193" s="107">
        <v>1630695.0</v>
      </c>
      <c r="B6193" s="116" t="s">
        <v>246</v>
      </c>
      <c r="C6193" s="116" t="s">
        <v>1532</v>
      </c>
      <c r="D6193" s="24" t="s">
        <v>177</v>
      </c>
      <c r="E6193" s="24">
        <v>706.8</v>
      </c>
      <c r="F6193" s="111" t="str">
        <f>DataPull!D6193</f>
        <v/>
      </c>
      <c r="G6193" s="94" t="str">
        <f t="shared" si="2"/>
        <v/>
      </c>
      <c r="H6193" s="94" t="str">
        <f t="shared" si="3"/>
        <v/>
      </c>
      <c r="I6193" s="94" t="str">
        <f t="shared" ref="I6193:J6193" si="6194">if(G6193 = "", , -G6193)</f>
        <v/>
      </c>
      <c r="J6193" s="94" t="str">
        <f t="shared" si="6194"/>
        <v/>
      </c>
      <c r="K6193" s="100"/>
      <c r="M6193" s="100"/>
      <c r="N6193" s="100"/>
      <c r="O6193" s="100"/>
      <c r="P6193" s="100"/>
    </row>
    <row r="6194">
      <c r="A6194" s="126">
        <v>1630695.0</v>
      </c>
      <c r="B6194" s="141" t="s">
        <v>247</v>
      </c>
      <c r="C6194" s="141" t="s">
        <v>1532</v>
      </c>
      <c r="D6194" s="24" t="s">
        <v>177</v>
      </c>
      <c r="E6194" s="24">
        <v>907.1</v>
      </c>
      <c r="F6194" s="111" t="str">
        <f>DataPull!D6194</f>
        <v/>
      </c>
      <c r="G6194" s="94" t="str">
        <f t="shared" si="2"/>
        <v/>
      </c>
      <c r="H6194" s="94" t="str">
        <f t="shared" si="3"/>
        <v/>
      </c>
      <c r="I6194" s="94" t="str">
        <f t="shared" ref="I6194:J6194" si="6195">if(G6194 = "", , -G6194)</f>
        <v/>
      </c>
      <c r="J6194" s="94" t="str">
        <f t="shared" si="6195"/>
        <v/>
      </c>
      <c r="K6194" s="100"/>
      <c r="M6194" s="100"/>
      <c r="N6194" s="100"/>
      <c r="O6194" s="100"/>
      <c r="P6194" s="100"/>
    </row>
    <row r="6195">
      <c r="A6195" s="107">
        <v>1630696.0</v>
      </c>
      <c r="B6195" s="116" t="s">
        <v>244</v>
      </c>
      <c r="C6195" s="116" t="s">
        <v>1533</v>
      </c>
      <c r="D6195" s="24" t="s">
        <v>187</v>
      </c>
      <c r="E6195" s="24">
        <v>159.0</v>
      </c>
      <c r="F6195" s="111" t="str">
        <f>DataPull!D6195</f>
        <v/>
      </c>
      <c r="G6195" s="94" t="str">
        <f t="shared" si="2"/>
        <v/>
      </c>
      <c r="H6195" s="94" t="str">
        <f t="shared" si="3"/>
        <v/>
      </c>
      <c r="I6195" s="94" t="str">
        <f t="shared" ref="I6195:J6195" si="6196">if(G6195 = "", , -G6195)</f>
        <v/>
      </c>
      <c r="J6195" s="94" t="str">
        <f t="shared" si="6196"/>
        <v/>
      </c>
      <c r="K6195" s="100"/>
      <c r="M6195" s="100"/>
      <c r="N6195" s="100"/>
      <c r="O6195" s="100"/>
      <c r="P6195" s="100"/>
    </row>
    <row r="6196">
      <c r="A6196" s="107">
        <v>1630696.0</v>
      </c>
      <c r="B6196" s="116" t="s">
        <v>245</v>
      </c>
      <c r="C6196" s="116" t="s">
        <v>1533</v>
      </c>
      <c r="D6196" s="24" t="s">
        <v>187</v>
      </c>
      <c r="E6196" s="24">
        <v>130.5</v>
      </c>
      <c r="F6196" s="111" t="str">
        <f>DataPull!D6196</f>
        <v/>
      </c>
      <c r="G6196" s="94" t="str">
        <f t="shared" si="2"/>
        <v/>
      </c>
      <c r="H6196" s="94" t="str">
        <f t="shared" si="3"/>
        <v/>
      </c>
      <c r="I6196" s="94" t="str">
        <f t="shared" ref="I6196:J6196" si="6197">if(G6196 = "", , -G6196)</f>
        <v/>
      </c>
      <c r="J6196" s="94" t="str">
        <f t="shared" si="6197"/>
        <v/>
      </c>
      <c r="K6196" s="100"/>
      <c r="M6196" s="100"/>
      <c r="N6196" s="100"/>
      <c r="O6196" s="100"/>
      <c r="P6196" s="100"/>
    </row>
    <row r="6197">
      <c r="A6197" s="107">
        <v>1630696.0</v>
      </c>
      <c r="B6197" s="116" t="s">
        <v>246</v>
      </c>
      <c r="C6197" s="116" t="s">
        <v>1533</v>
      </c>
      <c r="D6197" s="24" t="s">
        <v>187</v>
      </c>
      <c r="E6197" s="24">
        <v>268.8</v>
      </c>
      <c r="F6197" s="111" t="str">
        <f>DataPull!D6197</f>
        <v/>
      </c>
      <c r="G6197" s="94" t="str">
        <f t="shared" si="2"/>
        <v/>
      </c>
      <c r="H6197" s="94" t="str">
        <f t="shared" si="3"/>
        <v/>
      </c>
      <c r="I6197" s="94" t="str">
        <f t="shared" ref="I6197:J6197" si="6198">if(G6197 = "", , -G6197)</f>
        <v/>
      </c>
      <c r="J6197" s="94" t="str">
        <f t="shared" si="6198"/>
        <v/>
      </c>
      <c r="K6197" s="100"/>
      <c r="M6197" s="100"/>
      <c r="N6197" s="100"/>
      <c r="O6197" s="100"/>
      <c r="P6197" s="100"/>
    </row>
    <row r="6198">
      <c r="A6198" s="114">
        <v>1630696.0</v>
      </c>
      <c r="B6198" s="131" t="s">
        <v>247</v>
      </c>
      <c r="C6198" s="131" t="s">
        <v>1533</v>
      </c>
      <c r="D6198" s="24" t="s">
        <v>177</v>
      </c>
      <c r="E6198" s="24">
        <v>1141.0</v>
      </c>
      <c r="F6198" s="111" t="str">
        <f>DataPull!D6198</f>
        <v/>
      </c>
      <c r="G6198" s="94" t="str">
        <f t="shared" si="2"/>
        <v/>
      </c>
      <c r="H6198" s="94" t="str">
        <f t="shared" si="3"/>
        <v/>
      </c>
      <c r="I6198" s="94" t="str">
        <f t="shared" ref="I6198:J6198" si="6199">if(G6198 = "", , -G6198)</f>
        <v/>
      </c>
      <c r="J6198" s="94" t="str">
        <f t="shared" si="6199"/>
        <v/>
      </c>
      <c r="K6198" s="100"/>
      <c r="M6198" s="100"/>
      <c r="N6198" s="100"/>
      <c r="O6198" s="100"/>
      <c r="P6198" s="100"/>
    </row>
    <row r="6199">
      <c r="A6199" s="107">
        <v>1630698.0</v>
      </c>
      <c r="B6199" s="116" t="s">
        <v>215</v>
      </c>
      <c r="C6199" s="116" t="s">
        <v>1534</v>
      </c>
      <c r="D6199" s="24" t="s">
        <v>187</v>
      </c>
      <c r="E6199" s="24">
        <v>165.6</v>
      </c>
      <c r="F6199" s="111" t="str">
        <f>DataPull!D6199</f>
        <v/>
      </c>
      <c r="G6199" s="94" t="str">
        <f t="shared" si="2"/>
        <v/>
      </c>
      <c r="H6199" s="94" t="str">
        <f t="shared" si="3"/>
        <v/>
      </c>
      <c r="I6199" s="94" t="str">
        <f t="shared" ref="I6199:J6199" si="6200">if(G6199 = "", , -G6199)</f>
        <v/>
      </c>
      <c r="J6199" s="94" t="str">
        <f t="shared" si="6200"/>
        <v/>
      </c>
      <c r="K6199" s="100"/>
      <c r="M6199" s="100"/>
      <c r="N6199" s="100"/>
      <c r="O6199" s="100"/>
      <c r="P6199" s="100"/>
    </row>
    <row r="6200">
      <c r="A6200" s="107">
        <v>1630699.0</v>
      </c>
      <c r="B6200" s="116" t="s">
        <v>244</v>
      </c>
      <c r="C6200" s="116" t="s">
        <v>1535</v>
      </c>
      <c r="D6200" s="24" t="s">
        <v>177</v>
      </c>
      <c r="E6200" s="24">
        <v>702.0</v>
      </c>
      <c r="F6200" s="111" t="str">
        <f>DataPull!D6200</f>
        <v/>
      </c>
      <c r="G6200" s="94" t="str">
        <f t="shared" si="2"/>
        <v/>
      </c>
      <c r="H6200" s="94" t="str">
        <f t="shared" si="3"/>
        <v/>
      </c>
      <c r="I6200" s="94" t="str">
        <f t="shared" ref="I6200:J6200" si="6201">if(G6200 = "", , -G6200)</f>
        <v/>
      </c>
      <c r="J6200" s="94" t="str">
        <f t="shared" si="6201"/>
        <v/>
      </c>
      <c r="K6200" s="100"/>
      <c r="M6200" s="100"/>
      <c r="N6200" s="100"/>
      <c r="O6200" s="100"/>
      <c r="P6200" s="100"/>
    </row>
    <row r="6201">
      <c r="A6201" s="107">
        <v>1630699.0</v>
      </c>
      <c r="B6201" s="116" t="s">
        <v>245</v>
      </c>
      <c r="C6201" s="116" t="s">
        <v>1535</v>
      </c>
      <c r="D6201" s="24" t="s">
        <v>177</v>
      </c>
      <c r="E6201" s="24">
        <v>609.6</v>
      </c>
      <c r="F6201" s="111" t="str">
        <f>DataPull!D6201</f>
        <v/>
      </c>
      <c r="G6201" s="94" t="str">
        <f t="shared" si="2"/>
        <v/>
      </c>
      <c r="H6201" s="94" t="str">
        <f t="shared" si="3"/>
        <v/>
      </c>
      <c r="I6201" s="94" t="str">
        <f t="shared" ref="I6201:J6201" si="6202">if(G6201 = "", , -G6201)</f>
        <v/>
      </c>
      <c r="J6201" s="94" t="str">
        <f t="shared" si="6202"/>
        <v/>
      </c>
      <c r="K6201" s="100"/>
      <c r="M6201" s="100"/>
      <c r="N6201" s="100"/>
      <c r="O6201" s="100"/>
      <c r="P6201" s="100"/>
    </row>
    <row r="6202">
      <c r="A6202" s="107">
        <v>1630699.0</v>
      </c>
      <c r="B6202" s="116" t="s">
        <v>246</v>
      </c>
      <c r="C6202" s="116" t="s">
        <v>1535</v>
      </c>
      <c r="D6202" s="24" t="s">
        <v>187</v>
      </c>
      <c r="E6202" s="24">
        <v>157.5</v>
      </c>
      <c r="F6202" s="111" t="str">
        <f>DataPull!D6202</f>
        <v/>
      </c>
      <c r="G6202" s="94" t="str">
        <f t="shared" si="2"/>
        <v/>
      </c>
      <c r="H6202" s="94" t="str">
        <f t="shared" si="3"/>
        <v/>
      </c>
      <c r="I6202" s="94" t="str">
        <f t="shared" ref="I6202:J6202" si="6203">if(G6202 = "", , -G6202)</f>
        <v/>
      </c>
      <c r="J6202" s="94" t="str">
        <f t="shared" si="6203"/>
        <v/>
      </c>
      <c r="K6202" s="100"/>
      <c r="M6202" s="100"/>
      <c r="N6202" s="100"/>
      <c r="O6202" s="100"/>
      <c r="P6202" s="100"/>
    </row>
    <row r="6203">
      <c r="A6203" s="126">
        <v>1630699.0</v>
      </c>
      <c r="B6203" s="141" t="s">
        <v>247</v>
      </c>
      <c r="C6203" s="141" t="s">
        <v>1535</v>
      </c>
      <c r="D6203" s="24" t="s">
        <v>181</v>
      </c>
      <c r="E6203" s="24">
        <v>196.0</v>
      </c>
      <c r="F6203" s="111" t="str">
        <f>DataPull!D6203</f>
        <v/>
      </c>
      <c r="G6203" s="94" t="str">
        <f t="shared" si="2"/>
        <v/>
      </c>
      <c r="H6203" s="94" t="str">
        <f t="shared" si="3"/>
        <v/>
      </c>
      <c r="I6203" s="94" t="str">
        <f t="shared" ref="I6203:J6203" si="6204">if(G6203 = "", , -G6203)</f>
        <v/>
      </c>
      <c r="J6203" s="94" t="str">
        <f t="shared" si="6204"/>
        <v/>
      </c>
      <c r="K6203" s="100"/>
      <c r="M6203" s="100"/>
      <c r="N6203" s="100"/>
      <c r="O6203" s="100"/>
      <c r="P6203" s="100"/>
    </row>
    <row r="6204">
      <c r="A6204" s="107">
        <v>1630700.0</v>
      </c>
      <c r="B6204" s="116" t="s">
        <v>244</v>
      </c>
      <c r="C6204" s="116" t="s">
        <v>1536</v>
      </c>
      <c r="D6204" s="24" t="s">
        <v>177</v>
      </c>
      <c r="E6204" s="24">
        <v>1044.3</v>
      </c>
      <c r="F6204" s="111" t="str">
        <f>DataPull!D6204</f>
        <v/>
      </c>
      <c r="G6204" s="94" t="str">
        <f t="shared" si="2"/>
        <v/>
      </c>
      <c r="H6204" s="94" t="str">
        <f t="shared" si="3"/>
        <v/>
      </c>
      <c r="I6204" s="94" t="str">
        <f t="shared" ref="I6204:J6204" si="6205">if(G6204 = "", , -G6204)</f>
        <v/>
      </c>
      <c r="J6204" s="94" t="str">
        <f t="shared" si="6205"/>
        <v/>
      </c>
      <c r="K6204" s="100"/>
      <c r="M6204" s="100"/>
      <c r="N6204" s="100"/>
      <c r="O6204" s="100"/>
      <c r="P6204" s="100"/>
    </row>
    <row r="6205">
      <c r="A6205" s="107">
        <v>1630700.0</v>
      </c>
      <c r="B6205" s="116" t="s">
        <v>245</v>
      </c>
      <c r="C6205" s="116" t="s">
        <v>1536</v>
      </c>
      <c r="D6205" s="24" t="s">
        <v>176</v>
      </c>
      <c r="E6205" s="24">
        <v>1360.3</v>
      </c>
      <c r="F6205" s="111" t="str">
        <f>DataPull!D6205</f>
        <v/>
      </c>
      <c r="G6205" s="94" t="str">
        <f t="shared" si="2"/>
        <v/>
      </c>
      <c r="H6205" s="94" t="str">
        <f t="shared" si="3"/>
        <v/>
      </c>
      <c r="I6205" s="94" t="str">
        <f t="shared" ref="I6205:J6205" si="6206">if(G6205 = "", , -G6205)</f>
        <v/>
      </c>
      <c r="J6205" s="94" t="str">
        <f t="shared" si="6206"/>
        <v/>
      </c>
      <c r="K6205" s="100"/>
      <c r="M6205" s="100"/>
      <c r="N6205" s="100"/>
      <c r="O6205" s="100"/>
      <c r="P6205" s="100"/>
    </row>
    <row r="6206">
      <c r="A6206" s="107">
        <v>1630700.0</v>
      </c>
      <c r="B6206" s="116" t="s">
        <v>246</v>
      </c>
      <c r="C6206" s="116" t="s">
        <v>1536</v>
      </c>
      <c r="D6206" s="24" t="s">
        <v>184</v>
      </c>
      <c r="E6206" s="24">
        <v>2568.8</v>
      </c>
      <c r="F6206" s="111" t="str">
        <f>DataPull!D6206</f>
        <v/>
      </c>
      <c r="G6206" s="94" t="str">
        <f t="shared" si="2"/>
        <v/>
      </c>
      <c r="H6206" s="94" t="str">
        <f t="shared" si="3"/>
        <v/>
      </c>
      <c r="I6206" s="94" t="str">
        <f t="shared" ref="I6206:J6206" si="6207">if(G6206 = "", , -G6206)</f>
        <v/>
      </c>
      <c r="J6206" s="94" t="str">
        <f t="shared" si="6207"/>
        <v/>
      </c>
      <c r="K6206" s="100"/>
      <c r="M6206" s="100"/>
      <c r="N6206" s="100"/>
      <c r="O6206" s="100"/>
      <c r="P6206" s="100"/>
    </row>
    <row r="6207">
      <c r="A6207" s="114">
        <v>1630700.0</v>
      </c>
      <c r="B6207" s="131" t="s">
        <v>247</v>
      </c>
      <c r="C6207" s="131" t="s">
        <v>1536</v>
      </c>
      <c r="D6207" s="24" t="s">
        <v>184</v>
      </c>
      <c r="E6207" s="24">
        <v>2523.2</v>
      </c>
      <c r="F6207" s="111" t="str">
        <f>DataPull!D6207</f>
        <v/>
      </c>
      <c r="G6207" s="94" t="str">
        <f t="shared" si="2"/>
        <v/>
      </c>
      <c r="H6207" s="94" t="str">
        <f t="shared" si="3"/>
        <v/>
      </c>
      <c r="I6207" s="94" t="str">
        <f t="shared" ref="I6207:J6207" si="6208">if(G6207 = "", , -G6207)</f>
        <v/>
      </c>
      <c r="J6207" s="94" t="str">
        <f t="shared" si="6208"/>
        <v/>
      </c>
      <c r="K6207" s="100"/>
      <c r="M6207" s="100"/>
      <c r="N6207" s="100"/>
      <c r="O6207" s="100"/>
      <c r="P6207" s="100"/>
    </row>
    <row r="6208">
      <c r="A6208" s="107">
        <v>1630701.0</v>
      </c>
      <c r="B6208" s="116" t="s">
        <v>244</v>
      </c>
      <c r="C6208" s="116" t="s">
        <v>1537</v>
      </c>
      <c r="D6208" s="24" t="s">
        <v>181</v>
      </c>
      <c r="E6208" s="24">
        <v>1.0</v>
      </c>
      <c r="F6208" s="111" t="str">
        <f>DataPull!D6208</f>
        <v/>
      </c>
      <c r="G6208" s="94" t="str">
        <f t="shared" si="2"/>
        <v/>
      </c>
      <c r="H6208" s="94" t="str">
        <f t="shared" si="3"/>
        <v/>
      </c>
      <c r="I6208" s="94" t="str">
        <f t="shared" ref="I6208:J6208" si="6209">if(G6208 = "", , -G6208)</f>
        <v/>
      </c>
      <c r="J6208" s="94" t="str">
        <f t="shared" si="6209"/>
        <v/>
      </c>
      <c r="K6208" s="100"/>
      <c r="M6208" s="100"/>
      <c r="N6208" s="100"/>
      <c r="O6208" s="100"/>
      <c r="P6208" s="100"/>
    </row>
    <row r="6209">
      <c r="A6209" s="107">
        <v>1630702.0</v>
      </c>
      <c r="B6209" s="116" t="s">
        <v>244</v>
      </c>
      <c r="C6209" s="116" t="s">
        <v>1538</v>
      </c>
      <c r="D6209" s="24" t="s">
        <v>177</v>
      </c>
      <c r="E6209" s="24">
        <v>710.4</v>
      </c>
      <c r="F6209" s="111" t="str">
        <f>DataPull!D6209</f>
        <v/>
      </c>
      <c r="G6209" s="94" t="str">
        <f t="shared" si="2"/>
        <v/>
      </c>
      <c r="H6209" s="94" t="str">
        <f t="shared" si="3"/>
        <v/>
      </c>
      <c r="I6209" s="94" t="str">
        <f t="shared" ref="I6209:J6209" si="6210">if(G6209 = "", , -G6209)</f>
        <v/>
      </c>
      <c r="J6209" s="94" t="str">
        <f t="shared" si="6210"/>
        <v/>
      </c>
      <c r="K6209" s="100"/>
      <c r="M6209" s="100"/>
      <c r="N6209" s="100"/>
      <c r="O6209" s="100"/>
      <c r="P6209" s="100"/>
    </row>
    <row r="6210">
      <c r="A6210" s="107">
        <v>1630702.0</v>
      </c>
      <c r="B6210" s="116" t="s">
        <v>245</v>
      </c>
      <c r="C6210" s="116" t="s">
        <v>1538</v>
      </c>
      <c r="D6210" s="24" t="s">
        <v>177</v>
      </c>
      <c r="E6210" s="24">
        <v>992.8</v>
      </c>
      <c r="F6210" s="111" t="str">
        <f>DataPull!D6210</f>
        <v/>
      </c>
      <c r="G6210" s="94" t="str">
        <f t="shared" si="2"/>
        <v/>
      </c>
      <c r="H6210" s="94" t="str">
        <f t="shared" si="3"/>
        <v/>
      </c>
      <c r="I6210" s="94" t="str">
        <f t="shared" ref="I6210:J6210" si="6211">if(G6210 = "", , -G6210)</f>
        <v/>
      </c>
      <c r="J6210" s="94" t="str">
        <f t="shared" si="6211"/>
        <v/>
      </c>
      <c r="K6210" s="100"/>
      <c r="M6210" s="100"/>
      <c r="N6210" s="100"/>
      <c r="O6210" s="100"/>
      <c r="P6210" s="100"/>
    </row>
    <row r="6211">
      <c r="A6211" s="107">
        <v>1630702.0</v>
      </c>
      <c r="B6211" s="116" t="s">
        <v>246</v>
      </c>
      <c r="C6211" s="116" t="s">
        <v>1538</v>
      </c>
      <c r="D6211" s="24" t="s">
        <v>177</v>
      </c>
      <c r="E6211" s="24">
        <v>906.3</v>
      </c>
      <c r="F6211" s="111" t="str">
        <f>DataPull!D6211</f>
        <v/>
      </c>
      <c r="G6211" s="94" t="str">
        <f t="shared" si="2"/>
        <v/>
      </c>
      <c r="H6211" s="94" t="str">
        <f t="shared" si="3"/>
        <v/>
      </c>
      <c r="I6211" s="94" t="str">
        <f t="shared" ref="I6211:J6211" si="6212">if(G6211 = "", , -G6211)</f>
        <v/>
      </c>
      <c r="J6211" s="94" t="str">
        <f t="shared" si="6212"/>
        <v/>
      </c>
      <c r="K6211" s="100"/>
      <c r="M6211" s="100"/>
      <c r="N6211" s="100"/>
      <c r="O6211" s="100"/>
      <c r="P6211" s="100"/>
    </row>
    <row r="6212">
      <c r="A6212" s="114">
        <v>1630702.0</v>
      </c>
      <c r="B6212" s="131" t="s">
        <v>247</v>
      </c>
      <c r="C6212" s="131" t="s">
        <v>1538</v>
      </c>
      <c r="D6212" s="24" t="s">
        <v>177</v>
      </c>
      <c r="E6212" s="24">
        <v>900.6</v>
      </c>
      <c r="F6212" s="111" t="str">
        <f>DataPull!D6212</f>
        <v/>
      </c>
      <c r="G6212" s="94" t="str">
        <f t="shared" si="2"/>
        <v/>
      </c>
      <c r="H6212" s="94" t="str">
        <f t="shared" si="3"/>
        <v/>
      </c>
      <c r="I6212" s="94" t="str">
        <f t="shared" ref="I6212:J6212" si="6213">if(G6212 = "", , -G6212)</f>
        <v/>
      </c>
      <c r="J6212" s="94" t="str">
        <f t="shared" si="6213"/>
        <v/>
      </c>
      <c r="K6212" s="100"/>
      <c r="M6212" s="100"/>
      <c r="N6212" s="100"/>
      <c r="O6212" s="100"/>
      <c r="P6212" s="100"/>
    </row>
    <row r="6213">
      <c r="A6213" s="107">
        <v>1630703.0</v>
      </c>
      <c r="B6213" s="116" t="s">
        <v>245</v>
      </c>
      <c r="C6213" s="116" t="s">
        <v>1539</v>
      </c>
      <c r="D6213" s="24" t="s">
        <v>176</v>
      </c>
      <c r="E6213" s="24">
        <v>1767.0</v>
      </c>
      <c r="F6213" s="111" t="str">
        <f>DataPull!D6213</f>
        <v/>
      </c>
      <c r="G6213" s="94" t="str">
        <f t="shared" si="2"/>
        <v/>
      </c>
      <c r="H6213" s="94" t="str">
        <f t="shared" si="3"/>
        <v/>
      </c>
      <c r="I6213" s="94" t="str">
        <f t="shared" ref="I6213:J6213" si="6214">if(G6213 = "", , -G6213)</f>
        <v/>
      </c>
      <c r="J6213" s="94" t="str">
        <f t="shared" si="6214"/>
        <v/>
      </c>
      <c r="K6213" s="100"/>
      <c r="M6213" s="100"/>
      <c r="N6213" s="100"/>
      <c r="O6213" s="100"/>
      <c r="P6213" s="100"/>
    </row>
    <row r="6214">
      <c r="A6214" s="107">
        <v>1630703.0</v>
      </c>
      <c r="B6214" s="116" t="s">
        <v>246</v>
      </c>
      <c r="C6214" s="116" t="s">
        <v>1539</v>
      </c>
      <c r="D6214" s="24" t="s">
        <v>176</v>
      </c>
      <c r="E6214" s="24">
        <v>1762.2</v>
      </c>
      <c r="F6214" s="111" t="str">
        <f>DataPull!D6214</f>
        <v/>
      </c>
      <c r="G6214" s="94" t="str">
        <f t="shared" si="2"/>
        <v/>
      </c>
      <c r="H6214" s="94" t="str">
        <f t="shared" si="3"/>
        <v/>
      </c>
      <c r="I6214" s="94" t="str">
        <f t="shared" ref="I6214:J6214" si="6215">if(G6214 = "", , -G6214)</f>
        <v/>
      </c>
      <c r="J6214" s="94" t="str">
        <f t="shared" si="6215"/>
        <v/>
      </c>
      <c r="K6214" s="100"/>
      <c r="M6214" s="100"/>
      <c r="N6214" s="100"/>
      <c r="O6214" s="100"/>
      <c r="P6214" s="100"/>
    </row>
    <row r="6215">
      <c r="A6215" s="89">
        <v>1630703.0</v>
      </c>
      <c r="B6215" s="131" t="s">
        <v>247</v>
      </c>
      <c r="C6215" s="131" t="s">
        <v>1539</v>
      </c>
      <c r="D6215" s="24" t="s">
        <v>181</v>
      </c>
      <c r="E6215" s="24">
        <v>747.0</v>
      </c>
      <c r="F6215" s="111" t="str">
        <f>DataPull!D6215</f>
        <v/>
      </c>
      <c r="G6215" s="94" t="str">
        <f t="shared" si="2"/>
        <v/>
      </c>
      <c r="H6215" s="94" t="str">
        <f t="shared" si="3"/>
        <v/>
      </c>
      <c r="I6215" s="94" t="str">
        <f t="shared" ref="I6215:J6215" si="6216">if(G6215 = "", , -G6215)</f>
        <v/>
      </c>
      <c r="J6215" s="94" t="str">
        <f t="shared" si="6216"/>
        <v/>
      </c>
      <c r="K6215" s="100"/>
      <c r="M6215" s="100"/>
      <c r="N6215" s="100"/>
      <c r="O6215" s="100"/>
      <c r="P6215" s="100"/>
    </row>
    <row r="6216">
      <c r="A6216" s="107">
        <v>1630758.0</v>
      </c>
      <c r="B6216" s="116" t="s">
        <v>215</v>
      </c>
      <c r="C6216" s="116" t="s">
        <v>1540</v>
      </c>
      <c r="D6216" s="24" t="s">
        <v>181</v>
      </c>
      <c r="E6216" s="24">
        <v>73.5</v>
      </c>
      <c r="F6216" s="111" t="str">
        <f>DataPull!D6216</f>
        <v/>
      </c>
      <c r="G6216" s="94" t="str">
        <f t="shared" si="2"/>
        <v/>
      </c>
      <c r="H6216" s="94" t="str">
        <f t="shared" si="3"/>
        <v/>
      </c>
      <c r="I6216" s="94" t="str">
        <f t="shared" ref="I6216:J6216" si="6217">if(G6216 = "", , -G6216)</f>
        <v/>
      </c>
      <c r="J6216" s="94" t="str">
        <f t="shared" si="6217"/>
        <v/>
      </c>
      <c r="K6216" s="100"/>
      <c r="M6216" s="100"/>
      <c r="N6216" s="100"/>
      <c r="O6216" s="100"/>
      <c r="P6216" s="100"/>
    </row>
    <row r="6217">
      <c r="A6217" s="123">
        <v>1630762.0</v>
      </c>
      <c r="B6217" s="132" t="s">
        <v>246</v>
      </c>
      <c r="C6217" s="133" t="s">
        <v>1541</v>
      </c>
      <c r="D6217" s="24" t="s">
        <v>181</v>
      </c>
      <c r="E6217" s="24">
        <v>44.5</v>
      </c>
      <c r="F6217" s="111" t="str">
        <f>DataPull!D6217</f>
        <v/>
      </c>
      <c r="G6217" s="94" t="str">
        <f t="shared" si="2"/>
        <v/>
      </c>
      <c r="H6217" s="94" t="str">
        <f t="shared" si="3"/>
        <v/>
      </c>
      <c r="I6217" s="94" t="str">
        <f t="shared" ref="I6217:J6217" si="6218">if(G6217 = "", , -G6217)</f>
        <v/>
      </c>
      <c r="J6217" s="94" t="str">
        <f t="shared" si="6218"/>
        <v/>
      </c>
      <c r="K6217" s="100"/>
      <c r="M6217" s="100"/>
      <c r="N6217" s="100"/>
      <c r="O6217" s="100"/>
      <c r="P6217" s="100"/>
    </row>
    <row r="6218">
      <c r="A6218" s="107">
        <v>1630787.0</v>
      </c>
      <c r="B6218" s="116" t="s">
        <v>215</v>
      </c>
      <c r="C6218" s="116" t="s">
        <v>1542</v>
      </c>
      <c r="D6218" s="24"/>
      <c r="E6218" s="24">
        <v>45.9</v>
      </c>
      <c r="F6218" s="111" t="str">
        <f>DataPull!D6218</f>
        <v/>
      </c>
      <c r="G6218" s="94" t="str">
        <f t="shared" si="2"/>
        <v/>
      </c>
      <c r="H6218" s="94" t="str">
        <f t="shared" si="3"/>
        <v/>
      </c>
      <c r="I6218" s="94" t="str">
        <f t="shared" ref="I6218:J6218" si="6219">if(G6218 = "", , -G6218)</f>
        <v/>
      </c>
      <c r="J6218" s="94" t="str">
        <f t="shared" si="6219"/>
        <v/>
      </c>
      <c r="K6218" s="100"/>
      <c r="M6218" s="100"/>
      <c r="N6218" s="100"/>
      <c r="O6218" s="100"/>
      <c r="P6218" s="100"/>
    </row>
    <row r="6219">
      <c r="A6219" s="107">
        <v>1630792.0</v>
      </c>
      <c r="B6219" s="116" t="s">
        <v>215</v>
      </c>
      <c r="C6219" s="116" t="s">
        <v>1543</v>
      </c>
      <c r="D6219" s="24" t="s">
        <v>187</v>
      </c>
      <c r="E6219" s="24">
        <v>212.8</v>
      </c>
      <c r="F6219" s="111" t="str">
        <f>DataPull!D6219</f>
        <v/>
      </c>
      <c r="G6219" s="94" t="str">
        <f t="shared" si="2"/>
        <v/>
      </c>
      <c r="H6219" s="94" t="str">
        <f t="shared" si="3"/>
        <v/>
      </c>
      <c r="I6219" s="94" t="str">
        <f t="shared" ref="I6219:J6219" si="6220">if(G6219 = "", , -G6219)</f>
        <v/>
      </c>
      <c r="J6219" s="94" t="str">
        <f t="shared" si="6220"/>
        <v/>
      </c>
      <c r="K6219" s="100"/>
      <c r="M6219" s="100"/>
      <c r="N6219" s="100"/>
      <c r="O6219" s="100"/>
      <c r="P6219" s="100"/>
    </row>
    <row r="6220">
      <c r="A6220" s="107">
        <v>1630792.0</v>
      </c>
      <c r="B6220" s="116" t="s">
        <v>244</v>
      </c>
      <c r="C6220" s="116" t="s">
        <v>1543</v>
      </c>
      <c r="D6220" s="24" t="s">
        <v>181</v>
      </c>
      <c r="E6220" s="24">
        <v>9.0</v>
      </c>
      <c r="F6220" s="111" t="str">
        <f>DataPull!D6220</f>
        <v/>
      </c>
      <c r="G6220" s="94" t="str">
        <f t="shared" si="2"/>
        <v/>
      </c>
      <c r="H6220" s="94" t="str">
        <f t="shared" si="3"/>
        <v/>
      </c>
      <c r="I6220" s="94" t="str">
        <f t="shared" ref="I6220:J6220" si="6221">if(G6220 = "", , -G6220)</f>
        <v/>
      </c>
      <c r="J6220" s="94" t="str">
        <f t="shared" si="6221"/>
        <v/>
      </c>
      <c r="K6220" s="100"/>
      <c r="M6220" s="100"/>
      <c r="N6220" s="100"/>
      <c r="O6220" s="100"/>
      <c r="P6220" s="100"/>
    </row>
    <row r="6221">
      <c r="A6221" s="107">
        <v>1630792.0</v>
      </c>
      <c r="B6221" s="116" t="s">
        <v>245</v>
      </c>
      <c r="C6221" s="116" t="s">
        <v>1543</v>
      </c>
      <c r="D6221" s="24"/>
      <c r="E6221" s="24"/>
      <c r="F6221" s="111" t="str">
        <f>DataPull!D6221</f>
        <v/>
      </c>
      <c r="G6221" s="94" t="str">
        <f t="shared" si="2"/>
        <v/>
      </c>
      <c r="H6221" s="94" t="str">
        <f t="shared" si="3"/>
        <v/>
      </c>
      <c r="I6221" s="94" t="str">
        <f t="shared" ref="I6221:J6221" si="6222">if(G6221 = "", , -G6221)</f>
        <v/>
      </c>
      <c r="J6221" s="94" t="str">
        <f t="shared" si="6222"/>
        <v/>
      </c>
      <c r="K6221" s="100"/>
      <c r="M6221" s="100"/>
      <c r="N6221" s="100"/>
      <c r="O6221" s="100"/>
      <c r="P6221" s="100"/>
    </row>
    <row r="6222">
      <c r="A6222" s="107">
        <v>1630811.0</v>
      </c>
      <c r="B6222" s="116" t="s">
        <v>246</v>
      </c>
      <c r="C6222" s="116" t="s">
        <v>1544</v>
      </c>
      <c r="D6222" s="24" t="s">
        <v>177</v>
      </c>
      <c r="E6222" s="24">
        <v>502.2</v>
      </c>
      <c r="F6222" s="111" t="str">
        <f>DataPull!D6222</f>
        <v/>
      </c>
      <c r="G6222" s="94" t="str">
        <f t="shared" si="2"/>
        <v/>
      </c>
      <c r="H6222" s="94" t="str">
        <f t="shared" si="3"/>
        <v/>
      </c>
      <c r="I6222" s="94" t="str">
        <f t="shared" ref="I6222:J6222" si="6223">if(G6222 = "", , -G6222)</f>
        <v/>
      </c>
      <c r="J6222" s="94" t="str">
        <f t="shared" si="6223"/>
        <v/>
      </c>
      <c r="K6222" s="100"/>
      <c r="M6222" s="100"/>
      <c r="N6222" s="100"/>
      <c r="O6222" s="100"/>
      <c r="P6222" s="100"/>
    </row>
    <row r="6223">
      <c r="A6223" s="114">
        <v>1630811.0</v>
      </c>
      <c r="B6223" s="131" t="s">
        <v>247</v>
      </c>
      <c r="C6223" s="131" t="s">
        <v>1544</v>
      </c>
      <c r="D6223" s="24" t="s">
        <v>187</v>
      </c>
      <c r="E6223" s="24">
        <v>535.3</v>
      </c>
      <c r="F6223" s="111" t="str">
        <f>DataPull!D6223</f>
        <v/>
      </c>
      <c r="G6223" s="94" t="str">
        <f t="shared" si="2"/>
        <v/>
      </c>
      <c r="H6223" s="94" t="str">
        <f t="shared" si="3"/>
        <v/>
      </c>
      <c r="I6223" s="94" t="str">
        <f t="shared" ref="I6223:J6223" si="6224">if(G6223 = "", , -G6223)</f>
        <v/>
      </c>
      <c r="J6223" s="94" t="str">
        <f t="shared" si="6224"/>
        <v/>
      </c>
      <c r="K6223" s="100"/>
      <c r="M6223" s="100"/>
      <c r="N6223" s="100"/>
      <c r="O6223" s="100"/>
      <c r="P6223" s="100"/>
    </row>
    <row r="6224">
      <c r="A6224" s="89">
        <v>1630828.0</v>
      </c>
      <c r="B6224" s="131" t="s">
        <v>247</v>
      </c>
      <c r="C6224" s="131" t="s">
        <v>1545</v>
      </c>
      <c r="D6224" s="24"/>
      <c r="E6224" s="24">
        <v>20.4</v>
      </c>
      <c r="F6224" s="111" t="str">
        <f>DataPull!D6224</f>
        <v/>
      </c>
      <c r="G6224" s="94" t="str">
        <f t="shared" si="2"/>
        <v/>
      </c>
      <c r="H6224" s="94" t="str">
        <f t="shared" si="3"/>
        <v/>
      </c>
      <c r="I6224" s="94" t="str">
        <f t="shared" ref="I6224:J6224" si="6225">if(G6224 = "", , -G6224)</f>
        <v/>
      </c>
      <c r="J6224" s="94" t="str">
        <f t="shared" si="6225"/>
        <v/>
      </c>
      <c r="K6224" s="100"/>
      <c r="M6224" s="100"/>
      <c r="N6224" s="100"/>
      <c r="O6224" s="100"/>
      <c r="P6224" s="100"/>
    </row>
    <row r="6225">
      <c r="A6225" s="107">
        <v>1630846.0</v>
      </c>
      <c r="B6225" s="116" t="s">
        <v>215</v>
      </c>
      <c r="C6225" s="116" t="s">
        <v>1546</v>
      </c>
      <c r="D6225" s="24" t="s">
        <v>177</v>
      </c>
      <c r="E6225" s="24">
        <v>420.2</v>
      </c>
      <c r="F6225" s="111" t="str">
        <f>DataPull!D6225</f>
        <v/>
      </c>
      <c r="G6225" s="94" t="str">
        <f t="shared" si="2"/>
        <v/>
      </c>
      <c r="H6225" s="94" t="str">
        <f t="shared" si="3"/>
        <v/>
      </c>
      <c r="I6225" s="94" t="str">
        <f t="shared" ref="I6225:J6225" si="6226">if(G6225 = "", , -G6225)</f>
        <v/>
      </c>
      <c r="J6225" s="94" t="str">
        <f t="shared" si="6226"/>
        <v/>
      </c>
      <c r="K6225" s="100"/>
      <c r="M6225" s="100"/>
      <c r="N6225" s="100"/>
      <c r="O6225" s="100"/>
      <c r="P6225" s="100"/>
    </row>
    <row r="6226">
      <c r="A6226" s="107">
        <v>1630846.0</v>
      </c>
      <c r="B6226" s="116" t="s">
        <v>244</v>
      </c>
      <c r="C6226" s="116" t="s">
        <v>1546</v>
      </c>
      <c r="D6226" s="24" t="s">
        <v>187</v>
      </c>
      <c r="E6226" s="24">
        <v>113.4</v>
      </c>
      <c r="F6226" s="111" t="str">
        <f>DataPull!D6226</f>
        <v/>
      </c>
      <c r="G6226" s="94" t="str">
        <f t="shared" si="2"/>
        <v/>
      </c>
      <c r="H6226" s="94" t="str">
        <f t="shared" si="3"/>
        <v/>
      </c>
      <c r="I6226" s="94" t="str">
        <f t="shared" ref="I6226:J6226" si="6227">if(G6226 = "", , -G6226)</f>
        <v/>
      </c>
      <c r="J6226" s="94" t="str">
        <f t="shared" si="6227"/>
        <v/>
      </c>
      <c r="K6226" s="100"/>
      <c r="M6226" s="100"/>
      <c r="N6226" s="100"/>
      <c r="O6226" s="100"/>
      <c r="P6226" s="100"/>
    </row>
    <row r="6227">
      <c r="A6227" s="107">
        <v>1630846.0</v>
      </c>
      <c r="B6227" s="116" t="s">
        <v>245</v>
      </c>
      <c r="C6227" s="116" t="s">
        <v>1546</v>
      </c>
      <c r="D6227" s="24" t="s">
        <v>187</v>
      </c>
      <c r="E6227" s="24">
        <v>97.5</v>
      </c>
      <c r="F6227" s="111" t="str">
        <f>DataPull!D6227</f>
        <v/>
      </c>
      <c r="G6227" s="94" t="str">
        <f t="shared" si="2"/>
        <v/>
      </c>
      <c r="H6227" s="94" t="str">
        <f t="shared" si="3"/>
        <v/>
      </c>
      <c r="I6227" s="94" t="str">
        <f t="shared" ref="I6227:J6227" si="6228">if(G6227 = "", , -G6227)</f>
        <v/>
      </c>
      <c r="J6227" s="94" t="str">
        <f t="shared" si="6228"/>
        <v/>
      </c>
      <c r="M6227" s="100"/>
      <c r="N6227" s="100"/>
      <c r="O6227" s="100"/>
      <c r="P6227" s="100"/>
    </row>
    <row r="6228">
      <c r="A6228" s="107">
        <v>1630929.0</v>
      </c>
      <c r="B6228" s="116" t="s">
        <v>245</v>
      </c>
      <c r="C6228" s="116" t="s">
        <v>1547</v>
      </c>
      <c r="D6228" s="24" t="s">
        <v>181</v>
      </c>
      <c r="E6228" s="24">
        <v>30.0</v>
      </c>
      <c r="F6228" s="111" t="str">
        <f>DataPull!D6228</f>
        <v/>
      </c>
      <c r="G6228" s="94" t="str">
        <f t="shared" si="2"/>
        <v/>
      </c>
      <c r="H6228" s="94" t="str">
        <f t="shared" si="3"/>
        <v/>
      </c>
      <c r="I6228" s="94" t="str">
        <f t="shared" ref="I6228:J6228" si="6229">if(G6228 = "", , -G6228)</f>
        <v/>
      </c>
      <c r="J6228" s="94" t="str">
        <f t="shared" si="6229"/>
        <v/>
      </c>
      <c r="K6228" s="100"/>
      <c r="M6228" s="100"/>
      <c r="N6228" s="100"/>
      <c r="O6228" s="100"/>
      <c r="P6228" s="100"/>
    </row>
    <row r="6229">
      <c r="A6229" s="107">
        <v>1630994.0</v>
      </c>
      <c r="B6229" s="116" t="s">
        <v>215</v>
      </c>
      <c r="C6229" s="116" t="s">
        <v>1548</v>
      </c>
      <c r="D6229" s="24" t="s">
        <v>181</v>
      </c>
      <c r="E6229" s="24">
        <v>44.4</v>
      </c>
      <c r="F6229" s="111" t="str">
        <f>DataPull!D6229</f>
        <v/>
      </c>
      <c r="G6229" s="94" t="str">
        <f t="shared" si="2"/>
        <v/>
      </c>
      <c r="H6229" s="94" t="str">
        <f t="shared" si="3"/>
        <v/>
      </c>
      <c r="I6229" s="94" t="str">
        <f t="shared" ref="I6229:J6229" si="6230">if(G6229 = "", , -G6229)</f>
        <v/>
      </c>
      <c r="J6229" s="94" t="str">
        <f t="shared" si="6230"/>
        <v/>
      </c>
      <c r="K6229" s="100"/>
      <c r="M6229" s="100"/>
      <c r="N6229" s="100"/>
      <c r="O6229" s="100"/>
      <c r="P6229" s="100"/>
    </row>
    <row r="6230">
      <c r="A6230" s="107">
        <v>1631093.0</v>
      </c>
      <c r="B6230" s="116" t="s">
        <v>244</v>
      </c>
      <c r="C6230" s="116" t="s">
        <v>1549</v>
      </c>
      <c r="D6230" s="24" t="s">
        <v>178</v>
      </c>
      <c r="E6230" s="24">
        <v>2301.4</v>
      </c>
      <c r="F6230" s="111" t="str">
        <f>DataPull!D6230</f>
        <v/>
      </c>
      <c r="G6230" s="94" t="str">
        <f t="shared" si="2"/>
        <v/>
      </c>
      <c r="H6230" s="94" t="str">
        <f t="shared" si="3"/>
        <v/>
      </c>
      <c r="I6230" s="94" t="str">
        <f t="shared" ref="I6230:J6230" si="6231">if(G6230 = "", , -G6230)</f>
        <v/>
      </c>
      <c r="J6230" s="94" t="str">
        <f t="shared" si="6231"/>
        <v/>
      </c>
      <c r="K6230" s="100"/>
      <c r="M6230" s="100"/>
      <c r="N6230" s="100"/>
      <c r="O6230" s="100"/>
      <c r="P6230" s="100"/>
    </row>
    <row r="6231">
      <c r="A6231" s="107">
        <v>1631093.0</v>
      </c>
      <c r="B6231" s="116" t="s">
        <v>245</v>
      </c>
      <c r="C6231" s="116" t="s">
        <v>1549</v>
      </c>
      <c r="D6231" s="24" t="s">
        <v>176</v>
      </c>
      <c r="E6231" s="24">
        <v>2217.6</v>
      </c>
      <c r="F6231" s="111" t="str">
        <f>DataPull!D6231</f>
        <v/>
      </c>
      <c r="G6231" s="94" t="str">
        <f t="shared" si="2"/>
        <v/>
      </c>
      <c r="H6231" s="94" t="str">
        <f t="shared" si="3"/>
        <v/>
      </c>
      <c r="I6231" s="94" t="str">
        <f t="shared" ref="I6231:J6231" si="6232">if(G6231 = "", , -G6231)</f>
        <v/>
      </c>
      <c r="J6231" s="94" t="str">
        <f t="shared" si="6232"/>
        <v/>
      </c>
      <c r="K6231" s="100"/>
      <c r="M6231" s="100"/>
      <c r="N6231" s="100"/>
      <c r="O6231" s="100"/>
      <c r="P6231" s="100"/>
    </row>
    <row r="6232">
      <c r="A6232" s="107">
        <v>1631093.0</v>
      </c>
      <c r="B6232" s="116" t="s">
        <v>246</v>
      </c>
      <c r="C6232" s="116" t="s">
        <v>1549</v>
      </c>
      <c r="D6232" s="24" t="s">
        <v>178</v>
      </c>
      <c r="E6232" s="24">
        <v>897.0</v>
      </c>
      <c r="F6232" s="111" t="str">
        <f>DataPull!D6232</f>
        <v/>
      </c>
      <c r="G6232" s="94" t="str">
        <f t="shared" si="2"/>
        <v/>
      </c>
      <c r="H6232" s="94" t="str">
        <f t="shared" si="3"/>
        <v/>
      </c>
      <c r="I6232" s="94" t="str">
        <f t="shared" ref="I6232:J6232" si="6233">if(G6232 = "", , -G6232)</f>
        <v/>
      </c>
      <c r="J6232" s="94" t="str">
        <f t="shared" si="6233"/>
        <v/>
      </c>
      <c r="K6232" s="100"/>
      <c r="M6232" s="100"/>
      <c r="N6232" s="100"/>
      <c r="O6232" s="100"/>
      <c r="P6232" s="100"/>
    </row>
    <row r="6233">
      <c r="A6233" s="89">
        <v>1631093.0</v>
      </c>
      <c r="B6233" s="131" t="s">
        <v>247</v>
      </c>
      <c r="C6233" s="131" t="s">
        <v>1549</v>
      </c>
      <c r="D6233" s="24" t="s">
        <v>177</v>
      </c>
      <c r="E6233" s="24">
        <v>669.7</v>
      </c>
      <c r="F6233" s="111" t="str">
        <f>DataPull!D6233</f>
        <v/>
      </c>
      <c r="G6233" s="94" t="str">
        <f t="shared" si="2"/>
        <v/>
      </c>
      <c r="H6233" s="94" t="str">
        <f t="shared" si="3"/>
        <v/>
      </c>
      <c r="I6233" s="94" t="str">
        <f t="shared" ref="I6233:J6233" si="6234">if(G6233 = "", , -G6233)</f>
        <v/>
      </c>
      <c r="J6233" s="94" t="str">
        <f t="shared" si="6234"/>
        <v/>
      </c>
      <c r="K6233" s="100"/>
      <c r="M6233" s="100"/>
      <c r="N6233" s="100"/>
      <c r="O6233" s="100"/>
      <c r="P6233" s="100"/>
    </row>
    <row r="6234">
      <c r="A6234" s="107">
        <v>1631094.0</v>
      </c>
      <c r="B6234" s="116" t="s">
        <v>244</v>
      </c>
      <c r="C6234" s="116" t="s">
        <v>1550</v>
      </c>
      <c r="D6234" s="24" t="s">
        <v>178</v>
      </c>
      <c r="E6234" s="24">
        <v>2426.4</v>
      </c>
      <c r="F6234" s="111" t="str">
        <f>DataPull!D6234</f>
        <v/>
      </c>
      <c r="G6234" s="94" t="str">
        <f t="shared" si="2"/>
        <v/>
      </c>
      <c r="H6234" s="94" t="str">
        <f t="shared" si="3"/>
        <v/>
      </c>
      <c r="I6234" s="94" t="str">
        <f t="shared" ref="I6234:J6234" si="6235">if(G6234 = "", , -G6234)</f>
        <v/>
      </c>
      <c r="J6234" s="94" t="str">
        <f t="shared" si="6235"/>
        <v/>
      </c>
      <c r="K6234" s="100"/>
      <c r="M6234" s="100"/>
      <c r="N6234" s="100"/>
      <c r="O6234" s="100"/>
      <c r="P6234" s="100"/>
    </row>
    <row r="6235">
      <c r="A6235" s="107">
        <v>1631094.0</v>
      </c>
      <c r="B6235" s="116" t="s">
        <v>245</v>
      </c>
      <c r="C6235" s="116" t="s">
        <v>1550</v>
      </c>
      <c r="D6235" s="24" t="s">
        <v>178</v>
      </c>
      <c r="E6235" s="24">
        <v>2800.0</v>
      </c>
      <c r="F6235" s="111" t="str">
        <f>DataPull!D6235</f>
        <v/>
      </c>
      <c r="G6235" s="94" t="str">
        <f t="shared" si="2"/>
        <v/>
      </c>
      <c r="H6235" s="94" t="str">
        <f t="shared" si="3"/>
        <v/>
      </c>
      <c r="I6235" s="94" t="str">
        <f t="shared" ref="I6235:J6235" si="6236">if(G6235 = "", , -G6235)</f>
        <v/>
      </c>
      <c r="J6235" s="94" t="str">
        <f t="shared" si="6236"/>
        <v/>
      </c>
      <c r="K6235" s="100"/>
      <c r="M6235" s="100"/>
      <c r="N6235" s="100"/>
      <c r="O6235" s="100"/>
      <c r="P6235" s="100"/>
    </row>
    <row r="6236">
      <c r="A6236" s="107">
        <v>1631094.0</v>
      </c>
      <c r="B6236" s="116" t="s">
        <v>246</v>
      </c>
      <c r="C6236" s="116" t="s">
        <v>1550</v>
      </c>
      <c r="D6236" s="24" t="s">
        <v>184</v>
      </c>
      <c r="E6236" s="24">
        <v>1582.4</v>
      </c>
      <c r="F6236" s="111" t="str">
        <f>DataPull!D6236</f>
        <v/>
      </c>
      <c r="G6236" s="94" t="str">
        <f t="shared" si="2"/>
        <v/>
      </c>
      <c r="H6236" s="94" t="str">
        <f t="shared" si="3"/>
        <v/>
      </c>
      <c r="I6236" s="94" t="str">
        <f t="shared" ref="I6236:J6236" si="6237">if(G6236 = "", , -G6236)</f>
        <v/>
      </c>
      <c r="J6236" s="94" t="str">
        <f t="shared" si="6237"/>
        <v/>
      </c>
      <c r="K6236" s="100"/>
      <c r="M6236" s="100"/>
      <c r="N6236" s="100"/>
      <c r="O6236" s="100"/>
      <c r="P6236" s="100"/>
    </row>
    <row r="6237">
      <c r="A6237" s="114">
        <v>1631094.0</v>
      </c>
      <c r="B6237" s="131" t="s">
        <v>247</v>
      </c>
      <c r="C6237" s="131" t="s">
        <v>1550</v>
      </c>
      <c r="D6237" s="24" t="s">
        <v>184</v>
      </c>
      <c r="E6237" s="24">
        <v>2498.4</v>
      </c>
      <c r="F6237" s="111" t="str">
        <f>DataPull!D6237</f>
        <v/>
      </c>
      <c r="G6237" s="94" t="str">
        <f t="shared" si="2"/>
        <v/>
      </c>
      <c r="H6237" s="94" t="str">
        <f t="shared" si="3"/>
        <v/>
      </c>
      <c r="I6237" s="94" t="str">
        <f t="shared" ref="I6237:J6237" si="6238">if(G6237 = "", , -G6237)</f>
        <v/>
      </c>
      <c r="J6237" s="94" t="str">
        <f t="shared" si="6238"/>
        <v/>
      </c>
      <c r="K6237" s="100"/>
      <c r="M6237" s="100"/>
      <c r="N6237" s="100"/>
      <c r="O6237" s="100"/>
      <c r="P6237" s="100"/>
    </row>
    <row r="6238">
      <c r="A6238" s="107">
        <v>1631095.0</v>
      </c>
      <c r="B6238" s="116" t="s">
        <v>244</v>
      </c>
      <c r="C6238" s="116" t="s">
        <v>1551</v>
      </c>
      <c r="D6238" s="24" t="s">
        <v>178</v>
      </c>
      <c r="E6238" s="24">
        <v>2449.0</v>
      </c>
      <c r="F6238" s="111" t="str">
        <f>DataPull!D6238</f>
        <v/>
      </c>
      <c r="G6238" s="94" t="str">
        <f t="shared" si="2"/>
        <v/>
      </c>
      <c r="H6238" s="94" t="str">
        <f t="shared" si="3"/>
        <v/>
      </c>
      <c r="I6238" s="94" t="str">
        <f t="shared" ref="I6238:J6238" si="6239">if(G6238 = "", , -G6238)</f>
        <v/>
      </c>
      <c r="J6238" s="94" t="str">
        <f t="shared" si="6239"/>
        <v/>
      </c>
      <c r="K6238" s="100"/>
      <c r="M6238" s="100"/>
      <c r="N6238" s="100"/>
      <c r="O6238" s="100"/>
      <c r="P6238" s="100"/>
    </row>
    <row r="6239">
      <c r="A6239" s="107">
        <v>1631095.0</v>
      </c>
      <c r="B6239" s="116" t="s">
        <v>245</v>
      </c>
      <c r="C6239" s="116" t="s">
        <v>1551</v>
      </c>
      <c r="D6239" s="24" t="s">
        <v>178</v>
      </c>
      <c r="E6239" s="24">
        <v>2424.4</v>
      </c>
      <c r="F6239" s="111" t="str">
        <f>DataPull!D6239</f>
        <v/>
      </c>
      <c r="G6239" s="94" t="str">
        <f t="shared" si="2"/>
        <v/>
      </c>
      <c r="H6239" s="94" t="str">
        <f t="shared" si="3"/>
        <v/>
      </c>
      <c r="I6239" s="94" t="str">
        <f t="shared" ref="I6239:J6239" si="6240">if(G6239 = "", , -G6239)</f>
        <v/>
      </c>
      <c r="J6239" s="94" t="str">
        <f t="shared" si="6240"/>
        <v/>
      </c>
      <c r="K6239" s="100"/>
      <c r="M6239" s="100"/>
      <c r="N6239" s="100"/>
      <c r="O6239" s="100"/>
      <c r="P6239" s="100"/>
    </row>
    <row r="6240">
      <c r="A6240" s="107">
        <v>1631095.0</v>
      </c>
      <c r="B6240" s="116" t="s">
        <v>246</v>
      </c>
      <c r="C6240" s="116" t="s">
        <v>1551</v>
      </c>
      <c r="D6240" s="24" t="s">
        <v>176</v>
      </c>
      <c r="E6240" s="24">
        <v>1715.7</v>
      </c>
      <c r="F6240" s="111" t="str">
        <f>DataPull!D6240</f>
        <v/>
      </c>
      <c r="G6240" s="94" t="str">
        <f t="shared" si="2"/>
        <v/>
      </c>
      <c r="H6240" s="94" t="str">
        <f t="shared" si="3"/>
        <v/>
      </c>
      <c r="I6240" s="94" t="str">
        <f t="shared" ref="I6240:J6240" si="6241">if(G6240 = "", , -G6240)</f>
        <v/>
      </c>
      <c r="J6240" s="94" t="str">
        <f t="shared" si="6241"/>
        <v/>
      </c>
      <c r="K6240" s="100"/>
      <c r="M6240" s="100"/>
      <c r="N6240" s="100"/>
      <c r="O6240" s="100"/>
      <c r="P6240" s="100"/>
    </row>
    <row r="6241">
      <c r="A6241" s="114">
        <v>1631095.0</v>
      </c>
      <c r="B6241" s="131" t="s">
        <v>247</v>
      </c>
      <c r="C6241" s="116" t="s">
        <v>1551</v>
      </c>
      <c r="D6241" s="24" t="s">
        <v>178</v>
      </c>
      <c r="E6241" s="24">
        <v>2702.7</v>
      </c>
      <c r="F6241" s="111" t="str">
        <f>DataPull!D6241</f>
        <v/>
      </c>
      <c r="G6241" s="94" t="str">
        <f t="shared" si="2"/>
        <v/>
      </c>
      <c r="H6241" s="94" t="str">
        <f t="shared" si="3"/>
        <v/>
      </c>
      <c r="I6241" s="94" t="str">
        <f t="shared" ref="I6241:J6241" si="6242">if(G6241 = "", , -G6241)</f>
        <v/>
      </c>
      <c r="J6241" s="94" t="str">
        <f t="shared" si="6242"/>
        <v/>
      </c>
      <c r="K6241" s="100"/>
      <c r="M6241" s="100"/>
      <c r="N6241" s="100"/>
      <c r="O6241" s="100"/>
      <c r="P6241" s="100"/>
    </row>
    <row r="6242">
      <c r="A6242" s="107">
        <v>1631096.0</v>
      </c>
      <c r="B6242" s="116" t="s">
        <v>245</v>
      </c>
      <c r="C6242" s="116" t="s">
        <v>1552</v>
      </c>
      <c r="D6242" s="24" t="s">
        <v>184</v>
      </c>
      <c r="E6242" s="24">
        <v>2410.8</v>
      </c>
      <c r="F6242" s="111" t="str">
        <f>DataPull!D6242</f>
        <v/>
      </c>
      <c r="G6242" s="94" t="str">
        <f t="shared" si="2"/>
        <v/>
      </c>
      <c r="H6242" s="94" t="str">
        <f t="shared" si="3"/>
        <v/>
      </c>
      <c r="I6242" s="94" t="str">
        <f t="shared" ref="I6242:J6242" si="6243">if(G6242 = "", , -G6242)</f>
        <v/>
      </c>
      <c r="J6242" s="94" t="str">
        <f t="shared" si="6243"/>
        <v/>
      </c>
      <c r="K6242" s="100"/>
      <c r="M6242" s="100"/>
      <c r="N6242" s="100"/>
      <c r="O6242" s="100"/>
      <c r="P6242" s="100"/>
    </row>
    <row r="6243">
      <c r="A6243" s="107">
        <v>1631096.0</v>
      </c>
      <c r="B6243" s="116" t="s">
        <v>246</v>
      </c>
      <c r="C6243" s="116" t="s">
        <v>1552</v>
      </c>
      <c r="D6243" s="24" t="s">
        <v>176</v>
      </c>
      <c r="E6243" s="24">
        <v>876.8</v>
      </c>
      <c r="F6243" s="111" t="str">
        <f>DataPull!D6243</f>
        <v/>
      </c>
      <c r="G6243" s="94" t="str">
        <f t="shared" si="2"/>
        <v/>
      </c>
      <c r="H6243" s="94" t="str">
        <f t="shared" si="3"/>
        <v/>
      </c>
      <c r="I6243" s="94" t="str">
        <f t="shared" ref="I6243:J6243" si="6244">if(G6243 = "", , -G6243)</f>
        <v/>
      </c>
      <c r="J6243" s="94" t="str">
        <f t="shared" si="6244"/>
        <v/>
      </c>
      <c r="K6243" s="100"/>
      <c r="M6243" s="100"/>
      <c r="N6243" s="100"/>
      <c r="O6243" s="100"/>
      <c r="P6243" s="100"/>
    </row>
    <row r="6244">
      <c r="A6244" s="114">
        <v>1631096.0</v>
      </c>
      <c r="B6244" s="131" t="s">
        <v>247</v>
      </c>
      <c r="C6244" s="131" t="s">
        <v>1552</v>
      </c>
      <c r="D6244" s="24" t="s">
        <v>184</v>
      </c>
      <c r="E6244" s="24">
        <v>1994.1</v>
      </c>
      <c r="F6244" s="111" t="str">
        <f>DataPull!D6244</f>
        <v/>
      </c>
      <c r="G6244" s="94" t="str">
        <f t="shared" si="2"/>
        <v/>
      </c>
      <c r="H6244" s="94" t="str">
        <f t="shared" si="3"/>
        <v/>
      </c>
      <c r="I6244" s="94" t="str">
        <f t="shared" ref="I6244:J6244" si="6245">if(G6244 = "", , -G6244)</f>
        <v/>
      </c>
      <c r="J6244" s="94" t="str">
        <f t="shared" si="6245"/>
        <v/>
      </c>
      <c r="K6244" s="100"/>
      <c r="M6244" s="100"/>
      <c r="N6244" s="100"/>
      <c r="O6244" s="100"/>
      <c r="P6244" s="100"/>
    </row>
    <row r="6245">
      <c r="A6245" s="107">
        <v>1631097.0</v>
      </c>
      <c r="B6245" s="116" t="s">
        <v>244</v>
      </c>
      <c r="C6245" s="116" t="s">
        <v>1553</v>
      </c>
      <c r="D6245" s="24" t="s">
        <v>178</v>
      </c>
      <c r="E6245" s="24">
        <v>2223.0</v>
      </c>
      <c r="F6245" s="111" t="str">
        <f>DataPull!D6245</f>
        <v/>
      </c>
      <c r="G6245" s="94" t="str">
        <f t="shared" si="2"/>
        <v/>
      </c>
      <c r="H6245" s="94" t="str">
        <f t="shared" si="3"/>
        <v/>
      </c>
      <c r="I6245" s="94" t="str">
        <f t="shared" ref="I6245:J6245" si="6246">if(G6245 = "", , -G6245)</f>
        <v/>
      </c>
      <c r="J6245" s="94" t="str">
        <f t="shared" si="6246"/>
        <v/>
      </c>
      <c r="K6245" s="100"/>
      <c r="M6245" s="100"/>
      <c r="N6245" s="100"/>
      <c r="O6245" s="100"/>
      <c r="P6245" s="100"/>
    </row>
    <row r="6246">
      <c r="A6246" s="107">
        <v>1631097.0</v>
      </c>
      <c r="B6246" s="116" t="s">
        <v>245</v>
      </c>
      <c r="C6246" s="116" t="s">
        <v>1553</v>
      </c>
      <c r="D6246" s="24" t="s">
        <v>176</v>
      </c>
      <c r="E6246" s="24">
        <v>1539.9</v>
      </c>
      <c r="F6246" s="111" t="str">
        <f>DataPull!D6246</f>
        <v/>
      </c>
      <c r="G6246" s="94" t="str">
        <f t="shared" si="2"/>
        <v/>
      </c>
      <c r="H6246" s="94" t="str">
        <f t="shared" si="3"/>
        <v/>
      </c>
      <c r="I6246" s="94" t="str">
        <f t="shared" ref="I6246:J6246" si="6247">if(G6246 = "", , -G6246)</f>
        <v/>
      </c>
      <c r="J6246" s="94" t="str">
        <f t="shared" si="6247"/>
        <v/>
      </c>
      <c r="K6246" s="100"/>
      <c r="M6246" s="100"/>
      <c r="N6246" s="100"/>
      <c r="O6246" s="100"/>
      <c r="P6246" s="100"/>
    </row>
    <row r="6247">
      <c r="A6247" s="107">
        <v>1631097.0</v>
      </c>
      <c r="B6247" s="116" t="s">
        <v>246</v>
      </c>
      <c r="C6247" s="116" t="s">
        <v>1553</v>
      </c>
      <c r="D6247" s="24" t="s">
        <v>178</v>
      </c>
      <c r="E6247" s="24">
        <v>2152.8</v>
      </c>
      <c r="F6247" s="111" t="str">
        <f>DataPull!D6247</f>
        <v/>
      </c>
      <c r="G6247" s="94" t="str">
        <f t="shared" si="2"/>
        <v/>
      </c>
      <c r="H6247" s="94" t="str">
        <f t="shared" si="3"/>
        <v/>
      </c>
      <c r="I6247" s="94" t="str">
        <f t="shared" ref="I6247:J6247" si="6248">if(G6247 = "", , -G6247)</f>
        <v/>
      </c>
      <c r="J6247" s="94" t="str">
        <f t="shared" si="6248"/>
        <v/>
      </c>
      <c r="K6247" s="100"/>
      <c r="M6247" s="100"/>
      <c r="N6247" s="100"/>
      <c r="O6247" s="100"/>
      <c r="P6247" s="100"/>
    </row>
    <row r="6248">
      <c r="A6248" s="114">
        <v>1631097.0</v>
      </c>
      <c r="B6248" s="131" t="s">
        <v>247</v>
      </c>
      <c r="C6248" s="131" t="s">
        <v>1553</v>
      </c>
      <c r="D6248" s="24" t="s">
        <v>178</v>
      </c>
      <c r="E6248" s="24">
        <v>1620.0</v>
      </c>
      <c r="F6248" s="111" t="str">
        <f>DataPull!D6248</f>
        <v/>
      </c>
      <c r="G6248" s="94" t="str">
        <f t="shared" si="2"/>
        <v/>
      </c>
      <c r="H6248" s="94" t="str">
        <f t="shared" si="3"/>
        <v/>
      </c>
      <c r="I6248" s="94" t="str">
        <f t="shared" ref="I6248:J6248" si="6249">if(G6248 = "", , -G6248)</f>
        <v/>
      </c>
      <c r="J6248" s="94" t="str">
        <f t="shared" si="6249"/>
        <v/>
      </c>
      <c r="K6248" s="100"/>
      <c r="M6248" s="100"/>
      <c r="N6248" s="100"/>
      <c r="O6248" s="100"/>
      <c r="P6248" s="100"/>
    </row>
    <row r="6249">
      <c r="A6249" s="107">
        <v>1631098.0</v>
      </c>
      <c r="B6249" s="116" t="s">
        <v>244</v>
      </c>
      <c r="C6249" s="116" t="s">
        <v>1554</v>
      </c>
      <c r="D6249" s="24"/>
      <c r="E6249" s="24">
        <v>422.8</v>
      </c>
      <c r="F6249" s="111" t="str">
        <f>DataPull!D6249</f>
        <v/>
      </c>
      <c r="G6249" s="94" t="str">
        <f t="shared" si="2"/>
        <v/>
      </c>
      <c r="H6249" s="94" t="str">
        <f t="shared" si="3"/>
        <v/>
      </c>
      <c r="I6249" s="94" t="str">
        <f t="shared" ref="I6249:J6249" si="6250">if(G6249 = "", , -G6249)</f>
        <v/>
      </c>
      <c r="J6249" s="94" t="str">
        <f t="shared" si="6250"/>
        <v/>
      </c>
      <c r="K6249" s="100"/>
      <c r="M6249" s="100"/>
      <c r="N6249" s="100"/>
      <c r="O6249" s="100"/>
      <c r="P6249" s="100"/>
    </row>
    <row r="6250">
      <c r="A6250" s="107">
        <v>1631098.0</v>
      </c>
      <c r="B6250" s="116" t="s">
        <v>245</v>
      </c>
      <c r="C6250" s="116" t="s">
        <v>1554</v>
      </c>
      <c r="D6250" s="24"/>
      <c r="E6250" s="24">
        <v>615.0</v>
      </c>
      <c r="F6250" s="111" t="str">
        <f>DataPull!D6250</f>
        <v/>
      </c>
      <c r="G6250" s="94" t="str">
        <f t="shared" si="2"/>
        <v/>
      </c>
      <c r="H6250" s="94" t="str">
        <f t="shared" si="3"/>
        <v/>
      </c>
      <c r="I6250" s="94" t="str">
        <f t="shared" ref="I6250:J6250" si="6251">if(G6250 = "", , -G6250)</f>
        <v/>
      </c>
      <c r="J6250" s="94" t="str">
        <f t="shared" si="6251"/>
        <v/>
      </c>
      <c r="K6250" s="100"/>
      <c r="M6250" s="100"/>
      <c r="N6250" s="100"/>
      <c r="O6250" s="100"/>
      <c r="P6250" s="100"/>
    </row>
    <row r="6251">
      <c r="A6251" s="107">
        <v>1631098.0</v>
      </c>
      <c r="B6251" s="116" t="s">
        <v>246</v>
      </c>
      <c r="C6251" s="116" t="s">
        <v>1554</v>
      </c>
      <c r="D6251" s="24"/>
      <c r="E6251" s="24">
        <v>241.4</v>
      </c>
      <c r="F6251" s="111" t="str">
        <f>DataPull!D6251</f>
        <v/>
      </c>
      <c r="G6251" s="94" t="str">
        <f t="shared" si="2"/>
        <v/>
      </c>
      <c r="H6251" s="94" t="str">
        <f t="shared" si="3"/>
        <v/>
      </c>
      <c r="I6251" s="94" t="str">
        <f t="shared" ref="I6251:J6251" si="6252">if(G6251 = "", , -G6251)</f>
        <v/>
      </c>
      <c r="J6251" s="94" t="str">
        <f t="shared" si="6252"/>
        <v/>
      </c>
      <c r="K6251" s="100"/>
      <c r="M6251" s="100"/>
      <c r="N6251" s="100"/>
      <c r="O6251" s="100"/>
      <c r="P6251" s="100"/>
    </row>
    <row r="6252">
      <c r="A6252" s="107">
        <v>1631099.0</v>
      </c>
      <c r="B6252" s="116" t="s">
        <v>244</v>
      </c>
      <c r="C6252" s="116" t="s">
        <v>1555</v>
      </c>
      <c r="D6252" s="24" t="s">
        <v>178</v>
      </c>
      <c r="E6252" s="24">
        <v>2384.0</v>
      </c>
      <c r="F6252" s="111" t="str">
        <f>DataPull!D6252</f>
        <v/>
      </c>
      <c r="G6252" s="94" t="str">
        <f t="shared" si="2"/>
        <v/>
      </c>
      <c r="H6252" s="94" t="str">
        <f t="shared" si="3"/>
        <v/>
      </c>
      <c r="I6252" s="94" t="str">
        <f t="shared" ref="I6252:J6252" si="6253">if(G6252 = "", , -G6252)</f>
        <v/>
      </c>
      <c r="J6252" s="94" t="str">
        <f t="shared" si="6253"/>
        <v/>
      </c>
      <c r="K6252" s="100"/>
      <c r="M6252" s="100"/>
      <c r="N6252" s="100"/>
      <c r="O6252" s="100"/>
      <c r="P6252" s="100"/>
    </row>
    <row r="6253">
      <c r="A6253" s="107">
        <v>1631099.0</v>
      </c>
      <c r="B6253" s="116" t="s">
        <v>245</v>
      </c>
      <c r="C6253" s="116" t="s">
        <v>1555</v>
      </c>
      <c r="D6253" s="24" t="s">
        <v>178</v>
      </c>
      <c r="E6253" s="24">
        <v>2587.2</v>
      </c>
      <c r="F6253" s="111" t="str">
        <f>DataPull!D6253</f>
        <v/>
      </c>
      <c r="G6253" s="94" t="str">
        <f t="shared" si="2"/>
        <v/>
      </c>
      <c r="H6253" s="94" t="str">
        <f t="shared" si="3"/>
        <v/>
      </c>
      <c r="I6253" s="94" t="str">
        <f t="shared" ref="I6253:J6253" si="6254">if(G6253 = "", , -G6253)</f>
        <v/>
      </c>
      <c r="J6253" s="94" t="str">
        <f t="shared" si="6254"/>
        <v/>
      </c>
      <c r="K6253" s="100"/>
      <c r="M6253" s="100"/>
      <c r="N6253" s="100"/>
      <c r="O6253" s="100"/>
      <c r="P6253" s="100"/>
    </row>
    <row r="6254">
      <c r="A6254" s="107">
        <v>1631099.0</v>
      </c>
      <c r="B6254" s="116" t="s">
        <v>246</v>
      </c>
      <c r="C6254" s="116" t="s">
        <v>1555</v>
      </c>
      <c r="D6254" s="24" t="s">
        <v>178</v>
      </c>
      <c r="E6254" s="24">
        <v>2606.8</v>
      </c>
      <c r="F6254" s="111" t="str">
        <f>DataPull!D6254</f>
        <v/>
      </c>
      <c r="G6254" s="94" t="str">
        <f t="shared" si="2"/>
        <v/>
      </c>
      <c r="H6254" s="94" t="str">
        <f t="shared" si="3"/>
        <v/>
      </c>
      <c r="I6254" s="94" t="str">
        <f t="shared" ref="I6254:J6254" si="6255">if(G6254 = "", , -G6254)</f>
        <v/>
      </c>
      <c r="J6254" s="94" t="str">
        <f t="shared" si="6255"/>
        <v/>
      </c>
      <c r="K6254" s="100"/>
      <c r="M6254" s="100"/>
      <c r="N6254" s="100"/>
      <c r="O6254" s="100"/>
      <c r="P6254" s="100"/>
    </row>
    <row r="6255">
      <c r="A6255" s="89">
        <v>1631099.0</v>
      </c>
      <c r="B6255" s="131" t="s">
        <v>247</v>
      </c>
      <c r="C6255" s="131" t="s">
        <v>1555</v>
      </c>
      <c r="D6255" s="24" t="s">
        <v>178</v>
      </c>
      <c r="E6255" s="24">
        <v>793.5</v>
      </c>
      <c r="F6255" s="111" t="str">
        <f>DataPull!D6255</f>
        <v/>
      </c>
      <c r="G6255" s="94" t="str">
        <f t="shared" si="2"/>
        <v/>
      </c>
      <c r="H6255" s="94" t="str">
        <f t="shared" si="3"/>
        <v/>
      </c>
      <c r="I6255" s="94" t="str">
        <f t="shared" ref="I6255:J6255" si="6256">if(G6255 = "", , -G6255)</f>
        <v/>
      </c>
      <c r="J6255" s="94" t="str">
        <f t="shared" si="6256"/>
        <v/>
      </c>
      <c r="K6255" s="100"/>
      <c r="M6255" s="100"/>
      <c r="N6255" s="100"/>
      <c r="O6255" s="100"/>
      <c r="P6255" s="100"/>
    </row>
    <row r="6256">
      <c r="A6256" s="107">
        <v>1631100.0</v>
      </c>
      <c r="B6256" s="116" t="s">
        <v>244</v>
      </c>
      <c r="C6256" s="116" t="s">
        <v>1556</v>
      </c>
      <c r="D6256" s="24" t="s">
        <v>177</v>
      </c>
      <c r="E6256" s="24">
        <v>1404.0</v>
      </c>
      <c r="F6256" s="111" t="str">
        <f>DataPull!D6256</f>
        <v/>
      </c>
      <c r="G6256" s="94" t="str">
        <f t="shared" si="2"/>
        <v/>
      </c>
      <c r="H6256" s="94" t="str">
        <f t="shared" si="3"/>
        <v/>
      </c>
      <c r="I6256" s="94" t="str">
        <f t="shared" ref="I6256:J6256" si="6257">if(G6256 = "", , -G6256)</f>
        <v/>
      </c>
      <c r="J6256" s="94" t="str">
        <f t="shared" si="6257"/>
        <v/>
      </c>
      <c r="K6256" s="100"/>
      <c r="M6256" s="100"/>
      <c r="N6256" s="100"/>
      <c r="O6256" s="100"/>
      <c r="P6256" s="100"/>
    </row>
    <row r="6257">
      <c r="A6257" s="107">
        <v>1631100.0</v>
      </c>
      <c r="B6257" s="116" t="s">
        <v>245</v>
      </c>
      <c r="C6257" s="116" t="s">
        <v>1556</v>
      </c>
      <c r="D6257" s="24" t="s">
        <v>187</v>
      </c>
      <c r="E6257" s="24">
        <v>170.0</v>
      </c>
      <c r="F6257" s="111" t="str">
        <f>DataPull!D6257</f>
        <v/>
      </c>
      <c r="G6257" s="94" t="str">
        <f t="shared" si="2"/>
        <v/>
      </c>
      <c r="H6257" s="94" t="str">
        <f t="shared" si="3"/>
        <v/>
      </c>
      <c r="I6257" s="94" t="str">
        <f t="shared" ref="I6257:J6257" si="6258">if(G6257 = "", , -G6257)</f>
        <v/>
      </c>
      <c r="J6257" s="94" t="str">
        <f t="shared" si="6258"/>
        <v/>
      </c>
      <c r="K6257" s="100"/>
      <c r="M6257" s="100"/>
      <c r="N6257" s="100"/>
      <c r="O6257" s="100"/>
      <c r="P6257" s="100"/>
    </row>
    <row r="6258">
      <c r="A6258" s="107">
        <v>1631101.0</v>
      </c>
      <c r="B6258" s="116" t="s">
        <v>244</v>
      </c>
      <c r="C6258" s="116" t="s">
        <v>1557</v>
      </c>
      <c r="D6258" s="24" t="s">
        <v>176</v>
      </c>
      <c r="E6258" s="24">
        <v>1776.0</v>
      </c>
      <c r="F6258" s="111" t="str">
        <f>DataPull!D6258</f>
        <v/>
      </c>
      <c r="G6258" s="94" t="str">
        <f t="shared" si="2"/>
        <v/>
      </c>
      <c r="H6258" s="94" t="str">
        <f t="shared" si="3"/>
        <v/>
      </c>
      <c r="I6258" s="94" t="str">
        <f t="shared" ref="I6258:J6258" si="6259">if(G6258 = "", , -G6258)</f>
        <v/>
      </c>
      <c r="J6258" s="94" t="str">
        <f t="shared" si="6259"/>
        <v/>
      </c>
      <c r="K6258" s="100"/>
      <c r="M6258" s="100"/>
      <c r="N6258" s="100"/>
      <c r="O6258" s="100"/>
      <c r="P6258" s="100"/>
    </row>
    <row r="6259">
      <c r="A6259" s="107">
        <v>1631101.0</v>
      </c>
      <c r="B6259" s="116" t="s">
        <v>245</v>
      </c>
      <c r="C6259" s="116" t="s">
        <v>1557</v>
      </c>
      <c r="D6259" s="24" t="s">
        <v>178</v>
      </c>
      <c r="E6259" s="24">
        <v>1059.2</v>
      </c>
      <c r="F6259" s="111" t="str">
        <f>DataPull!D6259</f>
        <v/>
      </c>
      <c r="G6259" s="94" t="str">
        <f t="shared" si="2"/>
        <v/>
      </c>
      <c r="H6259" s="94" t="str">
        <f t="shared" si="3"/>
        <v/>
      </c>
      <c r="I6259" s="94" t="str">
        <f t="shared" ref="I6259:J6259" si="6260">if(G6259 = "", , -G6259)</f>
        <v/>
      </c>
      <c r="J6259" s="94" t="str">
        <f t="shared" si="6260"/>
        <v/>
      </c>
      <c r="K6259" s="100"/>
      <c r="M6259" s="100"/>
      <c r="N6259" s="100"/>
      <c r="O6259" s="100"/>
      <c r="P6259" s="100"/>
    </row>
    <row r="6260">
      <c r="A6260" s="107">
        <v>1631101.0</v>
      </c>
      <c r="B6260" s="116" t="s">
        <v>246</v>
      </c>
      <c r="C6260" s="116" t="s">
        <v>1557</v>
      </c>
      <c r="D6260" s="24" t="s">
        <v>178</v>
      </c>
      <c r="E6260" s="24">
        <v>2253.6</v>
      </c>
      <c r="F6260" s="111" t="str">
        <f>DataPull!D6260</f>
        <v/>
      </c>
      <c r="G6260" s="94" t="str">
        <f t="shared" si="2"/>
        <v/>
      </c>
      <c r="H6260" s="94" t="str">
        <f t="shared" si="3"/>
        <v/>
      </c>
      <c r="I6260" s="94" t="str">
        <f t="shared" ref="I6260:J6260" si="6261">if(G6260 = "", , -G6260)</f>
        <v/>
      </c>
      <c r="J6260" s="94" t="str">
        <f t="shared" si="6261"/>
        <v/>
      </c>
      <c r="K6260" s="100"/>
      <c r="M6260" s="100"/>
      <c r="N6260" s="100"/>
      <c r="O6260" s="100"/>
      <c r="P6260" s="100"/>
    </row>
    <row r="6261">
      <c r="A6261" s="114">
        <v>1631101.0</v>
      </c>
      <c r="B6261" s="131" t="s">
        <v>247</v>
      </c>
      <c r="C6261" s="131" t="s">
        <v>1557</v>
      </c>
      <c r="D6261" s="24" t="s">
        <v>178</v>
      </c>
      <c r="E6261" s="24">
        <v>1470.0</v>
      </c>
      <c r="F6261" s="111" t="str">
        <f>DataPull!D6261</f>
        <v/>
      </c>
      <c r="G6261" s="94" t="str">
        <f t="shared" si="2"/>
        <v/>
      </c>
      <c r="H6261" s="94" t="str">
        <f t="shared" si="3"/>
        <v/>
      </c>
      <c r="I6261" s="94" t="str">
        <f t="shared" ref="I6261:J6261" si="6262">if(G6261 = "", , -G6261)</f>
        <v/>
      </c>
      <c r="J6261" s="94" t="str">
        <f t="shared" si="6262"/>
        <v/>
      </c>
      <c r="K6261" s="100"/>
      <c r="M6261" s="100"/>
      <c r="N6261" s="100"/>
      <c r="O6261" s="100"/>
      <c r="P6261" s="100"/>
    </row>
    <row r="6262">
      <c r="A6262" s="107">
        <v>1631102.0</v>
      </c>
      <c r="B6262" s="116" t="s">
        <v>244</v>
      </c>
      <c r="C6262" s="116" t="s">
        <v>1558</v>
      </c>
      <c r="D6262" s="24" t="s">
        <v>187</v>
      </c>
      <c r="E6262" s="24">
        <v>434.0</v>
      </c>
      <c r="F6262" s="111" t="str">
        <f>DataPull!D6262</f>
        <v/>
      </c>
      <c r="G6262" s="94" t="str">
        <f t="shared" si="2"/>
        <v/>
      </c>
      <c r="H6262" s="94" t="str">
        <f t="shared" si="3"/>
        <v/>
      </c>
      <c r="I6262" s="94" t="str">
        <f t="shared" ref="I6262:J6262" si="6263">if(G6262 = "", , -G6262)</f>
        <v/>
      </c>
      <c r="J6262" s="94" t="str">
        <f t="shared" si="6263"/>
        <v/>
      </c>
      <c r="K6262" s="100"/>
      <c r="M6262" s="100"/>
      <c r="N6262" s="100"/>
      <c r="O6262" s="100"/>
      <c r="P6262" s="100"/>
    </row>
    <row r="6263">
      <c r="A6263" s="107">
        <v>1631102.0</v>
      </c>
      <c r="B6263" s="116" t="s">
        <v>245</v>
      </c>
      <c r="C6263" s="116" t="s">
        <v>1558</v>
      </c>
      <c r="D6263" s="24" t="s">
        <v>187</v>
      </c>
      <c r="E6263" s="24">
        <v>56.1</v>
      </c>
      <c r="F6263" s="111" t="str">
        <f>DataPull!D6263</f>
        <v/>
      </c>
      <c r="G6263" s="94" t="str">
        <f t="shared" si="2"/>
        <v/>
      </c>
      <c r="H6263" s="94" t="str">
        <f t="shared" si="3"/>
        <v/>
      </c>
      <c r="I6263" s="94" t="str">
        <f t="shared" ref="I6263:J6263" si="6264">if(G6263 = "", , -G6263)</f>
        <v/>
      </c>
      <c r="J6263" s="94" t="str">
        <f t="shared" si="6264"/>
        <v/>
      </c>
      <c r="K6263" s="100"/>
      <c r="M6263" s="100"/>
      <c r="N6263" s="100"/>
      <c r="O6263" s="100"/>
      <c r="P6263" s="100"/>
    </row>
    <row r="6264">
      <c r="A6264" s="107">
        <v>1631102.0</v>
      </c>
      <c r="B6264" s="116" t="s">
        <v>246</v>
      </c>
      <c r="C6264" s="116" t="s">
        <v>1558</v>
      </c>
      <c r="D6264" s="24" t="s">
        <v>187</v>
      </c>
      <c r="E6264" s="24">
        <v>118.4</v>
      </c>
      <c r="F6264" s="111" t="str">
        <f>DataPull!D6264</f>
        <v/>
      </c>
      <c r="G6264" s="94" t="str">
        <f t="shared" si="2"/>
        <v/>
      </c>
      <c r="H6264" s="94" t="str">
        <f t="shared" si="3"/>
        <v/>
      </c>
      <c r="I6264" s="94" t="str">
        <f t="shared" ref="I6264:J6264" si="6265">if(G6264 = "", , -G6264)</f>
        <v/>
      </c>
      <c r="J6264" s="94" t="str">
        <f t="shared" si="6265"/>
        <v/>
      </c>
      <c r="K6264" s="100"/>
      <c r="M6264" s="100"/>
      <c r="N6264" s="100"/>
      <c r="O6264" s="100"/>
      <c r="P6264" s="100"/>
    </row>
    <row r="6265">
      <c r="A6265" s="126">
        <v>1631102.0</v>
      </c>
      <c r="B6265" s="141" t="s">
        <v>247</v>
      </c>
      <c r="C6265" s="141" t="s">
        <v>1558</v>
      </c>
      <c r="D6265" s="24" t="s">
        <v>181</v>
      </c>
      <c r="E6265" s="24">
        <v>88.0</v>
      </c>
      <c r="F6265" s="111" t="str">
        <f>DataPull!D6265</f>
        <v/>
      </c>
      <c r="G6265" s="94" t="str">
        <f t="shared" si="2"/>
        <v/>
      </c>
      <c r="H6265" s="94" t="str">
        <f t="shared" si="3"/>
        <v/>
      </c>
      <c r="I6265" s="94" t="str">
        <f t="shared" ref="I6265:J6265" si="6266">if(G6265 = "", , -G6265)</f>
        <v/>
      </c>
      <c r="J6265" s="94" t="str">
        <f t="shared" si="6266"/>
        <v/>
      </c>
      <c r="K6265" s="100"/>
      <c r="M6265" s="100"/>
      <c r="N6265" s="100"/>
      <c r="O6265" s="100"/>
      <c r="P6265" s="100"/>
    </row>
    <row r="6266">
      <c r="A6266" s="107">
        <v>1631103.0</v>
      </c>
      <c r="B6266" s="116" t="s">
        <v>244</v>
      </c>
      <c r="C6266" s="116" t="s">
        <v>1559</v>
      </c>
      <c r="D6266" s="24" t="s">
        <v>176</v>
      </c>
      <c r="E6266" s="24">
        <v>1551.0</v>
      </c>
      <c r="F6266" s="111" t="str">
        <f>DataPull!D6266</f>
        <v/>
      </c>
      <c r="G6266" s="94" t="str">
        <f t="shared" si="2"/>
        <v/>
      </c>
      <c r="H6266" s="94" t="str">
        <f t="shared" si="3"/>
        <v/>
      </c>
      <c r="I6266" s="94" t="str">
        <f t="shared" ref="I6266:J6266" si="6267">if(G6266 = "", , -G6266)</f>
        <v/>
      </c>
      <c r="J6266" s="94" t="str">
        <f t="shared" si="6267"/>
        <v/>
      </c>
      <c r="K6266" s="100"/>
      <c r="M6266" s="100"/>
      <c r="N6266" s="100"/>
      <c r="O6266" s="100"/>
      <c r="P6266" s="100"/>
    </row>
    <row r="6267">
      <c r="A6267" s="107">
        <v>1631103.0</v>
      </c>
      <c r="B6267" s="116" t="s">
        <v>245</v>
      </c>
      <c r="C6267" s="116" t="s">
        <v>1559</v>
      </c>
      <c r="D6267" s="24" t="s">
        <v>176</v>
      </c>
      <c r="E6267" s="24">
        <v>1597.5</v>
      </c>
      <c r="F6267" s="111" t="str">
        <f>DataPull!D6267</f>
        <v/>
      </c>
      <c r="G6267" s="94" t="str">
        <f t="shared" si="2"/>
        <v/>
      </c>
      <c r="H6267" s="94" t="str">
        <f t="shared" si="3"/>
        <v/>
      </c>
      <c r="I6267" s="94" t="str">
        <f t="shared" ref="I6267:J6267" si="6268">if(G6267 = "", , -G6267)</f>
        <v/>
      </c>
      <c r="J6267" s="94" t="str">
        <f t="shared" si="6268"/>
        <v/>
      </c>
      <c r="K6267" s="100"/>
      <c r="M6267" s="100"/>
      <c r="N6267" s="100"/>
      <c r="O6267" s="100"/>
      <c r="P6267" s="100"/>
    </row>
    <row r="6268">
      <c r="A6268" s="107">
        <v>1631103.0</v>
      </c>
      <c r="B6268" s="116" t="s">
        <v>246</v>
      </c>
      <c r="C6268" s="116" t="s">
        <v>1559</v>
      </c>
      <c r="D6268" s="24" t="s">
        <v>187</v>
      </c>
      <c r="E6268" s="24">
        <v>427.7</v>
      </c>
      <c r="F6268" s="111" t="str">
        <f>DataPull!D6268</f>
        <v/>
      </c>
      <c r="G6268" s="94" t="str">
        <f t="shared" si="2"/>
        <v/>
      </c>
      <c r="H6268" s="94" t="str">
        <f t="shared" si="3"/>
        <v/>
      </c>
      <c r="I6268" s="94" t="str">
        <f t="shared" ref="I6268:J6268" si="6269">if(G6268 = "", , -G6268)</f>
        <v/>
      </c>
      <c r="J6268" s="94" t="str">
        <f t="shared" si="6269"/>
        <v/>
      </c>
      <c r="K6268" s="100"/>
      <c r="M6268" s="100"/>
      <c r="N6268" s="100"/>
      <c r="O6268" s="100"/>
      <c r="P6268" s="100"/>
    </row>
    <row r="6269">
      <c r="A6269" s="114">
        <v>1631103.0</v>
      </c>
      <c r="B6269" s="131" t="s">
        <v>247</v>
      </c>
      <c r="C6269" s="131" t="s">
        <v>1559</v>
      </c>
      <c r="D6269" s="24" t="s">
        <v>187</v>
      </c>
      <c r="E6269" s="24">
        <v>274.4</v>
      </c>
      <c r="F6269" s="111" t="str">
        <f>DataPull!D6269</f>
        <v/>
      </c>
      <c r="G6269" s="94" t="str">
        <f t="shared" si="2"/>
        <v/>
      </c>
      <c r="H6269" s="94" t="str">
        <f t="shared" si="3"/>
        <v/>
      </c>
      <c r="I6269" s="94" t="str">
        <f t="shared" ref="I6269:J6269" si="6270">if(G6269 = "", , -G6269)</f>
        <v/>
      </c>
      <c r="J6269" s="94" t="str">
        <f t="shared" si="6270"/>
        <v/>
      </c>
      <c r="K6269" s="100"/>
      <c r="M6269" s="100"/>
      <c r="N6269" s="100"/>
      <c r="O6269" s="100"/>
      <c r="P6269" s="100"/>
    </row>
    <row r="6270">
      <c r="A6270" s="107">
        <v>1631104.0</v>
      </c>
      <c r="B6270" s="116" t="s">
        <v>244</v>
      </c>
      <c r="C6270" s="116" t="s">
        <v>1560</v>
      </c>
      <c r="D6270" s="24" t="s">
        <v>177</v>
      </c>
      <c r="E6270" s="24">
        <v>669.7</v>
      </c>
      <c r="F6270" s="111" t="str">
        <f>DataPull!D6270</f>
        <v/>
      </c>
      <c r="G6270" s="94" t="str">
        <f t="shared" si="2"/>
        <v/>
      </c>
      <c r="H6270" s="94" t="str">
        <f t="shared" si="3"/>
        <v/>
      </c>
      <c r="I6270" s="94" t="str">
        <f t="shared" ref="I6270:J6270" si="6271">if(G6270 = "", , -G6270)</f>
        <v/>
      </c>
      <c r="J6270" s="94" t="str">
        <f t="shared" si="6271"/>
        <v/>
      </c>
      <c r="K6270" s="100"/>
      <c r="M6270" s="100"/>
      <c r="N6270" s="100"/>
      <c r="O6270" s="100"/>
      <c r="P6270" s="100"/>
    </row>
    <row r="6271">
      <c r="A6271" s="107">
        <v>1631104.0</v>
      </c>
      <c r="B6271" s="116" t="s">
        <v>245</v>
      </c>
      <c r="C6271" s="116" t="s">
        <v>1560</v>
      </c>
      <c r="D6271" s="24" t="s">
        <v>177</v>
      </c>
      <c r="E6271" s="24">
        <v>878.4</v>
      </c>
      <c r="F6271" s="111" t="str">
        <f>DataPull!D6271</f>
        <v/>
      </c>
      <c r="G6271" s="94" t="str">
        <f t="shared" si="2"/>
        <v/>
      </c>
      <c r="H6271" s="94" t="str">
        <f t="shared" si="3"/>
        <v/>
      </c>
      <c r="I6271" s="94" t="str">
        <f t="shared" ref="I6271:J6271" si="6272">if(G6271 = "", , -G6271)</f>
        <v/>
      </c>
      <c r="J6271" s="94" t="str">
        <f t="shared" si="6272"/>
        <v/>
      </c>
      <c r="K6271" s="100"/>
      <c r="M6271" s="100"/>
      <c r="N6271" s="100"/>
      <c r="O6271" s="100"/>
      <c r="P6271" s="100"/>
    </row>
    <row r="6272">
      <c r="A6272" s="107">
        <v>1631104.0</v>
      </c>
      <c r="B6272" s="116" t="s">
        <v>246</v>
      </c>
      <c r="C6272" s="116" t="s">
        <v>1560</v>
      </c>
      <c r="D6272" s="24" t="s">
        <v>177</v>
      </c>
      <c r="E6272" s="24">
        <v>684.4</v>
      </c>
      <c r="F6272" s="111" t="str">
        <f>DataPull!D6272</f>
        <v/>
      </c>
      <c r="G6272" s="94" t="str">
        <f t="shared" si="2"/>
        <v/>
      </c>
      <c r="H6272" s="94" t="str">
        <f t="shared" si="3"/>
        <v/>
      </c>
      <c r="I6272" s="94" t="str">
        <f t="shared" ref="I6272:J6272" si="6273">if(G6272 = "", , -G6272)</f>
        <v/>
      </c>
      <c r="J6272" s="94" t="str">
        <f t="shared" si="6273"/>
        <v/>
      </c>
      <c r="K6272" s="100"/>
      <c r="M6272" s="100"/>
      <c r="N6272" s="100"/>
      <c r="O6272" s="100"/>
      <c r="P6272" s="100"/>
    </row>
    <row r="6273">
      <c r="A6273" s="114">
        <v>1631104.0</v>
      </c>
      <c r="B6273" s="131" t="s">
        <v>247</v>
      </c>
      <c r="C6273" s="131" t="s">
        <v>1560</v>
      </c>
      <c r="D6273" s="24" t="s">
        <v>177</v>
      </c>
      <c r="E6273" s="24">
        <v>359.6</v>
      </c>
      <c r="F6273" s="111" t="str">
        <f>DataPull!D6273</f>
        <v/>
      </c>
      <c r="G6273" s="94" t="str">
        <f t="shared" si="2"/>
        <v/>
      </c>
      <c r="H6273" s="94" t="str">
        <f t="shared" si="3"/>
        <v/>
      </c>
      <c r="I6273" s="94" t="str">
        <f t="shared" ref="I6273:J6273" si="6274">if(G6273 = "", , -G6273)</f>
        <v/>
      </c>
      <c r="J6273" s="94" t="str">
        <f t="shared" si="6274"/>
        <v/>
      </c>
      <c r="K6273" s="100"/>
      <c r="M6273" s="100"/>
      <c r="N6273" s="100"/>
      <c r="O6273" s="100"/>
      <c r="P6273" s="100"/>
    </row>
    <row r="6274">
      <c r="A6274" s="107">
        <v>1631105.0</v>
      </c>
      <c r="B6274" s="116" t="s">
        <v>244</v>
      </c>
      <c r="C6274" s="116" t="s">
        <v>1561</v>
      </c>
      <c r="D6274" s="24" t="s">
        <v>176</v>
      </c>
      <c r="E6274" s="24">
        <v>1668.3</v>
      </c>
      <c r="F6274" s="111" t="str">
        <f>DataPull!D6274</f>
        <v/>
      </c>
      <c r="G6274" s="94" t="str">
        <f t="shared" si="2"/>
        <v/>
      </c>
      <c r="H6274" s="94" t="str">
        <f t="shared" si="3"/>
        <v/>
      </c>
      <c r="I6274" s="94" t="str">
        <f t="shared" ref="I6274:J6274" si="6275">if(G6274 = "", , -G6274)</f>
        <v/>
      </c>
      <c r="J6274" s="94" t="str">
        <f t="shared" si="6275"/>
        <v/>
      </c>
      <c r="K6274" s="100"/>
      <c r="M6274" s="100"/>
      <c r="N6274" s="100"/>
      <c r="O6274" s="100"/>
      <c r="P6274" s="100"/>
    </row>
    <row r="6275">
      <c r="A6275" s="107">
        <v>1631105.0</v>
      </c>
      <c r="B6275" s="116" t="s">
        <v>245</v>
      </c>
      <c r="C6275" s="116" t="s">
        <v>1561</v>
      </c>
      <c r="D6275" s="24" t="s">
        <v>176</v>
      </c>
      <c r="E6275" s="24">
        <v>1775.1</v>
      </c>
      <c r="F6275" s="111" t="str">
        <f>DataPull!D6275</f>
        <v/>
      </c>
      <c r="G6275" s="94" t="str">
        <f t="shared" si="2"/>
        <v/>
      </c>
      <c r="H6275" s="94" t="str">
        <f t="shared" si="3"/>
        <v/>
      </c>
      <c r="I6275" s="94" t="str">
        <f t="shared" ref="I6275:J6275" si="6276">if(G6275 = "", , -G6275)</f>
        <v/>
      </c>
      <c r="J6275" s="94" t="str">
        <f t="shared" si="6276"/>
        <v/>
      </c>
      <c r="K6275" s="100"/>
      <c r="M6275" s="100"/>
      <c r="N6275" s="100"/>
      <c r="O6275" s="100"/>
      <c r="P6275" s="100"/>
    </row>
    <row r="6276">
      <c r="A6276" s="107">
        <v>1631105.0</v>
      </c>
      <c r="B6276" s="116" t="s">
        <v>246</v>
      </c>
      <c r="C6276" s="116" t="s">
        <v>1561</v>
      </c>
      <c r="D6276" s="24" t="s">
        <v>176</v>
      </c>
      <c r="E6276" s="24">
        <v>2035.8</v>
      </c>
      <c r="F6276" s="111" t="str">
        <f>DataPull!D6276</f>
        <v/>
      </c>
      <c r="G6276" s="94" t="str">
        <f t="shared" si="2"/>
        <v/>
      </c>
      <c r="H6276" s="94" t="str">
        <f t="shared" si="3"/>
        <v/>
      </c>
      <c r="I6276" s="94" t="str">
        <f t="shared" ref="I6276:J6276" si="6277">if(G6276 = "", , -G6276)</f>
        <v/>
      </c>
      <c r="J6276" s="94" t="str">
        <f t="shared" si="6277"/>
        <v/>
      </c>
      <c r="K6276" s="100"/>
      <c r="M6276" s="100"/>
      <c r="N6276" s="100"/>
      <c r="O6276" s="100"/>
      <c r="P6276" s="100"/>
    </row>
    <row r="6277">
      <c r="A6277" s="114">
        <v>1631105.0</v>
      </c>
      <c r="B6277" s="131" t="s">
        <v>247</v>
      </c>
      <c r="C6277" s="131" t="s">
        <v>1561</v>
      </c>
      <c r="D6277" s="24" t="s">
        <v>184</v>
      </c>
      <c r="E6277" s="24">
        <v>1974.0</v>
      </c>
      <c r="F6277" s="111" t="str">
        <f>DataPull!D6277</f>
        <v/>
      </c>
      <c r="G6277" s="94" t="str">
        <f t="shared" si="2"/>
        <v/>
      </c>
      <c r="H6277" s="94" t="str">
        <f t="shared" si="3"/>
        <v/>
      </c>
      <c r="I6277" s="94" t="str">
        <f t="shared" ref="I6277:J6277" si="6278">if(G6277 = "", , -G6277)</f>
        <v/>
      </c>
      <c r="J6277" s="94" t="str">
        <f t="shared" si="6278"/>
        <v/>
      </c>
      <c r="K6277" s="100"/>
      <c r="M6277" s="100"/>
      <c r="N6277" s="100"/>
      <c r="O6277" s="100"/>
      <c r="P6277" s="100"/>
    </row>
    <row r="6278">
      <c r="A6278" s="107">
        <v>1631106.0</v>
      </c>
      <c r="B6278" s="116" t="s">
        <v>244</v>
      </c>
      <c r="C6278" s="116" t="s">
        <v>1562</v>
      </c>
      <c r="D6278" s="24" t="s">
        <v>177</v>
      </c>
      <c r="E6278" s="24">
        <v>1771.2</v>
      </c>
      <c r="F6278" s="111" t="str">
        <f>DataPull!D6278</f>
        <v/>
      </c>
      <c r="G6278" s="94" t="str">
        <f t="shared" si="2"/>
        <v/>
      </c>
      <c r="H6278" s="94" t="str">
        <f t="shared" si="3"/>
        <v/>
      </c>
      <c r="I6278" s="94" t="str">
        <f t="shared" ref="I6278:J6278" si="6279">if(G6278 = "", , -G6278)</f>
        <v/>
      </c>
      <c r="J6278" s="94" t="str">
        <f t="shared" si="6279"/>
        <v/>
      </c>
      <c r="K6278" s="100"/>
      <c r="M6278" s="100"/>
      <c r="N6278" s="100"/>
      <c r="O6278" s="100"/>
      <c r="P6278" s="100"/>
    </row>
    <row r="6279">
      <c r="A6279" s="107">
        <v>1631106.0</v>
      </c>
      <c r="B6279" s="116" t="s">
        <v>245</v>
      </c>
      <c r="C6279" s="116" t="s">
        <v>1562</v>
      </c>
      <c r="D6279" s="24" t="s">
        <v>176</v>
      </c>
      <c r="E6279" s="24">
        <v>479.6</v>
      </c>
      <c r="F6279" s="111" t="str">
        <f>DataPull!D6279</f>
        <v/>
      </c>
      <c r="G6279" s="94" t="str">
        <f t="shared" si="2"/>
        <v/>
      </c>
      <c r="H6279" s="94" t="str">
        <f t="shared" si="3"/>
        <v/>
      </c>
      <c r="I6279" s="94" t="str">
        <f t="shared" ref="I6279:J6279" si="6280">if(G6279 = "", , -G6279)</f>
        <v/>
      </c>
      <c r="J6279" s="94" t="str">
        <f t="shared" si="6280"/>
        <v/>
      </c>
      <c r="K6279" s="100"/>
      <c r="M6279" s="100"/>
      <c r="N6279" s="100"/>
      <c r="O6279" s="100"/>
      <c r="P6279" s="100"/>
    </row>
    <row r="6280">
      <c r="A6280" s="107">
        <v>1631106.0</v>
      </c>
      <c r="B6280" s="116" t="s">
        <v>246</v>
      </c>
      <c r="C6280" s="116" t="s">
        <v>1562</v>
      </c>
      <c r="D6280" s="24" t="s">
        <v>176</v>
      </c>
      <c r="E6280" s="24">
        <v>1419.3</v>
      </c>
      <c r="F6280" s="111" t="str">
        <f>DataPull!D6280</f>
        <v/>
      </c>
      <c r="G6280" s="94" t="str">
        <f t="shared" si="2"/>
        <v/>
      </c>
      <c r="H6280" s="94" t="str">
        <f t="shared" si="3"/>
        <v/>
      </c>
      <c r="I6280" s="94" t="str">
        <f t="shared" ref="I6280:J6280" si="6281">if(G6280 = "", , -G6280)</f>
        <v/>
      </c>
      <c r="J6280" s="94" t="str">
        <f t="shared" si="6281"/>
        <v/>
      </c>
      <c r="K6280" s="100"/>
      <c r="M6280" s="100"/>
      <c r="N6280" s="100"/>
      <c r="O6280" s="100"/>
      <c r="P6280" s="100"/>
    </row>
    <row r="6281">
      <c r="A6281" s="114">
        <v>1631106.0</v>
      </c>
      <c r="B6281" s="131" t="s">
        <v>247</v>
      </c>
      <c r="C6281" s="131" t="s">
        <v>1562</v>
      </c>
      <c r="D6281" s="24" t="s">
        <v>178</v>
      </c>
      <c r="E6281" s="24">
        <v>1548.0</v>
      </c>
      <c r="F6281" s="111" t="str">
        <f>DataPull!D6281</f>
        <v/>
      </c>
      <c r="G6281" s="94" t="str">
        <f t="shared" si="2"/>
        <v/>
      </c>
      <c r="H6281" s="94" t="str">
        <f t="shared" si="3"/>
        <v/>
      </c>
      <c r="I6281" s="94" t="str">
        <f t="shared" ref="I6281:J6281" si="6282">if(G6281 = "", , -G6281)</f>
        <v/>
      </c>
      <c r="J6281" s="94" t="str">
        <f t="shared" si="6282"/>
        <v/>
      </c>
      <c r="K6281" s="100"/>
      <c r="M6281" s="100"/>
      <c r="N6281" s="100"/>
      <c r="O6281" s="100"/>
      <c r="P6281" s="100"/>
    </row>
    <row r="6282">
      <c r="A6282" s="107">
        <v>1631107.0</v>
      </c>
      <c r="B6282" s="116" t="s">
        <v>244</v>
      </c>
      <c r="C6282" s="116" t="s">
        <v>1563</v>
      </c>
      <c r="D6282" s="24" t="s">
        <v>187</v>
      </c>
      <c r="E6282" s="24">
        <v>204.0</v>
      </c>
      <c r="F6282" s="111" t="str">
        <f>DataPull!D6282</f>
        <v/>
      </c>
      <c r="G6282" s="94" t="str">
        <f t="shared" si="2"/>
        <v/>
      </c>
      <c r="H6282" s="94" t="str">
        <f t="shared" si="3"/>
        <v/>
      </c>
      <c r="I6282" s="94" t="str">
        <f t="shared" ref="I6282:J6282" si="6283">if(G6282 = "", , -G6282)</f>
        <v/>
      </c>
      <c r="J6282" s="94" t="str">
        <f t="shared" si="6283"/>
        <v/>
      </c>
      <c r="K6282" s="100"/>
      <c r="M6282" s="100"/>
      <c r="N6282" s="100"/>
      <c r="O6282" s="100"/>
      <c r="P6282" s="100"/>
    </row>
    <row r="6283">
      <c r="A6283" s="107">
        <v>1631107.0</v>
      </c>
      <c r="B6283" s="116" t="s">
        <v>245</v>
      </c>
      <c r="C6283" s="116" t="s">
        <v>1563</v>
      </c>
      <c r="D6283" s="24" t="s">
        <v>177</v>
      </c>
      <c r="E6283" s="24">
        <v>897.0</v>
      </c>
      <c r="F6283" s="111" t="str">
        <f>DataPull!D6283</f>
        <v/>
      </c>
      <c r="G6283" s="94" t="str">
        <f t="shared" si="2"/>
        <v/>
      </c>
      <c r="H6283" s="94" t="str">
        <f t="shared" si="3"/>
        <v/>
      </c>
      <c r="I6283" s="94" t="str">
        <f t="shared" ref="I6283:J6283" si="6284">if(G6283 = "", , -G6283)</f>
        <v/>
      </c>
      <c r="J6283" s="94" t="str">
        <f t="shared" si="6284"/>
        <v/>
      </c>
      <c r="K6283" s="100"/>
      <c r="M6283" s="100"/>
      <c r="N6283" s="100"/>
      <c r="O6283" s="100"/>
      <c r="P6283" s="100"/>
    </row>
    <row r="6284">
      <c r="A6284" s="107">
        <v>1631107.0</v>
      </c>
      <c r="B6284" s="116" t="s">
        <v>246</v>
      </c>
      <c r="C6284" s="116" t="s">
        <v>1563</v>
      </c>
      <c r="D6284" s="24" t="s">
        <v>176</v>
      </c>
      <c r="E6284" s="24">
        <v>1154.6</v>
      </c>
      <c r="F6284" s="111" t="str">
        <f>DataPull!D6284</f>
        <v/>
      </c>
      <c r="G6284" s="94" t="str">
        <f t="shared" si="2"/>
        <v/>
      </c>
      <c r="H6284" s="94" t="str">
        <f t="shared" si="3"/>
        <v/>
      </c>
      <c r="I6284" s="94" t="str">
        <f t="shared" ref="I6284:J6284" si="6285">if(G6284 = "", , -G6284)</f>
        <v/>
      </c>
      <c r="J6284" s="94" t="str">
        <f t="shared" si="6285"/>
        <v/>
      </c>
      <c r="K6284" s="100"/>
      <c r="M6284" s="100"/>
      <c r="N6284" s="100"/>
      <c r="O6284" s="100"/>
      <c r="P6284" s="100"/>
    </row>
    <row r="6285">
      <c r="A6285" s="114">
        <v>1631107.0</v>
      </c>
      <c r="B6285" s="131" t="s">
        <v>247</v>
      </c>
      <c r="C6285" s="116" t="s">
        <v>1563</v>
      </c>
      <c r="D6285" s="24" t="s">
        <v>177</v>
      </c>
      <c r="E6285" s="24">
        <v>808.4</v>
      </c>
      <c r="F6285" s="111" t="str">
        <f>DataPull!D6285</f>
        <v/>
      </c>
      <c r="G6285" s="94" t="str">
        <f t="shared" si="2"/>
        <v/>
      </c>
      <c r="H6285" s="94" t="str">
        <f t="shared" si="3"/>
        <v/>
      </c>
      <c r="I6285" s="94" t="str">
        <f t="shared" ref="I6285:J6285" si="6286">if(G6285 = "", , -G6285)</f>
        <v/>
      </c>
      <c r="J6285" s="94" t="str">
        <f t="shared" si="6286"/>
        <v/>
      </c>
      <c r="K6285" s="100"/>
      <c r="M6285" s="100"/>
      <c r="N6285" s="100"/>
      <c r="O6285" s="100"/>
      <c r="P6285" s="100"/>
    </row>
    <row r="6286">
      <c r="A6286" s="107">
        <v>1631108.0</v>
      </c>
      <c r="B6286" s="116" t="s">
        <v>244</v>
      </c>
      <c r="C6286" s="116" t="s">
        <v>1564</v>
      </c>
      <c r="D6286" s="24" t="s">
        <v>177</v>
      </c>
      <c r="E6286" s="24">
        <v>512.5</v>
      </c>
      <c r="F6286" s="111" t="str">
        <f>DataPull!D6286</f>
        <v/>
      </c>
      <c r="G6286" s="94" t="str">
        <f t="shared" si="2"/>
        <v/>
      </c>
      <c r="H6286" s="94" t="str">
        <f t="shared" si="3"/>
        <v/>
      </c>
      <c r="I6286" s="94" t="str">
        <f t="shared" ref="I6286:J6286" si="6287">if(G6286 = "", , -G6286)</f>
        <v/>
      </c>
      <c r="J6286" s="94" t="str">
        <f t="shared" si="6287"/>
        <v/>
      </c>
      <c r="K6286" s="100"/>
      <c r="M6286" s="100"/>
      <c r="N6286" s="100"/>
      <c r="O6286" s="100"/>
      <c r="P6286" s="100"/>
    </row>
    <row r="6287">
      <c r="A6287" s="107">
        <v>1631108.0</v>
      </c>
      <c r="B6287" s="116" t="s">
        <v>245</v>
      </c>
      <c r="C6287" s="116" t="s">
        <v>1564</v>
      </c>
      <c r="D6287" s="24" t="s">
        <v>177</v>
      </c>
      <c r="E6287" s="24">
        <v>944.7</v>
      </c>
      <c r="F6287" s="111" t="str">
        <f>DataPull!D6287</f>
        <v/>
      </c>
      <c r="G6287" s="94" t="str">
        <f t="shared" si="2"/>
        <v/>
      </c>
      <c r="H6287" s="94" t="str">
        <f t="shared" si="3"/>
        <v/>
      </c>
      <c r="I6287" s="94" t="str">
        <f t="shared" ref="I6287:J6287" si="6288">if(G6287 = "", , -G6287)</f>
        <v/>
      </c>
      <c r="J6287" s="94" t="str">
        <f t="shared" si="6288"/>
        <v/>
      </c>
      <c r="K6287" s="100"/>
      <c r="M6287" s="100"/>
      <c r="N6287" s="100"/>
      <c r="O6287" s="100"/>
      <c r="P6287" s="100"/>
    </row>
    <row r="6288">
      <c r="A6288" s="107">
        <v>1631108.0</v>
      </c>
      <c r="B6288" s="116" t="s">
        <v>246</v>
      </c>
      <c r="C6288" s="116" t="s">
        <v>1564</v>
      </c>
      <c r="D6288" s="24" t="s">
        <v>176</v>
      </c>
      <c r="E6288" s="24">
        <v>2129.4</v>
      </c>
      <c r="F6288" s="111" t="str">
        <f>DataPull!D6288</f>
        <v/>
      </c>
      <c r="G6288" s="94" t="str">
        <f t="shared" si="2"/>
        <v/>
      </c>
      <c r="H6288" s="94" t="str">
        <f t="shared" si="3"/>
        <v/>
      </c>
      <c r="I6288" s="94" t="str">
        <f t="shared" ref="I6288:J6288" si="6289">if(G6288 = "", , -G6288)</f>
        <v/>
      </c>
      <c r="J6288" s="94" t="str">
        <f t="shared" si="6289"/>
        <v/>
      </c>
      <c r="K6288" s="100"/>
      <c r="M6288" s="100"/>
      <c r="N6288" s="100"/>
      <c r="O6288" s="100"/>
      <c r="P6288" s="100"/>
    </row>
    <row r="6289">
      <c r="A6289" s="114">
        <v>1631108.0</v>
      </c>
      <c r="B6289" s="131" t="s">
        <v>247</v>
      </c>
      <c r="C6289" s="131" t="s">
        <v>1564</v>
      </c>
      <c r="D6289" s="24" t="s">
        <v>178</v>
      </c>
      <c r="E6289" s="24">
        <v>2240.7</v>
      </c>
      <c r="F6289" s="111" t="str">
        <f>DataPull!D6289</f>
        <v/>
      </c>
      <c r="G6289" s="94" t="str">
        <f t="shared" si="2"/>
        <v/>
      </c>
      <c r="H6289" s="94" t="str">
        <f t="shared" si="3"/>
        <v/>
      </c>
      <c r="I6289" s="94" t="str">
        <f t="shared" ref="I6289:J6289" si="6290">if(G6289 = "", , -G6289)</f>
        <v/>
      </c>
      <c r="J6289" s="94" t="str">
        <f t="shared" si="6290"/>
        <v/>
      </c>
      <c r="K6289" s="100"/>
      <c r="M6289" s="100"/>
      <c r="N6289" s="100"/>
      <c r="O6289" s="100"/>
      <c r="P6289" s="100"/>
    </row>
    <row r="6290">
      <c r="A6290" s="107">
        <v>1631109.0</v>
      </c>
      <c r="B6290" s="116" t="s">
        <v>244</v>
      </c>
      <c r="C6290" s="116" t="s">
        <v>1565</v>
      </c>
      <c r="D6290" s="24" t="s">
        <v>177</v>
      </c>
      <c r="E6290" s="24">
        <v>829.9</v>
      </c>
      <c r="F6290" s="111" t="str">
        <f>DataPull!D6290</f>
        <v/>
      </c>
      <c r="G6290" s="94" t="str">
        <f t="shared" si="2"/>
        <v/>
      </c>
      <c r="H6290" s="94" t="str">
        <f t="shared" si="3"/>
        <v/>
      </c>
      <c r="I6290" s="94" t="str">
        <f t="shared" ref="I6290:J6290" si="6291">if(G6290 = "", , -G6290)</f>
        <v/>
      </c>
      <c r="J6290" s="94" t="str">
        <f t="shared" si="6291"/>
        <v/>
      </c>
      <c r="K6290" s="100"/>
      <c r="M6290" s="100"/>
      <c r="N6290" s="100"/>
      <c r="O6290" s="100"/>
      <c r="P6290" s="100"/>
    </row>
    <row r="6291">
      <c r="A6291" s="107">
        <v>1631109.0</v>
      </c>
      <c r="B6291" s="116" t="s">
        <v>245</v>
      </c>
      <c r="C6291" s="116" t="s">
        <v>1565</v>
      </c>
      <c r="D6291" s="24" t="s">
        <v>176</v>
      </c>
      <c r="E6291" s="24">
        <v>509.2</v>
      </c>
      <c r="F6291" s="111" t="str">
        <f>DataPull!D6291</f>
        <v/>
      </c>
      <c r="G6291" s="94" t="str">
        <f t="shared" si="2"/>
        <v/>
      </c>
      <c r="H6291" s="94" t="str">
        <f t="shared" si="3"/>
        <v/>
      </c>
      <c r="I6291" s="94" t="str">
        <f t="shared" ref="I6291:J6291" si="6292">if(G6291 = "", , -G6291)</f>
        <v/>
      </c>
      <c r="J6291" s="94" t="str">
        <f t="shared" si="6292"/>
        <v/>
      </c>
      <c r="K6291" s="100"/>
      <c r="M6291" s="100"/>
      <c r="N6291" s="100"/>
      <c r="O6291" s="100"/>
      <c r="P6291" s="100"/>
    </row>
    <row r="6292">
      <c r="A6292" s="107">
        <v>1631109.0</v>
      </c>
      <c r="B6292" s="116" t="s">
        <v>246</v>
      </c>
      <c r="C6292" s="116" t="s">
        <v>1565</v>
      </c>
      <c r="D6292" s="24" t="s">
        <v>176</v>
      </c>
      <c r="E6292" s="24">
        <v>1170.4</v>
      </c>
      <c r="F6292" s="111" t="str">
        <f>DataPull!D6292</f>
        <v/>
      </c>
      <c r="G6292" s="94" t="str">
        <f t="shared" si="2"/>
        <v/>
      </c>
      <c r="H6292" s="94" t="str">
        <f t="shared" si="3"/>
        <v/>
      </c>
      <c r="I6292" s="94" t="str">
        <f t="shared" ref="I6292:J6292" si="6293">if(G6292 = "", , -G6292)</f>
        <v/>
      </c>
      <c r="J6292" s="94" t="str">
        <f t="shared" si="6293"/>
        <v/>
      </c>
      <c r="K6292" s="100"/>
      <c r="M6292" s="100"/>
      <c r="N6292" s="100"/>
      <c r="O6292" s="100"/>
      <c r="P6292" s="100"/>
    </row>
    <row r="6293">
      <c r="A6293" s="114">
        <v>1631109.0</v>
      </c>
      <c r="B6293" s="131" t="s">
        <v>247</v>
      </c>
      <c r="C6293" s="131" t="s">
        <v>1565</v>
      </c>
      <c r="D6293" s="24" t="s">
        <v>176</v>
      </c>
      <c r="E6293" s="24">
        <v>1416.0</v>
      </c>
      <c r="F6293" s="111" t="str">
        <f>DataPull!D6293</f>
        <v/>
      </c>
      <c r="G6293" s="94" t="str">
        <f t="shared" si="2"/>
        <v/>
      </c>
      <c r="H6293" s="94" t="str">
        <f t="shared" si="3"/>
        <v/>
      </c>
      <c r="I6293" s="94" t="str">
        <f t="shared" ref="I6293:J6293" si="6294">if(G6293 = "", , -G6293)</f>
        <v/>
      </c>
      <c r="J6293" s="94" t="str">
        <f t="shared" si="6294"/>
        <v/>
      </c>
      <c r="K6293" s="100"/>
      <c r="M6293" s="100"/>
      <c r="N6293" s="100"/>
      <c r="O6293" s="100"/>
      <c r="P6293" s="100"/>
    </row>
    <row r="6294">
      <c r="A6294" s="107">
        <v>1631110.0</v>
      </c>
      <c r="B6294" s="116" t="s">
        <v>244</v>
      </c>
      <c r="C6294" s="116" t="s">
        <v>1566</v>
      </c>
      <c r="D6294" s="24" t="s">
        <v>176</v>
      </c>
      <c r="E6294" s="24">
        <v>1456.0</v>
      </c>
      <c r="F6294" s="111" t="str">
        <f>DataPull!D6294</f>
        <v/>
      </c>
      <c r="G6294" s="94" t="str">
        <f t="shared" si="2"/>
        <v/>
      </c>
      <c r="H6294" s="94" t="str">
        <f t="shared" si="3"/>
        <v/>
      </c>
      <c r="I6294" s="94" t="str">
        <f t="shared" ref="I6294:J6294" si="6295">if(G6294 = "", , -G6294)</f>
        <v/>
      </c>
      <c r="J6294" s="94" t="str">
        <f t="shared" si="6295"/>
        <v/>
      </c>
      <c r="K6294" s="100"/>
      <c r="M6294" s="100"/>
      <c r="N6294" s="100"/>
      <c r="O6294" s="100"/>
      <c r="P6294" s="100"/>
    </row>
    <row r="6295">
      <c r="A6295" s="107">
        <v>1631110.0</v>
      </c>
      <c r="B6295" s="116" t="s">
        <v>245</v>
      </c>
      <c r="C6295" s="116" t="s">
        <v>1566</v>
      </c>
      <c r="D6295" s="24" t="s">
        <v>178</v>
      </c>
      <c r="E6295" s="24">
        <v>2190.4</v>
      </c>
      <c r="F6295" s="111" t="str">
        <f>DataPull!D6295</f>
        <v/>
      </c>
      <c r="G6295" s="94" t="str">
        <f t="shared" si="2"/>
        <v/>
      </c>
      <c r="H6295" s="94" t="str">
        <f t="shared" si="3"/>
        <v/>
      </c>
      <c r="I6295" s="94" t="str">
        <f t="shared" ref="I6295:J6295" si="6296">if(G6295 = "", , -G6295)</f>
        <v/>
      </c>
      <c r="J6295" s="94" t="str">
        <f t="shared" si="6296"/>
        <v/>
      </c>
      <c r="K6295" s="100"/>
      <c r="M6295" s="100"/>
      <c r="N6295" s="100"/>
      <c r="O6295" s="100"/>
      <c r="P6295" s="100"/>
    </row>
    <row r="6296">
      <c r="A6296" s="107">
        <v>1631110.0</v>
      </c>
      <c r="B6296" s="116" t="s">
        <v>246</v>
      </c>
      <c r="C6296" s="116" t="s">
        <v>1566</v>
      </c>
      <c r="D6296" s="24" t="s">
        <v>176</v>
      </c>
      <c r="E6296" s="24">
        <v>1366.2</v>
      </c>
      <c r="F6296" s="111" t="str">
        <f>DataPull!D6296</f>
        <v/>
      </c>
      <c r="G6296" s="94" t="str">
        <f t="shared" si="2"/>
        <v/>
      </c>
      <c r="H6296" s="94" t="str">
        <f t="shared" si="3"/>
        <v/>
      </c>
      <c r="I6296" s="94" t="str">
        <f t="shared" ref="I6296:J6296" si="6297">if(G6296 = "", , -G6296)</f>
        <v/>
      </c>
      <c r="J6296" s="94" t="str">
        <f t="shared" si="6297"/>
        <v/>
      </c>
      <c r="K6296" s="100"/>
      <c r="M6296" s="100"/>
      <c r="N6296" s="100"/>
      <c r="O6296" s="100"/>
      <c r="P6296" s="100"/>
    </row>
    <row r="6297">
      <c r="A6297" s="114">
        <v>1631110.0</v>
      </c>
      <c r="B6297" s="131" t="s">
        <v>247</v>
      </c>
      <c r="C6297" s="131" t="s">
        <v>1566</v>
      </c>
      <c r="D6297" s="24" t="s">
        <v>177</v>
      </c>
      <c r="E6297" s="24">
        <v>466.4</v>
      </c>
      <c r="F6297" s="111" t="str">
        <f>DataPull!D6297</f>
        <v/>
      </c>
      <c r="G6297" s="94" t="str">
        <f t="shared" si="2"/>
        <v/>
      </c>
      <c r="H6297" s="94" t="str">
        <f t="shared" si="3"/>
        <v/>
      </c>
      <c r="I6297" s="94" t="str">
        <f t="shared" ref="I6297:J6297" si="6298">if(G6297 = "", , -G6297)</f>
        <v/>
      </c>
      <c r="J6297" s="94" t="str">
        <f t="shared" si="6298"/>
        <v/>
      </c>
      <c r="K6297" s="100"/>
      <c r="M6297" s="100"/>
      <c r="N6297" s="100"/>
      <c r="O6297" s="100"/>
      <c r="P6297" s="100"/>
    </row>
    <row r="6298">
      <c r="A6298" s="107">
        <v>1631111.0</v>
      </c>
      <c r="B6298" s="116" t="s">
        <v>244</v>
      </c>
      <c r="C6298" s="116" t="s">
        <v>1567</v>
      </c>
      <c r="D6298" s="24" t="s">
        <v>187</v>
      </c>
      <c r="E6298" s="24">
        <v>153.7</v>
      </c>
      <c r="F6298" s="111" t="str">
        <f>DataPull!D6298</f>
        <v/>
      </c>
      <c r="G6298" s="94" t="str">
        <f t="shared" si="2"/>
        <v/>
      </c>
      <c r="H6298" s="94" t="str">
        <f t="shared" si="3"/>
        <v/>
      </c>
      <c r="I6298" s="94" t="str">
        <f t="shared" ref="I6298:J6298" si="6299">if(G6298 = "", , -G6298)</f>
        <v/>
      </c>
      <c r="J6298" s="94" t="str">
        <f t="shared" si="6299"/>
        <v/>
      </c>
      <c r="K6298" s="100"/>
      <c r="M6298" s="100"/>
      <c r="N6298" s="100"/>
      <c r="O6298" s="100"/>
      <c r="P6298" s="100"/>
    </row>
    <row r="6299">
      <c r="A6299" s="107">
        <v>1631111.0</v>
      </c>
      <c r="B6299" s="116" t="s">
        <v>245</v>
      </c>
      <c r="C6299" s="116" t="s">
        <v>1567</v>
      </c>
      <c r="D6299" s="24" t="s">
        <v>187</v>
      </c>
      <c r="E6299" s="24">
        <v>75.0</v>
      </c>
      <c r="F6299" s="111" t="str">
        <f>DataPull!D6299</f>
        <v/>
      </c>
      <c r="G6299" s="94" t="str">
        <f t="shared" si="2"/>
        <v/>
      </c>
      <c r="H6299" s="94" t="str">
        <f t="shared" si="3"/>
        <v/>
      </c>
      <c r="I6299" s="94" t="str">
        <f t="shared" ref="I6299:J6299" si="6300">if(G6299 = "", , -G6299)</f>
        <v/>
      </c>
      <c r="J6299" s="94" t="str">
        <f t="shared" si="6300"/>
        <v/>
      </c>
      <c r="K6299" s="100"/>
      <c r="M6299" s="100"/>
      <c r="N6299" s="100"/>
      <c r="O6299" s="100"/>
      <c r="P6299" s="100"/>
    </row>
    <row r="6300">
      <c r="A6300" s="107">
        <v>1631111.0</v>
      </c>
      <c r="B6300" s="116" t="s">
        <v>246</v>
      </c>
      <c r="C6300" s="116" t="s">
        <v>1567</v>
      </c>
      <c r="D6300" s="24" t="s">
        <v>187</v>
      </c>
      <c r="E6300" s="24">
        <v>500.4</v>
      </c>
      <c r="F6300" s="111" t="str">
        <f>DataPull!D6300</f>
        <v/>
      </c>
      <c r="G6300" s="94" t="str">
        <f t="shared" si="2"/>
        <v/>
      </c>
      <c r="H6300" s="94" t="str">
        <f t="shared" si="3"/>
        <v/>
      </c>
      <c r="I6300" s="94" t="str">
        <f t="shared" ref="I6300:J6300" si="6301">if(G6300 = "", , -G6300)</f>
        <v/>
      </c>
      <c r="J6300" s="94" t="str">
        <f t="shared" si="6301"/>
        <v/>
      </c>
      <c r="K6300" s="100"/>
      <c r="M6300" s="100"/>
      <c r="N6300" s="100"/>
      <c r="O6300" s="100"/>
      <c r="P6300" s="100"/>
    </row>
    <row r="6301">
      <c r="A6301" s="89">
        <v>1631111.0</v>
      </c>
      <c r="B6301" s="131" t="s">
        <v>247</v>
      </c>
      <c r="C6301" s="131" t="s">
        <v>1567</v>
      </c>
      <c r="D6301" s="24" t="s">
        <v>181</v>
      </c>
      <c r="E6301" s="24">
        <v>59.4</v>
      </c>
      <c r="F6301" s="111" t="str">
        <f>DataPull!D6301</f>
        <v/>
      </c>
      <c r="G6301" s="94" t="str">
        <f t="shared" si="2"/>
        <v/>
      </c>
      <c r="H6301" s="94" t="str">
        <f t="shared" si="3"/>
        <v/>
      </c>
      <c r="I6301" s="94" t="str">
        <f t="shared" ref="I6301:J6301" si="6302">if(G6301 = "", , -G6301)</f>
        <v/>
      </c>
      <c r="J6301" s="94" t="str">
        <f t="shared" si="6302"/>
        <v/>
      </c>
      <c r="K6301" s="100"/>
      <c r="M6301" s="100"/>
      <c r="N6301" s="100"/>
      <c r="O6301" s="100"/>
      <c r="P6301" s="100"/>
    </row>
    <row r="6302">
      <c r="A6302" s="107">
        <v>1631112.0</v>
      </c>
      <c r="B6302" s="108" t="s">
        <v>244</v>
      </c>
      <c r="C6302" s="116" t="s">
        <v>1568</v>
      </c>
      <c r="D6302" s="24" t="s">
        <v>181</v>
      </c>
      <c r="E6302" s="24">
        <v>40.2</v>
      </c>
      <c r="F6302" s="111" t="str">
        <f>DataPull!D6302</f>
        <v/>
      </c>
      <c r="G6302" s="94" t="str">
        <f t="shared" si="2"/>
        <v/>
      </c>
      <c r="H6302" s="94" t="str">
        <f t="shared" si="3"/>
        <v/>
      </c>
      <c r="I6302" s="94" t="str">
        <f t="shared" ref="I6302:J6302" si="6303">if(G6302 = "", , -G6302)</f>
        <v/>
      </c>
      <c r="J6302" s="94" t="str">
        <f t="shared" si="6303"/>
        <v/>
      </c>
      <c r="K6302" s="100"/>
      <c r="M6302" s="100"/>
      <c r="N6302" s="100"/>
      <c r="O6302" s="100"/>
      <c r="P6302" s="100"/>
    </row>
    <row r="6303">
      <c r="A6303" s="107">
        <v>1631112.0</v>
      </c>
      <c r="B6303" s="108" t="s">
        <v>245</v>
      </c>
      <c r="C6303" s="116" t="s">
        <v>1568</v>
      </c>
      <c r="D6303" s="24" t="s">
        <v>187</v>
      </c>
      <c r="E6303" s="24">
        <v>63.0</v>
      </c>
      <c r="F6303" s="111" t="str">
        <f>DataPull!D6303</f>
        <v/>
      </c>
      <c r="G6303" s="94" t="str">
        <f t="shared" si="2"/>
        <v/>
      </c>
      <c r="H6303" s="94" t="str">
        <f t="shared" si="3"/>
        <v/>
      </c>
      <c r="I6303" s="94" t="str">
        <f t="shared" ref="I6303:J6303" si="6304">if(G6303 = "", , -G6303)</f>
        <v/>
      </c>
      <c r="J6303" s="94" t="str">
        <f t="shared" si="6304"/>
        <v/>
      </c>
      <c r="K6303" s="100"/>
      <c r="M6303" s="100"/>
      <c r="N6303" s="100"/>
      <c r="O6303" s="100"/>
      <c r="P6303" s="100"/>
    </row>
    <row r="6304">
      <c r="A6304" s="107">
        <v>1631113.0</v>
      </c>
      <c r="B6304" s="108" t="s">
        <v>244</v>
      </c>
      <c r="C6304" s="116" t="s">
        <v>1569</v>
      </c>
      <c r="D6304" s="24" t="s">
        <v>187</v>
      </c>
      <c r="E6304" s="24">
        <v>280.8</v>
      </c>
      <c r="F6304" s="111" t="str">
        <f>DataPull!D6304</f>
        <v/>
      </c>
      <c r="G6304" s="94" t="str">
        <f t="shared" si="2"/>
        <v/>
      </c>
      <c r="H6304" s="94" t="str">
        <f t="shared" si="3"/>
        <v/>
      </c>
      <c r="I6304" s="94" t="str">
        <f t="shared" ref="I6304:J6304" si="6305">if(G6304 = "", , -G6304)</f>
        <v/>
      </c>
      <c r="J6304" s="94" t="str">
        <f t="shared" si="6305"/>
        <v/>
      </c>
      <c r="K6304" s="100"/>
      <c r="M6304" s="100"/>
      <c r="N6304" s="100"/>
      <c r="O6304" s="100"/>
      <c r="P6304" s="100"/>
    </row>
    <row r="6305">
      <c r="A6305" s="107">
        <v>1631114.0</v>
      </c>
      <c r="B6305" s="108" t="s">
        <v>244</v>
      </c>
      <c r="C6305" s="108" t="s">
        <v>1570</v>
      </c>
      <c r="D6305" s="24" t="s">
        <v>178</v>
      </c>
      <c r="E6305" s="24">
        <v>2272.5</v>
      </c>
      <c r="F6305" s="111" t="str">
        <f>DataPull!D6305</f>
        <v/>
      </c>
      <c r="G6305" s="94" t="str">
        <f t="shared" si="2"/>
        <v/>
      </c>
      <c r="H6305" s="94" t="str">
        <f t="shared" si="3"/>
        <v/>
      </c>
      <c r="I6305" s="94" t="str">
        <f t="shared" ref="I6305:J6305" si="6306">if(G6305 = "", , -G6305)</f>
        <v/>
      </c>
      <c r="J6305" s="94" t="str">
        <f t="shared" si="6306"/>
        <v/>
      </c>
      <c r="K6305" s="100"/>
      <c r="M6305" s="100"/>
      <c r="N6305" s="100"/>
      <c r="O6305" s="100"/>
      <c r="P6305" s="100"/>
    </row>
    <row r="6306">
      <c r="A6306" s="107">
        <v>1631114.0</v>
      </c>
      <c r="B6306" s="116" t="s">
        <v>245</v>
      </c>
      <c r="C6306" s="116" t="s">
        <v>1570</v>
      </c>
      <c r="D6306" s="24" t="s">
        <v>178</v>
      </c>
      <c r="E6306" s="24">
        <v>2222.3</v>
      </c>
      <c r="F6306" s="111" t="str">
        <f>DataPull!D6306</f>
        <v/>
      </c>
      <c r="G6306" s="94" t="str">
        <f t="shared" si="2"/>
        <v/>
      </c>
      <c r="H6306" s="94" t="str">
        <f t="shared" si="3"/>
        <v/>
      </c>
      <c r="I6306" s="94" t="str">
        <f t="shared" ref="I6306:J6306" si="6307">if(G6306 = "", , -G6306)</f>
        <v/>
      </c>
      <c r="J6306" s="94" t="str">
        <f t="shared" si="6307"/>
        <v/>
      </c>
      <c r="K6306" s="100"/>
      <c r="M6306" s="100"/>
      <c r="N6306" s="100"/>
      <c r="O6306" s="100"/>
      <c r="P6306" s="100"/>
    </row>
    <row r="6307">
      <c r="A6307" s="107">
        <v>1631114.0</v>
      </c>
      <c r="B6307" s="116" t="s">
        <v>246</v>
      </c>
      <c r="C6307" s="116" t="s">
        <v>1570</v>
      </c>
      <c r="D6307" s="24" t="s">
        <v>184</v>
      </c>
      <c r="E6307" s="24">
        <v>2235.6</v>
      </c>
      <c r="F6307" s="111" t="str">
        <f>DataPull!D6307</f>
        <v/>
      </c>
      <c r="G6307" s="94" t="str">
        <f t="shared" si="2"/>
        <v/>
      </c>
      <c r="H6307" s="94" t="str">
        <f t="shared" si="3"/>
        <v/>
      </c>
      <c r="I6307" s="94" t="str">
        <f t="shared" ref="I6307:J6307" si="6308">if(G6307 = "", , -G6307)</f>
        <v/>
      </c>
      <c r="J6307" s="94" t="str">
        <f t="shared" si="6308"/>
        <v/>
      </c>
      <c r="K6307" s="100"/>
      <c r="M6307" s="100"/>
      <c r="N6307" s="100"/>
      <c r="O6307" s="100"/>
      <c r="P6307" s="100"/>
    </row>
    <row r="6308">
      <c r="A6308" s="89">
        <v>1631114.0</v>
      </c>
      <c r="B6308" s="131" t="s">
        <v>247</v>
      </c>
      <c r="C6308" s="131" t="s">
        <v>1570</v>
      </c>
      <c r="D6308" s="24" t="s">
        <v>184</v>
      </c>
      <c r="E6308" s="24">
        <v>937.2</v>
      </c>
      <c r="F6308" s="111" t="str">
        <f>DataPull!D6308</f>
        <v/>
      </c>
      <c r="G6308" s="94" t="str">
        <f t="shared" si="2"/>
        <v/>
      </c>
      <c r="H6308" s="94" t="str">
        <f t="shared" si="3"/>
        <v/>
      </c>
      <c r="I6308" s="94" t="str">
        <f t="shared" ref="I6308:J6308" si="6309">if(G6308 = "", , -G6308)</f>
        <v/>
      </c>
      <c r="J6308" s="94" t="str">
        <f t="shared" si="6309"/>
        <v/>
      </c>
      <c r="K6308" s="100"/>
      <c r="M6308" s="100"/>
      <c r="N6308" s="100"/>
      <c r="O6308" s="100"/>
      <c r="P6308" s="100"/>
    </row>
    <row r="6309">
      <c r="A6309" s="107">
        <v>1631115.0</v>
      </c>
      <c r="B6309" s="116" t="s">
        <v>244</v>
      </c>
      <c r="C6309" s="116" t="s">
        <v>1571</v>
      </c>
      <c r="D6309" s="24" t="s">
        <v>177</v>
      </c>
      <c r="E6309" s="24">
        <v>424.7</v>
      </c>
      <c r="F6309" s="111" t="str">
        <f>DataPull!D6309</f>
        <v/>
      </c>
      <c r="G6309" s="94" t="str">
        <f t="shared" si="2"/>
        <v/>
      </c>
      <c r="H6309" s="94" t="str">
        <f t="shared" si="3"/>
        <v/>
      </c>
      <c r="I6309" s="94" t="str">
        <f t="shared" ref="I6309:J6309" si="6310">if(G6309 = "", , -G6309)</f>
        <v/>
      </c>
      <c r="J6309" s="94" t="str">
        <f t="shared" si="6310"/>
        <v/>
      </c>
      <c r="K6309" s="100"/>
      <c r="M6309" s="100"/>
      <c r="N6309" s="100"/>
      <c r="O6309" s="100"/>
      <c r="P6309" s="100"/>
    </row>
    <row r="6310">
      <c r="A6310" s="107">
        <v>1631115.0</v>
      </c>
      <c r="B6310" s="116" t="s">
        <v>245</v>
      </c>
      <c r="C6310" s="116" t="s">
        <v>1571</v>
      </c>
      <c r="D6310" s="24" t="s">
        <v>187</v>
      </c>
      <c r="E6310" s="24">
        <v>302.4</v>
      </c>
      <c r="F6310" s="111" t="str">
        <f>DataPull!D6310</f>
        <v/>
      </c>
      <c r="G6310" s="94" t="str">
        <f t="shared" si="2"/>
        <v/>
      </c>
      <c r="H6310" s="94" t="str">
        <f t="shared" si="3"/>
        <v/>
      </c>
      <c r="I6310" s="94" t="str">
        <f t="shared" ref="I6310:J6310" si="6311">if(G6310 = "", , -G6310)</f>
        <v/>
      </c>
      <c r="J6310" s="94" t="str">
        <f t="shared" si="6311"/>
        <v/>
      </c>
      <c r="K6310" s="100"/>
      <c r="M6310" s="100"/>
      <c r="N6310" s="100"/>
      <c r="O6310" s="100"/>
      <c r="P6310" s="100"/>
    </row>
    <row r="6311">
      <c r="A6311" s="107">
        <v>1631115.0</v>
      </c>
      <c r="B6311" s="116" t="s">
        <v>246</v>
      </c>
      <c r="C6311" s="116" t="s">
        <v>1571</v>
      </c>
      <c r="D6311" s="24" t="s">
        <v>176</v>
      </c>
      <c r="E6311" s="24">
        <v>770.0</v>
      </c>
      <c r="F6311" s="111" t="str">
        <f>DataPull!D6311</f>
        <v/>
      </c>
      <c r="G6311" s="94" t="str">
        <f t="shared" si="2"/>
        <v/>
      </c>
      <c r="H6311" s="94" t="str">
        <f t="shared" si="3"/>
        <v/>
      </c>
      <c r="I6311" s="94" t="str">
        <f t="shared" ref="I6311:J6311" si="6312">if(G6311 = "", , -G6311)</f>
        <v/>
      </c>
      <c r="J6311" s="94" t="str">
        <f t="shared" si="6312"/>
        <v/>
      </c>
      <c r="K6311" s="100"/>
      <c r="M6311" s="100"/>
      <c r="N6311" s="100"/>
      <c r="O6311" s="100"/>
      <c r="P6311" s="100"/>
    </row>
    <row r="6312">
      <c r="A6312" s="114">
        <v>1631115.0</v>
      </c>
      <c r="B6312" s="131" t="s">
        <v>247</v>
      </c>
      <c r="C6312" s="131" t="s">
        <v>1571</v>
      </c>
      <c r="D6312" s="24" t="s">
        <v>181</v>
      </c>
      <c r="E6312" s="24">
        <v>24.8</v>
      </c>
      <c r="F6312" s="111" t="str">
        <f>DataPull!D6312</f>
        <v/>
      </c>
      <c r="G6312" s="94" t="str">
        <f t="shared" si="2"/>
        <v/>
      </c>
      <c r="H6312" s="94" t="str">
        <f t="shared" si="3"/>
        <v/>
      </c>
      <c r="I6312" s="94" t="str">
        <f t="shared" ref="I6312:J6312" si="6313">if(G6312 = "", , -G6312)</f>
        <v/>
      </c>
      <c r="J6312" s="94" t="str">
        <f t="shared" si="6313"/>
        <v/>
      </c>
      <c r="K6312" s="100"/>
      <c r="M6312" s="100"/>
      <c r="N6312" s="100"/>
      <c r="O6312" s="100"/>
      <c r="P6312" s="100"/>
    </row>
    <row r="6313">
      <c r="A6313" s="107">
        <v>1631116.0</v>
      </c>
      <c r="B6313" s="116" t="s">
        <v>244</v>
      </c>
      <c r="C6313" s="116" t="s">
        <v>1572</v>
      </c>
      <c r="D6313" s="24" t="s">
        <v>187</v>
      </c>
      <c r="E6313" s="24">
        <v>226.3</v>
      </c>
      <c r="F6313" s="111" t="str">
        <f>DataPull!D6313</f>
        <v/>
      </c>
      <c r="G6313" s="94" t="str">
        <f t="shared" si="2"/>
        <v/>
      </c>
      <c r="H6313" s="94" t="str">
        <f t="shared" si="3"/>
        <v/>
      </c>
      <c r="I6313" s="94" t="str">
        <f t="shared" ref="I6313:J6313" si="6314">if(G6313 = "", , -G6313)</f>
        <v/>
      </c>
      <c r="J6313" s="94" t="str">
        <f t="shared" si="6314"/>
        <v/>
      </c>
      <c r="K6313" s="100"/>
      <c r="M6313" s="100"/>
      <c r="N6313" s="100"/>
      <c r="O6313" s="100"/>
      <c r="P6313" s="100"/>
    </row>
    <row r="6314">
      <c r="A6314" s="107">
        <v>1631116.0</v>
      </c>
      <c r="B6314" s="116" t="s">
        <v>245</v>
      </c>
      <c r="C6314" s="116" t="s">
        <v>1572</v>
      </c>
      <c r="D6314" s="24" t="s">
        <v>177</v>
      </c>
      <c r="E6314" s="24">
        <v>494.0</v>
      </c>
      <c r="F6314" s="111" t="str">
        <f>DataPull!D6314</f>
        <v/>
      </c>
      <c r="G6314" s="94" t="str">
        <f t="shared" si="2"/>
        <v/>
      </c>
      <c r="H6314" s="94" t="str">
        <f t="shared" si="3"/>
        <v/>
      </c>
      <c r="I6314" s="94" t="str">
        <f t="shared" ref="I6314:J6314" si="6315">if(G6314 = "", , -G6314)</f>
        <v/>
      </c>
      <c r="J6314" s="94" t="str">
        <f t="shared" si="6315"/>
        <v/>
      </c>
      <c r="K6314" s="100"/>
      <c r="M6314" s="100"/>
      <c r="N6314" s="100"/>
      <c r="O6314" s="100"/>
      <c r="P6314" s="100"/>
    </row>
    <row r="6315">
      <c r="A6315" s="107">
        <v>1631116.0</v>
      </c>
      <c r="B6315" s="116" t="s">
        <v>246</v>
      </c>
      <c r="C6315" s="116" t="s">
        <v>1572</v>
      </c>
      <c r="D6315" s="24" t="s">
        <v>187</v>
      </c>
      <c r="E6315" s="24">
        <v>105.6</v>
      </c>
      <c r="F6315" s="111" t="str">
        <f>DataPull!D6315</f>
        <v/>
      </c>
      <c r="G6315" s="94" t="str">
        <f t="shared" si="2"/>
        <v/>
      </c>
      <c r="H6315" s="94" t="str">
        <f t="shared" si="3"/>
        <v/>
      </c>
      <c r="I6315" s="94" t="str">
        <f t="shared" ref="I6315:J6315" si="6316">if(G6315 = "", , -G6315)</f>
        <v/>
      </c>
      <c r="J6315" s="94" t="str">
        <f t="shared" si="6316"/>
        <v/>
      </c>
      <c r="K6315" s="100"/>
      <c r="M6315" s="100"/>
      <c r="N6315" s="100"/>
      <c r="O6315" s="100"/>
      <c r="P6315" s="100"/>
    </row>
    <row r="6316">
      <c r="A6316" s="126">
        <v>1631116.0</v>
      </c>
      <c r="B6316" s="141" t="s">
        <v>247</v>
      </c>
      <c r="C6316" s="141" t="s">
        <v>1572</v>
      </c>
      <c r="D6316" s="24" t="s">
        <v>181</v>
      </c>
      <c r="E6316" s="24">
        <v>102.6</v>
      </c>
      <c r="F6316" s="111" t="str">
        <f>DataPull!D6316</f>
        <v/>
      </c>
      <c r="G6316" s="94" t="str">
        <f t="shared" si="2"/>
        <v/>
      </c>
      <c r="H6316" s="94" t="str">
        <f t="shared" si="3"/>
        <v/>
      </c>
      <c r="I6316" s="94" t="str">
        <f t="shared" ref="I6316:J6316" si="6317">if(G6316 = "", , -G6316)</f>
        <v/>
      </c>
      <c r="J6316" s="94" t="str">
        <f t="shared" si="6317"/>
        <v/>
      </c>
      <c r="K6316" s="100"/>
      <c r="M6316" s="100"/>
      <c r="N6316" s="100"/>
      <c r="O6316" s="100"/>
      <c r="P6316" s="100"/>
    </row>
    <row r="6317">
      <c r="A6317" s="107">
        <v>1631117.0</v>
      </c>
      <c r="B6317" s="116" t="s">
        <v>244</v>
      </c>
      <c r="C6317" s="116" t="s">
        <v>1573</v>
      </c>
      <c r="D6317" s="24" t="s">
        <v>176</v>
      </c>
      <c r="E6317" s="24">
        <v>1702.0</v>
      </c>
      <c r="F6317" s="111" t="str">
        <f>DataPull!D6317</f>
        <v/>
      </c>
      <c r="G6317" s="94" t="str">
        <f t="shared" si="2"/>
        <v/>
      </c>
      <c r="H6317" s="94" t="str">
        <f t="shared" si="3"/>
        <v/>
      </c>
      <c r="I6317" s="94" t="str">
        <f t="shared" ref="I6317:J6317" si="6318">if(G6317 = "", , -G6317)</f>
        <v/>
      </c>
      <c r="J6317" s="94" t="str">
        <f t="shared" si="6318"/>
        <v/>
      </c>
      <c r="K6317" s="100"/>
      <c r="M6317" s="100"/>
      <c r="N6317" s="100"/>
      <c r="O6317" s="100"/>
      <c r="P6317" s="100"/>
    </row>
    <row r="6318">
      <c r="A6318" s="107">
        <v>1631117.0</v>
      </c>
      <c r="B6318" s="116" t="s">
        <v>245</v>
      </c>
      <c r="C6318" s="116" t="s">
        <v>1573</v>
      </c>
      <c r="D6318" s="24" t="s">
        <v>176</v>
      </c>
      <c r="E6318" s="24">
        <v>1491.2</v>
      </c>
      <c r="F6318" s="111" t="str">
        <f>DataPull!D6318</f>
        <v/>
      </c>
      <c r="G6318" s="94" t="str">
        <f t="shared" si="2"/>
        <v/>
      </c>
      <c r="H6318" s="94" t="str">
        <f t="shared" si="3"/>
        <v/>
      </c>
      <c r="I6318" s="94" t="str">
        <f t="shared" ref="I6318:J6318" si="6319">if(G6318 = "", , -G6318)</f>
        <v/>
      </c>
      <c r="J6318" s="94" t="str">
        <f t="shared" si="6319"/>
        <v/>
      </c>
      <c r="K6318" s="100"/>
      <c r="M6318" s="100"/>
      <c r="N6318" s="100"/>
      <c r="O6318" s="100"/>
      <c r="P6318" s="100"/>
    </row>
    <row r="6319">
      <c r="A6319" s="107">
        <v>1631117.0</v>
      </c>
      <c r="B6319" s="116" t="s">
        <v>246</v>
      </c>
      <c r="C6319" s="116" t="s">
        <v>1573</v>
      </c>
      <c r="D6319" s="24" t="s">
        <v>184</v>
      </c>
      <c r="E6319" s="24">
        <v>1740.0</v>
      </c>
      <c r="F6319" s="111" t="str">
        <f>DataPull!D6319</f>
        <v/>
      </c>
      <c r="G6319" s="94" t="str">
        <f t="shared" si="2"/>
        <v/>
      </c>
      <c r="H6319" s="94" t="str">
        <f t="shared" si="3"/>
        <v/>
      </c>
      <c r="I6319" s="94" t="str">
        <f t="shared" ref="I6319:J6319" si="6320">if(G6319 = "", , -G6319)</f>
        <v/>
      </c>
      <c r="J6319" s="94" t="str">
        <f t="shared" si="6320"/>
        <v/>
      </c>
      <c r="K6319" s="100"/>
      <c r="M6319" s="100"/>
      <c r="N6319" s="100"/>
      <c r="O6319" s="100"/>
      <c r="P6319" s="100"/>
    </row>
    <row r="6320">
      <c r="A6320" s="114">
        <v>1631117.0</v>
      </c>
      <c r="B6320" s="131" t="s">
        <v>247</v>
      </c>
      <c r="C6320" s="131" t="s">
        <v>1573</v>
      </c>
      <c r="D6320" s="24" t="s">
        <v>181</v>
      </c>
      <c r="E6320" s="24">
        <v>154.0</v>
      </c>
      <c r="F6320" s="111" t="str">
        <f>DataPull!D6320</f>
        <v/>
      </c>
      <c r="G6320" s="94" t="str">
        <f t="shared" si="2"/>
        <v/>
      </c>
      <c r="H6320" s="94" t="str">
        <f t="shared" si="3"/>
        <v/>
      </c>
      <c r="I6320" s="94" t="str">
        <f t="shared" ref="I6320:J6320" si="6321">if(G6320 = "", , -G6320)</f>
        <v/>
      </c>
      <c r="J6320" s="94" t="str">
        <f t="shared" si="6321"/>
        <v/>
      </c>
      <c r="K6320" s="100"/>
      <c r="M6320" s="100"/>
      <c r="N6320" s="100"/>
      <c r="O6320" s="100"/>
      <c r="P6320" s="100"/>
    </row>
    <row r="6321">
      <c r="A6321" s="107">
        <v>1631119.0</v>
      </c>
      <c r="B6321" s="116" t="s">
        <v>244</v>
      </c>
      <c r="C6321" s="116" t="s">
        <v>1574</v>
      </c>
      <c r="D6321" s="24" t="s">
        <v>177</v>
      </c>
      <c r="E6321" s="24">
        <v>916.3</v>
      </c>
      <c r="F6321" s="111" t="str">
        <f>DataPull!D6321</f>
        <v/>
      </c>
      <c r="G6321" s="94" t="str">
        <f t="shared" si="2"/>
        <v/>
      </c>
      <c r="H6321" s="94" t="str">
        <f t="shared" si="3"/>
        <v/>
      </c>
      <c r="I6321" s="94" t="str">
        <f t="shared" ref="I6321:J6321" si="6322">if(G6321 = "", , -G6321)</f>
        <v/>
      </c>
      <c r="J6321" s="94" t="str">
        <f t="shared" si="6322"/>
        <v/>
      </c>
      <c r="K6321" s="100"/>
      <c r="M6321" s="100"/>
      <c r="N6321" s="100"/>
      <c r="O6321" s="100"/>
      <c r="P6321" s="100"/>
    </row>
    <row r="6322">
      <c r="A6322" s="107">
        <v>1631119.0</v>
      </c>
      <c r="B6322" s="116" t="s">
        <v>245</v>
      </c>
      <c r="C6322" s="116" t="s">
        <v>1574</v>
      </c>
      <c r="D6322" s="24" t="s">
        <v>177</v>
      </c>
      <c r="E6322" s="24">
        <v>897.0</v>
      </c>
      <c r="F6322" s="111" t="str">
        <f>DataPull!D6322</f>
        <v/>
      </c>
      <c r="G6322" s="94" t="str">
        <f t="shared" si="2"/>
        <v/>
      </c>
      <c r="H6322" s="94" t="str">
        <f t="shared" si="3"/>
        <v/>
      </c>
      <c r="I6322" s="94" t="str">
        <f t="shared" ref="I6322:J6322" si="6323">if(G6322 = "", , -G6322)</f>
        <v/>
      </c>
      <c r="J6322" s="94" t="str">
        <f t="shared" si="6323"/>
        <v/>
      </c>
      <c r="K6322" s="100"/>
      <c r="M6322" s="100"/>
      <c r="N6322" s="100"/>
      <c r="O6322" s="100"/>
      <c r="P6322" s="100"/>
    </row>
    <row r="6323">
      <c r="A6323" s="107">
        <v>1631119.0</v>
      </c>
      <c r="B6323" s="116" t="s">
        <v>246</v>
      </c>
      <c r="C6323" s="116" t="s">
        <v>1574</v>
      </c>
      <c r="D6323" s="24" t="s">
        <v>177</v>
      </c>
      <c r="E6323" s="24">
        <v>784.9</v>
      </c>
      <c r="F6323" s="111" t="str">
        <f>DataPull!D6323</f>
        <v/>
      </c>
      <c r="G6323" s="94" t="str">
        <f t="shared" si="2"/>
        <v/>
      </c>
      <c r="H6323" s="94" t="str">
        <f t="shared" si="3"/>
        <v/>
      </c>
      <c r="I6323" s="94" t="str">
        <f t="shared" ref="I6323:J6323" si="6324">if(G6323 = "", , -G6323)</f>
        <v/>
      </c>
      <c r="J6323" s="94" t="str">
        <f t="shared" si="6324"/>
        <v/>
      </c>
      <c r="K6323" s="100"/>
      <c r="M6323" s="100"/>
      <c r="N6323" s="100"/>
      <c r="O6323" s="100"/>
      <c r="P6323" s="100"/>
    </row>
    <row r="6324">
      <c r="A6324" s="114">
        <v>1631119.0</v>
      </c>
      <c r="B6324" s="131" t="s">
        <v>247</v>
      </c>
      <c r="C6324" s="131" t="s">
        <v>1574</v>
      </c>
      <c r="D6324" s="24" t="s">
        <v>177</v>
      </c>
      <c r="E6324" s="24">
        <v>1280.5</v>
      </c>
      <c r="F6324" s="111" t="str">
        <f>DataPull!D6324</f>
        <v/>
      </c>
      <c r="G6324" s="94" t="str">
        <f t="shared" si="2"/>
        <v/>
      </c>
      <c r="H6324" s="94" t="str">
        <f t="shared" si="3"/>
        <v/>
      </c>
      <c r="I6324" s="94" t="str">
        <f t="shared" ref="I6324:J6324" si="6325">if(G6324 = "", , -G6324)</f>
        <v/>
      </c>
      <c r="J6324" s="94" t="str">
        <f t="shared" si="6325"/>
        <v/>
      </c>
      <c r="K6324" s="100"/>
      <c r="M6324" s="100"/>
      <c r="N6324" s="100"/>
      <c r="O6324" s="100"/>
      <c r="P6324" s="100"/>
    </row>
    <row r="6325">
      <c r="A6325" s="107">
        <v>1631120.0</v>
      </c>
      <c r="B6325" s="116" t="s">
        <v>244</v>
      </c>
      <c r="C6325" s="116" t="s">
        <v>1575</v>
      </c>
      <c r="D6325" s="24" t="s">
        <v>187</v>
      </c>
      <c r="E6325" s="24">
        <v>66.0</v>
      </c>
      <c r="F6325" s="111" t="str">
        <f>DataPull!D6325</f>
        <v/>
      </c>
      <c r="G6325" s="94" t="str">
        <f t="shared" si="2"/>
        <v/>
      </c>
      <c r="H6325" s="94" t="str">
        <f t="shared" si="3"/>
        <v/>
      </c>
      <c r="I6325" s="94" t="str">
        <f t="shared" ref="I6325:J6325" si="6326">if(G6325 = "", , -G6325)</f>
        <v/>
      </c>
      <c r="J6325" s="94" t="str">
        <f t="shared" si="6326"/>
        <v/>
      </c>
      <c r="K6325" s="100"/>
      <c r="M6325" s="100"/>
      <c r="N6325" s="100"/>
      <c r="O6325" s="100"/>
      <c r="P6325" s="100"/>
    </row>
    <row r="6326">
      <c r="A6326" s="107">
        <v>1631120.0</v>
      </c>
      <c r="B6326" s="116" t="s">
        <v>245</v>
      </c>
      <c r="C6326" s="116" t="s">
        <v>1575</v>
      </c>
      <c r="D6326" s="24" t="s">
        <v>181</v>
      </c>
      <c r="E6326" s="24">
        <v>39.2</v>
      </c>
      <c r="F6326" s="111" t="str">
        <f>DataPull!D6326</f>
        <v/>
      </c>
      <c r="G6326" s="94" t="str">
        <f t="shared" si="2"/>
        <v/>
      </c>
      <c r="H6326" s="94" t="str">
        <f t="shared" si="3"/>
        <v/>
      </c>
      <c r="I6326" s="94" t="str">
        <f t="shared" ref="I6326:J6326" si="6327">if(G6326 = "", , -G6326)</f>
        <v/>
      </c>
      <c r="J6326" s="94" t="str">
        <f t="shared" si="6327"/>
        <v/>
      </c>
      <c r="K6326" s="100"/>
      <c r="M6326" s="100"/>
      <c r="N6326" s="100"/>
      <c r="O6326" s="100"/>
      <c r="P6326" s="100"/>
    </row>
    <row r="6327">
      <c r="A6327" s="107">
        <v>1631120.0</v>
      </c>
      <c r="B6327" s="116" t="s">
        <v>246</v>
      </c>
      <c r="C6327" s="116" t="s">
        <v>1575</v>
      </c>
      <c r="D6327" s="24" t="s">
        <v>187</v>
      </c>
      <c r="E6327" s="24">
        <v>92.8</v>
      </c>
      <c r="F6327" s="111" t="str">
        <f>DataPull!D6327</f>
        <v/>
      </c>
      <c r="G6327" s="94" t="str">
        <f t="shared" si="2"/>
        <v/>
      </c>
      <c r="H6327" s="94" t="str">
        <f t="shared" si="3"/>
        <v/>
      </c>
      <c r="I6327" s="94" t="str">
        <f t="shared" ref="I6327:J6327" si="6328">if(G6327 = "", , -G6327)</f>
        <v/>
      </c>
      <c r="J6327" s="94" t="str">
        <f t="shared" si="6328"/>
        <v/>
      </c>
      <c r="K6327" s="100"/>
      <c r="M6327" s="100"/>
      <c r="N6327" s="100"/>
      <c r="O6327" s="100"/>
      <c r="P6327" s="100"/>
    </row>
    <row r="6328">
      <c r="A6328" s="114">
        <v>1631120.0</v>
      </c>
      <c r="B6328" s="131" t="s">
        <v>247</v>
      </c>
      <c r="C6328" s="131" t="s">
        <v>1575</v>
      </c>
      <c r="D6328" s="24" t="s">
        <v>187</v>
      </c>
      <c r="E6328" s="24">
        <v>218.4</v>
      </c>
      <c r="F6328" s="111" t="str">
        <f>DataPull!D6328</f>
        <v/>
      </c>
      <c r="G6328" s="94" t="str">
        <f t="shared" si="2"/>
        <v/>
      </c>
      <c r="H6328" s="94" t="str">
        <f t="shared" si="3"/>
        <v/>
      </c>
      <c r="I6328" s="94" t="str">
        <f t="shared" ref="I6328:J6328" si="6329">if(G6328 = "", , -G6328)</f>
        <v/>
      </c>
      <c r="J6328" s="94" t="str">
        <f t="shared" si="6329"/>
        <v/>
      </c>
      <c r="K6328" s="100"/>
      <c r="M6328" s="100"/>
      <c r="N6328" s="100"/>
      <c r="O6328" s="100"/>
      <c r="P6328" s="100"/>
    </row>
    <row r="6329">
      <c r="A6329" s="107">
        <v>1631121.0</v>
      </c>
      <c r="B6329" s="116" t="s">
        <v>244</v>
      </c>
      <c r="C6329" s="116" t="s">
        <v>1576</v>
      </c>
      <c r="D6329" s="24" t="s">
        <v>177</v>
      </c>
      <c r="E6329" s="24">
        <v>786.6</v>
      </c>
      <c r="F6329" s="111" t="str">
        <f>DataPull!D6329</f>
        <v/>
      </c>
      <c r="G6329" s="94" t="str">
        <f t="shared" si="2"/>
        <v/>
      </c>
      <c r="H6329" s="94" t="str">
        <f t="shared" si="3"/>
        <v/>
      </c>
      <c r="I6329" s="94" t="str">
        <f t="shared" ref="I6329:J6329" si="6330">if(G6329 = "", , -G6329)</f>
        <v/>
      </c>
      <c r="J6329" s="94" t="str">
        <f t="shared" si="6330"/>
        <v/>
      </c>
      <c r="K6329" s="100"/>
      <c r="M6329" s="100"/>
      <c r="N6329" s="100"/>
      <c r="O6329" s="100"/>
      <c r="P6329" s="100"/>
    </row>
    <row r="6330">
      <c r="A6330" s="107">
        <v>1631121.0</v>
      </c>
      <c r="B6330" s="116" t="s">
        <v>245</v>
      </c>
      <c r="C6330" s="116" t="s">
        <v>1576</v>
      </c>
      <c r="D6330" s="24" t="s">
        <v>177</v>
      </c>
      <c r="E6330" s="24">
        <v>879.1</v>
      </c>
      <c r="F6330" s="111" t="str">
        <f>DataPull!D6330</f>
        <v/>
      </c>
      <c r="G6330" s="94" t="str">
        <f t="shared" si="2"/>
        <v/>
      </c>
      <c r="H6330" s="94" t="str">
        <f t="shared" si="3"/>
        <v/>
      </c>
      <c r="I6330" s="94" t="str">
        <f t="shared" ref="I6330:J6330" si="6331">if(G6330 = "", , -G6330)</f>
        <v/>
      </c>
      <c r="J6330" s="94" t="str">
        <f t="shared" si="6331"/>
        <v/>
      </c>
      <c r="K6330" s="100"/>
      <c r="M6330" s="100"/>
      <c r="N6330" s="100"/>
      <c r="O6330" s="100"/>
      <c r="P6330" s="100"/>
    </row>
    <row r="6331">
      <c r="A6331" s="107">
        <v>1631121.0</v>
      </c>
      <c r="B6331" s="116" t="s">
        <v>246</v>
      </c>
      <c r="C6331" s="116" t="s">
        <v>1576</v>
      </c>
      <c r="D6331" s="24" t="s">
        <v>187</v>
      </c>
      <c r="E6331" s="24">
        <v>32.5</v>
      </c>
      <c r="F6331" s="111" t="str">
        <f>DataPull!D6331</f>
        <v/>
      </c>
      <c r="G6331" s="94" t="str">
        <f t="shared" si="2"/>
        <v/>
      </c>
      <c r="H6331" s="94" t="str">
        <f t="shared" si="3"/>
        <v/>
      </c>
      <c r="I6331" s="94" t="str">
        <f t="shared" ref="I6331:J6331" si="6332">if(G6331 = "", , -G6331)</f>
        <v/>
      </c>
      <c r="J6331" s="94" t="str">
        <f t="shared" si="6332"/>
        <v/>
      </c>
      <c r="K6331" s="100"/>
      <c r="M6331" s="100"/>
      <c r="N6331" s="100"/>
      <c r="O6331" s="100"/>
      <c r="P6331" s="100"/>
    </row>
    <row r="6332">
      <c r="A6332" s="114">
        <v>1631121.0</v>
      </c>
      <c r="B6332" s="131" t="s">
        <v>247</v>
      </c>
      <c r="C6332" s="131" t="s">
        <v>1576</v>
      </c>
      <c r="D6332" s="24" t="s">
        <v>177</v>
      </c>
      <c r="E6332" s="24">
        <v>882.0</v>
      </c>
      <c r="F6332" s="111" t="str">
        <f>DataPull!D6332</f>
        <v/>
      </c>
      <c r="G6332" s="94" t="str">
        <f t="shared" si="2"/>
        <v/>
      </c>
      <c r="H6332" s="94" t="str">
        <f t="shared" si="3"/>
        <v/>
      </c>
      <c r="I6332" s="94" t="str">
        <f t="shared" ref="I6332:J6332" si="6333">if(G6332 = "", , -G6332)</f>
        <v/>
      </c>
      <c r="J6332" s="94" t="str">
        <f t="shared" si="6333"/>
        <v/>
      </c>
      <c r="K6332" s="100"/>
      <c r="M6332" s="100"/>
      <c r="N6332" s="100"/>
      <c r="O6332" s="100"/>
      <c r="P6332" s="100"/>
    </row>
    <row r="6333">
      <c r="A6333" s="107">
        <v>1631123.0</v>
      </c>
      <c r="B6333" s="116" t="s">
        <v>244</v>
      </c>
      <c r="C6333" s="116" t="s">
        <v>1577</v>
      </c>
      <c r="D6333" s="24" t="s">
        <v>181</v>
      </c>
      <c r="E6333" s="24">
        <v>70.5</v>
      </c>
      <c r="F6333" s="111" t="str">
        <f>DataPull!D6333</f>
        <v/>
      </c>
      <c r="G6333" s="94" t="str">
        <f t="shared" si="2"/>
        <v/>
      </c>
      <c r="H6333" s="94" t="str">
        <f t="shared" si="3"/>
        <v/>
      </c>
      <c r="I6333" s="94" t="str">
        <f t="shared" ref="I6333:J6333" si="6334">if(G6333 = "", , -G6333)</f>
        <v/>
      </c>
      <c r="J6333" s="94" t="str">
        <f t="shared" si="6334"/>
        <v/>
      </c>
      <c r="K6333" s="100"/>
      <c r="M6333" s="100"/>
      <c r="N6333" s="100"/>
      <c r="O6333" s="100"/>
      <c r="P6333" s="100"/>
    </row>
    <row r="6334">
      <c r="A6334" s="107">
        <v>1631123.0</v>
      </c>
      <c r="B6334" s="116" t="s">
        <v>245</v>
      </c>
      <c r="C6334" s="116" t="s">
        <v>1577</v>
      </c>
      <c r="D6334" s="24" t="s">
        <v>181</v>
      </c>
      <c r="E6334" s="24">
        <v>94.5</v>
      </c>
      <c r="F6334" s="111" t="str">
        <f>DataPull!D6334</f>
        <v/>
      </c>
      <c r="G6334" s="94" t="str">
        <f t="shared" si="2"/>
        <v/>
      </c>
      <c r="H6334" s="94" t="str">
        <f t="shared" si="3"/>
        <v/>
      </c>
      <c r="I6334" s="94" t="str">
        <f t="shared" ref="I6334:J6334" si="6335">if(G6334 = "", , -G6334)</f>
        <v/>
      </c>
      <c r="J6334" s="94" t="str">
        <f t="shared" si="6335"/>
        <v/>
      </c>
      <c r="K6334" s="100"/>
      <c r="M6334" s="100"/>
      <c r="N6334" s="100"/>
      <c r="O6334" s="100"/>
      <c r="P6334" s="100"/>
    </row>
    <row r="6335">
      <c r="A6335" s="123">
        <v>1631123.0</v>
      </c>
      <c r="B6335" s="132" t="s">
        <v>246</v>
      </c>
      <c r="C6335" s="133" t="s">
        <v>1577</v>
      </c>
      <c r="D6335" s="24" t="s">
        <v>181</v>
      </c>
      <c r="E6335" s="24">
        <v>61.5</v>
      </c>
      <c r="F6335" s="111" t="str">
        <f>DataPull!D6335</f>
        <v/>
      </c>
      <c r="G6335" s="94" t="str">
        <f t="shared" si="2"/>
        <v/>
      </c>
      <c r="H6335" s="94" t="str">
        <f t="shared" si="3"/>
        <v/>
      </c>
      <c r="I6335" s="94" t="str">
        <f t="shared" ref="I6335:J6335" si="6336">if(G6335 = "", , -G6335)</f>
        <v/>
      </c>
      <c r="J6335" s="94" t="str">
        <f t="shared" si="6336"/>
        <v/>
      </c>
      <c r="K6335" s="100"/>
      <c r="M6335" s="100"/>
      <c r="N6335" s="100"/>
      <c r="O6335" s="100"/>
      <c r="P6335" s="100"/>
    </row>
    <row r="6336">
      <c r="A6336" s="114">
        <v>1631123.0</v>
      </c>
      <c r="B6336" s="131" t="s">
        <v>247</v>
      </c>
      <c r="C6336" s="131" t="s">
        <v>1577</v>
      </c>
      <c r="D6336" s="24" t="s">
        <v>177</v>
      </c>
      <c r="E6336" s="24">
        <v>644.0</v>
      </c>
      <c r="F6336" s="111" t="str">
        <f>DataPull!D6336</f>
        <v/>
      </c>
      <c r="G6336" s="94" t="str">
        <f t="shared" si="2"/>
        <v/>
      </c>
      <c r="H6336" s="94" t="str">
        <f t="shared" si="3"/>
        <v/>
      </c>
      <c r="I6336" s="94" t="str">
        <f t="shared" ref="I6336:J6336" si="6337">if(G6336 = "", , -G6336)</f>
        <v/>
      </c>
      <c r="J6336" s="94" t="str">
        <f t="shared" si="6337"/>
        <v/>
      </c>
      <c r="K6336" s="100"/>
      <c r="M6336" s="100"/>
      <c r="N6336" s="100"/>
      <c r="O6336" s="100"/>
      <c r="P6336" s="100"/>
    </row>
    <row r="6337">
      <c r="A6337" s="107">
        <v>1631124.0</v>
      </c>
      <c r="B6337" s="116" t="s">
        <v>245</v>
      </c>
      <c r="C6337" s="116" t="s">
        <v>1578</v>
      </c>
      <c r="D6337" s="24" t="s">
        <v>187</v>
      </c>
      <c r="E6337" s="24">
        <v>545.0</v>
      </c>
      <c r="F6337" s="111" t="str">
        <f>DataPull!D6337</f>
        <v/>
      </c>
      <c r="G6337" s="94" t="str">
        <f t="shared" si="2"/>
        <v/>
      </c>
      <c r="H6337" s="94" t="str">
        <f t="shared" si="3"/>
        <v/>
      </c>
      <c r="I6337" s="94" t="str">
        <f t="shared" ref="I6337:J6337" si="6338">if(G6337 = "", , -G6337)</f>
        <v/>
      </c>
      <c r="J6337" s="94" t="str">
        <f t="shared" si="6338"/>
        <v/>
      </c>
      <c r="K6337" s="100"/>
      <c r="M6337" s="100"/>
      <c r="N6337" s="100"/>
      <c r="O6337" s="100"/>
      <c r="P6337" s="100"/>
    </row>
    <row r="6338">
      <c r="A6338" s="107">
        <v>1631124.0</v>
      </c>
      <c r="B6338" s="116" t="s">
        <v>246</v>
      </c>
      <c r="C6338" s="116" t="s">
        <v>1578</v>
      </c>
      <c r="D6338" s="24" t="s">
        <v>177</v>
      </c>
      <c r="E6338" s="24">
        <v>1384.5</v>
      </c>
      <c r="F6338" s="111" t="str">
        <f>DataPull!D6338</f>
        <v/>
      </c>
      <c r="G6338" s="94" t="str">
        <f t="shared" si="2"/>
        <v/>
      </c>
      <c r="H6338" s="94" t="str">
        <f t="shared" si="3"/>
        <v/>
      </c>
      <c r="I6338" s="94" t="str">
        <f t="shared" ref="I6338:J6338" si="6339">if(G6338 = "", , -G6338)</f>
        <v/>
      </c>
      <c r="J6338" s="94" t="str">
        <f t="shared" si="6339"/>
        <v/>
      </c>
      <c r="K6338" s="100"/>
      <c r="M6338" s="100"/>
      <c r="N6338" s="100"/>
      <c r="O6338" s="100"/>
      <c r="P6338" s="100"/>
    </row>
    <row r="6339">
      <c r="A6339" s="114">
        <v>1631124.0</v>
      </c>
      <c r="B6339" s="131" t="s">
        <v>247</v>
      </c>
      <c r="C6339" s="131" t="s">
        <v>1578</v>
      </c>
      <c r="D6339" s="24" t="s">
        <v>177</v>
      </c>
      <c r="E6339" s="24">
        <v>860.7</v>
      </c>
      <c r="F6339" s="111" t="str">
        <f>DataPull!D6339</f>
        <v/>
      </c>
      <c r="G6339" s="94" t="str">
        <f t="shared" si="2"/>
        <v/>
      </c>
      <c r="H6339" s="94" t="str">
        <f t="shared" si="3"/>
        <v/>
      </c>
      <c r="I6339" s="94" t="str">
        <f t="shared" ref="I6339:J6339" si="6340">if(G6339 = "", , -G6339)</f>
        <v/>
      </c>
      <c r="J6339" s="94" t="str">
        <f t="shared" si="6340"/>
        <v/>
      </c>
      <c r="K6339" s="100"/>
      <c r="M6339" s="100"/>
      <c r="N6339" s="100"/>
      <c r="O6339" s="100"/>
      <c r="P6339" s="100"/>
    </row>
    <row r="6340">
      <c r="A6340" s="114">
        <v>1631126.0</v>
      </c>
      <c r="B6340" s="131" t="s">
        <v>247</v>
      </c>
      <c r="C6340" s="131" t="s">
        <v>1579</v>
      </c>
      <c r="D6340" s="24" t="s">
        <v>176</v>
      </c>
      <c r="E6340" s="24">
        <v>1014.3</v>
      </c>
      <c r="F6340" s="111" t="str">
        <f>DataPull!D6340</f>
        <v/>
      </c>
      <c r="G6340" s="94" t="str">
        <f t="shared" si="2"/>
        <v/>
      </c>
      <c r="H6340" s="94" t="str">
        <f t="shared" si="3"/>
        <v/>
      </c>
      <c r="I6340" s="94" t="str">
        <f t="shared" ref="I6340:J6340" si="6341">if(G6340 = "", , -G6340)</f>
        <v/>
      </c>
      <c r="J6340" s="94" t="str">
        <f t="shared" si="6341"/>
        <v/>
      </c>
      <c r="K6340" s="100"/>
      <c r="M6340" s="100"/>
      <c r="N6340" s="100"/>
      <c r="O6340" s="100"/>
      <c r="P6340" s="100"/>
    </row>
    <row r="6341">
      <c r="A6341" s="107">
        <v>1631127.0</v>
      </c>
      <c r="B6341" s="116" t="s">
        <v>246</v>
      </c>
      <c r="C6341" s="116" t="s">
        <v>1580</v>
      </c>
      <c r="D6341" s="24" t="s">
        <v>181</v>
      </c>
      <c r="E6341" s="24">
        <v>35.0</v>
      </c>
      <c r="F6341" s="111" t="str">
        <f>DataPull!D6341</f>
        <v/>
      </c>
      <c r="G6341" s="94" t="str">
        <f t="shared" si="2"/>
        <v/>
      </c>
      <c r="H6341" s="94" t="str">
        <f t="shared" si="3"/>
        <v/>
      </c>
      <c r="I6341" s="94" t="str">
        <f t="shared" ref="I6341:J6341" si="6342">if(G6341 = "", , -G6341)</f>
        <v/>
      </c>
      <c r="J6341" s="94" t="str">
        <f t="shared" si="6342"/>
        <v/>
      </c>
      <c r="K6341" s="100"/>
      <c r="M6341" s="100"/>
      <c r="N6341" s="100"/>
      <c r="O6341" s="100"/>
      <c r="P6341" s="100"/>
    </row>
    <row r="6342">
      <c r="A6342" s="114">
        <v>1631127.0</v>
      </c>
      <c r="B6342" s="131" t="s">
        <v>247</v>
      </c>
      <c r="C6342" s="131" t="s">
        <v>1580</v>
      </c>
      <c r="D6342" s="24" t="s">
        <v>181</v>
      </c>
      <c r="E6342" s="24">
        <v>25.9</v>
      </c>
      <c r="F6342" s="111" t="str">
        <f>DataPull!D6342</f>
        <v/>
      </c>
      <c r="G6342" s="94" t="str">
        <f t="shared" si="2"/>
        <v/>
      </c>
      <c r="H6342" s="94" t="str">
        <f t="shared" si="3"/>
        <v/>
      </c>
      <c r="I6342" s="94" t="str">
        <f t="shared" ref="I6342:J6342" si="6343">if(G6342 = "", , -G6342)</f>
        <v/>
      </c>
      <c r="J6342" s="94" t="str">
        <f t="shared" si="6343"/>
        <v/>
      </c>
      <c r="K6342" s="100"/>
      <c r="M6342" s="100"/>
      <c r="N6342" s="100"/>
      <c r="O6342" s="100"/>
      <c r="P6342" s="100"/>
    </row>
    <row r="6343">
      <c r="A6343" s="107">
        <v>1631128.0</v>
      </c>
      <c r="B6343" s="116" t="s">
        <v>244</v>
      </c>
      <c r="C6343" s="116" t="s">
        <v>1581</v>
      </c>
      <c r="D6343" s="24" t="s">
        <v>187</v>
      </c>
      <c r="E6343" s="24">
        <v>1178.0</v>
      </c>
      <c r="F6343" s="111" t="str">
        <f>DataPull!D6343</f>
        <v/>
      </c>
      <c r="G6343" s="94" t="str">
        <f t="shared" si="2"/>
        <v/>
      </c>
      <c r="H6343" s="94" t="str">
        <f t="shared" si="3"/>
        <v/>
      </c>
      <c r="I6343" s="94" t="str">
        <f t="shared" ref="I6343:J6343" si="6344">if(G6343 = "", , -G6343)</f>
        <v/>
      </c>
      <c r="J6343" s="94" t="str">
        <f t="shared" si="6344"/>
        <v/>
      </c>
      <c r="K6343" s="100"/>
      <c r="M6343" s="100"/>
      <c r="N6343" s="100"/>
      <c r="O6343" s="100"/>
      <c r="P6343" s="100"/>
    </row>
    <row r="6344">
      <c r="A6344" s="107">
        <v>1631128.0</v>
      </c>
      <c r="B6344" s="116" t="s">
        <v>245</v>
      </c>
      <c r="C6344" s="116" t="s">
        <v>1581</v>
      </c>
      <c r="D6344" s="24" t="s">
        <v>176</v>
      </c>
      <c r="E6344" s="24">
        <v>1656.4</v>
      </c>
      <c r="F6344" s="111" t="str">
        <f>DataPull!D6344</f>
        <v/>
      </c>
      <c r="G6344" s="94" t="str">
        <f t="shared" si="2"/>
        <v/>
      </c>
      <c r="H6344" s="94" t="str">
        <f t="shared" si="3"/>
        <v/>
      </c>
      <c r="I6344" s="94" t="str">
        <f t="shared" ref="I6344:J6344" si="6345">if(G6344 = "", , -G6344)</f>
        <v/>
      </c>
      <c r="J6344" s="94" t="str">
        <f t="shared" si="6345"/>
        <v/>
      </c>
      <c r="K6344" s="100"/>
      <c r="M6344" s="100"/>
      <c r="N6344" s="100"/>
      <c r="O6344" s="100"/>
      <c r="P6344" s="100"/>
    </row>
    <row r="6345">
      <c r="A6345" s="107">
        <v>1631128.0</v>
      </c>
      <c r="B6345" s="116" t="s">
        <v>246</v>
      </c>
      <c r="C6345" s="116" t="s">
        <v>1581</v>
      </c>
      <c r="D6345" s="24" t="s">
        <v>178</v>
      </c>
      <c r="E6345" s="24">
        <v>2678.1</v>
      </c>
      <c r="F6345" s="111" t="str">
        <f>DataPull!D6345</f>
        <v/>
      </c>
      <c r="G6345" s="94" t="str">
        <f t="shared" si="2"/>
        <v/>
      </c>
      <c r="H6345" s="94" t="str">
        <f t="shared" si="3"/>
        <v/>
      </c>
      <c r="I6345" s="94" t="str">
        <f t="shared" ref="I6345:J6345" si="6346">if(G6345 = "", , -G6345)</f>
        <v/>
      </c>
      <c r="J6345" s="94" t="str">
        <f t="shared" si="6346"/>
        <v/>
      </c>
      <c r="K6345" s="100"/>
      <c r="M6345" s="100"/>
      <c r="N6345" s="100"/>
      <c r="O6345" s="100"/>
      <c r="P6345" s="100"/>
    </row>
    <row r="6346">
      <c r="A6346" s="114">
        <v>1631128.0</v>
      </c>
      <c r="B6346" s="131" t="s">
        <v>247</v>
      </c>
      <c r="C6346" s="131" t="s">
        <v>1581</v>
      </c>
      <c r="D6346" s="24" t="s">
        <v>178</v>
      </c>
      <c r="E6346" s="24">
        <v>1399.2</v>
      </c>
      <c r="F6346" s="111" t="str">
        <f>DataPull!D6346</f>
        <v/>
      </c>
      <c r="G6346" s="94" t="str">
        <f t="shared" si="2"/>
        <v/>
      </c>
      <c r="H6346" s="94" t="str">
        <f t="shared" si="3"/>
        <v/>
      </c>
      <c r="I6346" s="94" t="str">
        <f t="shared" ref="I6346:J6346" si="6347">if(G6346 = "", , -G6346)</f>
        <v/>
      </c>
      <c r="J6346" s="94" t="str">
        <f t="shared" si="6347"/>
        <v/>
      </c>
      <c r="K6346" s="100"/>
      <c r="M6346" s="100"/>
      <c r="N6346" s="100"/>
      <c r="O6346" s="100"/>
      <c r="P6346" s="100"/>
    </row>
    <row r="6347">
      <c r="A6347" s="107">
        <v>1631131.0</v>
      </c>
      <c r="B6347" s="116" t="s">
        <v>245</v>
      </c>
      <c r="C6347" s="116" t="s">
        <v>1582</v>
      </c>
      <c r="D6347" s="24" t="s">
        <v>181</v>
      </c>
      <c r="E6347" s="24">
        <v>41.6</v>
      </c>
      <c r="F6347" s="111" t="str">
        <f>DataPull!D6347</f>
        <v/>
      </c>
      <c r="G6347" s="94" t="str">
        <f t="shared" si="2"/>
        <v/>
      </c>
      <c r="H6347" s="94" t="str">
        <f t="shared" si="3"/>
        <v/>
      </c>
      <c r="I6347" s="94" t="str">
        <f t="shared" ref="I6347:J6347" si="6348">if(G6347 = "", , -G6347)</f>
        <v/>
      </c>
      <c r="J6347" s="94" t="str">
        <f t="shared" si="6348"/>
        <v/>
      </c>
      <c r="K6347" s="100"/>
      <c r="M6347" s="100"/>
      <c r="N6347" s="100"/>
      <c r="O6347" s="100"/>
      <c r="P6347" s="100"/>
    </row>
    <row r="6348">
      <c r="A6348" s="107">
        <v>1631131.0</v>
      </c>
      <c r="B6348" s="116" t="s">
        <v>246</v>
      </c>
      <c r="C6348" s="116" t="s">
        <v>1582</v>
      </c>
      <c r="D6348" s="24" t="s">
        <v>187</v>
      </c>
      <c r="E6348" s="24">
        <v>254.8</v>
      </c>
      <c r="F6348" s="111" t="str">
        <f>DataPull!D6348</f>
        <v/>
      </c>
      <c r="G6348" s="94" t="str">
        <f t="shared" si="2"/>
        <v/>
      </c>
      <c r="H6348" s="94" t="str">
        <f t="shared" si="3"/>
        <v/>
      </c>
      <c r="I6348" s="94" t="str">
        <f t="shared" ref="I6348:J6348" si="6349">if(G6348 = "", , -G6348)</f>
        <v/>
      </c>
      <c r="J6348" s="94" t="str">
        <f t="shared" si="6349"/>
        <v/>
      </c>
      <c r="K6348" s="100"/>
      <c r="M6348" s="100"/>
      <c r="N6348" s="100"/>
      <c r="O6348" s="100"/>
      <c r="P6348" s="100"/>
    </row>
    <row r="6349">
      <c r="A6349" s="89">
        <v>1631131.0</v>
      </c>
      <c r="B6349" s="131" t="s">
        <v>247</v>
      </c>
      <c r="C6349" s="131" t="s">
        <v>1582</v>
      </c>
      <c r="D6349" s="24" t="s">
        <v>181</v>
      </c>
      <c r="E6349" s="24">
        <v>448.2</v>
      </c>
      <c r="F6349" s="111" t="str">
        <f>DataPull!D6349</f>
        <v/>
      </c>
      <c r="G6349" s="94" t="str">
        <f t="shared" si="2"/>
        <v/>
      </c>
      <c r="H6349" s="94" t="str">
        <f t="shared" si="3"/>
        <v/>
      </c>
      <c r="I6349" s="94" t="str">
        <f t="shared" ref="I6349:J6349" si="6350">if(G6349 = "", , -G6349)</f>
        <v/>
      </c>
      <c r="J6349" s="94" t="str">
        <f t="shared" si="6350"/>
        <v/>
      </c>
      <c r="K6349" s="100"/>
      <c r="M6349" s="100"/>
      <c r="N6349" s="100"/>
      <c r="O6349" s="100"/>
      <c r="P6349" s="100"/>
    </row>
    <row r="6350">
      <c r="A6350" s="107">
        <v>1631132.0</v>
      </c>
      <c r="B6350" s="116" t="s">
        <v>244</v>
      </c>
      <c r="C6350" s="116" t="s">
        <v>1583</v>
      </c>
      <c r="D6350" s="24" t="s">
        <v>187</v>
      </c>
      <c r="E6350" s="24">
        <v>800.4</v>
      </c>
      <c r="F6350" s="111" t="str">
        <f>DataPull!D6350</f>
        <v/>
      </c>
      <c r="G6350" s="94" t="str">
        <f t="shared" si="2"/>
        <v/>
      </c>
      <c r="H6350" s="94" t="str">
        <f t="shared" si="3"/>
        <v/>
      </c>
      <c r="I6350" s="94" t="str">
        <f t="shared" ref="I6350:J6350" si="6351">if(G6350 = "", , -G6350)</f>
        <v/>
      </c>
      <c r="J6350" s="94" t="str">
        <f t="shared" si="6351"/>
        <v/>
      </c>
      <c r="K6350" s="100"/>
      <c r="M6350" s="100"/>
      <c r="N6350" s="100"/>
      <c r="O6350" s="100"/>
      <c r="P6350" s="100"/>
    </row>
    <row r="6351">
      <c r="A6351" s="107">
        <v>1631132.0</v>
      </c>
      <c r="B6351" s="116" t="s">
        <v>246</v>
      </c>
      <c r="C6351" s="116" t="s">
        <v>1583</v>
      </c>
      <c r="D6351" s="24" t="s">
        <v>187</v>
      </c>
      <c r="E6351" s="24">
        <v>340.4</v>
      </c>
      <c r="F6351" s="111" t="str">
        <f>DataPull!D6351</f>
        <v/>
      </c>
      <c r="G6351" s="94" t="str">
        <f t="shared" si="2"/>
        <v/>
      </c>
      <c r="H6351" s="94" t="str">
        <f t="shared" si="3"/>
        <v/>
      </c>
      <c r="I6351" s="94" t="str">
        <f t="shared" ref="I6351:J6351" si="6352">if(G6351 = "", , -G6351)</f>
        <v/>
      </c>
      <c r="J6351" s="94" t="str">
        <f t="shared" si="6352"/>
        <v/>
      </c>
      <c r="K6351" s="100"/>
      <c r="M6351" s="100"/>
      <c r="N6351" s="100"/>
      <c r="O6351" s="100"/>
      <c r="P6351" s="100"/>
    </row>
    <row r="6352">
      <c r="A6352" s="114">
        <v>1631132.0</v>
      </c>
      <c r="B6352" s="131" t="s">
        <v>247</v>
      </c>
      <c r="C6352" s="131" t="s">
        <v>1583</v>
      </c>
      <c r="D6352" s="24" t="s">
        <v>177</v>
      </c>
      <c r="E6352" s="24">
        <v>356.4</v>
      </c>
      <c r="F6352" s="111" t="str">
        <f>DataPull!D6352</f>
        <v/>
      </c>
      <c r="G6352" s="94" t="str">
        <f t="shared" si="2"/>
        <v/>
      </c>
      <c r="H6352" s="94" t="str">
        <f t="shared" si="3"/>
        <v/>
      </c>
      <c r="I6352" s="94" t="str">
        <f t="shared" ref="I6352:J6352" si="6353">if(G6352 = "", , -G6352)</f>
        <v/>
      </c>
      <c r="J6352" s="94" t="str">
        <f t="shared" si="6353"/>
        <v/>
      </c>
      <c r="K6352" s="100"/>
      <c r="M6352" s="100"/>
      <c r="N6352" s="100"/>
      <c r="O6352" s="100"/>
      <c r="P6352" s="100"/>
    </row>
    <row r="6353">
      <c r="A6353" s="107">
        <v>1631133.0</v>
      </c>
      <c r="B6353" s="116" t="s">
        <v>244</v>
      </c>
      <c r="C6353" s="116" t="s">
        <v>1584</v>
      </c>
      <c r="D6353" s="24" t="s">
        <v>177</v>
      </c>
      <c r="E6353" s="24">
        <v>621.6</v>
      </c>
      <c r="F6353" s="111" t="str">
        <f>DataPull!D6353</f>
        <v/>
      </c>
      <c r="G6353" s="94" t="str">
        <f t="shared" si="2"/>
        <v/>
      </c>
      <c r="H6353" s="94" t="str">
        <f t="shared" si="3"/>
        <v/>
      </c>
      <c r="I6353" s="94" t="str">
        <f t="shared" ref="I6353:J6353" si="6354">if(G6353 = "", , -G6353)</f>
        <v/>
      </c>
      <c r="J6353" s="94" t="str">
        <f t="shared" si="6354"/>
        <v/>
      </c>
      <c r="K6353" s="100"/>
      <c r="M6353" s="100"/>
      <c r="N6353" s="100"/>
      <c r="O6353" s="100"/>
      <c r="P6353" s="100"/>
    </row>
    <row r="6354">
      <c r="A6354" s="107">
        <v>1631133.0</v>
      </c>
      <c r="B6354" s="116" t="s">
        <v>245</v>
      </c>
      <c r="C6354" s="116" t="s">
        <v>1584</v>
      </c>
      <c r="D6354" s="24" t="s">
        <v>176</v>
      </c>
      <c r="E6354" s="24">
        <v>1699.2</v>
      </c>
      <c r="F6354" s="111" t="str">
        <f>DataPull!D6354</f>
        <v/>
      </c>
      <c r="G6354" s="94" t="str">
        <f t="shared" si="2"/>
        <v/>
      </c>
      <c r="H6354" s="94" t="str">
        <f t="shared" si="3"/>
        <v/>
      </c>
      <c r="I6354" s="94" t="str">
        <f t="shared" ref="I6354:J6354" si="6355">if(G6354 = "", , -G6354)</f>
        <v/>
      </c>
      <c r="J6354" s="94" t="str">
        <f t="shared" si="6355"/>
        <v/>
      </c>
      <c r="K6354" s="100"/>
      <c r="M6354" s="100"/>
      <c r="N6354" s="100"/>
      <c r="O6354" s="100"/>
      <c r="P6354" s="100"/>
    </row>
    <row r="6355">
      <c r="A6355" s="107">
        <v>1631133.0</v>
      </c>
      <c r="B6355" s="116" t="s">
        <v>246</v>
      </c>
      <c r="C6355" s="116" t="s">
        <v>1584</v>
      </c>
      <c r="D6355" s="24" t="s">
        <v>177</v>
      </c>
      <c r="E6355" s="24">
        <v>750.0</v>
      </c>
      <c r="F6355" s="111" t="str">
        <f>DataPull!D6355</f>
        <v/>
      </c>
      <c r="G6355" s="94" t="str">
        <f t="shared" si="2"/>
        <v/>
      </c>
      <c r="H6355" s="94" t="str">
        <f t="shared" si="3"/>
        <v/>
      </c>
      <c r="I6355" s="94" t="str">
        <f t="shared" ref="I6355:J6355" si="6356">if(G6355 = "", , -G6355)</f>
        <v/>
      </c>
      <c r="J6355" s="94" t="str">
        <f t="shared" si="6356"/>
        <v/>
      </c>
      <c r="K6355" s="100"/>
      <c r="M6355" s="100"/>
      <c r="N6355" s="100"/>
      <c r="O6355" s="100"/>
      <c r="P6355" s="100"/>
    </row>
    <row r="6356">
      <c r="A6356" s="114">
        <v>1631133.0</v>
      </c>
      <c r="B6356" s="131" t="s">
        <v>247</v>
      </c>
      <c r="C6356" s="131" t="s">
        <v>1584</v>
      </c>
      <c r="D6356" s="24" t="s">
        <v>177</v>
      </c>
      <c r="E6356" s="24">
        <v>761.6</v>
      </c>
      <c r="F6356" s="111" t="str">
        <f>DataPull!D6356</f>
        <v/>
      </c>
      <c r="G6356" s="94" t="str">
        <f t="shared" si="2"/>
        <v/>
      </c>
      <c r="H6356" s="94" t="str">
        <f t="shared" si="3"/>
        <v/>
      </c>
      <c r="I6356" s="94" t="str">
        <f t="shared" ref="I6356:J6356" si="6357">if(G6356 = "", , -G6356)</f>
        <v/>
      </c>
      <c r="J6356" s="94" t="str">
        <f t="shared" si="6357"/>
        <v/>
      </c>
      <c r="K6356" s="100"/>
      <c r="M6356" s="100"/>
      <c r="N6356" s="100"/>
      <c r="O6356" s="100"/>
      <c r="P6356" s="100"/>
    </row>
    <row r="6357">
      <c r="A6357" s="107">
        <v>1631157.0</v>
      </c>
      <c r="B6357" s="116" t="s">
        <v>244</v>
      </c>
      <c r="C6357" s="116" t="s">
        <v>1585</v>
      </c>
      <c r="D6357" s="24" t="s">
        <v>187</v>
      </c>
      <c r="E6357" s="24">
        <v>62.4</v>
      </c>
      <c r="F6357" s="111" t="str">
        <f>DataPull!D6357</f>
        <v/>
      </c>
      <c r="G6357" s="94" t="str">
        <f t="shared" si="2"/>
        <v/>
      </c>
      <c r="H6357" s="94" t="str">
        <f t="shared" si="3"/>
        <v/>
      </c>
      <c r="I6357" s="94" t="str">
        <f t="shared" ref="I6357:J6357" si="6358">if(G6357 = "", , -G6357)</f>
        <v/>
      </c>
      <c r="J6357" s="94" t="str">
        <f t="shared" si="6358"/>
        <v/>
      </c>
      <c r="K6357" s="100"/>
      <c r="M6357" s="100"/>
      <c r="N6357" s="100"/>
      <c r="O6357" s="100"/>
      <c r="P6357" s="100"/>
    </row>
    <row r="6358">
      <c r="A6358" s="107">
        <v>1631157.0</v>
      </c>
      <c r="B6358" s="116" t="s">
        <v>245</v>
      </c>
      <c r="C6358" s="116" t="s">
        <v>1585</v>
      </c>
      <c r="D6358" s="24" t="s">
        <v>187</v>
      </c>
      <c r="E6358" s="24">
        <v>78.0</v>
      </c>
      <c r="F6358" s="111" t="str">
        <f>DataPull!D6358</f>
        <v/>
      </c>
      <c r="G6358" s="94" t="str">
        <f t="shared" si="2"/>
        <v/>
      </c>
      <c r="H6358" s="94" t="str">
        <f t="shared" si="3"/>
        <v/>
      </c>
      <c r="I6358" s="94" t="str">
        <f t="shared" ref="I6358:J6358" si="6359">if(G6358 = "", , -G6358)</f>
        <v/>
      </c>
      <c r="J6358" s="94" t="str">
        <f t="shared" si="6359"/>
        <v/>
      </c>
      <c r="K6358" s="100"/>
      <c r="M6358" s="100"/>
      <c r="N6358" s="100"/>
      <c r="O6358" s="100"/>
      <c r="P6358" s="100"/>
    </row>
    <row r="6359">
      <c r="A6359" s="107">
        <v>1631157.0</v>
      </c>
      <c r="B6359" s="116" t="s">
        <v>246</v>
      </c>
      <c r="C6359" s="116" t="s">
        <v>1585</v>
      </c>
      <c r="D6359" s="24" t="s">
        <v>177</v>
      </c>
      <c r="E6359" s="24">
        <v>817.6</v>
      </c>
      <c r="F6359" s="111" t="str">
        <f>DataPull!D6359</f>
        <v/>
      </c>
      <c r="G6359" s="94" t="str">
        <f t="shared" si="2"/>
        <v/>
      </c>
      <c r="H6359" s="94" t="str">
        <f t="shared" si="3"/>
        <v/>
      </c>
      <c r="I6359" s="94" t="str">
        <f t="shared" ref="I6359:J6359" si="6360">if(G6359 = "", , -G6359)</f>
        <v/>
      </c>
      <c r="J6359" s="94" t="str">
        <f t="shared" si="6360"/>
        <v/>
      </c>
      <c r="K6359" s="100"/>
      <c r="M6359" s="100"/>
      <c r="N6359" s="100"/>
      <c r="O6359" s="100"/>
      <c r="P6359" s="100"/>
    </row>
    <row r="6360">
      <c r="A6360" s="114">
        <v>1631157.0</v>
      </c>
      <c r="B6360" s="131" t="s">
        <v>247</v>
      </c>
      <c r="C6360" s="131" t="s">
        <v>1585</v>
      </c>
      <c r="D6360" s="24" t="s">
        <v>178</v>
      </c>
      <c r="E6360" s="24">
        <v>2375.4</v>
      </c>
      <c r="F6360" s="111" t="str">
        <f>DataPull!D6360</f>
        <v/>
      </c>
      <c r="G6360" s="94" t="str">
        <f t="shared" si="2"/>
        <v/>
      </c>
      <c r="H6360" s="94" t="str">
        <f t="shared" si="3"/>
        <v/>
      </c>
      <c r="I6360" s="94" t="str">
        <f t="shared" ref="I6360:J6360" si="6361">if(G6360 = "", , -G6360)</f>
        <v/>
      </c>
      <c r="J6360" s="94" t="str">
        <f t="shared" si="6361"/>
        <v/>
      </c>
      <c r="K6360" s="100"/>
      <c r="M6360" s="100"/>
      <c r="N6360" s="100"/>
      <c r="O6360" s="100"/>
      <c r="P6360" s="100"/>
    </row>
    <row r="6361">
      <c r="A6361" s="107">
        <v>1631159.0</v>
      </c>
      <c r="B6361" s="116" t="s">
        <v>245</v>
      </c>
      <c r="C6361" s="116" t="s">
        <v>1586</v>
      </c>
      <c r="D6361" s="24" t="s">
        <v>187</v>
      </c>
      <c r="E6361" s="24">
        <v>52.7</v>
      </c>
      <c r="F6361" s="111" t="str">
        <f>DataPull!D6361</f>
        <v/>
      </c>
      <c r="G6361" s="94" t="str">
        <f t="shared" si="2"/>
        <v/>
      </c>
      <c r="H6361" s="94" t="str">
        <f t="shared" si="3"/>
        <v/>
      </c>
      <c r="I6361" s="94" t="str">
        <f t="shared" ref="I6361:J6361" si="6362">if(G6361 = "", , -G6361)</f>
        <v/>
      </c>
      <c r="J6361" s="94" t="str">
        <f t="shared" si="6362"/>
        <v/>
      </c>
      <c r="K6361" s="100"/>
      <c r="M6361" s="100"/>
      <c r="N6361" s="100"/>
      <c r="O6361" s="100"/>
      <c r="P6361" s="100"/>
    </row>
    <row r="6362">
      <c r="A6362" s="107">
        <v>1631159.0</v>
      </c>
      <c r="B6362" s="116" t="s">
        <v>246</v>
      </c>
      <c r="C6362" s="116" t="s">
        <v>1586</v>
      </c>
      <c r="D6362" s="24" t="s">
        <v>187</v>
      </c>
      <c r="E6362" s="24">
        <v>31.2</v>
      </c>
      <c r="F6362" s="111" t="str">
        <f>DataPull!D6362</f>
        <v/>
      </c>
      <c r="G6362" s="94" t="str">
        <f t="shared" si="2"/>
        <v/>
      </c>
      <c r="H6362" s="94" t="str">
        <f t="shared" si="3"/>
        <v/>
      </c>
      <c r="I6362" s="94" t="str">
        <f t="shared" ref="I6362:J6362" si="6363">if(G6362 = "", , -G6362)</f>
        <v/>
      </c>
      <c r="J6362" s="94" t="str">
        <f t="shared" si="6363"/>
        <v/>
      </c>
      <c r="K6362" s="100"/>
      <c r="M6362" s="100"/>
      <c r="N6362" s="100"/>
      <c r="O6362" s="100"/>
      <c r="P6362" s="100"/>
    </row>
    <row r="6363">
      <c r="A6363" s="114">
        <v>1631159.0</v>
      </c>
      <c r="B6363" s="131" t="s">
        <v>247</v>
      </c>
      <c r="C6363" s="131" t="s">
        <v>1586</v>
      </c>
      <c r="D6363" s="24" t="s">
        <v>187</v>
      </c>
      <c r="E6363" s="24">
        <v>717.6</v>
      </c>
      <c r="F6363" s="111" t="str">
        <f>DataPull!D6363</f>
        <v/>
      </c>
      <c r="G6363" s="94" t="str">
        <f t="shared" si="2"/>
        <v/>
      </c>
      <c r="H6363" s="94" t="str">
        <f t="shared" si="3"/>
        <v/>
      </c>
      <c r="I6363" s="94" t="str">
        <f t="shared" ref="I6363:J6363" si="6364">if(G6363 = "", , -G6363)</f>
        <v/>
      </c>
      <c r="J6363" s="94" t="str">
        <f t="shared" si="6364"/>
        <v/>
      </c>
      <c r="K6363" s="100"/>
      <c r="M6363" s="100"/>
      <c r="N6363" s="100"/>
      <c r="O6363" s="100"/>
      <c r="P6363" s="100"/>
    </row>
    <row r="6364">
      <c r="A6364" s="107">
        <v>1631160.0</v>
      </c>
      <c r="B6364" s="116" t="s">
        <v>244</v>
      </c>
      <c r="C6364" s="116" t="s">
        <v>1587</v>
      </c>
      <c r="D6364" s="24" t="s">
        <v>187</v>
      </c>
      <c r="E6364" s="24">
        <v>82.8</v>
      </c>
      <c r="F6364" s="111" t="str">
        <f>DataPull!D6364</f>
        <v/>
      </c>
      <c r="G6364" s="94" t="str">
        <f t="shared" si="2"/>
        <v/>
      </c>
      <c r="H6364" s="94" t="str">
        <f t="shared" si="3"/>
        <v/>
      </c>
      <c r="I6364" s="94" t="str">
        <f t="shared" ref="I6364:J6364" si="6365">if(G6364 = "", , -G6364)</f>
        <v/>
      </c>
      <c r="J6364" s="94" t="str">
        <f t="shared" si="6365"/>
        <v/>
      </c>
      <c r="K6364" s="100"/>
      <c r="M6364" s="100"/>
      <c r="N6364" s="100"/>
      <c r="O6364" s="100"/>
      <c r="P6364" s="100"/>
    </row>
    <row r="6365">
      <c r="A6365" s="107">
        <v>1631165.0</v>
      </c>
      <c r="B6365" s="116" t="s">
        <v>244</v>
      </c>
      <c r="C6365" s="116" t="s">
        <v>1588</v>
      </c>
      <c r="D6365" s="24" t="s">
        <v>187</v>
      </c>
      <c r="E6365" s="24">
        <v>70.4</v>
      </c>
      <c r="F6365" s="111" t="str">
        <f>DataPull!D6365</f>
        <v/>
      </c>
      <c r="G6365" s="94" t="str">
        <f t="shared" si="2"/>
        <v/>
      </c>
      <c r="H6365" s="94" t="str">
        <f t="shared" si="3"/>
        <v/>
      </c>
      <c r="I6365" s="94" t="str">
        <f t="shared" ref="I6365:J6365" si="6366">if(G6365 = "", , -G6365)</f>
        <v/>
      </c>
      <c r="J6365" s="94" t="str">
        <f t="shared" si="6366"/>
        <v/>
      </c>
      <c r="K6365" s="100"/>
      <c r="M6365" s="100"/>
      <c r="N6365" s="100"/>
      <c r="O6365" s="100"/>
      <c r="P6365" s="100"/>
    </row>
    <row r="6366">
      <c r="A6366" s="107">
        <v>1631165.0</v>
      </c>
      <c r="B6366" s="116" t="s">
        <v>245</v>
      </c>
      <c r="C6366" s="116" t="s">
        <v>1588</v>
      </c>
      <c r="D6366" s="24" t="s">
        <v>177</v>
      </c>
      <c r="E6366" s="24">
        <v>980.4</v>
      </c>
      <c r="F6366" s="111" t="str">
        <f>DataPull!D6366</f>
        <v/>
      </c>
      <c r="G6366" s="94" t="str">
        <f t="shared" si="2"/>
        <v/>
      </c>
      <c r="H6366" s="94" t="str">
        <f t="shared" si="3"/>
        <v/>
      </c>
      <c r="I6366" s="94" t="str">
        <f t="shared" ref="I6366:J6366" si="6367">if(G6366 = "", , -G6366)</f>
        <v/>
      </c>
      <c r="J6366" s="94" t="str">
        <f t="shared" si="6367"/>
        <v/>
      </c>
      <c r="K6366" s="100"/>
      <c r="M6366" s="100"/>
      <c r="N6366" s="100"/>
      <c r="O6366" s="100"/>
      <c r="P6366" s="100"/>
    </row>
    <row r="6367">
      <c r="A6367" s="107">
        <v>1631165.0</v>
      </c>
      <c r="B6367" s="116" t="s">
        <v>246</v>
      </c>
      <c r="C6367" s="116" t="s">
        <v>1588</v>
      </c>
      <c r="D6367" s="24" t="s">
        <v>176</v>
      </c>
      <c r="E6367" s="24">
        <v>1952.0</v>
      </c>
      <c r="F6367" s="111" t="str">
        <f>DataPull!D6367</f>
        <v/>
      </c>
      <c r="G6367" s="94" t="str">
        <f t="shared" si="2"/>
        <v/>
      </c>
      <c r="H6367" s="94" t="str">
        <f t="shared" si="3"/>
        <v/>
      </c>
      <c r="I6367" s="94" t="str">
        <f t="shared" ref="I6367:J6367" si="6368">if(G6367 = "", , -G6367)</f>
        <v/>
      </c>
      <c r="J6367" s="94" t="str">
        <f t="shared" si="6368"/>
        <v/>
      </c>
      <c r="K6367" s="100"/>
      <c r="M6367" s="100"/>
      <c r="N6367" s="100"/>
      <c r="O6367" s="100"/>
      <c r="P6367" s="100"/>
    </row>
    <row r="6368">
      <c r="A6368" s="114">
        <v>1631165.0</v>
      </c>
      <c r="B6368" s="131" t="s">
        <v>247</v>
      </c>
      <c r="C6368" s="131" t="s">
        <v>1588</v>
      </c>
      <c r="D6368" s="24" t="s">
        <v>177</v>
      </c>
      <c r="E6368" s="24">
        <v>1476.0</v>
      </c>
      <c r="F6368" s="111" t="str">
        <f>DataPull!D6368</f>
        <v/>
      </c>
      <c r="G6368" s="94" t="str">
        <f t="shared" si="2"/>
        <v/>
      </c>
      <c r="H6368" s="94" t="str">
        <f t="shared" si="3"/>
        <v/>
      </c>
      <c r="I6368" s="94" t="str">
        <f t="shared" ref="I6368:J6368" si="6369">if(G6368 = "", , -G6368)</f>
        <v/>
      </c>
      <c r="J6368" s="94" t="str">
        <f t="shared" si="6369"/>
        <v/>
      </c>
      <c r="K6368" s="100"/>
      <c r="M6368" s="100"/>
      <c r="N6368" s="100"/>
      <c r="O6368" s="100"/>
      <c r="P6368" s="100"/>
    </row>
    <row r="6369">
      <c r="A6369" s="120">
        <v>1631166.0</v>
      </c>
      <c r="B6369" s="138" t="s">
        <v>246</v>
      </c>
      <c r="C6369" s="138" t="s">
        <v>1589</v>
      </c>
      <c r="D6369" s="139" t="s">
        <v>178</v>
      </c>
      <c r="E6369" s="139">
        <v>253.8</v>
      </c>
      <c r="F6369" s="111" t="str">
        <f>DataPull!D6369</f>
        <v/>
      </c>
      <c r="G6369" s="94" t="str">
        <f t="shared" si="2"/>
        <v/>
      </c>
      <c r="H6369" s="94" t="str">
        <f t="shared" si="3"/>
        <v/>
      </c>
      <c r="I6369" s="94" t="str">
        <f t="shared" ref="I6369:J6369" si="6370">if(G6369 = "", , -G6369)</f>
        <v/>
      </c>
      <c r="J6369" s="94" t="str">
        <f t="shared" si="6370"/>
        <v/>
      </c>
      <c r="K6369" s="100"/>
      <c r="M6369" s="100"/>
      <c r="N6369" s="100"/>
      <c r="O6369" s="100"/>
      <c r="P6369" s="100"/>
    </row>
    <row r="6370">
      <c r="A6370" s="114">
        <v>1631166.0</v>
      </c>
      <c r="B6370" s="131" t="s">
        <v>247</v>
      </c>
      <c r="C6370" s="131" t="s">
        <v>1589</v>
      </c>
      <c r="D6370" s="24" t="s">
        <v>187</v>
      </c>
      <c r="E6370" s="24">
        <v>234.9</v>
      </c>
      <c r="F6370" s="111" t="str">
        <f>DataPull!D6370</f>
        <v/>
      </c>
      <c r="G6370" s="94" t="str">
        <f t="shared" si="2"/>
        <v/>
      </c>
      <c r="H6370" s="94" t="str">
        <f t="shared" si="3"/>
        <v/>
      </c>
      <c r="I6370" s="94" t="str">
        <f t="shared" ref="I6370:J6370" si="6371">if(G6370 = "", , -G6370)</f>
        <v/>
      </c>
      <c r="J6370" s="94" t="str">
        <f t="shared" si="6371"/>
        <v/>
      </c>
      <c r="K6370" s="100"/>
      <c r="M6370" s="100"/>
      <c r="N6370" s="100"/>
      <c r="O6370" s="100"/>
      <c r="P6370" s="100"/>
    </row>
    <row r="6371">
      <c r="A6371" s="107">
        <v>1631169.0</v>
      </c>
      <c r="B6371" s="116" t="s">
        <v>244</v>
      </c>
      <c r="C6371" s="116" t="s">
        <v>1590</v>
      </c>
      <c r="D6371" s="24" t="s">
        <v>187</v>
      </c>
      <c r="E6371" s="24">
        <v>96.0</v>
      </c>
      <c r="F6371" s="111" t="str">
        <f>DataPull!D6371</f>
        <v/>
      </c>
      <c r="G6371" s="94" t="str">
        <f t="shared" si="2"/>
        <v/>
      </c>
      <c r="H6371" s="94" t="str">
        <f t="shared" si="3"/>
        <v/>
      </c>
      <c r="I6371" s="94" t="str">
        <f t="shared" ref="I6371:J6371" si="6372">if(G6371 = "", , -G6371)</f>
        <v/>
      </c>
      <c r="J6371" s="94" t="str">
        <f t="shared" si="6372"/>
        <v/>
      </c>
      <c r="K6371" s="100"/>
      <c r="M6371" s="100"/>
      <c r="N6371" s="100"/>
      <c r="O6371" s="100"/>
      <c r="P6371" s="100"/>
    </row>
    <row r="6372">
      <c r="A6372" s="107">
        <v>1631169.0</v>
      </c>
      <c r="B6372" s="116" t="s">
        <v>245</v>
      </c>
      <c r="C6372" s="116" t="s">
        <v>1590</v>
      </c>
      <c r="D6372" s="24" t="s">
        <v>187</v>
      </c>
      <c r="E6372" s="24">
        <v>92.8</v>
      </c>
      <c r="F6372" s="111" t="str">
        <f>DataPull!D6372</f>
        <v/>
      </c>
      <c r="G6372" s="94" t="str">
        <f t="shared" si="2"/>
        <v/>
      </c>
      <c r="H6372" s="94" t="str">
        <f t="shared" si="3"/>
        <v/>
      </c>
      <c r="I6372" s="94" t="str">
        <f t="shared" ref="I6372:J6372" si="6373">if(G6372 = "", , -G6372)</f>
        <v/>
      </c>
      <c r="J6372" s="94" t="str">
        <f t="shared" si="6373"/>
        <v/>
      </c>
      <c r="K6372" s="100"/>
      <c r="M6372" s="100"/>
      <c r="N6372" s="100"/>
      <c r="O6372" s="100"/>
      <c r="P6372" s="100"/>
    </row>
    <row r="6373">
      <c r="A6373" s="107">
        <v>1631169.0</v>
      </c>
      <c r="B6373" s="116" t="s">
        <v>246</v>
      </c>
      <c r="C6373" s="116" t="s">
        <v>1590</v>
      </c>
      <c r="D6373" s="24" t="s">
        <v>187</v>
      </c>
      <c r="E6373" s="24">
        <v>276.0</v>
      </c>
      <c r="F6373" s="111" t="str">
        <f>DataPull!D6373</f>
        <v/>
      </c>
      <c r="G6373" s="94" t="str">
        <f t="shared" si="2"/>
        <v/>
      </c>
      <c r="H6373" s="94" t="str">
        <f t="shared" si="3"/>
        <v/>
      </c>
      <c r="I6373" s="94" t="str">
        <f t="shared" ref="I6373:J6373" si="6374">if(G6373 = "", , -G6373)</f>
        <v/>
      </c>
      <c r="J6373" s="94" t="str">
        <f t="shared" si="6374"/>
        <v/>
      </c>
      <c r="K6373" s="100"/>
      <c r="M6373" s="100"/>
      <c r="N6373" s="100"/>
      <c r="O6373" s="100"/>
      <c r="P6373" s="100"/>
    </row>
    <row r="6374">
      <c r="A6374" s="114">
        <v>1631169.0</v>
      </c>
      <c r="B6374" s="131" t="s">
        <v>247</v>
      </c>
      <c r="C6374" s="131" t="s">
        <v>1590</v>
      </c>
      <c r="D6374" s="24" t="s">
        <v>177</v>
      </c>
      <c r="E6374" s="24">
        <v>833.0</v>
      </c>
      <c r="F6374" s="111" t="str">
        <f>DataPull!D6374</f>
        <v/>
      </c>
      <c r="G6374" s="94" t="str">
        <f t="shared" si="2"/>
        <v/>
      </c>
      <c r="H6374" s="94" t="str">
        <f t="shared" si="3"/>
        <v/>
      </c>
      <c r="I6374" s="94" t="str">
        <f t="shared" ref="I6374:J6374" si="6375">if(G6374 = "", , -G6374)</f>
        <v/>
      </c>
      <c r="J6374" s="94" t="str">
        <f t="shared" si="6375"/>
        <v/>
      </c>
      <c r="K6374" s="100"/>
      <c r="M6374" s="100"/>
      <c r="N6374" s="100"/>
      <c r="O6374" s="100"/>
      <c r="P6374" s="100"/>
    </row>
    <row r="6375">
      <c r="A6375" s="107">
        <v>1631170.0</v>
      </c>
      <c r="B6375" s="116" t="s">
        <v>245</v>
      </c>
      <c r="C6375" s="116" t="s">
        <v>1591</v>
      </c>
      <c r="D6375" s="24" t="s">
        <v>178</v>
      </c>
      <c r="E6375" s="24">
        <v>2115.0</v>
      </c>
      <c r="F6375" s="111" t="str">
        <f>DataPull!D6375</f>
        <v/>
      </c>
      <c r="G6375" s="94" t="str">
        <f t="shared" si="2"/>
        <v/>
      </c>
      <c r="H6375" s="94" t="str">
        <f t="shared" si="3"/>
        <v/>
      </c>
      <c r="I6375" s="94" t="str">
        <f t="shared" ref="I6375:J6375" si="6376">if(G6375 = "", , -G6375)</f>
        <v/>
      </c>
      <c r="J6375" s="94" t="str">
        <f t="shared" si="6376"/>
        <v/>
      </c>
      <c r="K6375" s="100"/>
      <c r="M6375" s="100"/>
      <c r="N6375" s="100"/>
      <c r="O6375" s="100"/>
      <c r="P6375" s="100"/>
    </row>
    <row r="6376">
      <c r="A6376" s="107">
        <v>1631170.0</v>
      </c>
      <c r="B6376" s="116" t="s">
        <v>246</v>
      </c>
      <c r="C6376" s="116" t="s">
        <v>1591</v>
      </c>
      <c r="D6376" s="24" t="s">
        <v>177</v>
      </c>
      <c r="E6376" s="24">
        <v>1366.2</v>
      </c>
      <c r="F6376" s="111" t="str">
        <f>DataPull!D6376</f>
        <v/>
      </c>
      <c r="G6376" s="94" t="str">
        <f t="shared" si="2"/>
        <v/>
      </c>
      <c r="H6376" s="94" t="str">
        <f t="shared" si="3"/>
        <v/>
      </c>
      <c r="I6376" s="94" t="str">
        <f t="shared" ref="I6376:J6376" si="6377">if(G6376 = "", , -G6376)</f>
        <v/>
      </c>
      <c r="J6376" s="94" t="str">
        <f t="shared" si="6377"/>
        <v/>
      </c>
      <c r="K6376" s="100"/>
      <c r="M6376" s="100"/>
      <c r="N6376" s="100"/>
      <c r="O6376" s="100"/>
      <c r="P6376" s="100"/>
    </row>
    <row r="6377">
      <c r="A6377" s="114">
        <v>1631170.0</v>
      </c>
      <c r="B6377" s="131" t="s">
        <v>247</v>
      </c>
      <c r="C6377" s="116" t="s">
        <v>1591</v>
      </c>
      <c r="D6377" s="24" t="s">
        <v>176</v>
      </c>
      <c r="E6377" s="24">
        <v>2122.5</v>
      </c>
      <c r="F6377" s="111" t="str">
        <f>DataPull!D6377</f>
        <v/>
      </c>
      <c r="G6377" s="94" t="str">
        <f t="shared" si="2"/>
        <v/>
      </c>
      <c r="H6377" s="94" t="str">
        <f t="shared" si="3"/>
        <v/>
      </c>
      <c r="I6377" s="94" t="str">
        <f t="shared" ref="I6377:J6377" si="6378">if(G6377 = "", , -G6377)</f>
        <v/>
      </c>
      <c r="J6377" s="94" t="str">
        <f t="shared" si="6378"/>
        <v/>
      </c>
      <c r="K6377" s="100"/>
      <c r="M6377" s="100"/>
      <c r="N6377" s="100"/>
      <c r="O6377" s="100"/>
      <c r="P6377" s="100"/>
    </row>
    <row r="6378">
      <c r="A6378" s="107">
        <v>1631172.0</v>
      </c>
      <c r="B6378" s="116" t="s">
        <v>244</v>
      </c>
      <c r="C6378" s="116" t="s">
        <v>1592</v>
      </c>
      <c r="D6378" s="24" t="s">
        <v>177</v>
      </c>
      <c r="E6378" s="24">
        <v>569.4</v>
      </c>
      <c r="F6378" s="111" t="str">
        <f>DataPull!D6378</f>
        <v/>
      </c>
      <c r="G6378" s="94" t="str">
        <f t="shared" si="2"/>
        <v/>
      </c>
      <c r="H6378" s="94" t="str">
        <f t="shared" si="3"/>
        <v/>
      </c>
      <c r="I6378" s="94" t="str">
        <f t="shared" ref="I6378:J6378" si="6379">if(G6378 = "", , -G6378)</f>
        <v/>
      </c>
      <c r="J6378" s="94" t="str">
        <f t="shared" si="6379"/>
        <v/>
      </c>
      <c r="K6378" s="100"/>
      <c r="M6378" s="100"/>
      <c r="N6378" s="100"/>
      <c r="O6378" s="100"/>
      <c r="P6378" s="100"/>
    </row>
    <row r="6379">
      <c r="A6379" s="107">
        <v>1631172.0</v>
      </c>
      <c r="B6379" s="116" t="s">
        <v>245</v>
      </c>
      <c r="C6379" s="116" t="s">
        <v>1592</v>
      </c>
      <c r="D6379" s="24" t="s">
        <v>177</v>
      </c>
      <c r="E6379" s="24">
        <v>366.3</v>
      </c>
      <c r="F6379" s="111" t="str">
        <f>DataPull!D6379</f>
        <v/>
      </c>
      <c r="G6379" s="94" t="str">
        <f t="shared" si="2"/>
        <v/>
      </c>
      <c r="H6379" s="94" t="str">
        <f t="shared" si="3"/>
        <v/>
      </c>
      <c r="I6379" s="94" t="str">
        <f t="shared" ref="I6379:J6379" si="6380">if(G6379 = "", , -G6379)</f>
        <v/>
      </c>
      <c r="J6379" s="94" t="str">
        <f t="shared" si="6380"/>
        <v/>
      </c>
      <c r="K6379" s="100"/>
      <c r="M6379" s="100"/>
      <c r="N6379" s="100"/>
      <c r="O6379" s="100"/>
      <c r="P6379" s="100"/>
    </row>
    <row r="6380">
      <c r="A6380" s="107">
        <v>1631172.0</v>
      </c>
      <c r="B6380" s="116" t="s">
        <v>246</v>
      </c>
      <c r="C6380" s="116" t="s">
        <v>1592</v>
      </c>
      <c r="D6380" s="24" t="s">
        <v>177</v>
      </c>
      <c r="E6380" s="24">
        <v>403.3</v>
      </c>
      <c r="F6380" s="111" t="str">
        <f>DataPull!D6380</f>
        <v/>
      </c>
      <c r="G6380" s="94" t="str">
        <f t="shared" si="2"/>
        <v/>
      </c>
      <c r="H6380" s="94" t="str">
        <f t="shared" si="3"/>
        <v/>
      </c>
      <c r="I6380" s="94" t="str">
        <f t="shared" ref="I6380:J6380" si="6381">if(G6380 = "", , -G6380)</f>
        <v/>
      </c>
      <c r="J6380" s="94" t="str">
        <f t="shared" si="6381"/>
        <v/>
      </c>
      <c r="K6380" s="100"/>
      <c r="M6380" s="100"/>
      <c r="N6380" s="100"/>
      <c r="O6380" s="100"/>
      <c r="P6380" s="100"/>
    </row>
    <row r="6381">
      <c r="A6381" s="114">
        <v>1631172.0</v>
      </c>
      <c r="B6381" s="131" t="s">
        <v>247</v>
      </c>
      <c r="C6381" s="131" t="s">
        <v>1592</v>
      </c>
      <c r="D6381" s="24" t="s">
        <v>177</v>
      </c>
      <c r="E6381" s="24">
        <v>1100.1</v>
      </c>
      <c r="F6381" s="111" t="str">
        <f>DataPull!D6381</f>
        <v/>
      </c>
      <c r="G6381" s="94" t="str">
        <f t="shared" si="2"/>
        <v/>
      </c>
      <c r="H6381" s="94" t="str">
        <f t="shared" si="3"/>
        <v/>
      </c>
      <c r="I6381" s="94" t="str">
        <f t="shared" ref="I6381:J6381" si="6382">if(G6381 = "", , -G6381)</f>
        <v/>
      </c>
      <c r="J6381" s="94" t="str">
        <f t="shared" si="6382"/>
        <v/>
      </c>
      <c r="K6381" s="100"/>
      <c r="M6381" s="100"/>
      <c r="N6381" s="100"/>
      <c r="O6381" s="100"/>
      <c r="P6381" s="100"/>
    </row>
    <row r="6382">
      <c r="A6382" s="107">
        <v>1631173.0</v>
      </c>
      <c r="B6382" s="116" t="s">
        <v>245</v>
      </c>
      <c r="C6382" s="116" t="s">
        <v>1593</v>
      </c>
      <c r="D6382" s="24" t="s">
        <v>187</v>
      </c>
      <c r="E6382" s="24">
        <v>84.8</v>
      </c>
      <c r="F6382" s="111" t="str">
        <f>DataPull!D6382</f>
        <v/>
      </c>
      <c r="G6382" s="94" t="str">
        <f t="shared" si="2"/>
        <v/>
      </c>
      <c r="H6382" s="94" t="str">
        <f t="shared" si="3"/>
        <v/>
      </c>
      <c r="I6382" s="94" t="str">
        <f t="shared" ref="I6382:J6382" si="6383">if(G6382 = "", , -G6382)</f>
        <v/>
      </c>
      <c r="J6382" s="94" t="str">
        <f t="shared" si="6383"/>
        <v/>
      </c>
      <c r="K6382" s="100"/>
      <c r="M6382" s="100"/>
      <c r="N6382" s="100"/>
      <c r="O6382" s="100"/>
      <c r="P6382" s="100"/>
    </row>
    <row r="6383">
      <c r="A6383" s="107">
        <v>1631197.0</v>
      </c>
      <c r="B6383" s="116" t="s">
        <v>244</v>
      </c>
      <c r="C6383" s="116" t="s">
        <v>1594</v>
      </c>
      <c r="D6383" s="24" t="s">
        <v>187</v>
      </c>
      <c r="E6383" s="24">
        <v>197.4</v>
      </c>
      <c r="F6383" s="111" t="str">
        <f>DataPull!D6383</f>
        <v/>
      </c>
      <c r="G6383" s="94" t="str">
        <f t="shared" si="2"/>
        <v/>
      </c>
      <c r="H6383" s="94" t="str">
        <f t="shared" si="3"/>
        <v/>
      </c>
      <c r="I6383" s="94" t="str">
        <f t="shared" ref="I6383:J6383" si="6384">if(G6383 = "", , -G6383)</f>
        <v/>
      </c>
      <c r="J6383" s="94" t="str">
        <f t="shared" si="6384"/>
        <v/>
      </c>
      <c r="K6383" s="100"/>
      <c r="M6383" s="100"/>
      <c r="N6383" s="100"/>
      <c r="O6383" s="100"/>
      <c r="P6383" s="100"/>
    </row>
    <row r="6384">
      <c r="A6384" s="107">
        <v>1631197.0</v>
      </c>
      <c r="B6384" s="116" t="s">
        <v>245</v>
      </c>
      <c r="C6384" s="116" t="s">
        <v>1594</v>
      </c>
      <c r="D6384" s="24" t="s">
        <v>187</v>
      </c>
      <c r="E6384" s="24">
        <v>244.8</v>
      </c>
      <c r="F6384" s="111" t="str">
        <f>DataPull!D6384</f>
        <v/>
      </c>
      <c r="G6384" s="94" t="str">
        <f t="shared" si="2"/>
        <v/>
      </c>
      <c r="H6384" s="94" t="str">
        <f t="shared" si="3"/>
        <v/>
      </c>
      <c r="I6384" s="94" t="str">
        <f t="shared" ref="I6384:J6384" si="6385">if(G6384 = "", , -G6384)</f>
        <v/>
      </c>
      <c r="J6384" s="94" t="str">
        <f t="shared" si="6385"/>
        <v/>
      </c>
      <c r="K6384" s="100"/>
      <c r="M6384" s="100"/>
      <c r="N6384" s="100"/>
      <c r="O6384" s="100"/>
      <c r="P6384" s="100"/>
    </row>
    <row r="6385">
      <c r="A6385" s="107">
        <v>1631197.0</v>
      </c>
      <c r="B6385" s="116" t="s">
        <v>246</v>
      </c>
      <c r="C6385" s="116" t="s">
        <v>1594</v>
      </c>
      <c r="D6385" s="24" t="s">
        <v>187</v>
      </c>
      <c r="E6385" s="24">
        <v>226.8</v>
      </c>
      <c r="F6385" s="111" t="str">
        <f>DataPull!D6385</f>
        <v/>
      </c>
      <c r="G6385" s="94" t="str">
        <f t="shared" si="2"/>
        <v/>
      </c>
      <c r="H6385" s="94" t="str">
        <f t="shared" si="3"/>
        <v/>
      </c>
      <c r="I6385" s="94" t="str">
        <f t="shared" ref="I6385:J6385" si="6386">if(G6385 = "", , -G6385)</f>
        <v/>
      </c>
      <c r="J6385" s="94" t="str">
        <f t="shared" si="6386"/>
        <v/>
      </c>
      <c r="K6385" s="100"/>
      <c r="M6385" s="100"/>
      <c r="N6385" s="100"/>
      <c r="O6385" s="100"/>
      <c r="P6385" s="100"/>
    </row>
    <row r="6386">
      <c r="A6386" s="107">
        <v>1631199.0</v>
      </c>
      <c r="B6386" s="116" t="s">
        <v>244</v>
      </c>
      <c r="C6386" s="116" t="s">
        <v>1595</v>
      </c>
      <c r="D6386" s="24" t="s">
        <v>187</v>
      </c>
      <c r="E6386" s="24">
        <v>47.7</v>
      </c>
      <c r="F6386" s="111" t="str">
        <f>DataPull!D6386</f>
        <v/>
      </c>
      <c r="G6386" s="94" t="str">
        <f t="shared" si="2"/>
        <v/>
      </c>
      <c r="H6386" s="94" t="str">
        <f t="shared" si="3"/>
        <v/>
      </c>
      <c r="I6386" s="94" t="str">
        <f t="shared" ref="I6386:J6386" si="6387">if(G6386 = "", , -G6386)</f>
        <v/>
      </c>
      <c r="J6386" s="94" t="str">
        <f t="shared" si="6387"/>
        <v/>
      </c>
      <c r="K6386" s="100"/>
      <c r="M6386" s="100"/>
      <c r="N6386" s="100"/>
      <c r="O6386" s="100"/>
      <c r="P6386" s="100"/>
    </row>
    <row r="6387">
      <c r="A6387" s="107">
        <v>1631199.0</v>
      </c>
      <c r="B6387" s="116" t="s">
        <v>245</v>
      </c>
      <c r="C6387" s="116" t="s">
        <v>1595</v>
      </c>
      <c r="D6387" s="24" t="s">
        <v>181</v>
      </c>
      <c r="E6387" s="24">
        <v>3.7</v>
      </c>
      <c r="F6387" s="111" t="str">
        <f>DataPull!D6387</f>
        <v/>
      </c>
      <c r="G6387" s="94" t="str">
        <f t="shared" si="2"/>
        <v/>
      </c>
      <c r="H6387" s="94" t="str">
        <f t="shared" si="3"/>
        <v/>
      </c>
      <c r="I6387" s="94" t="str">
        <f t="shared" ref="I6387:J6387" si="6388">if(G6387 = "", , -G6387)</f>
        <v/>
      </c>
      <c r="J6387" s="94" t="str">
        <f t="shared" si="6388"/>
        <v/>
      </c>
      <c r="K6387" s="100"/>
      <c r="M6387" s="100"/>
      <c r="N6387" s="100"/>
      <c r="O6387" s="100"/>
      <c r="P6387" s="100"/>
    </row>
    <row r="6388">
      <c r="A6388" s="123">
        <v>1631199.0</v>
      </c>
      <c r="B6388" s="132" t="s">
        <v>246</v>
      </c>
      <c r="C6388" s="133" t="s">
        <v>1595</v>
      </c>
      <c r="D6388" s="142" t="s">
        <v>181</v>
      </c>
      <c r="E6388" s="142">
        <v>17.0</v>
      </c>
      <c r="F6388" s="111" t="str">
        <f>DataPull!D6388</f>
        <v/>
      </c>
      <c r="G6388" s="94" t="str">
        <f t="shared" si="2"/>
        <v/>
      </c>
      <c r="H6388" s="94" t="str">
        <f t="shared" si="3"/>
        <v/>
      </c>
      <c r="I6388" s="94" t="str">
        <f t="shared" ref="I6388:J6388" si="6389">if(G6388 = "", , -G6388)</f>
        <v/>
      </c>
      <c r="J6388" s="94" t="str">
        <f t="shared" si="6389"/>
        <v/>
      </c>
      <c r="K6388" s="100"/>
      <c r="M6388" s="100"/>
      <c r="N6388" s="100"/>
      <c r="O6388" s="100"/>
      <c r="P6388" s="100"/>
    </row>
    <row r="6389">
      <c r="A6389" s="114">
        <v>1631199.0</v>
      </c>
      <c r="B6389" s="131" t="s">
        <v>247</v>
      </c>
      <c r="C6389" s="133" t="s">
        <v>1595</v>
      </c>
      <c r="D6389" s="24" t="s">
        <v>187</v>
      </c>
      <c r="E6389" s="24">
        <v>316.1</v>
      </c>
      <c r="F6389" s="111" t="str">
        <f>DataPull!D6389</f>
        <v/>
      </c>
      <c r="G6389" s="94" t="str">
        <f t="shared" si="2"/>
        <v/>
      </c>
      <c r="H6389" s="94" t="str">
        <f t="shared" si="3"/>
        <v/>
      </c>
      <c r="I6389" s="94" t="str">
        <f t="shared" ref="I6389:J6389" si="6390">if(G6389 = "", , -G6389)</f>
        <v/>
      </c>
      <c r="J6389" s="94" t="str">
        <f t="shared" si="6390"/>
        <v/>
      </c>
      <c r="K6389" s="100"/>
      <c r="M6389" s="100"/>
      <c r="N6389" s="100"/>
      <c r="O6389" s="100"/>
      <c r="P6389" s="100"/>
    </row>
    <row r="6390">
      <c r="A6390" s="107">
        <v>1631200.0</v>
      </c>
      <c r="B6390" s="116" t="s">
        <v>245</v>
      </c>
      <c r="C6390" s="116" t="s">
        <v>1596</v>
      </c>
      <c r="D6390" s="24" t="s">
        <v>176</v>
      </c>
      <c r="E6390" s="24">
        <v>1345.4</v>
      </c>
      <c r="F6390" s="111" t="str">
        <f>DataPull!D6390</f>
        <v/>
      </c>
      <c r="G6390" s="94" t="str">
        <f t="shared" si="2"/>
        <v/>
      </c>
      <c r="H6390" s="94" t="str">
        <f t="shared" si="3"/>
        <v/>
      </c>
      <c r="I6390" s="94" t="str">
        <f t="shared" ref="I6390:J6390" si="6391">if(G6390 = "", , -G6390)</f>
        <v/>
      </c>
      <c r="J6390" s="94" t="str">
        <f t="shared" si="6391"/>
        <v/>
      </c>
      <c r="K6390" s="100"/>
      <c r="M6390" s="100"/>
      <c r="N6390" s="100"/>
      <c r="O6390" s="100"/>
      <c r="P6390" s="100"/>
    </row>
    <row r="6391">
      <c r="A6391" s="107">
        <v>1631200.0</v>
      </c>
      <c r="B6391" s="116" t="s">
        <v>246</v>
      </c>
      <c r="C6391" s="116" t="s">
        <v>1596</v>
      </c>
      <c r="D6391" s="24" t="s">
        <v>177</v>
      </c>
      <c r="E6391" s="24">
        <v>1041.9</v>
      </c>
      <c r="F6391" s="111" t="str">
        <f>DataPull!D6391</f>
        <v/>
      </c>
      <c r="G6391" s="94" t="str">
        <f t="shared" si="2"/>
        <v/>
      </c>
      <c r="H6391" s="94" t="str">
        <f t="shared" si="3"/>
        <v/>
      </c>
      <c r="I6391" s="94" t="str">
        <f t="shared" ref="I6391:J6391" si="6392">if(G6391 = "", , -G6391)</f>
        <v/>
      </c>
      <c r="J6391" s="94" t="str">
        <f t="shared" si="6392"/>
        <v/>
      </c>
      <c r="K6391" s="100"/>
      <c r="M6391" s="100"/>
      <c r="N6391" s="100"/>
      <c r="O6391" s="100"/>
      <c r="P6391" s="100"/>
    </row>
    <row r="6392">
      <c r="A6392" s="114">
        <v>1631200.0</v>
      </c>
      <c r="B6392" s="131" t="s">
        <v>247</v>
      </c>
      <c r="C6392" s="131" t="s">
        <v>1596</v>
      </c>
      <c r="D6392" s="24" t="s">
        <v>176</v>
      </c>
      <c r="E6392" s="24">
        <v>1333.8</v>
      </c>
      <c r="F6392" s="111" t="str">
        <f>DataPull!D6392</f>
        <v/>
      </c>
      <c r="G6392" s="94" t="str">
        <f t="shared" si="2"/>
        <v/>
      </c>
      <c r="H6392" s="94" t="str">
        <f t="shared" si="3"/>
        <v/>
      </c>
      <c r="I6392" s="94" t="str">
        <f t="shared" ref="I6392:J6392" si="6393">if(G6392 = "", , -G6392)</f>
        <v/>
      </c>
      <c r="J6392" s="94" t="str">
        <f t="shared" si="6393"/>
        <v/>
      </c>
      <c r="K6392" s="100"/>
      <c r="M6392" s="100"/>
      <c r="N6392" s="100"/>
      <c r="O6392" s="100"/>
      <c r="P6392" s="100"/>
    </row>
    <row r="6393">
      <c r="A6393" s="107">
        <v>1631204.0</v>
      </c>
      <c r="B6393" s="116" t="s">
        <v>245</v>
      </c>
      <c r="C6393" s="116" t="s">
        <v>1597</v>
      </c>
      <c r="D6393" s="24" t="s">
        <v>177</v>
      </c>
      <c r="E6393" s="24">
        <v>1349.0</v>
      </c>
      <c r="F6393" s="111" t="str">
        <f>DataPull!D6393</f>
        <v/>
      </c>
      <c r="G6393" s="94" t="str">
        <f t="shared" si="2"/>
        <v/>
      </c>
      <c r="H6393" s="94" t="str">
        <f t="shared" si="3"/>
        <v/>
      </c>
      <c r="I6393" s="94" t="str">
        <f t="shared" ref="I6393:J6393" si="6394">if(G6393 = "", , -G6393)</f>
        <v/>
      </c>
      <c r="J6393" s="94" t="str">
        <f t="shared" si="6394"/>
        <v/>
      </c>
      <c r="K6393" s="100"/>
      <c r="M6393" s="100"/>
      <c r="N6393" s="100"/>
      <c r="O6393" s="100"/>
      <c r="P6393" s="100"/>
    </row>
    <row r="6394">
      <c r="A6394" s="107">
        <v>1631204.0</v>
      </c>
      <c r="B6394" s="116" t="s">
        <v>246</v>
      </c>
      <c r="C6394" s="116" t="s">
        <v>1597</v>
      </c>
      <c r="D6394" s="24" t="s">
        <v>177</v>
      </c>
      <c r="E6394" s="24">
        <v>809.4</v>
      </c>
      <c r="F6394" s="111" t="str">
        <f>DataPull!D6394</f>
        <v/>
      </c>
      <c r="G6394" s="94" t="str">
        <f t="shared" si="2"/>
        <v/>
      </c>
      <c r="H6394" s="94" t="str">
        <f t="shared" si="3"/>
        <v/>
      </c>
      <c r="I6394" s="94" t="str">
        <f t="shared" ref="I6394:J6394" si="6395">if(G6394 = "", , -G6394)</f>
        <v/>
      </c>
      <c r="J6394" s="94" t="str">
        <f t="shared" si="6395"/>
        <v/>
      </c>
      <c r="K6394" s="100"/>
      <c r="M6394" s="100"/>
      <c r="N6394" s="100"/>
      <c r="O6394" s="100"/>
      <c r="P6394" s="100"/>
    </row>
    <row r="6395">
      <c r="A6395" s="89">
        <v>1631204.0</v>
      </c>
      <c r="B6395" s="131" t="s">
        <v>247</v>
      </c>
      <c r="C6395" s="131" t="s">
        <v>1597</v>
      </c>
      <c r="D6395" s="24" t="s">
        <v>187</v>
      </c>
      <c r="E6395" s="24">
        <v>456.0</v>
      </c>
      <c r="F6395" s="111" t="str">
        <f>DataPull!D6395</f>
        <v/>
      </c>
      <c r="G6395" s="94" t="str">
        <f t="shared" si="2"/>
        <v/>
      </c>
      <c r="H6395" s="94" t="str">
        <f t="shared" si="3"/>
        <v/>
      </c>
      <c r="I6395" s="94" t="str">
        <f t="shared" ref="I6395:J6395" si="6396">if(G6395 = "", , -G6395)</f>
        <v/>
      </c>
      <c r="J6395" s="94" t="str">
        <f t="shared" si="6396"/>
        <v/>
      </c>
      <c r="K6395" s="100"/>
      <c r="M6395" s="100"/>
      <c r="N6395" s="100"/>
      <c r="O6395" s="100"/>
      <c r="P6395" s="100"/>
    </row>
    <row r="6396">
      <c r="A6396" s="107">
        <v>1631205.0</v>
      </c>
      <c r="B6396" s="116" t="s">
        <v>244</v>
      </c>
      <c r="C6396" s="116" t="s">
        <v>1598</v>
      </c>
      <c r="D6396" s="24" t="s">
        <v>187</v>
      </c>
      <c r="E6396" s="24">
        <v>90.0</v>
      </c>
      <c r="F6396" s="111" t="str">
        <f>DataPull!D6396</f>
        <v/>
      </c>
      <c r="G6396" s="94" t="str">
        <f t="shared" si="2"/>
        <v/>
      </c>
      <c r="H6396" s="94" t="str">
        <f t="shared" si="3"/>
        <v/>
      </c>
      <c r="I6396" s="94" t="str">
        <f t="shared" ref="I6396:J6396" si="6397">if(G6396 = "", , -G6396)</f>
        <v/>
      </c>
      <c r="J6396" s="94" t="str">
        <f t="shared" si="6397"/>
        <v/>
      </c>
      <c r="K6396" s="100"/>
      <c r="M6396" s="100"/>
      <c r="N6396" s="100"/>
      <c r="O6396" s="100"/>
      <c r="P6396" s="100"/>
    </row>
    <row r="6397">
      <c r="A6397" s="107">
        <v>1631205.0</v>
      </c>
      <c r="B6397" s="116" t="s">
        <v>245</v>
      </c>
      <c r="C6397" s="116" t="s">
        <v>1598</v>
      </c>
      <c r="D6397" s="24" t="s">
        <v>187</v>
      </c>
      <c r="E6397" s="24">
        <v>84.0</v>
      </c>
      <c r="F6397" s="111" t="str">
        <f>DataPull!D6397</f>
        <v/>
      </c>
      <c r="G6397" s="94" t="str">
        <f t="shared" si="2"/>
        <v/>
      </c>
      <c r="H6397" s="94" t="str">
        <f t="shared" si="3"/>
        <v/>
      </c>
      <c r="I6397" s="94" t="str">
        <f t="shared" ref="I6397:J6397" si="6398">if(G6397 = "", , -G6397)</f>
        <v/>
      </c>
      <c r="J6397" s="94" t="str">
        <f t="shared" si="6398"/>
        <v/>
      </c>
      <c r="K6397" s="100"/>
      <c r="M6397" s="100"/>
      <c r="N6397" s="100"/>
      <c r="O6397" s="100"/>
      <c r="P6397" s="100"/>
    </row>
    <row r="6398">
      <c r="A6398" s="126">
        <v>1631205.0</v>
      </c>
      <c r="B6398" s="141" t="s">
        <v>247</v>
      </c>
      <c r="C6398" s="141" t="s">
        <v>1598</v>
      </c>
      <c r="D6398" s="24" t="s">
        <v>181</v>
      </c>
      <c r="E6398" s="24">
        <v>15.2</v>
      </c>
      <c r="F6398" s="111" t="str">
        <f>DataPull!D6398</f>
        <v/>
      </c>
      <c r="G6398" s="94" t="str">
        <f t="shared" si="2"/>
        <v/>
      </c>
      <c r="H6398" s="94" t="str">
        <f t="shared" si="3"/>
        <v/>
      </c>
      <c r="I6398" s="94" t="str">
        <f t="shared" ref="I6398:J6398" si="6399">if(G6398 = "", , -G6398)</f>
        <v/>
      </c>
      <c r="J6398" s="94" t="str">
        <f t="shared" si="6399"/>
        <v/>
      </c>
      <c r="K6398" s="100"/>
      <c r="M6398" s="100"/>
      <c r="N6398" s="100"/>
      <c r="O6398" s="100"/>
      <c r="P6398" s="100"/>
    </row>
    <row r="6399">
      <c r="A6399" s="107">
        <v>1631207.0</v>
      </c>
      <c r="B6399" s="116" t="s">
        <v>244</v>
      </c>
      <c r="C6399" s="116" t="s">
        <v>1599</v>
      </c>
      <c r="D6399" s="24" t="s">
        <v>187</v>
      </c>
      <c r="E6399" s="24">
        <v>212.8</v>
      </c>
      <c r="F6399" s="111" t="str">
        <f>DataPull!D6399</f>
        <v/>
      </c>
      <c r="G6399" s="94" t="str">
        <f t="shared" si="2"/>
        <v/>
      </c>
      <c r="H6399" s="94" t="str">
        <f t="shared" si="3"/>
        <v/>
      </c>
      <c r="I6399" s="94" t="str">
        <f t="shared" ref="I6399:J6399" si="6400">if(G6399 = "", , -G6399)</f>
        <v/>
      </c>
      <c r="J6399" s="94" t="str">
        <f t="shared" si="6400"/>
        <v/>
      </c>
      <c r="K6399" s="100"/>
      <c r="M6399" s="100"/>
      <c r="N6399" s="100"/>
      <c r="O6399" s="100"/>
      <c r="P6399" s="100"/>
    </row>
    <row r="6400">
      <c r="A6400" s="107">
        <v>1631207.0</v>
      </c>
      <c r="B6400" s="116" t="s">
        <v>245</v>
      </c>
      <c r="C6400" s="116" t="s">
        <v>1599</v>
      </c>
      <c r="D6400" s="24" t="s">
        <v>177</v>
      </c>
      <c r="E6400" s="24">
        <v>678.5</v>
      </c>
      <c r="F6400" s="111" t="str">
        <f>DataPull!D6400</f>
        <v/>
      </c>
      <c r="G6400" s="94" t="str">
        <f t="shared" si="2"/>
        <v/>
      </c>
      <c r="H6400" s="94" t="str">
        <f t="shared" si="3"/>
        <v/>
      </c>
      <c r="I6400" s="94" t="str">
        <f t="shared" ref="I6400:J6400" si="6401">if(G6400 = "", , -G6400)</f>
        <v/>
      </c>
      <c r="J6400" s="94" t="str">
        <f t="shared" si="6401"/>
        <v/>
      </c>
      <c r="K6400" s="100"/>
      <c r="M6400" s="100"/>
      <c r="N6400" s="100"/>
      <c r="O6400" s="100"/>
      <c r="P6400" s="100"/>
    </row>
    <row r="6401">
      <c r="A6401" s="107">
        <v>1631207.0</v>
      </c>
      <c r="B6401" s="116" t="s">
        <v>246</v>
      </c>
      <c r="C6401" s="116" t="s">
        <v>1599</v>
      </c>
      <c r="D6401" s="24" t="s">
        <v>177</v>
      </c>
      <c r="E6401" s="24">
        <v>985.5</v>
      </c>
      <c r="F6401" s="111" t="str">
        <f>DataPull!D6401</f>
        <v/>
      </c>
      <c r="G6401" s="94" t="str">
        <f t="shared" si="2"/>
        <v/>
      </c>
      <c r="H6401" s="94" t="str">
        <f t="shared" si="3"/>
        <v/>
      </c>
      <c r="I6401" s="94" t="str">
        <f t="shared" ref="I6401:J6401" si="6402">if(G6401 = "", , -G6401)</f>
        <v/>
      </c>
      <c r="J6401" s="94" t="str">
        <f t="shared" si="6402"/>
        <v/>
      </c>
      <c r="K6401" s="100"/>
      <c r="M6401" s="100"/>
      <c r="N6401" s="100"/>
      <c r="O6401" s="100"/>
      <c r="P6401" s="100"/>
    </row>
    <row r="6402">
      <c r="A6402" s="114">
        <v>1631207.0</v>
      </c>
      <c r="B6402" s="131" t="s">
        <v>247</v>
      </c>
      <c r="C6402" s="131" t="s">
        <v>1599</v>
      </c>
      <c r="D6402" s="24" t="s">
        <v>177</v>
      </c>
      <c r="E6402" s="24">
        <v>552.0</v>
      </c>
      <c r="F6402" s="111" t="str">
        <f>DataPull!D6402</f>
        <v/>
      </c>
      <c r="G6402" s="94" t="str">
        <f t="shared" si="2"/>
        <v/>
      </c>
      <c r="H6402" s="94" t="str">
        <f t="shared" si="3"/>
        <v/>
      </c>
      <c r="I6402" s="94" t="str">
        <f t="shared" ref="I6402:J6402" si="6403">if(G6402 = "", , -G6402)</f>
        <v/>
      </c>
      <c r="J6402" s="94" t="str">
        <f t="shared" si="6403"/>
        <v/>
      </c>
      <c r="K6402" s="100"/>
      <c r="M6402" s="100"/>
      <c r="N6402" s="100"/>
      <c r="O6402" s="100"/>
      <c r="P6402" s="100"/>
    </row>
    <row r="6403">
      <c r="A6403" s="107">
        <v>1631209.0</v>
      </c>
      <c r="B6403" s="116" t="s">
        <v>245</v>
      </c>
      <c r="C6403" s="116" t="s">
        <v>1600</v>
      </c>
      <c r="D6403" s="24" t="s">
        <v>181</v>
      </c>
      <c r="E6403" s="24">
        <v>4.3</v>
      </c>
      <c r="F6403" s="111" t="str">
        <f>DataPull!D6403</f>
        <v/>
      </c>
      <c r="G6403" s="94" t="str">
        <f t="shared" si="2"/>
        <v/>
      </c>
      <c r="H6403" s="94" t="str">
        <f t="shared" si="3"/>
        <v/>
      </c>
      <c r="I6403" s="94" t="str">
        <f t="shared" ref="I6403:J6403" si="6404">if(G6403 = "", , -G6403)</f>
        <v/>
      </c>
      <c r="J6403" s="94" t="str">
        <f t="shared" si="6404"/>
        <v/>
      </c>
      <c r="K6403" s="100"/>
      <c r="M6403" s="100"/>
      <c r="N6403" s="100"/>
      <c r="O6403" s="100"/>
      <c r="P6403" s="100"/>
    </row>
    <row r="6404">
      <c r="A6404" s="117">
        <v>1631209.0</v>
      </c>
      <c r="B6404" s="143" t="s">
        <v>246</v>
      </c>
      <c r="C6404" s="144" t="s">
        <v>1600</v>
      </c>
      <c r="D6404" s="24" t="s">
        <v>187</v>
      </c>
      <c r="E6404" s="24">
        <v>266.0</v>
      </c>
      <c r="F6404" s="111" t="str">
        <f>DataPull!D6404</f>
        <v/>
      </c>
      <c r="G6404" s="94" t="str">
        <f t="shared" si="2"/>
        <v/>
      </c>
      <c r="H6404" s="94" t="str">
        <f t="shared" si="3"/>
        <v/>
      </c>
      <c r="I6404" s="94" t="str">
        <f t="shared" ref="I6404:J6404" si="6405">if(G6404 = "", , -G6404)</f>
        <v/>
      </c>
      <c r="J6404" s="94" t="str">
        <f t="shared" si="6405"/>
        <v/>
      </c>
      <c r="K6404" s="100"/>
      <c r="M6404" s="100"/>
      <c r="N6404" s="100"/>
      <c r="O6404" s="100"/>
      <c r="P6404" s="100"/>
    </row>
    <row r="6405">
      <c r="A6405" s="107">
        <v>1631210.0</v>
      </c>
      <c r="B6405" s="116" t="s">
        <v>245</v>
      </c>
      <c r="C6405" s="116" t="s">
        <v>1601</v>
      </c>
      <c r="D6405" s="24" t="s">
        <v>187</v>
      </c>
      <c r="E6405" s="24">
        <v>37.8</v>
      </c>
      <c r="F6405" s="111" t="str">
        <f>DataPull!D6405</f>
        <v/>
      </c>
      <c r="G6405" s="94" t="str">
        <f t="shared" si="2"/>
        <v/>
      </c>
      <c r="H6405" s="94" t="str">
        <f t="shared" si="3"/>
        <v/>
      </c>
      <c r="I6405" s="94" t="str">
        <f t="shared" ref="I6405:J6405" si="6406">if(G6405 = "", , -G6405)</f>
        <v/>
      </c>
      <c r="J6405" s="94" t="str">
        <f t="shared" si="6406"/>
        <v/>
      </c>
      <c r="K6405" s="100"/>
      <c r="M6405" s="100"/>
      <c r="N6405" s="100"/>
      <c r="O6405" s="100"/>
      <c r="P6405" s="100"/>
    </row>
    <row r="6406">
      <c r="A6406" s="107">
        <v>1631210.0</v>
      </c>
      <c r="B6406" s="116" t="s">
        <v>246</v>
      </c>
      <c r="C6406" s="116" t="s">
        <v>1601</v>
      </c>
      <c r="D6406" s="24" t="s">
        <v>187</v>
      </c>
      <c r="E6406" s="24">
        <v>74.8</v>
      </c>
      <c r="F6406" s="111" t="str">
        <f>DataPull!D6406</f>
        <v/>
      </c>
      <c r="G6406" s="94" t="str">
        <f t="shared" si="2"/>
        <v/>
      </c>
      <c r="H6406" s="94" t="str">
        <f t="shared" si="3"/>
        <v/>
      </c>
      <c r="I6406" s="94" t="str">
        <f t="shared" ref="I6406:J6406" si="6407">if(G6406 = "", , -G6406)</f>
        <v/>
      </c>
      <c r="J6406" s="94" t="str">
        <f t="shared" si="6407"/>
        <v/>
      </c>
      <c r="K6406" s="100"/>
      <c r="M6406" s="100"/>
      <c r="N6406" s="100"/>
      <c r="O6406" s="100"/>
      <c r="P6406" s="100"/>
    </row>
    <row r="6407">
      <c r="A6407" s="114">
        <v>1631210.0</v>
      </c>
      <c r="B6407" s="131" t="s">
        <v>247</v>
      </c>
      <c r="C6407" s="131" t="s">
        <v>1601</v>
      </c>
      <c r="D6407" s="24" t="s">
        <v>181</v>
      </c>
      <c r="E6407" s="24">
        <v>17.0</v>
      </c>
      <c r="F6407" s="111" t="str">
        <f>DataPull!D6407</f>
        <v/>
      </c>
      <c r="G6407" s="94" t="str">
        <f t="shared" si="2"/>
        <v/>
      </c>
      <c r="H6407" s="94" t="str">
        <f t="shared" si="3"/>
        <v/>
      </c>
      <c r="I6407" s="94" t="str">
        <f t="shared" ref="I6407:J6407" si="6408">if(G6407 = "", , -G6407)</f>
        <v/>
      </c>
      <c r="J6407" s="94" t="str">
        <f t="shared" si="6408"/>
        <v/>
      </c>
      <c r="K6407" s="100"/>
      <c r="M6407" s="100"/>
      <c r="N6407" s="100"/>
      <c r="O6407" s="100"/>
      <c r="P6407" s="100"/>
    </row>
    <row r="6408">
      <c r="A6408" s="107">
        <v>1631211.0</v>
      </c>
      <c r="B6408" s="116" t="s">
        <v>244</v>
      </c>
      <c r="C6408" s="116" t="s">
        <v>1602</v>
      </c>
      <c r="D6408" s="24" t="s">
        <v>181</v>
      </c>
      <c r="E6408" s="24">
        <v>8.1</v>
      </c>
      <c r="F6408" s="111" t="str">
        <f>DataPull!D6408</f>
        <v/>
      </c>
      <c r="G6408" s="94" t="str">
        <f t="shared" si="2"/>
        <v/>
      </c>
      <c r="H6408" s="94" t="str">
        <f t="shared" si="3"/>
        <v/>
      </c>
      <c r="I6408" s="94" t="str">
        <f t="shared" ref="I6408:J6408" si="6409">if(G6408 = "", , -G6408)</f>
        <v/>
      </c>
      <c r="J6408" s="94" t="str">
        <f t="shared" si="6409"/>
        <v/>
      </c>
      <c r="K6408" s="100"/>
      <c r="M6408" s="100"/>
      <c r="N6408" s="100"/>
      <c r="O6408" s="100"/>
      <c r="P6408" s="100"/>
    </row>
    <row r="6409">
      <c r="A6409" s="126">
        <v>1631211.0</v>
      </c>
      <c r="B6409" s="141" t="s">
        <v>247</v>
      </c>
      <c r="C6409" s="141" t="s">
        <v>1602</v>
      </c>
      <c r="D6409" s="24"/>
      <c r="E6409" s="24">
        <v>15.2</v>
      </c>
      <c r="F6409" s="111" t="str">
        <f>DataPull!D6409</f>
        <v/>
      </c>
      <c r="G6409" s="94" t="str">
        <f t="shared" si="2"/>
        <v/>
      </c>
      <c r="H6409" s="94" t="str">
        <f t="shared" si="3"/>
        <v/>
      </c>
      <c r="I6409" s="94" t="str">
        <f t="shared" ref="I6409:J6409" si="6410">if(G6409 = "", , -G6409)</f>
        <v/>
      </c>
      <c r="J6409" s="94" t="str">
        <f t="shared" si="6410"/>
        <v/>
      </c>
      <c r="K6409" s="100"/>
      <c r="M6409" s="100"/>
      <c r="N6409" s="100"/>
      <c r="O6409" s="100"/>
      <c r="P6409" s="100"/>
    </row>
    <row r="6410">
      <c r="A6410" s="107">
        <v>1631212.0</v>
      </c>
      <c r="B6410" s="116" t="s">
        <v>244</v>
      </c>
      <c r="C6410" s="116" t="s">
        <v>1603</v>
      </c>
      <c r="D6410" s="24" t="s">
        <v>187</v>
      </c>
      <c r="E6410" s="24">
        <v>186.3</v>
      </c>
      <c r="F6410" s="111" t="str">
        <f>DataPull!D6410</f>
        <v/>
      </c>
      <c r="G6410" s="94" t="str">
        <f t="shared" si="2"/>
        <v/>
      </c>
      <c r="H6410" s="94" t="str">
        <f t="shared" si="3"/>
        <v/>
      </c>
      <c r="I6410" s="94" t="str">
        <f t="shared" ref="I6410:J6410" si="6411">if(G6410 = "", , -G6410)</f>
        <v/>
      </c>
      <c r="J6410" s="94" t="str">
        <f t="shared" si="6411"/>
        <v/>
      </c>
      <c r="K6410" s="100"/>
      <c r="M6410" s="100"/>
      <c r="N6410" s="100"/>
      <c r="O6410" s="100"/>
      <c r="P6410" s="100"/>
    </row>
    <row r="6411">
      <c r="A6411" s="107">
        <v>1631212.0</v>
      </c>
      <c r="B6411" s="116" t="s">
        <v>245</v>
      </c>
      <c r="C6411" s="116" t="s">
        <v>1603</v>
      </c>
      <c r="D6411" s="24" t="s">
        <v>177</v>
      </c>
      <c r="E6411" s="24">
        <v>1488.0</v>
      </c>
      <c r="F6411" s="111" t="str">
        <f>DataPull!D6411</f>
        <v/>
      </c>
      <c r="G6411" s="94" t="str">
        <f t="shared" si="2"/>
        <v/>
      </c>
      <c r="H6411" s="94" t="str">
        <f t="shared" si="3"/>
        <v/>
      </c>
      <c r="I6411" s="94" t="str">
        <f t="shared" ref="I6411:J6411" si="6412">if(G6411 = "", , -G6411)</f>
        <v/>
      </c>
      <c r="J6411" s="94" t="str">
        <f t="shared" si="6412"/>
        <v/>
      </c>
      <c r="K6411" s="100"/>
      <c r="M6411" s="100"/>
      <c r="N6411" s="100"/>
      <c r="O6411" s="100"/>
      <c r="P6411" s="100"/>
    </row>
    <row r="6412">
      <c r="A6412" s="107">
        <v>1631212.0</v>
      </c>
      <c r="B6412" s="116" t="s">
        <v>246</v>
      </c>
      <c r="C6412" s="116" t="s">
        <v>1603</v>
      </c>
      <c r="D6412" s="24" t="s">
        <v>176</v>
      </c>
      <c r="E6412" s="24">
        <v>1652.4</v>
      </c>
      <c r="F6412" s="111" t="str">
        <f>DataPull!D6412</f>
        <v/>
      </c>
      <c r="G6412" s="94" t="str">
        <f t="shared" si="2"/>
        <v/>
      </c>
      <c r="H6412" s="94" t="str">
        <f t="shared" si="3"/>
        <v/>
      </c>
      <c r="I6412" s="94" t="str">
        <f t="shared" ref="I6412:J6412" si="6413">if(G6412 = "", , -G6412)</f>
        <v/>
      </c>
      <c r="J6412" s="94" t="str">
        <f t="shared" si="6413"/>
        <v/>
      </c>
      <c r="K6412" s="100"/>
      <c r="M6412" s="100"/>
      <c r="N6412" s="100"/>
      <c r="O6412" s="100"/>
      <c r="P6412" s="100"/>
    </row>
    <row r="6413">
      <c r="A6413" s="114">
        <v>1631212.0</v>
      </c>
      <c r="B6413" s="131" t="s">
        <v>247</v>
      </c>
      <c r="C6413" s="131" t="s">
        <v>1603</v>
      </c>
      <c r="D6413" s="24" t="s">
        <v>178</v>
      </c>
      <c r="E6413" s="24">
        <v>1598.4</v>
      </c>
      <c r="F6413" s="111" t="str">
        <f>DataPull!D6413</f>
        <v/>
      </c>
      <c r="G6413" s="94" t="str">
        <f t="shared" si="2"/>
        <v/>
      </c>
      <c r="H6413" s="94" t="str">
        <f t="shared" si="3"/>
        <v/>
      </c>
      <c r="I6413" s="94" t="str">
        <f t="shared" ref="I6413:J6413" si="6414">if(G6413 = "", , -G6413)</f>
        <v/>
      </c>
      <c r="J6413" s="94" t="str">
        <f t="shared" si="6414"/>
        <v/>
      </c>
      <c r="K6413" s="100"/>
      <c r="M6413" s="100"/>
      <c r="N6413" s="100"/>
      <c r="O6413" s="100"/>
      <c r="P6413" s="100"/>
    </row>
    <row r="6414">
      <c r="A6414" s="107">
        <v>1631213.0</v>
      </c>
      <c r="B6414" s="116" t="s">
        <v>244</v>
      </c>
      <c r="C6414" s="116" t="s">
        <v>1604</v>
      </c>
      <c r="D6414" s="24" t="s">
        <v>187</v>
      </c>
      <c r="E6414" s="24">
        <v>65.6</v>
      </c>
      <c r="F6414" s="111" t="str">
        <f>DataPull!D6414</f>
        <v/>
      </c>
      <c r="G6414" s="94" t="str">
        <f t="shared" si="2"/>
        <v/>
      </c>
      <c r="H6414" s="94" t="str">
        <f t="shared" si="3"/>
        <v/>
      </c>
      <c r="I6414" s="94" t="str">
        <f t="shared" ref="I6414:J6414" si="6415">if(G6414 = "", , -G6414)</f>
        <v/>
      </c>
      <c r="J6414" s="94" t="str">
        <f t="shared" si="6415"/>
        <v/>
      </c>
      <c r="K6414" s="100"/>
      <c r="M6414" s="100"/>
      <c r="N6414" s="100"/>
      <c r="O6414" s="100"/>
      <c r="P6414" s="100"/>
    </row>
    <row r="6415">
      <c r="A6415" s="107">
        <v>1631213.0</v>
      </c>
      <c r="B6415" s="116" t="s">
        <v>246</v>
      </c>
      <c r="C6415" s="116" t="s">
        <v>1604</v>
      </c>
      <c r="D6415" s="24" t="s">
        <v>176</v>
      </c>
      <c r="E6415" s="24">
        <v>1314.0</v>
      </c>
      <c r="F6415" s="111" t="str">
        <f>DataPull!D6415</f>
        <v/>
      </c>
      <c r="G6415" s="94" t="str">
        <f t="shared" si="2"/>
        <v/>
      </c>
      <c r="H6415" s="94" t="str">
        <f t="shared" si="3"/>
        <v/>
      </c>
      <c r="I6415" s="94" t="str">
        <f t="shared" ref="I6415:J6415" si="6416">if(G6415 = "", , -G6415)</f>
        <v/>
      </c>
      <c r="J6415" s="94" t="str">
        <f t="shared" si="6416"/>
        <v/>
      </c>
      <c r="K6415" s="100"/>
      <c r="M6415" s="100"/>
      <c r="N6415" s="100"/>
      <c r="O6415" s="100"/>
      <c r="P6415" s="100"/>
    </row>
    <row r="6416">
      <c r="A6416" s="114">
        <v>1631213.0</v>
      </c>
      <c r="B6416" s="131" t="s">
        <v>247</v>
      </c>
      <c r="C6416" s="131" t="s">
        <v>1604</v>
      </c>
      <c r="D6416" s="24" t="s">
        <v>177</v>
      </c>
      <c r="E6416" s="24">
        <v>777.4</v>
      </c>
      <c r="F6416" s="111" t="str">
        <f>DataPull!D6416</f>
        <v/>
      </c>
      <c r="G6416" s="94" t="str">
        <f t="shared" si="2"/>
        <v/>
      </c>
      <c r="H6416" s="94" t="str">
        <f t="shared" si="3"/>
        <v/>
      </c>
      <c r="I6416" s="94" t="str">
        <f t="shared" ref="I6416:J6416" si="6417">if(G6416 = "", , -G6416)</f>
        <v/>
      </c>
      <c r="J6416" s="94" t="str">
        <f t="shared" si="6417"/>
        <v/>
      </c>
      <c r="K6416" s="100"/>
      <c r="M6416" s="100"/>
      <c r="N6416" s="100"/>
      <c r="O6416" s="100"/>
      <c r="P6416" s="100"/>
    </row>
    <row r="6417">
      <c r="A6417" s="107">
        <v>1631214.0</v>
      </c>
      <c r="B6417" s="116" t="s">
        <v>244</v>
      </c>
      <c r="C6417" s="116" t="s">
        <v>1605</v>
      </c>
      <c r="D6417" s="24" t="s">
        <v>181</v>
      </c>
      <c r="E6417" s="24">
        <v>5.3</v>
      </c>
      <c r="F6417" s="111" t="str">
        <f>DataPull!D6417</f>
        <v/>
      </c>
      <c r="G6417" s="94" t="str">
        <f t="shared" si="2"/>
        <v/>
      </c>
      <c r="H6417" s="94" t="str">
        <f t="shared" si="3"/>
        <v/>
      </c>
      <c r="I6417" s="94" t="str">
        <f t="shared" ref="I6417:J6417" si="6418">if(G6417 = "", , -G6417)</f>
        <v/>
      </c>
      <c r="J6417" s="94" t="str">
        <f t="shared" si="6418"/>
        <v/>
      </c>
      <c r="K6417" s="100"/>
      <c r="M6417" s="100"/>
      <c r="N6417" s="100"/>
      <c r="O6417" s="100"/>
      <c r="P6417" s="100"/>
    </row>
    <row r="6418">
      <c r="A6418" s="107">
        <v>1631214.0</v>
      </c>
      <c r="B6418" s="116" t="s">
        <v>245</v>
      </c>
      <c r="C6418" s="116" t="s">
        <v>1605</v>
      </c>
      <c r="D6418" s="24" t="s">
        <v>181</v>
      </c>
      <c r="E6418" s="24">
        <v>15.4</v>
      </c>
      <c r="F6418" s="111" t="str">
        <f>DataPull!D6418</f>
        <v/>
      </c>
      <c r="G6418" s="94" t="str">
        <f t="shared" si="2"/>
        <v/>
      </c>
      <c r="H6418" s="94" t="str">
        <f t="shared" si="3"/>
        <v/>
      </c>
      <c r="I6418" s="94" t="str">
        <f t="shared" ref="I6418:J6418" si="6419">if(G6418 = "", , -G6418)</f>
        <v/>
      </c>
      <c r="J6418" s="94" t="str">
        <f t="shared" si="6419"/>
        <v/>
      </c>
      <c r="K6418" s="100"/>
      <c r="M6418" s="100"/>
      <c r="N6418" s="100"/>
      <c r="O6418" s="100"/>
      <c r="P6418" s="100"/>
    </row>
    <row r="6419">
      <c r="A6419" s="107">
        <v>1631214.0</v>
      </c>
      <c r="B6419" s="116" t="s">
        <v>246</v>
      </c>
      <c r="C6419" s="116" t="s">
        <v>1605</v>
      </c>
      <c r="D6419" s="24" t="s">
        <v>181</v>
      </c>
      <c r="E6419" s="24">
        <v>3.7</v>
      </c>
      <c r="F6419" s="111" t="str">
        <f>DataPull!D6419</f>
        <v/>
      </c>
      <c r="G6419" s="94" t="str">
        <f t="shared" si="2"/>
        <v/>
      </c>
      <c r="H6419" s="94" t="str">
        <f t="shared" si="3"/>
        <v/>
      </c>
      <c r="I6419" s="94" t="str">
        <f t="shared" ref="I6419:J6419" si="6420">if(G6419 = "", , -G6419)</f>
        <v/>
      </c>
      <c r="J6419" s="94" t="str">
        <f t="shared" si="6420"/>
        <v/>
      </c>
      <c r="K6419" s="100"/>
      <c r="M6419" s="100"/>
      <c r="N6419" s="100"/>
      <c r="O6419" s="100"/>
      <c r="P6419" s="100"/>
    </row>
    <row r="6420">
      <c r="A6420" s="107">
        <v>1631216.0</v>
      </c>
      <c r="B6420" s="116" t="s">
        <v>244</v>
      </c>
      <c r="C6420" s="116" t="s">
        <v>1606</v>
      </c>
      <c r="D6420" s="24" t="s">
        <v>177</v>
      </c>
      <c r="E6420" s="24">
        <v>810.9</v>
      </c>
      <c r="F6420" s="111" t="str">
        <f>DataPull!D6420</f>
        <v/>
      </c>
      <c r="G6420" s="94" t="str">
        <f t="shared" si="2"/>
        <v/>
      </c>
      <c r="H6420" s="94" t="str">
        <f t="shared" si="3"/>
        <v/>
      </c>
      <c r="I6420" s="94" t="str">
        <f t="shared" ref="I6420:J6420" si="6421">if(G6420 = "", , -G6420)</f>
        <v/>
      </c>
      <c r="J6420" s="94" t="str">
        <f t="shared" si="6421"/>
        <v/>
      </c>
      <c r="K6420" s="100"/>
      <c r="M6420" s="100"/>
      <c r="N6420" s="100"/>
      <c r="O6420" s="100"/>
      <c r="P6420" s="100"/>
    </row>
    <row r="6421">
      <c r="A6421" s="107">
        <v>1631216.0</v>
      </c>
      <c r="B6421" s="116" t="s">
        <v>245</v>
      </c>
      <c r="C6421" s="116" t="s">
        <v>1606</v>
      </c>
      <c r="D6421" s="24" t="s">
        <v>177</v>
      </c>
      <c r="E6421" s="24">
        <v>814.2</v>
      </c>
      <c r="F6421" s="111" t="str">
        <f>DataPull!D6421</f>
        <v/>
      </c>
      <c r="G6421" s="94" t="str">
        <f t="shared" si="2"/>
        <v/>
      </c>
      <c r="H6421" s="94" t="str">
        <f t="shared" si="3"/>
        <v/>
      </c>
      <c r="I6421" s="94" t="str">
        <f t="shared" ref="I6421:J6421" si="6422">if(G6421 = "", , -G6421)</f>
        <v/>
      </c>
      <c r="J6421" s="94" t="str">
        <f t="shared" si="6422"/>
        <v/>
      </c>
      <c r="K6421" s="100"/>
      <c r="M6421" s="100"/>
      <c r="N6421" s="100"/>
      <c r="O6421" s="100"/>
      <c r="P6421" s="100"/>
    </row>
    <row r="6422">
      <c r="A6422" s="107">
        <v>1631216.0</v>
      </c>
      <c r="B6422" s="116" t="s">
        <v>246</v>
      </c>
      <c r="C6422" s="116" t="s">
        <v>1606</v>
      </c>
      <c r="D6422" s="24" t="s">
        <v>177</v>
      </c>
      <c r="E6422" s="24">
        <v>788.8</v>
      </c>
      <c r="F6422" s="111" t="str">
        <f>DataPull!D6422</f>
        <v/>
      </c>
      <c r="G6422" s="94" t="str">
        <f t="shared" si="2"/>
        <v/>
      </c>
      <c r="H6422" s="94" t="str">
        <f t="shared" si="3"/>
        <v/>
      </c>
      <c r="I6422" s="94" t="str">
        <f t="shared" ref="I6422:J6422" si="6423">if(G6422 = "", , -G6422)</f>
        <v/>
      </c>
      <c r="J6422" s="94" t="str">
        <f t="shared" si="6423"/>
        <v/>
      </c>
      <c r="K6422" s="100"/>
      <c r="M6422" s="100"/>
      <c r="N6422" s="100"/>
      <c r="O6422" s="100"/>
      <c r="P6422" s="100"/>
    </row>
    <row r="6423">
      <c r="A6423" s="114">
        <v>1631216.0</v>
      </c>
      <c r="B6423" s="131" t="s">
        <v>247</v>
      </c>
      <c r="C6423" s="131" t="s">
        <v>1606</v>
      </c>
      <c r="D6423" s="24" t="s">
        <v>187</v>
      </c>
      <c r="E6423" s="24">
        <v>75.6</v>
      </c>
      <c r="F6423" s="111" t="str">
        <f>DataPull!D6423</f>
        <v/>
      </c>
      <c r="G6423" s="94" t="str">
        <f t="shared" si="2"/>
        <v/>
      </c>
      <c r="H6423" s="94" t="str">
        <f t="shared" si="3"/>
        <v/>
      </c>
      <c r="I6423" s="94" t="str">
        <f t="shared" ref="I6423:J6423" si="6424">if(G6423 = "", , -G6423)</f>
        <v/>
      </c>
      <c r="J6423" s="94" t="str">
        <f t="shared" si="6424"/>
        <v/>
      </c>
      <c r="K6423" s="100"/>
      <c r="M6423" s="100"/>
      <c r="N6423" s="100"/>
      <c r="O6423" s="100"/>
      <c r="P6423" s="100"/>
    </row>
    <row r="6424">
      <c r="A6424" s="107">
        <v>1631217.0</v>
      </c>
      <c r="B6424" s="116" t="s">
        <v>244</v>
      </c>
      <c r="C6424" s="116" t="s">
        <v>1607</v>
      </c>
      <c r="D6424" s="24" t="s">
        <v>187</v>
      </c>
      <c r="E6424" s="24">
        <v>195.8</v>
      </c>
      <c r="F6424" s="111" t="str">
        <f>DataPull!D6424</f>
        <v/>
      </c>
      <c r="G6424" s="94" t="str">
        <f t="shared" si="2"/>
        <v/>
      </c>
      <c r="H6424" s="94" t="str">
        <f t="shared" si="3"/>
        <v/>
      </c>
      <c r="I6424" s="94" t="str">
        <f t="shared" ref="I6424:J6424" si="6425">if(G6424 = "", , -G6424)</f>
        <v/>
      </c>
      <c r="J6424" s="94" t="str">
        <f t="shared" si="6425"/>
        <v/>
      </c>
      <c r="K6424" s="100"/>
      <c r="M6424" s="100"/>
      <c r="N6424" s="100"/>
      <c r="O6424" s="100"/>
      <c r="P6424" s="100"/>
    </row>
    <row r="6425">
      <c r="A6425" s="107">
        <v>1631217.0</v>
      </c>
      <c r="B6425" s="116" t="s">
        <v>245</v>
      </c>
      <c r="C6425" s="116" t="s">
        <v>1607</v>
      </c>
      <c r="D6425" s="24" t="s">
        <v>187</v>
      </c>
      <c r="E6425" s="24">
        <v>63.8</v>
      </c>
      <c r="F6425" s="111" t="str">
        <f>DataPull!D6425</f>
        <v/>
      </c>
      <c r="G6425" s="94" t="str">
        <f t="shared" si="2"/>
        <v/>
      </c>
      <c r="H6425" s="94" t="str">
        <f t="shared" si="3"/>
        <v/>
      </c>
      <c r="I6425" s="94" t="str">
        <f t="shared" ref="I6425:J6425" si="6426">if(G6425 = "", , -G6425)</f>
        <v/>
      </c>
      <c r="J6425" s="94" t="str">
        <f t="shared" si="6426"/>
        <v/>
      </c>
      <c r="K6425" s="100"/>
      <c r="M6425" s="100"/>
      <c r="N6425" s="100"/>
      <c r="O6425" s="100"/>
      <c r="P6425" s="100"/>
    </row>
    <row r="6426">
      <c r="A6426" s="107">
        <v>1631217.0</v>
      </c>
      <c r="B6426" s="116" t="s">
        <v>246</v>
      </c>
      <c r="C6426" s="116" t="s">
        <v>1607</v>
      </c>
      <c r="D6426" s="24" t="s">
        <v>177</v>
      </c>
      <c r="E6426" s="24">
        <v>1242.5</v>
      </c>
      <c r="F6426" s="111" t="str">
        <f>DataPull!D6426</f>
        <v/>
      </c>
      <c r="G6426" s="94" t="str">
        <f t="shared" si="2"/>
        <v/>
      </c>
      <c r="H6426" s="94" t="str">
        <f t="shared" si="3"/>
        <v/>
      </c>
      <c r="I6426" s="94" t="str">
        <f t="shared" ref="I6426:J6426" si="6427">if(G6426 = "", , -G6426)</f>
        <v/>
      </c>
      <c r="J6426" s="94" t="str">
        <f t="shared" si="6427"/>
        <v/>
      </c>
      <c r="K6426" s="100"/>
      <c r="M6426" s="100"/>
      <c r="N6426" s="100"/>
      <c r="O6426" s="100"/>
      <c r="P6426" s="100"/>
    </row>
    <row r="6427">
      <c r="A6427" s="114">
        <v>1631217.0</v>
      </c>
      <c r="B6427" s="131" t="s">
        <v>247</v>
      </c>
      <c r="C6427" s="116" t="s">
        <v>1607</v>
      </c>
      <c r="D6427" s="24" t="s">
        <v>184</v>
      </c>
      <c r="E6427" s="24">
        <v>1898.0</v>
      </c>
      <c r="F6427" s="111" t="str">
        <f>DataPull!D6427</f>
        <v/>
      </c>
      <c r="G6427" s="94" t="str">
        <f t="shared" si="2"/>
        <v/>
      </c>
      <c r="H6427" s="94" t="str">
        <f t="shared" si="3"/>
        <v/>
      </c>
      <c r="I6427" s="94" t="str">
        <f t="shared" ref="I6427:J6427" si="6428">if(G6427 = "", , -G6427)</f>
        <v/>
      </c>
      <c r="J6427" s="94" t="str">
        <f t="shared" si="6428"/>
        <v/>
      </c>
      <c r="K6427" s="100"/>
      <c r="M6427" s="100"/>
      <c r="N6427" s="100"/>
      <c r="O6427" s="100"/>
      <c r="P6427" s="100"/>
    </row>
    <row r="6428">
      <c r="A6428" s="107">
        <v>1631218.0</v>
      </c>
      <c r="B6428" s="116" t="s">
        <v>245</v>
      </c>
      <c r="C6428" s="116" t="s">
        <v>1608</v>
      </c>
      <c r="D6428" s="24" t="s">
        <v>177</v>
      </c>
      <c r="E6428" s="24">
        <v>1128.8</v>
      </c>
      <c r="F6428" s="111" t="str">
        <f>DataPull!D6428</f>
        <v/>
      </c>
      <c r="G6428" s="94" t="str">
        <f t="shared" si="2"/>
        <v/>
      </c>
      <c r="H6428" s="94" t="str">
        <f t="shared" si="3"/>
        <v/>
      </c>
      <c r="I6428" s="94" t="str">
        <f t="shared" ref="I6428:J6428" si="6429">if(G6428 = "", , -G6428)</f>
        <v/>
      </c>
      <c r="J6428" s="94" t="str">
        <f t="shared" si="6429"/>
        <v/>
      </c>
      <c r="K6428" s="100"/>
      <c r="M6428" s="100"/>
      <c r="N6428" s="100"/>
      <c r="O6428" s="100"/>
      <c r="P6428" s="100"/>
    </row>
    <row r="6429">
      <c r="A6429" s="107">
        <v>1631218.0</v>
      </c>
      <c r="B6429" s="116" t="s">
        <v>246</v>
      </c>
      <c r="C6429" s="116" t="s">
        <v>1608</v>
      </c>
      <c r="D6429" s="24" t="s">
        <v>177</v>
      </c>
      <c r="E6429" s="24">
        <v>967.2</v>
      </c>
      <c r="F6429" s="111" t="str">
        <f>DataPull!D6429</f>
        <v/>
      </c>
      <c r="G6429" s="94" t="str">
        <f t="shared" si="2"/>
        <v/>
      </c>
      <c r="H6429" s="94" t="str">
        <f t="shared" si="3"/>
        <v/>
      </c>
      <c r="I6429" s="94" t="str">
        <f t="shared" ref="I6429:J6429" si="6430">if(G6429 = "", , -G6429)</f>
        <v/>
      </c>
      <c r="J6429" s="94" t="str">
        <f t="shared" si="6430"/>
        <v/>
      </c>
      <c r="K6429" s="100"/>
      <c r="M6429" s="100"/>
      <c r="N6429" s="100"/>
      <c r="O6429" s="100"/>
      <c r="P6429" s="100"/>
    </row>
    <row r="6430">
      <c r="A6430" s="114">
        <v>1631218.0</v>
      </c>
      <c r="B6430" s="131" t="s">
        <v>247</v>
      </c>
      <c r="C6430" s="131" t="s">
        <v>1608</v>
      </c>
      <c r="D6430" s="24" t="s">
        <v>177</v>
      </c>
      <c r="E6430" s="24">
        <v>498.2</v>
      </c>
      <c r="F6430" s="111" t="str">
        <f>DataPull!D6430</f>
        <v/>
      </c>
      <c r="G6430" s="94" t="str">
        <f t="shared" si="2"/>
        <v/>
      </c>
      <c r="H6430" s="94" t="str">
        <f t="shared" si="3"/>
        <v/>
      </c>
      <c r="I6430" s="94" t="str">
        <f t="shared" ref="I6430:J6430" si="6431">if(G6430 = "", , -G6430)</f>
        <v/>
      </c>
      <c r="J6430" s="94" t="str">
        <f t="shared" si="6431"/>
        <v/>
      </c>
      <c r="K6430" s="100"/>
      <c r="M6430" s="100"/>
      <c r="N6430" s="100"/>
      <c r="O6430" s="100"/>
      <c r="P6430" s="100"/>
    </row>
    <row r="6431">
      <c r="A6431" s="107">
        <v>1631219.0</v>
      </c>
      <c r="B6431" s="116" t="s">
        <v>244</v>
      </c>
      <c r="C6431" s="116" t="s">
        <v>1609</v>
      </c>
      <c r="D6431" s="24" t="s">
        <v>187</v>
      </c>
      <c r="E6431" s="24">
        <v>220.4</v>
      </c>
      <c r="F6431" s="111" t="str">
        <f>DataPull!D6431</f>
        <v/>
      </c>
      <c r="G6431" s="94" t="str">
        <f t="shared" si="2"/>
        <v/>
      </c>
      <c r="H6431" s="94" t="str">
        <f t="shared" si="3"/>
        <v/>
      </c>
      <c r="I6431" s="94" t="str">
        <f t="shared" ref="I6431:J6431" si="6432">if(G6431 = "", , -G6431)</f>
        <v/>
      </c>
      <c r="J6431" s="94" t="str">
        <f t="shared" si="6432"/>
        <v/>
      </c>
      <c r="K6431" s="100"/>
      <c r="M6431" s="100"/>
      <c r="N6431" s="100"/>
      <c r="O6431" s="100"/>
      <c r="P6431" s="100"/>
    </row>
    <row r="6432">
      <c r="A6432" s="107">
        <v>1631220.0</v>
      </c>
      <c r="B6432" s="116" t="s">
        <v>244</v>
      </c>
      <c r="C6432" s="116" t="s">
        <v>1610</v>
      </c>
      <c r="D6432" s="24" t="s">
        <v>181</v>
      </c>
      <c r="E6432" s="24">
        <v>11.5</v>
      </c>
      <c r="F6432" s="111" t="str">
        <f>DataPull!D6432</f>
        <v/>
      </c>
      <c r="G6432" s="94" t="str">
        <f t="shared" si="2"/>
        <v/>
      </c>
      <c r="H6432" s="94" t="str">
        <f t="shared" si="3"/>
        <v/>
      </c>
      <c r="I6432" s="94" t="str">
        <f t="shared" ref="I6432:J6432" si="6433">if(G6432 = "", , -G6432)</f>
        <v/>
      </c>
      <c r="J6432" s="94" t="str">
        <f t="shared" si="6433"/>
        <v/>
      </c>
      <c r="K6432" s="100"/>
      <c r="M6432" s="100"/>
      <c r="N6432" s="100"/>
      <c r="O6432" s="100"/>
      <c r="P6432" s="100"/>
    </row>
    <row r="6433">
      <c r="A6433" s="107">
        <v>1631220.0</v>
      </c>
      <c r="B6433" s="116" t="s">
        <v>245</v>
      </c>
      <c r="C6433" s="116" t="s">
        <v>1610</v>
      </c>
      <c r="D6433" s="24" t="s">
        <v>181</v>
      </c>
      <c r="E6433" s="24">
        <v>55.2</v>
      </c>
      <c r="F6433" s="111" t="str">
        <f>DataPull!D6433</f>
        <v/>
      </c>
      <c r="G6433" s="94" t="str">
        <f t="shared" si="2"/>
        <v/>
      </c>
      <c r="H6433" s="94" t="str">
        <f t="shared" si="3"/>
        <v/>
      </c>
      <c r="I6433" s="94" t="str">
        <f t="shared" ref="I6433:J6433" si="6434">if(G6433 = "", , -G6433)</f>
        <v/>
      </c>
      <c r="J6433" s="94" t="str">
        <f t="shared" si="6434"/>
        <v/>
      </c>
      <c r="K6433" s="100"/>
      <c r="M6433" s="100"/>
      <c r="N6433" s="100"/>
      <c r="O6433" s="100"/>
      <c r="P6433" s="100"/>
    </row>
    <row r="6434">
      <c r="A6434" s="107">
        <v>1631221.0</v>
      </c>
      <c r="B6434" s="116" t="s">
        <v>245</v>
      </c>
      <c r="C6434" s="116" t="s">
        <v>1611</v>
      </c>
      <c r="D6434" s="24" t="s">
        <v>187</v>
      </c>
      <c r="E6434" s="24">
        <v>225.6</v>
      </c>
      <c r="F6434" s="111" t="str">
        <f>DataPull!D6434</f>
        <v/>
      </c>
      <c r="G6434" s="94" t="str">
        <f t="shared" si="2"/>
        <v/>
      </c>
      <c r="H6434" s="94" t="str">
        <f t="shared" si="3"/>
        <v/>
      </c>
      <c r="I6434" s="94" t="str">
        <f t="shared" ref="I6434:J6434" si="6435">if(G6434 = "", , -G6434)</f>
        <v/>
      </c>
      <c r="J6434" s="94" t="str">
        <f t="shared" si="6435"/>
        <v/>
      </c>
      <c r="K6434" s="100"/>
      <c r="M6434" s="100"/>
      <c r="N6434" s="100"/>
      <c r="O6434" s="100"/>
      <c r="P6434" s="100"/>
    </row>
    <row r="6435">
      <c r="A6435" s="107">
        <v>1631221.0</v>
      </c>
      <c r="B6435" s="116" t="s">
        <v>246</v>
      </c>
      <c r="C6435" s="116" t="s">
        <v>1611</v>
      </c>
      <c r="D6435" s="24" t="s">
        <v>177</v>
      </c>
      <c r="E6435" s="24">
        <v>462.0</v>
      </c>
      <c r="F6435" s="111" t="str">
        <f>DataPull!D6435</f>
        <v/>
      </c>
      <c r="G6435" s="94" t="str">
        <f t="shared" si="2"/>
        <v/>
      </c>
      <c r="H6435" s="94" t="str">
        <f t="shared" si="3"/>
        <v/>
      </c>
      <c r="I6435" s="94" t="str">
        <f t="shared" ref="I6435:J6435" si="6436">if(G6435 = "", , -G6435)</f>
        <v/>
      </c>
      <c r="J6435" s="94" t="str">
        <f t="shared" si="6436"/>
        <v/>
      </c>
      <c r="K6435" s="100"/>
      <c r="M6435" s="100"/>
      <c r="N6435" s="100"/>
      <c r="O6435" s="100"/>
      <c r="P6435" s="100"/>
    </row>
    <row r="6436">
      <c r="A6436" s="114">
        <v>1631221.0</v>
      </c>
      <c r="B6436" s="131" t="s">
        <v>247</v>
      </c>
      <c r="C6436" s="131" t="s">
        <v>1611</v>
      </c>
      <c r="D6436" s="24" t="s">
        <v>184</v>
      </c>
      <c r="E6436" s="24">
        <v>2280.0</v>
      </c>
      <c r="F6436" s="111" t="str">
        <f>DataPull!D6436</f>
        <v/>
      </c>
      <c r="G6436" s="94" t="str">
        <f t="shared" si="2"/>
        <v/>
      </c>
      <c r="H6436" s="94" t="str">
        <f t="shared" si="3"/>
        <v/>
      </c>
      <c r="I6436" s="94" t="str">
        <f t="shared" ref="I6436:J6436" si="6437">if(G6436 = "", , -G6436)</f>
        <v/>
      </c>
      <c r="J6436" s="94" t="str">
        <f t="shared" si="6437"/>
        <v/>
      </c>
      <c r="K6436" s="100"/>
      <c r="M6436" s="100"/>
      <c r="N6436" s="100"/>
      <c r="O6436" s="100"/>
      <c r="P6436" s="100"/>
    </row>
    <row r="6437">
      <c r="A6437" s="107">
        <v>1631222.0</v>
      </c>
      <c r="B6437" s="116" t="s">
        <v>244</v>
      </c>
      <c r="C6437" s="116" t="s">
        <v>1612</v>
      </c>
      <c r="D6437" s="24" t="s">
        <v>177</v>
      </c>
      <c r="E6437" s="24">
        <v>413.0</v>
      </c>
      <c r="F6437" s="111" t="str">
        <f>DataPull!D6437</f>
        <v/>
      </c>
      <c r="G6437" s="94" t="str">
        <f t="shared" si="2"/>
        <v/>
      </c>
      <c r="H6437" s="94" t="str">
        <f t="shared" si="3"/>
        <v/>
      </c>
      <c r="I6437" s="94" t="str">
        <f t="shared" ref="I6437:J6437" si="6438">if(G6437 = "", , -G6437)</f>
        <v/>
      </c>
      <c r="J6437" s="94" t="str">
        <f t="shared" si="6438"/>
        <v/>
      </c>
      <c r="K6437" s="100"/>
      <c r="M6437" s="100"/>
      <c r="N6437" s="100"/>
      <c r="O6437" s="100"/>
      <c r="P6437" s="100"/>
    </row>
    <row r="6438">
      <c r="A6438" s="107">
        <v>1631222.0</v>
      </c>
      <c r="B6438" s="116" t="s">
        <v>245</v>
      </c>
      <c r="C6438" s="116" t="s">
        <v>1612</v>
      </c>
      <c r="D6438" s="24" t="s">
        <v>176</v>
      </c>
      <c r="E6438" s="24">
        <v>805.0</v>
      </c>
      <c r="F6438" s="111" t="str">
        <f>DataPull!D6438</f>
        <v/>
      </c>
      <c r="G6438" s="94" t="str">
        <f t="shared" si="2"/>
        <v/>
      </c>
      <c r="H6438" s="94" t="str">
        <f t="shared" si="3"/>
        <v/>
      </c>
      <c r="I6438" s="94" t="str">
        <f t="shared" ref="I6438:J6438" si="6439">if(G6438 = "", , -G6438)</f>
        <v/>
      </c>
      <c r="J6438" s="94" t="str">
        <f t="shared" si="6439"/>
        <v/>
      </c>
      <c r="K6438" s="100"/>
      <c r="M6438" s="100"/>
      <c r="N6438" s="100"/>
      <c r="O6438" s="100"/>
      <c r="P6438" s="100"/>
    </row>
    <row r="6439">
      <c r="A6439" s="107">
        <v>1631222.0</v>
      </c>
      <c r="B6439" s="116" t="s">
        <v>246</v>
      </c>
      <c r="C6439" s="116" t="s">
        <v>1612</v>
      </c>
      <c r="D6439" s="24" t="s">
        <v>176</v>
      </c>
      <c r="E6439" s="24">
        <v>1346.4</v>
      </c>
      <c r="F6439" s="111" t="str">
        <f>DataPull!D6439</f>
        <v/>
      </c>
      <c r="G6439" s="94" t="str">
        <f t="shared" si="2"/>
        <v/>
      </c>
      <c r="H6439" s="94" t="str">
        <f t="shared" si="3"/>
        <v/>
      </c>
      <c r="I6439" s="94" t="str">
        <f t="shared" ref="I6439:J6439" si="6440">if(G6439 = "", , -G6439)</f>
        <v/>
      </c>
      <c r="J6439" s="94" t="str">
        <f t="shared" si="6440"/>
        <v/>
      </c>
      <c r="K6439" s="100"/>
      <c r="M6439" s="100"/>
      <c r="N6439" s="100"/>
      <c r="O6439" s="100"/>
      <c r="P6439" s="100"/>
    </row>
    <row r="6440">
      <c r="A6440" s="114">
        <v>1631222.0</v>
      </c>
      <c r="B6440" s="131" t="s">
        <v>247</v>
      </c>
      <c r="C6440" s="131" t="s">
        <v>1612</v>
      </c>
      <c r="D6440" s="24" t="s">
        <v>176</v>
      </c>
      <c r="E6440" s="24">
        <v>2058.2</v>
      </c>
      <c r="F6440" s="111" t="str">
        <f>DataPull!D6440</f>
        <v/>
      </c>
      <c r="G6440" s="94" t="str">
        <f t="shared" si="2"/>
        <v/>
      </c>
      <c r="H6440" s="94" t="str">
        <f t="shared" si="3"/>
        <v/>
      </c>
      <c r="I6440" s="94" t="str">
        <f t="shared" ref="I6440:J6440" si="6441">if(G6440 = "", , -G6440)</f>
        <v/>
      </c>
      <c r="J6440" s="94" t="str">
        <f t="shared" si="6441"/>
        <v/>
      </c>
      <c r="K6440" s="100"/>
      <c r="M6440" s="100"/>
      <c r="N6440" s="100"/>
      <c r="O6440" s="100"/>
      <c r="P6440" s="100"/>
    </row>
    <row r="6441">
      <c r="A6441" s="107">
        <v>1631223.0</v>
      </c>
      <c r="B6441" s="116" t="s">
        <v>244</v>
      </c>
      <c r="C6441" s="116" t="s">
        <v>1613</v>
      </c>
      <c r="D6441" s="24" t="s">
        <v>177</v>
      </c>
      <c r="E6441" s="24">
        <v>1260.0</v>
      </c>
      <c r="F6441" s="111" t="str">
        <f>DataPull!D6441</f>
        <v/>
      </c>
      <c r="G6441" s="94" t="str">
        <f t="shared" si="2"/>
        <v/>
      </c>
      <c r="H6441" s="94" t="str">
        <f t="shared" si="3"/>
        <v/>
      </c>
      <c r="I6441" s="94" t="str">
        <f t="shared" ref="I6441:J6441" si="6442">if(G6441 = "", , -G6441)</f>
        <v/>
      </c>
      <c r="J6441" s="94" t="str">
        <f t="shared" si="6442"/>
        <v/>
      </c>
      <c r="K6441" s="100"/>
      <c r="M6441" s="100"/>
      <c r="N6441" s="100"/>
      <c r="O6441" s="100"/>
      <c r="P6441" s="100"/>
    </row>
    <row r="6442">
      <c r="A6442" s="107">
        <v>1631223.0</v>
      </c>
      <c r="B6442" s="116" t="s">
        <v>245</v>
      </c>
      <c r="C6442" s="116" t="s">
        <v>1613</v>
      </c>
      <c r="D6442" s="24" t="s">
        <v>176</v>
      </c>
      <c r="E6442" s="24">
        <v>1176.5</v>
      </c>
      <c r="F6442" s="111" t="str">
        <f>DataPull!D6442</f>
        <v/>
      </c>
      <c r="G6442" s="94" t="str">
        <f t="shared" si="2"/>
        <v/>
      </c>
      <c r="H6442" s="94" t="str">
        <f t="shared" si="3"/>
        <v/>
      </c>
      <c r="I6442" s="94" t="str">
        <f t="shared" ref="I6442:J6442" si="6443">if(G6442 = "", , -G6442)</f>
        <v/>
      </c>
      <c r="J6442" s="94" t="str">
        <f t="shared" si="6443"/>
        <v/>
      </c>
      <c r="K6442" s="100"/>
      <c r="M6442" s="100"/>
      <c r="N6442" s="100"/>
      <c r="O6442" s="100"/>
      <c r="P6442" s="100"/>
    </row>
    <row r="6443">
      <c r="A6443" s="107">
        <v>1631223.0</v>
      </c>
      <c r="B6443" s="116" t="s">
        <v>246</v>
      </c>
      <c r="C6443" s="116" t="s">
        <v>1613</v>
      </c>
      <c r="D6443" s="24" t="s">
        <v>177</v>
      </c>
      <c r="E6443" s="24">
        <v>409.2</v>
      </c>
      <c r="F6443" s="111" t="str">
        <f>DataPull!D6443</f>
        <v/>
      </c>
      <c r="G6443" s="94" t="str">
        <f t="shared" si="2"/>
        <v/>
      </c>
      <c r="H6443" s="94" t="str">
        <f t="shared" si="3"/>
        <v/>
      </c>
      <c r="I6443" s="94" t="str">
        <f t="shared" ref="I6443:J6443" si="6444">if(G6443 = "", , -G6443)</f>
        <v/>
      </c>
      <c r="J6443" s="94" t="str">
        <f t="shared" si="6444"/>
        <v/>
      </c>
      <c r="K6443" s="100"/>
      <c r="M6443" s="100"/>
      <c r="N6443" s="100"/>
      <c r="O6443" s="100"/>
      <c r="P6443" s="100"/>
    </row>
    <row r="6444">
      <c r="A6444" s="126">
        <v>1631223.0</v>
      </c>
      <c r="B6444" s="141" t="s">
        <v>247</v>
      </c>
      <c r="C6444" s="141" t="s">
        <v>1613</v>
      </c>
      <c r="D6444" s="24"/>
      <c r="E6444" s="24">
        <v>73.0</v>
      </c>
      <c r="F6444" s="111" t="str">
        <f>DataPull!D6444</f>
        <v/>
      </c>
      <c r="G6444" s="94" t="str">
        <f t="shared" si="2"/>
        <v/>
      </c>
      <c r="H6444" s="94" t="str">
        <f t="shared" si="3"/>
        <v/>
      </c>
      <c r="I6444" s="94" t="str">
        <f t="shared" ref="I6444:J6444" si="6445">if(G6444 = "", , -G6444)</f>
        <v/>
      </c>
      <c r="J6444" s="94" t="str">
        <f t="shared" si="6445"/>
        <v/>
      </c>
      <c r="K6444" s="100"/>
      <c r="M6444" s="100"/>
      <c r="N6444" s="100"/>
      <c r="O6444" s="100"/>
      <c r="P6444" s="100"/>
    </row>
    <row r="6445">
      <c r="A6445" s="107">
        <v>1631230.0</v>
      </c>
      <c r="B6445" s="116" t="s">
        <v>244</v>
      </c>
      <c r="C6445" s="116" t="s">
        <v>1614</v>
      </c>
      <c r="D6445" s="24" t="s">
        <v>177</v>
      </c>
      <c r="E6445" s="24">
        <v>408.8</v>
      </c>
      <c r="F6445" s="111" t="str">
        <f>DataPull!D6445</f>
        <v/>
      </c>
      <c r="G6445" s="94" t="str">
        <f t="shared" si="2"/>
        <v/>
      </c>
      <c r="H6445" s="94" t="str">
        <f t="shared" si="3"/>
        <v/>
      </c>
      <c r="I6445" s="94" t="str">
        <f t="shared" ref="I6445:J6445" si="6446">if(G6445 = "", , -G6445)</f>
        <v/>
      </c>
      <c r="J6445" s="94" t="str">
        <f t="shared" si="6446"/>
        <v/>
      </c>
      <c r="K6445" s="100"/>
      <c r="M6445" s="100"/>
      <c r="N6445" s="100"/>
      <c r="O6445" s="100"/>
      <c r="P6445" s="100"/>
    </row>
    <row r="6446">
      <c r="A6446" s="107">
        <v>1631230.0</v>
      </c>
      <c r="B6446" s="116" t="s">
        <v>245</v>
      </c>
      <c r="C6446" s="116" t="s">
        <v>1614</v>
      </c>
      <c r="D6446" s="24" t="s">
        <v>177</v>
      </c>
      <c r="E6446" s="24">
        <v>419.1</v>
      </c>
      <c r="F6446" s="111" t="str">
        <f>DataPull!D6446</f>
        <v/>
      </c>
      <c r="G6446" s="94" t="str">
        <f t="shared" si="2"/>
        <v/>
      </c>
      <c r="H6446" s="94" t="str">
        <f t="shared" si="3"/>
        <v/>
      </c>
      <c r="I6446" s="94" t="str">
        <f t="shared" ref="I6446:J6446" si="6447">if(G6446 = "", , -G6446)</f>
        <v/>
      </c>
      <c r="J6446" s="94" t="str">
        <f t="shared" si="6447"/>
        <v/>
      </c>
      <c r="K6446" s="100"/>
      <c r="M6446" s="100"/>
      <c r="N6446" s="100"/>
      <c r="O6446" s="100"/>
      <c r="P6446" s="100"/>
    </row>
    <row r="6447">
      <c r="A6447" s="107">
        <v>1631230.0</v>
      </c>
      <c r="B6447" s="116" t="s">
        <v>246</v>
      </c>
      <c r="C6447" s="116" t="s">
        <v>1614</v>
      </c>
      <c r="D6447" s="24" t="s">
        <v>177</v>
      </c>
      <c r="E6447" s="24">
        <v>374.5</v>
      </c>
      <c r="F6447" s="111" t="str">
        <f>DataPull!D6447</f>
        <v/>
      </c>
      <c r="G6447" s="94" t="str">
        <f t="shared" si="2"/>
        <v/>
      </c>
      <c r="H6447" s="94" t="str">
        <f t="shared" si="3"/>
        <v/>
      </c>
      <c r="I6447" s="94" t="str">
        <f t="shared" ref="I6447:J6447" si="6448">if(G6447 = "", , -G6447)</f>
        <v/>
      </c>
      <c r="J6447" s="94" t="str">
        <f t="shared" si="6448"/>
        <v/>
      </c>
      <c r="K6447" s="100"/>
      <c r="M6447" s="100"/>
      <c r="N6447" s="100"/>
      <c r="O6447" s="100"/>
      <c r="P6447" s="100"/>
    </row>
    <row r="6448">
      <c r="A6448" s="114">
        <v>1631230.0</v>
      </c>
      <c r="B6448" s="131" t="s">
        <v>247</v>
      </c>
      <c r="C6448" s="131" t="s">
        <v>1614</v>
      </c>
      <c r="D6448" s="24" t="s">
        <v>176</v>
      </c>
      <c r="E6448" s="24">
        <v>1689.8</v>
      </c>
      <c r="F6448" s="111" t="str">
        <f>DataPull!D6448</f>
        <v/>
      </c>
      <c r="G6448" s="94" t="str">
        <f t="shared" si="2"/>
        <v/>
      </c>
      <c r="H6448" s="94" t="str">
        <f t="shared" si="3"/>
        <v/>
      </c>
      <c r="I6448" s="94" t="str">
        <f t="shared" ref="I6448:J6448" si="6449">if(G6448 = "", , -G6448)</f>
        <v/>
      </c>
      <c r="J6448" s="94" t="str">
        <f t="shared" si="6449"/>
        <v/>
      </c>
      <c r="K6448" s="100"/>
      <c r="M6448" s="100"/>
      <c r="N6448" s="100"/>
      <c r="O6448" s="100"/>
      <c r="P6448" s="100"/>
    </row>
    <row r="6449">
      <c r="A6449" s="123">
        <v>1631232.0</v>
      </c>
      <c r="B6449" s="132" t="s">
        <v>246</v>
      </c>
      <c r="C6449" s="133" t="s">
        <v>1615</v>
      </c>
      <c r="D6449" s="142" t="s">
        <v>176</v>
      </c>
      <c r="E6449" s="142">
        <v>331.8</v>
      </c>
      <c r="F6449" s="111" t="str">
        <f>DataPull!D6449</f>
        <v/>
      </c>
      <c r="G6449" s="94" t="str">
        <f t="shared" si="2"/>
        <v/>
      </c>
      <c r="H6449" s="94" t="str">
        <f t="shared" si="3"/>
        <v/>
      </c>
      <c r="I6449" s="94" t="str">
        <f t="shared" ref="I6449:J6449" si="6450">if(G6449 = "", , -G6449)</f>
        <v/>
      </c>
      <c r="J6449" s="94" t="str">
        <f t="shared" si="6450"/>
        <v/>
      </c>
      <c r="K6449" s="100"/>
      <c r="M6449" s="100"/>
      <c r="N6449" s="100"/>
      <c r="O6449" s="100"/>
      <c r="P6449" s="100"/>
    </row>
    <row r="6450">
      <c r="A6450" s="107">
        <v>1631241.0</v>
      </c>
      <c r="B6450" s="116" t="s">
        <v>245</v>
      </c>
      <c r="C6450" s="116" t="s">
        <v>1616</v>
      </c>
      <c r="D6450" s="24" t="s">
        <v>177</v>
      </c>
      <c r="E6450" s="24">
        <v>402.6</v>
      </c>
      <c r="F6450" s="111" t="str">
        <f>DataPull!D6450</f>
        <v/>
      </c>
      <c r="G6450" s="94" t="str">
        <f t="shared" si="2"/>
        <v/>
      </c>
      <c r="H6450" s="94" t="str">
        <f t="shared" si="3"/>
        <v/>
      </c>
      <c r="I6450" s="94" t="str">
        <f t="shared" ref="I6450:J6450" si="6451">if(G6450 = "", , -G6450)</f>
        <v/>
      </c>
      <c r="J6450" s="94" t="str">
        <f t="shared" si="6451"/>
        <v/>
      </c>
      <c r="K6450" s="100"/>
      <c r="M6450" s="100"/>
      <c r="N6450" s="100"/>
      <c r="O6450" s="100"/>
      <c r="P6450" s="100"/>
    </row>
    <row r="6451">
      <c r="A6451" s="107">
        <v>1631243.0</v>
      </c>
      <c r="B6451" s="116" t="s">
        <v>245</v>
      </c>
      <c r="C6451" s="116" t="s">
        <v>1617</v>
      </c>
      <c r="D6451" s="24" t="s">
        <v>181</v>
      </c>
      <c r="E6451" s="24">
        <v>72.6</v>
      </c>
      <c r="F6451" s="111" t="str">
        <f>DataPull!D6451</f>
        <v/>
      </c>
      <c r="G6451" s="94" t="str">
        <f t="shared" si="2"/>
        <v/>
      </c>
      <c r="H6451" s="94" t="str">
        <f t="shared" si="3"/>
        <v/>
      </c>
      <c r="I6451" s="94" t="str">
        <f t="shared" ref="I6451:J6451" si="6452">if(G6451 = "", , -G6451)</f>
        <v/>
      </c>
      <c r="J6451" s="94" t="str">
        <f t="shared" si="6452"/>
        <v/>
      </c>
      <c r="K6451" s="100"/>
      <c r="M6451" s="100"/>
      <c r="N6451" s="100"/>
      <c r="O6451" s="100"/>
      <c r="P6451" s="100"/>
    </row>
    <row r="6452">
      <c r="A6452" s="107">
        <v>1631243.0</v>
      </c>
      <c r="B6452" s="116" t="s">
        <v>246</v>
      </c>
      <c r="C6452" s="116" t="s">
        <v>1617</v>
      </c>
      <c r="D6452" s="24" t="s">
        <v>177</v>
      </c>
      <c r="E6452" s="24">
        <v>531.3</v>
      </c>
      <c r="F6452" s="111" t="str">
        <f>DataPull!D6452</f>
        <v/>
      </c>
      <c r="G6452" s="94" t="str">
        <f t="shared" si="2"/>
        <v/>
      </c>
      <c r="H6452" s="94" t="str">
        <f t="shared" si="3"/>
        <v/>
      </c>
      <c r="I6452" s="94" t="str">
        <f t="shared" ref="I6452:J6452" si="6453">if(G6452 = "", , -G6452)</f>
        <v/>
      </c>
      <c r="J6452" s="94" t="str">
        <f t="shared" si="6453"/>
        <v/>
      </c>
      <c r="K6452" s="100"/>
      <c r="M6452" s="100"/>
      <c r="N6452" s="100"/>
      <c r="O6452" s="100"/>
      <c r="P6452" s="100"/>
    </row>
    <row r="6453">
      <c r="A6453" s="114">
        <v>1631243.0</v>
      </c>
      <c r="B6453" s="131" t="s">
        <v>247</v>
      </c>
      <c r="C6453" s="131" t="s">
        <v>1617</v>
      </c>
      <c r="D6453" s="24" t="s">
        <v>177</v>
      </c>
      <c r="E6453" s="24">
        <v>1178.1</v>
      </c>
      <c r="F6453" s="111" t="str">
        <f>DataPull!D6453</f>
        <v/>
      </c>
      <c r="G6453" s="94" t="str">
        <f t="shared" si="2"/>
        <v/>
      </c>
      <c r="H6453" s="94" t="str">
        <f t="shared" si="3"/>
        <v/>
      </c>
      <c r="I6453" s="94" t="str">
        <f t="shared" ref="I6453:J6453" si="6454">if(G6453 = "", , -G6453)</f>
        <v/>
      </c>
      <c r="J6453" s="94" t="str">
        <f t="shared" si="6454"/>
        <v/>
      </c>
      <c r="K6453" s="100"/>
      <c r="M6453" s="100"/>
      <c r="N6453" s="100"/>
      <c r="O6453" s="100"/>
      <c r="P6453" s="100"/>
    </row>
    <row r="6454">
      <c r="A6454" s="107">
        <v>1631245.0</v>
      </c>
      <c r="B6454" s="116" t="s">
        <v>244</v>
      </c>
      <c r="C6454" s="116" t="s">
        <v>1618</v>
      </c>
      <c r="D6454" s="24" t="s">
        <v>187</v>
      </c>
      <c r="E6454" s="24">
        <v>135.0</v>
      </c>
      <c r="F6454" s="111" t="str">
        <f>DataPull!D6454</f>
        <v/>
      </c>
      <c r="G6454" s="94" t="str">
        <f t="shared" si="2"/>
        <v/>
      </c>
      <c r="H6454" s="94" t="str">
        <f t="shared" si="3"/>
        <v/>
      </c>
      <c r="I6454" s="94" t="str">
        <f t="shared" ref="I6454:J6454" si="6455">if(G6454 = "", , -G6454)</f>
        <v/>
      </c>
      <c r="J6454" s="94" t="str">
        <f t="shared" si="6455"/>
        <v/>
      </c>
      <c r="K6454" s="100"/>
      <c r="M6454" s="100"/>
      <c r="N6454" s="100"/>
      <c r="O6454" s="100"/>
      <c r="P6454" s="100"/>
    </row>
    <row r="6455">
      <c r="A6455" s="107">
        <v>1631245.0</v>
      </c>
      <c r="B6455" s="116" t="s">
        <v>245</v>
      </c>
      <c r="C6455" s="116" t="s">
        <v>1618</v>
      </c>
      <c r="D6455" s="24" t="s">
        <v>181</v>
      </c>
      <c r="E6455" s="24">
        <v>10.5</v>
      </c>
      <c r="F6455" s="111" t="str">
        <f>DataPull!D6455</f>
        <v/>
      </c>
      <c r="G6455" s="94" t="str">
        <f t="shared" si="2"/>
        <v/>
      </c>
      <c r="H6455" s="94" t="str">
        <f t="shared" si="3"/>
        <v/>
      </c>
      <c r="I6455" s="94" t="str">
        <f t="shared" ref="I6455:J6455" si="6456">if(G6455 = "", , -G6455)</f>
        <v/>
      </c>
      <c r="J6455" s="94" t="str">
        <f t="shared" si="6456"/>
        <v/>
      </c>
      <c r="K6455" s="100"/>
      <c r="M6455" s="100"/>
      <c r="N6455" s="100"/>
      <c r="O6455" s="100"/>
      <c r="P6455" s="100"/>
    </row>
    <row r="6456">
      <c r="A6456" s="107">
        <v>1631245.0</v>
      </c>
      <c r="B6456" s="116" t="s">
        <v>246</v>
      </c>
      <c r="C6456" s="116" t="s">
        <v>1618</v>
      </c>
      <c r="D6456" s="24" t="s">
        <v>177</v>
      </c>
      <c r="E6456" s="24">
        <v>380.8</v>
      </c>
      <c r="F6456" s="111" t="str">
        <f>DataPull!D6456</f>
        <v/>
      </c>
      <c r="G6456" s="94" t="str">
        <f t="shared" si="2"/>
        <v/>
      </c>
      <c r="H6456" s="94" t="str">
        <f t="shared" si="3"/>
        <v/>
      </c>
      <c r="I6456" s="94" t="str">
        <f t="shared" ref="I6456:J6456" si="6457">if(G6456 = "", , -G6456)</f>
        <v/>
      </c>
      <c r="J6456" s="94" t="str">
        <f t="shared" si="6457"/>
        <v/>
      </c>
      <c r="K6456" s="100"/>
      <c r="M6456" s="100"/>
      <c r="N6456" s="100"/>
      <c r="O6456" s="100"/>
      <c r="P6456" s="100"/>
    </row>
    <row r="6457">
      <c r="A6457" s="114">
        <v>1631245.0</v>
      </c>
      <c r="B6457" s="131" t="s">
        <v>247</v>
      </c>
      <c r="C6457" s="131" t="s">
        <v>1618</v>
      </c>
      <c r="D6457" s="24" t="s">
        <v>177</v>
      </c>
      <c r="E6457" s="24">
        <v>896.7</v>
      </c>
      <c r="F6457" s="111" t="str">
        <f>DataPull!D6457</f>
        <v/>
      </c>
      <c r="G6457" s="94" t="str">
        <f t="shared" si="2"/>
        <v/>
      </c>
      <c r="H6457" s="94" t="str">
        <f t="shared" si="3"/>
        <v/>
      </c>
      <c r="I6457" s="94" t="str">
        <f t="shared" ref="I6457:J6457" si="6458">if(G6457 = "", , -G6457)</f>
        <v/>
      </c>
      <c r="J6457" s="94" t="str">
        <f t="shared" si="6458"/>
        <v/>
      </c>
      <c r="K6457" s="100"/>
      <c r="M6457" s="100"/>
      <c r="N6457" s="100"/>
      <c r="O6457" s="100"/>
      <c r="P6457" s="100"/>
    </row>
    <row r="6458">
      <c r="A6458" s="107">
        <v>1631246.0</v>
      </c>
      <c r="B6458" s="116" t="s">
        <v>244</v>
      </c>
      <c r="C6458" s="116" t="s">
        <v>1619</v>
      </c>
      <c r="D6458" s="24" t="s">
        <v>187</v>
      </c>
      <c r="E6458" s="24">
        <v>105.0</v>
      </c>
      <c r="F6458" s="111" t="str">
        <f>DataPull!D6458</f>
        <v/>
      </c>
      <c r="G6458" s="94" t="str">
        <f t="shared" si="2"/>
        <v/>
      </c>
      <c r="H6458" s="94" t="str">
        <f t="shared" si="3"/>
        <v/>
      </c>
      <c r="I6458" s="94" t="str">
        <f t="shared" ref="I6458:J6458" si="6459">if(G6458 = "", , -G6458)</f>
        <v/>
      </c>
      <c r="J6458" s="94" t="str">
        <f t="shared" si="6459"/>
        <v/>
      </c>
      <c r="K6458" s="100"/>
      <c r="M6458" s="100"/>
      <c r="N6458" s="100"/>
      <c r="O6458" s="100"/>
      <c r="P6458" s="100"/>
    </row>
    <row r="6459">
      <c r="A6459" s="107">
        <v>1631246.0</v>
      </c>
      <c r="B6459" s="116" t="s">
        <v>245</v>
      </c>
      <c r="C6459" s="116" t="s">
        <v>1619</v>
      </c>
      <c r="D6459" s="24" t="s">
        <v>176</v>
      </c>
      <c r="E6459" s="24">
        <v>1435.2</v>
      </c>
      <c r="F6459" s="111" t="str">
        <f>DataPull!D6459</f>
        <v/>
      </c>
      <c r="G6459" s="94" t="str">
        <f t="shared" si="2"/>
        <v/>
      </c>
      <c r="H6459" s="94" t="str">
        <f t="shared" si="3"/>
        <v/>
      </c>
      <c r="I6459" s="94" t="str">
        <f t="shared" ref="I6459:J6459" si="6460">if(G6459 = "", , -G6459)</f>
        <v/>
      </c>
      <c r="J6459" s="94" t="str">
        <f t="shared" si="6460"/>
        <v/>
      </c>
      <c r="K6459" s="100"/>
      <c r="M6459" s="100"/>
      <c r="N6459" s="100"/>
      <c r="O6459" s="100"/>
      <c r="P6459" s="100"/>
    </row>
    <row r="6460">
      <c r="A6460" s="107">
        <v>1631246.0</v>
      </c>
      <c r="B6460" s="116" t="s">
        <v>246</v>
      </c>
      <c r="C6460" s="116" t="s">
        <v>1619</v>
      </c>
      <c r="D6460" s="24" t="s">
        <v>177</v>
      </c>
      <c r="E6460" s="24">
        <v>499.5</v>
      </c>
      <c r="F6460" s="111" t="str">
        <f>DataPull!D6460</f>
        <v/>
      </c>
      <c r="G6460" s="94" t="str">
        <f t="shared" si="2"/>
        <v/>
      </c>
      <c r="H6460" s="94" t="str">
        <f t="shared" si="3"/>
        <v/>
      </c>
      <c r="I6460" s="94" t="str">
        <f t="shared" ref="I6460:J6460" si="6461">if(G6460 = "", , -G6460)</f>
        <v/>
      </c>
      <c r="J6460" s="94" t="str">
        <f t="shared" si="6461"/>
        <v/>
      </c>
      <c r="K6460" s="100"/>
      <c r="M6460" s="100"/>
      <c r="N6460" s="100"/>
      <c r="O6460" s="100"/>
      <c r="P6460" s="100"/>
    </row>
    <row r="6461">
      <c r="A6461" s="114">
        <v>1631246.0</v>
      </c>
      <c r="B6461" s="131" t="s">
        <v>247</v>
      </c>
      <c r="C6461" s="116" t="s">
        <v>1619</v>
      </c>
      <c r="D6461" s="24" t="s">
        <v>176</v>
      </c>
      <c r="E6461" s="24">
        <v>820.0</v>
      </c>
      <c r="F6461" s="111" t="str">
        <f>DataPull!D6461</f>
        <v/>
      </c>
      <c r="G6461" s="94" t="str">
        <f t="shared" si="2"/>
        <v/>
      </c>
      <c r="H6461" s="94" t="str">
        <f t="shared" si="3"/>
        <v/>
      </c>
      <c r="I6461" s="94" t="str">
        <f t="shared" ref="I6461:J6461" si="6462">if(G6461 = "", , -G6461)</f>
        <v/>
      </c>
      <c r="J6461" s="94" t="str">
        <f t="shared" si="6462"/>
        <v/>
      </c>
      <c r="K6461" s="100"/>
      <c r="M6461" s="100"/>
      <c r="N6461" s="100"/>
      <c r="O6461" s="100"/>
      <c r="P6461" s="100"/>
    </row>
    <row r="6462">
      <c r="A6462" s="107">
        <v>1631247.0</v>
      </c>
      <c r="B6462" s="116" t="s">
        <v>246</v>
      </c>
      <c r="C6462" s="116" t="s">
        <v>1620</v>
      </c>
      <c r="D6462" s="24" t="s">
        <v>187</v>
      </c>
      <c r="E6462" s="24">
        <v>87.6</v>
      </c>
      <c r="F6462" s="111" t="str">
        <f>DataPull!D6462</f>
        <v/>
      </c>
      <c r="G6462" s="94" t="str">
        <f t="shared" si="2"/>
        <v/>
      </c>
      <c r="H6462" s="94" t="str">
        <f t="shared" si="3"/>
        <v/>
      </c>
      <c r="I6462" s="94" t="str">
        <f t="shared" ref="I6462:J6462" si="6463">if(G6462 = "", , -G6462)</f>
        <v/>
      </c>
      <c r="J6462" s="94" t="str">
        <f t="shared" si="6463"/>
        <v/>
      </c>
      <c r="K6462" s="100"/>
      <c r="M6462" s="100"/>
      <c r="N6462" s="100"/>
      <c r="O6462" s="100"/>
      <c r="P6462" s="100"/>
    </row>
    <row r="6463">
      <c r="A6463" s="114">
        <v>1631247.0</v>
      </c>
      <c r="B6463" s="131" t="s">
        <v>247</v>
      </c>
      <c r="C6463" s="131" t="s">
        <v>1620</v>
      </c>
      <c r="D6463" s="24" t="s">
        <v>187</v>
      </c>
      <c r="E6463" s="24">
        <v>103.2</v>
      </c>
      <c r="F6463" s="111" t="str">
        <f>DataPull!D6463</f>
        <v/>
      </c>
      <c r="G6463" s="94" t="str">
        <f t="shared" si="2"/>
        <v/>
      </c>
      <c r="H6463" s="94" t="str">
        <f t="shared" si="3"/>
        <v/>
      </c>
      <c r="I6463" s="94" t="str">
        <f t="shared" ref="I6463:J6463" si="6464">if(G6463 = "", , -G6463)</f>
        <v/>
      </c>
      <c r="J6463" s="94" t="str">
        <f t="shared" si="6464"/>
        <v/>
      </c>
      <c r="K6463" s="100"/>
      <c r="M6463" s="100"/>
      <c r="N6463" s="100"/>
      <c r="O6463" s="100"/>
      <c r="P6463" s="100"/>
    </row>
    <row r="6464">
      <c r="A6464" s="107">
        <v>1631248.0</v>
      </c>
      <c r="B6464" s="116" t="s">
        <v>246</v>
      </c>
      <c r="C6464" s="116" t="s">
        <v>1621</v>
      </c>
      <c r="D6464" s="24" t="s">
        <v>187</v>
      </c>
      <c r="E6464" s="24">
        <v>384.4</v>
      </c>
      <c r="F6464" s="111" t="str">
        <f>DataPull!D6464</f>
        <v/>
      </c>
      <c r="G6464" s="94" t="str">
        <f t="shared" si="2"/>
        <v/>
      </c>
      <c r="H6464" s="94" t="str">
        <f t="shared" si="3"/>
        <v/>
      </c>
      <c r="I6464" s="94" t="str">
        <f t="shared" ref="I6464:J6464" si="6465">if(G6464 = "", , -G6464)</f>
        <v/>
      </c>
      <c r="J6464" s="94" t="str">
        <f t="shared" si="6465"/>
        <v/>
      </c>
      <c r="K6464" s="100"/>
      <c r="M6464" s="100"/>
      <c r="N6464" s="100"/>
      <c r="O6464" s="100"/>
      <c r="P6464" s="100"/>
    </row>
    <row r="6465">
      <c r="A6465" s="114">
        <v>1631248.0</v>
      </c>
      <c r="B6465" s="131" t="s">
        <v>247</v>
      </c>
      <c r="C6465" s="131" t="s">
        <v>1621</v>
      </c>
      <c r="D6465" s="24" t="s">
        <v>177</v>
      </c>
      <c r="E6465" s="24">
        <v>1432.2</v>
      </c>
      <c r="F6465" s="111" t="str">
        <f>DataPull!D6465</f>
        <v/>
      </c>
      <c r="G6465" s="94" t="str">
        <f t="shared" si="2"/>
        <v/>
      </c>
      <c r="H6465" s="94" t="str">
        <f t="shared" si="3"/>
        <v/>
      </c>
      <c r="I6465" s="94" t="str">
        <f t="shared" ref="I6465:J6465" si="6466">if(G6465 = "", , -G6465)</f>
        <v/>
      </c>
      <c r="J6465" s="94" t="str">
        <f t="shared" si="6466"/>
        <v/>
      </c>
      <c r="K6465" s="100"/>
      <c r="M6465" s="100"/>
      <c r="N6465" s="100"/>
      <c r="O6465" s="100"/>
      <c r="P6465" s="100"/>
    </row>
    <row r="6466">
      <c r="A6466" s="107">
        <v>1631250.0</v>
      </c>
      <c r="B6466" s="116" t="s">
        <v>245</v>
      </c>
      <c r="C6466" s="116" t="s">
        <v>1622</v>
      </c>
      <c r="D6466" s="24" t="s">
        <v>181</v>
      </c>
      <c r="E6466" s="24">
        <v>27.2</v>
      </c>
      <c r="F6466" s="111" t="str">
        <f>DataPull!D6466</f>
        <v/>
      </c>
      <c r="G6466" s="94" t="str">
        <f t="shared" si="2"/>
        <v/>
      </c>
      <c r="H6466" s="94" t="str">
        <f t="shared" si="3"/>
        <v/>
      </c>
      <c r="I6466" s="94" t="str">
        <f t="shared" ref="I6466:J6466" si="6467">if(G6466 = "", , -G6466)</f>
        <v/>
      </c>
      <c r="J6466" s="94" t="str">
        <f t="shared" si="6467"/>
        <v/>
      </c>
      <c r="K6466" s="100"/>
      <c r="M6466" s="100"/>
      <c r="N6466" s="100"/>
      <c r="O6466" s="100"/>
      <c r="P6466" s="100"/>
    </row>
    <row r="6467">
      <c r="A6467" s="123">
        <v>1631250.0</v>
      </c>
      <c r="B6467" s="132" t="s">
        <v>246</v>
      </c>
      <c r="C6467" s="133" t="s">
        <v>1622</v>
      </c>
      <c r="D6467" s="24" t="s">
        <v>181</v>
      </c>
      <c r="E6467" s="24">
        <v>137.8</v>
      </c>
      <c r="F6467" s="111" t="str">
        <f>DataPull!D6467</f>
        <v/>
      </c>
      <c r="G6467" s="94" t="str">
        <f t="shared" si="2"/>
        <v/>
      </c>
      <c r="H6467" s="94" t="str">
        <f t="shared" si="3"/>
        <v/>
      </c>
      <c r="I6467" s="94" t="str">
        <f t="shared" ref="I6467:J6467" si="6468">if(G6467 = "", , -G6467)</f>
        <v/>
      </c>
      <c r="J6467" s="94" t="str">
        <f t="shared" si="6468"/>
        <v/>
      </c>
      <c r="K6467" s="100"/>
      <c r="M6467" s="100"/>
      <c r="N6467" s="100"/>
      <c r="O6467" s="100"/>
      <c r="P6467" s="100"/>
    </row>
    <row r="6468">
      <c r="A6468" s="89">
        <v>1631250.0</v>
      </c>
      <c r="B6468" s="131" t="s">
        <v>247</v>
      </c>
      <c r="C6468" s="131" t="s">
        <v>1622</v>
      </c>
      <c r="D6468" s="24" t="s">
        <v>187</v>
      </c>
      <c r="E6468" s="24">
        <v>737.9</v>
      </c>
      <c r="F6468" s="111" t="str">
        <f>DataPull!D6468</f>
        <v/>
      </c>
      <c r="G6468" s="94" t="str">
        <f t="shared" si="2"/>
        <v/>
      </c>
      <c r="H6468" s="94" t="str">
        <f t="shared" si="3"/>
        <v/>
      </c>
      <c r="I6468" s="94" t="str">
        <f t="shared" ref="I6468:J6468" si="6469">if(G6468 = "", , -G6468)</f>
        <v/>
      </c>
      <c r="J6468" s="94" t="str">
        <f t="shared" si="6469"/>
        <v/>
      </c>
      <c r="K6468" s="100"/>
      <c r="M6468" s="100"/>
      <c r="N6468" s="100"/>
      <c r="O6468" s="100"/>
      <c r="P6468" s="100"/>
    </row>
    <row r="6469">
      <c r="A6469" s="107">
        <v>1631254.0</v>
      </c>
      <c r="B6469" s="116" t="s">
        <v>244</v>
      </c>
      <c r="C6469" s="116" t="s">
        <v>1623</v>
      </c>
      <c r="D6469" s="24" t="s">
        <v>187</v>
      </c>
      <c r="E6469" s="24">
        <v>175.2</v>
      </c>
      <c r="F6469" s="111" t="str">
        <f>DataPull!D6469</f>
        <v/>
      </c>
      <c r="G6469" s="94" t="str">
        <f t="shared" si="2"/>
        <v/>
      </c>
      <c r="H6469" s="94" t="str">
        <f t="shared" si="3"/>
        <v/>
      </c>
      <c r="I6469" s="94" t="str">
        <f t="shared" ref="I6469:J6469" si="6470">if(G6469 = "", , -G6469)</f>
        <v/>
      </c>
      <c r="J6469" s="94" t="str">
        <f t="shared" si="6470"/>
        <v/>
      </c>
      <c r="K6469" s="100"/>
      <c r="M6469" s="100"/>
      <c r="N6469" s="100"/>
      <c r="O6469" s="100"/>
      <c r="P6469" s="100"/>
    </row>
    <row r="6470">
      <c r="A6470" s="107">
        <v>1631254.0</v>
      </c>
      <c r="B6470" s="116" t="s">
        <v>245</v>
      </c>
      <c r="C6470" s="116" t="s">
        <v>1623</v>
      </c>
      <c r="D6470" s="24" t="s">
        <v>187</v>
      </c>
      <c r="E6470" s="24">
        <v>197.4</v>
      </c>
      <c r="F6470" s="111" t="str">
        <f>DataPull!D6470</f>
        <v/>
      </c>
      <c r="G6470" s="94" t="str">
        <f t="shared" si="2"/>
        <v/>
      </c>
      <c r="H6470" s="94" t="str">
        <f t="shared" si="3"/>
        <v/>
      </c>
      <c r="I6470" s="94" t="str">
        <f t="shared" ref="I6470:J6470" si="6471">if(G6470 = "", , -G6470)</f>
        <v/>
      </c>
      <c r="J6470" s="94" t="str">
        <f t="shared" si="6471"/>
        <v/>
      </c>
      <c r="K6470" s="100"/>
      <c r="M6470" s="100"/>
      <c r="N6470" s="100"/>
      <c r="O6470" s="100"/>
      <c r="P6470" s="100"/>
    </row>
    <row r="6471">
      <c r="A6471" s="107">
        <v>1631255.0</v>
      </c>
      <c r="B6471" s="116" t="s">
        <v>246</v>
      </c>
      <c r="C6471" s="116" t="s">
        <v>1624</v>
      </c>
      <c r="D6471" s="24" t="s">
        <v>177</v>
      </c>
      <c r="E6471" s="24">
        <v>789.6</v>
      </c>
      <c r="F6471" s="111" t="str">
        <f>DataPull!D6471</f>
        <v/>
      </c>
      <c r="G6471" s="94" t="str">
        <f t="shared" si="2"/>
        <v/>
      </c>
      <c r="H6471" s="94" t="str">
        <f t="shared" si="3"/>
        <v/>
      </c>
      <c r="I6471" s="94" t="str">
        <f t="shared" ref="I6471:J6471" si="6472">if(G6471 = "", , -G6471)</f>
        <v/>
      </c>
      <c r="J6471" s="94" t="str">
        <f t="shared" si="6472"/>
        <v/>
      </c>
      <c r="K6471" s="100"/>
      <c r="M6471" s="100"/>
      <c r="N6471" s="100"/>
      <c r="O6471" s="100"/>
      <c r="P6471" s="100"/>
    </row>
    <row r="6472">
      <c r="A6472" s="114">
        <v>1631255.0</v>
      </c>
      <c r="B6472" s="131" t="s">
        <v>247</v>
      </c>
      <c r="C6472" s="116" t="s">
        <v>1624</v>
      </c>
      <c r="D6472" s="24" t="s">
        <v>177</v>
      </c>
      <c r="E6472" s="24">
        <v>911.4</v>
      </c>
      <c r="F6472" s="111" t="str">
        <f>DataPull!D6472</f>
        <v/>
      </c>
      <c r="G6472" s="94" t="str">
        <f t="shared" si="2"/>
        <v/>
      </c>
      <c r="H6472" s="94" t="str">
        <f t="shared" si="3"/>
        <v/>
      </c>
      <c r="I6472" s="94" t="str">
        <f t="shared" ref="I6472:J6472" si="6473">if(G6472 = "", , -G6472)</f>
        <v/>
      </c>
      <c r="J6472" s="94" t="str">
        <f t="shared" si="6473"/>
        <v/>
      </c>
      <c r="K6472" s="100"/>
      <c r="M6472" s="100"/>
      <c r="N6472" s="100"/>
      <c r="O6472" s="100"/>
      <c r="P6472" s="100"/>
    </row>
    <row r="6473">
      <c r="A6473" s="107">
        <v>1631257.0</v>
      </c>
      <c r="B6473" s="116" t="s">
        <v>245</v>
      </c>
      <c r="C6473" s="116" t="s">
        <v>1625</v>
      </c>
      <c r="D6473" s="24" t="s">
        <v>187</v>
      </c>
      <c r="E6473" s="24">
        <v>60.2</v>
      </c>
      <c r="F6473" s="111" t="str">
        <f>DataPull!D6473</f>
        <v/>
      </c>
      <c r="G6473" s="94" t="str">
        <f t="shared" si="2"/>
        <v/>
      </c>
      <c r="H6473" s="94" t="str">
        <f t="shared" si="3"/>
        <v/>
      </c>
      <c r="I6473" s="94" t="str">
        <f t="shared" ref="I6473:J6473" si="6474">if(G6473 = "", , -G6473)</f>
        <v/>
      </c>
      <c r="J6473" s="94" t="str">
        <f t="shared" si="6474"/>
        <v/>
      </c>
      <c r="K6473" s="100"/>
      <c r="M6473" s="100"/>
      <c r="N6473" s="100"/>
      <c r="O6473" s="100"/>
      <c r="P6473" s="100"/>
    </row>
    <row r="6474">
      <c r="A6474" s="107">
        <v>1631260.0</v>
      </c>
      <c r="B6474" s="116" t="s">
        <v>244</v>
      </c>
      <c r="C6474" s="116" t="s">
        <v>1626</v>
      </c>
      <c r="D6474" s="24" t="s">
        <v>187</v>
      </c>
      <c r="E6474" s="24">
        <v>346.5</v>
      </c>
      <c r="F6474" s="111" t="str">
        <f>DataPull!D6474</f>
        <v/>
      </c>
      <c r="G6474" s="94" t="str">
        <f t="shared" si="2"/>
        <v/>
      </c>
      <c r="H6474" s="94" t="str">
        <f t="shared" si="3"/>
        <v/>
      </c>
      <c r="I6474" s="94" t="str">
        <f t="shared" ref="I6474:J6474" si="6475">if(G6474 = "", , -G6474)</f>
        <v/>
      </c>
      <c r="J6474" s="94" t="str">
        <f t="shared" si="6475"/>
        <v/>
      </c>
      <c r="K6474" s="100"/>
      <c r="M6474" s="100"/>
      <c r="N6474" s="100"/>
      <c r="O6474" s="100"/>
      <c r="P6474" s="100"/>
    </row>
    <row r="6475">
      <c r="A6475" s="107">
        <v>1631260.0</v>
      </c>
      <c r="B6475" s="116" t="s">
        <v>245</v>
      </c>
      <c r="C6475" s="116" t="s">
        <v>1626</v>
      </c>
      <c r="D6475" s="24" t="s">
        <v>177</v>
      </c>
      <c r="E6475" s="24">
        <v>616.0</v>
      </c>
      <c r="F6475" s="111" t="str">
        <f>DataPull!D6475</f>
        <v/>
      </c>
      <c r="G6475" s="94" t="str">
        <f t="shared" si="2"/>
        <v/>
      </c>
      <c r="H6475" s="94" t="str">
        <f t="shared" si="3"/>
        <v/>
      </c>
      <c r="I6475" s="94" t="str">
        <f t="shared" ref="I6475:J6475" si="6476">if(G6475 = "", , -G6475)</f>
        <v/>
      </c>
      <c r="J6475" s="94" t="str">
        <f t="shared" si="6476"/>
        <v/>
      </c>
      <c r="K6475" s="100"/>
      <c r="M6475" s="100"/>
      <c r="N6475" s="100"/>
      <c r="O6475" s="100"/>
      <c r="P6475" s="100"/>
    </row>
    <row r="6476">
      <c r="A6476" s="107">
        <v>1631260.0</v>
      </c>
      <c r="B6476" s="116" t="s">
        <v>246</v>
      </c>
      <c r="C6476" s="116" t="s">
        <v>1626</v>
      </c>
      <c r="D6476" s="24" t="s">
        <v>176</v>
      </c>
      <c r="E6476" s="24">
        <v>1657.1</v>
      </c>
      <c r="F6476" s="111" t="str">
        <f>DataPull!D6476</f>
        <v/>
      </c>
      <c r="G6476" s="94" t="str">
        <f t="shared" si="2"/>
        <v/>
      </c>
      <c r="H6476" s="94" t="str">
        <f t="shared" si="3"/>
        <v/>
      </c>
      <c r="I6476" s="94" t="str">
        <f t="shared" ref="I6476:J6476" si="6477">if(G6476 = "", , -G6476)</f>
        <v/>
      </c>
      <c r="J6476" s="94" t="str">
        <f t="shared" si="6477"/>
        <v/>
      </c>
      <c r="K6476" s="100"/>
      <c r="M6476" s="100"/>
      <c r="N6476" s="100"/>
      <c r="O6476" s="100"/>
      <c r="P6476" s="100"/>
    </row>
    <row r="6477">
      <c r="A6477" s="114">
        <v>1631260.0</v>
      </c>
      <c r="B6477" s="131" t="s">
        <v>247</v>
      </c>
      <c r="C6477" s="131" t="s">
        <v>1626</v>
      </c>
      <c r="D6477" s="24" t="s">
        <v>178</v>
      </c>
      <c r="E6477" s="24">
        <v>2269.8</v>
      </c>
      <c r="F6477" s="111" t="str">
        <f>DataPull!D6477</f>
        <v/>
      </c>
      <c r="G6477" s="94" t="str">
        <f t="shared" si="2"/>
        <v/>
      </c>
      <c r="H6477" s="94" t="str">
        <f t="shared" si="3"/>
        <v/>
      </c>
      <c r="I6477" s="94" t="str">
        <f t="shared" ref="I6477:J6477" si="6478">if(G6477 = "", , -G6477)</f>
        <v/>
      </c>
      <c r="J6477" s="94" t="str">
        <f t="shared" si="6478"/>
        <v/>
      </c>
      <c r="K6477" s="100"/>
      <c r="M6477" s="100"/>
      <c r="N6477" s="100"/>
      <c r="O6477" s="100"/>
      <c r="P6477" s="100"/>
    </row>
    <row r="6478">
      <c r="A6478" s="107">
        <v>1631262.0</v>
      </c>
      <c r="B6478" s="116" t="s">
        <v>245</v>
      </c>
      <c r="C6478" s="116" t="s">
        <v>1627</v>
      </c>
      <c r="D6478" s="24" t="s">
        <v>187</v>
      </c>
      <c r="E6478" s="24">
        <v>150.1</v>
      </c>
      <c r="F6478" s="111" t="str">
        <f>DataPull!D6478</f>
        <v/>
      </c>
      <c r="G6478" s="94" t="str">
        <f t="shared" si="2"/>
        <v/>
      </c>
      <c r="H6478" s="94" t="str">
        <f t="shared" si="3"/>
        <v/>
      </c>
      <c r="I6478" s="94" t="str">
        <f t="shared" ref="I6478:J6478" si="6479">if(G6478 = "", , -G6478)</f>
        <v/>
      </c>
      <c r="J6478" s="94" t="str">
        <f t="shared" si="6479"/>
        <v/>
      </c>
      <c r="K6478" s="100"/>
      <c r="M6478" s="100"/>
      <c r="N6478" s="100"/>
      <c r="O6478" s="100"/>
      <c r="P6478" s="100"/>
    </row>
    <row r="6479">
      <c r="A6479" s="107">
        <v>1631288.0</v>
      </c>
      <c r="B6479" s="116" t="s">
        <v>244</v>
      </c>
      <c r="C6479" s="116" t="s">
        <v>1628</v>
      </c>
      <c r="D6479" s="24" t="s">
        <v>187</v>
      </c>
      <c r="E6479" s="24">
        <v>239.4</v>
      </c>
      <c r="F6479" s="111" t="str">
        <f>DataPull!D6479</f>
        <v/>
      </c>
      <c r="G6479" s="94" t="str">
        <f t="shared" si="2"/>
        <v/>
      </c>
      <c r="H6479" s="94" t="str">
        <f t="shared" si="3"/>
        <v/>
      </c>
      <c r="I6479" s="94" t="str">
        <f t="shared" ref="I6479:J6479" si="6480">if(G6479 = "", , -G6479)</f>
        <v/>
      </c>
      <c r="J6479" s="94" t="str">
        <f t="shared" si="6480"/>
        <v/>
      </c>
      <c r="K6479" s="100"/>
      <c r="M6479" s="100"/>
      <c r="N6479" s="100"/>
      <c r="O6479" s="100"/>
      <c r="P6479" s="100"/>
    </row>
    <row r="6480">
      <c r="A6480" s="107">
        <v>1631288.0</v>
      </c>
      <c r="B6480" s="116" t="s">
        <v>245</v>
      </c>
      <c r="C6480" s="116" t="s">
        <v>1628</v>
      </c>
      <c r="D6480" s="24" t="s">
        <v>187</v>
      </c>
      <c r="E6480" s="24">
        <v>260.0</v>
      </c>
      <c r="F6480" s="111" t="str">
        <f>DataPull!D6480</f>
        <v/>
      </c>
      <c r="G6480" s="94" t="str">
        <f t="shared" si="2"/>
        <v/>
      </c>
      <c r="H6480" s="94" t="str">
        <f t="shared" si="3"/>
        <v/>
      </c>
      <c r="I6480" s="94" t="str">
        <f t="shared" ref="I6480:J6480" si="6481">if(G6480 = "", , -G6480)</f>
        <v/>
      </c>
      <c r="J6480" s="94" t="str">
        <f t="shared" si="6481"/>
        <v/>
      </c>
      <c r="K6480" s="100"/>
      <c r="M6480" s="100"/>
      <c r="N6480" s="100"/>
      <c r="O6480" s="100"/>
      <c r="P6480" s="100"/>
    </row>
    <row r="6481">
      <c r="A6481" s="107">
        <v>1631288.0</v>
      </c>
      <c r="B6481" s="116" t="s">
        <v>246</v>
      </c>
      <c r="C6481" s="116" t="s">
        <v>1628</v>
      </c>
      <c r="D6481" s="24" t="s">
        <v>177</v>
      </c>
      <c r="E6481" s="24">
        <v>503.2</v>
      </c>
      <c r="F6481" s="111" t="str">
        <f>DataPull!D6481</f>
        <v/>
      </c>
      <c r="G6481" s="94" t="str">
        <f t="shared" si="2"/>
        <v/>
      </c>
      <c r="H6481" s="94" t="str">
        <f t="shared" si="3"/>
        <v/>
      </c>
      <c r="I6481" s="94" t="str">
        <f t="shared" ref="I6481:J6481" si="6482">if(G6481 = "", , -G6481)</f>
        <v/>
      </c>
      <c r="J6481" s="94" t="str">
        <f t="shared" si="6482"/>
        <v/>
      </c>
      <c r="K6481" s="100"/>
      <c r="M6481" s="100"/>
      <c r="N6481" s="100"/>
      <c r="O6481" s="100"/>
      <c r="P6481" s="100"/>
    </row>
    <row r="6482">
      <c r="A6482" s="126">
        <v>1631288.0</v>
      </c>
      <c r="B6482" s="141" t="s">
        <v>247</v>
      </c>
      <c r="C6482" s="141" t="s">
        <v>1628</v>
      </c>
      <c r="D6482" s="24" t="s">
        <v>187</v>
      </c>
      <c r="E6482" s="24">
        <v>484.0</v>
      </c>
      <c r="F6482" s="111" t="str">
        <f>DataPull!D6482</f>
        <v/>
      </c>
      <c r="G6482" s="94" t="str">
        <f t="shared" si="2"/>
        <v/>
      </c>
      <c r="H6482" s="94" t="str">
        <f t="shared" si="3"/>
        <v/>
      </c>
      <c r="I6482" s="94" t="str">
        <f t="shared" ref="I6482:J6482" si="6483">if(G6482 = "", , -G6482)</f>
        <v/>
      </c>
      <c r="J6482" s="94" t="str">
        <f t="shared" si="6483"/>
        <v/>
      </c>
      <c r="K6482" s="100"/>
      <c r="M6482" s="100"/>
      <c r="N6482" s="100"/>
      <c r="O6482" s="100"/>
      <c r="P6482" s="100"/>
    </row>
    <row r="6483">
      <c r="A6483" s="107">
        <v>1631298.0</v>
      </c>
      <c r="B6483" s="116" t="s">
        <v>244</v>
      </c>
      <c r="C6483" s="116" t="s">
        <v>1629</v>
      </c>
      <c r="D6483" s="24" t="s">
        <v>187</v>
      </c>
      <c r="E6483" s="24">
        <v>66.3</v>
      </c>
      <c r="F6483" s="111" t="str">
        <f>DataPull!D6483</f>
        <v/>
      </c>
      <c r="G6483" s="94" t="str">
        <f t="shared" si="2"/>
        <v/>
      </c>
      <c r="H6483" s="94" t="str">
        <f t="shared" si="3"/>
        <v/>
      </c>
      <c r="I6483" s="94" t="str">
        <f t="shared" ref="I6483:J6483" si="6484">if(G6483 = "", , -G6483)</f>
        <v/>
      </c>
      <c r="J6483" s="94" t="str">
        <f t="shared" si="6484"/>
        <v/>
      </c>
      <c r="K6483" s="100"/>
      <c r="M6483" s="100"/>
      <c r="N6483" s="100"/>
      <c r="O6483" s="100"/>
      <c r="P6483" s="100"/>
    </row>
    <row r="6484">
      <c r="A6484" s="107">
        <v>1631298.0</v>
      </c>
      <c r="B6484" s="116" t="s">
        <v>245</v>
      </c>
      <c r="C6484" s="116" t="s">
        <v>1629</v>
      </c>
      <c r="D6484" s="24" t="s">
        <v>181</v>
      </c>
      <c r="E6484" s="24">
        <v>63.6</v>
      </c>
      <c r="F6484" s="111" t="str">
        <f>DataPull!D6484</f>
        <v/>
      </c>
      <c r="G6484" s="94" t="str">
        <f t="shared" si="2"/>
        <v/>
      </c>
      <c r="H6484" s="94" t="str">
        <f t="shared" si="3"/>
        <v/>
      </c>
      <c r="I6484" s="94" t="str">
        <f t="shared" ref="I6484:J6484" si="6485">if(G6484 = "", , -G6484)</f>
        <v/>
      </c>
      <c r="J6484" s="94" t="str">
        <f t="shared" si="6485"/>
        <v/>
      </c>
      <c r="K6484" s="100"/>
      <c r="M6484" s="100"/>
      <c r="N6484" s="100"/>
      <c r="O6484" s="100"/>
      <c r="P6484" s="100"/>
    </row>
    <row r="6485">
      <c r="A6485" s="120">
        <v>1631301.0</v>
      </c>
      <c r="B6485" s="138" t="s">
        <v>246</v>
      </c>
      <c r="C6485" s="138" t="s">
        <v>1630</v>
      </c>
      <c r="D6485" s="139" t="s">
        <v>181</v>
      </c>
      <c r="E6485" s="139">
        <v>111.6</v>
      </c>
      <c r="F6485" s="111" t="str">
        <f>DataPull!D6485</f>
        <v/>
      </c>
      <c r="G6485" s="94" t="str">
        <f t="shared" si="2"/>
        <v/>
      </c>
      <c r="H6485" s="94" t="str">
        <f t="shared" si="3"/>
        <v/>
      </c>
      <c r="I6485" s="94" t="str">
        <f t="shared" ref="I6485:J6485" si="6486">if(G6485 = "", , -G6485)</f>
        <v/>
      </c>
      <c r="J6485" s="94" t="str">
        <f t="shared" si="6486"/>
        <v/>
      </c>
      <c r="K6485" s="100"/>
      <c r="M6485" s="100"/>
      <c r="N6485" s="100"/>
      <c r="O6485" s="100"/>
      <c r="P6485" s="100"/>
    </row>
    <row r="6486">
      <c r="A6486" s="107">
        <v>1631303.0</v>
      </c>
      <c r="B6486" s="116" t="s">
        <v>244</v>
      </c>
      <c r="C6486" s="116" t="s">
        <v>1631</v>
      </c>
      <c r="D6486" s="24" t="s">
        <v>181</v>
      </c>
      <c r="E6486" s="24">
        <v>88.8</v>
      </c>
      <c r="F6486" s="111" t="str">
        <f>DataPull!D6486</f>
        <v/>
      </c>
      <c r="G6486" s="94" t="str">
        <f t="shared" si="2"/>
        <v/>
      </c>
      <c r="H6486" s="94" t="str">
        <f t="shared" si="3"/>
        <v/>
      </c>
      <c r="I6486" s="94" t="str">
        <f t="shared" ref="I6486:J6486" si="6487">if(G6486 = "", , -G6486)</f>
        <v/>
      </c>
      <c r="J6486" s="94" t="str">
        <f t="shared" si="6487"/>
        <v/>
      </c>
      <c r="K6486" s="100"/>
      <c r="M6486" s="100"/>
      <c r="N6486" s="100"/>
      <c r="O6486" s="100"/>
      <c r="P6486" s="100"/>
    </row>
    <row r="6487">
      <c r="A6487" s="107">
        <v>1631303.0</v>
      </c>
      <c r="B6487" s="116" t="s">
        <v>245</v>
      </c>
      <c r="C6487" s="116" t="s">
        <v>1631</v>
      </c>
      <c r="D6487" s="24" t="s">
        <v>177</v>
      </c>
      <c r="E6487" s="24">
        <v>380.8</v>
      </c>
      <c r="F6487" s="111" t="str">
        <f>DataPull!D6487</f>
        <v/>
      </c>
      <c r="G6487" s="94" t="str">
        <f t="shared" si="2"/>
        <v/>
      </c>
      <c r="H6487" s="94" t="str">
        <f t="shared" si="3"/>
        <v/>
      </c>
      <c r="I6487" s="94" t="str">
        <f t="shared" ref="I6487:J6487" si="6488">if(G6487 = "", , -G6487)</f>
        <v/>
      </c>
      <c r="J6487" s="94" t="str">
        <f t="shared" si="6488"/>
        <v/>
      </c>
      <c r="K6487" s="100"/>
      <c r="M6487" s="100"/>
      <c r="N6487" s="100"/>
      <c r="O6487" s="100"/>
      <c r="P6487" s="100"/>
    </row>
    <row r="6488">
      <c r="A6488" s="107">
        <v>1631303.0</v>
      </c>
      <c r="B6488" s="116" t="s">
        <v>246</v>
      </c>
      <c r="C6488" s="116" t="s">
        <v>1631</v>
      </c>
      <c r="D6488" s="24" t="s">
        <v>187</v>
      </c>
      <c r="E6488" s="24">
        <v>100.7</v>
      </c>
      <c r="F6488" s="111" t="str">
        <f>DataPull!D6488</f>
        <v/>
      </c>
      <c r="G6488" s="94" t="str">
        <f t="shared" si="2"/>
        <v/>
      </c>
      <c r="H6488" s="94" t="str">
        <f t="shared" si="3"/>
        <v/>
      </c>
      <c r="I6488" s="94" t="str">
        <f t="shared" ref="I6488:J6488" si="6489">if(G6488 = "", , -G6488)</f>
        <v/>
      </c>
      <c r="J6488" s="94" t="str">
        <f t="shared" si="6489"/>
        <v/>
      </c>
      <c r="K6488" s="100"/>
      <c r="M6488" s="100"/>
      <c r="N6488" s="100"/>
      <c r="O6488" s="100"/>
      <c r="P6488" s="100"/>
    </row>
    <row r="6489">
      <c r="A6489" s="107">
        <v>1631306.0</v>
      </c>
      <c r="B6489" s="116" t="s">
        <v>244</v>
      </c>
      <c r="C6489" s="116" t="s">
        <v>1632</v>
      </c>
      <c r="D6489" s="24" t="s">
        <v>181</v>
      </c>
      <c r="E6489" s="24">
        <v>41.3</v>
      </c>
      <c r="F6489" s="111" t="str">
        <f>DataPull!D6489</f>
        <v/>
      </c>
      <c r="G6489" s="94" t="str">
        <f t="shared" si="2"/>
        <v/>
      </c>
      <c r="H6489" s="94" t="str">
        <f t="shared" si="3"/>
        <v/>
      </c>
      <c r="I6489" s="94" t="str">
        <f t="shared" ref="I6489:J6489" si="6490">if(G6489 = "", , -G6489)</f>
        <v/>
      </c>
      <c r="J6489" s="94" t="str">
        <f t="shared" si="6490"/>
        <v/>
      </c>
      <c r="K6489" s="100"/>
      <c r="M6489" s="100"/>
      <c r="N6489" s="100"/>
      <c r="O6489" s="100"/>
      <c r="P6489" s="100"/>
    </row>
    <row r="6490">
      <c r="A6490" s="107">
        <v>1631306.0</v>
      </c>
      <c r="B6490" s="116" t="s">
        <v>245</v>
      </c>
      <c r="C6490" s="116" t="s">
        <v>1632</v>
      </c>
      <c r="D6490" s="24" t="s">
        <v>187</v>
      </c>
      <c r="E6490" s="24">
        <v>86.4</v>
      </c>
      <c r="F6490" s="111" t="str">
        <f>DataPull!D6490</f>
        <v/>
      </c>
      <c r="G6490" s="94" t="str">
        <f t="shared" si="2"/>
        <v/>
      </c>
      <c r="H6490" s="94" t="str">
        <f t="shared" si="3"/>
        <v/>
      </c>
      <c r="I6490" s="94" t="str">
        <f t="shared" ref="I6490:J6490" si="6491">if(G6490 = "", , -G6490)</f>
        <v/>
      </c>
      <c r="J6490" s="94" t="str">
        <f t="shared" si="6491"/>
        <v/>
      </c>
      <c r="K6490" s="100"/>
      <c r="M6490" s="100"/>
      <c r="N6490" s="100"/>
      <c r="O6490" s="100"/>
      <c r="P6490" s="100"/>
    </row>
    <row r="6491">
      <c r="A6491" s="107">
        <v>1631306.0</v>
      </c>
      <c r="B6491" s="116" t="s">
        <v>246</v>
      </c>
      <c r="C6491" s="116" t="s">
        <v>1632</v>
      </c>
      <c r="D6491" s="24" t="s">
        <v>181</v>
      </c>
      <c r="E6491" s="24">
        <v>170.0</v>
      </c>
      <c r="F6491" s="111" t="str">
        <f>DataPull!D6491</f>
        <v/>
      </c>
      <c r="G6491" s="94" t="str">
        <f t="shared" si="2"/>
        <v/>
      </c>
      <c r="H6491" s="94" t="str">
        <f t="shared" si="3"/>
        <v/>
      </c>
      <c r="I6491" s="94" t="str">
        <f t="shared" ref="I6491:J6491" si="6492">if(G6491 = "", , -G6491)</f>
        <v/>
      </c>
      <c r="J6491" s="94" t="str">
        <f t="shared" si="6492"/>
        <v/>
      </c>
      <c r="K6491" s="100"/>
      <c r="M6491" s="100"/>
      <c r="N6491" s="100"/>
      <c r="O6491" s="100"/>
      <c r="P6491" s="100"/>
    </row>
    <row r="6492">
      <c r="A6492" s="107">
        <v>1631309.0</v>
      </c>
      <c r="B6492" s="116" t="s">
        <v>244</v>
      </c>
      <c r="C6492" s="116" t="s">
        <v>1633</v>
      </c>
      <c r="D6492" s="24" t="s">
        <v>181</v>
      </c>
      <c r="E6492" s="24">
        <v>28.5</v>
      </c>
      <c r="F6492" s="111" t="str">
        <f>DataPull!D6492</f>
        <v/>
      </c>
      <c r="G6492" s="94" t="str">
        <f t="shared" si="2"/>
        <v/>
      </c>
      <c r="H6492" s="94" t="str">
        <f t="shared" si="3"/>
        <v/>
      </c>
      <c r="I6492" s="94" t="str">
        <f t="shared" ref="I6492:J6492" si="6493">if(G6492 = "", , -G6492)</f>
        <v/>
      </c>
      <c r="J6492" s="94" t="str">
        <f t="shared" si="6493"/>
        <v/>
      </c>
      <c r="K6492" s="100"/>
      <c r="M6492" s="100"/>
      <c r="N6492" s="100"/>
      <c r="O6492" s="100"/>
      <c r="P6492" s="100"/>
    </row>
    <row r="6493">
      <c r="A6493" s="107">
        <v>1631311.0</v>
      </c>
      <c r="B6493" s="116" t="s">
        <v>244</v>
      </c>
      <c r="C6493" s="116" t="s">
        <v>1634</v>
      </c>
      <c r="D6493" s="24" t="s">
        <v>181</v>
      </c>
      <c r="E6493" s="24">
        <v>18.0</v>
      </c>
      <c r="F6493" s="111" t="str">
        <f>DataPull!D6493</f>
        <v/>
      </c>
      <c r="G6493" s="94" t="str">
        <f t="shared" si="2"/>
        <v/>
      </c>
      <c r="H6493" s="94" t="str">
        <f t="shared" si="3"/>
        <v/>
      </c>
      <c r="I6493" s="94" t="str">
        <f t="shared" ref="I6493:J6493" si="6494">if(G6493 = "", , -G6493)</f>
        <v/>
      </c>
      <c r="J6493" s="94" t="str">
        <f t="shared" si="6494"/>
        <v/>
      </c>
      <c r="K6493" s="100"/>
      <c r="M6493" s="100"/>
      <c r="N6493" s="100"/>
      <c r="O6493" s="100"/>
      <c r="P6493" s="100"/>
    </row>
    <row r="6494">
      <c r="A6494" s="107">
        <v>1631311.0</v>
      </c>
      <c r="B6494" s="116" t="s">
        <v>245</v>
      </c>
      <c r="C6494" s="116" t="s">
        <v>1634</v>
      </c>
      <c r="D6494" s="24" t="s">
        <v>187</v>
      </c>
      <c r="E6494" s="24">
        <v>395.9</v>
      </c>
      <c r="F6494" s="111" t="str">
        <f>DataPull!D6494</f>
        <v/>
      </c>
      <c r="G6494" s="94" t="str">
        <f t="shared" si="2"/>
        <v/>
      </c>
      <c r="H6494" s="94" t="str">
        <f t="shared" si="3"/>
        <v/>
      </c>
      <c r="I6494" s="94" t="str">
        <f t="shared" ref="I6494:J6494" si="6495">if(G6494 = "", , -G6494)</f>
        <v/>
      </c>
      <c r="J6494" s="94" t="str">
        <f t="shared" si="6495"/>
        <v/>
      </c>
      <c r="K6494" s="100"/>
      <c r="M6494" s="100"/>
      <c r="N6494" s="100"/>
      <c r="O6494" s="100"/>
      <c r="P6494" s="100"/>
    </row>
    <row r="6495">
      <c r="A6495" s="107">
        <v>1631311.0</v>
      </c>
      <c r="B6495" s="116" t="s">
        <v>246</v>
      </c>
      <c r="C6495" s="116" t="s">
        <v>1634</v>
      </c>
      <c r="D6495" s="24" t="s">
        <v>187</v>
      </c>
      <c r="E6495" s="24">
        <v>183.3</v>
      </c>
      <c r="F6495" s="111" t="str">
        <f>DataPull!D6495</f>
        <v/>
      </c>
      <c r="G6495" s="94" t="str">
        <f t="shared" si="2"/>
        <v/>
      </c>
      <c r="H6495" s="94" t="str">
        <f t="shared" si="3"/>
        <v/>
      </c>
      <c r="I6495" s="94" t="str">
        <f t="shared" ref="I6495:J6495" si="6496">if(G6495 = "", , -G6495)</f>
        <v/>
      </c>
      <c r="J6495" s="94" t="str">
        <f t="shared" si="6496"/>
        <v/>
      </c>
      <c r="K6495" s="100"/>
      <c r="M6495" s="100"/>
      <c r="N6495" s="100"/>
      <c r="O6495" s="100"/>
      <c r="P6495" s="100"/>
    </row>
    <row r="6496">
      <c r="A6496" s="107">
        <v>1631320.0</v>
      </c>
      <c r="B6496" s="116" t="s">
        <v>244</v>
      </c>
      <c r="C6496" s="116" t="s">
        <v>1635</v>
      </c>
      <c r="D6496" s="24" t="s">
        <v>181</v>
      </c>
      <c r="E6496" s="24">
        <v>8.0</v>
      </c>
      <c r="F6496" s="111" t="str">
        <f>DataPull!D6496</f>
        <v/>
      </c>
      <c r="G6496" s="94" t="str">
        <f t="shared" si="2"/>
        <v/>
      </c>
      <c r="H6496" s="94" t="str">
        <f t="shared" si="3"/>
        <v/>
      </c>
      <c r="I6496" s="94" t="str">
        <f t="shared" ref="I6496:J6496" si="6497">if(G6496 = "", , -G6496)</f>
        <v/>
      </c>
      <c r="J6496" s="94" t="str">
        <f t="shared" si="6497"/>
        <v/>
      </c>
      <c r="K6496" s="100"/>
      <c r="M6496" s="100"/>
      <c r="N6496" s="100"/>
      <c r="O6496" s="100"/>
      <c r="P6496" s="100"/>
    </row>
    <row r="6497">
      <c r="A6497" s="107">
        <v>1631321.0</v>
      </c>
      <c r="B6497" s="116" t="s">
        <v>245</v>
      </c>
      <c r="C6497" s="116" t="s">
        <v>1636</v>
      </c>
      <c r="D6497" s="24" t="s">
        <v>187</v>
      </c>
      <c r="E6497" s="24">
        <v>140.4</v>
      </c>
      <c r="F6497" s="111" t="str">
        <f>DataPull!D6497</f>
        <v/>
      </c>
      <c r="G6497" s="94" t="str">
        <f t="shared" si="2"/>
        <v/>
      </c>
      <c r="H6497" s="94" t="str">
        <f t="shared" si="3"/>
        <v/>
      </c>
      <c r="I6497" s="94" t="str">
        <f t="shared" ref="I6497:J6497" si="6498">if(G6497 = "", , -G6497)</f>
        <v/>
      </c>
      <c r="J6497" s="94" t="str">
        <f t="shared" si="6498"/>
        <v/>
      </c>
      <c r="K6497" s="100"/>
      <c r="M6497" s="100"/>
      <c r="N6497" s="100"/>
      <c r="O6497" s="100"/>
      <c r="P6497" s="100"/>
    </row>
    <row r="6498">
      <c r="A6498" s="107">
        <v>1631321.0</v>
      </c>
      <c r="B6498" s="116" t="s">
        <v>246</v>
      </c>
      <c r="C6498" s="116" t="s">
        <v>1636</v>
      </c>
      <c r="D6498" s="24" t="s">
        <v>187</v>
      </c>
      <c r="E6498" s="24">
        <v>114.4</v>
      </c>
      <c r="F6498" s="111" t="str">
        <f>DataPull!D6498</f>
        <v/>
      </c>
      <c r="G6498" s="94" t="str">
        <f t="shared" si="2"/>
        <v/>
      </c>
      <c r="H6498" s="94" t="str">
        <f t="shared" si="3"/>
        <v/>
      </c>
      <c r="I6498" s="94" t="str">
        <f t="shared" ref="I6498:J6498" si="6499">if(G6498 = "", , -G6498)</f>
        <v/>
      </c>
      <c r="J6498" s="94" t="str">
        <f t="shared" si="6499"/>
        <v/>
      </c>
      <c r="K6498" s="100"/>
      <c r="M6498" s="100"/>
      <c r="N6498" s="100"/>
      <c r="O6498" s="100"/>
      <c r="P6498" s="100"/>
    </row>
    <row r="6499">
      <c r="A6499" s="114">
        <v>1631321.0</v>
      </c>
      <c r="B6499" s="131" t="s">
        <v>247</v>
      </c>
      <c r="C6499" s="131" t="s">
        <v>1636</v>
      </c>
      <c r="D6499" s="24" t="s">
        <v>176</v>
      </c>
      <c r="E6499" s="24">
        <v>1432.5</v>
      </c>
      <c r="F6499" s="111" t="str">
        <f>DataPull!D6499</f>
        <v/>
      </c>
      <c r="G6499" s="94" t="str">
        <f t="shared" si="2"/>
        <v/>
      </c>
      <c r="H6499" s="94" t="str">
        <f t="shared" si="3"/>
        <v/>
      </c>
      <c r="I6499" s="94" t="str">
        <f t="shared" ref="I6499:J6499" si="6500">if(G6499 = "", , -G6499)</f>
        <v/>
      </c>
      <c r="J6499" s="94" t="str">
        <f t="shared" si="6500"/>
        <v/>
      </c>
      <c r="K6499" s="100"/>
      <c r="M6499" s="100"/>
      <c r="N6499" s="100"/>
      <c r="O6499" s="100"/>
      <c r="P6499" s="100"/>
    </row>
    <row r="6500">
      <c r="A6500" s="107">
        <v>1631323.0</v>
      </c>
      <c r="B6500" s="116" t="s">
        <v>244</v>
      </c>
      <c r="C6500" s="116" t="s">
        <v>1637</v>
      </c>
      <c r="D6500" s="24" t="s">
        <v>177</v>
      </c>
      <c r="E6500" s="24">
        <v>764.4</v>
      </c>
      <c r="F6500" s="111" t="str">
        <f>DataPull!D6500</f>
        <v/>
      </c>
      <c r="G6500" s="94" t="str">
        <f t="shared" si="2"/>
        <v/>
      </c>
      <c r="H6500" s="94" t="str">
        <f t="shared" si="3"/>
        <v/>
      </c>
      <c r="I6500" s="94" t="str">
        <f t="shared" ref="I6500:J6500" si="6501">if(G6500 = "", , -G6500)</f>
        <v/>
      </c>
      <c r="J6500" s="94" t="str">
        <f t="shared" si="6501"/>
        <v/>
      </c>
      <c r="K6500" s="100"/>
      <c r="M6500" s="100"/>
      <c r="N6500" s="100"/>
      <c r="O6500" s="100"/>
      <c r="P6500" s="100"/>
    </row>
    <row r="6501">
      <c r="A6501" s="107">
        <v>1631323.0</v>
      </c>
      <c r="B6501" s="116" t="s">
        <v>245</v>
      </c>
      <c r="C6501" s="116" t="s">
        <v>1637</v>
      </c>
      <c r="D6501" s="24" t="s">
        <v>176</v>
      </c>
      <c r="E6501" s="24">
        <v>1643.4</v>
      </c>
      <c r="F6501" s="111" t="str">
        <f>DataPull!D6501</f>
        <v/>
      </c>
      <c r="G6501" s="94" t="str">
        <f t="shared" si="2"/>
        <v/>
      </c>
      <c r="H6501" s="94" t="str">
        <f t="shared" si="3"/>
        <v/>
      </c>
      <c r="I6501" s="94" t="str">
        <f t="shared" ref="I6501:J6501" si="6502">if(G6501 = "", , -G6501)</f>
        <v/>
      </c>
      <c r="J6501" s="94" t="str">
        <f t="shared" si="6502"/>
        <v/>
      </c>
      <c r="K6501" s="100"/>
      <c r="M6501" s="100"/>
      <c r="N6501" s="100"/>
      <c r="O6501" s="100"/>
      <c r="P6501" s="100"/>
    </row>
    <row r="6502">
      <c r="A6502" s="107">
        <v>1631323.0</v>
      </c>
      <c r="B6502" s="116" t="s">
        <v>246</v>
      </c>
      <c r="C6502" s="116" t="s">
        <v>1637</v>
      </c>
      <c r="D6502" s="24" t="s">
        <v>177</v>
      </c>
      <c r="E6502" s="24">
        <v>1237.5</v>
      </c>
      <c r="F6502" s="111" t="str">
        <f>DataPull!D6502</f>
        <v/>
      </c>
      <c r="G6502" s="94" t="str">
        <f t="shared" si="2"/>
        <v/>
      </c>
      <c r="H6502" s="94" t="str">
        <f t="shared" si="3"/>
        <v/>
      </c>
      <c r="I6502" s="94" t="str">
        <f t="shared" ref="I6502:J6502" si="6503">if(G6502 = "", , -G6502)</f>
        <v/>
      </c>
      <c r="J6502" s="94" t="str">
        <f t="shared" si="6503"/>
        <v/>
      </c>
      <c r="K6502" s="100"/>
      <c r="M6502" s="100"/>
      <c r="N6502" s="100"/>
      <c r="O6502" s="100"/>
      <c r="P6502" s="100"/>
    </row>
    <row r="6503">
      <c r="A6503" s="114">
        <v>1631323.0</v>
      </c>
      <c r="B6503" s="131" t="s">
        <v>247</v>
      </c>
      <c r="C6503" s="131" t="s">
        <v>1637</v>
      </c>
      <c r="D6503" s="24" t="s">
        <v>177</v>
      </c>
      <c r="E6503" s="24">
        <v>1169.0</v>
      </c>
      <c r="F6503" s="111" t="str">
        <f>DataPull!D6503</f>
        <v/>
      </c>
      <c r="G6503" s="94" t="str">
        <f t="shared" si="2"/>
        <v/>
      </c>
      <c r="H6503" s="94" t="str">
        <f t="shared" si="3"/>
        <v/>
      </c>
      <c r="I6503" s="94" t="str">
        <f t="shared" ref="I6503:J6503" si="6504">if(G6503 = "", , -G6503)</f>
        <v/>
      </c>
      <c r="J6503" s="94" t="str">
        <f t="shared" si="6504"/>
        <v/>
      </c>
      <c r="K6503" s="100"/>
      <c r="M6503" s="100"/>
      <c r="N6503" s="100"/>
      <c r="O6503" s="100"/>
      <c r="P6503" s="100"/>
    </row>
    <row r="6504">
      <c r="A6504" s="126">
        <v>1631338.0</v>
      </c>
      <c r="B6504" s="141" t="s">
        <v>247</v>
      </c>
      <c r="C6504" s="141" t="s">
        <v>1638</v>
      </c>
      <c r="D6504" s="24"/>
      <c r="E6504" s="24">
        <v>45.4</v>
      </c>
      <c r="F6504" s="111" t="str">
        <f>DataPull!D6504</f>
        <v/>
      </c>
      <c r="G6504" s="94" t="str">
        <f t="shared" si="2"/>
        <v/>
      </c>
      <c r="H6504" s="94" t="str">
        <f t="shared" si="3"/>
        <v/>
      </c>
      <c r="I6504" s="94" t="str">
        <f t="shared" ref="I6504:J6504" si="6505">if(G6504 = "", , -G6504)</f>
        <v/>
      </c>
      <c r="J6504" s="94" t="str">
        <f t="shared" si="6505"/>
        <v/>
      </c>
      <c r="K6504" s="100"/>
      <c r="M6504" s="100"/>
      <c r="N6504" s="100"/>
      <c r="O6504" s="100"/>
      <c r="P6504" s="100"/>
    </row>
    <row r="6505">
      <c r="A6505" s="120">
        <v>1631342.0</v>
      </c>
      <c r="B6505" s="138" t="s">
        <v>246</v>
      </c>
      <c r="C6505" s="138" t="s">
        <v>1639</v>
      </c>
      <c r="D6505" s="139" t="s">
        <v>181</v>
      </c>
      <c r="E6505" s="139">
        <v>71.4</v>
      </c>
      <c r="F6505" s="111" t="str">
        <f>DataPull!D6505</f>
        <v/>
      </c>
      <c r="G6505" s="94" t="str">
        <f t="shared" si="2"/>
        <v/>
      </c>
      <c r="H6505" s="94" t="str">
        <f t="shared" si="3"/>
        <v/>
      </c>
      <c r="I6505" s="94" t="str">
        <f t="shared" ref="I6505:J6505" si="6506">if(G6505 = "", , -G6505)</f>
        <v/>
      </c>
      <c r="J6505" s="94" t="str">
        <f t="shared" si="6506"/>
        <v/>
      </c>
      <c r="K6505" s="100"/>
      <c r="M6505" s="100"/>
      <c r="N6505" s="100"/>
      <c r="O6505" s="100"/>
      <c r="P6505" s="100"/>
    </row>
    <row r="6506">
      <c r="A6506" s="89">
        <v>1631342.0</v>
      </c>
      <c r="B6506" s="131" t="s">
        <v>247</v>
      </c>
      <c r="C6506" s="131" t="s">
        <v>1639</v>
      </c>
      <c r="D6506" s="24" t="s">
        <v>176</v>
      </c>
      <c r="E6506" s="24">
        <v>844.8</v>
      </c>
      <c r="F6506" s="111" t="str">
        <f>DataPull!D6506</f>
        <v/>
      </c>
      <c r="G6506" s="94" t="str">
        <f t="shared" si="2"/>
        <v/>
      </c>
      <c r="H6506" s="94" t="str">
        <f t="shared" si="3"/>
        <v/>
      </c>
      <c r="I6506" s="94" t="str">
        <f t="shared" ref="I6506:J6506" si="6507">if(G6506 = "", , -G6506)</f>
        <v/>
      </c>
      <c r="J6506" s="94" t="str">
        <f t="shared" si="6507"/>
        <v/>
      </c>
      <c r="K6506" s="100"/>
      <c r="M6506" s="100"/>
      <c r="N6506" s="100"/>
      <c r="O6506" s="100"/>
      <c r="P6506" s="100"/>
    </row>
    <row r="6507">
      <c r="A6507" s="107">
        <v>1631367.0</v>
      </c>
      <c r="B6507" s="116" t="s">
        <v>244</v>
      </c>
      <c r="C6507" s="116" t="s">
        <v>1640</v>
      </c>
      <c r="D6507" s="24" t="s">
        <v>181</v>
      </c>
      <c r="E6507" s="24">
        <v>40.8</v>
      </c>
      <c r="F6507" s="111" t="str">
        <f>DataPull!D6507</f>
        <v/>
      </c>
      <c r="G6507" s="94" t="str">
        <f t="shared" si="2"/>
        <v/>
      </c>
      <c r="H6507" s="94" t="str">
        <f t="shared" si="3"/>
        <v/>
      </c>
      <c r="I6507" s="94" t="str">
        <f t="shared" ref="I6507:J6507" si="6508">if(G6507 = "", , -G6507)</f>
        <v/>
      </c>
      <c r="J6507" s="94" t="str">
        <f t="shared" si="6508"/>
        <v/>
      </c>
      <c r="K6507" s="100"/>
      <c r="M6507" s="100"/>
      <c r="N6507" s="100"/>
      <c r="O6507" s="100"/>
      <c r="P6507" s="100"/>
    </row>
    <row r="6508">
      <c r="A6508" s="107">
        <v>1631367.0</v>
      </c>
      <c r="B6508" s="116" t="s">
        <v>245</v>
      </c>
      <c r="C6508" s="116" t="s">
        <v>1640</v>
      </c>
      <c r="D6508" s="24" t="s">
        <v>177</v>
      </c>
      <c r="E6508" s="24">
        <v>697.0</v>
      </c>
      <c r="F6508" s="111" t="str">
        <f>DataPull!D6508</f>
        <v/>
      </c>
      <c r="G6508" s="94" t="str">
        <f t="shared" si="2"/>
        <v/>
      </c>
      <c r="H6508" s="94" t="str">
        <f t="shared" si="3"/>
        <v/>
      </c>
      <c r="I6508" s="94" t="str">
        <f t="shared" ref="I6508:J6508" si="6509">if(G6508 = "", , -G6508)</f>
        <v/>
      </c>
      <c r="J6508" s="94" t="str">
        <f t="shared" si="6509"/>
        <v/>
      </c>
      <c r="K6508" s="100"/>
      <c r="M6508" s="100"/>
      <c r="N6508" s="100"/>
      <c r="O6508" s="100"/>
      <c r="P6508" s="100"/>
    </row>
    <row r="6509">
      <c r="A6509" s="107">
        <v>1631376.0</v>
      </c>
      <c r="B6509" s="116" t="s">
        <v>245</v>
      </c>
      <c r="C6509" s="116" t="s">
        <v>1641</v>
      </c>
      <c r="D6509" s="24" t="s">
        <v>181</v>
      </c>
      <c r="E6509" s="24">
        <v>2.2</v>
      </c>
      <c r="F6509" s="111" t="str">
        <f>DataPull!D6509</f>
        <v/>
      </c>
      <c r="G6509" s="94" t="str">
        <f t="shared" si="2"/>
        <v/>
      </c>
      <c r="H6509" s="94" t="str">
        <f t="shared" si="3"/>
        <v/>
      </c>
      <c r="I6509" s="94" t="str">
        <f t="shared" ref="I6509:J6509" si="6510">if(G6509 = "", , -G6509)</f>
        <v/>
      </c>
      <c r="J6509" s="94" t="str">
        <f t="shared" si="6510"/>
        <v/>
      </c>
      <c r="K6509" s="100"/>
      <c r="M6509" s="100"/>
      <c r="N6509" s="100"/>
      <c r="O6509" s="100"/>
      <c r="P6509" s="100"/>
    </row>
    <row r="6510">
      <c r="A6510" s="107">
        <v>1631386.0</v>
      </c>
      <c r="B6510" s="116" t="s">
        <v>245</v>
      </c>
      <c r="C6510" s="116" t="s">
        <v>1642</v>
      </c>
      <c r="D6510" s="24" t="s">
        <v>181</v>
      </c>
      <c r="E6510" s="24">
        <v>40.4</v>
      </c>
      <c r="F6510" s="111" t="str">
        <f>DataPull!D6510</f>
        <v/>
      </c>
      <c r="G6510" s="94" t="str">
        <f t="shared" si="2"/>
        <v/>
      </c>
      <c r="H6510" s="94" t="str">
        <f t="shared" si="3"/>
        <v/>
      </c>
      <c r="I6510" s="94" t="str">
        <f t="shared" ref="I6510:J6510" si="6511">if(G6510 = "", , -G6510)</f>
        <v/>
      </c>
      <c r="J6510" s="94" t="str">
        <f t="shared" si="6511"/>
        <v/>
      </c>
      <c r="K6510" s="100"/>
      <c r="M6510" s="100"/>
      <c r="N6510" s="100"/>
      <c r="O6510" s="100"/>
      <c r="P6510" s="100"/>
    </row>
    <row r="6511">
      <c r="A6511" s="107">
        <v>1631386.0</v>
      </c>
      <c r="B6511" s="116" t="s">
        <v>246</v>
      </c>
      <c r="C6511" s="116" t="s">
        <v>1642</v>
      </c>
      <c r="D6511" s="24" t="s">
        <v>181</v>
      </c>
      <c r="E6511" s="24">
        <v>19.8</v>
      </c>
      <c r="F6511" s="111" t="str">
        <f>DataPull!D6511</f>
        <v/>
      </c>
      <c r="G6511" s="94" t="str">
        <f t="shared" si="2"/>
        <v/>
      </c>
      <c r="H6511" s="94" t="str">
        <f t="shared" si="3"/>
        <v/>
      </c>
      <c r="I6511" s="94" t="str">
        <f t="shared" ref="I6511:J6511" si="6512">if(G6511 = "", , -G6511)</f>
        <v/>
      </c>
      <c r="J6511" s="94" t="str">
        <f t="shared" si="6512"/>
        <v/>
      </c>
      <c r="K6511" s="100"/>
      <c r="M6511" s="100"/>
      <c r="N6511" s="100"/>
      <c r="O6511" s="100"/>
      <c r="P6511" s="100"/>
    </row>
    <row r="6512">
      <c r="A6512" s="114">
        <v>1631451.0</v>
      </c>
      <c r="B6512" s="131" t="s">
        <v>247</v>
      </c>
      <c r="C6512" s="131" t="s">
        <v>1643</v>
      </c>
      <c r="D6512" s="24" t="s">
        <v>187</v>
      </c>
      <c r="E6512" s="24">
        <v>93.1</v>
      </c>
      <c r="F6512" s="111" t="str">
        <f>DataPull!D6512</f>
        <v/>
      </c>
      <c r="G6512" s="94" t="str">
        <f t="shared" si="2"/>
        <v/>
      </c>
      <c r="H6512" s="94" t="str">
        <f t="shared" si="3"/>
        <v/>
      </c>
      <c r="I6512" s="94" t="str">
        <f t="shared" ref="I6512:J6512" si="6513">if(G6512 = "", , -G6512)</f>
        <v/>
      </c>
      <c r="J6512" s="94" t="str">
        <f t="shared" si="6513"/>
        <v/>
      </c>
      <c r="K6512" s="100"/>
      <c r="M6512" s="100"/>
      <c r="N6512" s="100"/>
      <c r="O6512" s="100"/>
      <c r="P6512" s="100"/>
    </row>
    <row r="6513">
      <c r="A6513" s="126">
        <v>1631457.0</v>
      </c>
      <c r="B6513" s="141" t="s">
        <v>247</v>
      </c>
      <c r="C6513" s="141" t="s">
        <v>1644</v>
      </c>
      <c r="D6513" s="24"/>
      <c r="E6513" s="24">
        <v>23.6</v>
      </c>
      <c r="F6513" s="111" t="str">
        <f>DataPull!D6513</f>
        <v/>
      </c>
      <c r="G6513" s="94" t="str">
        <f t="shared" si="2"/>
        <v/>
      </c>
      <c r="H6513" s="94" t="str">
        <f t="shared" si="3"/>
        <v/>
      </c>
      <c r="I6513" s="94" t="str">
        <f t="shared" ref="I6513:J6513" si="6514">if(G6513 = "", , -G6513)</f>
        <v/>
      </c>
      <c r="J6513" s="94" t="str">
        <f t="shared" si="6514"/>
        <v/>
      </c>
      <c r="K6513" s="100"/>
      <c r="M6513" s="100"/>
      <c r="N6513" s="100"/>
      <c r="O6513" s="100"/>
      <c r="P6513" s="100"/>
    </row>
    <row r="6514">
      <c r="A6514" s="107">
        <v>1631466.0</v>
      </c>
      <c r="B6514" s="116" t="s">
        <v>244</v>
      </c>
      <c r="C6514" s="116" t="s">
        <v>1645</v>
      </c>
      <c r="D6514" s="24"/>
      <c r="E6514" s="24"/>
      <c r="F6514" s="111" t="str">
        <f>DataPull!D6514</f>
        <v/>
      </c>
      <c r="G6514" s="94" t="str">
        <f t="shared" si="2"/>
        <v/>
      </c>
      <c r="H6514" s="94" t="str">
        <f t="shared" si="3"/>
        <v/>
      </c>
      <c r="I6514" s="94" t="str">
        <f t="shared" ref="I6514:J6514" si="6515">if(G6514 = "", , -G6514)</f>
        <v/>
      </c>
      <c r="J6514" s="94" t="str">
        <f t="shared" si="6515"/>
        <v/>
      </c>
      <c r="K6514" s="100"/>
      <c r="M6514" s="100"/>
      <c r="N6514" s="100"/>
      <c r="O6514" s="100"/>
      <c r="P6514" s="100"/>
    </row>
    <row r="6515">
      <c r="A6515" s="107">
        <v>1631466.0</v>
      </c>
      <c r="B6515" s="116" t="s">
        <v>245</v>
      </c>
      <c r="C6515" s="116" t="s">
        <v>1646</v>
      </c>
      <c r="D6515" s="24" t="s">
        <v>187</v>
      </c>
      <c r="E6515" s="24">
        <v>129.8</v>
      </c>
      <c r="F6515" s="111" t="str">
        <f>DataPull!D6515</f>
        <v/>
      </c>
      <c r="G6515" s="94" t="str">
        <f t="shared" si="2"/>
        <v/>
      </c>
      <c r="H6515" s="94" t="str">
        <f t="shared" si="3"/>
        <v/>
      </c>
      <c r="I6515" s="94" t="str">
        <f t="shared" ref="I6515:J6515" si="6516">if(G6515 = "", , -G6515)</f>
        <v/>
      </c>
      <c r="J6515" s="94" t="str">
        <f t="shared" si="6516"/>
        <v/>
      </c>
      <c r="K6515" s="100"/>
      <c r="M6515" s="100"/>
      <c r="N6515" s="100"/>
      <c r="O6515" s="100"/>
      <c r="P6515" s="100"/>
    </row>
    <row r="6516">
      <c r="A6516" s="107">
        <v>1631466.0</v>
      </c>
      <c r="B6516" s="116" t="s">
        <v>246</v>
      </c>
      <c r="C6516" s="116" t="s">
        <v>1646</v>
      </c>
      <c r="D6516" s="24" t="s">
        <v>187</v>
      </c>
      <c r="E6516" s="24">
        <v>146.0</v>
      </c>
      <c r="F6516" s="111" t="str">
        <f>DataPull!D6516</f>
        <v/>
      </c>
      <c r="G6516" s="94" t="str">
        <f t="shared" si="2"/>
        <v/>
      </c>
      <c r="H6516" s="94" t="str">
        <f t="shared" si="3"/>
        <v/>
      </c>
      <c r="I6516" s="94" t="str">
        <f t="shared" ref="I6516:J6516" si="6517">if(G6516 = "", , -G6516)</f>
        <v/>
      </c>
      <c r="J6516" s="94" t="str">
        <f t="shared" si="6517"/>
        <v/>
      </c>
      <c r="K6516" s="100"/>
      <c r="M6516" s="100"/>
      <c r="N6516" s="100"/>
      <c r="O6516" s="100"/>
      <c r="P6516" s="100"/>
    </row>
    <row r="6517">
      <c r="A6517" s="126">
        <v>1631466.0</v>
      </c>
      <c r="B6517" s="141" t="s">
        <v>247</v>
      </c>
      <c r="C6517" s="141" t="s">
        <v>1646</v>
      </c>
      <c r="D6517" s="24"/>
      <c r="E6517" s="24">
        <v>239.4</v>
      </c>
      <c r="F6517" s="111" t="str">
        <f>DataPull!D6517</f>
        <v/>
      </c>
      <c r="G6517" s="94" t="str">
        <f t="shared" si="2"/>
        <v/>
      </c>
      <c r="H6517" s="94" t="str">
        <f t="shared" si="3"/>
        <v/>
      </c>
      <c r="I6517" s="94" t="str">
        <f t="shared" ref="I6517:J6517" si="6518">if(G6517 = "", , -G6517)</f>
        <v/>
      </c>
      <c r="J6517" s="94" t="str">
        <f t="shared" si="6518"/>
        <v/>
      </c>
      <c r="K6517" s="100"/>
      <c r="M6517" s="100"/>
      <c r="N6517" s="100"/>
      <c r="O6517" s="100"/>
      <c r="P6517" s="100"/>
    </row>
    <row r="6518">
      <c r="A6518" s="107">
        <v>1631495.0</v>
      </c>
      <c r="B6518" s="116" t="s">
        <v>244</v>
      </c>
      <c r="C6518" s="116" t="s">
        <v>1647</v>
      </c>
      <c r="D6518" s="24" t="s">
        <v>181</v>
      </c>
      <c r="E6518" s="24">
        <v>4.2</v>
      </c>
      <c r="F6518" s="111" t="str">
        <f>DataPull!D6518</f>
        <v/>
      </c>
      <c r="G6518" s="94" t="str">
        <f t="shared" si="2"/>
        <v/>
      </c>
      <c r="H6518" s="94" t="str">
        <f t="shared" si="3"/>
        <v/>
      </c>
      <c r="I6518" s="94" t="str">
        <f t="shared" ref="I6518:J6518" si="6519">if(G6518 = "", , -G6518)</f>
        <v/>
      </c>
      <c r="J6518" s="94" t="str">
        <f t="shared" si="6519"/>
        <v/>
      </c>
      <c r="K6518" s="100"/>
      <c r="M6518" s="100"/>
      <c r="N6518" s="100"/>
      <c r="O6518" s="100"/>
      <c r="P6518" s="100"/>
    </row>
    <row r="6519">
      <c r="A6519" s="107">
        <v>1641645.0</v>
      </c>
      <c r="B6519" s="116" t="s">
        <v>244</v>
      </c>
      <c r="C6519" s="116" t="s">
        <v>1648</v>
      </c>
      <c r="D6519" s="24" t="s">
        <v>187</v>
      </c>
      <c r="E6519" s="24">
        <v>126.0</v>
      </c>
      <c r="F6519" s="111" t="str">
        <f>DataPull!D6519</f>
        <v/>
      </c>
      <c r="G6519" s="94" t="str">
        <f t="shared" si="2"/>
        <v/>
      </c>
      <c r="H6519" s="94" t="str">
        <f t="shared" si="3"/>
        <v/>
      </c>
      <c r="I6519" s="94" t="str">
        <f t="shared" ref="I6519:J6519" si="6520">if(G6519 = "", , -G6519)</f>
        <v/>
      </c>
      <c r="J6519" s="94" t="str">
        <f t="shared" si="6520"/>
        <v/>
      </c>
      <c r="K6519" s="100"/>
      <c r="M6519" s="100"/>
      <c r="N6519" s="100"/>
      <c r="O6519" s="100"/>
      <c r="P6519" s="100"/>
    </row>
    <row r="6520">
      <c r="A6520" s="107">
        <v>1641705.0</v>
      </c>
      <c r="B6520" s="116" t="s">
        <v>245</v>
      </c>
      <c r="C6520" s="116" t="s">
        <v>1649</v>
      </c>
      <c r="D6520" s="24" t="s">
        <v>184</v>
      </c>
      <c r="E6520" s="24">
        <v>2108.7</v>
      </c>
      <c r="F6520" s="111" t="str">
        <f>DataPull!D6520</f>
        <v/>
      </c>
      <c r="G6520" s="94" t="str">
        <f t="shared" si="2"/>
        <v/>
      </c>
      <c r="H6520" s="94" t="str">
        <f t="shared" si="3"/>
        <v/>
      </c>
      <c r="I6520" s="94" t="str">
        <f t="shared" ref="I6520:J6520" si="6521">if(G6520 = "", , -G6520)</f>
        <v/>
      </c>
      <c r="J6520" s="94" t="str">
        <f t="shared" si="6521"/>
        <v/>
      </c>
      <c r="K6520" s="100"/>
      <c r="M6520" s="100"/>
      <c r="N6520" s="100"/>
      <c r="O6520" s="100"/>
      <c r="P6520" s="100"/>
    </row>
    <row r="6521">
      <c r="A6521" s="107">
        <v>1641705.0</v>
      </c>
      <c r="B6521" s="116" t="s">
        <v>246</v>
      </c>
      <c r="C6521" s="116" t="s">
        <v>1649</v>
      </c>
      <c r="D6521" s="24" t="s">
        <v>184</v>
      </c>
      <c r="E6521" s="24">
        <v>1527.2</v>
      </c>
      <c r="F6521" s="111" t="str">
        <f>DataPull!D6521</f>
        <v/>
      </c>
      <c r="G6521" s="94" t="str">
        <f t="shared" si="2"/>
        <v/>
      </c>
      <c r="H6521" s="94" t="str">
        <f t="shared" si="3"/>
        <v/>
      </c>
      <c r="I6521" s="94" t="str">
        <f t="shared" ref="I6521:J6521" si="6522">if(G6521 = "", , -G6521)</f>
        <v/>
      </c>
      <c r="J6521" s="94" t="str">
        <f t="shared" si="6522"/>
        <v/>
      </c>
      <c r="K6521" s="100"/>
      <c r="M6521" s="100"/>
      <c r="N6521" s="100"/>
      <c r="O6521" s="100"/>
      <c r="P6521" s="100"/>
    </row>
    <row r="6522">
      <c r="A6522" s="114">
        <v>1641705.0</v>
      </c>
      <c r="B6522" s="131" t="s">
        <v>247</v>
      </c>
      <c r="C6522" s="131" t="s">
        <v>1649</v>
      </c>
      <c r="D6522" s="24" t="s">
        <v>184</v>
      </c>
      <c r="E6522" s="24">
        <v>1868.8</v>
      </c>
      <c r="F6522" s="111" t="str">
        <f>DataPull!D6522</f>
        <v/>
      </c>
      <c r="G6522" s="94" t="str">
        <f t="shared" si="2"/>
        <v/>
      </c>
      <c r="H6522" s="94" t="str">
        <f t="shared" si="3"/>
        <v/>
      </c>
      <c r="I6522" s="94" t="str">
        <f t="shared" ref="I6522:J6522" si="6523">if(G6522 = "", , -G6522)</f>
        <v/>
      </c>
      <c r="J6522" s="94" t="str">
        <f t="shared" si="6523"/>
        <v/>
      </c>
      <c r="K6522" s="100"/>
      <c r="M6522" s="100"/>
      <c r="N6522" s="100"/>
      <c r="O6522" s="100"/>
      <c r="P6522" s="100"/>
    </row>
    <row r="6523">
      <c r="A6523" s="107">
        <v>1641706.0</v>
      </c>
      <c r="B6523" s="116" t="s">
        <v>245</v>
      </c>
      <c r="C6523" s="116" t="s">
        <v>1650</v>
      </c>
      <c r="D6523" s="24" t="s">
        <v>178</v>
      </c>
      <c r="E6523" s="24">
        <v>2382.8</v>
      </c>
      <c r="F6523" s="111" t="str">
        <f>DataPull!D6523</f>
        <v/>
      </c>
      <c r="G6523" s="94" t="str">
        <f t="shared" si="2"/>
        <v/>
      </c>
      <c r="H6523" s="94" t="str">
        <f t="shared" si="3"/>
        <v/>
      </c>
      <c r="I6523" s="94" t="str">
        <f t="shared" ref="I6523:J6523" si="6524">if(G6523 = "", , -G6523)</f>
        <v/>
      </c>
      <c r="J6523" s="94" t="str">
        <f t="shared" si="6524"/>
        <v/>
      </c>
      <c r="K6523" s="100"/>
      <c r="M6523" s="100"/>
      <c r="N6523" s="100"/>
      <c r="O6523" s="100"/>
      <c r="P6523" s="100"/>
    </row>
    <row r="6524">
      <c r="A6524" s="107">
        <v>1641706.0</v>
      </c>
      <c r="B6524" s="116" t="s">
        <v>246</v>
      </c>
      <c r="C6524" s="116" t="s">
        <v>1650</v>
      </c>
      <c r="D6524" s="24" t="s">
        <v>178</v>
      </c>
      <c r="E6524" s="24">
        <v>923.4</v>
      </c>
      <c r="F6524" s="111" t="str">
        <f>DataPull!D6524</f>
        <v/>
      </c>
      <c r="G6524" s="94" t="str">
        <f t="shared" si="2"/>
        <v/>
      </c>
      <c r="H6524" s="94" t="str">
        <f t="shared" si="3"/>
        <v/>
      </c>
      <c r="I6524" s="94" t="str">
        <f t="shared" ref="I6524:J6524" si="6525">if(G6524 = "", , -G6524)</f>
        <v/>
      </c>
      <c r="J6524" s="94" t="str">
        <f t="shared" si="6525"/>
        <v/>
      </c>
      <c r="K6524" s="100"/>
      <c r="M6524" s="100"/>
      <c r="N6524" s="100"/>
      <c r="O6524" s="100"/>
      <c r="P6524" s="100"/>
    </row>
    <row r="6525">
      <c r="A6525" s="114">
        <v>1641706.0</v>
      </c>
      <c r="B6525" s="131" t="s">
        <v>247</v>
      </c>
      <c r="C6525" s="131" t="s">
        <v>1650</v>
      </c>
      <c r="D6525" s="24" t="s">
        <v>178</v>
      </c>
      <c r="E6525" s="24">
        <v>1969.5</v>
      </c>
      <c r="F6525" s="111" t="str">
        <f>DataPull!D6525</f>
        <v/>
      </c>
      <c r="G6525" s="94" t="str">
        <f t="shared" si="2"/>
        <v/>
      </c>
      <c r="H6525" s="94" t="str">
        <f t="shared" si="3"/>
        <v/>
      </c>
      <c r="I6525" s="94" t="str">
        <f t="shared" ref="I6525:J6525" si="6526">if(G6525 = "", , -G6525)</f>
        <v/>
      </c>
      <c r="J6525" s="94" t="str">
        <f t="shared" si="6526"/>
        <v/>
      </c>
      <c r="K6525" s="100"/>
      <c r="M6525" s="100"/>
      <c r="N6525" s="100"/>
      <c r="O6525" s="100"/>
      <c r="P6525" s="100"/>
    </row>
    <row r="6526">
      <c r="A6526" s="107">
        <v>1641707.0</v>
      </c>
      <c r="B6526" s="116" t="s">
        <v>245</v>
      </c>
      <c r="C6526" s="116" t="s">
        <v>1651</v>
      </c>
      <c r="D6526" s="24" t="s">
        <v>176</v>
      </c>
      <c r="E6526" s="24">
        <v>856.0</v>
      </c>
      <c r="F6526" s="111" t="str">
        <f>DataPull!D6526</f>
        <v/>
      </c>
      <c r="G6526" s="94" t="str">
        <f t="shared" si="2"/>
        <v/>
      </c>
      <c r="H6526" s="94" t="str">
        <f t="shared" si="3"/>
        <v/>
      </c>
      <c r="I6526" s="94" t="str">
        <f t="shared" ref="I6526:J6526" si="6527">if(G6526 = "", , -G6526)</f>
        <v/>
      </c>
      <c r="J6526" s="94" t="str">
        <f t="shared" si="6527"/>
        <v/>
      </c>
      <c r="K6526" s="100"/>
      <c r="M6526" s="100"/>
      <c r="N6526" s="100"/>
      <c r="O6526" s="100"/>
      <c r="P6526" s="100"/>
    </row>
    <row r="6527">
      <c r="A6527" s="107">
        <v>1641707.0</v>
      </c>
      <c r="B6527" s="116" t="s">
        <v>246</v>
      </c>
      <c r="C6527" s="116" t="s">
        <v>1651</v>
      </c>
      <c r="D6527" s="24" t="s">
        <v>181</v>
      </c>
      <c r="E6527" s="24">
        <v>74.4</v>
      </c>
      <c r="F6527" s="111" t="str">
        <f>DataPull!D6527</f>
        <v/>
      </c>
      <c r="G6527" s="94" t="str">
        <f t="shared" si="2"/>
        <v/>
      </c>
      <c r="H6527" s="94" t="str">
        <f t="shared" si="3"/>
        <v/>
      </c>
      <c r="I6527" s="94" t="str">
        <f t="shared" ref="I6527:J6527" si="6528">if(G6527 = "", , -G6527)</f>
        <v/>
      </c>
      <c r="J6527" s="94" t="str">
        <f t="shared" si="6528"/>
        <v/>
      </c>
      <c r="K6527" s="100"/>
      <c r="M6527" s="100"/>
      <c r="N6527" s="100"/>
      <c r="O6527" s="100"/>
      <c r="P6527" s="100"/>
    </row>
    <row r="6528">
      <c r="A6528" s="114">
        <v>1641707.0</v>
      </c>
      <c r="B6528" s="131" t="s">
        <v>247</v>
      </c>
      <c r="C6528" s="131" t="s">
        <v>1651</v>
      </c>
      <c r="D6528" s="24" t="s">
        <v>177</v>
      </c>
      <c r="E6528" s="24">
        <v>1121.0</v>
      </c>
      <c r="F6528" s="111" t="str">
        <f>DataPull!D6528</f>
        <v/>
      </c>
      <c r="G6528" s="94" t="str">
        <f t="shared" si="2"/>
        <v/>
      </c>
      <c r="H6528" s="94" t="str">
        <f t="shared" si="3"/>
        <v/>
      </c>
      <c r="I6528" s="94" t="str">
        <f t="shared" ref="I6528:J6528" si="6529">if(G6528 = "", , -G6528)</f>
        <v/>
      </c>
      <c r="J6528" s="94" t="str">
        <f t="shared" si="6529"/>
        <v/>
      </c>
      <c r="K6528" s="100"/>
      <c r="M6528" s="100"/>
      <c r="N6528" s="100"/>
      <c r="O6528" s="100"/>
      <c r="P6528" s="100"/>
    </row>
    <row r="6529">
      <c r="A6529" s="107">
        <v>1641708.0</v>
      </c>
      <c r="B6529" s="116" t="s">
        <v>245</v>
      </c>
      <c r="C6529" s="116" t="s">
        <v>1652</v>
      </c>
      <c r="D6529" s="24" t="s">
        <v>176</v>
      </c>
      <c r="E6529" s="24">
        <v>1388.8</v>
      </c>
      <c r="F6529" s="111" t="str">
        <f>DataPull!D6529</f>
        <v/>
      </c>
      <c r="G6529" s="94" t="str">
        <f t="shared" si="2"/>
        <v/>
      </c>
      <c r="H6529" s="94" t="str">
        <f t="shared" si="3"/>
        <v/>
      </c>
      <c r="I6529" s="94" t="str">
        <f t="shared" ref="I6529:J6529" si="6530">if(G6529 = "", , -G6529)</f>
        <v/>
      </c>
      <c r="J6529" s="94" t="str">
        <f t="shared" si="6530"/>
        <v/>
      </c>
      <c r="K6529" s="100"/>
      <c r="M6529" s="100"/>
      <c r="N6529" s="100"/>
      <c r="O6529" s="100"/>
      <c r="P6529" s="100"/>
    </row>
    <row r="6530">
      <c r="A6530" s="107">
        <v>1641708.0</v>
      </c>
      <c r="B6530" s="116" t="s">
        <v>246</v>
      </c>
      <c r="C6530" s="116" t="s">
        <v>1652</v>
      </c>
      <c r="D6530" s="24" t="s">
        <v>184</v>
      </c>
      <c r="E6530" s="24">
        <v>2228.7</v>
      </c>
      <c r="F6530" s="111" t="str">
        <f>DataPull!D6530</f>
        <v/>
      </c>
      <c r="G6530" s="94" t="str">
        <f t="shared" si="2"/>
        <v/>
      </c>
      <c r="H6530" s="94" t="str">
        <f t="shared" si="3"/>
        <v/>
      </c>
      <c r="I6530" s="94" t="str">
        <f t="shared" ref="I6530:J6530" si="6531">if(G6530 = "", , -G6530)</f>
        <v/>
      </c>
      <c r="J6530" s="94" t="str">
        <f t="shared" si="6531"/>
        <v/>
      </c>
      <c r="K6530" s="100"/>
      <c r="M6530" s="100"/>
      <c r="N6530" s="100"/>
      <c r="O6530" s="100"/>
      <c r="P6530" s="100"/>
    </row>
    <row r="6531">
      <c r="A6531" s="114">
        <v>1641708.0</v>
      </c>
      <c r="B6531" s="131" t="s">
        <v>247</v>
      </c>
      <c r="C6531" s="131" t="s">
        <v>1652</v>
      </c>
      <c r="D6531" s="24" t="s">
        <v>184</v>
      </c>
      <c r="E6531" s="24">
        <v>2954.6</v>
      </c>
      <c r="F6531" s="111" t="str">
        <f>DataPull!D6531</f>
        <v/>
      </c>
      <c r="G6531" s="94" t="str">
        <f t="shared" si="2"/>
        <v/>
      </c>
      <c r="H6531" s="94" t="str">
        <f t="shared" si="3"/>
        <v/>
      </c>
      <c r="I6531" s="94" t="str">
        <f t="shared" ref="I6531:J6531" si="6532">if(G6531 = "", , -G6531)</f>
        <v/>
      </c>
      <c r="J6531" s="94" t="str">
        <f t="shared" si="6532"/>
        <v/>
      </c>
      <c r="K6531" s="100"/>
      <c r="M6531" s="100"/>
      <c r="N6531" s="100"/>
      <c r="O6531" s="100"/>
      <c r="P6531" s="100"/>
    </row>
    <row r="6532">
      <c r="A6532" s="107">
        <v>1641709.0</v>
      </c>
      <c r="B6532" s="116" t="s">
        <v>245</v>
      </c>
      <c r="C6532" s="116" t="s">
        <v>1653</v>
      </c>
      <c r="D6532" s="24" t="s">
        <v>176</v>
      </c>
      <c r="E6532" s="24">
        <v>1581.3</v>
      </c>
      <c r="F6532" s="111" t="str">
        <f>DataPull!D6532</f>
        <v/>
      </c>
      <c r="G6532" s="94" t="str">
        <f t="shared" si="2"/>
        <v/>
      </c>
      <c r="H6532" s="94" t="str">
        <f t="shared" si="3"/>
        <v/>
      </c>
      <c r="I6532" s="94" t="str">
        <f t="shared" ref="I6532:J6532" si="6533">if(G6532 = "", , -G6532)</f>
        <v/>
      </c>
      <c r="J6532" s="94" t="str">
        <f t="shared" si="6533"/>
        <v/>
      </c>
      <c r="K6532" s="100"/>
      <c r="M6532" s="100"/>
      <c r="N6532" s="100"/>
      <c r="O6532" s="100"/>
      <c r="P6532" s="100"/>
    </row>
    <row r="6533">
      <c r="A6533" s="107">
        <v>1641709.0</v>
      </c>
      <c r="B6533" s="116" t="s">
        <v>246</v>
      </c>
      <c r="C6533" s="116" t="s">
        <v>1653</v>
      </c>
      <c r="D6533" s="24" t="s">
        <v>176</v>
      </c>
      <c r="E6533" s="24">
        <v>1327.5</v>
      </c>
      <c r="F6533" s="111" t="str">
        <f>DataPull!D6533</f>
        <v/>
      </c>
      <c r="G6533" s="94" t="str">
        <f t="shared" si="2"/>
        <v/>
      </c>
      <c r="H6533" s="94" t="str">
        <f t="shared" si="3"/>
        <v/>
      </c>
      <c r="I6533" s="94" t="str">
        <f t="shared" ref="I6533:J6533" si="6534">if(G6533 = "", , -G6533)</f>
        <v/>
      </c>
      <c r="J6533" s="94" t="str">
        <f t="shared" si="6534"/>
        <v/>
      </c>
      <c r="K6533" s="100"/>
      <c r="M6533" s="100"/>
      <c r="N6533" s="100"/>
      <c r="O6533" s="100"/>
      <c r="P6533" s="100"/>
    </row>
    <row r="6534">
      <c r="A6534" s="114">
        <v>1641709.0</v>
      </c>
      <c r="B6534" s="131" t="s">
        <v>247</v>
      </c>
      <c r="C6534" s="131" t="s">
        <v>1653</v>
      </c>
      <c r="D6534" s="24" t="s">
        <v>184</v>
      </c>
      <c r="E6534" s="24">
        <v>1898.0</v>
      </c>
      <c r="F6534" s="111" t="str">
        <f>DataPull!D6534</f>
        <v/>
      </c>
      <c r="G6534" s="94" t="str">
        <f t="shared" si="2"/>
        <v/>
      </c>
      <c r="H6534" s="94" t="str">
        <f t="shared" si="3"/>
        <v/>
      </c>
      <c r="I6534" s="94" t="str">
        <f t="shared" ref="I6534:J6534" si="6535">if(G6534 = "", , -G6534)</f>
        <v/>
      </c>
      <c r="J6534" s="94" t="str">
        <f t="shared" si="6535"/>
        <v/>
      </c>
      <c r="K6534" s="100"/>
      <c r="M6534" s="100"/>
      <c r="N6534" s="100"/>
      <c r="O6534" s="100"/>
      <c r="P6534" s="100"/>
    </row>
    <row r="6535">
      <c r="A6535" s="107">
        <v>1641710.0</v>
      </c>
      <c r="B6535" s="116" t="s">
        <v>245</v>
      </c>
      <c r="C6535" s="116" t="s">
        <v>1654</v>
      </c>
      <c r="D6535" s="24" t="s">
        <v>177</v>
      </c>
      <c r="E6535" s="24">
        <v>1166.1</v>
      </c>
      <c r="F6535" s="111" t="str">
        <f>DataPull!D6535</f>
        <v/>
      </c>
      <c r="G6535" s="94" t="str">
        <f t="shared" si="2"/>
        <v/>
      </c>
      <c r="H6535" s="94" t="str">
        <f t="shared" si="3"/>
        <v/>
      </c>
      <c r="I6535" s="94" t="str">
        <f t="shared" ref="I6535:J6535" si="6536">if(G6535 = "", , -G6535)</f>
        <v/>
      </c>
      <c r="J6535" s="94" t="str">
        <f t="shared" si="6536"/>
        <v/>
      </c>
      <c r="K6535" s="100"/>
      <c r="M6535" s="100"/>
      <c r="N6535" s="100"/>
      <c r="O6535" s="100"/>
      <c r="P6535" s="100"/>
    </row>
    <row r="6536">
      <c r="A6536" s="107">
        <v>1641710.0</v>
      </c>
      <c r="B6536" s="116" t="s">
        <v>246</v>
      </c>
      <c r="C6536" s="116" t="s">
        <v>1654</v>
      </c>
      <c r="D6536" s="24" t="s">
        <v>176</v>
      </c>
      <c r="E6536" s="24">
        <v>1887.6</v>
      </c>
      <c r="F6536" s="111" t="str">
        <f>DataPull!D6536</f>
        <v/>
      </c>
      <c r="G6536" s="94" t="str">
        <f t="shared" si="2"/>
        <v/>
      </c>
      <c r="H6536" s="94" t="str">
        <f t="shared" si="3"/>
        <v/>
      </c>
      <c r="I6536" s="94" t="str">
        <f t="shared" ref="I6536:J6536" si="6537">if(G6536 = "", , -G6536)</f>
        <v/>
      </c>
      <c r="J6536" s="94" t="str">
        <f t="shared" si="6537"/>
        <v/>
      </c>
      <c r="K6536" s="100"/>
      <c r="M6536" s="100"/>
      <c r="N6536" s="100"/>
      <c r="O6536" s="100"/>
      <c r="P6536" s="100"/>
    </row>
    <row r="6537">
      <c r="A6537" s="114">
        <v>1641710.0</v>
      </c>
      <c r="B6537" s="131" t="s">
        <v>247</v>
      </c>
      <c r="C6537" s="131" t="s">
        <v>1654</v>
      </c>
      <c r="D6537" s="24" t="s">
        <v>178</v>
      </c>
      <c r="E6537" s="24">
        <v>1907.2</v>
      </c>
      <c r="F6537" s="111" t="str">
        <f>DataPull!D6537</f>
        <v/>
      </c>
      <c r="G6537" s="94" t="str">
        <f t="shared" si="2"/>
        <v/>
      </c>
      <c r="H6537" s="94" t="str">
        <f t="shared" si="3"/>
        <v/>
      </c>
      <c r="I6537" s="94" t="str">
        <f t="shared" ref="I6537:J6537" si="6538">if(G6537 = "", , -G6537)</f>
        <v/>
      </c>
      <c r="J6537" s="94" t="str">
        <f t="shared" si="6538"/>
        <v/>
      </c>
      <c r="K6537" s="100"/>
      <c r="M6537" s="100"/>
      <c r="N6537" s="100"/>
      <c r="O6537" s="100"/>
      <c r="P6537" s="100"/>
    </row>
    <row r="6538">
      <c r="A6538" s="107">
        <v>1641711.0</v>
      </c>
      <c r="B6538" s="116" t="s">
        <v>245</v>
      </c>
      <c r="C6538" s="116" t="s">
        <v>1655</v>
      </c>
      <c r="D6538" s="24" t="s">
        <v>176</v>
      </c>
      <c r="E6538" s="24">
        <v>1266.0</v>
      </c>
      <c r="F6538" s="111" t="str">
        <f>DataPull!D6538</f>
        <v/>
      </c>
      <c r="G6538" s="94" t="str">
        <f t="shared" si="2"/>
        <v/>
      </c>
      <c r="H6538" s="94" t="str">
        <f t="shared" si="3"/>
        <v/>
      </c>
      <c r="I6538" s="94" t="str">
        <f t="shared" ref="I6538:J6538" si="6539">if(G6538 = "", , -G6538)</f>
        <v/>
      </c>
      <c r="J6538" s="94" t="str">
        <f t="shared" si="6539"/>
        <v/>
      </c>
      <c r="K6538" s="100"/>
      <c r="M6538" s="100"/>
      <c r="N6538" s="100"/>
      <c r="O6538" s="100"/>
      <c r="P6538" s="100"/>
    </row>
    <row r="6539">
      <c r="A6539" s="107">
        <v>1641711.0</v>
      </c>
      <c r="B6539" s="116" t="s">
        <v>246</v>
      </c>
      <c r="C6539" s="116" t="s">
        <v>1655</v>
      </c>
      <c r="D6539" s="24" t="s">
        <v>178</v>
      </c>
      <c r="E6539" s="24">
        <v>1587.6</v>
      </c>
      <c r="F6539" s="111" t="str">
        <f>DataPull!D6539</f>
        <v/>
      </c>
      <c r="G6539" s="94" t="str">
        <f t="shared" si="2"/>
        <v/>
      </c>
      <c r="H6539" s="94" t="str">
        <f t="shared" si="3"/>
        <v/>
      </c>
      <c r="I6539" s="94" t="str">
        <f t="shared" ref="I6539:J6539" si="6540">if(G6539 = "", , -G6539)</f>
        <v/>
      </c>
      <c r="J6539" s="94" t="str">
        <f t="shared" si="6540"/>
        <v/>
      </c>
      <c r="K6539" s="100"/>
      <c r="M6539" s="100"/>
      <c r="N6539" s="100"/>
      <c r="O6539" s="100"/>
      <c r="P6539" s="100"/>
    </row>
    <row r="6540">
      <c r="A6540" s="114">
        <v>1641711.0</v>
      </c>
      <c r="B6540" s="131" t="s">
        <v>247</v>
      </c>
      <c r="C6540" s="131" t="s">
        <v>1655</v>
      </c>
      <c r="D6540" s="24" t="s">
        <v>177</v>
      </c>
      <c r="E6540" s="24">
        <v>1064.0</v>
      </c>
      <c r="F6540" s="111" t="str">
        <f>DataPull!D6540</f>
        <v/>
      </c>
      <c r="G6540" s="94" t="str">
        <f t="shared" si="2"/>
        <v/>
      </c>
      <c r="H6540" s="94" t="str">
        <f t="shared" si="3"/>
        <v/>
      </c>
      <c r="I6540" s="94" t="str">
        <f t="shared" ref="I6540:J6540" si="6541">if(G6540 = "", , -G6540)</f>
        <v/>
      </c>
      <c r="J6540" s="94" t="str">
        <f t="shared" si="6541"/>
        <v/>
      </c>
      <c r="K6540" s="100"/>
      <c r="M6540" s="100"/>
      <c r="N6540" s="100"/>
      <c r="O6540" s="100"/>
      <c r="P6540" s="100"/>
    </row>
    <row r="6541">
      <c r="A6541" s="107">
        <v>1641712.0</v>
      </c>
      <c r="B6541" s="116" t="s">
        <v>245</v>
      </c>
      <c r="C6541" s="116" t="s">
        <v>1656</v>
      </c>
      <c r="D6541" s="24" t="s">
        <v>177</v>
      </c>
      <c r="E6541" s="24">
        <v>631.8</v>
      </c>
      <c r="F6541" s="111" t="str">
        <f>DataPull!D6541</f>
        <v/>
      </c>
      <c r="G6541" s="94" t="str">
        <f t="shared" si="2"/>
        <v/>
      </c>
      <c r="H6541" s="94" t="str">
        <f t="shared" si="3"/>
        <v/>
      </c>
      <c r="I6541" s="94" t="str">
        <f t="shared" ref="I6541:J6541" si="6542">if(G6541 = "", , -G6541)</f>
        <v/>
      </c>
      <c r="J6541" s="94" t="str">
        <f t="shared" si="6542"/>
        <v/>
      </c>
      <c r="K6541" s="100"/>
      <c r="M6541" s="100"/>
      <c r="N6541" s="100"/>
      <c r="O6541" s="100"/>
      <c r="P6541" s="100"/>
    </row>
    <row r="6542">
      <c r="A6542" s="107">
        <v>1641712.0</v>
      </c>
      <c r="B6542" s="116" t="s">
        <v>246</v>
      </c>
      <c r="C6542" s="116" t="s">
        <v>1656</v>
      </c>
      <c r="D6542" s="24" t="s">
        <v>187</v>
      </c>
      <c r="E6542" s="24">
        <v>457.6</v>
      </c>
      <c r="F6542" s="111" t="str">
        <f>DataPull!D6542</f>
        <v/>
      </c>
      <c r="G6542" s="94" t="str">
        <f t="shared" si="2"/>
        <v/>
      </c>
      <c r="H6542" s="94" t="str">
        <f t="shared" si="3"/>
        <v/>
      </c>
      <c r="I6542" s="94" t="str">
        <f t="shared" ref="I6542:J6542" si="6543">if(G6542 = "", , -G6542)</f>
        <v/>
      </c>
      <c r="J6542" s="94" t="str">
        <f t="shared" si="6543"/>
        <v/>
      </c>
      <c r="K6542" s="100"/>
      <c r="M6542" s="100"/>
      <c r="N6542" s="100"/>
      <c r="O6542" s="100"/>
      <c r="P6542" s="100"/>
    </row>
    <row r="6543">
      <c r="A6543" s="114">
        <v>1641712.0</v>
      </c>
      <c r="B6543" s="131" t="s">
        <v>247</v>
      </c>
      <c r="C6543" s="131" t="s">
        <v>1656</v>
      </c>
      <c r="D6543" s="24" t="s">
        <v>187</v>
      </c>
      <c r="E6543" s="24">
        <v>1075.2</v>
      </c>
      <c r="F6543" s="111" t="str">
        <f>DataPull!D6543</f>
        <v/>
      </c>
      <c r="G6543" s="94" t="str">
        <f t="shared" si="2"/>
        <v/>
      </c>
      <c r="H6543" s="94" t="str">
        <f t="shared" si="3"/>
        <v/>
      </c>
      <c r="I6543" s="94" t="str">
        <f t="shared" ref="I6543:J6543" si="6544">if(G6543 = "", , -G6543)</f>
        <v/>
      </c>
      <c r="J6543" s="94" t="str">
        <f t="shared" si="6544"/>
        <v/>
      </c>
      <c r="K6543" s="100"/>
      <c r="M6543" s="100"/>
      <c r="N6543" s="100"/>
      <c r="O6543" s="100"/>
      <c r="P6543" s="100"/>
    </row>
    <row r="6544">
      <c r="A6544" s="107">
        <v>1641713.0</v>
      </c>
      <c r="B6544" s="116" t="s">
        <v>245</v>
      </c>
      <c r="C6544" s="116" t="s">
        <v>1657</v>
      </c>
      <c r="D6544" s="24" t="s">
        <v>176</v>
      </c>
      <c r="E6544" s="24">
        <v>1233.6</v>
      </c>
      <c r="F6544" s="111" t="str">
        <f>DataPull!D6544</f>
        <v/>
      </c>
      <c r="G6544" s="94" t="str">
        <f t="shared" si="2"/>
        <v/>
      </c>
      <c r="H6544" s="94" t="str">
        <f t="shared" si="3"/>
        <v/>
      </c>
      <c r="I6544" s="94" t="str">
        <f t="shared" ref="I6544:J6544" si="6545">if(G6544 = "", , -G6544)</f>
        <v/>
      </c>
      <c r="J6544" s="94" t="str">
        <f t="shared" si="6545"/>
        <v/>
      </c>
      <c r="K6544" s="100"/>
      <c r="M6544" s="100"/>
      <c r="N6544" s="100"/>
      <c r="O6544" s="100"/>
      <c r="P6544" s="100"/>
    </row>
    <row r="6545">
      <c r="A6545" s="107">
        <v>1641713.0</v>
      </c>
      <c r="B6545" s="116" t="s">
        <v>246</v>
      </c>
      <c r="C6545" s="116" t="s">
        <v>1657</v>
      </c>
      <c r="D6545" s="24" t="s">
        <v>177</v>
      </c>
      <c r="E6545" s="24">
        <v>458.2</v>
      </c>
      <c r="F6545" s="111" t="str">
        <f>DataPull!D6545</f>
        <v/>
      </c>
      <c r="G6545" s="94" t="str">
        <f t="shared" si="2"/>
        <v/>
      </c>
      <c r="H6545" s="94" t="str">
        <f t="shared" si="3"/>
        <v/>
      </c>
      <c r="I6545" s="94" t="str">
        <f t="shared" ref="I6545:J6545" si="6546">if(G6545 = "", , -G6545)</f>
        <v/>
      </c>
      <c r="J6545" s="94" t="str">
        <f t="shared" si="6546"/>
        <v/>
      </c>
      <c r="K6545" s="100"/>
      <c r="M6545" s="100"/>
      <c r="N6545" s="100"/>
      <c r="O6545" s="100"/>
      <c r="P6545" s="100"/>
    </row>
    <row r="6546">
      <c r="A6546" s="114">
        <v>1641713.0</v>
      </c>
      <c r="B6546" s="131" t="s">
        <v>247</v>
      </c>
      <c r="C6546" s="131" t="s">
        <v>1657</v>
      </c>
      <c r="D6546" s="24" t="s">
        <v>176</v>
      </c>
      <c r="E6546" s="24">
        <v>1177.0</v>
      </c>
      <c r="F6546" s="111" t="str">
        <f>DataPull!D6546</f>
        <v/>
      </c>
      <c r="G6546" s="94" t="str">
        <f t="shared" si="2"/>
        <v/>
      </c>
      <c r="H6546" s="94" t="str">
        <f t="shared" si="3"/>
        <v/>
      </c>
      <c r="I6546" s="94" t="str">
        <f t="shared" ref="I6546:J6546" si="6547">if(G6546 = "", , -G6546)</f>
        <v/>
      </c>
      <c r="J6546" s="94" t="str">
        <f t="shared" si="6547"/>
        <v/>
      </c>
      <c r="K6546" s="100"/>
      <c r="M6546" s="100"/>
      <c r="N6546" s="100"/>
      <c r="O6546" s="100"/>
      <c r="P6546" s="100"/>
    </row>
    <row r="6547">
      <c r="A6547" s="107">
        <v>1641715.0</v>
      </c>
      <c r="B6547" s="116" t="s">
        <v>245</v>
      </c>
      <c r="C6547" s="116" t="s">
        <v>1658</v>
      </c>
      <c r="D6547" s="24" t="s">
        <v>177</v>
      </c>
      <c r="E6547" s="24">
        <v>878.9</v>
      </c>
      <c r="F6547" s="111" t="str">
        <f>DataPull!D6547</f>
        <v/>
      </c>
      <c r="G6547" s="94" t="str">
        <f t="shared" si="2"/>
        <v/>
      </c>
      <c r="H6547" s="94" t="str">
        <f t="shared" si="3"/>
        <v/>
      </c>
      <c r="I6547" s="94" t="str">
        <f t="shared" ref="I6547:J6547" si="6548">if(G6547 = "", , -G6547)</f>
        <v/>
      </c>
      <c r="J6547" s="94" t="str">
        <f t="shared" si="6548"/>
        <v/>
      </c>
      <c r="K6547" s="100"/>
      <c r="M6547" s="100"/>
      <c r="N6547" s="100"/>
      <c r="O6547" s="100"/>
      <c r="P6547" s="100"/>
    </row>
    <row r="6548">
      <c r="A6548" s="107">
        <v>1641715.0</v>
      </c>
      <c r="B6548" s="116" t="s">
        <v>246</v>
      </c>
      <c r="C6548" s="116" t="s">
        <v>1658</v>
      </c>
      <c r="D6548" s="24" t="s">
        <v>177</v>
      </c>
      <c r="E6548" s="24">
        <v>826.2</v>
      </c>
      <c r="F6548" s="111" t="str">
        <f>DataPull!D6548</f>
        <v/>
      </c>
      <c r="G6548" s="94" t="str">
        <f t="shared" si="2"/>
        <v/>
      </c>
      <c r="H6548" s="94" t="str">
        <f t="shared" si="3"/>
        <v/>
      </c>
      <c r="I6548" s="94" t="str">
        <f t="shared" ref="I6548:J6548" si="6549">if(G6548 = "", , -G6548)</f>
        <v/>
      </c>
      <c r="J6548" s="94" t="str">
        <f t="shared" si="6549"/>
        <v/>
      </c>
      <c r="K6548" s="100"/>
      <c r="M6548" s="100"/>
      <c r="N6548" s="100"/>
      <c r="O6548" s="100"/>
      <c r="P6548" s="100"/>
    </row>
    <row r="6549">
      <c r="A6549" s="114">
        <v>1641715.0</v>
      </c>
      <c r="B6549" s="131" t="s">
        <v>247</v>
      </c>
      <c r="C6549" s="131" t="s">
        <v>1658</v>
      </c>
      <c r="D6549" s="24" t="s">
        <v>177</v>
      </c>
      <c r="E6549" s="24">
        <v>354.9</v>
      </c>
      <c r="F6549" s="111" t="str">
        <f>DataPull!D6549</f>
        <v/>
      </c>
      <c r="G6549" s="94" t="str">
        <f t="shared" si="2"/>
        <v/>
      </c>
      <c r="H6549" s="94" t="str">
        <f t="shared" si="3"/>
        <v/>
      </c>
      <c r="I6549" s="94" t="str">
        <f t="shared" ref="I6549:J6549" si="6550">if(G6549 = "", , -G6549)</f>
        <v/>
      </c>
      <c r="J6549" s="94" t="str">
        <f t="shared" si="6550"/>
        <v/>
      </c>
      <c r="K6549" s="100"/>
      <c r="M6549" s="100"/>
      <c r="N6549" s="100"/>
      <c r="O6549" s="100"/>
      <c r="P6549" s="100"/>
    </row>
    <row r="6550">
      <c r="A6550" s="107">
        <v>1641716.0</v>
      </c>
      <c r="B6550" s="116" t="s">
        <v>245</v>
      </c>
      <c r="C6550" s="116" t="s">
        <v>1659</v>
      </c>
      <c r="D6550" s="24" t="s">
        <v>177</v>
      </c>
      <c r="E6550" s="24">
        <v>339.9</v>
      </c>
      <c r="F6550" s="111" t="str">
        <f>DataPull!D6550</f>
        <v/>
      </c>
      <c r="G6550" s="94" t="str">
        <f t="shared" si="2"/>
        <v/>
      </c>
      <c r="H6550" s="94" t="str">
        <f t="shared" si="3"/>
        <v/>
      </c>
      <c r="I6550" s="94" t="str">
        <f t="shared" ref="I6550:J6550" si="6551">if(G6550 = "", , -G6550)</f>
        <v/>
      </c>
      <c r="J6550" s="94" t="str">
        <f t="shared" si="6551"/>
        <v/>
      </c>
      <c r="K6550" s="100"/>
      <c r="M6550" s="100"/>
      <c r="N6550" s="100"/>
      <c r="O6550" s="100"/>
      <c r="P6550" s="100"/>
    </row>
    <row r="6551">
      <c r="A6551" s="107">
        <v>1641716.0</v>
      </c>
      <c r="B6551" s="116" t="s">
        <v>246</v>
      </c>
      <c r="C6551" s="116" t="s">
        <v>1659</v>
      </c>
      <c r="D6551" s="24" t="s">
        <v>177</v>
      </c>
      <c r="E6551" s="24">
        <v>1185.0</v>
      </c>
      <c r="F6551" s="111" t="str">
        <f>DataPull!D6551</f>
        <v/>
      </c>
      <c r="G6551" s="94" t="str">
        <f t="shared" si="2"/>
        <v/>
      </c>
      <c r="H6551" s="94" t="str">
        <f t="shared" si="3"/>
        <v/>
      </c>
      <c r="I6551" s="94" t="str">
        <f t="shared" ref="I6551:J6551" si="6552">if(G6551 = "", , -G6551)</f>
        <v/>
      </c>
      <c r="J6551" s="94" t="str">
        <f t="shared" si="6552"/>
        <v/>
      </c>
      <c r="K6551" s="100"/>
      <c r="M6551" s="100"/>
      <c r="N6551" s="100"/>
      <c r="O6551" s="100"/>
      <c r="P6551" s="100"/>
    </row>
    <row r="6552">
      <c r="A6552" s="114">
        <v>1641716.0</v>
      </c>
      <c r="B6552" s="131" t="s">
        <v>247</v>
      </c>
      <c r="C6552" s="131" t="s">
        <v>1659</v>
      </c>
      <c r="D6552" s="24" t="s">
        <v>178</v>
      </c>
      <c r="E6552" s="24">
        <v>1953.2</v>
      </c>
      <c r="F6552" s="111" t="str">
        <f>DataPull!D6552</f>
        <v/>
      </c>
      <c r="G6552" s="94" t="str">
        <f t="shared" si="2"/>
        <v/>
      </c>
      <c r="H6552" s="94" t="str">
        <f t="shared" si="3"/>
        <v/>
      </c>
      <c r="I6552" s="94" t="str">
        <f t="shared" ref="I6552:J6552" si="6553">if(G6552 = "", , -G6552)</f>
        <v/>
      </c>
      <c r="J6552" s="94" t="str">
        <f t="shared" si="6553"/>
        <v/>
      </c>
      <c r="K6552" s="100"/>
      <c r="M6552" s="100"/>
      <c r="N6552" s="100"/>
      <c r="O6552" s="100"/>
      <c r="P6552" s="100"/>
    </row>
    <row r="6553">
      <c r="A6553" s="107">
        <v>1641717.0</v>
      </c>
      <c r="B6553" s="116" t="s">
        <v>245</v>
      </c>
      <c r="C6553" s="116" t="s">
        <v>1660</v>
      </c>
      <c r="D6553" s="24" t="s">
        <v>176</v>
      </c>
      <c r="E6553" s="24">
        <v>1689.2</v>
      </c>
      <c r="F6553" s="111" t="str">
        <f>DataPull!D6553</f>
        <v/>
      </c>
      <c r="G6553" s="94" t="str">
        <f t="shared" si="2"/>
        <v/>
      </c>
      <c r="H6553" s="94" t="str">
        <f t="shared" si="3"/>
        <v/>
      </c>
      <c r="I6553" s="94" t="str">
        <f t="shared" ref="I6553:J6553" si="6554">if(G6553 = "", , -G6553)</f>
        <v/>
      </c>
      <c r="J6553" s="94" t="str">
        <f t="shared" si="6554"/>
        <v/>
      </c>
      <c r="K6553" s="100"/>
      <c r="M6553" s="100"/>
      <c r="N6553" s="100"/>
      <c r="O6553" s="100"/>
      <c r="P6553" s="100"/>
    </row>
    <row r="6554">
      <c r="A6554" s="107">
        <v>1641717.0</v>
      </c>
      <c r="B6554" s="116" t="s">
        <v>246</v>
      </c>
      <c r="C6554" s="116" t="s">
        <v>1660</v>
      </c>
      <c r="D6554" s="24" t="s">
        <v>178</v>
      </c>
      <c r="E6554" s="24">
        <v>1876.8</v>
      </c>
      <c r="F6554" s="111" t="str">
        <f>DataPull!D6554</f>
        <v/>
      </c>
      <c r="G6554" s="94" t="str">
        <f t="shared" si="2"/>
        <v/>
      </c>
      <c r="H6554" s="94" t="str">
        <f t="shared" si="3"/>
        <v/>
      </c>
      <c r="I6554" s="94" t="str">
        <f t="shared" ref="I6554:J6554" si="6555">if(G6554 = "", , -G6554)</f>
        <v/>
      </c>
      <c r="J6554" s="94" t="str">
        <f t="shared" si="6555"/>
        <v/>
      </c>
      <c r="K6554" s="100"/>
      <c r="M6554" s="100"/>
      <c r="N6554" s="100"/>
      <c r="O6554" s="100"/>
      <c r="P6554" s="100"/>
    </row>
    <row r="6555">
      <c r="A6555" s="114">
        <v>1641717.0</v>
      </c>
      <c r="B6555" s="131" t="s">
        <v>247</v>
      </c>
      <c r="C6555" s="131" t="s">
        <v>1660</v>
      </c>
      <c r="D6555" s="24" t="s">
        <v>184</v>
      </c>
      <c r="E6555" s="24">
        <v>2048.2</v>
      </c>
      <c r="F6555" s="111" t="str">
        <f>DataPull!D6555</f>
        <v/>
      </c>
      <c r="G6555" s="94" t="str">
        <f t="shared" si="2"/>
        <v/>
      </c>
      <c r="H6555" s="94" t="str">
        <f t="shared" si="3"/>
        <v/>
      </c>
      <c r="I6555" s="94" t="str">
        <f t="shared" ref="I6555:J6555" si="6556">if(G6555 = "", , -G6555)</f>
        <v/>
      </c>
      <c r="J6555" s="94" t="str">
        <f t="shared" si="6556"/>
        <v/>
      </c>
      <c r="K6555" s="100"/>
      <c r="M6555" s="100"/>
      <c r="N6555" s="100"/>
      <c r="O6555" s="100"/>
      <c r="P6555" s="100"/>
    </row>
    <row r="6556">
      <c r="A6556" s="107">
        <v>1641718.0</v>
      </c>
      <c r="B6556" s="116" t="s">
        <v>245</v>
      </c>
      <c r="C6556" s="116" t="s">
        <v>1661</v>
      </c>
      <c r="D6556" s="24" t="s">
        <v>178</v>
      </c>
      <c r="E6556" s="24">
        <v>2025.0</v>
      </c>
      <c r="F6556" s="111" t="str">
        <f>DataPull!D6556</f>
        <v/>
      </c>
      <c r="G6556" s="94" t="str">
        <f t="shared" si="2"/>
        <v/>
      </c>
      <c r="H6556" s="94" t="str">
        <f t="shared" si="3"/>
        <v/>
      </c>
      <c r="I6556" s="94" t="str">
        <f t="shared" ref="I6556:J6556" si="6557">if(G6556 = "", , -G6556)</f>
        <v/>
      </c>
      <c r="J6556" s="94" t="str">
        <f t="shared" si="6557"/>
        <v/>
      </c>
      <c r="K6556" s="100"/>
      <c r="M6556" s="100"/>
      <c r="N6556" s="100"/>
      <c r="O6556" s="100"/>
      <c r="P6556" s="100"/>
    </row>
    <row r="6557">
      <c r="A6557" s="107">
        <v>1641718.0</v>
      </c>
      <c r="B6557" s="116" t="s">
        <v>246</v>
      </c>
      <c r="C6557" s="116" t="s">
        <v>1661</v>
      </c>
      <c r="D6557" s="24" t="s">
        <v>178</v>
      </c>
      <c r="E6557" s="24">
        <v>2110.5</v>
      </c>
      <c r="F6557" s="111" t="str">
        <f>DataPull!D6557</f>
        <v/>
      </c>
      <c r="G6557" s="94" t="str">
        <f t="shared" si="2"/>
        <v/>
      </c>
      <c r="H6557" s="94" t="str">
        <f t="shared" si="3"/>
        <v/>
      </c>
      <c r="I6557" s="94" t="str">
        <f t="shared" ref="I6557:J6557" si="6558">if(G6557 = "", , -G6557)</f>
        <v/>
      </c>
      <c r="J6557" s="94" t="str">
        <f t="shared" si="6558"/>
        <v/>
      </c>
      <c r="K6557" s="100"/>
      <c r="M6557" s="100"/>
      <c r="N6557" s="100"/>
      <c r="O6557" s="100"/>
      <c r="P6557" s="100"/>
    </row>
    <row r="6558">
      <c r="A6558" s="114">
        <v>1641718.0</v>
      </c>
      <c r="B6558" s="131" t="s">
        <v>247</v>
      </c>
      <c r="C6558" s="131" t="s">
        <v>1661</v>
      </c>
      <c r="D6558" s="24" t="s">
        <v>178</v>
      </c>
      <c r="E6558" s="24">
        <v>1787.4</v>
      </c>
      <c r="F6558" s="111" t="str">
        <f>DataPull!D6558</f>
        <v/>
      </c>
      <c r="G6558" s="94" t="str">
        <f t="shared" si="2"/>
        <v/>
      </c>
      <c r="H6558" s="94" t="str">
        <f t="shared" si="3"/>
        <v/>
      </c>
      <c r="I6558" s="94" t="str">
        <f t="shared" ref="I6558:J6558" si="6559">if(G6558 = "", , -G6558)</f>
        <v/>
      </c>
      <c r="J6558" s="94" t="str">
        <f t="shared" si="6559"/>
        <v/>
      </c>
      <c r="K6558" s="100"/>
      <c r="M6558" s="100"/>
      <c r="N6558" s="100"/>
      <c r="O6558" s="100"/>
      <c r="P6558" s="100"/>
    </row>
    <row r="6559">
      <c r="A6559" s="107">
        <v>1641720.0</v>
      </c>
      <c r="B6559" s="116" t="s">
        <v>245</v>
      </c>
      <c r="C6559" s="116" t="s">
        <v>1662</v>
      </c>
      <c r="D6559" s="24" t="s">
        <v>187</v>
      </c>
      <c r="E6559" s="24">
        <v>109.2</v>
      </c>
      <c r="F6559" s="111" t="str">
        <f>DataPull!D6559</f>
        <v/>
      </c>
      <c r="G6559" s="94" t="str">
        <f t="shared" si="2"/>
        <v/>
      </c>
      <c r="H6559" s="94" t="str">
        <f t="shared" si="3"/>
        <v/>
      </c>
      <c r="I6559" s="94" t="str">
        <f t="shared" ref="I6559:J6559" si="6560">if(G6559 = "", , -G6559)</f>
        <v/>
      </c>
      <c r="J6559" s="94" t="str">
        <f t="shared" si="6560"/>
        <v/>
      </c>
      <c r="K6559" s="100"/>
      <c r="M6559" s="100"/>
      <c r="N6559" s="100"/>
      <c r="O6559" s="100"/>
      <c r="P6559" s="100"/>
    </row>
    <row r="6560">
      <c r="A6560" s="107">
        <v>1641720.0</v>
      </c>
      <c r="B6560" s="116" t="s">
        <v>246</v>
      </c>
      <c r="C6560" s="116" t="s">
        <v>1662</v>
      </c>
      <c r="D6560" s="24" t="s">
        <v>176</v>
      </c>
      <c r="E6560" s="24">
        <v>315.0</v>
      </c>
      <c r="F6560" s="111" t="str">
        <f>DataPull!D6560</f>
        <v/>
      </c>
      <c r="G6560" s="94" t="str">
        <f t="shared" si="2"/>
        <v/>
      </c>
      <c r="H6560" s="94" t="str">
        <f t="shared" si="3"/>
        <v/>
      </c>
      <c r="I6560" s="94" t="str">
        <f t="shared" ref="I6560:J6560" si="6561">if(G6560 = "", , -G6560)</f>
        <v/>
      </c>
      <c r="J6560" s="94" t="str">
        <f t="shared" si="6561"/>
        <v/>
      </c>
      <c r="K6560" s="100"/>
      <c r="M6560" s="100"/>
      <c r="N6560" s="100"/>
      <c r="O6560" s="100"/>
      <c r="P6560" s="100"/>
    </row>
    <row r="6561">
      <c r="A6561" s="107">
        <v>1641721.0</v>
      </c>
      <c r="B6561" s="116" t="s">
        <v>245</v>
      </c>
      <c r="C6561" s="116" t="s">
        <v>1663</v>
      </c>
      <c r="D6561" s="24" t="s">
        <v>187</v>
      </c>
      <c r="E6561" s="24">
        <v>102.0</v>
      </c>
      <c r="F6561" s="111" t="str">
        <f>DataPull!D6561</f>
        <v/>
      </c>
      <c r="G6561" s="94" t="str">
        <f t="shared" si="2"/>
        <v/>
      </c>
      <c r="H6561" s="94" t="str">
        <f t="shared" si="3"/>
        <v/>
      </c>
      <c r="I6561" s="94" t="str">
        <f t="shared" ref="I6561:J6561" si="6562">if(G6561 = "", , -G6561)</f>
        <v/>
      </c>
      <c r="J6561" s="94" t="str">
        <f t="shared" si="6562"/>
        <v/>
      </c>
      <c r="K6561" s="100"/>
      <c r="M6561" s="100"/>
      <c r="N6561" s="100"/>
      <c r="O6561" s="100"/>
      <c r="P6561" s="100"/>
    </row>
    <row r="6562">
      <c r="A6562" s="107">
        <v>1641721.0</v>
      </c>
      <c r="B6562" s="116" t="s">
        <v>246</v>
      </c>
      <c r="C6562" s="116" t="s">
        <v>1663</v>
      </c>
      <c r="D6562" s="24" t="s">
        <v>187</v>
      </c>
      <c r="E6562" s="24">
        <v>327.6</v>
      </c>
      <c r="F6562" s="111" t="str">
        <f>DataPull!D6562</f>
        <v/>
      </c>
      <c r="G6562" s="94" t="str">
        <f t="shared" si="2"/>
        <v/>
      </c>
      <c r="H6562" s="94" t="str">
        <f t="shared" si="3"/>
        <v/>
      </c>
      <c r="I6562" s="94" t="str">
        <f t="shared" ref="I6562:J6562" si="6563">if(G6562 = "", , -G6562)</f>
        <v/>
      </c>
      <c r="J6562" s="94" t="str">
        <f t="shared" si="6563"/>
        <v/>
      </c>
      <c r="K6562" s="100"/>
      <c r="M6562" s="100"/>
      <c r="N6562" s="100"/>
      <c r="O6562" s="100"/>
      <c r="P6562" s="100"/>
    </row>
    <row r="6563">
      <c r="A6563" s="107">
        <v>1641722.0</v>
      </c>
      <c r="B6563" s="116" t="s">
        <v>245</v>
      </c>
      <c r="C6563" s="116" t="s">
        <v>1664</v>
      </c>
      <c r="D6563" s="24" t="s">
        <v>177</v>
      </c>
      <c r="E6563" s="24">
        <v>1159.1</v>
      </c>
      <c r="F6563" s="111" t="str">
        <f>DataPull!D6563</f>
        <v/>
      </c>
      <c r="G6563" s="94" t="str">
        <f t="shared" si="2"/>
        <v/>
      </c>
      <c r="H6563" s="94" t="str">
        <f t="shared" si="3"/>
        <v/>
      </c>
      <c r="I6563" s="94" t="str">
        <f t="shared" ref="I6563:J6563" si="6564">if(G6563 = "", , -G6563)</f>
        <v/>
      </c>
      <c r="J6563" s="94" t="str">
        <f t="shared" si="6564"/>
        <v/>
      </c>
      <c r="K6563" s="100"/>
      <c r="M6563" s="100"/>
      <c r="N6563" s="100"/>
      <c r="O6563" s="100"/>
      <c r="P6563" s="100"/>
    </row>
    <row r="6564">
      <c r="A6564" s="107">
        <v>1641722.0</v>
      </c>
      <c r="B6564" s="116" t="s">
        <v>246</v>
      </c>
      <c r="C6564" s="116" t="s">
        <v>1664</v>
      </c>
      <c r="D6564" s="24" t="s">
        <v>176</v>
      </c>
      <c r="E6564" s="24">
        <v>1321.6</v>
      </c>
      <c r="F6564" s="111" t="str">
        <f>DataPull!D6564</f>
        <v/>
      </c>
      <c r="G6564" s="94" t="str">
        <f t="shared" si="2"/>
        <v/>
      </c>
      <c r="H6564" s="94" t="str">
        <f t="shared" si="3"/>
        <v/>
      </c>
      <c r="I6564" s="94" t="str">
        <f t="shared" ref="I6564:J6564" si="6565">if(G6564 = "", , -G6564)</f>
        <v/>
      </c>
      <c r="J6564" s="94" t="str">
        <f t="shared" si="6565"/>
        <v/>
      </c>
      <c r="K6564" s="100"/>
      <c r="M6564" s="100"/>
      <c r="N6564" s="100"/>
      <c r="O6564" s="100"/>
      <c r="P6564" s="100"/>
    </row>
    <row r="6565">
      <c r="A6565" s="114">
        <v>1641722.0</v>
      </c>
      <c r="B6565" s="131" t="s">
        <v>247</v>
      </c>
      <c r="C6565" s="131" t="s">
        <v>1664</v>
      </c>
      <c r="D6565" s="24" t="s">
        <v>177</v>
      </c>
      <c r="E6565" s="24">
        <v>693.6</v>
      </c>
      <c r="F6565" s="111" t="str">
        <f>DataPull!D6565</f>
        <v/>
      </c>
      <c r="G6565" s="94" t="str">
        <f t="shared" si="2"/>
        <v/>
      </c>
      <c r="H6565" s="94" t="str">
        <f t="shared" si="3"/>
        <v/>
      </c>
      <c r="I6565" s="94" t="str">
        <f t="shared" ref="I6565:J6565" si="6566">if(G6565 = "", , -G6565)</f>
        <v/>
      </c>
      <c r="J6565" s="94" t="str">
        <f t="shared" si="6566"/>
        <v/>
      </c>
      <c r="K6565" s="100"/>
      <c r="M6565" s="100"/>
      <c r="N6565" s="100"/>
      <c r="O6565" s="100"/>
      <c r="P6565" s="100"/>
    </row>
    <row r="6566">
      <c r="A6566" s="107">
        <v>1641723.0</v>
      </c>
      <c r="B6566" s="116" t="s">
        <v>245</v>
      </c>
      <c r="C6566" s="116" t="s">
        <v>1665</v>
      </c>
      <c r="D6566" s="24" t="s">
        <v>187</v>
      </c>
      <c r="E6566" s="24">
        <v>195.5</v>
      </c>
      <c r="F6566" s="111" t="str">
        <f>DataPull!D6566</f>
        <v/>
      </c>
      <c r="G6566" s="94" t="str">
        <f t="shared" si="2"/>
        <v/>
      </c>
      <c r="H6566" s="94" t="str">
        <f t="shared" si="3"/>
        <v/>
      </c>
      <c r="I6566" s="94" t="str">
        <f t="shared" ref="I6566:J6566" si="6567">if(G6566 = "", , -G6566)</f>
        <v/>
      </c>
      <c r="J6566" s="94" t="str">
        <f t="shared" si="6567"/>
        <v/>
      </c>
      <c r="K6566" s="100"/>
      <c r="M6566" s="100"/>
      <c r="N6566" s="100"/>
      <c r="O6566" s="100"/>
      <c r="P6566" s="100"/>
    </row>
    <row r="6567">
      <c r="A6567" s="107">
        <v>1641723.0</v>
      </c>
      <c r="B6567" s="116" t="s">
        <v>246</v>
      </c>
      <c r="C6567" s="116" t="s">
        <v>1665</v>
      </c>
      <c r="D6567" s="24" t="s">
        <v>187</v>
      </c>
      <c r="E6567" s="24">
        <v>124.0</v>
      </c>
      <c r="F6567" s="111" t="str">
        <f>DataPull!D6567</f>
        <v/>
      </c>
      <c r="G6567" s="94" t="str">
        <f t="shared" si="2"/>
        <v/>
      </c>
      <c r="H6567" s="94" t="str">
        <f t="shared" si="3"/>
        <v/>
      </c>
      <c r="I6567" s="94" t="str">
        <f t="shared" ref="I6567:J6567" si="6568">if(G6567 = "", , -G6567)</f>
        <v/>
      </c>
      <c r="J6567" s="94" t="str">
        <f t="shared" si="6568"/>
        <v/>
      </c>
      <c r="K6567" s="100"/>
      <c r="M6567" s="100"/>
      <c r="N6567" s="100"/>
      <c r="O6567" s="100"/>
      <c r="P6567" s="100"/>
    </row>
    <row r="6568">
      <c r="A6568" s="126">
        <v>1641723.0</v>
      </c>
      <c r="B6568" s="141" t="s">
        <v>247</v>
      </c>
      <c r="C6568" s="141" t="s">
        <v>1665</v>
      </c>
      <c r="D6568" s="24" t="s">
        <v>187</v>
      </c>
      <c r="E6568" s="24">
        <v>120.0</v>
      </c>
      <c r="F6568" s="111" t="str">
        <f>DataPull!D6568</f>
        <v/>
      </c>
      <c r="G6568" s="94" t="str">
        <f t="shared" si="2"/>
        <v/>
      </c>
      <c r="H6568" s="94" t="str">
        <f t="shared" si="3"/>
        <v/>
      </c>
      <c r="I6568" s="94" t="str">
        <f t="shared" ref="I6568:J6568" si="6569">if(G6568 = "", , -G6568)</f>
        <v/>
      </c>
      <c r="J6568" s="94" t="str">
        <f t="shared" si="6569"/>
        <v/>
      </c>
      <c r="K6568" s="100"/>
      <c r="M6568" s="100"/>
      <c r="N6568" s="100"/>
      <c r="O6568" s="100"/>
      <c r="P6568" s="100"/>
    </row>
    <row r="6569">
      <c r="A6569" s="107">
        <v>1641724.0</v>
      </c>
      <c r="B6569" s="116" t="s">
        <v>245</v>
      </c>
      <c r="C6569" s="116" t="s">
        <v>1666</v>
      </c>
      <c r="D6569" s="24" t="s">
        <v>187</v>
      </c>
      <c r="E6569" s="24">
        <v>66.6</v>
      </c>
      <c r="F6569" s="111" t="str">
        <f>DataPull!D6569</f>
        <v/>
      </c>
      <c r="G6569" s="94" t="str">
        <f t="shared" si="2"/>
        <v/>
      </c>
      <c r="H6569" s="94" t="str">
        <f t="shared" si="3"/>
        <v/>
      </c>
      <c r="I6569" s="94" t="str">
        <f t="shared" ref="I6569:J6569" si="6570">if(G6569 = "", , -G6569)</f>
        <v/>
      </c>
      <c r="J6569" s="94" t="str">
        <f t="shared" si="6570"/>
        <v/>
      </c>
      <c r="K6569" s="100"/>
      <c r="M6569" s="100"/>
      <c r="N6569" s="100"/>
      <c r="O6569" s="100"/>
      <c r="P6569" s="100"/>
    </row>
    <row r="6570">
      <c r="A6570" s="107">
        <v>1641724.0</v>
      </c>
      <c r="B6570" s="116" t="s">
        <v>246</v>
      </c>
      <c r="C6570" s="116" t="s">
        <v>1666</v>
      </c>
      <c r="D6570" s="24" t="s">
        <v>177</v>
      </c>
      <c r="E6570" s="24">
        <v>702.0</v>
      </c>
      <c r="F6570" s="111" t="str">
        <f>DataPull!D6570</f>
        <v/>
      </c>
      <c r="G6570" s="94" t="str">
        <f t="shared" si="2"/>
        <v/>
      </c>
      <c r="H6570" s="94" t="str">
        <f t="shared" si="3"/>
        <v/>
      </c>
      <c r="I6570" s="94" t="str">
        <f t="shared" ref="I6570:J6570" si="6571">if(G6570 = "", , -G6570)</f>
        <v/>
      </c>
      <c r="J6570" s="94" t="str">
        <f t="shared" si="6571"/>
        <v/>
      </c>
      <c r="K6570" s="100"/>
      <c r="M6570" s="100"/>
      <c r="N6570" s="100"/>
      <c r="O6570" s="100"/>
      <c r="P6570" s="100"/>
    </row>
    <row r="6571">
      <c r="A6571" s="114">
        <v>1641724.0</v>
      </c>
      <c r="B6571" s="131" t="s">
        <v>247</v>
      </c>
      <c r="C6571" s="131" t="s">
        <v>1666</v>
      </c>
      <c r="D6571" s="24" t="s">
        <v>177</v>
      </c>
      <c r="E6571" s="24">
        <v>693.0</v>
      </c>
      <c r="F6571" s="111" t="str">
        <f>DataPull!D6571</f>
        <v/>
      </c>
      <c r="G6571" s="94" t="str">
        <f t="shared" si="2"/>
        <v/>
      </c>
      <c r="H6571" s="94" t="str">
        <f t="shared" si="3"/>
        <v/>
      </c>
      <c r="I6571" s="94" t="str">
        <f t="shared" ref="I6571:J6571" si="6572">if(G6571 = "", , -G6571)</f>
        <v/>
      </c>
      <c r="J6571" s="94" t="str">
        <f t="shared" si="6572"/>
        <v/>
      </c>
      <c r="K6571" s="100"/>
      <c r="M6571" s="100"/>
      <c r="N6571" s="100"/>
      <c r="O6571" s="100"/>
      <c r="P6571" s="100"/>
    </row>
    <row r="6572">
      <c r="A6572" s="107">
        <v>1641725.0</v>
      </c>
      <c r="B6572" s="116" t="s">
        <v>246</v>
      </c>
      <c r="C6572" s="116" t="s">
        <v>1667</v>
      </c>
      <c r="D6572" s="24" t="s">
        <v>187</v>
      </c>
      <c r="E6572" s="24">
        <v>117.6</v>
      </c>
      <c r="F6572" s="111" t="str">
        <f>DataPull!D6572</f>
        <v/>
      </c>
      <c r="G6572" s="94" t="str">
        <f t="shared" si="2"/>
        <v/>
      </c>
      <c r="H6572" s="94" t="str">
        <f t="shared" si="3"/>
        <v/>
      </c>
      <c r="I6572" s="94" t="str">
        <f t="shared" ref="I6572:J6572" si="6573">if(G6572 = "", , -G6572)</f>
        <v/>
      </c>
      <c r="J6572" s="94" t="str">
        <f t="shared" si="6573"/>
        <v/>
      </c>
      <c r="K6572" s="100"/>
      <c r="M6572" s="100"/>
      <c r="N6572" s="100"/>
      <c r="O6572" s="100"/>
      <c r="P6572" s="100"/>
    </row>
    <row r="6573">
      <c r="A6573" s="89">
        <v>1641725.0</v>
      </c>
      <c r="B6573" s="131" t="s">
        <v>247</v>
      </c>
      <c r="C6573" s="131" t="s">
        <v>1667</v>
      </c>
      <c r="D6573" s="24" t="s">
        <v>181</v>
      </c>
      <c r="E6573" s="24">
        <v>110.7</v>
      </c>
      <c r="F6573" s="111" t="str">
        <f>DataPull!D6573</f>
        <v/>
      </c>
      <c r="G6573" s="94" t="str">
        <f t="shared" si="2"/>
        <v/>
      </c>
      <c r="H6573" s="94" t="str">
        <f t="shared" si="3"/>
        <v/>
      </c>
      <c r="I6573" s="94" t="str">
        <f t="shared" ref="I6573:J6573" si="6574">if(G6573 = "", , -G6573)</f>
        <v/>
      </c>
      <c r="J6573" s="94" t="str">
        <f t="shared" si="6574"/>
        <v/>
      </c>
      <c r="K6573" s="100"/>
      <c r="M6573" s="100"/>
      <c r="N6573" s="100"/>
      <c r="O6573" s="100"/>
      <c r="P6573" s="100"/>
    </row>
    <row r="6574">
      <c r="A6574" s="107">
        <v>1641726.0</v>
      </c>
      <c r="B6574" s="116" t="s">
        <v>245</v>
      </c>
      <c r="C6574" s="116" t="s">
        <v>1668</v>
      </c>
      <c r="D6574" s="24" t="s">
        <v>176</v>
      </c>
      <c r="E6574" s="24">
        <v>1292.5</v>
      </c>
      <c r="F6574" s="111" t="str">
        <f>DataPull!D6574</f>
        <v/>
      </c>
      <c r="G6574" s="94" t="str">
        <f t="shared" si="2"/>
        <v/>
      </c>
      <c r="H6574" s="94" t="str">
        <f t="shared" si="3"/>
        <v/>
      </c>
      <c r="I6574" s="94" t="str">
        <f t="shared" ref="I6574:J6574" si="6575">if(G6574 = "", , -G6574)</f>
        <v/>
      </c>
      <c r="J6574" s="94" t="str">
        <f t="shared" si="6575"/>
        <v/>
      </c>
      <c r="K6574" s="100"/>
      <c r="M6574" s="100"/>
      <c r="N6574" s="100"/>
      <c r="O6574" s="100"/>
      <c r="P6574" s="100"/>
    </row>
    <row r="6575">
      <c r="A6575" s="107">
        <v>1641726.0</v>
      </c>
      <c r="B6575" s="116" t="s">
        <v>246</v>
      </c>
      <c r="C6575" s="116" t="s">
        <v>1668</v>
      </c>
      <c r="D6575" s="24" t="s">
        <v>176</v>
      </c>
      <c r="E6575" s="24">
        <v>831.6</v>
      </c>
      <c r="F6575" s="111" t="str">
        <f>DataPull!D6575</f>
        <v/>
      </c>
      <c r="G6575" s="94" t="str">
        <f t="shared" si="2"/>
        <v/>
      </c>
      <c r="H6575" s="94" t="str">
        <f t="shared" si="3"/>
        <v/>
      </c>
      <c r="I6575" s="94" t="str">
        <f t="shared" ref="I6575:J6575" si="6576">if(G6575 = "", , -G6575)</f>
        <v/>
      </c>
      <c r="J6575" s="94" t="str">
        <f t="shared" si="6576"/>
        <v/>
      </c>
      <c r="K6575" s="100"/>
      <c r="M6575" s="100"/>
      <c r="N6575" s="100"/>
      <c r="O6575" s="100"/>
      <c r="P6575" s="100"/>
    </row>
    <row r="6576">
      <c r="A6576" s="114">
        <v>1641726.0</v>
      </c>
      <c r="B6576" s="131" t="s">
        <v>247</v>
      </c>
      <c r="C6576" s="131" t="s">
        <v>1668</v>
      </c>
      <c r="D6576" s="24" t="s">
        <v>177</v>
      </c>
      <c r="E6576" s="24">
        <v>115.5</v>
      </c>
      <c r="F6576" s="111" t="str">
        <f>DataPull!D6576</f>
        <v/>
      </c>
      <c r="G6576" s="94" t="str">
        <f t="shared" si="2"/>
        <v/>
      </c>
      <c r="H6576" s="94" t="str">
        <f t="shared" si="3"/>
        <v/>
      </c>
      <c r="I6576" s="94" t="str">
        <f t="shared" ref="I6576:J6576" si="6577">if(G6576 = "", , -G6576)</f>
        <v/>
      </c>
      <c r="J6576" s="94" t="str">
        <f t="shared" si="6577"/>
        <v/>
      </c>
      <c r="K6576" s="100"/>
      <c r="M6576" s="100"/>
      <c r="N6576" s="100"/>
      <c r="O6576" s="100"/>
      <c r="P6576" s="100"/>
    </row>
    <row r="6577">
      <c r="A6577" s="107">
        <v>1641727.0</v>
      </c>
      <c r="B6577" s="116" t="s">
        <v>245</v>
      </c>
      <c r="C6577" s="116" t="s">
        <v>1669</v>
      </c>
      <c r="D6577" s="24" t="s">
        <v>181</v>
      </c>
      <c r="E6577" s="24">
        <v>24.0</v>
      </c>
      <c r="F6577" s="111" t="str">
        <f>DataPull!D6577</f>
        <v/>
      </c>
      <c r="G6577" s="94" t="str">
        <f t="shared" si="2"/>
        <v/>
      </c>
      <c r="H6577" s="94" t="str">
        <f t="shared" si="3"/>
        <v/>
      </c>
      <c r="I6577" s="94" t="str">
        <f t="shared" ref="I6577:J6577" si="6578">if(G6577 = "", , -G6577)</f>
        <v/>
      </c>
      <c r="J6577" s="94" t="str">
        <f t="shared" si="6578"/>
        <v/>
      </c>
      <c r="K6577" s="100"/>
      <c r="M6577" s="100"/>
      <c r="N6577" s="100"/>
      <c r="O6577" s="100"/>
      <c r="P6577" s="100"/>
    </row>
    <row r="6578">
      <c r="A6578" s="107">
        <v>1641727.0</v>
      </c>
      <c r="B6578" s="116" t="s">
        <v>246</v>
      </c>
      <c r="C6578" s="116" t="s">
        <v>1669</v>
      </c>
      <c r="D6578" s="24" t="s">
        <v>187</v>
      </c>
      <c r="E6578" s="24">
        <v>246.0</v>
      </c>
      <c r="F6578" s="111" t="str">
        <f>DataPull!D6578</f>
        <v/>
      </c>
      <c r="G6578" s="94" t="str">
        <f t="shared" si="2"/>
        <v/>
      </c>
      <c r="H6578" s="94" t="str">
        <f t="shared" si="3"/>
        <v/>
      </c>
      <c r="I6578" s="94" t="str">
        <f t="shared" ref="I6578:J6578" si="6579">if(G6578 = "", , -G6578)</f>
        <v/>
      </c>
      <c r="J6578" s="94" t="str">
        <f t="shared" si="6579"/>
        <v/>
      </c>
      <c r="K6578" s="100"/>
      <c r="M6578" s="100"/>
      <c r="N6578" s="100"/>
      <c r="O6578" s="100"/>
      <c r="P6578" s="100"/>
    </row>
    <row r="6579">
      <c r="A6579" s="107">
        <v>1641729.0</v>
      </c>
      <c r="B6579" s="116" t="s">
        <v>245</v>
      </c>
      <c r="C6579" s="116" t="s">
        <v>1670</v>
      </c>
      <c r="D6579" s="24" t="s">
        <v>177</v>
      </c>
      <c r="E6579" s="24">
        <v>585.6</v>
      </c>
      <c r="F6579" s="111" t="str">
        <f>DataPull!D6579</f>
        <v/>
      </c>
      <c r="G6579" s="94" t="str">
        <f t="shared" si="2"/>
        <v/>
      </c>
      <c r="H6579" s="94" t="str">
        <f t="shared" si="3"/>
        <v/>
      </c>
      <c r="I6579" s="94" t="str">
        <f t="shared" ref="I6579:J6579" si="6580">if(G6579 = "", , -G6579)</f>
        <v/>
      </c>
      <c r="J6579" s="94" t="str">
        <f t="shared" si="6580"/>
        <v/>
      </c>
      <c r="K6579" s="100"/>
      <c r="M6579" s="100"/>
      <c r="N6579" s="100"/>
      <c r="O6579" s="100"/>
      <c r="P6579" s="100"/>
    </row>
    <row r="6580">
      <c r="A6580" s="107">
        <v>1641729.0</v>
      </c>
      <c r="B6580" s="116" t="s">
        <v>246</v>
      </c>
      <c r="C6580" s="116" t="s">
        <v>1670</v>
      </c>
      <c r="D6580" s="24" t="s">
        <v>176</v>
      </c>
      <c r="E6580" s="24">
        <v>1434.2</v>
      </c>
      <c r="F6580" s="111" t="str">
        <f>DataPull!D6580</f>
        <v/>
      </c>
      <c r="G6580" s="94" t="str">
        <f t="shared" si="2"/>
        <v/>
      </c>
      <c r="H6580" s="94" t="str">
        <f t="shared" si="3"/>
        <v/>
      </c>
      <c r="I6580" s="94" t="str">
        <f t="shared" ref="I6580:J6580" si="6581">if(G6580 = "", , -G6580)</f>
        <v/>
      </c>
      <c r="J6580" s="94" t="str">
        <f t="shared" si="6581"/>
        <v/>
      </c>
      <c r="K6580" s="100"/>
      <c r="M6580" s="100"/>
      <c r="N6580" s="100"/>
      <c r="O6580" s="100"/>
      <c r="P6580" s="100"/>
    </row>
    <row r="6581">
      <c r="A6581" s="114">
        <v>1641729.0</v>
      </c>
      <c r="B6581" s="131" t="s">
        <v>247</v>
      </c>
      <c r="C6581" s="131" t="s">
        <v>1670</v>
      </c>
      <c r="D6581" s="24" t="s">
        <v>176</v>
      </c>
      <c r="E6581" s="24">
        <v>1762.5</v>
      </c>
      <c r="F6581" s="111" t="str">
        <f>DataPull!D6581</f>
        <v/>
      </c>
      <c r="G6581" s="94" t="str">
        <f t="shared" si="2"/>
        <v/>
      </c>
      <c r="H6581" s="94" t="str">
        <f t="shared" si="3"/>
        <v/>
      </c>
      <c r="I6581" s="94" t="str">
        <f t="shared" ref="I6581:J6581" si="6582">if(G6581 = "", , -G6581)</f>
        <v/>
      </c>
      <c r="J6581" s="94" t="str">
        <f t="shared" si="6582"/>
        <v/>
      </c>
      <c r="K6581" s="100"/>
      <c r="M6581" s="100"/>
      <c r="N6581" s="100"/>
      <c r="O6581" s="100"/>
      <c r="P6581" s="100"/>
    </row>
    <row r="6582">
      <c r="A6582" s="107">
        <v>1641730.0</v>
      </c>
      <c r="B6582" s="116" t="s">
        <v>245</v>
      </c>
      <c r="C6582" s="116" t="s">
        <v>1671</v>
      </c>
      <c r="D6582" s="24" t="s">
        <v>177</v>
      </c>
      <c r="E6582" s="24">
        <v>370.3</v>
      </c>
      <c r="F6582" s="111" t="str">
        <f>DataPull!D6582</f>
        <v/>
      </c>
      <c r="G6582" s="94" t="str">
        <f t="shared" si="2"/>
        <v/>
      </c>
      <c r="H6582" s="94" t="str">
        <f t="shared" si="3"/>
        <v/>
      </c>
      <c r="I6582" s="94" t="str">
        <f t="shared" ref="I6582:J6582" si="6583">if(G6582 = "", , -G6582)</f>
        <v/>
      </c>
      <c r="J6582" s="94" t="str">
        <f t="shared" si="6583"/>
        <v/>
      </c>
      <c r="K6582" s="100"/>
      <c r="M6582" s="100"/>
      <c r="N6582" s="100"/>
      <c r="O6582" s="100"/>
      <c r="P6582" s="100"/>
    </row>
    <row r="6583">
      <c r="A6583" s="107">
        <v>1641730.0</v>
      </c>
      <c r="B6583" s="116" t="s">
        <v>246</v>
      </c>
      <c r="C6583" s="116" t="s">
        <v>1671</v>
      </c>
      <c r="D6583" s="24" t="s">
        <v>176</v>
      </c>
      <c r="E6583" s="24">
        <v>1044.2</v>
      </c>
      <c r="F6583" s="111" t="str">
        <f>DataPull!D6583</f>
        <v/>
      </c>
      <c r="G6583" s="94" t="str">
        <f t="shared" si="2"/>
        <v/>
      </c>
      <c r="H6583" s="94" t="str">
        <f t="shared" si="3"/>
        <v/>
      </c>
      <c r="I6583" s="94" t="str">
        <f t="shared" ref="I6583:J6583" si="6584">if(G6583 = "", , -G6583)</f>
        <v/>
      </c>
      <c r="J6583" s="94" t="str">
        <f t="shared" si="6584"/>
        <v/>
      </c>
      <c r="K6583" s="100"/>
      <c r="M6583" s="100"/>
      <c r="N6583" s="100"/>
      <c r="O6583" s="100"/>
      <c r="P6583" s="100"/>
    </row>
    <row r="6584">
      <c r="A6584" s="114">
        <v>1641730.0</v>
      </c>
      <c r="B6584" s="131" t="s">
        <v>247</v>
      </c>
      <c r="C6584" s="131" t="s">
        <v>1671</v>
      </c>
      <c r="D6584" s="24" t="s">
        <v>178</v>
      </c>
      <c r="E6584" s="24">
        <v>1782.0</v>
      </c>
      <c r="F6584" s="111" t="str">
        <f>DataPull!D6584</f>
        <v/>
      </c>
      <c r="G6584" s="94" t="str">
        <f t="shared" si="2"/>
        <v/>
      </c>
      <c r="H6584" s="94" t="str">
        <f t="shared" si="3"/>
        <v/>
      </c>
      <c r="I6584" s="94" t="str">
        <f t="shared" ref="I6584:J6584" si="6585">if(G6584 = "", , -G6584)</f>
        <v/>
      </c>
      <c r="J6584" s="94" t="str">
        <f t="shared" si="6585"/>
        <v/>
      </c>
      <c r="K6584" s="100"/>
      <c r="M6584" s="100"/>
      <c r="N6584" s="100"/>
      <c r="O6584" s="100"/>
      <c r="P6584" s="100"/>
    </row>
    <row r="6585">
      <c r="A6585" s="107">
        <v>1641731.0</v>
      </c>
      <c r="B6585" s="116" t="s">
        <v>245</v>
      </c>
      <c r="C6585" s="116" t="s">
        <v>1672</v>
      </c>
      <c r="D6585" s="24" t="s">
        <v>178</v>
      </c>
      <c r="E6585" s="24">
        <v>1713.6</v>
      </c>
      <c r="F6585" s="111" t="str">
        <f>DataPull!D6585</f>
        <v/>
      </c>
      <c r="G6585" s="94" t="str">
        <f t="shared" si="2"/>
        <v/>
      </c>
      <c r="H6585" s="94" t="str">
        <f t="shared" si="3"/>
        <v/>
      </c>
      <c r="I6585" s="94" t="str">
        <f t="shared" ref="I6585:J6585" si="6586">if(G6585 = "", , -G6585)</f>
        <v/>
      </c>
      <c r="J6585" s="94" t="str">
        <f t="shared" si="6586"/>
        <v/>
      </c>
      <c r="K6585" s="100"/>
      <c r="M6585" s="100"/>
      <c r="N6585" s="100"/>
      <c r="O6585" s="100"/>
      <c r="P6585" s="100"/>
    </row>
    <row r="6586">
      <c r="A6586" s="107">
        <v>1641731.0</v>
      </c>
      <c r="B6586" s="116" t="s">
        <v>246</v>
      </c>
      <c r="C6586" s="116" t="s">
        <v>1672</v>
      </c>
      <c r="D6586" s="24" t="s">
        <v>178</v>
      </c>
      <c r="E6586" s="24">
        <v>1947.0</v>
      </c>
      <c r="F6586" s="111" t="str">
        <f>DataPull!D6586</f>
        <v/>
      </c>
      <c r="G6586" s="94" t="str">
        <f t="shared" si="2"/>
        <v/>
      </c>
      <c r="H6586" s="94" t="str">
        <f t="shared" si="3"/>
        <v/>
      </c>
      <c r="I6586" s="94" t="str">
        <f t="shared" ref="I6586:J6586" si="6587">if(G6586 = "", , -G6586)</f>
        <v/>
      </c>
      <c r="J6586" s="94" t="str">
        <f t="shared" si="6587"/>
        <v/>
      </c>
      <c r="K6586" s="100"/>
      <c r="M6586" s="100"/>
      <c r="N6586" s="100"/>
      <c r="O6586" s="100"/>
      <c r="P6586" s="100"/>
    </row>
    <row r="6587">
      <c r="A6587" s="114">
        <v>1641731.0</v>
      </c>
      <c r="B6587" s="131" t="s">
        <v>247</v>
      </c>
      <c r="C6587" s="131" t="s">
        <v>1672</v>
      </c>
      <c r="D6587" s="24" t="s">
        <v>178</v>
      </c>
      <c r="E6587" s="24">
        <v>1467.2</v>
      </c>
      <c r="F6587" s="111" t="str">
        <f>DataPull!D6587</f>
        <v/>
      </c>
      <c r="G6587" s="94" t="str">
        <f t="shared" si="2"/>
        <v/>
      </c>
      <c r="H6587" s="94" t="str">
        <f t="shared" si="3"/>
        <v/>
      </c>
      <c r="I6587" s="94" t="str">
        <f t="shared" ref="I6587:J6587" si="6588">if(G6587 = "", , -G6587)</f>
        <v/>
      </c>
      <c r="J6587" s="94" t="str">
        <f t="shared" si="6588"/>
        <v/>
      </c>
      <c r="K6587" s="100"/>
      <c r="M6587" s="100"/>
      <c r="N6587" s="100"/>
      <c r="O6587" s="100"/>
      <c r="P6587" s="100"/>
    </row>
    <row r="6588">
      <c r="A6588" s="107">
        <v>1641732.0</v>
      </c>
      <c r="B6588" s="116" t="s">
        <v>245</v>
      </c>
      <c r="C6588" s="116" t="s">
        <v>1673</v>
      </c>
      <c r="D6588" s="24" t="s">
        <v>187</v>
      </c>
      <c r="E6588" s="24">
        <v>192.0</v>
      </c>
      <c r="F6588" s="111" t="str">
        <f>DataPull!D6588</f>
        <v/>
      </c>
      <c r="G6588" s="94" t="str">
        <f t="shared" si="2"/>
        <v/>
      </c>
      <c r="H6588" s="94" t="str">
        <f t="shared" si="3"/>
        <v/>
      </c>
      <c r="I6588" s="94" t="str">
        <f t="shared" ref="I6588:J6588" si="6589">if(G6588 = "", , -G6588)</f>
        <v/>
      </c>
      <c r="J6588" s="94" t="str">
        <f t="shared" si="6589"/>
        <v/>
      </c>
      <c r="K6588" s="100"/>
      <c r="M6588" s="100"/>
      <c r="N6588" s="100"/>
      <c r="O6588" s="100"/>
      <c r="P6588" s="100"/>
    </row>
    <row r="6589">
      <c r="A6589" s="107">
        <v>1641732.0</v>
      </c>
      <c r="B6589" s="116" t="s">
        <v>246</v>
      </c>
      <c r="C6589" s="116" t="s">
        <v>1673</v>
      </c>
      <c r="D6589" s="24" t="s">
        <v>187</v>
      </c>
      <c r="E6589" s="24">
        <v>514.8</v>
      </c>
      <c r="F6589" s="111" t="str">
        <f>DataPull!D6589</f>
        <v/>
      </c>
      <c r="G6589" s="94" t="str">
        <f t="shared" si="2"/>
        <v/>
      </c>
      <c r="H6589" s="94" t="str">
        <f t="shared" si="3"/>
        <v/>
      </c>
      <c r="I6589" s="94" t="str">
        <f t="shared" ref="I6589:J6589" si="6590">if(G6589 = "", , -G6589)</f>
        <v/>
      </c>
      <c r="J6589" s="94" t="str">
        <f t="shared" si="6590"/>
        <v/>
      </c>
      <c r="K6589" s="100"/>
      <c r="M6589" s="100"/>
      <c r="N6589" s="100"/>
      <c r="O6589" s="100"/>
      <c r="P6589" s="100"/>
    </row>
    <row r="6590">
      <c r="A6590" s="114">
        <v>1641732.0</v>
      </c>
      <c r="B6590" s="131" t="s">
        <v>247</v>
      </c>
      <c r="C6590" s="131" t="s">
        <v>1673</v>
      </c>
      <c r="D6590" s="24" t="s">
        <v>181</v>
      </c>
      <c r="E6590" s="24">
        <v>6.8</v>
      </c>
      <c r="F6590" s="111" t="str">
        <f>DataPull!D6590</f>
        <v/>
      </c>
      <c r="G6590" s="94" t="str">
        <f t="shared" si="2"/>
        <v/>
      </c>
      <c r="H6590" s="94" t="str">
        <f t="shared" si="3"/>
        <v/>
      </c>
      <c r="I6590" s="94" t="str">
        <f t="shared" ref="I6590:J6590" si="6591">if(G6590 = "", , -G6590)</f>
        <v/>
      </c>
      <c r="J6590" s="94" t="str">
        <f t="shared" si="6591"/>
        <v/>
      </c>
      <c r="K6590" s="100"/>
      <c r="M6590" s="100"/>
      <c r="N6590" s="100"/>
      <c r="O6590" s="100"/>
      <c r="P6590" s="100"/>
    </row>
    <row r="6591">
      <c r="A6591" s="107">
        <v>1641733.0</v>
      </c>
      <c r="B6591" s="116" t="s">
        <v>245</v>
      </c>
      <c r="C6591" s="116" t="s">
        <v>1674</v>
      </c>
      <c r="D6591" s="24" t="s">
        <v>177</v>
      </c>
      <c r="E6591" s="24">
        <v>729.3</v>
      </c>
      <c r="F6591" s="111" t="str">
        <f>DataPull!D6591</f>
        <v/>
      </c>
      <c r="G6591" s="94" t="str">
        <f t="shared" si="2"/>
        <v/>
      </c>
      <c r="H6591" s="94" t="str">
        <f t="shared" si="3"/>
        <v/>
      </c>
      <c r="I6591" s="94" t="str">
        <f t="shared" ref="I6591:J6591" si="6592">if(G6591 = "", , -G6591)</f>
        <v/>
      </c>
      <c r="J6591" s="94" t="str">
        <f t="shared" si="6592"/>
        <v/>
      </c>
      <c r="K6591" s="100"/>
      <c r="M6591" s="100"/>
      <c r="N6591" s="100"/>
      <c r="O6591" s="100"/>
      <c r="P6591" s="100"/>
    </row>
    <row r="6592">
      <c r="A6592" s="107">
        <v>1641733.0</v>
      </c>
      <c r="B6592" s="116" t="s">
        <v>246</v>
      </c>
      <c r="C6592" s="116" t="s">
        <v>1674</v>
      </c>
      <c r="D6592" s="24" t="s">
        <v>176</v>
      </c>
      <c r="E6592" s="24">
        <v>1368.0</v>
      </c>
      <c r="F6592" s="111" t="str">
        <f>DataPull!D6592</f>
        <v/>
      </c>
      <c r="G6592" s="94" t="str">
        <f t="shared" si="2"/>
        <v/>
      </c>
      <c r="H6592" s="94" t="str">
        <f t="shared" si="3"/>
        <v/>
      </c>
      <c r="I6592" s="94" t="str">
        <f t="shared" ref="I6592:J6592" si="6593">if(G6592 = "", , -G6592)</f>
        <v/>
      </c>
      <c r="J6592" s="94" t="str">
        <f t="shared" si="6593"/>
        <v/>
      </c>
      <c r="K6592" s="100"/>
      <c r="M6592" s="100"/>
      <c r="N6592" s="100"/>
      <c r="O6592" s="100"/>
      <c r="P6592" s="100"/>
    </row>
    <row r="6593">
      <c r="A6593" s="114">
        <v>1641733.0</v>
      </c>
      <c r="B6593" s="131" t="s">
        <v>247</v>
      </c>
      <c r="C6593" s="116" t="s">
        <v>1674</v>
      </c>
      <c r="D6593" s="24" t="s">
        <v>187</v>
      </c>
      <c r="E6593" s="24">
        <v>375.0</v>
      </c>
      <c r="F6593" s="111" t="str">
        <f>DataPull!D6593</f>
        <v/>
      </c>
      <c r="G6593" s="94" t="str">
        <f t="shared" si="2"/>
        <v/>
      </c>
      <c r="H6593" s="94" t="str">
        <f t="shared" si="3"/>
        <v/>
      </c>
      <c r="I6593" s="94" t="str">
        <f t="shared" ref="I6593:J6593" si="6594">if(G6593 = "", , -G6593)</f>
        <v/>
      </c>
      <c r="J6593" s="94" t="str">
        <f t="shared" si="6594"/>
        <v/>
      </c>
      <c r="K6593" s="100"/>
      <c r="M6593" s="100"/>
      <c r="N6593" s="100"/>
      <c r="O6593" s="100"/>
      <c r="P6593" s="100"/>
    </row>
    <row r="6594">
      <c r="A6594" s="107">
        <v>1641734.0</v>
      </c>
      <c r="B6594" s="116" t="s">
        <v>245</v>
      </c>
      <c r="C6594" s="116" t="s">
        <v>1675</v>
      </c>
      <c r="D6594" s="24" t="s">
        <v>187</v>
      </c>
      <c r="E6594" s="24">
        <v>133.5</v>
      </c>
      <c r="F6594" s="111" t="str">
        <f>DataPull!D6594</f>
        <v/>
      </c>
      <c r="G6594" s="94" t="str">
        <f t="shared" si="2"/>
        <v/>
      </c>
      <c r="H6594" s="94" t="str">
        <f t="shared" si="3"/>
        <v/>
      </c>
      <c r="I6594" s="94" t="str">
        <f t="shared" ref="I6594:J6594" si="6595">if(G6594 = "", , -G6594)</f>
        <v/>
      </c>
      <c r="J6594" s="94" t="str">
        <f t="shared" si="6595"/>
        <v/>
      </c>
      <c r="K6594" s="100"/>
      <c r="M6594" s="100"/>
      <c r="N6594" s="100"/>
      <c r="O6594" s="100"/>
      <c r="P6594" s="100"/>
    </row>
    <row r="6595">
      <c r="A6595" s="107">
        <v>1641734.0</v>
      </c>
      <c r="B6595" s="116" t="s">
        <v>246</v>
      </c>
      <c r="C6595" s="116" t="s">
        <v>1675</v>
      </c>
      <c r="D6595" s="24" t="s">
        <v>187</v>
      </c>
      <c r="E6595" s="24">
        <v>75.0</v>
      </c>
      <c r="F6595" s="111" t="str">
        <f>DataPull!D6595</f>
        <v/>
      </c>
      <c r="G6595" s="94" t="str">
        <f t="shared" si="2"/>
        <v/>
      </c>
      <c r="H6595" s="94" t="str">
        <f t="shared" si="3"/>
        <v/>
      </c>
      <c r="I6595" s="94" t="str">
        <f t="shared" ref="I6595:J6595" si="6596">if(G6595 = "", , -G6595)</f>
        <v/>
      </c>
      <c r="J6595" s="94" t="str">
        <f t="shared" si="6596"/>
        <v/>
      </c>
      <c r="K6595" s="100"/>
      <c r="M6595" s="100"/>
      <c r="N6595" s="100"/>
      <c r="O6595" s="100"/>
      <c r="P6595" s="100"/>
    </row>
    <row r="6596">
      <c r="A6596" s="107">
        <v>1641735.0</v>
      </c>
      <c r="B6596" s="116" t="s">
        <v>245</v>
      </c>
      <c r="C6596" s="116" t="s">
        <v>1676</v>
      </c>
      <c r="D6596" s="24" t="s">
        <v>187</v>
      </c>
      <c r="E6596" s="24">
        <v>65.0</v>
      </c>
      <c r="F6596" s="111" t="str">
        <f>DataPull!D6596</f>
        <v/>
      </c>
      <c r="G6596" s="94" t="str">
        <f t="shared" si="2"/>
        <v/>
      </c>
      <c r="H6596" s="94" t="str">
        <f t="shared" si="3"/>
        <v/>
      </c>
      <c r="I6596" s="94" t="str">
        <f t="shared" ref="I6596:J6596" si="6597">if(G6596 = "", , -G6596)</f>
        <v/>
      </c>
      <c r="J6596" s="94" t="str">
        <f t="shared" si="6597"/>
        <v/>
      </c>
      <c r="K6596" s="100"/>
      <c r="M6596" s="100"/>
      <c r="N6596" s="100"/>
      <c r="O6596" s="100"/>
      <c r="P6596" s="100"/>
    </row>
    <row r="6597">
      <c r="A6597" s="107">
        <v>1641736.0</v>
      </c>
      <c r="B6597" s="116" t="s">
        <v>246</v>
      </c>
      <c r="C6597" s="116" t="s">
        <v>1677</v>
      </c>
      <c r="D6597" s="24" t="s">
        <v>177</v>
      </c>
      <c r="E6597" s="24">
        <v>468.0</v>
      </c>
      <c r="F6597" s="111" t="str">
        <f>DataPull!D6597</f>
        <v/>
      </c>
      <c r="G6597" s="94" t="str">
        <f t="shared" si="2"/>
        <v/>
      </c>
      <c r="H6597" s="94" t="str">
        <f t="shared" si="3"/>
        <v/>
      </c>
      <c r="I6597" s="94" t="str">
        <f t="shared" ref="I6597:J6597" si="6598">if(G6597 = "", , -G6597)</f>
        <v/>
      </c>
      <c r="J6597" s="94" t="str">
        <f t="shared" si="6598"/>
        <v/>
      </c>
      <c r="K6597" s="100"/>
      <c r="M6597" s="100"/>
      <c r="N6597" s="100"/>
      <c r="O6597" s="100"/>
      <c r="P6597" s="100"/>
    </row>
    <row r="6598">
      <c r="A6598" s="107">
        <v>1641737.0</v>
      </c>
      <c r="B6598" s="116" t="s">
        <v>246</v>
      </c>
      <c r="C6598" s="116" t="s">
        <v>1678</v>
      </c>
      <c r="D6598" s="24" t="s">
        <v>177</v>
      </c>
      <c r="E6598" s="24">
        <v>904.8</v>
      </c>
      <c r="F6598" s="111" t="str">
        <f>DataPull!D6598</f>
        <v/>
      </c>
      <c r="G6598" s="94" t="str">
        <f t="shared" si="2"/>
        <v/>
      </c>
      <c r="H6598" s="94" t="str">
        <f t="shared" si="3"/>
        <v/>
      </c>
      <c r="I6598" s="94" t="str">
        <f t="shared" ref="I6598:J6598" si="6599">if(G6598 = "", , -G6598)</f>
        <v/>
      </c>
      <c r="J6598" s="94" t="str">
        <f t="shared" si="6599"/>
        <v/>
      </c>
      <c r="K6598" s="100"/>
      <c r="M6598" s="100"/>
      <c r="N6598" s="100"/>
      <c r="O6598" s="100"/>
      <c r="P6598" s="100"/>
    </row>
    <row r="6599">
      <c r="A6599" s="114">
        <v>1641737.0</v>
      </c>
      <c r="B6599" s="131" t="s">
        <v>247</v>
      </c>
      <c r="C6599" s="131" t="s">
        <v>1678</v>
      </c>
      <c r="D6599" s="24" t="s">
        <v>177</v>
      </c>
      <c r="E6599" s="24">
        <v>1235.4</v>
      </c>
      <c r="F6599" s="111" t="str">
        <f>DataPull!D6599</f>
        <v/>
      </c>
      <c r="G6599" s="94" t="str">
        <f t="shared" si="2"/>
        <v/>
      </c>
      <c r="H6599" s="94" t="str">
        <f t="shared" si="3"/>
        <v/>
      </c>
      <c r="I6599" s="94" t="str">
        <f t="shared" ref="I6599:J6599" si="6600">if(G6599 = "", , -G6599)</f>
        <v/>
      </c>
      <c r="J6599" s="94" t="str">
        <f t="shared" si="6600"/>
        <v/>
      </c>
      <c r="K6599" s="100"/>
      <c r="M6599" s="100"/>
      <c r="N6599" s="100"/>
      <c r="O6599" s="100"/>
      <c r="P6599" s="100"/>
    </row>
    <row r="6600">
      <c r="A6600" s="107">
        <v>1641738.0</v>
      </c>
      <c r="B6600" s="116" t="s">
        <v>245</v>
      </c>
      <c r="C6600" s="116" t="s">
        <v>1679</v>
      </c>
      <c r="D6600" s="24" t="s">
        <v>187</v>
      </c>
      <c r="E6600" s="24">
        <v>396.0</v>
      </c>
      <c r="F6600" s="111" t="str">
        <f>DataPull!D6600</f>
        <v/>
      </c>
      <c r="G6600" s="94" t="str">
        <f t="shared" si="2"/>
        <v/>
      </c>
      <c r="H6600" s="94" t="str">
        <f t="shared" si="3"/>
        <v/>
      </c>
      <c r="I6600" s="94" t="str">
        <f t="shared" ref="I6600:J6600" si="6601">if(G6600 = "", , -G6600)</f>
        <v/>
      </c>
      <c r="J6600" s="94" t="str">
        <f t="shared" si="6601"/>
        <v/>
      </c>
      <c r="K6600" s="100"/>
      <c r="M6600" s="100"/>
      <c r="N6600" s="100"/>
      <c r="O6600" s="100"/>
      <c r="P6600" s="100"/>
    </row>
    <row r="6601">
      <c r="A6601" s="107">
        <v>1641738.0</v>
      </c>
      <c r="B6601" s="116" t="s">
        <v>246</v>
      </c>
      <c r="C6601" s="116" t="s">
        <v>1679</v>
      </c>
      <c r="D6601" s="24" t="s">
        <v>187</v>
      </c>
      <c r="E6601" s="24">
        <v>272.0</v>
      </c>
      <c r="F6601" s="111" t="str">
        <f>DataPull!D6601</f>
        <v/>
      </c>
      <c r="G6601" s="94" t="str">
        <f t="shared" si="2"/>
        <v/>
      </c>
      <c r="H6601" s="94" t="str">
        <f t="shared" si="3"/>
        <v/>
      </c>
      <c r="I6601" s="94" t="str">
        <f t="shared" ref="I6601:J6601" si="6602">if(G6601 = "", , -G6601)</f>
        <v/>
      </c>
      <c r="J6601" s="94" t="str">
        <f t="shared" si="6602"/>
        <v/>
      </c>
      <c r="K6601" s="100"/>
      <c r="M6601" s="100"/>
      <c r="N6601" s="100"/>
      <c r="O6601" s="100"/>
      <c r="P6601" s="100"/>
    </row>
    <row r="6602">
      <c r="A6602" s="114">
        <v>1641738.0</v>
      </c>
      <c r="B6602" s="131" t="s">
        <v>247</v>
      </c>
      <c r="C6602" s="131" t="s">
        <v>1679</v>
      </c>
      <c r="D6602" s="24" t="s">
        <v>187</v>
      </c>
      <c r="E6602" s="24">
        <v>963.8</v>
      </c>
      <c r="F6602" s="111" t="str">
        <f>DataPull!D6602</f>
        <v/>
      </c>
      <c r="G6602" s="94" t="str">
        <f t="shared" si="2"/>
        <v/>
      </c>
      <c r="H6602" s="94" t="str">
        <f t="shared" si="3"/>
        <v/>
      </c>
      <c r="I6602" s="94" t="str">
        <f t="shared" ref="I6602:J6602" si="6603">if(G6602 = "", , -G6602)</f>
        <v/>
      </c>
      <c r="J6602" s="94" t="str">
        <f t="shared" si="6603"/>
        <v/>
      </c>
      <c r="K6602" s="100"/>
      <c r="M6602" s="100"/>
      <c r="N6602" s="100"/>
      <c r="O6602" s="100"/>
      <c r="P6602" s="100"/>
    </row>
    <row r="6603">
      <c r="A6603" s="107">
        <v>1641739.0</v>
      </c>
      <c r="B6603" s="116" t="s">
        <v>245</v>
      </c>
      <c r="C6603" s="116" t="s">
        <v>1680</v>
      </c>
      <c r="D6603" s="24" t="s">
        <v>176</v>
      </c>
      <c r="E6603" s="24">
        <v>1736.0</v>
      </c>
      <c r="F6603" s="111" t="str">
        <f>DataPull!D6603</f>
        <v/>
      </c>
      <c r="G6603" s="94" t="str">
        <f t="shared" si="2"/>
        <v/>
      </c>
      <c r="H6603" s="94" t="str">
        <f t="shared" si="3"/>
        <v/>
      </c>
      <c r="I6603" s="94" t="str">
        <f t="shared" ref="I6603:J6603" si="6604">if(G6603 = "", , -G6603)</f>
        <v/>
      </c>
      <c r="J6603" s="94" t="str">
        <f t="shared" si="6604"/>
        <v/>
      </c>
      <c r="K6603" s="100"/>
      <c r="M6603" s="100"/>
      <c r="N6603" s="100"/>
      <c r="O6603" s="100"/>
      <c r="P6603" s="100"/>
    </row>
    <row r="6604">
      <c r="A6604" s="107">
        <v>1641739.0</v>
      </c>
      <c r="B6604" s="116" t="s">
        <v>246</v>
      </c>
      <c r="C6604" s="116" t="s">
        <v>1680</v>
      </c>
      <c r="D6604" s="24" t="s">
        <v>178</v>
      </c>
      <c r="E6604" s="24">
        <v>2550.6</v>
      </c>
      <c r="F6604" s="111" t="str">
        <f>DataPull!D6604</f>
        <v/>
      </c>
      <c r="G6604" s="94" t="str">
        <f t="shared" si="2"/>
        <v/>
      </c>
      <c r="H6604" s="94" t="str">
        <f t="shared" si="3"/>
        <v/>
      </c>
      <c r="I6604" s="94" t="str">
        <f t="shared" ref="I6604:J6604" si="6605">if(G6604 = "", , -G6604)</f>
        <v/>
      </c>
      <c r="J6604" s="94" t="str">
        <f t="shared" si="6605"/>
        <v/>
      </c>
      <c r="K6604" s="100"/>
      <c r="M6604" s="100"/>
      <c r="N6604" s="100"/>
      <c r="O6604" s="100"/>
      <c r="P6604" s="100"/>
    </row>
    <row r="6605">
      <c r="A6605" s="114">
        <v>1641739.0</v>
      </c>
      <c r="B6605" s="131" t="s">
        <v>247</v>
      </c>
      <c r="C6605" s="131" t="s">
        <v>1680</v>
      </c>
      <c r="D6605" s="24" t="s">
        <v>178</v>
      </c>
      <c r="E6605" s="24">
        <v>2730.6</v>
      </c>
      <c r="F6605" s="111" t="str">
        <f>DataPull!D6605</f>
        <v/>
      </c>
      <c r="G6605" s="94" t="str">
        <f t="shared" si="2"/>
        <v/>
      </c>
      <c r="H6605" s="94" t="str">
        <f t="shared" si="3"/>
        <v/>
      </c>
      <c r="I6605" s="94" t="str">
        <f t="shared" ref="I6605:J6605" si="6606">if(G6605 = "", , -G6605)</f>
        <v/>
      </c>
      <c r="J6605" s="94" t="str">
        <f t="shared" si="6606"/>
        <v/>
      </c>
      <c r="K6605" s="100"/>
      <c r="M6605" s="100"/>
      <c r="N6605" s="100"/>
      <c r="O6605" s="100"/>
      <c r="P6605" s="100"/>
    </row>
    <row r="6606">
      <c r="A6606" s="107">
        <v>1641740.0</v>
      </c>
      <c r="B6606" s="116" t="s">
        <v>246</v>
      </c>
      <c r="C6606" s="116" t="s">
        <v>1681</v>
      </c>
      <c r="D6606" s="24" t="s">
        <v>177</v>
      </c>
      <c r="E6606" s="24">
        <v>520.0</v>
      </c>
      <c r="F6606" s="111" t="str">
        <f>DataPull!D6606</f>
        <v/>
      </c>
      <c r="G6606" s="94" t="str">
        <f t="shared" si="2"/>
        <v/>
      </c>
      <c r="H6606" s="94" t="str">
        <f t="shared" si="3"/>
        <v/>
      </c>
      <c r="I6606" s="94" t="str">
        <f t="shared" ref="I6606:J6606" si="6607">if(G6606 = "", , -G6606)</f>
        <v/>
      </c>
      <c r="J6606" s="94" t="str">
        <f t="shared" si="6607"/>
        <v/>
      </c>
      <c r="K6606" s="100"/>
      <c r="M6606" s="100"/>
      <c r="N6606" s="100"/>
      <c r="O6606" s="100"/>
      <c r="P6606" s="100"/>
    </row>
    <row r="6607">
      <c r="A6607" s="114">
        <v>1641740.0</v>
      </c>
      <c r="B6607" s="131" t="s">
        <v>247</v>
      </c>
      <c r="C6607" s="131" t="s">
        <v>1681</v>
      </c>
      <c r="D6607" s="24" t="s">
        <v>177</v>
      </c>
      <c r="E6607" s="24">
        <v>890.8</v>
      </c>
      <c r="F6607" s="111" t="str">
        <f>DataPull!D6607</f>
        <v/>
      </c>
      <c r="G6607" s="94" t="str">
        <f t="shared" si="2"/>
        <v/>
      </c>
      <c r="H6607" s="94" t="str">
        <f t="shared" si="3"/>
        <v/>
      </c>
      <c r="I6607" s="94" t="str">
        <f t="shared" ref="I6607:J6607" si="6608">if(G6607 = "", , -G6607)</f>
        <v/>
      </c>
      <c r="J6607" s="94" t="str">
        <f t="shared" si="6608"/>
        <v/>
      </c>
      <c r="K6607" s="100"/>
      <c r="M6607" s="100"/>
      <c r="N6607" s="100"/>
      <c r="O6607" s="100"/>
      <c r="P6607" s="100"/>
    </row>
    <row r="6608">
      <c r="A6608" s="107">
        <v>1641741.0</v>
      </c>
      <c r="B6608" s="116" t="s">
        <v>245</v>
      </c>
      <c r="C6608" s="116" t="s">
        <v>1682</v>
      </c>
      <c r="D6608" s="24" t="s">
        <v>187</v>
      </c>
      <c r="E6608" s="24">
        <v>288.0</v>
      </c>
      <c r="F6608" s="111" t="str">
        <f>DataPull!D6608</f>
        <v/>
      </c>
      <c r="G6608" s="94" t="str">
        <f t="shared" si="2"/>
        <v/>
      </c>
      <c r="H6608" s="94" t="str">
        <f t="shared" si="3"/>
        <v/>
      </c>
      <c r="I6608" s="94" t="str">
        <f t="shared" ref="I6608:J6608" si="6609">if(G6608 = "", , -G6608)</f>
        <v/>
      </c>
      <c r="J6608" s="94" t="str">
        <f t="shared" si="6609"/>
        <v/>
      </c>
      <c r="K6608" s="100"/>
      <c r="M6608" s="100"/>
      <c r="N6608" s="100"/>
      <c r="O6608" s="100"/>
      <c r="P6608" s="100"/>
    </row>
    <row r="6609">
      <c r="A6609" s="107">
        <v>1641741.0</v>
      </c>
      <c r="B6609" s="116" t="s">
        <v>246</v>
      </c>
      <c r="C6609" s="116" t="s">
        <v>1682</v>
      </c>
      <c r="D6609" s="24" t="s">
        <v>177</v>
      </c>
      <c r="E6609" s="24">
        <v>1248.3</v>
      </c>
      <c r="F6609" s="111" t="str">
        <f>DataPull!D6609</f>
        <v/>
      </c>
      <c r="G6609" s="94" t="str">
        <f t="shared" si="2"/>
        <v/>
      </c>
      <c r="H6609" s="94" t="str">
        <f t="shared" si="3"/>
        <v/>
      </c>
      <c r="I6609" s="94" t="str">
        <f t="shared" ref="I6609:J6609" si="6610">if(G6609 = "", , -G6609)</f>
        <v/>
      </c>
      <c r="J6609" s="94" t="str">
        <f t="shared" si="6610"/>
        <v/>
      </c>
      <c r="K6609" s="100"/>
      <c r="M6609" s="100"/>
      <c r="N6609" s="100"/>
      <c r="O6609" s="100"/>
      <c r="P6609" s="100"/>
    </row>
    <row r="6610">
      <c r="A6610" s="107">
        <v>1641744.0</v>
      </c>
      <c r="B6610" s="116" t="s">
        <v>246</v>
      </c>
      <c r="C6610" s="116" t="s">
        <v>1683</v>
      </c>
      <c r="D6610" s="24" t="s">
        <v>176</v>
      </c>
      <c r="E6610" s="24">
        <v>1419.0</v>
      </c>
      <c r="F6610" s="111" t="str">
        <f>DataPull!D6610</f>
        <v/>
      </c>
      <c r="G6610" s="94" t="str">
        <f t="shared" si="2"/>
        <v/>
      </c>
      <c r="H6610" s="94" t="str">
        <f t="shared" si="3"/>
        <v/>
      </c>
      <c r="I6610" s="94" t="str">
        <f t="shared" ref="I6610:J6610" si="6611">if(G6610 = "", , -G6610)</f>
        <v/>
      </c>
      <c r="J6610" s="94" t="str">
        <f t="shared" si="6611"/>
        <v/>
      </c>
      <c r="K6610" s="100"/>
      <c r="M6610" s="100"/>
      <c r="N6610" s="100"/>
      <c r="O6610" s="100"/>
      <c r="P6610" s="100"/>
    </row>
    <row r="6611">
      <c r="A6611" s="89">
        <v>1641744.0</v>
      </c>
      <c r="B6611" s="131" t="s">
        <v>247</v>
      </c>
      <c r="C6611" s="131" t="s">
        <v>1683</v>
      </c>
      <c r="D6611" s="24" t="s">
        <v>176</v>
      </c>
      <c r="E6611" s="24">
        <v>283.8</v>
      </c>
      <c r="F6611" s="111" t="str">
        <f>DataPull!D6611</f>
        <v/>
      </c>
      <c r="G6611" s="94" t="str">
        <f t="shared" si="2"/>
        <v/>
      </c>
      <c r="H6611" s="94" t="str">
        <f t="shared" si="3"/>
        <v/>
      </c>
      <c r="I6611" s="94" t="str">
        <f t="shared" ref="I6611:J6611" si="6612">if(G6611 = "", , -G6611)</f>
        <v/>
      </c>
      <c r="J6611" s="94" t="str">
        <f t="shared" si="6612"/>
        <v/>
      </c>
      <c r="K6611" s="100"/>
      <c r="M6611" s="100"/>
      <c r="N6611" s="100"/>
      <c r="O6611" s="100"/>
      <c r="P6611" s="100"/>
    </row>
    <row r="6612">
      <c r="A6612" s="107">
        <v>1641745.0</v>
      </c>
      <c r="B6612" s="116" t="s">
        <v>245</v>
      </c>
      <c r="C6612" s="116" t="s">
        <v>1684</v>
      </c>
      <c r="D6612" s="24" t="s">
        <v>181</v>
      </c>
      <c r="E6612" s="24">
        <v>14.0</v>
      </c>
      <c r="F6612" s="111" t="str">
        <f>DataPull!D6612</f>
        <v/>
      </c>
      <c r="G6612" s="94" t="str">
        <f t="shared" si="2"/>
        <v/>
      </c>
      <c r="H6612" s="94" t="str">
        <f t="shared" si="3"/>
        <v/>
      </c>
      <c r="I6612" s="94" t="str">
        <f t="shared" ref="I6612:J6612" si="6613">if(G6612 = "", , -G6612)</f>
        <v/>
      </c>
      <c r="J6612" s="94" t="str">
        <f t="shared" si="6613"/>
        <v/>
      </c>
      <c r="K6612" s="100"/>
      <c r="M6612" s="100"/>
      <c r="N6612" s="100"/>
      <c r="O6612" s="100"/>
      <c r="P6612" s="100"/>
    </row>
    <row r="6613">
      <c r="A6613" s="107">
        <v>1641745.0</v>
      </c>
      <c r="B6613" s="116" t="s">
        <v>246</v>
      </c>
      <c r="C6613" s="116" t="s">
        <v>1684</v>
      </c>
      <c r="D6613" s="24" t="s">
        <v>187</v>
      </c>
      <c r="E6613" s="24">
        <v>203.5</v>
      </c>
      <c r="F6613" s="111" t="str">
        <f>DataPull!D6613</f>
        <v/>
      </c>
      <c r="G6613" s="94" t="str">
        <f t="shared" si="2"/>
        <v/>
      </c>
      <c r="H6613" s="94" t="str">
        <f t="shared" si="3"/>
        <v/>
      </c>
      <c r="I6613" s="94" t="str">
        <f t="shared" ref="I6613:J6613" si="6614">if(G6613 = "", , -G6613)</f>
        <v/>
      </c>
      <c r="J6613" s="94" t="str">
        <f t="shared" si="6614"/>
        <v/>
      </c>
      <c r="K6613" s="100"/>
      <c r="M6613" s="100"/>
      <c r="N6613" s="100"/>
      <c r="O6613" s="100"/>
      <c r="P6613" s="100"/>
    </row>
    <row r="6614">
      <c r="A6614" s="114">
        <v>1641747.0</v>
      </c>
      <c r="B6614" s="131" t="s">
        <v>247</v>
      </c>
      <c r="C6614" s="131" t="s">
        <v>1685</v>
      </c>
      <c r="D6614" s="24" t="s">
        <v>177</v>
      </c>
      <c r="E6614" s="24">
        <v>210.0</v>
      </c>
      <c r="F6614" s="111" t="str">
        <f>DataPull!D6614</f>
        <v/>
      </c>
      <c r="G6614" s="94" t="str">
        <f t="shared" si="2"/>
        <v/>
      </c>
      <c r="H6614" s="94" t="str">
        <f t="shared" si="3"/>
        <v/>
      </c>
      <c r="I6614" s="94" t="str">
        <f t="shared" ref="I6614:J6614" si="6615">if(G6614 = "", , -G6614)</f>
        <v/>
      </c>
      <c r="J6614" s="94" t="str">
        <f t="shared" si="6615"/>
        <v/>
      </c>
      <c r="K6614" s="100"/>
      <c r="M6614" s="100"/>
      <c r="N6614" s="100"/>
      <c r="O6614" s="100"/>
      <c r="P6614" s="100"/>
    </row>
    <row r="6615">
      <c r="A6615" s="107">
        <v>1641748.0</v>
      </c>
      <c r="B6615" s="116" t="s">
        <v>245</v>
      </c>
      <c r="C6615" s="116" t="s">
        <v>1686</v>
      </c>
      <c r="D6615" s="24" t="s">
        <v>177</v>
      </c>
      <c r="E6615" s="24">
        <v>570.0</v>
      </c>
      <c r="F6615" s="111" t="str">
        <f>DataPull!D6615</f>
        <v/>
      </c>
      <c r="G6615" s="94" t="str">
        <f t="shared" si="2"/>
        <v/>
      </c>
      <c r="H6615" s="94" t="str">
        <f t="shared" si="3"/>
        <v/>
      </c>
      <c r="I6615" s="94" t="str">
        <f t="shared" ref="I6615:J6615" si="6616">if(G6615 = "", , -G6615)</f>
        <v/>
      </c>
      <c r="J6615" s="94" t="str">
        <f t="shared" si="6616"/>
        <v/>
      </c>
      <c r="K6615" s="100"/>
      <c r="M6615" s="100"/>
      <c r="N6615" s="100"/>
      <c r="O6615" s="100"/>
      <c r="P6615" s="100"/>
    </row>
    <row r="6616">
      <c r="A6616" s="107">
        <v>1641748.0</v>
      </c>
      <c r="B6616" s="116" t="s">
        <v>246</v>
      </c>
      <c r="C6616" s="116" t="s">
        <v>1686</v>
      </c>
      <c r="D6616" s="24" t="s">
        <v>177</v>
      </c>
      <c r="E6616" s="24">
        <v>978.2</v>
      </c>
      <c r="F6616" s="111" t="str">
        <f>DataPull!D6616</f>
        <v/>
      </c>
      <c r="G6616" s="94" t="str">
        <f t="shared" si="2"/>
        <v/>
      </c>
      <c r="H6616" s="94" t="str">
        <f t="shared" si="3"/>
        <v/>
      </c>
      <c r="I6616" s="94" t="str">
        <f t="shared" ref="I6616:J6616" si="6617">if(G6616 = "", , -G6616)</f>
        <v/>
      </c>
      <c r="J6616" s="94" t="str">
        <f t="shared" si="6617"/>
        <v/>
      </c>
      <c r="K6616" s="100"/>
      <c r="M6616" s="100"/>
      <c r="N6616" s="100"/>
      <c r="O6616" s="100"/>
      <c r="P6616" s="100"/>
    </row>
    <row r="6617">
      <c r="A6617" s="114">
        <v>1641748.0</v>
      </c>
      <c r="B6617" s="131" t="s">
        <v>247</v>
      </c>
      <c r="C6617" s="116" t="s">
        <v>1686</v>
      </c>
      <c r="D6617" s="24" t="s">
        <v>187</v>
      </c>
      <c r="E6617" s="24">
        <v>408.0</v>
      </c>
      <c r="F6617" s="111" t="str">
        <f>DataPull!D6617</f>
        <v/>
      </c>
      <c r="G6617" s="94" t="str">
        <f t="shared" si="2"/>
        <v/>
      </c>
      <c r="H6617" s="94" t="str">
        <f t="shared" si="3"/>
        <v/>
      </c>
      <c r="I6617" s="94" t="str">
        <f t="shared" ref="I6617:J6617" si="6618">if(G6617 = "", , -G6617)</f>
        <v/>
      </c>
      <c r="J6617" s="94" t="str">
        <f t="shared" si="6618"/>
        <v/>
      </c>
      <c r="K6617" s="100"/>
      <c r="M6617" s="100"/>
      <c r="N6617" s="100"/>
      <c r="O6617" s="100"/>
      <c r="P6617" s="100"/>
    </row>
    <row r="6618">
      <c r="A6618" s="107">
        <v>1641749.0</v>
      </c>
      <c r="B6618" s="116" t="s">
        <v>245</v>
      </c>
      <c r="C6618" s="116" t="s">
        <v>1687</v>
      </c>
      <c r="D6618" s="24" t="s">
        <v>187</v>
      </c>
      <c r="E6618" s="24">
        <v>66.6</v>
      </c>
      <c r="F6618" s="111" t="str">
        <f>DataPull!D6618</f>
        <v/>
      </c>
      <c r="G6618" s="94" t="str">
        <f t="shared" si="2"/>
        <v/>
      </c>
      <c r="H6618" s="94" t="str">
        <f t="shared" si="3"/>
        <v/>
      </c>
      <c r="I6618" s="94" t="str">
        <f t="shared" ref="I6618:J6618" si="6619">if(G6618 = "", , -G6618)</f>
        <v/>
      </c>
      <c r="J6618" s="94" t="str">
        <f t="shared" si="6619"/>
        <v/>
      </c>
      <c r="K6618" s="100"/>
      <c r="M6618" s="100"/>
      <c r="N6618" s="100"/>
      <c r="O6618" s="100"/>
      <c r="P6618" s="100"/>
    </row>
    <row r="6619">
      <c r="A6619" s="114">
        <v>1641750.0</v>
      </c>
      <c r="B6619" s="131" t="s">
        <v>247</v>
      </c>
      <c r="C6619" s="131" t="s">
        <v>1688</v>
      </c>
      <c r="D6619" s="24" t="s">
        <v>176</v>
      </c>
      <c r="E6619" s="24">
        <v>1476.6</v>
      </c>
      <c r="F6619" s="111" t="str">
        <f>DataPull!D6619</f>
        <v/>
      </c>
      <c r="G6619" s="94" t="str">
        <f t="shared" si="2"/>
        <v/>
      </c>
      <c r="H6619" s="94" t="str">
        <f t="shared" si="3"/>
        <v/>
      </c>
      <c r="I6619" s="94" t="str">
        <f t="shared" ref="I6619:J6619" si="6620">if(G6619 = "", , -G6619)</f>
        <v/>
      </c>
      <c r="J6619" s="94" t="str">
        <f t="shared" si="6620"/>
        <v/>
      </c>
      <c r="K6619" s="100"/>
      <c r="M6619" s="100"/>
      <c r="N6619" s="100"/>
      <c r="O6619" s="100"/>
      <c r="P6619" s="100"/>
    </row>
    <row r="6620">
      <c r="A6620" s="107">
        <v>1641752.0</v>
      </c>
      <c r="B6620" s="116" t="s">
        <v>246</v>
      </c>
      <c r="C6620" s="116" t="s">
        <v>1689</v>
      </c>
      <c r="D6620" s="24" t="s">
        <v>181</v>
      </c>
      <c r="E6620" s="24">
        <v>42.4</v>
      </c>
      <c r="F6620" s="111" t="str">
        <f>DataPull!D6620</f>
        <v/>
      </c>
      <c r="G6620" s="94" t="str">
        <f t="shared" si="2"/>
        <v/>
      </c>
      <c r="H6620" s="94" t="str">
        <f t="shared" si="3"/>
        <v/>
      </c>
      <c r="I6620" s="94" t="str">
        <f t="shared" ref="I6620:J6620" si="6621">if(G6620 = "", , -G6620)</f>
        <v/>
      </c>
      <c r="J6620" s="94" t="str">
        <f t="shared" si="6621"/>
        <v/>
      </c>
      <c r="K6620" s="100"/>
      <c r="M6620" s="100"/>
      <c r="N6620" s="100"/>
      <c r="O6620" s="100"/>
      <c r="P6620" s="100"/>
    </row>
    <row r="6621">
      <c r="A6621" s="114">
        <v>1641752.0</v>
      </c>
      <c r="B6621" s="131" t="s">
        <v>247</v>
      </c>
      <c r="C6621" s="131" t="s">
        <v>1689</v>
      </c>
      <c r="D6621" s="24" t="s">
        <v>187</v>
      </c>
      <c r="E6621" s="24">
        <v>70.8</v>
      </c>
      <c r="F6621" s="111" t="str">
        <f>DataPull!D6621</f>
        <v/>
      </c>
      <c r="G6621" s="94" t="str">
        <f t="shared" si="2"/>
        <v/>
      </c>
      <c r="H6621" s="94" t="str">
        <f t="shared" si="3"/>
        <v/>
      </c>
      <c r="I6621" s="94" t="str">
        <f t="shared" ref="I6621:J6621" si="6622">if(G6621 = "", , -G6621)</f>
        <v/>
      </c>
      <c r="J6621" s="94" t="str">
        <f t="shared" si="6622"/>
        <v/>
      </c>
      <c r="K6621" s="100"/>
      <c r="M6621" s="100"/>
      <c r="N6621" s="100"/>
      <c r="O6621" s="100"/>
      <c r="P6621" s="100"/>
    </row>
    <row r="6622">
      <c r="A6622" s="107">
        <v>1641753.0</v>
      </c>
      <c r="B6622" s="116" t="s">
        <v>245</v>
      </c>
      <c r="C6622" s="116" t="s">
        <v>1690</v>
      </c>
      <c r="D6622" s="24" t="s">
        <v>187</v>
      </c>
      <c r="E6622" s="24">
        <v>90.3</v>
      </c>
      <c r="F6622" s="111" t="str">
        <f>DataPull!D6622</f>
        <v/>
      </c>
      <c r="G6622" s="94" t="str">
        <f t="shared" si="2"/>
        <v/>
      </c>
      <c r="H6622" s="94" t="str">
        <f t="shared" si="3"/>
        <v/>
      </c>
      <c r="I6622" s="94" t="str">
        <f t="shared" ref="I6622:J6622" si="6623">if(G6622 = "", , -G6622)</f>
        <v/>
      </c>
      <c r="J6622" s="94" t="str">
        <f t="shared" si="6623"/>
        <v/>
      </c>
      <c r="K6622" s="100"/>
      <c r="M6622" s="100"/>
      <c r="N6622" s="100"/>
      <c r="O6622" s="100"/>
      <c r="P6622" s="100"/>
    </row>
    <row r="6623">
      <c r="A6623" s="107">
        <v>1641753.0</v>
      </c>
      <c r="B6623" s="116" t="s">
        <v>246</v>
      </c>
      <c r="C6623" s="116" t="s">
        <v>1690</v>
      </c>
      <c r="D6623" s="24" t="s">
        <v>187</v>
      </c>
      <c r="E6623" s="24">
        <v>105.0</v>
      </c>
      <c r="F6623" s="111" t="str">
        <f>DataPull!D6623</f>
        <v/>
      </c>
      <c r="G6623" s="94" t="str">
        <f t="shared" si="2"/>
        <v/>
      </c>
      <c r="H6623" s="94" t="str">
        <f t="shared" si="3"/>
        <v/>
      </c>
      <c r="I6623" s="94" t="str">
        <f t="shared" ref="I6623:J6623" si="6624">if(G6623 = "", , -G6623)</f>
        <v/>
      </c>
      <c r="J6623" s="94" t="str">
        <f t="shared" si="6624"/>
        <v/>
      </c>
      <c r="K6623" s="100"/>
      <c r="M6623" s="100"/>
      <c r="N6623" s="100"/>
      <c r="O6623" s="100"/>
      <c r="P6623" s="100"/>
    </row>
    <row r="6624">
      <c r="A6624" s="114">
        <v>1641753.0</v>
      </c>
      <c r="B6624" s="131" t="s">
        <v>247</v>
      </c>
      <c r="C6624" s="131" t="s">
        <v>1690</v>
      </c>
      <c r="D6624" s="24" t="s">
        <v>181</v>
      </c>
      <c r="E6624" s="24">
        <v>17.4</v>
      </c>
      <c r="F6624" s="111" t="str">
        <f>DataPull!D6624</f>
        <v/>
      </c>
      <c r="G6624" s="94" t="str">
        <f t="shared" si="2"/>
        <v/>
      </c>
      <c r="H6624" s="94" t="str">
        <f t="shared" si="3"/>
        <v/>
      </c>
      <c r="I6624" s="94" t="str">
        <f t="shared" ref="I6624:J6624" si="6625">if(G6624 = "", , -G6624)</f>
        <v/>
      </c>
      <c r="J6624" s="94" t="str">
        <f t="shared" si="6625"/>
        <v/>
      </c>
      <c r="K6624" s="100"/>
      <c r="M6624" s="100"/>
      <c r="N6624" s="100"/>
      <c r="O6624" s="100"/>
      <c r="P6624" s="100"/>
    </row>
    <row r="6625">
      <c r="A6625" s="107">
        <v>1641754.0</v>
      </c>
      <c r="B6625" s="116" t="s">
        <v>245</v>
      </c>
      <c r="C6625" s="116" t="s">
        <v>1691</v>
      </c>
      <c r="D6625" s="24" t="s">
        <v>187</v>
      </c>
      <c r="E6625" s="24">
        <v>52.2</v>
      </c>
      <c r="F6625" s="111" t="str">
        <f>DataPull!D6625</f>
        <v/>
      </c>
      <c r="G6625" s="94" t="str">
        <f t="shared" si="2"/>
        <v/>
      </c>
      <c r="H6625" s="94" t="str">
        <f t="shared" si="3"/>
        <v/>
      </c>
      <c r="I6625" s="94" t="str">
        <f t="shared" ref="I6625:J6625" si="6626">if(G6625 = "", , -G6625)</f>
        <v/>
      </c>
      <c r="J6625" s="94" t="str">
        <f t="shared" si="6626"/>
        <v/>
      </c>
      <c r="K6625" s="100"/>
      <c r="M6625" s="100"/>
      <c r="N6625" s="100"/>
      <c r="O6625" s="100"/>
      <c r="P6625" s="100"/>
    </row>
    <row r="6626">
      <c r="A6626" s="107">
        <v>1641754.0</v>
      </c>
      <c r="B6626" s="116" t="s">
        <v>246</v>
      </c>
      <c r="C6626" s="116" t="s">
        <v>1691</v>
      </c>
      <c r="D6626" s="24"/>
      <c r="E6626" s="24"/>
      <c r="F6626" s="111" t="str">
        <f>DataPull!D6626</f>
        <v/>
      </c>
      <c r="G6626" s="94" t="str">
        <f t="shared" si="2"/>
        <v/>
      </c>
      <c r="H6626" s="94" t="str">
        <f t="shared" si="3"/>
        <v/>
      </c>
      <c r="I6626" s="94" t="str">
        <f t="shared" ref="I6626:J6626" si="6627">if(G6626 = "", , -G6626)</f>
        <v/>
      </c>
      <c r="J6626" s="94" t="str">
        <f t="shared" si="6627"/>
        <v/>
      </c>
      <c r="K6626" s="100"/>
      <c r="M6626" s="100"/>
      <c r="N6626" s="100"/>
      <c r="O6626" s="100"/>
      <c r="P6626" s="100"/>
    </row>
    <row r="6627">
      <c r="A6627" s="107">
        <v>1641755.0</v>
      </c>
      <c r="B6627" s="116" t="s">
        <v>246</v>
      </c>
      <c r="C6627" s="116" t="s">
        <v>1692</v>
      </c>
      <c r="D6627" s="24" t="s">
        <v>181</v>
      </c>
      <c r="E6627" s="24">
        <v>29.2</v>
      </c>
      <c r="F6627" s="111" t="str">
        <f>DataPull!D6627</f>
        <v/>
      </c>
      <c r="G6627" s="94" t="str">
        <f t="shared" si="2"/>
        <v/>
      </c>
      <c r="H6627" s="94" t="str">
        <f t="shared" si="3"/>
        <v/>
      </c>
      <c r="I6627" s="94" t="str">
        <f t="shared" ref="I6627:J6627" si="6628">if(G6627 = "", , -G6627)</f>
        <v/>
      </c>
      <c r="J6627" s="94" t="str">
        <f t="shared" si="6628"/>
        <v/>
      </c>
      <c r="K6627" s="100"/>
      <c r="M6627" s="100"/>
      <c r="N6627" s="100"/>
      <c r="O6627" s="100"/>
      <c r="P6627" s="100"/>
    </row>
    <row r="6628">
      <c r="A6628" s="89">
        <v>1641755.0</v>
      </c>
      <c r="B6628" s="131" t="s">
        <v>247</v>
      </c>
      <c r="C6628" s="131" t="s">
        <v>1693</v>
      </c>
      <c r="D6628" s="24" t="s">
        <v>187</v>
      </c>
      <c r="E6628" s="24">
        <v>155.4</v>
      </c>
      <c r="F6628" s="111" t="str">
        <f>DataPull!D6628</f>
        <v/>
      </c>
      <c r="G6628" s="94" t="str">
        <f t="shared" si="2"/>
        <v/>
      </c>
      <c r="H6628" s="94" t="str">
        <f t="shared" si="3"/>
        <v/>
      </c>
      <c r="I6628" s="94" t="str">
        <f t="shared" ref="I6628:J6628" si="6629">if(G6628 = "", , -G6628)</f>
        <v/>
      </c>
      <c r="J6628" s="94" t="str">
        <f t="shared" si="6629"/>
        <v/>
      </c>
      <c r="K6628" s="100"/>
      <c r="M6628" s="100"/>
      <c r="N6628" s="100"/>
      <c r="O6628" s="100"/>
      <c r="P6628" s="100"/>
    </row>
    <row r="6629">
      <c r="A6629" s="107">
        <v>1641757.0</v>
      </c>
      <c r="B6629" s="116" t="s">
        <v>245</v>
      </c>
      <c r="C6629" s="116" t="s">
        <v>1694</v>
      </c>
      <c r="D6629" s="24" t="s">
        <v>181</v>
      </c>
      <c r="E6629" s="24">
        <v>28.0</v>
      </c>
      <c r="F6629" s="111" t="str">
        <f>DataPull!D6629</f>
        <v/>
      </c>
      <c r="G6629" s="94" t="str">
        <f t="shared" si="2"/>
        <v/>
      </c>
      <c r="H6629" s="94" t="str">
        <f t="shared" si="3"/>
        <v/>
      </c>
      <c r="I6629" s="94" t="str">
        <f t="shared" ref="I6629:J6629" si="6630">if(G6629 = "", , -G6629)</f>
        <v/>
      </c>
      <c r="J6629" s="94" t="str">
        <f t="shared" si="6630"/>
        <v/>
      </c>
      <c r="K6629" s="100"/>
      <c r="M6629" s="100"/>
      <c r="N6629" s="100"/>
      <c r="O6629" s="100"/>
      <c r="P6629" s="100"/>
    </row>
    <row r="6630">
      <c r="A6630" s="107">
        <v>1641757.0</v>
      </c>
      <c r="B6630" s="116" t="s">
        <v>246</v>
      </c>
      <c r="C6630" s="116" t="s">
        <v>1694</v>
      </c>
      <c r="D6630" s="24" t="s">
        <v>177</v>
      </c>
      <c r="E6630" s="24">
        <v>421.8</v>
      </c>
      <c r="F6630" s="111" t="str">
        <f>DataPull!D6630</f>
        <v/>
      </c>
      <c r="G6630" s="94" t="str">
        <f t="shared" si="2"/>
        <v/>
      </c>
      <c r="H6630" s="94" t="str">
        <f t="shared" si="3"/>
        <v/>
      </c>
      <c r="I6630" s="94" t="str">
        <f t="shared" ref="I6630:J6630" si="6631">if(G6630 = "", , -G6630)</f>
        <v/>
      </c>
      <c r="J6630" s="94" t="str">
        <f t="shared" si="6631"/>
        <v/>
      </c>
      <c r="K6630" s="100"/>
      <c r="M6630" s="100"/>
      <c r="N6630" s="100"/>
      <c r="O6630" s="100"/>
      <c r="P6630" s="100"/>
    </row>
    <row r="6631">
      <c r="A6631" s="126">
        <v>1641757.0</v>
      </c>
      <c r="B6631" s="145" t="s">
        <v>246</v>
      </c>
      <c r="C6631" s="145" t="s">
        <v>1694</v>
      </c>
      <c r="D6631" s="24" t="s">
        <v>177</v>
      </c>
      <c r="E6631" s="24">
        <v>421.8</v>
      </c>
      <c r="F6631" s="111" t="str">
        <f>DataPull!D6631</f>
        <v/>
      </c>
      <c r="G6631" s="94" t="str">
        <f t="shared" si="2"/>
        <v/>
      </c>
      <c r="H6631" s="94" t="str">
        <f t="shared" si="3"/>
        <v/>
      </c>
      <c r="I6631" s="94" t="str">
        <f t="shared" ref="I6631:J6631" si="6632">if(G6631 = "", , -G6631)</f>
        <v/>
      </c>
      <c r="J6631" s="94" t="str">
        <f t="shared" si="6632"/>
        <v/>
      </c>
      <c r="K6631" s="100"/>
      <c r="M6631" s="100"/>
      <c r="N6631" s="100"/>
      <c r="O6631" s="100"/>
      <c r="P6631" s="100"/>
    </row>
    <row r="6632">
      <c r="A6632" s="107">
        <v>1641763.0</v>
      </c>
      <c r="B6632" s="116" t="s">
        <v>245</v>
      </c>
      <c r="C6632" s="116" t="s">
        <v>1695</v>
      </c>
      <c r="D6632" s="24" t="s">
        <v>187</v>
      </c>
      <c r="E6632" s="24">
        <v>324.0</v>
      </c>
      <c r="F6632" s="111" t="str">
        <f>DataPull!D6632</f>
        <v/>
      </c>
      <c r="G6632" s="94" t="str">
        <f t="shared" si="2"/>
        <v/>
      </c>
      <c r="H6632" s="94" t="str">
        <f t="shared" si="3"/>
        <v/>
      </c>
      <c r="I6632" s="94" t="str">
        <f t="shared" ref="I6632:J6632" si="6633">if(G6632 = "", , -G6632)</f>
        <v/>
      </c>
      <c r="J6632" s="94" t="str">
        <f t="shared" si="6633"/>
        <v/>
      </c>
      <c r="K6632" s="100"/>
      <c r="M6632" s="100"/>
      <c r="N6632" s="100"/>
      <c r="O6632" s="100"/>
      <c r="P6632" s="100"/>
    </row>
    <row r="6633">
      <c r="A6633" s="107">
        <v>1641763.0</v>
      </c>
      <c r="B6633" s="116" t="s">
        <v>246</v>
      </c>
      <c r="C6633" s="116" t="s">
        <v>1695</v>
      </c>
      <c r="D6633" s="24" t="s">
        <v>177</v>
      </c>
      <c r="E6633" s="24">
        <v>1121.8</v>
      </c>
      <c r="F6633" s="111" t="str">
        <f>DataPull!D6633</f>
        <v/>
      </c>
      <c r="G6633" s="94" t="str">
        <f t="shared" si="2"/>
        <v/>
      </c>
      <c r="H6633" s="94" t="str">
        <f t="shared" si="3"/>
        <v/>
      </c>
      <c r="I6633" s="94" t="str">
        <f t="shared" ref="I6633:J6633" si="6634">if(G6633 = "", , -G6633)</f>
        <v/>
      </c>
      <c r="J6633" s="94" t="str">
        <f t="shared" si="6634"/>
        <v/>
      </c>
      <c r="K6633" s="100"/>
      <c r="M6633" s="100"/>
      <c r="N6633" s="100"/>
      <c r="O6633" s="100"/>
      <c r="P6633" s="100"/>
    </row>
    <row r="6634">
      <c r="A6634" s="114">
        <v>1641763.0</v>
      </c>
      <c r="B6634" s="131" t="s">
        <v>247</v>
      </c>
      <c r="C6634" s="131" t="s">
        <v>1695</v>
      </c>
      <c r="D6634" s="24" t="s">
        <v>187</v>
      </c>
      <c r="E6634" s="24">
        <v>427.2</v>
      </c>
      <c r="F6634" s="111" t="str">
        <f>DataPull!D6634</f>
        <v/>
      </c>
      <c r="G6634" s="94" t="str">
        <f t="shared" si="2"/>
        <v/>
      </c>
      <c r="H6634" s="94" t="str">
        <f t="shared" si="3"/>
        <v/>
      </c>
      <c r="I6634" s="94" t="str">
        <f t="shared" ref="I6634:J6634" si="6635">if(G6634 = "", , -G6634)</f>
        <v/>
      </c>
      <c r="J6634" s="94" t="str">
        <f t="shared" si="6635"/>
        <v/>
      </c>
      <c r="K6634" s="100"/>
      <c r="M6634" s="100"/>
      <c r="N6634" s="100"/>
      <c r="O6634" s="100"/>
      <c r="P6634" s="100"/>
    </row>
    <row r="6635">
      <c r="A6635" s="107">
        <v>1641764.0</v>
      </c>
      <c r="B6635" s="116" t="s">
        <v>245</v>
      </c>
      <c r="C6635" s="116" t="s">
        <v>1696</v>
      </c>
      <c r="D6635" s="24" t="s">
        <v>178</v>
      </c>
      <c r="E6635" s="24">
        <v>1968.4</v>
      </c>
      <c r="F6635" s="111" t="str">
        <f>DataPull!D6635</f>
        <v/>
      </c>
      <c r="G6635" s="94" t="str">
        <f t="shared" si="2"/>
        <v/>
      </c>
      <c r="H6635" s="94" t="str">
        <f t="shared" si="3"/>
        <v/>
      </c>
      <c r="I6635" s="94" t="str">
        <f t="shared" ref="I6635:J6635" si="6636">if(G6635 = "", , -G6635)</f>
        <v/>
      </c>
      <c r="J6635" s="94" t="str">
        <f t="shared" si="6636"/>
        <v/>
      </c>
      <c r="K6635" s="100"/>
      <c r="M6635" s="100"/>
      <c r="N6635" s="100"/>
      <c r="O6635" s="100"/>
      <c r="P6635" s="100"/>
    </row>
    <row r="6636">
      <c r="A6636" s="107">
        <v>1641764.0</v>
      </c>
      <c r="B6636" s="116" t="s">
        <v>246</v>
      </c>
      <c r="C6636" s="116" t="s">
        <v>1696</v>
      </c>
      <c r="D6636" s="24" t="s">
        <v>184</v>
      </c>
      <c r="E6636" s="24">
        <v>1715.2</v>
      </c>
      <c r="F6636" s="111" t="str">
        <f>DataPull!D6636</f>
        <v/>
      </c>
      <c r="G6636" s="94" t="str">
        <f t="shared" si="2"/>
        <v/>
      </c>
      <c r="H6636" s="94" t="str">
        <f t="shared" si="3"/>
        <v/>
      </c>
      <c r="I6636" s="94" t="str">
        <f t="shared" ref="I6636:J6636" si="6637">if(G6636 = "", , -G6636)</f>
        <v/>
      </c>
      <c r="J6636" s="94" t="str">
        <f t="shared" si="6637"/>
        <v/>
      </c>
      <c r="K6636" s="100"/>
      <c r="M6636" s="100"/>
      <c r="N6636" s="100"/>
      <c r="O6636" s="100"/>
      <c r="P6636" s="100"/>
    </row>
    <row r="6637">
      <c r="A6637" s="114">
        <v>1641764.0</v>
      </c>
      <c r="B6637" s="131" t="s">
        <v>247</v>
      </c>
      <c r="C6637" s="131" t="s">
        <v>1696</v>
      </c>
      <c r="D6637" s="24" t="s">
        <v>184</v>
      </c>
      <c r="E6637" s="24">
        <v>2328.8</v>
      </c>
      <c r="F6637" s="111" t="str">
        <f>DataPull!D6637</f>
        <v/>
      </c>
      <c r="G6637" s="94" t="str">
        <f t="shared" si="2"/>
        <v/>
      </c>
      <c r="H6637" s="94" t="str">
        <f t="shared" si="3"/>
        <v/>
      </c>
      <c r="I6637" s="94" t="str">
        <f t="shared" ref="I6637:J6637" si="6638">if(G6637 = "", , -G6637)</f>
        <v/>
      </c>
      <c r="J6637" s="94" t="str">
        <f t="shared" si="6638"/>
        <v/>
      </c>
      <c r="K6637" s="100"/>
      <c r="M6637" s="100"/>
      <c r="N6637" s="100"/>
      <c r="O6637" s="100"/>
      <c r="P6637" s="100"/>
    </row>
    <row r="6638">
      <c r="A6638" s="107">
        <v>1641765.0</v>
      </c>
      <c r="B6638" s="116" t="s">
        <v>245</v>
      </c>
      <c r="C6638" s="116" t="s">
        <v>1697</v>
      </c>
      <c r="D6638" s="24" t="s">
        <v>187</v>
      </c>
      <c r="E6638" s="24">
        <v>336.0</v>
      </c>
      <c r="F6638" s="111" t="str">
        <f>DataPull!D6638</f>
        <v/>
      </c>
      <c r="G6638" s="94" t="str">
        <f t="shared" si="2"/>
        <v/>
      </c>
      <c r="H6638" s="94" t="str">
        <f t="shared" si="3"/>
        <v/>
      </c>
      <c r="I6638" s="94" t="str">
        <f t="shared" ref="I6638:J6638" si="6639">if(G6638 = "", , -G6638)</f>
        <v/>
      </c>
      <c r="J6638" s="94" t="str">
        <f t="shared" si="6639"/>
        <v/>
      </c>
      <c r="K6638" s="100"/>
      <c r="M6638" s="100"/>
      <c r="N6638" s="100"/>
      <c r="O6638" s="100"/>
      <c r="P6638" s="100"/>
    </row>
    <row r="6639">
      <c r="A6639" s="107">
        <v>1641765.0</v>
      </c>
      <c r="B6639" s="116" t="s">
        <v>246</v>
      </c>
      <c r="C6639" s="116" t="s">
        <v>1697</v>
      </c>
      <c r="D6639" s="24" t="s">
        <v>177</v>
      </c>
      <c r="E6639" s="24">
        <v>582.4</v>
      </c>
      <c r="F6639" s="111" t="str">
        <f>DataPull!D6639</f>
        <v/>
      </c>
      <c r="G6639" s="94" t="str">
        <f t="shared" si="2"/>
        <v/>
      </c>
      <c r="H6639" s="94" t="str">
        <f t="shared" si="3"/>
        <v/>
      </c>
      <c r="I6639" s="94" t="str">
        <f t="shared" ref="I6639:J6639" si="6640">if(G6639 = "", , -G6639)</f>
        <v/>
      </c>
      <c r="J6639" s="94" t="str">
        <f t="shared" si="6640"/>
        <v/>
      </c>
      <c r="K6639" s="100"/>
      <c r="M6639" s="100"/>
      <c r="N6639" s="100"/>
      <c r="O6639" s="100"/>
      <c r="P6639" s="100"/>
    </row>
    <row r="6640">
      <c r="A6640" s="114">
        <v>1641765.0</v>
      </c>
      <c r="B6640" s="131" t="s">
        <v>247</v>
      </c>
      <c r="C6640" s="131" t="s">
        <v>1697</v>
      </c>
      <c r="D6640" s="24" t="s">
        <v>177</v>
      </c>
      <c r="E6640" s="24">
        <v>985.8</v>
      </c>
      <c r="F6640" s="111" t="str">
        <f>DataPull!D6640</f>
        <v/>
      </c>
      <c r="G6640" s="94" t="str">
        <f t="shared" si="2"/>
        <v/>
      </c>
      <c r="H6640" s="94" t="str">
        <f t="shared" si="3"/>
        <v/>
      </c>
      <c r="I6640" s="94" t="str">
        <f t="shared" ref="I6640:J6640" si="6641">if(G6640 = "", , -G6640)</f>
        <v/>
      </c>
      <c r="J6640" s="94" t="str">
        <f t="shared" si="6641"/>
        <v/>
      </c>
      <c r="K6640" s="100"/>
      <c r="M6640" s="100"/>
      <c r="N6640" s="100"/>
      <c r="O6640" s="100"/>
      <c r="P6640" s="100"/>
    </row>
    <row r="6641">
      <c r="A6641" s="107">
        <v>1641766.0</v>
      </c>
      <c r="B6641" s="116" t="s">
        <v>245</v>
      </c>
      <c r="C6641" s="116" t="s">
        <v>1698</v>
      </c>
      <c r="D6641" s="24" t="s">
        <v>187</v>
      </c>
      <c r="E6641" s="24">
        <v>65.7</v>
      </c>
      <c r="F6641" s="111" t="str">
        <f>DataPull!D6641</f>
        <v/>
      </c>
      <c r="G6641" s="94" t="str">
        <f t="shared" si="2"/>
        <v/>
      </c>
      <c r="H6641" s="94" t="str">
        <f t="shared" si="3"/>
        <v/>
      </c>
      <c r="I6641" s="94" t="str">
        <f t="shared" ref="I6641:J6641" si="6642">if(G6641 = "", , -G6641)</f>
        <v/>
      </c>
      <c r="J6641" s="94" t="str">
        <f t="shared" si="6642"/>
        <v/>
      </c>
      <c r="K6641" s="100"/>
      <c r="M6641" s="100"/>
      <c r="N6641" s="100"/>
      <c r="O6641" s="100"/>
      <c r="P6641" s="100"/>
    </row>
    <row r="6642">
      <c r="A6642" s="107">
        <v>1641766.0</v>
      </c>
      <c r="B6642" s="116" t="s">
        <v>246</v>
      </c>
      <c r="C6642" s="116" t="s">
        <v>1698</v>
      </c>
      <c r="D6642" s="24" t="s">
        <v>181</v>
      </c>
      <c r="E6642" s="24">
        <v>21.6</v>
      </c>
      <c r="F6642" s="111" t="str">
        <f>DataPull!D6642</f>
        <v/>
      </c>
      <c r="G6642" s="94" t="str">
        <f t="shared" si="2"/>
        <v/>
      </c>
      <c r="H6642" s="94" t="str">
        <f t="shared" si="3"/>
        <v/>
      </c>
      <c r="I6642" s="94" t="str">
        <f t="shared" ref="I6642:J6642" si="6643">if(G6642 = "", , -G6642)</f>
        <v/>
      </c>
      <c r="J6642" s="94" t="str">
        <f t="shared" si="6643"/>
        <v/>
      </c>
      <c r="K6642" s="100"/>
      <c r="M6642" s="100"/>
      <c r="N6642" s="100"/>
      <c r="O6642" s="100"/>
      <c r="P6642" s="100"/>
    </row>
    <row r="6643">
      <c r="A6643" s="107">
        <v>1641767.0</v>
      </c>
      <c r="B6643" s="116" t="s">
        <v>245</v>
      </c>
      <c r="C6643" s="116" t="s">
        <v>1699</v>
      </c>
      <c r="D6643" s="24" t="s">
        <v>177</v>
      </c>
      <c r="E6643" s="24">
        <v>815.1</v>
      </c>
      <c r="F6643" s="111" t="str">
        <f>DataPull!D6643</f>
        <v/>
      </c>
      <c r="G6643" s="94" t="str">
        <f t="shared" si="2"/>
        <v/>
      </c>
      <c r="H6643" s="94" t="str">
        <f t="shared" si="3"/>
        <v/>
      </c>
      <c r="I6643" s="94" t="str">
        <f t="shared" ref="I6643:J6643" si="6644">if(G6643 = "", , -G6643)</f>
        <v/>
      </c>
      <c r="J6643" s="94" t="str">
        <f t="shared" si="6644"/>
        <v/>
      </c>
      <c r="K6643" s="100"/>
      <c r="M6643" s="100"/>
      <c r="N6643" s="100"/>
      <c r="O6643" s="100"/>
      <c r="P6643" s="100"/>
    </row>
    <row r="6644">
      <c r="A6644" s="107">
        <v>1641767.0</v>
      </c>
      <c r="B6644" s="116" t="s">
        <v>246</v>
      </c>
      <c r="C6644" s="116" t="s">
        <v>1699</v>
      </c>
      <c r="D6644" s="24" t="s">
        <v>177</v>
      </c>
      <c r="E6644" s="24">
        <v>1228.5</v>
      </c>
      <c r="F6644" s="111" t="str">
        <f>DataPull!D6644</f>
        <v/>
      </c>
      <c r="G6644" s="94" t="str">
        <f t="shared" si="2"/>
        <v/>
      </c>
      <c r="H6644" s="94" t="str">
        <f t="shared" si="3"/>
        <v/>
      </c>
      <c r="I6644" s="94" t="str">
        <f t="shared" ref="I6644:J6644" si="6645">if(G6644 = "", , -G6644)</f>
        <v/>
      </c>
      <c r="J6644" s="94" t="str">
        <f t="shared" si="6645"/>
        <v/>
      </c>
      <c r="K6644" s="100"/>
      <c r="M6644" s="100"/>
      <c r="N6644" s="100"/>
      <c r="O6644" s="100"/>
      <c r="P6644" s="100"/>
    </row>
    <row r="6645">
      <c r="A6645" s="114">
        <v>1641767.0</v>
      </c>
      <c r="B6645" s="131" t="s">
        <v>247</v>
      </c>
      <c r="C6645" s="131" t="s">
        <v>1699</v>
      </c>
      <c r="D6645" s="24" t="s">
        <v>176</v>
      </c>
      <c r="E6645" s="24">
        <v>1391.0</v>
      </c>
      <c r="F6645" s="111" t="str">
        <f>DataPull!D6645</f>
        <v/>
      </c>
      <c r="G6645" s="94" t="str">
        <f t="shared" si="2"/>
        <v/>
      </c>
      <c r="H6645" s="94" t="str">
        <f t="shared" si="3"/>
        <v/>
      </c>
      <c r="I6645" s="94" t="str">
        <f t="shared" ref="I6645:J6645" si="6646">if(G6645 = "", , -G6645)</f>
        <v/>
      </c>
      <c r="J6645" s="94" t="str">
        <f t="shared" si="6646"/>
        <v/>
      </c>
      <c r="K6645" s="100"/>
      <c r="M6645" s="100"/>
      <c r="N6645" s="100"/>
      <c r="O6645" s="100"/>
      <c r="P6645" s="100"/>
    </row>
    <row r="6646">
      <c r="A6646" s="107">
        <v>1641771.0</v>
      </c>
      <c r="B6646" s="116" t="s">
        <v>245</v>
      </c>
      <c r="C6646" s="116" t="s">
        <v>1700</v>
      </c>
      <c r="D6646" s="24" t="s">
        <v>187</v>
      </c>
      <c r="E6646" s="24">
        <v>37.2</v>
      </c>
      <c r="F6646" s="111" t="str">
        <f>DataPull!D6646</f>
        <v/>
      </c>
      <c r="G6646" s="94" t="str">
        <f t="shared" si="2"/>
        <v/>
      </c>
      <c r="H6646" s="94" t="str">
        <f t="shared" si="3"/>
        <v/>
      </c>
      <c r="I6646" s="94" t="str">
        <f t="shared" ref="I6646:J6646" si="6647">if(G6646 = "", , -G6646)</f>
        <v/>
      </c>
      <c r="J6646" s="94" t="str">
        <f t="shared" si="6647"/>
        <v/>
      </c>
      <c r="K6646" s="100"/>
      <c r="M6646" s="100"/>
      <c r="N6646" s="100"/>
      <c r="O6646" s="100"/>
      <c r="P6646" s="100"/>
    </row>
    <row r="6647">
      <c r="A6647" s="114">
        <v>1641772.0</v>
      </c>
      <c r="B6647" s="131" t="s">
        <v>247</v>
      </c>
      <c r="C6647" s="131" t="s">
        <v>1701</v>
      </c>
      <c r="D6647" s="24" t="s">
        <v>177</v>
      </c>
      <c r="E6647" s="24">
        <v>1004.8</v>
      </c>
      <c r="F6647" s="111" t="str">
        <f>DataPull!D6647</f>
        <v/>
      </c>
      <c r="G6647" s="94" t="str">
        <f t="shared" si="2"/>
        <v/>
      </c>
      <c r="H6647" s="94" t="str">
        <f t="shared" si="3"/>
        <v/>
      </c>
      <c r="I6647" s="94" t="str">
        <f t="shared" ref="I6647:J6647" si="6648">if(G6647 = "", , -G6647)</f>
        <v/>
      </c>
      <c r="J6647" s="94" t="str">
        <f t="shared" si="6648"/>
        <v/>
      </c>
      <c r="K6647" s="100"/>
      <c r="M6647" s="100"/>
      <c r="N6647" s="100"/>
      <c r="O6647" s="100"/>
      <c r="P6647" s="100"/>
    </row>
    <row r="6648">
      <c r="A6648" s="107">
        <v>1641774.0</v>
      </c>
      <c r="B6648" s="116" t="s">
        <v>245</v>
      </c>
      <c r="C6648" s="116" t="s">
        <v>1702</v>
      </c>
      <c r="D6648" s="24" t="s">
        <v>187</v>
      </c>
      <c r="E6648" s="24">
        <v>153.0</v>
      </c>
      <c r="F6648" s="111" t="str">
        <f>DataPull!D6648</f>
        <v/>
      </c>
      <c r="G6648" s="94" t="str">
        <f t="shared" si="2"/>
        <v/>
      </c>
      <c r="H6648" s="94" t="str">
        <f t="shared" si="3"/>
        <v/>
      </c>
      <c r="I6648" s="94" t="str">
        <f t="shared" ref="I6648:J6648" si="6649">if(G6648 = "", , -G6648)</f>
        <v/>
      </c>
      <c r="J6648" s="94" t="str">
        <f t="shared" si="6649"/>
        <v/>
      </c>
      <c r="K6648" s="100"/>
      <c r="M6648" s="100"/>
      <c r="N6648" s="100"/>
      <c r="O6648" s="100"/>
      <c r="P6648" s="100"/>
    </row>
    <row r="6649">
      <c r="A6649" s="107">
        <v>1641774.0</v>
      </c>
      <c r="B6649" s="116" t="s">
        <v>246</v>
      </c>
      <c r="C6649" s="116" t="s">
        <v>1702</v>
      </c>
      <c r="D6649" s="24" t="s">
        <v>177</v>
      </c>
      <c r="E6649" s="24">
        <v>511.0</v>
      </c>
      <c r="F6649" s="111" t="str">
        <f>DataPull!D6649</f>
        <v/>
      </c>
      <c r="G6649" s="94" t="str">
        <f t="shared" si="2"/>
        <v/>
      </c>
      <c r="H6649" s="94" t="str">
        <f t="shared" si="3"/>
        <v/>
      </c>
      <c r="I6649" s="94" t="str">
        <f t="shared" ref="I6649:J6649" si="6650">if(G6649 = "", , -G6649)</f>
        <v/>
      </c>
      <c r="J6649" s="94" t="str">
        <f t="shared" si="6650"/>
        <v/>
      </c>
      <c r="K6649" s="100"/>
      <c r="M6649" s="100"/>
      <c r="N6649" s="100"/>
      <c r="O6649" s="100"/>
      <c r="P6649" s="100"/>
    </row>
    <row r="6650">
      <c r="A6650" s="114">
        <v>1641774.0</v>
      </c>
      <c r="B6650" s="131" t="s">
        <v>247</v>
      </c>
      <c r="C6650" s="131" t="s">
        <v>1702</v>
      </c>
      <c r="D6650" s="24" t="s">
        <v>177</v>
      </c>
      <c r="E6650" s="24">
        <v>671.3</v>
      </c>
      <c r="F6650" s="111" t="str">
        <f>DataPull!D6650</f>
        <v/>
      </c>
      <c r="G6650" s="94" t="str">
        <f t="shared" si="2"/>
        <v/>
      </c>
      <c r="H6650" s="94" t="str">
        <f t="shared" si="3"/>
        <v/>
      </c>
      <c r="I6650" s="94" t="str">
        <f t="shared" ref="I6650:J6650" si="6651">if(G6650 = "", , -G6650)</f>
        <v/>
      </c>
      <c r="J6650" s="94" t="str">
        <f t="shared" si="6651"/>
        <v/>
      </c>
      <c r="K6650" s="100"/>
      <c r="M6650" s="100"/>
      <c r="N6650" s="100"/>
      <c r="O6650" s="100"/>
      <c r="P6650" s="100"/>
    </row>
    <row r="6651">
      <c r="A6651" s="107">
        <v>1641775.0</v>
      </c>
      <c r="B6651" s="116" t="s">
        <v>245</v>
      </c>
      <c r="C6651" s="116" t="s">
        <v>1703</v>
      </c>
      <c r="D6651" s="24" t="s">
        <v>187</v>
      </c>
      <c r="E6651" s="24">
        <v>83.7</v>
      </c>
      <c r="F6651" s="111" t="str">
        <f>DataPull!D6651</f>
        <v/>
      </c>
      <c r="G6651" s="94" t="str">
        <f t="shared" si="2"/>
        <v/>
      </c>
      <c r="H6651" s="94" t="str">
        <f t="shared" si="3"/>
        <v/>
      </c>
      <c r="I6651" s="94" t="str">
        <f t="shared" ref="I6651:J6651" si="6652">if(G6651 = "", , -G6651)</f>
        <v/>
      </c>
      <c r="J6651" s="94" t="str">
        <f t="shared" si="6652"/>
        <v/>
      </c>
      <c r="K6651" s="100"/>
      <c r="M6651" s="100"/>
      <c r="N6651" s="100"/>
      <c r="O6651" s="100"/>
      <c r="P6651" s="100"/>
    </row>
    <row r="6652">
      <c r="A6652" s="107">
        <v>1641775.0</v>
      </c>
      <c r="B6652" s="116" t="s">
        <v>246</v>
      </c>
      <c r="C6652" s="116" t="s">
        <v>1703</v>
      </c>
      <c r="D6652" s="24" t="s">
        <v>187</v>
      </c>
      <c r="E6652" s="24">
        <v>405.6</v>
      </c>
      <c r="F6652" s="111" t="str">
        <f>DataPull!D6652</f>
        <v/>
      </c>
      <c r="G6652" s="94" t="str">
        <f t="shared" si="2"/>
        <v/>
      </c>
      <c r="H6652" s="94" t="str">
        <f t="shared" si="3"/>
        <v/>
      </c>
      <c r="I6652" s="94" t="str">
        <f t="shared" ref="I6652:J6652" si="6653">if(G6652 = "", , -G6652)</f>
        <v/>
      </c>
      <c r="J6652" s="94" t="str">
        <f t="shared" si="6653"/>
        <v/>
      </c>
      <c r="K6652" s="100"/>
      <c r="M6652" s="100"/>
      <c r="N6652" s="100"/>
      <c r="O6652" s="100"/>
      <c r="P6652" s="100"/>
    </row>
    <row r="6653">
      <c r="A6653" s="114">
        <v>1641775.0</v>
      </c>
      <c r="B6653" s="131" t="s">
        <v>247</v>
      </c>
      <c r="C6653" s="131" t="s">
        <v>1703</v>
      </c>
      <c r="D6653" s="24" t="s">
        <v>176</v>
      </c>
      <c r="E6653" s="24">
        <v>1210.4</v>
      </c>
      <c r="F6653" s="111" t="str">
        <f>DataPull!D6653</f>
        <v/>
      </c>
      <c r="G6653" s="94" t="str">
        <f t="shared" si="2"/>
        <v/>
      </c>
      <c r="H6653" s="94" t="str">
        <f t="shared" si="3"/>
        <v/>
      </c>
      <c r="I6653" s="94" t="str">
        <f t="shared" ref="I6653:J6653" si="6654">if(G6653 = "", , -G6653)</f>
        <v/>
      </c>
      <c r="J6653" s="94" t="str">
        <f t="shared" si="6654"/>
        <v/>
      </c>
      <c r="K6653" s="100"/>
      <c r="M6653" s="100"/>
      <c r="N6653" s="100"/>
      <c r="O6653" s="100"/>
      <c r="P6653" s="100"/>
    </row>
    <row r="6654">
      <c r="A6654" s="107">
        <v>1641778.0</v>
      </c>
      <c r="B6654" s="116" t="s">
        <v>245</v>
      </c>
      <c r="C6654" s="116" t="s">
        <v>1704</v>
      </c>
      <c r="D6654" s="24" t="s">
        <v>187</v>
      </c>
      <c r="E6654" s="24">
        <v>283.4</v>
      </c>
      <c r="F6654" s="111" t="str">
        <f>DataPull!D6654</f>
        <v/>
      </c>
      <c r="G6654" s="94" t="str">
        <f t="shared" si="2"/>
        <v/>
      </c>
      <c r="H6654" s="94" t="str">
        <f t="shared" si="3"/>
        <v/>
      </c>
      <c r="I6654" s="94" t="str">
        <f t="shared" ref="I6654:J6654" si="6655">if(G6654 = "", , -G6654)</f>
        <v/>
      </c>
      <c r="J6654" s="94" t="str">
        <f t="shared" si="6655"/>
        <v/>
      </c>
      <c r="K6654" s="100"/>
      <c r="M6654" s="100"/>
      <c r="N6654" s="100"/>
      <c r="O6654" s="100"/>
      <c r="P6654" s="100"/>
    </row>
    <row r="6655">
      <c r="A6655" s="126">
        <v>1641778.0</v>
      </c>
      <c r="B6655" s="141" t="s">
        <v>247</v>
      </c>
      <c r="C6655" s="141" t="s">
        <v>1704</v>
      </c>
      <c r="D6655" s="24"/>
      <c r="E6655" s="24">
        <v>433.5</v>
      </c>
      <c r="F6655" s="111" t="str">
        <f>DataPull!D6655</f>
        <v/>
      </c>
      <c r="G6655" s="94" t="str">
        <f t="shared" si="2"/>
        <v/>
      </c>
      <c r="H6655" s="94" t="str">
        <f t="shared" si="3"/>
        <v/>
      </c>
      <c r="I6655" s="94" t="str">
        <f t="shared" ref="I6655:J6655" si="6656">if(G6655 = "", , -G6655)</f>
        <v/>
      </c>
      <c r="J6655" s="94" t="str">
        <f t="shared" si="6656"/>
        <v/>
      </c>
      <c r="K6655" s="100"/>
      <c r="M6655" s="100"/>
      <c r="N6655" s="100"/>
      <c r="O6655" s="100"/>
      <c r="P6655" s="100"/>
    </row>
    <row r="6656">
      <c r="A6656" s="107">
        <v>1641779.0</v>
      </c>
      <c r="B6656" s="116" t="s">
        <v>246</v>
      </c>
      <c r="C6656" s="116" t="s">
        <v>1705</v>
      </c>
      <c r="D6656" s="24" t="s">
        <v>181</v>
      </c>
      <c r="E6656" s="24">
        <v>30.4</v>
      </c>
      <c r="F6656" s="111" t="str">
        <f>DataPull!D6656</f>
        <v/>
      </c>
      <c r="G6656" s="94" t="str">
        <f t="shared" si="2"/>
        <v/>
      </c>
      <c r="H6656" s="94" t="str">
        <f t="shared" si="3"/>
        <v/>
      </c>
      <c r="I6656" s="94" t="str">
        <f t="shared" ref="I6656:J6656" si="6657">if(G6656 = "", , -G6656)</f>
        <v/>
      </c>
      <c r="J6656" s="94" t="str">
        <f t="shared" si="6657"/>
        <v/>
      </c>
      <c r="K6656" s="100"/>
      <c r="M6656" s="100"/>
      <c r="N6656" s="100"/>
      <c r="O6656" s="100"/>
      <c r="P6656" s="100"/>
    </row>
    <row r="6657">
      <c r="A6657" s="114">
        <v>1641780.0</v>
      </c>
      <c r="B6657" s="131" t="s">
        <v>247</v>
      </c>
      <c r="C6657" s="131" t="s">
        <v>1706</v>
      </c>
      <c r="D6657" s="24" t="s">
        <v>187</v>
      </c>
      <c r="E6657" s="24">
        <v>55.0</v>
      </c>
      <c r="F6657" s="111" t="str">
        <f>DataPull!D6657</f>
        <v/>
      </c>
      <c r="G6657" s="94" t="str">
        <f t="shared" si="2"/>
        <v/>
      </c>
      <c r="H6657" s="94" t="str">
        <f t="shared" si="3"/>
        <v/>
      </c>
      <c r="I6657" s="94" t="str">
        <f t="shared" ref="I6657:J6657" si="6658">if(G6657 = "", , -G6657)</f>
        <v/>
      </c>
      <c r="J6657" s="94" t="str">
        <f t="shared" si="6658"/>
        <v/>
      </c>
      <c r="K6657" s="100"/>
      <c r="M6657" s="100"/>
      <c r="N6657" s="100"/>
      <c r="O6657" s="100"/>
      <c r="P6657" s="100"/>
    </row>
    <row r="6658">
      <c r="A6658" s="107">
        <v>1641783.0</v>
      </c>
      <c r="B6658" s="116" t="s">
        <v>246</v>
      </c>
      <c r="C6658" s="116" t="s">
        <v>1707</v>
      </c>
      <c r="D6658" s="24" t="s">
        <v>176</v>
      </c>
      <c r="E6658" s="24">
        <v>1628.0</v>
      </c>
      <c r="F6658" s="111" t="str">
        <f>DataPull!D6658</f>
        <v/>
      </c>
      <c r="G6658" s="94" t="str">
        <f t="shared" si="2"/>
        <v/>
      </c>
      <c r="H6658" s="94" t="str">
        <f t="shared" si="3"/>
        <v/>
      </c>
      <c r="I6658" s="94" t="str">
        <f t="shared" ref="I6658:J6658" si="6659">if(G6658 = "", , -G6658)</f>
        <v/>
      </c>
      <c r="J6658" s="94" t="str">
        <f t="shared" si="6659"/>
        <v/>
      </c>
      <c r="K6658" s="100"/>
      <c r="M6658" s="100"/>
      <c r="N6658" s="100"/>
      <c r="O6658" s="100"/>
      <c r="P6658" s="100"/>
    </row>
    <row r="6659">
      <c r="A6659" s="114">
        <v>1641783.0</v>
      </c>
      <c r="B6659" s="131" t="s">
        <v>247</v>
      </c>
      <c r="C6659" s="131" t="s">
        <v>1707</v>
      </c>
      <c r="D6659" s="24" t="s">
        <v>176</v>
      </c>
      <c r="E6659" s="24">
        <v>1901.9</v>
      </c>
      <c r="F6659" s="111" t="str">
        <f>DataPull!D6659</f>
        <v/>
      </c>
      <c r="G6659" s="94" t="str">
        <f t="shared" si="2"/>
        <v/>
      </c>
      <c r="H6659" s="94" t="str">
        <f t="shared" si="3"/>
        <v/>
      </c>
      <c r="I6659" s="94" t="str">
        <f t="shared" ref="I6659:J6659" si="6660">if(G6659 = "", , -G6659)</f>
        <v/>
      </c>
      <c r="J6659" s="94" t="str">
        <f t="shared" si="6660"/>
        <v/>
      </c>
      <c r="K6659" s="100"/>
      <c r="M6659" s="100"/>
      <c r="N6659" s="100"/>
      <c r="O6659" s="100"/>
      <c r="P6659" s="100"/>
    </row>
    <row r="6660">
      <c r="A6660" s="107">
        <v>1641787.0</v>
      </c>
      <c r="B6660" s="116" t="s">
        <v>245</v>
      </c>
      <c r="C6660" s="116" t="s">
        <v>1708</v>
      </c>
      <c r="D6660" s="24" t="s">
        <v>187</v>
      </c>
      <c r="E6660" s="24">
        <v>367.2</v>
      </c>
      <c r="F6660" s="111" t="str">
        <f>DataPull!D6660</f>
        <v/>
      </c>
      <c r="G6660" s="94" t="str">
        <f t="shared" si="2"/>
        <v/>
      </c>
      <c r="H6660" s="94" t="str">
        <f t="shared" si="3"/>
        <v/>
      </c>
      <c r="I6660" s="94" t="str">
        <f t="shared" ref="I6660:J6660" si="6661">if(G6660 = "", , -G6660)</f>
        <v/>
      </c>
      <c r="J6660" s="94" t="str">
        <f t="shared" si="6661"/>
        <v/>
      </c>
      <c r="K6660" s="100"/>
      <c r="M6660" s="100"/>
      <c r="N6660" s="100"/>
      <c r="O6660" s="100"/>
      <c r="P6660" s="100"/>
    </row>
    <row r="6661">
      <c r="A6661" s="120">
        <v>1641787.0</v>
      </c>
      <c r="B6661" s="138" t="s">
        <v>246</v>
      </c>
      <c r="C6661" s="138" t="s">
        <v>1708</v>
      </c>
      <c r="D6661" s="139" t="s">
        <v>176</v>
      </c>
      <c r="E6661" s="139">
        <v>663.6</v>
      </c>
      <c r="F6661" s="111" t="str">
        <f>DataPull!D6661</f>
        <v/>
      </c>
      <c r="G6661" s="94" t="str">
        <f t="shared" si="2"/>
        <v/>
      </c>
      <c r="H6661" s="94" t="str">
        <f t="shared" si="3"/>
        <v/>
      </c>
      <c r="I6661" s="94" t="str">
        <f t="shared" ref="I6661:J6661" si="6662">if(G6661 = "", , -G6661)</f>
        <v/>
      </c>
      <c r="J6661" s="94" t="str">
        <f t="shared" si="6662"/>
        <v/>
      </c>
      <c r="K6661" s="100"/>
      <c r="M6661" s="100"/>
      <c r="N6661" s="100"/>
      <c r="O6661" s="100"/>
      <c r="P6661" s="100"/>
    </row>
    <row r="6662">
      <c r="A6662" s="89">
        <v>1641787.0</v>
      </c>
      <c r="B6662" s="131" t="s">
        <v>247</v>
      </c>
      <c r="C6662" s="131" t="s">
        <v>1708</v>
      </c>
      <c r="D6662" s="24" t="s">
        <v>181</v>
      </c>
      <c r="E6662" s="24">
        <v>7.5</v>
      </c>
      <c r="F6662" s="111" t="str">
        <f>DataPull!D6662</f>
        <v/>
      </c>
      <c r="G6662" s="94" t="str">
        <f t="shared" si="2"/>
        <v/>
      </c>
      <c r="H6662" s="94" t="str">
        <f t="shared" si="3"/>
        <v/>
      </c>
      <c r="I6662" s="94" t="str">
        <f t="shared" ref="I6662:J6662" si="6663">if(G6662 = "", , -G6662)</f>
        <v/>
      </c>
      <c r="J6662" s="94" t="str">
        <f t="shared" si="6663"/>
        <v/>
      </c>
      <c r="K6662" s="100"/>
      <c r="M6662" s="100"/>
      <c r="N6662" s="100"/>
      <c r="O6662" s="100"/>
      <c r="P6662" s="100"/>
    </row>
    <row r="6663">
      <c r="A6663" s="107">
        <v>1641788.0</v>
      </c>
      <c r="B6663" s="116" t="s">
        <v>245</v>
      </c>
      <c r="C6663" s="116" t="s">
        <v>1709</v>
      </c>
      <c r="D6663" s="24" t="s">
        <v>181</v>
      </c>
      <c r="E6663" s="24">
        <v>40.2</v>
      </c>
      <c r="F6663" s="111" t="str">
        <f>DataPull!D6663</f>
        <v/>
      </c>
      <c r="G6663" s="94" t="str">
        <f t="shared" si="2"/>
        <v/>
      </c>
      <c r="H6663" s="94" t="str">
        <f t="shared" si="3"/>
        <v/>
      </c>
      <c r="I6663" s="94" t="str">
        <f t="shared" ref="I6663:J6663" si="6664">if(G6663 = "", , -G6663)</f>
        <v/>
      </c>
      <c r="J6663" s="94" t="str">
        <f t="shared" si="6664"/>
        <v/>
      </c>
      <c r="K6663" s="100"/>
      <c r="M6663" s="100"/>
      <c r="N6663" s="100"/>
      <c r="O6663" s="100"/>
      <c r="P6663" s="100"/>
    </row>
    <row r="6664">
      <c r="A6664" s="107">
        <v>1641789.0</v>
      </c>
      <c r="B6664" s="116" t="s">
        <v>246</v>
      </c>
      <c r="C6664" s="116" t="s">
        <v>1710</v>
      </c>
      <c r="D6664" s="24" t="s">
        <v>187</v>
      </c>
      <c r="E6664" s="24">
        <v>56.0</v>
      </c>
      <c r="F6664" s="111" t="str">
        <f>DataPull!D6664</f>
        <v/>
      </c>
      <c r="G6664" s="94" t="str">
        <f t="shared" si="2"/>
        <v/>
      </c>
      <c r="H6664" s="94" t="str">
        <f t="shared" si="3"/>
        <v/>
      </c>
      <c r="I6664" s="94" t="str">
        <f t="shared" ref="I6664:J6664" si="6665">if(G6664 = "", , -G6664)</f>
        <v/>
      </c>
      <c r="J6664" s="94" t="str">
        <f t="shared" si="6665"/>
        <v/>
      </c>
      <c r="K6664" s="100"/>
      <c r="M6664" s="100"/>
      <c r="N6664" s="100"/>
      <c r="O6664" s="100"/>
      <c r="P6664" s="100"/>
    </row>
    <row r="6665">
      <c r="A6665" s="107">
        <v>1641790.0</v>
      </c>
      <c r="B6665" s="116" t="s">
        <v>246</v>
      </c>
      <c r="C6665" s="116" t="s">
        <v>1711</v>
      </c>
      <c r="D6665" s="24" t="s">
        <v>187</v>
      </c>
      <c r="E6665" s="24">
        <v>66.5</v>
      </c>
      <c r="F6665" s="111" t="str">
        <f>DataPull!D6665</f>
        <v/>
      </c>
      <c r="G6665" s="94" t="str">
        <f t="shared" si="2"/>
        <v/>
      </c>
      <c r="H6665" s="94" t="str">
        <f t="shared" si="3"/>
        <v/>
      </c>
      <c r="I6665" s="94" t="str">
        <f t="shared" ref="I6665:J6665" si="6666">if(G6665 = "", , -G6665)</f>
        <v/>
      </c>
      <c r="J6665" s="94" t="str">
        <f t="shared" si="6666"/>
        <v/>
      </c>
      <c r="K6665" s="100"/>
      <c r="M6665" s="100"/>
      <c r="N6665" s="100"/>
      <c r="O6665" s="100"/>
      <c r="P6665" s="100"/>
    </row>
    <row r="6666">
      <c r="A6666" s="114">
        <v>1641790.0</v>
      </c>
      <c r="B6666" s="131" t="s">
        <v>247</v>
      </c>
      <c r="C6666" s="131" t="s">
        <v>1711</v>
      </c>
      <c r="D6666" s="24" t="s">
        <v>177</v>
      </c>
      <c r="E6666" s="24">
        <v>212.8</v>
      </c>
      <c r="F6666" s="111" t="str">
        <f>DataPull!D6666</f>
        <v/>
      </c>
      <c r="G6666" s="94" t="str">
        <f t="shared" si="2"/>
        <v/>
      </c>
      <c r="H6666" s="94" t="str">
        <f t="shared" si="3"/>
        <v/>
      </c>
      <c r="I6666" s="94" t="str">
        <f t="shared" ref="I6666:J6666" si="6667">if(G6666 = "", , -G6666)</f>
        <v/>
      </c>
      <c r="J6666" s="94" t="str">
        <f t="shared" si="6667"/>
        <v/>
      </c>
      <c r="K6666" s="100"/>
      <c r="M6666" s="100"/>
      <c r="N6666" s="100"/>
      <c r="O6666" s="100"/>
      <c r="P6666" s="100"/>
    </row>
    <row r="6667">
      <c r="A6667" s="107">
        <v>1641793.0</v>
      </c>
      <c r="B6667" s="116" t="s">
        <v>245</v>
      </c>
      <c r="C6667" s="116" t="s">
        <v>1712</v>
      </c>
      <c r="D6667" s="24" t="s">
        <v>181</v>
      </c>
      <c r="E6667" s="24">
        <v>41.3</v>
      </c>
      <c r="F6667" s="111" t="str">
        <f>DataPull!D6667</f>
        <v/>
      </c>
      <c r="G6667" s="94" t="str">
        <f t="shared" si="2"/>
        <v/>
      </c>
      <c r="H6667" s="94" t="str">
        <f t="shared" si="3"/>
        <v/>
      </c>
      <c r="I6667" s="94" t="str">
        <f t="shared" ref="I6667:J6667" si="6668">if(G6667 = "", , -G6667)</f>
        <v/>
      </c>
      <c r="J6667" s="94" t="str">
        <f t="shared" si="6668"/>
        <v/>
      </c>
      <c r="K6667" s="100"/>
      <c r="M6667" s="100"/>
      <c r="N6667" s="100"/>
      <c r="O6667" s="100"/>
      <c r="P6667" s="100"/>
    </row>
    <row r="6668">
      <c r="A6668" s="107">
        <v>1641794.0</v>
      </c>
      <c r="B6668" s="116" t="s">
        <v>246</v>
      </c>
      <c r="C6668" s="116" t="s">
        <v>1713</v>
      </c>
      <c r="D6668" s="24" t="s">
        <v>177</v>
      </c>
      <c r="E6668" s="24">
        <v>550.8</v>
      </c>
      <c r="F6668" s="111" t="str">
        <f>DataPull!D6668</f>
        <v/>
      </c>
      <c r="G6668" s="94" t="str">
        <f t="shared" si="2"/>
        <v/>
      </c>
      <c r="H6668" s="94" t="str">
        <f t="shared" si="3"/>
        <v/>
      </c>
      <c r="I6668" s="94" t="str">
        <f t="shared" ref="I6668:J6668" si="6669">if(G6668 = "", , -G6668)</f>
        <v/>
      </c>
      <c r="J6668" s="94" t="str">
        <f t="shared" si="6669"/>
        <v/>
      </c>
      <c r="K6668" s="100"/>
      <c r="M6668" s="100"/>
      <c r="N6668" s="100"/>
      <c r="O6668" s="100"/>
      <c r="P6668" s="100"/>
    </row>
    <row r="6669">
      <c r="A6669" s="126">
        <v>1641794.0</v>
      </c>
      <c r="B6669" s="141" t="s">
        <v>247</v>
      </c>
      <c r="C6669" s="141" t="s">
        <v>1713</v>
      </c>
      <c r="D6669" s="24" t="s">
        <v>181</v>
      </c>
      <c r="E6669" s="24">
        <v>39.2</v>
      </c>
      <c r="F6669" s="111" t="str">
        <f>DataPull!D6669</f>
        <v/>
      </c>
      <c r="G6669" s="94" t="str">
        <f t="shared" si="2"/>
        <v/>
      </c>
      <c r="H6669" s="94" t="str">
        <f t="shared" si="3"/>
        <v/>
      </c>
      <c r="I6669" s="94" t="str">
        <f t="shared" ref="I6669:J6669" si="6670">if(G6669 = "", , -G6669)</f>
        <v/>
      </c>
      <c r="J6669" s="94" t="str">
        <f t="shared" si="6670"/>
        <v/>
      </c>
      <c r="K6669" s="100"/>
      <c r="M6669" s="100"/>
      <c r="N6669" s="100"/>
      <c r="O6669" s="100"/>
      <c r="P6669" s="100"/>
    </row>
    <row r="6670">
      <c r="A6670" s="107">
        <v>1641796.0</v>
      </c>
      <c r="B6670" s="116" t="s">
        <v>246</v>
      </c>
      <c r="C6670" s="116" t="s">
        <v>1714</v>
      </c>
      <c r="D6670" s="24" t="s">
        <v>177</v>
      </c>
      <c r="E6670" s="24">
        <v>781.0</v>
      </c>
      <c r="F6670" s="111" t="str">
        <f>DataPull!D6670</f>
        <v/>
      </c>
      <c r="G6670" s="94" t="str">
        <f t="shared" si="2"/>
        <v/>
      </c>
      <c r="H6670" s="94" t="str">
        <f t="shared" si="3"/>
        <v/>
      </c>
      <c r="I6670" s="94" t="str">
        <f t="shared" ref="I6670:J6670" si="6671">if(G6670 = "", , -G6670)</f>
        <v/>
      </c>
      <c r="J6670" s="94" t="str">
        <f t="shared" si="6671"/>
        <v/>
      </c>
      <c r="K6670" s="100"/>
      <c r="M6670" s="100"/>
      <c r="N6670" s="100"/>
      <c r="O6670" s="100"/>
      <c r="P6670" s="100"/>
    </row>
    <row r="6671">
      <c r="A6671" s="114">
        <v>1641796.0</v>
      </c>
      <c r="B6671" s="131" t="s">
        <v>247</v>
      </c>
      <c r="C6671" s="131" t="s">
        <v>1714</v>
      </c>
      <c r="D6671" s="24" t="s">
        <v>176</v>
      </c>
      <c r="E6671" s="24">
        <v>1848.0</v>
      </c>
      <c r="F6671" s="111" t="str">
        <f>DataPull!D6671</f>
        <v/>
      </c>
      <c r="G6671" s="94" t="str">
        <f t="shared" si="2"/>
        <v/>
      </c>
      <c r="H6671" s="94" t="str">
        <f t="shared" si="3"/>
        <v/>
      </c>
      <c r="I6671" s="94" t="str">
        <f t="shared" ref="I6671:J6671" si="6672">if(G6671 = "", , -G6671)</f>
        <v/>
      </c>
      <c r="J6671" s="94" t="str">
        <f t="shared" si="6672"/>
        <v/>
      </c>
      <c r="K6671" s="100"/>
      <c r="M6671" s="100"/>
      <c r="N6671" s="100"/>
      <c r="O6671" s="100"/>
      <c r="P6671" s="100"/>
    </row>
    <row r="6672">
      <c r="A6672" s="107">
        <v>1641798.0</v>
      </c>
      <c r="B6672" s="116" t="s">
        <v>245</v>
      </c>
      <c r="C6672" s="116" t="s">
        <v>1715</v>
      </c>
      <c r="D6672" s="24"/>
      <c r="E6672" s="24"/>
      <c r="F6672" s="111" t="str">
        <f>DataPull!D6672</f>
        <v/>
      </c>
      <c r="G6672" s="94" t="str">
        <f t="shared" si="2"/>
        <v/>
      </c>
      <c r="H6672" s="94" t="str">
        <f t="shared" si="3"/>
        <v/>
      </c>
      <c r="I6672" s="94" t="str">
        <f t="shared" ref="I6672:J6672" si="6673">if(G6672 = "", , -G6672)</f>
        <v/>
      </c>
      <c r="J6672" s="94" t="str">
        <f t="shared" si="6673"/>
        <v/>
      </c>
      <c r="K6672" s="100"/>
      <c r="M6672" s="100"/>
      <c r="N6672" s="100"/>
      <c r="O6672" s="100"/>
      <c r="P6672" s="100"/>
    </row>
    <row r="6673">
      <c r="A6673" s="107">
        <v>1641798.0</v>
      </c>
      <c r="B6673" s="116" t="s">
        <v>246</v>
      </c>
      <c r="C6673" s="116" t="s">
        <v>1715</v>
      </c>
      <c r="D6673" s="24" t="s">
        <v>187</v>
      </c>
      <c r="E6673" s="24">
        <v>238.4</v>
      </c>
      <c r="F6673" s="111" t="str">
        <f>DataPull!D6673</f>
        <v/>
      </c>
      <c r="G6673" s="94" t="str">
        <f t="shared" si="2"/>
        <v/>
      </c>
      <c r="H6673" s="94" t="str">
        <f t="shared" si="3"/>
        <v/>
      </c>
      <c r="I6673" s="94" t="str">
        <f t="shared" ref="I6673:J6673" si="6674">if(G6673 = "", , -G6673)</f>
        <v/>
      </c>
      <c r="J6673" s="94" t="str">
        <f t="shared" si="6674"/>
        <v/>
      </c>
      <c r="K6673" s="100"/>
      <c r="M6673" s="100"/>
      <c r="N6673" s="100"/>
      <c r="O6673" s="100"/>
      <c r="P6673" s="100"/>
    </row>
    <row r="6674">
      <c r="A6674" s="120">
        <v>1641801.0</v>
      </c>
      <c r="B6674" s="138" t="s">
        <v>246</v>
      </c>
      <c r="C6674" s="138" t="s">
        <v>1716</v>
      </c>
      <c r="D6674" s="139" t="s">
        <v>181</v>
      </c>
      <c r="E6674" s="139">
        <v>24.6</v>
      </c>
      <c r="F6674" s="111" t="str">
        <f>DataPull!D6674</f>
        <v/>
      </c>
      <c r="G6674" s="94" t="str">
        <f t="shared" si="2"/>
        <v/>
      </c>
      <c r="H6674" s="94" t="str">
        <f t="shared" si="3"/>
        <v/>
      </c>
      <c r="I6674" s="94" t="str">
        <f t="shared" ref="I6674:J6674" si="6675">if(G6674 = "", , -G6674)</f>
        <v/>
      </c>
      <c r="J6674" s="94" t="str">
        <f t="shared" si="6675"/>
        <v/>
      </c>
      <c r="K6674" s="100"/>
      <c r="M6674" s="100"/>
      <c r="N6674" s="100"/>
      <c r="O6674" s="100"/>
      <c r="P6674" s="100"/>
    </row>
    <row r="6675">
      <c r="A6675" s="89">
        <v>1641801.0</v>
      </c>
      <c r="B6675" s="131" t="s">
        <v>247</v>
      </c>
      <c r="C6675" s="131" t="s">
        <v>1716</v>
      </c>
      <c r="D6675" s="24" t="s">
        <v>181</v>
      </c>
      <c r="E6675" s="24">
        <v>33.0</v>
      </c>
      <c r="F6675" s="111" t="str">
        <f>DataPull!D6675</f>
        <v/>
      </c>
      <c r="G6675" s="94" t="str">
        <f t="shared" si="2"/>
        <v/>
      </c>
      <c r="H6675" s="94" t="str">
        <f t="shared" si="3"/>
        <v/>
      </c>
      <c r="I6675" s="94" t="str">
        <f t="shared" ref="I6675:J6675" si="6676">if(G6675 = "", , -G6675)</f>
        <v/>
      </c>
      <c r="J6675" s="94" t="str">
        <f t="shared" si="6676"/>
        <v/>
      </c>
      <c r="K6675" s="100"/>
      <c r="M6675" s="100"/>
      <c r="N6675" s="100"/>
      <c r="O6675" s="100"/>
      <c r="P6675" s="100"/>
    </row>
    <row r="6676">
      <c r="A6676" s="107">
        <v>1641803.0</v>
      </c>
      <c r="B6676" s="116" t="s">
        <v>246</v>
      </c>
      <c r="C6676" s="116" t="s">
        <v>1717</v>
      </c>
      <c r="D6676" s="24" t="s">
        <v>181</v>
      </c>
      <c r="E6676" s="24">
        <v>16.0</v>
      </c>
      <c r="F6676" s="111" t="str">
        <f>DataPull!D6676</f>
        <v/>
      </c>
      <c r="G6676" s="94" t="str">
        <f t="shared" si="2"/>
        <v/>
      </c>
      <c r="H6676" s="94" t="str">
        <f t="shared" si="3"/>
        <v/>
      </c>
      <c r="I6676" s="94" t="str">
        <f t="shared" ref="I6676:J6676" si="6677">if(G6676 = "", , -G6676)</f>
        <v/>
      </c>
      <c r="J6676" s="94" t="str">
        <f t="shared" si="6677"/>
        <v/>
      </c>
      <c r="K6676" s="100"/>
      <c r="M6676" s="100"/>
      <c r="N6676" s="100"/>
      <c r="O6676" s="100"/>
      <c r="P6676" s="100"/>
    </row>
    <row r="6677">
      <c r="A6677" s="126">
        <v>1641803.0</v>
      </c>
      <c r="B6677" s="141" t="s">
        <v>247</v>
      </c>
      <c r="C6677" s="141" t="s">
        <v>1717</v>
      </c>
      <c r="D6677" s="24"/>
      <c r="E6677" s="24">
        <v>12.0</v>
      </c>
      <c r="F6677" s="111" t="str">
        <f>DataPull!D6677</f>
        <v/>
      </c>
      <c r="G6677" s="94" t="str">
        <f t="shared" si="2"/>
        <v/>
      </c>
      <c r="H6677" s="94" t="str">
        <f t="shared" si="3"/>
        <v/>
      </c>
      <c r="I6677" s="94" t="str">
        <f t="shared" ref="I6677:J6677" si="6678">if(G6677 = "", , -G6677)</f>
        <v/>
      </c>
      <c r="J6677" s="94" t="str">
        <f t="shared" si="6678"/>
        <v/>
      </c>
      <c r="K6677" s="100"/>
      <c r="M6677" s="100"/>
      <c r="N6677" s="100"/>
      <c r="O6677" s="100"/>
      <c r="P6677" s="100"/>
    </row>
    <row r="6678">
      <c r="A6678" s="107">
        <v>1641806.0</v>
      </c>
      <c r="B6678" s="116" t="s">
        <v>245</v>
      </c>
      <c r="C6678" s="116" t="s">
        <v>1718</v>
      </c>
      <c r="D6678" s="24" t="s">
        <v>181</v>
      </c>
      <c r="E6678" s="24">
        <v>3.5</v>
      </c>
      <c r="F6678" s="111" t="str">
        <f>DataPull!D6678</f>
        <v/>
      </c>
      <c r="G6678" s="94" t="str">
        <f t="shared" si="2"/>
        <v/>
      </c>
      <c r="H6678" s="94" t="str">
        <f t="shared" si="3"/>
        <v/>
      </c>
      <c r="I6678" s="94" t="str">
        <f t="shared" ref="I6678:J6678" si="6679">if(G6678 = "", , -G6678)</f>
        <v/>
      </c>
      <c r="J6678" s="94" t="str">
        <f t="shared" si="6679"/>
        <v/>
      </c>
      <c r="K6678" s="100"/>
      <c r="M6678" s="100"/>
      <c r="N6678" s="100"/>
      <c r="O6678" s="100"/>
      <c r="P6678" s="100"/>
    </row>
    <row r="6679">
      <c r="A6679" s="126">
        <v>1641807.0</v>
      </c>
      <c r="B6679" s="141" t="s">
        <v>247</v>
      </c>
      <c r="C6679" s="141" t="s">
        <v>1719</v>
      </c>
      <c r="D6679" s="24"/>
      <c r="E6679" s="24">
        <v>23.4</v>
      </c>
      <c r="F6679" s="111" t="str">
        <f>DataPull!D6679</f>
        <v/>
      </c>
      <c r="G6679" s="94" t="str">
        <f t="shared" si="2"/>
        <v/>
      </c>
      <c r="H6679" s="94" t="str">
        <f t="shared" si="3"/>
        <v/>
      </c>
      <c r="I6679" s="94" t="str">
        <f t="shared" ref="I6679:J6679" si="6680">if(G6679 = "", , -G6679)</f>
        <v/>
      </c>
      <c r="J6679" s="94" t="str">
        <f t="shared" si="6680"/>
        <v/>
      </c>
      <c r="K6679" s="100"/>
      <c r="M6679" s="100"/>
      <c r="N6679" s="100"/>
      <c r="O6679" s="100"/>
      <c r="P6679" s="100"/>
    </row>
    <row r="6680">
      <c r="A6680" s="107">
        <v>1641809.0</v>
      </c>
      <c r="B6680" s="116" t="s">
        <v>245</v>
      </c>
      <c r="C6680" s="116" t="s">
        <v>1720</v>
      </c>
      <c r="D6680" s="24" t="s">
        <v>181</v>
      </c>
      <c r="E6680" s="24">
        <v>22.8</v>
      </c>
      <c r="F6680" s="111" t="str">
        <f>DataPull!D6680</f>
        <v/>
      </c>
      <c r="G6680" s="94" t="str">
        <f t="shared" si="2"/>
        <v/>
      </c>
      <c r="H6680" s="94" t="str">
        <f t="shared" si="3"/>
        <v/>
      </c>
      <c r="I6680" s="94" t="str">
        <f t="shared" ref="I6680:J6680" si="6681">if(G6680 = "", , -G6680)</f>
        <v/>
      </c>
      <c r="J6680" s="94" t="str">
        <f t="shared" si="6681"/>
        <v/>
      </c>
      <c r="K6680" s="100"/>
      <c r="M6680" s="100"/>
      <c r="N6680" s="100"/>
      <c r="O6680" s="100"/>
      <c r="P6680" s="100"/>
    </row>
    <row r="6681">
      <c r="A6681" s="107">
        <v>1641809.0</v>
      </c>
      <c r="B6681" s="116" t="s">
        <v>246</v>
      </c>
      <c r="C6681" s="116" t="s">
        <v>1720</v>
      </c>
      <c r="D6681" s="24" t="s">
        <v>187</v>
      </c>
      <c r="E6681" s="24">
        <v>185.0</v>
      </c>
      <c r="F6681" s="111" t="str">
        <f>DataPull!D6681</f>
        <v/>
      </c>
      <c r="G6681" s="94" t="str">
        <f t="shared" si="2"/>
        <v/>
      </c>
      <c r="H6681" s="94" t="str">
        <f t="shared" si="3"/>
        <v/>
      </c>
      <c r="I6681" s="94" t="str">
        <f t="shared" ref="I6681:J6681" si="6682">if(G6681 = "", , -G6681)</f>
        <v/>
      </c>
      <c r="J6681" s="94" t="str">
        <f t="shared" si="6682"/>
        <v/>
      </c>
      <c r="K6681" s="100"/>
      <c r="M6681" s="100"/>
      <c r="N6681" s="100"/>
      <c r="O6681" s="100"/>
      <c r="P6681" s="100"/>
    </row>
    <row r="6682">
      <c r="A6682" s="89">
        <v>1641809.0</v>
      </c>
      <c r="B6682" s="131" t="s">
        <v>247</v>
      </c>
      <c r="C6682" s="131" t="s">
        <v>1720</v>
      </c>
      <c r="D6682" s="24" t="s">
        <v>177</v>
      </c>
      <c r="E6682" s="24">
        <v>64.2</v>
      </c>
      <c r="F6682" s="111" t="str">
        <f>DataPull!D6682</f>
        <v/>
      </c>
      <c r="G6682" s="94" t="str">
        <f t="shared" si="2"/>
        <v/>
      </c>
      <c r="H6682" s="94" t="str">
        <f t="shared" si="3"/>
        <v/>
      </c>
      <c r="I6682" s="94" t="str">
        <f t="shared" ref="I6682:J6682" si="6683">if(G6682 = "", , -G6682)</f>
        <v/>
      </c>
      <c r="J6682" s="94" t="str">
        <f t="shared" si="6683"/>
        <v/>
      </c>
      <c r="K6682" s="100"/>
      <c r="M6682" s="100"/>
      <c r="N6682" s="100"/>
      <c r="O6682" s="100"/>
      <c r="P6682" s="100"/>
    </row>
    <row r="6683">
      <c r="A6683" s="107">
        <v>1641810.0</v>
      </c>
      <c r="B6683" s="116" t="s">
        <v>246</v>
      </c>
      <c r="C6683" s="116" t="s">
        <v>1721</v>
      </c>
      <c r="D6683" s="24" t="s">
        <v>177</v>
      </c>
      <c r="E6683" s="24">
        <v>660.0</v>
      </c>
      <c r="F6683" s="111" t="str">
        <f>DataPull!D6683</f>
        <v/>
      </c>
      <c r="G6683" s="94" t="str">
        <f t="shared" si="2"/>
        <v/>
      </c>
      <c r="H6683" s="94" t="str">
        <f t="shared" si="3"/>
        <v/>
      </c>
      <c r="I6683" s="94" t="str">
        <f t="shared" ref="I6683:J6683" si="6684">if(G6683 = "", , -G6683)</f>
        <v/>
      </c>
      <c r="J6683" s="94" t="str">
        <f t="shared" si="6684"/>
        <v/>
      </c>
      <c r="K6683" s="100"/>
      <c r="M6683" s="100"/>
      <c r="N6683" s="100"/>
      <c r="O6683" s="100"/>
      <c r="P6683" s="100"/>
    </row>
    <row r="6684">
      <c r="A6684" s="89">
        <v>1641810.0</v>
      </c>
      <c r="B6684" s="131" t="s">
        <v>247</v>
      </c>
      <c r="C6684" s="131" t="s">
        <v>1721</v>
      </c>
      <c r="D6684" s="24" t="s">
        <v>187</v>
      </c>
      <c r="E6684" s="24">
        <v>68.0</v>
      </c>
      <c r="F6684" s="111" t="str">
        <f>DataPull!D6684</f>
        <v/>
      </c>
      <c r="G6684" s="94" t="str">
        <f t="shared" si="2"/>
        <v/>
      </c>
      <c r="H6684" s="94" t="str">
        <f t="shared" si="3"/>
        <v/>
      </c>
      <c r="I6684" s="94" t="str">
        <f t="shared" ref="I6684:J6684" si="6685">if(G6684 = "", , -G6684)</f>
        <v/>
      </c>
      <c r="J6684" s="94" t="str">
        <f t="shared" si="6685"/>
        <v/>
      </c>
      <c r="K6684" s="100"/>
      <c r="M6684" s="100"/>
      <c r="N6684" s="100"/>
      <c r="O6684" s="100"/>
      <c r="P6684" s="100"/>
    </row>
    <row r="6685">
      <c r="A6685" s="114">
        <v>1641813.0</v>
      </c>
      <c r="B6685" s="131" t="s">
        <v>247</v>
      </c>
      <c r="C6685" s="131" t="s">
        <v>1722</v>
      </c>
      <c r="D6685" s="24" t="s">
        <v>187</v>
      </c>
      <c r="E6685" s="24">
        <v>25.9</v>
      </c>
      <c r="F6685" s="111" t="str">
        <f>DataPull!D6685</f>
        <v/>
      </c>
      <c r="G6685" s="94" t="str">
        <f t="shared" si="2"/>
        <v/>
      </c>
      <c r="H6685" s="94" t="str">
        <f t="shared" si="3"/>
        <v/>
      </c>
      <c r="I6685" s="94" t="str">
        <f t="shared" ref="I6685:J6685" si="6686">if(G6685 = "", , -G6685)</f>
        <v/>
      </c>
      <c r="J6685" s="94" t="str">
        <f t="shared" si="6686"/>
        <v/>
      </c>
      <c r="K6685" s="100"/>
      <c r="M6685" s="100"/>
      <c r="N6685" s="100"/>
      <c r="O6685" s="100"/>
      <c r="P6685" s="100"/>
    </row>
    <row r="6686">
      <c r="A6686" s="123">
        <v>1641815.0</v>
      </c>
      <c r="B6686" s="132" t="s">
        <v>246</v>
      </c>
      <c r="C6686" s="133" t="s">
        <v>1723</v>
      </c>
      <c r="D6686" s="142" t="s">
        <v>181</v>
      </c>
      <c r="E6686" s="142">
        <v>5.7</v>
      </c>
      <c r="F6686" s="111" t="str">
        <f>DataPull!D6686</f>
        <v/>
      </c>
      <c r="G6686" s="94" t="str">
        <f t="shared" si="2"/>
        <v/>
      </c>
      <c r="H6686" s="94" t="str">
        <f t="shared" si="3"/>
        <v/>
      </c>
      <c r="I6686" s="94" t="str">
        <f t="shared" ref="I6686:J6686" si="6687">if(G6686 = "", , -G6686)</f>
        <v/>
      </c>
      <c r="J6686" s="94" t="str">
        <f t="shared" si="6687"/>
        <v/>
      </c>
      <c r="K6686" s="100"/>
      <c r="M6686" s="100"/>
      <c r="N6686" s="100"/>
      <c r="O6686" s="100"/>
      <c r="P6686" s="100"/>
    </row>
    <row r="6687">
      <c r="A6687" s="89">
        <v>1641815.0</v>
      </c>
      <c r="B6687" s="131" t="s">
        <v>247</v>
      </c>
      <c r="C6687" s="131" t="s">
        <v>1723</v>
      </c>
      <c r="D6687" s="24" t="s">
        <v>181</v>
      </c>
      <c r="E6687" s="24">
        <v>42.9</v>
      </c>
      <c r="F6687" s="111" t="str">
        <f>DataPull!D6687</f>
        <v/>
      </c>
      <c r="G6687" s="94" t="str">
        <f t="shared" si="2"/>
        <v/>
      </c>
      <c r="H6687" s="94" t="str">
        <f t="shared" si="3"/>
        <v/>
      </c>
      <c r="I6687" s="94" t="str">
        <f t="shared" ref="I6687:J6687" si="6688">if(G6687 = "", , -G6687)</f>
        <v/>
      </c>
      <c r="J6687" s="94" t="str">
        <f t="shared" si="6688"/>
        <v/>
      </c>
      <c r="K6687" s="100"/>
      <c r="M6687" s="100"/>
      <c r="N6687" s="100"/>
      <c r="O6687" s="100"/>
      <c r="P6687" s="100"/>
    </row>
    <row r="6688">
      <c r="A6688" s="107">
        <v>1641816.0</v>
      </c>
      <c r="B6688" s="116" t="s">
        <v>245</v>
      </c>
      <c r="C6688" s="116" t="s">
        <v>1724</v>
      </c>
      <c r="D6688" s="24" t="s">
        <v>187</v>
      </c>
      <c r="E6688" s="24">
        <v>48.6</v>
      </c>
      <c r="F6688" s="111" t="str">
        <f>DataPull!D6688</f>
        <v/>
      </c>
      <c r="G6688" s="94" t="str">
        <f t="shared" si="2"/>
        <v/>
      </c>
      <c r="H6688" s="94" t="str">
        <f t="shared" si="3"/>
        <v/>
      </c>
      <c r="I6688" s="94" t="str">
        <f t="shared" ref="I6688:J6688" si="6689">if(G6688 = "", , -G6688)</f>
        <v/>
      </c>
      <c r="J6688" s="94" t="str">
        <f t="shared" si="6689"/>
        <v/>
      </c>
      <c r="K6688" s="100"/>
      <c r="M6688" s="100"/>
      <c r="N6688" s="100"/>
      <c r="O6688" s="100"/>
      <c r="P6688" s="100"/>
    </row>
    <row r="6689">
      <c r="A6689" s="107">
        <v>1641816.0</v>
      </c>
      <c r="B6689" s="116" t="s">
        <v>246</v>
      </c>
      <c r="C6689" s="116" t="s">
        <v>1724</v>
      </c>
      <c r="D6689" s="24" t="s">
        <v>187</v>
      </c>
      <c r="E6689" s="24">
        <v>397.8</v>
      </c>
      <c r="F6689" s="111" t="str">
        <f>DataPull!D6689</f>
        <v/>
      </c>
      <c r="G6689" s="94" t="str">
        <f t="shared" si="2"/>
        <v/>
      </c>
      <c r="H6689" s="94" t="str">
        <f t="shared" si="3"/>
        <v/>
      </c>
      <c r="I6689" s="94" t="str">
        <f t="shared" ref="I6689:J6689" si="6690">if(G6689 = "", , -G6689)</f>
        <v/>
      </c>
      <c r="J6689" s="94" t="str">
        <f t="shared" si="6690"/>
        <v/>
      </c>
      <c r="K6689" s="100"/>
      <c r="M6689" s="100"/>
      <c r="N6689" s="100"/>
      <c r="O6689" s="100"/>
      <c r="P6689" s="100"/>
    </row>
    <row r="6690">
      <c r="A6690" s="114">
        <v>1641816.0</v>
      </c>
      <c r="B6690" s="131" t="s">
        <v>247</v>
      </c>
      <c r="C6690" s="131" t="s">
        <v>1724</v>
      </c>
      <c r="D6690" s="24" t="s">
        <v>187</v>
      </c>
      <c r="E6690" s="24">
        <v>161.7</v>
      </c>
      <c r="F6690" s="111" t="str">
        <f>DataPull!D6690</f>
        <v/>
      </c>
      <c r="G6690" s="94" t="str">
        <f t="shared" si="2"/>
        <v/>
      </c>
      <c r="H6690" s="94" t="str">
        <f t="shared" si="3"/>
        <v/>
      </c>
      <c r="I6690" s="94" t="str">
        <f t="shared" ref="I6690:J6690" si="6691">if(G6690 = "", , -G6690)</f>
        <v/>
      </c>
      <c r="J6690" s="94" t="str">
        <f t="shared" si="6691"/>
        <v/>
      </c>
      <c r="K6690" s="100"/>
      <c r="M6690" s="100"/>
      <c r="N6690" s="100"/>
      <c r="O6690" s="100"/>
      <c r="P6690" s="100"/>
    </row>
    <row r="6691">
      <c r="A6691" s="107">
        <v>1641817.0</v>
      </c>
      <c r="B6691" s="116" t="s">
        <v>246</v>
      </c>
      <c r="C6691" s="116" t="s">
        <v>1725</v>
      </c>
      <c r="D6691" s="24" t="s">
        <v>187</v>
      </c>
      <c r="E6691" s="24">
        <v>22.5</v>
      </c>
      <c r="F6691" s="111" t="str">
        <f>DataPull!D6691</f>
        <v/>
      </c>
      <c r="G6691" s="94" t="str">
        <f t="shared" si="2"/>
        <v/>
      </c>
      <c r="H6691" s="94" t="str">
        <f t="shared" si="3"/>
        <v/>
      </c>
      <c r="I6691" s="94" t="str">
        <f t="shared" ref="I6691:J6691" si="6692">if(G6691 = "", , -G6691)</f>
        <v/>
      </c>
      <c r="J6691" s="94" t="str">
        <f t="shared" si="6692"/>
        <v/>
      </c>
      <c r="K6691" s="100"/>
      <c r="M6691" s="100"/>
      <c r="N6691" s="100"/>
      <c r="O6691" s="100"/>
      <c r="P6691" s="100"/>
    </row>
    <row r="6692">
      <c r="A6692" s="107">
        <v>1641824.0</v>
      </c>
      <c r="B6692" s="116" t="s">
        <v>246</v>
      </c>
      <c r="C6692" s="116" t="s">
        <v>1726</v>
      </c>
      <c r="D6692" s="24" t="s">
        <v>177</v>
      </c>
      <c r="E6692" s="24">
        <v>1512.0</v>
      </c>
      <c r="F6692" s="111" t="str">
        <f>DataPull!D6692</f>
        <v/>
      </c>
      <c r="G6692" s="94" t="str">
        <f t="shared" si="2"/>
        <v/>
      </c>
      <c r="H6692" s="94" t="str">
        <f t="shared" si="3"/>
        <v/>
      </c>
      <c r="I6692" s="94" t="str">
        <f t="shared" ref="I6692:J6692" si="6693">if(G6692 = "", , -G6692)</f>
        <v/>
      </c>
      <c r="J6692" s="94" t="str">
        <f t="shared" si="6693"/>
        <v/>
      </c>
      <c r="K6692" s="100"/>
      <c r="M6692" s="100"/>
      <c r="N6692" s="100"/>
      <c r="O6692" s="100"/>
      <c r="P6692" s="100"/>
    </row>
    <row r="6693">
      <c r="A6693" s="114">
        <v>1641824.0</v>
      </c>
      <c r="B6693" s="131" t="s">
        <v>247</v>
      </c>
      <c r="C6693" s="131" t="s">
        <v>1726</v>
      </c>
      <c r="D6693" s="24" t="s">
        <v>178</v>
      </c>
      <c r="E6693" s="24">
        <v>2248.4</v>
      </c>
      <c r="F6693" s="111" t="str">
        <f>DataPull!D6693</f>
        <v/>
      </c>
      <c r="G6693" s="94" t="str">
        <f t="shared" si="2"/>
        <v/>
      </c>
      <c r="H6693" s="94" t="str">
        <f t="shared" si="3"/>
        <v/>
      </c>
      <c r="I6693" s="94" t="str">
        <f t="shared" ref="I6693:J6693" si="6694">if(G6693 = "", , -G6693)</f>
        <v/>
      </c>
      <c r="J6693" s="94" t="str">
        <f t="shared" si="6694"/>
        <v/>
      </c>
      <c r="K6693" s="100"/>
      <c r="M6693" s="100"/>
      <c r="N6693" s="100"/>
      <c r="O6693" s="100"/>
      <c r="P6693" s="100"/>
    </row>
    <row r="6694">
      <c r="A6694" s="107">
        <v>1641842.0</v>
      </c>
      <c r="B6694" s="116" t="s">
        <v>246</v>
      </c>
      <c r="C6694" s="116" t="s">
        <v>1727</v>
      </c>
      <c r="D6694" s="24" t="s">
        <v>177</v>
      </c>
      <c r="E6694" s="24">
        <v>1263.6</v>
      </c>
      <c r="F6694" s="111" t="str">
        <f>DataPull!D6694</f>
        <v/>
      </c>
      <c r="G6694" s="94" t="str">
        <f t="shared" si="2"/>
        <v/>
      </c>
      <c r="H6694" s="94" t="str">
        <f t="shared" si="3"/>
        <v/>
      </c>
      <c r="I6694" s="94" t="str">
        <f t="shared" ref="I6694:J6694" si="6695">if(G6694 = "", , -G6694)</f>
        <v/>
      </c>
      <c r="J6694" s="94" t="str">
        <f t="shared" si="6695"/>
        <v/>
      </c>
      <c r="K6694" s="100"/>
      <c r="M6694" s="100"/>
      <c r="N6694" s="100"/>
      <c r="O6694" s="100"/>
      <c r="P6694" s="100"/>
    </row>
    <row r="6695">
      <c r="A6695" s="114">
        <v>1641842.0</v>
      </c>
      <c r="B6695" s="131" t="s">
        <v>247</v>
      </c>
      <c r="C6695" s="131" t="s">
        <v>1727</v>
      </c>
      <c r="D6695" s="24" t="s">
        <v>176</v>
      </c>
      <c r="E6695" s="24">
        <v>1552.2</v>
      </c>
      <c r="F6695" s="111" t="str">
        <f>DataPull!D6695</f>
        <v/>
      </c>
      <c r="G6695" s="94" t="str">
        <f t="shared" si="2"/>
        <v/>
      </c>
      <c r="H6695" s="94" t="str">
        <f t="shared" si="3"/>
        <v/>
      </c>
      <c r="I6695" s="94" t="str">
        <f t="shared" ref="I6695:J6695" si="6696">if(G6695 = "", , -G6695)</f>
        <v/>
      </c>
      <c r="J6695" s="94" t="str">
        <f t="shared" si="6696"/>
        <v/>
      </c>
      <c r="K6695" s="100"/>
      <c r="M6695" s="100"/>
      <c r="N6695" s="100"/>
      <c r="O6695" s="100"/>
      <c r="P6695" s="100"/>
    </row>
    <row r="6696">
      <c r="A6696" s="107">
        <v>1641847.0</v>
      </c>
      <c r="B6696" s="116" t="s">
        <v>245</v>
      </c>
      <c r="C6696" s="116" t="s">
        <v>1728</v>
      </c>
      <c r="D6696" s="24" t="s">
        <v>181</v>
      </c>
      <c r="E6696" s="24">
        <v>13.5</v>
      </c>
      <c r="F6696" s="111" t="str">
        <f>DataPull!D6696</f>
        <v/>
      </c>
      <c r="G6696" s="94" t="str">
        <f t="shared" si="2"/>
        <v/>
      </c>
      <c r="H6696" s="94" t="str">
        <f t="shared" si="3"/>
        <v/>
      </c>
      <c r="I6696" s="94" t="str">
        <f t="shared" ref="I6696:J6696" si="6697">if(G6696 = "", , -G6696)</f>
        <v/>
      </c>
      <c r="J6696" s="94" t="str">
        <f t="shared" si="6697"/>
        <v/>
      </c>
      <c r="K6696" s="100"/>
      <c r="M6696" s="100"/>
      <c r="N6696" s="100"/>
      <c r="O6696" s="100"/>
      <c r="P6696" s="100"/>
    </row>
    <row r="6697">
      <c r="A6697" s="107">
        <v>1641851.0</v>
      </c>
      <c r="B6697" s="116" t="s">
        <v>245</v>
      </c>
      <c r="C6697" s="116" t="s">
        <v>1729</v>
      </c>
      <c r="D6697" s="24" t="s">
        <v>181</v>
      </c>
      <c r="E6697" s="24">
        <v>125.5</v>
      </c>
      <c r="F6697" s="111" t="str">
        <f>DataPull!D6697</f>
        <v/>
      </c>
      <c r="G6697" s="94" t="str">
        <f t="shared" si="2"/>
        <v/>
      </c>
      <c r="H6697" s="94" t="str">
        <f t="shared" si="3"/>
        <v/>
      </c>
      <c r="I6697" s="94" t="str">
        <f t="shared" ref="I6697:J6697" si="6698">if(G6697 = "", , -G6697)</f>
        <v/>
      </c>
      <c r="J6697" s="94" t="str">
        <f t="shared" si="6698"/>
        <v/>
      </c>
      <c r="K6697" s="100"/>
      <c r="M6697" s="100"/>
      <c r="N6697" s="100"/>
      <c r="O6697" s="100"/>
      <c r="P6697" s="100"/>
    </row>
    <row r="6698">
      <c r="A6698" s="107">
        <v>1641854.0</v>
      </c>
      <c r="B6698" s="116" t="s">
        <v>245</v>
      </c>
      <c r="C6698" s="116" t="s">
        <v>1730</v>
      </c>
      <c r="D6698" s="24" t="s">
        <v>177</v>
      </c>
      <c r="E6698" s="24">
        <v>647.7</v>
      </c>
      <c r="F6698" s="111" t="str">
        <f>DataPull!D6698</f>
        <v/>
      </c>
      <c r="G6698" s="94" t="str">
        <f t="shared" si="2"/>
        <v/>
      </c>
      <c r="H6698" s="94" t="str">
        <f t="shared" si="3"/>
        <v/>
      </c>
      <c r="I6698" s="94" t="str">
        <f t="shared" ref="I6698:J6698" si="6699">if(G6698 = "", , -G6698)</f>
        <v/>
      </c>
      <c r="J6698" s="94" t="str">
        <f t="shared" si="6699"/>
        <v/>
      </c>
      <c r="K6698" s="100"/>
      <c r="M6698" s="100"/>
      <c r="N6698" s="100"/>
      <c r="O6698" s="100"/>
      <c r="P6698" s="100"/>
    </row>
    <row r="6699">
      <c r="A6699" s="107">
        <v>1641854.0</v>
      </c>
      <c r="B6699" s="116" t="s">
        <v>246</v>
      </c>
      <c r="C6699" s="116" t="s">
        <v>1730</v>
      </c>
      <c r="D6699" s="24" t="s">
        <v>177</v>
      </c>
      <c r="E6699" s="24">
        <v>515.1</v>
      </c>
      <c r="F6699" s="111" t="str">
        <f>DataPull!D6699</f>
        <v/>
      </c>
      <c r="G6699" s="94" t="str">
        <f t="shared" si="2"/>
        <v/>
      </c>
      <c r="H6699" s="94" t="str">
        <f t="shared" si="3"/>
        <v/>
      </c>
      <c r="I6699" s="94" t="str">
        <f t="shared" ref="I6699:J6699" si="6700">if(G6699 = "", , -G6699)</f>
        <v/>
      </c>
      <c r="J6699" s="94" t="str">
        <f t="shared" si="6700"/>
        <v/>
      </c>
      <c r="K6699" s="100"/>
      <c r="M6699" s="100"/>
      <c r="N6699" s="100"/>
      <c r="O6699" s="100"/>
      <c r="P6699" s="100"/>
    </row>
    <row r="6700">
      <c r="A6700" s="114">
        <v>1641854.0</v>
      </c>
      <c r="B6700" s="131" t="s">
        <v>247</v>
      </c>
      <c r="C6700" s="116" t="s">
        <v>1730</v>
      </c>
      <c r="D6700" s="24" t="s">
        <v>177</v>
      </c>
      <c r="E6700" s="24">
        <v>1145.6</v>
      </c>
      <c r="F6700" s="111" t="str">
        <f>DataPull!D6700</f>
        <v/>
      </c>
      <c r="G6700" s="94" t="str">
        <f t="shared" si="2"/>
        <v/>
      </c>
      <c r="H6700" s="94" t="str">
        <f t="shared" si="3"/>
        <v/>
      </c>
      <c r="I6700" s="94" t="str">
        <f t="shared" ref="I6700:J6700" si="6701">if(G6700 = "", , -G6700)</f>
        <v/>
      </c>
      <c r="J6700" s="94" t="str">
        <f t="shared" si="6701"/>
        <v/>
      </c>
      <c r="K6700" s="100"/>
      <c r="M6700" s="100"/>
      <c r="N6700" s="100"/>
      <c r="O6700" s="100"/>
      <c r="P6700" s="100"/>
    </row>
    <row r="6701">
      <c r="A6701" s="107">
        <v>1641857.0</v>
      </c>
      <c r="B6701" s="116" t="s">
        <v>246</v>
      </c>
      <c r="C6701" s="116" t="s">
        <v>1731</v>
      </c>
      <c r="D6701" s="24" t="s">
        <v>187</v>
      </c>
      <c r="E6701" s="24">
        <v>57.2</v>
      </c>
      <c r="F6701" s="111" t="str">
        <f>DataPull!D6701</f>
        <v/>
      </c>
      <c r="G6701" s="94" t="str">
        <f t="shared" si="2"/>
        <v/>
      </c>
      <c r="H6701" s="94" t="str">
        <f t="shared" si="3"/>
        <v/>
      </c>
      <c r="I6701" s="94" t="str">
        <f t="shared" ref="I6701:J6701" si="6702">if(G6701 = "", , -G6701)</f>
        <v/>
      </c>
      <c r="J6701" s="94" t="str">
        <f t="shared" si="6702"/>
        <v/>
      </c>
      <c r="K6701" s="100"/>
      <c r="M6701" s="100"/>
      <c r="N6701" s="100"/>
      <c r="O6701" s="100"/>
      <c r="P6701" s="100"/>
    </row>
    <row r="6702">
      <c r="A6702" s="126">
        <v>1641869.0</v>
      </c>
      <c r="B6702" s="141" t="s">
        <v>247</v>
      </c>
      <c r="C6702" s="141" t="s">
        <v>1732</v>
      </c>
      <c r="D6702" s="24"/>
      <c r="E6702" s="24">
        <v>358.5</v>
      </c>
      <c r="F6702" s="111" t="str">
        <f>DataPull!D6702</f>
        <v/>
      </c>
      <c r="G6702" s="94" t="str">
        <f t="shared" si="2"/>
        <v/>
      </c>
      <c r="H6702" s="94" t="str">
        <f t="shared" si="3"/>
        <v/>
      </c>
      <c r="I6702" s="94" t="str">
        <f t="shared" ref="I6702:J6702" si="6703">if(G6702 = "", , -G6702)</f>
        <v/>
      </c>
      <c r="J6702" s="94" t="str">
        <f t="shared" si="6703"/>
        <v/>
      </c>
      <c r="K6702" s="100"/>
      <c r="M6702" s="100"/>
      <c r="N6702" s="100"/>
      <c r="O6702" s="100"/>
      <c r="P6702" s="100"/>
    </row>
    <row r="6703">
      <c r="A6703" s="107">
        <v>1641871.0</v>
      </c>
      <c r="B6703" s="116" t="s">
        <v>245</v>
      </c>
      <c r="C6703" s="116" t="s">
        <v>1733</v>
      </c>
      <c r="D6703" s="24" t="s">
        <v>177</v>
      </c>
      <c r="E6703" s="24">
        <v>1217.2</v>
      </c>
      <c r="F6703" s="111" t="str">
        <f>DataPull!D6703</f>
        <v/>
      </c>
      <c r="G6703" s="94" t="str">
        <f t="shared" si="2"/>
        <v/>
      </c>
      <c r="H6703" s="94" t="str">
        <f t="shared" si="3"/>
        <v/>
      </c>
      <c r="I6703" s="94" t="str">
        <f t="shared" ref="I6703:J6703" si="6704">if(G6703 = "", , -G6703)</f>
        <v/>
      </c>
      <c r="J6703" s="94" t="str">
        <f t="shared" si="6704"/>
        <v/>
      </c>
      <c r="K6703" s="100"/>
      <c r="M6703" s="100"/>
      <c r="N6703" s="100"/>
      <c r="O6703" s="100"/>
      <c r="P6703" s="100"/>
    </row>
    <row r="6704">
      <c r="A6704" s="107">
        <v>1641871.0</v>
      </c>
      <c r="B6704" s="116" t="s">
        <v>246</v>
      </c>
      <c r="C6704" s="116" t="s">
        <v>1733</v>
      </c>
      <c r="D6704" s="24" t="s">
        <v>177</v>
      </c>
      <c r="E6704" s="24">
        <v>469.2</v>
      </c>
      <c r="F6704" s="111" t="str">
        <f>DataPull!D6704</f>
        <v/>
      </c>
      <c r="G6704" s="94" t="str">
        <f t="shared" si="2"/>
        <v/>
      </c>
      <c r="H6704" s="94" t="str">
        <f t="shared" si="3"/>
        <v/>
      </c>
      <c r="I6704" s="94" t="str">
        <f t="shared" ref="I6704:J6704" si="6705">if(G6704 = "", , -G6704)</f>
        <v/>
      </c>
      <c r="J6704" s="94" t="str">
        <f t="shared" si="6705"/>
        <v/>
      </c>
      <c r="K6704" s="100"/>
      <c r="M6704" s="100"/>
      <c r="N6704" s="100"/>
      <c r="O6704" s="100"/>
      <c r="P6704" s="100"/>
    </row>
    <row r="6705">
      <c r="A6705" s="114">
        <v>1641871.0</v>
      </c>
      <c r="B6705" s="131" t="s">
        <v>247</v>
      </c>
      <c r="C6705" s="131" t="s">
        <v>1733</v>
      </c>
      <c r="D6705" s="24" t="s">
        <v>187</v>
      </c>
      <c r="E6705" s="24">
        <v>259.2</v>
      </c>
      <c r="F6705" s="111" t="str">
        <f>DataPull!D6705</f>
        <v/>
      </c>
      <c r="G6705" s="94" t="str">
        <f t="shared" si="2"/>
        <v/>
      </c>
      <c r="H6705" s="94" t="str">
        <f t="shared" si="3"/>
        <v/>
      </c>
      <c r="I6705" s="94" t="str">
        <f t="shared" ref="I6705:J6705" si="6706">if(G6705 = "", , -G6705)</f>
        <v/>
      </c>
      <c r="J6705" s="94" t="str">
        <f t="shared" si="6706"/>
        <v/>
      </c>
      <c r="K6705" s="100"/>
      <c r="M6705" s="100"/>
      <c r="N6705" s="100"/>
      <c r="O6705" s="100"/>
      <c r="P6705" s="100"/>
    </row>
    <row r="6706">
      <c r="A6706" s="107">
        <v>1641877.0</v>
      </c>
      <c r="B6706" s="116" t="s">
        <v>245</v>
      </c>
      <c r="C6706" s="116" t="s">
        <v>1734</v>
      </c>
      <c r="D6706" s="24" t="s">
        <v>177</v>
      </c>
      <c r="E6706" s="24">
        <v>307.5</v>
      </c>
      <c r="F6706" s="111" t="str">
        <f>DataPull!D6706</f>
        <v/>
      </c>
      <c r="G6706" s="94" t="str">
        <f t="shared" si="2"/>
        <v/>
      </c>
      <c r="H6706" s="94" t="str">
        <f t="shared" si="3"/>
        <v/>
      </c>
      <c r="I6706" s="94" t="str">
        <f t="shared" ref="I6706:J6706" si="6707">if(G6706 = "", , -G6706)</f>
        <v/>
      </c>
      <c r="J6706" s="94" t="str">
        <f t="shared" si="6707"/>
        <v/>
      </c>
      <c r="K6706" s="100"/>
      <c r="M6706" s="100"/>
      <c r="N6706" s="100"/>
      <c r="O6706" s="100"/>
      <c r="P6706" s="100"/>
    </row>
    <row r="6707">
      <c r="A6707" s="123">
        <v>1641878.0</v>
      </c>
      <c r="B6707" s="132" t="s">
        <v>246</v>
      </c>
      <c r="C6707" s="133" t="s">
        <v>1735</v>
      </c>
      <c r="D6707" s="142" t="s">
        <v>176</v>
      </c>
      <c r="E6707" s="142">
        <v>370.5</v>
      </c>
      <c r="F6707" s="111" t="str">
        <f>DataPull!D6707</f>
        <v/>
      </c>
      <c r="G6707" s="94" t="str">
        <f t="shared" si="2"/>
        <v/>
      </c>
      <c r="H6707" s="94" t="str">
        <f t="shared" si="3"/>
        <v/>
      </c>
      <c r="I6707" s="94" t="str">
        <f t="shared" ref="I6707:J6707" si="6708">if(G6707 = "", , -G6707)</f>
        <v/>
      </c>
      <c r="J6707" s="94" t="str">
        <f t="shared" si="6708"/>
        <v/>
      </c>
      <c r="K6707" s="100"/>
      <c r="M6707" s="100"/>
      <c r="N6707" s="100"/>
      <c r="O6707" s="100"/>
      <c r="P6707" s="100"/>
    </row>
    <row r="6708">
      <c r="A6708" s="123">
        <v>1641879.0</v>
      </c>
      <c r="B6708" s="132" t="s">
        <v>246</v>
      </c>
      <c r="C6708" s="133" t="s">
        <v>1736</v>
      </c>
      <c r="D6708" s="24" t="s">
        <v>181</v>
      </c>
      <c r="E6708" s="24">
        <v>16.4</v>
      </c>
      <c r="F6708" s="111" t="str">
        <f>DataPull!D6708</f>
        <v/>
      </c>
      <c r="G6708" s="94" t="str">
        <f t="shared" si="2"/>
        <v/>
      </c>
      <c r="H6708" s="94" t="str">
        <f t="shared" si="3"/>
        <v/>
      </c>
      <c r="I6708" s="94" t="str">
        <f t="shared" ref="I6708:J6708" si="6709">if(G6708 = "", , -G6708)</f>
        <v/>
      </c>
      <c r="J6708" s="94" t="str">
        <f t="shared" si="6709"/>
        <v/>
      </c>
      <c r="K6708" s="100"/>
      <c r="M6708" s="100"/>
      <c r="N6708" s="100"/>
      <c r="O6708" s="100"/>
      <c r="P6708" s="100"/>
    </row>
    <row r="6709">
      <c r="A6709" s="107">
        <v>1641890.0</v>
      </c>
      <c r="B6709" s="116" t="s">
        <v>246</v>
      </c>
      <c r="C6709" s="116" t="s">
        <v>1737</v>
      </c>
      <c r="D6709" s="24" t="s">
        <v>187</v>
      </c>
      <c r="E6709" s="24">
        <v>121.9</v>
      </c>
      <c r="F6709" s="111" t="str">
        <f>DataPull!D6709</f>
        <v/>
      </c>
      <c r="G6709" s="94" t="str">
        <f t="shared" si="2"/>
        <v/>
      </c>
      <c r="H6709" s="94" t="str">
        <f t="shared" si="3"/>
        <v/>
      </c>
      <c r="I6709" s="94" t="str">
        <f t="shared" ref="I6709:J6709" si="6710">if(G6709 = "", , -G6709)</f>
        <v/>
      </c>
      <c r="J6709" s="94" t="str">
        <f t="shared" si="6710"/>
        <v/>
      </c>
      <c r="K6709" s="100"/>
      <c r="M6709" s="100"/>
      <c r="N6709" s="100"/>
      <c r="O6709" s="100"/>
      <c r="P6709" s="100"/>
    </row>
    <row r="6710">
      <c r="A6710" s="114">
        <v>1641890.0</v>
      </c>
      <c r="B6710" s="131" t="s">
        <v>247</v>
      </c>
      <c r="C6710" s="131" t="s">
        <v>1737</v>
      </c>
      <c r="D6710" s="24"/>
      <c r="E6710" s="24">
        <v>165.6</v>
      </c>
      <c r="F6710" s="111" t="str">
        <f>DataPull!D6710</f>
        <v/>
      </c>
      <c r="G6710" s="94" t="str">
        <f t="shared" si="2"/>
        <v/>
      </c>
      <c r="H6710" s="94" t="str">
        <f t="shared" si="3"/>
        <v/>
      </c>
      <c r="I6710" s="94" t="str">
        <f t="shared" ref="I6710:J6710" si="6711">if(G6710 = "", , -G6710)</f>
        <v/>
      </c>
      <c r="J6710" s="94" t="str">
        <f t="shared" si="6711"/>
        <v/>
      </c>
      <c r="K6710" s="100"/>
      <c r="M6710" s="100"/>
      <c r="N6710" s="100"/>
      <c r="O6710" s="100"/>
      <c r="P6710" s="100"/>
    </row>
    <row r="6711">
      <c r="A6711" s="107">
        <v>1641926.0</v>
      </c>
      <c r="B6711" s="116" t="s">
        <v>245</v>
      </c>
      <c r="C6711" s="116" t="s">
        <v>1738</v>
      </c>
      <c r="D6711" s="24" t="s">
        <v>181</v>
      </c>
      <c r="E6711" s="24">
        <v>30.0</v>
      </c>
      <c r="F6711" s="111" t="str">
        <f>DataPull!D6711</f>
        <v/>
      </c>
      <c r="G6711" s="94" t="str">
        <f t="shared" si="2"/>
        <v/>
      </c>
      <c r="H6711" s="94" t="str">
        <f t="shared" si="3"/>
        <v/>
      </c>
      <c r="I6711" s="94" t="str">
        <f t="shared" ref="I6711:J6711" si="6712">if(G6711 = "", , -G6711)</f>
        <v/>
      </c>
      <c r="J6711" s="94" t="str">
        <f t="shared" si="6712"/>
        <v/>
      </c>
      <c r="K6711" s="100"/>
      <c r="M6711" s="100"/>
      <c r="N6711" s="100"/>
      <c r="O6711" s="100"/>
      <c r="P6711" s="100"/>
    </row>
    <row r="6712">
      <c r="A6712" s="107">
        <v>1641931.0</v>
      </c>
      <c r="B6712" s="116" t="s">
        <v>245</v>
      </c>
      <c r="C6712" s="116" t="s">
        <v>1739</v>
      </c>
      <c r="D6712" s="24" t="s">
        <v>187</v>
      </c>
      <c r="E6712" s="24">
        <v>269.1</v>
      </c>
      <c r="F6712" s="111" t="str">
        <f>DataPull!D6712</f>
        <v/>
      </c>
      <c r="G6712" s="94" t="str">
        <f t="shared" si="2"/>
        <v/>
      </c>
      <c r="H6712" s="94" t="str">
        <f t="shared" si="3"/>
        <v/>
      </c>
      <c r="I6712" s="94" t="str">
        <f t="shared" ref="I6712:J6712" si="6713">if(G6712 = "", , -G6712)</f>
        <v/>
      </c>
      <c r="J6712" s="94" t="str">
        <f t="shared" si="6713"/>
        <v/>
      </c>
      <c r="K6712" s="100"/>
      <c r="M6712" s="100"/>
      <c r="N6712" s="100"/>
      <c r="O6712" s="100"/>
      <c r="P6712" s="100"/>
    </row>
    <row r="6713">
      <c r="A6713" s="123">
        <v>1641936.0</v>
      </c>
      <c r="B6713" s="132" t="s">
        <v>246</v>
      </c>
      <c r="C6713" s="133" t="s">
        <v>1740</v>
      </c>
      <c r="D6713" s="24" t="s">
        <v>181</v>
      </c>
      <c r="E6713" s="24">
        <v>34.8</v>
      </c>
      <c r="F6713" s="111" t="str">
        <f>DataPull!D6713</f>
        <v/>
      </c>
      <c r="G6713" s="94" t="str">
        <f t="shared" si="2"/>
        <v/>
      </c>
      <c r="H6713" s="94" t="str">
        <f t="shared" si="3"/>
        <v/>
      </c>
      <c r="I6713" s="94" t="str">
        <f t="shared" ref="I6713:J6713" si="6714">if(G6713 = "", , -G6713)</f>
        <v/>
      </c>
      <c r="J6713" s="94" t="str">
        <f t="shared" si="6714"/>
        <v/>
      </c>
      <c r="K6713" s="100"/>
      <c r="M6713" s="100"/>
      <c r="N6713" s="100"/>
      <c r="O6713" s="100"/>
      <c r="P6713" s="100"/>
    </row>
    <row r="6714">
      <c r="A6714" s="120">
        <v>1641989.0</v>
      </c>
      <c r="B6714" s="138" t="s">
        <v>246</v>
      </c>
      <c r="C6714" s="138" t="s">
        <v>1741</v>
      </c>
      <c r="D6714" s="139" t="s">
        <v>187</v>
      </c>
      <c r="E6714" s="139">
        <v>138.0</v>
      </c>
      <c r="F6714" s="111" t="str">
        <f>DataPull!D6714</f>
        <v/>
      </c>
      <c r="G6714" s="94" t="str">
        <f t="shared" si="2"/>
        <v/>
      </c>
      <c r="H6714" s="94" t="str">
        <f t="shared" si="3"/>
        <v/>
      </c>
      <c r="I6714" s="94" t="str">
        <f t="shared" ref="I6714:J6714" si="6715">if(G6714 = "", , -G6714)</f>
        <v/>
      </c>
      <c r="J6714" s="94" t="str">
        <f t="shared" si="6715"/>
        <v/>
      </c>
      <c r="K6714" s="100"/>
      <c r="M6714" s="100"/>
      <c r="N6714" s="100"/>
      <c r="O6714" s="100"/>
      <c r="P6714" s="100"/>
    </row>
    <row r="6715">
      <c r="A6715" s="114">
        <v>1641989.0</v>
      </c>
      <c r="B6715" s="131" t="s">
        <v>247</v>
      </c>
      <c r="C6715" s="131" t="s">
        <v>1741</v>
      </c>
      <c r="D6715" s="24" t="s">
        <v>187</v>
      </c>
      <c r="E6715" s="24">
        <v>546.0</v>
      </c>
      <c r="F6715" s="111" t="str">
        <f>DataPull!D6715</f>
        <v/>
      </c>
      <c r="G6715" s="94" t="str">
        <f t="shared" si="2"/>
        <v/>
      </c>
      <c r="H6715" s="94" t="str">
        <f t="shared" si="3"/>
        <v/>
      </c>
      <c r="I6715" s="94" t="str">
        <f t="shared" ref="I6715:J6715" si="6716">if(G6715 = "", , -G6715)</f>
        <v/>
      </c>
      <c r="J6715" s="94" t="str">
        <f t="shared" si="6716"/>
        <v/>
      </c>
      <c r="K6715" s="100"/>
      <c r="M6715" s="100"/>
      <c r="N6715" s="100"/>
      <c r="O6715" s="100"/>
      <c r="P6715" s="100"/>
    </row>
    <row r="6716">
      <c r="A6716" s="107">
        <v>1641998.0</v>
      </c>
      <c r="B6716" s="116" t="s">
        <v>245</v>
      </c>
      <c r="C6716" s="116" t="s">
        <v>1742</v>
      </c>
      <c r="D6716" s="24" t="s">
        <v>176</v>
      </c>
      <c r="E6716" s="24">
        <v>575.0</v>
      </c>
      <c r="F6716" s="111" t="str">
        <f>DataPull!D6716</f>
        <v/>
      </c>
      <c r="G6716" s="94" t="str">
        <f t="shared" si="2"/>
        <v/>
      </c>
      <c r="H6716" s="94" t="str">
        <f t="shared" si="3"/>
        <v/>
      </c>
      <c r="I6716" s="94" t="str">
        <f t="shared" ref="I6716:J6716" si="6717">if(G6716 = "", , -G6716)</f>
        <v/>
      </c>
      <c r="J6716" s="94" t="str">
        <f t="shared" si="6717"/>
        <v/>
      </c>
      <c r="K6716" s="100"/>
      <c r="M6716" s="100"/>
      <c r="N6716" s="100"/>
      <c r="O6716" s="100"/>
      <c r="P6716" s="100"/>
    </row>
    <row r="6717">
      <c r="A6717" s="107">
        <v>1641998.0</v>
      </c>
      <c r="B6717" s="116" t="s">
        <v>246</v>
      </c>
      <c r="C6717" s="116" t="s">
        <v>1742</v>
      </c>
      <c r="D6717" s="24" t="s">
        <v>187</v>
      </c>
      <c r="E6717" s="24">
        <v>391.4</v>
      </c>
      <c r="F6717" s="111" t="str">
        <f>DataPull!D6717</f>
        <v/>
      </c>
      <c r="G6717" s="94" t="str">
        <f t="shared" si="2"/>
        <v/>
      </c>
      <c r="H6717" s="94" t="str">
        <f t="shared" si="3"/>
        <v/>
      </c>
      <c r="I6717" s="94" t="str">
        <f t="shared" ref="I6717:J6717" si="6718">if(G6717 = "", , -G6717)</f>
        <v/>
      </c>
      <c r="J6717" s="94" t="str">
        <f t="shared" si="6718"/>
        <v/>
      </c>
      <c r="K6717" s="100"/>
      <c r="M6717" s="100"/>
      <c r="N6717" s="100"/>
      <c r="O6717" s="100"/>
      <c r="P6717" s="100"/>
    </row>
    <row r="6718">
      <c r="A6718" s="114">
        <v>1641998.0</v>
      </c>
      <c r="B6718" s="131" t="s">
        <v>247</v>
      </c>
      <c r="C6718" s="116" t="s">
        <v>1742</v>
      </c>
      <c r="D6718" s="24" t="s">
        <v>187</v>
      </c>
      <c r="E6718" s="24">
        <v>81.9</v>
      </c>
      <c r="F6718" s="111" t="str">
        <f>DataPull!D6718</f>
        <v/>
      </c>
      <c r="G6718" s="94" t="str">
        <f t="shared" si="2"/>
        <v/>
      </c>
      <c r="H6718" s="94" t="str">
        <f t="shared" si="3"/>
        <v/>
      </c>
      <c r="I6718" s="94" t="str">
        <f t="shared" ref="I6718:J6718" si="6719">if(G6718 = "", , -G6718)</f>
        <v/>
      </c>
      <c r="J6718" s="94" t="str">
        <f t="shared" si="6719"/>
        <v/>
      </c>
      <c r="K6718" s="100"/>
      <c r="M6718" s="100"/>
      <c r="N6718" s="100"/>
      <c r="O6718" s="100"/>
      <c r="P6718" s="100"/>
    </row>
    <row r="6719">
      <c r="A6719" s="107">
        <v>1642013.0</v>
      </c>
      <c r="B6719" s="116" t="s">
        <v>245</v>
      </c>
      <c r="C6719" s="116" t="s">
        <v>1743</v>
      </c>
      <c r="D6719" s="24" t="s">
        <v>181</v>
      </c>
      <c r="E6719" s="24">
        <v>106.4</v>
      </c>
      <c r="F6719" s="111" t="str">
        <f>DataPull!D6719</f>
        <v/>
      </c>
      <c r="G6719" s="94" t="str">
        <f t="shared" si="2"/>
        <v/>
      </c>
      <c r="H6719" s="94" t="str">
        <f t="shared" si="3"/>
        <v/>
      </c>
      <c r="I6719" s="94" t="str">
        <f t="shared" ref="I6719:J6719" si="6720">if(G6719 = "", , -G6719)</f>
        <v/>
      </c>
      <c r="J6719" s="94" t="str">
        <f t="shared" si="6720"/>
        <v/>
      </c>
      <c r="K6719" s="100"/>
      <c r="M6719" s="100"/>
      <c r="N6719" s="100"/>
      <c r="O6719" s="100"/>
      <c r="P6719" s="100"/>
    </row>
    <row r="6720">
      <c r="A6720" s="120">
        <v>1642024.0</v>
      </c>
      <c r="B6720" s="138" t="s">
        <v>246</v>
      </c>
      <c r="C6720" s="138" t="s">
        <v>1744</v>
      </c>
      <c r="D6720" s="139" t="s">
        <v>187</v>
      </c>
      <c r="E6720" s="139">
        <v>216.0</v>
      </c>
      <c r="F6720" s="111" t="str">
        <f>DataPull!D6720</f>
        <v/>
      </c>
      <c r="G6720" s="94" t="str">
        <f t="shared" si="2"/>
        <v/>
      </c>
      <c r="H6720" s="94" t="str">
        <f t="shared" si="3"/>
        <v/>
      </c>
      <c r="I6720" s="94" t="str">
        <f t="shared" ref="I6720:J6720" si="6721">if(G6720 = "", , -G6720)</f>
        <v/>
      </c>
      <c r="J6720" s="94" t="str">
        <f t="shared" si="6721"/>
        <v/>
      </c>
      <c r="K6720" s="100"/>
      <c r="M6720" s="100"/>
      <c r="N6720" s="100"/>
      <c r="O6720" s="100"/>
      <c r="P6720" s="100"/>
    </row>
    <row r="6721">
      <c r="A6721" s="123">
        <v>1642050.0</v>
      </c>
      <c r="B6721" s="132" t="s">
        <v>246</v>
      </c>
      <c r="C6721" s="133" t="s">
        <v>1745</v>
      </c>
      <c r="D6721" s="24" t="s">
        <v>181</v>
      </c>
      <c r="E6721" s="24">
        <v>51.6</v>
      </c>
      <c r="F6721" s="111" t="str">
        <f>DataPull!D6721</f>
        <v/>
      </c>
      <c r="G6721" s="94" t="str">
        <f t="shared" si="2"/>
        <v/>
      </c>
      <c r="H6721" s="94" t="str">
        <f t="shared" si="3"/>
        <v/>
      </c>
      <c r="I6721" s="94" t="str">
        <f t="shared" ref="I6721:J6721" si="6722">if(G6721 = "", , -G6721)</f>
        <v/>
      </c>
      <c r="J6721" s="94" t="str">
        <f t="shared" si="6722"/>
        <v/>
      </c>
      <c r="K6721" s="100"/>
      <c r="M6721" s="100"/>
      <c r="N6721" s="100"/>
      <c r="O6721" s="100"/>
      <c r="P6721" s="100"/>
    </row>
    <row r="6722">
      <c r="A6722" s="89">
        <v>1642050.0</v>
      </c>
      <c r="B6722" s="131" t="s">
        <v>247</v>
      </c>
      <c r="C6722" s="131" t="s">
        <v>1745</v>
      </c>
      <c r="D6722" s="24"/>
      <c r="E6722" s="24"/>
      <c r="F6722" s="111" t="str">
        <f>DataPull!D6722</f>
        <v/>
      </c>
      <c r="G6722" s="94" t="str">
        <f t="shared" si="2"/>
        <v/>
      </c>
      <c r="H6722" s="94" t="str">
        <f t="shared" si="3"/>
        <v/>
      </c>
      <c r="I6722" s="94" t="str">
        <f t="shared" ref="I6722:J6722" si="6723">if(G6722 = "", , -G6722)</f>
        <v/>
      </c>
      <c r="J6722" s="94" t="str">
        <f t="shared" si="6723"/>
        <v/>
      </c>
      <c r="K6722" s="100"/>
      <c r="M6722" s="100"/>
      <c r="N6722" s="100"/>
      <c r="O6722" s="100"/>
      <c r="P6722" s="100"/>
    </row>
    <row r="6723">
      <c r="A6723" s="114">
        <v>1642066.0</v>
      </c>
      <c r="B6723" s="131" t="s">
        <v>247</v>
      </c>
      <c r="C6723" s="131" t="s">
        <v>1746</v>
      </c>
      <c r="D6723" s="24" t="s">
        <v>187</v>
      </c>
      <c r="E6723" s="24">
        <v>409.5</v>
      </c>
      <c r="F6723" s="111" t="str">
        <f>DataPull!D6723</f>
        <v/>
      </c>
      <c r="G6723" s="94" t="str">
        <f t="shared" si="2"/>
        <v/>
      </c>
      <c r="H6723" s="94" t="str">
        <f t="shared" si="3"/>
        <v/>
      </c>
      <c r="I6723" s="94" t="str">
        <f t="shared" ref="I6723:J6723" si="6724">if(G6723 = "", , -G6723)</f>
        <v/>
      </c>
      <c r="J6723" s="94" t="str">
        <f t="shared" si="6724"/>
        <v/>
      </c>
      <c r="K6723" s="100"/>
      <c r="M6723" s="100"/>
      <c r="N6723" s="100"/>
      <c r="O6723" s="100"/>
      <c r="P6723" s="100"/>
    </row>
    <row r="6724">
      <c r="A6724" s="107">
        <v>1642258.0</v>
      </c>
      <c r="B6724" s="116" t="s">
        <v>246</v>
      </c>
      <c r="C6724" s="116" t="s">
        <v>1747</v>
      </c>
      <c r="D6724" s="24" t="s">
        <v>176</v>
      </c>
      <c r="E6724" s="24">
        <v>1845.0</v>
      </c>
      <c r="F6724" s="111" t="str">
        <f>DataPull!D6724</f>
        <v/>
      </c>
      <c r="G6724" s="94" t="str">
        <f t="shared" si="2"/>
        <v/>
      </c>
      <c r="H6724" s="94" t="str">
        <f t="shared" si="3"/>
        <v/>
      </c>
      <c r="I6724" s="94" t="str">
        <f t="shared" ref="I6724:J6724" si="6725">if(G6724 = "", , -G6724)</f>
        <v/>
      </c>
      <c r="J6724" s="94" t="str">
        <f t="shared" si="6725"/>
        <v/>
      </c>
      <c r="K6724" s="100"/>
      <c r="M6724" s="100"/>
      <c r="N6724" s="100"/>
      <c r="O6724" s="100"/>
      <c r="P6724" s="100"/>
    </row>
    <row r="6725">
      <c r="A6725" s="114">
        <v>1642258.0</v>
      </c>
      <c r="B6725" s="131" t="s">
        <v>247</v>
      </c>
      <c r="C6725" s="131" t="s">
        <v>1747</v>
      </c>
      <c r="D6725" s="24" t="s">
        <v>176</v>
      </c>
      <c r="E6725" s="24">
        <v>1500.8</v>
      </c>
      <c r="F6725" s="111" t="str">
        <f>DataPull!D6725</f>
        <v/>
      </c>
      <c r="G6725" s="94" t="str">
        <f t="shared" si="2"/>
        <v/>
      </c>
      <c r="H6725" s="94" t="str">
        <f t="shared" si="3"/>
        <v/>
      </c>
      <c r="I6725" s="94" t="str">
        <f t="shared" ref="I6725:J6725" si="6726">if(G6725 = "", , -G6725)</f>
        <v/>
      </c>
      <c r="J6725" s="94" t="str">
        <f t="shared" si="6726"/>
        <v/>
      </c>
      <c r="K6725" s="100"/>
      <c r="M6725" s="100"/>
      <c r="N6725" s="100"/>
      <c r="O6725" s="100"/>
      <c r="P6725" s="100"/>
    </row>
    <row r="6726">
      <c r="A6726" s="107">
        <v>1642259.0</v>
      </c>
      <c r="B6726" s="116" t="s">
        <v>246</v>
      </c>
      <c r="C6726" s="131" t="s">
        <v>1748</v>
      </c>
      <c r="D6726" s="146" t="s">
        <v>178</v>
      </c>
      <c r="E6726" s="146">
        <v>1815.7</v>
      </c>
      <c r="F6726" s="111" t="str">
        <f>DataPull!D6726</f>
        <v/>
      </c>
      <c r="G6726" s="94" t="str">
        <f t="shared" si="2"/>
        <v/>
      </c>
      <c r="H6726" s="94" t="str">
        <f t="shared" si="3"/>
        <v/>
      </c>
      <c r="I6726" s="94" t="str">
        <f t="shared" ref="I6726:J6726" si="6727">if(G6726 = "", , -G6726)</f>
        <v/>
      </c>
      <c r="J6726" s="94" t="str">
        <f t="shared" si="6727"/>
        <v/>
      </c>
      <c r="K6726" s="100"/>
      <c r="M6726" s="100"/>
      <c r="N6726" s="100"/>
      <c r="O6726" s="100"/>
      <c r="P6726" s="100"/>
    </row>
    <row r="6727">
      <c r="A6727" s="114">
        <v>1642259.0</v>
      </c>
      <c r="B6727" s="131" t="s">
        <v>247</v>
      </c>
      <c r="C6727" s="131" t="s">
        <v>1748</v>
      </c>
      <c r="D6727" s="24" t="s">
        <v>178</v>
      </c>
      <c r="E6727" s="24">
        <v>1305.6</v>
      </c>
      <c r="F6727" s="111" t="str">
        <f>DataPull!D6727</f>
        <v/>
      </c>
      <c r="G6727" s="94" t="str">
        <f t="shared" si="2"/>
        <v/>
      </c>
      <c r="H6727" s="94" t="str">
        <f t="shared" si="3"/>
        <v/>
      </c>
      <c r="I6727" s="94" t="str">
        <f t="shared" ref="I6727:J6727" si="6728">if(G6727 = "", , -G6727)</f>
        <v/>
      </c>
      <c r="J6727" s="94" t="str">
        <f t="shared" si="6728"/>
        <v/>
      </c>
      <c r="K6727" s="100"/>
      <c r="M6727" s="100"/>
      <c r="N6727" s="100"/>
      <c r="O6727" s="100"/>
      <c r="P6727" s="100"/>
    </row>
    <row r="6728">
      <c r="A6728" s="89">
        <v>1642260.0</v>
      </c>
      <c r="B6728" s="131" t="s">
        <v>247</v>
      </c>
      <c r="C6728" s="131" t="s">
        <v>1749</v>
      </c>
      <c r="D6728" s="24" t="s">
        <v>181</v>
      </c>
      <c r="E6728" s="24">
        <v>160.0</v>
      </c>
      <c r="F6728" s="111" t="str">
        <f>DataPull!D6728</f>
        <v/>
      </c>
      <c r="G6728" s="94" t="str">
        <f t="shared" si="2"/>
        <v/>
      </c>
      <c r="H6728" s="94" t="str">
        <f t="shared" si="3"/>
        <v/>
      </c>
      <c r="I6728" s="94" t="str">
        <f t="shared" ref="I6728:J6728" si="6729">if(G6728 = "", , -G6728)</f>
        <v/>
      </c>
      <c r="J6728" s="94" t="str">
        <f t="shared" si="6729"/>
        <v/>
      </c>
      <c r="K6728" s="100"/>
      <c r="M6728" s="100"/>
      <c r="N6728" s="100"/>
      <c r="O6728" s="100"/>
      <c r="P6728" s="100"/>
    </row>
    <row r="6729">
      <c r="A6729" s="107">
        <v>1642261.0</v>
      </c>
      <c r="B6729" s="116" t="s">
        <v>246</v>
      </c>
      <c r="C6729" s="116" t="s">
        <v>1750</v>
      </c>
      <c r="D6729" s="24" t="s">
        <v>177</v>
      </c>
      <c r="E6729" s="24">
        <v>1497.6</v>
      </c>
      <c r="F6729" s="111" t="str">
        <f>DataPull!D6729</f>
        <v/>
      </c>
      <c r="G6729" s="94" t="str">
        <f t="shared" si="2"/>
        <v/>
      </c>
      <c r="H6729" s="94" t="str">
        <f t="shared" si="3"/>
        <v/>
      </c>
      <c r="I6729" s="94" t="str">
        <f t="shared" ref="I6729:J6729" si="6730">if(G6729 = "", , -G6729)</f>
        <v/>
      </c>
      <c r="J6729" s="94" t="str">
        <f t="shared" si="6730"/>
        <v/>
      </c>
      <c r="K6729" s="100"/>
      <c r="M6729" s="100"/>
      <c r="N6729" s="100"/>
      <c r="O6729" s="100"/>
      <c r="P6729" s="100"/>
    </row>
    <row r="6730">
      <c r="A6730" s="114">
        <v>1642261.0</v>
      </c>
      <c r="B6730" s="131" t="s">
        <v>247</v>
      </c>
      <c r="C6730" s="131" t="s">
        <v>1750</v>
      </c>
      <c r="D6730" s="24" t="s">
        <v>187</v>
      </c>
      <c r="E6730" s="24">
        <v>550.8</v>
      </c>
      <c r="F6730" s="111" t="str">
        <f>DataPull!D6730</f>
        <v/>
      </c>
      <c r="G6730" s="94" t="str">
        <f t="shared" si="2"/>
        <v/>
      </c>
      <c r="H6730" s="94" t="str">
        <f t="shared" si="3"/>
        <v/>
      </c>
      <c r="I6730" s="94" t="str">
        <f t="shared" ref="I6730:J6730" si="6731">if(G6730 = "", , -G6730)</f>
        <v/>
      </c>
      <c r="J6730" s="94" t="str">
        <f t="shared" si="6731"/>
        <v/>
      </c>
      <c r="K6730" s="100"/>
      <c r="M6730" s="100"/>
      <c r="N6730" s="100"/>
      <c r="O6730" s="100"/>
      <c r="P6730" s="100"/>
    </row>
    <row r="6731">
      <c r="A6731" s="107">
        <v>1642262.0</v>
      </c>
      <c r="B6731" s="116" t="s">
        <v>246</v>
      </c>
      <c r="C6731" s="116" t="s">
        <v>1751</v>
      </c>
      <c r="D6731" s="24" t="s">
        <v>176</v>
      </c>
      <c r="E6731" s="24">
        <v>1060.0</v>
      </c>
      <c r="F6731" s="111" t="str">
        <f>DataPull!D6731</f>
        <v/>
      </c>
      <c r="G6731" s="94" t="str">
        <f t="shared" si="2"/>
        <v/>
      </c>
      <c r="H6731" s="94" t="str">
        <f t="shared" si="3"/>
        <v/>
      </c>
      <c r="I6731" s="94" t="str">
        <f t="shared" ref="I6731:J6731" si="6732">if(G6731 = "", , -G6731)</f>
        <v/>
      </c>
      <c r="J6731" s="94" t="str">
        <f t="shared" si="6732"/>
        <v/>
      </c>
      <c r="K6731" s="100"/>
      <c r="M6731" s="100"/>
      <c r="N6731" s="100"/>
      <c r="O6731" s="100"/>
      <c r="P6731" s="100"/>
    </row>
    <row r="6732">
      <c r="A6732" s="114">
        <v>1642262.0</v>
      </c>
      <c r="B6732" s="131" t="s">
        <v>247</v>
      </c>
      <c r="C6732" s="131" t="s">
        <v>1751</v>
      </c>
      <c r="D6732" s="24" t="s">
        <v>177</v>
      </c>
      <c r="E6732" s="24">
        <v>1628.1</v>
      </c>
      <c r="F6732" s="111" t="str">
        <f>DataPull!D6732</f>
        <v/>
      </c>
      <c r="G6732" s="94" t="str">
        <f t="shared" si="2"/>
        <v/>
      </c>
      <c r="H6732" s="94" t="str">
        <f t="shared" si="3"/>
        <v/>
      </c>
      <c r="I6732" s="94" t="str">
        <f t="shared" ref="I6732:J6732" si="6733">if(G6732 = "", , -G6732)</f>
        <v/>
      </c>
      <c r="J6732" s="94" t="str">
        <f t="shared" si="6733"/>
        <v/>
      </c>
      <c r="K6732" s="100"/>
      <c r="M6732" s="100"/>
      <c r="N6732" s="100"/>
      <c r="O6732" s="100"/>
      <c r="P6732" s="100"/>
    </row>
    <row r="6733">
      <c r="A6733" s="107">
        <v>1642263.0</v>
      </c>
      <c r="B6733" s="116" t="s">
        <v>246</v>
      </c>
      <c r="C6733" s="116" t="s">
        <v>1752</v>
      </c>
      <c r="D6733" s="24" t="s">
        <v>177</v>
      </c>
      <c r="E6733" s="24">
        <v>655.2</v>
      </c>
      <c r="F6733" s="111" t="str">
        <f>DataPull!D6733</f>
        <v/>
      </c>
      <c r="G6733" s="94" t="str">
        <f t="shared" si="2"/>
        <v/>
      </c>
      <c r="H6733" s="94" t="str">
        <f t="shared" si="3"/>
        <v/>
      </c>
      <c r="I6733" s="94" t="str">
        <f t="shared" ref="I6733:J6733" si="6734">if(G6733 = "", , -G6733)</f>
        <v/>
      </c>
      <c r="J6733" s="94" t="str">
        <f t="shared" si="6734"/>
        <v/>
      </c>
      <c r="K6733" s="100"/>
      <c r="M6733" s="100"/>
      <c r="N6733" s="100"/>
      <c r="O6733" s="100"/>
      <c r="P6733" s="100"/>
    </row>
    <row r="6734">
      <c r="A6734" s="114">
        <v>1642263.0</v>
      </c>
      <c r="B6734" s="131" t="s">
        <v>247</v>
      </c>
      <c r="C6734" s="131" t="s">
        <v>1752</v>
      </c>
      <c r="D6734" s="24" t="s">
        <v>176</v>
      </c>
      <c r="E6734" s="24">
        <v>2148.4</v>
      </c>
      <c r="F6734" s="111" t="str">
        <f>DataPull!D6734</f>
        <v/>
      </c>
      <c r="G6734" s="94" t="str">
        <f t="shared" si="2"/>
        <v/>
      </c>
      <c r="H6734" s="94" t="str">
        <f t="shared" si="3"/>
        <v/>
      </c>
      <c r="I6734" s="94" t="str">
        <f t="shared" ref="I6734:J6734" si="6735">if(G6734 = "", , -G6734)</f>
        <v/>
      </c>
      <c r="J6734" s="94" t="str">
        <f t="shared" si="6735"/>
        <v/>
      </c>
      <c r="K6734" s="100"/>
      <c r="M6734" s="100"/>
      <c r="N6734" s="100"/>
      <c r="O6734" s="100"/>
      <c r="P6734" s="100"/>
    </row>
    <row r="6735">
      <c r="A6735" s="107">
        <v>1642264.0</v>
      </c>
      <c r="B6735" s="116" t="s">
        <v>246</v>
      </c>
      <c r="C6735" s="116" t="s">
        <v>1753</v>
      </c>
      <c r="D6735" s="24" t="s">
        <v>176</v>
      </c>
      <c r="E6735" s="24">
        <v>2162.7</v>
      </c>
      <c r="F6735" s="111" t="str">
        <f>DataPull!D6735</f>
        <v/>
      </c>
      <c r="G6735" s="94" t="str">
        <f t="shared" si="2"/>
        <v/>
      </c>
      <c r="H6735" s="94" t="str">
        <f t="shared" si="3"/>
        <v/>
      </c>
      <c r="I6735" s="94" t="str">
        <f t="shared" ref="I6735:J6735" si="6736">if(G6735 = "", , -G6735)</f>
        <v/>
      </c>
      <c r="J6735" s="94" t="str">
        <f t="shared" si="6736"/>
        <v/>
      </c>
      <c r="K6735" s="100"/>
      <c r="M6735" s="100"/>
      <c r="N6735" s="100"/>
      <c r="O6735" s="100"/>
      <c r="P6735" s="100"/>
    </row>
    <row r="6736">
      <c r="A6736" s="114">
        <v>1642264.0</v>
      </c>
      <c r="B6736" s="131" t="s">
        <v>247</v>
      </c>
      <c r="C6736" s="131" t="s">
        <v>1753</v>
      </c>
      <c r="D6736" s="24" t="s">
        <v>178</v>
      </c>
      <c r="E6736" s="24">
        <v>2040.0</v>
      </c>
      <c r="F6736" s="111" t="str">
        <f>DataPull!D6736</f>
        <v/>
      </c>
      <c r="G6736" s="94" t="str">
        <f t="shared" si="2"/>
        <v/>
      </c>
      <c r="H6736" s="94" t="str">
        <f t="shared" si="3"/>
        <v/>
      </c>
      <c r="I6736" s="94" t="str">
        <f t="shared" ref="I6736:J6736" si="6737">if(G6736 = "", , -G6736)</f>
        <v/>
      </c>
      <c r="J6736" s="94" t="str">
        <f t="shared" si="6737"/>
        <v/>
      </c>
      <c r="K6736" s="100"/>
      <c r="M6736" s="100"/>
      <c r="N6736" s="100"/>
      <c r="O6736" s="100"/>
      <c r="P6736" s="100"/>
    </row>
    <row r="6737">
      <c r="A6737" s="107">
        <v>1642265.0</v>
      </c>
      <c r="B6737" s="116" t="s">
        <v>246</v>
      </c>
      <c r="C6737" s="116" t="s">
        <v>1754</v>
      </c>
      <c r="D6737" s="24" t="s">
        <v>177</v>
      </c>
      <c r="E6737" s="24">
        <v>514.5</v>
      </c>
      <c r="F6737" s="111" t="str">
        <f>DataPull!D6737</f>
        <v/>
      </c>
      <c r="G6737" s="94" t="str">
        <f t="shared" si="2"/>
        <v/>
      </c>
      <c r="H6737" s="94" t="str">
        <f t="shared" si="3"/>
        <v/>
      </c>
      <c r="I6737" s="94" t="str">
        <f t="shared" ref="I6737:J6737" si="6738">if(G6737 = "", , -G6737)</f>
        <v/>
      </c>
      <c r="J6737" s="94" t="str">
        <f t="shared" si="6738"/>
        <v/>
      </c>
      <c r="K6737" s="100"/>
      <c r="M6737" s="100"/>
      <c r="N6737" s="100"/>
      <c r="O6737" s="100"/>
      <c r="P6737" s="100"/>
    </row>
    <row r="6738">
      <c r="A6738" s="114">
        <v>1642265.0</v>
      </c>
      <c r="B6738" s="131" t="s">
        <v>247</v>
      </c>
      <c r="C6738" s="131" t="s">
        <v>1754</v>
      </c>
      <c r="D6738" s="24" t="s">
        <v>187</v>
      </c>
      <c r="E6738" s="24">
        <v>968.5</v>
      </c>
      <c r="F6738" s="111" t="str">
        <f>DataPull!D6738</f>
        <v/>
      </c>
      <c r="G6738" s="94" t="str">
        <f t="shared" si="2"/>
        <v/>
      </c>
      <c r="H6738" s="94" t="str">
        <f t="shared" si="3"/>
        <v/>
      </c>
      <c r="I6738" s="94" t="str">
        <f t="shared" ref="I6738:J6738" si="6739">if(G6738 = "", , -G6738)</f>
        <v/>
      </c>
      <c r="J6738" s="94" t="str">
        <f t="shared" si="6739"/>
        <v/>
      </c>
      <c r="K6738" s="100"/>
      <c r="M6738" s="100"/>
      <c r="N6738" s="100"/>
      <c r="O6738" s="100"/>
      <c r="P6738" s="100"/>
    </row>
    <row r="6739">
      <c r="A6739" s="107">
        <v>1642266.0</v>
      </c>
      <c r="B6739" s="116" t="s">
        <v>246</v>
      </c>
      <c r="C6739" s="116" t="s">
        <v>1755</v>
      </c>
      <c r="D6739" s="24" t="s">
        <v>176</v>
      </c>
      <c r="E6739" s="24">
        <v>1102.4</v>
      </c>
      <c r="F6739" s="111" t="str">
        <f>DataPull!D6739</f>
        <v/>
      </c>
      <c r="G6739" s="94" t="str">
        <f t="shared" si="2"/>
        <v/>
      </c>
      <c r="H6739" s="94" t="str">
        <f t="shared" si="3"/>
        <v/>
      </c>
      <c r="I6739" s="94" t="str">
        <f t="shared" ref="I6739:J6739" si="6740">if(G6739 = "", , -G6739)</f>
        <v/>
      </c>
      <c r="J6739" s="94" t="str">
        <f t="shared" si="6740"/>
        <v/>
      </c>
      <c r="K6739" s="100"/>
      <c r="M6739" s="100"/>
      <c r="N6739" s="100"/>
      <c r="O6739" s="100"/>
      <c r="P6739" s="100"/>
    </row>
    <row r="6740">
      <c r="A6740" s="114">
        <v>1642266.0</v>
      </c>
      <c r="B6740" s="131" t="s">
        <v>247</v>
      </c>
      <c r="C6740" s="116" t="s">
        <v>1755</v>
      </c>
      <c r="D6740" s="24" t="s">
        <v>177</v>
      </c>
      <c r="E6740" s="24">
        <v>1476.0</v>
      </c>
      <c r="F6740" s="111" t="str">
        <f>DataPull!D6740</f>
        <v/>
      </c>
      <c r="G6740" s="94" t="str">
        <f t="shared" si="2"/>
        <v/>
      </c>
      <c r="H6740" s="94" t="str">
        <f t="shared" si="3"/>
        <v/>
      </c>
      <c r="I6740" s="94" t="str">
        <f t="shared" ref="I6740:J6740" si="6741">if(G6740 = "", , -G6740)</f>
        <v/>
      </c>
      <c r="J6740" s="94" t="str">
        <f t="shared" si="6741"/>
        <v/>
      </c>
      <c r="K6740" s="100"/>
      <c r="M6740" s="100"/>
      <c r="N6740" s="100"/>
      <c r="O6740" s="100"/>
      <c r="P6740" s="100"/>
    </row>
    <row r="6741">
      <c r="A6741" s="107">
        <v>1642267.0</v>
      </c>
      <c r="B6741" s="116" t="s">
        <v>246</v>
      </c>
      <c r="C6741" s="131" t="s">
        <v>1756</v>
      </c>
      <c r="D6741" s="146" t="s">
        <v>178</v>
      </c>
      <c r="E6741" s="146">
        <v>2460.0</v>
      </c>
      <c r="F6741" s="111" t="str">
        <f>DataPull!D6741</f>
        <v/>
      </c>
      <c r="G6741" s="94" t="str">
        <f t="shared" si="2"/>
        <v/>
      </c>
      <c r="H6741" s="94" t="str">
        <f t="shared" si="3"/>
        <v/>
      </c>
      <c r="I6741" s="94" t="str">
        <f t="shared" ref="I6741:J6741" si="6742">if(G6741 = "", , -G6741)</f>
        <v/>
      </c>
      <c r="J6741" s="94" t="str">
        <f t="shared" si="6742"/>
        <v/>
      </c>
      <c r="K6741" s="100"/>
      <c r="M6741" s="100"/>
      <c r="N6741" s="100"/>
      <c r="O6741" s="100"/>
      <c r="P6741" s="100"/>
    </row>
    <row r="6742">
      <c r="A6742" s="114">
        <v>1642267.0</v>
      </c>
      <c r="B6742" s="131" t="s">
        <v>247</v>
      </c>
      <c r="C6742" s="131" t="s">
        <v>1756</v>
      </c>
      <c r="D6742" s="24" t="s">
        <v>178</v>
      </c>
      <c r="E6742" s="24">
        <v>2271.4</v>
      </c>
      <c r="F6742" s="111" t="str">
        <f>DataPull!D6742</f>
        <v/>
      </c>
      <c r="G6742" s="94" t="str">
        <f t="shared" si="2"/>
        <v/>
      </c>
      <c r="H6742" s="94" t="str">
        <f t="shared" si="3"/>
        <v/>
      </c>
      <c r="I6742" s="94" t="str">
        <f t="shared" ref="I6742:J6742" si="6743">if(G6742 = "", , -G6742)</f>
        <v/>
      </c>
      <c r="J6742" s="94" t="str">
        <f t="shared" si="6743"/>
        <v/>
      </c>
      <c r="K6742" s="100"/>
      <c r="M6742" s="100"/>
      <c r="N6742" s="100"/>
      <c r="O6742" s="100"/>
      <c r="P6742" s="100"/>
    </row>
    <row r="6743">
      <c r="A6743" s="107">
        <v>1642268.0</v>
      </c>
      <c r="B6743" s="116" t="s">
        <v>246</v>
      </c>
      <c r="C6743" s="116" t="s">
        <v>1757</v>
      </c>
      <c r="D6743" s="24" t="s">
        <v>176</v>
      </c>
      <c r="E6743" s="24">
        <v>1838.9</v>
      </c>
      <c r="F6743" s="111" t="str">
        <f>DataPull!D6743</f>
        <v/>
      </c>
      <c r="G6743" s="94" t="str">
        <f t="shared" si="2"/>
        <v/>
      </c>
      <c r="H6743" s="94" t="str">
        <f t="shared" si="3"/>
        <v/>
      </c>
      <c r="I6743" s="94" t="str">
        <f t="shared" ref="I6743:J6743" si="6744">if(G6743 = "", , -G6743)</f>
        <v/>
      </c>
      <c r="J6743" s="94" t="str">
        <f t="shared" si="6744"/>
        <v/>
      </c>
      <c r="K6743" s="100"/>
      <c r="M6743" s="100"/>
      <c r="N6743" s="100"/>
      <c r="O6743" s="100"/>
      <c r="P6743" s="100"/>
    </row>
    <row r="6744">
      <c r="A6744" s="89">
        <v>1642268.0</v>
      </c>
      <c r="B6744" s="131" t="s">
        <v>247</v>
      </c>
      <c r="C6744" s="131" t="s">
        <v>1757</v>
      </c>
      <c r="D6744" s="24" t="s">
        <v>178</v>
      </c>
      <c r="E6744" s="24">
        <v>1516.3</v>
      </c>
      <c r="F6744" s="111" t="str">
        <f>DataPull!D6744</f>
        <v/>
      </c>
      <c r="G6744" s="94" t="str">
        <f t="shared" si="2"/>
        <v/>
      </c>
      <c r="H6744" s="94" t="str">
        <f t="shared" si="3"/>
        <v/>
      </c>
      <c r="I6744" s="94" t="str">
        <f t="shared" ref="I6744:J6744" si="6745">if(G6744 = "", , -G6744)</f>
        <v/>
      </c>
      <c r="J6744" s="94" t="str">
        <f t="shared" si="6745"/>
        <v/>
      </c>
      <c r="K6744" s="100"/>
      <c r="M6744" s="100"/>
      <c r="N6744" s="100"/>
      <c r="O6744" s="100"/>
      <c r="P6744" s="100"/>
    </row>
    <row r="6745">
      <c r="A6745" s="107">
        <v>1642269.0</v>
      </c>
      <c r="B6745" s="116" t="s">
        <v>246</v>
      </c>
      <c r="C6745" s="116" t="s">
        <v>1758</v>
      </c>
      <c r="D6745" s="24" t="s">
        <v>187</v>
      </c>
      <c r="E6745" s="24">
        <v>396.0</v>
      </c>
      <c r="F6745" s="111" t="str">
        <f>DataPull!D6745</f>
        <v/>
      </c>
      <c r="G6745" s="94" t="str">
        <f t="shared" si="2"/>
        <v/>
      </c>
      <c r="H6745" s="94" t="str">
        <f t="shared" si="3"/>
        <v/>
      </c>
      <c r="I6745" s="94" t="str">
        <f t="shared" ref="I6745:J6745" si="6746">if(G6745 = "", , -G6745)</f>
        <v/>
      </c>
      <c r="J6745" s="94" t="str">
        <f t="shared" si="6746"/>
        <v/>
      </c>
      <c r="K6745" s="100"/>
      <c r="M6745" s="100"/>
      <c r="N6745" s="100"/>
      <c r="O6745" s="100"/>
      <c r="P6745" s="100"/>
    </row>
    <row r="6746">
      <c r="A6746" s="114">
        <v>1642269.0</v>
      </c>
      <c r="B6746" s="131" t="s">
        <v>247</v>
      </c>
      <c r="C6746" s="131" t="s">
        <v>1758</v>
      </c>
      <c r="D6746" s="24" t="s">
        <v>177</v>
      </c>
      <c r="E6746" s="24">
        <v>699.2</v>
      </c>
      <c r="F6746" s="111" t="str">
        <f>DataPull!D6746</f>
        <v/>
      </c>
      <c r="G6746" s="94" t="str">
        <f t="shared" si="2"/>
        <v/>
      </c>
      <c r="H6746" s="94" t="str">
        <f t="shared" si="3"/>
        <v/>
      </c>
      <c r="I6746" s="94" t="str">
        <f t="shared" ref="I6746:J6746" si="6747">if(G6746 = "", , -G6746)</f>
        <v/>
      </c>
      <c r="J6746" s="94" t="str">
        <f t="shared" si="6747"/>
        <v/>
      </c>
      <c r="K6746" s="100"/>
      <c r="M6746" s="100"/>
      <c r="N6746" s="100"/>
      <c r="O6746" s="100"/>
      <c r="P6746" s="100"/>
    </row>
    <row r="6747">
      <c r="A6747" s="107">
        <v>1642270.0</v>
      </c>
      <c r="B6747" s="116" t="s">
        <v>246</v>
      </c>
      <c r="C6747" s="116" t="s">
        <v>1759</v>
      </c>
      <c r="D6747" s="24" t="s">
        <v>177</v>
      </c>
      <c r="E6747" s="24">
        <v>1326.6</v>
      </c>
      <c r="F6747" s="111" t="str">
        <f>DataPull!D6747</f>
        <v/>
      </c>
      <c r="G6747" s="94" t="str">
        <f t="shared" si="2"/>
        <v/>
      </c>
      <c r="H6747" s="94" t="str">
        <f t="shared" si="3"/>
        <v/>
      </c>
      <c r="I6747" s="94" t="str">
        <f t="shared" ref="I6747:J6747" si="6748">if(G6747 = "", , -G6747)</f>
        <v/>
      </c>
      <c r="J6747" s="94" t="str">
        <f t="shared" si="6748"/>
        <v/>
      </c>
      <c r="K6747" s="100"/>
      <c r="M6747" s="100"/>
      <c r="N6747" s="100"/>
      <c r="O6747" s="100"/>
      <c r="P6747" s="100"/>
    </row>
    <row r="6748">
      <c r="A6748" s="114">
        <v>1642270.0</v>
      </c>
      <c r="B6748" s="131" t="s">
        <v>247</v>
      </c>
      <c r="C6748" s="131" t="s">
        <v>1759</v>
      </c>
      <c r="D6748" s="24" t="s">
        <v>176</v>
      </c>
      <c r="E6748" s="24">
        <v>2094.4</v>
      </c>
      <c r="F6748" s="111" t="str">
        <f>DataPull!D6748</f>
        <v/>
      </c>
      <c r="G6748" s="94" t="str">
        <f t="shared" si="2"/>
        <v/>
      </c>
      <c r="H6748" s="94" t="str">
        <f t="shared" si="3"/>
        <v/>
      </c>
      <c r="I6748" s="94" t="str">
        <f t="shared" ref="I6748:J6748" si="6749">if(G6748 = "", , -G6748)</f>
        <v/>
      </c>
      <c r="J6748" s="94" t="str">
        <f t="shared" si="6749"/>
        <v/>
      </c>
      <c r="K6748" s="100"/>
      <c r="M6748" s="100"/>
      <c r="N6748" s="100"/>
      <c r="O6748" s="100"/>
      <c r="P6748" s="100"/>
    </row>
    <row r="6749">
      <c r="A6749" s="107">
        <v>1642271.0</v>
      </c>
      <c r="B6749" s="116" t="s">
        <v>246</v>
      </c>
      <c r="C6749" s="116" t="s">
        <v>1760</v>
      </c>
      <c r="D6749" s="24" t="s">
        <v>176</v>
      </c>
      <c r="E6749" s="24">
        <v>1519.2</v>
      </c>
      <c r="F6749" s="111" t="str">
        <f>DataPull!D6749</f>
        <v/>
      </c>
      <c r="G6749" s="94" t="str">
        <f t="shared" si="2"/>
        <v/>
      </c>
      <c r="H6749" s="94" t="str">
        <f t="shared" si="3"/>
        <v/>
      </c>
      <c r="I6749" s="94" t="str">
        <f t="shared" ref="I6749:J6749" si="6750">if(G6749 = "", , -G6749)</f>
        <v/>
      </c>
      <c r="J6749" s="94" t="str">
        <f t="shared" si="6750"/>
        <v/>
      </c>
      <c r="K6749" s="100"/>
      <c r="M6749" s="100"/>
      <c r="N6749" s="100"/>
      <c r="O6749" s="100"/>
      <c r="P6749" s="100"/>
    </row>
    <row r="6750">
      <c r="A6750" s="114">
        <v>1642271.0</v>
      </c>
      <c r="B6750" s="131" t="s">
        <v>247</v>
      </c>
      <c r="C6750" s="131" t="s">
        <v>1760</v>
      </c>
      <c r="D6750" s="24" t="s">
        <v>176</v>
      </c>
      <c r="E6750" s="24">
        <v>1801.8</v>
      </c>
      <c r="F6750" s="111" t="str">
        <f>DataPull!D6750</f>
        <v/>
      </c>
      <c r="G6750" s="94" t="str">
        <f t="shared" si="2"/>
        <v/>
      </c>
      <c r="H6750" s="94" t="str">
        <f t="shared" si="3"/>
        <v/>
      </c>
      <c r="I6750" s="94" t="str">
        <f t="shared" ref="I6750:J6750" si="6751">if(G6750 = "", , -G6750)</f>
        <v/>
      </c>
      <c r="J6750" s="94" t="str">
        <f t="shared" si="6751"/>
        <v/>
      </c>
      <c r="K6750" s="100"/>
      <c r="M6750" s="100"/>
      <c r="N6750" s="100"/>
      <c r="O6750" s="100"/>
      <c r="P6750" s="100"/>
    </row>
    <row r="6751">
      <c r="A6751" s="107">
        <v>1642272.0</v>
      </c>
      <c r="B6751" s="116" t="s">
        <v>246</v>
      </c>
      <c r="C6751" s="116" t="s">
        <v>1761</v>
      </c>
      <c r="D6751" s="24" t="s">
        <v>176</v>
      </c>
      <c r="E6751" s="24">
        <v>591.1</v>
      </c>
      <c r="F6751" s="111" t="str">
        <f>DataPull!D6751</f>
        <v/>
      </c>
      <c r="G6751" s="94" t="str">
        <f t="shared" si="2"/>
        <v/>
      </c>
      <c r="H6751" s="94" t="str">
        <f t="shared" si="3"/>
        <v/>
      </c>
      <c r="I6751" s="94" t="str">
        <f t="shared" ref="I6751:J6751" si="6752">if(G6751 = "", , -G6751)</f>
        <v/>
      </c>
      <c r="J6751" s="94" t="str">
        <f t="shared" si="6752"/>
        <v/>
      </c>
      <c r="K6751" s="100"/>
      <c r="M6751" s="100"/>
      <c r="N6751" s="100"/>
      <c r="O6751" s="100"/>
      <c r="P6751" s="100"/>
    </row>
    <row r="6752">
      <c r="A6752" s="114">
        <v>1642272.0</v>
      </c>
      <c r="B6752" s="131" t="s">
        <v>247</v>
      </c>
      <c r="C6752" s="131" t="s">
        <v>1761</v>
      </c>
      <c r="D6752" s="24" t="s">
        <v>177</v>
      </c>
      <c r="E6752" s="24">
        <v>1159.1</v>
      </c>
      <c r="F6752" s="111" t="str">
        <f>DataPull!D6752</f>
        <v/>
      </c>
      <c r="G6752" s="94" t="str">
        <f t="shared" si="2"/>
        <v/>
      </c>
      <c r="H6752" s="94" t="str">
        <f t="shared" si="3"/>
        <v/>
      </c>
      <c r="I6752" s="94" t="str">
        <f t="shared" ref="I6752:J6752" si="6753">if(G6752 = "", , -G6752)</f>
        <v/>
      </c>
      <c r="J6752" s="94" t="str">
        <f t="shared" si="6753"/>
        <v/>
      </c>
      <c r="K6752" s="100"/>
      <c r="M6752" s="100"/>
      <c r="N6752" s="100"/>
      <c r="O6752" s="100"/>
      <c r="P6752" s="100"/>
    </row>
    <row r="6753">
      <c r="A6753" s="107">
        <v>1642273.0</v>
      </c>
      <c r="B6753" s="116" t="s">
        <v>246</v>
      </c>
      <c r="C6753" s="116" t="s">
        <v>1762</v>
      </c>
      <c r="D6753" s="24" t="s">
        <v>176</v>
      </c>
      <c r="E6753" s="24">
        <v>1802.0</v>
      </c>
      <c r="F6753" s="111" t="str">
        <f>DataPull!D6753</f>
        <v/>
      </c>
      <c r="G6753" s="94" t="str">
        <f t="shared" si="2"/>
        <v/>
      </c>
      <c r="H6753" s="94" t="str">
        <f t="shared" si="3"/>
        <v/>
      </c>
      <c r="I6753" s="94" t="str">
        <f t="shared" ref="I6753:J6753" si="6754">if(G6753 = "", , -G6753)</f>
        <v/>
      </c>
      <c r="J6753" s="94" t="str">
        <f t="shared" si="6754"/>
        <v/>
      </c>
      <c r="K6753" s="100"/>
      <c r="M6753" s="100"/>
      <c r="N6753" s="100"/>
      <c r="O6753" s="100"/>
      <c r="P6753" s="100"/>
    </row>
    <row r="6754">
      <c r="A6754" s="114">
        <v>1642273.0</v>
      </c>
      <c r="B6754" s="131" t="s">
        <v>247</v>
      </c>
      <c r="C6754" s="131" t="s">
        <v>1762</v>
      </c>
      <c r="D6754" s="24" t="s">
        <v>178</v>
      </c>
      <c r="E6754" s="24">
        <v>1392.0</v>
      </c>
      <c r="F6754" s="111" t="str">
        <f>DataPull!D6754</f>
        <v/>
      </c>
      <c r="G6754" s="94" t="str">
        <f t="shared" si="2"/>
        <v/>
      </c>
      <c r="H6754" s="94" t="str">
        <f t="shared" si="3"/>
        <v/>
      </c>
      <c r="I6754" s="94" t="str">
        <f t="shared" ref="I6754:J6754" si="6755">if(G6754 = "", , -G6754)</f>
        <v/>
      </c>
      <c r="J6754" s="94" t="str">
        <f t="shared" si="6755"/>
        <v/>
      </c>
      <c r="K6754" s="100"/>
      <c r="M6754" s="100"/>
      <c r="N6754" s="100"/>
      <c r="O6754" s="100"/>
      <c r="P6754" s="100"/>
    </row>
    <row r="6755">
      <c r="A6755" s="107">
        <v>1642274.0</v>
      </c>
      <c r="B6755" s="116" t="s">
        <v>246</v>
      </c>
      <c r="C6755" s="116" t="s">
        <v>1763</v>
      </c>
      <c r="D6755" s="24" t="s">
        <v>176</v>
      </c>
      <c r="E6755" s="24">
        <v>1956.4</v>
      </c>
      <c r="F6755" s="111" t="str">
        <f>DataPull!D6755</f>
        <v/>
      </c>
      <c r="G6755" s="94" t="str">
        <f t="shared" si="2"/>
        <v/>
      </c>
      <c r="H6755" s="94" t="str">
        <f t="shared" si="3"/>
        <v/>
      </c>
      <c r="I6755" s="94" t="str">
        <f t="shared" ref="I6755:J6755" si="6756">if(G6755 = "", , -G6755)</f>
        <v/>
      </c>
      <c r="J6755" s="94" t="str">
        <f t="shared" si="6756"/>
        <v/>
      </c>
      <c r="K6755" s="100"/>
      <c r="M6755" s="100"/>
      <c r="N6755" s="100"/>
      <c r="O6755" s="100"/>
      <c r="P6755" s="100"/>
    </row>
    <row r="6756">
      <c r="A6756" s="114">
        <v>1642274.0</v>
      </c>
      <c r="B6756" s="131" t="s">
        <v>247</v>
      </c>
      <c r="C6756" s="131" t="s">
        <v>1763</v>
      </c>
      <c r="D6756" s="24" t="s">
        <v>177</v>
      </c>
      <c r="E6756" s="24">
        <v>1300.2</v>
      </c>
      <c r="F6756" s="111" t="str">
        <f>DataPull!D6756</f>
        <v/>
      </c>
      <c r="G6756" s="94" t="str">
        <f t="shared" si="2"/>
        <v/>
      </c>
      <c r="H6756" s="94" t="str">
        <f t="shared" si="3"/>
        <v/>
      </c>
      <c r="I6756" s="94" t="str">
        <f t="shared" ref="I6756:J6756" si="6757">if(G6756 = "", , -G6756)</f>
        <v/>
      </c>
      <c r="J6756" s="94" t="str">
        <f t="shared" si="6757"/>
        <v/>
      </c>
      <c r="K6756" s="100"/>
      <c r="M6756" s="100"/>
      <c r="N6756" s="100"/>
      <c r="O6756" s="100"/>
      <c r="P6756" s="100"/>
    </row>
    <row r="6757">
      <c r="A6757" s="107">
        <v>1642275.0</v>
      </c>
      <c r="B6757" s="116" t="s">
        <v>246</v>
      </c>
      <c r="C6757" s="116" t="s">
        <v>1764</v>
      </c>
      <c r="D6757" s="24" t="s">
        <v>176</v>
      </c>
      <c r="E6757" s="24">
        <v>1242.0</v>
      </c>
      <c r="F6757" s="111" t="str">
        <f>DataPull!D6757</f>
        <v/>
      </c>
      <c r="G6757" s="94" t="str">
        <f t="shared" si="2"/>
        <v/>
      </c>
      <c r="H6757" s="94" t="str">
        <f t="shared" si="3"/>
        <v/>
      </c>
      <c r="I6757" s="94" t="str">
        <f t="shared" ref="I6757:J6757" si="6758">if(G6757 = "", , -G6757)</f>
        <v/>
      </c>
      <c r="J6757" s="94" t="str">
        <f t="shared" si="6758"/>
        <v/>
      </c>
      <c r="K6757" s="100"/>
      <c r="M6757" s="100"/>
      <c r="N6757" s="100"/>
      <c r="O6757" s="100"/>
      <c r="P6757" s="100"/>
    </row>
    <row r="6758">
      <c r="A6758" s="114">
        <v>1642275.0</v>
      </c>
      <c r="B6758" s="131" t="s">
        <v>247</v>
      </c>
      <c r="C6758" s="116" t="s">
        <v>1764</v>
      </c>
      <c r="D6758" s="24" t="s">
        <v>177</v>
      </c>
      <c r="E6758" s="24">
        <v>577.2</v>
      </c>
      <c r="F6758" s="111" t="str">
        <f>DataPull!D6758</f>
        <v/>
      </c>
      <c r="G6758" s="94" t="str">
        <f t="shared" si="2"/>
        <v/>
      </c>
      <c r="H6758" s="94" t="str">
        <f t="shared" si="3"/>
        <v/>
      </c>
      <c r="I6758" s="94" t="str">
        <f t="shared" ref="I6758:J6758" si="6759">if(G6758 = "", , -G6758)</f>
        <v/>
      </c>
      <c r="J6758" s="94" t="str">
        <f t="shared" si="6759"/>
        <v/>
      </c>
      <c r="K6758" s="100"/>
      <c r="M6758" s="100"/>
      <c r="N6758" s="100"/>
      <c r="O6758" s="100"/>
      <c r="P6758" s="100"/>
    </row>
    <row r="6759">
      <c r="A6759" s="107">
        <v>1642276.0</v>
      </c>
      <c r="B6759" s="116" t="s">
        <v>246</v>
      </c>
      <c r="C6759" s="116" t="s">
        <v>1765</v>
      </c>
      <c r="D6759" s="24" t="s">
        <v>176</v>
      </c>
      <c r="E6759" s="24">
        <v>1420.8</v>
      </c>
      <c r="F6759" s="111" t="str">
        <f>DataPull!D6759</f>
        <v/>
      </c>
      <c r="G6759" s="94" t="str">
        <f t="shared" si="2"/>
        <v/>
      </c>
      <c r="H6759" s="94" t="str">
        <f t="shared" si="3"/>
        <v/>
      </c>
      <c r="I6759" s="94" t="str">
        <f t="shared" ref="I6759:J6759" si="6760">if(G6759 = "", , -G6759)</f>
        <v/>
      </c>
      <c r="J6759" s="94" t="str">
        <f t="shared" si="6760"/>
        <v/>
      </c>
      <c r="K6759" s="100"/>
      <c r="M6759" s="100"/>
      <c r="N6759" s="100"/>
      <c r="O6759" s="100"/>
      <c r="P6759" s="100"/>
    </row>
    <row r="6760">
      <c r="A6760" s="114">
        <v>1642276.0</v>
      </c>
      <c r="B6760" s="131" t="s">
        <v>247</v>
      </c>
      <c r="C6760" s="116" t="s">
        <v>1765</v>
      </c>
      <c r="D6760" s="24" t="s">
        <v>176</v>
      </c>
      <c r="E6760" s="24">
        <v>1701.7</v>
      </c>
      <c r="F6760" s="111" t="str">
        <f>DataPull!D6760</f>
        <v/>
      </c>
      <c r="G6760" s="94" t="str">
        <f t="shared" si="2"/>
        <v/>
      </c>
      <c r="H6760" s="94" t="str">
        <f t="shared" si="3"/>
        <v/>
      </c>
      <c r="I6760" s="94" t="str">
        <f t="shared" ref="I6760:J6760" si="6761">if(G6760 = "", , -G6760)</f>
        <v/>
      </c>
      <c r="J6760" s="94" t="str">
        <f t="shared" si="6761"/>
        <v/>
      </c>
      <c r="K6760" s="100"/>
      <c r="M6760" s="100"/>
      <c r="N6760" s="100"/>
      <c r="O6760" s="100"/>
      <c r="P6760" s="100"/>
    </row>
    <row r="6761">
      <c r="A6761" s="107">
        <v>1642277.0</v>
      </c>
      <c r="B6761" s="116" t="s">
        <v>246</v>
      </c>
      <c r="C6761" s="116" t="s">
        <v>1766</v>
      </c>
      <c r="D6761" s="24" t="s">
        <v>187</v>
      </c>
      <c r="E6761" s="24">
        <v>380.0</v>
      </c>
      <c r="F6761" s="111" t="str">
        <f>DataPull!D6761</f>
        <v/>
      </c>
      <c r="G6761" s="94" t="str">
        <f t="shared" si="2"/>
        <v/>
      </c>
      <c r="H6761" s="94" t="str">
        <f t="shared" si="3"/>
        <v/>
      </c>
      <c r="I6761" s="94" t="str">
        <f t="shared" ref="I6761:J6761" si="6762">if(G6761 = "", , -G6761)</f>
        <v/>
      </c>
      <c r="J6761" s="94" t="str">
        <f t="shared" si="6762"/>
        <v/>
      </c>
      <c r="K6761" s="100"/>
      <c r="M6761" s="100"/>
      <c r="N6761" s="100"/>
      <c r="O6761" s="100"/>
      <c r="P6761" s="100"/>
    </row>
    <row r="6762">
      <c r="A6762" s="114">
        <v>1642277.0</v>
      </c>
      <c r="B6762" s="131" t="s">
        <v>247</v>
      </c>
      <c r="C6762" s="131" t="s">
        <v>1766</v>
      </c>
      <c r="D6762" s="24" t="s">
        <v>177</v>
      </c>
      <c r="E6762" s="24">
        <v>644.0</v>
      </c>
      <c r="F6762" s="111" t="str">
        <f>DataPull!D6762</f>
        <v/>
      </c>
      <c r="G6762" s="94" t="str">
        <f t="shared" si="2"/>
        <v/>
      </c>
      <c r="H6762" s="94" t="str">
        <f t="shared" si="3"/>
        <v/>
      </c>
      <c r="I6762" s="94" t="str">
        <f t="shared" ref="I6762:J6762" si="6763">if(G6762 = "", , -G6762)</f>
        <v/>
      </c>
      <c r="J6762" s="94" t="str">
        <f t="shared" si="6763"/>
        <v/>
      </c>
      <c r="K6762" s="100"/>
      <c r="M6762" s="100"/>
      <c r="N6762" s="100"/>
      <c r="O6762" s="100"/>
      <c r="P6762" s="100"/>
    </row>
    <row r="6763">
      <c r="A6763" s="107">
        <v>1642278.0</v>
      </c>
      <c r="B6763" s="116" t="s">
        <v>246</v>
      </c>
      <c r="C6763" s="116" t="s">
        <v>1767</v>
      </c>
      <c r="D6763" s="24" t="s">
        <v>187</v>
      </c>
      <c r="E6763" s="24">
        <v>295.2</v>
      </c>
      <c r="F6763" s="111" t="str">
        <f>DataPull!D6763</f>
        <v/>
      </c>
      <c r="G6763" s="94" t="str">
        <f t="shared" si="2"/>
        <v/>
      </c>
      <c r="H6763" s="94" t="str">
        <f t="shared" si="3"/>
        <v/>
      </c>
      <c r="I6763" s="94" t="str">
        <f t="shared" ref="I6763:J6763" si="6764">if(G6763 = "", , -G6763)</f>
        <v/>
      </c>
      <c r="J6763" s="94" t="str">
        <f t="shared" si="6764"/>
        <v/>
      </c>
      <c r="K6763" s="100"/>
      <c r="M6763" s="100"/>
      <c r="N6763" s="100"/>
      <c r="O6763" s="100"/>
      <c r="P6763" s="100"/>
    </row>
    <row r="6764">
      <c r="A6764" s="114">
        <v>1642278.0</v>
      </c>
      <c r="B6764" s="131" t="s">
        <v>247</v>
      </c>
      <c r="C6764" s="131" t="s">
        <v>1767</v>
      </c>
      <c r="D6764" s="24" t="s">
        <v>187</v>
      </c>
      <c r="E6764" s="24">
        <v>725.4</v>
      </c>
      <c r="F6764" s="111" t="str">
        <f>DataPull!D6764</f>
        <v/>
      </c>
      <c r="G6764" s="94" t="str">
        <f t="shared" si="2"/>
        <v/>
      </c>
      <c r="H6764" s="94" t="str">
        <f t="shared" si="3"/>
        <v/>
      </c>
      <c r="I6764" s="94" t="str">
        <f t="shared" ref="I6764:J6764" si="6765">if(G6764 = "", , -G6764)</f>
        <v/>
      </c>
      <c r="J6764" s="94" t="str">
        <f t="shared" si="6765"/>
        <v/>
      </c>
      <c r="K6764" s="100"/>
      <c r="M6764" s="100"/>
      <c r="N6764" s="100"/>
      <c r="O6764" s="100"/>
      <c r="P6764" s="100"/>
    </row>
    <row r="6765">
      <c r="A6765" s="107">
        <v>1642279.0</v>
      </c>
      <c r="B6765" s="116" t="s">
        <v>246</v>
      </c>
      <c r="C6765" s="116" t="s">
        <v>1768</v>
      </c>
      <c r="D6765" s="24" t="s">
        <v>181</v>
      </c>
      <c r="E6765" s="24">
        <v>32.2</v>
      </c>
      <c r="F6765" s="111" t="str">
        <f>DataPull!D6765</f>
        <v/>
      </c>
      <c r="G6765" s="94" t="str">
        <f t="shared" si="2"/>
        <v/>
      </c>
      <c r="H6765" s="94" t="str">
        <f t="shared" si="3"/>
        <v/>
      </c>
      <c r="I6765" s="94" t="str">
        <f t="shared" ref="I6765:J6765" si="6766">if(G6765 = "", , -G6765)</f>
        <v/>
      </c>
      <c r="J6765" s="94" t="str">
        <f t="shared" si="6766"/>
        <v/>
      </c>
      <c r="K6765" s="100"/>
      <c r="M6765" s="100"/>
      <c r="N6765" s="100"/>
      <c r="O6765" s="100"/>
      <c r="P6765" s="100"/>
    </row>
    <row r="6766">
      <c r="A6766" s="107">
        <v>1642280.0</v>
      </c>
      <c r="B6766" s="116" t="s">
        <v>246</v>
      </c>
      <c r="C6766" s="116" t="s">
        <v>1769</v>
      </c>
      <c r="D6766" s="24" t="s">
        <v>181</v>
      </c>
      <c r="E6766" s="24">
        <v>26.4</v>
      </c>
      <c r="F6766" s="111" t="str">
        <f>DataPull!D6766</f>
        <v/>
      </c>
      <c r="G6766" s="94" t="str">
        <f t="shared" si="2"/>
        <v/>
      </c>
      <c r="H6766" s="94" t="str">
        <f t="shared" si="3"/>
        <v/>
      </c>
      <c r="I6766" s="94" t="str">
        <f t="shared" ref="I6766:J6766" si="6767">if(G6766 = "", , -G6766)</f>
        <v/>
      </c>
      <c r="J6766" s="94" t="str">
        <f t="shared" si="6767"/>
        <v/>
      </c>
      <c r="K6766" s="100"/>
      <c r="M6766" s="100"/>
      <c r="N6766" s="100"/>
      <c r="O6766" s="100"/>
      <c r="P6766" s="100"/>
    </row>
    <row r="6767">
      <c r="A6767" s="89">
        <v>1642280.0</v>
      </c>
      <c r="B6767" s="131" t="s">
        <v>247</v>
      </c>
      <c r="C6767" s="131" t="s">
        <v>1769</v>
      </c>
      <c r="D6767" s="24" t="s">
        <v>181</v>
      </c>
      <c r="E6767" s="24">
        <v>5.6</v>
      </c>
      <c r="F6767" s="111" t="str">
        <f>DataPull!D6767</f>
        <v/>
      </c>
      <c r="G6767" s="94" t="str">
        <f t="shared" si="2"/>
        <v/>
      </c>
      <c r="H6767" s="94" t="str">
        <f t="shared" si="3"/>
        <v/>
      </c>
      <c r="I6767" s="94" t="str">
        <f t="shared" ref="I6767:J6767" si="6768">if(G6767 = "", , -G6767)</f>
        <v/>
      </c>
      <c r="J6767" s="94" t="str">
        <f t="shared" si="6768"/>
        <v/>
      </c>
      <c r="K6767" s="100"/>
      <c r="M6767" s="100"/>
      <c r="N6767" s="100"/>
      <c r="O6767" s="100"/>
      <c r="P6767" s="100"/>
    </row>
    <row r="6768">
      <c r="A6768" s="107">
        <v>1642281.0</v>
      </c>
      <c r="B6768" s="116" t="s">
        <v>246</v>
      </c>
      <c r="C6768" s="116" t="s">
        <v>1770</v>
      </c>
      <c r="D6768" s="24" t="s">
        <v>187</v>
      </c>
      <c r="E6768" s="24">
        <v>451.2</v>
      </c>
      <c r="F6768" s="111" t="str">
        <f>DataPull!D6768</f>
        <v/>
      </c>
      <c r="G6768" s="94" t="str">
        <f t="shared" si="2"/>
        <v/>
      </c>
      <c r="H6768" s="94" t="str">
        <f t="shared" si="3"/>
        <v/>
      </c>
      <c r="I6768" s="94" t="str">
        <f t="shared" ref="I6768:J6768" si="6769">if(G6768 = "", , -G6768)</f>
        <v/>
      </c>
      <c r="J6768" s="94" t="str">
        <f t="shared" si="6769"/>
        <v/>
      </c>
      <c r="K6768" s="100"/>
      <c r="M6768" s="100"/>
      <c r="N6768" s="100"/>
      <c r="O6768" s="100"/>
      <c r="P6768" s="100"/>
    </row>
    <row r="6769">
      <c r="A6769" s="114">
        <v>1642281.0</v>
      </c>
      <c r="B6769" s="131" t="s">
        <v>247</v>
      </c>
      <c r="C6769" s="131" t="s">
        <v>1770</v>
      </c>
      <c r="D6769" s="24" t="s">
        <v>178</v>
      </c>
      <c r="E6769" s="24">
        <v>1775.4</v>
      </c>
      <c r="F6769" s="111" t="str">
        <f>DataPull!D6769</f>
        <v/>
      </c>
      <c r="G6769" s="94" t="str">
        <f t="shared" si="2"/>
        <v/>
      </c>
      <c r="H6769" s="94" t="str">
        <f t="shared" si="3"/>
        <v/>
      </c>
      <c r="I6769" s="94" t="str">
        <f t="shared" ref="I6769:J6769" si="6770">if(G6769 = "", , -G6769)</f>
        <v/>
      </c>
      <c r="J6769" s="94" t="str">
        <f t="shared" si="6770"/>
        <v/>
      </c>
      <c r="K6769" s="100"/>
      <c r="M6769" s="100"/>
      <c r="N6769" s="100"/>
      <c r="O6769" s="100"/>
      <c r="P6769" s="100"/>
    </row>
    <row r="6770">
      <c r="A6770" s="114">
        <v>1642282.0</v>
      </c>
      <c r="B6770" s="131" t="s">
        <v>247</v>
      </c>
      <c r="C6770" s="131" t="s">
        <v>1771</v>
      </c>
      <c r="D6770" s="24" t="s">
        <v>187</v>
      </c>
      <c r="E6770" s="24">
        <v>25.9</v>
      </c>
      <c r="F6770" s="111" t="str">
        <f>DataPull!D6770</f>
        <v/>
      </c>
      <c r="G6770" s="94" t="str">
        <f t="shared" si="2"/>
        <v/>
      </c>
      <c r="H6770" s="94" t="str">
        <f t="shared" si="3"/>
        <v/>
      </c>
      <c r="I6770" s="94" t="str">
        <f t="shared" ref="I6770:J6770" si="6771">if(G6770 = "", , -G6770)</f>
        <v/>
      </c>
      <c r="J6770" s="94" t="str">
        <f t="shared" si="6771"/>
        <v/>
      </c>
      <c r="K6770" s="100"/>
      <c r="M6770" s="100"/>
      <c r="N6770" s="100"/>
      <c r="O6770" s="100"/>
      <c r="P6770" s="100"/>
    </row>
    <row r="6771">
      <c r="A6771" s="107">
        <v>1642285.0</v>
      </c>
      <c r="B6771" s="116" t="s">
        <v>246</v>
      </c>
      <c r="C6771" s="116" t="s">
        <v>1772</v>
      </c>
      <c r="D6771" s="24" t="s">
        <v>187</v>
      </c>
      <c r="E6771" s="24">
        <v>252.5</v>
      </c>
      <c r="F6771" s="111" t="str">
        <f>DataPull!D6771</f>
        <v/>
      </c>
      <c r="G6771" s="94" t="str">
        <f t="shared" si="2"/>
        <v/>
      </c>
      <c r="H6771" s="94" t="str">
        <f t="shared" si="3"/>
        <v/>
      </c>
      <c r="I6771" s="94" t="str">
        <f t="shared" ref="I6771:J6771" si="6772">if(G6771 = "", , -G6771)</f>
        <v/>
      </c>
      <c r="J6771" s="94" t="str">
        <f t="shared" si="6772"/>
        <v/>
      </c>
      <c r="K6771" s="100"/>
      <c r="M6771" s="100"/>
      <c r="N6771" s="100"/>
      <c r="O6771" s="100"/>
      <c r="P6771" s="100"/>
    </row>
    <row r="6772">
      <c r="A6772" s="114">
        <v>1642285.0</v>
      </c>
      <c r="B6772" s="131" t="s">
        <v>247</v>
      </c>
      <c r="C6772" s="131" t="s">
        <v>1772</v>
      </c>
      <c r="D6772" s="24" t="s">
        <v>176</v>
      </c>
      <c r="E6772" s="24">
        <v>1713.6</v>
      </c>
      <c r="F6772" s="111" t="str">
        <f>DataPull!D6772</f>
        <v/>
      </c>
      <c r="G6772" s="94" t="str">
        <f t="shared" si="2"/>
        <v/>
      </c>
      <c r="H6772" s="94" t="str">
        <f t="shared" si="3"/>
        <v/>
      </c>
      <c r="I6772" s="94" t="str">
        <f t="shared" ref="I6772:J6772" si="6773">if(G6772 = "", , -G6772)</f>
        <v/>
      </c>
      <c r="J6772" s="94" t="str">
        <f t="shared" si="6773"/>
        <v/>
      </c>
      <c r="K6772" s="100"/>
      <c r="M6772" s="100"/>
      <c r="N6772" s="100"/>
      <c r="O6772" s="100"/>
      <c r="P6772" s="100"/>
    </row>
    <row r="6773">
      <c r="A6773" s="107">
        <v>1642345.0</v>
      </c>
      <c r="B6773" s="116" t="s">
        <v>246</v>
      </c>
      <c r="C6773" s="116" t="s">
        <v>1773</v>
      </c>
      <c r="D6773" s="24" t="s">
        <v>177</v>
      </c>
      <c r="E6773" s="24">
        <v>1043.1</v>
      </c>
      <c r="F6773" s="111" t="str">
        <f>DataPull!D6773</f>
        <v/>
      </c>
      <c r="G6773" s="94" t="str">
        <f t="shared" si="2"/>
        <v/>
      </c>
      <c r="H6773" s="94" t="str">
        <f t="shared" si="3"/>
        <v/>
      </c>
      <c r="I6773" s="94" t="str">
        <f t="shared" ref="I6773:J6773" si="6774">if(G6773 = "", , -G6773)</f>
        <v/>
      </c>
      <c r="J6773" s="94" t="str">
        <f t="shared" si="6774"/>
        <v/>
      </c>
      <c r="K6773" s="100"/>
      <c r="M6773" s="100"/>
      <c r="N6773" s="100"/>
      <c r="O6773" s="100"/>
      <c r="P6773" s="100"/>
    </row>
    <row r="6774">
      <c r="A6774" s="114">
        <v>1642345.0</v>
      </c>
      <c r="B6774" s="131" t="s">
        <v>247</v>
      </c>
      <c r="C6774" s="131" t="s">
        <v>1773</v>
      </c>
      <c r="D6774" s="24" t="s">
        <v>177</v>
      </c>
      <c r="E6774" s="24">
        <v>1812.2</v>
      </c>
      <c r="F6774" s="111" t="str">
        <f>DataPull!D6774</f>
        <v/>
      </c>
      <c r="G6774" s="94" t="str">
        <f t="shared" si="2"/>
        <v/>
      </c>
      <c r="H6774" s="94" t="str">
        <f t="shared" si="3"/>
        <v/>
      </c>
      <c r="I6774" s="94" t="str">
        <f t="shared" ref="I6774:J6774" si="6775">if(G6774 = "", , -G6774)</f>
        <v/>
      </c>
      <c r="J6774" s="94" t="str">
        <f t="shared" si="6775"/>
        <v/>
      </c>
      <c r="K6774" s="100"/>
      <c r="M6774" s="100"/>
      <c r="N6774" s="100"/>
      <c r="O6774" s="100"/>
      <c r="P6774" s="100"/>
    </row>
    <row r="6775">
      <c r="A6775" s="107">
        <v>1642346.0</v>
      </c>
      <c r="B6775" s="116" t="s">
        <v>246</v>
      </c>
      <c r="C6775" s="116" t="s">
        <v>1774</v>
      </c>
      <c r="D6775" s="24" t="s">
        <v>177</v>
      </c>
      <c r="E6775" s="24">
        <v>1413.4</v>
      </c>
      <c r="F6775" s="111" t="str">
        <f>DataPull!D6775</f>
        <v/>
      </c>
      <c r="G6775" s="94" t="str">
        <f t="shared" si="2"/>
        <v/>
      </c>
      <c r="H6775" s="94" t="str">
        <f t="shared" si="3"/>
        <v/>
      </c>
      <c r="I6775" s="94" t="str">
        <f t="shared" ref="I6775:J6775" si="6776">if(G6775 = "", , -G6775)</f>
        <v/>
      </c>
      <c r="J6775" s="94" t="str">
        <f t="shared" si="6776"/>
        <v/>
      </c>
      <c r="K6775" s="100"/>
      <c r="M6775" s="100"/>
      <c r="N6775" s="100"/>
      <c r="O6775" s="100"/>
      <c r="P6775" s="100"/>
    </row>
    <row r="6776">
      <c r="A6776" s="114">
        <v>1642346.0</v>
      </c>
      <c r="B6776" s="131" t="s">
        <v>247</v>
      </c>
      <c r="C6776" s="131" t="s">
        <v>1774</v>
      </c>
      <c r="D6776" s="24" t="s">
        <v>177</v>
      </c>
      <c r="E6776" s="24">
        <v>1358.0</v>
      </c>
      <c r="F6776" s="111" t="str">
        <f>DataPull!D6776</f>
        <v/>
      </c>
      <c r="G6776" s="94" t="str">
        <f t="shared" si="2"/>
        <v/>
      </c>
      <c r="H6776" s="94" t="str">
        <f t="shared" si="3"/>
        <v/>
      </c>
      <c r="I6776" s="94" t="str">
        <f t="shared" ref="I6776:J6776" si="6777">if(G6776 = "", , -G6776)</f>
        <v/>
      </c>
      <c r="J6776" s="94" t="str">
        <f t="shared" si="6777"/>
        <v/>
      </c>
      <c r="K6776" s="100"/>
      <c r="M6776" s="100"/>
      <c r="N6776" s="100"/>
      <c r="O6776" s="100"/>
      <c r="P6776" s="100"/>
    </row>
    <row r="6777">
      <c r="A6777" s="107">
        <v>1642347.0</v>
      </c>
      <c r="B6777" s="116" t="s">
        <v>246</v>
      </c>
      <c r="C6777" s="116" t="s">
        <v>1775</v>
      </c>
      <c r="D6777" s="24" t="s">
        <v>177</v>
      </c>
      <c r="E6777" s="24">
        <v>1470.0</v>
      </c>
      <c r="F6777" s="111" t="str">
        <f>DataPull!D6777</f>
        <v/>
      </c>
      <c r="G6777" s="94" t="str">
        <f t="shared" si="2"/>
        <v/>
      </c>
      <c r="H6777" s="94" t="str">
        <f t="shared" si="3"/>
        <v/>
      </c>
      <c r="I6777" s="94" t="str">
        <f t="shared" ref="I6777:J6777" si="6778">if(G6777 = "", , -G6777)</f>
        <v/>
      </c>
      <c r="J6777" s="94" t="str">
        <f t="shared" si="6778"/>
        <v/>
      </c>
      <c r="K6777" s="100"/>
      <c r="M6777" s="100"/>
      <c r="N6777" s="100"/>
      <c r="O6777" s="100"/>
      <c r="P6777" s="100"/>
    </row>
    <row r="6778">
      <c r="A6778" s="114">
        <v>1642347.0</v>
      </c>
      <c r="B6778" s="131" t="s">
        <v>247</v>
      </c>
      <c r="C6778" s="131" t="s">
        <v>1775</v>
      </c>
      <c r="D6778" s="24" t="s">
        <v>176</v>
      </c>
      <c r="E6778" s="24">
        <v>1853.2</v>
      </c>
      <c r="F6778" s="111" t="str">
        <f>DataPull!D6778</f>
        <v/>
      </c>
      <c r="G6778" s="94" t="str">
        <f t="shared" si="2"/>
        <v/>
      </c>
      <c r="H6778" s="94" t="str">
        <f t="shared" si="3"/>
        <v/>
      </c>
      <c r="I6778" s="94" t="str">
        <f t="shared" ref="I6778:J6778" si="6779">if(G6778 = "", , -G6778)</f>
        <v/>
      </c>
      <c r="J6778" s="94" t="str">
        <f t="shared" si="6779"/>
        <v/>
      </c>
      <c r="K6778" s="100"/>
      <c r="M6778" s="100"/>
      <c r="N6778" s="100"/>
      <c r="O6778" s="100"/>
      <c r="P6778" s="100"/>
    </row>
    <row r="6779">
      <c r="A6779" s="107">
        <v>1642348.0</v>
      </c>
      <c r="B6779" s="116" t="s">
        <v>246</v>
      </c>
      <c r="C6779" s="116" t="s">
        <v>1776</v>
      </c>
      <c r="D6779" s="24" t="s">
        <v>176</v>
      </c>
      <c r="E6779" s="24">
        <v>1152.8</v>
      </c>
      <c r="F6779" s="111" t="str">
        <f>DataPull!D6779</f>
        <v/>
      </c>
      <c r="G6779" s="94" t="str">
        <f t="shared" si="2"/>
        <v/>
      </c>
      <c r="H6779" s="94" t="str">
        <f t="shared" si="3"/>
        <v/>
      </c>
      <c r="I6779" s="94" t="str">
        <f t="shared" ref="I6779:J6779" si="6780">if(G6779 = "", , -G6779)</f>
        <v/>
      </c>
      <c r="J6779" s="94" t="str">
        <f t="shared" si="6780"/>
        <v/>
      </c>
      <c r="K6779" s="100"/>
      <c r="M6779" s="100"/>
      <c r="N6779" s="100"/>
      <c r="O6779" s="100"/>
      <c r="P6779" s="100"/>
    </row>
    <row r="6780">
      <c r="A6780" s="114">
        <v>1642348.0</v>
      </c>
      <c r="B6780" s="131" t="s">
        <v>247</v>
      </c>
      <c r="C6780" s="131" t="s">
        <v>1776</v>
      </c>
      <c r="D6780" s="24" t="s">
        <v>177</v>
      </c>
      <c r="E6780" s="24">
        <v>979.2</v>
      </c>
      <c r="F6780" s="111" t="str">
        <f>DataPull!D6780</f>
        <v/>
      </c>
      <c r="G6780" s="94" t="str">
        <f t="shared" si="2"/>
        <v/>
      </c>
      <c r="H6780" s="94" t="str">
        <f t="shared" si="3"/>
        <v/>
      </c>
      <c r="I6780" s="94" t="str">
        <f t="shared" ref="I6780:J6780" si="6781">if(G6780 = "", , -G6780)</f>
        <v/>
      </c>
      <c r="J6780" s="94" t="str">
        <f t="shared" si="6781"/>
        <v/>
      </c>
      <c r="K6780" s="100"/>
      <c r="M6780" s="100"/>
      <c r="N6780" s="100"/>
      <c r="O6780" s="100"/>
      <c r="P6780" s="100"/>
    </row>
    <row r="6781">
      <c r="A6781" s="107">
        <v>1642349.0</v>
      </c>
      <c r="B6781" s="116" t="s">
        <v>246</v>
      </c>
      <c r="C6781" s="116" t="s">
        <v>1777</v>
      </c>
      <c r="D6781" s="24" t="s">
        <v>177</v>
      </c>
      <c r="E6781" s="24">
        <v>597.6</v>
      </c>
      <c r="F6781" s="111" t="str">
        <f>DataPull!D6781</f>
        <v/>
      </c>
      <c r="G6781" s="94" t="str">
        <f t="shared" si="2"/>
        <v/>
      </c>
      <c r="H6781" s="94" t="str">
        <f t="shared" si="3"/>
        <v/>
      </c>
      <c r="I6781" s="94" t="str">
        <f t="shared" ref="I6781:J6781" si="6782">if(G6781 = "", , -G6781)</f>
        <v/>
      </c>
      <c r="J6781" s="94" t="str">
        <f t="shared" si="6782"/>
        <v/>
      </c>
      <c r="K6781" s="100"/>
      <c r="M6781" s="100"/>
      <c r="N6781" s="100"/>
      <c r="O6781" s="100"/>
      <c r="P6781" s="100"/>
    </row>
    <row r="6782">
      <c r="A6782" s="114">
        <v>1642349.0</v>
      </c>
      <c r="B6782" s="131" t="s">
        <v>247</v>
      </c>
      <c r="C6782" s="131" t="s">
        <v>1777</v>
      </c>
      <c r="D6782" s="24" t="s">
        <v>176</v>
      </c>
      <c r="E6782" s="24">
        <v>1470.6</v>
      </c>
      <c r="F6782" s="111" t="str">
        <f>DataPull!D6782</f>
        <v/>
      </c>
      <c r="G6782" s="94" t="str">
        <f t="shared" si="2"/>
        <v/>
      </c>
      <c r="H6782" s="94" t="str">
        <f t="shared" si="3"/>
        <v/>
      </c>
      <c r="I6782" s="94" t="str">
        <f t="shared" ref="I6782:J6782" si="6783">if(G6782 = "", , -G6782)</f>
        <v/>
      </c>
      <c r="J6782" s="94" t="str">
        <f t="shared" si="6783"/>
        <v/>
      </c>
      <c r="K6782" s="100"/>
      <c r="M6782" s="100"/>
      <c r="N6782" s="100"/>
      <c r="O6782" s="100"/>
      <c r="P6782" s="100"/>
    </row>
    <row r="6783">
      <c r="A6783" s="107">
        <v>1642352.0</v>
      </c>
      <c r="B6783" s="116" t="s">
        <v>246</v>
      </c>
      <c r="C6783" s="116" t="s">
        <v>1778</v>
      </c>
      <c r="D6783" s="24" t="s">
        <v>187</v>
      </c>
      <c r="E6783" s="24">
        <v>97.6</v>
      </c>
      <c r="F6783" s="111" t="str">
        <f>DataPull!D6783</f>
        <v/>
      </c>
      <c r="G6783" s="94" t="str">
        <f t="shared" si="2"/>
        <v/>
      </c>
      <c r="H6783" s="94" t="str">
        <f t="shared" si="3"/>
        <v/>
      </c>
      <c r="I6783" s="94" t="str">
        <f t="shared" ref="I6783:J6783" si="6784">if(G6783 = "", , -G6783)</f>
        <v/>
      </c>
      <c r="J6783" s="94" t="str">
        <f t="shared" si="6784"/>
        <v/>
      </c>
      <c r="K6783" s="100"/>
      <c r="M6783" s="100"/>
      <c r="N6783" s="100"/>
      <c r="O6783" s="100"/>
      <c r="P6783" s="100"/>
    </row>
    <row r="6784">
      <c r="A6784" s="114">
        <v>1642352.0</v>
      </c>
      <c r="B6784" s="131" t="s">
        <v>247</v>
      </c>
      <c r="C6784" s="131" t="s">
        <v>1778</v>
      </c>
      <c r="D6784" s="24" t="s">
        <v>187</v>
      </c>
      <c r="E6784" s="24">
        <v>278.4</v>
      </c>
      <c r="F6784" s="111" t="str">
        <f>DataPull!D6784</f>
        <v/>
      </c>
      <c r="G6784" s="94" t="str">
        <f t="shared" si="2"/>
        <v/>
      </c>
      <c r="H6784" s="94" t="str">
        <f t="shared" si="3"/>
        <v/>
      </c>
      <c r="I6784" s="94" t="str">
        <f t="shared" ref="I6784:J6784" si="6785">if(G6784 = "", , -G6784)</f>
        <v/>
      </c>
      <c r="J6784" s="94" t="str">
        <f t="shared" si="6785"/>
        <v/>
      </c>
      <c r="K6784" s="100"/>
      <c r="M6784" s="100"/>
      <c r="N6784" s="100"/>
      <c r="O6784" s="100"/>
      <c r="P6784" s="100"/>
    </row>
    <row r="6785">
      <c r="A6785" s="107">
        <v>1642353.0</v>
      </c>
      <c r="B6785" s="116" t="s">
        <v>246</v>
      </c>
      <c r="C6785" s="116" t="s">
        <v>1779</v>
      </c>
      <c r="D6785" s="24" t="s">
        <v>187</v>
      </c>
      <c r="E6785" s="24">
        <v>58.5</v>
      </c>
      <c r="F6785" s="111" t="str">
        <f>DataPull!D6785</f>
        <v/>
      </c>
      <c r="G6785" s="94" t="str">
        <f t="shared" si="2"/>
        <v/>
      </c>
      <c r="H6785" s="94" t="str">
        <f t="shared" si="3"/>
        <v/>
      </c>
      <c r="I6785" s="94" t="str">
        <f t="shared" ref="I6785:J6785" si="6786">if(G6785 = "", , -G6785)</f>
        <v/>
      </c>
      <c r="J6785" s="94" t="str">
        <f t="shared" si="6786"/>
        <v/>
      </c>
      <c r="K6785" s="100"/>
      <c r="M6785" s="100"/>
      <c r="N6785" s="100"/>
      <c r="O6785" s="100"/>
      <c r="P6785" s="100"/>
    </row>
    <row r="6786">
      <c r="A6786" s="114">
        <v>1642353.0</v>
      </c>
      <c r="B6786" s="131" t="s">
        <v>247</v>
      </c>
      <c r="C6786" s="131" t="s">
        <v>1779</v>
      </c>
      <c r="D6786" s="24" t="s">
        <v>187</v>
      </c>
      <c r="E6786" s="24">
        <v>478.5</v>
      </c>
      <c r="F6786" s="111" t="str">
        <f>DataPull!D6786</f>
        <v/>
      </c>
      <c r="G6786" s="94" t="str">
        <f t="shared" si="2"/>
        <v/>
      </c>
      <c r="H6786" s="94" t="str">
        <f t="shared" si="3"/>
        <v/>
      </c>
      <c r="I6786" s="94" t="str">
        <f t="shared" ref="I6786:J6786" si="6787">if(G6786 = "", , -G6786)</f>
        <v/>
      </c>
      <c r="J6786" s="94" t="str">
        <f t="shared" si="6787"/>
        <v/>
      </c>
      <c r="K6786" s="100"/>
      <c r="M6786" s="100"/>
      <c r="N6786" s="100"/>
      <c r="O6786" s="100"/>
      <c r="P6786" s="100"/>
    </row>
    <row r="6787">
      <c r="A6787" s="107">
        <v>1642354.0</v>
      </c>
      <c r="B6787" s="116" t="s">
        <v>246</v>
      </c>
      <c r="C6787" s="116" t="s">
        <v>1780</v>
      </c>
      <c r="D6787" s="24" t="s">
        <v>176</v>
      </c>
      <c r="E6787" s="24">
        <v>842.4</v>
      </c>
      <c r="F6787" s="111" t="str">
        <f>DataPull!D6787</f>
        <v/>
      </c>
      <c r="G6787" s="94" t="str">
        <f t="shared" si="2"/>
        <v/>
      </c>
      <c r="H6787" s="94" t="str">
        <f t="shared" si="3"/>
        <v/>
      </c>
      <c r="I6787" s="94" t="str">
        <f t="shared" ref="I6787:J6787" si="6788">if(G6787 = "", , -G6787)</f>
        <v/>
      </c>
      <c r="J6787" s="94" t="str">
        <f t="shared" si="6788"/>
        <v/>
      </c>
      <c r="K6787" s="100"/>
      <c r="M6787" s="100"/>
      <c r="N6787" s="100"/>
      <c r="O6787" s="100"/>
      <c r="P6787" s="100"/>
    </row>
    <row r="6788">
      <c r="A6788" s="114">
        <v>1642354.0</v>
      </c>
      <c r="B6788" s="131" t="s">
        <v>247</v>
      </c>
      <c r="C6788" s="131" t="s">
        <v>1780</v>
      </c>
      <c r="D6788" s="24" t="s">
        <v>177</v>
      </c>
      <c r="E6788" s="24">
        <v>258.0</v>
      </c>
      <c r="F6788" s="111" t="str">
        <f>DataPull!D6788</f>
        <v/>
      </c>
      <c r="G6788" s="94" t="str">
        <f t="shared" si="2"/>
        <v/>
      </c>
      <c r="H6788" s="94" t="str">
        <f t="shared" si="3"/>
        <v/>
      </c>
      <c r="I6788" s="94" t="str">
        <f t="shared" ref="I6788:J6788" si="6789">if(G6788 = "", , -G6788)</f>
        <v/>
      </c>
      <c r="J6788" s="94" t="str">
        <f t="shared" si="6789"/>
        <v/>
      </c>
      <c r="K6788" s="100"/>
      <c r="M6788" s="100"/>
      <c r="N6788" s="100"/>
      <c r="O6788" s="100"/>
      <c r="P6788" s="100"/>
    </row>
    <row r="6789">
      <c r="A6789" s="107">
        <v>1642355.0</v>
      </c>
      <c r="B6789" s="116" t="s">
        <v>246</v>
      </c>
      <c r="C6789" s="116" t="s">
        <v>1781</v>
      </c>
      <c r="D6789" s="24" t="s">
        <v>187</v>
      </c>
      <c r="E6789" s="24">
        <v>180.9</v>
      </c>
      <c r="F6789" s="111" t="str">
        <f>DataPull!D6789</f>
        <v/>
      </c>
      <c r="G6789" s="94" t="str">
        <f t="shared" si="2"/>
        <v/>
      </c>
      <c r="H6789" s="94" t="str">
        <f t="shared" si="3"/>
        <v/>
      </c>
      <c r="I6789" s="94" t="str">
        <f t="shared" ref="I6789:J6789" si="6790">if(G6789 = "", , -G6789)</f>
        <v/>
      </c>
      <c r="J6789" s="94" t="str">
        <f t="shared" si="6790"/>
        <v/>
      </c>
      <c r="K6789" s="100"/>
      <c r="M6789" s="100"/>
      <c r="N6789" s="100"/>
      <c r="O6789" s="100"/>
      <c r="P6789" s="100"/>
    </row>
    <row r="6790">
      <c r="A6790" s="114">
        <v>1642355.0</v>
      </c>
      <c r="B6790" s="131" t="s">
        <v>247</v>
      </c>
      <c r="C6790" s="131" t="s">
        <v>1781</v>
      </c>
      <c r="D6790" s="24" t="s">
        <v>187</v>
      </c>
      <c r="E6790" s="24">
        <v>373.8</v>
      </c>
      <c r="F6790" s="111" t="str">
        <f>DataPull!D6790</f>
        <v/>
      </c>
      <c r="G6790" s="94" t="str">
        <f t="shared" si="2"/>
        <v/>
      </c>
      <c r="H6790" s="94" t="str">
        <f t="shared" si="3"/>
        <v/>
      </c>
      <c r="I6790" s="94" t="str">
        <f t="shared" ref="I6790:J6790" si="6791">if(G6790 = "", , -G6790)</f>
        <v/>
      </c>
      <c r="J6790" s="94" t="str">
        <f t="shared" si="6791"/>
        <v/>
      </c>
      <c r="K6790" s="100"/>
      <c r="M6790" s="100"/>
      <c r="N6790" s="100"/>
      <c r="O6790" s="100"/>
      <c r="P6790" s="100"/>
    </row>
    <row r="6791">
      <c r="A6791" s="117">
        <v>1642357.0</v>
      </c>
      <c r="B6791" s="143" t="s">
        <v>246</v>
      </c>
      <c r="C6791" s="131" t="s">
        <v>1782</v>
      </c>
      <c r="D6791" s="24"/>
      <c r="E6791" s="24"/>
      <c r="F6791" s="111" t="str">
        <f>DataPull!D6791</f>
        <v/>
      </c>
      <c r="G6791" s="94" t="str">
        <f t="shared" si="2"/>
        <v/>
      </c>
      <c r="H6791" s="94" t="str">
        <f t="shared" si="3"/>
        <v/>
      </c>
      <c r="I6791" s="94" t="str">
        <f t="shared" ref="I6791:J6791" si="6792">if(G6791 = "", , -G6791)</f>
        <v/>
      </c>
      <c r="J6791" s="94" t="str">
        <f t="shared" si="6792"/>
        <v/>
      </c>
      <c r="K6791" s="100"/>
      <c r="M6791" s="100"/>
      <c r="N6791" s="100"/>
      <c r="O6791" s="100"/>
      <c r="P6791" s="100"/>
    </row>
    <row r="6792">
      <c r="A6792" s="114">
        <v>1642357.0</v>
      </c>
      <c r="B6792" s="131" t="s">
        <v>247</v>
      </c>
      <c r="C6792" s="131" t="s">
        <v>1782</v>
      </c>
      <c r="D6792" s="24" t="s">
        <v>187</v>
      </c>
      <c r="E6792" s="24">
        <v>68.2</v>
      </c>
      <c r="F6792" s="111" t="str">
        <f>DataPull!D6792</f>
        <v/>
      </c>
      <c r="G6792" s="94" t="str">
        <f t="shared" si="2"/>
        <v/>
      </c>
      <c r="H6792" s="94" t="str">
        <f t="shared" si="3"/>
        <v/>
      </c>
      <c r="I6792" s="94" t="str">
        <f t="shared" ref="I6792:J6792" si="6793">if(G6792 = "", , -G6792)</f>
        <v/>
      </c>
      <c r="J6792" s="94" t="str">
        <f t="shared" si="6793"/>
        <v/>
      </c>
      <c r="K6792" s="100"/>
      <c r="M6792" s="100"/>
      <c r="N6792" s="100"/>
      <c r="O6792" s="100"/>
      <c r="P6792" s="100"/>
    </row>
    <row r="6793">
      <c r="A6793" s="107">
        <v>1642358.0</v>
      </c>
      <c r="B6793" s="116" t="s">
        <v>246</v>
      </c>
      <c r="C6793" s="116" t="s">
        <v>1783</v>
      </c>
      <c r="D6793" s="24" t="s">
        <v>176</v>
      </c>
      <c r="E6793" s="24">
        <v>638.0</v>
      </c>
      <c r="F6793" s="111" t="str">
        <f>DataPull!D6793</f>
        <v/>
      </c>
      <c r="G6793" s="94" t="str">
        <f t="shared" si="2"/>
        <v/>
      </c>
      <c r="H6793" s="94" t="str">
        <f t="shared" si="3"/>
        <v/>
      </c>
      <c r="I6793" s="94" t="str">
        <f t="shared" ref="I6793:J6793" si="6794">if(G6793 = "", , -G6793)</f>
        <v/>
      </c>
      <c r="J6793" s="94" t="str">
        <f t="shared" si="6794"/>
        <v/>
      </c>
      <c r="K6793" s="100"/>
      <c r="M6793" s="100"/>
      <c r="N6793" s="100"/>
      <c r="O6793" s="100"/>
      <c r="P6793" s="100"/>
    </row>
    <row r="6794">
      <c r="A6794" s="114">
        <v>1642358.0</v>
      </c>
      <c r="B6794" s="131" t="s">
        <v>247</v>
      </c>
      <c r="C6794" s="131" t="s">
        <v>1783</v>
      </c>
      <c r="D6794" s="24" t="s">
        <v>187</v>
      </c>
      <c r="E6794" s="24">
        <v>451.2</v>
      </c>
      <c r="F6794" s="111" t="str">
        <f>DataPull!D6794</f>
        <v/>
      </c>
      <c r="G6794" s="94" t="str">
        <f t="shared" si="2"/>
        <v/>
      </c>
      <c r="H6794" s="94" t="str">
        <f t="shared" si="3"/>
        <v/>
      </c>
      <c r="I6794" s="94" t="str">
        <f t="shared" ref="I6794:J6794" si="6795">if(G6794 = "", , -G6794)</f>
        <v/>
      </c>
      <c r="J6794" s="94" t="str">
        <f t="shared" si="6795"/>
        <v/>
      </c>
      <c r="K6794" s="100"/>
      <c r="M6794" s="100"/>
      <c r="N6794" s="100"/>
      <c r="O6794" s="100"/>
      <c r="P6794" s="100"/>
    </row>
    <row r="6795">
      <c r="A6795" s="107">
        <v>1642359.0</v>
      </c>
      <c r="B6795" s="116" t="s">
        <v>246</v>
      </c>
      <c r="C6795" s="116" t="s">
        <v>1784</v>
      </c>
      <c r="D6795" s="24" t="s">
        <v>187</v>
      </c>
      <c r="E6795" s="24">
        <v>111.6</v>
      </c>
      <c r="F6795" s="111" t="str">
        <f>DataPull!D6795</f>
        <v/>
      </c>
      <c r="G6795" s="94" t="str">
        <f t="shared" si="2"/>
        <v/>
      </c>
      <c r="H6795" s="94" t="str">
        <f t="shared" si="3"/>
        <v/>
      </c>
      <c r="I6795" s="94" t="str">
        <f t="shared" ref="I6795:J6795" si="6796">if(G6795 = "", , -G6795)</f>
        <v/>
      </c>
      <c r="J6795" s="94" t="str">
        <f t="shared" si="6796"/>
        <v/>
      </c>
      <c r="K6795" s="100"/>
      <c r="M6795" s="100"/>
      <c r="N6795" s="100"/>
      <c r="O6795" s="100"/>
      <c r="P6795" s="100"/>
    </row>
    <row r="6796">
      <c r="A6796" s="114">
        <v>1642359.0</v>
      </c>
      <c r="B6796" s="131" t="s">
        <v>247</v>
      </c>
      <c r="C6796" s="116" t="s">
        <v>1784</v>
      </c>
      <c r="D6796" s="24" t="s">
        <v>187</v>
      </c>
      <c r="E6796" s="24">
        <v>136.3</v>
      </c>
      <c r="F6796" s="111" t="str">
        <f>DataPull!D6796</f>
        <v/>
      </c>
      <c r="G6796" s="94" t="str">
        <f t="shared" si="2"/>
        <v/>
      </c>
      <c r="H6796" s="94" t="str">
        <f t="shared" si="3"/>
        <v/>
      </c>
      <c r="I6796" s="94" t="str">
        <f t="shared" ref="I6796:J6796" si="6797">if(G6796 = "", , -G6796)</f>
        <v/>
      </c>
      <c r="J6796" s="94" t="str">
        <f t="shared" si="6797"/>
        <v/>
      </c>
      <c r="K6796" s="100"/>
      <c r="M6796" s="100"/>
      <c r="N6796" s="100"/>
      <c r="O6796" s="100"/>
      <c r="P6796" s="100"/>
    </row>
    <row r="6797">
      <c r="A6797" s="126">
        <v>1642362.0</v>
      </c>
      <c r="B6797" s="141" t="s">
        <v>247</v>
      </c>
      <c r="C6797" s="141" t="s">
        <v>1785</v>
      </c>
      <c r="D6797" s="24"/>
      <c r="E6797" s="24">
        <v>63.2</v>
      </c>
      <c r="F6797" s="111" t="str">
        <f>DataPull!D6797</f>
        <v/>
      </c>
      <c r="G6797" s="94" t="str">
        <f t="shared" si="2"/>
        <v/>
      </c>
      <c r="H6797" s="94" t="str">
        <f t="shared" si="3"/>
        <v/>
      </c>
      <c r="I6797" s="94" t="str">
        <f t="shared" ref="I6797:J6797" si="6798">if(G6797 = "", , -G6797)</f>
        <v/>
      </c>
      <c r="J6797" s="94" t="str">
        <f t="shared" si="6798"/>
        <v/>
      </c>
      <c r="K6797" s="100"/>
      <c r="M6797" s="100"/>
      <c r="N6797" s="100"/>
      <c r="O6797" s="100"/>
      <c r="P6797" s="100"/>
    </row>
    <row r="6798">
      <c r="A6798" s="114">
        <v>1642363.0</v>
      </c>
      <c r="B6798" s="131" t="s">
        <v>247</v>
      </c>
      <c r="C6798" s="131" t="s">
        <v>1786</v>
      </c>
      <c r="D6798" s="24" t="s">
        <v>177</v>
      </c>
      <c r="E6798" s="24">
        <v>1882.5</v>
      </c>
      <c r="F6798" s="111" t="str">
        <f>DataPull!D6798</f>
        <v/>
      </c>
      <c r="G6798" s="94" t="str">
        <f t="shared" si="2"/>
        <v/>
      </c>
      <c r="H6798" s="94" t="str">
        <f t="shared" si="3"/>
        <v/>
      </c>
      <c r="I6798" s="94" t="str">
        <f t="shared" ref="I6798:J6798" si="6799">if(G6798 = "", , -G6798)</f>
        <v/>
      </c>
      <c r="J6798" s="94" t="str">
        <f t="shared" si="6799"/>
        <v/>
      </c>
      <c r="K6798" s="100"/>
      <c r="M6798" s="100"/>
      <c r="N6798" s="100"/>
      <c r="O6798" s="100"/>
      <c r="P6798" s="100"/>
    </row>
    <row r="6799">
      <c r="A6799" s="114">
        <v>1642364.0</v>
      </c>
      <c r="B6799" s="131" t="s">
        <v>247</v>
      </c>
      <c r="C6799" s="131" t="s">
        <v>1787</v>
      </c>
      <c r="D6799" s="24" t="s">
        <v>177</v>
      </c>
      <c r="E6799" s="24">
        <v>1030.0</v>
      </c>
      <c r="F6799" s="111" t="str">
        <f>DataPull!D6799</f>
        <v/>
      </c>
      <c r="G6799" s="94" t="str">
        <f t="shared" si="2"/>
        <v/>
      </c>
      <c r="H6799" s="94" t="str">
        <f t="shared" si="3"/>
        <v/>
      </c>
      <c r="I6799" s="94" t="str">
        <f t="shared" ref="I6799:J6799" si="6800">if(G6799 = "", , -G6799)</f>
        <v/>
      </c>
      <c r="J6799" s="94" t="str">
        <f t="shared" si="6800"/>
        <v/>
      </c>
      <c r="K6799" s="100"/>
      <c r="M6799" s="100"/>
      <c r="N6799" s="100"/>
      <c r="O6799" s="100"/>
      <c r="P6799" s="100"/>
    </row>
    <row r="6800">
      <c r="A6800" s="89">
        <v>1642365.0</v>
      </c>
      <c r="B6800" s="131" t="s">
        <v>247</v>
      </c>
      <c r="C6800" s="131" t="s">
        <v>1788</v>
      </c>
      <c r="D6800" s="24"/>
      <c r="E6800" s="24"/>
      <c r="F6800" s="111" t="str">
        <f>DataPull!D6800</f>
        <v/>
      </c>
      <c r="G6800" s="94" t="str">
        <f t="shared" si="2"/>
        <v/>
      </c>
      <c r="H6800" s="94" t="str">
        <f t="shared" si="3"/>
        <v/>
      </c>
      <c r="I6800" s="94" t="str">
        <f t="shared" ref="I6800:J6800" si="6801">if(G6800 = "", , -G6800)</f>
        <v/>
      </c>
      <c r="J6800" s="94" t="str">
        <f t="shared" si="6801"/>
        <v/>
      </c>
      <c r="K6800" s="100"/>
      <c r="M6800" s="100"/>
      <c r="N6800" s="100"/>
      <c r="O6800" s="100"/>
      <c r="P6800" s="100"/>
    </row>
    <row r="6801">
      <c r="A6801" s="107">
        <v>1642366.0</v>
      </c>
      <c r="B6801" s="116" t="s">
        <v>246</v>
      </c>
      <c r="C6801" s="116" t="s">
        <v>1789</v>
      </c>
      <c r="D6801" s="24" t="s">
        <v>177</v>
      </c>
      <c r="E6801" s="24">
        <v>684.6</v>
      </c>
      <c r="F6801" s="111" t="str">
        <f>DataPull!D6801</f>
        <v/>
      </c>
      <c r="G6801" s="94" t="str">
        <f t="shared" si="2"/>
        <v/>
      </c>
      <c r="H6801" s="94" t="str">
        <f t="shared" si="3"/>
        <v/>
      </c>
      <c r="I6801" s="94" t="str">
        <f t="shared" ref="I6801:J6801" si="6802">if(G6801 = "", , -G6801)</f>
        <v/>
      </c>
      <c r="J6801" s="94" t="str">
        <f t="shared" si="6802"/>
        <v/>
      </c>
      <c r="K6801" s="100"/>
      <c r="M6801" s="100"/>
      <c r="N6801" s="100"/>
      <c r="O6801" s="100"/>
      <c r="P6801" s="100"/>
    </row>
    <row r="6802">
      <c r="A6802" s="114">
        <v>1642366.0</v>
      </c>
      <c r="B6802" s="131" t="s">
        <v>247</v>
      </c>
      <c r="C6802" s="131" t="s">
        <v>1789</v>
      </c>
      <c r="D6802" s="24" t="s">
        <v>177</v>
      </c>
      <c r="E6802" s="24">
        <v>1159.1</v>
      </c>
      <c r="F6802" s="111" t="str">
        <f>DataPull!D6802</f>
        <v/>
      </c>
      <c r="G6802" s="94" t="str">
        <f t="shared" si="2"/>
        <v/>
      </c>
      <c r="H6802" s="94" t="str">
        <f t="shared" si="3"/>
        <v/>
      </c>
      <c r="I6802" s="94" t="str">
        <f t="shared" ref="I6802:J6802" si="6803">if(G6802 = "", , -G6802)</f>
        <v/>
      </c>
      <c r="J6802" s="94" t="str">
        <f t="shared" si="6803"/>
        <v/>
      </c>
      <c r="K6802" s="100"/>
      <c r="M6802" s="100"/>
      <c r="N6802" s="100"/>
      <c r="O6802" s="100"/>
      <c r="P6802" s="100"/>
    </row>
    <row r="6803">
      <c r="A6803" s="107">
        <v>1642367.0</v>
      </c>
      <c r="B6803" s="116" t="s">
        <v>246</v>
      </c>
      <c r="C6803" s="116" t="s">
        <v>1790</v>
      </c>
      <c r="D6803" s="24" t="s">
        <v>176</v>
      </c>
      <c r="E6803" s="24">
        <v>1285.2</v>
      </c>
      <c r="F6803" s="111" t="str">
        <f>DataPull!D6803</f>
        <v/>
      </c>
      <c r="G6803" s="94" t="str">
        <f t="shared" si="2"/>
        <v/>
      </c>
      <c r="H6803" s="94" t="str">
        <f t="shared" si="3"/>
        <v/>
      </c>
      <c r="I6803" s="94" t="str">
        <f t="shared" ref="I6803:J6803" si="6804">if(G6803 = "", , -G6803)</f>
        <v/>
      </c>
      <c r="J6803" s="94" t="str">
        <f t="shared" si="6804"/>
        <v/>
      </c>
      <c r="K6803" s="100"/>
      <c r="M6803" s="100"/>
      <c r="N6803" s="100"/>
      <c r="O6803" s="100"/>
      <c r="P6803" s="100"/>
    </row>
    <row r="6804">
      <c r="A6804" s="114">
        <v>1642367.0</v>
      </c>
      <c r="B6804" s="131" t="s">
        <v>247</v>
      </c>
      <c r="C6804" s="131" t="s">
        <v>1790</v>
      </c>
      <c r="D6804" s="24" t="s">
        <v>187</v>
      </c>
      <c r="E6804" s="24">
        <v>248.0</v>
      </c>
      <c r="F6804" s="111" t="str">
        <f>DataPull!D6804</f>
        <v/>
      </c>
      <c r="G6804" s="94" t="str">
        <f t="shared" si="2"/>
        <v/>
      </c>
      <c r="H6804" s="94" t="str">
        <f t="shared" si="3"/>
        <v/>
      </c>
      <c r="I6804" s="94" t="str">
        <f t="shared" ref="I6804:J6804" si="6805">if(G6804 = "", , -G6804)</f>
        <v/>
      </c>
      <c r="J6804" s="94" t="str">
        <f t="shared" si="6805"/>
        <v/>
      </c>
      <c r="K6804" s="100"/>
      <c r="M6804" s="100"/>
      <c r="N6804" s="100"/>
      <c r="O6804" s="100"/>
      <c r="P6804" s="100"/>
    </row>
    <row r="6805">
      <c r="A6805" s="107">
        <v>1642368.0</v>
      </c>
      <c r="B6805" s="116" t="s">
        <v>246</v>
      </c>
      <c r="C6805" s="116" t="s">
        <v>1791</v>
      </c>
      <c r="D6805" s="24" t="s">
        <v>181</v>
      </c>
      <c r="E6805" s="24">
        <v>50.8</v>
      </c>
      <c r="F6805" s="111" t="str">
        <f>DataPull!D6805</f>
        <v/>
      </c>
      <c r="G6805" s="94" t="str">
        <f t="shared" si="2"/>
        <v/>
      </c>
      <c r="H6805" s="94" t="str">
        <f t="shared" si="3"/>
        <v/>
      </c>
      <c r="I6805" s="94" t="str">
        <f t="shared" ref="I6805:J6805" si="6806">if(G6805 = "", , -G6805)</f>
        <v/>
      </c>
      <c r="J6805" s="94" t="str">
        <f t="shared" si="6806"/>
        <v/>
      </c>
      <c r="K6805" s="100"/>
      <c r="M6805" s="100"/>
      <c r="N6805" s="100"/>
      <c r="O6805" s="100"/>
      <c r="P6805" s="100"/>
    </row>
    <row r="6806">
      <c r="A6806" s="114">
        <v>1642368.0</v>
      </c>
      <c r="B6806" s="131" t="s">
        <v>247</v>
      </c>
      <c r="C6806" s="116" t="s">
        <v>1791</v>
      </c>
      <c r="D6806" s="24" t="s">
        <v>181</v>
      </c>
      <c r="E6806" s="24">
        <v>15.6</v>
      </c>
      <c r="F6806" s="111" t="str">
        <f>DataPull!D6806</f>
        <v/>
      </c>
      <c r="G6806" s="94" t="str">
        <f t="shared" si="2"/>
        <v/>
      </c>
      <c r="H6806" s="94" t="str">
        <f t="shared" si="3"/>
        <v/>
      </c>
      <c r="I6806" s="94" t="str">
        <f t="shared" ref="I6806:J6806" si="6807">if(G6806 = "", , -G6806)</f>
        <v/>
      </c>
      <c r="J6806" s="94" t="str">
        <f t="shared" si="6807"/>
        <v/>
      </c>
      <c r="K6806" s="100"/>
      <c r="M6806" s="100"/>
      <c r="N6806" s="100"/>
      <c r="O6806" s="100"/>
      <c r="P6806" s="100"/>
    </row>
    <row r="6807">
      <c r="A6807" s="107">
        <v>1642377.0</v>
      </c>
      <c r="B6807" s="116" t="s">
        <v>246</v>
      </c>
      <c r="C6807" s="116" t="s">
        <v>1792</v>
      </c>
      <c r="D6807" s="24" t="s">
        <v>178</v>
      </c>
      <c r="E6807" s="24">
        <v>2046.1</v>
      </c>
      <c r="F6807" s="111" t="str">
        <f>DataPull!D6807</f>
        <v/>
      </c>
      <c r="G6807" s="94" t="str">
        <f t="shared" si="2"/>
        <v/>
      </c>
      <c r="H6807" s="94" t="str">
        <f t="shared" si="3"/>
        <v/>
      </c>
      <c r="I6807" s="94" t="str">
        <f t="shared" ref="I6807:J6807" si="6808">if(G6807 = "", , -G6807)</f>
        <v/>
      </c>
      <c r="J6807" s="94" t="str">
        <f t="shared" si="6808"/>
        <v/>
      </c>
      <c r="K6807" s="100"/>
      <c r="M6807" s="100"/>
      <c r="N6807" s="100"/>
      <c r="O6807" s="100"/>
      <c r="P6807" s="100"/>
    </row>
    <row r="6808">
      <c r="A6808" s="114">
        <v>1642377.0</v>
      </c>
      <c r="B6808" s="131" t="s">
        <v>247</v>
      </c>
      <c r="C6808" s="131" t="s">
        <v>1792</v>
      </c>
      <c r="D6808" s="24" t="s">
        <v>178</v>
      </c>
      <c r="E6808" s="24">
        <v>1821.6</v>
      </c>
      <c r="F6808" s="111" t="str">
        <f>DataPull!D6808</f>
        <v/>
      </c>
      <c r="G6808" s="94" t="str">
        <f t="shared" si="2"/>
        <v/>
      </c>
      <c r="H6808" s="94" t="str">
        <f t="shared" si="3"/>
        <v/>
      </c>
      <c r="I6808" s="94" t="str">
        <f t="shared" ref="I6808:J6808" si="6809">if(G6808 = "", , -G6808)</f>
        <v/>
      </c>
      <c r="J6808" s="94" t="str">
        <f t="shared" si="6809"/>
        <v/>
      </c>
      <c r="K6808" s="100"/>
      <c r="M6808" s="100"/>
      <c r="N6808" s="100"/>
      <c r="O6808" s="100"/>
      <c r="P6808" s="100"/>
    </row>
    <row r="6809">
      <c r="A6809" s="147">
        <v>1642382.0</v>
      </c>
      <c r="B6809" s="143" t="s">
        <v>246</v>
      </c>
      <c r="C6809" s="148" t="s">
        <v>1793</v>
      </c>
      <c r="D6809" s="24" t="s">
        <v>187</v>
      </c>
      <c r="E6809" s="24">
        <v>246.4</v>
      </c>
      <c r="F6809" s="111" t="str">
        <f>DataPull!D6809</f>
        <v/>
      </c>
      <c r="G6809" s="94" t="str">
        <f t="shared" si="2"/>
        <v/>
      </c>
      <c r="H6809" s="94" t="str">
        <f t="shared" si="3"/>
        <v/>
      </c>
      <c r="I6809" s="94" t="str">
        <f t="shared" ref="I6809:J6809" si="6810">if(G6809 = "", , -G6809)</f>
        <v/>
      </c>
      <c r="J6809" s="94" t="str">
        <f t="shared" si="6810"/>
        <v/>
      </c>
      <c r="K6809" s="100"/>
      <c r="M6809" s="100"/>
      <c r="N6809" s="100"/>
      <c r="O6809" s="100"/>
      <c r="P6809" s="100"/>
    </row>
    <row r="6810">
      <c r="A6810" s="114">
        <v>1642382.0</v>
      </c>
      <c r="B6810" s="131" t="s">
        <v>247</v>
      </c>
      <c r="C6810" s="131" t="s">
        <v>1793</v>
      </c>
      <c r="D6810" s="24" t="s">
        <v>177</v>
      </c>
      <c r="E6810" s="24">
        <v>487.2</v>
      </c>
      <c r="F6810" s="111" t="str">
        <f>DataPull!D6810</f>
        <v/>
      </c>
      <c r="G6810" s="94" t="str">
        <f t="shared" si="2"/>
        <v/>
      </c>
      <c r="H6810" s="94" t="str">
        <f t="shared" si="3"/>
        <v/>
      </c>
      <c r="I6810" s="94" t="str">
        <f t="shared" ref="I6810:J6810" si="6811">if(G6810 = "", , -G6810)</f>
        <v/>
      </c>
      <c r="J6810" s="94" t="str">
        <f t="shared" si="6811"/>
        <v/>
      </c>
      <c r="K6810" s="100"/>
      <c r="M6810" s="100"/>
      <c r="N6810" s="100"/>
      <c r="O6810" s="100"/>
      <c r="P6810" s="100"/>
    </row>
    <row r="6811">
      <c r="A6811" s="114">
        <v>1642383.0</v>
      </c>
      <c r="B6811" s="131" t="s">
        <v>247</v>
      </c>
      <c r="C6811" s="131" t="s">
        <v>1794</v>
      </c>
      <c r="D6811" s="24" t="s">
        <v>177</v>
      </c>
      <c r="E6811" s="24">
        <v>1407.6</v>
      </c>
      <c r="F6811" s="111" t="str">
        <f>DataPull!D6811</f>
        <v/>
      </c>
      <c r="G6811" s="94" t="str">
        <f t="shared" si="2"/>
        <v/>
      </c>
      <c r="H6811" s="94" t="str">
        <f t="shared" si="3"/>
        <v/>
      </c>
      <c r="I6811" s="94" t="str">
        <f t="shared" ref="I6811:J6811" si="6812">if(G6811 = "", , -G6811)</f>
        <v/>
      </c>
      <c r="J6811" s="94" t="str">
        <f t="shared" si="6812"/>
        <v/>
      </c>
      <c r="K6811" s="100"/>
      <c r="M6811" s="100"/>
      <c r="N6811" s="100"/>
      <c r="O6811" s="100"/>
      <c r="P6811" s="100"/>
    </row>
    <row r="6812">
      <c r="A6812" s="107">
        <v>1642384.0</v>
      </c>
      <c r="B6812" s="116" t="s">
        <v>246</v>
      </c>
      <c r="C6812" s="116" t="s">
        <v>1795</v>
      </c>
      <c r="D6812" s="24" t="s">
        <v>187</v>
      </c>
      <c r="E6812" s="24">
        <v>45.0</v>
      </c>
      <c r="F6812" s="111" t="str">
        <f>DataPull!D6812</f>
        <v/>
      </c>
      <c r="G6812" s="94" t="str">
        <f t="shared" si="2"/>
        <v/>
      </c>
      <c r="H6812" s="94" t="str">
        <f t="shared" si="3"/>
        <v/>
      </c>
      <c r="I6812" s="94" t="str">
        <f t="shared" ref="I6812:J6812" si="6813">if(G6812 = "", , -G6812)</f>
        <v/>
      </c>
      <c r="J6812" s="94" t="str">
        <f t="shared" si="6813"/>
        <v/>
      </c>
      <c r="K6812" s="100"/>
      <c r="M6812" s="100"/>
      <c r="N6812" s="100"/>
      <c r="O6812" s="100"/>
      <c r="P6812" s="100"/>
    </row>
    <row r="6813">
      <c r="A6813" s="89">
        <v>1642384.0</v>
      </c>
      <c r="B6813" s="131" t="s">
        <v>247</v>
      </c>
      <c r="C6813" s="131" t="s">
        <v>1795</v>
      </c>
      <c r="D6813" s="24" t="s">
        <v>181</v>
      </c>
      <c r="E6813" s="24">
        <v>92.4</v>
      </c>
      <c r="F6813" s="111" t="str">
        <f>DataPull!D6813</f>
        <v/>
      </c>
      <c r="G6813" s="94" t="str">
        <f t="shared" si="2"/>
        <v/>
      </c>
      <c r="H6813" s="94" t="str">
        <f t="shared" si="3"/>
        <v/>
      </c>
      <c r="I6813" s="94" t="str">
        <f t="shared" ref="I6813:J6813" si="6814">if(G6813 = "", , -G6813)</f>
        <v/>
      </c>
      <c r="J6813" s="94" t="str">
        <f t="shared" si="6814"/>
        <v/>
      </c>
      <c r="K6813" s="100"/>
      <c r="M6813" s="100"/>
      <c r="N6813" s="100"/>
      <c r="O6813" s="100"/>
      <c r="P6813" s="100"/>
    </row>
    <row r="6814">
      <c r="A6814" s="107">
        <v>1642385.0</v>
      </c>
      <c r="B6814" s="116" t="s">
        <v>246</v>
      </c>
      <c r="C6814" s="116" t="s">
        <v>1796</v>
      </c>
      <c r="D6814" s="24" t="s">
        <v>181</v>
      </c>
      <c r="E6814" s="24">
        <v>10.5</v>
      </c>
      <c r="F6814" s="111" t="str">
        <f>DataPull!D6814</f>
        <v/>
      </c>
      <c r="G6814" s="94" t="str">
        <f t="shared" si="2"/>
        <v/>
      </c>
      <c r="H6814" s="94" t="str">
        <f t="shared" si="3"/>
        <v/>
      </c>
      <c r="I6814" s="94" t="str">
        <f t="shared" ref="I6814:J6814" si="6815">if(G6814 = "", , -G6814)</f>
        <v/>
      </c>
      <c r="J6814" s="94" t="str">
        <f t="shared" si="6815"/>
        <v/>
      </c>
      <c r="K6814" s="100"/>
      <c r="M6814" s="100"/>
      <c r="N6814" s="100"/>
      <c r="O6814" s="100"/>
      <c r="P6814" s="100"/>
    </row>
    <row r="6815">
      <c r="A6815" s="120">
        <v>1642389.0</v>
      </c>
      <c r="B6815" s="138" t="s">
        <v>246</v>
      </c>
      <c r="C6815" s="138" t="s">
        <v>1797</v>
      </c>
      <c r="D6815" s="139" t="s">
        <v>181</v>
      </c>
      <c r="E6815" s="139">
        <v>2.7</v>
      </c>
      <c r="F6815" s="111" t="str">
        <f>DataPull!D6815</f>
        <v/>
      </c>
      <c r="G6815" s="94" t="str">
        <f t="shared" si="2"/>
        <v/>
      </c>
      <c r="H6815" s="94" t="str">
        <f t="shared" si="3"/>
        <v/>
      </c>
      <c r="I6815" s="94" t="str">
        <f t="shared" ref="I6815:J6815" si="6816">if(G6815 = "", , -G6815)</f>
        <v/>
      </c>
      <c r="J6815" s="94" t="str">
        <f t="shared" si="6816"/>
        <v/>
      </c>
      <c r="K6815" s="100"/>
      <c r="M6815" s="100"/>
      <c r="N6815" s="100"/>
      <c r="O6815" s="100"/>
      <c r="P6815" s="100"/>
    </row>
    <row r="6816">
      <c r="A6816" s="126">
        <v>1642389.0</v>
      </c>
      <c r="B6816" s="141" t="s">
        <v>247</v>
      </c>
      <c r="C6816" s="141" t="s">
        <v>1797</v>
      </c>
      <c r="D6816" s="24"/>
      <c r="E6816" s="24">
        <v>42.5</v>
      </c>
      <c r="F6816" s="111" t="str">
        <f>DataPull!D6816</f>
        <v/>
      </c>
      <c r="G6816" s="94" t="str">
        <f t="shared" si="2"/>
        <v/>
      </c>
      <c r="H6816" s="94" t="str">
        <f t="shared" si="3"/>
        <v/>
      </c>
      <c r="I6816" s="94" t="str">
        <f t="shared" ref="I6816:J6816" si="6817">if(G6816 = "", , -G6816)</f>
        <v/>
      </c>
      <c r="J6816" s="94" t="str">
        <f t="shared" si="6817"/>
        <v/>
      </c>
      <c r="K6816" s="100"/>
      <c r="M6816" s="100"/>
      <c r="N6816" s="100"/>
      <c r="O6816" s="100"/>
      <c r="P6816" s="100"/>
    </row>
    <row r="6817">
      <c r="A6817" s="126">
        <v>1642396.0</v>
      </c>
      <c r="B6817" s="141" t="s">
        <v>247</v>
      </c>
      <c r="C6817" s="141" t="s">
        <v>1798</v>
      </c>
      <c r="D6817" s="24" t="s">
        <v>181</v>
      </c>
      <c r="E6817" s="24">
        <v>285.6</v>
      </c>
      <c r="F6817" s="111" t="str">
        <f>DataPull!D6817</f>
        <v/>
      </c>
      <c r="G6817" s="94" t="str">
        <f t="shared" si="2"/>
        <v/>
      </c>
      <c r="H6817" s="94" t="str">
        <f t="shared" si="3"/>
        <v/>
      </c>
      <c r="I6817" s="94" t="str">
        <f t="shared" ref="I6817:J6817" si="6818">if(G6817 = "", , -G6817)</f>
        <v/>
      </c>
      <c r="J6817" s="94" t="str">
        <f t="shared" si="6818"/>
        <v/>
      </c>
      <c r="K6817" s="100"/>
      <c r="M6817" s="100"/>
      <c r="N6817" s="100"/>
      <c r="O6817" s="100"/>
      <c r="P6817" s="100"/>
    </row>
    <row r="6818">
      <c r="A6818" s="107">
        <v>1642399.0</v>
      </c>
      <c r="B6818" s="116" t="s">
        <v>246</v>
      </c>
      <c r="C6818" s="116" t="s">
        <v>1799</v>
      </c>
      <c r="D6818" s="24" t="s">
        <v>181</v>
      </c>
      <c r="E6818" s="24">
        <v>4.6</v>
      </c>
      <c r="F6818" s="111" t="str">
        <f>DataPull!D6818</f>
        <v/>
      </c>
      <c r="G6818" s="94" t="str">
        <f t="shared" si="2"/>
        <v/>
      </c>
      <c r="H6818" s="94" t="str">
        <f t="shared" si="3"/>
        <v/>
      </c>
      <c r="I6818" s="94" t="str">
        <f t="shared" ref="I6818:J6818" si="6819">if(G6818 = "", , -G6818)</f>
        <v/>
      </c>
      <c r="J6818" s="94" t="str">
        <f t="shared" si="6819"/>
        <v/>
      </c>
      <c r="K6818" s="100"/>
      <c r="M6818" s="100"/>
      <c r="N6818" s="100"/>
      <c r="O6818" s="100"/>
      <c r="P6818" s="100"/>
    </row>
    <row r="6819">
      <c r="A6819" s="126">
        <v>1642400.0</v>
      </c>
      <c r="B6819" s="141" t="s">
        <v>247</v>
      </c>
      <c r="C6819" s="141" t="s">
        <v>1800</v>
      </c>
      <c r="D6819" s="24" t="s">
        <v>181</v>
      </c>
      <c r="E6819" s="24">
        <v>85.5</v>
      </c>
      <c r="F6819" s="111" t="str">
        <f>DataPull!D6819</f>
        <v/>
      </c>
      <c r="G6819" s="94" t="str">
        <f t="shared" si="2"/>
        <v/>
      </c>
      <c r="H6819" s="94" t="str">
        <f t="shared" si="3"/>
        <v/>
      </c>
      <c r="I6819" s="94" t="str">
        <f t="shared" ref="I6819:J6819" si="6820">if(G6819 = "", , -G6819)</f>
        <v/>
      </c>
      <c r="J6819" s="94" t="str">
        <f t="shared" si="6820"/>
        <v/>
      </c>
      <c r="K6819" s="100"/>
      <c r="M6819" s="100"/>
      <c r="N6819" s="100"/>
      <c r="O6819" s="100"/>
      <c r="P6819" s="100"/>
    </row>
    <row r="6820">
      <c r="A6820" s="107">
        <v>1642402.0</v>
      </c>
      <c r="B6820" s="116" t="s">
        <v>246</v>
      </c>
      <c r="C6820" s="116" t="s">
        <v>1801</v>
      </c>
      <c r="D6820" s="24" t="s">
        <v>187</v>
      </c>
      <c r="E6820" s="24">
        <v>180.4</v>
      </c>
      <c r="F6820" s="111" t="str">
        <f>DataPull!D6820</f>
        <v/>
      </c>
      <c r="G6820" s="94" t="str">
        <f t="shared" si="2"/>
        <v/>
      </c>
      <c r="H6820" s="94" t="str">
        <f t="shared" si="3"/>
        <v/>
      </c>
      <c r="I6820" s="94" t="str">
        <f t="shared" ref="I6820:J6820" si="6821">if(G6820 = "", , -G6820)</f>
        <v/>
      </c>
      <c r="J6820" s="94" t="str">
        <f t="shared" si="6821"/>
        <v/>
      </c>
      <c r="K6820" s="100"/>
      <c r="M6820" s="100"/>
      <c r="N6820" s="100"/>
      <c r="O6820" s="100"/>
      <c r="P6820" s="100"/>
    </row>
    <row r="6821">
      <c r="A6821" s="89">
        <v>1642402.0</v>
      </c>
      <c r="B6821" s="131" t="s">
        <v>247</v>
      </c>
      <c r="C6821" s="131" t="s">
        <v>1801</v>
      </c>
      <c r="D6821" s="24" t="s">
        <v>181</v>
      </c>
      <c r="E6821" s="24">
        <v>37.2</v>
      </c>
      <c r="F6821" s="111" t="str">
        <f>DataPull!D6821</f>
        <v/>
      </c>
      <c r="G6821" s="94" t="str">
        <f t="shared" si="2"/>
        <v/>
      </c>
      <c r="H6821" s="94" t="str">
        <f t="shared" si="3"/>
        <v/>
      </c>
      <c r="I6821" s="94" t="str">
        <f t="shared" ref="I6821:J6821" si="6822">if(G6821 = "", , -G6821)</f>
        <v/>
      </c>
      <c r="J6821" s="94" t="str">
        <f t="shared" si="6822"/>
        <v/>
      </c>
      <c r="K6821" s="100"/>
      <c r="M6821" s="100"/>
      <c r="N6821" s="100"/>
      <c r="O6821" s="100"/>
      <c r="P6821" s="100"/>
    </row>
    <row r="6822">
      <c r="A6822" s="107">
        <v>1642403.0</v>
      </c>
      <c r="B6822" s="116" t="s">
        <v>246</v>
      </c>
      <c r="C6822" s="116" t="s">
        <v>1802</v>
      </c>
      <c r="D6822" s="24" t="s">
        <v>187</v>
      </c>
      <c r="E6822" s="24">
        <v>304.0</v>
      </c>
      <c r="F6822" s="111" t="str">
        <f>DataPull!D6822</f>
        <v/>
      </c>
      <c r="G6822" s="94" t="str">
        <f t="shared" si="2"/>
        <v/>
      </c>
      <c r="H6822" s="94" t="str">
        <f t="shared" si="3"/>
        <v/>
      </c>
      <c r="I6822" s="94" t="str">
        <f t="shared" ref="I6822:J6822" si="6823">if(G6822 = "", , -G6822)</f>
        <v/>
      </c>
      <c r="J6822" s="94" t="str">
        <f t="shared" si="6823"/>
        <v/>
      </c>
      <c r="K6822" s="100"/>
      <c r="M6822" s="100"/>
      <c r="N6822" s="100"/>
      <c r="O6822" s="100"/>
      <c r="P6822" s="100"/>
    </row>
    <row r="6823">
      <c r="A6823" s="114">
        <v>1642403.0</v>
      </c>
      <c r="B6823" s="131" t="s">
        <v>247</v>
      </c>
      <c r="C6823" s="131" t="s">
        <v>1802</v>
      </c>
      <c r="D6823" s="24" t="s">
        <v>181</v>
      </c>
      <c r="E6823" s="24">
        <v>35.7</v>
      </c>
      <c r="F6823" s="111" t="str">
        <f>DataPull!D6823</f>
        <v/>
      </c>
      <c r="G6823" s="94" t="str">
        <f t="shared" si="2"/>
        <v/>
      </c>
      <c r="H6823" s="94" t="str">
        <f t="shared" si="3"/>
        <v/>
      </c>
      <c r="I6823" s="94" t="str">
        <f t="shared" ref="I6823:J6823" si="6824">if(G6823 = "", , -G6823)</f>
        <v/>
      </c>
      <c r="J6823" s="94" t="str">
        <f t="shared" si="6824"/>
        <v/>
      </c>
      <c r="K6823" s="100"/>
      <c r="M6823" s="100"/>
      <c r="N6823" s="100"/>
      <c r="O6823" s="100"/>
      <c r="P6823" s="100"/>
    </row>
    <row r="6824">
      <c r="A6824" s="114">
        <v>1642404.0</v>
      </c>
      <c r="B6824" s="131" t="s">
        <v>247</v>
      </c>
      <c r="C6824" s="131" t="s">
        <v>1803</v>
      </c>
      <c r="D6824" s="24" t="s">
        <v>187</v>
      </c>
      <c r="E6824" s="24">
        <v>261.8</v>
      </c>
      <c r="F6824" s="111" t="str">
        <f>DataPull!D6824</f>
        <v/>
      </c>
      <c r="G6824" s="94" t="str">
        <f t="shared" si="2"/>
        <v/>
      </c>
      <c r="H6824" s="94" t="str">
        <f t="shared" si="3"/>
        <v/>
      </c>
      <c r="I6824" s="94" t="str">
        <f t="shared" ref="I6824:J6824" si="6825">if(G6824 = "", , -G6824)</f>
        <v/>
      </c>
      <c r="J6824" s="94" t="str">
        <f t="shared" si="6825"/>
        <v/>
      </c>
      <c r="K6824" s="100"/>
      <c r="M6824" s="100"/>
      <c r="N6824" s="100"/>
      <c r="O6824" s="100"/>
      <c r="P6824" s="100"/>
    </row>
    <row r="6825">
      <c r="A6825" s="107">
        <v>1642419.0</v>
      </c>
      <c r="B6825" s="116" t="s">
        <v>246</v>
      </c>
      <c r="C6825" s="116" t="s">
        <v>1804</v>
      </c>
      <c r="D6825" s="24" t="s">
        <v>177</v>
      </c>
      <c r="E6825" s="24">
        <v>1044.3</v>
      </c>
      <c r="F6825" s="111" t="str">
        <f>DataPull!D6825</f>
        <v/>
      </c>
      <c r="G6825" s="94" t="str">
        <f t="shared" si="2"/>
        <v/>
      </c>
      <c r="H6825" s="94" t="str">
        <f t="shared" si="3"/>
        <v/>
      </c>
      <c r="I6825" s="94" t="str">
        <f t="shared" ref="I6825:J6825" si="6826">if(G6825 = "", , -G6825)</f>
        <v/>
      </c>
      <c r="J6825" s="94" t="str">
        <f t="shared" si="6826"/>
        <v/>
      </c>
      <c r="K6825" s="100"/>
      <c r="M6825" s="100"/>
      <c r="N6825" s="100"/>
      <c r="O6825" s="100"/>
      <c r="P6825" s="100"/>
    </row>
    <row r="6826">
      <c r="A6826" s="114">
        <v>1642419.0</v>
      </c>
      <c r="B6826" s="131" t="s">
        <v>247</v>
      </c>
      <c r="C6826" s="131" t="s">
        <v>1804</v>
      </c>
      <c r="D6826" s="24" t="s">
        <v>187</v>
      </c>
      <c r="E6826" s="24">
        <v>518.5</v>
      </c>
      <c r="F6826" s="111" t="str">
        <f>DataPull!D6826</f>
        <v/>
      </c>
      <c r="G6826" s="94" t="str">
        <f t="shared" si="2"/>
        <v/>
      </c>
      <c r="H6826" s="94" t="str">
        <f t="shared" si="3"/>
        <v/>
      </c>
      <c r="I6826" s="94" t="str">
        <f t="shared" ref="I6826:J6826" si="6827">if(G6826 = "", , -G6826)</f>
        <v/>
      </c>
      <c r="J6826" s="94" t="str">
        <f t="shared" si="6827"/>
        <v/>
      </c>
      <c r="K6826" s="100"/>
      <c r="M6826" s="100"/>
      <c r="N6826" s="100"/>
      <c r="O6826" s="100"/>
      <c r="P6826" s="100"/>
    </row>
    <row r="6827">
      <c r="A6827" s="107">
        <v>1642422.0</v>
      </c>
      <c r="B6827" s="116" t="s">
        <v>246</v>
      </c>
      <c r="C6827" s="116" t="s">
        <v>1805</v>
      </c>
      <c r="D6827" s="24" t="s">
        <v>187</v>
      </c>
      <c r="E6827" s="24">
        <v>66.6</v>
      </c>
      <c r="F6827" s="111" t="str">
        <f>DataPull!D6827</f>
        <v/>
      </c>
      <c r="G6827" s="94" t="str">
        <f t="shared" si="2"/>
        <v/>
      </c>
      <c r="H6827" s="94" t="str">
        <f t="shared" si="3"/>
        <v/>
      </c>
      <c r="I6827" s="94" t="str">
        <f t="shared" ref="I6827:J6827" si="6828">if(G6827 = "", , -G6827)</f>
        <v/>
      </c>
      <c r="J6827" s="94" t="str">
        <f t="shared" si="6828"/>
        <v/>
      </c>
      <c r="K6827" s="100"/>
      <c r="M6827" s="100"/>
      <c r="N6827" s="100"/>
      <c r="O6827" s="100"/>
      <c r="P6827" s="100"/>
    </row>
    <row r="6828">
      <c r="A6828" s="107">
        <v>1642434.0</v>
      </c>
      <c r="B6828" s="116" t="s">
        <v>246</v>
      </c>
      <c r="C6828" s="116" t="s">
        <v>1806</v>
      </c>
      <c r="D6828" s="24" t="s">
        <v>181</v>
      </c>
      <c r="E6828" s="24">
        <v>6.8</v>
      </c>
      <c r="F6828" s="111" t="str">
        <f>DataPull!D6828</f>
        <v/>
      </c>
      <c r="G6828" s="94" t="str">
        <f t="shared" si="2"/>
        <v/>
      </c>
      <c r="H6828" s="94" t="str">
        <f t="shared" si="3"/>
        <v/>
      </c>
      <c r="I6828" s="94" t="str">
        <f t="shared" ref="I6828:J6828" si="6829">if(G6828 = "", , -G6828)</f>
        <v/>
      </c>
      <c r="J6828" s="94" t="str">
        <f t="shared" si="6829"/>
        <v/>
      </c>
      <c r="K6828" s="100"/>
      <c r="M6828" s="100"/>
      <c r="N6828" s="100"/>
      <c r="O6828" s="100"/>
      <c r="P6828" s="100"/>
    </row>
    <row r="6829">
      <c r="A6829" s="114">
        <v>1642434.0</v>
      </c>
      <c r="B6829" s="131" t="s">
        <v>247</v>
      </c>
      <c r="C6829" s="131" t="s">
        <v>1806</v>
      </c>
      <c r="D6829" s="24" t="s">
        <v>181</v>
      </c>
      <c r="E6829" s="24">
        <v>58.5</v>
      </c>
      <c r="F6829" s="111" t="str">
        <f>DataPull!D6829</f>
        <v/>
      </c>
      <c r="G6829" s="94" t="str">
        <f t="shared" si="2"/>
        <v/>
      </c>
      <c r="H6829" s="94" t="str">
        <f t="shared" si="3"/>
        <v/>
      </c>
      <c r="I6829" s="94" t="str">
        <f t="shared" ref="I6829:J6829" si="6830">if(G6829 = "", , -G6829)</f>
        <v/>
      </c>
      <c r="J6829" s="94" t="str">
        <f t="shared" si="6830"/>
        <v/>
      </c>
      <c r="K6829" s="100"/>
      <c r="M6829" s="100"/>
      <c r="N6829" s="100"/>
      <c r="O6829" s="100"/>
      <c r="P6829" s="100"/>
    </row>
    <row r="6830">
      <c r="A6830" s="107">
        <v>1642439.0</v>
      </c>
      <c r="B6830" s="116" t="s">
        <v>246</v>
      </c>
      <c r="C6830" s="116" t="s">
        <v>1807</v>
      </c>
      <c r="D6830" s="24" t="s">
        <v>181</v>
      </c>
      <c r="E6830" s="24">
        <v>10.4</v>
      </c>
      <c r="F6830" s="111" t="str">
        <f>DataPull!D6830</f>
        <v/>
      </c>
      <c r="G6830" s="94" t="str">
        <f t="shared" si="2"/>
        <v/>
      </c>
      <c r="H6830" s="94" t="str">
        <f t="shared" si="3"/>
        <v/>
      </c>
      <c r="I6830" s="94" t="str">
        <f t="shared" ref="I6830:J6830" si="6831">if(G6830 = "", , -G6830)</f>
        <v/>
      </c>
      <c r="J6830" s="94" t="str">
        <f t="shared" si="6831"/>
        <v/>
      </c>
      <c r="K6830" s="100"/>
      <c r="M6830" s="100"/>
      <c r="N6830" s="100"/>
      <c r="O6830" s="100"/>
      <c r="P6830" s="100"/>
    </row>
    <row r="6831">
      <c r="A6831" s="123">
        <v>1642443.0</v>
      </c>
      <c r="B6831" s="132" t="s">
        <v>246</v>
      </c>
      <c r="C6831" s="133" t="s">
        <v>1808</v>
      </c>
      <c r="D6831" s="24" t="s">
        <v>181</v>
      </c>
      <c r="E6831" s="24">
        <v>29.4</v>
      </c>
      <c r="F6831" s="111" t="str">
        <f>DataPull!D6831</f>
        <v/>
      </c>
      <c r="G6831" s="94" t="str">
        <f t="shared" si="2"/>
        <v/>
      </c>
      <c r="H6831" s="94" t="str">
        <f t="shared" si="3"/>
        <v/>
      </c>
      <c r="I6831" s="94" t="str">
        <f t="shared" ref="I6831:J6831" si="6832">if(G6831 = "", , -G6831)</f>
        <v/>
      </c>
      <c r="J6831" s="94" t="str">
        <f t="shared" si="6832"/>
        <v/>
      </c>
      <c r="K6831" s="100"/>
      <c r="M6831" s="100"/>
      <c r="N6831" s="100"/>
      <c r="O6831" s="100"/>
      <c r="P6831" s="100"/>
    </row>
    <row r="6832">
      <c r="A6832" s="114">
        <v>1642443.0</v>
      </c>
      <c r="B6832" s="131" t="s">
        <v>247</v>
      </c>
      <c r="C6832" s="131" t="s">
        <v>1808</v>
      </c>
      <c r="D6832" s="24" t="s">
        <v>187</v>
      </c>
      <c r="E6832" s="24">
        <v>58.8</v>
      </c>
      <c r="F6832" s="111" t="str">
        <f>DataPull!D6832</f>
        <v/>
      </c>
      <c r="G6832" s="94" t="str">
        <f t="shared" si="2"/>
        <v/>
      </c>
      <c r="H6832" s="94" t="str">
        <f t="shared" si="3"/>
        <v/>
      </c>
      <c r="I6832" s="94" t="str">
        <f t="shared" ref="I6832:J6832" si="6833">if(G6832 = "", , -G6832)</f>
        <v/>
      </c>
      <c r="J6832" s="94" t="str">
        <f t="shared" si="6833"/>
        <v/>
      </c>
      <c r="K6832" s="100"/>
      <c r="M6832" s="100"/>
      <c r="N6832" s="100"/>
      <c r="O6832" s="100"/>
      <c r="P6832" s="100"/>
    </row>
    <row r="6833">
      <c r="A6833" s="123">
        <v>1642449.0</v>
      </c>
      <c r="B6833" s="132" t="s">
        <v>246</v>
      </c>
      <c r="C6833" s="133" t="s">
        <v>1809</v>
      </c>
      <c r="D6833" s="142" t="s">
        <v>181</v>
      </c>
      <c r="E6833" s="142">
        <v>22.4</v>
      </c>
      <c r="F6833" s="111" t="str">
        <f>DataPull!D6833</f>
        <v/>
      </c>
      <c r="G6833" s="94" t="str">
        <f t="shared" si="2"/>
        <v/>
      </c>
      <c r="H6833" s="94" t="str">
        <f t="shared" si="3"/>
        <v/>
      </c>
      <c r="I6833" s="94" t="str">
        <f t="shared" ref="I6833:J6833" si="6834">if(G6833 = "", , -G6833)</f>
        <v/>
      </c>
      <c r="J6833" s="94" t="str">
        <f t="shared" si="6834"/>
        <v/>
      </c>
      <c r="K6833" s="100"/>
      <c r="M6833" s="100"/>
      <c r="N6833" s="100"/>
      <c r="O6833" s="100"/>
      <c r="P6833" s="100"/>
    </row>
    <row r="6834">
      <c r="A6834" s="114">
        <v>1642449.0</v>
      </c>
      <c r="B6834" s="131" t="s">
        <v>247</v>
      </c>
      <c r="C6834" s="131" t="s">
        <v>1809</v>
      </c>
      <c r="D6834" s="24" t="s">
        <v>177</v>
      </c>
      <c r="E6834" s="24">
        <v>138.0</v>
      </c>
      <c r="F6834" s="111" t="str">
        <f>DataPull!D6834</f>
        <v/>
      </c>
      <c r="G6834" s="94" t="str">
        <f t="shared" si="2"/>
        <v/>
      </c>
      <c r="H6834" s="94" t="str">
        <f t="shared" si="3"/>
        <v/>
      </c>
      <c r="I6834" s="94" t="str">
        <f t="shared" ref="I6834:J6834" si="6835">if(G6834 = "", , -G6834)</f>
        <v/>
      </c>
      <c r="J6834" s="94" t="str">
        <f t="shared" si="6835"/>
        <v/>
      </c>
      <c r="K6834" s="100"/>
      <c r="M6834" s="100"/>
      <c r="N6834" s="100"/>
      <c r="O6834" s="100"/>
      <c r="P6834" s="100"/>
    </row>
    <row r="6835">
      <c r="A6835" s="107">
        <v>1642450.0</v>
      </c>
      <c r="B6835" s="116" t="s">
        <v>246</v>
      </c>
      <c r="C6835" s="116" t="s">
        <v>1810</v>
      </c>
      <c r="D6835" s="24" t="s">
        <v>181</v>
      </c>
      <c r="E6835" s="24">
        <v>22.4</v>
      </c>
      <c r="F6835" s="111" t="str">
        <f>DataPull!D6835</f>
        <v/>
      </c>
      <c r="G6835" s="94" t="str">
        <f t="shared" si="2"/>
        <v/>
      </c>
      <c r="H6835" s="94" t="str">
        <f t="shared" si="3"/>
        <v/>
      </c>
      <c r="I6835" s="94" t="str">
        <f t="shared" ref="I6835:J6835" si="6836">if(G6835 = "", , -G6835)</f>
        <v/>
      </c>
      <c r="J6835" s="94" t="str">
        <f t="shared" si="6836"/>
        <v/>
      </c>
      <c r="K6835" s="100"/>
      <c r="M6835" s="100"/>
      <c r="N6835" s="100"/>
      <c r="O6835" s="100"/>
      <c r="P6835" s="100"/>
    </row>
    <row r="6836">
      <c r="A6836" s="114">
        <v>1642450.0</v>
      </c>
      <c r="B6836" s="131" t="s">
        <v>247</v>
      </c>
      <c r="C6836" s="131" t="s">
        <v>1810</v>
      </c>
      <c r="D6836" s="24" t="s">
        <v>177</v>
      </c>
      <c r="E6836" s="24">
        <v>1454.4</v>
      </c>
      <c r="F6836" s="111" t="str">
        <f>DataPull!D6836</f>
        <v/>
      </c>
      <c r="G6836" s="94" t="str">
        <f t="shared" si="2"/>
        <v/>
      </c>
      <c r="H6836" s="94" t="str">
        <f t="shared" si="3"/>
        <v/>
      </c>
      <c r="I6836" s="94" t="str">
        <f t="shared" ref="I6836:J6836" si="6837">if(G6836 = "", , -G6836)</f>
        <v/>
      </c>
      <c r="J6836" s="94" t="str">
        <f t="shared" si="6837"/>
        <v/>
      </c>
      <c r="K6836" s="100"/>
      <c r="M6836" s="100"/>
      <c r="N6836" s="100"/>
      <c r="O6836" s="100"/>
      <c r="P6836" s="100"/>
    </row>
    <row r="6837">
      <c r="A6837" s="107">
        <v>1642461.0</v>
      </c>
      <c r="B6837" s="116" t="s">
        <v>246</v>
      </c>
      <c r="C6837" s="116" t="s">
        <v>1811</v>
      </c>
      <c r="D6837" s="24" t="s">
        <v>187</v>
      </c>
      <c r="E6837" s="24">
        <v>124.0</v>
      </c>
      <c r="F6837" s="111" t="str">
        <f>DataPull!D6837</f>
        <v/>
      </c>
      <c r="G6837" s="94" t="str">
        <f t="shared" si="2"/>
        <v/>
      </c>
      <c r="H6837" s="94" t="str">
        <f t="shared" si="3"/>
        <v/>
      </c>
      <c r="I6837" s="94" t="str">
        <f t="shared" ref="I6837:J6837" si="6838">if(G6837 = "", , -G6837)</f>
        <v/>
      </c>
      <c r="J6837" s="94" t="str">
        <f t="shared" si="6838"/>
        <v/>
      </c>
      <c r="K6837" s="100"/>
      <c r="M6837" s="100"/>
      <c r="N6837" s="100"/>
      <c r="O6837" s="100"/>
      <c r="P6837" s="100"/>
    </row>
    <row r="6838">
      <c r="A6838" s="114">
        <v>1642461.0</v>
      </c>
      <c r="B6838" s="131" t="s">
        <v>247</v>
      </c>
      <c r="C6838" s="131" t="s">
        <v>1811</v>
      </c>
      <c r="D6838" s="24" t="s">
        <v>176</v>
      </c>
      <c r="E6838" s="24">
        <v>1414.4</v>
      </c>
      <c r="F6838" s="111" t="str">
        <f>DataPull!D6838</f>
        <v/>
      </c>
      <c r="G6838" s="94" t="str">
        <f t="shared" si="2"/>
        <v/>
      </c>
      <c r="H6838" s="94" t="str">
        <f t="shared" si="3"/>
        <v/>
      </c>
      <c r="I6838" s="94" t="str">
        <f t="shared" ref="I6838:J6838" si="6839">if(G6838 = "", , -G6838)</f>
        <v/>
      </c>
      <c r="J6838" s="94" t="str">
        <f t="shared" si="6839"/>
        <v/>
      </c>
      <c r="K6838" s="100"/>
      <c r="M6838" s="100"/>
      <c r="N6838" s="100"/>
      <c r="O6838" s="100"/>
      <c r="P6838" s="100"/>
    </row>
    <row r="6839">
      <c r="A6839" s="123">
        <v>1642484.0</v>
      </c>
      <c r="B6839" s="132" t="s">
        <v>246</v>
      </c>
      <c r="C6839" s="133" t="s">
        <v>1812</v>
      </c>
      <c r="D6839" s="24" t="s">
        <v>187</v>
      </c>
      <c r="E6839" s="24">
        <v>70.4</v>
      </c>
      <c r="F6839" s="111" t="str">
        <f>DataPull!D6839</f>
        <v/>
      </c>
      <c r="G6839" s="94" t="str">
        <f t="shared" si="2"/>
        <v/>
      </c>
      <c r="H6839" s="94" t="str">
        <f t="shared" si="3"/>
        <v/>
      </c>
      <c r="I6839" s="94" t="str">
        <f t="shared" ref="I6839:J6839" si="6840">if(G6839 = "", , -G6839)</f>
        <v/>
      </c>
      <c r="J6839" s="94" t="str">
        <f t="shared" si="6840"/>
        <v/>
      </c>
      <c r="K6839" s="100"/>
      <c r="M6839" s="100"/>
      <c r="N6839" s="100"/>
      <c r="O6839" s="100"/>
      <c r="P6839" s="100"/>
    </row>
    <row r="6840">
      <c r="A6840" s="114">
        <v>1642484.0</v>
      </c>
      <c r="B6840" s="131" t="s">
        <v>247</v>
      </c>
      <c r="C6840" s="131" t="s">
        <v>1812</v>
      </c>
      <c r="D6840" s="24" t="s">
        <v>177</v>
      </c>
      <c r="E6840" s="24">
        <v>205.7</v>
      </c>
      <c r="F6840" s="111" t="str">
        <f>DataPull!D6840</f>
        <v/>
      </c>
      <c r="G6840" s="94" t="str">
        <f t="shared" si="2"/>
        <v/>
      </c>
      <c r="H6840" s="94" t="str">
        <f t="shared" si="3"/>
        <v/>
      </c>
      <c r="I6840" s="94" t="str">
        <f t="shared" ref="I6840:J6840" si="6841">if(G6840 = "", , -G6840)</f>
        <v/>
      </c>
      <c r="J6840" s="94" t="str">
        <f t="shared" si="6841"/>
        <v/>
      </c>
      <c r="K6840" s="100"/>
      <c r="M6840" s="100"/>
      <c r="N6840" s="100"/>
      <c r="O6840" s="100"/>
      <c r="P6840" s="100"/>
    </row>
    <row r="6841">
      <c r="A6841" s="149">
        <v>1642486.0</v>
      </c>
      <c r="B6841" s="116" t="s">
        <v>246</v>
      </c>
      <c r="C6841" s="140" t="s">
        <v>1813</v>
      </c>
      <c r="D6841" s="24"/>
      <c r="E6841" s="24"/>
      <c r="F6841" s="111" t="str">
        <f>DataPull!D6841</f>
        <v/>
      </c>
      <c r="G6841" s="94" t="str">
        <f t="shared" si="2"/>
        <v/>
      </c>
      <c r="H6841" s="94" t="str">
        <f t="shared" si="3"/>
        <v/>
      </c>
      <c r="I6841" s="94" t="str">
        <f t="shared" ref="I6841:J6841" si="6842">if(G6841 = "", , -G6841)</f>
        <v/>
      </c>
      <c r="J6841" s="94" t="str">
        <f t="shared" si="6842"/>
        <v/>
      </c>
      <c r="K6841" s="100"/>
      <c r="M6841" s="100"/>
      <c r="N6841" s="100"/>
      <c r="O6841" s="100"/>
      <c r="P6841" s="100"/>
    </row>
    <row r="6842">
      <c r="A6842" s="126">
        <v>1642490.0</v>
      </c>
      <c r="B6842" s="141" t="s">
        <v>247</v>
      </c>
      <c r="C6842" s="141" t="s">
        <v>1814</v>
      </c>
      <c r="D6842" s="24"/>
      <c r="E6842" s="24">
        <v>81.9</v>
      </c>
      <c r="F6842" s="111" t="str">
        <f>DataPull!D6842</f>
        <v/>
      </c>
      <c r="G6842" s="94" t="str">
        <f t="shared" si="2"/>
        <v/>
      </c>
      <c r="H6842" s="94" t="str">
        <f t="shared" si="3"/>
        <v/>
      </c>
      <c r="I6842" s="94" t="str">
        <f t="shared" ref="I6842:J6842" si="6843">if(G6842 = "", , -G6842)</f>
        <v/>
      </c>
      <c r="J6842" s="94" t="str">
        <f t="shared" si="6843"/>
        <v/>
      </c>
      <c r="K6842" s="100"/>
      <c r="M6842" s="100"/>
      <c r="N6842" s="100"/>
      <c r="O6842" s="100"/>
      <c r="P6842" s="100"/>
    </row>
    <row r="6843">
      <c r="A6843" s="107">
        <v>1642502.0</v>
      </c>
      <c r="B6843" s="116" t="s">
        <v>246</v>
      </c>
      <c r="C6843" s="116" t="s">
        <v>1815</v>
      </c>
      <c r="D6843" s="24" t="s">
        <v>181</v>
      </c>
      <c r="E6843" s="24">
        <v>21.0</v>
      </c>
      <c r="F6843" s="111" t="str">
        <f>DataPull!D6843</f>
        <v/>
      </c>
      <c r="G6843" s="94" t="str">
        <f t="shared" si="2"/>
        <v/>
      </c>
      <c r="H6843" s="94" t="str">
        <f t="shared" si="3"/>
        <v/>
      </c>
      <c r="I6843" s="94" t="str">
        <f t="shared" ref="I6843:J6843" si="6844">if(G6843 = "", , -G6843)</f>
        <v/>
      </c>
      <c r="J6843" s="94" t="str">
        <f t="shared" si="6844"/>
        <v/>
      </c>
      <c r="K6843" s="100"/>
      <c r="M6843" s="100"/>
      <c r="N6843" s="100"/>
      <c r="O6843" s="100"/>
      <c r="P6843" s="100"/>
    </row>
    <row r="6844">
      <c r="A6844" s="126">
        <v>1642502.0</v>
      </c>
      <c r="B6844" s="141" t="s">
        <v>247</v>
      </c>
      <c r="C6844" s="141" t="s">
        <v>1815</v>
      </c>
      <c r="D6844" s="24" t="s">
        <v>181</v>
      </c>
      <c r="E6844" s="24">
        <v>277.5</v>
      </c>
      <c r="F6844" s="111" t="str">
        <f>DataPull!D6844</f>
        <v/>
      </c>
      <c r="G6844" s="94" t="str">
        <f t="shared" si="2"/>
        <v/>
      </c>
      <c r="H6844" s="94" t="str">
        <f t="shared" si="3"/>
        <v/>
      </c>
      <c r="I6844" s="94" t="str">
        <f t="shared" ref="I6844:J6844" si="6845">if(G6844 = "", , -G6844)</f>
        <v/>
      </c>
      <c r="J6844" s="94" t="str">
        <f t="shared" si="6845"/>
        <v/>
      </c>
      <c r="K6844" s="100"/>
      <c r="M6844" s="100"/>
      <c r="N6844" s="100"/>
      <c r="O6844" s="100"/>
      <c r="P6844" s="100"/>
    </row>
    <row r="6845">
      <c r="A6845" s="126">
        <v>1642504.0</v>
      </c>
      <c r="B6845" s="141" t="s">
        <v>247</v>
      </c>
      <c r="C6845" s="141" t="s">
        <v>1816</v>
      </c>
      <c r="D6845" s="24"/>
      <c r="E6845" s="24">
        <v>270.6</v>
      </c>
      <c r="F6845" s="111" t="str">
        <f>DataPull!D6845</f>
        <v/>
      </c>
      <c r="G6845" s="94" t="str">
        <f t="shared" si="2"/>
        <v/>
      </c>
      <c r="H6845" s="94" t="str">
        <f t="shared" si="3"/>
        <v/>
      </c>
      <c r="I6845" s="94" t="str">
        <f t="shared" ref="I6845:J6845" si="6846">if(G6845 = "", , -G6845)</f>
        <v/>
      </c>
      <c r="J6845" s="94" t="str">
        <f t="shared" si="6846"/>
        <v/>
      </c>
      <c r="K6845" s="100"/>
      <c r="M6845" s="100"/>
      <c r="N6845" s="100"/>
      <c r="O6845" s="100"/>
      <c r="P6845" s="100"/>
    </row>
    <row r="6846">
      <c r="A6846" s="107">
        <v>1642505.0</v>
      </c>
      <c r="B6846" s="116" t="s">
        <v>246</v>
      </c>
      <c r="C6846" s="116" t="s">
        <v>1817</v>
      </c>
      <c r="D6846" s="24" t="s">
        <v>187</v>
      </c>
      <c r="E6846" s="24">
        <v>126.0</v>
      </c>
      <c r="F6846" s="111" t="str">
        <f>DataPull!D6846</f>
        <v/>
      </c>
      <c r="G6846" s="94" t="str">
        <f t="shared" si="2"/>
        <v/>
      </c>
      <c r="H6846" s="94" t="str">
        <f t="shared" si="3"/>
        <v/>
      </c>
      <c r="I6846" s="94" t="str">
        <f t="shared" ref="I6846:J6846" si="6847">if(G6846 = "", , -G6846)</f>
        <v/>
      </c>
      <c r="J6846" s="94" t="str">
        <f t="shared" si="6847"/>
        <v/>
      </c>
      <c r="K6846" s="100"/>
      <c r="M6846" s="100"/>
      <c r="N6846" s="100"/>
      <c r="O6846" s="100"/>
      <c r="P6846" s="100"/>
    </row>
    <row r="6847">
      <c r="A6847" s="107">
        <v>1642530.0</v>
      </c>
      <c r="B6847" s="116" t="s">
        <v>246</v>
      </c>
      <c r="C6847" s="116" t="s">
        <v>1818</v>
      </c>
      <c r="D6847" s="24" t="s">
        <v>187</v>
      </c>
      <c r="E6847" s="24">
        <v>92.4</v>
      </c>
      <c r="F6847" s="111" t="str">
        <f>DataPull!D6847</f>
        <v/>
      </c>
      <c r="G6847" s="94" t="str">
        <f t="shared" si="2"/>
        <v/>
      </c>
      <c r="H6847" s="94" t="str">
        <f t="shared" si="3"/>
        <v/>
      </c>
      <c r="I6847" s="94" t="str">
        <f t="shared" ref="I6847:J6847" si="6848">if(G6847 = "", , -G6847)</f>
        <v/>
      </c>
      <c r="J6847" s="94" t="str">
        <f t="shared" si="6848"/>
        <v/>
      </c>
      <c r="K6847" s="100"/>
      <c r="M6847" s="100"/>
      <c r="N6847" s="100"/>
      <c r="O6847" s="100"/>
      <c r="P6847" s="100"/>
    </row>
    <row r="6848">
      <c r="A6848" s="126">
        <v>1642530.0</v>
      </c>
      <c r="B6848" s="141" t="s">
        <v>247</v>
      </c>
      <c r="C6848" s="141" t="s">
        <v>1818</v>
      </c>
      <c r="D6848" s="24" t="s">
        <v>181</v>
      </c>
      <c r="E6848" s="24">
        <v>208.8</v>
      </c>
      <c r="F6848" s="111" t="str">
        <f>DataPull!D6848</f>
        <v/>
      </c>
      <c r="G6848" s="94" t="str">
        <f t="shared" si="2"/>
        <v/>
      </c>
      <c r="H6848" s="94" t="str">
        <f t="shared" si="3"/>
        <v/>
      </c>
      <c r="I6848" s="94" t="str">
        <f t="shared" ref="I6848:J6848" si="6849">if(G6848 = "", , -G6848)</f>
        <v/>
      </c>
      <c r="J6848" s="94" t="str">
        <f t="shared" si="6849"/>
        <v/>
      </c>
      <c r="K6848" s="100"/>
      <c r="M6848" s="100"/>
      <c r="N6848" s="100"/>
      <c r="O6848" s="100"/>
      <c r="P6848" s="100"/>
    </row>
    <row r="6849">
      <c r="A6849" s="114">
        <v>1642843.0</v>
      </c>
      <c r="B6849" s="131" t="s">
        <v>247</v>
      </c>
      <c r="C6849" s="131" t="s">
        <v>1819</v>
      </c>
      <c r="D6849" s="24" t="s">
        <v>178</v>
      </c>
      <c r="E6849" s="24">
        <v>2345.0</v>
      </c>
      <c r="F6849" s="111" t="str">
        <f>DataPull!D6849</f>
        <v/>
      </c>
      <c r="G6849" s="94" t="str">
        <f t="shared" si="2"/>
        <v/>
      </c>
      <c r="H6849" s="94" t="str">
        <f t="shared" si="3"/>
        <v/>
      </c>
      <c r="I6849" s="94" t="str">
        <f t="shared" ref="I6849:J6849" si="6850">if(G6849 = "", , -G6849)</f>
        <v/>
      </c>
      <c r="J6849" s="94" t="str">
        <f t="shared" si="6850"/>
        <v/>
      </c>
      <c r="K6849" s="100"/>
      <c r="M6849" s="100"/>
      <c r="N6849" s="100"/>
      <c r="O6849" s="100"/>
      <c r="P6849" s="100"/>
    </row>
    <row r="6850">
      <c r="A6850" s="114">
        <v>1642844.0</v>
      </c>
      <c r="B6850" s="131" t="s">
        <v>247</v>
      </c>
      <c r="C6850" s="131" t="s">
        <v>1820</v>
      </c>
      <c r="D6850" s="24" t="s">
        <v>176</v>
      </c>
      <c r="E6850" s="24">
        <v>1559.4</v>
      </c>
      <c r="F6850" s="111" t="str">
        <f>DataPull!D6850</f>
        <v/>
      </c>
      <c r="G6850" s="94" t="str">
        <f t="shared" si="2"/>
        <v/>
      </c>
      <c r="H6850" s="94" t="str">
        <f t="shared" si="3"/>
        <v/>
      </c>
      <c r="I6850" s="94" t="str">
        <f t="shared" ref="I6850:J6850" si="6851">if(G6850 = "", , -G6850)</f>
        <v/>
      </c>
      <c r="J6850" s="94" t="str">
        <f t="shared" si="6851"/>
        <v/>
      </c>
      <c r="K6850" s="100"/>
      <c r="M6850" s="100"/>
      <c r="N6850" s="100"/>
      <c r="O6850" s="100"/>
      <c r="P6850" s="100"/>
    </row>
    <row r="6851">
      <c r="A6851" s="114">
        <v>1642845.0</v>
      </c>
      <c r="B6851" s="131" t="s">
        <v>247</v>
      </c>
      <c r="C6851" s="131" t="s">
        <v>1821</v>
      </c>
      <c r="D6851" s="24" t="s">
        <v>178</v>
      </c>
      <c r="E6851" s="24">
        <v>2625.0</v>
      </c>
      <c r="F6851" s="111" t="str">
        <f>DataPull!D6851</f>
        <v/>
      </c>
      <c r="G6851" s="94" t="str">
        <f t="shared" si="2"/>
        <v/>
      </c>
      <c r="H6851" s="94" t="str">
        <f t="shared" si="3"/>
        <v/>
      </c>
      <c r="I6851" s="94" t="str">
        <f t="shared" ref="I6851:J6851" si="6852">if(G6851 = "", , -G6851)</f>
        <v/>
      </c>
      <c r="J6851" s="94" t="str">
        <f t="shared" si="6852"/>
        <v/>
      </c>
      <c r="K6851" s="100"/>
      <c r="M6851" s="100"/>
      <c r="N6851" s="100"/>
      <c r="O6851" s="100"/>
      <c r="P6851" s="100"/>
    </row>
    <row r="6852">
      <c r="A6852" s="114">
        <v>1642846.0</v>
      </c>
      <c r="B6852" s="131" t="s">
        <v>247</v>
      </c>
      <c r="C6852" s="131" t="s">
        <v>1822</v>
      </c>
      <c r="D6852" s="24" t="s">
        <v>178</v>
      </c>
      <c r="E6852" s="24">
        <v>1987.2</v>
      </c>
      <c r="F6852" s="111" t="str">
        <f>DataPull!D6852</f>
        <v/>
      </c>
      <c r="G6852" s="94" t="str">
        <f t="shared" si="2"/>
        <v/>
      </c>
      <c r="H6852" s="94" t="str">
        <f t="shared" si="3"/>
        <v/>
      </c>
      <c r="I6852" s="94" t="str">
        <f t="shared" ref="I6852:J6852" si="6853">if(G6852 = "", , -G6852)</f>
        <v/>
      </c>
      <c r="J6852" s="94" t="str">
        <f t="shared" si="6853"/>
        <v/>
      </c>
      <c r="K6852" s="100"/>
      <c r="M6852" s="100"/>
      <c r="N6852" s="100"/>
      <c r="O6852" s="100"/>
      <c r="P6852" s="100"/>
    </row>
    <row r="6853">
      <c r="A6853" s="114">
        <v>1642847.0</v>
      </c>
      <c r="B6853" s="131" t="s">
        <v>247</v>
      </c>
      <c r="C6853" s="131" t="s">
        <v>1823</v>
      </c>
      <c r="D6853" s="24" t="s">
        <v>176</v>
      </c>
      <c r="E6853" s="24">
        <v>2115.6</v>
      </c>
      <c r="F6853" s="111" t="str">
        <f>DataPull!D6853</f>
        <v/>
      </c>
      <c r="G6853" s="94" t="str">
        <f t="shared" si="2"/>
        <v/>
      </c>
      <c r="H6853" s="94" t="str">
        <f t="shared" si="3"/>
        <v/>
      </c>
      <c r="I6853" s="94" t="str">
        <f t="shared" ref="I6853:J6853" si="6854">if(G6853 = "", , -G6853)</f>
        <v/>
      </c>
      <c r="J6853" s="94" t="str">
        <f t="shared" si="6854"/>
        <v/>
      </c>
      <c r="K6853" s="100"/>
      <c r="M6853" s="100"/>
      <c r="N6853" s="100"/>
      <c r="O6853" s="100"/>
      <c r="P6853" s="100"/>
    </row>
    <row r="6854">
      <c r="A6854" s="114">
        <v>1642848.0</v>
      </c>
      <c r="B6854" s="131" t="s">
        <v>247</v>
      </c>
      <c r="C6854" s="131" t="s">
        <v>1824</v>
      </c>
      <c r="D6854" s="24" t="s">
        <v>176</v>
      </c>
      <c r="E6854" s="24">
        <v>1440.0</v>
      </c>
      <c r="F6854" s="111" t="str">
        <f>DataPull!D6854</f>
        <v/>
      </c>
      <c r="G6854" s="94" t="str">
        <f t="shared" si="2"/>
        <v/>
      </c>
      <c r="H6854" s="94" t="str">
        <f t="shared" si="3"/>
        <v/>
      </c>
      <c r="I6854" s="94" t="str">
        <f t="shared" ref="I6854:J6854" si="6855">if(G6854 = "", , -G6854)</f>
        <v/>
      </c>
      <c r="J6854" s="94" t="str">
        <f t="shared" si="6855"/>
        <v/>
      </c>
      <c r="K6854" s="100"/>
      <c r="M6854" s="100"/>
      <c r="N6854" s="100"/>
      <c r="O6854" s="100"/>
      <c r="P6854" s="100"/>
    </row>
    <row r="6855">
      <c r="A6855" s="114">
        <v>1642849.0</v>
      </c>
      <c r="B6855" s="131" t="s">
        <v>247</v>
      </c>
      <c r="C6855" s="131" t="s">
        <v>1825</v>
      </c>
      <c r="D6855" s="24" t="s">
        <v>176</v>
      </c>
      <c r="E6855" s="24">
        <v>1243.2</v>
      </c>
      <c r="F6855" s="111" t="str">
        <f>DataPull!D6855</f>
        <v/>
      </c>
      <c r="G6855" s="94" t="str">
        <f t="shared" si="2"/>
        <v/>
      </c>
      <c r="H6855" s="94" t="str">
        <f t="shared" si="3"/>
        <v/>
      </c>
      <c r="I6855" s="94" t="str">
        <f t="shared" ref="I6855:J6855" si="6856">if(G6855 = "", , -G6855)</f>
        <v/>
      </c>
      <c r="J6855" s="94" t="str">
        <f t="shared" si="6856"/>
        <v/>
      </c>
      <c r="K6855" s="100"/>
      <c r="M6855" s="100"/>
      <c r="N6855" s="100"/>
      <c r="O6855" s="100"/>
      <c r="P6855" s="100"/>
    </row>
    <row r="6856">
      <c r="A6856" s="114">
        <v>1642851.0</v>
      </c>
      <c r="B6856" s="131" t="s">
        <v>247</v>
      </c>
      <c r="C6856" s="131" t="s">
        <v>1826</v>
      </c>
      <c r="D6856" s="24" t="s">
        <v>178</v>
      </c>
      <c r="E6856" s="24">
        <v>2551.5</v>
      </c>
      <c r="F6856" s="111" t="str">
        <f>DataPull!D6856</f>
        <v/>
      </c>
      <c r="G6856" s="94" t="str">
        <f t="shared" si="2"/>
        <v/>
      </c>
      <c r="H6856" s="94" t="str">
        <f t="shared" si="3"/>
        <v/>
      </c>
      <c r="I6856" s="94" t="str">
        <f t="shared" ref="I6856:J6856" si="6857">if(G6856 = "", , -G6856)</f>
        <v/>
      </c>
      <c r="J6856" s="94" t="str">
        <f t="shared" si="6857"/>
        <v/>
      </c>
      <c r="K6856" s="100"/>
      <c r="M6856" s="100"/>
      <c r="N6856" s="100"/>
      <c r="O6856" s="100"/>
      <c r="P6856" s="100"/>
    </row>
    <row r="6857">
      <c r="A6857" s="114">
        <v>1642852.0</v>
      </c>
      <c r="B6857" s="131" t="s">
        <v>247</v>
      </c>
      <c r="C6857" s="131" t="s">
        <v>1827</v>
      </c>
      <c r="D6857" s="24" t="s">
        <v>178</v>
      </c>
      <c r="E6857" s="24">
        <v>2025.0</v>
      </c>
      <c r="F6857" s="111" t="str">
        <f>DataPull!D6857</f>
        <v/>
      </c>
      <c r="G6857" s="94" t="str">
        <f t="shared" si="2"/>
        <v/>
      </c>
      <c r="H6857" s="94" t="str">
        <f t="shared" si="3"/>
        <v/>
      </c>
      <c r="I6857" s="94" t="str">
        <f t="shared" ref="I6857:J6857" si="6858">if(G6857 = "", , -G6857)</f>
        <v/>
      </c>
      <c r="J6857" s="94" t="str">
        <f t="shared" si="6858"/>
        <v/>
      </c>
      <c r="K6857" s="100"/>
      <c r="M6857" s="100"/>
      <c r="N6857" s="100"/>
      <c r="O6857" s="100"/>
      <c r="P6857" s="100"/>
    </row>
    <row r="6858">
      <c r="A6858" s="114">
        <v>1642853.0</v>
      </c>
      <c r="B6858" s="131" t="s">
        <v>247</v>
      </c>
      <c r="C6858" s="131" t="s">
        <v>1828</v>
      </c>
      <c r="D6858" s="24" t="s">
        <v>187</v>
      </c>
      <c r="E6858" s="24">
        <v>671.0</v>
      </c>
      <c r="F6858" s="111" t="str">
        <f>DataPull!D6858</f>
        <v/>
      </c>
      <c r="G6858" s="94" t="str">
        <f t="shared" si="2"/>
        <v/>
      </c>
      <c r="H6858" s="94" t="str">
        <f t="shared" si="3"/>
        <v/>
      </c>
      <c r="I6858" s="94" t="str">
        <f t="shared" ref="I6858:J6858" si="6859">if(G6858 = "", , -G6858)</f>
        <v/>
      </c>
      <c r="J6858" s="94" t="str">
        <f t="shared" si="6859"/>
        <v/>
      </c>
      <c r="K6858" s="100"/>
      <c r="M6858" s="100"/>
      <c r="N6858" s="100"/>
      <c r="O6858" s="100"/>
      <c r="P6858" s="100"/>
    </row>
    <row r="6859">
      <c r="A6859" s="114">
        <v>1642854.0</v>
      </c>
      <c r="B6859" s="131" t="s">
        <v>247</v>
      </c>
      <c r="C6859" s="131" t="s">
        <v>1829</v>
      </c>
      <c r="D6859" s="24" t="s">
        <v>187</v>
      </c>
      <c r="E6859" s="24">
        <v>501.6</v>
      </c>
      <c r="F6859" s="111" t="str">
        <f>DataPull!D6859</f>
        <v/>
      </c>
      <c r="G6859" s="94" t="str">
        <f t="shared" si="2"/>
        <v/>
      </c>
      <c r="H6859" s="94" t="str">
        <f t="shared" si="3"/>
        <v/>
      </c>
      <c r="I6859" s="94" t="str">
        <f t="shared" ref="I6859:J6859" si="6860">if(G6859 = "", , -G6859)</f>
        <v/>
      </c>
      <c r="J6859" s="94" t="str">
        <f t="shared" si="6860"/>
        <v/>
      </c>
      <c r="K6859" s="100"/>
      <c r="M6859" s="100"/>
      <c r="N6859" s="100"/>
      <c r="O6859" s="100"/>
      <c r="P6859" s="100"/>
    </row>
    <row r="6860">
      <c r="A6860" s="89">
        <v>1642855.0</v>
      </c>
      <c r="B6860" s="131" t="s">
        <v>247</v>
      </c>
      <c r="C6860" s="131" t="s">
        <v>1830</v>
      </c>
      <c r="D6860" s="24" t="s">
        <v>181</v>
      </c>
      <c r="E6860" s="24">
        <v>6.0</v>
      </c>
      <c r="F6860" s="111" t="str">
        <f>DataPull!D6860</f>
        <v/>
      </c>
      <c r="G6860" s="94" t="str">
        <f t="shared" si="2"/>
        <v/>
      </c>
      <c r="H6860" s="94" t="str">
        <f t="shared" si="3"/>
        <v/>
      </c>
      <c r="I6860" s="94" t="str">
        <f t="shared" ref="I6860:J6860" si="6861">if(G6860 = "", , -G6860)</f>
        <v/>
      </c>
      <c r="J6860" s="94" t="str">
        <f t="shared" si="6861"/>
        <v/>
      </c>
      <c r="K6860" s="100"/>
      <c r="M6860" s="100"/>
      <c r="N6860" s="100"/>
      <c r="O6860" s="100"/>
      <c r="P6860" s="100"/>
    </row>
    <row r="6861">
      <c r="A6861" s="114">
        <v>1642856.0</v>
      </c>
      <c r="B6861" s="131" t="s">
        <v>247</v>
      </c>
      <c r="C6861" s="131" t="s">
        <v>1831</v>
      </c>
      <c r="D6861" s="24" t="s">
        <v>178</v>
      </c>
      <c r="E6861" s="24">
        <v>1310.4</v>
      </c>
      <c r="F6861" s="111" t="str">
        <f>DataPull!D6861</f>
        <v/>
      </c>
      <c r="G6861" s="94" t="str">
        <f t="shared" si="2"/>
        <v/>
      </c>
      <c r="H6861" s="94" t="str">
        <f t="shared" si="3"/>
        <v/>
      </c>
      <c r="I6861" s="94" t="str">
        <f t="shared" ref="I6861:J6861" si="6862">if(G6861 = "", , -G6861)</f>
        <v/>
      </c>
      <c r="J6861" s="94" t="str">
        <f t="shared" si="6862"/>
        <v/>
      </c>
      <c r="K6861" s="100"/>
      <c r="M6861" s="100"/>
      <c r="N6861" s="100"/>
      <c r="O6861" s="100"/>
      <c r="P6861" s="100"/>
    </row>
    <row r="6862">
      <c r="A6862" s="89">
        <v>1642857.0</v>
      </c>
      <c r="B6862" s="131" t="s">
        <v>247</v>
      </c>
      <c r="C6862" s="131" t="s">
        <v>1832</v>
      </c>
      <c r="D6862" s="24" t="s">
        <v>177</v>
      </c>
      <c r="E6862" s="24">
        <v>943.4</v>
      </c>
      <c r="F6862" s="111" t="str">
        <f>DataPull!D6862</f>
        <v/>
      </c>
      <c r="G6862" s="94" t="str">
        <f t="shared" si="2"/>
        <v/>
      </c>
      <c r="H6862" s="94" t="str">
        <f t="shared" si="3"/>
        <v/>
      </c>
      <c r="I6862" s="94" t="str">
        <f t="shared" ref="I6862:J6862" si="6863">if(G6862 = "", , -G6862)</f>
        <v/>
      </c>
      <c r="J6862" s="94" t="str">
        <f t="shared" si="6863"/>
        <v/>
      </c>
      <c r="K6862" s="100"/>
      <c r="M6862" s="100"/>
      <c r="N6862" s="100"/>
      <c r="O6862" s="100"/>
      <c r="P6862" s="100"/>
    </row>
    <row r="6863">
      <c r="A6863" s="114">
        <v>1642859.0</v>
      </c>
      <c r="B6863" s="131" t="s">
        <v>247</v>
      </c>
      <c r="C6863" s="131" t="s">
        <v>1833</v>
      </c>
      <c r="D6863" s="24" t="s">
        <v>177</v>
      </c>
      <c r="E6863" s="24">
        <v>588.6</v>
      </c>
      <c r="F6863" s="111" t="str">
        <f>DataPull!D6863</f>
        <v/>
      </c>
      <c r="G6863" s="94" t="str">
        <f t="shared" si="2"/>
        <v/>
      </c>
      <c r="H6863" s="94" t="str">
        <f t="shared" si="3"/>
        <v/>
      </c>
      <c r="I6863" s="94" t="str">
        <f t="shared" ref="I6863:J6863" si="6864">if(G6863 = "", , -G6863)</f>
        <v/>
      </c>
      <c r="J6863" s="94" t="str">
        <f t="shared" si="6864"/>
        <v/>
      </c>
      <c r="K6863" s="100"/>
      <c r="M6863" s="100"/>
      <c r="N6863" s="100"/>
      <c r="O6863" s="100"/>
      <c r="P6863" s="100"/>
    </row>
    <row r="6864">
      <c r="A6864" s="114">
        <v>1642860.0</v>
      </c>
      <c r="B6864" s="131" t="s">
        <v>247</v>
      </c>
      <c r="C6864" s="131" t="s">
        <v>1834</v>
      </c>
      <c r="D6864" s="24" t="s">
        <v>177</v>
      </c>
      <c r="E6864" s="24">
        <v>1635.4</v>
      </c>
      <c r="F6864" s="111" t="str">
        <f>DataPull!D6864</f>
        <v/>
      </c>
      <c r="G6864" s="94" t="str">
        <f t="shared" si="2"/>
        <v/>
      </c>
      <c r="H6864" s="94" t="str">
        <f t="shared" si="3"/>
        <v/>
      </c>
      <c r="I6864" s="94" t="str">
        <f t="shared" ref="I6864:J6864" si="6865">if(G6864 = "", , -G6864)</f>
        <v/>
      </c>
      <c r="J6864" s="94" t="str">
        <f t="shared" si="6865"/>
        <v/>
      </c>
      <c r="K6864" s="100"/>
      <c r="M6864" s="100"/>
      <c r="N6864" s="100"/>
      <c r="O6864" s="100"/>
      <c r="P6864" s="100"/>
    </row>
    <row r="6865">
      <c r="A6865" s="114">
        <v>1642862.0</v>
      </c>
      <c r="B6865" s="131" t="s">
        <v>247</v>
      </c>
      <c r="C6865" s="131" t="s">
        <v>1835</v>
      </c>
      <c r="D6865" s="24" t="s">
        <v>177</v>
      </c>
      <c r="E6865" s="24">
        <v>368.9</v>
      </c>
      <c r="F6865" s="111" t="str">
        <f>DataPull!D6865</f>
        <v/>
      </c>
      <c r="G6865" s="94" t="str">
        <f t="shared" si="2"/>
        <v/>
      </c>
      <c r="H6865" s="94" t="str">
        <f t="shared" si="3"/>
        <v/>
      </c>
      <c r="I6865" s="94" t="str">
        <f t="shared" ref="I6865:J6865" si="6866">if(G6865 = "", , -G6865)</f>
        <v/>
      </c>
      <c r="J6865" s="94" t="str">
        <f t="shared" si="6866"/>
        <v/>
      </c>
      <c r="K6865" s="100"/>
      <c r="M6865" s="100"/>
      <c r="N6865" s="100"/>
      <c r="O6865" s="100"/>
      <c r="P6865" s="100"/>
    </row>
    <row r="6866">
      <c r="A6866" s="114">
        <v>1642863.0</v>
      </c>
      <c r="B6866" s="131" t="s">
        <v>247</v>
      </c>
      <c r="C6866" s="131" t="s">
        <v>1836</v>
      </c>
      <c r="D6866" s="24" t="s">
        <v>187</v>
      </c>
      <c r="E6866" s="24">
        <v>409.4</v>
      </c>
      <c r="F6866" s="111" t="str">
        <f>DataPull!D6866</f>
        <v/>
      </c>
      <c r="G6866" s="94" t="str">
        <f t="shared" si="2"/>
        <v/>
      </c>
      <c r="H6866" s="94" t="str">
        <f t="shared" si="3"/>
        <v/>
      </c>
      <c r="I6866" s="94" t="str">
        <f t="shared" ref="I6866:J6866" si="6867">if(G6866 = "", , -G6866)</f>
        <v/>
      </c>
      <c r="J6866" s="94" t="str">
        <f t="shared" si="6867"/>
        <v/>
      </c>
      <c r="K6866" s="100"/>
      <c r="M6866" s="100"/>
      <c r="N6866" s="100"/>
      <c r="O6866" s="100"/>
      <c r="P6866" s="100"/>
    </row>
    <row r="6867">
      <c r="A6867" s="114">
        <v>1642864.0</v>
      </c>
      <c r="B6867" s="131" t="s">
        <v>247</v>
      </c>
      <c r="C6867" s="131" t="s">
        <v>1837</v>
      </c>
      <c r="D6867" s="24" t="s">
        <v>177</v>
      </c>
      <c r="E6867" s="24">
        <v>1080.4</v>
      </c>
      <c r="F6867" s="111" t="str">
        <f>DataPull!D6867</f>
        <v/>
      </c>
      <c r="G6867" s="94" t="str">
        <f t="shared" si="2"/>
        <v/>
      </c>
      <c r="H6867" s="94" t="str">
        <f t="shared" si="3"/>
        <v/>
      </c>
      <c r="I6867" s="94" t="str">
        <f t="shared" ref="I6867:J6867" si="6868">if(G6867 = "", , -G6867)</f>
        <v/>
      </c>
      <c r="J6867" s="94" t="str">
        <f t="shared" si="6868"/>
        <v/>
      </c>
      <c r="K6867" s="100"/>
      <c r="M6867" s="100"/>
      <c r="N6867" s="100"/>
      <c r="O6867" s="100"/>
      <c r="P6867" s="100"/>
    </row>
    <row r="6868">
      <c r="A6868" s="114">
        <v>1642866.0</v>
      </c>
      <c r="B6868" s="131" t="s">
        <v>247</v>
      </c>
      <c r="C6868" s="131" t="s">
        <v>1838</v>
      </c>
      <c r="D6868" s="24" t="s">
        <v>187</v>
      </c>
      <c r="E6868" s="24">
        <v>316.0</v>
      </c>
      <c r="F6868" s="111" t="str">
        <f>DataPull!D6868</f>
        <v/>
      </c>
      <c r="G6868" s="94" t="str">
        <f t="shared" si="2"/>
        <v/>
      </c>
      <c r="H6868" s="94" t="str">
        <f t="shared" si="3"/>
        <v/>
      </c>
      <c r="I6868" s="94" t="str">
        <f t="shared" ref="I6868:J6868" si="6869">if(G6868 = "", , -G6868)</f>
        <v/>
      </c>
      <c r="J6868" s="94" t="str">
        <f t="shared" si="6869"/>
        <v/>
      </c>
      <c r="K6868" s="100"/>
      <c r="M6868" s="100"/>
      <c r="N6868" s="100"/>
      <c r="O6868" s="100"/>
      <c r="P6868" s="100"/>
    </row>
    <row r="6869">
      <c r="A6869" s="114">
        <v>1642867.0</v>
      </c>
      <c r="B6869" s="131" t="s">
        <v>247</v>
      </c>
      <c r="C6869" s="131" t="s">
        <v>1839</v>
      </c>
      <c r="D6869" s="24" t="s">
        <v>176</v>
      </c>
      <c r="E6869" s="24">
        <v>1248.3</v>
      </c>
      <c r="F6869" s="111" t="str">
        <f>DataPull!D6869</f>
        <v/>
      </c>
      <c r="G6869" s="94" t="str">
        <f t="shared" si="2"/>
        <v/>
      </c>
      <c r="H6869" s="94" t="str">
        <f t="shared" si="3"/>
        <v/>
      </c>
      <c r="I6869" s="94" t="str">
        <f t="shared" ref="I6869:J6869" si="6870">if(G6869 = "", , -G6869)</f>
        <v/>
      </c>
      <c r="J6869" s="94" t="str">
        <f t="shared" si="6870"/>
        <v/>
      </c>
      <c r="K6869" s="100"/>
      <c r="M6869" s="100"/>
      <c r="N6869" s="100"/>
      <c r="O6869" s="100"/>
      <c r="P6869" s="100"/>
    </row>
    <row r="6870">
      <c r="A6870" s="114">
        <v>1642868.0</v>
      </c>
      <c r="B6870" s="131" t="s">
        <v>247</v>
      </c>
      <c r="C6870" s="131" t="s">
        <v>1840</v>
      </c>
      <c r="D6870" s="24" t="s">
        <v>187</v>
      </c>
      <c r="E6870" s="24">
        <v>816.5</v>
      </c>
      <c r="F6870" s="111" t="str">
        <f>DataPull!D6870</f>
        <v/>
      </c>
      <c r="G6870" s="94" t="str">
        <f t="shared" si="2"/>
        <v/>
      </c>
      <c r="H6870" s="94" t="str">
        <f t="shared" si="3"/>
        <v/>
      </c>
      <c r="I6870" s="94" t="str">
        <f t="shared" ref="I6870:J6870" si="6871">if(G6870 = "", , -G6870)</f>
        <v/>
      </c>
      <c r="J6870" s="94" t="str">
        <f t="shared" si="6871"/>
        <v/>
      </c>
      <c r="K6870" s="100"/>
      <c r="M6870" s="100"/>
      <c r="N6870" s="100"/>
      <c r="O6870" s="100"/>
      <c r="P6870" s="100"/>
    </row>
    <row r="6871">
      <c r="A6871" s="114">
        <v>1642869.0</v>
      </c>
      <c r="B6871" s="131" t="s">
        <v>247</v>
      </c>
      <c r="C6871" s="131" t="s">
        <v>1841</v>
      </c>
      <c r="D6871" s="24" t="s">
        <v>177</v>
      </c>
      <c r="E6871" s="24">
        <v>755.2</v>
      </c>
      <c r="F6871" s="111" t="str">
        <f>DataPull!D6871</f>
        <v/>
      </c>
      <c r="G6871" s="94" t="str">
        <f t="shared" si="2"/>
        <v/>
      </c>
      <c r="H6871" s="94" t="str">
        <f t="shared" si="3"/>
        <v/>
      </c>
      <c r="I6871" s="94" t="str">
        <f t="shared" ref="I6871:J6871" si="6872">if(G6871 = "", , -G6871)</f>
        <v/>
      </c>
      <c r="J6871" s="94" t="str">
        <f t="shared" si="6872"/>
        <v/>
      </c>
      <c r="K6871" s="100"/>
      <c r="M6871" s="100"/>
      <c r="N6871" s="100"/>
      <c r="O6871" s="100"/>
      <c r="P6871" s="100"/>
    </row>
    <row r="6872">
      <c r="A6872" s="114">
        <v>1642873.0</v>
      </c>
      <c r="B6872" s="131" t="s">
        <v>247</v>
      </c>
      <c r="C6872" s="131" t="s">
        <v>1842</v>
      </c>
      <c r="D6872" s="24" t="s">
        <v>187</v>
      </c>
      <c r="E6872" s="24">
        <v>145.2</v>
      </c>
      <c r="F6872" s="111" t="str">
        <f>DataPull!D6872</f>
        <v/>
      </c>
      <c r="G6872" s="94" t="str">
        <f t="shared" si="2"/>
        <v/>
      </c>
      <c r="H6872" s="94" t="str">
        <f t="shared" si="3"/>
        <v/>
      </c>
      <c r="I6872" s="94" t="str">
        <f t="shared" ref="I6872:J6872" si="6873">if(G6872 = "", , -G6872)</f>
        <v/>
      </c>
      <c r="J6872" s="94" t="str">
        <f t="shared" si="6873"/>
        <v/>
      </c>
      <c r="K6872" s="100"/>
      <c r="M6872" s="100"/>
      <c r="N6872" s="100"/>
      <c r="O6872" s="100"/>
      <c r="P6872" s="100"/>
    </row>
    <row r="6873">
      <c r="A6873" s="114">
        <v>1642874.0</v>
      </c>
      <c r="B6873" s="131" t="s">
        <v>247</v>
      </c>
      <c r="C6873" s="131" t="s">
        <v>1843</v>
      </c>
      <c r="D6873" s="24" t="s">
        <v>176</v>
      </c>
      <c r="E6873" s="24">
        <v>1185.6</v>
      </c>
      <c r="F6873" s="111" t="str">
        <f>DataPull!D6873</f>
        <v/>
      </c>
      <c r="G6873" s="94" t="str">
        <f t="shared" si="2"/>
        <v/>
      </c>
      <c r="H6873" s="94" t="str">
        <f t="shared" si="3"/>
        <v/>
      </c>
      <c r="I6873" s="94" t="str">
        <f t="shared" ref="I6873:J6873" si="6874">if(G6873 = "", , -G6873)</f>
        <v/>
      </c>
      <c r="J6873" s="94" t="str">
        <f t="shared" si="6874"/>
        <v/>
      </c>
      <c r="K6873" s="100"/>
      <c r="M6873" s="100"/>
      <c r="N6873" s="100"/>
      <c r="O6873" s="100"/>
      <c r="P6873" s="100"/>
    </row>
    <row r="6874">
      <c r="A6874" s="114">
        <v>1642875.0</v>
      </c>
      <c r="B6874" s="131" t="s">
        <v>247</v>
      </c>
      <c r="C6874" s="131" t="s">
        <v>1844</v>
      </c>
      <c r="D6874" s="24" t="s">
        <v>176</v>
      </c>
      <c r="E6874" s="24">
        <v>1961.0</v>
      </c>
      <c r="F6874" s="111" t="str">
        <f>DataPull!D6874</f>
        <v/>
      </c>
      <c r="G6874" s="94" t="str">
        <f t="shared" si="2"/>
        <v/>
      </c>
      <c r="H6874" s="94" t="str">
        <f t="shared" si="3"/>
        <v/>
      </c>
      <c r="I6874" s="94" t="str">
        <f t="shared" ref="I6874:J6874" si="6875">if(G6874 = "", , -G6874)</f>
        <v/>
      </c>
      <c r="J6874" s="94" t="str">
        <f t="shared" si="6875"/>
        <v/>
      </c>
      <c r="K6874" s="100"/>
      <c r="M6874" s="100"/>
      <c r="N6874" s="100"/>
      <c r="O6874" s="100"/>
      <c r="P6874" s="100"/>
    </row>
    <row r="6875">
      <c r="A6875" s="89">
        <v>1642876.0</v>
      </c>
      <c r="B6875" s="131" t="s">
        <v>247</v>
      </c>
      <c r="C6875" s="131" t="s">
        <v>1845</v>
      </c>
      <c r="D6875" s="24" t="s">
        <v>187</v>
      </c>
      <c r="E6875" s="24">
        <v>150.0</v>
      </c>
      <c r="F6875" s="111" t="str">
        <f>DataPull!D6875</f>
        <v/>
      </c>
      <c r="G6875" s="94" t="str">
        <f t="shared" si="2"/>
        <v/>
      </c>
      <c r="H6875" s="94" t="str">
        <f t="shared" si="3"/>
        <v/>
      </c>
      <c r="I6875" s="94" t="str">
        <f t="shared" ref="I6875:J6875" si="6876">if(G6875 = "", , -G6875)</f>
        <v/>
      </c>
      <c r="J6875" s="94" t="str">
        <f t="shared" si="6876"/>
        <v/>
      </c>
      <c r="K6875" s="100"/>
      <c r="M6875" s="100"/>
      <c r="N6875" s="100"/>
      <c r="O6875" s="100"/>
      <c r="P6875" s="100"/>
    </row>
    <row r="6876">
      <c r="A6876" s="114">
        <v>1642877.0</v>
      </c>
      <c r="B6876" s="131" t="s">
        <v>247</v>
      </c>
      <c r="C6876" s="131" t="s">
        <v>1846</v>
      </c>
      <c r="D6876" s="24" t="s">
        <v>177</v>
      </c>
      <c r="E6876" s="24">
        <v>915.0</v>
      </c>
      <c r="F6876" s="111" t="str">
        <f>DataPull!D6876</f>
        <v/>
      </c>
      <c r="G6876" s="94" t="str">
        <f t="shared" si="2"/>
        <v/>
      </c>
      <c r="H6876" s="94" t="str">
        <f t="shared" si="3"/>
        <v/>
      </c>
      <c r="I6876" s="94" t="str">
        <f t="shared" ref="I6876:J6876" si="6877">if(G6876 = "", , -G6876)</f>
        <v/>
      </c>
      <c r="J6876" s="94" t="str">
        <f t="shared" si="6877"/>
        <v/>
      </c>
      <c r="K6876" s="100"/>
      <c r="M6876" s="100"/>
      <c r="N6876" s="100"/>
      <c r="O6876" s="100"/>
      <c r="P6876" s="100"/>
    </row>
    <row r="6877">
      <c r="A6877" s="114">
        <v>1642878.0</v>
      </c>
      <c r="B6877" s="131" t="s">
        <v>247</v>
      </c>
      <c r="C6877" s="131" t="s">
        <v>1847</v>
      </c>
      <c r="D6877" s="24" t="s">
        <v>177</v>
      </c>
      <c r="E6877" s="24">
        <v>545.0</v>
      </c>
      <c r="F6877" s="111" t="str">
        <f>DataPull!D6877</f>
        <v/>
      </c>
      <c r="G6877" s="94" t="str">
        <f t="shared" si="2"/>
        <v/>
      </c>
      <c r="H6877" s="94" t="str">
        <f t="shared" si="3"/>
        <v/>
      </c>
      <c r="I6877" s="94" t="str">
        <f t="shared" ref="I6877:J6877" si="6878">if(G6877 = "", , -G6877)</f>
        <v/>
      </c>
      <c r="J6877" s="94" t="str">
        <f t="shared" si="6878"/>
        <v/>
      </c>
      <c r="K6877" s="100"/>
      <c r="M6877" s="100"/>
      <c r="N6877" s="100"/>
      <c r="O6877" s="100"/>
      <c r="P6877" s="100"/>
    </row>
    <row r="6878">
      <c r="A6878" s="114">
        <v>1642879.0</v>
      </c>
      <c r="B6878" s="131" t="s">
        <v>247</v>
      </c>
      <c r="C6878" s="131" t="s">
        <v>1848</v>
      </c>
      <c r="D6878" s="24" t="s">
        <v>177</v>
      </c>
      <c r="E6878" s="24">
        <v>915.2</v>
      </c>
      <c r="F6878" s="111" t="str">
        <f>DataPull!D6878</f>
        <v/>
      </c>
      <c r="G6878" s="94" t="str">
        <f t="shared" si="2"/>
        <v/>
      </c>
      <c r="H6878" s="94" t="str">
        <f t="shared" si="3"/>
        <v/>
      </c>
      <c r="I6878" s="94" t="str">
        <f t="shared" ref="I6878:J6878" si="6879">if(G6878 = "", , -G6878)</f>
        <v/>
      </c>
      <c r="J6878" s="94" t="str">
        <f t="shared" si="6879"/>
        <v/>
      </c>
      <c r="K6878" s="100"/>
      <c r="M6878" s="100"/>
      <c r="N6878" s="100"/>
      <c r="O6878" s="100"/>
      <c r="P6878" s="100"/>
    </row>
    <row r="6879">
      <c r="A6879" s="89">
        <v>1642880.0</v>
      </c>
      <c r="B6879" s="131" t="s">
        <v>247</v>
      </c>
      <c r="C6879" s="131" t="s">
        <v>1849</v>
      </c>
      <c r="D6879" s="24" t="s">
        <v>177</v>
      </c>
      <c r="E6879" s="24">
        <v>617.9</v>
      </c>
      <c r="F6879" s="111" t="str">
        <f>DataPull!D6879</f>
        <v/>
      </c>
      <c r="G6879" s="94" t="str">
        <f t="shared" si="2"/>
        <v/>
      </c>
      <c r="H6879" s="94" t="str">
        <f t="shared" si="3"/>
        <v/>
      </c>
      <c r="I6879" s="94" t="str">
        <f t="shared" ref="I6879:J6879" si="6880">if(G6879 = "", , -G6879)</f>
        <v/>
      </c>
      <c r="J6879" s="94" t="str">
        <f t="shared" si="6880"/>
        <v/>
      </c>
      <c r="K6879" s="100"/>
      <c r="M6879" s="100"/>
      <c r="N6879" s="100"/>
      <c r="O6879" s="100"/>
      <c r="P6879" s="100"/>
    </row>
    <row r="6880">
      <c r="A6880" s="126">
        <v>1642882.0</v>
      </c>
      <c r="B6880" s="141" t="s">
        <v>247</v>
      </c>
      <c r="C6880" s="141" t="s">
        <v>1850</v>
      </c>
      <c r="D6880" s="24"/>
      <c r="E6880" s="24">
        <v>401.7</v>
      </c>
      <c r="F6880" s="111" t="str">
        <f>DataPull!D6880</f>
        <v/>
      </c>
      <c r="G6880" s="94" t="str">
        <f t="shared" si="2"/>
        <v/>
      </c>
      <c r="H6880" s="94" t="str">
        <f t="shared" si="3"/>
        <v/>
      </c>
      <c r="I6880" s="94" t="str">
        <f t="shared" ref="I6880:J6880" si="6881">if(G6880 = "", , -G6880)</f>
        <v/>
      </c>
      <c r="J6880" s="94" t="str">
        <f t="shared" si="6881"/>
        <v/>
      </c>
      <c r="K6880" s="100"/>
      <c r="M6880" s="100"/>
      <c r="N6880" s="100"/>
      <c r="O6880" s="100"/>
      <c r="P6880" s="100"/>
    </row>
    <row r="6881">
      <c r="A6881" s="114">
        <v>1642883.0</v>
      </c>
      <c r="B6881" s="131" t="s">
        <v>247</v>
      </c>
      <c r="C6881" s="131" t="s">
        <v>1851</v>
      </c>
      <c r="D6881" s="24" t="s">
        <v>176</v>
      </c>
      <c r="E6881" s="24">
        <v>1845.0</v>
      </c>
      <c r="F6881" s="111" t="str">
        <f>DataPull!D6881</f>
        <v/>
      </c>
      <c r="G6881" s="94" t="str">
        <f t="shared" si="2"/>
        <v/>
      </c>
      <c r="H6881" s="94" t="str">
        <f t="shared" si="3"/>
        <v/>
      </c>
      <c r="I6881" s="94" t="str">
        <f t="shared" ref="I6881:J6881" si="6882">if(G6881 = "", , -G6881)</f>
        <v/>
      </c>
      <c r="J6881" s="94" t="str">
        <f t="shared" si="6882"/>
        <v/>
      </c>
      <c r="K6881" s="100"/>
      <c r="M6881" s="100"/>
      <c r="N6881" s="100"/>
      <c r="O6881" s="100"/>
      <c r="P6881" s="100"/>
    </row>
    <row r="6882">
      <c r="A6882" s="89">
        <v>1642884.0</v>
      </c>
      <c r="B6882" s="131" t="s">
        <v>247</v>
      </c>
      <c r="C6882" s="131" t="s">
        <v>1852</v>
      </c>
      <c r="D6882" s="24" t="s">
        <v>181</v>
      </c>
      <c r="E6882" s="24">
        <v>24.3</v>
      </c>
      <c r="F6882" s="111" t="str">
        <f>DataPull!D6882</f>
        <v/>
      </c>
      <c r="G6882" s="94" t="str">
        <f t="shared" si="2"/>
        <v/>
      </c>
      <c r="H6882" s="94" t="str">
        <f t="shared" si="3"/>
        <v/>
      </c>
      <c r="I6882" s="94" t="str">
        <f t="shared" ref="I6882:J6882" si="6883">if(G6882 = "", , -G6882)</f>
        <v/>
      </c>
      <c r="J6882" s="94" t="str">
        <f t="shared" si="6883"/>
        <v/>
      </c>
      <c r="K6882" s="100"/>
      <c r="M6882" s="100"/>
      <c r="N6882" s="100"/>
      <c r="O6882" s="100"/>
      <c r="P6882" s="100"/>
    </row>
    <row r="6883">
      <c r="A6883" s="114">
        <v>1642885.0</v>
      </c>
      <c r="B6883" s="131" t="s">
        <v>247</v>
      </c>
      <c r="C6883" s="131" t="s">
        <v>1853</v>
      </c>
      <c r="D6883" s="24" t="s">
        <v>187</v>
      </c>
      <c r="E6883" s="24">
        <v>634.8</v>
      </c>
      <c r="F6883" s="111" t="str">
        <f>DataPull!D6883</f>
        <v/>
      </c>
      <c r="G6883" s="94" t="str">
        <f t="shared" si="2"/>
        <v/>
      </c>
      <c r="H6883" s="94" t="str">
        <f t="shared" si="3"/>
        <v/>
      </c>
      <c r="I6883" s="94" t="str">
        <f t="shared" ref="I6883:J6883" si="6884">if(G6883 = "", , -G6883)</f>
        <v/>
      </c>
      <c r="J6883" s="94" t="str">
        <f t="shared" si="6884"/>
        <v/>
      </c>
      <c r="K6883" s="100"/>
      <c r="M6883" s="100"/>
      <c r="N6883" s="100"/>
      <c r="O6883" s="100"/>
      <c r="P6883" s="100"/>
    </row>
    <row r="6884">
      <c r="A6884" s="114">
        <v>1642886.0</v>
      </c>
      <c r="B6884" s="131" t="s">
        <v>247</v>
      </c>
      <c r="C6884" s="131" t="s">
        <v>1854</v>
      </c>
      <c r="D6884" s="24" t="s">
        <v>181</v>
      </c>
      <c r="E6884" s="24">
        <v>84.0</v>
      </c>
      <c r="F6884" s="111" t="str">
        <f>DataPull!D6884</f>
        <v/>
      </c>
      <c r="G6884" s="94" t="str">
        <f t="shared" si="2"/>
        <v/>
      </c>
      <c r="H6884" s="94" t="str">
        <f t="shared" si="3"/>
        <v/>
      </c>
      <c r="I6884" s="94" t="str">
        <f t="shared" ref="I6884:J6884" si="6885">if(G6884 = "", , -G6884)</f>
        <v/>
      </c>
      <c r="J6884" s="94" t="str">
        <f t="shared" si="6885"/>
        <v/>
      </c>
      <c r="K6884" s="100"/>
      <c r="M6884" s="100"/>
      <c r="N6884" s="100"/>
      <c r="O6884" s="100"/>
      <c r="P6884" s="100"/>
    </row>
    <row r="6885">
      <c r="A6885" s="89">
        <v>1642893.0</v>
      </c>
      <c r="B6885" s="131" t="s">
        <v>247</v>
      </c>
      <c r="C6885" s="131" t="s">
        <v>1855</v>
      </c>
      <c r="D6885" s="24"/>
      <c r="E6885" s="24"/>
      <c r="F6885" s="111" t="str">
        <f>DataPull!D6885</f>
        <v/>
      </c>
      <c r="G6885" s="94" t="str">
        <f t="shared" si="2"/>
        <v/>
      </c>
      <c r="H6885" s="94" t="str">
        <f t="shared" si="3"/>
        <v/>
      </c>
      <c r="I6885" s="94" t="str">
        <f t="shared" ref="I6885:J6885" si="6886">if(G6885 = "", , -G6885)</f>
        <v/>
      </c>
      <c r="J6885" s="94" t="str">
        <f t="shared" si="6886"/>
        <v/>
      </c>
      <c r="K6885" s="100"/>
      <c r="M6885" s="100"/>
      <c r="N6885" s="100"/>
      <c r="O6885" s="100"/>
      <c r="P6885" s="100"/>
    </row>
    <row r="6886">
      <c r="A6886" s="114">
        <v>1642905.0</v>
      </c>
      <c r="B6886" s="131" t="s">
        <v>247</v>
      </c>
      <c r="C6886" s="131" t="s">
        <v>1856</v>
      </c>
      <c r="D6886" s="24" t="s">
        <v>187</v>
      </c>
      <c r="E6886" s="24">
        <v>301.0</v>
      </c>
      <c r="F6886" s="111" t="str">
        <f>DataPull!D6886</f>
        <v/>
      </c>
      <c r="G6886" s="94" t="str">
        <f t="shared" si="2"/>
        <v/>
      </c>
      <c r="H6886" s="94" t="str">
        <f t="shared" si="3"/>
        <v/>
      </c>
      <c r="I6886" s="94" t="str">
        <f t="shared" ref="I6886:J6886" si="6887">if(G6886 = "", , -G6886)</f>
        <v/>
      </c>
      <c r="J6886" s="94" t="str">
        <f t="shared" si="6887"/>
        <v/>
      </c>
      <c r="K6886" s="100"/>
      <c r="M6886" s="100"/>
      <c r="N6886" s="100"/>
      <c r="O6886" s="100"/>
      <c r="P6886" s="100"/>
    </row>
    <row r="6887">
      <c r="A6887" s="114">
        <v>1642907.0</v>
      </c>
      <c r="B6887" s="131" t="s">
        <v>247</v>
      </c>
      <c r="C6887" s="131" t="s">
        <v>1857</v>
      </c>
      <c r="D6887" s="24" t="s">
        <v>178</v>
      </c>
      <c r="E6887" s="24">
        <v>1599.6</v>
      </c>
      <c r="F6887" s="111" t="str">
        <f>DataPull!D6887</f>
        <v/>
      </c>
      <c r="G6887" s="94" t="str">
        <f t="shared" si="2"/>
        <v/>
      </c>
      <c r="H6887" s="94" t="str">
        <f t="shared" si="3"/>
        <v/>
      </c>
      <c r="I6887" s="94" t="str">
        <f t="shared" ref="I6887:J6887" si="6888">if(G6887 = "", , -G6887)</f>
        <v/>
      </c>
      <c r="J6887" s="94" t="str">
        <f t="shared" si="6888"/>
        <v/>
      </c>
      <c r="K6887" s="100"/>
      <c r="M6887" s="100"/>
      <c r="N6887" s="100"/>
      <c r="O6887" s="100"/>
      <c r="P6887" s="100"/>
    </row>
    <row r="6888">
      <c r="A6888" s="89">
        <v>1642910.0</v>
      </c>
      <c r="B6888" s="131" t="s">
        <v>247</v>
      </c>
      <c r="C6888" s="131" t="s">
        <v>1858</v>
      </c>
      <c r="D6888" s="24"/>
      <c r="E6888" s="24">
        <v>42.0</v>
      </c>
      <c r="F6888" s="111" t="str">
        <f>DataPull!D6888</f>
        <v/>
      </c>
      <c r="G6888" s="94" t="str">
        <f t="shared" si="2"/>
        <v/>
      </c>
      <c r="H6888" s="94" t="str">
        <f t="shared" si="3"/>
        <v/>
      </c>
      <c r="I6888" s="94" t="str">
        <f t="shared" ref="I6888:J6888" si="6889">if(G6888 = "", , -G6888)</f>
        <v/>
      </c>
      <c r="J6888" s="94" t="str">
        <f t="shared" si="6889"/>
        <v/>
      </c>
      <c r="K6888" s="100"/>
      <c r="M6888" s="100"/>
      <c r="N6888" s="100"/>
      <c r="O6888" s="100"/>
      <c r="P6888" s="100"/>
    </row>
    <row r="6889">
      <c r="A6889" s="89">
        <v>1642911.0</v>
      </c>
      <c r="B6889" s="131" t="s">
        <v>247</v>
      </c>
      <c r="C6889" s="131" t="s">
        <v>1859</v>
      </c>
      <c r="D6889" s="24"/>
      <c r="E6889" s="24">
        <v>36.5</v>
      </c>
      <c r="F6889" s="111" t="str">
        <f>DataPull!D6889</f>
        <v/>
      </c>
      <c r="G6889" s="94" t="str">
        <f t="shared" si="2"/>
        <v/>
      </c>
      <c r="H6889" s="94" t="str">
        <f t="shared" si="3"/>
        <v/>
      </c>
      <c r="I6889" s="94" t="str">
        <f t="shared" ref="I6889:J6889" si="6890">if(G6889 = "", , -G6889)</f>
        <v/>
      </c>
      <c r="J6889" s="94" t="str">
        <f t="shared" si="6890"/>
        <v/>
      </c>
      <c r="K6889" s="100"/>
      <c r="M6889" s="100"/>
      <c r="N6889" s="100"/>
      <c r="O6889" s="100"/>
      <c r="P6889" s="100"/>
    </row>
    <row r="6890">
      <c r="A6890" s="114">
        <v>1642914.0</v>
      </c>
      <c r="B6890" s="131" t="s">
        <v>247</v>
      </c>
      <c r="C6890" s="131" t="s">
        <v>1860</v>
      </c>
      <c r="D6890" s="24" t="s">
        <v>177</v>
      </c>
      <c r="E6890" s="24">
        <v>828.2</v>
      </c>
      <c r="F6890" s="111" t="str">
        <f>DataPull!D6890</f>
        <v/>
      </c>
      <c r="G6890" s="94" t="str">
        <f t="shared" si="2"/>
        <v/>
      </c>
      <c r="H6890" s="94" t="str">
        <f t="shared" si="3"/>
        <v/>
      </c>
      <c r="I6890" s="94" t="str">
        <f t="shared" ref="I6890:J6890" si="6891">if(G6890 = "", , -G6890)</f>
        <v/>
      </c>
      <c r="J6890" s="94" t="str">
        <f t="shared" si="6891"/>
        <v/>
      </c>
      <c r="K6890" s="100"/>
      <c r="M6890" s="100"/>
      <c r="N6890" s="100"/>
      <c r="O6890" s="100"/>
      <c r="P6890" s="100"/>
    </row>
    <row r="6891">
      <c r="A6891" s="89">
        <v>1642917.0</v>
      </c>
      <c r="B6891" s="131" t="s">
        <v>247</v>
      </c>
      <c r="C6891" s="131" t="s">
        <v>1861</v>
      </c>
      <c r="D6891" s="24" t="s">
        <v>181</v>
      </c>
      <c r="E6891" s="24">
        <v>36.3</v>
      </c>
      <c r="F6891" s="111" t="str">
        <f>DataPull!D6891</f>
        <v/>
      </c>
      <c r="G6891" s="94" t="str">
        <f t="shared" si="2"/>
        <v/>
      </c>
      <c r="H6891" s="94" t="str">
        <f t="shared" si="3"/>
        <v/>
      </c>
      <c r="I6891" s="94" t="str">
        <f t="shared" ref="I6891:J6891" si="6892">if(G6891 = "", , -G6891)</f>
        <v/>
      </c>
      <c r="J6891" s="94" t="str">
        <f t="shared" si="6892"/>
        <v/>
      </c>
      <c r="K6891" s="100"/>
      <c r="M6891" s="100"/>
      <c r="N6891" s="100"/>
      <c r="O6891" s="100"/>
      <c r="P6891" s="100"/>
    </row>
    <row r="6892">
      <c r="A6892" s="89">
        <v>1642918.0</v>
      </c>
      <c r="B6892" s="131" t="s">
        <v>247</v>
      </c>
      <c r="C6892" s="131" t="s">
        <v>1862</v>
      </c>
      <c r="D6892" s="24" t="s">
        <v>187</v>
      </c>
      <c r="E6892" s="24">
        <v>144.9</v>
      </c>
      <c r="F6892" s="111" t="str">
        <f>DataPull!D6892</f>
        <v/>
      </c>
      <c r="G6892" s="94" t="str">
        <f t="shared" si="2"/>
        <v/>
      </c>
      <c r="H6892" s="94" t="str">
        <f t="shared" si="3"/>
        <v/>
      </c>
      <c r="I6892" s="94" t="str">
        <f t="shared" ref="I6892:J6892" si="6893">if(G6892 = "", , -G6892)</f>
        <v/>
      </c>
      <c r="J6892" s="94" t="str">
        <f t="shared" si="6893"/>
        <v/>
      </c>
      <c r="K6892" s="100"/>
      <c r="M6892" s="100"/>
      <c r="N6892" s="100"/>
      <c r="O6892" s="100"/>
      <c r="P6892" s="100"/>
    </row>
    <row r="6893">
      <c r="A6893" s="114">
        <v>1642920.0</v>
      </c>
      <c r="B6893" s="131" t="s">
        <v>247</v>
      </c>
      <c r="C6893" s="131" t="s">
        <v>1863</v>
      </c>
      <c r="D6893" s="24" t="s">
        <v>177</v>
      </c>
      <c r="E6893" s="24">
        <v>1353.2</v>
      </c>
      <c r="F6893" s="111" t="str">
        <f>DataPull!D6893</f>
        <v/>
      </c>
      <c r="G6893" s="94" t="str">
        <f t="shared" si="2"/>
        <v/>
      </c>
      <c r="H6893" s="94" t="str">
        <f t="shared" si="3"/>
        <v/>
      </c>
      <c r="I6893" s="94" t="str">
        <f t="shared" ref="I6893:J6893" si="6894">if(G6893 = "", , -G6893)</f>
        <v/>
      </c>
      <c r="J6893" s="94" t="str">
        <f t="shared" si="6894"/>
        <v/>
      </c>
      <c r="K6893" s="100"/>
      <c r="M6893" s="100"/>
      <c r="N6893" s="100"/>
      <c r="O6893" s="100"/>
      <c r="P6893" s="100"/>
    </row>
    <row r="6894">
      <c r="A6894" s="89">
        <v>1642926.0</v>
      </c>
      <c r="B6894" s="131" t="s">
        <v>247</v>
      </c>
      <c r="C6894" s="131" t="s">
        <v>1864</v>
      </c>
      <c r="D6894" s="24"/>
      <c r="E6894" s="24"/>
      <c r="F6894" s="111" t="str">
        <f>DataPull!D6894</f>
        <v/>
      </c>
      <c r="G6894" s="94" t="str">
        <f t="shared" si="2"/>
        <v/>
      </c>
      <c r="H6894" s="94" t="str">
        <f t="shared" si="3"/>
        <v/>
      </c>
      <c r="I6894" s="94" t="str">
        <f t="shared" ref="I6894:J6894" si="6895">if(G6894 = "", , -G6894)</f>
        <v/>
      </c>
      <c r="J6894" s="94" t="str">
        <f t="shared" si="6895"/>
        <v/>
      </c>
      <c r="K6894" s="100"/>
      <c r="M6894" s="100"/>
      <c r="N6894" s="100"/>
      <c r="O6894" s="100"/>
      <c r="P6894" s="100"/>
    </row>
    <row r="6895">
      <c r="A6895" s="114">
        <v>1642928.0</v>
      </c>
      <c r="B6895" s="131" t="s">
        <v>247</v>
      </c>
      <c r="C6895" s="131" t="s">
        <v>1865</v>
      </c>
      <c r="D6895" s="24" t="s">
        <v>177</v>
      </c>
      <c r="E6895" s="24">
        <v>906.4</v>
      </c>
      <c r="F6895" s="111" t="str">
        <f>DataPull!D6895</f>
        <v/>
      </c>
      <c r="G6895" s="94" t="str">
        <f t="shared" si="2"/>
        <v/>
      </c>
      <c r="H6895" s="94" t="str">
        <f t="shared" si="3"/>
        <v/>
      </c>
      <c r="I6895" s="94" t="str">
        <f t="shared" ref="I6895:J6895" si="6896">if(G6895 = "", , -G6895)</f>
        <v/>
      </c>
      <c r="J6895" s="94" t="str">
        <f t="shared" si="6896"/>
        <v/>
      </c>
      <c r="K6895" s="100"/>
      <c r="M6895" s="100"/>
      <c r="N6895" s="100"/>
      <c r="O6895" s="100"/>
      <c r="P6895" s="100"/>
    </row>
    <row r="6896">
      <c r="A6896" s="126">
        <v>1642933.0</v>
      </c>
      <c r="B6896" s="141" t="s">
        <v>247</v>
      </c>
      <c r="C6896" s="141" t="s">
        <v>1866</v>
      </c>
      <c r="D6896" s="24"/>
      <c r="E6896" s="24">
        <v>73.6</v>
      </c>
      <c r="F6896" s="111" t="str">
        <f>DataPull!D6896</f>
        <v/>
      </c>
      <c r="G6896" s="94" t="str">
        <f t="shared" si="2"/>
        <v/>
      </c>
      <c r="H6896" s="94" t="str">
        <f t="shared" si="3"/>
        <v/>
      </c>
      <c r="I6896" s="94" t="str">
        <f t="shared" ref="I6896:J6896" si="6897">if(G6896 = "", , -G6896)</f>
        <v/>
      </c>
      <c r="J6896" s="94" t="str">
        <f t="shared" si="6897"/>
        <v/>
      </c>
      <c r="K6896" s="100"/>
      <c r="M6896" s="100"/>
      <c r="N6896" s="100"/>
      <c r="O6896" s="100"/>
      <c r="P6896" s="100"/>
    </row>
    <row r="6897">
      <c r="A6897" s="114">
        <v>1642935.0</v>
      </c>
      <c r="B6897" s="131" t="s">
        <v>247</v>
      </c>
      <c r="C6897" s="131" t="s">
        <v>1867</v>
      </c>
      <c r="D6897" s="24" t="s">
        <v>181</v>
      </c>
      <c r="E6897" s="24">
        <v>13.2</v>
      </c>
      <c r="F6897" s="111" t="str">
        <f>DataPull!D6897</f>
        <v/>
      </c>
      <c r="G6897" s="94" t="str">
        <f t="shared" si="2"/>
        <v/>
      </c>
      <c r="H6897" s="94" t="str">
        <f t="shared" si="3"/>
        <v/>
      </c>
      <c r="I6897" s="94" t="str">
        <f t="shared" ref="I6897:J6897" si="6898">if(G6897 = "", , -G6897)</f>
        <v/>
      </c>
      <c r="J6897" s="94" t="str">
        <f t="shared" si="6898"/>
        <v/>
      </c>
      <c r="K6897" s="100"/>
      <c r="M6897" s="100"/>
      <c r="N6897" s="100"/>
      <c r="O6897" s="100"/>
      <c r="P6897" s="100"/>
    </row>
    <row r="6898">
      <c r="A6898" s="89">
        <v>1642938.0</v>
      </c>
      <c r="B6898" s="131" t="s">
        <v>247</v>
      </c>
      <c r="C6898" s="131" t="s">
        <v>1868</v>
      </c>
      <c r="D6898" s="24" t="s">
        <v>187</v>
      </c>
      <c r="E6898" s="24">
        <v>88.0</v>
      </c>
      <c r="F6898" s="111" t="str">
        <f>DataPull!D6898</f>
        <v/>
      </c>
      <c r="G6898" s="94" t="str">
        <f t="shared" si="2"/>
        <v/>
      </c>
      <c r="H6898" s="94" t="str">
        <f t="shared" si="3"/>
        <v/>
      </c>
      <c r="I6898" s="94" t="str">
        <f t="shared" ref="I6898:J6898" si="6899">if(G6898 = "", , -G6898)</f>
        <v/>
      </c>
      <c r="J6898" s="94" t="str">
        <f t="shared" si="6899"/>
        <v/>
      </c>
      <c r="K6898" s="100"/>
      <c r="M6898" s="100"/>
      <c r="N6898" s="100"/>
      <c r="O6898" s="100"/>
      <c r="P6898" s="100"/>
    </row>
    <row r="6899">
      <c r="A6899" s="114">
        <v>1642939.0</v>
      </c>
      <c r="B6899" s="131" t="s">
        <v>247</v>
      </c>
      <c r="C6899" s="131" t="s">
        <v>1869</v>
      </c>
      <c r="D6899" s="24" t="s">
        <v>187</v>
      </c>
      <c r="E6899" s="24">
        <v>134.4</v>
      </c>
      <c r="F6899" s="111" t="str">
        <f>DataPull!D6899</f>
        <v/>
      </c>
      <c r="G6899" s="94" t="str">
        <f t="shared" si="2"/>
        <v/>
      </c>
      <c r="H6899" s="94" t="str">
        <f t="shared" si="3"/>
        <v/>
      </c>
      <c r="I6899" s="94" t="str">
        <f t="shared" ref="I6899:J6899" si="6900">if(G6899 = "", , -G6899)</f>
        <v/>
      </c>
      <c r="J6899" s="94" t="str">
        <f t="shared" si="6900"/>
        <v/>
      </c>
      <c r="K6899" s="100"/>
      <c r="M6899" s="100"/>
      <c r="N6899" s="100"/>
      <c r="O6899" s="100"/>
      <c r="P6899" s="100"/>
    </row>
    <row r="6900">
      <c r="A6900" s="89">
        <v>1642942.0</v>
      </c>
      <c r="B6900" s="131" t="s">
        <v>247</v>
      </c>
      <c r="C6900" s="131" t="s">
        <v>1870</v>
      </c>
      <c r="D6900" s="24" t="s">
        <v>177</v>
      </c>
      <c r="E6900" s="24">
        <v>672.7</v>
      </c>
      <c r="F6900" s="111" t="str">
        <f>DataPull!D6900</f>
        <v/>
      </c>
      <c r="G6900" s="94" t="str">
        <f t="shared" si="2"/>
        <v/>
      </c>
      <c r="H6900" s="94" t="str">
        <f t="shared" si="3"/>
        <v/>
      </c>
      <c r="I6900" s="94" t="str">
        <f t="shared" ref="I6900:J6900" si="6901">if(G6900 = "", , -G6900)</f>
        <v/>
      </c>
      <c r="J6900" s="94" t="str">
        <f t="shared" si="6901"/>
        <v/>
      </c>
      <c r="K6900" s="100"/>
      <c r="M6900" s="100"/>
      <c r="N6900" s="100"/>
      <c r="O6900" s="100"/>
      <c r="P6900" s="100"/>
    </row>
    <row r="6901">
      <c r="A6901" s="89">
        <v>1642947.0</v>
      </c>
      <c r="B6901" s="131" t="s">
        <v>247</v>
      </c>
      <c r="C6901" s="131" t="s">
        <v>1871</v>
      </c>
      <c r="D6901" s="24"/>
      <c r="E6901" s="24"/>
      <c r="F6901" s="111" t="str">
        <f>DataPull!D6901</f>
        <v/>
      </c>
      <c r="G6901" s="94" t="str">
        <f t="shared" si="2"/>
        <v/>
      </c>
      <c r="H6901" s="94" t="str">
        <f t="shared" si="3"/>
        <v/>
      </c>
      <c r="I6901" s="94" t="str">
        <f t="shared" ref="I6901:J6901" si="6902">if(G6901 = "", , -G6901)</f>
        <v/>
      </c>
      <c r="J6901" s="94" t="str">
        <f t="shared" si="6902"/>
        <v/>
      </c>
      <c r="K6901" s="100"/>
      <c r="M6901" s="100"/>
      <c r="N6901" s="100"/>
      <c r="O6901" s="100"/>
      <c r="P6901" s="100"/>
    </row>
    <row r="6902">
      <c r="A6902" s="114">
        <v>1642948.0</v>
      </c>
      <c r="B6902" s="131" t="s">
        <v>247</v>
      </c>
      <c r="C6902" s="131" t="s">
        <v>1872</v>
      </c>
      <c r="D6902" s="24" t="s">
        <v>177</v>
      </c>
      <c r="E6902" s="24">
        <v>1170.0</v>
      </c>
      <c r="F6902" s="111" t="str">
        <f>DataPull!D6902</f>
        <v/>
      </c>
      <c r="G6902" s="94" t="str">
        <f t="shared" si="2"/>
        <v/>
      </c>
      <c r="H6902" s="94" t="str">
        <f t="shared" si="3"/>
        <v/>
      </c>
      <c r="I6902" s="94" t="str">
        <f t="shared" ref="I6902:J6902" si="6903">if(G6902 = "", , -G6902)</f>
        <v/>
      </c>
      <c r="J6902" s="94" t="str">
        <f t="shared" si="6903"/>
        <v/>
      </c>
      <c r="K6902" s="100"/>
      <c r="M6902" s="100"/>
      <c r="N6902" s="100"/>
      <c r="O6902" s="100"/>
      <c r="P6902" s="100"/>
    </row>
    <row r="6903">
      <c r="A6903" s="114">
        <v>1642949.0</v>
      </c>
      <c r="B6903" s="131" t="s">
        <v>247</v>
      </c>
      <c r="C6903" s="131" t="s">
        <v>1873</v>
      </c>
      <c r="D6903" s="24" t="s">
        <v>187</v>
      </c>
      <c r="E6903" s="24">
        <v>422.3</v>
      </c>
      <c r="F6903" s="111" t="str">
        <f>DataPull!D6903</f>
        <v/>
      </c>
      <c r="G6903" s="94" t="str">
        <f t="shared" si="2"/>
        <v/>
      </c>
      <c r="H6903" s="94" t="str">
        <f t="shared" si="3"/>
        <v/>
      </c>
      <c r="I6903" s="94" t="str">
        <f t="shared" ref="I6903:J6903" si="6904">if(G6903 = "", , -G6903)</f>
        <v/>
      </c>
      <c r="J6903" s="94" t="str">
        <f t="shared" si="6904"/>
        <v/>
      </c>
      <c r="K6903" s="100"/>
      <c r="M6903" s="100"/>
      <c r="N6903" s="100"/>
      <c r="O6903" s="100"/>
      <c r="P6903" s="100"/>
    </row>
    <row r="6904">
      <c r="A6904" s="89">
        <v>1642950.0</v>
      </c>
      <c r="B6904" s="131" t="s">
        <v>247</v>
      </c>
      <c r="C6904" s="131" t="s">
        <v>1874</v>
      </c>
      <c r="D6904" s="24" t="s">
        <v>187</v>
      </c>
      <c r="E6904" s="24">
        <v>344.1</v>
      </c>
      <c r="F6904" s="111" t="str">
        <f>DataPull!D6904</f>
        <v/>
      </c>
      <c r="G6904" s="94" t="str">
        <f t="shared" si="2"/>
        <v/>
      </c>
      <c r="H6904" s="94" t="str">
        <f t="shared" si="3"/>
        <v/>
      </c>
      <c r="I6904" s="94" t="str">
        <f t="shared" ref="I6904:J6904" si="6905">if(G6904 = "", , -G6904)</f>
        <v/>
      </c>
      <c r="J6904" s="94" t="str">
        <f t="shared" si="6905"/>
        <v/>
      </c>
      <c r="K6904" s="100"/>
      <c r="M6904" s="100"/>
      <c r="N6904" s="100"/>
      <c r="O6904" s="100"/>
      <c r="P6904" s="100"/>
    </row>
    <row r="6905">
      <c r="A6905" s="126">
        <v>1642951.0</v>
      </c>
      <c r="B6905" s="141" t="s">
        <v>247</v>
      </c>
      <c r="C6905" s="141" t="s">
        <v>1875</v>
      </c>
      <c r="D6905" s="24"/>
      <c r="E6905" s="24">
        <v>30.8</v>
      </c>
      <c r="F6905" s="111" t="str">
        <f>DataPull!D6905</f>
        <v/>
      </c>
      <c r="G6905" s="94" t="str">
        <f t="shared" si="2"/>
        <v/>
      </c>
      <c r="H6905" s="94" t="str">
        <f t="shared" si="3"/>
        <v/>
      </c>
      <c r="I6905" s="94" t="str">
        <f t="shared" ref="I6905:J6905" si="6906">if(G6905 = "", , -G6905)</f>
        <v/>
      </c>
      <c r="J6905" s="94" t="str">
        <f t="shared" si="6906"/>
        <v/>
      </c>
      <c r="K6905" s="100"/>
      <c r="M6905" s="100"/>
      <c r="N6905" s="100"/>
      <c r="O6905" s="100"/>
      <c r="P6905" s="100"/>
    </row>
    <row r="6906">
      <c r="A6906" s="114">
        <v>1642954.0</v>
      </c>
      <c r="B6906" s="131" t="s">
        <v>247</v>
      </c>
      <c r="C6906" s="131" t="s">
        <v>1876</v>
      </c>
      <c r="D6906" s="24" t="s">
        <v>176</v>
      </c>
      <c r="E6906" s="24">
        <v>1380.0</v>
      </c>
      <c r="F6906" s="111" t="str">
        <f>DataPull!D6906</f>
        <v/>
      </c>
      <c r="G6906" s="94" t="str">
        <f t="shared" si="2"/>
        <v/>
      </c>
      <c r="H6906" s="94" t="str">
        <f t="shared" si="3"/>
        <v/>
      </c>
      <c r="I6906" s="94" t="str">
        <f t="shared" ref="I6906:J6906" si="6907">if(G6906 = "", , -G6906)</f>
        <v/>
      </c>
      <c r="J6906" s="94" t="str">
        <f t="shared" si="6907"/>
        <v/>
      </c>
      <c r="K6906" s="100"/>
      <c r="M6906" s="100"/>
      <c r="N6906" s="100"/>
      <c r="O6906" s="100"/>
      <c r="P6906" s="100"/>
    </row>
    <row r="6907">
      <c r="A6907" s="114">
        <v>1642959.0</v>
      </c>
      <c r="B6907" s="131" t="s">
        <v>247</v>
      </c>
      <c r="C6907" s="131" t="s">
        <v>1877</v>
      </c>
      <c r="D6907" s="24" t="s">
        <v>187</v>
      </c>
      <c r="E6907" s="24">
        <v>183.6</v>
      </c>
      <c r="F6907" s="111" t="str">
        <f>DataPull!D6907</f>
        <v/>
      </c>
      <c r="G6907" s="94" t="str">
        <f t="shared" si="2"/>
        <v/>
      </c>
      <c r="H6907" s="94" t="str">
        <f t="shared" si="3"/>
        <v/>
      </c>
      <c r="I6907" s="94" t="str">
        <f t="shared" ref="I6907:J6907" si="6908">if(G6907 = "", , -G6907)</f>
        <v/>
      </c>
      <c r="J6907" s="94" t="str">
        <f t="shared" si="6908"/>
        <v/>
      </c>
      <c r="K6907" s="100"/>
      <c r="M6907" s="100"/>
      <c r="N6907" s="100"/>
      <c r="O6907" s="100"/>
      <c r="P6907" s="100"/>
    </row>
    <row r="6908">
      <c r="A6908" s="114">
        <v>1642962.0</v>
      </c>
      <c r="B6908" s="131" t="s">
        <v>247</v>
      </c>
      <c r="C6908" s="131" t="s">
        <v>1878</v>
      </c>
      <c r="D6908" s="24" t="s">
        <v>177</v>
      </c>
      <c r="E6908" s="24">
        <v>1316.7</v>
      </c>
      <c r="F6908" s="111" t="str">
        <f>DataPull!D6908</f>
        <v/>
      </c>
      <c r="G6908" s="94" t="str">
        <f t="shared" si="2"/>
        <v/>
      </c>
      <c r="H6908" s="94" t="str">
        <f t="shared" si="3"/>
        <v/>
      </c>
      <c r="I6908" s="94" t="str">
        <f t="shared" ref="I6908:J6908" si="6909">if(G6908 = "", , -G6908)</f>
        <v/>
      </c>
      <c r="J6908" s="94" t="str">
        <f t="shared" si="6909"/>
        <v/>
      </c>
      <c r="K6908" s="100"/>
      <c r="M6908" s="100"/>
      <c r="N6908" s="100"/>
      <c r="O6908" s="100"/>
      <c r="P6908" s="100"/>
    </row>
    <row r="6909">
      <c r="A6909" s="114">
        <v>1642964.0</v>
      </c>
      <c r="B6909" s="131" t="s">
        <v>247</v>
      </c>
      <c r="C6909" s="131" t="s">
        <v>1879</v>
      </c>
      <c r="D6909" s="24" t="s">
        <v>187</v>
      </c>
      <c r="E6909" s="24">
        <v>348.0</v>
      </c>
      <c r="F6909" s="111" t="str">
        <f>DataPull!D6909</f>
        <v/>
      </c>
      <c r="G6909" s="94" t="str">
        <f t="shared" si="2"/>
        <v/>
      </c>
      <c r="H6909" s="94" t="str">
        <f t="shared" si="3"/>
        <v/>
      </c>
      <c r="I6909" s="94" t="str">
        <f t="shared" ref="I6909:J6909" si="6910">if(G6909 = "", , -G6909)</f>
        <v/>
      </c>
      <c r="J6909" s="94" t="str">
        <f t="shared" si="6910"/>
        <v/>
      </c>
      <c r="K6909" s="100"/>
      <c r="M6909" s="100"/>
      <c r="N6909" s="100"/>
      <c r="O6909" s="100"/>
      <c r="P6909" s="100"/>
    </row>
    <row r="6910">
      <c r="A6910" s="126">
        <v>1642967.0</v>
      </c>
      <c r="B6910" s="141" t="s">
        <v>247</v>
      </c>
      <c r="C6910" s="141" t="s">
        <v>1880</v>
      </c>
      <c r="D6910" s="24"/>
      <c r="E6910" s="24">
        <v>253.5</v>
      </c>
      <c r="F6910" s="111" t="str">
        <f>DataPull!D6910</f>
        <v/>
      </c>
      <c r="G6910" s="94" t="str">
        <f t="shared" si="2"/>
        <v/>
      </c>
      <c r="H6910" s="94" t="str">
        <f t="shared" si="3"/>
        <v/>
      </c>
      <c r="I6910" s="94" t="str">
        <f t="shared" ref="I6910:J6910" si="6911">if(G6910 = "", , -G6910)</f>
        <v/>
      </c>
      <c r="J6910" s="94" t="str">
        <f t="shared" si="6911"/>
        <v/>
      </c>
      <c r="K6910" s="100"/>
      <c r="M6910" s="100"/>
      <c r="N6910" s="100"/>
      <c r="O6910" s="100"/>
      <c r="P6910" s="100"/>
    </row>
    <row r="6911">
      <c r="A6911" s="114">
        <v>1643007.0</v>
      </c>
      <c r="B6911" s="131" t="s">
        <v>247</v>
      </c>
      <c r="C6911" s="131" t="s">
        <v>1881</v>
      </c>
      <c r="D6911" s="24" t="s">
        <v>187</v>
      </c>
      <c r="E6911" s="24">
        <v>494.0</v>
      </c>
      <c r="F6911" s="111" t="str">
        <f>DataPull!D6911</f>
        <v/>
      </c>
      <c r="G6911" s="94" t="str">
        <f t="shared" si="2"/>
        <v/>
      </c>
      <c r="H6911" s="94" t="str">
        <f t="shared" si="3"/>
        <v/>
      </c>
      <c r="I6911" s="94" t="str">
        <f t="shared" ref="I6911:J6911" si="6912">if(G6911 = "", , -G6911)</f>
        <v/>
      </c>
      <c r="J6911" s="94" t="str">
        <f t="shared" si="6912"/>
        <v/>
      </c>
      <c r="K6911" s="100"/>
      <c r="M6911" s="100"/>
      <c r="N6911" s="100"/>
      <c r="O6911" s="100"/>
      <c r="P6911" s="100"/>
    </row>
    <row r="6912">
      <c r="A6912" s="126">
        <v>1643016.0</v>
      </c>
      <c r="B6912" s="141" t="s">
        <v>247</v>
      </c>
      <c r="C6912" s="141" t="s">
        <v>1882</v>
      </c>
      <c r="D6912" s="24"/>
      <c r="E6912" s="24">
        <v>492.0</v>
      </c>
      <c r="F6912" s="111" t="str">
        <f>DataPull!D6912</f>
        <v/>
      </c>
      <c r="G6912" s="94" t="str">
        <f t="shared" si="2"/>
        <v/>
      </c>
      <c r="H6912" s="94" t="str">
        <f t="shared" si="3"/>
        <v/>
      </c>
      <c r="I6912" s="94" t="str">
        <f t="shared" ref="I6912:J6912" si="6913">if(G6912 = "", , -G6912)</f>
        <v/>
      </c>
      <c r="J6912" s="94" t="str">
        <f t="shared" si="6913"/>
        <v/>
      </c>
      <c r="K6912" s="100"/>
      <c r="M6912" s="100"/>
      <c r="N6912" s="100"/>
      <c r="O6912" s="100"/>
      <c r="P6912" s="100"/>
    </row>
    <row r="6913">
      <c r="A6913" s="114">
        <v>1643018.0</v>
      </c>
      <c r="B6913" s="131" t="s">
        <v>247</v>
      </c>
      <c r="C6913" s="131" t="s">
        <v>1883</v>
      </c>
      <c r="D6913" s="24" t="s">
        <v>181</v>
      </c>
      <c r="E6913" s="24">
        <v>291.6</v>
      </c>
      <c r="F6913" s="111" t="str">
        <f>DataPull!D6913</f>
        <v/>
      </c>
      <c r="G6913" s="94" t="str">
        <f t="shared" si="2"/>
        <v/>
      </c>
      <c r="H6913" s="94" t="str">
        <f t="shared" si="3"/>
        <v/>
      </c>
      <c r="I6913" s="94" t="str">
        <f t="shared" ref="I6913:J6913" si="6914">if(G6913 = "", , -G6913)</f>
        <v/>
      </c>
      <c r="J6913" s="94" t="str">
        <f t="shared" si="6914"/>
        <v/>
      </c>
      <c r="K6913" s="100"/>
      <c r="M6913" s="100"/>
      <c r="N6913" s="100"/>
      <c r="O6913" s="100"/>
      <c r="P6913" s="100"/>
    </row>
    <row r="6914">
      <c r="A6914" s="114">
        <v>1643024.0</v>
      </c>
      <c r="B6914" s="131" t="s">
        <v>247</v>
      </c>
      <c r="C6914" s="131" t="s">
        <v>1884</v>
      </c>
      <c r="D6914" s="24" t="s">
        <v>181</v>
      </c>
      <c r="E6914" s="24">
        <v>45.9</v>
      </c>
      <c r="F6914" s="111" t="str">
        <f>DataPull!D6914</f>
        <v/>
      </c>
      <c r="G6914" s="94" t="str">
        <f t="shared" si="2"/>
        <v/>
      </c>
      <c r="H6914" s="94" t="str">
        <f t="shared" si="3"/>
        <v/>
      </c>
      <c r="I6914" s="94" t="str">
        <f t="shared" ref="I6914:J6914" si="6915">if(G6914 = "", , -G6914)</f>
        <v/>
      </c>
      <c r="J6914" s="94" t="str">
        <f t="shared" si="6915"/>
        <v/>
      </c>
      <c r="K6914" s="100"/>
      <c r="M6914" s="100"/>
      <c r="N6914" s="100"/>
      <c r="O6914" s="100"/>
      <c r="P6914" s="100"/>
    </row>
    <row r="6915">
      <c r="A6915" s="126">
        <v>1643047.0</v>
      </c>
      <c r="B6915" s="141" t="s">
        <v>247</v>
      </c>
      <c r="C6915" s="141" t="s">
        <v>1885</v>
      </c>
      <c r="D6915" s="24"/>
      <c r="E6915" s="24">
        <v>40.4</v>
      </c>
      <c r="F6915" s="111" t="str">
        <f>DataPull!D6915</f>
        <v/>
      </c>
      <c r="G6915" s="94" t="str">
        <f t="shared" si="2"/>
        <v/>
      </c>
      <c r="H6915" s="94" t="str">
        <f t="shared" si="3"/>
        <v/>
      </c>
      <c r="I6915" s="94" t="str">
        <f t="shared" ref="I6915:J6915" si="6916">if(G6915 = "", , -G6915)</f>
        <v/>
      </c>
      <c r="J6915" s="94" t="str">
        <f t="shared" si="6916"/>
        <v/>
      </c>
      <c r="K6915" s="100"/>
      <c r="M6915" s="100"/>
      <c r="N6915" s="100"/>
      <c r="O6915" s="100"/>
      <c r="P6915" s="100"/>
    </row>
    <row r="6916">
      <c r="A6916" s="126">
        <v>1643052.0</v>
      </c>
      <c r="B6916" s="141" t="s">
        <v>247</v>
      </c>
      <c r="C6916" s="141" t="s">
        <v>1886</v>
      </c>
      <c r="D6916" s="24"/>
      <c r="E6916" s="24">
        <v>346.8</v>
      </c>
      <c r="F6916" s="111" t="str">
        <f>DataPull!D6916</f>
        <v/>
      </c>
      <c r="G6916" s="94" t="str">
        <f t="shared" si="2"/>
        <v/>
      </c>
      <c r="H6916" s="94" t="str">
        <f t="shared" si="3"/>
        <v/>
      </c>
      <c r="I6916" s="94" t="str">
        <f t="shared" ref="I6916:J6916" si="6917">if(G6916 = "", , -G6916)</f>
        <v/>
      </c>
      <c r="J6916" s="94" t="str">
        <f t="shared" si="6917"/>
        <v/>
      </c>
      <c r="K6916" s="100"/>
      <c r="M6916" s="100"/>
      <c r="N6916" s="100"/>
      <c r="O6916" s="100"/>
      <c r="P6916" s="100"/>
    </row>
    <row r="6917">
      <c r="A6917" s="126">
        <v>1643060.0</v>
      </c>
      <c r="B6917" s="141" t="s">
        <v>247</v>
      </c>
      <c r="C6917" s="141" t="s">
        <v>1887</v>
      </c>
      <c r="D6917" s="24"/>
      <c r="E6917" s="24">
        <v>24.8</v>
      </c>
      <c r="F6917" s="111" t="str">
        <f>DataPull!D6917</f>
        <v/>
      </c>
      <c r="G6917" s="94" t="str">
        <f t="shared" si="2"/>
        <v/>
      </c>
      <c r="H6917" s="94" t="str">
        <f t="shared" si="3"/>
        <v/>
      </c>
      <c r="I6917" s="94" t="str">
        <f t="shared" ref="I6917:J6917" si="6918">if(G6917 = "", , -G6917)</f>
        <v/>
      </c>
      <c r="J6917" s="94" t="str">
        <f t="shared" si="6918"/>
        <v/>
      </c>
      <c r="K6917" s="100"/>
      <c r="M6917" s="100"/>
      <c r="N6917" s="100"/>
      <c r="O6917" s="100"/>
      <c r="P6917" s="100"/>
    </row>
    <row r="6918">
      <c r="A6918" s="126">
        <v>1643133.0</v>
      </c>
      <c r="B6918" s="141" t="s">
        <v>247</v>
      </c>
      <c r="C6918" s="141" t="s">
        <v>1888</v>
      </c>
      <c r="D6918" s="24"/>
      <c r="E6918" s="24">
        <v>49.2</v>
      </c>
      <c r="F6918" s="111" t="str">
        <f>DataPull!D6918</f>
        <v/>
      </c>
      <c r="G6918" s="94" t="str">
        <f t="shared" si="2"/>
        <v/>
      </c>
      <c r="H6918" s="94" t="str">
        <f t="shared" si="3"/>
        <v/>
      </c>
      <c r="I6918" s="94" t="str">
        <f t="shared" ref="I6918:J6918" si="6919">if(G6918 = "", , -G6918)</f>
        <v/>
      </c>
      <c r="J6918" s="94" t="str">
        <f t="shared" si="6919"/>
        <v/>
      </c>
      <c r="K6918" s="100"/>
      <c r="M6918" s="100"/>
      <c r="N6918" s="100"/>
      <c r="O6918" s="100"/>
      <c r="P6918" s="100"/>
    </row>
    <row r="6919">
      <c r="A6919" s="114">
        <v>1643141.0</v>
      </c>
      <c r="B6919" s="131" t="s">
        <v>247</v>
      </c>
      <c r="C6919" s="131" t="s">
        <v>1889</v>
      </c>
      <c r="D6919" s="24" t="s">
        <v>187</v>
      </c>
      <c r="E6919" s="24">
        <v>32.0</v>
      </c>
      <c r="F6919" s="111" t="str">
        <f>DataPull!D6919</f>
        <v/>
      </c>
      <c r="G6919" s="94" t="str">
        <f t="shared" si="2"/>
        <v/>
      </c>
      <c r="H6919" s="94" t="str">
        <f t="shared" si="3"/>
        <v/>
      </c>
      <c r="I6919" s="94" t="str">
        <f t="shared" ref="I6919:J6919" si="6920">if(G6919 = "", , -G6919)</f>
        <v/>
      </c>
      <c r="J6919" s="94" t="str">
        <f t="shared" si="6920"/>
        <v/>
      </c>
      <c r="K6919" s="100"/>
      <c r="M6919" s="100"/>
      <c r="N6919" s="100"/>
      <c r="O6919" s="100"/>
      <c r="P6919" s="100"/>
    </row>
    <row r="6920">
      <c r="A6920" s="126">
        <v>1643257.0</v>
      </c>
      <c r="B6920" s="141" t="s">
        <v>247</v>
      </c>
      <c r="C6920" s="141" t="s">
        <v>1890</v>
      </c>
      <c r="D6920" s="24"/>
      <c r="E6920" s="24">
        <v>22.5</v>
      </c>
      <c r="F6920" s="111" t="str">
        <f>DataPull!D6920</f>
        <v/>
      </c>
      <c r="G6920" s="94" t="str">
        <f t="shared" si="2"/>
        <v/>
      </c>
      <c r="H6920" s="94" t="str">
        <f t="shared" si="3"/>
        <v/>
      </c>
      <c r="I6920" s="94" t="str">
        <f t="shared" ref="I6920:J6920" si="6921">if(G6920 = "", , -G6920)</f>
        <v/>
      </c>
      <c r="J6920" s="94" t="str">
        <f t="shared" si="6921"/>
        <v/>
      </c>
      <c r="K6920" s="100"/>
      <c r="M6920" s="100"/>
      <c r="N6920" s="100"/>
      <c r="O6920" s="100"/>
      <c r="P6920" s="100"/>
    </row>
  </sheetData>
  <autoFilter ref="$A$1:$J$6920">
    <sortState ref="A1:J6920">
      <sortCondition ref="A1:A6920"/>
      <sortCondition ref="B1:B6920"/>
      <sortCondition descending="1" ref="E1:E6920"/>
    </sortState>
  </autoFilter>
  <conditionalFormatting sqref="C558">
    <cfRule type="cellIs" dxfId="13" priority="1" operator="lessThanOrEqual">
      <formula>0</formula>
    </cfRule>
  </conditionalFormatting>
  <conditionalFormatting sqref="C558">
    <cfRule type="cellIs" dxfId="14" priority="2" operator="between">
      <formula>0.985</formula>
      <formula>1.001</formula>
    </cfRule>
  </conditionalFormatting>
  <conditionalFormatting sqref="C558">
    <cfRule type="cellIs" dxfId="2" priority="3" operator="between">
      <formula>0.965</formula>
      <formula>0.985</formula>
    </cfRule>
  </conditionalFormatting>
  <conditionalFormatting sqref="C558">
    <cfRule type="cellIs" dxfId="3" priority="4" operator="between">
      <formula>0.945</formula>
      <formula>0.965</formula>
    </cfRule>
  </conditionalFormatting>
  <conditionalFormatting sqref="C558">
    <cfRule type="cellIs" dxfId="4" priority="5" operator="between">
      <formula>0.915</formula>
      <formula>0.945</formula>
    </cfRule>
  </conditionalFormatting>
  <conditionalFormatting sqref="C558">
    <cfRule type="cellIs" dxfId="5" priority="6" operator="between">
      <formula>0.895</formula>
      <formula>0.915</formula>
    </cfRule>
  </conditionalFormatting>
  <conditionalFormatting sqref="C558">
    <cfRule type="cellIs" dxfId="6" priority="7" operator="between">
      <formula>0.865</formula>
      <formula>0.895</formula>
    </cfRule>
  </conditionalFormatting>
  <conditionalFormatting sqref="C558">
    <cfRule type="cellIs" dxfId="7" priority="8" operator="between">
      <formula>0.795</formula>
      <formula>0.835</formula>
    </cfRule>
  </conditionalFormatting>
  <conditionalFormatting sqref="C558">
    <cfRule type="cellIs" dxfId="8" priority="9" operator="between">
      <formula>0.835</formula>
      <formula>0.865</formula>
    </cfRule>
  </conditionalFormatting>
  <conditionalFormatting sqref="C558">
    <cfRule type="cellIs" dxfId="9" priority="10" operator="between">
      <formula>0.695</formula>
      <formula>0.745</formula>
    </cfRule>
  </conditionalFormatting>
  <conditionalFormatting sqref="C558">
    <cfRule type="cellIs" dxfId="10" priority="11" operator="between">
      <formula>0.795</formula>
      <formula>0.745</formula>
    </cfRule>
  </conditionalFormatting>
  <conditionalFormatting sqref="C558">
    <cfRule type="colorScale" priority="12">
      <colorScale>
        <cfvo type="percent" val="0.005"/>
        <cfvo type="percent" val="0.5"/>
        <cfvo type="percent" val="0.695"/>
        <color rgb="FF000000"/>
        <color rgb="FF180C00"/>
        <color rgb="FF60482E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9.75"/>
    <col customWidth="1" min="3" max="3" width="23.13"/>
    <col customWidth="1" min="4" max="4" width="19.25"/>
    <col customWidth="1" min="5" max="6" width="26.63"/>
    <col customWidth="1" min="7" max="7" width="13.5"/>
    <col customWidth="1" min="8" max="9" width="24.75"/>
    <col customWidth="1" min="10" max="10" width="14.38"/>
  </cols>
  <sheetData>
    <row r="1">
      <c r="A1" s="102" t="s">
        <v>172</v>
      </c>
      <c r="B1" s="67" t="s">
        <v>1</v>
      </c>
      <c r="C1" s="67" t="s">
        <v>2</v>
      </c>
      <c r="D1" s="150" t="str">
        <f>I2</f>
        <v/>
      </c>
      <c r="E1" s="93" t="str">
        <f>D1</f>
        <v/>
      </c>
      <c r="F1" s="100" t="str">
        <f>IFERROR(VLOOKUP(CONCAT(E1,#REF!), I$3:L$6923, 4, False), if(int(right(E1, 2)) &lt; 16, ,0))</f>
        <v/>
      </c>
      <c r="L1" s="100"/>
    </row>
    <row r="2">
      <c r="A2" s="107">
        <v>708.0</v>
      </c>
      <c r="B2" s="108" t="s">
        <v>85</v>
      </c>
      <c r="C2" s="109" t="s">
        <v>86</v>
      </c>
      <c r="D2" s="100" t="str">
        <f t="shared" ref="D2:D7047" si="1">IFERROR(VLOOKUP(CONCAT($B2,$C2), $F$3:$I$6999, 4, False), if(int(right($B2, 2)) &lt; 25, ,))</f>
        <v/>
      </c>
      <c r="E2" s="100" t="str">
        <f t="shared" ref="E2:E7047" si="2">IFERROR(VLOOKUP(C2, H$3:J$7017, 2, False), )</f>
        <v/>
      </c>
      <c r="F2" s="100"/>
      <c r="G2" s="151"/>
      <c r="H2" s="152"/>
      <c r="I2" s="153"/>
      <c r="J2" s="154" t="s">
        <v>1891</v>
      </c>
      <c r="K2" s="155"/>
      <c r="L2" s="100"/>
    </row>
    <row r="3" ht="18.0" customHeight="1">
      <c r="A3" s="107">
        <v>708.0</v>
      </c>
      <c r="B3" s="108" t="s">
        <v>90</v>
      </c>
      <c r="C3" s="108" t="s">
        <v>86</v>
      </c>
      <c r="D3" s="100" t="str">
        <f t="shared" si="1"/>
        <v/>
      </c>
      <c r="E3" s="100" t="str">
        <f t="shared" si="2"/>
        <v/>
      </c>
      <c r="F3" s="100" t="str">
        <f t="shared" ref="F3:F7047" si="3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ONCAT(G3,H3), "ä", "a"), "ā", "a"), "ë", "e"), "ö", "o"), "ū", "u"), "Š", "S"), "ģ", "g"), "ć", "c"), "č", "c"), "ž", "z"), "đ", "d"), "š", "s"), "á", "a"), "é", "e"), "í", "i"), "ñ", "n"),"ņ", "n"), "'", ""), ".", ""), "Jakob Poltl", "Jakob Poeltl"), "Kenyon Martin Jr", "Kenyon Martin"), "Reggie Bullock Jr", "Reggie Bullock"), "Xavier Tillman Sr", "Xavier Tillman"), "KJ Martin", "Kenyon Martin"), "Č", "C"), " III",), "ü", "u"), "ô", "o"), "Brandon Boston Jr", "Brandon Boston"), "Carlton Carrington", "Bub Carrington")
</f>
        <v/>
      </c>
      <c r="G3" s="151"/>
      <c r="H3" s="156"/>
      <c r="I3" s="157"/>
      <c r="J3" s="158">
        <v>54.0</v>
      </c>
      <c r="K3" s="94">
        <f>I3+J3</f>
        <v>54</v>
      </c>
      <c r="L3" s="94">
        <f>I3-J3</f>
        <v>-54</v>
      </c>
      <c r="M3" s="159"/>
      <c r="N3" s="94">
        <f>I3*J3</f>
        <v>0</v>
      </c>
      <c r="Q3" s="100"/>
      <c r="R3" s="100"/>
      <c r="S3" s="100"/>
      <c r="T3" s="100"/>
      <c r="U3" s="100"/>
      <c r="V3" s="100"/>
      <c r="W3" s="100"/>
    </row>
    <row r="4">
      <c r="A4" s="107">
        <v>708.0</v>
      </c>
      <c r="B4" s="108" t="s">
        <v>92</v>
      </c>
      <c r="C4" s="108" t="s">
        <v>86</v>
      </c>
      <c r="D4" s="100" t="str">
        <f t="shared" si="1"/>
        <v/>
      </c>
      <c r="E4" s="100" t="str">
        <f t="shared" si="2"/>
        <v/>
      </c>
      <c r="F4" s="100" t="str">
        <f t="shared" si="3"/>
        <v/>
      </c>
      <c r="G4" s="151"/>
      <c r="H4" s="160"/>
      <c r="I4" s="157"/>
      <c r="J4" s="161">
        <v>47.0</v>
      </c>
      <c r="L4" s="94"/>
      <c r="M4" s="159"/>
      <c r="N4" s="94"/>
    </row>
    <row r="5">
      <c r="A5" s="107">
        <v>951.0</v>
      </c>
      <c r="B5" s="108" t="s">
        <v>85</v>
      </c>
      <c r="C5" s="108" t="s">
        <v>94</v>
      </c>
      <c r="D5" s="100" t="str">
        <f t="shared" si="1"/>
        <v/>
      </c>
      <c r="E5" s="100" t="str">
        <f t="shared" si="2"/>
        <v/>
      </c>
      <c r="F5" s="100" t="str">
        <f t="shared" si="3"/>
        <v/>
      </c>
      <c r="G5" s="151"/>
      <c r="H5" s="156"/>
      <c r="I5" s="157"/>
      <c r="J5" s="158">
        <v>38.0</v>
      </c>
      <c r="L5" s="94"/>
      <c r="M5" s="159"/>
      <c r="N5" s="94"/>
    </row>
    <row r="6">
      <c r="A6" s="107">
        <v>959.0</v>
      </c>
      <c r="B6" s="108" t="s">
        <v>85</v>
      </c>
      <c r="C6" s="108" t="s">
        <v>98</v>
      </c>
      <c r="D6" s="100" t="str">
        <f t="shared" si="1"/>
        <v/>
      </c>
      <c r="E6" s="100" t="str">
        <f t="shared" si="2"/>
        <v/>
      </c>
      <c r="F6" s="100" t="str">
        <f t="shared" si="3"/>
        <v/>
      </c>
      <c r="G6" s="151"/>
      <c r="H6" s="160"/>
      <c r="I6" s="157"/>
      <c r="J6" s="161">
        <v>73.0</v>
      </c>
      <c r="L6" s="94"/>
      <c r="M6" s="159"/>
      <c r="N6" s="94"/>
    </row>
    <row r="7">
      <c r="A7" s="107">
        <v>965.0</v>
      </c>
      <c r="B7" s="108" t="s">
        <v>85</v>
      </c>
      <c r="C7" s="108" t="s">
        <v>179</v>
      </c>
      <c r="D7" s="100" t="str">
        <f t="shared" si="1"/>
        <v/>
      </c>
      <c r="E7" s="100" t="str">
        <f t="shared" si="2"/>
        <v/>
      </c>
      <c r="F7" s="100" t="str">
        <f t="shared" si="3"/>
        <v/>
      </c>
      <c r="G7" s="151"/>
      <c r="H7" s="156"/>
      <c r="I7" s="157"/>
      <c r="J7" s="158">
        <v>15.0</v>
      </c>
      <c r="L7" s="94"/>
      <c r="M7" s="159"/>
      <c r="N7" s="94"/>
    </row>
    <row r="8">
      <c r="A8" s="107">
        <v>977.0</v>
      </c>
      <c r="B8" s="108" t="s">
        <v>85</v>
      </c>
      <c r="C8" s="108" t="s">
        <v>180</v>
      </c>
      <c r="D8" s="100" t="str">
        <f t="shared" si="1"/>
        <v/>
      </c>
      <c r="E8" s="100" t="str">
        <f t="shared" si="2"/>
        <v/>
      </c>
      <c r="F8" s="100" t="str">
        <f t="shared" si="3"/>
        <v/>
      </c>
      <c r="G8" s="151"/>
      <c r="H8" s="160"/>
      <c r="I8" s="157"/>
      <c r="J8" s="161"/>
      <c r="L8" s="94"/>
      <c r="M8" s="159"/>
      <c r="N8" s="94"/>
    </row>
    <row r="9">
      <c r="A9" s="107">
        <v>977.0</v>
      </c>
      <c r="B9" s="108" t="s">
        <v>90</v>
      </c>
      <c r="C9" s="108" t="s">
        <v>180</v>
      </c>
      <c r="D9" s="100" t="str">
        <f t="shared" si="1"/>
        <v/>
      </c>
      <c r="E9" s="100" t="str">
        <f t="shared" si="2"/>
        <v/>
      </c>
      <c r="F9" s="100" t="str">
        <f t="shared" si="3"/>
        <v/>
      </c>
      <c r="G9" s="151"/>
      <c r="H9" s="156"/>
      <c r="I9" s="157"/>
      <c r="J9" s="158"/>
      <c r="L9" s="94"/>
      <c r="M9" s="159"/>
      <c r="N9" s="94"/>
    </row>
    <row r="10">
      <c r="A10" s="107">
        <v>977.0</v>
      </c>
      <c r="B10" s="108" t="s">
        <v>92</v>
      </c>
      <c r="C10" s="108" t="s">
        <v>180</v>
      </c>
      <c r="D10" s="100" t="str">
        <f t="shared" si="1"/>
        <v/>
      </c>
      <c r="E10" s="100" t="str">
        <f t="shared" si="2"/>
        <v/>
      </c>
      <c r="F10" s="100" t="str">
        <f t="shared" si="3"/>
        <v/>
      </c>
      <c r="G10" s="151"/>
      <c r="H10" s="160"/>
      <c r="I10" s="157"/>
      <c r="J10" s="161"/>
      <c r="L10" s="94"/>
      <c r="M10" s="159"/>
      <c r="N10" s="94"/>
    </row>
    <row r="11">
      <c r="A11" s="107">
        <v>979.0</v>
      </c>
      <c r="B11" s="108" t="s">
        <v>85</v>
      </c>
      <c r="C11" s="108" t="s">
        <v>182</v>
      </c>
      <c r="D11" s="100" t="str">
        <f t="shared" si="1"/>
        <v/>
      </c>
      <c r="E11" s="100" t="str">
        <f t="shared" si="2"/>
        <v/>
      </c>
      <c r="F11" s="100" t="str">
        <f t="shared" si="3"/>
        <v/>
      </c>
      <c r="G11" s="151"/>
      <c r="H11" s="156"/>
      <c r="I11" s="157"/>
      <c r="J11" s="158"/>
      <c r="L11" s="94"/>
      <c r="M11" s="159"/>
      <c r="N11" s="94"/>
    </row>
    <row r="12">
      <c r="A12" s="107">
        <v>1495.0</v>
      </c>
      <c r="B12" s="108" t="s">
        <v>85</v>
      </c>
      <c r="C12" s="108" t="s">
        <v>183</v>
      </c>
      <c r="D12" s="100" t="str">
        <f t="shared" si="1"/>
        <v/>
      </c>
      <c r="E12" s="100" t="str">
        <f t="shared" si="2"/>
        <v/>
      </c>
      <c r="F12" s="100" t="str">
        <f t="shared" si="3"/>
        <v/>
      </c>
      <c r="G12" s="151"/>
      <c r="H12" s="160"/>
      <c r="I12" s="157"/>
      <c r="J12" s="161"/>
      <c r="L12" s="94"/>
      <c r="M12" s="159"/>
      <c r="N12" s="94"/>
    </row>
    <row r="13">
      <c r="A13" s="107">
        <v>1495.0</v>
      </c>
      <c r="B13" s="108" t="s">
        <v>90</v>
      </c>
      <c r="C13" s="108" t="s">
        <v>183</v>
      </c>
      <c r="D13" s="100" t="str">
        <f t="shared" si="1"/>
        <v/>
      </c>
      <c r="E13" s="100" t="str">
        <f t="shared" si="2"/>
        <v/>
      </c>
      <c r="F13" s="100" t="str">
        <f t="shared" si="3"/>
        <v/>
      </c>
      <c r="G13" s="151"/>
      <c r="H13" s="156"/>
      <c r="I13" s="157"/>
      <c r="J13" s="158"/>
      <c r="L13" s="94"/>
      <c r="M13" s="159"/>
      <c r="N13" s="94"/>
    </row>
    <row r="14">
      <c r="A14" s="107">
        <v>1495.0</v>
      </c>
      <c r="B14" s="108" t="s">
        <v>92</v>
      </c>
      <c r="C14" s="108" t="s">
        <v>183</v>
      </c>
      <c r="D14" s="100" t="str">
        <f t="shared" si="1"/>
        <v/>
      </c>
      <c r="E14" s="100" t="str">
        <f t="shared" si="2"/>
        <v/>
      </c>
      <c r="F14" s="100" t="str">
        <f t="shared" si="3"/>
        <v/>
      </c>
      <c r="G14" s="151"/>
      <c r="H14" s="160"/>
      <c r="I14" s="157"/>
      <c r="J14" s="161"/>
      <c r="L14" s="94"/>
      <c r="M14" s="159"/>
      <c r="N14" s="94"/>
    </row>
    <row r="15">
      <c r="A15" s="107">
        <v>1497.0</v>
      </c>
      <c r="B15" s="108" t="s">
        <v>85</v>
      </c>
      <c r="C15" s="108" t="s">
        <v>185</v>
      </c>
      <c r="D15" s="100" t="str">
        <f t="shared" si="1"/>
        <v/>
      </c>
      <c r="E15" s="100" t="str">
        <f t="shared" si="2"/>
        <v/>
      </c>
      <c r="F15" s="100" t="str">
        <f t="shared" si="3"/>
        <v/>
      </c>
      <c r="G15" s="151"/>
      <c r="H15" s="156"/>
      <c r="I15" s="157"/>
      <c r="J15" s="158"/>
      <c r="L15" s="94"/>
      <c r="M15" s="159"/>
      <c r="N15" s="94"/>
    </row>
    <row r="16">
      <c r="A16" s="107">
        <v>1536.0</v>
      </c>
      <c r="B16" s="108" t="s">
        <v>85</v>
      </c>
      <c r="C16" s="108" t="s">
        <v>186</v>
      </c>
      <c r="D16" s="100" t="str">
        <f t="shared" si="1"/>
        <v/>
      </c>
      <c r="E16" s="100" t="str">
        <f t="shared" si="2"/>
        <v/>
      </c>
      <c r="F16" s="100" t="str">
        <f t="shared" si="3"/>
        <v/>
      </c>
      <c r="G16" s="151"/>
      <c r="H16" s="160"/>
      <c r="I16" s="157"/>
      <c r="J16" s="161"/>
      <c r="L16" s="94"/>
      <c r="M16" s="159"/>
      <c r="N16" s="94"/>
    </row>
    <row r="17">
      <c r="A17" s="107">
        <v>1712.0</v>
      </c>
      <c r="B17" s="108" t="s">
        <v>85</v>
      </c>
      <c r="C17" s="108" t="s">
        <v>188</v>
      </c>
      <c r="D17" s="100" t="str">
        <f t="shared" si="1"/>
        <v/>
      </c>
      <c r="E17" s="100" t="str">
        <f t="shared" si="2"/>
        <v/>
      </c>
      <c r="F17" s="100" t="str">
        <f t="shared" si="3"/>
        <v/>
      </c>
      <c r="G17" s="151"/>
      <c r="H17" s="156"/>
      <c r="I17" s="157"/>
      <c r="J17" s="158"/>
      <c r="L17" s="94"/>
      <c r="M17" s="159"/>
      <c r="N17" s="94"/>
    </row>
    <row r="18">
      <c r="A18" s="107">
        <v>1713.0</v>
      </c>
      <c r="B18" s="108" t="s">
        <v>85</v>
      </c>
      <c r="C18" s="108" t="s">
        <v>189</v>
      </c>
      <c r="D18" s="100" t="str">
        <f t="shared" si="1"/>
        <v/>
      </c>
      <c r="E18" s="100" t="str">
        <f t="shared" si="2"/>
        <v/>
      </c>
      <c r="F18" s="100" t="str">
        <f t="shared" si="3"/>
        <v/>
      </c>
      <c r="G18" s="151"/>
      <c r="H18" s="160"/>
      <c r="I18" s="157"/>
      <c r="J18" s="161"/>
      <c r="L18" s="94"/>
      <c r="M18" s="159"/>
      <c r="N18" s="94"/>
    </row>
    <row r="19">
      <c r="A19" s="107">
        <v>1713.0</v>
      </c>
      <c r="B19" s="108" t="s">
        <v>90</v>
      </c>
      <c r="C19" s="108" t="s">
        <v>189</v>
      </c>
      <c r="D19" s="100" t="str">
        <f t="shared" si="1"/>
        <v/>
      </c>
      <c r="E19" s="100" t="str">
        <f t="shared" si="2"/>
        <v/>
      </c>
      <c r="F19" s="100" t="str">
        <f t="shared" si="3"/>
        <v/>
      </c>
      <c r="G19" s="151"/>
      <c r="H19" s="156"/>
      <c r="I19" s="157"/>
      <c r="J19" s="158"/>
      <c r="L19" s="94"/>
      <c r="M19" s="159"/>
      <c r="N19" s="94"/>
    </row>
    <row r="20">
      <c r="A20" s="107">
        <v>1713.0</v>
      </c>
      <c r="B20" s="108" t="s">
        <v>92</v>
      </c>
      <c r="C20" s="108" t="s">
        <v>189</v>
      </c>
      <c r="D20" s="100" t="str">
        <f t="shared" si="1"/>
        <v/>
      </c>
      <c r="E20" s="100" t="str">
        <f t="shared" si="2"/>
        <v/>
      </c>
      <c r="F20" s="100" t="str">
        <f t="shared" si="3"/>
        <v/>
      </c>
      <c r="G20" s="151"/>
      <c r="H20" s="160"/>
      <c r="I20" s="157"/>
      <c r="J20" s="161"/>
      <c r="L20" s="94"/>
      <c r="M20" s="159"/>
      <c r="N20" s="94"/>
    </row>
    <row r="21">
      <c r="A21" s="107">
        <v>1713.0</v>
      </c>
      <c r="B21" s="108" t="s">
        <v>190</v>
      </c>
      <c r="C21" s="108" t="s">
        <v>189</v>
      </c>
      <c r="D21" s="100" t="str">
        <f t="shared" si="1"/>
        <v/>
      </c>
      <c r="E21" s="100" t="str">
        <f t="shared" si="2"/>
        <v/>
      </c>
      <c r="F21" s="100" t="str">
        <f t="shared" si="3"/>
        <v/>
      </c>
      <c r="G21" s="151"/>
      <c r="H21" s="156"/>
      <c r="I21" s="157"/>
      <c r="J21" s="158"/>
      <c r="L21" s="94"/>
      <c r="M21" s="159"/>
      <c r="N21" s="94"/>
    </row>
    <row r="22">
      <c r="A22" s="107">
        <v>1713.0</v>
      </c>
      <c r="B22" s="108" t="s">
        <v>191</v>
      </c>
      <c r="C22" s="108" t="s">
        <v>189</v>
      </c>
      <c r="D22" s="100" t="str">
        <f t="shared" si="1"/>
        <v/>
      </c>
      <c r="E22" s="100" t="str">
        <f t="shared" si="2"/>
        <v/>
      </c>
      <c r="F22" s="100" t="str">
        <f t="shared" si="3"/>
        <v/>
      </c>
      <c r="G22" s="151"/>
      <c r="H22" s="160"/>
      <c r="I22" s="157"/>
      <c r="J22" s="161"/>
      <c r="L22" s="94"/>
      <c r="M22" s="159"/>
      <c r="N22" s="94"/>
    </row>
    <row r="23">
      <c r="A23" s="107">
        <v>1713.0</v>
      </c>
      <c r="B23" s="108" t="s">
        <v>192</v>
      </c>
      <c r="C23" s="108" t="s">
        <v>189</v>
      </c>
      <c r="D23" s="100" t="str">
        <f t="shared" si="1"/>
        <v/>
      </c>
      <c r="E23" s="100" t="str">
        <f t="shared" si="2"/>
        <v/>
      </c>
      <c r="F23" s="100" t="str">
        <f t="shared" si="3"/>
        <v/>
      </c>
      <c r="G23" s="151"/>
      <c r="H23" s="156"/>
      <c r="I23" s="157"/>
      <c r="J23" s="158"/>
      <c r="L23" s="94"/>
      <c r="M23" s="159"/>
      <c r="N23" s="94"/>
    </row>
    <row r="24">
      <c r="A24" s="107">
        <v>1713.0</v>
      </c>
      <c r="B24" s="108" t="s">
        <v>193</v>
      </c>
      <c r="C24" s="108" t="s">
        <v>189</v>
      </c>
      <c r="D24" s="100" t="str">
        <f t="shared" si="1"/>
        <v/>
      </c>
      <c r="E24" s="100" t="str">
        <f t="shared" si="2"/>
        <v/>
      </c>
      <c r="F24" s="100" t="str">
        <f t="shared" si="3"/>
        <v/>
      </c>
      <c r="G24" s="151"/>
      <c r="H24" s="160"/>
      <c r="I24" s="157"/>
      <c r="J24" s="161"/>
      <c r="L24" s="94"/>
      <c r="M24" s="159"/>
      <c r="N24" s="94"/>
    </row>
    <row r="25">
      <c r="A25" s="107">
        <v>1717.0</v>
      </c>
      <c r="B25" s="108" t="s">
        <v>85</v>
      </c>
      <c r="C25" s="108" t="s">
        <v>194</v>
      </c>
      <c r="D25" s="100" t="str">
        <f t="shared" si="1"/>
        <v/>
      </c>
      <c r="E25" s="100" t="str">
        <f t="shared" si="2"/>
        <v/>
      </c>
      <c r="F25" s="100" t="str">
        <f t="shared" si="3"/>
        <v/>
      </c>
      <c r="G25" s="151"/>
      <c r="H25" s="156"/>
      <c r="I25" s="157"/>
      <c r="J25" s="158"/>
      <c r="L25" s="94"/>
      <c r="M25" s="159"/>
      <c r="N25" s="94"/>
    </row>
    <row r="26">
      <c r="A26" s="107">
        <v>1717.0</v>
      </c>
      <c r="B26" s="108" t="s">
        <v>90</v>
      </c>
      <c r="C26" s="108" t="s">
        <v>194</v>
      </c>
      <c r="D26" s="100" t="str">
        <f t="shared" si="1"/>
        <v/>
      </c>
      <c r="E26" s="100" t="str">
        <f t="shared" si="2"/>
        <v/>
      </c>
      <c r="F26" s="100" t="str">
        <f t="shared" si="3"/>
        <v/>
      </c>
      <c r="G26" s="151"/>
      <c r="H26" s="160"/>
      <c r="I26" s="157"/>
      <c r="J26" s="161"/>
      <c r="L26" s="94"/>
      <c r="M26" s="159"/>
      <c r="N26" s="94"/>
    </row>
    <row r="27">
      <c r="A27" s="107">
        <v>1717.0</v>
      </c>
      <c r="B27" s="108" t="s">
        <v>92</v>
      </c>
      <c r="C27" s="108" t="s">
        <v>194</v>
      </c>
      <c r="D27" s="100" t="str">
        <f t="shared" si="1"/>
        <v/>
      </c>
      <c r="E27" s="100" t="str">
        <f t="shared" si="2"/>
        <v/>
      </c>
      <c r="F27" s="100" t="str">
        <f t="shared" si="3"/>
        <v/>
      </c>
      <c r="G27" s="151"/>
      <c r="H27" s="156"/>
      <c r="I27" s="157"/>
      <c r="J27" s="158"/>
      <c r="L27" s="94"/>
      <c r="M27" s="159"/>
      <c r="N27" s="94"/>
    </row>
    <row r="28">
      <c r="A28" s="107">
        <v>1717.0</v>
      </c>
      <c r="B28" s="108" t="s">
        <v>190</v>
      </c>
      <c r="C28" s="108" t="s">
        <v>194</v>
      </c>
      <c r="D28" s="100" t="str">
        <f t="shared" si="1"/>
        <v/>
      </c>
      <c r="E28" s="100" t="str">
        <f t="shared" si="2"/>
        <v/>
      </c>
      <c r="F28" s="100" t="str">
        <f t="shared" si="3"/>
        <v/>
      </c>
      <c r="G28" s="151"/>
      <c r="H28" s="160"/>
      <c r="I28" s="157"/>
      <c r="J28" s="161"/>
      <c r="L28" s="94"/>
      <c r="M28" s="159"/>
      <c r="N28" s="94"/>
    </row>
    <row r="29">
      <c r="A29" s="107">
        <v>1717.0</v>
      </c>
      <c r="B29" s="108" t="s">
        <v>191</v>
      </c>
      <c r="C29" s="108" t="s">
        <v>194</v>
      </c>
      <c r="D29" s="100" t="str">
        <f t="shared" si="1"/>
        <v/>
      </c>
      <c r="E29" s="100" t="str">
        <f t="shared" si="2"/>
        <v/>
      </c>
      <c r="F29" s="100" t="str">
        <f t="shared" si="3"/>
        <v/>
      </c>
      <c r="G29" s="151"/>
      <c r="H29" s="156"/>
      <c r="I29" s="157"/>
      <c r="J29" s="158"/>
      <c r="L29" s="94"/>
      <c r="M29" s="159"/>
      <c r="N29" s="94"/>
    </row>
    <row r="30">
      <c r="A30" s="107">
        <v>1717.0</v>
      </c>
      <c r="B30" s="108" t="s">
        <v>192</v>
      </c>
      <c r="C30" s="108" t="s">
        <v>194</v>
      </c>
      <c r="D30" s="100" t="str">
        <f t="shared" si="1"/>
        <v/>
      </c>
      <c r="E30" s="100" t="str">
        <f t="shared" si="2"/>
        <v/>
      </c>
      <c r="F30" s="100" t="str">
        <f t="shared" si="3"/>
        <v/>
      </c>
      <c r="G30" s="151"/>
      <c r="H30" s="160"/>
      <c r="I30" s="157"/>
      <c r="J30" s="161"/>
      <c r="L30" s="94"/>
      <c r="M30" s="159"/>
      <c r="N30" s="94"/>
    </row>
    <row r="31">
      <c r="A31" s="107">
        <v>1718.0</v>
      </c>
      <c r="B31" s="108" t="s">
        <v>85</v>
      </c>
      <c r="C31" s="108" t="s">
        <v>195</v>
      </c>
      <c r="D31" s="100" t="str">
        <f t="shared" si="1"/>
        <v/>
      </c>
      <c r="E31" s="100" t="str">
        <f t="shared" si="2"/>
        <v/>
      </c>
      <c r="F31" s="100" t="str">
        <f t="shared" si="3"/>
        <v/>
      </c>
      <c r="G31" s="151"/>
      <c r="H31" s="156"/>
      <c r="I31" s="157"/>
      <c r="J31" s="158"/>
      <c r="L31" s="94"/>
      <c r="M31" s="159"/>
      <c r="N31" s="94"/>
    </row>
    <row r="32">
      <c r="A32" s="107">
        <v>1718.0</v>
      </c>
      <c r="B32" s="108" t="s">
        <v>90</v>
      </c>
      <c r="C32" s="108" t="s">
        <v>195</v>
      </c>
      <c r="D32" s="100" t="str">
        <f t="shared" si="1"/>
        <v/>
      </c>
      <c r="E32" s="100" t="str">
        <f t="shared" si="2"/>
        <v/>
      </c>
      <c r="F32" s="100" t="str">
        <f t="shared" si="3"/>
        <v/>
      </c>
      <c r="G32" s="151"/>
      <c r="H32" s="160"/>
      <c r="I32" s="157"/>
      <c r="J32" s="161"/>
      <c r="L32" s="94"/>
      <c r="M32" s="159"/>
      <c r="N32" s="94"/>
    </row>
    <row r="33">
      <c r="A33" s="107">
        <v>1718.0</v>
      </c>
      <c r="B33" s="108" t="s">
        <v>92</v>
      </c>
      <c r="C33" s="108" t="s">
        <v>195</v>
      </c>
      <c r="D33" s="100" t="str">
        <f t="shared" si="1"/>
        <v/>
      </c>
      <c r="E33" s="100" t="str">
        <f t="shared" si="2"/>
        <v/>
      </c>
      <c r="F33" s="100" t="str">
        <f t="shared" si="3"/>
        <v/>
      </c>
      <c r="G33" s="151"/>
      <c r="H33" s="156"/>
      <c r="I33" s="157"/>
      <c r="J33" s="158"/>
      <c r="L33" s="94"/>
      <c r="M33" s="159"/>
      <c r="N33" s="94"/>
    </row>
    <row r="34">
      <c r="A34" s="107">
        <v>1718.0</v>
      </c>
      <c r="B34" s="108" t="s">
        <v>190</v>
      </c>
      <c r="C34" s="108" t="s">
        <v>195</v>
      </c>
      <c r="D34" s="100" t="str">
        <f t="shared" si="1"/>
        <v/>
      </c>
      <c r="E34" s="100" t="str">
        <f t="shared" si="2"/>
        <v/>
      </c>
      <c r="F34" s="100" t="str">
        <f t="shared" si="3"/>
        <v/>
      </c>
      <c r="G34" s="151"/>
      <c r="H34" s="160"/>
      <c r="I34" s="157"/>
      <c r="J34" s="161"/>
      <c r="L34" s="94"/>
      <c r="M34" s="159"/>
      <c r="N34" s="94"/>
    </row>
    <row r="35">
      <c r="A35" s="107">
        <v>1733.0</v>
      </c>
      <c r="B35" s="108" t="s">
        <v>85</v>
      </c>
      <c r="C35" s="108" t="s">
        <v>196</v>
      </c>
      <c r="D35" s="100" t="str">
        <f t="shared" si="1"/>
        <v/>
      </c>
      <c r="E35" s="100" t="str">
        <f t="shared" si="2"/>
        <v/>
      </c>
      <c r="F35" s="100" t="str">
        <f t="shared" si="3"/>
        <v/>
      </c>
      <c r="G35" s="151"/>
      <c r="H35" s="156"/>
      <c r="I35" s="157"/>
      <c r="J35" s="158"/>
      <c r="L35" s="94"/>
      <c r="M35" s="159"/>
      <c r="N35" s="94"/>
    </row>
    <row r="36">
      <c r="A36" s="107">
        <v>1737.0</v>
      </c>
      <c r="B36" s="108" t="s">
        <v>85</v>
      </c>
      <c r="C36" s="108" t="s">
        <v>197</v>
      </c>
      <c r="D36" s="100" t="str">
        <f t="shared" si="1"/>
        <v/>
      </c>
      <c r="E36" s="100" t="str">
        <f t="shared" si="2"/>
        <v/>
      </c>
      <c r="F36" s="100" t="str">
        <f t="shared" si="3"/>
        <v/>
      </c>
      <c r="G36" s="151"/>
      <c r="H36" s="160"/>
      <c r="I36" s="157"/>
      <c r="J36" s="161"/>
      <c r="L36" s="94"/>
      <c r="M36" s="159"/>
      <c r="N36" s="94"/>
    </row>
    <row r="37">
      <c r="A37" s="107">
        <v>1737.0</v>
      </c>
      <c r="B37" s="108" t="s">
        <v>90</v>
      </c>
      <c r="C37" s="108" t="s">
        <v>197</v>
      </c>
      <c r="D37" s="100" t="str">
        <f t="shared" si="1"/>
        <v/>
      </c>
      <c r="E37" s="100" t="str">
        <f t="shared" si="2"/>
        <v/>
      </c>
      <c r="F37" s="100" t="str">
        <f t="shared" si="3"/>
        <v/>
      </c>
      <c r="G37" s="151"/>
      <c r="H37" s="156"/>
      <c r="I37" s="157"/>
      <c r="J37" s="158"/>
      <c r="L37" s="94"/>
      <c r="M37" s="159"/>
      <c r="N37" s="94"/>
    </row>
    <row r="38">
      <c r="A38" s="107">
        <v>1737.0</v>
      </c>
      <c r="B38" s="108" t="s">
        <v>92</v>
      </c>
      <c r="C38" s="108" t="s">
        <v>197</v>
      </c>
      <c r="D38" s="100" t="str">
        <f t="shared" si="1"/>
        <v/>
      </c>
      <c r="E38" s="100" t="str">
        <f t="shared" si="2"/>
        <v/>
      </c>
      <c r="F38" s="100" t="str">
        <f t="shared" si="3"/>
        <v/>
      </c>
      <c r="G38" s="151"/>
      <c r="H38" s="160"/>
      <c r="I38" s="157"/>
      <c r="J38" s="161"/>
      <c r="L38" s="94"/>
      <c r="M38" s="159"/>
      <c r="N38" s="94"/>
    </row>
    <row r="39">
      <c r="A39" s="107">
        <v>1740.0</v>
      </c>
      <c r="B39" s="108" t="s">
        <v>85</v>
      </c>
      <c r="C39" s="108" t="s">
        <v>198</v>
      </c>
      <c r="D39" s="100" t="str">
        <f t="shared" si="1"/>
        <v/>
      </c>
      <c r="E39" s="100" t="str">
        <f t="shared" si="2"/>
        <v/>
      </c>
      <c r="F39" s="100" t="str">
        <f t="shared" si="3"/>
        <v/>
      </c>
      <c r="G39" s="151"/>
      <c r="H39" s="156"/>
      <c r="I39" s="157"/>
      <c r="J39" s="158"/>
      <c r="L39" s="94"/>
      <c r="M39" s="159"/>
      <c r="N39" s="94"/>
    </row>
    <row r="40">
      <c r="A40" s="107">
        <v>1882.0</v>
      </c>
      <c r="B40" s="108" t="s">
        <v>85</v>
      </c>
      <c r="C40" s="108" t="s">
        <v>199</v>
      </c>
      <c r="D40" s="100" t="str">
        <f t="shared" si="1"/>
        <v/>
      </c>
      <c r="E40" s="100" t="str">
        <f t="shared" si="2"/>
        <v/>
      </c>
      <c r="F40" s="100" t="str">
        <f t="shared" si="3"/>
        <v/>
      </c>
      <c r="G40" s="151"/>
      <c r="H40" s="160"/>
      <c r="I40" s="157"/>
      <c r="J40" s="161"/>
      <c r="L40" s="94"/>
      <c r="M40" s="159"/>
      <c r="N40" s="94"/>
    </row>
    <row r="41">
      <c r="A41" s="107">
        <v>1882.0</v>
      </c>
      <c r="B41" s="108" t="s">
        <v>90</v>
      </c>
      <c r="C41" s="108" t="s">
        <v>199</v>
      </c>
      <c r="D41" s="100" t="str">
        <f t="shared" si="1"/>
        <v/>
      </c>
      <c r="E41" s="100" t="str">
        <f t="shared" si="2"/>
        <v/>
      </c>
      <c r="F41" s="100" t="str">
        <f t="shared" si="3"/>
        <v/>
      </c>
      <c r="G41" s="151"/>
      <c r="H41" s="156"/>
      <c r="I41" s="157"/>
      <c r="J41" s="158"/>
      <c r="L41" s="94"/>
      <c r="M41" s="159"/>
      <c r="N41" s="94"/>
    </row>
    <row r="42">
      <c r="A42" s="107">
        <v>1882.0</v>
      </c>
      <c r="B42" s="108" t="s">
        <v>92</v>
      </c>
      <c r="C42" s="108" t="s">
        <v>199</v>
      </c>
      <c r="D42" s="100" t="str">
        <f t="shared" si="1"/>
        <v/>
      </c>
      <c r="E42" s="100" t="str">
        <f t="shared" si="2"/>
        <v/>
      </c>
      <c r="F42" s="100" t="str">
        <f t="shared" si="3"/>
        <v/>
      </c>
      <c r="G42" s="151"/>
      <c r="H42" s="160"/>
      <c r="I42" s="157"/>
      <c r="J42" s="161"/>
      <c r="L42" s="94"/>
      <c r="M42" s="159"/>
      <c r="N42" s="94"/>
    </row>
    <row r="43">
      <c r="A43" s="107">
        <v>1889.0</v>
      </c>
      <c r="B43" s="108" t="s">
        <v>85</v>
      </c>
      <c r="C43" s="108" t="s">
        <v>200</v>
      </c>
      <c r="D43" s="100" t="str">
        <f t="shared" si="1"/>
        <v/>
      </c>
      <c r="E43" s="100" t="str">
        <f t="shared" si="2"/>
        <v/>
      </c>
      <c r="F43" s="100" t="str">
        <f t="shared" si="3"/>
        <v/>
      </c>
      <c r="G43" s="151"/>
      <c r="H43" s="156"/>
      <c r="I43" s="157"/>
      <c r="J43" s="158"/>
      <c r="L43" s="94"/>
      <c r="M43" s="159"/>
      <c r="N43" s="94"/>
    </row>
    <row r="44">
      <c r="A44" s="107">
        <v>1889.0</v>
      </c>
      <c r="B44" s="108" t="s">
        <v>90</v>
      </c>
      <c r="C44" s="108" t="s">
        <v>200</v>
      </c>
      <c r="D44" s="100" t="str">
        <f t="shared" si="1"/>
        <v/>
      </c>
      <c r="E44" s="100" t="str">
        <f t="shared" si="2"/>
        <v/>
      </c>
      <c r="F44" s="100" t="str">
        <f t="shared" si="3"/>
        <v/>
      </c>
      <c r="G44" s="151"/>
      <c r="H44" s="160"/>
      <c r="I44" s="157"/>
      <c r="J44" s="161"/>
      <c r="L44" s="94"/>
      <c r="M44" s="159"/>
      <c r="N44" s="94"/>
    </row>
    <row r="45">
      <c r="A45" s="107">
        <v>1889.0</v>
      </c>
      <c r="B45" s="108" t="s">
        <v>92</v>
      </c>
      <c r="C45" s="108" t="s">
        <v>200</v>
      </c>
      <c r="D45" s="100" t="str">
        <f t="shared" si="1"/>
        <v/>
      </c>
      <c r="E45" s="100" t="str">
        <f t="shared" si="2"/>
        <v/>
      </c>
      <c r="F45" s="100" t="str">
        <f t="shared" si="3"/>
        <v/>
      </c>
      <c r="G45" s="151"/>
      <c r="H45" s="156"/>
      <c r="I45" s="157"/>
      <c r="J45" s="158"/>
      <c r="L45" s="94"/>
      <c r="M45" s="159"/>
      <c r="N45" s="94"/>
    </row>
    <row r="46">
      <c r="A46" s="107">
        <v>1890.0</v>
      </c>
      <c r="B46" s="108" t="s">
        <v>85</v>
      </c>
      <c r="C46" s="108" t="s">
        <v>201</v>
      </c>
      <c r="D46" s="100" t="str">
        <f t="shared" si="1"/>
        <v/>
      </c>
      <c r="E46" s="100" t="str">
        <f t="shared" si="2"/>
        <v/>
      </c>
      <c r="F46" s="100" t="str">
        <f t="shared" si="3"/>
        <v/>
      </c>
      <c r="G46" s="151"/>
      <c r="H46" s="160"/>
      <c r="I46" s="157"/>
      <c r="J46" s="161"/>
      <c r="L46" s="94"/>
      <c r="M46" s="159"/>
      <c r="N46" s="94"/>
    </row>
    <row r="47">
      <c r="A47" s="107">
        <v>1890.0</v>
      </c>
      <c r="B47" s="108" t="s">
        <v>90</v>
      </c>
      <c r="C47" s="108" t="s">
        <v>201</v>
      </c>
      <c r="D47" s="100" t="str">
        <f t="shared" si="1"/>
        <v/>
      </c>
      <c r="E47" s="100" t="str">
        <f t="shared" si="2"/>
        <v/>
      </c>
      <c r="F47" s="100" t="str">
        <f t="shared" si="3"/>
        <v/>
      </c>
      <c r="G47" s="151"/>
      <c r="H47" s="156"/>
      <c r="I47" s="157"/>
      <c r="J47" s="158"/>
      <c r="L47" s="94"/>
      <c r="M47" s="159"/>
      <c r="N47" s="94"/>
    </row>
    <row r="48">
      <c r="A48" s="107">
        <v>1891.0</v>
      </c>
      <c r="B48" s="108" t="s">
        <v>85</v>
      </c>
      <c r="C48" s="108" t="s">
        <v>202</v>
      </c>
      <c r="D48" s="100" t="str">
        <f t="shared" si="1"/>
        <v/>
      </c>
      <c r="E48" s="100" t="str">
        <f t="shared" si="2"/>
        <v/>
      </c>
      <c r="F48" s="100" t="str">
        <f t="shared" si="3"/>
        <v/>
      </c>
      <c r="G48" s="151"/>
      <c r="H48" s="160"/>
      <c r="I48" s="157"/>
      <c r="J48" s="161"/>
      <c r="L48" s="94"/>
      <c r="M48" s="159"/>
      <c r="N48" s="94"/>
    </row>
    <row r="49">
      <c r="A49" s="107">
        <v>1891.0</v>
      </c>
      <c r="B49" s="108" t="s">
        <v>90</v>
      </c>
      <c r="C49" s="108" t="s">
        <v>202</v>
      </c>
      <c r="D49" s="100" t="str">
        <f t="shared" si="1"/>
        <v/>
      </c>
      <c r="E49" s="100" t="str">
        <f t="shared" si="2"/>
        <v/>
      </c>
      <c r="F49" s="100" t="str">
        <f t="shared" si="3"/>
        <v/>
      </c>
      <c r="G49" s="151"/>
      <c r="H49" s="156"/>
      <c r="I49" s="157"/>
      <c r="J49" s="158"/>
      <c r="L49" s="94"/>
      <c r="M49" s="159"/>
      <c r="N49" s="94"/>
    </row>
    <row r="50">
      <c r="A50" s="107">
        <v>1891.0</v>
      </c>
      <c r="B50" s="108" t="s">
        <v>92</v>
      </c>
      <c r="C50" s="108" t="s">
        <v>202</v>
      </c>
      <c r="D50" s="100" t="str">
        <f t="shared" si="1"/>
        <v/>
      </c>
      <c r="E50" s="100" t="str">
        <f t="shared" si="2"/>
        <v/>
      </c>
      <c r="F50" s="100" t="str">
        <f t="shared" si="3"/>
        <v/>
      </c>
      <c r="G50" s="151"/>
      <c r="H50" s="160"/>
      <c r="I50" s="157"/>
      <c r="J50" s="161"/>
      <c r="L50" s="94"/>
      <c r="M50" s="159"/>
      <c r="N50" s="94"/>
    </row>
    <row r="51">
      <c r="A51" s="107">
        <v>1891.0</v>
      </c>
      <c r="B51" s="108" t="s">
        <v>190</v>
      </c>
      <c r="C51" s="108" t="s">
        <v>202</v>
      </c>
      <c r="D51" s="100" t="str">
        <f t="shared" si="1"/>
        <v/>
      </c>
      <c r="E51" s="100" t="str">
        <f t="shared" si="2"/>
        <v/>
      </c>
      <c r="F51" s="100" t="str">
        <f t="shared" si="3"/>
        <v/>
      </c>
      <c r="G51" s="151"/>
      <c r="H51" s="156"/>
      <c r="I51" s="157"/>
      <c r="J51" s="158"/>
      <c r="L51" s="94"/>
      <c r="M51" s="159"/>
      <c r="N51" s="94"/>
    </row>
    <row r="52">
      <c r="A52" s="107">
        <v>1891.0</v>
      </c>
      <c r="B52" s="108" t="s">
        <v>191</v>
      </c>
      <c r="C52" s="108" t="s">
        <v>202</v>
      </c>
      <c r="D52" s="100" t="str">
        <f t="shared" si="1"/>
        <v/>
      </c>
      <c r="E52" s="100" t="str">
        <f t="shared" si="2"/>
        <v/>
      </c>
      <c r="F52" s="100" t="str">
        <f t="shared" si="3"/>
        <v/>
      </c>
      <c r="G52" s="151"/>
      <c r="H52" s="160"/>
      <c r="I52" s="157"/>
      <c r="J52" s="161"/>
      <c r="L52" s="94"/>
      <c r="M52" s="159"/>
      <c r="N52" s="94"/>
    </row>
    <row r="53">
      <c r="A53" s="107">
        <v>1897.0</v>
      </c>
      <c r="B53" s="108" t="s">
        <v>85</v>
      </c>
      <c r="C53" s="108" t="s">
        <v>203</v>
      </c>
      <c r="D53" s="100" t="str">
        <f t="shared" si="1"/>
        <v/>
      </c>
      <c r="E53" s="100" t="str">
        <f t="shared" si="2"/>
        <v/>
      </c>
      <c r="F53" s="100" t="str">
        <f t="shared" si="3"/>
        <v/>
      </c>
      <c r="G53" s="151"/>
      <c r="H53" s="156"/>
      <c r="I53" s="157"/>
      <c r="J53" s="158"/>
      <c r="L53" s="94"/>
      <c r="M53" s="159"/>
      <c r="N53" s="94"/>
    </row>
    <row r="54">
      <c r="A54" s="107">
        <v>1897.0</v>
      </c>
      <c r="B54" s="108" t="s">
        <v>92</v>
      </c>
      <c r="C54" s="108" t="s">
        <v>203</v>
      </c>
      <c r="D54" s="100" t="str">
        <f t="shared" si="1"/>
        <v/>
      </c>
      <c r="E54" s="100" t="str">
        <f t="shared" si="2"/>
        <v/>
      </c>
      <c r="F54" s="100" t="str">
        <f t="shared" si="3"/>
        <v/>
      </c>
      <c r="G54" s="151"/>
      <c r="H54" s="160"/>
      <c r="I54" s="157"/>
      <c r="J54" s="161"/>
      <c r="L54" s="94"/>
      <c r="M54" s="159"/>
      <c r="N54" s="94"/>
    </row>
    <row r="55">
      <c r="A55" s="107">
        <v>1897.0</v>
      </c>
      <c r="B55" s="108" t="s">
        <v>190</v>
      </c>
      <c r="C55" s="108" t="s">
        <v>203</v>
      </c>
      <c r="D55" s="100" t="str">
        <f t="shared" si="1"/>
        <v/>
      </c>
      <c r="E55" s="100" t="str">
        <f t="shared" si="2"/>
        <v/>
      </c>
      <c r="F55" s="100" t="str">
        <f t="shared" si="3"/>
        <v/>
      </c>
      <c r="G55" s="151"/>
      <c r="H55" s="156"/>
      <c r="I55" s="157"/>
      <c r="J55" s="158"/>
      <c r="L55" s="94"/>
      <c r="M55" s="159"/>
      <c r="N55" s="94"/>
    </row>
    <row r="56">
      <c r="A56" s="107">
        <v>1905.0</v>
      </c>
      <c r="B56" s="108" t="s">
        <v>85</v>
      </c>
      <c r="C56" s="108" t="s">
        <v>204</v>
      </c>
      <c r="D56" s="100" t="str">
        <f t="shared" si="1"/>
        <v/>
      </c>
      <c r="E56" s="100" t="str">
        <f t="shared" si="2"/>
        <v/>
      </c>
      <c r="F56" s="100" t="str">
        <f t="shared" si="3"/>
        <v/>
      </c>
      <c r="G56" s="151"/>
      <c r="H56" s="160"/>
      <c r="I56" s="157"/>
      <c r="J56" s="161"/>
      <c r="L56" s="94"/>
      <c r="M56" s="159"/>
      <c r="N56" s="94"/>
    </row>
    <row r="57">
      <c r="A57" s="107">
        <v>1905.0</v>
      </c>
      <c r="B57" s="108" t="s">
        <v>90</v>
      </c>
      <c r="C57" s="108" t="s">
        <v>204</v>
      </c>
      <c r="D57" s="100" t="str">
        <f t="shared" si="1"/>
        <v/>
      </c>
      <c r="E57" s="100" t="str">
        <f t="shared" si="2"/>
        <v/>
      </c>
      <c r="F57" s="100" t="str">
        <f t="shared" si="3"/>
        <v/>
      </c>
      <c r="G57" s="151"/>
      <c r="H57" s="156"/>
      <c r="I57" s="157"/>
      <c r="J57" s="158"/>
      <c r="L57" s="94"/>
      <c r="M57" s="159"/>
      <c r="N57" s="94"/>
    </row>
    <row r="58">
      <c r="A58" s="107">
        <v>1938.0</v>
      </c>
      <c r="B58" s="108" t="s">
        <v>85</v>
      </c>
      <c r="C58" s="108" t="s">
        <v>205</v>
      </c>
      <c r="D58" s="100" t="str">
        <f t="shared" si="1"/>
        <v/>
      </c>
      <c r="E58" s="100" t="str">
        <f t="shared" si="2"/>
        <v/>
      </c>
      <c r="F58" s="100" t="str">
        <f t="shared" si="3"/>
        <v/>
      </c>
      <c r="G58" s="151"/>
      <c r="H58" s="160"/>
      <c r="I58" s="157"/>
      <c r="J58" s="161"/>
      <c r="L58" s="94"/>
      <c r="M58" s="159"/>
      <c r="N58" s="94"/>
    </row>
    <row r="59">
      <c r="A59" s="107">
        <v>1938.0</v>
      </c>
      <c r="B59" s="108" t="s">
        <v>90</v>
      </c>
      <c r="C59" s="108" t="s">
        <v>205</v>
      </c>
      <c r="D59" s="100" t="str">
        <f t="shared" si="1"/>
        <v/>
      </c>
      <c r="E59" s="100" t="str">
        <f t="shared" si="2"/>
        <v/>
      </c>
      <c r="F59" s="100" t="str">
        <f t="shared" si="3"/>
        <v/>
      </c>
      <c r="G59" s="151"/>
      <c r="H59" s="156"/>
      <c r="I59" s="157"/>
      <c r="J59" s="158"/>
      <c r="L59" s="94"/>
      <c r="M59" s="159"/>
      <c r="N59" s="94"/>
    </row>
    <row r="60">
      <c r="A60" s="107">
        <v>1938.0</v>
      </c>
      <c r="B60" s="108" t="s">
        <v>92</v>
      </c>
      <c r="C60" s="108" t="s">
        <v>205</v>
      </c>
      <c r="D60" s="100" t="str">
        <f t="shared" si="1"/>
        <v/>
      </c>
      <c r="E60" s="100" t="str">
        <f t="shared" si="2"/>
        <v/>
      </c>
      <c r="F60" s="100" t="str">
        <f t="shared" si="3"/>
        <v/>
      </c>
      <c r="G60" s="151"/>
      <c r="H60" s="160"/>
      <c r="I60" s="157"/>
      <c r="J60" s="161"/>
      <c r="L60" s="94"/>
      <c r="M60" s="159"/>
      <c r="N60" s="94"/>
    </row>
    <row r="61">
      <c r="A61" s="107">
        <v>1938.0</v>
      </c>
      <c r="B61" s="108" t="s">
        <v>190</v>
      </c>
      <c r="C61" s="108" t="s">
        <v>205</v>
      </c>
      <c r="D61" s="100" t="str">
        <f t="shared" si="1"/>
        <v/>
      </c>
      <c r="E61" s="100" t="str">
        <f t="shared" si="2"/>
        <v/>
      </c>
      <c r="F61" s="100" t="str">
        <f t="shared" si="3"/>
        <v/>
      </c>
      <c r="G61" s="151"/>
      <c r="H61" s="156"/>
      <c r="I61" s="157"/>
      <c r="J61" s="158"/>
      <c r="L61" s="94"/>
      <c r="M61" s="159"/>
      <c r="N61" s="94"/>
    </row>
    <row r="62">
      <c r="A62" s="107">
        <v>1938.0</v>
      </c>
      <c r="B62" s="108" t="s">
        <v>191</v>
      </c>
      <c r="C62" s="108" t="s">
        <v>205</v>
      </c>
      <c r="D62" s="100" t="str">
        <f t="shared" si="1"/>
        <v/>
      </c>
      <c r="E62" s="100" t="str">
        <f t="shared" si="2"/>
        <v/>
      </c>
      <c r="F62" s="100" t="str">
        <f t="shared" si="3"/>
        <v/>
      </c>
      <c r="G62" s="151"/>
      <c r="H62" s="160"/>
      <c r="I62" s="157"/>
      <c r="J62" s="161"/>
      <c r="L62" s="94"/>
      <c r="M62" s="159"/>
      <c r="N62" s="94"/>
    </row>
    <row r="63">
      <c r="A63" s="107">
        <v>2030.0</v>
      </c>
      <c r="B63" s="108" t="s">
        <v>85</v>
      </c>
      <c r="C63" s="108" t="s">
        <v>206</v>
      </c>
      <c r="D63" s="100" t="str">
        <f t="shared" si="1"/>
        <v/>
      </c>
      <c r="E63" s="100" t="str">
        <f t="shared" si="2"/>
        <v/>
      </c>
      <c r="F63" s="100" t="str">
        <f t="shared" si="3"/>
        <v/>
      </c>
      <c r="G63" s="151"/>
      <c r="H63" s="156"/>
      <c r="I63" s="157"/>
      <c r="J63" s="158"/>
      <c r="L63" s="94"/>
      <c r="M63" s="159"/>
      <c r="N63" s="94"/>
    </row>
    <row r="64">
      <c r="A64" s="107">
        <v>2030.0</v>
      </c>
      <c r="B64" s="108" t="s">
        <v>90</v>
      </c>
      <c r="C64" s="108" t="s">
        <v>206</v>
      </c>
      <c r="D64" s="100" t="str">
        <f t="shared" si="1"/>
        <v/>
      </c>
      <c r="E64" s="100" t="str">
        <f t="shared" si="2"/>
        <v/>
      </c>
      <c r="F64" s="100" t="str">
        <f t="shared" si="3"/>
        <v/>
      </c>
      <c r="G64" s="151"/>
      <c r="H64" s="160"/>
      <c r="I64" s="157"/>
      <c r="J64" s="161"/>
      <c r="L64" s="94"/>
      <c r="M64" s="159"/>
      <c r="N64" s="94"/>
    </row>
    <row r="65">
      <c r="A65" s="107">
        <v>2034.0</v>
      </c>
      <c r="B65" s="108" t="s">
        <v>85</v>
      </c>
      <c r="C65" s="108" t="s">
        <v>207</v>
      </c>
      <c r="D65" s="100" t="str">
        <f t="shared" si="1"/>
        <v/>
      </c>
      <c r="E65" s="100" t="str">
        <f t="shared" si="2"/>
        <v/>
      </c>
      <c r="F65" s="100" t="str">
        <f t="shared" si="3"/>
        <v/>
      </c>
      <c r="G65" s="151"/>
      <c r="H65" s="156"/>
      <c r="I65" s="157"/>
      <c r="J65" s="158"/>
      <c r="L65" s="94"/>
      <c r="M65" s="159"/>
      <c r="N65" s="94"/>
    </row>
    <row r="66">
      <c r="A66" s="107">
        <v>2034.0</v>
      </c>
      <c r="B66" s="108" t="s">
        <v>90</v>
      </c>
      <c r="C66" s="108" t="s">
        <v>207</v>
      </c>
      <c r="D66" s="100" t="str">
        <f t="shared" si="1"/>
        <v/>
      </c>
      <c r="E66" s="100" t="str">
        <f t="shared" si="2"/>
        <v/>
      </c>
      <c r="F66" s="100" t="str">
        <f t="shared" si="3"/>
        <v/>
      </c>
      <c r="G66" s="151"/>
      <c r="H66" s="160"/>
      <c r="I66" s="157"/>
      <c r="J66" s="161"/>
      <c r="L66" s="94"/>
      <c r="M66" s="159"/>
      <c r="N66" s="94"/>
    </row>
    <row r="67">
      <c r="A67" s="107">
        <v>2034.0</v>
      </c>
      <c r="B67" s="108" t="s">
        <v>92</v>
      </c>
      <c r="C67" s="108" t="s">
        <v>207</v>
      </c>
      <c r="D67" s="100" t="str">
        <f t="shared" si="1"/>
        <v/>
      </c>
      <c r="E67" s="100" t="str">
        <f t="shared" si="2"/>
        <v/>
      </c>
      <c r="F67" s="100" t="str">
        <f t="shared" si="3"/>
        <v/>
      </c>
      <c r="G67" s="151"/>
      <c r="H67" s="156"/>
      <c r="I67" s="157"/>
      <c r="J67" s="158"/>
      <c r="L67" s="94"/>
      <c r="M67" s="159"/>
      <c r="N67" s="94"/>
    </row>
    <row r="68">
      <c r="A68" s="107">
        <v>2034.0</v>
      </c>
      <c r="B68" s="108" t="s">
        <v>190</v>
      </c>
      <c r="C68" s="108" t="s">
        <v>207</v>
      </c>
      <c r="D68" s="100" t="str">
        <f t="shared" si="1"/>
        <v/>
      </c>
      <c r="E68" s="100" t="str">
        <f t="shared" si="2"/>
        <v/>
      </c>
      <c r="F68" s="100" t="str">
        <f t="shared" si="3"/>
        <v/>
      </c>
      <c r="G68" s="151"/>
      <c r="H68" s="160"/>
      <c r="I68" s="157"/>
      <c r="J68" s="161"/>
      <c r="L68" s="94"/>
      <c r="M68" s="159"/>
      <c r="N68" s="94"/>
    </row>
    <row r="69">
      <c r="A69" s="107">
        <v>2037.0</v>
      </c>
      <c r="B69" s="108" t="s">
        <v>85</v>
      </c>
      <c r="C69" s="108" t="s">
        <v>208</v>
      </c>
      <c r="D69" s="100" t="str">
        <f t="shared" si="1"/>
        <v/>
      </c>
      <c r="E69" s="100" t="str">
        <f t="shared" si="2"/>
        <v/>
      </c>
      <c r="F69" s="100" t="str">
        <f t="shared" si="3"/>
        <v/>
      </c>
      <c r="G69" s="151"/>
      <c r="H69" s="156"/>
      <c r="I69" s="157"/>
      <c r="J69" s="158"/>
      <c r="L69" s="94"/>
      <c r="M69" s="159"/>
      <c r="N69" s="94"/>
    </row>
    <row r="70">
      <c r="A70" s="107">
        <v>2037.0</v>
      </c>
      <c r="B70" s="108" t="s">
        <v>90</v>
      </c>
      <c r="C70" s="108" t="s">
        <v>208</v>
      </c>
      <c r="D70" s="100" t="str">
        <f t="shared" si="1"/>
        <v/>
      </c>
      <c r="E70" s="100" t="str">
        <f t="shared" si="2"/>
        <v/>
      </c>
      <c r="F70" s="100" t="str">
        <f t="shared" si="3"/>
        <v/>
      </c>
      <c r="G70" s="151"/>
      <c r="H70" s="160"/>
      <c r="I70" s="157"/>
      <c r="J70" s="161"/>
      <c r="L70" s="94"/>
      <c r="M70" s="159"/>
      <c r="N70" s="94"/>
    </row>
    <row r="71">
      <c r="A71" s="107">
        <v>2037.0</v>
      </c>
      <c r="B71" s="108" t="s">
        <v>92</v>
      </c>
      <c r="C71" s="108" t="s">
        <v>208</v>
      </c>
      <c r="D71" s="100" t="str">
        <f t="shared" si="1"/>
        <v/>
      </c>
      <c r="E71" s="100" t="str">
        <f t="shared" si="2"/>
        <v/>
      </c>
      <c r="F71" s="100" t="str">
        <f t="shared" si="3"/>
        <v/>
      </c>
      <c r="G71" s="151"/>
      <c r="H71" s="156"/>
      <c r="I71" s="157"/>
      <c r="J71" s="158"/>
      <c r="L71" s="94"/>
      <c r="M71" s="159"/>
      <c r="N71" s="94"/>
    </row>
    <row r="72">
      <c r="A72" s="107">
        <v>2037.0</v>
      </c>
      <c r="B72" s="108" t="s">
        <v>190</v>
      </c>
      <c r="C72" s="108" t="s">
        <v>208</v>
      </c>
      <c r="D72" s="100" t="str">
        <f t="shared" si="1"/>
        <v/>
      </c>
      <c r="E72" s="100" t="str">
        <f t="shared" si="2"/>
        <v/>
      </c>
      <c r="F72" s="100" t="str">
        <f t="shared" si="3"/>
        <v/>
      </c>
      <c r="G72" s="151"/>
      <c r="H72" s="160"/>
      <c r="I72" s="157"/>
      <c r="J72" s="161"/>
      <c r="L72" s="94"/>
      <c r="M72" s="159"/>
      <c r="N72" s="94"/>
    </row>
    <row r="73">
      <c r="A73" s="107">
        <v>2037.0</v>
      </c>
      <c r="B73" s="108" t="s">
        <v>191</v>
      </c>
      <c r="C73" s="108" t="s">
        <v>208</v>
      </c>
      <c r="D73" s="100" t="str">
        <f t="shared" si="1"/>
        <v/>
      </c>
      <c r="E73" s="100" t="str">
        <f t="shared" si="2"/>
        <v/>
      </c>
      <c r="F73" s="100" t="str">
        <f t="shared" si="3"/>
        <v/>
      </c>
      <c r="G73" s="151"/>
      <c r="H73" s="156"/>
      <c r="I73" s="157"/>
      <c r="J73" s="158"/>
      <c r="L73" s="94"/>
      <c r="M73" s="159"/>
      <c r="N73" s="94"/>
    </row>
    <row r="74">
      <c r="A74" s="107">
        <v>2037.0</v>
      </c>
      <c r="B74" s="108" t="s">
        <v>192</v>
      </c>
      <c r="C74" s="108" t="s">
        <v>208</v>
      </c>
      <c r="D74" s="100" t="str">
        <f t="shared" si="1"/>
        <v/>
      </c>
      <c r="E74" s="100" t="str">
        <f t="shared" si="2"/>
        <v/>
      </c>
      <c r="F74" s="100" t="str">
        <f t="shared" si="3"/>
        <v/>
      </c>
      <c r="G74" s="151"/>
      <c r="H74" s="160"/>
      <c r="I74" s="157"/>
      <c r="J74" s="161"/>
      <c r="L74" s="94"/>
      <c r="M74" s="159"/>
      <c r="N74" s="94"/>
    </row>
    <row r="75">
      <c r="A75" s="107">
        <v>2037.0</v>
      </c>
      <c r="B75" s="108" t="s">
        <v>193</v>
      </c>
      <c r="C75" s="108" t="s">
        <v>208</v>
      </c>
      <c r="D75" s="100" t="str">
        <f t="shared" si="1"/>
        <v/>
      </c>
      <c r="E75" s="100" t="str">
        <f t="shared" si="2"/>
        <v/>
      </c>
      <c r="F75" s="100" t="str">
        <f t="shared" si="3"/>
        <v/>
      </c>
      <c r="G75" s="151"/>
      <c r="H75" s="156"/>
      <c r="I75" s="157"/>
      <c r="J75" s="158"/>
      <c r="L75" s="94"/>
      <c r="M75" s="159"/>
      <c r="N75" s="94"/>
    </row>
    <row r="76">
      <c r="A76" s="107">
        <v>2045.0</v>
      </c>
      <c r="B76" s="108" t="s">
        <v>85</v>
      </c>
      <c r="C76" s="108" t="s">
        <v>209</v>
      </c>
      <c r="D76" s="100" t="str">
        <f t="shared" si="1"/>
        <v/>
      </c>
      <c r="E76" s="100" t="str">
        <f t="shared" si="2"/>
        <v/>
      </c>
      <c r="F76" s="100" t="str">
        <f t="shared" si="3"/>
        <v/>
      </c>
      <c r="G76" s="151"/>
      <c r="H76" s="160"/>
      <c r="I76" s="157"/>
      <c r="J76" s="161"/>
      <c r="L76" s="94"/>
      <c r="M76" s="159"/>
      <c r="N76" s="94"/>
    </row>
    <row r="77">
      <c r="A77" s="107">
        <v>2045.0</v>
      </c>
      <c r="B77" s="108" t="s">
        <v>90</v>
      </c>
      <c r="C77" s="108" t="s">
        <v>209</v>
      </c>
      <c r="D77" s="100" t="str">
        <f t="shared" si="1"/>
        <v/>
      </c>
      <c r="E77" s="100" t="str">
        <f t="shared" si="2"/>
        <v/>
      </c>
      <c r="F77" s="100" t="str">
        <f t="shared" si="3"/>
        <v/>
      </c>
      <c r="G77" s="151"/>
      <c r="H77" s="156"/>
      <c r="I77" s="157"/>
      <c r="J77" s="158"/>
      <c r="L77" s="94"/>
      <c r="M77" s="159"/>
      <c r="N77" s="94"/>
    </row>
    <row r="78">
      <c r="A78" s="107">
        <v>2199.0</v>
      </c>
      <c r="B78" s="108" t="s">
        <v>85</v>
      </c>
      <c r="C78" s="108" t="s">
        <v>210</v>
      </c>
      <c r="D78" s="100" t="str">
        <f t="shared" si="1"/>
        <v/>
      </c>
      <c r="E78" s="100" t="str">
        <f t="shared" si="2"/>
        <v/>
      </c>
      <c r="F78" s="100" t="str">
        <f t="shared" si="3"/>
        <v/>
      </c>
      <c r="G78" s="151"/>
      <c r="H78" s="160"/>
      <c r="I78" s="162"/>
      <c r="J78" s="161"/>
      <c r="L78" s="94"/>
      <c r="M78" s="159"/>
      <c r="N78" s="94"/>
    </row>
    <row r="79">
      <c r="A79" s="107">
        <v>2199.0</v>
      </c>
      <c r="B79" s="108" t="s">
        <v>90</v>
      </c>
      <c r="C79" s="108" t="s">
        <v>210</v>
      </c>
      <c r="D79" s="100" t="str">
        <f t="shared" si="1"/>
        <v/>
      </c>
      <c r="E79" s="100" t="str">
        <f t="shared" si="2"/>
        <v/>
      </c>
      <c r="F79" s="100" t="str">
        <f t="shared" si="3"/>
        <v/>
      </c>
      <c r="G79" s="151"/>
      <c r="H79" s="156"/>
      <c r="I79" s="157"/>
      <c r="J79" s="158"/>
      <c r="L79" s="94"/>
      <c r="M79" s="159"/>
      <c r="N79" s="94"/>
    </row>
    <row r="80">
      <c r="A80" s="107">
        <v>2199.0</v>
      </c>
      <c r="B80" s="108" t="s">
        <v>92</v>
      </c>
      <c r="C80" s="108" t="s">
        <v>210</v>
      </c>
      <c r="D80" s="100" t="str">
        <f t="shared" si="1"/>
        <v/>
      </c>
      <c r="E80" s="100" t="str">
        <f t="shared" si="2"/>
        <v/>
      </c>
      <c r="F80" s="100" t="str">
        <f t="shared" si="3"/>
        <v/>
      </c>
      <c r="G80" s="151"/>
      <c r="H80" s="160"/>
      <c r="I80" s="157"/>
      <c r="J80" s="161"/>
      <c r="L80" s="94"/>
      <c r="M80" s="159"/>
      <c r="N80" s="94"/>
    </row>
    <row r="81">
      <c r="A81" s="107">
        <v>2199.0</v>
      </c>
      <c r="B81" s="108" t="s">
        <v>190</v>
      </c>
      <c r="C81" s="108" t="s">
        <v>210</v>
      </c>
      <c r="D81" s="100" t="str">
        <f t="shared" si="1"/>
        <v/>
      </c>
      <c r="E81" s="100" t="str">
        <f t="shared" si="2"/>
        <v/>
      </c>
      <c r="F81" s="100" t="str">
        <f t="shared" si="3"/>
        <v/>
      </c>
      <c r="G81" s="151"/>
      <c r="H81" s="156"/>
      <c r="I81" s="157"/>
      <c r="J81" s="158"/>
      <c r="L81" s="94"/>
      <c r="M81" s="159"/>
      <c r="N81" s="94"/>
    </row>
    <row r="82">
      <c r="A82" s="107">
        <v>2199.0</v>
      </c>
      <c r="B82" s="108" t="s">
        <v>191</v>
      </c>
      <c r="C82" s="108" t="s">
        <v>210</v>
      </c>
      <c r="D82" s="100" t="str">
        <f t="shared" si="1"/>
        <v/>
      </c>
      <c r="E82" s="100" t="str">
        <f t="shared" si="2"/>
        <v/>
      </c>
      <c r="F82" s="100" t="str">
        <f t="shared" si="3"/>
        <v/>
      </c>
      <c r="G82" s="151"/>
      <c r="H82" s="160"/>
      <c r="I82" s="157"/>
      <c r="J82" s="161"/>
      <c r="L82" s="94"/>
      <c r="M82" s="159"/>
      <c r="N82" s="94"/>
    </row>
    <row r="83">
      <c r="A83" s="107">
        <v>2199.0</v>
      </c>
      <c r="B83" s="108" t="s">
        <v>192</v>
      </c>
      <c r="C83" s="108" t="s">
        <v>210</v>
      </c>
      <c r="D83" s="100" t="str">
        <f t="shared" si="1"/>
        <v/>
      </c>
      <c r="E83" s="100" t="str">
        <f t="shared" si="2"/>
        <v/>
      </c>
      <c r="F83" s="100" t="str">
        <f t="shared" si="3"/>
        <v/>
      </c>
      <c r="G83" s="151"/>
      <c r="H83" s="156"/>
      <c r="I83" s="157"/>
      <c r="J83" s="158"/>
      <c r="L83" s="94"/>
      <c r="M83" s="159"/>
      <c r="N83" s="94"/>
    </row>
    <row r="84">
      <c r="A84" s="107">
        <v>2199.0</v>
      </c>
      <c r="B84" s="108" t="s">
        <v>193</v>
      </c>
      <c r="C84" s="108" t="s">
        <v>210</v>
      </c>
      <c r="D84" s="100" t="str">
        <f t="shared" si="1"/>
        <v/>
      </c>
      <c r="E84" s="100" t="str">
        <f t="shared" si="2"/>
        <v/>
      </c>
      <c r="F84" s="100" t="str">
        <f t="shared" si="3"/>
        <v/>
      </c>
      <c r="G84" s="151"/>
      <c r="H84" s="160"/>
      <c r="I84" s="157"/>
      <c r="J84" s="161"/>
      <c r="L84" s="94"/>
      <c r="M84" s="159"/>
      <c r="N84" s="94"/>
    </row>
    <row r="85">
      <c r="A85" s="107">
        <v>2200.0</v>
      </c>
      <c r="B85" s="108" t="s">
        <v>85</v>
      </c>
      <c r="C85" s="108" t="s">
        <v>211</v>
      </c>
      <c r="D85" s="100" t="str">
        <f t="shared" si="1"/>
        <v/>
      </c>
      <c r="E85" s="100" t="str">
        <f t="shared" si="2"/>
        <v/>
      </c>
      <c r="F85" s="100" t="str">
        <f t="shared" si="3"/>
        <v/>
      </c>
      <c r="G85" s="151"/>
      <c r="H85" s="156"/>
      <c r="I85" s="157"/>
      <c r="J85" s="158"/>
      <c r="L85" s="94"/>
      <c r="M85" s="159"/>
      <c r="N85" s="94"/>
    </row>
    <row r="86">
      <c r="A86" s="107">
        <v>2200.0</v>
      </c>
      <c r="B86" s="108" t="s">
        <v>90</v>
      </c>
      <c r="C86" s="108" t="s">
        <v>211</v>
      </c>
      <c r="D86" s="100" t="str">
        <f t="shared" si="1"/>
        <v/>
      </c>
      <c r="E86" s="100" t="str">
        <f t="shared" si="2"/>
        <v/>
      </c>
      <c r="F86" s="100" t="str">
        <f t="shared" si="3"/>
        <v/>
      </c>
      <c r="G86" s="151"/>
      <c r="H86" s="160"/>
      <c r="I86" s="157"/>
      <c r="J86" s="161"/>
      <c r="L86" s="94"/>
      <c r="M86" s="159"/>
      <c r="N86" s="94"/>
    </row>
    <row r="87">
      <c r="A87" s="107">
        <v>2200.0</v>
      </c>
      <c r="B87" s="108" t="s">
        <v>92</v>
      </c>
      <c r="C87" s="108" t="s">
        <v>211</v>
      </c>
      <c r="D87" s="100" t="str">
        <f t="shared" si="1"/>
        <v/>
      </c>
      <c r="E87" s="100" t="str">
        <f t="shared" si="2"/>
        <v/>
      </c>
      <c r="F87" s="100" t="str">
        <f t="shared" si="3"/>
        <v/>
      </c>
      <c r="G87" s="151"/>
      <c r="H87" s="156"/>
      <c r="I87" s="157"/>
      <c r="J87" s="158"/>
      <c r="L87" s="94"/>
      <c r="M87" s="159"/>
      <c r="N87" s="94"/>
    </row>
    <row r="88">
      <c r="A88" s="107">
        <v>2200.0</v>
      </c>
      <c r="B88" s="108" t="s">
        <v>190</v>
      </c>
      <c r="C88" s="108" t="s">
        <v>211</v>
      </c>
      <c r="D88" s="100" t="str">
        <f t="shared" si="1"/>
        <v/>
      </c>
      <c r="E88" s="100" t="str">
        <f t="shared" si="2"/>
        <v/>
      </c>
      <c r="F88" s="100" t="str">
        <f t="shared" si="3"/>
        <v/>
      </c>
      <c r="G88" s="151"/>
      <c r="H88" s="160"/>
      <c r="I88" s="157"/>
      <c r="J88" s="161"/>
      <c r="L88" s="94"/>
      <c r="M88" s="159"/>
      <c r="N88" s="94"/>
    </row>
    <row r="89">
      <c r="A89" s="107">
        <v>2200.0</v>
      </c>
      <c r="B89" s="108" t="s">
        <v>191</v>
      </c>
      <c r="C89" s="108" t="s">
        <v>211</v>
      </c>
      <c r="D89" s="100" t="str">
        <f t="shared" si="1"/>
        <v/>
      </c>
      <c r="E89" s="100" t="str">
        <f t="shared" si="2"/>
        <v/>
      </c>
      <c r="F89" s="100" t="str">
        <f t="shared" si="3"/>
        <v/>
      </c>
      <c r="G89" s="151"/>
      <c r="H89" s="156"/>
      <c r="I89" s="157"/>
      <c r="J89" s="158"/>
      <c r="L89" s="94"/>
      <c r="M89" s="159"/>
      <c r="N89" s="94"/>
    </row>
    <row r="90">
      <c r="A90" s="107">
        <v>2200.0</v>
      </c>
      <c r="B90" s="108" t="s">
        <v>192</v>
      </c>
      <c r="C90" s="108" t="s">
        <v>211</v>
      </c>
      <c r="D90" s="100" t="str">
        <f t="shared" si="1"/>
        <v/>
      </c>
      <c r="E90" s="100" t="str">
        <f t="shared" si="2"/>
        <v/>
      </c>
      <c r="F90" s="100" t="str">
        <f t="shared" si="3"/>
        <v/>
      </c>
      <c r="G90" s="151"/>
      <c r="H90" s="160"/>
      <c r="I90" s="157"/>
      <c r="J90" s="161"/>
      <c r="L90" s="94"/>
      <c r="M90" s="159"/>
      <c r="N90" s="94"/>
    </row>
    <row r="91">
      <c r="A91" s="107">
        <v>2202.0</v>
      </c>
      <c r="B91" s="108" t="s">
        <v>90</v>
      </c>
      <c r="C91" s="108" t="s">
        <v>212</v>
      </c>
      <c r="D91" s="100" t="str">
        <f t="shared" si="1"/>
        <v/>
      </c>
      <c r="E91" s="100" t="str">
        <f t="shared" si="2"/>
        <v/>
      </c>
      <c r="F91" s="100" t="str">
        <f t="shared" si="3"/>
        <v/>
      </c>
      <c r="G91" s="151"/>
      <c r="H91" s="156"/>
      <c r="I91" s="157"/>
      <c r="J91" s="158"/>
      <c r="L91" s="94"/>
      <c r="M91" s="159"/>
      <c r="N91" s="94"/>
    </row>
    <row r="92">
      <c r="A92" s="107">
        <v>2203.0</v>
      </c>
      <c r="B92" s="108" t="s">
        <v>85</v>
      </c>
      <c r="C92" s="108" t="s">
        <v>213</v>
      </c>
      <c r="D92" s="100" t="str">
        <f t="shared" si="1"/>
        <v/>
      </c>
      <c r="E92" s="100" t="str">
        <f t="shared" si="2"/>
        <v/>
      </c>
      <c r="F92" s="100" t="str">
        <f t="shared" si="3"/>
        <v/>
      </c>
      <c r="G92" s="151"/>
      <c r="H92" s="160"/>
      <c r="I92" s="157"/>
      <c r="J92" s="161"/>
      <c r="L92" s="94"/>
      <c r="M92" s="159"/>
      <c r="N92" s="94"/>
    </row>
    <row r="93">
      <c r="A93" s="107">
        <v>2207.0</v>
      </c>
      <c r="B93" s="108" t="s">
        <v>85</v>
      </c>
      <c r="C93" s="108" t="s">
        <v>214</v>
      </c>
      <c r="D93" s="100" t="str">
        <f t="shared" si="1"/>
        <v/>
      </c>
      <c r="E93" s="100" t="str">
        <f t="shared" si="2"/>
        <v/>
      </c>
      <c r="F93" s="100" t="str">
        <f t="shared" si="3"/>
        <v/>
      </c>
      <c r="G93" s="151"/>
      <c r="H93" s="156"/>
      <c r="I93" s="157"/>
      <c r="J93" s="158"/>
      <c r="L93" s="94"/>
      <c r="M93" s="159"/>
      <c r="N93" s="94"/>
    </row>
    <row r="94">
      <c r="A94" s="107">
        <v>2207.0</v>
      </c>
      <c r="B94" s="108" t="s">
        <v>90</v>
      </c>
      <c r="C94" s="108" t="s">
        <v>214</v>
      </c>
      <c r="D94" s="100" t="str">
        <f t="shared" si="1"/>
        <v/>
      </c>
      <c r="E94" s="100" t="str">
        <f t="shared" si="2"/>
        <v/>
      </c>
      <c r="F94" s="100" t="str">
        <f t="shared" si="3"/>
        <v/>
      </c>
      <c r="G94" s="151"/>
      <c r="H94" s="160"/>
      <c r="I94" s="157"/>
      <c r="J94" s="161"/>
      <c r="L94" s="94"/>
      <c r="M94" s="159"/>
      <c r="N94" s="94"/>
    </row>
    <row r="95">
      <c r="A95" s="107">
        <v>2207.0</v>
      </c>
      <c r="B95" s="108" t="s">
        <v>92</v>
      </c>
      <c r="C95" s="108" t="s">
        <v>214</v>
      </c>
      <c r="D95" s="100" t="str">
        <f t="shared" si="1"/>
        <v/>
      </c>
      <c r="E95" s="100" t="str">
        <f t="shared" si="2"/>
        <v/>
      </c>
      <c r="F95" s="100" t="str">
        <f t="shared" si="3"/>
        <v/>
      </c>
      <c r="G95" s="151"/>
      <c r="H95" s="156"/>
      <c r="I95" s="157"/>
      <c r="J95" s="158"/>
      <c r="L95" s="94"/>
      <c r="M95" s="159"/>
      <c r="N95" s="94"/>
    </row>
    <row r="96">
      <c r="A96" s="107">
        <v>2207.0</v>
      </c>
      <c r="B96" s="108" t="s">
        <v>190</v>
      </c>
      <c r="C96" s="108" t="s">
        <v>214</v>
      </c>
      <c r="D96" s="100" t="str">
        <f t="shared" si="1"/>
        <v/>
      </c>
      <c r="E96" s="100" t="str">
        <f t="shared" si="2"/>
        <v/>
      </c>
      <c r="F96" s="100" t="str">
        <f t="shared" si="3"/>
        <v/>
      </c>
      <c r="G96" s="151"/>
      <c r="H96" s="160"/>
      <c r="I96" s="157"/>
      <c r="J96" s="161"/>
      <c r="L96" s="94"/>
      <c r="M96" s="159"/>
      <c r="N96" s="94"/>
    </row>
    <row r="97">
      <c r="A97" s="107">
        <v>2207.0</v>
      </c>
      <c r="B97" s="108" t="s">
        <v>191</v>
      </c>
      <c r="C97" s="108" t="s">
        <v>214</v>
      </c>
      <c r="D97" s="100" t="str">
        <f t="shared" si="1"/>
        <v/>
      </c>
      <c r="E97" s="100" t="str">
        <f t="shared" si="2"/>
        <v/>
      </c>
      <c r="F97" s="100" t="str">
        <f t="shared" si="3"/>
        <v/>
      </c>
      <c r="G97" s="151"/>
      <c r="H97" s="156"/>
      <c r="I97" s="157"/>
      <c r="J97" s="158"/>
      <c r="L97" s="94"/>
      <c r="M97" s="159"/>
      <c r="N97" s="94"/>
    </row>
    <row r="98">
      <c r="A98" s="107">
        <v>2207.0</v>
      </c>
      <c r="B98" s="108" t="s">
        <v>215</v>
      </c>
      <c r="C98" s="108" t="s">
        <v>214</v>
      </c>
      <c r="D98" s="100" t="str">
        <f t="shared" si="1"/>
        <v/>
      </c>
      <c r="E98" s="100" t="str">
        <f t="shared" si="2"/>
        <v/>
      </c>
      <c r="F98" s="100" t="str">
        <f t="shared" si="3"/>
        <v/>
      </c>
      <c r="G98" s="151"/>
      <c r="H98" s="160"/>
      <c r="I98" s="157"/>
      <c r="J98" s="161"/>
      <c r="L98" s="94"/>
      <c r="M98" s="159"/>
      <c r="N98" s="94"/>
    </row>
    <row r="99">
      <c r="A99" s="107">
        <v>2210.0</v>
      </c>
      <c r="B99" s="108" t="s">
        <v>85</v>
      </c>
      <c r="C99" s="108" t="s">
        <v>216</v>
      </c>
      <c r="D99" s="100" t="str">
        <f t="shared" si="1"/>
        <v/>
      </c>
      <c r="E99" s="100" t="str">
        <f t="shared" si="2"/>
        <v/>
      </c>
      <c r="F99" s="100" t="str">
        <f t="shared" si="3"/>
        <v/>
      </c>
      <c r="G99" s="151"/>
      <c r="H99" s="156"/>
      <c r="I99" s="157"/>
      <c r="J99" s="158"/>
      <c r="L99" s="94"/>
      <c r="M99" s="159"/>
      <c r="N99" s="94"/>
    </row>
    <row r="100">
      <c r="A100" s="107">
        <v>2210.0</v>
      </c>
      <c r="B100" s="108" t="s">
        <v>90</v>
      </c>
      <c r="C100" s="108" t="s">
        <v>216</v>
      </c>
      <c r="D100" s="100" t="str">
        <f t="shared" si="1"/>
        <v/>
      </c>
      <c r="E100" s="100" t="str">
        <f t="shared" si="2"/>
        <v/>
      </c>
      <c r="F100" s="100" t="str">
        <f t="shared" si="3"/>
        <v/>
      </c>
      <c r="G100" s="151"/>
      <c r="H100" s="160"/>
      <c r="I100" s="157"/>
      <c r="J100" s="161"/>
      <c r="L100" s="94"/>
      <c r="M100" s="159"/>
      <c r="N100" s="94"/>
    </row>
    <row r="101">
      <c r="A101" s="107">
        <v>2210.0</v>
      </c>
      <c r="B101" s="108" t="s">
        <v>92</v>
      </c>
      <c r="C101" s="108" t="s">
        <v>216</v>
      </c>
      <c r="D101" s="100" t="str">
        <f t="shared" si="1"/>
        <v/>
      </c>
      <c r="E101" s="100" t="str">
        <f t="shared" si="2"/>
        <v/>
      </c>
      <c r="F101" s="100" t="str">
        <f t="shared" si="3"/>
        <v/>
      </c>
      <c r="G101" s="151"/>
      <c r="H101" s="156"/>
      <c r="I101" s="157"/>
      <c r="J101" s="158"/>
      <c r="L101" s="94"/>
      <c r="M101" s="159"/>
      <c r="N101" s="94"/>
    </row>
    <row r="102">
      <c r="A102" s="107">
        <v>2210.0</v>
      </c>
      <c r="B102" s="108" t="s">
        <v>190</v>
      </c>
      <c r="C102" s="108" t="s">
        <v>216</v>
      </c>
      <c r="D102" s="100" t="str">
        <f t="shared" si="1"/>
        <v/>
      </c>
      <c r="E102" s="100" t="str">
        <f t="shared" si="2"/>
        <v/>
      </c>
      <c r="F102" s="100" t="str">
        <f t="shared" si="3"/>
        <v/>
      </c>
      <c r="G102" s="151"/>
      <c r="H102" s="160"/>
      <c r="I102" s="157"/>
      <c r="J102" s="161"/>
      <c r="L102" s="94"/>
      <c r="M102" s="159"/>
      <c r="N102" s="94"/>
    </row>
    <row r="103">
      <c r="A103" s="107">
        <v>2210.0</v>
      </c>
      <c r="B103" s="108" t="s">
        <v>191</v>
      </c>
      <c r="C103" s="108" t="s">
        <v>216</v>
      </c>
      <c r="D103" s="100" t="str">
        <f t="shared" si="1"/>
        <v/>
      </c>
      <c r="E103" s="100" t="str">
        <f t="shared" si="2"/>
        <v/>
      </c>
      <c r="F103" s="100" t="str">
        <f t="shared" si="3"/>
        <v/>
      </c>
      <c r="G103" s="151"/>
      <c r="H103" s="156"/>
      <c r="I103" s="157"/>
      <c r="J103" s="158"/>
      <c r="L103" s="94"/>
      <c r="M103" s="159"/>
      <c r="N103" s="94"/>
    </row>
    <row r="104">
      <c r="A104" s="107">
        <v>2215.0</v>
      </c>
      <c r="B104" s="108" t="s">
        <v>85</v>
      </c>
      <c r="C104" s="108" t="s">
        <v>217</v>
      </c>
      <c r="D104" s="100" t="str">
        <f t="shared" si="1"/>
        <v/>
      </c>
      <c r="E104" s="100" t="str">
        <f t="shared" si="2"/>
        <v/>
      </c>
      <c r="F104" s="100" t="str">
        <f t="shared" si="3"/>
        <v/>
      </c>
      <c r="G104" s="151"/>
      <c r="H104" s="160"/>
      <c r="I104" s="157"/>
      <c r="J104" s="161"/>
      <c r="L104" s="94"/>
      <c r="M104" s="159"/>
      <c r="N104" s="94"/>
    </row>
    <row r="105">
      <c r="A105" s="107">
        <v>2216.0</v>
      </c>
      <c r="B105" s="108" t="s">
        <v>85</v>
      </c>
      <c r="C105" s="108" t="s">
        <v>218</v>
      </c>
      <c r="D105" s="100" t="str">
        <f t="shared" si="1"/>
        <v/>
      </c>
      <c r="E105" s="100" t="str">
        <f t="shared" si="2"/>
        <v/>
      </c>
      <c r="F105" s="100" t="str">
        <f t="shared" si="3"/>
        <v/>
      </c>
      <c r="G105" s="151"/>
      <c r="H105" s="156"/>
      <c r="I105" s="157"/>
      <c r="J105" s="158"/>
      <c r="L105" s="94"/>
      <c r="M105" s="159"/>
      <c r="N105" s="94"/>
    </row>
    <row r="106">
      <c r="A106" s="107">
        <v>2216.0</v>
      </c>
      <c r="B106" s="108" t="s">
        <v>90</v>
      </c>
      <c r="C106" s="108" t="s">
        <v>218</v>
      </c>
      <c r="D106" s="100" t="str">
        <f t="shared" si="1"/>
        <v/>
      </c>
      <c r="E106" s="100" t="str">
        <f t="shared" si="2"/>
        <v/>
      </c>
      <c r="F106" s="100" t="str">
        <f t="shared" si="3"/>
        <v/>
      </c>
      <c r="G106" s="151"/>
      <c r="H106" s="160"/>
      <c r="I106" s="157"/>
      <c r="J106" s="161"/>
      <c r="L106" s="94"/>
      <c r="M106" s="159"/>
      <c r="N106" s="94"/>
    </row>
    <row r="107">
      <c r="A107" s="107">
        <v>2216.0</v>
      </c>
      <c r="B107" s="108" t="s">
        <v>92</v>
      </c>
      <c r="C107" s="108" t="s">
        <v>218</v>
      </c>
      <c r="D107" s="100" t="str">
        <f t="shared" si="1"/>
        <v/>
      </c>
      <c r="E107" s="100" t="str">
        <f t="shared" si="2"/>
        <v/>
      </c>
      <c r="F107" s="100" t="str">
        <f t="shared" si="3"/>
        <v/>
      </c>
      <c r="G107" s="151"/>
      <c r="H107" s="156"/>
      <c r="I107" s="157"/>
      <c r="J107" s="158"/>
      <c r="L107" s="94"/>
      <c r="M107" s="159"/>
      <c r="N107" s="94"/>
    </row>
    <row r="108">
      <c r="A108" s="107">
        <v>2216.0</v>
      </c>
      <c r="B108" s="108" t="s">
        <v>190</v>
      </c>
      <c r="C108" s="108" t="s">
        <v>218</v>
      </c>
      <c r="D108" s="100" t="str">
        <f t="shared" si="1"/>
        <v/>
      </c>
      <c r="E108" s="100" t="str">
        <f t="shared" si="2"/>
        <v/>
      </c>
      <c r="F108" s="100" t="str">
        <f t="shared" si="3"/>
        <v/>
      </c>
      <c r="G108" s="151"/>
      <c r="H108" s="160"/>
      <c r="I108" s="157"/>
      <c r="J108" s="161"/>
      <c r="L108" s="94"/>
      <c r="M108" s="159"/>
      <c r="N108" s="94"/>
    </row>
    <row r="109">
      <c r="A109" s="107">
        <v>2216.0</v>
      </c>
      <c r="B109" s="108" t="s">
        <v>191</v>
      </c>
      <c r="C109" s="108" t="s">
        <v>218</v>
      </c>
      <c r="D109" s="100" t="str">
        <f t="shared" si="1"/>
        <v/>
      </c>
      <c r="E109" s="100" t="str">
        <f t="shared" si="2"/>
        <v/>
      </c>
      <c r="F109" s="100" t="str">
        <f t="shared" si="3"/>
        <v/>
      </c>
      <c r="G109" s="151"/>
      <c r="H109" s="156"/>
      <c r="I109" s="157"/>
      <c r="J109" s="158"/>
      <c r="L109" s="94"/>
      <c r="M109" s="159"/>
      <c r="N109" s="94"/>
    </row>
    <row r="110">
      <c r="A110" s="107">
        <v>2217.0</v>
      </c>
      <c r="B110" s="108" t="s">
        <v>90</v>
      </c>
      <c r="C110" s="108" t="s">
        <v>219</v>
      </c>
      <c r="D110" s="100" t="str">
        <f t="shared" si="1"/>
        <v/>
      </c>
      <c r="E110" s="100" t="str">
        <f t="shared" si="2"/>
        <v/>
      </c>
      <c r="F110" s="100" t="str">
        <f t="shared" si="3"/>
        <v/>
      </c>
      <c r="G110" s="151"/>
      <c r="H110" s="160"/>
      <c r="I110" s="157"/>
      <c r="J110" s="161"/>
      <c r="L110" s="94"/>
      <c r="M110" s="159"/>
      <c r="N110" s="94"/>
    </row>
    <row r="111">
      <c r="A111" s="107">
        <v>2222.0</v>
      </c>
      <c r="B111" s="108" t="s">
        <v>85</v>
      </c>
      <c r="C111" s="108" t="s">
        <v>220</v>
      </c>
      <c r="D111" s="100" t="str">
        <f t="shared" si="1"/>
        <v/>
      </c>
      <c r="E111" s="100" t="str">
        <f t="shared" si="2"/>
        <v/>
      </c>
      <c r="F111" s="100" t="str">
        <f t="shared" si="3"/>
        <v/>
      </c>
      <c r="G111" s="151"/>
      <c r="H111" s="156"/>
      <c r="I111" s="157"/>
      <c r="J111" s="158"/>
      <c r="L111" s="94"/>
      <c r="M111" s="159"/>
      <c r="N111" s="94"/>
    </row>
    <row r="112">
      <c r="A112" s="107">
        <v>2222.0</v>
      </c>
      <c r="B112" s="108" t="s">
        <v>90</v>
      </c>
      <c r="C112" s="108" t="s">
        <v>220</v>
      </c>
      <c r="D112" s="100" t="str">
        <f t="shared" si="1"/>
        <v/>
      </c>
      <c r="E112" s="100" t="str">
        <f t="shared" si="2"/>
        <v/>
      </c>
      <c r="F112" s="100" t="str">
        <f t="shared" si="3"/>
        <v/>
      </c>
      <c r="G112" s="151"/>
      <c r="H112" s="160"/>
      <c r="I112" s="157"/>
      <c r="J112" s="161"/>
      <c r="L112" s="94"/>
      <c r="M112" s="159"/>
      <c r="N112" s="94"/>
    </row>
    <row r="113">
      <c r="A113" s="107">
        <v>2223.0</v>
      </c>
      <c r="B113" s="108" t="s">
        <v>85</v>
      </c>
      <c r="C113" s="108" t="s">
        <v>221</v>
      </c>
      <c r="D113" s="100" t="str">
        <f t="shared" si="1"/>
        <v/>
      </c>
      <c r="E113" s="100" t="str">
        <f t="shared" si="2"/>
        <v/>
      </c>
      <c r="F113" s="100" t="str">
        <f t="shared" si="3"/>
        <v/>
      </c>
      <c r="G113" s="151"/>
      <c r="H113" s="156"/>
      <c r="I113" s="157"/>
      <c r="J113" s="158"/>
      <c r="L113" s="94"/>
      <c r="M113" s="159"/>
      <c r="N113" s="94"/>
    </row>
    <row r="114">
      <c r="A114" s="107">
        <v>2223.0</v>
      </c>
      <c r="B114" s="108" t="s">
        <v>90</v>
      </c>
      <c r="C114" s="108" t="s">
        <v>221</v>
      </c>
      <c r="D114" s="100" t="str">
        <f t="shared" si="1"/>
        <v/>
      </c>
      <c r="E114" s="100" t="str">
        <f t="shared" si="2"/>
        <v/>
      </c>
      <c r="F114" s="100" t="str">
        <f t="shared" si="3"/>
        <v/>
      </c>
      <c r="G114" s="151"/>
      <c r="H114" s="160"/>
      <c r="I114" s="157"/>
      <c r="J114" s="161"/>
      <c r="L114" s="94"/>
      <c r="M114" s="159"/>
      <c r="N114" s="94"/>
    </row>
    <row r="115">
      <c r="A115" s="107">
        <v>2224.0</v>
      </c>
      <c r="B115" s="108" t="s">
        <v>85</v>
      </c>
      <c r="C115" s="108" t="s">
        <v>222</v>
      </c>
      <c r="D115" s="100" t="str">
        <f t="shared" si="1"/>
        <v/>
      </c>
      <c r="E115" s="100" t="str">
        <f t="shared" si="2"/>
        <v/>
      </c>
      <c r="F115" s="100" t="str">
        <f t="shared" si="3"/>
        <v/>
      </c>
      <c r="G115" s="151"/>
      <c r="H115" s="156"/>
      <c r="I115" s="157"/>
      <c r="J115" s="158"/>
      <c r="L115" s="94"/>
      <c r="M115" s="159"/>
      <c r="N115" s="94"/>
    </row>
    <row r="116">
      <c r="A116" s="107">
        <v>2225.0</v>
      </c>
      <c r="B116" s="108" t="s">
        <v>85</v>
      </c>
      <c r="C116" s="108" t="s">
        <v>223</v>
      </c>
      <c r="D116" s="100" t="str">
        <f t="shared" si="1"/>
        <v/>
      </c>
      <c r="E116" s="100" t="str">
        <f t="shared" si="2"/>
        <v/>
      </c>
      <c r="F116" s="100" t="str">
        <f t="shared" si="3"/>
        <v/>
      </c>
      <c r="G116" s="151"/>
      <c r="H116" s="160"/>
      <c r="I116" s="157"/>
      <c r="J116" s="161"/>
      <c r="L116" s="94"/>
      <c r="M116" s="159"/>
      <c r="N116" s="94"/>
    </row>
    <row r="117">
      <c r="A117" s="107">
        <v>2225.0</v>
      </c>
      <c r="B117" s="108" t="s">
        <v>90</v>
      </c>
      <c r="C117" s="108" t="s">
        <v>223</v>
      </c>
      <c r="D117" s="100" t="str">
        <f t="shared" si="1"/>
        <v/>
      </c>
      <c r="E117" s="100" t="str">
        <f t="shared" si="2"/>
        <v/>
      </c>
      <c r="F117" s="100" t="str">
        <f t="shared" si="3"/>
        <v/>
      </c>
      <c r="G117" s="151"/>
      <c r="H117" s="156"/>
      <c r="I117" s="157"/>
      <c r="J117" s="158"/>
      <c r="L117" s="94"/>
      <c r="M117" s="159"/>
      <c r="N117" s="94"/>
    </row>
    <row r="118">
      <c r="A118" s="107">
        <v>2225.0</v>
      </c>
      <c r="B118" s="108" t="s">
        <v>92</v>
      </c>
      <c r="C118" s="108" t="s">
        <v>223</v>
      </c>
      <c r="D118" s="100" t="str">
        <f t="shared" si="1"/>
        <v/>
      </c>
      <c r="E118" s="100" t="str">
        <f t="shared" si="2"/>
        <v/>
      </c>
      <c r="F118" s="100" t="str">
        <f t="shared" si="3"/>
        <v/>
      </c>
      <c r="G118" s="151"/>
      <c r="H118" s="160"/>
      <c r="I118" s="157"/>
      <c r="J118" s="161"/>
      <c r="L118" s="94"/>
      <c r="M118" s="159"/>
      <c r="N118" s="94"/>
    </row>
    <row r="119">
      <c r="A119" s="107">
        <v>2225.0</v>
      </c>
      <c r="B119" s="108" t="s">
        <v>190</v>
      </c>
      <c r="C119" s="108" t="s">
        <v>223</v>
      </c>
      <c r="D119" s="100" t="str">
        <f t="shared" si="1"/>
        <v/>
      </c>
      <c r="E119" s="100" t="str">
        <f t="shared" si="2"/>
        <v/>
      </c>
      <c r="F119" s="100" t="str">
        <f t="shared" si="3"/>
        <v/>
      </c>
      <c r="G119" s="151"/>
      <c r="H119" s="156"/>
      <c r="I119" s="157"/>
      <c r="J119" s="158"/>
      <c r="L119" s="94"/>
      <c r="M119" s="159"/>
      <c r="N119" s="94"/>
    </row>
    <row r="120">
      <c r="A120" s="107">
        <v>2225.0</v>
      </c>
      <c r="B120" s="108" t="s">
        <v>191</v>
      </c>
      <c r="C120" s="108" t="s">
        <v>223</v>
      </c>
      <c r="D120" s="100" t="str">
        <f t="shared" si="1"/>
        <v/>
      </c>
      <c r="E120" s="100" t="str">
        <f t="shared" si="2"/>
        <v/>
      </c>
      <c r="F120" s="100" t="str">
        <f t="shared" si="3"/>
        <v/>
      </c>
      <c r="G120" s="151"/>
      <c r="H120" s="160"/>
      <c r="I120" s="157"/>
      <c r="J120" s="161"/>
      <c r="L120" s="94"/>
      <c r="M120" s="159"/>
      <c r="N120" s="94"/>
    </row>
    <row r="121">
      <c r="A121" s="107">
        <v>2225.0</v>
      </c>
      <c r="B121" s="108" t="s">
        <v>192</v>
      </c>
      <c r="C121" s="108" t="s">
        <v>223</v>
      </c>
      <c r="D121" s="100" t="str">
        <f t="shared" si="1"/>
        <v/>
      </c>
      <c r="E121" s="100" t="str">
        <f t="shared" si="2"/>
        <v/>
      </c>
      <c r="F121" s="100" t="str">
        <f t="shared" si="3"/>
        <v/>
      </c>
      <c r="G121" s="151"/>
      <c r="H121" s="156"/>
      <c r="I121" s="157"/>
      <c r="J121" s="158"/>
      <c r="L121" s="94"/>
      <c r="M121" s="159"/>
      <c r="N121" s="94"/>
    </row>
    <row r="122">
      <c r="A122" s="107">
        <v>2229.0</v>
      </c>
      <c r="B122" s="108" t="s">
        <v>85</v>
      </c>
      <c r="C122" s="108" t="s">
        <v>224</v>
      </c>
      <c r="D122" s="100" t="str">
        <f t="shared" si="1"/>
        <v/>
      </c>
      <c r="E122" s="100" t="str">
        <f t="shared" si="2"/>
        <v/>
      </c>
      <c r="F122" s="100" t="str">
        <f t="shared" si="3"/>
        <v/>
      </c>
      <c r="G122" s="151"/>
      <c r="H122" s="160"/>
      <c r="I122" s="157"/>
      <c r="J122" s="161"/>
      <c r="L122" s="94"/>
      <c r="M122" s="159"/>
      <c r="N122" s="94"/>
    </row>
    <row r="123">
      <c r="A123" s="107">
        <v>2248.0</v>
      </c>
      <c r="B123" s="108" t="s">
        <v>85</v>
      </c>
      <c r="C123" s="108" t="s">
        <v>225</v>
      </c>
      <c r="D123" s="100" t="str">
        <f t="shared" si="1"/>
        <v/>
      </c>
      <c r="E123" s="100" t="str">
        <f t="shared" si="2"/>
        <v/>
      </c>
      <c r="F123" s="100" t="str">
        <f t="shared" si="3"/>
        <v/>
      </c>
      <c r="G123" s="151"/>
      <c r="H123" s="156"/>
      <c r="I123" s="157"/>
      <c r="J123" s="158"/>
      <c r="L123" s="94"/>
      <c r="M123" s="159"/>
      <c r="N123" s="94"/>
    </row>
    <row r="124">
      <c r="A124" s="107">
        <v>2365.0</v>
      </c>
      <c r="B124" s="108" t="s">
        <v>85</v>
      </c>
      <c r="C124" s="108" t="s">
        <v>226</v>
      </c>
      <c r="D124" s="100" t="str">
        <f t="shared" si="1"/>
        <v/>
      </c>
      <c r="E124" s="100" t="str">
        <f t="shared" si="2"/>
        <v/>
      </c>
      <c r="F124" s="100" t="str">
        <f t="shared" si="3"/>
        <v/>
      </c>
      <c r="G124" s="151"/>
      <c r="H124" s="160"/>
      <c r="I124" s="157"/>
      <c r="J124" s="161"/>
      <c r="L124" s="94"/>
      <c r="M124" s="159"/>
      <c r="N124" s="94"/>
    </row>
    <row r="125">
      <c r="A125" s="107">
        <v>2365.0</v>
      </c>
      <c r="B125" s="108" t="s">
        <v>90</v>
      </c>
      <c r="C125" s="108" t="s">
        <v>226</v>
      </c>
      <c r="D125" s="100" t="str">
        <f t="shared" si="1"/>
        <v/>
      </c>
      <c r="E125" s="100" t="str">
        <f t="shared" si="2"/>
        <v/>
      </c>
      <c r="F125" s="100" t="str">
        <f t="shared" si="3"/>
        <v/>
      </c>
      <c r="G125" s="151"/>
      <c r="H125" s="156"/>
      <c r="I125" s="157"/>
      <c r="J125" s="158"/>
      <c r="L125" s="94"/>
      <c r="M125" s="159"/>
      <c r="N125" s="94"/>
    </row>
    <row r="126">
      <c r="A126" s="107">
        <v>2365.0</v>
      </c>
      <c r="B126" s="108" t="s">
        <v>92</v>
      </c>
      <c r="C126" s="108" t="s">
        <v>226</v>
      </c>
      <c r="D126" s="100" t="str">
        <f t="shared" si="1"/>
        <v/>
      </c>
      <c r="E126" s="100" t="str">
        <f t="shared" si="2"/>
        <v/>
      </c>
      <c r="F126" s="100" t="str">
        <f t="shared" si="3"/>
        <v/>
      </c>
      <c r="G126" s="151"/>
      <c r="H126" s="160"/>
      <c r="I126" s="157"/>
      <c r="J126" s="161"/>
      <c r="L126" s="94"/>
      <c r="M126" s="159"/>
      <c r="N126" s="94"/>
    </row>
    <row r="127">
      <c r="A127" s="107">
        <v>2365.0</v>
      </c>
      <c r="B127" s="108" t="s">
        <v>190</v>
      </c>
      <c r="C127" s="108" t="s">
        <v>226</v>
      </c>
      <c r="D127" s="100" t="str">
        <f t="shared" si="1"/>
        <v/>
      </c>
      <c r="E127" s="100" t="str">
        <f t="shared" si="2"/>
        <v/>
      </c>
      <c r="F127" s="100" t="str">
        <f t="shared" si="3"/>
        <v/>
      </c>
      <c r="G127" s="151"/>
      <c r="H127" s="156"/>
      <c r="I127" s="157"/>
      <c r="J127" s="158"/>
      <c r="L127" s="94"/>
      <c r="M127" s="159"/>
      <c r="N127" s="94"/>
    </row>
    <row r="128">
      <c r="A128" s="107">
        <v>2399.0</v>
      </c>
      <c r="B128" s="108" t="s">
        <v>85</v>
      </c>
      <c r="C128" s="108" t="s">
        <v>227</v>
      </c>
      <c r="D128" s="100" t="str">
        <f t="shared" si="1"/>
        <v/>
      </c>
      <c r="E128" s="100" t="str">
        <f t="shared" si="2"/>
        <v/>
      </c>
      <c r="F128" s="100" t="str">
        <f t="shared" si="3"/>
        <v/>
      </c>
      <c r="G128" s="151"/>
      <c r="H128" s="160"/>
      <c r="I128" s="157"/>
      <c r="J128" s="161"/>
      <c r="L128" s="94"/>
      <c r="M128" s="159"/>
      <c r="N128" s="94"/>
    </row>
    <row r="129">
      <c r="A129" s="107">
        <v>2399.0</v>
      </c>
      <c r="B129" s="108" t="s">
        <v>90</v>
      </c>
      <c r="C129" s="108" t="s">
        <v>227</v>
      </c>
      <c r="D129" s="100" t="str">
        <f t="shared" si="1"/>
        <v/>
      </c>
      <c r="E129" s="100" t="str">
        <f t="shared" si="2"/>
        <v/>
      </c>
      <c r="F129" s="100" t="str">
        <f t="shared" si="3"/>
        <v/>
      </c>
      <c r="G129" s="151"/>
      <c r="H129" s="156"/>
      <c r="I129" s="157"/>
      <c r="J129" s="158"/>
      <c r="L129" s="94"/>
      <c r="M129" s="159"/>
      <c r="N129" s="94"/>
    </row>
    <row r="130">
      <c r="A130" s="107">
        <v>2399.0</v>
      </c>
      <c r="B130" s="108" t="s">
        <v>92</v>
      </c>
      <c r="C130" s="108" t="s">
        <v>227</v>
      </c>
      <c r="D130" s="100" t="str">
        <f t="shared" si="1"/>
        <v/>
      </c>
      <c r="E130" s="100" t="str">
        <f t="shared" si="2"/>
        <v/>
      </c>
      <c r="F130" s="100" t="str">
        <f t="shared" si="3"/>
        <v/>
      </c>
      <c r="G130" s="151"/>
      <c r="H130" s="160"/>
      <c r="I130" s="157"/>
      <c r="J130" s="161"/>
      <c r="L130" s="94"/>
      <c r="M130" s="159"/>
      <c r="N130" s="94"/>
    </row>
    <row r="131">
      <c r="A131" s="107">
        <v>2399.0</v>
      </c>
      <c r="B131" s="108" t="s">
        <v>190</v>
      </c>
      <c r="C131" s="108" t="s">
        <v>227</v>
      </c>
      <c r="D131" s="100" t="str">
        <f t="shared" si="1"/>
        <v/>
      </c>
      <c r="E131" s="100" t="str">
        <f t="shared" si="2"/>
        <v/>
      </c>
      <c r="F131" s="100" t="str">
        <f t="shared" si="3"/>
        <v/>
      </c>
      <c r="G131" s="151"/>
      <c r="H131" s="156"/>
      <c r="I131" s="157"/>
      <c r="J131" s="158"/>
      <c r="L131" s="94"/>
      <c r="M131" s="159"/>
      <c r="N131" s="94"/>
    </row>
    <row r="132">
      <c r="A132" s="107">
        <v>2400.0</v>
      </c>
      <c r="B132" s="108" t="s">
        <v>85</v>
      </c>
      <c r="C132" s="108" t="s">
        <v>228</v>
      </c>
      <c r="D132" s="100" t="str">
        <f t="shared" si="1"/>
        <v/>
      </c>
      <c r="E132" s="100" t="str">
        <f t="shared" si="2"/>
        <v/>
      </c>
      <c r="F132" s="100" t="str">
        <f t="shared" si="3"/>
        <v/>
      </c>
      <c r="G132" s="151"/>
      <c r="H132" s="160"/>
      <c r="I132" s="157"/>
      <c r="J132" s="161"/>
      <c r="L132" s="94"/>
      <c r="M132" s="159"/>
      <c r="N132" s="94"/>
    </row>
    <row r="133">
      <c r="A133" s="107">
        <v>2400.0</v>
      </c>
      <c r="B133" s="108" t="s">
        <v>90</v>
      </c>
      <c r="C133" s="108" t="s">
        <v>228</v>
      </c>
      <c r="D133" s="100" t="str">
        <f t="shared" si="1"/>
        <v/>
      </c>
      <c r="E133" s="100" t="str">
        <f t="shared" si="2"/>
        <v/>
      </c>
      <c r="F133" s="100" t="str">
        <f t="shared" si="3"/>
        <v/>
      </c>
      <c r="G133" s="151"/>
      <c r="H133" s="156"/>
      <c r="I133" s="157"/>
      <c r="J133" s="158"/>
      <c r="L133" s="94"/>
      <c r="M133" s="159"/>
      <c r="N133" s="94"/>
    </row>
    <row r="134">
      <c r="A134" s="107">
        <v>2400.0</v>
      </c>
      <c r="B134" s="108" t="s">
        <v>92</v>
      </c>
      <c r="C134" s="108" t="s">
        <v>228</v>
      </c>
      <c r="D134" s="100" t="str">
        <f t="shared" si="1"/>
        <v/>
      </c>
      <c r="E134" s="100" t="str">
        <f t="shared" si="2"/>
        <v/>
      </c>
      <c r="F134" s="100" t="str">
        <f t="shared" si="3"/>
        <v/>
      </c>
      <c r="G134" s="151"/>
      <c r="H134" s="160"/>
      <c r="I134" s="157"/>
      <c r="J134" s="161"/>
      <c r="L134" s="94"/>
      <c r="M134" s="159"/>
      <c r="N134" s="94"/>
    </row>
    <row r="135">
      <c r="A135" s="107">
        <v>2403.0</v>
      </c>
      <c r="B135" s="108" t="s">
        <v>85</v>
      </c>
      <c r="C135" s="108" t="s">
        <v>229</v>
      </c>
      <c r="D135" s="100" t="str">
        <f t="shared" si="1"/>
        <v/>
      </c>
      <c r="E135" s="100" t="str">
        <f t="shared" si="2"/>
        <v/>
      </c>
      <c r="F135" s="100" t="str">
        <f t="shared" si="3"/>
        <v/>
      </c>
      <c r="G135" s="151"/>
      <c r="H135" s="156"/>
      <c r="I135" s="157"/>
      <c r="J135" s="158"/>
      <c r="L135" s="94"/>
      <c r="M135" s="159"/>
      <c r="N135" s="94"/>
    </row>
    <row r="136">
      <c r="A136" s="107">
        <v>2403.0</v>
      </c>
      <c r="B136" s="108" t="s">
        <v>90</v>
      </c>
      <c r="C136" s="108" t="s">
        <v>229</v>
      </c>
      <c r="D136" s="100" t="str">
        <f t="shared" si="1"/>
        <v/>
      </c>
      <c r="E136" s="100" t="str">
        <f t="shared" si="2"/>
        <v/>
      </c>
      <c r="F136" s="100" t="str">
        <f t="shared" si="3"/>
        <v/>
      </c>
      <c r="G136" s="151"/>
      <c r="H136" s="160"/>
      <c r="I136" s="157"/>
      <c r="J136" s="161"/>
      <c r="L136" s="94"/>
      <c r="M136" s="159"/>
      <c r="N136" s="94"/>
    </row>
    <row r="137">
      <c r="A137" s="107">
        <v>2403.0</v>
      </c>
      <c r="B137" s="108" t="s">
        <v>92</v>
      </c>
      <c r="C137" s="108" t="s">
        <v>229</v>
      </c>
      <c r="D137" s="100" t="str">
        <f t="shared" si="1"/>
        <v/>
      </c>
      <c r="E137" s="100" t="str">
        <f t="shared" si="2"/>
        <v/>
      </c>
      <c r="F137" s="100" t="str">
        <f t="shared" si="3"/>
        <v/>
      </c>
      <c r="G137" s="151"/>
      <c r="H137" s="156"/>
      <c r="I137" s="157"/>
      <c r="J137" s="158"/>
      <c r="L137" s="94"/>
      <c r="M137" s="159"/>
      <c r="N137" s="94"/>
    </row>
    <row r="138">
      <c r="A138" s="107">
        <v>2403.0</v>
      </c>
      <c r="B138" s="108" t="s">
        <v>190</v>
      </c>
      <c r="C138" s="108" t="s">
        <v>229</v>
      </c>
      <c r="D138" s="100" t="str">
        <f t="shared" si="1"/>
        <v/>
      </c>
      <c r="E138" s="100" t="str">
        <f t="shared" si="2"/>
        <v/>
      </c>
      <c r="F138" s="100" t="str">
        <f t="shared" si="3"/>
        <v/>
      </c>
      <c r="G138" s="151"/>
      <c r="H138" s="160"/>
      <c r="I138" s="157"/>
      <c r="J138" s="161"/>
      <c r="L138" s="94"/>
      <c r="M138" s="159"/>
      <c r="N138" s="94"/>
    </row>
    <row r="139">
      <c r="A139" s="107">
        <v>2403.0</v>
      </c>
      <c r="B139" s="108" t="s">
        <v>191</v>
      </c>
      <c r="C139" s="108" t="s">
        <v>229</v>
      </c>
      <c r="D139" s="100" t="str">
        <f t="shared" si="1"/>
        <v/>
      </c>
      <c r="E139" s="100" t="str">
        <f t="shared" si="2"/>
        <v/>
      </c>
      <c r="F139" s="100" t="str">
        <f t="shared" si="3"/>
        <v/>
      </c>
      <c r="G139" s="151"/>
      <c r="H139" s="156"/>
      <c r="I139" s="157"/>
      <c r="J139" s="158"/>
      <c r="L139" s="94"/>
      <c r="M139" s="159"/>
      <c r="N139" s="94"/>
    </row>
    <row r="140">
      <c r="A140" s="107">
        <v>2403.0</v>
      </c>
      <c r="B140" s="108" t="s">
        <v>192</v>
      </c>
      <c r="C140" s="108" t="s">
        <v>229</v>
      </c>
      <c r="D140" s="100" t="str">
        <f t="shared" si="1"/>
        <v/>
      </c>
      <c r="E140" s="100" t="str">
        <f t="shared" si="2"/>
        <v/>
      </c>
      <c r="F140" s="100" t="str">
        <f t="shared" si="3"/>
        <v/>
      </c>
      <c r="G140" s="151"/>
      <c r="H140" s="160"/>
      <c r="I140" s="157"/>
      <c r="J140" s="161"/>
      <c r="L140" s="94"/>
      <c r="M140" s="159"/>
      <c r="N140" s="94"/>
    </row>
    <row r="141">
      <c r="A141" s="107">
        <v>2405.0</v>
      </c>
      <c r="B141" s="108" t="s">
        <v>85</v>
      </c>
      <c r="C141" s="108" t="s">
        <v>230</v>
      </c>
      <c r="D141" s="100" t="str">
        <f t="shared" si="1"/>
        <v/>
      </c>
      <c r="E141" s="100" t="str">
        <f t="shared" si="2"/>
        <v/>
      </c>
      <c r="F141" s="100" t="str">
        <f t="shared" si="3"/>
        <v/>
      </c>
      <c r="G141" s="151"/>
      <c r="H141" s="156"/>
      <c r="I141" s="157"/>
      <c r="J141" s="158"/>
      <c r="L141" s="94"/>
      <c r="M141" s="159"/>
      <c r="N141" s="94"/>
    </row>
    <row r="142">
      <c r="A142" s="107">
        <v>2405.0</v>
      </c>
      <c r="B142" s="108" t="s">
        <v>90</v>
      </c>
      <c r="C142" s="108" t="s">
        <v>230</v>
      </c>
      <c r="D142" s="100" t="str">
        <f t="shared" si="1"/>
        <v/>
      </c>
      <c r="E142" s="100" t="str">
        <f t="shared" si="2"/>
        <v/>
      </c>
      <c r="F142" s="100" t="str">
        <f t="shared" si="3"/>
        <v/>
      </c>
      <c r="G142" s="151"/>
      <c r="H142" s="160"/>
      <c r="I142" s="157"/>
      <c r="J142" s="161"/>
      <c r="L142" s="94"/>
      <c r="M142" s="159"/>
      <c r="N142" s="94"/>
    </row>
    <row r="143">
      <c r="A143" s="107">
        <v>2405.0</v>
      </c>
      <c r="B143" s="108" t="s">
        <v>92</v>
      </c>
      <c r="C143" s="108" t="s">
        <v>230</v>
      </c>
      <c r="D143" s="100" t="str">
        <f t="shared" si="1"/>
        <v/>
      </c>
      <c r="E143" s="100" t="str">
        <f t="shared" si="2"/>
        <v/>
      </c>
      <c r="F143" s="100" t="str">
        <f t="shared" si="3"/>
        <v/>
      </c>
      <c r="G143" s="151"/>
      <c r="H143" s="156"/>
      <c r="I143" s="157"/>
      <c r="J143" s="158"/>
      <c r="L143" s="94"/>
      <c r="M143" s="159"/>
      <c r="N143" s="94"/>
    </row>
    <row r="144">
      <c r="A144" s="107">
        <v>2406.0</v>
      </c>
      <c r="B144" s="108" t="s">
        <v>85</v>
      </c>
      <c r="C144" s="108" t="s">
        <v>231</v>
      </c>
      <c r="D144" s="100" t="str">
        <f t="shared" si="1"/>
        <v/>
      </c>
      <c r="E144" s="100" t="str">
        <f t="shared" si="2"/>
        <v/>
      </c>
      <c r="F144" s="100" t="str">
        <f t="shared" si="3"/>
        <v/>
      </c>
      <c r="G144" s="151"/>
      <c r="H144" s="160"/>
      <c r="I144" s="157"/>
      <c r="J144" s="161"/>
      <c r="L144" s="94"/>
      <c r="M144" s="159"/>
      <c r="N144" s="94"/>
    </row>
    <row r="145">
      <c r="A145" s="107">
        <v>2406.0</v>
      </c>
      <c r="B145" s="108" t="s">
        <v>90</v>
      </c>
      <c r="C145" s="108" t="s">
        <v>231</v>
      </c>
      <c r="D145" s="100" t="str">
        <f t="shared" si="1"/>
        <v/>
      </c>
      <c r="E145" s="100" t="str">
        <f t="shared" si="2"/>
        <v/>
      </c>
      <c r="F145" s="100" t="str">
        <f t="shared" si="3"/>
        <v/>
      </c>
      <c r="G145" s="151"/>
      <c r="H145" s="156"/>
      <c r="I145" s="157"/>
      <c r="J145" s="158"/>
      <c r="L145" s="94"/>
      <c r="M145" s="159"/>
      <c r="N145" s="94"/>
    </row>
    <row r="146">
      <c r="A146" s="107">
        <v>2406.0</v>
      </c>
      <c r="B146" s="108" t="s">
        <v>92</v>
      </c>
      <c r="C146" s="108" t="s">
        <v>231</v>
      </c>
      <c r="D146" s="100" t="str">
        <f t="shared" si="1"/>
        <v/>
      </c>
      <c r="E146" s="100" t="str">
        <f t="shared" si="2"/>
        <v/>
      </c>
      <c r="F146" s="100" t="str">
        <f t="shared" si="3"/>
        <v/>
      </c>
      <c r="G146" s="151"/>
      <c r="H146" s="160"/>
      <c r="I146" s="157"/>
      <c r="J146" s="161"/>
      <c r="L146" s="94"/>
      <c r="M146" s="159"/>
      <c r="N146" s="94"/>
    </row>
    <row r="147">
      <c r="A147" s="107">
        <v>2408.0</v>
      </c>
      <c r="B147" s="108" t="s">
        <v>85</v>
      </c>
      <c r="C147" s="108" t="s">
        <v>232</v>
      </c>
      <c r="D147" s="100" t="str">
        <f t="shared" si="1"/>
        <v/>
      </c>
      <c r="E147" s="100" t="str">
        <f t="shared" si="2"/>
        <v/>
      </c>
      <c r="F147" s="100" t="str">
        <f t="shared" si="3"/>
        <v/>
      </c>
      <c r="G147" s="151"/>
      <c r="H147" s="156"/>
      <c r="I147" s="157"/>
      <c r="J147" s="158"/>
      <c r="L147" s="94"/>
      <c r="M147" s="159"/>
      <c r="N147" s="94"/>
    </row>
    <row r="148">
      <c r="A148" s="107">
        <v>2419.0</v>
      </c>
      <c r="B148" s="108" t="s">
        <v>85</v>
      </c>
      <c r="C148" s="108" t="s">
        <v>233</v>
      </c>
      <c r="D148" s="100" t="str">
        <f t="shared" si="1"/>
        <v/>
      </c>
      <c r="E148" s="100" t="str">
        <f t="shared" si="2"/>
        <v/>
      </c>
      <c r="F148" s="100" t="str">
        <f t="shared" si="3"/>
        <v/>
      </c>
      <c r="G148" s="151"/>
      <c r="H148" s="160"/>
      <c r="I148" s="157"/>
      <c r="J148" s="161"/>
      <c r="L148" s="94"/>
      <c r="M148" s="159"/>
      <c r="N148" s="94"/>
    </row>
    <row r="149">
      <c r="A149" s="107">
        <v>2419.0</v>
      </c>
      <c r="B149" s="108" t="s">
        <v>90</v>
      </c>
      <c r="C149" s="108" t="s">
        <v>233</v>
      </c>
      <c r="D149" s="100" t="str">
        <f t="shared" si="1"/>
        <v/>
      </c>
      <c r="E149" s="100" t="str">
        <f t="shared" si="2"/>
        <v/>
      </c>
      <c r="F149" s="100" t="str">
        <f t="shared" si="3"/>
        <v/>
      </c>
      <c r="G149" s="151"/>
      <c r="H149" s="156"/>
      <c r="I149" s="157"/>
      <c r="J149" s="158"/>
      <c r="L149" s="94"/>
      <c r="M149" s="159"/>
      <c r="N149" s="94"/>
    </row>
    <row r="150">
      <c r="A150" s="107">
        <v>2419.0</v>
      </c>
      <c r="B150" s="108" t="s">
        <v>92</v>
      </c>
      <c r="C150" s="108" t="s">
        <v>233</v>
      </c>
      <c r="D150" s="100" t="str">
        <f t="shared" si="1"/>
        <v/>
      </c>
      <c r="E150" s="100" t="str">
        <f t="shared" si="2"/>
        <v/>
      </c>
      <c r="F150" s="100" t="str">
        <f t="shared" si="3"/>
        <v/>
      </c>
      <c r="G150" s="151"/>
      <c r="H150" s="160"/>
      <c r="I150" s="157"/>
      <c r="J150" s="161"/>
      <c r="L150" s="94"/>
      <c r="M150" s="159"/>
      <c r="N150" s="94"/>
    </row>
    <row r="151">
      <c r="A151" s="107">
        <v>2422.0</v>
      </c>
      <c r="B151" s="108" t="s">
        <v>85</v>
      </c>
      <c r="C151" s="108" t="s">
        <v>234</v>
      </c>
      <c r="D151" s="100" t="str">
        <f t="shared" si="1"/>
        <v/>
      </c>
      <c r="E151" s="100" t="str">
        <f t="shared" si="2"/>
        <v/>
      </c>
      <c r="F151" s="100" t="str">
        <f t="shared" si="3"/>
        <v/>
      </c>
      <c r="G151" s="151"/>
      <c r="H151" s="156"/>
      <c r="I151" s="157"/>
      <c r="J151" s="158"/>
      <c r="L151" s="94"/>
      <c r="M151" s="159"/>
      <c r="N151" s="94"/>
    </row>
    <row r="152">
      <c r="A152" s="107">
        <v>2422.0</v>
      </c>
      <c r="B152" s="108" t="s">
        <v>90</v>
      </c>
      <c r="C152" s="108" t="s">
        <v>234</v>
      </c>
      <c r="D152" s="100" t="str">
        <f t="shared" si="1"/>
        <v/>
      </c>
      <c r="E152" s="100" t="str">
        <f t="shared" si="2"/>
        <v/>
      </c>
      <c r="F152" s="100" t="str">
        <f t="shared" si="3"/>
        <v/>
      </c>
      <c r="G152" s="151"/>
      <c r="H152" s="160"/>
      <c r="I152" s="157"/>
      <c r="J152" s="161"/>
      <c r="L152" s="94"/>
      <c r="M152" s="159"/>
      <c r="N152" s="94"/>
    </row>
    <row r="153">
      <c r="A153" s="107">
        <v>2427.0</v>
      </c>
      <c r="B153" s="108" t="s">
        <v>85</v>
      </c>
      <c r="C153" s="108" t="s">
        <v>235</v>
      </c>
      <c r="D153" s="100" t="str">
        <f t="shared" si="1"/>
        <v/>
      </c>
      <c r="E153" s="100" t="str">
        <f t="shared" si="2"/>
        <v/>
      </c>
      <c r="F153" s="100" t="str">
        <f t="shared" si="3"/>
        <v/>
      </c>
      <c r="G153" s="151"/>
      <c r="H153" s="156"/>
      <c r="I153" s="157"/>
      <c r="J153" s="158"/>
      <c r="L153" s="94"/>
      <c r="M153" s="159"/>
      <c r="N153" s="94"/>
    </row>
    <row r="154">
      <c r="A154" s="107">
        <v>2430.0</v>
      </c>
      <c r="B154" s="108" t="s">
        <v>85</v>
      </c>
      <c r="C154" s="108" t="s">
        <v>236</v>
      </c>
      <c r="D154" s="100" t="str">
        <f t="shared" si="1"/>
        <v/>
      </c>
      <c r="E154" s="100" t="str">
        <f t="shared" si="2"/>
        <v/>
      </c>
      <c r="F154" s="100" t="str">
        <f t="shared" si="3"/>
        <v/>
      </c>
      <c r="G154" s="151"/>
      <c r="H154" s="160"/>
      <c r="I154" s="157"/>
      <c r="J154" s="161"/>
      <c r="L154" s="94"/>
      <c r="M154" s="159"/>
      <c r="N154" s="94"/>
    </row>
    <row r="155">
      <c r="A155" s="107">
        <v>2430.0</v>
      </c>
      <c r="B155" s="108" t="s">
        <v>90</v>
      </c>
      <c r="C155" s="108" t="s">
        <v>236</v>
      </c>
      <c r="D155" s="100" t="str">
        <f t="shared" si="1"/>
        <v/>
      </c>
      <c r="E155" s="100" t="str">
        <f t="shared" si="2"/>
        <v/>
      </c>
      <c r="F155" s="100" t="str">
        <f t="shared" si="3"/>
        <v/>
      </c>
      <c r="G155" s="151"/>
      <c r="H155" s="156"/>
      <c r="I155" s="157"/>
      <c r="J155" s="158"/>
      <c r="L155" s="94"/>
      <c r="M155" s="159"/>
      <c r="N155" s="94"/>
    </row>
    <row r="156">
      <c r="A156" s="107">
        <v>2440.0</v>
      </c>
      <c r="B156" s="108" t="s">
        <v>85</v>
      </c>
      <c r="C156" s="108" t="s">
        <v>237</v>
      </c>
      <c r="D156" s="100" t="str">
        <f t="shared" si="1"/>
        <v/>
      </c>
      <c r="E156" s="100" t="str">
        <f t="shared" si="2"/>
        <v/>
      </c>
      <c r="F156" s="100" t="str">
        <f t="shared" si="3"/>
        <v/>
      </c>
      <c r="G156" s="151"/>
      <c r="H156" s="160"/>
      <c r="I156" s="157"/>
      <c r="J156" s="161"/>
      <c r="L156" s="94"/>
      <c r="M156" s="159"/>
      <c r="N156" s="94"/>
    </row>
    <row r="157">
      <c r="A157" s="107">
        <v>2440.0</v>
      </c>
      <c r="B157" s="108" t="s">
        <v>90</v>
      </c>
      <c r="C157" s="108" t="s">
        <v>237</v>
      </c>
      <c r="D157" s="100" t="str">
        <f t="shared" si="1"/>
        <v/>
      </c>
      <c r="E157" s="100" t="str">
        <f t="shared" si="2"/>
        <v/>
      </c>
      <c r="F157" s="100" t="str">
        <f t="shared" si="3"/>
        <v/>
      </c>
      <c r="G157" s="151"/>
      <c r="H157" s="156"/>
      <c r="I157" s="157"/>
      <c r="J157" s="158"/>
      <c r="L157" s="94"/>
      <c r="M157" s="159"/>
      <c r="N157" s="94"/>
    </row>
    <row r="158">
      <c r="A158" s="107">
        <v>2440.0</v>
      </c>
      <c r="B158" s="108" t="s">
        <v>92</v>
      </c>
      <c r="C158" s="108" t="s">
        <v>237</v>
      </c>
      <c r="D158" s="100" t="str">
        <f t="shared" si="1"/>
        <v/>
      </c>
      <c r="E158" s="100" t="str">
        <f t="shared" si="2"/>
        <v/>
      </c>
      <c r="F158" s="100" t="str">
        <f t="shared" si="3"/>
        <v/>
      </c>
      <c r="G158" s="151"/>
      <c r="H158" s="160"/>
      <c r="I158" s="157"/>
      <c r="J158" s="161"/>
      <c r="L158" s="94"/>
      <c r="M158" s="159"/>
      <c r="N158" s="94"/>
    </row>
    <row r="159">
      <c r="A159" s="107">
        <v>2440.0</v>
      </c>
      <c r="B159" s="108" t="s">
        <v>190</v>
      </c>
      <c r="C159" s="108" t="s">
        <v>237</v>
      </c>
      <c r="D159" s="100" t="str">
        <f t="shared" si="1"/>
        <v/>
      </c>
      <c r="E159" s="100" t="str">
        <f t="shared" si="2"/>
        <v/>
      </c>
      <c r="F159" s="100" t="str">
        <f t="shared" si="3"/>
        <v/>
      </c>
      <c r="G159" s="151"/>
      <c r="H159" s="156"/>
      <c r="I159" s="157"/>
      <c r="J159" s="158"/>
      <c r="L159" s="94"/>
      <c r="M159" s="159"/>
      <c r="N159" s="94"/>
    </row>
    <row r="160">
      <c r="A160" s="107">
        <v>2446.0</v>
      </c>
      <c r="B160" s="108" t="s">
        <v>85</v>
      </c>
      <c r="C160" s="108" t="s">
        <v>238</v>
      </c>
      <c r="D160" s="100" t="str">
        <f t="shared" si="1"/>
        <v/>
      </c>
      <c r="E160" s="100" t="str">
        <f t="shared" si="2"/>
        <v/>
      </c>
      <c r="F160" s="100" t="str">
        <f t="shared" si="3"/>
        <v/>
      </c>
      <c r="G160" s="151"/>
      <c r="H160" s="160"/>
      <c r="I160" s="157"/>
      <c r="J160" s="161"/>
      <c r="L160" s="94"/>
      <c r="M160" s="159"/>
      <c r="N160" s="94"/>
    </row>
    <row r="161">
      <c r="A161" s="107">
        <v>2446.0</v>
      </c>
      <c r="B161" s="108" t="s">
        <v>90</v>
      </c>
      <c r="C161" s="108" t="s">
        <v>238</v>
      </c>
      <c r="D161" s="100" t="str">
        <f t="shared" si="1"/>
        <v/>
      </c>
      <c r="E161" s="100" t="str">
        <f t="shared" si="2"/>
        <v/>
      </c>
      <c r="F161" s="100" t="str">
        <f t="shared" si="3"/>
        <v/>
      </c>
      <c r="G161" s="151"/>
      <c r="H161" s="156"/>
      <c r="I161" s="157"/>
      <c r="J161" s="158"/>
      <c r="L161" s="94"/>
      <c r="M161" s="159"/>
      <c r="N161" s="94"/>
    </row>
    <row r="162">
      <c r="A162" s="107">
        <v>2446.0</v>
      </c>
      <c r="B162" s="108" t="s">
        <v>92</v>
      </c>
      <c r="C162" s="108" t="s">
        <v>238</v>
      </c>
      <c r="D162" s="100" t="str">
        <f t="shared" si="1"/>
        <v/>
      </c>
      <c r="E162" s="100" t="str">
        <f t="shared" si="2"/>
        <v/>
      </c>
      <c r="F162" s="100" t="str">
        <f t="shared" si="3"/>
        <v/>
      </c>
      <c r="G162" s="151"/>
      <c r="H162" s="160"/>
      <c r="I162" s="157"/>
      <c r="J162" s="161"/>
      <c r="L162" s="94"/>
      <c r="M162" s="159"/>
      <c r="N162" s="94"/>
    </row>
    <row r="163">
      <c r="A163" s="107">
        <v>2449.0</v>
      </c>
      <c r="B163" s="108" t="s">
        <v>85</v>
      </c>
      <c r="C163" s="108" t="s">
        <v>239</v>
      </c>
      <c r="D163" s="100" t="str">
        <f t="shared" si="1"/>
        <v/>
      </c>
      <c r="E163" s="100" t="str">
        <f t="shared" si="2"/>
        <v/>
      </c>
      <c r="F163" s="100" t="str">
        <f t="shared" si="3"/>
        <v/>
      </c>
      <c r="G163" s="151"/>
      <c r="H163" s="156"/>
      <c r="I163" s="157"/>
      <c r="J163" s="158"/>
      <c r="L163" s="94"/>
      <c r="M163" s="159"/>
      <c r="N163" s="94"/>
    </row>
    <row r="164">
      <c r="A164" s="107">
        <v>2449.0</v>
      </c>
      <c r="B164" s="108" t="s">
        <v>90</v>
      </c>
      <c r="C164" s="108" t="s">
        <v>239</v>
      </c>
      <c r="D164" s="100" t="str">
        <f t="shared" si="1"/>
        <v/>
      </c>
      <c r="E164" s="100" t="str">
        <f t="shared" si="2"/>
        <v/>
      </c>
      <c r="F164" s="100" t="str">
        <f t="shared" si="3"/>
        <v/>
      </c>
      <c r="G164" s="151"/>
      <c r="H164" s="160"/>
      <c r="I164" s="157"/>
      <c r="J164" s="161"/>
      <c r="L164" s="94"/>
      <c r="M164" s="159"/>
      <c r="N164" s="94"/>
    </row>
    <row r="165">
      <c r="A165" s="107">
        <v>2449.0</v>
      </c>
      <c r="B165" s="108" t="s">
        <v>92</v>
      </c>
      <c r="C165" s="108" t="s">
        <v>239</v>
      </c>
      <c r="D165" s="100" t="str">
        <f t="shared" si="1"/>
        <v/>
      </c>
      <c r="E165" s="100" t="str">
        <f t="shared" si="2"/>
        <v/>
      </c>
      <c r="F165" s="100" t="str">
        <f t="shared" si="3"/>
        <v/>
      </c>
      <c r="G165" s="151"/>
      <c r="H165" s="156"/>
      <c r="I165" s="157"/>
      <c r="J165" s="158"/>
      <c r="L165" s="94"/>
      <c r="M165" s="159"/>
      <c r="N165" s="94"/>
    </row>
    <row r="166">
      <c r="A166" s="107">
        <v>2449.0</v>
      </c>
      <c r="B166" s="108" t="s">
        <v>190</v>
      </c>
      <c r="C166" s="108" t="s">
        <v>239</v>
      </c>
      <c r="D166" s="100" t="str">
        <f t="shared" si="1"/>
        <v/>
      </c>
      <c r="E166" s="100" t="str">
        <f t="shared" si="2"/>
        <v/>
      </c>
      <c r="F166" s="100" t="str">
        <f t="shared" si="3"/>
        <v/>
      </c>
      <c r="G166" s="151"/>
      <c r="H166" s="160"/>
      <c r="I166" s="157"/>
      <c r="J166" s="161"/>
      <c r="L166" s="94"/>
      <c r="M166" s="159"/>
      <c r="N166" s="94"/>
    </row>
    <row r="167">
      <c r="A167" s="107">
        <v>2457.0</v>
      </c>
      <c r="B167" s="108" t="s">
        <v>85</v>
      </c>
      <c r="C167" s="108" t="s">
        <v>240</v>
      </c>
      <c r="D167" s="100" t="str">
        <f t="shared" si="1"/>
        <v/>
      </c>
      <c r="E167" s="100" t="str">
        <f t="shared" si="2"/>
        <v/>
      </c>
      <c r="F167" s="100" t="str">
        <f t="shared" si="3"/>
        <v/>
      </c>
      <c r="G167" s="151"/>
      <c r="H167" s="156"/>
      <c r="I167" s="157"/>
      <c r="J167" s="158"/>
      <c r="L167" s="94"/>
      <c r="M167" s="159"/>
      <c r="N167" s="94"/>
    </row>
    <row r="168">
      <c r="A168" s="107">
        <v>2457.0</v>
      </c>
      <c r="B168" s="108" t="s">
        <v>90</v>
      </c>
      <c r="C168" s="108" t="s">
        <v>240</v>
      </c>
      <c r="D168" s="100" t="str">
        <f t="shared" si="1"/>
        <v/>
      </c>
      <c r="E168" s="100" t="str">
        <f t="shared" si="2"/>
        <v/>
      </c>
      <c r="F168" s="100" t="str">
        <f t="shared" si="3"/>
        <v/>
      </c>
      <c r="G168" s="151"/>
      <c r="H168" s="160"/>
      <c r="I168" s="157"/>
      <c r="J168" s="161"/>
      <c r="L168" s="94"/>
      <c r="M168" s="159"/>
      <c r="N168" s="94"/>
    </row>
    <row r="169">
      <c r="A169" s="107">
        <v>2501.0</v>
      </c>
      <c r="B169" s="108" t="s">
        <v>85</v>
      </c>
      <c r="C169" s="108" t="s">
        <v>241</v>
      </c>
      <c r="D169" s="100" t="str">
        <f t="shared" si="1"/>
        <v/>
      </c>
      <c r="E169" s="100" t="str">
        <f t="shared" si="2"/>
        <v/>
      </c>
      <c r="F169" s="100" t="str">
        <f t="shared" si="3"/>
        <v/>
      </c>
      <c r="G169" s="151"/>
      <c r="H169" s="156"/>
      <c r="I169" s="157"/>
      <c r="J169" s="158"/>
      <c r="L169" s="94"/>
      <c r="M169" s="159"/>
      <c r="N169" s="94"/>
    </row>
    <row r="170">
      <c r="A170" s="107">
        <v>2501.0</v>
      </c>
      <c r="B170" s="108" t="s">
        <v>90</v>
      </c>
      <c r="C170" s="108" t="s">
        <v>241</v>
      </c>
      <c r="D170" s="100" t="str">
        <f t="shared" si="1"/>
        <v/>
      </c>
      <c r="E170" s="100" t="str">
        <f t="shared" si="2"/>
        <v/>
      </c>
      <c r="F170" s="100" t="str">
        <f t="shared" si="3"/>
        <v/>
      </c>
      <c r="G170" s="151"/>
      <c r="H170" s="160"/>
      <c r="I170" s="157"/>
      <c r="J170" s="161"/>
      <c r="L170" s="94"/>
      <c r="M170" s="159"/>
      <c r="N170" s="94"/>
    </row>
    <row r="171">
      <c r="A171" s="107">
        <v>2544.0</v>
      </c>
      <c r="B171" s="108" t="s">
        <v>85</v>
      </c>
      <c r="C171" s="108" t="s">
        <v>242</v>
      </c>
      <c r="D171" s="100" t="str">
        <f t="shared" si="1"/>
        <v/>
      </c>
      <c r="E171" s="100" t="str">
        <f t="shared" si="2"/>
        <v/>
      </c>
      <c r="F171" s="100" t="str">
        <f t="shared" si="3"/>
        <v/>
      </c>
      <c r="G171" s="151"/>
      <c r="H171" s="156"/>
      <c r="I171" s="157"/>
      <c r="J171" s="158"/>
      <c r="L171" s="94"/>
      <c r="M171" s="159"/>
      <c r="N171" s="94"/>
    </row>
    <row r="172">
      <c r="A172" s="107">
        <v>2544.0</v>
      </c>
      <c r="B172" s="108" t="s">
        <v>90</v>
      </c>
      <c r="C172" s="108" t="s">
        <v>242</v>
      </c>
      <c r="D172" s="100" t="str">
        <f t="shared" si="1"/>
        <v/>
      </c>
      <c r="E172" s="100" t="str">
        <f t="shared" si="2"/>
        <v/>
      </c>
      <c r="F172" s="100" t="str">
        <f t="shared" si="3"/>
        <v/>
      </c>
      <c r="G172" s="151"/>
      <c r="H172" s="160"/>
      <c r="I172" s="157"/>
      <c r="J172" s="161"/>
      <c r="L172" s="94"/>
      <c r="M172" s="159"/>
      <c r="N172" s="94"/>
    </row>
    <row r="173">
      <c r="A173" s="107">
        <v>2544.0</v>
      </c>
      <c r="B173" s="108" t="s">
        <v>92</v>
      </c>
      <c r="C173" s="108" t="s">
        <v>242</v>
      </c>
      <c r="D173" s="100" t="str">
        <f t="shared" si="1"/>
        <v/>
      </c>
      <c r="E173" s="100" t="str">
        <f t="shared" si="2"/>
        <v/>
      </c>
      <c r="F173" s="100" t="str">
        <f t="shared" si="3"/>
        <v/>
      </c>
      <c r="G173" s="151"/>
      <c r="H173" s="156"/>
      <c r="I173" s="157"/>
      <c r="J173" s="158"/>
      <c r="L173" s="94"/>
      <c r="M173" s="159"/>
      <c r="N173" s="94"/>
    </row>
    <row r="174">
      <c r="A174" s="107">
        <v>2544.0</v>
      </c>
      <c r="B174" s="108" t="s">
        <v>190</v>
      </c>
      <c r="C174" s="108" t="s">
        <v>242</v>
      </c>
      <c r="D174" s="100" t="str">
        <f t="shared" si="1"/>
        <v/>
      </c>
      <c r="E174" s="100" t="str">
        <f t="shared" si="2"/>
        <v/>
      </c>
      <c r="F174" s="100" t="str">
        <f t="shared" si="3"/>
        <v/>
      </c>
      <c r="G174" s="151"/>
      <c r="H174" s="160"/>
      <c r="I174" s="157"/>
      <c r="J174" s="161"/>
      <c r="L174" s="94"/>
      <c r="M174" s="159"/>
      <c r="N174" s="94"/>
    </row>
    <row r="175">
      <c r="A175" s="107">
        <v>2544.0</v>
      </c>
      <c r="B175" s="108" t="s">
        <v>191</v>
      </c>
      <c r="C175" s="108" t="s">
        <v>242</v>
      </c>
      <c r="D175" s="100" t="str">
        <f t="shared" si="1"/>
        <v/>
      </c>
      <c r="E175" s="100" t="str">
        <f t="shared" si="2"/>
        <v/>
      </c>
      <c r="F175" s="100" t="str">
        <f t="shared" si="3"/>
        <v/>
      </c>
      <c r="G175" s="151"/>
      <c r="H175" s="156"/>
      <c r="I175" s="157"/>
      <c r="J175" s="158"/>
      <c r="L175" s="94"/>
      <c r="M175" s="159"/>
      <c r="N175" s="94"/>
    </row>
    <row r="176">
      <c r="A176" s="107">
        <v>2544.0</v>
      </c>
      <c r="B176" s="108" t="s">
        <v>192</v>
      </c>
      <c r="C176" s="108" t="s">
        <v>242</v>
      </c>
      <c r="D176" s="100" t="str">
        <f t="shared" si="1"/>
        <v/>
      </c>
      <c r="E176" s="100" t="str">
        <f t="shared" si="2"/>
        <v/>
      </c>
      <c r="F176" s="100" t="str">
        <f t="shared" si="3"/>
        <v/>
      </c>
      <c r="G176" s="151"/>
      <c r="H176" s="160"/>
      <c r="I176" s="157"/>
      <c r="J176" s="161"/>
      <c r="L176" s="94"/>
      <c r="M176" s="159"/>
      <c r="N176" s="94"/>
    </row>
    <row r="177">
      <c r="A177" s="107">
        <v>2544.0</v>
      </c>
      <c r="B177" s="108" t="s">
        <v>193</v>
      </c>
      <c r="C177" s="108" t="s">
        <v>242</v>
      </c>
      <c r="D177" s="100" t="str">
        <f t="shared" si="1"/>
        <v/>
      </c>
      <c r="E177" s="100" t="str">
        <f t="shared" si="2"/>
        <v/>
      </c>
      <c r="F177" s="100" t="str">
        <f t="shared" si="3"/>
        <v/>
      </c>
      <c r="G177" s="151"/>
      <c r="H177" s="156"/>
      <c r="I177" s="157"/>
      <c r="J177" s="158"/>
      <c r="L177" s="94"/>
      <c r="M177" s="159"/>
      <c r="N177" s="94"/>
    </row>
    <row r="178">
      <c r="A178" s="107">
        <v>2544.0</v>
      </c>
      <c r="B178" s="108" t="s">
        <v>243</v>
      </c>
      <c r="C178" s="108" t="s">
        <v>242</v>
      </c>
      <c r="D178" s="100" t="str">
        <f t="shared" si="1"/>
        <v/>
      </c>
      <c r="E178" s="100" t="str">
        <f t="shared" si="2"/>
        <v/>
      </c>
      <c r="F178" s="100" t="str">
        <f t="shared" si="3"/>
        <v/>
      </c>
      <c r="G178" s="151"/>
      <c r="H178" s="160"/>
      <c r="I178" s="157"/>
      <c r="J178" s="161"/>
      <c r="L178" s="94"/>
      <c r="M178" s="159"/>
      <c r="N178" s="94"/>
    </row>
    <row r="179">
      <c r="A179" s="107">
        <v>2544.0</v>
      </c>
      <c r="B179" s="108" t="s">
        <v>215</v>
      </c>
      <c r="C179" s="108" t="s">
        <v>242</v>
      </c>
      <c r="D179" s="100" t="str">
        <f t="shared" si="1"/>
        <v/>
      </c>
      <c r="E179" s="100" t="str">
        <f t="shared" si="2"/>
        <v/>
      </c>
      <c r="F179" s="100" t="str">
        <f t="shared" si="3"/>
        <v/>
      </c>
      <c r="G179" s="151"/>
      <c r="H179" s="156"/>
      <c r="I179" s="157"/>
      <c r="J179" s="158"/>
      <c r="L179" s="94"/>
      <c r="M179" s="159"/>
      <c r="N179" s="94"/>
    </row>
    <row r="180">
      <c r="A180" s="107">
        <v>2544.0</v>
      </c>
      <c r="B180" s="108" t="s">
        <v>244</v>
      </c>
      <c r="C180" s="108" t="s">
        <v>242</v>
      </c>
      <c r="D180" s="100" t="str">
        <f t="shared" si="1"/>
        <v/>
      </c>
      <c r="E180" s="100" t="str">
        <f t="shared" si="2"/>
        <v/>
      </c>
      <c r="F180" s="100" t="str">
        <f t="shared" si="3"/>
        <v/>
      </c>
      <c r="G180" s="151"/>
      <c r="H180" s="160"/>
      <c r="I180" s="157"/>
      <c r="J180" s="161"/>
      <c r="L180" s="94"/>
      <c r="M180" s="159"/>
      <c r="N180" s="94"/>
    </row>
    <row r="181">
      <c r="A181" s="107">
        <v>2544.0</v>
      </c>
      <c r="B181" s="108" t="s">
        <v>245</v>
      </c>
      <c r="C181" s="108" t="s">
        <v>242</v>
      </c>
      <c r="D181" s="100" t="str">
        <f t="shared" si="1"/>
        <v/>
      </c>
      <c r="E181" s="100" t="str">
        <f t="shared" si="2"/>
        <v/>
      </c>
      <c r="F181" s="100" t="str">
        <f t="shared" si="3"/>
        <v/>
      </c>
      <c r="G181" s="151"/>
      <c r="H181" s="156"/>
      <c r="I181" s="157"/>
      <c r="J181" s="158"/>
      <c r="L181" s="94"/>
      <c r="M181" s="159"/>
      <c r="N181" s="94"/>
    </row>
    <row r="182">
      <c r="A182" s="107">
        <v>2544.0</v>
      </c>
      <c r="B182" s="108" t="s">
        <v>246</v>
      </c>
      <c r="C182" s="108" t="s">
        <v>242</v>
      </c>
      <c r="D182" s="100" t="str">
        <f t="shared" si="1"/>
        <v/>
      </c>
      <c r="E182" s="100" t="str">
        <f t="shared" si="2"/>
        <v/>
      </c>
      <c r="F182" s="100" t="str">
        <f t="shared" si="3"/>
        <v/>
      </c>
      <c r="G182" s="151"/>
      <c r="H182" s="160"/>
      <c r="I182" s="157"/>
      <c r="J182" s="161"/>
      <c r="L182" s="94"/>
      <c r="M182" s="159"/>
      <c r="N182" s="94"/>
    </row>
    <row r="183">
      <c r="A183" s="89">
        <v>2544.0</v>
      </c>
      <c r="B183" s="113" t="s">
        <v>247</v>
      </c>
      <c r="C183" s="113" t="s">
        <v>248</v>
      </c>
      <c r="D183" s="100" t="str">
        <f t="shared" si="1"/>
        <v/>
      </c>
      <c r="E183" s="100" t="str">
        <f t="shared" si="2"/>
        <v/>
      </c>
      <c r="F183" s="100" t="str">
        <f t="shared" si="3"/>
        <v/>
      </c>
      <c r="G183" s="151"/>
      <c r="H183" s="156"/>
      <c r="I183" s="157"/>
      <c r="J183" s="158"/>
      <c r="L183" s="94"/>
      <c r="M183" s="159"/>
      <c r="N183" s="94"/>
    </row>
    <row r="184">
      <c r="A184" s="107">
        <v>2546.0</v>
      </c>
      <c r="B184" s="108" t="s">
        <v>85</v>
      </c>
      <c r="C184" s="108" t="s">
        <v>249</v>
      </c>
      <c r="D184" s="100" t="str">
        <f t="shared" si="1"/>
        <v/>
      </c>
      <c r="E184" s="100" t="str">
        <f t="shared" si="2"/>
        <v/>
      </c>
      <c r="F184" s="100" t="str">
        <f t="shared" si="3"/>
        <v/>
      </c>
      <c r="G184" s="151"/>
      <c r="H184" s="160"/>
      <c r="I184" s="157"/>
      <c r="J184" s="161"/>
      <c r="L184" s="94"/>
      <c r="M184" s="159"/>
      <c r="N184" s="94"/>
    </row>
    <row r="185">
      <c r="A185" s="107">
        <v>2546.0</v>
      </c>
      <c r="B185" s="108" t="s">
        <v>90</v>
      </c>
      <c r="C185" s="108" t="s">
        <v>249</v>
      </c>
      <c r="D185" s="100" t="str">
        <f t="shared" si="1"/>
        <v/>
      </c>
      <c r="E185" s="100" t="str">
        <f t="shared" si="2"/>
        <v/>
      </c>
      <c r="F185" s="100" t="str">
        <f t="shared" si="3"/>
        <v/>
      </c>
      <c r="G185" s="151"/>
      <c r="H185" s="156"/>
      <c r="I185" s="157"/>
      <c r="J185" s="158"/>
      <c r="L185" s="94"/>
      <c r="M185" s="159"/>
      <c r="N185" s="94"/>
    </row>
    <row r="186">
      <c r="A186" s="107">
        <v>2546.0</v>
      </c>
      <c r="B186" s="108" t="s">
        <v>92</v>
      </c>
      <c r="C186" s="108" t="s">
        <v>249</v>
      </c>
      <c r="D186" s="100" t="str">
        <f t="shared" si="1"/>
        <v/>
      </c>
      <c r="E186" s="100" t="str">
        <f t="shared" si="2"/>
        <v/>
      </c>
      <c r="F186" s="100" t="str">
        <f t="shared" si="3"/>
        <v/>
      </c>
      <c r="G186" s="151"/>
      <c r="H186" s="160"/>
      <c r="I186" s="157"/>
      <c r="J186" s="161"/>
      <c r="L186" s="94"/>
      <c r="M186" s="159"/>
      <c r="N186" s="94"/>
    </row>
    <row r="187">
      <c r="A187" s="107">
        <v>2546.0</v>
      </c>
      <c r="B187" s="108" t="s">
        <v>190</v>
      </c>
      <c r="C187" s="108" t="s">
        <v>249</v>
      </c>
      <c r="D187" s="100" t="str">
        <f t="shared" si="1"/>
        <v/>
      </c>
      <c r="E187" s="100" t="str">
        <f t="shared" si="2"/>
        <v/>
      </c>
      <c r="F187" s="100" t="str">
        <f t="shared" si="3"/>
        <v/>
      </c>
      <c r="G187" s="151"/>
      <c r="H187" s="156"/>
      <c r="I187" s="157"/>
      <c r="J187" s="158"/>
      <c r="L187" s="94"/>
      <c r="M187" s="159"/>
      <c r="N187" s="94"/>
    </row>
    <row r="188">
      <c r="A188" s="107">
        <v>2546.0</v>
      </c>
      <c r="B188" s="108" t="s">
        <v>191</v>
      </c>
      <c r="C188" s="108" t="s">
        <v>249</v>
      </c>
      <c r="D188" s="100" t="str">
        <f t="shared" si="1"/>
        <v/>
      </c>
      <c r="E188" s="100" t="str">
        <f t="shared" si="2"/>
        <v/>
      </c>
      <c r="F188" s="100" t="str">
        <f t="shared" si="3"/>
        <v/>
      </c>
      <c r="G188" s="151"/>
      <c r="H188" s="160"/>
      <c r="I188" s="157"/>
      <c r="J188" s="161"/>
      <c r="L188" s="94"/>
      <c r="M188" s="159"/>
      <c r="N188" s="94"/>
    </row>
    <row r="189">
      <c r="A189" s="107">
        <v>2546.0</v>
      </c>
      <c r="B189" s="108" t="s">
        <v>192</v>
      </c>
      <c r="C189" s="108" t="s">
        <v>249</v>
      </c>
      <c r="D189" s="100" t="str">
        <f t="shared" si="1"/>
        <v/>
      </c>
      <c r="E189" s="100" t="str">
        <f t="shared" si="2"/>
        <v/>
      </c>
      <c r="F189" s="100" t="str">
        <f t="shared" si="3"/>
        <v/>
      </c>
      <c r="G189" s="151"/>
      <c r="H189" s="156"/>
      <c r="I189" s="157"/>
      <c r="J189" s="158"/>
      <c r="L189" s="94"/>
      <c r="M189" s="159"/>
      <c r="N189" s="94"/>
    </row>
    <row r="190">
      <c r="A190" s="107">
        <v>2546.0</v>
      </c>
      <c r="B190" s="108" t="s">
        <v>193</v>
      </c>
      <c r="C190" s="108" t="s">
        <v>249</v>
      </c>
      <c r="D190" s="100" t="str">
        <f t="shared" si="1"/>
        <v/>
      </c>
      <c r="E190" s="100" t="str">
        <f t="shared" si="2"/>
        <v/>
      </c>
      <c r="F190" s="100" t="str">
        <f t="shared" si="3"/>
        <v/>
      </c>
      <c r="G190" s="151"/>
      <c r="H190" s="160"/>
      <c r="I190" s="157"/>
      <c r="J190" s="161"/>
      <c r="L190" s="94"/>
      <c r="M190" s="159"/>
      <c r="N190" s="94"/>
    </row>
    <row r="191">
      <c r="A191" s="107">
        <v>2546.0</v>
      </c>
      <c r="B191" s="108" t="s">
        <v>243</v>
      </c>
      <c r="C191" s="108" t="s">
        <v>249</v>
      </c>
      <c r="D191" s="100" t="str">
        <f t="shared" si="1"/>
        <v/>
      </c>
      <c r="E191" s="100" t="str">
        <f t="shared" si="2"/>
        <v/>
      </c>
      <c r="F191" s="100" t="str">
        <f t="shared" si="3"/>
        <v/>
      </c>
      <c r="G191" s="151"/>
      <c r="H191" s="156"/>
      <c r="I191" s="157"/>
      <c r="J191" s="158"/>
      <c r="L191" s="94"/>
      <c r="M191" s="159"/>
      <c r="N191" s="94"/>
    </row>
    <row r="192">
      <c r="A192" s="107">
        <v>2546.0</v>
      </c>
      <c r="B192" s="108" t="s">
        <v>215</v>
      </c>
      <c r="C192" s="108" t="s">
        <v>249</v>
      </c>
      <c r="D192" s="100" t="str">
        <f t="shared" si="1"/>
        <v/>
      </c>
      <c r="E192" s="100" t="str">
        <f t="shared" si="2"/>
        <v/>
      </c>
      <c r="F192" s="100" t="str">
        <f t="shared" si="3"/>
        <v/>
      </c>
      <c r="G192" s="151"/>
      <c r="H192" s="160"/>
      <c r="I192" s="157"/>
      <c r="J192" s="161"/>
      <c r="L192" s="94"/>
      <c r="M192" s="159"/>
      <c r="N192" s="94"/>
    </row>
    <row r="193">
      <c r="A193" s="107">
        <v>2547.0</v>
      </c>
      <c r="B193" s="108" t="s">
        <v>85</v>
      </c>
      <c r="C193" s="108" t="s">
        <v>250</v>
      </c>
      <c r="D193" s="100" t="str">
        <f t="shared" si="1"/>
        <v/>
      </c>
      <c r="E193" s="100" t="str">
        <f t="shared" si="2"/>
        <v/>
      </c>
      <c r="F193" s="100" t="str">
        <f t="shared" si="3"/>
        <v/>
      </c>
      <c r="G193" s="151"/>
      <c r="H193" s="156"/>
      <c r="I193" s="157"/>
      <c r="J193" s="158"/>
      <c r="L193" s="94"/>
      <c r="M193" s="159"/>
      <c r="N193" s="94"/>
    </row>
    <row r="194">
      <c r="A194" s="107">
        <v>2547.0</v>
      </c>
      <c r="B194" s="108" t="s">
        <v>90</v>
      </c>
      <c r="C194" s="108" t="s">
        <v>250</v>
      </c>
      <c r="D194" s="100" t="str">
        <f t="shared" si="1"/>
        <v/>
      </c>
      <c r="E194" s="100" t="str">
        <f t="shared" si="2"/>
        <v/>
      </c>
      <c r="F194" s="100" t="str">
        <f t="shared" si="3"/>
        <v/>
      </c>
      <c r="G194" s="151"/>
      <c r="H194" s="160"/>
      <c r="I194" s="157"/>
      <c r="J194" s="161"/>
      <c r="L194" s="94"/>
      <c r="M194" s="159"/>
      <c r="N194" s="94"/>
    </row>
    <row r="195">
      <c r="A195" s="107">
        <v>2547.0</v>
      </c>
      <c r="B195" s="108" t="s">
        <v>92</v>
      </c>
      <c r="C195" s="108" t="s">
        <v>250</v>
      </c>
      <c r="D195" s="100" t="str">
        <f t="shared" si="1"/>
        <v/>
      </c>
      <c r="E195" s="100" t="str">
        <f t="shared" si="2"/>
        <v/>
      </c>
      <c r="F195" s="100" t="str">
        <f t="shared" si="3"/>
        <v/>
      </c>
      <c r="G195" s="151"/>
      <c r="H195" s="156"/>
      <c r="I195" s="157"/>
      <c r="J195" s="158"/>
      <c r="L195" s="94"/>
      <c r="M195" s="159"/>
      <c r="N195" s="94"/>
    </row>
    <row r="196">
      <c r="A196" s="107">
        <v>2548.0</v>
      </c>
      <c r="B196" s="108" t="s">
        <v>85</v>
      </c>
      <c r="C196" s="108" t="s">
        <v>251</v>
      </c>
      <c r="D196" s="100" t="str">
        <f t="shared" si="1"/>
        <v/>
      </c>
      <c r="E196" s="100" t="str">
        <f t="shared" si="2"/>
        <v/>
      </c>
      <c r="F196" s="100" t="str">
        <f t="shared" si="3"/>
        <v/>
      </c>
      <c r="G196" s="151"/>
      <c r="H196" s="160"/>
      <c r="I196" s="157"/>
      <c r="J196" s="161"/>
      <c r="L196" s="94"/>
      <c r="M196" s="159"/>
      <c r="N196" s="94"/>
    </row>
    <row r="197">
      <c r="A197" s="107">
        <v>2548.0</v>
      </c>
      <c r="B197" s="108" t="s">
        <v>90</v>
      </c>
      <c r="C197" s="108" t="s">
        <v>251</v>
      </c>
      <c r="D197" s="100" t="str">
        <f t="shared" si="1"/>
        <v/>
      </c>
      <c r="E197" s="100" t="str">
        <f t="shared" si="2"/>
        <v/>
      </c>
      <c r="F197" s="100" t="str">
        <f t="shared" si="3"/>
        <v/>
      </c>
      <c r="G197" s="151"/>
      <c r="H197" s="156"/>
      <c r="I197" s="157"/>
      <c r="J197" s="158"/>
      <c r="L197" s="94"/>
      <c r="M197" s="159"/>
      <c r="N197" s="94"/>
    </row>
    <row r="198">
      <c r="A198" s="107">
        <v>2548.0</v>
      </c>
      <c r="B198" s="108" t="s">
        <v>92</v>
      </c>
      <c r="C198" s="108" t="s">
        <v>251</v>
      </c>
      <c r="D198" s="100" t="str">
        <f t="shared" si="1"/>
        <v/>
      </c>
      <c r="E198" s="100" t="str">
        <f t="shared" si="2"/>
        <v/>
      </c>
      <c r="F198" s="100" t="str">
        <f t="shared" si="3"/>
        <v/>
      </c>
      <c r="G198" s="151"/>
      <c r="H198" s="160"/>
      <c r="I198" s="157"/>
      <c r="J198" s="161"/>
      <c r="L198" s="94"/>
      <c r="M198" s="159"/>
      <c r="N198" s="94"/>
    </row>
    <row r="199">
      <c r="A199" s="107">
        <v>2548.0</v>
      </c>
      <c r="B199" s="108" t="s">
        <v>190</v>
      </c>
      <c r="C199" s="108" t="s">
        <v>251</v>
      </c>
      <c r="D199" s="100" t="str">
        <f t="shared" si="1"/>
        <v/>
      </c>
      <c r="E199" s="100" t="str">
        <f t="shared" si="2"/>
        <v/>
      </c>
      <c r="F199" s="100" t="str">
        <f t="shared" si="3"/>
        <v/>
      </c>
      <c r="G199" s="151"/>
      <c r="H199" s="156"/>
      <c r="I199" s="157"/>
      <c r="J199" s="158"/>
      <c r="L199" s="94"/>
      <c r="M199" s="159"/>
      <c r="N199" s="94"/>
    </row>
    <row r="200">
      <c r="A200" s="107">
        <v>2548.0</v>
      </c>
      <c r="B200" s="108" t="s">
        <v>191</v>
      </c>
      <c r="C200" s="108" t="s">
        <v>251</v>
      </c>
      <c r="D200" s="100" t="str">
        <f t="shared" si="1"/>
        <v/>
      </c>
      <c r="E200" s="100" t="str">
        <f t="shared" si="2"/>
        <v/>
      </c>
      <c r="F200" s="100" t="str">
        <f t="shared" si="3"/>
        <v/>
      </c>
      <c r="G200" s="151"/>
      <c r="H200" s="160"/>
      <c r="I200" s="157"/>
      <c r="J200" s="161"/>
      <c r="L200" s="94"/>
      <c r="M200" s="159"/>
      <c r="N200" s="94"/>
    </row>
    <row r="201">
      <c r="A201" s="107">
        <v>2548.0</v>
      </c>
      <c r="B201" s="108" t="s">
        <v>192</v>
      </c>
      <c r="C201" s="108" t="s">
        <v>251</v>
      </c>
      <c r="D201" s="100" t="str">
        <f t="shared" si="1"/>
        <v/>
      </c>
      <c r="E201" s="100" t="str">
        <f t="shared" si="2"/>
        <v/>
      </c>
      <c r="F201" s="100" t="str">
        <f t="shared" si="3"/>
        <v/>
      </c>
      <c r="G201" s="151"/>
      <c r="H201" s="156"/>
      <c r="I201" s="157"/>
      <c r="J201" s="158"/>
      <c r="L201" s="94"/>
      <c r="M201" s="159"/>
      <c r="N201" s="94"/>
    </row>
    <row r="202">
      <c r="A202" s="107">
        <v>2549.0</v>
      </c>
      <c r="B202" s="108" t="s">
        <v>85</v>
      </c>
      <c r="C202" s="108" t="s">
        <v>252</v>
      </c>
      <c r="D202" s="100" t="str">
        <f t="shared" si="1"/>
        <v/>
      </c>
      <c r="E202" s="100" t="str">
        <f t="shared" si="2"/>
        <v/>
      </c>
      <c r="F202" s="100" t="str">
        <f t="shared" si="3"/>
        <v/>
      </c>
      <c r="G202" s="151"/>
      <c r="H202" s="160"/>
      <c r="I202" s="157"/>
      <c r="J202" s="161"/>
      <c r="L202" s="94"/>
      <c r="M202" s="159"/>
      <c r="N202" s="94"/>
    </row>
    <row r="203">
      <c r="A203" s="107">
        <v>2549.0</v>
      </c>
      <c r="B203" s="108" t="s">
        <v>90</v>
      </c>
      <c r="C203" s="108" t="s">
        <v>252</v>
      </c>
      <c r="D203" s="100" t="str">
        <f t="shared" si="1"/>
        <v/>
      </c>
      <c r="E203" s="100" t="str">
        <f t="shared" si="2"/>
        <v/>
      </c>
      <c r="F203" s="100" t="str">
        <f t="shared" si="3"/>
        <v/>
      </c>
      <c r="G203" s="151"/>
      <c r="H203" s="156"/>
      <c r="I203" s="157"/>
      <c r="J203" s="158"/>
      <c r="L203" s="94"/>
      <c r="M203" s="159"/>
      <c r="N203" s="94"/>
    </row>
    <row r="204">
      <c r="A204" s="107">
        <v>2549.0</v>
      </c>
      <c r="B204" s="108" t="s">
        <v>92</v>
      </c>
      <c r="C204" s="108" t="s">
        <v>252</v>
      </c>
      <c r="D204" s="100" t="str">
        <f t="shared" si="1"/>
        <v/>
      </c>
      <c r="E204" s="100" t="str">
        <f t="shared" si="2"/>
        <v/>
      </c>
      <c r="F204" s="100" t="str">
        <f t="shared" si="3"/>
        <v/>
      </c>
      <c r="G204" s="151"/>
      <c r="H204" s="160"/>
      <c r="I204" s="157"/>
      <c r="J204" s="161"/>
      <c r="L204" s="94"/>
      <c r="M204" s="159"/>
      <c r="N204" s="94"/>
    </row>
    <row r="205">
      <c r="A205" s="107">
        <v>2550.0</v>
      </c>
      <c r="B205" s="108" t="s">
        <v>85</v>
      </c>
      <c r="C205" s="108" t="s">
        <v>253</v>
      </c>
      <c r="D205" s="100" t="str">
        <f t="shared" si="1"/>
        <v/>
      </c>
      <c r="E205" s="100" t="str">
        <f t="shared" si="2"/>
        <v/>
      </c>
      <c r="F205" s="100" t="str">
        <f t="shared" si="3"/>
        <v/>
      </c>
      <c r="G205" s="151"/>
      <c r="H205" s="156"/>
      <c r="I205" s="157"/>
      <c r="J205" s="158"/>
      <c r="L205" s="94"/>
      <c r="M205" s="159"/>
      <c r="N205" s="94"/>
    </row>
    <row r="206">
      <c r="A206" s="107">
        <v>2550.0</v>
      </c>
      <c r="B206" s="108" t="s">
        <v>90</v>
      </c>
      <c r="C206" s="108" t="s">
        <v>253</v>
      </c>
      <c r="D206" s="100" t="str">
        <f t="shared" si="1"/>
        <v/>
      </c>
      <c r="E206" s="100" t="str">
        <f t="shared" si="2"/>
        <v/>
      </c>
      <c r="F206" s="100" t="str">
        <f t="shared" si="3"/>
        <v/>
      </c>
      <c r="G206" s="151"/>
      <c r="H206" s="160"/>
      <c r="I206" s="157"/>
      <c r="J206" s="161"/>
      <c r="L206" s="94"/>
      <c r="M206" s="159"/>
      <c r="N206" s="94"/>
    </row>
    <row r="207">
      <c r="A207" s="107">
        <v>2550.0</v>
      </c>
      <c r="B207" s="108" t="s">
        <v>92</v>
      </c>
      <c r="C207" s="108" t="s">
        <v>253</v>
      </c>
      <c r="D207" s="100" t="str">
        <f t="shared" si="1"/>
        <v/>
      </c>
      <c r="E207" s="100" t="str">
        <f t="shared" si="2"/>
        <v/>
      </c>
      <c r="F207" s="100" t="str">
        <f t="shared" si="3"/>
        <v/>
      </c>
      <c r="G207" s="151"/>
      <c r="H207" s="156"/>
      <c r="I207" s="157"/>
      <c r="J207" s="158"/>
      <c r="L207" s="94"/>
      <c r="M207" s="159"/>
      <c r="N207" s="94"/>
    </row>
    <row r="208">
      <c r="A208" s="107">
        <v>2555.0</v>
      </c>
      <c r="B208" s="108" t="s">
        <v>85</v>
      </c>
      <c r="C208" s="108" t="s">
        <v>254</v>
      </c>
      <c r="D208" s="100" t="str">
        <f t="shared" si="1"/>
        <v/>
      </c>
      <c r="E208" s="100" t="str">
        <f t="shared" si="2"/>
        <v/>
      </c>
      <c r="F208" s="100" t="str">
        <f t="shared" si="3"/>
        <v/>
      </c>
      <c r="G208" s="151"/>
      <c r="H208" s="160"/>
      <c r="I208" s="157"/>
      <c r="J208" s="161"/>
      <c r="L208" s="94"/>
      <c r="M208" s="159"/>
      <c r="N208" s="94"/>
    </row>
    <row r="209">
      <c r="A209" s="107">
        <v>2555.0</v>
      </c>
      <c r="B209" s="108" t="s">
        <v>90</v>
      </c>
      <c r="C209" s="108" t="s">
        <v>254</v>
      </c>
      <c r="D209" s="100" t="str">
        <f t="shared" si="1"/>
        <v/>
      </c>
      <c r="E209" s="100" t="str">
        <f t="shared" si="2"/>
        <v/>
      </c>
      <c r="F209" s="100" t="str">
        <f t="shared" si="3"/>
        <v/>
      </c>
      <c r="G209" s="151"/>
      <c r="H209" s="156"/>
      <c r="I209" s="157"/>
      <c r="J209" s="158"/>
      <c r="L209" s="94"/>
      <c r="M209" s="159"/>
      <c r="N209" s="94"/>
    </row>
    <row r="210">
      <c r="A210" s="107">
        <v>2555.0</v>
      </c>
      <c r="B210" s="108" t="s">
        <v>92</v>
      </c>
      <c r="C210" s="108" t="s">
        <v>254</v>
      </c>
      <c r="D210" s="100" t="str">
        <f t="shared" si="1"/>
        <v/>
      </c>
      <c r="E210" s="100" t="str">
        <f t="shared" si="2"/>
        <v/>
      </c>
      <c r="F210" s="100" t="str">
        <f t="shared" si="3"/>
        <v/>
      </c>
      <c r="G210" s="151"/>
      <c r="H210" s="160"/>
      <c r="I210" s="157"/>
      <c r="J210" s="161"/>
      <c r="L210" s="94"/>
      <c r="M210" s="159"/>
      <c r="N210" s="94"/>
    </row>
    <row r="211">
      <c r="A211" s="107">
        <v>2555.0</v>
      </c>
      <c r="B211" s="108" t="s">
        <v>190</v>
      </c>
      <c r="C211" s="108" t="s">
        <v>254</v>
      </c>
      <c r="D211" s="100" t="str">
        <f t="shared" si="1"/>
        <v/>
      </c>
      <c r="E211" s="100" t="str">
        <f t="shared" si="2"/>
        <v/>
      </c>
      <c r="F211" s="100" t="str">
        <f t="shared" si="3"/>
        <v/>
      </c>
      <c r="G211" s="151"/>
      <c r="H211" s="156"/>
      <c r="I211" s="157"/>
      <c r="J211" s="158"/>
      <c r="L211" s="94"/>
      <c r="M211" s="159"/>
      <c r="N211" s="94"/>
    </row>
    <row r="212">
      <c r="A212" s="107">
        <v>2555.0</v>
      </c>
      <c r="B212" s="108" t="s">
        <v>191</v>
      </c>
      <c r="C212" s="108" t="s">
        <v>254</v>
      </c>
      <c r="D212" s="100" t="str">
        <f t="shared" si="1"/>
        <v/>
      </c>
      <c r="E212" s="100" t="str">
        <f t="shared" si="2"/>
        <v/>
      </c>
      <c r="F212" s="100" t="str">
        <f t="shared" si="3"/>
        <v/>
      </c>
      <c r="G212" s="151"/>
      <c r="H212" s="160"/>
      <c r="I212" s="157"/>
      <c r="J212" s="161"/>
      <c r="L212" s="94"/>
      <c r="M212" s="159"/>
      <c r="N212" s="94"/>
    </row>
    <row r="213">
      <c r="A213" s="107">
        <v>2557.0</v>
      </c>
      <c r="B213" s="108" t="s">
        <v>85</v>
      </c>
      <c r="C213" s="108" t="s">
        <v>255</v>
      </c>
      <c r="D213" s="100" t="str">
        <f t="shared" si="1"/>
        <v/>
      </c>
      <c r="E213" s="100" t="str">
        <f t="shared" si="2"/>
        <v/>
      </c>
      <c r="F213" s="100" t="str">
        <f t="shared" si="3"/>
        <v/>
      </c>
      <c r="G213" s="151"/>
      <c r="H213" s="156"/>
      <c r="I213" s="157"/>
      <c r="J213" s="158"/>
      <c r="L213" s="94"/>
      <c r="M213" s="159"/>
      <c r="N213" s="94"/>
    </row>
    <row r="214">
      <c r="A214" s="107">
        <v>2557.0</v>
      </c>
      <c r="B214" s="108" t="s">
        <v>90</v>
      </c>
      <c r="C214" s="108" t="s">
        <v>255</v>
      </c>
      <c r="D214" s="100" t="str">
        <f t="shared" si="1"/>
        <v/>
      </c>
      <c r="E214" s="100" t="str">
        <f t="shared" si="2"/>
        <v/>
      </c>
      <c r="F214" s="100" t="str">
        <f t="shared" si="3"/>
        <v/>
      </c>
      <c r="G214" s="151"/>
      <c r="H214" s="160"/>
      <c r="I214" s="157"/>
      <c r="J214" s="161"/>
      <c r="L214" s="94"/>
      <c r="M214" s="159"/>
      <c r="N214" s="94"/>
    </row>
    <row r="215">
      <c r="A215" s="107">
        <v>2561.0</v>
      </c>
      <c r="B215" s="108" t="s">
        <v>85</v>
      </c>
      <c r="C215" s="108" t="s">
        <v>256</v>
      </c>
      <c r="D215" s="100" t="str">
        <f t="shared" si="1"/>
        <v/>
      </c>
      <c r="E215" s="100" t="str">
        <f t="shared" si="2"/>
        <v/>
      </c>
      <c r="F215" s="100" t="str">
        <f t="shared" si="3"/>
        <v/>
      </c>
      <c r="G215" s="151"/>
      <c r="H215" s="156"/>
      <c r="I215" s="157"/>
      <c r="J215" s="158"/>
      <c r="L215" s="94"/>
      <c r="M215" s="159"/>
      <c r="N215" s="94"/>
    </row>
    <row r="216">
      <c r="A216" s="107">
        <v>2561.0</v>
      </c>
      <c r="B216" s="108" t="s">
        <v>90</v>
      </c>
      <c r="C216" s="108" t="s">
        <v>256</v>
      </c>
      <c r="D216" s="100" t="str">
        <f t="shared" si="1"/>
        <v/>
      </c>
      <c r="E216" s="100" t="str">
        <f t="shared" si="2"/>
        <v/>
      </c>
      <c r="F216" s="100" t="str">
        <f t="shared" si="3"/>
        <v/>
      </c>
      <c r="G216" s="151"/>
      <c r="H216" s="160"/>
      <c r="I216" s="157"/>
      <c r="J216" s="161"/>
      <c r="L216" s="94"/>
      <c r="M216" s="159"/>
      <c r="N216" s="94"/>
    </row>
    <row r="217">
      <c r="A217" s="107">
        <v>2561.0</v>
      </c>
      <c r="B217" s="108" t="s">
        <v>92</v>
      </c>
      <c r="C217" s="108" t="s">
        <v>256</v>
      </c>
      <c r="D217" s="100" t="str">
        <f t="shared" si="1"/>
        <v/>
      </c>
      <c r="E217" s="100" t="str">
        <f t="shared" si="2"/>
        <v/>
      </c>
      <c r="F217" s="100" t="str">
        <f t="shared" si="3"/>
        <v/>
      </c>
      <c r="G217" s="151"/>
      <c r="H217" s="156"/>
      <c r="I217" s="157"/>
      <c r="J217" s="158"/>
      <c r="L217" s="94"/>
      <c r="M217" s="159"/>
      <c r="N217" s="94"/>
    </row>
    <row r="218">
      <c r="A218" s="107">
        <v>2561.0</v>
      </c>
      <c r="B218" s="108" t="s">
        <v>190</v>
      </c>
      <c r="C218" s="108" t="s">
        <v>256</v>
      </c>
      <c r="D218" s="100" t="str">
        <f t="shared" si="1"/>
        <v/>
      </c>
      <c r="E218" s="100" t="str">
        <f t="shared" si="2"/>
        <v/>
      </c>
      <c r="F218" s="100" t="str">
        <f t="shared" si="3"/>
        <v/>
      </c>
      <c r="G218" s="151"/>
      <c r="H218" s="160"/>
      <c r="I218" s="157"/>
      <c r="J218" s="161"/>
      <c r="L218" s="94"/>
      <c r="M218" s="159"/>
      <c r="N218" s="94"/>
    </row>
    <row r="219">
      <c r="A219" s="107">
        <v>2561.0</v>
      </c>
      <c r="B219" s="108" t="s">
        <v>191</v>
      </c>
      <c r="C219" s="108" t="s">
        <v>256</v>
      </c>
      <c r="D219" s="100" t="str">
        <f t="shared" si="1"/>
        <v/>
      </c>
      <c r="E219" s="100" t="str">
        <f t="shared" si="2"/>
        <v/>
      </c>
      <c r="F219" s="100" t="str">
        <f t="shared" si="3"/>
        <v/>
      </c>
      <c r="G219" s="151"/>
      <c r="H219" s="156"/>
      <c r="I219" s="157"/>
      <c r="J219" s="158"/>
      <c r="L219" s="94"/>
      <c r="M219" s="159"/>
      <c r="N219" s="94"/>
    </row>
    <row r="220">
      <c r="A220" s="107">
        <v>2563.0</v>
      </c>
      <c r="B220" s="108" t="s">
        <v>90</v>
      </c>
      <c r="C220" s="108" t="s">
        <v>257</v>
      </c>
      <c r="D220" s="100" t="str">
        <f t="shared" si="1"/>
        <v/>
      </c>
      <c r="E220" s="100" t="str">
        <f t="shared" si="2"/>
        <v/>
      </c>
      <c r="F220" s="100" t="str">
        <f t="shared" si="3"/>
        <v/>
      </c>
      <c r="G220" s="151"/>
      <c r="H220" s="160"/>
      <c r="I220" s="157"/>
      <c r="J220" s="161"/>
      <c r="L220" s="94"/>
      <c r="M220" s="159"/>
      <c r="N220" s="94"/>
    </row>
    <row r="221">
      <c r="A221" s="107">
        <v>2563.0</v>
      </c>
      <c r="B221" s="108" t="s">
        <v>92</v>
      </c>
      <c r="C221" s="108" t="s">
        <v>257</v>
      </c>
      <c r="D221" s="100" t="str">
        <f t="shared" si="1"/>
        <v/>
      </c>
      <c r="E221" s="100" t="str">
        <f t="shared" si="2"/>
        <v/>
      </c>
      <c r="F221" s="100" t="str">
        <f t="shared" si="3"/>
        <v/>
      </c>
      <c r="G221" s="151"/>
      <c r="H221" s="156"/>
      <c r="I221" s="157"/>
      <c r="J221" s="158"/>
      <c r="L221" s="94"/>
      <c r="M221" s="159"/>
      <c r="N221" s="94"/>
    </row>
    <row r="222">
      <c r="A222" s="107">
        <v>2563.0</v>
      </c>
      <c r="B222" s="108" t="s">
        <v>190</v>
      </c>
      <c r="C222" s="108" t="s">
        <v>257</v>
      </c>
      <c r="D222" s="100" t="str">
        <f t="shared" si="1"/>
        <v/>
      </c>
      <c r="E222" s="100" t="str">
        <f t="shared" si="2"/>
        <v/>
      </c>
      <c r="F222" s="100" t="str">
        <f t="shared" si="3"/>
        <v/>
      </c>
      <c r="G222" s="151"/>
      <c r="H222" s="160"/>
      <c r="I222" s="157"/>
      <c r="J222" s="161"/>
      <c r="L222" s="94"/>
      <c r="M222" s="159"/>
      <c r="N222" s="94"/>
    </row>
    <row r="223">
      <c r="A223" s="107">
        <v>2564.0</v>
      </c>
      <c r="B223" s="108" t="s">
        <v>85</v>
      </c>
      <c r="C223" s="108" t="s">
        <v>258</v>
      </c>
      <c r="D223" s="100" t="str">
        <f t="shared" si="1"/>
        <v/>
      </c>
      <c r="E223" s="100" t="str">
        <f t="shared" si="2"/>
        <v/>
      </c>
      <c r="F223" s="100" t="str">
        <f t="shared" si="3"/>
        <v/>
      </c>
      <c r="G223" s="151"/>
      <c r="H223" s="156"/>
      <c r="I223" s="157"/>
      <c r="J223" s="158"/>
      <c r="L223" s="94"/>
      <c r="M223" s="159"/>
      <c r="N223" s="94"/>
    </row>
    <row r="224">
      <c r="A224" s="107">
        <v>2564.0</v>
      </c>
      <c r="B224" s="108" t="s">
        <v>90</v>
      </c>
      <c r="C224" s="108" t="s">
        <v>258</v>
      </c>
      <c r="D224" s="100" t="str">
        <f t="shared" si="1"/>
        <v/>
      </c>
      <c r="E224" s="100" t="str">
        <f t="shared" si="2"/>
        <v/>
      </c>
      <c r="F224" s="100" t="str">
        <f t="shared" si="3"/>
        <v/>
      </c>
      <c r="G224" s="151"/>
      <c r="H224" s="160"/>
      <c r="I224" s="157"/>
      <c r="J224" s="161"/>
      <c r="L224" s="94"/>
      <c r="M224" s="159"/>
      <c r="N224" s="94"/>
    </row>
    <row r="225">
      <c r="A225" s="107">
        <v>2564.0</v>
      </c>
      <c r="B225" s="108" t="s">
        <v>92</v>
      </c>
      <c r="C225" s="108" t="s">
        <v>258</v>
      </c>
      <c r="D225" s="100" t="str">
        <f t="shared" si="1"/>
        <v/>
      </c>
      <c r="E225" s="100" t="str">
        <f t="shared" si="2"/>
        <v/>
      </c>
      <c r="F225" s="100" t="str">
        <f t="shared" si="3"/>
        <v/>
      </c>
      <c r="G225" s="151"/>
      <c r="H225" s="156"/>
      <c r="I225" s="157"/>
      <c r="J225" s="158"/>
      <c r="L225" s="94"/>
      <c r="M225" s="159"/>
      <c r="N225" s="94"/>
    </row>
    <row r="226">
      <c r="A226" s="107">
        <v>2564.0</v>
      </c>
      <c r="B226" s="108" t="s">
        <v>190</v>
      </c>
      <c r="C226" s="108" t="s">
        <v>258</v>
      </c>
      <c r="D226" s="100" t="str">
        <f t="shared" si="1"/>
        <v/>
      </c>
      <c r="E226" s="100" t="str">
        <f t="shared" si="2"/>
        <v/>
      </c>
      <c r="F226" s="100" t="str">
        <f t="shared" si="3"/>
        <v/>
      </c>
      <c r="G226" s="151"/>
      <c r="H226" s="160"/>
      <c r="I226" s="157"/>
      <c r="J226" s="161"/>
      <c r="L226" s="94"/>
      <c r="M226" s="159"/>
      <c r="N226" s="94"/>
    </row>
    <row r="227">
      <c r="A227" s="107">
        <v>2566.0</v>
      </c>
      <c r="B227" s="108" t="s">
        <v>85</v>
      </c>
      <c r="C227" s="108" t="s">
        <v>259</v>
      </c>
      <c r="D227" s="100" t="str">
        <f t="shared" si="1"/>
        <v/>
      </c>
      <c r="E227" s="100" t="str">
        <f t="shared" si="2"/>
        <v/>
      </c>
      <c r="F227" s="100" t="str">
        <f t="shared" si="3"/>
        <v/>
      </c>
      <c r="G227" s="151"/>
      <c r="H227" s="156"/>
      <c r="I227" s="157"/>
      <c r="J227" s="158"/>
      <c r="L227" s="94"/>
      <c r="M227" s="159"/>
      <c r="N227" s="94"/>
    </row>
    <row r="228">
      <c r="A228" s="107">
        <v>2570.0</v>
      </c>
      <c r="B228" s="108" t="s">
        <v>85</v>
      </c>
      <c r="C228" s="108" t="s">
        <v>260</v>
      </c>
      <c r="D228" s="100" t="str">
        <f t="shared" si="1"/>
        <v/>
      </c>
      <c r="E228" s="100" t="str">
        <f t="shared" si="2"/>
        <v/>
      </c>
      <c r="F228" s="100" t="str">
        <f t="shared" si="3"/>
        <v/>
      </c>
      <c r="G228" s="151"/>
      <c r="H228" s="160"/>
      <c r="I228" s="157"/>
      <c r="J228" s="161"/>
      <c r="L228" s="94"/>
      <c r="M228" s="159"/>
      <c r="N228" s="94"/>
    </row>
    <row r="229">
      <c r="A229" s="107">
        <v>2570.0</v>
      </c>
      <c r="B229" s="108" t="s">
        <v>90</v>
      </c>
      <c r="C229" s="108" t="s">
        <v>260</v>
      </c>
      <c r="D229" s="100" t="str">
        <f t="shared" si="1"/>
        <v/>
      </c>
      <c r="E229" s="100" t="str">
        <f t="shared" si="2"/>
        <v/>
      </c>
      <c r="F229" s="100" t="str">
        <f t="shared" si="3"/>
        <v/>
      </c>
      <c r="G229" s="151"/>
      <c r="H229" s="156"/>
      <c r="I229" s="157"/>
      <c r="J229" s="158"/>
      <c r="L229" s="94"/>
      <c r="M229" s="159"/>
      <c r="N229" s="94"/>
    </row>
    <row r="230">
      <c r="A230" s="107">
        <v>2570.0</v>
      </c>
      <c r="B230" s="108" t="s">
        <v>92</v>
      </c>
      <c r="C230" s="108" t="s">
        <v>260</v>
      </c>
      <c r="D230" s="100" t="str">
        <f t="shared" si="1"/>
        <v/>
      </c>
      <c r="E230" s="100" t="str">
        <f t="shared" si="2"/>
        <v/>
      </c>
      <c r="F230" s="100" t="str">
        <f t="shared" si="3"/>
        <v/>
      </c>
      <c r="G230" s="151"/>
      <c r="H230" s="160"/>
      <c r="I230" s="157"/>
      <c r="J230" s="161"/>
      <c r="L230" s="94"/>
      <c r="M230" s="159"/>
      <c r="N230" s="94"/>
    </row>
    <row r="231">
      <c r="A231" s="107">
        <v>2570.0</v>
      </c>
      <c r="B231" s="108" t="s">
        <v>191</v>
      </c>
      <c r="C231" s="108" t="s">
        <v>260</v>
      </c>
      <c r="D231" s="100" t="str">
        <f t="shared" si="1"/>
        <v/>
      </c>
      <c r="E231" s="100" t="str">
        <f t="shared" si="2"/>
        <v/>
      </c>
      <c r="F231" s="100" t="str">
        <f t="shared" si="3"/>
        <v/>
      </c>
      <c r="G231" s="151"/>
      <c r="H231" s="156"/>
      <c r="I231" s="157"/>
      <c r="J231" s="158"/>
      <c r="L231" s="94"/>
      <c r="M231" s="159"/>
      <c r="N231" s="94"/>
    </row>
    <row r="232">
      <c r="A232" s="107">
        <v>2571.0</v>
      </c>
      <c r="B232" s="108" t="s">
        <v>85</v>
      </c>
      <c r="C232" s="108" t="s">
        <v>261</v>
      </c>
      <c r="D232" s="100" t="str">
        <f t="shared" si="1"/>
        <v/>
      </c>
      <c r="E232" s="100" t="str">
        <f t="shared" si="2"/>
        <v/>
      </c>
      <c r="F232" s="100" t="str">
        <f t="shared" si="3"/>
        <v/>
      </c>
      <c r="G232" s="151"/>
      <c r="H232" s="160"/>
      <c r="I232" s="157"/>
      <c r="J232" s="161"/>
      <c r="L232" s="94"/>
      <c r="M232" s="159"/>
      <c r="N232" s="94"/>
    </row>
    <row r="233">
      <c r="A233" s="107">
        <v>2571.0</v>
      </c>
      <c r="B233" s="108" t="s">
        <v>90</v>
      </c>
      <c r="C233" s="108" t="s">
        <v>261</v>
      </c>
      <c r="D233" s="100" t="str">
        <f t="shared" si="1"/>
        <v/>
      </c>
      <c r="E233" s="100" t="str">
        <f t="shared" si="2"/>
        <v/>
      </c>
      <c r="F233" s="100" t="str">
        <f t="shared" si="3"/>
        <v/>
      </c>
      <c r="G233" s="151"/>
      <c r="H233" s="156"/>
      <c r="I233" s="157"/>
      <c r="J233" s="158"/>
      <c r="L233" s="94"/>
      <c r="M233" s="159"/>
      <c r="N233" s="94"/>
    </row>
    <row r="234">
      <c r="A234" s="107">
        <v>2571.0</v>
      </c>
      <c r="B234" s="108" t="s">
        <v>92</v>
      </c>
      <c r="C234" s="108" t="s">
        <v>261</v>
      </c>
      <c r="D234" s="100" t="str">
        <f t="shared" si="1"/>
        <v/>
      </c>
      <c r="E234" s="100" t="str">
        <f t="shared" si="2"/>
        <v/>
      </c>
      <c r="F234" s="100" t="str">
        <f t="shared" si="3"/>
        <v/>
      </c>
      <c r="G234" s="151"/>
      <c r="H234" s="160"/>
      <c r="I234" s="157"/>
      <c r="J234" s="161"/>
      <c r="L234" s="94"/>
      <c r="M234" s="159"/>
      <c r="N234" s="94"/>
    </row>
    <row r="235">
      <c r="A235" s="107">
        <v>2571.0</v>
      </c>
      <c r="B235" s="108" t="s">
        <v>190</v>
      </c>
      <c r="C235" s="108" t="s">
        <v>261</v>
      </c>
      <c r="D235" s="100" t="str">
        <f t="shared" si="1"/>
        <v/>
      </c>
      <c r="E235" s="100" t="str">
        <f t="shared" si="2"/>
        <v/>
      </c>
      <c r="F235" s="100" t="str">
        <f t="shared" si="3"/>
        <v/>
      </c>
      <c r="G235" s="151"/>
      <c r="H235" s="156"/>
      <c r="I235" s="157"/>
      <c r="J235" s="158"/>
      <c r="L235" s="94"/>
      <c r="M235" s="159"/>
      <c r="N235" s="94"/>
    </row>
    <row r="236">
      <c r="A236" s="107">
        <v>2581.0</v>
      </c>
      <c r="B236" s="108" t="s">
        <v>85</v>
      </c>
      <c r="C236" s="108" t="s">
        <v>262</v>
      </c>
      <c r="D236" s="100" t="str">
        <f t="shared" si="1"/>
        <v/>
      </c>
      <c r="E236" s="100" t="str">
        <f t="shared" si="2"/>
        <v/>
      </c>
      <c r="F236" s="100" t="str">
        <f t="shared" si="3"/>
        <v/>
      </c>
      <c r="G236" s="151"/>
      <c r="H236" s="160"/>
      <c r="I236" s="157"/>
      <c r="J236" s="161"/>
      <c r="L236" s="94"/>
      <c r="M236" s="159"/>
      <c r="N236" s="94"/>
    </row>
    <row r="237">
      <c r="A237" s="107">
        <v>2581.0</v>
      </c>
      <c r="B237" s="108" t="s">
        <v>90</v>
      </c>
      <c r="C237" s="108" t="s">
        <v>262</v>
      </c>
      <c r="D237" s="100" t="str">
        <f t="shared" si="1"/>
        <v/>
      </c>
      <c r="E237" s="100" t="str">
        <f t="shared" si="2"/>
        <v/>
      </c>
      <c r="F237" s="100" t="str">
        <f t="shared" si="3"/>
        <v/>
      </c>
      <c r="G237" s="151"/>
      <c r="H237" s="156"/>
      <c r="I237" s="157"/>
      <c r="J237" s="158"/>
      <c r="L237" s="94"/>
      <c r="M237" s="159"/>
      <c r="N237" s="94"/>
    </row>
    <row r="238">
      <c r="A238" s="107">
        <v>2581.0</v>
      </c>
      <c r="B238" s="108" t="s">
        <v>92</v>
      </c>
      <c r="C238" s="108" t="s">
        <v>262</v>
      </c>
      <c r="D238" s="100" t="str">
        <f t="shared" si="1"/>
        <v/>
      </c>
      <c r="E238" s="100" t="str">
        <f t="shared" si="2"/>
        <v/>
      </c>
      <c r="F238" s="100" t="str">
        <f t="shared" si="3"/>
        <v/>
      </c>
      <c r="G238" s="151"/>
      <c r="H238" s="160"/>
      <c r="I238" s="157"/>
      <c r="J238" s="161"/>
      <c r="L238" s="94"/>
      <c r="M238" s="159"/>
      <c r="N238" s="94"/>
    </row>
    <row r="239">
      <c r="A239" s="107">
        <v>2584.0</v>
      </c>
      <c r="B239" s="108" t="s">
        <v>85</v>
      </c>
      <c r="C239" s="108" t="s">
        <v>263</v>
      </c>
      <c r="D239" s="100" t="str">
        <f t="shared" si="1"/>
        <v/>
      </c>
      <c r="E239" s="100" t="str">
        <f t="shared" si="2"/>
        <v/>
      </c>
      <c r="F239" s="100" t="str">
        <f t="shared" si="3"/>
        <v/>
      </c>
      <c r="G239" s="151"/>
      <c r="H239" s="156"/>
      <c r="I239" s="157"/>
      <c r="J239" s="158"/>
      <c r="L239" s="94"/>
      <c r="M239" s="159"/>
      <c r="N239" s="94"/>
    </row>
    <row r="240">
      <c r="A240" s="107">
        <v>2584.0</v>
      </c>
      <c r="B240" s="108" t="s">
        <v>90</v>
      </c>
      <c r="C240" s="108" t="s">
        <v>263</v>
      </c>
      <c r="D240" s="100" t="str">
        <f t="shared" si="1"/>
        <v/>
      </c>
      <c r="E240" s="100" t="str">
        <f t="shared" si="2"/>
        <v/>
      </c>
      <c r="F240" s="100" t="str">
        <f t="shared" si="3"/>
        <v/>
      </c>
      <c r="G240" s="151"/>
      <c r="H240" s="160"/>
      <c r="I240" s="157"/>
      <c r="J240" s="161"/>
      <c r="L240" s="94"/>
      <c r="M240" s="159"/>
      <c r="N240" s="94"/>
    </row>
    <row r="241">
      <c r="A241" s="107">
        <v>2585.0</v>
      </c>
      <c r="B241" s="108" t="s">
        <v>85</v>
      </c>
      <c r="C241" s="108" t="s">
        <v>264</v>
      </c>
      <c r="D241" s="100" t="str">
        <f t="shared" si="1"/>
        <v/>
      </c>
      <c r="E241" s="100" t="str">
        <f t="shared" si="2"/>
        <v/>
      </c>
      <c r="F241" s="100" t="str">
        <f t="shared" si="3"/>
        <v/>
      </c>
      <c r="G241" s="151"/>
      <c r="H241" s="156"/>
      <c r="I241" s="157"/>
      <c r="J241" s="158"/>
      <c r="L241" s="94"/>
      <c r="M241" s="159"/>
      <c r="N241" s="94"/>
    </row>
    <row r="242">
      <c r="A242" s="107">
        <v>2585.0</v>
      </c>
      <c r="B242" s="108" t="s">
        <v>90</v>
      </c>
      <c r="C242" s="108" t="s">
        <v>264</v>
      </c>
      <c r="D242" s="100" t="str">
        <f t="shared" si="1"/>
        <v/>
      </c>
      <c r="E242" s="100" t="str">
        <f t="shared" si="2"/>
        <v/>
      </c>
      <c r="F242" s="100" t="str">
        <f t="shared" si="3"/>
        <v/>
      </c>
      <c r="G242" s="151"/>
      <c r="H242" s="160"/>
      <c r="I242" s="162"/>
      <c r="J242" s="161"/>
      <c r="L242" s="94"/>
      <c r="M242" s="159"/>
      <c r="N242" s="94"/>
    </row>
    <row r="243">
      <c r="A243" s="107">
        <v>2585.0</v>
      </c>
      <c r="B243" s="108" t="s">
        <v>92</v>
      </c>
      <c r="C243" s="108" t="s">
        <v>264</v>
      </c>
      <c r="D243" s="100" t="str">
        <f t="shared" si="1"/>
        <v/>
      </c>
      <c r="E243" s="100" t="str">
        <f t="shared" si="2"/>
        <v/>
      </c>
      <c r="F243" s="100" t="str">
        <f t="shared" si="3"/>
        <v/>
      </c>
      <c r="G243" s="151"/>
      <c r="H243" s="156"/>
      <c r="I243" s="157"/>
      <c r="J243" s="158"/>
      <c r="L243" s="94"/>
      <c r="M243" s="159"/>
      <c r="N243" s="94"/>
    </row>
    <row r="244">
      <c r="A244" s="107">
        <v>2585.0</v>
      </c>
      <c r="B244" s="108" t="s">
        <v>190</v>
      </c>
      <c r="C244" s="108" t="s">
        <v>264</v>
      </c>
      <c r="D244" s="100" t="str">
        <f t="shared" si="1"/>
        <v/>
      </c>
      <c r="E244" s="100" t="str">
        <f t="shared" si="2"/>
        <v/>
      </c>
      <c r="F244" s="100" t="str">
        <f t="shared" si="3"/>
        <v/>
      </c>
      <c r="G244" s="151"/>
      <c r="H244" s="160"/>
      <c r="I244" s="157"/>
      <c r="J244" s="161"/>
      <c r="L244" s="94"/>
      <c r="M244" s="159"/>
      <c r="N244" s="94"/>
    </row>
    <row r="245">
      <c r="A245" s="107">
        <v>2585.0</v>
      </c>
      <c r="B245" s="108" t="s">
        <v>191</v>
      </c>
      <c r="C245" s="108" t="s">
        <v>264</v>
      </c>
      <c r="D245" s="100" t="str">
        <f t="shared" si="1"/>
        <v/>
      </c>
      <c r="E245" s="100" t="str">
        <f t="shared" si="2"/>
        <v/>
      </c>
      <c r="F245" s="100" t="str">
        <f t="shared" si="3"/>
        <v/>
      </c>
      <c r="G245" s="151"/>
      <c r="H245" s="156"/>
      <c r="I245" s="157"/>
      <c r="J245" s="158"/>
      <c r="L245" s="94"/>
      <c r="M245" s="159"/>
      <c r="N245" s="94"/>
    </row>
    <row r="246">
      <c r="A246" s="107">
        <v>2585.0</v>
      </c>
      <c r="B246" s="108" t="s">
        <v>192</v>
      </c>
      <c r="C246" s="108" t="s">
        <v>264</v>
      </c>
      <c r="D246" s="100" t="str">
        <f t="shared" si="1"/>
        <v/>
      </c>
      <c r="E246" s="100" t="str">
        <f t="shared" si="2"/>
        <v/>
      </c>
      <c r="F246" s="100" t="str">
        <f t="shared" si="3"/>
        <v/>
      </c>
      <c r="G246" s="151"/>
      <c r="H246" s="160"/>
      <c r="I246" s="157"/>
      <c r="J246" s="161"/>
      <c r="L246" s="94"/>
      <c r="M246" s="159"/>
      <c r="N246" s="94"/>
    </row>
    <row r="247">
      <c r="A247" s="107">
        <v>2586.0</v>
      </c>
      <c r="B247" s="108" t="s">
        <v>85</v>
      </c>
      <c r="C247" s="108" t="s">
        <v>265</v>
      </c>
      <c r="D247" s="100" t="str">
        <f t="shared" si="1"/>
        <v/>
      </c>
      <c r="E247" s="100" t="str">
        <f t="shared" si="2"/>
        <v/>
      </c>
      <c r="F247" s="100" t="str">
        <f t="shared" si="3"/>
        <v/>
      </c>
      <c r="G247" s="151"/>
      <c r="H247" s="156"/>
      <c r="I247" s="157"/>
      <c r="J247" s="158"/>
      <c r="L247" s="94"/>
      <c r="M247" s="159"/>
      <c r="N247" s="94"/>
    </row>
    <row r="248">
      <c r="A248" s="107">
        <v>2588.0</v>
      </c>
      <c r="B248" s="108" t="s">
        <v>85</v>
      </c>
      <c r="C248" s="108" t="s">
        <v>266</v>
      </c>
      <c r="D248" s="100" t="str">
        <f t="shared" si="1"/>
        <v/>
      </c>
      <c r="E248" s="100" t="str">
        <f t="shared" si="2"/>
        <v/>
      </c>
      <c r="F248" s="100" t="str">
        <f t="shared" si="3"/>
        <v/>
      </c>
      <c r="G248" s="151"/>
      <c r="H248" s="160"/>
      <c r="I248" s="157"/>
      <c r="J248" s="161"/>
      <c r="L248" s="94"/>
      <c r="M248" s="159"/>
      <c r="N248" s="94"/>
    </row>
    <row r="249">
      <c r="A249" s="107">
        <v>2588.0</v>
      </c>
      <c r="B249" s="108" t="s">
        <v>90</v>
      </c>
      <c r="C249" s="108" t="s">
        <v>266</v>
      </c>
      <c r="D249" s="100" t="str">
        <f t="shared" si="1"/>
        <v/>
      </c>
      <c r="E249" s="100" t="str">
        <f t="shared" si="2"/>
        <v/>
      </c>
      <c r="F249" s="100" t="str">
        <f t="shared" si="3"/>
        <v/>
      </c>
      <c r="G249" s="151"/>
      <c r="H249" s="156"/>
      <c r="I249" s="157"/>
      <c r="J249" s="158"/>
      <c r="L249" s="94"/>
      <c r="M249" s="159"/>
      <c r="N249" s="94"/>
    </row>
    <row r="250">
      <c r="A250" s="107">
        <v>2588.0</v>
      </c>
      <c r="B250" s="108" t="s">
        <v>92</v>
      </c>
      <c r="C250" s="108" t="s">
        <v>266</v>
      </c>
      <c r="D250" s="100" t="str">
        <f t="shared" si="1"/>
        <v/>
      </c>
      <c r="E250" s="100" t="str">
        <f t="shared" si="2"/>
        <v/>
      </c>
      <c r="F250" s="100" t="str">
        <f t="shared" si="3"/>
        <v/>
      </c>
      <c r="G250" s="151"/>
      <c r="H250" s="160"/>
      <c r="I250" s="157"/>
      <c r="J250" s="161"/>
      <c r="L250" s="94"/>
      <c r="M250" s="159"/>
      <c r="N250" s="94"/>
    </row>
    <row r="251">
      <c r="A251" s="107">
        <v>2590.0</v>
      </c>
      <c r="B251" s="108" t="s">
        <v>85</v>
      </c>
      <c r="C251" s="108" t="s">
        <v>267</v>
      </c>
      <c r="D251" s="100" t="str">
        <f t="shared" si="1"/>
        <v/>
      </c>
      <c r="E251" s="100" t="str">
        <f t="shared" si="2"/>
        <v/>
      </c>
      <c r="F251" s="100" t="str">
        <f t="shared" si="3"/>
        <v/>
      </c>
      <c r="G251" s="151"/>
      <c r="H251" s="156"/>
      <c r="I251" s="157"/>
      <c r="J251" s="158"/>
      <c r="L251" s="94"/>
      <c r="M251" s="159"/>
      <c r="N251" s="94"/>
    </row>
    <row r="252">
      <c r="A252" s="107">
        <v>2590.0</v>
      </c>
      <c r="B252" s="108" t="s">
        <v>90</v>
      </c>
      <c r="C252" s="108" t="s">
        <v>267</v>
      </c>
      <c r="D252" s="100" t="str">
        <f t="shared" si="1"/>
        <v/>
      </c>
      <c r="E252" s="100" t="str">
        <f t="shared" si="2"/>
        <v/>
      </c>
      <c r="F252" s="100" t="str">
        <f t="shared" si="3"/>
        <v/>
      </c>
      <c r="G252" s="151"/>
      <c r="H252" s="160"/>
      <c r="I252" s="157"/>
      <c r="J252" s="161"/>
      <c r="L252" s="94"/>
      <c r="M252" s="159"/>
      <c r="N252" s="94"/>
    </row>
    <row r="253">
      <c r="A253" s="107">
        <v>2590.0</v>
      </c>
      <c r="B253" s="108" t="s">
        <v>92</v>
      </c>
      <c r="C253" s="108" t="s">
        <v>267</v>
      </c>
      <c r="D253" s="100" t="str">
        <f t="shared" si="1"/>
        <v/>
      </c>
      <c r="E253" s="100" t="str">
        <f t="shared" si="2"/>
        <v/>
      </c>
      <c r="F253" s="100" t="str">
        <f t="shared" si="3"/>
        <v/>
      </c>
      <c r="G253" s="151"/>
      <c r="H253" s="156"/>
      <c r="I253" s="157"/>
      <c r="J253" s="158"/>
      <c r="L253" s="94"/>
      <c r="M253" s="159"/>
      <c r="N253" s="94"/>
    </row>
    <row r="254">
      <c r="A254" s="107">
        <v>2592.0</v>
      </c>
      <c r="B254" s="108" t="s">
        <v>85</v>
      </c>
      <c r="C254" s="108" t="s">
        <v>268</v>
      </c>
      <c r="D254" s="100" t="str">
        <f t="shared" si="1"/>
        <v/>
      </c>
      <c r="E254" s="100" t="str">
        <f t="shared" si="2"/>
        <v/>
      </c>
      <c r="F254" s="100" t="str">
        <f t="shared" si="3"/>
        <v/>
      </c>
      <c r="G254" s="151"/>
      <c r="H254" s="160"/>
      <c r="I254" s="157"/>
      <c r="J254" s="161"/>
      <c r="L254" s="94"/>
      <c r="M254" s="159"/>
      <c r="N254" s="94"/>
    </row>
    <row r="255">
      <c r="A255" s="107">
        <v>2592.0</v>
      </c>
      <c r="B255" s="108" t="s">
        <v>90</v>
      </c>
      <c r="C255" s="108" t="s">
        <v>268</v>
      </c>
      <c r="D255" s="100" t="str">
        <f t="shared" si="1"/>
        <v/>
      </c>
      <c r="E255" s="100" t="str">
        <f t="shared" si="2"/>
        <v/>
      </c>
      <c r="F255" s="100" t="str">
        <f t="shared" si="3"/>
        <v/>
      </c>
      <c r="G255" s="151"/>
      <c r="H255" s="156"/>
      <c r="I255" s="157"/>
      <c r="J255" s="158"/>
      <c r="L255" s="94"/>
      <c r="M255" s="159"/>
      <c r="N255" s="94"/>
    </row>
    <row r="256">
      <c r="A256" s="107">
        <v>2592.0</v>
      </c>
      <c r="B256" s="108" t="s">
        <v>92</v>
      </c>
      <c r="C256" s="108" t="s">
        <v>268</v>
      </c>
      <c r="D256" s="100" t="str">
        <f t="shared" si="1"/>
        <v/>
      </c>
      <c r="E256" s="100" t="str">
        <f t="shared" si="2"/>
        <v/>
      </c>
      <c r="F256" s="100" t="str">
        <f t="shared" si="3"/>
        <v/>
      </c>
      <c r="G256" s="151"/>
      <c r="H256" s="160"/>
      <c r="I256" s="157"/>
      <c r="J256" s="161"/>
      <c r="L256" s="94"/>
      <c r="M256" s="159"/>
      <c r="N256" s="94"/>
    </row>
    <row r="257">
      <c r="A257" s="107">
        <v>2592.0</v>
      </c>
      <c r="B257" s="108" t="s">
        <v>190</v>
      </c>
      <c r="C257" s="108" t="s">
        <v>268</v>
      </c>
      <c r="D257" s="100" t="str">
        <f t="shared" si="1"/>
        <v/>
      </c>
      <c r="E257" s="100" t="str">
        <f t="shared" si="2"/>
        <v/>
      </c>
      <c r="F257" s="100" t="str">
        <f t="shared" si="3"/>
        <v/>
      </c>
      <c r="G257" s="151"/>
      <c r="H257" s="156"/>
      <c r="I257" s="157"/>
      <c r="J257" s="158"/>
      <c r="L257" s="94"/>
      <c r="M257" s="159"/>
      <c r="N257" s="94"/>
    </row>
    <row r="258">
      <c r="A258" s="107">
        <v>2594.0</v>
      </c>
      <c r="B258" s="108" t="s">
        <v>85</v>
      </c>
      <c r="C258" s="108" t="s">
        <v>269</v>
      </c>
      <c r="D258" s="100" t="str">
        <f t="shared" si="1"/>
        <v/>
      </c>
      <c r="E258" s="100" t="str">
        <f t="shared" si="2"/>
        <v/>
      </c>
      <c r="F258" s="100" t="str">
        <f t="shared" si="3"/>
        <v/>
      </c>
      <c r="G258" s="151"/>
      <c r="H258" s="160"/>
      <c r="I258" s="157"/>
      <c r="J258" s="161"/>
      <c r="L258" s="94"/>
      <c r="M258" s="159"/>
      <c r="N258" s="94"/>
    </row>
    <row r="259">
      <c r="A259" s="107">
        <v>2594.0</v>
      </c>
      <c r="B259" s="108" t="s">
        <v>90</v>
      </c>
      <c r="C259" s="108" t="s">
        <v>269</v>
      </c>
      <c r="D259" s="100" t="str">
        <f t="shared" si="1"/>
        <v/>
      </c>
      <c r="E259" s="100" t="str">
        <f t="shared" si="2"/>
        <v/>
      </c>
      <c r="F259" s="100" t="str">
        <f t="shared" si="3"/>
        <v/>
      </c>
      <c r="G259" s="151"/>
      <c r="H259" s="156"/>
      <c r="I259" s="157"/>
      <c r="J259" s="158"/>
      <c r="L259" s="94"/>
      <c r="M259" s="159"/>
      <c r="N259" s="94"/>
    </row>
    <row r="260">
      <c r="A260" s="107">
        <v>2594.0</v>
      </c>
      <c r="B260" s="108" t="s">
        <v>92</v>
      </c>
      <c r="C260" s="108" t="s">
        <v>269</v>
      </c>
      <c r="D260" s="100" t="str">
        <f t="shared" si="1"/>
        <v/>
      </c>
      <c r="E260" s="100" t="str">
        <f t="shared" si="2"/>
        <v/>
      </c>
      <c r="F260" s="100" t="str">
        <f t="shared" si="3"/>
        <v/>
      </c>
      <c r="G260" s="151"/>
      <c r="H260" s="160"/>
      <c r="I260" s="157"/>
      <c r="J260" s="161"/>
      <c r="L260" s="94"/>
      <c r="M260" s="159"/>
      <c r="N260" s="94"/>
    </row>
    <row r="261">
      <c r="A261" s="107">
        <v>2594.0</v>
      </c>
      <c r="B261" s="108" t="s">
        <v>190</v>
      </c>
      <c r="C261" s="108" t="s">
        <v>269</v>
      </c>
      <c r="D261" s="100" t="str">
        <f t="shared" si="1"/>
        <v/>
      </c>
      <c r="E261" s="100" t="str">
        <f t="shared" si="2"/>
        <v/>
      </c>
      <c r="F261" s="100" t="str">
        <f t="shared" si="3"/>
        <v/>
      </c>
      <c r="G261" s="151"/>
      <c r="H261" s="156"/>
      <c r="I261" s="157"/>
      <c r="J261" s="158"/>
      <c r="L261" s="94"/>
      <c r="M261" s="159"/>
      <c r="N261" s="94"/>
    </row>
    <row r="262">
      <c r="A262" s="107">
        <v>2594.0</v>
      </c>
      <c r="B262" s="108" t="s">
        <v>191</v>
      </c>
      <c r="C262" s="108" t="s">
        <v>269</v>
      </c>
      <c r="D262" s="100" t="str">
        <f t="shared" si="1"/>
        <v/>
      </c>
      <c r="E262" s="100" t="str">
        <f t="shared" si="2"/>
        <v/>
      </c>
      <c r="F262" s="100" t="str">
        <f t="shared" si="3"/>
        <v/>
      </c>
      <c r="G262" s="151"/>
      <c r="H262" s="160"/>
      <c r="I262" s="157"/>
      <c r="J262" s="161"/>
      <c r="L262" s="94"/>
      <c r="M262" s="159"/>
      <c r="N262" s="94"/>
    </row>
    <row r="263">
      <c r="A263" s="107">
        <v>2594.0</v>
      </c>
      <c r="B263" s="108" t="s">
        <v>192</v>
      </c>
      <c r="C263" s="108" t="s">
        <v>269</v>
      </c>
      <c r="D263" s="100" t="str">
        <f t="shared" si="1"/>
        <v/>
      </c>
      <c r="E263" s="100" t="str">
        <f t="shared" si="2"/>
        <v/>
      </c>
      <c r="F263" s="100" t="str">
        <f t="shared" si="3"/>
        <v/>
      </c>
      <c r="G263" s="151"/>
      <c r="H263" s="156"/>
      <c r="I263" s="157"/>
      <c r="J263" s="158"/>
      <c r="L263" s="94"/>
      <c r="M263" s="159"/>
      <c r="N263" s="94"/>
    </row>
    <row r="264">
      <c r="A264" s="107">
        <v>2594.0</v>
      </c>
      <c r="B264" s="108" t="s">
        <v>193</v>
      </c>
      <c r="C264" s="108" t="s">
        <v>269</v>
      </c>
      <c r="D264" s="100" t="str">
        <f t="shared" si="1"/>
        <v/>
      </c>
      <c r="E264" s="100" t="str">
        <f t="shared" si="2"/>
        <v/>
      </c>
      <c r="F264" s="100" t="str">
        <f t="shared" si="3"/>
        <v/>
      </c>
      <c r="G264" s="151"/>
      <c r="H264" s="160"/>
      <c r="I264" s="157"/>
      <c r="J264" s="161"/>
      <c r="L264" s="94"/>
      <c r="M264" s="159"/>
      <c r="N264" s="94"/>
    </row>
    <row r="265">
      <c r="A265" s="107">
        <v>2617.0</v>
      </c>
      <c r="B265" s="108" t="s">
        <v>85</v>
      </c>
      <c r="C265" s="108" t="s">
        <v>270</v>
      </c>
      <c r="D265" s="100" t="str">
        <f t="shared" si="1"/>
        <v/>
      </c>
      <c r="E265" s="100" t="str">
        <f t="shared" si="2"/>
        <v/>
      </c>
      <c r="F265" s="100" t="str">
        <f t="shared" si="3"/>
        <v/>
      </c>
      <c r="G265" s="151"/>
      <c r="H265" s="156"/>
      <c r="I265" s="157"/>
      <c r="J265" s="158"/>
      <c r="L265" s="94"/>
      <c r="M265" s="159"/>
      <c r="N265" s="94"/>
    </row>
    <row r="266">
      <c r="A266" s="107">
        <v>2617.0</v>
      </c>
      <c r="B266" s="108" t="s">
        <v>90</v>
      </c>
      <c r="C266" s="108" t="s">
        <v>270</v>
      </c>
      <c r="D266" s="100" t="str">
        <f t="shared" si="1"/>
        <v/>
      </c>
      <c r="E266" s="100" t="str">
        <f t="shared" si="2"/>
        <v/>
      </c>
      <c r="F266" s="100" t="str">
        <f t="shared" si="3"/>
        <v/>
      </c>
      <c r="G266" s="151"/>
      <c r="H266" s="160"/>
      <c r="I266" s="157"/>
      <c r="J266" s="161"/>
      <c r="L266" s="94"/>
      <c r="M266" s="159"/>
      <c r="N266" s="94"/>
    </row>
    <row r="267">
      <c r="A267" s="107">
        <v>2617.0</v>
      </c>
      <c r="B267" s="108" t="s">
        <v>92</v>
      </c>
      <c r="C267" s="108" t="s">
        <v>270</v>
      </c>
      <c r="D267" s="100" t="str">
        <f t="shared" si="1"/>
        <v/>
      </c>
      <c r="E267" s="100" t="str">
        <f t="shared" si="2"/>
        <v/>
      </c>
      <c r="F267" s="100" t="str">
        <f t="shared" si="3"/>
        <v/>
      </c>
      <c r="G267" s="151"/>
      <c r="H267" s="156"/>
      <c r="I267" s="157"/>
      <c r="J267" s="158"/>
      <c r="L267" s="94"/>
      <c r="M267" s="159"/>
      <c r="N267" s="94"/>
    </row>
    <row r="268">
      <c r="A268" s="107">
        <v>2617.0</v>
      </c>
      <c r="B268" s="108" t="s">
        <v>190</v>
      </c>
      <c r="C268" s="108" t="s">
        <v>270</v>
      </c>
      <c r="D268" s="100" t="str">
        <f t="shared" si="1"/>
        <v/>
      </c>
      <c r="E268" s="100" t="str">
        <f t="shared" si="2"/>
        <v/>
      </c>
      <c r="F268" s="100" t="str">
        <f t="shared" si="3"/>
        <v/>
      </c>
      <c r="G268" s="151"/>
      <c r="H268" s="160"/>
      <c r="I268" s="157"/>
      <c r="J268" s="161"/>
      <c r="L268" s="94"/>
      <c r="M268" s="159"/>
      <c r="N268" s="94"/>
    </row>
    <row r="269">
      <c r="A269" s="107">
        <v>2617.0</v>
      </c>
      <c r="B269" s="108" t="s">
        <v>191</v>
      </c>
      <c r="C269" s="108" t="s">
        <v>270</v>
      </c>
      <c r="D269" s="100" t="str">
        <f t="shared" si="1"/>
        <v/>
      </c>
      <c r="E269" s="100" t="str">
        <f t="shared" si="2"/>
        <v/>
      </c>
      <c r="F269" s="100" t="str">
        <f t="shared" si="3"/>
        <v/>
      </c>
      <c r="G269" s="151"/>
      <c r="H269" s="156"/>
      <c r="I269" s="157"/>
      <c r="J269" s="158"/>
      <c r="L269" s="94"/>
      <c r="M269" s="159"/>
      <c r="N269" s="94"/>
    </row>
    <row r="270">
      <c r="A270" s="107">
        <v>2617.0</v>
      </c>
      <c r="B270" s="108" t="s">
        <v>192</v>
      </c>
      <c r="C270" s="108" t="s">
        <v>270</v>
      </c>
      <c r="D270" s="100" t="str">
        <f t="shared" si="1"/>
        <v/>
      </c>
      <c r="E270" s="100" t="str">
        <f t="shared" si="2"/>
        <v/>
      </c>
      <c r="F270" s="100" t="str">
        <f t="shared" si="3"/>
        <v/>
      </c>
      <c r="G270" s="151"/>
      <c r="H270" s="160"/>
      <c r="I270" s="157"/>
      <c r="J270" s="161"/>
      <c r="L270" s="94"/>
      <c r="M270" s="159"/>
      <c r="N270" s="94"/>
    </row>
    <row r="271">
      <c r="A271" s="107">
        <v>2617.0</v>
      </c>
      <c r="B271" s="108" t="s">
        <v>193</v>
      </c>
      <c r="C271" s="108" t="s">
        <v>270</v>
      </c>
      <c r="D271" s="100" t="str">
        <f t="shared" si="1"/>
        <v/>
      </c>
      <c r="E271" s="100" t="str">
        <f t="shared" si="2"/>
        <v/>
      </c>
      <c r="F271" s="100" t="str">
        <f t="shared" si="3"/>
        <v/>
      </c>
      <c r="G271" s="151"/>
      <c r="H271" s="156"/>
      <c r="I271" s="157"/>
      <c r="J271" s="158"/>
      <c r="L271" s="94"/>
      <c r="M271" s="159"/>
      <c r="N271" s="94"/>
    </row>
    <row r="272">
      <c r="A272" s="107">
        <v>2617.0</v>
      </c>
      <c r="B272" s="108" t="s">
        <v>243</v>
      </c>
      <c r="C272" s="108" t="s">
        <v>270</v>
      </c>
      <c r="D272" s="100" t="str">
        <f t="shared" si="1"/>
        <v/>
      </c>
      <c r="E272" s="100" t="str">
        <f t="shared" si="2"/>
        <v/>
      </c>
      <c r="F272" s="100" t="str">
        <f t="shared" si="3"/>
        <v/>
      </c>
      <c r="G272" s="151"/>
      <c r="H272" s="160"/>
      <c r="I272" s="157"/>
      <c r="J272" s="161"/>
      <c r="L272" s="94"/>
      <c r="M272" s="159"/>
      <c r="N272" s="94"/>
    </row>
    <row r="273">
      <c r="A273" s="107">
        <v>2617.0</v>
      </c>
      <c r="B273" s="108" t="s">
        <v>215</v>
      </c>
      <c r="C273" s="108" t="s">
        <v>270</v>
      </c>
      <c r="D273" s="100" t="str">
        <f t="shared" si="1"/>
        <v/>
      </c>
      <c r="E273" s="100" t="str">
        <f t="shared" si="2"/>
        <v/>
      </c>
      <c r="F273" s="100" t="str">
        <f t="shared" si="3"/>
        <v/>
      </c>
      <c r="G273" s="151"/>
      <c r="H273" s="156"/>
      <c r="I273" s="157"/>
      <c r="J273" s="158"/>
      <c r="L273" s="94"/>
      <c r="M273" s="159"/>
      <c r="N273" s="94"/>
    </row>
    <row r="274">
      <c r="A274" s="107">
        <v>2617.0</v>
      </c>
      <c r="B274" s="108" t="s">
        <v>244</v>
      </c>
      <c r="C274" s="108" t="s">
        <v>270</v>
      </c>
      <c r="D274" s="100" t="str">
        <f t="shared" si="1"/>
        <v/>
      </c>
      <c r="E274" s="100" t="str">
        <f t="shared" si="2"/>
        <v/>
      </c>
      <c r="F274" s="100" t="str">
        <f t="shared" si="3"/>
        <v/>
      </c>
      <c r="G274" s="151"/>
      <c r="H274" s="160"/>
      <c r="I274" s="157"/>
      <c r="J274" s="161"/>
      <c r="L274" s="94"/>
      <c r="M274" s="159"/>
      <c r="N274" s="94"/>
    </row>
    <row r="275">
      <c r="A275" s="107">
        <v>2694.0</v>
      </c>
      <c r="B275" s="108" t="s">
        <v>85</v>
      </c>
      <c r="C275" s="108" t="s">
        <v>271</v>
      </c>
      <c r="D275" s="100" t="str">
        <f t="shared" si="1"/>
        <v/>
      </c>
      <c r="E275" s="100" t="str">
        <f t="shared" si="2"/>
        <v/>
      </c>
      <c r="F275" s="100" t="str">
        <f t="shared" si="3"/>
        <v/>
      </c>
      <c r="G275" s="151"/>
      <c r="H275" s="156"/>
      <c r="I275" s="157"/>
      <c r="J275" s="158"/>
      <c r="L275" s="94"/>
      <c r="M275" s="159"/>
      <c r="N275" s="94"/>
    </row>
    <row r="276">
      <c r="A276" s="107">
        <v>2730.0</v>
      </c>
      <c r="B276" s="108" t="s">
        <v>85</v>
      </c>
      <c r="C276" s="108" t="s">
        <v>272</v>
      </c>
      <c r="D276" s="100" t="str">
        <f t="shared" si="1"/>
        <v/>
      </c>
      <c r="E276" s="100" t="str">
        <f t="shared" si="2"/>
        <v/>
      </c>
      <c r="F276" s="100" t="str">
        <f t="shared" si="3"/>
        <v/>
      </c>
      <c r="G276" s="151"/>
      <c r="H276" s="160"/>
      <c r="I276" s="157"/>
      <c r="J276" s="161"/>
      <c r="L276" s="94"/>
      <c r="M276" s="159"/>
      <c r="N276" s="94"/>
    </row>
    <row r="277">
      <c r="A277" s="107">
        <v>2730.0</v>
      </c>
      <c r="B277" s="108" t="s">
        <v>90</v>
      </c>
      <c r="C277" s="108" t="s">
        <v>272</v>
      </c>
      <c r="D277" s="100" t="str">
        <f t="shared" si="1"/>
        <v/>
      </c>
      <c r="E277" s="100" t="str">
        <f t="shared" si="2"/>
        <v/>
      </c>
      <c r="F277" s="100" t="str">
        <f t="shared" si="3"/>
        <v/>
      </c>
      <c r="G277" s="151"/>
      <c r="H277" s="156"/>
      <c r="I277" s="157"/>
      <c r="J277" s="158"/>
      <c r="L277" s="94"/>
      <c r="M277" s="159"/>
      <c r="N277" s="94"/>
    </row>
    <row r="278">
      <c r="A278" s="107">
        <v>2730.0</v>
      </c>
      <c r="B278" s="108" t="s">
        <v>92</v>
      </c>
      <c r="C278" s="108" t="s">
        <v>272</v>
      </c>
      <c r="D278" s="100" t="str">
        <f t="shared" si="1"/>
        <v/>
      </c>
      <c r="E278" s="100" t="str">
        <f t="shared" si="2"/>
        <v/>
      </c>
      <c r="F278" s="100" t="str">
        <f t="shared" si="3"/>
        <v/>
      </c>
      <c r="G278" s="151"/>
      <c r="H278" s="160"/>
      <c r="I278" s="157"/>
      <c r="J278" s="161"/>
      <c r="L278" s="94"/>
      <c r="M278" s="159"/>
      <c r="N278" s="94"/>
    </row>
    <row r="279">
      <c r="A279" s="107">
        <v>2730.0</v>
      </c>
      <c r="B279" s="108" t="s">
        <v>190</v>
      </c>
      <c r="C279" s="108" t="s">
        <v>272</v>
      </c>
      <c r="D279" s="100" t="str">
        <f t="shared" si="1"/>
        <v/>
      </c>
      <c r="E279" s="100" t="str">
        <f t="shared" si="2"/>
        <v/>
      </c>
      <c r="F279" s="100" t="str">
        <f t="shared" si="3"/>
        <v/>
      </c>
      <c r="G279" s="151"/>
      <c r="H279" s="156"/>
      <c r="I279" s="157"/>
      <c r="J279" s="158"/>
      <c r="L279" s="94"/>
      <c r="M279" s="159"/>
      <c r="N279" s="94"/>
    </row>
    <row r="280">
      <c r="A280" s="107">
        <v>2730.0</v>
      </c>
      <c r="B280" s="108" t="s">
        <v>191</v>
      </c>
      <c r="C280" s="108" t="s">
        <v>272</v>
      </c>
      <c r="D280" s="100" t="str">
        <f t="shared" si="1"/>
        <v/>
      </c>
      <c r="E280" s="100" t="str">
        <f t="shared" si="2"/>
        <v/>
      </c>
      <c r="F280" s="100" t="str">
        <f t="shared" si="3"/>
        <v/>
      </c>
      <c r="G280" s="151"/>
      <c r="H280" s="160"/>
      <c r="I280" s="157"/>
      <c r="J280" s="161"/>
      <c r="L280" s="94"/>
      <c r="M280" s="159"/>
      <c r="N280" s="94"/>
    </row>
    <row r="281">
      <c r="A281" s="107">
        <v>2730.0</v>
      </c>
      <c r="B281" s="108" t="s">
        <v>192</v>
      </c>
      <c r="C281" s="108" t="s">
        <v>272</v>
      </c>
      <c r="D281" s="100" t="str">
        <f t="shared" si="1"/>
        <v/>
      </c>
      <c r="E281" s="100" t="str">
        <f t="shared" si="2"/>
        <v/>
      </c>
      <c r="F281" s="100" t="str">
        <f t="shared" si="3"/>
        <v/>
      </c>
      <c r="G281" s="151"/>
      <c r="H281" s="156"/>
      <c r="I281" s="157"/>
      <c r="J281" s="158"/>
      <c r="L281" s="94"/>
      <c r="M281" s="159"/>
      <c r="N281" s="94"/>
    </row>
    <row r="282">
      <c r="A282" s="107">
        <v>2730.0</v>
      </c>
      <c r="B282" s="108" t="s">
        <v>193</v>
      </c>
      <c r="C282" s="108" t="s">
        <v>272</v>
      </c>
      <c r="D282" s="100" t="str">
        <f t="shared" si="1"/>
        <v/>
      </c>
      <c r="E282" s="100" t="str">
        <f t="shared" si="2"/>
        <v/>
      </c>
      <c r="F282" s="100" t="str">
        <f t="shared" si="3"/>
        <v/>
      </c>
      <c r="G282" s="151"/>
      <c r="H282" s="160"/>
      <c r="I282" s="157"/>
      <c r="J282" s="161"/>
      <c r="L282" s="94"/>
      <c r="M282" s="159"/>
      <c r="N282" s="94"/>
    </row>
    <row r="283">
      <c r="A283" s="107">
        <v>2730.0</v>
      </c>
      <c r="B283" s="108" t="s">
        <v>243</v>
      </c>
      <c r="C283" s="108" t="s">
        <v>272</v>
      </c>
      <c r="D283" s="100" t="str">
        <f t="shared" si="1"/>
        <v/>
      </c>
      <c r="E283" s="100" t="str">
        <f t="shared" si="2"/>
        <v/>
      </c>
      <c r="F283" s="100" t="str">
        <f t="shared" si="3"/>
        <v/>
      </c>
      <c r="G283" s="151"/>
      <c r="H283" s="156"/>
      <c r="I283" s="157"/>
      <c r="J283" s="158"/>
      <c r="L283" s="94"/>
      <c r="M283" s="159"/>
      <c r="N283" s="94"/>
    </row>
    <row r="284">
      <c r="A284" s="107">
        <v>2730.0</v>
      </c>
      <c r="B284" s="108" t="s">
        <v>215</v>
      </c>
      <c r="C284" s="108" t="s">
        <v>272</v>
      </c>
      <c r="D284" s="100" t="str">
        <f t="shared" si="1"/>
        <v/>
      </c>
      <c r="E284" s="100" t="str">
        <f t="shared" si="2"/>
        <v/>
      </c>
      <c r="F284" s="100" t="str">
        <f t="shared" si="3"/>
        <v/>
      </c>
      <c r="G284" s="151"/>
      <c r="H284" s="160"/>
      <c r="I284" s="157"/>
      <c r="J284" s="161"/>
      <c r="L284" s="94"/>
      <c r="M284" s="159"/>
      <c r="N284" s="94"/>
    </row>
    <row r="285">
      <c r="A285" s="107">
        <v>2731.0</v>
      </c>
      <c r="B285" s="108" t="s">
        <v>191</v>
      </c>
      <c r="C285" s="108" t="s">
        <v>273</v>
      </c>
      <c r="D285" s="100" t="str">
        <f t="shared" si="1"/>
        <v/>
      </c>
      <c r="E285" s="100" t="str">
        <f t="shared" si="2"/>
        <v/>
      </c>
      <c r="F285" s="100" t="str">
        <f t="shared" si="3"/>
        <v/>
      </c>
      <c r="G285" s="151"/>
      <c r="H285" s="156"/>
      <c r="I285" s="157"/>
      <c r="J285" s="158"/>
      <c r="L285" s="94"/>
      <c r="M285" s="159"/>
      <c r="N285" s="94"/>
    </row>
    <row r="286">
      <c r="A286" s="107">
        <v>2732.0</v>
      </c>
      <c r="B286" s="108" t="s">
        <v>85</v>
      </c>
      <c r="C286" s="108" t="s">
        <v>274</v>
      </c>
      <c r="D286" s="100" t="str">
        <f t="shared" si="1"/>
        <v/>
      </c>
      <c r="E286" s="100" t="str">
        <f t="shared" si="2"/>
        <v/>
      </c>
      <c r="F286" s="100" t="str">
        <f t="shared" si="3"/>
        <v/>
      </c>
      <c r="G286" s="151"/>
      <c r="H286" s="160"/>
      <c r="I286" s="157"/>
      <c r="J286" s="161"/>
      <c r="L286" s="94"/>
      <c r="M286" s="159"/>
      <c r="N286" s="94"/>
    </row>
    <row r="287">
      <c r="A287" s="107">
        <v>2732.0</v>
      </c>
      <c r="B287" s="108" t="s">
        <v>90</v>
      </c>
      <c r="C287" s="108" t="s">
        <v>274</v>
      </c>
      <c r="D287" s="100" t="str">
        <f t="shared" si="1"/>
        <v/>
      </c>
      <c r="E287" s="100" t="str">
        <f t="shared" si="2"/>
        <v/>
      </c>
      <c r="F287" s="100" t="str">
        <f t="shared" si="3"/>
        <v/>
      </c>
      <c r="G287" s="151"/>
      <c r="H287" s="156"/>
      <c r="I287" s="157"/>
      <c r="J287" s="158"/>
      <c r="L287" s="94"/>
      <c r="M287" s="159"/>
      <c r="N287" s="94"/>
    </row>
    <row r="288">
      <c r="A288" s="107">
        <v>2733.0</v>
      </c>
      <c r="B288" s="108" t="s">
        <v>85</v>
      </c>
      <c r="C288" s="108" t="s">
        <v>275</v>
      </c>
      <c r="D288" s="100" t="str">
        <f t="shared" si="1"/>
        <v/>
      </c>
      <c r="E288" s="100" t="str">
        <f t="shared" si="2"/>
        <v/>
      </c>
      <c r="F288" s="100" t="str">
        <f t="shared" si="3"/>
        <v/>
      </c>
      <c r="G288" s="151"/>
      <c r="H288" s="160"/>
      <c r="I288" s="157"/>
      <c r="J288" s="161"/>
      <c r="L288" s="94"/>
      <c r="M288" s="159"/>
      <c r="N288" s="94"/>
    </row>
    <row r="289">
      <c r="A289" s="107">
        <v>2733.0</v>
      </c>
      <c r="B289" s="108" t="s">
        <v>90</v>
      </c>
      <c r="C289" s="108" t="s">
        <v>275</v>
      </c>
      <c r="D289" s="100" t="str">
        <f t="shared" si="1"/>
        <v/>
      </c>
      <c r="E289" s="100" t="str">
        <f t="shared" si="2"/>
        <v/>
      </c>
      <c r="F289" s="100" t="str">
        <f t="shared" si="3"/>
        <v/>
      </c>
      <c r="G289" s="151"/>
      <c r="H289" s="156"/>
      <c r="I289" s="157"/>
      <c r="J289" s="158"/>
      <c r="L289" s="94"/>
      <c r="M289" s="159"/>
      <c r="N289" s="94"/>
    </row>
    <row r="290">
      <c r="A290" s="107">
        <v>2733.0</v>
      </c>
      <c r="B290" s="108" t="s">
        <v>92</v>
      </c>
      <c r="C290" s="108" t="s">
        <v>275</v>
      </c>
      <c r="D290" s="100" t="str">
        <f t="shared" si="1"/>
        <v/>
      </c>
      <c r="E290" s="100" t="str">
        <f t="shared" si="2"/>
        <v/>
      </c>
      <c r="F290" s="100" t="str">
        <f t="shared" si="3"/>
        <v/>
      </c>
      <c r="G290" s="151"/>
      <c r="H290" s="160"/>
      <c r="I290" s="157"/>
      <c r="J290" s="161"/>
      <c r="L290" s="94"/>
      <c r="M290" s="159"/>
      <c r="N290" s="94"/>
    </row>
    <row r="291">
      <c r="A291" s="107">
        <v>2733.0</v>
      </c>
      <c r="B291" s="108" t="s">
        <v>190</v>
      </c>
      <c r="C291" s="108" t="s">
        <v>275</v>
      </c>
      <c r="D291" s="100" t="str">
        <f t="shared" si="1"/>
        <v/>
      </c>
      <c r="E291" s="100" t="str">
        <f t="shared" si="2"/>
        <v/>
      </c>
      <c r="F291" s="100" t="str">
        <f t="shared" si="3"/>
        <v/>
      </c>
      <c r="G291" s="151"/>
      <c r="H291" s="156"/>
      <c r="I291" s="157"/>
      <c r="J291" s="158"/>
      <c r="L291" s="94"/>
      <c r="M291" s="159"/>
      <c r="N291" s="94"/>
    </row>
    <row r="292">
      <c r="A292" s="107">
        <v>2733.0</v>
      </c>
      <c r="B292" s="108" t="s">
        <v>191</v>
      </c>
      <c r="C292" s="108" t="s">
        <v>275</v>
      </c>
      <c r="D292" s="100" t="str">
        <f t="shared" si="1"/>
        <v/>
      </c>
      <c r="E292" s="100" t="str">
        <f t="shared" si="2"/>
        <v/>
      </c>
      <c r="F292" s="100" t="str">
        <f t="shared" si="3"/>
        <v/>
      </c>
      <c r="G292" s="151"/>
      <c r="H292" s="160"/>
      <c r="I292" s="157"/>
      <c r="J292" s="161"/>
      <c r="L292" s="94"/>
      <c r="M292" s="159"/>
      <c r="N292" s="94"/>
    </row>
    <row r="293">
      <c r="A293" s="107">
        <v>2733.0</v>
      </c>
      <c r="B293" s="108" t="s">
        <v>192</v>
      </c>
      <c r="C293" s="108" t="s">
        <v>275</v>
      </c>
      <c r="D293" s="100" t="str">
        <f t="shared" si="1"/>
        <v/>
      </c>
      <c r="E293" s="100" t="str">
        <f t="shared" si="2"/>
        <v/>
      </c>
      <c r="F293" s="100" t="str">
        <f t="shared" si="3"/>
        <v/>
      </c>
      <c r="G293" s="151"/>
      <c r="H293" s="156"/>
      <c r="I293" s="157"/>
      <c r="J293" s="158"/>
      <c r="L293" s="94"/>
      <c r="M293" s="159"/>
      <c r="N293" s="94"/>
    </row>
    <row r="294">
      <c r="A294" s="107">
        <v>2734.0</v>
      </c>
      <c r="B294" s="108" t="s">
        <v>85</v>
      </c>
      <c r="C294" s="108" t="s">
        <v>276</v>
      </c>
      <c r="D294" s="100" t="str">
        <f t="shared" si="1"/>
        <v/>
      </c>
      <c r="E294" s="100" t="str">
        <f t="shared" si="2"/>
        <v/>
      </c>
      <c r="F294" s="100" t="str">
        <f t="shared" si="3"/>
        <v/>
      </c>
      <c r="G294" s="151"/>
      <c r="H294" s="160"/>
      <c r="I294" s="157"/>
      <c r="J294" s="161"/>
      <c r="L294" s="94"/>
      <c r="M294" s="159"/>
      <c r="N294" s="94"/>
    </row>
    <row r="295">
      <c r="A295" s="107">
        <v>2734.0</v>
      </c>
      <c r="B295" s="108" t="s">
        <v>90</v>
      </c>
      <c r="C295" s="108" t="s">
        <v>276</v>
      </c>
      <c r="D295" s="100" t="str">
        <f t="shared" si="1"/>
        <v/>
      </c>
      <c r="E295" s="100" t="str">
        <f t="shared" si="2"/>
        <v/>
      </c>
      <c r="F295" s="100" t="str">
        <f t="shared" si="3"/>
        <v/>
      </c>
      <c r="G295" s="151"/>
      <c r="H295" s="156"/>
      <c r="I295" s="157"/>
      <c r="J295" s="158"/>
      <c r="L295" s="94"/>
      <c r="M295" s="159"/>
      <c r="N295" s="94"/>
    </row>
    <row r="296">
      <c r="A296" s="107">
        <v>2734.0</v>
      </c>
      <c r="B296" s="108" t="s">
        <v>92</v>
      </c>
      <c r="C296" s="108" t="s">
        <v>276</v>
      </c>
      <c r="D296" s="100" t="str">
        <f t="shared" si="1"/>
        <v/>
      </c>
      <c r="E296" s="100" t="str">
        <f t="shared" si="2"/>
        <v/>
      </c>
      <c r="F296" s="100" t="str">
        <f t="shared" si="3"/>
        <v/>
      </c>
      <c r="G296" s="151"/>
      <c r="H296" s="160"/>
      <c r="I296" s="157"/>
      <c r="J296" s="161"/>
      <c r="L296" s="94"/>
      <c r="M296" s="159"/>
      <c r="N296" s="94"/>
    </row>
    <row r="297">
      <c r="A297" s="107">
        <v>2734.0</v>
      </c>
      <c r="B297" s="108" t="s">
        <v>190</v>
      </c>
      <c r="C297" s="108" t="s">
        <v>276</v>
      </c>
      <c r="D297" s="100" t="str">
        <f t="shared" si="1"/>
        <v/>
      </c>
      <c r="E297" s="100" t="str">
        <f t="shared" si="2"/>
        <v/>
      </c>
      <c r="F297" s="100" t="str">
        <f t="shared" si="3"/>
        <v/>
      </c>
      <c r="G297" s="151"/>
      <c r="H297" s="156"/>
      <c r="I297" s="157"/>
      <c r="J297" s="158"/>
      <c r="L297" s="94"/>
      <c r="M297" s="159"/>
      <c r="N297" s="94"/>
    </row>
    <row r="298">
      <c r="A298" s="107">
        <v>2734.0</v>
      </c>
      <c r="B298" s="108" t="s">
        <v>191</v>
      </c>
      <c r="C298" s="108" t="s">
        <v>276</v>
      </c>
      <c r="D298" s="100" t="str">
        <f t="shared" si="1"/>
        <v/>
      </c>
      <c r="E298" s="100" t="str">
        <f t="shared" si="2"/>
        <v/>
      </c>
      <c r="F298" s="100" t="str">
        <f t="shared" si="3"/>
        <v/>
      </c>
      <c r="G298" s="151"/>
      <c r="H298" s="160"/>
      <c r="I298" s="157"/>
      <c r="J298" s="161"/>
      <c r="L298" s="94"/>
      <c r="M298" s="159"/>
      <c r="N298" s="94"/>
    </row>
    <row r="299">
      <c r="A299" s="107">
        <v>2734.0</v>
      </c>
      <c r="B299" s="108" t="s">
        <v>192</v>
      </c>
      <c r="C299" s="108" t="s">
        <v>276</v>
      </c>
      <c r="D299" s="100" t="str">
        <f t="shared" si="1"/>
        <v/>
      </c>
      <c r="E299" s="100" t="str">
        <f t="shared" si="2"/>
        <v/>
      </c>
      <c r="F299" s="100" t="str">
        <f t="shared" si="3"/>
        <v/>
      </c>
      <c r="G299" s="151"/>
      <c r="H299" s="156"/>
      <c r="I299" s="157"/>
      <c r="J299" s="158"/>
      <c r="L299" s="94"/>
      <c r="M299" s="159"/>
      <c r="N299" s="94"/>
    </row>
    <row r="300">
      <c r="A300" s="107">
        <v>2735.0</v>
      </c>
      <c r="B300" s="108" t="s">
        <v>85</v>
      </c>
      <c r="C300" s="108" t="s">
        <v>277</v>
      </c>
      <c r="D300" s="100" t="str">
        <f t="shared" si="1"/>
        <v/>
      </c>
      <c r="E300" s="100" t="str">
        <f t="shared" si="2"/>
        <v/>
      </c>
      <c r="F300" s="100" t="str">
        <f t="shared" si="3"/>
        <v/>
      </c>
      <c r="G300" s="151"/>
      <c r="H300" s="160"/>
      <c r="I300" s="157"/>
      <c r="J300" s="161"/>
      <c r="L300" s="94"/>
      <c r="M300" s="159"/>
      <c r="N300" s="94"/>
    </row>
    <row r="301">
      <c r="A301" s="107">
        <v>2736.0</v>
      </c>
      <c r="B301" s="108" t="s">
        <v>85</v>
      </c>
      <c r="C301" s="108" t="s">
        <v>278</v>
      </c>
      <c r="D301" s="100" t="str">
        <f t="shared" si="1"/>
        <v/>
      </c>
      <c r="E301" s="100" t="str">
        <f t="shared" si="2"/>
        <v/>
      </c>
      <c r="F301" s="100" t="str">
        <f t="shared" si="3"/>
        <v/>
      </c>
      <c r="G301" s="151"/>
      <c r="H301" s="156"/>
      <c r="I301" s="157"/>
      <c r="J301" s="158"/>
      <c r="L301" s="94"/>
      <c r="M301" s="159"/>
      <c r="N301" s="94"/>
    </row>
    <row r="302">
      <c r="A302" s="107">
        <v>2736.0</v>
      </c>
      <c r="B302" s="108" t="s">
        <v>90</v>
      </c>
      <c r="C302" s="108" t="s">
        <v>278</v>
      </c>
      <c r="D302" s="100" t="str">
        <f t="shared" si="1"/>
        <v/>
      </c>
      <c r="E302" s="100" t="str">
        <f t="shared" si="2"/>
        <v/>
      </c>
      <c r="F302" s="100" t="str">
        <f t="shared" si="3"/>
        <v/>
      </c>
      <c r="G302" s="151"/>
      <c r="H302" s="160"/>
      <c r="I302" s="157"/>
      <c r="J302" s="161"/>
      <c r="L302" s="94"/>
      <c r="M302" s="159"/>
      <c r="N302" s="94"/>
    </row>
    <row r="303">
      <c r="A303" s="107">
        <v>2736.0</v>
      </c>
      <c r="B303" s="108" t="s">
        <v>92</v>
      </c>
      <c r="C303" s="108" t="s">
        <v>278</v>
      </c>
      <c r="D303" s="100" t="str">
        <f t="shared" si="1"/>
        <v/>
      </c>
      <c r="E303" s="100" t="str">
        <f t="shared" si="2"/>
        <v/>
      </c>
      <c r="F303" s="100" t="str">
        <f t="shared" si="3"/>
        <v/>
      </c>
      <c r="G303" s="151"/>
      <c r="H303" s="156"/>
      <c r="I303" s="157"/>
      <c r="J303" s="158"/>
      <c r="L303" s="94"/>
      <c r="M303" s="159"/>
      <c r="N303" s="94"/>
    </row>
    <row r="304">
      <c r="A304" s="107">
        <v>2736.0</v>
      </c>
      <c r="B304" s="108" t="s">
        <v>190</v>
      </c>
      <c r="C304" s="108" t="s">
        <v>278</v>
      </c>
      <c r="D304" s="100" t="str">
        <f t="shared" si="1"/>
        <v/>
      </c>
      <c r="E304" s="100" t="str">
        <f t="shared" si="2"/>
        <v/>
      </c>
      <c r="F304" s="100" t="str">
        <f t="shared" si="3"/>
        <v/>
      </c>
      <c r="G304" s="151"/>
      <c r="H304" s="160"/>
      <c r="I304" s="157"/>
      <c r="J304" s="161"/>
      <c r="L304" s="94"/>
      <c r="M304" s="159"/>
      <c r="N304" s="94"/>
    </row>
    <row r="305">
      <c r="A305" s="107">
        <v>2736.0</v>
      </c>
      <c r="B305" s="108" t="s">
        <v>191</v>
      </c>
      <c r="C305" s="108" t="s">
        <v>278</v>
      </c>
      <c r="D305" s="100" t="str">
        <f t="shared" si="1"/>
        <v/>
      </c>
      <c r="E305" s="100" t="str">
        <f t="shared" si="2"/>
        <v/>
      </c>
      <c r="F305" s="100" t="str">
        <f t="shared" si="3"/>
        <v/>
      </c>
      <c r="G305" s="151"/>
      <c r="H305" s="156"/>
      <c r="I305" s="157"/>
      <c r="J305" s="158"/>
      <c r="L305" s="94"/>
      <c r="M305" s="159"/>
      <c r="N305" s="94"/>
    </row>
    <row r="306">
      <c r="A306" s="107">
        <v>2736.0</v>
      </c>
      <c r="B306" s="108" t="s">
        <v>192</v>
      </c>
      <c r="C306" s="108" t="s">
        <v>278</v>
      </c>
      <c r="D306" s="100" t="str">
        <f t="shared" si="1"/>
        <v/>
      </c>
      <c r="E306" s="100" t="str">
        <f t="shared" si="2"/>
        <v/>
      </c>
      <c r="F306" s="100" t="str">
        <f t="shared" si="3"/>
        <v/>
      </c>
      <c r="G306" s="151"/>
      <c r="H306" s="160"/>
      <c r="I306" s="157"/>
      <c r="J306" s="161"/>
      <c r="L306" s="94"/>
      <c r="M306" s="159"/>
      <c r="N306" s="94"/>
    </row>
    <row r="307">
      <c r="A307" s="107">
        <v>2738.0</v>
      </c>
      <c r="B307" s="108" t="s">
        <v>85</v>
      </c>
      <c r="C307" s="108" t="s">
        <v>279</v>
      </c>
      <c r="D307" s="100" t="str">
        <f t="shared" si="1"/>
        <v/>
      </c>
      <c r="E307" s="100" t="str">
        <f t="shared" si="2"/>
        <v/>
      </c>
      <c r="F307" s="100" t="str">
        <f t="shared" si="3"/>
        <v/>
      </c>
      <c r="G307" s="151"/>
      <c r="H307" s="156"/>
      <c r="I307" s="157"/>
      <c r="J307" s="158"/>
      <c r="L307" s="94"/>
      <c r="M307" s="159"/>
      <c r="N307" s="94"/>
    </row>
    <row r="308">
      <c r="A308" s="107">
        <v>2738.0</v>
      </c>
      <c r="B308" s="108" t="s">
        <v>90</v>
      </c>
      <c r="C308" s="108" t="s">
        <v>279</v>
      </c>
      <c r="D308" s="100" t="str">
        <f t="shared" si="1"/>
        <v/>
      </c>
      <c r="E308" s="100" t="str">
        <f t="shared" si="2"/>
        <v/>
      </c>
      <c r="F308" s="100" t="str">
        <f t="shared" si="3"/>
        <v/>
      </c>
      <c r="G308" s="151"/>
      <c r="H308" s="160"/>
      <c r="I308" s="157"/>
      <c r="J308" s="161"/>
      <c r="L308" s="94"/>
      <c r="M308" s="159"/>
      <c r="N308" s="94"/>
    </row>
    <row r="309">
      <c r="A309" s="107">
        <v>2738.0</v>
      </c>
      <c r="B309" s="108" t="s">
        <v>92</v>
      </c>
      <c r="C309" s="108" t="s">
        <v>279</v>
      </c>
      <c r="D309" s="100" t="str">
        <f t="shared" si="1"/>
        <v/>
      </c>
      <c r="E309" s="100" t="str">
        <f t="shared" si="2"/>
        <v/>
      </c>
      <c r="F309" s="100" t="str">
        <f t="shared" si="3"/>
        <v/>
      </c>
      <c r="G309" s="151"/>
      <c r="H309" s="156"/>
      <c r="I309" s="157"/>
      <c r="J309" s="158"/>
      <c r="L309" s="94"/>
      <c r="M309" s="159"/>
      <c r="N309" s="94"/>
    </row>
    <row r="310">
      <c r="A310" s="107">
        <v>2738.0</v>
      </c>
      <c r="B310" s="108" t="s">
        <v>190</v>
      </c>
      <c r="C310" s="108" t="s">
        <v>279</v>
      </c>
      <c r="D310" s="100" t="str">
        <f t="shared" si="1"/>
        <v/>
      </c>
      <c r="E310" s="100" t="str">
        <f t="shared" si="2"/>
        <v/>
      </c>
      <c r="F310" s="100" t="str">
        <f t="shared" si="3"/>
        <v/>
      </c>
      <c r="G310" s="151"/>
      <c r="H310" s="160"/>
      <c r="I310" s="157"/>
      <c r="J310" s="161"/>
      <c r="L310" s="94"/>
      <c r="M310" s="159"/>
      <c r="N310" s="94"/>
    </row>
    <row r="311">
      <c r="A311" s="107">
        <v>2738.0</v>
      </c>
      <c r="B311" s="108" t="s">
        <v>191</v>
      </c>
      <c r="C311" s="108" t="s">
        <v>279</v>
      </c>
      <c r="D311" s="100" t="str">
        <f t="shared" si="1"/>
        <v/>
      </c>
      <c r="E311" s="100" t="str">
        <f t="shared" si="2"/>
        <v/>
      </c>
      <c r="F311" s="100" t="str">
        <f t="shared" si="3"/>
        <v/>
      </c>
      <c r="G311" s="151"/>
      <c r="H311" s="156"/>
      <c r="I311" s="157"/>
      <c r="J311" s="158"/>
      <c r="L311" s="94"/>
      <c r="M311" s="159"/>
      <c r="N311" s="94"/>
    </row>
    <row r="312">
      <c r="A312" s="107">
        <v>2738.0</v>
      </c>
      <c r="B312" s="108" t="s">
        <v>192</v>
      </c>
      <c r="C312" s="108" t="s">
        <v>279</v>
      </c>
      <c r="D312" s="100" t="str">
        <f t="shared" si="1"/>
        <v/>
      </c>
      <c r="E312" s="100" t="str">
        <f t="shared" si="2"/>
        <v/>
      </c>
      <c r="F312" s="100" t="str">
        <f t="shared" si="3"/>
        <v/>
      </c>
      <c r="G312" s="151"/>
      <c r="H312" s="160"/>
      <c r="I312" s="157"/>
      <c r="J312" s="161"/>
      <c r="L312" s="94"/>
      <c r="M312" s="159"/>
      <c r="N312" s="94"/>
    </row>
    <row r="313">
      <c r="A313" s="107">
        <v>2738.0</v>
      </c>
      <c r="B313" s="108" t="s">
        <v>193</v>
      </c>
      <c r="C313" s="108" t="s">
        <v>279</v>
      </c>
      <c r="D313" s="100" t="str">
        <f t="shared" si="1"/>
        <v/>
      </c>
      <c r="E313" s="100" t="str">
        <f t="shared" si="2"/>
        <v/>
      </c>
      <c r="F313" s="100" t="str">
        <f t="shared" si="3"/>
        <v/>
      </c>
      <c r="G313" s="151"/>
      <c r="H313" s="156"/>
      <c r="I313" s="157"/>
      <c r="J313" s="158"/>
      <c r="L313" s="94"/>
      <c r="M313" s="159"/>
      <c r="N313" s="94"/>
    </row>
    <row r="314">
      <c r="A314" s="107">
        <v>2738.0</v>
      </c>
      <c r="B314" s="108" t="s">
        <v>243</v>
      </c>
      <c r="C314" s="108" t="s">
        <v>279</v>
      </c>
      <c r="D314" s="100" t="str">
        <f t="shared" si="1"/>
        <v/>
      </c>
      <c r="E314" s="100" t="str">
        <f t="shared" si="2"/>
        <v/>
      </c>
      <c r="F314" s="100" t="str">
        <f t="shared" si="3"/>
        <v/>
      </c>
      <c r="G314" s="151"/>
      <c r="H314" s="160"/>
      <c r="I314" s="157"/>
      <c r="J314" s="161"/>
      <c r="L314" s="94"/>
      <c r="M314" s="159"/>
      <c r="N314" s="94"/>
    </row>
    <row r="315">
      <c r="A315" s="107">
        <v>2738.0</v>
      </c>
      <c r="B315" s="108" t="s">
        <v>215</v>
      </c>
      <c r="C315" s="108" t="s">
        <v>279</v>
      </c>
      <c r="D315" s="100" t="str">
        <f t="shared" si="1"/>
        <v/>
      </c>
      <c r="E315" s="100" t="str">
        <f t="shared" si="2"/>
        <v/>
      </c>
      <c r="F315" s="100" t="str">
        <f t="shared" si="3"/>
        <v/>
      </c>
      <c r="G315" s="151"/>
      <c r="H315" s="156"/>
      <c r="I315" s="157"/>
      <c r="J315" s="158"/>
      <c r="L315" s="94"/>
      <c r="M315" s="159"/>
      <c r="N315" s="94"/>
    </row>
    <row r="316">
      <c r="A316" s="107">
        <v>2738.0</v>
      </c>
      <c r="B316" s="108" t="s">
        <v>244</v>
      </c>
      <c r="C316" s="108" t="s">
        <v>279</v>
      </c>
      <c r="D316" s="100" t="str">
        <f t="shared" si="1"/>
        <v/>
      </c>
      <c r="E316" s="100" t="str">
        <f t="shared" si="2"/>
        <v/>
      </c>
      <c r="F316" s="100" t="str">
        <f t="shared" si="3"/>
        <v/>
      </c>
      <c r="G316" s="151"/>
      <c r="H316" s="160"/>
      <c r="I316" s="157"/>
      <c r="J316" s="161"/>
      <c r="L316" s="94"/>
      <c r="M316" s="159"/>
      <c r="N316" s="94"/>
    </row>
    <row r="317">
      <c r="A317" s="107">
        <v>2740.0</v>
      </c>
      <c r="B317" s="108" t="s">
        <v>85</v>
      </c>
      <c r="C317" s="108" t="s">
        <v>280</v>
      </c>
      <c r="D317" s="100" t="str">
        <f t="shared" si="1"/>
        <v/>
      </c>
      <c r="E317" s="100" t="str">
        <f t="shared" si="2"/>
        <v/>
      </c>
      <c r="F317" s="100" t="str">
        <f t="shared" si="3"/>
        <v/>
      </c>
      <c r="G317" s="151"/>
      <c r="H317" s="156"/>
      <c r="I317" s="157"/>
      <c r="J317" s="158"/>
      <c r="L317" s="94"/>
      <c r="M317" s="159"/>
      <c r="N317" s="94"/>
    </row>
    <row r="318">
      <c r="A318" s="107">
        <v>2742.0</v>
      </c>
      <c r="B318" s="108" t="s">
        <v>90</v>
      </c>
      <c r="C318" s="108" t="s">
        <v>281</v>
      </c>
      <c r="D318" s="100" t="str">
        <f t="shared" si="1"/>
        <v/>
      </c>
      <c r="E318" s="100" t="str">
        <f t="shared" si="2"/>
        <v/>
      </c>
      <c r="F318" s="100" t="str">
        <f t="shared" si="3"/>
        <v/>
      </c>
      <c r="G318" s="151"/>
      <c r="H318" s="160"/>
      <c r="I318" s="157"/>
      <c r="J318" s="161"/>
      <c r="L318" s="94"/>
      <c r="M318" s="159"/>
      <c r="N318" s="94"/>
    </row>
    <row r="319">
      <c r="A319" s="107">
        <v>2743.0</v>
      </c>
      <c r="B319" s="108" t="s">
        <v>85</v>
      </c>
      <c r="C319" s="108" t="s">
        <v>282</v>
      </c>
      <c r="D319" s="100" t="str">
        <f t="shared" si="1"/>
        <v/>
      </c>
      <c r="E319" s="100" t="str">
        <f t="shared" si="2"/>
        <v/>
      </c>
      <c r="F319" s="100" t="str">
        <f t="shared" si="3"/>
        <v/>
      </c>
      <c r="G319" s="151"/>
      <c r="H319" s="156"/>
      <c r="I319" s="157"/>
      <c r="J319" s="158"/>
      <c r="L319" s="94"/>
      <c r="M319" s="159"/>
      <c r="N319" s="94"/>
    </row>
    <row r="320">
      <c r="A320" s="107">
        <v>2743.0</v>
      </c>
      <c r="B320" s="108" t="s">
        <v>90</v>
      </c>
      <c r="C320" s="108" t="s">
        <v>282</v>
      </c>
      <c r="D320" s="100" t="str">
        <f t="shared" si="1"/>
        <v/>
      </c>
      <c r="E320" s="100" t="str">
        <f t="shared" si="2"/>
        <v/>
      </c>
      <c r="F320" s="100" t="str">
        <f t="shared" si="3"/>
        <v/>
      </c>
      <c r="G320" s="151"/>
      <c r="H320" s="160"/>
      <c r="I320" s="157"/>
      <c r="J320" s="161"/>
      <c r="L320" s="94"/>
      <c r="M320" s="159"/>
      <c r="N320" s="94"/>
    </row>
    <row r="321">
      <c r="A321" s="107">
        <v>2743.0</v>
      </c>
      <c r="B321" s="108" t="s">
        <v>92</v>
      </c>
      <c r="C321" s="108" t="s">
        <v>282</v>
      </c>
      <c r="D321" s="100" t="str">
        <f t="shared" si="1"/>
        <v/>
      </c>
      <c r="E321" s="100" t="str">
        <f t="shared" si="2"/>
        <v/>
      </c>
      <c r="F321" s="100" t="str">
        <f t="shared" si="3"/>
        <v/>
      </c>
      <c r="G321" s="151"/>
      <c r="H321" s="156"/>
      <c r="I321" s="157"/>
      <c r="J321" s="158"/>
      <c r="L321" s="94"/>
      <c r="M321" s="159"/>
      <c r="N321" s="94"/>
    </row>
    <row r="322">
      <c r="A322" s="107">
        <v>2743.0</v>
      </c>
      <c r="B322" s="108" t="s">
        <v>190</v>
      </c>
      <c r="C322" s="108" t="s">
        <v>282</v>
      </c>
      <c r="D322" s="100" t="str">
        <f t="shared" si="1"/>
        <v/>
      </c>
      <c r="E322" s="100" t="str">
        <f t="shared" si="2"/>
        <v/>
      </c>
      <c r="F322" s="100" t="str">
        <f t="shared" si="3"/>
        <v/>
      </c>
      <c r="G322" s="151"/>
      <c r="H322" s="160"/>
      <c r="I322" s="157"/>
      <c r="J322" s="161"/>
      <c r="L322" s="94"/>
      <c r="M322" s="159"/>
      <c r="N322" s="94"/>
    </row>
    <row r="323">
      <c r="A323" s="107">
        <v>2744.0</v>
      </c>
      <c r="B323" s="108" t="s">
        <v>85</v>
      </c>
      <c r="C323" s="108" t="s">
        <v>283</v>
      </c>
      <c r="D323" s="100" t="str">
        <f t="shared" si="1"/>
        <v/>
      </c>
      <c r="E323" s="100" t="str">
        <f t="shared" si="2"/>
        <v/>
      </c>
      <c r="F323" s="100" t="str">
        <f t="shared" si="3"/>
        <v/>
      </c>
      <c r="G323" s="151"/>
      <c r="H323" s="156"/>
      <c r="I323" s="157"/>
      <c r="J323" s="158"/>
      <c r="L323" s="94"/>
      <c r="M323" s="159"/>
      <c r="N323" s="94"/>
    </row>
    <row r="324">
      <c r="A324" s="107">
        <v>2744.0</v>
      </c>
      <c r="B324" s="108" t="s">
        <v>90</v>
      </c>
      <c r="C324" s="108" t="s">
        <v>283</v>
      </c>
      <c r="D324" s="100" t="str">
        <f t="shared" si="1"/>
        <v/>
      </c>
      <c r="E324" s="100" t="str">
        <f t="shared" si="2"/>
        <v/>
      </c>
      <c r="F324" s="100" t="str">
        <f t="shared" si="3"/>
        <v/>
      </c>
      <c r="G324" s="151"/>
      <c r="H324" s="160"/>
      <c r="I324" s="157"/>
      <c r="J324" s="161"/>
      <c r="L324" s="94"/>
      <c r="M324" s="159"/>
      <c r="N324" s="94"/>
    </row>
    <row r="325">
      <c r="A325" s="107">
        <v>2744.0</v>
      </c>
      <c r="B325" s="108" t="s">
        <v>92</v>
      </c>
      <c r="C325" s="108" t="s">
        <v>283</v>
      </c>
      <c r="D325" s="100" t="str">
        <f t="shared" si="1"/>
        <v/>
      </c>
      <c r="E325" s="100" t="str">
        <f t="shared" si="2"/>
        <v/>
      </c>
      <c r="F325" s="100" t="str">
        <f t="shared" si="3"/>
        <v/>
      </c>
      <c r="G325" s="151"/>
      <c r="H325" s="156"/>
      <c r="I325" s="157"/>
      <c r="J325" s="158"/>
      <c r="L325" s="94"/>
      <c r="M325" s="159"/>
      <c r="N325" s="94"/>
    </row>
    <row r="326">
      <c r="A326" s="107">
        <v>2744.0</v>
      </c>
      <c r="B326" s="108" t="s">
        <v>190</v>
      </c>
      <c r="C326" s="108" t="s">
        <v>283</v>
      </c>
      <c r="D326" s="100" t="str">
        <f t="shared" si="1"/>
        <v/>
      </c>
      <c r="E326" s="100" t="str">
        <f t="shared" si="2"/>
        <v/>
      </c>
      <c r="F326" s="100" t="str">
        <f t="shared" si="3"/>
        <v/>
      </c>
      <c r="G326" s="151"/>
      <c r="H326" s="160"/>
      <c r="I326" s="157"/>
      <c r="J326" s="161"/>
      <c r="L326" s="94"/>
      <c r="M326" s="159"/>
      <c r="N326" s="94"/>
    </row>
    <row r="327">
      <c r="A327" s="107">
        <v>2744.0</v>
      </c>
      <c r="B327" s="108" t="s">
        <v>191</v>
      </c>
      <c r="C327" s="108" t="s">
        <v>283</v>
      </c>
      <c r="D327" s="100" t="str">
        <f t="shared" si="1"/>
        <v/>
      </c>
      <c r="E327" s="100" t="str">
        <f t="shared" si="2"/>
        <v/>
      </c>
      <c r="F327" s="100" t="str">
        <f t="shared" si="3"/>
        <v/>
      </c>
      <c r="G327" s="151"/>
      <c r="H327" s="156"/>
      <c r="I327" s="157"/>
      <c r="J327" s="158"/>
      <c r="L327" s="94"/>
      <c r="M327" s="159"/>
      <c r="N327" s="94"/>
    </row>
    <row r="328">
      <c r="A328" s="107">
        <v>2746.0</v>
      </c>
      <c r="B328" s="108" t="s">
        <v>85</v>
      </c>
      <c r="C328" s="108" t="s">
        <v>284</v>
      </c>
      <c r="D328" s="100" t="str">
        <f t="shared" si="1"/>
        <v/>
      </c>
      <c r="E328" s="100" t="str">
        <f t="shared" si="2"/>
        <v/>
      </c>
      <c r="F328" s="100" t="str">
        <f t="shared" si="3"/>
        <v/>
      </c>
      <c r="G328" s="151"/>
      <c r="H328" s="160"/>
      <c r="I328" s="157"/>
      <c r="J328" s="161"/>
      <c r="L328" s="94"/>
      <c r="M328" s="159"/>
      <c r="N328" s="94"/>
    </row>
    <row r="329">
      <c r="A329" s="107">
        <v>2746.0</v>
      </c>
      <c r="B329" s="108" t="s">
        <v>90</v>
      </c>
      <c r="C329" s="108" t="s">
        <v>284</v>
      </c>
      <c r="D329" s="100" t="str">
        <f t="shared" si="1"/>
        <v/>
      </c>
      <c r="E329" s="100" t="str">
        <f t="shared" si="2"/>
        <v/>
      </c>
      <c r="F329" s="100" t="str">
        <f t="shared" si="3"/>
        <v/>
      </c>
      <c r="G329" s="151"/>
      <c r="H329" s="156"/>
      <c r="I329" s="157"/>
      <c r="J329" s="158"/>
      <c r="L329" s="94"/>
      <c r="M329" s="159"/>
      <c r="N329" s="94"/>
    </row>
    <row r="330">
      <c r="A330" s="107">
        <v>2746.0</v>
      </c>
      <c r="B330" s="108" t="s">
        <v>92</v>
      </c>
      <c r="C330" s="108" t="s">
        <v>284</v>
      </c>
      <c r="D330" s="100" t="str">
        <f t="shared" si="1"/>
        <v/>
      </c>
      <c r="E330" s="100" t="str">
        <f t="shared" si="2"/>
        <v/>
      </c>
      <c r="F330" s="100" t="str">
        <f t="shared" si="3"/>
        <v/>
      </c>
      <c r="G330" s="151"/>
      <c r="H330" s="160"/>
      <c r="I330" s="157"/>
      <c r="J330" s="161"/>
      <c r="L330" s="94"/>
      <c r="M330" s="159"/>
      <c r="N330" s="94"/>
    </row>
    <row r="331">
      <c r="A331" s="107">
        <v>2746.0</v>
      </c>
      <c r="B331" s="108" t="s">
        <v>191</v>
      </c>
      <c r="C331" s="108" t="s">
        <v>284</v>
      </c>
      <c r="D331" s="100" t="str">
        <f t="shared" si="1"/>
        <v/>
      </c>
      <c r="E331" s="100" t="str">
        <f t="shared" si="2"/>
        <v/>
      </c>
      <c r="F331" s="100" t="str">
        <f t="shared" si="3"/>
        <v/>
      </c>
      <c r="G331" s="151"/>
      <c r="H331" s="156"/>
      <c r="I331" s="157"/>
      <c r="J331" s="158"/>
      <c r="L331" s="94"/>
      <c r="M331" s="159"/>
      <c r="N331" s="94"/>
    </row>
    <row r="332">
      <c r="A332" s="107">
        <v>2747.0</v>
      </c>
      <c r="B332" s="108" t="s">
        <v>85</v>
      </c>
      <c r="C332" s="108" t="s">
        <v>285</v>
      </c>
      <c r="D332" s="100" t="str">
        <f t="shared" si="1"/>
        <v/>
      </c>
      <c r="E332" s="100" t="str">
        <f t="shared" si="2"/>
        <v/>
      </c>
      <c r="F332" s="100" t="str">
        <f t="shared" si="3"/>
        <v/>
      </c>
      <c r="G332" s="151"/>
      <c r="H332" s="160"/>
      <c r="I332" s="157"/>
      <c r="J332" s="161"/>
      <c r="L332" s="94"/>
      <c r="M332" s="159"/>
      <c r="N332" s="94"/>
    </row>
    <row r="333">
      <c r="A333" s="107">
        <v>2747.0</v>
      </c>
      <c r="B333" s="108" t="s">
        <v>90</v>
      </c>
      <c r="C333" s="108" t="s">
        <v>285</v>
      </c>
      <c r="D333" s="100" t="str">
        <f t="shared" si="1"/>
        <v/>
      </c>
      <c r="E333" s="100" t="str">
        <f t="shared" si="2"/>
        <v/>
      </c>
      <c r="F333" s="100" t="str">
        <f t="shared" si="3"/>
        <v/>
      </c>
      <c r="G333" s="151"/>
      <c r="H333" s="156"/>
      <c r="I333" s="157"/>
      <c r="J333" s="158"/>
      <c r="L333" s="94"/>
      <c r="M333" s="159"/>
      <c r="N333" s="94"/>
    </row>
    <row r="334">
      <c r="A334" s="107">
        <v>2747.0</v>
      </c>
      <c r="B334" s="108" t="s">
        <v>92</v>
      </c>
      <c r="C334" s="108" t="s">
        <v>285</v>
      </c>
      <c r="D334" s="100" t="str">
        <f t="shared" si="1"/>
        <v/>
      </c>
      <c r="E334" s="100" t="str">
        <f t="shared" si="2"/>
        <v/>
      </c>
      <c r="F334" s="100" t="str">
        <f t="shared" si="3"/>
        <v/>
      </c>
      <c r="G334" s="151"/>
      <c r="H334" s="160"/>
      <c r="I334" s="157"/>
      <c r="J334" s="161"/>
      <c r="L334" s="94"/>
      <c r="M334" s="159"/>
      <c r="N334" s="94"/>
    </row>
    <row r="335">
      <c r="A335" s="107">
        <v>2747.0</v>
      </c>
      <c r="B335" s="108" t="s">
        <v>190</v>
      </c>
      <c r="C335" s="108" t="s">
        <v>285</v>
      </c>
      <c r="D335" s="100" t="str">
        <f t="shared" si="1"/>
        <v/>
      </c>
      <c r="E335" s="100" t="str">
        <f t="shared" si="2"/>
        <v/>
      </c>
      <c r="F335" s="100" t="str">
        <f t="shared" si="3"/>
        <v/>
      </c>
      <c r="G335" s="151"/>
      <c r="H335" s="156"/>
      <c r="I335" s="157"/>
      <c r="J335" s="158"/>
      <c r="L335" s="94"/>
      <c r="M335" s="159"/>
      <c r="N335" s="94"/>
    </row>
    <row r="336">
      <c r="A336" s="107">
        <v>2747.0</v>
      </c>
      <c r="B336" s="108" t="s">
        <v>191</v>
      </c>
      <c r="C336" s="108" t="s">
        <v>285</v>
      </c>
      <c r="D336" s="100" t="str">
        <f t="shared" si="1"/>
        <v/>
      </c>
      <c r="E336" s="100" t="str">
        <f t="shared" si="2"/>
        <v/>
      </c>
      <c r="F336" s="100" t="str">
        <f t="shared" si="3"/>
        <v/>
      </c>
      <c r="G336" s="151"/>
      <c r="H336" s="160"/>
      <c r="I336" s="157"/>
      <c r="J336" s="161"/>
      <c r="L336" s="94"/>
      <c r="M336" s="159"/>
      <c r="N336" s="94"/>
    </row>
    <row r="337">
      <c r="A337" s="107">
        <v>2747.0</v>
      </c>
      <c r="B337" s="108" t="s">
        <v>192</v>
      </c>
      <c r="C337" s="108" t="s">
        <v>285</v>
      </c>
      <c r="D337" s="100" t="str">
        <f t="shared" si="1"/>
        <v/>
      </c>
      <c r="E337" s="100" t="str">
        <f t="shared" si="2"/>
        <v/>
      </c>
      <c r="F337" s="100" t="str">
        <f t="shared" si="3"/>
        <v/>
      </c>
      <c r="G337" s="151"/>
      <c r="H337" s="156"/>
      <c r="I337" s="157"/>
      <c r="J337" s="158"/>
      <c r="L337" s="94"/>
      <c r="M337" s="159"/>
      <c r="N337" s="94"/>
    </row>
    <row r="338">
      <c r="A338" s="107">
        <v>2747.0</v>
      </c>
      <c r="B338" s="108" t="s">
        <v>193</v>
      </c>
      <c r="C338" s="108" t="s">
        <v>285</v>
      </c>
      <c r="D338" s="100" t="str">
        <f t="shared" si="1"/>
        <v/>
      </c>
      <c r="E338" s="100" t="str">
        <f t="shared" si="2"/>
        <v/>
      </c>
      <c r="F338" s="100" t="str">
        <f t="shared" si="3"/>
        <v/>
      </c>
      <c r="G338" s="151"/>
      <c r="H338" s="160"/>
      <c r="I338" s="157"/>
      <c r="J338" s="161"/>
      <c r="L338" s="94"/>
      <c r="M338" s="159"/>
      <c r="N338" s="94"/>
    </row>
    <row r="339">
      <c r="A339" s="107">
        <v>2748.0</v>
      </c>
      <c r="B339" s="108" t="s">
        <v>85</v>
      </c>
      <c r="C339" s="108" t="s">
        <v>286</v>
      </c>
      <c r="D339" s="100" t="str">
        <f t="shared" si="1"/>
        <v/>
      </c>
      <c r="E339" s="100" t="str">
        <f t="shared" si="2"/>
        <v/>
      </c>
      <c r="F339" s="100" t="str">
        <f t="shared" si="3"/>
        <v/>
      </c>
      <c r="G339" s="151"/>
      <c r="H339" s="156"/>
      <c r="I339" s="157"/>
      <c r="J339" s="158"/>
      <c r="L339" s="94"/>
      <c r="M339" s="159"/>
      <c r="N339" s="94"/>
    </row>
    <row r="340">
      <c r="A340" s="107">
        <v>2748.0</v>
      </c>
      <c r="B340" s="108" t="s">
        <v>90</v>
      </c>
      <c r="C340" s="108" t="s">
        <v>286</v>
      </c>
      <c r="D340" s="100" t="str">
        <f t="shared" si="1"/>
        <v/>
      </c>
      <c r="E340" s="100" t="str">
        <f t="shared" si="2"/>
        <v/>
      </c>
      <c r="F340" s="100" t="str">
        <f t="shared" si="3"/>
        <v/>
      </c>
      <c r="G340" s="151"/>
      <c r="H340" s="160"/>
      <c r="I340" s="157"/>
      <c r="J340" s="161"/>
      <c r="L340" s="94"/>
      <c r="M340" s="159"/>
      <c r="N340" s="94"/>
    </row>
    <row r="341">
      <c r="A341" s="107">
        <v>2749.0</v>
      </c>
      <c r="B341" s="108" t="s">
        <v>85</v>
      </c>
      <c r="C341" s="108" t="s">
        <v>287</v>
      </c>
      <c r="D341" s="100" t="str">
        <f t="shared" si="1"/>
        <v/>
      </c>
      <c r="E341" s="100" t="str">
        <f t="shared" si="2"/>
        <v/>
      </c>
      <c r="F341" s="100" t="str">
        <f t="shared" si="3"/>
        <v/>
      </c>
      <c r="G341" s="151"/>
      <c r="H341" s="156"/>
      <c r="I341" s="157"/>
      <c r="J341" s="158"/>
      <c r="L341" s="94"/>
      <c r="M341" s="159"/>
      <c r="N341" s="94"/>
    </row>
    <row r="342">
      <c r="A342" s="107">
        <v>2749.0</v>
      </c>
      <c r="B342" s="108" t="s">
        <v>90</v>
      </c>
      <c r="C342" s="108" t="s">
        <v>287</v>
      </c>
      <c r="D342" s="100" t="str">
        <f t="shared" si="1"/>
        <v/>
      </c>
      <c r="E342" s="100" t="str">
        <f t="shared" si="2"/>
        <v/>
      </c>
      <c r="F342" s="100" t="str">
        <f t="shared" si="3"/>
        <v/>
      </c>
      <c r="G342" s="151"/>
      <c r="H342" s="160"/>
      <c r="I342" s="157"/>
      <c r="J342" s="161"/>
      <c r="L342" s="94"/>
      <c r="M342" s="159"/>
      <c r="N342" s="94"/>
    </row>
    <row r="343">
      <c r="A343" s="107">
        <v>2749.0</v>
      </c>
      <c r="B343" s="108" t="s">
        <v>92</v>
      </c>
      <c r="C343" s="108" t="s">
        <v>287</v>
      </c>
      <c r="D343" s="100" t="str">
        <f t="shared" si="1"/>
        <v/>
      </c>
      <c r="E343" s="100" t="str">
        <f t="shared" si="2"/>
        <v/>
      </c>
      <c r="F343" s="100" t="str">
        <f t="shared" si="3"/>
        <v/>
      </c>
      <c r="G343" s="151"/>
      <c r="H343" s="156"/>
      <c r="I343" s="157"/>
      <c r="J343" s="158"/>
      <c r="L343" s="94"/>
      <c r="M343" s="159"/>
      <c r="N343" s="94"/>
    </row>
    <row r="344">
      <c r="A344" s="107">
        <v>2749.0</v>
      </c>
      <c r="B344" s="108" t="s">
        <v>190</v>
      </c>
      <c r="C344" s="108" t="s">
        <v>287</v>
      </c>
      <c r="D344" s="100" t="str">
        <f t="shared" si="1"/>
        <v/>
      </c>
      <c r="E344" s="100" t="str">
        <f t="shared" si="2"/>
        <v/>
      </c>
      <c r="F344" s="100" t="str">
        <f t="shared" si="3"/>
        <v/>
      </c>
      <c r="G344" s="151"/>
      <c r="H344" s="160"/>
      <c r="I344" s="157"/>
      <c r="J344" s="161"/>
      <c r="L344" s="94"/>
      <c r="M344" s="159"/>
      <c r="N344" s="94"/>
    </row>
    <row r="345">
      <c r="A345" s="107">
        <v>2749.0</v>
      </c>
      <c r="B345" s="108" t="s">
        <v>191</v>
      </c>
      <c r="C345" s="108" t="s">
        <v>287</v>
      </c>
      <c r="D345" s="100" t="str">
        <f t="shared" si="1"/>
        <v/>
      </c>
      <c r="E345" s="100" t="str">
        <f t="shared" si="2"/>
        <v/>
      </c>
      <c r="F345" s="100" t="str">
        <f t="shared" si="3"/>
        <v/>
      </c>
      <c r="G345" s="151"/>
      <c r="H345" s="156"/>
      <c r="I345" s="157"/>
      <c r="J345" s="158"/>
      <c r="L345" s="94"/>
      <c r="M345" s="159"/>
      <c r="N345" s="94"/>
    </row>
    <row r="346">
      <c r="A346" s="107">
        <v>2754.0</v>
      </c>
      <c r="B346" s="108" t="s">
        <v>85</v>
      </c>
      <c r="C346" s="108" t="s">
        <v>288</v>
      </c>
      <c r="D346" s="100" t="str">
        <f t="shared" si="1"/>
        <v/>
      </c>
      <c r="E346" s="100" t="str">
        <f t="shared" si="2"/>
        <v/>
      </c>
      <c r="F346" s="100" t="str">
        <f t="shared" si="3"/>
        <v/>
      </c>
      <c r="G346" s="151"/>
      <c r="H346" s="160"/>
      <c r="I346" s="157"/>
      <c r="J346" s="161"/>
      <c r="L346" s="94"/>
      <c r="M346" s="159"/>
      <c r="N346" s="94"/>
    </row>
    <row r="347">
      <c r="A347" s="107">
        <v>2754.0</v>
      </c>
      <c r="B347" s="108" t="s">
        <v>90</v>
      </c>
      <c r="C347" s="108" t="s">
        <v>288</v>
      </c>
      <c r="D347" s="100" t="str">
        <f t="shared" si="1"/>
        <v/>
      </c>
      <c r="E347" s="100" t="str">
        <f t="shared" si="2"/>
        <v/>
      </c>
      <c r="F347" s="100" t="str">
        <f t="shared" si="3"/>
        <v/>
      </c>
      <c r="G347" s="151"/>
      <c r="H347" s="156"/>
      <c r="I347" s="157"/>
      <c r="J347" s="158"/>
      <c r="L347" s="94"/>
      <c r="M347" s="159"/>
      <c r="N347" s="94"/>
    </row>
    <row r="348">
      <c r="A348" s="107">
        <v>2754.0</v>
      </c>
      <c r="B348" s="108" t="s">
        <v>92</v>
      </c>
      <c r="C348" s="108" t="s">
        <v>288</v>
      </c>
      <c r="D348" s="100" t="str">
        <f t="shared" si="1"/>
        <v/>
      </c>
      <c r="E348" s="100" t="str">
        <f t="shared" si="2"/>
        <v/>
      </c>
      <c r="F348" s="100" t="str">
        <f t="shared" si="3"/>
        <v/>
      </c>
      <c r="G348" s="151"/>
      <c r="H348" s="160"/>
      <c r="I348" s="157"/>
      <c r="J348" s="161"/>
      <c r="L348" s="94"/>
      <c r="M348" s="159"/>
      <c r="N348" s="94"/>
    </row>
    <row r="349">
      <c r="A349" s="107">
        <v>2754.0</v>
      </c>
      <c r="B349" s="108" t="s">
        <v>190</v>
      </c>
      <c r="C349" s="108" t="s">
        <v>288</v>
      </c>
      <c r="D349" s="100" t="str">
        <f t="shared" si="1"/>
        <v/>
      </c>
      <c r="E349" s="100" t="str">
        <f t="shared" si="2"/>
        <v/>
      </c>
      <c r="F349" s="100" t="str">
        <f t="shared" si="3"/>
        <v/>
      </c>
      <c r="G349" s="151"/>
      <c r="H349" s="156"/>
      <c r="I349" s="157"/>
      <c r="J349" s="158"/>
      <c r="L349" s="94"/>
      <c r="M349" s="159"/>
      <c r="N349" s="94"/>
    </row>
    <row r="350">
      <c r="A350" s="107">
        <v>2754.0</v>
      </c>
      <c r="B350" s="108" t="s">
        <v>191</v>
      </c>
      <c r="C350" s="108" t="s">
        <v>288</v>
      </c>
      <c r="D350" s="100" t="str">
        <f t="shared" si="1"/>
        <v/>
      </c>
      <c r="E350" s="100" t="str">
        <f t="shared" si="2"/>
        <v/>
      </c>
      <c r="F350" s="100" t="str">
        <f t="shared" si="3"/>
        <v/>
      </c>
      <c r="G350" s="151"/>
      <c r="H350" s="160"/>
      <c r="I350" s="157"/>
      <c r="J350" s="161"/>
      <c r="L350" s="94"/>
      <c r="M350" s="159"/>
      <c r="N350" s="94"/>
    </row>
    <row r="351">
      <c r="A351" s="107">
        <v>2755.0</v>
      </c>
      <c r="B351" s="108" t="s">
        <v>85</v>
      </c>
      <c r="C351" s="108" t="s">
        <v>289</v>
      </c>
      <c r="D351" s="100" t="str">
        <f t="shared" si="1"/>
        <v/>
      </c>
      <c r="E351" s="100" t="str">
        <f t="shared" si="2"/>
        <v/>
      </c>
      <c r="F351" s="100" t="str">
        <f t="shared" si="3"/>
        <v/>
      </c>
      <c r="G351" s="151"/>
      <c r="H351" s="156"/>
      <c r="I351" s="157"/>
      <c r="J351" s="158"/>
      <c r="L351" s="94"/>
      <c r="M351" s="159"/>
      <c r="N351" s="94"/>
    </row>
    <row r="352">
      <c r="A352" s="107">
        <v>2755.0</v>
      </c>
      <c r="B352" s="108" t="s">
        <v>90</v>
      </c>
      <c r="C352" s="108" t="s">
        <v>289</v>
      </c>
      <c r="D352" s="100" t="str">
        <f t="shared" si="1"/>
        <v/>
      </c>
      <c r="E352" s="100" t="str">
        <f t="shared" si="2"/>
        <v/>
      </c>
      <c r="F352" s="100" t="str">
        <f t="shared" si="3"/>
        <v/>
      </c>
      <c r="G352" s="151"/>
      <c r="H352" s="160"/>
      <c r="I352" s="157"/>
      <c r="J352" s="161"/>
      <c r="L352" s="94"/>
      <c r="M352" s="159"/>
      <c r="N352" s="94"/>
    </row>
    <row r="353">
      <c r="A353" s="107">
        <v>2755.0</v>
      </c>
      <c r="B353" s="108" t="s">
        <v>92</v>
      </c>
      <c r="C353" s="108" t="s">
        <v>289</v>
      </c>
      <c r="D353" s="100" t="str">
        <f t="shared" si="1"/>
        <v/>
      </c>
      <c r="E353" s="100" t="str">
        <f t="shared" si="2"/>
        <v/>
      </c>
      <c r="F353" s="100" t="str">
        <f t="shared" si="3"/>
        <v/>
      </c>
      <c r="G353" s="151"/>
      <c r="H353" s="156"/>
      <c r="I353" s="157"/>
      <c r="J353" s="158"/>
      <c r="L353" s="94"/>
      <c r="M353" s="159"/>
      <c r="N353" s="94"/>
    </row>
    <row r="354">
      <c r="A354" s="107">
        <v>2756.0</v>
      </c>
      <c r="B354" s="108" t="s">
        <v>85</v>
      </c>
      <c r="C354" s="108" t="s">
        <v>290</v>
      </c>
      <c r="D354" s="100" t="str">
        <f t="shared" si="1"/>
        <v/>
      </c>
      <c r="E354" s="100" t="str">
        <f t="shared" si="2"/>
        <v/>
      </c>
      <c r="F354" s="100" t="str">
        <f t="shared" si="3"/>
        <v/>
      </c>
      <c r="G354" s="151"/>
      <c r="H354" s="160"/>
      <c r="I354" s="157"/>
      <c r="J354" s="161"/>
      <c r="L354" s="94"/>
      <c r="M354" s="159"/>
      <c r="N354" s="94"/>
    </row>
    <row r="355">
      <c r="A355" s="107">
        <v>2756.0</v>
      </c>
      <c r="B355" s="108" t="s">
        <v>92</v>
      </c>
      <c r="C355" s="108" t="s">
        <v>290</v>
      </c>
      <c r="D355" s="100" t="str">
        <f t="shared" si="1"/>
        <v/>
      </c>
      <c r="E355" s="100" t="str">
        <f t="shared" si="2"/>
        <v/>
      </c>
      <c r="F355" s="100" t="str">
        <f t="shared" si="3"/>
        <v/>
      </c>
      <c r="G355" s="151"/>
      <c r="H355" s="156"/>
      <c r="I355" s="157"/>
      <c r="J355" s="158"/>
      <c r="L355" s="94"/>
      <c r="M355" s="159"/>
      <c r="N355" s="94"/>
    </row>
    <row r="356">
      <c r="A356" s="107">
        <v>2756.0</v>
      </c>
      <c r="B356" s="108" t="s">
        <v>190</v>
      </c>
      <c r="C356" s="108" t="s">
        <v>290</v>
      </c>
      <c r="D356" s="100" t="str">
        <f t="shared" si="1"/>
        <v/>
      </c>
      <c r="E356" s="100" t="str">
        <f t="shared" si="2"/>
        <v/>
      </c>
      <c r="F356" s="100" t="str">
        <f t="shared" si="3"/>
        <v/>
      </c>
      <c r="G356" s="151"/>
      <c r="H356" s="160"/>
      <c r="I356" s="157"/>
      <c r="J356" s="161"/>
      <c r="L356" s="94"/>
      <c r="M356" s="159"/>
      <c r="N356" s="94"/>
    </row>
    <row r="357">
      <c r="A357" s="107">
        <v>2757.0</v>
      </c>
      <c r="B357" s="108" t="s">
        <v>85</v>
      </c>
      <c r="C357" s="108" t="s">
        <v>291</v>
      </c>
      <c r="D357" s="100" t="str">
        <f t="shared" si="1"/>
        <v/>
      </c>
      <c r="E357" s="100" t="str">
        <f t="shared" si="2"/>
        <v/>
      </c>
      <c r="F357" s="100" t="str">
        <f t="shared" si="3"/>
        <v/>
      </c>
      <c r="G357" s="151"/>
      <c r="H357" s="156"/>
      <c r="I357" s="157"/>
      <c r="J357" s="158"/>
      <c r="L357" s="94"/>
      <c r="M357" s="159"/>
      <c r="N357" s="94"/>
    </row>
    <row r="358">
      <c r="A358" s="107">
        <v>2757.0</v>
      </c>
      <c r="B358" s="108" t="s">
        <v>90</v>
      </c>
      <c r="C358" s="108" t="s">
        <v>291</v>
      </c>
      <c r="D358" s="100" t="str">
        <f t="shared" si="1"/>
        <v/>
      </c>
      <c r="E358" s="100" t="str">
        <f t="shared" si="2"/>
        <v/>
      </c>
      <c r="F358" s="100" t="str">
        <f t="shared" si="3"/>
        <v/>
      </c>
      <c r="G358" s="151"/>
      <c r="H358" s="160"/>
      <c r="I358" s="157"/>
      <c r="J358" s="161"/>
      <c r="L358" s="94"/>
      <c r="M358" s="159"/>
      <c r="N358" s="94"/>
    </row>
    <row r="359">
      <c r="A359" s="107">
        <v>2757.0</v>
      </c>
      <c r="B359" s="108" t="s">
        <v>92</v>
      </c>
      <c r="C359" s="108" t="s">
        <v>291</v>
      </c>
      <c r="D359" s="100" t="str">
        <f t="shared" si="1"/>
        <v/>
      </c>
      <c r="E359" s="100" t="str">
        <f t="shared" si="2"/>
        <v/>
      </c>
      <c r="F359" s="100" t="str">
        <f t="shared" si="3"/>
        <v/>
      </c>
      <c r="G359" s="151"/>
      <c r="H359" s="156"/>
      <c r="I359" s="157"/>
      <c r="J359" s="158"/>
      <c r="L359" s="94"/>
      <c r="M359" s="159"/>
      <c r="N359" s="94"/>
    </row>
    <row r="360">
      <c r="A360" s="107">
        <v>2757.0</v>
      </c>
      <c r="B360" s="108" t="s">
        <v>190</v>
      </c>
      <c r="C360" s="108" t="s">
        <v>291</v>
      </c>
      <c r="D360" s="100" t="str">
        <f t="shared" si="1"/>
        <v/>
      </c>
      <c r="E360" s="100" t="str">
        <f t="shared" si="2"/>
        <v/>
      </c>
      <c r="F360" s="100" t="str">
        <f t="shared" si="3"/>
        <v/>
      </c>
      <c r="G360" s="151"/>
      <c r="H360" s="160"/>
      <c r="I360" s="157"/>
      <c r="J360" s="161"/>
      <c r="L360" s="94"/>
      <c r="M360" s="159"/>
      <c r="N360" s="94"/>
    </row>
    <row r="361">
      <c r="A361" s="107">
        <v>2760.0</v>
      </c>
      <c r="B361" s="108" t="s">
        <v>85</v>
      </c>
      <c r="C361" s="108" t="s">
        <v>292</v>
      </c>
      <c r="D361" s="100" t="str">
        <f t="shared" si="1"/>
        <v/>
      </c>
      <c r="E361" s="100" t="str">
        <f t="shared" si="2"/>
        <v/>
      </c>
      <c r="F361" s="100" t="str">
        <f t="shared" si="3"/>
        <v/>
      </c>
      <c r="G361" s="151"/>
      <c r="H361" s="156"/>
      <c r="I361" s="157"/>
      <c r="J361" s="158"/>
      <c r="L361" s="94"/>
      <c r="M361" s="159"/>
      <c r="N361" s="94"/>
    </row>
    <row r="362">
      <c r="A362" s="107">
        <v>2760.0</v>
      </c>
      <c r="B362" s="108" t="s">
        <v>90</v>
      </c>
      <c r="C362" s="108" t="s">
        <v>292</v>
      </c>
      <c r="D362" s="100" t="str">
        <f t="shared" si="1"/>
        <v/>
      </c>
      <c r="E362" s="100" t="str">
        <f t="shared" si="2"/>
        <v/>
      </c>
      <c r="F362" s="100" t="str">
        <f t="shared" si="3"/>
        <v/>
      </c>
      <c r="G362" s="151"/>
      <c r="H362" s="160"/>
      <c r="I362" s="157"/>
      <c r="J362" s="161"/>
      <c r="L362" s="94"/>
      <c r="M362" s="159"/>
      <c r="N362" s="94"/>
    </row>
    <row r="363">
      <c r="A363" s="107">
        <v>2760.0</v>
      </c>
      <c r="B363" s="108" t="s">
        <v>92</v>
      </c>
      <c r="C363" s="108" t="s">
        <v>292</v>
      </c>
      <c r="D363" s="100" t="str">
        <f t="shared" si="1"/>
        <v/>
      </c>
      <c r="E363" s="100" t="str">
        <f t="shared" si="2"/>
        <v/>
      </c>
      <c r="F363" s="100" t="str">
        <f t="shared" si="3"/>
        <v/>
      </c>
      <c r="G363" s="151"/>
      <c r="H363" s="156"/>
      <c r="I363" s="157"/>
      <c r="J363" s="158"/>
      <c r="L363" s="94"/>
      <c r="M363" s="159"/>
      <c r="N363" s="94"/>
    </row>
    <row r="364">
      <c r="A364" s="107">
        <v>2760.0</v>
      </c>
      <c r="B364" s="108" t="s">
        <v>190</v>
      </c>
      <c r="C364" s="108" t="s">
        <v>292</v>
      </c>
      <c r="D364" s="100" t="str">
        <f t="shared" si="1"/>
        <v/>
      </c>
      <c r="E364" s="100" t="str">
        <f t="shared" si="2"/>
        <v/>
      </c>
      <c r="F364" s="100" t="str">
        <f t="shared" si="3"/>
        <v/>
      </c>
      <c r="G364" s="151"/>
      <c r="H364" s="160"/>
      <c r="I364" s="157"/>
      <c r="J364" s="161"/>
      <c r="L364" s="94"/>
      <c r="M364" s="159"/>
      <c r="N364" s="94"/>
    </row>
    <row r="365">
      <c r="A365" s="107">
        <v>2760.0</v>
      </c>
      <c r="B365" s="108" t="s">
        <v>243</v>
      </c>
      <c r="C365" s="108" t="s">
        <v>292</v>
      </c>
      <c r="D365" s="100" t="str">
        <f t="shared" si="1"/>
        <v/>
      </c>
      <c r="E365" s="100" t="str">
        <f t="shared" si="2"/>
        <v/>
      </c>
      <c r="F365" s="100" t="str">
        <f t="shared" si="3"/>
        <v/>
      </c>
      <c r="G365" s="151"/>
      <c r="H365" s="156"/>
      <c r="I365" s="157"/>
      <c r="J365" s="158"/>
      <c r="L365" s="94"/>
      <c r="M365" s="159"/>
      <c r="N365" s="94"/>
    </row>
    <row r="366">
      <c r="A366" s="107">
        <v>2767.0</v>
      </c>
      <c r="B366" s="108" t="s">
        <v>85</v>
      </c>
      <c r="C366" s="108" t="s">
        <v>293</v>
      </c>
      <c r="D366" s="100" t="str">
        <f t="shared" si="1"/>
        <v/>
      </c>
      <c r="E366" s="100" t="str">
        <f t="shared" si="2"/>
        <v/>
      </c>
      <c r="F366" s="100" t="str">
        <f t="shared" si="3"/>
        <v/>
      </c>
      <c r="G366" s="151"/>
      <c r="H366" s="160"/>
      <c r="I366" s="157"/>
      <c r="J366" s="161"/>
      <c r="L366" s="94"/>
      <c r="M366" s="159"/>
      <c r="N366" s="94"/>
    </row>
    <row r="367">
      <c r="A367" s="107">
        <v>2772.0</v>
      </c>
      <c r="B367" s="108" t="s">
        <v>85</v>
      </c>
      <c r="C367" s="108" t="s">
        <v>294</v>
      </c>
      <c r="D367" s="100" t="str">
        <f t="shared" si="1"/>
        <v/>
      </c>
      <c r="E367" s="100" t="str">
        <f t="shared" si="2"/>
        <v/>
      </c>
      <c r="F367" s="100" t="str">
        <f t="shared" si="3"/>
        <v/>
      </c>
      <c r="G367" s="151"/>
      <c r="H367" s="156"/>
      <c r="I367" s="157"/>
      <c r="J367" s="158"/>
      <c r="L367" s="94"/>
      <c r="M367" s="159"/>
      <c r="N367" s="94"/>
    </row>
    <row r="368">
      <c r="A368" s="107">
        <v>2772.0</v>
      </c>
      <c r="B368" s="108" t="s">
        <v>90</v>
      </c>
      <c r="C368" s="108" t="s">
        <v>294</v>
      </c>
      <c r="D368" s="100" t="str">
        <f t="shared" si="1"/>
        <v/>
      </c>
      <c r="E368" s="100" t="str">
        <f t="shared" si="2"/>
        <v/>
      </c>
      <c r="F368" s="100" t="str">
        <f t="shared" si="3"/>
        <v/>
      </c>
      <c r="G368" s="151"/>
      <c r="H368" s="160"/>
      <c r="I368" s="157"/>
      <c r="J368" s="161"/>
      <c r="L368" s="94"/>
      <c r="M368" s="159"/>
      <c r="N368" s="94"/>
    </row>
    <row r="369">
      <c r="A369" s="107">
        <v>2772.0</v>
      </c>
      <c r="B369" s="108" t="s">
        <v>92</v>
      </c>
      <c r="C369" s="108" t="s">
        <v>294</v>
      </c>
      <c r="D369" s="100" t="str">
        <f t="shared" si="1"/>
        <v/>
      </c>
      <c r="E369" s="100" t="str">
        <f t="shared" si="2"/>
        <v/>
      </c>
      <c r="F369" s="100" t="str">
        <f t="shared" si="3"/>
        <v/>
      </c>
      <c r="G369" s="151"/>
      <c r="H369" s="156"/>
      <c r="I369" s="157"/>
      <c r="J369" s="158"/>
      <c r="L369" s="94"/>
      <c r="M369" s="159"/>
      <c r="N369" s="94"/>
    </row>
    <row r="370">
      <c r="A370" s="107">
        <v>2772.0</v>
      </c>
      <c r="B370" s="108" t="s">
        <v>190</v>
      </c>
      <c r="C370" s="108" t="s">
        <v>294</v>
      </c>
      <c r="D370" s="100" t="str">
        <f t="shared" si="1"/>
        <v/>
      </c>
      <c r="E370" s="100" t="str">
        <f t="shared" si="2"/>
        <v/>
      </c>
      <c r="F370" s="100" t="str">
        <f t="shared" si="3"/>
        <v/>
      </c>
      <c r="G370" s="151"/>
      <c r="H370" s="160"/>
      <c r="I370" s="157"/>
      <c r="J370" s="161"/>
      <c r="L370" s="94"/>
      <c r="M370" s="159"/>
      <c r="N370" s="94"/>
    </row>
    <row r="371">
      <c r="A371" s="107">
        <v>2772.0</v>
      </c>
      <c r="B371" s="108" t="s">
        <v>191</v>
      </c>
      <c r="C371" s="108" t="s">
        <v>294</v>
      </c>
      <c r="D371" s="100" t="str">
        <f t="shared" si="1"/>
        <v/>
      </c>
      <c r="E371" s="100" t="str">
        <f t="shared" si="2"/>
        <v/>
      </c>
      <c r="F371" s="100" t="str">
        <f t="shared" si="3"/>
        <v/>
      </c>
      <c r="G371" s="151"/>
      <c r="H371" s="156"/>
      <c r="I371" s="157"/>
      <c r="J371" s="158"/>
      <c r="L371" s="94"/>
      <c r="M371" s="159"/>
      <c r="N371" s="94"/>
    </row>
    <row r="372">
      <c r="A372" s="107">
        <v>2772.0</v>
      </c>
      <c r="B372" s="108" t="s">
        <v>192</v>
      </c>
      <c r="C372" s="108" t="s">
        <v>294</v>
      </c>
      <c r="D372" s="100" t="str">
        <f t="shared" si="1"/>
        <v/>
      </c>
      <c r="E372" s="100" t="str">
        <f t="shared" si="2"/>
        <v/>
      </c>
      <c r="F372" s="100" t="str">
        <f t="shared" si="3"/>
        <v/>
      </c>
      <c r="G372" s="151"/>
      <c r="H372" s="160"/>
      <c r="I372" s="157"/>
      <c r="J372" s="161"/>
      <c r="L372" s="94"/>
      <c r="M372" s="159"/>
      <c r="N372" s="94"/>
    </row>
    <row r="373">
      <c r="A373" s="107">
        <v>2772.0</v>
      </c>
      <c r="B373" s="108" t="s">
        <v>193</v>
      </c>
      <c r="C373" s="108" t="s">
        <v>294</v>
      </c>
      <c r="D373" s="100" t="str">
        <f t="shared" si="1"/>
        <v/>
      </c>
      <c r="E373" s="100" t="str">
        <f t="shared" si="2"/>
        <v/>
      </c>
      <c r="F373" s="100" t="str">
        <f t="shared" si="3"/>
        <v/>
      </c>
      <c r="G373" s="151"/>
      <c r="H373" s="156"/>
      <c r="I373" s="157"/>
      <c r="J373" s="158"/>
      <c r="L373" s="94"/>
      <c r="M373" s="159"/>
      <c r="N373" s="94"/>
    </row>
    <row r="374">
      <c r="A374" s="107">
        <v>2772.0</v>
      </c>
      <c r="B374" s="108" t="s">
        <v>243</v>
      </c>
      <c r="C374" s="108" t="s">
        <v>294</v>
      </c>
      <c r="D374" s="100" t="str">
        <f t="shared" si="1"/>
        <v/>
      </c>
      <c r="E374" s="100" t="str">
        <f t="shared" si="2"/>
        <v/>
      </c>
      <c r="F374" s="100" t="str">
        <f t="shared" si="3"/>
        <v/>
      </c>
      <c r="G374" s="151"/>
      <c r="H374" s="160"/>
      <c r="I374" s="157"/>
      <c r="J374" s="161"/>
      <c r="L374" s="94"/>
      <c r="M374" s="159"/>
      <c r="N374" s="94"/>
    </row>
    <row r="375">
      <c r="A375" s="107">
        <v>2772.0</v>
      </c>
      <c r="B375" s="108" t="s">
        <v>215</v>
      </c>
      <c r="C375" s="108" t="s">
        <v>294</v>
      </c>
      <c r="D375" s="100" t="str">
        <f t="shared" si="1"/>
        <v/>
      </c>
      <c r="E375" s="100" t="str">
        <f t="shared" si="2"/>
        <v/>
      </c>
      <c r="F375" s="100" t="str">
        <f t="shared" si="3"/>
        <v/>
      </c>
      <c r="G375" s="151"/>
      <c r="H375" s="156"/>
      <c r="I375" s="157"/>
      <c r="J375" s="158"/>
      <c r="L375" s="94"/>
      <c r="M375" s="159"/>
      <c r="N375" s="94"/>
    </row>
    <row r="376">
      <c r="A376" s="107">
        <v>2853.0</v>
      </c>
      <c r="B376" s="108" t="s">
        <v>90</v>
      </c>
      <c r="C376" s="108" t="s">
        <v>295</v>
      </c>
      <c r="D376" s="100" t="str">
        <f t="shared" si="1"/>
        <v/>
      </c>
      <c r="E376" s="100" t="str">
        <f t="shared" si="2"/>
        <v/>
      </c>
      <c r="F376" s="100" t="str">
        <f t="shared" si="3"/>
        <v/>
      </c>
      <c r="G376" s="151"/>
      <c r="H376" s="160"/>
      <c r="I376" s="157"/>
      <c r="J376" s="161"/>
      <c r="L376" s="94"/>
      <c r="M376" s="159"/>
      <c r="N376" s="94"/>
    </row>
    <row r="377">
      <c r="A377" s="107">
        <v>2863.0</v>
      </c>
      <c r="B377" s="108" t="s">
        <v>191</v>
      </c>
      <c r="C377" s="108" t="s">
        <v>296</v>
      </c>
      <c r="D377" s="100" t="str">
        <f t="shared" si="1"/>
        <v/>
      </c>
      <c r="E377" s="100" t="str">
        <f t="shared" si="2"/>
        <v/>
      </c>
      <c r="F377" s="100" t="str">
        <f t="shared" si="3"/>
        <v/>
      </c>
      <c r="G377" s="151"/>
      <c r="H377" s="156"/>
      <c r="I377" s="157"/>
      <c r="J377" s="158"/>
      <c r="L377" s="94"/>
      <c r="M377" s="159"/>
      <c r="N377" s="94"/>
    </row>
    <row r="378">
      <c r="A378" s="107">
        <v>101106.0</v>
      </c>
      <c r="B378" s="108" t="s">
        <v>85</v>
      </c>
      <c r="C378" s="108" t="s">
        <v>297</v>
      </c>
      <c r="D378" s="100" t="str">
        <f t="shared" si="1"/>
        <v/>
      </c>
      <c r="E378" s="100" t="str">
        <f t="shared" si="2"/>
        <v/>
      </c>
      <c r="F378" s="100" t="str">
        <f t="shared" si="3"/>
        <v/>
      </c>
      <c r="G378" s="151"/>
      <c r="H378" s="160"/>
      <c r="I378" s="157"/>
      <c r="J378" s="161"/>
      <c r="L378" s="94"/>
      <c r="M378" s="159"/>
      <c r="N378" s="94"/>
    </row>
    <row r="379">
      <c r="A379" s="107">
        <v>101106.0</v>
      </c>
      <c r="B379" s="108" t="s">
        <v>90</v>
      </c>
      <c r="C379" s="108" t="s">
        <v>297</v>
      </c>
      <c r="D379" s="100" t="str">
        <f t="shared" si="1"/>
        <v/>
      </c>
      <c r="E379" s="100" t="str">
        <f t="shared" si="2"/>
        <v/>
      </c>
      <c r="F379" s="100" t="str">
        <f t="shared" si="3"/>
        <v/>
      </c>
      <c r="G379" s="151"/>
      <c r="H379" s="156"/>
      <c r="I379" s="157"/>
      <c r="J379" s="158"/>
      <c r="L379" s="94"/>
      <c r="M379" s="159"/>
      <c r="N379" s="94"/>
    </row>
    <row r="380">
      <c r="A380" s="107">
        <v>101106.0</v>
      </c>
      <c r="B380" s="108" t="s">
        <v>92</v>
      </c>
      <c r="C380" s="108" t="s">
        <v>297</v>
      </c>
      <c r="D380" s="100" t="str">
        <f t="shared" si="1"/>
        <v/>
      </c>
      <c r="E380" s="100" t="str">
        <f t="shared" si="2"/>
        <v/>
      </c>
      <c r="F380" s="100" t="str">
        <f t="shared" si="3"/>
        <v/>
      </c>
      <c r="G380" s="151"/>
      <c r="H380" s="160"/>
      <c r="I380" s="157"/>
      <c r="J380" s="161"/>
      <c r="L380" s="94"/>
      <c r="M380" s="159"/>
      <c r="N380" s="94"/>
    </row>
    <row r="381">
      <c r="A381" s="107">
        <v>101106.0</v>
      </c>
      <c r="B381" s="108" t="s">
        <v>190</v>
      </c>
      <c r="C381" s="108" t="s">
        <v>297</v>
      </c>
      <c r="D381" s="100" t="str">
        <f t="shared" si="1"/>
        <v/>
      </c>
      <c r="E381" s="100" t="str">
        <f t="shared" si="2"/>
        <v/>
      </c>
      <c r="F381" s="100" t="str">
        <f t="shared" si="3"/>
        <v/>
      </c>
      <c r="G381" s="151"/>
      <c r="H381" s="156"/>
      <c r="I381" s="157"/>
      <c r="J381" s="158"/>
      <c r="L381" s="94"/>
      <c r="M381" s="159"/>
      <c r="N381" s="94"/>
    </row>
    <row r="382">
      <c r="A382" s="107">
        <v>101106.0</v>
      </c>
      <c r="B382" s="108" t="s">
        <v>191</v>
      </c>
      <c r="C382" s="108" t="s">
        <v>297</v>
      </c>
      <c r="D382" s="100" t="str">
        <f t="shared" si="1"/>
        <v/>
      </c>
      <c r="E382" s="100" t="str">
        <f t="shared" si="2"/>
        <v/>
      </c>
      <c r="F382" s="100" t="str">
        <f t="shared" si="3"/>
        <v/>
      </c>
      <c r="G382" s="151"/>
      <c r="H382" s="160"/>
      <c r="I382" s="157"/>
      <c r="J382" s="161"/>
      <c r="L382" s="94"/>
      <c r="M382" s="159"/>
      <c r="N382" s="94"/>
    </row>
    <row r="383">
      <c r="A383" s="107">
        <v>101106.0</v>
      </c>
      <c r="B383" s="108" t="s">
        <v>192</v>
      </c>
      <c r="C383" s="108" t="s">
        <v>297</v>
      </c>
      <c r="D383" s="100" t="str">
        <f t="shared" si="1"/>
        <v/>
      </c>
      <c r="E383" s="100" t="str">
        <f t="shared" si="2"/>
        <v/>
      </c>
      <c r="F383" s="100" t="str">
        <f t="shared" si="3"/>
        <v/>
      </c>
      <c r="G383" s="151"/>
      <c r="H383" s="156"/>
      <c r="I383" s="157"/>
      <c r="J383" s="158"/>
      <c r="L383" s="94"/>
      <c r="M383" s="159"/>
      <c r="N383" s="94"/>
    </row>
    <row r="384">
      <c r="A384" s="107">
        <v>101107.0</v>
      </c>
      <c r="B384" s="108" t="s">
        <v>85</v>
      </c>
      <c r="C384" s="108" t="s">
        <v>298</v>
      </c>
      <c r="D384" s="100" t="str">
        <f t="shared" si="1"/>
        <v/>
      </c>
      <c r="E384" s="100" t="str">
        <f t="shared" si="2"/>
        <v/>
      </c>
      <c r="F384" s="100" t="str">
        <f t="shared" si="3"/>
        <v/>
      </c>
      <c r="G384" s="151"/>
      <c r="H384" s="160"/>
      <c r="I384" s="157"/>
      <c r="J384" s="161"/>
      <c r="L384" s="94"/>
      <c r="M384" s="159"/>
      <c r="N384" s="94"/>
    </row>
    <row r="385">
      <c r="A385" s="107">
        <v>101107.0</v>
      </c>
      <c r="B385" s="108" t="s">
        <v>90</v>
      </c>
      <c r="C385" s="108" t="s">
        <v>298</v>
      </c>
      <c r="D385" s="100" t="str">
        <f t="shared" si="1"/>
        <v/>
      </c>
      <c r="E385" s="100" t="str">
        <f t="shared" si="2"/>
        <v/>
      </c>
      <c r="F385" s="100" t="str">
        <f t="shared" si="3"/>
        <v/>
      </c>
      <c r="G385" s="151"/>
      <c r="H385" s="156"/>
      <c r="I385" s="157"/>
      <c r="J385" s="158"/>
      <c r="L385" s="94"/>
      <c r="M385" s="159"/>
      <c r="N385" s="94"/>
    </row>
    <row r="386">
      <c r="A386" s="107">
        <v>101107.0</v>
      </c>
      <c r="B386" s="108" t="s">
        <v>92</v>
      </c>
      <c r="C386" s="108" t="s">
        <v>298</v>
      </c>
      <c r="D386" s="100" t="str">
        <f t="shared" si="1"/>
        <v/>
      </c>
      <c r="E386" s="100" t="str">
        <f t="shared" si="2"/>
        <v/>
      </c>
      <c r="F386" s="100" t="str">
        <f t="shared" si="3"/>
        <v/>
      </c>
      <c r="G386" s="151"/>
      <c r="H386" s="160"/>
      <c r="I386" s="157"/>
      <c r="J386" s="161"/>
      <c r="L386" s="94"/>
      <c r="M386" s="159"/>
      <c r="N386" s="94"/>
    </row>
    <row r="387">
      <c r="A387" s="107">
        <v>101107.0</v>
      </c>
      <c r="B387" s="108" t="s">
        <v>190</v>
      </c>
      <c r="C387" s="108" t="s">
        <v>298</v>
      </c>
      <c r="D387" s="100" t="str">
        <f t="shared" si="1"/>
        <v/>
      </c>
      <c r="E387" s="100" t="str">
        <f t="shared" si="2"/>
        <v/>
      </c>
      <c r="F387" s="100" t="str">
        <f t="shared" si="3"/>
        <v/>
      </c>
      <c r="G387" s="151"/>
      <c r="H387" s="156"/>
      <c r="I387" s="157"/>
      <c r="J387" s="158"/>
      <c r="L387" s="94"/>
      <c r="M387" s="159"/>
      <c r="N387" s="94"/>
    </row>
    <row r="388">
      <c r="A388" s="107">
        <v>101107.0</v>
      </c>
      <c r="B388" s="108" t="s">
        <v>191</v>
      </c>
      <c r="C388" s="108" t="s">
        <v>298</v>
      </c>
      <c r="D388" s="100" t="str">
        <f t="shared" si="1"/>
        <v/>
      </c>
      <c r="E388" s="100" t="str">
        <f t="shared" si="2"/>
        <v/>
      </c>
      <c r="F388" s="100" t="str">
        <f t="shared" si="3"/>
        <v/>
      </c>
      <c r="G388" s="151"/>
      <c r="H388" s="160"/>
      <c r="I388" s="157"/>
      <c r="J388" s="161"/>
      <c r="L388" s="94"/>
      <c r="M388" s="159"/>
      <c r="N388" s="94"/>
    </row>
    <row r="389">
      <c r="A389" s="107">
        <v>101107.0</v>
      </c>
      <c r="B389" s="108" t="s">
        <v>192</v>
      </c>
      <c r="C389" s="108" t="s">
        <v>298</v>
      </c>
      <c r="D389" s="100" t="str">
        <f t="shared" si="1"/>
        <v/>
      </c>
      <c r="E389" s="100" t="str">
        <f t="shared" si="2"/>
        <v/>
      </c>
      <c r="F389" s="100" t="str">
        <f t="shared" si="3"/>
        <v/>
      </c>
      <c r="G389" s="151"/>
      <c r="H389" s="156"/>
      <c r="I389" s="157"/>
      <c r="J389" s="158"/>
      <c r="L389" s="94"/>
      <c r="M389" s="159"/>
      <c r="N389" s="94"/>
    </row>
    <row r="390">
      <c r="A390" s="107">
        <v>101107.0</v>
      </c>
      <c r="B390" s="108" t="s">
        <v>193</v>
      </c>
      <c r="C390" s="108" t="s">
        <v>298</v>
      </c>
      <c r="D390" s="100" t="str">
        <f t="shared" si="1"/>
        <v/>
      </c>
      <c r="E390" s="100" t="str">
        <f t="shared" si="2"/>
        <v/>
      </c>
      <c r="F390" s="100" t="str">
        <f t="shared" si="3"/>
        <v/>
      </c>
      <c r="G390" s="151"/>
      <c r="H390" s="160"/>
      <c r="I390" s="157"/>
      <c r="J390" s="161"/>
      <c r="L390" s="94"/>
      <c r="M390" s="159"/>
      <c r="N390" s="94"/>
    </row>
    <row r="391">
      <c r="A391" s="107">
        <v>101108.0</v>
      </c>
      <c r="B391" s="108" t="s">
        <v>85</v>
      </c>
      <c r="C391" s="108" t="s">
        <v>299</v>
      </c>
      <c r="D391" s="100" t="str">
        <f t="shared" si="1"/>
        <v/>
      </c>
      <c r="E391" s="100" t="str">
        <f t="shared" si="2"/>
        <v/>
      </c>
      <c r="F391" s="100" t="str">
        <f t="shared" si="3"/>
        <v/>
      </c>
      <c r="G391" s="151"/>
      <c r="H391" s="156"/>
      <c r="I391" s="157"/>
      <c r="J391" s="158"/>
      <c r="L391" s="94"/>
      <c r="M391" s="159"/>
      <c r="N391" s="94"/>
    </row>
    <row r="392">
      <c r="A392" s="107">
        <v>101108.0</v>
      </c>
      <c r="B392" s="108" t="s">
        <v>90</v>
      </c>
      <c r="C392" s="108" t="s">
        <v>299</v>
      </c>
      <c r="D392" s="100" t="str">
        <f t="shared" si="1"/>
        <v/>
      </c>
      <c r="E392" s="100" t="str">
        <f t="shared" si="2"/>
        <v/>
      </c>
      <c r="F392" s="100" t="str">
        <f t="shared" si="3"/>
        <v/>
      </c>
      <c r="G392" s="151"/>
      <c r="H392" s="160"/>
      <c r="I392" s="157"/>
      <c r="J392" s="161"/>
      <c r="L392" s="94"/>
      <c r="M392" s="159"/>
      <c r="N392" s="94"/>
    </row>
    <row r="393">
      <c r="A393" s="107">
        <v>101108.0</v>
      </c>
      <c r="B393" s="108" t="s">
        <v>92</v>
      </c>
      <c r="C393" s="108" t="s">
        <v>299</v>
      </c>
      <c r="D393" s="100" t="str">
        <f t="shared" si="1"/>
        <v/>
      </c>
      <c r="E393" s="100" t="str">
        <f t="shared" si="2"/>
        <v/>
      </c>
      <c r="F393" s="100" t="str">
        <f t="shared" si="3"/>
        <v/>
      </c>
      <c r="G393" s="151"/>
      <c r="H393" s="156"/>
      <c r="I393" s="157"/>
      <c r="J393" s="158"/>
      <c r="L393" s="94"/>
      <c r="M393" s="159"/>
      <c r="N393" s="94"/>
    </row>
    <row r="394">
      <c r="A394" s="107">
        <v>101108.0</v>
      </c>
      <c r="B394" s="108" t="s">
        <v>190</v>
      </c>
      <c r="C394" s="108" t="s">
        <v>299</v>
      </c>
      <c r="D394" s="100" t="str">
        <f t="shared" si="1"/>
        <v/>
      </c>
      <c r="E394" s="100" t="str">
        <f t="shared" si="2"/>
        <v/>
      </c>
      <c r="F394" s="100" t="str">
        <f t="shared" si="3"/>
        <v/>
      </c>
      <c r="G394" s="151"/>
      <c r="H394" s="160"/>
      <c r="I394" s="157"/>
      <c r="J394" s="161"/>
      <c r="L394" s="94"/>
      <c r="M394" s="159"/>
      <c r="N394" s="94"/>
    </row>
    <row r="395">
      <c r="A395" s="107">
        <v>101108.0</v>
      </c>
      <c r="B395" s="108" t="s">
        <v>191</v>
      </c>
      <c r="C395" s="108" t="s">
        <v>299</v>
      </c>
      <c r="D395" s="100" t="str">
        <f t="shared" si="1"/>
        <v/>
      </c>
      <c r="E395" s="100" t="str">
        <f t="shared" si="2"/>
        <v/>
      </c>
      <c r="F395" s="100" t="str">
        <f t="shared" si="3"/>
        <v/>
      </c>
      <c r="G395" s="151"/>
      <c r="H395" s="156"/>
      <c r="I395" s="157"/>
      <c r="J395" s="158"/>
      <c r="L395" s="94"/>
      <c r="M395" s="159"/>
      <c r="N395" s="94"/>
    </row>
    <row r="396">
      <c r="A396" s="107">
        <v>101108.0</v>
      </c>
      <c r="B396" s="108" t="s">
        <v>192</v>
      </c>
      <c r="C396" s="108" t="s">
        <v>299</v>
      </c>
      <c r="D396" s="100" t="str">
        <f t="shared" si="1"/>
        <v/>
      </c>
      <c r="E396" s="100" t="str">
        <f t="shared" si="2"/>
        <v/>
      </c>
      <c r="F396" s="100" t="str">
        <f t="shared" si="3"/>
        <v/>
      </c>
      <c r="G396" s="151"/>
      <c r="H396" s="160"/>
      <c r="I396" s="157"/>
      <c r="J396" s="161"/>
      <c r="L396" s="94"/>
      <c r="M396" s="159"/>
      <c r="N396" s="94"/>
    </row>
    <row r="397">
      <c r="A397" s="107">
        <v>101108.0</v>
      </c>
      <c r="B397" s="108" t="s">
        <v>193</v>
      </c>
      <c r="C397" s="108" t="s">
        <v>299</v>
      </c>
      <c r="D397" s="100" t="str">
        <f t="shared" si="1"/>
        <v/>
      </c>
      <c r="E397" s="100" t="str">
        <f t="shared" si="2"/>
        <v/>
      </c>
      <c r="F397" s="100" t="str">
        <f t="shared" si="3"/>
        <v/>
      </c>
      <c r="G397" s="151"/>
      <c r="H397" s="156"/>
      <c r="I397" s="157"/>
      <c r="J397" s="158"/>
      <c r="L397" s="94"/>
      <c r="M397" s="159"/>
      <c r="N397" s="94"/>
    </row>
    <row r="398">
      <c r="A398" s="107">
        <v>101108.0</v>
      </c>
      <c r="B398" s="108" t="s">
        <v>243</v>
      </c>
      <c r="C398" s="108" t="s">
        <v>299</v>
      </c>
      <c r="D398" s="100" t="str">
        <f t="shared" si="1"/>
        <v/>
      </c>
      <c r="E398" s="100" t="str">
        <f t="shared" si="2"/>
        <v/>
      </c>
      <c r="F398" s="100" t="str">
        <f t="shared" si="3"/>
        <v/>
      </c>
      <c r="G398" s="151"/>
      <c r="H398" s="160"/>
      <c r="I398" s="157"/>
      <c r="J398" s="161"/>
      <c r="L398" s="94"/>
      <c r="M398" s="159"/>
      <c r="N398" s="94"/>
    </row>
    <row r="399">
      <c r="A399" s="107">
        <v>101108.0</v>
      </c>
      <c r="B399" s="108" t="s">
        <v>215</v>
      </c>
      <c r="C399" s="108" t="s">
        <v>299</v>
      </c>
      <c r="D399" s="100" t="str">
        <f t="shared" si="1"/>
        <v/>
      </c>
      <c r="E399" s="100" t="str">
        <f t="shared" si="2"/>
        <v/>
      </c>
      <c r="F399" s="100" t="str">
        <f t="shared" si="3"/>
        <v/>
      </c>
      <c r="G399" s="151"/>
      <c r="H399" s="156"/>
      <c r="I399" s="157"/>
      <c r="J399" s="158"/>
      <c r="L399" s="94"/>
      <c r="M399" s="159"/>
      <c r="N399" s="94"/>
    </row>
    <row r="400">
      <c r="A400" s="107">
        <v>101108.0</v>
      </c>
      <c r="B400" s="108" t="s">
        <v>244</v>
      </c>
      <c r="C400" s="108" t="s">
        <v>299</v>
      </c>
      <c r="D400" s="100" t="str">
        <f t="shared" si="1"/>
        <v/>
      </c>
      <c r="E400" s="100" t="str">
        <f t="shared" si="2"/>
        <v/>
      </c>
      <c r="F400" s="100" t="str">
        <f t="shared" si="3"/>
        <v/>
      </c>
      <c r="G400" s="151"/>
      <c r="H400" s="160"/>
      <c r="I400" s="157"/>
      <c r="J400" s="161"/>
      <c r="L400" s="94"/>
      <c r="M400" s="159"/>
      <c r="N400" s="94"/>
    </row>
    <row r="401">
      <c r="A401" s="107">
        <v>101108.0</v>
      </c>
      <c r="B401" s="108" t="s">
        <v>245</v>
      </c>
      <c r="C401" s="108" t="s">
        <v>299</v>
      </c>
      <c r="D401" s="100" t="str">
        <f t="shared" si="1"/>
        <v/>
      </c>
      <c r="E401" s="100" t="str">
        <f t="shared" si="2"/>
        <v/>
      </c>
      <c r="F401" s="100" t="str">
        <f t="shared" si="3"/>
        <v/>
      </c>
      <c r="G401" s="151"/>
      <c r="H401" s="156"/>
      <c r="I401" s="157"/>
      <c r="J401" s="158"/>
      <c r="L401" s="94"/>
      <c r="M401" s="159"/>
      <c r="N401" s="94"/>
    </row>
    <row r="402">
      <c r="A402" s="107">
        <v>101108.0</v>
      </c>
      <c r="B402" s="108" t="s">
        <v>246</v>
      </c>
      <c r="C402" s="108" t="s">
        <v>299</v>
      </c>
      <c r="D402" s="100" t="str">
        <f t="shared" si="1"/>
        <v/>
      </c>
      <c r="E402" s="100" t="str">
        <f t="shared" si="2"/>
        <v/>
      </c>
      <c r="F402" s="100" t="str">
        <f t="shared" si="3"/>
        <v/>
      </c>
      <c r="G402" s="151"/>
      <c r="H402" s="160"/>
      <c r="I402" s="157"/>
      <c r="J402" s="161"/>
      <c r="L402" s="94"/>
      <c r="M402" s="159"/>
      <c r="N402" s="94"/>
    </row>
    <row r="403">
      <c r="A403" s="114">
        <v>101108.0</v>
      </c>
      <c r="B403" s="113" t="s">
        <v>247</v>
      </c>
      <c r="C403" s="113" t="s">
        <v>299</v>
      </c>
      <c r="D403" s="100" t="str">
        <f t="shared" si="1"/>
        <v/>
      </c>
      <c r="E403" s="100" t="str">
        <f t="shared" si="2"/>
        <v/>
      </c>
      <c r="F403" s="100" t="str">
        <f t="shared" si="3"/>
        <v/>
      </c>
      <c r="G403" s="151"/>
      <c r="H403" s="156"/>
      <c r="I403" s="157"/>
      <c r="J403" s="158"/>
      <c r="L403" s="94"/>
      <c r="M403" s="159"/>
      <c r="N403" s="94"/>
    </row>
    <row r="404">
      <c r="A404" s="107">
        <v>101109.0</v>
      </c>
      <c r="B404" s="108" t="s">
        <v>85</v>
      </c>
      <c r="C404" s="108" t="s">
        <v>300</v>
      </c>
      <c r="D404" s="100" t="str">
        <f t="shared" si="1"/>
        <v/>
      </c>
      <c r="E404" s="100" t="str">
        <f t="shared" si="2"/>
        <v/>
      </c>
      <c r="F404" s="100" t="str">
        <f t="shared" si="3"/>
        <v/>
      </c>
      <c r="G404" s="151"/>
      <c r="H404" s="160"/>
      <c r="I404" s="157"/>
      <c r="J404" s="161"/>
      <c r="L404" s="94"/>
      <c r="M404" s="159"/>
      <c r="N404" s="94"/>
    </row>
    <row r="405">
      <c r="A405" s="107">
        <v>101109.0</v>
      </c>
      <c r="B405" s="108" t="s">
        <v>90</v>
      </c>
      <c r="C405" s="108" t="s">
        <v>300</v>
      </c>
      <c r="D405" s="100" t="str">
        <f t="shared" si="1"/>
        <v/>
      </c>
      <c r="E405" s="100" t="str">
        <f t="shared" si="2"/>
        <v/>
      </c>
      <c r="F405" s="100" t="str">
        <f t="shared" si="3"/>
        <v/>
      </c>
      <c r="G405" s="151"/>
      <c r="H405" s="156"/>
      <c r="I405" s="157"/>
      <c r="J405" s="158"/>
      <c r="L405" s="94"/>
      <c r="M405" s="159"/>
      <c r="N405" s="94"/>
    </row>
    <row r="406">
      <c r="A406" s="107">
        <v>101109.0</v>
      </c>
      <c r="B406" s="108" t="s">
        <v>92</v>
      </c>
      <c r="C406" s="108" t="s">
        <v>300</v>
      </c>
      <c r="D406" s="100" t="str">
        <f t="shared" si="1"/>
        <v/>
      </c>
      <c r="E406" s="100" t="str">
        <f t="shared" si="2"/>
        <v/>
      </c>
      <c r="F406" s="100" t="str">
        <f t="shared" si="3"/>
        <v/>
      </c>
      <c r="G406" s="151"/>
      <c r="H406" s="160"/>
      <c r="I406" s="157"/>
      <c r="J406" s="161"/>
      <c r="L406" s="94"/>
      <c r="M406" s="159"/>
      <c r="N406" s="94"/>
    </row>
    <row r="407">
      <c r="A407" s="107">
        <v>101109.0</v>
      </c>
      <c r="B407" s="108" t="s">
        <v>190</v>
      </c>
      <c r="C407" s="108" t="s">
        <v>300</v>
      </c>
      <c r="D407" s="100" t="str">
        <f t="shared" si="1"/>
        <v/>
      </c>
      <c r="E407" s="100" t="str">
        <f t="shared" si="2"/>
        <v/>
      </c>
      <c r="F407" s="100" t="str">
        <f t="shared" si="3"/>
        <v/>
      </c>
      <c r="G407" s="151"/>
      <c r="H407" s="156"/>
      <c r="I407" s="157"/>
      <c r="J407" s="158"/>
      <c r="L407" s="94"/>
      <c r="M407" s="159"/>
      <c r="N407" s="94"/>
    </row>
    <row r="408">
      <c r="A408" s="107">
        <v>101109.0</v>
      </c>
      <c r="B408" s="108" t="s">
        <v>191</v>
      </c>
      <c r="C408" s="108" t="s">
        <v>300</v>
      </c>
      <c r="D408" s="100" t="str">
        <f t="shared" si="1"/>
        <v/>
      </c>
      <c r="E408" s="100" t="str">
        <f t="shared" si="2"/>
        <v/>
      </c>
      <c r="F408" s="100" t="str">
        <f t="shared" si="3"/>
        <v/>
      </c>
      <c r="G408" s="151"/>
      <c r="H408" s="160"/>
      <c r="I408" s="157"/>
      <c r="J408" s="161"/>
      <c r="L408" s="94"/>
      <c r="M408" s="159"/>
      <c r="N408" s="94"/>
    </row>
    <row r="409">
      <c r="A409" s="107">
        <v>101109.0</v>
      </c>
      <c r="B409" s="108" t="s">
        <v>192</v>
      </c>
      <c r="C409" s="108" t="s">
        <v>300</v>
      </c>
      <c r="D409" s="100" t="str">
        <f t="shared" si="1"/>
        <v/>
      </c>
      <c r="E409" s="100" t="str">
        <f t="shared" si="2"/>
        <v/>
      </c>
      <c r="F409" s="100" t="str">
        <f t="shared" si="3"/>
        <v/>
      </c>
      <c r="G409" s="151"/>
      <c r="H409" s="156"/>
      <c r="I409" s="157"/>
      <c r="J409" s="158"/>
      <c r="L409" s="94"/>
      <c r="M409" s="159"/>
      <c r="N409" s="94"/>
    </row>
    <row r="410">
      <c r="A410" s="107">
        <v>101110.0</v>
      </c>
      <c r="B410" s="108" t="s">
        <v>85</v>
      </c>
      <c r="C410" s="108" t="s">
        <v>301</v>
      </c>
      <c r="D410" s="100" t="str">
        <f t="shared" si="1"/>
        <v/>
      </c>
      <c r="E410" s="100" t="str">
        <f t="shared" si="2"/>
        <v/>
      </c>
      <c r="F410" s="100" t="str">
        <f t="shared" si="3"/>
        <v/>
      </c>
      <c r="G410" s="151"/>
      <c r="H410" s="160"/>
      <c r="I410" s="157"/>
      <c r="J410" s="161"/>
      <c r="L410" s="94"/>
      <c r="M410" s="159"/>
      <c r="N410" s="94"/>
    </row>
    <row r="411">
      <c r="A411" s="107">
        <v>101110.0</v>
      </c>
      <c r="B411" s="108" t="s">
        <v>90</v>
      </c>
      <c r="C411" s="108" t="s">
        <v>301</v>
      </c>
      <c r="D411" s="100" t="str">
        <f t="shared" si="1"/>
        <v/>
      </c>
      <c r="E411" s="100" t="str">
        <f t="shared" si="2"/>
        <v/>
      </c>
      <c r="F411" s="100" t="str">
        <f t="shared" si="3"/>
        <v/>
      </c>
      <c r="G411" s="151"/>
      <c r="H411" s="156"/>
      <c r="I411" s="157"/>
      <c r="J411" s="158"/>
      <c r="L411" s="94"/>
      <c r="M411" s="159"/>
      <c r="N411" s="94"/>
    </row>
    <row r="412">
      <c r="A412" s="107">
        <v>101111.0</v>
      </c>
      <c r="B412" s="108" t="s">
        <v>85</v>
      </c>
      <c r="C412" s="108" t="s">
        <v>302</v>
      </c>
      <c r="D412" s="100" t="str">
        <f t="shared" si="1"/>
        <v/>
      </c>
      <c r="E412" s="100" t="str">
        <f t="shared" si="2"/>
        <v/>
      </c>
      <c r="F412" s="100" t="str">
        <f t="shared" si="3"/>
        <v/>
      </c>
      <c r="G412" s="151"/>
      <c r="H412" s="160"/>
      <c r="I412" s="157"/>
      <c r="J412" s="161"/>
      <c r="L412" s="94"/>
      <c r="M412" s="159"/>
      <c r="N412" s="94"/>
    </row>
    <row r="413">
      <c r="A413" s="107">
        <v>101111.0</v>
      </c>
      <c r="B413" s="108" t="s">
        <v>90</v>
      </c>
      <c r="C413" s="108" t="s">
        <v>302</v>
      </c>
      <c r="D413" s="100" t="str">
        <f t="shared" si="1"/>
        <v/>
      </c>
      <c r="E413" s="100" t="str">
        <f t="shared" si="2"/>
        <v/>
      </c>
      <c r="F413" s="100" t="str">
        <f t="shared" si="3"/>
        <v/>
      </c>
      <c r="G413" s="151"/>
      <c r="H413" s="156"/>
      <c r="I413" s="157"/>
      <c r="J413" s="158"/>
      <c r="L413" s="94"/>
      <c r="M413" s="159"/>
      <c r="N413" s="94"/>
    </row>
    <row r="414">
      <c r="A414" s="107">
        <v>101111.0</v>
      </c>
      <c r="B414" s="108" t="s">
        <v>92</v>
      </c>
      <c r="C414" s="108" t="s">
        <v>302</v>
      </c>
      <c r="D414" s="100" t="str">
        <f t="shared" si="1"/>
        <v/>
      </c>
      <c r="E414" s="100" t="str">
        <f t="shared" si="2"/>
        <v/>
      </c>
      <c r="F414" s="100" t="str">
        <f t="shared" si="3"/>
        <v/>
      </c>
      <c r="G414" s="151"/>
      <c r="H414" s="160"/>
      <c r="I414" s="157"/>
      <c r="J414" s="161"/>
      <c r="L414" s="94"/>
      <c r="M414" s="159"/>
      <c r="N414" s="94"/>
    </row>
    <row r="415">
      <c r="A415" s="107">
        <v>101112.0</v>
      </c>
      <c r="B415" s="108" t="s">
        <v>85</v>
      </c>
      <c r="C415" s="108" t="s">
        <v>303</v>
      </c>
      <c r="D415" s="100" t="str">
        <f t="shared" si="1"/>
        <v/>
      </c>
      <c r="E415" s="100" t="str">
        <f t="shared" si="2"/>
        <v/>
      </c>
      <c r="F415" s="100" t="str">
        <f t="shared" si="3"/>
        <v/>
      </c>
      <c r="G415" s="151"/>
      <c r="H415" s="156"/>
      <c r="I415" s="157"/>
      <c r="J415" s="158"/>
      <c r="L415" s="94"/>
      <c r="M415" s="159"/>
      <c r="N415" s="94"/>
    </row>
    <row r="416">
      <c r="A416" s="107">
        <v>101112.0</v>
      </c>
      <c r="B416" s="108" t="s">
        <v>90</v>
      </c>
      <c r="C416" s="108" t="s">
        <v>303</v>
      </c>
      <c r="D416" s="100" t="str">
        <f t="shared" si="1"/>
        <v/>
      </c>
      <c r="E416" s="100" t="str">
        <f t="shared" si="2"/>
        <v/>
      </c>
      <c r="F416" s="100" t="str">
        <f t="shared" si="3"/>
        <v/>
      </c>
      <c r="G416" s="151"/>
      <c r="H416" s="160"/>
      <c r="I416" s="157"/>
      <c r="J416" s="161"/>
      <c r="L416" s="94"/>
      <c r="M416" s="159"/>
      <c r="N416" s="94"/>
    </row>
    <row r="417">
      <c r="A417" s="107">
        <v>101112.0</v>
      </c>
      <c r="B417" s="108" t="s">
        <v>92</v>
      </c>
      <c r="C417" s="108" t="s">
        <v>303</v>
      </c>
      <c r="D417" s="100" t="str">
        <f t="shared" si="1"/>
        <v/>
      </c>
      <c r="E417" s="100" t="str">
        <f t="shared" si="2"/>
        <v/>
      </c>
      <c r="F417" s="100" t="str">
        <f t="shared" si="3"/>
        <v/>
      </c>
      <c r="G417" s="151"/>
      <c r="H417" s="156"/>
      <c r="I417" s="157"/>
      <c r="J417" s="158"/>
      <c r="L417" s="94"/>
      <c r="M417" s="159"/>
      <c r="N417" s="94"/>
    </row>
    <row r="418">
      <c r="A418" s="107">
        <v>101112.0</v>
      </c>
      <c r="B418" s="108" t="s">
        <v>190</v>
      </c>
      <c r="C418" s="108" t="s">
        <v>303</v>
      </c>
      <c r="D418" s="100" t="str">
        <f t="shared" si="1"/>
        <v/>
      </c>
      <c r="E418" s="100" t="str">
        <f t="shared" si="2"/>
        <v/>
      </c>
      <c r="F418" s="100" t="str">
        <f t="shared" si="3"/>
        <v/>
      </c>
      <c r="G418" s="151"/>
      <c r="H418" s="160"/>
      <c r="I418" s="157"/>
      <c r="J418" s="161"/>
      <c r="L418" s="94"/>
      <c r="M418" s="159"/>
      <c r="N418" s="94"/>
    </row>
    <row r="419">
      <c r="A419" s="107">
        <v>101112.0</v>
      </c>
      <c r="B419" s="108" t="s">
        <v>191</v>
      </c>
      <c r="C419" s="108" t="s">
        <v>303</v>
      </c>
      <c r="D419" s="100" t="str">
        <f t="shared" si="1"/>
        <v/>
      </c>
      <c r="E419" s="100" t="str">
        <f t="shared" si="2"/>
        <v/>
      </c>
      <c r="F419" s="100" t="str">
        <f t="shared" si="3"/>
        <v/>
      </c>
      <c r="G419" s="151"/>
      <c r="H419" s="156"/>
      <c r="I419" s="157"/>
      <c r="J419" s="158"/>
      <c r="L419" s="94"/>
      <c r="M419" s="159"/>
      <c r="N419" s="94"/>
    </row>
    <row r="420">
      <c r="A420" s="107">
        <v>101112.0</v>
      </c>
      <c r="B420" s="108" t="s">
        <v>192</v>
      </c>
      <c r="C420" s="108" t="s">
        <v>303</v>
      </c>
      <c r="D420" s="100" t="str">
        <f t="shared" si="1"/>
        <v/>
      </c>
      <c r="E420" s="100" t="str">
        <f t="shared" si="2"/>
        <v/>
      </c>
      <c r="F420" s="100" t="str">
        <f t="shared" si="3"/>
        <v/>
      </c>
      <c r="G420" s="151"/>
      <c r="H420" s="160"/>
      <c r="I420" s="157"/>
      <c r="J420" s="161"/>
      <c r="L420" s="94"/>
      <c r="M420" s="159"/>
      <c r="N420" s="94"/>
    </row>
    <row r="421">
      <c r="A421" s="107">
        <v>101114.0</v>
      </c>
      <c r="B421" s="108" t="s">
        <v>85</v>
      </c>
      <c r="C421" s="108" t="s">
        <v>304</v>
      </c>
      <c r="D421" s="100" t="str">
        <f t="shared" si="1"/>
        <v/>
      </c>
      <c r="E421" s="100" t="str">
        <f t="shared" si="2"/>
        <v/>
      </c>
      <c r="F421" s="100" t="str">
        <f t="shared" si="3"/>
        <v/>
      </c>
      <c r="G421" s="151"/>
      <c r="H421" s="156"/>
      <c r="I421" s="157"/>
      <c r="J421" s="158"/>
      <c r="L421" s="94"/>
      <c r="M421" s="159"/>
      <c r="N421" s="94"/>
    </row>
    <row r="422">
      <c r="A422" s="107">
        <v>101114.0</v>
      </c>
      <c r="B422" s="108" t="s">
        <v>90</v>
      </c>
      <c r="C422" s="108" t="s">
        <v>304</v>
      </c>
      <c r="D422" s="100" t="str">
        <f t="shared" si="1"/>
        <v/>
      </c>
      <c r="E422" s="100" t="str">
        <f t="shared" si="2"/>
        <v/>
      </c>
      <c r="F422" s="100" t="str">
        <f t="shared" si="3"/>
        <v/>
      </c>
      <c r="G422" s="151"/>
      <c r="H422" s="160"/>
      <c r="I422" s="157"/>
      <c r="J422" s="161"/>
      <c r="L422" s="94"/>
      <c r="M422" s="159"/>
      <c r="N422" s="94"/>
    </row>
    <row r="423">
      <c r="A423" s="107">
        <v>101114.0</v>
      </c>
      <c r="B423" s="108" t="s">
        <v>92</v>
      </c>
      <c r="C423" s="108" t="s">
        <v>304</v>
      </c>
      <c r="D423" s="100" t="str">
        <f t="shared" si="1"/>
        <v/>
      </c>
      <c r="E423" s="100" t="str">
        <f t="shared" si="2"/>
        <v/>
      </c>
      <c r="F423" s="100" t="str">
        <f t="shared" si="3"/>
        <v/>
      </c>
      <c r="G423" s="151"/>
      <c r="H423" s="156"/>
      <c r="I423" s="157"/>
      <c r="J423" s="158"/>
      <c r="L423" s="94"/>
      <c r="M423" s="159"/>
      <c r="N423" s="94"/>
    </row>
    <row r="424">
      <c r="A424" s="107">
        <v>101114.0</v>
      </c>
      <c r="B424" s="108" t="s">
        <v>190</v>
      </c>
      <c r="C424" s="108" t="s">
        <v>304</v>
      </c>
      <c r="D424" s="100" t="str">
        <f t="shared" si="1"/>
        <v/>
      </c>
      <c r="E424" s="100" t="str">
        <f t="shared" si="2"/>
        <v/>
      </c>
      <c r="F424" s="100" t="str">
        <f t="shared" si="3"/>
        <v/>
      </c>
      <c r="G424" s="151"/>
      <c r="H424" s="160"/>
      <c r="I424" s="157"/>
      <c r="J424" s="161"/>
      <c r="L424" s="94"/>
      <c r="M424" s="159"/>
      <c r="N424" s="94"/>
    </row>
    <row r="425">
      <c r="A425" s="107">
        <v>101115.0</v>
      </c>
      <c r="B425" s="108" t="s">
        <v>85</v>
      </c>
      <c r="C425" s="108" t="s">
        <v>305</v>
      </c>
      <c r="D425" s="100" t="str">
        <f t="shared" si="1"/>
        <v/>
      </c>
      <c r="E425" s="100" t="str">
        <f t="shared" si="2"/>
        <v/>
      </c>
      <c r="F425" s="100" t="str">
        <f t="shared" si="3"/>
        <v/>
      </c>
      <c r="G425" s="151"/>
      <c r="H425" s="156"/>
      <c r="I425" s="157"/>
      <c r="J425" s="158"/>
      <c r="L425" s="94"/>
      <c r="M425" s="159"/>
      <c r="N425" s="94"/>
    </row>
    <row r="426">
      <c r="A426" s="107">
        <v>101122.0</v>
      </c>
      <c r="B426" s="108" t="s">
        <v>85</v>
      </c>
      <c r="C426" s="108" t="s">
        <v>306</v>
      </c>
      <c r="D426" s="100" t="str">
        <f t="shared" si="1"/>
        <v/>
      </c>
      <c r="E426" s="100" t="str">
        <f t="shared" si="2"/>
        <v/>
      </c>
      <c r="F426" s="100" t="str">
        <f t="shared" si="3"/>
        <v/>
      </c>
      <c r="G426" s="151"/>
      <c r="H426" s="160"/>
      <c r="I426" s="157"/>
      <c r="J426" s="161"/>
      <c r="L426" s="94"/>
      <c r="M426" s="159"/>
      <c r="N426" s="94"/>
    </row>
    <row r="427">
      <c r="A427" s="107">
        <v>101122.0</v>
      </c>
      <c r="B427" s="108" t="s">
        <v>90</v>
      </c>
      <c r="C427" s="108" t="s">
        <v>306</v>
      </c>
      <c r="D427" s="100" t="str">
        <f t="shared" si="1"/>
        <v/>
      </c>
      <c r="E427" s="100" t="str">
        <f t="shared" si="2"/>
        <v/>
      </c>
      <c r="F427" s="100" t="str">
        <f t="shared" si="3"/>
        <v/>
      </c>
      <c r="G427" s="151"/>
      <c r="H427" s="156"/>
      <c r="I427" s="157"/>
      <c r="J427" s="158"/>
      <c r="L427" s="94"/>
      <c r="M427" s="159"/>
      <c r="N427" s="94"/>
    </row>
    <row r="428">
      <c r="A428" s="107">
        <v>101123.0</v>
      </c>
      <c r="B428" s="108" t="s">
        <v>85</v>
      </c>
      <c r="C428" s="108" t="s">
        <v>307</v>
      </c>
      <c r="D428" s="100" t="str">
        <f t="shared" si="1"/>
        <v/>
      </c>
      <c r="E428" s="100" t="str">
        <f t="shared" si="2"/>
        <v/>
      </c>
      <c r="F428" s="100" t="str">
        <f t="shared" si="3"/>
        <v/>
      </c>
      <c r="G428" s="151"/>
      <c r="H428" s="160"/>
      <c r="I428" s="157"/>
      <c r="J428" s="161"/>
      <c r="L428" s="94"/>
      <c r="M428" s="159"/>
      <c r="N428" s="94"/>
    </row>
    <row r="429">
      <c r="A429" s="107">
        <v>101123.0</v>
      </c>
      <c r="B429" s="108" t="s">
        <v>90</v>
      </c>
      <c r="C429" s="108" t="s">
        <v>307</v>
      </c>
      <c r="D429" s="100" t="str">
        <f t="shared" si="1"/>
        <v/>
      </c>
      <c r="E429" s="100" t="str">
        <f t="shared" si="2"/>
        <v/>
      </c>
      <c r="F429" s="100" t="str">
        <f t="shared" si="3"/>
        <v/>
      </c>
      <c r="G429" s="151"/>
      <c r="H429" s="156"/>
      <c r="I429" s="157"/>
      <c r="J429" s="158"/>
      <c r="L429" s="94"/>
      <c r="M429" s="159"/>
      <c r="N429" s="94"/>
    </row>
    <row r="430">
      <c r="A430" s="107">
        <v>101123.0</v>
      </c>
      <c r="B430" s="108" t="s">
        <v>92</v>
      </c>
      <c r="C430" s="108" t="s">
        <v>307</v>
      </c>
      <c r="D430" s="100" t="str">
        <f t="shared" si="1"/>
        <v/>
      </c>
      <c r="E430" s="100" t="str">
        <f t="shared" si="2"/>
        <v/>
      </c>
      <c r="F430" s="100" t="str">
        <f t="shared" si="3"/>
        <v/>
      </c>
      <c r="G430" s="151"/>
      <c r="H430" s="160"/>
      <c r="I430" s="157"/>
      <c r="J430" s="161"/>
      <c r="L430" s="94"/>
      <c r="M430" s="159"/>
      <c r="N430" s="94"/>
    </row>
    <row r="431">
      <c r="A431" s="107">
        <v>101123.0</v>
      </c>
      <c r="B431" s="108" t="s">
        <v>190</v>
      </c>
      <c r="C431" s="108" t="s">
        <v>307</v>
      </c>
      <c r="D431" s="100" t="str">
        <f t="shared" si="1"/>
        <v/>
      </c>
      <c r="E431" s="100" t="str">
        <f t="shared" si="2"/>
        <v/>
      </c>
      <c r="F431" s="100" t="str">
        <f t="shared" si="3"/>
        <v/>
      </c>
      <c r="G431" s="151"/>
      <c r="H431" s="156"/>
      <c r="I431" s="157"/>
      <c r="J431" s="158"/>
      <c r="L431" s="94"/>
      <c r="M431" s="159"/>
      <c r="N431" s="94"/>
    </row>
    <row r="432">
      <c r="A432" s="107">
        <v>101123.0</v>
      </c>
      <c r="B432" s="108" t="s">
        <v>191</v>
      </c>
      <c r="C432" s="108" t="s">
        <v>307</v>
      </c>
      <c r="D432" s="100" t="str">
        <f t="shared" si="1"/>
        <v/>
      </c>
      <c r="E432" s="100" t="str">
        <f t="shared" si="2"/>
        <v/>
      </c>
      <c r="F432" s="100" t="str">
        <f t="shared" si="3"/>
        <v/>
      </c>
      <c r="G432" s="151"/>
      <c r="H432" s="160"/>
      <c r="I432" s="157"/>
      <c r="J432" s="161"/>
      <c r="L432" s="94"/>
      <c r="M432" s="159"/>
      <c r="N432" s="94"/>
    </row>
    <row r="433">
      <c r="A433" s="107">
        <v>101123.0</v>
      </c>
      <c r="B433" s="108" t="s">
        <v>192</v>
      </c>
      <c r="C433" s="108" t="s">
        <v>307</v>
      </c>
      <c r="D433" s="100" t="str">
        <f t="shared" si="1"/>
        <v/>
      </c>
      <c r="E433" s="100" t="str">
        <f t="shared" si="2"/>
        <v/>
      </c>
      <c r="F433" s="100" t="str">
        <f t="shared" si="3"/>
        <v/>
      </c>
      <c r="G433" s="151"/>
      <c r="H433" s="156"/>
      <c r="I433" s="157"/>
      <c r="J433" s="158"/>
      <c r="L433" s="94"/>
      <c r="M433" s="159"/>
      <c r="N433" s="94"/>
    </row>
    <row r="434">
      <c r="A434" s="107">
        <v>101126.0</v>
      </c>
      <c r="B434" s="108" t="s">
        <v>85</v>
      </c>
      <c r="C434" s="108" t="s">
        <v>308</v>
      </c>
      <c r="D434" s="100" t="str">
        <f t="shared" si="1"/>
        <v/>
      </c>
      <c r="E434" s="100" t="str">
        <f t="shared" si="2"/>
        <v/>
      </c>
      <c r="F434" s="100" t="str">
        <f t="shared" si="3"/>
        <v/>
      </c>
      <c r="G434" s="151"/>
      <c r="H434" s="160"/>
      <c r="I434" s="157"/>
      <c r="J434" s="161"/>
      <c r="L434" s="94"/>
      <c r="M434" s="159"/>
      <c r="N434" s="94"/>
    </row>
    <row r="435">
      <c r="A435" s="107">
        <v>101126.0</v>
      </c>
      <c r="B435" s="108" t="s">
        <v>90</v>
      </c>
      <c r="C435" s="108" t="s">
        <v>308</v>
      </c>
      <c r="D435" s="100" t="str">
        <f t="shared" si="1"/>
        <v/>
      </c>
      <c r="E435" s="100" t="str">
        <f t="shared" si="2"/>
        <v/>
      </c>
      <c r="F435" s="100" t="str">
        <f t="shared" si="3"/>
        <v/>
      </c>
      <c r="G435" s="151"/>
      <c r="H435" s="156"/>
      <c r="I435" s="157"/>
      <c r="J435" s="158"/>
      <c r="L435" s="94"/>
      <c r="M435" s="159"/>
      <c r="N435" s="94"/>
    </row>
    <row r="436">
      <c r="A436" s="107">
        <v>101126.0</v>
      </c>
      <c r="B436" s="108" t="s">
        <v>92</v>
      </c>
      <c r="C436" s="108" t="s">
        <v>308</v>
      </c>
      <c r="D436" s="100" t="str">
        <f t="shared" si="1"/>
        <v/>
      </c>
      <c r="E436" s="100" t="str">
        <f t="shared" si="2"/>
        <v/>
      </c>
      <c r="F436" s="100" t="str">
        <f t="shared" si="3"/>
        <v/>
      </c>
      <c r="G436" s="151"/>
      <c r="H436" s="160"/>
      <c r="I436" s="157"/>
      <c r="J436" s="161"/>
      <c r="L436" s="94"/>
      <c r="M436" s="159"/>
      <c r="N436" s="94"/>
    </row>
    <row r="437">
      <c r="A437" s="107">
        <v>101127.0</v>
      </c>
      <c r="B437" s="108" t="s">
        <v>85</v>
      </c>
      <c r="C437" s="108" t="s">
        <v>309</v>
      </c>
      <c r="D437" s="100" t="str">
        <f t="shared" si="1"/>
        <v/>
      </c>
      <c r="E437" s="100" t="str">
        <f t="shared" si="2"/>
        <v/>
      </c>
      <c r="F437" s="100" t="str">
        <f t="shared" si="3"/>
        <v/>
      </c>
      <c r="G437" s="151"/>
      <c r="H437" s="156"/>
      <c r="I437" s="157"/>
      <c r="J437" s="158"/>
      <c r="L437" s="94"/>
      <c r="M437" s="159"/>
      <c r="N437" s="94"/>
    </row>
    <row r="438">
      <c r="A438" s="107">
        <v>101127.0</v>
      </c>
      <c r="B438" s="108" t="s">
        <v>90</v>
      </c>
      <c r="C438" s="108" t="s">
        <v>309</v>
      </c>
      <c r="D438" s="100" t="str">
        <f t="shared" si="1"/>
        <v/>
      </c>
      <c r="E438" s="100" t="str">
        <f t="shared" si="2"/>
        <v/>
      </c>
      <c r="F438" s="100" t="str">
        <f t="shared" si="3"/>
        <v/>
      </c>
      <c r="G438" s="151"/>
      <c r="H438" s="160"/>
      <c r="I438" s="157"/>
      <c r="J438" s="161"/>
      <c r="L438" s="94"/>
      <c r="M438" s="159"/>
      <c r="N438" s="94"/>
    </row>
    <row r="439">
      <c r="A439" s="107">
        <v>101127.0</v>
      </c>
      <c r="B439" s="108" t="s">
        <v>92</v>
      </c>
      <c r="C439" s="108" t="s">
        <v>309</v>
      </c>
      <c r="D439" s="100" t="str">
        <f t="shared" si="1"/>
        <v/>
      </c>
      <c r="E439" s="100" t="str">
        <f t="shared" si="2"/>
        <v/>
      </c>
      <c r="F439" s="100" t="str">
        <f t="shared" si="3"/>
        <v/>
      </c>
      <c r="G439" s="151"/>
      <c r="H439" s="156"/>
      <c r="I439" s="157"/>
      <c r="J439" s="158"/>
      <c r="L439" s="94"/>
      <c r="M439" s="159"/>
      <c r="N439" s="94"/>
    </row>
    <row r="440">
      <c r="A440" s="107">
        <v>101127.0</v>
      </c>
      <c r="B440" s="108" t="s">
        <v>190</v>
      </c>
      <c r="C440" s="108" t="s">
        <v>309</v>
      </c>
      <c r="D440" s="100" t="str">
        <f t="shared" si="1"/>
        <v/>
      </c>
      <c r="E440" s="100" t="str">
        <f t="shared" si="2"/>
        <v/>
      </c>
      <c r="F440" s="100" t="str">
        <f t="shared" si="3"/>
        <v/>
      </c>
      <c r="G440" s="151"/>
      <c r="H440" s="160"/>
      <c r="I440" s="157"/>
      <c r="J440" s="161"/>
      <c r="L440" s="94"/>
      <c r="M440" s="159"/>
      <c r="N440" s="94"/>
    </row>
    <row r="441">
      <c r="A441" s="107">
        <v>101127.0</v>
      </c>
      <c r="B441" s="108" t="s">
        <v>191</v>
      </c>
      <c r="C441" s="108" t="s">
        <v>309</v>
      </c>
      <c r="D441" s="100" t="str">
        <f t="shared" si="1"/>
        <v/>
      </c>
      <c r="E441" s="100" t="str">
        <f t="shared" si="2"/>
        <v/>
      </c>
      <c r="F441" s="100" t="str">
        <f t="shared" si="3"/>
        <v/>
      </c>
      <c r="G441" s="151"/>
      <c r="H441" s="156"/>
      <c r="I441" s="157"/>
      <c r="J441" s="158"/>
      <c r="L441" s="94"/>
      <c r="M441" s="159"/>
      <c r="N441" s="94"/>
    </row>
    <row r="442">
      <c r="A442" s="107">
        <v>101128.0</v>
      </c>
      <c r="B442" s="108" t="s">
        <v>85</v>
      </c>
      <c r="C442" s="108" t="s">
        <v>310</v>
      </c>
      <c r="D442" s="100" t="str">
        <f t="shared" si="1"/>
        <v/>
      </c>
      <c r="E442" s="100" t="str">
        <f t="shared" si="2"/>
        <v/>
      </c>
      <c r="F442" s="100" t="str">
        <f t="shared" si="3"/>
        <v/>
      </c>
      <c r="G442" s="151"/>
      <c r="H442" s="160"/>
      <c r="I442" s="157"/>
      <c r="J442" s="161"/>
      <c r="L442" s="94"/>
      <c r="M442" s="159"/>
      <c r="N442" s="94"/>
    </row>
    <row r="443">
      <c r="A443" s="107">
        <v>101128.0</v>
      </c>
      <c r="B443" s="108" t="s">
        <v>90</v>
      </c>
      <c r="C443" s="108" t="s">
        <v>310</v>
      </c>
      <c r="D443" s="100" t="str">
        <f t="shared" si="1"/>
        <v/>
      </c>
      <c r="E443" s="100" t="str">
        <f t="shared" si="2"/>
        <v/>
      </c>
      <c r="F443" s="100" t="str">
        <f t="shared" si="3"/>
        <v/>
      </c>
      <c r="G443" s="151"/>
      <c r="H443" s="156"/>
      <c r="I443" s="157"/>
      <c r="J443" s="158"/>
      <c r="L443" s="94"/>
      <c r="M443" s="159"/>
      <c r="N443" s="94"/>
    </row>
    <row r="444">
      <c r="A444" s="107">
        <v>101131.0</v>
      </c>
      <c r="B444" s="108" t="s">
        <v>85</v>
      </c>
      <c r="C444" s="108" t="s">
        <v>311</v>
      </c>
      <c r="D444" s="100" t="str">
        <f t="shared" si="1"/>
        <v/>
      </c>
      <c r="E444" s="100" t="str">
        <f t="shared" si="2"/>
        <v/>
      </c>
      <c r="F444" s="100" t="str">
        <f t="shared" si="3"/>
        <v/>
      </c>
      <c r="G444" s="151"/>
      <c r="H444" s="160"/>
      <c r="I444" s="157"/>
      <c r="J444" s="161"/>
      <c r="L444" s="94"/>
      <c r="M444" s="159"/>
      <c r="N444" s="94"/>
    </row>
    <row r="445">
      <c r="A445" s="107">
        <v>101131.0</v>
      </c>
      <c r="B445" s="108" t="s">
        <v>90</v>
      </c>
      <c r="C445" s="108" t="s">
        <v>311</v>
      </c>
      <c r="D445" s="100" t="str">
        <f t="shared" si="1"/>
        <v/>
      </c>
      <c r="E445" s="100" t="str">
        <f t="shared" si="2"/>
        <v/>
      </c>
      <c r="F445" s="100" t="str">
        <f t="shared" si="3"/>
        <v/>
      </c>
      <c r="G445" s="151"/>
      <c r="H445" s="156"/>
      <c r="I445" s="157"/>
      <c r="J445" s="158"/>
      <c r="L445" s="94"/>
      <c r="M445" s="159"/>
      <c r="N445" s="94"/>
    </row>
    <row r="446">
      <c r="A446" s="107">
        <v>101133.0</v>
      </c>
      <c r="B446" s="108" t="s">
        <v>85</v>
      </c>
      <c r="C446" s="108" t="s">
        <v>312</v>
      </c>
      <c r="D446" s="100" t="str">
        <f t="shared" si="1"/>
        <v/>
      </c>
      <c r="E446" s="100" t="str">
        <f t="shared" si="2"/>
        <v/>
      </c>
      <c r="F446" s="100" t="str">
        <f t="shared" si="3"/>
        <v/>
      </c>
      <c r="G446" s="151"/>
      <c r="H446" s="160"/>
      <c r="I446" s="157"/>
      <c r="J446" s="161"/>
      <c r="L446" s="94"/>
      <c r="M446" s="159"/>
      <c r="N446" s="94"/>
    </row>
    <row r="447">
      <c r="A447" s="107">
        <v>101133.0</v>
      </c>
      <c r="B447" s="108" t="s">
        <v>90</v>
      </c>
      <c r="C447" s="108" t="s">
        <v>312</v>
      </c>
      <c r="D447" s="100" t="str">
        <f t="shared" si="1"/>
        <v/>
      </c>
      <c r="E447" s="100" t="str">
        <f t="shared" si="2"/>
        <v/>
      </c>
      <c r="F447" s="100" t="str">
        <f t="shared" si="3"/>
        <v/>
      </c>
      <c r="G447" s="151"/>
      <c r="H447" s="156"/>
      <c r="I447" s="157"/>
      <c r="J447" s="158"/>
      <c r="L447" s="94"/>
      <c r="M447" s="159"/>
      <c r="N447" s="94"/>
    </row>
    <row r="448">
      <c r="A448" s="107">
        <v>101133.0</v>
      </c>
      <c r="B448" s="108" t="s">
        <v>92</v>
      </c>
      <c r="C448" s="108" t="s">
        <v>312</v>
      </c>
      <c r="D448" s="100" t="str">
        <f t="shared" si="1"/>
        <v/>
      </c>
      <c r="E448" s="100" t="str">
        <f t="shared" si="2"/>
        <v/>
      </c>
      <c r="F448" s="100" t="str">
        <f t="shared" si="3"/>
        <v/>
      </c>
      <c r="G448" s="151"/>
      <c r="H448" s="160"/>
      <c r="I448" s="157"/>
      <c r="J448" s="161"/>
      <c r="L448" s="94"/>
      <c r="M448" s="159"/>
      <c r="N448" s="94"/>
    </row>
    <row r="449">
      <c r="A449" s="107">
        <v>101133.0</v>
      </c>
      <c r="B449" s="108" t="s">
        <v>190</v>
      </c>
      <c r="C449" s="108" t="s">
        <v>312</v>
      </c>
      <c r="D449" s="100" t="str">
        <f t="shared" si="1"/>
        <v/>
      </c>
      <c r="E449" s="100" t="str">
        <f t="shared" si="2"/>
        <v/>
      </c>
      <c r="F449" s="100" t="str">
        <f t="shared" si="3"/>
        <v/>
      </c>
      <c r="G449" s="151"/>
      <c r="H449" s="156"/>
      <c r="I449" s="157"/>
      <c r="J449" s="158"/>
      <c r="L449" s="94"/>
      <c r="M449" s="159"/>
      <c r="N449" s="94"/>
    </row>
    <row r="450">
      <c r="A450" s="107">
        <v>101133.0</v>
      </c>
      <c r="B450" s="108" t="s">
        <v>191</v>
      </c>
      <c r="C450" s="108" t="s">
        <v>312</v>
      </c>
      <c r="D450" s="100" t="str">
        <f t="shared" si="1"/>
        <v/>
      </c>
      <c r="E450" s="100" t="str">
        <f t="shared" si="2"/>
        <v/>
      </c>
      <c r="F450" s="100" t="str">
        <f t="shared" si="3"/>
        <v/>
      </c>
      <c r="G450" s="151"/>
      <c r="H450" s="160"/>
      <c r="I450" s="157"/>
      <c r="J450" s="161"/>
      <c r="L450" s="94"/>
      <c r="M450" s="159"/>
      <c r="N450" s="94"/>
    </row>
    <row r="451">
      <c r="A451" s="107">
        <v>101133.0</v>
      </c>
      <c r="B451" s="108" t="s">
        <v>192</v>
      </c>
      <c r="C451" s="108" t="s">
        <v>312</v>
      </c>
      <c r="D451" s="100" t="str">
        <f t="shared" si="1"/>
        <v/>
      </c>
      <c r="E451" s="100" t="str">
        <f t="shared" si="2"/>
        <v/>
      </c>
      <c r="F451" s="100" t="str">
        <f t="shared" si="3"/>
        <v/>
      </c>
      <c r="G451" s="151"/>
      <c r="H451" s="156"/>
      <c r="I451" s="157"/>
      <c r="J451" s="158"/>
      <c r="L451" s="94"/>
      <c r="M451" s="159"/>
      <c r="N451" s="94"/>
    </row>
    <row r="452">
      <c r="A452" s="107">
        <v>101133.0</v>
      </c>
      <c r="B452" s="108" t="s">
        <v>193</v>
      </c>
      <c r="C452" s="108" t="s">
        <v>312</v>
      </c>
      <c r="D452" s="100" t="str">
        <f t="shared" si="1"/>
        <v/>
      </c>
      <c r="E452" s="100" t="str">
        <f t="shared" si="2"/>
        <v/>
      </c>
      <c r="F452" s="100" t="str">
        <f t="shared" si="3"/>
        <v/>
      </c>
      <c r="G452" s="151"/>
      <c r="H452" s="160"/>
      <c r="I452" s="157"/>
      <c r="J452" s="161"/>
      <c r="L452" s="94"/>
      <c r="M452" s="159"/>
      <c r="N452" s="94"/>
    </row>
    <row r="453">
      <c r="A453" s="107">
        <v>101135.0</v>
      </c>
      <c r="B453" s="108" t="s">
        <v>85</v>
      </c>
      <c r="C453" s="108" t="s">
        <v>313</v>
      </c>
      <c r="D453" s="100" t="str">
        <f t="shared" si="1"/>
        <v/>
      </c>
      <c r="E453" s="100" t="str">
        <f t="shared" si="2"/>
        <v/>
      </c>
      <c r="F453" s="100" t="str">
        <f t="shared" si="3"/>
        <v/>
      </c>
      <c r="G453" s="151"/>
      <c r="H453" s="156"/>
      <c r="I453" s="157"/>
      <c r="J453" s="158"/>
      <c r="L453" s="94"/>
      <c r="M453" s="159"/>
      <c r="N453" s="94"/>
    </row>
    <row r="454">
      <c r="A454" s="107">
        <v>101135.0</v>
      </c>
      <c r="B454" s="108" t="s">
        <v>90</v>
      </c>
      <c r="C454" s="108" t="s">
        <v>313</v>
      </c>
      <c r="D454" s="100" t="str">
        <f t="shared" si="1"/>
        <v/>
      </c>
      <c r="E454" s="100" t="str">
        <f t="shared" si="2"/>
        <v/>
      </c>
      <c r="F454" s="100" t="str">
        <f t="shared" si="3"/>
        <v/>
      </c>
      <c r="G454" s="151"/>
      <c r="H454" s="160"/>
      <c r="I454" s="157"/>
      <c r="J454" s="161"/>
      <c r="L454" s="94"/>
      <c r="M454" s="159"/>
      <c r="N454" s="94"/>
    </row>
    <row r="455">
      <c r="A455" s="107">
        <v>101135.0</v>
      </c>
      <c r="B455" s="108" t="s">
        <v>92</v>
      </c>
      <c r="C455" s="108" t="s">
        <v>313</v>
      </c>
      <c r="D455" s="100" t="str">
        <f t="shared" si="1"/>
        <v/>
      </c>
      <c r="E455" s="100" t="str">
        <f t="shared" si="2"/>
        <v/>
      </c>
      <c r="F455" s="100" t="str">
        <f t="shared" si="3"/>
        <v/>
      </c>
      <c r="G455" s="151"/>
      <c r="H455" s="156"/>
      <c r="I455" s="157"/>
      <c r="J455" s="158"/>
      <c r="L455" s="94"/>
      <c r="M455" s="159"/>
      <c r="N455" s="94"/>
    </row>
    <row r="456">
      <c r="A456" s="107">
        <v>101135.0</v>
      </c>
      <c r="B456" s="108" t="s">
        <v>190</v>
      </c>
      <c r="C456" s="108" t="s">
        <v>313</v>
      </c>
      <c r="D456" s="100" t="str">
        <f t="shared" si="1"/>
        <v/>
      </c>
      <c r="E456" s="100" t="str">
        <f t="shared" si="2"/>
        <v/>
      </c>
      <c r="F456" s="100" t="str">
        <f t="shared" si="3"/>
        <v/>
      </c>
      <c r="G456" s="151"/>
      <c r="H456" s="160"/>
      <c r="I456" s="157"/>
      <c r="J456" s="161"/>
      <c r="L456" s="94"/>
      <c r="M456" s="159"/>
      <c r="N456" s="94"/>
    </row>
    <row r="457">
      <c r="A457" s="107">
        <v>101138.0</v>
      </c>
      <c r="B457" s="108" t="s">
        <v>85</v>
      </c>
      <c r="C457" s="108" t="s">
        <v>314</v>
      </c>
      <c r="D457" s="100" t="str">
        <f t="shared" si="1"/>
        <v/>
      </c>
      <c r="E457" s="100" t="str">
        <f t="shared" si="2"/>
        <v/>
      </c>
      <c r="F457" s="100" t="str">
        <f t="shared" si="3"/>
        <v/>
      </c>
      <c r="G457" s="151"/>
      <c r="H457" s="156"/>
      <c r="I457" s="157"/>
      <c r="J457" s="158"/>
      <c r="L457" s="94"/>
      <c r="M457" s="159"/>
      <c r="N457" s="94"/>
    </row>
    <row r="458">
      <c r="A458" s="107">
        <v>101138.0</v>
      </c>
      <c r="B458" s="108" t="s">
        <v>90</v>
      </c>
      <c r="C458" s="108" t="s">
        <v>314</v>
      </c>
      <c r="D458" s="100" t="str">
        <f t="shared" si="1"/>
        <v/>
      </c>
      <c r="E458" s="100" t="str">
        <f t="shared" si="2"/>
        <v/>
      </c>
      <c r="F458" s="100" t="str">
        <f t="shared" si="3"/>
        <v/>
      </c>
      <c r="G458" s="151"/>
      <c r="H458" s="160"/>
      <c r="I458" s="157"/>
      <c r="J458" s="161"/>
      <c r="L458" s="94"/>
      <c r="M458" s="159"/>
      <c r="N458" s="94"/>
    </row>
    <row r="459">
      <c r="A459" s="107">
        <v>101138.0</v>
      </c>
      <c r="B459" s="108" t="s">
        <v>92</v>
      </c>
      <c r="C459" s="108" t="s">
        <v>314</v>
      </c>
      <c r="D459" s="100" t="str">
        <f t="shared" si="1"/>
        <v/>
      </c>
      <c r="E459" s="100" t="str">
        <f t="shared" si="2"/>
        <v/>
      </c>
      <c r="F459" s="100" t="str">
        <f t="shared" si="3"/>
        <v/>
      </c>
      <c r="G459" s="151"/>
      <c r="H459" s="156"/>
      <c r="I459" s="157"/>
      <c r="J459" s="158"/>
      <c r="L459" s="94"/>
      <c r="M459" s="159"/>
      <c r="N459" s="94"/>
    </row>
    <row r="460">
      <c r="A460" s="107">
        <v>101138.0</v>
      </c>
      <c r="B460" s="108" t="s">
        <v>190</v>
      </c>
      <c r="C460" s="108" t="s">
        <v>314</v>
      </c>
      <c r="D460" s="100" t="str">
        <f t="shared" si="1"/>
        <v/>
      </c>
      <c r="E460" s="100" t="str">
        <f t="shared" si="2"/>
        <v/>
      </c>
      <c r="F460" s="100" t="str">
        <f t="shared" si="3"/>
        <v/>
      </c>
      <c r="G460" s="151"/>
      <c r="H460" s="160"/>
      <c r="I460" s="157"/>
      <c r="J460" s="161"/>
      <c r="L460" s="94"/>
      <c r="M460" s="159"/>
      <c r="N460" s="94"/>
    </row>
    <row r="461">
      <c r="A461" s="107">
        <v>101139.0</v>
      </c>
      <c r="B461" s="108" t="s">
        <v>85</v>
      </c>
      <c r="C461" s="108" t="s">
        <v>315</v>
      </c>
      <c r="D461" s="100" t="str">
        <f t="shared" si="1"/>
        <v/>
      </c>
      <c r="E461" s="100" t="str">
        <f t="shared" si="2"/>
        <v/>
      </c>
      <c r="F461" s="100" t="str">
        <f t="shared" si="3"/>
        <v/>
      </c>
      <c r="G461" s="151"/>
      <c r="H461" s="156"/>
      <c r="I461" s="157"/>
      <c r="J461" s="158"/>
      <c r="L461" s="94"/>
      <c r="M461" s="159"/>
      <c r="N461" s="94"/>
    </row>
    <row r="462">
      <c r="A462" s="107">
        <v>101139.0</v>
      </c>
      <c r="B462" s="108" t="s">
        <v>90</v>
      </c>
      <c r="C462" s="108" t="s">
        <v>315</v>
      </c>
      <c r="D462" s="100" t="str">
        <f t="shared" si="1"/>
        <v/>
      </c>
      <c r="E462" s="100" t="str">
        <f t="shared" si="2"/>
        <v/>
      </c>
      <c r="F462" s="100" t="str">
        <f t="shared" si="3"/>
        <v/>
      </c>
      <c r="G462" s="151"/>
      <c r="H462" s="160"/>
      <c r="I462" s="157"/>
      <c r="J462" s="161"/>
      <c r="L462" s="94"/>
      <c r="M462" s="159"/>
      <c r="N462" s="94"/>
    </row>
    <row r="463">
      <c r="A463" s="107">
        <v>101139.0</v>
      </c>
      <c r="B463" s="108" t="s">
        <v>92</v>
      </c>
      <c r="C463" s="108" t="s">
        <v>315</v>
      </c>
      <c r="D463" s="100" t="str">
        <f t="shared" si="1"/>
        <v/>
      </c>
      <c r="E463" s="100" t="str">
        <f t="shared" si="2"/>
        <v/>
      </c>
      <c r="F463" s="100" t="str">
        <f t="shared" si="3"/>
        <v/>
      </c>
      <c r="G463" s="151"/>
      <c r="H463" s="156"/>
      <c r="I463" s="157"/>
      <c r="J463" s="158"/>
      <c r="L463" s="94"/>
      <c r="M463" s="159"/>
      <c r="N463" s="94"/>
    </row>
    <row r="464">
      <c r="A464" s="107">
        <v>101139.0</v>
      </c>
      <c r="B464" s="108" t="s">
        <v>190</v>
      </c>
      <c r="C464" s="108" t="s">
        <v>315</v>
      </c>
      <c r="D464" s="100" t="str">
        <f t="shared" si="1"/>
        <v/>
      </c>
      <c r="E464" s="100" t="str">
        <f t="shared" si="2"/>
        <v/>
      </c>
      <c r="F464" s="100" t="str">
        <f t="shared" si="3"/>
        <v/>
      </c>
      <c r="G464" s="151"/>
      <c r="H464" s="160"/>
      <c r="I464" s="157"/>
      <c r="J464" s="161"/>
      <c r="L464" s="94"/>
      <c r="M464" s="159"/>
      <c r="N464" s="94"/>
    </row>
    <row r="465">
      <c r="A465" s="107">
        <v>101139.0</v>
      </c>
      <c r="B465" s="108" t="s">
        <v>191</v>
      </c>
      <c r="C465" s="108" t="s">
        <v>315</v>
      </c>
      <c r="D465" s="100" t="str">
        <f t="shared" si="1"/>
        <v/>
      </c>
      <c r="E465" s="100" t="str">
        <f t="shared" si="2"/>
        <v/>
      </c>
      <c r="F465" s="100" t="str">
        <f t="shared" si="3"/>
        <v/>
      </c>
      <c r="G465" s="151"/>
      <c r="H465" s="156"/>
      <c r="I465" s="157"/>
      <c r="J465" s="158"/>
      <c r="L465" s="94"/>
      <c r="M465" s="159"/>
      <c r="N465" s="94"/>
    </row>
    <row r="466">
      <c r="A466" s="107">
        <v>101139.0</v>
      </c>
      <c r="B466" s="108" t="s">
        <v>192</v>
      </c>
      <c r="C466" s="108" t="s">
        <v>315</v>
      </c>
      <c r="D466" s="100" t="str">
        <f t="shared" si="1"/>
        <v/>
      </c>
      <c r="E466" s="100" t="str">
        <f t="shared" si="2"/>
        <v/>
      </c>
      <c r="F466" s="100" t="str">
        <f t="shared" si="3"/>
        <v/>
      </c>
      <c r="G466" s="151"/>
      <c r="H466" s="160"/>
      <c r="I466" s="157"/>
      <c r="J466" s="161"/>
      <c r="L466" s="94"/>
      <c r="M466" s="159"/>
      <c r="N466" s="94"/>
    </row>
    <row r="467">
      <c r="A467" s="107">
        <v>101139.0</v>
      </c>
      <c r="B467" s="108" t="s">
        <v>193</v>
      </c>
      <c r="C467" s="108" t="s">
        <v>315</v>
      </c>
      <c r="D467" s="100" t="str">
        <f t="shared" si="1"/>
        <v/>
      </c>
      <c r="E467" s="100" t="str">
        <f t="shared" si="2"/>
        <v/>
      </c>
      <c r="F467" s="100" t="str">
        <f t="shared" si="3"/>
        <v/>
      </c>
      <c r="G467" s="151"/>
      <c r="H467" s="156"/>
      <c r="I467" s="157"/>
      <c r="J467" s="158"/>
      <c r="L467" s="94"/>
      <c r="M467" s="159"/>
      <c r="N467" s="94"/>
    </row>
    <row r="468">
      <c r="A468" s="107">
        <v>101139.0</v>
      </c>
      <c r="B468" s="108" t="s">
        <v>215</v>
      </c>
      <c r="C468" s="108" t="s">
        <v>315</v>
      </c>
      <c r="D468" s="100" t="str">
        <f t="shared" si="1"/>
        <v/>
      </c>
      <c r="E468" s="100" t="str">
        <f t="shared" si="2"/>
        <v/>
      </c>
      <c r="F468" s="100" t="str">
        <f t="shared" si="3"/>
        <v/>
      </c>
      <c r="G468" s="151"/>
      <c r="H468" s="160"/>
      <c r="I468" s="157"/>
      <c r="J468" s="161"/>
      <c r="L468" s="94"/>
      <c r="M468" s="159"/>
      <c r="N468" s="94"/>
    </row>
    <row r="469">
      <c r="A469" s="107">
        <v>101141.0</v>
      </c>
      <c r="B469" s="108" t="s">
        <v>85</v>
      </c>
      <c r="C469" s="108" t="s">
        <v>316</v>
      </c>
      <c r="D469" s="100" t="str">
        <f t="shared" si="1"/>
        <v/>
      </c>
      <c r="E469" s="100" t="str">
        <f t="shared" si="2"/>
        <v/>
      </c>
      <c r="F469" s="100" t="str">
        <f t="shared" si="3"/>
        <v/>
      </c>
      <c r="G469" s="151"/>
      <c r="H469" s="156"/>
      <c r="I469" s="157"/>
      <c r="J469" s="158"/>
      <c r="L469" s="94"/>
      <c r="M469" s="159"/>
      <c r="N469" s="94"/>
    </row>
    <row r="470">
      <c r="A470" s="107">
        <v>101141.0</v>
      </c>
      <c r="B470" s="108" t="s">
        <v>90</v>
      </c>
      <c r="C470" s="108" t="s">
        <v>316</v>
      </c>
      <c r="D470" s="100" t="str">
        <f t="shared" si="1"/>
        <v/>
      </c>
      <c r="E470" s="100" t="str">
        <f t="shared" si="2"/>
        <v/>
      </c>
      <c r="F470" s="100" t="str">
        <f t="shared" si="3"/>
        <v/>
      </c>
      <c r="G470" s="151"/>
      <c r="H470" s="160"/>
      <c r="I470" s="157"/>
      <c r="J470" s="161"/>
      <c r="L470" s="94"/>
      <c r="M470" s="159"/>
      <c r="N470" s="94"/>
    </row>
    <row r="471">
      <c r="A471" s="107">
        <v>101141.0</v>
      </c>
      <c r="B471" s="108" t="s">
        <v>92</v>
      </c>
      <c r="C471" s="108" t="s">
        <v>316</v>
      </c>
      <c r="D471" s="100" t="str">
        <f t="shared" si="1"/>
        <v/>
      </c>
      <c r="E471" s="100" t="str">
        <f t="shared" si="2"/>
        <v/>
      </c>
      <c r="F471" s="100" t="str">
        <f t="shared" si="3"/>
        <v/>
      </c>
      <c r="G471" s="151"/>
      <c r="H471" s="156"/>
      <c r="I471" s="157"/>
      <c r="J471" s="158"/>
      <c r="L471" s="94"/>
      <c r="M471" s="159"/>
      <c r="N471" s="94"/>
    </row>
    <row r="472">
      <c r="A472" s="107">
        <v>101141.0</v>
      </c>
      <c r="B472" s="108" t="s">
        <v>190</v>
      </c>
      <c r="C472" s="108" t="s">
        <v>316</v>
      </c>
      <c r="D472" s="100" t="str">
        <f t="shared" si="1"/>
        <v/>
      </c>
      <c r="E472" s="100" t="str">
        <f t="shared" si="2"/>
        <v/>
      </c>
      <c r="F472" s="100" t="str">
        <f t="shared" si="3"/>
        <v/>
      </c>
      <c r="G472" s="151"/>
      <c r="H472" s="160"/>
      <c r="I472" s="157"/>
      <c r="J472" s="161"/>
      <c r="L472" s="94"/>
      <c r="M472" s="159"/>
      <c r="N472" s="94"/>
    </row>
    <row r="473">
      <c r="A473" s="107">
        <v>101141.0</v>
      </c>
      <c r="B473" s="108" t="s">
        <v>191</v>
      </c>
      <c r="C473" s="108" t="s">
        <v>316</v>
      </c>
      <c r="D473" s="100" t="str">
        <f t="shared" si="1"/>
        <v/>
      </c>
      <c r="E473" s="100" t="str">
        <f t="shared" si="2"/>
        <v/>
      </c>
      <c r="F473" s="100" t="str">
        <f t="shared" si="3"/>
        <v/>
      </c>
      <c r="G473" s="151"/>
      <c r="H473" s="156"/>
      <c r="I473" s="157"/>
      <c r="J473" s="158"/>
      <c r="L473" s="94"/>
      <c r="M473" s="159"/>
      <c r="N473" s="94"/>
    </row>
    <row r="474">
      <c r="A474" s="107">
        <v>101141.0</v>
      </c>
      <c r="B474" s="108" t="s">
        <v>192</v>
      </c>
      <c r="C474" s="108" t="s">
        <v>316</v>
      </c>
      <c r="D474" s="100" t="str">
        <f t="shared" si="1"/>
        <v/>
      </c>
      <c r="E474" s="100" t="str">
        <f t="shared" si="2"/>
        <v/>
      </c>
      <c r="F474" s="100" t="str">
        <f t="shared" si="3"/>
        <v/>
      </c>
      <c r="G474" s="151"/>
      <c r="H474" s="160"/>
      <c r="I474" s="157"/>
      <c r="J474" s="161"/>
      <c r="L474" s="94"/>
      <c r="M474" s="159"/>
      <c r="N474" s="94"/>
    </row>
    <row r="475">
      <c r="A475" s="107">
        <v>101141.0</v>
      </c>
      <c r="B475" s="108" t="s">
        <v>193</v>
      </c>
      <c r="C475" s="108" t="s">
        <v>316</v>
      </c>
      <c r="D475" s="100" t="str">
        <f t="shared" si="1"/>
        <v/>
      </c>
      <c r="E475" s="100" t="str">
        <f t="shared" si="2"/>
        <v/>
      </c>
      <c r="F475" s="100" t="str">
        <f t="shared" si="3"/>
        <v/>
      </c>
      <c r="G475" s="151"/>
      <c r="H475" s="156"/>
      <c r="I475" s="157"/>
      <c r="J475" s="158"/>
      <c r="L475" s="94"/>
      <c r="M475" s="159"/>
      <c r="N475" s="94"/>
    </row>
    <row r="476">
      <c r="A476" s="107">
        <v>101141.0</v>
      </c>
      <c r="B476" s="108" t="s">
        <v>243</v>
      </c>
      <c r="C476" s="108" t="s">
        <v>316</v>
      </c>
      <c r="D476" s="100" t="str">
        <f t="shared" si="1"/>
        <v/>
      </c>
      <c r="E476" s="100" t="str">
        <f t="shared" si="2"/>
        <v/>
      </c>
      <c r="F476" s="100" t="str">
        <f t="shared" si="3"/>
        <v/>
      </c>
      <c r="G476" s="151"/>
      <c r="H476" s="160"/>
      <c r="I476" s="157"/>
      <c r="J476" s="161"/>
      <c r="L476" s="94"/>
      <c r="M476" s="159"/>
      <c r="N476" s="94"/>
    </row>
    <row r="477">
      <c r="A477" s="107">
        <v>101142.0</v>
      </c>
      <c r="B477" s="108" t="s">
        <v>85</v>
      </c>
      <c r="C477" s="108" t="s">
        <v>317</v>
      </c>
      <c r="D477" s="100" t="str">
        <f t="shared" si="1"/>
        <v/>
      </c>
      <c r="E477" s="100" t="str">
        <f t="shared" si="2"/>
        <v/>
      </c>
      <c r="F477" s="100" t="str">
        <f t="shared" si="3"/>
        <v/>
      </c>
      <c r="G477" s="151"/>
      <c r="H477" s="156"/>
      <c r="I477" s="157"/>
      <c r="J477" s="158"/>
      <c r="L477" s="94"/>
      <c r="M477" s="159"/>
      <c r="N477" s="94"/>
    </row>
    <row r="478">
      <c r="A478" s="107">
        <v>101142.0</v>
      </c>
      <c r="B478" s="108" t="s">
        <v>90</v>
      </c>
      <c r="C478" s="108" t="s">
        <v>317</v>
      </c>
      <c r="D478" s="100" t="str">
        <f t="shared" si="1"/>
        <v/>
      </c>
      <c r="E478" s="100" t="str">
        <f t="shared" si="2"/>
        <v/>
      </c>
      <c r="F478" s="100" t="str">
        <f t="shared" si="3"/>
        <v/>
      </c>
      <c r="G478" s="151"/>
      <c r="H478" s="160"/>
      <c r="I478" s="157"/>
      <c r="J478" s="161"/>
      <c r="L478" s="94"/>
      <c r="M478" s="159"/>
      <c r="N478" s="94"/>
    </row>
    <row r="479">
      <c r="A479" s="107">
        <v>101145.0</v>
      </c>
      <c r="B479" s="108" t="s">
        <v>85</v>
      </c>
      <c r="C479" s="108" t="s">
        <v>318</v>
      </c>
      <c r="D479" s="100" t="str">
        <f t="shared" si="1"/>
        <v/>
      </c>
      <c r="E479" s="100" t="str">
        <f t="shared" si="2"/>
        <v/>
      </c>
      <c r="F479" s="100" t="str">
        <f t="shared" si="3"/>
        <v/>
      </c>
      <c r="G479" s="151"/>
      <c r="H479" s="156"/>
      <c r="I479" s="157"/>
      <c r="J479" s="158"/>
      <c r="L479" s="94"/>
      <c r="M479" s="159"/>
      <c r="N479" s="94"/>
    </row>
    <row r="480">
      <c r="A480" s="107">
        <v>101145.0</v>
      </c>
      <c r="B480" s="108" t="s">
        <v>90</v>
      </c>
      <c r="C480" s="108" t="s">
        <v>318</v>
      </c>
      <c r="D480" s="100" t="str">
        <f t="shared" si="1"/>
        <v/>
      </c>
      <c r="E480" s="100" t="str">
        <f t="shared" si="2"/>
        <v/>
      </c>
      <c r="F480" s="100" t="str">
        <f t="shared" si="3"/>
        <v/>
      </c>
      <c r="G480" s="151"/>
      <c r="H480" s="160"/>
      <c r="I480" s="157"/>
      <c r="J480" s="161"/>
      <c r="L480" s="94"/>
      <c r="M480" s="159"/>
      <c r="N480" s="94"/>
    </row>
    <row r="481">
      <c r="A481" s="107">
        <v>101145.0</v>
      </c>
      <c r="B481" s="108" t="s">
        <v>92</v>
      </c>
      <c r="C481" s="108" t="s">
        <v>318</v>
      </c>
      <c r="D481" s="100" t="str">
        <f t="shared" si="1"/>
        <v/>
      </c>
      <c r="E481" s="100" t="str">
        <f t="shared" si="2"/>
        <v/>
      </c>
      <c r="F481" s="100" t="str">
        <f t="shared" si="3"/>
        <v/>
      </c>
      <c r="G481" s="151"/>
      <c r="H481" s="156"/>
      <c r="I481" s="157"/>
      <c r="J481" s="158"/>
      <c r="L481" s="94"/>
      <c r="M481" s="159"/>
      <c r="N481" s="94"/>
    </row>
    <row r="482">
      <c r="A482" s="107">
        <v>101145.0</v>
      </c>
      <c r="B482" s="108" t="s">
        <v>190</v>
      </c>
      <c r="C482" s="108" t="s">
        <v>318</v>
      </c>
      <c r="D482" s="100" t="str">
        <f t="shared" si="1"/>
        <v/>
      </c>
      <c r="E482" s="100" t="str">
        <f t="shared" si="2"/>
        <v/>
      </c>
      <c r="F482" s="100" t="str">
        <f t="shared" si="3"/>
        <v/>
      </c>
      <c r="G482" s="151"/>
      <c r="H482" s="160"/>
      <c r="I482" s="157"/>
      <c r="J482" s="161"/>
      <c r="L482" s="94"/>
      <c r="M482" s="159"/>
      <c r="N482" s="94"/>
    </row>
    <row r="483">
      <c r="A483" s="107">
        <v>101150.0</v>
      </c>
      <c r="B483" s="108" t="s">
        <v>85</v>
      </c>
      <c r="C483" s="108" t="s">
        <v>319</v>
      </c>
      <c r="D483" s="100" t="str">
        <f t="shared" si="1"/>
        <v/>
      </c>
      <c r="E483" s="100" t="str">
        <f t="shared" si="2"/>
        <v/>
      </c>
      <c r="F483" s="100" t="str">
        <f t="shared" si="3"/>
        <v/>
      </c>
      <c r="G483" s="151"/>
      <c r="H483" s="156"/>
      <c r="I483" s="157"/>
      <c r="J483" s="158"/>
      <c r="L483" s="94"/>
      <c r="M483" s="159"/>
      <c r="N483" s="94"/>
    </row>
    <row r="484">
      <c r="A484" s="107">
        <v>101150.0</v>
      </c>
      <c r="B484" s="108" t="s">
        <v>90</v>
      </c>
      <c r="C484" s="108" t="s">
        <v>319</v>
      </c>
      <c r="D484" s="100" t="str">
        <f t="shared" si="1"/>
        <v/>
      </c>
      <c r="E484" s="100" t="str">
        <f t="shared" si="2"/>
        <v/>
      </c>
      <c r="F484" s="100" t="str">
        <f t="shared" si="3"/>
        <v/>
      </c>
      <c r="G484" s="151"/>
      <c r="H484" s="160"/>
      <c r="I484" s="157"/>
      <c r="J484" s="161"/>
      <c r="L484" s="94"/>
      <c r="M484" s="159"/>
      <c r="N484" s="94"/>
    </row>
    <row r="485">
      <c r="A485" s="107">
        <v>101150.0</v>
      </c>
      <c r="B485" s="108" t="s">
        <v>92</v>
      </c>
      <c r="C485" s="108" t="s">
        <v>319</v>
      </c>
      <c r="D485" s="100" t="str">
        <f t="shared" si="1"/>
        <v/>
      </c>
      <c r="E485" s="100" t="str">
        <f t="shared" si="2"/>
        <v/>
      </c>
      <c r="F485" s="100" t="str">
        <f t="shared" si="3"/>
        <v/>
      </c>
      <c r="G485" s="151"/>
      <c r="H485" s="156"/>
      <c r="I485" s="157"/>
      <c r="J485" s="158"/>
      <c r="L485" s="94"/>
      <c r="M485" s="159"/>
      <c r="N485" s="94"/>
    </row>
    <row r="486">
      <c r="A486" s="107">
        <v>101150.0</v>
      </c>
      <c r="B486" s="108" t="s">
        <v>190</v>
      </c>
      <c r="C486" s="108" t="s">
        <v>319</v>
      </c>
      <c r="D486" s="100" t="str">
        <f t="shared" si="1"/>
        <v/>
      </c>
      <c r="E486" s="100" t="str">
        <f t="shared" si="2"/>
        <v/>
      </c>
      <c r="F486" s="100" t="str">
        <f t="shared" si="3"/>
        <v/>
      </c>
      <c r="G486" s="151"/>
      <c r="H486" s="160"/>
      <c r="I486" s="157"/>
      <c r="J486" s="161"/>
      <c r="L486" s="94"/>
      <c r="M486" s="159"/>
      <c r="N486" s="94"/>
    </row>
    <row r="487">
      <c r="A487" s="107">
        <v>101150.0</v>
      </c>
      <c r="B487" s="108" t="s">
        <v>191</v>
      </c>
      <c r="C487" s="108" t="s">
        <v>319</v>
      </c>
      <c r="D487" s="100" t="str">
        <f t="shared" si="1"/>
        <v/>
      </c>
      <c r="E487" s="100" t="str">
        <f t="shared" si="2"/>
        <v/>
      </c>
      <c r="F487" s="100" t="str">
        <f t="shared" si="3"/>
        <v/>
      </c>
      <c r="G487" s="151"/>
      <c r="H487" s="156"/>
      <c r="I487" s="157"/>
      <c r="J487" s="158"/>
      <c r="L487" s="94"/>
      <c r="M487" s="159"/>
      <c r="N487" s="94"/>
    </row>
    <row r="488">
      <c r="A488" s="107">
        <v>101150.0</v>
      </c>
      <c r="B488" s="108" t="s">
        <v>192</v>
      </c>
      <c r="C488" s="108" t="s">
        <v>319</v>
      </c>
      <c r="D488" s="100" t="str">
        <f t="shared" si="1"/>
        <v/>
      </c>
      <c r="E488" s="100" t="str">
        <f t="shared" si="2"/>
        <v/>
      </c>
      <c r="F488" s="100" t="str">
        <f t="shared" si="3"/>
        <v/>
      </c>
      <c r="G488" s="151"/>
      <c r="H488" s="160"/>
      <c r="I488" s="157"/>
      <c r="J488" s="161"/>
      <c r="L488" s="94"/>
      <c r="M488" s="159"/>
      <c r="N488" s="94"/>
    </row>
    <row r="489">
      <c r="A489" s="107">
        <v>101150.0</v>
      </c>
      <c r="B489" s="108" t="s">
        <v>193</v>
      </c>
      <c r="C489" s="108" t="s">
        <v>319</v>
      </c>
      <c r="D489" s="100" t="str">
        <f t="shared" si="1"/>
        <v/>
      </c>
      <c r="E489" s="100" t="str">
        <f t="shared" si="2"/>
        <v/>
      </c>
      <c r="F489" s="100" t="str">
        <f t="shared" si="3"/>
        <v/>
      </c>
      <c r="G489" s="151"/>
      <c r="H489" s="156"/>
      <c r="I489" s="157"/>
      <c r="J489" s="158"/>
      <c r="L489" s="94"/>
      <c r="M489" s="159"/>
      <c r="N489" s="94"/>
    </row>
    <row r="490">
      <c r="A490" s="107">
        <v>101150.0</v>
      </c>
      <c r="B490" s="108" t="s">
        <v>243</v>
      </c>
      <c r="C490" s="108" t="s">
        <v>319</v>
      </c>
      <c r="D490" s="100" t="str">
        <f t="shared" si="1"/>
        <v/>
      </c>
      <c r="E490" s="100" t="str">
        <f t="shared" si="2"/>
        <v/>
      </c>
      <c r="F490" s="100" t="str">
        <f t="shared" si="3"/>
        <v/>
      </c>
      <c r="G490" s="151"/>
      <c r="H490" s="160"/>
      <c r="I490" s="157"/>
      <c r="J490" s="161"/>
      <c r="L490" s="94"/>
      <c r="M490" s="159"/>
      <c r="N490" s="94"/>
    </row>
    <row r="491">
      <c r="A491" s="107">
        <v>101150.0</v>
      </c>
      <c r="B491" s="108" t="s">
        <v>215</v>
      </c>
      <c r="C491" s="108" t="s">
        <v>319</v>
      </c>
      <c r="D491" s="100" t="str">
        <f t="shared" si="1"/>
        <v/>
      </c>
      <c r="E491" s="100" t="str">
        <f t="shared" si="2"/>
        <v/>
      </c>
      <c r="F491" s="100" t="str">
        <f t="shared" si="3"/>
        <v/>
      </c>
      <c r="G491" s="151"/>
      <c r="H491" s="156"/>
      <c r="I491" s="157"/>
      <c r="J491" s="158"/>
      <c r="L491" s="94"/>
      <c r="M491" s="159"/>
      <c r="N491" s="94"/>
    </row>
    <row r="492">
      <c r="A492" s="107">
        <v>101154.0</v>
      </c>
      <c r="B492" s="108" t="s">
        <v>85</v>
      </c>
      <c r="C492" s="108" t="s">
        <v>320</v>
      </c>
      <c r="D492" s="100" t="str">
        <f t="shared" si="1"/>
        <v/>
      </c>
      <c r="E492" s="100" t="str">
        <f t="shared" si="2"/>
        <v/>
      </c>
      <c r="F492" s="100" t="str">
        <f t="shared" si="3"/>
        <v/>
      </c>
      <c r="G492" s="151"/>
      <c r="H492" s="160"/>
      <c r="I492" s="157"/>
      <c r="J492" s="161"/>
      <c r="L492" s="94"/>
      <c r="M492" s="159"/>
      <c r="N492" s="94"/>
    </row>
    <row r="493">
      <c r="A493" s="107">
        <v>101155.0</v>
      </c>
      <c r="B493" s="108" t="s">
        <v>85</v>
      </c>
      <c r="C493" s="108" t="s">
        <v>321</v>
      </c>
      <c r="D493" s="100" t="str">
        <f t="shared" si="1"/>
        <v/>
      </c>
      <c r="E493" s="100" t="str">
        <f t="shared" si="2"/>
        <v/>
      </c>
      <c r="F493" s="100" t="str">
        <f t="shared" si="3"/>
        <v/>
      </c>
      <c r="G493" s="151"/>
      <c r="H493" s="156"/>
      <c r="I493" s="157"/>
      <c r="J493" s="158"/>
      <c r="L493" s="94"/>
      <c r="M493" s="159"/>
      <c r="N493" s="94"/>
    </row>
    <row r="494">
      <c r="A494" s="107">
        <v>101161.0</v>
      </c>
      <c r="B494" s="108" t="s">
        <v>85</v>
      </c>
      <c r="C494" s="108" t="s">
        <v>322</v>
      </c>
      <c r="D494" s="100" t="str">
        <f t="shared" si="1"/>
        <v/>
      </c>
      <c r="E494" s="100" t="str">
        <f t="shared" si="2"/>
        <v/>
      </c>
      <c r="F494" s="100" t="str">
        <f t="shared" si="3"/>
        <v/>
      </c>
      <c r="G494" s="151"/>
      <c r="H494" s="160"/>
      <c r="I494" s="157"/>
      <c r="J494" s="161"/>
      <c r="L494" s="94"/>
      <c r="M494" s="159"/>
      <c r="N494" s="94"/>
    </row>
    <row r="495">
      <c r="A495" s="107">
        <v>101161.0</v>
      </c>
      <c r="B495" s="108" t="s">
        <v>90</v>
      </c>
      <c r="C495" s="108" t="s">
        <v>322</v>
      </c>
      <c r="D495" s="100" t="str">
        <f t="shared" si="1"/>
        <v/>
      </c>
      <c r="E495" s="100" t="str">
        <f t="shared" si="2"/>
        <v/>
      </c>
      <c r="F495" s="100" t="str">
        <f t="shared" si="3"/>
        <v/>
      </c>
      <c r="G495" s="151"/>
      <c r="H495" s="156"/>
      <c r="I495" s="157"/>
      <c r="J495" s="158"/>
      <c r="L495" s="94"/>
      <c r="M495" s="159"/>
      <c r="N495" s="94"/>
    </row>
    <row r="496">
      <c r="A496" s="107">
        <v>101161.0</v>
      </c>
      <c r="B496" s="108" t="s">
        <v>92</v>
      </c>
      <c r="C496" s="108" t="s">
        <v>322</v>
      </c>
      <c r="D496" s="100" t="str">
        <f t="shared" si="1"/>
        <v/>
      </c>
      <c r="E496" s="100" t="str">
        <f t="shared" si="2"/>
        <v/>
      </c>
      <c r="F496" s="100" t="str">
        <f t="shared" si="3"/>
        <v/>
      </c>
      <c r="G496" s="151"/>
      <c r="H496" s="160"/>
      <c r="I496" s="157"/>
      <c r="J496" s="161"/>
      <c r="L496" s="94"/>
      <c r="M496" s="159"/>
      <c r="N496" s="94"/>
    </row>
    <row r="497">
      <c r="A497" s="107">
        <v>101161.0</v>
      </c>
      <c r="B497" s="108" t="s">
        <v>190</v>
      </c>
      <c r="C497" s="108" t="s">
        <v>322</v>
      </c>
      <c r="D497" s="100" t="str">
        <f t="shared" si="1"/>
        <v/>
      </c>
      <c r="E497" s="100" t="str">
        <f t="shared" si="2"/>
        <v/>
      </c>
      <c r="F497" s="100" t="str">
        <f t="shared" si="3"/>
        <v/>
      </c>
      <c r="G497" s="151"/>
      <c r="H497" s="156"/>
      <c r="I497" s="157"/>
      <c r="J497" s="158"/>
      <c r="L497" s="94"/>
      <c r="M497" s="159"/>
      <c r="N497" s="94"/>
    </row>
    <row r="498">
      <c r="A498" s="107">
        <v>101161.0</v>
      </c>
      <c r="B498" s="108" t="s">
        <v>191</v>
      </c>
      <c r="C498" s="108" t="s">
        <v>322</v>
      </c>
      <c r="D498" s="100" t="str">
        <f t="shared" si="1"/>
        <v/>
      </c>
      <c r="E498" s="100" t="str">
        <f t="shared" si="2"/>
        <v/>
      </c>
      <c r="F498" s="100" t="str">
        <f t="shared" si="3"/>
        <v/>
      </c>
      <c r="G498" s="151"/>
      <c r="H498" s="160"/>
      <c r="I498" s="157"/>
      <c r="J498" s="161"/>
      <c r="L498" s="94"/>
      <c r="M498" s="159"/>
      <c r="N498" s="94"/>
    </row>
    <row r="499">
      <c r="A499" s="107">
        <v>101161.0</v>
      </c>
      <c r="B499" s="108" t="s">
        <v>192</v>
      </c>
      <c r="C499" s="108" t="s">
        <v>322</v>
      </c>
      <c r="D499" s="100" t="str">
        <f t="shared" si="1"/>
        <v/>
      </c>
      <c r="E499" s="100" t="str">
        <f t="shared" si="2"/>
        <v/>
      </c>
      <c r="F499" s="100" t="str">
        <f t="shared" si="3"/>
        <v/>
      </c>
      <c r="G499" s="151"/>
      <c r="H499" s="156"/>
      <c r="I499" s="157"/>
      <c r="J499" s="158"/>
      <c r="L499" s="94"/>
      <c r="M499" s="159"/>
      <c r="N499" s="94"/>
    </row>
    <row r="500">
      <c r="A500" s="107">
        <v>101162.0</v>
      </c>
      <c r="B500" s="108" t="s">
        <v>85</v>
      </c>
      <c r="C500" s="108" t="s">
        <v>323</v>
      </c>
      <c r="D500" s="100" t="str">
        <f t="shared" si="1"/>
        <v/>
      </c>
      <c r="E500" s="100" t="str">
        <f t="shared" si="2"/>
        <v/>
      </c>
      <c r="F500" s="100" t="str">
        <f t="shared" si="3"/>
        <v/>
      </c>
      <c r="G500" s="151"/>
      <c r="H500" s="160"/>
      <c r="I500" s="157"/>
      <c r="J500" s="161"/>
      <c r="L500" s="94"/>
      <c r="M500" s="159"/>
      <c r="N500" s="94"/>
    </row>
    <row r="501">
      <c r="A501" s="107">
        <v>101162.0</v>
      </c>
      <c r="B501" s="108" t="s">
        <v>90</v>
      </c>
      <c r="C501" s="108" t="s">
        <v>323</v>
      </c>
      <c r="D501" s="100" t="str">
        <f t="shared" si="1"/>
        <v/>
      </c>
      <c r="E501" s="100" t="str">
        <f t="shared" si="2"/>
        <v/>
      </c>
      <c r="F501" s="100" t="str">
        <f t="shared" si="3"/>
        <v/>
      </c>
      <c r="G501" s="151"/>
      <c r="H501" s="156"/>
      <c r="I501" s="157"/>
      <c r="J501" s="158"/>
      <c r="L501" s="94"/>
      <c r="M501" s="159"/>
      <c r="N501" s="94"/>
    </row>
    <row r="502">
      <c r="A502" s="107">
        <v>101162.0</v>
      </c>
      <c r="B502" s="108" t="s">
        <v>92</v>
      </c>
      <c r="C502" s="108" t="s">
        <v>323</v>
      </c>
      <c r="D502" s="100" t="str">
        <f t="shared" si="1"/>
        <v/>
      </c>
      <c r="E502" s="100" t="str">
        <f t="shared" si="2"/>
        <v/>
      </c>
      <c r="F502" s="100" t="str">
        <f t="shared" si="3"/>
        <v/>
      </c>
      <c r="G502" s="151"/>
      <c r="H502" s="160"/>
      <c r="I502" s="157"/>
      <c r="J502" s="161"/>
      <c r="L502" s="94"/>
      <c r="M502" s="159"/>
      <c r="N502" s="94"/>
    </row>
    <row r="503">
      <c r="A503" s="107">
        <v>101162.0</v>
      </c>
      <c r="B503" s="108" t="s">
        <v>190</v>
      </c>
      <c r="C503" s="108" t="s">
        <v>323</v>
      </c>
      <c r="D503" s="100" t="str">
        <f t="shared" si="1"/>
        <v/>
      </c>
      <c r="E503" s="100" t="str">
        <f t="shared" si="2"/>
        <v/>
      </c>
      <c r="F503" s="100" t="str">
        <f t="shared" si="3"/>
        <v/>
      </c>
      <c r="G503" s="151"/>
      <c r="H503" s="156"/>
      <c r="I503" s="157"/>
      <c r="J503" s="158"/>
      <c r="L503" s="94"/>
      <c r="M503" s="159"/>
      <c r="N503" s="94"/>
    </row>
    <row r="504">
      <c r="A504" s="107">
        <v>101162.0</v>
      </c>
      <c r="B504" s="108" t="s">
        <v>191</v>
      </c>
      <c r="C504" s="108" t="s">
        <v>323</v>
      </c>
      <c r="D504" s="100" t="str">
        <f t="shared" si="1"/>
        <v/>
      </c>
      <c r="E504" s="100" t="str">
        <f t="shared" si="2"/>
        <v/>
      </c>
      <c r="F504" s="100" t="str">
        <f t="shared" si="3"/>
        <v/>
      </c>
      <c r="G504" s="151"/>
      <c r="H504" s="160"/>
      <c r="I504" s="157"/>
      <c r="J504" s="161"/>
      <c r="L504" s="94"/>
      <c r="M504" s="159"/>
      <c r="N504" s="94"/>
    </row>
    <row r="505">
      <c r="A505" s="107">
        <v>101162.0</v>
      </c>
      <c r="B505" s="108" t="s">
        <v>192</v>
      </c>
      <c r="C505" s="108" t="s">
        <v>323</v>
      </c>
      <c r="D505" s="100" t="str">
        <f t="shared" si="1"/>
        <v/>
      </c>
      <c r="E505" s="100" t="str">
        <f t="shared" si="2"/>
        <v/>
      </c>
      <c r="F505" s="100" t="str">
        <f t="shared" si="3"/>
        <v/>
      </c>
      <c r="G505" s="151"/>
      <c r="H505" s="156"/>
      <c r="I505" s="157"/>
      <c r="J505" s="158"/>
      <c r="L505" s="94"/>
      <c r="M505" s="159"/>
      <c r="N505" s="94"/>
    </row>
    <row r="506">
      <c r="A506" s="107">
        <v>101179.0</v>
      </c>
      <c r="B506" s="108" t="s">
        <v>85</v>
      </c>
      <c r="C506" s="108" t="s">
        <v>324</v>
      </c>
      <c r="D506" s="100" t="str">
        <f t="shared" si="1"/>
        <v/>
      </c>
      <c r="E506" s="100" t="str">
        <f t="shared" si="2"/>
        <v/>
      </c>
      <c r="F506" s="100" t="str">
        <f t="shared" si="3"/>
        <v/>
      </c>
      <c r="G506" s="151"/>
      <c r="H506" s="160"/>
      <c r="I506" s="157"/>
      <c r="J506" s="161"/>
      <c r="L506" s="94"/>
      <c r="M506" s="159"/>
      <c r="N506" s="94"/>
    </row>
    <row r="507">
      <c r="A507" s="107">
        <v>101179.0</v>
      </c>
      <c r="B507" s="108" t="s">
        <v>90</v>
      </c>
      <c r="C507" s="108" t="s">
        <v>324</v>
      </c>
      <c r="D507" s="100" t="str">
        <f t="shared" si="1"/>
        <v/>
      </c>
      <c r="E507" s="100" t="str">
        <f t="shared" si="2"/>
        <v/>
      </c>
      <c r="F507" s="100" t="str">
        <f t="shared" si="3"/>
        <v/>
      </c>
      <c r="G507" s="151"/>
      <c r="H507" s="156"/>
      <c r="I507" s="157"/>
      <c r="J507" s="158"/>
      <c r="L507" s="94"/>
      <c r="M507" s="159"/>
      <c r="N507" s="94"/>
    </row>
    <row r="508">
      <c r="A508" s="107">
        <v>101179.0</v>
      </c>
      <c r="B508" s="108" t="s">
        <v>92</v>
      </c>
      <c r="C508" s="108" t="s">
        <v>324</v>
      </c>
      <c r="D508" s="100" t="str">
        <f t="shared" si="1"/>
        <v/>
      </c>
      <c r="E508" s="100" t="str">
        <f t="shared" si="2"/>
        <v/>
      </c>
      <c r="F508" s="100" t="str">
        <f t="shared" si="3"/>
        <v/>
      </c>
      <c r="G508" s="151"/>
      <c r="H508" s="160"/>
      <c r="I508" s="157"/>
      <c r="J508" s="161"/>
      <c r="L508" s="94"/>
      <c r="M508" s="159"/>
      <c r="N508" s="94"/>
    </row>
    <row r="509">
      <c r="A509" s="107">
        <v>101179.0</v>
      </c>
      <c r="B509" s="108" t="s">
        <v>190</v>
      </c>
      <c r="C509" s="108" t="s">
        <v>324</v>
      </c>
      <c r="D509" s="100" t="str">
        <f t="shared" si="1"/>
        <v/>
      </c>
      <c r="E509" s="100" t="str">
        <f t="shared" si="2"/>
        <v/>
      </c>
      <c r="F509" s="100" t="str">
        <f t="shared" si="3"/>
        <v/>
      </c>
      <c r="G509" s="151"/>
      <c r="H509" s="156"/>
      <c r="I509" s="157"/>
      <c r="J509" s="158"/>
      <c r="L509" s="94"/>
      <c r="M509" s="159"/>
      <c r="N509" s="94"/>
    </row>
    <row r="510">
      <c r="A510" s="107">
        <v>101181.0</v>
      </c>
      <c r="B510" s="108" t="s">
        <v>85</v>
      </c>
      <c r="C510" s="108" t="s">
        <v>325</v>
      </c>
      <c r="D510" s="100" t="str">
        <f t="shared" si="1"/>
        <v/>
      </c>
      <c r="E510" s="100" t="str">
        <f t="shared" si="2"/>
        <v/>
      </c>
      <c r="F510" s="100" t="str">
        <f t="shared" si="3"/>
        <v/>
      </c>
      <c r="G510" s="151"/>
      <c r="H510" s="160"/>
      <c r="I510" s="157"/>
      <c r="J510" s="161"/>
      <c r="L510" s="94"/>
      <c r="M510" s="159"/>
      <c r="N510" s="94"/>
    </row>
    <row r="511">
      <c r="A511" s="107">
        <v>101181.0</v>
      </c>
      <c r="B511" s="108" t="s">
        <v>90</v>
      </c>
      <c r="C511" s="108" t="s">
        <v>325</v>
      </c>
      <c r="D511" s="100" t="str">
        <f t="shared" si="1"/>
        <v/>
      </c>
      <c r="E511" s="100" t="str">
        <f t="shared" si="2"/>
        <v/>
      </c>
      <c r="F511" s="100" t="str">
        <f t="shared" si="3"/>
        <v/>
      </c>
      <c r="G511" s="151"/>
      <c r="H511" s="156"/>
      <c r="I511" s="157"/>
      <c r="J511" s="158"/>
      <c r="L511" s="94"/>
      <c r="M511" s="159"/>
      <c r="N511" s="94"/>
    </row>
    <row r="512">
      <c r="A512" s="107">
        <v>101181.0</v>
      </c>
      <c r="B512" s="108" t="s">
        <v>92</v>
      </c>
      <c r="C512" s="108" t="s">
        <v>325</v>
      </c>
      <c r="D512" s="100" t="str">
        <f t="shared" si="1"/>
        <v/>
      </c>
      <c r="E512" s="100" t="str">
        <f t="shared" si="2"/>
        <v/>
      </c>
      <c r="F512" s="100" t="str">
        <f t="shared" si="3"/>
        <v/>
      </c>
      <c r="G512" s="151"/>
      <c r="H512" s="160"/>
      <c r="I512" s="157"/>
      <c r="J512" s="161"/>
      <c r="L512" s="94"/>
      <c r="M512" s="159"/>
      <c r="N512" s="94"/>
    </row>
    <row r="513">
      <c r="A513" s="107">
        <v>101181.0</v>
      </c>
      <c r="B513" s="108" t="s">
        <v>190</v>
      </c>
      <c r="C513" s="108" t="s">
        <v>325</v>
      </c>
      <c r="D513" s="100" t="str">
        <f t="shared" si="1"/>
        <v/>
      </c>
      <c r="E513" s="100" t="str">
        <f t="shared" si="2"/>
        <v/>
      </c>
      <c r="F513" s="100" t="str">
        <f t="shared" si="3"/>
        <v/>
      </c>
      <c r="G513" s="151"/>
      <c r="H513" s="156"/>
      <c r="I513" s="157"/>
      <c r="J513" s="158"/>
      <c r="L513" s="94"/>
      <c r="M513" s="159"/>
      <c r="N513" s="94"/>
    </row>
    <row r="514">
      <c r="A514" s="107">
        <v>101181.0</v>
      </c>
      <c r="B514" s="108" t="s">
        <v>191</v>
      </c>
      <c r="C514" s="108" t="s">
        <v>325</v>
      </c>
      <c r="D514" s="100" t="str">
        <f t="shared" si="1"/>
        <v/>
      </c>
      <c r="E514" s="100" t="str">
        <f t="shared" si="2"/>
        <v/>
      </c>
      <c r="F514" s="100" t="str">
        <f t="shared" si="3"/>
        <v/>
      </c>
      <c r="G514" s="151"/>
      <c r="H514" s="160"/>
      <c r="I514" s="157"/>
      <c r="J514" s="161"/>
      <c r="L514" s="94"/>
      <c r="M514" s="159"/>
      <c r="N514" s="94"/>
    </row>
    <row r="515">
      <c r="A515" s="107">
        <v>101181.0</v>
      </c>
      <c r="B515" s="108" t="s">
        <v>192</v>
      </c>
      <c r="C515" s="108" t="s">
        <v>325</v>
      </c>
      <c r="D515" s="100" t="str">
        <f t="shared" si="1"/>
        <v/>
      </c>
      <c r="E515" s="100" t="str">
        <f t="shared" si="2"/>
        <v/>
      </c>
      <c r="F515" s="100" t="str">
        <f t="shared" si="3"/>
        <v/>
      </c>
      <c r="G515" s="151"/>
      <c r="H515" s="156"/>
      <c r="I515" s="157"/>
      <c r="J515" s="158"/>
      <c r="L515" s="94"/>
      <c r="M515" s="159"/>
      <c r="N515" s="94"/>
    </row>
    <row r="516">
      <c r="A516" s="107">
        <v>101183.0</v>
      </c>
      <c r="B516" s="108" t="s">
        <v>85</v>
      </c>
      <c r="C516" s="108" t="s">
        <v>326</v>
      </c>
      <c r="D516" s="100" t="str">
        <f t="shared" si="1"/>
        <v/>
      </c>
      <c r="E516" s="100" t="str">
        <f t="shared" si="2"/>
        <v/>
      </c>
      <c r="F516" s="100" t="str">
        <f t="shared" si="3"/>
        <v/>
      </c>
      <c r="G516" s="151"/>
      <c r="H516" s="160"/>
      <c r="I516" s="157"/>
      <c r="J516" s="161"/>
      <c r="L516" s="94"/>
      <c r="M516" s="159"/>
      <c r="N516" s="94"/>
    </row>
    <row r="517">
      <c r="A517" s="107">
        <v>101183.0</v>
      </c>
      <c r="B517" s="108" t="s">
        <v>90</v>
      </c>
      <c r="C517" s="108" t="s">
        <v>326</v>
      </c>
      <c r="D517" s="100" t="str">
        <f t="shared" si="1"/>
        <v/>
      </c>
      <c r="E517" s="100" t="str">
        <f t="shared" si="2"/>
        <v/>
      </c>
      <c r="F517" s="100" t="str">
        <f t="shared" si="3"/>
        <v/>
      </c>
      <c r="G517" s="151"/>
      <c r="H517" s="156"/>
      <c r="I517" s="157"/>
      <c r="J517" s="158"/>
      <c r="L517" s="94"/>
      <c r="M517" s="159"/>
      <c r="N517" s="94"/>
    </row>
    <row r="518">
      <c r="A518" s="107">
        <v>101187.0</v>
      </c>
      <c r="B518" s="108" t="s">
        <v>85</v>
      </c>
      <c r="C518" s="108" t="s">
        <v>327</v>
      </c>
      <c r="D518" s="100" t="str">
        <f t="shared" si="1"/>
        <v/>
      </c>
      <c r="E518" s="100" t="str">
        <f t="shared" si="2"/>
        <v/>
      </c>
      <c r="F518" s="100" t="str">
        <f t="shared" si="3"/>
        <v/>
      </c>
      <c r="G518" s="151"/>
      <c r="H518" s="160"/>
      <c r="I518" s="157"/>
      <c r="J518" s="161"/>
      <c r="L518" s="94"/>
      <c r="M518" s="159"/>
      <c r="N518" s="94"/>
    </row>
    <row r="519">
      <c r="A519" s="107">
        <v>101187.0</v>
      </c>
      <c r="B519" s="108" t="s">
        <v>90</v>
      </c>
      <c r="C519" s="108" t="s">
        <v>327</v>
      </c>
      <c r="D519" s="100" t="str">
        <f t="shared" si="1"/>
        <v/>
      </c>
      <c r="E519" s="100" t="str">
        <f t="shared" si="2"/>
        <v/>
      </c>
      <c r="F519" s="100" t="str">
        <f t="shared" si="3"/>
        <v/>
      </c>
      <c r="G519" s="151"/>
      <c r="H519" s="156"/>
      <c r="I519" s="157"/>
      <c r="J519" s="158"/>
      <c r="L519" s="94"/>
      <c r="M519" s="159"/>
      <c r="N519" s="94"/>
    </row>
    <row r="520">
      <c r="A520" s="107">
        <v>101187.0</v>
      </c>
      <c r="B520" s="108" t="s">
        <v>92</v>
      </c>
      <c r="C520" s="108" t="s">
        <v>327</v>
      </c>
      <c r="D520" s="100" t="str">
        <f t="shared" si="1"/>
        <v/>
      </c>
      <c r="E520" s="100" t="str">
        <f t="shared" si="2"/>
        <v/>
      </c>
      <c r="F520" s="100" t="str">
        <f t="shared" si="3"/>
        <v/>
      </c>
      <c r="G520" s="151"/>
      <c r="H520" s="160"/>
      <c r="I520" s="157"/>
      <c r="J520" s="161"/>
      <c r="L520" s="94"/>
      <c r="M520" s="159"/>
      <c r="N520" s="94"/>
    </row>
    <row r="521">
      <c r="A521" s="107">
        <v>101187.0</v>
      </c>
      <c r="B521" s="108" t="s">
        <v>190</v>
      </c>
      <c r="C521" s="108" t="s">
        <v>327</v>
      </c>
      <c r="D521" s="100" t="str">
        <f t="shared" si="1"/>
        <v/>
      </c>
      <c r="E521" s="100" t="str">
        <f t="shared" si="2"/>
        <v/>
      </c>
      <c r="F521" s="100" t="str">
        <f t="shared" si="3"/>
        <v/>
      </c>
      <c r="G521" s="151"/>
      <c r="H521" s="156"/>
      <c r="I521" s="157"/>
      <c r="J521" s="158"/>
      <c r="L521" s="94"/>
      <c r="M521" s="159"/>
      <c r="N521" s="94"/>
    </row>
    <row r="522">
      <c r="A522" s="107">
        <v>101198.0</v>
      </c>
      <c r="B522" s="108" t="s">
        <v>85</v>
      </c>
      <c r="C522" s="108" t="s">
        <v>328</v>
      </c>
      <c r="D522" s="100" t="str">
        <f t="shared" si="1"/>
        <v/>
      </c>
      <c r="E522" s="100" t="str">
        <f t="shared" si="2"/>
        <v/>
      </c>
      <c r="F522" s="100" t="str">
        <f t="shared" si="3"/>
        <v/>
      </c>
      <c r="G522" s="151"/>
      <c r="H522" s="160"/>
      <c r="I522" s="157"/>
      <c r="J522" s="161"/>
      <c r="L522" s="94"/>
      <c r="M522" s="159"/>
      <c r="N522" s="94"/>
    </row>
    <row r="523">
      <c r="A523" s="107">
        <v>101198.0</v>
      </c>
      <c r="B523" s="108" t="s">
        <v>90</v>
      </c>
      <c r="C523" s="108" t="s">
        <v>328</v>
      </c>
      <c r="D523" s="100" t="str">
        <f t="shared" si="1"/>
        <v/>
      </c>
      <c r="E523" s="100" t="str">
        <f t="shared" si="2"/>
        <v/>
      </c>
      <c r="F523" s="100" t="str">
        <f t="shared" si="3"/>
        <v/>
      </c>
      <c r="G523" s="151"/>
      <c r="H523" s="156"/>
      <c r="I523" s="157"/>
      <c r="J523" s="158"/>
      <c r="L523" s="94"/>
      <c r="M523" s="159"/>
      <c r="N523" s="94"/>
    </row>
    <row r="524">
      <c r="A524" s="107">
        <v>101236.0</v>
      </c>
      <c r="B524" s="108" t="s">
        <v>85</v>
      </c>
      <c r="C524" s="108" t="s">
        <v>329</v>
      </c>
      <c r="D524" s="100" t="str">
        <f t="shared" si="1"/>
        <v/>
      </c>
      <c r="E524" s="100" t="str">
        <f t="shared" si="2"/>
        <v/>
      </c>
      <c r="F524" s="100" t="str">
        <f t="shared" si="3"/>
        <v/>
      </c>
      <c r="G524" s="151"/>
      <c r="H524" s="160"/>
      <c r="I524" s="157"/>
      <c r="J524" s="161"/>
      <c r="L524" s="94"/>
      <c r="M524" s="159"/>
      <c r="N524" s="94"/>
    </row>
    <row r="525">
      <c r="A525" s="107">
        <v>101236.0</v>
      </c>
      <c r="B525" s="108" t="s">
        <v>90</v>
      </c>
      <c r="C525" s="108" t="s">
        <v>329</v>
      </c>
      <c r="D525" s="100" t="str">
        <f t="shared" si="1"/>
        <v/>
      </c>
      <c r="E525" s="100" t="str">
        <f t="shared" si="2"/>
        <v/>
      </c>
      <c r="F525" s="100" t="str">
        <f t="shared" si="3"/>
        <v/>
      </c>
      <c r="G525" s="151"/>
      <c r="H525" s="156"/>
      <c r="I525" s="157"/>
      <c r="J525" s="158"/>
      <c r="L525" s="94"/>
      <c r="M525" s="159"/>
      <c r="N525" s="94"/>
    </row>
    <row r="526">
      <c r="A526" s="107">
        <v>101236.0</v>
      </c>
      <c r="B526" s="108" t="s">
        <v>92</v>
      </c>
      <c r="C526" s="108" t="s">
        <v>329</v>
      </c>
      <c r="D526" s="100" t="str">
        <f t="shared" si="1"/>
        <v/>
      </c>
      <c r="E526" s="100" t="str">
        <f t="shared" si="2"/>
        <v/>
      </c>
      <c r="F526" s="100" t="str">
        <f t="shared" si="3"/>
        <v/>
      </c>
      <c r="G526" s="151"/>
      <c r="H526" s="160"/>
      <c r="I526" s="157"/>
      <c r="J526" s="161"/>
      <c r="L526" s="94"/>
      <c r="M526" s="159"/>
      <c r="N526" s="94"/>
    </row>
    <row r="527">
      <c r="A527" s="107">
        <v>101249.0</v>
      </c>
      <c r="B527" s="108" t="s">
        <v>85</v>
      </c>
      <c r="C527" s="108" t="s">
        <v>1892</v>
      </c>
      <c r="D527" s="100" t="str">
        <f t="shared" si="1"/>
        <v/>
      </c>
      <c r="E527" s="100" t="str">
        <f t="shared" si="2"/>
        <v/>
      </c>
      <c r="F527" s="100" t="str">
        <f t="shared" si="3"/>
        <v/>
      </c>
      <c r="G527" s="151"/>
      <c r="H527" s="156"/>
      <c r="I527" s="157"/>
      <c r="J527" s="158"/>
      <c r="L527" s="94"/>
      <c r="M527" s="159"/>
      <c r="N527" s="94"/>
    </row>
    <row r="528">
      <c r="A528" s="107">
        <v>101249.0</v>
      </c>
      <c r="B528" s="108" t="s">
        <v>90</v>
      </c>
      <c r="C528" s="108" t="s">
        <v>1892</v>
      </c>
      <c r="D528" s="100" t="str">
        <f t="shared" si="1"/>
        <v/>
      </c>
      <c r="E528" s="100" t="str">
        <f t="shared" si="2"/>
        <v/>
      </c>
      <c r="F528" s="100" t="str">
        <f t="shared" si="3"/>
        <v/>
      </c>
      <c r="G528" s="151"/>
      <c r="H528" s="160"/>
      <c r="I528" s="157"/>
      <c r="J528" s="161"/>
      <c r="L528" s="94"/>
      <c r="M528" s="159"/>
      <c r="N528" s="94"/>
    </row>
    <row r="529">
      <c r="A529" s="107">
        <v>101249.0</v>
      </c>
      <c r="B529" s="108" t="s">
        <v>190</v>
      </c>
      <c r="C529" s="108" t="s">
        <v>1892</v>
      </c>
      <c r="D529" s="100" t="str">
        <f t="shared" si="1"/>
        <v/>
      </c>
      <c r="E529" s="100" t="str">
        <f t="shared" si="2"/>
        <v/>
      </c>
      <c r="F529" s="100" t="str">
        <f t="shared" si="3"/>
        <v/>
      </c>
      <c r="G529" s="151"/>
      <c r="H529" s="156"/>
      <c r="I529" s="157"/>
      <c r="J529" s="158"/>
      <c r="L529" s="94"/>
      <c r="M529" s="159"/>
      <c r="N529" s="94"/>
    </row>
    <row r="530">
      <c r="A530" s="107">
        <v>200745.0</v>
      </c>
      <c r="B530" s="108" t="s">
        <v>85</v>
      </c>
      <c r="C530" s="108" t="s">
        <v>331</v>
      </c>
      <c r="D530" s="100" t="str">
        <f t="shared" si="1"/>
        <v/>
      </c>
      <c r="E530" s="100" t="str">
        <f t="shared" si="2"/>
        <v/>
      </c>
      <c r="F530" s="100" t="str">
        <f t="shared" si="3"/>
        <v/>
      </c>
      <c r="G530" s="151"/>
      <c r="H530" s="160"/>
      <c r="I530" s="157"/>
      <c r="J530" s="161"/>
      <c r="L530" s="94"/>
      <c r="M530" s="159"/>
      <c r="N530" s="94"/>
    </row>
    <row r="531">
      <c r="A531" s="107">
        <v>200745.0</v>
      </c>
      <c r="B531" s="108" t="s">
        <v>90</v>
      </c>
      <c r="C531" s="108" t="s">
        <v>331</v>
      </c>
      <c r="D531" s="100" t="str">
        <f t="shared" si="1"/>
        <v/>
      </c>
      <c r="E531" s="100" t="str">
        <f t="shared" si="2"/>
        <v/>
      </c>
      <c r="F531" s="100" t="str">
        <f t="shared" si="3"/>
        <v/>
      </c>
      <c r="G531" s="151"/>
      <c r="H531" s="156"/>
      <c r="I531" s="157"/>
      <c r="J531" s="158"/>
      <c r="L531" s="94"/>
      <c r="M531" s="159"/>
      <c r="N531" s="94"/>
    </row>
    <row r="532">
      <c r="A532" s="107">
        <v>200745.0</v>
      </c>
      <c r="B532" s="108" t="s">
        <v>92</v>
      </c>
      <c r="C532" s="108" t="s">
        <v>331</v>
      </c>
      <c r="D532" s="100" t="str">
        <f t="shared" si="1"/>
        <v/>
      </c>
      <c r="E532" s="100" t="str">
        <f t="shared" si="2"/>
        <v/>
      </c>
      <c r="F532" s="100" t="str">
        <f t="shared" si="3"/>
        <v/>
      </c>
      <c r="G532" s="151"/>
      <c r="H532" s="160"/>
      <c r="I532" s="157"/>
      <c r="J532" s="161"/>
      <c r="L532" s="94"/>
      <c r="M532" s="159"/>
      <c r="N532" s="94"/>
    </row>
    <row r="533">
      <c r="A533" s="107">
        <v>200746.0</v>
      </c>
      <c r="B533" s="108" t="s">
        <v>85</v>
      </c>
      <c r="C533" s="108" t="s">
        <v>332</v>
      </c>
      <c r="D533" s="100" t="str">
        <f t="shared" si="1"/>
        <v/>
      </c>
      <c r="E533" s="100" t="str">
        <f t="shared" si="2"/>
        <v/>
      </c>
      <c r="F533" s="100" t="str">
        <f t="shared" si="3"/>
        <v/>
      </c>
      <c r="G533" s="151"/>
      <c r="H533" s="156"/>
      <c r="I533" s="157"/>
      <c r="J533" s="158"/>
      <c r="L533" s="94"/>
      <c r="M533" s="159"/>
      <c r="N533" s="94"/>
    </row>
    <row r="534">
      <c r="A534" s="107">
        <v>200746.0</v>
      </c>
      <c r="B534" s="108" t="s">
        <v>90</v>
      </c>
      <c r="C534" s="108" t="s">
        <v>332</v>
      </c>
      <c r="D534" s="100" t="str">
        <f t="shared" si="1"/>
        <v/>
      </c>
      <c r="E534" s="100" t="str">
        <f t="shared" si="2"/>
        <v/>
      </c>
      <c r="F534" s="100" t="str">
        <f t="shared" si="3"/>
        <v/>
      </c>
      <c r="G534" s="151"/>
      <c r="H534" s="160"/>
      <c r="I534" s="157"/>
      <c r="J534" s="161"/>
      <c r="L534" s="94"/>
      <c r="M534" s="159"/>
      <c r="N534" s="94"/>
    </row>
    <row r="535">
      <c r="A535" s="107">
        <v>200746.0</v>
      </c>
      <c r="B535" s="108" t="s">
        <v>92</v>
      </c>
      <c r="C535" s="108" t="s">
        <v>332</v>
      </c>
      <c r="D535" s="100" t="str">
        <f t="shared" si="1"/>
        <v/>
      </c>
      <c r="E535" s="100" t="str">
        <f t="shared" si="2"/>
        <v/>
      </c>
      <c r="F535" s="100" t="str">
        <f t="shared" si="3"/>
        <v/>
      </c>
      <c r="G535" s="151"/>
      <c r="H535" s="156"/>
      <c r="I535" s="157"/>
      <c r="J535" s="158"/>
      <c r="L535" s="94"/>
      <c r="M535" s="159"/>
      <c r="N535" s="94"/>
    </row>
    <row r="536">
      <c r="A536" s="107">
        <v>200746.0</v>
      </c>
      <c r="B536" s="108" t="s">
        <v>190</v>
      </c>
      <c r="C536" s="108" t="s">
        <v>332</v>
      </c>
      <c r="D536" s="100" t="str">
        <f t="shared" si="1"/>
        <v/>
      </c>
      <c r="E536" s="100" t="str">
        <f t="shared" si="2"/>
        <v/>
      </c>
      <c r="F536" s="100" t="str">
        <f t="shared" si="3"/>
        <v/>
      </c>
      <c r="G536" s="151"/>
      <c r="H536" s="160"/>
      <c r="I536" s="157"/>
      <c r="J536" s="161"/>
      <c r="L536" s="94"/>
      <c r="M536" s="159"/>
      <c r="N536" s="94"/>
    </row>
    <row r="537">
      <c r="A537" s="107">
        <v>200746.0</v>
      </c>
      <c r="B537" s="108" t="s">
        <v>191</v>
      </c>
      <c r="C537" s="108" t="s">
        <v>332</v>
      </c>
      <c r="D537" s="100" t="str">
        <f t="shared" si="1"/>
        <v/>
      </c>
      <c r="E537" s="100" t="str">
        <f t="shared" si="2"/>
        <v/>
      </c>
      <c r="F537" s="100" t="str">
        <f t="shared" si="3"/>
        <v/>
      </c>
      <c r="G537" s="151"/>
      <c r="H537" s="156"/>
      <c r="I537" s="157"/>
      <c r="J537" s="158"/>
      <c r="L537" s="94"/>
      <c r="M537" s="159"/>
      <c r="N537" s="94"/>
    </row>
    <row r="538">
      <c r="A538" s="107">
        <v>200746.0</v>
      </c>
      <c r="B538" s="108" t="s">
        <v>192</v>
      </c>
      <c r="C538" s="108" t="s">
        <v>332</v>
      </c>
      <c r="D538" s="100" t="str">
        <f t="shared" si="1"/>
        <v/>
      </c>
      <c r="E538" s="100" t="str">
        <f t="shared" si="2"/>
        <v/>
      </c>
      <c r="F538" s="100" t="str">
        <f t="shared" si="3"/>
        <v/>
      </c>
      <c r="G538" s="151"/>
      <c r="H538" s="160"/>
      <c r="I538" s="157"/>
      <c r="J538" s="161"/>
      <c r="L538" s="94"/>
      <c r="M538" s="159"/>
      <c r="N538" s="94"/>
    </row>
    <row r="539">
      <c r="A539" s="107">
        <v>200746.0</v>
      </c>
      <c r="B539" s="108" t="s">
        <v>193</v>
      </c>
      <c r="C539" s="108" t="s">
        <v>332</v>
      </c>
      <c r="D539" s="100" t="str">
        <f t="shared" si="1"/>
        <v/>
      </c>
      <c r="E539" s="100" t="str">
        <f t="shared" si="2"/>
        <v/>
      </c>
      <c r="F539" s="100" t="str">
        <f t="shared" si="3"/>
        <v/>
      </c>
      <c r="G539" s="151"/>
      <c r="H539" s="156"/>
      <c r="I539" s="157"/>
      <c r="J539" s="158"/>
      <c r="L539" s="94"/>
      <c r="M539" s="159"/>
      <c r="N539" s="94"/>
    </row>
    <row r="540">
      <c r="A540" s="107">
        <v>200746.0</v>
      </c>
      <c r="B540" s="108" t="s">
        <v>243</v>
      </c>
      <c r="C540" s="108" t="s">
        <v>332</v>
      </c>
      <c r="D540" s="100" t="str">
        <f t="shared" si="1"/>
        <v/>
      </c>
      <c r="E540" s="100" t="str">
        <f t="shared" si="2"/>
        <v/>
      </c>
      <c r="F540" s="100" t="str">
        <f t="shared" si="3"/>
        <v/>
      </c>
      <c r="G540" s="151"/>
      <c r="H540" s="160"/>
      <c r="I540" s="157"/>
      <c r="J540" s="161"/>
      <c r="L540" s="94"/>
      <c r="M540" s="159"/>
      <c r="N540" s="94"/>
    </row>
    <row r="541">
      <c r="A541" s="107">
        <v>200746.0</v>
      </c>
      <c r="B541" s="108" t="s">
        <v>215</v>
      </c>
      <c r="C541" s="108" t="s">
        <v>332</v>
      </c>
      <c r="D541" s="100" t="str">
        <f t="shared" si="1"/>
        <v/>
      </c>
      <c r="E541" s="100" t="str">
        <f t="shared" si="2"/>
        <v/>
      </c>
      <c r="F541" s="100" t="str">
        <f t="shared" si="3"/>
        <v/>
      </c>
      <c r="G541" s="151"/>
      <c r="H541" s="156"/>
      <c r="I541" s="157"/>
      <c r="J541" s="158"/>
      <c r="L541" s="94"/>
      <c r="M541" s="159"/>
      <c r="N541" s="94"/>
    </row>
    <row r="542">
      <c r="A542" s="107">
        <v>200748.0</v>
      </c>
      <c r="B542" s="108" t="s">
        <v>90</v>
      </c>
      <c r="C542" s="108" t="s">
        <v>333</v>
      </c>
      <c r="D542" s="100" t="str">
        <f t="shared" si="1"/>
        <v/>
      </c>
      <c r="E542" s="100" t="str">
        <f t="shared" si="2"/>
        <v/>
      </c>
      <c r="F542" s="100" t="str">
        <f t="shared" si="3"/>
        <v/>
      </c>
      <c r="G542" s="151"/>
      <c r="H542" s="160"/>
      <c r="I542" s="157"/>
      <c r="J542" s="161"/>
      <c r="L542" s="94"/>
      <c r="M542" s="159"/>
      <c r="N542" s="94"/>
    </row>
    <row r="543">
      <c r="A543" s="107">
        <v>200751.0</v>
      </c>
      <c r="B543" s="108" t="s">
        <v>85</v>
      </c>
      <c r="C543" s="108" t="s">
        <v>334</v>
      </c>
      <c r="D543" s="100" t="str">
        <f t="shared" si="1"/>
        <v/>
      </c>
      <c r="E543" s="100" t="str">
        <f t="shared" si="2"/>
        <v/>
      </c>
      <c r="F543" s="100" t="str">
        <f t="shared" si="3"/>
        <v/>
      </c>
      <c r="G543" s="151"/>
      <c r="H543" s="156"/>
      <c r="I543" s="157"/>
      <c r="J543" s="158"/>
      <c r="L543" s="94"/>
      <c r="M543" s="159"/>
      <c r="N543" s="94"/>
    </row>
    <row r="544">
      <c r="A544" s="107">
        <v>200751.0</v>
      </c>
      <c r="B544" s="108" t="s">
        <v>90</v>
      </c>
      <c r="C544" s="108" t="s">
        <v>334</v>
      </c>
      <c r="D544" s="100" t="str">
        <f t="shared" si="1"/>
        <v/>
      </c>
      <c r="E544" s="100" t="str">
        <f t="shared" si="2"/>
        <v/>
      </c>
      <c r="F544" s="100" t="str">
        <f t="shared" si="3"/>
        <v/>
      </c>
      <c r="G544" s="151"/>
      <c r="H544" s="160"/>
      <c r="I544" s="157"/>
      <c r="J544" s="161"/>
      <c r="L544" s="94"/>
      <c r="M544" s="159"/>
      <c r="N544" s="94"/>
    </row>
    <row r="545">
      <c r="A545" s="107">
        <v>200751.0</v>
      </c>
      <c r="B545" s="108" t="s">
        <v>92</v>
      </c>
      <c r="C545" s="108" t="s">
        <v>334</v>
      </c>
      <c r="D545" s="100" t="str">
        <f t="shared" si="1"/>
        <v/>
      </c>
      <c r="E545" s="100" t="str">
        <f t="shared" si="2"/>
        <v/>
      </c>
      <c r="F545" s="100" t="str">
        <f t="shared" si="3"/>
        <v/>
      </c>
      <c r="G545" s="151"/>
      <c r="H545" s="156"/>
      <c r="I545" s="157"/>
      <c r="J545" s="158"/>
      <c r="L545" s="94"/>
      <c r="M545" s="159"/>
      <c r="N545" s="94"/>
    </row>
    <row r="546">
      <c r="A546" s="107">
        <v>200751.0</v>
      </c>
      <c r="B546" s="108" t="s">
        <v>190</v>
      </c>
      <c r="C546" s="108" t="s">
        <v>334</v>
      </c>
      <c r="D546" s="100" t="str">
        <f t="shared" si="1"/>
        <v/>
      </c>
      <c r="E546" s="100" t="str">
        <f t="shared" si="2"/>
        <v/>
      </c>
      <c r="F546" s="100" t="str">
        <f t="shared" si="3"/>
        <v/>
      </c>
      <c r="G546" s="151"/>
      <c r="H546" s="160"/>
      <c r="I546" s="157"/>
      <c r="J546" s="161"/>
      <c r="L546" s="94"/>
      <c r="M546" s="159"/>
      <c r="N546" s="94"/>
    </row>
    <row r="547">
      <c r="A547" s="107">
        <v>200752.0</v>
      </c>
      <c r="B547" s="108" t="s">
        <v>85</v>
      </c>
      <c r="C547" s="108" t="s">
        <v>335</v>
      </c>
      <c r="D547" s="100" t="str">
        <f t="shared" si="1"/>
        <v/>
      </c>
      <c r="E547" s="100" t="str">
        <f t="shared" si="2"/>
        <v/>
      </c>
      <c r="F547" s="100" t="str">
        <f t="shared" si="3"/>
        <v/>
      </c>
      <c r="G547" s="151"/>
      <c r="H547" s="156"/>
      <c r="I547" s="157"/>
      <c r="J547" s="158"/>
      <c r="L547" s="94"/>
      <c r="M547" s="159"/>
      <c r="N547" s="94"/>
    </row>
    <row r="548">
      <c r="A548" s="107">
        <v>200752.0</v>
      </c>
      <c r="B548" s="108" t="s">
        <v>90</v>
      </c>
      <c r="C548" s="108" t="s">
        <v>335</v>
      </c>
      <c r="D548" s="100" t="str">
        <f t="shared" si="1"/>
        <v/>
      </c>
      <c r="E548" s="100" t="str">
        <f t="shared" si="2"/>
        <v/>
      </c>
      <c r="F548" s="100" t="str">
        <f t="shared" si="3"/>
        <v/>
      </c>
      <c r="G548" s="151"/>
      <c r="H548" s="160"/>
      <c r="I548" s="157"/>
      <c r="J548" s="161"/>
      <c r="L548" s="94"/>
      <c r="M548" s="159"/>
      <c r="N548" s="94"/>
    </row>
    <row r="549">
      <c r="A549" s="107">
        <v>200752.0</v>
      </c>
      <c r="B549" s="108" t="s">
        <v>92</v>
      </c>
      <c r="C549" s="108" t="s">
        <v>335</v>
      </c>
      <c r="D549" s="100" t="str">
        <f t="shared" si="1"/>
        <v/>
      </c>
      <c r="E549" s="100" t="str">
        <f t="shared" si="2"/>
        <v/>
      </c>
      <c r="F549" s="100" t="str">
        <f t="shared" si="3"/>
        <v/>
      </c>
      <c r="G549" s="151"/>
      <c r="H549" s="156"/>
      <c r="I549" s="157"/>
      <c r="J549" s="158"/>
      <c r="L549" s="94"/>
      <c r="M549" s="159"/>
      <c r="N549" s="94"/>
    </row>
    <row r="550">
      <c r="A550" s="107">
        <v>200752.0</v>
      </c>
      <c r="B550" s="108" t="s">
        <v>190</v>
      </c>
      <c r="C550" s="108" t="s">
        <v>335</v>
      </c>
      <c r="D550" s="100" t="str">
        <f t="shared" si="1"/>
        <v/>
      </c>
      <c r="E550" s="100" t="str">
        <f t="shared" si="2"/>
        <v/>
      </c>
      <c r="F550" s="100" t="str">
        <f t="shared" si="3"/>
        <v/>
      </c>
      <c r="G550" s="151"/>
      <c r="H550" s="160"/>
      <c r="I550" s="157"/>
      <c r="J550" s="161"/>
      <c r="L550" s="94"/>
      <c r="M550" s="159"/>
      <c r="N550" s="94"/>
    </row>
    <row r="551">
      <c r="A551" s="107">
        <v>200752.0</v>
      </c>
      <c r="B551" s="108" t="s">
        <v>191</v>
      </c>
      <c r="C551" s="108" t="s">
        <v>335</v>
      </c>
      <c r="D551" s="100" t="str">
        <f t="shared" si="1"/>
        <v/>
      </c>
      <c r="E551" s="100" t="str">
        <f t="shared" si="2"/>
        <v/>
      </c>
      <c r="F551" s="100" t="str">
        <f t="shared" si="3"/>
        <v/>
      </c>
      <c r="G551" s="151"/>
      <c r="H551" s="156"/>
      <c r="I551" s="157"/>
      <c r="J551" s="158"/>
      <c r="L551" s="94"/>
      <c r="M551" s="159"/>
      <c r="N551" s="94"/>
    </row>
    <row r="552">
      <c r="A552" s="107">
        <v>200752.0</v>
      </c>
      <c r="B552" s="108" t="s">
        <v>192</v>
      </c>
      <c r="C552" s="108" t="s">
        <v>335</v>
      </c>
      <c r="D552" s="100" t="str">
        <f t="shared" si="1"/>
        <v/>
      </c>
      <c r="E552" s="100" t="str">
        <f t="shared" si="2"/>
        <v/>
      </c>
      <c r="F552" s="100" t="str">
        <f t="shared" si="3"/>
        <v/>
      </c>
      <c r="G552" s="151"/>
      <c r="H552" s="160"/>
      <c r="I552" s="157"/>
      <c r="J552" s="161"/>
      <c r="L552" s="94"/>
      <c r="M552" s="159"/>
      <c r="N552" s="94"/>
    </row>
    <row r="553">
      <c r="A553" s="107">
        <v>200752.0</v>
      </c>
      <c r="B553" s="108" t="s">
        <v>193</v>
      </c>
      <c r="C553" s="108" t="s">
        <v>335</v>
      </c>
      <c r="D553" s="100" t="str">
        <f t="shared" si="1"/>
        <v/>
      </c>
      <c r="E553" s="100" t="str">
        <f t="shared" si="2"/>
        <v/>
      </c>
      <c r="F553" s="100" t="str">
        <f t="shared" si="3"/>
        <v/>
      </c>
      <c r="G553" s="151"/>
      <c r="H553" s="156"/>
      <c r="I553" s="157"/>
      <c r="J553" s="158"/>
      <c r="L553" s="94"/>
      <c r="M553" s="159"/>
      <c r="N553" s="94"/>
    </row>
    <row r="554">
      <c r="A554" s="107">
        <v>200752.0</v>
      </c>
      <c r="B554" s="108" t="s">
        <v>243</v>
      </c>
      <c r="C554" s="108" t="s">
        <v>335</v>
      </c>
      <c r="D554" s="100" t="str">
        <f t="shared" si="1"/>
        <v/>
      </c>
      <c r="E554" s="100" t="str">
        <f t="shared" si="2"/>
        <v/>
      </c>
      <c r="F554" s="100" t="str">
        <f t="shared" si="3"/>
        <v/>
      </c>
      <c r="G554" s="151"/>
      <c r="H554" s="160"/>
      <c r="I554" s="157"/>
      <c r="J554" s="161"/>
      <c r="L554" s="94"/>
      <c r="M554" s="159"/>
      <c r="N554" s="94"/>
    </row>
    <row r="555">
      <c r="A555" s="107">
        <v>200752.0</v>
      </c>
      <c r="B555" s="108" t="s">
        <v>215</v>
      </c>
      <c r="C555" s="108" t="s">
        <v>335</v>
      </c>
      <c r="D555" s="100" t="str">
        <f t="shared" si="1"/>
        <v/>
      </c>
      <c r="E555" s="100" t="str">
        <f t="shared" si="2"/>
        <v/>
      </c>
      <c r="F555" s="100" t="str">
        <f t="shared" si="3"/>
        <v/>
      </c>
      <c r="G555" s="151"/>
      <c r="H555" s="156"/>
      <c r="I555" s="157"/>
      <c r="J555" s="158"/>
      <c r="L555" s="94"/>
      <c r="M555" s="159"/>
      <c r="N555" s="94"/>
    </row>
    <row r="556">
      <c r="A556" s="107">
        <v>200752.0</v>
      </c>
      <c r="B556" s="108" t="s">
        <v>244</v>
      </c>
      <c r="C556" s="108" t="s">
        <v>335</v>
      </c>
      <c r="D556" s="100" t="str">
        <f t="shared" si="1"/>
        <v/>
      </c>
      <c r="E556" s="100" t="str">
        <f t="shared" si="2"/>
        <v/>
      </c>
      <c r="F556" s="100" t="str">
        <f t="shared" si="3"/>
        <v/>
      </c>
      <c r="G556" s="151"/>
      <c r="H556" s="160"/>
      <c r="I556" s="157"/>
      <c r="J556" s="161"/>
      <c r="L556" s="94"/>
      <c r="M556" s="159"/>
      <c r="N556" s="94"/>
    </row>
    <row r="557">
      <c r="A557" s="107">
        <v>200755.0</v>
      </c>
      <c r="B557" s="108" t="s">
        <v>85</v>
      </c>
      <c r="C557" s="108" t="s">
        <v>336</v>
      </c>
      <c r="D557" s="100" t="str">
        <f t="shared" si="1"/>
        <v/>
      </c>
      <c r="E557" s="100" t="str">
        <f t="shared" si="2"/>
        <v/>
      </c>
      <c r="F557" s="100" t="str">
        <f t="shared" si="3"/>
        <v/>
      </c>
      <c r="G557" s="151"/>
      <c r="H557" s="156"/>
      <c r="I557" s="157"/>
      <c r="J557" s="158"/>
      <c r="L557" s="94"/>
      <c r="M557" s="159"/>
      <c r="N557" s="94"/>
    </row>
    <row r="558">
      <c r="A558" s="107">
        <v>200755.0</v>
      </c>
      <c r="B558" s="108" t="s">
        <v>90</v>
      </c>
      <c r="C558" s="116" t="s">
        <v>336</v>
      </c>
      <c r="D558" s="100" t="str">
        <f t="shared" si="1"/>
        <v/>
      </c>
      <c r="E558" s="100" t="str">
        <f t="shared" si="2"/>
        <v/>
      </c>
      <c r="F558" s="100" t="str">
        <f t="shared" si="3"/>
        <v/>
      </c>
      <c r="G558" s="151"/>
      <c r="H558" s="160"/>
      <c r="I558" s="157"/>
      <c r="J558" s="161"/>
      <c r="L558" s="94"/>
      <c r="M558" s="159"/>
      <c r="N558" s="94"/>
    </row>
    <row r="559">
      <c r="A559" s="107">
        <v>200755.0</v>
      </c>
      <c r="B559" s="108" t="s">
        <v>92</v>
      </c>
      <c r="C559" s="108" t="s">
        <v>336</v>
      </c>
      <c r="D559" s="100" t="str">
        <f t="shared" si="1"/>
        <v/>
      </c>
      <c r="E559" s="100" t="str">
        <f t="shared" si="2"/>
        <v/>
      </c>
      <c r="F559" s="100" t="str">
        <f t="shared" si="3"/>
        <v/>
      </c>
      <c r="G559" s="151"/>
      <c r="H559" s="156"/>
      <c r="I559" s="157"/>
      <c r="J559" s="158"/>
      <c r="L559" s="94"/>
      <c r="M559" s="159"/>
      <c r="N559" s="94"/>
    </row>
    <row r="560">
      <c r="A560" s="107">
        <v>200755.0</v>
      </c>
      <c r="B560" s="108" t="s">
        <v>190</v>
      </c>
      <c r="C560" s="108" t="s">
        <v>336</v>
      </c>
      <c r="D560" s="100" t="str">
        <f t="shared" si="1"/>
        <v/>
      </c>
      <c r="E560" s="100" t="str">
        <f t="shared" si="2"/>
        <v/>
      </c>
      <c r="F560" s="100" t="str">
        <f t="shared" si="3"/>
        <v/>
      </c>
      <c r="G560" s="151"/>
      <c r="H560" s="160"/>
      <c r="I560" s="157"/>
      <c r="J560" s="161"/>
      <c r="L560" s="94"/>
      <c r="M560" s="159"/>
      <c r="N560" s="94"/>
    </row>
    <row r="561">
      <c r="A561" s="107">
        <v>200755.0</v>
      </c>
      <c r="B561" s="108" t="s">
        <v>191</v>
      </c>
      <c r="C561" s="108" t="s">
        <v>336</v>
      </c>
      <c r="D561" s="100" t="str">
        <f t="shared" si="1"/>
        <v/>
      </c>
      <c r="E561" s="100" t="str">
        <f t="shared" si="2"/>
        <v/>
      </c>
      <c r="F561" s="100" t="str">
        <f t="shared" si="3"/>
        <v/>
      </c>
      <c r="G561" s="151"/>
      <c r="H561" s="156"/>
      <c r="I561" s="157"/>
      <c r="J561" s="158"/>
      <c r="L561" s="94"/>
      <c r="M561" s="159"/>
      <c r="N561" s="94"/>
    </row>
    <row r="562">
      <c r="A562" s="107">
        <v>200755.0</v>
      </c>
      <c r="B562" s="108" t="s">
        <v>192</v>
      </c>
      <c r="C562" s="108" t="s">
        <v>336</v>
      </c>
      <c r="D562" s="100" t="str">
        <f t="shared" si="1"/>
        <v/>
      </c>
      <c r="E562" s="100" t="str">
        <f t="shared" si="2"/>
        <v/>
      </c>
      <c r="F562" s="100" t="str">
        <f t="shared" si="3"/>
        <v/>
      </c>
      <c r="G562" s="151"/>
      <c r="H562" s="160"/>
      <c r="I562" s="157"/>
      <c r="J562" s="161"/>
      <c r="L562" s="94"/>
      <c r="M562" s="159"/>
      <c r="N562" s="94"/>
    </row>
    <row r="563">
      <c r="A563" s="107">
        <v>200755.0</v>
      </c>
      <c r="B563" s="108" t="s">
        <v>193</v>
      </c>
      <c r="C563" s="108" t="s">
        <v>336</v>
      </c>
      <c r="D563" s="100" t="str">
        <f t="shared" si="1"/>
        <v/>
      </c>
      <c r="E563" s="100" t="str">
        <f t="shared" si="2"/>
        <v/>
      </c>
      <c r="F563" s="100" t="str">
        <f t="shared" si="3"/>
        <v/>
      </c>
      <c r="G563" s="151"/>
      <c r="H563" s="156"/>
      <c r="I563" s="157"/>
      <c r="J563" s="158"/>
      <c r="L563" s="94"/>
      <c r="M563" s="159"/>
      <c r="N563" s="94"/>
    </row>
    <row r="564">
      <c r="A564" s="107">
        <v>200755.0</v>
      </c>
      <c r="B564" s="108" t="s">
        <v>243</v>
      </c>
      <c r="C564" s="108" t="s">
        <v>336</v>
      </c>
      <c r="D564" s="100" t="str">
        <f t="shared" si="1"/>
        <v/>
      </c>
      <c r="E564" s="100" t="str">
        <f t="shared" si="2"/>
        <v/>
      </c>
      <c r="F564" s="100" t="str">
        <f t="shared" si="3"/>
        <v/>
      </c>
      <c r="G564" s="151"/>
      <c r="H564" s="160"/>
      <c r="I564" s="157"/>
      <c r="J564" s="161"/>
      <c r="L564" s="94"/>
      <c r="M564" s="159"/>
      <c r="N564" s="94"/>
    </row>
    <row r="565">
      <c r="A565" s="107">
        <v>200756.0</v>
      </c>
      <c r="B565" s="108" t="s">
        <v>85</v>
      </c>
      <c r="C565" s="108" t="s">
        <v>337</v>
      </c>
      <c r="D565" s="100" t="str">
        <f t="shared" si="1"/>
        <v/>
      </c>
      <c r="E565" s="100" t="str">
        <f t="shared" si="2"/>
        <v/>
      </c>
      <c r="F565" s="100" t="str">
        <f t="shared" si="3"/>
        <v/>
      </c>
      <c r="G565" s="151"/>
      <c r="H565" s="156"/>
      <c r="I565" s="157"/>
      <c r="J565" s="158"/>
      <c r="L565" s="94"/>
      <c r="M565" s="159"/>
      <c r="N565" s="94"/>
    </row>
    <row r="566">
      <c r="A566" s="107">
        <v>200757.0</v>
      </c>
      <c r="B566" s="108" t="s">
        <v>85</v>
      </c>
      <c r="C566" s="108" t="s">
        <v>338</v>
      </c>
      <c r="D566" s="100" t="str">
        <f t="shared" si="1"/>
        <v/>
      </c>
      <c r="E566" s="100" t="str">
        <f t="shared" si="2"/>
        <v/>
      </c>
      <c r="F566" s="100" t="str">
        <f t="shared" si="3"/>
        <v/>
      </c>
      <c r="G566" s="151"/>
      <c r="H566" s="160"/>
      <c r="I566" s="157"/>
      <c r="J566" s="161"/>
      <c r="L566" s="94"/>
      <c r="M566" s="159"/>
      <c r="N566" s="94"/>
    </row>
    <row r="567">
      <c r="A567" s="107">
        <v>200757.0</v>
      </c>
      <c r="B567" s="108" t="s">
        <v>90</v>
      </c>
      <c r="C567" s="108" t="s">
        <v>338</v>
      </c>
      <c r="D567" s="100" t="str">
        <f t="shared" si="1"/>
        <v/>
      </c>
      <c r="E567" s="100" t="str">
        <f t="shared" si="2"/>
        <v/>
      </c>
      <c r="F567" s="100" t="str">
        <f t="shared" si="3"/>
        <v/>
      </c>
      <c r="G567" s="151"/>
      <c r="H567" s="156"/>
      <c r="I567" s="157"/>
      <c r="J567" s="158"/>
      <c r="L567" s="94"/>
      <c r="M567" s="159"/>
      <c r="N567" s="94"/>
    </row>
    <row r="568">
      <c r="A568" s="107">
        <v>200757.0</v>
      </c>
      <c r="B568" s="108" t="s">
        <v>92</v>
      </c>
      <c r="C568" s="108" t="s">
        <v>338</v>
      </c>
      <c r="D568" s="100" t="str">
        <f t="shared" si="1"/>
        <v/>
      </c>
      <c r="E568" s="100" t="str">
        <f t="shared" si="2"/>
        <v/>
      </c>
      <c r="F568" s="100" t="str">
        <f t="shared" si="3"/>
        <v/>
      </c>
      <c r="G568" s="151"/>
      <c r="H568" s="160"/>
      <c r="I568" s="157"/>
      <c r="J568" s="161"/>
      <c r="L568" s="94"/>
      <c r="M568" s="159"/>
      <c r="N568" s="94"/>
    </row>
    <row r="569">
      <c r="A569" s="107">
        <v>200757.0</v>
      </c>
      <c r="B569" s="108" t="s">
        <v>190</v>
      </c>
      <c r="C569" s="108" t="s">
        <v>338</v>
      </c>
      <c r="D569" s="100" t="str">
        <f t="shared" si="1"/>
        <v/>
      </c>
      <c r="E569" s="100" t="str">
        <f t="shared" si="2"/>
        <v/>
      </c>
      <c r="F569" s="100" t="str">
        <f t="shared" si="3"/>
        <v/>
      </c>
      <c r="G569" s="151"/>
      <c r="H569" s="156"/>
      <c r="I569" s="157"/>
      <c r="J569" s="158"/>
      <c r="L569" s="94"/>
      <c r="M569" s="159"/>
      <c r="N569" s="94"/>
    </row>
    <row r="570">
      <c r="A570" s="107">
        <v>200757.0</v>
      </c>
      <c r="B570" s="108" t="s">
        <v>191</v>
      </c>
      <c r="C570" s="108" t="s">
        <v>338</v>
      </c>
      <c r="D570" s="100" t="str">
        <f t="shared" si="1"/>
        <v/>
      </c>
      <c r="E570" s="100" t="str">
        <f t="shared" si="2"/>
        <v/>
      </c>
      <c r="F570" s="100" t="str">
        <f t="shared" si="3"/>
        <v/>
      </c>
      <c r="G570" s="151"/>
      <c r="H570" s="160"/>
      <c r="I570" s="157"/>
      <c r="J570" s="161"/>
      <c r="L570" s="94"/>
      <c r="M570" s="159"/>
      <c r="N570" s="94"/>
    </row>
    <row r="571">
      <c r="A571" s="107">
        <v>200757.0</v>
      </c>
      <c r="B571" s="108" t="s">
        <v>192</v>
      </c>
      <c r="C571" s="108" t="s">
        <v>338</v>
      </c>
      <c r="D571" s="100" t="str">
        <f t="shared" si="1"/>
        <v/>
      </c>
      <c r="E571" s="100" t="str">
        <f t="shared" si="2"/>
        <v/>
      </c>
      <c r="F571" s="100" t="str">
        <f t="shared" si="3"/>
        <v/>
      </c>
      <c r="G571" s="151"/>
      <c r="H571" s="156"/>
      <c r="I571" s="157"/>
      <c r="J571" s="158"/>
      <c r="L571" s="94"/>
      <c r="M571" s="159"/>
      <c r="N571" s="94"/>
    </row>
    <row r="572">
      <c r="A572" s="107">
        <v>200757.0</v>
      </c>
      <c r="B572" s="108" t="s">
        <v>193</v>
      </c>
      <c r="C572" s="108" t="s">
        <v>338</v>
      </c>
      <c r="D572" s="100" t="str">
        <f t="shared" si="1"/>
        <v/>
      </c>
      <c r="E572" s="100" t="str">
        <f t="shared" si="2"/>
        <v/>
      </c>
      <c r="F572" s="100" t="str">
        <f t="shared" si="3"/>
        <v/>
      </c>
      <c r="G572" s="151"/>
      <c r="H572" s="160"/>
      <c r="I572" s="157"/>
      <c r="J572" s="161"/>
      <c r="L572" s="94"/>
      <c r="M572" s="159"/>
      <c r="N572" s="94"/>
    </row>
    <row r="573">
      <c r="A573" s="107">
        <v>200758.0</v>
      </c>
      <c r="B573" s="108" t="s">
        <v>85</v>
      </c>
      <c r="C573" s="108" t="s">
        <v>339</v>
      </c>
      <c r="D573" s="100" t="str">
        <f t="shared" si="1"/>
        <v/>
      </c>
      <c r="E573" s="100" t="str">
        <f t="shared" si="2"/>
        <v/>
      </c>
      <c r="F573" s="100" t="str">
        <f t="shared" si="3"/>
        <v/>
      </c>
      <c r="G573" s="151"/>
      <c r="H573" s="156"/>
      <c r="I573" s="157"/>
      <c r="J573" s="158"/>
      <c r="L573" s="94"/>
      <c r="M573" s="159"/>
      <c r="N573" s="94"/>
    </row>
    <row r="574">
      <c r="A574" s="107">
        <v>200761.0</v>
      </c>
      <c r="B574" s="108" t="s">
        <v>85</v>
      </c>
      <c r="C574" s="108" t="s">
        <v>340</v>
      </c>
      <c r="D574" s="100" t="str">
        <f t="shared" si="1"/>
        <v/>
      </c>
      <c r="E574" s="100" t="str">
        <f t="shared" si="2"/>
        <v/>
      </c>
      <c r="F574" s="100" t="str">
        <f t="shared" si="3"/>
        <v/>
      </c>
      <c r="G574" s="151"/>
      <c r="H574" s="160"/>
      <c r="I574" s="157"/>
      <c r="J574" s="161"/>
      <c r="L574" s="94"/>
      <c r="M574" s="159"/>
      <c r="N574" s="94"/>
    </row>
    <row r="575">
      <c r="A575" s="107">
        <v>200761.0</v>
      </c>
      <c r="B575" s="108" t="s">
        <v>90</v>
      </c>
      <c r="C575" s="108" t="s">
        <v>340</v>
      </c>
      <c r="D575" s="100" t="str">
        <f t="shared" si="1"/>
        <v/>
      </c>
      <c r="E575" s="100" t="str">
        <f t="shared" si="2"/>
        <v/>
      </c>
      <c r="F575" s="100" t="str">
        <f t="shared" si="3"/>
        <v/>
      </c>
      <c r="G575" s="151"/>
      <c r="H575" s="156"/>
      <c r="I575" s="157"/>
      <c r="J575" s="158"/>
      <c r="L575" s="94"/>
      <c r="M575" s="159"/>
      <c r="N575" s="94"/>
    </row>
    <row r="576">
      <c r="A576" s="107">
        <v>200765.0</v>
      </c>
      <c r="B576" s="108" t="s">
        <v>85</v>
      </c>
      <c r="C576" s="108" t="s">
        <v>341</v>
      </c>
      <c r="D576" s="100" t="str">
        <f t="shared" si="1"/>
        <v/>
      </c>
      <c r="E576" s="100" t="str">
        <f t="shared" si="2"/>
        <v/>
      </c>
      <c r="F576" s="100" t="str">
        <f t="shared" si="3"/>
        <v/>
      </c>
      <c r="G576" s="151"/>
      <c r="H576" s="160"/>
      <c r="I576" s="157"/>
      <c r="J576" s="161"/>
      <c r="L576" s="94"/>
      <c r="M576" s="159"/>
      <c r="N576" s="94"/>
    </row>
    <row r="577">
      <c r="A577" s="107">
        <v>200765.0</v>
      </c>
      <c r="B577" s="108" t="s">
        <v>90</v>
      </c>
      <c r="C577" s="108" t="s">
        <v>341</v>
      </c>
      <c r="D577" s="100" t="str">
        <f t="shared" si="1"/>
        <v/>
      </c>
      <c r="E577" s="100" t="str">
        <f t="shared" si="2"/>
        <v/>
      </c>
      <c r="F577" s="100" t="str">
        <f t="shared" si="3"/>
        <v/>
      </c>
      <c r="G577" s="151"/>
      <c r="H577" s="156"/>
      <c r="I577" s="157"/>
      <c r="J577" s="158"/>
      <c r="L577" s="94"/>
      <c r="M577" s="159"/>
      <c r="N577" s="94"/>
    </row>
    <row r="578">
      <c r="A578" s="107">
        <v>200765.0</v>
      </c>
      <c r="B578" s="108" t="s">
        <v>92</v>
      </c>
      <c r="C578" s="108" t="s">
        <v>341</v>
      </c>
      <c r="D578" s="100" t="str">
        <f t="shared" si="1"/>
        <v/>
      </c>
      <c r="E578" s="100" t="str">
        <f t="shared" si="2"/>
        <v/>
      </c>
      <c r="F578" s="100" t="str">
        <f t="shared" si="3"/>
        <v/>
      </c>
      <c r="G578" s="151"/>
      <c r="H578" s="160"/>
      <c r="I578" s="157"/>
      <c r="J578" s="161"/>
      <c r="L578" s="94"/>
      <c r="M578" s="159"/>
      <c r="N578" s="94"/>
    </row>
    <row r="579">
      <c r="A579" s="107">
        <v>200765.0</v>
      </c>
      <c r="B579" s="108" t="s">
        <v>190</v>
      </c>
      <c r="C579" s="108" t="s">
        <v>341</v>
      </c>
      <c r="D579" s="100" t="str">
        <f t="shared" si="1"/>
        <v/>
      </c>
      <c r="E579" s="100" t="str">
        <f t="shared" si="2"/>
        <v/>
      </c>
      <c r="F579" s="100" t="str">
        <f t="shared" si="3"/>
        <v/>
      </c>
      <c r="G579" s="151"/>
      <c r="H579" s="156"/>
      <c r="I579" s="157"/>
      <c r="J579" s="158"/>
      <c r="L579" s="94"/>
      <c r="M579" s="159"/>
      <c r="N579" s="94"/>
    </row>
    <row r="580">
      <c r="A580" s="107">
        <v>200765.0</v>
      </c>
      <c r="B580" s="108" t="s">
        <v>191</v>
      </c>
      <c r="C580" s="108" t="s">
        <v>341</v>
      </c>
      <c r="D580" s="100" t="str">
        <f t="shared" si="1"/>
        <v/>
      </c>
      <c r="E580" s="100" t="str">
        <f t="shared" si="2"/>
        <v/>
      </c>
      <c r="F580" s="100" t="str">
        <f t="shared" si="3"/>
        <v/>
      </c>
      <c r="G580" s="151"/>
      <c r="H580" s="160"/>
      <c r="I580" s="157"/>
      <c r="J580" s="161"/>
      <c r="L580" s="94"/>
      <c r="M580" s="159"/>
      <c r="N580" s="94"/>
    </row>
    <row r="581">
      <c r="A581" s="107">
        <v>200765.0</v>
      </c>
      <c r="B581" s="108" t="s">
        <v>192</v>
      </c>
      <c r="C581" s="108" t="s">
        <v>341</v>
      </c>
      <c r="D581" s="100" t="str">
        <f t="shared" si="1"/>
        <v/>
      </c>
      <c r="E581" s="100" t="str">
        <f t="shared" si="2"/>
        <v/>
      </c>
      <c r="F581" s="100" t="str">
        <f t="shared" si="3"/>
        <v/>
      </c>
      <c r="G581" s="151"/>
      <c r="H581" s="156"/>
      <c r="I581" s="157"/>
      <c r="J581" s="158"/>
      <c r="L581" s="94"/>
      <c r="M581" s="159"/>
      <c r="N581" s="94"/>
    </row>
    <row r="582">
      <c r="A582" s="107">
        <v>200765.0</v>
      </c>
      <c r="B582" s="108" t="s">
        <v>193</v>
      </c>
      <c r="C582" s="108" t="s">
        <v>341</v>
      </c>
      <c r="D582" s="100" t="str">
        <f t="shared" si="1"/>
        <v/>
      </c>
      <c r="E582" s="100" t="str">
        <f t="shared" si="2"/>
        <v/>
      </c>
      <c r="F582" s="100" t="str">
        <f t="shared" si="3"/>
        <v/>
      </c>
      <c r="G582" s="151"/>
      <c r="H582" s="160"/>
      <c r="I582" s="157"/>
      <c r="J582" s="161"/>
      <c r="L582" s="94"/>
      <c r="M582" s="159"/>
      <c r="N582" s="94"/>
    </row>
    <row r="583">
      <c r="A583" s="107">
        <v>200765.0</v>
      </c>
      <c r="B583" s="108" t="s">
        <v>243</v>
      </c>
      <c r="C583" s="108" t="s">
        <v>341</v>
      </c>
      <c r="D583" s="100" t="str">
        <f t="shared" si="1"/>
        <v/>
      </c>
      <c r="E583" s="100" t="str">
        <f t="shared" si="2"/>
        <v/>
      </c>
      <c r="F583" s="100" t="str">
        <f t="shared" si="3"/>
        <v/>
      </c>
      <c r="G583" s="151"/>
      <c r="H583" s="156"/>
      <c r="I583" s="157"/>
      <c r="J583" s="158"/>
      <c r="L583" s="94"/>
      <c r="M583" s="159"/>
      <c r="N583" s="94"/>
    </row>
    <row r="584">
      <c r="A584" s="107">
        <v>200765.0</v>
      </c>
      <c r="B584" s="108" t="s">
        <v>215</v>
      </c>
      <c r="C584" s="108" t="s">
        <v>341</v>
      </c>
      <c r="D584" s="100" t="str">
        <f t="shared" si="1"/>
        <v/>
      </c>
      <c r="E584" s="100" t="str">
        <f t="shared" si="2"/>
        <v/>
      </c>
      <c r="F584" s="100" t="str">
        <f t="shared" si="3"/>
        <v/>
      </c>
      <c r="G584" s="151"/>
      <c r="H584" s="160"/>
      <c r="I584" s="157"/>
      <c r="J584" s="161"/>
      <c r="L584" s="94"/>
      <c r="M584" s="159"/>
      <c r="N584" s="94"/>
    </row>
    <row r="585">
      <c r="A585" s="107">
        <v>200768.0</v>
      </c>
      <c r="B585" s="108" t="s">
        <v>85</v>
      </c>
      <c r="C585" s="108" t="s">
        <v>342</v>
      </c>
      <c r="D585" s="100" t="str">
        <f t="shared" si="1"/>
        <v/>
      </c>
      <c r="E585" s="100" t="str">
        <f t="shared" si="2"/>
        <v/>
      </c>
      <c r="F585" s="100" t="str">
        <f t="shared" si="3"/>
        <v/>
      </c>
      <c r="G585" s="151"/>
      <c r="H585" s="156"/>
      <c r="I585" s="157"/>
      <c r="J585" s="158"/>
      <c r="L585" s="94"/>
      <c r="M585" s="159"/>
      <c r="N585" s="94"/>
    </row>
    <row r="586">
      <c r="A586" s="107">
        <v>200768.0</v>
      </c>
      <c r="B586" s="108" t="s">
        <v>90</v>
      </c>
      <c r="C586" s="108" t="s">
        <v>342</v>
      </c>
      <c r="D586" s="100" t="str">
        <f t="shared" si="1"/>
        <v/>
      </c>
      <c r="E586" s="100" t="str">
        <f t="shared" si="2"/>
        <v/>
      </c>
      <c r="F586" s="100" t="str">
        <f t="shared" si="3"/>
        <v/>
      </c>
      <c r="G586" s="151"/>
      <c r="H586" s="160"/>
      <c r="I586" s="157"/>
      <c r="J586" s="161"/>
      <c r="L586" s="94"/>
      <c r="M586" s="159"/>
      <c r="N586" s="94"/>
    </row>
    <row r="587">
      <c r="A587" s="107">
        <v>200768.0</v>
      </c>
      <c r="B587" s="108" t="s">
        <v>92</v>
      </c>
      <c r="C587" s="108" t="s">
        <v>342</v>
      </c>
      <c r="D587" s="100" t="str">
        <f t="shared" si="1"/>
        <v/>
      </c>
      <c r="E587" s="100" t="str">
        <f t="shared" si="2"/>
        <v/>
      </c>
      <c r="F587" s="100" t="str">
        <f t="shared" si="3"/>
        <v/>
      </c>
      <c r="G587" s="151"/>
      <c r="H587" s="156"/>
      <c r="I587" s="157"/>
      <c r="J587" s="158"/>
      <c r="L587" s="94"/>
      <c r="M587" s="159"/>
      <c r="N587" s="94"/>
    </row>
    <row r="588">
      <c r="A588" s="107">
        <v>200768.0</v>
      </c>
      <c r="B588" s="108" t="s">
        <v>190</v>
      </c>
      <c r="C588" s="108" t="s">
        <v>342</v>
      </c>
      <c r="D588" s="100" t="str">
        <f t="shared" si="1"/>
        <v/>
      </c>
      <c r="E588" s="100" t="str">
        <f t="shared" si="2"/>
        <v/>
      </c>
      <c r="F588" s="100" t="str">
        <f t="shared" si="3"/>
        <v/>
      </c>
      <c r="G588" s="151"/>
      <c r="H588" s="160"/>
      <c r="I588" s="157"/>
      <c r="J588" s="161"/>
      <c r="L588" s="94"/>
      <c r="M588" s="159"/>
      <c r="N588" s="94"/>
    </row>
    <row r="589">
      <c r="A589" s="107">
        <v>200768.0</v>
      </c>
      <c r="B589" s="108" t="s">
        <v>191</v>
      </c>
      <c r="C589" s="108" t="s">
        <v>342</v>
      </c>
      <c r="D589" s="100" t="str">
        <f t="shared" si="1"/>
        <v/>
      </c>
      <c r="E589" s="100" t="str">
        <f t="shared" si="2"/>
        <v/>
      </c>
      <c r="F589" s="100" t="str">
        <f t="shared" si="3"/>
        <v/>
      </c>
      <c r="G589" s="151"/>
      <c r="H589" s="156"/>
      <c r="I589" s="157"/>
      <c r="J589" s="158"/>
      <c r="L589" s="94"/>
      <c r="M589" s="159"/>
      <c r="N589" s="94"/>
    </row>
    <row r="590">
      <c r="A590" s="107">
        <v>200768.0</v>
      </c>
      <c r="B590" s="108" t="s">
        <v>192</v>
      </c>
      <c r="C590" s="108" t="s">
        <v>342</v>
      </c>
      <c r="D590" s="100" t="str">
        <f t="shared" si="1"/>
        <v/>
      </c>
      <c r="E590" s="100" t="str">
        <f t="shared" si="2"/>
        <v/>
      </c>
      <c r="F590" s="100" t="str">
        <f t="shared" si="3"/>
        <v/>
      </c>
      <c r="G590" s="151"/>
      <c r="H590" s="160"/>
      <c r="I590" s="157"/>
      <c r="J590" s="161"/>
      <c r="L590" s="94"/>
      <c r="M590" s="159"/>
      <c r="N590" s="94"/>
    </row>
    <row r="591">
      <c r="A591" s="107">
        <v>200768.0</v>
      </c>
      <c r="B591" s="108" t="s">
        <v>193</v>
      </c>
      <c r="C591" s="108" t="s">
        <v>342</v>
      </c>
      <c r="D591" s="100" t="str">
        <f t="shared" si="1"/>
        <v/>
      </c>
      <c r="E591" s="100" t="str">
        <f t="shared" si="2"/>
        <v/>
      </c>
      <c r="F591" s="100" t="str">
        <f t="shared" si="3"/>
        <v/>
      </c>
      <c r="G591" s="151"/>
      <c r="H591" s="156"/>
      <c r="I591" s="157"/>
      <c r="J591" s="158"/>
      <c r="L591" s="94"/>
      <c r="M591" s="159"/>
      <c r="N591" s="94"/>
    </row>
    <row r="592">
      <c r="A592" s="107">
        <v>200768.0</v>
      </c>
      <c r="B592" s="108" t="s">
        <v>243</v>
      </c>
      <c r="C592" s="108" t="s">
        <v>342</v>
      </c>
      <c r="D592" s="100" t="str">
        <f t="shared" si="1"/>
        <v/>
      </c>
      <c r="E592" s="100" t="str">
        <f t="shared" si="2"/>
        <v/>
      </c>
      <c r="F592" s="100" t="str">
        <f t="shared" si="3"/>
        <v/>
      </c>
      <c r="G592" s="151"/>
      <c r="H592" s="160"/>
      <c r="I592" s="157"/>
      <c r="J592" s="161"/>
      <c r="L592" s="94"/>
      <c r="M592" s="159"/>
      <c r="N592" s="94"/>
    </row>
    <row r="593">
      <c r="A593" s="107">
        <v>200768.0</v>
      </c>
      <c r="B593" s="108" t="s">
        <v>215</v>
      </c>
      <c r="C593" s="108" t="s">
        <v>342</v>
      </c>
      <c r="D593" s="100" t="str">
        <f t="shared" si="1"/>
        <v/>
      </c>
      <c r="E593" s="100" t="str">
        <f t="shared" si="2"/>
        <v/>
      </c>
      <c r="F593" s="100" t="str">
        <f t="shared" si="3"/>
        <v/>
      </c>
      <c r="G593" s="151"/>
      <c r="H593" s="156"/>
      <c r="I593" s="157"/>
      <c r="J593" s="158"/>
      <c r="L593" s="94"/>
      <c r="M593" s="159"/>
      <c r="N593" s="94"/>
    </row>
    <row r="594">
      <c r="A594" s="107">
        <v>200768.0</v>
      </c>
      <c r="B594" s="108" t="s">
        <v>244</v>
      </c>
      <c r="C594" s="108" t="s">
        <v>342</v>
      </c>
      <c r="D594" s="100" t="str">
        <f t="shared" si="1"/>
        <v/>
      </c>
      <c r="E594" s="100" t="str">
        <f t="shared" si="2"/>
        <v/>
      </c>
      <c r="F594" s="100" t="str">
        <f t="shared" si="3"/>
        <v/>
      </c>
      <c r="G594" s="151"/>
      <c r="H594" s="160"/>
      <c r="I594" s="157"/>
      <c r="J594" s="161"/>
      <c r="L594" s="94"/>
      <c r="M594" s="159"/>
      <c r="N594" s="94"/>
    </row>
    <row r="595">
      <c r="A595" s="107">
        <v>200768.0</v>
      </c>
      <c r="B595" s="108" t="s">
        <v>245</v>
      </c>
      <c r="C595" s="108" t="s">
        <v>342</v>
      </c>
      <c r="D595" s="100" t="str">
        <f t="shared" si="1"/>
        <v/>
      </c>
      <c r="E595" s="100" t="str">
        <f t="shared" si="2"/>
        <v/>
      </c>
      <c r="F595" s="100" t="str">
        <f t="shared" si="3"/>
        <v/>
      </c>
      <c r="G595" s="151"/>
      <c r="H595" s="156"/>
      <c r="I595" s="157"/>
      <c r="J595" s="158"/>
      <c r="L595" s="94"/>
      <c r="M595" s="159"/>
      <c r="N595" s="94"/>
    </row>
    <row r="596">
      <c r="A596" s="107">
        <v>200768.0</v>
      </c>
      <c r="B596" s="108" t="s">
        <v>246</v>
      </c>
      <c r="C596" s="108" t="s">
        <v>342</v>
      </c>
      <c r="D596" s="100" t="str">
        <f t="shared" si="1"/>
        <v/>
      </c>
      <c r="E596" s="100" t="str">
        <f t="shared" si="2"/>
        <v/>
      </c>
      <c r="F596" s="100" t="str">
        <f t="shared" si="3"/>
        <v/>
      </c>
      <c r="G596" s="151"/>
      <c r="H596" s="160"/>
      <c r="I596" s="157"/>
      <c r="J596" s="161"/>
      <c r="L596" s="94"/>
      <c r="M596" s="159"/>
      <c r="N596" s="94"/>
    </row>
    <row r="597">
      <c r="A597" s="114">
        <v>200768.0</v>
      </c>
      <c r="B597" s="113" t="s">
        <v>247</v>
      </c>
      <c r="C597" s="113" t="s">
        <v>342</v>
      </c>
      <c r="D597" s="100" t="str">
        <f t="shared" si="1"/>
        <v/>
      </c>
      <c r="E597" s="100" t="str">
        <f t="shared" si="2"/>
        <v/>
      </c>
      <c r="F597" s="100" t="str">
        <f t="shared" si="3"/>
        <v/>
      </c>
      <c r="G597" s="151"/>
      <c r="H597" s="156"/>
      <c r="I597" s="157"/>
      <c r="J597" s="158"/>
      <c r="L597" s="94"/>
      <c r="M597" s="159"/>
      <c r="N597" s="94"/>
    </row>
    <row r="598">
      <c r="A598" s="107">
        <v>200769.0</v>
      </c>
      <c r="B598" s="108" t="s">
        <v>85</v>
      </c>
      <c r="C598" s="108" t="s">
        <v>343</v>
      </c>
      <c r="D598" s="100" t="str">
        <f t="shared" si="1"/>
        <v/>
      </c>
      <c r="E598" s="100" t="str">
        <f t="shared" si="2"/>
        <v/>
      </c>
      <c r="F598" s="100" t="str">
        <f t="shared" si="3"/>
        <v/>
      </c>
      <c r="G598" s="151"/>
      <c r="H598" s="160"/>
      <c r="I598" s="157"/>
      <c r="J598" s="161"/>
      <c r="L598" s="94"/>
      <c r="M598" s="159"/>
      <c r="N598" s="94"/>
    </row>
    <row r="599">
      <c r="A599" s="107">
        <v>200769.0</v>
      </c>
      <c r="B599" s="108" t="s">
        <v>90</v>
      </c>
      <c r="C599" s="108" t="s">
        <v>343</v>
      </c>
      <c r="D599" s="100" t="str">
        <f t="shared" si="1"/>
        <v/>
      </c>
      <c r="E599" s="100" t="str">
        <f t="shared" si="2"/>
        <v/>
      </c>
      <c r="F599" s="100" t="str">
        <f t="shared" si="3"/>
        <v/>
      </c>
      <c r="G599" s="151"/>
      <c r="H599" s="156"/>
      <c r="I599" s="157"/>
      <c r="J599" s="158"/>
      <c r="L599" s="94"/>
      <c r="M599" s="159"/>
      <c r="N599" s="94"/>
    </row>
    <row r="600">
      <c r="A600" s="107">
        <v>200770.0</v>
      </c>
      <c r="B600" s="108" t="s">
        <v>85</v>
      </c>
      <c r="C600" s="108" t="s">
        <v>344</v>
      </c>
      <c r="D600" s="100" t="str">
        <f t="shared" si="1"/>
        <v/>
      </c>
      <c r="E600" s="100" t="str">
        <f t="shared" si="2"/>
        <v/>
      </c>
      <c r="F600" s="100" t="str">
        <f t="shared" si="3"/>
        <v/>
      </c>
      <c r="G600" s="151"/>
      <c r="H600" s="160"/>
      <c r="I600" s="157"/>
      <c r="J600" s="161"/>
      <c r="L600" s="94"/>
      <c r="M600" s="159"/>
      <c r="N600" s="94"/>
    </row>
    <row r="601">
      <c r="A601" s="107">
        <v>200770.0</v>
      </c>
      <c r="B601" s="108" t="s">
        <v>90</v>
      </c>
      <c r="C601" s="108" t="s">
        <v>344</v>
      </c>
      <c r="D601" s="100" t="str">
        <f t="shared" si="1"/>
        <v/>
      </c>
      <c r="E601" s="100" t="str">
        <f t="shared" si="2"/>
        <v/>
      </c>
      <c r="F601" s="100" t="str">
        <f t="shared" si="3"/>
        <v/>
      </c>
      <c r="G601" s="151"/>
      <c r="H601" s="156"/>
      <c r="I601" s="157"/>
      <c r="J601" s="158"/>
      <c r="L601" s="94"/>
      <c r="M601" s="159"/>
      <c r="N601" s="94"/>
    </row>
    <row r="602">
      <c r="A602" s="107">
        <v>200770.0</v>
      </c>
      <c r="B602" s="108" t="s">
        <v>92</v>
      </c>
      <c r="C602" s="108" t="s">
        <v>344</v>
      </c>
      <c r="D602" s="100" t="str">
        <f t="shared" si="1"/>
        <v/>
      </c>
      <c r="E602" s="100" t="str">
        <f t="shared" si="2"/>
        <v/>
      </c>
      <c r="F602" s="100" t="str">
        <f t="shared" si="3"/>
        <v/>
      </c>
      <c r="G602" s="151"/>
      <c r="H602" s="160"/>
      <c r="I602" s="157"/>
      <c r="J602" s="161"/>
      <c r="L602" s="94"/>
      <c r="M602" s="159"/>
      <c r="N602" s="94"/>
    </row>
    <row r="603">
      <c r="A603" s="107">
        <v>200770.0</v>
      </c>
      <c r="B603" s="108" t="s">
        <v>190</v>
      </c>
      <c r="C603" s="108" t="s">
        <v>344</v>
      </c>
      <c r="D603" s="100" t="str">
        <f t="shared" si="1"/>
        <v/>
      </c>
      <c r="E603" s="100" t="str">
        <f t="shared" si="2"/>
        <v/>
      </c>
      <c r="F603" s="100" t="str">
        <f t="shared" si="3"/>
        <v/>
      </c>
      <c r="G603" s="151"/>
      <c r="H603" s="156"/>
      <c r="I603" s="157"/>
      <c r="J603" s="158"/>
      <c r="L603" s="94"/>
      <c r="M603" s="159"/>
      <c r="N603" s="94"/>
    </row>
    <row r="604">
      <c r="A604" s="107">
        <v>200771.0</v>
      </c>
      <c r="B604" s="108" t="s">
        <v>190</v>
      </c>
      <c r="C604" s="108" t="s">
        <v>345</v>
      </c>
      <c r="D604" s="100" t="str">
        <f t="shared" si="1"/>
        <v/>
      </c>
      <c r="E604" s="100" t="str">
        <f t="shared" si="2"/>
        <v/>
      </c>
      <c r="F604" s="100" t="str">
        <f t="shared" si="3"/>
        <v/>
      </c>
      <c r="G604" s="151"/>
      <c r="H604" s="160"/>
      <c r="I604" s="157"/>
      <c r="J604" s="161"/>
      <c r="L604" s="94"/>
      <c r="M604" s="159"/>
      <c r="N604" s="94"/>
    </row>
    <row r="605">
      <c r="A605" s="107">
        <v>200777.0</v>
      </c>
      <c r="B605" s="108" t="s">
        <v>85</v>
      </c>
      <c r="C605" s="108" t="s">
        <v>346</v>
      </c>
      <c r="D605" s="100" t="str">
        <f t="shared" si="1"/>
        <v/>
      </c>
      <c r="E605" s="100" t="str">
        <f t="shared" si="2"/>
        <v/>
      </c>
      <c r="F605" s="100" t="str">
        <f t="shared" si="3"/>
        <v/>
      </c>
      <c r="G605" s="151"/>
      <c r="H605" s="156"/>
      <c r="I605" s="157"/>
      <c r="J605" s="158"/>
      <c r="L605" s="94"/>
      <c r="M605" s="159"/>
      <c r="N605" s="94"/>
    </row>
    <row r="606">
      <c r="A606" s="107">
        <v>200777.0</v>
      </c>
      <c r="B606" s="108" t="s">
        <v>90</v>
      </c>
      <c r="C606" s="108" t="s">
        <v>346</v>
      </c>
      <c r="D606" s="100" t="str">
        <f t="shared" si="1"/>
        <v/>
      </c>
      <c r="E606" s="100" t="str">
        <f t="shared" si="2"/>
        <v/>
      </c>
      <c r="F606" s="100" t="str">
        <f t="shared" si="3"/>
        <v/>
      </c>
      <c r="G606" s="151"/>
      <c r="H606" s="160"/>
      <c r="I606" s="157"/>
      <c r="J606" s="161"/>
      <c r="L606" s="94"/>
      <c r="M606" s="159"/>
      <c r="N606" s="94"/>
    </row>
    <row r="607">
      <c r="A607" s="107">
        <v>200779.0</v>
      </c>
      <c r="B607" s="108" t="s">
        <v>85</v>
      </c>
      <c r="C607" s="108" t="s">
        <v>347</v>
      </c>
      <c r="D607" s="100" t="str">
        <f t="shared" si="1"/>
        <v/>
      </c>
      <c r="E607" s="100" t="str">
        <f t="shared" si="2"/>
        <v/>
      </c>
      <c r="F607" s="100" t="str">
        <f t="shared" si="3"/>
        <v/>
      </c>
      <c r="G607" s="151"/>
      <c r="H607" s="156"/>
      <c r="I607" s="157"/>
      <c r="J607" s="158"/>
      <c r="L607" s="94"/>
      <c r="M607" s="159"/>
      <c r="N607" s="94"/>
    </row>
    <row r="608">
      <c r="A608" s="107">
        <v>200779.0</v>
      </c>
      <c r="B608" s="108" t="s">
        <v>90</v>
      </c>
      <c r="C608" s="108" t="s">
        <v>347</v>
      </c>
      <c r="D608" s="100" t="str">
        <f t="shared" si="1"/>
        <v/>
      </c>
      <c r="E608" s="100" t="str">
        <f t="shared" si="2"/>
        <v/>
      </c>
      <c r="F608" s="100" t="str">
        <f t="shared" si="3"/>
        <v/>
      </c>
      <c r="G608" s="151"/>
      <c r="H608" s="160"/>
      <c r="I608" s="157"/>
      <c r="J608" s="161"/>
      <c r="L608" s="94"/>
      <c r="M608" s="159"/>
      <c r="N608" s="94"/>
    </row>
    <row r="609">
      <c r="A609" s="107">
        <v>200779.0</v>
      </c>
      <c r="B609" s="108" t="s">
        <v>92</v>
      </c>
      <c r="C609" s="108" t="s">
        <v>347</v>
      </c>
      <c r="D609" s="100" t="str">
        <f t="shared" si="1"/>
        <v/>
      </c>
      <c r="E609" s="100" t="str">
        <f t="shared" si="2"/>
        <v/>
      </c>
      <c r="F609" s="100" t="str">
        <f t="shared" si="3"/>
        <v/>
      </c>
      <c r="G609" s="151"/>
      <c r="H609" s="156"/>
      <c r="I609" s="157"/>
      <c r="J609" s="158"/>
      <c r="L609" s="94"/>
      <c r="M609" s="159"/>
      <c r="N609" s="94"/>
    </row>
    <row r="610">
      <c r="A610" s="107">
        <v>200779.0</v>
      </c>
      <c r="B610" s="108" t="s">
        <v>190</v>
      </c>
      <c r="C610" s="108" t="s">
        <v>347</v>
      </c>
      <c r="D610" s="100" t="str">
        <f t="shared" si="1"/>
        <v/>
      </c>
      <c r="E610" s="100" t="str">
        <f t="shared" si="2"/>
        <v/>
      </c>
      <c r="F610" s="100" t="str">
        <f t="shared" si="3"/>
        <v/>
      </c>
      <c r="G610" s="151"/>
      <c r="H610" s="160"/>
      <c r="I610" s="157"/>
      <c r="J610" s="161"/>
      <c r="L610" s="94"/>
      <c r="M610" s="159"/>
      <c r="N610" s="94"/>
    </row>
    <row r="611">
      <c r="A611" s="107">
        <v>200780.0</v>
      </c>
      <c r="B611" s="108" t="s">
        <v>85</v>
      </c>
      <c r="C611" s="108" t="s">
        <v>348</v>
      </c>
      <c r="D611" s="100" t="str">
        <f t="shared" si="1"/>
        <v/>
      </c>
      <c r="E611" s="100" t="str">
        <f t="shared" si="2"/>
        <v/>
      </c>
      <c r="F611" s="100" t="str">
        <f t="shared" si="3"/>
        <v/>
      </c>
      <c r="G611" s="151"/>
      <c r="H611" s="156"/>
      <c r="I611" s="157"/>
      <c r="J611" s="158"/>
      <c r="L611" s="94"/>
      <c r="M611" s="159"/>
      <c r="N611" s="94"/>
    </row>
    <row r="612">
      <c r="A612" s="107">
        <v>200782.0</v>
      </c>
      <c r="B612" s="108" t="s">
        <v>85</v>
      </c>
      <c r="C612" s="108" t="s">
        <v>349</v>
      </c>
      <c r="D612" s="100" t="str">
        <f t="shared" si="1"/>
        <v/>
      </c>
      <c r="E612" s="100" t="str">
        <f t="shared" si="2"/>
        <v/>
      </c>
      <c r="F612" s="100" t="str">
        <f t="shared" si="3"/>
        <v/>
      </c>
      <c r="G612" s="151"/>
      <c r="H612" s="160"/>
      <c r="I612" s="157"/>
      <c r="J612" s="161"/>
      <c r="L612" s="94"/>
      <c r="M612" s="159"/>
      <c r="N612" s="94"/>
    </row>
    <row r="613">
      <c r="A613" s="107">
        <v>200782.0</v>
      </c>
      <c r="B613" s="108" t="s">
        <v>90</v>
      </c>
      <c r="C613" s="108" t="s">
        <v>349</v>
      </c>
      <c r="D613" s="100" t="str">
        <f t="shared" si="1"/>
        <v/>
      </c>
      <c r="E613" s="100" t="str">
        <f t="shared" si="2"/>
        <v/>
      </c>
      <c r="F613" s="100" t="str">
        <f t="shared" si="3"/>
        <v/>
      </c>
      <c r="G613" s="151"/>
      <c r="H613" s="156"/>
      <c r="I613" s="157"/>
      <c r="J613" s="158"/>
      <c r="L613" s="94"/>
      <c r="M613" s="159"/>
      <c r="N613" s="94"/>
    </row>
    <row r="614">
      <c r="A614" s="107">
        <v>200782.0</v>
      </c>
      <c r="B614" s="108" t="s">
        <v>92</v>
      </c>
      <c r="C614" s="108" t="s">
        <v>349</v>
      </c>
      <c r="D614" s="100" t="str">
        <f t="shared" si="1"/>
        <v/>
      </c>
      <c r="E614" s="100" t="str">
        <f t="shared" si="2"/>
        <v/>
      </c>
      <c r="F614" s="100" t="str">
        <f t="shared" si="3"/>
        <v/>
      </c>
      <c r="G614" s="151"/>
      <c r="H614" s="160"/>
      <c r="I614" s="157"/>
      <c r="J614" s="161"/>
      <c r="L614" s="94"/>
      <c r="M614" s="159"/>
      <c r="N614" s="94"/>
    </row>
    <row r="615">
      <c r="A615" s="107">
        <v>200782.0</v>
      </c>
      <c r="B615" s="108" t="s">
        <v>190</v>
      </c>
      <c r="C615" s="108" t="s">
        <v>349</v>
      </c>
      <c r="D615" s="100" t="str">
        <f t="shared" si="1"/>
        <v/>
      </c>
      <c r="E615" s="100" t="str">
        <f t="shared" si="2"/>
        <v/>
      </c>
      <c r="F615" s="100" t="str">
        <f t="shared" si="3"/>
        <v/>
      </c>
      <c r="G615" s="151"/>
      <c r="H615" s="156"/>
      <c r="I615" s="157"/>
      <c r="J615" s="158"/>
      <c r="L615" s="94"/>
      <c r="M615" s="159"/>
      <c r="N615" s="94"/>
    </row>
    <row r="616">
      <c r="A616" s="107">
        <v>200782.0</v>
      </c>
      <c r="B616" s="108" t="s">
        <v>191</v>
      </c>
      <c r="C616" s="108" t="s">
        <v>349</v>
      </c>
      <c r="D616" s="100" t="str">
        <f t="shared" si="1"/>
        <v/>
      </c>
      <c r="E616" s="100" t="str">
        <f t="shared" si="2"/>
        <v/>
      </c>
      <c r="F616" s="100" t="str">
        <f t="shared" si="3"/>
        <v/>
      </c>
      <c r="G616" s="151"/>
      <c r="H616" s="160"/>
      <c r="I616" s="157"/>
      <c r="J616" s="161"/>
      <c r="L616" s="94"/>
      <c r="M616" s="159"/>
      <c r="N616" s="94"/>
    </row>
    <row r="617">
      <c r="A617" s="107">
        <v>200782.0</v>
      </c>
      <c r="B617" s="108" t="s">
        <v>192</v>
      </c>
      <c r="C617" s="108" t="s">
        <v>349</v>
      </c>
      <c r="D617" s="100" t="str">
        <f t="shared" si="1"/>
        <v/>
      </c>
      <c r="E617" s="100" t="str">
        <f t="shared" si="2"/>
        <v/>
      </c>
      <c r="F617" s="100" t="str">
        <f t="shared" si="3"/>
        <v/>
      </c>
      <c r="G617" s="151"/>
      <c r="H617" s="156"/>
      <c r="I617" s="157"/>
      <c r="J617" s="158"/>
      <c r="L617" s="94"/>
      <c r="M617" s="159"/>
      <c r="N617" s="94"/>
    </row>
    <row r="618">
      <c r="A618" s="107">
        <v>200782.0</v>
      </c>
      <c r="B618" s="108" t="s">
        <v>193</v>
      </c>
      <c r="C618" s="108" t="s">
        <v>349</v>
      </c>
      <c r="D618" s="100" t="str">
        <f t="shared" si="1"/>
        <v/>
      </c>
      <c r="E618" s="100" t="str">
        <f t="shared" si="2"/>
        <v/>
      </c>
      <c r="F618" s="100" t="str">
        <f t="shared" si="3"/>
        <v/>
      </c>
      <c r="G618" s="151"/>
      <c r="H618" s="160"/>
      <c r="I618" s="157"/>
      <c r="J618" s="161"/>
      <c r="L618" s="94"/>
      <c r="M618" s="159"/>
      <c r="N618" s="94"/>
    </row>
    <row r="619">
      <c r="A619" s="107">
        <v>200782.0</v>
      </c>
      <c r="B619" s="108" t="s">
        <v>243</v>
      </c>
      <c r="C619" s="108" t="s">
        <v>349</v>
      </c>
      <c r="D619" s="100" t="str">
        <f t="shared" si="1"/>
        <v/>
      </c>
      <c r="E619" s="100" t="str">
        <f t="shared" si="2"/>
        <v/>
      </c>
      <c r="F619" s="100" t="str">
        <f t="shared" si="3"/>
        <v/>
      </c>
      <c r="G619" s="151"/>
      <c r="H619" s="156"/>
      <c r="I619" s="157"/>
      <c r="J619" s="158"/>
      <c r="L619" s="94"/>
      <c r="M619" s="159"/>
      <c r="N619" s="94"/>
    </row>
    <row r="620">
      <c r="A620" s="107">
        <v>200782.0</v>
      </c>
      <c r="B620" s="108" t="s">
        <v>215</v>
      </c>
      <c r="C620" s="108" t="s">
        <v>349</v>
      </c>
      <c r="D620" s="100" t="str">
        <f t="shared" si="1"/>
        <v/>
      </c>
      <c r="E620" s="100" t="str">
        <f t="shared" si="2"/>
        <v/>
      </c>
      <c r="F620" s="100" t="str">
        <f t="shared" si="3"/>
        <v/>
      </c>
      <c r="G620" s="151"/>
      <c r="H620" s="160"/>
      <c r="I620" s="157"/>
      <c r="J620" s="161"/>
      <c r="L620" s="94"/>
      <c r="M620" s="159"/>
      <c r="N620" s="94"/>
    </row>
    <row r="621">
      <c r="A621" s="107">
        <v>200782.0</v>
      </c>
      <c r="B621" s="108" t="s">
        <v>244</v>
      </c>
      <c r="C621" s="108" t="s">
        <v>349</v>
      </c>
      <c r="D621" s="100" t="str">
        <f t="shared" si="1"/>
        <v/>
      </c>
      <c r="E621" s="100" t="str">
        <f t="shared" si="2"/>
        <v/>
      </c>
      <c r="F621" s="100" t="str">
        <f t="shared" si="3"/>
        <v/>
      </c>
      <c r="G621" s="151"/>
      <c r="H621" s="156"/>
      <c r="I621" s="157"/>
      <c r="J621" s="158"/>
      <c r="L621" s="94"/>
      <c r="M621" s="159"/>
      <c r="N621" s="94"/>
    </row>
    <row r="622">
      <c r="A622" s="107">
        <v>200782.0</v>
      </c>
      <c r="B622" s="108" t="s">
        <v>245</v>
      </c>
      <c r="C622" s="108" t="s">
        <v>349</v>
      </c>
      <c r="D622" s="100" t="str">
        <f t="shared" si="1"/>
        <v/>
      </c>
      <c r="E622" s="100" t="str">
        <f t="shared" si="2"/>
        <v/>
      </c>
      <c r="F622" s="100" t="str">
        <f t="shared" si="3"/>
        <v/>
      </c>
      <c r="G622" s="151"/>
      <c r="H622" s="160"/>
      <c r="I622" s="157"/>
      <c r="J622" s="161"/>
      <c r="L622" s="94"/>
      <c r="M622" s="159"/>
      <c r="N622" s="94"/>
    </row>
    <row r="623">
      <c r="A623" s="107">
        <v>200782.0</v>
      </c>
      <c r="B623" s="108" t="s">
        <v>246</v>
      </c>
      <c r="C623" s="108" t="s">
        <v>349</v>
      </c>
      <c r="D623" s="100" t="str">
        <f t="shared" si="1"/>
        <v/>
      </c>
      <c r="E623" s="100" t="str">
        <f t="shared" si="2"/>
        <v/>
      </c>
      <c r="F623" s="100" t="str">
        <f t="shared" si="3"/>
        <v/>
      </c>
      <c r="G623" s="151"/>
      <c r="H623" s="156"/>
      <c r="I623" s="157"/>
      <c r="J623" s="158"/>
      <c r="L623" s="94"/>
      <c r="M623" s="159"/>
      <c r="N623" s="94"/>
    </row>
    <row r="624">
      <c r="A624" s="107">
        <v>200794.0</v>
      </c>
      <c r="B624" s="108" t="s">
        <v>85</v>
      </c>
      <c r="C624" s="108" t="s">
        <v>350</v>
      </c>
      <c r="D624" s="100" t="str">
        <f t="shared" si="1"/>
        <v/>
      </c>
      <c r="E624" s="100" t="str">
        <f t="shared" si="2"/>
        <v/>
      </c>
      <c r="F624" s="100" t="str">
        <f t="shared" si="3"/>
        <v/>
      </c>
      <c r="G624" s="151"/>
      <c r="H624" s="160"/>
      <c r="I624" s="157"/>
      <c r="J624" s="161"/>
      <c r="L624" s="94"/>
      <c r="M624" s="159"/>
      <c r="N624" s="94"/>
    </row>
    <row r="625">
      <c r="A625" s="107">
        <v>200794.0</v>
      </c>
      <c r="B625" s="108" t="s">
        <v>90</v>
      </c>
      <c r="C625" s="108" t="s">
        <v>350</v>
      </c>
      <c r="D625" s="100" t="str">
        <f t="shared" si="1"/>
        <v/>
      </c>
      <c r="E625" s="100" t="str">
        <f t="shared" si="2"/>
        <v/>
      </c>
      <c r="F625" s="100" t="str">
        <f t="shared" si="3"/>
        <v/>
      </c>
      <c r="G625" s="151"/>
      <c r="H625" s="156"/>
      <c r="I625" s="157"/>
      <c r="J625" s="158"/>
      <c r="L625" s="94"/>
      <c r="M625" s="159"/>
      <c r="N625" s="94"/>
    </row>
    <row r="626">
      <c r="A626" s="107">
        <v>200794.0</v>
      </c>
      <c r="B626" s="108" t="s">
        <v>92</v>
      </c>
      <c r="C626" s="108" t="s">
        <v>350</v>
      </c>
      <c r="D626" s="100" t="str">
        <f t="shared" si="1"/>
        <v/>
      </c>
      <c r="E626" s="100" t="str">
        <f t="shared" si="2"/>
        <v/>
      </c>
      <c r="F626" s="100" t="str">
        <f t="shared" si="3"/>
        <v/>
      </c>
      <c r="G626" s="151"/>
      <c r="H626" s="160"/>
      <c r="I626" s="157"/>
      <c r="J626" s="161"/>
      <c r="L626" s="94"/>
      <c r="M626" s="159"/>
      <c r="N626" s="94"/>
    </row>
    <row r="627">
      <c r="A627" s="107">
        <v>200794.0</v>
      </c>
      <c r="B627" s="108" t="s">
        <v>190</v>
      </c>
      <c r="C627" s="108" t="s">
        <v>350</v>
      </c>
      <c r="D627" s="100" t="str">
        <f t="shared" si="1"/>
        <v/>
      </c>
      <c r="E627" s="100" t="str">
        <f t="shared" si="2"/>
        <v/>
      </c>
      <c r="F627" s="100" t="str">
        <f t="shared" si="3"/>
        <v/>
      </c>
      <c r="G627" s="151"/>
      <c r="H627" s="156"/>
      <c r="I627" s="157"/>
      <c r="J627" s="158"/>
      <c r="L627" s="94"/>
      <c r="M627" s="159"/>
      <c r="N627" s="94"/>
    </row>
    <row r="628">
      <c r="A628" s="107">
        <v>200794.0</v>
      </c>
      <c r="B628" s="108" t="s">
        <v>191</v>
      </c>
      <c r="C628" s="108" t="s">
        <v>350</v>
      </c>
      <c r="D628" s="100" t="str">
        <f t="shared" si="1"/>
        <v/>
      </c>
      <c r="E628" s="100" t="str">
        <f t="shared" si="2"/>
        <v/>
      </c>
      <c r="F628" s="100" t="str">
        <f t="shared" si="3"/>
        <v/>
      </c>
      <c r="G628" s="151"/>
      <c r="H628" s="160"/>
      <c r="I628" s="157"/>
      <c r="J628" s="161"/>
      <c r="L628" s="94"/>
      <c r="M628" s="159"/>
      <c r="N628" s="94"/>
    </row>
    <row r="629">
      <c r="A629" s="107">
        <v>200794.0</v>
      </c>
      <c r="B629" s="108" t="s">
        <v>192</v>
      </c>
      <c r="C629" s="108" t="s">
        <v>350</v>
      </c>
      <c r="D629" s="100" t="str">
        <f t="shared" si="1"/>
        <v/>
      </c>
      <c r="E629" s="100" t="str">
        <f t="shared" si="2"/>
        <v/>
      </c>
      <c r="F629" s="100" t="str">
        <f t="shared" si="3"/>
        <v/>
      </c>
      <c r="G629" s="151"/>
      <c r="H629" s="156"/>
      <c r="I629" s="157"/>
      <c r="J629" s="158"/>
      <c r="L629" s="94"/>
      <c r="M629" s="159"/>
      <c r="N629" s="94"/>
    </row>
    <row r="630">
      <c r="A630" s="107">
        <v>200794.0</v>
      </c>
      <c r="B630" s="108" t="s">
        <v>193</v>
      </c>
      <c r="C630" s="108" t="s">
        <v>350</v>
      </c>
      <c r="D630" s="100" t="str">
        <f t="shared" si="1"/>
        <v/>
      </c>
      <c r="E630" s="100" t="str">
        <f t="shared" si="2"/>
        <v/>
      </c>
      <c r="F630" s="100" t="str">
        <f t="shared" si="3"/>
        <v/>
      </c>
      <c r="G630" s="151"/>
      <c r="H630" s="160"/>
      <c r="I630" s="157"/>
      <c r="J630" s="161"/>
      <c r="L630" s="94"/>
      <c r="M630" s="159"/>
      <c r="N630" s="94"/>
    </row>
    <row r="631">
      <c r="A631" s="107">
        <v>200794.0</v>
      </c>
      <c r="B631" s="108" t="s">
        <v>243</v>
      </c>
      <c r="C631" s="108" t="s">
        <v>350</v>
      </c>
      <c r="D631" s="100" t="str">
        <f t="shared" si="1"/>
        <v/>
      </c>
      <c r="E631" s="100" t="str">
        <f t="shared" si="2"/>
        <v/>
      </c>
      <c r="F631" s="100" t="str">
        <f t="shared" si="3"/>
        <v/>
      </c>
      <c r="G631" s="151"/>
      <c r="H631" s="156"/>
      <c r="I631" s="157"/>
      <c r="J631" s="158"/>
      <c r="L631" s="94"/>
      <c r="M631" s="159"/>
      <c r="N631" s="94"/>
    </row>
    <row r="632">
      <c r="A632" s="107">
        <v>200794.0</v>
      </c>
      <c r="B632" s="108" t="s">
        <v>215</v>
      </c>
      <c r="C632" s="108" t="s">
        <v>350</v>
      </c>
      <c r="D632" s="100" t="str">
        <f t="shared" si="1"/>
        <v/>
      </c>
      <c r="E632" s="100" t="str">
        <f t="shared" si="2"/>
        <v/>
      </c>
      <c r="F632" s="100" t="str">
        <f t="shared" si="3"/>
        <v/>
      </c>
      <c r="G632" s="151"/>
      <c r="H632" s="160"/>
      <c r="I632" s="157"/>
      <c r="J632" s="161"/>
      <c r="L632" s="94"/>
      <c r="M632" s="159"/>
      <c r="N632" s="94"/>
    </row>
    <row r="633">
      <c r="A633" s="107">
        <v>200797.0</v>
      </c>
      <c r="B633" s="108" t="s">
        <v>85</v>
      </c>
      <c r="C633" s="108" t="s">
        <v>351</v>
      </c>
      <c r="D633" s="100" t="str">
        <f t="shared" si="1"/>
        <v/>
      </c>
      <c r="E633" s="100" t="str">
        <f t="shared" si="2"/>
        <v/>
      </c>
      <c r="F633" s="100" t="str">
        <f t="shared" si="3"/>
        <v/>
      </c>
      <c r="G633" s="151"/>
      <c r="H633" s="156"/>
      <c r="I633" s="157"/>
      <c r="J633" s="158"/>
      <c r="L633" s="94"/>
      <c r="M633" s="159"/>
      <c r="N633" s="94"/>
    </row>
    <row r="634">
      <c r="A634" s="107">
        <v>200797.0</v>
      </c>
      <c r="B634" s="108" t="s">
        <v>90</v>
      </c>
      <c r="C634" s="108" t="s">
        <v>351</v>
      </c>
      <c r="D634" s="100" t="str">
        <f t="shared" si="1"/>
        <v/>
      </c>
      <c r="E634" s="100" t="str">
        <f t="shared" si="2"/>
        <v/>
      </c>
      <c r="F634" s="100" t="str">
        <f t="shared" si="3"/>
        <v/>
      </c>
      <c r="G634" s="151"/>
      <c r="H634" s="160"/>
      <c r="I634" s="157"/>
      <c r="J634" s="161"/>
      <c r="L634" s="94"/>
      <c r="M634" s="159"/>
      <c r="N634" s="94"/>
    </row>
    <row r="635">
      <c r="A635" s="107">
        <v>200797.0</v>
      </c>
      <c r="B635" s="108" t="s">
        <v>92</v>
      </c>
      <c r="C635" s="108" t="s">
        <v>351</v>
      </c>
      <c r="D635" s="100" t="str">
        <f t="shared" si="1"/>
        <v/>
      </c>
      <c r="E635" s="100" t="str">
        <f t="shared" si="2"/>
        <v/>
      </c>
      <c r="F635" s="100" t="str">
        <f t="shared" si="3"/>
        <v/>
      </c>
      <c r="G635" s="151"/>
      <c r="H635" s="156"/>
      <c r="I635" s="157"/>
      <c r="J635" s="158"/>
      <c r="L635" s="94"/>
      <c r="M635" s="159"/>
      <c r="N635" s="94"/>
    </row>
    <row r="636">
      <c r="A636" s="107">
        <v>200811.0</v>
      </c>
      <c r="B636" s="108" t="s">
        <v>85</v>
      </c>
      <c r="C636" s="108" t="s">
        <v>352</v>
      </c>
      <c r="D636" s="100" t="str">
        <f t="shared" si="1"/>
        <v/>
      </c>
      <c r="E636" s="100" t="str">
        <f t="shared" si="2"/>
        <v/>
      </c>
      <c r="F636" s="100" t="str">
        <f t="shared" si="3"/>
        <v/>
      </c>
      <c r="G636" s="151"/>
      <c r="H636" s="160"/>
      <c r="I636" s="157"/>
      <c r="J636" s="161"/>
      <c r="L636" s="94"/>
      <c r="M636" s="159"/>
      <c r="N636" s="94"/>
    </row>
    <row r="637">
      <c r="A637" s="107">
        <v>200811.0</v>
      </c>
      <c r="B637" s="108" t="s">
        <v>90</v>
      </c>
      <c r="C637" s="108" t="s">
        <v>352</v>
      </c>
      <c r="D637" s="100" t="str">
        <f t="shared" si="1"/>
        <v/>
      </c>
      <c r="E637" s="100" t="str">
        <f t="shared" si="2"/>
        <v/>
      </c>
      <c r="F637" s="100" t="str">
        <f t="shared" si="3"/>
        <v/>
      </c>
      <c r="G637" s="151"/>
      <c r="H637" s="156"/>
      <c r="I637" s="157"/>
      <c r="J637" s="158"/>
      <c r="L637" s="94"/>
      <c r="M637" s="159"/>
      <c r="N637" s="94"/>
    </row>
    <row r="638">
      <c r="A638" s="107">
        <v>200811.0</v>
      </c>
      <c r="B638" s="108" t="s">
        <v>92</v>
      </c>
      <c r="C638" s="108" t="s">
        <v>352</v>
      </c>
      <c r="D638" s="100" t="str">
        <f t="shared" si="1"/>
        <v/>
      </c>
      <c r="E638" s="100" t="str">
        <f t="shared" si="2"/>
        <v/>
      </c>
      <c r="F638" s="100" t="str">
        <f t="shared" si="3"/>
        <v/>
      </c>
      <c r="G638" s="151"/>
      <c r="H638" s="160"/>
      <c r="I638" s="157"/>
      <c r="J638" s="161"/>
      <c r="L638" s="94"/>
      <c r="M638" s="159"/>
      <c r="N638" s="94"/>
    </row>
    <row r="639">
      <c r="A639" s="107">
        <v>200826.0</v>
      </c>
      <c r="B639" s="108" t="s">
        <v>85</v>
      </c>
      <c r="C639" s="108" t="s">
        <v>353</v>
      </c>
      <c r="D639" s="100" t="str">
        <f t="shared" si="1"/>
        <v/>
      </c>
      <c r="E639" s="100" t="str">
        <f t="shared" si="2"/>
        <v/>
      </c>
      <c r="F639" s="100" t="str">
        <f t="shared" si="3"/>
        <v/>
      </c>
      <c r="G639" s="151"/>
      <c r="H639" s="156"/>
      <c r="I639" s="157"/>
      <c r="J639" s="158"/>
      <c r="L639" s="94"/>
      <c r="M639" s="159"/>
      <c r="N639" s="94"/>
    </row>
    <row r="640">
      <c r="A640" s="107">
        <v>200826.0</v>
      </c>
      <c r="B640" s="108" t="s">
        <v>90</v>
      </c>
      <c r="C640" s="108" t="s">
        <v>353</v>
      </c>
      <c r="D640" s="100" t="str">
        <f t="shared" si="1"/>
        <v/>
      </c>
      <c r="E640" s="100" t="str">
        <f t="shared" si="2"/>
        <v/>
      </c>
      <c r="F640" s="100" t="str">
        <f t="shared" si="3"/>
        <v/>
      </c>
      <c r="G640" s="151"/>
      <c r="H640" s="160"/>
      <c r="I640" s="157"/>
      <c r="J640" s="161"/>
      <c r="L640" s="94"/>
      <c r="M640" s="159"/>
      <c r="N640" s="94"/>
    </row>
    <row r="641">
      <c r="A641" s="107">
        <v>200826.0</v>
      </c>
      <c r="B641" s="108" t="s">
        <v>92</v>
      </c>
      <c r="C641" s="108" t="s">
        <v>353</v>
      </c>
      <c r="D641" s="100" t="str">
        <f t="shared" si="1"/>
        <v/>
      </c>
      <c r="E641" s="100" t="str">
        <f t="shared" si="2"/>
        <v/>
      </c>
      <c r="F641" s="100" t="str">
        <f t="shared" si="3"/>
        <v/>
      </c>
      <c r="G641" s="151"/>
      <c r="H641" s="156"/>
      <c r="I641" s="157"/>
      <c r="J641" s="158"/>
      <c r="L641" s="94"/>
      <c r="M641" s="159"/>
      <c r="N641" s="94"/>
    </row>
    <row r="642">
      <c r="A642" s="107">
        <v>200826.0</v>
      </c>
      <c r="B642" s="108" t="s">
        <v>190</v>
      </c>
      <c r="C642" s="108" t="s">
        <v>353</v>
      </c>
      <c r="D642" s="100" t="str">
        <f t="shared" si="1"/>
        <v/>
      </c>
      <c r="E642" s="100" t="str">
        <f t="shared" si="2"/>
        <v/>
      </c>
      <c r="F642" s="100" t="str">
        <f t="shared" si="3"/>
        <v/>
      </c>
      <c r="G642" s="151"/>
      <c r="H642" s="160"/>
      <c r="I642" s="157"/>
      <c r="J642" s="161"/>
      <c r="L642" s="94"/>
      <c r="M642" s="159"/>
      <c r="N642" s="94"/>
    </row>
    <row r="643">
      <c r="A643" s="107">
        <v>200826.0</v>
      </c>
      <c r="B643" s="108" t="s">
        <v>191</v>
      </c>
      <c r="C643" s="108" t="s">
        <v>353</v>
      </c>
      <c r="D643" s="100" t="str">
        <f t="shared" si="1"/>
        <v/>
      </c>
      <c r="E643" s="100" t="str">
        <f t="shared" si="2"/>
        <v/>
      </c>
      <c r="F643" s="100" t="str">
        <f t="shared" si="3"/>
        <v/>
      </c>
      <c r="G643" s="151"/>
      <c r="H643" s="156"/>
      <c r="I643" s="157"/>
      <c r="J643" s="158"/>
      <c r="L643" s="94"/>
      <c r="M643" s="159"/>
      <c r="N643" s="94"/>
    </row>
    <row r="644">
      <c r="A644" s="107">
        <v>200826.0</v>
      </c>
      <c r="B644" s="108" t="s">
        <v>192</v>
      </c>
      <c r="C644" s="108" t="s">
        <v>353</v>
      </c>
      <c r="D644" s="100" t="str">
        <f t="shared" si="1"/>
        <v/>
      </c>
      <c r="E644" s="100" t="str">
        <f t="shared" si="2"/>
        <v/>
      </c>
      <c r="F644" s="100" t="str">
        <f t="shared" si="3"/>
        <v/>
      </c>
      <c r="G644" s="151"/>
      <c r="H644" s="160"/>
      <c r="I644" s="157"/>
      <c r="J644" s="161"/>
      <c r="L644" s="94"/>
      <c r="M644" s="159"/>
      <c r="N644" s="94"/>
    </row>
    <row r="645">
      <c r="A645" s="107">
        <v>200826.0</v>
      </c>
      <c r="B645" s="108" t="s">
        <v>193</v>
      </c>
      <c r="C645" s="108" t="s">
        <v>353</v>
      </c>
      <c r="D645" s="100" t="str">
        <f t="shared" si="1"/>
        <v/>
      </c>
      <c r="E645" s="100" t="str">
        <f t="shared" si="2"/>
        <v/>
      </c>
      <c r="F645" s="100" t="str">
        <f t="shared" si="3"/>
        <v/>
      </c>
      <c r="G645" s="151"/>
      <c r="H645" s="156"/>
      <c r="I645" s="157"/>
      <c r="J645" s="158"/>
      <c r="L645" s="94"/>
      <c r="M645" s="159"/>
      <c r="N645" s="94"/>
    </row>
    <row r="646">
      <c r="A646" s="107">
        <v>200839.0</v>
      </c>
      <c r="B646" s="108" t="s">
        <v>85</v>
      </c>
      <c r="C646" s="108" t="s">
        <v>354</v>
      </c>
      <c r="D646" s="100" t="str">
        <f t="shared" si="1"/>
        <v/>
      </c>
      <c r="E646" s="100" t="str">
        <f t="shared" si="2"/>
        <v/>
      </c>
      <c r="F646" s="100" t="str">
        <f t="shared" si="3"/>
        <v/>
      </c>
      <c r="G646" s="151"/>
      <c r="H646" s="160"/>
      <c r="I646" s="157"/>
      <c r="J646" s="161"/>
      <c r="L646" s="94"/>
      <c r="M646" s="159"/>
      <c r="N646" s="94"/>
    </row>
    <row r="647">
      <c r="A647" s="107">
        <v>201141.0</v>
      </c>
      <c r="B647" s="108" t="s">
        <v>85</v>
      </c>
      <c r="C647" s="108" t="s">
        <v>355</v>
      </c>
      <c r="D647" s="100" t="str">
        <f t="shared" si="1"/>
        <v/>
      </c>
      <c r="E647" s="100" t="str">
        <f t="shared" si="2"/>
        <v/>
      </c>
      <c r="F647" s="100" t="str">
        <f t="shared" si="3"/>
        <v/>
      </c>
      <c r="G647" s="151"/>
      <c r="H647" s="156"/>
      <c r="I647" s="157"/>
      <c r="J647" s="158"/>
      <c r="L647" s="94"/>
      <c r="M647" s="159"/>
      <c r="N647" s="94"/>
    </row>
    <row r="648">
      <c r="A648" s="107">
        <v>201142.0</v>
      </c>
      <c r="B648" s="108" t="s">
        <v>85</v>
      </c>
      <c r="C648" s="108" t="s">
        <v>356</v>
      </c>
      <c r="D648" s="100" t="str">
        <f t="shared" si="1"/>
        <v/>
      </c>
      <c r="E648" s="100" t="str">
        <f t="shared" si="2"/>
        <v/>
      </c>
      <c r="F648" s="100" t="str">
        <f t="shared" si="3"/>
        <v/>
      </c>
      <c r="G648" s="151"/>
      <c r="H648" s="160"/>
      <c r="I648" s="157"/>
      <c r="J648" s="161"/>
      <c r="L648" s="94"/>
      <c r="M648" s="159"/>
      <c r="N648" s="94"/>
    </row>
    <row r="649">
      <c r="A649" s="107">
        <v>201142.0</v>
      </c>
      <c r="B649" s="108" t="s">
        <v>90</v>
      </c>
      <c r="C649" s="108" t="s">
        <v>356</v>
      </c>
      <c r="D649" s="100" t="str">
        <f t="shared" si="1"/>
        <v/>
      </c>
      <c r="E649" s="100" t="str">
        <f t="shared" si="2"/>
        <v/>
      </c>
      <c r="F649" s="100" t="str">
        <f t="shared" si="3"/>
        <v/>
      </c>
      <c r="G649" s="151"/>
      <c r="H649" s="156"/>
      <c r="I649" s="157"/>
      <c r="J649" s="158"/>
      <c r="L649" s="94"/>
      <c r="M649" s="159"/>
      <c r="N649" s="94"/>
    </row>
    <row r="650">
      <c r="A650" s="107">
        <v>201142.0</v>
      </c>
      <c r="B650" s="108" t="s">
        <v>92</v>
      </c>
      <c r="C650" s="108" t="s">
        <v>356</v>
      </c>
      <c r="D650" s="100" t="str">
        <f t="shared" si="1"/>
        <v/>
      </c>
      <c r="E650" s="100" t="str">
        <f t="shared" si="2"/>
        <v/>
      </c>
      <c r="F650" s="100" t="str">
        <f t="shared" si="3"/>
        <v/>
      </c>
      <c r="G650" s="151"/>
      <c r="H650" s="160"/>
      <c r="I650" s="157"/>
      <c r="J650" s="161"/>
      <c r="L650" s="94"/>
      <c r="M650" s="159"/>
      <c r="N650" s="94"/>
    </row>
    <row r="651">
      <c r="A651" s="107">
        <v>201142.0</v>
      </c>
      <c r="B651" s="108" t="s">
        <v>190</v>
      </c>
      <c r="C651" s="108" t="s">
        <v>356</v>
      </c>
      <c r="D651" s="100" t="str">
        <f t="shared" si="1"/>
        <v/>
      </c>
      <c r="E651" s="100" t="str">
        <f t="shared" si="2"/>
        <v/>
      </c>
      <c r="F651" s="100" t="str">
        <f t="shared" si="3"/>
        <v/>
      </c>
      <c r="G651" s="151"/>
      <c r="H651" s="156"/>
      <c r="I651" s="157"/>
      <c r="J651" s="158"/>
      <c r="L651" s="94"/>
      <c r="M651" s="159"/>
      <c r="N651" s="94"/>
    </row>
    <row r="652">
      <c r="A652" s="107">
        <v>201142.0</v>
      </c>
      <c r="B652" s="108" t="s">
        <v>191</v>
      </c>
      <c r="C652" s="108" t="s">
        <v>356</v>
      </c>
      <c r="D652" s="100" t="str">
        <f t="shared" si="1"/>
        <v/>
      </c>
      <c r="E652" s="100" t="str">
        <f t="shared" si="2"/>
        <v/>
      </c>
      <c r="F652" s="100" t="str">
        <f t="shared" si="3"/>
        <v/>
      </c>
      <c r="G652" s="151"/>
      <c r="H652" s="160"/>
      <c r="I652" s="157"/>
      <c r="J652" s="161"/>
      <c r="L652" s="94"/>
      <c r="M652" s="159"/>
      <c r="N652" s="94"/>
    </row>
    <row r="653">
      <c r="A653" s="107">
        <v>201142.0</v>
      </c>
      <c r="B653" s="108" t="s">
        <v>192</v>
      </c>
      <c r="C653" s="108" t="s">
        <v>356</v>
      </c>
      <c r="D653" s="100" t="str">
        <f t="shared" si="1"/>
        <v/>
      </c>
      <c r="E653" s="100" t="str">
        <f t="shared" si="2"/>
        <v/>
      </c>
      <c r="F653" s="100" t="str">
        <f t="shared" si="3"/>
        <v/>
      </c>
      <c r="G653" s="151"/>
      <c r="H653" s="156"/>
      <c r="I653" s="157"/>
      <c r="J653" s="158"/>
      <c r="L653" s="94"/>
      <c r="M653" s="159"/>
      <c r="N653" s="94"/>
    </row>
    <row r="654">
      <c r="A654" s="107">
        <v>201142.0</v>
      </c>
      <c r="B654" s="108" t="s">
        <v>243</v>
      </c>
      <c r="C654" s="108" t="s">
        <v>356</v>
      </c>
      <c r="D654" s="100" t="str">
        <f t="shared" si="1"/>
        <v/>
      </c>
      <c r="E654" s="100" t="str">
        <f t="shared" si="2"/>
        <v/>
      </c>
      <c r="F654" s="100" t="str">
        <f t="shared" si="3"/>
        <v/>
      </c>
      <c r="G654" s="151"/>
      <c r="H654" s="160"/>
      <c r="I654" s="157"/>
      <c r="J654" s="161"/>
      <c r="L654" s="94"/>
      <c r="M654" s="159"/>
      <c r="N654" s="94"/>
    </row>
    <row r="655">
      <c r="A655" s="107">
        <v>201142.0</v>
      </c>
      <c r="B655" s="108" t="s">
        <v>215</v>
      </c>
      <c r="C655" s="108" t="s">
        <v>356</v>
      </c>
      <c r="D655" s="100" t="str">
        <f t="shared" si="1"/>
        <v/>
      </c>
      <c r="E655" s="100" t="str">
        <f t="shared" si="2"/>
        <v/>
      </c>
      <c r="F655" s="100" t="str">
        <f t="shared" si="3"/>
        <v/>
      </c>
      <c r="G655" s="151"/>
      <c r="H655" s="156"/>
      <c r="I655" s="157"/>
      <c r="J655" s="158"/>
      <c r="L655" s="94"/>
      <c r="M655" s="159"/>
      <c r="N655" s="94"/>
    </row>
    <row r="656">
      <c r="A656" s="107">
        <v>201142.0</v>
      </c>
      <c r="B656" s="108" t="s">
        <v>244</v>
      </c>
      <c r="C656" s="108" t="s">
        <v>356</v>
      </c>
      <c r="D656" s="100" t="str">
        <f t="shared" si="1"/>
        <v/>
      </c>
      <c r="E656" s="100" t="str">
        <f t="shared" si="2"/>
        <v/>
      </c>
      <c r="F656" s="100" t="str">
        <f t="shared" si="3"/>
        <v/>
      </c>
      <c r="G656" s="151"/>
      <c r="H656" s="160"/>
      <c r="I656" s="157"/>
      <c r="J656" s="161"/>
      <c r="L656" s="94"/>
      <c r="M656" s="159"/>
      <c r="N656" s="94"/>
    </row>
    <row r="657">
      <c r="A657" s="107">
        <v>201142.0</v>
      </c>
      <c r="B657" s="108" t="s">
        <v>245</v>
      </c>
      <c r="C657" s="108" t="s">
        <v>356</v>
      </c>
      <c r="D657" s="100" t="str">
        <f t="shared" si="1"/>
        <v/>
      </c>
      <c r="E657" s="100" t="str">
        <f t="shared" si="2"/>
        <v/>
      </c>
      <c r="F657" s="100" t="str">
        <f t="shared" si="3"/>
        <v/>
      </c>
      <c r="G657" s="151"/>
      <c r="H657" s="156"/>
      <c r="I657" s="157"/>
      <c r="J657" s="158"/>
      <c r="L657" s="94"/>
      <c r="M657" s="159"/>
      <c r="N657" s="94"/>
    </row>
    <row r="658">
      <c r="A658" s="107">
        <v>201142.0</v>
      </c>
      <c r="B658" s="108" t="s">
        <v>246</v>
      </c>
      <c r="C658" s="108" t="s">
        <v>356</v>
      </c>
      <c r="D658" s="100" t="str">
        <f t="shared" si="1"/>
        <v/>
      </c>
      <c r="E658" s="100" t="str">
        <f t="shared" si="2"/>
        <v/>
      </c>
      <c r="F658" s="100" t="str">
        <f t="shared" si="3"/>
        <v/>
      </c>
      <c r="G658" s="151"/>
      <c r="H658" s="160"/>
      <c r="I658" s="157"/>
      <c r="J658" s="161"/>
      <c r="L658" s="94"/>
      <c r="M658" s="159"/>
      <c r="N658" s="94"/>
    </row>
    <row r="659">
      <c r="A659" s="114">
        <v>201142.0</v>
      </c>
      <c r="B659" s="113" t="s">
        <v>247</v>
      </c>
      <c r="C659" s="113" t="s">
        <v>356</v>
      </c>
      <c r="D659" s="100" t="str">
        <f t="shared" si="1"/>
        <v/>
      </c>
      <c r="E659" s="100" t="str">
        <f t="shared" si="2"/>
        <v/>
      </c>
      <c r="F659" s="100" t="str">
        <f t="shared" si="3"/>
        <v/>
      </c>
      <c r="G659" s="151"/>
      <c r="H659" s="156"/>
      <c r="I659" s="157"/>
      <c r="J659" s="158"/>
      <c r="L659" s="94"/>
      <c r="M659" s="159"/>
      <c r="N659" s="94"/>
    </row>
    <row r="660">
      <c r="A660" s="107">
        <v>201143.0</v>
      </c>
      <c r="B660" s="108" t="s">
        <v>85</v>
      </c>
      <c r="C660" s="108" t="s">
        <v>357</v>
      </c>
      <c r="D660" s="100" t="str">
        <f t="shared" si="1"/>
        <v/>
      </c>
      <c r="E660" s="100" t="str">
        <f t="shared" si="2"/>
        <v/>
      </c>
      <c r="F660" s="100" t="str">
        <f t="shared" si="3"/>
        <v/>
      </c>
      <c r="G660" s="151"/>
      <c r="H660" s="160"/>
      <c r="I660" s="157"/>
      <c r="J660" s="161"/>
      <c r="L660" s="94"/>
      <c r="M660" s="159"/>
      <c r="N660" s="94"/>
    </row>
    <row r="661">
      <c r="A661" s="107">
        <v>201143.0</v>
      </c>
      <c r="B661" s="108" t="s">
        <v>90</v>
      </c>
      <c r="C661" s="108" t="s">
        <v>357</v>
      </c>
      <c r="D661" s="100" t="str">
        <f t="shared" si="1"/>
        <v/>
      </c>
      <c r="E661" s="100" t="str">
        <f t="shared" si="2"/>
        <v/>
      </c>
      <c r="F661" s="100" t="str">
        <f t="shared" si="3"/>
        <v/>
      </c>
      <c r="G661" s="151"/>
      <c r="H661" s="156"/>
      <c r="I661" s="157"/>
      <c r="J661" s="158"/>
      <c r="L661" s="94"/>
      <c r="M661" s="159"/>
      <c r="N661" s="94"/>
    </row>
    <row r="662">
      <c r="A662" s="107">
        <v>201143.0</v>
      </c>
      <c r="B662" s="108" t="s">
        <v>92</v>
      </c>
      <c r="C662" s="108" t="s">
        <v>357</v>
      </c>
      <c r="D662" s="100" t="str">
        <f t="shared" si="1"/>
        <v/>
      </c>
      <c r="E662" s="100" t="str">
        <f t="shared" si="2"/>
        <v/>
      </c>
      <c r="F662" s="100" t="str">
        <f t="shared" si="3"/>
        <v/>
      </c>
      <c r="G662" s="151"/>
      <c r="H662" s="160"/>
      <c r="I662" s="157"/>
      <c r="J662" s="161"/>
      <c r="L662" s="94"/>
      <c r="M662" s="159"/>
      <c r="N662" s="94"/>
    </row>
    <row r="663">
      <c r="A663" s="107">
        <v>201143.0</v>
      </c>
      <c r="B663" s="108" t="s">
        <v>190</v>
      </c>
      <c r="C663" s="108" t="s">
        <v>357</v>
      </c>
      <c r="D663" s="100" t="str">
        <f t="shared" si="1"/>
        <v/>
      </c>
      <c r="E663" s="100" t="str">
        <f t="shared" si="2"/>
        <v/>
      </c>
      <c r="F663" s="100" t="str">
        <f t="shared" si="3"/>
        <v/>
      </c>
      <c r="G663" s="151"/>
      <c r="H663" s="156"/>
      <c r="I663" s="157"/>
      <c r="J663" s="158"/>
      <c r="L663" s="94"/>
      <c r="M663" s="159"/>
      <c r="N663" s="94"/>
    </row>
    <row r="664">
      <c r="A664" s="107">
        <v>201143.0</v>
      </c>
      <c r="B664" s="108" t="s">
        <v>191</v>
      </c>
      <c r="C664" s="108" t="s">
        <v>357</v>
      </c>
      <c r="D664" s="100" t="str">
        <f t="shared" si="1"/>
        <v/>
      </c>
      <c r="E664" s="100" t="str">
        <f t="shared" si="2"/>
        <v/>
      </c>
      <c r="F664" s="100" t="str">
        <f t="shared" si="3"/>
        <v/>
      </c>
      <c r="G664" s="151"/>
      <c r="H664" s="160"/>
      <c r="I664" s="157"/>
      <c r="J664" s="161"/>
      <c r="L664" s="94"/>
      <c r="M664" s="159"/>
      <c r="N664" s="94"/>
    </row>
    <row r="665">
      <c r="A665" s="107">
        <v>201143.0</v>
      </c>
      <c r="B665" s="108" t="s">
        <v>192</v>
      </c>
      <c r="C665" s="108" t="s">
        <v>357</v>
      </c>
      <c r="D665" s="100" t="str">
        <f t="shared" si="1"/>
        <v/>
      </c>
      <c r="E665" s="100" t="str">
        <f t="shared" si="2"/>
        <v/>
      </c>
      <c r="F665" s="100" t="str">
        <f t="shared" si="3"/>
        <v/>
      </c>
      <c r="G665" s="151"/>
      <c r="H665" s="156"/>
      <c r="I665" s="157"/>
      <c r="J665" s="158"/>
      <c r="L665" s="94"/>
      <c r="M665" s="159"/>
      <c r="N665" s="94"/>
    </row>
    <row r="666">
      <c r="A666" s="107">
        <v>201143.0</v>
      </c>
      <c r="B666" s="108" t="s">
        <v>193</v>
      </c>
      <c r="C666" s="108" t="s">
        <v>357</v>
      </c>
      <c r="D666" s="100" t="str">
        <f t="shared" si="1"/>
        <v/>
      </c>
      <c r="E666" s="100" t="str">
        <f t="shared" si="2"/>
        <v/>
      </c>
      <c r="F666" s="100" t="str">
        <f t="shared" si="3"/>
        <v/>
      </c>
      <c r="G666" s="151"/>
      <c r="H666" s="160"/>
      <c r="I666" s="157"/>
      <c r="J666" s="161"/>
      <c r="L666" s="94"/>
      <c r="M666" s="159"/>
      <c r="N666" s="94"/>
    </row>
    <row r="667">
      <c r="A667" s="107">
        <v>201143.0</v>
      </c>
      <c r="B667" s="108" t="s">
        <v>243</v>
      </c>
      <c r="C667" s="108" t="s">
        <v>357</v>
      </c>
      <c r="D667" s="100" t="str">
        <f t="shared" si="1"/>
        <v/>
      </c>
      <c r="E667" s="100" t="str">
        <f t="shared" si="2"/>
        <v/>
      </c>
      <c r="F667" s="100" t="str">
        <f t="shared" si="3"/>
        <v/>
      </c>
      <c r="G667" s="151"/>
      <c r="H667" s="156"/>
      <c r="I667" s="157"/>
      <c r="J667" s="158"/>
      <c r="L667" s="94"/>
      <c r="M667" s="159"/>
      <c r="N667" s="94"/>
    </row>
    <row r="668">
      <c r="A668" s="107">
        <v>201143.0</v>
      </c>
      <c r="B668" s="108" t="s">
        <v>215</v>
      </c>
      <c r="C668" s="108" t="s">
        <v>357</v>
      </c>
      <c r="D668" s="100" t="str">
        <f t="shared" si="1"/>
        <v/>
      </c>
      <c r="E668" s="100" t="str">
        <f t="shared" si="2"/>
        <v/>
      </c>
      <c r="F668" s="100" t="str">
        <f t="shared" si="3"/>
        <v/>
      </c>
      <c r="G668" s="151"/>
      <c r="H668" s="160"/>
      <c r="I668" s="157"/>
      <c r="J668" s="161"/>
      <c r="L668" s="94"/>
      <c r="M668" s="159"/>
      <c r="N668" s="94"/>
    </row>
    <row r="669">
      <c r="A669" s="107">
        <v>201143.0</v>
      </c>
      <c r="B669" s="108" t="s">
        <v>244</v>
      </c>
      <c r="C669" s="108" t="s">
        <v>357</v>
      </c>
      <c r="D669" s="100" t="str">
        <f t="shared" si="1"/>
        <v/>
      </c>
      <c r="E669" s="100" t="str">
        <f t="shared" si="2"/>
        <v/>
      </c>
      <c r="F669" s="100" t="str">
        <f t="shared" si="3"/>
        <v/>
      </c>
      <c r="G669" s="151"/>
      <c r="H669" s="156"/>
      <c r="I669" s="157"/>
      <c r="J669" s="158"/>
      <c r="L669" s="94"/>
      <c r="M669" s="159"/>
      <c r="N669" s="94"/>
    </row>
    <row r="670">
      <c r="A670" s="107">
        <v>201143.0</v>
      </c>
      <c r="B670" s="108" t="s">
        <v>245</v>
      </c>
      <c r="C670" s="108" t="s">
        <v>357</v>
      </c>
      <c r="D670" s="100" t="str">
        <f t="shared" si="1"/>
        <v/>
      </c>
      <c r="E670" s="100" t="str">
        <f t="shared" si="2"/>
        <v/>
      </c>
      <c r="F670" s="100" t="str">
        <f t="shared" si="3"/>
        <v/>
      </c>
      <c r="G670" s="151"/>
      <c r="H670" s="160"/>
      <c r="I670" s="157"/>
      <c r="J670" s="161"/>
      <c r="L670" s="94"/>
      <c r="M670" s="159"/>
      <c r="N670" s="94"/>
    </row>
    <row r="671">
      <c r="A671" s="107">
        <v>201143.0</v>
      </c>
      <c r="B671" s="108" t="s">
        <v>246</v>
      </c>
      <c r="C671" s="108" t="s">
        <v>357</v>
      </c>
      <c r="D671" s="100" t="str">
        <f t="shared" si="1"/>
        <v/>
      </c>
      <c r="E671" s="100" t="str">
        <f t="shared" si="2"/>
        <v/>
      </c>
      <c r="F671" s="100" t="str">
        <f t="shared" si="3"/>
        <v/>
      </c>
      <c r="G671" s="151"/>
      <c r="H671" s="156"/>
      <c r="I671" s="157"/>
      <c r="J671" s="158"/>
      <c r="L671" s="94"/>
      <c r="M671" s="159"/>
      <c r="N671" s="94"/>
    </row>
    <row r="672">
      <c r="A672" s="114">
        <v>201143.0</v>
      </c>
      <c r="B672" s="113" t="s">
        <v>247</v>
      </c>
      <c r="C672" s="113" t="s">
        <v>357</v>
      </c>
      <c r="D672" s="100" t="str">
        <f t="shared" si="1"/>
        <v/>
      </c>
      <c r="E672" s="100" t="str">
        <f t="shared" si="2"/>
        <v/>
      </c>
      <c r="F672" s="100" t="str">
        <f t="shared" si="3"/>
        <v/>
      </c>
      <c r="G672" s="151"/>
      <c r="H672" s="160"/>
      <c r="I672" s="157"/>
      <c r="J672" s="161"/>
      <c r="L672" s="94"/>
      <c r="M672" s="159"/>
      <c r="N672" s="94"/>
    </row>
    <row r="673">
      <c r="A673" s="107">
        <v>201144.0</v>
      </c>
      <c r="B673" s="108" t="s">
        <v>85</v>
      </c>
      <c r="C673" s="108" t="s">
        <v>358</v>
      </c>
      <c r="D673" s="100" t="str">
        <f t="shared" si="1"/>
        <v/>
      </c>
      <c r="E673" s="100" t="str">
        <f t="shared" si="2"/>
        <v/>
      </c>
      <c r="F673" s="100" t="str">
        <f t="shared" si="3"/>
        <v/>
      </c>
      <c r="G673" s="151"/>
      <c r="H673" s="156"/>
      <c r="I673" s="157"/>
      <c r="J673" s="158"/>
      <c r="L673" s="94"/>
      <c r="M673" s="159"/>
      <c r="N673" s="94"/>
    </row>
    <row r="674">
      <c r="A674" s="107">
        <v>201144.0</v>
      </c>
      <c r="B674" s="108" t="s">
        <v>90</v>
      </c>
      <c r="C674" s="108" t="s">
        <v>358</v>
      </c>
      <c r="D674" s="100" t="str">
        <f t="shared" si="1"/>
        <v/>
      </c>
      <c r="E674" s="100" t="str">
        <f t="shared" si="2"/>
        <v/>
      </c>
      <c r="F674" s="100" t="str">
        <f t="shared" si="3"/>
        <v/>
      </c>
      <c r="G674" s="151"/>
      <c r="H674" s="160"/>
      <c r="I674" s="157"/>
      <c r="J674" s="161"/>
      <c r="L674" s="94"/>
      <c r="M674" s="159"/>
      <c r="N674" s="94"/>
    </row>
    <row r="675">
      <c r="A675" s="107">
        <v>201144.0</v>
      </c>
      <c r="B675" s="108" t="s">
        <v>92</v>
      </c>
      <c r="C675" s="108" t="s">
        <v>358</v>
      </c>
      <c r="D675" s="100" t="str">
        <f t="shared" si="1"/>
        <v/>
      </c>
      <c r="E675" s="100" t="str">
        <f t="shared" si="2"/>
        <v/>
      </c>
      <c r="F675" s="100" t="str">
        <f t="shared" si="3"/>
        <v/>
      </c>
      <c r="G675" s="151"/>
      <c r="H675" s="156"/>
      <c r="I675" s="157"/>
      <c r="J675" s="158"/>
      <c r="L675" s="94"/>
      <c r="M675" s="159"/>
      <c r="N675" s="94"/>
    </row>
    <row r="676">
      <c r="A676" s="107">
        <v>201144.0</v>
      </c>
      <c r="B676" s="108" t="s">
        <v>190</v>
      </c>
      <c r="C676" s="108" t="s">
        <v>358</v>
      </c>
      <c r="D676" s="100" t="str">
        <f t="shared" si="1"/>
        <v/>
      </c>
      <c r="E676" s="100" t="str">
        <f t="shared" si="2"/>
        <v/>
      </c>
      <c r="F676" s="100" t="str">
        <f t="shared" si="3"/>
        <v/>
      </c>
      <c r="G676" s="151"/>
      <c r="H676" s="160"/>
      <c r="I676" s="157"/>
      <c r="J676" s="161"/>
      <c r="L676" s="94"/>
      <c r="M676" s="159"/>
      <c r="N676" s="94"/>
    </row>
    <row r="677">
      <c r="A677" s="107">
        <v>201144.0</v>
      </c>
      <c r="B677" s="108" t="s">
        <v>191</v>
      </c>
      <c r="C677" s="108" t="s">
        <v>358</v>
      </c>
      <c r="D677" s="100" t="str">
        <f t="shared" si="1"/>
        <v/>
      </c>
      <c r="E677" s="100" t="str">
        <f t="shared" si="2"/>
        <v/>
      </c>
      <c r="F677" s="100" t="str">
        <f t="shared" si="3"/>
        <v/>
      </c>
      <c r="G677" s="151"/>
      <c r="H677" s="156"/>
      <c r="I677" s="157"/>
      <c r="J677" s="158"/>
      <c r="L677" s="94"/>
      <c r="M677" s="159"/>
      <c r="N677" s="94"/>
    </row>
    <row r="678">
      <c r="A678" s="107">
        <v>201144.0</v>
      </c>
      <c r="B678" s="108" t="s">
        <v>192</v>
      </c>
      <c r="C678" s="108" t="s">
        <v>358</v>
      </c>
      <c r="D678" s="100" t="str">
        <f t="shared" si="1"/>
        <v/>
      </c>
      <c r="E678" s="100" t="str">
        <f t="shared" si="2"/>
        <v/>
      </c>
      <c r="F678" s="100" t="str">
        <f t="shared" si="3"/>
        <v/>
      </c>
      <c r="G678" s="151"/>
      <c r="H678" s="160"/>
      <c r="I678" s="157"/>
      <c r="J678" s="161"/>
      <c r="L678" s="94"/>
      <c r="M678" s="159"/>
      <c r="N678" s="94"/>
    </row>
    <row r="679">
      <c r="A679" s="107">
        <v>201144.0</v>
      </c>
      <c r="B679" s="108" t="s">
        <v>193</v>
      </c>
      <c r="C679" s="108" t="s">
        <v>358</v>
      </c>
      <c r="D679" s="100" t="str">
        <f t="shared" si="1"/>
        <v/>
      </c>
      <c r="E679" s="100" t="str">
        <f t="shared" si="2"/>
        <v/>
      </c>
      <c r="F679" s="100" t="str">
        <f t="shared" si="3"/>
        <v/>
      </c>
      <c r="G679" s="151"/>
      <c r="H679" s="156"/>
      <c r="I679" s="157"/>
      <c r="J679" s="158"/>
      <c r="L679" s="94"/>
      <c r="M679" s="159"/>
      <c r="N679" s="94"/>
    </row>
    <row r="680">
      <c r="A680" s="107">
        <v>201144.0</v>
      </c>
      <c r="B680" s="108" t="s">
        <v>243</v>
      </c>
      <c r="C680" s="108" t="s">
        <v>358</v>
      </c>
      <c r="D680" s="100" t="str">
        <f t="shared" si="1"/>
        <v/>
      </c>
      <c r="E680" s="100" t="str">
        <f t="shared" si="2"/>
        <v/>
      </c>
      <c r="F680" s="100" t="str">
        <f t="shared" si="3"/>
        <v/>
      </c>
      <c r="G680" s="151"/>
      <c r="H680" s="160"/>
      <c r="I680" s="157"/>
      <c r="J680" s="161"/>
      <c r="L680" s="94"/>
      <c r="M680" s="159"/>
      <c r="N680" s="94"/>
    </row>
    <row r="681">
      <c r="A681" s="107">
        <v>201144.0</v>
      </c>
      <c r="B681" s="108" t="s">
        <v>215</v>
      </c>
      <c r="C681" s="108" t="s">
        <v>358</v>
      </c>
      <c r="D681" s="100" t="str">
        <f t="shared" si="1"/>
        <v/>
      </c>
      <c r="E681" s="100" t="str">
        <f t="shared" si="2"/>
        <v/>
      </c>
      <c r="F681" s="100" t="str">
        <f t="shared" si="3"/>
        <v/>
      </c>
      <c r="G681" s="151"/>
      <c r="H681" s="156"/>
      <c r="I681" s="157"/>
      <c r="J681" s="158"/>
      <c r="L681" s="94"/>
      <c r="M681" s="159"/>
      <c r="N681" s="94"/>
    </row>
    <row r="682">
      <c r="A682" s="107">
        <v>201144.0</v>
      </c>
      <c r="B682" s="108" t="s">
        <v>244</v>
      </c>
      <c r="C682" s="108" t="s">
        <v>358</v>
      </c>
      <c r="D682" s="100" t="str">
        <f t="shared" si="1"/>
        <v/>
      </c>
      <c r="E682" s="100" t="str">
        <f t="shared" si="2"/>
        <v/>
      </c>
      <c r="F682" s="100" t="str">
        <f t="shared" si="3"/>
        <v/>
      </c>
      <c r="G682" s="151"/>
      <c r="H682" s="160"/>
      <c r="I682" s="157"/>
      <c r="J682" s="161"/>
      <c r="L682" s="94"/>
      <c r="M682" s="159"/>
      <c r="N682" s="94"/>
    </row>
    <row r="683">
      <c r="A683" s="107">
        <v>201144.0</v>
      </c>
      <c r="B683" s="108" t="s">
        <v>245</v>
      </c>
      <c r="C683" s="108" t="s">
        <v>358</v>
      </c>
      <c r="D683" s="100" t="str">
        <f t="shared" si="1"/>
        <v/>
      </c>
      <c r="E683" s="100" t="str">
        <f t="shared" si="2"/>
        <v/>
      </c>
      <c r="F683" s="100" t="str">
        <f t="shared" si="3"/>
        <v/>
      </c>
      <c r="G683" s="151"/>
      <c r="H683" s="156"/>
      <c r="I683" s="157"/>
      <c r="J683" s="158"/>
      <c r="L683" s="94"/>
      <c r="M683" s="159"/>
      <c r="N683" s="94"/>
    </row>
    <row r="684">
      <c r="A684" s="107">
        <v>201144.0</v>
      </c>
      <c r="B684" s="108" t="s">
        <v>246</v>
      </c>
      <c r="C684" s="108" t="s">
        <v>358</v>
      </c>
      <c r="D684" s="100" t="str">
        <f t="shared" si="1"/>
        <v/>
      </c>
      <c r="E684" s="100" t="str">
        <f t="shared" si="2"/>
        <v/>
      </c>
      <c r="F684" s="100" t="str">
        <f t="shared" si="3"/>
        <v/>
      </c>
      <c r="G684" s="151"/>
      <c r="H684" s="160"/>
      <c r="I684" s="157"/>
      <c r="J684" s="161"/>
      <c r="L684" s="94"/>
      <c r="M684" s="159"/>
      <c r="N684" s="94"/>
    </row>
    <row r="685">
      <c r="A685" s="114">
        <v>201144.0</v>
      </c>
      <c r="B685" s="113" t="s">
        <v>247</v>
      </c>
      <c r="C685" s="113" t="s">
        <v>358</v>
      </c>
      <c r="D685" s="100" t="str">
        <f t="shared" si="1"/>
        <v/>
      </c>
      <c r="E685" s="100" t="str">
        <f t="shared" si="2"/>
        <v/>
      </c>
      <c r="F685" s="100" t="str">
        <f t="shared" si="3"/>
        <v/>
      </c>
      <c r="G685" s="151"/>
      <c r="H685" s="156"/>
      <c r="I685" s="157"/>
      <c r="J685" s="158"/>
      <c r="L685" s="94"/>
      <c r="M685" s="159"/>
      <c r="N685" s="94"/>
    </row>
    <row r="686">
      <c r="A686" s="107">
        <v>201145.0</v>
      </c>
      <c r="B686" s="108" t="s">
        <v>85</v>
      </c>
      <c r="C686" s="108" t="s">
        <v>359</v>
      </c>
      <c r="D686" s="100" t="str">
        <f t="shared" si="1"/>
        <v/>
      </c>
      <c r="E686" s="100" t="str">
        <f t="shared" si="2"/>
        <v/>
      </c>
      <c r="F686" s="100" t="str">
        <f t="shared" si="3"/>
        <v/>
      </c>
      <c r="G686" s="151"/>
      <c r="H686" s="160"/>
      <c r="I686" s="157"/>
      <c r="J686" s="161"/>
      <c r="L686" s="94"/>
      <c r="M686" s="159"/>
      <c r="N686" s="94"/>
    </row>
    <row r="687">
      <c r="A687" s="107">
        <v>201145.0</v>
      </c>
      <c r="B687" s="108" t="s">
        <v>90</v>
      </c>
      <c r="C687" s="108" t="s">
        <v>359</v>
      </c>
      <c r="D687" s="100" t="str">
        <f t="shared" si="1"/>
        <v/>
      </c>
      <c r="E687" s="100" t="str">
        <f t="shared" si="2"/>
        <v/>
      </c>
      <c r="F687" s="100" t="str">
        <f t="shared" si="3"/>
        <v/>
      </c>
      <c r="G687" s="151"/>
      <c r="H687" s="156"/>
      <c r="I687" s="157"/>
      <c r="J687" s="158"/>
      <c r="L687" s="94"/>
      <c r="M687" s="159"/>
      <c r="N687" s="94"/>
    </row>
    <row r="688">
      <c r="A688" s="107">
        <v>201145.0</v>
      </c>
      <c r="B688" s="108" t="s">
        <v>92</v>
      </c>
      <c r="C688" s="108" t="s">
        <v>359</v>
      </c>
      <c r="D688" s="100" t="str">
        <f t="shared" si="1"/>
        <v/>
      </c>
      <c r="E688" s="100" t="str">
        <f t="shared" si="2"/>
        <v/>
      </c>
      <c r="F688" s="100" t="str">
        <f t="shared" si="3"/>
        <v/>
      </c>
      <c r="G688" s="151"/>
      <c r="H688" s="160"/>
      <c r="I688" s="157"/>
      <c r="J688" s="161"/>
      <c r="L688" s="94"/>
      <c r="M688" s="159"/>
      <c r="N688" s="94"/>
    </row>
    <row r="689">
      <c r="A689" s="107">
        <v>201145.0</v>
      </c>
      <c r="B689" s="108" t="s">
        <v>190</v>
      </c>
      <c r="C689" s="108" t="s">
        <v>359</v>
      </c>
      <c r="D689" s="100" t="str">
        <f t="shared" si="1"/>
        <v/>
      </c>
      <c r="E689" s="100" t="str">
        <f t="shared" si="2"/>
        <v/>
      </c>
      <c r="F689" s="100" t="str">
        <f t="shared" si="3"/>
        <v/>
      </c>
      <c r="G689" s="151"/>
      <c r="H689" s="156"/>
      <c r="I689" s="157"/>
      <c r="J689" s="158"/>
      <c r="L689" s="94"/>
      <c r="M689" s="159"/>
      <c r="N689" s="94"/>
    </row>
    <row r="690">
      <c r="A690" s="107">
        <v>201145.0</v>
      </c>
      <c r="B690" s="108" t="s">
        <v>191</v>
      </c>
      <c r="C690" s="108" t="s">
        <v>359</v>
      </c>
      <c r="D690" s="100" t="str">
        <f t="shared" si="1"/>
        <v/>
      </c>
      <c r="E690" s="100" t="str">
        <f t="shared" si="2"/>
        <v/>
      </c>
      <c r="F690" s="100" t="str">
        <f t="shared" si="3"/>
        <v/>
      </c>
      <c r="G690" s="151"/>
      <c r="H690" s="160"/>
      <c r="I690" s="157"/>
      <c r="J690" s="161"/>
      <c r="L690" s="94"/>
      <c r="M690" s="159"/>
      <c r="N690" s="94"/>
    </row>
    <row r="691">
      <c r="A691" s="107">
        <v>201145.0</v>
      </c>
      <c r="B691" s="108" t="s">
        <v>192</v>
      </c>
      <c r="C691" s="108" t="s">
        <v>359</v>
      </c>
      <c r="D691" s="100" t="str">
        <f t="shared" si="1"/>
        <v/>
      </c>
      <c r="E691" s="100" t="str">
        <f t="shared" si="2"/>
        <v/>
      </c>
      <c r="F691" s="100" t="str">
        <f t="shared" si="3"/>
        <v/>
      </c>
      <c r="G691" s="151"/>
      <c r="H691" s="156"/>
      <c r="I691" s="157"/>
      <c r="J691" s="158"/>
      <c r="L691" s="94"/>
      <c r="M691" s="159"/>
      <c r="N691" s="94"/>
    </row>
    <row r="692">
      <c r="A692" s="107">
        <v>201145.0</v>
      </c>
      <c r="B692" s="108" t="s">
        <v>193</v>
      </c>
      <c r="C692" s="108" t="s">
        <v>359</v>
      </c>
      <c r="D692" s="100" t="str">
        <f t="shared" si="1"/>
        <v/>
      </c>
      <c r="E692" s="100" t="str">
        <f t="shared" si="2"/>
        <v/>
      </c>
      <c r="F692" s="100" t="str">
        <f t="shared" si="3"/>
        <v/>
      </c>
      <c r="G692" s="151"/>
      <c r="H692" s="160"/>
      <c r="I692" s="157"/>
      <c r="J692" s="161"/>
      <c r="L692" s="94"/>
      <c r="M692" s="159"/>
      <c r="N692" s="94"/>
    </row>
    <row r="693">
      <c r="A693" s="107">
        <v>201145.0</v>
      </c>
      <c r="B693" s="108" t="s">
        <v>243</v>
      </c>
      <c r="C693" s="108" t="s">
        <v>359</v>
      </c>
      <c r="D693" s="100" t="str">
        <f t="shared" si="1"/>
        <v/>
      </c>
      <c r="E693" s="100" t="str">
        <f t="shared" si="2"/>
        <v/>
      </c>
      <c r="F693" s="100" t="str">
        <f t="shared" si="3"/>
        <v/>
      </c>
      <c r="G693" s="151"/>
      <c r="H693" s="156"/>
      <c r="I693" s="157"/>
      <c r="J693" s="158"/>
      <c r="L693" s="94"/>
      <c r="M693" s="159"/>
      <c r="N693" s="94"/>
    </row>
    <row r="694">
      <c r="A694" s="107">
        <v>201145.0</v>
      </c>
      <c r="B694" s="108" t="s">
        <v>215</v>
      </c>
      <c r="C694" s="108" t="s">
        <v>359</v>
      </c>
      <c r="D694" s="100" t="str">
        <f t="shared" si="1"/>
        <v/>
      </c>
      <c r="E694" s="100" t="str">
        <f t="shared" si="2"/>
        <v/>
      </c>
      <c r="F694" s="100" t="str">
        <f t="shared" si="3"/>
        <v/>
      </c>
      <c r="G694" s="151"/>
      <c r="H694" s="160"/>
      <c r="I694" s="157"/>
      <c r="J694" s="161"/>
      <c r="L694" s="94"/>
      <c r="M694" s="159"/>
      <c r="N694" s="94"/>
    </row>
    <row r="695">
      <c r="A695" s="107">
        <v>201145.0</v>
      </c>
      <c r="B695" s="108" t="s">
        <v>244</v>
      </c>
      <c r="C695" s="108" t="s">
        <v>359</v>
      </c>
      <c r="D695" s="100" t="str">
        <f t="shared" si="1"/>
        <v/>
      </c>
      <c r="E695" s="100" t="str">
        <f t="shared" si="2"/>
        <v/>
      </c>
      <c r="F695" s="100" t="str">
        <f t="shared" si="3"/>
        <v/>
      </c>
      <c r="G695" s="151"/>
      <c r="H695" s="156"/>
      <c r="I695" s="157"/>
      <c r="J695" s="158"/>
      <c r="L695" s="94"/>
      <c r="M695" s="159"/>
      <c r="N695" s="94"/>
    </row>
    <row r="696">
      <c r="A696" s="107">
        <v>201145.0</v>
      </c>
      <c r="B696" s="108" t="s">
        <v>245</v>
      </c>
      <c r="C696" s="108" t="s">
        <v>359</v>
      </c>
      <c r="D696" s="100" t="str">
        <f t="shared" si="1"/>
        <v/>
      </c>
      <c r="E696" s="100" t="str">
        <f t="shared" si="2"/>
        <v/>
      </c>
      <c r="F696" s="100" t="str">
        <f t="shared" si="3"/>
        <v/>
      </c>
      <c r="G696" s="151"/>
      <c r="H696" s="160"/>
      <c r="I696" s="157"/>
      <c r="J696" s="161"/>
      <c r="L696" s="94"/>
      <c r="M696" s="159"/>
      <c r="N696" s="94"/>
    </row>
    <row r="697">
      <c r="A697" s="107">
        <v>201145.0</v>
      </c>
      <c r="B697" s="108" t="s">
        <v>246</v>
      </c>
      <c r="C697" s="108" t="s">
        <v>359</v>
      </c>
      <c r="D697" s="100" t="str">
        <f t="shared" si="1"/>
        <v/>
      </c>
      <c r="E697" s="100" t="str">
        <f t="shared" si="2"/>
        <v/>
      </c>
      <c r="F697" s="100" t="str">
        <f t="shared" si="3"/>
        <v/>
      </c>
      <c r="G697" s="151"/>
      <c r="H697" s="156"/>
      <c r="I697" s="157"/>
      <c r="J697" s="158"/>
      <c r="L697" s="94"/>
      <c r="M697" s="159"/>
      <c r="N697" s="94"/>
    </row>
    <row r="698">
      <c r="A698" s="114">
        <v>201145.0</v>
      </c>
      <c r="B698" s="113" t="s">
        <v>247</v>
      </c>
      <c r="C698" s="113" t="s">
        <v>359</v>
      </c>
      <c r="D698" s="100" t="str">
        <f t="shared" si="1"/>
        <v/>
      </c>
      <c r="E698" s="100" t="str">
        <f t="shared" si="2"/>
        <v/>
      </c>
      <c r="F698" s="100" t="str">
        <f t="shared" si="3"/>
        <v/>
      </c>
      <c r="G698" s="151"/>
      <c r="H698" s="160"/>
      <c r="I698" s="157"/>
      <c r="J698" s="161"/>
      <c r="L698" s="94"/>
      <c r="M698" s="159"/>
      <c r="N698" s="94"/>
    </row>
    <row r="699">
      <c r="A699" s="107">
        <v>201147.0</v>
      </c>
      <c r="B699" s="108" t="s">
        <v>85</v>
      </c>
      <c r="C699" s="108" t="s">
        <v>360</v>
      </c>
      <c r="D699" s="100" t="str">
        <f t="shared" si="1"/>
        <v/>
      </c>
      <c r="E699" s="100" t="str">
        <f t="shared" si="2"/>
        <v/>
      </c>
      <c r="F699" s="100" t="str">
        <f t="shared" si="3"/>
        <v/>
      </c>
      <c r="G699" s="151"/>
      <c r="H699" s="156"/>
      <c r="I699" s="157"/>
      <c r="J699" s="158"/>
      <c r="L699" s="94"/>
      <c r="M699" s="159"/>
      <c r="N699" s="94"/>
    </row>
    <row r="700">
      <c r="A700" s="107">
        <v>201147.0</v>
      </c>
      <c r="B700" s="108" t="s">
        <v>90</v>
      </c>
      <c r="C700" s="108" t="s">
        <v>360</v>
      </c>
      <c r="D700" s="100" t="str">
        <f t="shared" si="1"/>
        <v/>
      </c>
      <c r="E700" s="100" t="str">
        <f t="shared" si="2"/>
        <v/>
      </c>
      <c r="F700" s="100" t="str">
        <f t="shared" si="3"/>
        <v/>
      </c>
      <c r="G700" s="151"/>
      <c r="H700" s="160"/>
      <c r="I700" s="157"/>
      <c r="J700" s="161"/>
      <c r="L700" s="94"/>
      <c r="M700" s="159"/>
      <c r="N700" s="94"/>
    </row>
    <row r="701">
      <c r="A701" s="107">
        <v>201147.0</v>
      </c>
      <c r="B701" s="108" t="s">
        <v>92</v>
      </c>
      <c r="C701" s="108" t="s">
        <v>360</v>
      </c>
      <c r="D701" s="100" t="str">
        <f t="shared" si="1"/>
        <v/>
      </c>
      <c r="E701" s="100" t="str">
        <f t="shared" si="2"/>
        <v/>
      </c>
      <c r="F701" s="100" t="str">
        <f t="shared" si="3"/>
        <v/>
      </c>
      <c r="G701" s="151"/>
      <c r="H701" s="156"/>
      <c r="I701" s="157"/>
      <c r="J701" s="158"/>
      <c r="L701" s="94"/>
      <c r="M701" s="159"/>
      <c r="N701" s="94"/>
    </row>
    <row r="702">
      <c r="A702" s="107">
        <v>201147.0</v>
      </c>
      <c r="B702" s="108" t="s">
        <v>190</v>
      </c>
      <c r="C702" s="108" t="s">
        <v>360</v>
      </c>
      <c r="D702" s="100" t="str">
        <f t="shared" si="1"/>
        <v/>
      </c>
      <c r="E702" s="100" t="str">
        <f t="shared" si="2"/>
        <v/>
      </c>
      <c r="F702" s="100" t="str">
        <f t="shared" si="3"/>
        <v/>
      </c>
      <c r="G702" s="151"/>
      <c r="H702" s="160"/>
      <c r="I702" s="157"/>
      <c r="J702" s="161"/>
      <c r="L702" s="94"/>
      <c r="M702" s="159"/>
      <c r="N702" s="94"/>
    </row>
    <row r="703">
      <c r="A703" s="107">
        <v>201147.0</v>
      </c>
      <c r="B703" s="108" t="s">
        <v>191</v>
      </c>
      <c r="C703" s="108" t="s">
        <v>360</v>
      </c>
      <c r="D703" s="100" t="str">
        <f t="shared" si="1"/>
        <v/>
      </c>
      <c r="E703" s="100" t="str">
        <f t="shared" si="2"/>
        <v/>
      </c>
      <c r="F703" s="100" t="str">
        <f t="shared" si="3"/>
        <v/>
      </c>
      <c r="G703" s="151"/>
      <c r="H703" s="156"/>
      <c r="I703" s="157"/>
      <c r="J703" s="158"/>
      <c r="L703" s="94"/>
      <c r="M703" s="159"/>
      <c r="N703" s="94"/>
    </row>
    <row r="704">
      <c r="A704" s="107">
        <v>201147.0</v>
      </c>
      <c r="B704" s="108" t="s">
        <v>192</v>
      </c>
      <c r="C704" s="108" t="s">
        <v>360</v>
      </c>
      <c r="D704" s="100" t="str">
        <f t="shared" si="1"/>
        <v/>
      </c>
      <c r="E704" s="100" t="str">
        <f t="shared" si="2"/>
        <v/>
      </c>
      <c r="F704" s="100" t="str">
        <f t="shared" si="3"/>
        <v/>
      </c>
      <c r="G704" s="151"/>
      <c r="H704" s="160"/>
      <c r="I704" s="157"/>
      <c r="J704" s="161"/>
      <c r="L704" s="94"/>
      <c r="M704" s="159"/>
      <c r="N704" s="94"/>
    </row>
    <row r="705">
      <c r="A705" s="107">
        <v>201147.0</v>
      </c>
      <c r="B705" s="108" t="s">
        <v>193</v>
      </c>
      <c r="C705" s="108" t="s">
        <v>360</v>
      </c>
      <c r="D705" s="100" t="str">
        <f t="shared" si="1"/>
        <v/>
      </c>
      <c r="E705" s="100" t="str">
        <f t="shared" si="2"/>
        <v/>
      </c>
      <c r="F705" s="100" t="str">
        <f t="shared" si="3"/>
        <v/>
      </c>
      <c r="G705" s="151"/>
      <c r="H705" s="156"/>
      <c r="I705" s="157"/>
      <c r="J705" s="158"/>
      <c r="L705" s="94"/>
      <c r="M705" s="159"/>
      <c r="N705" s="94"/>
    </row>
    <row r="706">
      <c r="A706" s="107">
        <v>201148.0</v>
      </c>
      <c r="B706" s="108" t="s">
        <v>85</v>
      </c>
      <c r="C706" s="108" t="s">
        <v>361</v>
      </c>
      <c r="D706" s="100" t="str">
        <f t="shared" si="1"/>
        <v/>
      </c>
      <c r="E706" s="100" t="str">
        <f t="shared" si="2"/>
        <v/>
      </c>
      <c r="F706" s="100" t="str">
        <f t="shared" si="3"/>
        <v/>
      </c>
      <c r="G706" s="151"/>
      <c r="H706" s="160"/>
      <c r="I706" s="157"/>
      <c r="J706" s="161"/>
      <c r="L706" s="94"/>
      <c r="M706" s="159"/>
      <c r="N706" s="94"/>
    </row>
    <row r="707">
      <c r="A707" s="107">
        <v>201148.0</v>
      </c>
      <c r="B707" s="108" t="s">
        <v>90</v>
      </c>
      <c r="C707" s="108" t="s">
        <v>361</v>
      </c>
      <c r="D707" s="100" t="str">
        <f t="shared" si="1"/>
        <v/>
      </c>
      <c r="E707" s="100" t="str">
        <f t="shared" si="2"/>
        <v/>
      </c>
      <c r="F707" s="100" t="str">
        <f t="shared" si="3"/>
        <v/>
      </c>
      <c r="G707" s="151"/>
      <c r="H707" s="156"/>
      <c r="I707" s="157"/>
      <c r="J707" s="158"/>
      <c r="L707" s="94"/>
      <c r="M707" s="159"/>
      <c r="N707" s="94"/>
    </row>
    <row r="708">
      <c r="A708" s="107">
        <v>201148.0</v>
      </c>
      <c r="B708" s="108" t="s">
        <v>92</v>
      </c>
      <c r="C708" s="108" t="s">
        <v>361</v>
      </c>
      <c r="D708" s="100" t="str">
        <f t="shared" si="1"/>
        <v/>
      </c>
      <c r="E708" s="100" t="str">
        <f t="shared" si="2"/>
        <v/>
      </c>
      <c r="F708" s="100" t="str">
        <f t="shared" si="3"/>
        <v/>
      </c>
      <c r="G708" s="151"/>
      <c r="H708" s="160"/>
      <c r="I708" s="157"/>
      <c r="J708" s="161"/>
      <c r="L708" s="94"/>
      <c r="M708" s="159"/>
      <c r="N708" s="94"/>
    </row>
    <row r="709">
      <c r="A709" s="107">
        <v>201148.0</v>
      </c>
      <c r="B709" s="108" t="s">
        <v>190</v>
      </c>
      <c r="C709" s="108" t="s">
        <v>361</v>
      </c>
      <c r="D709" s="100" t="str">
        <f t="shared" si="1"/>
        <v/>
      </c>
      <c r="E709" s="100" t="str">
        <f t="shared" si="2"/>
        <v/>
      </c>
      <c r="F709" s="100" t="str">
        <f t="shared" si="3"/>
        <v/>
      </c>
      <c r="G709" s="151"/>
      <c r="H709" s="156"/>
      <c r="I709" s="157"/>
      <c r="J709" s="158"/>
      <c r="L709" s="94"/>
      <c r="M709" s="159"/>
      <c r="N709" s="94"/>
    </row>
    <row r="710">
      <c r="A710" s="107">
        <v>201148.0</v>
      </c>
      <c r="B710" s="108" t="s">
        <v>191</v>
      </c>
      <c r="C710" s="108" t="s">
        <v>361</v>
      </c>
      <c r="D710" s="100" t="str">
        <f t="shared" si="1"/>
        <v/>
      </c>
      <c r="E710" s="100" t="str">
        <f t="shared" si="2"/>
        <v/>
      </c>
      <c r="F710" s="100" t="str">
        <f t="shared" si="3"/>
        <v/>
      </c>
      <c r="G710" s="151"/>
      <c r="H710" s="160"/>
      <c r="I710" s="157"/>
      <c r="J710" s="161"/>
      <c r="L710" s="94"/>
      <c r="M710" s="159"/>
      <c r="N710" s="94"/>
    </row>
    <row r="711">
      <c r="A711" s="107">
        <v>201149.0</v>
      </c>
      <c r="B711" s="108" t="s">
        <v>85</v>
      </c>
      <c r="C711" s="108" t="s">
        <v>362</v>
      </c>
      <c r="D711" s="100" t="str">
        <f t="shared" si="1"/>
        <v/>
      </c>
      <c r="E711" s="100" t="str">
        <f t="shared" si="2"/>
        <v/>
      </c>
      <c r="F711" s="100" t="str">
        <f t="shared" si="3"/>
        <v/>
      </c>
      <c r="G711" s="151"/>
      <c r="H711" s="156"/>
      <c r="I711" s="157"/>
      <c r="J711" s="158"/>
      <c r="L711" s="94"/>
      <c r="M711" s="159"/>
      <c r="N711" s="94"/>
    </row>
    <row r="712">
      <c r="A712" s="107">
        <v>201149.0</v>
      </c>
      <c r="B712" s="108" t="s">
        <v>90</v>
      </c>
      <c r="C712" s="108" t="s">
        <v>362</v>
      </c>
      <c r="D712" s="100" t="str">
        <f t="shared" si="1"/>
        <v/>
      </c>
      <c r="E712" s="100" t="str">
        <f t="shared" si="2"/>
        <v/>
      </c>
      <c r="F712" s="100" t="str">
        <f t="shared" si="3"/>
        <v/>
      </c>
      <c r="G712" s="151"/>
      <c r="H712" s="160"/>
      <c r="I712" s="157"/>
      <c r="J712" s="161"/>
      <c r="L712" s="94"/>
      <c r="M712" s="159"/>
      <c r="N712" s="94"/>
    </row>
    <row r="713">
      <c r="A713" s="107">
        <v>201149.0</v>
      </c>
      <c r="B713" s="108" t="s">
        <v>92</v>
      </c>
      <c r="C713" s="108" t="s">
        <v>362</v>
      </c>
      <c r="D713" s="100" t="str">
        <f t="shared" si="1"/>
        <v/>
      </c>
      <c r="E713" s="100" t="str">
        <f t="shared" si="2"/>
        <v/>
      </c>
      <c r="F713" s="100" t="str">
        <f t="shared" si="3"/>
        <v/>
      </c>
      <c r="G713" s="151"/>
      <c r="H713" s="156"/>
      <c r="I713" s="157"/>
      <c r="J713" s="158"/>
      <c r="L713" s="94"/>
      <c r="M713" s="159"/>
      <c r="N713" s="94"/>
    </row>
    <row r="714">
      <c r="A714" s="107">
        <v>201149.0</v>
      </c>
      <c r="B714" s="108" t="s">
        <v>190</v>
      </c>
      <c r="C714" s="108" t="s">
        <v>362</v>
      </c>
      <c r="D714" s="100" t="str">
        <f t="shared" si="1"/>
        <v/>
      </c>
      <c r="E714" s="100" t="str">
        <f t="shared" si="2"/>
        <v/>
      </c>
      <c r="F714" s="100" t="str">
        <f t="shared" si="3"/>
        <v/>
      </c>
      <c r="G714" s="151"/>
      <c r="H714" s="160"/>
      <c r="I714" s="157"/>
      <c r="J714" s="161"/>
      <c r="L714" s="94"/>
      <c r="M714" s="159"/>
      <c r="N714" s="94"/>
    </row>
    <row r="715">
      <c r="A715" s="107">
        <v>201149.0</v>
      </c>
      <c r="B715" s="108" t="s">
        <v>191</v>
      </c>
      <c r="C715" s="108" t="s">
        <v>362</v>
      </c>
      <c r="D715" s="100" t="str">
        <f t="shared" si="1"/>
        <v/>
      </c>
      <c r="E715" s="100" t="str">
        <f t="shared" si="2"/>
        <v/>
      </c>
      <c r="F715" s="100" t="str">
        <f t="shared" si="3"/>
        <v/>
      </c>
      <c r="G715" s="151"/>
      <c r="H715" s="156"/>
      <c r="I715" s="157"/>
      <c r="J715" s="158"/>
      <c r="L715" s="94"/>
      <c r="M715" s="159"/>
      <c r="N715" s="94"/>
    </row>
    <row r="716">
      <c r="A716" s="107">
        <v>201149.0</v>
      </c>
      <c r="B716" s="108" t="s">
        <v>192</v>
      </c>
      <c r="C716" s="108" t="s">
        <v>362</v>
      </c>
      <c r="D716" s="100" t="str">
        <f t="shared" si="1"/>
        <v/>
      </c>
      <c r="E716" s="100" t="str">
        <f t="shared" si="2"/>
        <v/>
      </c>
      <c r="F716" s="100" t="str">
        <f t="shared" si="3"/>
        <v/>
      </c>
      <c r="G716" s="151"/>
      <c r="H716" s="160"/>
      <c r="I716" s="157"/>
      <c r="J716" s="161"/>
      <c r="L716" s="94"/>
      <c r="M716" s="159"/>
      <c r="N716" s="94"/>
    </row>
    <row r="717">
      <c r="A717" s="107">
        <v>201149.0</v>
      </c>
      <c r="B717" s="108" t="s">
        <v>193</v>
      </c>
      <c r="C717" s="108" t="s">
        <v>362</v>
      </c>
      <c r="D717" s="100" t="str">
        <f t="shared" si="1"/>
        <v/>
      </c>
      <c r="E717" s="100" t="str">
        <f t="shared" si="2"/>
        <v/>
      </c>
      <c r="F717" s="100" t="str">
        <f t="shared" si="3"/>
        <v/>
      </c>
      <c r="G717" s="151"/>
      <c r="H717" s="156"/>
      <c r="I717" s="157"/>
      <c r="J717" s="158"/>
      <c r="L717" s="94"/>
      <c r="M717" s="159"/>
      <c r="N717" s="94"/>
    </row>
    <row r="718">
      <c r="A718" s="107">
        <v>201150.0</v>
      </c>
      <c r="B718" s="108" t="s">
        <v>85</v>
      </c>
      <c r="C718" s="108" t="s">
        <v>363</v>
      </c>
      <c r="D718" s="100" t="str">
        <f t="shared" si="1"/>
        <v/>
      </c>
      <c r="E718" s="100" t="str">
        <f t="shared" si="2"/>
        <v/>
      </c>
      <c r="F718" s="100" t="str">
        <f t="shared" si="3"/>
        <v/>
      </c>
      <c r="G718" s="151"/>
      <c r="H718" s="160"/>
      <c r="I718" s="157"/>
      <c r="J718" s="161"/>
      <c r="L718" s="94"/>
      <c r="M718" s="159"/>
      <c r="N718" s="94"/>
    </row>
    <row r="719">
      <c r="A719" s="107">
        <v>201150.0</v>
      </c>
      <c r="B719" s="108" t="s">
        <v>90</v>
      </c>
      <c r="C719" s="108" t="s">
        <v>363</v>
      </c>
      <c r="D719" s="100" t="str">
        <f t="shared" si="1"/>
        <v/>
      </c>
      <c r="E719" s="100" t="str">
        <f t="shared" si="2"/>
        <v/>
      </c>
      <c r="F719" s="100" t="str">
        <f t="shared" si="3"/>
        <v/>
      </c>
      <c r="G719" s="151"/>
      <c r="H719" s="156"/>
      <c r="I719" s="157"/>
      <c r="J719" s="158"/>
      <c r="L719" s="94"/>
      <c r="M719" s="159"/>
      <c r="N719" s="94"/>
    </row>
    <row r="720">
      <c r="A720" s="107">
        <v>201150.0</v>
      </c>
      <c r="B720" s="108" t="s">
        <v>92</v>
      </c>
      <c r="C720" s="108" t="s">
        <v>363</v>
      </c>
      <c r="D720" s="100" t="str">
        <f t="shared" si="1"/>
        <v/>
      </c>
      <c r="E720" s="100" t="str">
        <f t="shared" si="2"/>
        <v/>
      </c>
      <c r="F720" s="100" t="str">
        <f t="shared" si="3"/>
        <v/>
      </c>
      <c r="G720" s="151"/>
      <c r="H720" s="160"/>
      <c r="I720" s="157"/>
      <c r="J720" s="161"/>
      <c r="L720" s="94"/>
      <c r="M720" s="159"/>
      <c r="N720" s="94"/>
    </row>
    <row r="721">
      <c r="A721" s="107">
        <v>201150.0</v>
      </c>
      <c r="B721" s="108" t="s">
        <v>190</v>
      </c>
      <c r="C721" s="108" t="s">
        <v>363</v>
      </c>
      <c r="D721" s="100" t="str">
        <f t="shared" si="1"/>
        <v/>
      </c>
      <c r="E721" s="100" t="str">
        <f t="shared" si="2"/>
        <v/>
      </c>
      <c r="F721" s="100" t="str">
        <f t="shared" si="3"/>
        <v/>
      </c>
      <c r="G721" s="151"/>
      <c r="H721" s="156"/>
      <c r="I721" s="157"/>
      <c r="J721" s="158"/>
      <c r="L721" s="94"/>
      <c r="M721" s="159"/>
      <c r="N721" s="94"/>
    </row>
    <row r="722">
      <c r="A722" s="107">
        <v>201152.0</v>
      </c>
      <c r="B722" s="108" t="s">
        <v>85</v>
      </c>
      <c r="C722" s="108" t="s">
        <v>364</v>
      </c>
      <c r="D722" s="100" t="str">
        <f t="shared" si="1"/>
        <v/>
      </c>
      <c r="E722" s="100" t="str">
        <f t="shared" si="2"/>
        <v/>
      </c>
      <c r="F722" s="100" t="str">
        <f t="shared" si="3"/>
        <v/>
      </c>
      <c r="G722" s="151"/>
      <c r="H722" s="160"/>
      <c r="I722" s="157"/>
      <c r="J722" s="161"/>
      <c r="L722" s="94"/>
      <c r="M722" s="159"/>
      <c r="N722" s="94"/>
    </row>
    <row r="723">
      <c r="A723" s="107">
        <v>201152.0</v>
      </c>
      <c r="B723" s="108" t="s">
        <v>90</v>
      </c>
      <c r="C723" s="108" t="s">
        <v>364</v>
      </c>
      <c r="D723" s="100" t="str">
        <f t="shared" si="1"/>
        <v/>
      </c>
      <c r="E723" s="100" t="str">
        <f t="shared" si="2"/>
        <v/>
      </c>
      <c r="F723" s="100" t="str">
        <f t="shared" si="3"/>
        <v/>
      </c>
      <c r="G723" s="151"/>
      <c r="H723" s="156"/>
      <c r="I723" s="157"/>
      <c r="J723" s="158"/>
      <c r="L723" s="94"/>
      <c r="M723" s="159"/>
      <c r="N723" s="94"/>
    </row>
    <row r="724">
      <c r="A724" s="107">
        <v>201152.0</v>
      </c>
      <c r="B724" s="108" t="s">
        <v>92</v>
      </c>
      <c r="C724" s="108" t="s">
        <v>364</v>
      </c>
      <c r="D724" s="100" t="str">
        <f t="shared" si="1"/>
        <v/>
      </c>
      <c r="E724" s="100" t="str">
        <f t="shared" si="2"/>
        <v/>
      </c>
      <c r="F724" s="100" t="str">
        <f t="shared" si="3"/>
        <v/>
      </c>
      <c r="G724" s="151"/>
      <c r="H724" s="160"/>
      <c r="I724" s="157"/>
      <c r="J724" s="161"/>
      <c r="L724" s="94"/>
      <c r="M724" s="159"/>
      <c r="N724" s="94"/>
    </row>
    <row r="725">
      <c r="A725" s="107">
        <v>201152.0</v>
      </c>
      <c r="B725" s="108" t="s">
        <v>190</v>
      </c>
      <c r="C725" s="108" t="s">
        <v>364</v>
      </c>
      <c r="D725" s="100" t="str">
        <f t="shared" si="1"/>
        <v/>
      </c>
      <c r="E725" s="100" t="str">
        <f t="shared" si="2"/>
        <v/>
      </c>
      <c r="F725" s="100" t="str">
        <f t="shared" si="3"/>
        <v/>
      </c>
      <c r="G725" s="151"/>
      <c r="H725" s="156"/>
      <c r="I725" s="157"/>
      <c r="J725" s="158"/>
      <c r="L725" s="94"/>
      <c r="M725" s="159"/>
      <c r="N725" s="94"/>
    </row>
    <row r="726">
      <c r="A726" s="107">
        <v>201152.0</v>
      </c>
      <c r="B726" s="108" t="s">
        <v>191</v>
      </c>
      <c r="C726" s="108" t="s">
        <v>364</v>
      </c>
      <c r="D726" s="100" t="str">
        <f t="shared" si="1"/>
        <v/>
      </c>
      <c r="E726" s="100" t="str">
        <f t="shared" si="2"/>
        <v/>
      </c>
      <c r="F726" s="100" t="str">
        <f t="shared" si="3"/>
        <v/>
      </c>
      <c r="G726" s="151"/>
      <c r="H726" s="160"/>
      <c r="I726" s="157"/>
      <c r="J726" s="161"/>
      <c r="L726" s="94"/>
      <c r="M726" s="159"/>
      <c r="N726" s="94"/>
    </row>
    <row r="727">
      <c r="A727" s="107">
        <v>201152.0</v>
      </c>
      <c r="B727" s="108" t="s">
        <v>192</v>
      </c>
      <c r="C727" s="108" t="s">
        <v>364</v>
      </c>
      <c r="D727" s="100" t="str">
        <f t="shared" si="1"/>
        <v/>
      </c>
      <c r="E727" s="100" t="str">
        <f t="shared" si="2"/>
        <v/>
      </c>
      <c r="F727" s="100" t="str">
        <f t="shared" si="3"/>
        <v/>
      </c>
      <c r="G727" s="151"/>
      <c r="H727" s="156"/>
      <c r="I727" s="157"/>
      <c r="J727" s="158"/>
      <c r="L727" s="94"/>
      <c r="M727" s="159"/>
      <c r="N727" s="94"/>
    </row>
    <row r="728">
      <c r="A728" s="107">
        <v>201152.0</v>
      </c>
      <c r="B728" s="108" t="s">
        <v>193</v>
      </c>
      <c r="C728" s="108" t="s">
        <v>364</v>
      </c>
      <c r="D728" s="100" t="str">
        <f t="shared" si="1"/>
        <v/>
      </c>
      <c r="E728" s="100" t="str">
        <f t="shared" si="2"/>
        <v/>
      </c>
      <c r="F728" s="100" t="str">
        <f t="shared" si="3"/>
        <v/>
      </c>
      <c r="G728" s="151"/>
      <c r="H728" s="160"/>
      <c r="I728" s="157"/>
      <c r="J728" s="161"/>
      <c r="L728" s="94"/>
      <c r="M728" s="159"/>
      <c r="N728" s="94"/>
    </row>
    <row r="729">
      <c r="A729" s="107">
        <v>201152.0</v>
      </c>
      <c r="B729" s="108" t="s">
        <v>243</v>
      </c>
      <c r="C729" s="108" t="s">
        <v>364</v>
      </c>
      <c r="D729" s="100" t="str">
        <f t="shared" si="1"/>
        <v/>
      </c>
      <c r="E729" s="100" t="str">
        <f t="shared" si="2"/>
        <v/>
      </c>
      <c r="F729" s="100" t="str">
        <f t="shared" si="3"/>
        <v/>
      </c>
      <c r="G729" s="151"/>
      <c r="H729" s="156"/>
      <c r="I729" s="157"/>
      <c r="J729" s="158"/>
      <c r="L729" s="94"/>
      <c r="M729" s="159"/>
      <c r="N729" s="94"/>
    </row>
    <row r="730">
      <c r="A730" s="107">
        <v>201152.0</v>
      </c>
      <c r="B730" s="108" t="s">
        <v>215</v>
      </c>
      <c r="C730" s="108" t="s">
        <v>364</v>
      </c>
      <c r="D730" s="100" t="str">
        <f t="shared" si="1"/>
        <v/>
      </c>
      <c r="E730" s="100" t="str">
        <f t="shared" si="2"/>
        <v/>
      </c>
      <c r="F730" s="100" t="str">
        <f t="shared" si="3"/>
        <v/>
      </c>
      <c r="G730" s="151"/>
      <c r="H730" s="160"/>
      <c r="I730" s="157"/>
      <c r="J730" s="161"/>
      <c r="L730" s="94"/>
      <c r="M730" s="159"/>
      <c r="N730" s="94"/>
    </row>
    <row r="731">
      <c r="A731" s="107">
        <v>201152.0</v>
      </c>
      <c r="B731" s="108" t="s">
        <v>244</v>
      </c>
      <c r="C731" s="108" t="s">
        <v>364</v>
      </c>
      <c r="D731" s="100" t="str">
        <f t="shared" si="1"/>
        <v/>
      </c>
      <c r="E731" s="100" t="str">
        <f t="shared" si="2"/>
        <v/>
      </c>
      <c r="F731" s="100" t="str">
        <f t="shared" si="3"/>
        <v/>
      </c>
      <c r="G731" s="151"/>
      <c r="H731" s="156"/>
      <c r="I731" s="157"/>
      <c r="J731" s="158"/>
      <c r="L731" s="94"/>
      <c r="M731" s="159"/>
      <c r="N731" s="94"/>
    </row>
    <row r="732">
      <c r="A732" s="107">
        <v>201152.0</v>
      </c>
      <c r="B732" s="108" t="s">
        <v>245</v>
      </c>
      <c r="C732" s="108" t="s">
        <v>364</v>
      </c>
      <c r="D732" s="100" t="str">
        <f t="shared" si="1"/>
        <v/>
      </c>
      <c r="E732" s="100" t="str">
        <f t="shared" si="2"/>
        <v/>
      </c>
      <c r="F732" s="100" t="str">
        <f t="shared" si="3"/>
        <v/>
      </c>
      <c r="G732" s="151"/>
      <c r="H732" s="160"/>
      <c r="I732" s="157"/>
      <c r="J732" s="161"/>
      <c r="L732" s="94"/>
      <c r="M732" s="159"/>
      <c r="N732" s="94"/>
    </row>
    <row r="733">
      <c r="A733" s="107">
        <v>201155.0</v>
      </c>
      <c r="B733" s="108" t="s">
        <v>85</v>
      </c>
      <c r="C733" s="108" t="s">
        <v>365</v>
      </c>
      <c r="D733" s="100" t="str">
        <f t="shared" si="1"/>
        <v/>
      </c>
      <c r="E733" s="100" t="str">
        <f t="shared" si="2"/>
        <v/>
      </c>
      <c r="F733" s="100" t="str">
        <f t="shared" si="3"/>
        <v/>
      </c>
      <c r="G733" s="151"/>
      <c r="H733" s="156"/>
      <c r="I733" s="157"/>
      <c r="J733" s="158"/>
      <c r="L733" s="94"/>
      <c r="M733" s="159"/>
      <c r="N733" s="94"/>
    </row>
    <row r="734">
      <c r="A734" s="107">
        <v>201155.0</v>
      </c>
      <c r="B734" s="108" t="s">
        <v>90</v>
      </c>
      <c r="C734" s="108" t="s">
        <v>365</v>
      </c>
      <c r="D734" s="100" t="str">
        <f t="shared" si="1"/>
        <v/>
      </c>
      <c r="E734" s="100" t="str">
        <f t="shared" si="2"/>
        <v/>
      </c>
      <c r="F734" s="100" t="str">
        <f t="shared" si="3"/>
        <v/>
      </c>
      <c r="G734" s="151"/>
      <c r="H734" s="160"/>
      <c r="I734" s="157"/>
      <c r="J734" s="161"/>
      <c r="L734" s="94"/>
      <c r="M734" s="159"/>
      <c r="N734" s="94"/>
    </row>
    <row r="735">
      <c r="A735" s="107">
        <v>201155.0</v>
      </c>
      <c r="B735" s="108" t="s">
        <v>92</v>
      </c>
      <c r="C735" s="108" t="s">
        <v>365</v>
      </c>
      <c r="D735" s="100" t="str">
        <f t="shared" si="1"/>
        <v/>
      </c>
      <c r="E735" s="100" t="str">
        <f t="shared" si="2"/>
        <v/>
      </c>
      <c r="F735" s="100" t="str">
        <f t="shared" si="3"/>
        <v/>
      </c>
      <c r="G735" s="151"/>
      <c r="H735" s="156"/>
      <c r="I735" s="157"/>
      <c r="J735" s="158"/>
      <c r="L735" s="94"/>
      <c r="M735" s="159"/>
      <c r="N735" s="94"/>
    </row>
    <row r="736">
      <c r="A736" s="107">
        <v>201155.0</v>
      </c>
      <c r="B736" s="108" t="s">
        <v>190</v>
      </c>
      <c r="C736" s="108" t="s">
        <v>365</v>
      </c>
      <c r="D736" s="100" t="str">
        <f t="shared" si="1"/>
        <v/>
      </c>
      <c r="E736" s="100" t="str">
        <f t="shared" si="2"/>
        <v/>
      </c>
      <c r="F736" s="100" t="str">
        <f t="shared" si="3"/>
        <v/>
      </c>
      <c r="G736" s="151"/>
      <c r="H736" s="160"/>
      <c r="I736" s="157"/>
      <c r="J736" s="161"/>
      <c r="L736" s="94"/>
      <c r="M736" s="159"/>
      <c r="N736" s="94"/>
    </row>
    <row r="737">
      <c r="A737" s="107">
        <v>201156.0</v>
      </c>
      <c r="B737" s="108" t="s">
        <v>85</v>
      </c>
      <c r="C737" s="108" t="s">
        <v>366</v>
      </c>
      <c r="D737" s="100" t="str">
        <f t="shared" si="1"/>
        <v/>
      </c>
      <c r="E737" s="100" t="str">
        <f t="shared" si="2"/>
        <v/>
      </c>
      <c r="F737" s="100" t="str">
        <f t="shared" si="3"/>
        <v/>
      </c>
      <c r="G737" s="151"/>
      <c r="H737" s="156"/>
      <c r="I737" s="157"/>
      <c r="J737" s="158"/>
      <c r="L737" s="94"/>
      <c r="M737" s="159"/>
      <c r="N737" s="94"/>
    </row>
    <row r="738">
      <c r="A738" s="107">
        <v>201156.0</v>
      </c>
      <c r="B738" s="108" t="s">
        <v>90</v>
      </c>
      <c r="C738" s="108" t="s">
        <v>366</v>
      </c>
      <c r="D738" s="100" t="str">
        <f t="shared" si="1"/>
        <v/>
      </c>
      <c r="E738" s="100" t="str">
        <f t="shared" si="2"/>
        <v/>
      </c>
      <c r="F738" s="100" t="str">
        <f t="shared" si="3"/>
        <v/>
      </c>
      <c r="G738" s="151"/>
      <c r="H738" s="160"/>
      <c r="I738" s="157"/>
      <c r="J738" s="161"/>
      <c r="L738" s="94"/>
      <c r="M738" s="159"/>
      <c r="N738" s="94"/>
    </row>
    <row r="739">
      <c r="A739" s="107">
        <v>201156.0</v>
      </c>
      <c r="B739" s="108" t="s">
        <v>92</v>
      </c>
      <c r="C739" s="108" t="s">
        <v>366</v>
      </c>
      <c r="D739" s="100" t="str">
        <f t="shared" si="1"/>
        <v/>
      </c>
      <c r="E739" s="100" t="str">
        <f t="shared" si="2"/>
        <v/>
      </c>
      <c r="F739" s="100" t="str">
        <f t="shared" si="3"/>
        <v/>
      </c>
      <c r="G739" s="151"/>
      <c r="H739" s="156"/>
      <c r="I739" s="157"/>
      <c r="J739" s="158"/>
      <c r="L739" s="94"/>
      <c r="M739" s="159"/>
      <c r="N739" s="94"/>
    </row>
    <row r="740">
      <c r="A740" s="107">
        <v>201156.0</v>
      </c>
      <c r="B740" s="108" t="s">
        <v>190</v>
      </c>
      <c r="C740" s="108" t="s">
        <v>366</v>
      </c>
      <c r="D740" s="100" t="str">
        <f t="shared" si="1"/>
        <v/>
      </c>
      <c r="E740" s="100" t="str">
        <f t="shared" si="2"/>
        <v/>
      </c>
      <c r="F740" s="100" t="str">
        <f t="shared" si="3"/>
        <v/>
      </c>
      <c r="G740" s="151"/>
      <c r="H740" s="160"/>
      <c r="I740" s="157"/>
      <c r="J740" s="161"/>
      <c r="L740" s="94"/>
      <c r="M740" s="159"/>
      <c r="N740" s="94"/>
    </row>
    <row r="741">
      <c r="A741" s="107">
        <v>201156.0</v>
      </c>
      <c r="B741" s="108" t="s">
        <v>191</v>
      </c>
      <c r="C741" s="108" t="s">
        <v>366</v>
      </c>
      <c r="D741" s="100" t="str">
        <f t="shared" si="1"/>
        <v/>
      </c>
      <c r="E741" s="100" t="str">
        <f t="shared" si="2"/>
        <v/>
      </c>
      <c r="F741" s="100" t="str">
        <f t="shared" si="3"/>
        <v/>
      </c>
      <c r="G741" s="151"/>
      <c r="H741" s="156"/>
      <c r="I741" s="157"/>
      <c r="J741" s="158"/>
      <c r="L741" s="94"/>
      <c r="M741" s="159"/>
      <c r="N741" s="94"/>
    </row>
    <row r="742">
      <c r="A742" s="107">
        <v>201156.0</v>
      </c>
      <c r="B742" s="108" t="s">
        <v>192</v>
      </c>
      <c r="C742" s="108" t="s">
        <v>366</v>
      </c>
      <c r="D742" s="100" t="str">
        <f t="shared" si="1"/>
        <v/>
      </c>
      <c r="E742" s="100" t="str">
        <f t="shared" si="2"/>
        <v/>
      </c>
      <c r="F742" s="100" t="str">
        <f t="shared" si="3"/>
        <v/>
      </c>
      <c r="G742" s="151"/>
      <c r="H742" s="160"/>
      <c r="I742" s="157"/>
      <c r="J742" s="161"/>
      <c r="L742" s="94"/>
      <c r="M742" s="159"/>
      <c r="N742" s="94"/>
    </row>
    <row r="743">
      <c r="A743" s="107">
        <v>201158.0</v>
      </c>
      <c r="B743" s="108" t="s">
        <v>85</v>
      </c>
      <c r="C743" s="108" t="s">
        <v>367</v>
      </c>
      <c r="D743" s="100" t="str">
        <f t="shared" si="1"/>
        <v/>
      </c>
      <c r="E743" s="100" t="str">
        <f t="shared" si="2"/>
        <v/>
      </c>
      <c r="F743" s="100" t="str">
        <f t="shared" si="3"/>
        <v/>
      </c>
      <c r="G743" s="151"/>
      <c r="H743" s="156"/>
      <c r="I743" s="157"/>
      <c r="J743" s="158"/>
      <c r="L743" s="94"/>
      <c r="M743" s="159"/>
      <c r="N743" s="94"/>
    </row>
    <row r="744">
      <c r="A744" s="107">
        <v>201158.0</v>
      </c>
      <c r="B744" s="108" t="s">
        <v>90</v>
      </c>
      <c r="C744" s="108" t="s">
        <v>367</v>
      </c>
      <c r="D744" s="100" t="str">
        <f t="shared" si="1"/>
        <v/>
      </c>
      <c r="E744" s="100" t="str">
        <f t="shared" si="2"/>
        <v/>
      </c>
      <c r="F744" s="100" t="str">
        <f t="shared" si="3"/>
        <v/>
      </c>
      <c r="G744" s="151"/>
      <c r="H744" s="160"/>
      <c r="I744" s="157"/>
      <c r="J744" s="161"/>
      <c r="L744" s="94"/>
      <c r="M744" s="159"/>
      <c r="N744" s="94"/>
    </row>
    <row r="745">
      <c r="A745" s="107">
        <v>201158.0</v>
      </c>
      <c r="B745" s="108" t="s">
        <v>92</v>
      </c>
      <c r="C745" s="108" t="s">
        <v>367</v>
      </c>
      <c r="D745" s="100" t="str">
        <f t="shared" si="1"/>
        <v/>
      </c>
      <c r="E745" s="100" t="str">
        <f t="shared" si="2"/>
        <v/>
      </c>
      <c r="F745" s="100" t="str">
        <f t="shared" si="3"/>
        <v/>
      </c>
      <c r="G745" s="151"/>
      <c r="H745" s="156"/>
      <c r="I745" s="157"/>
      <c r="J745" s="158"/>
      <c r="L745" s="94"/>
      <c r="M745" s="159"/>
      <c r="N745" s="94"/>
    </row>
    <row r="746">
      <c r="A746" s="107">
        <v>201158.0</v>
      </c>
      <c r="B746" s="108" t="s">
        <v>190</v>
      </c>
      <c r="C746" s="108" t="s">
        <v>367</v>
      </c>
      <c r="D746" s="100" t="str">
        <f t="shared" si="1"/>
        <v/>
      </c>
      <c r="E746" s="100" t="str">
        <f t="shared" si="2"/>
        <v/>
      </c>
      <c r="F746" s="100" t="str">
        <f t="shared" si="3"/>
        <v/>
      </c>
      <c r="G746" s="151"/>
      <c r="H746" s="160"/>
      <c r="I746" s="157"/>
      <c r="J746" s="161"/>
      <c r="L746" s="94"/>
      <c r="M746" s="159"/>
      <c r="N746" s="94"/>
    </row>
    <row r="747">
      <c r="A747" s="107">
        <v>201158.0</v>
      </c>
      <c r="B747" s="108" t="s">
        <v>191</v>
      </c>
      <c r="C747" s="108" t="s">
        <v>367</v>
      </c>
      <c r="D747" s="100" t="str">
        <f t="shared" si="1"/>
        <v/>
      </c>
      <c r="E747" s="100" t="str">
        <f t="shared" si="2"/>
        <v/>
      </c>
      <c r="F747" s="100" t="str">
        <f t="shared" si="3"/>
        <v/>
      </c>
      <c r="G747" s="151"/>
      <c r="H747" s="156"/>
      <c r="I747" s="157"/>
      <c r="J747" s="158"/>
      <c r="L747" s="94"/>
      <c r="M747" s="159"/>
      <c r="N747" s="94"/>
    </row>
    <row r="748">
      <c r="A748" s="107">
        <v>201158.0</v>
      </c>
      <c r="B748" s="108" t="s">
        <v>192</v>
      </c>
      <c r="C748" s="108" t="s">
        <v>367</v>
      </c>
      <c r="D748" s="100" t="str">
        <f t="shared" si="1"/>
        <v/>
      </c>
      <c r="E748" s="100" t="str">
        <f t="shared" si="2"/>
        <v/>
      </c>
      <c r="F748" s="100" t="str">
        <f t="shared" si="3"/>
        <v/>
      </c>
      <c r="G748" s="151"/>
      <c r="H748" s="160"/>
      <c r="I748" s="157"/>
      <c r="J748" s="161"/>
      <c r="L748" s="94"/>
      <c r="M748" s="159"/>
      <c r="N748" s="94"/>
    </row>
    <row r="749">
      <c r="A749" s="107">
        <v>201158.0</v>
      </c>
      <c r="B749" s="108" t="s">
        <v>193</v>
      </c>
      <c r="C749" s="108" t="s">
        <v>367</v>
      </c>
      <c r="D749" s="100" t="str">
        <f t="shared" si="1"/>
        <v/>
      </c>
      <c r="E749" s="100" t="str">
        <f t="shared" si="2"/>
        <v/>
      </c>
      <c r="F749" s="100" t="str">
        <f t="shared" si="3"/>
        <v/>
      </c>
      <c r="G749" s="151"/>
      <c r="H749" s="156"/>
      <c r="I749" s="157"/>
      <c r="J749" s="158"/>
      <c r="L749" s="94"/>
      <c r="M749" s="159"/>
      <c r="N749" s="94"/>
    </row>
    <row r="750">
      <c r="A750" s="107">
        <v>201160.0</v>
      </c>
      <c r="B750" s="108" t="s">
        <v>85</v>
      </c>
      <c r="C750" s="108" t="s">
        <v>368</v>
      </c>
      <c r="D750" s="100" t="str">
        <f t="shared" si="1"/>
        <v/>
      </c>
      <c r="E750" s="100" t="str">
        <f t="shared" si="2"/>
        <v/>
      </c>
      <c r="F750" s="100" t="str">
        <f t="shared" si="3"/>
        <v/>
      </c>
      <c r="G750" s="151"/>
      <c r="H750" s="160"/>
      <c r="I750" s="157"/>
      <c r="J750" s="161"/>
      <c r="L750" s="94"/>
      <c r="M750" s="159"/>
      <c r="N750" s="94"/>
    </row>
    <row r="751">
      <c r="A751" s="107">
        <v>201160.0</v>
      </c>
      <c r="B751" s="108" t="s">
        <v>90</v>
      </c>
      <c r="C751" s="108" t="s">
        <v>368</v>
      </c>
      <c r="D751" s="100" t="str">
        <f t="shared" si="1"/>
        <v/>
      </c>
      <c r="E751" s="100" t="str">
        <f t="shared" si="2"/>
        <v/>
      </c>
      <c r="F751" s="100" t="str">
        <f t="shared" si="3"/>
        <v/>
      </c>
      <c r="G751" s="151"/>
      <c r="H751" s="156"/>
      <c r="I751" s="157"/>
      <c r="J751" s="158"/>
      <c r="L751" s="94"/>
      <c r="M751" s="159"/>
      <c r="N751" s="94"/>
    </row>
    <row r="752">
      <c r="A752" s="107">
        <v>201160.0</v>
      </c>
      <c r="B752" s="108" t="s">
        <v>92</v>
      </c>
      <c r="C752" s="108" t="s">
        <v>368</v>
      </c>
      <c r="D752" s="100" t="str">
        <f t="shared" si="1"/>
        <v/>
      </c>
      <c r="E752" s="100" t="str">
        <f t="shared" si="2"/>
        <v/>
      </c>
      <c r="F752" s="100" t="str">
        <f t="shared" si="3"/>
        <v/>
      </c>
      <c r="G752" s="151"/>
      <c r="H752" s="160"/>
      <c r="I752" s="157"/>
      <c r="J752" s="161"/>
      <c r="L752" s="94"/>
      <c r="M752" s="159"/>
      <c r="N752" s="94"/>
    </row>
    <row r="753">
      <c r="A753" s="107">
        <v>201160.0</v>
      </c>
      <c r="B753" s="108" t="s">
        <v>190</v>
      </c>
      <c r="C753" s="108" t="s">
        <v>368</v>
      </c>
      <c r="D753" s="100" t="str">
        <f t="shared" si="1"/>
        <v/>
      </c>
      <c r="E753" s="100" t="str">
        <f t="shared" si="2"/>
        <v/>
      </c>
      <c r="F753" s="100" t="str">
        <f t="shared" si="3"/>
        <v/>
      </c>
      <c r="G753" s="151"/>
      <c r="H753" s="156"/>
      <c r="I753" s="157"/>
      <c r="J753" s="158"/>
      <c r="L753" s="94"/>
      <c r="M753" s="159"/>
      <c r="N753" s="94"/>
    </row>
    <row r="754">
      <c r="A754" s="107">
        <v>201160.0</v>
      </c>
      <c r="B754" s="108" t="s">
        <v>191</v>
      </c>
      <c r="C754" s="108" t="s">
        <v>368</v>
      </c>
      <c r="D754" s="100" t="str">
        <f t="shared" si="1"/>
        <v/>
      </c>
      <c r="E754" s="100" t="str">
        <f t="shared" si="2"/>
        <v/>
      </c>
      <c r="F754" s="100" t="str">
        <f t="shared" si="3"/>
        <v/>
      </c>
      <c r="G754" s="151"/>
      <c r="H754" s="160"/>
      <c r="I754" s="157"/>
      <c r="J754" s="161"/>
      <c r="L754" s="94"/>
      <c r="M754" s="159"/>
      <c r="N754" s="94"/>
    </row>
    <row r="755">
      <c r="A755" s="107">
        <v>201160.0</v>
      </c>
      <c r="B755" s="108" t="s">
        <v>192</v>
      </c>
      <c r="C755" s="108" t="s">
        <v>368</v>
      </c>
      <c r="D755" s="100" t="str">
        <f t="shared" si="1"/>
        <v/>
      </c>
      <c r="E755" s="100" t="str">
        <f t="shared" si="2"/>
        <v/>
      </c>
      <c r="F755" s="100" t="str">
        <f t="shared" si="3"/>
        <v/>
      </c>
      <c r="G755" s="151"/>
      <c r="H755" s="156"/>
      <c r="I755" s="157"/>
      <c r="J755" s="158"/>
      <c r="L755" s="94"/>
      <c r="M755" s="159"/>
      <c r="N755" s="94"/>
    </row>
    <row r="756">
      <c r="A756" s="107">
        <v>201162.0</v>
      </c>
      <c r="B756" s="108" t="s">
        <v>85</v>
      </c>
      <c r="C756" s="108" t="s">
        <v>369</v>
      </c>
      <c r="D756" s="100" t="str">
        <f t="shared" si="1"/>
        <v/>
      </c>
      <c r="E756" s="100" t="str">
        <f t="shared" si="2"/>
        <v/>
      </c>
      <c r="F756" s="100" t="str">
        <f t="shared" si="3"/>
        <v/>
      </c>
      <c r="G756" s="151"/>
      <c r="H756" s="160"/>
      <c r="I756" s="157"/>
      <c r="J756" s="161"/>
      <c r="L756" s="94"/>
      <c r="M756" s="159"/>
      <c r="N756" s="94"/>
    </row>
    <row r="757">
      <c r="A757" s="107">
        <v>201162.0</v>
      </c>
      <c r="B757" s="108" t="s">
        <v>90</v>
      </c>
      <c r="C757" s="108" t="s">
        <v>369</v>
      </c>
      <c r="D757" s="100" t="str">
        <f t="shared" si="1"/>
        <v/>
      </c>
      <c r="E757" s="100" t="str">
        <f t="shared" si="2"/>
        <v/>
      </c>
      <c r="F757" s="100" t="str">
        <f t="shared" si="3"/>
        <v/>
      </c>
      <c r="G757" s="151"/>
      <c r="H757" s="156"/>
      <c r="I757" s="157"/>
      <c r="J757" s="158"/>
      <c r="L757" s="94"/>
      <c r="M757" s="159"/>
      <c r="N757" s="94"/>
    </row>
    <row r="758">
      <c r="A758" s="107">
        <v>201162.0</v>
      </c>
      <c r="B758" s="108" t="s">
        <v>92</v>
      </c>
      <c r="C758" s="108" t="s">
        <v>369</v>
      </c>
      <c r="D758" s="100" t="str">
        <f t="shared" si="1"/>
        <v/>
      </c>
      <c r="E758" s="100" t="str">
        <f t="shared" si="2"/>
        <v/>
      </c>
      <c r="F758" s="100" t="str">
        <f t="shared" si="3"/>
        <v/>
      </c>
      <c r="G758" s="151"/>
      <c r="H758" s="160"/>
      <c r="I758" s="157"/>
      <c r="J758" s="161"/>
      <c r="L758" s="94"/>
      <c r="M758" s="159"/>
      <c r="N758" s="94"/>
    </row>
    <row r="759">
      <c r="A759" s="107">
        <v>201162.0</v>
      </c>
      <c r="B759" s="108" t="s">
        <v>190</v>
      </c>
      <c r="C759" s="108" t="s">
        <v>369</v>
      </c>
      <c r="D759" s="100" t="str">
        <f t="shared" si="1"/>
        <v/>
      </c>
      <c r="E759" s="100" t="str">
        <f t="shared" si="2"/>
        <v/>
      </c>
      <c r="F759" s="100" t="str">
        <f t="shared" si="3"/>
        <v/>
      </c>
      <c r="G759" s="151"/>
      <c r="H759" s="156"/>
      <c r="I759" s="157"/>
      <c r="J759" s="158"/>
      <c r="L759" s="94"/>
      <c r="M759" s="159"/>
      <c r="N759" s="94"/>
    </row>
    <row r="760">
      <c r="A760" s="107">
        <v>201162.0</v>
      </c>
      <c r="B760" s="108" t="s">
        <v>191</v>
      </c>
      <c r="C760" s="108" t="s">
        <v>369</v>
      </c>
      <c r="D760" s="100" t="str">
        <f t="shared" si="1"/>
        <v/>
      </c>
      <c r="E760" s="100" t="str">
        <f t="shared" si="2"/>
        <v/>
      </c>
      <c r="F760" s="100" t="str">
        <f t="shared" si="3"/>
        <v/>
      </c>
      <c r="G760" s="151"/>
      <c r="H760" s="160"/>
      <c r="I760" s="157"/>
      <c r="J760" s="161"/>
      <c r="L760" s="94"/>
      <c r="M760" s="159"/>
      <c r="N760" s="94"/>
    </row>
    <row r="761">
      <c r="A761" s="107">
        <v>201162.0</v>
      </c>
      <c r="B761" s="108" t="s">
        <v>192</v>
      </c>
      <c r="C761" s="108" t="s">
        <v>369</v>
      </c>
      <c r="D761" s="100" t="str">
        <f t="shared" si="1"/>
        <v/>
      </c>
      <c r="E761" s="100" t="str">
        <f t="shared" si="2"/>
        <v/>
      </c>
      <c r="F761" s="100" t="str">
        <f t="shared" si="3"/>
        <v/>
      </c>
      <c r="G761" s="151"/>
      <c r="H761" s="156"/>
      <c r="I761" s="157"/>
      <c r="J761" s="158"/>
      <c r="L761" s="94"/>
      <c r="M761" s="159"/>
      <c r="N761" s="94"/>
    </row>
    <row r="762">
      <c r="A762" s="107">
        <v>201162.0</v>
      </c>
      <c r="B762" s="108" t="s">
        <v>193</v>
      </c>
      <c r="C762" s="108" t="s">
        <v>369</v>
      </c>
      <c r="D762" s="100" t="str">
        <f t="shared" si="1"/>
        <v/>
      </c>
      <c r="E762" s="100" t="str">
        <f t="shared" si="2"/>
        <v/>
      </c>
      <c r="F762" s="100" t="str">
        <f t="shared" si="3"/>
        <v/>
      </c>
      <c r="G762" s="151"/>
      <c r="H762" s="160"/>
      <c r="I762" s="157"/>
      <c r="J762" s="161"/>
      <c r="L762" s="94"/>
      <c r="M762" s="159"/>
      <c r="N762" s="94"/>
    </row>
    <row r="763">
      <c r="A763" s="107">
        <v>201162.0</v>
      </c>
      <c r="B763" s="108" t="s">
        <v>243</v>
      </c>
      <c r="C763" s="108" t="s">
        <v>369</v>
      </c>
      <c r="D763" s="100" t="str">
        <f t="shared" si="1"/>
        <v/>
      </c>
      <c r="E763" s="100" t="str">
        <f t="shared" si="2"/>
        <v/>
      </c>
      <c r="F763" s="100" t="str">
        <f t="shared" si="3"/>
        <v/>
      </c>
      <c r="G763" s="151"/>
      <c r="H763" s="156"/>
      <c r="I763" s="157"/>
      <c r="J763" s="158"/>
      <c r="L763" s="94"/>
      <c r="M763" s="159"/>
      <c r="N763" s="94"/>
    </row>
    <row r="764">
      <c r="A764" s="107">
        <v>201163.0</v>
      </c>
      <c r="B764" s="108" t="s">
        <v>85</v>
      </c>
      <c r="C764" s="108" t="s">
        <v>370</v>
      </c>
      <c r="D764" s="100" t="str">
        <f t="shared" si="1"/>
        <v/>
      </c>
      <c r="E764" s="100" t="str">
        <f t="shared" si="2"/>
        <v/>
      </c>
      <c r="F764" s="100" t="str">
        <f t="shared" si="3"/>
        <v/>
      </c>
      <c r="G764" s="151"/>
      <c r="H764" s="160"/>
      <c r="I764" s="157"/>
      <c r="J764" s="161"/>
      <c r="L764" s="94"/>
      <c r="M764" s="159"/>
      <c r="N764" s="94"/>
    </row>
    <row r="765">
      <c r="A765" s="107">
        <v>201163.0</v>
      </c>
      <c r="B765" s="108" t="s">
        <v>90</v>
      </c>
      <c r="C765" s="108" t="s">
        <v>370</v>
      </c>
      <c r="D765" s="100" t="str">
        <f t="shared" si="1"/>
        <v/>
      </c>
      <c r="E765" s="100" t="str">
        <f t="shared" si="2"/>
        <v/>
      </c>
      <c r="F765" s="100" t="str">
        <f t="shared" si="3"/>
        <v/>
      </c>
      <c r="G765" s="151"/>
      <c r="H765" s="156"/>
      <c r="I765" s="157"/>
      <c r="J765" s="158"/>
      <c r="L765" s="94"/>
      <c r="M765" s="159"/>
      <c r="N765" s="94"/>
    </row>
    <row r="766">
      <c r="A766" s="107">
        <v>201163.0</v>
      </c>
      <c r="B766" s="108" t="s">
        <v>190</v>
      </c>
      <c r="C766" s="108" t="s">
        <v>370</v>
      </c>
      <c r="D766" s="100" t="str">
        <f t="shared" si="1"/>
        <v/>
      </c>
      <c r="E766" s="100" t="str">
        <f t="shared" si="2"/>
        <v/>
      </c>
      <c r="F766" s="100" t="str">
        <f t="shared" si="3"/>
        <v/>
      </c>
      <c r="G766" s="151"/>
      <c r="H766" s="160"/>
      <c r="I766" s="157"/>
      <c r="J766" s="161"/>
      <c r="L766" s="94"/>
      <c r="M766" s="159"/>
      <c r="N766" s="94"/>
    </row>
    <row r="767">
      <c r="A767" s="107">
        <v>201163.0</v>
      </c>
      <c r="B767" s="108" t="s">
        <v>191</v>
      </c>
      <c r="C767" s="108" t="s">
        <v>370</v>
      </c>
      <c r="D767" s="100" t="str">
        <f t="shared" si="1"/>
        <v/>
      </c>
      <c r="E767" s="100" t="str">
        <f t="shared" si="2"/>
        <v/>
      </c>
      <c r="F767" s="100" t="str">
        <f t="shared" si="3"/>
        <v/>
      </c>
      <c r="G767" s="151"/>
      <c r="H767" s="156"/>
      <c r="I767" s="157"/>
      <c r="J767" s="158"/>
      <c r="L767" s="94"/>
      <c r="M767" s="159"/>
      <c r="N767" s="94"/>
    </row>
    <row r="768">
      <c r="A768" s="107">
        <v>201163.0</v>
      </c>
      <c r="B768" s="108" t="s">
        <v>192</v>
      </c>
      <c r="C768" s="108" t="s">
        <v>370</v>
      </c>
      <c r="D768" s="100" t="str">
        <f t="shared" si="1"/>
        <v/>
      </c>
      <c r="E768" s="100" t="str">
        <f t="shared" si="2"/>
        <v/>
      </c>
      <c r="F768" s="100" t="str">
        <f t="shared" si="3"/>
        <v/>
      </c>
      <c r="G768" s="151"/>
      <c r="H768" s="160"/>
      <c r="I768" s="157"/>
      <c r="J768" s="161"/>
      <c r="L768" s="94"/>
      <c r="M768" s="159"/>
      <c r="N768" s="94"/>
    </row>
    <row r="769">
      <c r="A769" s="107">
        <v>201163.0</v>
      </c>
      <c r="B769" s="108" t="s">
        <v>193</v>
      </c>
      <c r="C769" s="108" t="s">
        <v>370</v>
      </c>
      <c r="D769" s="100" t="str">
        <f t="shared" si="1"/>
        <v/>
      </c>
      <c r="E769" s="100" t="str">
        <f t="shared" si="2"/>
        <v/>
      </c>
      <c r="F769" s="100" t="str">
        <f t="shared" si="3"/>
        <v/>
      </c>
      <c r="G769" s="151"/>
      <c r="H769" s="156"/>
      <c r="I769" s="157"/>
      <c r="J769" s="158"/>
      <c r="L769" s="94"/>
      <c r="M769" s="159"/>
      <c r="N769" s="94"/>
    </row>
    <row r="770">
      <c r="A770" s="107">
        <v>201166.0</v>
      </c>
      <c r="B770" s="108" t="s">
        <v>85</v>
      </c>
      <c r="C770" s="108" t="s">
        <v>371</v>
      </c>
      <c r="D770" s="100" t="str">
        <f t="shared" si="1"/>
        <v/>
      </c>
      <c r="E770" s="100" t="str">
        <f t="shared" si="2"/>
        <v/>
      </c>
      <c r="F770" s="100" t="str">
        <f t="shared" si="3"/>
        <v/>
      </c>
      <c r="G770" s="151"/>
      <c r="H770" s="160"/>
      <c r="I770" s="157"/>
      <c r="J770" s="161"/>
      <c r="L770" s="94"/>
      <c r="M770" s="159"/>
      <c r="N770" s="94"/>
    </row>
    <row r="771">
      <c r="A771" s="107">
        <v>201166.0</v>
      </c>
      <c r="B771" s="108" t="s">
        <v>90</v>
      </c>
      <c r="C771" s="108" t="s">
        <v>371</v>
      </c>
      <c r="D771" s="100" t="str">
        <f t="shared" si="1"/>
        <v/>
      </c>
      <c r="E771" s="100" t="str">
        <f t="shared" si="2"/>
        <v/>
      </c>
      <c r="F771" s="100" t="str">
        <f t="shared" si="3"/>
        <v/>
      </c>
      <c r="G771" s="151"/>
      <c r="H771" s="156"/>
      <c r="I771" s="157"/>
      <c r="J771" s="158"/>
      <c r="L771" s="94"/>
      <c r="M771" s="159"/>
      <c r="N771" s="94"/>
    </row>
    <row r="772">
      <c r="A772" s="107">
        <v>201166.0</v>
      </c>
      <c r="B772" s="108" t="s">
        <v>92</v>
      </c>
      <c r="C772" s="108" t="s">
        <v>371</v>
      </c>
      <c r="D772" s="100" t="str">
        <f t="shared" si="1"/>
        <v/>
      </c>
      <c r="E772" s="100" t="str">
        <f t="shared" si="2"/>
        <v/>
      </c>
      <c r="F772" s="100" t="str">
        <f t="shared" si="3"/>
        <v/>
      </c>
      <c r="G772" s="151"/>
      <c r="H772" s="160"/>
      <c r="I772" s="157"/>
      <c r="J772" s="161"/>
      <c r="L772" s="94"/>
      <c r="M772" s="159"/>
      <c r="N772" s="94"/>
    </row>
    <row r="773">
      <c r="A773" s="107">
        <v>201166.0</v>
      </c>
      <c r="B773" s="108" t="s">
        <v>190</v>
      </c>
      <c r="C773" s="108" t="s">
        <v>371</v>
      </c>
      <c r="D773" s="100" t="str">
        <f t="shared" si="1"/>
        <v/>
      </c>
      <c r="E773" s="100" t="str">
        <f t="shared" si="2"/>
        <v/>
      </c>
      <c r="F773" s="100" t="str">
        <f t="shared" si="3"/>
        <v/>
      </c>
      <c r="G773" s="151"/>
      <c r="H773" s="156"/>
      <c r="I773" s="157"/>
      <c r="J773" s="158"/>
      <c r="L773" s="94"/>
      <c r="M773" s="159"/>
      <c r="N773" s="94"/>
    </row>
    <row r="774">
      <c r="A774" s="107">
        <v>201166.0</v>
      </c>
      <c r="B774" s="108" t="s">
        <v>191</v>
      </c>
      <c r="C774" s="108" t="s">
        <v>371</v>
      </c>
      <c r="D774" s="100" t="str">
        <f t="shared" si="1"/>
        <v/>
      </c>
      <c r="E774" s="100" t="str">
        <f t="shared" si="2"/>
        <v/>
      </c>
      <c r="F774" s="100" t="str">
        <f t="shared" si="3"/>
        <v/>
      </c>
      <c r="G774" s="151"/>
      <c r="H774" s="160"/>
      <c r="I774" s="157"/>
      <c r="J774" s="161"/>
      <c r="L774" s="94"/>
      <c r="M774" s="159"/>
      <c r="N774" s="94"/>
    </row>
    <row r="775">
      <c r="A775" s="107">
        <v>201167.0</v>
      </c>
      <c r="B775" s="108" t="s">
        <v>85</v>
      </c>
      <c r="C775" s="108" t="s">
        <v>372</v>
      </c>
      <c r="D775" s="100" t="str">
        <f t="shared" si="1"/>
        <v/>
      </c>
      <c r="E775" s="100" t="str">
        <f t="shared" si="2"/>
        <v/>
      </c>
      <c r="F775" s="100" t="str">
        <f t="shared" si="3"/>
        <v/>
      </c>
      <c r="G775" s="151"/>
      <c r="H775" s="156"/>
      <c r="I775" s="157"/>
      <c r="J775" s="158"/>
      <c r="L775" s="94"/>
      <c r="M775" s="159"/>
      <c r="N775" s="94"/>
    </row>
    <row r="776">
      <c r="A776" s="107">
        <v>201167.0</v>
      </c>
      <c r="B776" s="108" t="s">
        <v>90</v>
      </c>
      <c r="C776" s="108" t="s">
        <v>372</v>
      </c>
      <c r="D776" s="100" t="str">
        <f t="shared" si="1"/>
        <v/>
      </c>
      <c r="E776" s="100" t="str">
        <f t="shared" si="2"/>
        <v/>
      </c>
      <c r="F776" s="100" t="str">
        <f t="shared" si="3"/>
        <v/>
      </c>
      <c r="G776" s="151"/>
      <c r="H776" s="160"/>
      <c r="I776" s="157"/>
      <c r="J776" s="161"/>
      <c r="L776" s="94"/>
      <c r="M776" s="159"/>
      <c r="N776" s="94"/>
    </row>
    <row r="777">
      <c r="A777" s="107">
        <v>201167.0</v>
      </c>
      <c r="B777" s="108" t="s">
        <v>92</v>
      </c>
      <c r="C777" s="108" t="s">
        <v>372</v>
      </c>
      <c r="D777" s="100" t="str">
        <f t="shared" si="1"/>
        <v/>
      </c>
      <c r="E777" s="100" t="str">
        <f t="shared" si="2"/>
        <v/>
      </c>
      <c r="F777" s="100" t="str">
        <f t="shared" si="3"/>
        <v/>
      </c>
      <c r="G777" s="151"/>
      <c r="H777" s="156"/>
      <c r="I777" s="157"/>
      <c r="J777" s="158"/>
      <c r="L777" s="94"/>
      <c r="M777" s="159"/>
      <c r="N777" s="94"/>
    </row>
    <row r="778">
      <c r="A778" s="107">
        <v>201167.0</v>
      </c>
      <c r="B778" s="108" t="s">
        <v>190</v>
      </c>
      <c r="C778" s="108" t="s">
        <v>372</v>
      </c>
      <c r="D778" s="100" t="str">
        <f t="shared" si="1"/>
        <v/>
      </c>
      <c r="E778" s="100" t="str">
        <f t="shared" si="2"/>
        <v/>
      </c>
      <c r="F778" s="100" t="str">
        <f t="shared" si="3"/>
        <v/>
      </c>
      <c r="G778" s="151"/>
      <c r="H778" s="160"/>
      <c r="I778" s="157"/>
      <c r="J778" s="161"/>
      <c r="L778" s="94"/>
      <c r="M778" s="159"/>
      <c r="N778" s="94"/>
    </row>
    <row r="779">
      <c r="A779" s="107">
        <v>201167.0</v>
      </c>
      <c r="B779" s="108" t="s">
        <v>191</v>
      </c>
      <c r="C779" s="108" t="s">
        <v>372</v>
      </c>
      <c r="D779" s="100" t="str">
        <f t="shared" si="1"/>
        <v/>
      </c>
      <c r="E779" s="100" t="str">
        <f t="shared" si="2"/>
        <v/>
      </c>
      <c r="F779" s="100" t="str">
        <f t="shared" si="3"/>
        <v/>
      </c>
      <c r="G779" s="151"/>
      <c r="H779" s="156"/>
      <c r="I779" s="157"/>
      <c r="J779" s="158"/>
      <c r="L779" s="94"/>
      <c r="M779" s="159"/>
      <c r="N779" s="94"/>
    </row>
    <row r="780">
      <c r="A780" s="107">
        <v>201168.0</v>
      </c>
      <c r="B780" s="108" t="s">
        <v>85</v>
      </c>
      <c r="C780" s="108" t="s">
        <v>373</v>
      </c>
      <c r="D780" s="100" t="str">
        <f t="shared" si="1"/>
        <v/>
      </c>
      <c r="E780" s="100" t="str">
        <f t="shared" si="2"/>
        <v/>
      </c>
      <c r="F780" s="100" t="str">
        <f t="shared" si="3"/>
        <v/>
      </c>
      <c r="G780" s="151"/>
      <c r="H780" s="160"/>
      <c r="I780" s="157"/>
      <c r="J780" s="161"/>
      <c r="L780" s="94"/>
      <c r="M780" s="159"/>
      <c r="N780" s="94"/>
    </row>
    <row r="781">
      <c r="A781" s="107">
        <v>201168.0</v>
      </c>
      <c r="B781" s="108" t="s">
        <v>90</v>
      </c>
      <c r="C781" s="108" t="s">
        <v>373</v>
      </c>
      <c r="D781" s="100" t="str">
        <f t="shared" si="1"/>
        <v/>
      </c>
      <c r="E781" s="100" t="str">
        <f t="shared" si="2"/>
        <v/>
      </c>
      <c r="F781" s="100" t="str">
        <f t="shared" si="3"/>
        <v/>
      </c>
      <c r="G781" s="151"/>
      <c r="H781" s="156"/>
      <c r="I781" s="157"/>
      <c r="J781" s="158"/>
      <c r="L781" s="94"/>
      <c r="M781" s="159"/>
      <c r="N781" s="94"/>
    </row>
    <row r="782">
      <c r="A782" s="107">
        <v>201168.0</v>
      </c>
      <c r="B782" s="108" t="s">
        <v>92</v>
      </c>
      <c r="C782" s="108" t="s">
        <v>373</v>
      </c>
      <c r="D782" s="100" t="str">
        <f t="shared" si="1"/>
        <v/>
      </c>
      <c r="E782" s="100" t="str">
        <f t="shared" si="2"/>
        <v/>
      </c>
      <c r="F782" s="100" t="str">
        <f t="shared" si="3"/>
        <v/>
      </c>
      <c r="G782" s="151"/>
      <c r="H782" s="160"/>
      <c r="I782" s="157"/>
      <c r="J782" s="161"/>
      <c r="L782" s="94"/>
      <c r="M782" s="159"/>
      <c r="N782" s="94"/>
    </row>
    <row r="783">
      <c r="A783" s="107">
        <v>201168.0</v>
      </c>
      <c r="B783" s="108" t="s">
        <v>190</v>
      </c>
      <c r="C783" s="108" t="s">
        <v>373</v>
      </c>
      <c r="D783" s="100" t="str">
        <f t="shared" si="1"/>
        <v/>
      </c>
      <c r="E783" s="100" t="str">
        <f t="shared" si="2"/>
        <v/>
      </c>
      <c r="F783" s="100" t="str">
        <f t="shared" si="3"/>
        <v/>
      </c>
      <c r="G783" s="151"/>
      <c r="H783" s="156"/>
      <c r="I783" s="157"/>
      <c r="J783" s="158"/>
      <c r="L783" s="94"/>
      <c r="M783" s="159"/>
      <c r="N783" s="94"/>
    </row>
    <row r="784">
      <c r="A784" s="107">
        <v>201171.0</v>
      </c>
      <c r="B784" s="108" t="s">
        <v>85</v>
      </c>
      <c r="C784" s="108" t="s">
        <v>374</v>
      </c>
      <c r="D784" s="100" t="str">
        <f t="shared" si="1"/>
        <v/>
      </c>
      <c r="E784" s="100" t="str">
        <f t="shared" si="2"/>
        <v/>
      </c>
      <c r="F784" s="100" t="str">
        <f t="shared" si="3"/>
        <v/>
      </c>
      <c r="G784" s="151"/>
      <c r="H784" s="160"/>
      <c r="I784" s="157"/>
      <c r="J784" s="161"/>
      <c r="L784" s="94"/>
      <c r="M784" s="159"/>
      <c r="N784" s="94"/>
    </row>
    <row r="785">
      <c r="A785" s="107">
        <v>201171.0</v>
      </c>
      <c r="B785" s="108" t="s">
        <v>90</v>
      </c>
      <c r="C785" s="108" t="s">
        <v>374</v>
      </c>
      <c r="D785" s="100" t="str">
        <f t="shared" si="1"/>
        <v/>
      </c>
      <c r="E785" s="100" t="str">
        <f t="shared" si="2"/>
        <v/>
      </c>
      <c r="F785" s="100" t="str">
        <f t="shared" si="3"/>
        <v/>
      </c>
      <c r="G785" s="151"/>
      <c r="H785" s="156"/>
      <c r="I785" s="157"/>
      <c r="J785" s="158"/>
      <c r="L785" s="94"/>
      <c r="M785" s="159"/>
      <c r="N785" s="94"/>
    </row>
    <row r="786">
      <c r="A786" s="107">
        <v>201171.0</v>
      </c>
      <c r="B786" s="108" t="s">
        <v>92</v>
      </c>
      <c r="C786" s="108" t="s">
        <v>374</v>
      </c>
      <c r="D786" s="100" t="str">
        <f t="shared" si="1"/>
        <v/>
      </c>
      <c r="E786" s="100" t="str">
        <f t="shared" si="2"/>
        <v/>
      </c>
      <c r="F786" s="100" t="str">
        <f t="shared" si="3"/>
        <v/>
      </c>
      <c r="G786" s="151"/>
      <c r="H786" s="160"/>
      <c r="I786" s="157"/>
      <c r="J786" s="161"/>
      <c r="L786" s="94"/>
      <c r="M786" s="159"/>
      <c r="N786" s="94"/>
    </row>
    <row r="787">
      <c r="A787" s="107">
        <v>201175.0</v>
      </c>
      <c r="B787" s="108" t="s">
        <v>85</v>
      </c>
      <c r="C787" s="108" t="s">
        <v>375</v>
      </c>
      <c r="D787" s="100" t="str">
        <f t="shared" si="1"/>
        <v/>
      </c>
      <c r="E787" s="100" t="str">
        <f t="shared" si="2"/>
        <v/>
      </c>
      <c r="F787" s="100" t="str">
        <f t="shared" si="3"/>
        <v/>
      </c>
      <c r="G787" s="151"/>
      <c r="H787" s="156"/>
      <c r="I787" s="157"/>
      <c r="J787" s="158"/>
      <c r="L787" s="94"/>
      <c r="M787" s="159"/>
      <c r="N787" s="94"/>
    </row>
    <row r="788">
      <c r="A788" s="107">
        <v>201175.0</v>
      </c>
      <c r="B788" s="108" t="s">
        <v>90</v>
      </c>
      <c r="C788" s="108" t="s">
        <v>375</v>
      </c>
      <c r="D788" s="100" t="str">
        <f t="shared" si="1"/>
        <v/>
      </c>
      <c r="E788" s="100" t="str">
        <f t="shared" si="2"/>
        <v/>
      </c>
      <c r="F788" s="100" t="str">
        <f t="shared" si="3"/>
        <v/>
      </c>
      <c r="G788" s="151"/>
      <c r="H788" s="160"/>
      <c r="I788" s="157"/>
      <c r="J788" s="161"/>
      <c r="L788" s="94"/>
      <c r="M788" s="159"/>
      <c r="N788" s="94"/>
    </row>
    <row r="789">
      <c r="A789" s="107">
        <v>201177.0</v>
      </c>
      <c r="B789" s="108" t="s">
        <v>85</v>
      </c>
      <c r="C789" s="108" t="s">
        <v>376</v>
      </c>
      <c r="D789" s="100" t="str">
        <f t="shared" si="1"/>
        <v/>
      </c>
      <c r="E789" s="100" t="str">
        <f t="shared" si="2"/>
        <v/>
      </c>
      <c r="F789" s="100" t="str">
        <f t="shared" si="3"/>
        <v/>
      </c>
      <c r="G789" s="151"/>
      <c r="H789" s="156"/>
      <c r="I789" s="157"/>
      <c r="J789" s="158"/>
      <c r="L789" s="94"/>
      <c r="M789" s="159"/>
      <c r="N789" s="94"/>
    </row>
    <row r="790">
      <c r="A790" s="107">
        <v>201177.0</v>
      </c>
      <c r="B790" s="108" t="s">
        <v>90</v>
      </c>
      <c r="C790" s="108" t="s">
        <v>376</v>
      </c>
      <c r="D790" s="100" t="str">
        <f t="shared" si="1"/>
        <v/>
      </c>
      <c r="E790" s="100" t="str">
        <f t="shared" si="2"/>
        <v/>
      </c>
      <c r="F790" s="100" t="str">
        <f t="shared" si="3"/>
        <v/>
      </c>
      <c r="G790" s="151"/>
      <c r="H790" s="160"/>
      <c r="I790" s="157"/>
      <c r="J790" s="161"/>
      <c r="L790" s="94"/>
      <c r="M790" s="159"/>
      <c r="N790" s="94"/>
    </row>
    <row r="791">
      <c r="A791" s="107">
        <v>201177.0</v>
      </c>
      <c r="B791" s="108" t="s">
        <v>92</v>
      </c>
      <c r="C791" s="108" t="s">
        <v>376</v>
      </c>
      <c r="D791" s="100" t="str">
        <f t="shared" si="1"/>
        <v/>
      </c>
      <c r="E791" s="100" t="str">
        <f t="shared" si="2"/>
        <v/>
      </c>
      <c r="F791" s="100" t="str">
        <f t="shared" si="3"/>
        <v/>
      </c>
      <c r="G791" s="151"/>
      <c r="H791" s="156"/>
      <c r="I791" s="157"/>
      <c r="J791" s="158"/>
      <c r="L791" s="94"/>
      <c r="M791" s="159"/>
      <c r="N791" s="94"/>
    </row>
    <row r="792">
      <c r="A792" s="107">
        <v>201177.0</v>
      </c>
      <c r="B792" s="108" t="s">
        <v>190</v>
      </c>
      <c r="C792" s="108" t="s">
        <v>376</v>
      </c>
      <c r="D792" s="100" t="str">
        <f t="shared" si="1"/>
        <v/>
      </c>
      <c r="E792" s="100" t="str">
        <f t="shared" si="2"/>
        <v/>
      </c>
      <c r="F792" s="100" t="str">
        <f t="shared" si="3"/>
        <v/>
      </c>
      <c r="G792" s="151"/>
      <c r="H792" s="160"/>
      <c r="I792" s="157"/>
      <c r="J792" s="161"/>
      <c r="L792" s="94"/>
      <c r="M792" s="159"/>
      <c r="N792" s="94"/>
    </row>
    <row r="793">
      <c r="A793" s="107">
        <v>201177.0</v>
      </c>
      <c r="B793" s="108" t="s">
        <v>191</v>
      </c>
      <c r="C793" s="108" t="s">
        <v>376</v>
      </c>
      <c r="D793" s="100" t="str">
        <f t="shared" si="1"/>
        <v/>
      </c>
      <c r="E793" s="100" t="str">
        <f t="shared" si="2"/>
        <v/>
      </c>
      <c r="F793" s="100" t="str">
        <f t="shared" si="3"/>
        <v/>
      </c>
      <c r="G793" s="151"/>
      <c r="H793" s="156"/>
      <c r="I793" s="157"/>
      <c r="J793" s="158"/>
      <c r="L793" s="94"/>
      <c r="M793" s="159"/>
      <c r="N793" s="94"/>
    </row>
    <row r="794">
      <c r="A794" s="107">
        <v>201188.0</v>
      </c>
      <c r="B794" s="108" t="s">
        <v>85</v>
      </c>
      <c r="C794" s="108" t="s">
        <v>377</v>
      </c>
      <c r="D794" s="100" t="str">
        <f t="shared" si="1"/>
        <v/>
      </c>
      <c r="E794" s="100" t="str">
        <f t="shared" si="2"/>
        <v/>
      </c>
      <c r="F794" s="100" t="str">
        <f t="shared" si="3"/>
        <v/>
      </c>
      <c r="G794" s="151"/>
      <c r="H794" s="160"/>
      <c r="I794" s="157"/>
      <c r="J794" s="161"/>
      <c r="L794" s="94"/>
      <c r="M794" s="159"/>
      <c r="N794" s="94"/>
    </row>
    <row r="795">
      <c r="A795" s="107">
        <v>201188.0</v>
      </c>
      <c r="B795" s="108" t="s">
        <v>90</v>
      </c>
      <c r="C795" s="108" t="s">
        <v>377</v>
      </c>
      <c r="D795" s="100" t="str">
        <f t="shared" si="1"/>
        <v/>
      </c>
      <c r="E795" s="100" t="str">
        <f t="shared" si="2"/>
        <v/>
      </c>
      <c r="F795" s="100" t="str">
        <f t="shared" si="3"/>
        <v/>
      </c>
      <c r="G795" s="151"/>
      <c r="H795" s="156"/>
      <c r="I795" s="157"/>
      <c r="J795" s="158"/>
      <c r="L795" s="94"/>
      <c r="M795" s="159"/>
      <c r="N795" s="94"/>
    </row>
    <row r="796">
      <c r="A796" s="107">
        <v>201188.0</v>
      </c>
      <c r="B796" s="108" t="s">
        <v>92</v>
      </c>
      <c r="C796" s="108" t="s">
        <v>377</v>
      </c>
      <c r="D796" s="100" t="str">
        <f t="shared" si="1"/>
        <v/>
      </c>
      <c r="E796" s="100" t="str">
        <f t="shared" si="2"/>
        <v/>
      </c>
      <c r="F796" s="100" t="str">
        <f t="shared" si="3"/>
        <v/>
      </c>
      <c r="G796" s="151"/>
      <c r="H796" s="160"/>
      <c r="I796" s="157"/>
      <c r="J796" s="161"/>
      <c r="L796" s="94"/>
      <c r="M796" s="159"/>
      <c r="N796" s="94"/>
    </row>
    <row r="797">
      <c r="A797" s="107">
        <v>201188.0</v>
      </c>
      <c r="B797" s="108" t="s">
        <v>190</v>
      </c>
      <c r="C797" s="108" t="s">
        <v>377</v>
      </c>
      <c r="D797" s="100" t="str">
        <f t="shared" si="1"/>
        <v/>
      </c>
      <c r="E797" s="100" t="str">
        <f t="shared" si="2"/>
        <v/>
      </c>
      <c r="F797" s="100" t="str">
        <f t="shared" si="3"/>
        <v/>
      </c>
      <c r="G797" s="151"/>
      <c r="H797" s="156"/>
      <c r="I797" s="157"/>
      <c r="J797" s="158"/>
      <c r="L797" s="94"/>
      <c r="M797" s="159"/>
      <c r="N797" s="94"/>
    </row>
    <row r="798">
      <c r="A798" s="107">
        <v>201188.0</v>
      </c>
      <c r="B798" s="108" t="s">
        <v>191</v>
      </c>
      <c r="C798" s="108" t="s">
        <v>377</v>
      </c>
      <c r="D798" s="100" t="str">
        <f t="shared" si="1"/>
        <v/>
      </c>
      <c r="E798" s="100" t="str">
        <f t="shared" si="2"/>
        <v/>
      </c>
      <c r="F798" s="100" t="str">
        <f t="shared" si="3"/>
        <v/>
      </c>
      <c r="G798" s="151"/>
      <c r="H798" s="160"/>
      <c r="I798" s="157"/>
      <c r="J798" s="161"/>
      <c r="L798" s="94"/>
      <c r="M798" s="159"/>
      <c r="N798" s="94"/>
    </row>
    <row r="799">
      <c r="A799" s="107">
        <v>201188.0</v>
      </c>
      <c r="B799" s="108" t="s">
        <v>192</v>
      </c>
      <c r="C799" s="108" t="s">
        <v>377</v>
      </c>
      <c r="D799" s="100" t="str">
        <f t="shared" si="1"/>
        <v/>
      </c>
      <c r="E799" s="100" t="str">
        <f t="shared" si="2"/>
        <v/>
      </c>
      <c r="F799" s="100" t="str">
        <f t="shared" si="3"/>
        <v/>
      </c>
      <c r="G799" s="151"/>
      <c r="H799" s="156"/>
      <c r="I799" s="157"/>
      <c r="J799" s="158"/>
      <c r="L799" s="94"/>
      <c r="M799" s="159"/>
      <c r="N799" s="94"/>
    </row>
    <row r="800">
      <c r="A800" s="107">
        <v>201188.0</v>
      </c>
      <c r="B800" s="108" t="s">
        <v>193</v>
      </c>
      <c r="C800" s="108" t="s">
        <v>377</v>
      </c>
      <c r="D800" s="100" t="str">
        <f t="shared" si="1"/>
        <v/>
      </c>
      <c r="E800" s="100" t="str">
        <f t="shared" si="2"/>
        <v/>
      </c>
      <c r="F800" s="100" t="str">
        <f t="shared" si="3"/>
        <v/>
      </c>
      <c r="G800" s="151"/>
      <c r="H800" s="160"/>
      <c r="I800" s="157"/>
      <c r="J800" s="161"/>
      <c r="L800" s="94"/>
      <c r="M800" s="159"/>
      <c r="N800" s="94"/>
    </row>
    <row r="801">
      <c r="A801" s="107">
        <v>201188.0</v>
      </c>
      <c r="B801" s="108" t="s">
        <v>243</v>
      </c>
      <c r="C801" s="108" t="s">
        <v>377</v>
      </c>
      <c r="D801" s="100" t="str">
        <f t="shared" si="1"/>
        <v/>
      </c>
      <c r="E801" s="100" t="str">
        <f t="shared" si="2"/>
        <v/>
      </c>
      <c r="F801" s="100" t="str">
        <f t="shared" si="3"/>
        <v/>
      </c>
      <c r="G801" s="151"/>
      <c r="H801" s="156"/>
      <c r="I801" s="157"/>
      <c r="J801" s="158"/>
      <c r="L801" s="94"/>
      <c r="M801" s="159"/>
      <c r="N801" s="94"/>
    </row>
    <row r="802">
      <c r="A802" s="107">
        <v>201189.0</v>
      </c>
      <c r="B802" s="108" t="s">
        <v>85</v>
      </c>
      <c r="C802" s="108" t="s">
        <v>378</v>
      </c>
      <c r="D802" s="100" t="str">
        <f t="shared" si="1"/>
        <v/>
      </c>
      <c r="E802" s="100" t="str">
        <f t="shared" si="2"/>
        <v/>
      </c>
      <c r="F802" s="100" t="str">
        <f t="shared" si="3"/>
        <v/>
      </c>
      <c r="G802" s="151"/>
      <c r="H802" s="160"/>
      <c r="I802" s="157"/>
      <c r="J802" s="161"/>
      <c r="L802" s="94"/>
      <c r="M802" s="159"/>
      <c r="N802" s="94"/>
    </row>
    <row r="803">
      <c r="A803" s="107">
        <v>201196.0</v>
      </c>
      <c r="B803" s="108" t="s">
        <v>85</v>
      </c>
      <c r="C803" s="108" t="s">
        <v>379</v>
      </c>
      <c r="D803" s="100" t="str">
        <f t="shared" si="1"/>
        <v/>
      </c>
      <c r="E803" s="100" t="str">
        <f t="shared" si="2"/>
        <v/>
      </c>
      <c r="F803" s="100" t="str">
        <f t="shared" si="3"/>
        <v/>
      </c>
      <c r="G803" s="151"/>
      <c r="H803" s="156"/>
      <c r="I803" s="157"/>
      <c r="J803" s="158"/>
      <c r="L803" s="94"/>
      <c r="M803" s="159"/>
      <c r="N803" s="94"/>
    </row>
    <row r="804">
      <c r="A804" s="107">
        <v>201196.0</v>
      </c>
      <c r="B804" s="108" t="s">
        <v>90</v>
      </c>
      <c r="C804" s="108" t="s">
        <v>379</v>
      </c>
      <c r="D804" s="100" t="str">
        <f t="shared" si="1"/>
        <v/>
      </c>
      <c r="E804" s="100" t="str">
        <f t="shared" si="2"/>
        <v/>
      </c>
      <c r="F804" s="100" t="str">
        <f t="shared" si="3"/>
        <v/>
      </c>
      <c r="G804" s="151"/>
      <c r="H804" s="160"/>
      <c r="I804" s="157"/>
      <c r="J804" s="161"/>
      <c r="L804" s="94"/>
      <c r="M804" s="159"/>
      <c r="N804" s="94"/>
    </row>
    <row r="805">
      <c r="A805" s="107">
        <v>201196.0</v>
      </c>
      <c r="B805" s="108" t="s">
        <v>92</v>
      </c>
      <c r="C805" s="108" t="s">
        <v>379</v>
      </c>
      <c r="D805" s="100" t="str">
        <f t="shared" si="1"/>
        <v/>
      </c>
      <c r="E805" s="100" t="str">
        <f t="shared" si="2"/>
        <v/>
      </c>
      <c r="F805" s="100" t="str">
        <f t="shared" si="3"/>
        <v/>
      </c>
      <c r="G805" s="151"/>
      <c r="H805" s="156"/>
      <c r="I805" s="157"/>
      <c r="J805" s="158"/>
      <c r="L805" s="94"/>
      <c r="M805" s="159"/>
      <c r="N805" s="94"/>
    </row>
    <row r="806">
      <c r="A806" s="107">
        <v>201196.0</v>
      </c>
      <c r="B806" s="108" t="s">
        <v>190</v>
      </c>
      <c r="C806" s="108" t="s">
        <v>379</v>
      </c>
      <c r="D806" s="100" t="str">
        <f t="shared" si="1"/>
        <v/>
      </c>
      <c r="E806" s="100" t="str">
        <f t="shared" si="2"/>
        <v/>
      </c>
      <c r="F806" s="100" t="str">
        <f t="shared" si="3"/>
        <v/>
      </c>
      <c r="G806" s="151"/>
      <c r="H806" s="160"/>
      <c r="I806" s="157"/>
      <c r="J806" s="161"/>
      <c r="L806" s="94"/>
      <c r="M806" s="159"/>
      <c r="N806" s="94"/>
    </row>
    <row r="807">
      <c r="A807" s="107">
        <v>201196.0</v>
      </c>
      <c r="B807" s="108" t="s">
        <v>191</v>
      </c>
      <c r="C807" s="108" t="s">
        <v>379</v>
      </c>
      <c r="D807" s="100" t="str">
        <f t="shared" si="1"/>
        <v/>
      </c>
      <c r="E807" s="100" t="str">
        <f t="shared" si="2"/>
        <v/>
      </c>
      <c r="F807" s="100" t="str">
        <f t="shared" si="3"/>
        <v/>
      </c>
      <c r="G807" s="151"/>
      <c r="H807" s="156"/>
      <c r="I807" s="157"/>
      <c r="J807" s="158"/>
      <c r="L807" s="94"/>
      <c r="M807" s="159"/>
      <c r="N807" s="94"/>
    </row>
    <row r="808">
      <c r="A808" s="107">
        <v>201202.0</v>
      </c>
      <c r="B808" s="108" t="s">
        <v>85</v>
      </c>
      <c r="C808" s="108" t="s">
        <v>380</v>
      </c>
      <c r="D808" s="100" t="str">
        <f t="shared" si="1"/>
        <v/>
      </c>
      <c r="E808" s="100" t="str">
        <f t="shared" si="2"/>
        <v/>
      </c>
      <c r="F808" s="100" t="str">
        <f t="shared" si="3"/>
        <v/>
      </c>
      <c r="G808" s="151"/>
      <c r="H808" s="160"/>
      <c r="I808" s="157"/>
      <c r="J808" s="161"/>
      <c r="L808" s="94"/>
      <c r="M808" s="159"/>
      <c r="N808" s="94"/>
    </row>
    <row r="809">
      <c r="A809" s="107">
        <v>201202.0</v>
      </c>
      <c r="B809" s="108" t="s">
        <v>90</v>
      </c>
      <c r="C809" s="108" t="s">
        <v>380</v>
      </c>
      <c r="D809" s="100" t="str">
        <f t="shared" si="1"/>
        <v/>
      </c>
      <c r="E809" s="100" t="str">
        <f t="shared" si="2"/>
        <v/>
      </c>
      <c r="F809" s="100" t="str">
        <f t="shared" si="3"/>
        <v/>
      </c>
      <c r="G809" s="151"/>
      <c r="H809" s="156"/>
      <c r="I809" s="157"/>
      <c r="J809" s="158"/>
      <c r="L809" s="94"/>
      <c r="M809" s="159"/>
      <c r="N809" s="94"/>
    </row>
    <row r="810">
      <c r="A810" s="107">
        <v>201202.0</v>
      </c>
      <c r="B810" s="108" t="s">
        <v>92</v>
      </c>
      <c r="C810" s="108" t="s">
        <v>380</v>
      </c>
      <c r="D810" s="100" t="str">
        <f t="shared" si="1"/>
        <v/>
      </c>
      <c r="E810" s="100" t="str">
        <f t="shared" si="2"/>
        <v/>
      </c>
      <c r="F810" s="100" t="str">
        <f t="shared" si="3"/>
        <v/>
      </c>
      <c r="G810" s="151"/>
      <c r="H810" s="160"/>
      <c r="I810" s="157"/>
      <c r="J810" s="161"/>
      <c r="L810" s="94"/>
      <c r="M810" s="159"/>
      <c r="N810" s="94"/>
    </row>
    <row r="811">
      <c r="A811" s="107">
        <v>201202.0</v>
      </c>
      <c r="B811" s="108" t="s">
        <v>190</v>
      </c>
      <c r="C811" s="108" t="s">
        <v>380</v>
      </c>
      <c r="D811" s="100" t="str">
        <f t="shared" si="1"/>
        <v/>
      </c>
      <c r="E811" s="100" t="str">
        <f t="shared" si="2"/>
        <v/>
      </c>
      <c r="F811" s="100" t="str">
        <f t="shared" si="3"/>
        <v/>
      </c>
      <c r="G811" s="151"/>
      <c r="H811" s="156"/>
      <c r="I811" s="157"/>
      <c r="J811" s="158"/>
      <c r="L811" s="94"/>
      <c r="M811" s="159"/>
      <c r="N811" s="94"/>
    </row>
    <row r="812">
      <c r="A812" s="107">
        <v>201203.0</v>
      </c>
      <c r="B812" s="108" t="s">
        <v>85</v>
      </c>
      <c r="C812" s="108" t="s">
        <v>381</v>
      </c>
      <c r="D812" s="100" t="str">
        <f t="shared" si="1"/>
        <v/>
      </c>
      <c r="E812" s="100" t="str">
        <f t="shared" si="2"/>
        <v/>
      </c>
      <c r="F812" s="100" t="str">
        <f t="shared" si="3"/>
        <v/>
      </c>
      <c r="G812" s="151"/>
      <c r="H812" s="160"/>
      <c r="I812" s="157"/>
      <c r="J812" s="161"/>
      <c r="L812" s="94"/>
      <c r="M812" s="159"/>
      <c r="N812" s="94"/>
    </row>
    <row r="813">
      <c r="A813" s="107">
        <v>201228.0</v>
      </c>
      <c r="B813" s="108" t="s">
        <v>85</v>
      </c>
      <c r="C813" s="108" t="s">
        <v>382</v>
      </c>
      <c r="D813" s="100" t="str">
        <f t="shared" si="1"/>
        <v/>
      </c>
      <c r="E813" s="100" t="str">
        <f t="shared" si="2"/>
        <v/>
      </c>
      <c r="F813" s="100" t="str">
        <f t="shared" si="3"/>
        <v/>
      </c>
      <c r="G813" s="151"/>
      <c r="H813" s="156"/>
      <c r="I813" s="157"/>
      <c r="J813" s="158"/>
      <c r="L813" s="94"/>
      <c r="M813" s="159"/>
      <c r="N813" s="94"/>
    </row>
    <row r="814">
      <c r="A814" s="107">
        <v>201228.0</v>
      </c>
      <c r="B814" s="108" t="s">
        <v>90</v>
      </c>
      <c r="C814" s="108" t="s">
        <v>382</v>
      </c>
      <c r="D814" s="100" t="str">
        <f t="shared" si="1"/>
        <v/>
      </c>
      <c r="E814" s="100" t="str">
        <f t="shared" si="2"/>
        <v/>
      </c>
      <c r="F814" s="100" t="str">
        <f t="shared" si="3"/>
        <v/>
      </c>
      <c r="G814" s="151"/>
      <c r="H814" s="160"/>
      <c r="I814" s="157"/>
      <c r="J814" s="161"/>
      <c r="L814" s="94"/>
      <c r="M814" s="159"/>
      <c r="N814" s="94"/>
    </row>
    <row r="815">
      <c r="A815" s="107">
        <v>201228.0</v>
      </c>
      <c r="B815" s="108" t="s">
        <v>92</v>
      </c>
      <c r="C815" s="108" t="s">
        <v>382</v>
      </c>
      <c r="D815" s="100" t="str">
        <f t="shared" si="1"/>
        <v/>
      </c>
      <c r="E815" s="100" t="str">
        <f t="shared" si="2"/>
        <v/>
      </c>
      <c r="F815" s="100" t="str">
        <f t="shared" si="3"/>
        <v/>
      </c>
      <c r="G815" s="151"/>
      <c r="H815" s="156"/>
      <c r="I815" s="157"/>
      <c r="J815" s="158"/>
      <c r="L815" s="94"/>
      <c r="M815" s="159"/>
      <c r="N815" s="94"/>
    </row>
    <row r="816">
      <c r="A816" s="107">
        <v>201228.0</v>
      </c>
      <c r="B816" s="108" t="s">
        <v>190</v>
      </c>
      <c r="C816" s="108" t="s">
        <v>382</v>
      </c>
      <c r="D816" s="100" t="str">
        <f t="shared" si="1"/>
        <v/>
      </c>
      <c r="E816" s="100" t="str">
        <f t="shared" si="2"/>
        <v/>
      </c>
      <c r="F816" s="100" t="str">
        <f t="shared" si="3"/>
        <v/>
      </c>
      <c r="G816" s="151"/>
      <c r="H816" s="160"/>
      <c r="I816" s="157"/>
      <c r="J816" s="161"/>
      <c r="L816" s="94"/>
      <c r="M816" s="159"/>
      <c r="N816" s="94"/>
    </row>
    <row r="817">
      <c r="A817" s="107">
        <v>201229.0</v>
      </c>
      <c r="B817" s="108" t="s">
        <v>85</v>
      </c>
      <c r="C817" s="108" t="s">
        <v>383</v>
      </c>
      <c r="D817" s="100" t="str">
        <f t="shared" si="1"/>
        <v/>
      </c>
      <c r="E817" s="100" t="str">
        <f t="shared" si="2"/>
        <v/>
      </c>
      <c r="F817" s="100" t="str">
        <f t="shared" si="3"/>
        <v/>
      </c>
      <c r="G817" s="151"/>
      <c r="H817" s="156"/>
      <c r="I817" s="157"/>
      <c r="J817" s="158"/>
      <c r="L817" s="94"/>
      <c r="M817" s="159"/>
      <c r="N817" s="94"/>
    </row>
    <row r="818">
      <c r="A818" s="107">
        <v>201229.0</v>
      </c>
      <c r="B818" s="108" t="s">
        <v>90</v>
      </c>
      <c r="C818" s="108" t="s">
        <v>383</v>
      </c>
      <c r="D818" s="100" t="str">
        <f t="shared" si="1"/>
        <v/>
      </c>
      <c r="E818" s="100" t="str">
        <f t="shared" si="2"/>
        <v/>
      </c>
      <c r="F818" s="100" t="str">
        <f t="shared" si="3"/>
        <v/>
      </c>
      <c r="G818" s="151"/>
      <c r="H818" s="160"/>
      <c r="I818" s="157"/>
      <c r="J818" s="161"/>
      <c r="L818" s="94"/>
      <c r="M818" s="159"/>
      <c r="N818" s="94"/>
    </row>
    <row r="819">
      <c r="A819" s="107">
        <v>201229.0</v>
      </c>
      <c r="B819" s="108" t="s">
        <v>92</v>
      </c>
      <c r="C819" s="108" t="s">
        <v>383</v>
      </c>
      <c r="D819" s="100" t="str">
        <f t="shared" si="1"/>
        <v/>
      </c>
      <c r="E819" s="100" t="str">
        <f t="shared" si="2"/>
        <v/>
      </c>
      <c r="F819" s="100" t="str">
        <f t="shared" si="3"/>
        <v/>
      </c>
      <c r="G819" s="151"/>
      <c r="H819" s="156"/>
      <c r="I819" s="157"/>
      <c r="J819" s="158"/>
      <c r="L819" s="94"/>
      <c r="M819" s="159"/>
      <c r="N819" s="94"/>
    </row>
    <row r="820">
      <c r="A820" s="107">
        <v>201229.0</v>
      </c>
      <c r="B820" s="108" t="s">
        <v>190</v>
      </c>
      <c r="C820" s="108" t="s">
        <v>383</v>
      </c>
      <c r="D820" s="100" t="str">
        <f t="shared" si="1"/>
        <v/>
      </c>
      <c r="E820" s="100" t="str">
        <f t="shared" si="2"/>
        <v/>
      </c>
      <c r="F820" s="100" t="str">
        <f t="shared" si="3"/>
        <v/>
      </c>
      <c r="G820" s="151"/>
      <c r="H820" s="160"/>
      <c r="I820" s="157"/>
      <c r="J820" s="161"/>
      <c r="L820" s="94"/>
      <c r="M820" s="159"/>
      <c r="N820" s="94"/>
    </row>
    <row r="821">
      <c r="A821" s="107">
        <v>201229.0</v>
      </c>
      <c r="B821" s="108" t="s">
        <v>191</v>
      </c>
      <c r="C821" s="108" t="s">
        <v>383</v>
      </c>
      <c r="D821" s="100" t="str">
        <f t="shared" si="1"/>
        <v/>
      </c>
      <c r="E821" s="100" t="str">
        <f t="shared" si="2"/>
        <v/>
      </c>
      <c r="F821" s="100" t="str">
        <f t="shared" si="3"/>
        <v/>
      </c>
      <c r="G821" s="151"/>
      <c r="H821" s="156"/>
      <c r="I821" s="157"/>
      <c r="J821" s="158"/>
      <c r="L821" s="94"/>
      <c r="M821" s="159"/>
      <c r="N821" s="94"/>
    </row>
    <row r="822">
      <c r="A822" s="107">
        <v>201229.0</v>
      </c>
      <c r="B822" s="108" t="s">
        <v>192</v>
      </c>
      <c r="C822" s="108" t="s">
        <v>383</v>
      </c>
      <c r="D822" s="100" t="str">
        <f t="shared" si="1"/>
        <v/>
      </c>
      <c r="E822" s="100" t="str">
        <f t="shared" si="2"/>
        <v/>
      </c>
      <c r="F822" s="100" t="str">
        <f t="shared" si="3"/>
        <v/>
      </c>
      <c r="G822" s="151"/>
      <c r="H822" s="160"/>
      <c r="I822" s="157"/>
      <c r="J822" s="161"/>
      <c r="L822" s="94"/>
      <c r="M822" s="159"/>
      <c r="N822" s="94"/>
    </row>
    <row r="823">
      <c r="A823" s="107">
        <v>201229.0</v>
      </c>
      <c r="B823" s="108" t="s">
        <v>193</v>
      </c>
      <c r="C823" s="108" t="s">
        <v>383</v>
      </c>
      <c r="D823" s="100" t="str">
        <f t="shared" si="1"/>
        <v/>
      </c>
      <c r="E823" s="100" t="str">
        <f t="shared" si="2"/>
        <v/>
      </c>
      <c r="F823" s="100" t="str">
        <f t="shared" si="3"/>
        <v/>
      </c>
      <c r="G823" s="151"/>
      <c r="H823" s="156"/>
      <c r="I823" s="157"/>
      <c r="J823" s="158"/>
      <c r="L823" s="94"/>
      <c r="M823" s="159"/>
      <c r="N823" s="94"/>
    </row>
    <row r="824">
      <c r="A824" s="107">
        <v>201229.0</v>
      </c>
      <c r="B824" s="108" t="s">
        <v>243</v>
      </c>
      <c r="C824" s="108" t="s">
        <v>383</v>
      </c>
      <c r="D824" s="100" t="str">
        <f t="shared" si="1"/>
        <v/>
      </c>
      <c r="E824" s="100" t="str">
        <f t="shared" si="2"/>
        <v/>
      </c>
      <c r="F824" s="100" t="str">
        <f t="shared" si="3"/>
        <v/>
      </c>
      <c r="G824" s="151"/>
      <c r="H824" s="160"/>
      <c r="I824" s="157"/>
      <c r="J824" s="161"/>
      <c r="L824" s="94"/>
      <c r="M824" s="159"/>
      <c r="N824" s="94"/>
    </row>
    <row r="825">
      <c r="A825" s="107">
        <v>201281.0</v>
      </c>
      <c r="B825" s="108" t="s">
        <v>191</v>
      </c>
      <c r="C825" s="108" t="s">
        <v>384</v>
      </c>
      <c r="D825" s="100" t="str">
        <f t="shared" si="1"/>
        <v/>
      </c>
      <c r="E825" s="100" t="str">
        <f t="shared" si="2"/>
        <v/>
      </c>
      <c r="F825" s="100" t="str">
        <f t="shared" si="3"/>
        <v/>
      </c>
      <c r="G825" s="151"/>
      <c r="H825" s="156"/>
      <c r="I825" s="157"/>
      <c r="J825" s="158"/>
      <c r="L825" s="94"/>
      <c r="M825" s="159"/>
      <c r="N825" s="94"/>
    </row>
    <row r="826">
      <c r="A826" s="107">
        <v>201281.0</v>
      </c>
      <c r="B826" s="108" t="s">
        <v>192</v>
      </c>
      <c r="C826" s="108" t="s">
        <v>384</v>
      </c>
      <c r="D826" s="100" t="str">
        <f t="shared" si="1"/>
        <v/>
      </c>
      <c r="E826" s="100" t="str">
        <f t="shared" si="2"/>
        <v/>
      </c>
      <c r="F826" s="100" t="str">
        <f t="shared" si="3"/>
        <v/>
      </c>
      <c r="G826" s="151"/>
      <c r="H826" s="160"/>
      <c r="I826" s="157"/>
      <c r="J826" s="161"/>
      <c r="L826" s="94"/>
      <c r="M826" s="159"/>
      <c r="N826" s="94"/>
    </row>
    <row r="827">
      <c r="A827" s="107">
        <v>201563.0</v>
      </c>
      <c r="B827" s="108" t="s">
        <v>85</v>
      </c>
      <c r="C827" s="108" t="s">
        <v>385</v>
      </c>
      <c r="D827" s="100" t="str">
        <f t="shared" si="1"/>
        <v/>
      </c>
      <c r="E827" s="100" t="str">
        <f t="shared" si="2"/>
        <v/>
      </c>
      <c r="F827" s="100" t="str">
        <f t="shared" si="3"/>
        <v/>
      </c>
      <c r="G827" s="151"/>
      <c r="H827" s="156"/>
      <c r="I827" s="157"/>
      <c r="J827" s="158"/>
      <c r="L827" s="94"/>
      <c r="M827" s="159"/>
      <c r="N827" s="94"/>
    </row>
    <row r="828">
      <c r="A828" s="107">
        <v>201563.0</v>
      </c>
      <c r="B828" s="108" t="s">
        <v>90</v>
      </c>
      <c r="C828" s="108" t="s">
        <v>385</v>
      </c>
      <c r="D828" s="100" t="str">
        <f t="shared" si="1"/>
        <v/>
      </c>
      <c r="E828" s="100" t="str">
        <f t="shared" si="2"/>
        <v/>
      </c>
      <c r="F828" s="100" t="str">
        <f t="shared" si="3"/>
        <v/>
      </c>
      <c r="G828" s="151"/>
      <c r="H828" s="160"/>
      <c r="I828" s="157"/>
      <c r="J828" s="161"/>
      <c r="L828" s="94"/>
      <c r="M828" s="159"/>
      <c r="N828" s="94"/>
    </row>
    <row r="829">
      <c r="A829" s="107">
        <v>201563.0</v>
      </c>
      <c r="B829" s="108" t="s">
        <v>92</v>
      </c>
      <c r="C829" s="108" t="s">
        <v>385</v>
      </c>
      <c r="D829" s="100" t="str">
        <f t="shared" si="1"/>
        <v/>
      </c>
      <c r="E829" s="100" t="str">
        <f t="shared" si="2"/>
        <v/>
      </c>
      <c r="F829" s="100" t="str">
        <f t="shared" si="3"/>
        <v/>
      </c>
      <c r="G829" s="151"/>
      <c r="H829" s="156"/>
      <c r="I829" s="157"/>
      <c r="J829" s="158"/>
      <c r="L829" s="94"/>
      <c r="M829" s="159"/>
      <c r="N829" s="94"/>
    </row>
    <row r="830">
      <c r="A830" s="107">
        <v>201563.0</v>
      </c>
      <c r="B830" s="108" t="s">
        <v>190</v>
      </c>
      <c r="C830" s="108" t="s">
        <v>385</v>
      </c>
      <c r="D830" s="100" t="str">
        <f t="shared" si="1"/>
        <v/>
      </c>
      <c r="E830" s="100" t="str">
        <f t="shared" si="2"/>
        <v/>
      </c>
      <c r="F830" s="100" t="str">
        <f t="shared" si="3"/>
        <v/>
      </c>
      <c r="G830" s="151"/>
      <c r="H830" s="160"/>
      <c r="I830" s="157"/>
      <c r="J830" s="161"/>
      <c r="L830" s="94"/>
      <c r="M830" s="159"/>
      <c r="N830" s="94"/>
    </row>
    <row r="831">
      <c r="A831" s="107">
        <v>201563.0</v>
      </c>
      <c r="B831" s="108" t="s">
        <v>191</v>
      </c>
      <c r="C831" s="108" t="s">
        <v>385</v>
      </c>
      <c r="D831" s="100" t="str">
        <f t="shared" si="1"/>
        <v/>
      </c>
      <c r="E831" s="100" t="str">
        <f t="shared" si="2"/>
        <v/>
      </c>
      <c r="F831" s="100" t="str">
        <f t="shared" si="3"/>
        <v/>
      </c>
      <c r="G831" s="151"/>
      <c r="H831" s="156"/>
      <c r="I831" s="157"/>
      <c r="J831" s="158"/>
      <c r="L831" s="94"/>
      <c r="M831" s="159"/>
      <c r="N831" s="94"/>
    </row>
    <row r="832">
      <c r="A832" s="107">
        <v>201563.0</v>
      </c>
      <c r="B832" s="108" t="s">
        <v>192</v>
      </c>
      <c r="C832" s="108" t="s">
        <v>385</v>
      </c>
      <c r="D832" s="100" t="str">
        <f t="shared" si="1"/>
        <v/>
      </c>
      <c r="E832" s="100" t="str">
        <f t="shared" si="2"/>
        <v/>
      </c>
      <c r="F832" s="100" t="str">
        <f t="shared" si="3"/>
        <v/>
      </c>
      <c r="G832" s="151"/>
      <c r="H832" s="160"/>
      <c r="I832" s="157"/>
      <c r="J832" s="161"/>
      <c r="L832" s="94"/>
      <c r="M832" s="159"/>
      <c r="N832" s="94"/>
    </row>
    <row r="833">
      <c r="A833" s="107">
        <v>201564.0</v>
      </c>
      <c r="B833" s="108" t="s">
        <v>85</v>
      </c>
      <c r="C833" s="108" t="s">
        <v>386</v>
      </c>
      <c r="D833" s="100" t="str">
        <f t="shared" si="1"/>
        <v/>
      </c>
      <c r="E833" s="100" t="str">
        <f t="shared" si="2"/>
        <v/>
      </c>
      <c r="F833" s="100" t="str">
        <f t="shared" si="3"/>
        <v/>
      </c>
      <c r="G833" s="151"/>
      <c r="H833" s="156"/>
      <c r="I833" s="157"/>
      <c r="J833" s="158"/>
      <c r="L833" s="94"/>
      <c r="M833" s="159"/>
      <c r="N833" s="94"/>
    </row>
    <row r="834">
      <c r="A834" s="107">
        <v>201564.0</v>
      </c>
      <c r="B834" s="108" t="s">
        <v>90</v>
      </c>
      <c r="C834" s="108" t="s">
        <v>386</v>
      </c>
      <c r="D834" s="100" t="str">
        <f t="shared" si="1"/>
        <v/>
      </c>
      <c r="E834" s="100" t="str">
        <f t="shared" si="2"/>
        <v/>
      </c>
      <c r="F834" s="100" t="str">
        <f t="shared" si="3"/>
        <v/>
      </c>
      <c r="G834" s="151"/>
      <c r="H834" s="160"/>
      <c r="I834" s="157"/>
      <c r="J834" s="161"/>
      <c r="L834" s="94"/>
      <c r="M834" s="159"/>
      <c r="N834" s="94"/>
    </row>
    <row r="835">
      <c r="A835" s="107">
        <v>201564.0</v>
      </c>
      <c r="B835" s="108" t="s">
        <v>92</v>
      </c>
      <c r="C835" s="108" t="s">
        <v>386</v>
      </c>
      <c r="D835" s="100" t="str">
        <f t="shared" si="1"/>
        <v/>
      </c>
      <c r="E835" s="100" t="str">
        <f t="shared" si="2"/>
        <v/>
      </c>
      <c r="F835" s="100" t="str">
        <f t="shared" si="3"/>
        <v/>
      </c>
      <c r="G835" s="151"/>
      <c r="H835" s="156"/>
      <c r="I835" s="157"/>
      <c r="J835" s="158"/>
      <c r="L835" s="94"/>
      <c r="M835" s="159"/>
      <c r="N835" s="94"/>
    </row>
    <row r="836">
      <c r="A836" s="107">
        <v>201565.0</v>
      </c>
      <c r="B836" s="108" t="s">
        <v>85</v>
      </c>
      <c r="C836" s="108" t="s">
        <v>387</v>
      </c>
      <c r="D836" s="100" t="str">
        <f t="shared" si="1"/>
        <v/>
      </c>
      <c r="E836" s="100" t="str">
        <f t="shared" si="2"/>
        <v/>
      </c>
      <c r="F836" s="100" t="str">
        <f t="shared" si="3"/>
        <v/>
      </c>
      <c r="G836" s="151"/>
      <c r="H836" s="160"/>
      <c r="I836" s="157"/>
      <c r="J836" s="161"/>
      <c r="L836" s="94"/>
      <c r="M836" s="159"/>
      <c r="N836" s="94"/>
    </row>
    <row r="837">
      <c r="A837" s="107">
        <v>201565.0</v>
      </c>
      <c r="B837" s="108" t="s">
        <v>90</v>
      </c>
      <c r="C837" s="108" t="s">
        <v>387</v>
      </c>
      <c r="D837" s="100" t="str">
        <f t="shared" si="1"/>
        <v/>
      </c>
      <c r="E837" s="100" t="str">
        <f t="shared" si="2"/>
        <v/>
      </c>
      <c r="F837" s="100" t="str">
        <f t="shared" si="3"/>
        <v/>
      </c>
      <c r="G837" s="151"/>
      <c r="H837" s="156"/>
      <c r="I837" s="157"/>
      <c r="J837" s="158"/>
      <c r="L837" s="94"/>
      <c r="M837" s="159"/>
      <c r="N837" s="94"/>
    </row>
    <row r="838">
      <c r="A838" s="107">
        <v>201565.0</v>
      </c>
      <c r="B838" s="108" t="s">
        <v>92</v>
      </c>
      <c r="C838" s="108" t="s">
        <v>387</v>
      </c>
      <c r="D838" s="100" t="str">
        <f t="shared" si="1"/>
        <v/>
      </c>
      <c r="E838" s="100" t="str">
        <f t="shared" si="2"/>
        <v/>
      </c>
      <c r="F838" s="100" t="str">
        <f t="shared" si="3"/>
        <v/>
      </c>
      <c r="G838" s="151"/>
      <c r="H838" s="160"/>
      <c r="I838" s="157"/>
      <c r="J838" s="161"/>
      <c r="L838" s="94"/>
      <c r="M838" s="159"/>
      <c r="N838" s="94"/>
    </row>
    <row r="839">
      <c r="A839" s="107">
        <v>201565.0</v>
      </c>
      <c r="B839" s="108" t="s">
        <v>190</v>
      </c>
      <c r="C839" s="108" t="s">
        <v>387</v>
      </c>
      <c r="D839" s="100" t="str">
        <f t="shared" si="1"/>
        <v/>
      </c>
      <c r="E839" s="100" t="str">
        <f t="shared" si="2"/>
        <v/>
      </c>
      <c r="F839" s="100" t="str">
        <f t="shared" si="3"/>
        <v/>
      </c>
      <c r="G839" s="151"/>
      <c r="H839" s="156"/>
      <c r="I839" s="157"/>
      <c r="J839" s="158"/>
      <c r="L839" s="94"/>
      <c r="M839" s="159"/>
      <c r="N839" s="94"/>
    </row>
    <row r="840">
      <c r="A840" s="107">
        <v>201565.0</v>
      </c>
      <c r="B840" s="108" t="s">
        <v>191</v>
      </c>
      <c r="C840" s="108" t="s">
        <v>387</v>
      </c>
      <c r="D840" s="100" t="str">
        <f t="shared" si="1"/>
        <v/>
      </c>
      <c r="E840" s="100" t="str">
        <f t="shared" si="2"/>
        <v/>
      </c>
      <c r="F840" s="100" t="str">
        <f t="shared" si="3"/>
        <v/>
      </c>
      <c r="G840" s="151"/>
      <c r="H840" s="160"/>
      <c r="I840" s="157"/>
      <c r="J840" s="161"/>
      <c r="L840" s="94"/>
      <c r="M840" s="159"/>
      <c r="N840" s="94"/>
    </row>
    <row r="841">
      <c r="A841" s="107">
        <v>201565.0</v>
      </c>
      <c r="B841" s="108" t="s">
        <v>192</v>
      </c>
      <c r="C841" s="108" t="s">
        <v>387</v>
      </c>
      <c r="D841" s="100" t="str">
        <f t="shared" si="1"/>
        <v/>
      </c>
      <c r="E841" s="100" t="str">
        <f t="shared" si="2"/>
        <v/>
      </c>
      <c r="F841" s="100" t="str">
        <f t="shared" si="3"/>
        <v/>
      </c>
      <c r="G841" s="151"/>
      <c r="H841" s="156"/>
      <c r="I841" s="157"/>
      <c r="J841" s="158"/>
      <c r="L841" s="94"/>
      <c r="M841" s="159"/>
      <c r="N841" s="94"/>
    </row>
    <row r="842">
      <c r="A842" s="107">
        <v>201565.0</v>
      </c>
      <c r="B842" s="108" t="s">
        <v>193</v>
      </c>
      <c r="C842" s="108" t="s">
        <v>387</v>
      </c>
      <c r="D842" s="100" t="str">
        <f t="shared" si="1"/>
        <v/>
      </c>
      <c r="E842" s="100" t="str">
        <f t="shared" si="2"/>
        <v/>
      </c>
      <c r="F842" s="100" t="str">
        <f t="shared" si="3"/>
        <v/>
      </c>
      <c r="G842" s="151"/>
      <c r="H842" s="160"/>
      <c r="I842" s="157"/>
      <c r="J842" s="161"/>
      <c r="L842" s="94"/>
      <c r="M842" s="159"/>
      <c r="N842" s="94"/>
    </row>
    <row r="843">
      <c r="A843" s="107">
        <v>201565.0</v>
      </c>
      <c r="B843" s="108" t="s">
        <v>243</v>
      </c>
      <c r="C843" s="108" t="s">
        <v>387</v>
      </c>
      <c r="D843" s="100" t="str">
        <f t="shared" si="1"/>
        <v/>
      </c>
      <c r="E843" s="100" t="str">
        <f t="shared" si="2"/>
        <v/>
      </c>
      <c r="F843" s="100" t="str">
        <f t="shared" si="3"/>
        <v/>
      </c>
      <c r="G843" s="151"/>
      <c r="H843" s="156"/>
      <c r="I843" s="157"/>
      <c r="J843" s="158"/>
      <c r="L843" s="94"/>
      <c r="M843" s="159"/>
      <c r="N843" s="94"/>
    </row>
    <row r="844">
      <c r="A844" s="107">
        <v>201565.0</v>
      </c>
      <c r="B844" s="108" t="s">
        <v>215</v>
      </c>
      <c r="C844" s="108" t="s">
        <v>387</v>
      </c>
      <c r="D844" s="100" t="str">
        <f t="shared" si="1"/>
        <v/>
      </c>
      <c r="E844" s="100" t="str">
        <f t="shared" si="2"/>
        <v/>
      </c>
      <c r="F844" s="100" t="str">
        <f t="shared" si="3"/>
        <v/>
      </c>
      <c r="G844" s="151"/>
      <c r="H844" s="160"/>
      <c r="I844" s="157"/>
      <c r="J844" s="161"/>
      <c r="L844" s="94"/>
      <c r="M844" s="159"/>
      <c r="N844" s="94"/>
    </row>
    <row r="845">
      <c r="A845" s="107">
        <v>201565.0</v>
      </c>
      <c r="B845" s="108" t="s">
        <v>244</v>
      </c>
      <c r="C845" s="108" t="s">
        <v>387</v>
      </c>
      <c r="D845" s="100" t="str">
        <f t="shared" si="1"/>
        <v/>
      </c>
      <c r="E845" s="100" t="str">
        <f t="shared" si="2"/>
        <v/>
      </c>
      <c r="F845" s="100" t="str">
        <f t="shared" si="3"/>
        <v/>
      </c>
      <c r="G845" s="151"/>
      <c r="H845" s="156"/>
      <c r="I845" s="157"/>
      <c r="J845" s="158"/>
      <c r="L845" s="94"/>
      <c r="M845" s="159"/>
      <c r="N845" s="94"/>
    </row>
    <row r="846">
      <c r="A846" s="107">
        <v>201565.0</v>
      </c>
      <c r="B846" s="108" t="s">
        <v>245</v>
      </c>
      <c r="C846" s="108" t="s">
        <v>387</v>
      </c>
      <c r="D846" s="100" t="str">
        <f t="shared" si="1"/>
        <v/>
      </c>
      <c r="E846" s="100" t="str">
        <f t="shared" si="2"/>
        <v/>
      </c>
      <c r="F846" s="100" t="str">
        <f t="shared" si="3"/>
        <v/>
      </c>
      <c r="G846" s="151"/>
      <c r="H846" s="160"/>
      <c r="I846" s="157"/>
      <c r="J846" s="161"/>
      <c r="L846" s="94"/>
      <c r="M846" s="159"/>
      <c r="N846" s="94"/>
    </row>
    <row r="847">
      <c r="A847" s="107">
        <v>201566.0</v>
      </c>
      <c r="B847" s="108" t="s">
        <v>85</v>
      </c>
      <c r="C847" s="108" t="s">
        <v>388</v>
      </c>
      <c r="D847" s="100" t="str">
        <f t="shared" si="1"/>
        <v/>
      </c>
      <c r="E847" s="100" t="str">
        <f t="shared" si="2"/>
        <v/>
      </c>
      <c r="F847" s="100" t="str">
        <f t="shared" si="3"/>
        <v/>
      </c>
      <c r="G847" s="151"/>
      <c r="H847" s="156"/>
      <c r="I847" s="157"/>
      <c r="J847" s="158"/>
      <c r="L847" s="94"/>
      <c r="M847" s="159"/>
      <c r="N847" s="94"/>
    </row>
    <row r="848">
      <c r="A848" s="107">
        <v>201566.0</v>
      </c>
      <c r="B848" s="108" t="s">
        <v>90</v>
      </c>
      <c r="C848" s="108" t="s">
        <v>388</v>
      </c>
      <c r="D848" s="100" t="str">
        <f t="shared" si="1"/>
        <v/>
      </c>
      <c r="E848" s="100" t="str">
        <f t="shared" si="2"/>
        <v/>
      </c>
      <c r="F848" s="100" t="str">
        <f t="shared" si="3"/>
        <v/>
      </c>
      <c r="G848" s="151"/>
      <c r="H848" s="160"/>
      <c r="I848" s="157"/>
      <c r="J848" s="161"/>
      <c r="L848" s="94"/>
      <c r="M848" s="159"/>
      <c r="N848" s="94"/>
    </row>
    <row r="849">
      <c r="A849" s="107">
        <v>201566.0</v>
      </c>
      <c r="B849" s="108" t="s">
        <v>92</v>
      </c>
      <c r="C849" s="108" t="s">
        <v>388</v>
      </c>
      <c r="D849" s="100" t="str">
        <f t="shared" si="1"/>
        <v/>
      </c>
      <c r="E849" s="100" t="str">
        <f t="shared" si="2"/>
        <v/>
      </c>
      <c r="F849" s="100" t="str">
        <f t="shared" si="3"/>
        <v/>
      </c>
      <c r="G849" s="151"/>
      <c r="H849" s="156"/>
      <c r="I849" s="157"/>
      <c r="J849" s="158"/>
      <c r="L849" s="94"/>
      <c r="M849" s="159"/>
      <c r="N849" s="94"/>
    </row>
    <row r="850">
      <c r="A850" s="107">
        <v>201566.0</v>
      </c>
      <c r="B850" s="108" t="s">
        <v>190</v>
      </c>
      <c r="C850" s="108" t="s">
        <v>388</v>
      </c>
      <c r="D850" s="100" t="str">
        <f t="shared" si="1"/>
        <v/>
      </c>
      <c r="E850" s="100" t="str">
        <f t="shared" si="2"/>
        <v/>
      </c>
      <c r="F850" s="100" t="str">
        <f t="shared" si="3"/>
        <v/>
      </c>
      <c r="G850" s="151"/>
      <c r="H850" s="160"/>
      <c r="I850" s="157"/>
      <c r="J850" s="161"/>
      <c r="L850" s="94"/>
      <c r="M850" s="159"/>
      <c r="N850" s="94"/>
    </row>
    <row r="851">
      <c r="A851" s="107">
        <v>201566.0</v>
      </c>
      <c r="B851" s="108" t="s">
        <v>191</v>
      </c>
      <c r="C851" s="108" t="s">
        <v>388</v>
      </c>
      <c r="D851" s="100" t="str">
        <f t="shared" si="1"/>
        <v/>
      </c>
      <c r="E851" s="100" t="str">
        <f t="shared" si="2"/>
        <v/>
      </c>
      <c r="F851" s="100" t="str">
        <f t="shared" si="3"/>
        <v/>
      </c>
      <c r="G851" s="151"/>
      <c r="H851" s="156"/>
      <c r="I851" s="157"/>
      <c r="J851" s="158"/>
      <c r="L851" s="94"/>
      <c r="M851" s="159"/>
      <c r="N851" s="94"/>
    </row>
    <row r="852">
      <c r="A852" s="107">
        <v>201566.0</v>
      </c>
      <c r="B852" s="108" t="s">
        <v>192</v>
      </c>
      <c r="C852" s="108" t="s">
        <v>388</v>
      </c>
      <c r="D852" s="100" t="str">
        <f t="shared" si="1"/>
        <v/>
      </c>
      <c r="E852" s="100" t="str">
        <f t="shared" si="2"/>
        <v/>
      </c>
      <c r="F852" s="100" t="str">
        <f t="shared" si="3"/>
        <v/>
      </c>
      <c r="G852" s="151"/>
      <c r="H852" s="160"/>
      <c r="I852" s="157"/>
      <c r="J852" s="161"/>
      <c r="L852" s="94"/>
      <c r="M852" s="159"/>
      <c r="N852" s="94"/>
    </row>
    <row r="853">
      <c r="A853" s="107">
        <v>201566.0</v>
      </c>
      <c r="B853" s="108" t="s">
        <v>193</v>
      </c>
      <c r="C853" s="108" t="s">
        <v>388</v>
      </c>
      <c r="D853" s="100" t="str">
        <f t="shared" si="1"/>
        <v/>
      </c>
      <c r="E853" s="100" t="str">
        <f t="shared" si="2"/>
        <v/>
      </c>
      <c r="F853" s="100" t="str">
        <f t="shared" si="3"/>
        <v/>
      </c>
      <c r="G853" s="151"/>
      <c r="H853" s="156"/>
      <c r="I853" s="157"/>
      <c r="J853" s="158"/>
      <c r="L853" s="94"/>
      <c r="M853" s="159"/>
      <c r="N853" s="94"/>
    </row>
    <row r="854">
      <c r="A854" s="107">
        <v>201566.0</v>
      </c>
      <c r="B854" s="108" t="s">
        <v>243</v>
      </c>
      <c r="C854" s="108" t="s">
        <v>388</v>
      </c>
      <c r="D854" s="100" t="str">
        <f t="shared" si="1"/>
        <v/>
      </c>
      <c r="E854" s="100" t="str">
        <f t="shared" si="2"/>
        <v/>
      </c>
      <c r="F854" s="100" t="str">
        <f t="shared" si="3"/>
        <v/>
      </c>
      <c r="G854" s="151"/>
      <c r="H854" s="160"/>
      <c r="I854" s="157"/>
      <c r="J854" s="161"/>
      <c r="L854" s="94"/>
      <c r="M854" s="159"/>
      <c r="N854" s="94"/>
    </row>
    <row r="855">
      <c r="A855" s="107">
        <v>201566.0</v>
      </c>
      <c r="B855" s="108" t="s">
        <v>215</v>
      </c>
      <c r="C855" s="108" t="s">
        <v>388</v>
      </c>
      <c r="D855" s="100" t="str">
        <f t="shared" si="1"/>
        <v/>
      </c>
      <c r="E855" s="100" t="str">
        <f t="shared" si="2"/>
        <v/>
      </c>
      <c r="F855" s="100" t="str">
        <f t="shared" si="3"/>
        <v/>
      </c>
      <c r="G855" s="151"/>
      <c r="H855" s="156"/>
      <c r="I855" s="157"/>
      <c r="J855" s="158"/>
      <c r="L855" s="94"/>
      <c r="M855" s="159"/>
      <c r="N855" s="94"/>
    </row>
    <row r="856">
      <c r="A856" s="107">
        <v>201566.0</v>
      </c>
      <c r="B856" s="108" t="s">
        <v>244</v>
      </c>
      <c r="C856" s="108" t="s">
        <v>388</v>
      </c>
      <c r="D856" s="100" t="str">
        <f t="shared" si="1"/>
        <v/>
      </c>
      <c r="E856" s="100" t="str">
        <f t="shared" si="2"/>
        <v/>
      </c>
      <c r="F856" s="100" t="str">
        <f t="shared" si="3"/>
        <v/>
      </c>
      <c r="G856" s="151"/>
      <c r="H856" s="160"/>
      <c r="I856" s="157"/>
      <c r="J856" s="161"/>
      <c r="L856" s="94"/>
      <c r="M856" s="159"/>
      <c r="N856" s="94"/>
    </row>
    <row r="857">
      <c r="A857" s="107">
        <v>201566.0</v>
      </c>
      <c r="B857" s="108" t="s">
        <v>245</v>
      </c>
      <c r="C857" s="108" t="s">
        <v>388</v>
      </c>
      <c r="D857" s="100" t="str">
        <f t="shared" si="1"/>
        <v/>
      </c>
      <c r="E857" s="100" t="str">
        <f t="shared" si="2"/>
        <v/>
      </c>
      <c r="F857" s="100" t="str">
        <f t="shared" si="3"/>
        <v/>
      </c>
      <c r="G857" s="151"/>
      <c r="H857" s="156"/>
      <c r="I857" s="157"/>
      <c r="J857" s="158"/>
      <c r="L857" s="94"/>
      <c r="M857" s="159"/>
      <c r="N857" s="94"/>
    </row>
    <row r="858">
      <c r="A858" s="107">
        <v>201566.0</v>
      </c>
      <c r="B858" s="108" t="s">
        <v>246</v>
      </c>
      <c r="C858" s="108" t="s">
        <v>388</v>
      </c>
      <c r="D858" s="100" t="str">
        <f t="shared" si="1"/>
        <v/>
      </c>
      <c r="E858" s="100" t="str">
        <f t="shared" si="2"/>
        <v/>
      </c>
      <c r="F858" s="100" t="str">
        <f t="shared" si="3"/>
        <v/>
      </c>
      <c r="G858" s="151"/>
      <c r="H858" s="160"/>
      <c r="I858" s="157"/>
      <c r="J858" s="161"/>
      <c r="L858" s="94"/>
      <c r="M858" s="159"/>
      <c r="N858" s="94"/>
    </row>
    <row r="859">
      <c r="A859" s="114">
        <v>201566.0</v>
      </c>
      <c r="B859" s="113" t="s">
        <v>247</v>
      </c>
      <c r="C859" s="113" t="s">
        <v>388</v>
      </c>
      <c r="D859" s="100" t="str">
        <f t="shared" si="1"/>
        <v/>
      </c>
      <c r="E859" s="100" t="str">
        <f t="shared" si="2"/>
        <v/>
      </c>
      <c r="F859" s="100" t="str">
        <f t="shared" si="3"/>
        <v/>
      </c>
      <c r="G859" s="151"/>
      <c r="H859" s="156"/>
      <c r="I859" s="157"/>
      <c r="J859" s="158"/>
      <c r="L859" s="94"/>
      <c r="M859" s="159"/>
      <c r="N859" s="94"/>
    </row>
    <row r="860">
      <c r="A860" s="107">
        <v>201567.0</v>
      </c>
      <c r="B860" s="108" t="s">
        <v>85</v>
      </c>
      <c r="C860" s="108" t="s">
        <v>389</v>
      </c>
      <c r="D860" s="100" t="str">
        <f t="shared" si="1"/>
        <v/>
      </c>
      <c r="E860" s="100" t="str">
        <f t="shared" si="2"/>
        <v/>
      </c>
      <c r="F860" s="100" t="str">
        <f t="shared" si="3"/>
        <v/>
      </c>
      <c r="G860" s="151"/>
      <c r="H860" s="160"/>
      <c r="I860" s="157"/>
      <c r="J860" s="161"/>
      <c r="L860" s="94"/>
      <c r="M860" s="159"/>
      <c r="N860" s="94"/>
    </row>
    <row r="861">
      <c r="A861" s="107">
        <v>201567.0</v>
      </c>
      <c r="B861" s="108" t="s">
        <v>90</v>
      </c>
      <c r="C861" s="108" t="s">
        <v>389</v>
      </c>
      <c r="D861" s="100" t="str">
        <f t="shared" si="1"/>
        <v/>
      </c>
      <c r="E861" s="100" t="str">
        <f t="shared" si="2"/>
        <v/>
      </c>
      <c r="F861" s="100" t="str">
        <f t="shared" si="3"/>
        <v/>
      </c>
      <c r="G861" s="151"/>
      <c r="H861" s="156"/>
      <c r="I861" s="157"/>
      <c r="J861" s="158"/>
      <c r="L861" s="94"/>
      <c r="M861" s="159"/>
      <c r="N861" s="94"/>
    </row>
    <row r="862">
      <c r="A862" s="107">
        <v>201567.0</v>
      </c>
      <c r="B862" s="108" t="s">
        <v>92</v>
      </c>
      <c r="C862" s="108" t="s">
        <v>389</v>
      </c>
      <c r="D862" s="100" t="str">
        <f t="shared" si="1"/>
        <v/>
      </c>
      <c r="E862" s="100" t="str">
        <f t="shared" si="2"/>
        <v/>
      </c>
      <c r="F862" s="100" t="str">
        <f t="shared" si="3"/>
        <v/>
      </c>
      <c r="G862" s="151"/>
      <c r="H862" s="160"/>
      <c r="I862" s="157"/>
      <c r="J862" s="161"/>
      <c r="L862" s="94"/>
      <c r="M862" s="159"/>
      <c r="N862" s="94"/>
    </row>
    <row r="863">
      <c r="A863" s="107">
        <v>201567.0</v>
      </c>
      <c r="B863" s="108" t="s">
        <v>190</v>
      </c>
      <c r="C863" s="108" t="s">
        <v>389</v>
      </c>
      <c r="D863" s="100" t="str">
        <f t="shared" si="1"/>
        <v/>
      </c>
      <c r="E863" s="100" t="str">
        <f t="shared" si="2"/>
        <v/>
      </c>
      <c r="F863" s="100" t="str">
        <f t="shared" si="3"/>
        <v/>
      </c>
      <c r="G863" s="151"/>
      <c r="H863" s="156"/>
      <c r="I863" s="157"/>
      <c r="J863" s="158"/>
      <c r="L863" s="94"/>
      <c r="M863" s="159"/>
      <c r="N863" s="94"/>
    </row>
    <row r="864">
      <c r="A864" s="107">
        <v>201567.0</v>
      </c>
      <c r="B864" s="108" t="s">
        <v>191</v>
      </c>
      <c r="C864" s="108" t="s">
        <v>389</v>
      </c>
      <c r="D864" s="100" t="str">
        <f t="shared" si="1"/>
        <v/>
      </c>
      <c r="E864" s="100" t="str">
        <f t="shared" si="2"/>
        <v/>
      </c>
      <c r="F864" s="100" t="str">
        <f t="shared" si="3"/>
        <v/>
      </c>
      <c r="G864" s="151"/>
      <c r="H864" s="160"/>
      <c r="I864" s="157"/>
      <c r="J864" s="161"/>
      <c r="L864" s="94"/>
      <c r="M864" s="159"/>
      <c r="N864" s="94"/>
    </row>
    <row r="865">
      <c r="A865" s="107">
        <v>201567.0</v>
      </c>
      <c r="B865" s="108" t="s">
        <v>192</v>
      </c>
      <c r="C865" s="108" t="s">
        <v>389</v>
      </c>
      <c r="D865" s="100" t="str">
        <f t="shared" si="1"/>
        <v/>
      </c>
      <c r="E865" s="100" t="str">
        <f t="shared" si="2"/>
        <v/>
      </c>
      <c r="F865" s="100" t="str">
        <f t="shared" si="3"/>
        <v/>
      </c>
      <c r="G865" s="151"/>
      <c r="H865" s="156"/>
      <c r="I865" s="157"/>
      <c r="J865" s="158"/>
      <c r="L865" s="94"/>
      <c r="M865" s="159"/>
      <c r="N865" s="94"/>
    </row>
    <row r="866">
      <c r="A866" s="107">
        <v>201567.0</v>
      </c>
      <c r="B866" s="108" t="s">
        <v>193</v>
      </c>
      <c r="C866" s="108" t="s">
        <v>389</v>
      </c>
      <c r="D866" s="100" t="str">
        <f t="shared" si="1"/>
        <v/>
      </c>
      <c r="E866" s="100" t="str">
        <f t="shared" si="2"/>
        <v/>
      </c>
      <c r="F866" s="100" t="str">
        <f t="shared" si="3"/>
        <v/>
      </c>
      <c r="G866" s="151"/>
      <c r="H866" s="160"/>
      <c r="I866" s="157"/>
      <c r="J866" s="161"/>
      <c r="L866" s="94"/>
      <c r="M866" s="159"/>
      <c r="N866" s="94"/>
    </row>
    <row r="867">
      <c r="A867" s="107">
        <v>201567.0</v>
      </c>
      <c r="B867" s="108" t="s">
        <v>243</v>
      </c>
      <c r="C867" s="108" t="s">
        <v>389</v>
      </c>
      <c r="D867" s="100" t="str">
        <f t="shared" si="1"/>
        <v/>
      </c>
      <c r="E867" s="100" t="str">
        <f t="shared" si="2"/>
        <v/>
      </c>
      <c r="F867" s="100" t="str">
        <f t="shared" si="3"/>
        <v/>
      </c>
      <c r="G867" s="151"/>
      <c r="H867" s="156"/>
      <c r="I867" s="157"/>
      <c r="J867" s="158"/>
      <c r="L867" s="94"/>
      <c r="M867" s="159"/>
      <c r="N867" s="94"/>
    </row>
    <row r="868">
      <c r="A868" s="107">
        <v>201567.0</v>
      </c>
      <c r="B868" s="108" t="s">
        <v>215</v>
      </c>
      <c r="C868" s="108" t="s">
        <v>389</v>
      </c>
      <c r="D868" s="100" t="str">
        <f t="shared" si="1"/>
        <v/>
      </c>
      <c r="E868" s="100" t="str">
        <f t="shared" si="2"/>
        <v/>
      </c>
      <c r="F868" s="100" t="str">
        <f t="shared" si="3"/>
        <v/>
      </c>
      <c r="G868" s="151"/>
      <c r="H868" s="160"/>
      <c r="I868" s="157"/>
      <c r="J868" s="161"/>
      <c r="L868" s="94"/>
      <c r="M868" s="159"/>
      <c r="N868" s="94"/>
    </row>
    <row r="869">
      <c r="A869" s="107">
        <v>201567.0</v>
      </c>
      <c r="B869" s="108" t="s">
        <v>244</v>
      </c>
      <c r="C869" s="108" t="s">
        <v>389</v>
      </c>
      <c r="D869" s="100" t="str">
        <f t="shared" si="1"/>
        <v/>
      </c>
      <c r="E869" s="100" t="str">
        <f t="shared" si="2"/>
        <v/>
      </c>
      <c r="F869" s="100" t="str">
        <f t="shared" si="3"/>
        <v/>
      </c>
      <c r="G869" s="151"/>
      <c r="H869" s="156"/>
      <c r="I869" s="157"/>
      <c r="J869" s="158"/>
      <c r="L869" s="94"/>
      <c r="M869" s="159"/>
      <c r="N869" s="94"/>
    </row>
    <row r="870">
      <c r="A870" s="107">
        <v>201567.0</v>
      </c>
      <c r="B870" s="108" t="s">
        <v>245</v>
      </c>
      <c r="C870" s="108" t="s">
        <v>389</v>
      </c>
      <c r="D870" s="100" t="str">
        <f t="shared" si="1"/>
        <v/>
      </c>
      <c r="E870" s="100" t="str">
        <f t="shared" si="2"/>
        <v/>
      </c>
      <c r="F870" s="100" t="str">
        <f t="shared" si="3"/>
        <v/>
      </c>
      <c r="G870" s="151"/>
      <c r="H870" s="160"/>
      <c r="I870" s="157"/>
      <c r="J870" s="161"/>
      <c r="L870" s="94"/>
      <c r="M870" s="159"/>
      <c r="N870" s="94"/>
    </row>
    <row r="871">
      <c r="A871" s="107">
        <v>201567.0</v>
      </c>
      <c r="B871" s="108" t="s">
        <v>246</v>
      </c>
      <c r="C871" s="108" t="s">
        <v>389</v>
      </c>
      <c r="D871" s="100" t="str">
        <f t="shared" si="1"/>
        <v/>
      </c>
      <c r="E871" s="100" t="str">
        <f t="shared" si="2"/>
        <v/>
      </c>
      <c r="F871" s="100" t="str">
        <f t="shared" si="3"/>
        <v/>
      </c>
      <c r="G871" s="151"/>
      <c r="H871" s="156"/>
      <c r="I871" s="157"/>
      <c r="J871" s="158"/>
      <c r="L871" s="94"/>
      <c r="M871" s="159"/>
      <c r="N871" s="94"/>
    </row>
    <row r="872">
      <c r="A872" s="114">
        <v>201567.0</v>
      </c>
      <c r="B872" s="113" t="s">
        <v>247</v>
      </c>
      <c r="C872" s="113" t="s">
        <v>389</v>
      </c>
      <c r="D872" s="100" t="str">
        <f t="shared" si="1"/>
        <v/>
      </c>
      <c r="E872" s="100" t="str">
        <f t="shared" si="2"/>
        <v/>
      </c>
      <c r="F872" s="100" t="str">
        <f t="shared" si="3"/>
        <v/>
      </c>
      <c r="G872" s="151"/>
      <c r="H872" s="160"/>
      <c r="I872" s="157"/>
      <c r="J872" s="161"/>
      <c r="L872" s="94"/>
      <c r="M872" s="159"/>
      <c r="N872" s="94"/>
    </row>
    <row r="873">
      <c r="A873" s="107">
        <v>201568.0</v>
      </c>
      <c r="B873" s="108" t="s">
        <v>90</v>
      </c>
      <c r="C873" s="108" t="s">
        <v>390</v>
      </c>
      <c r="D873" s="100" t="str">
        <f t="shared" si="1"/>
        <v/>
      </c>
      <c r="E873" s="100" t="str">
        <f t="shared" si="2"/>
        <v/>
      </c>
      <c r="F873" s="100" t="str">
        <f t="shared" si="3"/>
        <v/>
      </c>
      <c r="G873" s="151"/>
      <c r="H873" s="156"/>
      <c r="I873" s="157"/>
      <c r="J873" s="158"/>
      <c r="L873" s="94"/>
      <c r="M873" s="159"/>
      <c r="N873" s="94"/>
    </row>
    <row r="874">
      <c r="A874" s="107">
        <v>201568.0</v>
      </c>
      <c r="B874" s="108" t="s">
        <v>92</v>
      </c>
      <c r="C874" s="108" t="s">
        <v>390</v>
      </c>
      <c r="D874" s="100" t="str">
        <f t="shared" si="1"/>
        <v/>
      </c>
      <c r="E874" s="100" t="str">
        <f t="shared" si="2"/>
        <v/>
      </c>
      <c r="F874" s="100" t="str">
        <f t="shared" si="3"/>
        <v/>
      </c>
      <c r="G874" s="151"/>
      <c r="H874" s="160"/>
      <c r="I874" s="157"/>
      <c r="J874" s="161"/>
      <c r="L874" s="94"/>
      <c r="M874" s="159"/>
      <c r="N874" s="94"/>
    </row>
    <row r="875">
      <c r="A875" s="107">
        <v>201568.0</v>
      </c>
      <c r="B875" s="108" t="s">
        <v>190</v>
      </c>
      <c r="C875" s="108" t="s">
        <v>390</v>
      </c>
      <c r="D875" s="100" t="str">
        <f t="shared" si="1"/>
        <v/>
      </c>
      <c r="E875" s="100" t="str">
        <f t="shared" si="2"/>
        <v/>
      </c>
      <c r="F875" s="100" t="str">
        <f t="shared" si="3"/>
        <v/>
      </c>
      <c r="G875" s="151"/>
      <c r="H875" s="156"/>
      <c r="I875" s="157"/>
      <c r="J875" s="158"/>
      <c r="L875" s="94"/>
      <c r="M875" s="159"/>
      <c r="N875" s="94"/>
    </row>
    <row r="876">
      <c r="A876" s="107">
        <v>201568.0</v>
      </c>
      <c r="B876" s="108" t="s">
        <v>191</v>
      </c>
      <c r="C876" s="108" t="s">
        <v>390</v>
      </c>
      <c r="D876" s="100" t="str">
        <f t="shared" si="1"/>
        <v/>
      </c>
      <c r="E876" s="100" t="str">
        <f t="shared" si="2"/>
        <v/>
      </c>
      <c r="F876" s="100" t="str">
        <f t="shared" si="3"/>
        <v/>
      </c>
      <c r="G876" s="151"/>
      <c r="H876" s="160"/>
      <c r="I876" s="157"/>
      <c r="J876" s="161"/>
      <c r="L876" s="94"/>
      <c r="M876" s="159"/>
      <c r="N876" s="94"/>
    </row>
    <row r="877">
      <c r="A877" s="107">
        <v>201568.0</v>
      </c>
      <c r="B877" s="108" t="s">
        <v>192</v>
      </c>
      <c r="C877" s="108" t="s">
        <v>390</v>
      </c>
      <c r="D877" s="100" t="str">
        <f t="shared" si="1"/>
        <v/>
      </c>
      <c r="E877" s="100" t="str">
        <f t="shared" si="2"/>
        <v/>
      </c>
      <c r="F877" s="100" t="str">
        <f t="shared" si="3"/>
        <v/>
      </c>
      <c r="G877" s="151"/>
      <c r="H877" s="156"/>
      <c r="I877" s="157"/>
      <c r="J877" s="158"/>
      <c r="L877" s="94"/>
      <c r="M877" s="159"/>
      <c r="N877" s="94"/>
    </row>
    <row r="878">
      <c r="A878" s="107">
        <v>201568.0</v>
      </c>
      <c r="B878" s="108" t="s">
        <v>193</v>
      </c>
      <c r="C878" s="108" t="s">
        <v>390</v>
      </c>
      <c r="D878" s="100" t="str">
        <f t="shared" si="1"/>
        <v/>
      </c>
      <c r="E878" s="100" t="str">
        <f t="shared" si="2"/>
        <v/>
      </c>
      <c r="F878" s="100" t="str">
        <f t="shared" si="3"/>
        <v/>
      </c>
      <c r="G878" s="151"/>
      <c r="H878" s="160"/>
      <c r="I878" s="157"/>
      <c r="J878" s="161"/>
      <c r="L878" s="94"/>
      <c r="M878" s="159"/>
      <c r="N878" s="94"/>
    </row>
    <row r="879">
      <c r="A879" s="107">
        <v>201568.0</v>
      </c>
      <c r="B879" s="108" t="s">
        <v>243</v>
      </c>
      <c r="C879" s="108" t="s">
        <v>390</v>
      </c>
      <c r="D879" s="100" t="str">
        <f t="shared" si="1"/>
        <v/>
      </c>
      <c r="E879" s="100" t="str">
        <f t="shared" si="2"/>
        <v/>
      </c>
      <c r="F879" s="100" t="str">
        <f t="shared" si="3"/>
        <v/>
      </c>
      <c r="G879" s="151"/>
      <c r="H879" s="156"/>
      <c r="I879" s="157"/>
      <c r="J879" s="158"/>
      <c r="L879" s="94"/>
      <c r="M879" s="159"/>
      <c r="N879" s="94"/>
    </row>
    <row r="880">
      <c r="A880" s="107">
        <v>201568.0</v>
      </c>
      <c r="B880" s="108" t="s">
        <v>215</v>
      </c>
      <c r="C880" s="108" t="s">
        <v>390</v>
      </c>
      <c r="D880" s="100" t="str">
        <f t="shared" si="1"/>
        <v/>
      </c>
      <c r="E880" s="100" t="str">
        <f t="shared" si="2"/>
        <v/>
      </c>
      <c r="F880" s="100" t="str">
        <f t="shared" si="3"/>
        <v/>
      </c>
      <c r="G880" s="151"/>
      <c r="H880" s="160"/>
      <c r="I880" s="157"/>
      <c r="J880" s="161"/>
      <c r="L880" s="94"/>
      <c r="M880" s="159"/>
      <c r="N880" s="94"/>
    </row>
    <row r="881">
      <c r="A881" s="107">
        <v>201568.0</v>
      </c>
      <c r="B881" s="108" t="s">
        <v>245</v>
      </c>
      <c r="C881" s="108" t="s">
        <v>390</v>
      </c>
      <c r="D881" s="100" t="str">
        <f t="shared" si="1"/>
        <v/>
      </c>
      <c r="E881" s="100" t="str">
        <f t="shared" si="2"/>
        <v/>
      </c>
      <c r="F881" s="100" t="str">
        <f t="shared" si="3"/>
        <v/>
      </c>
      <c r="G881" s="151"/>
      <c r="H881" s="156"/>
      <c r="I881" s="157"/>
      <c r="J881" s="158"/>
      <c r="L881" s="94"/>
      <c r="M881" s="159"/>
      <c r="N881" s="94"/>
    </row>
    <row r="882">
      <c r="A882" s="107">
        <v>201569.0</v>
      </c>
      <c r="B882" s="108" t="s">
        <v>85</v>
      </c>
      <c r="C882" s="108" t="s">
        <v>391</v>
      </c>
      <c r="D882" s="100" t="str">
        <f t="shared" si="1"/>
        <v/>
      </c>
      <c r="E882" s="100" t="str">
        <f t="shared" si="2"/>
        <v/>
      </c>
      <c r="F882" s="100" t="str">
        <f t="shared" si="3"/>
        <v/>
      </c>
      <c r="G882" s="151"/>
      <c r="H882" s="160"/>
      <c r="I882" s="157"/>
      <c r="J882" s="161"/>
      <c r="L882" s="94"/>
      <c r="M882" s="159"/>
      <c r="N882" s="94"/>
    </row>
    <row r="883">
      <c r="A883" s="107">
        <v>201569.0</v>
      </c>
      <c r="B883" s="108" t="s">
        <v>90</v>
      </c>
      <c r="C883" s="108" t="s">
        <v>391</v>
      </c>
      <c r="D883" s="100" t="str">
        <f t="shared" si="1"/>
        <v/>
      </c>
      <c r="E883" s="100" t="str">
        <f t="shared" si="2"/>
        <v/>
      </c>
      <c r="F883" s="100" t="str">
        <f t="shared" si="3"/>
        <v/>
      </c>
      <c r="G883" s="151"/>
      <c r="H883" s="156"/>
      <c r="I883" s="157"/>
      <c r="J883" s="158"/>
      <c r="L883" s="94"/>
      <c r="M883" s="159"/>
      <c r="N883" s="94"/>
    </row>
    <row r="884">
      <c r="A884" s="107">
        <v>201569.0</v>
      </c>
      <c r="B884" s="108" t="s">
        <v>92</v>
      </c>
      <c r="C884" s="108" t="s">
        <v>391</v>
      </c>
      <c r="D884" s="100" t="str">
        <f t="shared" si="1"/>
        <v/>
      </c>
      <c r="E884" s="100" t="str">
        <f t="shared" si="2"/>
        <v/>
      </c>
      <c r="F884" s="100" t="str">
        <f t="shared" si="3"/>
        <v/>
      </c>
      <c r="G884" s="151"/>
      <c r="H884" s="160"/>
      <c r="I884" s="157"/>
      <c r="J884" s="161"/>
      <c r="L884" s="94"/>
      <c r="M884" s="159"/>
      <c r="N884" s="94"/>
    </row>
    <row r="885">
      <c r="A885" s="107">
        <v>201569.0</v>
      </c>
      <c r="B885" s="108" t="s">
        <v>190</v>
      </c>
      <c r="C885" s="108" t="s">
        <v>391</v>
      </c>
      <c r="D885" s="100" t="str">
        <f t="shared" si="1"/>
        <v/>
      </c>
      <c r="E885" s="100" t="str">
        <f t="shared" si="2"/>
        <v/>
      </c>
      <c r="F885" s="100" t="str">
        <f t="shared" si="3"/>
        <v/>
      </c>
      <c r="G885" s="151"/>
      <c r="H885" s="156"/>
      <c r="I885" s="157"/>
      <c r="J885" s="158"/>
      <c r="L885" s="94"/>
      <c r="M885" s="159"/>
      <c r="N885" s="94"/>
    </row>
    <row r="886">
      <c r="A886" s="107">
        <v>201569.0</v>
      </c>
      <c r="B886" s="108" t="s">
        <v>191</v>
      </c>
      <c r="C886" s="108" t="s">
        <v>391</v>
      </c>
      <c r="D886" s="100" t="str">
        <f t="shared" si="1"/>
        <v/>
      </c>
      <c r="E886" s="100" t="str">
        <f t="shared" si="2"/>
        <v/>
      </c>
      <c r="F886" s="100" t="str">
        <f t="shared" si="3"/>
        <v/>
      </c>
      <c r="G886" s="151"/>
      <c r="H886" s="160"/>
      <c r="I886" s="157"/>
      <c r="J886" s="161"/>
      <c r="L886" s="94"/>
      <c r="M886" s="159"/>
      <c r="N886" s="94"/>
    </row>
    <row r="887">
      <c r="A887" s="107">
        <v>201569.0</v>
      </c>
      <c r="B887" s="108" t="s">
        <v>192</v>
      </c>
      <c r="C887" s="108" t="s">
        <v>391</v>
      </c>
      <c r="D887" s="100" t="str">
        <f t="shared" si="1"/>
        <v/>
      </c>
      <c r="E887" s="100" t="str">
        <f t="shared" si="2"/>
        <v/>
      </c>
      <c r="F887" s="100" t="str">
        <f t="shared" si="3"/>
        <v/>
      </c>
      <c r="G887" s="151"/>
      <c r="H887" s="156"/>
      <c r="I887" s="157"/>
      <c r="J887" s="158"/>
      <c r="L887" s="94"/>
      <c r="M887" s="159"/>
      <c r="N887" s="94"/>
    </row>
    <row r="888">
      <c r="A888" s="107">
        <v>201569.0</v>
      </c>
      <c r="B888" s="108" t="s">
        <v>193</v>
      </c>
      <c r="C888" s="108" t="s">
        <v>391</v>
      </c>
      <c r="D888" s="100" t="str">
        <f t="shared" si="1"/>
        <v/>
      </c>
      <c r="E888" s="100" t="str">
        <f t="shared" si="2"/>
        <v/>
      </c>
      <c r="F888" s="100" t="str">
        <f t="shared" si="3"/>
        <v/>
      </c>
      <c r="G888" s="151"/>
      <c r="H888" s="160"/>
      <c r="I888" s="157"/>
      <c r="J888" s="161"/>
      <c r="L888" s="94"/>
      <c r="M888" s="159"/>
      <c r="N888" s="94"/>
    </row>
    <row r="889">
      <c r="A889" s="107">
        <v>201569.0</v>
      </c>
      <c r="B889" s="108" t="s">
        <v>243</v>
      </c>
      <c r="C889" s="108" t="s">
        <v>391</v>
      </c>
      <c r="D889" s="100" t="str">
        <f t="shared" si="1"/>
        <v/>
      </c>
      <c r="E889" s="100" t="str">
        <f t="shared" si="2"/>
        <v/>
      </c>
      <c r="F889" s="100" t="str">
        <f t="shared" si="3"/>
        <v/>
      </c>
      <c r="G889" s="151"/>
      <c r="H889" s="156"/>
      <c r="I889" s="157"/>
      <c r="J889" s="158"/>
      <c r="L889" s="94"/>
      <c r="M889" s="159"/>
      <c r="N889" s="94"/>
    </row>
    <row r="890">
      <c r="A890" s="107">
        <v>201569.0</v>
      </c>
      <c r="B890" s="108" t="s">
        <v>215</v>
      </c>
      <c r="C890" s="108" t="s">
        <v>391</v>
      </c>
      <c r="D890" s="100" t="str">
        <f t="shared" si="1"/>
        <v/>
      </c>
      <c r="E890" s="100" t="str">
        <f t="shared" si="2"/>
        <v/>
      </c>
      <c r="F890" s="100" t="str">
        <f t="shared" si="3"/>
        <v/>
      </c>
      <c r="G890" s="151"/>
      <c r="H890" s="160"/>
      <c r="I890" s="157"/>
      <c r="J890" s="161"/>
      <c r="L890" s="94"/>
      <c r="M890" s="159"/>
      <c r="N890" s="94"/>
    </row>
    <row r="891">
      <c r="A891" s="107">
        <v>201569.0</v>
      </c>
      <c r="B891" s="108" t="s">
        <v>244</v>
      </c>
      <c r="C891" s="108" t="s">
        <v>391</v>
      </c>
      <c r="D891" s="100" t="str">
        <f t="shared" si="1"/>
        <v/>
      </c>
      <c r="E891" s="100" t="str">
        <f t="shared" si="2"/>
        <v/>
      </c>
      <c r="F891" s="100" t="str">
        <f t="shared" si="3"/>
        <v/>
      </c>
      <c r="G891" s="151"/>
      <c r="H891" s="156"/>
      <c r="I891" s="157"/>
      <c r="J891" s="158"/>
      <c r="L891" s="94"/>
      <c r="M891" s="159"/>
      <c r="N891" s="94"/>
    </row>
    <row r="892">
      <c r="A892" s="107">
        <v>201569.0</v>
      </c>
      <c r="B892" s="108" t="s">
        <v>245</v>
      </c>
      <c r="C892" s="108" t="s">
        <v>391</v>
      </c>
      <c r="D892" s="100" t="str">
        <f t="shared" si="1"/>
        <v/>
      </c>
      <c r="E892" s="100" t="str">
        <f t="shared" si="2"/>
        <v/>
      </c>
      <c r="F892" s="100" t="str">
        <f t="shared" si="3"/>
        <v/>
      </c>
      <c r="G892" s="151"/>
      <c r="H892" s="160"/>
      <c r="I892" s="157"/>
      <c r="J892" s="161"/>
      <c r="L892" s="94"/>
      <c r="M892" s="159"/>
      <c r="N892" s="94"/>
    </row>
    <row r="893">
      <c r="A893" s="107">
        <v>201569.0</v>
      </c>
      <c r="B893" s="108" t="s">
        <v>246</v>
      </c>
      <c r="C893" s="108" t="s">
        <v>391</v>
      </c>
      <c r="D893" s="100" t="str">
        <f t="shared" si="1"/>
        <v/>
      </c>
      <c r="E893" s="100" t="str">
        <f t="shared" si="2"/>
        <v/>
      </c>
      <c r="F893" s="100" t="str">
        <f t="shared" si="3"/>
        <v/>
      </c>
      <c r="G893" s="151"/>
      <c r="H893" s="156"/>
      <c r="I893" s="157"/>
      <c r="J893" s="158"/>
      <c r="L893" s="94"/>
      <c r="M893" s="159"/>
      <c r="N893" s="94"/>
    </row>
    <row r="894">
      <c r="A894" s="114">
        <v>201569.0</v>
      </c>
      <c r="B894" s="113" t="s">
        <v>247</v>
      </c>
      <c r="C894" s="113" t="s">
        <v>391</v>
      </c>
      <c r="D894" s="100" t="str">
        <f t="shared" si="1"/>
        <v/>
      </c>
      <c r="E894" s="100" t="str">
        <f t="shared" si="2"/>
        <v/>
      </c>
      <c r="F894" s="100" t="str">
        <f t="shared" si="3"/>
        <v/>
      </c>
      <c r="G894" s="151"/>
      <c r="H894" s="160"/>
      <c r="I894" s="157"/>
      <c r="J894" s="161"/>
      <c r="L894" s="94"/>
      <c r="M894" s="159"/>
      <c r="N894" s="94"/>
    </row>
    <row r="895">
      <c r="A895" s="107">
        <v>201571.0</v>
      </c>
      <c r="B895" s="108" t="s">
        <v>85</v>
      </c>
      <c r="C895" s="108" t="s">
        <v>392</v>
      </c>
      <c r="D895" s="100" t="str">
        <f t="shared" si="1"/>
        <v/>
      </c>
      <c r="E895" s="100" t="str">
        <f t="shared" si="2"/>
        <v/>
      </c>
      <c r="F895" s="100" t="str">
        <f t="shared" si="3"/>
        <v/>
      </c>
      <c r="G895" s="151"/>
      <c r="H895" s="156"/>
      <c r="I895" s="157"/>
      <c r="J895" s="158"/>
      <c r="L895" s="94"/>
      <c r="M895" s="159"/>
      <c r="N895" s="94"/>
    </row>
    <row r="896">
      <c r="A896" s="107">
        <v>201571.0</v>
      </c>
      <c r="B896" s="108" t="s">
        <v>90</v>
      </c>
      <c r="C896" s="108" t="s">
        <v>392</v>
      </c>
      <c r="D896" s="100" t="str">
        <f t="shared" si="1"/>
        <v/>
      </c>
      <c r="E896" s="100" t="str">
        <f t="shared" si="2"/>
        <v/>
      </c>
      <c r="F896" s="100" t="str">
        <f t="shared" si="3"/>
        <v/>
      </c>
      <c r="G896" s="151"/>
      <c r="H896" s="160"/>
      <c r="I896" s="157"/>
      <c r="J896" s="161"/>
      <c r="L896" s="94"/>
      <c r="M896" s="159"/>
      <c r="N896" s="94"/>
    </row>
    <row r="897">
      <c r="A897" s="107">
        <v>201571.0</v>
      </c>
      <c r="B897" s="108" t="s">
        <v>92</v>
      </c>
      <c r="C897" s="108" t="s">
        <v>392</v>
      </c>
      <c r="D897" s="100" t="str">
        <f t="shared" si="1"/>
        <v/>
      </c>
      <c r="E897" s="100" t="str">
        <f t="shared" si="2"/>
        <v/>
      </c>
      <c r="F897" s="100" t="str">
        <f t="shared" si="3"/>
        <v/>
      </c>
      <c r="G897" s="151"/>
      <c r="H897" s="156"/>
      <c r="I897" s="157"/>
      <c r="J897" s="158"/>
      <c r="L897" s="94"/>
      <c r="M897" s="159"/>
      <c r="N897" s="94"/>
    </row>
    <row r="898">
      <c r="A898" s="107">
        <v>201571.0</v>
      </c>
      <c r="B898" s="108" t="s">
        <v>190</v>
      </c>
      <c r="C898" s="108" t="s">
        <v>392</v>
      </c>
      <c r="D898" s="100" t="str">
        <f t="shared" si="1"/>
        <v/>
      </c>
      <c r="E898" s="100" t="str">
        <f t="shared" si="2"/>
        <v/>
      </c>
      <c r="F898" s="100" t="str">
        <f t="shared" si="3"/>
        <v/>
      </c>
      <c r="G898" s="151"/>
      <c r="H898" s="160"/>
      <c r="I898" s="157"/>
      <c r="J898" s="161"/>
      <c r="L898" s="94"/>
      <c r="M898" s="159"/>
      <c r="N898" s="94"/>
    </row>
    <row r="899">
      <c r="A899" s="107">
        <v>201571.0</v>
      </c>
      <c r="B899" s="108" t="s">
        <v>191</v>
      </c>
      <c r="C899" s="108" t="s">
        <v>392</v>
      </c>
      <c r="D899" s="100" t="str">
        <f t="shared" si="1"/>
        <v/>
      </c>
      <c r="E899" s="100" t="str">
        <f t="shared" si="2"/>
        <v/>
      </c>
      <c r="F899" s="100" t="str">
        <f t="shared" si="3"/>
        <v/>
      </c>
      <c r="G899" s="151"/>
      <c r="H899" s="156"/>
      <c r="I899" s="157"/>
      <c r="J899" s="158"/>
      <c r="L899" s="94"/>
      <c r="M899" s="159"/>
      <c r="N899" s="94"/>
    </row>
    <row r="900">
      <c r="A900" s="107">
        <v>201571.0</v>
      </c>
      <c r="B900" s="108" t="s">
        <v>192</v>
      </c>
      <c r="C900" s="108" t="s">
        <v>392</v>
      </c>
      <c r="D900" s="100" t="str">
        <f t="shared" si="1"/>
        <v/>
      </c>
      <c r="E900" s="100" t="str">
        <f t="shared" si="2"/>
        <v/>
      </c>
      <c r="F900" s="100" t="str">
        <f t="shared" si="3"/>
        <v/>
      </c>
      <c r="G900" s="151"/>
      <c r="H900" s="160"/>
      <c r="I900" s="157"/>
      <c r="J900" s="161"/>
      <c r="L900" s="94"/>
      <c r="M900" s="159"/>
      <c r="N900" s="94"/>
    </row>
    <row r="901">
      <c r="A901" s="107">
        <v>201571.0</v>
      </c>
      <c r="B901" s="108" t="s">
        <v>193</v>
      </c>
      <c r="C901" s="108" t="s">
        <v>392</v>
      </c>
      <c r="D901" s="100" t="str">
        <f t="shared" si="1"/>
        <v/>
      </c>
      <c r="E901" s="100" t="str">
        <f t="shared" si="2"/>
        <v/>
      </c>
      <c r="F901" s="100" t="str">
        <f t="shared" si="3"/>
        <v/>
      </c>
      <c r="G901" s="151"/>
      <c r="H901" s="156"/>
      <c r="I901" s="157"/>
      <c r="J901" s="158"/>
      <c r="L901" s="94"/>
      <c r="M901" s="159"/>
      <c r="N901" s="94"/>
    </row>
    <row r="902">
      <c r="A902" s="107">
        <v>201571.0</v>
      </c>
      <c r="B902" s="108" t="s">
        <v>243</v>
      </c>
      <c r="C902" s="108" t="s">
        <v>392</v>
      </c>
      <c r="D902" s="100" t="str">
        <f t="shared" si="1"/>
        <v/>
      </c>
      <c r="E902" s="100" t="str">
        <f t="shared" si="2"/>
        <v/>
      </c>
      <c r="F902" s="100" t="str">
        <f t="shared" si="3"/>
        <v/>
      </c>
      <c r="G902" s="151"/>
      <c r="H902" s="160"/>
      <c r="I902" s="157"/>
      <c r="J902" s="161"/>
      <c r="L902" s="94"/>
      <c r="M902" s="159"/>
      <c r="N902" s="94"/>
    </row>
    <row r="903">
      <c r="A903" s="107">
        <v>201571.0</v>
      </c>
      <c r="B903" s="108" t="s">
        <v>215</v>
      </c>
      <c r="C903" s="108" t="s">
        <v>392</v>
      </c>
      <c r="D903" s="100" t="str">
        <f t="shared" si="1"/>
        <v/>
      </c>
      <c r="E903" s="100" t="str">
        <f t="shared" si="2"/>
        <v/>
      </c>
      <c r="F903" s="100" t="str">
        <f t="shared" si="3"/>
        <v/>
      </c>
      <c r="G903" s="151"/>
      <c r="H903" s="156"/>
      <c r="I903" s="157"/>
      <c r="J903" s="158"/>
      <c r="L903" s="94"/>
      <c r="M903" s="159"/>
      <c r="N903" s="94"/>
    </row>
    <row r="904">
      <c r="A904" s="107">
        <v>201572.0</v>
      </c>
      <c r="B904" s="108" t="s">
        <v>85</v>
      </c>
      <c r="C904" s="108" t="s">
        <v>393</v>
      </c>
      <c r="D904" s="100" t="str">
        <f t="shared" si="1"/>
        <v/>
      </c>
      <c r="E904" s="100" t="str">
        <f t="shared" si="2"/>
        <v/>
      </c>
      <c r="F904" s="100" t="str">
        <f t="shared" si="3"/>
        <v/>
      </c>
      <c r="G904" s="151"/>
      <c r="H904" s="160"/>
      <c r="I904" s="157"/>
      <c r="J904" s="161"/>
      <c r="L904" s="94"/>
      <c r="M904" s="159"/>
      <c r="N904" s="94"/>
    </row>
    <row r="905">
      <c r="A905" s="107">
        <v>201572.0</v>
      </c>
      <c r="B905" s="108" t="s">
        <v>90</v>
      </c>
      <c r="C905" s="108" t="s">
        <v>393</v>
      </c>
      <c r="D905" s="100" t="str">
        <f t="shared" si="1"/>
        <v/>
      </c>
      <c r="E905" s="100" t="str">
        <f t="shared" si="2"/>
        <v/>
      </c>
      <c r="F905" s="100" t="str">
        <f t="shared" si="3"/>
        <v/>
      </c>
      <c r="G905" s="151"/>
      <c r="H905" s="156"/>
      <c r="I905" s="157"/>
      <c r="J905" s="158"/>
      <c r="L905" s="94"/>
      <c r="M905" s="159"/>
      <c r="N905" s="94"/>
    </row>
    <row r="906">
      <c r="A906" s="107">
        <v>201572.0</v>
      </c>
      <c r="B906" s="108" t="s">
        <v>92</v>
      </c>
      <c r="C906" s="108" t="s">
        <v>393</v>
      </c>
      <c r="D906" s="100" t="str">
        <f t="shared" si="1"/>
        <v/>
      </c>
      <c r="E906" s="100" t="str">
        <f t="shared" si="2"/>
        <v/>
      </c>
      <c r="F906" s="100" t="str">
        <f t="shared" si="3"/>
        <v/>
      </c>
      <c r="G906" s="151"/>
      <c r="H906" s="160"/>
      <c r="I906" s="157"/>
      <c r="J906" s="161"/>
      <c r="L906" s="94"/>
      <c r="M906" s="159"/>
      <c r="N906" s="94"/>
    </row>
    <row r="907">
      <c r="A907" s="107">
        <v>201572.0</v>
      </c>
      <c r="B907" s="108" t="s">
        <v>190</v>
      </c>
      <c r="C907" s="108" t="s">
        <v>393</v>
      </c>
      <c r="D907" s="100" t="str">
        <f t="shared" si="1"/>
        <v/>
      </c>
      <c r="E907" s="100" t="str">
        <f t="shared" si="2"/>
        <v/>
      </c>
      <c r="F907" s="100" t="str">
        <f t="shared" si="3"/>
        <v/>
      </c>
      <c r="G907" s="151"/>
      <c r="H907" s="156"/>
      <c r="I907" s="157"/>
      <c r="J907" s="158"/>
      <c r="L907" s="94"/>
      <c r="M907" s="159"/>
      <c r="N907" s="94"/>
    </row>
    <row r="908">
      <c r="A908" s="107">
        <v>201572.0</v>
      </c>
      <c r="B908" s="108" t="s">
        <v>191</v>
      </c>
      <c r="C908" s="108" t="s">
        <v>393</v>
      </c>
      <c r="D908" s="100" t="str">
        <f t="shared" si="1"/>
        <v/>
      </c>
      <c r="E908" s="100" t="str">
        <f t="shared" si="2"/>
        <v/>
      </c>
      <c r="F908" s="100" t="str">
        <f t="shared" si="3"/>
        <v/>
      </c>
      <c r="G908" s="151"/>
      <c r="H908" s="160"/>
      <c r="I908" s="157"/>
      <c r="J908" s="161"/>
      <c r="L908" s="94"/>
      <c r="M908" s="159"/>
      <c r="N908" s="94"/>
    </row>
    <row r="909">
      <c r="A909" s="107">
        <v>201572.0</v>
      </c>
      <c r="B909" s="108" t="s">
        <v>192</v>
      </c>
      <c r="C909" s="108" t="s">
        <v>393</v>
      </c>
      <c r="D909" s="100" t="str">
        <f t="shared" si="1"/>
        <v/>
      </c>
      <c r="E909" s="100" t="str">
        <f t="shared" si="2"/>
        <v/>
      </c>
      <c r="F909" s="100" t="str">
        <f t="shared" si="3"/>
        <v/>
      </c>
      <c r="G909" s="151"/>
      <c r="H909" s="156"/>
      <c r="I909" s="157"/>
      <c r="J909" s="158"/>
      <c r="L909" s="94"/>
      <c r="M909" s="159"/>
      <c r="N909" s="94"/>
    </row>
    <row r="910">
      <c r="A910" s="107">
        <v>201572.0</v>
      </c>
      <c r="B910" s="108" t="s">
        <v>193</v>
      </c>
      <c r="C910" s="108" t="s">
        <v>393</v>
      </c>
      <c r="D910" s="100" t="str">
        <f t="shared" si="1"/>
        <v/>
      </c>
      <c r="E910" s="100" t="str">
        <f t="shared" si="2"/>
        <v/>
      </c>
      <c r="F910" s="100" t="str">
        <f t="shared" si="3"/>
        <v/>
      </c>
      <c r="G910" s="151"/>
      <c r="H910" s="160"/>
      <c r="I910" s="157"/>
      <c r="J910" s="161"/>
      <c r="L910" s="94"/>
      <c r="M910" s="159"/>
      <c r="N910" s="94"/>
    </row>
    <row r="911">
      <c r="A911" s="107">
        <v>201572.0</v>
      </c>
      <c r="B911" s="108" t="s">
        <v>243</v>
      </c>
      <c r="C911" s="108" t="s">
        <v>393</v>
      </c>
      <c r="D911" s="100" t="str">
        <f t="shared" si="1"/>
        <v/>
      </c>
      <c r="E911" s="100" t="str">
        <f t="shared" si="2"/>
        <v/>
      </c>
      <c r="F911" s="100" t="str">
        <f t="shared" si="3"/>
        <v/>
      </c>
      <c r="G911" s="151"/>
      <c r="H911" s="156"/>
      <c r="I911" s="157"/>
      <c r="J911" s="158"/>
      <c r="L911" s="94"/>
      <c r="M911" s="159"/>
      <c r="N911" s="94"/>
    </row>
    <row r="912">
      <c r="A912" s="107">
        <v>201572.0</v>
      </c>
      <c r="B912" s="108" t="s">
        <v>215</v>
      </c>
      <c r="C912" s="108" t="s">
        <v>393</v>
      </c>
      <c r="D912" s="100" t="str">
        <f t="shared" si="1"/>
        <v/>
      </c>
      <c r="E912" s="100" t="str">
        <f t="shared" si="2"/>
        <v/>
      </c>
      <c r="F912" s="100" t="str">
        <f t="shared" si="3"/>
        <v/>
      </c>
      <c r="G912" s="151"/>
      <c r="H912" s="160"/>
      <c r="I912" s="157"/>
      <c r="J912" s="161"/>
      <c r="L912" s="94"/>
      <c r="M912" s="159"/>
      <c r="N912" s="94"/>
    </row>
    <row r="913">
      <c r="A913" s="107">
        <v>201572.0</v>
      </c>
      <c r="B913" s="108" t="s">
        <v>244</v>
      </c>
      <c r="C913" s="108" t="s">
        <v>393</v>
      </c>
      <c r="D913" s="100" t="str">
        <f t="shared" si="1"/>
        <v/>
      </c>
      <c r="E913" s="100" t="str">
        <f t="shared" si="2"/>
        <v/>
      </c>
      <c r="F913" s="100" t="str">
        <f t="shared" si="3"/>
        <v/>
      </c>
      <c r="G913" s="151"/>
      <c r="H913" s="156"/>
      <c r="I913" s="157"/>
      <c r="J913" s="158"/>
      <c r="L913" s="94"/>
      <c r="M913" s="159"/>
      <c r="N913" s="94"/>
    </row>
    <row r="914">
      <c r="A914" s="107">
        <v>201572.0</v>
      </c>
      <c r="B914" s="108" t="s">
        <v>245</v>
      </c>
      <c r="C914" s="108" t="s">
        <v>393</v>
      </c>
      <c r="D914" s="100" t="str">
        <f t="shared" si="1"/>
        <v/>
      </c>
      <c r="E914" s="100" t="str">
        <f t="shared" si="2"/>
        <v/>
      </c>
      <c r="F914" s="100" t="str">
        <f t="shared" si="3"/>
        <v/>
      </c>
      <c r="G914" s="151"/>
      <c r="H914" s="160"/>
      <c r="I914" s="157"/>
      <c r="J914" s="161"/>
      <c r="L914" s="94"/>
      <c r="M914" s="159"/>
      <c r="N914" s="94"/>
    </row>
    <row r="915">
      <c r="A915" s="107">
        <v>201572.0</v>
      </c>
      <c r="B915" s="108" t="s">
        <v>246</v>
      </c>
      <c r="C915" s="108" t="s">
        <v>393</v>
      </c>
      <c r="D915" s="100" t="str">
        <f t="shared" si="1"/>
        <v/>
      </c>
      <c r="E915" s="100" t="str">
        <f t="shared" si="2"/>
        <v/>
      </c>
      <c r="F915" s="100" t="str">
        <f t="shared" si="3"/>
        <v/>
      </c>
      <c r="G915" s="151"/>
      <c r="H915" s="156"/>
      <c r="I915" s="157"/>
      <c r="J915" s="158"/>
      <c r="L915" s="94"/>
      <c r="M915" s="159"/>
      <c r="N915" s="94"/>
    </row>
    <row r="916">
      <c r="A916" s="114">
        <v>201572.0</v>
      </c>
      <c r="B916" s="113" t="s">
        <v>247</v>
      </c>
      <c r="C916" s="113" t="s">
        <v>393</v>
      </c>
      <c r="D916" s="100" t="str">
        <f t="shared" si="1"/>
        <v/>
      </c>
      <c r="E916" s="100" t="str">
        <f t="shared" si="2"/>
        <v/>
      </c>
      <c r="F916" s="100" t="str">
        <f t="shared" si="3"/>
        <v/>
      </c>
      <c r="G916" s="151"/>
      <c r="H916" s="160"/>
      <c r="I916" s="157"/>
      <c r="J916" s="161"/>
      <c r="L916" s="94"/>
      <c r="M916" s="159"/>
      <c r="N916" s="94"/>
    </row>
    <row r="917">
      <c r="A917" s="107">
        <v>201573.0</v>
      </c>
      <c r="B917" s="108" t="s">
        <v>85</v>
      </c>
      <c r="C917" s="108" t="s">
        <v>394</v>
      </c>
      <c r="D917" s="100" t="str">
        <f t="shared" si="1"/>
        <v/>
      </c>
      <c r="E917" s="100" t="str">
        <f t="shared" si="2"/>
        <v/>
      </c>
      <c r="F917" s="100" t="str">
        <f t="shared" si="3"/>
        <v/>
      </c>
      <c r="G917" s="151"/>
      <c r="H917" s="156"/>
      <c r="I917" s="157"/>
      <c r="J917" s="158"/>
      <c r="L917" s="94"/>
      <c r="M917" s="159"/>
      <c r="N917" s="94"/>
    </row>
    <row r="918">
      <c r="A918" s="107">
        <v>201573.0</v>
      </c>
      <c r="B918" s="108" t="s">
        <v>90</v>
      </c>
      <c r="C918" s="108" t="s">
        <v>394</v>
      </c>
      <c r="D918" s="100" t="str">
        <f t="shared" si="1"/>
        <v/>
      </c>
      <c r="E918" s="100" t="str">
        <f t="shared" si="2"/>
        <v/>
      </c>
      <c r="F918" s="100" t="str">
        <f t="shared" si="3"/>
        <v/>
      </c>
      <c r="G918" s="151"/>
      <c r="H918" s="160"/>
      <c r="I918" s="157"/>
      <c r="J918" s="161"/>
      <c r="L918" s="94"/>
      <c r="M918" s="159"/>
      <c r="N918" s="94"/>
    </row>
    <row r="919">
      <c r="A919" s="107">
        <v>201573.0</v>
      </c>
      <c r="B919" s="108" t="s">
        <v>92</v>
      </c>
      <c r="C919" s="108" t="s">
        <v>394</v>
      </c>
      <c r="D919" s="100" t="str">
        <f t="shared" si="1"/>
        <v/>
      </c>
      <c r="E919" s="100" t="str">
        <f t="shared" si="2"/>
        <v/>
      </c>
      <c r="F919" s="100" t="str">
        <f t="shared" si="3"/>
        <v/>
      </c>
      <c r="G919" s="151"/>
      <c r="H919" s="156"/>
      <c r="I919" s="157"/>
      <c r="J919" s="158"/>
      <c r="L919" s="94"/>
      <c r="M919" s="159"/>
      <c r="N919" s="94"/>
    </row>
    <row r="920">
      <c r="A920" s="107">
        <v>201573.0</v>
      </c>
      <c r="B920" s="108" t="s">
        <v>190</v>
      </c>
      <c r="C920" s="108" t="s">
        <v>394</v>
      </c>
      <c r="D920" s="100" t="str">
        <f t="shared" si="1"/>
        <v/>
      </c>
      <c r="E920" s="100" t="str">
        <f t="shared" si="2"/>
        <v/>
      </c>
      <c r="F920" s="100" t="str">
        <f t="shared" si="3"/>
        <v/>
      </c>
      <c r="G920" s="151"/>
      <c r="H920" s="160"/>
      <c r="I920" s="157"/>
      <c r="J920" s="161"/>
      <c r="L920" s="94"/>
      <c r="M920" s="159"/>
      <c r="N920" s="94"/>
    </row>
    <row r="921">
      <c r="A921" s="107">
        <v>201573.0</v>
      </c>
      <c r="B921" s="108" t="s">
        <v>191</v>
      </c>
      <c r="C921" s="108" t="s">
        <v>394</v>
      </c>
      <c r="D921" s="100" t="str">
        <f t="shared" si="1"/>
        <v/>
      </c>
      <c r="E921" s="100" t="str">
        <f t="shared" si="2"/>
        <v/>
      </c>
      <c r="F921" s="100" t="str">
        <f t="shared" si="3"/>
        <v/>
      </c>
      <c r="G921" s="151"/>
      <c r="H921" s="156"/>
      <c r="I921" s="157"/>
      <c r="J921" s="158"/>
      <c r="L921" s="94"/>
      <c r="M921" s="159"/>
      <c r="N921" s="94"/>
    </row>
    <row r="922">
      <c r="A922" s="107">
        <v>201573.0</v>
      </c>
      <c r="B922" s="108" t="s">
        <v>192</v>
      </c>
      <c r="C922" s="108" t="s">
        <v>394</v>
      </c>
      <c r="D922" s="100" t="str">
        <f t="shared" si="1"/>
        <v/>
      </c>
      <c r="E922" s="100" t="str">
        <f t="shared" si="2"/>
        <v/>
      </c>
      <c r="F922" s="100" t="str">
        <f t="shared" si="3"/>
        <v/>
      </c>
      <c r="G922" s="151"/>
      <c r="H922" s="160"/>
      <c r="I922" s="157"/>
      <c r="J922" s="161"/>
      <c r="L922" s="94"/>
      <c r="M922" s="159"/>
      <c r="N922" s="94"/>
    </row>
    <row r="923">
      <c r="A923" s="107">
        <v>201574.0</v>
      </c>
      <c r="B923" s="108" t="s">
        <v>85</v>
      </c>
      <c r="C923" s="108" t="s">
        <v>395</v>
      </c>
      <c r="D923" s="100" t="str">
        <f t="shared" si="1"/>
        <v/>
      </c>
      <c r="E923" s="100" t="str">
        <f t="shared" si="2"/>
        <v/>
      </c>
      <c r="F923" s="100" t="str">
        <f t="shared" si="3"/>
        <v/>
      </c>
      <c r="G923" s="151"/>
      <c r="H923" s="156"/>
      <c r="I923" s="157"/>
      <c r="J923" s="158"/>
      <c r="L923" s="94"/>
      <c r="M923" s="159"/>
      <c r="N923" s="94"/>
    </row>
    <row r="924">
      <c r="A924" s="107">
        <v>201574.0</v>
      </c>
      <c r="B924" s="108" t="s">
        <v>90</v>
      </c>
      <c r="C924" s="108" t="s">
        <v>395</v>
      </c>
      <c r="D924" s="100" t="str">
        <f t="shared" si="1"/>
        <v/>
      </c>
      <c r="E924" s="100" t="str">
        <f t="shared" si="2"/>
        <v/>
      </c>
      <c r="F924" s="100" t="str">
        <f t="shared" si="3"/>
        <v/>
      </c>
      <c r="G924" s="151"/>
      <c r="H924" s="160"/>
      <c r="I924" s="157"/>
      <c r="J924" s="161"/>
      <c r="L924" s="94"/>
      <c r="M924" s="159"/>
      <c r="N924" s="94"/>
    </row>
    <row r="925">
      <c r="A925" s="107">
        <v>201574.0</v>
      </c>
      <c r="B925" s="108" t="s">
        <v>92</v>
      </c>
      <c r="C925" s="108" t="s">
        <v>395</v>
      </c>
      <c r="D925" s="100" t="str">
        <f t="shared" si="1"/>
        <v/>
      </c>
      <c r="E925" s="100" t="str">
        <f t="shared" si="2"/>
        <v/>
      </c>
      <c r="F925" s="100" t="str">
        <f t="shared" si="3"/>
        <v/>
      </c>
      <c r="G925" s="151"/>
      <c r="H925" s="156"/>
      <c r="I925" s="157"/>
      <c r="J925" s="158"/>
      <c r="L925" s="94"/>
      <c r="M925" s="159"/>
      <c r="N925" s="94"/>
    </row>
    <row r="926">
      <c r="A926" s="107">
        <v>201575.0</v>
      </c>
      <c r="B926" s="108" t="s">
        <v>85</v>
      </c>
      <c r="C926" s="108" t="s">
        <v>396</v>
      </c>
      <c r="D926" s="100" t="str">
        <f t="shared" si="1"/>
        <v/>
      </c>
      <c r="E926" s="100" t="str">
        <f t="shared" si="2"/>
        <v/>
      </c>
      <c r="F926" s="100" t="str">
        <f t="shared" si="3"/>
        <v/>
      </c>
      <c r="G926" s="151"/>
      <c r="H926" s="160"/>
      <c r="I926" s="157"/>
      <c r="J926" s="161"/>
      <c r="L926" s="94"/>
      <c r="M926" s="159"/>
      <c r="N926" s="94"/>
    </row>
    <row r="927">
      <c r="A927" s="107">
        <v>201575.0</v>
      </c>
      <c r="B927" s="108" t="s">
        <v>90</v>
      </c>
      <c r="C927" s="108" t="s">
        <v>396</v>
      </c>
      <c r="D927" s="100" t="str">
        <f t="shared" si="1"/>
        <v/>
      </c>
      <c r="E927" s="100" t="str">
        <f t="shared" si="2"/>
        <v/>
      </c>
      <c r="F927" s="100" t="str">
        <f t="shared" si="3"/>
        <v/>
      </c>
      <c r="G927" s="151"/>
      <c r="H927" s="156"/>
      <c r="I927" s="157"/>
      <c r="J927" s="158"/>
      <c r="L927" s="94"/>
      <c r="M927" s="159"/>
      <c r="N927" s="94"/>
    </row>
    <row r="928">
      <c r="A928" s="107">
        <v>201575.0</v>
      </c>
      <c r="B928" s="108" t="s">
        <v>92</v>
      </c>
      <c r="C928" s="108" t="s">
        <v>396</v>
      </c>
      <c r="D928" s="100" t="str">
        <f t="shared" si="1"/>
        <v/>
      </c>
      <c r="E928" s="100" t="str">
        <f t="shared" si="2"/>
        <v/>
      </c>
      <c r="F928" s="100" t="str">
        <f t="shared" si="3"/>
        <v/>
      </c>
      <c r="G928" s="151"/>
      <c r="H928" s="160"/>
      <c r="I928" s="157"/>
      <c r="J928" s="161"/>
      <c r="L928" s="94"/>
      <c r="M928" s="159"/>
      <c r="N928" s="94"/>
    </row>
    <row r="929">
      <c r="A929" s="107">
        <v>201575.0</v>
      </c>
      <c r="B929" s="108" t="s">
        <v>190</v>
      </c>
      <c r="C929" s="108" t="s">
        <v>396</v>
      </c>
      <c r="D929" s="100" t="str">
        <f t="shared" si="1"/>
        <v/>
      </c>
      <c r="E929" s="100" t="str">
        <f t="shared" si="2"/>
        <v/>
      </c>
      <c r="F929" s="100" t="str">
        <f t="shared" si="3"/>
        <v/>
      </c>
      <c r="G929" s="151"/>
      <c r="H929" s="156"/>
      <c r="I929" s="157"/>
      <c r="J929" s="158"/>
      <c r="L929" s="94"/>
      <c r="M929" s="159"/>
      <c r="N929" s="94"/>
    </row>
    <row r="930">
      <c r="A930" s="107">
        <v>201576.0</v>
      </c>
      <c r="B930" s="108" t="s">
        <v>85</v>
      </c>
      <c r="C930" s="108" t="s">
        <v>397</v>
      </c>
      <c r="D930" s="100" t="str">
        <f t="shared" si="1"/>
        <v/>
      </c>
      <c r="E930" s="100" t="str">
        <f t="shared" si="2"/>
        <v/>
      </c>
      <c r="F930" s="100" t="str">
        <f t="shared" si="3"/>
        <v/>
      </c>
      <c r="G930" s="151"/>
      <c r="H930" s="160"/>
      <c r="I930" s="157"/>
      <c r="J930" s="161"/>
      <c r="L930" s="94"/>
      <c r="M930" s="159"/>
      <c r="N930" s="94"/>
    </row>
    <row r="931">
      <c r="A931" s="107">
        <v>201577.0</v>
      </c>
      <c r="B931" s="108" t="s">
        <v>85</v>
      </c>
      <c r="C931" s="108" t="s">
        <v>398</v>
      </c>
      <c r="D931" s="100" t="str">
        <f t="shared" si="1"/>
        <v/>
      </c>
      <c r="E931" s="100" t="str">
        <f t="shared" si="2"/>
        <v/>
      </c>
      <c r="F931" s="100" t="str">
        <f t="shared" si="3"/>
        <v/>
      </c>
      <c r="G931" s="151"/>
      <c r="H931" s="156"/>
      <c r="I931" s="157"/>
      <c r="J931" s="158"/>
      <c r="L931" s="94"/>
      <c r="M931" s="159"/>
      <c r="N931" s="94"/>
    </row>
    <row r="932">
      <c r="A932" s="107">
        <v>201577.0</v>
      </c>
      <c r="B932" s="108" t="s">
        <v>90</v>
      </c>
      <c r="C932" s="108" t="s">
        <v>398</v>
      </c>
      <c r="D932" s="100" t="str">
        <f t="shared" si="1"/>
        <v/>
      </c>
      <c r="E932" s="100" t="str">
        <f t="shared" si="2"/>
        <v/>
      </c>
      <c r="F932" s="100" t="str">
        <f t="shared" si="3"/>
        <v/>
      </c>
      <c r="G932" s="151"/>
      <c r="H932" s="160"/>
      <c r="I932" s="157"/>
      <c r="J932" s="161"/>
      <c r="L932" s="94"/>
      <c r="M932" s="159"/>
      <c r="N932" s="94"/>
    </row>
    <row r="933">
      <c r="A933" s="107">
        <v>201577.0</v>
      </c>
      <c r="B933" s="108" t="s">
        <v>92</v>
      </c>
      <c r="C933" s="108" t="s">
        <v>398</v>
      </c>
      <c r="D933" s="100" t="str">
        <f t="shared" si="1"/>
        <v/>
      </c>
      <c r="E933" s="100" t="str">
        <f t="shared" si="2"/>
        <v/>
      </c>
      <c r="F933" s="100" t="str">
        <f t="shared" si="3"/>
        <v/>
      </c>
      <c r="G933" s="151"/>
      <c r="H933" s="156"/>
      <c r="I933" s="157"/>
      <c r="J933" s="158"/>
      <c r="L933" s="94"/>
      <c r="M933" s="159"/>
      <c r="N933" s="94"/>
    </row>
    <row r="934">
      <c r="A934" s="107">
        <v>201577.0</v>
      </c>
      <c r="B934" s="108" t="s">
        <v>190</v>
      </c>
      <c r="C934" s="108" t="s">
        <v>398</v>
      </c>
      <c r="D934" s="100" t="str">
        <f t="shared" si="1"/>
        <v/>
      </c>
      <c r="E934" s="100" t="str">
        <f t="shared" si="2"/>
        <v/>
      </c>
      <c r="F934" s="100" t="str">
        <f t="shared" si="3"/>
        <v/>
      </c>
      <c r="G934" s="151"/>
      <c r="H934" s="160"/>
      <c r="I934" s="157"/>
      <c r="J934" s="161"/>
      <c r="L934" s="94"/>
      <c r="M934" s="159"/>
      <c r="N934" s="94"/>
    </row>
    <row r="935">
      <c r="A935" s="107">
        <v>201577.0</v>
      </c>
      <c r="B935" s="108" t="s">
        <v>191</v>
      </c>
      <c r="C935" s="108" t="s">
        <v>398</v>
      </c>
      <c r="D935" s="100" t="str">
        <f t="shared" si="1"/>
        <v/>
      </c>
      <c r="E935" s="100" t="str">
        <f t="shared" si="2"/>
        <v/>
      </c>
      <c r="F935" s="100" t="str">
        <f t="shared" si="3"/>
        <v/>
      </c>
      <c r="G935" s="151"/>
      <c r="H935" s="156"/>
      <c r="I935" s="157"/>
      <c r="J935" s="158"/>
      <c r="L935" s="94"/>
      <c r="M935" s="159"/>
      <c r="N935" s="94"/>
    </row>
    <row r="936">
      <c r="A936" s="107">
        <v>201577.0</v>
      </c>
      <c r="B936" s="108" t="s">
        <v>192</v>
      </c>
      <c r="C936" s="108" t="s">
        <v>398</v>
      </c>
      <c r="D936" s="100" t="str">
        <f t="shared" si="1"/>
        <v/>
      </c>
      <c r="E936" s="100" t="str">
        <f t="shared" si="2"/>
        <v/>
      </c>
      <c r="F936" s="100" t="str">
        <f t="shared" si="3"/>
        <v/>
      </c>
      <c r="G936" s="151"/>
      <c r="H936" s="160"/>
      <c r="I936" s="157"/>
      <c r="J936" s="161"/>
      <c r="L936" s="94"/>
      <c r="M936" s="159"/>
      <c r="N936" s="94"/>
    </row>
    <row r="937">
      <c r="A937" s="107">
        <v>201577.0</v>
      </c>
      <c r="B937" s="108" t="s">
        <v>193</v>
      </c>
      <c r="C937" s="108" t="s">
        <v>398</v>
      </c>
      <c r="D937" s="100" t="str">
        <f t="shared" si="1"/>
        <v/>
      </c>
      <c r="E937" s="100" t="str">
        <f t="shared" si="2"/>
        <v/>
      </c>
      <c r="F937" s="100" t="str">
        <f t="shared" si="3"/>
        <v/>
      </c>
      <c r="G937" s="151"/>
      <c r="H937" s="156"/>
      <c r="I937" s="157"/>
      <c r="J937" s="158"/>
      <c r="L937" s="94"/>
      <c r="M937" s="159"/>
      <c r="N937" s="94"/>
    </row>
    <row r="938">
      <c r="A938" s="107">
        <v>201577.0</v>
      </c>
      <c r="B938" s="108" t="s">
        <v>243</v>
      </c>
      <c r="C938" s="108" t="s">
        <v>398</v>
      </c>
      <c r="D938" s="100" t="str">
        <f t="shared" si="1"/>
        <v/>
      </c>
      <c r="E938" s="100" t="str">
        <f t="shared" si="2"/>
        <v/>
      </c>
      <c r="F938" s="100" t="str">
        <f t="shared" si="3"/>
        <v/>
      </c>
      <c r="G938" s="151"/>
      <c r="H938" s="160"/>
      <c r="I938" s="157"/>
      <c r="J938" s="161"/>
      <c r="L938" s="94"/>
      <c r="M938" s="159"/>
      <c r="N938" s="94"/>
    </row>
    <row r="939">
      <c r="A939" s="107">
        <v>201577.0</v>
      </c>
      <c r="B939" s="108" t="s">
        <v>215</v>
      </c>
      <c r="C939" s="108" t="s">
        <v>398</v>
      </c>
      <c r="D939" s="100" t="str">
        <f t="shared" si="1"/>
        <v/>
      </c>
      <c r="E939" s="100" t="str">
        <f t="shared" si="2"/>
        <v/>
      </c>
      <c r="F939" s="100" t="str">
        <f t="shared" si="3"/>
        <v/>
      </c>
      <c r="G939" s="151"/>
      <c r="H939" s="156"/>
      <c r="I939" s="157"/>
      <c r="J939" s="158"/>
      <c r="L939" s="94"/>
      <c r="M939" s="159"/>
      <c r="N939" s="94"/>
    </row>
    <row r="940">
      <c r="A940" s="107">
        <v>201577.0</v>
      </c>
      <c r="B940" s="108" t="s">
        <v>244</v>
      </c>
      <c r="C940" s="108" t="s">
        <v>398</v>
      </c>
      <c r="D940" s="100" t="str">
        <f t="shared" si="1"/>
        <v/>
      </c>
      <c r="E940" s="100" t="str">
        <f t="shared" si="2"/>
        <v/>
      </c>
      <c r="F940" s="100" t="str">
        <f t="shared" si="3"/>
        <v/>
      </c>
      <c r="G940" s="151"/>
      <c r="H940" s="160"/>
      <c r="I940" s="157"/>
      <c r="J940" s="161"/>
      <c r="L940" s="94"/>
      <c r="M940" s="159"/>
      <c r="N940" s="94"/>
    </row>
    <row r="941">
      <c r="A941" s="107">
        <v>201577.0</v>
      </c>
      <c r="B941" s="108" t="s">
        <v>245</v>
      </c>
      <c r="C941" s="108" t="s">
        <v>398</v>
      </c>
      <c r="D941" s="100" t="str">
        <f t="shared" si="1"/>
        <v/>
      </c>
      <c r="E941" s="100" t="str">
        <f t="shared" si="2"/>
        <v/>
      </c>
      <c r="F941" s="100" t="str">
        <f t="shared" si="3"/>
        <v/>
      </c>
      <c r="G941" s="151"/>
      <c r="H941" s="156"/>
      <c r="I941" s="157"/>
      <c r="J941" s="158"/>
      <c r="L941" s="94"/>
      <c r="M941" s="159"/>
      <c r="N941" s="94"/>
    </row>
    <row r="942">
      <c r="A942" s="107">
        <v>201578.0</v>
      </c>
      <c r="B942" s="108" t="s">
        <v>85</v>
      </c>
      <c r="C942" s="108" t="s">
        <v>399</v>
      </c>
      <c r="D942" s="100" t="str">
        <f t="shared" si="1"/>
        <v/>
      </c>
      <c r="E942" s="100" t="str">
        <f t="shared" si="2"/>
        <v/>
      </c>
      <c r="F942" s="100" t="str">
        <f t="shared" si="3"/>
        <v/>
      </c>
      <c r="G942" s="151"/>
      <c r="H942" s="160"/>
      <c r="I942" s="157"/>
      <c r="J942" s="161"/>
      <c r="L942" s="94"/>
      <c r="M942" s="159"/>
      <c r="N942" s="94"/>
    </row>
    <row r="943">
      <c r="A943" s="107">
        <v>201578.0</v>
      </c>
      <c r="B943" s="108" t="s">
        <v>90</v>
      </c>
      <c r="C943" s="108" t="s">
        <v>399</v>
      </c>
      <c r="D943" s="100" t="str">
        <f t="shared" si="1"/>
        <v/>
      </c>
      <c r="E943" s="100" t="str">
        <f t="shared" si="2"/>
        <v/>
      </c>
      <c r="F943" s="100" t="str">
        <f t="shared" si="3"/>
        <v/>
      </c>
      <c r="G943" s="151"/>
      <c r="H943" s="156"/>
      <c r="I943" s="157"/>
      <c r="J943" s="158"/>
      <c r="L943" s="94"/>
      <c r="M943" s="159"/>
      <c r="N943" s="94"/>
    </row>
    <row r="944">
      <c r="A944" s="107">
        <v>201578.0</v>
      </c>
      <c r="B944" s="108" t="s">
        <v>92</v>
      </c>
      <c r="C944" s="108" t="s">
        <v>399</v>
      </c>
      <c r="D944" s="100" t="str">
        <f t="shared" si="1"/>
        <v/>
      </c>
      <c r="E944" s="100" t="str">
        <f t="shared" si="2"/>
        <v/>
      </c>
      <c r="F944" s="100" t="str">
        <f t="shared" si="3"/>
        <v/>
      </c>
      <c r="G944" s="151"/>
      <c r="H944" s="160"/>
      <c r="I944" s="157"/>
      <c r="J944" s="161"/>
      <c r="L944" s="94"/>
      <c r="M944" s="159"/>
      <c r="N944" s="94"/>
    </row>
    <row r="945">
      <c r="A945" s="107">
        <v>201578.0</v>
      </c>
      <c r="B945" s="108" t="s">
        <v>190</v>
      </c>
      <c r="C945" s="108" t="s">
        <v>399</v>
      </c>
      <c r="D945" s="100" t="str">
        <f t="shared" si="1"/>
        <v/>
      </c>
      <c r="E945" s="100" t="str">
        <f t="shared" si="2"/>
        <v/>
      </c>
      <c r="F945" s="100" t="str">
        <f t="shared" si="3"/>
        <v/>
      </c>
      <c r="G945" s="151"/>
      <c r="H945" s="156"/>
      <c r="I945" s="157"/>
      <c r="J945" s="158"/>
      <c r="L945" s="94"/>
      <c r="M945" s="159"/>
      <c r="N945" s="94"/>
    </row>
    <row r="946">
      <c r="A946" s="107">
        <v>201578.0</v>
      </c>
      <c r="B946" s="108" t="s">
        <v>191</v>
      </c>
      <c r="C946" s="108" t="s">
        <v>399</v>
      </c>
      <c r="D946" s="100" t="str">
        <f t="shared" si="1"/>
        <v/>
      </c>
      <c r="E946" s="100" t="str">
        <f t="shared" si="2"/>
        <v/>
      </c>
      <c r="F946" s="100" t="str">
        <f t="shared" si="3"/>
        <v/>
      </c>
      <c r="G946" s="151"/>
      <c r="H946" s="160"/>
      <c r="I946" s="157"/>
      <c r="J946" s="161"/>
      <c r="L946" s="94"/>
      <c r="M946" s="159"/>
      <c r="N946" s="94"/>
    </row>
    <row r="947">
      <c r="A947" s="107">
        <v>201579.0</v>
      </c>
      <c r="B947" s="108" t="s">
        <v>85</v>
      </c>
      <c r="C947" s="108" t="s">
        <v>400</v>
      </c>
      <c r="D947" s="100" t="str">
        <f t="shared" si="1"/>
        <v/>
      </c>
      <c r="E947" s="100" t="str">
        <f t="shared" si="2"/>
        <v/>
      </c>
      <c r="F947" s="100" t="str">
        <f t="shared" si="3"/>
        <v/>
      </c>
      <c r="G947" s="151"/>
      <c r="H947" s="156"/>
      <c r="I947" s="157"/>
      <c r="J947" s="158"/>
      <c r="L947" s="94"/>
      <c r="M947" s="159"/>
      <c r="N947" s="94"/>
    </row>
    <row r="948">
      <c r="A948" s="107">
        <v>201579.0</v>
      </c>
      <c r="B948" s="108" t="s">
        <v>90</v>
      </c>
      <c r="C948" s="108" t="s">
        <v>400</v>
      </c>
      <c r="D948" s="100" t="str">
        <f t="shared" si="1"/>
        <v/>
      </c>
      <c r="E948" s="100" t="str">
        <f t="shared" si="2"/>
        <v/>
      </c>
      <c r="F948" s="100" t="str">
        <f t="shared" si="3"/>
        <v/>
      </c>
      <c r="G948" s="151"/>
      <c r="H948" s="160"/>
      <c r="I948" s="157"/>
      <c r="J948" s="161"/>
      <c r="L948" s="94"/>
      <c r="M948" s="159"/>
      <c r="N948" s="94"/>
    </row>
    <row r="949">
      <c r="A949" s="107">
        <v>201579.0</v>
      </c>
      <c r="B949" s="108" t="s">
        <v>92</v>
      </c>
      <c r="C949" s="108" t="s">
        <v>400</v>
      </c>
      <c r="D949" s="100" t="str">
        <f t="shared" si="1"/>
        <v/>
      </c>
      <c r="E949" s="100" t="str">
        <f t="shared" si="2"/>
        <v/>
      </c>
      <c r="F949" s="100" t="str">
        <f t="shared" si="3"/>
        <v/>
      </c>
      <c r="G949" s="151"/>
      <c r="H949" s="156"/>
      <c r="I949" s="157"/>
      <c r="J949" s="158"/>
      <c r="L949" s="94"/>
      <c r="M949" s="159"/>
      <c r="N949" s="94"/>
    </row>
    <row r="950">
      <c r="A950" s="107">
        <v>201579.0</v>
      </c>
      <c r="B950" s="108" t="s">
        <v>190</v>
      </c>
      <c r="C950" s="108" t="s">
        <v>400</v>
      </c>
      <c r="D950" s="100" t="str">
        <f t="shared" si="1"/>
        <v/>
      </c>
      <c r="E950" s="100" t="str">
        <f t="shared" si="2"/>
        <v/>
      </c>
      <c r="F950" s="100" t="str">
        <f t="shared" si="3"/>
        <v/>
      </c>
      <c r="G950" s="151"/>
      <c r="H950" s="160"/>
      <c r="I950" s="157"/>
      <c r="J950" s="161"/>
      <c r="L950" s="94"/>
      <c r="M950" s="159"/>
      <c r="N950" s="94"/>
    </row>
    <row r="951">
      <c r="A951" s="107">
        <v>201580.0</v>
      </c>
      <c r="B951" s="108" t="s">
        <v>85</v>
      </c>
      <c r="C951" s="108" t="s">
        <v>401</v>
      </c>
      <c r="D951" s="100" t="str">
        <f t="shared" si="1"/>
        <v/>
      </c>
      <c r="E951" s="100" t="str">
        <f t="shared" si="2"/>
        <v/>
      </c>
      <c r="F951" s="100" t="str">
        <f t="shared" si="3"/>
        <v/>
      </c>
      <c r="G951" s="151"/>
      <c r="H951" s="156"/>
      <c r="I951" s="157"/>
      <c r="J951" s="158"/>
      <c r="L951" s="94"/>
      <c r="M951" s="159"/>
      <c r="N951" s="94"/>
    </row>
    <row r="952">
      <c r="A952" s="107">
        <v>201580.0</v>
      </c>
      <c r="B952" s="108" t="s">
        <v>90</v>
      </c>
      <c r="C952" s="108" t="s">
        <v>401</v>
      </c>
      <c r="D952" s="100" t="str">
        <f t="shared" si="1"/>
        <v/>
      </c>
      <c r="E952" s="100" t="str">
        <f t="shared" si="2"/>
        <v/>
      </c>
      <c r="F952" s="100" t="str">
        <f t="shared" si="3"/>
        <v/>
      </c>
      <c r="G952" s="151"/>
      <c r="H952" s="160"/>
      <c r="I952" s="157"/>
      <c r="J952" s="161"/>
      <c r="L952" s="94"/>
      <c r="M952" s="159"/>
      <c r="N952" s="94"/>
    </row>
    <row r="953">
      <c r="A953" s="107">
        <v>201580.0</v>
      </c>
      <c r="B953" s="108" t="s">
        <v>92</v>
      </c>
      <c r="C953" s="108" t="s">
        <v>401</v>
      </c>
      <c r="D953" s="100" t="str">
        <f t="shared" si="1"/>
        <v/>
      </c>
      <c r="E953" s="100" t="str">
        <f t="shared" si="2"/>
        <v/>
      </c>
      <c r="F953" s="100" t="str">
        <f t="shared" si="3"/>
        <v/>
      </c>
      <c r="G953" s="151"/>
      <c r="H953" s="156"/>
      <c r="I953" s="157"/>
      <c r="J953" s="158"/>
      <c r="L953" s="94"/>
      <c r="M953" s="159"/>
      <c r="N953" s="94"/>
    </row>
    <row r="954">
      <c r="A954" s="107">
        <v>201580.0</v>
      </c>
      <c r="B954" s="108" t="s">
        <v>190</v>
      </c>
      <c r="C954" s="108" t="s">
        <v>401</v>
      </c>
      <c r="D954" s="100" t="str">
        <f t="shared" si="1"/>
        <v/>
      </c>
      <c r="E954" s="100" t="str">
        <f t="shared" si="2"/>
        <v/>
      </c>
      <c r="F954" s="100" t="str">
        <f t="shared" si="3"/>
        <v/>
      </c>
      <c r="G954" s="151"/>
      <c r="H954" s="160"/>
      <c r="I954" s="157"/>
      <c r="J954" s="161"/>
      <c r="L954" s="94"/>
      <c r="M954" s="159"/>
      <c r="N954" s="94"/>
    </row>
    <row r="955">
      <c r="A955" s="107">
        <v>201580.0</v>
      </c>
      <c r="B955" s="108" t="s">
        <v>191</v>
      </c>
      <c r="C955" s="108" t="s">
        <v>401</v>
      </c>
      <c r="D955" s="100" t="str">
        <f t="shared" si="1"/>
        <v/>
      </c>
      <c r="E955" s="100" t="str">
        <f t="shared" si="2"/>
        <v/>
      </c>
      <c r="F955" s="100" t="str">
        <f t="shared" si="3"/>
        <v/>
      </c>
      <c r="G955" s="151"/>
      <c r="H955" s="156"/>
      <c r="I955" s="157"/>
      <c r="J955" s="158"/>
      <c r="L955" s="94"/>
      <c r="M955" s="159"/>
      <c r="N955" s="94"/>
    </row>
    <row r="956">
      <c r="A956" s="107">
        <v>201580.0</v>
      </c>
      <c r="B956" s="108" t="s">
        <v>192</v>
      </c>
      <c r="C956" s="108" t="s">
        <v>401</v>
      </c>
      <c r="D956" s="100" t="str">
        <f t="shared" si="1"/>
        <v/>
      </c>
      <c r="E956" s="100" t="str">
        <f t="shared" si="2"/>
        <v/>
      </c>
      <c r="F956" s="100" t="str">
        <f t="shared" si="3"/>
        <v/>
      </c>
      <c r="G956" s="151"/>
      <c r="H956" s="160"/>
      <c r="I956" s="157"/>
      <c r="J956" s="161"/>
      <c r="L956" s="94"/>
      <c r="M956" s="159"/>
      <c r="N956" s="94"/>
    </row>
    <row r="957">
      <c r="A957" s="107">
        <v>201580.0</v>
      </c>
      <c r="B957" s="108" t="s">
        <v>193</v>
      </c>
      <c r="C957" s="108" t="s">
        <v>401</v>
      </c>
      <c r="D957" s="100" t="str">
        <f t="shared" si="1"/>
        <v/>
      </c>
      <c r="E957" s="100" t="str">
        <f t="shared" si="2"/>
        <v/>
      </c>
      <c r="F957" s="100" t="str">
        <f t="shared" si="3"/>
        <v/>
      </c>
      <c r="G957" s="151"/>
      <c r="H957" s="156"/>
      <c r="I957" s="157"/>
      <c r="J957" s="158"/>
      <c r="L957" s="94"/>
      <c r="M957" s="159"/>
      <c r="N957" s="94"/>
    </row>
    <row r="958">
      <c r="A958" s="107">
        <v>201580.0</v>
      </c>
      <c r="B958" s="108" t="s">
        <v>243</v>
      </c>
      <c r="C958" s="108" t="s">
        <v>401</v>
      </c>
      <c r="D958" s="100" t="str">
        <f t="shared" si="1"/>
        <v/>
      </c>
      <c r="E958" s="100" t="str">
        <f t="shared" si="2"/>
        <v/>
      </c>
      <c r="F958" s="100" t="str">
        <f t="shared" si="3"/>
        <v/>
      </c>
      <c r="G958" s="151"/>
      <c r="H958" s="160"/>
      <c r="I958" s="157"/>
      <c r="J958" s="161"/>
      <c r="L958" s="94"/>
      <c r="M958" s="159"/>
      <c r="N958" s="94"/>
    </row>
    <row r="959">
      <c r="A959" s="107">
        <v>201580.0</v>
      </c>
      <c r="B959" s="108" t="s">
        <v>215</v>
      </c>
      <c r="C959" s="108" t="s">
        <v>401</v>
      </c>
      <c r="D959" s="100" t="str">
        <f t="shared" si="1"/>
        <v/>
      </c>
      <c r="E959" s="100" t="str">
        <f t="shared" si="2"/>
        <v/>
      </c>
      <c r="F959" s="100" t="str">
        <f t="shared" si="3"/>
        <v/>
      </c>
      <c r="G959" s="151"/>
      <c r="H959" s="156"/>
      <c r="I959" s="157"/>
      <c r="J959" s="158"/>
      <c r="L959" s="94"/>
      <c r="M959" s="159"/>
      <c r="N959" s="94"/>
    </row>
    <row r="960">
      <c r="A960" s="107">
        <v>201580.0</v>
      </c>
      <c r="B960" s="108" t="s">
        <v>244</v>
      </c>
      <c r="C960" s="108" t="s">
        <v>401</v>
      </c>
      <c r="D960" s="100" t="str">
        <f t="shared" si="1"/>
        <v/>
      </c>
      <c r="E960" s="100" t="str">
        <f t="shared" si="2"/>
        <v/>
      </c>
      <c r="F960" s="100" t="str">
        <f t="shared" si="3"/>
        <v/>
      </c>
      <c r="G960" s="151"/>
      <c r="H960" s="160"/>
      <c r="I960" s="157"/>
      <c r="J960" s="161"/>
      <c r="L960" s="94"/>
      <c r="M960" s="159"/>
      <c r="N960" s="94"/>
    </row>
    <row r="961">
      <c r="A961" s="107">
        <v>201580.0</v>
      </c>
      <c r="B961" s="108" t="s">
        <v>245</v>
      </c>
      <c r="C961" s="108" t="s">
        <v>401</v>
      </c>
      <c r="D961" s="100" t="str">
        <f t="shared" si="1"/>
        <v/>
      </c>
      <c r="E961" s="100" t="str">
        <f t="shared" si="2"/>
        <v/>
      </c>
      <c r="F961" s="100" t="str">
        <f t="shared" si="3"/>
        <v/>
      </c>
      <c r="G961" s="151"/>
      <c r="H961" s="156"/>
      <c r="I961" s="157"/>
      <c r="J961" s="158"/>
      <c r="L961" s="94"/>
      <c r="M961" s="159"/>
      <c r="N961" s="94"/>
    </row>
    <row r="962">
      <c r="A962" s="107">
        <v>201581.0</v>
      </c>
      <c r="B962" s="108" t="s">
        <v>85</v>
      </c>
      <c r="C962" s="108" t="s">
        <v>402</v>
      </c>
      <c r="D962" s="100" t="str">
        <f t="shared" si="1"/>
        <v/>
      </c>
      <c r="E962" s="100" t="str">
        <f t="shared" si="2"/>
        <v/>
      </c>
      <c r="F962" s="100" t="str">
        <f t="shared" si="3"/>
        <v/>
      </c>
      <c r="G962" s="151"/>
      <c r="H962" s="160"/>
      <c r="I962" s="157"/>
      <c r="J962" s="161"/>
      <c r="L962" s="94"/>
      <c r="M962" s="159"/>
      <c r="N962" s="94"/>
    </row>
    <row r="963">
      <c r="A963" s="107">
        <v>201581.0</v>
      </c>
      <c r="B963" s="108" t="s">
        <v>90</v>
      </c>
      <c r="C963" s="108" t="s">
        <v>402</v>
      </c>
      <c r="D963" s="100" t="str">
        <f t="shared" si="1"/>
        <v/>
      </c>
      <c r="E963" s="100" t="str">
        <f t="shared" si="2"/>
        <v/>
      </c>
      <c r="F963" s="100" t="str">
        <f t="shared" si="3"/>
        <v/>
      </c>
      <c r="G963" s="151"/>
      <c r="H963" s="156"/>
      <c r="I963" s="157"/>
      <c r="J963" s="158"/>
      <c r="L963" s="94"/>
      <c r="M963" s="159"/>
      <c r="N963" s="94"/>
    </row>
    <row r="964">
      <c r="A964" s="107">
        <v>201581.0</v>
      </c>
      <c r="B964" s="108" t="s">
        <v>92</v>
      </c>
      <c r="C964" s="108" t="s">
        <v>402</v>
      </c>
      <c r="D964" s="100" t="str">
        <f t="shared" si="1"/>
        <v/>
      </c>
      <c r="E964" s="100" t="str">
        <f t="shared" si="2"/>
        <v/>
      </c>
      <c r="F964" s="100" t="str">
        <f t="shared" si="3"/>
        <v/>
      </c>
      <c r="G964" s="151"/>
      <c r="H964" s="160"/>
      <c r="I964" s="157"/>
      <c r="J964" s="161"/>
      <c r="L964" s="94"/>
      <c r="M964" s="159"/>
      <c r="N964" s="94"/>
    </row>
    <row r="965">
      <c r="A965" s="107">
        <v>201582.0</v>
      </c>
      <c r="B965" s="108" t="s">
        <v>85</v>
      </c>
      <c r="C965" s="108" t="s">
        <v>403</v>
      </c>
      <c r="D965" s="100" t="str">
        <f t="shared" si="1"/>
        <v/>
      </c>
      <c r="E965" s="100" t="str">
        <f t="shared" si="2"/>
        <v/>
      </c>
      <c r="F965" s="100" t="str">
        <f t="shared" si="3"/>
        <v/>
      </c>
      <c r="G965" s="151"/>
      <c r="H965" s="156"/>
      <c r="I965" s="157"/>
      <c r="J965" s="158"/>
      <c r="L965" s="94"/>
      <c r="M965" s="159"/>
      <c r="N965" s="94"/>
    </row>
    <row r="966">
      <c r="A966" s="107">
        <v>201582.0</v>
      </c>
      <c r="B966" s="108" t="s">
        <v>90</v>
      </c>
      <c r="C966" s="108" t="s">
        <v>403</v>
      </c>
      <c r="D966" s="100" t="str">
        <f t="shared" si="1"/>
        <v/>
      </c>
      <c r="E966" s="100" t="str">
        <f t="shared" si="2"/>
        <v/>
      </c>
      <c r="F966" s="100" t="str">
        <f t="shared" si="3"/>
        <v/>
      </c>
      <c r="G966" s="151"/>
      <c r="H966" s="160"/>
      <c r="I966" s="157"/>
      <c r="J966" s="161"/>
      <c r="L966" s="94"/>
      <c r="M966" s="159"/>
      <c r="N966" s="94"/>
    </row>
    <row r="967">
      <c r="A967" s="107">
        <v>201582.0</v>
      </c>
      <c r="B967" s="108" t="s">
        <v>92</v>
      </c>
      <c r="C967" s="108" t="s">
        <v>403</v>
      </c>
      <c r="D967" s="100" t="str">
        <f t="shared" si="1"/>
        <v/>
      </c>
      <c r="E967" s="100" t="str">
        <f t="shared" si="2"/>
        <v/>
      </c>
      <c r="F967" s="100" t="str">
        <f t="shared" si="3"/>
        <v/>
      </c>
      <c r="G967" s="151"/>
      <c r="H967" s="156"/>
      <c r="I967" s="157"/>
      <c r="J967" s="158"/>
      <c r="L967" s="94"/>
      <c r="M967" s="159"/>
      <c r="N967" s="94"/>
    </row>
    <row r="968">
      <c r="A968" s="107">
        <v>201582.0</v>
      </c>
      <c r="B968" s="108" t="s">
        <v>190</v>
      </c>
      <c r="C968" s="108" t="s">
        <v>403</v>
      </c>
      <c r="D968" s="100" t="str">
        <f t="shared" si="1"/>
        <v/>
      </c>
      <c r="E968" s="100" t="str">
        <f t="shared" si="2"/>
        <v/>
      </c>
      <c r="F968" s="100" t="str">
        <f t="shared" si="3"/>
        <v/>
      </c>
      <c r="G968" s="151"/>
      <c r="H968" s="160"/>
      <c r="I968" s="157"/>
      <c r="J968" s="161"/>
      <c r="L968" s="94"/>
      <c r="M968" s="159"/>
      <c r="N968" s="94"/>
    </row>
    <row r="969">
      <c r="A969" s="107">
        <v>201583.0</v>
      </c>
      <c r="B969" s="108" t="s">
        <v>85</v>
      </c>
      <c r="C969" s="108" t="s">
        <v>404</v>
      </c>
      <c r="D969" s="100" t="str">
        <f t="shared" si="1"/>
        <v/>
      </c>
      <c r="E969" s="100" t="str">
        <f t="shared" si="2"/>
        <v/>
      </c>
      <c r="F969" s="100" t="str">
        <f t="shared" si="3"/>
        <v/>
      </c>
      <c r="G969" s="151"/>
      <c r="H969" s="156"/>
      <c r="I969" s="157"/>
      <c r="J969" s="158"/>
      <c r="L969" s="94"/>
      <c r="M969" s="159"/>
      <c r="N969" s="94"/>
    </row>
    <row r="970">
      <c r="A970" s="107">
        <v>201583.0</v>
      </c>
      <c r="B970" s="108" t="s">
        <v>90</v>
      </c>
      <c r="C970" s="108" t="s">
        <v>404</v>
      </c>
      <c r="D970" s="100" t="str">
        <f t="shared" si="1"/>
        <v/>
      </c>
      <c r="E970" s="100" t="str">
        <f t="shared" si="2"/>
        <v/>
      </c>
      <c r="F970" s="100" t="str">
        <f t="shared" si="3"/>
        <v/>
      </c>
      <c r="G970" s="151"/>
      <c r="H970" s="160"/>
      <c r="I970" s="157"/>
      <c r="J970" s="161"/>
      <c r="L970" s="94"/>
      <c r="M970" s="159"/>
      <c r="N970" s="94"/>
    </row>
    <row r="971">
      <c r="A971" s="107">
        <v>201583.0</v>
      </c>
      <c r="B971" s="108" t="s">
        <v>92</v>
      </c>
      <c r="C971" s="108" t="s">
        <v>404</v>
      </c>
      <c r="D971" s="100" t="str">
        <f t="shared" si="1"/>
        <v/>
      </c>
      <c r="E971" s="100" t="str">
        <f t="shared" si="2"/>
        <v/>
      </c>
      <c r="F971" s="100" t="str">
        <f t="shared" si="3"/>
        <v/>
      </c>
      <c r="G971" s="151"/>
      <c r="H971" s="156"/>
      <c r="I971" s="157"/>
      <c r="J971" s="158"/>
      <c r="L971" s="94"/>
      <c r="M971" s="159"/>
      <c r="N971" s="94"/>
    </row>
    <row r="972">
      <c r="A972" s="107">
        <v>201583.0</v>
      </c>
      <c r="B972" s="108" t="s">
        <v>190</v>
      </c>
      <c r="C972" s="108" t="s">
        <v>404</v>
      </c>
      <c r="D972" s="100" t="str">
        <f t="shared" si="1"/>
        <v/>
      </c>
      <c r="E972" s="100" t="str">
        <f t="shared" si="2"/>
        <v/>
      </c>
      <c r="F972" s="100" t="str">
        <f t="shared" si="3"/>
        <v/>
      </c>
      <c r="G972" s="151"/>
      <c r="H972" s="160"/>
      <c r="I972" s="157"/>
      <c r="J972" s="161"/>
      <c r="L972" s="94"/>
      <c r="M972" s="159"/>
      <c r="N972" s="94"/>
    </row>
    <row r="973">
      <c r="A973" s="107">
        <v>201583.0</v>
      </c>
      <c r="B973" s="108" t="s">
        <v>191</v>
      </c>
      <c r="C973" s="108" t="s">
        <v>404</v>
      </c>
      <c r="D973" s="100" t="str">
        <f t="shared" si="1"/>
        <v/>
      </c>
      <c r="E973" s="100" t="str">
        <f t="shared" si="2"/>
        <v/>
      </c>
      <c r="F973" s="100" t="str">
        <f t="shared" si="3"/>
        <v/>
      </c>
      <c r="G973" s="151"/>
      <c r="H973" s="156"/>
      <c r="I973" s="157"/>
      <c r="J973" s="158"/>
      <c r="L973" s="94"/>
      <c r="M973" s="159"/>
      <c r="N973" s="94"/>
    </row>
    <row r="974">
      <c r="A974" s="107">
        <v>201583.0</v>
      </c>
      <c r="B974" s="108" t="s">
        <v>192</v>
      </c>
      <c r="C974" s="108" t="s">
        <v>404</v>
      </c>
      <c r="D974" s="100" t="str">
        <f t="shared" si="1"/>
        <v/>
      </c>
      <c r="E974" s="100" t="str">
        <f t="shared" si="2"/>
        <v/>
      </c>
      <c r="F974" s="100" t="str">
        <f t="shared" si="3"/>
        <v/>
      </c>
      <c r="G974" s="151"/>
      <c r="H974" s="160"/>
      <c r="I974" s="157"/>
      <c r="J974" s="161"/>
      <c r="L974" s="94"/>
      <c r="M974" s="159"/>
      <c r="N974" s="94"/>
    </row>
    <row r="975">
      <c r="A975" s="107">
        <v>201583.0</v>
      </c>
      <c r="B975" s="108" t="s">
        <v>193</v>
      </c>
      <c r="C975" s="108" t="s">
        <v>404</v>
      </c>
      <c r="D975" s="100" t="str">
        <f t="shared" si="1"/>
        <v/>
      </c>
      <c r="E975" s="100" t="str">
        <f t="shared" si="2"/>
        <v/>
      </c>
      <c r="F975" s="100" t="str">
        <f t="shared" si="3"/>
        <v/>
      </c>
      <c r="G975" s="151"/>
      <c r="H975" s="156"/>
      <c r="I975" s="157"/>
      <c r="J975" s="158"/>
      <c r="L975" s="94"/>
      <c r="M975" s="159"/>
      <c r="N975" s="94"/>
    </row>
    <row r="976">
      <c r="A976" s="107">
        <v>201584.0</v>
      </c>
      <c r="B976" s="108" t="s">
        <v>85</v>
      </c>
      <c r="C976" s="108" t="s">
        <v>405</v>
      </c>
      <c r="D976" s="100" t="str">
        <f t="shared" si="1"/>
        <v/>
      </c>
      <c r="E976" s="100" t="str">
        <f t="shared" si="2"/>
        <v/>
      </c>
      <c r="F976" s="100" t="str">
        <f t="shared" si="3"/>
        <v/>
      </c>
      <c r="G976" s="151"/>
      <c r="H976" s="160"/>
      <c r="I976" s="157"/>
      <c r="J976" s="161"/>
      <c r="L976" s="94"/>
      <c r="M976" s="159"/>
      <c r="N976" s="94"/>
    </row>
    <row r="977">
      <c r="A977" s="107">
        <v>201584.0</v>
      </c>
      <c r="B977" s="108" t="s">
        <v>90</v>
      </c>
      <c r="C977" s="108" t="s">
        <v>405</v>
      </c>
      <c r="D977" s="100" t="str">
        <f t="shared" si="1"/>
        <v/>
      </c>
      <c r="E977" s="100" t="str">
        <f t="shared" si="2"/>
        <v/>
      </c>
      <c r="F977" s="100" t="str">
        <f t="shared" si="3"/>
        <v/>
      </c>
      <c r="G977" s="151"/>
      <c r="H977" s="156"/>
      <c r="I977" s="157"/>
      <c r="J977" s="158"/>
      <c r="L977" s="94"/>
      <c r="M977" s="159"/>
      <c r="N977" s="94"/>
    </row>
    <row r="978">
      <c r="A978" s="107">
        <v>201584.0</v>
      </c>
      <c r="B978" s="108" t="s">
        <v>92</v>
      </c>
      <c r="C978" s="108" t="s">
        <v>405</v>
      </c>
      <c r="D978" s="100" t="str">
        <f t="shared" si="1"/>
        <v/>
      </c>
      <c r="E978" s="100" t="str">
        <f t="shared" si="2"/>
        <v/>
      </c>
      <c r="F978" s="100" t="str">
        <f t="shared" si="3"/>
        <v/>
      </c>
      <c r="G978" s="151"/>
      <c r="H978" s="160"/>
      <c r="I978" s="157"/>
      <c r="J978" s="161"/>
      <c r="L978" s="94"/>
      <c r="M978" s="159"/>
      <c r="N978" s="94"/>
    </row>
    <row r="979">
      <c r="A979" s="107">
        <v>201584.0</v>
      </c>
      <c r="B979" s="108" t="s">
        <v>190</v>
      </c>
      <c r="C979" s="108" t="s">
        <v>405</v>
      </c>
      <c r="D979" s="100" t="str">
        <f t="shared" si="1"/>
        <v/>
      </c>
      <c r="E979" s="100" t="str">
        <f t="shared" si="2"/>
        <v/>
      </c>
      <c r="F979" s="100" t="str">
        <f t="shared" si="3"/>
        <v/>
      </c>
      <c r="G979" s="151"/>
      <c r="H979" s="156"/>
      <c r="I979" s="157"/>
      <c r="J979" s="158"/>
      <c r="L979" s="94"/>
      <c r="M979" s="159"/>
      <c r="N979" s="94"/>
    </row>
    <row r="980">
      <c r="A980" s="107">
        <v>201584.0</v>
      </c>
      <c r="B980" s="108" t="s">
        <v>191</v>
      </c>
      <c r="C980" s="108" t="s">
        <v>405</v>
      </c>
      <c r="D980" s="100" t="str">
        <f t="shared" si="1"/>
        <v/>
      </c>
      <c r="E980" s="100" t="str">
        <f t="shared" si="2"/>
        <v/>
      </c>
      <c r="F980" s="100" t="str">
        <f t="shared" si="3"/>
        <v/>
      </c>
      <c r="G980" s="151"/>
      <c r="H980" s="160"/>
      <c r="I980" s="157"/>
      <c r="J980" s="161"/>
      <c r="L980" s="94"/>
      <c r="M980" s="159"/>
      <c r="N980" s="94"/>
    </row>
    <row r="981">
      <c r="A981" s="107">
        <v>201584.0</v>
      </c>
      <c r="B981" s="108" t="s">
        <v>192</v>
      </c>
      <c r="C981" s="108" t="s">
        <v>405</v>
      </c>
      <c r="D981" s="100" t="str">
        <f t="shared" si="1"/>
        <v/>
      </c>
      <c r="E981" s="100" t="str">
        <f t="shared" si="2"/>
        <v/>
      </c>
      <c r="F981" s="100" t="str">
        <f t="shared" si="3"/>
        <v/>
      </c>
      <c r="G981" s="151"/>
      <c r="H981" s="156"/>
      <c r="I981" s="157"/>
      <c r="J981" s="158"/>
      <c r="L981" s="94"/>
      <c r="M981" s="159"/>
      <c r="N981" s="94"/>
    </row>
    <row r="982">
      <c r="A982" s="107">
        <v>201584.0</v>
      </c>
      <c r="B982" s="108" t="s">
        <v>193</v>
      </c>
      <c r="C982" s="108" t="s">
        <v>405</v>
      </c>
      <c r="D982" s="100" t="str">
        <f t="shared" si="1"/>
        <v/>
      </c>
      <c r="E982" s="100" t="str">
        <f t="shared" si="2"/>
        <v/>
      </c>
      <c r="F982" s="100" t="str">
        <f t="shared" si="3"/>
        <v/>
      </c>
      <c r="G982" s="151"/>
      <c r="H982" s="160"/>
      <c r="I982" s="157"/>
      <c r="J982" s="161"/>
      <c r="L982" s="94"/>
      <c r="M982" s="159"/>
      <c r="N982" s="94"/>
    </row>
    <row r="983">
      <c r="A983" s="107">
        <v>201585.0</v>
      </c>
      <c r="B983" s="108" t="s">
        <v>85</v>
      </c>
      <c r="C983" s="108" t="s">
        <v>406</v>
      </c>
      <c r="D983" s="100" t="str">
        <f t="shared" si="1"/>
        <v/>
      </c>
      <c r="E983" s="100" t="str">
        <f t="shared" si="2"/>
        <v/>
      </c>
      <c r="F983" s="100" t="str">
        <f t="shared" si="3"/>
        <v/>
      </c>
      <c r="G983" s="151"/>
      <c r="H983" s="156"/>
      <c r="I983" s="157"/>
      <c r="J983" s="158"/>
      <c r="L983" s="94"/>
      <c r="M983" s="159"/>
      <c r="N983" s="94"/>
    </row>
    <row r="984">
      <c r="A984" s="107">
        <v>201585.0</v>
      </c>
      <c r="B984" s="108" t="s">
        <v>90</v>
      </c>
      <c r="C984" s="108" t="s">
        <v>406</v>
      </c>
      <c r="D984" s="100" t="str">
        <f t="shared" si="1"/>
        <v/>
      </c>
      <c r="E984" s="100" t="str">
        <f t="shared" si="2"/>
        <v/>
      </c>
      <c r="F984" s="100" t="str">
        <f t="shared" si="3"/>
        <v/>
      </c>
      <c r="G984" s="151"/>
      <c r="H984" s="160"/>
      <c r="I984" s="157"/>
      <c r="J984" s="161"/>
      <c r="L984" s="94"/>
      <c r="M984" s="159"/>
      <c r="N984" s="94"/>
    </row>
    <row r="985">
      <c r="A985" s="107">
        <v>201585.0</v>
      </c>
      <c r="B985" s="108" t="s">
        <v>92</v>
      </c>
      <c r="C985" s="108" t="s">
        <v>406</v>
      </c>
      <c r="D985" s="100" t="str">
        <f t="shared" si="1"/>
        <v/>
      </c>
      <c r="E985" s="100" t="str">
        <f t="shared" si="2"/>
        <v/>
      </c>
      <c r="F985" s="100" t="str">
        <f t="shared" si="3"/>
        <v/>
      </c>
      <c r="G985" s="151"/>
      <c r="H985" s="156"/>
      <c r="I985" s="157"/>
      <c r="J985" s="158"/>
      <c r="L985" s="94"/>
      <c r="M985" s="159"/>
      <c r="N985" s="94"/>
    </row>
    <row r="986">
      <c r="A986" s="107">
        <v>201585.0</v>
      </c>
      <c r="B986" s="108" t="s">
        <v>190</v>
      </c>
      <c r="C986" s="108" t="s">
        <v>406</v>
      </c>
      <c r="D986" s="100" t="str">
        <f t="shared" si="1"/>
        <v/>
      </c>
      <c r="E986" s="100" t="str">
        <f t="shared" si="2"/>
        <v/>
      </c>
      <c r="F986" s="100" t="str">
        <f t="shared" si="3"/>
        <v/>
      </c>
      <c r="G986" s="151"/>
      <c r="H986" s="160"/>
      <c r="I986" s="157"/>
      <c r="J986" s="161"/>
      <c r="L986" s="94"/>
      <c r="M986" s="159"/>
      <c r="N986" s="94"/>
    </row>
    <row r="987">
      <c r="A987" s="107">
        <v>201585.0</v>
      </c>
      <c r="B987" s="108" t="s">
        <v>191</v>
      </c>
      <c r="C987" s="108" t="s">
        <v>406</v>
      </c>
      <c r="D987" s="100" t="str">
        <f t="shared" si="1"/>
        <v/>
      </c>
      <c r="E987" s="100" t="str">
        <f t="shared" si="2"/>
        <v/>
      </c>
      <c r="F987" s="100" t="str">
        <f t="shared" si="3"/>
        <v/>
      </c>
      <c r="G987" s="151"/>
      <c r="H987" s="156"/>
      <c r="I987" s="157"/>
      <c r="J987" s="158"/>
      <c r="L987" s="94"/>
      <c r="M987" s="159"/>
      <c r="N987" s="94"/>
    </row>
    <row r="988">
      <c r="A988" s="107">
        <v>201585.0</v>
      </c>
      <c r="B988" s="108" t="s">
        <v>192</v>
      </c>
      <c r="C988" s="108" t="s">
        <v>406</v>
      </c>
      <c r="D988" s="100" t="str">
        <f t="shared" si="1"/>
        <v/>
      </c>
      <c r="E988" s="100" t="str">
        <f t="shared" si="2"/>
        <v/>
      </c>
      <c r="F988" s="100" t="str">
        <f t="shared" si="3"/>
        <v/>
      </c>
      <c r="G988" s="151"/>
      <c r="H988" s="160"/>
      <c r="I988" s="157"/>
      <c r="J988" s="161"/>
      <c r="L988" s="94"/>
      <c r="M988" s="159"/>
      <c r="N988" s="94"/>
    </row>
    <row r="989">
      <c r="A989" s="107">
        <v>201586.0</v>
      </c>
      <c r="B989" s="108" t="s">
        <v>85</v>
      </c>
      <c r="C989" s="108" t="s">
        <v>407</v>
      </c>
      <c r="D989" s="100" t="str">
        <f t="shared" si="1"/>
        <v/>
      </c>
      <c r="E989" s="100" t="str">
        <f t="shared" si="2"/>
        <v/>
      </c>
      <c r="F989" s="100" t="str">
        <f t="shared" si="3"/>
        <v/>
      </c>
      <c r="G989" s="151"/>
      <c r="H989" s="156"/>
      <c r="I989" s="157"/>
      <c r="J989" s="158"/>
      <c r="L989" s="94"/>
      <c r="M989" s="159"/>
      <c r="N989" s="94"/>
    </row>
    <row r="990">
      <c r="A990" s="107">
        <v>201586.0</v>
      </c>
      <c r="B990" s="108" t="s">
        <v>90</v>
      </c>
      <c r="C990" s="108" t="s">
        <v>407</v>
      </c>
      <c r="D990" s="100" t="str">
        <f t="shared" si="1"/>
        <v/>
      </c>
      <c r="E990" s="100" t="str">
        <f t="shared" si="2"/>
        <v/>
      </c>
      <c r="F990" s="100" t="str">
        <f t="shared" si="3"/>
        <v/>
      </c>
      <c r="G990" s="151"/>
      <c r="H990" s="160"/>
      <c r="I990" s="157"/>
      <c r="J990" s="161"/>
      <c r="L990" s="94"/>
      <c r="M990" s="159"/>
      <c r="N990" s="94"/>
    </row>
    <row r="991">
      <c r="A991" s="107">
        <v>201586.0</v>
      </c>
      <c r="B991" s="108" t="s">
        <v>92</v>
      </c>
      <c r="C991" s="108" t="s">
        <v>407</v>
      </c>
      <c r="D991" s="100" t="str">
        <f t="shared" si="1"/>
        <v/>
      </c>
      <c r="E991" s="100" t="str">
        <f t="shared" si="2"/>
        <v/>
      </c>
      <c r="F991" s="100" t="str">
        <f t="shared" si="3"/>
        <v/>
      </c>
      <c r="G991" s="151"/>
      <c r="H991" s="156"/>
      <c r="I991" s="157"/>
      <c r="J991" s="158"/>
      <c r="L991" s="94"/>
      <c r="M991" s="159"/>
      <c r="N991" s="94"/>
    </row>
    <row r="992">
      <c r="A992" s="107">
        <v>201586.0</v>
      </c>
      <c r="B992" s="108" t="s">
        <v>190</v>
      </c>
      <c r="C992" s="108" t="s">
        <v>407</v>
      </c>
      <c r="D992" s="100" t="str">
        <f t="shared" si="1"/>
        <v/>
      </c>
      <c r="E992" s="100" t="str">
        <f t="shared" si="2"/>
        <v/>
      </c>
      <c r="F992" s="100" t="str">
        <f t="shared" si="3"/>
        <v/>
      </c>
      <c r="G992" s="151"/>
      <c r="H992" s="160"/>
      <c r="I992" s="157"/>
      <c r="J992" s="161"/>
      <c r="L992" s="94"/>
      <c r="M992" s="159"/>
      <c r="N992" s="94"/>
    </row>
    <row r="993">
      <c r="A993" s="107">
        <v>201586.0</v>
      </c>
      <c r="B993" s="108" t="s">
        <v>191</v>
      </c>
      <c r="C993" s="108" t="s">
        <v>407</v>
      </c>
      <c r="D993" s="100" t="str">
        <f t="shared" si="1"/>
        <v/>
      </c>
      <c r="E993" s="100" t="str">
        <f t="shared" si="2"/>
        <v/>
      </c>
      <c r="F993" s="100" t="str">
        <f t="shared" si="3"/>
        <v/>
      </c>
      <c r="G993" s="151"/>
      <c r="H993" s="156"/>
      <c r="I993" s="157"/>
      <c r="J993" s="158"/>
      <c r="L993" s="94"/>
      <c r="M993" s="159"/>
      <c r="N993" s="94"/>
    </row>
    <row r="994">
      <c r="A994" s="107">
        <v>201586.0</v>
      </c>
      <c r="B994" s="108" t="s">
        <v>192</v>
      </c>
      <c r="C994" s="108" t="s">
        <v>407</v>
      </c>
      <c r="D994" s="100" t="str">
        <f t="shared" si="1"/>
        <v/>
      </c>
      <c r="E994" s="100" t="str">
        <f t="shared" si="2"/>
        <v/>
      </c>
      <c r="F994" s="100" t="str">
        <f t="shared" si="3"/>
        <v/>
      </c>
      <c r="G994" s="151"/>
      <c r="H994" s="160"/>
      <c r="I994" s="157"/>
      <c r="J994" s="161"/>
      <c r="L994" s="94"/>
      <c r="M994" s="159"/>
      <c r="N994" s="94"/>
    </row>
    <row r="995">
      <c r="A995" s="107">
        <v>201586.0</v>
      </c>
      <c r="B995" s="108" t="s">
        <v>193</v>
      </c>
      <c r="C995" s="108" t="s">
        <v>407</v>
      </c>
      <c r="D995" s="100" t="str">
        <f t="shared" si="1"/>
        <v/>
      </c>
      <c r="E995" s="100" t="str">
        <f t="shared" si="2"/>
        <v/>
      </c>
      <c r="F995" s="100" t="str">
        <f t="shared" si="3"/>
        <v/>
      </c>
      <c r="G995" s="151"/>
      <c r="H995" s="156"/>
      <c r="I995" s="157"/>
      <c r="J995" s="158"/>
      <c r="L995" s="94"/>
      <c r="M995" s="159"/>
      <c r="N995" s="94"/>
    </row>
    <row r="996">
      <c r="A996" s="107">
        <v>201586.0</v>
      </c>
      <c r="B996" s="108" t="s">
        <v>243</v>
      </c>
      <c r="C996" s="108" t="s">
        <v>407</v>
      </c>
      <c r="D996" s="100" t="str">
        <f t="shared" si="1"/>
        <v/>
      </c>
      <c r="E996" s="100" t="str">
        <f t="shared" si="2"/>
        <v/>
      </c>
      <c r="F996" s="100" t="str">
        <f t="shared" si="3"/>
        <v/>
      </c>
      <c r="G996" s="151"/>
      <c r="H996" s="160"/>
      <c r="I996" s="157"/>
      <c r="J996" s="161"/>
      <c r="L996" s="94"/>
      <c r="M996" s="159"/>
      <c r="N996" s="94"/>
    </row>
    <row r="997">
      <c r="A997" s="107">
        <v>201586.0</v>
      </c>
      <c r="B997" s="108" t="s">
        <v>215</v>
      </c>
      <c r="C997" s="108" t="s">
        <v>407</v>
      </c>
      <c r="D997" s="100" t="str">
        <f t="shared" si="1"/>
        <v/>
      </c>
      <c r="E997" s="100" t="str">
        <f t="shared" si="2"/>
        <v/>
      </c>
      <c r="F997" s="100" t="str">
        <f t="shared" si="3"/>
        <v/>
      </c>
      <c r="G997" s="151"/>
      <c r="H997" s="156"/>
      <c r="I997" s="157"/>
      <c r="J997" s="158"/>
      <c r="L997" s="94"/>
      <c r="M997" s="159"/>
      <c r="N997" s="94"/>
    </row>
    <row r="998">
      <c r="A998" s="107">
        <v>201586.0</v>
      </c>
      <c r="B998" s="108" t="s">
        <v>244</v>
      </c>
      <c r="C998" s="108" t="s">
        <v>407</v>
      </c>
      <c r="D998" s="100" t="str">
        <f t="shared" si="1"/>
        <v/>
      </c>
      <c r="E998" s="100" t="str">
        <f t="shared" si="2"/>
        <v/>
      </c>
      <c r="F998" s="100" t="str">
        <f t="shared" si="3"/>
        <v/>
      </c>
      <c r="G998" s="151"/>
      <c r="H998" s="160"/>
      <c r="I998" s="157"/>
      <c r="J998" s="161"/>
      <c r="L998" s="94"/>
      <c r="M998" s="159"/>
      <c r="N998" s="94"/>
    </row>
    <row r="999">
      <c r="A999" s="107">
        <v>201587.0</v>
      </c>
      <c r="B999" s="108" t="s">
        <v>85</v>
      </c>
      <c r="C999" s="108" t="s">
        <v>408</v>
      </c>
      <c r="D999" s="100" t="str">
        <f t="shared" si="1"/>
        <v/>
      </c>
      <c r="E999" s="100" t="str">
        <f t="shared" si="2"/>
        <v/>
      </c>
      <c r="F999" s="100" t="str">
        <f t="shared" si="3"/>
        <v/>
      </c>
      <c r="G999" s="151"/>
      <c r="H999" s="156"/>
      <c r="I999" s="157"/>
      <c r="J999" s="158"/>
      <c r="L999" s="94"/>
      <c r="M999" s="159"/>
      <c r="N999" s="94"/>
    </row>
    <row r="1000">
      <c r="A1000" s="107">
        <v>201587.0</v>
      </c>
      <c r="B1000" s="108" t="s">
        <v>90</v>
      </c>
      <c r="C1000" s="108" t="s">
        <v>408</v>
      </c>
      <c r="D1000" s="100" t="str">
        <f t="shared" si="1"/>
        <v/>
      </c>
      <c r="E1000" s="100" t="str">
        <f t="shared" si="2"/>
        <v/>
      </c>
      <c r="F1000" s="100" t="str">
        <f t="shared" si="3"/>
        <v/>
      </c>
      <c r="G1000" s="151"/>
      <c r="H1000" s="160"/>
      <c r="I1000" s="157"/>
      <c r="J1000" s="161"/>
      <c r="L1000" s="94"/>
      <c r="M1000" s="159"/>
      <c r="N1000" s="94"/>
    </row>
    <row r="1001">
      <c r="A1001" s="107">
        <v>201587.0</v>
      </c>
      <c r="B1001" s="108" t="s">
        <v>92</v>
      </c>
      <c r="C1001" s="108" t="s">
        <v>408</v>
      </c>
      <c r="D1001" s="100" t="str">
        <f t="shared" si="1"/>
        <v/>
      </c>
      <c r="E1001" s="100" t="str">
        <f t="shared" si="2"/>
        <v/>
      </c>
      <c r="F1001" s="100" t="str">
        <f t="shared" si="3"/>
        <v/>
      </c>
      <c r="G1001" s="151"/>
      <c r="H1001" s="156"/>
      <c r="I1001" s="157"/>
      <c r="J1001" s="158"/>
      <c r="L1001" s="94"/>
      <c r="M1001" s="159"/>
      <c r="N1001" s="94"/>
    </row>
    <row r="1002">
      <c r="A1002" s="107">
        <v>201587.0</v>
      </c>
      <c r="B1002" s="108" t="s">
        <v>190</v>
      </c>
      <c r="C1002" s="108" t="s">
        <v>408</v>
      </c>
      <c r="D1002" s="100" t="str">
        <f t="shared" si="1"/>
        <v/>
      </c>
      <c r="E1002" s="100" t="str">
        <f t="shared" si="2"/>
        <v/>
      </c>
      <c r="F1002" s="100" t="str">
        <f t="shared" si="3"/>
        <v/>
      </c>
      <c r="G1002" s="151"/>
      <c r="H1002" s="160"/>
      <c r="I1002" s="157"/>
      <c r="J1002" s="161"/>
      <c r="L1002" s="94"/>
      <c r="M1002" s="159"/>
      <c r="N1002" s="94"/>
    </row>
    <row r="1003">
      <c r="A1003" s="107">
        <v>201587.0</v>
      </c>
      <c r="B1003" s="108" t="s">
        <v>191</v>
      </c>
      <c r="C1003" s="108" t="s">
        <v>408</v>
      </c>
      <c r="D1003" s="100" t="str">
        <f t="shared" si="1"/>
        <v/>
      </c>
      <c r="E1003" s="100" t="str">
        <f t="shared" si="2"/>
        <v/>
      </c>
      <c r="F1003" s="100" t="str">
        <f t="shared" si="3"/>
        <v/>
      </c>
      <c r="G1003" s="151"/>
      <c r="H1003" s="156"/>
      <c r="I1003" s="157"/>
      <c r="J1003" s="158"/>
      <c r="L1003" s="94"/>
      <c r="M1003" s="159"/>
      <c r="N1003" s="94"/>
    </row>
    <row r="1004">
      <c r="A1004" s="107">
        <v>201587.0</v>
      </c>
      <c r="B1004" s="108" t="s">
        <v>192</v>
      </c>
      <c r="C1004" s="108" t="s">
        <v>408</v>
      </c>
      <c r="D1004" s="100" t="str">
        <f t="shared" si="1"/>
        <v/>
      </c>
      <c r="E1004" s="100" t="str">
        <f t="shared" si="2"/>
        <v/>
      </c>
      <c r="F1004" s="100" t="str">
        <f t="shared" si="3"/>
        <v/>
      </c>
      <c r="G1004" s="151"/>
      <c r="H1004" s="160"/>
      <c r="I1004" s="157"/>
      <c r="J1004" s="161"/>
      <c r="L1004" s="94"/>
      <c r="M1004" s="159"/>
      <c r="N1004" s="94"/>
    </row>
    <row r="1005">
      <c r="A1005" s="107">
        <v>201587.0</v>
      </c>
      <c r="B1005" s="108" t="s">
        <v>193</v>
      </c>
      <c r="C1005" s="108" t="s">
        <v>408</v>
      </c>
      <c r="D1005" s="100" t="str">
        <f t="shared" si="1"/>
        <v/>
      </c>
      <c r="E1005" s="100" t="str">
        <f t="shared" si="2"/>
        <v/>
      </c>
      <c r="F1005" s="100" t="str">
        <f t="shared" si="3"/>
        <v/>
      </c>
      <c r="G1005" s="151"/>
      <c r="H1005" s="156"/>
      <c r="I1005" s="157"/>
      <c r="J1005" s="158"/>
      <c r="L1005" s="94"/>
      <c r="M1005" s="159"/>
      <c r="N1005" s="94"/>
    </row>
    <row r="1006">
      <c r="A1006" s="107">
        <v>201587.0</v>
      </c>
      <c r="B1006" s="108" t="s">
        <v>243</v>
      </c>
      <c r="C1006" s="108" t="s">
        <v>408</v>
      </c>
      <c r="D1006" s="100" t="str">
        <f t="shared" si="1"/>
        <v/>
      </c>
      <c r="E1006" s="100" t="str">
        <f t="shared" si="2"/>
        <v/>
      </c>
      <c r="F1006" s="100" t="str">
        <f t="shared" si="3"/>
        <v/>
      </c>
      <c r="G1006" s="151"/>
      <c r="H1006" s="160"/>
      <c r="I1006" s="157"/>
      <c r="J1006" s="161"/>
      <c r="L1006" s="94"/>
      <c r="M1006" s="159"/>
      <c r="N1006" s="94"/>
    </row>
    <row r="1007">
      <c r="A1007" s="107">
        <v>201587.0</v>
      </c>
      <c r="B1007" s="108" t="s">
        <v>215</v>
      </c>
      <c r="C1007" s="108" t="s">
        <v>408</v>
      </c>
      <c r="D1007" s="100" t="str">
        <f t="shared" si="1"/>
        <v/>
      </c>
      <c r="E1007" s="100" t="str">
        <f t="shared" si="2"/>
        <v/>
      </c>
      <c r="F1007" s="100" t="str">
        <f t="shared" si="3"/>
        <v/>
      </c>
      <c r="G1007" s="151"/>
      <c r="H1007" s="156"/>
      <c r="I1007" s="157"/>
      <c r="J1007" s="158"/>
      <c r="L1007" s="94"/>
      <c r="M1007" s="159"/>
      <c r="N1007" s="94"/>
    </row>
    <row r="1008">
      <c r="A1008" s="107">
        <v>201587.0</v>
      </c>
      <c r="B1008" s="108" t="s">
        <v>244</v>
      </c>
      <c r="C1008" s="108" t="s">
        <v>408</v>
      </c>
      <c r="D1008" s="100" t="str">
        <f t="shared" si="1"/>
        <v/>
      </c>
      <c r="E1008" s="100" t="str">
        <f t="shared" si="2"/>
        <v/>
      </c>
      <c r="F1008" s="100" t="str">
        <f t="shared" si="3"/>
        <v/>
      </c>
      <c r="G1008" s="151"/>
      <c r="H1008" s="160"/>
      <c r="I1008" s="157"/>
      <c r="J1008" s="161"/>
      <c r="L1008" s="94"/>
      <c r="M1008" s="159"/>
      <c r="N1008" s="94"/>
    </row>
    <row r="1009">
      <c r="A1009" s="107">
        <v>201587.0</v>
      </c>
      <c r="B1009" s="108" t="s">
        <v>245</v>
      </c>
      <c r="C1009" s="108" t="s">
        <v>408</v>
      </c>
      <c r="D1009" s="100" t="str">
        <f t="shared" si="1"/>
        <v/>
      </c>
      <c r="E1009" s="100" t="str">
        <f t="shared" si="2"/>
        <v/>
      </c>
      <c r="F1009" s="100" t="str">
        <f t="shared" si="3"/>
        <v/>
      </c>
      <c r="G1009" s="151"/>
      <c r="H1009" s="156"/>
      <c r="I1009" s="157"/>
      <c r="J1009" s="158"/>
      <c r="L1009" s="94"/>
      <c r="M1009" s="159"/>
      <c r="N1009" s="94"/>
    </row>
    <row r="1010">
      <c r="A1010" s="107">
        <v>201587.0</v>
      </c>
      <c r="B1010" s="108" t="s">
        <v>246</v>
      </c>
      <c r="C1010" s="108" t="s">
        <v>408</v>
      </c>
      <c r="D1010" s="100" t="str">
        <f t="shared" si="1"/>
        <v/>
      </c>
      <c r="E1010" s="100" t="str">
        <f t="shared" si="2"/>
        <v/>
      </c>
      <c r="F1010" s="100" t="str">
        <f t="shared" si="3"/>
        <v/>
      </c>
      <c r="G1010" s="151"/>
      <c r="H1010" s="160"/>
      <c r="I1010" s="157"/>
      <c r="J1010" s="161"/>
      <c r="L1010" s="94"/>
      <c r="M1010" s="159"/>
      <c r="N1010" s="94"/>
    </row>
    <row r="1011">
      <c r="A1011" s="114">
        <v>201587.0</v>
      </c>
      <c r="B1011" s="113" t="s">
        <v>247</v>
      </c>
      <c r="C1011" s="113" t="s">
        <v>408</v>
      </c>
      <c r="D1011" s="100" t="str">
        <f t="shared" si="1"/>
        <v/>
      </c>
      <c r="E1011" s="100" t="str">
        <f t="shared" si="2"/>
        <v/>
      </c>
      <c r="F1011" s="100" t="str">
        <f t="shared" si="3"/>
        <v/>
      </c>
      <c r="G1011" s="151"/>
      <c r="H1011" s="156"/>
      <c r="I1011" s="157"/>
      <c r="J1011" s="158"/>
      <c r="L1011" s="94"/>
      <c r="M1011" s="159"/>
      <c r="N1011" s="94"/>
    </row>
    <row r="1012">
      <c r="A1012" s="107">
        <v>201588.0</v>
      </c>
      <c r="B1012" s="108" t="s">
        <v>85</v>
      </c>
      <c r="C1012" s="108" t="s">
        <v>409</v>
      </c>
      <c r="D1012" s="100" t="str">
        <f t="shared" si="1"/>
        <v/>
      </c>
      <c r="E1012" s="100" t="str">
        <f t="shared" si="2"/>
        <v/>
      </c>
      <c r="F1012" s="100" t="str">
        <f t="shared" si="3"/>
        <v/>
      </c>
      <c r="G1012" s="151"/>
      <c r="H1012" s="160"/>
      <c r="I1012" s="157"/>
      <c r="J1012" s="161"/>
      <c r="L1012" s="94"/>
      <c r="M1012" s="159"/>
      <c r="N1012" s="94"/>
    </row>
    <row r="1013">
      <c r="A1013" s="107">
        <v>201588.0</v>
      </c>
      <c r="B1013" s="108" t="s">
        <v>90</v>
      </c>
      <c r="C1013" s="108" t="s">
        <v>409</v>
      </c>
      <c r="D1013" s="100" t="str">
        <f t="shared" si="1"/>
        <v/>
      </c>
      <c r="E1013" s="100" t="str">
        <f t="shared" si="2"/>
        <v/>
      </c>
      <c r="F1013" s="100" t="str">
        <f t="shared" si="3"/>
        <v/>
      </c>
      <c r="G1013" s="151"/>
      <c r="H1013" s="156"/>
      <c r="I1013" s="157"/>
      <c r="J1013" s="158"/>
      <c r="L1013" s="94"/>
      <c r="M1013" s="159"/>
      <c r="N1013" s="94"/>
    </row>
    <row r="1014">
      <c r="A1014" s="107">
        <v>201588.0</v>
      </c>
      <c r="B1014" s="108" t="s">
        <v>92</v>
      </c>
      <c r="C1014" s="108" t="s">
        <v>409</v>
      </c>
      <c r="D1014" s="100" t="str">
        <f t="shared" si="1"/>
        <v/>
      </c>
      <c r="E1014" s="100" t="str">
        <f t="shared" si="2"/>
        <v/>
      </c>
      <c r="F1014" s="100" t="str">
        <f t="shared" si="3"/>
        <v/>
      </c>
      <c r="G1014" s="151"/>
      <c r="H1014" s="160"/>
      <c r="I1014" s="157"/>
      <c r="J1014" s="161"/>
      <c r="L1014" s="94"/>
      <c r="M1014" s="159"/>
      <c r="N1014" s="94"/>
    </row>
    <row r="1015">
      <c r="A1015" s="107">
        <v>201588.0</v>
      </c>
      <c r="B1015" s="108" t="s">
        <v>190</v>
      </c>
      <c r="C1015" s="108" t="s">
        <v>409</v>
      </c>
      <c r="D1015" s="100" t="str">
        <f t="shared" si="1"/>
        <v/>
      </c>
      <c r="E1015" s="100" t="str">
        <f t="shared" si="2"/>
        <v/>
      </c>
      <c r="F1015" s="100" t="str">
        <f t="shared" si="3"/>
        <v/>
      </c>
      <c r="G1015" s="151"/>
      <c r="H1015" s="156"/>
      <c r="I1015" s="157"/>
      <c r="J1015" s="158"/>
      <c r="L1015" s="94"/>
      <c r="M1015" s="159"/>
      <c r="N1015" s="94"/>
    </row>
    <row r="1016">
      <c r="A1016" s="107">
        <v>201588.0</v>
      </c>
      <c r="B1016" s="108" t="s">
        <v>191</v>
      </c>
      <c r="C1016" s="108" t="s">
        <v>409</v>
      </c>
      <c r="D1016" s="100" t="str">
        <f t="shared" si="1"/>
        <v/>
      </c>
      <c r="E1016" s="100" t="str">
        <f t="shared" si="2"/>
        <v/>
      </c>
      <c r="F1016" s="100" t="str">
        <f t="shared" si="3"/>
        <v/>
      </c>
      <c r="G1016" s="151"/>
      <c r="H1016" s="160"/>
      <c r="I1016" s="157"/>
      <c r="J1016" s="161"/>
      <c r="L1016" s="94"/>
      <c r="M1016" s="159"/>
      <c r="N1016" s="94"/>
    </row>
    <row r="1017">
      <c r="A1017" s="107">
        <v>201588.0</v>
      </c>
      <c r="B1017" s="108" t="s">
        <v>192</v>
      </c>
      <c r="C1017" s="108" t="s">
        <v>409</v>
      </c>
      <c r="D1017" s="100" t="str">
        <f t="shared" si="1"/>
        <v/>
      </c>
      <c r="E1017" s="100" t="str">
        <f t="shared" si="2"/>
        <v/>
      </c>
      <c r="F1017" s="100" t="str">
        <f t="shared" si="3"/>
        <v/>
      </c>
      <c r="G1017" s="151"/>
      <c r="H1017" s="156"/>
      <c r="I1017" s="157"/>
      <c r="J1017" s="158"/>
      <c r="L1017" s="94"/>
      <c r="M1017" s="159"/>
      <c r="N1017" s="94"/>
    </row>
    <row r="1018">
      <c r="A1018" s="107">
        <v>201588.0</v>
      </c>
      <c r="B1018" s="108" t="s">
        <v>193</v>
      </c>
      <c r="C1018" s="108" t="s">
        <v>409</v>
      </c>
      <c r="D1018" s="100" t="str">
        <f t="shared" si="1"/>
        <v/>
      </c>
      <c r="E1018" s="100" t="str">
        <f t="shared" si="2"/>
        <v/>
      </c>
      <c r="F1018" s="100" t="str">
        <f t="shared" si="3"/>
        <v/>
      </c>
      <c r="G1018" s="151"/>
      <c r="H1018" s="160"/>
      <c r="I1018" s="157"/>
      <c r="J1018" s="161"/>
      <c r="L1018" s="94"/>
      <c r="M1018" s="159"/>
      <c r="N1018" s="94"/>
    </row>
    <row r="1019">
      <c r="A1019" s="107">
        <v>201588.0</v>
      </c>
      <c r="B1019" s="108" t="s">
        <v>243</v>
      </c>
      <c r="C1019" s="108" t="s">
        <v>409</v>
      </c>
      <c r="D1019" s="100" t="str">
        <f t="shared" si="1"/>
        <v/>
      </c>
      <c r="E1019" s="100" t="str">
        <f t="shared" si="2"/>
        <v/>
      </c>
      <c r="F1019" s="100" t="str">
        <f t="shared" si="3"/>
        <v/>
      </c>
      <c r="G1019" s="151"/>
      <c r="H1019" s="156"/>
      <c r="I1019" s="157"/>
      <c r="J1019" s="158"/>
      <c r="L1019" s="94"/>
      <c r="M1019" s="159"/>
      <c r="N1019" s="94"/>
    </row>
    <row r="1020">
      <c r="A1020" s="107">
        <v>201588.0</v>
      </c>
      <c r="B1020" s="108" t="s">
        <v>215</v>
      </c>
      <c r="C1020" s="108" t="s">
        <v>409</v>
      </c>
      <c r="D1020" s="100" t="str">
        <f t="shared" si="1"/>
        <v/>
      </c>
      <c r="E1020" s="100" t="str">
        <f t="shared" si="2"/>
        <v/>
      </c>
      <c r="F1020" s="100" t="str">
        <f t="shared" si="3"/>
        <v/>
      </c>
      <c r="G1020" s="151"/>
      <c r="H1020" s="160"/>
      <c r="I1020" s="157"/>
      <c r="J1020" s="161"/>
      <c r="L1020" s="94"/>
      <c r="M1020" s="159"/>
      <c r="N1020" s="94"/>
    </row>
    <row r="1021">
      <c r="A1021" s="107">
        <v>201588.0</v>
      </c>
      <c r="B1021" s="108" t="s">
        <v>244</v>
      </c>
      <c r="C1021" s="108" t="s">
        <v>409</v>
      </c>
      <c r="D1021" s="100" t="str">
        <f t="shared" si="1"/>
        <v/>
      </c>
      <c r="E1021" s="100" t="str">
        <f t="shared" si="2"/>
        <v/>
      </c>
      <c r="F1021" s="100" t="str">
        <f t="shared" si="3"/>
        <v/>
      </c>
      <c r="G1021" s="151"/>
      <c r="H1021" s="156"/>
      <c r="I1021" s="157"/>
      <c r="J1021" s="158"/>
      <c r="L1021" s="94"/>
      <c r="M1021" s="159"/>
      <c r="N1021" s="94"/>
    </row>
    <row r="1022">
      <c r="A1022" s="107">
        <v>201589.0</v>
      </c>
      <c r="B1022" s="108" t="s">
        <v>85</v>
      </c>
      <c r="C1022" s="108" t="s">
        <v>410</v>
      </c>
      <c r="D1022" s="100" t="str">
        <f t="shared" si="1"/>
        <v/>
      </c>
      <c r="E1022" s="100" t="str">
        <f t="shared" si="2"/>
        <v/>
      </c>
      <c r="F1022" s="100" t="str">
        <f t="shared" si="3"/>
        <v/>
      </c>
      <c r="G1022" s="151"/>
      <c r="H1022" s="160"/>
      <c r="I1022" s="157"/>
      <c r="J1022" s="161"/>
      <c r="L1022" s="94"/>
      <c r="M1022" s="159"/>
      <c r="N1022" s="94"/>
    </row>
    <row r="1023">
      <c r="A1023" s="107">
        <v>201589.0</v>
      </c>
      <c r="B1023" s="108" t="s">
        <v>90</v>
      </c>
      <c r="C1023" s="108" t="s">
        <v>410</v>
      </c>
      <c r="D1023" s="100" t="str">
        <f t="shared" si="1"/>
        <v/>
      </c>
      <c r="E1023" s="100" t="str">
        <f t="shared" si="2"/>
        <v/>
      </c>
      <c r="F1023" s="100" t="str">
        <f t="shared" si="3"/>
        <v/>
      </c>
      <c r="G1023" s="151"/>
      <c r="H1023" s="156"/>
      <c r="I1023" s="157"/>
      <c r="J1023" s="158"/>
      <c r="L1023" s="94"/>
      <c r="M1023" s="159"/>
      <c r="N1023" s="94"/>
    </row>
    <row r="1024">
      <c r="A1024" s="107">
        <v>201589.0</v>
      </c>
      <c r="B1024" s="108" t="s">
        <v>92</v>
      </c>
      <c r="C1024" s="108" t="s">
        <v>410</v>
      </c>
      <c r="D1024" s="100" t="str">
        <f t="shared" si="1"/>
        <v/>
      </c>
      <c r="E1024" s="100" t="str">
        <f t="shared" si="2"/>
        <v/>
      </c>
      <c r="F1024" s="100" t="str">
        <f t="shared" si="3"/>
        <v/>
      </c>
      <c r="G1024" s="151"/>
      <c r="H1024" s="160"/>
      <c r="I1024" s="157"/>
      <c r="J1024" s="161"/>
      <c r="L1024" s="94"/>
      <c r="M1024" s="159"/>
      <c r="N1024" s="94"/>
    </row>
    <row r="1025">
      <c r="A1025" s="107">
        <v>201589.0</v>
      </c>
      <c r="B1025" s="108" t="s">
        <v>190</v>
      </c>
      <c r="C1025" s="108" t="s">
        <v>410</v>
      </c>
      <c r="D1025" s="100" t="str">
        <f t="shared" si="1"/>
        <v/>
      </c>
      <c r="E1025" s="100" t="str">
        <f t="shared" si="2"/>
        <v/>
      </c>
      <c r="F1025" s="100" t="str">
        <f t="shared" si="3"/>
        <v/>
      </c>
      <c r="G1025" s="151"/>
      <c r="H1025" s="156"/>
      <c r="I1025" s="157"/>
      <c r="J1025" s="158"/>
      <c r="L1025" s="94"/>
      <c r="M1025" s="159"/>
      <c r="N1025" s="94"/>
    </row>
    <row r="1026">
      <c r="A1026" s="107">
        <v>201589.0</v>
      </c>
      <c r="B1026" s="108" t="s">
        <v>191</v>
      </c>
      <c r="C1026" s="108" t="s">
        <v>410</v>
      </c>
      <c r="D1026" s="100" t="str">
        <f t="shared" si="1"/>
        <v/>
      </c>
      <c r="E1026" s="100" t="str">
        <f t="shared" si="2"/>
        <v/>
      </c>
      <c r="F1026" s="100" t="str">
        <f t="shared" si="3"/>
        <v/>
      </c>
      <c r="G1026" s="151"/>
      <c r="H1026" s="160"/>
      <c r="I1026" s="157"/>
      <c r="J1026" s="161"/>
      <c r="L1026" s="94"/>
      <c r="M1026" s="159"/>
      <c r="N1026" s="94"/>
    </row>
    <row r="1027">
      <c r="A1027" s="107">
        <v>201591.0</v>
      </c>
      <c r="B1027" s="108" t="s">
        <v>85</v>
      </c>
      <c r="C1027" s="108" t="s">
        <v>411</v>
      </c>
      <c r="D1027" s="100" t="str">
        <f t="shared" si="1"/>
        <v/>
      </c>
      <c r="E1027" s="100" t="str">
        <f t="shared" si="2"/>
        <v/>
      </c>
      <c r="F1027" s="100" t="str">
        <f t="shared" si="3"/>
        <v/>
      </c>
      <c r="G1027" s="151"/>
      <c r="H1027" s="156"/>
      <c r="I1027" s="157"/>
      <c r="J1027" s="158"/>
      <c r="L1027" s="94"/>
      <c r="M1027" s="159"/>
      <c r="N1027" s="94"/>
    </row>
    <row r="1028">
      <c r="A1028" s="107">
        <v>201593.0</v>
      </c>
      <c r="B1028" s="108" t="s">
        <v>85</v>
      </c>
      <c r="C1028" s="108" t="s">
        <v>412</v>
      </c>
      <c r="D1028" s="100" t="str">
        <f t="shared" si="1"/>
        <v/>
      </c>
      <c r="E1028" s="100" t="str">
        <f t="shared" si="2"/>
        <v/>
      </c>
      <c r="F1028" s="100" t="str">
        <f t="shared" si="3"/>
        <v/>
      </c>
      <c r="G1028" s="151"/>
      <c r="H1028" s="160"/>
      <c r="I1028" s="157"/>
      <c r="J1028" s="161"/>
      <c r="L1028" s="94"/>
      <c r="M1028" s="159"/>
      <c r="N1028" s="94"/>
    </row>
    <row r="1029">
      <c r="A1029" s="107">
        <v>201593.0</v>
      </c>
      <c r="B1029" s="108" t="s">
        <v>90</v>
      </c>
      <c r="C1029" s="108" t="s">
        <v>412</v>
      </c>
      <c r="D1029" s="100" t="str">
        <f t="shared" si="1"/>
        <v/>
      </c>
      <c r="E1029" s="100" t="str">
        <f t="shared" si="2"/>
        <v/>
      </c>
      <c r="F1029" s="100" t="str">
        <f t="shared" si="3"/>
        <v/>
      </c>
      <c r="G1029" s="151"/>
      <c r="H1029" s="156"/>
      <c r="I1029" s="157"/>
      <c r="J1029" s="158"/>
      <c r="L1029" s="94"/>
      <c r="M1029" s="159"/>
      <c r="N1029" s="94"/>
    </row>
    <row r="1030">
      <c r="A1030" s="107">
        <v>201593.0</v>
      </c>
      <c r="B1030" s="108" t="s">
        <v>92</v>
      </c>
      <c r="C1030" s="108" t="s">
        <v>412</v>
      </c>
      <c r="D1030" s="100" t="str">
        <f t="shared" si="1"/>
        <v/>
      </c>
      <c r="E1030" s="100" t="str">
        <f t="shared" si="2"/>
        <v/>
      </c>
      <c r="F1030" s="100" t="str">
        <f t="shared" si="3"/>
        <v/>
      </c>
      <c r="G1030" s="151"/>
      <c r="H1030" s="160"/>
      <c r="I1030" s="157"/>
      <c r="J1030" s="161"/>
      <c r="L1030" s="94"/>
      <c r="M1030" s="159"/>
      <c r="N1030" s="94"/>
    </row>
    <row r="1031">
      <c r="A1031" s="107">
        <v>201595.0</v>
      </c>
      <c r="B1031" s="108" t="s">
        <v>90</v>
      </c>
      <c r="C1031" s="108" t="s">
        <v>413</v>
      </c>
      <c r="D1031" s="100" t="str">
        <f t="shared" si="1"/>
        <v/>
      </c>
      <c r="E1031" s="100" t="str">
        <f t="shared" si="2"/>
        <v/>
      </c>
      <c r="F1031" s="100" t="str">
        <f t="shared" si="3"/>
        <v/>
      </c>
      <c r="G1031" s="151"/>
      <c r="H1031" s="156"/>
      <c r="I1031" s="157"/>
      <c r="J1031" s="158"/>
      <c r="L1031" s="94"/>
      <c r="M1031" s="159"/>
      <c r="N1031" s="94"/>
    </row>
    <row r="1032">
      <c r="A1032" s="107">
        <v>201596.0</v>
      </c>
      <c r="B1032" s="108" t="s">
        <v>85</v>
      </c>
      <c r="C1032" s="108" t="s">
        <v>414</v>
      </c>
      <c r="D1032" s="100" t="str">
        <f t="shared" si="1"/>
        <v/>
      </c>
      <c r="E1032" s="100" t="str">
        <f t="shared" si="2"/>
        <v/>
      </c>
      <c r="F1032" s="100" t="str">
        <f t="shared" si="3"/>
        <v/>
      </c>
      <c r="G1032" s="151"/>
      <c r="H1032" s="160"/>
      <c r="I1032" s="157"/>
      <c r="J1032" s="161"/>
      <c r="L1032" s="94"/>
      <c r="M1032" s="159"/>
      <c r="N1032" s="94"/>
    </row>
    <row r="1033">
      <c r="A1033" s="107">
        <v>201596.0</v>
      </c>
      <c r="B1033" s="108" t="s">
        <v>90</v>
      </c>
      <c r="C1033" s="108" t="s">
        <v>414</v>
      </c>
      <c r="D1033" s="100" t="str">
        <f t="shared" si="1"/>
        <v/>
      </c>
      <c r="E1033" s="100" t="str">
        <f t="shared" si="2"/>
        <v/>
      </c>
      <c r="F1033" s="100" t="str">
        <f t="shared" si="3"/>
        <v/>
      </c>
      <c r="G1033" s="151"/>
      <c r="H1033" s="156"/>
      <c r="I1033" s="157"/>
      <c r="J1033" s="158"/>
      <c r="L1033" s="94"/>
      <c r="M1033" s="159"/>
      <c r="N1033" s="94"/>
    </row>
    <row r="1034">
      <c r="A1034" s="107">
        <v>201596.0</v>
      </c>
      <c r="B1034" s="108" t="s">
        <v>92</v>
      </c>
      <c r="C1034" s="108" t="s">
        <v>414</v>
      </c>
      <c r="D1034" s="100" t="str">
        <f t="shared" si="1"/>
        <v/>
      </c>
      <c r="E1034" s="100" t="str">
        <f t="shared" si="2"/>
        <v/>
      </c>
      <c r="F1034" s="100" t="str">
        <f t="shared" si="3"/>
        <v/>
      </c>
      <c r="G1034" s="151"/>
      <c r="H1034" s="160"/>
      <c r="I1034" s="157"/>
      <c r="J1034" s="161"/>
      <c r="L1034" s="94"/>
      <c r="M1034" s="159"/>
      <c r="N1034" s="94"/>
    </row>
    <row r="1035">
      <c r="A1035" s="107">
        <v>201596.0</v>
      </c>
      <c r="B1035" s="108" t="s">
        <v>191</v>
      </c>
      <c r="C1035" s="108" t="s">
        <v>414</v>
      </c>
      <c r="D1035" s="100" t="str">
        <f t="shared" si="1"/>
        <v/>
      </c>
      <c r="E1035" s="100" t="str">
        <f t="shared" si="2"/>
        <v/>
      </c>
      <c r="F1035" s="100" t="str">
        <f t="shared" si="3"/>
        <v/>
      </c>
      <c r="G1035" s="151"/>
      <c r="H1035" s="156"/>
      <c r="I1035" s="157"/>
      <c r="J1035" s="158"/>
      <c r="L1035" s="94"/>
      <c r="M1035" s="159"/>
      <c r="N1035" s="94"/>
    </row>
    <row r="1036">
      <c r="A1036" s="107">
        <v>201599.0</v>
      </c>
      <c r="B1036" s="108" t="s">
        <v>85</v>
      </c>
      <c r="C1036" s="108" t="s">
        <v>415</v>
      </c>
      <c r="D1036" s="100" t="str">
        <f t="shared" si="1"/>
        <v/>
      </c>
      <c r="E1036" s="100" t="str">
        <f t="shared" si="2"/>
        <v/>
      </c>
      <c r="F1036" s="100" t="str">
        <f t="shared" si="3"/>
        <v/>
      </c>
      <c r="G1036" s="151"/>
      <c r="H1036" s="160"/>
      <c r="I1036" s="157"/>
      <c r="J1036" s="161"/>
      <c r="L1036" s="94"/>
      <c r="M1036" s="159"/>
      <c r="N1036" s="94"/>
    </row>
    <row r="1037">
      <c r="A1037" s="107">
        <v>201599.0</v>
      </c>
      <c r="B1037" s="108" t="s">
        <v>90</v>
      </c>
      <c r="C1037" s="108" t="s">
        <v>415</v>
      </c>
      <c r="D1037" s="100" t="str">
        <f t="shared" si="1"/>
        <v/>
      </c>
      <c r="E1037" s="100" t="str">
        <f t="shared" si="2"/>
        <v/>
      </c>
      <c r="F1037" s="100" t="str">
        <f t="shared" si="3"/>
        <v/>
      </c>
      <c r="G1037" s="151"/>
      <c r="H1037" s="156"/>
      <c r="I1037" s="157"/>
      <c r="J1037" s="158"/>
      <c r="L1037" s="94"/>
      <c r="M1037" s="159"/>
      <c r="N1037" s="94"/>
    </row>
    <row r="1038">
      <c r="A1038" s="107">
        <v>201599.0</v>
      </c>
      <c r="B1038" s="108" t="s">
        <v>92</v>
      </c>
      <c r="C1038" s="108" t="s">
        <v>415</v>
      </c>
      <c r="D1038" s="100" t="str">
        <f t="shared" si="1"/>
        <v/>
      </c>
      <c r="E1038" s="100" t="str">
        <f t="shared" si="2"/>
        <v/>
      </c>
      <c r="F1038" s="100" t="str">
        <f t="shared" si="3"/>
        <v/>
      </c>
      <c r="G1038" s="151"/>
      <c r="H1038" s="160"/>
      <c r="I1038" s="157"/>
      <c r="J1038" s="161"/>
      <c r="L1038" s="94"/>
      <c r="M1038" s="159"/>
      <c r="N1038" s="94"/>
    </row>
    <row r="1039">
      <c r="A1039" s="107">
        <v>201599.0</v>
      </c>
      <c r="B1039" s="108" t="s">
        <v>190</v>
      </c>
      <c r="C1039" s="108" t="s">
        <v>415</v>
      </c>
      <c r="D1039" s="100" t="str">
        <f t="shared" si="1"/>
        <v/>
      </c>
      <c r="E1039" s="100" t="str">
        <f t="shared" si="2"/>
        <v/>
      </c>
      <c r="F1039" s="100" t="str">
        <f t="shared" si="3"/>
        <v/>
      </c>
      <c r="G1039" s="151"/>
      <c r="H1039" s="156"/>
      <c r="I1039" s="157"/>
      <c r="J1039" s="158"/>
      <c r="L1039" s="94"/>
      <c r="M1039" s="159"/>
      <c r="N1039" s="94"/>
    </row>
    <row r="1040">
      <c r="A1040" s="107">
        <v>201599.0</v>
      </c>
      <c r="B1040" s="108" t="s">
        <v>191</v>
      </c>
      <c r="C1040" s="108" t="s">
        <v>415</v>
      </c>
      <c r="D1040" s="100" t="str">
        <f t="shared" si="1"/>
        <v/>
      </c>
      <c r="E1040" s="100" t="str">
        <f t="shared" si="2"/>
        <v/>
      </c>
      <c r="F1040" s="100" t="str">
        <f t="shared" si="3"/>
        <v/>
      </c>
      <c r="G1040" s="151"/>
      <c r="H1040" s="160"/>
      <c r="I1040" s="157"/>
      <c r="J1040" s="161"/>
      <c r="L1040" s="94"/>
      <c r="M1040" s="159"/>
      <c r="N1040" s="94"/>
    </row>
    <row r="1041">
      <c r="A1041" s="107">
        <v>201599.0</v>
      </c>
      <c r="B1041" s="108" t="s">
        <v>192</v>
      </c>
      <c r="C1041" s="108" t="s">
        <v>415</v>
      </c>
      <c r="D1041" s="100" t="str">
        <f t="shared" si="1"/>
        <v/>
      </c>
      <c r="E1041" s="100" t="str">
        <f t="shared" si="2"/>
        <v/>
      </c>
      <c r="F1041" s="100" t="str">
        <f t="shared" si="3"/>
        <v/>
      </c>
      <c r="G1041" s="151"/>
      <c r="H1041" s="156"/>
      <c r="I1041" s="157"/>
      <c r="J1041" s="158"/>
      <c r="L1041" s="94"/>
      <c r="M1041" s="159"/>
      <c r="N1041" s="94"/>
    </row>
    <row r="1042">
      <c r="A1042" s="107">
        <v>201599.0</v>
      </c>
      <c r="B1042" s="108" t="s">
        <v>193</v>
      </c>
      <c r="C1042" s="108" t="s">
        <v>415</v>
      </c>
      <c r="D1042" s="100" t="str">
        <f t="shared" si="1"/>
        <v/>
      </c>
      <c r="E1042" s="100" t="str">
        <f t="shared" si="2"/>
        <v/>
      </c>
      <c r="F1042" s="100" t="str">
        <f t="shared" si="3"/>
        <v/>
      </c>
      <c r="G1042" s="151"/>
      <c r="H1042" s="160"/>
      <c r="I1042" s="157"/>
      <c r="J1042" s="161"/>
      <c r="L1042" s="94"/>
      <c r="M1042" s="159"/>
      <c r="N1042" s="94"/>
    </row>
    <row r="1043">
      <c r="A1043" s="107">
        <v>201599.0</v>
      </c>
      <c r="B1043" s="108" t="s">
        <v>243</v>
      </c>
      <c r="C1043" s="108" t="s">
        <v>415</v>
      </c>
      <c r="D1043" s="100" t="str">
        <f t="shared" si="1"/>
        <v/>
      </c>
      <c r="E1043" s="100" t="str">
        <f t="shared" si="2"/>
        <v/>
      </c>
      <c r="F1043" s="100" t="str">
        <f t="shared" si="3"/>
        <v/>
      </c>
      <c r="G1043" s="151"/>
      <c r="H1043" s="156"/>
      <c r="I1043" s="157"/>
      <c r="J1043" s="158"/>
      <c r="L1043" s="94"/>
      <c r="M1043" s="159"/>
      <c r="N1043" s="94"/>
    </row>
    <row r="1044">
      <c r="A1044" s="107">
        <v>201599.0</v>
      </c>
      <c r="B1044" s="108" t="s">
        <v>215</v>
      </c>
      <c r="C1044" s="108" t="s">
        <v>415</v>
      </c>
      <c r="D1044" s="100" t="str">
        <f t="shared" si="1"/>
        <v/>
      </c>
      <c r="E1044" s="100" t="str">
        <f t="shared" si="2"/>
        <v/>
      </c>
      <c r="F1044" s="100" t="str">
        <f t="shared" si="3"/>
        <v/>
      </c>
      <c r="G1044" s="151"/>
      <c r="H1044" s="160"/>
      <c r="I1044" s="157"/>
      <c r="J1044" s="161"/>
      <c r="L1044" s="94"/>
      <c r="M1044" s="159"/>
      <c r="N1044" s="94"/>
    </row>
    <row r="1045">
      <c r="A1045" s="107">
        <v>201599.0</v>
      </c>
      <c r="B1045" s="108" t="s">
        <v>244</v>
      </c>
      <c r="C1045" s="108" t="s">
        <v>415</v>
      </c>
      <c r="D1045" s="100" t="str">
        <f t="shared" si="1"/>
        <v/>
      </c>
      <c r="E1045" s="100" t="str">
        <f t="shared" si="2"/>
        <v/>
      </c>
      <c r="F1045" s="100" t="str">
        <f t="shared" si="3"/>
        <v/>
      </c>
      <c r="G1045" s="151"/>
      <c r="H1045" s="156"/>
      <c r="I1045" s="157"/>
      <c r="J1045" s="158"/>
      <c r="L1045" s="94"/>
      <c r="M1045" s="159"/>
      <c r="N1045" s="94"/>
    </row>
    <row r="1046">
      <c r="A1046" s="107">
        <v>201599.0</v>
      </c>
      <c r="B1046" s="108" t="s">
        <v>245</v>
      </c>
      <c r="C1046" s="108" t="s">
        <v>415</v>
      </c>
      <c r="D1046" s="100" t="str">
        <f t="shared" si="1"/>
        <v/>
      </c>
      <c r="E1046" s="100" t="str">
        <f t="shared" si="2"/>
        <v/>
      </c>
      <c r="F1046" s="100" t="str">
        <f t="shared" si="3"/>
        <v/>
      </c>
      <c r="G1046" s="151"/>
      <c r="H1046" s="160"/>
      <c r="I1046" s="157"/>
      <c r="J1046" s="161"/>
      <c r="L1046" s="94"/>
      <c r="M1046" s="159"/>
      <c r="N1046" s="94"/>
    </row>
    <row r="1047">
      <c r="A1047" s="107">
        <v>201599.0</v>
      </c>
      <c r="B1047" s="108" t="s">
        <v>246</v>
      </c>
      <c r="C1047" s="108" t="s">
        <v>415</v>
      </c>
      <c r="D1047" s="100" t="str">
        <f t="shared" si="1"/>
        <v/>
      </c>
      <c r="E1047" s="100" t="str">
        <f t="shared" si="2"/>
        <v/>
      </c>
      <c r="F1047" s="100" t="str">
        <f t="shared" si="3"/>
        <v/>
      </c>
      <c r="G1047" s="151"/>
      <c r="H1047" s="156"/>
      <c r="I1047" s="157"/>
      <c r="J1047" s="158"/>
      <c r="L1047" s="94"/>
      <c r="M1047" s="159"/>
      <c r="N1047" s="94"/>
    </row>
    <row r="1048">
      <c r="A1048" s="114">
        <v>201599.0</v>
      </c>
      <c r="B1048" s="113" t="s">
        <v>247</v>
      </c>
      <c r="C1048" s="113" t="s">
        <v>415</v>
      </c>
      <c r="D1048" s="100" t="str">
        <f t="shared" si="1"/>
        <v/>
      </c>
      <c r="E1048" s="100" t="str">
        <f t="shared" si="2"/>
        <v/>
      </c>
      <c r="F1048" s="100" t="str">
        <f t="shared" si="3"/>
        <v/>
      </c>
      <c r="G1048" s="151"/>
      <c r="H1048" s="160"/>
      <c r="I1048" s="157"/>
      <c r="J1048" s="161"/>
      <c r="L1048" s="94"/>
      <c r="M1048" s="159"/>
      <c r="N1048" s="94"/>
    </row>
    <row r="1049">
      <c r="A1049" s="107">
        <v>201600.0</v>
      </c>
      <c r="B1049" s="108" t="s">
        <v>85</v>
      </c>
      <c r="C1049" s="108" t="s">
        <v>416</v>
      </c>
      <c r="D1049" s="100" t="str">
        <f t="shared" si="1"/>
        <v/>
      </c>
      <c r="E1049" s="100" t="str">
        <f t="shared" si="2"/>
        <v/>
      </c>
      <c r="F1049" s="100" t="str">
        <f t="shared" si="3"/>
        <v/>
      </c>
      <c r="G1049" s="151"/>
      <c r="H1049" s="156"/>
      <c r="I1049" s="157"/>
      <c r="J1049" s="158"/>
      <c r="L1049" s="94"/>
      <c r="M1049" s="159"/>
      <c r="N1049" s="94"/>
    </row>
    <row r="1050">
      <c r="A1050" s="107">
        <v>201600.0</v>
      </c>
      <c r="B1050" s="108" t="s">
        <v>90</v>
      </c>
      <c r="C1050" s="108" t="s">
        <v>416</v>
      </c>
      <c r="D1050" s="100" t="str">
        <f t="shared" si="1"/>
        <v/>
      </c>
      <c r="E1050" s="100" t="str">
        <f t="shared" si="2"/>
        <v/>
      </c>
      <c r="F1050" s="100" t="str">
        <f t="shared" si="3"/>
        <v/>
      </c>
      <c r="G1050" s="151"/>
      <c r="H1050" s="160"/>
      <c r="I1050" s="157"/>
      <c r="J1050" s="161"/>
      <c r="L1050" s="94"/>
      <c r="M1050" s="159"/>
      <c r="N1050" s="94"/>
    </row>
    <row r="1051">
      <c r="A1051" s="107">
        <v>201600.0</v>
      </c>
      <c r="B1051" s="108" t="s">
        <v>92</v>
      </c>
      <c r="C1051" s="108" t="s">
        <v>416</v>
      </c>
      <c r="D1051" s="100" t="str">
        <f t="shared" si="1"/>
        <v/>
      </c>
      <c r="E1051" s="100" t="str">
        <f t="shared" si="2"/>
        <v/>
      </c>
      <c r="F1051" s="100" t="str">
        <f t="shared" si="3"/>
        <v/>
      </c>
      <c r="G1051" s="151"/>
      <c r="H1051" s="156"/>
      <c r="I1051" s="157"/>
      <c r="J1051" s="158"/>
      <c r="L1051" s="94"/>
      <c r="M1051" s="159"/>
      <c r="N1051" s="94"/>
    </row>
    <row r="1052">
      <c r="A1052" s="107">
        <v>201600.0</v>
      </c>
      <c r="B1052" s="108" t="s">
        <v>190</v>
      </c>
      <c r="C1052" s="108" t="s">
        <v>416</v>
      </c>
      <c r="D1052" s="100" t="str">
        <f t="shared" si="1"/>
        <v/>
      </c>
      <c r="E1052" s="100" t="str">
        <f t="shared" si="2"/>
        <v/>
      </c>
      <c r="F1052" s="100" t="str">
        <f t="shared" si="3"/>
        <v/>
      </c>
      <c r="G1052" s="151"/>
      <c r="H1052" s="160"/>
      <c r="I1052" s="157"/>
      <c r="J1052" s="161"/>
      <c r="L1052" s="94"/>
      <c r="M1052" s="159"/>
      <c r="N1052" s="94"/>
    </row>
    <row r="1053">
      <c r="A1053" s="107">
        <v>201600.0</v>
      </c>
      <c r="B1053" s="108" t="s">
        <v>191</v>
      </c>
      <c r="C1053" s="108" t="s">
        <v>416</v>
      </c>
      <c r="D1053" s="100" t="str">
        <f t="shared" si="1"/>
        <v/>
      </c>
      <c r="E1053" s="100" t="str">
        <f t="shared" si="2"/>
        <v/>
      </c>
      <c r="F1053" s="100" t="str">
        <f t="shared" si="3"/>
        <v/>
      </c>
      <c r="G1053" s="151"/>
      <c r="H1053" s="156"/>
      <c r="I1053" s="157"/>
      <c r="J1053" s="158"/>
      <c r="L1053" s="94"/>
      <c r="M1053" s="159"/>
      <c r="N1053" s="94"/>
    </row>
    <row r="1054">
      <c r="A1054" s="107">
        <v>201601.0</v>
      </c>
      <c r="B1054" s="108" t="s">
        <v>85</v>
      </c>
      <c r="C1054" s="108" t="s">
        <v>417</v>
      </c>
      <c r="D1054" s="100" t="str">
        <f t="shared" si="1"/>
        <v/>
      </c>
      <c r="E1054" s="100" t="str">
        <f t="shared" si="2"/>
        <v/>
      </c>
      <c r="F1054" s="100" t="str">
        <f t="shared" si="3"/>
        <v/>
      </c>
      <c r="G1054" s="151"/>
      <c r="H1054" s="160"/>
      <c r="I1054" s="157"/>
      <c r="J1054" s="161"/>
      <c r="L1054" s="94"/>
      <c r="M1054" s="159"/>
      <c r="N1054" s="94"/>
    </row>
    <row r="1055">
      <c r="A1055" s="107">
        <v>201601.0</v>
      </c>
      <c r="B1055" s="108" t="s">
        <v>90</v>
      </c>
      <c r="C1055" s="108" t="s">
        <v>417</v>
      </c>
      <c r="D1055" s="100" t="str">
        <f t="shared" si="1"/>
        <v/>
      </c>
      <c r="E1055" s="100" t="str">
        <f t="shared" si="2"/>
        <v/>
      </c>
      <c r="F1055" s="100" t="str">
        <f t="shared" si="3"/>
        <v/>
      </c>
      <c r="G1055" s="151"/>
      <c r="H1055" s="156"/>
      <c r="I1055" s="157"/>
      <c r="J1055" s="158"/>
      <c r="L1055" s="94"/>
      <c r="M1055" s="159"/>
      <c r="N1055" s="94"/>
    </row>
    <row r="1056">
      <c r="A1056" s="107">
        <v>201601.0</v>
      </c>
      <c r="B1056" s="108" t="s">
        <v>92</v>
      </c>
      <c r="C1056" s="108" t="s">
        <v>417</v>
      </c>
      <c r="D1056" s="100" t="str">
        <f t="shared" si="1"/>
        <v/>
      </c>
      <c r="E1056" s="100" t="str">
        <f t="shared" si="2"/>
        <v/>
      </c>
      <c r="F1056" s="100" t="str">
        <f t="shared" si="3"/>
        <v/>
      </c>
      <c r="G1056" s="151"/>
      <c r="H1056" s="160"/>
      <c r="I1056" s="157"/>
      <c r="J1056" s="161"/>
      <c r="L1056" s="94"/>
      <c r="M1056" s="159"/>
      <c r="N1056" s="94"/>
    </row>
    <row r="1057">
      <c r="A1057" s="107">
        <v>201601.0</v>
      </c>
      <c r="B1057" s="108" t="s">
        <v>190</v>
      </c>
      <c r="C1057" s="108" t="s">
        <v>417</v>
      </c>
      <c r="D1057" s="100" t="str">
        <f t="shared" si="1"/>
        <v/>
      </c>
      <c r="E1057" s="100" t="str">
        <f t="shared" si="2"/>
        <v/>
      </c>
      <c r="F1057" s="100" t="str">
        <f t="shared" si="3"/>
        <v/>
      </c>
      <c r="G1057" s="151"/>
      <c r="H1057" s="156"/>
      <c r="I1057" s="157"/>
      <c r="J1057" s="158"/>
      <c r="L1057" s="94"/>
      <c r="M1057" s="159"/>
      <c r="N1057" s="94"/>
    </row>
    <row r="1058">
      <c r="A1058" s="107">
        <v>201601.0</v>
      </c>
      <c r="B1058" s="108" t="s">
        <v>191</v>
      </c>
      <c r="C1058" s="108" t="s">
        <v>417</v>
      </c>
      <c r="D1058" s="100" t="str">
        <f t="shared" si="1"/>
        <v/>
      </c>
      <c r="E1058" s="100" t="str">
        <f t="shared" si="2"/>
        <v/>
      </c>
      <c r="F1058" s="100" t="str">
        <f t="shared" si="3"/>
        <v/>
      </c>
      <c r="G1058" s="151"/>
      <c r="H1058" s="160"/>
      <c r="I1058" s="157"/>
      <c r="J1058" s="161"/>
      <c r="L1058" s="94"/>
      <c r="M1058" s="159"/>
      <c r="N1058" s="94"/>
    </row>
    <row r="1059">
      <c r="A1059" s="107">
        <v>201601.0</v>
      </c>
      <c r="B1059" s="108" t="s">
        <v>192</v>
      </c>
      <c r="C1059" s="108" t="s">
        <v>417</v>
      </c>
      <c r="D1059" s="100" t="str">
        <f t="shared" si="1"/>
        <v/>
      </c>
      <c r="E1059" s="100" t="str">
        <f t="shared" si="2"/>
        <v/>
      </c>
      <c r="F1059" s="100" t="str">
        <f t="shared" si="3"/>
        <v/>
      </c>
      <c r="G1059" s="151"/>
      <c r="H1059" s="156"/>
      <c r="I1059" s="157"/>
      <c r="J1059" s="158"/>
      <c r="L1059" s="94"/>
      <c r="M1059" s="159"/>
      <c r="N1059" s="94"/>
    </row>
    <row r="1060">
      <c r="A1060" s="107">
        <v>201601.0</v>
      </c>
      <c r="B1060" s="108" t="s">
        <v>193</v>
      </c>
      <c r="C1060" s="108" t="s">
        <v>417</v>
      </c>
      <c r="D1060" s="100" t="str">
        <f t="shared" si="1"/>
        <v/>
      </c>
      <c r="E1060" s="100" t="str">
        <f t="shared" si="2"/>
        <v/>
      </c>
      <c r="F1060" s="100" t="str">
        <f t="shared" si="3"/>
        <v/>
      </c>
      <c r="G1060" s="151"/>
      <c r="H1060" s="160"/>
      <c r="I1060" s="157"/>
      <c r="J1060" s="161"/>
      <c r="L1060" s="94"/>
      <c r="M1060" s="159"/>
      <c r="N1060" s="94"/>
    </row>
    <row r="1061">
      <c r="A1061" s="107">
        <v>201603.0</v>
      </c>
      <c r="B1061" s="108" t="s">
        <v>92</v>
      </c>
      <c r="C1061" s="108" t="s">
        <v>418</v>
      </c>
      <c r="D1061" s="100" t="str">
        <f t="shared" si="1"/>
        <v/>
      </c>
      <c r="E1061" s="100" t="str">
        <f t="shared" si="2"/>
        <v/>
      </c>
      <c r="F1061" s="100" t="str">
        <f t="shared" si="3"/>
        <v/>
      </c>
      <c r="G1061" s="151"/>
      <c r="H1061" s="156"/>
      <c r="I1061" s="157"/>
      <c r="J1061" s="158"/>
      <c r="L1061" s="94"/>
      <c r="M1061" s="159"/>
      <c r="N1061" s="94"/>
    </row>
    <row r="1062">
      <c r="A1062" s="107">
        <v>201604.0</v>
      </c>
      <c r="B1062" s="108" t="s">
        <v>85</v>
      </c>
      <c r="C1062" s="108" t="s">
        <v>419</v>
      </c>
      <c r="D1062" s="100" t="str">
        <f t="shared" si="1"/>
        <v/>
      </c>
      <c r="E1062" s="100" t="str">
        <f t="shared" si="2"/>
        <v/>
      </c>
      <c r="F1062" s="100" t="str">
        <f t="shared" si="3"/>
        <v/>
      </c>
      <c r="G1062" s="151"/>
      <c r="H1062" s="160"/>
      <c r="I1062" s="157"/>
      <c r="J1062" s="161"/>
      <c r="L1062" s="94"/>
      <c r="M1062" s="159"/>
      <c r="N1062" s="94"/>
    </row>
    <row r="1063">
      <c r="A1063" s="107">
        <v>201604.0</v>
      </c>
      <c r="B1063" s="108" t="s">
        <v>90</v>
      </c>
      <c r="C1063" s="108" t="s">
        <v>419</v>
      </c>
      <c r="D1063" s="100" t="str">
        <f t="shared" si="1"/>
        <v/>
      </c>
      <c r="E1063" s="100" t="str">
        <f t="shared" si="2"/>
        <v/>
      </c>
      <c r="F1063" s="100" t="str">
        <f t="shared" si="3"/>
        <v/>
      </c>
      <c r="G1063" s="151"/>
      <c r="H1063" s="156"/>
      <c r="I1063" s="157"/>
      <c r="J1063" s="158"/>
      <c r="L1063" s="94"/>
      <c r="M1063" s="159"/>
      <c r="N1063" s="94"/>
    </row>
    <row r="1064">
      <c r="A1064" s="107">
        <v>201609.0</v>
      </c>
      <c r="B1064" s="108" t="s">
        <v>85</v>
      </c>
      <c r="C1064" s="108" t="s">
        <v>420</v>
      </c>
      <c r="D1064" s="100" t="str">
        <f t="shared" si="1"/>
        <v/>
      </c>
      <c r="E1064" s="100" t="str">
        <f t="shared" si="2"/>
        <v/>
      </c>
      <c r="F1064" s="100" t="str">
        <f t="shared" si="3"/>
        <v/>
      </c>
      <c r="G1064" s="151"/>
      <c r="H1064" s="160"/>
      <c r="I1064" s="157"/>
      <c r="J1064" s="161"/>
      <c r="L1064" s="94"/>
      <c r="M1064" s="159"/>
      <c r="N1064" s="94"/>
    </row>
    <row r="1065">
      <c r="A1065" s="107">
        <v>201609.0</v>
      </c>
      <c r="B1065" s="108" t="s">
        <v>90</v>
      </c>
      <c r="C1065" s="108" t="s">
        <v>420</v>
      </c>
      <c r="D1065" s="100" t="str">
        <f t="shared" si="1"/>
        <v/>
      </c>
      <c r="E1065" s="100" t="str">
        <f t="shared" si="2"/>
        <v/>
      </c>
      <c r="F1065" s="100" t="str">
        <f t="shared" si="3"/>
        <v/>
      </c>
      <c r="G1065" s="151"/>
      <c r="H1065" s="156"/>
      <c r="I1065" s="157"/>
      <c r="J1065" s="158"/>
      <c r="L1065" s="94"/>
      <c r="M1065" s="159"/>
      <c r="N1065" s="94"/>
    </row>
    <row r="1066">
      <c r="A1066" s="107">
        <v>201609.0</v>
      </c>
      <c r="B1066" s="108" t="s">
        <v>92</v>
      </c>
      <c r="C1066" s="108" t="s">
        <v>420</v>
      </c>
      <c r="D1066" s="100" t="str">
        <f t="shared" si="1"/>
        <v/>
      </c>
      <c r="E1066" s="100" t="str">
        <f t="shared" si="2"/>
        <v/>
      </c>
      <c r="F1066" s="100" t="str">
        <f t="shared" si="3"/>
        <v/>
      </c>
      <c r="G1066" s="151"/>
      <c r="H1066" s="160"/>
      <c r="I1066" s="157"/>
      <c r="J1066" s="161"/>
      <c r="L1066" s="94"/>
      <c r="M1066" s="159"/>
      <c r="N1066" s="94"/>
    </row>
    <row r="1067">
      <c r="A1067" s="107">
        <v>201609.0</v>
      </c>
      <c r="B1067" s="108" t="s">
        <v>190</v>
      </c>
      <c r="C1067" s="108" t="s">
        <v>420</v>
      </c>
      <c r="D1067" s="100" t="str">
        <f t="shared" si="1"/>
        <v/>
      </c>
      <c r="E1067" s="100" t="str">
        <f t="shared" si="2"/>
        <v/>
      </c>
      <c r="F1067" s="100" t="str">
        <f t="shared" si="3"/>
        <v/>
      </c>
      <c r="G1067" s="151"/>
      <c r="H1067" s="156"/>
      <c r="I1067" s="157"/>
      <c r="J1067" s="158"/>
      <c r="L1067" s="94"/>
      <c r="M1067" s="159"/>
      <c r="N1067" s="94"/>
    </row>
    <row r="1068">
      <c r="A1068" s="107">
        <v>201609.0</v>
      </c>
      <c r="B1068" s="108" t="s">
        <v>191</v>
      </c>
      <c r="C1068" s="108" t="s">
        <v>420</v>
      </c>
      <c r="D1068" s="100" t="str">
        <f t="shared" si="1"/>
        <v/>
      </c>
      <c r="E1068" s="100" t="str">
        <f t="shared" si="2"/>
        <v/>
      </c>
      <c r="F1068" s="100" t="str">
        <f t="shared" si="3"/>
        <v/>
      </c>
      <c r="G1068" s="151"/>
      <c r="H1068" s="160"/>
      <c r="I1068" s="157"/>
      <c r="J1068" s="161"/>
      <c r="L1068" s="94"/>
      <c r="M1068" s="159"/>
      <c r="N1068" s="94"/>
    </row>
    <row r="1069">
      <c r="A1069" s="107">
        <v>201609.0</v>
      </c>
      <c r="B1069" s="108" t="s">
        <v>192</v>
      </c>
      <c r="C1069" s="108" t="s">
        <v>420</v>
      </c>
      <c r="D1069" s="100" t="str">
        <f t="shared" si="1"/>
        <v/>
      </c>
      <c r="E1069" s="100" t="str">
        <f t="shared" si="2"/>
        <v/>
      </c>
      <c r="F1069" s="100" t="str">
        <f t="shared" si="3"/>
        <v/>
      </c>
      <c r="G1069" s="151"/>
      <c r="H1069" s="156"/>
      <c r="I1069" s="157"/>
      <c r="J1069" s="158"/>
      <c r="L1069" s="94"/>
      <c r="M1069" s="159"/>
      <c r="N1069" s="94"/>
    </row>
    <row r="1070">
      <c r="A1070" s="107">
        <v>201609.0</v>
      </c>
      <c r="B1070" s="108" t="s">
        <v>193</v>
      </c>
      <c r="C1070" s="108" t="s">
        <v>420</v>
      </c>
      <c r="D1070" s="100" t="str">
        <f t="shared" si="1"/>
        <v/>
      </c>
      <c r="E1070" s="100" t="str">
        <f t="shared" si="2"/>
        <v/>
      </c>
      <c r="F1070" s="100" t="str">
        <f t="shared" si="3"/>
        <v/>
      </c>
      <c r="G1070" s="151"/>
      <c r="H1070" s="160"/>
      <c r="I1070" s="157"/>
      <c r="J1070" s="161"/>
      <c r="L1070" s="94"/>
      <c r="M1070" s="159"/>
      <c r="N1070" s="94"/>
    </row>
    <row r="1071">
      <c r="A1071" s="107">
        <v>201609.0</v>
      </c>
      <c r="B1071" s="108" t="s">
        <v>243</v>
      </c>
      <c r="C1071" s="108" t="s">
        <v>420</v>
      </c>
      <c r="D1071" s="100" t="str">
        <f t="shared" si="1"/>
        <v/>
      </c>
      <c r="E1071" s="100" t="str">
        <f t="shared" si="2"/>
        <v/>
      </c>
      <c r="F1071" s="100" t="str">
        <f t="shared" si="3"/>
        <v/>
      </c>
      <c r="G1071" s="151"/>
      <c r="H1071" s="156"/>
      <c r="I1071" s="157"/>
      <c r="J1071" s="158"/>
      <c r="L1071" s="94"/>
      <c r="M1071" s="159"/>
      <c r="N1071" s="94"/>
    </row>
    <row r="1072">
      <c r="A1072" s="107">
        <v>201609.0</v>
      </c>
      <c r="B1072" s="108" t="s">
        <v>215</v>
      </c>
      <c r="C1072" s="108" t="s">
        <v>420</v>
      </c>
      <c r="D1072" s="100" t="str">
        <f t="shared" si="1"/>
        <v/>
      </c>
      <c r="E1072" s="100" t="str">
        <f t="shared" si="2"/>
        <v/>
      </c>
      <c r="F1072" s="100" t="str">
        <f t="shared" si="3"/>
        <v/>
      </c>
      <c r="G1072" s="151"/>
      <c r="H1072" s="160"/>
      <c r="I1072" s="157"/>
      <c r="J1072" s="161"/>
      <c r="L1072" s="94"/>
      <c r="M1072" s="159"/>
      <c r="N1072" s="94"/>
    </row>
    <row r="1073">
      <c r="A1073" s="107">
        <v>201609.0</v>
      </c>
      <c r="B1073" s="108" t="s">
        <v>244</v>
      </c>
      <c r="C1073" s="108" t="s">
        <v>420</v>
      </c>
      <c r="D1073" s="100" t="str">
        <f t="shared" si="1"/>
        <v/>
      </c>
      <c r="E1073" s="100" t="str">
        <f t="shared" si="2"/>
        <v/>
      </c>
      <c r="F1073" s="100" t="str">
        <f t="shared" si="3"/>
        <v/>
      </c>
      <c r="G1073" s="151"/>
      <c r="H1073" s="156"/>
      <c r="I1073" s="157"/>
      <c r="J1073" s="158"/>
      <c r="L1073" s="94"/>
      <c r="M1073" s="159"/>
      <c r="N1073" s="94"/>
    </row>
    <row r="1074">
      <c r="A1074" s="107">
        <v>201611.0</v>
      </c>
      <c r="B1074" s="108" t="s">
        <v>90</v>
      </c>
      <c r="C1074" s="108" t="s">
        <v>421</v>
      </c>
      <c r="D1074" s="100" t="str">
        <f t="shared" si="1"/>
        <v/>
      </c>
      <c r="E1074" s="100" t="str">
        <f t="shared" si="2"/>
        <v/>
      </c>
      <c r="F1074" s="100" t="str">
        <f t="shared" si="3"/>
        <v/>
      </c>
      <c r="G1074" s="151"/>
      <c r="H1074" s="160"/>
      <c r="I1074" s="157"/>
      <c r="J1074" s="161"/>
      <c r="L1074" s="94"/>
      <c r="M1074" s="159"/>
      <c r="N1074" s="94"/>
    </row>
    <row r="1075">
      <c r="A1075" s="107">
        <v>201619.0</v>
      </c>
      <c r="B1075" s="108" t="s">
        <v>92</v>
      </c>
      <c r="C1075" s="108" t="s">
        <v>422</v>
      </c>
      <c r="D1075" s="100" t="str">
        <f t="shared" si="1"/>
        <v/>
      </c>
      <c r="E1075" s="100" t="str">
        <f t="shared" si="2"/>
        <v/>
      </c>
      <c r="F1075" s="100" t="str">
        <f t="shared" si="3"/>
        <v/>
      </c>
      <c r="G1075" s="151"/>
      <c r="H1075" s="156"/>
      <c r="I1075" s="157"/>
      <c r="J1075" s="158"/>
      <c r="L1075" s="94"/>
      <c r="M1075" s="159"/>
      <c r="N1075" s="94"/>
    </row>
    <row r="1076">
      <c r="A1076" s="107">
        <v>201627.0</v>
      </c>
      <c r="B1076" s="108" t="s">
        <v>85</v>
      </c>
      <c r="C1076" s="108" t="s">
        <v>423</v>
      </c>
      <c r="D1076" s="100" t="str">
        <f t="shared" si="1"/>
        <v/>
      </c>
      <c r="E1076" s="100" t="str">
        <f t="shared" si="2"/>
        <v/>
      </c>
      <c r="F1076" s="100" t="str">
        <f t="shared" si="3"/>
        <v/>
      </c>
      <c r="G1076" s="151"/>
      <c r="H1076" s="160"/>
      <c r="I1076" s="157"/>
      <c r="J1076" s="161"/>
      <c r="L1076" s="94"/>
      <c r="M1076" s="159"/>
      <c r="N1076" s="94"/>
    </row>
    <row r="1077">
      <c r="A1077" s="107">
        <v>201627.0</v>
      </c>
      <c r="B1077" s="108" t="s">
        <v>90</v>
      </c>
      <c r="C1077" s="108" t="s">
        <v>423</v>
      </c>
      <c r="D1077" s="100" t="str">
        <f t="shared" si="1"/>
        <v/>
      </c>
      <c r="E1077" s="100" t="str">
        <f t="shared" si="2"/>
        <v/>
      </c>
      <c r="F1077" s="100" t="str">
        <f t="shared" si="3"/>
        <v/>
      </c>
      <c r="G1077" s="151"/>
      <c r="H1077" s="156"/>
      <c r="I1077" s="157"/>
      <c r="J1077" s="158"/>
      <c r="L1077" s="94"/>
      <c r="M1077" s="159"/>
      <c r="N1077" s="94"/>
    </row>
    <row r="1078">
      <c r="A1078" s="107">
        <v>201627.0</v>
      </c>
      <c r="B1078" s="108" t="s">
        <v>92</v>
      </c>
      <c r="C1078" s="108" t="s">
        <v>423</v>
      </c>
      <c r="D1078" s="100" t="str">
        <f t="shared" si="1"/>
        <v/>
      </c>
      <c r="E1078" s="100" t="str">
        <f t="shared" si="2"/>
        <v/>
      </c>
      <c r="F1078" s="100" t="str">
        <f t="shared" si="3"/>
        <v/>
      </c>
      <c r="G1078" s="151"/>
      <c r="H1078" s="160"/>
      <c r="I1078" s="157"/>
      <c r="J1078" s="161"/>
      <c r="L1078" s="94"/>
      <c r="M1078" s="159"/>
      <c r="N1078" s="94"/>
    </row>
    <row r="1079">
      <c r="A1079" s="107">
        <v>201627.0</v>
      </c>
      <c r="B1079" s="108" t="s">
        <v>190</v>
      </c>
      <c r="C1079" s="108" t="s">
        <v>423</v>
      </c>
      <c r="D1079" s="100" t="str">
        <f t="shared" si="1"/>
        <v/>
      </c>
      <c r="E1079" s="100" t="str">
        <f t="shared" si="2"/>
        <v/>
      </c>
      <c r="F1079" s="100" t="str">
        <f t="shared" si="3"/>
        <v/>
      </c>
      <c r="G1079" s="151"/>
      <c r="H1079" s="156"/>
      <c r="I1079" s="157"/>
      <c r="J1079" s="158"/>
      <c r="L1079" s="94"/>
      <c r="M1079" s="159"/>
      <c r="N1079" s="94"/>
    </row>
    <row r="1080">
      <c r="A1080" s="107">
        <v>201628.0</v>
      </c>
      <c r="B1080" s="108" t="s">
        <v>190</v>
      </c>
      <c r="C1080" s="108" t="s">
        <v>424</v>
      </c>
      <c r="D1080" s="100" t="str">
        <f t="shared" si="1"/>
        <v/>
      </c>
      <c r="E1080" s="100" t="str">
        <f t="shared" si="2"/>
        <v/>
      </c>
      <c r="F1080" s="100" t="str">
        <f t="shared" si="3"/>
        <v/>
      </c>
      <c r="G1080" s="151"/>
      <c r="H1080" s="160"/>
      <c r="I1080" s="157"/>
      <c r="J1080" s="161"/>
      <c r="L1080" s="94"/>
      <c r="M1080" s="159"/>
      <c r="N1080" s="94"/>
    </row>
    <row r="1081">
      <c r="A1081" s="107">
        <v>201628.0</v>
      </c>
      <c r="B1081" s="108" t="s">
        <v>191</v>
      </c>
      <c r="C1081" s="108" t="s">
        <v>424</v>
      </c>
      <c r="D1081" s="100" t="str">
        <f t="shared" si="1"/>
        <v/>
      </c>
      <c r="E1081" s="100" t="str">
        <f t="shared" si="2"/>
        <v/>
      </c>
      <c r="F1081" s="100" t="str">
        <f t="shared" si="3"/>
        <v/>
      </c>
      <c r="G1081" s="151"/>
      <c r="H1081" s="156"/>
      <c r="I1081" s="157"/>
      <c r="J1081" s="158"/>
      <c r="L1081" s="94"/>
      <c r="M1081" s="159"/>
      <c r="N1081" s="94"/>
    </row>
    <row r="1082">
      <c r="A1082" s="107">
        <v>201785.0</v>
      </c>
      <c r="B1082" s="108" t="s">
        <v>85</v>
      </c>
      <c r="C1082" s="108" t="s">
        <v>425</v>
      </c>
      <c r="D1082" s="100" t="str">
        <f t="shared" si="1"/>
        <v/>
      </c>
      <c r="E1082" s="100" t="str">
        <f t="shared" si="2"/>
        <v/>
      </c>
      <c r="F1082" s="100" t="str">
        <f t="shared" si="3"/>
        <v/>
      </c>
      <c r="G1082" s="151"/>
      <c r="H1082" s="160"/>
      <c r="I1082" s="157"/>
      <c r="J1082" s="161"/>
      <c r="L1082" s="94"/>
      <c r="M1082" s="159"/>
      <c r="N1082" s="94"/>
    </row>
    <row r="1083">
      <c r="A1083" s="107">
        <v>201858.0</v>
      </c>
      <c r="B1083" s="108" t="s">
        <v>85</v>
      </c>
      <c r="C1083" s="108" t="s">
        <v>426</v>
      </c>
      <c r="D1083" s="100" t="str">
        <f t="shared" si="1"/>
        <v/>
      </c>
      <c r="E1083" s="100" t="str">
        <f t="shared" si="2"/>
        <v/>
      </c>
      <c r="F1083" s="100" t="str">
        <f t="shared" si="3"/>
        <v/>
      </c>
      <c r="G1083" s="151"/>
      <c r="H1083" s="156"/>
      <c r="I1083" s="157"/>
      <c r="J1083" s="158"/>
      <c r="L1083" s="94"/>
      <c r="M1083" s="159"/>
      <c r="N1083" s="94"/>
    </row>
    <row r="1084">
      <c r="A1084" s="107">
        <v>201858.0</v>
      </c>
      <c r="B1084" s="108" t="s">
        <v>90</v>
      </c>
      <c r="C1084" s="108" t="s">
        <v>426</v>
      </c>
      <c r="D1084" s="100" t="str">
        <f t="shared" si="1"/>
        <v/>
      </c>
      <c r="E1084" s="100" t="str">
        <f t="shared" si="2"/>
        <v/>
      </c>
      <c r="F1084" s="100" t="str">
        <f t="shared" si="3"/>
        <v/>
      </c>
      <c r="G1084" s="151"/>
      <c r="H1084" s="160"/>
      <c r="I1084" s="157"/>
      <c r="J1084" s="161"/>
      <c r="L1084" s="94"/>
      <c r="M1084" s="159"/>
      <c r="N1084" s="94"/>
    </row>
    <row r="1085">
      <c r="A1085" s="107">
        <v>201880.0</v>
      </c>
      <c r="B1085" s="108" t="s">
        <v>85</v>
      </c>
      <c r="C1085" s="108" t="s">
        <v>427</v>
      </c>
      <c r="D1085" s="100" t="str">
        <f t="shared" si="1"/>
        <v/>
      </c>
      <c r="E1085" s="100" t="str">
        <f t="shared" si="2"/>
        <v/>
      </c>
      <c r="F1085" s="100" t="str">
        <f t="shared" si="3"/>
        <v/>
      </c>
      <c r="G1085" s="151"/>
      <c r="H1085" s="156"/>
      <c r="I1085" s="157"/>
      <c r="J1085" s="158"/>
      <c r="L1085" s="94"/>
      <c r="M1085" s="159"/>
      <c r="N1085" s="94"/>
    </row>
    <row r="1086">
      <c r="A1086" s="107">
        <v>201880.0</v>
      </c>
      <c r="B1086" s="108" t="s">
        <v>90</v>
      </c>
      <c r="C1086" s="108" t="s">
        <v>427</v>
      </c>
      <c r="D1086" s="100" t="str">
        <f t="shared" si="1"/>
        <v/>
      </c>
      <c r="E1086" s="100" t="str">
        <f t="shared" si="2"/>
        <v/>
      </c>
      <c r="F1086" s="100" t="str">
        <f t="shared" si="3"/>
        <v/>
      </c>
      <c r="G1086" s="151"/>
      <c r="H1086" s="160"/>
      <c r="I1086" s="157"/>
      <c r="J1086" s="161"/>
      <c r="L1086" s="94"/>
      <c r="M1086" s="159"/>
      <c r="N1086" s="94"/>
    </row>
    <row r="1087">
      <c r="A1087" s="107">
        <v>201933.0</v>
      </c>
      <c r="B1087" s="108" t="s">
        <v>85</v>
      </c>
      <c r="C1087" s="108" t="s">
        <v>428</v>
      </c>
      <c r="D1087" s="100" t="str">
        <f t="shared" si="1"/>
        <v/>
      </c>
      <c r="E1087" s="100" t="str">
        <f t="shared" si="2"/>
        <v/>
      </c>
      <c r="F1087" s="100" t="str">
        <f t="shared" si="3"/>
        <v/>
      </c>
      <c r="G1087" s="151"/>
      <c r="H1087" s="156"/>
      <c r="I1087" s="157"/>
      <c r="J1087" s="158"/>
      <c r="L1087" s="94"/>
      <c r="M1087" s="159"/>
      <c r="N1087" s="94"/>
    </row>
    <row r="1088">
      <c r="A1088" s="107">
        <v>201933.0</v>
      </c>
      <c r="B1088" s="108" t="s">
        <v>90</v>
      </c>
      <c r="C1088" s="108" t="s">
        <v>428</v>
      </c>
      <c r="D1088" s="100" t="str">
        <f t="shared" si="1"/>
        <v/>
      </c>
      <c r="E1088" s="100" t="str">
        <f t="shared" si="2"/>
        <v/>
      </c>
      <c r="F1088" s="100" t="str">
        <f t="shared" si="3"/>
        <v/>
      </c>
      <c r="G1088" s="151"/>
      <c r="H1088" s="160"/>
      <c r="I1088" s="157"/>
      <c r="J1088" s="161"/>
      <c r="L1088" s="94"/>
      <c r="M1088" s="159"/>
      <c r="N1088" s="94"/>
    </row>
    <row r="1089">
      <c r="A1089" s="107">
        <v>201933.0</v>
      </c>
      <c r="B1089" s="108" t="s">
        <v>92</v>
      </c>
      <c r="C1089" s="108" t="s">
        <v>428</v>
      </c>
      <c r="D1089" s="100" t="str">
        <f t="shared" si="1"/>
        <v/>
      </c>
      <c r="E1089" s="100" t="str">
        <f t="shared" si="2"/>
        <v/>
      </c>
      <c r="F1089" s="100" t="str">
        <f t="shared" si="3"/>
        <v/>
      </c>
      <c r="G1089" s="151"/>
      <c r="H1089" s="156"/>
      <c r="I1089" s="157"/>
      <c r="J1089" s="158"/>
      <c r="L1089" s="94"/>
      <c r="M1089" s="159"/>
      <c r="N1089" s="94"/>
    </row>
    <row r="1090">
      <c r="A1090" s="107">
        <v>201933.0</v>
      </c>
      <c r="B1090" s="108" t="s">
        <v>190</v>
      </c>
      <c r="C1090" s="108" t="s">
        <v>428</v>
      </c>
      <c r="D1090" s="100" t="str">
        <f t="shared" si="1"/>
        <v/>
      </c>
      <c r="E1090" s="100" t="str">
        <f t="shared" si="2"/>
        <v/>
      </c>
      <c r="F1090" s="100" t="str">
        <f t="shared" si="3"/>
        <v/>
      </c>
      <c r="G1090" s="151"/>
      <c r="H1090" s="160"/>
      <c r="I1090" s="157"/>
      <c r="J1090" s="161"/>
      <c r="L1090" s="94"/>
      <c r="M1090" s="159"/>
      <c r="N1090" s="94"/>
    </row>
    <row r="1091">
      <c r="A1091" s="107">
        <v>201933.0</v>
      </c>
      <c r="B1091" s="108" t="s">
        <v>191</v>
      </c>
      <c r="C1091" s="108" t="s">
        <v>428</v>
      </c>
      <c r="D1091" s="100" t="str">
        <f t="shared" si="1"/>
        <v/>
      </c>
      <c r="E1091" s="100" t="str">
        <f t="shared" si="2"/>
        <v/>
      </c>
      <c r="F1091" s="100" t="str">
        <f t="shared" si="3"/>
        <v/>
      </c>
      <c r="G1091" s="151"/>
      <c r="H1091" s="156"/>
      <c r="I1091" s="157"/>
      <c r="J1091" s="158"/>
      <c r="L1091" s="94"/>
      <c r="M1091" s="159"/>
      <c r="N1091" s="94"/>
    </row>
    <row r="1092">
      <c r="A1092" s="107">
        <v>201933.0</v>
      </c>
      <c r="B1092" s="108" t="s">
        <v>192</v>
      </c>
      <c r="C1092" s="108" t="s">
        <v>428</v>
      </c>
      <c r="D1092" s="100" t="str">
        <f t="shared" si="1"/>
        <v/>
      </c>
      <c r="E1092" s="100" t="str">
        <f t="shared" si="2"/>
        <v/>
      </c>
      <c r="F1092" s="100" t="str">
        <f t="shared" si="3"/>
        <v/>
      </c>
      <c r="G1092" s="151"/>
      <c r="H1092" s="160"/>
      <c r="I1092" s="157"/>
      <c r="J1092" s="161"/>
      <c r="L1092" s="94"/>
      <c r="M1092" s="159"/>
      <c r="N1092" s="94"/>
    </row>
    <row r="1093">
      <c r="A1093" s="107">
        <v>201933.0</v>
      </c>
      <c r="B1093" s="108" t="s">
        <v>193</v>
      </c>
      <c r="C1093" s="108" t="s">
        <v>428</v>
      </c>
      <c r="D1093" s="100" t="str">
        <f t="shared" si="1"/>
        <v/>
      </c>
      <c r="E1093" s="100" t="str">
        <f t="shared" si="2"/>
        <v/>
      </c>
      <c r="F1093" s="100" t="str">
        <f t="shared" si="3"/>
        <v/>
      </c>
      <c r="G1093" s="151"/>
      <c r="H1093" s="156"/>
      <c r="I1093" s="157"/>
      <c r="J1093" s="158"/>
      <c r="L1093" s="94"/>
      <c r="M1093" s="159"/>
      <c r="N1093" s="94"/>
    </row>
    <row r="1094">
      <c r="A1094" s="107">
        <v>201933.0</v>
      </c>
      <c r="B1094" s="108" t="s">
        <v>243</v>
      </c>
      <c r="C1094" s="108" t="s">
        <v>428</v>
      </c>
      <c r="D1094" s="100" t="str">
        <f t="shared" si="1"/>
        <v/>
      </c>
      <c r="E1094" s="100" t="str">
        <f t="shared" si="2"/>
        <v/>
      </c>
      <c r="F1094" s="100" t="str">
        <f t="shared" si="3"/>
        <v/>
      </c>
      <c r="G1094" s="151"/>
      <c r="H1094" s="160"/>
      <c r="I1094" s="157"/>
      <c r="J1094" s="161"/>
      <c r="L1094" s="94"/>
      <c r="M1094" s="159"/>
      <c r="N1094" s="94"/>
    </row>
    <row r="1095">
      <c r="A1095" s="107">
        <v>201933.0</v>
      </c>
      <c r="B1095" s="108" t="s">
        <v>215</v>
      </c>
      <c r="C1095" s="108" t="s">
        <v>428</v>
      </c>
      <c r="D1095" s="100" t="str">
        <f t="shared" si="1"/>
        <v/>
      </c>
      <c r="E1095" s="100" t="str">
        <f t="shared" si="2"/>
        <v/>
      </c>
      <c r="F1095" s="100" t="str">
        <f t="shared" si="3"/>
        <v/>
      </c>
      <c r="G1095" s="151"/>
      <c r="H1095" s="156"/>
      <c r="I1095" s="157"/>
      <c r="J1095" s="158"/>
      <c r="L1095" s="94"/>
      <c r="M1095" s="159"/>
      <c r="N1095" s="94"/>
    </row>
    <row r="1096">
      <c r="A1096" s="107">
        <v>201933.0</v>
      </c>
      <c r="B1096" s="108" t="s">
        <v>244</v>
      </c>
      <c r="C1096" s="108" t="s">
        <v>428</v>
      </c>
      <c r="D1096" s="100" t="str">
        <f t="shared" si="1"/>
        <v/>
      </c>
      <c r="E1096" s="100" t="str">
        <f t="shared" si="2"/>
        <v/>
      </c>
      <c r="F1096" s="100" t="str">
        <f t="shared" si="3"/>
        <v/>
      </c>
      <c r="G1096" s="151"/>
      <c r="H1096" s="160"/>
      <c r="I1096" s="157"/>
      <c r="J1096" s="161"/>
      <c r="L1096" s="94"/>
      <c r="M1096" s="159"/>
      <c r="N1096" s="94"/>
    </row>
    <row r="1097">
      <c r="A1097" s="107">
        <v>201934.0</v>
      </c>
      <c r="B1097" s="108" t="s">
        <v>85</v>
      </c>
      <c r="C1097" s="108" t="s">
        <v>429</v>
      </c>
      <c r="D1097" s="100" t="str">
        <f t="shared" si="1"/>
        <v/>
      </c>
      <c r="E1097" s="100" t="str">
        <f t="shared" si="2"/>
        <v/>
      </c>
      <c r="F1097" s="100" t="str">
        <f t="shared" si="3"/>
        <v/>
      </c>
      <c r="G1097" s="151"/>
      <c r="H1097" s="156"/>
      <c r="I1097" s="157"/>
      <c r="J1097" s="158"/>
      <c r="L1097" s="94"/>
      <c r="M1097" s="159"/>
      <c r="N1097" s="94"/>
    </row>
    <row r="1098">
      <c r="A1098" s="107">
        <v>201935.0</v>
      </c>
      <c r="B1098" s="108" t="s">
        <v>85</v>
      </c>
      <c r="C1098" s="108" t="s">
        <v>430</v>
      </c>
      <c r="D1098" s="100" t="str">
        <f t="shared" si="1"/>
        <v/>
      </c>
      <c r="E1098" s="100" t="str">
        <f t="shared" si="2"/>
        <v/>
      </c>
      <c r="F1098" s="100" t="str">
        <f t="shared" si="3"/>
        <v/>
      </c>
      <c r="G1098" s="151"/>
      <c r="H1098" s="160"/>
      <c r="I1098" s="157"/>
      <c r="J1098" s="161"/>
      <c r="L1098" s="94"/>
      <c r="M1098" s="159"/>
      <c r="N1098" s="94"/>
    </row>
    <row r="1099">
      <c r="A1099" s="107">
        <v>201935.0</v>
      </c>
      <c r="B1099" s="108" t="s">
        <v>90</v>
      </c>
      <c r="C1099" s="108" t="s">
        <v>430</v>
      </c>
      <c r="D1099" s="100" t="str">
        <f t="shared" si="1"/>
        <v/>
      </c>
      <c r="E1099" s="100" t="str">
        <f t="shared" si="2"/>
        <v/>
      </c>
      <c r="F1099" s="100" t="str">
        <f t="shared" si="3"/>
        <v/>
      </c>
      <c r="G1099" s="151"/>
      <c r="H1099" s="156"/>
      <c r="I1099" s="157"/>
      <c r="J1099" s="158"/>
      <c r="L1099" s="94"/>
      <c r="M1099" s="159"/>
      <c r="N1099" s="94"/>
    </row>
    <row r="1100">
      <c r="A1100" s="107">
        <v>201935.0</v>
      </c>
      <c r="B1100" s="108" t="s">
        <v>92</v>
      </c>
      <c r="C1100" s="108" t="s">
        <v>430</v>
      </c>
      <c r="D1100" s="100" t="str">
        <f t="shared" si="1"/>
        <v/>
      </c>
      <c r="E1100" s="100" t="str">
        <f t="shared" si="2"/>
        <v/>
      </c>
      <c r="F1100" s="100" t="str">
        <f t="shared" si="3"/>
        <v/>
      </c>
      <c r="G1100" s="151"/>
      <c r="H1100" s="160"/>
      <c r="I1100" s="157"/>
      <c r="J1100" s="161"/>
      <c r="L1100" s="94"/>
      <c r="M1100" s="159"/>
      <c r="N1100" s="94"/>
    </row>
    <row r="1101">
      <c r="A1101" s="107">
        <v>201935.0</v>
      </c>
      <c r="B1101" s="108" t="s">
        <v>190</v>
      </c>
      <c r="C1101" s="108" t="s">
        <v>430</v>
      </c>
      <c r="D1101" s="100" t="str">
        <f t="shared" si="1"/>
        <v/>
      </c>
      <c r="E1101" s="100" t="str">
        <f t="shared" si="2"/>
        <v/>
      </c>
      <c r="F1101" s="100" t="str">
        <f t="shared" si="3"/>
        <v/>
      </c>
      <c r="G1101" s="151"/>
      <c r="H1101" s="156"/>
      <c r="I1101" s="157"/>
      <c r="J1101" s="158"/>
      <c r="L1101" s="94"/>
      <c r="M1101" s="159"/>
      <c r="N1101" s="94"/>
    </row>
    <row r="1102">
      <c r="A1102" s="107">
        <v>201935.0</v>
      </c>
      <c r="B1102" s="108" t="s">
        <v>191</v>
      </c>
      <c r="C1102" s="108" t="s">
        <v>430</v>
      </c>
      <c r="D1102" s="100" t="str">
        <f t="shared" si="1"/>
        <v/>
      </c>
      <c r="E1102" s="100" t="str">
        <f t="shared" si="2"/>
        <v/>
      </c>
      <c r="F1102" s="100" t="str">
        <f t="shared" si="3"/>
        <v/>
      </c>
      <c r="G1102" s="151"/>
      <c r="H1102" s="160"/>
      <c r="I1102" s="157"/>
      <c r="J1102" s="161"/>
      <c r="L1102" s="94"/>
      <c r="M1102" s="159"/>
      <c r="N1102" s="94"/>
    </row>
    <row r="1103">
      <c r="A1103" s="107">
        <v>201935.0</v>
      </c>
      <c r="B1103" s="108" t="s">
        <v>192</v>
      </c>
      <c r="C1103" s="108" t="s">
        <v>430</v>
      </c>
      <c r="D1103" s="100" t="str">
        <f t="shared" si="1"/>
        <v/>
      </c>
      <c r="E1103" s="100" t="str">
        <f t="shared" si="2"/>
        <v/>
      </c>
      <c r="F1103" s="100" t="str">
        <f t="shared" si="3"/>
        <v/>
      </c>
      <c r="G1103" s="151"/>
      <c r="H1103" s="156"/>
      <c r="I1103" s="157"/>
      <c r="J1103" s="158"/>
      <c r="L1103" s="94"/>
      <c r="M1103" s="159"/>
      <c r="N1103" s="94"/>
    </row>
    <row r="1104">
      <c r="A1104" s="107">
        <v>201935.0</v>
      </c>
      <c r="B1104" s="108" t="s">
        <v>193</v>
      </c>
      <c r="C1104" s="108" t="s">
        <v>430</v>
      </c>
      <c r="D1104" s="100" t="str">
        <f t="shared" si="1"/>
        <v/>
      </c>
      <c r="E1104" s="100" t="str">
        <f t="shared" si="2"/>
        <v/>
      </c>
      <c r="F1104" s="100" t="str">
        <f t="shared" si="3"/>
        <v/>
      </c>
      <c r="G1104" s="151"/>
      <c r="H1104" s="160"/>
      <c r="I1104" s="157"/>
      <c r="J1104" s="161"/>
      <c r="L1104" s="94"/>
      <c r="M1104" s="159"/>
      <c r="N1104" s="94"/>
    </row>
    <row r="1105">
      <c r="A1105" s="107">
        <v>201935.0</v>
      </c>
      <c r="B1105" s="108" t="s">
        <v>243</v>
      </c>
      <c r="C1105" s="108" t="s">
        <v>430</v>
      </c>
      <c r="D1105" s="100" t="str">
        <f t="shared" si="1"/>
        <v/>
      </c>
      <c r="E1105" s="100" t="str">
        <f t="shared" si="2"/>
        <v/>
      </c>
      <c r="F1105" s="100" t="str">
        <f t="shared" si="3"/>
        <v/>
      </c>
      <c r="G1105" s="151"/>
      <c r="H1105" s="156"/>
      <c r="I1105" s="157"/>
      <c r="J1105" s="158"/>
      <c r="L1105" s="94"/>
      <c r="M1105" s="159"/>
      <c r="N1105" s="94"/>
    </row>
    <row r="1106">
      <c r="A1106" s="107">
        <v>201935.0</v>
      </c>
      <c r="B1106" s="108" t="s">
        <v>215</v>
      </c>
      <c r="C1106" s="108" t="s">
        <v>430</v>
      </c>
      <c r="D1106" s="100" t="str">
        <f t="shared" si="1"/>
        <v/>
      </c>
      <c r="E1106" s="100" t="str">
        <f t="shared" si="2"/>
        <v/>
      </c>
      <c r="F1106" s="100" t="str">
        <f t="shared" si="3"/>
        <v/>
      </c>
      <c r="G1106" s="151"/>
      <c r="H1106" s="160"/>
      <c r="I1106" s="157"/>
      <c r="J1106" s="161"/>
      <c r="L1106" s="94"/>
      <c r="M1106" s="159"/>
      <c r="N1106" s="94"/>
    </row>
    <row r="1107">
      <c r="A1107" s="107">
        <v>201935.0</v>
      </c>
      <c r="B1107" s="108" t="s">
        <v>244</v>
      </c>
      <c r="C1107" s="108" t="s">
        <v>430</v>
      </c>
      <c r="D1107" s="100" t="str">
        <f t="shared" si="1"/>
        <v/>
      </c>
      <c r="E1107" s="100" t="str">
        <f t="shared" si="2"/>
        <v/>
      </c>
      <c r="F1107" s="100" t="str">
        <f t="shared" si="3"/>
        <v/>
      </c>
      <c r="G1107" s="151"/>
      <c r="H1107" s="156"/>
      <c r="I1107" s="157"/>
      <c r="J1107" s="158"/>
      <c r="L1107" s="94"/>
      <c r="M1107" s="159"/>
      <c r="N1107" s="94"/>
    </row>
    <row r="1108">
      <c r="A1108" s="107">
        <v>201935.0</v>
      </c>
      <c r="B1108" s="108" t="s">
        <v>245</v>
      </c>
      <c r="C1108" s="108" t="s">
        <v>430</v>
      </c>
      <c r="D1108" s="100" t="str">
        <f t="shared" si="1"/>
        <v/>
      </c>
      <c r="E1108" s="100" t="str">
        <f t="shared" si="2"/>
        <v/>
      </c>
      <c r="F1108" s="100" t="str">
        <f t="shared" si="3"/>
        <v/>
      </c>
      <c r="G1108" s="151"/>
      <c r="H1108" s="160"/>
      <c r="I1108" s="157"/>
      <c r="J1108" s="161"/>
      <c r="L1108" s="94"/>
      <c r="M1108" s="159"/>
      <c r="N1108" s="94"/>
    </row>
    <row r="1109">
      <c r="A1109" s="107">
        <v>201935.0</v>
      </c>
      <c r="B1109" s="108" t="s">
        <v>246</v>
      </c>
      <c r="C1109" s="108" t="s">
        <v>430</v>
      </c>
      <c r="D1109" s="100" t="str">
        <f t="shared" si="1"/>
        <v/>
      </c>
      <c r="E1109" s="100" t="str">
        <f t="shared" si="2"/>
        <v/>
      </c>
      <c r="F1109" s="100" t="str">
        <f t="shared" si="3"/>
        <v/>
      </c>
      <c r="G1109" s="151"/>
      <c r="H1109" s="156"/>
      <c r="I1109" s="157"/>
      <c r="J1109" s="158"/>
      <c r="L1109" s="94"/>
      <c r="M1109" s="159"/>
      <c r="N1109" s="94"/>
    </row>
    <row r="1110">
      <c r="A1110" s="114">
        <v>201935.0</v>
      </c>
      <c r="B1110" s="113" t="s">
        <v>247</v>
      </c>
      <c r="C1110" s="113" t="s">
        <v>430</v>
      </c>
      <c r="D1110" s="100" t="str">
        <f t="shared" si="1"/>
        <v/>
      </c>
      <c r="E1110" s="100" t="str">
        <f t="shared" si="2"/>
        <v/>
      </c>
      <c r="F1110" s="100" t="str">
        <f t="shared" si="3"/>
        <v/>
      </c>
      <c r="G1110" s="151"/>
      <c r="H1110" s="160"/>
      <c r="I1110" s="157"/>
      <c r="J1110" s="161"/>
      <c r="L1110" s="94"/>
      <c r="M1110" s="159"/>
      <c r="N1110" s="94"/>
    </row>
    <row r="1111">
      <c r="A1111" s="107">
        <v>201936.0</v>
      </c>
      <c r="B1111" s="108" t="s">
        <v>85</v>
      </c>
      <c r="C1111" s="108" t="s">
        <v>431</v>
      </c>
      <c r="D1111" s="100" t="str">
        <f t="shared" si="1"/>
        <v/>
      </c>
      <c r="E1111" s="100" t="str">
        <f t="shared" si="2"/>
        <v/>
      </c>
      <c r="F1111" s="100" t="str">
        <f t="shared" si="3"/>
        <v/>
      </c>
      <c r="G1111" s="151"/>
      <c r="H1111" s="156"/>
      <c r="I1111" s="157"/>
      <c r="J1111" s="158"/>
      <c r="L1111" s="94"/>
      <c r="M1111" s="159"/>
      <c r="N1111" s="94"/>
    </row>
    <row r="1112">
      <c r="A1112" s="107">
        <v>201936.0</v>
      </c>
      <c r="B1112" s="108" t="s">
        <v>90</v>
      </c>
      <c r="C1112" s="108" t="s">
        <v>431</v>
      </c>
      <c r="D1112" s="100" t="str">
        <f t="shared" si="1"/>
        <v/>
      </c>
      <c r="E1112" s="100" t="str">
        <f t="shared" si="2"/>
        <v/>
      </c>
      <c r="F1112" s="100" t="str">
        <f t="shared" si="3"/>
        <v/>
      </c>
      <c r="G1112" s="151"/>
      <c r="H1112" s="160"/>
      <c r="I1112" s="157"/>
      <c r="J1112" s="161"/>
      <c r="L1112" s="94"/>
      <c r="M1112" s="159"/>
      <c r="N1112" s="94"/>
    </row>
    <row r="1113">
      <c r="A1113" s="107">
        <v>201936.0</v>
      </c>
      <c r="B1113" s="108" t="s">
        <v>92</v>
      </c>
      <c r="C1113" s="108" t="s">
        <v>431</v>
      </c>
      <c r="D1113" s="100" t="str">
        <f t="shared" si="1"/>
        <v/>
      </c>
      <c r="E1113" s="100" t="str">
        <f t="shared" si="2"/>
        <v/>
      </c>
      <c r="F1113" s="100" t="str">
        <f t="shared" si="3"/>
        <v/>
      </c>
      <c r="G1113" s="151"/>
      <c r="H1113" s="156"/>
      <c r="I1113" s="157"/>
      <c r="J1113" s="158"/>
      <c r="L1113" s="94"/>
      <c r="M1113" s="159"/>
      <c r="N1113" s="94"/>
    </row>
    <row r="1114">
      <c r="A1114" s="107">
        <v>201936.0</v>
      </c>
      <c r="B1114" s="108" t="s">
        <v>190</v>
      </c>
      <c r="C1114" s="108" t="s">
        <v>431</v>
      </c>
      <c r="D1114" s="100" t="str">
        <f t="shared" si="1"/>
        <v/>
      </c>
      <c r="E1114" s="100" t="str">
        <f t="shared" si="2"/>
        <v/>
      </c>
      <c r="F1114" s="100" t="str">
        <f t="shared" si="3"/>
        <v/>
      </c>
      <c r="G1114" s="151"/>
      <c r="H1114" s="160"/>
      <c r="I1114" s="157"/>
      <c r="J1114" s="161"/>
      <c r="L1114" s="94"/>
      <c r="M1114" s="159"/>
      <c r="N1114" s="94"/>
    </row>
    <row r="1115">
      <c r="A1115" s="107">
        <v>201936.0</v>
      </c>
      <c r="B1115" s="108" t="s">
        <v>191</v>
      </c>
      <c r="C1115" s="108" t="s">
        <v>431</v>
      </c>
      <c r="D1115" s="100" t="str">
        <f t="shared" si="1"/>
        <v/>
      </c>
      <c r="E1115" s="100" t="str">
        <f t="shared" si="2"/>
        <v/>
      </c>
      <c r="F1115" s="100" t="str">
        <f t="shared" si="3"/>
        <v/>
      </c>
      <c r="G1115" s="151"/>
      <c r="H1115" s="156"/>
      <c r="I1115" s="157"/>
      <c r="J1115" s="158"/>
      <c r="L1115" s="94"/>
      <c r="M1115" s="159"/>
      <c r="N1115" s="94"/>
    </row>
    <row r="1116">
      <c r="A1116" s="107">
        <v>201936.0</v>
      </c>
      <c r="B1116" s="108" t="s">
        <v>192</v>
      </c>
      <c r="C1116" s="108" t="s">
        <v>431</v>
      </c>
      <c r="D1116" s="100" t="str">
        <f t="shared" si="1"/>
        <v/>
      </c>
      <c r="E1116" s="100" t="str">
        <f t="shared" si="2"/>
        <v/>
      </c>
      <c r="F1116" s="100" t="str">
        <f t="shared" si="3"/>
        <v/>
      </c>
      <c r="G1116" s="151"/>
      <c r="H1116" s="160"/>
      <c r="I1116" s="157"/>
      <c r="J1116" s="161"/>
      <c r="L1116" s="94"/>
      <c r="M1116" s="159"/>
      <c r="N1116" s="94"/>
    </row>
    <row r="1117">
      <c r="A1117" s="107">
        <v>201937.0</v>
      </c>
      <c r="B1117" s="108" t="s">
        <v>85</v>
      </c>
      <c r="C1117" s="108" t="s">
        <v>432</v>
      </c>
      <c r="D1117" s="100" t="str">
        <f t="shared" si="1"/>
        <v/>
      </c>
      <c r="E1117" s="100" t="str">
        <f t="shared" si="2"/>
        <v/>
      </c>
      <c r="F1117" s="100" t="str">
        <f t="shared" si="3"/>
        <v/>
      </c>
      <c r="G1117" s="151"/>
      <c r="H1117" s="156"/>
      <c r="I1117" s="157"/>
      <c r="J1117" s="158"/>
      <c r="L1117" s="94"/>
      <c r="M1117" s="159"/>
      <c r="N1117" s="94"/>
    </row>
    <row r="1118">
      <c r="A1118" s="107">
        <v>201937.0</v>
      </c>
      <c r="B1118" s="108" t="s">
        <v>90</v>
      </c>
      <c r="C1118" s="108" t="s">
        <v>432</v>
      </c>
      <c r="D1118" s="100" t="str">
        <f t="shared" si="1"/>
        <v/>
      </c>
      <c r="E1118" s="100" t="str">
        <f t="shared" si="2"/>
        <v/>
      </c>
      <c r="F1118" s="100" t="str">
        <f t="shared" si="3"/>
        <v/>
      </c>
      <c r="G1118" s="151"/>
      <c r="H1118" s="160"/>
      <c r="I1118" s="157"/>
      <c r="J1118" s="161"/>
      <c r="L1118" s="94"/>
      <c r="M1118" s="159"/>
      <c r="N1118" s="94"/>
    </row>
    <row r="1119">
      <c r="A1119" s="107">
        <v>201937.0</v>
      </c>
      <c r="B1119" s="108" t="s">
        <v>92</v>
      </c>
      <c r="C1119" s="108" t="s">
        <v>432</v>
      </c>
      <c r="D1119" s="100" t="str">
        <f t="shared" si="1"/>
        <v/>
      </c>
      <c r="E1119" s="100" t="str">
        <f t="shared" si="2"/>
        <v/>
      </c>
      <c r="F1119" s="100" t="str">
        <f t="shared" si="3"/>
        <v/>
      </c>
      <c r="G1119" s="151"/>
      <c r="H1119" s="156"/>
      <c r="I1119" s="157"/>
      <c r="J1119" s="158"/>
      <c r="L1119" s="94"/>
      <c r="M1119" s="159"/>
      <c r="N1119" s="94"/>
    </row>
    <row r="1120">
      <c r="A1120" s="107">
        <v>201937.0</v>
      </c>
      <c r="B1120" s="108" t="s">
        <v>190</v>
      </c>
      <c r="C1120" s="108" t="s">
        <v>432</v>
      </c>
      <c r="D1120" s="100" t="str">
        <f t="shared" si="1"/>
        <v/>
      </c>
      <c r="E1120" s="100" t="str">
        <f t="shared" si="2"/>
        <v/>
      </c>
      <c r="F1120" s="100" t="str">
        <f t="shared" si="3"/>
        <v/>
      </c>
      <c r="G1120" s="151"/>
      <c r="H1120" s="160"/>
      <c r="I1120" s="157"/>
      <c r="J1120" s="161"/>
      <c r="L1120" s="94"/>
      <c r="M1120" s="159"/>
      <c r="N1120" s="94"/>
    </row>
    <row r="1121">
      <c r="A1121" s="107">
        <v>201937.0</v>
      </c>
      <c r="B1121" s="108" t="s">
        <v>191</v>
      </c>
      <c r="C1121" s="108" t="s">
        <v>432</v>
      </c>
      <c r="D1121" s="100" t="str">
        <f t="shared" si="1"/>
        <v/>
      </c>
      <c r="E1121" s="100" t="str">
        <f t="shared" si="2"/>
        <v/>
      </c>
      <c r="F1121" s="100" t="str">
        <f t="shared" si="3"/>
        <v/>
      </c>
      <c r="G1121" s="151"/>
      <c r="H1121" s="156"/>
      <c r="I1121" s="157"/>
      <c r="J1121" s="158"/>
      <c r="L1121" s="94"/>
      <c r="M1121" s="159"/>
      <c r="N1121" s="94"/>
    </row>
    <row r="1122">
      <c r="A1122" s="107">
        <v>201937.0</v>
      </c>
      <c r="B1122" s="108" t="s">
        <v>192</v>
      </c>
      <c r="C1122" s="108" t="s">
        <v>432</v>
      </c>
      <c r="D1122" s="100" t="str">
        <f t="shared" si="1"/>
        <v/>
      </c>
      <c r="E1122" s="100" t="str">
        <f t="shared" si="2"/>
        <v/>
      </c>
      <c r="F1122" s="100" t="str">
        <f t="shared" si="3"/>
        <v/>
      </c>
      <c r="G1122" s="151"/>
      <c r="H1122" s="160"/>
      <c r="I1122" s="157"/>
      <c r="J1122" s="161"/>
      <c r="L1122" s="94"/>
      <c r="M1122" s="159"/>
      <c r="N1122" s="94"/>
    </row>
    <row r="1123">
      <c r="A1123" s="107">
        <v>201937.0</v>
      </c>
      <c r="B1123" s="108" t="s">
        <v>193</v>
      </c>
      <c r="C1123" s="108" t="s">
        <v>432</v>
      </c>
      <c r="D1123" s="100" t="str">
        <f t="shared" si="1"/>
        <v/>
      </c>
      <c r="E1123" s="100" t="str">
        <f t="shared" si="2"/>
        <v/>
      </c>
      <c r="F1123" s="100" t="str">
        <f t="shared" si="3"/>
        <v/>
      </c>
      <c r="G1123" s="151"/>
      <c r="H1123" s="156"/>
      <c r="I1123" s="157"/>
      <c r="J1123" s="158"/>
      <c r="L1123" s="94"/>
      <c r="M1123" s="159"/>
      <c r="N1123" s="94"/>
    </row>
    <row r="1124">
      <c r="A1124" s="107">
        <v>201937.0</v>
      </c>
      <c r="B1124" s="108" t="s">
        <v>243</v>
      </c>
      <c r="C1124" s="108" t="s">
        <v>432</v>
      </c>
      <c r="D1124" s="100" t="str">
        <f t="shared" si="1"/>
        <v/>
      </c>
      <c r="E1124" s="100" t="str">
        <f t="shared" si="2"/>
        <v/>
      </c>
      <c r="F1124" s="100" t="str">
        <f t="shared" si="3"/>
        <v/>
      </c>
      <c r="G1124" s="151"/>
      <c r="H1124" s="160"/>
      <c r="I1124" s="157"/>
      <c r="J1124" s="161"/>
      <c r="L1124" s="94"/>
      <c r="M1124" s="159"/>
      <c r="N1124" s="94"/>
    </row>
    <row r="1125">
      <c r="A1125" s="107">
        <v>201937.0</v>
      </c>
      <c r="B1125" s="108" t="s">
        <v>215</v>
      </c>
      <c r="C1125" s="108" t="s">
        <v>432</v>
      </c>
      <c r="D1125" s="100" t="str">
        <f t="shared" si="1"/>
        <v/>
      </c>
      <c r="E1125" s="100" t="str">
        <f t="shared" si="2"/>
        <v/>
      </c>
      <c r="F1125" s="100" t="str">
        <f t="shared" si="3"/>
        <v/>
      </c>
      <c r="G1125" s="151"/>
      <c r="H1125" s="156"/>
      <c r="I1125" s="157"/>
      <c r="J1125" s="158"/>
      <c r="L1125" s="94"/>
      <c r="M1125" s="159"/>
      <c r="N1125" s="94"/>
    </row>
    <row r="1126">
      <c r="A1126" s="107">
        <v>201937.0</v>
      </c>
      <c r="B1126" s="108" t="s">
        <v>244</v>
      </c>
      <c r="C1126" s="108" t="s">
        <v>432</v>
      </c>
      <c r="D1126" s="100" t="str">
        <f t="shared" si="1"/>
        <v/>
      </c>
      <c r="E1126" s="100" t="str">
        <f t="shared" si="2"/>
        <v/>
      </c>
      <c r="F1126" s="100" t="str">
        <f t="shared" si="3"/>
        <v/>
      </c>
      <c r="G1126" s="151"/>
      <c r="H1126" s="160"/>
      <c r="I1126" s="157"/>
      <c r="J1126" s="161"/>
      <c r="L1126" s="94"/>
      <c r="M1126" s="159"/>
      <c r="N1126" s="94"/>
    </row>
    <row r="1127">
      <c r="A1127" s="107">
        <v>201939.0</v>
      </c>
      <c r="B1127" s="108" t="s">
        <v>85</v>
      </c>
      <c r="C1127" s="108" t="s">
        <v>433</v>
      </c>
      <c r="D1127" s="100" t="str">
        <f t="shared" si="1"/>
        <v/>
      </c>
      <c r="E1127" s="100" t="str">
        <f t="shared" si="2"/>
        <v/>
      </c>
      <c r="F1127" s="100" t="str">
        <f t="shared" si="3"/>
        <v/>
      </c>
      <c r="G1127" s="151"/>
      <c r="H1127" s="156"/>
      <c r="I1127" s="157"/>
      <c r="J1127" s="158"/>
      <c r="L1127" s="94"/>
      <c r="M1127" s="159"/>
      <c r="N1127" s="94"/>
    </row>
    <row r="1128">
      <c r="A1128" s="107">
        <v>201939.0</v>
      </c>
      <c r="B1128" s="108" t="s">
        <v>90</v>
      </c>
      <c r="C1128" s="108" t="s">
        <v>433</v>
      </c>
      <c r="D1128" s="100" t="str">
        <f t="shared" si="1"/>
        <v/>
      </c>
      <c r="E1128" s="100" t="str">
        <f t="shared" si="2"/>
        <v/>
      </c>
      <c r="F1128" s="100" t="str">
        <f t="shared" si="3"/>
        <v/>
      </c>
      <c r="G1128" s="151"/>
      <c r="H1128" s="160"/>
      <c r="I1128" s="157"/>
      <c r="J1128" s="161"/>
      <c r="L1128" s="94"/>
      <c r="M1128" s="159"/>
      <c r="N1128" s="94"/>
    </row>
    <row r="1129">
      <c r="A1129" s="107">
        <v>201939.0</v>
      </c>
      <c r="B1129" s="108" t="s">
        <v>92</v>
      </c>
      <c r="C1129" s="108" t="s">
        <v>433</v>
      </c>
      <c r="D1129" s="100" t="str">
        <f t="shared" si="1"/>
        <v/>
      </c>
      <c r="E1129" s="100" t="str">
        <f t="shared" si="2"/>
        <v/>
      </c>
      <c r="F1129" s="100" t="str">
        <f t="shared" si="3"/>
        <v/>
      </c>
      <c r="G1129" s="151"/>
      <c r="H1129" s="156"/>
      <c r="I1129" s="157"/>
      <c r="J1129" s="158"/>
      <c r="L1129" s="94"/>
      <c r="M1129" s="159"/>
      <c r="N1129" s="94"/>
    </row>
    <row r="1130">
      <c r="A1130" s="107">
        <v>201939.0</v>
      </c>
      <c r="B1130" s="108" t="s">
        <v>190</v>
      </c>
      <c r="C1130" s="108" t="s">
        <v>433</v>
      </c>
      <c r="D1130" s="100" t="str">
        <f t="shared" si="1"/>
        <v/>
      </c>
      <c r="E1130" s="100" t="str">
        <f t="shared" si="2"/>
        <v/>
      </c>
      <c r="F1130" s="100" t="str">
        <f t="shared" si="3"/>
        <v/>
      </c>
      <c r="G1130" s="151"/>
      <c r="H1130" s="160"/>
      <c r="I1130" s="157"/>
      <c r="J1130" s="161"/>
      <c r="L1130" s="94"/>
      <c r="M1130" s="159"/>
      <c r="N1130" s="94"/>
    </row>
    <row r="1131">
      <c r="A1131" s="107">
        <v>201939.0</v>
      </c>
      <c r="B1131" s="108" t="s">
        <v>191</v>
      </c>
      <c r="C1131" s="108" t="s">
        <v>433</v>
      </c>
      <c r="D1131" s="100" t="str">
        <f t="shared" si="1"/>
        <v/>
      </c>
      <c r="E1131" s="100" t="str">
        <f t="shared" si="2"/>
        <v/>
      </c>
      <c r="F1131" s="100" t="str">
        <f t="shared" si="3"/>
        <v/>
      </c>
      <c r="G1131" s="151"/>
      <c r="H1131" s="156"/>
      <c r="I1131" s="157"/>
      <c r="J1131" s="158"/>
      <c r="L1131" s="94"/>
      <c r="M1131" s="159"/>
      <c r="N1131" s="94"/>
    </row>
    <row r="1132">
      <c r="A1132" s="107">
        <v>201939.0</v>
      </c>
      <c r="B1132" s="108" t="s">
        <v>192</v>
      </c>
      <c r="C1132" s="108" t="s">
        <v>433</v>
      </c>
      <c r="D1132" s="100" t="str">
        <f t="shared" si="1"/>
        <v/>
      </c>
      <c r="E1132" s="100" t="str">
        <f t="shared" si="2"/>
        <v/>
      </c>
      <c r="F1132" s="100" t="str">
        <f t="shared" si="3"/>
        <v/>
      </c>
      <c r="G1132" s="151"/>
      <c r="H1132" s="160"/>
      <c r="I1132" s="157"/>
      <c r="J1132" s="161"/>
      <c r="L1132" s="94"/>
      <c r="M1132" s="159"/>
      <c r="N1132" s="94"/>
    </row>
    <row r="1133">
      <c r="A1133" s="107">
        <v>201939.0</v>
      </c>
      <c r="B1133" s="108" t="s">
        <v>193</v>
      </c>
      <c r="C1133" s="108" t="s">
        <v>433</v>
      </c>
      <c r="D1133" s="100" t="str">
        <f t="shared" si="1"/>
        <v/>
      </c>
      <c r="E1133" s="100" t="str">
        <f t="shared" si="2"/>
        <v/>
      </c>
      <c r="F1133" s="100" t="str">
        <f t="shared" si="3"/>
        <v/>
      </c>
      <c r="G1133" s="151"/>
      <c r="H1133" s="156"/>
      <c r="I1133" s="157"/>
      <c r="J1133" s="158"/>
      <c r="L1133" s="94"/>
      <c r="M1133" s="159"/>
      <c r="N1133" s="94"/>
    </row>
    <row r="1134">
      <c r="A1134" s="107">
        <v>201939.0</v>
      </c>
      <c r="B1134" s="108" t="s">
        <v>243</v>
      </c>
      <c r="C1134" s="108" t="s">
        <v>433</v>
      </c>
      <c r="D1134" s="100" t="str">
        <f t="shared" si="1"/>
        <v/>
      </c>
      <c r="E1134" s="100" t="str">
        <f t="shared" si="2"/>
        <v/>
      </c>
      <c r="F1134" s="100" t="str">
        <f t="shared" si="3"/>
        <v/>
      </c>
      <c r="G1134" s="151"/>
      <c r="H1134" s="160"/>
      <c r="I1134" s="157"/>
      <c r="J1134" s="161"/>
      <c r="L1134" s="94"/>
      <c r="M1134" s="159"/>
      <c r="N1134" s="94"/>
    </row>
    <row r="1135">
      <c r="A1135" s="107">
        <v>201939.0</v>
      </c>
      <c r="B1135" s="108" t="s">
        <v>215</v>
      </c>
      <c r="C1135" s="108" t="s">
        <v>433</v>
      </c>
      <c r="D1135" s="100" t="str">
        <f t="shared" si="1"/>
        <v/>
      </c>
      <c r="E1135" s="100" t="str">
        <f t="shared" si="2"/>
        <v/>
      </c>
      <c r="F1135" s="100" t="str">
        <f t="shared" si="3"/>
        <v/>
      </c>
      <c r="G1135" s="151"/>
      <c r="H1135" s="156"/>
      <c r="I1135" s="157"/>
      <c r="J1135" s="158"/>
      <c r="L1135" s="94"/>
      <c r="M1135" s="159"/>
      <c r="N1135" s="94"/>
    </row>
    <row r="1136">
      <c r="A1136" s="107">
        <v>201939.0</v>
      </c>
      <c r="B1136" s="108" t="s">
        <v>244</v>
      </c>
      <c r="C1136" s="108" t="s">
        <v>433</v>
      </c>
      <c r="D1136" s="100" t="str">
        <f t="shared" si="1"/>
        <v/>
      </c>
      <c r="E1136" s="100" t="str">
        <f t="shared" si="2"/>
        <v/>
      </c>
      <c r="F1136" s="100" t="str">
        <f t="shared" si="3"/>
        <v/>
      </c>
      <c r="G1136" s="151"/>
      <c r="H1136" s="160"/>
      <c r="I1136" s="157"/>
      <c r="J1136" s="161"/>
      <c r="L1136" s="94"/>
      <c r="M1136" s="159"/>
      <c r="N1136" s="94"/>
    </row>
    <row r="1137">
      <c r="A1137" s="107">
        <v>201939.0</v>
      </c>
      <c r="B1137" s="108" t="s">
        <v>245</v>
      </c>
      <c r="C1137" s="108" t="s">
        <v>433</v>
      </c>
      <c r="D1137" s="100" t="str">
        <f t="shared" si="1"/>
        <v/>
      </c>
      <c r="E1137" s="100" t="str">
        <f t="shared" si="2"/>
        <v/>
      </c>
      <c r="F1137" s="100" t="str">
        <f t="shared" si="3"/>
        <v/>
      </c>
      <c r="G1137" s="151"/>
      <c r="H1137" s="156"/>
      <c r="I1137" s="157"/>
      <c r="J1137" s="158"/>
      <c r="L1137" s="94"/>
      <c r="M1137" s="159"/>
      <c r="N1137" s="94"/>
    </row>
    <row r="1138">
      <c r="A1138" s="107">
        <v>201939.0</v>
      </c>
      <c r="B1138" s="108" t="s">
        <v>246</v>
      </c>
      <c r="C1138" s="108" t="s">
        <v>433</v>
      </c>
      <c r="D1138" s="100" t="str">
        <f t="shared" si="1"/>
        <v/>
      </c>
      <c r="E1138" s="100" t="str">
        <f t="shared" si="2"/>
        <v/>
      </c>
      <c r="F1138" s="100" t="str">
        <f t="shared" si="3"/>
        <v/>
      </c>
      <c r="G1138" s="151"/>
      <c r="H1138" s="160"/>
      <c r="I1138" s="157"/>
      <c r="J1138" s="161"/>
      <c r="L1138" s="94"/>
      <c r="M1138" s="159"/>
      <c r="N1138" s="94"/>
    </row>
    <row r="1139">
      <c r="A1139" s="114">
        <v>201939.0</v>
      </c>
      <c r="B1139" s="113" t="s">
        <v>247</v>
      </c>
      <c r="C1139" s="113" t="s">
        <v>433</v>
      </c>
      <c r="D1139" s="100" t="str">
        <f t="shared" si="1"/>
        <v/>
      </c>
      <c r="E1139" s="100" t="str">
        <f t="shared" si="2"/>
        <v/>
      </c>
      <c r="F1139" s="100" t="str">
        <f t="shared" si="3"/>
        <v/>
      </c>
      <c r="G1139" s="151"/>
      <c r="H1139" s="156"/>
      <c r="I1139" s="157"/>
      <c r="J1139" s="158"/>
      <c r="L1139" s="94"/>
      <c r="M1139" s="159"/>
      <c r="N1139" s="94"/>
    </row>
    <row r="1140">
      <c r="A1140" s="107">
        <v>201941.0</v>
      </c>
      <c r="B1140" s="108" t="s">
        <v>85</v>
      </c>
      <c r="C1140" s="108" t="s">
        <v>434</v>
      </c>
      <c r="D1140" s="100" t="str">
        <f t="shared" si="1"/>
        <v/>
      </c>
      <c r="E1140" s="100" t="str">
        <f t="shared" si="2"/>
        <v/>
      </c>
      <c r="F1140" s="100" t="str">
        <f t="shared" si="3"/>
        <v/>
      </c>
      <c r="G1140" s="151"/>
      <c r="H1140" s="160"/>
      <c r="I1140" s="157"/>
      <c r="J1140" s="161"/>
      <c r="L1140" s="94"/>
      <c r="M1140" s="159"/>
      <c r="N1140" s="94"/>
    </row>
    <row r="1141">
      <c r="A1141" s="107">
        <v>201941.0</v>
      </c>
      <c r="B1141" s="108" t="s">
        <v>90</v>
      </c>
      <c r="C1141" s="108" t="s">
        <v>434</v>
      </c>
      <c r="D1141" s="100" t="str">
        <f t="shared" si="1"/>
        <v/>
      </c>
      <c r="E1141" s="100" t="str">
        <f t="shared" si="2"/>
        <v/>
      </c>
      <c r="F1141" s="100" t="str">
        <f t="shared" si="3"/>
        <v/>
      </c>
      <c r="G1141" s="151"/>
      <c r="H1141" s="156"/>
      <c r="I1141" s="157"/>
      <c r="J1141" s="158"/>
      <c r="L1141" s="94"/>
      <c r="M1141" s="159"/>
      <c r="N1141" s="94"/>
    </row>
    <row r="1142">
      <c r="A1142" s="107">
        <v>201941.0</v>
      </c>
      <c r="B1142" s="108" t="s">
        <v>92</v>
      </c>
      <c r="C1142" s="108" t="s">
        <v>434</v>
      </c>
      <c r="D1142" s="100" t="str">
        <f t="shared" si="1"/>
        <v/>
      </c>
      <c r="E1142" s="100" t="str">
        <f t="shared" si="2"/>
        <v/>
      </c>
      <c r="F1142" s="100" t="str">
        <f t="shared" si="3"/>
        <v/>
      </c>
      <c r="G1142" s="151"/>
      <c r="H1142" s="160"/>
      <c r="I1142" s="157"/>
      <c r="J1142" s="161"/>
      <c r="L1142" s="94"/>
      <c r="M1142" s="159"/>
      <c r="N1142" s="94"/>
    </row>
    <row r="1143">
      <c r="A1143" s="107">
        <v>201941.0</v>
      </c>
      <c r="B1143" s="108" t="s">
        <v>190</v>
      </c>
      <c r="C1143" s="108" t="s">
        <v>434</v>
      </c>
      <c r="D1143" s="100" t="str">
        <f t="shared" si="1"/>
        <v/>
      </c>
      <c r="E1143" s="100" t="str">
        <f t="shared" si="2"/>
        <v/>
      </c>
      <c r="F1143" s="100" t="str">
        <f t="shared" si="3"/>
        <v/>
      </c>
      <c r="G1143" s="151"/>
      <c r="H1143" s="156"/>
      <c r="I1143" s="157"/>
      <c r="J1143" s="158"/>
      <c r="L1143" s="94"/>
      <c r="M1143" s="159"/>
      <c r="N1143" s="94"/>
    </row>
    <row r="1144">
      <c r="A1144" s="107">
        <v>201942.0</v>
      </c>
      <c r="B1144" s="108" t="s">
        <v>85</v>
      </c>
      <c r="C1144" s="108" t="s">
        <v>435</v>
      </c>
      <c r="D1144" s="100" t="str">
        <f t="shared" si="1"/>
        <v/>
      </c>
      <c r="E1144" s="100" t="str">
        <f t="shared" si="2"/>
        <v/>
      </c>
      <c r="F1144" s="100" t="str">
        <f t="shared" si="3"/>
        <v/>
      </c>
      <c r="G1144" s="151"/>
      <c r="H1144" s="160"/>
      <c r="I1144" s="157"/>
      <c r="J1144" s="161"/>
      <c r="L1144" s="94"/>
      <c r="M1144" s="159"/>
      <c r="N1144" s="94"/>
    </row>
    <row r="1145">
      <c r="A1145" s="107">
        <v>201942.0</v>
      </c>
      <c r="B1145" s="108" t="s">
        <v>90</v>
      </c>
      <c r="C1145" s="108" t="s">
        <v>435</v>
      </c>
      <c r="D1145" s="100" t="str">
        <f t="shared" si="1"/>
        <v/>
      </c>
      <c r="E1145" s="100" t="str">
        <f t="shared" si="2"/>
        <v/>
      </c>
      <c r="F1145" s="100" t="str">
        <f t="shared" si="3"/>
        <v/>
      </c>
      <c r="G1145" s="151"/>
      <c r="H1145" s="156"/>
      <c r="I1145" s="157"/>
      <c r="J1145" s="158"/>
      <c r="L1145" s="94"/>
      <c r="M1145" s="159"/>
      <c r="N1145" s="94"/>
    </row>
    <row r="1146">
      <c r="A1146" s="107">
        <v>201942.0</v>
      </c>
      <c r="B1146" s="108" t="s">
        <v>92</v>
      </c>
      <c r="C1146" s="108" t="s">
        <v>435</v>
      </c>
      <c r="D1146" s="100" t="str">
        <f t="shared" si="1"/>
        <v/>
      </c>
      <c r="E1146" s="100" t="str">
        <f t="shared" si="2"/>
        <v/>
      </c>
      <c r="F1146" s="100" t="str">
        <f t="shared" si="3"/>
        <v/>
      </c>
      <c r="G1146" s="151"/>
      <c r="H1146" s="160"/>
      <c r="I1146" s="157"/>
      <c r="J1146" s="161"/>
      <c r="L1146" s="94"/>
      <c r="M1146" s="159"/>
      <c r="N1146" s="94"/>
    </row>
    <row r="1147">
      <c r="A1147" s="107">
        <v>201942.0</v>
      </c>
      <c r="B1147" s="108" t="s">
        <v>190</v>
      </c>
      <c r="C1147" s="108" t="s">
        <v>435</v>
      </c>
      <c r="D1147" s="100" t="str">
        <f t="shared" si="1"/>
        <v/>
      </c>
      <c r="E1147" s="100" t="str">
        <f t="shared" si="2"/>
        <v/>
      </c>
      <c r="F1147" s="100" t="str">
        <f t="shared" si="3"/>
        <v/>
      </c>
      <c r="G1147" s="151"/>
      <c r="H1147" s="156"/>
      <c r="I1147" s="157"/>
      <c r="J1147" s="158"/>
      <c r="L1147" s="94"/>
      <c r="M1147" s="159"/>
      <c r="N1147" s="94"/>
    </row>
    <row r="1148">
      <c r="A1148" s="107">
        <v>201942.0</v>
      </c>
      <c r="B1148" s="108" t="s">
        <v>191</v>
      </c>
      <c r="C1148" s="108" t="s">
        <v>435</v>
      </c>
      <c r="D1148" s="100" t="str">
        <f t="shared" si="1"/>
        <v/>
      </c>
      <c r="E1148" s="100" t="str">
        <f t="shared" si="2"/>
        <v/>
      </c>
      <c r="F1148" s="100" t="str">
        <f t="shared" si="3"/>
        <v/>
      </c>
      <c r="G1148" s="151"/>
      <c r="H1148" s="160"/>
      <c r="I1148" s="157"/>
      <c r="J1148" s="161"/>
      <c r="L1148" s="94"/>
      <c r="M1148" s="159"/>
      <c r="N1148" s="94"/>
    </row>
    <row r="1149">
      <c r="A1149" s="107">
        <v>201942.0</v>
      </c>
      <c r="B1149" s="108" t="s">
        <v>192</v>
      </c>
      <c r="C1149" s="108" t="s">
        <v>435</v>
      </c>
      <c r="D1149" s="100" t="str">
        <f t="shared" si="1"/>
        <v/>
      </c>
      <c r="E1149" s="100" t="str">
        <f t="shared" si="2"/>
        <v/>
      </c>
      <c r="F1149" s="100" t="str">
        <f t="shared" si="3"/>
        <v/>
      </c>
      <c r="G1149" s="151"/>
      <c r="H1149" s="156"/>
      <c r="I1149" s="157"/>
      <c r="J1149" s="158"/>
      <c r="L1149" s="94"/>
      <c r="M1149" s="159"/>
      <c r="N1149" s="94"/>
    </row>
    <row r="1150">
      <c r="A1150" s="107">
        <v>201942.0</v>
      </c>
      <c r="B1150" s="108" t="s">
        <v>193</v>
      </c>
      <c r="C1150" s="108" t="s">
        <v>435</v>
      </c>
      <c r="D1150" s="100" t="str">
        <f t="shared" si="1"/>
        <v/>
      </c>
      <c r="E1150" s="100" t="str">
        <f t="shared" si="2"/>
        <v/>
      </c>
      <c r="F1150" s="100" t="str">
        <f t="shared" si="3"/>
        <v/>
      </c>
      <c r="G1150" s="151"/>
      <c r="H1150" s="160"/>
      <c r="I1150" s="157"/>
      <c r="J1150" s="161"/>
      <c r="L1150" s="94"/>
      <c r="M1150" s="159"/>
      <c r="N1150" s="94"/>
    </row>
    <row r="1151">
      <c r="A1151" s="107">
        <v>201942.0</v>
      </c>
      <c r="B1151" s="108" t="s">
        <v>243</v>
      </c>
      <c r="C1151" s="108" t="s">
        <v>435</v>
      </c>
      <c r="D1151" s="100" t="str">
        <f t="shared" si="1"/>
        <v/>
      </c>
      <c r="E1151" s="100" t="str">
        <f t="shared" si="2"/>
        <v/>
      </c>
      <c r="F1151" s="100" t="str">
        <f t="shared" si="3"/>
        <v/>
      </c>
      <c r="G1151" s="151"/>
      <c r="H1151" s="156"/>
      <c r="I1151" s="157"/>
      <c r="J1151" s="158"/>
      <c r="L1151" s="94"/>
      <c r="M1151" s="159"/>
      <c r="N1151" s="94"/>
    </row>
    <row r="1152">
      <c r="A1152" s="107">
        <v>201942.0</v>
      </c>
      <c r="B1152" s="108" t="s">
        <v>215</v>
      </c>
      <c r="C1152" s="108" t="s">
        <v>435</v>
      </c>
      <c r="D1152" s="100" t="str">
        <f t="shared" si="1"/>
        <v/>
      </c>
      <c r="E1152" s="100" t="str">
        <f t="shared" si="2"/>
        <v/>
      </c>
      <c r="F1152" s="100" t="str">
        <f t="shared" si="3"/>
        <v/>
      </c>
      <c r="G1152" s="151"/>
      <c r="H1152" s="160"/>
      <c r="I1152" s="157"/>
      <c r="J1152" s="161"/>
      <c r="L1152" s="94"/>
      <c r="M1152" s="159"/>
      <c r="N1152" s="94"/>
    </row>
    <row r="1153">
      <c r="A1153" s="107">
        <v>201942.0</v>
      </c>
      <c r="B1153" s="108" t="s">
        <v>244</v>
      </c>
      <c r="C1153" s="108" t="s">
        <v>435</v>
      </c>
      <c r="D1153" s="100" t="str">
        <f t="shared" si="1"/>
        <v/>
      </c>
      <c r="E1153" s="100" t="str">
        <f t="shared" si="2"/>
        <v/>
      </c>
      <c r="F1153" s="100" t="str">
        <f t="shared" si="3"/>
        <v/>
      </c>
      <c r="G1153" s="151"/>
      <c r="H1153" s="156"/>
      <c r="I1153" s="157"/>
      <c r="J1153" s="158"/>
      <c r="L1153" s="94"/>
      <c r="M1153" s="159"/>
      <c r="N1153" s="94"/>
    </row>
    <row r="1154">
      <c r="A1154" s="107">
        <v>201942.0</v>
      </c>
      <c r="B1154" s="108" t="s">
        <v>245</v>
      </c>
      <c r="C1154" s="108" t="s">
        <v>435</v>
      </c>
      <c r="D1154" s="100" t="str">
        <f t="shared" si="1"/>
        <v/>
      </c>
      <c r="E1154" s="100" t="str">
        <f t="shared" si="2"/>
        <v/>
      </c>
      <c r="F1154" s="100" t="str">
        <f t="shared" si="3"/>
        <v/>
      </c>
      <c r="G1154" s="151"/>
      <c r="H1154" s="160"/>
      <c r="I1154" s="157"/>
      <c r="J1154" s="161"/>
      <c r="L1154" s="94"/>
      <c r="M1154" s="159"/>
      <c r="N1154" s="94"/>
    </row>
    <row r="1155">
      <c r="A1155" s="107">
        <v>201942.0</v>
      </c>
      <c r="B1155" s="108" t="s">
        <v>246</v>
      </c>
      <c r="C1155" s="108" t="s">
        <v>435</v>
      </c>
      <c r="D1155" s="100" t="str">
        <f t="shared" si="1"/>
        <v/>
      </c>
      <c r="E1155" s="100" t="str">
        <f t="shared" si="2"/>
        <v/>
      </c>
      <c r="F1155" s="100" t="str">
        <f t="shared" si="3"/>
        <v/>
      </c>
      <c r="G1155" s="151"/>
      <c r="H1155" s="156"/>
      <c r="I1155" s="157"/>
      <c r="J1155" s="158"/>
      <c r="L1155" s="94"/>
      <c r="M1155" s="159"/>
      <c r="N1155" s="94"/>
    </row>
    <row r="1156">
      <c r="A1156" s="114">
        <v>201942.0</v>
      </c>
      <c r="B1156" s="113" t="s">
        <v>247</v>
      </c>
      <c r="C1156" s="113" t="s">
        <v>435</v>
      </c>
      <c r="D1156" s="100" t="str">
        <f t="shared" si="1"/>
        <v/>
      </c>
      <c r="E1156" s="100" t="str">
        <f t="shared" si="2"/>
        <v/>
      </c>
      <c r="F1156" s="100" t="str">
        <f t="shared" si="3"/>
        <v/>
      </c>
      <c r="G1156" s="151"/>
      <c r="H1156" s="160"/>
      <c r="I1156" s="157"/>
      <c r="J1156" s="161"/>
      <c r="L1156" s="94"/>
      <c r="M1156" s="159"/>
      <c r="N1156" s="94"/>
    </row>
    <row r="1157">
      <c r="A1157" s="107">
        <v>201943.0</v>
      </c>
      <c r="B1157" s="108" t="s">
        <v>85</v>
      </c>
      <c r="C1157" s="108" t="s">
        <v>436</v>
      </c>
      <c r="D1157" s="100" t="str">
        <f t="shared" si="1"/>
        <v/>
      </c>
      <c r="E1157" s="100" t="str">
        <f t="shared" si="2"/>
        <v/>
      </c>
      <c r="F1157" s="100" t="str">
        <f t="shared" si="3"/>
        <v/>
      </c>
      <c r="G1157" s="151"/>
      <c r="H1157" s="156"/>
      <c r="I1157" s="157"/>
      <c r="J1157" s="158"/>
      <c r="L1157" s="94"/>
      <c r="M1157" s="159"/>
      <c r="N1157" s="94"/>
    </row>
    <row r="1158">
      <c r="A1158" s="107">
        <v>201943.0</v>
      </c>
      <c r="B1158" s="108" t="s">
        <v>90</v>
      </c>
      <c r="C1158" s="108" t="s">
        <v>436</v>
      </c>
      <c r="D1158" s="100" t="str">
        <f t="shared" si="1"/>
        <v/>
      </c>
      <c r="E1158" s="100" t="str">
        <f t="shared" si="2"/>
        <v/>
      </c>
      <c r="F1158" s="100" t="str">
        <f t="shared" si="3"/>
        <v/>
      </c>
      <c r="G1158" s="151"/>
      <c r="H1158" s="160"/>
      <c r="I1158" s="157"/>
      <c r="J1158" s="161"/>
      <c r="L1158" s="94"/>
      <c r="M1158" s="159"/>
      <c r="N1158" s="94"/>
    </row>
    <row r="1159">
      <c r="A1159" s="107">
        <v>201943.0</v>
      </c>
      <c r="B1159" s="108" t="s">
        <v>92</v>
      </c>
      <c r="C1159" s="108" t="s">
        <v>436</v>
      </c>
      <c r="D1159" s="100" t="str">
        <f t="shared" si="1"/>
        <v/>
      </c>
      <c r="E1159" s="100" t="str">
        <f t="shared" si="2"/>
        <v/>
      </c>
      <c r="F1159" s="100" t="str">
        <f t="shared" si="3"/>
        <v/>
      </c>
      <c r="G1159" s="151"/>
      <c r="H1159" s="156"/>
      <c r="I1159" s="157"/>
      <c r="J1159" s="158"/>
      <c r="L1159" s="94"/>
      <c r="M1159" s="159"/>
      <c r="N1159" s="94"/>
    </row>
    <row r="1160">
      <c r="A1160" s="107">
        <v>201943.0</v>
      </c>
      <c r="B1160" s="108" t="s">
        <v>190</v>
      </c>
      <c r="C1160" s="108" t="s">
        <v>436</v>
      </c>
      <c r="D1160" s="100" t="str">
        <f t="shared" si="1"/>
        <v/>
      </c>
      <c r="E1160" s="100" t="str">
        <f t="shared" si="2"/>
        <v/>
      </c>
      <c r="F1160" s="100" t="str">
        <f t="shared" si="3"/>
        <v/>
      </c>
      <c r="G1160" s="151"/>
      <c r="H1160" s="160"/>
      <c r="I1160" s="157"/>
      <c r="J1160" s="161"/>
      <c r="L1160" s="94"/>
      <c r="M1160" s="159"/>
      <c r="N1160" s="94"/>
    </row>
    <row r="1161">
      <c r="A1161" s="107">
        <v>201943.0</v>
      </c>
      <c r="B1161" s="108" t="s">
        <v>191</v>
      </c>
      <c r="C1161" s="108" t="s">
        <v>436</v>
      </c>
      <c r="D1161" s="100" t="str">
        <f t="shared" si="1"/>
        <v/>
      </c>
      <c r="E1161" s="100" t="str">
        <f t="shared" si="2"/>
        <v/>
      </c>
      <c r="F1161" s="100" t="str">
        <f t="shared" si="3"/>
        <v/>
      </c>
      <c r="G1161" s="151"/>
      <c r="H1161" s="156"/>
      <c r="I1161" s="157"/>
      <c r="J1161" s="158"/>
      <c r="L1161" s="94"/>
      <c r="M1161" s="159"/>
      <c r="N1161" s="94"/>
    </row>
    <row r="1162">
      <c r="A1162" s="107">
        <v>201945.0</v>
      </c>
      <c r="B1162" s="108" t="s">
        <v>85</v>
      </c>
      <c r="C1162" s="108" t="s">
        <v>437</v>
      </c>
      <c r="D1162" s="100" t="str">
        <f t="shared" si="1"/>
        <v/>
      </c>
      <c r="E1162" s="100" t="str">
        <f t="shared" si="2"/>
        <v/>
      </c>
      <c r="F1162" s="100" t="str">
        <f t="shared" si="3"/>
        <v/>
      </c>
      <c r="G1162" s="151"/>
      <c r="H1162" s="160"/>
      <c r="I1162" s="157"/>
      <c r="J1162" s="161"/>
      <c r="L1162" s="94"/>
      <c r="M1162" s="159"/>
      <c r="N1162" s="94"/>
    </row>
    <row r="1163">
      <c r="A1163" s="107">
        <v>201945.0</v>
      </c>
      <c r="B1163" s="108" t="s">
        <v>90</v>
      </c>
      <c r="C1163" s="108" t="s">
        <v>437</v>
      </c>
      <c r="D1163" s="100" t="str">
        <f t="shared" si="1"/>
        <v/>
      </c>
      <c r="E1163" s="100" t="str">
        <f t="shared" si="2"/>
        <v/>
      </c>
      <c r="F1163" s="100" t="str">
        <f t="shared" si="3"/>
        <v/>
      </c>
      <c r="G1163" s="151"/>
      <c r="H1163" s="156"/>
      <c r="I1163" s="157"/>
      <c r="J1163" s="158"/>
      <c r="L1163" s="94"/>
      <c r="M1163" s="159"/>
      <c r="N1163" s="94"/>
    </row>
    <row r="1164">
      <c r="A1164" s="107">
        <v>201945.0</v>
      </c>
      <c r="B1164" s="108" t="s">
        <v>92</v>
      </c>
      <c r="C1164" s="108" t="s">
        <v>437</v>
      </c>
      <c r="D1164" s="100" t="str">
        <f t="shared" si="1"/>
        <v/>
      </c>
      <c r="E1164" s="100" t="str">
        <f t="shared" si="2"/>
        <v/>
      </c>
      <c r="F1164" s="100" t="str">
        <f t="shared" si="3"/>
        <v/>
      </c>
      <c r="G1164" s="151"/>
      <c r="H1164" s="160"/>
      <c r="I1164" s="157"/>
      <c r="J1164" s="161"/>
      <c r="L1164" s="94"/>
      <c r="M1164" s="159"/>
      <c r="N1164" s="94"/>
    </row>
    <row r="1165">
      <c r="A1165" s="107">
        <v>201945.0</v>
      </c>
      <c r="B1165" s="108" t="s">
        <v>190</v>
      </c>
      <c r="C1165" s="108" t="s">
        <v>437</v>
      </c>
      <c r="D1165" s="100" t="str">
        <f t="shared" si="1"/>
        <v/>
      </c>
      <c r="E1165" s="100" t="str">
        <f t="shared" si="2"/>
        <v/>
      </c>
      <c r="F1165" s="100" t="str">
        <f t="shared" si="3"/>
        <v/>
      </c>
      <c r="G1165" s="151"/>
      <c r="H1165" s="156"/>
      <c r="I1165" s="157"/>
      <c r="J1165" s="158"/>
      <c r="L1165" s="94"/>
      <c r="M1165" s="159"/>
      <c r="N1165" s="94"/>
    </row>
    <row r="1166">
      <c r="A1166" s="107">
        <v>201946.0</v>
      </c>
      <c r="B1166" s="108" t="s">
        <v>85</v>
      </c>
      <c r="C1166" s="108" t="s">
        <v>438</v>
      </c>
      <c r="D1166" s="100" t="str">
        <f t="shared" si="1"/>
        <v/>
      </c>
      <c r="E1166" s="100" t="str">
        <f t="shared" si="2"/>
        <v/>
      </c>
      <c r="F1166" s="100" t="str">
        <f t="shared" si="3"/>
        <v/>
      </c>
      <c r="G1166" s="151"/>
      <c r="H1166" s="160"/>
      <c r="I1166" s="162"/>
      <c r="J1166" s="161"/>
      <c r="L1166" s="94"/>
      <c r="M1166" s="159"/>
      <c r="N1166" s="94"/>
    </row>
    <row r="1167">
      <c r="A1167" s="107">
        <v>201946.0</v>
      </c>
      <c r="B1167" s="108" t="s">
        <v>90</v>
      </c>
      <c r="C1167" s="108" t="s">
        <v>438</v>
      </c>
      <c r="D1167" s="100" t="str">
        <f t="shared" si="1"/>
        <v/>
      </c>
      <c r="E1167" s="100" t="str">
        <f t="shared" si="2"/>
        <v/>
      </c>
      <c r="F1167" s="100" t="str">
        <f t="shared" si="3"/>
        <v/>
      </c>
      <c r="G1167" s="151"/>
      <c r="H1167" s="156"/>
      <c r="I1167" s="157"/>
      <c r="J1167" s="158"/>
      <c r="L1167" s="94"/>
      <c r="M1167" s="159"/>
      <c r="N1167" s="94"/>
    </row>
    <row r="1168">
      <c r="A1168" s="107">
        <v>201946.0</v>
      </c>
      <c r="B1168" s="108" t="s">
        <v>92</v>
      </c>
      <c r="C1168" s="108" t="s">
        <v>438</v>
      </c>
      <c r="D1168" s="100" t="str">
        <f t="shared" si="1"/>
        <v/>
      </c>
      <c r="E1168" s="100" t="str">
        <f t="shared" si="2"/>
        <v/>
      </c>
      <c r="F1168" s="100" t="str">
        <f t="shared" si="3"/>
        <v/>
      </c>
      <c r="G1168" s="151"/>
      <c r="H1168" s="160"/>
      <c r="I1168" s="157"/>
      <c r="J1168" s="161"/>
      <c r="L1168" s="94"/>
      <c r="M1168" s="159"/>
      <c r="N1168" s="94"/>
    </row>
    <row r="1169">
      <c r="A1169" s="107">
        <v>201947.0</v>
      </c>
      <c r="B1169" s="108" t="s">
        <v>85</v>
      </c>
      <c r="C1169" s="108" t="s">
        <v>439</v>
      </c>
      <c r="D1169" s="100" t="str">
        <f t="shared" si="1"/>
        <v/>
      </c>
      <c r="E1169" s="100" t="str">
        <f t="shared" si="2"/>
        <v/>
      </c>
      <c r="F1169" s="100" t="str">
        <f t="shared" si="3"/>
        <v/>
      </c>
      <c r="G1169" s="151"/>
      <c r="H1169" s="156"/>
      <c r="I1169" s="157"/>
      <c r="J1169" s="158"/>
      <c r="L1169" s="94"/>
      <c r="M1169" s="159"/>
      <c r="N1169" s="94"/>
    </row>
    <row r="1170">
      <c r="A1170" s="107">
        <v>201947.0</v>
      </c>
      <c r="B1170" s="108" t="s">
        <v>90</v>
      </c>
      <c r="C1170" s="108" t="s">
        <v>439</v>
      </c>
      <c r="D1170" s="100" t="str">
        <f t="shared" si="1"/>
        <v/>
      </c>
      <c r="E1170" s="100" t="str">
        <f t="shared" si="2"/>
        <v/>
      </c>
      <c r="F1170" s="100" t="str">
        <f t="shared" si="3"/>
        <v/>
      </c>
      <c r="G1170" s="151"/>
      <c r="H1170" s="160"/>
      <c r="I1170" s="157"/>
      <c r="J1170" s="161"/>
      <c r="L1170" s="94"/>
      <c r="M1170" s="159"/>
      <c r="N1170" s="94"/>
    </row>
    <row r="1171">
      <c r="A1171" s="107">
        <v>201948.0</v>
      </c>
      <c r="B1171" s="108" t="s">
        <v>85</v>
      </c>
      <c r="C1171" s="108" t="s">
        <v>440</v>
      </c>
      <c r="D1171" s="100" t="str">
        <f t="shared" si="1"/>
        <v/>
      </c>
      <c r="E1171" s="100" t="str">
        <f t="shared" si="2"/>
        <v/>
      </c>
      <c r="F1171" s="100" t="str">
        <f t="shared" si="3"/>
        <v/>
      </c>
      <c r="G1171" s="151"/>
      <c r="H1171" s="156"/>
      <c r="I1171" s="157"/>
      <c r="J1171" s="158"/>
      <c r="L1171" s="94"/>
      <c r="M1171" s="159"/>
      <c r="N1171" s="94"/>
    </row>
    <row r="1172">
      <c r="A1172" s="107">
        <v>201948.0</v>
      </c>
      <c r="B1172" s="108" t="s">
        <v>90</v>
      </c>
      <c r="C1172" s="108" t="s">
        <v>440</v>
      </c>
      <c r="D1172" s="100" t="str">
        <f t="shared" si="1"/>
        <v/>
      </c>
      <c r="E1172" s="100" t="str">
        <f t="shared" si="2"/>
        <v/>
      </c>
      <c r="F1172" s="100" t="str">
        <f t="shared" si="3"/>
        <v/>
      </c>
      <c r="G1172" s="151"/>
      <c r="H1172" s="160"/>
      <c r="I1172" s="157"/>
      <c r="J1172" s="161"/>
      <c r="L1172" s="94"/>
      <c r="M1172" s="159"/>
      <c r="N1172" s="94"/>
    </row>
    <row r="1173">
      <c r="A1173" s="107">
        <v>201949.0</v>
      </c>
      <c r="B1173" s="108" t="s">
        <v>85</v>
      </c>
      <c r="C1173" s="108" t="s">
        <v>441</v>
      </c>
      <c r="D1173" s="100" t="str">
        <f t="shared" si="1"/>
        <v/>
      </c>
      <c r="E1173" s="100" t="str">
        <f t="shared" si="2"/>
        <v/>
      </c>
      <c r="F1173" s="100" t="str">
        <f t="shared" si="3"/>
        <v/>
      </c>
      <c r="G1173" s="151"/>
      <c r="H1173" s="156"/>
      <c r="I1173" s="157"/>
      <c r="J1173" s="158"/>
      <c r="L1173" s="94"/>
      <c r="M1173" s="159"/>
      <c r="N1173" s="94"/>
    </row>
    <row r="1174">
      <c r="A1174" s="107">
        <v>201949.0</v>
      </c>
      <c r="B1174" s="108" t="s">
        <v>90</v>
      </c>
      <c r="C1174" s="108" t="s">
        <v>441</v>
      </c>
      <c r="D1174" s="100" t="str">
        <f t="shared" si="1"/>
        <v/>
      </c>
      <c r="E1174" s="100" t="str">
        <f t="shared" si="2"/>
        <v/>
      </c>
      <c r="F1174" s="100" t="str">
        <f t="shared" si="3"/>
        <v/>
      </c>
      <c r="G1174" s="151"/>
      <c r="H1174" s="160"/>
      <c r="I1174" s="157"/>
      <c r="J1174" s="161"/>
      <c r="L1174" s="94"/>
      <c r="M1174" s="159"/>
      <c r="N1174" s="94"/>
    </row>
    <row r="1175">
      <c r="A1175" s="107">
        <v>201949.0</v>
      </c>
      <c r="B1175" s="108" t="s">
        <v>92</v>
      </c>
      <c r="C1175" s="108" t="s">
        <v>441</v>
      </c>
      <c r="D1175" s="100" t="str">
        <f t="shared" si="1"/>
        <v/>
      </c>
      <c r="E1175" s="100" t="str">
        <f t="shared" si="2"/>
        <v/>
      </c>
      <c r="F1175" s="100" t="str">
        <f t="shared" si="3"/>
        <v/>
      </c>
      <c r="G1175" s="151"/>
      <c r="H1175" s="156"/>
      <c r="I1175" s="157"/>
      <c r="J1175" s="158"/>
      <c r="L1175" s="94"/>
      <c r="M1175" s="159"/>
      <c r="N1175" s="94"/>
    </row>
    <row r="1176">
      <c r="A1176" s="107">
        <v>201949.0</v>
      </c>
      <c r="B1176" s="108" t="s">
        <v>190</v>
      </c>
      <c r="C1176" s="108" t="s">
        <v>441</v>
      </c>
      <c r="D1176" s="100" t="str">
        <f t="shared" si="1"/>
        <v/>
      </c>
      <c r="E1176" s="100" t="str">
        <f t="shared" si="2"/>
        <v/>
      </c>
      <c r="F1176" s="100" t="str">
        <f t="shared" si="3"/>
        <v/>
      </c>
      <c r="G1176" s="151"/>
      <c r="H1176" s="160"/>
      <c r="I1176" s="157"/>
      <c r="J1176" s="161"/>
      <c r="L1176" s="94"/>
      <c r="M1176" s="159"/>
      <c r="N1176" s="94"/>
    </row>
    <row r="1177">
      <c r="A1177" s="107">
        <v>201949.0</v>
      </c>
      <c r="B1177" s="108" t="s">
        <v>191</v>
      </c>
      <c r="C1177" s="108" t="s">
        <v>441</v>
      </c>
      <c r="D1177" s="100" t="str">
        <f t="shared" si="1"/>
        <v/>
      </c>
      <c r="E1177" s="100" t="str">
        <f t="shared" si="2"/>
        <v/>
      </c>
      <c r="F1177" s="100" t="str">
        <f t="shared" si="3"/>
        <v/>
      </c>
      <c r="G1177" s="151"/>
      <c r="H1177" s="156"/>
      <c r="I1177" s="157"/>
      <c r="J1177" s="158"/>
      <c r="L1177" s="94"/>
      <c r="M1177" s="159"/>
      <c r="N1177" s="94"/>
    </row>
    <row r="1178">
      <c r="A1178" s="107">
        <v>201949.0</v>
      </c>
      <c r="B1178" s="108" t="s">
        <v>192</v>
      </c>
      <c r="C1178" s="108" t="s">
        <v>441</v>
      </c>
      <c r="D1178" s="100" t="str">
        <f t="shared" si="1"/>
        <v/>
      </c>
      <c r="E1178" s="100" t="str">
        <f t="shared" si="2"/>
        <v/>
      </c>
      <c r="F1178" s="100" t="str">
        <f t="shared" si="3"/>
        <v/>
      </c>
      <c r="G1178" s="151"/>
      <c r="H1178" s="160"/>
      <c r="I1178" s="157"/>
      <c r="J1178" s="161"/>
      <c r="L1178" s="94"/>
      <c r="M1178" s="159"/>
      <c r="N1178" s="94"/>
    </row>
    <row r="1179">
      <c r="A1179" s="107">
        <v>201949.0</v>
      </c>
      <c r="B1179" s="108" t="s">
        <v>193</v>
      </c>
      <c r="C1179" s="108" t="s">
        <v>441</v>
      </c>
      <c r="D1179" s="100" t="str">
        <f t="shared" si="1"/>
        <v/>
      </c>
      <c r="E1179" s="100" t="str">
        <f t="shared" si="2"/>
        <v/>
      </c>
      <c r="F1179" s="100" t="str">
        <f t="shared" si="3"/>
        <v/>
      </c>
      <c r="G1179" s="151"/>
      <c r="H1179" s="156"/>
      <c r="I1179" s="157"/>
      <c r="J1179" s="158"/>
      <c r="L1179" s="94"/>
      <c r="M1179" s="159"/>
      <c r="N1179" s="94"/>
    </row>
    <row r="1180">
      <c r="A1180" s="107">
        <v>201949.0</v>
      </c>
      <c r="B1180" s="108" t="s">
        <v>243</v>
      </c>
      <c r="C1180" s="108" t="s">
        <v>441</v>
      </c>
      <c r="D1180" s="100" t="str">
        <f t="shared" si="1"/>
        <v/>
      </c>
      <c r="E1180" s="100" t="str">
        <f t="shared" si="2"/>
        <v/>
      </c>
      <c r="F1180" s="100" t="str">
        <f t="shared" si="3"/>
        <v/>
      </c>
      <c r="G1180" s="151"/>
      <c r="H1180" s="160"/>
      <c r="I1180" s="157"/>
      <c r="J1180" s="161"/>
      <c r="L1180" s="94"/>
      <c r="M1180" s="159"/>
      <c r="N1180" s="94"/>
    </row>
    <row r="1181">
      <c r="A1181" s="107">
        <v>201949.0</v>
      </c>
      <c r="B1181" s="108" t="s">
        <v>215</v>
      </c>
      <c r="C1181" s="108" t="s">
        <v>441</v>
      </c>
      <c r="D1181" s="100" t="str">
        <f t="shared" si="1"/>
        <v/>
      </c>
      <c r="E1181" s="100" t="str">
        <f t="shared" si="2"/>
        <v/>
      </c>
      <c r="F1181" s="100" t="str">
        <f t="shared" si="3"/>
        <v/>
      </c>
      <c r="G1181" s="151"/>
      <c r="H1181" s="156"/>
      <c r="I1181" s="157"/>
      <c r="J1181" s="158"/>
      <c r="L1181" s="94"/>
      <c r="M1181" s="159"/>
      <c r="N1181" s="94"/>
    </row>
    <row r="1182">
      <c r="A1182" s="107">
        <v>201949.0</v>
      </c>
      <c r="B1182" s="108" t="s">
        <v>244</v>
      </c>
      <c r="C1182" s="108" t="s">
        <v>441</v>
      </c>
      <c r="D1182" s="100" t="str">
        <f t="shared" si="1"/>
        <v/>
      </c>
      <c r="E1182" s="100" t="str">
        <f t="shared" si="2"/>
        <v/>
      </c>
      <c r="F1182" s="100" t="str">
        <f t="shared" si="3"/>
        <v/>
      </c>
      <c r="G1182" s="151"/>
      <c r="H1182" s="160"/>
      <c r="I1182" s="157"/>
      <c r="J1182" s="161"/>
      <c r="L1182" s="94"/>
      <c r="M1182" s="159"/>
      <c r="N1182" s="94"/>
    </row>
    <row r="1183">
      <c r="A1183" s="107">
        <v>201949.0</v>
      </c>
      <c r="B1183" s="108" t="s">
        <v>245</v>
      </c>
      <c r="C1183" s="108" t="s">
        <v>441</v>
      </c>
      <c r="D1183" s="100" t="str">
        <f t="shared" si="1"/>
        <v/>
      </c>
      <c r="E1183" s="100" t="str">
        <f t="shared" si="2"/>
        <v/>
      </c>
      <c r="F1183" s="100" t="str">
        <f t="shared" si="3"/>
        <v/>
      </c>
      <c r="G1183" s="151"/>
      <c r="H1183" s="156"/>
      <c r="I1183" s="157"/>
      <c r="J1183" s="158"/>
      <c r="L1183" s="94"/>
      <c r="M1183" s="159"/>
      <c r="N1183" s="94"/>
    </row>
    <row r="1184">
      <c r="A1184" s="107">
        <v>201949.0</v>
      </c>
      <c r="B1184" s="108" t="s">
        <v>246</v>
      </c>
      <c r="C1184" s="108" t="s">
        <v>441</v>
      </c>
      <c r="D1184" s="100" t="str">
        <f t="shared" si="1"/>
        <v/>
      </c>
      <c r="E1184" s="100" t="str">
        <f t="shared" si="2"/>
        <v/>
      </c>
      <c r="F1184" s="100" t="str">
        <f t="shared" si="3"/>
        <v/>
      </c>
      <c r="G1184" s="151"/>
      <c r="H1184" s="160"/>
      <c r="I1184" s="157"/>
      <c r="J1184" s="161"/>
      <c r="L1184" s="94"/>
      <c r="M1184" s="159"/>
      <c r="N1184" s="94"/>
    </row>
    <row r="1185">
      <c r="A1185" s="107">
        <v>201950.0</v>
      </c>
      <c r="B1185" s="108" t="s">
        <v>85</v>
      </c>
      <c r="C1185" s="108" t="s">
        <v>442</v>
      </c>
      <c r="D1185" s="100" t="str">
        <f t="shared" si="1"/>
        <v/>
      </c>
      <c r="E1185" s="100" t="str">
        <f t="shared" si="2"/>
        <v/>
      </c>
      <c r="F1185" s="100" t="str">
        <f t="shared" si="3"/>
        <v/>
      </c>
      <c r="G1185" s="151"/>
      <c r="H1185" s="156"/>
      <c r="I1185" s="157"/>
      <c r="J1185" s="158"/>
      <c r="L1185" s="94"/>
      <c r="M1185" s="159"/>
      <c r="N1185" s="94"/>
    </row>
    <row r="1186">
      <c r="A1186" s="107">
        <v>201950.0</v>
      </c>
      <c r="B1186" s="108" t="s">
        <v>90</v>
      </c>
      <c r="C1186" s="108" t="s">
        <v>442</v>
      </c>
      <c r="D1186" s="100" t="str">
        <f t="shared" si="1"/>
        <v/>
      </c>
      <c r="E1186" s="100" t="str">
        <f t="shared" si="2"/>
        <v/>
      </c>
      <c r="F1186" s="100" t="str">
        <f t="shared" si="3"/>
        <v/>
      </c>
      <c r="G1186" s="151"/>
      <c r="H1186" s="160"/>
      <c r="I1186" s="157"/>
      <c r="J1186" s="161"/>
      <c r="L1186" s="94"/>
      <c r="M1186" s="159"/>
      <c r="N1186" s="94"/>
    </row>
    <row r="1187">
      <c r="A1187" s="107">
        <v>201950.0</v>
      </c>
      <c r="B1187" s="108" t="s">
        <v>92</v>
      </c>
      <c r="C1187" s="108" t="s">
        <v>442</v>
      </c>
      <c r="D1187" s="100" t="str">
        <f t="shared" si="1"/>
        <v/>
      </c>
      <c r="E1187" s="100" t="str">
        <f t="shared" si="2"/>
        <v/>
      </c>
      <c r="F1187" s="100" t="str">
        <f t="shared" si="3"/>
        <v/>
      </c>
      <c r="G1187" s="151"/>
      <c r="H1187" s="156"/>
      <c r="I1187" s="157"/>
      <c r="J1187" s="158"/>
      <c r="L1187" s="94"/>
      <c r="M1187" s="159"/>
      <c r="N1187" s="94"/>
    </row>
    <row r="1188">
      <c r="A1188" s="107">
        <v>201950.0</v>
      </c>
      <c r="B1188" s="108" t="s">
        <v>190</v>
      </c>
      <c r="C1188" s="108" t="s">
        <v>442</v>
      </c>
      <c r="D1188" s="100" t="str">
        <f t="shared" si="1"/>
        <v/>
      </c>
      <c r="E1188" s="100" t="str">
        <f t="shared" si="2"/>
        <v/>
      </c>
      <c r="F1188" s="100" t="str">
        <f t="shared" si="3"/>
        <v/>
      </c>
      <c r="G1188" s="151"/>
      <c r="H1188" s="160"/>
      <c r="I1188" s="157"/>
      <c r="J1188" s="161"/>
      <c r="L1188" s="94"/>
      <c r="M1188" s="159"/>
      <c r="N1188" s="94"/>
    </row>
    <row r="1189">
      <c r="A1189" s="107">
        <v>201950.0</v>
      </c>
      <c r="B1189" s="108" t="s">
        <v>191</v>
      </c>
      <c r="C1189" s="108" t="s">
        <v>442</v>
      </c>
      <c r="D1189" s="100" t="str">
        <f t="shared" si="1"/>
        <v/>
      </c>
      <c r="E1189" s="100" t="str">
        <f t="shared" si="2"/>
        <v/>
      </c>
      <c r="F1189" s="100" t="str">
        <f t="shared" si="3"/>
        <v/>
      </c>
      <c r="G1189" s="151"/>
      <c r="H1189" s="156"/>
      <c r="I1189" s="157"/>
      <c r="J1189" s="158"/>
      <c r="L1189" s="94"/>
      <c r="M1189" s="159"/>
      <c r="N1189" s="94"/>
    </row>
    <row r="1190">
      <c r="A1190" s="107">
        <v>201950.0</v>
      </c>
      <c r="B1190" s="108" t="s">
        <v>192</v>
      </c>
      <c r="C1190" s="108" t="s">
        <v>442</v>
      </c>
      <c r="D1190" s="100" t="str">
        <f t="shared" si="1"/>
        <v/>
      </c>
      <c r="E1190" s="100" t="str">
        <f t="shared" si="2"/>
        <v/>
      </c>
      <c r="F1190" s="100" t="str">
        <f t="shared" si="3"/>
        <v/>
      </c>
      <c r="G1190" s="151"/>
      <c r="H1190" s="160"/>
      <c r="I1190" s="157"/>
      <c r="J1190" s="161"/>
      <c r="L1190" s="94"/>
      <c r="M1190" s="159"/>
      <c r="N1190" s="94"/>
    </row>
    <row r="1191">
      <c r="A1191" s="107">
        <v>201950.0</v>
      </c>
      <c r="B1191" s="108" t="s">
        <v>193</v>
      </c>
      <c r="C1191" s="108" t="s">
        <v>442</v>
      </c>
      <c r="D1191" s="100" t="str">
        <f t="shared" si="1"/>
        <v/>
      </c>
      <c r="E1191" s="100" t="str">
        <f t="shared" si="2"/>
        <v/>
      </c>
      <c r="F1191" s="100" t="str">
        <f t="shared" si="3"/>
        <v/>
      </c>
      <c r="G1191" s="151"/>
      <c r="H1191" s="156"/>
      <c r="I1191" s="157"/>
      <c r="J1191" s="158"/>
      <c r="L1191" s="94"/>
      <c r="M1191" s="159"/>
      <c r="N1191" s="94"/>
    </row>
    <row r="1192">
      <c r="A1192" s="107">
        <v>201950.0</v>
      </c>
      <c r="B1192" s="108" t="s">
        <v>243</v>
      </c>
      <c r="C1192" s="108" t="s">
        <v>442</v>
      </c>
      <c r="D1192" s="100" t="str">
        <f t="shared" si="1"/>
        <v/>
      </c>
      <c r="E1192" s="100" t="str">
        <f t="shared" si="2"/>
        <v/>
      </c>
      <c r="F1192" s="100" t="str">
        <f t="shared" si="3"/>
        <v/>
      </c>
      <c r="G1192" s="151"/>
      <c r="H1192" s="160"/>
      <c r="I1192" s="157"/>
      <c r="J1192" s="161"/>
      <c r="L1192" s="94"/>
      <c r="M1192" s="159"/>
      <c r="N1192" s="94"/>
    </row>
    <row r="1193">
      <c r="A1193" s="107">
        <v>201950.0</v>
      </c>
      <c r="B1193" s="108" t="s">
        <v>215</v>
      </c>
      <c r="C1193" s="108" t="s">
        <v>442</v>
      </c>
      <c r="D1193" s="100" t="str">
        <f t="shared" si="1"/>
        <v/>
      </c>
      <c r="E1193" s="100" t="str">
        <f t="shared" si="2"/>
        <v/>
      </c>
      <c r="F1193" s="100" t="str">
        <f t="shared" si="3"/>
        <v/>
      </c>
      <c r="G1193" s="151"/>
      <c r="H1193" s="156"/>
      <c r="I1193" s="157"/>
      <c r="J1193" s="158"/>
      <c r="L1193" s="94"/>
      <c r="M1193" s="159"/>
      <c r="N1193" s="94"/>
    </row>
    <row r="1194">
      <c r="A1194" s="107">
        <v>201950.0</v>
      </c>
      <c r="B1194" s="108" t="s">
        <v>244</v>
      </c>
      <c r="C1194" s="108" t="s">
        <v>442</v>
      </c>
      <c r="D1194" s="100" t="str">
        <f t="shared" si="1"/>
        <v/>
      </c>
      <c r="E1194" s="100" t="str">
        <f t="shared" si="2"/>
        <v/>
      </c>
      <c r="F1194" s="100" t="str">
        <f t="shared" si="3"/>
        <v/>
      </c>
      <c r="G1194" s="151"/>
      <c r="H1194" s="160"/>
      <c r="I1194" s="157"/>
      <c r="J1194" s="161"/>
      <c r="L1194" s="94"/>
      <c r="M1194" s="159"/>
      <c r="N1194" s="94"/>
    </row>
    <row r="1195">
      <c r="A1195" s="107">
        <v>201950.0</v>
      </c>
      <c r="B1195" s="108" t="s">
        <v>245</v>
      </c>
      <c r="C1195" s="108" t="s">
        <v>442</v>
      </c>
      <c r="D1195" s="100" t="str">
        <f t="shared" si="1"/>
        <v/>
      </c>
      <c r="E1195" s="100" t="str">
        <f t="shared" si="2"/>
        <v/>
      </c>
      <c r="F1195" s="100" t="str">
        <f t="shared" si="3"/>
        <v/>
      </c>
      <c r="G1195" s="151"/>
      <c r="H1195" s="156"/>
      <c r="I1195" s="157"/>
      <c r="J1195" s="158"/>
      <c r="L1195" s="94"/>
      <c r="M1195" s="159"/>
      <c r="N1195" s="94"/>
    </row>
    <row r="1196">
      <c r="A1196" s="107">
        <v>201950.0</v>
      </c>
      <c r="B1196" s="108" t="s">
        <v>246</v>
      </c>
      <c r="C1196" s="108" t="s">
        <v>442</v>
      </c>
      <c r="D1196" s="100" t="str">
        <f t="shared" si="1"/>
        <v/>
      </c>
      <c r="E1196" s="100" t="str">
        <f t="shared" si="2"/>
        <v/>
      </c>
      <c r="F1196" s="100" t="str">
        <f t="shared" si="3"/>
        <v/>
      </c>
      <c r="G1196" s="151"/>
      <c r="H1196" s="160"/>
      <c r="I1196" s="157"/>
      <c r="J1196" s="161"/>
      <c r="L1196" s="94"/>
      <c r="M1196" s="159"/>
      <c r="N1196" s="94"/>
    </row>
    <row r="1197">
      <c r="A1197" s="114">
        <v>201950.0</v>
      </c>
      <c r="B1197" s="113" t="s">
        <v>247</v>
      </c>
      <c r="C1197" s="113" t="s">
        <v>442</v>
      </c>
      <c r="D1197" s="100" t="str">
        <f t="shared" si="1"/>
        <v/>
      </c>
      <c r="E1197" s="100" t="str">
        <f t="shared" si="2"/>
        <v/>
      </c>
      <c r="F1197" s="100" t="str">
        <f t="shared" si="3"/>
        <v/>
      </c>
      <c r="G1197" s="151"/>
      <c r="H1197" s="156"/>
      <c r="I1197" s="157"/>
      <c r="J1197" s="158"/>
      <c r="L1197" s="94"/>
      <c r="M1197" s="159"/>
      <c r="N1197" s="94"/>
    </row>
    <row r="1198">
      <c r="A1198" s="107">
        <v>201951.0</v>
      </c>
      <c r="B1198" s="108" t="s">
        <v>85</v>
      </c>
      <c r="C1198" s="108" t="s">
        <v>443</v>
      </c>
      <c r="D1198" s="100" t="str">
        <f t="shared" si="1"/>
        <v/>
      </c>
      <c r="E1198" s="100" t="str">
        <f t="shared" si="2"/>
        <v/>
      </c>
      <c r="F1198" s="100" t="str">
        <f t="shared" si="3"/>
        <v/>
      </c>
      <c r="G1198" s="151"/>
      <c r="H1198" s="160"/>
      <c r="I1198" s="157"/>
      <c r="J1198" s="161"/>
      <c r="L1198" s="94"/>
      <c r="M1198" s="159"/>
      <c r="N1198" s="94"/>
    </row>
    <row r="1199">
      <c r="A1199" s="107">
        <v>201951.0</v>
      </c>
      <c r="B1199" s="108" t="s">
        <v>90</v>
      </c>
      <c r="C1199" s="108" t="s">
        <v>443</v>
      </c>
      <c r="D1199" s="100" t="str">
        <f t="shared" si="1"/>
        <v/>
      </c>
      <c r="E1199" s="100" t="str">
        <f t="shared" si="2"/>
        <v/>
      </c>
      <c r="F1199" s="100" t="str">
        <f t="shared" si="3"/>
        <v/>
      </c>
      <c r="G1199" s="151"/>
      <c r="H1199" s="156"/>
      <c r="I1199" s="157"/>
      <c r="J1199" s="158"/>
      <c r="L1199" s="94"/>
      <c r="M1199" s="159"/>
      <c r="N1199" s="94"/>
    </row>
    <row r="1200">
      <c r="A1200" s="107">
        <v>201951.0</v>
      </c>
      <c r="B1200" s="108" t="s">
        <v>92</v>
      </c>
      <c r="C1200" s="108" t="s">
        <v>443</v>
      </c>
      <c r="D1200" s="100" t="str">
        <f t="shared" si="1"/>
        <v/>
      </c>
      <c r="E1200" s="100" t="str">
        <f t="shared" si="2"/>
        <v/>
      </c>
      <c r="F1200" s="100" t="str">
        <f t="shared" si="3"/>
        <v/>
      </c>
      <c r="G1200" s="151"/>
      <c r="H1200" s="160"/>
      <c r="I1200" s="157"/>
      <c r="J1200" s="161"/>
      <c r="L1200" s="94"/>
      <c r="M1200" s="159"/>
      <c r="N1200" s="94"/>
    </row>
    <row r="1201">
      <c r="A1201" s="107">
        <v>201951.0</v>
      </c>
      <c r="B1201" s="108" t="s">
        <v>190</v>
      </c>
      <c r="C1201" s="108" t="s">
        <v>443</v>
      </c>
      <c r="D1201" s="100" t="str">
        <f t="shared" si="1"/>
        <v/>
      </c>
      <c r="E1201" s="100" t="str">
        <f t="shared" si="2"/>
        <v/>
      </c>
      <c r="F1201" s="100" t="str">
        <f t="shared" si="3"/>
        <v/>
      </c>
      <c r="G1201" s="151"/>
      <c r="H1201" s="156"/>
      <c r="I1201" s="157"/>
      <c r="J1201" s="158"/>
      <c r="L1201" s="94"/>
      <c r="M1201" s="159"/>
      <c r="N1201" s="94"/>
    </row>
    <row r="1202">
      <c r="A1202" s="107">
        <v>201952.0</v>
      </c>
      <c r="B1202" s="108" t="s">
        <v>85</v>
      </c>
      <c r="C1202" s="108" t="s">
        <v>444</v>
      </c>
      <c r="D1202" s="100" t="str">
        <f t="shared" si="1"/>
        <v/>
      </c>
      <c r="E1202" s="100" t="str">
        <f t="shared" si="2"/>
        <v/>
      </c>
      <c r="F1202" s="100" t="str">
        <f t="shared" si="3"/>
        <v/>
      </c>
      <c r="G1202" s="151"/>
      <c r="H1202" s="160"/>
      <c r="I1202" s="157"/>
      <c r="J1202" s="161"/>
      <c r="L1202" s="94"/>
      <c r="M1202" s="159"/>
      <c r="N1202" s="94"/>
    </row>
    <row r="1203">
      <c r="A1203" s="107">
        <v>201952.0</v>
      </c>
      <c r="B1203" s="108" t="s">
        <v>90</v>
      </c>
      <c r="C1203" s="108" t="s">
        <v>444</v>
      </c>
      <c r="D1203" s="100" t="str">
        <f t="shared" si="1"/>
        <v/>
      </c>
      <c r="E1203" s="100" t="str">
        <f t="shared" si="2"/>
        <v/>
      </c>
      <c r="F1203" s="100" t="str">
        <f t="shared" si="3"/>
        <v/>
      </c>
      <c r="G1203" s="151"/>
      <c r="H1203" s="156"/>
      <c r="I1203" s="157"/>
      <c r="J1203" s="158"/>
      <c r="L1203" s="94"/>
      <c r="M1203" s="159"/>
      <c r="N1203" s="94"/>
    </row>
    <row r="1204">
      <c r="A1204" s="107">
        <v>201952.0</v>
      </c>
      <c r="B1204" s="108" t="s">
        <v>92</v>
      </c>
      <c r="C1204" s="108" t="s">
        <v>444</v>
      </c>
      <c r="D1204" s="100" t="str">
        <f t="shared" si="1"/>
        <v/>
      </c>
      <c r="E1204" s="100" t="str">
        <f t="shared" si="2"/>
        <v/>
      </c>
      <c r="F1204" s="100" t="str">
        <f t="shared" si="3"/>
        <v/>
      </c>
      <c r="G1204" s="151"/>
      <c r="H1204" s="160"/>
      <c r="I1204" s="157"/>
      <c r="J1204" s="161"/>
      <c r="L1204" s="94"/>
      <c r="M1204" s="159"/>
      <c r="N1204" s="94"/>
    </row>
    <row r="1205">
      <c r="A1205" s="107">
        <v>201952.0</v>
      </c>
      <c r="B1205" s="108" t="s">
        <v>190</v>
      </c>
      <c r="C1205" s="108" t="s">
        <v>444</v>
      </c>
      <c r="D1205" s="100" t="str">
        <f t="shared" si="1"/>
        <v/>
      </c>
      <c r="E1205" s="100" t="str">
        <f t="shared" si="2"/>
        <v/>
      </c>
      <c r="F1205" s="100" t="str">
        <f t="shared" si="3"/>
        <v/>
      </c>
      <c r="G1205" s="151"/>
      <c r="H1205" s="156"/>
      <c r="I1205" s="157"/>
      <c r="J1205" s="158"/>
      <c r="L1205" s="94"/>
      <c r="M1205" s="159"/>
      <c r="N1205" s="94"/>
    </row>
    <row r="1206">
      <c r="A1206" s="107">
        <v>201952.0</v>
      </c>
      <c r="B1206" s="108" t="s">
        <v>191</v>
      </c>
      <c r="C1206" s="108" t="s">
        <v>444</v>
      </c>
      <c r="D1206" s="100" t="str">
        <f t="shared" si="1"/>
        <v/>
      </c>
      <c r="E1206" s="100" t="str">
        <f t="shared" si="2"/>
        <v/>
      </c>
      <c r="F1206" s="100" t="str">
        <f t="shared" si="3"/>
        <v/>
      </c>
      <c r="G1206" s="151"/>
      <c r="H1206" s="160"/>
      <c r="I1206" s="157"/>
      <c r="J1206" s="161"/>
      <c r="L1206" s="94"/>
      <c r="M1206" s="159"/>
      <c r="N1206" s="94"/>
    </row>
    <row r="1207">
      <c r="A1207" s="107">
        <v>201952.0</v>
      </c>
      <c r="B1207" s="108" t="s">
        <v>192</v>
      </c>
      <c r="C1207" s="108" t="s">
        <v>444</v>
      </c>
      <c r="D1207" s="100" t="str">
        <f t="shared" si="1"/>
        <v/>
      </c>
      <c r="E1207" s="100" t="str">
        <f t="shared" si="2"/>
        <v/>
      </c>
      <c r="F1207" s="100" t="str">
        <f t="shared" si="3"/>
        <v/>
      </c>
      <c r="G1207" s="151"/>
      <c r="H1207" s="156"/>
      <c r="I1207" s="157"/>
      <c r="J1207" s="158"/>
      <c r="L1207" s="94"/>
      <c r="M1207" s="159"/>
      <c r="N1207" s="94"/>
    </row>
    <row r="1208">
      <c r="A1208" s="107">
        <v>201952.0</v>
      </c>
      <c r="B1208" s="108" t="s">
        <v>193</v>
      </c>
      <c r="C1208" s="108" t="s">
        <v>444</v>
      </c>
      <c r="D1208" s="100" t="str">
        <f t="shared" si="1"/>
        <v/>
      </c>
      <c r="E1208" s="100" t="str">
        <f t="shared" si="2"/>
        <v/>
      </c>
      <c r="F1208" s="100" t="str">
        <f t="shared" si="3"/>
        <v/>
      </c>
      <c r="G1208" s="151"/>
      <c r="H1208" s="160"/>
      <c r="I1208" s="157"/>
      <c r="J1208" s="161"/>
      <c r="L1208" s="94"/>
      <c r="M1208" s="159"/>
      <c r="N1208" s="94"/>
    </row>
    <row r="1209">
      <c r="A1209" s="107">
        <v>201952.0</v>
      </c>
      <c r="B1209" s="108" t="s">
        <v>243</v>
      </c>
      <c r="C1209" s="108" t="s">
        <v>444</v>
      </c>
      <c r="D1209" s="100" t="str">
        <f t="shared" si="1"/>
        <v/>
      </c>
      <c r="E1209" s="100" t="str">
        <f t="shared" si="2"/>
        <v/>
      </c>
      <c r="F1209" s="100" t="str">
        <f t="shared" si="3"/>
        <v/>
      </c>
      <c r="G1209" s="151"/>
      <c r="H1209" s="156"/>
      <c r="I1209" s="157"/>
      <c r="J1209" s="158"/>
      <c r="L1209" s="94"/>
      <c r="M1209" s="159"/>
      <c r="N1209" s="94"/>
    </row>
    <row r="1210">
      <c r="A1210" s="107">
        <v>201953.0</v>
      </c>
      <c r="B1210" s="108" t="s">
        <v>85</v>
      </c>
      <c r="C1210" s="108" t="s">
        <v>445</v>
      </c>
      <c r="D1210" s="100" t="str">
        <f t="shared" si="1"/>
        <v/>
      </c>
      <c r="E1210" s="100" t="str">
        <f t="shared" si="2"/>
        <v/>
      </c>
      <c r="F1210" s="100" t="str">
        <f t="shared" si="3"/>
        <v/>
      </c>
      <c r="G1210" s="151"/>
      <c r="H1210" s="160"/>
      <c r="I1210" s="157"/>
      <c r="J1210" s="161"/>
      <c r="L1210" s="94"/>
      <c r="M1210" s="159"/>
      <c r="N1210" s="94"/>
    </row>
    <row r="1211">
      <c r="A1211" s="107">
        <v>201954.0</v>
      </c>
      <c r="B1211" s="108" t="s">
        <v>85</v>
      </c>
      <c r="C1211" s="108" t="s">
        <v>446</v>
      </c>
      <c r="D1211" s="100" t="str">
        <f t="shared" si="1"/>
        <v/>
      </c>
      <c r="E1211" s="100" t="str">
        <f t="shared" si="2"/>
        <v/>
      </c>
      <c r="F1211" s="100" t="str">
        <f t="shared" si="3"/>
        <v/>
      </c>
      <c r="G1211" s="151"/>
      <c r="H1211" s="156"/>
      <c r="I1211" s="157"/>
      <c r="J1211" s="158"/>
      <c r="L1211" s="94"/>
      <c r="M1211" s="159"/>
      <c r="N1211" s="94"/>
    </row>
    <row r="1212">
      <c r="A1212" s="107">
        <v>201954.0</v>
      </c>
      <c r="B1212" s="108" t="s">
        <v>90</v>
      </c>
      <c r="C1212" s="108" t="s">
        <v>446</v>
      </c>
      <c r="D1212" s="100" t="str">
        <f t="shared" si="1"/>
        <v/>
      </c>
      <c r="E1212" s="100" t="str">
        <f t="shared" si="2"/>
        <v/>
      </c>
      <c r="F1212" s="100" t="str">
        <f t="shared" si="3"/>
        <v/>
      </c>
      <c r="G1212" s="151"/>
      <c r="H1212" s="160"/>
      <c r="I1212" s="157"/>
      <c r="J1212" s="161"/>
      <c r="L1212" s="94"/>
      <c r="M1212" s="159"/>
      <c r="N1212" s="94"/>
    </row>
    <row r="1213">
      <c r="A1213" s="107">
        <v>201954.0</v>
      </c>
      <c r="B1213" s="108" t="s">
        <v>92</v>
      </c>
      <c r="C1213" s="108" t="s">
        <v>446</v>
      </c>
      <c r="D1213" s="100" t="str">
        <f t="shared" si="1"/>
        <v/>
      </c>
      <c r="E1213" s="100" t="str">
        <f t="shared" si="2"/>
        <v/>
      </c>
      <c r="F1213" s="100" t="str">
        <f t="shared" si="3"/>
        <v/>
      </c>
      <c r="G1213" s="151"/>
      <c r="H1213" s="156"/>
      <c r="I1213" s="157"/>
      <c r="J1213" s="158"/>
      <c r="L1213" s="94"/>
      <c r="M1213" s="159"/>
      <c r="N1213" s="94"/>
    </row>
    <row r="1214">
      <c r="A1214" s="107">
        <v>201954.0</v>
      </c>
      <c r="B1214" s="108" t="s">
        <v>190</v>
      </c>
      <c r="C1214" s="108" t="s">
        <v>446</v>
      </c>
      <c r="D1214" s="100" t="str">
        <f t="shared" si="1"/>
        <v/>
      </c>
      <c r="E1214" s="100" t="str">
        <f t="shared" si="2"/>
        <v/>
      </c>
      <c r="F1214" s="100" t="str">
        <f t="shared" si="3"/>
        <v/>
      </c>
      <c r="G1214" s="151"/>
      <c r="H1214" s="160"/>
      <c r="I1214" s="157"/>
      <c r="J1214" s="161"/>
      <c r="L1214" s="94"/>
      <c r="M1214" s="159"/>
      <c r="N1214" s="94"/>
    </row>
    <row r="1215">
      <c r="A1215" s="107">
        <v>201954.0</v>
      </c>
      <c r="B1215" s="108" t="s">
        <v>191</v>
      </c>
      <c r="C1215" s="108" t="s">
        <v>446</v>
      </c>
      <c r="D1215" s="100" t="str">
        <f t="shared" si="1"/>
        <v/>
      </c>
      <c r="E1215" s="100" t="str">
        <f t="shared" si="2"/>
        <v/>
      </c>
      <c r="F1215" s="100" t="str">
        <f t="shared" si="3"/>
        <v/>
      </c>
      <c r="G1215" s="151"/>
      <c r="H1215" s="156"/>
      <c r="I1215" s="157"/>
      <c r="J1215" s="158"/>
      <c r="L1215" s="94"/>
      <c r="M1215" s="159"/>
      <c r="N1215" s="94"/>
    </row>
    <row r="1216">
      <c r="A1216" s="107">
        <v>201954.0</v>
      </c>
      <c r="B1216" s="108" t="s">
        <v>192</v>
      </c>
      <c r="C1216" s="108" t="s">
        <v>446</v>
      </c>
      <c r="D1216" s="100" t="str">
        <f t="shared" si="1"/>
        <v/>
      </c>
      <c r="E1216" s="100" t="str">
        <f t="shared" si="2"/>
        <v/>
      </c>
      <c r="F1216" s="100" t="str">
        <f t="shared" si="3"/>
        <v/>
      </c>
      <c r="G1216" s="151"/>
      <c r="H1216" s="160"/>
      <c r="I1216" s="157"/>
      <c r="J1216" s="161"/>
      <c r="L1216" s="94"/>
      <c r="M1216" s="159"/>
      <c r="N1216" s="94"/>
    </row>
    <row r="1217">
      <c r="A1217" s="107">
        <v>201954.0</v>
      </c>
      <c r="B1217" s="108" t="s">
        <v>215</v>
      </c>
      <c r="C1217" s="108" t="s">
        <v>446</v>
      </c>
      <c r="D1217" s="100" t="str">
        <f t="shared" si="1"/>
        <v/>
      </c>
      <c r="E1217" s="100" t="str">
        <f t="shared" si="2"/>
        <v/>
      </c>
      <c r="F1217" s="100" t="str">
        <f t="shared" si="3"/>
        <v/>
      </c>
      <c r="G1217" s="151"/>
      <c r="H1217" s="156"/>
      <c r="I1217" s="157"/>
      <c r="J1217" s="158"/>
      <c r="L1217" s="94"/>
      <c r="M1217" s="159"/>
      <c r="N1217" s="94"/>
    </row>
    <row r="1218">
      <c r="A1218" s="107">
        <v>201956.0</v>
      </c>
      <c r="B1218" s="108" t="s">
        <v>85</v>
      </c>
      <c r="C1218" s="108" t="s">
        <v>447</v>
      </c>
      <c r="D1218" s="100" t="str">
        <f t="shared" si="1"/>
        <v/>
      </c>
      <c r="E1218" s="100" t="str">
        <f t="shared" si="2"/>
        <v/>
      </c>
      <c r="F1218" s="100" t="str">
        <f t="shared" si="3"/>
        <v/>
      </c>
      <c r="G1218" s="151"/>
      <c r="H1218" s="160"/>
      <c r="I1218" s="157"/>
      <c r="J1218" s="161"/>
      <c r="L1218" s="94"/>
      <c r="M1218" s="159"/>
      <c r="N1218" s="94"/>
    </row>
    <row r="1219">
      <c r="A1219" s="107">
        <v>201956.0</v>
      </c>
      <c r="B1219" s="108" t="s">
        <v>90</v>
      </c>
      <c r="C1219" s="108" t="s">
        <v>447</v>
      </c>
      <c r="D1219" s="100" t="str">
        <f t="shared" si="1"/>
        <v/>
      </c>
      <c r="E1219" s="100" t="str">
        <f t="shared" si="2"/>
        <v/>
      </c>
      <c r="F1219" s="100" t="str">
        <f t="shared" si="3"/>
        <v/>
      </c>
      <c r="G1219" s="151"/>
      <c r="H1219" s="156"/>
      <c r="I1219" s="157"/>
      <c r="J1219" s="158"/>
      <c r="L1219" s="94"/>
      <c r="M1219" s="159"/>
      <c r="N1219" s="94"/>
    </row>
    <row r="1220">
      <c r="A1220" s="107">
        <v>201956.0</v>
      </c>
      <c r="B1220" s="108" t="s">
        <v>92</v>
      </c>
      <c r="C1220" s="108" t="s">
        <v>447</v>
      </c>
      <c r="D1220" s="100" t="str">
        <f t="shared" si="1"/>
        <v/>
      </c>
      <c r="E1220" s="100" t="str">
        <f t="shared" si="2"/>
        <v/>
      </c>
      <c r="F1220" s="100" t="str">
        <f t="shared" si="3"/>
        <v/>
      </c>
      <c r="G1220" s="151"/>
      <c r="H1220" s="160"/>
      <c r="I1220" s="157"/>
      <c r="J1220" s="161"/>
      <c r="L1220" s="94"/>
      <c r="M1220" s="159"/>
      <c r="N1220" s="94"/>
    </row>
    <row r="1221">
      <c r="A1221" s="107">
        <v>201956.0</v>
      </c>
      <c r="B1221" s="108" t="s">
        <v>190</v>
      </c>
      <c r="C1221" s="108" t="s">
        <v>447</v>
      </c>
      <c r="D1221" s="100" t="str">
        <f t="shared" si="1"/>
        <v/>
      </c>
      <c r="E1221" s="100" t="str">
        <f t="shared" si="2"/>
        <v/>
      </c>
      <c r="F1221" s="100" t="str">
        <f t="shared" si="3"/>
        <v/>
      </c>
      <c r="G1221" s="151"/>
      <c r="H1221" s="156"/>
      <c r="I1221" s="157"/>
      <c r="J1221" s="158"/>
      <c r="L1221" s="94"/>
      <c r="M1221" s="159"/>
      <c r="N1221" s="94"/>
    </row>
    <row r="1222">
      <c r="A1222" s="107">
        <v>201956.0</v>
      </c>
      <c r="B1222" s="108" t="s">
        <v>191</v>
      </c>
      <c r="C1222" s="108" t="s">
        <v>447</v>
      </c>
      <c r="D1222" s="100" t="str">
        <f t="shared" si="1"/>
        <v/>
      </c>
      <c r="E1222" s="100" t="str">
        <f t="shared" si="2"/>
        <v/>
      </c>
      <c r="F1222" s="100" t="str">
        <f t="shared" si="3"/>
        <v/>
      </c>
      <c r="G1222" s="151"/>
      <c r="H1222" s="160"/>
      <c r="I1222" s="157"/>
      <c r="J1222" s="161"/>
      <c r="L1222" s="94"/>
      <c r="M1222" s="159"/>
      <c r="N1222" s="94"/>
    </row>
    <row r="1223">
      <c r="A1223" s="107">
        <v>201956.0</v>
      </c>
      <c r="B1223" s="108" t="s">
        <v>192</v>
      </c>
      <c r="C1223" s="108" t="s">
        <v>447</v>
      </c>
      <c r="D1223" s="100" t="str">
        <f t="shared" si="1"/>
        <v/>
      </c>
      <c r="E1223" s="100" t="str">
        <f t="shared" si="2"/>
        <v/>
      </c>
      <c r="F1223" s="100" t="str">
        <f t="shared" si="3"/>
        <v/>
      </c>
      <c r="G1223" s="151"/>
      <c r="H1223" s="156"/>
      <c r="I1223" s="157"/>
      <c r="J1223" s="158"/>
      <c r="L1223" s="94"/>
      <c r="M1223" s="159"/>
      <c r="N1223" s="94"/>
    </row>
    <row r="1224">
      <c r="A1224" s="107">
        <v>201957.0</v>
      </c>
      <c r="B1224" s="108" t="s">
        <v>85</v>
      </c>
      <c r="C1224" s="108" t="s">
        <v>448</v>
      </c>
      <c r="D1224" s="100" t="str">
        <f t="shared" si="1"/>
        <v/>
      </c>
      <c r="E1224" s="100" t="str">
        <f t="shared" si="2"/>
        <v/>
      </c>
      <c r="F1224" s="100" t="str">
        <f t="shared" si="3"/>
        <v/>
      </c>
      <c r="G1224" s="151"/>
      <c r="H1224" s="160"/>
      <c r="I1224" s="157"/>
      <c r="J1224" s="161"/>
      <c r="L1224" s="94"/>
      <c r="M1224" s="159"/>
      <c r="N1224" s="94"/>
    </row>
    <row r="1225">
      <c r="A1225" s="107">
        <v>201959.0</v>
      </c>
      <c r="B1225" s="108" t="s">
        <v>85</v>
      </c>
      <c r="C1225" s="108" t="s">
        <v>449</v>
      </c>
      <c r="D1225" s="100" t="str">
        <f t="shared" si="1"/>
        <v/>
      </c>
      <c r="E1225" s="100" t="str">
        <f t="shared" si="2"/>
        <v/>
      </c>
      <c r="F1225" s="100" t="str">
        <f t="shared" si="3"/>
        <v/>
      </c>
      <c r="G1225" s="151"/>
      <c r="H1225" s="156"/>
      <c r="I1225" s="157"/>
      <c r="J1225" s="158"/>
      <c r="L1225" s="94"/>
      <c r="M1225" s="159"/>
      <c r="N1225" s="94"/>
    </row>
    <row r="1226">
      <c r="A1226" s="107">
        <v>201959.0</v>
      </c>
      <c r="B1226" s="108" t="s">
        <v>90</v>
      </c>
      <c r="C1226" s="108" t="s">
        <v>449</v>
      </c>
      <c r="D1226" s="100" t="str">
        <f t="shared" si="1"/>
        <v/>
      </c>
      <c r="E1226" s="100" t="str">
        <f t="shared" si="2"/>
        <v/>
      </c>
      <c r="F1226" s="100" t="str">
        <f t="shared" si="3"/>
        <v/>
      </c>
      <c r="G1226" s="151"/>
      <c r="H1226" s="160"/>
      <c r="I1226" s="157"/>
      <c r="J1226" s="161"/>
      <c r="L1226" s="94"/>
      <c r="M1226" s="159"/>
      <c r="N1226" s="94"/>
    </row>
    <row r="1227">
      <c r="A1227" s="107">
        <v>201959.0</v>
      </c>
      <c r="B1227" s="108" t="s">
        <v>92</v>
      </c>
      <c r="C1227" s="108" t="s">
        <v>449</v>
      </c>
      <c r="D1227" s="100" t="str">
        <f t="shared" si="1"/>
        <v/>
      </c>
      <c r="E1227" s="100" t="str">
        <f t="shared" si="2"/>
        <v/>
      </c>
      <c r="F1227" s="100" t="str">
        <f t="shared" si="3"/>
        <v/>
      </c>
      <c r="G1227" s="151"/>
      <c r="H1227" s="156"/>
      <c r="I1227" s="157"/>
      <c r="J1227" s="158"/>
      <c r="L1227" s="94"/>
      <c r="M1227" s="159"/>
      <c r="N1227" s="94"/>
    </row>
    <row r="1228">
      <c r="A1228" s="107">
        <v>201959.0</v>
      </c>
      <c r="B1228" s="108" t="s">
        <v>190</v>
      </c>
      <c r="C1228" s="108" t="s">
        <v>449</v>
      </c>
      <c r="D1228" s="100" t="str">
        <f t="shared" si="1"/>
        <v/>
      </c>
      <c r="E1228" s="100" t="str">
        <f t="shared" si="2"/>
        <v/>
      </c>
      <c r="F1228" s="100" t="str">
        <f t="shared" si="3"/>
        <v/>
      </c>
      <c r="G1228" s="151"/>
      <c r="H1228" s="160"/>
      <c r="I1228" s="157"/>
      <c r="J1228" s="161"/>
      <c r="L1228" s="94"/>
      <c r="M1228" s="159"/>
      <c r="N1228" s="94"/>
    </row>
    <row r="1229">
      <c r="A1229" s="107">
        <v>201959.0</v>
      </c>
      <c r="B1229" s="108" t="s">
        <v>191</v>
      </c>
      <c r="C1229" s="108" t="s">
        <v>449</v>
      </c>
      <c r="D1229" s="100" t="str">
        <f t="shared" si="1"/>
        <v/>
      </c>
      <c r="E1229" s="100" t="str">
        <f t="shared" si="2"/>
        <v/>
      </c>
      <c r="F1229" s="100" t="str">
        <f t="shared" si="3"/>
        <v/>
      </c>
      <c r="G1229" s="151"/>
      <c r="H1229" s="156"/>
      <c r="I1229" s="157"/>
      <c r="J1229" s="158"/>
      <c r="L1229" s="94"/>
      <c r="M1229" s="159"/>
      <c r="N1229" s="94"/>
    </row>
    <row r="1230">
      <c r="A1230" s="107">
        <v>201959.0</v>
      </c>
      <c r="B1230" s="108" t="s">
        <v>192</v>
      </c>
      <c r="C1230" s="108" t="s">
        <v>449</v>
      </c>
      <c r="D1230" s="100" t="str">
        <f t="shared" si="1"/>
        <v/>
      </c>
      <c r="E1230" s="100" t="str">
        <f t="shared" si="2"/>
        <v/>
      </c>
      <c r="F1230" s="100" t="str">
        <f t="shared" si="3"/>
        <v/>
      </c>
      <c r="G1230" s="151"/>
      <c r="H1230" s="160"/>
      <c r="I1230" s="157"/>
      <c r="J1230" s="161"/>
      <c r="L1230" s="94"/>
      <c r="M1230" s="159"/>
      <c r="N1230" s="94"/>
    </row>
    <row r="1231">
      <c r="A1231" s="107">
        <v>201959.0</v>
      </c>
      <c r="B1231" s="108" t="s">
        <v>193</v>
      </c>
      <c r="C1231" s="108" t="s">
        <v>449</v>
      </c>
      <c r="D1231" s="100" t="str">
        <f t="shared" si="1"/>
        <v/>
      </c>
      <c r="E1231" s="100" t="str">
        <f t="shared" si="2"/>
        <v/>
      </c>
      <c r="F1231" s="100" t="str">
        <f t="shared" si="3"/>
        <v/>
      </c>
      <c r="G1231" s="151"/>
      <c r="H1231" s="156"/>
      <c r="I1231" s="157"/>
      <c r="J1231" s="158"/>
      <c r="L1231" s="94"/>
      <c r="M1231" s="159"/>
      <c r="N1231" s="94"/>
    </row>
    <row r="1232">
      <c r="A1232" s="107">
        <v>201959.0</v>
      </c>
      <c r="B1232" s="108" t="s">
        <v>243</v>
      </c>
      <c r="C1232" s="108" t="s">
        <v>449</v>
      </c>
      <c r="D1232" s="100" t="str">
        <f t="shared" si="1"/>
        <v/>
      </c>
      <c r="E1232" s="100" t="str">
        <f t="shared" si="2"/>
        <v/>
      </c>
      <c r="F1232" s="100" t="str">
        <f t="shared" si="3"/>
        <v/>
      </c>
      <c r="G1232" s="151"/>
      <c r="H1232" s="160"/>
      <c r="I1232" s="157"/>
      <c r="J1232" s="161"/>
      <c r="L1232" s="94"/>
      <c r="M1232" s="159"/>
      <c r="N1232" s="94"/>
    </row>
    <row r="1233">
      <c r="A1233" s="107">
        <v>201959.0</v>
      </c>
      <c r="B1233" s="108" t="s">
        <v>215</v>
      </c>
      <c r="C1233" s="108" t="s">
        <v>449</v>
      </c>
      <c r="D1233" s="100" t="str">
        <f t="shared" si="1"/>
        <v/>
      </c>
      <c r="E1233" s="100" t="str">
        <f t="shared" si="2"/>
        <v/>
      </c>
      <c r="F1233" s="100" t="str">
        <f t="shared" si="3"/>
        <v/>
      </c>
      <c r="G1233" s="151"/>
      <c r="H1233" s="156"/>
      <c r="I1233" s="157"/>
      <c r="J1233" s="158"/>
      <c r="L1233" s="94"/>
      <c r="M1233" s="159"/>
      <c r="N1233" s="94"/>
    </row>
    <row r="1234">
      <c r="A1234" s="107">
        <v>201959.0</v>
      </c>
      <c r="B1234" s="108" t="s">
        <v>244</v>
      </c>
      <c r="C1234" s="108" t="s">
        <v>449</v>
      </c>
      <c r="D1234" s="100" t="str">
        <f t="shared" si="1"/>
        <v/>
      </c>
      <c r="E1234" s="100" t="str">
        <f t="shared" si="2"/>
        <v/>
      </c>
      <c r="F1234" s="100" t="str">
        <f t="shared" si="3"/>
        <v/>
      </c>
      <c r="G1234" s="151"/>
      <c r="H1234" s="160"/>
      <c r="I1234" s="157"/>
      <c r="J1234" s="161"/>
      <c r="L1234" s="94"/>
      <c r="M1234" s="159"/>
      <c r="N1234" s="94"/>
    </row>
    <row r="1235">
      <c r="A1235" s="107">
        <v>201959.0</v>
      </c>
      <c r="B1235" s="108" t="s">
        <v>245</v>
      </c>
      <c r="C1235" s="108" t="s">
        <v>449</v>
      </c>
      <c r="D1235" s="100" t="str">
        <f t="shared" si="1"/>
        <v/>
      </c>
      <c r="E1235" s="100" t="str">
        <f t="shared" si="2"/>
        <v/>
      </c>
      <c r="F1235" s="100" t="str">
        <f t="shared" si="3"/>
        <v/>
      </c>
      <c r="G1235" s="151"/>
      <c r="H1235" s="156"/>
      <c r="I1235" s="157"/>
      <c r="J1235" s="158"/>
      <c r="L1235" s="94"/>
      <c r="M1235" s="159"/>
      <c r="N1235" s="94"/>
    </row>
    <row r="1236">
      <c r="A1236" s="107">
        <v>201959.0</v>
      </c>
      <c r="B1236" s="108" t="s">
        <v>246</v>
      </c>
      <c r="C1236" s="108" t="s">
        <v>449</v>
      </c>
      <c r="D1236" s="100" t="str">
        <f t="shared" si="1"/>
        <v/>
      </c>
      <c r="E1236" s="100" t="str">
        <f t="shared" si="2"/>
        <v/>
      </c>
      <c r="F1236" s="100" t="str">
        <f t="shared" si="3"/>
        <v/>
      </c>
      <c r="G1236" s="151"/>
      <c r="H1236" s="160"/>
      <c r="I1236" s="157"/>
      <c r="J1236" s="161"/>
      <c r="L1236" s="94"/>
      <c r="M1236" s="159"/>
      <c r="N1236" s="94"/>
    </row>
    <row r="1237">
      <c r="A1237" s="107">
        <v>201960.0</v>
      </c>
      <c r="B1237" s="108" t="s">
        <v>85</v>
      </c>
      <c r="C1237" s="108" t="s">
        <v>450</v>
      </c>
      <c r="D1237" s="100" t="str">
        <f t="shared" si="1"/>
        <v/>
      </c>
      <c r="E1237" s="100" t="str">
        <f t="shared" si="2"/>
        <v/>
      </c>
      <c r="F1237" s="100" t="str">
        <f t="shared" si="3"/>
        <v/>
      </c>
      <c r="G1237" s="151"/>
      <c r="H1237" s="156"/>
      <c r="I1237" s="157"/>
      <c r="J1237" s="158"/>
      <c r="L1237" s="94"/>
      <c r="M1237" s="159"/>
      <c r="N1237" s="94"/>
    </row>
    <row r="1238">
      <c r="A1238" s="107">
        <v>201960.0</v>
      </c>
      <c r="B1238" s="108" t="s">
        <v>90</v>
      </c>
      <c r="C1238" s="108" t="s">
        <v>450</v>
      </c>
      <c r="D1238" s="100" t="str">
        <f t="shared" si="1"/>
        <v/>
      </c>
      <c r="E1238" s="100" t="str">
        <f t="shared" si="2"/>
        <v/>
      </c>
      <c r="F1238" s="100" t="str">
        <f t="shared" si="3"/>
        <v/>
      </c>
      <c r="G1238" s="151"/>
      <c r="H1238" s="160"/>
      <c r="I1238" s="157"/>
      <c r="J1238" s="161"/>
      <c r="L1238" s="94"/>
      <c r="M1238" s="159"/>
      <c r="N1238" s="94"/>
    </row>
    <row r="1239">
      <c r="A1239" s="107">
        <v>201960.0</v>
      </c>
      <c r="B1239" s="108" t="s">
        <v>92</v>
      </c>
      <c r="C1239" s="108" t="s">
        <v>450</v>
      </c>
      <c r="D1239" s="100" t="str">
        <f t="shared" si="1"/>
        <v/>
      </c>
      <c r="E1239" s="100" t="str">
        <f t="shared" si="2"/>
        <v/>
      </c>
      <c r="F1239" s="100" t="str">
        <f t="shared" si="3"/>
        <v/>
      </c>
      <c r="G1239" s="151"/>
      <c r="H1239" s="156"/>
      <c r="I1239" s="157"/>
      <c r="J1239" s="158"/>
      <c r="L1239" s="94"/>
      <c r="M1239" s="159"/>
      <c r="N1239" s="94"/>
    </row>
    <row r="1240">
      <c r="A1240" s="107">
        <v>201960.0</v>
      </c>
      <c r="B1240" s="108" t="s">
        <v>190</v>
      </c>
      <c r="C1240" s="108" t="s">
        <v>450</v>
      </c>
      <c r="D1240" s="100" t="str">
        <f t="shared" si="1"/>
        <v/>
      </c>
      <c r="E1240" s="100" t="str">
        <f t="shared" si="2"/>
        <v/>
      </c>
      <c r="F1240" s="100" t="str">
        <f t="shared" si="3"/>
        <v/>
      </c>
      <c r="G1240" s="151"/>
      <c r="H1240" s="160"/>
      <c r="I1240" s="157"/>
      <c r="J1240" s="161"/>
      <c r="L1240" s="94"/>
      <c r="M1240" s="159"/>
      <c r="N1240" s="94"/>
    </row>
    <row r="1241">
      <c r="A1241" s="107">
        <v>201960.0</v>
      </c>
      <c r="B1241" s="108" t="s">
        <v>191</v>
      </c>
      <c r="C1241" s="108" t="s">
        <v>450</v>
      </c>
      <c r="D1241" s="100" t="str">
        <f t="shared" si="1"/>
        <v/>
      </c>
      <c r="E1241" s="100" t="str">
        <f t="shared" si="2"/>
        <v/>
      </c>
      <c r="F1241" s="100" t="str">
        <f t="shared" si="3"/>
        <v/>
      </c>
      <c r="G1241" s="151"/>
      <c r="H1241" s="156"/>
      <c r="I1241" s="157"/>
      <c r="J1241" s="158"/>
      <c r="L1241" s="94"/>
      <c r="M1241" s="159"/>
      <c r="N1241" s="94"/>
    </row>
    <row r="1242">
      <c r="A1242" s="107">
        <v>201960.0</v>
      </c>
      <c r="B1242" s="108" t="s">
        <v>192</v>
      </c>
      <c r="C1242" s="108" t="s">
        <v>450</v>
      </c>
      <c r="D1242" s="100" t="str">
        <f t="shared" si="1"/>
        <v/>
      </c>
      <c r="E1242" s="100" t="str">
        <f t="shared" si="2"/>
        <v/>
      </c>
      <c r="F1242" s="100" t="str">
        <f t="shared" si="3"/>
        <v/>
      </c>
      <c r="G1242" s="151"/>
      <c r="H1242" s="160"/>
      <c r="I1242" s="157"/>
      <c r="J1242" s="161"/>
      <c r="L1242" s="94"/>
      <c r="M1242" s="159"/>
      <c r="N1242" s="94"/>
    </row>
    <row r="1243">
      <c r="A1243" s="107">
        <v>201960.0</v>
      </c>
      <c r="B1243" s="108" t="s">
        <v>193</v>
      </c>
      <c r="C1243" s="108" t="s">
        <v>450</v>
      </c>
      <c r="D1243" s="100" t="str">
        <f t="shared" si="1"/>
        <v/>
      </c>
      <c r="E1243" s="100" t="str">
        <f t="shared" si="2"/>
        <v/>
      </c>
      <c r="F1243" s="100" t="str">
        <f t="shared" si="3"/>
        <v/>
      </c>
      <c r="G1243" s="151"/>
      <c r="H1243" s="156"/>
      <c r="I1243" s="157"/>
      <c r="J1243" s="158"/>
      <c r="L1243" s="94"/>
      <c r="M1243" s="159"/>
      <c r="N1243" s="94"/>
    </row>
    <row r="1244">
      <c r="A1244" s="107">
        <v>201961.0</v>
      </c>
      <c r="B1244" s="108" t="s">
        <v>85</v>
      </c>
      <c r="C1244" s="108" t="s">
        <v>451</v>
      </c>
      <c r="D1244" s="100" t="str">
        <f t="shared" si="1"/>
        <v/>
      </c>
      <c r="E1244" s="100" t="str">
        <f t="shared" si="2"/>
        <v/>
      </c>
      <c r="F1244" s="100" t="str">
        <f t="shared" si="3"/>
        <v/>
      </c>
      <c r="G1244" s="151"/>
      <c r="H1244" s="160"/>
      <c r="I1244" s="157"/>
      <c r="J1244" s="161"/>
      <c r="L1244" s="94"/>
      <c r="M1244" s="159"/>
      <c r="N1244" s="94"/>
    </row>
    <row r="1245">
      <c r="A1245" s="107">
        <v>201961.0</v>
      </c>
      <c r="B1245" s="108" t="s">
        <v>90</v>
      </c>
      <c r="C1245" s="108" t="s">
        <v>451</v>
      </c>
      <c r="D1245" s="100" t="str">
        <f t="shared" si="1"/>
        <v/>
      </c>
      <c r="E1245" s="100" t="str">
        <f t="shared" si="2"/>
        <v/>
      </c>
      <c r="F1245" s="100" t="str">
        <f t="shared" si="3"/>
        <v/>
      </c>
      <c r="G1245" s="151"/>
      <c r="H1245" s="156"/>
      <c r="I1245" s="157"/>
      <c r="J1245" s="158"/>
      <c r="L1245" s="94"/>
      <c r="M1245" s="159"/>
      <c r="N1245" s="94"/>
    </row>
    <row r="1246">
      <c r="A1246" s="107">
        <v>201961.0</v>
      </c>
      <c r="B1246" s="108" t="s">
        <v>92</v>
      </c>
      <c r="C1246" s="108" t="s">
        <v>451</v>
      </c>
      <c r="D1246" s="100" t="str">
        <f t="shared" si="1"/>
        <v/>
      </c>
      <c r="E1246" s="100" t="str">
        <f t="shared" si="2"/>
        <v/>
      </c>
      <c r="F1246" s="100" t="str">
        <f t="shared" si="3"/>
        <v/>
      </c>
      <c r="G1246" s="151"/>
      <c r="H1246" s="160"/>
      <c r="I1246" s="157"/>
      <c r="J1246" s="161"/>
      <c r="L1246" s="94"/>
      <c r="M1246" s="159"/>
      <c r="N1246" s="94"/>
    </row>
    <row r="1247">
      <c r="A1247" s="107">
        <v>201961.0</v>
      </c>
      <c r="B1247" s="108" t="s">
        <v>190</v>
      </c>
      <c r="C1247" s="108" t="s">
        <v>451</v>
      </c>
      <c r="D1247" s="100" t="str">
        <f t="shared" si="1"/>
        <v/>
      </c>
      <c r="E1247" s="100" t="str">
        <f t="shared" si="2"/>
        <v/>
      </c>
      <c r="F1247" s="100" t="str">
        <f t="shared" si="3"/>
        <v/>
      </c>
      <c r="G1247" s="151"/>
      <c r="H1247" s="156"/>
      <c r="I1247" s="157"/>
      <c r="J1247" s="158"/>
      <c r="L1247" s="94"/>
      <c r="M1247" s="159"/>
      <c r="N1247" s="94"/>
    </row>
    <row r="1248">
      <c r="A1248" s="107">
        <v>201961.0</v>
      </c>
      <c r="B1248" s="108" t="s">
        <v>191</v>
      </c>
      <c r="C1248" s="108" t="s">
        <v>451</v>
      </c>
      <c r="D1248" s="100" t="str">
        <f t="shared" si="1"/>
        <v/>
      </c>
      <c r="E1248" s="100" t="str">
        <f t="shared" si="2"/>
        <v/>
      </c>
      <c r="F1248" s="100" t="str">
        <f t="shared" si="3"/>
        <v/>
      </c>
      <c r="G1248" s="151"/>
      <c r="H1248" s="160"/>
      <c r="I1248" s="157"/>
      <c r="J1248" s="161"/>
      <c r="L1248" s="94"/>
      <c r="M1248" s="159"/>
      <c r="N1248" s="94"/>
    </row>
    <row r="1249">
      <c r="A1249" s="107">
        <v>201961.0</v>
      </c>
      <c r="B1249" s="108" t="s">
        <v>192</v>
      </c>
      <c r="C1249" s="108" t="s">
        <v>451</v>
      </c>
      <c r="D1249" s="100" t="str">
        <f t="shared" si="1"/>
        <v/>
      </c>
      <c r="E1249" s="100" t="str">
        <f t="shared" si="2"/>
        <v/>
      </c>
      <c r="F1249" s="100" t="str">
        <f t="shared" si="3"/>
        <v/>
      </c>
      <c r="G1249" s="151"/>
      <c r="H1249" s="156"/>
      <c r="I1249" s="157"/>
      <c r="J1249" s="158"/>
      <c r="L1249" s="94"/>
      <c r="M1249" s="159"/>
      <c r="N1249" s="94"/>
    </row>
    <row r="1250">
      <c r="A1250" s="107">
        <v>201961.0</v>
      </c>
      <c r="B1250" s="108" t="s">
        <v>193</v>
      </c>
      <c r="C1250" s="108" t="s">
        <v>451</v>
      </c>
      <c r="D1250" s="100" t="str">
        <f t="shared" si="1"/>
        <v/>
      </c>
      <c r="E1250" s="100" t="str">
        <f t="shared" si="2"/>
        <v/>
      </c>
      <c r="F1250" s="100" t="str">
        <f t="shared" si="3"/>
        <v/>
      </c>
      <c r="G1250" s="151"/>
      <c r="H1250" s="160"/>
      <c r="I1250" s="157"/>
      <c r="J1250" s="161"/>
      <c r="L1250" s="94"/>
      <c r="M1250" s="159"/>
      <c r="N1250" s="94"/>
    </row>
    <row r="1251">
      <c r="A1251" s="107">
        <v>201961.0</v>
      </c>
      <c r="B1251" s="108" t="s">
        <v>243</v>
      </c>
      <c r="C1251" s="108" t="s">
        <v>451</v>
      </c>
      <c r="D1251" s="100" t="str">
        <f t="shared" si="1"/>
        <v/>
      </c>
      <c r="E1251" s="100" t="str">
        <f t="shared" si="2"/>
        <v/>
      </c>
      <c r="F1251" s="100" t="str">
        <f t="shared" si="3"/>
        <v/>
      </c>
      <c r="G1251" s="151"/>
      <c r="H1251" s="156"/>
      <c r="I1251" s="157"/>
      <c r="J1251" s="158"/>
      <c r="L1251" s="94"/>
      <c r="M1251" s="159"/>
      <c r="N1251" s="94"/>
    </row>
    <row r="1252">
      <c r="A1252" s="107">
        <v>201961.0</v>
      </c>
      <c r="B1252" s="108" t="s">
        <v>215</v>
      </c>
      <c r="C1252" s="108" t="s">
        <v>451</v>
      </c>
      <c r="D1252" s="100" t="str">
        <f t="shared" si="1"/>
        <v/>
      </c>
      <c r="E1252" s="100" t="str">
        <f t="shared" si="2"/>
        <v/>
      </c>
      <c r="F1252" s="100" t="str">
        <f t="shared" si="3"/>
        <v/>
      </c>
      <c r="G1252" s="151"/>
      <c r="H1252" s="160"/>
      <c r="I1252" s="157"/>
      <c r="J1252" s="161"/>
      <c r="L1252" s="94"/>
      <c r="M1252" s="159"/>
      <c r="N1252" s="94"/>
    </row>
    <row r="1253">
      <c r="A1253" s="107">
        <v>201962.0</v>
      </c>
      <c r="B1253" s="108" t="s">
        <v>85</v>
      </c>
      <c r="C1253" s="108" t="s">
        <v>452</v>
      </c>
      <c r="D1253" s="100" t="str">
        <f t="shared" si="1"/>
        <v/>
      </c>
      <c r="E1253" s="100" t="str">
        <f t="shared" si="2"/>
        <v/>
      </c>
      <c r="F1253" s="100" t="str">
        <f t="shared" si="3"/>
        <v/>
      </c>
      <c r="G1253" s="151"/>
      <c r="H1253" s="156"/>
      <c r="I1253" s="157"/>
      <c r="J1253" s="158"/>
      <c r="L1253" s="94"/>
      <c r="M1253" s="159"/>
      <c r="N1253" s="94"/>
    </row>
    <row r="1254">
      <c r="A1254" s="107">
        <v>201962.0</v>
      </c>
      <c r="B1254" s="108" t="s">
        <v>90</v>
      </c>
      <c r="C1254" s="108" t="s">
        <v>452</v>
      </c>
      <c r="D1254" s="100" t="str">
        <f t="shared" si="1"/>
        <v/>
      </c>
      <c r="E1254" s="100" t="str">
        <f t="shared" si="2"/>
        <v/>
      </c>
      <c r="F1254" s="100" t="str">
        <f t="shared" si="3"/>
        <v/>
      </c>
      <c r="G1254" s="151"/>
      <c r="H1254" s="160"/>
      <c r="I1254" s="157"/>
      <c r="J1254" s="161"/>
      <c r="L1254" s="94"/>
      <c r="M1254" s="159"/>
      <c r="N1254" s="94"/>
    </row>
    <row r="1255">
      <c r="A1255" s="107">
        <v>201962.0</v>
      </c>
      <c r="B1255" s="108" t="s">
        <v>92</v>
      </c>
      <c r="C1255" s="108" t="s">
        <v>452</v>
      </c>
      <c r="D1255" s="100" t="str">
        <f t="shared" si="1"/>
        <v/>
      </c>
      <c r="E1255" s="100" t="str">
        <f t="shared" si="2"/>
        <v/>
      </c>
      <c r="F1255" s="100" t="str">
        <f t="shared" si="3"/>
        <v/>
      </c>
      <c r="G1255" s="151"/>
      <c r="H1255" s="156"/>
      <c r="I1255" s="157"/>
      <c r="J1255" s="158"/>
      <c r="L1255" s="94"/>
      <c r="M1255" s="159"/>
      <c r="N1255" s="94"/>
    </row>
    <row r="1256">
      <c r="A1256" s="107">
        <v>201962.0</v>
      </c>
      <c r="B1256" s="108" t="s">
        <v>190</v>
      </c>
      <c r="C1256" s="108" t="s">
        <v>452</v>
      </c>
      <c r="D1256" s="100" t="str">
        <f t="shared" si="1"/>
        <v/>
      </c>
      <c r="E1256" s="100" t="str">
        <f t="shared" si="2"/>
        <v/>
      </c>
      <c r="F1256" s="100" t="str">
        <f t="shared" si="3"/>
        <v/>
      </c>
      <c r="G1256" s="151"/>
      <c r="H1256" s="160"/>
      <c r="I1256" s="157"/>
      <c r="J1256" s="161"/>
      <c r="L1256" s="94"/>
      <c r="M1256" s="159"/>
      <c r="N1256" s="94"/>
    </row>
    <row r="1257">
      <c r="A1257" s="107">
        <v>201964.0</v>
      </c>
      <c r="B1257" s="108" t="s">
        <v>85</v>
      </c>
      <c r="C1257" s="108" t="s">
        <v>453</v>
      </c>
      <c r="D1257" s="100" t="str">
        <f t="shared" si="1"/>
        <v/>
      </c>
      <c r="E1257" s="100" t="str">
        <f t="shared" si="2"/>
        <v/>
      </c>
      <c r="F1257" s="100" t="str">
        <f t="shared" si="3"/>
        <v/>
      </c>
      <c r="G1257" s="151"/>
      <c r="H1257" s="156"/>
      <c r="I1257" s="157"/>
      <c r="J1257" s="158"/>
      <c r="L1257" s="94"/>
      <c r="M1257" s="159"/>
      <c r="N1257" s="94"/>
    </row>
    <row r="1258">
      <c r="A1258" s="107">
        <v>201964.0</v>
      </c>
      <c r="B1258" s="108" t="s">
        <v>90</v>
      </c>
      <c r="C1258" s="108" t="s">
        <v>453</v>
      </c>
      <c r="D1258" s="100" t="str">
        <f t="shared" si="1"/>
        <v/>
      </c>
      <c r="E1258" s="100" t="str">
        <f t="shared" si="2"/>
        <v/>
      </c>
      <c r="F1258" s="100" t="str">
        <f t="shared" si="3"/>
        <v/>
      </c>
      <c r="G1258" s="151"/>
      <c r="H1258" s="160"/>
      <c r="I1258" s="157"/>
      <c r="J1258" s="161"/>
      <c r="L1258" s="94"/>
      <c r="M1258" s="159"/>
      <c r="N1258" s="94"/>
    </row>
    <row r="1259">
      <c r="A1259" s="107">
        <v>201965.0</v>
      </c>
      <c r="B1259" s="108" t="s">
        <v>85</v>
      </c>
      <c r="C1259" s="108" t="s">
        <v>454</v>
      </c>
      <c r="D1259" s="100" t="str">
        <f t="shared" si="1"/>
        <v/>
      </c>
      <c r="E1259" s="100" t="str">
        <f t="shared" si="2"/>
        <v/>
      </c>
      <c r="F1259" s="100" t="str">
        <f t="shared" si="3"/>
        <v/>
      </c>
      <c r="G1259" s="151"/>
      <c r="H1259" s="156"/>
      <c r="I1259" s="157"/>
      <c r="J1259" s="158"/>
      <c r="L1259" s="94"/>
      <c r="M1259" s="159"/>
      <c r="N1259" s="94"/>
    </row>
    <row r="1260">
      <c r="A1260" s="107">
        <v>201965.0</v>
      </c>
      <c r="B1260" s="108" t="s">
        <v>90</v>
      </c>
      <c r="C1260" s="108" t="s">
        <v>454</v>
      </c>
      <c r="D1260" s="100" t="str">
        <f t="shared" si="1"/>
        <v/>
      </c>
      <c r="E1260" s="100" t="str">
        <f t="shared" si="2"/>
        <v/>
      </c>
      <c r="F1260" s="100" t="str">
        <f t="shared" si="3"/>
        <v/>
      </c>
      <c r="G1260" s="151"/>
      <c r="H1260" s="160"/>
      <c r="I1260" s="157"/>
      <c r="J1260" s="161"/>
      <c r="L1260" s="94"/>
      <c r="M1260" s="159"/>
      <c r="N1260" s="94"/>
    </row>
    <row r="1261">
      <c r="A1261" s="107">
        <v>201965.0</v>
      </c>
      <c r="B1261" s="108" t="s">
        <v>92</v>
      </c>
      <c r="C1261" s="108" t="s">
        <v>454</v>
      </c>
      <c r="D1261" s="100" t="str">
        <f t="shared" si="1"/>
        <v/>
      </c>
      <c r="E1261" s="100" t="str">
        <f t="shared" si="2"/>
        <v/>
      </c>
      <c r="F1261" s="100" t="str">
        <f t="shared" si="3"/>
        <v/>
      </c>
      <c r="G1261" s="151"/>
      <c r="H1261" s="156"/>
      <c r="I1261" s="157"/>
      <c r="J1261" s="158"/>
      <c r="L1261" s="94"/>
      <c r="M1261" s="159"/>
      <c r="N1261" s="94"/>
    </row>
    <row r="1262">
      <c r="A1262" s="107">
        <v>201967.0</v>
      </c>
      <c r="B1262" s="108" t="s">
        <v>85</v>
      </c>
      <c r="C1262" s="108" t="s">
        <v>455</v>
      </c>
      <c r="D1262" s="100" t="str">
        <f t="shared" si="1"/>
        <v/>
      </c>
      <c r="E1262" s="100" t="str">
        <f t="shared" si="2"/>
        <v/>
      </c>
      <c r="F1262" s="100" t="str">
        <f t="shared" si="3"/>
        <v/>
      </c>
      <c r="G1262" s="151"/>
      <c r="H1262" s="160"/>
      <c r="I1262" s="157"/>
      <c r="J1262" s="161"/>
      <c r="L1262" s="94"/>
      <c r="M1262" s="159"/>
      <c r="N1262" s="94"/>
    </row>
    <row r="1263">
      <c r="A1263" s="107">
        <v>201967.0</v>
      </c>
      <c r="B1263" s="108" t="s">
        <v>90</v>
      </c>
      <c r="C1263" s="108" t="s">
        <v>455</v>
      </c>
      <c r="D1263" s="100" t="str">
        <f t="shared" si="1"/>
        <v/>
      </c>
      <c r="E1263" s="100" t="str">
        <f t="shared" si="2"/>
        <v/>
      </c>
      <c r="F1263" s="100" t="str">
        <f t="shared" si="3"/>
        <v/>
      </c>
      <c r="G1263" s="151"/>
      <c r="H1263" s="156"/>
      <c r="I1263" s="157"/>
      <c r="J1263" s="158"/>
      <c r="L1263" s="94"/>
      <c r="M1263" s="159"/>
      <c r="N1263" s="94"/>
    </row>
    <row r="1264">
      <c r="A1264" s="107">
        <v>201967.0</v>
      </c>
      <c r="B1264" s="108" t="s">
        <v>92</v>
      </c>
      <c r="C1264" s="108" t="s">
        <v>455</v>
      </c>
      <c r="D1264" s="100" t="str">
        <f t="shared" si="1"/>
        <v/>
      </c>
      <c r="E1264" s="100" t="str">
        <f t="shared" si="2"/>
        <v/>
      </c>
      <c r="F1264" s="100" t="str">
        <f t="shared" si="3"/>
        <v/>
      </c>
      <c r="G1264" s="151"/>
      <c r="H1264" s="160"/>
      <c r="I1264" s="157"/>
      <c r="J1264" s="161"/>
      <c r="L1264" s="94"/>
      <c r="M1264" s="159"/>
      <c r="N1264" s="94"/>
    </row>
    <row r="1265">
      <c r="A1265" s="107">
        <v>201967.0</v>
      </c>
      <c r="B1265" s="108" t="s">
        <v>190</v>
      </c>
      <c r="C1265" s="108" t="s">
        <v>455</v>
      </c>
      <c r="D1265" s="100" t="str">
        <f t="shared" si="1"/>
        <v/>
      </c>
      <c r="E1265" s="100" t="str">
        <f t="shared" si="2"/>
        <v/>
      </c>
      <c r="F1265" s="100" t="str">
        <f t="shared" si="3"/>
        <v/>
      </c>
      <c r="G1265" s="151"/>
      <c r="H1265" s="156"/>
      <c r="I1265" s="157"/>
      <c r="J1265" s="158"/>
      <c r="L1265" s="94"/>
      <c r="M1265" s="159"/>
      <c r="N1265" s="94"/>
    </row>
    <row r="1266">
      <c r="A1266" s="107">
        <v>201967.0</v>
      </c>
      <c r="B1266" s="108" t="s">
        <v>191</v>
      </c>
      <c r="C1266" s="108" t="s">
        <v>455</v>
      </c>
      <c r="D1266" s="100" t="str">
        <f t="shared" si="1"/>
        <v/>
      </c>
      <c r="E1266" s="100" t="str">
        <f t="shared" si="2"/>
        <v/>
      </c>
      <c r="F1266" s="100" t="str">
        <f t="shared" si="3"/>
        <v/>
      </c>
      <c r="G1266" s="151"/>
      <c r="H1266" s="160"/>
      <c r="I1266" s="157"/>
      <c r="J1266" s="161"/>
      <c r="L1266" s="94"/>
      <c r="M1266" s="159"/>
      <c r="N1266" s="94"/>
    </row>
    <row r="1267">
      <c r="A1267" s="107">
        <v>201967.0</v>
      </c>
      <c r="B1267" s="108" t="s">
        <v>192</v>
      </c>
      <c r="C1267" s="108" t="s">
        <v>455</v>
      </c>
      <c r="D1267" s="100" t="str">
        <f t="shared" si="1"/>
        <v/>
      </c>
      <c r="E1267" s="100" t="str">
        <f t="shared" si="2"/>
        <v/>
      </c>
      <c r="F1267" s="100" t="str">
        <f t="shared" si="3"/>
        <v/>
      </c>
      <c r="G1267" s="151"/>
      <c r="H1267" s="156"/>
      <c r="I1267" s="157"/>
      <c r="J1267" s="158"/>
      <c r="L1267" s="94"/>
      <c r="M1267" s="159"/>
      <c r="N1267" s="94"/>
    </row>
    <row r="1268">
      <c r="A1268" s="107">
        <v>201971.0</v>
      </c>
      <c r="B1268" s="108" t="s">
        <v>85</v>
      </c>
      <c r="C1268" s="108" t="s">
        <v>456</v>
      </c>
      <c r="D1268" s="100" t="str">
        <f t="shared" si="1"/>
        <v/>
      </c>
      <c r="E1268" s="100" t="str">
        <f t="shared" si="2"/>
        <v/>
      </c>
      <c r="F1268" s="100" t="str">
        <f t="shared" si="3"/>
        <v/>
      </c>
      <c r="G1268" s="151"/>
      <c r="H1268" s="160"/>
      <c r="I1268" s="157"/>
      <c r="J1268" s="161"/>
      <c r="L1268" s="94"/>
      <c r="M1268" s="159"/>
      <c r="N1268" s="94"/>
    </row>
    <row r="1269">
      <c r="A1269" s="107">
        <v>201971.0</v>
      </c>
      <c r="B1269" s="108" t="s">
        <v>90</v>
      </c>
      <c r="C1269" s="108" t="s">
        <v>456</v>
      </c>
      <c r="D1269" s="100" t="str">
        <f t="shared" si="1"/>
        <v/>
      </c>
      <c r="E1269" s="100" t="str">
        <f t="shared" si="2"/>
        <v/>
      </c>
      <c r="F1269" s="100" t="str">
        <f t="shared" si="3"/>
        <v/>
      </c>
      <c r="G1269" s="151"/>
      <c r="H1269" s="156"/>
      <c r="I1269" s="157"/>
      <c r="J1269" s="158"/>
      <c r="L1269" s="94"/>
      <c r="M1269" s="159"/>
      <c r="N1269" s="94"/>
    </row>
    <row r="1270">
      <c r="A1270" s="107">
        <v>201971.0</v>
      </c>
      <c r="B1270" s="108" t="s">
        <v>92</v>
      </c>
      <c r="C1270" s="108" t="s">
        <v>456</v>
      </c>
      <c r="D1270" s="100" t="str">
        <f t="shared" si="1"/>
        <v/>
      </c>
      <c r="E1270" s="100" t="str">
        <f t="shared" si="2"/>
        <v/>
      </c>
      <c r="F1270" s="100" t="str">
        <f t="shared" si="3"/>
        <v/>
      </c>
      <c r="G1270" s="151"/>
      <c r="H1270" s="160"/>
      <c r="I1270" s="157"/>
      <c r="J1270" s="161"/>
      <c r="L1270" s="94"/>
      <c r="M1270" s="159"/>
      <c r="N1270" s="94"/>
    </row>
    <row r="1271">
      <c r="A1271" s="107">
        <v>201973.0</v>
      </c>
      <c r="B1271" s="108" t="s">
        <v>85</v>
      </c>
      <c r="C1271" s="108" t="s">
        <v>457</v>
      </c>
      <c r="D1271" s="100" t="str">
        <f t="shared" si="1"/>
        <v/>
      </c>
      <c r="E1271" s="100" t="str">
        <f t="shared" si="2"/>
        <v/>
      </c>
      <c r="F1271" s="100" t="str">
        <f t="shared" si="3"/>
        <v/>
      </c>
      <c r="G1271" s="151"/>
      <c r="H1271" s="156"/>
      <c r="I1271" s="157"/>
      <c r="J1271" s="158"/>
      <c r="L1271" s="94"/>
      <c r="M1271" s="159"/>
      <c r="N1271" s="94"/>
    </row>
    <row r="1272">
      <c r="A1272" s="107">
        <v>201973.0</v>
      </c>
      <c r="B1272" s="108" t="s">
        <v>90</v>
      </c>
      <c r="C1272" s="108" t="s">
        <v>457</v>
      </c>
      <c r="D1272" s="100" t="str">
        <f t="shared" si="1"/>
        <v/>
      </c>
      <c r="E1272" s="100" t="str">
        <f t="shared" si="2"/>
        <v/>
      </c>
      <c r="F1272" s="100" t="str">
        <f t="shared" si="3"/>
        <v/>
      </c>
      <c r="G1272" s="151"/>
      <c r="H1272" s="160"/>
      <c r="I1272" s="157"/>
      <c r="J1272" s="161"/>
      <c r="L1272" s="94"/>
      <c r="M1272" s="159"/>
      <c r="N1272" s="94"/>
    </row>
    <row r="1273">
      <c r="A1273" s="107">
        <v>201973.0</v>
      </c>
      <c r="B1273" s="108" t="s">
        <v>92</v>
      </c>
      <c r="C1273" s="108" t="s">
        <v>457</v>
      </c>
      <c r="D1273" s="100" t="str">
        <f t="shared" si="1"/>
        <v/>
      </c>
      <c r="E1273" s="100" t="str">
        <f t="shared" si="2"/>
        <v/>
      </c>
      <c r="F1273" s="100" t="str">
        <f t="shared" si="3"/>
        <v/>
      </c>
      <c r="G1273" s="151"/>
      <c r="H1273" s="156"/>
      <c r="I1273" s="157"/>
      <c r="J1273" s="158"/>
      <c r="L1273" s="94"/>
      <c r="M1273" s="159"/>
      <c r="N1273" s="94"/>
    </row>
    <row r="1274">
      <c r="A1274" s="107">
        <v>201973.0</v>
      </c>
      <c r="B1274" s="108" t="s">
        <v>190</v>
      </c>
      <c r="C1274" s="108" t="s">
        <v>457</v>
      </c>
      <c r="D1274" s="100" t="str">
        <f t="shared" si="1"/>
        <v/>
      </c>
      <c r="E1274" s="100" t="str">
        <f t="shared" si="2"/>
        <v/>
      </c>
      <c r="F1274" s="100" t="str">
        <f t="shared" si="3"/>
        <v/>
      </c>
      <c r="G1274" s="151"/>
      <c r="H1274" s="160"/>
      <c r="I1274" s="157"/>
      <c r="J1274" s="161"/>
      <c r="L1274" s="94"/>
      <c r="M1274" s="159"/>
      <c r="N1274" s="94"/>
    </row>
    <row r="1275">
      <c r="A1275" s="107">
        <v>201973.0</v>
      </c>
      <c r="B1275" s="108" t="s">
        <v>191</v>
      </c>
      <c r="C1275" s="108" t="s">
        <v>457</v>
      </c>
      <c r="D1275" s="100" t="str">
        <f t="shared" si="1"/>
        <v/>
      </c>
      <c r="E1275" s="100" t="str">
        <f t="shared" si="2"/>
        <v/>
      </c>
      <c r="F1275" s="100" t="str">
        <f t="shared" si="3"/>
        <v/>
      </c>
      <c r="G1275" s="151"/>
      <c r="H1275" s="156"/>
      <c r="I1275" s="157"/>
      <c r="J1275" s="158"/>
      <c r="L1275" s="94"/>
      <c r="M1275" s="159"/>
      <c r="N1275" s="94"/>
    </row>
    <row r="1276">
      <c r="A1276" s="107">
        <v>201973.0</v>
      </c>
      <c r="B1276" s="108" t="s">
        <v>192</v>
      </c>
      <c r="C1276" s="108" t="s">
        <v>457</v>
      </c>
      <c r="D1276" s="100" t="str">
        <f t="shared" si="1"/>
        <v/>
      </c>
      <c r="E1276" s="100" t="str">
        <f t="shared" si="2"/>
        <v/>
      </c>
      <c r="F1276" s="100" t="str">
        <f t="shared" si="3"/>
        <v/>
      </c>
      <c r="G1276" s="151"/>
      <c r="H1276" s="160"/>
      <c r="I1276" s="157"/>
      <c r="J1276" s="161"/>
      <c r="L1276" s="94"/>
      <c r="M1276" s="159"/>
      <c r="N1276" s="94"/>
    </row>
    <row r="1277">
      <c r="A1277" s="107">
        <v>201975.0</v>
      </c>
      <c r="B1277" s="108" t="s">
        <v>85</v>
      </c>
      <c r="C1277" s="108" t="s">
        <v>458</v>
      </c>
      <c r="D1277" s="100" t="str">
        <f t="shared" si="1"/>
        <v/>
      </c>
      <c r="E1277" s="100" t="str">
        <f t="shared" si="2"/>
        <v/>
      </c>
      <c r="F1277" s="100" t="str">
        <f t="shared" si="3"/>
        <v/>
      </c>
      <c r="G1277" s="151"/>
      <c r="H1277" s="156"/>
      <c r="I1277" s="157"/>
      <c r="J1277" s="158"/>
      <c r="L1277" s="94"/>
      <c r="M1277" s="159"/>
      <c r="N1277" s="94"/>
    </row>
    <row r="1278">
      <c r="A1278" s="107">
        <v>201975.0</v>
      </c>
      <c r="B1278" s="108" t="s">
        <v>90</v>
      </c>
      <c r="C1278" s="108" t="s">
        <v>458</v>
      </c>
      <c r="D1278" s="100" t="str">
        <f t="shared" si="1"/>
        <v/>
      </c>
      <c r="E1278" s="100" t="str">
        <f t="shared" si="2"/>
        <v/>
      </c>
      <c r="F1278" s="100" t="str">
        <f t="shared" si="3"/>
        <v/>
      </c>
      <c r="G1278" s="151"/>
      <c r="H1278" s="160"/>
      <c r="I1278" s="157"/>
      <c r="J1278" s="161"/>
      <c r="L1278" s="94"/>
      <c r="M1278" s="159"/>
      <c r="N1278" s="94"/>
    </row>
    <row r="1279">
      <c r="A1279" s="107">
        <v>201975.0</v>
      </c>
      <c r="B1279" s="108" t="s">
        <v>92</v>
      </c>
      <c r="C1279" s="108" t="s">
        <v>458</v>
      </c>
      <c r="D1279" s="100" t="str">
        <f t="shared" si="1"/>
        <v/>
      </c>
      <c r="E1279" s="100" t="str">
        <f t="shared" si="2"/>
        <v/>
      </c>
      <c r="F1279" s="100" t="str">
        <f t="shared" si="3"/>
        <v/>
      </c>
      <c r="G1279" s="151"/>
      <c r="H1279" s="156"/>
      <c r="I1279" s="157"/>
      <c r="J1279" s="158"/>
      <c r="L1279" s="94"/>
      <c r="M1279" s="159"/>
      <c r="N1279" s="94"/>
    </row>
    <row r="1280">
      <c r="A1280" s="107">
        <v>201975.0</v>
      </c>
      <c r="B1280" s="108" t="s">
        <v>190</v>
      </c>
      <c r="C1280" s="108" t="s">
        <v>458</v>
      </c>
      <c r="D1280" s="100" t="str">
        <f t="shared" si="1"/>
        <v/>
      </c>
      <c r="E1280" s="100" t="str">
        <f t="shared" si="2"/>
        <v/>
      </c>
      <c r="F1280" s="100" t="str">
        <f t="shared" si="3"/>
        <v/>
      </c>
      <c r="G1280" s="151"/>
      <c r="H1280" s="160"/>
      <c r="I1280" s="157"/>
      <c r="J1280" s="161"/>
      <c r="L1280" s="94"/>
      <c r="M1280" s="159"/>
      <c r="N1280" s="94"/>
    </row>
    <row r="1281">
      <c r="A1281" s="107">
        <v>201975.0</v>
      </c>
      <c r="B1281" s="108" t="s">
        <v>191</v>
      </c>
      <c r="C1281" s="108" t="s">
        <v>458</v>
      </c>
      <c r="D1281" s="100" t="str">
        <f t="shared" si="1"/>
        <v/>
      </c>
      <c r="E1281" s="100" t="str">
        <f t="shared" si="2"/>
        <v/>
      </c>
      <c r="F1281" s="100" t="str">
        <f t="shared" si="3"/>
        <v/>
      </c>
      <c r="G1281" s="151"/>
      <c r="H1281" s="156"/>
      <c r="I1281" s="157"/>
      <c r="J1281" s="158"/>
      <c r="L1281" s="94"/>
      <c r="M1281" s="159"/>
      <c r="N1281" s="94"/>
    </row>
    <row r="1282">
      <c r="A1282" s="107">
        <v>201975.0</v>
      </c>
      <c r="B1282" s="108" t="s">
        <v>192</v>
      </c>
      <c r="C1282" s="108" t="s">
        <v>458</v>
      </c>
      <c r="D1282" s="100" t="str">
        <f t="shared" si="1"/>
        <v/>
      </c>
      <c r="E1282" s="100" t="str">
        <f t="shared" si="2"/>
        <v/>
      </c>
      <c r="F1282" s="100" t="str">
        <f t="shared" si="3"/>
        <v/>
      </c>
      <c r="G1282" s="151"/>
      <c r="H1282" s="160"/>
      <c r="I1282" s="157"/>
      <c r="J1282" s="161"/>
      <c r="L1282" s="94"/>
      <c r="M1282" s="159"/>
      <c r="N1282" s="94"/>
    </row>
    <row r="1283">
      <c r="A1283" s="107">
        <v>201976.0</v>
      </c>
      <c r="B1283" s="108" t="s">
        <v>85</v>
      </c>
      <c r="C1283" s="108" t="s">
        <v>459</v>
      </c>
      <c r="D1283" s="100" t="str">
        <f t="shared" si="1"/>
        <v/>
      </c>
      <c r="E1283" s="100" t="str">
        <f t="shared" si="2"/>
        <v/>
      </c>
      <c r="F1283" s="100" t="str">
        <f t="shared" si="3"/>
        <v/>
      </c>
      <c r="G1283" s="151"/>
      <c r="H1283" s="156"/>
      <c r="I1283" s="157"/>
      <c r="J1283" s="158"/>
      <c r="L1283" s="94"/>
      <c r="M1283" s="159"/>
      <c r="N1283" s="94"/>
    </row>
    <row r="1284">
      <c r="A1284" s="107">
        <v>201976.0</v>
      </c>
      <c r="B1284" s="108" t="s">
        <v>90</v>
      </c>
      <c r="C1284" s="108" t="s">
        <v>459</v>
      </c>
      <c r="D1284" s="100" t="str">
        <f t="shared" si="1"/>
        <v/>
      </c>
      <c r="E1284" s="100" t="str">
        <f t="shared" si="2"/>
        <v/>
      </c>
      <c r="F1284" s="100" t="str">
        <f t="shared" si="3"/>
        <v/>
      </c>
      <c r="G1284" s="151"/>
      <c r="H1284" s="160"/>
      <c r="I1284" s="157"/>
      <c r="J1284" s="161"/>
      <c r="L1284" s="94"/>
      <c r="M1284" s="159"/>
      <c r="N1284" s="94"/>
    </row>
    <row r="1285">
      <c r="A1285" s="107">
        <v>201976.0</v>
      </c>
      <c r="B1285" s="108" t="s">
        <v>92</v>
      </c>
      <c r="C1285" s="108" t="s">
        <v>459</v>
      </c>
      <c r="D1285" s="100" t="str">
        <f t="shared" si="1"/>
        <v/>
      </c>
      <c r="E1285" s="100" t="str">
        <f t="shared" si="2"/>
        <v/>
      </c>
      <c r="F1285" s="100" t="str">
        <f t="shared" si="3"/>
        <v/>
      </c>
      <c r="G1285" s="151"/>
      <c r="H1285" s="156"/>
      <c r="I1285" s="157"/>
      <c r="J1285" s="158"/>
      <c r="L1285" s="94"/>
      <c r="M1285" s="159"/>
      <c r="N1285" s="94"/>
    </row>
    <row r="1286">
      <c r="A1286" s="107">
        <v>201976.0</v>
      </c>
      <c r="B1286" s="108" t="s">
        <v>190</v>
      </c>
      <c r="C1286" s="108" t="s">
        <v>459</v>
      </c>
      <c r="D1286" s="100" t="str">
        <f t="shared" si="1"/>
        <v/>
      </c>
      <c r="E1286" s="100" t="str">
        <f t="shared" si="2"/>
        <v/>
      </c>
      <c r="F1286" s="100" t="str">
        <f t="shared" si="3"/>
        <v/>
      </c>
      <c r="G1286" s="151"/>
      <c r="H1286" s="160"/>
      <c r="I1286" s="157"/>
      <c r="J1286" s="161"/>
      <c r="L1286" s="94"/>
      <c r="M1286" s="159"/>
      <c r="N1286" s="94"/>
    </row>
    <row r="1287">
      <c r="A1287" s="107">
        <v>201976.0</v>
      </c>
      <c r="B1287" s="108" t="s">
        <v>191</v>
      </c>
      <c r="C1287" s="108" t="s">
        <v>459</v>
      </c>
      <c r="D1287" s="100" t="str">
        <f t="shared" si="1"/>
        <v/>
      </c>
      <c r="E1287" s="100" t="str">
        <f t="shared" si="2"/>
        <v/>
      </c>
      <c r="F1287" s="100" t="str">
        <f t="shared" si="3"/>
        <v/>
      </c>
      <c r="G1287" s="151"/>
      <c r="H1287" s="156"/>
      <c r="I1287" s="157"/>
      <c r="J1287" s="158"/>
      <c r="L1287" s="94"/>
      <c r="M1287" s="159"/>
      <c r="N1287" s="94"/>
    </row>
    <row r="1288">
      <c r="A1288" s="107">
        <v>201976.0</v>
      </c>
      <c r="B1288" s="108" t="s">
        <v>192</v>
      </c>
      <c r="C1288" s="108" t="s">
        <v>459</v>
      </c>
      <c r="D1288" s="100" t="str">
        <f t="shared" si="1"/>
        <v/>
      </c>
      <c r="E1288" s="100" t="str">
        <f t="shared" si="2"/>
        <v/>
      </c>
      <c r="F1288" s="100" t="str">
        <f t="shared" si="3"/>
        <v/>
      </c>
      <c r="G1288" s="151"/>
      <c r="H1288" s="160"/>
      <c r="I1288" s="157"/>
      <c r="J1288" s="161"/>
      <c r="L1288" s="94"/>
      <c r="M1288" s="159"/>
      <c r="N1288" s="94"/>
    </row>
    <row r="1289">
      <c r="A1289" s="107">
        <v>201976.0</v>
      </c>
      <c r="B1289" s="108" t="s">
        <v>193</v>
      </c>
      <c r="C1289" s="108" t="s">
        <v>459</v>
      </c>
      <c r="D1289" s="100" t="str">
        <f t="shared" si="1"/>
        <v/>
      </c>
      <c r="E1289" s="100" t="str">
        <f t="shared" si="2"/>
        <v/>
      </c>
      <c r="F1289" s="100" t="str">
        <f t="shared" si="3"/>
        <v/>
      </c>
      <c r="G1289" s="151"/>
      <c r="H1289" s="156"/>
      <c r="I1289" s="157"/>
      <c r="J1289" s="158"/>
      <c r="L1289" s="94"/>
      <c r="M1289" s="159"/>
      <c r="N1289" s="94"/>
    </row>
    <row r="1290">
      <c r="A1290" s="107">
        <v>201976.0</v>
      </c>
      <c r="B1290" s="108" t="s">
        <v>243</v>
      </c>
      <c r="C1290" s="108" t="s">
        <v>459</v>
      </c>
      <c r="D1290" s="100" t="str">
        <f t="shared" si="1"/>
        <v/>
      </c>
      <c r="E1290" s="100" t="str">
        <f t="shared" si="2"/>
        <v/>
      </c>
      <c r="F1290" s="100" t="str">
        <f t="shared" si="3"/>
        <v/>
      </c>
      <c r="G1290" s="151"/>
      <c r="H1290" s="160"/>
      <c r="I1290" s="157"/>
      <c r="J1290" s="161"/>
      <c r="L1290" s="94"/>
      <c r="M1290" s="159"/>
      <c r="N1290" s="94"/>
    </row>
    <row r="1291">
      <c r="A1291" s="107">
        <v>201976.0</v>
      </c>
      <c r="B1291" s="108" t="s">
        <v>215</v>
      </c>
      <c r="C1291" s="108" t="s">
        <v>459</v>
      </c>
      <c r="D1291" s="100" t="str">
        <f t="shared" si="1"/>
        <v/>
      </c>
      <c r="E1291" s="100" t="str">
        <f t="shared" si="2"/>
        <v/>
      </c>
      <c r="F1291" s="100" t="str">
        <f t="shared" si="3"/>
        <v/>
      </c>
      <c r="G1291" s="151"/>
      <c r="H1291" s="156"/>
      <c r="I1291" s="157"/>
      <c r="J1291" s="158"/>
      <c r="L1291" s="94"/>
      <c r="M1291" s="159"/>
      <c r="N1291" s="94"/>
    </row>
    <row r="1292">
      <c r="A1292" s="107">
        <v>201976.0</v>
      </c>
      <c r="B1292" s="108" t="s">
        <v>244</v>
      </c>
      <c r="C1292" s="108" t="s">
        <v>459</v>
      </c>
      <c r="D1292" s="100" t="str">
        <f t="shared" si="1"/>
        <v/>
      </c>
      <c r="E1292" s="100" t="str">
        <f t="shared" si="2"/>
        <v/>
      </c>
      <c r="F1292" s="100" t="str">
        <f t="shared" si="3"/>
        <v/>
      </c>
      <c r="G1292" s="151"/>
      <c r="H1292" s="160"/>
      <c r="I1292" s="157"/>
      <c r="J1292" s="161"/>
      <c r="L1292" s="94"/>
      <c r="M1292" s="159"/>
      <c r="N1292" s="94"/>
    </row>
    <row r="1293">
      <c r="A1293" s="107">
        <v>201976.0</v>
      </c>
      <c r="B1293" s="108" t="s">
        <v>245</v>
      </c>
      <c r="C1293" s="108" t="s">
        <v>459</v>
      </c>
      <c r="D1293" s="100" t="str">
        <f t="shared" si="1"/>
        <v/>
      </c>
      <c r="E1293" s="100" t="str">
        <f t="shared" si="2"/>
        <v/>
      </c>
      <c r="F1293" s="100" t="str">
        <f t="shared" si="3"/>
        <v/>
      </c>
      <c r="G1293" s="151"/>
      <c r="H1293" s="156"/>
      <c r="I1293" s="157"/>
      <c r="J1293" s="158"/>
      <c r="L1293" s="94"/>
      <c r="M1293" s="159"/>
      <c r="N1293" s="94"/>
    </row>
    <row r="1294">
      <c r="A1294" s="107">
        <v>201977.0</v>
      </c>
      <c r="B1294" s="108" t="s">
        <v>85</v>
      </c>
      <c r="C1294" s="108" t="s">
        <v>460</v>
      </c>
      <c r="D1294" s="100" t="str">
        <f t="shared" si="1"/>
        <v/>
      </c>
      <c r="E1294" s="100" t="str">
        <f t="shared" si="2"/>
        <v/>
      </c>
      <c r="F1294" s="100" t="str">
        <f t="shared" si="3"/>
        <v/>
      </c>
      <c r="G1294" s="151"/>
      <c r="H1294" s="160"/>
      <c r="I1294" s="157"/>
      <c r="J1294" s="161"/>
      <c r="L1294" s="94"/>
      <c r="M1294" s="159"/>
      <c r="N1294" s="94"/>
    </row>
    <row r="1295">
      <c r="A1295" s="107">
        <v>201977.0</v>
      </c>
      <c r="B1295" s="108" t="s">
        <v>90</v>
      </c>
      <c r="C1295" s="108" t="s">
        <v>460</v>
      </c>
      <c r="D1295" s="100" t="str">
        <f t="shared" si="1"/>
        <v/>
      </c>
      <c r="E1295" s="100" t="str">
        <f t="shared" si="2"/>
        <v/>
      </c>
      <c r="F1295" s="100" t="str">
        <f t="shared" si="3"/>
        <v/>
      </c>
      <c r="G1295" s="151"/>
      <c r="H1295" s="156"/>
      <c r="I1295" s="157"/>
      <c r="J1295" s="158"/>
      <c r="L1295" s="94"/>
      <c r="M1295" s="159"/>
      <c r="N1295" s="94"/>
    </row>
    <row r="1296">
      <c r="A1296" s="107">
        <v>201977.0</v>
      </c>
      <c r="B1296" s="108" t="s">
        <v>92</v>
      </c>
      <c r="C1296" s="108" t="s">
        <v>460</v>
      </c>
      <c r="D1296" s="100" t="str">
        <f t="shared" si="1"/>
        <v/>
      </c>
      <c r="E1296" s="100" t="str">
        <f t="shared" si="2"/>
        <v/>
      </c>
      <c r="F1296" s="100" t="str">
        <f t="shared" si="3"/>
        <v/>
      </c>
      <c r="G1296" s="151"/>
      <c r="H1296" s="160"/>
      <c r="I1296" s="157"/>
      <c r="J1296" s="161"/>
      <c r="L1296" s="94"/>
      <c r="M1296" s="159"/>
      <c r="N1296" s="94"/>
    </row>
    <row r="1297">
      <c r="A1297" s="107">
        <v>201977.0</v>
      </c>
      <c r="B1297" s="108" t="s">
        <v>190</v>
      </c>
      <c r="C1297" s="108" t="s">
        <v>460</v>
      </c>
      <c r="D1297" s="100" t="str">
        <f t="shared" si="1"/>
        <v/>
      </c>
      <c r="E1297" s="100" t="str">
        <f t="shared" si="2"/>
        <v/>
      </c>
      <c r="F1297" s="100" t="str">
        <f t="shared" si="3"/>
        <v/>
      </c>
      <c r="G1297" s="151"/>
      <c r="H1297" s="156"/>
      <c r="I1297" s="157"/>
      <c r="J1297" s="158"/>
      <c r="L1297" s="94"/>
      <c r="M1297" s="159"/>
      <c r="N1297" s="94"/>
    </row>
    <row r="1298">
      <c r="A1298" s="107">
        <v>201978.0</v>
      </c>
      <c r="B1298" s="108" t="s">
        <v>85</v>
      </c>
      <c r="C1298" s="108" t="s">
        <v>461</v>
      </c>
      <c r="D1298" s="100" t="str">
        <f t="shared" si="1"/>
        <v/>
      </c>
      <c r="E1298" s="100" t="str">
        <f t="shared" si="2"/>
        <v/>
      </c>
      <c r="F1298" s="100" t="str">
        <f t="shared" si="3"/>
        <v/>
      </c>
      <c r="G1298" s="151"/>
      <c r="H1298" s="160"/>
      <c r="I1298" s="157"/>
      <c r="J1298" s="161"/>
      <c r="L1298" s="94"/>
      <c r="M1298" s="159"/>
      <c r="N1298" s="94"/>
    </row>
    <row r="1299">
      <c r="A1299" s="107">
        <v>201978.0</v>
      </c>
      <c r="B1299" s="108" t="s">
        <v>90</v>
      </c>
      <c r="C1299" s="108" t="s">
        <v>461</v>
      </c>
      <c r="D1299" s="100" t="str">
        <f t="shared" si="1"/>
        <v/>
      </c>
      <c r="E1299" s="100" t="str">
        <f t="shared" si="2"/>
        <v/>
      </c>
      <c r="F1299" s="100" t="str">
        <f t="shared" si="3"/>
        <v/>
      </c>
      <c r="G1299" s="151"/>
      <c r="H1299" s="156"/>
      <c r="I1299" s="157"/>
      <c r="J1299" s="158"/>
      <c r="L1299" s="94"/>
      <c r="M1299" s="159"/>
      <c r="N1299" s="94"/>
    </row>
    <row r="1300">
      <c r="A1300" s="107">
        <v>201978.0</v>
      </c>
      <c r="B1300" s="108" t="s">
        <v>92</v>
      </c>
      <c r="C1300" s="108" t="s">
        <v>461</v>
      </c>
      <c r="D1300" s="100" t="str">
        <f t="shared" si="1"/>
        <v/>
      </c>
      <c r="E1300" s="100" t="str">
        <f t="shared" si="2"/>
        <v/>
      </c>
      <c r="F1300" s="100" t="str">
        <f t="shared" si="3"/>
        <v/>
      </c>
      <c r="G1300" s="151"/>
      <c r="H1300" s="160"/>
      <c r="I1300" s="157"/>
      <c r="J1300" s="161"/>
      <c r="L1300" s="94"/>
      <c r="M1300" s="159"/>
      <c r="N1300" s="94"/>
    </row>
    <row r="1301">
      <c r="A1301" s="107">
        <v>201979.0</v>
      </c>
      <c r="B1301" s="108" t="s">
        <v>85</v>
      </c>
      <c r="C1301" s="108" t="s">
        <v>462</v>
      </c>
      <c r="D1301" s="100" t="str">
        <f t="shared" si="1"/>
        <v/>
      </c>
      <c r="E1301" s="100" t="str">
        <f t="shared" si="2"/>
        <v/>
      </c>
      <c r="F1301" s="100" t="str">
        <f t="shared" si="3"/>
        <v/>
      </c>
      <c r="G1301" s="151"/>
      <c r="H1301" s="156"/>
      <c r="I1301" s="157"/>
      <c r="J1301" s="158"/>
      <c r="L1301" s="94"/>
      <c r="M1301" s="159"/>
      <c r="N1301" s="94"/>
    </row>
    <row r="1302">
      <c r="A1302" s="107">
        <v>201979.0</v>
      </c>
      <c r="B1302" s="108" t="s">
        <v>90</v>
      </c>
      <c r="C1302" s="108" t="s">
        <v>462</v>
      </c>
      <c r="D1302" s="100" t="str">
        <f t="shared" si="1"/>
        <v/>
      </c>
      <c r="E1302" s="100" t="str">
        <f t="shared" si="2"/>
        <v/>
      </c>
      <c r="F1302" s="100" t="str">
        <f t="shared" si="3"/>
        <v/>
      </c>
      <c r="G1302" s="151"/>
      <c r="H1302" s="160"/>
      <c r="I1302" s="157"/>
      <c r="J1302" s="161"/>
      <c r="L1302" s="94"/>
      <c r="M1302" s="159"/>
      <c r="N1302" s="94"/>
    </row>
    <row r="1303">
      <c r="A1303" s="107">
        <v>201980.0</v>
      </c>
      <c r="B1303" s="108" t="s">
        <v>85</v>
      </c>
      <c r="C1303" s="108" t="s">
        <v>463</v>
      </c>
      <c r="D1303" s="100" t="str">
        <f t="shared" si="1"/>
        <v/>
      </c>
      <c r="E1303" s="100" t="str">
        <f t="shared" si="2"/>
        <v/>
      </c>
      <c r="F1303" s="100" t="str">
        <f t="shared" si="3"/>
        <v/>
      </c>
      <c r="G1303" s="151"/>
      <c r="H1303" s="156"/>
      <c r="I1303" s="157"/>
      <c r="J1303" s="158"/>
      <c r="L1303" s="94"/>
      <c r="M1303" s="159"/>
      <c r="N1303" s="94"/>
    </row>
    <row r="1304">
      <c r="A1304" s="107">
        <v>201980.0</v>
      </c>
      <c r="B1304" s="108" t="s">
        <v>90</v>
      </c>
      <c r="C1304" s="108" t="s">
        <v>463</v>
      </c>
      <c r="D1304" s="100" t="str">
        <f t="shared" si="1"/>
        <v/>
      </c>
      <c r="E1304" s="100" t="str">
        <f t="shared" si="2"/>
        <v/>
      </c>
      <c r="F1304" s="100" t="str">
        <f t="shared" si="3"/>
        <v/>
      </c>
      <c r="G1304" s="151"/>
      <c r="H1304" s="160"/>
      <c r="I1304" s="157"/>
      <c r="J1304" s="161"/>
      <c r="L1304" s="94"/>
      <c r="M1304" s="159"/>
      <c r="N1304" s="94"/>
    </row>
    <row r="1305">
      <c r="A1305" s="107">
        <v>201980.0</v>
      </c>
      <c r="B1305" s="108" t="s">
        <v>92</v>
      </c>
      <c r="C1305" s="108" t="s">
        <v>463</v>
      </c>
      <c r="D1305" s="100" t="str">
        <f t="shared" si="1"/>
        <v/>
      </c>
      <c r="E1305" s="100" t="str">
        <f t="shared" si="2"/>
        <v/>
      </c>
      <c r="F1305" s="100" t="str">
        <f t="shared" si="3"/>
        <v/>
      </c>
      <c r="G1305" s="151"/>
      <c r="H1305" s="156"/>
      <c r="I1305" s="157"/>
      <c r="J1305" s="158"/>
      <c r="L1305" s="94"/>
      <c r="M1305" s="159"/>
      <c r="N1305" s="94"/>
    </row>
    <row r="1306">
      <c r="A1306" s="107">
        <v>201980.0</v>
      </c>
      <c r="B1306" s="108" t="s">
        <v>190</v>
      </c>
      <c r="C1306" s="108" t="s">
        <v>463</v>
      </c>
      <c r="D1306" s="100" t="str">
        <f t="shared" si="1"/>
        <v/>
      </c>
      <c r="E1306" s="100" t="str">
        <f t="shared" si="2"/>
        <v/>
      </c>
      <c r="F1306" s="100" t="str">
        <f t="shared" si="3"/>
        <v/>
      </c>
      <c r="G1306" s="151"/>
      <c r="H1306" s="160"/>
      <c r="I1306" s="157"/>
      <c r="J1306" s="161"/>
      <c r="L1306" s="94"/>
      <c r="M1306" s="159"/>
      <c r="N1306" s="94"/>
    </row>
    <row r="1307">
      <c r="A1307" s="107">
        <v>201980.0</v>
      </c>
      <c r="B1307" s="108" t="s">
        <v>191</v>
      </c>
      <c r="C1307" s="108" t="s">
        <v>463</v>
      </c>
      <c r="D1307" s="100" t="str">
        <f t="shared" si="1"/>
        <v/>
      </c>
      <c r="E1307" s="100" t="str">
        <f t="shared" si="2"/>
        <v/>
      </c>
      <c r="F1307" s="100" t="str">
        <f t="shared" si="3"/>
        <v/>
      </c>
      <c r="G1307" s="151"/>
      <c r="H1307" s="156"/>
      <c r="I1307" s="157"/>
      <c r="J1307" s="158"/>
      <c r="L1307" s="94"/>
      <c r="M1307" s="159"/>
      <c r="N1307" s="94"/>
    </row>
    <row r="1308">
      <c r="A1308" s="107">
        <v>201980.0</v>
      </c>
      <c r="B1308" s="108" t="s">
        <v>192</v>
      </c>
      <c r="C1308" s="108" t="s">
        <v>463</v>
      </c>
      <c r="D1308" s="100" t="str">
        <f t="shared" si="1"/>
        <v/>
      </c>
      <c r="E1308" s="100" t="str">
        <f t="shared" si="2"/>
        <v/>
      </c>
      <c r="F1308" s="100" t="str">
        <f t="shared" si="3"/>
        <v/>
      </c>
      <c r="G1308" s="151"/>
      <c r="H1308" s="160"/>
      <c r="I1308" s="157"/>
      <c r="J1308" s="161"/>
      <c r="L1308" s="94"/>
      <c r="M1308" s="159"/>
      <c r="N1308" s="94"/>
    </row>
    <row r="1309">
      <c r="A1309" s="107">
        <v>201980.0</v>
      </c>
      <c r="B1309" s="108" t="s">
        <v>193</v>
      </c>
      <c r="C1309" s="108" t="s">
        <v>463</v>
      </c>
      <c r="D1309" s="100" t="str">
        <f t="shared" si="1"/>
        <v/>
      </c>
      <c r="E1309" s="100" t="str">
        <f t="shared" si="2"/>
        <v/>
      </c>
      <c r="F1309" s="100" t="str">
        <f t="shared" si="3"/>
        <v/>
      </c>
      <c r="G1309" s="151"/>
      <c r="H1309" s="156"/>
      <c r="I1309" s="162"/>
      <c r="J1309" s="158"/>
      <c r="L1309" s="94"/>
      <c r="M1309" s="159"/>
      <c r="N1309" s="94"/>
    </row>
    <row r="1310">
      <c r="A1310" s="107">
        <v>201980.0</v>
      </c>
      <c r="B1310" s="108" t="s">
        <v>243</v>
      </c>
      <c r="C1310" s="108" t="s">
        <v>463</v>
      </c>
      <c r="D1310" s="100" t="str">
        <f t="shared" si="1"/>
        <v/>
      </c>
      <c r="E1310" s="100" t="str">
        <f t="shared" si="2"/>
        <v/>
      </c>
      <c r="F1310" s="100" t="str">
        <f t="shared" si="3"/>
        <v/>
      </c>
      <c r="G1310" s="151"/>
      <c r="H1310" s="160"/>
      <c r="I1310" s="157"/>
      <c r="J1310" s="161"/>
      <c r="L1310" s="94"/>
      <c r="M1310" s="159"/>
      <c r="N1310" s="94"/>
    </row>
    <row r="1311">
      <c r="A1311" s="107">
        <v>201980.0</v>
      </c>
      <c r="B1311" s="108" t="s">
        <v>215</v>
      </c>
      <c r="C1311" s="108" t="s">
        <v>463</v>
      </c>
      <c r="D1311" s="100" t="str">
        <f t="shared" si="1"/>
        <v/>
      </c>
      <c r="E1311" s="100" t="str">
        <f t="shared" si="2"/>
        <v/>
      </c>
      <c r="F1311" s="100" t="str">
        <f t="shared" si="3"/>
        <v/>
      </c>
      <c r="G1311" s="151"/>
      <c r="H1311" s="156"/>
      <c r="I1311" s="157"/>
      <c r="J1311" s="158"/>
      <c r="L1311" s="94"/>
      <c r="M1311" s="159"/>
      <c r="N1311" s="94"/>
    </row>
    <row r="1312">
      <c r="A1312" s="107">
        <v>201980.0</v>
      </c>
      <c r="B1312" s="108" t="s">
        <v>244</v>
      </c>
      <c r="C1312" s="108" t="s">
        <v>463</v>
      </c>
      <c r="D1312" s="100" t="str">
        <f t="shared" si="1"/>
        <v/>
      </c>
      <c r="E1312" s="100" t="str">
        <f t="shared" si="2"/>
        <v/>
      </c>
      <c r="F1312" s="100" t="str">
        <f t="shared" si="3"/>
        <v/>
      </c>
      <c r="G1312" s="151"/>
      <c r="H1312" s="160"/>
      <c r="I1312" s="157"/>
      <c r="J1312" s="161"/>
      <c r="L1312" s="94"/>
      <c r="M1312" s="159"/>
      <c r="N1312" s="94"/>
    </row>
    <row r="1313">
      <c r="A1313" s="107">
        <v>201980.0</v>
      </c>
      <c r="B1313" s="108" t="s">
        <v>245</v>
      </c>
      <c r="C1313" s="108" t="s">
        <v>463</v>
      </c>
      <c r="D1313" s="100" t="str">
        <f t="shared" si="1"/>
        <v/>
      </c>
      <c r="E1313" s="100" t="str">
        <f t="shared" si="2"/>
        <v/>
      </c>
      <c r="F1313" s="100" t="str">
        <f t="shared" si="3"/>
        <v/>
      </c>
      <c r="G1313" s="151"/>
      <c r="H1313" s="156"/>
      <c r="I1313" s="157"/>
      <c r="J1313" s="158"/>
      <c r="L1313" s="94"/>
      <c r="M1313" s="159"/>
      <c r="N1313" s="94"/>
    </row>
    <row r="1314">
      <c r="A1314" s="107">
        <v>201985.0</v>
      </c>
      <c r="B1314" s="108" t="s">
        <v>85</v>
      </c>
      <c r="C1314" s="108" t="s">
        <v>464</v>
      </c>
      <c r="D1314" s="100" t="str">
        <f t="shared" si="1"/>
        <v/>
      </c>
      <c r="E1314" s="100" t="str">
        <f t="shared" si="2"/>
        <v/>
      </c>
      <c r="F1314" s="100" t="str">
        <f t="shared" si="3"/>
        <v/>
      </c>
      <c r="G1314" s="151"/>
      <c r="H1314" s="160"/>
      <c r="I1314" s="157"/>
      <c r="J1314" s="161"/>
      <c r="L1314" s="94"/>
      <c r="M1314" s="159"/>
      <c r="N1314" s="94"/>
    </row>
    <row r="1315">
      <c r="A1315" s="107">
        <v>201985.0</v>
      </c>
      <c r="B1315" s="108" t="s">
        <v>90</v>
      </c>
      <c r="C1315" s="108" t="s">
        <v>464</v>
      </c>
      <c r="D1315" s="100" t="str">
        <f t="shared" si="1"/>
        <v/>
      </c>
      <c r="E1315" s="100" t="str">
        <f t="shared" si="2"/>
        <v/>
      </c>
      <c r="F1315" s="100" t="str">
        <f t="shared" si="3"/>
        <v/>
      </c>
      <c r="G1315" s="151"/>
      <c r="H1315" s="156"/>
      <c r="I1315" s="157"/>
      <c r="J1315" s="158"/>
      <c r="L1315" s="94"/>
      <c r="M1315" s="159"/>
      <c r="N1315" s="94"/>
    </row>
    <row r="1316">
      <c r="A1316" s="107">
        <v>201986.0</v>
      </c>
      <c r="B1316" s="108" t="s">
        <v>85</v>
      </c>
      <c r="C1316" s="108" t="s">
        <v>465</v>
      </c>
      <c r="D1316" s="100" t="str">
        <f t="shared" si="1"/>
        <v/>
      </c>
      <c r="E1316" s="100" t="str">
        <f t="shared" si="2"/>
        <v/>
      </c>
      <c r="F1316" s="100" t="str">
        <f t="shared" si="3"/>
        <v/>
      </c>
      <c r="G1316" s="151"/>
      <c r="H1316" s="160"/>
      <c r="I1316" s="157"/>
      <c r="J1316" s="161"/>
      <c r="L1316" s="94"/>
      <c r="M1316" s="159"/>
      <c r="N1316" s="94"/>
    </row>
    <row r="1317">
      <c r="A1317" s="107">
        <v>201988.0</v>
      </c>
      <c r="B1317" s="108" t="s">
        <v>85</v>
      </c>
      <c r="C1317" s="108" t="s">
        <v>466</v>
      </c>
      <c r="D1317" s="100" t="str">
        <f t="shared" si="1"/>
        <v/>
      </c>
      <c r="E1317" s="100" t="str">
        <f t="shared" si="2"/>
        <v/>
      </c>
      <c r="F1317" s="100" t="str">
        <f t="shared" si="3"/>
        <v/>
      </c>
      <c r="G1317" s="151"/>
      <c r="H1317" s="156"/>
      <c r="I1317" s="157"/>
      <c r="J1317" s="158"/>
      <c r="L1317" s="94"/>
      <c r="M1317" s="159"/>
      <c r="N1317" s="94"/>
    </row>
    <row r="1318">
      <c r="A1318" s="107">
        <v>201988.0</v>
      </c>
      <c r="B1318" s="108" t="s">
        <v>90</v>
      </c>
      <c r="C1318" s="108" t="s">
        <v>466</v>
      </c>
      <c r="D1318" s="100" t="str">
        <f t="shared" si="1"/>
        <v/>
      </c>
      <c r="E1318" s="100" t="str">
        <f t="shared" si="2"/>
        <v/>
      </c>
      <c r="F1318" s="100" t="str">
        <f t="shared" si="3"/>
        <v/>
      </c>
      <c r="G1318" s="151"/>
      <c r="H1318" s="160"/>
      <c r="I1318" s="157"/>
      <c r="J1318" s="161"/>
      <c r="L1318" s="94"/>
      <c r="M1318" s="159"/>
      <c r="N1318" s="94"/>
    </row>
    <row r="1319">
      <c r="A1319" s="107">
        <v>201988.0</v>
      </c>
      <c r="B1319" s="108" t="s">
        <v>92</v>
      </c>
      <c r="C1319" s="108" t="s">
        <v>466</v>
      </c>
      <c r="D1319" s="100" t="str">
        <f t="shared" si="1"/>
        <v/>
      </c>
      <c r="E1319" s="100" t="str">
        <f t="shared" si="2"/>
        <v/>
      </c>
      <c r="F1319" s="100" t="str">
        <f t="shared" si="3"/>
        <v/>
      </c>
      <c r="G1319" s="151"/>
      <c r="H1319" s="156"/>
      <c r="I1319" s="157"/>
      <c r="J1319" s="158"/>
      <c r="L1319" s="94"/>
      <c r="M1319" s="159"/>
      <c r="N1319" s="94"/>
    </row>
    <row r="1320">
      <c r="A1320" s="107">
        <v>201988.0</v>
      </c>
      <c r="B1320" s="108" t="s">
        <v>190</v>
      </c>
      <c r="C1320" s="108" t="s">
        <v>466</v>
      </c>
      <c r="D1320" s="100" t="str">
        <f t="shared" si="1"/>
        <v/>
      </c>
      <c r="E1320" s="100" t="str">
        <f t="shared" si="2"/>
        <v/>
      </c>
      <c r="F1320" s="100" t="str">
        <f t="shared" si="3"/>
        <v/>
      </c>
      <c r="G1320" s="151"/>
      <c r="H1320" s="160"/>
      <c r="I1320" s="157"/>
      <c r="J1320" s="161"/>
      <c r="L1320" s="94"/>
      <c r="M1320" s="159"/>
      <c r="N1320" s="94"/>
    </row>
    <row r="1321">
      <c r="A1321" s="107">
        <v>201988.0</v>
      </c>
      <c r="B1321" s="108" t="s">
        <v>191</v>
      </c>
      <c r="C1321" s="108" t="s">
        <v>466</v>
      </c>
      <c r="D1321" s="100" t="str">
        <f t="shared" si="1"/>
        <v/>
      </c>
      <c r="E1321" s="100" t="str">
        <f t="shared" si="2"/>
        <v/>
      </c>
      <c r="F1321" s="100" t="str">
        <f t="shared" si="3"/>
        <v/>
      </c>
      <c r="G1321" s="151"/>
      <c r="H1321" s="156"/>
      <c r="I1321" s="157"/>
      <c r="J1321" s="158"/>
      <c r="L1321" s="94"/>
      <c r="M1321" s="159"/>
      <c r="N1321" s="94"/>
    </row>
    <row r="1322">
      <c r="A1322" s="107">
        <v>201988.0</v>
      </c>
      <c r="B1322" s="108" t="s">
        <v>192</v>
      </c>
      <c r="C1322" s="108" t="s">
        <v>466</v>
      </c>
      <c r="D1322" s="100" t="str">
        <f t="shared" si="1"/>
        <v/>
      </c>
      <c r="E1322" s="100" t="str">
        <f t="shared" si="2"/>
        <v/>
      </c>
      <c r="F1322" s="100" t="str">
        <f t="shared" si="3"/>
        <v/>
      </c>
      <c r="G1322" s="151"/>
      <c r="H1322" s="160"/>
      <c r="I1322" s="157"/>
      <c r="J1322" s="161"/>
      <c r="L1322" s="94"/>
      <c r="M1322" s="159"/>
      <c r="N1322" s="94"/>
    </row>
    <row r="1323">
      <c r="A1323" s="107">
        <v>201988.0</v>
      </c>
      <c r="B1323" s="108" t="s">
        <v>193</v>
      </c>
      <c r="C1323" s="108" t="s">
        <v>466</v>
      </c>
      <c r="D1323" s="100" t="str">
        <f t="shared" si="1"/>
        <v/>
      </c>
      <c r="E1323" s="100" t="str">
        <f t="shared" si="2"/>
        <v/>
      </c>
      <c r="F1323" s="100" t="str">
        <f t="shared" si="3"/>
        <v/>
      </c>
      <c r="G1323" s="151"/>
      <c r="H1323" s="156"/>
      <c r="I1323" s="157"/>
      <c r="J1323" s="158"/>
      <c r="L1323" s="94"/>
      <c r="M1323" s="159"/>
      <c r="N1323" s="94"/>
    </row>
    <row r="1324">
      <c r="A1324" s="107">
        <v>201988.0</v>
      </c>
      <c r="B1324" s="108" t="s">
        <v>243</v>
      </c>
      <c r="C1324" s="108" t="s">
        <v>466</v>
      </c>
      <c r="D1324" s="100" t="str">
        <f t="shared" si="1"/>
        <v/>
      </c>
      <c r="E1324" s="100" t="str">
        <f t="shared" si="2"/>
        <v/>
      </c>
      <c r="F1324" s="100" t="str">
        <f t="shared" si="3"/>
        <v/>
      </c>
      <c r="G1324" s="151"/>
      <c r="H1324" s="160"/>
      <c r="I1324" s="157"/>
      <c r="J1324" s="161"/>
      <c r="L1324" s="94"/>
      <c r="M1324" s="159"/>
      <c r="N1324" s="94"/>
    </row>
    <row r="1325">
      <c r="A1325" s="107">
        <v>201988.0</v>
      </c>
      <c r="B1325" s="108" t="s">
        <v>215</v>
      </c>
      <c r="C1325" s="108" t="s">
        <v>466</v>
      </c>
      <c r="D1325" s="100" t="str">
        <f t="shared" si="1"/>
        <v/>
      </c>
      <c r="E1325" s="100" t="str">
        <f t="shared" si="2"/>
        <v/>
      </c>
      <c r="F1325" s="100" t="str">
        <f t="shared" si="3"/>
        <v/>
      </c>
      <c r="G1325" s="151"/>
      <c r="H1325" s="156"/>
      <c r="I1325" s="157"/>
      <c r="J1325" s="158"/>
      <c r="L1325" s="94"/>
      <c r="M1325" s="159"/>
      <c r="N1325" s="94"/>
    </row>
    <row r="1326">
      <c r="A1326" s="107">
        <v>201988.0</v>
      </c>
      <c r="B1326" s="108" t="s">
        <v>244</v>
      </c>
      <c r="C1326" s="108" t="s">
        <v>466</v>
      </c>
      <c r="D1326" s="100" t="str">
        <f t="shared" si="1"/>
        <v/>
      </c>
      <c r="E1326" s="100" t="str">
        <f t="shared" si="2"/>
        <v/>
      </c>
      <c r="F1326" s="100" t="str">
        <f t="shared" si="3"/>
        <v/>
      </c>
      <c r="G1326" s="151"/>
      <c r="H1326" s="160"/>
      <c r="I1326" s="157"/>
      <c r="J1326" s="161"/>
      <c r="L1326" s="94"/>
      <c r="M1326" s="159"/>
      <c r="N1326" s="94"/>
    </row>
    <row r="1327">
      <c r="A1327" s="107">
        <v>201988.0</v>
      </c>
      <c r="B1327" s="108" t="s">
        <v>245</v>
      </c>
      <c r="C1327" s="108" t="s">
        <v>466</v>
      </c>
      <c r="D1327" s="100" t="str">
        <f t="shared" si="1"/>
        <v/>
      </c>
      <c r="E1327" s="100" t="str">
        <f t="shared" si="2"/>
        <v/>
      </c>
      <c r="F1327" s="100" t="str">
        <f t="shared" si="3"/>
        <v/>
      </c>
      <c r="G1327" s="151"/>
      <c r="H1327" s="156"/>
      <c r="I1327" s="157"/>
      <c r="J1327" s="158"/>
      <c r="L1327" s="94"/>
      <c r="M1327" s="159"/>
      <c r="N1327" s="94"/>
    </row>
    <row r="1328">
      <c r="A1328" s="107">
        <v>201988.0</v>
      </c>
      <c r="B1328" s="108" t="s">
        <v>246</v>
      </c>
      <c r="C1328" s="108" t="s">
        <v>466</v>
      </c>
      <c r="D1328" s="100" t="str">
        <f t="shared" si="1"/>
        <v/>
      </c>
      <c r="E1328" s="100" t="str">
        <f t="shared" si="2"/>
        <v/>
      </c>
      <c r="F1328" s="100" t="str">
        <f t="shared" si="3"/>
        <v/>
      </c>
      <c r="G1328" s="151"/>
      <c r="H1328" s="160"/>
      <c r="I1328" s="157"/>
      <c r="J1328" s="161"/>
      <c r="L1328" s="94"/>
      <c r="M1328" s="159"/>
      <c r="N1328" s="94"/>
    </row>
    <row r="1329">
      <c r="A1329" s="107">
        <v>201991.0</v>
      </c>
      <c r="B1329" s="108" t="s">
        <v>90</v>
      </c>
      <c r="C1329" s="108" t="s">
        <v>467</v>
      </c>
      <c r="D1329" s="100" t="str">
        <f t="shared" si="1"/>
        <v/>
      </c>
      <c r="E1329" s="100" t="str">
        <f t="shared" si="2"/>
        <v/>
      </c>
      <c r="F1329" s="100" t="str">
        <f t="shared" si="3"/>
        <v/>
      </c>
      <c r="G1329" s="151"/>
      <c r="H1329" s="156"/>
      <c r="I1329" s="157"/>
      <c r="J1329" s="158"/>
      <c r="L1329" s="94"/>
      <c r="M1329" s="159"/>
      <c r="N1329" s="94"/>
    </row>
    <row r="1330">
      <c r="A1330" s="107">
        <v>202066.0</v>
      </c>
      <c r="B1330" s="108" t="s">
        <v>85</v>
      </c>
      <c r="C1330" s="108" t="s">
        <v>468</v>
      </c>
      <c r="D1330" s="100" t="str">
        <f t="shared" si="1"/>
        <v/>
      </c>
      <c r="E1330" s="100" t="str">
        <f t="shared" si="2"/>
        <v/>
      </c>
      <c r="F1330" s="100" t="str">
        <f t="shared" si="3"/>
        <v/>
      </c>
      <c r="G1330" s="151"/>
      <c r="H1330" s="160"/>
      <c r="I1330" s="157"/>
      <c r="J1330" s="161"/>
      <c r="L1330" s="94"/>
      <c r="M1330" s="159"/>
      <c r="N1330" s="94"/>
    </row>
    <row r="1331">
      <c r="A1331" s="107">
        <v>202066.0</v>
      </c>
      <c r="B1331" s="108" t="s">
        <v>90</v>
      </c>
      <c r="C1331" s="108" t="s">
        <v>468</v>
      </c>
      <c r="D1331" s="100" t="str">
        <f t="shared" si="1"/>
        <v/>
      </c>
      <c r="E1331" s="100" t="str">
        <f t="shared" si="2"/>
        <v/>
      </c>
      <c r="F1331" s="100" t="str">
        <f t="shared" si="3"/>
        <v/>
      </c>
      <c r="G1331" s="151"/>
      <c r="H1331" s="156"/>
      <c r="I1331" s="157"/>
      <c r="J1331" s="158"/>
      <c r="L1331" s="94"/>
      <c r="M1331" s="159"/>
      <c r="N1331" s="94"/>
    </row>
    <row r="1332">
      <c r="A1332" s="107">
        <v>202066.0</v>
      </c>
      <c r="B1332" s="108" t="s">
        <v>92</v>
      </c>
      <c r="C1332" s="108" t="s">
        <v>468</v>
      </c>
      <c r="D1332" s="100" t="str">
        <f t="shared" si="1"/>
        <v/>
      </c>
      <c r="E1332" s="100" t="str">
        <f t="shared" si="2"/>
        <v/>
      </c>
      <c r="F1332" s="100" t="str">
        <f t="shared" si="3"/>
        <v/>
      </c>
      <c r="G1332" s="151"/>
      <c r="H1332" s="160"/>
      <c r="I1332" s="157"/>
      <c r="J1332" s="161"/>
      <c r="L1332" s="94"/>
      <c r="M1332" s="159"/>
      <c r="N1332" s="94"/>
    </row>
    <row r="1333">
      <c r="A1333" s="107">
        <v>202066.0</v>
      </c>
      <c r="B1333" s="108" t="s">
        <v>190</v>
      </c>
      <c r="C1333" s="108" t="s">
        <v>468</v>
      </c>
      <c r="D1333" s="100" t="str">
        <f t="shared" si="1"/>
        <v/>
      </c>
      <c r="E1333" s="100" t="str">
        <f t="shared" si="2"/>
        <v/>
      </c>
      <c r="F1333" s="100" t="str">
        <f t="shared" si="3"/>
        <v/>
      </c>
      <c r="G1333" s="151"/>
      <c r="H1333" s="156"/>
      <c r="I1333" s="157"/>
      <c r="J1333" s="158"/>
      <c r="L1333" s="94"/>
      <c r="M1333" s="159"/>
      <c r="N1333" s="94"/>
    </row>
    <row r="1334">
      <c r="A1334" s="107">
        <v>202066.0</v>
      </c>
      <c r="B1334" s="108" t="s">
        <v>191</v>
      </c>
      <c r="C1334" s="108" t="s">
        <v>468</v>
      </c>
      <c r="D1334" s="100" t="str">
        <f t="shared" si="1"/>
        <v/>
      </c>
      <c r="E1334" s="100" t="str">
        <f t="shared" si="2"/>
        <v/>
      </c>
      <c r="F1334" s="100" t="str">
        <f t="shared" si="3"/>
        <v/>
      </c>
      <c r="G1334" s="151"/>
      <c r="H1334" s="160"/>
      <c r="I1334" s="157"/>
      <c r="J1334" s="161"/>
      <c r="L1334" s="94"/>
      <c r="M1334" s="159"/>
      <c r="N1334" s="94"/>
    </row>
    <row r="1335">
      <c r="A1335" s="107">
        <v>202066.0</v>
      </c>
      <c r="B1335" s="108" t="s">
        <v>192</v>
      </c>
      <c r="C1335" s="108" t="s">
        <v>468</v>
      </c>
      <c r="D1335" s="100" t="str">
        <f t="shared" si="1"/>
        <v/>
      </c>
      <c r="E1335" s="100" t="str">
        <f t="shared" si="2"/>
        <v/>
      </c>
      <c r="F1335" s="100" t="str">
        <f t="shared" si="3"/>
        <v/>
      </c>
      <c r="G1335" s="151"/>
      <c r="H1335" s="156"/>
      <c r="I1335" s="157"/>
      <c r="J1335" s="158"/>
      <c r="L1335" s="94"/>
      <c r="M1335" s="159"/>
      <c r="N1335" s="94"/>
    </row>
    <row r="1336">
      <c r="A1336" s="107">
        <v>202066.0</v>
      </c>
      <c r="B1336" s="108" t="s">
        <v>193</v>
      </c>
      <c r="C1336" s="108" t="s">
        <v>468</v>
      </c>
      <c r="D1336" s="100" t="str">
        <f t="shared" si="1"/>
        <v/>
      </c>
      <c r="E1336" s="100" t="str">
        <f t="shared" si="2"/>
        <v/>
      </c>
      <c r="F1336" s="100" t="str">
        <f t="shared" si="3"/>
        <v/>
      </c>
      <c r="G1336" s="151"/>
      <c r="H1336" s="160"/>
      <c r="I1336" s="157"/>
      <c r="J1336" s="161"/>
      <c r="L1336" s="94"/>
      <c r="M1336" s="159"/>
      <c r="N1336" s="94"/>
    </row>
    <row r="1337">
      <c r="A1337" s="107">
        <v>202066.0</v>
      </c>
      <c r="B1337" s="108" t="s">
        <v>243</v>
      </c>
      <c r="C1337" s="108" t="s">
        <v>468</v>
      </c>
      <c r="D1337" s="100" t="str">
        <f t="shared" si="1"/>
        <v/>
      </c>
      <c r="E1337" s="100" t="str">
        <f t="shared" si="2"/>
        <v/>
      </c>
      <c r="F1337" s="100" t="str">
        <f t="shared" si="3"/>
        <v/>
      </c>
      <c r="G1337" s="151"/>
      <c r="H1337" s="156"/>
      <c r="I1337" s="157"/>
      <c r="J1337" s="158"/>
      <c r="L1337" s="94"/>
      <c r="M1337" s="159"/>
      <c r="N1337" s="94"/>
    </row>
    <row r="1338">
      <c r="A1338" s="107">
        <v>202066.0</v>
      </c>
      <c r="B1338" s="108" t="s">
        <v>215</v>
      </c>
      <c r="C1338" s="108" t="s">
        <v>468</v>
      </c>
      <c r="D1338" s="100" t="str">
        <f t="shared" si="1"/>
        <v/>
      </c>
      <c r="E1338" s="100" t="str">
        <f t="shared" si="2"/>
        <v/>
      </c>
      <c r="F1338" s="100" t="str">
        <f t="shared" si="3"/>
        <v/>
      </c>
      <c r="G1338" s="151"/>
      <c r="H1338" s="160"/>
      <c r="I1338" s="157"/>
      <c r="J1338" s="161"/>
      <c r="L1338" s="94"/>
      <c r="M1338" s="159"/>
      <c r="N1338" s="94"/>
    </row>
    <row r="1339">
      <c r="A1339" s="107">
        <v>202066.0</v>
      </c>
      <c r="B1339" s="108" t="s">
        <v>244</v>
      </c>
      <c r="C1339" s="108" t="s">
        <v>468</v>
      </c>
      <c r="D1339" s="100" t="str">
        <f t="shared" si="1"/>
        <v/>
      </c>
      <c r="E1339" s="100" t="str">
        <f t="shared" si="2"/>
        <v/>
      </c>
      <c r="F1339" s="100" t="str">
        <f t="shared" si="3"/>
        <v/>
      </c>
      <c r="G1339" s="151"/>
      <c r="H1339" s="156"/>
      <c r="I1339" s="157"/>
      <c r="J1339" s="158"/>
      <c r="L1339" s="94"/>
      <c r="M1339" s="159"/>
      <c r="N1339" s="94"/>
    </row>
    <row r="1340">
      <c r="A1340" s="107">
        <v>202066.0</v>
      </c>
      <c r="B1340" s="108" t="s">
        <v>245</v>
      </c>
      <c r="C1340" s="108" t="s">
        <v>468</v>
      </c>
      <c r="D1340" s="100" t="str">
        <f t="shared" si="1"/>
        <v/>
      </c>
      <c r="E1340" s="100" t="str">
        <f t="shared" si="2"/>
        <v/>
      </c>
      <c r="F1340" s="100" t="str">
        <f t="shared" si="3"/>
        <v/>
      </c>
      <c r="G1340" s="151"/>
      <c r="H1340" s="160"/>
      <c r="I1340" s="157"/>
      <c r="J1340" s="161"/>
      <c r="L1340" s="94"/>
      <c r="M1340" s="159"/>
      <c r="N1340" s="94"/>
    </row>
    <row r="1341">
      <c r="A1341" s="107">
        <v>202066.0</v>
      </c>
      <c r="B1341" s="108" t="s">
        <v>246</v>
      </c>
      <c r="C1341" s="108" t="s">
        <v>468</v>
      </c>
      <c r="D1341" s="100" t="str">
        <f t="shared" si="1"/>
        <v/>
      </c>
      <c r="E1341" s="100" t="str">
        <f t="shared" si="2"/>
        <v/>
      </c>
      <c r="F1341" s="100" t="str">
        <f t="shared" si="3"/>
        <v/>
      </c>
      <c r="G1341" s="151"/>
      <c r="H1341" s="156"/>
      <c r="I1341" s="157"/>
      <c r="J1341" s="158"/>
      <c r="L1341" s="94"/>
      <c r="M1341" s="159"/>
      <c r="N1341" s="94"/>
    </row>
    <row r="1342">
      <c r="A1342" s="89">
        <v>202066.0</v>
      </c>
      <c r="B1342" s="113" t="s">
        <v>247</v>
      </c>
      <c r="C1342" s="113" t="s">
        <v>468</v>
      </c>
      <c r="D1342" s="100" t="str">
        <f t="shared" si="1"/>
        <v/>
      </c>
      <c r="E1342" s="100" t="str">
        <f t="shared" si="2"/>
        <v/>
      </c>
      <c r="F1342" s="100" t="str">
        <f t="shared" si="3"/>
        <v/>
      </c>
      <c r="G1342" s="151"/>
      <c r="H1342" s="160"/>
      <c r="I1342" s="157"/>
      <c r="J1342" s="161"/>
      <c r="L1342" s="94"/>
      <c r="M1342" s="159"/>
      <c r="N1342" s="94"/>
    </row>
    <row r="1343">
      <c r="A1343" s="107">
        <v>202077.0</v>
      </c>
      <c r="B1343" s="108" t="s">
        <v>90</v>
      </c>
      <c r="C1343" s="108" t="s">
        <v>469</v>
      </c>
      <c r="D1343" s="100" t="str">
        <f t="shared" si="1"/>
        <v/>
      </c>
      <c r="E1343" s="100" t="str">
        <f t="shared" si="2"/>
        <v/>
      </c>
      <c r="F1343" s="100" t="str">
        <f t="shared" si="3"/>
        <v/>
      </c>
      <c r="G1343" s="151"/>
      <c r="H1343" s="156"/>
      <c r="I1343" s="157"/>
      <c r="J1343" s="158"/>
      <c r="L1343" s="94"/>
      <c r="M1343" s="159"/>
      <c r="N1343" s="94"/>
    </row>
    <row r="1344">
      <c r="A1344" s="107">
        <v>202083.0</v>
      </c>
      <c r="B1344" s="108" t="s">
        <v>85</v>
      </c>
      <c r="C1344" s="108" t="s">
        <v>470</v>
      </c>
      <c r="D1344" s="100" t="str">
        <f t="shared" si="1"/>
        <v/>
      </c>
      <c r="E1344" s="100" t="str">
        <f t="shared" si="2"/>
        <v/>
      </c>
      <c r="F1344" s="100" t="str">
        <f t="shared" si="3"/>
        <v/>
      </c>
      <c r="G1344" s="151"/>
      <c r="H1344" s="160"/>
      <c r="I1344" s="157"/>
      <c r="J1344" s="161"/>
      <c r="L1344" s="94"/>
      <c r="M1344" s="159"/>
      <c r="N1344" s="94"/>
    </row>
    <row r="1345">
      <c r="A1345" s="107">
        <v>202083.0</v>
      </c>
      <c r="B1345" s="108" t="s">
        <v>90</v>
      </c>
      <c r="C1345" s="108" t="s">
        <v>470</v>
      </c>
      <c r="D1345" s="100" t="str">
        <f t="shared" si="1"/>
        <v/>
      </c>
      <c r="E1345" s="100" t="str">
        <f t="shared" si="2"/>
        <v/>
      </c>
      <c r="F1345" s="100" t="str">
        <f t="shared" si="3"/>
        <v/>
      </c>
      <c r="G1345" s="151"/>
      <c r="H1345" s="156"/>
      <c r="I1345" s="157"/>
      <c r="J1345" s="158"/>
      <c r="L1345" s="94"/>
      <c r="M1345" s="159"/>
      <c r="N1345" s="94"/>
    </row>
    <row r="1346">
      <c r="A1346" s="107">
        <v>202083.0</v>
      </c>
      <c r="B1346" s="108" t="s">
        <v>92</v>
      </c>
      <c r="C1346" s="108" t="s">
        <v>470</v>
      </c>
      <c r="D1346" s="100" t="str">
        <f t="shared" si="1"/>
        <v/>
      </c>
      <c r="E1346" s="100" t="str">
        <f t="shared" si="2"/>
        <v/>
      </c>
      <c r="F1346" s="100" t="str">
        <f t="shared" si="3"/>
        <v/>
      </c>
      <c r="G1346" s="151"/>
      <c r="H1346" s="160"/>
      <c r="I1346" s="157"/>
      <c r="J1346" s="161"/>
      <c r="L1346" s="94"/>
      <c r="M1346" s="159"/>
      <c r="N1346" s="94"/>
    </row>
    <row r="1347">
      <c r="A1347" s="107">
        <v>202083.0</v>
      </c>
      <c r="B1347" s="108" t="s">
        <v>190</v>
      </c>
      <c r="C1347" s="108" t="s">
        <v>470</v>
      </c>
      <c r="D1347" s="100" t="str">
        <f t="shared" si="1"/>
        <v/>
      </c>
      <c r="E1347" s="100" t="str">
        <f t="shared" si="2"/>
        <v/>
      </c>
      <c r="F1347" s="100" t="str">
        <f t="shared" si="3"/>
        <v/>
      </c>
      <c r="G1347" s="151"/>
      <c r="H1347" s="156"/>
      <c r="I1347" s="157"/>
      <c r="J1347" s="158"/>
      <c r="L1347" s="94"/>
      <c r="M1347" s="159"/>
      <c r="N1347" s="94"/>
    </row>
    <row r="1348">
      <c r="A1348" s="107">
        <v>202083.0</v>
      </c>
      <c r="B1348" s="108" t="s">
        <v>191</v>
      </c>
      <c r="C1348" s="108" t="s">
        <v>470</v>
      </c>
      <c r="D1348" s="100" t="str">
        <f t="shared" si="1"/>
        <v/>
      </c>
      <c r="E1348" s="100" t="str">
        <f t="shared" si="2"/>
        <v/>
      </c>
      <c r="F1348" s="100" t="str">
        <f t="shared" si="3"/>
        <v/>
      </c>
      <c r="G1348" s="151"/>
      <c r="H1348" s="160"/>
      <c r="I1348" s="157"/>
      <c r="J1348" s="161"/>
      <c r="L1348" s="94"/>
      <c r="M1348" s="159"/>
      <c r="N1348" s="94"/>
    </row>
    <row r="1349">
      <c r="A1349" s="107">
        <v>202083.0</v>
      </c>
      <c r="B1349" s="108" t="s">
        <v>192</v>
      </c>
      <c r="C1349" s="108" t="s">
        <v>470</v>
      </c>
      <c r="D1349" s="100" t="str">
        <f t="shared" si="1"/>
        <v/>
      </c>
      <c r="E1349" s="100" t="str">
        <f t="shared" si="2"/>
        <v/>
      </c>
      <c r="F1349" s="100" t="str">
        <f t="shared" si="3"/>
        <v/>
      </c>
      <c r="G1349" s="151"/>
      <c r="H1349" s="156"/>
      <c r="I1349" s="157"/>
      <c r="J1349" s="158"/>
      <c r="L1349" s="94"/>
      <c r="M1349" s="159"/>
      <c r="N1349" s="94"/>
    </row>
    <row r="1350">
      <c r="A1350" s="107">
        <v>202083.0</v>
      </c>
      <c r="B1350" s="108" t="s">
        <v>193</v>
      </c>
      <c r="C1350" s="108" t="s">
        <v>470</v>
      </c>
      <c r="D1350" s="100" t="str">
        <f t="shared" si="1"/>
        <v/>
      </c>
      <c r="E1350" s="100" t="str">
        <f t="shared" si="2"/>
        <v/>
      </c>
      <c r="F1350" s="100" t="str">
        <f t="shared" si="3"/>
        <v/>
      </c>
      <c r="G1350" s="151"/>
      <c r="H1350" s="160"/>
      <c r="I1350" s="157"/>
      <c r="J1350" s="161"/>
      <c r="L1350" s="94"/>
      <c r="M1350" s="159"/>
      <c r="N1350" s="94"/>
    </row>
    <row r="1351">
      <c r="A1351" s="107">
        <v>202083.0</v>
      </c>
      <c r="B1351" s="108" t="s">
        <v>243</v>
      </c>
      <c r="C1351" s="108" t="s">
        <v>470</v>
      </c>
      <c r="D1351" s="100" t="str">
        <f t="shared" si="1"/>
        <v/>
      </c>
      <c r="E1351" s="100" t="str">
        <f t="shared" si="2"/>
        <v/>
      </c>
      <c r="F1351" s="100" t="str">
        <f t="shared" si="3"/>
        <v/>
      </c>
      <c r="G1351" s="151"/>
      <c r="H1351" s="156"/>
      <c r="I1351" s="157"/>
      <c r="J1351" s="158"/>
      <c r="L1351" s="94"/>
      <c r="M1351" s="159"/>
      <c r="N1351" s="94"/>
    </row>
    <row r="1352">
      <c r="A1352" s="107">
        <v>202083.0</v>
      </c>
      <c r="B1352" s="108" t="s">
        <v>215</v>
      </c>
      <c r="C1352" s="108" t="s">
        <v>470</v>
      </c>
      <c r="D1352" s="100" t="str">
        <f t="shared" si="1"/>
        <v/>
      </c>
      <c r="E1352" s="100" t="str">
        <f t="shared" si="2"/>
        <v/>
      </c>
      <c r="F1352" s="100" t="str">
        <f t="shared" si="3"/>
        <v/>
      </c>
      <c r="G1352" s="151"/>
      <c r="H1352" s="160"/>
      <c r="I1352" s="157"/>
      <c r="J1352" s="161"/>
      <c r="L1352" s="94"/>
      <c r="M1352" s="159"/>
      <c r="N1352" s="94"/>
    </row>
    <row r="1353">
      <c r="A1353" s="107">
        <v>202083.0</v>
      </c>
      <c r="B1353" s="108" t="s">
        <v>244</v>
      </c>
      <c r="C1353" s="108" t="s">
        <v>470</v>
      </c>
      <c r="D1353" s="100" t="str">
        <f t="shared" si="1"/>
        <v/>
      </c>
      <c r="E1353" s="100" t="str">
        <f t="shared" si="2"/>
        <v/>
      </c>
      <c r="F1353" s="100" t="str">
        <f t="shared" si="3"/>
        <v/>
      </c>
      <c r="G1353" s="151"/>
      <c r="H1353" s="156"/>
      <c r="I1353" s="157"/>
      <c r="J1353" s="158"/>
      <c r="L1353" s="94"/>
      <c r="M1353" s="159"/>
      <c r="N1353" s="94"/>
    </row>
    <row r="1354">
      <c r="A1354" s="107">
        <v>202083.0</v>
      </c>
      <c r="B1354" s="108" t="s">
        <v>245</v>
      </c>
      <c r="C1354" s="108" t="s">
        <v>470</v>
      </c>
      <c r="D1354" s="100" t="str">
        <f t="shared" si="1"/>
        <v/>
      </c>
      <c r="E1354" s="100" t="str">
        <f t="shared" si="2"/>
        <v/>
      </c>
      <c r="F1354" s="100" t="str">
        <f t="shared" si="3"/>
        <v/>
      </c>
      <c r="G1354" s="151"/>
      <c r="H1354" s="160"/>
      <c r="I1354" s="157"/>
      <c r="J1354" s="161"/>
      <c r="L1354" s="94"/>
      <c r="M1354" s="159"/>
      <c r="N1354" s="94"/>
    </row>
    <row r="1355">
      <c r="A1355" s="107">
        <v>202087.0</v>
      </c>
      <c r="B1355" s="108" t="s">
        <v>85</v>
      </c>
      <c r="C1355" s="108" t="s">
        <v>471</v>
      </c>
      <c r="D1355" s="100" t="str">
        <f t="shared" si="1"/>
        <v/>
      </c>
      <c r="E1355" s="100" t="str">
        <f t="shared" si="2"/>
        <v/>
      </c>
      <c r="F1355" s="100" t="str">
        <f t="shared" si="3"/>
        <v/>
      </c>
      <c r="G1355" s="151"/>
      <c r="H1355" s="156"/>
      <c r="I1355" s="157"/>
      <c r="J1355" s="158"/>
      <c r="L1355" s="94"/>
      <c r="M1355" s="159"/>
      <c r="N1355" s="94"/>
    </row>
    <row r="1356">
      <c r="A1356" s="107">
        <v>202087.0</v>
      </c>
      <c r="B1356" s="108" t="s">
        <v>90</v>
      </c>
      <c r="C1356" s="108" t="s">
        <v>471</v>
      </c>
      <c r="D1356" s="100" t="str">
        <f t="shared" si="1"/>
        <v/>
      </c>
      <c r="E1356" s="100" t="str">
        <f t="shared" si="2"/>
        <v/>
      </c>
      <c r="F1356" s="100" t="str">
        <f t="shared" si="3"/>
        <v/>
      </c>
      <c r="G1356" s="151"/>
      <c r="H1356" s="160"/>
      <c r="I1356" s="157"/>
      <c r="J1356" s="161"/>
      <c r="L1356" s="94"/>
      <c r="M1356" s="159"/>
      <c r="N1356" s="94"/>
    </row>
    <row r="1357">
      <c r="A1357" s="107">
        <v>202087.0</v>
      </c>
      <c r="B1357" s="108" t="s">
        <v>92</v>
      </c>
      <c r="C1357" s="108" t="s">
        <v>471</v>
      </c>
      <c r="D1357" s="100" t="str">
        <f t="shared" si="1"/>
        <v/>
      </c>
      <c r="E1357" s="100" t="str">
        <f t="shared" si="2"/>
        <v/>
      </c>
      <c r="F1357" s="100" t="str">
        <f t="shared" si="3"/>
        <v/>
      </c>
      <c r="G1357" s="151"/>
      <c r="H1357" s="156"/>
      <c r="I1357" s="157"/>
      <c r="J1357" s="158"/>
      <c r="L1357" s="94"/>
      <c r="M1357" s="159"/>
      <c r="N1357" s="94"/>
    </row>
    <row r="1358">
      <c r="A1358" s="107">
        <v>202087.0</v>
      </c>
      <c r="B1358" s="108" t="s">
        <v>190</v>
      </c>
      <c r="C1358" s="108" t="s">
        <v>471</v>
      </c>
      <c r="D1358" s="100" t="str">
        <f t="shared" si="1"/>
        <v/>
      </c>
      <c r="E1358" s="100" t="str">
        <f t="shared" si="2"/>
        <v/>
      </c>
      <c r="F1358" s="100" t="str">
        <f t="shared" si="3"/>
        <v/>
      </c>
      <c r="G1358" s="151"/>
      <c r="H1358" s="160"/>
      <c r="I1358" s="157"/>
      <c r="J1358" s="161"/>
      <c r="L1358" s="94"/>
      <c r="M1358" s="159"/>
      <c r="N1358" s="94"/>
    </row>
    <row r="1359">
      <c r="A1359" s="107">
        <v>202091.0</v>
      </c>
      <c r="B1359" s="108" t="s">
        <v>85</v>
      </c>
      <c r="C1359" s="108" t="s">
        <v>472</v>
      </c>
      <c r="D1359" s="100" t="str">
        <f t="shared" si="1"/>
        <v/>
      </c>
      <c r="E1359" s="100" t="str">
        <f t="shared" si="2"/>
        <v/>
      </c>
      <c r="F1359" s="100" t="str">
        <f t="shared" si="3"/>
        <v/>
      </c>
      <c r="G1359" s="151"/>
      <c r="H1359" s="156"/>
      <c r="I1359" s="157"/>
      <c r="J1359" s="158"/>
      <c r="L1359" s="94"/>
      <c r="M1359" s="159"/>
      <c r="N1359" s="94"/>
    </row>
    <row r="1360">
      <c r="A1360" s="107">
        <v>202130.0</v>
      </c>
      <c r="B1360" s="108" t="s">
        <v>85</v>
      </c>
      <c r="C1360" s="108" t="s">
        <v>473</v>
      </c>
      <c r="D1360" s="100" t="str">
        <f t="shared" si="1"/>
        <v/>
      </c>
      <c r="E1360" s="100" t="str">
        <f t="shared" si="2"/>
        <v/>
      </c>
      <c r="F1360" s="100" t="str">
        <f t="shared" si="3"/>
        <v/>
      </c>
      <c r="G1360" s="151"/>
      <c r="H1360" s="160"/>
      <c r="I1360" s="157"/>
      <c r="J1360" s="161"/>
      <c r="L1360" s="94"/>
      <c r="M1360" s="159"/>
      <c r="N1360" s="94"/>
    </row>
    <row r="1361">
      <c r="A1361" s="107">
        <v>202130.0</v>
      </c>
      <c r="B1361" s="108" t="s">
        <v>90</v>
      </c>
      <c r="C1361" s="108" t="s">
        <v>473</v>
      </c>
      <c r="D1361" s="100" t="str">
        <f t="shared" si="1"/>
        <v/>
      </c>
      <c r="E1361" s="100" t="str">
        <f t="shared" si="2"/>
        <v/>
      </c>
      <c r="F1361" s="100" t="str">
        <f t="shared" si="3"/>
        <v/>
      </c>
      <c r="G1361" s="151"/>
      <c r="H1361" s="156"/>
      <c r="I1361" s="157"/>
      <c r="J1361" s="158"/>
      <c r="L1361" s="94"/>
      <c r="M1361" s="159"/>
      <c r="N1361" s="94"/>
    </row>
    <row r="1362">
      <c r="A1362" s="107">
        <v>202130.0</v>
      </c>
      <c r="B1362" s="108" t="s">
        <v>190</v>
      </c>
      <c r="C1362" s="108" t="s">
        <v>473</v>
      </c>
      <c r="D1362" s="100" t="str">
        <f t="shared" si="1"/>
        <v/>
      </c>
      <c r="E1362" s="100" t="str">
        <f t="shared" si="2"/>
        <v/>
      </c>
      <c r="F1362" s="100" t="str">
        <f t="shared" si="3"/>
        <v/>
      </c>
      <c r="G1362" s="151"/>
      <c r="H1362" s="160"/>
      <c r="I1362" s="157"/>
      <c r="J1362" s="161"/>
      <c r="L1362" s="94"/>
      <c r="M1362" s="159"/>
      <c r="N1362" s="94"/>
    </row>
    <row r="1363">
      <c r="A1363" s="107">
        <v>202197.0</v>
      </c>
      <c r="B1363" s="108" t="s">
        <v>85</v>
      </c>
      <c r="C1363" s="108" t="s">
        <v>474</v>
      </c>
      <c r="D1363" s="100" t="str">
        <f t="shared" si="1"/>
        <v/>
      </c>
      <c r="E1363" s="100" t="str">
        <f t="shared" si="2"/>
        <v/>
      </c>
      <c r="F1363" s="100" t="str">
        <f t="shared" si="3"/>
        <v/>
      </c>
      <c r="G1363" s="151"/>
      <c r="H1363" s="156"/>
      <c r="I1363" s="157"/>
      <c r="J1363" s="158"/>
      <c r="L1363" s="94"/>
      <c r="M1363" s="159"/>
      <c r="N1363" s="94"/>
    </row>
    <row r="1364">
      <c r="A1364" s="107">
        <v>202322.0</v>
      </c>
      <c r="B1364" s="108" t="s">
        <v>85</v>
      </c>
      <c r="C1364" s="108" t="s">
        <v>475</v>
      </c>
      <c r="D1364" s="100" t="str">
        <f t="shared" si="1"/>
        <v/>
      </c>
      <c r="E1364" s="100" t="str">
        <f t="shared" si="2"/>
        <v/>
      </c>
      <c r="F1364" s="100" t="str">
        <f t="shared" si="3"/>
        <v/>
      </c>
      <c r="G1364" s="151"/>
      <c r="H1364" s="160"/>
      <c r="I1364" s="157"/>
      <c r="J1364" s="161"/>
      <c r="L1364" s="94"/>
      <c r="M1364" s="159"/>
      <c r="N1364" s="94"/>
    </row>
    <row r="1365">
      <c r="A1365" s="107">
        <v>202322.0</v>
      </c>
      <c r="B1365" s="108" t="s">
        <v>90</v>
      </c>
      <c r="C1365" s="108" t="s">
        <v>475</v>
      </c>
      <c r="D1365" s="100" t="str">
        <f t="shared" si="1"/>
        <v/>
      </c>
      <c r="E1365" s="100" t="str">
        <f t="shared" si="2"/>
        <v/>
      </c>
      <c r="F1365" s="100" t="str">
        <f t="shared" si="3"/>
        <v/>
      </c>
      <c r="G1365" s="151"/>
      <c r="H1365" s="156"/>
      <c r="I1365" s="157"/>
      <c r="J1365" s="158"/>
      <c r="L1365" s="94"/>
      <c r="M1365" s="159"/>
      <c r="N1365" s="94"/>
    </row>
    <row r="1366">
      <c r="A1366" s="107">
        <v>202322.0</v>
      </c>
      <c r="B1366" s="108" t="s">
        <v>92</v>
      </c>
      <c r="C1366" s="108" t="s">
        <v>475</v>
      </c>
      <c r="D1366" s="100" t="str">
        <f t="shared" si="1"/>
        <v/>
      </c>
      <c r="E1366" s="100" t="str">
        <f t="shared" si="2"/>
        <v/>
      </c>
      <c r="F1366" s="100" t="str">
        <f t="shared" si="3"/>
        <v/>
      </c>
      <c r="G1366" s="151"/>
      <c r="H1366" s="160"/>
      <c r="I1366" s="157"/>
      <c r="J1366" s="161"/>
      <c r="L1366" s="94"/>
      <c r="M1366" s="159"/>
      <c r="N1366" s="94"/>
    </row>
    <row r="1367">
      <c r="A1367" s="107">
        <v>202322.0</v>
      </c>
      <c r="B1367" s="108" t="s">
        <v>190</v>
      </c>
      <c r="C1367" s="108" t="s">
        <v>475</v>
      </c>
      <c r="D1367" s="100" t="str">
        <f t="shared" si="1"/>
        <v/>
      </c>
      <c r="E1367" s="100" t="str">
        <f t="shared" si="2"/>
        <v/>
      </c>
      <c r="F1367" s="100" t="str">
        <f t="shared" si="3"/>
        <v/>
      </c>
      <c r="G1367" s="151"/>
      <c r="H1367" s="156"/>
      <c r="I1367" s="157"/>
      <c r="J1367" s="158"/>
      <c r="L1367" s="94"/>
      <c r="M1367" s="159"/>
      <c r="N1367" s="94"/>
    </row>
    <row r="1368">
      <c r="A1368" s="107">
        <v>202322.0</v>
      </c>
      <c r="B1368" s="108" t="s">
        <v>191</v>
      </c>
      <c r="C1368" s="108" t="s">
        <v>475</v>
      </c>
      <c r="D1368" s="100" t="str">
        <f t="shared" si="1"/>
        <v/>
      </c>
      <c r="E1368" s="100" t="str">
        <f t="shared" si="2"/>
        <v/>
      </c>
      <c r="F1368" s="100" t="str">
        <f t="shared" si="3"/>
        <v/>
      </c>
      <c r="G1368" s="151"/>
      <c r="H1368" s="160"/>
      <c r="I1368" s="157"/>
      <c r="J1368" s="161"/>
      <c r="L1368" s="94"/>
      <c r="M1368" s="159"/>
      <c r="N1368" s="94"/>
    </row>
    <row r="1369">
      <c r="A1369" s="107">
        <v>202322.0</v>
      </c>
      <c r="B1369" s="108" t="s">
        <v>192</v>
      </c>
      <c r="C1369" s="108" t="s">
        <v>475</v>
      </c>
      <c r="D1369" s="100" t="str">
        <f t="shared" si="1"/>
        <v/>
      </c>
      <c r="E1369" s="100" t="str">
        <f t="shared" si="2"/>
        <v/>
      </c>
      <c r="F1369" s="100" t="str">
        <f t="shared" si="3"/>
        <v/>
      </c>
      <c r="G1369" s="151"/>
      <c r="H1369" s="156"/>
      <c r="I1369" s="157"/>
      <c r="J1369" s="158"/>
      <c r="L1369" s="94"/>
      <c r="M1369" s="159"/>
      <c r="N1369" s="94"/>
    </row>
    <row r="1370">
      <c r="A1370" s="107">
        <v>202322.0</v>
      </c>
      <c r="B1370" s="108" t="s">
        <v>243</v>
      </c>
      <c r="C1370" s="108" t="s">
        <v>475</v>
      </c>
      <c r="D1370" s="100" t="str">
        <f t="shared" si="1"/>
        <v/>
      </c>
      <c r="E1370" s="100" t="str">
        <f t="shared" si="2"/>
        <v/>
      </c>
      <c r="F1370" s="100" t="str">
        <f t="shared" si="3"/>
        <v/>
      </c>
      <c r="G1370" s="151"/>
      <c r="H1370" s="160"/>
      <c r="I1370" s="157"/>
      <c r="J1370" s="161"/>
      <c r="L1370" s="94"/>
      <c r="M1370" s="159"/>
      <c r="N1370" s="94"/>
    </row>
    <row r="1371">
      <c r="A1371" s="107">
        <v>202322.0</v>
      </c>
      <c r="B1371" s="108" t="s">
        <v>244</v>
      </c>
      <c r="C1371" s="108" t="s">
        <v>475</v>
      </c>
      <c r="D1371" s="100" t="str">
        <f t="shared" si="1"/>
        <v/>
      </c>
      <c r="E1371" s="100" t="str">
        <f t="shared" si="2"/>
        <v/>
      </c>
      <c r="F1371" s="100" t="str">
        <f t="shared" si="3"/>
        <v/>
      </c>
      <c r="G1371" s="151"/>
      <c r="H1371" s="156"/>
      <c r="I1371" s="157"/>
      <c r="J1371" s="158"/>
      <c r="L1371" s="94"/>
      <c r="M1371" s="159"/>
      <c r="N1371" s="94"/>
    </row>
    <row r="1372">
      <c r="A1372" s="107">
        <v>202323.0</v>
      </c>
      <c r="B1372" s="108" t="s">
        <v>85</v>
      </c>
      <c r="C1372" s="108" t="s">
        <v>476</v>
      </c>
      <c r="D1372" s="100" t="str">
        <f t="shared" si="1"/>
        <v/>
      </c>
      <c r="E1372" s="100" t="str">
        <f t="shared" si="2"/>
        <v/>
      </c>
      <c r="F1372" s="100" t="str">
        <f t="shared" si="3"/>
        <v/>
      </c>
      <c r="G1372" s="151"/>
      <c r="H1372" s="160"/>
      <c r="I1372" s="157"/>
      <c r="J1372" s="161"/>
      <c r="L1372" s="94"/>
      <c r="M1372" s="159"/>
      <c r="N1372" s="94"/>
    </row>
    <row r="1373">
      <c r="A1373" s="107">
        <v>202323.0</v>
      </c>
      <c r="B1373" s="108" t="s">
        <v>90</v>
      </c>
      <c r="C1373" s="108" t="s">
        <v>476</v>
      </c>
      <c r="D1373" s="100" t="str">
        <f t="shared" si="1"/>
        <v/>
      </c>
      <c r="E1373" s="100" t="str">
        <f t="shared" si="2"/>
        <v/>
      </c>
      <c r="F1373" s="100" t="str">
        <f t="shared" si="3"/>
        <v/>
      </c>
      <c r="G1373" s="151"/>
      <c r="H1373" s="156"/>
      <c r="I1373" s="157"/>
      <c r="J1373" s="158"/>
      <c r="L1373" s="94"/>
      <c r="M1373" s="159"/>
      <c r="N1373" s="94"/>
    </row>
    <row r="1374">
      <c r="A1374" s="107">
        <v>202323.0</v>
      </c>
      <c r="B1374" s="108" t="s">
        <v>92</v>
      </c>
      <c r="C1374" s="108" t="s">
        <v>476</v>
      </c>
      <c r="D1374" s="100" t="str">
        <f t="shared" si="1"/>
        <v/>
      </c>
      <c r="E1374" s="100" t="str">
        <f t="shared" si="2"/>
        <v/>
      </c>
      <c r="F1374" s="100" t="str">
        <f t="shared" si="3"/>
        <v/>
      </c>
      <c r="G1374" s="151"/>
      <c r="H1374" s="160"/>
      <c r="I1374" s="157"/>
      <c r="J1374" s="161"/>
      <c r="L1374" s="94"/>
      <c r="M1374" s="159"/>
      <c r="N1374" s="94"/>
    </row>
    <row r="1375">
      <c r="A1375" s="107">
        <v>202323.0</v>
      </c>
      <c r="B1375" s="108" t="s">
        <v>190</v>
      </c>
      <c r="C1375" s="108" t="s">
        <v>476</v>
      </c>
      <c r="D1375" s="100" t="str">
        <f t="shared" si="1"/>
        <v/>
      </c>
      <c r="E1375" s="100" t="str">
        <f t="shared" si="2"/>
        <v/>
      </c>
      <c r="F1375" s="100" t="str">
        <f t="shared" si="3"/>
        <v/>
      </c>
      <c r="G1375" s="151"/>
      <c r="H1375" s="156"/>
      <c r="I1375" s="157"/>
      <c r="J1375" s="158"/>
      <c r="L1375" s="94"/>
      <c r="M1375" s="159"/>
      <c r="N1375" s="94"/>
    </row>
    <row r="1376">
      <c r="A1376" s="107">
        <v>202323.0</v>
      </c>
      <c r="B1376" s="108" t="s">
        <v>191</v>
      </c>
      <c r="C1376" s="108" t="s">
        <v>476</v>
      </c>
      <c r="D1376" s="100" t="str">
        <f t="shared" si="1"/>
        <v/>
      </c>
      <c r="E1376" s="100" t="str">
        <f t="shared" si="2"/>
        <v/>
      </c>
      <c r="F1376" s="100" t="str">
        <f t="shared" si="3"/>
        <v/>
      </c>
      <c r="G1376" s="151"/>
      <c r="H1376" s="160"/>
      <c r="I1376" s="157"/>
      <c r="J1376" s="161"/>
      <c r="L1376" s="94"/>
      <c r="M1376" s="159"/>
      <c r="N1376" s="94"/>
    </row>
    <row r="1377">
      <c r="A1377" s="107">
        <v>202323.0</v>
      </c>
      <c r="B1377" s="108" t="s">
        <v>192</v>
      </c>
      <c r="C1377" s="108" t="s">
        <v>476</v>
      </c>
      <c r="D1377" s="100" t="str">
        <f t="shared" si="1"/>
        <v/>
      </c>
      <c r="E1377" s="100" t="str">
        <f t="shared" si="2"/>
        <v/>
      </c>
      <c r="F1377" s="100" t="str">
        <f t="shared" si="3"/>
        <v/>
      </c>
      <c r="G1377" s="151"/>
      <c r="H1377" s="156"/>
      <c r="I1377" s="157"/>
      <c r="J1377" s="158"/>
      <c r="L1377" s="94"/>
      <c r="M1377" s="159"/>
      <c r="N1377" s="94"/>
    </row>
    <row r="1378">
      <c r="A1378" s="107">
        <v>202323.0</v>
      </c>
      <c r="B1378" s="108" t="s">
        <v>193</v>
      </c>
      <c r="C1378" s="108" t="s">
        <v>476</v>
      </c>
      <c r="D1378" s="100" t="str">
        <f t="shared" si="1"/>
        <v/>
      </c>
      <c r="E1378" s="100" t="str">
        <f t="shared" si="2"/>
        <v/>
      </c>
      <c r="F1378" s="100" t="str">
        <f t="shared" si="3"/>
        <v/>
      </c>
      <c r="G1378" s="151"/>
      <c r="H1378" s="160"/>
      <c r="I1378" s="157"/>
      <c r="J1378" s="161"/>
      <c r="L1378" s="94"/>
      <c r="M1378" s="159"/>
      <c r="N1378" s="94"/>
    </row>
    <row r="1379">
      <c r="A1379" s="107">
        <v>202324.0</v>
      </c>
      <c r="B1379" s="108" t="s">
        <v>85</v>
      </c>
      <c r="C1379" s="108" t="s">
        <v>477</v>
      </c>
      <c r="D1379" s="100" t="str">
        <f t="shared" si="1"/>
        <v/>
      </c>
      <c r="E1379" s="100" t="str">
        <f t="shared" si="2"/>
        <v/>
      </c>
      <c r="F1379" s="100" t="str">
        <f t="shared" si="3"/>
        <v/>
      </c>
      <c r="G1379" s="151"/>
      <c r="H1379" s="156"/>
      <c r="I1379" s="157"/>
      <c r="J1379" s="158"/>
      <c r="L1379" s="94"/>
      <c r="M1379" s="159"/>
      <c r="N1379" s="94"/>
    </row>
    <row r="1380">
      <c r="A1380" s="107">
        <v>202324.0</v>
      </c>
      <c r="B1380" s="108" t="s">
        <v>90</v>
      </c>
      <c r="C1380" s="108" t="s">
        <v>477</v>
      </c>
      <c r="D1380" s="100" t="str">
        <f t="shared" si="1"/>
        <v/>
      </c>
      <c r="E1380" s="100" t="str">
        <f t="shared" si="2"/>
        <v/>
      </c>
      <c r="F1380" s="100" t="str">
        <f t="shared" si="3"/>
        <v/>
      </c>
      <c r="G1380" s="151"/>
      <c r="H1380" s="160"/>
      <c r="I1380" s="157"/>
      <c r="J1380" s="161"/>
      <c r="L1380" s="94"/>
      <c r="M1380" s="159"/>
      <c r="N1380" s="94"/>
    </row>
    <row r="1381">
      <c r="A1381" s="107">
        <v>202324.0</v>
      </c>
      <c r="B1381" s="108" t="s">
        <v>92</v>
      </c>
      <c r="C1381" s="108" t="s">
        <v>477</v>
      </c>
      <c r="D1381" s="100" t="str">
        <f t="shared" si="1"/>
        <v/>
      </c>
      <c r="E1381" s="100" t="str">
        <f t="shared" si="2"/>
        <v/>
      </c>
      <c r="F1381" s="100" t="str">
        <f t="shared" si="3"/>
        <v/>
      </c>
      <c r="G1381" s="151"/>
      <c r="H1381" s="156"/>
      <c r="I1381" s="157"/>
      <c r="J1381" s="158"/>
      <c r="L1381" s="94"/>
      <c r="M1381" s="159"/>
      <c r="N1381" s="94"/>
    </row>
    <row r="1382">
      <c r="A1382" s="107">
        <v>202324.0</v>
      </c>
      <c r="B1382" s="108" t="s">
        <v>190</v>
      </c>
      <c r="C1382" s="108" t="s">
        <v>477</v>
      </c>
      <c r="D1382" s="100" t="str">
        <f t="shared" si="1"/>
        <v/>
      </c>
      <c r="E1382" s="100" t="str">
        <f t="shared" si="2"/>
        <v/>
      </c>
      <c r="F1382" s="100" t="str">
        <f t="shared" si="3"/>
        <v/>
      </c>
      <c r="G1382" s="151"/>
      <c r="H1382" s="160"/>
      <c r="I1382" s="157"/>
      <c r="J1382" s="161"/>
      <c r="L1382" s="94"/>
      <c r="M1382" s="159"/>
      <c r="N1382" s="94"/>
    </row>
    <row r="1383">
      <c r="A1383" s="107">
        <v>202324.0</v>
      </c>
      <c r="B1383" s="108" t="s">
        <v>191</v>
      </c>
      <c r="C1383" s="108" t="s">
        <v>477</v>
      </c>
      <c r="D1383" s="100" t="str">
        <f t="shared" si="1"/>
        <v/>
      </c>
      <c r="E1383" s="100" t="str">
        <f t="shared" si="2"/>
        <v/>
      </c>
      <c r="F1383" s="100" t="str">
        <f t="shared" si="3"/>
        <v/>
      </c>
      <c r="G1383" s="151"/>
      <c r="H1383" s="156"/>
      <c r="I1383" s="157"/>
      <c r="J1383" s="158"/>
      <c r="L1383" s="94"/>
      <c r="M1383" s="159"/>
      <c r="N1383" s="94"/>
    </row>
    <row r="1384">
      <c r="A1384" s="107">
        <v>202324.0</v>
      </c>
      <c r="B1384" s="108" t="s">
        <v>192</v>
      </c>
      <c r="C1384" s="108" t="s">
        <v>477</v>
      </c>
      <c r="D1384" s="100" t="str">
        <f t="shared" si="1"/>
        <v/>
      </c>
      <c r="E1384" s="100" t="str">
        <f t="shared" si="2"/>
        <v/>
      </c>
      <c r="F1384" s="100" t="str">
        <f t="shared" si="3"/>
        <v/>
      </c>
      <c r="G1384" s="151"/>
      <c r="H1384" s="160"/>
      <c r="I1384" s="157"/>
      <c r="J1384" s="161"/>
      <c r="L1384" s="94"/>
      <c r="M1384" s="159"/>
      <c r="N1384" s="94"/>
    </row>
    <row r="1385">
      <c r="A1385" s="107">
        <v>202324.0</v>
      </c>
      <c r="B1385" s="108" t="s">
        <v>193</v>
      </c>
      <c r="C1385" s="108" t="s">
        <v>477</v>
      </c>
      <c r="D1385" s="100" t="str">
        <f t="shared" si="1"/>
        <v/>
      </c>
      <c r="E1385" s="100" t="str">
        <f t="shared" si="2"/>
        <v/>
      </c>
      <c r="F1385" s="100" t="str">
        <f t="shared" si="3"/>
        <v/>
      </c>
      <c r="G1385" s="151"/>
      <c r="H1385" s="156"/>
      <c r="I1385" s="157"/>
      <c r="J1385" s="158"/>
      <c r="L1385" s="94"/>
      <c r="M1385" s="159"/>
      <c r="N1385" s="94"/>
    </row>
    <row r="1386">
      <c r="A1386" s="107">
        <v>202324.0</v>
      </c>
      <c r="B1386" s="108" t="s">
        <v>243</v>
      </c>
      <c r="C1386" s="108" t="s">
        <v>477</v>
      </c>
      <c r="D1386" s="100" t="str">
        <f t="shared" si="1"/>
        <v/>
      </c>
      <c r="E1386" s="100" t="str">
        <f t="shared" si="2"/>
        <v/>
      </c>
      <c r="F1386" s="100" t="str">
        <f t="shared" si="3"/>
        <v/>
      </c>
      <c r="G1386" s="151"/>
      <c r="H1386" s="160"/>
      <c r="I1386" s="157"/>
      <c r="J1386" s="161"/>
      <c r="L1386" s="94"/>
      <c r="M1386" s="159"/>
      <c r="N1386" s="94"/>
    </row>
    <row r="1387">
      <c r="A1387" s="107">
        <v>202324.0</v>
      </c>
      <c r="B1387" s="108" t="s">
        <v>215</v>
      </c>
      <c r="C1387" s="108" t="s">
        <v>477</v>
      </c>
      <c r="D1387" s="100" t="str">
        <f t="shared" si="1"/>
        <v/>
      </c>
      <c r="E1387" s="100" t="str">
        <f t="shared" si="2"/>
        <v/>
      </c>
      <c r="F1387" s="100" t="str">
        <f t="shared" si="3"/>
        <v/>
      </c>
      <c r="G1387" s="151"/>
      <c r="H1387" s="156"/>
      <c r="I1387" s="157"/>
      <c r="J1387" s="158"/>
      <c r="L1387" s="94"/>
      <c r="M1387" s="159"/>
      <c r="N1387" s="94"/>
    </row>
    <row r="1388">
      <c r="A1388" s="107">
        <v>202325.0</v>
      </c>
      <c r="B1388" s="108" t="s">
        <v>85</v>
      </c>
      <c r="C1388" s="108" t="s">
        <v>478</v>
      </c>
      <c r="D1388" s="100" t="str">
        <f t="shared" si="1"/>
        <v/>
      </c>
      <c r="E1388" s="100" t="str">
        <f t="shared" si="2"/>
        <v/>
      </c>
      <c r="F1388" s="100" t="str">
        <f t="shared" si="3"/>
        <v/>
      </c>
      <c r="G1388" s="151"/>
      <c r="H1388" s="160"/>
      <c r="I1388" s="157"/>
      <c r="J1388" s="161"/>
      <c r="L1388" s="94"/>
      <c r="M1388" s="159"/>
      <c r="N1388" s="94"/>
    </row>
    <row r="1389">
      <c r="A1389" s="107">
        <v>202325.0</v>
      </c>
      <c r="B1389" s="108" t="s">
        <v>90</v>
      </c>
      <c r="C1389" s="108" t="s">
        <v>478</v>
      </c>
      <c r="D1389" s="100" t="str">
        <f t="shared" si="1"/>
        <v/>
      </c>
      <c r="E1389" s="100" t="str">
        <f t="shared" si="2"/>
        <v/>
      </c>
      <c r="F1389" s="100" t="str">
        <f t="shared" si="3"/>
        <v/>
      </c>
      <c r="G1389" s="151"/>
      <c r="H1389" s="156"/>
      <c r="I1389" s="157"/>
      <c r="J1389" s="158"/>
      <c r="L1389" s="94"/>
      <c r="M1389" s="159"/>
      <c r="N1389" s="94"/>
    </row>
    <row r="1390">
      <c r="A1390" s="107">
        <v>202325.0</v>
      </c>
      <c r="B1390" s="108" t="s">
        <v>92</v>
      </c>
      <c r="C1390" s="108" t="s">
        <v>478</v>
      </c>
      <c r="D1390" s="100" t="str">
        <f t="shared" si="1"/>
        <v/>
      </c>
      <c r="E1390" s="100" t="str">
        <f t="shared" si="2"/>
        <v/>
      </c>
      <c r="F1390" s="100" t="str">
        <f t="shared" si="3"/>
        <v/>
      </c>
      <c r="G1390" s="151"/>
      <c r="H1390" s="160"/>
      <c r="I1390" s="157"/>
      <c r="J1390" s="161"/>
      <c r="L1390" s="94"/>
      <c r="M1390" s="159"/>
      <c r="N1390" s="94"/>
    </row>
    <row r="1391">
      <c r="A1391" s="107">
        <v>202325.0</v>
      </c>
      <c r="B1391" s="108" t="s">
        <v>190</v>
      </c>
      <c r="C1391" s="108" t="s">
        <v>478</v>
      </c>
      <c r="D1391" s="100" t="str">
        <f t="shared" si="1"/>
        <v/>
      </c>
      <c r="E1391" s="100" t="str">
        <f t="shared" si="2"/>
        <v/>
      </c>
      <c r="F1391" s="100" t="str">
        <f t="shared" si="3"/>
        <v/>
      </c>
      <c r="G1391" s="151"/>
      <c r="H1391" s="156"/>
      <c r="I1391" s="157"/>
      <c r="J1391" s="158"/>
      <c r="L1391" s="94"/>
      <c r="M1391" s="159"/>
      <c r="N1391" s="94"/>
    </row>
    <row r="1392">
      <c r="A1392" s="107">
        <v>202325.0</v>
      </c>
      <c r="B1392" s="108" t="s">
        <v>191</v>
      </c>
      <c r="C1392" s="108" t="s">
        <v>478</v>
      </c>
      <c r="D1392" s="100" t="str">
        <f t="shared" si="1"/>
        <v/>
      </c>
      <c r="E1392" s="100" t="str">
        <f t="shared" si="2"/>
        <v/>
      </c>
      <c r="F1392" s="100" t="str">
        <f t="shared" si="3"/>
        <v/>
      </c>
      <c r="G1392" s="151"/>
      <c r="H1392" s="160"/>
      <c r="I1392" s="157"/>
      <c r="J1392" s="161"/>
      <c r="L1392" s="94"/>
      <c r="M1392" s="159"/>
      <c r="N1392" s="94"/>
    </row>
    <row r="1393">
      <c r="A1393" s="107">
        <v>202325.0</v>
      </c>
      <c r="B1393" s="108" t="s">
        <v>192</v>
      </c>
      <c r="C1393" s="108" t="s">
        <v>478</v>
      </c>
      <c r="D1393" s="100" t="str">
        <f t="shared" si="1"/>
        <v/>
      </c>
      <c r="E1393" s="100" t="str">
        <f t="shared" si="2"/>
        <v/>
      </c>
      <c r="F1393" s="100" t="str">
        <f t="shared" si="3"/>
        <v/>
      </c>
      <c r="G1393" s="151"/>
      <c r="H1393" s="156"/>
      <c r="I1393" s="157"/>
      <c r="J1393" s="158"/>
      <c r="L1393" s="94"/>
      <c r="M1393" s="159"/>
      <c r="N1393" s="94"/>
    </row>
    <row r="1394">
      <c r="A1394" s="107">
        <v>202326.0</v>
      </c>
      <c r="B1394" s="108" t="s">
        <v>85</v>
      </c>
      <c r="C1394" s="108" t="s">
        <v>479</v>
      </c>
      <c r="D1394" s="100" t="str">
        <f t="shared" si="1"/>
        <v/>
      </c>
      <c r="E1394" s="100" t="str">
        <f t="shared" si="2"/>
        <v/>
      </c>
      <c r="F1394" s="100" t="str">
        <f t="shared" si="3"/>
        <v/>
      </c>
      <c r="G1394" s="151"/>
      <c r="H1394" s="160"/>
      <c r="I1394" s="157"/>
      <c r="J1394" s="161"/>
      <c r="L1394" s="94"/>
      <c r="M1394" s="159"/>
      <c r="N1394" s="94"/>
    </row>
    <row r="1395">
      <c r="A1395" s="107">
        <v>202326.0</v>
      </c>
      <c r="B1395" s="108" t="s">
        <v>90</v>
      </c>
      <c r="C1395" s="108" t="s">
        <v>479</v>
      </c>
      <c r="D1395" s="100" t="str">
        <f t="shared" si="1"/>
        <v/>
      </c>
      <c r="E1395" s="100" t="str">
        <f t="shared" si="2"/>
        <v/>
      </c>
      <c r="F1395" s="100" t="str">
        <f t="shared" si="3"/>
        <v/>
      </c>
      <c r="G1395" s="151"/>
      <c r="H1395" s="156"/>
      <c r="I1395" s="157"/>
      <c r="J1395" s="158"/>
      <c r="L1395" s="94"/>
      <c r="M1395" s="159"/>
      <c r="N1395" s="94"/>
    </row>
    <row r="1396">
      <c r="A1396" s="107">
        <v>202326.0</v>
      </c>
      <c r="B1396" s="108" t="s">
        <v>92</v>
      </c>
      <c r="C1396" s="108" t="s">
        <v>479</v>
      </c>
      <c r="D1396" s="100" t="str">
        <f t="shared" si="1"/>
        <v/>
      </c>
      <c r="E1396" s="100" t="str">
        <f t="shared" si="2"/>
        <v/>
      </c>
      <c r="F1396" s="100" t="str">
        <f t="shared" si="3"/>
        <v/>
      </c>
      <c r="G1396" s="151"/>
      <c r="H1396" s="160"/>
      <c r="I1396" s="157"/>
      <c r="J1396" s="161"/>
      <c r="L1396" s="94"/>
      <c r="M1396" s="159"/>
      <c r="N1396" s="94"/>
    </row>
    <row r="1397">
      <c r="A1397" s="107">
        <v>202326.0</v>
      </c>
      <c r="B1397" s="108" t="s">
        <v>190</v>
      </c>
      <c r="C1397" s="108" t="s">
        <v>479</v>
      </c>
      <c r="D1397" s="100" t="str">
        <f t="shared" si="1"/>
        <v/>
      </c>
      <c r="E1397" s="100" t="str">
        <f t="shared" si="2"/>
        <v/>
      </c>
      <c r="F1397" s="100" t="str">
        <f t="shared" si="3"/>
        <v/>
      </c>
      <c r="G1397" s="151"/>
      <c r="H1397" s="156"/>
      <c r="I1397" s="157"/>
      <c r="J1397" s="158"/>
      <c r="L1397" s="94"/>
      <c r="M1397" s="159"/>
      <c r="N1397" s="94"/>
    </row>
    <row r="1398">
      <c r="A1398" s="107">
        <v>202326.0</v>
      </c>
      <c r="B1398" s="108" t="s">
        <v>191</v>
      </c>
      <c r="C1398" s="108" t="s">
        <v>479</v>
      </c>
      <c r="D1398" s="100" t="str">
        <f t="shared" si="1"/>
        <v/>
      </c>
      <c r="E1398" s="100" t="str">
        <f t="shared" si="2"/>
        <v/>
      </c>
      <c r="F1398" s="100" t="str">
        <f t="shared" si="3"/>
        <v/>
      </c>
      <c r="G1398" s="151"/>
      <c r="H1398" s="160"/>
      <c r="I1398" s="157"/>
      <c r="J1398" s="161"/>
      <c r="L1398" s="94"/>
      <c r="M1398" s="159"/>
      <c r="N1398" s="94"/>
    </row>
    <row r="1399">
      <c r="A1399" s="107">
        <v>202326.0</v>
      </c>
      <c r="B1399" s="108" t="s">
        <v>192</v>
      </c>
      <c r="C1399" s="108" t="s">
        <v>479</v>
      </c>
      <c r="D1399" s="100" t="str">
        <f t="shared" si="1"/>
        <v/>
      </c>
      <c r="E1399" s="100" t="str">
        <f t="shared" si="2"/>
        <v/>
      </c>
      <c r="F1399" s="100" t="str">
        <f t="shared" si="3"/>
        <v/>
      </c>
      <c r="G1399" s="151"/>
      <c r="H1399" s="156"/>
      <c r="I1399" s="157"/>
      <c r="J1399" s="158"/>
      <c r="L1399" s="94"/>
      <c r="M1399" s="159"/>
      <c r="N1399" s="94"/>
    </row>
    <row r="1400">
      <c r="A1400" s="107">
        <v>202326.0</v>
      </c>
      <c r="B1400" s="108" t="s">
        <v>243</v>
      </c>
      <c r="C1400" s="108" t="s">
        <v>479</v>
      </c>
      <c r="D1400" s="100" t="str">
        <f t="shared" si="1"/>
        <v/>
      </c>
      <c r="E1400" s="100" t="str">
        <f t="shared" si="2"/>
        <v/>
      </c>
      <c r="F1400" s="100" t="str">
        <f t="shared" si="3"/>
        <v/>
      </c>
      <c r="G1400" s="151"/>
      <c r="H1400" s="160"/>
      <c r="I1400" s="157"/>
      <c r="J1400" s="161"/>
      <c r="L1400" s="94"/>
      <c r="M1400" s="159"/>
      <c r="N1400" s="94"/>
    </row>
    <row r="1401">
      <c r="A1401" s="107">
        <v>202326.0</v>
      </c>
      <c r="B1401" s="108" t="s">
        <v>215</v>
      </c>
      <c r="C1401" s="108" t="s">
        <v>479</v>
      </c>
      <c r="D1401" s="100" t="str">
        <f t="shared" si="1"/>
        <v/>
      </c>
      <c r="E1401" s="100" t="str">
        <f t="shared" si="2"/>
        <v/>
      </c>
      <c r="F1401" s="100" t="str">
        <f t="shared" si="3"/>
        <v/>
      </c>
      <c r="G1401" s="151"/>
      <c r="H1401" s="156"/>
      <c r="I1401" s="157"/>
      <c r="J1401" s="158"/>
      <c r="L1401" s="94"/>
      <c r="M1401" s="159"/>
      <c r="N1401" s="94"/>
    </row>
    <row r="1402">
      <c r="A1402" s="107">
        <v>202327.0</v>
      </c>
      <c r="B1402" s="108" t="s">
        <v>85</v>
      </c>
      <c r="C1402" s="108" t="s">
        <v>480</v>
      </c>
      <c r="D1402" s="100" t="str">
        <f t="shared" si="1"/>
        <v/>
      </c>
      <c r="E1402" s="100" t="str">
        <f t="shared" si="2"/>
        <v/>
      </c>
      <c r="F1402" s="100" t="str">
        <f t="shared" si="3"/>
        <v/>
      </c>
      <c r="G1402" s="151"/>
      <c r="H1402" s="160"/>
      <c r="I1402" s="157"/>
      <c r="J1402" s="161"/>
      <c r="L1402" s="94"/>
      <c r="M1402" s="159"/>
      <c r="N1402" s="94"/>
    </row>
    <row r="1403">
      <c r="A1403" s="107">
        <v>202327.0</v>
      </c>
      <c r="B1403" s="108" t="s">
        <v>90</v>
      </c>
      <c r="C1403" s="108" t="s">
        <v>480</v>
      </c>
      <c r="D1403" s="100" t="str">
        <f t="shared" si="1"/>
        <v/>
      </c>
      <c r="E1403" s="100" t="str">
        <f t="shared" si="2"/>
        <v/>
      </c>
      <c r="F1403" s="100" t="str">
        <f t="shared" si="3"/>
        <v/>
      </c>
      <c r="G1403" s="151"/>
      <c r="H1403" s="156"/>
      <c r="I1403" s="157"/>
      <c r="J1403" s="158"/>
      <c r="L1403" s="94"/>
      <c r="M1403" s="159"/>
      <c r="N1403" s="94"/>
    </row>
    <row r="1404">
      <c r="A1404" s="107">
        <v>202327.0</v>
      </c>
      <c r="B1404" s="108" t="s">
        <v>191</v>
      </c>
      <c r="C1404" s="108" t="s">
        <v>480</v>
      </c>
      <c r="D1404" s="100" t="str">
        <f t="shared" si="1"/>
        <v/>
      </c>
      <c r="E1404" s="100" t="str">
        <f t="shared" si="2"/>
        <v/>
      </c>
      <c r="F1404" s="100" t="str">
        <f t="shared" si="3"/>
        <v/>
      </c>
      <c r="G1404" s="151"/>
      <c r="H1404" s="160"/>
      <c r="I1404" s="157"/>
      <c r="J1404" s="161"/>
      <c r="L1404" s="94"/>
      <c r="M1404" s="159"/>
      <c r="N1404" s="94"/>
    </row>
    <row r="1405">
      <c r="A1405" s="107">
        <v>202327.0</v>
      </c>
      <c r="B1405" s="108" t="s">
        <v>192</v>
      </c>
      <c r="C1405" s="108" t="s">
        <v>480</v>
      </c>
      <c r="D1405" s="100" t="str">
        <f t="shared" si="1"/>
        <v/>
      </c>
      <c r="E1405" s="100" t="str">
        <f t="shared" si="2"/>
        <v/>
      </c>
      <c r="F1405" s="100" t="str">
        <f t="shared" si="3"/>
        <v/>
      </c>
      <c r="G1405" s="151"/>
      <c r="H1405" s="156"/>
      <c r="I1405" s="157"/>
      <c r="J1405" s="158"/>
      <c r="L1405" s="94"/>
      <c r="M1405" s="159"/>
      <c r="N1405" s="94"/>
    </row>
    <row r="1406">
      <c r="A1406" s="107">
        <v>202328.0</v>
      </c>
      <c r="B1406" s="108" t="s">
        <v>85</v>
      </c>
      <c r="C1406" s="108" t="s">
        <v>481</v>
      </c>
      <c r="D1406" s="100" t="str">
        <f t="shared" si="1"/>
        <v/>
      </c>
      <c r="E1406" s="100" t="str">
        <f t="shared" si="2"/>
        <v/>
      </c>
      <c r="F1406" s="100" t="str">
        <f t="shared" si="3"/>
        <v/>
      </c>
      <c r="G1406" s="151"/>
      <c r="H1406" s="160"/>
      <c r="I1406" s="157"/>
      <c r="J1406" s="161"/>
      <c r="L1406" s="94"/>
      <c r="M1406" s="159"/>
      <c r="N1406" s="94"/>
    </row>
    <row r="1407">
      <c r="A1407" s="107">
        <v>202328.0</v>
      </c>
      <c r="B1407" s="108" t="s">
        <v>90</v>
      </c>
      <c r="C1407" s="108" t="s">
        <v>481</v>
      </c>
      <c r="D1407" s="100" t="str">
        <f t="shared" si="1"/>
        <v/>
      </c>
      <c r="E1407" s="100" t="str">
        <f t="shared" si="2"/>
        <v/>
      </c>
      <c r="F1407" s="100" t="str">
        <f t="shared" si="3"/>
        <v/>
      </c>
      <c r="G1407" s="151"/>
      <c r="H1407" s="156"/>
      <c r="I1407" s="157"/>
      <c r="J1407" s="158"/>
      <c r="L1407" s="94"/>
      <c r="M1407" s="159"/>
      <c r="N1407" s="94"/>
    </row>
    <row r="1408">
      <c r="A1408" s="107">
        <v>202328.0</v>
      </c>
      <c r="B1408" s="108" t="s">
        <v>92</v>
      </c>
      <c r="C1408" s="108" t="s">
        <v>481</v>
      </c>
      <c r="D1408" s="100" t="str">
        <f t="shared" si="1"/>
        <v/>
      </c>
      <c r="E1408" s="100" t="str">
        <f t="shared" si="2"/>
        <v/>
      </c>
      <c r="F1408" s="100" t="str">
        <f t="shared" si="3"/>
        <v/>
      </c>
      <c r="G1408" s="151"/>
      <c r="H1408" s="160"/>
      <c r="I1408" s="157"/>
      <c r="J1408" s="161"/>
      <c r="L1408" s="94"/>
      <c r="M1408" s="159"/>
      <c r="N1408" s="94"/>
    </row>
    <row r="1409">
      <c r="A1409" s="107">
        <v>202328.0</v>
      </c>
      <c r="B1409" s="108" t="s">
        <v>190</v>
      </c>
      <c r="C1409" s="108" t="s">
        <v>481</v>
      </c>
      <c r="D1409" s="100" t="str">
        <f t="shared" si="1"/>
        <v/>
      </c>
      <c r="E1409" s="100" t="str">
        <f t="shared" si="2"/>
        <v/>
      </c>
      <c r="F1409" s="100" t="str">
        <f t="shared" si="3"/>
        <v/>
      </c>
      <c r="G1409" s="151"/>
      <c r="H1409" s="156"/>
      <c r="I1409" s="157"/>
      <c r="J1409" s="158"/>
      <c r="L1409" s="94"/>
      <c r="M1409" s="159"/>
      <c r="N1409" s="94"/>
    </row>
    <row r="1410">
      <c r="A1410" s="107">
        <v>202328.0</v>
      </c>
      <c r="B1410" s="108" t="s">
        <v>191</v>
      </c>
      <c r="C1410" s="108" t="s">
        <v>481</v>
      </c>
      <c r="D1410" s="100" t="str">
        <f t="shared" si="1"/>
        <v/>
      </c>
      <c r="E1410" s="100" t="str">
        <f t="shared" si="2"/>
        <v/>
      </c>
      <c r="F1410" s="100" t="str">
        <f t="shared" si="3"/>
        <v/>
      </c>
      <c r="G1410" s="151"/>
      <c r="H1410" s="160"/>
      <c r="I1410" s="157"/>
      <c r="J1410" s="161"/>
      <c r="L1410" s="94"/>
      <c r="M1410" s="159"/>
      <c r="N1410" s="94"/>
    </row>
    <row r="1411">
      <c r="A1411" s="107">
        <v>202328.0</v>
      </c>
      <c r="B1411" s="108" t="s">
        <v>192</v>
      </c>
      <c r="C1411" s="108" t="s">
        <v>481</v>
      </c>
      <c r="D1411" s="100" t="str">
        <f t="shared" si="1"/>
        <v/>
      </c>
      <c r="E1411" s="100" t="str">
        <f t="shared" si="2"/>
        <v/>
      </c>
      <c r="F1411" s="100" t="str">
        <f t="shared" si="3"/>
        <v/>
      </c>
      <c r="G1411" s="151"/>
      <c r="H1411" s="156"/>
      <c r="I1411" s="157"/>
      <c r="J1411" s="158"/>
      <c r="L1411" s="94"/>
      <c r="M1411" s="159"/>
      <c r="N1411" s="94"/>
    </row>
    <row r="1412">
      <c r="A1412" s="107">
        <v>202328.0</v>
      </c>
      <c r="B1412" s="108" t="s">
        <v>215</v>
      </c>
      <c r="C1412" s="108" t="s">
        <v>481</v>
      </c>
      <c r="D1412" s="100" t="str">
        <f t="shared" si="1"/>
        <v/>
      </c>
      <c r="E1412" s="100" t="str">
        <f t="shared" si="2"/>
        <v/>
      </c>
      <c r="F1412" s="100" t="str">
        <f t="shared" si="3"/>
        <v/>
      </c>
      <c r="G1412" s="151"/>
      <c r="H1412" s="160"/>
      <c r="I1412" s="157"/>
      <c r="J1412" s="161"/>
      <c r="L1412" s="94"/>
      <c r="M1412" s="159"/>
      <c r="N1412" s="94"/>
    </row>
    <row r="1413">
      <c r="A1413" s="107">
        <v>202329.0</v>
      </c>
      <c r="B1413" s="108" t="s">
        <v>85</v>
      </c>
      <c r="C1413" s="108" t="s">
        <v>482</v>
      </c>
      <c r="D1413" s="100" t="str">
        <f t="shared" si="1"/>
        <v/>
      </c>
      <c r="E1413" s="100" t="str">
        <f t="shared" si="2"/>
        <v/>
      </c>
      <c r="F1413" s="100" t="str">
        <f t="shared" si="3"/>
        <v/>
      </c>
      <c r="G1413" s="151"/>
      <c r="H1413" s="156"/>
      <c r="I1413" s="157"/>
      <c r="J1413" s="158"/>
      <c r="L1413" s="94"/>
      <c r="M1413" s="159"/>
      <c r="N1413" s="94"/>
    </row>
    <row r="1414">
      <c r="A1414" s="107">
        <v>202329.0</v>
      </c>
      <c r="B1414" s="108" t="s">
        <v>90</v>
      </c>
      <c r="C1414" s="108" t="s">
        <v>482</v>
      </c>
      <c r="D1414" s="100" t="str">
        <f t="shared" si="1"/>
        <v/>
      </c>
      <c r="E1414" s="100" t="str">
        <f t="shared" si="2"/>
        <v/>
      </c>
      <c r="F1414" s="100" t="str">
        <f t="shared" si="3"/>
        <v/>
      </c>
      <c r="G1414" s="151"/>
      <c r="H1414" s="160"/>
      <c r="I1414" s="157"/>
      <c r="J1414" s="161"/>
      <c r="L1414" s="94"/>
      <c r="M1414" s="159"/>
      <c r="N1414" s="94"/>
    </row>
    <row r="1415">
      <c r="A1415" s="107">
        <v>202329.0</v>
      </c>
      <c r="B1415" s="108" t="s">
        <v>92</v>
      </c>
      <c r="C1415" s="108" t="s">
        <v>482</v>
      </c>
      <c r="D1415" s="100" t="str">
        <f t="shared" si="1"/>
        <v/>
      </c>
      <c r="E1415" s="100" t="str">
        <f t="shared" si="2"/>
        <v/>
      </c>
      <c r="F1415" s="100" t="str">
        <f t="shared" si="3"/>
        <v/>
      </c>
      <c r="G1415" s="151"/>
      <c r="H1415" s="156"/>
      <c r="I1415" s="157"/>
      <c r="J1415" s="158"/>
      <c r="L1415" s="94"/>
      <c r="M1415" s="159"/>
      <c r="N1415" s="94"/>
    </row>
    <row r="1416">
      <c r="A1416" s="107">
        <v>202329.0</v>
      </c>
      <c r="B1416" s="108" t="s">
        <v>190</v>
      </c>
      <c r="C1416" s="108" t="s">
        <v>482</v>
      </c>
      <c r="D1416" s="100" t="str">
        <f t="shared" si="1"/>
        <v/>
      </c>
      <c r="E1416" s="100" t="str">
        <f t="shared" si="2"/>
        <v/>
      </c>
      <c r="F1416" s="100" t="str">
        <f t="shared" si="3"/>
        <v/>
      </c>
      <c r="G1416" s="151"/>
      <c r="H1416" s="160"/>
      <c r="I1416" s="157"/>
      <c r="J1416" s="161"/>
      <c r="L1416" s="94"/>
      <c r="M1416" s="159"/>
      <c r="N1416" s="94"/>
    </row>
    <row r="1417">
      <c r="A1417" s="107">
        <v>202329.0</v>
      </c>
      <c r="B1417" s="108" t="s">
        <v>191</v>
      </c>
      <c r="C1417" s="108" t="s">
        <v>482</v>
      </c>
      <c r="D1417" s="100" t="str">
        <f t="shared" si="1"/>
        <v/>
      </c>
      <c r="E1417" s="100" t="str">
        <f t="shared" si="2"/>
        <v/>
      </c>
      <c r="F1417" s="100" t="str">
        <f t="shared" si="3"/>
        <v/>
      </c>
      <c r="G1417" s="151"/>
      <c r="H1417" s="156"/>
      <c r="I1417" s="157"/>
      <c r="J1417" s="158"/>
      <c r="L1417" s="94"/>
      <c r="M1417" s="159"/>
      <c r="N1417" s="94"/>
    </row>
    <row r="1418">
      <c r="A1418" s="107">
        <v>202329.0</v>
      </c>
      <c r="B1418" s="108" t="s">
        <v>192</v>
      </c>
      <c r="C1418" s="108" t="s">
        <v>482</v>
      </c>
      <c r="D1418" s="100" t="str">
        <f t="shared" si="1"/>
        <v/>
      </c>
      <c r="E1418" s="100" t="str">
        <f t="shared" si="2"/>
        <v/>
      </c>
      <c r="F1418" s="100" t="str">
        <f t="shared" si="3"/>
        <v/>
      </c>
      <c r="G1418" s="151"/>
      <c r="H1418" s="160"/>
      <c r="I1418" s="157"/>
      <c r="J1418" s="161"/>
      <c r="L1418" s="94"/>
      <c r="M1418" s="159"/>
      <c r="N1418" s="94"/>
    </row>
    <row r="1419">
      <c r="A1419" s="107">
        <v>202329.0</v>
      </c>
      <c r="B1419" s="108" t="s">
        <v>193</v>
      </c>
      <c r="C1419" s="108" t="s">
        <v>482</v>
      </c>
      <c r="D1419" s="100" t="str">
        <f t="shared" si="1"/>
        <v/>
      </c>
      <c r="E1419" s="100" t="str">
        <f t="shared" si="2"/>
        <v/>
      </c>
      <c r="F1419" s="100" t="str">
        <f t="shared" si="3"/>
        <v/>
      </c>
      <c r="G1419" s="151"/>
      <c r="H1419" s="156"/>
      <c r="I1419" s="157"/>
      <c r="J1419" s="158"/>
      <c r="L1419" s="94"/>
      <c r="M1419" s="159"/>
      <c r="N1419" s="94"/>
    </row>
    <row r="1420">
      <c r="A1420" s="107">
        <v>202329.0</v>
      </c>
      <c r="B1420" s="108" t="s">
        <v>243</v>
      </c>
      <c r="C1420" s="108" t="s">
        <v>482</v>
      </c>
      <c r="D1420" s="100" t="str">
        <f t="shared" si="1"/>
        <v/>
      </c>
      <c r="E1420" s="100" t="str">
        <f t="shared" si="2"/>
        <v/>
      </c>
      <c r="F1420" s="100" t="str">
        <f t="shared" si="3"/>
        <v/>
      </c>
      <c r="G1420" s="151"/>
      <c r="H1420" s="160"/>
      <c r="I1420" s="157"/>
      <c r="J1420" s="161"/>
      <c r="L1420" s="94"/>
      <c r="M1420" s="159"/>
      <c r="N1420" s="94"/>
    </row>
    <row r="1421">
      <c r="A1421" s="107">
        <v>202330.0</v>
      </c>
      <c r="B1421" s="108" t="s">
        <v>85</v>
      </c>
      <c r="C1421" s="108" t="s">
        <v>483</v>
      </c>
      <c r="D1421" s="100" t="str">
        <f t="shared" si="1"/>
        <v/>
      </c>
      <c r="E1421" s="100" t="str">
        <f t="shared" si="2"/>
        <v/>
      </c>
      <c r="F1421" s="100" t="str">
        <f t="shared" si="3"/>
        <v/>
      </c>
      <c r="G1421" s="151"/>
      <c r="H1421" s="156"/>
      <c r="I1421" s="157"/>
      <c r="J1421" s="158"/>
      <c r="L1421" s="94"/>
      <c r="M1421" s="159"/>
      <c r="N1421" s="94"/>
    </row>
    <row r="1422">
      <c r="A1422" s="107">
        <v>202330.0</v>
      </c>
      <c r="B1422" s="108" t="s">
        <v>90</v>
      </c>
      <c r="C1422" s="108" t="s">
        <v>483</v>
      </c>
      <c r="D1422" s="100" t="str">
        <f t="shared" si="1"/>
        <v/>
      </c>
      <c r="E1422" s="100" t="str">
        <f t="shared" si="2"/>
        <v/>
      </c>
      <c r="F1422" s="100" t="str">
        <f t="shared" si="3"/>
        <v/>
      </c>
      <c r="G1422" s="151"/>
      <c r="H1422" s="160"/>
      <c r="I1422" s="157"/>
      <c r="J1422" s="161"/>
      <c r="L1422" s="94"/>
      <c r="M1422" s="159"/>
      <c r="N1422" s="94"/>
    </row>
    <row r="1423">
      <c r="A1423" s="107">
        <v>202330.0</v>
      </c>
      <c r="B1423" s="108" t="s">
        <v>92</v>
      </c>
      <c r="C1423" s="108" t="s">
        <v>483</v>
      </c>
      <c r="D1423" s="100" t="str">
        <f t="shared" si="1"/>
        <v/>
      </c>
      <c r="E1423" s="100" t="str">
        <f t="shared" si="2"/>
        <v/>
      </c>
      <c r="F1423" s="100" t="str">
        <f t="shared" si="3"/>
        <v/>
      </c>
      <c r="G1423" s="151"/>
      <c r="H1423" s="156"/>
      <c r="I1423" s="157"/>
      <c r="J1423" s="158"/>
      <c r="L1423" s="94"/>
      <c r="M1423" s="159"/>
      <c r="N1423" s="94"/>
    </row>
    <row r="1424">
      <c r="A1424" s="107">
        <v>202330.0</v>
      </c>
      <c r="B1424" s="108" t="s">
        <v>190</v>
      </c>
      <c r="C1424" s="108" t="s">
        <v>483</v>
      </c>
      <c r="D1424" s="100" t="str">
        <f t="shared" si="1"/>
        <v/>
      </c>
      <c r="E1424" s="100" t="str">
        <f t="shared" si="2"/>
        <v/>
      </c>
      <c r="F1424" s="100" t="str">
        <f t="shared" si="3"/>
        <v/>
      </c>
      <c r="G1424" s="151"/>
      <c r="H1424" s="160"/>
      <c r="I1424" s="157"/>
      <c r="J1424" s="161"/>
      <c r="L1424" s="94"/>
      <c r="M1424" s="159"/>
      <c r="N1424" s="94"/>
    </row>
    <row r="1425">
      <c r="A1425" s="107">
        <v>202330.0</v>
      </c>
      <c r="B1425" s="108" t="s">
        <v>191</v>
      </c>
      <c r="C1425" s="108" t="s">
        <v>483</v>
      </c>
      <c r="D1425" s="100" t="str">
        <f t="shared" si="1"/>
        <v/>
      </c>
      <c r="E1425" s="100" t="str">
        <f t="shared" si="2"/>
        <v/>
      </c>
      <c r="F1425" s="100" t="str">
        <f t="shared" si="3"/>
        <v/>
      </c>
      <c r="G1425" s="151"/>
      <c r="H1425" s="156"/>
      <c r="I1425" s="157"/>
      <c r="J1425" s="158"/>
      <c r="L1425" s="94"/>
      <c r="M1425" s="159"/>
      <c r="N1425" s="94"/>
    </row>
    <row r="1426">
      <c r="A1426" s="107">
        <v>202330.0</v>
      </c>
      <c r="B1426" s="108" t="s">
        <v>192</v>
      </c>
      <c r="C1426" s="108" t="s">
        <v>483</v>
      </c>
      <c r="D1426" s="100" t="str">
        <f t="shared" si="1"/>
        <v/>
      </c>
      <c r="E1426" s="100" t="str">
        <f t="shared" si="2"/>
        <v/>
      </c>
      <c r="F1426" s="100" t="str">
        <f t="shared" si="3"/>
        <v/>
      </c>
      <c r="G1426" s="151"/>
      <c r="H1426" s="160"/>
      <c r="I1426" s="157"/>
      <c r="J1426" s="161"/>
      <c r="L1426" s="94"/>
      <c r="M1426" s="159"/>
      <c r="N1426" s="94"/>
    </row>
    <row r="1427">
      <c r="A1427" s="107">
        <v>202330.0</v>
      </c>
      <c r="B1427" s="108" t="s">
        <v>193</v>
      </c>
      <c r="C1427" s="108" t="s">
        <v>483</v>
      </c>
      <c r="D1427" s="100" t="str">
        <f t="shared" si="1"/>
        <v/>
      </c>
      <c r="E1427" s="100" t="str">
        <f t="shared" si="2"/>
        <v/>
      </c>
      <c r="F1427" s="100" t="str">
        <f t="shared" si="3"/>
        <v/>
      </c>
      <c r="G1427" s="151"/>
      <c r="H1427" s="156"/>
      <c r="I1427" s="157"/>
      <c r="J1427" s="158"/>
      <c r="L1427" s="94"/>
      <c r="M1427" s="159"/>
      <c r="N1427" s="94"/>
    </row>
    <row r="1428">
      <c r="A1428" s="107">
        <v>202330.0</v>
      </c>
      <c r="B1428" s="108" t="s">
        <v>243</v>
      </c>
      <c r="C1428" s="108" t="s">
        <v>483</v>
      </c>
      <c r="D1428" s="100" t="str">
        <f t="shared" si="1"/>
        <v/>
      </c>
      <c r="E1428" s="100" t="str">
        <f t="shared" si="2"/>
        <v/>
      </c>
      <c r="F1428" s="100" t="str">
        <f t="shared" si="3"/>
        <v/>
      </c>
      <c r="G1428" s="151"/>
      <c r="H1428" s="160"/>
      <c r="I1428" s="157"/>
      <c r="J1428" s="161"/>
      <c r="L1428" s="94"/>
      <c r="M1428" s="159"/>
      <c r="N1428" s="94"/>
    </row>
    <row r="1429">
      <c r="A1429" s="107">
        <v>202330.0</v>
      </c>
      <c r="B1429" s="108" t="s">
        <v>215</v>
      </c>
      <c r="C1429" s="108" t="s">
        <v>483</v>
      </c>
      <c r="D1429" s="100" t="str">
        <f t="shared" si="1"/>
        <v/>
      </c>
      <c r="E1429" s="100" t="str">
        <f t="shared" si="2"/>
        <v/>
      </c>
      <c r="F1429" s="100" t="str">
        <f t="shared" si="3"/>
        <v/>
      </c>
      <c r="G1429" s="151"/>
      <c r="H1429" s="156"/>
      <c r="I1429" s="157"/>
      <c r="J1429" s="158"/>
      <c r="L1429" s="94"/>
      <c r="M1429" s="159"/>
      <c r="N1429" s="94"/>
    </row>
    <row r="1430">
      <c r="A1430" s="107">
        <v>202330.0</v>
      </c>
      <c r="B1430" s="108" t="s">
        <v>244</v>
      </c>
      <c r="C1430" s="108" t="s">
        <v>483</v>
      </c>
      <c r="D1430" s="100" t="str">
        <f t="shared" si="1"/>
        <v/>
      </c>
      <c r="E1430" s="100" t="str">
        <f t="shared" si="2"/>
        <v/>
      </c>
      <c r="F1430" s="100" t="str">
        <f t="shared" si="3"/>
        <v/>
      </c>
      <c r="G1430" s="151"/>
      <c r="H1430" s="160"/>
      <c r="I1430" s="157"/>
      <c r="J1430" s="161"/>
      <c r="L1430" s="94"/>
      <c r="M1430" s="159"/>
      <c r="N1430" s="94"/>
    </row>
    <row r="1431">
      <c r="A1431" s="107">
        <v>202330.0</v>
      </c>
      <c r="B1431" s="108" t="s">
        <v>245</v>
      </c>
      <c r="C1431" s="108" t="s">
        <v>483</v>
      </c>
      <c r="D1431" s="100" t="str">
        <f t="shared" si="1"/>
        <v/>
      </c>
      <c r="E1431" s="100" t="str">
        <f t="shared" si="2"/>
        <v/>
      </c>
      <c r="F1431" s="100" t="str">
        <f t="shared" si="3"/>
        <v/>
      </c>
      <c r="G1431" s="151"/>
      <c r="H1431" s="156"/>
      <c r="I1431" s="157"/>
      <c r="J1431" s="158"/>
      <c r="L1431" s="94"/>
      <c r="M1431" s="159"/>
      <c r="N1431" s="94"/>
    </row>
    <row r="1432">
      <c r="A1432" s="107">
        <v>202331.0</v>
      </c>
      <c r="B1432" s="108" t="s">
        <v>85</v>
      </c>
      <c r="C1432" s="108" t="s">
        <v>484</v>
      </c>
      <c r="D1432" s="100" t="str">
        <f t="shared" si="1"/>
        <v/>
      </c>
      <c r="E1432" s="100" t="str">
        <f t="shared" si="2"/>
        <v/>
      </c>
      <c r="F1432" s="100" t="str">
        <f t="shared" si="3"/>
        <v/>
      </c>
      <c r="G1432" s="151"/>
      <c r="H1432" s="160"/>
      <c r="I1432" s="157"/>
      <c r="J1432" s="161"/>
      <c r="L1432" s="94"/>
      <c r="M1432" s="159"/>
      <c r="N1432" s="94"/>
    </row>
    <row r="1433">
      <c r="A1433" s="107">
        <v>202331.0</v>
      </c>
      <c r="B1433" s="108" t="s">
        <v>90</v>
      </c>
      <c r="C1433" s="108" t="s">
        <v>484</v>
      </c>
      <c r="D1433" s="100" t="str">
        <f t="shared" si="1"/>
        <v/>
      </c>
      <c r="E1433" s="100" t="str">
        <f t="shared" si="2"/>
        <v/>
      </c>
      <c r="F1433" s="100" t="str">
        <f t="shared" si="3"/>
        <v/>
      </c>
      <c r="G1433" s="151"/>
      <c r="H1433" s="156"/>
      <c r="I1433" s="157"/>
      <c r="J1433" s="158"/>
      <c r="L1433" s="94"/>
      <c r="M1433" s="159"/>
      <c r="N1433" s="94"/>
    </row>
    <row r="1434">
      <c r="A1434" s="107">
        <v>202331.0</v>
      </c>
      <c r="B1434" s="108" t="s">
        <v>92</v>
      </c>
      <c r="C1434" s="108" t="s">
        <v>484</v>
      </c>
      <c r="D1434" s="100" t="str">
        <f t="shared" si="1"/>
        <v/>
      </c>
      <c r="E1434" s="100" t="str">
        <f t="shared" si="2"/>
        <v/>
      </c>
      <c r="F1434" s="100" t="str">
        <f t="shared" si="3"/>
        <v/>
      </c>
      <c r="G1434" s="151"/>
      <c r="H1434" s="160"/>
      <c r="I1434" s="157"/>
      <c r="J1434" s="161"/>
      <c r="L1434" s="94"/>
      <c r="M1434" s="159"/>
      <c r="N1434" s="94"/>
    </row>
    <row r="1435">
      <c r="A1435" s="107">
        <v>202331.0</v>
      </c>
      <c r="B1435" s="108" t="s">
        <v>190</v>
      </c>
      <c r="C1435" s="108" t="s">
        <v>484</v>
      </c>
      <c r="D1435" s="100" t="str">
        <f t="shared" si="1"/>
        <v/>
      </c>
      <c r="E1435" s="100" t="str">
        <f t="shared" si="2"/>
        <v/>
      </c>
      <c r="F1435" s="100" t="str">
        <f t="shared" si="3"/>
        <v/>
      </c>
      <c r="G1435" s="151"/>
      <c r="H1435" s="156"/>
      <c r="I1435" s="157"/>
      <c r="J1435" s="158"/>
      <c r="L1435" s="94"/>
      <c r="M1435" s="159"/>
      <c r="N1435" s="94"/>
    </row>
    <row r="1436">
      <c r="A1436" s="107">
        <v>202331.0</v>
      </c>
      <c r="B1436" s="108" t="s">
        <v>191</v>
      </c>
      <c r="C1436" s="108" t="s">
        <v>484</v>
      </c>
      <c r="D1436" s="100" t="str">
        <f t="shared" si="1"/>
        <v/>
      </c>
      <c r="E1436" s="100" t="str">
        <f t="shared" si="2"/>
        <v/>
      </c>
      <c r="F1436" s="100" t="str">
        <f t="shared" si="3"/>
        <v/>
      </c>
      <c r="G1436" s="151"/>
      <c r="H1436" s="160"/>
      <c r="I1436" s="157"/>
      <c r="J1436" s="161"/>
      <c r="L1436" s="94"/>
      <c r="M1436" s="159"/>
      <c r="N1436" s="94"/>
    </row>
    <row r="1437">
      <c r="A1437" s="107">
        <v>202331.0</v>
      </c>
      <c r="B1437" s="108" t="s">
        <v>192</v>
      </c>
      <c r="C1437" s="108" t="s">
        <v>484</v>
      </c>
      <c r="D1437" s="100" t="str">
        <f t="shared" si="1"/>
        <v/>
      </c>
      <c r="E1437" s="100" t="str">
        <f t="shared" si="2"/>
        <v/>
      </c>
      <c r="F1437" s="100" t="str">
        <f t="shared" si="3"/>
        <v/>
      </c>
      <c r="G1437" s="151"/>
      <c r="H1437" s="156"/>
      <c r="I1437" s="157"/>
      <c r="J1437" s="158"/>
      <c r="L1437" s="94"/>
      <c r="M1437" s="159"/>
      <c r="N1437" s="94"/>
    </row>
    <row r="1438">
      <c r="A1438" s="107">
        <v>202331.0</v>
      </c>
      <c r="B1438" s="108" t="s">
        <v>193</v>
      </c>
      <c r="C1438" s="108" t="s">
        <v>484</v>
      </c>
      <c r="D1438" s="100" t="str">
        <f t="shared" si="1"/>
        <v/>
      </c>
      <c r="E1438" s="100" t="str">
        <f t="shared" si="2"/>
        <v/>
      </c>
      <c r="F1438" s="100" t="str">
        <f t="shared" si="3"/>
        <v/>
      </c>
      <c r="G1438" s="151"/>
      <c r="H1438" s="160"/>
      <c r="I1438" s="157"/>
      <c r="J1438" s="161"/>
      <c r="L1438" s="94"/>
      <c r="M1438" s="159"/>
      <c r="N1438" s="94"/>
    </row>
    <row r="1439">
      <c r="A1439" s="107">
        <v>202331.0</v>
      </c>
      <c r="B1439" s="108" t="s">
        <v>243</v>
      </c>
      <c r="C1439" s="108" t="s">
        <v>484</v>
      </c>
      <c r="D1439" s="100" t="str">
        <f t="shared" si="1"/>
        <v/>
      </c>
      <c r="E1439" s="100" t="str">
        <f t="shared" si="2"/>
        <v/>
      </c>
      <c r="F1439" s="100" t="str">
        <f t="shared" si="3"/>
        <v/>
      </c>
      <c r="G1439" s="151"/>
      <c r="H1439" s="156"/>
      <c r="I1439" s="157"/>
      <c r="J1439" s="158"/>
      <c r="L1439" s="94"/>
      <c r="M1439" s="159"/>
      <c r="N1439" s="94"/>
    </row>
    <row r="1440">
      <c r="A1440" s="107">
        <v>202331.0</v>
      </c>
      <c r="B1440" s="108" t="s">
        <v>215</v>
      </c>
      <c r="C1440" s="108" t="s">
        <v>484</v>
      </c>
      <c r="D1440" s="100" t="str">
        <f t="shared" si="1"/>
        <v/>
      </c>
      <c r="E1440" s="100" t="str">
        <f t="shared" si="2"/>
        <v/>
      </c>
      <c r="F1440" s="100" t="str">
        <f t="shared" si="3"/>
        <v/>
      </c>
      <c r="G1440" s="151"/>
      <c r="H1440" s="160"/>
      <c r="I1440" s="157"/>
      <c r="J1440" s="161"/>
      <c r="L1440" s="94"/>
      <c r="M1440" s="159"/>
      <c r="N1440" s="94"/>
    </row>
    <row r="1441">
      <c r="A1441" s="107">
        <v>202331.0</v>
      </c>
      <c r="B1441" s="108" t="s">
        <v>244</v>
      </c>
      <c r="C1441" s="108" t="s">
        <v>484</v>
      </c>
      <c r="D1441" s="100" t="str">
        <f t="shared" si="1"/>
        <v/>
      </c>
      <c r="E1441" s="100" t="str">
        <f t="shared" si="2"/>
        <v/>
      </c>
      <c r="F1441" s="100" t="str">
        <f t="shared" si="3"/>
        <v/>
      </c>
      <c r="G1441" s="151"/>
      <c r="H1441" s="156"/>
      <c r="I1441" s="157"/>
      <c r="J1441" s="158"/>
      <c r="L1441" s="94"/>
      <c r="M1441" s="159"/>
      <c r="N1441" s="94"/>
    </row>
    <row r="1442">
      <c r="A1442" s="107">
        <v>202331.0</v>
      </c>
      <c r="B1442" s="108" t="s">
        <v>245</v>
      </c>
      <c r="C1442" s="108" t="s">
        <v>484</v>
      </c>
      <c r="D1442" s="100" t="str">
        <f t="shared" si="1"/>
        <v/>
      </c>
      <c r="E1442" s="100" t="str">
        <f t="shared" si="2"/>
        <v/>
      </c>
      <c r="F1442" s="100" t="str">
        <f t="shared" si="3"/>
        <v/>
      </c>
      <c r="G1442" s="151"/>
      <c r="H1442" s="160"/>
      <c r="I1442" s="157"/>
      <c r="J1442" s="161"/>
      <c r="L1442" s="94"/>
      <c r="M1442" s="159"/>
      <c r="N1442" s="94"/>
    </row>
    <row r="1443">
      <c r="A1443" s="107">
        <v>202331.0</v>
      </c>
      <c r="B1443" s="108" t="s">
        <v>246</v>
      </c>
      <c r="C1443" s="108" t="s">
        <v>484</v>
      </c>
      <c r="D1443" s="100" t="str">
        <f t="shared" si="1"/>
        <v/>
      </c>
      <c r="E1443" s="100" t="str">
        <f t="shared" si="2"/>
        <v/>
      </c>
      <c r="F1443" s="100" t="str">
        <f t="shared" si="3"/>
        <v/>
      </c>
      <c r="G1443" s="151"/>
      <c r="H1443" s="156"/>
      <c r="I1443" s="157"/>
      <c r="J1443" s="158"/>
      <c r="L1443" s="94"/>
      <c r="M1443" s="159"/>
      <c r="N1443" s="94"/>
    </row>
    <row r="1444">
      <c r="A1444" s="89">
        <v>202331.0</v>
      </c>
      <c r="B1444" s="113" t="s">
        <v>247</v>
      </c>
      <c r="C1444" s="113" t="s">
        <v>484</v>
      </c>
      <c r="D1444" s="100" t="str">
        <f t="shared" si="1"/>
        <v/>
      </c>
      <c r="E1444" s="100" t="str">
        <f t="shared" si="2"/>
        <v/>
      </c>
      <c r="F1444" s="100" t="str">
        <f t="shared" si="3"/>
        <v/>
      </c>
      <c r="G1444" s="151"/>
      <c r="H1444" s="160"/>
      <c r="I1444" s="157"/>
      <c r="J1444" s="161"/>
      <c r="L1444" s="94"/>
      <c r="M1444" s="159"/>
      <c r="N1444" s="94"/>
    </row>
    <row r="1445">
      <c r="A1445" s="107">
        <v>202332.0</v>
      </c>
      <c r="B1445" s="108" t="s">
        <v>85</v>
      </c>
      <c r="C1445" s="108" t="s">
        <v>485</v>
      </c>
      <c r="D1445" s="100" t="str">
        <f t="shared" si="1"/>
        <v/>
      </c>
      <c r="E1445" s="100" t="str">
        <f t="shared" si="2"/>
        <v/>
      </c>
      <c r="F1445" s="100" t="str">
        <f t="shared" si="3"/>
        <v/>
      </c>
      <c r="G1445" s="151"/>
      <c r="H1445" s="156"/>
      <c r="I1445" s="157"/>
      <c r="J1445" s="158"/>
      <c r="L1445" s="94"/>
      <c r="M1445" s="159"/>
      <c r="N1445" s="94"/>
    </row>
    <row r="1446">
      <c r="A1446" s="107">
        <v>202332.0</v>
      </c>
      <c r="B1446" s="108" t="s">
        <v>90</v>
      </c>
      <c r="C1446" s="108" t="s">
        <v>485</v>
      </c>
      <c r="D1446" s="100" t="str">
        <f t="shared" si="1"/>
        <v/>
      </c>
      <c r="E1446" s="100" t="str">
        <f t="shared" si="2"/>
        <v/>
      </c>
      <c r="F1446" s="100" t="str">
        <f t="shared" si="3"/>
        <v/>
      </c>
      <c r="G1446" s="151"/>
      <c r="H1446" s="160"/>
      <c r="I1446" s="157"/>
      <c r="J1446" s="161"/>
      <c r="L1446" s="94"/>
      <c r="M1446" s="159"/>
      <c r="N1446" s="94"/>
    </row>
    <row r="1447">
      <c r="A1447" s="107">
        <v>202332.0</v>
      </c>
      <c r="B1447" s="108" t="s">
        <v>92</v>
      </c>
      <c r="C1447" s="108" t="s">
        <v>485</v>
      </c>
      <c r="D1447" s="100" t="str">
        <f t="shared" si="1"/>
        <v/>
      </c>
      <c r="E1447" s="100" t="str">
        <f t="shared" si="2"/>
        <v/>
      </c>
      <c r="F1447" s="100" t="str">
        <f t="shared" si="3"/>
        <v/>
      </c>
      <c r="G1447" s="151"/>
      <c r="H1447" s="156"/>
      <c r="I1447" s="157"/>
      <c r="J1447" s="158"/>
      <c r="L1447" s="94"/>
      <c r="M1447" s="159"/>
      <c r="N1447" s="94"/>
    </row>
    <row r="1448">
      <c r="A1448" s="107">
        <v>202332.0</v>
      </c>
      <c r="B1448" s="108" t="s">
        <v>190</v>
      </c>
      <c r="C1448" s="108" t="s">
        <v>485</v>
      </c>
      <c r="D1448" s="100" t="str">
        <f t="shared" si="1"/>
        <v/>
      </c>
      <c r="E1448" s="100" t="str">
        <f t="shared" si="2"/>
        <v/>
      </c>
      <c r="F1448" s="100" t="str">
        <f t="shared" si="3"/>
        <v/>
      </c>
      <c r="G1448" s="151"/>
      <c r="H1448" s="160"/>
      <c r="I1448" s="157"/>
      <c r="J1448" s="161"/>
      <c r="L1448" s="94"/>
      <c r="M1448" s="159"/>
      <c r="N1448" s="94"/>
    </row>
    <row r="1449">
      <c r="A1449" s="107">
        <v>202332.0</v>
      </c>
      <c r="B1449" s="108" t="s">
        <v>191</v>
      </c>
      <c r="C1449" s="108" t="s">
        <v>485</v>
      </c>
      <c r="D1449" s="100" t="str">
        <f t="shared" si="1"/>
        <v/>
      </c>
      <c r="E1449" s="100" t="str">
        <f t="shared" si="2"/>
        <v/>
      </c>
      <c r="F1449" s="100" t="str">
        <f t="shared" si="3"/>
        <v/>
      </c>
      <c r="G1449" s="151"/>
      <c r="H1449" s="156"/>
      <c r="I1449" s="157"/>
      <c r="J1449" s="158"/>
      <c r="L1449" s="94"/>
      <c r="M1449" s="159"/>
      <c r="N1449" s="94"/>
    </row>
    <row r="1450">
      <c r="A1450" s="107">
        <v>202333.0</v>
      </c>
      <c r="B1450" s="108" t="s">
        <v>85</v>
      </c>
      <c r="C1450" s="108" t="s">
        <v>486</v>
      </c>
      <c r="D1450" s="100" t="str">
        <f t="shared" si="1"/>
        <v/>
      </c>
      <c r="E1450" s="100" t="str">
        <f t="shared" si="2"/>
        <v/>
      </c>
      <c r="F1450" s="100" t="str">
        <f t="shared" si="3"/>
        <v/>
      </c>
      <c r="G1450" s="151"/>
      <c r="H1450" s="160"/>
      <c r="I1450" s="157"/>
      <c r="J1450" s="161"/>
      <c r="L1450" s="94"/>
      <c r="M1450" s="159"/>
      <c r="N1450" s="94"/>
    </row>
    <row r="1451">
      <c r="A1451" s="107">
        <v>202333.0</v>
      </c>
      <c r="B1451" s="108" t="s">
        <v>90</v>
      </c>
      <c r="C1451" s="108" t="s">
        <v>486</v>
      </c>
      <c r="D1451" s="100" t="str">
        <f t="shared" si="1"/>
        <v/>
      </c>
      <c r="E1451" s="100" t="str">
        <f t="shared" si="2"/>
        <v/>
      </c>
      <c r="F1451" s="100" t="str">
        <f t="shared" si="3"/>
        <v/>
      </c>
      <c r="G1451" s="151"/>
      <c r="H1451" s="156"/>
      <c r="I1451" s="157"/>
      <c r="J1451" s="158"/>
      <c r="L1451" s="94"/>
      <c r="M1451" s="159"/>
      <c r="N1451" s="94"/>
    </row>
    <row r="1452">
      <c r="A1452" s="107">
        <v>202334.0</v>
      </c>
      <c r="B1452" s="108" t="s">
        <v>85</v>
      </c>
      <c r="C1452" s="108" t="s">
        <v>487</v>
      </c>
      <c r="D1452" s="100" t="str">
        <f t="shared" si="1"/>
        <v/>
      </c>
      <c r="E1452" s="100" t="str">
        <f t="shared" si="2"/>
        <v/>
      </c>
      <c r="F1452" s="100" t="str">
        <f t="shared" si="3"/>
        <v/>
      </c>
      <c r="G1452" s="151"/>
      <c r="H1452" s="160"/>
      <c r="I1452" s="157"/>
      <c r="J1452" s="161"/>
      <c r="L1452" s="94"/>
      <c r="M1452" s="159"/>
      <c r="N1452" s="94"/>
    </row>
    <row r="1453">
      <c r="A1453" s="107">
        <v>202334.0</v>
      </c>
      <c r="B1453" s="108" t="s">
        <v>90</v>
      </c>
      <c r="C1453" s="108" t="s">
        <v>487</v>
      </c>
      <c r="D1453" s="100" t="str">
        <f t="shared" si="1"/>
        <v/>
      </c>
      <c r="E1453" s="100" t="str">
        <f t="shared" si="2"/>
        <v/>
      </c>
      <c r="F1453" s="100" t="str">
        <f t="shared" si="3"/>
        <v/>
      </c>
      <c r="G1453" s="151"/>
      <c r="H1453" s="156"/>
      <c r="I1453" s="157"/>
      <c r="J1453" s="158"/>
      <c r="L1453" s="94"/>
      <c r="M1453" s="159"/>
      <c r="N1453" s="94"/>
    </row>
    <row r="1454">
      <c r="A1454" s="107">
        <v>202334.0</v>
      </c>
      <c r="B1454" s="108" t="s">
        <v>92</v>
      </c>
      <c r="C1454" s="108" t="s">
        <v>487</v>
      </c>
      <c r="D1454" s="100" t="str">
        <f t="shared" si="1"/>
        <v/>
      </c>
      <c r="E1454" s="100" t="str">
        <f t="shared" si="2"/>
        <v/>
      </c>
      <c r="F1454" s="100" t="str">
        <f t="shared" si="3"/>
        <v/>
      </c>
      <c r="G1454" s="151"/>
      <c r="H1454" s="160"/>
      <c r="I1454" s="157"/>
      <c r="J1454" s="161"/>
      <c r="L1454" s="94"/>
      <c r="M1454" s="159"/>
      <c r="N1454" s="94"/>
    </row>
    <row r="1455">
      <c r="A1455" s="107">
        <v>202334.0</v>
      </c>
      <c r="B1455" s="108" t="s">
        <v>190</v>
      </c>
      <c r="C1455" s="108" t="s">
        <v>487</v>
      </c>
      <c r="D1455" s="100" t="str">
        <f t="shared" si="1"/>
        <v/>
      </c>
      <c r="E1455" s="100" t="str">
        <f t="shared" si="2"/>
        <v/>
      </c>
      <c r="F1455" s="100" t="str">
        <f t="shared" si="3"/>
        <v/>
      </c>
      <c r="G1455" s="151"/>
      <c r="H1455" s="156"/>
      <c r="I1455" s="157"/>
      <c r="J1455" s="158"/>
      <c r="L1455" s="94"/>
      <c r="M1455" s="159"/>
      <c r="N1455" s="94"/>
    </row>
    <row r="1456">
      <c r="A1456" s="107">
        <v>202334.0</v>
      </c>
      <c r="B1456" s="108" t="s">
        <v>191</v>
      </c>
      <c r="C1456" s="108" t="s">
        <v>487</v>
      </c>
      <c r="D1456" s="100" t="str">
        <f t="shared" si="1"/>
        <v/>
      </c>
      <c r="E1456" s="100" t="str">
        <f t="shared" si="2"/>
        <v/>
      </c>
      <c r="F1456" s="100" t="str">
        <f t="shared" si="3"/>
        <v/>
      </c>
      <c r="G1456" s="151"/>
      <c r="H1456" s="160"/>
      <c r="I1456" s="157"/>
      <c r="J1456" s="161"/>
      <c r="L1456" s="94"/>
      <c r="M1456" s="159"/>
      <c r="N1456" s="94"/>
    </row>
    <row r="1457">
      <c r="A1457" s="107">
        <v>202334.0</v>
      </c>
      <c r="B1457" s="108" t="s">
        <v>192</v>
      </c>
      <c r="C1457" s="108" t="s">
        <v>487</v>
      </c>
      <c r="D1457" s="100" t="str">
        <f t="shared" si="1"/>
        <v/>
      </c>
      <c r="E1457" s="100" t="str">
        <f t="shared" si="2"/>
        <v/>
      </c>
      <c r="F1457" s="100" t="str">
        <f t="shared" si="3"/>
        <v/>
      </c>
      <c r="G1457" s="151"/>
      <c r="H1457" s="156"/>
      <c r="I1457" s="157"/>
      <c r="J1457" s="158"/>
      <c r="L1457" s="94"/>
      <c r="M1457" s="159"/>
      <c r="N1457" s="94"/>
    </row>
    <row r="1458">
      <c r="A1458" s="107">
        <v>202334.0</v>
      </c>
      <c r="B1458" s="108" t="s">
        <v>193</v>
      </c>
      <c r="C1458" s="108" t="s">
        <v>487</v>
      </c>
      <c r="D1458" s="100" t="str">
        <f t="shared" si="1"/>
        <v/>
      </c>
      <c r="E1458" s="100" t="str">
        <f t="shared" si="2"/>
        <v/>
      </c>
      <c r="F1458" s="100" t="str">
        <f t="shared" si="3"/>
        <v/>
      </c>
      <c r="G1458" s="151"/>
      <c r="H1458" s="160"/>
      <c r="I1458" s="157"/>
      <c r="J1458" s="161"/>
      <c r="L1458" s="94"/>
      <c r="M1458" s="159"/>
      <c r="N1458" s="94"/>
    </row>
    <row r="1459">
      <c r="A1459" s="107">
        <v>202334.0</v>
      </c>
      <c r="B1459" s="108" t="s">
        <v>243</v>
      </c>
      <c r="C1459" s="108" t="s">
        <v>487</v>
      </c>
      <c r="D1459" s="100" t="str">
        <f t="shared" si="1"/>
        <v/>
      </c>
      <c r="E1459" s="100" t="str">
        <f t="shared" si="2"/>
        <v/>
      </c>
      <c r="F1459" s="100" t="str">
        <f t="shared" si="3"/>
        <v/>
      </c>
      <c r="G1459" s="151"/>
      <c r="H1459" s="156"/>
      <c r="I1459" s="157"/>
      <c r="J1459" s="158"/>
      <c r="L1459" s="94"/>
      <c r="M1459" s="159"/>
      <c r="N1459" s="94"/>
    </row>
    <row r="1460">
      <c r="A1460" s="107">
        <v>202334.0</v>
      </c>
      <c r="B1460" s="108" t="s">
        <v>215</v>
      </c>
      <c r="C1460" s="108" t="s">
        <v>487</v>
      </c>
      <c r="D1460" s="100" t="str">
        <f t="shared" si="1"/>
        <v/>
      </c>
      <c r="E1460" s="100" t="str">
        <f t="shared" si="2"/>
        <v/>
      </c>
      <c r="F1460" s="100" t="str">
        <f t="shared" si="3"/>
        <v/>
      </c>
      <c r="G1460" s="151"/>
      <c r="H1460" s="160"/>
      <c r="I1460" s="157"/>
      <c r="J1460" s="161"/>
      <c r="L1460" s="94"/>
      <c r="M1460" s="159"/>
      <c r="N1460" s="94"/>
    </row>
    <row r="1461">
      <c r="A1461" s="107">
        <v>202335.0</v>
      </c>
      <c r="B1461" s="108" t="s">
        <v>85</v>
      </c>
      <c r="C1461" s="108" t="s">
        <v>488</v>
      </c>
      <c r="D1461" s="100" t="str">
        <f t="shared" si="1"/>
        <v/>
      </c>
      <c r="E1461" s="100" t="str">
        <f t="shared" si="2"/>
        <v/>
      </c>
      <c r="F1461" s="100" t="str">
        <f t="shared" si="3"/>
        <v/>
      </c>
      <c r="G1461" s="151"/>
      <c r="H1461" s="156"/>
      <c r="I1461" s="157"/>
      <c r="J1461" s="158"/>
      <c r="L1461" s="94"/>
      <c r="M1461" s="159"/>
      <c r="N1461" s="94"/>
    </row>
    <row r="1462">
      <c r="A1462" s="107">
        <v>202335.0</v>
      </c>
      <c r="B1462" s="108" t="s">
        <v>90</v>
      </c>
      <c r="C1462" s="108" t="s">
        <v>488</v>
      </c>
      <c r="D1462" s="100" t="str">
        <f t="shared" si="1"/>
        <v/>
      </c>
      <c r="E1462" s="100" t="str">
        <f t="shared" si="2"/>
        <v/>
      </c>
      <c r="F1462" s="100" t="str">
        <f t="shared" si="3"/>
        <v/>
      </c>
      <c r="G1462" s="151"/>
      <c r="H1462" s="160"/>
      <c r="I1462" s="157"/>
      <c r="J1462" s="161"/>
      <c r="L1462" s="94"/>
      <c r="M1462" s="159"/>
      <c r="N1462" s="94"/>
    </row>
    <row r="1463">
      <c r="A1463" s="107">
        <v>202335.0</v>
      </c>
      <c r="B1463" s="108" t="s">
        <v>92</v>
      </c>
      <c r="C1463" s="108" t="s">
        <v>488</v>
      </c>
      <c r="D1463" s="100" t="str">
        <f t="shared" si="1"/>
        <v/>
      </c>
      <c r="E1463" s="100" t="str">
        <f t="shared" si="2"/>
        <v/>
      </c>
      <c r="F1463" s="100" t="str">
        <f t="shared" si="3"/>
        <v/>
      </c>
      <c r="G1463" s="151"/>
      <c r="H1463" s="156"/>
      <c r="I1463" s="162"/>
      <c r="J1463" s="158"/>
      <c r="L1463" s="94"/>
      <c r="M1463" s="159"/>
      <c r="N1463" s="94"/>
    </row>
    <row r="1464">
      <c r="A1464" s="107">
        <v>202335.0</v>
      </c>
      <c r="B1464" s="108" t="s">
        <v>190</v>
      </c>
      <c r="C1464" s="108" t="s">
        <v>488</v>
      </c>
      <c r="D1464" s="100" t="str">
        <f t="shared" si="1"/>
        <v/>
      </c>
      <c r="E1464" s="100" t="str">
        <f t="shared" si="2"/>
        <v/>
      </c>
      <c r="F1464" s="100" t="str">
        <f t="shared" si="3"/>
        <v/>
      </c>
      <c r="G1464" s="151"/>
      <c r="H1464" s="160"/>
      <c r="I1464" s="157"/>
      <c r="J1464" s="161"/>
      <c r="L1464" s="94"/>
      <c r="M1464" s="159"/>
      <c r="N1464" s="94"/>
    </row>
    <row r="1465">
      <c r="A1465" s="107">
        <v>202335.0</v>
      </c>
      <c r="B1465" s="108" t="s">
        <v>191</v>
      </c>
      <c r="C1465" s="108" t="s">
        <v>488</v>
      </c>
      <c r="D1465" s="100" t="str">
        <f t="shared" si="1"/>
        <v/>
      </c>
      <c r="E1465" s="100" t="str">
        <f t="shared" si="2"/>
        <v/>
      </c>
      <c r="F1465" s="100" t="str">
        <f t="shared" si="3"/>
        <v/>
      </c>
      <c r="G1465" s="151"/>
      <c r="H1465" s="156"/>
      <c r="I1465" s="157"/>
      <c r="J1465" s="158"/>
      <c r="L1465" s="94"/>
      <c r="M1465" s="159"/>
      <c r="N1465" s="94"/>
    </row>
    <row r="1466">
      <c r="A1466" s="107">
        <v>202335.0</v>
      </c>
      <c r="B1466" s="108" t="s">
        <v>192</v>
      </c>
      <c r="C1466" s="108" t="s">
        <v>488</v>
      </c>
      <c r="D1466" s="100" t="str">
        <f t="shared" si="1"/>
        <v/>
      </c>
      <c r="E1466" s="100" t="str">
        <f t="shared" si="2"/>
        <v/>
      </c>
      <c r="F1466" s="100" t="str">
        <f t="shared" si="3"/>
        <v/>
      </c>
      <c r="G1466" s="151"/>
      <c r="H1466" s="160"/>
      <c r="I1466" s="157"/>
      <c r="J1466" s="161"/>
      <c r="L1466" s="94"/>
      <c r="M1466" s="159"/>
      <c r="N1466" s="94"/>
    </row>
    <row r="1467">
      <c r="A1467" s="107">
        <v>202335.0</v>
      </c>
      <c r="B1467" s="108" t="s">
        <v>193</v>
      </c>
      <c r="C1467" s="108" t="s">
        <v>488</v>
      </c>
      <c r="D1467" s="100" t="str">
        <f t="shared" si="1"/>
        <v/>
      </c>
      <c r="E1467" s="100" t="str">
        <f t="shared" si="2"/>
        <v/>
      </c>
      <c r="F1467" s="100" t="str">
        <f t="shared" si="3"/>
        <v/>
      </c>
      <c r="G1467" s="151"/>
      <c r="H1467" s="156"/>
      <c r="I1467" s="157"/>
      <c r="J1467" s="158"/>
      <c r="L1467" s="94"/>
      <c r="M1467" s="159"/>
      <c r="N1467" s="94"/>
    </row>
    <row r="1468">
      <c r="A1468" s="107">
        <v>202335.0</v>
      </c>
      <c r="B1468" s="108" t="s">
        <v>243</v>
      </c>
      <c r="C1468" s="108" t="s">
        <v>488</v>
      </c>
      <c r="D1468" s="100" t="str">
        <f t="shared" si="1"/>
        <v/>
      </c>
      <c r="E1468" s="100" t="str">
        <f t="shared" si="2"/>
        <v/>
      </c>
      <c r="F1468" s="100" t="str">
        <f t="shared" si="3"/>
        <v/>
      </c>
      <c r="G1468" s="151"/>
      <c r="H1468" s="160"/>
      <c r="I1468" s="157"/>
      <c r="J1468" s="161"/>
      <c r="L1468" s="94"/>
      <c r="M1468" s="159"/>
      <c r="N1468" s="94"/>
    </row>
    <row r="1469">
      <c r="A1469" s="107">
        <v>202336.0</v>
      </c>
      <c r="B1469" s="108" t="s">
        <v>85</v>
      </c>
      <c r="C1469" s="108" t="s">
        <v>489</v>
      </c>
      <c r="D1469" s="100" t="str">
        <f t="shared" si="1"/>
        <v/>
      </c>
      <c r="E1469" s="100" t="str">
        <f t="shared" si="2"/>
        <v/>
      </c>
      <c r="F1469" s="100" t="str">
        <f t="shared" si="3"/>
        <v/>
      </c>
      <c r="G1469" s="151"/>
      <c r="H1469" s="156"/>
      <c r="I1469" s="157"/>
      <c r="J1469" s="158"/>
      <c r="L1469" s="94"/>
      <c r="M1469" s="159"/>
      <c r="N1469" s="94"/>
    </row>
    <row r="1470">
      <c r="A1470" s="107">
        <v>202336.0</v>
      </c>
      <c r="B1470" s="108" t="s">
        <v>90</v>
      </c>
      <c r="C1470" s="108" t="s">
        <v>489</v>
      </c>
      <c r="D1470" s="100" t="str">
        <f t="shared" si="1"/>
        <v/>
      </c>
      <c r="E1470" s="100" t="str">
        <f t="shared" si="2"/>
        <v/>
      </c>
      <c r="F1470" s="100" t="str">
        <f t="shared" si="3"/>
        <v/>
      </c>
      <c r="G1470" s="151"/>
      <c r="H1470" s="160"/>
      <c r="I1470" s="157"/>
      <c r="J1470" s="161"/>
      <c r="L1470" s="94"/>
      <c r="M1470" s="159"/>
      <c r="N1470" s="94"/>
    </row>
    <row r="1471">
      <c r="A1471" s="107">
        <v>202336.0</v>
      </c>
      <c r="B1471" s="108" t="s">
        <v>190</v>
      </c>
      <c r="C1471" s="108" t="s">
        <v>489</v>
      </c>
      <c r="D1471" s="100" t="str">
        <f t="shared" si="1"/>
        <v/>
      </c>
      <c r="E1471" s="100" t="str">
        <f t="shared" si="2"/>
        <v/>
      </c>
      <c r="F1471" s="100" t="str">
        <f t="shared" si="3"/>
        <v/>
      </c>
      <c r="G1471" s="151"/>
      <c r="H1471" s="156"/>
      <c r="I1471" s="157"/>
      <c r="J1471" s="158"/>
      <c r="L1471" s="94"/>
      <c r="M1471" s="159"/>
      <c r="N1471" s="94"/>
    </row>
    <row r="1472">
      <c r="A1472" s="107">
        <v>202337.0</v>
      </c>
      <c r="B1472" s="108" t="s">
        <v>85</v>
      </c>
      <c r="C1472" s="108" t="s">
        <v>490</v>
      </c>
      <c r="D1472" s="100" t="str">
        <f t="shared" si="1"/>
        <v/>
      </c>
      <c r="E1472" s="100" t="str">
        <f t="shared" si="2"/>
        <v/>
      </c>
      <c r="F1472" s="100" t="str">
        <f t="shared" si="3"/>
        <v/>
      </c>
      <c r="G1472" s="151"/>
      <c r="H1472" s="160"/>
      <c r="I1472" s="157"/>
      <c r="J1472" s="161"/>
      <c r="L1472" s="94"/>
      <c r="M1472" s="159"/>
      <c r="N1472" s="94"/>
    </row>
    <row r="1473">
      <c r="A1473" s="107">
        <v>202337.0</v>
      </c>
      <c r="B1473" s="108" t="s">
        <v>90</v>
      </c>
      <c r="C1473" s="108" t="s">
        <v>490</v>
      </c>
      <c r="D1473" s="100" t="str">
        <f t="shared" si="1"/>
        <v/>
      </c>
      <c r="E1473" s="100" t="str">
        <f t="shared" si="2"/>
        <v/>
      </c>
      <c r="F1473" s="100" t="str">
        <f t="shared" si="3"/>
        <v/>
      </c>
      <c r="G1473" s="151"/>
      <c r="H1473" s="156"/>
      <c r="I1473" s="157"/>
      <c r="J1473" s="158"/>
      <c r="L1473" s="94"/>
      <c r="M1473" s="159"/>
      <c r="N1473" s="94"/>
    </row>
    <row r="1474">
      <c r="A1474" s="107">
        <v>202337.0</v>
      </c>
      <c r="B1474" s="108" t="s">
        <v>92</v>
      </c>
      <c r="C1474" s="108" t="s">
        <v>490</v>
      </c>
      <c r="D1474" s="100" t="str">
        <f t="shared" si="1"/>
        <v/>
      </c>
      <c r="E1474" s="100" t="str">
        <f t="shared" si="2"/>
        <v/>
      </c>
      <c r="F1474" s="100" t="str">
        <f t="shared" si="3"/>
        <v/>
      </c>
      <c r="G1474" s="151"/>
      <c r="H1474" s="160"/>
      <c r="I1474" s="157"/>
      <c r="J1474" s="161"/>
      <c r="L1474" s="94"/>
      <c r="M1474" s="159"/>
      <c r="N1474" s="94"/>
    </row>
    <row r="1475">
      <c r="A1475" s="107">
        <v>202337.0</v>
      </c>
      <c r="B1475" s="108" t="s">
        <v>190</v>
      </c>
      <c r="C1475" s="108" t="s">
        <v>490</v>
      </c>
      <c r="D1475" s="100" t="str">
        <f t="shared" si="1"/>
        <v/>
      </c>
      <c r="E1475" s="100" t="str">
        <f t="shared" si="2"/>
        <v/>
      </c>
      <c r="F1475" s="100" t="str">
        <f t="shared" si="3"/>
        <v/>
      </c>
      <c r="G1475" s="151"/>
      <c r="H1475" s="156"/>
      <c r="I1475" s="157"/>
      <c r="J1475" s="158"/>
      <c r="L1475" s="94"/>
      <c r="M1475" s="159"/>
      <c r="N1475" s="94"/>
    </row>
    <row r="1476">
      <c r="A1476" s="107">
        <v>202337.0</v>
      </c>
      <c r="B1476" s="108" t="s">
        <v>191</v>
      </c>
      <c r="C1476" s="108" t="s">
        <v>490</v>
      </c>
      <c r="D1476" s="100" t="str">
        <f t="shared" si="1"/>
        <v/>
      </c>
      <c r="E1476" s="100" t="str">
        <f t="shared" si="2"/>
        <v/>
      </c>
      <c r="F1476" s="100" t="str">
        <f t="shared" si="3"/>
        <v/>
      </c>
      <c r="G1476" s="151"/>
      <c r="H1476" s="160"/>
      <c r="I1476" s="157"/>
      <c r="J1476" s="161"/>
      <c r="L1476" s="94"/>
      <c r="M1476" s="159"/>
      <c r="N1476" s="94"/>
    </row>
    <row r="1477">
      <c r="A1477" s="107">
        <v>202338.0</v>
      </c>
      <c r="B1477" s="108" t="s">
        <v>85</v>
      </c>
      <c r="C1477" s="108" t="s">
        <v>491</v>
      </c>
      <c r="D1477" s="100" t="str">
        <f t="shared" si="1"/>
        <v/>
      </c>
      <c r="E1477" s="100" t="str">
        <f t="shared" si="2"/>
        <v/>
      </c>
      <c r="F1477" s="100" t="str">
        <f t="shared" si="3"/>
        <v/>
      </c>
      <c r="G1477" s="151"/>
      <c r="H1477" s="156"/>
      <c r="I1477" s="157"/>
      <c r="J1477" s="158"/>
      <c r="L1477" s="94"/>
      <c r="M1477" s="159"/>
      <c r="N1477" s="94"/>
    </row>
    <row r="1478">
      <c r="A1478" s="107">
        <v>202338.0</v>
      </c>
      <c r="B1478" s="108" t="s">
        <v>90</v>
      </c>
      <c r="C1478" s="108" t="s">
        <v>491</v>
      </c>
      <c r="D1478" s="100" t="str">
        <f t="shared" si="1"/>
        <v/>
      </c>
      <c r="E1478" s="100" t="str">
        <f t="shared" si="2"/>
        <v/>
      </c>
      <c r="F1478" s="100" t="str">
        <f t="shared" si="3"/>
        <v/>
      </c>
      <c r="G1478" s="151"/>
      <c r="H1478" s="160"/>
      <c r="I1478" s="157"/>
      <c r="J1478" s="161"/>
      <c r="L1478" s="94"/>
      <c r="M1478" s="159"/>
      <c r="N1478" s="94"/>
    </row>
    <row r="1479">
      <c r="A1479" s="107">
        <v>202338.0</v>
      </c>
      <c r="B1479" s="108" t="s">
        <v>92</v>
      </c>
      <c r="C1479" s="108" t="s">
        <v>491</v>
      </c>
      <c r="D1479" s="100" t="str">
        <f t="shared" si="1"/>
        <v/>
      </c>
      <c r="E1479" s="100" t="str">
        <f t="shared" si="2"/>
        <v/>
      </c>
      <c r="F1479" s="100" t="str">
        <f t="shared" si="3"/>
        <v/>
      </c>
      <c r="G1479" s="151"/>
      <c r="H1479" s="156"/>
      <c r="I1479" s="157"/>
      <c r="J1479" s="158"/>
      <c r="L1479" s="94"/>
      <c r="M1479" s="159"/>
      <c r="N1479" s="94"/>
    </row>
    <row r="1480">
      <c r="A1480" s="107">
        <v>202338.0</v>
      </c>
      <c r="B1480" s="108" t="s">
        <v>190</v>
      </c>
      <c r="C1480" s="108" t="s">
        <v>491</v>
      </c>
      <c r="D1480" s="100" t="str">
        <f t="shared" si="1"/>
        <v/>
      </c>
      <c r="E1480" s="100" t="str">
        <f t="shared" si="2"/>
        <v/>
      </c>
      <c r="F1480" s="100" t="str">
        <f t="shared" si="3"/>
        <v/>
      </c>
      <c r="G1480" s="151"/>
      <c r="H1480" s="160"/>
      <c r="I1480" s="157"/>
      <c r="J1480" s="161"/>
      <c r="L1480" s="94"/>
      <c r="M1480" s="159"/>
      <c r="N1480" s="94"/>
    </row>
    <row r="1481">
      <c r="A1481" s="107">
        <v>202339.0</v>
      </c>
      <c r="B1481" s="108" t="s">
        <v>85</v>
      </c>
      <c r="C1481" s="108" t="s">
        <v>492</v>
      </c>
      <c r="D1481" s="100" t="str">
        <f t="shared" si="1"/>
        <v/>
      </c>
      <c r="E1481" s="100" t="str">
        <f t="shared" si="2"/>
        <v/>
      </c>
      <c r="F1481" s="100" t="str">
        <f t="shared" si="3"/>
        <v/>
      </c>
      <c r="G1481" s="151"/>
      <c r="H1481" s="156"/>
      <c r="I1481" s="157"/>
      <c r="J1481" s="158"/>
      <c r="L1481" s="94"/>
      <c r="M1481" s="159"/>
      <c r="N1481" s="94"/>
    </row>
    <row r="1482">
      <c r="A1482" s="107">
        <v>202339.0</v>
      </c>
      <c r="B1482" s="108" t="s">
        <v>90</v>
      </c>
      <c r="C1482" s="108" t="s">
        <v>492</v>
      </c>
      <c r="D1482" s="100" t="str">
        <f t="shared" si="1"/>
        <v/>
      </c>
      <c r="E1482" s="100" t="str">
        <f t="shared" si="2"/>
        <v/>
      </c>
      <c r="F1482" s="100" t="str">
        <f t="shared" si="3"/>
        <v/>
      </c>
      <c r="G1482" s="151"/>
      <c r="H1482" s="160"/>
      <c r="I1482" s="157"/>
      <c r="J1482" s="161"/>
      <c r="L1482" s="94"/>
      <c r="M1482" s="159"/>
      <c r="N1482" s="94"/>
    </row>
    <row r="1483">
      <c r="A1483" s="107">
        <v>202339.0</v>
      </c>
      <c r="B1483" s="108" t="s">
        <v>92</v>
      </c>
      <c r="C1483" s="108" t="s">
        <v>492</v>
      </c>
      <c r="D1483" s="100" t="str">
        <f t="shared" si="1"/>
        <v/>
      </c>
      <c r="E1483" s="100" t="str">
        <f t="shared" si="2"/>
        <v/>
      </c>
      <c r="F1483" s="100" t="str">
        <f t="shared" si="3"/>
        <v/>
      </c>
      <c r="G1483" s="151"/>
      <c r="H1483" s="156"/>
      <c r="I1483" s="157"/>
      <c r="J1483" s="158"/>
      <c r="L1483" s="94"/>
      <c r="M1483" s="159"/>
      <c r="N1483" s="94"/>
    </row>
    <row r="1484">
      <c r="A1484" s="107">
        <v>202339.0</v>
      </c>
      <c r="B1484" s="108" t="s">
        <v>190</v>
      </c>
      <c r="C1484" s="108" t="s">
        <v>492</v>
      </c>
      <c r="D1484" s="100" t="str">
        <f t="shared" si="1"/>
        <v/>
      </c>
      <c r="E1484" s="100" t="str">
        <f t="shared" si="2"/>
        <v/>
      </c>
      <c r="F1484" s="100" t="str">
        <f t="shared" si="3"/>
        <v/>
      </c>
      <c r="G1484" s="151"/>
      <c r="H1484" s="160"/>
      <c r="I1484" s="157"/>
      <c r="J1484" s="161"/>
      <c r="L1484" s="94"/>
      <c r="M1484" s="159"/>
      <c r="N1484" s="94"/>
    </row>
    <row r="1485">
      <c r="A1485" s="107">
        <v>202339.0</v>
      </c>
      <c r="B1485" s="108" t="s">
        <v>191</v>
      </c>
      <c r="C1485" s="108" t="s">
        <v>492</v>
      </c>
      <c r="D1485" s="100" t="str">
        <f t="shared" si="1"/>
        <v/>
      </c>
      <c r="E1485" s="100" t="str">
        <f t="shared" si="2"/>
        <v/>
      </c>
      <c r="F1485" s="100" t="str">
        <f t="shared" si="3"/>
        <v/>
      </c>
      <c r="G1485" s="151"/>
      <c r="H1485" s="156"/>
      <c r="I1485" s="157"/>
      <c r="J1485" s="158"/>
      <c r="L1485" s="94"/>
      <c r="M1485" s="159"/>
      <c r="N1485" s="94"/>
    </row>
    <row r="1486">
      <c r="A1486" s="107">
        <v>202339.0</v>
      </c>
      <c r="B1486" s="108" t="s">
        <v>192</v>
      </c>
      <c r="C1486" s="108" t="s">
        <v>492</v>
      </c>
      <c r="D1486" s="100" t="str">
        <f t="shared" si="1"/>
        <v/>
      </c>
      <c r="E1486" s="100" t="str">
        <f t="shared" si="2"/>
        <v/>
      </c>
      <c r="F1486" s="100" t="str">
        <f t="shared" si="3"/>
        <v/>
      </c>
      <c r="G1486" s="151"/>
      <c r="H1486" s="160"/>
      <c r="I1486" s="157"/>
      <c r="J1486" s="161"/>
      <c r="L1486" s="94"/>
      <c r="M1486" s="159"/>
      <c r="N1486" s="94"/>
    </row>
    <row r="1487">
      <c r="A1487" s="107">
        <v>202339.0</v>
      </c>
      <c r="B1487" s="108" t="s">
        <v>193</v>
      </c>
      <c r="C1487" s="108" t="s">
        <v>492</v>
      </c>
      <c r="D1487" s="100" t="str">
        <f t="shared" si="1"/>
        <v/>
      </c>
      <c r="E1487" s="100" t="str">
        <f t="shared" si="2"/>
        <v/>
      </c>
      <c r="F1487" s="100" t="str">
        <f t="shared" si="3"/>
        <v/>
      </c>
      <c r="G1487" s="151"/>
      <c r="H1487" s="156"/>
      <c r="I1487" s="157"/>
      <c r="J1487" s="158"/>
      <c r="L1487" s="94"/>
      <c r="M1487" s="159"/>
      <c r="N1487" s="94"/>
    </row>
    <row r="1488">
      <c r="A1488" s="107">
        <v>202339.0</v>
      </c>
      <c r="B1488" s="108" t="s">
        <v>243</v>
      </c>
      <c r="C1488" s="108" t="s">
        <v>492</v>
      </c>
      <c r="D1488" s="100" t="str">
        <f t="shared" si="1"/>
        <v/>
      </c>
      <c r="E1488" s="100" t="str">
        <f t="shared" si="2"/>
        <v/>
      </c>
      <c r="F1488" s="100" t="str">
        <f t="shared" si="3"/>
        <v/>
      </c>
      <c r="G1488" s="151"/>
      <c r="H1488" s="160"/>
      <c r="I1488" s="157"/>
      <c r="J1488" s="161"/>
      <c r="L1488" s="94"/>
      <c r="M1488" s="159"/>
      <c r="N1488" s="94"/>
    </row>
    <row r="1489">
      <c r="A1489" s="107">
        <v>202339.0</v>
      </c>
      <c r="B1489" s="108" t="s">
        <v>215</v>
      </c>
      <c r="C1489" s="108" t="s">
        <v>492</v>
      </c>
      <c r="D1489" s="100" t="str">
        <f t="shared" si="1"/>
        <v/>
      </c>
      <c r="E1489" s="100" t="str">
        <f t="shared" si="2"/>
        <v/>
      </c>
      <c r="F1489" s="100" t="str">
        <f t="shared" si="3"/>
        <v/>
      </c>
      <c r="G1489" s="151"/>
      <c r="H1489" s="156"/>
      <c r="I1489" s="157"/>
      <c r="J1489" s="158"/>
      <c r="L1489" s="94"/>
      <c r="M1489" s="159"/>
      <c r="N1489" s="94"/>
    </row>
    <row r="1490">
      <c r="A1490" s="107">
        <v>202340.0</v>
      </c>
      <c r="B1490" s="108" t="s">
        <v>85</v>
      </c>
      <c r="C1490" s="108" t="s">
        <v>493</v>
      </c>
      <c r="D1490" s="100" t="str">
        <f t="shared" si="1"/>
        <v/>
      </c>
      <c r="E1490" s="100" t="str">
        <f t="shared" si="2"/>
        <v/>
      </c>
      <c r="F1490" s="100" t="str">
        <f t="shared" si="3"/>
        <v/>
      </c>
      <c r="G1490" s="151"/>
      <c r="H1490" s="160"/>
      <c r="I1490" s="157"/>
      <c r="J1490" s="161"/>
      <c r="L1490" s="94"/>
      <c r="M1490" s="159"/>
      <c r="N1490" s="94"/>
    </row>
    <row r="1491">
      <c r="A1491" s="107">
        <v>202340.0</v>
      </c>
      <c r="B1491" s="108" t="s">
        <v>90</v>
      </c>
      <c r="C1491" s="108" t="s">
        <v>493</v>
      </c>
      <c r="D1491" s="100" t="str">
        <f t="shared" si="1"/>
        <v/>
      </c>
      <c r="E1491" s="100" t="str">
        <f t="shared" si="2"/>
        <v/>
      </c>
      <c r="F1491" s="100" t="str">
        <f t="shared" si="3"/>
        <v/>
      </c>
      <c r="G1491" s="151"/>
      <c r="H1491" s="156"/>
      <c r="I1491" s="157"/>
      <c r="J1491" s="158"/>
      <c r="L1491" s="94"/>
      <c r="M1491" s="159"/>
      <c r="N1491" s="94"/>
    </row>
    <row r="1492">
      <c r="A1492" s="107">
        <v>202340.0</v>
      </c>
      <c r="B1492" s="108" t="s">
        <v>92</v>
      </c>
      <c r="C1492" s="108" t="s">
        <v>493</v>
      </c>
      <c r="D1492" s="100" t="str">
        <f t="shared" si="1"/>
        <v/>
      </c>
      <c r="E1492" s="100" t="str">
        <f t="shared" si="2"/>
        <v/>
      </c>
      <c r="F1492" s="100" t="str">
        <f t="shared" si="3"/>
        <v/>
      </c>
      <c r="G1492" s="151"/>
      <c r="H1492" s="160"/>
      <c r="I1492" s="157"/>
      <c r="J1492" s="161"/>
      <c r="L1492" s="94"/>
      <c r="M1492" s="159"/>
      <c r="N1492" s="94"/>
    </row>
    <row r="1493">
      <c r="A1493" s="107">
        <v>202340.0</v>
      </c>
      <c r="B1493" s="108" t="s">
        <v>190</v>
      </c>
      <c r="C1493" s="108" t="s">
        <v>493</v>
      </c>
      <c r="D1493" s="100" t="str">
        <f t="shared" si="1"/>
        <v/>
      </c>
      <c r="E1493" s="100" t="str">
        <f t="shared" si="2"/>
        <v/>
      </c>
      <c r="F1493" s="100" t="str">
        <f t="shared" si="3"/>
        <v/>
      </c>
      <c r="G1493" s="151"/>
      <c r="H1493" s="156"/>
      <c r="I1493" s="157"/>
      <c r="J1493" s="158"/>
      <c r="L1493" s="94"/>
      <c r="M1493" s="159"/>
      <c r="N1493" s="94"/>
    </row>
    <row r="1494">
      <c r="A1494" s="107">
        <v>202340.0</v>
      </c>
      <c r="B1494" s="108" t="s">
        <v>191</v>
      </c>
      <c r="C1494" s="108" t="s">
        <v>493</v>
      </c>
      <c r="D1494" s="100" t="str">
        <f t="shared" si="1"/>
        <v/>
      </c>
      <c r="E1494" s="100" t="str">
        <f t="shared" si="2"/>
        <v/>
      </c>
      <c r="F1494" s="100" t="str">
        <f t="shared" si="3"/>
        <v/>
      </c>
      <c r="G1494" s="151"/>
      <c r="H1494" s="160"/>
      <c r="I1494" s="157"/>
      <c r="J1494" s="161"/>
      <c r="L1494" s="94"/>
      <c r="M1494" s="159"/>
      <c r="N1494" s="94"/>
    </row>
    <row r="1495">
      <c r="A1495" s="107">
        <v>202340.0</v>
      </c>
      <c r="B1495" s="108" t="s">
        <v>192</v>
      </c>
      <c r="C1495" s="108" t="s">
        <v>493</v>
      </c>
      <c r="D1495" s="100" t="str">
        <f t="shared" si="1"/>
        <v/>
      </c>
      <c r="E1495" s="100" t="str">
        <f t="shared" si="2"/>
        <v/>
      </c>
      <c r="F1495" s="100" t="str">
        <f t="shared" si="3"/>
        <v/>
      </c>
      <c r="G1495" s="151"/>
      <c r="H1495" s="156"/>
      <c r="I1495" s="157"/>
      <c r="J1495" s="158"/>
      <c r="L1495" s="94"/>
      <c r="M1495" s="159"/>
      <c r="N1495" s="94"/>
    </row>
    <row r="1496">
      <c r="A1496" s="107">
        <v>202340.0</v>
      </c>
      <c r="B1496" s="108" t="s">
        <v>193</v>
      </c>
      <c r="C1496" s="108" t="s">
        <v>493</v>
      </c>
      <c r="D1496" s="100" t="str">
        <f t="shared" si="1"/>
        <v/>
      </c>
      <c r="E1496" s="100" t="str">
        <f t="shared" si="2"/>
        <v/>
      </c>
      <c r="F1496" s="100" t="str">
        <f t="shared" si="3"/>
        <v/>
      </c>
      <c r="G1496" s="151"/>
      <c r="H1496" s="160"/>
      <c r="I1496" s="157"/>
      <c r="J1496" s="161"/>
      <c r="L1496" s="94"/>
      <c r="M1496" s="159"/>
      <c r="N1496" s="94"/>
    </row>
    <row r="1497">
      <c r="A1497" s="107">
        <v>202340.0</v>
      </c>
      <c r="B1497" s="108" t="s">
        <v>243</v>
      </c>
      <c r="C1497" s="108" t="s">
        <v>493</v>
      </c>
      <c r="D1497" s="100" t="str">
        <f t="shared" si="1"/>
        <v/>
      </c>
      <c r="E1497" s="100" t="str">
        <f t="shared" si="2"/>
        <v/>
      </c>
      <c r="F1497" s="100" t="str">
        <f t="shared" si="3"/>
        <v/>
      </c>
      <c r="G1497" s="151"/>
      <c r="H1497" s="156"/>
      <c r="I1497" s="157"/>
      <c r="J1497" s="158"/>
      <c r="L1497" s="94"/>
      <c r="M1497" s="159"/>
      <c r="N1497" s="94"/>
    </row>
    <row r="1498">
      <c r="A1498" s="107">
        <v>202340.0</v>
      </c>
      <c r="B1498" s="108" t="s">
        <v>215</v>
      </c>
      <c r="C1498" s="108" t="s">
        <v>493</v>
      </c>
      <c r="D1498" s="100" t="str">
        <f t="shared" si="1"/>
        <v/>
      </c>
      <c r="E1498" s="100" t="str">
        <f t="shared" si="2"/>
        <v/>
      </c>
      <c r="F1498" s="100" t="str">
        <f t="shared" si="3"/>
        <v/>
      </c>
      <c r="G1498" s="151"/>
      <c r="H1498" s="160"/>
      <c r="I1498" s="157"/>
      <c r="J1498" s="161"/>
      <c r="L1498" s="94"/>
      <c r="M1498" s="159"/>
      <c r="N1498" s="94"/>
    </row>
    <row r="1499">
      <c r="A1499" s="107">
        <v>202341.0</v>
      </c>
      <c r="B1499" s="108" t="s">
        <v>85</v>
      </c>
      <c r="C1499" s="108" t="s">
        <v>494</v>
      </c>
      <c r="D1499" s="100" t="str">
        <f t="shared" si="1"/>
        <v/>
      </c>
      <c r="E1499" s="100" t="str">
        <f t="shared" si="2"/>
        <v/>
      </c>
      <c r="F1499" s="100" t="str">
        <f t="shared" si="3"/>
        <v/>
      </c>
      <c r="G1499" s="151"/>
      <c r="H1499" s="156"/>
      <c r="I1499" s="157"/>
      <c r="J1499" s="158"/>
      <c r="L1499" s="94"/>
      <c r="M1499" s="159"/>
      <c r="N1499" s="94"/>
    </row>
    <row r="1500">
      <c r="A1500" s="107">
        <v>202341.0</v>
      </c>
      <c r="B1500" s="108" t="s">
        <v>92</v>
      </c>
      <c r="C1500" s="108" t="s">
        <v>494</v>
      </c>
      <c r="D1500" s="100" t="str">
        <f t="shared" si="1"/>
        <v/>
      </c>
      <c r="E1500" s="100" t="str">
        <f t="shared" si="2"/>
        <v/>
      </c>
      <c r="F1500" s="100" t="str">
        <f t="shared" si="3"/>
        <v/>
      </c>
      <c r="G1500" s="151"/>
      <c r="H1500" s="160"/>
      <c r="I1500" s="157"/>
      <c r="J1500" s="161"/>
      <c r="L1500" s="94"/>
      <c r="M1500" s="159"/>
      <c r="N1500" s="94"/>
    </row>
    <row r="1501">
      <c r="A1501" s="107">
        <v>202343.0</v>
      </c>
      <c r="B1501" s="108" t="s">
        <v>85</v>
      </c>
      <c r="C1501" s="108" t="s">
        <v>495</v>
      </c>
      <c r="D1501" s="100" t="str">
        <f t="shared" si="1"/>
        <v/>
      </c>
      <c r="E1501" s="100" t="str">
        <f t="shared" si="2"/>
        <v/>
      </c>
      <c r="F1501" s="100" t="str">
        <f t="shared" si="3"/>
        <v/>
      </c>
      <c r="G1501" s="151"/>
      <c r="H1501" s="156"/>
      <c r="I1501" s="157"/>
      <c r="J1501" s="158"/>
      <c r="L1501" s="94"/>
      <c r="M1501" s="159"/>
      <c r="N1501" s="94"/>
    </row>
    <row r="1502">
      <c r="A1502" s="107">
        <v>202343.0</v>
      </c>
      <c r="B1502" s="108" t="s">
        <v>90</v>
      </c>
      <c r="C1502" s="108" t="s">
        <v>495</v>
      </c>
      <c r="D1502" s="100" t="str">
        <f t="shared" si="1"/>
        <v/>
      </c>
      <c r="E1502" s="100" t="str">
        <f t="shared" si="2"/>
        <v/>
      </c>
      <c r="F1502" s="100" t="str">
        <f t="shared" si="3"/>
        <v/>
      </c>
      <c r="G1502" s="151"/>
      <c r="H1502" s="160"/>
      <c r="I1502" s="157"/>
      <c r="J1502" s="161"/>
      <c r="L1502" s="94"/>
      <c r="M1502" s="159"/>
      <c r="N1502" s="94"/>
    </row>
    <row r="1503">
      <c r="A1503" s="107">
        <v>202343.0</v>
      </c>
      <c r="B1503" s="108" t="s">
        <v>92</v>
      </c>
      <c r="C1503" s="108" t="s">
        <v>495</v>
      </c>
      <c r="D1503" s="100" t="str">
        <f t="shared" si="1"/>
        <v/>
      </c>
      <c r="E1503" s="100" t="str">
        <f t="shared" si="2"/>
        <v/>
      </c>
      <c r="F1503" s="100" t="str">
        <f t="shared" si="3"/>
        <v/>
      </c>
      <c r="G1503" s="151"/>
      <c r="H1503" s="156"/>
      <c r="I1503" s="157"/>
      <c r="J1503" s="158"/>
      <c r="L1503" s="94"/>
      <c r="M1503" s="159"/>
      <c r="N1503" s="94"/>
    </row>
    <row r="1504">
      <c r="A1504" s="107">
        <v>202344.0</v>
      </c>
      <c r="B1504" s="108" t="s">
        <v>85</v>
      </c>
      <c r="C1504" s="108" t="s">
        <v>496</v>
      </c>
      <c r="D1504" s="100" t="str">
        <f t="shared" si="1"/>
        <v/>
      </c>
      <c r="E1504" s="100" t="str">
        <f t="shared" si="2"/>
        <v/>
      </c>
      <c r="F1504" s="100" t="str">
        <f t="shared" si="3"/>
        <v/>
      </c>
      <c r="G1504" s="151"/>
      <c r="H1504" s="160"/>
      <c r="I1504" s="157"/>
      <c r="J1504" s="161"/>
      <c r="L1504" s="94"/>
      <c r="M1504" s="159"/>
      <c r="N1504" s="94"/>
    </row>
    <row r="1505">
      <c r="A1505" s="107">
        <v>202344.0</v>
      </c>
      <c r="B1505" s="108" t="s">
        <v>90</v>
      </c>
      <c r="C1505" s="108" t="s">
        <v>496</v>
      </c>
      <c r="D1505" s="100" t="str">
        <f t="shared" si="1"/>
        <v/>
      </c>
      <c r="E1505" s="100" t="str">
        <f t="shared" si="2"/>
        <v/>
      </c>
      <c r="F1505" s="100" t="str">
        <f t="shared" si="3"/>
        <v/>
      </c>
      <c r="G1505" s="151"/>
      <c r="H1505" s="156"/>
      <c r="I1505" s="157"/>
      <c r="J1505" s="158"/>
      <c r="L1505" s="94"/>
      <c r="M1505" s="159"/>
      <c r="N1505" s="94"/>
    </row>
    <row r="1506">
      <c r="A1506" s="107">
        <v>202344.0</v>
      </c>
      <c r="B1506" s="108" t="s">
        <v>92</v>
      </c>
      <c r="C1506" s="108" t="s">
        <v>496</v>
      </c>
      <c r="D1506" s="100" t="str">
        <f t="shared" si="1"/>
        <v/>
      </c>
      <c r="E1506" s="100" t="str">
        <f t="shared" si="2"/>
        <v/>
      </c>
      <c r="F1506" s="100" t="str">
        <f t="shared" si="3"/>
        <v/>
      </c>
      <c r="G1506" s="151"/>
      <c r="H1506" s="160"/>
      <c r="I1506" s="157"/>
      <c r="J1506" s="161"/>
      <c r="L1506" s="94"/>
      <c r="M1506" s="159"/>
      <c r="N1506" s="94"/>
    </row>
    <row r="1507">
      <c r="A1507" s="107">
        <v>202344.0</v>
      </c>
      <c r="B1507" s="108" t="s">
        <v>190</v>
      </c>
      <c r="C1507" s="108" t="s">
        <v>496</v>
      </c>
      <c r="D1507" s="100" t="str">
        <f t="shared" si="1"/>
        <v/>
      </c>
      <c r="E1507" s="100" t="str">
        <f t="shared" si="2"/>
        <v/>
      </c>
      <c r="F1507" s="100" t="str">
        <f t="shared" si="3"/>
        <v/>
      </c>
      <c r="G1507" s="151"/>
      <c r="H1507" s="156"/>
      <c r="I1507" s="157"/>
      <c r="J1507" s="158"/>
      <c r="L1507" s="94"/>
      <c r="M1507" s="159"/>
      <c r="N1507" s="94"/>
    </row>
    <row r="1508">
      <c r="A1508" s="107">
        <v>202344.0</v>
      </c>
      <c r="B1508" s="108" t="s">
        <v>191</v>
      </c>
      <c r="C1508" s="108" t="s">
        <v>496</v>
      </c>
      <c r="D1508" s="100" t="str">
        <f t="shared" si="1"/>
        <v/>
      </c>
      <c r="E1508" s="100" t="str">
        <f t="shared" si="2"/>
        <v/>
      </c>
      <c r="F1508" s="100" t="str">
        <f t="shared" si="3"/>
        <v/>
      </c>
      <c r="G1508" s="151"/>
      <c r="H1508" s="160"/>
      <c r="I1508" s="157"/>
      <c r="J1508" s="161"/>
      <c r="L1508" s="94"/>
      <c r="M1508" s="159"/>
      <c r="N1508" s="94"/>
    </row>
    <row r="1509">
      <c r="A1509" s="107">
        <v>202345.0</v>
      </c>
      <c r="B1509" s="108" t="s">
        <v>85</v>
      </c>
      <c r="C1509" s="108" t="s">
        <v>497</v>
      </c>
      <c r="D1509" s="100" t="str">
        <f t="shared" si="1"/>
        <v/>
      </c>
      <c r="E1509" s="100" t="str">
        <f t="shared" si="2"/>
        <v/>
      </c>
      <c r="F1509" s="100" t="str">
        <f t="shared" si="3"/>
        <v/>
      </c>
      <c r="G1509" s="151"/>
      <c r="H1509" s="156"/>
      <c r="I1509" s="157"/>
      <c r="J1509" s="158"/>
      <c r="L1509" s="94"/>
      <c r="M1509" s="159"/>
      <c r="N1509" s="94"/>
    </row>
    <row r="1510">
      <c r="A1510" s="107">
        <v>202347.0</v>
      </c>
      <c r="B1510" s="108" t="s">
        <v>85</v>
      </c>
      <c r="C1510" s="108" t="s">
        <v>498</v>
      </c>
      <c r="D1510" s="100" t="str">
        <f t="shared" si="1"/>
        <v/>
      </c>
      <c r="E1510" s="100" t="str">
        <f t="shared" si="2"/>
        <v/>
      </c>
      <c r="F1510" s="100" t="str">
        <f t="shared" si="3"/>
        <v/>
      </c>
      <c r="G1510" s="151"/>
      <c r="H1510" s="160"/>
      <c r="I1510" s="157"/>
      <c r="J1510" s="161"/>
      <c r="L1510" s="94"/>
      <c r="M1510" s="159"/>
      <c r="N1510" s="94"/>
    </row>
    <row r="1511">
      <c r="A1511" s="107">
        <v>202347.0</v>
      </c>
      <c r="B1511" s="108" t="s">
        <v>90</v>
      </c>
      <c r="C1511" s="108" t="s">
        <v>498</v>
      </c>
      <c r="D1511" s="100" t="str">
        <f t="shared" si="1"/>
        <v/>
      </c>
      <c r="E1511" s="100" t="str">
        <f t="shared" si="2"/>
        <v/>
      </c>
      <c r="F1511" s="100" t="str">
        <f t="shared" si="3"/>
        <v/>
      </c>
      <c r="G1511" s="151"/>
      <c r="H1511" s="156"/>
      <c r="I1511" s="157"/>
      <c r="J1511" s="158"/>
      <c r="L1511" s="94"/>
      <c r="M1511" s="159"/>
      <c r="N1511" s="94"/>
    </row>
    <row r="1512">
      <c r="A1512" s="107">
        <v>202347.0</v>
      </c>
      <c r="B1512" s="108" t="s">
        <v>191</v>
      </c>
      <c r="C1512" s="108" t="s">
        <v>498</v>
      </c>
      <c r="D1512" s="100" t="str">
        <f t="shared" si="1"/>
        <v/>
      </c>
      <c r="E1512" s="100" t="str">
        <f t="shared" si="2"/>
        <v/>
      </c>
      <c r="F1512" s="100" t="str">
        <f t="shared" si="3"/>
        <v/>
      </c>
      <c r="G1512" s="151"/>
      <c r="H1512" s="160"/>
      <c r="I1512" s="157"/>
      <c r="J1512" s="161"/>
      <c r="L1512" s="94"/>
      <c r="M1512" s="159"/>
      <c r="N1512" s="94"/>
    </row>
    <row r="1513">
      <c r="A1513" s="107">
        <v>202347.0</v>
      </c>
      <c r="B1513" s="108" t="s">
        <v>192</v>
      </c>
      <c r="C1513" s="108" t="s">
        <v>498</v>
      </c>
      <c r="D1513" s="100" t="str">
        <f t="shared" si="1"/>
        <v/>
      </c>
      <c r="E1513" s="100" t="str">
        <f t="shared" si="2"/>
        <v/>
      </c>
      <c r="F1513" s="100" t="str">
        <f t="shared" si="3"/>
        <v/>
      </c>
      <c r="G1513" s="151"/>
      <c r="H1513" s="156"/>
      <c r="I1513" s="157"/>
      <c r="J1513" s="158"/>
      <c r="L1513" s="94"/>
      <c r="M1513" s="159"/>
      <c r="N1513" s="94"/>
    </row>
    <row r="1514">
      <c r="A1514" s="107">
        <v>202348.0</v>
      </c>
      <c r="B1514" s="108" t="s">
        <v>85</v>
      </c>
      <c r="C1514" s="108" t="s">
        <v>499</v>
      </c>
      <c r="D1514" s="100" t="str">
        <f t="shared" si="1"/>
        <v/>
      </c>
      <c r="E1514" s="100" t="str">
        <f t="shared" si="2"/>
        <v/>
      </c>
      <c r="F1514" s="100" t="str">
        <f t="shared" si="3"/>
        <v/>
      </c>
      <c r="G1514" s="151"/>
      <c r="H1514" s="160"/>
      <c r="I1514" s="157"/>
      <c r="J1514" s="161"/>
      <c r="L1514" s="94"/>
      <c r="M1514" s="159"/>
      <c r="N1514" s="94"/>
    </row>
    <row r="1515">
      <c r="A1515" s="107">
        <v>202348.0</v>
      </c>
      <c r="B1515" s="108" t="s">
        <v>190</v>
      </c>
      <c r="C1515" s="108" t="s">
        <v>499</v>
      </c>
      <c r="D1515" s="100" t="str">
        <f t="shared" si="1"/>
        <v/>
      </c>
      <c r="E1515" s="100" t="str">
        <f t="shared" si="2"/>
        <v/>
      </c>
      <c r="F1515" s="100" t="str">
        <f t="shared" si="3"/>
        <v/>
      </c>
      <c r="G1515" s="151"/>
      <c r="H1515" s="156"/>
      <c r="I1515" s="157"/>
      <c r="J1515" s="158"/>
      <c r="L1515" s="94"/>
      <c r="M1515" s="159"/>
      <c r="N1515" s="94"/>
    </row>
    <row r="1516">
      <c r="A1516" s="107">
        <v>202348.0</v>
      </c>
      <c r="B1516" s="108" t="s">
        <v>191</v>
      </c>
      <c r="C1516" s="108" t="s">
        <v>499</v>
      </c>
      <c r="D1516" s="100" t="str">
        <f t="shared" si="1"/>
        <v/>
      </c>
      <c r="E1516" s="100" t="str">
        <f t="shared" si="2"/>
        <v/>
      </c>
      <c r="F1516" s="100" t="str">
        <f t="shared" si="3"/>
        <v/>
      </c>
      <c r="G1516" s="151"/>
      <c r="H1516" s="160"/>
      <c r="I1516" s="157"/>
      <c r="J1516" s="161"/>
      <c r="L1516" s="94"/>
      <c r="M1516" s="159"/>
      <c r="N1516" s="94"/>
    </row>
    <row r="1517">
      <c r="A1517" s="107">
        <v>202349.0</v>
      </c>
      <c r="B1517" s="108" t="s">
        <v>85</v>
      </c>
      <c r="C1517" s="108" t="s">
        <v>500</v>
      </c>
      <c r="D1517" s="100" t="str">
        <f t="shared" si="1"/>
        <v/>
      </c>
      <c r="E1517" s="100" t="str">
        <f t="shared" si="2"/>
        <v/>
      </c>
      <c r="F1517" s="100" t="str">
        <f t="shared" si="3"/>
        <v/>
      </c>
      <c r="G1517" s="151"/>
      <c r="H1517" s="156"/>
      <c r="I1517" s="157"/>
      <c r="J1517" s="158"/>
      <c r="L1517" s="94"/>
      <c r="M1517" s="159"/>
      <c r="N1517" s="94"/>
    </row>
    <row r="1518">
      <c r="A1518" s="107">
        <v>202349.0</v>
      </c>
      <c r="B1518" s="108" t="s">
        <v>90</v>
      </c>
      <c r="C1518" s="108" t="s">
        <v>500</v>
      </c>
      <c r="D1518" s="100" t="str">
        <f t="shared" si="1"/>
        <v/>
      </c>
      <c r="E1518" s="100" t="str">
        <f t="shared" si="2"/>
        <v/>
      </c>
      <c r="F1518" s="100" t="str">
        <f t="shared" si="3"/>
        <v/>
      </c>
      <c r="G1518" s="151"/>
      <c r="H1518" s="160"/>
      <c r="I1518" s="157"/>
      <c r="J1518" s="161"/>
      <c r="L1518" s="94"/>
      <c r="M1518" s="159"/>
      <c r="N1518" s="94"/>
    </row>
    <row r="1519">
      <c r="A1519" s="107">
        <v>202349.0</v>
      </c>
      <c r="B1519" s="108" t="s">
        <v>92</v>
      </c>
      <c r="C1519" s="108" t="s">
        <v>500</v>
      </c>
      <c r="D1519" s="100" t="str">
        <f t="shared" si="1"/>
        <v/>
      </c>
      <c r="E1519" s="100" t="str">
        <f t="shared" si="2"/>
        <v/>
      </c>
      <c r="F1519" s="100" t="str">
        <f t="shared" si="3"/>
        <v/>
      </c>
      <c r="G1519" s="151"/>
      <c r="H1519" s="156"/>
      <c r="I1519" s="157"/>
      <c r="J1519" s="158"/>
      <c r="L1519" s="94"/>
      <c r="M1519" s="159"/>
      <c r="N1519" s="94"/>
    </row>
    <row r="1520">
      <c r="A1520" s="107">
        <v>202349.0</v>
      </c>
      <c r="B1520" s="108" t="s">
        <v>190</v>
      </c>
      <c r="C1520" s="108" t="s">
        <v>500</v>
      </c>
      <c r="D1520" s="100" t="str">
        <f t="shared" si="1"/>
        <v/>
      </c>
      <c r="E1520" s="100" t="str">
        <f t="shared" si="2"/>
        <v/>
      </c>
      <c r="F1520" s="100" t="str">
        <f t="shared" si="3"/>
        <v/>
      </c>
      <c r="G1520" s="151"/>
      <c r="H1520" s="160"/>
      <c r="I1520" s="157"/>
      <c r="J1520" s="161"/>
      <c r="L1520" s="94"/>
      <c r="M1520" s="159"/>
      <c r="N1520" s="94"/>
    </row>
    <row r="1521">
      <c r="A1521" s="107">
        <v>202350.0</v>
      </c>
      <c r="B1521" s="108" t="s">
        <v>85</v>
      </c>
      <c r="C1521" s="108" t="s">
        <v>501</v>
      </c>
      <c r="D1521" s="100" t="str">
        <f t="shared" si="1"/>
        <v/>
      </c>
      <c r="E1521" s="100" t="str">
        <f t="shared" si="2"/>
        <v/>
      </c>
      <c r="F1521" s="100" t="str">
        <f t="shared" si="3"/>
        <v/>
      </c>
      <c r="G1521" s="151"/>
      <c r="H1521" s="156"/>
      <c r="I1521" s="157"/>
      <c r="J1521" s="158"/>
      <c r="L1521" s="94"/>
      <c r="M1521" s="159"/>
      <c r="N1521" s="94"/>
    </row>
    <row r="1522">
      <c r="A1522" s="107">
        <v>202353.0</v>
      </c>
      <c r="B1522" s="108" t="s">
        <v>92</v>
      </c>
      <c r="C1522" s="108" t="s">
        <v>502</v>
      </c>
      <c r="D1522" s="100" t="str">
        <f t="shared" si="1"/>
        <v/>
      </c>
      <c r="E1522" s="100" t="str">
        <f t="shared" si="2"/>
        <v/>
      </c>
      <c r="F1522" s="100" t="str">
        <f t="shared" si="3"/>
        <v/>
      </c>
      <c r="G1522" s="151"/>
      <c r="H1522" s="160"/>
      <c r="I1522" s="157"/>
      <c r="J1522" s="161"/>
      <c r="L1522" s="94"/>
      <c r="M1522" s="159"/>
      <c r="N1522" s="94"/>
    </row>
    <row r="1523">
      <c r="A1523" s="107">
        <v>202354.0</v>
      </c>
      <c r="B1523" s="108" t="s">
        <v>85</v>
      </c>
      <c r="C1523" s="108" t="s">
        <v>503</v>
      </c>
      <c r="D1523" s="100" t="str">
        <f t="shared" si="1"/>
        <v/>
      </c>
      <c r="E1523" s="100" t="str">
        <f t="shared" si="2"/>
        <v/>
      </c>
      <c r="F1523" s="100" t="str">
        <f t="shared" si="3"/>
        <v/>
      </c>
      <c r="G1523" s="151"/>
      <c r="H1523" s="156"/>
      <c r="I1523" s="157"/>
      <c r="J1523" s="158"/>
      <c r="L1523" s="94"/>
      <c r="M1523" s="159"/>
      <c r="N1523" s="94"/>
    </row>
    <row r="1524">
      <c r="A1524" s="107">
        <v>202355.0</v>
      </c>
      <c r="B1524" s="108" t="s">
        <v>90</v>
      </c>
      <c r="C1524" s="108" t="s">
        <v>504</v>
      </c>
      <c r="D1524" s="100" t="str">
        <f t="shared" si="1"/>
        <v/>
      </c>
      <c r="E1524" s="100" t="str">
        <f t="shared" si="2"/>
        <v/>
      </c>
      <c r="F1524" s="100" t="str">
        <f t="shared" si="3"/>
        <v/>
      </c>
      <c r="G1524" s="151"/>
      <c r="H1524" s="160"/>
      <c r="I1524" s="157"/>
      <c r="J1524" s="161"/>
      <c r="L1524" s="94"/>
      <c r="M1524" s="159"/>
      <c r="N1524" s="94"/>
    </row>
    <row r="1525">
      <c r="A1525" s="107">
        <v>202355.0</v>
      </c>
      <c r="B1525" s="108" t="s">
        <v>92</v>
      </c>
      <c r="C1525" s="108" t="s">
        <v>504</v>
      </c>
      <c r="D1525" s="100" t="str">
        <f t="shared" si="1"/>
        <v/>
      </c>
      <c r="E1525" s="100" t="str">
        <f t="shared" si="2"/>
        <v/>
      </c>
      <c r="F1525" s="100" t="str">
        <f t="shared" si="3"/>
        <v/>
      </c>
      <c r="G1525" s="151"/>
      <c r="H1525" s="156"/>
      <c r="I1525" s="157"/>
      <c r="J1525" s="158"/>
      <c r="L1525" s="94"/>
      <c r="M1525" s="159"/>
      <c r="N1525" s="94"/>
    </row>
    <row r="1526">
      <c r="A1526" s="107">
        <v>202355.0</v>
      </c>
      <c r="B1526" s="108" t="s">
        <v>190</v>
      </c>
      <c r="C1526" s="108" t="s">
        <v>504</v>
      </c>
      <c r="D1526" s="100" t="str">
        <f t="shared" si="1"/>
        <v/>
      </c>
      <c r="E1526" s="100" t="str">
        <f t="shared" si="2"/>
        <v/>
      </c>
      <c r="F1526" s="100" t="str">
        <f t="shared" si="3"/>
        <v/>
      </c>
      <c r="G1526" s="151"/>
      <c r="H1526" s="160"/>
      <c r="I1526" s="157"/>
      <c r="J1526" s="161"/>
      <c r="L1526" s="94"/>
      <c r="M1526" s="159"/>
      <c r="N1526" s="94"/>
    </row>
    <row r="1527">
      <c r="A1527" s="107">
        <v>202355.0</v>
      </c>
      <c r="B1527" s="108" t="s">
        <v>191</v>
      </c>
      <c r="C1527" s="108" t="s">
        <v>504</v>
      </c>
      <c r="D1527" s="100" t="str">
        <f t="shared" si="1"/>
        <v/>
      </c>
      <c r="E1527" s="100" t="str">
        <f t="shared" si="2"/>
        <v/>
      </c>
      <c r="F1527" s="100" t="str">
        <f t="shared" si="3"/>
        <v/>
      </c>
      <c r="G1527" s="151"/>
      <c r="H1527" s="156"/>
      <c r="I1527" s="157"/>
      <c r="J1527" s="158"/>
      <c r="L1527" s="94"/>
      <c r="M1527" s="159"/>
      <c r="N1527" s="94"/>
    </row>
    <row r="1528">
      <c r="A1528" s="107">
        <v>202355.0</v>
      </c>
      <c r="B1528" s="108" t="s">
        <v>192</v>
      </c>
      <c r="C1528" s="108" t="s">
        <v>504</v>
      </c>
      <c r="D1528" s="100" t="str">
        <f t="shared" si="1"/>
        <v/>
      </c>
      <c r="E1528" s="100" t="str">
        <f t="shared" si="2"/>
        <v/>
      </c>
      <c r="F1528" s="100" t="str">
        <f t="shared" si="3"/>
        <v/>
      </c>
      <c r="G1528" s="151"/>
      <c r="H1528" s="160"/>
      <c r="I1528" s="157"/>
      <c r="J1528" s="161"/>
      <c r="L1528" s="94"/>
      <c r="M1528" s="159"/>
      <c r="N1528" s="94"/>
    </row>
    <row r="1529">
      <c r="A1529" s="107">
        <v>202355.0</v>
      </c>
      <c r="B1529" s="108" t="s">
        <v>193</v>
      </c>
      <c r="C1529" s="108" t="s">
        <v>504</v>
      </c>
      <c r="D1529" s="100" t="str">
        <f t="shared" si="1"/>
        <v/>
      </c>
      <c r="E1529" s="100" t="str">
        <f t="shared" si="2"/>
        <v/>
      </c>
      <c r="F1529" s="100" t="str">
        <f t="shared" si="3"/>
        <v/>
      </c>
      <c r="G1529" s="151"/>
      <c r="H1529" s="156"/>
      <c r="I1529" s="157"/>
      <c r="J1529" s="158"/>
      <c r="L1529" s="94"/>
      <c r="M1529" s="159"/>
      <c r="N1529" s="94"/>
    </row>
    <row r="1530">
      <c r="A1530" s="107">
        <v>202355.0</v>
      </c>
      <c r="B1530" s="108" t="s">
        <v>243</v>
      </c>
      <c r="C1530" s="108" t="s">
        <v>504</v>
      </c>
      <c r="D1530" s="100" t="str">
        <f t="shared" si="1"/>
        <v/>
      </c>
      <c r="E1530" s="100" t="str">
        <f t="shared" si="2"/>
        <v/>
      </c>
      <c r="F1530" s="100" t="str">
        <f t="shared" si="3"/>
        <v/>
      </c>
      <c r="G1530" s="151"/>
      <c r="H1530" s="160"/>
      <c r="I1530" s="157"/>
      <c r="J1530" s="161"/>
      <c r="L1530" s="94"/>
      <c r="M1530" s="159"/>
      <c r="N1530" s="94"/>
    </row>
    <row r="1531">
      <c r="A1531" s="107">
        <v>202355.0</v>
      </c>
      <c r="B1531" s="108" t="s">
        <v>215</v>
      </c>
      <c r="C1531" s="108" t="s">
        <v>504</v>
      </c>
      <c r="D1531" s="100" t="str">
        <f t="shared" si="1"/>
        <v/>
      </c>
      <c r="E1531" s="100" t="str">
        <f t="shared" si="2"/>
        <v/>
      </c>
      <c r="F1531" s="100" t="str">
        <f t="shared" si="3"/>
        <v/>
      </c>
      <c r="G1531" s="151"/>
      <c r="H1531" s="156"/>
      <c r="I1531" s="157"/>
      <c r="J1531" s="158"/>
      <c r="L1531" s="94"/>
      <c r="M1531" s="159"/>
      <c r="N1531" s="94"/>
    </row>
    <row r="1532">
      <c r="A1532" s="107">
        <v>202357.0</v>
      </c>
      <c r="B1532" s="108" t="s">
        <v>92</v>
      </c>
      <c r="C1532" s="108" t="s">
        <v>505</v>
      </c>
      <c r="D1532" s="100" t="str">
        <f t="shared" si="1"/>
        <v/>
      </c>
      <c r="E1532" s="100" t="str">
        <f t="shared" si="2"/>
        <v/>
      </c>
      <c r="F1532" s="100" t="str">
        <f t="shared" si="3"/>
        <v/>
      </c>
      <c r="G1532" s="151"/>
      <c r="H1532" s="160"/>
      <c r="I1532" s="157"/>
      <c r="J1532" s="161"/>
      <c r="L1532" s="94"/>
      <c r="M1532" s="159"/>
      <c r="N1532" s="94"/>
    </row>
    <row r="1533">
      <c r="A1533" s="107">
        <v>202357.0</v>
      </c>
      <c r="B1533" s="108" t="s">
        <v>190</v>
      </c>
      <c r="C1533" s="108" t="s">
        <v>505</v>
      </c>
      <c r="D1533" s="100" t="str">
        <f t="shared" si="1"/>
        <v/>
      </c>
      <c r="E1533" s="100" t="str">
        <f t="shared" si="2"/>
        <v/>
      </c>
      <c r="F1533" s="100" t="str">
        <f t="shared" si="3"/>
        <v/>
      </c>
      <c r="G1533" s="151"/>
      <c r="H1533" s="156"/>
      <c r="I1533" s="157"/>
      <c r="J1533" s="158"/>
      <c r="L1533" s="94"/>
      <c r="M1533" s="159"/>
      <c r="N1533" s="94"/>
    </row>
    <row r="1534">
      <c r="A1534" s="107">
        <v>202357.0</v>
      </c>
      <c r="B1534" s="108" t="s">
        <v>191</v>
      </c>
      <c r="C1534" s="108" t="s">
        <v>505</v>
      </c>
      <c r="D1534" s="100" t="str">
        <f t="shared" si="1"/>
        <v/>
      </c>
      <c r="E1534" s="100" t="str">
        <f t="shared" si="2"/>
        <v/>
      </c>
      <c r="F1534" s="100" t="str">
        <f t="shared" si="3"/>
        <v/>
      </c>
      <c r="G1534" s="151"/>
      <c r="H1534" s="160"/>
      <c r="I1534" s="157"/>
      <c r="J1534" s="161"/>
      <c r="L1534" s="94"/>
      <c r="M1534" s="159"/>
      <c r="N1534" s="94"/>
    </row>
    <row r="1535">
      <c r="A1535" s="107">
        <v>202357.0</v>
      </c>
      <c r="B1535" s="108" t="s">
        <v>192</v>
      </c>
      <c r="C1535" s="108" t="s">
        <v>505</v>
      </c>
      <c r="D1535" s="100" t="str">
        <f t="shared" si="1"/>
        <v/>
      </c>
      <c r="E1535" s="100" t="str">
        <f t="shared" si="2"/>
        <v/>
      </c>
      <c r="F1535" s="100" t="str">
        <f t="shared" si="3"/>
        <v/>
      </c>
      <c r="G1535" s="151"/>
      <c r="H1535" s="156"/>
      <c r="I1535" s="157"/>
      <c r="J1535" s="158"/>
      <c r="L1535" s="94"/>
      <c r="M1535" s="159"/>
      <c r="N1535" s="94"/>
    </row>
    <row r="1536">
      <c r="A1536" s="107">
        <v>202357.0</v>
      </c>
      <c r="B1536" s="108" t="s">
        <v>193</v>
      </c>
      <c r="C1536" s="108" t="s">
        <v>505</v>
      </c>
      <c r="D1536" s="100" t="str">
        <f t="shared" si="1"/>
        <v/>
      </c>
      <c r="E1536" s="100" t="str">
        <f t="shared" si="2"/>
        <v/>
      </c>
      <c r="F1536" s="100" t="str">
        <f t="shared" si="3"/>
        <v/>
      </c>
      <c r="G1536" s="151"/>
      <c r="H1536" s="160"/>
      <c r="I1536" s="157"/>
      <c r="J1536" s="161"/>
      <c r="L1536" s="94"/>
      <c r="M1536" s="159"/>
      <c r="N1536" s="94"/>
    </row>
    <row r="1537">
      <c r="A1537" s="107">
        <v>202357.0</v>
      </c>
      <c r="B1537" s="108" t="s">
        <v>243</v>
      </c>
      <c r="C1537" s="108" t="s">
        <v>505</v>
      </c>
      <c r="D1537" s="100" t="str">
        <f t="shared" si="1"/>
        <v/>
      </c>
      <c r="E1537" s="100" t="str">
        <f t="shared" si="2"/>
        <v/>
      </c>
      <c r="F1537" s="100" t="str">
        <f t="shared" si="3"/>
        <v/>
      </c>
      <c r="G1537" s="151"/>
      <c r="H1537" s="156"/>
      <c r="I1537" s="157"/>
      <c r="J1537" s="158"/>
      <c r="L1537" s="94"/>
      <c r="M1537" s="159"/>
      <c r="N1537" s="94"/>
    </row>
    <row r="1538">
      <c r="A1538" s="107">
        <v>202357.0</v>
      </c>
      <c r="B1538" s="108" t="s">
        <v>215</v>
      </c>
      <c r="C1538" s="108" t="s">
        <v>505</v>
      </c>
      <c r="D1538" s="100" t="str">
        <f t="shared" si="1"/>
        <v/>
      </c>
      <c r="E1538" s="100" t="str">
        <f t="shared" si="2"/>
        <v/>
      </c>
      <c r="F1538" s="100" t="str">
        <f t="shared" si="3"/>
        <v/>
      </c>
      <c r="G1538" s="151"/>
      <c r="H1538" s="160"/>
      <c r="I1538" s="157"/>
      <c r="J1538" s="161"/>
      <c r="L1538" s="94"/>
      <c r="M1538" s="159"/>
      <c r="N1538" s="94"/>
    </row>
    <row r="1539">
      <c r="A1539" s="107">
        <v>202361.0</v>
      </c>
      <c r="B1539" s="108" t="s">
        <v>85</v>
      </c>
      <c r="C1539" s="108" t="s">
        <v>506</v>
      </c>
      <c r="D1539" s="100" t="str">
        <f t="shared" si="1"/>
        <v/>
      </c>
      <c r="E1539" s="100" t="str">
        <f t="shared" si="2"/>
        <v/>
      </c>
      <c r="F1539" s="100" t="str">
        <f t="shared" si="3"/>
        <v/>
      </c>
      <c r="G1539" s="151"/>
      <c r="H1539" s="156"/>
      <c r="I1539" s="157"/>
      <c r="J1539" s="158"/>
      <c r="L1539" s="94"/>
      <c r="M1539" s="159"/>
      <c r="N1539" s="94"/>
    </row>
    <row r="1540">
      <c r="A1540" s="107">
        <v>202361.0</v>
      </c>
      <c r="B1540" s="108" t="s">
        <v>90</v>
      </c>
      <c r="C1540" s="108" t="s">
        <v>506</v>
      </c>
      <c r="D1540" s="100" t="str">
        <f t="shared" si="1"/>
        <v/>
      </c>
      <c r="E1540" s="100" t="str">
        <f t="shared" si="2"/>
        <v/>
      </c>
      <c r="F1540" s="100" t="str">
        <f t="shared" si="3"/>
        <v/>
      </c>
      <c r="G1540" s="151"/>
      <c r="H1540" s="160"/>
      <c r="I1540" s="157"/>
      <c r="J1540" s="161"/>
      <c r="L1540" s="94"/>
      <c r="M1540" s="159"/>
      <c r="N1540" s="94"/>
    </row>
    <row r="1541">
      <c r="A1541" s="107">
        <v>202362.0</v>
      </c>
      <c r="B1541" s="108" t="s">
        <v>85</v>
      </c>
      <c r="C1541" s="108" t="s">
        <v>507</v>
      </c>
      <c r="D1541" s="100" t="str">
        <f t="shared" si="1"/>
        <v/>
      </c>
      <c r="E1541" s="100" t="str">
        <f t="shared" si="2"/>
        <v/>
      </c>
      <c r="F1541" s="100" t="str">
        <f t="shared" si="3"/>
        <v/>
      </c>
      <c r="G1541" s="151"/>
      <c r="H1541" s="156"/>
      <c r="I1541" s="157"/>
      <c r="J1541" s="158"/>
      <c r="L1541" s="94"/>
      <c r="M1541" s="159"/>
      <c r="N1541" s="94"/>
    </row>
    <row r="1542">
      <c r="A1542" s="107">
        <v>202362.0</v>
      </c>
      <c r="B1542" s="108" t="s">
        <v>90</v>
      </c>
      <c r="C1542" s="108" t="s">
        <v>507</v>
      </c>
      <c r="D1542" s="100" t="str">
        <f t="shared" si="1"/>
        <v/>
      </c>
      <c r="E1542" s="100" t="str">
        <f t="shared" si="2"/>
        <v/>
      </c>
      <c r="F1542" s="100" t="str">
        <f t="shared" si="3"/>
        <v/>
      </c>
      <c r="G1542" s="151"/>
      <c r="H1542" s="160"/>
      <c r="I1542" s="157"/>
      <c r="J1542" s="161"/>
      <c r="L1542" s="94"/>
      <c r="M1542" s="159"/>
      <c r="N1542" s="94"/>
    </row>
    <row r="1543">
      <c r="A1543" s="107">
        <v>202362.0</v>
      </c>
      <c r="B1543" s="108" t="s">
        <v>92</v>
      </c>
      <c r="C1543" s="108" t="s">
        <v>507</v>
      </c>
      <c r="D1543" s="100" t="str">
        <f t="shared" si="1"/>
        <v/>
      </c>
      <c r="E1543" s="100" t="str">
        <f t="shared" si="2"/>
        <v/>
      </c>
      <c r="F1543" s="100" t="str">
        <f t="shared" si="3"/>
        <v/>
      </c>
      <c r="G1543" s="151"/>
      <c r="H1543" s="156"/>
      <c r="I1543" s="157"/>
      <c r="J1543" s="158"/>
      <c r="L1543" s="94"/>
      <c r="M1543" s="159"/>
      <c r="N1543" s="94"/>
    </row>
    <row r="1544">
      <c r="A1544" s="107">
        <v>202362.0</v>
      </c>
      <c r="B1544" s="108" t="s">
        <v>190</v>
      </c>
      <c r="C1544" s="108" t="s">
        <v>507</v>
      </c>
      <c r="D1544" s="100" t="str">
        <f t="shared" si="1"/>
        <v/>
      </c>
      <c r="E1544" s="100" t="str">
        <f t="shared" si="2"/>
        <v/>
      </c>
      <c r="F1544" s="100" t="str">
        <f t="shared" si="3"/>
        <v/>
      </c>
      <c r="G1544" s="151"/>
      <c r="H1544" s="160"/>
      <c r="I1544" s="157"/>
      <c r="J1544" s="161"/>
      <c r="L1544" s="94"/>
      <c r="M1544" s="159"/>
      <c r="N1544" s="94"/>
    </row>
    <row r="1545">
      <c r="A1545" s="107">
        <v>202362.0</v>
      </c>
      <c r="B1545" s="108" t="s">
        <v>191</v>
      </c>
      <c r="C1545" s="108" t="s">
        <v>507</v>
      </c>
      <c r="D1545" s="100" t="str">
        <f t="shared" si="1"/>
        <v/>
      </c>
      <c r="E1545" s="100" t="str">
        <f t="shared" si="2"/>
        <v/>
      </c>
      <c r="F1545" s="100" t="str">
        <f t="shared" si="3"/>
        <v/>
      </c>
      <c r="G1545" s="151"/>
      <c r="H1545" s="156"/>
      <c r="I1545" s="157"/>
      <c r="J1545" s="158"/>
      <c r="L1545" s="94"/>
      <c r="M1545" s="159"/>
      <c r="N1545" s="94"/>
    </row>
    <row r="1546">
      <c r="A1546" s="107">
        <v>202362.0</v>
      </c>
      <c r="B1546" s="108" t="s">
        <v>192</v>
      </c>
      <c r="C1546" s="108" t="s">
        <v>507</v>
      </c>
      <c r="D1546" s="100" t="str">
        <f t="shared" si="1"/>
        <v/>
      </c>
      <c r="E1546" s="100" t="str">
        <f t="shared" si="2"/>
        <v/>
      </c>
      <c r="F1546" s="100" t="str">
        <f t="shared" si="3"/>
        <v/>
      </c>
      <c r="G1546" s="151"/>
      <c r="H1546" s="160"/>
      <c r="I1546" s="157"/>
      <c r="J1546" s="161"/>
      <c r="L1546" s="94"/>
      <c r="M1546" s="159"/>
      <c r="N1546" s="94"/>
    </row>
    <row r="1547">
      <c r="A1547" s="107">
        <v>202362.0</v>
      </c>
      <c r="B1547" s="108" t="s">
        <v>215</v>
      </c>
      <c r="C1547" s="108" t="s">
        <v>507</v>
      </c>
      <c r="D1547" s="100" t="str">
        <f t="shared" si="1"/>
        <v/>
      </c>
      <c r="E1547" s="100" t="str">
        <f t="shared" si="2"/>
        <v/>
      </c>
      <c r="F1547" s="100" t="str">
        <f t="shared" si="3"/>
        <v/>
      </c>
      <c r="G1547" s="151"/>
      <c r="H1547" s="156"/>
      <c r="I1547" s="157"/>
      <c r="J1547" s="158"/>
      <c r="L1547" s="94"/>
      <c r="M1547" s="159"/>
      <c r="N1547" s="94"/>
    </row>
    <row r="1548">
      <c r="A1548" s="107">
        <v>202363.0</v>
      </c>
      <c r="B1548" s="108" t="s">
        <v>85</v>
      </c>
      <c r="C1548" s="108" t="s">
        <v>508</v>
      </c>
      <c r="D1548" s="100" t="str">
        <f t="shared" si="1"/>
        <v/>
      </c>
      <c r="E1548" s="100" t="str">
        <f t="shared" si="2"/>
        <v/>
      </c>
      <c r="F1548" s="100" t="str">
        <f t="shared" si="3"/>
        <v/>
      </c>
      <c r="G1548" s="151"/>
      <c r="H1548" s="160"/>
      <c r="I1548" s="157"/>
      <c r="J1548" s="161"/>
      <c r="L1548" s="94"/>
      <c r="M1548" s="159"/>
      <c r="N1548" s="94"/>
    </row>
    <row r="1549">
      <c r="A1549" s="107">
        <v>202366.0</v>
      </c>
      <c r="B1549" s="108" t="s">
        <v>90</v>
      </c>
      <c r="C1549" s="108" t="s">
        <v>509</v>
      </c>
      <c r="D1549" s="100" t="str">
        <f t="shared" si="1"/>
        <v/>
      </c>
      <c r="E1549" s="100" t="str">
        <f t="shared" si="2"/>
        <v/>
      </c>
      <c r="F1549" s="100" t="str">
        <f t="shared" si="3"/>
        <v/>
      </c>
      <c r="G1549" s="151"/>
      <c r="H1549" s="156"/>
      <c r="I1549" s="157"/>
      <c r="J1549" s="158"/>
      <c r="L1549" s="94"/>
      <c r="M1549" s="159"/>
      <c r="N1549" s="94"/>
    </row>
    <row r="1550">
      <c r="A1550" s="107">
        <v>202379.0</v>
      </c>
      <c r="B1550" s="108" t="s">
        <v>85</v>
      </c>
      <c r="C1550" s="108" t="s">
        <v>510</v>
      </c>
      <c r="D1550" s="100" t="str">
        <f t="shared" si="1"/>
        <v/>
      </c>
      <c r="E1550" s="100" t="str">
        <f t="shared" si="2"/>
        <v/>
      </c>
      <c r="F1550" s="100" t="str">
        <f t="shared" si="3"/>
        <v/>
      </c>
      <c r="G1550" s="151"/>
      <c r="H1550" s="160"/>
      <c r="I1550" s="157"/>
      <c r="J1550" s="161"/>
      <c r="L1550" s="94"/>
      <c r="M1550" s="159"/>
      <c r="N1550" s="94"/>
    </row>
    <row r="1551">
      <c r="A1551" s="107">
        <v>202379.0</v>
      </c>
      <c r="B1551" s="108" t="s">
        <v>90</v>
      </c>
      <c r="C1551" s="108" t="s">
        <v>510</v>
      </c>
      <c r="D1551" s="100" t="str">
        <f t="shared" si="1"/>
        <v/>
      </c>
      <c r="E1551" s="100" t="str">
        <f t="shared" si="2"/>
        <v/>
      </c>
      <c r="F1551" s="100" t="str">
        <f t="shared" si="3"/>
        <v/>
      </c>
      <c r="G1551" s="151"/>
      <c r="H1551" s="156"/>
      <c r="I1551" s="157"/>
      <c r="J1551" s="158"/>
      <c r="L1551" s="94"/>
      <c r="M1551" s="159"/>
      <c r="N1551" s="94"/>
    </row>
    <row r="1552">
      <c r="A1552" s="107">
        <v>202379.0</v>
      </c>
      <c r="B1552" s="108" t="s">
        <v>92</v>
      </c>
      <c r="C1552" s="108" t="s">
        <v>510</v>
      </c>
      <c r="D1552" s="100" t="str">
        <f t="shared" si="1"/>
        <v/>
      </c>
      <c r="E1552" s="100" t="str">
        <f t="shared" si="2"/>
        <v/>
      </c>
      <c r="F1552" s="100" t="str">
        <f t="shared" si="3"/>
        <v/>
      </c>
      <c r="G1552" s="151"/>
      <c r="H1552" s="160"/>
      <c r="I1552" s="157"/>
      <c r="J1552" s="161"/>
      <c r="L1552" s="94"/>
      <c r="M1552" s="159"/>
      <c r="N1552" s="94"/>
    </row>
    <row r="1553">
      <c r="A1553" s="107">
        <v>202379.0</v>
      </c>
      <c r="B1553" s="108" t="s">
        <v>191</v>
      </c>
      <c r="C1553" s="108" t="s">
        <v>510</v>
      </c>
      <c r="D1553" s="100" t="str">
        <f t="shared" si="1"/>
        <v/>
      </c>
      <c r="E1553" s="100" t="str">
        <f t="shared" si="2"/>
        <v/>
      </c>
      <c r="F1553" s="100" t="str">
        <f t="shared" si="3"/>
        <v/>
      </c>
      <c r="G1553" s="151"/>
      <c r="H1553" s="156"/>
      <c r="I1553" s="157"/>
      <c r="J1553" s="158"/>
      <c r="L1553" s="94"/>
      <c r="M1553" s="159"/>
      <c r="N1553" s="94"/>
    </row>
    <row r="1554">
      <c r="A1554" s="107">
        <v>202380.0</v>
      </c>
      <c r="B1554" s="108" t="s">
        <v>85</v>
      </c>
      <c r="C1554" s="108" t="s">
        <v>511</v>
      </c>
      <c r="D1554" s="100" t="str">
        <f t="shared" si="1"/>
        <v/>
      </c>
      <c r="E1554" s="100" t="str">
        <f t="shared" si="2"/>
        <v/>
      </c>
      <c r="F1554" s="100" t="str">
        <f t="shared" si="3"/>
        <v/>
      </c>
      <c r="G1554" s="151"/>
      <c r="H1554" s="160"/>
      <c r="I1554" s="157"/>
      <c r="J1554" s="161"/>
      <c r="L1554" s="94"/>
      <c r="M1554" s="159"/>
      <c r="N1554" s="94"/>
    </row>
    <row r="1555">
      <c r="A1555" s="107">
        <v>202388.0</v>
      </c>
      <c r="B1555" s="108" t="s">
        <v>85</v>
      </c>
      <c r="C1555" s="108" t="s">
        <v>512</v>
      </c>
      <c r="D1555" s="100" t="str">
        <f t="shared" si="1"/>
        <v/>
      </c>
      <c r="E1555" s="100" t="str">
        <f t="shared" si="2"/>
        <v/>
      </c>
      <c r="F1555" s="100" t="str">
        <f t="shared" si="3"/>
        <v/>
      </c>
      <c r="G1555" s="151"/>
      <c r="H1555" s="156"/>
      <c r="I1555" s="162"/>
      <c r="J1555" s="158"/>
      <c r="L1555" s="94"/>
      <c r="M1555" s="159"/>
      <c r="N1555" s="94"/>
    </row>
    <row r="1556">
      <c r="A1556" s="107">
        <v>202388.0</v>
      </c>
      <c r="B1556" s="108" t="s">
        <v>90</v>
      </c>
      <c r="C1556" s="108" t="s">
        <v>512</v>
      </c>
      <c r="D1556" s="100" t="str">
        <f t="shared" si="1"/>
        <v/>
      </c>
      <c r="E1556" s="100" t="str">
        <f t="shared" si="2"/>
        <v/>
      </c>
      <c r="F1556" s="100" t="str">
        <f t="shared" si="3"/>
        <v/>
      </c>
      <c r="G1556" s="151"/>
      <c r="H1556" s="160"/>
      <c r="I1556" s="157"/>
      <c r="J1556" s="161"/>
      <c r="L1556" s="94"/>
      <c r="M1556" s="159"/>
      <c r="N1556" s="94"/>
    </row>
    <row r="1557">
      <c r="A1557" s="107">
        <v>202388.0</v>
      </c>
      <c r="B1557" s="108" t="s">
        <v>92</v>
      </c>
      <c r="C1557" s="108" t="s">
        <v>512</v>
      </c>
      <c r="D1557" s="100" t="str">
        <f t="shared" si="1"/>
        <v/>
      </c>
      <c r="E1557" s="100" t="str">
        <f t="shared" si="2"/>
        <v/>
      </c>
      <c r="F1557" s="100" t="str">
        <f t="shared" si="3"/>
        <v/>
      </c>
      <c r="G1557" s="151"/>
      <c r="H1557" s="156"/>
      <c r="I1557" s="157"/>
      <c r="J1557" s="158"/>
      <c r="L1557" s="94"/>
      <c r="M1557" s="159"/>
      <c r="N1557" s="94"/>
    </row>
    <row r="1558">
      <c r="A1558" s="107">
        <v>202389.0</v>
      </c>
      <c r="B1558" s="108" t="s">
        <v>85</v>
      </c>
      <c r="C1558" s="108" t="s">
        <v>513</v>
      </c>
      <c r="D1558" s="100" t="str">
        <f t="shared" si="1"/>
        <v/>
      </c>
      <c r="E1558" s="100" t="str">
        <f t="shared" si="2"/>
        <v/>
      </c>
      <c r="F1558" s="100" t="str">
        <f t="shared" si="3"/>
        <v/>
      </c>
      <c r="G1558" s="151"/>
      <c r="H1558" s="160"/>
      <c r="I1558" s="157"/>
      <c r="J1558" s="161"/>
      <c r="L1558" s="94"/>
      <c r="M1558" s="159"/>
      <c r="N1558" s="94"/>
    </row>
    <row r="1559">
      <c r="A1559" s="107">
        <v>202389.0</v>
      </c>
      <c r="B1559" s="108" t="s">
        <v>90</v>
      </c>
      <c r="C1559" s="108" t="s">
        <v>513</v>
      </c>
      <c r="D1559" s="100" t="str">
        <f t="shared" si="1"/>
        <v/>
      </c>
      <c r="E1559" s="100" t="str">
        <f t="shared" si="2"/>
        <v/>
      </c>
      <c r="F1559" s="100" t="str">
        <f t="shared" si="3"/>
        <v/>
      </c>
      <c r="G1559" s="151"/>
      <c r="H1559" s="156"/>
      <c r="I1559" s="157"/>
      <c r="J1559" s="158"/>
      <c r="L1559" s="94"/>
      <c r="M1559" s="159"/>
      <c r="N1559" s="94"/>
    </row>
    <row r="1560">
      <c r="A1560" s="107">
        <v>202389.0</v>
      </c>
      <c r="B1560" s="108" t="s">
        <v>92</v>
      </c>
      <c r="C1560" s="108" t="s">
        <v>513</v>
      </c>
      <c r="D1560" s="100" t="str">
        <f t="shared" si="1"/>
        <v/>
      </c>
      <c r="E1560" s="100" t="str">
        <f t="shared" si="2"/>
        <v/>
      </c>
      <c r="F1560" s="100" t="str">
        <f t="shared" si="3"/>
        <v/>
      </c>
      <c r="G1560" s="151"/>
      <c r="H1560" s="160"/>
      <c r="I1560" s="157"/>
      <c r="J1560" s="161"/>
      <c r="L1560" s="94"/>
      <c r="M1560" s="159"/>
      <c r="N1560" s="94"/>
    </row>
    <row r="1561">
      <c r="A1561" s="107">
        <v>202389.0</v>
      </c>
      <c r="B1561" s="108" t="s">
        <v>190</v>
      </c>
      <c r="C1561" s="108" t="s">
        <v>513</v>
      </c>
      <c r="D1561" s="100" t="str">
        <f t="shared" si="1"/>
        <v/>
      </c>
      <c r="E1561" s="100" t="str">
        <f t="shared" si="2"/>
        <v/>
      </c>
      <c r="F1561" s="100" t="str">
        <f t="shared" si="3"/>
        <v/>
      </c>
      <c r="G1561" s="151"/>
      <c r="H1561" s="156"/>
      <c r="I1561" s="157"/>
      <c r="J1561" s="158"/>
      <c r="L1561" s="94"/>
      <c r="M1561" s="159"/>
      <c r="N1561" s="94"/>
    </row>
    <row r="1562">
      <c r="A1562" s="107">
        <v>202389.0</v>
      </c>
      <c r="B1562" s="108" t="s">
        <v>191</v>
      </c>
      <c r="C1562" s="108" t="s">
        <v>513</v>
      </c>
      <c r="D1562" s="100" t="str">
        <f t="shared" si="1"/>
        <v/>
      </c>
      <c r="E1562" s="100" t="str">
        <f t="shared" si="2"/>
        <v/>
      </c>
      <c r="F1562" s="100" t="str">
        <f t="shared" si="3"/>
        <v/>
      </c>
      <c r="G1562" s="151"/>
      <c r="H1562" s="160"/>
      <c r="I1562" s="157"/>
      <c r="J1562" s="161"/>
      <c r="L1562" s="94"/>
      <c r="M1562" s="159"/>
      <c r="N1562" s="94"/>
    </row>
    <row r="1563">
      <c r="A1563" s="107">
        <v>202390.0</v>
      </c>
      <c r="B1563" s="108" t="s">
        <v>85</v>
      </c>
      <c r="C1563" s="108" t="s">
        <v>514</v>
      </c>
      <c r="D1563" s="100" t="str">
        <f t="shared" si="1"/>
        <v/>
      </c>
      <c r="E1563" s="100" t="str">
        <f t="shared" si="2"/>
        <v/>
      </c>
      <c r="F1563" s="100" t="str">
        <f t="shared" si="3"/>
        <v/>
      </c>
      <c r="G1563" s="151"/>
      <c r="H1563" s="156"/>
      <c r="I1563" s="157"/>
      <c r="J1563" s="158"/>
      <c r="L1563" s="94"/>
      <c r="M1563" s="159"/>
      <c r="N1563" s="94"/>
    </row>
    <row r="1564">
      <c r="A1564" s="107">
        <v>202390.0</v>
      </c>
      <c r="B1564" s="108" t="s">
        <v>90</v>
      </c>
      <c r="C1564" s="108" t="s">
        <v>514</v>
      </c>
      <c r="D1564" s="100" t="str">
        <f t="shared" si="1"/>
        <v/>
      </c>
      <c r="E1564" s="100" t="str">
        <f t="shared" si="2"/>
        <v/>
      </c>
      <c r="F1564" s="100" t="str">
        <f t="shared" si="3"/>
        <v/>
      </c>
      <c r="G1564" s="151"/>
      <c r="H1564" s="160"/>
      <c r="I1564" s="157"/>
      <c r="J1564" s="161"/>
      <c r="L1564" s="94"/>
      <c r="M1564" s="159"/>
      <c r="N1564" s="94"/>
    </row>
    <row r="1565">
      <c r="A1565" s="107">
        <v>202390.0</v>
      </c>
      <c r="B1565" s="108" t="s">
        <v>92</v>
      </c>
      <c r="C1565" s="108" t="s">
        <v>514</v>
      </c>
      <c r="D1565" s="100" t="str">
        <f t="shared" si="1"/>
        <v/>
      </c>
      <c r="E1565" s="100" t="str">
        <f t="shared" si="2"/>
        <v/>
      </c>
      <c r="F1565" s="100" t="str">
        <f t="shared" si="3"/>
        <v/>
      </c>
      <c r="G1565" s="151"/>
      <c r="H1565" s="156"/>
      <c r="I1565" s="157"/>
      <c r="J1565" s="158"/>
      <c r="L1565" s="94"/>
      <c r="M1565" s="159"/>
      <c r="N1565" s="94"/>
    </row>
    <row r="1566">
      <c r="A1566" s="107">
        <v>202390.0</v>
      </c>
      <c r="B1566" s="108" t="s">
        <v>190</v>
      </c>
      <c r="C1566" s="108" t="s">
        <v>514</v>
      </c>
      <c r="D1566" s="100" t="str">
        <f t="shared" si="1"/>
        <v/>
      </c>
      <c r="E1566" s="100" t="str">
        <f t="shared" si="2"/>
        <v/>
      </c>
      <c r="F1566" s="100" t="str">
        <f t="shared" si="3"/>
        <v/>
      </c>
      <c r="G1566" s="151"/>
      <c r="H1566" s="160"/>
      <c r="I1566" s="157"/>
      <c r="J1566" s="161"/>
      <c r="L1566" s="94"/>
      <c r="M1566" s="159"/>
      <c r="N1566" s="94"/>
    </row>
    <row r="1567">
      <c r="A1567" s="107">
        <v>202391.0</v>
      </c>
      <c r="B1567" s="108" t="s">
        <v>85</v>
      </c>
      <c r="C1567" s="108" t="s">
        <v>515</v>
      </c>
      <c r="D1567" s="100" t="str">
        <f t="shared" si="1"/>
        <v/>
      </c>
      <c r="E1567" s="100" t="str">
        <f t="shared" si="2"/>
        <v/>
      </c>
      <c r="F1567" s="100" t="str">
        <f t="shared" si="3"/>
        <v/>
      </c>
      <c r="G1567" s="151"/>
      <c r="H1567" s="156"/>
      <c r="I1567" s="157"/>
      <c r="J1567" s="158"/>
      <c r="L1567" s="94"/>
      <c r="M1567" s="159"/>
      <c r="N1567" s="94"/>
    </row>
    <row r="1568">
      <c r="A1568" s="107">
        <v>202391.0</v>
      </c>
      <c r="B1568" s="108" t="s">
        <v>90</v>
      </c>
      <c r="C1568" s="108" t="s">
        <v>515</v>
      </c>
      <c r="D1568" s="100" t="str">
        <f t="shared" si="1"/>
        <v/>
      </c>
      <c r="E1568" s="100" t="str">
        <f t="shared" si="2"/>
        <v/>
      </c>
      <c r="F1568" s="100" t="str">
        <f t="shared" si="3"/>
        <v/>
      </c>
      <c r="G1568" s="151"/>
      <c r="H1568" s="160"/>
      <c r="I1568" s="157"/>
      <c r="J1568" s="161"/>
      <c r="L1568" s="94"/>
      <c r="M1568" s="159"/>
      <c r="N1568" s="94"/>
    </row>
    <row r="1569">
      <c r="A1569" s="107">
        <v>202391.0</v>
      </c>
      <c r="B1569" s="108" t="s">
        <v>92</v>
      </c>
      <c r="C1569" s="108" t="s">
        <v>515</v>
      </c>
      <c r="D1569" s="100" t="str">
        <f t="shared" si="1"/>
        <v/>
      </c>
      <c r="E1569" s="100" t="str">
        <f t="shared" si="2"/>
        <v/>
      </c>
      <c r="F1569" s="100" t="str">
        <f t="shared" si="3"/>
        <v/>
      </c>
      <c r="G1569" s="151"/>
      <c r="H1569" s="156"/>
      <c r="I1569" s="157"/>
      <c r="J1569" s="158"/>
      <c r="L1569" s="94"/>
      <c r="M1569" s="159"/>
      <c r="N1569" s="94"/>
    </row>
    <row r="1570">
      <c r="A1570" s="107">
        <v>202391.0</v>
      </c>
      <c r="B1570" s="108" t="s">
        <v>190</v>
      </c>
      <c r="C1570" s="108" t="s">
        <v>515</v>
      </c>
      <c r="D1570" s="100" t="str">
        <f t="shared" si="1"/>
        <v/>
      </c>
      <c r="E1570" s="100" t="str">
        <f t="shared" si="2"/>
        <v/>
      </c>
      <c r="F1570" s="100" t="str">
        <f t="shared" si="3"/>
        <v/>
      </c>
      <c r="G1570" s="151"/>
      <c r="H1570" s="160"/>
      <c r="I1570" s="157"/>
      <c r="J1570" s="161"/>
      <c r="L1570" s="94"/>
      <c r="M1570" s="159"/>
      <c r="N1570" s="94"/>
    </row>
    <row r="1571">
      <c r="A1571" s="107">
        <v>202391.0</v>
      </c>
      <c r="B1571" s="108" t="s">
        <v>191</v>
      </c>
      <c r="C1571" s="108" t="s">
        <v>515</v>
      </c>
      <c r="D1571" s="100" t="str">
        <f t="shared" si="1"/>
        <v/>
      </c>
      <c r="E1571" s="100" t="str">
        <f t="shared" si="2"/>
        <v/>
      </c>
      <c r="F1571" s="100" t="str">
        <f t="shared" si="3"/>
        <v/>
      </c>
      <c r="G1571" s="151"/>
      <c r="H1571" s="156"/>
      <c r="I1571" s="157"/>
      <c r="J1571" s="158"/>
      <c r="L1571" s="94"/>
      <c r="M1571" s="159"/>
      <c r="N1571" s="94"/>
    </row>
    <row r="1572">
      <c r="A1572" s="107">
        <v>202391.0</v>
      </c>
      <c r="B1572" s="108" t="s">
        <v>192</v>
      </c>
      <c r="C1572" s="108" t="s">
        <v>515</v>
      </c>
      <c r="D1572" s="100" t="str">
        <f t="shared" si="1"/>
        <v/>
      </c>
      <c r="E1572" s="100" t="str">
        <f t="shared" si="2"/>
        <v/>
      </c>
      <c r="F1572" s="100" t="str">
        <f t="shared" si="3"/>
        <v/>
      </c>
      <c r="G1572" s="151"/>
      <c r="H1572" s="160"/>
      <c r="I1572" s="157"/>
      <c r="J1572" s="161"/>
      <c r="L1572" s="94"/>
      <c r="M1572" s="159"/>
      <c r="N1572" s="94"/>
    </row>
    <row r="1573">
      <c r="A1573" s="107">
        <v>202397.0</v>
      </c>
      <c r="B1573" s="108" t="s">
        <v>85</v>
      </c>
      <c r="C1573" s="108" t="s">
        <v>516</v>
      </c>
      <c r="D1573" s="100" t="str">
        <f t="shared" si="1"/>
        <v/>
      </c>
      <c r="E1573" s="100" t="str">
        <f t="shared" si="2"/>
        <v/>
      </c>
      <c r="F1573" s="100" t="str">
        <f t="shared" si="3"/>
        <v/>
      </c>
      <c r="G1573" s="151"/>
      <c r="H1573" s="156"/>
      <c r="I1573" s="157"/>
      <c r="J1573" s="158"/>
      <c r="L1573" s="94"/>
      <c r="M1573" s="159"/>
      <c r="N1573" s="94"/>
    </row>
    <row r="1574">
      <c r="A1574" s="107">
        <v>202397.0</v>
      </c>
      <c r="B1574" s="108" t="s">
        <v>90</v>
      </c>
      <c r="C1574" s="108" t="s">
        <v>516</v>
      </c>
      <c r="D1574" s="100" t="str">
        <f t="shared" si="1"/>
        <v/>
      </c>
      <c r="E1574" s="100" t="str">
        <f t="shared" si="2"/>
        <v/>
      </c>
      <c r="F1574" s="100" t="str">
        <f t="shared" si="3"/>
        <v/>
      </c>
      <c r="G1574" s="151"/>
      <c r="H1574" s="160"/>
      <c r="I1574" s="157"/>
      <c r="J1574" s="161"/>
      <c r="L1574" s="94"/>
      <c r="M1574" s="159"/>
      <c r="N1574" s="94"/>
    </row>
    <row r="1575">
      <c r="A1575" s="107">
        <v>202397.0</v>
      </c>
      <c r="B1575" s="108" t="s">
        <v>92</v>
      </c>
      <c r="C1575" s="108" t="s">
        <v>516</v>
      </c>
      <c r="D1575" s="100" t="str">
        <f t="shared" si="1"/>
        <v/>
      </c>
      <c r="E1575" s="100" t="str">
        <f t="shared" si="2"/>
        <v/>
      </c>
      <c r="F1575" s="100" t="str">
        <f t="shared" si="3"/>
        <v/>
      </c>
      <c r="G1575" s="151"/>
      <c r="H1575" s="156"/>
      <c r="I1575" s="157"/>
      <c r="J1575" s="158"/>
      <c r="L1575" s="94"/>
      <c r="M1575" s="159"/>
      <c r="N1575" s="94"/>
    </row>
    <row r="1576">
      <c r="A1576" s="107">
        <v>202397.0</v>
      </c>
      <c r="B1576" s="108" t="s">
        <v>190</v>
      </c>
      <c r="C1576" s="108" t="s">
        <v>516</v>
      </c>
      <c r="D1576" s="100" t="str">
        <f t="shared" si="1"/>
        <v/>
      </c>
      <c r="E1576" s="100" t="str">
        <f t="shared" si="2"/>
        <v/>
      </c>
      <c r="F1576" s="100" t="str">
        <f t="shared" si="3"/>
        <v/>
      </c>
      <c r="G1576" s="151"/>
      <c r="H1576" s="160"/>
      <c r="I1576" s="157"/>
      <c r="J1576" s="161"/>
      <c r="L1576" s="94"/>
      <c r="M1576" s="159"/>
      <c r="N1576" s="94"/>
    </row>
    <row r="1577">
      <c r="A1577" s="107">
        <v>202397.0</v>
      </c>
      <c r="B1577" s="108" t="s">
        <v>191</v>
      </c>
      <c r="C1577" s="108" t="s">
        <v>516</v>
      </c>
      <c r="D1577" s="100" t="str">
        <f t="shared" si="1"/>
        <v/>
      </c>
      <c r="E1577" s="100" t="str">
        <f t="shared" si="2"/>
        <v/>
      </c>
      <c r="F1577" s="100" t="str">
        <f t="shared" si="3"/>
        <v/>
      </c>
      <c r="G1577" s="151"/>
      <c r="H1577" s="156"/>
      <c r="I1577" s="157"/>
      <c r="J1577" s="158"/>
      <c r="L1577" s="94"/>
      <c r="M1577" s="159"/>
      <c r="N1577" s="94"/>
    </row>
    <row r="1578">
      <c r="A1578" s="107">
        <v>202397.0</v>
      </c>
      <c r="B1578" s="108" t="s">
        <v>192</v>
      </c>
      <c r="C1578" s="108" t="s">
        <v>516</v>
      </c>
      <c r="D1578" s="100" t="str">
        <f t="shared" si="1"/>
        <v/>
      </c>
      <c r="E1578" s="100" t="str">
        <f t="shared" si="2"/>
        <v/>
      </c>
      <c r="F1578" s="100" t="str">
        <f t="shared" si="3"/>
        <v/>
      </c>
      <c r="G1578" s="151"/>
      <c r="H1578" s="160"/>
      <c r="I1578" s="157"/>
      <c r="J1578" s="161"/>
      <c r="L1578" s="94"/>
      <c r="M1578" s="159"/>
      <c r="N1578" s="94"/>
    </row>
    <row r="1579">
      <c r="A1579" s="107">
        <v>202397.0</v>
      </c>
      <c r="B1579" s="108" t="s">
        <v>193</v>
      </c>
      <c r="C1579" s="108" t="s">
        <v>516</v>
      </c>
      <c r="D1579" s="100" t="str">
        <f t="shared" si="1"/>
        <v/>
      </c>
      <c r="E1579" s="100" t="str">
        <f t="shared" si="2"/>
        <v/>
      </c>
      <c r="F1579" s="100" t="str">
        <f t="shared" si="3"/>
        <v/>
      </c>
      <c r="G1579" s="151"/>
      <c r="H1579" s="156"/>
      <c r="I1579" s="157"/>
      <c r="J1579" s="158"/>
      <c r="L1579" s="94"/>
      <c r="M1579" s="159"/>
      <c r="N1579" s="94"/>
    </row>
    <row r="1580">
      <c r="A1580" s="107">
        <v>202397.0</v>
      </c>
      <c r="B1580" s="108" t="s">
        <v>243</v>
      </c>
      <c r="C1580" s="108" t="s">
        <v>516</v>
      </c>
      <c r="D1580" s="100" t="str">
        <f t="shared" si="1"/>
        <v/>
      </c>
      <c r="E1580" s="100" t="str">
        <f t="shared" si="2"/>
        <v/>
      </c>
      <c r="F1580" s="100" t="str">
        <f t="shared" si="3"/>
        <v/>
      </c>
      <c r="G1580" s="151"/>
      <c r="H1580" s="160"/>
      <c r="I1580" s="157"/>
      <c r="J1580" s="161"/>
      <c r="L1580" s="94"/>
      <c r="M1580" s="159"/>
      <c r="N1580" s="94"/>
    </row>
    <row r="1581">
      <c r="A1581" s="107">
        <v>202397.0</v>
      </c>
      <c r="B1581" s="108" t="s">
        <v>215</v>
      </c>
      <c r="C1581" s="108" t="s">
        <v>516</v>
      </c>
      <c r="D1581" s="100" t="str">
        <f t="shared" si="1"/>
        <v/>
      </c>
      <c r="E1581" s="100" t="str">
        <f t="shared" si="2"/>
        <v/>
      </c>
      <c r="F1581" s="100" t="str">
        <f t="shared" si="3"/>
        <v/>
      </c>
      <c r="G1581" s="151"/>
      <c r="H1581" s="156"/>
      <c r="I1581" s="157"/>
      <c r="J1581" s="158"/>
      <c r="L1581" s="94"/>
      <c r="M1581" s="159"/>
      <c r="N1581" s="94"/>
    </row>
    <row r="1582">
      <c r="A1582" s="107">
        <v>202397.0</v>
      </c>
      <c r="B1582" s="108" t="s">
        <v>244</v>
      </c>
      <c r="C1582" s="108" t="s">
        <v>516</v>
      </c>
      <c r="D1582" s="100" t="str">
        <f t="shared" si="1"/>
        <v/>
      </c>
      <c r="E1582" s="100" t="str">
        <f t="shared" si="2"/>
        <v/>
      </c>
      <c r="F1582" s="100" t="str">
        <f t="shared" si="3"/>
        <v/>
      </c>
      <c r="G1582" s="151"/>
      <c r="H1582" s="160"/>
      <c r="I1582" s="157"/>
      <c r="J1582" s="161"/>
      <c r="L1582" s="94"/>
      <c r="M1582" s="159"/>
      <c r="N1582" s="94"/>
    </row>
    <row r="1583">
      <c r="A1583" s="107">
        <v>202397.0</v>
      </c>
      <c r="B1583" s="108" t="s">
        <v>245</v>
      </c>
      <c r="C1583" s="108" t="s">
        <v>516</v>
      </c>
      <c r="D1583" s="100" t="str">
        <f t="shared" si="1"/>
        <v/>
      </c>
      <c r="E1583" s="100" t="str">
        <f t="shared" si="2"/>
        <v/>
      </c>
      <c r="F1583" s="100" t="str">
        <f t="shared" si="3"/>
        <v/>
      </c>
      <c r="G1583" s="151"/>
      <c r="H1583" s="156"/>
      <c r="I1583" s="157"/>
      <c r="J1583" s="158"/>
      <c r="L1583" s="94"/>
      <c r="M1583" s="159"/>
      <c r="N1583" s="94"/>
    </row>
    <row r="1584">
      <c r="A1584" s="107">
        <v>202399.0</v>
      </c>
      <c r="B1584" s="108" t="s">
        <v>85</v>
      </c>
      <c r="C1584" s="108" t="s">
        <v>517</v>
      </c>
      <c r="D1584" s="100" t="str">
        <f t="shared" si="1"/>
        <v/>
      </c>
      <c r="E1584" s="100" t="str">
        <f t="shared" si="2"/>
        <v/>
      </c>
      <c r="F1584" s="100" t="str">
        <f t="shared" si="3"/>
        <v/>
      </c>
      <c r="G1584" s="151"/>
      <c r="H1584" s="160"/>
      <c r="I1584" s="157"/>
      <c r="J1584" s="161"/>
      <c r="L1584" s="94"/>
      <c r="M1584" s="159"/>
      <c r="N1584" s="94"/>
    </row>
    <row r="1585">
      <c r="A1585" s="107">
        <v>202399.0</v>
      </c>
      <c r="B1585" s="108" t="s">
        <v>90</v>
      </c>
      <c r="C1585" s="108" t="s">
        <v>517</v>
      </c>
      <c r="D1585" s="100" t="str">
        <f t="shared" si="1"/>
        <v/>
      </c>
      <c r="E1585" s="100" t="str">
        <f t="shared" si="2"/>
        <v/>
      </c>
      <c r="F1585" s="100" t="str">
        <f t="shared" si="3"/>
        <v/>
      </c>
      <c r="G1585" s="151"/>
      <c r="H1585" s="156"/>
      <c r="I1585" s="157"/>
      <c r="J1585" s="158"/>
      <c r="L1585" s="94"/>
      <c r="M1585" s="159"/>
      <c r="N1585" s="94"/>
    </row>
    <row r="1586">
      <c r="A1586" s="107">
        <v>202407.0</v>
      </c>
      <c r="B1586" s="108" t="s">
        <v>90</v>
      </c>
      <c r="C1586" s="108" t="s">
        <v>518</v>
      </c>
      <c r="D1586" s="100" t="str">
        <f t="shared" si="1"/>
        <v/>
      </c>
      <c r="E1586" s="100" t="str">
        <f t="shared" si="2"/>
        <v/>
      </c>
      <c r="F1586" s="100" t="str">
        <f t="shared" si="3"/>
        <v/>
      </c>
      <c r="G1586" s="151"/>
      <c r="H1586" s="160"/>
      <c r="I1586" s="157"/>
      <c r="J1586" s="161"/>
      <c r="L1586" s="94"/>
      <c r="M1586" s="159"/>
      <c r="N1586" s="94"/>
    </row>
    <row r="1587">
      <c r="A1587" s="107">
        <v>202407.0</v>
      </c>
      <c r="B1587" s="108" t="s">
        <v>92</v>
      </c>
      <c r="C1587" s="108" t="s">
        <v>518</v>
      </c>
      <c r="D1587" s="100" t="str">
        <f t="shared" si="1"/>
        <v/>
      </c>
      <c r="E1587" s="100" t="str">
        <f t="shared" si="2"/>
        <v/>
      </c>
      <c r="F1587" s="100" t="str">
        <f t="shared" si="3"/>
        <v/>
      </c>
      <c r="G1587" s="151"/>
      <c r="H1587" s="156"/>
      <c r="I1587" s="157"/>
      <c r="J1587" s="158"/>
      <c r="L1587" s="94"/>
      <c r="M1587" s="159"/>
      <c r="N1587" s="94"/>
    </row>
    <row r="1588">
      <c r="A1588" s="107">
        <v>202407.0</v>
      </c>
      <c r="B1588" s="108" t="s">
        <v>190</v>
      </c>
      <c r="C1588" s="108" t="s">
        <v>518</v>
      </c>
      <c r="D1588" s="100" t="str">
        <f t="shared" si="1"/>
        <v/>
      </c>
      <c r="E1588" s="100" t="str">
        <f t="shared" si="2"/>
        <v/>
      </c>
      <c r="F1588" s="100" t="str">
        <f t="shared" si="3"/>
        <v/>
      </c>
      <c r="G1588" s="151"/>
      <c r="H1588" s="160"/>
      <c r="I1588" s="157"/>
      <c r="J1588" s="161"/>
      <c r="L1588" s="94"/>
      <c r="M1588" s="159"/>
      <c r="N1588" s="94"/>
    </row>
    <row r="1589">
      <c r="A1589" s="107">
        <v>202412.0</v>
      </c>
      <c r="B1589" s="108" t="s">
        <v>85</v>
      </c>
      <c r="C1589" s="108" t="s">
        <v>519</v>
      </c>
      <c r="D1589" s="100" t="str">
        <f t="shared" si="1"/>
        <v/>
      </c>
      <c r="E1589" s="100" t="str">
        <f t="shared" si="2"/>
        <v/>
      </c>
      <c r="F1589" s="100" t="str">
        <f t="shared" si="3"/>
        <v/>
      </c>
      <c r="G1589" s="151"/>
      <c r="H1589" s="156"/>
      <c r="I1589" s="157"/>
      <c r="J1589" s="158"/>
      <c r="L1589" s="94"/>
      <c r="M1589" s="159"/>
      <c r="N1589" s="94"/>
    </row>
    <row r="1590">
      <c r="A1590" s="107">
        <v>202412.0</v>
      </c>
      <c r="B1590" s="108" t="s">
        <v>190</v>
      </c>
      <c r="C1590" s="108" t="s">
        <v>519</v>
      </c>
      <c r="D1590" s="100" t="str">
        <f t="shared" si="1"/>
        <v/>
      </c>
      <c r="E1590" s="100" t="str">
        <f t="shared" si="2"/>
        <v/>
      </c>
      <c r="F1590" s="100" t="str">
        <f t="shared" si="3"/>
        <v/>
      </c>
      <c r="G1590" s="151"/>
      <c r="H1590" s="160"/>
      <c r="I1590" s="157"/>
      <c r="J1590" s="161"/>
      <c r="L1590" s="94"/>
      <c r="M1590" s="159"/>
      <c r="N1590" s="94"/>
    </row>
    <row r="1591">
      <c r="A1591" s="107">
        <v>202498.0</v>
      </c>
      <c r="B1591" s="108" t="s">
        <v>85</v>
      </c>
      <c r="C1591" s="108" t="s">
        <v>520</v>
      </c>
      <c r="D1591" s="100" t="str">
        <f t="shared" si="1"/>
        <v/>
      </c>
      <c r="E1591" s="100" t="str">
        <f t="shared" si="2"/>
        <v/>
      </c>
      <c r="F1591" s="100" t="str">
        <f t="shared" si="3"/>
        <v/>
      </c>
      <c r="G1591" s="151"/>
      <c r="H1591" s="156"/>
      <c r="I1591" s="157"/>
      <c r="J1591" s="158"/>
      <c r="L1591" s="94"/>
      <c r="M1591" s="159"/>
      <c r="N1591" s="94"/>
    </row>
    <row r="1592">
      <c r="A1592" s="107">
        <v>202498.0</v>
      </c>
      <c r="B1592" s="108" t="s">
        <v>90</v>
      </c>
      <c r="C1592" s="108" t="s">
        <v>520</v>
      </c>
      <c r="D1592" s="100" t="str">
        <f t="shared" si="1"/>
        <v/>
      </c>
      <c r="E1592" s="100" t="str">
        <f t="shared" si="2"/>
        <v/>
      </c>
      <c r="F1592" s="100" t="str">
        <f t="shared" si="3"/>
        <v/>
      </c>
      <c r="G1592" s="151"/>
      <c r="H1592" s="160"/>
      <c r="I1592" s="157"/>
      <c r="J1592" s="161"/>
      <c r="L1592" s="94"/>
      <c r="M1592" s="159"/>
      <c r="N1592" s="94"/>
    </row>
    <row r="1593">
      <c r="A1593" s="107">
        <v>202498.0</v>
      </c>
      <c r="B1593" s="108" t="s">
        <v>92</v>
      </c>
      <c r="C1593" s="108" t="s">
        <v>520</v>
      </c>
      <c r="D1593" s="100" t="str">
        <f t="shared" si="1"/>
        <v/>
      </c>
      <c r="E1593" s="100" t="str">
        <f t="shared" si="2"/>
        <v/>
      </c>
      <c r="F1593" s="100" t="str">
        <f t="shared" si="3"/>
        <v/>
      </c>
      <c r="G1593" s="151"/>
      <c r="H1593" s="156"/>
      <c r="I1593" s="157"/>
      <c r="J1593" s="158"/>
      <c r="L1593" s="94"/>
      <c r="M1593" s="159"/>
      <c r="N1593" s="94"/>
    </row>
    <row r="1594">
      <c r="A1594" s="107">
        <v>202498.0</v>
      </c>
      <c r="B1594" s="108" t="s">
        <v>190</v>
      </c>
      <c r="C1594" s="108" t="s">
        <v>520</v>
      </c>
      <c r="D1594" s="100" t="str">
        <f t="shared" si="1"/>
        <v/>
      </c>
      <c r="E1594" s="100" t="str">
        <f t="shared" si="2"/>
        <v/>
      </c>
      <c r="F1594" s="100" t="str">
        <f t="shared" si="3"/>
        <v/>
      </c>
      <c r="G1594" s="151"/>
      <c r="H1594" s="160"/>
      <c r="I1594" s="157"/>
      <c r="J1594" s="161"/>
      <c r="L1594" s="94"/>
      <c r="M1594" s="159"/>
      <c r="N1594" s="94"/>
    </row>
    <row r="1595">
      <c r="A1595" s="107">
        <v>202498.0</v>
      </c>
      <c r="B1595" s="108" t="s">
        <v>191</v>
      </c>
      <c r="C1595" s="108" t="s">
        <v>520</v>
      </c>
      <c r="D1595" s="100" t="str">
        <f t="shared" si="1"/>
        <v/>
      </c>
      <c r="E1595" s="100" t="str">
        <f t="shared" si="2"/>
        <v/>
      </c>
      <c r="F1595" s="100" t="str">
        <f t="shared" si="3"/>
        <v/>
      </c>
      <c r="G1595" s="151"/>
      <c r="H1595" s="156"/>
      <c r="I1595" s="157"/>
      <c r="J1595" s="158"/>
      <c r="L1595" s="94"/>
      <c r="M1595" s="159"/>
      <c r="N1595" s="94"/>
    </row>
    <row r="1596">
      <c r="A1596" s="107">
        <v>202498.0</v>
      </c>
      <c r="B1596" s="108" t="s">
        <v>192</v>
      </c>
      <c r="C1596" s="108" t="s">
        <v>520</v>
      </c>
      <c r="D1596" s="100" t="str">
        <f t="shared" si="1"/>
        <v/>
      </c>
      <c r="E1596" s="100" t="str">
        <f t="shared" si="2"/>
        <v/>
      </c>
      <c r="F1596" s="100" t="str">
        <f t="shared" si="3"/>
        <v/>
      </c>
      <c r="G1596" s="151"/>
      <c r="H1596" s="160"/>
      <c r="I1596" s="157"/>
      <c r="J1596" s="161"/>
      <c r="L1596" s="94"/>
      <c r="M1596" s="159"/>
      <c r="N1596" s="94"/>
    </row>
    <row r="1597">
      <c r="A1597" s="107">
        <v>202498.0</v>
      </c>
      <c r="B1597" s="108" t="s">
        <v>193</v>
      </c>
      <c r="C1597" s="108" t="s">
        <v>520</v>
      </c>
      <c r="D1597" s="100" t="str">
        <f t="shared" si="1"/>
        <v/>
      </c>
      <c r="E1597" s="100" t="str">
        <f t="shared" si="2"/>
        <v/>
      </c>
      <c r="F1597" s="100" t="str">
        <f t="shared" si="3"/>
        <v/>
      </c>
      <c r="G1597" s="151"/>
      <c r="H1597" s="156"/>
      <c r="I1597" s="157"/>
      <c r="J1597" s="158"/>
      <c r="L1597" s="94"/>
      <c r="M1597" s="159"/>
      <c r="N1597" s="94"/>
    </row>
    <row r="1598">
      <c r="A1598" s="107">
        <v>202620.0</v>
      </c>
      <c r="B1598" s="108" t="s">
        <v>85</v>
      </c>
      <c r="C1598" s="108" t="s">
        <v>521</v>
      </c>
      <c r="D1598" s="100" t="str">
        <f t="shared" si="1"/>
        <v/>
      </c>
      <c r="E1598" s="100" t="str">
        <f t="shared" si="2"/>
        <v/>
      </c>
      <c r="F1598" s="100" t="str">
        <f t="shared" si="3"/>
        <v/>
      </c>
      <c r="G1598" s="151"/>
      <c r="H1598" s="160"/>
      <c r="I1598" s="157"/>
      <c r="J1598" s="161"/>
      <c r="L1598" s="94"/>
      <c r="M1598" s="159"/>
      <c r="N1598" s="94"/>
    </row>
    <row r="1599">
      <c r="A1599" s="107">
        <v>202620.0</v>
      </c>
      <c r="B1599" s="108" t="s">
        <v>90</v>
      </c>
      <c r="C1599" s="108" t="s">
        <v>521</v>
      </c>
      <c r="D1599" s="100" t="str">
        <f t="shared" si="1"/>
        <v/>
      </c>
      <c r="E1599" s="100" t="str">
        <f t="shared" si="2"/>
        <v/>
      </c>
      <c r="F1599" s="100" t="str">
        <f t="shared" si="3"/>
        <v/>
      </c>
      <c r="G1599" s="151"/>
      <c r="H1599" s="156"/>
      <c r="I1599" s="157"/>
      <c r="J1599" s="158"/>
      <c r="L1599" s="94"/>
      <c r="M1599" s="159"/>
      <c r="N1599" s="94"/>
    </row>
    <row r="1600">
      <c r="A1600" s="107">
        <v>202620.0</v>
      </c>
      <c r="B1600" s="108" t="s">
        <v>190</v>
      </c>
      <c r="C1600" s="108" t="s">
        <v>521</v>
      </c>
      <c r="D1600" s="100" t="str">
        <f t="shared" si="1"/>
        <v/>
      </c>
      <c r="E1600" s="100" t="str">
        <f t="shared" si="2"/>
        <v/>
      </c>
      <c r="F1600" s="100" t="str">
        <f t="shared" si="3"/>
        <v/>
      </c>
      <c r="G1600" s="151"/>
      <c r="H1600" s="160"/>
      <c r="I1600" s="157"/>
      <c r="J1600" s="161"/>
      <c r="L1600" s="94"/>
      <c r="M1600" s="159"/>
      <c r="N1600" s="94"/>
    </row>
    <row r="1601">
      <c r="A1601" s="107">
        <v>202681.0</v>
      </c>
      <c r="B1601" s="108" t="s">
        <v>85</v>
      </c>
      <c r="C1601" s="108" t="s">
        <v>522</v>
      </c>
      <c r="D1601" s="100" t="str">
        <f t="shared" si="1"/>
        <v/>
      </c>
      <c r="E1601" s="100" t="str">
        <f t="shared" si="2"/>
        <v/>
      </c>
      <c r="F1601" s="100" t="str">
        <f t="shared" si="3"/>
        <v/>
      </c>
      <c r="G1601" s="151"/>
      <c r="H1601" s="156"/>
      <c r="I1601" s="157"/>
      <c r="J1601" s="158"/>
      <c r="L1601" s="94"/>
      <c r="M1601" s="159"/>
      <c r="N1601" s="94"/>
    </row>
    <row r="1602">
      <c r="A1602" s="107">
        <v>202681.0</v>
      </c>
      <c r="B1602" s="108" t="s">
        <v>90</v>
      </c>
      <c r="C1602" s="108" t="s">
        <v>522</v>
      </c>
      <c r="D1602" s="100" t="str">
        <f t="shared" si="1"/>
        <v/>
      </c>
      <c r="E1602" s="100" t="str">
        <f t="shared" si="2"/>
        <v/>
      </c>
      <c r="F1602" s="100" t="str">
        <f t="shared" si="3"/>
        <v/>
      </c>
      <c r="G1602" s="151"/>
      <c r="H1602" s="160"/>
      <c r="I1602" s="157"/>
      <c r="J1602" s="161"/>
      <c r="L1602" s="94"/>
      <c r="M1602" s="159"/>
      <c r="N1602" s="94"/>
    </row>
    <row r="1603">
      <c r="A1603" s="107">
        <v>202681.0</v>
      </c>
      <c r="B1603" s="108" t="s">
        <v>92</v>
      </c>
      <c r="C1603" s="108" t="s">
        <v>522</v>
      </c>
      <c r="D1603" s="100" t="str">
        <f t="shared" si="1"/>
        <v/>
      </c>
      <c r="E1603" s="100" t="str">
        <f t="shared" si="2"/>
        <v/>
      </c>
      <c r="F1603" s="100" t="str">
        <f t="shared" si="3"/>
        <v/>
      </c>
      <c r="G1603" s="151"/>
      <c r="H1603" s="156"/>
      <c r="I1603" s="162"/>
      <c r="J1603" s="158"/>
      <c r="L1603" s="94"/>
      <c r="M1603" s="159"/>
      <c r="N1603" s="94"/>
    </row>
    <row r="1604">
      <c r="A1604" s="107">
        <v>202681.0</v>
      </c>
      <c r="B1604" s="108" t="s">
        <v>190</v>
      </c>
      <c r="C1604" s="108" t="s">
        <v>522</v>
      </c>
      <c r="D1604" s="100" t="str">
        <f t="shared" si="1"/>
        <v/>
      </c>
      <c r="E1604" s="100" t="str">
        <f t="shared" si="2"/>
        <v/>
      </c>
      <c r="F1604" s="100" t="str">
        <f t="shared" si="3"/>
        <v/>
      </c>
      <c r="G1604" s="151"/>
      <c r="H1604" s="160"/>
      <c r="I1604" s="157"/>
      <c r="J1604" s="161"/>
      <c r="L1604" s="94"/>
      <c r="M1604" s="159"/>
      <c r="N1604" s="94"/>
    </row>
    <row r="1605">
      <c r="A1605" s="107">
        <v>202681.0</v>
      </c>
      <c r="B1605" s="108" t="s">
        <v>191</v>
      </c>
      <c r="C1605" s="108" t="s">
        <v>522</v>
      </c>
      <c r="D1605" s="100" t="str">
        <f t="shared" si="1"/>
        <v/>
      </c>
      <c r="E1605" s="100" t="str">
        <f t="shared" si="2"/>
        <v/>
      </c>
      <c r="F1605" s="100" t="str">
        <f t="shared" si="3"/>
        <v/>
      </c>
      <c r="G1605" s="151"/>
      <c r="H1605" s="156"/>
      <c r="I1605" s="157"/>
      <c r="J1605" s="158"/>
      <c r="L1605" s="94"/>
      <c r="M1605" s="159"/>
      <c r="N1605" s="94"/>
    </row>
    <row r="1606">
      <c r="A1606" s="107">
        <v>202681.0</v>
      </c>
      <c r="B1606" s="108" t="s">
        <v>192</v>
      </c>
      <c r="C1606" s="108" t="s">
        <v>522</v>
      </c>
      <c r="D1606" s="100" t="str">
        <f t="shared" si="1"/>
        <v/>
      </c>
      <c r="E1606" s="100" t="str">
        <f t="shared" si="2"/>
        <v/>
      </c>
      <c r="F1606" s="100" t="str">
        <f t="shared" si="3"/>
        <v/>
      </c>
      <c r="G1606" s="151"/>
      <c r="H1606" s="160"/>
      <c r="I1606" s="157"/>
      <c r="J1606" s="161"/>
      <c r="L1606" s="94"/>
      <c r="M1606" s="159"/>
      <c r="N1606" s="94"/>
    </row>
    <row r="1607">
      <c r="A1607" s="107">
        <v>202681.0</v>
      </c>
      <c r="B1607" s="108" t="s">
        <v>193</v>
      </c>
      <c r="C1607" s="108" t="s">
        <v>522</v>
      </c>
      <c r="D1607" s="100" t="str">
        <f t="shared" si="1"/>
        <v/>
      </c>
      <c r="E1607" s="100" t="str">
        <f t="shared" si="2"/>
        <v/>
      </c>
      <c r="F1607" s="100" t="str">
        <f t="shared" si="3"/>
        <v/>
      </c>
      <c r="G1607" s="151"/>
      <c r="H1607" s="156"/>
      <c r="I1607" s="157"/>
      <c r="J1607" s="158"/>
      <c r="L1607" s="94"/>
      <c r="M1607" s="159"/>
      <c r="N1607" s="94"/>
    </row>
    <row r="1608">
      <c r="A1608" s="107">
        <v>202681.0</v>
      </c>
      <c r="B1608" s="108" t="s">
        <v>243</v>
      </c>
      <c r="C1608" s="108" t="s">
        <v>522</v>
      </c>
      <c r="D1608" s="100" t="str">
        <f t="shared" si="1"/>
        <v/>
      </c>
      <c r="E1608" s="100" t="str">
        <f t="shared" si="2"/>
        <v/>
      </c>
      <c r="F1608" s="100" t="str">
        <f t="shared" si="3"/>
        <v/>
      </c>
      <c r="G1608" s="151"/>
      <c r="H1608" s="160"/>
      <c r="I1608" s="157"/>
      <c r="J1608" s="161"/>
      <c r="L1608" s="94"/>
      <c r="M1608" s="159"/>
      <c r="N1608" s="94"/>
    </row>
    <row r="1609">
      <c r="A1609" s="107">
        <v>202681.0</v>
      </c>
      <c r="B1609" s="108" t="s">
        <v>215</v>
      </c>
      <c r="C1609" s="108" t="s">
        <v>522</v>
      </c>
      <c r="D1609" s="100" t="str">
        <f t="shared" si="1"/>
        <v/>
      </c>
      <c r="E1609" s="100" t="str">
        <f t="shared" si="2"/>
        <v/>
      </c>
      <c r="F1609" s="100" t="str">
        <f t="shared" si="3"/>
        <v/>
      </c>
      <c r="G1609" s="151"/>
      <c r="H1609" s="156"/>
      <c r="I1609" s="157"/>
      <c r="J1609" s="158"/>
      <c r="L1609" s="94"/>
      <c r="M1609" s="159"/>
      <c r="N1609" s="94"/>
    </row>
    <row r="1610">
      <c r="A1610" s="107">
        <v>202681.0</v>
      </c>
      <c r="B1610" s="108" t="s">
        <v>244</v>
      </c>
      <c r="C1610" s="108" t="s">
        <v>522</v>
      </c>
      <c r="D1610" s="100" t="str">
        <f t="shared" si="1"/>
        <v/>
      </c>
      <c r="E1610" s="100" t="str">
        <f t="shared" si="2"/>
        <v/>
      </c>
      <c r="F1610" s="100" t="str">
        <f t="shared" si="3"/>
        <v/>
      </c>
      <c r="G1610" s="151"/>
      <c r="H1610" s="160"/>
      <c r="I1610" s="157"/>
      <c r="J1610" s="161"/>
      <c r="L1610" s="94"/>
      <c r="M1610" s="159"/>
      <c r="N1610" s="94"/>
    </row>
    <row r="1611">
      <c r="A1611" s="107">
        <v>202681.0</v>
      </c>
      <c r="B1611" s="108" t="s">
        <v>245</v>
      </c>
      <c r="C1611" s="108" t="s">
        <v>522</v>
      </c>
      <c r="D1611" s="100" t="str">
        <f t="shared" si="1"/>
        <v/>
      </c>
      <c r="E1611" s="100" t="str">
        <f t="shared" si="2"/>
        <v/>
      </c>
      <c r="F1611" s="100" t="str">
        <f t="shared" si="3"/>
        <v/>
      </c>
      <c r="G1611" s="151"/>
      <c r="H1611" s="156"/>
      <c r="I1611" s="157"/>
      <c r="J1611" s="158"/>
      <c r="L1611" s="94"/>
      <c r="M1611" s="159"/>
      <c r="N1611" s="94"/>
    </row>
    <row r="1612">
      <c r="A1612" s="107">
        <v>202681.0</v>
      </c>
      <c r="B1612" s="108" t="s">
        <v>246</v>
      </c>
      <c r="C1612" s="108" t="s">
        <v>522</v>
      </c>
      <c r="D1612" s="100" t="str">
        <f t="shared" si="1"/>
        <v/>
      </c>
      <c r="E1612" s="100" t="str">
        <f t="shared" si="2"/>
        <v/>
      </c>
      <c r="F1612" s="100" t="str">
        <f t="shared" si="3"/>
        <v/>
      </c>
      <c r="G1612" s="151"/>
      <c r="H1612" s="160"/>
      <c r="I1612" s="157"/>
      <c r="J1612" s="161"/>
      <c r="L1612" s="94"/>
      <c r="M1612" s="159"/>
      <c r="N1612" s="94"/>
    </row>
    <row r="1613">
      <c r="A1613" s="163">
        <v>202682.0</v>
      </c>
      <c r="B1613" s="164" t="s">
        <v>85</v>
      </c>
      <c r="C1613" s="164" t="s">
        <v>523</v>
      </c>
      <c r="D1613" s="100" t="str">
        <f t="shared" si="1"/>
        <v/>
      </c>
      <c r="E1613" s="100" t="str">
        <f t="shared" si="2"/>
        <v/>
      </c>
      <c r="F1613" s="100" t="str">
        <f t="shared" si="3"/>
        <v/>
      </c>
      <c r="G1613" s="151"/>
      <c r="H1613" s="156"/>
      <c r="I1613" s="157"/>
      <c r="J1613" s="158"/>
      <c r="L1613" s="94"/>
      <c r="M1613" s="159"/>
      <c r="N1613" s="94"/>
    </row>
    <row r="1614">
      <c r="A1614" s="107">
        <v>202682.0</v>
      </c>
      <c r="B1614" s="108" t="s">
        <v>90</v>
      </c>
      <c r="C1614" s="108" t="s">
        <v>523</v>
      </c>
      <c r="D1614" s="100" t="str">
        <f t="shared" si="1"/>
        <v/>
      </c>
      <c r="E1614" s="100" t="str">
        <f t="shared" si="2"/>
        <v/>
      </c>
      <c r="F1614" s="100" t="str">
        <f t="shared" si="3"/>
        <v/>
      </c>
      <c r="G1614" s="151"/>
      <c r="H1614" s="160"/>
      <c r="I1614" s="157"/>
      <c r="J1614" s="161"/>
      <c r="L1614" s="94"/>
      <c r="M1614" s="159"/>
      <c r="N1614" s="94"/>
    </row>
    <row r="1615">
      <c r="A1615" s="107">
        <v>202682.0</v>
      </c>
      <c r="B1615" s="108" t="s">
        <v>92</v>
      </c>
      <c r="C1615" s="108" t="s">
        <v>523</v>
      </c>
      <c r="D1615" s="100" t="str">
        <f t="shared" si="1"/>
        <v/>
      </c>
      <c r="E1615" s="100" t="str">
        <f t="shared" si="2"/>
        <v/>
      </c>
      <c r="F1615" s="100" t="str">
        <f t="shared" si="3"/>
        <v/>
      </c>
      <c r="G1615" s="151"/>
      <c r="H1615" s="156"/>
      <c r="I1615" s="157"/>
      <c r="J1615" s="158"/>
      <c r="L1615" s="94"/>
      <c r="M1615" s="159"/>
      <c r="N1615" s="94"/>
    </row>
    <row r="1616">
      <c r="A1616" s="107">
        <v>202682.0</v>
      </c>
      <c r="B1616" s="108" t="s">
        <v>190</v>
      </c>
      <c r="C1616" s="108" t="s">
        <v>523</v>
      </c>
      <c r="D1616" s="100" t="str">
        <f t="shared" si="1"/>
        <v/>
      </c>
      <c r="E1616" s="100" t="str">
        <f t="shared" si="2"/>
        <v/>
      </c>
      <c r="F1616" s="100" t="str">
        <f t="shared" si="3"/>
        <v/>
      </c>
      <c r="G1616" s="151"/>
      <c r="H1616" s="160"/>
      <c r="I1616" s="157"/>
      <c r="J1616" s="161"/>
      <c r="L1616" s="94"/>
      <c r="M1616" s="159"/>
      <c r="N1616" s="94"/>
    </row>
    <row r="1617">
      <c r="A1617" s="107">
        <v>202682.0</v>
      </c>
      <c r="B1617" s="108" t="s">
        <v>191</v>
      </c>
      <c r="C1617" s="108" t="s">
        <v>523</v>
      </c>
      <c r="D1617" s="100" t="str">
        <f t="shared" si="1"/>
        <v/>
      </c>
      <c r="E1617" s="100" t="str">
        <f t="shared" si="2"/>
        <v/>
      </c>
      <c r="F1617" s="100" t="str">
        <f t="shared" si="3"/>
        <v/>
      </c>
      <c r="G1617" s="151"/>
      <c r="H1617" s="156"/>
      <c r="I1617" s="157"/>
      <c r="J1617" s="158"/>
      <c r="L1617" s="94"/>
      <c r="M1617" s="159"/>
      <c r="N1617" s="94"/>
    </row>
    <row r="1618">
      <c r="A1618" s="107">
        <v>202683.0</v>
      </c>
      <c r="B1618" s="108" t="s">
        <v>85</v>
      </c>
      <c r="C1618" s="108" t="s">
        <v>524</v>
      </c>
      <c r="D1618" s="100" t="str">
        <f t="shared" si="1"/>
        <v/>
      </c>
      <c r="E1618" s="100" t="str">
        <f t="shared" si="2"/>
        <v/>
      </c>
      <c r="F1618" s="100" t="str">
        <f t="shared" si="3"/>
        <v/>
      </c>
      <c r="G1618" s="151"/>
      <c r="H1618" s="160"/>
      <c r="I1618" s="157"/>
      <c r="J1618" s="161"/>
      <c r="L1618" s="94"/>
      <c r="M1618" s="159"/>
      <c r="N1618" s="94"/>
    </row>
    <row r="1619">
      <c r="A1619" s="107">
        <v>202683.0</v>
      </c>
      <c r="B1619" s="108" t="s">
        <v>90</v>
      </c>
      <c r="C1619" s="108" t="s">
        <v>524</v>
      </c>
      <c r="D1619" s="100" t="str">
        <f t="shared" si="1"/>
        <v/>
      </c>
      <c r="E1619" s="100" t="str">
        <f t="shared" si="2"/>
        <v/>
      </c>
      <c r="F1619" s="100" t="str">
        <f t="shared" si="3"/>
        <v/>
      </c>
      <c r="G1619" s="151"/>
      <c r="H1619" s="156"/>
      <c r="I1619" s="157"/>
      <c r="J1619" s="158"/>
      <c r="L1619" s="94"/>
      <c r="M1619" s="159"/>
      <c r="N1619" s="94"/>
    </row>
    <row r="1620">
      <c r="A1620" s="107">
        <v>202683.0</v>
      </c>
      <c r="B1620" s="108" t="s">
        <v>92</v>
      </c>
      <c r="C1620" s="108" t="s">
        <v>524</v>
      </c>
      <c r="D1620" s="100" t="str">
        <f t="shared" si="1"/>
        <v/>
      </c>
      <c r="E1620" s="100" t="str">
        <f t="shared" si="2"/>
        <v/>
      </c>
      <c r="F1620" s="100" t="str">
        <f t="shared" si="3"/>
        <v/>
      </c>
      <c r="G1620" s="151"/>
      <c r="H1620" s="160"/>
      <c r="I1620" s="157"/>
      <c r="J1620" s="161"/>
      <c r="L1620" s="94"/>
      <c r="M1620" s="159"/>
      <c r="N1620" s="94"/>
    </row>
    <row r="1621">
      <c r="A1621" s="107">
        <v>202683.0</v>
      </c>
      <c r="B1621" s="108" t="s">
        <v>190</v>
      </c>
      <c r="C1621" s="108" t="s">
        <v>524</v>
      </c>
      <c r="D1621" s="100" t="str">
        <f t="shared" si="1"/>
        <v/>
      </c>
      <c r="E1621" s="100" t="str">
        <f t="shared" si="2"/>
        <v/>
      </c>
      <c r="F1621" s="100" t="str">
        <f t="shared" si="3"/>
        <v/>
      </c>
      <c r="G1621" s="151"/>
      <c r="H1621" s="156"/>
      <c r="I1621" s="157"/>
      <c r="J1621" s="158"/>
      <c r="L1621" s="94"/>
      <c r="M1621" s="159"/>
      <c r="N1621" s="94"/>
    </row>
    <row r="1622">
      <c r="A1622" s="107">
        <v>202683.0</v>
      </c>
      <c r="B1622" s="108" t="s">
        <v>191</v>
      </c>
      <c r="C1622" s="108" t="s">
        <v>524</v>
      </c>
      <c r="D1622" s="100" t="str">
        <f t="shared" si="1"/>
        <v/>
      </c>
      <c r="E1622" s="100" t="str">
        <f t="shared" si="2"/>
        <v/>
      </c>
      <c r="F1622" s="100" t="str">
        <f t="shared" si="3"/>
        <v/>
      </c>
      <c r="G1622" s="151"/>
      <c r="H1622" s="160"/>
      <c r="I1622" s="157"/>
      <c r="J1622" s="161"/>
      <c r="L1622" s="94"/>
      <c r="M1622" s="159"/>
      <c r="N1622" s="94"/>
    </row>
    <row r="1623">
      <c r="A1623" s="107">
        <v>202683.0</v>
      </c>
      <c r="B1623" s="108" t="s">
        <v>192</v>
      </c>
      <c r="C1623" s="108" t="s">
        <v>524</v>
      </c>
      <c r="D1623" s="100" t="str">
        <f t="shared" si="1"/>
        <v/>
      </c>
      <c r="E1623" s="100" t="str">
        <f t="shared" si="2"/>
        <v/>
      </c>
      <c r="F1623" s="100" t="str">
        <f t="shared" si="3"/>
        <v/>
      </c>
      <c r="G1623" s="151"/>
      <c r="H1623" s="156"/>
      <c r="I1623" s="157"/>
      <c r="J1623" s="158"/>
      <c r="L1623" s="94"/>
      <c r="M1623" s="159"/>
      <c r="N1623" s="94"/>
    </row>
    <row r="1624">
      <c r="A1624" s="107">
        <v>202683.0</v>
      </c>
      <c r="B1624" s="108" t="s">
        <v>193</v>
      </c>
      <c r="C1624" s="108" t="s">
        <v>524</v>
      </c>
      <c r="D1624" s="100" t="str">
        <f t="shared" si="1"/>
        <v/>
      </c>
      <c r="E1624" s="100" t="str">
        <f t="shared" si="2"/>
        <v/>
      </c>
      <c r="F1624" s="100" t="str">
        <f t="shared" si="3"/>
        <v/>
      </c>
      <c r="G1624" s="151"/>
      <c r="H1624" s="160"/>
      <c r="I1624" s="157"/>
      <c r="J1624" s="161"/>
      <c r="L1624" s="94"/>
      <c r="M1624" s="159"/>
      <c r="N1624" s="94"/>
    </row>
    <row r="1625">
      <c r="A1625" s="107">
        <v>202683.0</v>
      </c>
      <c r="B1625" s="108" t="s">
        <v>243</v>
      </c>
      <c r="C1625" s="108" t="s">
        <v>524</v>
      </c>
      <c r="D1625" s="100" t="str">
        <f t="shared" si="1"/>
        <v/>
      </c>
      <c r="E1625" s="100" t="str">
        <f t="shared" si="2"/>
        <v/>
      </c>
      <c r="F1625" s="100" t="str">
        <f t="shared" si="3"/>
        <v/>
      </c>
      <c r="G1625" s="151"/>
      <c r="H1625" s="156"/>
      <c r="I1625" s="157"/>
      <c r="J1625" s="158"/>
      <c r="L1625" s="94"/>
      <c r="M1625" s="159"/>
      <c r="N1625" s="94"/>
    </row>
    <row r="1626">
      <c r="A1626" s="107">
        <v>202683.0</v>
      </c>
      <c r="B1626" s="108" t="s">
        <v>215</v>
      </c>
      <c r="C1626" s="108" t="s">
        <v>524</v>
      </c>
      <c r="D1626" s="100" t="str">
        <f t="shared" si="1"/>
        <v/>
      </c>
      <c r="E1626" s="100" t="str">
        <f t="shared" si="2"/>
        <v/>
      </c>
      <c r="F1626" s="100" t="str">
        <f t="shared" si="3"/>
        <v/>
      </c>
      <c r="G1626" s="151"/>
      <c r="H1626" s="160"/>
      <c r="I1626" s="157"/>
      <c r="J1626" s="161"/>
      <c r="L1626" s="94"/>
      <c r="M1626" s="159"/>
      <c r="N1626" s="94"/>
    </row>
    <row r="1627">
      <c r="A1627" s="107">
        <v>202684.0</v>
      </c>
      <c r="B1627" s="108" t="s">
        <v>85</v>
      </c>
      <c r="C1627" s="108" t="s">
        <v>525</v>
      </c>
      <c r="D1627" s="100" t="str">
        <f t="shared" si="1"/>
        <v/>
      </c>
      <c r="E1627" s="100" t="str">
        <f t="shared" si="2"/>
        <v/>
      </c>
      <c r="F1627" s="100" t="str">
        <f t="shared" si="3"/>
        <v/>
      </c>
      <c r="G1627" s="151"/>
      <c r="H1627" s="156"/>
      <c r="I1627" s="157"/>
      <c r="J1627" s="158"/>
      <c r="L1627" s="94"/>
      <c r="M1627" s="159"/>
      <c r="N1627" s="94"/>
    </row>
    <row r="1628">
      <c r="A1628" s="107">
        <v>202684.0</v>
      </c>
      <c r="B1628" s="108" t="s">
        <v>90</v>
      </c>
      <c r="C1628" s="108" t="s">
        <v>525</v>
      </c>
      <c r="D1628" s="100" t="str">
        <f t="shared" si="1"/>
        <v/>
      </c>
      <c r="E1628" s="100" t="str">
        <f t="shared" si="2"/>
        <v/>
      </c>
      <c r="F1628" s="100" t="str">
        <f t="shared" si="3"/>
        <v/>
      </c>
      <c r="G1628" s="151"/>
      <c r="H1628" s="160"/>
      <c r="I1628" s="157"/>
      <c r="J1628" s="161"/>
      <c r="L1628" s="94"/>
      <c r="M1628" s="159"/>
      <c r="N1628" s="94"/>
    </row>
    <row r="1629">
      <c r="A1629" s="107">
        <v>202684.0</v>
      </c>
      <c r="B1629" s="108" t="s">
        <v>92</v>
      </c>
      <c r="C1629" s="108" t="s">
        <v>525</v>
      </c>
      <c r="D1629" s="100" t="str">
        <f t="shared" si="1"/>
        <v/>
      </c>
      <c r="E1629" s="100" t="str">
        <f t="shared" si="2"/>
        <v/>
      </c>
      <c r="F1629" s="100" t="str">
        <f t="shared" si="3"/>
        <v/>
      </c>
      <c r="G1629" s="151"/>
      <c r="H1629" s="156"/>
      <c r="I1629" s="157"/>
      <c r="J1629" s="158"/>
      <c r="L1629" s="94"/>
      <c r="M1629" s="159"/>
      <c r="N1629" s="94"/>
    </row>
    <row r="1630">
      <c r="A1630" s="107">
        <v>202684.0</v>
      </c>
      <c r="B1630" s="108" t="s">
        <v>190</v>
      </c>
      <c r="C1630" s="108" t="s">
        <v>525</v>
      </c>
      <c r="D1630" s="100" t="str">
        <f t="shared" si="1"/>
        <v/>
      </c>
      <c r="E1630" s="100" t="str">
        <f t="shared" si="2"/>
        <v/>
      </c>
      <c r="F1630" s="100" t="str">
        <f t="shared" si="3"/>
        <v/>
      </c>
      <c r="G1630" s="151"/>
      <c r="H1630" s="160"/>
      <c r="I1630" s="157"/>
      <c r="J1630" s="161"/>
      <c r="L1630" s="94"/>
      <c r="M1630" s="159"/>
      <c r="N1630" s="94"/>
    </row>
    <row r="1631">
      <c r="A1631" s="107">
        <v>202684.0</v>
      </c>
      <c r="B1631" s="108" t="s">
        <v>191</v>
      </c>
      <c r="C1631" s="108" t="s">
        <v>525</v>
      </c>
      <c r="D1631" s="100" t="str">
        <f t="shared" si="1"/>
        <v/>
      </c>
      <c r="E1631" s="100" t="str">
        <f t="shared" si="2"/>
        <v/>
      </c>
      <c r="F1631" s="100" t="str">
        <f t="shared" si="3"/>
        <v/>
      </c>
      <c r="G1631" s="151"/>
      <c r="H1631" s="156"/>
      <c r="I1631" s="157"/>
      <c r="J1631" s="158"/>
      <c r="L1631" s="94"/>
      <c r="M1631" s="159"/>
      <c r="N1631" s="94"/>
    </row>
    <row r="1632">
      <c r="A1632" s="107">
        <v>202684.0</v>
      </c>
      <c r="B1632" s="108" t="s">
        <v>192</v>
      </c>
      <c r="C1632" s="108" t="s">
        <v>525</v>
      </c>
      <c r="D1632" s="100" t="str">
        <f t="shared" si="1"/>
        <v/>
      </c>
      <c r="E1632" s="100" t="str">
        <f t="shared" si="2"/>
        <v/>
      </c>
      <c r="F1632" s="100" t="str">
        <f t="shared" si="3"/>
        <v/>
      </c>
      <c r="G1632" s="151"/>
      <c r="H1632" s="160"/>
      <c r="I1632" s="157"/>
      <c r="J1632" s="161"/>
      <c r="L1632" s="94"/>
      <c r="M1632" s="159"/>
      <c r="N1632" s="94"/>
    </row>
    <row r="1633">
      <c r="A1633" s="107">
        <v>202684.0</v>
      </c>
      <c r="B1633" s="108" t="s">
        <v>193</v>
      </c>
      <c r="C1633" s="108" t="s">
        <v>525</v>
      </c>
      <c r="D1633" s="100" t="str">
        <f t="shared" si="1"/>
        <v/>
      </c>
      <c r="E1633" s="100" t="str">
        <f t="shared" si="2"/>
        <v/>
      </c>
      <c r="F1633" s="100" t="str">
        <f t="shared" si="3"/>
        <v/>
      </c>
      <c r="G1633" s="151"/>
      <c r="H1633" s="156"/>
      <c r="I1633" s="157"/>
      <c r="J1633" s="158"/>
      <c r="L1633" s="94"/>
      <c r="M1633" s="159"/>
      <c r="N1633" s="94"/>
    </row>
    <row r="1634">
      <c r="A1634" s="107">
        <v>202684.0</v>
      </c>
      <c r="B1634" s="108" t="s">
        <v>243</v>
      </c>
      <c r="C1634" s="108" t="s">
        <v>525</v>
      </c>
      <c r="D1634" s="100" t="str">
        <f t="shared" si="1"/>
        <v/>
      </c>
      <c r="E1634" s="100" t="str">
        <f t="shared" si="2"/>
        <v/>
      </c>
      <c r="F1634" s="100" t="str">
        <f t="shared" si="3"/>
        <v/>
      </c>
      <c r="G1634" s="151"/>
      <c r="H1634" s="160"/>
      <c r="I1634" s="157"/>
      <c r="J1634" s="161"/>
      <c r="L1634" s="94"/>
      <c r="M1634" s="159"/>
      <c r="N1634" s="94"/>
    </row>
    <row r="1635">
      <c r="A1635" s="107">
        <v>202684.0</v>
      </c>
      <c r="B1635" s="108" t="s">
        <v>215</v>
      </c>
      <c r="C1635" s="108" t="s">
        <v>525</v>
      </c>
      <c r="D1635" s="100" t="str">
        <f t="shared" si="1"/>
        <v/>
      </c>
      <c r="E1635" s="100" t="str">
        <f t="shared" si="2"/>
        <v/>
      </c>
      <c r="F1635" s="100" t="str">
        <f t="shared" si="3"/>
        <v/>
      </c>
      <c r="G1635" s="151"/>
      <c r="H1635" s="156"/>
      <c r="I1635" s="157"/>
      <c r="J1635" s="158"/>
      <c r="L1635" s="94"/>
      <c r="M1635" s="159"/>
      <c r="N1635" s="94"/>
    </row>
    <row r="1636">
      <c r="A1636" s="107">
        <v>202684.0</v>
      </c>
      <c r="B1636" s="108" t="s">
        <v>245</v>
      </c>
      <c r="C1636" s="108" t="s">
        <v>525</v>
      </c>
      <c r="D1636" s="100" t="str">
        <f t="shared" si="1"/>
        <v/>
      </c>
      <c r="E1636" s="100" t="str">
        <f t="shared" si="2"/>
        <v/>
      </c>
      <c r="F1636" s="100" t="str">
        <f t="shared" si="3"/>
        <v/>
      </c>
      <c r="G1636" s="151"/>
      <c r="H1636" s="160"/>
      <c r="I1636" s="157"/>
      <c r="J1636" s="161"/>
      <c r="L1636" s="94"/>
      <c r="M1636" s="159"/>
      <c r="N1636" s="94"/>
    </row>
    <row r="1637">
      <c r="A1637" s="107">
        <v>202684.0</v>
      </c>
      <c r="B1637" s="108" t="s">
        <v>246</v>
      </c>
      <c r="C1637" s="108" t="s">
        <v>525</v>
      </c>
      <c r="D1637" s="100" t="str">
        <f t="shared" si="1"/>
        <v/>
      </c>
      <c r="E1637" s="100" t="str">
        <f t="shared" si="2"/>
        <v/>
      </c>
      <c r="F1637" s="100" t="str">
        <f t="shared" si="3"/>
        <v/>
      </c>
      <c r="G1637" s="151"/>
      <c r="H1637" s="156"/>
      <c r="I1637" s="157"/>
      <c r="J1637" s="158"/>
      <c r="L1637" s="94"/>
      <c r="M1637" s="159"/>
      <c r="N1637" s="94"/>
    </row>
    <row r="1638">
      <c r="A1638" s="107">
        <v>202685.0</v>
      </c>
      <c r="B1638" s="108" t="s">
        <v>85</v>
      </c>
      <c r="C1638" s="108" t="s">
        <v>526</v>
      </c>
      <c r="D1638" s="100" t="str">
        <f t="shared" si="1"/>
        <v/>
      </c>
      <c r="E1638" s="100" t="str">
        <f t="shared" si="2"/>
        <v/>
      </c>
      <c r="F1638" s="100" t="str">
        <f t="shared" si="3"/>
        <v/>
      </c>
      <c r="G1638" s="151"/>
      <c r="H1638" s="160"/>
      <c r="I1638" s="157"/>
      <c r="J1638" s="161"/>
      <c r="L1638" s="94"/>
      <c r="M1638" s="159"/>
      <c r="N1638" s="94"/>
    </row>
    <row r="1639">
      <c r="A1639" s="107">
        <v>202685.0</v>
      </c>
      <c r="B1639" s="108" t="s">
        <v>90</v>
      </c>
      <c r="C1639" s="108" t="s">
        <v>526</v>
      </c>
      <c r="D1639" s="100" t="str">
        <f t="shared" si="1"/>
        <v/>
      </c>
      <c r="E1639" s="100" t="str">
        <f t="shared" si="2"/>
        <v/>
      </c>
      <c r="F1639" s="100" t="str">
        <f t="shared" si="3"/>
        <v/>
      </c>
      <c r="G1639" s="151"/>
      <c r="H1639" s="156"/>
      <c r="I1639" s="157"/>
      <c r="J1639" s="158"/>
      <c r="L1639" s="94"/>
      <c r="M1639" s="159"/>
      <c r="N1639" s="94"/>
    </row>
    <row r="1640">
      <c r="A1640" s="107">
        <v>202685.0</v>
      </c>
      <c r="B1640" s="108" t="s">
        <v>92</v>
      </c>
      <c r="C1640" s="108" t="s">
        <v>526</v>
      </c>
      <c r="D1640" s="100" t="str">
        <f t="shared" si="1"/>
        <v/>
      </c>
      <c r="E1640" s="100" t="str">
        <f t="shared" si="2"/>
        <v/>
      </c>
      <c r="F1640" s="100" t="str">
        <f t="shared" si="3"/>
        <v/>
      </c>
      <c r="G1640" s="151"/>
      <c r="H1640" s="160"/>
      <c r="I1640" s="157"/>
      <c r="J1640" s="161"/>
      <c r="L1640" s="94"/>
      <c r="M1640" s="159"/>
      <c r="N1640" s="94"/>
    </row>
    <row r="1641">
      <c r="A1641" s="107">
        <v>202685.0</v>
      </c>
      <c r="B1641" s="108" t="s">
        <v>190</v>
      </c>
      <c r="C1641" s="108" t="s">
        <v>526</v>
      </c>
      <c r="D1641" s="100" t="str">
        <f t="shared" si="1"/>
        <v/>
      </c>
      <c r="E1641" s="100" t="str">
        <f t="shared" si="2"/>
        <v/>
      </c>
      <c r="F1641" s="100" t="str">
        <f t="shared" si="3"/>
        <v/>
      </c>
      <c r="G1641" s="151"/>
      <c r="H1641" s="156"/>
      <c r="I1641" s="157"/>
      <c r="J1641" s="158"/>
      <c r="L1641" s="94"/>
      <c r="M1641" s="159"/>
      <c r="N1641" s="94"/>
    </row>
    <row r="1642">
      <c r="A1642" s="107">
        <v>202685.0</v>
      </c>
      <c r="B1642" s="108" t="s">
        <v>191</v>
      </c>
      <c r="C1642" s="108" t="s">
        <v>526</v>
      </c>
      <c r="D1642" s="100" t="str">
        <f t="shared" si="1"/>
        <v/>
      </c>
      <c r="E1642" s="100" t="str">
        <f t="shared" si="2"/>
        <v/>
      </c>
      <c r="F1642" s="100" t="str">
        <f t="shared" si="3"/>
        <v/>
      </c>
      <c r="G1642" s="151"/>
      <c r="H1642" s="160"/>
      <c r="I1642" s="157"/>
      <c r="J1642" s="161"/>
      <c r="L1642" s="94"/>
      <c r="M1642" s="159"/>
      <c r="N1642" s="94"/>
    </row>
    <row r="1643">
      <c r="A1643" s="107">
        <v>202685.0</v>
      </c>
      <c r="B1643" s="108" t="s">
        <v>192</v>
      </c>
      <c r="C1643" s="108" t="s">
        <v>526</v>
      </c>
      <c r="D1643" s="100" t="str">
        <f t="shared" si="1"/>
        <v/>
      </c>
      <c r="E1643" s="100" t="str">
        <f t="shared" si="2"/>
        <v/>
      </c>
      <c r="F1643" s="100" t="str">
        <f t="shared" si="3"/>
        <v/>
      </c>
      <c r="G1643" s="151"/>
      <c r="H1643" s="156"/>
      <c r="I1643" s="157"/>
      <c r="J1643" s="158"/>
      <c r="L1643" s="94"/>
      <c r="M1643" s="159"/>
      <c r="N1643" s="94"/>
    </row>
    <row r="1644">
      <c r="A1644" s="107">
        <v>202685.0</v>
      </c>
      <c r="B1644" s="108" t="s">
        <v>193</v>
      </c>
      <c r="C1644" s="108" t="s">
        <v>526</v>
      </c>
      <c r="D1644" s="100" t="str">
        <f t="shared" si="1"/>
        <v/>
      </c>
      <c r="E1644" s="100" t="str">
        <f t="shared" si="2"/>
        <v/>
      </c>
      <c r="F1644" s="100" t="str">
        <f t="shared" si="3"/>
        <v/>
      </c>
      <c r="G1644" s="151"/>
      <c r="H1644" s="160"/>
      <c r="I1644" s="157"/>
      <c r="J1644" s="161"/>
      <c r="L1644" s="94"/>
      <c r="M1644" s="159"/>
      <c r="N1644" s="94"/>
    </row>
    <row r="1645">
      <c r="A1645" s="107">
        <v>202685.0</v>
      </c>
      <c r="B1645" s="108" t="s">
        <v>243</v>
      </c>
      <c r="C1645" s="108" t="s">
        <v>526</v>
      </c>
      <c r="D1645" s="100" t="str">
        <f t="shared" si="1"/>
        <v/>
      </c>
      <c r="E1645" s="100" t="str">
        <f t="shared" si="2"/>
        <v/>
      </c>
      <c r="F1645" s="100" t="str">
        <f t="shared" si="3"/>
        <v/>
      </c>
      <c r="G1645" s="151"/>
      <c r="H1645" s="156"/>
      <c r="I1645" s="157"/>
      <c r="J1645" s="158"/>
      <c r="L1645" s="94"/>
      <c r="M1645" s="159"/>
      <c r="N1645" s="94"/>
    </row>
    <row r="1646">
      <c r="A1646" s="107">
        <v>202685.0</v>
      </c>
      <c r="B1646" s="108" t="s">
        <v>215</v>
      </c>
      <c r="C1646" s="108" t="s">
        <v>526</v>
      </c>
      <c r="D1646" s="100" t="str">
        <f t="shared" si="1"/>
        <v/>
      </c>
      <c r="E1646" s="100" t="str">
        <f t="shared" si="2"/>
        <v/>
      </c>
      <c r="F1646" s="100" t="str">
        <f t="shared" si="3"/>
        <v/>
      </c>
      <c r="G1646" s="151"/>
      <c r="H1646" s="160"/>
      <c r="I1646" s="157"/>
      <c r="J1646" s="161"/>
      <c r="L1646" s="94"/>
      <c r="M1646" s="159"/>
      <c r="N1646" s="94"/>
    </row>
    <row r="1647">
      <c r="A1647" s="107">
        <v>202685.0</v>
      </c>
      <c r="B1647" s="108" t="s">
        <v>244</v>
      </c>
      <c r="C1647" s="108" t="s">
        <v>526</v>
      </c>
      <c r="D1647" s="100" t="str">
        <f t="shared" si="1"/>
        <v/>
      </c>
      <c r="E1647" s="100" t="str">
        <f t="shared" si="2"/>
        <v/>
      </c>
      <c r="F1647" s="100" t="str">
        <f t="shared" si="3"/>
        <v/>
      </c>
      <c r="G1647" s="151"/>
      <c r="H1647" s="156"/>
      <c r="I1647" s="157"/>
      <c r="J1647" s="158"/>
      <c r="L1647" s="94"/>
      <c r="M1647" s="159"/>
      <c r="N1647" s="94"/>
    </row>
    <row r="1648">
      <c r="A1648" s="107">
        <v>202685.0</v>
      </c>
      <c r="B1648" s="108" t="s">
        <v>245</v>
      </c>
      <c r="C1648" s="108" t="s">
        <v>526</v>
      </c>
      <c r="D1648" s="100" t="str">
        <f t="shared" si="1"/>
        <v/>
      </c>
      <c r="E1648" s="100" t="str">
        <f t="shared" si="2"/>
        <v/>
      </c>
      <c r="F1648" s="100" t="str">
        <f t="shared" si="3"/>
        <v/>
      </c>
      <c r="G1648" s="151"/>
      <c r="H1648" s="160"/>
      <c r="I1648" s="157"/>
      <c r="J1648" s="161"/>
      <c r="L1648" s="94"/>
      <c r="M1648" s="159"/>
      <c r="N1648" s="94"/>
    </row>
    <row r="1649">
      <c r="A1649" s="107">
        <v>202685.0</v>
      </c>
      <c r="B1649" s="108" t="s">
        <v>246</v>
      </c>
      <c r="C1649" s="108" t="s">
        <v>526</v>
      </c>
      <c r="D1649" s="100" t="str">
        <f t="shared" si="1"/>
        <v/>
      </c>
      <c r="E1649" s="100" t="str">
        <f t="shared" si="2"/>
        <v/>
      </c>
      <c r="F1649" s="100" t="str">
        <f t="shared" si="3"/>
        <v/>
      </c>
      <c r="G1649" s="151"/>
      <c r="H1649" s="156"/>
      <c r="I1649" s="157"/>
      <c r="J1649" s="158"/>
      <c r="L1649" s="94"/>
      <c r="M1649" s="159"/>
      <c r="N1649" s="94"/>
    </row>
    <row r="1650">
      <c r="A1650" s="149">
        <v>202685.0</v>
      </c>
      <c r="B1650" s="115" t="s">
        <v>247</v>
      </c>
      <c r="C1650" s="108" t="s">
        <v>526</v>
      </c>
      <c r="D1650" s="100" t="str">
        <f t="shared" si="1"/>
        <v/>
      </c>
      <c r="E1650" s="100" t="str">
        <f t="shared" si="2"/>
        <v/>
      </c>
      <c r="F1650" s="100" t="str">
        <f t="shared" si="3"/>
        <v/>
      </c>
      <c r="G1650" s="151"/>
      <c r="H1650" s="160"/>
      <c r="I1650" s="157"/>
      <c r="J1650" s="161"/>
      <c r="L1650" s="94"/>
      <c r="M1650" s="159"/>
      <c r="N1650" s="94"/>
    </row>
    <row r="1651">
      <c r="A1651" s="21">
        <v>202686.0</v>
      </c>
      <c r="B1651" s="164" t="s">
        <v>85</v>
      </c>
      <c r="C1651" s="164" t="s">
        <v>527</v>
      </c>
      <c r="D1651" s="100" t="str">
        <f t="shared" si="1"/>
        <v/>
      </c>
      <c r="E1651" s="100" t="str">
        <f t="shared" si="2"/>
        <v/>
      </c>
      <c r="F1651" s="100" t="str">
        <f t="shared" si="3"/>
        <v/>
      </c>
      <c r="G1651" s="151"/>
      <c r="H1651" s="156"/>
      <c r="I1651" s="157"/>
      <c r="J1651" s="158"/>
      <c r="L1651" s="94"/>
      <c r="M1651" s="159"/>
      <c r="N1651" s="94"/>
    </row>
    <row r="1652">
      <c r="A1652" s="107">
        <v>202687.0</v>
      </c>
      <c r="B1652" s="108" t="s">
        <v>85</v>
      </c>
      <c r="C1652" s="108" t="s">
        <v>528</v>
      </c>
      <c r="D1652" s="100" t="str">
        <f t="shared" si="1"/>
        <v/>
      </c>
      <c r="E1652" s="100" t="str">
        <f t="shared" si="2"/>
        <v/>
      </c>
      <c r="F1652" s="100" t="str">
        <f t="shared" si="3"/>
        <v/>
      </c>
      <c r="G1652" s="151"/>
      <c r="H1652" s="160"/>
      <c r="I1652" s="157"/>
      <c r="J1652" s="161"/>
      <c r="L1652" s="94"/>
      <c r="M1652" s="159"/>
      <c r="N1652" s="94"/>
    </row>
    <row r="1653">
      <c r="A1653" s="107">
        <v>202687.0</v>
      </c>
      <c r="B1653" s="108" t="s">
        <v>90</v>
      </c>
      <c r="C1653" s="108" t="s">
        <v>528</v>
      </c>
      <c r="D1653" s="100" t="str">
        <f t="shared" si="1"/>
        <v/>
      </c>
      <c r="E1653" s="100" t="str">
        <f t="shared" si="2"/>
        <v/>
      </c>
      <c r="F1653" s="100" t="str">
        <f t="shared" si="3"/>
        <v/>
      </c>
      <c r="G1653" s="151"/>
      <c r="H1653" s="156"/>
      <c r="I1653" s="157"/>
      <c r="J1653" s="158"/>
      <c r="L1653" s="94"/>
      <c r="M1653" s="159"/>
      <c r="N1653" s="94"/>
    </row>
    <row r="1654">
      <c r="A1654" s="107">
        <v>202687.0</v>
      </c>
      <c r="B1654" s="108" t="s">
        <v>92</v>
      </c>
      <c r="C1654" s="108" t="s">
        <v>528</v>
      </c>
      <c r="D1654" s="100" t="str">
        <f t="shared" si="1"/>
        <v/>
      </c>
      <c r="E1654" s="100" t="str">
        <f t="shared" si="2"/>
        <v/>
      </c>
      <c r="F1654" s="100" t="str">
        <f t="shared" si="3"/>
        <v/>
      </c>
      <c r="G1654" s="151"/>
      <c r="H1654" s="160"/>
      <c r="I1654" s="157"/>
      <c r="J1654" s="161"/>
      <c r="L1654" s="94"/>
      <c r="M1654" s="159"/>
      <c r="N1654" s="94"/>
    </row>
    <row r="1655">
      <c r="A1655" s="107">
        <v>202687.0</v>
      </c>
      <c r="B1655" s="108" t="s">
        <v>190</v>
      </c>
      <c r="C1655" s="108" t="s">
        <v>528</v>
      </c>
      <c r="D1655" s="100" t="str">
        <f t="shared" si="1"/>
        <v/>
      </c>
      <c r="E1655" s="100" t="str">
        <f t="shared" si="2"/>
        <v/>
      </c>
      <c r="F1655" s="100" t="str">
        <f t="shared" si="3"/>
        <v/>
      </c>
      <c r="G1655" s="151"/>
      <c r="H1655" s="156"/>
      <c r="I1655" s="157"/>
      <c r="J1655" s="158"/>
      <c r="L1655" s="94"/>
      <c r="M1655" s="159"/>
      <c r="N1655" s="94"/>
    </row>
    <row r="1656">
      <c r="A1656" s="107">
        <v>202687.0</v>
      </c>
      <c r="B1656" s="108" t="s">
        <v>191</v>
      </c>
      <c r="C1656" s="108" t="s">
        <v>528</v>
      </c>
      <c r="D1656" s="100" t="str">
        <f t="shared" si="1"/>
        <v/>
      </c>
      <c r="E1656" s="100" t="str">
        <f t="shared" si="2"/>
        <v/>
      </c>
      <c r="F1656" s="100" t="str">
        <f t="shared" si="3"/>
        <v/>
      </c>
      <c r="G1656" s="151"/>
      <c r="H1656" s="160"/>
      <c r="I1656" s="157"/>
      <c r="J1656" s="161"/>
      <c r="L1656" s="94"/>
      <c r="M1656" s="159"/>
      <c r="N1656" s="94"/>
    </row>
    <row r="1657">
      <c r="A1657" s="107">
        <v>202687.0</v>
      </c>
      <c r="B1657" s="108" t="s">
        <v>192</v>
      </c>
      <c r="C1657" s="108" t="s">
        <v>528</v>
      </c>
      <c r="D1657" s="100" t="str">
        <f t="shared" si="1"/>
        <v/>
      </c>
      <c r="E1657" s="100" t="str">
        <f t="shared" si="2"/>
        <v/>
      </c>
      <c r="F1657" s="100" t="str">
        <f t="shared" si="3"/>
        <v/>
      </c>
      <c r="G1657" s="151"/>
      <c r="H1657" s="156"/>
      <c r="I1657" s="157"/>
      <c r="J1657" s="158"/>
      <c r="L1657" s="94"/>
      <c r="M1657" s="159"/>
      <c r="N1657" s="94"/>
    </row>
    <row r="1658">
      <c r="A1658" s="107">
        <v>202687.0</v>
      </c>
      <c r="B1658" s="108" t="s">
        <v>193</v>
      </c>
      <c r="C1658" s="108" t="s">
        <v>528</v>
      </c>
      <c r="D1658" s="100" t="str">
        <f t="shared" si="1"/>
        <v/>
      </c>
      <c r="E1658" s="100" t="str">
        <f t="shared" si="2"/>
        <v/>
      </c>
      <c r="F1658" s="100" t="str">
        <f t="shared" si="3"/>
        <v/>
      </c>
      <c r="G1658" s="151"/>
      <c r="H1658" s="160"/>
      <c r="I1658" s="157"/>
      <c r="J1658" s="161"/>
      <c r="L1658" s="94"/>
      <c r="M1658" s="159"/>
      <c r="N1658" s="94"/>
    </row>
    <row r="1659">
      <c r="A1659" s="107">
        <v>202687.0</v>
      </c>
      <c r="B1659" s="108" t="s">
        <v>243</v>
      </c>
      <c r="C1659" s="108" t="s">
        <v>528</v>
      </c>
      <c r="D1659" s="100" t="str">
        <f t="shared" si="1"/>
        <v/>
      </c>
      <c r="E1659" s="100" t="str">
        <f t="shared" si="2"/>
        <v/>
      </c>
      <c r="F1659" s="100" t="str">
        <f t="shared" si="3"/>
        <v/>
      </c>
      <c r="G1659" s="151"/>
      <c r="H1659" s="156"/>
      <c r="I1659" s="157"/>
      <c r="J1659" s="158"/>
      <c r="L1659" s="94"/>
      <c r="M1659" s="159"/>
      <c r="N1659" s="94"/>
    </row>
    <row r="1660">
      <c r="A1660" s="107">
        <v>202687.0</v>
      </c>
      <c r="B1660" s="108" t="s">
        <v>215</v>
      </c>
      <c r="C1660" s="108" t="s">
        <v>528</v>
      </c>
      <c r="D1660" s="100" t="str">
        <f t="shared" si="1"/>
        <v/>
      </c>
      <c r="E1660" s="100" t="str">
        <f t="shared" si="2"/>
        <v/>
      </c>
      <c r="F1660" s="100" t="str">
        <f t="shared" si="3"/>
        <v/>
      </c>
      <c r="G1660" s="151"/>
      <c r="H1660" s="160"/>
      <c r="I1660" s="157"/>
      <c r="J1660" s="161"/>
      <c r="L1660" s="94"/>
      <c r="M1660" s="159"/>
      <c r="N1660" s="94"/>
    </row>
    <row r="1661">
      <c r="A1661" s="107">
        <v>202687.0</v>
      </c>
      <c r="B1661" s="108" t="s">
        <v>244</v>
      </c>
      <c r="C1661" s="108" t="s">
        <v>528</v>
      </c>
      <c r="D1661" s="100" t="str">
        <f t="shared" si="1"/>
        <v/>
      </c>
      <c r="E1661" s="100" t="str">
        <f t="shared" si="2"/>
        <v/>
      </c>
      <c r="F1661" s="100" t="str">
        <f t="shared" si="3"/>
        <v/>
      </c>
      <c r="G1661" s="151"/>
      <c r="H1661" s="156"/>
      <c r="I1661" s="157"/>
      <c r="J1661" s="158"/>
      <c r="L1661" s="94"/>
      <c r="M1661" s="159"/>
      <c r="N1661" s="94"/>
    </row>
    <row r="1662">
      <c r="A1662" s="107">
        <v>202687.0</v>
      </c>
      <c r="B1662" s="108" t="s">
        <v>245</v>
      </c>
      <c r="C1662" s="108" t="s">
        <v>528</v>
      </c>
      <c r="D1662" s="100" t="str">
        <f t="shared" si="1"/>
        <v/>
      </c>
      <c r="E1662" s="100" t="str">
        <f t="shared" si="2"/>
        <v/>
      </c>
      <c r="F1662" s="100" t="str">
        <f t="shared" si="3"/>
        <v/>
      </c>
      <c r="G1662" s="151"/>
      <c r="H1662" s="160"/>
      <c r="I1662" s="157"/>
      <c r="J1662" s="161"/>
      <c r="L1662" s="94"/>
      <c r="M1662" s="159"/>
      <c r="N1662" s="94"/>
    </row>
    <row r="1663">
      <c r="A1663" s="149">
        <v>202687.0</v>
      </c>
      <c r="B1663" s="115" t="s">
        <v>247</v>
      </c>
      <c r="C1663" s="115" t="s">
        <v>528</v>
      </c>
      <c r="D1663" s="100" t="str">
        <f t="shared" si="1"/>
        <v/>
      </c>
      <c r="E1663" s="100" t="str">
        <f t="shared" si="2"/>
        <v/>
      </c>
      <c r="F1663" s="100" t="str">
        <f t="shared" si="3"/>
        <v/>
      </c>
      <c r="G1663" s="151"/>
      <c r="H1663" s="156"/>
      <c r="I1663" s="157"/>
      <c r="J1663" s="158"/>
      <c r="L1663" s="94"/>
      <c r="M1663" s="159"/>
      <c r="N1663" s="94"/>
    </row>
    <row r="1664">
      <c r="A1664" s="21">
        <v>202688.0</v>
      </c>
      <c r="B1664" s="164" t="s">
        <v>85</v>
      </c>
      <c r="C1664" s="164" t="s">
        <v>529</v>
      </c>
      <c r="D1664" s="100" t="str">
        <f t="shared" si="1"/>
        <v/>
      </c>
      <c r="E1664" s="100" t="str">
        <f t="shared" si="2"/>
        <v/>
      </c>
      <c r="F1664" s="100" t="str">
        <f t="shared" si="3"/>
        <v/>
      </c>
      <c r="G1664" s="151"/>
      <c r="H1664" s="160"/>
      <c r="I1664" s="157"/>
      <c r="J1664" s="161"/>
      <c r="L1664" s="94"/>
      <c r="M1664" s="159"/>
      <c r="N1664" s="94"/>
    </row>
    <row r="1665">
      <c r="A1665" s="107">
        <v>202688.0</v>
      </c>
      <c r="B1665" s="108" t="s">
        <v>90</v>
      </c>
      <c r="C1665" s="108" t="s">
        <v>529</v>
      </c>
      <c r="D1665" s="100" t="str">
        <f t="shared" si="1"/>
        <v/>
      </c>
      <c r="E1665" s="100" t="str">
        <f t="shared" si="2"/>
        <v/>
      </c>
      <c r="F1665" s="100" t="str">
        <f t="shared" si="3"/>
        <v/>
      </c>
      <c r="G1665" s="151"/>
      <c r="H1665" s="156"/>
      <c r="I1665" s="157"/>
      <c r="J1665" s="158"/>
      <c r="L1665" s="94"/>
      <c r="M1665" s="159"/>
      <c r="N1665" s="94"/>
    </row>
    <row r="1666">
      <c r="A1666" s="107">
        <v>202688.0</v>
      </c>
      <c r="B1666" s="108" t="s">
        <v>92</v>
      </c>
      <c r="C1666" s="108" t="s">
        <v>529</v>
      </c>
      <c r="D1666" s="100" t="str">
        <f t="shared" si="1"/>
        <v/>
      </c>
      <c r="E1666" s="100" t="str">
        <f t="shared" si="2"/>
        <v/>
      </c>
      <c r="F1666" s="100" t="str">
        <f t="shared" si="3"/>
        <v/>
      </c>
      <c r="G1666" s="151"/>
      <c r="H1666" s="160"/>
      <c r="I1666" s="157"/>
      <c r="J1666" s="161"/>
      <c r="L1666" s="94"/>
      <c r="M1666" s="159"/>
      <c r="N1666" s="94"/>
    </row>
    <row r="1667">
      <c r="A1667" s="107">
        <v>202688.0</v>
      </c>
      <c r="B1667" s="108" t="s">
        <v>190</v>
      </c>
      <c r="C1667" s="108" t="s">
        <v>529</v>
      </c>
      <c r="D1667" s="100" t="str">
        <f t="shared" si="1"/>
        <v/>
      </c>
      <c r="E1667" s="100" t="str">
        <f t="shared" si="2"/>
        <v/>
      </c>
      <c r="F1667" s="100" t="str">
        <f t="shared" si="3"/>
        <v/>
      </c>
      <c r="G1667" s="151"/>
      <c r="H1667" s="156"/>
      <c r="I1667" s="157"/>
      <c r="J1667" s="158"/>
      <c r="L1667" s="94"/>
      <c r="M1667" s="159"/>
      <c r="N1667" s="94"/>
    </row>
    <row r="1668">
      <c r="A1668" s="107">
        <v>202688.0</v>
      </c>
      <c r="B1668" s="108" t="s">
        <v>192</v>
      </c>
      <c r="C1668" s="108" t="s">
        <v>529</v>
      </c>
      <c r="D1668" s="100" t="str">
        <f t="shared" si="1"/>
        <v/>
      </c>
      <c r="E1668" s="100" t="str">
        <f t="shared" si="2"/>
        <v/>
      </c>
      <c r="F1668" s="100" t="str">
        <f t="shared" si="3"/>
        <v/>
      </c>
      <c r="G1668" s="151"/>
      <c r="H1668" s="160"/>
      <c r="I1668" s="157"/>
      <c r="J1668" s="161"/>
      <c r="L1668" s="94"/>
      <c r="M1668" s="159"/>
      <c r="N1668" s="94"/>
    </row>
    <row r="1669">
      <c r="A1669" s="107">
        <v>202688.0</v>
      </c>
      <c r="B1669" s="108" t="s">
        <v>193</v>
      </c>
      <c r="C1669" s="108" t="s">
        <v>529</v>
      </c>
      <c r="D1669" s="100" t="str">
        <f t="shared" si="1"/>
        <v/>
      </c>
      <c r="E1669" s="100" t="str">
        <f t="shared" si="2"/>
        <v/>
      </c>
      <c r="F1669" s="100" t="str">
        <f t="shared" si="3"/>
        <v/>
      </c>
      <c r="G1669" s="151"/>
      <c r="H1669" s="156"/>
      <c r="I1669" s="157"/>
      <c r="J1669" s="158"/>
      <c r="L1669" s="94"/>
      <c r="M1669" s="159"/>
      <c r="N1669" s="94"/>
    </row>
    <row r="1670">
      <c r="A1670" s="107">
        <v>202688.0</v>
      </c>
      <c r="B1670" s="108" t="s">
        <v>215</v>
      </c>
      <c r="C1670" s="108" t="s">
        <v>529</v>
      </c>
      <c r="D1670" s="100" t="str">
        <f t="shared" si="1"/>
        <v/>
      </c>
      <c r="E1670" s="100" t="str">
        <f t="shared" si="2"/>
        <v/>
      </c>
      <c r="F1670" s="100" t="str">
        <f t="shared" si="3"/>
        <v/>
      </c>
      <c r="G1670" s="151"/>
      <c r="H1670" s="160"/>
      <c r="I1670" s="157"/>
      <c r="J1670" s="161"/>
      <c r="L1670" s="94"/>
      <c r="M1670" s="159"/>
      <c r="N1670" s="94"/>
    </row>
    <row r="1671">
      <c r="A1671" s="107">
        <v>202689.0</v>
      </c>
      <c r="B1671" s="108" t="s">
        <v>85</v>
      </c>
      <c r="C1671" s="108" t="s">
        <v>530</v>
      </c>
      <c r="D1671" s="100" t="str">
        <f t="shared" si="1"/>
        <v/>
      </c>
      <c r="E1671" s="100" t="str">
        <f t="shared" si="2"/>
        <v/>
      </c>
      <c r="F1671" s="100" t="str">
        <f t="shared" si="3"/>
        <v/>
      </c>
      <c r="G1671" s="151"/>
      <c r="H1671" s="156"/>
      <c r="I1671" s="162"/>
      <c r="J1671" s="158"/>
      <c r="L1671" s="94"/>
      <c r="M1671" s="159"/>
      <c r="N1671" s="94"/>
    </row>
    <row r="1672">
      <c r="A1672" s="107">
        <v>202689.0</v>
      </c>
      <c r="B1672" s="108" t="s">
        <v>90</v>
      </c>
      <c r="C1672" s="108" t="s">
        <v>530</v>
      </c>
      <c r="D1672" s="100" t="str">
        <f t="shared" si="1"/>
        <v/>
      </c>
      <c r="E1672" s="100" t="str">
        <f t="shared" si="2"/>
        <v/>
      </c>
      <c r="F1672" s="100" t="str">
        <f t="shared" si="3"/>
        <v/>
      </c>
      <c r="G1672" s="151"/>
      <c r="H1672" s="160"/>
      <c r="I1672" s="157"/>
      <c r="J1672" s="161"/>
      <c r="L1672" s="94"/>
      <c r="M1672" s="159"/>
      <c r="N1672" s="94"/>
    </row>
    <row r="1673">
      <c r="A1673" s="107">
        <v>202689.0</v>
      </c>
      <c r="B1673" s="108" t="s">
        <v>92</v>
      </c>
      <c r="C1673" s="108" t="s">
        <v>530</v>
      </c>
      <c r="D1673" s="100" t="str">
        <f t="shared" si="1"/>
        <v/>
      </c>
      <c r="E1673" s="100" t="str">
        <f t="shared" si="2"/>
        <v/>
      </c>
      <c r="F1673" s="100" t="str">
        <f t="shared" si="3"/>
        <v/>
      </c>
      <c r="G1673" s="151"/>
      <c r="H1673" s="156"/>
      <c r="I1673" s="157"/>
      <c r="J1673" s="158"/>
      <c r="L1673" s="94"/>
      <c r="M1673" s="159"/>
      <c r="N1673" s="94"/>
    </row>
    <row r="1674">
      <c r="A1674" s="107">
        <v>202689.0</v>
      </c>
      <c r="B1674" s="108" t="s">
        <v>190</v>
      </c>
      <c r="C1674" s="108" t="s">
        <v>530</v>
      </c>
      <c r="D1674" s="100" t="str">
        <f t="shared" si="1"/>
        <v/>
      </c>
      <c r="E1674" s="100" t="str">
        <f t="shared" si="2"/>
        <v/>
      </c>
      <c r="F1674" s="100" t="str">
        <f t="shared" si="3"/>
        <v/>
      </c>
      <c r="G1674" s="151"/>
      <c r="H1674" s="160"/>
      <c r="I1674" s="157"/>
      <c r="J1674" s="161"/>
      <c r="L1674" s="94"/>
      <c r="M1674" s="159"/>
      <c r="N1674" s="94"/>
    </row>
    <row r="1675">
      <c r="A1675" s="107">
        <v>202689.0</v>
      </c>
      <c r="B1675" s="108" t="s">
        <v>191</v>
      </c>
      <c r="C1675" s="108" t="s">
        <v>530</v>
      </c>
      <c r="D1675" s="100" t="str">
        <f t="shared" si="1"/>
        <v/>
      </c>
      <c r="E1675" s="100" t="str">
        <f t="shared" si="2"/>
        <v/>
      </c>
      <c r="F1675" s="100" t="str">
        <f t="shared" si="3"/>
        <v/>
      </c>
      <c r="G1675" s="151"/>
      <c r="H1675" s="156"/>
      <c r="I1675" s="157"/>
      <c r="J1675" s="158"/>
      <c r="L1675" s="94"/>
      <c r="M1675" s="159"/>
      <c r="N1675" s="94"/>
    </row>
    <row r="1676">
      <c r="A1676" s="107">
        <v>202689.0</v>
      </c>
      <c r="B1676" s="108" t="s">
        <v>192</v>
      </c>
      <c r="C1676" s="108" t="s">
        <v>530</v>
      </c>
      <c r="D1676" s="100" t="str">
        <f t="shared" si="1"/>
        <v/>
      </c>
      <c r="E1676" s="100" t="str">
        <f t="shared" si="2"/>
        <v/>
      </c>
      <c r="F1676" s="100" t="str">
        <f t="shared" si="3"/>
        <v/>
      </c>
      <c r="G1676" s="151"/>
      <c r="H1676" s="160"/>
      <c r="I1676" s="157"/>
      <c r="J1676" s="161"/>
      <c r="L1676" s="94"/>
      <c r="M1676" s="159"/>
      <c r="N1676" s="94"/>
    </row>
    <row r="1677">
      <c r="A1677" s="107">
        <v>202689.0</v>
      </c>
      <c r="B1677" s="108" t="s">
        <v>193</v>
      </c>
      <c r="C1677" s="108" t="s">
        <v>530</v>
      </c>
      <c r="D1677" s="100" t="str">
        <f t="shared" si="1"/>
        <v/>
      </c>
      <c r="E1677" s="100" t="str">
        <f t="shared" si="2"/>
        <v/>
      </c>
      <c r="F1677" s="100" t="str">
        <f t="shared" si="3"/>
        <v/>
      </c>
      <c r="G1677" s="151"/>
      <c r="H1677" s="156"/>
      <c r="I1677" s="157"/>
      <c r="J1677" s="158"/>
      <c r="L1677" s="94"/>
      <c r="M1677" s="159"/>
      <c r="N1677" s="94"/>
    </row>
    <row r="1678">
      <c r="A1678" s="107">
        <v>202689.0</v>
      </c>
      <c r="B1678" s="108" t="s">
        <v>243</v>
      </c>
      <c r="C1678" s="108" t="s">
        <v>530</v>
      </c>
      <c r="D1678" s="100" t="str">
        <f t="shared" si="1"/>
        <v/>
      </c>
      <c r="E1678" s="100" t="str">
        <f t="shared" si="2"/>
        <v/>
      </c>
      <c r="F1678" s="100" t="str">
        <f t="shared" si="3"/>
        <v/>
      </c>
      <c r="G1678" s="151"/>
      <c r="H1678" s="160"/>
      <c r="I1678" s="157"/>
      <c r="J1678" s="161"/>
      <c r="L1678" s="94"/>
      <c r="M1678" s="159"/>
      <c r="N1678" s="94"/>
    </row>
    <row r="1679">
      <c r="A1679" s="107">
        <v>202689.0</v>
      </c>
      <c r="B1679" s="108" t="s">
        <v>215</v>
      </c>
      <c r="C1679" s="108" t="s">
        <v>530</v>
      </c>
      <c r="D1679" s="100" t="str">
        <f t="shared" si="1"/>
        <v/>
      </c>
      <c r="E1679" s="100" t="str">
        <f t="shared" si="2"/>
        <v/>
      </c>
      <c r="F1679" s="100" t="str">
        <f t="shared" si="3"/>
        <v/>
      </c>
      <c r="G1679" s="151"/>
      <c r="H1679" s="156"/>
      <c r="I1679" s="157"/>
      <c r="J1679" s="158"/>
      <c r="L1679" s="94"/>
      <c r="M1679" s="159"/>
      <c r="N1679" s="94"/>
    </row>
    <row r="1680">
      <c r="A1680" s="107">
        <v>202689.0</v>
      </c>
      <c r="B1680" s="108" t="s">
        <v>244</v>
      </c>
      <c r="C1680" s="108" t="s">
        <v>530</v>
      </c>
      <c r="D1680" s="100" t="str">
        <f t="shared" si="1"/>
        <v/>
      </c>
      <c r="E1680" s="100" t="str">
        <f t="shared" si="2"/>
        <v/>
      </c>
      <c r="F1680" s="100" t="str">
        <f t="shared" si="3"/>
        <v/>
      </c>
      <c r="G1680" s="151"/>
      <c r="H1680" s="160"/>
      <c r="I1680" s="157"/>
      <c r="J1680" s="161"/>
      <c r="L1680" s="94"/>
      <c r="M1680" s="159"/>
      <c r="N1680" s="94"/>
    </row>
    <row r="1681">
      <c r="A1681" s="107">
        <v>202690.0</v>
      </c>
      <c r="B1681" s="108" t="s">
        <v>85</v>
      </c>
      <c r="C1681" s="108" t="s">
        <v>531</v>
      </c>
      <c r="D1681" s="100" t="str">
        <f t="shared" si="1"/>
        <v/>
      </c>
      <c r="E1681" s="100" t="str">
        <f t="shared" si="2"/>
        <v/>
      </c>
      <c r="F1681" s="100" t="str">
        <f t="shared" si="3"/>
        <v/>
      </c>
      <c r="G1681" s="151"/>
      <c r="H1681" s="156"/>
      <c r="I1681" s="157"/>
      <c r="J1681" s="158"/>
      <c r="L1681" s="94"/>
      <c r="M1681" s="159"/>
      <c r="N1681" s="94"/>
    </row>
    <row r="1682">
      <c r="A1682" s="107">
        <v>202690.0</v>
      </c>
      <c r="B1682" s="108" t="s">
        <v>90</v>
      </c>
      <c r="C1682" s="108" t="s">
        <v>531</v>
      </c>
      <c r="D1682" s="100" t="str">
        <f t="shared" si="1"/>
        <v/>
      </c>
      <c r="E1682" s="100" t="str">
        <f t="shared" si="2"/>
        <v/>
      </c>
      <c r="F1682" s="100" t="str">
        <f t="shared" si="3"/>
        <v/>
      </c>
      <c r="G1682" s="151"/>
      <c r="H1682" s="160"/>
      <c r="I1682" s="157"/>
      <c r="J1682" s="161"/>
      <c r="L1682" s="94"/>
      <c r="M1682" s="159"/>
      <c r="N1682" s="94"/>
    </row>
    <row r="1683">
      <c r="A1683" s="107">
        <v>202690.0</v>
      </c>
      <c r="B1683" s="108" t="s">
        <v>92</v>
      </c>
      <c r="C1683" s="108" t="s">
        <v>531</v>
      </c>
      <c r="D1683" s="100" t="str">
        <f t="shared" si="1"/>
        <v/>
      </c>
      <c r="E1683" s="100" t="str">
        <f t="shared" si="2"/>
        <v/>
      </c>
      <c r="F1683" s="100" t="str">
        <f t="shared" si="3"/>
        <v/>
      </c>
      <c r="G1683" s="151"/>
      <c r="H1683" s="156"/>
      <c r="I1683" s="157"/>
      <c r="J1683" s="158"/>
      <c r="L1683" s="94"/>
      <c r="M1683" s="159"/>
      <c r="N1683" s="94"/>
    </row>
    <row r="1684">
      <c r="A1684" s="107">
        <v>202690.0</v>
      </c>
      <c r="B1684" s="108" t="s">
        <v>192</v>
      </c>
      <c r="C1684" s="108" t="s">
        <v>531</v>
      </c>
      <c r="D1684" s="100" t="str">
        <f t="shared" si="1"/>
        <v/>
      </c>
      <c r="E1684" s="100" t="str">
        <f t="shared" si="2"/>
        <v/>
      </c>
      <c r="F1684" s="100" t="str">
        <f t="shared" si="3"/>
        <v/>
      </c>
      <c r="G1684" s="151"/>
      <c r="H1684" s="160"/>
      <c r="I1684" s="157"/>
      <c r="J1684" s="161"/>
      <c r="L1684" s="94"/>
      <c r="M1684" s="159"/>
      <c r="N1684" s="94"/>
    </row>
    <row r="1685">
      <c r="A1685" s="107">
        <v>202691.0</v>
      </c>
      <c r="B1685" s="108" t="s">
        <v>85</v>
      </c>
      <c r="C1685" s="108" t="s">
        <v>532</v>
      </c>
      <c r="D1685" s="100" t="str">
        <f t="shared" si="1"/>
        <v/>
      </c>
      <c r="E1685" s="100" t="str">
        <f t="shared" si="2"/>
        <v/>
      </c>
      <c r="F1685" s="100" t="str">
        <f t="shared" si="3"/>
        <v/>
      </c>
      <c r="G1685" s="151"/>
      <c r="H1685" s="156"/>
      <c r="I1685" s="157"/>
      <c r="J1685" s="158"/>
      <c r="L1685" s="94"/>
      <c r="M1685" s="159"/>
      <c r="N1685" s="94"/>
    </row>
    <row r="1686">
      <c r="A1686" s="107">
        <v>202691.0</v>
      </c>
      <c r="B1686" s="108" t="s">
        <v>90</v>
      </c>
      <c r="C1686" s="108" t="s">
        <v>532</v>
      </c>
      <c r="D1686" s="100" t="str">
        <f t="shared" si="1"/>
        <v/>
      </c>
      <c r="E1686" s="100" t="str">
        <f t="shared" si="2"/>
        <v/>
      </c>
      <c r="F1686" s="100" t="str">
        <f t="shared" si="3"/>
        <v/>
      </c>
      <c r="G1686" s="151"/>
      <c r="H1686" s="160"/>
      <c r="I1686" s="157"/>
      <c r="J1686" s="161"/>
      <c r="L1686" s="94"/>
      <c r="M1686" s="159"/>
      <c r="N1686" s="94"/>
    </row>
    <row r="1687">
      <c r="A1687" s="107">
        <v>202691.0</v>
      </c>
      <c r="B1687" s="108" t="s">
        <v>92</v>
      </c>
      <c r="C1687" s="108" t="s">
        <v>532</v>
      </c>
      <c r="D1687" s="100" t="str">
        <f t="shared" si="1"/>
        <v/>
      </c>
      <c r="E1687" s="100" t="str">
        <f t="shared" si="2"/>
        <v/>
      </c>
      <c r="F1687" s="100" t="str">
        <f t="shared" si="3"/>
        <v/>
      </c>
      <c r="G1687" s="151"/>
      <c r="H1687" s="156"/>
      <c r="I1687" s="157"/>
      <c r="J1687" s="158"/>
      <c r="L1687" s="94"/>
      <c r="M1687" s="159"/>
      <c r="N1687" s="94"/>
    </row>
    <row r="1688">
      <c r="A1688" s="107">
        <v>202691.0</v>
      </c>
      <c r="B1688" s="108" t="s">
        <v>190</v>
      </c>
      <c r="C1688" s="108" t="s">
        <v>532</v>
      </c>
      <c r="D1688" s="100" t="str">
        <f t="shared" si="1"/>
        <v/>
      </c>
      <c r="E1688" s="100" t="str">
        <f t="shared" si="2"/>
        <v/>
      </c>
      <c r="F1688" s="100" t="str">
        <f t="shared" si="3"/>
        <v/>
      </c>
      <c r="G1688" s="151"/>
      <c r="H1688" s="160"/>
      <c r="I1688" s="157"/>
      <c r="J1688" s="161"/>
      <c r="L1688" s="94"/>
      <c r="M1688" s="159"/>
      <c r="N1688" s="94"/>
    </row>
    <row r="1689">
      <c r="A1689" s="107">
        <v>202691.0</v>
      </c>
      <c r="B1689" s="108" t="s">
        <v>191</v>
      </c>
      <c r="C1689" s="108" t="s">
        <v>532</v>
      </c>
      <c r="D1689" s="100" t="str">
        <f t="shared" si="1"/>
        <v/>
      </c>
      <c r="E1689" s="100" t="str">
        <f t="shared" si="2"/>
        <v/>
      </c>
      <c r="F1689" s="100" t="str">
        <f t="shared" si="3"/>
        <v/>
      </c>
      <c r="G1689" s="151"/>
      <c r="H1689" s="156"/>
      <c r="I1689" s="157"/>
      <c r="J1689" s="158"/>
      <c r="L1689" s="94"/>
      <c r="M1689" s="159"/>
      <c r="N1689" s="94"/>
    </row>
    <row r="1690">
      <c r="A1690" s="107">
        <v>202691.0</v>
      </c>
      <c r="B1690" s="108" t="s">
        <v>192</v>
      </c>
      <c r="C1690" s="108" t="s">
        <v>532</v>
      </c>
      <c r="D1690" s="100" t="str">
        <f t="shared" si="1"/>
        <v/>
      </c>
      <c r="E1690" s="100" t="str">
        <f t="shared" si="2"/>
        <v/>
      </c>
      <c r="F1690" s="100" t="str">
        <f t="shared" si="3"/>
        <v/>
      </c>
      <c r="G1690" s="151"/>
      <c r="H1690" s="160"/>
      <c r="I1690" s="157"/>
      <c r="J1690" s="161"/>
      <c r="L1690" s="94"/>
      <c r="M1690" s="159"/>
      <c r="N1690" s="94"/>
    </row>
    <row r="1691">
      <c r="A1691" s="107">
        <v>202691.0</v>
      </c>
      <c r="B1691" s="108" t="s">
        <v>215</v>
      </c>
      <c r="C1691" s="108" t="s">
        <v>532</v>
      </c>
      <c r="D1691" s="100" t="str">
        <f t="shared" si="1"/>
        <v/>
      </c>
      <c r="E1691" s="100" t="str">
        <f t="shared" si="2"/>
        <v/>
      </c>
      <c r="F1691" s="100" t="str">
        <f t="shared" si="3"/>
        <v/>
      </c>
      <c r="G1691" s="151"/>
      <c r="H1691" s="156"/>
      <c r="I1691" s="157"/>
      <c r="J1691" s="158"/>
      <c r="L1691" s="94"/>
      <c r="M1691" s="159"/>
      <c r="N1691" s="94"/>
    </row>
    <row r="1692">
      <c r="A1692" s="107">
        <v>202691.0</v>
      </c>
      <c r="B1692" s="108" t="s">
        <v>244</v>
      </c>
      <c r="C1692" s="108" t="s">
        <v>532</v>
      </c>
      <c r="D1692" s="100" t="str">
        <f t="shared" si="1"/>
        <v/>
      </c>
      <c r="E1692" s="100" t="str">
        <f t="shared" si="2"/>
        <v/>
      </c>
      <c r="F1692" s="100" t="str">
        <f t="shared" si="3"/>
        <v/>
      </c>
      <c r="G1692" s="151"/>
      <c r="H1692" s="160"/>
      <c r="I1692" s="157"/>
      <c r="J1692" s="161"/>
      <c r="L1692" s="94"/>
      <c r="M1692" s="159"/>
      <c r="N1692" s="94"/>
    </row>
    <row r="1693">
      <c r="A1693" s="107">
        <v>202691.0</v>
      </c>
      <c r="B1693" s="108" t="s">
        <v>245</v>
      </c>
      <c r="C1693" s="108" t="s">
        <v>532</v>
      </c>
      <c r="D1693" s="100" t="str">
        <f t="shared" si="1"/>
        <v/>
      </c>
      <c r="E1693" s="100" t="str">
        <f t="shared" si="2"/>
        <v/>
      </c>
      <c r="F1693" s="100" t="str">
        <f t="shared" si="3"/>
        <v/>
      </c>
      <c r="G1693" s="151"/>
      <c r="H1693" s="156"/>
      <c r="I1693" s="157"/>
      <c r="J1693" s="158"/>
      <c r="L1693" s="94"/>
      <c r="M1693" s="159"/>
      <c r="N1693" s="94"/>
    </row>
    <row r="1694">
      <c r="A1694" s="107">
        <v>202691.0</v>
      </c>
      <c r="B1694" s="108" t="s">
        <v>246</v>
      </c>
      <c r="C1694" s="108" t="s">
        <v>532</v>
      </c>
      <c r="D1694" s="100" t="str">
        <f t="shared" si="1"/>
        <v/>
      </c>
      <c r="E1694" s="100" t="str">
        <f t="shared" si="2"/>
        <v/>
      </c>
      <c r="F1694" s="100" t="str">
        <f t="shared" si="3"/>
        <v/>
      </c>
      <c r="G1694" s="151"/>
      <c r="H1694" s="160"/>
      <c r="I1694" s="157"/>
      <c r="J1694" s="161"/>
      <c r="L1694" s="94"/>
      <c r="M1694" s="159"/>
      <c r="N1694" s="94"/>
    </row>
    <row r="1695">
      <c r="A1695" s="149">
        <v>202691.0</v>
      </c>
      <c r="B1695" s="115" t="s">
        <v>247</v>
      </c>
      <c r="C1695" s="115" t="s">
        <v>532</v>
      </c>
      <c r="D1695" s="100" t="str">
        <f t="shared" si="1"/>
        <v/>
      </c>
      <c r="E1695" s="100" t="str">
        <f t="shared" si="2"/>
        <v/>
      </c>
      <c r="F1695" s="100" t="str">
        <f t="shared" si="3"/>
        <v/>
      </c>
      <c r="G1695" s="151"/>
      <c r="H1695" s="156"/>
      <c r="I1695" s="157"/>
      <c r="J1695" s="158"/>
      <c r="L1695" s="94"/>
      <c r="M1695" s="159"/>
      <c r="N1695" s="94"/>
    </row>
    <row r="1696">
      <c r="A1696" s="21">
        <v>202692.0</v>
      </c>
      <c r="B1696" s="164" t="s">
        <v>85</v>
      </c>
      <c r="C1696" s="164" t="s">
        <v>533</v>
      </c>
      <c r="D1696" s="100" t="str">
        <f t="shared" si="1"/>
        <v/>
      </c>
      <c r="E1696" s="100" t="str">
        <f t="shared" si="2"/>
        <v/>
      </c>
      <c r="F1696" s="100" t="str">
        <f t="shared" si="3"/>
        <v/>
      </c>
      <c r="G1696" s="151"/>
      <c r="H1696" s="160"/>
      <c r="I1696" s="157"/>
      <c r="J1696" s="161"/>
      <c r="L1696" s="94"/>
      <c r="M1696" s="159"/>
      <c r="N1696" s="94"/>
    </row>
    <row r="1697">
      <c r="A1697" s="107">
        <v>202692.0</v>
      </c>
      <c r="B1697" s="108" t="s">
        <v>90</v>
      </c>
      <c r="C1697" s="108" t="s">
        <v>533</v>
      </c>
      <c r="D1697" s="100" t="str">
        <f t="shared" si="1"/>
        <v/>
      </c>
      <c r="E1697" s="100" t="str">
        <f t="shared" si="2"/>
        <v/>
      </c>
      <c r="F1697" s="100" t="str">
        <f t="shared" si="3"/>
        <v/>
      </c>
      <c r="G1697" s="151"/>
      <c r="H1697" s="156"/>
      <c r="I1697" s="157"/>
      <c r="J1697" s="158"/>
      <c r="L1697" s="94"/>
      <c r="M1697" s="159"/>
      <c r="N1697" s="94"/>
    </row>
    <row r="1698">
      <c r="A1698" s="107">
        <v>202692.0</v>
      </c>
      <c r="B1698" s="108" t="s">
        <v>92</v>
      </c>
      <c r="C1698" s="108" t="s">
        <v>533</v>
      </c>
      <c r="D1698" s="100" t="str">
        <f t="shared" si="1"/>
        <v/>
      </c>
      <c r="E1698" s="100" t="str">
        <f t="shared" si="2"/>
        <v/>
      </c>
      <c r="F1698" s="100" t="str">
        <f t="shared" si="3"/>
        <v/>
      </c>
      <c r="G1698" s="151"/>
      <c r="H1698" s="160"/>
      <c r="I1698" s="157"/>
      <c r="J1698" s="161"/>
      <c r="L1698" s="94"/>
      <c r="M1698" s="159"/>
      <c r="N1698" s="94"/>
    </row>
    <row r="1699">
      <c r="A1699" s="107">
        <v>202692.0</v>
      </c>
      <c r="B1699" s="108" t="s">
        <v>190</v>
      </c>
      <c r="C1699" s="108" t="s">
        <v>533</v>
      </c>
      <c r="D1699" s="100" t="str">
        <f t="shared" si="1"/>
        <v/>
      </c>
      <c r="E1699" s="100" t="str">
        <f t="shared" si="2"/>
        <v/>
      </c>
      <c r="F1699" s="100" t="str">
        <f t="shared" si="3"/>
        <v/>
      </c>
      <c r="G1699" s="151"/>
      <c r="H1699" s="156"/>
      <c r="I1699" s="157"/>
      <c r="J1699" s="158"/>
      <c r="L1699" s="94"/>
      <c r="M1699" s="159"/>
      <c r="N1699" s="94"/>
    </row>
    <row r="1700">
      <c r="A1700" s="107">
        <v>202692.0</v>
      </c>
      <c r="B1700" s="108" t="s">
        <v>191</v>
      </c>
      <c r="C1700" s="108" t="s">
        <v>533</v>
      </c>
      <c r="D1700" s="100" t="str">
        <f t="shared" si="1"/>
        <v/>
      </c>
      <c r="E1700" s="100" t="str">
        <f t="shared" si="2"/>
        <v/>
      </c>
      <c r="F1700" s="100" t="str">
        <f t="shared" si="3"/>
        <v/>
      </c>
      <c r="G1700" s="151"/>
      <c r="H1700" s="160"/>
      <c r="I1700" s="157"/>
      <c r="J1700" s="161"/>
      <c r="L1700" s="94"/>
      <c r="M1700" s="159"/>
      <c r="N1700" s="94"/>
    </row>
    <row r="1701">
      <c r="A1701" s="107">
        <v>202692.0</v>
      </c>
      <c r="B1701" s="108" t="s">
        <v>192</v>
      </c>
      <c r="C1701" s="108" t="s">
        <v>533</v>
      </c>
      <c r="D1701" s="100" t="str">
        <f t="shared" si="1"/>
        <v/>
      </c>
      <c r="E1701" s="100" t="str">
        <f t="shared" si="2"/>
        <v/>
      </c>
      <c r="F1701" s="100" t="str">
        <f t="shared" si="3"/>
        <v/>
      </c>
      <c r="G1701" s="151"/>
      <c r="H1701" s="156"/>
      <c r="I1701" s="157"/>
      <c r="J1701" s="158"/>
      <c r="L1701" s="94"/>
      <c r="M1701" s="159"/>
      <c r="N1701" s="94"/>
    </row>
    <row r="1702">
      <c r="A1702" s="107">
        <v>202692.0</v>
      </c>
      <c r="B1702" s="108" t="s">
        <v>193</v>
      </c>
      <c r="C1702" s="108" t="s">
        <v>533</v>
      </c>
      <c r="D1702" s="100" t="str">
        <f t="shared" si="1"/>
        <v/>
      </c>
      <c r="E1702" s="100" t="str">
        <f t="shared" si="2"/>
        <v/>
      </c>
      <c r="F1702" s="100" t="str">
        <f t="shared" si="3"/>
        <v/>
      </c>
      <c r="G1702" s="151"/>
      <c r="H1702" s="160"/>
      <c r="I1702" s="157"/>
      <c r="J1702" s="161"/>
      <c r="L1702" s="94"/>
      <c r="M1702" s="159"/>
      <c r="N1702" s="94"/>
    </row>
    <row r="1703">
      <c r="A1703" s="107">
        <v>202692.0</v>
      </c>
      <c r="B1703" s="108" t="s">
        <v>243</v>
      </c>
      <c r="C1703" s="108" t="s">
        <v>533</v>
      </c>
      <c r="D1703" s="100" t="str">
        <f t="shared" si="1"/>
        <v/>
      </c>
      <c r="E1703" s="100" t="str">
        <f t="shared" si="2"/>
        <v/>
      </c>
      <c r="F1703" s="100" t="str">
        <f t="shared" si="3"/>
        <v/>
      </c>
      <c r="G1703" s="151"/>
      <c r="H1703" s="156"/>
      <c r="I1703" s="157"/>
      <c r="J1703" s="158"/>
      <c r="L1703" s="94"/>
      <c r="M1703" s="159"/>
      <c r="N1703" s="94"/>
    </row>
    <row r="1704">
      <c r="A1704" s="107">
        <v>202692.0</v>
      </c>
      <c r="B1704" s="108" t="s">
        <v>215</v>
      </c>
      <c r="C1704" s="108" t="s">
        <v>533</v>
      </c>
      <c r="D1704" s="100" t="str">
        <f t="shared" si="1"/>
        <v/>
      </c>
      <c r="E1704" s="100" t="str">
        <f t="shared" si="2"/>
        <v/>
      </c>
      <c r="F1704" s="100" t="str">
        <f t="shared" si="3"/>
        <v/>
      </c>
      <c r="G1704" s="151"/>
      <c r="H1704" s="160"/>
      <c r="I1704" s="157"/>
      <c r="J1704" s="161"/>
      <c r="L1704" s="94"/>
      <c r="M1704" s="159"/>
      <c r="N1704" s="94"/>
    </row>
    <row r="1705">
      <c r="A1705" s="107">
        <v>202692.0</v>
      </c>
      <c r="B1705" s="108" t="s">
        <v>244</v>
      </c>
      <c r="C1705" s="108" t="s">
        <v>533</v>
      </c>
      <c r="D1705" s="100" t="str">
        <f t="shared" si="1"/>
        <v/>
      </c>
      <c r="E1705" s="100" t="str">
        <f t="shared" si="2"/>
        <v/>
      </c>
      <c r="F1705" s="100" t="str">
        <f t="shared" si="3"/>
        <v/>
      </c>
      <c r="G1705" s="151"/>
      <c r="H1705" s="156"/>
      <c r="I1705" s="157"/>
      <c r="J1705" s="158"/>
      <c r="L1705" s="94"/>
      <c r="M1705" s="159"/>
      <c r="N1705" s="94"/>
    </row>
    <row r="1706">
      <c r="A1706" s="107">
        <v>202692.0</v>
      </c>
      <c r="B1706" s="108" t="s">
        <v>245</v>
      </c>
      <c r="C1706" s="108" t="s">
        <v>533</v>
      </c>
      <c r="D1706" s="100" t="str">
        <f t="shared" si="1"/>
        <v/>
      </c>
      <c r="E1706" s="100" t="str">
        <f t="shared" si="2"/>
        <v/>
      </c>
      <c r="F1706" s="100" t="str">
        <f t="shared" si="3"/>
        <v/>
      </c>
      <c r="G1706" s="151"/>
      <c r="H1706" s="160"/>
      <c r="I1706" s="157"/>
      <c r="J1706" s="161"/>
      <c r="L1706" s="94"/>
      <c r="M1706" s="159"/>
      <c r="N1706" s="94"/>
    </row>
    <row r="1707">
      <c r="A1707" s="107">
        <v>202692.0</v>
      </c>
      <c r="B1707" s="108" t="s">
        <v>246</v>
      </c>
      <c r="C1707" s="108" t="s">
        <v>533</v>
      </c>
      <c r="D1707" s="100" t="str">
        <f t="shared" si="1"/>
        <v/>
      </c>
      <c r="E1707" s="100" t="str">
        <f t="shared" si="2"/>
        <v/>
      </c>
      <c r="F1707" s="100" t="str">
        <f t="shared" si="3"/>
        <v/>
      </c>
      <c r="G1707" s="151"/>
      <c r="H1707" s="156"/>
      <c r="I1707" s="157"/>
      <c r="J1707" s="158"/>
      <c r="L1707" s="94"/>
      <c r="M1707" s="159"/>
      <c r="N1707" s="94"/>
    </row>
    <row r="1708">
      <c r="A1708" s="107">
        <v>202693.0</v>
      </c>
      <c r="B1708" s="108" t="s">
        <v>85</v>
      </c>
      <c r="C1708" s="108" t="s">
        <v>534</v>
      </c>
      <c r="D1708" s="100" t="str">
        <f t="shared" si="1"/>
        <v/>
      </c>
      <c r="E1708" s="100" t="str">
        <f t="shared" si="2"/>
        <v/>
      </c>
      <c r="F1708" s="100" t="str">
        <f t="shared" si="3"/>
        <v/>
      </c>
      <c r="G1708" s="151"/>
      <c r="H1708" s="160"/>
      <c r="I1708" s="157"/>
      <c r="J1708" s="161"/>
      <c r="L1708" s="94"/>
      <c r="M1708" s="159"/>
      <c r="N1708" s="94"/>
    </row>
    <row r="1709">
      <c r="A1709" s="107">
        <v>202693.0</v>
      </c>
      <c r="B1709" s="108" t="s">
        <v>90</v>
      </c>
      <c r="C1709" s="108" t="s">
        <v>534</v>
      </c>
      <c r="D1709" s="100" t="str">
        <f t="shared" si="1"/>
        <v/>
      </c>
      <c r="E1709" s="100" t="str">
        <f t="shared" si="2"/>
        <v/>
      </c>
      <c r="F1709" s="100" t="str">
        <f t="shared" si="3"/>
        <v/>
      </c>
      <c r="G1709" s="151"/>
      <c r="H1709" s="156"/>
      <c r="I1709" s="157"/>
      <c r="J1709" s="158"/>
      <c r="L1709" s="94"/>
      <c r="M1709" s="159"/>
      <c r="N1709" s="94"/>
    </row>
    <row r="1710">
      <c r="A1710" s="107">
        <v>202693.0</v>
      </c>
      <c r="B1710" s="108" t="s">
        <v>92</v>
      </c>
      <c r="C1710" s="108" t="s">
        <v>534</v>
      </c>
      <c r="D1710" s="100" t="str">
        <f t="shared" si="1"/>
        <v/>
      </c>
      <c r="E1710" s="100" t="str">
        <f t="shared" si="2"/>
        <v/>
      </c>
      <c r="F1710" s="100" t="str">
        <f t="shared" si="3"/>
        <v/>
      </c>
      <c r="G1710" s="151"/>
      <c r="H1710" s="160"/>
      <c r="I1710" s="157"/>
      <c r="J1710" s="161"/>
      <c r="L1710" s="94"/>
      <c r="M1710" s="159"/>
      <c r="N1710" s="94"/>
    </row>
    <row r="1711">
      <c r="A1711" s="107">
        <v>202693.0</v>
      </c>
      <c r="B1711" s="108" t="s">
        <v>190</v>
      </c>
      <c r="C1711" s="108" t="s">
        <v>534</v>
      </c>
      <c r="D1711" s="100" t="str">
        <f t="shared" si="1"/>
        <v/>
      </c>
      <c r="E1711" s="100" t="str">
        <f t="shared" si="2"/>
        <v/>
      </c>
      <c r="F1711" s="100" t="str">
        <f t="shared" si="3"/>
        <v/>
      </c>
      <c r="G1711" s="151"/>
      <c r="H1711" s="156"/>
      <c r="I1711" s="162"/>
      <c r="J1711" s="158"/>
      <c r="L1711" s="94"/>
      <c r="M1711" s="159"/>
      <c r="N1711" s="94"/>
    </row>
    <row r="1712">
      <c r="A1712" s="107">
        <v>202693.0</v>
      </c>
      <c r="B1712" s="108" t="s">
        <v>191</v>
      </c>
      <c r="C1712" s="108" t="s">
        <v>534</v>
      </c>
      <c r="D1712" s="100" t="str">
        <f t="shared" si="1"/>
        <v/>
      </c>
      <c r="E1712" s="100" t="str">
        <f t="shared" si="2"/>
        <v/>
      </c>
      <c r="F1712" s="100" t="str">
        <f t="shared" si="3"/>
        <v/>
      </c>
      <c r="G1712" s="151"/>
      <c r="H1712" s="160"/>
      <c r="I1712" s="157"/>
      <c r="J1712" s="161"/>
      <c r="L1712" s="94"/>
      <c r="M1712" s="159"/>
      <c r="N1712" s="94"/>
    </row>
    <row r="1713">
      <c r="A1713" s="107">
        <v>202693.0</v>
      </c>
      <c r="B1713" s="108" t="s">
        <v>192</v>
      </c>
      <c r="C1713" s="108" t="s">
        <v>534</v>
      </c>
      <c r="D1713" s="100" t="str">
        <f t="shared" si="1"/>
        <v/>
      </c>
      <c r="E1713" s="100" t="str">
        <f t="shared" si="2"/>
        <v/>
      </c>
      <c r="F1713" s="100" t="str">
        <f t="shared" si="3"/>
        <v/>
      </c>
      <c r="G1713" s="151"/>
      <c r="H1713" s="156"/>
      <c r="I1713" s="157"/>
      <c r="J1713" s="158"/>
      <c r="L1713" s="94"/>
      <c r="M1713" s="159"/>
      <c r="N1713" s="94"/>
    </row>
    <row r="1714">
      <c r="A1714" s="107">
        <v>202693.0</v>
      </c>
      <c r="B1714" s="108" t="s">
        <v>193</v>
      </c>
      <c r="C1714" s="108" t="s">
        <v>534</v>
      </c>
      <c r="D1714" s="100" t="str">
        <f t="shared" si="1"/>
        <v/>
      </c>
      <c r="E1714" s="100" t="str">
        <f t="shared" si="2"/>
        <v/>
      </c>
      <c r="F1714" s="100" t="str">
        <f t="shared" si="3"/>
        <v/>
      </c>
      <c r="G1714" s="151"/>
      <c r="H1714" s="160"/>
      <c r="I1714" s="157"/>
      <c r="J1714" s="161"/>
      <c r="L1714" s="94"/>
      <c r="M1714" s="159"/>
      <c r="N1714" s="94"/>
    </row>
    <row r="1715">
      <c r="A1715" s="107">
        <v>202693.0</v>
      </c>
      <c r="B1715" s="108" t="s">
        <v>243</v>
      </c>
      <c r="C1715" s="108" t="s">
        <v>534</v>
      </c>
      <c r="D1715" s="100" t="str">
        <f t="shared" si="1"/>
        <v/>
      </c>
      <c r="E1715" s="100" t="str">
        <f t="shared" si="2"/>
        <v/>
      </c>
      <c r="F1715" s="100" t="str">
        <f t="shared" si="3"/>
        <v/>
      </c>
      <c r="G1715" s="151"/>
      <c r="H1715" s="156"/>
      <c r="I1715" s="162"/>
      <c r="J1715" s="158"/>
      <c r="L1715" s="94"/>
      <c r="M1715" s="159"/>
      <c r="N1715" s="94"/>
    </row>
    <row r="1716">
      <c r="A1716" s="107">
        <v>202693.0</v>
      </c>
      <c r="B1716" s="108" t="s">
        <v>215</v>
      </c>
      <c r="C1716" s="108" t="s">
        <v>534</v>
      </c>
      <c r="D1716" s="100" t="str">
        <f t="shared" si="1"/>
        <v/>
      </c>
      <c r="E1716" s="100" t="str">
        <f t="shared" si="2"/>
        <v/>
      </c>
      <c r="F1716" s="100" t="str">
        <f t="shared" si="3"/>
        <v/>
      </c>
      <c r="G1716" s="151"/>
      <c r="H1716" s="160"/>
      <c r="I1716" s="157"/>
      <c r="J1716" s="161"/>
      <c r="L1716" s="94"/>
      <c r="M1716" s="159"/>
      <c r="N1716" s="94"/>
    </row>
    <row r="1717">
      <c r="A1717" s="107">
        <v>202693.0</v>
      </c>
      <c r="B1717" s="108" t="s">
        <v>244</v>
      </c>
      <c r="C1717" s="108" t="s">
        <v>534</v>
      </c>
      <c r="D1717" s="100" t="str">
        <f t="shared" si="1"/>
        <v/>
      </c>
      <c r="E1717" s="100" t="str">
        <f t="shared" si="2"/>
        <v/>
      </c>
      <c r="F1717" s="100" t="str">
        <f t="shared" si="3"/>
        <v/>
      </c>
      <c r="G1717" s="151"/>
      <c r="H1717" s="156"/>
      <c r="I1717" s="157"/>
      <c r="J1717" s="158"/>
      <c r="L1717" s="94"/>
      <c r="M1717" s="159"/>
      <c r="N1717" s="94"/>
    </row>
    <row r="1718">
      <c r="A1718" s="107">
        <v>202693.0</v>
      </c>
      <c r="B1718" s="108" t="s">
        <v>245</v>
      </c>
      <c r="C1718" s="108" t="s">
        <v>534</v>
      </c>
      <c r="D1718" s="100" t="str">
        <f t="shared" si="1"/>
        <v/>
      </c>
      <c r="E1718" s="100" t="str">
        <f t="shared" si="2"/>
        <v/>
      </c>
      <c r="F1718" s="100" t="str">
        <f t="shared" si="3"/>
        <v/>
      </c>
      <c r="G1718" s="151"/>
      <c r="H1718" s="160"/>
      <c r="I1718" s="157"/>
      <c r="J1718" s="161"/>
      <c r="L1718" s="94"/>
      <c r="M1718" s="159"/>
      <c r="N1718" s="94"/>
    </row>
    <row r="1719">
      <c r="A1719" s="107">
        <v>202693.0</v>
      </c>
      <c r="B1719" s="108" t="s">
        <v>246</v>
      </c>
      <c r="C1719" s="108" t="s">
        <v>534</v>
      </c>
      <c r="D1719" s="100" t="str">
        <f t="shared" si="1"/>
        <v/>
      </c>
      <c r="E1719" s="100" t="str">
        <f t="shared" si="2"/>
        <v/>
      </c>
      <c r="F1719" s="100" t="str">
        <f t="shared" si="3"/>
        <v/>
      </c>
      <c r="G1719" s="151"/>
      <c r="H1719" s="156"/>
      <c r="I1719" s="157"/>
      <c r="J1719" s="158"/>
      <c r="L1719" s="94"/>
      <c r="M1719" s="159"/>
      <c r="N1719" s="94"/>
    </row>
    <row r="1720">
      <c r="A1720" s="107">
        <v>202694.0</v>
      </c>
      <c r="B1720" s="108" t="s">
        <v>85</v>
      </c>
      <c r="C1720" s="108" t="s">
        <v>535</v>
      </c>
      <c r="D1720" s="100" t="str">
        <f t="shared" si="1"/>
        <v/>
      </c>
      <c r="E1720" s="100" t="str">
        <f t="shared" si="2"/>
        <v/>
      </c>
      <c r="F1720" s="100" t="str">
        <f t="shared" si="3"/>
        <v/>
      </c>
      <c r="G1720" s="151"/>
      <c r="H1720" s="160"/>
      <c r="I1720" s="157"/>
      <c r="J1720" s="161"/>
      <c r="L1720" s="94"/>
      <c r="M1720" s="159"/>
      <c r="N1720" s="94"/>
    </row>
    <row r="1721">
      <c r="A1721" s="107">
        <v>202694.0</v>
      </c>
      <c r="B1721" s="108" t="s">
        <v>90</v>
      </c>
      <c r="C1721" s="108" t="s">
        <v>535</v>
      </c>
      <c r="D1721" s="100" t="str">
        <f t="shared" si="1"/>
        <v/>
      </c>
      <c r="E1721" s="100" t="str">
        <f t="shared" si="2"/>
        <v/>
      </c>
      <c r="F1721" s="100" t="str">
        <f t="shared" si="3"/>
        <v/>
      </c>
      <c r="G1721" s="151"/>
      <c r="H1721" s="156"/>
      <c r="I1721" s="157"/>
      <c r="J1721" s="158"/>
      <c r="L1721" s="94"/>
      <c r="M1721" s="159"/>
      <c r="N1721" s="94"/>
    </row>
    <row r="1722">
      <c r="A1722" s="107">
        <v>202694.0</v>
      </c>
      <c r="B1722" s="108" t="s">
        <v>92</v>
      </c>
      <c r="C1722" s="108" t="s">
        <v>535</v>
      </c>
      <c r="D1722" s="100" t="str">
        <f t="shared" si="1"/>
        <v/>
      </c>
      <c r="E1722" s="100" t="str">
        <f t="shared" si="2"/>
        <v/>
      </c>
      <c r="F1722" s="100" t="str">
        <f t="shared" si="3"/>
        <v/>
      </c>
      <c r="G1722" s="151"/>
      <c r="H1722" s="160"/>
      <c r="I1722" s="157"/>
      <c r="J1722" s="161"/>
      <c r="L1722" s="94"/>
      <c r="M1722" s="159"/>
      <c r="N1722" s="94"/>
    </row>
    <row r="1723">
      <c r="A1723" s="107">
        <v>202694.0</v>
      </c>
      <c r="B1723" s="108" t="s">
        <v>190</v>
      </c>
      <c r="C1723" s="108" t="s">
        <v>535</v>
      </c>
      <c r="D1723" s="100" t="str">
        <f t="shared" si="1"/>
        <v/>
      </c>
      <c r="E1723" s="100" t="str">
        <f t="shared" si="2"/>
        <v/>
      </c>
      <c r="F1723" s="100" t="str">
        <f t="shared" si="3"/>
        <v/>
      </c>
      <c r="G1723" s="151"/>
      <c r="H1723" s="156"/>
      <c r="I1723" s="157"/>
      <c r="J1723" s="158"/>
      <c r="L1723" s="94"/>
      <c r="M1723" s="159"/>
      <c r="N1723" s="94"/>
    </row>
    <row r="1724">
      <c r="A1724" s="107">
        <v>202694.0</v>
      </c>
      <c r="B1724" s="108" t="s">
        <v>191</v>
      </c>
      <c r="C1724" s="108" t="s">
        <v>535</v>
      </c>
      <c r="D1724" s="100" t="str">
        <f t="shared" si="1"/>
        <v/>
      </c>
      <c r="E1724" s="100" t="str">
        <f t="shared" si="2"/>
        <v/>
      </c>
      <c r="F1724" s="100" t="str">
        <f t="shared" si="3"/>
        <v/>
      </c>
      <c r="G1724" s="151"/>
      <c r="H1724" s="160"/>
      <c r="I1724" s="157"/>
      <c r="J1724" s="161"/>
      <c r="L1724" s="94"/>
      <c r="M1724" s="159"/>
      <c r="N1724" s="94"/>
    </row>
    <row r="1725">
      <c r="A1725" s="107">
        <v>202694.0</v>
      </c>
      <c r="B1725" s="108" t="s">
        <v>192</v>
      </c>
      <c r="C1725" s="108" t="s">
        <v>535</v>
      </c>
      <c r="D1725" s="100" t="str">
        <f t="shared" si="1"/>
        <v/>
      </c>
      <c r="E1725" s="100" t="str">
        <f t="shared" si="2"/>
        <v/>
      </c>
      <c r="F1725" s="100" t="str">
        <f t="shared" si="3"/>
        <v/>
      </c>
      <c r="G1725" s="151"/>
      <c r="H1725" s="156"/>
      <c r="I1725" s="157"/>
      <c r="J1725" s="158"/>
      <c r="L1725" s="94"/>
      <c r="M1725" s="159"/>
      <c r="N1725" s="94"/>
    </row>
    <row r="1726">
      <c r="A1726" s="107">
        <v>202694.0</v>
      </c>
      <c r="B1726" s="108" t="s">
        <v>193</v>
      </c>
      <c r="C1726" s="108" t="s">
        <v>535</v>
      </c>
      <c r="D1726" s="100" t="str">
        <f t="shared" si="1"/>
        <v/>
      </c>
      <c r="E1726" s="100" t="str">
        <f t="shared" si="2"/>
        <v/>
      </c>
      <c r="F1726" s="100" t="str">
        <f t="shared" si="3"/>
        <v/>
      </c>
      <c r="G1726" s="151"/>
      <c r="H1726" s="160"/>
      <c r="I1726" s="157"/>
      <c r="J1726" s="161"/>
      <c r="L1726" s="94"/>
      <c r="M1726" s="159"/>
      <c r="N1726" s="94"/>
    </row>
    <row r="1727">
      <c r="A1727" s="107">
        <v>202694.0</v>
      </c>
      <c r="B1727" s="108" t="s">
        <v>243</v>
      </c>
      <c r="C1727" s="108" t="s">
        <v>535</v>
      </c>
      <c r="D1727" s="100" t="str">
        <f t="shared" si="1"/>
        <v/>
      </c>
      <c r="E1727" s="100" t="str">
        <f t="shared" si="2"/>
        <v/>
      </c>
      <c r="F1727" s="100" t="str">
        <f t="shared" si="3"/>
        <v/>
      </c>
      <c r="G1727" s="151"/>
      <c r="H1727" s="156"/>
      <c r="I1727" s="157"/>
      <c r="J1727" s="158"/>
      <c r="L1727" s="94"/>
      <c r="M1727" s="159"/>
      <c r="N1727" s="94"/>
    </row>
    <row r="1728">
      <c r="A1728" s="107">
        <v>202694.0</v>
      </c>
      <c r="B1728" s="108" t="s">
        <v>215</v>
      </c>
      <c r="C1728" s="108" t="s">
        <v>535</v>
      </c>
      <c r="D1728" s="100" t="str">
        <f t="shared" si="1"/>
        <v/>
      </c>
      <c r="E1728" s="100" t="str">
        <f t="shared" si="2"/>
        <v/>
      </c>
      <c r="F1728" s="100" t="str">
        <f t="shared" si="3"/>
        <v/>
      </c>
      <c r="G1728" s="151"/>
      <c r="H1728" s="160"/>
      <c r="I1728" s="157"/>
      <c r="J1728" s="161"/>
      <c r="L1728" s="94"/>
      <c r="M1728" s="159"/>
      <c r="N1728" s="94"/>
    </row>
    <row r="1729">
      <c r="A1729" s="107">
        <v>202694.0</v>
      </c>
      <c r="B1729" s="108" t="s">
        <v>244</v>
      </c>
      <c r="C1729" s="108" t="s">
        <v>535</v>
      </c>
      <c r="D1729" s="100" t="str">
        <f t="shared" si="1"/>
        <v/>
      </c>
      <c r="E1729" s="100" t="str">
        <f t="shared" si="2"/>
        <v/>
      </c>
      <c r="F1729" s="100" t="str">
        <f t="shared" si="3"/>
        <v/>
      </c>
      <c r="G1729" s="151"/>
      <c r="H1729" s="156"/>
      <c r="I1729" s="157"/>
      <c r="J1729" s="158"/>
      <c r="L1729" s="94"/>
      <c r="M1729" s="159"/>
      <c r="N1729" s="94"/>
    </row>
    <row r="1730">
      <c r="A1730" s="107">
        <v>202694.0</v>
      </c>
      <c r="B1730" s="108" t="s">
        <v>245</v>
      </c>
      <c r="C1730" s="108" t="s">
        <v>535</v>
      </c>
      <c r="D1730" s="100" t="str">
        <f t="shared" si="1"/>
        <v/>
      </c>
      <c r="E1730" s="100" t="str">
        <f t="shared" si="2"/>
        <v/>
      </c>
      <c r="F1730" s="100" t="str">
        <f t="shared" si="3"/>
        <v/>
      </c>
      <c r="G1730" s="151"/>
      <c r="H1730" s="160"/>
      <c r="I1730" s="157"/>
      <c r="J1730" s="161"/>
      <c r="L1730" s="94"/>
      <c r="M1730" s="159"/>
      <c r="N1730" s="94"/>
    </row>
    <row r="1731">
      <c r="A1731" s="107">
        <v>202695.0</v>
      </c>
      <c r="B1731" s="108" t="s">
        <v>85</v>
      </c>
      <c r="C1731" s="108" t="s">
        <v>536</v>
      </c>
      <c r="D1731" s="100" t="str">
        <f t="shared" si="1"/>
        <v/>
      </c>
      <c r="E1731" s="100" t="str">
        <f t="shared" si="2"/>
        <v/>
      </c>
      <c r="F1731" s="100" t="str">
        <f t="shared" si="3"/>
        <v/>
      </c>
      <c r="G1731" s="151"/>
      <c r="H1731" s="156"/>
      <c r="I1731" s="157"/>
      <c r="J1731" s="158"/>
      <c r="L1731" s="94"/>
      <c r="M1731" s="159"/>
      <c r="N1731" s="94"/>
    </row>
    <row r="1732">
      <c r="A1732" s="107">
        <v>202695.0</v>
      </c>
      <c r="B1732" s="108" t="s">
        <v>90</v>
      </c>
      <c r="C1732" s="108" t="s">
        <v>536</v>
      </c>
      <c r="D1732" s="100" t="str">
        <f t="shared" si="1"/>
        <v/>
      </c>
      <c r="E1732" s="100" t="str">
        <f t="shared" si="2"/>
        <v/>
      </c>
      <c r="F1732" s="100" t="str">
        <f t="shared" si="3"/>
        <v/>
      </c>
      <c r="G1732" s="151"/>
      <c r="H1732" s="160"/>
      <c r="I1732" s="157"/>
      <c r="J1732" s="161"/>
      <c r="L1732" s="94"/>
      <c r="M1732" s="159"/>
      <c r="N1732" s="94"/>
    </row>
    <row r="1733">
      <c r="A1733" s="107">
        <v>202695.0</v>
      </c>
      <c r="B1733" s="108" t="s">
        <v>92</v>
      </c>
      <c r="C1733" s="108" t="s">
        <v>536</v>
      </c>
      <c r="D1733" s="100" t="str">
        <f t="shared" si="1"/>
        <v/>
      </c>
      <c r="E1733" s="100" t="str">
        <f t="shared" si="2"/>
        <v/>
      </c>
      <c r="F1733" s="100" t="str">
        <f t="shared" si="3"/>
        <v/>
      </c>
      <c r="G1733" s="151"/>
      <c r="H1733" s="156"/>
      <c r="I1733" s="157"/>
      <c r="J1733" s="158"/>
      <c r="L1733" s="94"/>
      <c r="M1733" s="159"/>
      <c r="N1733" s="94"/>
    </row>
    <row r="1734">
      <c r="A1734" s="107">
        <v>202695.0</v>
      </c>
      <c r="B1734" s="108" t="s">
        <v>190</v>
      </c>
      <c r="C1734" s="108" t="s">
        <v>536</v>
      </c>
      <c r="D1734" s="100" t="str">
        <f t="shared" si="1"/>
        <v/>
      </c>
      <c r="E1734" s="100" t="str">
        <f t="shared" si="2"/>
        <v/>
      </c>
      <c r="F1734" s="100" t="str">
        <f t="shared" si="3"/>
        <v/>
      </c>
      <c r="G1734" s="151"/>
      <c r="H1734" s="160"/>
      <c r="I1734" s="157"/>
      <c r="J1734" s="161"/>
      <c r="L1734" s="94"/>
      <c r="M1734" s="159"/>
      <c r="N1734" s="94"/>
    </row>
    <row r="1735">
      <c r="A1735" s="107">
        <v>202695.0</v>
      </c>
      <c r="B1735" s="108" t="s">
        <v>191</v>
      </c>
      <c r="C1735" s="108" t="s">
        <v>536</v>
      </c>
      <c r="D1735" s="100" t="str">
        <f t="shared" si="1"/>
        <v/>
      </c>
      <c r="E1735" s="100" t="str">
        <f t="shared" si="2"/>
        <v/>
      </c>
      <c r="F1735" s="100" t="str">
        <f t="shared" si="3"/>
        <v/>
      </c>
      <c r="G1735" s="151"/>
      <c r="H1735" s="156"/>
      <c r="I1735" s="157"/>
      <c r="J1735" s="158"/>
      <c r="L1735" s="94"/>
      <c r="M1735" s="159"/>
      <c r="N1735" s="94"/>
    </row>
    <row r="1736">
      <c r="A1736" s="107">
        <v>202695.0</v>
      </c>
      <c r="B1736" s="108" t="s">
        <v>192</v>
      </c>
      <c r="C1736" s="108" t="s">
        <v>536</v>
      </c>
      <c r="D1736" s="100" t="str">
        <f t="shared" si="1"/>
        <v/>
      </c>
      <c r="E1736" s="100" t="str">
        <f t="shared" si="2"/>
        <v/>
      </c>
      <c r="F1736" s="100" t="str">
        <f t="shared" si="3"/>
        <v/>
      </c>
      <c r="G1736" s="151"/>
      <c r="H1736" s="160"/>
      <c r="I1736" s="157"/>
      <c r="J1736" s="161"/>
      <c r="L1736" s="94"/>
      <c r="M1736" s="159"/>
      <c r="N1736" s="94"/>
    </row>
    <row r="1737">
      <c r="A1737" s="107">
        <v>202695.0</v>
      </c>
      <c r="B1737" s="108" t="s">
        <v>193</v>
      </c>
      <c r="C1737" s="108" t="s">
        <v>536</v>
      </c>
      <c r="D1737" s="100" t="str">
        <f t="shared" si="1"/>
        <v/>
      </c>
      <c r="E1737" s="100" t="str">
        <f t="shared" si="2"/>
        <v/>
      </c>
      <c r="F1737" s="100" t="str">
        <f t="shared" si="3"/>
        <v/>
      </c>
      <c r="G1737" s="151"/>
      <c r="H1737" s="156"/>
      <c r="I1737" s="157"/>
      <c r="J1737" s="158"/>
      <c r="L1737" s="94"/>
      <c r="M1737" s="159"/>
      <c r="N1737" s="94"/>
    </row>
    <row r="1738">
      <c r="A1738" s="107">
        <v>202695.0</v>
      </c>
      <c r="B1738" s="108" t="s">
        <v>243</v>
      </c>
      <c r="C1738" s="108" t="s">
        <v>536</v>
      </c>
      <c r="D1738" s="100" t="str">
        <f t="shared" si="1"/>
        <v/>
      </c>
      <c r="E1738" s="100" t="str">
        <f t="shared" si="2"/>
        <v/>
      </c>
      <c r="F1738" s="100" t="str">
        <f t="shared" si="3"/>
        <v/>
      </c>
      <c r="G1738" s="151"/>
      <c r="H1738" s="160"/>
      <c r="I1738" s="157"/>
      <c r="J1738" s="161"/>
      <c r="L1738" s="94"/>
      <c r="M1738" s="159"/>
      <c r="N1738" s="94"/>
    </row>
    <row r="1739">
      <c r="A1739" s="107">
        <v>202695.0</v>
      </c>
      <c r="B1739" s="108" t="s">
        <v>244</v>
      </c>
      <c r="C1739" s="108" t="s">
        <v>536</v>
      </c>
      <c r="D1739" s="100" t="str">
        <f t="shared" si="1"/>
        <v/>
      </c>
      <c r="E1739" s="100" t="str">
        <f t="shared" si="2"/>
        <v/>
      </c>
      <c r="F1739" s="100" t="str">
        <f t="shared" si="3"/>
        <v/>
      </c>
      <c r="G1739" s="151"/>
      <c r="H1739" s="156"/>
      <c r="I1739" s="157"/>
      <c r="J1739" s="158"/>
      <c r="L1739" s="94"/>
      <c r="M1739" s="159"/>
      <c r="N1739" s="94"/>
    </row>
    <row r="1740">
      <c r="A1740" s="107">
        <v>202695.0</v>
      </c>
      <c r="B1740" s="108" t="s">
        <v>245</v>
      </c>
      <c r="C1740" s="108" t="s">
        <v>536</v>
      </c>
      <c r="D1740" s="100" t="str">
        <f t="shared" si="1"/>
        <v/>
      </c>
      <c r="E1740" s="100" t="str">
        <f t="shared" si="2"/>
        <v/>
      </c>
      <c r="F1740" s="100" t="str">
        <f t="shared" si="3"/>
        <v/>
      </c>
      <c r="G1740" s="151"/>
      <c r="H1740" s="160"/>
      <c r="I1740" s="157"/>
      <c r="J1740" s="161"/>
      <c r="L1740" s="94"/>
      <c r="M1740" s="159"/>
      <c r="N1740" s="94"/>
    </row>
    <row r="1741">
      <c r="A1741" s="107">
        <v>202695.0</v>
      </c>
      <c r="B1741" s="108" t="s">
        <v>246</v>
      </c>
      <c r="C1741" s="108" t="s">
        <v>536</v>
      </c>
      <c r="D1741" s="100" t="str">
        <f t="shared" si="1"/>
        <v/>
      </c>
      <c r="E1741" s="100" t="str">
        <f t="shared" si="2"/>
        <v/>
      </c>
      <c r="F1741" s="100" t="str">
        <f t="shared" si="3"/>
        <v/>
      </c>
      <c r="G1741" s="151"/>
      <c r="H1741" s="156"/>
      <c r="I1741" s="157"/>
      <c r="J1741" s="158"/>
      <c r="L1741" s="94"/>
      <c r="M1741" s="159"/>
      <c r="N1741" s="94"/>
    </row>
    <row r="1742">
      <c r="A1742" s="149">
        <v>202695.0</v>
      </c>
      <c r="B1742" s="115" t="s">
        <v>247</v>
      </c>
      <c r="C1742" s="115" t="s">
        <v>536</v>
      </c>
      <c r="D1742" s="100" t="str">
        <f t="shared" si="1"/>
        <v/>
      </c>
      <c r="E1742" s="100" t="str">
        <f t="shared" si="2"/>
        <v/>
      </c>
      <c r="F1742" s="100" t="str">
        <f t="shared" si="3"/>
        <v/>
      </c>
      <c r="G1742" s="151"/>
      <c r="H1742" s="160"/>
      <c r="I1742" s="157"/>
      <c r="J1742" s="161"/>
      <c r="L1742" s="94"/>
      <c r="M1742" s="159"/>
      <c r="N1742" s="94"/>
    </row>
    <row r="1743">
      <c r="A1743" s="21">
        <v>202696.0</v>
      </c>
      <c r="B1743" s="164" t="s">
        <v>85</v>
      </c>
      <c r="C1743" s="164" t="s">
        <v>537</v>
      </c>
      <c r="D1743" s="100" t="str">
        <f t="shared" si="1"/>
        <v/>
      </c>
      <c r="E1743" s="100" t="str">
        <f t="shared" si="2"/>
        <v/>
      </c>
      <c r="F1743" s="100" t="str">
        <f t="shared" si="3"/>
        <v/>
      </c>
      <c r="G1743" s="151"/>
      <c r="H1743" s="156"/>
      <c r="I1743" s="157"/>
      <c r="J1743" s="158"/>
      <c r="L1743" s="94"/>
      <c r="M1743" s="159"/>
      <c r="N1743" s="94"/>
    </row>
    <row r="1744">
      <c r="A1744" s="107">
        <v>202696.0</v>
      </c>
      <c r="B1744" s="108" t="s">
        <v>90</v>
      </c>
      <c r="C1744" s="108" t="s">
        <v>537</v>
      </c>
      <c r="D1744" s="100" t="str">
        <f t="shared" si="1"/>
        <v/>
      </c>
      <c r="E1744" s="100" t="str">
        <f t="shared" si="2"/>
        <v/>
      </c>
      <c r="F1744" s="100" t="str">
        <f t="shared" si="3"/>
        <v/>
      </c>
      <c r="G1744" s="151"/>
      <c r="H1744" s="160"/>
      <c r="I1744" s="157"/>
      <c r="J1744" s="161"/>
      <c r="L1744" s="94"/>
      <c r="M1744" s="159"/>
      <c r="N1744" s="94"/>
    </row>
    <row r="1745">
      <c r="A1745" s="107">
        <v>202696.0</v>
      </c>
      <c r="B1745" s="108" t="s">
        <v>92</v>
      </c>
      <c r="C1745" s="108" t="s">
        <v>537</v>
      </c>
      <c r="D1745" s="100" t="str">
        <f t="shared" si="1"/>
        <v/>
      </c>
      <c r="E1745" s="100" t="str">
        <f t="shared" si="2"/>
        <v/>
      </c>
      <c r="F1745" s="100" t="str">
        <f t="shared" si="3"/>
        <v/>
      </c>
      <c r="G1745" s="151"/>
      <c r="H1745" s="156"/>
      <c r="I1745" s="157"/>
      <c r="J1745" s="158"/>
      <c r="L1745" s="94"/>
      <c r="M1745" s="159"/>
      <c r="N1745" s="94"/>
    </row>
    <row r="1746">
      <c r="A1746" s="107">
        <v>202696.0</v>
      </c>
      <c r="B1746" s="108" t="s">
        <v>190</v>
      </c>
      <c r="C1746" s="108" t="s">
        <v>537</v>
      </c>
      <c r="D1746" s="100" t="str">
        <f t="shared" si="1"/>
        <v/>
      </c>
      <c r="E1746" s="100" t="str">
        <f t="shared" si="2"/>
        <v/>
      </c>
      <c r="F1746" s="100" t="str">
        <f t="shared" si="3"/>
        <v/>
      </c>
      <c r="G1746" s="151"/>
      <c r="H1746" s="160"/>
      <c r="I1746" s="162"/>
      <c r="J1746" s="161"/>
      <c r="L1746" s="94"/>
      <c r="M1746" s="159"/>
      <c r="N1746" s="94"/>
    </row>
    <row r="1747">
      <c r="A1747" s="107">
        <v>202696.0</v>
      </c>
      <c r="B1747" s="108" t="s">
        <v>191</v>
      </c>
      <c r="C1747" s="108" t="s">
        <v>537</v>
      </c>
      <c r="D1747" s="100" t="str">
        <f t="shared" si="1"/>
        <v/>
      </c>
      <c r="E1747" s="100" t="str">
        <f t="shared" si="2"/>
        <v/>
      </c>
      <c r="F1747" s="100" t="str">
        <f t="shared" si="3"/>
        <v/>
      </c>
      <c r="G1747" s="151"/>
      <c r="H1747" s="156"/>
      <c r="I1747" s="157"/>
      <c r="J1747" s="158"/>
      <c r="L1747" s="94"/>
      <c r="M1747" s="159"/>
      <c r="N1747" s="94"/>
    </row>
    <row r="1748">
      <c r="A1748" s="107">
        <v>202696.0</v>
      </c>
      <c r="B1748" s="108" t="s">
        <v>192</v>
      </c>
      <c r="C1748" s="108" t="s">
        <v>537</v>
      </c>
      <c r="D1748" s="100" t="str">
        <f t="shared" si="1"/>
        <v/>
      </c>
      <c r="E1748" s="100" t="str">
        <f t="shared" si="2"/>
        <v/>
      </c>
      <c r="F1748" s="100" t="str">
        <f t="shared" si="3"/>
        <v/>
      </c>
      <c r="G1748" s="151"/>
      <c r="H1748" s="160"/>
      <c r="I1748" s="157"/>
      <c r="J1748" s="161"/>
      <c r="L1748" s="94"/>
      <c r="M1748" s="159"/>
      <c r="N1748" s="94"/>
    </row>
    <row r="1749">
      <c r="A1749" s="107">
        <v>202696.0</v>
      </c>
      <c r="B1749" s="108" t="s">
        <v>193</v>
      </c>
      <c r="C1749" s="108" t="s">
        <v>537</v>
      </c>
      <c r="D1749" s="100" t="str">
        <f t="shared" si="1"/>
        <v/>
      </c>
      <c r="E1749" s="100" t="str">
        <f t="shared" si="2"/>
        <v/>
      </c>
      <c r="F1749" s="100" t="str">
        <f t="shared" si="3"/>
        <v/>
      </c>
      <c r="G1749" s="151"/>
      <c r="H1749" s="156"/>
      <c r="I1749" s="157"/>
      <c r="J1749" s="158"/>
      <c r="L1749" s="94"/>
      <c r="M1749" s="159"/>
      <c r="N1749" s="94"/>
    </row>
    <row r="1750">
      <c r="A1750" s="107">
        <v>202696.0</v>
      </c>
      <c r="B1750" s="108" t="s">
        <v>243</v>
      </c>
      <c r="C1750" s="108" t="s">
        <v>537</v>
      </c>
      <c r="D1750" s="100" t="str">
        <f t="shared" si="1"/>
        <v/>
      </c>
      <c r="E1750" s="100" t="str">
        <f t="shared" si="2"/>
        <v/>
      </c>
      <c r="F1750" s="100" t="str">
        <f t="shared" si="3"/>
        <v/>
      </c>
      <c r="G1750" s="151"/>
      <c r="H1750" s="160"/>
      <c r="I1750" s="157"/>
      <c r="J1750" s="161"/>
      <c r="L1750" s="94"/>
      <c r="M1750" s="159"/>
      <c r="N1750" s="94"/>
    </row>
    <row r="1751">
      <c r="A1751" s="107">
        <v>202696.0</v>
      </c>
      <c r="B1751" s="108" t="s">
        <v>215</v>
      </c>
      <c r="C1751" s="108" t="s">
        <v>537</v>
      </c>
      <c r="D1751" s="100" t="str">
        <f t="shared" si="1"/>
        <v/>
      </c>
      <c r="E1751" s="100" t="str">
        <f t="shared" si="2"/>
        <v/>
      </c>
      <c r="F1751" s="100" t="str">
        <f t="shared" si="3"/>
        <v/>
      </c>
      <c r="G1751" s="151"/>
      <c r="H1751" s="156"/>
      <c r="I1751" s="157"/>
      <c r="J1751" s="158"/>
      <c r="L1751" s="94"/>
      <c r="M1751" s="159"/>
      <c r="N1751" s="94"/>
    </row>
    <row r="1752">
      <c r="A1752" s="107">
        <v>202696.0</v>
      </c>
      <c r="B1752" s="108" t="s">
        <v>244</v>
      </c>
      <c r="C1752" s="108" t="s">
        <v>537</v>
      </c>
      <c r="D1752" s="100" t="str">
        <f t="shared" si="1"/>
        <v/>
      </c>
      <c r="E1752" s="100" t="str">
        <f t="shared" si="2"/>
        <v/>
      </c>
      <c r="F1752" s="100" t="str">
        <f t="shared" si="3"/>
        <v/>
      </c>
      <c r="G1752" s="151"/>
      <c r="H1752" s="160"/>
      <c r="I1752" s="157"/>
      <c r="J1752" s="161"/>
      <c r="L1752" s="94"/>
      <c r="M1752" s="159"/>
      <c r="N1752" s="94"/>
    </row>
    <row r="1753">
      <c r="A1753" s="107">
        <v>202696.0</v>
      </c>
      <c r="B1753" s="108" t="s">
        <v>245</v>
      </c>
      <c r="C1753" s="108" t="s">
        <v>537</v>
      </c>
      <c r="D1753" s="100" t="str">
        <f t="shared" si="1"/>
        <v/>
      </c>
      <c r="E1753" s="100" t="str">
        <f t="shared" si="2"/>
        <v/>
      </c>
      <c r="F1753" s="100" t="str">
        <f t="shared" si="3"/>
        <v/>
      </c>
      <c r="G1753" s="151"/>
      <c r="H1753" s="156"/>
      <c r="I1753" s="157"/>
      <c r="J1753" s="158"/>
      <c r="L1753" s="94"/>
      <c r="M1753" s="159"/>
      <c r="N1753" s="94"/>
    </row>
    <row r="1754">
      <c r="A1754" s="107">
        <v>202696.0</v>
      </c>
      <c r="B1754" s="108" t="s">
        <v>246</v>
      </c>
      <c r="C1754" s="108" t="s">
        <v>537</v>
      </c>
      <c r="D1754" s="100" t="str">
        <f t="shared" si="1"/>
        <v/>
      </c>
      <c r="E1754" s="100" t="str">
        <f t="shared" si="2"/>
        <v/>
      </c>
      <c r="F1754" s="100" t="str">
        <f t="shared" si="3"/>
        <v/>
      </c>
      <c r="G1754" s="151"/>
      <c r="H1754" s="160"/>
      <c r="I1754" s="157"/>
      <c r="J1754" s="161"/>
      <c r="L1754" s="94"/>
      <c r="M1754" s="159"/>
      <c r="N1754" s="94"/>
    </row>
    <row r="1755">
      <c r="A1755" s="149">
        <v>202696.0</v>
      </c>
      <c r="B1755" s="115" t="s">
        <v>247</v>
      </c>
      <c r="C1755" s="108" t="s">
        <v>537</v>
      </c>
      <c r="D1755" s="100" t="str">
        <f t="shared" si="1"/>
        <v/>
      </c>
      <c r="E1755" s="100" t="str">
        <f t="shared" si="2"/>
        <v/>
      </c>
      <c r="F1755" s="100" t="str">
        <f t="shared" si="3"/>
        <v/>
      </c>
      <c r="G1755" s="151"/>
      <c r="H1755" s="156"/>
      <c r="I1755" s="157"/>
      <c r="J1755" s="158"/>
      <c r="L1755" s="94"/>
      <c r="M1755" s="159"/>
      <c r="N1755" s="94"/>
    </row>
    <row r="1756">
      <c r="A1756" s="21">
        <v>202697.0</v>
      </c>
      <c r="B1756" s="164" t="s">
        <v>85</v>
      </c>
      <c r="C1756" s="164" t="s">
        <v>538</v>
      </c>
      <c r="D1756" s="100" t="str">
        <f t="shared" si="1"/>
        <v/>
      </c>
      <c r="E1756" s="100" t="str">
        <f t="shared" si="2"/>
        <v/>
      </c>
      <c r="F1756" s="100" t="str">
        <f t="shared" si="3"/>
        <v/>
      </c>
      <c r="G1756" s="151"/>
      <c r="H1756" s="160"/>
      <c r="I1756" s="157"/>
      <c r="J1756" s="161"/>
      <c r="L1756" s="94"/>
      <c r="M1756" s="159"/>
      <c r="N1756" s="94"/>
    </row>
    <row r="1757">
      <c r="A1757" s="107">
        <v>202697.0</v>
      </c>
      <c r="B1757" s="108" t="s">
        <v>90</v>
      </c>
      <c r="C1757" s="108" t="s">
        <v>538</v>
      </c>
      <c r="D1757" s="100" t="str">
        <f t="shared" si="1"/>
        <v/>
      </c>
      <c r="E1757" s="100" t="str">
        <f t="shared" si="2"/>
        <v/>
      </c>
      <c r="F1757" s="100" t="str">
        <f t="shared" si="3"/>
        <v/>
      </c>
      <c r="G1757" s="151"/>
      <c r="H1757" s="156"/>
      <c r="I1757" s="157"/>
      <c r="J1757" s="158"/>
      <c r="L1757" s="94"/>
      <c r="M1757" s="159"/>
      <c r="N1757" s="94"/>
    </row>
    <row r="1758">
      <c r="A1758" s="107">
        <v>202697.0</v>
      </c>
      <c r="B1758" s="108" t="s">
        <v>92</v>
      </c>
      <c r="C1758" s="108" t="s">
        <v>538</v>
      </c>
      <c r="D1758" s="100" t="str">
        <f t="shared" si="1"/>
        <v/>
      </c>
      <c r="E1758" s="100" t="str">
        <f t="shared" si="2"/>
        <v/>
      </c>
      <c r="F1758" s="100" t="str">
        <f t="shared" si="3"/>
        <v/>
      </c>
      <c r="G1758" s="151"/>
      <c r="H1758" s="160"/>
      <c r="I1758" s="157"/>
      <c r="J1758" s="161"/>
      <c r="L1758" s="94"/>
      <c r="M1758" s="159"/>
      <c r="N1758" s="94"/>
    </row>
    <row r="1759">
      <c r="A1759" s="107">
        <v>202697.0</v>
      </c>
      <c r="B1759" s="108" t="s">
        <v>190</v>
      </c>
      <c r="C1759" s="108" t="s">
        <v>538</v>
      </c>
      <c r="D1759" s="100" t="str">
        <f t="shared" si="1"/>
        <v/>
      </c>
      <c r="E1759" s="100" t="str">
        <f t="shared" si="2"/>
        <v/>
      </c>
      <c r="F1759" s="100" t="str">
        <f t="shared" si="3"/>
        <v/>
      </c>
      <c r="G1759" s="151"/>
      <c r="H1759" s="156"/>
      <c r="I1759" s="157"/>
      <c r="J1759" s="158"/>
      <c r="L1759" s="94"/>
      <c r="M1759" s="159"/>
      <c r="N1759" s="94"/>
    </row>
    <row r="1760">
      <c r="A1760" s="107">
        <v>202697.0</v>
      </c>
      <c r="B1760" s="108" t="s">
        <v>191</v>
      </c>
      <c r="C1760" s="108" t="s">
        <v>538</v>
      </c>
      <c r="D1760" s="100" t="str">
        <f t="shared" si="1"/>
        <v/>
      </c>
      <c r="E1760" s="100" t="str">
        <f t="shared" si="2"/>
        <v/>
      </c>
      <c r="F1760" s="100" t="str">
        <f t="shared" si="3"/>
        <v/>
      </c>
      <c r="G1760" s="151"/>
      <c r="H1760" s="160"/>
      <c r="I1760" s="157"/>
      <c r="J1760" s="161"/>
      <c r="L1760" s="94"/>
      <c r="M1760" s="159"/>
      <c r="N1760" s="94"/>
    </row>
    <row r="1761">
      <c r="A1761" s="107">
        <v>202697.0</v>
      </c>
      <c r="B1761" s="108" t="s">
        <v>192</v>
      </c>
      <c r="C1761" s="108" t="s">
        <v>538</v>
      </c>
      <c r="D1761" s="100" t="str">
        <f t="shared" si="1"/>
        <v/>
      </c>
      <c r="E1761" s="100" t="str">
        <f t="shared" si="2"/>
        <v/>
      </c>
      <c r="F1761" s="100" t="str">
        <f t="shared" si="3"/>
        <v/>
      </c>
      <c r="G1761" s="151"/>
      <c r="H1761" s="156"/>
      <c r="I1761" s="157"/>
      <c r="J1761" s="158"/>
      <c r="L1761" s="94"/>
      <c r="M1761" s="159"/>
      <c r="N1761" s="94"/>
    </row>
    <row r="1762">
      <c r="A1762" s="107">
        <v>202697.0</v>
      </c>
      <c r="B1762" s="108" t="s">
        <v>193</v>
      </c>
      <c r="C1762" s="108" t="s">
        <v>538</v>
      </c>
      <c r="D1762" s="100" t="str">
        <f t="shared" si="1"/>
        <v/>
      </c>
      <c r="E1762" s="100" t="str">
        <f t="shared" si="2"/>
        <v/>
      </c>
      <c r="F1762" s="100" t="str">
        <f t="shared" si="3"/>
        <v/>
      </c>
      <c r="G1762" s="151"/>
      <c r="H1762" s="160"/>
      <c r="I1762" s="157"/>
      <c r="J1762" s="161"/>
      <c r="L1762" s="94"/>
      <c r="M1762" s="159"/>
      <c r="N1762" s="94"/>
    </row>
    <row r="1763">
      <c r="A1763" s="107">
        <v>202697.0</v>
      </c>
      <c r="B1763" s="108" t="s">
        <v>243</v>
      </c>
      <c r="C1763" s="108" t="s">
        <v>538</v>
      </c>
      <c r="D1763" s="100" t="str">
        <f t="shared" si="1"/>
        <v/>
      </c>
      <c r="E1763" s="100" t="str">
        <f t="shared" si="2"/>
        <v/>
      </c>
      <c r="F1763" s="100" t="str">
        <f t="shared" si="3"/>
        <v/>
      </c>
      <c r="G1763" s="151"/>
      <c r="H1763" s="156"/>
      <c r="I1763" s="157"/>
      <c r="J1763" s="158"/>
      <c r="L1763" s="94"/>
      <c r="M1763" s="159"/>
      <c r="N1763" s="94"/>
    </row>
    <row r="1764">
      <c r="A1764" s="107">
        <v>202698.0</v>
      </c>
      <c r="B1764" s="108" t="s">
        <v>85</v>
      </c>
      <c r="C1764" s="108" t="s">
        <v>539</v>
      </c>
      <c r="D1764" s="100" t="str">
        <f t="shared" si="1"/>
        <v/>
      </c>
      <c r="E1764" s="100" t="str">
        <f t="shared" si="2"/>
        <v/>
      </c>
      <c r="F1764" s="100" t="str">
        <f t="shared" si="3"/>
        <v/>
      </c>
      <c r="G1764" s="151"/>
      <c r="H1764" s="160"/>
      <c r="I1764" s="162"/>
      <c r="J1764" s="161"/>
      <c r="L1764" s="94"/>
      <c r="M1764" s="159"/>
      <c r="N1764" s="94"/>
    </row>
    <row r="1765">
      <c r="A1765" s="107">
        <v>202699.0</v>
      </c>
      <c r="B1765" s="108" t="s">
        <v>85</v>
      </c>
      <c r="C1765" s="108" t="s">
        <v>540</v>
      </c>
      <c r="D1765" s="100" t="str">
        <f t="shared" si="1"/>
        <v/>
      </c>
      <c r="E1765" s="100" t="str">
        <f t="shared" si="2"/>
        <v/>
      </c>
      <c r="F1765" s="100" t="str">
        <f t="shared" si="3"/>
        <v/>
      </c>
      <c r="G1765" s="151"/>
      <c r="H1765" s="156"/>
      <c r="I1765" s="157"/>
      <c r="J1765" s="158"/>
      <c r="L1765" s="94"/>
      <c r="M1765" s="159"/>
      <c r="N1765" s="94"/>
    </row>
    <row r="1766">
      <c r="A1766" s="107">
        <v>202699.0</v>
      </c>
      <c r="B1766" s="108" t="s">
        <v>90</v>
      </c>
      <c r="C1766" s="108" t="s">
        <v>540</v>
      </c>
      <c r="D1766" s="100" t="str">
        <f t="shared" si="1"/>
        <v/>
      </c>
      <c r="E1766" s="100" t="str">
        <f t="shared" si="2"/>
        <v/>
      </c>
      <c r="F1766" s="100" t="str">
        <f t="shared" si="3"/>
        <v/>
      </c>
      <c r="G1766" s="151"/>
      <c r="H1766" s="160"/>
      <c r="I1766" s="162"/>
      <c r="J1766" s="161"/>
      <c r="L1766" s="94"/>
      <c r="M1766" s="159"/>
      <c r="N1766" s="94"/>
    </row>
    <row r="1767">
      <c r="A1767" s="107">
        <v>202699.0</v>
      </c>
      <c r="B1767" s="108" t="s">
        <v>92</v>
      </c>
      <c r="C1767" s="108" t="s">
        <v>540</v>
      </c>
      <c r="D1767" s="100" t="str">
        <f t="shared" si="1"/>
        <v/>
      </c>
      <c r="E1767" s="100" t="str">
        <f t="shared" si="2"/>
        <v/>
      </c>
      <c r="F1767" s="100" t="str">
        <f t="shared" si="3"/>
        <v/>
      </c>
      <c r="G1767" s="151"/>
      <c r="H1767" s="156"/>
      <c r="I1767" s="162"/>
      <c r="J1767" s="158"/>
      <c r="L1767" s="94"/>
      <c r="M1767" s="159"/>
      <c r="N1767" s="94"/>
    </row>
    <row r="1768">
      <c r="A1768" s="107">
        <v>202699.0</v>
      </c>
      <c r="B1768" s="108" t="s">
        <v>190</v>
      </c>
      <c r="C1768" s="108" t="s">
        <v>540</v>
      </c>
      <c r="D1768" s="100" t="str">
        <f t="shared" si="1"/>
        <v/>
      </c>
      <c r="E1768" s="100" t="str">
        <f t="shared" si="2"/>
        <v/>
      </c>
      <c r="F1768" s="100" t="str">
        <f t="shared" si="3"/>
        <v/>
      </c>
      <c r="G1768" s="151"/>
      <c r="H1768" s="160"/>
      <c r="I1768" s="162"/>
      <c r="J1768" s="161"/>
      <c r="L1768" s="94"/>
      <c r="M1768" s="159"/>
      <c r="N1768" s="94"/>
    </row>
    <row r="1769">
      <c r="A1769" s="107">
        <v>202699.0</v>
      </c>
      <c r="B1769" s="108" t="s">
        <v>191</v>
      </c>
      <c r="C1769" s="108" t="s">
        <v>540</v>
      </c>
      <c r="D1769" s="100" t="str">
        <f t="shared" si="1"/>
        <v/>
      </c>
      <c r="E1769" s="100" t="str">
        <f t="shared" si="2"/>
        <v/>
      </c>
      <c r="F1769" s="100" t="str">
        <f t="shared" si="3"/>
        <v/>
      </c>
      <c r="G1769" s="151"/>
      <c r="H1769" s="156"/>
      <c r="I1769" s="157"/>
      <c r="J1769" s="158"/>
      <c r="L1769" s="94"/>
      <c r="M1769" s="159"/>
      <c r="N1769" s="94"/>
    </row>
    <row r="1770">
      <c r="A1770" s="107">
        <v>202699.0</v>
      </c>
      <c r="B1770" s="108" t="s">
        <v>192</v>
      </c>
      <c r="C1770" s="108" t="s">
        <v>540</v>
      </c>
      <c r="D1770" s="100" t="str">
        <f t="shared" si="1"/>
        <v/>
      </c>
      <c r="E1770" s="100" t="str">
        <f t="shared" si="2"/>
        <v/>
      </c>
      <c r="F1770" s="100" t="str">
        <f t="shared" si="3"/>
        <v/>
      </c>
      <c r="G1770" s="151"/>
      <c r="H1770" s="160"/>
      <c r="I1770" s="162"/>
      <c r="J1770" s="161"/>
      <c r="L1770" s="94"/>
      <c r="M1770" s="159"/>
      <c r="N1770" s="94"/>
    </row>
    <row r="1771">
      <c r="A1771" s="107">
        <v>202699.0</v>
      </c>
      <c r="B1771" s="108" t="s">
        <v>193</v>
      </c>
      <c r="C1771" s="108" t="s">
        <v>540</v>
      </c>
      <c r="D1771" s="100" t="str">
        <f t="shared" si="1"/>
        <v/>
      </c>
      <c r="E1771" s="100" t="str">
        <f t="shared" si="2"/>
        <v/>
      </c>
      <c r="F1771" s="100" t="str">
        <f t="shared" si="3"/>
        <v/>
      </c>
      <c r="G1771" s="151"/>
      <c r="H1771" s="156"/>
      <c r="I1771" s="157"/>
      <c r="J1771" s="158"/>
      <c r="L1771" s="94"/>
      <c r="M1771" s="159"/>
      <c r="N1771" s="94"/>
    </row>
    <row r="1772">
      <c r="A1772" s="107">
        <v>202699.0</v>
      </c>
      <c r="B1772" s="108" t="s">
        <v>243</v>
      </c>
      <c r="C1772" s="108" t="s">
        <v>540</v>
      </c>
      <c r="D1772" s="100" t="str">
        <f t="shared" si="1"/>
        <v/>
      </c>
      <c r="E1772" s="100" t="str">
        <f t="shared" si="2"/>
        <v/>
      </c>
      <c r="F1772" s="100" t="str">
        <f t="shared" si="3"/>
        <v/>
      </c>
      <c r="G1772" s="151"/>
      <c r="H1772" s="160"/>
      <c r="I1772" s="157"/>
      <c r="J1772" s="161"/>
      <c r="L1772" s="94"/>
      <c r="M1772" s="159"/>
      <c r="N1772" s="94"/>
    </row>
    <row r="1773">
      <c r="A1773" s="107">
        <v>202699.0</v>
      </c>
      <c r="B1773" s="108" t="s">
        <v>215</v>
      </c>
      <c r="C1773" s="108" t="s">
        <v>540</v>
      </c>
      <c r="D1773" s="100" t="str">
        <f t="shared" si="1"/>
        <v/>
      </c>
      <c r="E1773" s="100" t="str">
        <f t="shared" si="2"/>
        <v/>
      </c>
      <c r="F1773" s="100" t="str">
        <f t="shared" si="3"/>
        <v/>
      </c>
      <c r="G1773" s="151"/>
      <c r="H1773" s="156"/>
      <c r="I1773" s="157"/>
      <c r="J1773" s="158"/>
      <c r="L1773" s="94"/>
      <c r="M1773" s="159"/>
      <c r="N1773" s="94"/>
    </row>
    <row r="1774">
      <c r="A1774" s="107">
        <v>202699.0</v>
      </c>
      <c r="B1774" s="108" t="s">
        <v>244</v>
      </c>
      <c r="C1774" s="108" t="s">
        <v>540</v>
      </c>
      <c r="D1774" s="100" t="str">
        <f t="shared" si="1"/>
        <v/>
      </c>
      <c r="E1774" s="100" t="str">
        <f t="shared" si="2"/>
        <v/>
      </c>
      <c r="F1774" s="100" t="str">
        <f t="shared" si="3"/>
        <v/>
      </c>
      <c r="G1774" s="151"/>
      <c r="H1774" s="160"/>
      <c r="I1774" s="157"/>
      <c r="J1774" s="161"/>
      <c r="L1774" s="94"/>
      <c r="M1774" s="159"/>
      <c r="N1774" s="94"/>
    </row>
    <row r="1775">
      <c r="A1775" s="107">
        <v>202699.0</v>
      </c>
      <c r="B1775" s="108" t="s">
        <v>245</v>
      </c>
      <c r="C1775" s="108" t="s">
        <v>540</v>
      </c>
      <c r="D1775" s="100" t="str">
        <f t="shared" si="1"/>
        <v/>
      </c>
      <c r="E1775" s="100" t="str">
        <f t="shared" si="2"/>
        <v/>
      </c>
      <c r="F1775" s="100" t="str">
        <f t="shared" si="3"/>
        <v/>
      </c>
      <c r="G1775" s="151"/>
      <c r="H1775" s="156"/>
      <c r="I1775" s="162"/>
      <c r="J1775" s="158"/>
      <c r="L1775" s="94"/>
      <c r="M1775" s="159"/>
      <c r="N1775" s="94"/>
    </row>
    <row r="1776">
      <c r="A1776" s="107">
        <v>202699.0</v>
      </c>
      <c r="B1776" s="108" t="s">
        <v>246</v>
      </c>
      <c r="C1776" s="108" t="s">
        <v>540</v>
      </c>
      <c r="D1776" s="100" t="str">
        <f t="shared" si="1"/>
        <v/>
      </c>
      <c r="E1776" s="100" t="str">
        <f t="shared" si="2"/>
        <v/>
      </c>
      <c r="F1776" s="100" t="str">
        <f t="shared" si="3"/>
        <v/>
      </c>
      <c r="G1776" s="151"/>
      <c r="H1776" s="160"/>
      <c r="I1776" s="157"/>
      <c r="J1776" s="161"/>
      <c r="L1776" s="94"/>
      <c r="M1776" s="159"/>
      <c r="N1776" s="94"/>
    </row>
    <row r="1777">
      <c r="A1777" s="149">
        <v>202699.0</v>
      </c>
      <c r="B1777" s="115" t="s">
        <v>247</v>
      </c>
      <c r="C1777" s="115" t="s">
        <v>540</v>
      </c>
      <c r="D1777" s="100" t="str">
        <f t="shared" si="1"/>
        <v/>
      </c>
      <c r="E1777" s="100" t="str">
        <f t="shared" si="2"/>
        <v/>
      </c>
      <c r="F1777" s="100" t="str">
        <f t="shared" si="3"/>
        <v/>
      </c>
      <c r="G1777" s="151"/>
      <c r="H1777" s="156"/>
      <c r="I1777" s="157"/>
      <c r="J1777" s="158"/>
      <c r="L1777" s="94"/>
      <c r="M1777" s="159"/>
      <c r="N1777" s="94"/>
    </row>
    <row r="1778">
      <c r="A1778" s="21">
        <v>202700.0</v>
      </c>
      <c r="B1778" s="164" t="s">
        <v>85</v>
      </c>
      <c r="C1778" s="164" t="s">
        <v>541</v>
      </c>
      <c r="D1778" s="100" t="str">
        <f t="shared" si="1"/>
        <v/>
      </c>
      <c r="E1778" s="100" t="str">
        <f t="shared" si="2"/>
        <v/>
      </c>
      <c r="F1778" s="100" t="str">
        <f t="shared" si="3"/>
        <v/>
      </c>
      <c r="G1778" s="151"/>
      <c r="H1778" s="160"/>
      <c r="I1778" s="157"/>
      <c r="J1778" s="161"/>
      <c r="L1778" s="94"/>
      <c r="M1778" s="159"/>
      <c r="N1778" s="94"/>
    </row>
    <row r="1779">
      <c r="A1779" s="107">
        <v>202700.0</v>
      </c>
      <c r="B1779" s="108" t="s">
        <v>90</v>
      </c>
      <c r="C1779" s="108" t="s">
        <v>541</v>
      </c>
      <c r="D1779" s="100" t="str">
        <f t="shared" si="1"/>
        <v/>
      </c>
      <c r="E1779" s="100" t="str">
        <f t="shared" si="2"/>
        <v/>
      </c>
      <c r="F1779" s="100" t="str">
        <f t="shared" si="3"/>
        <v/>
      </c>
      <c r="G1779" s="151"/>
      <c r="H1779" s="156"/>
      <c r="I1779" s="157"/>
      <c r="J1779" s="158"/>
      <c r="L1779" s="94"/>
      <c r="M1779" s="159"/>
      <c r="N1779" s="94"/>
    </row>
    <row r="1780">
      <c r="A1780" s="107">
        <v>202700.0</v>
      </c>
      <c r="B1780" s="108" t="s">
        <v>92</v>
      </c>
      <c r="C1780" s="108" t="s">
        <v>541</v>
      </c>
      <c r="D1780" s="100" t="str">
        <f t="shared" si="1"/>
        <v/>
      </c>
      <c r="E1780" s="100" t="str">
        <f t="shared" si="2"/>
        <v/>
      </c>
      <c r="F1780" s="100" t="str">
        <f t="shared" si="3"/>
        <v/>
      </c>
      <c r="G1780" s="151"/>
      <c r="H1780" s="160"/>
      <c r="I1780" s="162"/>
      <c r="J1780" s="161"/>
      <c r="L1780" s="94"/>
      <c r="M1780" s="159"/>
      <c r="N1780" s="94"/>
    </row>
    <row r="1781">
      <c r="A1781" s="107">
        <v>202700.0</v>
      </c>
      <c r="B1781" s="108" t="s">
        <v>190</v>
      </c>
      <c r="C1781" s="108" t="s">
        <v>541</v>
      </c>
      <c r="D1781" s="100" t="str">
        <f t="shared" si="1"/>
        <v/>
      </c>
      <c r="E1781" s="100" t="str">
        <f t="shared" si="2"/>
        <v/>
      </c>
      <c r="F1781" s="100" t="str">
        <f t="shared" si="3"/>
        <v/>
      </c>
      <c r="G1781" s="151"/>
      <c r="H1781" s="156"/>
      <c r="I1781" s="157"/>
      <c r="J1781" s="158"/>
      <c r="L1781" s="94"/>
      <c r="M1781" s="159"/>
      <c r="N1781" s="94"/>
    </row>
    <row r="1782">
      <c r="A1782" s="107">
        <v>202700.0</v>
      </c>
      <c r="B1782" s="108" t="s">
        <v>192</v>
      </c>
      <c r="C1782" s="108" t="s">
        <v>541</v>
      </c>
      <c r="D1782" s="100" t="str">
        <f t="shared" si="1"/>
        <v/>
      </c>
      <c r="E1782" s="100" t="str">
        <f t="shared" si="2"/>
        <v/>
      </c>
      <c r="F1782" s="100" t="str">
        <f t="shared" si="3"/>
        <v/>
      </c>
      <c r="G1782" s="151"/>
      <c r="H1782" s="160"/>
      <c r="I1782" s="162"/>
      <c r="J1782" s="161"/>
      <c r="L1782" s="94"/>
      <c r="M1782" s="159"/>
      <c r="N1782" s="94"/>
    </row>
    <row r="1783">
      <c r="A1783" s="107">
        <v>202702.0</v>
      </c>
      <c r="B1783" s="108" t="s">
        <v>85</v>
      </c>
      <c r="C1783" s="108" t="s">
        <v>542</v>
      </c>
      <c r="D1783" s="100" t="str">
        <f t="shared" si="1"/>
        <v/>
      </c>
      <c r="E1783" s="100" t="str">
        <f t="shared" si="2"/>
        <v/>
      </c>
      <c r="F1783" s="100" t="str">
        <f t="shared" si="3"/>
        <v/>
      </c>
      <c r="G1783" s="151"/>
      <c r="H1783" s="156"/>
      <c r="I1783" s="157"/>
      <c r="J1783" s="158"/>
      <c r="L1783" s="94"/>
      <c r="M1783" s="159"/>
      <c r="N1783" s="94"/>
    </row>
    <row r="1784">
      <c r="A1784" s="107">
        <v>202702.0</v>
      </c>
      <c r="B1784" s="108" t="s">
        <v>90</v>
      </c>
      <c r="C1784" s="108" t="s">
        <v>542</v>
      </c>
      <c r="D1784" s="100" t="str">
        <f t="shared" si="1"/>
        <v/>
      </c>
      <c r="E1784" s="100" t="str">
        <f t="shared" si="2"/>
        <v/>
      </c>
      <c r="F1784" s="100" t="str">
        <f t="shared" si="3"/>
        <v/>
      </c>
      <c r="G1784" s="151"/>
      <c r="H1784" s="160"/>
      <c r="I1784" s="162"/>
      <c r="J1784" s="161"/>
      <c r="L1784" s="94"/>
      <c r="M1784" s="159"/>
      <c r="N1784" s="94"/>
    </row>
    <row r="1785">
      <c r="A1785" s="107">
        <v>202702.0</v>
      </c>
      <c r="B1785" s="108" t="s">
        <v>92</v>
      </c>
      <c r="C1785" s="108" t="s">
        <v>542</v>
      </c>
      <c r="D1785" s="100" t="str">
        <f t="shared" si="1"/>
        <v/>
      </c>
      <c r="E1785" s="100" t="str">
        <f t="shared" si="2"/>
        <v/>
      </c>
      <c r="F1785" s="100" t="str">
        <f t="shared" si="3"/>
        <v/>
      </c>
      <c r="G1785" s="151"/>
      <c r="H1785" s="156"/>
      <c r="I1785" s="157"/>
      <c r="J1785" s="158"/>
      <c r="L1785" s="94"/>
      <c r="M1785" s="159"/>
      <c r="N1785" s="94"/>
    </row>
    <row r="1786">
      <c r="A1786" s="107">
        <v>202702.0</v>
      </c>
      <c r="B1786" s="108" t="s">
        <v>190</v>
      </c>
      <c r="C1786" s="108" t="s">
        <v>542</v>
      </c>
      <c r="D1786" s="100" t="str">
        <f t="shared" si="1"/>
        <v/>
      </c>
      <c r="E1786" s="100" t="str">
        <f t="shared" si="2"/>
        <v/>
      </c>
      <c r="F1786" s="100" t="str">
        <f t="shared" si="3"/>
        <v/>
      </c>
      <c r="G1786" s="151"/>
      <c r="H1786" s="160"/>
      <c r="I1786" s="157"/>
      <c r="J1786" s="161"/>
      <c r="L1786" s="94"/>
      <c r="M1786" s="159"/>
      <c r="N1786" s="94"/>
    </row>
    <row r="1787">
      <c r="A1787" s="107">
        <v>202702.0</v>
      </c>
      <c r="B1787" s="108" t="s">
        <v>191</v>
      </c>
      <c r="C1787" s="108" t="s">
        <v>542</v>
      </c>
      <c r="D1787" s="100" t="str">
        <f t="shared" si="1"/>
        <v/>
      </c>
      <c r="E1787" s="100" t="str">
        <f t="shared" si="2"/>
        <v/>
      </c>
      <c r="F1787" s="100" t="str">
        <f t="shared" si="3"/>
        <v/>
      </c>
      <c r="G1787" s="151"/>
      <c r="H1787" s="156"/>
      <c r="I1787" s="157"/>
      <c r="J1787" s="158"/>
      <c r="L1787" s="94"/>
      <c r="M1787" s="159"/>
      <c r="N1787" s="94"/>
    </row>
    <row r="1788">
      <c r="A1788" s="107">
        <v>202702.0</v>
      </c>
      <c r="B1788" s="108" t="s">
        <v>192</v>
      </c>
      <c r="C1788" s="108" t="s">
        <v>542</v>
      </c>
      <c r="D1788" s="100" t="str">
        <f t="shared" si="1"/>
        <v/>
      </c>
      <c r="E1788" s="100" t="str">
        <f t="shared" si="2"/>
        <v/>
      </c>
      <c r="F1788" s="100" t="str">
        <f t="shared" si="3"/>
        <v/>
      </c>
      <c r="G1788" s="151"/>
      <c r="H1788" s="160"/>
      <c r="I1788" s="157"/>
      <c r="J1788" s="161"/>
      <c r="L1788" s="94"/>
      <c r="M1788" s="159"/>
      <c r="N1788" s="94"/>
    </row>
    <row r="1789">
      <c r="A1789" s="107">
        <v>202703.0</v>
      </c>
      <c r="B1789" s="108" t="s">
        <v>90</v>
      </c>
      <c r="C1789" s="108" t="s">
        <v>543</v>
      </c>
      <c r="D1789" s="100" t="str">
        <f t="shared" si="1"/>
        <v/>
      </c>
      <c r="E1789" s="100" t="str">
        <f t="shared" si="2"/>
        <v/>
      </c>
      <c r="F1789" s="100" t="str">
        <f t="shared" si="3"/>
        <v/>
      </c>
      <c r="G1789" s="151"/>
      <c r="H1789" s="156"/>
      <c r="I1789" s="157"/>
      <c r="J1789" s="158"/>
      <c r="L1789" s="94"/>
      <c r="M1789" s="159"/>
      <c r="N1789" s="94"/>
    </row>
    <row r="1790">
      <c r="A1790" s="107">
        <v>202703.0</v>
      </c>
      <c r="B1790" s="108" t="s">
        <v>92</v>
      </c>
      <c r="C1790" s="108" t="s">
        <v>543</v>
      </c>
      <c r="D1790" s="100" t="str">
        <f t="shared" si="1"/>
        <v/>
      </c>
      <c r="E1790" s="100" t="str">
        <f t="shared" si="2"/>
        <v/>
      </c>
      <c r="F1790" s="100" t="str">
        <f t="shared" si="3"/>
        <v/>
      </c>
      <c r="G1790" s="151"/>
      <c r="H1790" s="160"/>
      <c r="I1790" s="157"/>
      <c r="J1790" s="161"/>
      <c r="L1790" s="94"/>
      <c r="M1790" s="159"/>
      <c r="N1790" s="94"/>
    </row>
    <row r="1791">
      <c r="A1791" s="107">
        <v>202703.0</v>
      </c>
      <c r="B1791" s="108" t="s">
        <v>190</v>
      </c>
      <c r="C1791" s="108" t="s">
        <v>543</v>
      </c>
      <c r="D1791" s="100" t="str">
        <f t="shared" si="1"/>
        <v/>
      </c>
      <c r="E1791" s="100" t="str">
        <f t="shared" si="2"/>
        <v/>
      </c>
      <c r="F1791" s="100" t="str">
        <f t="shared" si="3"/>
        <v/>
      </c>
      <c r="G1791" s="151"/>
      <c r="H1791" s="156"/>
      <c r="I1791" s="157"/>
      <c r="J1791" s="158"/>
      <c r="L1791" s="94"/>
      <c r="M1791" s="159"/>
      <c r="N1791" s="94"/>
    </row>
    <row r="1792">
      <c r="A1792" s="107">
        <v>202703.0</v>
      </c>
      <c r="B1792" s="108" t="s">
        <v>191</v>
      </c>
      <c r="C1792" s="108" t="s">
        <v>543</v>
      </c>
      <c r="D1792" s="100" t="str">
        <f t="shared" si="1"/>
        <v/>
      </c>
      <c r="E1792" s="100" t="str">
        <f t="shared" si="2"/>
        <v/>
      </c>
      <c r="F1792" s="100" t="str">
        <f t="shared" si="3"/>
        <v/>
      </c>
      <c r="G1792" s="151"/>
      <c r="H1792" s="160"/>
      <c r="I1792" s="157"/>
      <c r="J1792" s="161"/>
      <c r="L1792" s="94"/>
      <c r="M1792" s="159"/>
      <c r="N1792" s="94"/>
    </row>
    <row r="1793">
      <c r="A1793" s="107">
        <v>202703.0</v>
      </c>
      <c r="B1793" s="108" t="s">
        <v>192</v>
      </c>
      <c r="C1793" s="108" t="s">
        <v>543</v>
      </c>
      <c r="D1793" s="100" t="str">
        <f t="shared" si="1"/>
        <v/>
      </c>
      <c r="E1793" s="100" t="str">
        <f t="shared" si="2"/>
        <v/>
      </c>
      <c r="F1793" s="100" t="str">
        <f t="shared" si="3"/>
        <v/>
      </c>
      <c r="G1793" s="151"/>
      <c r="H1793" s="156"/>
      <c r="I1793" s="157"/>
      <c r="J1793" s="158"/>
      <c r="L1793" s="94"/>
      <c r="M1793" s="159"/>
      <c r="N1793" s="94"/>
    </row>
    <row r="1794">
      <c r="A1794" s="107">
        <v>202704.0</v>
      </c>
      <c r="B1794" s="108" t="s">
        <v>85</v>
      </c>
      <c r="C1794" s="108" t="s">
        <v>544</v>
      </c>
      <c r="D1794" s="100" t="str">
        <f t="shared" si="1"/>
        <v/>
      </c>
      <c r="E1794" s="100" t="str">
        <f t="shared" si="2"/>
        <v/>
      </c>
      <c r="F1794" s="100" t="str">
        <f t="shared" si="3"/>
        <v/>
      </c>
      <c r="G1794" s="151"/>
      <c r="H1794" s="160"/>
      <c r="I1794" s="157"/>
      <c r="J1794" s="161"/>
      <c r="L1794" s="94"/>
      <c r="M1794" s="159"/>
      <c r="N1794" s="94"/>
    </row>
    <row r="1795">
      <c r="A1795" s="107">
        <v>202704.0</v>
      </c>
      <c r="B1795" s="108" t="s">
        <v>90</v>
      </c>
      <c r="C1795" s="108" t="s">
        <v>544</v>
      </c>
      <c r="D1795" s="100" t="str">
        <f t="shared" si="1"/>
        <v/>
      </c>
      <c r="E1795" s="100" t="str">
        <f t="shared" si="2"/>
        <v/>
      </c>
      <c r="F1795" s="100" t="str">
        <f t="shared" si="3"/>
        <v/>
      </c>
      <c r="G1795" s="151"/>
      <c r="H1795" s="156"/>
      <c r="I1795" s="157"/>
      <c r="J1795" s="158"/>
      <c r="L1795" s="94"/>
      <c r="M1795" s="159"/>
      <c r="N1795" s="94"/>
    </row>
    <row r="1796">
      <c r="A1796" s="107">
        <v>202704.0</v>
      </c>
      <c r="B1796" s="108" t="s">
        <v>92</v>
      </c>
      <c r="C1796" s="108" t="s">
        <v>544</v>
      </c>
      <c r="D1796" s="100" t="str">
        <f t="shared" si="1"/>
        <v/>
      </c>
      <c r="E1796" s="100" t="str">
        <f t="shared" si="2"/>
        <v/>
      </c>
      <c r="F1796" s="100" t="str">
        <f t="shared" si="3"/>
        <v/>
      </c>
      <c r="G1796" s="151"/>
      <c r="H1796" s="160"/>
      <c r="I1796" s="157"/>
      <c r="J1796" s="161"/>
      <c r="L1796" s="94"/>
      <c r="M1796" s="159"/>
      <c r="N1796" s="94"/>
    </row>
    <row r="1797">
      <c r="A1797" s="107">
        <v>202704.0</v>
      </c>
      <c r="B1797" s="108" t="s">
        <v>190</v>
      </c>
      <c r="C1797" s="108" t="s">
        <v>544</v>
      </c>
      <c r="D1797" s="100" t="str">
        <f t="shared" si="1"/>
        <v/>
      </c>
      <c r="E1797" s="100" t="str">
        <f t="shared" si="2"/>
        <v/>
      </c>
      <c r="F1797" s="100" t="str">
        <f t="shared" si="3"/>
        <v/>
      </c>
      <c r="G1797" s="151"/>
      <c r="H1797" s="156"/>
      <c r="I1797" s="157"/>
      <c r="J1797" s="158"/>
      <c r="L1797" s="94"/>
      <c r="M1797" s="159"/>
      <c r="N1797" s="94"/>
    </row>
    <row r="1798">
      <c r="A1798" s="107">
        <v>202704.0</v>
      </c>
      <c r="B1798" s="108" t="s">
        <v>191</v>
      </c>
      <c r="C1798" s="108" t="s">
        <v>544</v>
      </c>
      <c r="D1798" s="100" t="str">
        <f t="shared" si="1"/>
        <v/>
      </c>
      <c r="E1798" s="100" t="str">
        <f t="shared" si="2"/>
        <v/>
      </c>
      <c r="F1798" s="100" t="str">
        <f t="shared" si="3"/>
        <v/>
      </c>
      <c r="G1798" s="151"/>
      <c r="H1798" s="160"/>
      <c r="I1798" s="157"/>
      <c r="J1798" s="161"/>
      <c r="L1798" s="94"/>
      <c r="M1798" s="159"/>
      <c r="N1798" s="94"/>
    </row>
    <row r="1799">
      <c r="A1799" s="107">
        <v>202704.0</v>
      </c>
      <c r="B1799" s="108" t="s">
        <v>192</v>
      </c>
      <c r="C1799" s="108" t="s">
        <v>544</v>
      </c>
      <c r="D1799" s="100" t="str">
        <f t="shared" si="1"/>
        <v/>
      </c>
      <c r="E1799" s="100" t="str">
        <f t="shared" si="2"/>
        <v/>
      </c>
      <c r="F1799" s="100" t="str">
        <f t="shared" si="3"/>
        <v/>
      </c>
      <c r="G1799" s="151"/>
      <c r="H1799" s="156"/>
      <c r="I1799" s="157"/>
      <c r="J1799" s="158"/>
      <c r="L1799" s="94"/>
      <c r="M1799" s="159"/>
      <c r="N1799" s="94"/>
    </row>
    <row r="1800">
      <c r="A1800" s="107">
        <v>202704.0</v>
      </c>
      <c r="B1800" s="108" t="s">
        <v>193</v>
      </c>
      <c r="C1800" s="108" t="s">
        <v>544</v>
      </c>
      <c r="D1800" s="100" t="str">
        <f t="shared" si="1"/>
        <v/>
      </c>
      <c r="E1800" s="100" t="str">
        <f t="shared" si="2"/>
        <v/>
      </c>
      <c r="F1800" s="100" t="str">
        <f t="shared" si="3"/>
        <v/>
      </c>
      <c r="G1800" s="151"/>
      <c r="H1800" s="160"/>
      <c r="I1800" s="157"/>
      <c r="J1800" s="161"/>
      <c r="L1800" s="94"/>
      <c r="M1800" s="159"/>
      <c r="N1800" s="94"/>
    </row>
    <row r="1801">
      <c r="A1801" s="107">
        <v>202704.0</v>
      </c>
      <c r="B1801" s="108" t="s">
        <v>243</v>
      </c>
      <c r="C1801" s="108" t="s">
        <v>544</v>
      </c>
      <c r="D1801" s="100" t="str">
        <f t="shared" si="1"/>
        <v/>
      </c>
      <c r="E1801" s="100" t="str">
        <f t="shared" si="2"/>
        <v/>
      </c>
      <c r="F1801" s="100" t="str">
        <f t="shared" si="3"/>
        <v/>
      </c>
      <c r="G1801" s="151"/>
      <c r="H1801" s="156"/>
      <c r="I1801" s="157"/>
      <c r="J1801" s="158"/>
      <c r="L1801" s="94"/>
      <c r="M1801" s="159"/>
      <c r="N1801" s="94"/>
    </row>
    <row r="1802">
      <c r="A1802" s="107">
        <v>202704.0</v>
      </c>
      <c r="B1802" s="108" t="s">
        <v>215</v>
      </c>
      <c r="C1802" s="108" t="s">
        <v>544</v>
      </c>
      <c r="D1802" s="100" t="str">
        <f t="shared" si="1"/>
        <v/>
      </c>
      <c r="E1802" s="100" t="str">
        <f t="shared" si="2"/>
        <v/>
      </c>
      <c r="F1802" s="100" t="str">
        <f t="shared" si="3"/>
        <v/>
      </c>
      <c r="G1802" s="151"/>
      <c r="H1802" s="160"/>
      <c r="I1802" s="157"/>
      <c r="J1802" s="161"/>
      <c r="L1802" s="94"/>
      <c r="M1802" s="159"/>
      <c r="N1802" s="94"/>
    </row>
    <row r="1803">
      <c r="A1803" s="107">
        <v>202704.0</v>
      </c>
      <c r="B1803" s="108" t="s">
        <v>244</v>
      </c>
      <c r="C1803" s="108" t="s">
        <v>544</v>
      </c>
      <c r="D1803" s="100" t="str">
        <f t="shared" si="1"/>
        <v/>
      </c>
      <c r="E1803" s="100" t="str">
        <f t="shared" si="2"/>
        <v/>
      </c>
      <c r="F1803" s="100" t="str">
        <f t="shared" si="3"/>
        <v/>
      </c>
      <c r="G1803" s="151"/>
      <c r="H1803" s="156"/>
      <c r="I1803" s="157"/>
      <c r="J1803" s="158"/>
      <c r="L1803" s="94"/>
      <c r="M1803" s="159"/>
      <c r="N1803" s="94"/>
    </row>
    <row r="1804">
      <c r="A1804" s="107">
        <v>202704.0</v>
      </c>
      <c r="B1804" s="108" t="s">
        <v>245</v>
      </c>
      <c r="C1804" s="108" t="s">
        <v>544</v>
      </c>
      <c r="D1804" s="100" t="str">
        <f t="shared" si="1"/>
        <v/>
      </c>
      <c r="E1804" s="100" t="str">
        <f t="shared" si="2"/>
        <v/>
      </c>
      <c r="F1804" s="100" t="str">
        <f t="shared" si="3"/>
        <v/>
      </c>
      <c r="G1804" s="151"/>
      <c r="H1804" s="160"/>
      <c r="I1804" s="162"/>
      <c r="J1804" s="161"/>
      <c r="L1804" s="94"/>
      <c r="M1804" s="159"/>
      <c r="N1804" s="94"/>
    </row>
    <row r="1805">
      <c r="A1805" s="107">
        <v>202704.0</v>
      </c>
      <c r="B1805" s="108" t="s">
        <v>246</v>
      </c>
      <c r="C1805" s="108" t="s">
        <v>544</v>
      </c>
      <c r="D1805" s="100" t="str">
        <f t="shared" si="1"/>
        <v/>
      </c>
      <c r="E1805" s="100" t="str">
        <f t="shared" si="2"/>
        <v/>
      </c>
      <c r="F1805" s="100" t="str">
        <f t="shared" si="3"/>
        <v/>
      </c>
      <c r="G1805" s="151"/>
      <c r="H1805" s="156"/>
      <c r="I1805" s="157"/>
      <c r="J1805" s="158"/>
      <c r="L1805" s="94"/>
      <c r="M1805" s="159"/>
      <c r="N1805" s="94"/>
    </row>
    <row r="1806">
      <c r="A1806" s="107">
        <v>202705.0</v>
      </c>
      <c r="B1806" s="108" t="s">
        <v>85</v>
      </c>
      <c r="C1806" s="108" t="s">
        <v>545</v>
      </c>
      <c r="D1806" s="100" t="str">
        <f t="shared" si="1"/>
        <v/>
      </c>
      <c r="E1806" s="100" t="str">
        <f t="shared" si="2"/>
        <v/>
      </c>
      <c r="F1806" s="100" t="str">
        <f t="shared" si="3"/>
        <v/>
      </c>
      <c r="G1806" s="151"/>
      <c r="H1806" s="160"/>
      <c r="I1806" s="157"/>
      <c r="J1806" s="161"/>
      <c r="L1806" s="94"/>
      <c r="M1806" s="159"/>
      <c r="N1806" s="94"/>
    </row>
    <row r="1807">
      <c r="A1807" s="107">
        <v>202705.0</v>
      </c>
      <c r="B1807" s="108" t="s">
        <v>191</v>
      </c>
      <c r="C1807" s="108" t="s">
        <v>545</v>
      </c>
      <c r="D1807" s="100" t="str">
        <f t="shared" si="1"/>
        <v/>
      </c>
      <c r="E1807" s="100" t="str">
        <f t="shared" si="2"/>
        <v/>
      </c>
      <c r="F1807" s="100" t="str">
        <f t="shared" si="3"/>
        <v/>
      </c>
      <c r="G1807" s="151"/>
      <c r="H1807" s="156"/>
      <c r="I1807" s="157"/>
      <c r="J1807" s="158"/>
      <c r="L1807" s="94"/>
      <c r="M1807" s="159"/>
      <c r="N1807" s="94"/>
    </row>
    <row r="1808">
      <c r="A1808" s="107">
        <v>202705.0</v>
      </c>
      <c r="B1808" s="108" t="s">
        <v>192</v>
      </c>
      <c r="C1808" s="108" t="s">
        <v>545</v>
      </c>
      <c r="D1808" s="100" t="str">
        <f t="shared" si="1"/>
        <v/>
      </c>
      <c r="E1808" s="100" t="str">
        <f t="shared" si="2"/>
        <v/>
      </c>
      <c r="F1808" s="100" t="str">
        <f t="shared" si="3"/>
        <v/>
      </c>
      <c r="G1808" s="151"/>
      <c r="H1808" s="160"/>
      <c r="I1808" s="157"/>
      <c r="J1808" s="161"/>
      <c r="L1808" s="94"/>
      <c r="M1808" s="159"/>
      <c r="N1808" s="94"/>
    </row>
    <row r="1809">
      <c r="A1809" s="107">
        <v>202706.0</v>
      </c>
      <c r="B1809" s="108" t="s">
        <v>85</v>
      </c>
      <c r="C1809" s="108" t="s">
        <v>546</v>
      </c>
      <c r="D1809" s="100" t="str">
        <f t="shared" si="1"/>
        <v/>
      </c>
      <c r="E1809" s="100" t="str">
        <f t="shared" si="2"/>
        <v/>
      </c>
      <c r="F1809" s="100" t="str">
        <f t="shared" si="3"/>
        <v/>
      </c>
      <c r="G1809" s="151"/>
      <c r="H1809" s="156"/>
      <c r="I1809" s="157"/>
      <c r="J1809" s="158"/>
      <c r="L1809" s="94"/>
      <c r="M1809" s="159"/>
      <c r="N1809" s="94"/>
    </row>
    <row r="1810">
      <c r="A1810" s="107">
        <v>202706.0</v>
      </c>
      <c r="B1810" s="108" t="s">
        <v>90</v>
      </c>
      <c r="C1810" s="108" t="s">
        <v>546</v>
      </c>
      <c r="D1810" s="100" t="str">
        <f t="shared" si="1"/>
        <v/>
      </c>
      <c r="E1810" s="100" t="str">
        <f t="shared" si="2"/>
        <v/>
      </c>
      <c r="F1810" s="100" t="str">
        <f t="shared" si="3"/>
        <v/>
      </c>
      <c r="G1810" s="151"/>
      <c r="H1810" s="160"/>
      <c r="I1810" s="157"/>
      <c r="J1810" s="161"/>
      <c r="L1810" s="94"/>
      <c r="M1810" s="159"/>
      <c r="N1810" s="94"/>
    </row>
    <row r="1811">
      <c r="A1811" s="107">
        <v>202706.0</v>
      </c>
      <c r="B1811" s="108" t="s">
        <v>92</v>
      </c>
      <c r="C1811" s="108" t="s">
        <v>546</v>
      </c>
      <c r="D1811" s="100" t="str">
        <f t="shared" si="1"/>
        <v/>
      </c>
      <c r="E1811" s="100" t="str">
        <f t="shared" si="2"/>
        <v/>
      </c>
      <c r="F1811" s="100" t="str">
        <f t="shared" si="3"/>
        <v/>
      </c>
      <c r="G1811" s="151"/>
      <c r="H1811" s="156"/>
      <c r="I1811" s="157"/>
      <c r="J1811" s="158"/>
      <c r="L1811" s="94"/>
      <c r="M1811" s="159"/>
      <c r="N1811" s="94"/>
    </row>
    <row r="1812">
      <c r="A1812" s="107">
        <v>202708.0</v>
      </c>
      <c r="B1812" s="108" t="s">
        <v>85</v>
      </c>
      <c r="C1812" s="108" t="s">
        <v>547</v>
      </c>
      <c r="D1812" s="100" t="str">
        <f t="shared" si="1"/>
        <v/>
      </c>
      <c r="E1812" s="100" t="str">
        <f t="shared" si="2"/>
        <v/>
      </c>
      <c r="F1812" s="100" t="str">
        <f t="shared" si="3"/>
        <v/>
      </c>
      <c r="G1812" s="151"/>
      <c r="H1812" s="160"/>
      <c r="I1812" s="157"/>
      <c r="J1812" s="161"/>
      <c r="L1812" s="94"/>
      <c r="M1812" s="159"/>
      <c r="N1812" s="94"/>
    </row>
    <row r="1813">
      <c r="A1813" s="107">
        <v>202708.0</v>
      </c>
      <c r="B1813" s="108" t="s">
        <v>90</v>
      </c>
      <c r="C1813" s="108" t="s">
        <v>547</v>
      </c>
      <c r="D1813" s="100" t="str">
        <f t="shared" si="1"/>
        <v/>
      </c>
      <c r="E1813" s="100" t="str">
        <f t="shared" si="2"/>
        <v/>
      </c>
      <c r="F1813" s="100" t="str">
        <f t="shared" si="3"/>
        <v/>
      </c>
      <c r="G1813" s="151"/>
      <c r="H1813" s="156"/>
      <c r="I1813" s="157"/>
      <c r="J1813" s="158"/>
      <c r="L1813" s="94"/>
      <c r="M1813" s="159"/>
      <c r="N1813" s="94"/>
    </row>
    <row r="1814">
      <c r="A1814" s="107">
        <v>202708.0</v>
      </c>
      <c r="B1814" s="108" t="s">
        <v>92</v>
      </c>
      <c r="C1814" s="108" t="s">
        <v>547</v>
      </c>
      <c r="D1814" s="100" t="str">
        <f t="shared" si="1"/>
        <v/>
      </c>
      <c r="E1814" s="100" t="str">
        <f t="shared" si="2"/>
        <v/>
      </c>
      <c r="F1814" s="100" t="str">
        <f t="shared" si="3"/>
        <v/>
      </c>
      <c r="G1814" s="151"/>
      <c r="H1814" s="160"/>
      <c r="I1814" s="157"/>
      <c r="J1814" s="161"/>
      <c r="L1814" s="94"/>
      <c r="M1814" s="159"/>
      <c r="N1814" s="94"/>
    </row>
    <row r="1815">
      <c r="A1815" s="107">
        <v>202708.0</v>
      </c>
      <c r="B1815" s="108" t="s">
        <v>190</v>
      </c>
      <c r="C1815" s="108" t="s">
        <v>547</v>
      </c>
      <c r="D1815" s="100" t="str">
        <f t="shared" si="1"/>
        <v/>
      </c>
      <c r="E1815" s="100" t="str">
        <f t="shared" si="2"/>
        <v/>
      </c>
      <c r="F1815" s="100" t="str">
        <f t="shared" si="3"/>
        <v/>
      </c>
      <c r="G1815" s="151"/>
      <c r="H1815" s="156"/>
      <c r="I1815" s="157"/>
      <c r="J1815" s="158"/>
      <c r="L1815" s="94"/>
      <c r="M1815" s="159"/>
      <c r="N1815" s="94"/>
    </row>
    <row r="1816">
      <c r="A1816" s="107">
        <v>202709.0</v>
      </c>
      <c r="B1816" s="108" t="s">
        <v>85</v>
      </c>
      <c r="C1816" s="108" t="s">
        <v>548</v>
      </c>
      <c r="D1816" s="100" t="str">
        <f t="shared" si="1"/>
        <v/>
      </c>
      <c r="E1816" s="100" t="str">
        <f t="shared" si="2"/>
        <v/>
      </c>
      <c r="F1816" s="100" t="str">
        <f t="shared" si="3"/>
        <v/>
      </c>
      <c r="G1816" s="151"/>
      <c r="H1816" s="160"/>
      <c r="I1816" s="157"/>
      <c r="J1816" s="161"/>
      <c r="L1816" s="94"/>
      <c r="M1816" s="159"/>
      <c r="N1816" s="94"/>
    </row>
    <row r="1817">
      <c r="A1817" s="107">
        <v>202709.0</v>
      </c>
      <c r="B1817" s="108" t="s">
        <v>90</v>
      </c>
      <c r="C1817" s="108" t="s">
        <v>548</v>
      </c>
      <c r="D1817" s="100" t="str">
        <f t="shared" si="1"/>
        <v/>
      </c>
      <c r="E1817" s="100" t="str">
        <f t="shared" si="2"/>
        <v/>
      </c>
      <c r="F1817" s="100" t="str">
        <f t="shared" si="3"/>
        <v/>
      </c>
      <c r="G1817" s="151"/>
      <c r="H1817" s="156"/>
      <c r="I1817" s="157"/>
      <c r="J1817" s="158"/>
      <c r="L1817" s="94"/>
      <c r="M1817" s="159"/>
      <c r="N1817" s="94"/>
    </row>
    <row r="1818">
      <c r="A1818" s="107">
        <v>202709.0</v>
      </c>
      <c r="B1818" s="108" t="s">
        <v>92</v>
      </c>
      <c r="C1818" s="108" t="s">
        <v>548</v>
      </c>
      <c r="D1818" s="100" t="str">
        <f t="shared" si="1"/>
        <v/>
      </c>
      <c r="E1818" s="100" t="str">
        <f t="shared" si="2"/>
        <v/>
      </c>
      <c r="F1818" s="100" t="str">
        <f t="shared" si="3"/>
        <v/>
      </c>
      <c r="G1818" s="151"/>
      <c r="H1818" s="160"/>
      <c r="I1818" s="157"/>
      <c r="J1818" s="161"/>
      <c r="L1818" s="94"/>
      <c r="M1818" s="159"/>
      <c r="N1818" s="94"/>
    </row>
    <row r="1819">
      <c r="A1819" s="107">
        <v>202709.0</v>
      </c>
      <c r="B1819" s="108" t="s">
        <v>190</v>
      </c>
      <c r="C1819" s="108" t="s">
        <v>548</v>
      </c>
      <c r="D1819" s="100" t="str">
        <f t="shared" si="1"/>
        <v/>
      </c>
      <c r="E1819" s="100" t="str">
        <f t="shared" si="2"/>
        <v/>
      </c>
      <c r="F1819" s="100" t="str">
        <f t="shared" si="3"/>
        <v/>
      </c>
      <c r="G1819" s="151"/>
      <c r="H1819" s="156"/>
      <c r="I1819" s="157"/>
      <c r="J1819" s="158"/>
      <c r="L1819" s="94"/>
      <c r="M1819" s="159"/>
      <c r="N1819" s="94"/>
    </row>
    <row r="1820">
      <c r="A1820" s="107">
        <v>202709.0</v>
      </c>
      <c r="B1820" s="108" t="s">
        <v>191</v>
      </c>
      <c r="C1820" s="108" t="s">
        <v>548</v>
      </c>
      <c r="D1820" s="100" t="str">
        <f t="shared" si="1"/>
        <v/>
      </c>
      <c r="E1820" s="100" t="str">
        <f t="shared" si="2"/>
        <v/>
      </c>
      <c r="F1820" s="100" t="str">
        <f t="shared" si="3"/>
        <v/>
      </c>
      <c r="G1820" s="151"/>
      <c r="H1820" s="160"/>
      <c r="I1820" s="157"/>
      <c r="J1820" s="161"/>
      <c r="L1820" s="94"/>
      <c r="M1820" s="159"/>
      <c r="N1820" s="94"/>
    </row>
    <row r="1821">
      <c r="A1821" s="107">
        <v>202709.0</v>
      </c>
      <c r="B1821" s="108" t="s">
        <v>192</v>
      </c>
      <c r="C1821" s="108" t="s">
        <v>548</v>
      </c>
      <c r="D1821" s="100" t="str">
        <f t="shared" si="1"/>
        <v/>
      </c>
      <c r="E1821" s="100" t="str">
        <f t="shared" si="2"/>
        <v/>
      </c>
      <c r="F1821" s="100" t="str">
        <f t="shared" si="3"/>
        <v/>
      </c>
      <c r="G1821" s="151"/>
      <c r="H1821" s="156"/>
      <c r="I1821" s="157"/>
      <c r="J1821" s="158"/>
      <c r="L1821" s="94"/>
      <c r="M1821" s="159"/>
      <c r="N1821" s="94"/>
    </row>
    <row r="1822">
      <c r="A1822" s="107">
        <v>202709.0</v>
      </c>
      <c r="B1822" s="108" t="s">
        <v>193</v>
      </c>
      <c r="C1822" s="108" t="s">
        <v>548</v>
      </c>
      <c r="D1822" s="100" t="str">
        <f t="shared" si="1"/>
        <v/>
      </c>
      <c r="E1822" s="100" t="str">
        <f t="shared" si="2"/>
        <v/>
      </c>
      <c r="F1822" s="100" t="str">
        <f t="shared" si="3"/>
        <v/>
      </c>
      <c r="G1822" s="151"/>
      <c r="H1822" s="160"/>
      <c r="I1822" s="157"/>
      <c r="J1822" s="161"/>
      <c r="L1822" s="94"/>
      <c r="M1822" s="159"/>
      <c r="N1822" s="94"/>
    </row>
    <row r="1823">
      <c r="A1823" s="107">
        <v>202709.0</v>
      </c>
      <c r="B1823" s="108" t="s">
        <v>243</v>
      </c>
      <c r="C1823" s="108" t="s">
        <v>548</v>
      </c>
      <c r="D1823" s="100" t="str">
        <f t="shared" si="1"/>
        <v/>
      </c>
      <c r="E1823" s="100" t="str">
        <f t="shared" si="2"/>
        <v/>
      </c>
      <c r="F1823" s="100" t="str">
        <f t="shared" si="3"/>
        <v/>
      </c>
      <c r="G1823" s="151"/>
      <c r="H1823" s="156"/>
      <c r="I1823" s="157"/>
      <c r="J1823" s="158"/>
      <c r="L1823" s="94"/>
      <c r="M1823" s="159"/>
      <c r="N1823" s="94"/>
    </row>
    <row r="1824">
      <c r="A1824" s="107">
        <v>202709.0</v>
      </c>
      <c r="B1824" s="108" t="s">
        <v>215</v>
      </c>
      <c r="C1824" s="108" t="s">
        <v>548</v>
      </c>
      <c r="D1824" s="100" t="str">
        <f t="shared" si="1"/>
        <v/>
      </c>
      <c r="E1824" s="100" t="str">
        <f t="shared" si="2"/>
        <v/>
      </c>
      <c r="F1824" s="100" t="str">
        <f t="shared" si="3"/>
        <v/>
      </c>
      <c r="G1824" s="151"/>
      <c r="H1824" s="160"/>
      <c r="I1824" s="157"/>
      <c r="J1824" s="161"/>
      <c r="L1824" s="94"/>
      <c r="M1824" s="159"/>
      <c r="N1824" s="94"/>
    </row>
    <row r="1825">
      <c r="A1825" s="107">
        <v>202709.0</v>
      </c>
      <c r="B1825" s="108" t="s">
        <v>244</v>
      </c>
      <c r="C1825" s="108" t="s">
        <v>548</v>
      </c>
      <c r="D1825" s="100" t="str">
        <f t="shared" si="1"/>
        <v/>
      </c>
      <c r="E1825" s="100" t="str">
        <f t="shared" si="2"/>
        <v/>
      </c>
      <c r="F1825" s="100" t="str">
        <f t="shared" si="3"/>
        <v/>
      </c>
      <c r="G1825" s="151"/>
      <c r="H1825" s="156"/>
      <c r="I1825" s="157"/>
      <c r="J1825" s="158"/>
      <c r="L1825" s="94"/>
      <c r="M1825" s="159"/>
      <c r="N1825" s="94"/>
    </row>
    <row r="1826">
      <c r="A1826" s="107">
        <v>202709.0</v>
      </c>
      <c r="B1826" s="108" t="s">
        <v>245</v>
      </c>
      <c r="C1826" s="108" t="s">
        <v>548</v>
      </c>
      <c r="D1826" s="100" t="str">
        <f t="shared" si="1"/>
        <v/>
      </c>
      <c r="E1826" s="100" t="str">
        <f t="shared" si="2"/>
        <v/>
      </c>
      <c r="F1826" s="100" t="str">
        <f t="shared" si="3"/>
        <v/>
      </c>
      <c r="G1826" s="151"/>
      <c r="H1826" s="160"/>
      <c r="I1826" s="157"/>
      <c r="J1826" s="161"/>
      <c r="L1826" s="94"/>
      <c r="M1826" s="159"/>
      <c r="N1826" s="94"/>
    </row>
    <row r="1827">
      <c r="A1827" s="107">
        <v>202709.0</v>
      </c>
      <c r="B1827" s="108" t="s">
        <v>246</v>
      </c>
      <c r="C1827" s="108" t="s">
        <v>548</v>
      </c>
      <c r="D1827" s="100" t="str">
        <f t="shared" si="1"/>
        <v/>
      </c>
      <c r="E1827" s="100" t="str">
        <f t="shared" si="2"/>
        <v/>
      </c>
      <c r="F1827" s="100" t="str">
        <f t="shared" si="3"/>
        <v/>
      </c>
      <c r="G1827" s="151"/>
      <c r="H1827" s="156"/>
      <c r="I1827" s="157"/>
      <c r="J1827" s="158"/>
      <c r="L1827" s="94"/>
      <c r="M1827" s="159"/>
      <c r="N1827" s="94"/>
    </row>
    <row r="1828">
      <c r="A1828" s="107">
        <v>202710.0</v>
      </c>
      <c r="B1828" s="108" t="s">
        <v>85</v>
      </c>
      <c r="C1828" s="108" t="s">
        <v>549</v>
      </c>
      <c r="D1828" s="100" t="str">
        <f t="shared" si="1"/>
        <v/>
      </c>
      <c r="E1828" s="100" t="str">
        <f t="shared" si="2"/>
        <v/>
      </c>
      <c r="F1828" s="100" t="str">
        <f t="shared" si="3"/>
        <v/>
      </c>
      <c r="G1828" s="151"/>
      <c r="H1828" s="160"/>
      <c r="I1828" s="157"/>
      <c r="J1828" s="161"/>
      <c r="L1828" s="94"/>
      <c r="M1828" s="159"/>
      <c r="N1828" s="94"/>
    </row>
    <row r="1829">
      <c r="A1829" s="107">
        <v>202710.0</v>
      </c>
      <c r="B1829" s="108" t="s">
        <v>90</v>
      </c>
      <c r="C1829" s="108" t="s">
        <v>549</v>
      </c>
      <c r="D1829" s="100" t="str">
        <f t="shared" si="1"/>
        <v/>
      </c>
      <c r="E1829" s="100" t="str">
        <f t="shared" si="2"/>
        <v/>
      </c>
      <c r="F1829" s="100" t="str">
        <f t="shared" si="3"/>
        <v/>
      </c>
      <c r="G1829" s="151"/>
      <c r="H1829" s="156"/>
      <c r="I1829" s="157"/>
      <c r="J1829" s="158"/>
      <c r="L1829" s="94"/>
      <c r="M1829" s="159"/>
      <c r="N1829" s="94"/>
    </row>
    <row r="1830">
      <c r="A1830" s="107">
        <v>202710.0</v>
      </c>
      <c r="B1830" s="108" t="s">
        <v>92</v>
      </c>
      <c r="C1830" s="108" t="s">
        <v>549</v>
      </c>
      <c r="D1830" s="100" t="str">
        <f t="shared" si="1"/>
        <v/>
      </c>
      <c r="E1830" s="100" t="str">
        <f t="shared" si="2"/>
        <v/>
      </c>
      <c r="F1830" s="100" t="str">
        <f t="shared" si="3"/>
        <v/>
      </c>
      <c r="G1830" s="151"/>
      <c r="H1830" s="160"/>
      <c r="I1830" s="157"/>
      <c r="J1830" s="161"/>
      <c r="L1830" s="94"/>
      <c r="M1830" s="159"/>
      <c r="N1830" s="94"/>
    </row>
    <row r="1831">
      <c r="A1831" s="107">
        <v>202710.0</v>
      </c>
      <c r="B1831" s="108" t="s">
        <v>190</v>
      </c>
      <c r="C1831" s="108" t="s">
        <v>549</v>
      </c>
      <c r="D1831" s="100" t="str">
        <f t="shared" si="1"/>
        <v/>
      </c>
      <c r="E1831" s="100" t="str">
        <f t="shared" si="2"/>
        <v/>
      </c>
      <c r="F1831" s="100" t="str">
        <f t="shared" si="3"/>
        <v/>
      </c>
      <c r="G1831" s="151"/>
      <c r="H1831" s="156"/>
      <c r="I1831" s="157"/>
      <c r="J1831" s="158"/>
      <c r="L1831" s="94"/>
      <c r="M1831" s="159"/>
      <c r="N1831" s="94"/>
    </row>
    <row r="1832">
      <c r="A1832" s="107">
        <v>202710.0</v>
      </c>
      <c r="B1832" s="108" t="s">
        <v>191</v>
      </c>
      <c r="C1832" s="108" t="s">
        <v>549</v>
      </c>
      <c r="D1832" s="100" t="str">
        <f t="shared" si="1"/>
        <v/>
      </c>
      <c r="E1832" s="100" t="str">
        <f t="shared" si="2"/>
        <v/>
      </c>
      <c r="F1832" s="100" t="str">
        <f t="shared" si="3"/>
        <v/>
      </c>
      <c r="G1832" s="151"/>
      <c r="H1832" s="160"/>
      <c r="I1832" s="157"/>
      <c r="J1832" s="161"/>
      <c r="L1832" s="94"/>
      <c r="M1832" s="159"/>
      <c r="N1832" s="94"/>
    </row>
    <row r="1833">
      <c r="A1833" s="107">
        <v>202710.0</v>
      </c>
      <c r="B1833" s="108" t="s">
        <v>192</v>
      </c>
      <c r="C1833" s="108" t="s">
        <v>549</v>
      </c>
      <c r="D1833" s="100" t="str">
        <f t="shared" si="1"/>
        <v/>
      </c>
      <c r="E1833" s="100" t="str">
        <f t="shared" si="2"/>
        <v/>
      </c>
      <c r="F1833" s="100" t="str">
        <f t="shared" si="3"/>
        <v/>
      </c>
      <c r="G1833" s="151"/>
      <c r="H1833" s="156"/>
      <c r="I1833" s="157"/>
      <c r="J1833" s="158"/>
      <c r="L1833" s="94"/>
      <c r="M1833" s="159"/>
      <c r="N1833" s="94"/>
    </row>
    <row r="1834">
      <c r="A1834" s="107">
        <v>202710.0</v>
      </c>
      <c r="B1834" s="108" t="s">
        <v>193</v>
      </c>
      <c r="C1834" s="108" t="s">
        <v>549</v>
      </c>
      <c r="D1834" s="100" t="str">
        <f t="shared" si="1"/>
        <v/>
      </c>
      <c r="E1834" s="100" t="str">
        <f t="shared" si="2"/>
        <v/>
      </c>
      <c r="F1834" s="100" t="str">
        <f t="shared" si="3"/>
        <v/>
      </c>
      <c r="G1834" s="151"/>
      <c r="H1834" s="160"/>
      <c r="I1834" s="157"/>
      <c r="J1834" s="161"/>
      <c r="L1834" s="94"/>
      <c r="M1834" s="159"/>
      <c r="N1834" s="94"/>
    </row>
    <row r="1835">
      <c r="A1835" s="107">
        <v>202710.0</v>
      </c>
      <c r="B1835" s="108" t="s">
        <v>243</v>
      </c>
      <c r="C1835" s="108" t="s">
        <v>549</v>
      </c>
      <c r="D1835" s="100" t="str">
        <f t="shared" si="1"/>
        <v/>
      </c>
      <c r="E1835" s="100" t="str">
        <f t="shared" si="2"/>
        <v/>
      </c>
      <c r="F1835" s="100" t="str">
        <f t="shared" si="3"/>
        <v/>
      </c>
      <c r="G1835" s="151"/>
      <c r="H1835" s="156"/>
      <c r="I1835" s="157"/>
      <c r="J1835" s="158"/>
      <c r="L1835" s="94"/>
      <c r="M1835" s="159"/>
      <c r="N1835" s="94"/>
    </row>
    <row r="1836">
      <c r="A1836" s="107">
        <v>202710.0</v>
      </c>
      <c r="B1836" s="108" t="s">
        <v>215</v>
      </c>
      <c r="C1836" s="108" t="s">
        <v>549</v>
      </c>
      <c r="D1836" s="100" t="str">
        <f t="shared" si="1"/>
        <v/>
      </c>
      <c r="E1836" s="100" t="str">
        <f t="shared" si="2"/>
        <v/>
      </c>
      <c r="F1836" s="100" t="str">
        <f t="shared" si="3"/>
        <v/>
      </c>
      <c r="G1836" s="151"/>
      <c r="H1836" s="160"/>
      <c r="I1836" s="157"/>
      <c r="J1836" s="161"/>
      <c r="L1836" s="94"/>
      <c r="M1836" s="159"/>
      <c r="N1836" s="94"/>
    </row>
    <row r="1837">
      <c r="A1837" s="107">
        <v>202710.0</v>
      </c>
      <c r="B1837" s="108" t="s">
        <v>244</v>
      </c>
      <c r="C1837" s="108" t="s">
        <v>549</v>
      </c>
      <c r="D1837" s="100" t="str">
        <f t="shared" si="1"/>
        <v/>
      </c>
      <c r="E1837" s="100" t="str">
        <f t="shared" si="2"/>
        <v/>
      </c>
      <c r="F1837" s="100" t="str">
        <f t="shared" si="3"/>
        <v/>
      </c>
      <c r="G1837" s="151"/>
      <c r="H1837" s="156"/>
      <c r="I1837" s="157"/>
      <c r="J1837" s="158"/>
      <c r="L1837" s="94"/>
      <c r="M1837" s="159"/>
      <c r="N1837" s="94"/>
    </row>
    <row r="1838">
      <c r="A1838" s="107">
        <v>202710.0</v>
      </c>
      <c r="B1838" s="108" t="s">
        <v>245</v>
      </c>
      <c r="C1838" s="108" t="s">
        <v>549</v>
      </c>
      <c r="D1838" s="100" t="str">
        <f t="shared" si="1"/>
        <v/>
      </c>
      <c r="E1838" s="100" t="str">
        <f t="shared" si="2"/>
        <v/>
      </c>
      <c r="F1838" s="100" t="str">
        <f t="shared" si="3"/>
        <v/>
      </c>
      <c r="G1838" s="151"/>
      <c r="H1838" s="160"/>
      <c r="I1838" s="157"/>
      <c r="J1838" s="161"/>
      <c r="L1838" s="94"/>
      <c r="M1838" s="159"/>
      <c r="N1838" s="94"/>
    </row>
    <row r="1839">
      <c r="A1839" s="107">
        <v>202710.0</v>
      </c>
      <c r="B1839" s="108" t="s">
        <v>246</v>
      </c>
      <c r="C1839" s="108" t="s">
        <v>549</v>
      </c>
      <c r="D1839" s="100" t="str">
        <f t="shared" si="1"/>
        <v/>
      </c>
      <c r="E1839" s="100" t="str">
        <f t="shared" si="2"/>
        <v/>
      </c>
      <c r="F1839" s="100" t="str">
        <f t="shared" si="3"/>
        <v/>
      </c>
      <c r="G1839" s="151"/>
      <c r="H1839" s="156"/>
      <c r="I1839" s="157"/>
      <c r="J1839" s="158"/>
      <c r="L1839" s="94"/>
      <c r="M1839" s="159"/>
      <c r="N1839" s="94"/>
    </row>
    <row r="1840">
      <c r="A1840" s="149">
        <v>202710.0</v>
      </c>
      <c r="B1840" s="115" t="s">
        <v>247</v>
      </c>
      <c r="C1840" s="108" t="s">
        <v>549</v>
      </c>
      <c r="D1840" s="100" t="str">
        <f t="shared" si="1"/>
        <v/>
      </c>
      <c r="E1840" s="100" t="str">
        <f t="shared" si="2"/>
        <v/>
      </c>
      <c r="F1840" s="100" t="str">
        <f t="shared" si="3"/>
        <v/>
      </c>
      <c r="G1840" s="151"/>
      <c r="H1840" s="160"/>
      <c r="I1840" s="157"/>
      <c r="J1840" s="161"/>
      <c r="L1840" s="94"/>
      <c r="M1840" s="159"/>
      <c r="N1840" s="94"/>
    </row>
    <row r="1841">
      <c r="A1841" s="21">
        <v>202711.0</v>
      </c>
      <c r="B1841" s="164" t="s">
        <v>90</v>
      </c>
      <c r="C1841" s="164" t="s">
        <v>550</v>
      </c>
      <c r="D1841" s="100" t="str">
        <f t="shared" si="1"/>
        <v/>
      </c>
      <c r="E1841" s="100" t="str">
        <f t="shared" si="2"/>
        <v/>
      </c>
      <c r="F1841" s="100" t="str">
        <f t="shared" si="3"/>
        <v/>
      </c>
      <c r="G1841" s="151"/>
      <c r="H1841" s="156"/>
      <c r="I1841" s="157"/>
      <c r="J1841" s="158"/>
      <c r="L1841" s="94"/>
      <c r="M1841" s="159"/>
      <c r="N1841" s="94"/>
    </row>
    <row r="1842">
      <c r="A1842" s="107">
        <v>202711.0</v>
      </c>
      <c r="B1842" s="108" t="s">
        <v>92</v>
      </c>
      <c r="C1842" s="108" t="s">
        <v>550</v>
      </c>
      <c r="D1842" s="100" t="str">
        <f t="shared" si="1"/>
        <v/>
      </c>
      <c r="E1842" s="100" t="str">
        <f t="shared" si="2"/>
        <v/>
      </c>
      <c r="F1842" s="100" t="str">
        <f t="shared" si="3"/>
        <v/>
      </c>
      <c r="G1842" s="151"/>
      <c r="H1842" s="160"/>
      <c r="I1842" s="157"/>
      <c r="J1842" s="161"/>
      <c r="L1842" s="94"/>
      <c r="M1842" s="159"/>
      <c r="N1842" s="94"/>
    </row>
    <row r="1843">
      <c r="A1843" s="107">
        <v>202711.0</v>
      </c>
      <c r="B1843" s="108" t="s">
        <v>190</v>
      </c>
      <c r="C1843" s="108" t="s">
        <v>550</v>
      </c>
      <c r="D1843" s="100" t="str">
        <f t="shared" si="1"/>
        <v/>
      </c>
      <c r="E1843" s="100" t="str">
        <f t="shared" si="2"/>
        <v/>
      </c>
      <c r="F1843" s="100" t="str">
        <f t="shared" si="3"/>
        <v/>
      </c>
      <c r="G1843" s="151"/>
      <c r="H1843" s="156"/>
      <c r="I1843" s="157"/>
      <c r="J1843" s="158"/>
      <c r="L1843" s="94"/>
      <c r="M1843" s="159"/>
      <c r="N1843" s="94"/>
    </row>
    <row r="1844">
      <c r="A1844" s="107">
        <v>202711.0</v>
      </c>
      <c r="B1844" s="108" t="s">
        <v>191</v>
      </c>
      <c r="C1844" s="108" t="s">
        <v>550</v>
      </c>
      <c r="D1844" s="100" t="str">
        <f t="shared" si="1"/>
        <v/>
      </c>
      <c r="E1844" s="100" t="str">
        <f t="shared" si="2"/>
        <v/>
      </c>
      <c r="F1844" s="100" t="str">
        <f t="shared" si="3"/>
        <v/>
      </c>
      <c r="G1844" s="151"/>
      <c r="H1844" s="160"/>
      <c r="I1844" s="157"/>
      <c r="J1844" s="161"/>
      <c r="L1844" s="94"/>
      <c r="M1844" s="159"/>
      <c r="N1844" s="94"/>
    </row>
    <row r="1845">
      <c r="A1845" s="107">
        <v>202711.0</v>
      </c>
      <c r="B1845" s="108" t="s">
        <v>192</v>
      </c>
      <c r="C1845" s="108" t="s">
        <v>550</v>
      </c>
      <c r="D1845" s="100" t="str">
        <f t="shared" si="1"/>
        <v/>
      </c>
      <c r="E1845" s="100" t="str">
        <f t="shared" si="2"/>
        <v/>
      </c>
      <c r="F1845" s="100" t="str">
        <f t="shared" si="3"/>
        <v/>
      </c>
      <c r="G1845" s="151"/>
      <c r="H1845" s="156"/>
      <c r="I1845" s="157"/>
      <c r="J1845" s="158"/>
      <c r="L1845" s="94"/>
      <c r="M1845" s="159"/>
      <c r="N1845" s="94"/>
    </row>
    <row r="1846">
      <c r="A1846" s="107">
        <v>202711.0</v>
      </c>
      <c r="B1846" s="108" t="s">
        <v>193</v>
      </c>
      <c r="C1846" s="108" t="s">
        <v>550</v>
      </c>
      <c r="D1846" s="100" t="str">
        <f t="shared" si="1"/>
        <v/>
      </c>
      <c r="E1846" s="100" t="str">
        <f t="shared" si="2"/>
        <v/>
      </c>
      <c r="F1846" s="100" t="str">
        <f t="shared" si="3"/>
        <v/>
      </c>
      <c r="G1846" s="151"/>
      <c r="H1846" s="160"/>
      <c r="I1846" s="157"/>
      <c r="J1846" s="161"/>
      <c r="L1846" s="94"/>
      <c r="M1846" s="159"/>
      <c r="N1846" s="94"/>
    </row>
    <row r="1847">
      <c r="A1847" s="107">
        <v>202711.0</v>
      </c>
      <c r="B1847" s="108" t="s">
        <v>243</v>
      </c>
      <c r="C1847" s="108" t="s">
        <v>550</v>
      </c>
      <c r="D1847" s="100" t="str">
        <f t="shared" si="1"/>
        <v/>
      </c>
      <c r="E1847" s="100" t="str">
        <f t="shared" si="2"/>
        <v/>
      </c>
      <c r="F1847" s="100" t="str">
        <f t="shared" si="3"/>
        <v/>
      </c>
      <c r="G1847" s="151"/>
      <c r="H1847" s="156"/>
      <c r="I1847" s="157"/>
      <c r="J1847" s="158"/>
      <c r="L1847" s="94"/>
      <c r="M1847" s="159"/>
      <c r="N1847" s="94"/>
    </row>
    <row r="1848">
      <c r="A1848" s="107">
        <v>202711.0</v>
      </c>
      <c r="B1848" s="108" t="s">
        <v>215</v>
      </c>
      <c r="C1848" s="108" t="s">
        <v>550</v>
      </c>
      <c r="D1848" s="100" t="str">
        <f t="shared" si="1"/>
        <v/>
      </c>
      <c r="E1848" s="100" t="str">
        <f t="shared" si="2"/>
        <v/>
      </c>
      <c r="F1848" s="100" t="str">
        <f t="shared" si="3"/>
        <v/>
      </c>
      <c r="G1848" s="151"/>
      <c r="H1848" s="160"/>
      <c r="I1848" s="157"/>
      <c r="J1848" s="161"/>
      <c r="L1848" s="94"/>
      <c r="M1848" s="159"/>
      <c r="N1848" s="94"/>
    </row>
    <row r="1849">
      <c r="A1849" s="107">
        <v>202711.0</v>
      </c>
      <c r="B1849" s="108" t="s">
        <v>244</v>
      </c>
      <c r="C1849" s="108" t="s">
        <v>550</v>
      </c>
      <c r="D1849" s="100" t="str">
        <f t="shared" si="1"/>
        <v/>
      </c>
      <c r="E1849" s="100" t="str">
        <f t="shared" si="2"/>
        <v/>
      </c>
      <c r="F1849" s="100" t="str">
        <f t="shared" si="3"/>
        <v/>
      </c>
      <c r="G1849" s="151"/>
      <c r="H1849" s="156"/>
      <c r="I1849" s="157"/>
      <c r="J1849" s="158"/>
      <c r="L1849" s="94"/>
      <c r="M1849" s="159"/>
      <c r="N1849" s="94"/>
    </row>
    <row r="1850">
      <c r="A1850" s="107">
        <v>202711.0</v>
      </c>
      <c r="B1850" s="108" t="s">
        <v>245</v>
      </c>
      <c r="C1850" s="108" t="s">
        <v>550</v>
      </c>
      <c r="D1850" s="100" t="str">
        <f t="shared" si="1"/>
        <v/>
      </c>
      <c r="E1850" s="100" t="str">
        <f t="shared" si="2"/>
        <v/>
      </c>
      <c r="F1850" s="100" t="str">
        <f t="shared" si="3"/>
        <v/>
      </c>
      <c r="G1850" s="151"/>
      <c r="H1850" s="160"/>
      <c r="I1850" s="157"/>
      <c r="J1850" s="161"/>
      <c r="L1850" s="94"/>
      <c r="M1850" s="159"/>
      <c r="N1850" s="94"/>
    </row>
    <row r="1851">
      <c r="A1851" s="107">
        <v>202711.0</v>
      </c>
      <c r="B1851" s="108" t="s">
        <v>246</v>
      </c>
      <c r="C1851" s="108" t="s">
        <v>550</v>
      </c>
      <c r="D1851" s="100" t="str">
        <f t="shared" si="1"/>
        <v/>
      </c>
      <c r="E1851" s="100" t="str">
        <f t="shared" si="2"/>
        <v/>
      </c>
      <c r="F1851" s="100" t="str">
        <f t="shared" si="3"/>
        <v/>
      </c>
      <c r="G1851" s="151"/>
      <c r="H1851" s="156"/>
      <c r="I1851" s="157"/>
      <c r="J1851" s="158"/>
      <c r="L1851" s="94"/>
      <c r="M1851" s="159"/>
      <c r="N1851" s="94"/>
    </row>
    <row r="1852">
      <c r="A1852" s="107">
        <v>202712.0</v>
      </c>
      <c r="B1852" s="108" t="s">
        <v>92</v>
      </c>
      <c r="C1852" s="108" t="s">
        <v>551</v>
      </c>
      <c r="D1852" s="100" t="str">
        <f t="shared" si="1"/>
        <v/>
      </c>
      <c r="E1852" s="100" t="str">
        <f t="shared" si="2"/>
        <v/>
      </c>
      <c r="F1852" s="100" t="str">
        <f t="shared" si="3"/>
        <v/>
      </c>
      <c r="G1852" s="151"/>
      <c r="H1852" s="160"/>
      <c r="I1852" s="157"/>
      <c r="J1852" s="161"/>
      <c r="L1852" s="94"/>
      <c r="M1852" s="159"/>
      <c r="N1852" s="94"/>
    </row>
    <row r="1853">
      <c r="A1853" s="107">
        <v>202712.0</v>
      </c>
      <c r="B1853" s="108" t="s">
        <v>190</v>
      </c>
      <c r="C1853" s="108" t="s">
        <v>551</v>
      </c>
      <c r="D1853" s="100" t="str">
        <f t="shared" si="1"/>
        <v/>
      </c>
      <c r="E1853" s="100" t="str">
        <f t="shared" si="2"/>
        <v/>
      </c>
      <c r="F1853" s="100" t="str">
        <f t="shared" si="3"/>
        <v/>
      </c>
      <c r="G1853" s="151"/>
      <c r="H1853" s="156"/>
      <c r="I1853" s="157"/>
      <c r="J1853" s="158"/>
      <c r="L1853" s="94"/>
      <c r="M1853" s="159"/>
      <c r="N1853" s="94"/>
    </row>
    <row r="1854">
      <c r="A1854" s="107">
        <v>202713.0</v>
      </c>
      <c r="B1854" s="108" t="s">
        <v>85</v>
      </c>
      <c r="C1854" s="108" t="s">
        <v>552</v>
      </c>
      <c r="D1854" s="100" t="str">
        <f t="shared" si="1"/>
        <v/>
      </c>
      <c r="E1854" s="100" t="str">
        <f t="shared" si="2"/>
        <v/>
      </c>
      <c r="F1854" s="100" t="str">
        <f t="shared" si="3"/>
        <v/>
      </c>
      <c r="G1854" s="151"/>
      <c r="H1854" s="160"/>
      <c r="I1854" s="157"/>
      <c r="J1854" s="161"/>
      <c r="L1854" s="94"/>
      <c r="M1854" s="159"/>
      <c r="N1854" s="94"/>
    </row>
    <row r="1855">
      <c r="A1855" s="107">
        <v>202713.0</v>
      </c>
      <c r="B1855" s="108" t="s">
        <v>90</v>
      </c>
      <c r="C1855" s="108" t="s">
        <v>552</v>
      </c>
      <c r="D1855" s="100" t="str">
        <f t="shared" si="1"/>
        <v/>
      </c>
      <c r="E1855" s="100" t="str">
        <f t="shared" si="2"/>
        <v/>
      </c>
      <c r="F1855" s="100" t="str">
        <f t="shared" si="3"/>
        <v/>
      </c>
      <c r="G1855" s="151"/>
      <c r="H1855" s="156"/>
      <c r="I1855" s="157"/>
      <c r="J1855" s="158"/>
      <c r="L1855" s="94"/>
      <c r="M1855" s="159"/>
      <c r="N1855" s="94"/>
    </row>
    <row r="1856">
      <c r="A1856" s="107">
        <v>202713.0</v>
      </c>
      <c r="B1856" s="108" t="s">
        <v>92</v>
      </c>
      <c r="C1856" s="108" t="s">
        <v>552</v>
      </c>
      <c r="D1856" s="100" t="str">
        <f t="shared" si="1"/>
        <v/>
      </c>
      <c r="E1856" s="100" t="str">
        <f t="shared" si="2"/>
        <v/>
      </c>
      <c r="F1856" s="100" t="str">
        <f t="shared" si="3"/>
        <v/>
      </c>
      <c r="G1856" s="151"/>
      <c r="H1856" s="160"/>
      <c r="I1856" s="157"/>
      <c r="J1856" s="161"/>
      <c r="L1856" s="94"/>
      <c r="M1856" s="159"/>
      <c r="N1856" s="94"/>
    </row>
    <row r="1857">
      <c r="A1857" s="107">
        <v>202713.0</v>
      </c>
      <c r="B1857" s="108" t="s">
        <v>190</v>
      </c>
      <c r="C1857" s="108" t="s">
        <v>552</v>
      </c>
      <c r="D1857" s="100" t="str">
        <f t="shared" si="1"/>
        <v/>
      </c>
      <c r="E1857" s="100" t="str">
        <f t="shared" si="2"/>
        <v/>
      </c>
      <c r="F1857" s="100" t="str">
        <f t="shared" si="3"/>
        <v/>
      </c>
      <c r="G1857" s="151"/>
      <c r="H1857" s="156"/>
      <c r="I1857" s="157"/>
      <c r="J1857" s="158"/>
      <c r="L1857" s="94"/>
      <c r="M1857" s="159"/>
      <c r="N1857" s="94"/>
    </row>
    <row r="1858">
      <c r="A1858" s="107">
        <v>202713.0</v>
      </c>
      <c r="B1858" s="108" t="s">
        <v>191</v>
      </c>
      <c r="C1858" s="108" t="s">
        <v>552</v>
      </c>
      <c r="D1858" s="100" t="str">
        <f t="shared" si="1"/>
        <v/>
      </c>
      <c r="E1858" s="100" t="str">
        <f t="shared" si="2"/>
        <v/>
      </c>
      <c r="F1858" s="100" t="str">
        <f t="shared" si="3"/>
        <v/>
      </c>
      <c r="G1858" s="151"/>
      <c r="H1858" s="160"/>
      <c r="I1858" s="157"/>
      <c r="J1858" s="161"/>
      <c r="L1858" s="94"/>
      <c r="M1858" s="159"/>
      <c r="N1858" s="94"/>
    </row>
    <row r="1859">
      <c r="A1859" s="107">
        <v>202714.0</v>
      </c>
      <c r="B1859" s="108" t="s">
        <v>85</v>
      </c>
      <c r="C1859" s="108" t="s">
        <v>553</v>
      </c>
      <c r="D1859" s="100" t="str">
        <f t="shared" si="1"/>
        <v/>
      </c>
      <c r="E1859" s="100" t="str">
        <f t="shared" si="2"/>
        <v/>
      </c>
      <c r="F1859" s="100" t="str">
        <f t="shared" si="3"/>
        <v/>
      </c>
      <c r="G1859" s="151"/>
      <c r="H1859" s="156"/>
      <c r="I1859" s="157"/>
      <c r="J1859" s="158"/>
      <c r="L1859" s="94"/>
      <c r="M1859" s="159"/>
      <c r="N1859" s="94"/>
    </row>
    <row r="1860">
      <c r="A1860" s="107">
        <v>202714.0</v>
      </c>
      <c r="B1860" s="108" t="s">
        <v>90</v>
      </c>
      <c r="C1860" s="108" t="s">
        <v>553</v>
      </c>
      <c r="D1860" s="100" t="str">
        <f t="shared" si="1"/>
        <v/>
      </c>
      <c r="E1860" s="100" t="str">
        <f t="shared" si="2"/>
        <v/>
      </c>
      <c r="F1860" s="100" t="str">
        <f t="shared" si="3"/>
        <v/>
      </c>
      <c r="G1860" s="151"/>
      <c r="H1860" s="160"/>
      <c r="I1860" s="157"/>
      <c r="J1860" s="161"/>
      <c r="L1860" s="94"/>
      <c r="M1860" s="159"/>
      <c r="N1860" s="94"/>
    </row>
    <row r="1861">
      <c r="A1861" s="107">
        <v>202714.0</v>
      </c>
      <c r="B1861" s="108" t="s">
        <v>92</v>
      </c>
      <c r="C1861" s="108" t="s">
        <v>553</v>
      </c>
      <c r="D1861" s="100" t="str">
        <f t="shared" si="1"/>
        <v/>
      </c>
      <c r="E1861" s="100" t="str">
        <f t="shared" si="2"/>
        <v/>
      </c>
      <c r="F1861" s="100" t="str">
        <f t="shared" si="3"/>
        <v/>
      </c>
      <c r="G1861" s="151"/>
      <c r="H1861" s="156"/>
      <c r="I1861" s="157"/>
      <c r="J1861" s="158"/>
      <c r="L1861" s="94"/>
      <c r="M1861" s="159"/>
      <c r="N1861" s="94"/>
    </row>
    <row r="1862">
      <c r="A1862" s="107">
        <v>202714.0</v>
      </c>
      <c r="B1862" s="108" t="s">
        <v>190</v>
      </c>
      <c r="C1862" s="108" t="s">
        <v>553</v>
      </c>
      <c r="D1862" s="100" t="str">
        <f t="shared" si="1"/>
        <v/>
      </c>
      <c r="E1862" s="100" t="str">
        <f t="shared" si="2"/>
        <v/>
      </c>
      <c r="F1862" s="100" t="str">
        <f t="shared" si="3"/>
        <v/>
      </c>
      <c r="G1862" s="151"/>
      <c r="H1862" s="160"/>
      <c r="I1862" s="157"/>
      <c r="J1862" s="161"/>
      <c r="L1862" s="94"/>
      <c r="M1862" s="159"/>
      <c r="N1862" s="94"/>
    </row>
    <row r="1863">
      <c r="A1863" s="107">
        <v>202714.0</v>
      </c>
      <c r="B1863" s="108" t="s">
        <v>191</v>
      </c>
      <c r="C1863" s="108" t="s">
        <v>553</v>
      </c>
      <c r="D1863" s="100" t="str">
        <f t="shared" si="1"/>
        <v/>
      </c>
      <c r="E1863" s="100" t="str">
        <f t="shared" si="2"/>
        <v/>
      </c>
      <c r="F1863" s="100" t="str">
        <f t="shared" si="3"/>
        <v/>
      </c>
      <c r="G1863" s="151"/>
      <c r="H1863" s="156"/>
      <c r="I1863" s="157"/>
      <c r="J1863" s="158"/>
      <c r="L1863" s="94"/>
      <c r="M1863" s="159"/>
      <c r="N1863" s="94"/>
    </row>
    <row r="1864">
      <c r="A1864" s="107">
        <v>202714.0</v>
      </c>
      <c r="B1864" s="108" t="s">
        <v>192</v>
      </c>
      <c r="C1864" s="108" t="s">
        <v>553</v>
      </c>
      <c r="D1864" s="100" t="str">
        <f t="shared" si="1"/>
        <v/>
      </c>
      <c r="E1864" s="100" t="str">
        <f t="shared" si="2"/>
        <v/>
      </c>
      <c r="F1864" s="100" t="str">
        <f t="shared" si="3"/>
        <v/>
      </c>
      <c r="G1864" s="151"/>
      <c r="H1864" s="160"/>
      <c r="I1864" s="157"/>
      <c r="J1864" s="161"/>
      <c r="L1864" s="94"/>
      <c r="M1864" s="159"/>
      <c r="N1864" s="94"/>
    </row>
    <row r="1865">
      <c r="A1865" s="107">
        <v>202718.0</v>
      </c>
      <c r="B1865" s="108" t="s">
        <v>85</v>
      </c>
      <c r="C1865" s="108" t="s">
        <v>554</v>
      </c>
      <c r="D1865" s="100" t="str">
        <f t="shared" si="1"/>
        <v/>
      </c>
      <c r="E1865" s="100" t="str">
        <f t="shared" si="2"/>
        <v/>
      </c>
      <c r="F1865" s="100" t="str">
        <f t="shared" si="3"/>
        <v/>
      </c>
      <c r="G1865" s="151"/>
      <c r="H1865" s="156"/>
      <c r="I1865" s="157"/>
      <c r="J1865" s="158"/>
      <c r="L1865" s="94"/>
      <c r="M1865" s="159"/>
      <c r="N1865" s="94"/>
    </row>
    <row r="1866">
      <c r="A1866" s="107">
        <v>202718.0</v>
      </c>
      <c r="B1866" s="108" t="s">
        <v>90</v>
      </c>
      <c r="C1866" s="108" t="s">
        <v>554</v>
      </c>
      <c r="D1866" s="100" t="str">
        <f t="shared" si="1"/>
        <v/>
      </c>
      <c r="E1866" s="100" t="str">
        <f t="shared" si="2"/>
        <v/>
      </c>
      <c r="F1866" s="100" t="str">
        <f t="shared" si="3"/>
        <v/>
      </c>
      <c r="G1866" s="151"/>
      <c r="H1866" s="160"/>
      <c r="I1866" s="157"/>
      <c r="J1866" s="161"/>
      <c r="L1866" s="94"/>
      <c r="M1866" s="159"/>
      <c r="N1866" s="94"/>
    </row>
    <row r="1867">
      <c r="A1867" s="107">
        <v>202718.0</v>
      </c>
      <c r="B1867" s="108" t="s">
        <v>92</v>
      </c>
      <c r="C1867" s="108" t="s">
        <v>554</v>
      </c>
      <c r="D1867" s="100" t="str">
        <f t="shared" si="1"/>
        <v/>
      </c>
      <c r="E1867" s="100" t="str">
        <f t="shared" si="2"/>
        <v/>
      </c>
      <c r="F1867" s="100" t="str">
        <f t="shared" si="3"/>
        <v/>
      </c>
      <c r="G1867" s="151"/>
      <c r="H1867" s="156"/>
      <c r="I1867" s="157"/>
      <c r="J1867" s="158"/>
      <c r="L1867" s="94"/>
      <c r="M1867" s="159"/>
      <c r="N1867" s="94"/>
    </row>
    <row r="1868">
      <c r="A1868" s="107">
        <v>202718.0</v>
      </c>
      <c r="B1868" s="108" t="s">
        <v>190</v>
      </c>
      <c r="C1868" s="108" t="s">
        <v>554</v>
      </c>
      <c r="D1868" s="100" t="str">
        <f t="shared" si="1"/>
        <v/>
      </c>
      <c r="E1868" s="100" t="str">
        <f t="shared" si="2"/>
        <v/>
      </c>
      <c r="F1868" s="100" t="str">
        <f t="shared" si="3"/>
        <v/>
      </c>
      <c r="G1868" s="151"/>
      <c r="H1868" s="160"/>
      <c r="I1868" s="157"/>
      <c r="J1868" s="161"/>
      <c r="L1868" s="94"/>
      <c r="M1868" s="159"/>
      <c r="N1868" s="94"/>
    </row>
    <row r="1869">
      <c r="A1869" s="107">
        <v>202718.0</v>
      </c>
      <c r="B1869" s="108" t="s">
        <v>191</v>
      </c>
      <c r="C1869" s="108" t="s">
        <v>554</v>
      </c>
      <c r="D1869" s="100" t="str">
        <f t="shared" si="1"/>
        <v/>
      </c>
      <c r="E1869" s="100" t="str">
        <f t="shared" si="2"/>
        <v/>
      </c>
      <c r="F1869" s="100" t="str">
        <f t="shared" si="3"/>
        <v/>
      </c>
      <c r="G1869" s="151"/>
      <c r="H1869" s="156"/>
      <c r="I1869" s="157"/>
      <c r="J1869" s="158"/>
      <c r="L1869" s="94"/>
      <c r="M1869" s="159"/>
      <c r="N1869" s="94"/>
    </row>
    <row r="1870">
      <c r="A1870" s="107">
        <v>202718.0</v>
      </c>
      <c r="B1870" s="108" t="s">
        <v>192</v>
      </c>
      <c r="C1870" s="108" t="s">
        <v>554</v>
      </c>
      <c r="D1870" s="100" t="str">
        <f t="shared" si="1"/>
        <v/>
      </c>
      <c r="E1870" s="100" t="str">
        <f t="shared" si="2"/>
        <v/>
      </c>
      <c r="F1870" s="100" t="str">
        <f t="shared" si="3"/>
        <v/>
      </c>
      <c r="G1870" s="151"/>
      <c r="H1870" s="160"/>
      <c r="I1870" s="157"/>
      <c r="J1870" s="161"/>
      <c r="L1870" s="94"/>
      <c r="M1870" s="159"/>
      <c r="N1870" s="94"/>
    </row>
    <row r="1871">
      <c r="A1871" s="107">
        <v>202718.0</v>
      </c>
      <c r="B1871" s="108" t="s">
        <v>193</v>
      </c>
      <c r="C1871" s="108" t="s">
        <v>554</v>
      </c>
      <c r="D1871" s="100" t="str">
        <f t="shared" si="1"/>
        <v/>
      </c>
      <c r="E1871" s="100" t="str">
        <f t="shared" si="2"/>
        <v/>
      </c>
      <c r="F1871" s="100" t="str">
        <f t="shared" si="3"/>
        <v/>
      </c>
      <c r="G1871" s="151"/>
      <c r="H1871" s="156"/>
      <c r="I1871" s="157"/>
      <c r="J1871" s="158"/>
      <c r="L1871" s="94"/>
      <c r="M1871" s="159"/>
      <c r="N1871" s="94"/>
    </row>
    <row r="1872">
      <c r="A1872" s="107">
        <v>202719.0</v>
      </c>
      <c r="B1872" s="108" t="s">
        <v>85</v>
      </c>
      <c r="C1872" s="108" t="s">
        <v>555</v>
      </c>
      <c r="D1872" s="100" t="str">
        <f t="shared" si="1"/>
        <v/>
      </c>
      <c r="E1872" s="100" t="str">
        <f t="shared" si="2"/>
        <v/>
      </c>
      <c r="F1872" s="100" t="str">
        <f t="shared" si="3"/>
        <v/>
      </c>
      <c r="G1872" s="151"/>
      <c r="H1872" s="160"/>
      <c r="I1872" s="157"/>
      <c r="J1872" s="161"/>
      <c r="L1872" s="94"/>
      <c r="M1872" s="159"/>
      <c r="N1872" s="94"/>
    </row>
    <row r="1873">
      <c r="A1873" s="107">
        <v>202720.0</v>
      </c>
      <c r="B1873" s="108" t="s">
        <v>85</v>
      </c>
      <c r="C1873" s="108" t="s">
        <v>556</v>
      </c>
      <c r="D1873" s="100" t="str">
        <f t="shared" si="1"/>
        <v/>
      </c>
      <c r="E1873" s="100" t="str">
        <f t="shared" si="2"/>
        <v/>
      </c>
      <c r="F1873" s="100" t="str">
        <f t="shared" si="3"/>
        <v/>
      </c>
      <c r="G1873" s="151"/>
      <c r="H1873" s="156"/>
      <c r="I1873" s="157"/>
      <c r="J1873" s="158"/>
      <c r="L1873" s="94"/>
      <c r="M1873" s="159"/>
      <c r="N1873" s="94"/>
    </row>
    <row r="1874">
      <c r="A1874" s="107">
        <v>202720.0</v>
      </c>
      <c r="B1874" s="108" t="s">
        <v>90</v>
      </c>
      <c r="C1874" s="108" t="s">
        <v>556</v>
      </c>
      <c r="D1874" s="100" t="str">
        <f t="shared" si="1"/>
        <v/>
      </c>
      <c r="E1874" s="100" t="str">
        <f t="shared" si="2"/>
        <v/>
      </c>
      <c r="F1874" s="100" t="str">
        <f t="shared" si="3"/>
        <v/>
      </c>
      <c r="G1874" s="151"/>
      <c r="H1874" s="160"/>
      <c r="I1874" s="157"/>
      <c r="J1874" s="161"/>
      <c r="L1874" s="94"/>
      <c r="M1874" s="159"/>
      <c r="N1874" s="94"/>
    </row>
    <row r="1875">
      <c r="A1875" s="107">
        <v>202720.0</v>
      </c>
      <c r="B1875" s="108" t="s">
        <v>92</v>
      </c>
      <c r="C1875" s="108" t="s">
        <v>556</v>
      </c>
      <c r="D1875" s="100" t="str">
        <f t="shared" si="1"/>
        <v/>
      </c>
      <c r="E1875" s="100" t="str">
        <f t="shared" si="2"/>
        <v/>
      </c>
      <c r="F1875" s="100" t="str">
        <f t="shared" si="3"/>
        <v/>
      </c>
      <c r="G1875" s="151"/>
      <c r="H1875" s="156"/>
      <c r="I1875" s="157"/>
      <c r="J1875" s="158"/>
      <c r="L1875" s="94"/>
      <c r="M1875" s="159"/>
      <c r="N1875" s="94"/>
    </row>
    <row r="1876">
      <c r="A1876" s="107">
        <v>202720.0</v>
      </c>
      <c r="B1876" s="108" t="s">
        <v>190</v>
      </c>
      <c r="C1876" s="108" t="s">
        <v>556</v>
      </c>
      <c r="D1876" s="100" t="str">
        <f t="shared" si="1"/>
        <v/>
      </c>
      <c r="E1876" s="100" t="str">
        <f t="shared" si="2"/>
        <v/>
      </c>
      <c r="F1876" s="100" t="str">
        <f t="shared" si="3"/>
        <v/>
      </c>
      <c r="G1876" s="151"/>
      <c r="H1876" s="160"/>
      <c r="I1876" s="157"/>
      <c r="J1876" s="161"/>
      <c r="L1876" s="94"/>
      <c r="M1876" s="159"/>
      <c r="N1876" s="94"/>
    </row>
    <row r="1877">
      <c r="A1877" s="107">
        <v>202720.0</v>
      </c>
      <c r="B1877" s="108" t="s">
        <v>191</v>
      </c>
      <c r="C1877" s="108" t="s">
        <v>556</v>
      </c>
      <c r="D1877" s="100" t="str">
        <f t="shared" si="1"/>
        <v/>
      </c>
      <c r="E1877" s="100" t="str">
        <f t="shared" si="2"/>
        <v/>
      </c>
      <c r="F1877" s="100" t="str">
        <f t="shared" si="3"/>
        <v/>
      </c>
      <c r="G1877" s="151"/>
      <c r="H1877" s="156"/>
      <c r="I1877" s="157"/>
      <c r="J1877" s="158"/>
      <c r="L1877" s="94"/>
      <c r="M1877" s="159"/>
      <c r="N1877" s="94"/>
    </row>
    <row r="1878">
      <c r="A1878" s="107">
        <v>202720.0</v>
      </c>
      <c r="B1878" s="108" t="s">
        <v>192</v>
      </c>
      <c r="C1878" s="108" t="s">
        <v>556</v>
      </c>
      <c r="D1878" s="100" t="str">
        <f t="shared" si="1"/>
        <v/>
      </c>
      <c r="E1878" s="100" t="str">
        <f t="shared" si="2"/>
        <v/>
      </c>
      <c r="F1878" s="100" t="str">
        <f t="shared" si="3"/>
        <v/>
      </c>
      <c r="G1878" s="151"/>
      <c r="H1878" s="160"/>
      <c r="I1878" s="157"/>
      <c r="J1878" s="161"/>
      <c r="L1878" s="94"/>
      <c r="M1878" s="159"/>
      <c r="N1878" s="94"/>
    </row>
    <row r="1879">
      <c r="A1879" s="107">
        <v>202721.0</v>
      </c>
      <c r="B1879" s="108" t="s">
        <v>85</v>
      </c>
      <c r="C1879" s="108" t="s">
        <v>557</v>
      </c>
      <c r="D1879" s="100" t="str">
        <f t="shared" si="1"/>
        <v/>
      </c>
      <c r="E1879" s="100" t="str">
        <f t="shared" si="2"/>
        <v/>
      </c>
      <c r="F1879" s="100" t="str">
        <f t="shared" si="3"/>
        <v/>
      </c>
      <c r="G1879" s="151"/>
      <c r="H1879" s="156"/>
      <c r="I1879" s="157"/>
      <c r="J1879" s="158"/>
      <c r="L1879" s="94"/>
      <c r="M1879" s="159"/>
      <c r="N1879" s="94"/>
    </row>
    <row r="1880">
      <c r="A1880" s="107">
        <v>202721.0</v>
      </c>
      <c r="B1880" s="108" t="s">
        <v>90</v>
      </c>
      <c r="C1880" s="108" t="s">
        <v>557</v>
      </c>
      <c r="D1880" s="100" t="str">
        <f t="shared" si="1"/>
        <v/>
      </c>
      <c r="E1880" s="100" t="str">
        <f t="shared" si="2"/>
        <v/>
      </c>
      <c r="F1880" s="100" t="str">
        <f t="shared" si="3"/>
        <v/>
      </c>
      <c r="G1880" s="151"/>
      <c r="H1880" s="160"/>
      <c r="I1880" s="162"/>
      <c r="J1880" s="161"/>
      <c r="L1880" s="94"/>
      <c r="M1880" s="159"/>
      <c r="N1880" s="94"/>
    </row>
    <row r="1881">
      <c r="A1881" s="107">
        <v>202722.0</v>
      </c>
      <c r="B1881" s="108" t="s">
        <v>190</v>
      </c>
      <c r="C1881" s="108" t="s">
        <v>558</v>
      </c>
      <c r="D1881" s="100" t="str">
        <f t="shared" si="1"/>
        <v/>
      </c>
      <c r="E1881" s="100" t="str">
        <f t="shared" si="2"/>
        <v/>
      </c>
      <c r="F1881" s="100" t="str">
        <f t="shared" si="3"/>
        <v/>
      </c>
      <c r="G1881" s="151"/>
      <c r="H1881" s="156"/>
      <c r="I1881" s="157"/>
      <c r="J1881" s="158"/>
      <c r="L1881" s="94"/>
      <c r="M1881" s="159"/>
      <c r="N1881" s="94"/>
    </row>
    <row r="1882">
      <c r="A1882" s="107">
        <v>202722.0</v>
      </c>
      <c r="B1882" s="108" t="s">
        <v>191</v>
      </c>
      <c r="C1882" s="108" t="s">
        <v>558</v>
      </c>
      <c r="D1882" s="100" t="str">
        <f t="shared" si="1"/>
        <v/>
      </c>
      <c r="E1882" s="100" t="str">
        <f t="shared" si="2"/>
        <v/>
      </c>
      <c r="F1882" s="100" t="str">
        <f t="shared" si="3"/>
        <v/>
      </c>
      <c r="G1882" s="151"/>
      <c r="H1882" s="160"/>
      <c r="I1882" s="157"/>
      <c r="J1882" s="161"/>
      <c r="L1882" s="94"/>
      <c r="M1882" s="159"/>
      <c r="N1882" s="94"/>
    </row>
    <row r="1883">
      <c r="A1883" s="107">
        <v>202722.0</v>
      </c>
      <c r="B1883" s="108" t="s">
        <v>192</v>
      </c>
      <c r="C1883" s="108" t="s">
        <v>558</v>
      </c>
      <c r="D1883" s="100" t="str">
        <f t="shared" si="1"/>
        <v/>
      </c>
      <c r="E1883" s="100" t="str">
        <f t="shared" si="2"/>
        <v/>
      </c>
      <c r="F1883" s="100" t="str">
        <f t="shared" si="3"/>
        <v/>
      </c>
      <c r="G1883" s="151"/>
      <c r="H1883" s="156"/>
      <c r="I1883" s="157"/>
      <c r="J1883" s="158"/>
      <c r="L1883" s="94"/>
      <c r="M1883" s="159"/>
      <c r="N1883" s="94"/>
    </row>
    <row r="1884">
      <c r="A1884" s="107">
        <v>202722.0</v>
      </c>
      <c r="B1884" s="108" t="s">
        <v>193</v>
      </c>
      <c r="C1884" s="108" t="s">
        <v>558</v>
      </c>
      <c r="D1884" s="100" t="str">
        <f t="shared" si="1"/>
        <v/>
      </c>
      <c r="E1884" s="100" t="str">
        <f t="shared" si="2"/>
        <v/>
      </c>
      <c r="F1884" s="100" t="str">
        <f t="shared" si="3"/>
        <v/>
      </c>
      <c r="G1884" s="151"/>
      <c r="H1884" s="160"/>
      <c r="I1884" s="157"/>
      <c r="J1884" s="161"/>
      <c r="L1884" s="94"/>
      <c r="M1884" s="159"/>
      <c r="N1884" s="94"/>
    </row>
    <row r="1885">
      <c r="A1885" s="107">
        <v>202722.0</v>
      </c>
      <c r="B1885" s="108" t="s">
        <v>243</v>
      </c>
      <c r="C1885" s="108" t="s">
        <v>558</v>
      </c>
      <c r="D1885" s="100" t="str">
        <f t="shared" si="1"/>
        <v/>
      </c>
      <c r="E1885" s="100" t="str">
        <f t="shared" si="2"/>
        <v/>
      </c>
      <c r="F1885" s="100" t="str">
        <f t="shared" si="3"/>
        <v/>
      </c>
      <c r="G1885" s="151"/>
      <c r="H1885" s="156"/>
      <c r="I1885" s="157"/>
      <c r="J1885" s="158"/>
      <c r="L1885" s="94"/>
      <c r="M1885" s="159"/>
      <c r="N1885" s="94"/>
    </row>
    <row r="1886">
      <c r="A1886" s="107">
        <v>202722.0</v>
      </c>
      <c r="B1886" s="108" t="s">
        <v>215</v>
      </c>
      <c r="C1886" s="108" t="s">
        <v>558</v>
      </c>
      <c r="D1886" s="100" t="str">
        <f t="shared" si="1"/>
        <v/>
      </c>
      <c r="E1886" s="100" t="str">
        <f t="shared" si="2"/>
        <v/>
      </c>
      <c r="F1886" s="100" t="str">
        <f t="shared" si="3"/>
        <v/>
      </c>
      <c r="G1886" s="151"/>
      <c r="H1886" s="160"/>
      <c r="I1886" s="157"/>
      <c r="J1886" s="161"/>
      <c r="L1886" s="94"/>
      <c r="M1886" s="159"/>
      <c r="N1886" s="94"/>
    </row>
    <row r="1887">
      <c r="A1887" s="107">
        <v>202722.0</v>
      </c>
      <c r="B1887" s="108" t="s">
        <v>244</v>
      </c>
      <c r="C1887" s="108" t="s">
        <v>558</v>
      </c>
      <c r="D1887" s="100" t="str">
        <f t="shared" si="1"/>
        <v/>
      </c>
      <c r="E1887" s="100" t="str">
        <f t="shared" si="2"/>
        <v/>
      </c>
      <c r="F1887" s="100" t="str">
        <f t="shared" si="3"/>
        <v/>
      </c>
      <c r="G1887" s="151"/>
      <c r="H1887" s="156"/>
      <c r="I1887" s="157"/>
      <c r="J1887" s="158"/>
      <c r="L1887" s="94"/>
      <c r="M1887" s="159"/>
      <c r="N1887" s="94"/>
    </row>
    <row r="1888">
      <c r="A1888" s="107">
        <v>202722.0</v>
      </c>
      <c r="B1888" s="108" t="s">
        <v>245</v>
      </c>
      <c r="C1888" s="108" t="s">
        <v>558</v>
      </c>
      <c r="D1888" s="100" t="str">
        <f t="shared" si="1"/>
        <v/>
      </c>
      <c r="E1888" s="100" t="str">
        <f t="shared" si="2"/>
        <v/>
      </c>
      <c r="F1888" s="100" t="str">
        <f t="shared" si="3"/>
        <v/>
      </c>
      <c r="G1888" s="151"/>
      <c r="H1888" s="160"/>
      <c r="I1888" s="157"/>
      <c r="J1888" s="161"/>
      <c r="L1888" s="94"/>
      <c r="M1888" s="159"/>
      <c r="N1888" s="94"/>
    </row>
    <row r="1889">
      <c r="A1889" s="107">
        <v>202723.0</v>
      </c>
      <c r="B1889" s="108" t="s">
        <v>90</v>
      </c>
      <c r="C1889" s="108" t="s">
        <v>559</v>
      </c>
      <c r="D1889" s="100" t="str">
        <f t="shared" si="1"/>
        <v/>
      </c>
      <c r="E1889" s="100" t="str">
        <f t="shared" si="2"/>
        <v/>
      </c>
      <c r="F1889" s="100" t="str">
        <f t="shared" si="3"/>
        <v/>
      </c>
      <c r="G1889" s="151"/>
      <c r="H1889" s="156"/>
      <c r="I1889" s="157"/>
      <c r="J1889" s="158"/>
      <c r="L1889" s="94"/>
      <c r="M1889" s="159"/>
      <c r="N1889" s="94"/>
    </row>
    <row r="1890">
      <c r="A1890" s="107">
        <v>202725.0</v>
      </c>
      <c r="B1890" s="108" t="s">
        <v>85</v>
      </c>
      <c r="C1890" s="108" t="s">
        <v>560</v>
      </c>
      <c r="D1890" s="100" t="str">
        <f t="shared" si="1"/>
        <v/>
      </c>
      <c r="E1890" s="100" t="str">
        <f t="shared" si="2"/>
        <v/>
      </c>
      <c r="F1890" s="100" t="str">
        <f t="shared" si="3"/>
        <v/>
      </c>
      <c r="G1890" s="151"/>
      <c r="H1890" s="160"/>
      <c r="I1890" s="157"/>
      <c r="J1890" s="161"/>
      <c r="L1890" s="94"/>
      <c r="M1890" s="159"/>
      <c r="N1890" s="94"/>
    </row>
    <row r="1891">
      <c r="A1891" s="107">
        <v>202726.0</v>
      </c>
      <c r="B1891" s="108" t="s">
        <v>92</v>
      </c>
      <c r="C1891" s="108" t="s">
        <v>561</v>
      </c>
      <c r="D1891" s="100" t="str">
        <f t="shared" si="1"/>
        <v/>
      </c>
      <c r="E1891" s="100" t="str">
        <f t="shared" si="2"/>
        <v/>
      </c>
      <c r="F1891" s="100" t="str">
        <f t="shared" si="3"/>
        <v/>
      </c>
      <c r="G1891" s="151"/>
      <c r="H1891" s="156"/>
      <c r="I1891" s="157"/>
      <c r="J1891" s="158"/>
      <c r="L1891" s="94"/>
      <c r="M1891" s="159"/>
      <c r="N1891" s="94"/>
    </row>
    <row r="1892">
      <c r="A1892" s="107">
        <v>202730.0</v>
      </c>
      <c r="B1892" s="108" t="s">
        <v>85</v>
      </c>
      <c r="C1892" s="108" t="s">
        <v>562</v>
      </c>
      <c r="D1892" s="100" t="str">
        <f t="shared" si="1"/>
        <v/>
      </c>
      <c r="E1892" s="100" t="str">
        <f t="shared" si="2"/>
        <v/>
      </c>
      <c r="F1892" s="100" t="str">
        <f t="shared" si="3"/>
        <v/>
      </c>
      <c r="G1892" s="151"/>
      <c r="H1892" s="160"/>
      <c r="I1892" s="157"/>
      <c r="J1892" s="161"/>
      <c r="L1892" s="94"/>
      <c r="M1892" s="159"/>
      <c r="N1892" s="94"/>
    </row>
    <row r="1893">
      <c r="A1893" s="107">
        <v>202730.0</v>
      </c>
      <c r="B1893" s="108" t="s">
        <v>90</v>
      </c>
      <c r="C1893" s="108" t="s">
        <v>562</v>
      </c>
      <c r="D1893" s="100" t="str">
        <f t="shared" si="1"/>
        <v/>
      </c>
      <c r="E1893" s="100" t="str">
        <f t="shared" si="2"/>
        <v/>
      </c>
      <c r="F1893" s="100" t="str">
        <f t="shared" si="3"/>
        <v/>
      </c>
      <c r="G1893" s="151"/>
      <c r="H1893" s="156"/>
      <c r="I1893" s="157"/>
      <c r="J1893" s="158"/>
      <c r="L1893" s="94"/>
      <c r="M1893" s="159"/>
      <c r="N1893" s="94"/>
    </row>
    <row r="1894">
      <c r="A1894" s="107">
        <v>202730.0</v>
      </c>
      <c r="B1894" s="108" t="s">
        <v>92</v>
      </c>
      <c r="C1894" s="108" t="s">
        <v>562</v>
      </c>
      <c r="D1894" s="100" t="str">
        <f t="shared" si="1"/>
        <v/>
      </c>
      <c r="E1894" s="100" t="str">
        <f t="shared" si="2"/>
        <v/>
      </c>
      <c r="F1894" s="100" t="str">
        <f t="shared" si="3"/>
        <v/>
      </c>
      <c r="G1894" s="151"/>
      <c r="H1894" s="160"/>
      <c r="I1894" s="157"/>
      <c r="J1894" s="161"/>
      <c r="L1894" s="94"/>
      <c r="M1894" s="159"/>
      <c r="N1894" s="94"/>
    </row>
    <row r="1895">
      <c r="A1895" s="107">
        <v>202730.0</v>
      </c>
      <c r="B1895" s="108" t="s">
        <v>190</v>
      </c>
      <c r="C1895" s="108" t="s">
        <v>562</v>
      </c>
      <c r="D1895" s="100" t="str">
        <f t="shared" si="1"/>
        <v/>
      </c>
      <c r="E1895" s="100" t="str">
        <f t="shared" si="2"/>
        <v/>
      </c>
      <c r="F1895" s="100" t="str">
        <f t="shared" si="3"/>
        <v/>
      </c>
      <c r="G1895" s="151"/>
      <c r="H1895" s="156"/>
      <c r="I1895" s="157"/>
      <c r="J1895" s="158"/>
      <c r="L1895" s="94"/>
      <c r="M1895" s="159"/>
      <c r="N1895" s="94"/>
    </row>
    <row r="1896">
      <c r="A1896" s="107">
        <v>202732.0</v>
      </c>
      <c r="B1896" s="108" t="s">
        <v>85</v>
      </c>
      <c r="C1896" s="108" t="s">
        <v>563</v>
      </c>
      <c r="D1896" s="100" t="str">
        <f t="shared" si="1"/>
        <v/>
      </c>
      <c r="E1896" s="100" t="str">
        <f t="shared" si="2"/>
        <v/>
      </c>
      <c r="F1896" s="100" t="str">
        <f t="shared" si="3"/>
        <v/>
      </c>
      <c r="G1896" s="151"/>
      <c r="H1896" s="160"/>
      <c r="I1896" s="157"/>
      <c r="J1896" s="161"/>
      <c r="L1896" s="94"/>
      <c r="M1896" s="159"/>
      <c r="N1896" s="94"/>
    </row>
    <row r="1897">
      <c r="A1897" s="107">
        <v>202732.0</v>
      </c>
      <c r="B1897" s="108" t="s">
        <v>190</v>
      </c>
      <c r="C1897" s="108" t="s">
        <v>563</v>
      </c>
      <c r="D1897" s="100" t="str">
        <f t="shared" si="1"/>
        <v/>
      </c>
      <c r="E1897" s="100" t="str">
        <f t="shared" si="2"/>
        <v/>
      </c>
      <c r="F1897" s="100" t="str">
        <f t="shared" si="3"/>
        <v/>
      </c>
      <c r="G1897" s="151"/>
      <c r="H1897" s="156"/>
      <c r="I1897" s="157"/>
      <c r="J1897" s="158"/>
      <c r="L1897" s="94"/>
      <c r="M1897" s="159"/>
      <c r="N1897" s="94"/>
    </row>
    <row r="1898">
      <c r="A1898" s="107">
        <v>202732.0</v>
      </c>
      <c r="B1898" s="108" t="s">
        <v>191</v>
      </c>
      <c r="C1898" s="108" t="s">
        <v>563</v>
      </c>
      <c r="D1898" s="100" t="str">
        <f t="shared" si="1"/>
        <v/>
      </c>
      <c r="E1898" s="100" t="str">
        <f t="shared" si="2"/>
        <v/>
      </c>
      <c r="F1898" s="100" t="str">
        <f t="shared" si="3"/>
        <v/>
      </c>
      <c r="G1898" s="151"/>
      <c r="H1898" s="160"/>
      <c r="I1898" s="157"/>
      <c r="J1898" s="161"/>
      <c r="L1898" s="94"/>
      <c r="M1898" s="159"/>
      <c r="N1898" s="94"/>
    </row>
    <row r="1899">
      <c r="A1899" s="107">
        <v>202734.0</v>
      </c>
      <c r="B1899" s="108" t="s">
        <v>85</v>
      </c>
      <c r="C1899" s="108" t="s">
        <v>564</v>
      </c>
      <c r="D1899" s="100" t="str">
        <f t="shared" si="1"/>
        <v/>
      </c>
      <c r="E1899" s="100" t="str">
        <f t="shared" si="2"/>
        <v/>
      </c>
      <c r="F1899" s="100" t="str">
        <f t="shared" si="3"/>
        <v/>
      </c>
      <c r="G1899" s="151"/>
      <c r="H1899" s="156"/>
      <c r="I1899" s="157"/>
      <c r="J1899" s="158"/>
      <c r="L1899" s="94"/>
      <c r="M1899" s="159"/>
      <c r="N1899" s="94"/>
    </row>
    <row r="1900">
      <c r="A1900" s="107">
        <v>202734.0</v>
      </c>
      <c r="B1900" s="108" t="s">
        <v>90</v>
      </c>
      <c r="C1900" s="108" t="s">
        <v>564</v>
      </c>
      <c r="D1900" s="100" t="str">
        <f t="shared" si="1"/>
        <v/>
      </c>
      <c r="E1900" s="100" t="str">
        <f t="shared" si="2"/>
        <v/>
      </c>
      <c r="F1900" s="100" t="str">
        <f t="shared" si="3"/>
        <v/>
      </c>
      <c r="G1900" s="151"/>
      <c r="H1900" s="160"/>
      <c r="I1900" s="157"/>
      <c r="J1900" s="161"/>
      <c r="L1900" s="94"/>
      <c r="M1900" s="159"/>
      <c r="N1900" s="94"/>
    </row>
    <row r="1901">
      <c r="A1901" s="107">
        <v>202734.0</v>
      </c>
      <c r="B1901" s="108" t="s">
        <v>92</v>
      </c>
      <c r="C1901" s="108" t="s">
        <v>564</v>
      </c>
      <c r="D1901" s="100" t="str">
        <f t="shared" si="1"/>
        <v/>
      </c>
      <c r="E1901" s="100" t="str">
        <f t="shared" si="2"/>
        <v/>
      </c>
      <c r="F1901" s="100" t="str">
        <f t="shared" si="3"/>
        <v/>
      </c>
      <c r="G1901" s="151"/>
      <c r="H1901" s="156"/>
      <c r="I1901" s="157"/>
      <c r="J1901" s="158"/>
      <c r="L1901" s="94"/>
      <c r="M1901" s="159"/>
      <c r="N1901" s="94"/>
    </row>
    <row r="1902">
      <c r="A1902" s="107">
        <v>202734.0</v>
      </c>
      <c r="B1902" s="108" t="s">
        <v>190</v>
      </c>
      <c r="C1902" s="108" t="s">
        <v>564</v>
      </c>
      <c r="D1902" s="100" t="str">
        <f t="shared" si="1"/>
        <v/>
      </c>
      <c r="E1902" s="100" t="str">
        <f t="shared" si="2"/>
        <v/>
      </c>
      <c r="F1902" s="100" t="str">
        <f t="shared" si="3"/>
        <v/>
      </c>
      <c r="G1902" s="151"/>
      <c r="H1902" s="160"/>
      <c r="I1902" s="157"/>
      <c r="J1902" s="161"/>
      <c r="L1902" s="94"/>
      <c r="M1902" s="159"/>
      <c r="N1902" s="94"/>
    </row>
    <row r="1903">
      <c r="A1903" s="107">
        <v>202734.0</v>
      </c>
      <c r="B1903" s="108" t="s">
        <v>191</v>
      </c>
      <c r="C1903" s="108" t="s">
        <v>564</v>
      </c>
      <c r="D1903" s="100" t="str">
        <f t="shared" si="1"/>
        <v/>
      </c>
      <c r="E1903" s="100" t="str">
        <f t="shared" si="2"/>
        <v/>
      </c>
      <c r="F1903" s="100" t="str">
        <f t="shared" si="3"/>
        <v/>
      </c>
      <c r="G1903" s="151"/>
      <c r="H1903" s="156"/>
      <c r="I1903" s="157"/>
      <c r="J1903" s="158"/>
      <c r="L1903" s="94"/>
      <c r="M1903" s="159"/>
      <c r="N1903" s="94"/>
    </row>
    <row r="1904">
      <c r="A1904" s="107">
        <v>202734.0</v>
      </c>
      <c r="B1904" s="108" t="s">
        <v>192</v>
      </c>
      <c r="C1904" s="108" t="s">
        <v>564</v>
      </c>
      <c r="D1904" s="100" t="str">
        <f t="shared" si="1"/>
        <v/>
      </c>
      <c r="E1904" s="100" t="str">
        <f t="shared" si="2"/>
        <v/>
      </c>
      <c r="F1904" s="100" t="str">
        <f t="shared" si="3"/>
        <v/>
      </c>
      <c r="G1904" s="151"/>
      <c r="H1904" s="160"/>
      <c r="I1904" s="157"/>
      <c r="J1904" s="161"/>
      <c r="L1904" s="94"/>
      <c r="M1904" s="159"/>
      <c r="N1904" s="94"/>
    </row>
    <row r="1905">
      <c r="A1905" s="107">
        <v>202734.0</v>
      </c>
      <c r="B1905" s="108" t="s">
        <v>193</v>
      </c>
      <c r="C1905" s="108" t="s">
        <v>564</v>
      </c>
      <c r="D1905" s="100" t="str">
        <f t="shared" si="1"/>
        <v/>
      </c>
      <c r="E1905" s="100" t="str">
        <f t="shared" si="2"/>
        <v/>
      </c>
      <c r="F1905" s="100" t="str">
        <f t="shared" si="3"/>
        <v/>
      </c>
      <c r="G1905" s="151"/>
      <c r="H1905" s="156"/>
      <c r="I1905" s="157"/>
      <c r="J1905" s="158"/>
      <c r="L1905" s="94"/>
      <c r="M1905" s="159"/>
      <c r="N1905" s="94"/>
    </row>
    <row r="1906">
      <c r="A1906" s="107">
        <v>202734.0</v>
      </c>
      <c r="B1906" s="108" t="s">
        <v>243</v>
      </c>
      <c r="C1906" s="108" t="s">
        <v>564</v>
      </c>
      <c r="D1906" s="100" t="str">
        <f t="shared" si="1"/>
        <v/>
      </c>
      <c r="E1906" s="100" t="str">
        <f t="shared" si="2"/>
        <v/>
      </c>
      <c r="F1906" s="100" t="str">
        <f t="shared" si="3"/>
        <v/>
      </c>
      <c r="G1906" s="151"/>
      <c r="H1906" s="160"/>
      <c r="I1906" s="157"/>
      <c r="J1906" s="161"/>
      <c r="L1906" s="94"/>
      <c r="M1906" s="159"/>
      <c r="N1906" s="94"/>
    </row>
    <row r="1907">
      <c r="A1907" s="107">
        <v>202738.0</v>
      </c>
      <c r="B1907" s="108" t="s">
        <v>85</v>
      </c>
      <c r="C1907" s="108" t="s">
        <v>565</v>
      </c>
      <c r="D1907" s="100" t="str">
        <f t="shared" si="1"/>
        <v/>
      </c>
      <c r="E1907" s="100" t="str">
        <f t="shared" si="2"/>
        <v/>
      </c>
      <c r="F1907" s="100" t="str">
        <f t="shared" si="3"/>
        <v/>
      </c>
      <c r="G1907" s="151"/>
      <c r="H1907" s="156"/>
      <c r="I1907" s="157"/>
      <c r="J1907" s="158"/>
      <c r="L1907" s="94"/>
      <c r="M1907" s="159"/>
      <c r="N1907" s="94"/>
    </row>
    <row r="1908">
      <c r="A1908" s="107">
        <v>202738.0</v>
      </c>
      <c r="B1908" s="108" t="s">
        <v>90</v>
      </c>
      <c r="C1908" s="108" t="s">
        <v>565</v>
      </c>
      <c r="D1908" s="100" t="str">
        <f t="shared" si="1"/>
        <v/>
      </c>
      <c r="E1908" s="100" t="str">
        <f t="shared" si="2"/>
        <v/>
      </c>
      <c r="F1908" s="100" t="str">
        <f t="shared" si="3"/>
        <v/>
      </c>
      <c r="G1908" s="151"/>
      <c r="H1908" s="160"/>
      <c r="I1908" s="157"/>
      <c r="J1908" s="161"/>
      <c r="L1908" s="94"/>
      <c r="M1908" s="159"/>
      <c r="N1908" s="94"/>
    </row>
    <row r="1909">
      <c r="A1909" s="107">
        <v>202738.0</v>
      </c>
      <c r="B1909" s="108" t="s">
        <v>92</v>
      </c>
      <c r="C1909" s="108" t="s">
        <v>565</v>
      </c>
      <c r="D1909" s="100" t="str">
        <f t="shared" si="1"/>
        <v/>
      </c>
      <c r="E1909" s="100" t="str">
        <f t="shared" si="2"/>
        <v/>
      </c>
      <c r="F1909" s="100" t="str">
        <f t="shared" si="3"/>
        <v/>
      </c>
      <c r="G1909" s="151"/>
      <c r="H1909" s="156"/>
      <c r="I1909" s="157"/>
      <c r="J1909" s="158"/>
      <c r="L1909" s="94"/>
      <c r="M1909" s="159"/>
      <c r="N1909" s="94"/>
    </row>
    <row r="1910">
      <c r="A1910" s="107">
        <v>202738.0</v>
      </c>
      <c r="B1910" s="108" t="s">
        <v>190</v>
      </c>
      <c r="C1910" s="108" t="s">
        <v>565</v>
      </c>
      <c r="D1910" s="100" t="str">
        <f t="shared" si="1"/>
        <v/>
      </c>
      <c r="E1910" s="100" t="str">
        <f t="shared" si="2"/>
        <v/>
      </c>
      <c r="F1910" s="100" t="str">
        <f t="shared" si="3"/>
        <v/>
      </c>
      <c r="G1910" s="151"/>
      <c r="H1910" s="160"/>
      <c r="I1910" s="157"/>
      <c r="J1910" s="161"/>
      <c r="L1910" s="94"/>
      <c r="M1910" s="159"/>
      <c r="N1910" s="94"/>
    </row>
    <row r="1911">
      <c r="A1911" s="107">
        <v>202738.0</v>
      </c>
      <c r="B1911" s="108" t="s">
        <v>191</v>
      </c>
      <c r="C1911" s="108" t="s">
        <v>565</v>
      </c>
      <c r="D1911" s="100" t="str">
        <f t="shared" si="1"/>
        <v/>
      </c>
      <c r="E1911" s="100" t="str">
        <f t="shared" si="2"/>
        <v/>
      </c>
      <c r="F1911" s="100" t="str">
        <f t="shared" si="3"/>
        <v/>
      </c>
      <c r="G1911" s="151"/>
      <c r="H1911" s="156"/>
      <c r="I1911" s="157"/>
      <c r="J1911" s="158"/>
      <c r="L1911" s="94"/>
      <c r="M1911" s="159"/>
      <c r="N1911" s="94"/>
    </row>
    <row r="1912">
      <c r="A1912" s="107">
        <v>202738.0</v>
      </c>
      <c r="B1912" s="108" t="s">
        <v>192</v>
      </c>
      <c r="C1912" s="108" t="s">
        <v>565</v>
      </c>
      <c r="D1912" s="100" t="str">
        <f t="shared" si="1"/>
        <v/>
      </c>
      <c r="E1912" s="100" t="str">
        <f t="shared" si="2"/>
        <v/>
      </c>
      <c r="F1912" s="100" t="str">
        <f t="shared" si="3"/>
        <v/>
      </c>
      <c r="G1912" s="151"/>
      <c r="H1912" s="160"/>
      <c r="I1912" s="157"/>
      <c r="J1912" s="161"/>
      <c r="L1912" s="94"/>
      <c r="M1912" s="159"/>
      <c r="N1912" s="94"/>
    </row>
    <row r="1913">
      <c r="A1913" s="107">
        <v>202738.0</v>
      </c>
      <c r="B1913" s="108" t="s">
        <v>193</v>
      </c>
      <c r="C1913" s="108" t="s">
        <v>565</v>
      </c>
      <c r="D1913" s="100" t="str">
        <f t="shared" si="1"/>
        <v/>
      </c>
      <c r="E1913" s="100" t="str">
        <f t="shared" si="2"/>
        <v/>
      </c>
      <c r="F1913" s="100" t="str">
        <f t="shared" si="3"/>
        <v/>
      </c>
      <c r="G1913" s="151"/>
      <c r="H1913" s="156"/>
      <c r="I1913" s="157"/>
      <c r="J1913" s="158"/>
      <c r="L1913" s="94"/>
      <c r="M1913" s="159"/>
      <c r="N1913" s="94"/>
    </row>
    <row r="1914">
      <c r="A1914" s="107">
        <v>202738.0</v>
      </c>
      <c r="B1914" s="108" t="s">
        <v>243</v>
      </c>
      <c r="C1914" s="108" t="s">
        <v>565</v>
      </c>
      <c r="D1914" s="100" t="str">
        <f t="shared" si="1"/>
        <v/>
      </c>
      <c r="E1914" s="100" t="str">
        <f t="shared" si="2"/>
        <v/>
      </c>
      <c r="F1914" s="100" t="str">
        <f t="shared" si="3"/>
        <v/>
      </c>
      <c r="G1914" s="151"/>
      <c r="H1914" s="160"/>
      <c r="I1914" s="157"/>
      <c r="J1914" s="161"/>
      <c r="L1914" s="94"/>
      <c r="M1914" s="159"/>
      <c r="N1914" s="94"/>
    </row>
    <row r="1915">
      <c r="A1915" s="107">
        <v>202738.0</v>
      </c>
      <c r="B1915" s="108" t="s">
        <v>215</v>
      </c>
      <c r="C1915" s="108" t="s">
        <v>565</v>
      </c>
      <c r="D1915" s="100" t="str">
        <f t="shared" si="1"/>
        <v/>
      </c>
      <c r="E1915" s="100" t="str">
        <f t="shared" si="2"/>
        <v/>
      </c>
      <c r="F1915" s="100" t="str">
        <f t="shared" si="3"/>
        <v/>
      </c>
      <c r="G1915" s="151"/>
      <c r="H1915" s="156"/>
      <c r="I1915" s="157"/>
      <c r="J1915" s="158"/>
      <c r="L1915" s="94"/>
      <c r="M1915" s="159"/>
      <c r="N1915" s="94"/>
    </row>
    <row r="1916">
      <c r="A1916" s="107">
        <v>202738.0</v>
      </c>
      <c r="B1916" s="108" t="s">
        <v>245</v>
      </c>
      <c r="C1916" s="108" t="s">
        <v>565</v>
      </c>
      <c r="D1916" s="100" t="str">
        <f t="shared" si="1"/>
        <v/>
      </c>
      <c r="E1916" s="100" t="str">
        <f t="shared" si="2"/>
        <v/>
      </c>
      <c r="F1916" s="100" t="str">
        <f t="shared" si="3"/>
        <v/>
      </c>
      <c r="G1916" s="151"/>
      <c r="H1916" s="160"/>
      <c r="I1916" s="157"/>
      <c r="J1916" s="161"/>
      <c r="L1916" s="94"/>
      <c r="M1916" s="159"/>
      <c r="N1916" s="94"/>
    </row>
    <row r="1917">
      <c r="A1917" s="107">
        <v>202779.0</v>
      </c>
      <c r="B1917" s="108" t="s">
        <v>85</v>
      </c>
      <c r="C1917" s="108" t="s">
        <v>566</v>
      </c>
      <c r="D1917" s="100" t="str">
        <f t="shared" si="1"/>
        <v/>
      </c>
      <c r="E1917" s="100" t="str">
        <f t="shared" si="2"/>
        <v/>
      </c>
      <c r="F1917" s="100" t="str">
        <f t="shared" si="3"/>
        <v/>
      </c>
      <c r="G1917" s="151"/>
      <c r="H1917" s="156"/>
      <c r="I1917" s="157"/>
      <c r="J1917" s="158"/>
      <c r="L1917" s="94"/>
      <c r="M1917" s="159"/>
      <c r="N1917" s="94"/>
    </row>
    <row r="1918">
      <c r="A1918" s="107">
        <v>202779.0</v>
      </c>
      <c r="B1918" s="108" t="s">
        <v>90</v>
      </c>
      <c r="C1918" s="108" t="s">
        <v>566</v>
      </c>
      <c r="D1918" s="100" t="str">
        <f t="shared" si="1"/>
        <v/>
      </c>
      <c r="E1918" s="100" t="str">
        <f t="shared" si="2"/>
        <v/>
      </c>
      <c r="F1918" s="100" t="str">
        <f t="shared" si="3"/>
        <v/>
      </c>
      <c r="G1918" s="151"/>
      <c r="H1918" s="160"/>
      <c r="I1918" s="157"/>
      <c r="J1918" s="161"/>
      <c r="L1918" s="94"/>
      <c r="M1918" s="159"/>
      <c r="N1918" s="94"/>
    </row>
    <row r="1919">
      <c r="A1919" s="107">
        <v>202779.0</v>
      </c>
      <c r="B1919" s="108" t="s">
        <v>191</v>
      </c>
      <c r="C1919" s="108" t="s">
        <v>566</v>
      </c>
      <c r="D1919" s="100" t="str">
        <f t="shared" si="1"/>
        <v/>
      </c>
      <c r="E1919" s="100" t="str">
        <f t="shared" si="2"/>
        <v/>
      </c>
      <c r="F1919" s="100" t="str">
        <f t="shared" si="3"/>
        <v/>
      </c>
      <c r="G1919" s="151"/>
      <c r="H1919" s="156"/>
      <c r="I1919" s="157"/>
      <c r="J1919" s="158"/>
      <c r="L1919" s="94"/>
      <c r="M1919" s="159"/>
      <c r="N1919" s="94"/>
    </row>
    <row r="1920">
      <c r="A1920" s="107">
        <v>202874.0</v>
      </c>
      <c r="B1920" s="108" t="s">
        <v>85</v>
      </c>
      <c r="C1920" s="108" t="s">
        <v>567</v>
      </c>
      <c r="D1920" s="100" t="str">
        <f t="shared" si="1"/>
        <v/>
      </c>
      <c r="E1920" s="100" t="str">
        <f t="shared" si="2"/>
        <v/>
      </c>
      <c r="F1920" s="100" t="str">
        <f t="shared" si="3"/>
        <v/>
      </c>
      <c r="G1920" s="151"/>
      <c r="H1920" s="160"/>
      <c r="I1920" s="157"/>
      <c r="J1920" s="161"/>
      <c r="L1920" s="94"/>
      <c r="M1920" s="159"/>
      <c r="N1920" s="94"/>
    </row>
    <row r="1921">
      <c r="A1921" s="107">
        <v>202918.0</v>
      </c>
      <c r="B1921" s="108" t="s">
        <v>191</v>
      </c>
      <c r="C1921" s="108" t="s">
        <v>568</v>
      </c>
      <c r="D1921" s="100" t="str">
        <f t="shared" si="1"/>
        <v/>
      </c>
      <c r="E1921" s="100" t="str">
        <f t="shared" si="2"/>
        <v/>
      </c>
      <c r="F1921" s="100" t="str">
        <f t="shared" si="3"/>
        <v/>
      </c>
      <c r="G1921" s="151"/>
      <c r="H1921" s="156"/>
      <c r="I1921" s="157"/>
      <c r="J1921" s="158"/>
      <c r="L1921" s="94"/>
      <c r="M1921" s="159"/>
      <c r="N1921" s="94"/>
    </row>
    <row r="1922">
      <c r="A1922" s="107">
        <v>202933.0</v>
      </c>
      <c r="B1922" s="108" t="s">
        <v>85</v>
      </c>
      <c r="C1922" s="108" t="s">
        <v>569</v>
      </c>
      <c r="D1922" s="100" t="str">
        <f t="shared" si="1"/>
        <v/>
      </c>
      <c r="E1922" s="100" t="str">
        <f t="shared" si="2"/>
        <v/>
      </c>
      <c r="F1922" s="100" t="str">
        <f t="shared" si="3"/>
        <v/>
      </c>
      <c r="G1922" s="151"/>
      <c r="H1922" s="160"/>
      <c r="I1922" s="157"/>
      <c r="J1922" s="161"/>
      <c r="L1922" s="94"/>
      <c r="M1922" s="159"/>
      <c r="N1922" s="94"/>
    </row>
    <row r="1923">
      <c r="A1923" s="107">
        <v>202933.0</v>
      </c>
      <c r="B1923" s="108" t="s">
        <v>191</v>
      </c>
      <c r="C1923" s="108" t="s">
        <v>569</v>
      </c>
      <c r="D1923" s="100" t="str">
        <f t="shared" si="1"/>
        <v/>
      </c>
      <c r="E1923" s="100" t="str">
        <f t="shared" si="2"/>
        <v/>
      </c>
      <c r="F1923" s="100" t="str">
        <f t="shared" si="3"/>
        <v/>
      </c>
      <c r="G1923" s="151"/>
      <c r="H1923" s="156"/>
      <c r="I1923" s="157"/>
      <c r="J1923" s="158"/>
      <c r="L1923" s="94"/>
      <c r="M1923" s="159"/>
      <c r="N1923" s="94"/>
    </row>
    <row r="1924">
      <c r="A1924" s="107">
        <v>202951.0</v>
      </c>
      <c r="B1924" s="108" t="s">
        <v>193</v>
      </c>
      <c r="C1924" s="108" t="s">
        <v>570</v>
      </c>
      <c r="D1924" s="100" t="str">
        <f t="shared" si="1"/>
        <v/>
      </c>
      <c r="E1924" s="100" t="str">
        <f t="shared" si="2"/>
        <v/>
      </c>
      <c r="F1924" s="100" t="str">
        <f t="shared" si="3"/>
        <v/>
      </c>
      <c r="G1924" s="151"/>
      <c r="H1924" s="160"/>
      <c r="I1924" s="157"/>
      <c r="J1924" s="161"/>
      <c r="L1924" s="94"/>
      <c r="M1924" s="159"/>
      <c r="N1924" s="94"/>
    </row>
    <row r="1925">
      <c r="A1925" s="107">
        <v>202952.0</v>
      </c>
      <c r="B1925" s="108" t="s">
        <v>85</v>
      </c>
      <c r="C1925" s="108" t="s">
        <v>571</v>
      </c>
      <c r="D1925" s="100" t="str">
        <f t="shared" si="1"/>
        <v/>
      </c>
      <c r="E1925" s="100" t="str">
        <f t="shared" si="2"/>
        <v/>
      </c>
      <c r="F1925" s="100" t="str">
        <f t="shared" si="3"/>
        <v/>
      </c>
      <c r="G1925" s="151"/>
      <c r="H1925" s="156"/>
      <c r="I1925" s="157"/>
      <c r="J1925" s="158"/>
      <c r="L1925" s="94"/>
      <c r="M1925" s="159"/>
      <c r="N1925" s="94"/>
    </row>
    <row r="1926">
      <c r="A1926" s="107">
        <v>202952.0</v>
      </c>
      <c r="B1926" s="108" t="s">
        <v>90</v>
      </c>
      <c r="C1926" s="108" t="s">
        <v>571</v>
      </c>
      <c r="D1926" s="100" t="str">
        <f t="shared" si="1"/>
        <v/>
      </c>
      <c r="E1926" s="100" t="str">
        <f t="shared" si="2"/>
        <v/>
      </c>
      <c r="F1926" s="100" t="str">
        <f t="shared" si="3"/>
        <v/>
      </c>
      <c r="G1926" s="151"/>
      <c r="H1926" s="160"/>
      <c r="I1926" s="157"/>
      <c r="J1926" s="161"/>
      <c r="L1926" s="94"/>
      <c r="M1926" s="159"/>
      <c r="N1926" s="94"/>
    </row>
    <row r="1927">
      <c r="A1927" s="107">
        <v>202954.0</v>
      </c>
      <c r="B1927" s="108" t="s">
        <v>192</v>
      </c>
      <c r="C1927" s="108" t="s">
        <v>572</v>
      </c>
      <c r="D1927" s="100" t="str">
        <f t="shared" si="1"/>
        <v/>
      </c>
      <c r="E1927" s="100" t="str">
        <f t="shared" si="2"/>
        <v/>
      </c>
      <c r="F1927" s="100" t="str">
        <f t="shared" si="3"/>
        <v/>
      </c>
      <c r="G1927" s="151"/>
      <c r="H1927" s="156"/>
      <c r="I1927" s="162"/>
      <c r="J1927" s="158"/>
      <c r="L1927" s="94"/>
      <c r="M1927" s="159"/>
      <c r="N1927" s="94"/>
    </row>
    <row r="1928">
      <c r="A1928" s="107">
        <v>202954.0</v>
      </c>
      <c r="B1928" s="108" t="s">
        <v>193</v>
      </c>
      <c r="C1928" s="108" t="s">
        <v>572</v>
      </c>
      <c r="D1928" s="100" t="str">
        <f t="shared" si="1"/>
        <v/>
      </c>
      <c r="E1928" s="100" t="str">
        <f t="shared" si="2"/>
        <v/>
      </c>
      <c r="F1928" s="100" t="str">
        <f t="shared" si="3"/>
        <v/>
      </c>
      <c r="G1928" s="151"/>
      <c r="H1928" s="160"/>
      <c r="I1928" s="157"/>
      <c r="J1928" s="161"/>
      <c r="L1928" s="94"/>
      <c r="M1928" s="159"/>
      <c r="N1928" s="94"/>
    </row>
    <row r="1929">
      <c r="A1929" s="107">
        <v>202954.0</v>
      </c>
      <c r="B1929" s="108" t="s">
        <v>243</v>
      </c>
      <c r="C1929" s="108" t="s">
        <v>572</v>
      </c>
      <c r="D1929" s="100" t="str">
        <f t="shared" si="1"/>
        <v/>
      </c>
      <c r="E1929" s="100" t="str">
        <f t="shared" si="2"/>
        <v/>
      </c>
      <c r="F1929" s="100" t="str">
        <f t="shared" si="3"/>
        <v/>
      </c>
      <c r="G1929" s="151"/>
      <c r="H1929" s="156"/>
      <c r="I1929" s="157"/>
      <c r="J1929" s="158"/>
      <c r="L1929" s="94"/>
      <c r="M1929" s="159"/>
      <c r="N1929" s="94"/>
    </row>
    <row r="1930">
      <c r="A1930" s="107">
        <v>202954.0</v>
      </c>
      <c r="B1930" s="108" t="s">
        <v>215</v>
      </c>
      <c r="C1930" s="108" t="s">
        <v>572</v>
      </c>
      <c r="D1930" s="100" t="str">
        <f t="shared" si="1"/>
        <v/>
      </c>
      <c r="E1930" s="100" t="str">
        <f t="shared" si="2"/>
        <v/>
      </c>
      <c r="F1930" s="100" t="str">
        <f t="shared" si="3"/>
        <v/>
      </c>
      <c r="G1930" s="151"/>
      <c r="H1930" s="160"/>
      <c r="I1930" s="157"/>
      <c r="J1930" s="161"/>
      <c r="L1930" s="94"/>
      <c r="M1930" s="159"/>
      <c r="N1930" s="94"/>
    </row>
    <row r="1931">
      <c r="A1931" s="107">
        <v>202962.0</v>
      </c>
      <c r="B1931" s="108" t="s">
        <v>85</v>
      </c>
      <c r="C1931" s="108" t="s">
        <v>573</v>
      </c>
      <c r="D1931" s="100" t="str">
        <f t="shared" si="1"/>
        <v/>
      </c>
      <c r="E1931" s="100" t="str">
        <f t="shared" si="2"/>
        <v/>
      </c>
      <c r="F1931" s="100" t="str">
        <f t="shared" si="3"/>
        <v/>
      </c>
      <c r="G1931" s="151"/>
      <c r="H1931" s="156"/>
      <c r="I1931" s="157"/>
      <c r="J1931" s="158"/>
      <c r="L1931" s="94"/>
      <c r="M1931" s="159"/>
      <c r="N1931" s="94"/>
    </row>
    <row r="1932">
      <c r="A1932" s="107">
        <v>202962.0</v>
      </c>
      <c r="B1932" s="108" t="s">
        <v>90</v>
      </c>
      <c r="C1932" s="108" t="s">
        <v>573</v>
      </c>
      <c r="D1932" s="100" t="str">
        <f t="shared" si="1"/>
        <v/>
      </c>
      <c r="E1932" s="100" t="str">
        <f t="shared" si="2"/>
        <v/>
      </c>
      <c r="F1932" s="100" t="str">
        <f t="shared" si="3"/>
        <v/>
      </c>
      <c r="G1932" s="151"/>
      <c r="H1932" s="160"/>
      <c r="I1932" s="157"/>
      <c r="J1932" s="161"/>
      <c r="L1932" s="94"/>
      <c r="M1932" s="159"/>
      <c r="N1932" s="94"/>
    </row>
    <row r="1933">
      <c r="A1933" s="107">
        <v>202962.0</v>
      </c>
      <c r="B1933" s="108" t="s">
        <v>92</v>
      </c>
      <c r="C1933" s="108" t="s">
        <v>573</v>
      </c>
      <c r="D1933" s="100" t="str">
        <f t="shared" si="1"/>
        <v/>
      </c>
      <c r="E1933" s="100" t="str">
        <f t="shared" si="2"/>
        <v/>
      </c>
      <c r="F1933" s="100" t="str">
        <f t="shared" si="3"/>
        <v/>
      </c>
      <c r="G1933" s="151"/>
      <c r="H1933" s="156"/>
      <c r="I1933" s="157"/>
      <c r="J1933" s="158"/>
      <c r="L1933" s="94"/>
      <c r="M1933" s="159"/>
      <c r="N1933" s="94"/>
    </row>
    <row r="1934">
      <c r="A1934" s="107">
        <v>202970.0</v>
      </c>
      <c r="B1934" s="108" t="s">
        <v>85</v>
      </c>
      <c r="C1934" s="108" t="s">
        <v>574</v>
      </c>
      <c r="D1934" s="100" t="str">
        <f t="shared" si="1"/>
        <v/>
      </c>
      <c r="E1934" s="100" t="str">
        <f t="shared" si="2"/>
        <v/>
      </c>
      <c r="F1934" s="100" t="str">
        <f t="shared" si="3"/>
        <v/>
      </c>
      <c r="G1934" s="151"/>
      <c r="H1934" s="160"/>
      <c r="I1934" s="157"/>
      <c r="J1934" s="161"/>
      <c r="L1934" s="94"/>
      <c r="M1934" s="159"/>
      <c r="N1934" s="94"/>
    </row>
    <row r="1935">
      <c r="A1935" s="107">
        <v>203076.0</v>
      </c>
      <c r="B1935" s="108" t="s">
        <v>85</v>
      </c>
      <c r="C1935" s="108" t="s">
        <v>575</v>
      </c>
      <c r="D1935" s="100" t="str">
        <f t="shared" si="1"/>
        <v/>
      </c>
      <c r="E1935" s="100" t="str">
        <f t="shared" si="2"/>
        <v/>
      </c>
      <c r="F1935" s="100" t="str">
        <f t="shared" si="3"/>
        <v/>
      </c>
      <c r="G1935" s="151"/>
      <c r="H1935" s="156"/>
      <c r="I1935" s="157"/>
      <c r="J1935" s="158"/>
      <c r="L1935" s="94"/>
      <c r="M1935" s="159"/>
      <c r="N1935" s="94"/>
    </row>
    <row r="1936">
      <c r="A1936" s="107">
        <v>203076.0</v>
      </c>
      <c r="B1936" s="108" t="s">
        <v>90</v>
      </c>
      <c r="C1936" s="108" t="s">
        <v>575</v>
      </c>
      <c r="D1936" s="100" t="str">
        <f t="shared" si="1"/>
        <v/>
      </c>
      <c r="E1936" s="100" t="str">
        <f t="shared" si="2"/>
        <v/>
      </c>
      <c r="F1936" s="100" t="str">
        <f t="shared" si="3"/>
        <v/>
      </c>
      <c r="G1936" s="151"/>
      <c r="H1936" s="160"/>
      <c r="I1936" s="157"/>
      <c r="J1936" s="161"/>
      <c r="L1936" s="94"/>
      <c r="M1936" s="159"/>
      <c r="N1936" s="94"/>
    </row>
    <row r="1937">
      <c r="A1937" s="107">
        <v>203076.0</v>
      </c>
      <c r="B1937" s="108" t="s">
        <v>92</v>
      </c>
      <c r="C1937" s="108" t="s">
        <v>575</v>
      </c>
      <c r="D1937" s="100" t="str">
        <f t="shared" si="1"/>
        <v/>
      </c>
      <c r="E1937" s="100" t="str">
        <f t="shared" si="2"/>
        <v/>
      </c>
      <c r="F1937" s="100" t="str">
        <f t="shared" si="3"/>
        <v/>
      </c>
      <c r="G1937" s="151"/>
      <c r="H1937" s="156"/>
      <c r="I1937" s="157"/>
      <c r="J1937" s="158"/>
      <c r="L1937" s="94"/>
      <c r="M1937" s="159"/>
      <c r="N1937" s="94"/>
    </row>
    <row r="1938">
      <c r="A1938" s="107">
        <v>203076.0</v>
      </c>
      <c r="B1938" s="108" t="s">
        <v>190</v>
      </c>
      <c r="C1938" s="108" t="s">
        <v>575</v>
      </c>
      <c r="D1938" s="100" t="str">
        <f t="shared" si="1"/>
        <v/>
      </c>
      <c r="E1938" s="100" t="str">
        <f t="shared" si="2"/>
        <v/>
      </c>
      <c r="F1938" s="100" t="str">
        <f t="shared" si="3"/>
        <v/>
      </c>
      <c r="G1938" s="151"/>
      <c r="H1938" s="160"/>
      <c r="I1938" s="157"/>
      <c r="J1938" s="161"/>
      <c r="L1938" s="94"/>
      <c r="M1938" s="159"/>
      <c r="N1938" s="94"/>
    </row>
    <row r="1939">
      <c r="A1939" s="107">
        <v>203076.0</v>
      </c>
      <c r="B1939" s="108" t="s">
        <v>191</v>
      </c>
      <c r="C1939" s="108" t="s">
        <v>575</v>
      </c>
      <c r="D1939" s="100" t="str">
        <f t="shared" si="1"/>
        <v/>
      </c>
      <c r="E1939" s="100" t="str">
        <f t="shared" si="2"/>
        <v/>
      </c>
      <c r="F1939" s="100" t="str">
        <f t="shared" si="3"/>
        <v/>
      </c>
      <c r="G1939" s="151"/>
      <c r="H1939" s="156"/>
      <c r="I1939" s="157"/>
      <c r="J1939" s="158"/>
      <c r="L1939" s="94"/>
      <c r="M1939" s="159"/>
      <c r="N1939" s="94"/>
    </row>
    <row r="1940">
      <c r="A1940" s="107">
        <v>203076.0</v>
      </c>
      <c r="B1940" s="108" t="s">
        <v>192</v>
      </c>
      <c r="C1940" s="108" t="s">
        <v>575</v>
      </c>
      <c r="D1940" s="100" t="str">
        <f t="shared" si="1"/>
        <v/>
      </c>
      <c r="E1940" s="100" t="str">
        <f t="shared" si="2"/>
        <v/>
      </c>
      <c r="F1940" s="100" t="str">
        <f t="shared" si="3"/>
        <v/>
      </c>
      <c r="G1940" s="151"/>
      <c r="H1940" s="160"/>
      <c r="I1940" s="157"/>
      <c r="J1940" s="161"/>
      <c r="L1940" s="94"/>
      <c r="M1940" s="159"/>
      <c r="N1940" s="94"/>
    </row>
    <row r="1941">
      <c r="A1941" s="107">
        <v>203076.0</v>
      </c>
      <c r="B1941" s="108" t="s">
        <v>193</v>
      </c>
      <c r="C1941" s="108" t="s">
        <v>575</v>
      </c>
      <c r="D1941" s="100" t="str">
        <f t="shared" si="1"/>
        <v/>
      </c>
      <c r="E1941" s="100" t="str">
        <f t="shared" si="2"/>
        <v/>
      </c>
      <c r="F1941" s="100" t="str">
        <f t="shared" si="3"/>
        <v/>
      </c>
      <c r="G1941" s="151"/>
      <c r="H1941" s="156"/>
      <c r="I1941" s="157"/>
      <c r="J1941" s="158"/>
      <c r="L1941" s="94"/>
      <c r="M1941" s="159"/>
      <c r="N1941" s="94"/>
    </row>
    <row r="1942">
      <c r="A1942" s="107">
        <v>203076.0</v>
      </c>
      <c r="B1942" s="108" t="s">
        <v>243</v>
      </c>
      <c r="C1942" s="108" t="s">
        <v>575</v>
      </c>
      <c r="D1942" s="100" t="str">
        <f t="shared" si="1"/>
        <v/>
      </c>
      <c r="E1942" s="100" t="str">
        <f t="shared" si="2"/>
        <v/>
      </c>
      <c r="F1942" s="100" t="str">
        <f t="shared" si="3"/>
        <v/>
      </c>
      <c r="G1942" s="151"/>
      <c r="H1942" s="160"/>
      <c r="I1942" s="157"/>
      <c r="J1942" s="161"/>
      <c r="L1942" s="94"/>
      <c r="M1942" s="159"/>
      <c r="N1942" s="94"/>
    </row>
    <row r="1943">
      <c r="A1943" s="107">
        <v>203076.0</v>
      </c>
      <c r="B1943" s="108" t="s">
        <v>215</v>
      </c>
      <c r="C1943" s="108" t="s">
        <v>575</v>
      </c>
      <c r="D1943" s="100" t="str">
        <f t="shared" si="1"/>
        <v/>
      </c>
      <c r="E1943" s="100" t="str">
        <f t="shared" si="2"/>
        <v/>
      </c>
      <c r="F1943" s="100" t="str">
        <f t="shared" si="3"/>
        <v/>
      </c>
      <c r="G1943" s="151"/>
      <c r="H1943" s="156"/>
      <c r="I1943" s="157"/>
      <c r="J1943" s="158"/>
      <c r="L1943" s="94"/>
      <c r="M1943" s="159"/>
      <c r="N1943" s="94"/>
    </row>
    <row r="1944">
      <c r="A1944" s="107">
        <v>203076.0</v>
      </c>
      <c r="B1944" s="108" t="s">
        <v>244</v>
      </c>
      <c r="C1944" s="108" t="s">
        <v>575</v>
      </c>
      <c r="D1944" s="100" t="str">
        <f t="shared" si="1"/>
        <v/>
      </c>
      <c r="E1944" s="100" t="str">
        <f t="shared" si="2"/>
        <v/>
      </c>
      <c r="F1944" s="100" t="str">
        <f t="shared" si="3"/>
        <v/>
      </c>
      <c r="G1944" s="151"/>
      <c r="H1944" s="160"/>
      <c r="I1944" s="157"/>
      <c r="J1944" s="161"/>
      <c r="L1944" s="94"/>
      <c r="M1944" s="159"/>
      <c r="N1944" s="94"/>
    </row>
    <row r="1945">
      <c r="A1945" s="107">
        <v>203076.0</v>
      </c>
      <c r="B1945" s="108" t="s">
        <v>245</v>
      </c>
      <c r="C1945" s="108" t="s">
        <v>575</v>
      </c>
      <c r="D1945" s="100" t="str">
        <f t="shared" si="1"/>
        <v/>
      </c>
      <c r="E1945" s="100" t="str">
        <f t="shared" si="2"/>
        <v/>
      </c>
      <c r="F1945" s="100" t="str">
        <f t="shared" si="3"/>
        <v/>
      </c>
      <c r="G1945" s="151"/>
      <c r="H1945" s="156"/>
      <c r="I1945" s="157"/>
      <c r="J1945" s="158"/>
      <c r="L1945" s="94"/>
      <c r="M1945" s="159"/>
      <c r="N1945" s="94"/>
    </row>
    <row r="1946">
      <c r="A1946" s="107">
        <v>203076.0</v>
      </c>
      <c r="B1946" s="108" t="s">
        <v>246</v>
      </c>
      <c r="C1946" s="108" t="s">
        <v>575</v>
      </c>
      <c r="D1946" s="100" t="str">
        <f t="shared" si="1"/>
        <v/>
      </c>
      <c r="E1946" s="100" t="str">
        <f t="shared" si="2"/>
        <v/>
      </c>
      <c r="F1946" s="100" t="str">
        <f t="shared" si="3"/>
        <v/>
      </c>
      <c r="G1946" s="151"/>
      <c r="H1946" s="160"/>
      <c r="I1946" s="157"/>
      <c r="J1946" s="161"/>
      <c r="L1946" s="94"/>
      <c r="M1946" s="159"/>
      <c r="N1946" s="94"/>
    </row>
    <row r="1947">
      <c r="A1947" s="149">
        <v>203076.0</v>
      </c>
      <c r="B1947" s="115" t="s">
        <v>247</v>
      </c>
      <c r="C1947" s="115" t="s">
        <v>575</v>
      </c>
      <c r="D1947" s="100" t="str">
        <f t="shared" si="1"/>
        <v/>
      </c>
      <c r="E1947" s="100" t="str">
        <f t="shared" si="2"/>
        <v/>
      </c>
      <c r="F1947" s="100" t="str">
        <f t="shared" si="3"/>
        <v/>
      </c>
      <c r="G1947" s="151"/>
      <c r="H1947" s="156"/>
      <c r="I1947" s="157"/>
      <c r="J1947" s="158"/>
      <c r="L1947" s="94"/>
      <c r="M1947" s="159"/>
      <c r="N1947" s="94"/>
    </row>
    <row r="1948">
      <c r="A1948" s="21">
        <v>203077.0</v>
      </c>
      <c r="B1948" s="164" t="s">
        <v>85</v>
      </c>
      <c r="C1948" s="164" t="s">
        <v>576</v>
      </c>
      <c r="D1948" s="100" t="str">
        <f t="shared" si="1"/>
        <v/>
      </c>
      <c r="E1948" s="100" t="str">
        <f t="shared" si="2"/>
        <v/>
      </c>
      <c r="F1948" s="100" t="str">
        <f t="shared" si="3"/>
        <v/>
      </c>
      <c r="G1948" s="151"/>
      <c r="H1948" s="160"/>
      <c r="I1948" s="157"/>
      <c r="J1948" s="161"/>
      <c r="L1948" s="94"/>
      <c r="M1948" s="159"/>
      <c r="N1948" s="94"/>
    </row>
    <row r="1949">
      <c r="A1949" s="107">
        <v>203077.0</v>
      </c>
      <c r="B1949" s="108" t="s">
        <v>90</v>
      </c>
      <c r="C1949" s="108" t="s">
        <v>576</v>
      </c>
      <c r="D1949" s="100" t="str">
        <f t="shared" si="1"/>
        <v/>
      </c>
      <c r="E1949" s="100" t="str">
        <f t="shared" si="2"/>
        <v/>
      </c>
      <c r="F1949" s="100" t="str">
        <f t="shared" si="3"/>
        <v/>
      </c>
      <c r="G1949" s="151"/>
      <c r="H1949" s="156"/>
      <c r="I1949" s="157"/>
      <c r="J1949" s="158"/>
      <c r="L1949" s="94"/>
      <c r="M1949" s="159"/>
      <c r="N1949" s="94"/>
    </row>
    <row r="1950">
      <c r="A1950" s="107">
        <v>203077.0</v>
      </c>
      <c r="B1950" s="108" t="s">
        <v>92</v>
      </c>
      <c r="C1950" s="108" t="s">
        <v>576</v>
      </c>
      <c r="D1950" s="100" t="str">
        <f t="shared" si="1"/>
        <v/>
      </c>
      <c r="E1950" s="100" t="str">
        <f t="shared" si="2"/>
        <v/>
      </c>
      <c r="F1950" s="100" t="str">
        <f t="shared" si="3"/>
        <v/>
      </c>
      <c r="G1950" s="151"/>
      <c r="H1950" s="160"/>
      <c r="I1950" s="157"/>
      <c r="J1950" s="161"/>
      <c r="L1950" s="94"/>
      <c r="M1950" s="159"/>
      <c r="N1950" s="94"/>
    </row>
    <row r="1951">
      <c r="A1951" s="107">
        <v>203077.0</v>
      </c>
      <c r="B1951" s="108" t="s">
        <v>190</v>
      </c>
      <c r="C1951" s="108" t="s">
        <v>576</v>
      </c>
      <c r="D1951" s="100" t="str">
        <f t="shared" si="1"/>
        <v/>
      </c>
      <c r="E1951" s="100" t="str">
        <f t="shared" si="2"/>
        <v/>
      </c>
      <c r="F1951" s="100" t="str">
        <f t="shared" si="3"/>
        <v/>
      </c>
      <c r="G1951" s="151"/>
      <c r="H1951" s="156"/>
      <c r="I1951" s="157"/>
      <c r="J1951" s="158"/>
      <c r="L1951" s="94"/>
      <c r="M1951" s="159"/>
      <c r="N1951" s="94"/>
    </row>
    <row r="1952">
      <c r="A1952" s="107">
        <v>203077.0</v>
      </c>
      <c r="B1952" s="108" t="s">
        <v>191</v>
      </c>
      <c r="C1952" s="108" t="s">
        <v>576</v>
      </c>
      <c r="D1952" s="100" t="str">
        <f t="shared" si="1"/>
        <v/>
      </c>
      <c r="E1952" s="100" t="str">
        <f t="shared" si="2"/>
        <v/>
      </c>
      <c r="F1952" s="100" t="str">
        <f t="shared" si="3"/>
        <v/>
      </c>
      <c r="G1952" s="151"/>
      <c r="H1952" s="160"/>
      <c r="I1952" s="157"/>
      <c r="J1952" s="161"/>
      <c r="L1952" s="94"/>
      <c r="M1952" s="159"/>
      <c r="N1952" s="94"/>
    </row>
    <row r="1953">
      <c r="A1953" s="107">
        <v>203077.0</v>
      </c>
      <c r="B1953" s="108" t="s">
        <v>192</v>
      </c>
      <c r="C1953" s="108" t="s">
        <v>576</v>
      </c>
      <c r="D1953" s="100" t="str">
        <f t="shared" si="1"/>
        <v/>
      </c>
      <c r="E1953" s="100" t="str">
        <f t="shared" si="2"/>
        <v/>
      </c>
      <c r="F1953" s="100" t="str">
        <f t="shared" si="3"/>
        <v/>
      </c>
      <c r="G1953" s="151"/>
      <c r="H1953" s="156"/>
      <c r="I1953" s="157"/>
      <c r="J1953" s="158"/>
      <c r="L1953" s="94"/>
      <c r="M1953" s="159"/>
      <c r="N1953" s="94"/>
    </row>
    <row r="1954">
      <c r="A1954" s="107">
        <v>203077.0</v>
      </c>
      <c r="B1954" s="108" t="s">
        <v>193</v>
      </c>
      <c r="C1954" s="108" t="s">
        <v>576</v>
      </c>
      <c r="D1954" s="100" t="str">
        <f t="shared" si="1"/>
        <v/>
      </c>
      <c r="E1954" s="100" t="str">
        <f t="shared" si="2"/>
        <v/>
      </c>
      <c r="F1954" s="100" t="str">
        <f t="shared" si="3"/>
        <v/>
      </c>
      <c r="G1954" s="151"/>
      <c r="H1954" s="160"/>
      <c r="I1954" s="157"/>
      <c r="J1954" s="161"/>
      <c r="L1954" s="94"/>
      <c r="M1954" s="159"/>
      <c r="N1954" s="94"/>
    </row>
    <row r="1955">
      <c r="A1955" s="107">
        <v>203078.0</v>
      </c>
      <c r="B1955" s="108" t="s">
        <v>85</v>
      </c>
      <c r="C1955" s="108" t="s">
        <v>577</v>
      </c>
      <c r="D1955" s="100" t="str">
        <f t="shared" si="1"/>
        <v/>
      </c>
      <c r="E1955" s="100" t="str">
        <f t="shared" si="2"/>
        <v/>
      </c>
      <c r="F1955" s="100" t="str">
        <f t="shared" si="3"/>
        <v/>
      </c>
      <c r="G1955" s="151"/>
      <c r="H1955" s="156"/>
      <c r="I1955" s="157"/>
      <c r="J1955" s="158"/>
      <c r="L1955" s="94"/>
      <c r="M1955" s="159"/>
      <c r="N1955" s="94"/>
    </row>
    <row r="1956">
      <c r="A1956" s="107">
        <v>203078.0</v>
      </c>
      <c r="B1956" s="108" t="s">
        <v>90</v>
      </c>
      <c r="C1956" s="108" t="s">
        <v>577</v>
      </c>
      <c r="D1956" s="100" t="str">
        <f t="shared" si="1"/>
        <v/>
      </c>
      <c r="E1956" s="100" t="str">
        <f t="shared" si="2"/>
        <v/>
      </c>
      <c r="F1956" s="100" t="str">
        <f t="shared" si="3"/>
        <v/>
      </c>
      <c r="G1956" s="151"/>
      <c r="H1956" s="160"/>
      <c r="I1956" s="157"/>
      <c r="J1956" s="161"/>
      <c r="L1956" s="94"/>
      <c r="M1956" s="159"/>
      <c r="N1956" s="94"/>
    </row>
    <row r="1957">
      <c r="A1957" s="107">
        <v>203078.0</v>
      </c>
      <c r="B1957" s="108" t="s">
        <v>92</v>
      </c>
      <c r="C1957" s="108" t="s">
        <v>577</v>
      </c>
      <c r="D1957" s="100" t="str">
        <f t="shared" si="1"/>
        <v/>
      </c>
      <c r="E1957" s="100" t="str">
        <f t="shared" si="2"/>
        <v/>
      </c>
      <c r="F1957" s="100" t="str">
        <f t="shared" si="3"/>
        <v/>
      </c>
      <c r="G1957" s="151"/>
      <c r="H1957" s="156"/>
      <c r="I1957" s="157"/>
      <c r="J1957" s="158"/>
      <c r="L1957" s="94"/>
      <c r="M1957" s="159"/>
      <c r="N1957" s="94"/>
    </row>
    <row r="1958">
      <c r="A1958" s="107">
        <v>203078.0</v>
      </c>
      <c r="B1958" s="108" t="s">
        <v>190</v>
      </c>
      <c r="C1958" s="108" t="s">
        <v>577</v>
      </c>
      <c r="D1958" s="100" t="str">
        <f t="shared" si="1"/>
        <v/>
      </c>
      <c r="E1958" s="100" t="str">
        <f t="shared" si="2"/>
        <v/>
      </c>
      <c r="F1958" s="100" t="str">
        <f t="shared" si="3"/>
        <v/>
      </c>
      <c r="G1958" s="151"/>
      <c r="H1958" s="160"/>
      <c r="I1958" s="157"/>
      <c r="J1958" s="161"/>
      <c r="L1958" s="94"/>
      <c r="M1958" s="159"/>
      <c r="N1958" s="94"/>
    </row>
    <row r="1959">
      <c r="A1959" s="107">
        <v>203078.0</v>
      </c>
      <c r="B1959" s="108" t="s">
        <v>191</v>
      </c>
      <c r="C1959" s="108" t="s">
        <v>577</v>
      </c>
      <c r="D1959" s="100" t="str">
        <f t="shared" si="1"/>
        <v/>
      </c>
      <c r="E1959" s="100" t="str">
        <f t="shared" si="2"/>
        <v/>
      </c>
      <c r="F1959" s="100" t="str">
        <f t="shared" si="3"/>
        <v/>
      </c>
      <c r="G1959" s="151"/>
      <c r="H1959" s="156"/>
      <c r="I1959" s="157"/>
      <c r="J1959" s="158"/>
      <c r="L1959" s="94"/>
      <c r="M1959" s="159"/>
      <c r="N1959" s="94"/>
    </row>
    <row r="1960">
      <c r="A1960" s="107">
        <v>203078.0</v>
      </c>
      <c r="B1960" s="108" t="s">
        <v>192</v>
      </c>
      <c r="C1960" s="108" t="s">
        <v>577</v>
      </c>
      <c r="D1960" s="100" t="str">
        <f t="shared" si="1"/>
        <v/>
      </c>
      <c r="E1960" s="100" t="str">
        <f t="shared" si="2"/>
        <v/>
      </c>
      <c r="F1960" s="100" t="str">
        <f t="shared" si="3"/>
        <v/>
      </c>
      <c r="G1960" s="151"/>
      <c r="H1960" s="160"/>
      <c r="I1960" s="157"/>
      <c r="J1960" s="161"/>
      <c r="L1960" s="94"/>
      <c r="M1960" s="159"/>
      <c r="N1960" s="94"/>
    </row>
    <row r="1961">
      <c r="A1961" s="107">
        <v>203078.0</v>
      </c>
      <c r="B1961" s="108" t="s">
        <v>193</v>
      </c>
      <c r="C1961" s="108" t="s">
        <v>577</v>
      </c>
      <c r="D1961" s="100" t="str">
        <f t="shared" si="1"/>
        <v/>
      </c>
      <c r="E1961" s="100" t="str">
        <f t="shared" si="2"/>
        <v/>
      </c>
      <c r="F1961" s="100" t="str">
        <f t="shared" si="3"/>
        <v/>
      </c>
      <c r="G1961" s="151"/>
      <c r="H1961" s="156"/>
      <c r="I1961" s="157"/>
      <c r="J1961" s="158"/>
      <c r="L1961" s="94"/>
      <c r="M1961" s="159"/>
      <c r="N1961" s="94"/>
    </row>
    <row r="1962">
      <c r="A1962" s="107">
        <v>203078.0</v>
      </c>
      <c r="B1962" s="108" t="s">
        <v>243</v>
      </c>
      <c r="C1962" s="108" t="s">
        <v>577</v>
      </c>
      <c r="D1962" s="100" t="str">
        <f t="shared" si="1"/>
        <v/>
      </c>
      <c r="E1962" s="100" t="str">
        <f t="shared" si="2"/>
        <v/>
      </c>
      <c r="F1962" s="100" t="str">
        <f t="shared" si="3"/>
        <v/>
      </c>
      <c r="G1962" s="151"/>
      <c r="H1962" s="160"/>
      <c r="I1962" s="157"/>
      <c r="J1962" s="161"/>
      <c r="L1962" s="94"/>
      <c r="M1962" s="159"/>
      <c r="N1962" s="94"/>
    </row>
    <row r="1963">
      <c r="A1963" s="107">
        <v>203078.0</v>
      </c>
      <c r="B1963" s="108" t="s">
        <v>215</v>
      </c>
      <c r="C1963" s="108" t="s">
        <v>577</v>
      </c>
      <c r="D1963" s="100" t="str">
        <f t="shared" si="1"/>
        <v/>
      </c>
      <c r="E1963" s="100" t="str">
        <f t="shared" si="2"/>
        <v/>
      </c>
      <c r="F1963" s="100" t="str">
        <f t="shared" si="3"/>
        <v/>
      </c>
      <c r="G1963" s="151"/>
      <c r="H1963" s="156"/>
      <c r="I1963" s="157"/>
      <c r="J1963" s="158"/>
      <c r="L1963" s="94"/>
      <c r="M1963" s="159"/>
      <c r="N1963" s="94"/>
    </row>
    <row r="1964">
      <c r="A1964" s="107">
        <v>203078.0</v>
      </c>
      <c r="B1964" s="108" t="s">
        <v>244</v>
      </c>
      <c r="C1964" s="108" t="s">
        <v>577</v>
      </c>
      <c r="D1964" s="100" t="str">
        <f t="shared" si="1"/>
        <v/>
      </c>
      <c r="E1964" s="100" t="str">
        <f t="shared" si="2"/>
        <v/>
      </c>
      <c r="F1964" s="100" t="str">
        <f t="shared" si="3"/>
        <v/>
      </c>
      <c r="G1964" s="151"/>
      <c r="H1964" s="160"/>
      <c r="I1964" s="157"/>
      <c r="J1964" s="161"/>
      <c r="L1964" s="94"/>
      <c r="M1964" s="159"/>
      <c r="N1964" s="94"/>
    </row>
    <row r="1965">
      <c r="A1965" s="107">
        <v>203078.0</v>
      </c>
      <c r="B1965" s="108" t="s">
        <v>245</v>
      </c>
      <c r="C1965" s="108" t="s">
        <v>577</v>
      </c>
      <c r="D1965" s="100" t="str">
        <f t="shared" si="1"/>
        <v/>
      </c>
      <c r="E1965" s="100" t="str">
        <f t="shared" si="2"/>
        <v/>
      </c>
      <c r="F1965" s="100" t="str">
        <f t="shared" si="3"/>
        <v/>
      </c>
      <c r="G1965" s="151"/>
      <c r="H1965" s="156"/>
      <c r="I1965" s="157"/>
      <c r="J1965" s="158"/>
      <c r="L1965" s="94"/>
      <c r="M1965" s="159"/>
      <c r="N1965" s="94"/>
    </row>
    <row r="1966">
      <c r="A1966" s="107">
        <v>203078.0</v>
      </c>
      <c r="B1966" s="108" t="s">
        <v>246</v>
      </c>
      <c r="C1966" s="108" t="s">
        <v>577</v>
      </c>
      <c r="D1966" s="100" t="str">
        <f t="shared" si="1"/>
        <v/>
      </c>
      <c r="E1966" s="100" t="str">
        <f t="shared" si="2"/>
        <v/>
      </c>
      <c r="F1966" s="100" t="str">
        <f t="shared" si="3"/>
        <v/>
      </c>
      <c r="G1966" s="151"/>
      <c r="H1966" s="160"/>
      <c r="I1966" s="157"/>
      <c r="J1966" s="161"/>
      <c r="L1966" s="94"/>
      <c r="M1966" s="159"/>
      <c r="N1966" s="94"/>
    </row>
    <row r="1967">
      <c r="A1967" s="149">
        <v>203078.0</v>
      </c>
      <c r="B1967" s="115" t="s">
        <v>247</v>
      </c>
      <c r="C1967" s="115" t="s">
        <v>577</v>
      </c>
      <c r="D1967" s="100" t="str">
        <f t="shared" si="1"/>
        <v/>
      </c>
      <c r="E1967" s="100" t="str">
        <f t="shared" si="2"/>
        <v/>
      </c>
      <c r="F1967" s="100" t="str">
        <f t="shared" si="3"/>
        <v/>
      </c>
      <c r="G1967" s="151"/>
      <c r="H1967" s="156"/>
      <c r="I1967" s="157"/>
      <c r="J1967" s="158"/>
      <c r="L1967" s="94"/>
      <c r="M1967" s="159"/>
      <c r="N1967" s="94"/>
    </row>
    <row r="1968">
      <c r="A1968" s="21">
        <v>203079.0</v>
      </c>
      <c r="B1968" s="164" t="s">
        <v>85</v>
      </c>
      <c r="C1968" s="164" t="s">
        <v>578</v>
      </c>
      <c r="D1968" s="100" t="str">
        <f t="shared" si="1"/>
        <v/>
      </c>
      <c r="E1968" s="100" t="str">
        <f t="shared" si="2"/>
        <v/>
      </c>
      <c r="F1968" s="100" t="str">
        <f t="shared" si="3"/>
        <v/>
      </c>
      <c r="G1968" s="151"/>
      <c r="H1968" s="160"/>
      <c r="I1968" s="157"/>
      <c r="J1968" s="161"/>
      <c r="L1968" s="94"/>
      <c r="M1968" s="159"/>
      <c r="N1968" s="94"/>
    </row>
    <row r="1969">
      <c r="A1969" s="107">
        <v>203079.0</v>
      </c>
      <c r="B1969" s="108" t="s">
        <v>90</v>
      </c>
      <c r="C1969" s="108" t="s">
        <v>578</v>
      </c>
      <c r="D1969" s="100" t="str">
        <f t="shared" si="1"/>
        <v/>
      </c>
      <c r="E1969" s="100" t="str">
        <f t="shared" si="2"/>
        <v/>
      </c>
      <c r="F1969" s="100" t="str">
        <f t="shared" si="3"/>
        <v/>
      </c>
      <c r="G1969" s="151"/>
      <c r="H1969" s="156"/>
      <c r="I1969" s="157"/>
      <c r="J1969" s="158"/>
      <c r="L1969" s="94"/>
      <c r="M1969" s="159"/>
      <c r="N1969" s="94"/>
    </row>
    <row r="1970">
      <c r="A1970" s="107">
        <v>203079.0</v>
      </c>
      <c r="B1970" s="108" t="s">
        <v>92</v>
      </c>
      <c r="C1970" s="108" t="s">
        <v>578</v>
      </c>
      <c r="D1970" s="100" t="str">
        <f t="shared" si="1"/>
        <v/>
      </c>
      <c r="E1970" s="100" t="str">
        <f t="shared" si="2"/>
        <v/>
      </c>
      <c r="F1970" s="100" t="str">
        <f t="shared" si="3"/>
        <v/>
      </c>
      <c r="G1970" s="151"/>
      <c r="H1970" s="160"/>
      <c r="I1970" s="157"/>
      <c r="J1970" s="161"/>
      <c r="L1970" s="94"/>
      <c r="M1970" s="159"/>
      <c r="N1970" s="94"/>
    </row>
    <row r="1971">
      <c r="A1971" s="107">
        <v>203079.0</v>
      </c>
      <c r="B1971" s="108" t="s">
        <v>190</v>
      </c>
      <c r="C1971" s="108" t="s">
        <v>578</v>
      </c>
      <c r="D1971" s="100" t="str">
        <f t="shared" si="1"/>
        <v/>
      </c>
      <c r="E1971" s="100" t="str">
        <f t="shared" si="2"/>
        <v/>
      </c>
      <c r="F1971" s="100" t="str">
        <f t="shared" si="3"/>
        <v/>
      </c>
      <c r="G1971" s="151"/>
      <c r="H1971" s="156"/>
      <c r="I1971" s="157"/>
      <c r="J1971" s="158"/>
      <c r="L1971" s="94"/>
      <c r="M1971" s="159"/>
      <c r="N1971" s="94"/>
    </row>
    <row r="1972">
      <c r="A1972" s="107">
        <v>203079.0</v>
      </c>
      <c r="B1972" s="108" t="s">
        <v>191</v>
      </c>
      <c r="C1972" s="108" t="s">
        <v>578</v>
      </c>
      <c r="D1972" s="100" t="str">
        <f t="shared" si="1"/>
        <v/>
      </c>
      <c r="E1972" s="100" t="str">
        <f t="shared" si="2"/>
        <v/>
      </c>
      <c r="F1972" s="100" t="str">
        <f t="shared" si="3"/>
        <v/>
      </c>
      <c r="G1972" s="151"/>
      <c r="H1972" s="160"/>
      <c r="I1972" s="157"/>
      <c r="J1972" s="161"/>
      <c r="L1972" s="94"/>
      <c r="M1972" s="159"/>
      <c r="N1972" s="94"/>
    </row>
    <row r="1973">
      <c r="A1973" s="107">
        <v>203079.0</v>
      </c>
      <c r="B1973" s="108" t="s">
        <v>192</v>
      </c>
      <c r="C1973" s="108" t="s">
        <v>578</v>
      </c>
      <c r="D1973" s="100" t="str">
        <f t="shared" si="1"/>
        <v/>
      </c>
      <c r="E1973" s="100" t="str">
        <f t="shared" si="2"/>
        <v/>
      </c>
      <c r="F1973" s="100" t="str">
        <f t="shared" si="3"/>
        <v/>
      </c>
      <c r="G1973" s="151"/>
      <c r="H1973" s="156"/>
      <c r="I1973" s="157"/>
      <c r="J1973" s="158"/>
      <c r="L1973" s="94"/>
      <c r="M1973" s="159"/>
      <c r="N1973" s="94"/>
    </row>
    <row r="1974">
      <c r="A1974" s="107">
        <v>203079.0</v>
      </c>
      <c r="B1974" s="108" t="s">
        <v>193</v>
      </c>
      <c r="C1974" s="108" t="s">
        <v>578</v>
      </c>
      <c r="D1974" s="100" t="str">
        <f t="shared" si="1"/>
        <v/>
      </c>
      <c r="E1974" s="100" t="str">
        <f t="shared" si="2"/>
        <v/>
      </c>
      <c r="F1974" s="100" t="str">
        <f t="shared" si="3"/>
        <v/>
      </c>
      <c r="G1974" s="151"/>
      <c r="H1974" s="160"/>
      <c r="I1974" s="157"/>
      <c r="J1974" s="161"/>
      <c r="L1974" s="94"/>
      <c r="M1974" s="159"/>
      <c r="N1974" s="94"/>
    </row>
    <row r="1975">
      <c r="A1975" s="107">
        <v>203080.0</v>
      </c>
      <c r="B1975" s="108" t="s">
        <v>85</v>
      </c>
      <c r="C1975" s="108" t="s">
        <v>579</v>
      </c>
      <c r="D1975" s="100" t="str">
        <f t="shared" si="1"/>
        <v/>
      </c>
      <c r="E1975" s="100" t="str">
        <f t="shared" si="2"/>
        <v/>
      </c>
      <c r="F1975" s="100" t="str">
        <f t="shared" si="3"/>
        <v/>
      </c>
      <c r="G1975" s="151"/>
      <c r="H1975" s="156"/>
      <c r="I1975" s="157"/>
      <c r="J1975" s="158"/>
      <c r="L1975" s="94"/>
      <c r="M1975" s="159"/>
      <c r="N1975" s="94"/>
    </row>
    <row r="1976">
      <c r="A1976" s="107">
        <v>203080.0</v>
      </c>
      <c r="B1976" s="108" t="s">
        <v>90</v>
      </c>
      <c r="C1976" s="108" t="s">
        <v>579</v>
      </c>
      <c r="D1976" s="100" t="str">
        <f t="shared" si="1"/>
        <v/>
      </c>
      <c r="E1976" s="100" t="str">
        <f t="shared" si="2"/>
        <v/>
      </c>
      <c r="F1976" s="100" t="str">
        <f t="shared" si="3"/>
        <v/>
      </c>
      <c r="G1976" s="151"/>
      <c r="H1976" s="160"/>
      <c r="I1976" s="157"/>
      <c r="J1976" s="161"/>
      <c r="L1976" s="94"/>
      <c r="M1976" s="159"/>
      <c r="N1976" s="94"/>
    </row>
    <row r="1977">
      <c r="A1977" s="107">
        <v>203080.0</v>
      </c>
      <c r="B1977" s="108" t="s">
        <v>92</v>
      </c>
      <c r="C1977" s="108" t="s">
        <v>579</v>
      </c>
      <c r="D1977" s="100" t="str">
        <f t="shared" si="1"/>
        <v/>
      </c>
      <c r="E1977" s="100" t="str">
        <f t="shared" si="2"/>
        <v/>
      </c>
      <c r="F1977" s="100" t="str">
        <f t="shared" si="3"/>
        <v/>
      </c>
      <c r="G1977" s="151"/>
      <c r="H1977" s="156"/>
      <c r="I1977" s="157"/>
      <c r="J1977" s="158"/>
      <c r="L1977" s="94"/>
      <c r="M1977" s="159"/>
      <c r="N1977" s="94"/>
    </row>
    <row r="1978">
      <c r="A1978" s="107">
        <v>203080.0</v>
      </c>
      <c r="B1978" s="108" t="s">
        <v>190</v>
      </c>
      <c r="C1978" s="108" t="s">
        <v>579</v>
      </c>
      <c r="D1978" s="100" t="str">
        <f t="shared" si="1"/>
        <v/>
      </c>
      <c r="E1978" s="100" t="str">
        <f t="shared" si="2"/>
        <v/>
      </c>
      <c r="F1978" s="100" t="str">
        <f t="shared" si="3"/>
        <v/>
      </c>
      <c r="G1978" s="151"/>
      <c r="H1978" s="160"/>
      <c r="I1978" s="157"/>
      <c r="J1978" s="161"/>
      <c r="L1978" s="94"/>
      <c r="M1978" s="159"/>
      <c r="N1978" s="94"/>
    </row>
    <row r="1979">
      <c r="A1979" s="107">
        <v>203081.0</v>
      </c>
      <c r="B1979" s="108" t="s">
        <v>85</v>
      </c>
      <c r="C1979" s="108" t="s">
        <v>580</v>
      </c>
      <c r="D1979" s="100" t="str">
        <f t="shared" si="1"/>
        <v/>
      </c>
      <c r="E1979" s="100" t="str">
        <f t="shared" si="2"/>
        <v/>
      </c>
      <c r="F1979" s="100" t="str">
        <f t="shared" si="3"/>
        <v/>
      </c>
      <c r="G1979" s="151"/>
      <c r="H1979" s="156"/>
      <c r="I1979" s="157"/>
      <c r="J1979" s="158"/>
      <c r="L1979" s="94"/>
      <c r="M1979" s="159"/>
      <c r="N1979" s="94"/>
    </row>
    <row r="1980">
      <c r="A1980" s="107">
        <v>203081.0</v>
      </c>
      <c r="B1980" s="108" t="s">
        <v>90</v>
      </c>
      <c r="C1980" s="108" t="s">
        <v>580</v>
      </c>
      <c r="D1980" s="100" t="str">
        <f t="shared" si="1"/>
        <v/>
      </c>
      <c r="E1980" s="100" t="str">
        <f t="shared" si="2"/>
        <v/>
      </c>
      <c r="F1980" s="100" t="str">
        <f t="shared" si="3"/>
        <v/>
      </c>
      <c r="G1980" s="151"/>
      <c r="H1980" s="160"/>
      <c r="I1980" s="157"/>
      <c r="J1980" s="161"/>
      <c r="L1980" s="94"/>
      <c r="M1980" s="159"/>
      <c r="N1980" s="94"/>
    </row>
    <row r="1981">
      <c r="A1981" s="107">
        <v>203081.0</v>
      </c>
      <c r="B1981" s="108" t="s">
        <v>92</v>
      </c>
      <c r="C1981" s="108" t="s">
        <v>580</v>
      </c>
      <c r="D1981" s="100" t="str">
        <f t="shared" si="1"/>
        <v/>
      </c>
      <c r="E1981" s="100" t="str">
        <f t="shared" si="2"/>
        <v/>
      </c>
      <c r="F1981" s="100" t="str">
        <f t="shared" si="3"/>
        <v/>
      </c>
      <c r="G1981" s="151"/>
      <c r="H1981" s="156"/>
      <c r="I1981" s="157"/>
      <c r="J1981" s="158"/>
      <c r="L1981" s="94"/>
      <c r="M1981" s="159"/>
      <c r="N1981" s="94"/>
    </row>
    <row r="1982">
      <c r="A1982" s="107">
        <v>203081.0</v>
      </c>
      <c r="B1982" s="108" t="s">
        <v>190</v>
      </c>
      <c r="C1982" s="108" t="s">
        <v>580</v>
      </c>
      <c r="D1982" s="100" t="str">
        <f t="shared" si="1"/>
        <v/>
      </c>
      <c r="E1982" s="100" t="str">
        <f t="shared" si="2"/>
        <v/>
      </c>
      <c r="F1982" s="100" t="str">
        <f t="shared" si="3"/>
        <v/>
      </c>
      <c r="G1982" s="151"/>
      <c r="H1982" s="160"/>
      <c r="I1982" s="157"/>
      <c r="J1982" s="161"/>
      <c r="L1982" s="94"/>
      <c r="M1982" s="159"/>
      <c r="N1982" s="94"/>
    </row>
    <row r="1983">
      <c r="A1983" s="107">
        <v>203081.0</v>
      </c>
      <c r="B1983" s="108" t="s">
        <v>191</v>
      </c>
      <c r="C1983" s="108" t="s">
        <v>580</v>
      </c>
      <c r="D1983" s="100" t="str">
        <f t="shared" si="1"/>
        <v/>
      </c>
      <c r="E1983" s="100" t="str">
        <f t="shared" si="2"/>
        <v/>
      </c>
      <c r="F1983" s="100" t="str">
        <f t="shared" si="3"/>
        <v/>
      </c>
      <c r="G1983" s="151"/>
      <c r="H1983" s="156"/>
      <c r="I1983" s="157"/>
      <c r="J1983" s="158"/>
      <c r="L1983" s="94"/>
      <c r="M1983" s="159"/>
      <c r="N1983" s="94"/>
    </row>
    <row r="1984">
      <c r="A1984" s="107">
        <v>203081.0</v>
      </c>
      <c r="B1984" s="108" t="s">
        <v>192</v>
      </c>
      <c r="C1984" s="108" t="s">
        <v>580</v>
      </c>
      <c r="D1984" s="100" t="str">
        <f t="shared" si="1"/>
        <v/>
      </c>
      <c r="E1984" s="100" t="str">
        <f t="shared" si="2"/>
        <v/>
      </c>
      <c r="F1984" s="100" t="str">
        <f t="shared" si="3"/>
        <v/>
      </c>
      <c r="G1984" s="151"/>
      <c r="H1984" s="160"/>
      <c r="I1984" s="157"/>
      <c r="J1984" s="161"/>
      <c r="L1984" s="94"/>
      <c r="M1984" s="159"/>
      <c r="N1984" s="94"/>
    </row>
    <row r="1985">
      <c r="A1985" s="107">
        <v>203081.0</v>
      </c>
      <c r="B1985" s="108" t="s">
        <v>193</v>
      </c>
      <c r="C1985" s="108" t="s">
        <v>580</v>
      </c>
      <c r="D1985" s="100" t="str">
        <f t="shared" si="1"/>
        <v/>
      </c>
      <c r="E1985" s="100" t="str">
        <f t="shared" si="2"/>
        <v/>
      </c>
      <c r="F1985" s="100" t="str">
        <f t="shared" si="3"/>
        <v/>
      </c>
      <c r="G1985" s="151"/>
      <c r="H1985" s="156"/>
      <c r="I1985" s="157"/>
      <c r="J1985" s="158"/>
      <c r="L1985" s="94"/>
      <c r="M1985" s="159"/>
      <c r="N1985" s="94"/>
    </row>
    <row r="1986">
      <c r="A1986" s="107">
        <v>203081.0</v>
      </c>
      <c r="B1986" s="108" t="s">
        <v>243</v>
      </c>
      <c r="C1986" s="108" t="s">
        <v>580</v>
      </c>
      <c r="D1986" s="100" t="str">
        <f t="shared" si="1"/>
        <v/>
      </c>
      <c r="E1986" s="100" t="str">
        <f t="shared" si="2"/>
        <v/>
      </c>
      <c r="F1986" s="100" t="str">
        <f t="shared" si="3"/>
        <v/>
      </c>
      <c r="G1986" s="151"/>
      <c r="H1986" s="160"/>
      <c r="I1986" s="157"/>
      <c r="J1986" s="161"/>
      <c r="L1986" s="94"/>
      <c r="M1986" s="159"/>
      <c r="N1986" s="94"/>
    </row>
    <row r="1987">
      <c r="A1987" s="107">
        <v>203081.0</v>
      </c>
      <c r="B1987" s="108" t="s">
        <v>215</v>
      </c>
      <c r="C1987" s="108" t="s">
        <v>580</v>
      </c>
      <c r="D1987" s="100" t="str">
        <f t="shared" si="1"/>
        <v/>
      </c>
      <c r="E1987" s="100" t="str">
        <f t="shared" si="2"/>
        <v/>
      </c>
      <c r="F1987" s="100" t="str">
        <f t="shared" si="3"/>
        <v/>
      </c>
      <c r="G1987" s="151"/>
      <c r="H1987" s="156"/>
      <c r="I1987" s="157"/>
      <c r="J1987" s="158"/>
      <c r="L1987" s="94"/>
      <c r="M1987" s="159"/>
      <c r="N1987" s="94"/>
    </row>
    <row r="1988">
      <c r="A1988" s="107">
        <v>203081.0</v>
      </c>
      <c r="B1988" s="108" t="s">
        <v>244</v>
      </c>
      <c r="C1988" s="108" t="s">
        <v>580</v>
      </c>
      <c r="D1988" s="100" t="str">
        <f t="shared" si="1"/>
        <v/>
      </c>
      <c r="E1988" s="100" t="str">
        <f t="shared" si="2"/>
        <v/>
      </c>
      <c r="F1988" s="100" t="str">
        <f t="shared" si="3"/>
        <v/>
      </c>
      <c r="G1988" s="151"/>
      <c r="H1988" s="160"/>
      <c r="I1988" s="157"/>
      <c r="J1988" s="161"/>
      <c r="L1988" s="94"/>
      <c r="M1988" s="159"/>
      <c r="N1988" s="94"/>
    </row>
    <row r="1989">
      <c r="A1989" s="107">
        <v>203081.0</v>
      </c>
      <c r="B1989" s="108" t="s">
        <v>245</v>
      </c>
      <c r="C1989" s="108" t="s">
        <v>580</v>
      </c>
      <c r="D1989" s="100" t="str">
        <f t="shared" si="1"/>
        <v/>
      </c>
      <c r="E1989" s="100" t="str">
        <f t="shared" si="2"/>
        <v/>
      </c>
      <c r="F1989" s="100" t="str">
        <f t="shared" si="3"/>
        <v/>
      </c>
      <c r="G1989" s="151"/>
      <c r="H1989" s="156"/>
      <c r="I1989" s="157"/>
      <c r="J1989" s="158"/>
      <c r="L1989" s="94"/>
      <c r="M1989" s="159"/>
      <c r="N1989" s="94"/>
    </row>
    <row r="1990">
      <c r="A1990" s="107">
        <v>203081.0</v>
      </c>
      <c r="B1990" s="108" t="s">
        <v>246</v>
      </c>
      <c r="C1990" s="108" t="s">
        <v>580</v>
      </c>
      <c r="D1990" s="100" t="str">
        <f t="shared" si="1"/>
        <v/>
      </c>
      <c r="E1990" s="100" t="str">
        <f t="shared" si="2"/>
        <v/>
      </c>
      <c r="F1990" s="100" t="str">
        <f t="shared" si="3"/>
        <v/>
      </c>
      <c r="G1990" s="151"/>
      <c r="H1990" s="160"/>
      <c r="I1990" s="157"/>
      <c r="J1990" s="161"/>
      <c r="L1990" s="94"/>
      <c r="M1990" s="159"/>
      <c r="N1990" s="94"/>
    </row>
    <row r="1991">
      <c r="A1991" s="107">
        <v>203082.0</v>
      </c>
      <c r="B1991" s="108" t="s">
        <v>85</v>
      </c>
      <c r="C1991" s="108" t="s">
        <v>581</v>
      </c>
      <c r="D1991" s="100" t="str">
        <f t="shared" si="1"/>
        <v/>
      </c>
      <c r="E1991" s="100" t="str">
        <f t="shared" si="2"/>
        <v/>
      </c>
      <c r="F1991" s="100" t="str">
        <f t="shared" si="3"/>
        <v/>
      </c>
      <c r="G1991" s="151"/>
      <c r="H1991" s="156"/>
      <c r="I1991" s="157"/>
      <c r="J1991" s="158"/>
      <c r="L1991" s="94"/>
      <c r="M1991" s="159"/>
      <c r="N1991" s="94"/>
    </row>
    <row r="1992">
      <c r="A1992" s="107">
        <v>203082.0</v>
      </c>
      <c r="B1992" s="108" t="s">
        <v>90</v>
      </c>
      <c r="C1992" s="108" t="s">
        <v>581</v>
      </c>
      <c r="D1992" s="100" t="str">
        <f t="shared" si="1"/>
        <v/>
      </c>
      <c r="E1992" s="100" t="str">
        <f t="shared" si="2"/>
        <v/>
      </c>
      <c r="F1992" s="100" t="str">
        <f t="shared" si="3"/>
        <v/>
      </c>
      <c r="G1992" s="151"/>
      <c r="H1992" s="160"/>
      <c r="I1992" s="157"/>
      <c r="J1992" s="161"/>
      <c r="L1992" s="94"/>
      <c r="M1992" s="159"/>
      <c r="N1992" s="94"/>
    </row>
    <row r="1993">
      <c r="A1993" s="107">
        <v>203082.0</v>
      </c>
      <c r="B1993" s="108" t="s">
        <v>92</v>
      </c>
      <c r="C1993" s="108" t="s">
        <v>581</v>
      </c>
      <c r="D1993" s="100" t="str">
        <f t="shared" si="1"/>
        <v/>
      </c>
      <c r="E1993" s="100" t="str">
        <f t="shared" si="2"/>
        <v/>
      </c>
      <c r="F1993" s="100" t="str">
        <f t="shared" si="3"/>
        <v/>
      </c>
      <c r="G1993" s="151"/>
      <c r="H1993" s="156"/>
      <c r="I1993" s="157"/>
      <c r="J1993" s="158"/>
      <c r="L1993" s="94"/>
      <c r="M1993" s="159"/>
      <c r="N1993" s="94"/>
    </row>
    <row r="1994">
      <c r="A1994" s="107">
        <v>203082.0</v>
      </c>
      <c r="B1994" s="108" t="s">
        <v>190</v>
      </c>
      <c r="C1994" s="108" t="s">
        <v>581</v>
      </c>
      <c r="D1994" s="100" t="str">
        <f t="shared" si="1"/>
        <v/>
      </c>
      <c r="E1994" s="100" t="str">
        <f t="shared" si="2"/>
        <v/>
      </c>
      <c r="F1994" s="100" t="str">
        <f t="shared" si="3"/>
        <v/>
      </c>
      <c r="G1994" s="151"/>
      <c r="H1994" s="160"/>
      <c r="I1994" s="157"/>
      <c r="J1994" s="161"/>
      <c r="L1994" s="94"/>
      <c r="M1994" s="159"/>
      <c r="N1994" s="94"/>
    </row>
    <row r="1995">
      <c r="A1995" s="107">
        <v>203082.0</v>
      </c>
      <c r="B1995" s="108" t="s">
        <v>191</v>
      </c>
      <c r="C1995" s="108" t="s">
        <v>581</v>
      </c>
      <c r="D1995" s="100" t="str">
        <f t="shared" si="1"/>
        <v/>
      </c>
      <c r="E1995" s="100" t="str">
        <f t="shared" si="2"/>
        <v/>
      </c>
      <c r="F1995" s="100" t="str">
        <f t="shared" si="3"/>
        <v/>
      </c>
      <c r="G1995" s="151"/>
      <c r="H1995" s="156"/>
      <c r="I1995" s="157"/>
      <c r="J1995" s="158"/>
      <c r="L1995" s="94"/>
      <c r="M1995" s="159"/>
      <c r="N1995" s="94"/>
    </row>
    <row r="1996">
      <c r="A1996" s="107">
        <v>203082.0</v>
      </c>
      <c r="B1996" s="108" t="s">
        <v>192</v>
      </c>
      <c r="C1996" s="108" t="s">
        <v>581</v>
      </c>
      <c r="D1996" s="100" t="str">
        <f t="shared" si="1"/>
        <v/>
      </c>
      <c r="E1996" s="100" t="str">
        <f t="shared" si="2"/>
        <v/>
      </c>
      <c r="F1996" s="100" t="str">
        <f t="shared" si="3"/>
        <v/>
      </c>
      <c r="G1996" s="151"/>
      <c r="H1996" s="160"/>
      <c r="I1996" s="157"/>
      <c r="J1996" s="161"/>
      <c r="L1996" s="94"/>
      <c r="M1996" s="159"/>
      <c r="N1996" s="94"/>
    </row>
    <row r="1997">
      <c r="A1997" s="107">
        <v>203082.0</v>
      </c>
      <c r="B1997" s="108" t="s">
        <v>193</v>
      </c>
      <c r="C1997" s="108" t="s">
        <v>581</v>
      </c>
      <c r="D1997" s="100" t="str">
        <f t="shared" si="1"/>
        <v/>
      </c>
      <c r="E1997" s="100" t="str">
        <f t="shared" si="2"/>
        <v/>
      </c>
      <c r="F1997" s="100" t="str">
        <f t="shared" si="3"/>
        <v/>
      </c>
      <c r="G1997" s="151"/>
      <c r="H1997" s="156"/>
      <c r="I1997" s="157"/>
      <c r="J1997" s="158"/>
      <c r="L1997" s="94"/>
      <c r="M1997" s="159"/>
      <c r="N1997" s="94"/>
    </row>
    <row r="1998">
      <c r="A1998" s="107">
        <v>203082.0</v>
      </c>
      <c r="B1998" s="108" t="s">
        <v>243</v>
      </c>
      <c r="C1998" s="108" t="s">
        <v>581</v>
      </c>
      <c r="D1998" s="100" t="str">
        <f t="shared" si="1"/>
        <v/>
      </c>
      <c r="E1998" s="100" t="str">
        <f t="shared" si="2"/>
        <v/>
      </c>
      <c r="F1998" s="100" t="str">
        <f t="shared" si="3"/>
        <v/>
      </c>
      <c r="G1998" s="151"/>
      <c r="H1998" s="160"/>
      <c r="I1998" s="157"/>
      <c r="J1998" s="161"/>
      <c r="L1998" s="94"/>
      <c r="M1998" s="159"/>
      <c r="N1998" s="94"/>
    </row>
    <row r="1999">
      <c r="A1999" s="107">
        <v>203082.0</v>
      </c>
      <c r="B1999" s="108" t="s">
        <v>215</v>
      </c>
      <c r="C1999" s="108" t="s">
        <v>581</v>
      </c>
      <c r="D1999" s="100" t="str">
        <f t="shared" si="1"/>
        <v/>
      </c>
      <c r="E1999" s="100" t="str">
        <f t="shared" si="2"/>
        <v/>
      </c>
      <c r="F1999" s="100" t="str">
        <f t="shared" si="3"/>
        <v/>
      </c>
      <c r="G1999" s="151"/>
      <c r="H1999" s="156"/>
      <c r="I1999" s="157"/>
      <c r="J1999" s="158"/>
      <c r="L1999" s="94"/>
      <c r="M1999" s="159"/>
      <c r="N1999" s="94"/>
    </row>
    <row r="2000">
      <c r="A2000" s="107">
        <v>203082.0</v>
      </c>
      <c r="B2000" s="108" t="s">
        <v>244</v>
      </c>
      <c r="C2000" s="108" t="s">
        <v>581</v>
      </c>
      <c r="D2000" s="100" t="str">
        <f t="shared" si="1"/>
        <v/>
      </c>
      <c r="E2000" s="100" t="str">
        <f t="shared" si="2"/>
        <v/>
      </c>
      <c r="F2000" s="100" t="str">
        <f t="shared" si="3"/>
        <v/>
      </c>
      <c r="G2000" s="151"/>
      <c r="H2000" s="160"/>
      <c r="I2000" s="157"/>
      <c r="J2000" s="161"/>
      <c r="L2000" s="94"/>
      <c r="M2000" s="159"/>
      <c r="N2000" s="94"/>
    </row>
    <row r="2001">
      <c r="A2001" s="107">
        <v>203083.0</v>
      </c>
      <c r="B2001" s="108" t="s">
        <v>85</v>
      </c>
      <c r="C2001" s="108" t="s">
        <v>582</v>
      </c>
      <c r="D2001" s="100" t="str">
        <f t="shared" si="1"/>
        <v/>
      </c>
      <c r="E2001" s="100" t="str">
        <f t="shared" si="2"/>
        <v/>
      </c>
      <c r="F2001" s="100" t="str">
        <f t="shared" si="3"/>
        <v/>
      </c>
      <c r="G2001" s="151"/>
      <c r="H2001" s="156"/>
      <c r="I2001" s="157"/>
      <c r="J2001" s="158"/>
      <c r="L2001" s="94"/>
      <c r="M2001" s="159"/>
      <c r="N2001" s="94"/>
    </row>
    <row r="2002">
      <c r="A2002" s="107">
        <v>203083.0</v>
      </c>
      <c r="B2002" s="108" t="s">
        <v>90</v>
      </c>
      <c r="C2002" s="108" t="s">
        <v>582</v>
      </c>
      <c r="D2002" s="100" t="str">
        <f t="shared" si="1"/>
        <v/>
      </c>
      <c r="E2002" s="100" t="str">
        <f t="shared" si="2"/>
        <v/>
      </c>
      <c r="F2002" s="100" t="str">
        <f t="shared" si="3"/>
        <v/>
      </c>
      <c r="G2002" s="151"/>
      <c r="H2002" s="160"/>
      <c r="I2002" s="157"/>
      <c r="J2002" s="161"/>
      <c r="L2002" s="94"/>
      <c r="M2002" s="159"/>
      <c r="N2002" s="94"/>
    </row>
    <row r="2003">
      <c r="A2003" s="107">
        <v>203083.0</v>
      </c>
      <c r="B2003" s="108" t="s">
        <v>92</v>
      </c>
      <c r="C2003" s="108" t="s">
        <v>582</v>
      </c>
      <c r="D2003" s="100" t="str">
        <f t="shared" si="1"/>
        <v/>
      </c>
      <c r="E2003" s="100" t="str">
        <f t="shared" si="2"/>
        <v/>
      </c>
      <c r="F2003" s="100" t="str">
        <f t="shared" si="3"/>
        <v/>
      </c>
      <c r="G2003" s="151"/>
      <c r="H2003" s="156"/>
      <c r="I2003" s="157"/>
      <c r="J2003" s="158"/>
      <c r="L2003" s="94"/>
      <c r="M2003" s="159"/>
      <c r="N2003" s="94"/>
    </row>
    <row r="2004">
      <c r="A2004" s="107">
        <v>203083.0</v>
      </c>
      <c r="B2004" s="108" t="s">
        <v>190</v>
      </c>
      <c r="C2004" s="108" t="s">
        <v>582</v>
      </c>
      <c r="D2004" s="100" t="str">
        <f t="shared" si="1"/>
        <v/>
      </c>
      <c r="E2004" s="100" t="str">
        <f t="shared" si="2"/>
        <v/>
      </c>
      <c r="F2004" s="100" t="str">
        <f t="shared" si="3"/>
        <v/>
      </c>
      <c r="G2004" s="151"/>
      <c r="H2004" s="160"/>
      <c r="I2004" s="157"/>
      <c r="J2004" s="161"/>
      <c r="L2004" s="94"/>
      <c r="M2004" s="159"/>
      <c r="N2004" s="94"/>
    </row>
    <row r="2005">
      <c r="A2005" s="107">
        <v>203083.0</v>
      </c>
      <c r="B2005" s="108" t="s">
        <v>191</v>
      </c>
      <c r="C2005" s="108" t="s">
        <v>582</v>
      </c>
      <c r="D2005" s="100" t="str">
        <f t="shared" si="1"/>
        <v/>
      </c>
      <c r="E2005" s="100" t="str">
        <f t="shared" si="2"/>
        <v/>
      </c>
      <c r="F2005" s="100" t="str">
        <f t="shared" si="3"/>
        <v/>
      </c>
      <c r="G2005" s="151"/>
      <c r="H2005" s="156"/>
      <c r="I2005" s="157"/>
      <c r="J2005" s="158"/>
      <c r="L2005" s="94"/>
      <c r="M2005" s="159"/>
      <c r="N2005" s="94"/>
    </row>
    <row r="2006">
      <c r="A2006" s="107">
        <v>203083.0</v>
      </c>
      <c r="B2006" s="108" t="s">
        <v>192</v>
      </c>
      <c r="C2006" s="108" t="s">
        <v>582</v>
      </c>
      <c r="D2006" s="100" t="str">
        <f t="shared" si="1"/>
        <v/>
      </c>
      <c r="E2006" s="100" t="str">
        <f t="shared" si="2"/>
        <v/>
      </c>
      <c r="F2006" s="100" t="str">
        <f t="shared" si="3"/>
        <v/>
      </c>
      <c r="G2006" s="151"/>
      <c r="H2006" s="160"/>
      <c r="I2006" s="157"/>
      <c r="J2006" s="161"/>
      <c r="L2006" s="94"/>
      <c r="M2006" s="159"/>
      <c r="N2006" s="94"/>
    </row>
    <row r="2007">
      <c r="A2007" s="107">
        <v>203083.0</v>
      </c>
      <c r="B2007" s="108" t="s">
        <v>193</v>
      </c>
      <c r="C2007" s="108" t="s">
        <v>582</v>
      </c>
      <c r="D2007" s="100" t="str">
        <f t="shared" si="1"/>
        <v/>
      </c>
      <c r="E2007" s="100" t="str">
        <f t="shared" si="2"/>
        <v/>
      </c>
      <c r="F2007" s="100" t="str">
        <f t="shared" si="3"/>
        <v/>
      </c>
      <c r="G2007" s="151"/>
      <c r="H2007" s="156"/>
      <c r="I2007" s="157"/>
      <c r="J2007" s="158"/>
      <c r="L2007" s="94"/>
      <c r="M2007" s="159"/>
      <c r="N2007" s="94"/>
    </row>
    <row r="2008">
      <c r="A2008" s="107">
        <v>203083.0</v>
      </c>
      <c r="B2008" s="108" t="s">
        <v>243</v>
      </c>
      <c r="C2008" s="108" t="s">
        <v>582</v>
      </c>
      <c r="D2008" s="100" t="str">
        <f t="shared" si="1"/>
        <v/>
      </c>
      <c r="E2008" s="100" t="str">
        <f t="shared" si="2"/>
        <v/>
      </c>
      <c r="F2008" s="100" t="str">
        <f t="shared" si="3"/>
        <v/>
      </c>
      <c r="G2008" s="151"/>
      <c r="H2008" s="160"/>
      <c r="I2008" s="157"/>
      <c r="J2008" s="161"/>
      <c r="L2008" s="94"/>
      <c r="M2008" s="159"/>
      <c r="N2008" s="94"/>
    </row>
    <row r="2009">
      <c r="A2009" s="107">
        <v>203083.0</v>
      </c>
      <c r="B2009" s="108" t="s">
        <v>215</v>
      </c>
      <c r="C2009" s="108" t="s">
        <v>582</v>
      </c>
      <c r="D2009" s="100" t="str">
        <f t="shared" si="1"/>
        <v/>
      </c>
      <c r="E2009" s="100" t="str">
        <f t="shared" si="2"/>
        <v/>
      </c>
      <c r="F2009" s="100" t="str">
        <f t="shared" si="3"/>
        <v/>
      </c>
      <c r="G2009" s="151"/>
      <c r="H2009" s="156"/>
      <c r="I2009" s="157"/>
      <c r="J2009" s="158"/>
      <c r="L2009" s="94"/>
      <c r="M2009" s="159"/>
      <c r="N2009" s="94"/>
    </row>
    <row r="2010">
      <c r="A2010" s="107">
        <v>203083.0</v>
      </c>
      <c r="B2010" s="108" t="s">
        <v>244</v>
      </c>
      <c r="C2010" s="108" t="s">
        <v>582</v>
      </c>
      <c r="D2010" s="100" t="str">
        <f t="shared" si="1"/>
        <v/>
      </c>
      <c r="E2010" s="100" t="str">
        <f t="shared" si="2"/>
        <v/>
      </c>
      <c r="F2010" s="100" t="str">
        <f t="shared" si="3"/>
        <v/>
      </c>
      <c r="G2010" s="151"/>
      <c r="H2010" s="160"/>
      <c r="I2010" s="157"/>
      <c r="J2010" s="161"/>
      <c r="L2010" s="94"/>
      <c r="M2010" s="159"/>
      <c r="N2010" s="94"/>
    </row>
    <row r="2011">
      <c r="A2011" s="107">
        <v>203083.0</v>
      </c>
      <c r="B2011" s="108" t="s">
        <v>245</v>
      </c>
      <c r="C2011" s="108" t="s">
        <v>582</v>
      </c>
      <c r="D2011" s="100" t="str">
        <f t="shared" si="1"/>
        <v/>
      </c>
      <c r="E2011" s="100" t="str">
        <f t="shared" si="2"/>
        <v/>
      </c>
      <c r="F2011" s="100" t="str">
        <f t="shared" si="3"/>
        <v/>
      </c>
      <c r="G2011" s="151"/>
      <c r="H2011" s="156"/>
      <c r="I2011" s="157"/>
      <c r="J2011" s="158"/>
      <c r="L2011" s="94"/>
      <c r="M2011" s="159"/>
      <c r="N2011" s="94"/>
    </row>
    <row r="2012">
      <c r="A2012" s="107">
        <v>203083.0</v>
      </c>
      <c r="B2012" s="108" t="s">
        <v>246</v>
      </c>
      <c r="C2012" s="108" t="s">
        <v>582</v>
      </c>
      <c r="D2012" s="100" t="str">
        <f t="shared" si="1"/>
        <v/>
      </c>
      <c r="E2012" s="100" t="str">
        <f t="shared" si="2"/>
        <v/>
      </c>
      <c r="F2012" s="100" t="str">
        <f t="shared" si="3"/>
        <v/>
      </c>
      <c r="G2012" s="151"/>
      <c r="H2012" s="160"/>
      <c r="I2012" s="157"/>
      <c r="J2012" s="161"/>
      <c r="L2012" s="94"/>
      <c r="M2012" s="159"/>
      <c r="N2012" s="94"/>
    </row>
    <row r="2013">
      <c r="A2013" s="149">
        <v>203083.0</v>
      </c>
      <c r="B2013" s="115" t="s">
        <v>247</v>
      </c>
      <c r="C2013" s="115" t="s">
        <v>582</v>
      </c>
      <c r="D2013" s="100" t="str">
        <f t="shared" si="1"/>
        <v/>
      </c>
      <c r="E2013" s="100" t="str">
        <f t="shared" si="2"/>
        <v/>
      </c>
      <c r="F2013" s="100" t="str">
        <f t="shared" si="3"/>
        <v/>
      </c>
      <c r="G2013" s="151"/>
      <c r="H2013" s="156"/>
      <c r="I2013" s="157"/>
      <c r="J2013" s="158"/>
      <c r="L2013" s="94"/>
      <c r="M2013" s="159"/>
      <c r="N2013" s="94"/>
    </row>
    <row r="2014">
      <c r="A2014" s="21">
        <v>203084.0</v>
      </c>
      <c r="B2014" s="164" t="s">
        <v>85</v>
      </c>
      <c r="C2014" s="164" t="s">
        <v>583</v>
      </c>
      <c r="D2014" s="100" t="str">
        <f t="shared" si="1"/>
        <v/>
      </c>
      <c r="E2014" s="100" t="str">
        <f t="shared" si="2"/>
        <v/>
      </c>
      <c r="F2014" s="100" t="str">
        <f t="shared" si="3"/>
        <v/>
      </c>
      <c r="G2014" s="151"/>
      <c r="H2014" s="160"/>
      <c r="I2014" s="157"/>
      <c r="J2014" s="161"/>
      <c r="L2014" s="94"/>
      <c r="M2014" s="159"/>
      <c r="N2014" s="94"/>
    </row>
    <row r="2015">
      <c r="A2015" s="107">
        <v>203084.0</v>
      </c>
      <c r="B2015" s="108" t="s">
        <v>90</v>
      </c>
      <c r="C2015" s="108" t="s">
        <v>583</v>
      </c>
      <c r="D2015" s="100" t="str">
        <f t="shared" si="1"/>
        <v/>
      </c>
      <c r="E2015" s="100" t="str">
        <f t="shared" si="2"/>
        <v/>
      </c>
      <c r="F2015" s="100" t="str">
        <f t="shared" si="3"/>
        <v/>
      </c>
      <c r="G2015" s="151"/>
      <c r="H2015" s="156"/>
      <c r="I2015" s="157"/>
      <c r="J2015" s="158"/>
      <c r="L2015" s="94"/>
      <c r="M2015" s="159"/>
      <c r="N2015" s="94"/>
    </row>
    <row r="2016">
      <c r="A2016" s="107">
        <v>203084.0</v>
      </c>
      <c r="B2016" s="108" t="s">
        <v>92</v>
      </c>
      <c r="C2016" s="108" t="s">
        <v>583</v>
      </c>
      <c r="D2016" s="100" t="str">
        <f t="shared" si="1"/>
        <v/>
      </c>
      <c r="E2016" s="100" t="str">
        <f t="shared" si="2"/>
        <v/>
      </c>
      <c r="F2016" s="100" t="str">
        <f t="shared" si="3"/>
        <v/>
      </c>
      <c r="G2016" s="151"/>
      <c r="H2016" s="160"/>
      <c r="I2016" s="157"/>
      <c r="J2016" s="161"/>
      <c r="L2016" s="94"/>
      <c r="M2016" s="159"/>
      <c r="N2016" s="94"/>
    </row>
    <row r="2017">
      <c r="A2017" s="107">
        <v>203084.0</v>
      </c>
      <c r="B2017" s="108" t="s">
        <v>190</v>
      </c>
      <c r="C2017" s="108" t="s">
        <v>583</v>
      </c>
      <c r="D2017" s="100" t="str">
        <f t="shared" si="1"/>
        <v/>
      </c>
      <c r="E2017" s="100" t="str">
        <f t="shared" si="2"/>
        <v/>
      </c>
      <c r="F2017" s="100" t="str">
        <f t="shared" si="3"/>
        <v/>
      </c>
      <c r="G2017" s="151"/>
      <c r="H2017" s="156"/>
      <c r="I2017" s="157"/>
      <c r="J2017" s="158"/>
      <c r="L2017" s="94"/>
      <c r="M2017" s="159"/>
      <c r="N2017" s="94"/>
    </row>
    <row r="2018">
      <c r="A2018" s="107">
        <v>203084.0</v>
      </c>
      <c r="B2018" s="108" t="s">
        <v>191</v>
      </c>
      <c r="C2018" s="108" t="s">
        <v>583</v>
      </c>
      <c r="D2018" s="100" t="str">
        <f t="shared" si="1"/>
        <v/>
      </c>
      <c r="E2018" s="100" t="str">
        <f t="shared" si="2"/>
        <v/>
      </c>
      <c r="F2018" s="100" t="str">
        <f t="shared" si="3"/>
        <v/>
      </c>
      <c r="G2018" s="151"/>
      <c r="H2018" s="160"/>
      <c r="I2018" s="157"/>
      <c r="J2018" s="161"/>
      <c r="L2018" s="94"/>
      <c r="M2018" s="159"/>
      <c r="N2018" s="94"/>
    </row>
    <row r="2019">
      <c r="A2019" s="107">
        <v>203084.0</v>
      </c>
      <c r="B2019" s="108" t="s">
        <v>192</v>
      </c>
      <c r="C2019" s="108" t="s">
        <v>583</v>
      </c>
      <c r="D2019" s="100" t="str">
        <f t="shared" si="1"/>
        <v/>
      </c>
      <c r="E2019" s="100" t="str">
        <f t="shared" si="2"/>
        <v/>
      </c>
      <c r="F2019" s="100" t="str">
        <f t="shared" si="3"/>
        <v/>
      </c>
      <c r="G2019" s="151"/>
      <c r="H2019" s="156"/>
      <c r="I2019" s="157"/>
      <c r="J2019" s="158"/>
      <c r="L2019" s="94"/>
      <c r="M2019" s="159"/>
      <c r="N2019" s="94"/>
    </row>
    <row r="2020">
      <c r="A2020" s="107">
        <v>203084.0</v>
      </c>
      <c r="B2020" s="108" t="s">
        <v>193</v>
      </c>
      <c r="C2020" s="108" t="s">
        <v>583</v>
      </c>
      <c r="D2020" s="100" t="str">
        <f t="shared" si="1"/>
        <v/>
      </c>
      <c r="E2020" s="100" t="str">
        <f t="shared" si="2"/>
        <v/>
      </c>
      <c r="F2020" s="100" t="str">
        <f t="shared" si="3"/>
        <v/>
      </c>
      <c r="G2020" s="151"/>
      <c r="H2020" s="160"/>
      <c r="I2020" s="157"/>
      <c r="J2020" s="161"/>
      <c r="L2020" s="94"/>
      <c r="M2020" s="159"/>
      <c r="N2020" s="94"/>
    </row>
    <row r="2021">
      <c r="A2021" s="107">
        <v>203084.0</v>
      </c>
      <c r="B2021" s="108" t="s">
        <v>243</v>
      </c>
      <c r="C2021" s="108" t="s">
        <v>583</v>
      </c>
      <c r="D2021" s="100" t="str">
        <f t="shared" si="1"/>
        <v/>
      </c>
      <c r="E2021" s="100" t="str">
        <f t="shared" si="2"/>
        <v/>
      </c>
      <c r="F2021" s="100" t="str">
        <f t="shared" si="3"/>
        <v/>
      </c>
      <c r="G2021" s="151"/>
      <c r="H2021" s="156"/>
      <c r="I2021" s="157"/>
      <c r="J2021" s="158"/>
      <c r="L2021" s="94"/>
      <c r="M2021" s="159"/>
      <c r="N2021" s="94"/>
    </row>
    <row r="2022">
      <c r="A2022" s="107">
        <v>203084.0</v>
      </c>
      <c r="B2022" s="108" t="s">
        <v>215</v>
      </c>
      <c r="C2022" s="108" t="s">
        <v>583</v>
      </c>
      <c r="D2022" s="100" t="str">
        <f t="shared" si="1"/>
        <v/>
      </c>
      <c r="E2022" s="100" t="str">
        <f t="shared" si="2"/>
        <v/>
      </c>
      <c r="F2022" s="100" t="str">
        <f t="shared" si="3"/>
        <v/>
      </c>
      <c r="G2022" s="151"/>
      <c r="H2022" s="160"/>
      <c r="I2022" s="157"/>
      <c r="J2022" s="161"/>
      <c r="L2022" s="94"/>
      <c r="M2022" s="159"/>
      <c r="N2022" s="94"/>
    </row>
    <row r="2023">
      <c r="A2023" s="107">
        <v>203084.0</v>
      </c>
      <c r="B2023" s="108" t="s">
        <v>244</v>
      </c>
      <c r="C2023" s="108" t="s">
        <v>583</v>
      </c>
      <c r="D2023" s="100" t="str">
        <f t="shared" si="1"/>
        <v/>
      </c>
      <c r="E2023" s="100" t="str">
        <f t="shared" si="2"/>
        <v/>
      </c>
      <c r="F2023" s="100" t="str">
        <f t="shared" si="3"/>
        <v/>
      </c>
      <c r="G2023" s="151"/>
      <c r="H2023" s="156"/>
      <c r="I2023" s="157"/>
      <c r="J2023" s="158"/>
      <c r="L2023" s="94"/>
      <c r="M2023" s="159"/>
      <c r="N2023" s="94"/>
    </row>
    <row r="2024">
      <c r="A2024" s="107">
        <v>203084.0</v>
      </c>
      <c r="B2024" s="108" t="s">
        <v>245</v>
      </c>
      <c r="C2024" s="108" t="s">
        <v>583</v>
      </c>
      <c r="D2024" s="100" t="str">
        <f t="shared" si="1"/>
        <v/>
      </c>
      <c r="E2024" s="100" t="str">
        <f t="shared" si="2"/>
        <v/>
      </c>
      <c r="F2024" s="100" t="str">
        <f t="shared" si="3"/>
        <v/>
      </c>
      <c r="G2024" s="151"/>
      <c r="H2024" s="160"/>
      <c r="I2024" s="157"/>
      <c r="J2024" s="161"/>
      <c r="L2024" s="94"/>
      <c r="M2024" s="159"/>
      <c r="N2024" s="94"/>
    </row>
    <row r="2025">
      <c r="A2025" s="107">
        <v>203084.0</v>
      </c>
      <c r="B2025" s="108" t="s">
        <v>246</v>
      </c>
      <c r="C2025" s="108" t="s">
        <v>583</v>
      </c>
      <c r="D2025" s="100" t="str">
        <f t="shared" si="1"/>
        <v/>
      </c>
      <c r="E2025" s="100" t="str">
        <f t="shared" si="2"/>
        <v/>
      </c>
      <c r="F2025" s="100" t="str">
        <f t="shared" si="3"/>
        <v/>
      </c>
      <c r="G2025" s="151"/>
      <c r="H2025" s="156"/>
      <c r="I2025" s="157"/>
      <c r="J2025" s="158"/>
      <c r="L2025" s="94"/>
      <c r="M2025" s="159"/>
      <c r="N2025" s="94"/>
    </row>
    <row r="2026">
      <c r="A2026" s="149">
        <v>203084.0</v>
      </c>
      <c r="B2026" s="115" t="s">
        <v>247</v>
      </c>
      <c r="C2026" s="115" t="s">
        <v>583</v>
      </c>
      <c r="D2026" s="100" t="str">
        <f t="shared" si="1"/>
        <v/>
      </c>
      <c r="E2026" s="100" t="str">
        <f t="shared" si="2"/>
        <v/>
      </c>
      <c r="F2026" s="100" t="str">
        <f t="shared" si="3"/>
        <v/>
      </c>
      <c r="G2026" s="151"/>
      <c r="H2026" s="160"/>
      <c r="I2026" s="157"/>
      <c r="J2026" s="161"/>
      <c r="L2026" s="94"/>
      <c r="M2026" s="159"/>
      <c r="N2026" s="94"/>
    </row>
    <row r="2027">
      <c r="A2027" s="21">
        <v>203085.0</v>
      </c>
      <c r="B2027" s="164" t="s">
        <v>85</v>
      </c>
      <c r="C2027" s="164" t="s">
        <v>584</v>
      </c>
      <c r="D2027" s="100" t="str">
        <f t="shared" si="1"/>
        <v/>
      </c>
      <c r="E2027" s="100" t="str">
        <f t="shared" si="2"/>
        <v/>
      </c>
      <c r="F2027" s="100" t="str">
        <f t="shared" si="3"/>
        <v/>
      </c>
      <c r="G2027" s="151"/>
      <c r="H2027" s="156"/>
      <c r="I2027" s="157"/>
      <c r="J2027" s="158"/>
      <c r="L2027" s="94"/>
      <c r="M2027" s="159"/>
      <c r="N2027" s="94"/>
    </row>
    <row r="2028">
      <c r="A2028" s="107">
        <v>203085.0</v>
      </c>
      <c r="B2028" s="108" t="s">
        <v>90</v>
      </c>
      <c r="C2028" s="108" t="s">
        <v>584</v>
      </c>
      <c r="D2028" s="100" t="str">
        <f t="shared" si="1"/>
        <v/>
      </c>
      <c r="E2028" s="100" t="str">
        <f t="shared" si="2"/>
        <v/>
      </c>
      <c r="F2028" s="100" t="str">
        <f t="shared" si="3"/>
        <v/>
      </c>
      <c r="G2028" s="151"/>
      <c r="H2028" s="160"/>
      <c r="I2028" s="157"/>
      <c r="J2028" s="161"/>
      <c r="L2028" s="94"/>
      <c r="M2028" s="159"/>
      <c r="N2028" s="94"/>
    </row>
    <row r="2029">
      <c r="A2029" s="107">
        <v>203085.0</v>
      </c>
      <c r="B2029" s="108" t="s">
        <v>92</v>
      </c>
      <c r="C2029" s="108" t="s">
        <v>584</v>
      </c>
      <c r="D2029" s="100" t="str">
        <f t="shared" si="1"/>
        <v/>
      </c>
      <c r="E2029" s="100" t="str">
        <f t="shared" si="2"/>
        <v/>
      </c>
      <c r="F2029" s="100" t="str">
        <f t="shared" si="3"/>
        <v/>
      </c>
      <c r="G2029" s="151"/>
      <c r="H2029" s="156"/>
      <c r="I2029" s="157"/>
      <c r="J2029" s="158"/>
      <c r="L2029" s="94"/>
      <c r="M2029" s="159"/>
      <c r="N2029" s="94"/>
    </row>
    <row r="2030">
      <c r="A2030" s="107">
        <v>203085.0</v>
      </c>
      <c r="B2030" s="108" t="s">
        <v>190</v>
      </c>
      <c r="C2030" s="108" t="s">
        <v>584</v>
      </c>
      <c r="D2030" s="100" t="str">
        <f t="shared" si="1"/>
        <v/>
      </c>
      <c r="E2030" s="100" t="str">
        <f t="shared" si="2"/>
        <v/>
      </c>
      <c r="F2030" s="100" t="str">
        <f t="shared" si="3"/>
        <v/>
      </c>
      <c r="G2030" s="151"/>
      <c r="H2030" s="160"/>
      <c r="I2030" s="157"/>
      <c r="J2030" s="161"/>
      <c r="L2030" s="94"/>
      <c r="M2030" s="159"/>
      <c r="N2030" s="94"/>
    </row>
    <row r="2031">
      <c r="A2031" s="107">
        <v>203085.0</v>
      </c>
      <c r="B2031" s="108" t="s">
        <v>191</v>
      </c>
      <c r="C2031" s="108" t="s">
        <v>584</v>
      </c>
      <c r="D2031" s="100" t="str">
        <f t="shared" si="1"/>
        <v/>
      </c>
      <c r="E2031" s="100" t="str">
        <f t="shared" si="2"/>
        <v/>
      </c>
      <c r="F2031" s="100" t="str">
        <f t="shared" si="3"/>
        <v/>
      </c>
      <c r="G2031" s="151"/>
      <c r="H2031" s="156"/>
      <c r="I2031" s="157"/>
      <c r="J2031" s="158"/>
      <c r="L2031" s="94"/>
      <c r="M2031" s="159"/>
      <c r="N2031" s="94"/>
    </row>
    <row r="2032">
      <c r="A2032" s="107">
        <v>203085.0</v>
      </c>
      <c r="B2032" s="108" t="s">
        <v>192</v>
      </c>
      <c r="C2032" s="108" t="s">
        <v>584</v>
      </c>
      <c r="D2032" s="100" t="str">
        <f t="shared" si="1"/>
        <v/>
      </c>
      <c r="E2032" s="100" t="str">
        <f t="shared" si="2"/>
        <v/>
      </c>
      <c r="F2032" s="100" t="str">
        <f t="shared" si="3"/>
        <v/>
      </c>
      <c r="G2032" s="151"/>
      <c r="H2032" s="160"/>
      <c r="I2032" s="157"/>
      <c r="J2032" s="161"/>
      <c r="L2032" s="94"/>
      <c r="M2032" s="159"/>
      <c r="N2032" s="94"/>
    </row>
    <row r="2033">
      <c r="A2033" s="107">
        <v>203085.0</v>
      </c>
      <c r="B2033" s="108" t="s">
        <v>193</v>
      </c>
      <c r="C2033" s="108" t="s">
        <v>584</v>
      </c>
      <c r="D2033" s="100" t="str">
        <f t="shared" si="1"/>
        <v/>
      </c>
      <c r="E2033" s="100" t="str">
        <f t="shared" si="2"/>
        <v/>
      </c>
      <c r="F2033" s="100" t="str">
        <f t="shared" si="3"/>
        <v/>
      </c>
      <c r="G2033" s="151"/>
      <c r="H2033" s="156"/>
      <c r="I2033" s="157"/>
      <c r="J2033" s="158"/>
      <c r="L2033" s="94"/>
      <c r="M2033" s="159"/>
      <c r="N2033" s="94"/>
    </row>
    <row r="2034">
      <c r="A2034" s="107">
        <v>203085.0</v>
      </c>
      <c r="B2034" s="108" t="s">
        <v>243</v>
      </c>
      <c r="C2034" s="108" t="s">
        <v>584</v>
      </c>
      <c r="D2034" s="100" t="str">
        <f t="shared" si="1"/>
        <v/>
      </c>
      <c r="E2034" s="100" t="str">
        <f t="shared" si="2"/>
        <v/>
      </c>
      <c r="F2034" s="100" t="str">
        <f t="shared" si="3"/>
        <v/>
      </c>
      <c r="G2034" s="151"/>
      <c r="H2034" s="160"/>
      <c r="I2034" s="157"/>
      <c r="J2034" s="161"/>
      <c r="L2034" s="94"/>
      <c r="M2034" s="159"/>
      <c r="N2034" s="94"/>
    </row>
    <row r="2035">
      <c r="A2035" s="107">
        <v>203085.0</v>
      </c>
      <c r="B2035" s="108" t="s">
        <v>215</v>
      </c>
      <c r="C2035" s="108" t="s">
        <v>584</v>
      </c>
      <c r="D2035" s="100" t="str">
        <f t="shared" si="1"/>
        <v/>
      </c>
      <c r="E2035" s="100" t="str">
        <f t="shared" si="2"/>
        <v/>
      </c>
      <c r="F2035" s="100" t="str">
        <f t="shared" si="3"/>
        <v/>
      </c>
      <c r="G2035" s="151"/>
      <c r="H2035" s="156"/>
      <c r="I2035" s="157"/>
      <c r="J2035" s="158"/>
      <c r="L2035" s="94"/>
      <c r="M2035" s="159"/>
      <c r="N2035" s="94"/>
    </row>
    <row r="2036">
      <c r="A2036" s="107">
        <v>203085.0</v>
      </c>
      <c r="B2036" s="108" t="s">
        <v>244</v>
      </c>
      <c r="C2036" s="108" t="s">
        <v>584</v>
      </c>
      <c r="D2036" s="100" t="str">
        <f t="shared" si="1"/>
        <v/>
      </c>
      <c r="E2036" s="100" t="str">
        <f t="shared" si="2"/>
        <v/>
      </c>
      <c r="F2036" s="100" t="str">
        <f t="shared" si="3"/>
        <v/>
      </c>
      <c r="G2036" s="151"/>
      <c r="H2036" s="160"/>
      <c r="I2036" s="157"/>
      <c r="J2036" s="161"/>
      <c r="L2036" s="94"/>
      <c r="M2036" s="159"/>
      <c r="N2036" s="94"/>
    </row>
    <row r="2037">
      <c r="A2037" s="107">
        <v>203086.0</v>
      </c>
      <c r="B2037" s="108" t="s">
        <v>85</v>
      </c>
      <c r="C2037" s="108" t="s">
        <v>585</v>
      </c>
      <c r="D2037" s="100" t="str">
        <f t="shared" si="1"/>
        <v/>
      </c>
      <c r="E2037" s="100" t="str">
        <f t="shared" si="2"/>
        <v/>
      </c>
      <c r="F2037" s="100" t="str">
        <f t="shared" si="3"/>
        <v/>
      </c>
      <c r="G2037" s="151"/>
      <c r="H2037" s="156"/>
      <c r="I2037" s="157"/>
      <c r="J2037" s="158"/>
      <c r="L2037" s="94"/>
      <c r="M2037" s="159"/>
      <c r="N2037" s="94"/>
    </row>
    <row r="2038">
      <c r="A2038" s="107">
        <v>203086.0</v>
      </c>
      <c r="B2038" s="108" t="s">
        <v>90</v>
      </c>
      <c r="C2038" s="108" t="s">
        <v>585</v>
      </c>
      <c r="D2038" s="100" t="str">
        <f t="shared" si="1"/>
        <v/>
      </c>
      <c r="E2038" s="100" t="str">
        <f t="shared" si="2"/>
        <v/>
      </c>
      <c r="F2038" s="100" t="str">
        <f t="shared" si="3"/>
        <v/>
      </c>
      <c r="G2038" s="151"/>
      <c r="H2038" s="160"/>
      <c r="I2038" s="157"/>
      <c r="J2038" s="161"/>
      <c r="L2038" s="94"/>
      <c r="M2038" s="159"/>
      <c r="N2038" s="94"/>
    </row>
    <row r="2039">
      <c r="A2039" s="107">
        <v>203086.0</v>
      </c>
      <c r="B2039" s="108" t="s">
        <v>92</v>
      </c>
      <c r="C2039" s="108" t="s">
        <v>585</v>
      </c>
      <c r="D2039" s="100" t="str">
        <f t="shared" si="1"/>
        <v/>
      </c>
      <c r="E2039" s="100" t="str">
        <f t="shared" si="2"/>
        <v/>
      </c>
      <c r="F2039" s="100" t="str">
        <f t="shared" si="3"/>
        <v/>
      </c>
      <c r="G2039" s="151"/>
      <c r="H2039" s="156"/>
      <c r="I2039" s="157"/>
      <c r="J2039" s="158"/>
      <c r="L2039" s="94"/>
      <c r="M2039" s="159"/>
      <c r="N2039" s="94"/>
    </row>
    <row r="2040">
      <c r="A2040" s="107">
        <v>203086.0</v>
      </c>
      <c r="B2040" s="108" t="s">
        <v>190</v>
      </c>
      <c r="C2040" s="108" t="s">
        <v>585</v>
      </c>
      <c r="D2040" s="100" t="str">
        <f t="shared" si="1"/>
        <v/>
      </c>
      <c r="E2040" s="100" t="str">
        <f t="shared" si="2"/>
        <v/>
      </c>
      <c r="F2040" s="100" t="str">
        <f t="shared" si="3"/>
        <v/>
      </c>
      <c r="G2040" s="151"/>
      <c r="H2040" s="160"/>
      <c r="I2040" s="157"/>
      <c r="J2040" s="161"/>
      <c r="L2040" s="94"/>
      <c r="M2040" s="159"/>
      <c r="N2040" s="94"/>
    </row>
    <row r="2041">
      <c r="A2041" s="107">
        <v>203086.0</v>
      </c>
      <c r="B2041" s="108" t="s">
        <v>191</v>
      </c>
      <c r="C2041" s="108" t="s">
        <v>585</v>
      </c>
      <c r="D2041" s="100" t="str">
        <f t="shared" si="1"/>
        <v/>
      </c>
      <c r="E2041" s="100" t="str">
        <f t="shared" si="2"/>
        <v/>
      </c>
      <c r="F2041" s="100" t="str">
        <f t="shared" si="3"/>
        <v/>
      </c>
      <c r="G2041" s="151"/>
      <c r="H2041" s="156"/>
      <c r="I2041" s="157"/>
      <c r="J2041" s="158"/>
      <c r="L2041" s="94"/>
      <c r="M2041" s="159"/>
      <c r="N2041" s="94"/>
    </row>
    <row r="2042">
      <c r="A2042" s="107">
        <v>203086.0</v>
      </c>
      <c r="B2042" s="108" t="s">
        <v>192</v>
      </c>
      <c r="C2042" s="108" t="s">
        <v>585</v>
      </c>
      <c r="D2042" s="100" t="str">
        <f t="shared" si="1"/>
        <v/>
      </c>
      <c r="E2042" s="100" t="str">
        <f t="shared" si="2"/>
        <v/>
      </c>
      <c r="F2042" s="100" t="str">
        <f t="shared" si="3"/>
        <v/>
      </c>
      <c r="G2042" s="151"/>
      <c r="H2042" s="160"/>
      <c r="I2042" s="157"/>
      <c r="J2042" s="161"/>
      <c r="L2042" s="94"/>
      <c r="M2042" s="159"/>
      <c r="N2042" s="94"/>
    </row>
    <row r="2043">
      <c r="A2043" s="107">
        <v>203086.0</v>
      </c>
      <c r="B2043" s="108" t="s">
        <v>193</v>
      </c>
      <c r="C2043" s="108" t="s">
        <v>585</v>
      </c>
      <c r="D2043" s="100" t="str">
        <f t="shared" si="1"/>
        <v/>
      </c>
      <c r="E2043" s="100" t="str">
        <f t="shared" si="2"/>
        <v/>
      </c>
      <c r="F2043" s="100" t="str">
        <f t="shared" si="3"/>
        <v/>
      </c>
      <c r="G2043" s="151"/>
      <c r="H2043" s="156"/>
      <c r="I2043" s="157"/>
      <c r="J2043" s="158"/>
      <c r="L2043" s="94"/>
      <c r="M2043" s="159"/>
      <c r="N2043" s="94"/>
    </row>
    <row r="2044">
      <c r="A2044" s="107">
        <v>203086.0</v>
      </c>
      <c r="B2044" s="108" t="s">
        <v>243</v>
      </c>
      <c r="C2044" s="108" t="s">
        <v>585</v>
      </c>
      <c r="D2044" s="100" t="str">
        <f t="shared" si="1"/>
        <v/>
      </c>
      <c r="E2044" s="100" t="str">
        <f t="shared" si="2"/>
        <v/>
      </c>
      <c r="F2044" s="100" t="str">
        <f t="shared" si="3"/>
        <v/>
      </c>
      <c r="G2044" s="151"/>
      <c r="H2044" s="160"/>
      <c r="I2044" s="157"/>
      <c r="J2044" s="161"/>
      <c r="L2044" s="94"/>
      <c r="M2044" s="159"/>
      <c r="N2044" s="94"/>
    </row>
    <row r="2045">
      <c r="A2045" s="107">
        <v>203086.0</v>
      </c>
      <c r="B2045" s="108" t="s">
        <v>244</v>
      </c>
      <c r="C2045" s="108" t="s">
        <v>585</v>
      </c>
      <c r="D2045" s="100" t="str">
        <f t="shared" si="1"/>
        <v/>
      </c>
      <c r="E2045" s="100" t="str">
        <f t="shared" si="2"/>
        <v/>
      </c>
      <c r="F2045" s="100" t="str">
        <f t="shared" si="3"/>
        <v/>
      </c>
      <c r="G2045" s="151"/>
      <c r="H2045" s="156"/>
      <c r="I2045" s="157"/>
      <c r="J2045" s="158"/>
      <c r="L2045" s="94"/>
      <c r="M2045" s="159"/>
      <c r="N2045" s="94"/>
    </row>
    <row r="2046">
      <c r="A2046" s="107">
        <v>203087.0</v>
      </c>
      <c r="B2046" s="108" t="s">
        <v>85</v>
      </c>
      <c r="C2046" s="108" t="s">
        <v>586</v>
      </c>
      <c r="D2046" s="100" t="str">
        <f t="shared" si="1"/>
        <v/>
      </c>
      <c r="E2046" s="100" t="str">
        <f t="shared" si="2"/>
        <v/>
      </c>
      <c r="F2046" s="100" t="str">
        <f t="shared" si="3"/>
        <v/>
      </c>
      <c r="G2046" s="151"/>
      <c r="H2046" s="160"/>
      <c r="I2046" s="157"/>
      <c r="J2046" s="161"/>
      <c r="L2046" s="94"/>
      <c r="M2046" s="159"/>
      <c r="N2046" s="94"/>
    </row>
    <row r="2047">
      <c r="A2047" s="107">
        <v>203087.0</v>
      </c>
      <c r="B2047" s="108" t="s">
        <v>90</v>
      </c>
      <c r="C2047" s="108" t="s">
        <v>586</v>
      </c>
      <c r="D2047" s="100" t="str">
        <f t="shared" si="1"/>
        <v/>
      </c>
      <c r="E2047" s="100" t="str">
        <f t="shared" si="2"/>
        <v/>
      </c>
      <c r="F2047" s="100" t="str">
        <f t="shared" si="3"/>
        <v/>
      </c>
      <c r="G2047" s="151"/>
      <c r="H2047" s="156"/>
      <c r="I2047" s="157"/>
      <c r="J2047" s="158"/>
      <c r="L2047" s="94"/>
      <c r="M2047" s="159"/>
      <c r="N2047" s="94"/>
    </row>
    <row r="2048">
      <c r="A2048" s="107">
        <v>203087.0</v>
      </c>
      <c r="B2048" s="108" t="s">
        <v>92</v>
      </c>
      <c r="C2048" s="108" t="s">
        <v>586</v>
      </c>
      <c r="D2048" s="100" t="str">
        <f t="shared" si="1"/>
        <v/>
      </c>
      <c r="E2048" s="100" t="str">
        <f t="shared" si="2"/>
        <v/>
      </c>
      <c r="F2048" s="100" t="str">
        <f t="shared" si="3"/>
        <v/>
      </c>
      <c r="G2048" s="151"/>
      <c r="H2048" s="160"/>
      <c r="I2048" s="157"/>
      <c r="J2048" s="161"/>
      <c r="L2048" s="94"/>
      <c r="M2048" s="159"/>
      <c r="N2048" s="94"/>
    </row>
    <row r="2049">
      <c r="A2049" s="107">
        <v>203087.0</v>
      </c>
      <c r="B2049" s="108" t="s">
        <v>190</v>
      </c>
      <c r="C2049" s="108" t="s">
        <v>586</v>
      </c>
      <c r="D2049" s="100" t="str">
        <f t="shared" si="1"/>
        <v/>
      </c>
      <c r="E2049" s="100" t="str">
        <f t="shared" si="2"/>
        <v/>
      </c>
      <c r="F2049" s="100" t="str">
        <f t="shared" si="3"/>
        <v/>
      </c>
      <c r="G2049" s="151"/>
      <c r="H2049" s="156"/>
      <c r="I2049" s="157"/>
      <c r="J2049" s="158"/>
      <c r="L2049" s="94"/>
      <c r="M2049" s="159"/>
      <c r="N2049" s="94"/>
    </row>
    <row r="2050">
      <c r="A2050" s="107">
        <v>203087.0</v>
      </c>
      <c r="B2050" s="108" t="s">
        <v>191</v>
      </c>
      <c r="C2050" s="108" t="s">
        <v>586</v>
      </c>
      <c r="D2050" s="100" t="str">
        <f t="shared" si="1"/>
        <v/>
      </c>
      <c r="E2050" s="100" t="str">
        <f t="shared" si="2"/>
        <v/>
      </c>
      <c r="F2050" s="100" t="str">
        <f t="shared" si="3"/>
        <v/>
      </c>
      <c r="G2050" s="151"/>
      <c r="H2050" s="160"/>
      <c r="I2050" s="157"/>
      <c r="J2050" s="161"/>
      <c r="L2050" s="94"/>
      <c r="M2050" s="159"/>
      <c r="N2050" s="94"/>
    </row>
    <row r="2051">
      <c r="A2051" s="107">
        <v>203087.0</v>
      </c>
      <c r="B2051" s="108" t="s">
        <v>192</v>
      </c>
      <c r="C2051" s="108" t="s">
        <v>586</v>
      </c>
      <c r="D2051" s="100" t="str">
        <f t="shared" si="1"/>
        <v/>
      </c>
      <c r="E2051" s="100" t="str">
        <f t="shared" si="2"/>
        <v/>
      </c>
      <c r="F2051" s="100" t="str">
        <f t="shared" si="3"/>
        <v/>
      </c>
      <c r="G2051" s="151"/>
      <c r="H2051" s="156"/>
      <c r="I2051" s="157"/>
      <c r="J2051" s="158"/>
      <c r="L2051" s="94"/>
      <c r="M2051" s="159"/>
      <c r="N2051" s="94"/>
    </row>
    <row r="2052">
      <c r="A2052" s="107">
        <v>203087.0</v>
      </c>
      <c r="B2052" s="108" t="s">
        <v>193</v>
      </c>
      <c r="C2052" s="108" t="s">
        <v>586</v>
      </c>
      <c r="D2052" s="100" t="str">
        <f t="shared" si="1"/>
        <v/>
      </c>
      <c r="E2052" s="100" t="str">
        <f t="shared" si="2"/>
        <v/>
      </c>
      <c r="F2052" s="100" t="str">
        <f t="shared" si="3"/>
        <v/>
      </c>
      <c r="G2052" s="151"/>
      <c r="H2052" s="160"/>
      <c r="I2052" s="157"/>
      <c r="J2052" s="161"/>
      <c r="L2052" s="94"/>
      <c r="M2052" s="159"/>
      <c r="N2052" s="94"/>
    </row>
    <row r="2053">
      <c r="A2053" s="107">
        <v>203087.0</v>
      </c>
      <c r="B2053" s="108" t="s">
        <v>243</v>
      </c>
      <c r="C2053" s="108" t="s">
        <v>586</v>
      </c>
      <c r="D2053" s="100" t="str">
        <f t="shared" si="1"/>
        <v/>
      </c>
      <c r="E2053" s="100" t="str">
        <f t="shared" si="2"/>
        <v/>
      </c>
      <c r="F2053" s="100" t="str">
        <f t="shared" si="3"/>
        <v/>
      </c>
      <c r="G2053" s="151"/>
      <c r="H2053" s="156"/>
      <c r="I2053" s="157"/>
      <c r="J2053" s="158"/>
      <c r="L2053" s="94"/>
      <c r="M2053" s="159"/>
      <c r="N2053" s="94"/>
    </row>
    <row r="2054">
      <c r="A2054" s="107">
        <v>203087.0</v>
      </c>
      <c r="B2054" s="108" t="s">
        <v>215</v>
      </c>
      <c r="C2054" s="108" t="s">
        <v>586</v>
      </c>
      <c r="D2054" s="100" t="str">
        <f t="shared" si="1"/>
        <v/>
      </c>
      <c r="E2054" s="100" t="str">
        <f t="shared" si="2"/>
        <v/>
      </c>
      <c r="F2054" s="100" t="str">
        <f t="shared" si="3"/>
        <v/>
      </c>
      <c r="G2054" s="151"/>
      <c r="H2054" s="160"/>
      <c r="I2054" s="157"/>
      <c r="J2054" s="161"/>
      <c r="L2054" s="94"/>
      <c r="M2054" s="159"/>
      <c r="N2054" s="94"/>
    </row>
    <row r="2055">
      <c r="A2055" s="107">
        <v>203088.0</v>
      </c>
      <c r="B2055" s="108" t="s">
        <v>85</v>
      </c>
      <c r="C2055" s="108" t="s">
        <v>587</v>
      </c>
      <c r="D2055" s="100" t="str">
        <f t="shared" si="1"/>
        <v/>
      </c>
      <c r="E2055" s="100" t="str">
        <f t="shared" si="2"/>
        <v/>
      </c>
      <c r="F2055" s="100" t="str">
        <f t="shared" si="3"/>
        <v/>
      </c>
      <c r="G2055" s="151"/>
      <c r="H2055" s="156"/>
      <c r="I2055" s="157"/>
      <c r="J2055" s="158"/>
      <c r="L2055" s="94"/>
      <c r="M2055" s="159"/>
      <c r="N2055" s="94"/>
    </row>
    <row r="2056">
      <c r="A2056" s="107">
        <v>203088.0</v>
      </c>
      <c r="B2056" s="108" t="s">
        <v>90</v>
      </c>
      <c r="C2056" s="108" t="s">
        <v>587</v>
      </c>
      <c r="D2056" s="100" t="str">
        <f t="shared" si="1"/>
        <v/>
      </c>
      <c r="E2056" s="100" t="str">
        <f t="shared" si="2"/>
        <v/>
      </c>
      <c r="F2056" s="100" t="str">
        <f t="shared" si="3"/>
        <v/>
      </c>
      <c r="G2056" s="151"/>
      <c r="H2056" s="160"/>
      <c r="I2056" s="157"/>
      <c r="J2056" s="161"/>
      <c r="L2056" s="94"/>
      <c r="M2056" s="159"/>
      <c r="N2056" s="94"/>
    </row>
    <row r="2057">
      <c r="A2057" s="107">
        <v>203088.0</v>
      </c>
      <c r="B2057" s="108" t="s">
        <v>92</v>
      </c>
      <c r="C2057" s="108" t="s">
        <v>587</v>
      </c>
      <c r="D2057" s="100" t="str">
        <f t="shared" si="1"/>
        <v/>
      </c>
      <c r="E2057" s="100" t="str">
        <f t="shared" si="2"/>
        <v/>
      </c>
      <c r="F2057" s="100" t="str">
        <f t="shared" si="3"/>
        <v/>
      </c>
      <c r="G2057" s="151"/>
      <c r="H2057" s="156"/>
      <c r="I2057" s="157"/>
      <c r="J2057" s="158"/>
      <c r="L2057" s="94"/>
      <c r="M2057" s="159"/>
      <c r="N2057" s="94"/>
    </row>
    <row r="2058">
      <c r="A2058" s="107">
        <v>203089.0</v>
      </c>
      <c r="B2058" s="108" t="s">
        <v>85</v>
      </c>
      <c r="C2058" s="108" t="s">
        <v>588</v>
      </c>
      <c r="D2058" s="100" t="str">
        <f t="shared" si="1"/>
        <v/>
      </c>
      <c r="E2058" s="100" t="str">
        <f t="shared" si="2"/>
        <v/>
      </c>
      <c r="F2058" s="100" t="str">
        <f t="shared" si="3"/>
        <v/>
      </c>
      <c r="G2058" s="151"/>
      <c r="H2058" s="160"/>
      <c r="I2058" s="157"/>
      <c r="J2058" s="161"/>
      <c r="L2058" s="94"/>
      <c r="M2058" s="159"/>
      <c r="N2058" s="94"/>
    </row>
    <row r="2059">
      <c r="A2059" s="107">
        <v>203089.0</v>
      </c>
      <c r="B2059" s="108" t="s">
        <v>90</v>
      </c>
      <c r="C2059" s="108" t="s">
        <v>588</v>
      </c>
      <c r="D2059" s="100" t="str">
        <f t="shared" si="1"/>
        <v/>
      </c>
      <c r="E2059" s="100" t="str">
        <f t="shared" si="2"/>
        <v/>
      </c>
      <c r="F2059" s="100" t="str">
        <f t="shared" si="3"/>
        <v/>
      </c>
      <c r="G2059" s="151"/>
      <c r="H2059" s="156"/>
      <c r="I2059" s="157"/>
      <c r="J2059" s="158"/>
      <c r="L2059" s="94"/>
      <c r="M2059" s="159"/>
      <c r="N2059" s="94"/>
    </row>
    <row r="2060">
      <c r="A2060" s="107">
        <v>203089.0</v>
      </c>
      <c r="B2060" s="108" t="s">
        <v>92</v>
      </c>
      <c r="C2060" s="108" t="s">
        <v>588</v>
      </c>
      <c r="D2060" s="100" t="str">
        <f t="shared" si="1"/>
        <v/>
      </c>
      <c r="E2060" s="100" t="str">
        <f t="shared" si="2"/>
        <v/>
      </c>
      <c r="F2060" s="100" t="str">
        <f t="shared" si="3"/>
        <v/>
      </c>
      <c r="G2060" s="151"/>
      <c r="H2060" s="160"/>
      <c r="I2060" s="157"/>
      <c r="J2060" s="161"/>
      <c r="L2060" s="94"/>
      <c r="M2060" s="159"/>
      <c r="N2060" s="94"/>
    </row>
    <row r="2061">
      <c r="A2061" s="107">
        <v>203089.0</v>
      </c>
      <c r="B2061" s="108" t="s">
        <v>190</v>
      </c>
      <c r="C2061" s="108" t="s">
        <v>588</v>
      </c>
      <c r="D2061" s="100" t="str">
        <f t="shared" si="1"/>
        <v/>
      </c>
      <c r="E2061" s="100" t="str">
        <f t="shared" si="2"/>
        <v/>
      </c>
      <c r="F2061" s="100" t="str">
        <f t="shared" si="3"/>
        <v/>
      </c>
      <c r="G2061" s="151"/>
      <c r="H2061" s="156"/>
      <c r="I2061" s="157"/>
      <c r="J2061" s="158"/>
      <c r="L2061" s="94"/>
      <c r="M2061" s="159"/>
      <c r="N2061" s="94"/>
    </row>
    <row r="2062">
      <c r="A2062" s="107">
        <v>203089.0</v>
      </c>
      <c r="B2062" s="108" t="s">
        <v>191</v>
      </c>
      <c r="C2062" s="108" t="s">
        <v>588</v>
      </c>
      <c r="D2062" s="100" t="str">
        <f t="shared" si="1"/>
        <v/>
      </c>
      <c r="E2062" s="100" t="str">
        <f t="shared" si="2"/>
        <v/>
      </c>
      <c r="F2062" s="100" t="str">
        <f t="shared" si="3"/>
        <v/>
      </c>
      <c r="G2062" s="151"/>
      <c r="H2062" s="160"/>
      <c r="I2062" s="157"/>
      <c r="J2062" s="161"/>
      <c r="L2062" s="94"/>
      <c r="M2062" s="159"/>
      <c r="N2062" s="94"/>
    </row>
    <row r="2063">
      <c r="A2063" s="107">
        <v>203089.0</v>
      </c>
      <c r="B2063" s="108" t="s">
        <v>192</v>
      </c>
      <c r="C2063" s="108" t="s">
        <v>588</v>
      </c>
      <c r="D2063" s="100" t="str">
        <f t="shared" si="1"/>
        <v/>
      </c>
      <c r="E2063" s="100" t="str">
        <f t="shared" si="2"/>
        <v/>
      </c>
      <c r="F2063" s="100" t="str">
        <f t="shared" si="3"/>
        <v/>
      </c>
      <c r="G2063" s="151"/>
      <c r="H2063" s="156"/>
      <c r="I2063" s="157"/>
      <c r="J2063" s="158"/>
      <c r="L2063" s="94"/>
      <c r="M2063" s="159"/>
      <c r="N2063" s="94"/>
    </row>
    <row r="2064">
      <c r="A2064" s="107">
        <v>203089.0</v>
      </c>
      <c r="B2064" s="108" t="s">
        <v>193</v>
      </c>
      <c r="C2064" s="108" t="s">
        <v>588</v>
      </c>
      <c r="D2064" s="100" t="str">
        <f t="shared" si="1"/>
        <v/>
      </c>
      <c r="E2064" s="100" t="str">
        <f t="shared" si="2"/>
        <v/>
      </c>
      <c r="F2064" s="100" t="str">
        <f t="shared" si="3"/>
        <v/>
      </c>
      <c r="G2064" s="151"/>
      <c r="H2064" s="160"/>
      <c r="I2064" s="157"/>
      <c r="J2064" s="161"/>
      <c r="L2064" s="94"/>
      <c r="M2064" s="159"/>
      <c r="N2064" s="94"/>
    </row>
    <row r="2065">
      <c r="A2065" s="107">
        <v>203090.0</v>
      </c>
      <c r="B2065" s="108" t="s">
        <v>85</v>
      </c>
      <c r="C2065" s="108" t="s">
        <v>589</v>
      </c>
      <c r="D2065" s="100" t="str">
        <f t="shared" si="1"/>
        <v/>
      </c>
      <c r="E2065" s="100" t="str">
        <f t="shared" si="2"/>
        <v/>
      </c>
      <c r="F2065" s="100" t="str">
        <f t="shared" si="3"/>
        <v/>
      </c>
      <c r="G2065" s="151"/>
      <c r="H2065" s="156"/>
      <c r="I2065" s="157"/>
      <c r="J2065" s="158"/>
      <c r="L2065" s="94"/>
      <c r="M2065" s="159"/>
      <c r="N2065" s="94"/>
    </row>
    <row r="2066">
      <c r="A2066" s="107">
        <v>203090.0</v>
      </c>
      <c r="B2066" s="108" t="s">
        <v>90</v>
      </c>
      <c r="C2066" s="108" t="s">
        <v>589</v>
      </c>
      <c r="D2066" s="100" t="str">
        <f t="shared" si="1"/>
        <v/>
      </c>
      <c r="E2066" s="100" t="str">
        <f t="shared" si="2"/>
        <v/>
      </c>
      <c r="F2066" s="100" t="str">
        <f t="shared" si="3"/>
        <v/>
      </c>
      <c r="G2066" s="151"/>
      <c r="H2066" s="160"/>
      <c r="I2066" s="157"/>
      <c r="J2066" s="161"/>
      <c r="L2066" s="94"/>
      <c r="M2066" s="159"/>
      <c r="N2066" s="94"/>
    </row>
    <row r="2067">
      <c r="A2067" s="107">
        <v>203090.0</v>
      </c>
      <c r="B2067" s="108" t="s">
        <v>92</v>
      </c>
      <c r="C2067" s="108" t="s">
        <v>589</v>
      </c>
      <c r="D2067" s="100" t="str">
        <f t="shared" si="1"/>
        <v/>
      </c>
      <c r="E2067" s="100" t="str">
        <f t="shared" si="2"/>
        <v/>
      </c>
      <c r="F2067" s="100" t="str">
        <f t="shared" si="3"/>
        <v/>
      </c>
      <c r="G2067" s="151"/>
      <c r="H2067" s="156"/>
      <c r="I2067" s="157"/>
      <c r="J2067" s="158"/>
      <c r="L2067" s="94"/>
      <c r="M2067" s="159"/>
      <c r="N2067" s="94"/>
    </row>
    <row r="2068">
      <c r="A2068" s="107">
        <v>203090.0</v>
      </c>
      <c r="B2068" s="108" t="s">
        <v>190</v>
      </c>
      <c r="C2068" s="108" t="s">
        <v>589</v>
      </c>
      <c r="D2068" s="100" t="str">
        <f t="shared" si="1"/>
        <v/>
      </c>
      <c r="E2068" s="100" t="str">
        <f t="shared" si="2"/>
        <v/>
      </c>
      <c r="F2068" s="100" t="str">
        <f t="shared" si="3"/>
        <v/>
      </c>
      <c r="G2068" s="151"/>
      <c r="H2068" s="160"/>
      <c r="I2068" s="157"/>
      <c r="J2068" s="161"/>
      <c r="L2068" s="94"/>
      <c r="M2068" s="159"/>
      <c r="N2068" s="94"/>
    </row>
    <row r="2069">
      <c r="A2069" s="107">
        <v>203090.0</v>
      </c>
      <c r="B2069" s="108" t="s">
        <v>191</v>
      </c>
      <c r="C2069" s="108" t="s">
        <v>589</v>
      </c>
      <c r="D2069" s="100" t="str">
        <f t="shared" si="1"/>
        <v/>
      </c>
      <c r="E2069" s="100" t="str">
        <f t="shared" si="2"/>
        <v/>
      </c>
      <c r="F2069" s="100" t="str">
        <f t="shared" si="3"/>
        <v/>
      </c>
      <c r="G2069" s="151"/>
      <c r="H2069" s="156"/>
      <c r="I2069" s="157"/>
      <c r="J2069" s="158"/>
      <c r="L2069" s="94"/>
      <c r="M2069" s="159"/>
      <c r="N2069" s="94"/>
    </row>
    <row r="2070">
      <c r="A2070" s="107">
        <v>203090.0</v>
      </c>
      <c r="B2070" s="108" t="s">
        <v>192</v>
      </c>
      <c r="C2070" s="108" t="s">
        <v>589</v>
      </c>
      <c r="D2070" s="100" t="str">
        <f t="shared" si="1"/>
        <v/>
      </c>
      <c r="E2070" s="100" t="str">
        <f t="shared" si="2"/>
        <v/>
      </c>
      <c r="F2070" s="100" t="str">
        <f t="shared" si="3"/>
        <v/>
      </c>
      <c r="G2070" s="151"/>
      <c r="H2070" s="160"/>
      <c r="I2070" s="157"/>
      <c r="J2070" s="161"/>
      <c r="L2070" s="94"/>
      <c r="M2070" s="159"/>
      <c r="N2070" s="94"/>
    </row>
    <row r="2071">
      <c r="A2071" s="107">
        <v>203090.0</v>
      </c>
      <c r="B2071" s="108" t="s">
        <v>193</v>
      </c>
      <c r="C2071" s="108" t="s">
        <v>589</v>
      </c>
      <c r="D2071" s="100" t="str">
        <f t="shared" si="1"/>
        <v/>
      </c>
      <c r="E2071" s="100" t="str">
        <f t="shared" si="2"/>
        <v/>
      </c>
      <c r="F2071" s="100" t="str">
        <f t="shared" si="3"/>
        <v/>
      </c>
      <c r="G2071" s="151"/>
      <c r="H2071" s="156"/>
      <c r="I2071" s="157"/>
      <c r="J2071" s="158"/>
      <c r="L2071" s="94"/>
      <c r="M2071" s="159"/>
      <c r="N2071" s="94"/>
    </row>
    <row r="2072">
      <c r="A2072" s="107">
        <v>203090.0</v>
      </c>
      <c r="B2072" s="108" t="s">
        <v>243</v>
      </c>
      <c r="C2072" s="108" t="s">
        <v>589</v>
      </c>
      <c r="D2072" s="100" t="str">
        <f t="shared" si="1"/>
        <v/>
      </c>
      <c r="E2072" s="100" t="str">
        <f t="shared" si="2"/>
        <v/>
      </c>
      <c r="F2072" s="100" t="str">
        <f t="shared" si="3"/>
        <v/>
      </c>
      <c r="G2072" s="151"/>
      <c r="H2072" s="160"/>
      <c r="I2072" s="157"/>
      <c r="J2072" s="161"/>
      <c r="L2072" s="94"/>
      <c r="M2072" s="159"/>
      <c r="N2072" s="94"/>
    </row>
    <row r="2073">
      <c r="A2073" s="107">
        <v>203090.0</v>
      </c>
      <c r="B2073" s="108" t="s">
        <v>215</v>
      </c>
      <c r="C2073" s="108" t="s">
        <v>589</v>
      </c>
      <c r="D2073" s="100" t="str">
        <f t="shared" si="1"/>
        <v/>
      </c>
      <c r="E2073" s="100" t="str">
        <f t="shared" si="2"/>
        <v/>
      </c>
      <c r="F2073" s="100" t="str">
        <f t="shared" si="3"/>
        <v/>
      </c>
      <c r="G2073" s="151"/>
      <c r="H2073" s="156"/>
      <c r="I2073" s="157"/>
      <c r="J2073" s="158"/>
      <c r="L2073" s="94"/>
      <c r="M2073" s="159"/>
      <c r="N2073" s="94"/>
    </row>
    <row r="2074">
      <c r="A2074" s="107">
        <v>203091.0</v>
      </c>
      <c r="B2074" s="108" t="s">
        <v>85</v>
      </c>
      <c r="C2074" s="108" t="s">
        <v>590</v>
      </c>
      <c r="D2074" s="100" t="str">
        <f t="shared" si="1"/>
        <v/>
      </c>
      <c r="E2074" s="100" t="str">
        <f t="shared" si="2"/>
        <v/>
      </c>
      <c r="F2074" s="100" t="str">
        <f t="shared" si="3"/>
        <v/>
      </c>
      <c r="G2074" s="151"/>
      <c r="H2074" s="160"/>
      <c r="I2074" s="157"/>
      <c r="J2074" s="161"/>
      <c r="L2074" s="94"/>
      <c r="M2074" s="159"/>
      <c r="N2074" s="94"/>
    </row>
    <row r="2075">
      <c r="A2075" s="107">
        <v>203092.0</v>
      </c>
      <c r="B2075" s="108" t="s">
        <v>85</v>
      </c>
      <c r="C2075" s="108" t="s">
        <v>591</v>
      </c>
      <c r="D2075" s="100" t="str">
        <f t="shared" si="1"/>
        <v/>
      </c>
      <c r="E2075" s="100" t="str">
        <f t="shared" si="2"/>
        <v/>
      </c>
      <c r="F2075" s="100" t="str">
        <f t="shared" si="3"/>
        <v/>
      </c>
      <c r="G2075" s="151"/>
      <c r="H2075" s="156"/>
      <c r="I2075" s="157"/>
      <c r="J2075" s="158"/>
      <c r="L2075" s="94"/>
      <c r="M2075" s="159"/>
      <c r="N2075" s="94"/>
    </row>
    <row r="2076">
      <c r="A2076" s="107">
        <v>203092.0</v>
      </c>
      <c r="B2076" s="108" t="s">
        <v>90</v>
      </c>
      <c r="C2076" s="108" t="s">
        <v>591</v>
      </c>
      <c r="D2076" s="100" t="str">
        <f t="shared" si="1"/>
        <v/>
      </c>
      <c r="E2076" s="100" t="str">
        <f t="shared" si="2"/>
        <v/>
      </c>
      <c r="F2076" s="100" t="str">
        <f t="shared" si="3"/>
        <v/>
      </c>
      <c r="G2076" s="151"/>
      <c r="H2076" s="160"/>
      <c r="I2076" s="157"/>
      <c r="J2076" s="161"/>
      <c r="L2076" s="94"/>
      <c r="M2076" s="159"/>
      <c r="N2076" s="94"/>
    </row>
    <row r="2077">
      <c r="A2077" s="107">
        <v>203092.0</v>
      </c>
      <c r="B2077" s="108" t="s">
        <v>92</v>
      </c>
      <c r="C2077" s="108" t="s">
        <v>591</v>
      </c>
      <c r="D2077" s="100" t="str">
        <f t="shared" si="1"/>
        <v/>
      </c>
      <c r="E2077" s="100" t="str">
        <f t="shared" si="2"/>
        <v/>
      </c>
      <c r="F2077" s="100" t="str">
        <f t="shared" si="3"/>
        <v/>
      </c>
      <c r="G2077" s="151"/>
      <c r="H2077" s="156"/>
      <c r="I2077" s="157"/>
      <c r="J2077" s="158"/>
      <c r="L2077" s="94"/>
      <c r="M2077" s="159"/>
      <c r="N2077" s="94"/>
    </row>
    <row r="2078">
      <c r="A2078" s="107">
        <v>203092.0</v>
      </c>
      <c r="B2078" s="108" t="s">
        <v>190</v>
      </c>
      <c r="C2078" s="108" t="s">
        <v>591</v>
      </c>
      <c r="D2078" s="100" t="str">
        <f t="shared" si="1"/>
        <v/>
      </c>
      <c r="E2078" s="100" t="str">
        <f t="shared" si="2"/>
        <v/>
      </c>
      <c r="F2078" s="100" t="str">
        <f t="shared" si="3"/>
        <v/>
      </c>
      <c r="G2078" s="151"/>
      <c r="H2078" s="160"/>
      <c r="I2078" s="157"/>
      <c r="J2078" s="161"/>
      <c r="L2078" s="94"/>
      <c r="M2078" s="159"/>
      <c r="N2078" s="94"/>
    </row>
    <row r="2079">
      <c r="A2079" s="107">
        <v>203092.0</v>
      </c>
      <c r="B2079" s="108" t="s">
        <v>191</v>
      </c>
      <c r="C2079" s="108" t="s">
        <v>591</v>
      </c>
      <c r="D2079" s="100" t="str">
        <f t="shared" si="1"/>
        <v/>
      </c>
      <c r="E2079" s="100" t="str">
        <f t="shared" si="2"/>
        <v/>
      </c>
      <c r="F2079" s="100" t="str">
        <f t="shared" si="3"/>
        <v/>
      </c>
      <c r="G2079" s="151"/>
      <c r="H2079" s="156"/>
      <c r="I2079" s="157"/>
      <c r="J2079" s="158"/>
      <c r="L2079" s="94"/>
      <c r="M2079" s="159"/>
      <c r="N2079" s="94"/>
    </row>
    <row r="2080">
      <c r="A2080" s="107">
        <v>203092.0</v>
      </c>
      <c r="B2080" s="108" t="s">
        <v>192</v>
      </c>
      <c r="C2080" s="108" t="s">
        <v>591</v>
      </c>
      <c r="D2080" s="100" t="str">
        <f t="shared" si="1"/>
        <v/>
      </c>
      <c r="E2080" s="100" t="str">
        <f t="shared" si="2"/>
        <v/>
      </c>
      <c r="F2080" s="100" t="str">
        <f t="shared" si="3"/>
        <v/>
      </c>
      <c r="G2080" s="151"/>
      <c r="H2080" s="160"/>
      <c r="I2080" s="157"/>
      <c r="J2080" s="161"/>
      <c r="L2080" s="94"/>
      <c r="M2080" s="159"/>
      <c r="N2080" s="94"/>
    </row>
    <row r="2081">
      <c r="A2081" s="107">
        <v>203092.0</v>
      </c>
      <c r="B2081" s="108" t="s">
        <v>193</v>
      </c>
      <c r="C2081" s="108" t="s">
        <v>591</v>
      </c>
      <c r="D2081" s="100" t="str">
        <f t="shared" si="1"/>
        <v/>
      </c>
      <c r="E2081" s="100" t="str">
        <f t="shared" si="2"/>
        <v/>
      </c>
      <c r="F2081" s="100" t="str">
        <f t="shared" si="3"/>
        <v/>
      </c>
      <c r="G2081" s="151"/>
      <c r="H2081" s="156"/>
      <c r="I2081" s="157"/>
      <c r="J2081" s="158"/>
      <c r="L2081" s="94"/>
      <c r="M2081" s="159"/>
      <c r="N2081" s="94"/>
    </row>
    <row r="2082">
      <c r="A2082" s="107">
        <v>203093.0</v>
      </c>
      <c r="B2082" s="108" t="s">
        <v>85</v>
      </c>
      <c r="C2082" s="108" t="s">
        <v>592</v>
      </c>
      <c r="D2082" s="100" t="str">
        <f t="shared" si="1"/>
        <v/>
      </c>
      <c r="E2082" s="100" t="str">
        <f t="shared" si="2"/>
        <v/>
      </c>
      <c r="F2082" s="100" t="str">
        <f t="shared" si="3"/>
        <v/>
      </c>
      <c r="G2082" s="151"/>
      <c r="H2082" s="160"/>
      <c r="I2082" s="157"/>
      <c r="J2082" s="161"/>
      <c r="L2082" s="94"/>
      <c r="M2082" s="159"/>
      <c r="N2082" s="94"/>
    </row>
    <row r="2083">
      <c r="A2083" s="107">
        <v>203093.0</v>
      </c>
      <c r="B2083" s="108" t="s">
        <v>90</v>
      </c>
      <c r="C2083" s="108" t="s">
        <v>592</v>
      </c>
      <c r="D2083" s="100" t="str">
        <f t="shared" si="1"/>
        <v/>
      </c>
      <c r="E2083" s="100" t="str">
        <f t="shared" si="2"/>
        <v/>
      </c>
      <c r="F2083" s="100" t="str">
        <f t="shared" si="3"/>
        <v/>
      </c>
      <c r="G2083" s="151"/>
      <c r="H2083" s="156"/>
      <c r="I2083" s="157"/>
      <c r="J2083" s="158"/>
      <c r="L2083" s="94"/>
      <c r="M2083" s="159"/>
      <c r="N2083" s="94"/>
    </row>
    <row r="2084">
      <c r="A2084" s="107">
        <v>203093.0</v>
      </c>
      <c r="B2084" s="108" t="s">
        <v>92</v>
      </c>
      <c r="C2084" s="108" t="s">
        <v>592</v>
      </c>
      <c r="D2084" s="100" t="str">
        <f t="shared" si="1"/>
        <v/>
      </c>
      <c r="E2084" s="100" t="str">
        <f t="shared" si="2"/>
        <v/>
      </c>
      <c r="F2084" s="100" t="str">
        <f t="shared" si="3"/>
        <v/>
      </c>
      <c r="G2084" s="151"/>
      <c r="H2084" s="160"/>
      <c r="I2084" s="157"/>
      <c r="J2084" s="161"/>
      <c r="L2084" s="94"/>
      <c r="M2084" s="159"/>
      <c r="N2084" s="94"/>
    </row>
    <row r="2085">
      <c r="A2085" s="107">
        <v>203093.0</v>
      </c>
      <c r="B2085" s="108" t="s">
        <v>190</v>
      </c>
      <c r="C2085" s="108" t="s">
        <v>592</v>
      </c>
      <c r="D2085" s="100" t="str">
        <f t="shared" si="1"/>
        <v/>
      </c>
      <c r="E2085" s="100" t="str">
        <f t="shared" si="2"/>
        <v/>
      </c>
      <c r="F2085" s="100" t="str">
        <f t="shared" si="3"/>
        <v/>
      </c>
      <c r="G2085" s="151"/>
      <c r="H2085" s="156"/>
      <c r="I2085" s="157"/>
      <c r="J2085" s="158"/>
      <c r="L2085" s="94"/>
      <c r="M2085" s="159"/>
      <c r="N2085" s="94"/>
    </row>
    <row r="2086">
      <c r="A2086" s="107">
        <v>203093.0</v>
      </c>
      <c r="B2086" s="108" t="s">
        <v>192</v>
      </c>
      <c r="C2086" s="108" t="s">
        <v>592</v>
      </c>
      <c r="D2086" s="100" t="str">
        <f t="shared" si="1"/>
        <v/>
      </c>
      <c r="E2086" s="100" t="str">
        <f t="shared" si="2"/>
        <v/>
      </c>
      <c r="F2086" s="100" t="str">
        <f t="shared" si="3"/>
        <v/>
      </c>
      <c r="G2086" s="151"/>
      <c r="H2086" s="160"/>
      <c r="I2086" s="157"/>
      <c r="J2086" s="161"/>
      <c r="L2086" s="94"/>
      <c r="M2086" s="159"/>
      <c r="N2086" s="94"/>
    </row>
    <row r="2087">
      <c r="A2087" s="107">
        <v>203094.0</v>
      </c>
      <c r="B2087" s="108" t="s">
        <v>85</v>
      </c>
      <c r="C2087" s="108" t="s">
        <v>593</v>
      </c>
      <c r="D2087" s="100" t="str">
        <f t="shared" si="1"/>
        <v/>
      </c>
      <c r="E2087" s="100" t="str">
        <f t="shared" si="2"/>
        <v/>
      </c>
      <c r="F2087" s="100" t="str">
        <f t="shared" si="3"/>
        <v/>
      </c>
      <c r="G2087" s="151"/>
      <c r="H2087" s="156"/>
      <c r="I2087" s="157"/>
      <c r="J2087" s="158"/>
      <c r="L2087" s="94"/>
      <c r="M2087" s="159"/>
      <c r="N2087" s="94"/>
    </row>
    <row r="2088">
      <c r="A2088" s="107">
        <v>203094.0</v>
      </c>
      <c r="B2088" s="108" t="s">
        <v>90</v>
      </c>
      <c r="C2088" s="108" t="s">
        <v>593</v>
      </c>
      <c r="D2088" s="100" t="str">
        <f t="shared" si="1"/>
        <v/>
      </c>
      <c r="E2088" s="100" t="str">
        <f t="shared" si="2"/>
        <v/>
      </c>
      <c r="F2088" s="100" t="str">
        <f t="shared" si="3"/>
        <v/>
      </c>
      <c r="G2088" s="151"/>
      <c r="H2088" s="160"/>
      <c r="I2088" s="157"/>
      <c r="J2088" s="161"/>
      <c r="L2088" s="94"/>
      <c r="M2088" s="159"/>
      <c r="N2088" s="94"/>
    </row>
    <row r="2089">
      <c r="A2089" s="107">
        <v>203094.0</v>
      </c>
      <c r="B2089" s="108" t="s">
        <v>92</v>
      </c>
      <c r="C2089" s="108" t="s">
        <v>593</v>
      </c>
      <c r="D2089" s="100" t="str">
        <f t="shared" si="1"/>
        <v/>
      </c>
      <c r="E2089" s="100" t="str">
        <f t="shared" si="2"/>
        <v/>
      </c>
      <c r="F2089" s="100" t="str">
        <f t="shared" si="3"/>
        <v/>
      </c>
      <c r="G2089" s="151"/>
      <c r="H2089" s="156"/>
      <c r="I2089" s="162"/>
      <c r="J2089" s="158"/>
      <c r="L2089" s="94"/>
      <c r="M2089" s="159"/>
      <c r="N2089" s="94"/>
    </row>
    <row r="2090">
      <c r="A2090" s="107">
        <v>203094.0</v>
      </c>
      <c r="B2090" s="108" t="s">
        <v>190</v>
      </c>
      <c r="C2090" s="108" t="s">
        <v>593</v>
      </c>
      <c r="D2090" s="100" t="str">
        <f t="shared" si="1"/>
        <v/>
      </c>
      <c r="E2090" s="100" t="str">
        <f t="shared" si="2"/>
        <v/>
      </c>
      <c r="F2090" s="100" t="str">
        <f t="shared" si="3"/>
        <v/>
      </c>
      <c r="G2090" s="151"/>
      <c r="H2090" s="160"/>
      <c r="I2090" s="157"/>
      <c r="J2090" s="161"/>
      <c r="L2090" s="94"/>
      <c r="M2090" s="159"/>
      <c r="N2090" s="94"/>
    </row>
    <row r="2091">
      <c r="A2091" s="107">
        <v>203095.0</v>
      </c>
      <c r="B2091" s="108" t="s">
        <v>85</v>
      </c>
      <c r="C2091" s="108" t="s">
        <v>594</v>
      </c>
      <c r="D2091" s="100" t="str">
        <f t="shared" si="1"/>
        <v/>
      </c>
      <c r="E2091" s="100" t="str">
        <f t="shared" si="2"/>
        <v/>
      </c>
      <c r="F2091" s="100" t="str">
        <f t="shared" si="3"/>
        <v/>
      </c>
      <c r="G2091" s="151"/>
      <c r="H2091" s="156"/>
      <c r="I2091" s="157"/>
      <c r="J2091" s="158"/>
      <c r="L2091" s="94"/>
      <c r="M2091" s="159"/>
      <c r="N2091" s="94"/>
    </row>
    <row r="2092">
      <c r="A2092" s="107">
        <v>203095.0</v>
      </c>
      <c r="B2092" s="108" t="s">
        <v>90</v>
      </c>
      <c r="C2092" s="108" t="s">
        <v>594</v>
      </c>
      <c r="D2092" s="100" t="str">
        <f t="shared" si="1"/>
        <v/>
      </c>
      <c r="E2092" s="100" t="str">
        <f t="shared" si="2"/>
        <v/>
      </c>
      <c r="F2092" s="100" t="str">
        <f t="shared" si="3"/>
        <v/>
      </c>
      <c r="G2092" s="151"/>
      <c r="H2092" s="160"/>
      <c r="I2092" s="157"/>
      <c r="J2092" s="161"/>
      <c r="L2092" s="94"/>
      <c r="M2092" s="159"/>
      <c r="N2092" s="94"/>
    </row>
    <row r="2093">
      <c r="A2093" s="107">
        <v>203095.0</v>
      </c>
      <c r="B2093" s="108" t="s">
        <v>92</v>
      </c>
      <c r="C2093" s="108" t="s">
        <v>594</v>
      </c>
      <c r="D2093" s="100" t="str">
        <f t="shared" si="1"/>
        <v/>
      </c>
      <c r="E2093" s="100" t="str">
        <f t="shared" si="2"/>
        <v/>
      </c>
      <c r="F2093" s="100" t="str">
        <f t="shared" si="3"/>
        <v/>
      </c>
      <c r="G2093" s="151"/>
      <c r="H2093" s="156"/>
      <c r="I2093" s="157"/>
      <c r="J2093" s="158"/>
      <c r="L2093" s="94"/>
      <c r="M2093" s="159"/>
      <c r="N2093" s="94"/>
    </row>
    <row r="2094">
      <c r="A2094" s="107">
        <v>203095.0</v>
      </c>
      <c r="B2094" s="108" t="s">
        <v>190</v>
      </c>
      <c r="C2094" s="108" t="s">
        <v>594</v>
      </c>
      <c r="D2094" s="100" t="str">
        <f t="shared" si="1"/>
        <v/>
      </c>
      <c r="E2094" s="100" t="str">
        <f t="shared" si="2"/>
        <v/>
      </c>
      <c r="F2094" s="100" t="str">
        <f t="shared" si="3"/>
        <v/>
      </c>
      <c r="G2094" s="151"/>
      <c r="H2094" s="160"/>
      <c r="I2094" s="157"/>
      <c r="J2094" s="161"/>
      <c r="L2094" s="94"/>
      <c r="M2094" s="159"/>
      <c r="N2094" s="94"/>
    </row>
    <row r="2095">
      <c r="A2095" s="107">
        <v>203095.0</v>
      </c>
      <c r="B2095" s="108" t="s">
        <v>191</v>
      </c>
      <c r="C2095" s="108" t="s">
        <v>594</v>
      </c>
      <c r="D2095" s="100" t="str">
        <f t="shared" si="1"/>
        <v/>
      </c>
      <c r="E2095" s="100" t="str">
        <f t="shared" si="2"/>
        <v/>
      </c>
      <c r="F2095" s="100" t="str">
        <f t="shared" si="3"/>
        <v/>
      </c>
      <c r="G2095" s="151"/>
      <c r="H2095" s="156"/>
      <c r="I2095" s="157"/>
      <c r="J2095" s="158"/>
      <c r="L2095" s="94"/>
      <c r="M2095" s="159"/>
      <c r="N2095" s="94"/>
    </row>
    <row r="2096">
      <c r="A2096" s="107">
        <v>203095.0</v>
      </c>
      <c r="B2096" s="108" t="s">
        <v>192</v>
      </c>
      <c r="C2096" s="108" t="s">
        <v>594</v>
      </c>
      <c r="D2096" s="100" t="str">
        <f t="shared" si="1"/>
        <v/>
      </c>
      <c r="E2096" s="100" t="str">
        <f t="shared" si="2"/>
        <v/>
      </c>
      <c r="F2096" s="100" t="str">
        <f t="shared" si="3"/>
        <v/>
      </c>
      <c r="G2096" s="151"/>
      <c r="H2096" s="160"/>
      <c r="I2096" s="157"/>
      <c r="J2096" s="161"/>
      <c r="L2096" s="94"/>
      <c r="M2096" s="159"/>
      <c r="N2096" s="94"/>
    </row>
    <row r="2097">
      <c r="A2097" s="107">
        <v>203095.0</v>
      </c>
      <c r="B2097" s="108" t="s">
        <v>193</v>
      </c>
      <c r="C2097" s="108" t="s">
        <v>594</v>
      </c>
      <c r="D2097" s="100" t="str">
        <f t="shared" si="1"/>
        <v/>
      </c>
      <c r="E2097" s="100" t="str">
        <f t="shared" si="2"/>
        <v/>
      </c>
      <c r="F2097" s="100" t="str">
        <f t="shared" si="3"/>
        <v/>
      </c>
      <c r="G2097" s="151"/>
      <c r="H2097" s="156"/>
      <c r="I2097" s="157"/>
      <c r="J2097" s="158"/>
      <c r="L2097" s="94"/>
      <c r="M2097" s="159"/>
      <c r="N2097" s="94"/>
    </row>
    <row r="2098">
      <c r="A2098" s="107">
        <v>203095.0</v>
      </c>
      <c r="B2098" s="108" t="s">
        <v>243</v>
      </c>
      <c r="C2098" s="108" t="s">
        <v>594</v>
      </c>
      <c r="D2098" s="100" t="str">
        <f t="shared" si="1"/>
        <v/>
      </c>
      <c r="E2098" s="100" t="str">
        <f t="shared" si="2"/>
        <v/>
      </c>
      <c r="F2098" s="100" t="str">
        <f t="shared" si="3"/>
        <v/>
      </c>
      <c r="G2098" s="151"/>
      <c r="H2098" s="160"/>
      <c r="I2098" s="157"/>
      <c r="J2098" s="161"/>
      <c r="L2098" s="94"/>
      <c r="M2098" s="159"/>
      <c r="N2098" s="94"/>
    </row>
    <row r="2099">
      <c r="A2099" s="107">
        <v>203095.0</v>
      </c>
      <c r="B2099" s="108" t="s">
        <v>215</v>
      </c>
      <c r="C2099" s="108" t="s">
        <v>594</v>
      </c>
      <c r="D2099" s="100" t="str">
        <f t="shared" si="1"/>
        <v/>
      </c>
      <c r="E2099" s="100" t="str">
        <f t="shared" si="2"/>
        <v/>
      </c>
      <c r="F2099" s="100" t="str">
        <f t="shared" si="3"/>
        <v/>
      </c>
      <c r="G2099" s="151"/>
      <c r="H2099" s="156"/>
      <c r="I2099" s="157"/>
      <c r="J2099" s="158"/>
      <c r="L2099" s="94"/>
      <c r="M2099" s="159"/>
      <c r="N2099" s="94"/>
    </row>
    <row r="2100">
      <c r="A2100" s="107">
        <v>203095.0</v>
      </c>
      <c r="B2100" s="108" t="s">
        <v>244</v>
      </c>
      <c r="C2100" s="108" t="s">
        <v>594</v>
      </c>
      <c r="D2100" s="100" t="str">
        <f t="shared" si="1"/>
        <v/>
      </c>
      <c r="E2100" s="100" t="str">
        <f t="shared" si="2"/>
        <v/>
      </c>
      <c r="F2100" s="100" t="str">
        <f t="shared" si="3"/>
        <v/>
      </c>
      <c r="G2100" s="151"/>
      <c r="H2100" s="160"/>
      <c r="I2100" s="157"/>
      <c r="J2100" s="161"/>
      <c r="L2100" s="94"/>
      <c r="M2100" s="159"/>
      <c r="N2100" s="94"/>
    </row>
    <row r="2101">
      <c r="A2101" s="107">
        <v>203095.0</v>
      </c>
      <c r="B2101" s="108" t="s">
        <v>245</v>
      </c>
      <c r="C2101" s="108" t="s">
        <v>594</v>
      </c>
      <c r="D2101" s="100" t="str">
        <f t="shared" si="1"/>
        <v/>
      </c>
      <c r="E2101" s="100" t="str">
        <f t="shared" si="2"/>
        <v/>
      </c>
      <c r="F2101" s="100" t="str">
        <f t="shared" si="3"/>
        <v/>
      </c>
      <c r="G2101" s="151"/>
      <c r="H2101" s="156"/>
      <c r="I2101" s="157"/>
      <c r="J2101" s="158"/>
      <c r="L2101" s="94"/>
      <c r="M2101" s="159"/>
      <c r="N2101" s="94"/>
    </row>
    <row r="2102">
      <c r="A2102" s="107">
        <v>203096.0</v>
      </c>
      <c r="B2102" s="108" t="s">
        <v>85</v>
      </c>
      <c r="C2102" s="108" t="s">
        <v>595</v>
      </c>
      <c r="D2102" s="100" t="str">
        <f t="shared" si="1"/>
        <v/>
      </c>
      <c r="E2102" s="100" t="str">
        <f t="shared" si="2"/>
        <v/>
      </c>
      <c r="F2102" s="100" t="str">
        <f t="shared" si="3"/>
        <v/>
      </c>
      <c r="G2102" s="151"/>
      <c r="H2102" s="160"/>
      <c r="I2102" s="157"/>
      <c r="J2102" s="161"/>
      <c r="L2102" s="94"/>
      <c r="M2102" s="159"/>
      <c r="N2102" s="94"/>
    </row>
    <row r="2103">
      <c r="A2103" s="107">
        <v>203096.0</v>
      </c>
      <c r="B2103" s="108" t="s">
        <v>90</v>
      </c>
      <c r="C2103" s="108" t="s">
        <v>595</v>
      </c>
      <c r="D2103" s="100" t="str">
        <f t="shared" si="1"/>
        <v/>
      </c>
      <c r="E2103" s="100" t="str">
        <f t="shared" si="2"/>
        <v/>
      </c>
      <c r="F2103" s="100" t="str">
        <f t="shared" si="3"/>
        <v/>
      </c>
      <c r="G2103" s="151"/>
      <c r="H2103" s="156"/>
      <c r="I2103" s="157"/>
      <c r="J2103" s="158"/>
      <c r="L2103" s="94"/>
      <c r="M2103" s="159"/>
      <c r="N2103" s="94"/>
    </row>
    <row r="2104">
      <c r="A2104" s="107">
        <v>203096.0</v>
      </c>
      <c r="B2104" s="108" t="s">
        <v>92</v>
      </c>
      <c r="C2104" s="108" t="s">
        <v>595</v>
      </c>
      <c r="D2104" s="100" t="str">
        <f t="shared" si="1"/>
        <v/>
      </c>
      <c r="E2104" s="100" t="str">
        <f t="shared" si="2"/>
        <v/>
      </c>
      <c r="F2104" s="100" t="str">
        <f t="shared" si="3"/>
        <v/>
      </c>
      <c r="G2104" s="151"/>
      <c r="H2104" s="160"/>
      <c r="I2104" s="157"/>
      <c r="J2104" s="161"/>
      <c r="L2104" s="94"/>
      <c r="M2104" s="159"/>
      <c r="N2104" s="94"/>
    </row>
    <row r="2105">
      <c r="A2105" s="107">
        <v>203096.0</v>
      </c>
      <c r="B2105" s="108" t="s">
        <v>190</v>
      </c>
      <c r="C2105" s="108" t="s">
        <v>595</v>
      </c>
      <c r="D2105" s="100" t="str">
        <f t="shared" si="1"/>
        <v/>
      </c>
      <c r="E2105" s="100" t="str">
        <f t="shared" si="2"/>
        <v/>
      </c>
      <c r="F2105" s="100" t="str">
        <f t="shared" si="3"/>
        <v/>
      </c>
      <c r="G2105" s="151"/>
      <c r="H2105" s="156"/>
      <c r="I2105" s="157"/>
      <c r="J2105" s="158"/>
      <c r="L2105" s="94"/>
      <c r="M2105" s="159"/>
      <c r="N2105" s="94"/>
    </row>
    <row r="2106">
      <c r="A2106" s="107">
        <v>203098.0</v>
      </c>
      <c r="B2106" s="108" t="s">
        <v>85</v>
      </c>
      <c r="C2106" s="108" t="s">
        <v>596</v>
      </c>
      <c r="D2106" s="100" t="str">
        <f t="shared" si="1"/>
        <v/>
      </c>
      <c r="E2106" s="100" t="str">
        <f t="shared" si="2"/>
        <v/>
      </c>
      <c r="F2106" s="100" t="str">
        <f t="shared" si="3"/>
        <v/>
      </c>
      <c r="G2106" s="151"/>
      <c r="H2106" s="160"/>
      <c r="I2106" s="157"/>
      <c r="J2106" s="161"/>
      <c r="L2106" s="94"/>
      <c r="M2106" s="159"/>
      <c r="N2106" s="94"/>
    </row>
    <row r="2107">
      <c r="A2107" s="107">
        <v>203098.0</v>
      </c>
      <c r="B2107" s="108" t="s">
        <v>90</v>
      </c>
      <c r="C2107" s="108" t="s">
        <v>596</v>
      </c>
      <c r="D2107" s="100" t="str">
        <f t="shared" si="1"/>
        <v/>
      </c>
      <c r="E2107" s="100" t="str">
        <f t="shared" si="2"/>
        <v/>
      </c>
      <c r="F2107" s="100" t="str">
        <f t="shared" si="3"/>
        <v/>
      </c>
      <c r="G2107" s="151"/>
      <c r="H2107" s="156"/>
      <c r="I2107" s="157"/>
      <c r="J2107" s="158"/>
      <c r="L2107" s="94"/>
      <c r="M2107" s="159"/>
      <c r="N2107" s="94"/>
    </row>
    <row r="2108">
      <c r="A2108" s="107">
        <v>203098.0</v>
      </c>
      <c r="B2108" s="108" t="s">
        <v>92</v>
      </c>
      <c r="C2108" s="108" t="s">
        <v>596</v>
      </c>
      <c r="D2108" s="100" t="str">
        <f t="shared" si="1"/>
        <v/>
      </c>
      <c r="E2108" s="100" t="str">
        <f t="shared" si="2"/>
        <v/>
      </c>
      <c r="F2108" s="100" t="str">
        <f t="shared" si="3"/>
        <v/>
      </c>
      <c r="G2108" s="151"/>
      <c r="H2108" s="160"/>
      <c r="I2108" s="157"/>
      <c r="J2108" s="161"/>
      <c r="L2108" s="94"/>
      <c r="M2108" s="159"/>
      <c r="N2108" s="94"/>
    </row>
    <row r="2109">
      <c r="A2109" s="107">
        <v>203098.0</v>
      </c>
      <c r="B2109" s="108" t="s">
        <v>190</v>
      </c>
      <c r="C2109" s="108" t="s">
        <v>596</v>
      </c>
      <c r="D2109" s="100" t="str">
        <f t="shared" si="1"/>
        <v/>
      </c>
      <c r="E2109" s="100" t="str">
        <f t="shared" si="2"/>
        <v/>
      </c>
      <c r="F2109" s="100" t="str">
        <f t="shared" si="3"/>
        <v/>
      </c>
      <c r="G2109" s="151"/>
      <c r="H2109" s="156"/>
      <c r="I2109" s="157"/>
      <c r="J2109" s="158"/>
      <c r="L2109" s="94"/>
      <c r="M2109" s="159"/>
      <c r="N2109" s="94"/>
    </row>
    <row r="2110">
      <c r="A2110" s="107">
        <v>203098.0</v>
      </c>
      <c r="B2110" s="108" t="s">
        <v>192</v>
      </c>
      <c r="C2110" s="108" t="s">
        <v>596</v>
      </c>
      <c r="D2110" s="100" t="str">
        <f t="shared" si="1"/>
        <v/>
      </c>
      <c r="E2110" s="100" t="str">
        <f t="shared" si="2"/>
        <v/>
      </c>
      <c r="F2110" s="100" t="str">
        <f t="shared" si="3"/>
        <v/>
      </c>
      <c r="G2110" s="151"/>
      <c r="H2110" s="160"/>
      <c r="I2110" s="157"/>
      <c r="J2110" s="161"/>
      <c r="L2110" s="94"/>
      <c r="M2110" s="159"/>
      <c r="N2110" s="94"/>
    </row>
    <row r="2111">
      <c r="A2111" s="107">
        <v>203099.0</v>
      </c>
      <c r="B2111" s="108" t="s">
        <v>85</v>
      </c>
      <c r="C2111" s="108" t="s">
        <v>597</v>
      </c>
      <c r="D2111" s="100" t="str">
        <f t="shared" si="1"/>
        <v/>
      </c>
      <c r="E2111" s="100" t="str">
        <f t="shared" si="2"/>
        <v/>
      </c>
      <c r="F2111" s="100" t="str">
        <f t="shared" si="3"/>
        <v/>
      </c>
      <c r="G2111" s="151"/>
      <c r="H2111" s="156"/>
      <c r="I2111" s="157"/>
      <c r="J2111" s="158"/>
      <c r="L2111" s="94"/>
      <c r="M2111" s="159"/>
      <c r="N2111" s="94"/>
    </row>
    <row r="2112">
      <c r="A2112" s="107">
        <v>203099.0</v>
      </c>
      <c r="B2112" s="108" t="s">
        <v>90</v>
      </c>
      <c r="C2112" s="108" t="s">
        <v>597</v>
      </c>
      <c r="D2112" s="100" t="str">
        <f t="shared" si="1"/>
        <v/>
      </c>
      <c r="E2112" s="100" t="str">
        <f t="shared" si="2"/>
        <v/>
      </c>
      <c r="F2112" s="100" t="str">
        <f t="shared" si="3"/>
        <v/>
      </c>
      <c r="G2112" s="151"/>
      <c r="H2112" s="160"/>
      <c r="I2112" s="157"/>
      <c r="J2112" s="161"/>
      <c r="L2112" s="94"/>
      <c r="M2112" s="159"/>
      <c r="N2112" s="94"/>
    </row>
    <row r="2113">
      <c r="A2113" s="107">
        <v>203099.0</v>
      </c>
      <c r="B2113" s="108" t="s">
        <v>92</v>
      </c>
      <c r="C2113" s="108" t="s">
        <v>597</v>
      </c>
      <c r="D2113" s="100" t="str">
        <f t="shared" si="1"/>
        <v/>
      </c>
      <c r="E2113" s="100" t="str">
        <f t="shared" si="2"/>
        <v/>
      </c>
      <c r="F2113" s="100" t="str">
        <f t="shared" si="3"/>
        <v/>
      </c>
      <c r="G2113" s="151"/>
      <c r="H2113" s="156"/>
      <c r="I2113" s="157"/>
      <c r="J2113" s="158"/>
      <c r="L2113" s="94"/>
      <c r="M2113" s="159"/>
      <c r="N2113" s="94"/>
    </row>
    <row r="2114">
      <c r="A2114" s="107">
        <v>203100.0</v>
      </c>
      <c r="B2114" s="108" t="s">
        <v>85</v>
      </c>
      <c r="C2114" s="108" t="s">
        <v>598</v>
      </c>
      <c r="D2114" s="100" t="str">
        <f t="shared" si="1"/>
        <v/>
      </c>
      <c r="E2114" s="100" t="str">
        <f t="shared" si="2"/>
        <v/>
      </c>
      <c r="F2114" s="100" t="str">
        <f t="shared" si="3"/>
        <v/>
      </c>
      <c r="G2114" s="151"/>
      <c r="H2114" s="160"/>
      <c r="I2114" s="157"/>
      <c r="J2114" s="161"/>
      <c r="L2114" s="94"/>
      <c r="M2114" s="159"/>
      <c r="N2114" s="94"/>
    </row>
    <row r="2115">
      <c r="A2115" s="107">
        <v>203100.0</v>
      </c>
      <c r="B2115" s="108" t="s">
        <v>90</v>
      </c>
      <c r="C2115" s="108" t="s">
        <v>598</v>
      </c>
      <c r="D2115" s="100" t="str">
        <f t="shared" si="1"/>
        <v/>
      </c>
      <c r="E2115" s="100" t="str">
        <f t="shared" si="2"/>
        <v/>
      </c>
      <c r="F2115" s="100" t="str">
        <f t="shared" si="3"/>
        <v/>
      </c>
      <c r="G2115" s="151"/>
      <c r="H2115" s="156"/>
      <c r="I2115" s="157"/>
      <c r="J2115" s="158"/>
      <c r="L2115" s="94"/>
      <c r="M2115" s="159"/>
      <c r="N2115" s="94"/>
    </row>
    <row r="2116">
      <c r="A2116" s="107">
        <v>203100.0</v>
      </c>
      <c r="B2116" s="108" t="s">
        <v>92</v>
      </c>
      <c r="C2116" s="108" t="s">
        <v>598</v>
      </c>
      <c r="D2116" s="100" t="str">
        <f t="shared" si="1"/>
        <v/>
      </c>
      <c r="E2116" s="100" t="str">
        <f t="shared" si="2"/>
        <v/>
      </c>
      <c r="F2116" s="100" t="str">
        <f t="shared" si="3"/>
        <v/>
      </c>
      <c r="G2116" s="151"/>
      <c r="H2116" s="160"/>
      <c r="I2116" s="157"/>
      <c r="J2116" s="161"/>
      <c r="L2116" s="94"/>
      <c r="M2116" s="159"/>
      <c r="N2116" s="94"/>
    </row>
    <row r="2117">
      <c r="A2117" s="107">
        <v>203101.0</v>
      </c>
      <c r="B2117" s="108" t="s">
        <v>85</v>
      </c>
      <c r="C2117" s="108" t="s">
        <v>599</v>
      </c>
      <c r="D2117" s="100" t="str">
        <f t="shared" si="1"/>
        <v/>
      </c>
      <c r="E2117" s="100" t="str">
        <f t="shared" si="2"/>
        <v/>
      </c>
      <c r="F2117" s="100" t="str">
        <f t="shared" si="3"/>
        <v/>
      </c>
      <c r="G2117" s="151"/>
      <c r="H2117" s="156"/>
      <c r="I2117" s="157"/>
      <c r="J2117" s="158"/>
      <c r="L2117" s="94"/>
      <c r="M2117" s="159"/>
      <c r="N2117" s="94"/>
    </row>
    <row r="2118">
      <c r="A2118" s="107">
        <v>203101.0</v>
      </c>
      <c r="B2118" s="108" t="s">
        <v>90</v>
      </c>
      <c r="C2118" s="108" t="s">
        <v>599</v>
      </c>
      <c r="D2118" s="100" t="str">
        <f t="shared" si="1"/>
        <v/>
      </c>
      <c r="E2118" s="100" t="str">
        <f t="shared" si="2"/>
        <v/>
      </c>
      <c r="F2118" s="100" t="str">
        <f t="shared" si="3"/>
        <v/>
      </c>
      <c r="G2118" s="151"/>
      <c r="H2118" s="160"/>
      <c r="I2118" s="157"/>
      <c r="J2118" s="161"/>
      <c r="L2118" s="94"/>
      <c r="M2118" s="159"/>
      <c r="N2118" s="94"/>
    </row>
    <row r="2119">
      <c r="A2119" s="107">
        <v>203101.0</v>
      </c>
      <c r="B2119" s="108" t="s">
        <v>92</v>
      </c>
      <c r="C2119" s="108" t="s">
        <v>599</v>
      </c>
      <c r="D2119" s="100" t="str">
        <f t="shared" si="1"/>
        <v/>
      </c>
      <c r="E2119" s="100" t="str">
        <f t="shared" si="2"/>
        <v/>
      </c>
      <c r="F2119" s="100" t="str">
        <f t="shared" si="3"/>
        <v/>
      </c>
      <c r="G2119" s="151"/>
      <c r="H2119" s="156"/>
      <c r="I2119" s="157"/>
      <c r="J2119" s="158"/>
      <c r="L2119" s="94"/>
      <c r="M2119" s="159"/>
      <c r="N2119" s="94"/>
    </row>
    <row r="2120">
      <c r="A2120" s="107">
        <v>203101.0</v>
      </c>
      <c r="B2120" s="108" t="s">
        <v>190</v>
      </c>
      <c r="C2120" s="108" t="s">
        <v>599</v>
      </c>
      <c r="D2120" s="100" t="str">
        <f t="shared" si="1"/>
        <v/>
      </c>
      <c r="E2120" s="100" t="str">
        <f t="shared" si="2"/>
        <v/>
      </c>
      <c r="F2120" s="100" t="str">
        <f t="shared" si="3"/>
        <v/>
      </c>
      <c r="G2120" s="151"/>
      <c r="H2120" s="160"/>
      <c r="I2120" s="157"/>
      <c r="J2120" s="161"/>
      <c r="L2120" s="94"/>
      <c r="M2120" s="159"/>
      <c r="N2120" s="94"/>
    </row>
    <row r="2121">
      <c r="A2121" s="107">
        <v>203101.0</v>
      </c>
      <c r="B2121" s="108" t="s">
        <v>191</v>
      </c>
      <c r="C2121" s="108" t="s">
        <v>599</v>
      </c>
      <c r="D2121" s="100" t="str">
        <f t="shared" si="1"/>
        <v/>
      </c>
      <c r="E2121" s="100" t="str">
        <f t="shared" si="2"/>
        <v/>
      </c>
      <c r="F2121" s="100" t="str">
        <f t="shared" si="3"/>
        <v/>
      </c>
      <c r="G2121" s="151"/>
      <c r="H2121" s="156"/>
      <c r="I2121" s="157"/>
      <c r="J2121" s="158"/>
      <c r="L2121" s="94"/>
      <c r="M2121" s="159"/>
      <c r="N2121" s="94"/>
    </row>
    <row r="2122">
      <c r="A2122" s="107">
        <v>203101.0</v>
      </c>
      <c r="B2122" s="108" t="s">
        <v>192</v>
      </c>
      <c r="C2122" s="108" t="s">
        <v>599</v>
      </c>
      <c r="D2122" s="100" t="str">
        <f t="shared" si="1"/>
        <v/>
      </c>
      <c r="E2122" s="100" t="str">
        <f t="shared" si="2"/>
        <v/>
      </c>
      <c r="F2122" s="100" t="str">
        <f t="shared" si="3"/>
        <v/>
      </c>
      <c r="G2122" s="151"/>
      <c r="H2122" s="160"/>
      <c r="I2122" s="157"/>
      <c r="J2122" s="161"/>
      <c r="L2122" s="94"/>
      <c r="M2122" s="159"/>
      <c r="N2122" s="94"/>
    </row>
    <row r="2123">
      <c r="A2123" s="107">
        <v>203102.0</v>
      </c>
      <c r="B2123" s="108" t="s">
        <v>85</v>
      </c>
      <c r="C2123" s="108" t="s">
        <v>600</v>
      </c>
      <c r="D2123" s="100" t="str">
        <f t="shared" si="1"/>
        <v/>
      </c>
      <c r="E2123" s="100" t="str">
        <f t="shared" si="2"/>
        <v/>
      </c>
      <c r="F2123" s="100" t="str">
        <f t="shared" si="3"/>
        <v/>
      </c>
      <c r="G2123" s="151"/>
      <c r="H2123" s="156"/>
      <c r="I2123" s="157"/>
      <c r="J2123" s="158"/>
      <c r="L2123" s="94"/>
      <c r="M2123" s="159"/>
      <c r="N2123" s="94"/>
    </row>
    <row r="2124">
      <c r="A2124" s="107">
        <v>203103.0</v>
      </c>
      <c r="B2124" s="108" t="s">
        <v>85</v>
      </c>
      <c r="C2124" s="115" t="s">
        <v>601</v>
      </c>
      <c r="D2124" s="100" t="str">
        <f t="shared" si="1"/>
        <v/>
      </c>
      <c r="E2124" s="100" t="str">
        <f t="shared" si="2"/>
        <v/>
      </c>
      <c r="F2124" s="100" t="str">
        <f t="shared" si="3"/>
        <v/>
      </c>
      <c r="G2124" s="151"/>
      <c r="H2124" s="160"/>
      <c r="I2124" s="157"/>
      <c r="J2124" s="161"/>
      <c r="L2124" s="94"/>
      <c r="M2124" s="159"/>
      <c r="N2124" s="94"/>
    </row>
    <row r="2125">
      <c r="A2125" s="107">
        <v>203103.0</v>
      </c>
      <c r="B2125" s="108" t="s">
        <v>90</v>
      </c>
      <c r="C2125" s="115" t="s">
        <v>601</v>
      </c>
      <c r="D2125" s="100" t="str">
        <f t="shared" si="1"/>
        <v/>
      </c>
      <c r="E2125" s="100" t="str">
        <f t="shared" si="2"/>
        <v/>
      </c>
      <c r="F2125" s="100" t="str">
        <f t="shared" si="3"/>
        <v/>
      </c>
      <c r="G2125" s="151"/>
      <c r="H2125" s="156"/>
      <c r="I2125" s="157"/>
      <c r="J2125" s="158"/>
      <c r="L2125" s="94"/>
      <c r="M2125" s="159"/>
      <c r="N2125" s="94"/>
    </row>
    <row r="2126">
      <c r="A2126" s="107">
        <v>203104.0</v>
      </c>
      <c r="B2126" s="108" t="s">
        <v>85</v>
      </c>
      <c r="C2126" s="108" t="s">
        <v>602</v>
      </c>
      <c r="D2126" s="100" t="str">
        <f t="shared" si="1"/>
        <v/>
      </c>
      <c r="E2126" s="100" t="str">
        <f t="shared" si="2"/>
        <v/>
      </c>
      <c r="F2126" s="100" t="str">
        <f t="shared" si="3"/>
        <v/>
      </c>
      <c r="G2126" s="151"/>
      <c r="H2126" s="160"/>
      <c r="I2126" s="157"/>
      <c r="J2126" s="161"/>
      <c r="L2126" s="94"/>
      <c r="M2126" s="159"/>
      <c r="N2126" s="94"/>
    </row>
    <row r="2127">
      <c r="A2127" s="107">
        <v>203104.0</v>
      </c>
      <c r="B2127" s="108" t="s">
        <v>191</v>
      </c>
      <c r="C2127" s="108" t="s">
        <v>602</v>
      </c>
      <c r="D2127" s="100" t="str">
        <f t="shared" si="1"/>
        <v/>
      </c>
      <c r="E2127" s="100" t="str">
        <f t="shared" si="2"/>
        <v/>
      </c>
      <c r="F2127" s="100" t="str">
        <f t="shared" si="3"/>
        <v/>
      </c>
      <c r="G2127" s="151"/>
      <c r="H2127" s="156"/>
      <c r="I2127" s="157"/>
      <c r="J2127" s="158"/>
      <c r="L2127" s="94"/>
      <c r="M2127" s="159"/>
      <c r="N2127" s="94"/>
    </row>
    <row r="2128">
      <c r="A2128" s="107">
        <v>203105.0</v>
      </c>
      <c r="B2128" s="108" t="s">
        <v>90</v>
      </c>
      <c r="C2128" s="108" t="s">
        <v>603</v>
      </c>
      <c r="D2128" s="100" t="str">
        <f t="shared" si="1"/>
        <v/>
      </c>
      <c r="E2128" s="100" t="str">
        <f t="shared" si="2"/>
        <v/>
      </c>
      <c r="F2128" s="100" t="str">
        <f t="shared" si="3"/>
        <v/>
      </c>
      <c r="G2128" s="151"/>
      <c r="H2128" s="160"/>
      <c r="I2128" s="157"/>
      <c r="J2128" s="161"/>
      <c r="L2128" s="94"/>
      <c r="M2128" s="159"/>
      <c r="N2128" s="94"/>
    </row>
    <row r="2129">
      <c r="A2129" s="107">
        <v>203105.0</v>
      </c>
      <c r="B2129" s="108" t="s">
        <v>92</v>
      </c>
      <c r="C2129" s="108" t="s">
        <v>603</v>
      </c>
      <c r="D2129" s="100" t="str">
        <f t="shared" si="1"/>
        <v/>
      </c>
      <c r="E2129" s="100" t="str">
        <f t="shared" si="2"/>
        <v/>
      </c>
      <c r="F2129" s="100" t="str">
        <f t="shared" si="3"/>
        <v/>
      </c>
      <c r="G2129" s="151"/>
      <c r="H2129" s="156"/>
      <c r="I2129" s="157"/>
      <c r="J2129" s="158"/>
      <c r="L2129" s="94"/>
      <c r="M2129" s="159"/>
      <c r="N2129" s="94"/>
    </row>
    <row r="2130">
      <c r="A2130" s="107">
        <v>203106.0</v>
      </c>
      <c r="B2130" s="108" t="s">
        <v>85</v>
      </c>
      <c r="C2130" s="108" t="s">
        <v>604</v>
      </c>
      <c r="D2130" s="100" t="str">
        <f t="shared" si="1"/>
        <v/>
      </c>
      <c r="E2130" s="100" t="str">
        <f t="shared" si="2"/>
        <v/>
      </c>
      <c r="F2130" s="100" t="str">
        <f t="shared" si="3"/>
        <v/>
      </c>
      <c r="G2130" s="151"/>
      <c r="H2130" s="160"/>
      <c r="I2130" s="157"/>
      <c r="J2130" s="161"/>
      <c r="L2130" s="94"/>
      <c r="M2130" s="159"/>
      <c r="N2130" s="94"/>
    </row>
    <row r="2131">
      <c r="A2131" s="107">
        <v>203106.0</v>
      </c>
      <c r="B2131" s="108" t="s">
        <v>90</v>
      </c>
      <c r="C2131" s="108" t="s">
        <v>604</v>
      </c>
      <c r="D2131" s="100" t="str">
        <f t="shared" si="1"/>
        <v/>
      </c>
      <c r="E2131" s="100" t="str">
        <f t="shared" si="2"/>
        <v/>
      </c>
      <c r="F2131" s="100" t="str">
        <f t="shared" si="3"/>
        <v/>
      </c>
      <c r="G2131" s="151"/>
      <c r="H2131" s="156"/>
      <c r="I2131" s="157"/>
      <c r="J2131" s="158"/>
      <c r="L2131" s="94"/>
      <c r="M2131" s="159"/>
      <c r="N2131" s="94"/>
    </row>
    <row r="2132">
      <c r="A2132" s="107">
        <v>203107.0</v>
      </c>
      <c r="B2132" s="108" t="s">
        <v>190</v>
      </c>
      <c r="C2132" s="108" t="s">
        <v>605</v>
      </c>
      <c r="D2132" s="100" t="str">
        <f t="shared" si="1"/>
        <v/>
      </c>
      <c r="E2132" s="100" t="str">
        <f t="shared" si="2"/>
        <v/>
      </c>
      <c r="F2132" s="100" t="str">
        <f t="shared" si="3"/>
        <v/>
      </c>
      <c r="G2132" s="151"/>
      <c r="H2132" s="160"/>
      <c r="I2132" s="157"/>
      <c r="J2132" s="161"/>
      <c r="L2132" s="94"/>
      <c r="M2132" s="159"/>
      <c r="N2132" s="94"/>
    </row>
    <row r="2133">
      <c r="A2133" s="107">
        <v>203107.0</v>
      </c>
      <c r="B2133" s="108" t="s">
        <v>191</v>
      </c>
      <c r="C2133" s="108" t="s">
        <v>605</v>
      </c>
      <c r="D2133" s="100" t="str">
        <f t="shared" si="1"/>
        <v/>
      </c>
      <c r="E2133" s="100" t="str">
        <f t="shared" si="2"/>
        <v/>
      </c>
      <c r="F2133" s="100" t="str">
        <f t="shared" si="3"/>
        <v/>
      </c>
      <c r="G2133" s="151"/>
      <c r="H2133" s="156"/>
      <c r="I2133" s="157"/>
      <c r="J2133" s="158"/>
      <c r="L2133" s="94"/>
      <c r="M2133" s="159"/>
      <c r="N2133" s="94"/>
    </row>
    <row r="2134">
      <c r="A2134" s="107">
        <v>203107.0</v>
      </c>
      <c r="B2134" s="108" t="s">
        <v>192</v>
      </c>
      <c r="C2134" s="108" t="s">
        <v>605</v>
      </c>
      <c r="D2134" s="100" t="str">
        <f t="shared" si="1"/>
        <v/>
      </c>
      <c r="E2134" s="100" t="str">
        <f t="shared" si="2"/>
        <v/>
      </c>
      <c r="F2134" s="100" t="str">
        <f t="shared" si="3"/>
        <v/>
      </c>
      <c r="G2134" s="151"/>
      <c r="H2134" s="160"/>
      <c r="I2134" s="157"/>
      <c r="J2134" s="161"/>
      <c r="L2134" s="94"/>
      <c r="M2134" s="159"/>
      <c r="N2134" s="94"/>
    </row>
    <row r="2135">
      <c r="A2135" s="107">
        <v>203107.0</v>
      </c>
      <c r="B2135" s="108" t="s">
        <v>193</v>
      </c>
      <c r="C2135" s="108" t="s">
        <v>605</v>
      </c>
      <c r="D2135" s="100" t="str">
        <f t="shared" si="1"/>
        <v/>
      </c>
      <c r="E2135" s="100" t="str">
        <f t="shared" si="2"/>
        <v/>
      </c>
      <c r="F2135" s="100" t="str">
        <f t="shared" si="3"/>
        <v/>
      </c>
      <c r="G2135" s="151"/>
      <c r="H2135" s="156"/>
      <c r="I2135" s="157"/>
      <c r="J2135" s="158"/>
      <c r="L2135" s="94"/>
      <c r="M2135" s="159"/>
      <c r="N2135" s="94"/>
    </row>
    <row r="2136">
      <c r="A2136" s="107">
        <v>203107.0</v>
      </c>
      <c r="B2136" s="108" t="s">
        <v>243</v>
      </c>
      <c r="C2136" s="108" t="s">
        <v>605</v>
      </c>
      <c r="D2136" s="100" t="str">
        <f t="shared" si="1"/>
        <v/>
      </c>
      <c r="E2136" s="100" t="str">
        <f t="shared" si="2"/>
        <v/>
      </c>
      <c r="F2136" s="100" t="str">
        <f t="shared" si="3"/>
        <v/>
      </c>
      <c r="G2136" s="151"/>
      <c r="H2136" s="160"/>
      <c r="I2136" s="157"/>
      <c r="J2136" s="161"/>
      <c r="L2136" s="94"/>
      <c r="M2136" s="159"/>
      <c r="N2136" s="94"/>
    </row>
    <row r="2137">
      <c r="A2137" s="107">
        <v>203107.0</v>
      </c>
      <c r="B2137" s="108" t="s">
        <v>215</v>
      </c>
      <c r="C2137" s="108" t="s">
        <v>605</v>
      </c>
      <c r="D2137" s="100" t="str">
        <f t="shared" si="1"/>
        <v/>
      </c>
      <c r="E2137" s="100" t="str">
        <f t="shared" si="2"/>
        <v/>
      </c>
      <c r="F2137" s="100" t="str">
        <f t="shared" si="3"/>
        <v/>
      </c>
      <c r="G2137" s="151"/>
      <c r="H2137" s="156"/>
      <c r="I2137" s="157"/>
      <c r="J2137" s="158"/>
      <c r="L2137" s="94"/>
      <c r="M2137" s="159"/>
      <c r="N2137" s="94"/>
    </row>
    <row r="2138">
      <c r="A2138" s="107">
        <v>203108.0</v>
      </c>
      <c r="B2138" s="108" t="s">
        <v>85</v>
      </c>
      <c r="C2138" s="108" t="s">
        <v>606</v>
      </c>
      <c r="D2138" s="100" t="str">
        <f t="shared" si="1"/>
        <v/>
      </c>
      <c r="E2138" s="100" t="str">
        <f t="shared" si="2"/>
        <v/>
      </c>
      <c r="F2138" s="100" t="str">
        <f t="shared" si="3"/>
        <v/>
      </c>
      <c r="G2138" s="151"/>
      <c r="H2138" s="160"/>
      <c r="I2138" s="157"/>
      <c r="J2138" s="161"/>
      <c r="L2138" s="94"/>
      <c r="M2138" s="159"/>
      <c r="N2138" s="94"/>
    </row>
    <row r="2139">
      <c r="A2139" s="107">
        <v>203108.0</v>
      </c>
      <c r="B2139" s="108" t="s">
        <v>90</v>
      </c>
      <c r="C2139" s="108" t="s">
        <v>606</v>
      </c>
      <c r="D2139" s="100" t="str">
        <f t="shared" si="1"/>
        <v/>
      </c>
      <c r="E2139" s="100" t="str">
        <f t="shared" si="2"/>
        <v/>
      </c>
      <c r="F2139" s="100" t="str">
        <f t="shared" si="3"/>
        <v/>
      </c>
      <c r="G2139" s="151"/>
      <c r="H2139" s="156"/>
      <c r="I2139" s="157"/>
      <c r="J2139" s="158"/>
      <c r="L2139" s="94"/>
      <c r="M2139" s="159"/>
      <c r="N2139" s="94"/>
    </row>
    <row r="2140">
      <c r="A2140" s="107">
        <v>203109.0</v>
      </c>
      <c r="B2140" s="108" t="s">
        <v>85</v>
      </c>
      <c r="C2140" s="108" t="s">
        <v>607</v>
      </c>
      <c r="D2140" s="100" t="str">
        <f t="shared" si="1"/>
        <v/>
      </c>
      <c r="E2140" s="100" t="str">
        <f t="shared" si="2"/>
        <v/>
      </c>
      <c r="F2140" s="100" t="str">
        <f t="shared" si="3"/>
        <v/>
      </c>
      <c r="G2140" s="151"/>
      <c r="H2140" s="160"/>
      <c r="I2140" s="157"/>
      <c r="J2140" s="161"/>
      <c r="L2140" s="94"/>
      <c r="M2140" s="159"/>
      <c r="N2140" s="94"/>
    </row>
    <row r="2141">
      <c r="A2141" s="107">
        <v>203109.0</v>
      </c>
      <c r="B2141" s="108" t="s">
        <v>90</v>
      </c>
      <c r="C2141" s="108" t="s">
        <v>607</v>
      </c>
      <c r="D2141" s="100" t="str">
        <f t="shared" si="1"/>
        <v/>
      </c>
      <c r="E2141" s="100" t="str">
        <f t="shared" si="2"/>
        <v/>
      </c>
      <c r="F2141" s="100" t="str">
        <f t="shared" si="3"/>
        <v/>
      </c>
      <c r="G2141" s="151"/>
      <c r="H2141" s="156"/>
      <c r="I2141" s="157"/>
      <c r="J2141" s="158"/>
      <c r="L2141" s="94"/>
      <c r="M2141" s="159"/>
      <c r="N2141" s="94"/>
    </row>
    <row r="2142">
      <c r="A2142" s="107">
        <v>203109.0</v>
      </c>
      <c r="B2142" s="108" t="s">
        <v>92</v>
      </c>
      <c r="C2142" s="108" t="s">
        <v>607</v>
      </c>
      <c r="D2142" s="100" t="str">
        <f t="shared" si="1"/>
        <v/>
      </c>
      <c r="E2142" s="100" t="str">
        <f t="shared" si="2"/>
        <v/>
      </c>
      <c r="F2142" s="100" t="str">
        <f t="shared" si="3"/>
        <v/>
      </c>
      <c r="G2142" s="151"/>
      <c r="H2142" s="160"/>
      <c r="I2142" s="157"/>
      <c r="J2142" s="161"/>
      <c r="L2142" s="94"/>
      <c r="M2142" s="159"/>
      <c r="N2142" s="94"/>
    </row>
    <row r="2143">
      <c r="A2143" s="107">
        <v>203109.0</v>
      </c>
      <c r="B2143" s="108" t="s">
        <v>190</v>
      </c>
      <c r="C2143" s="108" t="s">
        <v>607</v>
      </c>
      <c r="D2143" s="100" t="str">
        <f t="shared" si="1"/>
        <v/>
      </c>
      <c r="E2143" s="100" t="str">
        <f t="shared" si="2"/>
        <v/>
      </c>
      <c r="F2143" s="100" t="str">
        <f t="shared" si="3"/>
        <v/>
      </c>
      <c r="G2143" s="151"/>
      <c r="H2143" s="156"/>
      <c r="I2143" s="157"/>
      <c r="J2143" s="158"/>
      <c r="L2143" s="94"/>
      <c r="M2143" s="159"/>
      <c r="N2143" s="94"/>
    </row>
    <row r="2144">
      <c r="A2144" s="107">
        <v>203109.0</v>
      </c>
      <c r="B2144" s="108" t="s">
        <v>191</v>
      </c>
      <c r="C2144" s="108" t="s">
        <v>607</v>
      </c>
      <c r="D2144" s="100" t="str">
        <f t="shared" si="1"/>
        <v/>
      </c>
      <c r="E2144" s="100" t="str">
        <f t="shared" si="2"/>
        <v/>
      </c>
      <c r="F2144" s="100" t="str">
        <f t="shared" si="3"/>
        <v/>
      </c>
      <c r="G2144" s="151"/>
      <c r="H2144" s="160"/>
      <c r="I2144" s="157"/>
      <c r="J2144" s="161"/>
      <c r="L2144" s="94"/>
      <c r="M2144" s="159"/>
      <c r="N2144" s="94"/>
    </row>
    <row r="2145">
      <c r="A2145" s="107">
        <v>203109.0</v>
      </c>
      <c r="B2145" s="108" t="s">
        <v>192</v>
      </c>
      <c r="C2145" s="108" t="s">
        <v>607</v>
      </c>
      <c r="D2145" s="100" t="str">
        <f t="shared" si="1"/>
        <v/>
      </c>
      <c r="E2145" s="100" t="str">
        <f t="shared" si="2"/>
        <v/>
      </c>
      <c r="F2145" s="100" t="str">
        <f t="shared" si="3"/>
        <v/>
      </c>
      <c r="G2145" s="151"/>
      <c r="H2145" s="156"/>
      <c r="I2145" s="157"/>
      <c r="J2145" s="158"/>
      <c r="L2145" s="94"/>
      <c r="M2145" s="159"/>
      <c r="N2145" s="94"/>
    </row>
    <row r="2146">
      <c r="A2146" s="107">
        <v>203109.0</v>
      </c>
      <c r="B2146" s="108" t="s">
        <v>193</v>
      </c>
      <c r="C2146" s="108" t="s">
        <v>607</v>
      </c>
      <c r="D2146" s="100" t="str">
        <f t="shared" si="1"/>
        <v/>
      </c>
      <c r="E2146" s="100" t="str">
        <f t="shared" si="2"/>
        <v/>
      </c>
      <c r="F2146" s="100" t="str">
        <f t="shared" si="3"/>
        <v/>
      </c>
      <c r="G2146" s="151"/>
      <c r="H2146" s="160"/>
      <c r="I2146" s="157"/>
      <c r="J2146" s="161"/>
      <c r="L2146" s="94"/>
      <c r="M2146" s="159"/>
      <c r="N2146" s="94"/>
    </row>
    <row r="2147">
      <c r="A2147" s="107">
        <v>203109.0</v>
      </c>
      <c r="B2147" s="108" t="s">
        <v>243</v>
      </c>
      <c r="C2147" s="108" t="s">
        <v>607</v>
      </c>
      <c r="D2147" s="100" t="str">
        <f t="shared" si="1"/>
        <v/>
      </c>
      <c r="E2147" s="100" t="str">
        <f t="shared" si="2"/>
        <v/>
      </c>
      <c r="F2147" s="100" t="str">
        <f t="shared" si="3"/>
        <v/>
      </c>
      <c r="G2147" s="151"/>
      <c r="H2147" s="156"/>
      <c r="I2147" s="157"/>
      <c r="J2147" s="158"/>
      <c r="L2147" s="94"/>
      <c r="M2147" s="159"/>
      <c r="N2147" s="94"/>
    </row>
    <row r="2148">
      <c r="A2148" s="107">
        <v>203109.0</v>
      </c>
      <c r="B2148" s="108" t="s">
        <v>215</v>
      </c>
      <c r="C2148" s="108" t="s">
        <v>607</v>
      </c>
      <c r="D2148" s="100" t="str">
        <f t="shared" si="1"/>
        <v/>
      </c>
      <c r="E2148" s="100" t="str">
        <f t="shared" si="2"/>
        <v/>
      </c>
      <c r="F2148" s="100" t="str">
        <f t="shared" si="3"/>
        <v/>
      </c>
      <c r="G2148" s="151"/>
      <c r="H2148" s="160"/>
      <c r="I2148" s="157"/>
      <c r="J2148" s="161"/>
      <c r="L2148" s="94"/>
      <c r="M2148" s="159"/>
      <c r="N2148" s="94"/>
    </row>
    <row r="2149">
      <c r="A2149" s="107">
        <v>203109.0</v>
      </c>
      <c r="B2149" s="108" t="s">
        <v>244</v>
      </c>
      <c r="C2149" s="108" t="s">
        <v>607</v>
      </c>
      <c r="D2149" s="100" t="str">
        <f t="shared" si="1"/>
        <v/>
      </c>
      <c r="E2149" s="100" t="str">
        <f t="shared" si="2"/>
        <v/>
      </c>
      <c r="F2149" s="100" t="str">
        <f t="shared" si="3"/>
        <v/>
      </c>
      <c r="G2149" s="151"/>
      <c r="H2149" s="156"/>
      <c r="I2149" s="157"/>
      <c r="J2149" s="158"/>
      <c r="L2149" s="94"/>
      <c r="M2149" s="159"/>
      <c r="N2149" s="94"/>
    </row>
    <row r="2150">
      <c r="A2150" s="107">
        <v>203109.0</v>
      </c>
      <c r="B2150" s="108" t="s">
        <v>245</v>
      </c>
      <c r="C2150" s="108" t="s">
        <v>607</v>
      </c>
      <c r="D2150" s="100" t="str">
        <f t="shared" si="1"/>
        <v/>
      </c>
      <c r="E2150" s="100" t="str">
        <f t="shared" si="2"/>
        <v/>
      </c>
      <c r="F2150" s="100" t="str">
        <f t="shared" si="3"/>
        <v/>
      </c>
      <c r="G2150" s="151"/>
      <c r="H2150" s="160"/>
      <c r="I2150" s="157"/>
      <c r="J2150" s="161"/>
      <c r="L2150" s="94"/>
      <c r="M2150" s="159"/>
      <c r="N2150" s="94"/>
    </row>
    <row r="2151">
      <c r="A2151" s="107">
        <v>203109.0</v>
      </c>
      <c r="B2151" s="108" t="s">
        <v>246</v>
      </c>
      <c r="C2151" s="112" t="s">
        <v>607</v>
      </c>
      <c r="D2151" s="100" t="str">
        <f t="shared" si="1"/>
        <v/>
      </c>
      <c r="E2151" s="100" t="str">
        <f t="shared" si="2"/>
        <v/>
      </c>
      <c r="F2151" s="100" t="str">
        <f t="shared" si="3"/>
        <v/>
      </c>
      <c r="G2151" s="151"/>
      <c r="H2151" s="156"/>
      <c r="I2151" s="157"/>
      <c r="J2151" s="158"/>
      <c r="L2151" s="94"/>
      <c r="M2151" s="159"/>
      <c r="N2151" s="94"/>
    </row>
    <row r="2152">
      <c r="A2152" s="117">
        <v>203110.0</v>
      </c>
      <c r="B2152" s="118" t="s">
        <v>85</v>
      </c>
      <c r="C2152" s="118" t="s">
        <v>608</v>
      </c>
      <c r="D2152" s="100" t="str">
        <f t="shared" si="1"/>
        <v/>
      </c>
      <c r="E2152" s="100" t="str">
        <f t="shared" si="2"/>
        <v/>
      </c>
      <c r="F2152" s="100" t="str">
        <f t="shared" si="3"/>
        <v/>
      </c>
      <c r="G2152" s="151"/>
      <c r="H2152" s="160"/>
      <c r="I2152" s="157"/>
      <c r="J2152" s="161"/>
      <c r="L2152" s="94"/>
      <c r="M2152" s="159"/>
      <c r="N2152" s="94"/>
    </row>
    <row r="2153">
      <c r="A2153" s="107">
        <v>203110.0</v>
      </c>
      <c r="B2153" s="108" t="s">
        <v>90</v>
      </c>
      <c r="C2153" s="108" t="s">
        <v>608</v>
      </c>
      <c r="D2153" s="100" t="str">
        <f t="shared" si="1"/>
        <v/>
      </c>
      <c r="E2153" s="100" t="str">
        <f t="shared" si="2"/>
        <v/>
      </c>
      <c r="F2153" s="100" t="str">
        <f t="shared" si="3"/>
        <v/>
      </c>
      <c r="G2153" s="151"/>
      <c r="H2153" s="156"/>
      <c r="I2153" s="157"/>
      <c r="J2153" s="158"/>
      <c r="L2153" s="94"/>
      <c r="M2153" s="159"/>
      <c r="N2153" s="94"/>
    </row>
    <row r="2154">
      <c r="A2154" s="107">
        <v>203110.0</v>
      </c>
      <c r="B2154" s="108" t="s">
        <v>92</v>
      </c>
      <c r="C2154" s="108" t="s">
        <v>608</v>
      </c>
      <c r="D2154" s="100" t="str">
        <f t="shared" si="1"/>
        <v/>
      </c>
      <c r="E2154" s="100" t="str">
        <f t="shared" si="2"/>
        <v/>
      </c>
      <c r="F2154" s="100" t="str">
        <f t="shared" si="3"/>
        <v/>
      </c>
      <c r="G2154" s="151"/>
      <c r="H2154" s="160"/>
      <c r="I2154" s="157"/>
      <c r="J2154" s="161"/>
      <c r="L2154" s="94"/>
      <c r="M2154" s="159"/>
      <c r="N2154" s="94"/>
    </row>
    <row r="2155">
      <c r="A2155" s="107">
        <v>203110.0</v>
      </c>
      <c r="B2155" s="108" t="s">
        <v>190</v>
      </c>
      <c r="C2155" s="108" t="s">
        <v>608</v>
      </c>
      <c r="D2155" s="100" t="str">
        <f t="shared" si="1"/>
        <v/>
      </c>
      <c r="E2155" s="100" t="str">
        <f t="shared" si="2"/>
        <v/>
      </c>
      <c r="F2155" s="100" t="str">
        <f t="shared" si="3"/>
        <v/>
      </c>
      <c r="G2155" s="151"/>
      <c r="H2155" s="156"/>
      <c r="I2155" s="157"/>
      <c r="J2155" s="158"/>
      <c r="L2155" s="94"/>
      <c r="M2155" s="159"/>
      <c r="N2155" s="94"/>
    </row>
    <row r="2156">
      <c r="A2156" s="107">
        <v>203110.0</v>
      </c>
      <c r="B2156" s="108" t="s">
        <v>191</v>
      </c>
      <c r="C2156" s="108" t="s">
        <v>608</v>
      </c>
      <c r="D2156" s="100" t="str">
        <f t="shared" si="1"/>
        <v/>
      </c>
      <c r="E2156" s="100" t="str">
        <f t="shared" si="2"/>
        <v/>
      </c>
      <c r="F2156" s="100" t="str">
        <f t="shared" si="3"/>
        <v/>
      </c>
      <c r="G2156" s="151"/>
      <c r="H2156" s="160"/>
      <c r="I2156" s="157"/>
      <c r="J2156" s="161"/>
      <c r="L2156" s="94"/>
      <c r="M2156" s="159"/>
      <c r="N2156" s="94"/>
    </row>
    <row r="2157">
      <c r="A2157" s="107">
        <v>203110.0</v>
      </c>
      <c r="B2157" s="108" t="s">
        <v>192</v>
      </c>
      <c r="C2157" s="108" t="s">
        <v>608</v>
      </c>
      <c r="D2157" s="100" t="str">
        <f t="shared" si="1"/>
        <v/>
      </c>
      <c r="E2157" s="100" t="str">
        <f t="shared" si="2"/>
        <v/>
      </c>
      <c r="F2157" s="100" t="str">
        <f t="shared" si="3"/>
        <v/>
      </c>
      <c r="G2157" s="151"/>
      <c r="H2157" s="156"/>
      <c r="I2157" s="157"/>
      <c r="J2157" s="158"/>
      <c r="L2157" s="94"/>
      <c r="M2157" s="159"/>
      <c r="N2157" s="94"/>
    </row>
    <row r="2158">
      <c r="A2158" s="107">
        <v>203110.0</v>
      </c>
      <c r="B2158" s="108" t="s">
        <v>193</v>
      </c>
      <c r="C2158" s="108" t="s">
        <v>608</v>
      </c>
      <c r="D2158" s="100" t="str">
        <f t="shared" si="1"/>
        <v/>
      </c>
      <c r="E2158" s="100" t="str">
        <f t="shared" si="2"/>
        <v/>
      </c>
      <c r="F2158" s="100" t="str">
        <f t="shared" si="3"/>
        <v/>
      </c>
      <c r="G2158" s="151"/>
      <c r="H2158" s="160"/>
      <c r="I2158" s="157"/>
      <c r="J2158" s="161"/>
      <c r="L2158" s="94"/>
      <c r="M2158" s="159"/>
      <c r="N2158" s="94"/>
    </row>
    <row r="2159">
      <c r="A2159" s="107">
        <v>203110.0</v>
      </c>
      <c r="B2159" s="108" t="s">
        <v>243</v>
      </c>
      <c r="C2159" s="108" t="s">
        <v>608</v>
      </c>
      <c r="D2159" s="100" t="str">
        <f t="shared" si="1"/>
        <v/>
      </c>
      <c r="E2159" s="100" t="str">
        <f t="shared" si="2"/>
        <v/>
      </c>
      <c r="F2159" s="100" t="str">
        <f t="shared" si="3"/>
        <v/>
      </c>
      <c r="G2159" s="151"/>
      <c r="H2159" s="156"/>
      <c r="I2159" s="157"/>
      <c r="J2159" s="158"/>
      <c r="L2159" s="94"/>
      <c r="M2159" s="159"/>
      <c r="N2159" s="94"/>
    </row>
    <row r="2160">
      <c r="A2160" s="107">
        <v>203110.0</v>
      </c>
      <c r="B2160" s="108" t="s">
        <v>215</v>
      </c>
      <c r="C2160" s="108" t="s">
        <v>608</v>
      </c>
      <c r="D2160" s="100" t="str">
        <f t="shared" si="1"/>
        <v/>
      </c>
      <c r="E2160" s="100" t="str">
        <f t="shared" si="2"/>
        <v/>
      </c>
      <c r="F2160" s="100" t="str">
        <f t="shared" si="3"/>
        <v/>
      </c>
      <c r="G2160" s="151"/>
      <c r="H2160" s="160"/>
      <c r="I2160" s="157"/>
      <c r="J2160" s="161"/>
      <c r="L2160" s="94"/>
      <c r="M2160" s="159"/>
      <c r="N2160" s="94"/>
    </row>
    <row r="2161">
      <c r="A2161" s="107">
        <v>203110.0</v>
      </c>
      <c r="B2161" s="108" t="s">
        <v>244</v>
      </c>
      <c r="C2161" s="108" t="s">
        <v>608</v>
      </c>
      <c r="D2161" s="100" t="str">
        <f t="shared" si="1"/>
        <v/>
      </c>
      <c r="E2161" s="100" t="str">
        <f t="shared" si="2"/>
        <v/>
      </c>
      <c r="F2161" s="100" t="str">
        <f t="shared" si="3"/>
        <v/>
      </c>
      <c r="G2161" s="151"/>
      <c r="H2161" s="156"/>
      <c r="I2161" s="157"/>
      <c r="J2161" s="158"/>
      <c r="L2161" s="94"/>
      <c r="M2161" s="159"/>
      <c r="N2161" s="94"/>
    </row>
    <row r="2162">
      <c r="A2162" s="107">
        <v>203110.0</v>
      </c>
      <c r="B2162" s="108" t="s">
        <v>245</v>
      </c>
      <c r="C2162" s="108" t="s">
        <v>608</v>
      </c>
      <c r="D2162" s="100" t="str">
        <f t="shared" si="1"/>
        <v/>
      </c>
      <c r="E2162" s="100" t="str">
        <f t="shared" si="2"/>
        <v/>
      </c>
      <c r="F2162" s="100" t="str">
        <f t="shared" si="3"/>
        <v/>
      </c>
      <c r="G2162" s="151"/>
      <c r="H2162" s="160"/>
      <c r="I2162" s="157"/>
      <c r="J2162" s="161"/>
      <c r="L2162" s="94"/>
      <c r="M2162" s="159"/>
      <c r="N2162" s="94"/>
    </row>
    <row r="2163">
      <c r="A2163" s="107">
        <v>203110.0</v>
      </c>
      <c r="B2163" s="108" t="s">
        <v>246</v>
      </c>
      <c r="C2163" s="108" t="s">
        <v>608</v>
      </c>
      <c r="D2163" s="100" t="str">
        <f t="shared" si="1"/>
        <v/>
      </c>
      <c r="E2163" s="100" t="str">
        <f t="shared" si="2"/>
        <v/>
      </c>
      <c r="F2163" s="100" t="str">
        <f t="shared" si="3"/>
        <v/>
      </c>
      <c r="G2163" s="151"/>
      <c r="H2163" s="156"/>
      <c r="I2163" s="157"/>
      <c r="J2163" s="158"/>
      <c r="L2163" s="94"/>
      <c r="M2163" s="159"/>
      <c r="N2163" s="94"/>
    </row>
    <row r="2164">
      <c r="A2164" s="149">
        <v>203110.0</v>
      </c>
      <c r="B2164" s="115" t="s">
        <v>247</v>
      </c>
      <c r="C2164" s="115" t="s">
        <v>608</v>
      </c>
      <c r="D2164" s="100" t="str">
        <f t="shared" si="1"/>
        <v/>
      </c>
      <c r="E2164" s="100" t="str">
        <f t="shared" si="2"/>
        <v/>
      </c>
      <c r="F2164" s="100" t="str">
        <f t="shared" si="3"/>
        <v/>
      </c>
      <c r="G2164" s="151"/>
      <c r="H2164" s="160"/>
      <c r="I2164" s="157"/>
      <c r="J2164" s="161"/>
      <c r="L2164" s="94"/>
      <c r="M2164" s="159"/>
      <c r="N2164" s="94"/>
    </row>
    <row r="2165">
      <c r="A2165" s="21">
        <v>203111.0</v>
      </c>
      <c r="B2165" s="164" t="s">
        <v>85</v>
      </c>
      <c r="C2165" s="164" t="s">
        <v>609</v>
      </c>
      <c r="D2165" s="100" t="str">
        <f t="shared" si="1"/>
        <v/>
      </c>
      <c r="E2165" s="100" t="str">
        <f t="shared" si="2"/>
        <v/>
      </c>
      <c r="F2165" s="100" t="str">
        <f t="shared" si="3"/>
        <v/>
      </c>
      <c r="G2165" s="151"/>
      <c r="H2165" s="156"/>
      <c r="I2165" s="157"/>
      <c r="J2165" s="158"/>
      <c r="L2165" s="94"/>
      <c r="M2165" s="159"/>
      <c r="N2165" s="94"/>
    </row>
    <row r="2166">
      <c r="A2166" s="107">
        <v>203111.0</v>
      </c>
      <c r="B2166" s="108" t="s">
        <v>92</v>
      </c>
      <c r="C2166" s="108" t="s">
        <v>609</v>
      </c>
      <c r="D2166" s="100" t="str">
        <f t="shared" si="1"/>
        <v/>
      </c>
      <c r="E2166" s="100" t="str">
        <f t="shared" si="2"/>
        <v/>
      </c>
      <c r="F2166" s="100" t="str">
        <f t="shared" si="3"/>
        <v/>
      </c>
      <c r="G2166" s="151"/>
      <c r="H2166" s="160"/>
      <c r="I2166" s="157"/>
      <c r="J2166" s="161"/>
      <c r="L2166" s="94"/>
      <c r="M2166" s="159"/>
      <c r="N2166" s="94"/>
    </row>
    <row r="2167">
      <c r="A2167" s="107">
        <v>203112.0</v>
      </c>
      <c r="B2167" s="108" t="s">
        <v>85</v>
      </c>
      <c r="C2167" s="108" t="s">
        <v>610</v>
      </c>
      <c r="D2167" s="100" t="str">
        <f t="shared" si="1"/>
        <v/>
      </c>
      <c r="E2167" s="100" t="str">
        <f t="shared" si="2"/>
        <v/>
      </c>
      <c r="F2167" s="100" t="str">
        <f t="shared" si="3"/>
        <v/>
      </c>
      <c r="G2167" s="151"/>
      <c r="H2167" s="156"/>
      <c r="I2167" s="157"/>
      <c r="J2167" s="158"/>
      <c r="L2167" s="94"/>
      <c r="M2167" s="159"/>
      <c r="N2167" s="94"/>
    </row>
    <row r="2168">
      <c r="A2168" s="107">
        <v>203112.0</v>
      </c>
      <c r="B2168" s="108" t="s">
        <v>90</v>
      </c>
      <c r="C2168" s="108" t="s">
        <v>610</v>
      </c>
      <c r="D2168" s="100" t="str">
        <f t="shared" si="1"/>
        <v/>
      </c>
      <c r="E2168" s="100" t="str">
        <f t="shared" si="2"/>
        <v/>
      </c>
      <c r="F2168" s="100" t="str">
        <f t="shared" si="3"/>
        <v/>
      </c>
      <c r="G2168" s="151"/>
      <c r="H2168" s="160"/>
      <c r="I2168" s="157"/>
      <c r="J2168" s="161"/>
      <c r="L2168" s="94"/>
      <c r="M2168" s="159"/>
      <c r="N2168" s="94"/>
    </row>
    <row r="2169">
      <c r="A2169" s="107">
        <v>203112.0</v>
      </c>
      <c r="B2169" s="108" t="s">
        <v>92</v>
      </c>
      <c r="C2169" s="108" t="s">
        <v>610</v>
      </c>
      <c r="D2169" s="100" t="str">
        <f t="shared" si="1"/>
        <v/>
      </c>
      <c r="E2169" s="100" t="str">
        <f t="shared" si="2"/>
        <v/>
      </c>
      <c r="F2169" s="100" t="str">
        <f t="shared" si="3"/>
        <v/>
      </c>
      <c r="G2169" s="151"/>
      <c r="H2169" s="156"/>
      <c r="I2169" s="157"/>
      <c r="J2169" s="158"/>
      <c r="L2169" s="94"/>
      <c r="M2169" s="159"/>
      <c r="N2169" s="94"/>
    </row>
    <row r="2170">
      <c r="A2170" s="107">
        <v>203112.0</v>
      </c>
      <c r="B2170" s="108" t="s">
        <v>190</v>
      </c>
      <c r="C2170" s="108" t="s">
        <v>610</v>
      </c>
      <c r="D2170" s="100" t="str">
        <f t="shared" si="1"/>
        <v/>
      </c>
      <c r="E2170" s="100" t="str">
        <f t="shared" si="2"/>
        <v/>
      </c>
      <c r="F2170" s="100" t="str">
        <f t="shared" si="3"/>
        <v/>
      </c>
      <c r="G2170" s="151"/>
      <c r="H2170" s="160"/>
      <c r="I2170" s="157"/>
      <c r="J2170" s="161"/>
      <c r="L2170" s="94"/>
      <c r="M2170" s="159"/>
      <c r="N2170" s="94"/>
    </row>
    <row r="2171">
      <c r="A2171" s="107">
        <v>203112.0</v>
      </c>
      <c r="B2171" s="108" t="s">
        <v>191</v>
      </c>
      <c r="C2171" s="108" t="s">
        <v>610</v>
      </c>
      <c r="D2171" s="100" t="str">
        <f t="shared" si="1"/>
        <v/>
      </c>
      <c r="E2171" s="100" t="str">
        <f t="shared" si="2"/>
        <v/>
      </c>
      <c r="F2171" s="100" t="str">
        <f t="shared" si="3"/>
        <v/>
      </c>
      <c r="G2171" s="151"/>
      <c r="H2171" s="156"/>
      <c r="I2171" s="157"/>
      <c r="J2171" s="158"/>
      <c r="L2171" s="94"/>
      <c r="M2171" s="159"/>
      <c r="N2171" s="94"/>
    </row>
    <row r="2172">
      <c r="A2172" s="107">
        <v>203112.0</v>
      </c>
      <c r="B2172" s="108" t="s">
        <v>192</v>
      </c>
      <c r="C2172" s="108" t="s">
        <v>610</v>
      </c>
      <c r="D2172" s="100" t="str">
        <f t="shared" si="1"/>
        <v/>
      </c>
      <c r="E2172" s="100" t="str">
        <f t="shared" si="2"/>
        <v/>
      </c>
      <c r="F2172" s="100" t="str">
        <f t="shared" si="3"/>
        <v/>
      </c>
      <c r="G2172" s="151"/>
      <c r="H2172" s="160"/>
      <c r="I2172" s="157"/>
      <c r="J2172" s="161"/>
      <c r="L2172" s="94"/>
      <c r="M2172" s="159"/>
      <c r="N2172" s="94"/>
    </row>
    <row r="2173">
      <c r="A2173" s="107">
        <v>203113.0</v>
      </c>
      <c r="B2173" s="108" t="s">
        <v>85</v>
      </c>
      <c r="C2173" s="108" t="s">
        <v>611</v>
      </c>
      <c r="D2173" s="100" t="str">
        <f t="shared" si="1"/>
        <v/>
      </c>
      <c r="E2173" s="100" t="str">
        <f t="shared" si="2"/>
        <v/>
      </c>
      <c r="F2173" s="100" t="str">
        <f t="shared" si="3"/>
        <v/>
      </c>
      <c r="G2173" s="151"/>
      <c r="H2173" s="156"/>
      <c r="I2173" s="157"/>
      <c r="J2173" s="158"/>
      <c r="L2173" s="94"/>
      <c r="M2173" s="159"/>
      <c r="N2173" s="94"/>
    </row>
    <row r="2174">
      <c r="A2174" s="107">
        <v>203113.0</v>
      </c>
      <c r="B2174" s="108" t="s">
        <v>90</v>
      </c>
      <c r="C2174" s="108" t="s">
        <v>611</v>
      </c>
      <c r="D2174" s="100" t="str">
        <f t="shared" si="1"/>
        <v/>
      </c>
      <c r="E2174" s="100" t="str">
        <f t="shared" si="2"/>
        <v/>
      </c>
      <c r="F2174" s="100" t="str">
        <f t="shared" si="3"/>
        <v/>
      </c>
      <c r="G2174" s="151"/>
      <c r="H2174" s="160"/>
      <c r="I2174" s="157"/>
      <c r="J2174" s="161"/>
      <c r="L2174" s="94"/>
      <c r="M2174" s="159"/>
      <c r="N2174" s="94"/>
    </row>
    <row r="2175">
      <c r="A2175" s="107">
        <v>203114.0</v>
      </c>
      <c r="B2175" s="108" t="s">
        <v>85</v>
      </c>
      <c r="C2175" s="108" t="s">
        <v>612</v>
      </c>
      <c r="D2175" s="100" t="str">
        <f t="shared" si="1"/>
        <v/>
      </c>
      <c r="E2175" s="100" t="str">
        <f t="shared" si="2"/>
        <v/>
      </c>
      <c r="F2175" s="100" t="str">
        <f t="shared" si="3"/>
        <v/>
      </c>
      <c r="G2175" s="151"/>
      <c r="H2175" s="156"/>
      <c r="I2175" s="157"/>
      <c r="J2175" s="158"/>
      <c r="L2175" s="94"/>
      <c r="M2175" s="159"/>
      <c r="N2175" s="94"/>
    </row>
    <row r="2176">
      <c r="A2176" s="107">
        <v>203114.0</v>
      </c>
      <c r="B2176" s="108" t="s">
        <v>90</v>
      </c>
      <c r="C2176" s="108" t="s">
        <v>612</v>
      </c>
      <c r="D2176" s="100" t="str">
        <f t="shared" si="1"/>
        <v/>
      </c>
      <c r="E2176" s="100" t="str">
        <f t="shared" si="2"/>
        <v/>
      </c>
      <c r="F2176" s="100" t="str">
        <f t="shared" si="3"/>
        <v/>
      </c>
      <c r="G2176" s="151"/>
      <c r="H2176" s="160"/>
      <c r="I2176" s="157"/>
      <c r="J2176" s="161"/>
      <c r="L2176" s="94"/>
      <c r="M2176" s="159"/>
      <c r="N2176" s="94"/>
    </row>
    <row r="2177">
      <c r="A2177" s="107">
        <v>203114.0</v>
      </c>
      <c r="B2177" s="108" t="s">
        <v>92</v>
      </c>
      <c r="C2177" s="108" t="s">
        <v>612</v>
      </c>
      <c r="D2177" s="100" t="str">
        <f t="shared" si="1"/>
        <v/>
      </c>
      <c r="E2177" s="100" t="str">
        <f t="shared" si="2"/>
        <v/>
      </c>
      <c r="F2177" s="100" t="str">
        <f t="shared" si="3"/>
        <v/>
      </c>
      <c r="G2177" s="151"/>
      <c r="H2177" s="156"/>
      <c r="I2177" s="157"/>
      <c r="J2177" s="158"/>
      <c r="L2177" s="94"/>
      <c r="M2177" s="159"/>
      <c r="N2177" s="94"/>
    </row>
    <row r="2178">
      <c r="A2178" s="107">
        <v>203114.0</v>
      </c>
      <c r="B2178" s="108" t="s">
        <v>190</v>
      </c>
      <c r="C2178" s="108" t="s">
        <v>612</v>
      </c>
      <c r="D2178" s="100" t="str">
        <f t="shared" si="1"/>
        <v/>
      </c>
      <c r="E2178" s="100" t="str">
        <f t="shared" si="2"/>
        <v/>
      </c>
      <c r="F2178" s="100" t="str">
        <f t="shared" si="3"/>
        <v/>
      </c>
      <c r="G2178" s="151"/>
      <c r="H2178" s="160"/>
      <c r="I2178" s="157"/>
      <c r="J2178" s="161"/>
      <c r="L2178" s="94"/>
      <c r="M2178" s="159"/>
      <c r="N2178" s="94"/>
    </row>
    <row r="2179">
      <c r="A2179" s="107">
        <v>203114.0</v>
      </c>
      <c r="B2179" s="108" t="s">
        <v>191</v>
      </c>
      <c r="C2179" s="108" t="s">
        <v>612</v>
      </c>
      <c r="D2179" s="100" t="str">
        <f t="shared" si="1"/>
        <v/>
      </c>
      <c r="E2179" s="100" t="str">
        <f t="shared" si="2"/>
        <v/>
      </c>
      <c r="F2179" s="100" t="str">
        <f t="shared" si="3"/>
        <v/>
      </c>
      <c r="G2179" s="151"/>
      <c r="H2179" s="156"/>
      <c r="I2179" s="157"/>
      <c r="J2179" s="158"/>
      <c r="L2179" s="94"/>
      <c r="M2179" s="159"/>
      <c r="N2179" s="94"/>
    </row>
    <row r="2180">
      <c r="A2180" s="107">
        <v>203114.0</v>
      </c>
      <c r="B2180" s="108" t="s">
        <v>192</v>
      </c>
      <c r="C2180" s="108" t="s">
        <v>612</v>
      </c>
      <c r="D2180" s="100" t="str">
        <f t="shared" si="1"/>
        <v/>
      </c>
      <c r="E2180" s="100" t="str">
        <f t="shared" si="2"/>
        <v/>
      </c>
      <c r="F2180" s="100" t="str">
        <f t="shared" si="3"/>
        <v/>
      </c>
      <c r="G2180" s="151"/>
      <c r="H2180" s="160"/>
      <c r="I2180" s="157"/>
      <c r="J2180" s="161"/>
      <c r="L2180" s="94"/>
      <c r="M2180" s="159"/>
      <c r="N2180" s="94"/>
    </row>
    <row r="2181">
      <c r="A2181" s="107">
        <v>203114.0</v>
      </c>
      <c r="B2181" s="108" t="s">
        <v>193</v>
      </c>
      <c r="C2181" s="108" t="s">
        <v>612</v>
      </c>
      <c r="D2181" s="100" t="str">
        <f t="shared" si="1"/>
        <v/>
      </c>
      <c r="E2181" s="100" t="str">
        <f t="shared" si="2"/>
        <v/>
      </c>
      <c r="F2181" s="100" t="str">
        <f t="shared" si="3"/>
        <v/>
      </c>
      <c r="G2181" s="151"/>
      <c r="H2181" s="156"/>
      <c r="I2181" s="157"/>
      <c r="J2181" s="158"/>
      <c r="L2181" s="94"/>
      <c r="M2181" s="159"/>
      <c r="N2181" s="94"/>
    </row>
    <row r="2182">
      <c r="A2182" s="107">
        <v>203114.0</v>
      </c>
      <c r="B2182" s="108" t="s">
        <v>243</v>
      </c>
      <c r="C2182" s="108" t="s">
        <v>612</v>
      </c>
      <c r="D2182" s="100" t="str">
        <f t="shared" si="1"/>
        <v/>
      </c>
      <c r="E2182" s="100" t="str">
        <f t="shared" si="2"/>
        <v/>
      </c>
      <c r="F2182" s="100" t="str">
        <f t="shared" si="3"/>
        <v/>
      </c>
      <c r="G2182" s="151"/>
      <c r="H2182" s="160"/>
      <c r="I2182" s="157"/>
      <c r="J2182" s="161"/>
      <c r="L2182" s="94"/>
      <c r="M2182" s="159"/>
      <c r="N2182" s="94"/>
    </row>
    <row r="2183">
      <c r="A2183" s="107">
        <v>203114.0</v>
      </c>
      <c r="B2183" s="108" t="s">
        <v>215</v>
      </c>
      <c r="C2183" s="108" t="s">
        <v>612</v>
      </c>
      <c r="D2183" s="100" t="str">
        <f t="shared" si="1"/>
        <v/>
      </c>
      <c r="E2183" s="100" t="str">
        <f t="shared" si="2"/>
        <v/>
      </c>
      <c r="F2183" s="100" t="str">
        <f t="shared" si="3"/>
        <v/>
      </c>
      <c r="G2183" s="151"/>
      <c r="H2183" s="156"/>
      <c r="I2183" s="157"/>
      <c r="J2183" s="158"/>
      <c r="L2183" s="94"/>
      <c r="M2183" s="159"/>
      <c r="N2183" s="94"/>
    </row>
    <row r="2184">
      <c r="A2184" s="107">
        <v>203114.0</v>
      </c>
      <c r="B2184" s="108" t="s">
        <v>244</v>
      </c>
      <c r="C2184" s="108" t="s">
        <v>612</v>
      </c>
      <c r="D2184" s="100" t="str">
        <f t="shared" si="1"/>
        <v/>
      </c>
      <c r="E2184" s="100" t="str">
        <f t="shared" si="2"/>
        <v/>
      </c>
      <c r="F2184" s="100" t="str">
        <f t="shared" si="3"/>
        <v/>
      </c>
      <c r="G2184" s="151"/>
      <c r="H2184" s="160"/>
      <c r="I2184" s="157"/>
      <c r="J2184" s="161"/>
      <c r="L2184" s="94"/>
      <c r="M2184" s="159"/>
      <c r="N2184" s="94"/>
    </row>
    <row r="2185">
      <c r="A2185" s="107">
        <v>203114.0</v>
      </c>
      <c r="B2185" s="108" t="s">
        <v>245</v>
      </c>
      <c r="C2185" s="108" t="s">
        <v>612</v>
      </c>
      <c r="D2185" s="100" t="str">
        <f t="shared" si="1"/>
        <v/>
      </c>
      <c r="E2185" s="100" t="str">
        <f t="shared" si="2"/>
        <v/>
      </c>
      <c r="F2185" s="100" t="str">
        <f t="shared" si="3"/>
        <v/>
      </c>
      <c r="G2185" s="151"/>
      <c r="H2185" s="156"/>
      <c r="I2185" s="157"/>
      <c r="J2185" s="158"/>
      <c r="L2185" s="94"/>
      <c r="M2185" s="159"/>
      <c r="N2185" s="94"/>
    </row>
    <row r="2186">
      <c r="A2186" s="107">
        <v>203114.0</v>
      </c>
      <c r="B2186" s="108" t="s">
        <v>246</v>
      </c>
      <c r="C2186" s="108" t="s">
        <v>612</v>
      </c>
      <c r="D2186" s="100" t="str">
        <f t="shared" si="1"/>
        <v/>
      </c>
      <c r="E2186" s="100" t="str">
        <f t="shared" si="2"/>
        <v/>
      </c>
      <c r="F2186" s="100" t="str">
        <f t="shared" si="3"/>
        <v/>
      </c>
      <c r="G2186" s="151"/>
      <c r="H2186" s="160"/>
      <c r="I2186" s="162"/>
      <c r="J2186" s="161"/>
      <c r="L2186" s="94"/>
      <c r="M2186" s="159"/>
      <c r="N2186" s="94"/>
    </row>
    <row r="2187">
      <c r="A2187" s="149">
        <v>203114.0</v>
      </c>
      <c r="B2187" s="115" t="s">
        <v>247</v>
      </c>
      <c r="C2187" s="115" t="s">
        <v>612</v>
      </c>
      <c r="D2187" s="100" t="str">
        <f t="shared" si="1"/>
        <v/>
      </c>
      <c r="E2187" s="100" t="str">
        <f t="shared" si="2"/>
        <v/>
      </c>
      <c r="F2187" s="100" t="str">
        <f t="shared" si="3"/>
        <v/>
      </c>
      <c r="G2187" s="151"/>
      <c r="H2187" s="156"/>
      <c r="I2187" s="162"/>
      <c r="J2187" s="158"/>
      <c r="L2187" s="94"/>
      <c r="M2187" s="159"/>
      <c r="N2187" s="94"/>
    </row>
    <row r="2188">
      <c r="A2188" s="21">
        <v>203115.0</v>
      </c>
      <c r="B2188" s="164" t="s">
        <v>85</v>
      </c>
      <c r="C2188" s="164" t="s">
        <v>613</v>
      </c>
      <c r="D2188" s="100" t="str">
        <f t="shared" si="1"/>
        <v/>
      </c>
      <c r="E2188" s="100" t="str">
        <f t="shared" si="2"/>
        <v/>
      </c>
      <c r="F2188" s="100" t="str">
        <f t="shared" si="3"/>
        <v/>
      </c>
      <c r="G2188" s="151"/>
      <c r="H2188" s="160"/>
      <c r="I2188" s="157"/>
      <c r="J2188" s="161"/>
      <c r="L2188" s="94"/>
      <c r="M2188" s="159"/>
      <c r="N2188" s="94"/>
    </row>
    <row r="2189">
      <c r="A2189" s="107">
        <v>203115.0</v>
      </c>
      <c r="B2189" s="108" t="s">
        <v>90</v>
      </c>
      <c r="C2189" s="108" t="s">
        <v>613</v>
      </c>
      <c r="D2189" s="100" t="str">
        <f t="shared" si="1"/>
        <v/>
      </c>
      <c r="E2189" s="100" t="str">
        <f t="shared" si="2"/>
        <v/>
      </c>
      <c r="F2189" s="100" t="str">
        <f t="shared" si="3"/>
        <v/>
      </c>
      <c r="G2189" s="151"/>
      <c r="H2189" s="156"/>
      <c r="I2189" s="157"/>
      <c r="J2189" s="158"/>
      <c r="L2189" s="94"/>
      <c r="M2189" s="159"/>
      <c r="N2189" s="94"/>
    </row>
    <row r="2190">
      <c r="A2190" s="107">
        <v>203115.0</v>
      </c>
      <c r="B2190" s="108" t="s">
        <v>92</v>
      </c>
      <c r="C2190" s="108" t="s">
        <v>613</v>
      </c>
      <c r="D2190" s="100" t="str">
        <f t="shared" si="1"/>
        <v/>
      </c>
      <c r="E2190" s="100" t="str">
        <f t="shared" si="2"/>
        <v/>
      </c>
      <c r="F2190" s="100" t="str">
        <f t="shared" si="3"/>
        <v/>
      </c>
      <c r="G2190" s="151"/>
      <c r="H2190" s="160"/>
      <c r="I2190" s="157"/>
      <c r="J2190" s="161"/>
      <c r="L2190" s="94"/>
      <c r="M2190" s="159"/>
      <c r="N2190" s="94"/>
    </row>
    <row r="2191">
      <c r="A2191" s="107">
        <v>203115.0</v>
      </c>
      <c r="B2191" s="108" t="s">
        <v>190</v>
      </c>
      <c r="C2191" s="108" t="s">
        <v>613</v>
      </c>
      <c r="D2191" s="100" t="str">
        <f t="shared" si="1"/>
        <v/>
      </c>
      <c r="E2191" s="100" t="str">
        <f t="shared" si="2"/>
        <v/>
      </c>
      <c r="F2191" s="100" t="str">
        <f t="shared" si="3"/>
        <v/>
      </c>
      <c r="G2191" s="151"/>
      <c r="H2191" s="156"/>
      <c r="I2191" s="157"/>
      <c r="J2191" s="158"/>
      <c r="L2191" s="94"/>
      <c r="M2191" s="159"/>
      <c r="N2191" s="94"/>
    </row>
    <row r="2192">
      <c r="A2192" s="107">
        <v>203115.0</v>
      </c>
      <c r="B2192" s="108" t="s">
        <v>191</v>
      </c>
      <c r="C2192" s="108" t="s">
        <v>613</v>
      </c>
      <c r="D2192" s="100" t="str">
        <f t="shared" si="1"/>
        <v/>
      </c>
      <c r="E2192" s="100" t="str">
        <f t="shared" si="2"/>
        <v/>
      </c>
      <c r="F2192" s="100" t="str">
        <f t="shared" si="3"/>
        <v/>
      </c>
      <c r="G2192" s="151"/>
      <c r="H2192" s="160"/>
      <c r="I2192" s="157"/>
      <c r="J2192" s="161"/>
      <c r="L2192" s="94"/>
      <c r="M2192" s="159"/>
      <c r="N2192" s="94"/>
    </row>
    <row r="2193">
      <c r="A2193" s="107">
        <v>203115.0</v>
      </c>
      <c r="B2193" s="108" t="s">
        <v>192</v>
      </c>
      <c r="C2193" s="108" t="s">
        <v>613</v>
      </c>
      <c r="D2193" s="100" t="str">
        <f t="shared" si="1"/>
        <v/>
      </c>
      <c r="E2193" s="100" t="str">
        <f t="shared" si="2"/>
        <v/>
      </c>
      <c r="F2193" s="100" t="str">
        <f t="shared" si="3"/>
        <v/>
      </c>
      <c r="G2193" s="151"/>
      <c r="H2193" s="156"/>
      <c r="I2193" s="157"/>
      <c r="J2193" s="158"/>
      <c r="L2193" s="94"/>
      <c r="M2193" s="159"/>
      <c r="N2193" s="94"/>
    </row>
    <row r="2194">
      <c r="A2194" s="107">
        <v>203115.0</v>
      </c>
      <c r="B2194" s="108" t="s">
        <v>193</v>
      </c>
      <c r="C2194" s="108" t="s">
        <v>613</v>
      </c>
      <c r="D2194" s="100" t="str">
        <f t="shared" si="1"/>
        <v/>
      </c>
      <c r="E2194" s="100" t="str">
        <f t="shared" si="2"/>
        <v/>
      </c>
      <c r="F2194" s="100" t="str">
        <f t="shared" si="3"/>
        <v/>
      </c>
      <c r="G2194" s="151"/>
      <c r="H2194" s="160"/>
      <c r="I2194" s="157"/>
      <c r="J2194" s="161"/>
      <c r="L2194" s="94"/>
      <c r="M2194" s="159"/>
      <c r="N2194" s="94"/>
    </row>
    <row r="2195">
      <c r="A2195" s="107">
        <v>203115.0</v>
      </c>
      <c r="B2195" s="108" t="s">
        <v>243</v>
      </c>
      <c r="C2195" s="108" t="s">
        <v>613</v>
      </c>
      <c r="D2195" s="100" t="str">
        <f t="shared" si="1"/>
        <v/>
      </c>
      <c r="E2195" s="100" t="str">
        <f t="shared" si="2"/>
        <v/>
      </c>
      <c r="F2195" s="100" t="str">
        <f t="shared" si="3"/>
        <v/>
      </c>
      <c r="G2195" s="151"/>
      <c r="H2195" s="156"/>
      <c r="I2195" s="157"/>
      <c r="J2195" s="158"/>
      <c r="L2195" s="94"/>
      <c r="M2195" s="159"/>
      <c r="N2195" s="94"/>
    </row>
    <row r="2196">
      <c r="A2196" s="107">
        <v>203115.0</v>
      </c>
      <c r="B2196" s="108" t="s">
        <v>215</v>
      </c>
      <c r="C2196" s="108" t="s">
        <v>613</v>
      </c>
      <c r="D2196" s="100" t="str">
        <f t="shared" si="1"/>
        <v/>
      </c>
      <c r="E2196" s="100" t="str">
        <f t="shared" si="2"/>
        <v/>
      </c>
      <c r="F2196" s="100" t="str">
        <f t="shared" si="3"/>
        <v/>
      </c>
      <c r="G2196" s="151"/>
      <c r="H2196" s="160"/>
      <c r="I2196" s="157"/>
      <c r="J2196" s="161"/>
      <c r="L2196" s="94"/>
      <c r="M2196" s="159"/>
      <c r="N2196" s="94"/>
    </row>
    <row r="2197">
      <c r="A2197" s="107">
        <v>203115.0</v>
      </c>
      <c r="B2197" s="108" t="s">
        <v>244</v>
      </c>
      <c r="C2197" s="108" t="s">
        <v>613</v>
      </c>
      <c r="D2197" s="100" t="str">
        <f t="shared" si="1"/>
        <v/>
      </c>
      <c r="E2197" s="100" t="str">
        <f t="shared" si="2"/>
        <v/>
      </c>
      <c r="F2197" s="100" t="str">
        <f t="shared" si="3"/>
        <v/>
      </c>
      <c r="G2197" s="151"/>
      <c r="H2197" s="156"/>
      <c r="I2197" s="157"/>
      <c r="J2197" s="158"/>
      <c r="L2197" s="94"/>
      <c r="M2197" s="159"/>
      <c r="N2197" s="94"/>
    </row>
    <row r="2198">
      <c r="A2198" s="107">
        <v>203116.0</v>
      </c>
      <c r="B2198" s="108" t="s">
        <v>85</v>
      </c>
      <c r="C2198" s="108" t="s">
        <v>614</v>
      </c>
      <c r="D2198" s="100" t="str">
        <f t="shared" si="1"/>
        <v/>
      </c>
      <c r="E2198" s="100" t="str">
        <f t="shared" si="2"/>
        <v/>
      </c>
      <c r="F2198" s="100" t="str">
        <f t="shared" si="3"/>
        <v/>
      </c>
      <c r="G2198" s="151"/>
      <c r="H2198" s="160"/>
      <c r="I2198" s="157"/>
      <c r="J2198" s="161"/>
      <c r="L2198" s="94"/>
      <c r="M2198" s="159"/>
      <c r="N2198" s="94"/>
    </row>
    <row r="2199">
      <c r="A2199" s="107">
        <v>203117.0</v>
      </c>
      <c r="B2199" s="108" t="s">
        <v>85</v>
      </c>
      <c r="C2199" s="108" t="s">
        <v>615</v>
      </c>
      <c r="D2199" s="100" t="str">
        <f t="shared" si="1"/>
        <v/>
      </c>
      <c r="E2199" s="100" t="str">
        <f t="shared" si="2"/>
        <v/>
      </c>
      <c r="F2199" s="100" t="str">
        <f t="shared" si="3"/>
        <v/>
      </c>
      <c r="G2199" s="151"/>
      <c r="H2199" s="156"/>
      <c r="I2199" s="157"/>
      <c r="J2199" s="158"/>
      <c r="L2199" s="94"/>
      <c r="M2199" s="159"/>
      <c r="N2199" s="94"/>
    </row>
    <row r="2200">
      <c r="A2200" s="107">
        <v>203118.0</v>
      </c>
      <c r="B2200" s="108" t="s">
        <v>85</v>
      </c>
      <c r="C2200" s="108" t="s">
        <v>616</v>
      </c>
      <c r="D2200" s="100" t="str">
        <f t="shared" si="1"/>
        <v/>
      </c>
      <c r="E2200" s="100" t="str">
        <f t="shared" si="2"/>
        <v/>
      </c>
      <c r="F2200" s="100" t="str">
        <f t="shared" si="3"/>
        <v/>
      </c>
      <c r="G2200" s="151"/>
      <c r="H2200" s="160"/>
      <c r="I2200" s="157"/>
      <c r="J2200" s="161"/>
      <c r="L2200" s="94"/>
      <c r="M2200" s="159"/>
      <c r="N2200" s="94"/>
    </row>
    <row r="2201">
      <c r="A2201" s="107">
        <v>203118.0</v>
      </c>
      <c r="B2201" s="108" t="s">
        <v>90</v>
      </c>
      <c r="C2201" s="108" t="s">
        <v>616</v>
      </c>
      <c r="D2201" s="100" t="str">
        <f t="shared" si="1"/>
        <v/>
      </c>
      <c r="E2201" s="100" t="str">
        <f t="shared" si="2"/>
        <v/>
      </c>
      <c r="F2201" s="100" t="str">
        <f t="shared" si="3"/>
        <v/>
      </c>
      <c r="G2201" s="151"/>
      <c r="H2201" s="156"/>
      <c r="I2201" s="157"/>
      <c r="J2201" s="158"/>
      <c r="L2201" s="94"/>
      <c r="M2201" s="159"/>
      <c r="N2201" s="94"/>
    </row>
    <row r="2202">
      <c r="A2202" s="107">
        <v>203118.0</v>
      </c>
      <c r="B2202" s="108" t="s">
        <v>92</v>
      </c>
      <c r="C2202" s="108" t="s">
        <v>616</v>
      </c>
      <c r="D2202" s="100" t="str">
        <f t="shared" si="1"/>
        <v/>
      </c>
      <c r="E2202" s="100" t="str">
        <f t="shared" si="2"/>
        <v/>
      </c>
      <c r="F2202" s="100" t="str">
        <f t="shared" si="3"/>
        <v/>
      </c>
      <c r="G2202" s="151"/>
      <c r="H2202" s="160"/>
      <c r="I2202" s="157"/>
      <c r="J2202" s="161"/>
      <c r="L2202" s="94"/>
      <c r="M2202" s="159"/>
      <c r="N2202" s="94"/>
    </row>
    <row r="2203">
      <c r="A2203" s="107">
        <v>203118.0</v>
      </c>
      <c r="B2203" s="108" t="s">
        <v>190</v>
      </c>
      <c r="C2203" s="108" t="s">
        <v>616</v>
      </c>
      <c r="D2203" s="100" t="str">
        <f t="shared" si="1"/>
        <v/>
      </c>
      <c r="E2203" s="100" t="str">
        <f t="shared" si="2"/>
        <v/>
      </c>
      <c r="F2203" s="100" t="str">
        <f t="shared" si="3"/>
        <v/>
      </c>
      <c r="G2203" s="151"/>
      <c r="H2203" s="156"/>
      <c r="I2203" s="157"/>
      <c r="J2203" s="158"/>
      <c r="L2203" s="94"/>
      <c r="M2203" s="159"/>
      <c r="N2203" s="94"/>
    </row>
    <row r="2204">
      <c r="A2204" s="107">
        <v>203118.0</v>
      </c>
      <c r="B2204" s="108" t="s">
        <v>191</v>
      </c>
      <c r="C2204" s="108" t="s">
        <v>616</v>
      </c>
      <c r="D2204" s="100" t="str">
        <f t="shared" si="1"/>
        <v/>
      </c>
      <c r="E2204" s="100" t="str">
        <f t="shared" si="2"/>
        <v/>
      </c>
      <c r="F2204" s="100" t="str">
        <f t="shared" si="3"/>
        <v/>
      </c>
      <c r="G2204" s="151"/>
      <c r="H2204" s="160"/>
      <c r="I2204" s="157"/>
      <c r="J2204" s="161"/>
      <c r="L2204" s="94"/>
      <c r="M2204" s="159"/>
      <c r="N2204" s="94"/>
    </row>
    <row r="2205">
      <c r="A2205" s="107">
        <v>203118.0</v>
      </c>
      <c r="B2205" s="108" t="s">
        <v>192</v>
      </c>
      <c r="C2205" s="108" t="s">
        <v>616</v>
      </c>
      <c r="D2205" s="100" t="str">
        <f t="shared" si="1"/>
        <v/>
      </c>
      <c r="E2205" s="100" t="str">
        <f t="shared" si="2"/>
        <v/>
      </c>
      <c r="F2205" s="100" t="str">
        <f t="shared" si="3"/>
        <v/>
      </c>
      <c r="G2205" s="151"/>
      <c r="H2205" s="156"/>
      <c r="I2205" s="157"/>
      <c r="J2205" s="158"/>
      <c r="L2205" s="94"/>
      <c r="M2205" s="159"/>
      <c r="N2205" s="94"/>
    </row>
    <row r="2206">
      <c r="A2206" s="107">
        <v>203118.0</v>
      </c>
      <c r="B2206" s="108" t="s">
        <v>193</v>
      </c>
      <c r="C2206" s="108" t="s">
        <v>616</v>
      </c>
      <c r="D2206" s="100" t="str">
        <f t="shared" si="1"/>
        <v/>
      </c>
      <c r="E2206" s="100" t="str">
        <f t="shared" si="2"/>
        <v/>
      </c>
      <c r="F2206" s="100" t="str">
        <f t="shared" si="3"/>
        <v/>
      </c>
      <c r="G2206" s="151"/>
      <c r="H2206" s="160"/>
      <c r="I2206" s="162"/>
      <c r="J2206" s="161"/>
      <c r="L2206" s="94"/>
      <c r="M2206" s="159"/>
      <c r="N2206" s="94"/>
    </row>
    <row r="2207">
      <c r="A2207" s="107">
        <v>203118.0</v>
      </c>
      <c r="B2207" s="108" t="s">
        <v>243</v>
      </c>
      <c r="C2207" s="108" t="s">
        <v>616</v>
      </c>
      <c r="D2207" s="100" t="str">
        <f t="shared" si="1"/>
        <v/>
      </c>
      <c r="E2207" s="100" t="str">
        <f t="shared" si="2"/>
        <v/>
      </c>
      <c r="F2207" s="100" t="str">
        <f t="shared" si="3"/>
        <v/>
      </c>
      <c r="G2207" s="151"/>
      <c r="H2207" s="156"/>
      <c r="I2207" s="157"/>
      <c r="J2207" s="158"/>
      <c r="L2207" s="94"/>
      <c r="M2207" s="159"/>
      <c r="N2207" s="94"/>
    </row>
    <row r="2208">
      <c r="A2208" s="107">
        <v>203120.0</v>
      </c>
      <c r="B2208" s="108" t="s">
        <v>85</v>
      </c>
      <c r="C2208" s="108" t="s">
        <v>617</v>
      </c>
      <c r="D2208" s="100" t="str">
        <f t="shared" si="1"/>
        <v/>
      </c>
      <c r="E2208" s="100" t="str">
        <f t="shared" si="2"/>
        <v/>
      </c>
      <c r="F2208" s="100" t="str">
        <f t="shared" si="3"/>
        <v/>
      </c>
      <c r="G2208" s="151"/>
      <c r="H2208" s="160"/>
      <c r="I2208" s="157"/>
      <c r="J2208" s="161"/>
      <c r="L2208" s="94"/>
      <c r="M2208" s="159"/>
      <c r="N2208" s="94"/>
    </row>
    <row r="2209">
      <c r="A2209" s="107">
        <v>203120.0</v>
      </c>
      <c r="B2209" s="108" t="s">
        <v>90</v>
      </c>
      <c r="C2209" s="108" t="s">
        <v>617</v>
      </c>
      <c r="D2209" s="100" t="str">
        <f t="shared" si="1"/>
        <v/>
      </c>
      <c r="E2209" s="100" t="str">
        <f t="shared" si="2"/>
        <v/>
      </c>
      <c r="F2209" s="100" t="str">
        <f t="shared" si="3"/>
        <v/>
      </c>
      <c r="G2209" s="151"/>
      <c r="H2209" s="156"/>
      <c r="I2209" s="157"/>
      <c r="J2209" s="158"/>
      <c r="L2209" s="94"/>
      <c r="M2209" s="159"/>
      <c r="N2209" s="94"/>
    </row>
    <row r="2210">
      <c r="A2210" s="107">
        <v>203120.0</v>
      </c>
      <c r="B2210" s="108" t="s">
        <v>190</v>
      </c>
      <c r="C2210" s="108" t="s">
        <v>617</v>
      </c>
      <c r="D2210" s="100" t="str">
        <f t="shared" si="1"/>
        <v/>
      </c>
      <c r="E2210" s="100" t="str">
        <f t="shared" si="2"/>
        <v/>
      </c>
      <c r="F2210" s="100" t="str">
        <f t="shared" si="3"/>
        <v/>
      </c>
      <c r="G2210" s="151"/>
      <c r="H2210" s="160"/>
      <c r="I2210" s="157"/>
      <c r="J2210" s="161"/>
      <c r="L2210" s="94"/>
      <c r="M2210" s="159"/>
      <c r="N2210" s="94"/>
    </row>
    <row r="2211">
      <c r="A2211" s="107">
        <v>203121.0</v>
      </c>
      <c r="B2211" s="108" t="s">
        <v>85</v>
      </c>
      <c r="C2211" s="108" t="s">
        <v>618</v>
      </c>
      <c r="D2211" s="100" t="str">
        <f t="shared" si="1"/>
        <v/>
      </c>
      <c r="E2211" s="100" t="str">
        <f t="shared" si="2"/>
        <v/>
      </c>
      <c r="F2211" s="100" t="str">
        <f t="shared" si="3"/>
        <v/>
      </c>
      <c r="G2211" s="151"/>
      <c r="H2211" s="156"/>
      <c r="I2211" s="157"/>
      <c r="J2211" s="158"/>
      <c r="L2211" s="94"/>
      <c r="M2211" s="159"/>
      <c r="N2211" s="94"/>
    </row>
    <row r="2212">
      <c r="A2212" s="107">
        <v>203121.0</v>
      </c>
      <c r="B2212" s="108" t="s">
        <v>90</v>
      </c>
      <c r="C2212" s="108" t="s">
        <v>618</v>
      </c>
      <c r="D2212" s="100" t="str">
        <f t="shared" si="1"/>
        <v/>
      </c>
      <c r="E2212" s="100" t="str">
        <f t="shared" si="2"/>
        <v/>
      </c>
      <c r="F2212" s="100" t="str">
        <f t="shared" si="3"/>
        <v/>
      </c>
      <c r="G2212" s="151"/>
      <c r="H2212" s="160"/>
      <c r="I2212" s="157"/>
      <c r="J2212" s="161"/>
      <c r="L2212" s="94"/>
      <c r="M2212" s="159"/>
      <c r="N2212" s="94"/>
    </row>
    <row r="2213">
      <c r="A2213" s="107">
        <v>203121.0</v>
      </c>
      <c r="B2213" s="108" t="s">
        <v>191</v>
      </c>
      <c r="C2213" s="108" t="s">
        <v>618</v>
      </c>
      <c r="D2213" s="100" t="str">
        <f t="shared" si="1"/>
        <v/>
      </c>
      <c r="E2213" s="100" t="str">
        <f t="shared" si="2"/>
        <v/>
      </c>
      <c r="F2213" s="100" t="str">
        <f t="shared" si="3"/>
        <v/>
      </c>
      <c r="G2213" s="151"/>
      <c r="H2213" s="156"/>
      <c r="I2213" s="157"/>
      <c r="J2213" s="158"/>
      <c r="L2213" s="94"/>
      <c r="M2213" s="159"/>
      <c r="N2213" s="94"/>
    </row>
    <row r="2214">
      <c r="A2214" s="107">
        <v>203121.0</v>
      </c>
      <c r="B2214" s="108" t="s">
        <v>192</v>
      </c>
      <c r="C2214" s="108" t="s">
        <v>618</v>
      </c>
      <c r="D2214" s="100" t="str">
        <f t="shared" si="1"/>
        <v/>
      </c>
      <c r="E2214" s="100" t="str">
        <f t="shared" si="2"/>
        <v/>
      </c>
      <c r="F2214" s="100" t="str">
        <f t="shared" si="3"/>
        <v/>
      </c>
      <c r="G2214" s="151"/>
      <c r="H2214" s="160"/>
      <c r="I2214" s="157"/>
      <c r="J2214" s="161"/>
      <c r="L2214" s="94"/>
      <c r="M2214" s="159"/>
      <c r="N2214" s="94"/>
    </row>
    <row r="2215">
      <c r="A2215" s="107">
        <v>203121.0</v>
      </c>
      <c r="B2215" s="108" t="s">
        <v>243</v>
      </c>
      <c r="C2215" s="108" t="s">
        <v>618</v>
      </c>
      <c r="D2215" s="100" t="str">
        <f t="shared" si="1"/>
        <v/>
      </c>
      <c r="E2215" s="100" t="str">
        <f t="shared" si="2"/>
        <v/>
      </c>
      <c r="F2215" s="100" t="str">
        <f t="shared" si="3"/>
        <v/>
      </c>
      <c r="G2215" s="151"/>
      <c r="H2215" s="156"/>
      <c r="I2215" s="157"/>
      <c r="J2215" s="158"/>
      <c r="L2215" s="94"/>
      <c r="M2215" s="159"/>
      <c r="N2215" s="94"/>
    </row>
    <row r="2216">
      <c r="A2216" s="107">
        <v>203123.0</v>
      </c>
      <c r="B2216" s="108" t="s">
        <v>90</v>
      </c>
      <c r="C2216" s="108" t="s">
        <v>619</v>
      </c>
      <c r="D2216" s="100" t="str">
        <f t="shared" si="1"/>
        <v/>
      </c>
      <c r="E2216" s="100" t="str">
        <f t="shared" si="2"/>
        <v/>
      </c>
      <c r="F2216" s="100" t="str">
        <f t="shared" si="3"/>
        <v/>
      </c>
      <c r="G2216" s="151"/>
      <c r="H2216" s="160"/>
      <c r="I2216" s="157"/>
      <c r="J2216" s="161"/>
      <c r="L2216" s="94"/>
      <c r="M2216" s="159"/>
      <c r="N2216" s="94"/>
    </row>
    <row r="2217">
      <c r="A2217" s="107">
        <v>203123.0</v>
      </c>
      <c r="B2217" s="108" t="s">
        <v>92</v>
      </c>
      <c r="C2217" s="108" t="s">
        <v>619</v>
      </c>
      <c r="D2217" s="100" t="str">
        <f t="shared" si="1"/>
        <v/>
      </c>
      <c r="E2217" s="100" t="str">
        <f t="shared" si="2"/>
        <v/>
      </c>
      <c r="F2217" s="100" t="str">
        <f t="shared" si="3"/>
        <v/>
      </c>
      <c r="G2217" s="151"/>
      <c r="H2217" s="156"/>
      <c r="I2217" s="157"/>
      <c r="J2217" s="158"/>
      <c r="L2217" s="94"/>
      <c r="M2217" s="159"/>
      <c r="N2217" s="94"/>
    </row>
    <row r="2218">
      <c r="A2218" s="107">
        <v>203124.0</v>
      </c>
      <c r="B2218" s="108" t="s">
        <v>85</v>
      </c>
      <c r="C2218" s="108" t="s">
        <v>620</v>
      </c>
      <c r="D2218" s="100" t="str">
        <f t="shared" si="1"/>
        <v/>
      </c>
      <c r="E2218" s="100" t="str">
        <f t="shared" si="2"/>
        <v/>
      </c>
      <c r="F2218" s="100" t="str">
        <f t="shared" si="3"/>
        <v/>
      </c>
      <c r="G2218" s="151"/>
      <c r="H2218" s="160"/>
      <c r="I2218" s="157"/>
      <c r="J2218" s="161"/>
      <c r="L2218" s="94"/>
      <c r="M2218" s="159"/>
      <c r="N2218" s="94"/>
    </row>
    <row r="2219">
      <c r="A2219" s="107">
        <v>203124.0</v>
      </c>
      <c r="B2219" s="108" t="s">
        <v>90</v>
      </c>
      <c r="C2219" s="108" t="s">
        <v>620</v>
      </c>
      <c r="D2219" s="100" t="str">
        <f t="shared" si="1"/>
        <v/>
      </c>
      <c r="E2219" s="100" t="str">
        <f t="shared" si="2"/>
        <v/>
      </c>
      <c r="F2219" s="100" t="str">
        <f t="shared" si="3"/>
        <v/>
      </c>
      <c r="G2219" s="151"/>
      <c r="H2219" s="156"/>
      <c r="I2219" s="157"/>
      <c r="J2219" s="158"/>
      <c r="L2219" s="94"/>
      <c r="M2219" s="159"/>
      <c r="N2219" s="94"/>
    </row>
    <row r="2220">
      <c r="A2220" s="107">
        <v>203124.0</v>
      </c>
      <c r="B2220" s="108" t="s">
        <v>92</v>
      </c>
      <c r="C2220" s="108" t="s">
        <v>620</v>
      </c>
      <c r="D2220" s="100" t="str">
        <f t="shared" si="1"/>
        <v/>
      </c>
      <c r="E2220" s="100" t="str">
        <f t="shared" si="2"/>
        <v/>
      </c>
      <c r="F2220" s="100" t="str">
        <f t="shared" si="3"/>
        <v/>
      </c>
      <c r="G2220" s="151"/>
      <c r="H2220" s="160"/>
      <c r="I2220" s="157"/>
      <c r="J2220" s="161"/>
      <c r="L2220" s="94"/>
      <c r="M2220" s="159"/>
      <c r="N2220" s="94"/>
    </row>
    <row r="2221">
      <c r="A2221" s="107">
        <v>203124.0</v>
      </c>
      <c r="B2221" s="108" t="s">
        <v>190</v>
      </c>
      <c r="C2221" s="108" t="s">
        <v>620</v>
      </c>
      <c r="D2221" s="100" t="str">
        <f t="shared" si="1"/>
        <v/>
      </c>
      <c r="E2221" s="100" t="str">
        <f t="shared" si="2"/>
        <v/>
      </c>
      <c r="F2221" s="100" t="str">
        <f t="shared" si="3"/>
        <v/>
      </c>
      <c r="G2221" s="151"/>
      <c r="H2221" s="156"/>
      <c r="I2221" s="157"/>
      <c r="J2221" s="158"/>
      <c r="L2221" s="94"/>
      <c r="M2221" s="159"/>
      <c r="N2221" s="94"/>
    </row>
    <row r="2222">
      <c r="A2222" s="107">
        <v>203124.0</v>
      </c>
      <c r="B2222" s="108" t="s">
        <v>191</v>
      </c>
      <c r="C2222" s="108" t="s">
        <v>620</v>
      </c>
      <c r="D2222" s="100" t="str">
        <f t="shared" si="1"/>
        <v/>
      </c>
      <c r="E2222" s="100" t="str">
        <f t="shared" si="2"/>
        <v/>
      </c>
      <c r="F2222" s="100" t="str">
        <f t="shared" si="3"/>
        <v/>
      </c>
      <c r="G2222" s="151"/>
      <c r="H2222" s="160"/>
      <c r="I2222" s="157"/>
      <c r="J2222" s="161"/>
      <c r="L2222" s="94"/>
      <c r="M2222" s="159"/>
      <c r="N2222" s="94"/>
    </row>
    <row r="2223">
      <c r="A2223" s="107">
        <v>203124.0</v>
      </c>
      <c r="B2223" s="108" t="s">
        <v>192</v>
      </c>
      <c r="C2223" s="108" t="s">
        <v>620</v>
      </c>
      <c r="D2223" s="100" t="str">
        <f t="shared" si="1"/>
        <v/>
      </c>
      <c r="E2223" s="100" t="str">
        <f t="shared" si="2"/>
        <v/>
      </c>
      <c r="F2223" s="100" t="str">
        <f t="shared" si="3"/>
        <v/>
      </c>
      <c r="G2223" s="151"/>
      <c r="H2223" s="156"/>
      <c r="I2223" s="157"/>
      <c r="J2223" s="158"/>
      <c r="L2223" s="94"/>
      <c r="M2223" s="159"/>
      <c r="N2223" s="94"/>
    </row>
    <row r="2224">
      <c r="A2224" s="107">
        <v>203124.0</v>
      </c>
      <c r="B2224" s="108" t="s">
        <v>193</v>
      </c>
      <c r="C2224" s="108" t="s">
        <v>620</v>
      </c>
      <c r="D2224" s="100" t="str">
        <f t="shared" si="1"/>
        <v/>
      </c>
      <c r="E2224" s="100" t="str">
        <f t="shared" si="2"/>
        <v/>
      </c>
      <c r="F2224" s="100" t="str">
        <f t="shared" si="3"/>
        <v/>
      </c>
      <c r="G2224" s="151"/>
      <c r="H2224" s="160"/>
      <c r="I2224" s="157"/>
      <c r="J2224" s="161"/>
      <c r="L2224" s="94"/>
      <c r="M2224" s="159"/>
      <c r="N2224" s="94"/>
    </row>
    <row r="2225">
      <c r="A2225" s="107">
        <v>203128.0</v>
      </c>
      <c r="B2225" s="108" t="s">
        <v>90</v>
      </c>
      <c r="C2225" s="108" t="s">
        <v>621</v>
      </c>
      <c r="D2225" s="100" t="str">
        <f t="shared" si="1"/>
        <v/>
      </c>
      <c r="E2225" s="100" t="str">
        <f t="shared" si="2"/>
        <v/>
      </c>
      <c r="F2225" s="100" t="str">
        <f t="shared" si="3"/>
        <v/>
      </c>
      <c r="G2225" s="151"/>
      <c r="H2225" s="156"/>
      <c r="I2225" s="157"/>
      <c r="J2225" s="158"/>
      <c r="L2225" s="94"/>
      <c r="M2225" s="159"/>
      <c r="N2225" s="94"/>
    </row>
    <row r="2226">
      <c r="A2226" s="107">
        <v>203129.0</v>
      </c>
      <c r="B2226" s="108" t="s">
        <v>85</v>
      </c>
      <c r="C2226" s="108" t="s">
        <v>622</v>
      </c>
      <c r="D2226" s="100" t="str">
        <f t="shared" si="1"/>
        <v/>
      </c>
      <c r="E2226" s="100" t="str">
        <f t="shared" si="2"/>
        <v/>
      </c>
      <c r="F2226" s="100" t="str">
        <f t="shared" si="3"/>
        <v/>
      </c>
      <c r="G2226" s="151"/>
      <c r="H2226" s="160"/>
      <c r="I2226" s="157"/>
      <c r="J2226" s="161"/>
      <c r="L2226" s="94"/>
      <c r="M2226" s="159"/>
      <c r="N2226" s="94"/>
    </row>
    <row r="2227">
      <c r="A2227" s="107">
        <v>203130.0</v>
      </c>
      <c r="B2227" s="108" t="s">
        <v>85</v>
      </c>
      <c r="C2227" s="108" t="s">
        <v>623</v>
      </c>
      <c r="D2227" s="100" t="str">
        <f t="shared" si="1"/>
        <v/>
      </c>
      <c r="E2227" s="100" t="str">
        <f t="shared" si="2"/>
        <v/>
      </c>
      <c r="F2227" s="100" t="str">
        <f t="shared" si="3"/>
        <v/>
      </c>
      <c r="G2227" s="151"/>
      <c r="H2227" s="156"/>
      <c r="I2227" s="157"/>
      <c r="J2227" s="158"/>
      <c r="L2227" s="94"/>
      <c r="M2227" s="159"/>
      <c r="N2227" s="94"/>
    </row>
    <row r="2228">
      <c r="A2228" s="107">
        <v>203133.0</v>
      </c>
      <c r="B2228" s="108" t="s">
        <v>85</v>
      </c>
      <c r="C2228" s="108" t="s">
        <v>624</v>
      </c>
      <c r="D2228" s="100" t="str">
        <f t="shared" si="1"/>
        <v/>
      </c>
      <c r="E2228" s="100" t="str">
        <f t="shared" si="2"/>
        <v/>
      </c>
      <c r="F2228" s="100" t="str">
        <f t="shared" si="3"/>
        <v/>
      </c>
      <c r="G2228" s="151"/>
      <c r="H2228" s="160"/>
      <c r="I2228" s="157"/>
      <c r="J2228" s="161"/>
      <c r="L2228" s="94"/>
      <c r="M2228" s="159"/>
      <c r="N2228" s="94"/>
    </row>
    <row r="2229">
      <c r="A2229" s="107">
        <v>203133.0</v>
      </c>
      <c r="B2229" s="108" t="s">
        <v>90</v>
      </c>
      <c r="C2229" s="108" t="s">
        <v>624</v>
      </c>
      <c r="D2229" s="100" t="str">
        <f t="shared" si="1"/>
        <v/>
      </c>
      <c r="E2229" s="100" t="str">
        <f t="shared" si="2"/>
        <v/>
      </c>
      <c r="F2229" s="100" t="str">
        <f t="shared" si="3"/>
        <v/>
      </c>
      <c r="G2229" s="151"/>
      <c r="H2229" s="156"/>
      <c r="I2229" s="157"/>
      <c r="J2229" s="158"/>
      <c r="L2229" s="94"/>
      <c r="M2229" s="159"/>
      <c r="N2229" s="94"/>
    </row>
    <row r="2230">
      <c r="A2230" s="107">
        <v>203135.0</v>
      </c>
      <c r="B2230" s="108" t="s">
        <v>85</v>
      </c>
      <c r="C2230" s="108" t="s">
        <v>625</v>
      </c>
      <c r="D2230" s="100" t="str">
        <f t="shared" si="1"/>
        <v/>
      </c>
      <c r="E2230" s="100" t="str">
        <f t="shared" si="2"/>
        <v/>
      </c>
      <c r="F2230" s="100" t="str">
        <f t="shared" si="3"/>
        <v/>
      </c>
      <c r="G2230" s="151"/>
      <c r="H2230" s="160"/>
      <c r="I2230" s="157"/>
      <c r="J2230" s="161"/>
      <c r="L2230" s="94"/>
      <c r="M2230" s="159"/>
      <c r="N2230" s="94"/>
    </row>
    <row r="2231">
      <c r="A2231" s="107">
        <v>203135.0</v>
      </c>
      <c r="B2231" s="108" t="s">
        <v>90</v>
      </c>
      <c r="C2231" s="108" t="s">
        <v>625</v>
      </c>
      <c r="D2231" s="100" t="str">
        <f t="shared" si="1"/>
        <v/>
      </c>
      <c r="E2231" s="100" t="str">
        <f t="shared" si="2"/>
        <v/>
      </c>
      <c r="F2231" s="100" t="str">
        <f t="shared" si="3"/>
        <v/>
      </c>
      <c r="G2231" s="151"/>
      <c r="H2231" s="156"/>
      <c r="I2231" s="157"/>
      <c r="J2231" s="158"/>
      <c r="L2231" s="94"/>
      <c r="M2231" s="159"/>
      <c r="N2231" s="94"/>
    </row>
    <row r="2232">
      <c r="A2232" s="107">
        <v>203135.0</v>
      </c>
      <c r="B2232" s="108" t="s">
        <v>92</v>
      </c>
      <c r="C2232" s="108" t="s">
        <v>625</v>
      </c>
      <c r="D2232" s="100" t="str">
        <f t="shared" si="1"/>
        <v/>
      </c>
      <c r="E2232" s="100" t="str">
        <f t="shared" si="2"/>
        <v/>
      </c>
      <c r="F2232" s="100" t="str">
        <f t="shared" si="3"/>
        <v/>
      </c>
      <c r="G2232" s="151"/>
      <c r="H2232" s="160"/>
      <c r="I2232" s="157"/>
      <c r="J2232" s="161"/>
      <c r="L2232" s="94"/>
      <c r="M2232" s="159"/>
      <c r="N2232" s="94"/>
    </row>
    <row r="2233">
      <c r="A2233" s="107">
        <v>203136.0</v>
      </c>
      <c r="B2233" s="108" t="s">
        <v>85</v>
      </c>
      <c r="C2233" s="108" t="s">
        <v>626</v>
      </c>
      <c r="D2233" s="100" t="str">
        <f t="shared" si="1"/>
        <v/>
      </c>
      <c r="E2233" s="100" t="str">
        <f t="shared" si="2"/>
        <v/>
      </c>
      <c r="F2233" s="100" t="str">
        <f t="shared" si="3"/>
        <v/>
      </c>
      <c r="G2233" s="151"/>
      <c r="H2233" s="156"/>
      <c r="I2233" s="157"/>
      <c r="J2233" s="158"/>
      <c r="L2233" s="94"/>
      <c r="M2233" s="159"/>
      <c r="N2233" s="94"/>
    </row>
    <row r="2234">
      <c r="A2234" s="107">
        <v>203136.0</v>
      </c>
      <c r="B2234" s="108" t="s">
        <v>90</v>
      </c>
      <c r="C2234" s="108" t="s">
        <v>626</v>
      </c>
      <c r="D2234" s="100" t="str">
        <f t="shared" si="1"/>
        <v/>
      </c>
      <c r="E2234" s="100" t="str">
        <f t="shared" si="2"/>
        <v/>
      </c>
      <c r="F2234" s="100" t="str">
        <f t="shared" si="3"/>
        <v/>
      </c>
      <c r="G2234" s="151"/>
      <c r="H2234" s="160"/>
      <c r="I2234" s="157"/>
      <c r="J2234" s="161"/>
      <c r="L2234" s="94"/>
      <c r="M2234" s="159"/>
      <c r="N2234" s="94"/>
    </row>
    <row r="2235">
      <c r="A2235" s="107">
        <v>203138.0</v>
      </c>
      <c r="B2235" s="108" t="s">
        <v>85</v>
      </c>
      <c r="C2235" s="108" t="s">
        <v>627</v>
      </c>
      <c r="D2235" s="100" t="str">
        <f t="shared" si="1"/>
        <v/>
      </c>
      <c r="E2235" s="100" t="str">
        <f t="shared" si="2"/>
        <v/>
      </c>
      <c r="F2235" s="100" t="str">
        <f t="shared" si="3"/>
        <v/>
      </c>
      <c r="G2235" s="151"/>
      <c r="H2235" s="156"/>
      <c r="I2235" s="157"/>
      <c r="J2235" s="158"/>
      <c r="L2235" s="94"/>
      <c r="M2235" s="159"/>
      <c r="N2235" s="94"/>
    </row>
    <row r="2236">
      <c r="A2236" s="107">
        <v>203138.0</v>
      </c>
      <c r="B2236" s="108" t="s">
        <v>90</v>
      </c>
      <c r="C2236" s="108" t="s">
        <v>627</v>
      </c>
      <c r="D2236" s="100" t="str">
        <f t="shared" si="1"/>
        <v/>
      </c>
      <c r="E2236" s="100" t="str">
        <f t="shared" si="2"/>
        <v/>
      </c>
      <c r="F2236" s="100" t="str">
        <f t="shared" si="3"/>
        <v/>
      </c>
      <c r="G2236" s="151"/>
      <c r="H2236" s="160"/>
      <c r="I2236" s="157"/>
      <c r="J2236" s="161"/>
      <c r="L2236" s="94"/>
      <c r="M2236" s="159"/>
      <c r="N2236" s="94"/>
    </row>
    <row r="2237">
      <c r="A2237" s="107">
        <v>203138.0</v>
      </c>
      <c r="B2237" s="108" t="s">
        <v>92</v>
      </c>
      <c r="C2237" s="108" t="s">
        <v>627</v>
      </c>
      <c r="D2237" s="100" t="str">
        <f t="shared" si="1"/>
        <v/>
      </c>
      <c r="E2237" s="100" t="str">
        <f t="shared" si="2"/>
        <v/>
      </c>
      <c r="F2237" s="100" t="str">
        <f t="shared" si="3"/>
        <v/>
      </c>
      <c r="G2237" s="151"/>
      <c r="H2237" s="156"/>
      <c r="I2237" s="157"/>
      <c r="J2237" s="158"/>
      <c r="L2237" s="94"/>
      <c r="M2237" s="159"/>
      <c r="N2237" s="94"/>
    </row>
    <row r="2238">
      <c r="A2238" s="107">
        <v>203138.0</v>
      </c>
      <c r="B2238" s="108" t="s">
        <v>190</v>
      </c>
      <c r="C2238" s="108" t="s">
        <v>627</v>
      </c>
      <c r="D2238" s="100" t="str">
        <f t="shared" si="1"/>
        <v/>
      </c>
      <c r="E2238" s="100" t="str">
        <f t="shared" si="2"/>
        <v/>
      </c>
      <c r="F2238" s="100" t="str">
        <f t="shared" si="3"/>
        <v/>
      </c>
      <c r="G2238" s="151"/>
      <c r="H2238" s="160"/>
      <c r="I2238" s="157"/>
      <c r="J2238" s="161"/>
      <c r="L2238" s="94"/>
      <c r="M2238" s="159"/>
      <c r="N2238" s="94"/>
    </row>
    <row r="2239">
      <c r="A2239" s="107">
        <v>203139.0</v>
      </c>
      <c r="B2239" s="108" t="s">
        <v>85</v>
      </c>
      <c r="C2239" s="108" t="s">
        <v>628</v>
      </c>
      <c r="D2239" s="100" t="str">
        <f t="shared" si="1"/>
        <v/>
      </c>
      <c r="E2239" s="100" t="str">
        <f t="shared" si="2"/>
        <v/>
      </c>
      <c r="F2239" s="100" t="str">
        <f t="shared" si="3"/>
        <v/>
      </c>
      <c r="G2239" s="151"/>
      <c r="H2239" s="156"/>
      <c r="I2239" s="157"/>
      <c r="J2239" s="158"/>
      <c r="L2239" s="94"/>
      <c r="M2239" s="159"/>
      <c r="N2239" s="94"/>
    </row>
    <row r="2240">
      <c r="A2240" s="107">
        <v>203141.0</v>
      </c>
      <c r="B2240" s="108" t="s">
        <v>85</v>
      </c>
      <c r="C2240" s="108" t="s">
        <v>629</v>
      </c>
      <c r="D2240" s="100" t="str">
        <f t="shared" si="1"/>
        <v/>
      </c>
      <c r="E2240" s="100" t="str">
        <f t="shared" si="2"/>
        <v/>
      </c>
      <c r="F2240" s="100" t="str">
        <f t="shared" si="3"/>
        <v/>
      </c>
      <c r="G2240" s="151"/>
      <c r="H2240" s="160"/>
      <c r="I2240" s="157"/>
      <c r="J2240" s="161"/>
      <c r="L2240" s="94"/>
      <c r="M2240" s="159"/>
      <c r="N2240" s="94"/>
    </row>
    <row r="2241">
      <c r="A2241" s="107">
        <v>203141.0</v>
      </c>
      <c r="B2241" s="108" t="s">
        <v>90</v>
      </c>
      <c r="C2241" s="108" t="s">
        <v>629</v>
      </c>
      <c r="D2241" s="100" t="str">
        <f t="shared" si="1"/>
        <v/>
      </c>
      <c r="E2241" s="100" t="str">
        <f t="shared" si="2"/>
        <v/>
      </c>
      <c r="F2241" s="100" t="str">
        <f t="shared" si="3"/>
        <v/>
      </c>
      <c r="G2241" s="151"/>
      <c r="H2241" s="156"/>
      <c r="I2241" s="157"/>
      <c r="J2241" s="158"/>
      <c r="L2241" s="94"/>
      <c r="M2241" s="159"/>
      <c r="N2241" s="94"/>
    </row>
    <row r="2242">
      <c r="A2242" s="107">
        <v>203141.0</v>
      </c>
      <c r="B2242" s="108" t="s">
        <v>92</v>
      </c>
      <c r="C2242" s="108" t="s">
        <v>629</v>
      </c>
      <c r="D2242" s="100" t="str">
        <f t="shared" si="1"/>
        <v/>
      </c>
      <c r="E2242" s="100" t="str">
        <f t="shared" si="2"/>
        <v/>
      </c>
      <c r="F2242" s="100" t="str">
        <f t="shared" si="3"/>
        <v/>
      </c>
      <c r="G2242" s="151"/>
      <c r="H2242" s="160"/>
      <c r="I2242" s="157"/>
      <c r="J2242" s="161"/>
      <c r="L2242" s="94"/>
      <c r="M2242" s="159"/>
      <c r="N2242" s="94"/>
    </row>
    <row r="2243">
      <c r="A2243" s="107">
        <v>203141.0</v>
      </c>
      <c r="B2243" s="108" t="s">
        <v>190</v>
      </c>
      <c r="C2243" s="108" t="s">
        <v>629</v>
      </c>
      <c r="D2243" s="100" t="str">
        <f t="shared" si="1"/>
        <v/>
      </c>
      <c r="E2243" s="100" t="str">
        <f t="shared" si="2"/>
        <v/>
      </c>
      <c r="F2243" s="100" t="str">
        <f t="shared" si="3"/>
        <v/>
      </c>
      <c r="G2243" s="151"/>
      <c r="H2243" s="156"/>
      <c r="I2243" s="157"/>
      <c r="J2243" s="158"/>
      <c r="L2243" s="94"/>
      <c r="M2243" s="159"/>
      <c r="N2243" s="94"/>
    </row>
    <row r="2244">
      <c r="A2244" s="107">
        <v>203141.0</v>
      </c>
      <c r="B2244" s="108" t="s">
        <v>191</v>
      </c>
      <c r="C2244" s="108" t="s">
        <v>629</v>
      </c>
      <c r="D2244" s="100" t="str">
        <f t="shared" si="1"/>
        <v/>
      </c>
      <c r="E2244" s="100" t="str">
        <f t="shared" si="2"/>
        <v/>
      </c>
      <c r="F2244" s="100" t="str">
        <f t="shared" si="3"/>
        <v/>
      </c>
      <c r="G2244" s="151"/>
      <c r="H2244" s="160"/>
      <c r="I2244" s="157"/>
      <c r="J2244" s="161"/>
      <c r="L2244" s="94"/>
      <c r="M2244" s="159"/>
      <c r="N2244" s="94"/>
    </row>
    <row r="2245">
      <c r="A2245" s="107">
        <v>203142.0</v>
      </c>
      <c r="B2245" s="108" t="s">
        <v>85</v>
      </c>
      <c r="C2245" s="108" t="s">
        <v>630</v>
      </c>
      <c r="D2245" s="100" t="str">
        <f t="shared" si="1"/>
        <v/>
      </c>
      <c r="E2245" s="100" t="str">
        <f t="shared" si="2"/>
        <v/>
      </c>
      <c r="F2245" s="100" t="str">
        <f t="shared" si="3"/>
        <v/>
      </c>
      <c r="G2245" s="151"/>
      <c r="H2245" s="156"/>
      <c r="I2245" s="157"/>
      <c r="J2245" s="158"/>
      <c r="L2245" s="94"/>
      <c r="M2245" s="159"/>
      <c r="N2245" s="94"/>
    </row>
    <row r="2246">
      <c r="A2246" s="107">
        <v>203142.0</v>
      </c>
      <c r="B2246" s="108" t="s">
        <v>90</v>
      </c>
      <c r="C2246" s="108" t="s">
        <v>630</v>
      </c>
      <c r="D2246" s="100" t="str">
        <f t="shared" si="1"/>
        <v/>
      </c>
      <c r="E2246" s="100" t="str">
        <f t="shared" si="2"/>
        <v/>
      </c>
      <c r="F2246" s="100" t="str">
        <f t="shared" si="3"/>
        <v/>
      </c>
      <c r="G2246" s="151"/>
      <c r="H2246" s="160"/>
      <c r="I2246" s="157"/>
      <c r="J2246" s="161"/>
      <c r="L2246" s="94"/>
      <c r="M2246" s="159"/>
      <c r="N2246" s="94"/>
    </row>
    <row r="2247">
      <c r="A2247" s="107">
        <v>203142.0</v>
      </c>
      <c r="B2247" s="108" t="s">
        <v>92</v>
      </c>
      <c r="C2247" s="108" t="s">
        <v>630</v>
      </c>
      <c r="D2247" s="100" t="str">
        <f t="shared" si="1"/>
        <v/>
      </c>
      <c r="E2247" s="100" t="str">
        <f t="shared" si="2"/>
        <v/>
      </c>
      <c r="F2247" s="100" t="str">
        <f t="shared" si="3"/>
        <v/>
      </c>
      <c r="G2247" s="151"/>
      <c r="H2247" s="156"/>
      <c r="I2247" s="162"/>
      <c r="J2247" s="158"/>
      <c r="L2247" s="94"/>
      <c r="M2247" s="159"/>
      <c r="N2247" s="94"/>
    </row>
    <row r="2248">
      <c r="A2248" s="107">
        <v>203143.0</v>
      </c>
      <c r="B2248" s="108" t="s">
        <v>85</v>
      </c>
      <c r="C2248" s="108" t="s">
        <v>631</v>
      </c>
      <c r="D2248" s="100" t="str">
        <f t="shared" si="1"/>
        <v/>
      </c>
      <c r="E2248" s="100" t="str">
        <f t="shared" si="2"/>
        <v/>
      </c>
      <c r="F2248" s="100" t="str">
        <f t="shared" si="3"/>
        <v/>
      </c>
      <c r="G2248" s="151"/>
      <c r="H2248" s="160"/>
      <c r="I2248" s="157"/>
      <c r="J2248" s="161"/>
      <c r="L2248" s="94"/>
      <c r="M2248" s="159"/>
      <c r="N2248" s="94"/>
    </row>
    <row r="2249">
      <c r="A2249" s="107">
        <v>203143.0</v>
      </c>
      <c r="B2249" s="108" t="s">
        <v>90</v>
      </c>
      <c r="C2249" s="108" t="s">
        <v>631</v>
      </c>
      <c r="D2249" s="100" t="str">
        <f t="shared" si="1"/>
        <v/>
      </c>
      <c r="E2249" s="100" t="str">
        <f t="shared" si="2"/>
        <v/>
      </c>
      <c r="F2249" s="100" t="str">
        <f t="shared" si="3"/>
        <v/>
      </c>
      <c r="G2249" s="151"/>
      <c r="H2249" s="156"/>
      <c r="I2249" s="157"/>
      <c r="J2249" s="158"/>
      <c r="L2249" s="94"/>
      <c r="M2249" s="159"/>
      <c r="N2249" s="94"/>
    </row>
    <row r="2250">
      <c r="A2250" s="107">
        <v>203143.0</v>
      </c>
      <c r="B2250" s="108" t="s">
        <v>92</v>
      </c>
      <c r="C2250" s="108" t="s">
        <v>631</v>
      </c>
      <c r="D2250" s="100" t="str">
        <f t="shared" si="1"/>
        <v/>
      </c>
      <c r="E2250" s="100" t="str">
        <f t="shared" si="2"/>
        <v/>
      </c>
      <c r="F2250" s="100" t="str">
        <f t="shared" si="3"/>
        <v/>
      </c>
      <c r="G2250" s="151"/>
      <c r="H2250" s="160"/>
      <c r="I2250" s="157"/>
      <c r="J2250" s="161"/>
      <c r="L2250" s="94"/>
      <c r="M2250" s="159"/>
      <c r="N2250" s="94"/>
    </row>
    <row r="2251">
      <c r="A2251" s="107">
        <v>203144.0</v>
      </c>
      <c r="B2251" s="108" t="s">
        <v>85</v>
      </c>
      <c r="C2251" s="108" t="s">
        <v>632</v>
      </c>
      <c r="D2251" s="100" t="str">
        <f t="shared" si="1"/>
        <v/>
      </c>
      <c r="E2251" s="100" t="str">
        <f t="shared" si="2"/>
        <v/>
      </c>
      <c r="F2251" s="100" t="str">
        <f t="shared" si="3"/>
        <v/>
      </c>
      <c r="G2251" s="151"/>
      <c r="H2251" s="156"/>
      <c r="I2251" s="157"/>
      <c r="J2251" s="158"/>
      <c r="L2251" s="94"/>
      <c r="M2251" s="159"/>
      <c r="N2251" s="94"/>
    </row>
    <row r="2252">
      <c r="A2252" s="107">
        <v>203144.0</v>
      </c>
      <c r="B2252" s="108" t="s">
        <v>90</v>
      </c>
      <c r="C2252" s="108" t="s">
        <v>632</v>
      </c>
      <c r="D2252" s="100" t="str">
        <f t="shared" si="1"/>
        <v/>
      </c>
      <c r="E2252" s="100" t="str">
        <f t="shared" si="2"/>
        <v/>
      </c>
      <c r="F2252" s="100" t="str">
        <f t="shared" si="3"/>
        <v/>
      </c>
      <c r="G2252" s="151"/>
      <c r="H2252" s="160"/>
      <c r="I2252" s="157"/>
      <c r="J2252" s="161"/>
      <c r="L2252" s="94"/>
      <c r="M2252" s="159"/>
      <c r="N2252" s="94"/>
    </row>
    <row r="2253">
      <c r="A2253" s="107">
        <v>203145.0</v>
      </c>
      <c r="B2253" s="108" t="s">
        <v>85</v>
      </c>
      <c r="C2253" s="108" t="s">
        <v>633</v>
      </c>
      <c r="D2253" s="100" t="str">
        <f t="shared" si="1"/>
        <v/>
      </c>
      <c r="E2253" s="100" t="str">
        <f t="shared" si="2"/>
        <v/>
      </c>
      <c r="F2253" s="100" t="str">
        <f t="shared" si="3"/>
        <v/>
      </c>
      <c r="G2253" s="151"/>
      <c r="H2253" s="156"/>
      <c r="I2253" s="157"/>
      <c r="J2253" s="158"/>
      <c r="L2253" s="94"/>
      <c r="M2253" s="159"/>
      <c r="N2253" s="94"/>
    </row>
    <row r="2254">
      <c r="A2254" s="107">
        <v>203145.0</v>
      </c>
      <c r="B2254" s="108" t="s">
        <v>90</v>
      </c>
      <c r="C2254" s="108" t="s">
        <v>633</v>
      </c>
      <c r="D2254" s="100" t="str">
        <f t="shared" si="1"/>
        <v/>
      </c>
      <c r="E2254" s="100" t="str">
        <f t="shared" si="2"/>
        <v/>
      </c>
      <c r="F2254" s="100" t="str">
        <f t="shared" si="3"/>
        <v/>
      </c>
      <c r="G2254" s="151"/>
      <c r="H2254" s="160"/>
      <c r="I2254" s="157"/>
      <c r="J2254" s="161"/>
      <c r="L2254" s="94"/>
      <c r="M2254" s="159"/>
      <c r="N2254" s="94"/>
    </row>
    <row r="2255">
      <c r="A2255" s="107">
        <v>203145.0</v>
      </c>
      <c r="B2255" s="108" t="s">
        <v>92</v>
      </c>
      <c r="C2255" s="108" t="s">
        <v>633</v>
      </c>
      <c r="D2255" s="100" t="str">
        <f t="shared" si="1"/>
        <v/>
      </c>
      <c r="E2255" s="100" t="str">
        <f t="shared" si="2"/>
        <v/>
      </c>
      <c r="F2255" s="100" t="str">
        <f t="shared" si="3"/>
        <v/>
      </c>
      <c r="G2255" s="151"/>
      <c r="H2255" s="156"/>
      <c r="I2255" s="157"/>
      <c r="J2255" s="158"/>
      <c r="L2255" s="94"/>
      <c r="M2255" s="159"/>
      <c r="N2255" s="94"/>
    </row>
    <row r="2256">
      <c r="A2256" s="107">
        <v>203145.0</v>
      </c>
      <c r="B2256" s="108" t="s">
        <v>190</v>
      </c>
      <c r="C2256" s="108" t="s">
        <v>633</v>
      </c>
      <c r="D2256" s="100" t="str">
        <f t="shared" si="1"/>
        <v/>
      </c>
      <c r="E2256" s="100" t="str">
        <f t="shared" si="2"/>
        <v/>
      </c>
      <c r="F2256" s="100" t="str">
        <f t="shared" si="3"/>
        <v/>
      </c>
      <c r="G2256" s="151"/>
      <c r="H2256" s="160"/>
      <c r="I2256" s="157"/>
      <c r="J2256" s="161"/>
      <c r="L2256" s="94"/>
      <c r="M2256" s="159"/>
      <c r="N2256" s="94"/>
    </row>
    <row r="2257">
      <c r="A2257" s="107">
        <v>203145.0</v>
      </c>
      <c r="B2257" s="108" t="s">
        <v>191</v>
      </c>
      <c r="C2257" s="108" t="s">
        <v>633</v>
      </c>
      <c r="D2257" s="100" t="str">
        <f t="shared" si="1"/>
        <v/>
      </c>
      <c r="E2257" s="100" t="str">
        <f t="shared" si="2"/>
        <v/>
      </c>
      <c r="F2257" s="100" t="str">
        <f t="shared" si="3"/>
        <v/>
      </c>
      <c r="G2257" s="151"/>
      <c r="H2257" s="156"/>
      <c r="I2257" s="157"/>
      <c r="J2257" s="158"/>
      <c r="L2257" s="94"/>
      <c r="M2257" s="159"/>
      <c r="N2257" s="94"/>
    </row>
    <row r="2258">
      <c r="A2258" s="107">
        <v>203145.0</v>
      </c>
      <c r="B2258" s="108" t="s">
        <v>192</v>
      </c>
      <c r="C2258" s="108" t="s">
        <v>633</v>
      </c>
      <c r="D2258" s="100" t="str">
        <f t="shared" si="1"/>
        <v/>
      </c>
      <c r="E2258" s="100" t="str">
        <f t="shared" si="2"/>
        <v/>
      </c>
      <c r="F2258" s="100" t="str">
        <f t="shared" si="3"/>
        <v/>
      </c>
      <c r="G2258" s="151"/>
      <c r="H2258" s="160"/>
      <c r="I2258" s="162"/>
      <c r="J2258" s="161"/>
      <c r="L2258" s="94"/>
      <c r="M2258" s="159"/>
      <c r="N2258" s="94"/>
    </row>
    <row r="2259">
      <c r="A2259" s="107">
        <v>203145.0</v>
      </c>
      <c r="B2259" s="108" t="s">
        <v>193</v>
      </c>
      <c r="C2259" s="108" t="s">
        <v>633</v>
      </c>
      <c r="D2259" s="100" t="str">
        <f t="shared" si="1"/>
        <v/>
      </c>
      <c r="E2259" s="100" t="str">
        <f t="shared" si="2"/>
        <v/>
      </c>
      <c r="F2259" s="100" t="str">
        <f t="shared" si="3"/>
        <v/>
      </c>
      <c r="G2259" s="151"/>
      <c r="H2259" s="156"/>
      <c r="I2259" s="157"/>
      <c r="J2259" s="158"/>
      <c r="L2259" s="94"/>
      <c r="M2259" s="159"/>
      <c r="N2259" s="94"/>
    </row>
    <row r="2260">
      <c r="A2260" s="107">
        <v>203145.0</v>
      </c>
      <c r="B2260" s="108" t="s">
        <v>243</v>
      </c>
      <c r="C2260" s="108" t="s">
        <v>633</v>
      </c>
      <c r="D2260" s="100" t="str">
        <f t="shared" si="1"/>
        <v/>
      </c>
      <c r="E2260" s="100" t="str">
        <f t="shared" si="2"/>
        <v/>
      </c>
      <c r="F2260" s="100" t="str">
        <f t="shared" si="3"/>
        <v/>
      </c>
      <c r="G2260" s="151"/>
      <c r="H2260" s="160"/>
      <c r="I2260" s="157"/>
      <c r="J2260" s="161"/>
      <c r="L2260" s="94"/>
      <c r="M2260" s="159"/>
      <c r="N2260" s="94"/>
    </row>
    <row r="2261">
      <c r="A2261" s="107">
        <v>203145.0</v>
      </c>
      <c r="B2261" s="108" t="s">
        <v>215</v>
      </c>
      <c r="C2261" s="108" t="s">
        <v>633</v>
      </c>
      <c r="D2261" s="100" t="str">
        <f t="shared" si="1"/>
        <v/>
      </c>
      <c r="E2261" s="100" t="str">
        <f t="shared" si="2"/>
        <v/>
      </c>
      <c r="F2261" s="100" t="str">
        <f t="shared" si="3"/>
        <v/>
      </c>
      <c r="G2261" s="151"/>
      <c r="H2261" s="156"/>
      <c r="I2261" s="157"/>
      <c r="J2261" s="158"/>
      <c r="L2261" s="94"/>
      <c r="M2261" s="159"/>
      <c r="N2261" s="94"/>
    </row>
    <row r="2262">
      <c r="A2262" s="107">
        <v>203146.0</v>
      </c>
      <c r="B2262" s="108" t="s">
        <v>85</v>
      </c>
      <c r="C2262" s="108" t="s">
        <v>634</v>
      </c>
      <c r="D2262" s="100" t="str">
        <f t="shared" si="1"/>
        <v/>
      </c>
      <c r="E2262" s="100" t="str">
        <f t="shared" si="2"/>
        <v/>
      </c>
      <c r="F2262" s="100" t="str">
        <f t="shared" si="3"/>
        <v/>
      </c>
      <c r="G2262" s="151"/>
      <c r="H2262" s="160"/>
      <c r="I2262" s="157"/>
      <c r="J2262" s="161"/>
      <c r="L2262" s="94"/>
      <c r="M2262" s="159"/>
      <c r="N2262" s="94"/>
    </row>
    <row r="2263">
      <c r="A2263" s="107">
        <v>203147.0</v>
      </c>
      <c r="B2263" s="108" t="s">
        <v>85</v>
      </c>
      <c r="C2263" s="108" t="s">
        <v>635</v>
      </c>
      <c r="D2263" s="100" t="str">
        <f t="shared" si="1"/>
        <v/>
      </c>
      <c r="E2263" s="100" t="str">
        <f t="shared" si="2"/>
        <v/>
      </c>
      <c r="F2263" s="100" t="str">
        <f t="shared" si="3"/>
        <v/>
      </c>
      <c r="G2263" s="151"/>
      <c r="H2263" s="156"/>
      <c r="I2263" s="157"/>
      <c r="J2263" s="158"/>
      <c r="L2263" s="94"/>
      <c r="M2263" s="159"/>
      <c r="N2263" s="94"/>
    </row>
    <row r="2264">
      <c r="A2264" s="107">
        <v>203148.0</v>
      </c>
      <c r="B2264" s="108" t="s">
        <v>85</v>
      </c>
      <c r="C2264" s="108" t="s">
        <v>636</v>
      </c>
      <c r="D2264" s="100" t="str">
        <f t="shared" si="1"/>
        <v/>
      </c>
      <c r="E2264" s="100" t="str">
        <f t="shared" si="2"/>
        <v/>
      </c>
      <c r="F2264" s="100" t="str">
        <f t="shared" si="3"/>
        <v/>
      </c>
      <c r="G2264" s="151"/>
      <c r="H2264" s="160"/>
      <c r="I2264" s="157"/>
      <c r="J2264" s="161"/>
      <c r="L2264" s="94"/>
      <c r="M2264" s="159"/>
      <c r="N2264" s="94"/>
    </row>
    <row r="2265">
      <c r="A2265" s="107">
        <v>203148.0</v>
      </c>
      <c r="B2265" s="108" t="s">
        <v>90</v>
      </c>
      <c r="C2265" s="108" t="s">
        <v>636</v>
      </c>
      <c r="D2265" s="100" t="str">
        <f t="shared" si="1"/>
        <v/>
      </c>
      <c r="E2265" s="100" t="str">
        <f t="shared" si="2"/>
        <v/>
      </c>
      <c r="F2265" s="100" t="str">
        <f t="shared" si="3"/>
        <v/>
      </c>
      <c r="G2265" s="151"/>
      <c r="H2265" s="156"/>
      <c r="I2265" s="157"/>
      <c r="J2265" s="158"/>
      <c r="L2265" s="94"/>
      <c r="M2265" s="159"/>
      <c r="N2265" s="94"/>
    </row>
    <row r="2266">
      <c r="A2266" s="107">
        <v>203148.0</v>
      </c>
      <c r="B2266" s="108" t="s">
        <v>92</v>
      </c>
      <c r="C2266" s="108" t="s">
        <v>636</v>
      </c>
      <c r="D2266" s="100" t="str">
        <f t="shared" si="1"/>
        <v/>
      </c>
      <c r="E2266" s="100" t="str">
        <f t="shared" si="2"/>
        <v/>
      </c>
      <c r="F2266" s="100" t="str">
        <f t="shared" si="3"/>
        <v/>
      </c>
      <c r="G2266" s="151"/>
      <c r="H2266" s="160"/>
      <c r="I2266" s="157"/>
      <c r="J2266" s="161"/>
      <c r="L2266" s="94"/>
      <c r="M2266" s="159"/>
      <c r="N2266" s="94"/>
    </row>
    <row r="2267">
      <c r="A2267" s="107">
        <v>203148.0</v>
      </c>
      <c r="B2267" s="108" t="s">
        <v>190</v>
      </c>
      <c r="C2267" s="108" t="s">
        <v>636</v>
      </c>
      <c r="D2267" s="100" t="str">
        <f t="shared" si="1"/>
        <v/>
      </c>
      <c r="E2267" s="100" t="str">
        <f t="shared" si="2"/>
        <v/>
      </c>
      <c r="F2267" s="100" t="str">
        <f t="shared" si="3"/>
        <v/>
      </c>
      <c r="G2267" s="151"/>
      <c r="H2267" s="156"/>
      <c r="I2267" s="157"/>
      <c r="J2267" s="158"/>
      <c r="L2267" s="94"/>
      <c r="M2267" s="159"/>
      <c r="N2267" s="94"/>
    </row>
    <row r="2268">
      <c r="A2268" s="107">
        <v>203156.0</v>
      </c>
      <c r="B2268" s="108" t="s">
        <v>85</v>
      </c>
      <c r="C2268" s="108" t="s">
        <v>637</v>
      </c>
      <c r="D2268" s="100" t="str">
        <f t="shared" si="1"/>
        <v/>
      </c>
      <c r="E2268" s="100" t="str">
        <f t="shared" si="2"/>
        <v/>
      </c>
      <c r="F2268" s="100" t="str">
        <f t="shared" si="3"/>
        <v/>
      </c>
      <c r="G2268" s="151"/>
      <c r="H2268" s="160"/>
      <c r="I2268" s="157"/>
      <c r="J2268" s="161"/>
      <c r="L2268" s="94"/>
      <c r="M2268" s="159"/>
      <c r="N2268" s="94"/>
    </row>
    <row r="2269">
      <c r="A2269" s="107">
        <v>203156.0</v>
      </c>
      <c r="B2269" s="108" t="s">
        <v>90</v>
      </c>
      <c r="C2269" s="108" t="s">
        <v>637</v>
      </c>
      <c r="D2269" s="100" t="str">
        <f t="shared" si="1"/>
        <v/>
      </c>
      <c r="E2269" s="100" t="str">
        <f t="shared" si="2"/>
        <v/>
      </c>
      <c r="F2269" s="100" t="str">
        <f t="shared" si="3"/>
        <v/>
      </c>
      <c r="G2269" s="151"/>
      <c r="H2269" s="156"/>
      <c r="I2269" s="157"/>
      <c r="J2269" s="158"/>
      <c r="L2269" s="94"/>
      <c r="M2269" s="159"/>
      <c r="N2269" s="94"/>
    </row>
    <row r="2270">
      <c r="A2270" s="107">
        <v>203156.0</v>
      </c>
      <c r="B2270" s="108" t="s">
        <v>92</v>
      </c>
      <c r="C2270" s="108" t="s">
        <v>637</v>
      </c>
      <c r="D2270" s="100" t="str">
        <f t="shared" si="1"/>
        <v/>
      </c>
      <c r="E2270" s="100" t="str">
        <f t="shared" si="2"/>
        <v/>
      </c>
      <c r="F2270" s="100" t="str">
        <f t="shared" si="3"/>
        <v/>
      </c>
      <c r="G2270" s="151"/>
      <c r="H2270" s="160"/>
      <c r="I2270" s="157"/>
      <c r="J2270" s="161"/>
      <c r="L2270" s="94"/>
      <c r="M2270" s="159"/>
      <c r="N2270" s="94"/>
    </row>
    <row r="2271">
      <c r="A2271" s="107">
        <v>203159.0</v>
      </c>
      <c r="B2271" s="108" t="s">
        <v>192</v>
      </c>
      <c r="C2271" s="108" t="s">
        <v>638</v>
      </c>
      <c r="D2271" s="100" t="str">
        <f t="shared" si="1"/>
        <v/>
      </c>
      <c r="E2271" s="100" t="str">
        <f t="shared" si="2"/>
        <v/>
      </c>
      <c r="F2271" s="100" t="str">
        <f t="shared" si="3"/>
        <v/>
      </c>
      <c r="G2271" s="151"/>
      <c r="H2271" s="156"/>
      <c r="I2271" s="157"/>
      <c r="J2271" s="158"/>
      <c r="L2271" s="94"/>
      <c r="M2271" s="159"/>
      <c r="N2271" s="94"/>
    </row>
    <row r="2272">
      <c r="A2272" s="107">
        <v>203186.0</v>
      </c>
      <c r="B2272" s="108" t="s">
        <v>92</v>
      </c>
      <c r="C2272" s="108" t="s">
        <v>639</v>
      </c>
      <c r="D2272" s="100" t="str">
        <f t="shared" si="1"/>
        <v/>
      </c>
      <c r="E2272" s="100" t="str">
        <f t="shared" si="2"/>
        <v/>
      </c>
      <c r="F2272" s="100" t="str">
        <f t="shared" si="3"/>
        <v/>
      </c>
      <c r="G2272" s="151"/>
      <c r="H2272" s="160"/>
      <c r="I2272" s="162"/>
      <c r="J2272" s="161"/>
      <c r="L2272" s="94"/>
      <c r="M2272" s="159"/>
      <c r="N2272" s="94"/>
    </row>
    <row r="2273">
      <c r="A2273" s="107">
        <v>203186.0</v>
      </c>
      <c r="B2273" s="108" t="s">
        <v>190</v>
      </c>
      <c r="C2273" s="108" t="s">
        <v>639</v>
      </c>
      <c r="D2273" s="100" t="str">
        <f t="shared" si="1"/>
        <v/>
      </c>
      <c r="E2273" s="100" t="str">
        <f t="shared" si="2"/>
        <v/>
      </c>
      <c r="F2273" s="100" t="str">
        <f t="shared" si="3"/>
        <v/>
      </c>
      <c r="G2273" s="151"/>
      <c r="H2273" s="156"/>
      <c r="I2273" s="162"/>
      <c r="J2273" s="158"/>
      <c r="L2273" s="94"/>
      <c r="M2273" s="159"/>
      <c r="N2273" s="94"/>
    </row>
    <row r="2274">
      <c r="A2274" s="107">
        <v>203186.0</v>
      </c>
      <c r="B2274" s="108" t="s">
        <v>191</v>
      </c>
      <c r="C2274" s="108" t="s">
        <v>639</v>
      </c>
      <c r="D2274" s="100" t="str">
        <f t="shared" si="1"/>
        <v/>
      </c>
      <c r="E2274" s="100" t="str">
        <f t="shared" si="2"/>
        <v/>
      </c>
      <c r="F2274" s="100" t="str">
        <f t="shared" si="3"/>
        <v/>
      </c>
      <c r="G2274" s="151"/>
      <c r="H2274" s="160"/>
      <c r="I2274" s="157"/>
      <c r="J2274" s="161"/>
      <c r="L2274" s="94"/>
      <c r="M2274" s="159"/>
      <c r="N2274" s="94"/>
    </row>
    <row r="2275">
      <c r="A2275" s="107">
        <v>203187.0</v>
      </c>
      <c r="B2275" s="108" t="s">
        <v>85</v>
      </c>
      <c r="C2275" s="108" t="s">
        <v>640</v>
      </c>
      <c r="D2275" s="100" t="str">
        <f t="shared" si="1"/>
        <v/>
      </c>
      <c r="E2275" s="100" t="str">
        <f t="shared" si="2"/>
        <v/>
      </c>
      <c r="F2275" s="100" t="str">
        <f t="shared" si="3"/>
        <v/>
      </c>
      <c r="G2275" s="151"/>
      <c r="H2275" s="156"/>
      <c r="I2275" s="157"/>
      <c r="J2275" s="158"/>
      <c r="L2275" s="94"/>
      <c r="M2275" s="159"/>
      <c r="N2275" s="94"/>
    </row>
    <row r="2276">
      <c r="A2276" s="107">
        <v>203187.0</v>
      </c>
      <c r="B2276" s="108" t="s">
        <v>90</v>
      </c>
      <c r="C2276" s="108" t="s">
        <v>640</v>
      </c>
      <c r="D2276" s="100" t="str">
        <f t="shared" si="1"/>
        <v/>
      </c>
      <c r="E2276" s="100" t="str">
        <f t="shared" si="2"/>
        <v/>
      </c>
      <c r="F2276" s="100" t="str">
        <f t="shared" si="3"/>
        <v/>
      </c>
      <c r="G2276" s="151"/>
      <c r="H2276" s="160"/>
      <c r="I2276" s="157"/>
      <c r="J2276" s="161"/>
      <c r="L2276" s="94"/>
      <c r="M2276" s="159"/>
      <c r="N2276" s="94"/>
    </row>
    <row r="2277">
      <c r="A2277" s="107">
        <v>203187.0</v>
      </c>
      <c r="B2277" s="108" t="s">
        <v>92</v>
      </c>
      <c r="C2277" s="108" t="s">
        <v>640</v>
      </c>
      <c r="D2277" s="100" t="str">
        <f t="shared" si="1"/>
        <v/>
      </c>
      <c r="E2277" s="100" t="str">
        <f t="shared" si="2"/>
        <v/>
      </c>
      <c r="F2277" s="100" t="str">
        <f t="shared" si="3"/>
        <v/>
      </c>
      <c r="G2277" s="151"/>
      <c r="H2277" s="156"/>
      <c r="I2277" s="157"/>
      <c r="J2277" s="158"/>
      <c r="L2277" s="94"/>
      <c r="M2277" s="159"/>
      <c r="N2277" s="94"/>
    </row>
    <row r="2278">
      <c r="A2278" s="107">
        <v>203197.0</v>
      </c>
      <c r="B2278" s="108" t="s">
        <v>85</v>
      </c>
      <c r="C2278" s="108" t="s">
        <v>641</v>
      </c>
      <c r="D2278" s="100" t="str">
        <f t="shared" si="1"/>
        <v/>
      </c>
      <c r="E2278" s="100" t="str">
        <f t="shared" si="2"/>
        <v/>
      </c>
      <c r="F2278" s="100" t="str">
        <f t="shared" si="3"/>
        <v/>
      </c>
      <c r="G2278" s="151"/>
      <c r="H2278" s="160"/>
      <c r="I2278" s="157"/>
      <c r="J2278" s="161"/>
      <c r="L2278" s="94"/>
      <c r="M2278" s="159"/>
      <c r="N2278" s="94"/>
    </row>
    <row r="2279">
      <c r="A2279" s="107">
        <v>203200.0</v>
      </c>
      <c r="B2279" s="108" t="s">
        <v>90</v>
      </c>
      <c r="C2279" s="108" t="s">
        <v>642</v>
      </c>
      <c r="D2279" s="100" t="str">
        <f t="shared" si="1"/>
        <v/>
      </c>
      <c r="E2279" s="100" t="str">
        <f t="shared" si="2"/>
        <v/>
      </c>
      <c r="F2279" s="100" t="str">
        <f t="shared" si="3"/>
        <v/>
      </c>
      <c r="G2279" s="151"/>
      <c r="H2279" s="156"/>
      <c r="I2279" s="157"/>
      <c r="J2279" s="158"/>
      <c r="L2279" s="94"/>
      <c r="M2279" s="159"/>
      <c r="N2279" s="94"/>
    </row>
    <row r="2280">
      <c r="A2280" s="107">
        <v>203200.0</v>
      </c>
      <c r="B2280" s="108" t="s">
        <v>92</v>
      </c>
      <c r="C2280" s="108" t="s">
        <v>642</v>
      </c>
      <c r="D2280" s="100" t="str">
        <f t="shared" si="1"/>
        <v/>
      </c>
      <c r="E2280" s="100" t="str">
        <f t="shared" si="2"/>
        <v/>
      </c>
      <c r="F2280" s="100" t="str">
        <f t="shared" si="3"/>
        <v/>
      </c>
      <c r="G2280" s="151"/>
      <c r="H2280" s="160"/>
      <c r="I2280" s="157"/>
      <c r="J2280" s="161"/>
      <c r="L2280" s="94"/>
      <c r="M2280" s="159"/>
      <c r="N2280" s="94"/>
    </row>
    <row r="2281">
      <c r="A2281" s="107">
        <v>203200.0</v>
      </c>
      <c r="B2281" s="108" t="s">
        <v>190</v>
      </c>
      <c r="C2281" s="108" t="s">
        <v>642</v>
      </c>
      <c r="D2281" s="100" t="str">
        <f t="shared" si="1"/>
        <v/>
      </c>
      <c r="E2281" s="100" t="str">
        <f t="shared" si="2"/>
        <v/>
      </c>
      <c r="F2281" s="100" t="str">
        <f t="shared" si="3"/>
        <v/>
      </c>
      <c r="G2281" s="151"/>
      <c r="H2281" s="156"/>
      <c r="I2281" s="157"/>
      <c r="J2281" s="158"/>
      <c r="L2281" s="94"/>
      <c r="M2281" s="159"/>
      <c r="N2281" s="94"/>
    </row>
    <row r="2282">
      <c r="A2282" s="107">
        <v>203200.0</v>
      </c>
      <c r="B2282" s="108" t="s">
        <v>191</v>
      </c>
      <c r="C2282" s="108" t="s">
        <v>642</v>
      </c>
      <c r="D2282" s="100" t="str">
        <f t="shared" si="1"/>
        <v/>
      </c>
      <c r="E2282" s="100" t="str">
        <f t="shared" si="2"/>
        <v/>
      </c>
      <c r="F2282" s="100" t="str">
        <f t="shared" si="3"/>
        <v/>
      </c>
      <c r="G2282" s="151"/>
      <c r="H2282" s="160"/>
      <c r="I2282" s="157"/>
      <c r="J2282" s="161"/>
      <c r="L2282" s="94"/>
      <c r="M2282" s="159"/>
      <c r="N2282" s="94"/>
    </row>
    <row r="2283">
      <c r="A2283" s="107">
        <v>203200.0</v>
      </c>
      <c r="B2283" s="108" t="s">
        <v>192</v>
      </c>
      <c r="C2283" s="108" t="s">
        <v>642</v>
      </c>
      <c r="D2283" s="100" t="str">
        <f t="shared" si="1"/>
        <v/>
      </c>
      <c r="E2283" s="100" t="str">
        <f t="shared" si="2"/>
        <v/>
      </c>
      <c r="F2283" s="100" t="str">
        <f t="shared" si="3"/>
        <v/>
      </c>
      <c r="G2283" s="151"/>
      <c r="H2283" s="156"/>
      <c r="I2283" s="157"/>
      <c r="J2283" s="158"/>
      <c r="L2283" s="94"/>
      <c r="M2283" s="159"/>
      <c r="N2283" s="94"/>
    </row>
    <row r="2284">
      <c r="A2284" s="107">
        <v>203200.0</v>
      </c>
      <c r="B2284" s="108" t="s">
        <v>193</v>
      </c>
      <c r="C2284" s="108" t="s">
        <v>642</v>
      </c>
      <c r="D2284" s="100" t="str">
        <f t="shared" si="1"/>
        <v/>
      </c>
      <c r="E2284" s="100" t="str">
        <f t="shared" si="2"/>
        <v/>
      </c>
      <c r="F2284" s="100" t="str">
        <f t="shared" si="3"/>
        <v/>
      </c>
      <c r="G2284" s="151"/>
      <c r="H2284" s="160"/>
      <c r="I2284" s="157"/>
      <c r="J2284" s="161"/>
      <c r="L2284" s="94"/>
      <c r="M2284" s="159"/>
      <c r="N2284" s="94"/>
    </row>
    <row r="2285">
      <c r="A2285" s="107">
        <v>203200.0</v>
      </c>
      <c r="B2285" s="108" t="s">
        <v>243</v>
      </c>
      <c r="C2285" s="108" t="s">
        <v>642</v>
      </c>
      <c r="D2285" s="100" t="str">
        <f t="shared" si="1"/>
        <v/>
      </c>
      <c r="E2285" s="100" t="str">
        <f t="shared" si="2"/>
        <v/>
      </c>
      <c r="F2285" s="100" t="str">
        <f t="shared" si="3"/>
        <v/>
      </c>
      <c r="G2285" s="151"/>
      <c r="H2285" s="156"/>
      <c r="I2285" s="157"/>
      <c r="J2285" s="158"/>
      <c r="L2285" s="94"/>
      <c r="M2285" s="159"/>
      <c r="N2285" s="94"/>
    </row>
    <row r="2286">
      <c r="A2286" s="107">
        <v>203200.0</v>
      </c>
      <c r="B2286" s="108" t="s">
        <v>215</v>
      </c>
      <c r="C2286" s="108" t="s">
        <v>642</v>
      </c>
      <c r="D2286" s="100" t="str">
        <f t="shared" si="1"/>
        <v/>
      </c>
      <c r="E2286" s="100" t="str">
        <f t="shared" si="2"/>
        <v/>
      </c>
      <c r="F2286" s="100" t="str">
        <f t="shared" si="3"/>
        <v/>
      </c>
      <c r="G2286" s="151"/>
      <c r="H2286" s="160"/>
      <c r="I2286" s="157"/>
      <c r="J2286" s="161"/>
      <c r="L2286" s="94"/>
      <c r="M2286" s="159"/>
      <c r="N2286" s="94"/>
    </row>
    <row r="2287">
      <c r="A2287" s="107">
        <v>203200.0</v>
      </c>
      <c r="B2287" s="108" t="s">
        <v>244</v>
      </c>
      <c r="C2287" s="108" t="s">
        <v>642</v>
      </c>
      <c r="D2287" s="100" t="str">
        <f t="shared" si="1"/>
        <v/>
      </c>
      <c r="E2287" s="100" t="str">
        <f t="shared" si="2"/>
        <v/>
      </c>
      <c r="F2287" s="100" t="str">
        <f t="shared" si="3"/>
        <v/>
      </c>
      <c r="G2287" s="151"/>
      <c r="H2287" s="156"/>
      <c r="I2287" s="162"/>
      <c r="J2287" s="158"/>
      <c r="L2287" s="94"/>
      <c r="M2287" s="159"/>
      <c r="N2287" s="94"/>
    </row>
    <row r="2288">
      <c r="A2288" s="107">
        <v>203200.0</v>
      </c>
      <c r="B2288" s="108" t="s">
        <v>245</v>
      </c>
      <c r="C2288" s="108" t="s">
        <v>642</v>
      </c>
      <c r="D2288" s="100" t="str">
        <f t="shared" si="1"/>
        <v/>
      </c>
      <c r="E2288" s="100" t="str">
        <f t="shared" si="2"/>
        <v/>
      </c>
      <c r="F2288" s="100" t="str">
        <f t="shared" si="3"/>
        <v/>
      </c>
      <c r="G2288" s="151"/>
      <c r="H2288" s="160"/>
      <c r="I2288" s="162"/>
      <c r="J2288" s="161"/>
      <c r="L2288" s="94"/>
      <c r="M2288" s="159"/>
      <c r="N2288" s="94"/>
    </row>
    <row r="2289">
      <c r="A2289" s="107">
        <v>203210.0</v>
      </c>
      <c r="B2289" s="108" t="s">
        <v>90</v>
      </c>
      <c r="C2289" s="108" t="s">
        <v>643</v>
      </c>
      <c r="D2289" s="100" t="str">
        <f t="shared" si="1"/>
        <v/>
      </c>
      <c r="E2289" s="100" t="str">
        <f t="shared" si="2"/>
        <v/>
      </c>
      <c r="F2289" s="100" t="str">
        <f t="shared" si="3"/>
        <v/>
      </c>
      <c r="G2289" s="151"/>
      <c r="H2289" s="156"/>
      <c r="I2289" s="157"/>
      <c r="J2289" s="158"/>
      <c r="L2289" s="94"/>
      <c r="M2289" s="159"/>
      <c r="N2289" s="94"/>
    </row>
    <row r="2290">
      <c r="A2290" s="107">
        <v>203210.0</v>
      </c>
      <c r="B2290" s="108" t="s">
        <v>92</v>
      </c>
      <c r="C2290" s="108" t="s">
        <v>643</v>
      </c>
      <c r="D2290" s="100" t="str">
        <f t="shared" si="1"/>
        <v/>
      </c>
      <c r="E2290" s="100" t="str">
        <f t="shared" si="2"/>
        <v/>
      </c>
      <c r="F2290" s="100" t="str">
        <f t="shared" si="3"/>
        <v/>
      </c>
      <c r="G2290" s="151"/>
      <c r="H2290" s="160"/>
      <c r="I2290" s="157"/>
      <c r="J2290" s="161"/>
      <c r="L2290" s="94"/>
      <c r="M2290" s="159"/>
      <c r="N2290" s="94"/>
    </row>
    <row r="2291">
      <c r="A2291" s="107">
        <v>203210.0</v>
      </c>
      <c r="B2291" s="108" t="s">
        <v>190</v>
      </c>
      <c r="C2291" s="108" t="s">
        <v>643</v>
      </c>
      <c r="D2291" s="100" t="str">
        <f t="shared" si="1"/>
        <v/>
      </c>
      <c r="E2291" s="100" t="str">
        <f t="shared" si="2"/>
        <v/>
      </c>
      <c r="F2291" s="100" t="str">
        <f t="shared" si="3"/>
        <v/>
      </c>
      <c r="G2291" s="151"/>
      <c r="H2291" s="156"/>
      <c r="I2291" s="157"/>
      <c r="J2291" s="158"/>
      <c r="L2291" s="94"/>
      <c r="M2291" s="159"/>
      <c r="N2291" s="94"/>
    </row>
    <row r="2292">
      <c r="A2292" s="107">
        <v>203210.0</v>
      </c>
      <c r="B2292" s="108" t="s">
        <v>191</v>
      </c>
      <c r="C2292" s="108" t="s">
        <v>643</v>
      </c>
      <c r="D2292" s="100" t="str">
        <f t="shared" si="1"/>
        <v/>
      </c>
      <c r="E2292" s="100" t="str">
        <f t="shared" si="2"/>
        <v/>
      </c>
      <c r="F2292" s="100" t="str">
        <f t="shared" si="3"/>
        <v/>
      </c>
      <c r="G2292" s="151"/>
      <c r="H2292" s="160"/>
      <c r="I2292" s="157"/>
      <c r="J2292" s="161"/>
      <c r="L2292" s="94"/>
      <c r="M2292" s="159"/>
      <c r="N2292" s="94"/>
    </row>
    <row r="2293">
      <c r="A2293" s="107">
        <v>203210.0</v>
      </c>
      <c r="B2293" s="108" t="s">
        <v>192</v>
      </c>
      <c r="C2293" s="108" t="s">
        <v>643</v>
      </c>
      <c r="D2293" s="100" t="str">
        <f t="shared" si="1"/>
        <v/>
      </c>
      <c r="E2293" s="100" t="str">
        <f t="shared" si="2"/>
        <v/>
      </c>
      <c r="F2293" s="100" t="str">
        <f t="shared" si="3"/>
        <v/>
      </c>
      <c r="G2293" s="151"/>
      <c r="H2293" s="156"/>
      <c r="I2293" s="157"/>
      <c r="J2293" s="158"/>
      <c r="L2293" s="94"/>
      <c r="M2293" s="159"/>
      <c r="N2293" s="94"/>
    </row>
    <row r="2294">
      <c r="A2294" s="107">
        <v>203210.0</v>
      </c>
      <c r="B2294" s="108" t="s">
        <v>193</v>
      </c>
      <c r="C2294" s="108" t="s">
        <v>643</v>
      </c>
      <c r="D2294" s="100" t="str">
        <f t="shared" si="1"/>
        <v/>
      </c>
      <c r="E2294" s="100" t="str">
        <f t="shared" si="2"/>
        <v/>
      </c>
      <c r="F2294" s="100" t="str">
        <f t="shared" si="3"/>
        <v/>
      </c>
      <c r="G2294" s="151"/>
      <c r="H2294" s="160"/>
      <c r="I2294" s="157"/>
      <c r="J2294" s="161"/>
      <c r="L2294" s="94"/>
      <c r="M2294" s="159"/>
      <c r="N2294" s="94"/>
    </row>
    <row r="2295">
      <c r="A2295" s="107">
        <v>203210.0</v>
      </c>
      <c r="B2295" s="108" t="s">
        <v>243</v>
      </c>
      <c r="C2295" s="108" t="s">
        <v>643</v>
      </c>
      <c r="D2295" s="100" t="str">
        <f t="shared" si="1"/>
        <v/>
      </c>
      <c r="E2295" s="100" t="str">
        <f t="shared" si="2"/>
        <v/>
      </c>
      <c r="F2295" s="100" t="str">
        <f t="shared" si="3"/>
        <v/>
      </c>
      <c r="G2295" s="151"/>
      <c r="H2295" s="156"/>
      <c r="I2295" s="157"/>
      <c r="J2295" s="158"/>
      <c r="L2295" s="94"/>
      <c r="M2295" s="159"/>
      <c r="N2295" s="94"/>
    </row>
    <row r="2296">
      <c r="A2296" s="107">
        <v>203210.0</v>
      </c>
      <c r="B2296" s="108" t="s">
        <v>215</v>
      </c>
      <c r="C2296" s="108" t="s">
        <v>643</v>
      </c>
      <c r="D2296" s="100" t="str">
        <f t="shared" si="1"/>
        <v/>
      </c>
      <c r="E2296" s="100" t="str">
        <f t="shared" si="2"/>
        <v/>
      </c>
      <c r="F2296" s="100" t="str">
        <f t="shared" si="3"/>
        <v/>
      </c>
      <c r="G2296" s="151"/>
      <c r="H2296" s="160"/>
      <c r="I2296" s="157"/>
      <c r="J2296" s="161"/>
      <c r="L2296" s="94"/>
      <c r="M2296" s="159"/>
      <c r="N2296" s="94"/>
    </row>
    <row r="2297">
      <c r="A2297" s="107">
        <v>203210.0</v>
      </c>
      <c r="B2297" s="108" t="s">
        <v>244</v>
      </c>
      <c r="C2297" s="108" t="s">
        <v>643</v>
      </c>
      <c r="D2297" s="100" t="str">
        <f t="shared" si="1"/>
        <v/>
      </c>
      <c r="E2297" s="100" t="str">
        <f t="shared" si="2"/>
        <v/>
      </c>
      <c r="F2297" s="100" t="str">
        <f t="shared" si="3"/>
        <v/>
      </c>
      <c r="G2297" s="151"/>
      <c r="H2297" s="156"/>
      <c r="I2297" s="157"/>
      <c r="J2297" s="158"/>
      <c r="L2297" s="94"/>
      <c r="M2297" s="159"/>
      <c r="N2297" s="94"/>
    </row>
    <row r="2298">
      <c r="A2298" s="107">
        <v>203263.0</v>
      </c>
      <c r="B2298" s="108" t="s">
        <v>85</v>
      </c>
      <c r="C2298" s="108" t="s">
        <v>644</v>
      </c>
      <c r="D2298" s="100" t="str">
        <f t="shared" si="1"/>
        <v/>
      </c>
      <c r="E2298" s="100" t="str">
        <f t="shared" si="2"/>
        <v/>
      </c>
      <c r="F2298" s="100" t="str">
        <f t="shared" si="3"/>
        <v/>
      </c>
      <c r="G2298" s="151"/>
      <c r="H2298" s="160"/>
      <c r="I2298" s="157"/>
      <c r="J2298" s="161"/>
      <c r="L2298" s="94"/>
      <c r="M2298" s="159"/>
      <c r="N2298" s="94"/>
    </row>
    <row r="2299">
      <c r="A2299" s="107">
        <v>203263.0</v>
      </c>
      <c r="B2299" s="108" t="s">
        <v>192</v>
      </c>
      <c r="C2299" s="108" t="s">
        <v>644</v>
      </c>
      <c r="D2299" s="100" t="str">
        <f t="shared" si="1"/>
        <v/>
      </c>
      <c r="E2299" s="100" t="str">
        <f t="shared" si="2"/>
        <v/>
      </c>
      <c r="F2299" s="100" t="str">
        <f t="shared" si="3"/>
        <v/>
      </c>
      <c r="G2299" s="151"/>
      <c r="H2299" s="156"/>
      <c r="I2299" s="157"/>
      <c r="J2299" s="158"/>
      <c r="L2299" s="94"/>
      <c r="M2299" s="159"/>
      <c r="N2299" s="94"/>
    </row>
    <row r="2300">
      <c r="A2300" s="107">
        <v>203263.0</v>
      </c>
      <c r="B2300" s="108" t="s">
        <v>243</v>
      </c>
      <c r="C2300" s="108" t="s">
        <v>644</v>
      </c>
      <c r="D2300" s="100" t="str">
        <f t="shared" si="1"/>
        <v/>
      </c>
      <c r="E2300" s="100" t="str">
        <f t="shared" si="2"/>
        <v/>
      </c>
      <c r="F2300" s="100" t="str">
        <f t="shared" si="3"/>
        <v/>
      </c>
      <c r="G2300" s="151"/>
      <c r="H2300" s="160"/>
      <c r="I2300" s="157"/>
      <c r="J2300" s="161"/>
      <c r="L2300" s="94"/>
      <c r="M2300" s="159"/>
      <c r="N2300" s="94"/>
    </row>
    <row r="2301">
      <c r="A2301" s="107">
        <v>203268.0</v>
      </c>
      <c r="B2301" s="108" t="s">
        <v>85</v>
      </c>
      <c r="C2301" s="108" t="s">
        <v>645</v>
      </c>
      <c r="D2301" s="100" t="str">
        <f t="shared" si="1"/>
        <v/>
      </c>
      <c r="E2301" s="100" t="str">
        <f t="shared" si="2"/>
        <v/>
      </c>
      <c r="F2301" s="100" t="str">
        <f t="shared" si="3"/>
        <v/>
      </c>
      <c r="G2301" s="151"/>
      <c r="H2301" s="156"/>
      <c r="I2301" s="157"/>
      <c r="J2301" s="158"/>
      <c r="L2301" s="94"/>
      <c r="M2301" s="159"/>
      <c r="N2301" s="94"/>
    </row>
    <row r="2302">
      <c r="A2302" s="107">
        <v>203268.0</v>
      </c>
      <c r="B2302" s="108" t="s">
        <v>90</v>
      </c>
      <c r="C2302" s="108" t="s">
        <v>645</v>
      </c>
      <c r="D2302" s="100" t="str">
        <f t="shared" si="1"/>
        <v/>
      </c>
      <c r="E2302" s="100" t="str">
        <f t="shared" si="2"/>
        <v/>
      </c>
      <c r="F2302" s="100" t="str">
        <f t="shared" si="3"/>
        <v/>
      </c>
      <c r="G2302" s="151"/>
      <c r="H2302" s="160"/>
      <c r="I2302" s="157"/>
      <c r="J2302" s="161"/>
      <c r="L2302" s="94"/>
      <c r="M2302" s="159"/>
      <c r="N2302" s="94"/>
    </row>
    <row r="2303">
      <c r="A2303" s="107">
        <v>203268.0</v>
      </c>
      <c r="B2303" s="108" t="s">
        <v>92</v>
      </c>
      <c r="C2303" s="108" t="s">
        <v>645</v>
      </c>
      <c r="D2303" s="100" t="str">
        <f t="shared" si="1"/>
        <v/>
      </c>
      <c r="E2303" s="100" t="str">
        <f t="shared" si="2"/>
        <v/>
      </c>
      <c r="F2303" s="100" t="str">
        <f t="shared" si="3"/>
        <v/>
      </c>
      <c r="G2303" s="151"/>
      <c r="H2303" s="156"/>
      <c r="I2303" s="157"/>
      <c r="J2303" s="158"/>
      <c r="L2303" s="94"/>
      <c r="M2303" s="159"/>
      <c r="N2303" s="94"/>
    </row>
    <row r="2304">
      <c r="A2304" s="107">
        <v>203315.0</v>
      </c>
      <c r="B2304" s="108" t="s">
        <v>85</v>
      </c>
      <c r="C2304" s="108" t="s">
        <v>646</v>
      </c>
      <c r="D2304" s="100" t="str">
        <f t="shared" si="1"/>
        <v/>
      </c>
      <c r="E2304" s="100" t="str">
        <f t="shared" si="2"/>
        <v/>
      </c>
      <c r="F2304" s="100" t="str">
        <f t="shared" si="3"/>
        <v/>
      </c>
      <c r="G2304" s="151"/>
      <c r="H2304" s="160"/>
      <c r="I2304" s="157"/>
      <c r="J2304" s="161"/>
      <c r="L2304" s="94"/>
      <c r="M2304" s="159"/>
      <c r="N2304" s="94"/>
    </row>
    <row r="2305">
      <c r="A2305" s="107">
        <v>203315.0</v>
      </c>
      <c r="B2305" s="108" t="s">
        <v>90</v>
      </c>
      <c r="C2305" s="108" t="s">
        <v>646</v>
      </c>
      <c r="D2305" s="100" t="str">
        <f t="shared" si="1"/>
        <v/>
      </c>
      <c r="E2305" s="100" t="str">
        <f t="shared" si="2"/>
        <v/>
      </c>
      <c r="F2305" s="100" t="str">
        <f t="shared" si="3"/>
        <v/>
      </c>
      <c r="G2305" s="151"/>
      <c r="H2305" s="156"/>
      <c r="I2305" s="157"/>
      <c r="J2305" s="158"/>
      <c r="L2305" s="94"/>
      <c r="M2305" s="159"/>
      <c r="N2305" s="94"/>
    </row>
    <row r="2306">
      <c r="A2306" s="107">
        <v>203318.0</v>
      </c>
      <c r="B2306" s="108" t="s">
        <v>85</v>
      </c>
      <c r="C2306" s="108" t="s">
        <v>647</v>
      </c>
      <c r="D2306" s="100" t="str">
        <f t="shared" si="1"/>
        <v/>
      </c>
      <c r="E2306" s="100" t="str">
        <f t="shared" si="2"/>
        <v/>
      </c>
      <c r="F2306" s="100" t="str">
        <f t="shared" si="3"/>
        <v/>
      </c>
      <c r="G2306" s="151"/>
      <c r="H2306" s="160"/>
      <c r="I2306" s="157"/>
      <c r="J2306" s="161"/>
      <c r="L2306" s="94"/>
      <c r="M2306" s="159"/>
      <c r="N2306" s="94"/>
    </row>
    <row r="2307">
      <c r="A2307" s="107">
        <v>203318.0</v>
      </c>
      <c r="B2307" s="108" t="s">
        <v>90</v>
      </c>
      <c r="C2307" s="108" t="s">
        <v>647</v>
      </c>
      <c r="D2307" s="100" t="str">
        <f t="shared" si="1"/>
        <v/>
      </c>
      <c r="E2307" s="100" t="str">
        <f t="shared" si="2"/>
        <v/>
      </c>
      <c r="F2307" s="100" t="str">
        <f t="shared" si="3"/>
        <v/>
      </c>
      <c r="G2307" s="151"/>
      <c r="H2307" s="156"/>
      <c r="I2307" s="157"/>
      <c r="J2307" s="158"/>
      <c r="L2307" s="94"/>
      <c r="M2307" s="159"/>
      <c r="N2307" s="94"/>
    </row>
    <row r="2308">
      <c r="A2308" s="107">
        <v>203382.0</v>
      </c>
      <c r="B2308" s="108" t="s">
        <v>85</v>
      </c>
      <c r="C2308" s="108" t="s">
        <v>648</v>
      </c>
      <c r="D2308" s="100" t="str">
        <f t="shared" si="1"/>
        <v/>
      </c>
      <c r="E2308" s="100" t="str">
        <f t="shared" si="2"/>
        <v/>
      </c>
      <c r="F2308" s="100" t="str">
        <f t="shared" si="3"/>
        <v/>
      </c>
      <c r="G2308" s="151"/>
      <c r="H2308" s="160"/>
      <c r="I2308" s="157"/>
      <c r="J2308" s="161"/>
      <c r="L2308" s="94"/>
      <c r="M2308" s="159"/>
      <c r="N2308" s="94"/>
    </row>
    <row r="2309">
      <c r="A2309" s="107">
        <v>203382.0</v>
      </c>
      <c r="B2309" s="108" t="s">
        <v>90</v>
      </c>
      <c r="C2309" s="108" t="s">
        <v>648</v>
      </c>
      <c r="D2309" s="100" t="str">
        <f t="shared" si="1"/>
        <v/>
      </c>
      <c r="E2309" s="100" t="str">
        <f t="shared" si="2"/>
        <v/>
      </c>
      <c r="F2309" s="100" t="str">
        <f t="shared" si="3"/>
        <v/>
      </c>
      <c r="G2309" s="151"/>
      <c r="H2309" s="156"/>
      <c r="I2309" s="157"/>
      <c r="J2309" s="158"/>
      <c r="L2309" s="94"/>
      <c r="M2309" s="159"/>
      <c r="N2309" s="94"/>
    </row>
    <row r="2310">
      <c r="A2310" s="107">
        <v>203382.0</v>
      </c>
      <c r="B2310" s="108" t="s">
        <v>92</v>
      </c>
      <c r="C2310" s="108" t="s">
        <v>648</v>
      </c>
      <c r="D2310" s="100" t="str">
        <f t="shared" si="1"/>
        <v/>
      </c>
      <c r="E2310" s="100" t="str">
        <f t="shared" si="2"/>
        <v/>
      </c>
      <c r="F2310" s="100" t="str">
        <f t="shared" si="3"/>
        <v/>
      </c>
      <c r="G2310" s="151"/>
      <c r="H2310" s="160"/>
      <c r="I2310" s="157"/>
      <c r="J2310" s="161"/>
      <c r="L2310" s="94"/>
      <c r="M2310" s="159"/>
      <c r="N2310" s="94"/>
    </row>
    <row r="2311">
      <c r="A2311" s="107">
        <v>203382.0</v>
      </c>
      <c r="B2311" s="108" t="s">
        <v>190</v>
      </c>
      <c r="C2311" s="108" t="s">
        <v>648</v>
      </c>
      <c r="D2311" s="100" t="str">
        <f t="shared" si="1"/>
        <v/>
      </c>
      <c r="E2311" s="100" t="str">
        <f t="shared" si="2"/>
        <v/>
      </c>
      <c r="F2311" s="100" t="str">
        <f t="shared" si="3"/>
        <v/>
      </c>
      <c r="G2311" s="151"/>
      <c r="H2311" s="156"/>
      <c r="I2311" s="157"/>
      <c r="J2311" s="158"/>
      <c r="L2311" s="94"/>
      <c r="M2311" s="159"/>
      <c r="N2311" s="94"/>
    </row>
    <row r="2312">
      <c r="A2312" s="107">
        <v>203382.0</v>
      </c>
      <c r="B2312" s="108" t="s">
        <v>191</v>
      </c>
      <c r="C2312" s="108" t="s">
        <v>648</v>
      </c>
      <c r="D2312" s="100" t="str">
        <f t="shared" si="1"/>
        <v/>
      </c>
      <c r="E2312" s="100" t="str">
        <f t="shared" si="2"/>
        <v/>
      </c>
      <c r="F2312" s="100" t="str">
        <f t="shared" si="3"/>
        <v/>
      </c>
      <c r="G2312" s="151"/>
      <c r="H2312" s="160"/>
      <c r="I2312" s="157"/>
      <c r="J2312" s="161"/>
      <c r="L2312" s="94"/>
      <c r="M2312" s="159"/>
      <c r="N2312" s="94"/>
    </row>
    <row r="2313">
      <c r="A2313" s="107">
        <v>203382.0</v>
      </c>
      <c r="B2313" s="108" t="s">
        <v>192</v>
      </c>
      <c r="C2313" s="108" t="s">
        <v>648</v>
      </c>
      <c r="D2313" s="100" t="str">
        <f t="shared" si="1"/>
        <v/>
      </c>
      <c r="E2313" s="100" t="str">
        <f t="shared" si="2"/>
        <v/>
      </c>
      <c r="F2313" s="100" t="str">
        <f t="shared" si="3"/>
        <v/>
      </c>
      <c r="G2313" s="151"/>
      <c r="H2313" s="156"/>
      <c r="I2313" s="157"/>
      <c r="J2313" s="158"/>
      <c r="L2313" s="94"/>
      <c r="M2313" s="159"/>
      <c r="N2313" s="94"/>
    </row>
    <row r="2314">
      <c r="A2314" s="107">
        <v>203382.0</v>
      </c>
      <c r="B2314" s="108" t="s">
        <v>193</v>
      </c>
      <c r="C2314" s="108" t="s">
        <v>648</v>
      </c>
      <c r="D2314" s="100" t="str">
        <f t="shared" si="1"/>
        <v/>
      </c>
      <c r="E2314" s="100" t="str">
        <f t="shared" si="2"/>
        <v/>
      </c>
      <c r="F2314" s="100" t="str">
        <f t="shared" si="3"/>
        <v/>
      </c>
      <c r="G2314" s="151"/>
      <c r="H2314" s="160"/>
      <c r="I2314" s="157"/>
      <c r="J2314" s="161"/>
      <c r="L2314" s="94"/>
      <c r="M2314" s="159"/>
      <c r="N2314" s="94"/>
    </row>
    <row r="2315">
      <c r="A2315" s="107">
        <v>203382.0</v>
      </c>
      <c r="B2315" s="108" t="s">
        <v>243</v>
      </c>
      <c r="C2315" s="108" t="s">
        <v>648</v>
      </c>
      <c r="D2315" s="100" t="str">
        <f t="shared" si="1"/>
        <v/>
      </c>
      <c r="E2315" s="100" t="str">
        <f t="shared" si="2"/>
        <v/>
      </c>
      <c r="F2315" s="100" t="str">
        <f t="shared" si="3"/>
        <v/>
      </c>
      <c r="G2315" s="151"/>
      <c r="H2315" s="156"/>
      <c r="I2315" s="157"/>
      <c r="J2315" s="158"/>
      <c r="L2315" s="94"/>
      <c r="M2315" s="159"/>
      <c r="N2315" s="94"/>
    </row>
    <row r="2316">
      <c r="A2316" s="107">
        <v>203457.0</v>
      </c>
      <c r="B2316" s="108" t="s">
        <v>90</v>
      </c>
      <c r="C2316" s="108" t="s">
        <v>649</v>
      </c>
      <c r="D2316" s="100" t="str">
        <f t="shared" si="1"/>
        <v/>
      </c>
      <c r="E2316" s="100" t="str">
        <f t="shared" si="2"/>
        <v/>
      </c>
      <c r="F2316" s="100" t="str">
        <f t="shared" si="3"/>
        <v/>
      </c>
      <c r="G2316" s="151"/>
      <c r="H2316" s="160"/>
      <c r="I2316" s="157"/>
      <c r="J2316" s="161"/>
      <c r="L2316" s="94"/>
      <c r="M2316" s="159"/>
      <c r="N2316" s="94"/>
    </row>
    <row r="2317">
      <c r="A2317" s="107">
        <v>203457.0</v>
      </c>
      <c r="B2317" s="108" t="s">
        <v>92</v>
      </c>
      <c r="C2317" s="108" t="s">
        <v>649</v>
      </c>
      <c r="D2317" s="100" t="str">
        <f t="shared" si="1"/>
        <v/>
      </c>
      <c r="E2317" s="100" t="str">
        <f t="shared" si="2"/>
        <v/>
      </c>
      <c r="F2317" s="100" t="str">
        <f t="shared" si="3"/>
        <v/>
      </c>
      <c r="G2317" s="151"/>
      <c r="H2317" s="156"/>
      <c r="I2317" s="157"/>
      <c r="J2317" s="158"/>
      <c r="L2317" s="94"/>
      <c r="M2317" s="159"/>
      <c r="N2317" s="94"/>
    </row>
    <row r="2318">
      <c r="A2318" s="107">
        <v>203457.0</v>
      </c>
      <c r="B2318" s="108" t="s">
        <v>190</v>
      </c>
      <c r="C2318" s="108" t="s">
        <v>649</v>
      </c>
      <c r="D2318" s="100" t="str">
        <f t="shared" si="1"/>
        <v/>
      </c>
      <c r="E2318" s="100" t="str">
        <f t="shared" si="2"/>
        <v/>
      </c>
      <c r="F2318" s="100" t="str">
        <f t="shared" si="3"/>
        <v/>
      </c>
      <c r="G2318" s="151"/>
      <c r="H2318" s="160"/>
      <c r="I2318" s="157"/>
      <c r="J2318" s="161"/>
      <c r="L2318" s="94"/>
      <c r="M2318" s="159"/>
      <c r="N2318" s="94"/>
    </row>
    <row r="2319">
      <c r="A2319" s="107">
        <v>203457.0</v>
      </c>
      <c r="B2319" s="108" t="s">
        <v>191</v>
      </c>
      <c r="C2319" s="108" t="s">
        <v>649</v>
      </c>
      <c r="D2319" s="100" t="str">
        <f t="shared" si="1"/>
        <v/>
      </c>
      <c r="E2319" s="100" t="str">
        <f t="shared" si="2"/>
        <v/>
      </c>
      <c r="F2319" s="100" t="str">
        <f t="shared" si="3"/>
        <v/>
      </c>
      <c r="G2319" s="151"/>
      <c r="H2319" s="156"/>
      <c r="I2319" s="157"/>
      <c r="J2319" s="158"/>
      <c r="L2319" s="94"/>
      <c r="M2319" s="159"/>
      <c r="N2319" s="94"/>
    </row>
    <row r="2320">
      <c r="A2320" s="107">
        <v>203457.0</v>
      </c>
      <c r="B2320" s="108" t="s">
        <v>192</v>
      </c>
      <c r="C2320" s="108" t="s">
        <v>649</v>
      </c>
      <c r="D2320" s="100" t="str">
        <f t="shared" si="1"/>
        <v/>
      </c>
      <c r="E2320" s="100" t="str">
        <f t="shared" si="2"/>
        <v/>
      </c>
      <c r="F2320" s="100" t="str">
        <f t="shared" si="3"/>
        <v/>
      </c>
      <c r="G2320" s="151"/>
      <c r="H2320" s="160"/>
      <c r="I2320" s="157"/>
      <c r="J2320" s="161"/>
      <c r="L2320" s="94"/>
      <c r="M2320" s="159"/>
      <c r="N2320" s="94"/>
    </row>
    <row r="2321">
      <c r="A2321" s="107">
        <v>203457.0</v>
      </c>
      <c r="B2321" s="108" t="s">
        <v>193</v>
      </c>
      <c r="C2321" s="108" t="s">
        <v>649</v>
      </c>
      <c r="D2321" s="100" t="str">
        <f t="shared" si="1"/>
        <v/>
      </c>
      <c r="E2321" s="100" t="str">
        <f t="shared" si="2"/>
        <v/>
      </c>
      <c r="F2321" s="100" t="str">
        <f t="shared" si="3"/>
        <v/>
      </c>
      <c r="G2321" s="151"/>
      <c r="H2321" s="156"/>
      <c r="I2321" s="157"/>
      <c r="J2321" s="158"/>
      <c r="L2321" s="94"/>
      <c r="M2321" s="159"/>
      <c r="N2321" s="94"/>
    </row>
    <row r="2322">
      <c r="A2322" s="107">
        <v>203457.0</v>
      </c>
      <c r="B2322" s="108" t="s">
        <v>243</v>
      </c>
      <c r="C2322" s="108" t="s">
        <v>649</v>
      </c>
      <c r="D2322" s="100" t="str">
        <f t="shared" si="1"/>
        <v/>
      </c>
      <c r="E2322" s="100" t="str">
        <f t="shared" si="2"/>
        <v/>
      </c>
      <c r="F2322" s="100" t="str">
        <f t="shared" si="3"/>
        <v/>
      </c>
      <c r="G2322" s="151"/>
      <c r="H2322" s="160"/>
      <c r="I2322" s="157"/>
      <c r="J2322" s="161"/>
      <c r="L2322" s="94"/>
      <c r="M2322" s="159"/>
      <c r="N2322" s="94"/>
    </row>
    <row r="2323">
      <c r="A2323" s="107">
        <v>203457.0</v>
      </c>
      <c r="B2323" s="108" t="s">
        <v>215</v>
      </c>
      <c r="C2323" s="108" t="s">
        <v>649</v>
      </c>
      <c r="D2323" s="100" t="str">
        <f t="shared" si="1"/>
        <v/>
      </c>
      <c r="E2323" s="100" t="str">
        <f t="shared" si="2"/>
        <v/>
      </c>
      <c r="F2323" s="100" t="str">
        <f t="shared" si="3"/>
        <v/>
      </c>
      <c r="G2323" s="151"/>
      <c r="H2323" s="156"/>
      <c r="I2323" s="157"/>
      <c r="J2323" s="158"/>
      <c r="L2323" s="94"/>
      <c r="M2323" s="159"/>
      <c r="N2323" s="94"/>
    </row>
    <row r="2324">
      <c r="A2324" s="107">
        <v>203457.0</v>
      </c>
      <c r="B2324" s="108" t="s">
        <v>244</v>
      </c>
      <c r="C2324" s="108" t="s">
        <v>649</v>
      </c>
      <c r="D2324" s="100" t="str">
        <f t="shared" si="1"/>
        <v/>
      </c>
      <c r="E2324" s="100" t="str">
        <f t="shared" si="2"/>
        <v/>
      </c>
      <c r="F2324" s="100" t="str">
        <f t="shared" si="3"/>
        <v/>
      </c>
      <c r="G2324" s="151"/>
      <c r="H2324" s="160"/>
      <c r="I2324" s="157"/>
      <c r="J2324" s="161"/>
      <c r="L2324" s="94"/>
      <c r="M2324" s="159"/>
      <c r="N2324" s="94"/>
    </row>
    <row r="2325">
      <c r="A2325" s="107">
        <v>203458.0</v>
      </c>
      <c r="B2325" s="108" t="s">
        <v>85</v>
      </c>
      <c r="C2325" s="108" t="s">
        <v>650</v>
      </c>
      <c r="D2325" s="100" t="str">
        <f t="shared" si="1"/>
        <v/>
      </c>
      <c r="E2325" s="100" t="str">
        <f t="shared" si="2"/>
        <v/>
      </c>
      <c r="F2325" s="100" t="str">
        <f t="shared" si="3"/>
        <v/>
      </c>
      <c r="G2325" s="151"/>
      <c r="H2325" s="156"/>
      <c r="I2325" s="157"/>
      <c r="J2325" s="158"/>
      <c r="L2325" s="94"/>
      <c r="M2325" s="159"/>
      <c r="N2325" s="94"/>
    </row>
    <row r="2326">
      <c r="A2326" s="107">
        <v>203458.0</v>
      </c>
      <c r="B2326" s="108" t="s">
        <v>90</v>
      </c>
      <c r="C2326" s="108" t="s">
        <v>650</v>
      </c>
      <c r="D2326" s="100" t="str">
        <f t="shared" si="1"/>
        <v/>
      </c>
      <c r="E2326" s="100" t="str">
        <f t="shared" si="2"/>
        <v/>
      </c>
      <c r="F2326" s="100" t="str">
        <f t="shared" si="3"/>
        <v/>
      </c>
      <c r="G2326" s="151"/>
      <c r="H2326" s="160"/>
      <c r="I2326" s="157"/>
      <c r="J2326" s="161"/>
      <c r="L2326" s="94"/>
      <c r="M2326" s="159"/>
      <c r="N2326" s="94"/>
    </row>
    <row r="2327">
      <c r="A2327" s="107">
        <v>203458.0</v>
      </c>
      <c r="B2327" s="108" t="s">
        <v>92</v>
      </c>
      <c r="C2327" s="108" t="s">
        <v>650</v>
      </c>
      <c r="D2327" s="100" t="str">
        <f t="shared" si="1"/>
        <v/>
      </c>
      <c r="E2327" s="100" t="str">
        <f t="shared" si="2"/>
        <v/>
      </c>
      <c r="F2327" s="100" t="str">
        <f t="shared" si="3"/>
        <v/>
      </c>
      <c r="G2327" s="151"/>
      <c r="H2327" s="156"/>
      <c r="I2327" s="157"/>
      <c r="J2327" s="158"/>
      <c r="L2327" s="94"/>
      <c r="M2327" s="159"/>
      <c r="N2327" s="94"/>
    </row>
    <row r="2328">
      <c r="A2328" s="107">
        <v>203458.0</v>
      </c>
      <c r="B2328" s="108" t="s">
        <v>190</v>
      </c>
      <c r="C2328" s="108" t="s">
        <v>650</v>
      </c>
      <c r="D2328" s="100" t="str">
        <f t="shared" si="1"/>
        <v/>
      </c>
      <c r="E2328" s="100" t="str">
        <f t="shared" si="2"/>
        <v/>
      </c>
      <c r="F2328" s="100" t="str">
        <f t="shared" si="3"/>
        <v/>
      </c>
      <c r="G2328" s="151"/>
      <c r="H2328" s="160"/>
      <c r="I2328" s="157"/>
      <c r="J2328" s="161"/>
      <c r="L2328" s="94"/>
      <c r="M2328" s="159"/>
      <c r="N2328" s="94"/>
    </row>
    <row r="2329">
      <c r="A2329" s="107">
        <v>203458.0</v>
      </c>
      <c r="B2329" s="108" t="s">
        <v>191</v>
      </c>
      <c r="C2329" s="108" t="s">
        <v>650</v>
      </c>
      <c r="D2329" s="100" t="str">
        <f t="shared" si="1"/>
        <v/>
      </c>
      <c r="E2329" s="100" t="str">
        <f t="shared" si="2"/>
        <v/>
      </c>
      <c r="F2329" s="100" t="str">
        <f t="shared" si="3"/>
        <v/>
      </c>
      <c r="G2329" s="151"/>
      <c r="H2329" s="156"/>
      <c r="I2329" s="157"/>
      <c r="J2329" s="158"/>
      <c r="L2329" s="94"/>
      <c r="M2329" s="159"/>
      <c r="N2329" s="94"/>
    </row>
    <row r="2330">
      <c r="A2330" s="107">
        <v>203458.0</v>
      </c>
      <c r="B2330" s="108" t="s">
        <v>192</v>
      </c>
      <c r="C2330" s="108" t="s">
        <v>650</v>
      </c>
      <c r="D2330" s="100" t="str">
        <f t="shared" si="1"/>
        <v/>
      </c>
      <c r="E2330" s="100" t="str">
        <f t="shared" si="2"/>
        <v/>
      </c>
      <c r="F2330" s="100" t="str">
        <f t="shared" si="3"/>
        <v/>
      </c>
      <c r="G2330" s="151"/>
      <c r="H2330" s="160"/>
      <c r="I2330" s="157"/>
      <c r="J2330" s="161"/>
      <c r="L2330" s="94"/>
      <c r="M2330" s="159"/>
      <c r="N2330" s="94"/>
    </row>
    <row r="2331">
      <c r="A2331" s="107">
        <v>203458.0</v>
      </c>
      <c r="B2331" s="108" t="s">
        <v>193</v>
      </c>
      <c r="C2331" s="108" t="s">
        <v>650</v>
      </c>
      <c r="D2331" s="100" t="str">
        <f t="shared" si="1"/>
        <v/>
      </c>
      <c r="E2331" s="100" t="str">
        <f t="shared" si="2"/>
        <v/>
      </c>
      <c r="F2331" s="100" t="str">
        <f t="shared" si="3"/>
        <v/>
      </c>
      <c r="G2331" s="151"/>
      <c r="H2331" s="156"/>
      <c r="I2331" s="157"/>
      <c r="J2331" s="158"/>
      <c r="L2331" s="94"/>
      <c r="M2331" s="159"/>
      <c r="N2331" s="94"/>
    </row>
    <row r="2332">
      <c r="A2332" s="107">
        <v>203458.0</v>
      </c>
      <c r="B2332" s="108" t="s">
        <v>243</v>
      </c>
      <c r="C2332" s="108" t="s">
        <v>650</v>
      </c>
      <c r="D2332" s="100" t="str">
        <f t="shared" si="1"/>
        <v/>
      </c>
      <c r="E2332" s="100" t="str">
        <f t="shared" si="2"/>
        <v/>
      </c>
      <c r="F2332" s="100" t="str">
        <f t="shared" si="3"/>
        <v/>
      </c>
      <c r="G2332" s="151"/>
      <c r="H2332" s="160"/>
      <c r="I2332" s="157"/>
      <c r="J2332" s="161"/>
      <c r="L2332" s="94"/>
      <c r="M2332" s="159"/>
      <c r="N2332" s="94"/>
    </row>
    <row r="2333">
      <c r="A2333" s="107">
        <v>203458.0</v>
      </c>
      <c r="B2333" s="108" t="s">
        <v>215</v>
      </c>
      <c r="C2333" s="108" t="s">
        <v>650</v>
      </c>
      <c r="D2333" s="100" t="str">
        <f t="shared" si="1"/>
        <v/>
      </c>
      <c r="E2333" s="100" t="str">
        <f t="shared" si="2"/>
        <v/>
      </c>
      <c r="F2333" s="100" t="str">
        <f t="shared" si="3"/>
        <v/>
      </c>
      <c r="G2333" s="151"/>
      <c r="H2333" s="156"/>
      <c r="I2333" s="157"/>
      <c r="J2333" s="158"/>
      <c r="L2333" s="94"/>
      <c r="M2333" s="159"/>
      <c r="N2333" s="94"/>
    </row>
    <row r="2334">
      <c r="A2334" s="107">
        <v>203458.0</v>
      </c>
      <c r="B2334" s="108" t="s">
        <v>244</v>
      </c>
      <c r="C2334" s="108" t="s">
        <v>650</v>
      </c>
      <c r="D2334" s="100" t="str">
        <f t="shared" si="1"/>
        <v/>
      </c>
      <c r="E2334" s="100" t="str">
        <f t="shared" si="2"/>
        <v/>
      </c>
      <c r="F2334" s="100" t="str">
        <f t="shared" si="3"/>
        <v/>
      </c>
      <c r="G2334" s="151"/>
      <c r="H2334" s="160"/>
      <c r="I2334" s="157"/>
      <c r="J2334" s="161"/>
      <c r="L2334" s="94"/>
      <c r="M2334" s="159"/>
      <c r="N2334" s="94"/>
    </row>
    <row r="2335">
      <c r="A2335" s="107">
        <v>203458.0</v>
      </c>
      <c r="B2335" s="108" t="s">
        <v>245</v>
      </c>
      <c r="C2335" s="108" t="s">
        <v>650</v>
      </c>
      <c r="D2335" s="100" t="str">
        <f t="shared" si="1"/>
        <v/>
      </c>
      <c r="E2335" s="100" t="str">
        <f t="shared" si="2"/>
        <v/>
      </c>
      <c r="F2335" s="100" t="str">
        <f t="shared" si="3"/>
        <v/>
      </c>
      <c r="G2335" s="151"/>
      <c r="H2335" s="156"/>
      <c r="I2335" s="157"/>
      <c r="J2335" s="158"/>
      <c r="L2335" s="94"/>
      <c r="M2335" s="159"/>
      <c r="N2335" s="94"/>
    </row>
    <row r="2336">
      <c r="A2336" s="107">
        <v>203458.0</v>
      </c>
      <c r="B2336" s="108" t="s">
        <v>246</v>
      </c>
      <c r="C2336" s="108" t="s">
        <v>650</v>
      </c>
      <c r="D2336" s="100" t="str">
        <f t="shared" si="1"/>
        <v/>
      </c>
      <c r="E2336" s="100" t="str">
        <f t="shared" si="2"/>
        <v/>
      </c>
      <c r="F2336" s="100" t="str">
        <f t="shared" si="3"/>
        <v/>
      </c>
      <c r="G2336" s="151"/>
      <c r="H2336" s="160"/>
      <c r="I2336" s="157"/>
      <c r="J2336" s="161"/>
      <c r="L2336" s="94"/>
      <c r="M2336" s="159"/>
      <c r="N2336" s="94"/>
    </row>
    <row r="2337">
      <c r="A2337" s="107">
        <v>203459.0</v>
      </c>
      <c r="B2337" s="108" t="s">
        <v>85</v>
      </c>
      <c r="C2337" s="108" t="s">
        <v>651</v>
      </c>
      <c r="D2337" s="100" t="str">
        <f t="shared" si="1"/>
        <v/>
      </c>
      <c r="E2337" s="100" t="str">
        <f t="shared" si="2"/>
        <v/>
      </c>
      <c r="F2337" s="100" t="str">
        <f t="shared" si="3"/>
        <v/>
      </c>
      <c r="G2337" s="151"/>
      <c r="H2337" s="156"/>
      <c r="I2337" s="157"/>
      <c r="J2337" s="158"/>
      <c r="L2337" s="94"/>
      <c r="M2337" s="159"/>
      <c r="N2337" s="94"/>
    </row>
    <row r="2338">
      <c r="A2338" s="107">
        <v>203459.0</v>
      </c>
      <c r="B2338" s="108" t="s">
        <v>90</v>
      </c>
      <c r="C2338" s="108" t="s">
        <v>651</v>
      </c>
      <c r="D2338" s="100" t="str">
        <f t="shared" si="1"/>
        <v/>
      </c>
      <c r="E2338" s="100" t="str">
        <f t="shared" si="2"/>
        <v/>
      </c>
      <c r="F2338" s="100" t="str">
        <f t="shared" si="3"/>
        <v/>
      </c>
      <c r="G2338" s="151"/>
      <c r="H2338" s="160"/>
      <c r="I2338" s="157"/>
      <c r="J2338" s="161"/>
      <c r="L2338" s="94"/>
      <c r="M2338" s="159"/>
      <c r="N2338" s="94"/>
    </row>
    <row r="2339">
      <c r="A2339" s="107">
        <v>203459.0</v>
      </c>
      <c r="B2339" s="108" t="s">
        <v>92</v>
      </c>
      <c r="C2339" s="108" t="s">
        <v>651</v>
      </c>
      <c r="D2339" s="100" t="str">
        <f t="shared" si="1"/>
        <v/>
      </c>
      <c r="E2339" s="100" t="str">
        <f t="shared" si="2"/>
        <v/>
      </c>
      <c r="F2339" s="100" t="str">
        <f t="shared" si="3"/>
        <v/>
      </c>
      <c r="G2339" s="151"/>
      <c r="H2339" s="156"/>
      <c r="I2339" s="157"/>
      <c r="J2339" s="158"/>
      <c r="L2339" s="94"/>
      <c r="M2339" s="159"/>
      <c r="N2339" s="94"/>
    </row>
    <row r="2340">
      <c r="A2340" s="107">
        <v>203459.0</v>
      </c>
      <c r="B2340" s="108" t="s">
        <v>190</v>
      </c>
      <c r="C2340" s="108" t="s">
        <v>651</v>
      </c>
      <c r="D2340" s="100" t="str">
        <f t="shared" si="1"/>
        <v/>
      </c>
      <c r="E2340" s="100" t="str">
        <f t="shared" si="2"/>
        <v/>
      </c>
      <c r="F2340" s="100" t="str">
        <f t="shared" si="3"/>
        <v/>
      </c>
      <c r="G2340" s="151"/>
      <c r="H2340" s="160"/>
      <c r="I2340" s="157"/>
      <c r="J2340" s="161"/>
      <c r="L2340" s="94"/>
      <c r="M2340" s="159"/>
      <c r="N2340" s="94"/>
    </row>
    <row r="2341">
      <c r="A2341" s="107">
        <v>203459.0</v>
      </c>
      <c r="B2341" s="108" t="s">
        <v>191</v>
      </c>
      <c r="C2341" s="108" t="s">
        <v>651</v>
      </c>
      <c r="D2341" s="100" t="str">
        <f t="shared" si="1"/>
        <v/>
      </c>
      <c r="E2341" s="100" t="str">
        <f t="shared" si="2"/>
        <v/>
      </c>
      <c r="F2341" s="100" t="str">
        <f t="shared" si="3"/>
        <v/>
      </c>
      <c r="G2341" s="151"/>
      <c r="H2341" s="156"/>
      <c r="I2341" s="157"/>
      <c r="J2341" s="158"/>
      <c r="L2341" s="94"/>
      <c r="M2341" s="159"/>
      <c r="N2341" s="94"/>
    </row>
    <row r="2342">
      <c r="A2342" s="107">
        <v>203459.0</v>
      </c>
      <c r="B2342" s="108" t="s">
        <v>192</v>
      </c>
      <c r="C2342" s="108" t="s">
        <v>651</v>
      </c>
      <c r="D2342" s="100" t="str">
        <f t="shared" si="1"/>
        <v/>
      </c>
      <c r="E2342" s="100" t="str">
        <f t="shared" si="2"/>
        <v/>
      </c>
      <c r="F2342" s="100" t="str">
        <f t="shared" si="3"/>
        <v/>
      </c>
      <c r="G2342" s="151"/>
      <c r="H2342" s="160"/>
      <c r="I2342" s="157"/>
      <c r="J2342" s="161"/>
      <c r="L2342" s="94"/>
      <c r="M2342" s="159"/>
      <c r="N2342" s="94"/>
    </row>
    <row r="2343">
      <c r="A2343" s="107">
        <v>203459.0</v>
      </c>
      <c r="B2343" s="108" t="s">
        <v>193</v>
      </c>
      <c r="C2343" s="108" t="s">
        <v>651</v>
      </c>
      <c r="D2343" s="100" t="str">
        <f t="shared" si="1"/>
        <v/>
      </c>
      <c r="E2343" s="100" t="str">
        <f t="shared" si="2"/>
        <v/>
      </c>
      <c r="F2343" s="100" t="str">
        <f t="shared" si="3"/>
        <v/>
      </c>
      <c r="G2343" s="151"/>
      <c r="H2343" s="156"/>
      <c r="I2343" s="157"/>
      <c r="J2343" s="158"/>
      <c r="L2343" s="94"/>
      <c r="M2343" s="159"/>
      <c r="N2343" s="94"/>
    </row>
    <row r="2344">
      <c r="A2344" s="107">
        <v>203460.0</v>
      </c>
      <c r="B2344" s="108" t="s">
        <v>85</v>
      </c>
      <c r="C2344" s="108" t="s">
        <v>652</v>
      </c>
      <c r="D2344" s="100" t="str">
        <f t="shared" si="1"/>
        <v/>
      </c>
      <c r="E2344" s="100" t="str">
        <f t="shared" si="2"/>
        <v/>
      </c>
      <c r="F2344" s="100" t="str">
        <f t="shared" si="3"/>
        <v/>
      </c>
      <c r="G2344" s="151"/>
      <c r="H2344" s="160"/>
      <c r="I2344" s="157"/>
      <c r="J2344" s="161"/>
      <c r="L2344" s="94"/>
      <c r="M2344" s="159"/>
      <c r="N2344" s="94"/>
    </row>
    <row r="2345">
      <c r="A2345" s="107">
        <v>203460.0</v>
      </c>
      <c r="B2345" s="108" t="s">
        <v>90</v>
      </c>
      <c r="C2345" s="108" t="s">
        <v>652</v>
      </c>
      <c r="D2345" s="100" t="str">
        <f t="shared" si="1"/>
        <v/>
      </c>
      <c r="E2345" s="100" t="str">
        <f t="shared" si="2"/>
        <v/>
      </c>
      <c r="F2345" s="100" t="str">
        <f t="shared" si="3"/>
        <v/>
      </c>
      <c r="G2345" s="151"/>
      <c r="H2345" s="156"/>
      <c r="I2345" s="157"/>
      <c r="J2345" s="158"/>
      <c r="L2345" s="94"/>
      <c r="M2345" s="159"/>
      <c r="N2345" s="94"/>
    </row>
    <row r="2346">
      <c r="A2346" s="107">
        <v>203460.0</v>
      </c>
      <c r="B2346" s="108" t="s">
        <v>92</v>
      </c>
      <c r="C2346" s="108" t="s">
        <v>652</v>
      </c>
      <c r="D2346" s="100" t="str">
        <f t="shared" si="1"/>
        <v/>
      </c>
      <c r="E2346" s="100" t="str">
        <f t="shared" si="2"/>
        <v/>
      </c>
      <c r="F2346" s="100" t="str">
        <f t="shared" si="3"/>
        <v/>
      </c>
      <c r="G2346" s="151"/>
      <c r="H2346" s="160"/>
      <c r="I2346" s="157"/>
      <c r="J2346" s="161"/>
      <c r="L2346" s="94"/>
      <c r="M2346" s="159"/>
      <c r="N2346" s="94"/>
    </row>
    <row r="2347">
      <c r="A2347" s="107">
        <v>203460.0</v>
      </c>
      <c r="B2347" s="108" t="s">
        <v>190</v>
      </c>
      <c r="C2347" s="108" t="s">
        <v>652</v>
      </c>
      <c r="D2347" s="100" t="str">
        <f t="shared" si="1"/>
        <v/>
      </c>
      <c r="E2347" s="100" t="str">
        <f t="shared" si="2"/>
        <v/>
      </c>
      <c r="F2347" s="100" t="str">
        <f t="shared" si="3"/>
        <v/>
      </c>
      <c r="G2347" s="151"/>
      <c r="H2347" s="156"/>
      <c r="I2347" s="157"/>
      <c r="J2347" s="158"/>
      <c r="L2347" s="94"/>
      <c r="M2347" s="159"/>
      <c r="N2347" s="94"/>
    </row>
    <row r="2348">
      <c r="A2348" s="107">
        <v>203460.0</v>
      </c>
      <c r="B2348" s="108" t="s">
        <v>191</v>
      </c>
      <c r="C2348" s="108" t="s">
        <v>652</v>
      </c>
      <c r="D2348" s="100" t="str">
        <f t="shared" si="1"/>
        <v/>
      </c>
      <c r="E2348" s="100" t="str">
        <f t="shared" si="2"/>
        <v/>
      </c>
      <c r="F2348" s="100" t="str">
        <f t="shared" si="3"/>
        <v/>
      </c>
      <c r="G2348" s="151"/>
      <c r="H2348" s="160"/>
      <c r="I2348" s="157"/>
      <c r="J2348" s="161"/>
      <c r="L2348" s="94"/>
      <c r="M2348" s="159"/>
      <c r="N2348" s="94"/>
    </row>
    <row r="2349">
      <c r="A2349" s="107">
        <v>203460.0</v>
      </c>
      <c r="B2349" s="108" t="s">
        <v>193</v>
      </c>
      <c r="C2349" s="108" t="s">
        <v>652</v>
      </c>
      <c r="D2349" s="100" t="str">
        <f t="shared" si="1"/>
        <v/>
      </c>
      <c r="E2349" s="100" t="str">
        <f t="shared" si="2"/>
        <v/>
      </c>
      <c r="F2349" s="100" t="str">
        <f t="shared" si="3"/>
        <v/>
      </c>
      <c r="G2349" s="151"/>
      <c r="H2349" s="156"/>
      <c r="I2349" s="157"/>
      <c r="J2349" s="158"/>
      <c r="L2349" s="94"/>
      <c r="M2349" s="159"/>
      <c r="N2349" s="94"/>
    </row>
    <row r="2350">
      <c r="A2350" s="107">
        <v>203460.0</v>
      </c>
      <c r="B2350" s="108" t="s">
        <v>243</v>
      </c>
      <c r="C2350" s="108" t="s">
        <v>652</v>
      </c>
      <c r="D2350" s="100" t="str">
        <f t="shared" si="1"/>
        <v/>
      </c>
      <c r="E2350" s="100" t="str">
        <f t="shared" si="2"/>
        <v/>
      </c>
      <c r="F2350" s="100" t="str">
        <f t="shared" si="3"/>
        <v/>
      </c>
      <c r="G2350" s="151"/>
      <c r="H2350" s="160"/>
      <c r="I2350" s="157"/>
      <c r="J2350" s="161"/>
      <c r="L2350" s="94"/>
      <c r="M2350" s="159"/>
      <c r="N2350" s="94"/>
    </row>
    <row r="2351">
      <c r="A2351" s="107">
        <v>203461.0</v>
      </c>
      <c r="B2351" s="108" t="s">
        <v>85</v>
      </c>
      <c r="C2351" s="108" t="s">
        <v>653</v>
      </c>
      <c r="D2351" s="100" t="str">
        <f t="shared" si="1"/>
        <v/>
      </c>
      <c r="E2351" s="100" t="str">
        <f t="shared" si="2"/>
        <v/>
      </c>
      <c r="F2351" s="100" t="str">
        <f t="shared" si="3"/>
        <v/>
      </c>
      <c r="G2351" s="151"/>
      <c r="H2351" s="156"/>
      <c r="I2351" s="157"/>
      <c r="J2351" s="158"/>
      <c r="L2351" s="94"/>
      <c r="M2351" s="159"/>
      <c r="N2351" s="94"/>
    </row>
    <row r="2352">
      <c r="A2352" s="107">
        <v>203461.0</v>
      </c>
      <c r="B2352" s="108" t="s">
        <v>90</v>
      </c>
      <c r="C2352" s="108" t="s">
        <v>653</v>
      </c>
      <c r="D2352" s="100" t="str">
        <f t="shared" si="1"/>
        <v/>
      </c>
      <c r="E2352" s="100" t="str">
        <f t="shared" si="2"/>
        <v/>
      </c>
      <c r="F2352" s="100" t="str">
        <f t="shared" si="3"/>
        <v/>
      </c>
      <c r="G2352" s="151"/>
      <c r="H2352" s="160"/>
      <c r="I2352" s="157"/>
      <c r="J2352" s="161"/>
      <c r="L2352" s="94"/>
      <c r="M2352" s="159"/>
      <c r="N2352" s="94"/>
    </row>
    <row r="2353">
      <c r="A2353" s="107">
        <v>203461.0</v>
      </c>
      <c r="B2353" s="108" t="s">
        <v>92</v>
      </c>
      <c r="C2353" s="108" t="s">
        <v>653</v>
      </c>
      <c r="D2353" s="100" t="str">
        <f t="shared" si="1"/>
        <v/>
      </c>
      <c r="E2353" s="100" t="str">
        <f t="shared" si="2"/>
        <v/>
      </c>
      <c r="F2353" s="100" t="str">
        <f t="shared" si="3"/>
        <v/>
      </c>
      <c r="G2353" s="151"/>
      <c r="H2353" s="156"/>
      <c r="I2353" s="157"/>
      <c r="J2353" s="158"/>
      <c r="L2353" s="94"/>
      <c r="M2353" s="159"/>
      <c r="N2353" s="94"/>
    </row>
    <row r="2354">
      <c r="A2354" s="107">
        <v>203461.0</v>
      </c>
      <c r="B2354" s="108" t="s">
        <v>190</v>
      </c>
      <c r="C2354" s="108" t="s">
        <v>653</v>
      </c>
      <c r="D2354" s="100" t="str">
        <f t="shared" si="1"/>
        <v/>
      </c>
      <c r="E2354" s="100" t="str">
        <f t="shared" si="2"/>
        <v/>
      </c>
      <c r="F2354" s="100" t="str">
        <f t="shared" si="3"/>
        <v/>
      </c>
      <c r="G2354" s="151"/>
      <c r="H2354" s="160"/>
      <c r="I2354" s="157"/>
      <c r="J2354" s="161"/>
      <c r="L2354" s="94"/>
      <c r="M2354" s="159"/>
      <c r="N2354" s="94"/>
    </row>
    <row r="2355">
      <c r="A2355" s="107">
        <v>203462.0</v>
      </c>
      <c r="B2355" s="108" t="s">
        <v>85</v>
      </c>
      <c r="C2355" s="108" t="s">
        <v>654</v>
      </c>
      <c r="D2355" s="100" t="str">
        <f t="shared" si="1"/>
        <v/>
      </c>
      <c r="E2355" s="100" t="str">
        <f t="shared" si="2"/>
        <v/>
      </c>
      <c r="F2355" s="100" t="str">
        <f t="shared" si="3"/>
        <v/>
      </c>
      <c r="G2355" s="151"/>
      <c r="H2355" s="156"/>
      <c r="I2355" s="157"/>
      <c r="J2355" s="158"/>
      <c r="L2355" s="94"/>
      <c r="M2355" s="159"/>
      <c r="N2355" s="94"/>
    </row>
    <row r="2356">
      <c r="A2356" s="107">
        <v>203462.0</v>
      </c>
      <c r="B2356" s="108" t="s">
        <v>90</v>
      </c>
      <c r="C2356" s="108" t="s">
        <v>654</v>
      </c>
      <c r="D2356" s="100" t="str">
        <f t="shared" si="1"/>
        <v/>
      </c>
      <c r="E2356" s="100" t="str">
        <f t="shared" si="2"/>
        <v/>
      </c>
      <c r="F2356" s="100" t="str">
        <f t="shared" si="3"/>
        <v/>
      </c>
      <c r="G2356" s="151"/>
      <c r="H2356" s="160"/>
      <c r="I2356" s="157"/>
      <c r="J2356" s="161"/>
      <c r="L2356" s="94"/>
      <c r="M2356" s="159"/>
      <c r="N2356" s="94"/>
    </row>
    <row r="2357">
      <c r="A2357" s="107">
        <v>203462.0</v>
      </c>
      <c r="B2357" s="108" t="s">
        <v>92</v>
      </c>
      <c r="C2357" s="108" t="s">
        <v>654</v>
      </c>
      <c r="D2357" s="100" t="str">
        <f t="shared" si="1"/>
        <v/>
      </c>
      <c r="E2357" s="100" t="str">
        <f t="shared" si="2"/>
        <v/>
      </c>
      <c r="F2357" s="100" t="str">
        <f t="shared" si="3"/>
        <v/>
      </c>
      <c r="G2357" s="151"/>
      <c r="H2357" s="156"/>
      <c r="I2357" s="157"/>
      <c r="J2357" s="158"/>
      <c r="L2357" s="94"/>
      <c r="M2357" s="159"/>
      <c r="N2357" s="94"/>
    </row>
    <row r="2358">
      <c r="A2358" s="107">
        <v>203462.0</v>
      </c>
      <c r="B2358" s="108" t="s">
        <v>190</v>
      </c>
      <c r="C2358" s="108" t="s">
        <v>654</v>
      </c>
      <c r="D2358" s="100" t="str">
        <f t="shared" si="1"/>
        <v/>
      </c>
      <c r="E2358" s="100" t="str">
        <f t="shared" si="2"/>
        <v/>
      </c>
      <c r="F2358" s="100" t="str">
        <f t="shared" si="3"/>
        <v/>
      </c>
      <c r="G2358" s="151"/>
      <c r="H2358" s="160"/>
      <c r="I2358" s="157"/>
      <c r="J2358" s="161"/>
      <c r="L2358" s="94"/>
      <c r="M2358" s="159"/>
      <c r="N2358" s="94"/>
    </row>
    <row r="2359">
      <c r="A2359" s="107">
        <v>203463.0</v>
      </c>
      <c r="B2359" s="108" t="s">
        <v>85</v>
      </c>
      <c r="C2359" s="108" t="s">
        <v>655</v>
      </c>
      <c r="D2359" s="100" t="str">
        <f t="shared" si="1"/>
        <v/>
      </c>
      <c r="E2359" s="100" t="str">
        <f t="shared" si="2"/>
        <v/>
      </c>
      <c r="F2359" s="100" t="str">
        <f t="shared" si="3"/>
        <v/>
      </c>
      <c r="G2359" s="151"/>
      <c r="H2359" s="156"/>
      <c r="I2359" s="157"/>
      <c r="J2359" s="158"/>
      <c r="L2359" s="94"/>
      <c r="M2359" s="159"/>
      <c r="N2359" s="94"/>
    </row>
    <row r="2360">
      <c r="A2360" s="107">
        <v>203463.0</v>
      </c>
      <c r="B2360" s="108" t="s">
        <v>90</v>
      </c>
      <c r="C2360" s="108" t="s">
        <v>655</v>
      </c>
      <c r="D2360" s="100" t="str">
        <f t="shared" si="1"/>
        <v/>
      </c>
      <c r="E2360" s="100" t="str">
        <f t="shared" si="2"/>
        <v/>
      </c>
      <c r="F2360" s="100" t="str">
        <f t="shared" si="3"/>
        <v/>
      </c>
      <c r="G2360" s="151"/>
      <c r="H2360" s="160"/>
      <c r="I2360" s="157"/>
      <c r="J2360" s="161"/>
      <c r="L2360" s="94"/>
      <c r="M2360" s="159"/>
      <c r="N2360" s="94"/>
    </row>
    <row r="2361">
      <c r="A2361" s="107">
        <v>203463.0</v>
      </c>
      <c r="B2361" s="108" t="s">
        <v>92</v>
      </c>
      <c r="C2361" s="108" t="s">
        <v>655</v>
      </c>
      <c r="D2361" s="100" t="str">
        <f t="shared" si="1"/>
        <v/>
      </c>
      <c r="E2361" s="100" t="str">
        <f t="shared" si="2"/>
        <v/>
      </c>
      <c r="F2361" s="100" t="str">
        <f t="shared" si="3"/>
        <v/>
      </c>
      <c r="G2361" s="151"/>
      <c r="H2361" s="156"/>
      <c r="I2361" s="157"/>
      <c r="J2361" s="158"/>
      <c r="L2361" s="94"/>
      <c r="M2361" s="159"/>
      <c r="N2361" s="94"/>
    </row>
    <row r="2362">
      <c r="A2362" s="107">
        <v>203463.0</v>
      </c>
      <c r="B2362" s="108" t="s">
        <v>190</v>
      </c>
      <c r="C2362" s="108" t="s">
        <v>655</v>
      </c>
      <c r="D2362" s="100" t="str">
        <f t="shared" si="1"/>
        <v/>
      </c>
      <c r="E2362" s="100" t="str">
        <f t="shared" si="2"/>
        <v/>
      </c>
      <c r="F2362" s="100" t="str">
        <f t="shared" si="3"/>
        <v/>
      </c>
      <c r="G2362" s="151"/>
      <c r="H2362" s="160"/>
      <c r="I2362" s="157"/>
      <c r="J2362" s="161"/>
      <c r="L2362" s="94"/>
      <c r="M2362" s="159"/>
      <c r="N2362" s="94"/>
    </row>
    <row r="2363">
      <c r="A2363" s="107">
        <v>203463.0</v>
      </c>
      <c r="B2363" s="108" t="s">
        <v>191</v>
      </c>
      <c r="C2363" s="108" t="s">
        <v>655</v>
      </c>
      <c r="D2363" s="100" t="str">
        <f t="shared" si="1"/>
        <v/>
      </c>
      <c r="E2363" s="100" t="str">
        <f t="shared" si="2"/>
        <v/>
      </c>
      <c r="F2363" s="100" t="str">
        <f t="shared" si="3"/>
        <v/>
      </c>
      <c r="G2363" s="151"/>
      <c r="H2363" s="156"/>
      <c r="I2363" s="157"/>
      <c r="J2363" s="158"/>
      <c r="L2363" s="94"/>
      <c r="M2363" s="159"/>
      <c r="N2363" s="94"/>
    </row>
    <row r="2364">
      <c r="A2364" s="107">
        <v>203463.0</v>
      </c>
      <c r="B2364" s="108" t="s">
        <v>192</v>
      </c>
      <c r="C2364" s="108" t="s">
        <v>655</v>
      </c>
      <c r="D2364" s="100" t="str">
        <f t="shared" si="1"/>
        <v/>
      </c>
      <c r="E2364" s="100" t="str">
        <f t="shared" si="2"/>
        <v/>
      </c>
      <c r="F2364" s="100" t="str">
        <f t="shared" si="3"/>
        <v/>
      </c>
      <c r="G2364" s="151"/>
      <c r="H2364" s="160"/>
      <c r="I2364" s="157"/>
      <c r="J2364" s="161"/>
      <c r="L2364" s="94"/>
      <c r="M2364" s="159"/>
      <c r="N2364" s="94"/>
    </row>
    <row r="2365">
      <c r="A2365" s="107">
        <v>203463.0</v>
      </c>
      <c r="B2365" s="108" t="s">
        <v>193</v>
      </c>
      <c r="C2365" s="108" t="s">
        <v>655</v>
      </c>
      <c r="D2365" s="100" t="str">
        <f t="shared" si="1"/>
        <v/>
      </c>
      <c r="E2365" s="100" t="str">
        <f t="shared" si="2"/>
        <v/>
      </c>
      <c r="F2365" s="100" t="str">
        <f t="shared" si="3"/>
        <v/>
      </c>
      <c r="G2365" s="151"/>
      <c r="H2365" s="156"/>
      <c r="I2365" s="157"/>
      <c r="J2365" s="158"/>
      <c r="L2365" s="94"/>
      <c r="M2365" s="159"/>
      <c r="N2365" s="94"/>
    </row>
    <row r="2366">
      <c r="A2366" s="107">
        <v>203463.0</v>
      </c>
      <c r="B2366" s="108" t="s">
        <v>243</v>
      </c>
      <c r="C2366" s="108" t="s">
        <v>655</v>
      </c>
      <c r="D2366" s="100" t="str">
        <f t="shared" si="1"/>
        <v/>
      </c>
      <c r="E2366" s="100" t="str">
        <f t="shared" si="2"/>
        <v/>
      </c>
      <c r="F2366" s="100" t="str">
        <f t="shared" si="3"/>
        <v/>
      </c>
      <c r="G2366" s="151"/>
      <c r="H2366" s="160"/>
      <c r="I2366" s="157"/>
      <c r="J2366" s="161"/>
      <c r="L2366" s="94"/>
      <c r="M2366" s="159"/>
      <c r="N2366" s="94"/>
    </row>
    <row r="2367">
      <c r="A2367" s="107">
        <v>203463.0</v>
      </c>
      <c r="B2367" s="108" t="s">
        <v>215</v>
      </c>
      <c r="C2367" s="108" t="s">
        <v>655</v>
      </c>
      <c r="D2367" s="100" t="str">
        <f t="shared" si="1"/>
        <v/>
      </c>
      <c r="E2367" s="100" t="str">
        <f t="shared" si="2"/>
        <v/>
      </c>
      <c r="F2367" s="100" t="str">
        <f t="shared" si="3"/>
        <v/>
      </c>
      <c r="G2367" s="151"/>
      <c r="H2367" s="156"/>
      <c r="I2367" s="157"/>
      <c r="J2367" s="158"/>
      <c r="L2367" s="94"/>
      <c r="M2367" s="159"/>
      <c r="N2367" s="94"/>
    </row>
    <row r="2368">
      <c r="A2368" s="107">
        <v>203464.0</v>
      </c>
      <c r="B2368" s="108" t="s">
        <v>191</v>
      </c>
      <c r="C2368" s="108" t="s">
        <v>656</v>
      </c>
      <c r="D2368" s="100" t="str">
        <f t="shared" si="1"/>
        <v/>
      </c>
      <c r="E2368" s="100" t="str">
        <f t="shared" si="2"/>
        <v/>
      </c>
      <c r="F2368" s="100" t="str">
        <f t="shared" si="3"/>
        <v/>
      </c>
      <c r="G2368" s="151"/>
      <c r="H2368" s="160"/>
      <c r="I2368" s="157"/>
      <c r="J2368" s="161"/>
      <c r="L2368" s="94"/>
      <c r="M2368" s="159"/>
      <c r="N2368" s="94"/>
    </row>
    <row r="2369">
      <c r="A2369" s="107">
        <v>203467.0</v>
      </c>
      <c r="B2369" s="108" t="s">
        <v>85</v>
      </c>
      <c r="C2369" s="108" t="s">
        <v>657</v>
      </c>
      <c r="D2369" s="100" t="str">
        <f t="shared" si="1"/>
        <v/>
      </c>
      <c r="E2369" s="100" t="str">
        <f t="shared" si="2"/>
        <v/>
      </c>
      <c r="F2369" s="100" t="str">
        <f t="shared" si="3"/>
        <v/>
      </c>
      <c r="G2369" s="151"/>
      <c r="H2369" s="156"/>
      <c r="I2369" s="157"/>
      <c r="J2369" s="158"/>
      <c r="L2369" s="94"/>
      <c r="M2369" s="159"/>
      <c r="N2369" s="94"/>
    </row>
    <row r="2370">
      <c r="A2370" s="107">
        <v>203468.0</v>
      </c>
      <c r="B2370" s="108" t="s">
        <v>85</v>
      </c>
      <c r="C2370" s="108" t="s">
        <v>658</v>
      </c>
      <c r="D2370" s="100" t="str">
        <f t="shared" si="1"/>
        <v/>
      </c>
      <c r="E2370" s="100" t="str">
        <f t="shared" si="2"/>
        <v/>
      </c>
      <c r="F2370" s="100" t="str">
        <f t="shared" si="3"/>
        <v/>
      </c>
      <c r="G2370" s="151"/>
      <c r="H2370" s="160"/>
      <c r="I2370" s="157"/>
      <c r="J2370" s="161"/>
      <c r="L2370" s="94"/>
      <c r="M2370" s="159"/>
      <c r="N2370" s="94"/>
    </row>
    <row r="2371">
      <c r="A2371" s="107">
        <v>203468.0</v>
      </c>
      <c r="B2371" s="108" t="s">
        <v>90</v>
      </c>
      <c r="C2371" s="108" t="s">
        <v>658</v>
      </c>
      <c r="D2371" s="100" t="str">
        <f t="shared" si="1"/>
        <v/>
      </c>
      <c r="E2371" s="100" t="str">
        <f t="shared" si="2"/>
        <v/>
      </c>
      <c r="F2371" s="100" t="str">
        <f t="shared" si="3"/>
        <v/>
      </c>
      <c r="G2371" s="151"/>
      <c r="H2371" s="156"/>
      <c r="I2371" s="157"/>
      <c r="J2371" s="158"/>
      <c r="L2371" s="94"/>
      <c r="M2371" s="159"/>
      <c r="N2371" s="94"/>
    </row>
    <row r="2372">
      <c r="A2372" s="107">
        <v>203468.0</v>
      </c>
      <c r="B2372" s="108" t="s">
        <v>92</v>
      </c>
      <c r="C2372" s="108" t="s">
        <v>658</v>
      </c>
      <c r="D2372" s="100" t="str">
        <f t="shared" si="1"/>
        <v/>
      </c>
      <c r="E2372" s="100" t="str">
        <f t="shared" si="2"/>
        <v/>
      </c>
      <c r="F2372" s="100" t="str">
        <f t="shared" si="3"/>
        <v/>
      </c>
      <c r="G2372" s="151"/>
      <c r="H2372" s="160"/>
      <c r="I2372" s="157"/>
      <c r="J2372" s="161"/>
      <c r="L2372" s="94"/>
      <c r="M2372" s="159"/>
      <c r="N2372" s="94"/>
    </row>
    <row r="2373">
      <c r="A2373" s="107">
        <v>203468.0</v>
      </c>
      <c r="B2373" s="108" t="s">
        <v>190</v>
      </c>
      <c r="C2373" s="108" t="s">
        <v>658</v>
      </c>
      <c r="D2373" s="100" t="str">
        <f t="shared" si="1"/>
        <v/>
      </c>
      <c r="E2373" s="100" t="str">
        <f t="shared" si="2"/>
        <v/>
      </c>
      <c r="F2373" s="100" t="str">
        <f t="shared" si="3"/>
        <v/>
      </c>
      <c r="G2373" s="151"/>
      <c r="H2373" s="156"/>
      <c r="I2373" s="157"/>
      <c r="J2373" s="158"/>
      <c r="L2373" s="94"/>
      <c r="M2373" s="159"/>
      <c r="N2373" s="94"/>
    </row>
    <row r="2374">
      <c r="A2374" s="107">
        <v>203468.0</v>
      </c>
      <c r="B2374" s="108" t="s">
        <v>191</v>
      </c>
      <c r="C2374" s="108" t="s">
        <v>658</v>
      </c>
      <c r="D2374" s="100" t="str">
        <f t="shared" si="1"/>
        <v/>
      </c>
      <c r="E2374" s="100" t="str">
        <f t="shared" si="2"/>
        <v/>
      </c>
      <c r="F2374" s="100" t="str">
        <f t="shared" si="3"/>
        <v/>
      </c>
      <c r="G2374" s="151"/>
      <c r="H2374" s="160"/>
      <c r="I2374" s="157"/>
      <c r="J2374" s="161"/>
      <c r="L2374" s="94"/>
      <c r="M2374" s="159"/>
      <c r="N2374" s="94"/>
    </row>
    <row r="2375">
      <c r="A2375" s="107">
        <v>203468.0</v>
      </c>
      <c r="B2375" s="108" t="s">
        <v>192</v>
      </c>
      <c r="C2375" s="108" t="s">
        <v>658</v>
      </c>
      <c r="D2375" s="100" t="str">
        <f t="shared" si="1"/>
        <v/>
      </c>
      <c r="E2375" s="100" t="str">
        <f t="shared" si="2"/>
        <v/>
      </c>
      <c r="F2375" s="100" t="str">
        <f t="shared" si="3"/>
        <v/>
      </c>
      <c r="G2375" s="151"/>
      <c r="H2375" s="156"/>
      <c r="I2375" s="157"/>
      <c r="J2375" s="158"/>
      <c r="L2375" s="94"/>
      <c r="M2375" s="159"/>
      <c r="N2375" s="94"/>
    </row>
    <row r="2376">
      <c r="A2376" s="107">
        <v>203468.0</v>
      </c>
      <c r="B2376" s="108" t="s">
        <v>193</v>
      </c>
      <c r="C2376" s="108" t="s">
        <v>658</v>
      </c>
      <c r="D2376" s="100" t="str">
        <f t="shared" si="1"/>
        <v/>
      </c>
      <c r="E2376" s="100" t="str">
        <f t="shared" si="2"/>
        <v/>
      </c>
      <c r="F2376" s="100" t="str">
        <f t="shared" si="3"/>
        <v/>
      </c>
      <c r="G2376" s="151"/>
      <c r="H2376" s="160"/>
      <c r="I2376" s="157"/>
      <c r="J2376" s="161"/>
      <c r="L2376" s="94"/>
      <c r="M2376" s="159"/>
      <c r="N2376" s="94"/>
    </row>
    <row r="2377">
      <c r="A2377" s="107">
        <v>203468.0</v>
      </c>
      <c r="B2377" s="108" t="s">
        <v>243</v>
      </c>
      <c r="C2377" s="108" t="s">
        <v>658</v>
      </c>
      <c r="D2377" s="100" t="str">
        <f t="shared" si="1"/>
        <v/>
      </c>
      <c r="E2377" s="100" t="str">
        <f t="shared" si="2"/>
        <v/>
      </c>
      <c r="F2377" s="100" t="str">
        <f t="shared" si="3"/>
        <v/>
      </c>
      <c r="G2377" s="151"/>
      <c r="H2377" s="156"/>
      <c r="I2377" s="157"/>
      <c r="J2377" s="158"/>
      <c r="L2377" s="94"/>
      <c r="M2377" s="159"/>
      <c r="N2377" s="94"/>
    </row>
    <row r="2378">
      <c r="A2378" s="107">
        <v>203468.0</v>
      </c>
      <c r="B2378" s="108" t="s">
        <v>215</v>
      </c>
      <c r="C2378" s="108" t="s">
        <v>658</v>
      </c>
      <c r="D2378" s="100" t="str">
        <f t="shared" si="1"/>
        <v/>
      </c>
      <c r="E2378" s="100" t="str">
        <f t="shared" si="2"/>
        <v/>
      </c>
      <c r="F2378" s="100" t="str">
        <f t="shared" si="3"/>
        <v/>
      </c>
      <c r="G2378" s="151"/>
      <c r="H2378" s="160"/>
      <c r="I2378" s="157"/>
      <c r="J2378" s="161"/>
      <c r="L2378" s="94"/>
      <c r="M2378" s="159"/>
      <c r="N2378" s="94"/>
    </row>
    <row r="2379">
      <c r="A2379" s="107">
        <v>203468.0</v>
      </c>
      <c r="B2379" s="108" t="s">
        <v>244</v>
      </c>
      <c r="C2379" s="108" t="s">
        <v>658</v>
      </c>
      <c r="D2379" s="100" t="str">
        <f t="shared" si="1"/>
        <v/>
      </c>
      <c r="E2379" s="100" t="str">
        <f t="shared" si="2"/>
        <v/>
      </c>
      <c r="F2379" s="100" t="str">
        <f t="shared" si="3"/>
        <v/>
      </c>
      <c r="G2379" s="151"/>
      <c r="H2379" s="156"/>
      <c r="I2379" s="157"/>
      <c r="J2379" s="158"/>
      <c r="L2379" s="94"/>
      <c r="M2379" s="159"/>
      <c r="N2379" s="94"/>
    </row>
    <row r="2380">
      <c r="A2380" s="107">
        <v>203468.0</v>
      </c>
      <c r="B2380" s="108" t="s">
        <v>245</v>
      </c>
      <c r="C2380" s="108" t="s">
        <v>658</v>
      </c>
      <c r="D2380" s="100" t="str">
        <f t="shared" si="1"/>
        <v/>
      </c>
      <c r="E2380" s="100" t="str">
        <f t="shared" si="2"/>
        <v/>
      </c>
      <c r="F2380" s="100" t="str">
        <f t="shared" si="3"/>
        <v/>
      </c>
      <c r="G2380" s="151"/>
      <c r="H2380" s="160"/>
      <c r="I2380" s="157"/>
      <c r="J2380" s="161"/>
      <c r="L2380" s="94"/>
      <c r="M2380" s="159"/>
      <c r="N2380" s="94"/>
    </row>
    <row r="2381">
      <c r="A2381" s="107">
        <v>203468.0</v>
      </c>
      <c r="B2381" s="108" t="s">
        <v>246</v>
      </c>
      <c r="C2381" s="108" t="s">
        <v>658</v>
      </c>
      <c r="D2381" s="100" t="str">
        <f t="shared" si="1"/>
        <v/>
      </c>
      <c r="E2381" s="100" t="str">
        <f t="shared" si="2"/>
        <v/>
      </c>
      <c r="F2381" s="100" t="str">
        <f t="shared" si="3"/>
        <v/>
      </c>
      <c r="G2381" s="151"/>
      <c r="H2381" s="156"/>
      <c r="I2381" s="157"/>
      <c r="J2381" s="158"/>
      <c r="L2381" s="94"/>
      <c r="M2381" s="159"/>
      <c r="N2381" s="94"/>
    </row>
    <row r="2382">
      <c r="A2382" s="149">
        <v>203468.0</v>
      </c>
      <c r="B2382" s="115" t="s">
        <v>247</v>
      </c>
      <c r="C2382" s="115" t="s">
        <v>658</v>
      </c>
      <c r="D2382" s="100" t="str">
        <f t="shared" si="1"/>
        <v/>
      </c>
      <c r="E2382" s="100" t="str">
        <f t="shared" si="2"/>
        <v/>
      </c>
      <c r="F2382" s="100" t="str">
        <f t="shared" si="3"/>
        <v/>
      </c>
      <c r="G2382" s="151"/>
      <c r="H2382" s="160"/>
      <c r="I2382" s="157"/>
      <c r="J2382" s="161"/>
      <c r="L2382" s="94"/>
      <c r="M2382" s="159"/>
      <c r="N2382" s="94"/>
    </row>
    <row r="2383">
      <c r="A2383" s="21">
        <v>203469.0</v>
      </c>
      <c r="B2383" s="164" t="s">
        <v>85</v>
      </c>
      <c r="C2383" s="164" t="s">
        <v>659</v>
      </c>
      <c r="D2383" s="100" t="str">
        <f t="shared" si="1"/>
        <v/>
      </c>
      <c r="E2383" s="100" t="str">
        <f t="shared" si="2"/>
        <v/>
      </c>
      <c r="F2383" s="100" t="str">
        <f t="shared" si="3"/>
        <v/>
      </c>
      <c r="G2383" s="151"/>
      <c r="H2383" s="156"/>
      <c r="I2383" s="157"/>
      <c r="J2383" s="158"/>
      <c r="L2383" s="94"/>
      <c r="M2383" s="159"/>
      <c r="N2383" s="94"/>
    </row>
    <row r="2384">
      <c r="A2384" s="107">
        <v>203469.0</v>
      </c>
      <c r="B2384" s="108" t="s">
        <v>90</v>
      </c>
      <c r="C2384" s="108" t="s">
        <v>659</v>
      </c>
      <c r="D2384" s="100" t="str">
        <f t="shared" si="1"/>
        <v/>
      </c>
      <c r="E2384" s="100" t="str">
        <f t="shared" si="2"/>
        <v/>
      </c>
      <c r="F2384" s="100" t="str">
        <f t="shared" si="3"/>
        <v/>
      </c>
      <c r="G2384" s="151"/>
      <c r="H2384" s="160"/>
      <c r="I2384" s="157"/>
      <c r="J2384" s="161"/>
      <c r="L2384" s="94"/>
      <c r="M2384" s="159"/>
      <c r="N2384" s="94"/>
    </row>
    <row r="2385">
      <c r="A2385" s="107">
        <v>203469.0</v>
      </c>
      <c r="B2385" s="108" t="s">
        <v>92</v>
      </c>
      <c r="C2385" s="108" t="s">
        <v>659</v>
      </c>
      <c r="D2385" s="100" t="str">
        <f t="shared" si="1"/>
        <v/>
      </c>
      <c r="E2385" s="100" t="str">
        <f t="shared" si="2"/>
        <v/>
      </c>
      <c r="F2385" s="100" t="str">
        <f t="shared" si="3"/>
        <v/>
      </c>
      <c r="G2385" s="151"/>
      <c r="H2385" s="156"/>
      <c r="I2385" s="157"/>
      <c r="J2385" s="158"/>
      <c r="L2385" s="94"/>
      <c r="M2385" s="159"/>
      <c r="N2385" s="94"/>
    </row>
    <row r="2386">
      <c r="A2386" s="107">
        <v>203469.0</v>
      </c>
      <c r="B2386" s="108" t="s">
        <v>190</v>
      </c>
      <c r="C2386" s="108" t="s">
        <v>659</v>
      </c>
      <c r="D2386" s="100" t="str">
        <f t="shared" si="1"/>
        <v/>
      </c>
      <c r="E2386" s="100" t="str">
        <f t="shared" si="2"/>
        <v/>
      </c>
      <c r="F2386" s="100" t="str">
        <f t="shared" si="3"/>
        <v/>
      </c>
      <c r="G2386" s="151"/>
      <c r="H2386" s="160"/>
      <c r="I2386" s="157"/>
      <c r="J2386" s="161"/>
      <c r="L2386" s="94"/>
      <c r="M2386" s="159"/>
      <c r="N2386" s="94"/>
    </row>
    <row r="2387">
      <c r="A2387" s="107">
        <v>203469.0</v>
      </c>
      <c r="B2387" s="108" t="s">
        <v>191</v>
      </c>
      <c r="C2387" s="108" t="s">
        <v>659</v>
      </c>
      <c r="D2387" s="100" t="str">
        <f t="shared" si="1"/>
        <v/>
      </c>
      <c r="E2387" s="100" t="str">
        <f t="shared" si="2"/>
        <v/>
      </c>
      <c r="F2387" s="100" t="str">
        <f t="shared" si="3"/>
        <v/>
      </c>
      <c r="G2387" s="151"/>
      <c r="H2387" s="156"/>
      <c r="I2387" s="157"/>
      <c r="J2387" s="158"/>
      <c r="L2387" s="94"/>
      <c r="M2387" s="159"/>
      <c r="N2387" s="94"/>
    </row>
    <row r="2388">
      <c r="A2388" s="107">
        <v>203469.0</v>
      </c>
      <c r="B2388" s="108" t="s">
        <v>192</v>
      </c>
      <c r="C2388" s="108" t="s">
        <v>659</v>
      </c>
      <c r="D2388" s="100" t="str">
        <f t="shared" si="1"/>
        <v/>
      </c>
      <c r="E2388" s="100" t="str">
        <f t="shared" si="2"/>
        <v/>
      </c>
      <c r="F2388" s="100" t="str">
        <f t="shared" si="3"/>
        <v/>
      </c>
      <c r="G2388" s="151"/>
      <c r="H2388" s="160"/>
      <c r="I2388" s="157"/>
      <c r="J2388" s="161"/>
      <c r="L2388" s="94"/>
      <c r="M2388" s="159"/>
      <c r="N2388" s="94"/>
    </row>
    <row r="2389">
      <c r="A2389" s="107">
        <v>203469.0</v>
      </c>
      <c r="B2389" s="108" t="s">
        <v>193</v>
      </c>
      <c r="C2389" s="108" t="s">
        <v>659</v>
      </c>
      <c r="D2389" s="100" t="str">
        <f t="shared" si="1"/>
        <v/>
      </c>
      <c r="E2389" s="100" t="str">
        <f t="shared" si="2"/>
        <v/>
      </c>
      <c r="F2389" s="100" t="str">
        <f t="shared" si="3"/>
        <v/>
      </c>
      <c r="G2389" s="151"/>
      <c r="H2389" s="156"/>
      <c r="I2389" s="157"/>
      <c r="J2389" s="158"/>
      <c r="L2389" s="94"/>
      <c r="M2389" s="159"/>
      <c r="N2389" s="94"/>
    </row>
    <row r="2390">
      <c r="A2390" s="107">
        <v>203469.0</v>
      </c>
      <c r="B2390" s="108" t="s">
        <v>243</v>
      </c>
      <c r="C2390" s="108" t="s">
        <v>659</v>
      </c>
      <c r="D2390" s="100" t="str">
        <f t="shared" si="1"/>
        <v/>
      </c>
      <c r="E2390" s="100" t="str">
        <f t="shared" si="2"/>
        <v/>
      </c>
      <c r="F2390" s="100" t="str">
        <f t="shared" si="3"/>
        <v/>
      </c>
      <c r="G2390" s="151"/>
      <c r="H2390" s="160"/>
      <c r="I2390" s="157"/>
      <c r="J2390" s="161"/>
      <c r="L2390" s="94"/>
      <c r="M2390" s="159"/>
      <c r="N2390" s="94"/>
    </row>
    <row r="2391">
      <c r="A2391" s="107">
        <v>203469.0</v>
      </c>
      <c r="B2391" s="108" t="s">
        <v>215</v>
      </c>
      <c r="C2391" s="108" t="s">
        <v>659</v>
      </c>
      <c r="D2391" s="100" t="str">
        <f t="shared" si="1"/>
        <v/>
      </c>
      <c r="E2391" s="100" t="str">
        <f t="shared" si="2"/>
        <v/>
      </c>
      <c r="F2391" s="100" t="str">
        <f t="shared" si="3"/>
        <v/>
      </c>
      <c r="G2391" s="151"/>
      <c r="H2391" s="156"/>
      <c r="I2391" s="157"/>
      <c r="J2391" s="158"/>
      <c r="L2391" s="94"/>
      <c r="M2391" s="159"/>
      <c r="N2391" s="94"/>
    </row>
    <row r="2392">
      <c r="A2392" s="107">
        <v>203469.0</v>
      </c>
      <c r="B2392" s="108" t="s">
        <v>244</v>
      </c>
      <c r="C2392" s="108" t="s">
        <v>659</v>
      </c>
      <c r="D2392" s="100" t="str">
        <f t="shared" si="1"/>
        <v/>
      </c>
      <c r="E2392" s="100" t="str">
        <f t="shared" si="2"/>
        <v/>
      </c>
      <c r="F2392" s="100" t="str">
        <f t="shared" si="3"/>
        <v/>
      </c>
      <c r="G2392" s="151"/>
      <c r="H2392" s="160"/>
      <c r="I2392" s="157"/>
      <c r="J2392" s="161"/>
      <c r="L2392" s="94"/>
      <c r="M2392" s="159"/>
      <c r="N2392" s="94"/>
    </row>
    <row r="2393">
      <c r="A2393" s="107">
        <v>203469.0</v>
      </c>
      <c r="B2393" s="108" t="s">
        <v>245</v>
      </c>
      <c r="C2393" s="108" t="s">
        <v>659</v>
      </c>
      <c r="D2393" s="100" t="str">
        <f t="shared" si="1"/>
        <v/>
      </c>
      <c r="E2393" s="100" t="str">
        <f t="shared" si="2"/>
        <v/>
      </c>
      <c r="F2393" s="100" t="str">
        <f t="shared" si="3"/>
        <v/>
      </c>
      <c r="G2393" s="151"/>
      <c r="H2393" s="156"/>
      <c r="I2393" s="157"/>
      <c r="J2393" s="158"/>
      <c r="L2393" s="94"/>
      <c r="M2393" s="159"/>
      <c r="N2393" s="94"/>
    </row>
    <row r="2394">
      <c r="A2394" s="107">
        <v>203471.0</v>
      </c>
      <c r="B2394" s="108" t="s">
        <v>85</v>
      </c>
      <c r="C2394" s="108" t="s">
        <v>660</v>
      </c>
      <c r="D2394" s="100" t="str">
        <f t="shared" si="1"/>
        <v/>
      </c>
      <c r="E2394" s="100" t="str">
        <f t="shared" si="2"/>
        <v/>
      </c>
      <c r="F2394" s="100" t="str">
        <f t="shared" si="3"/>
        <v/>
      </c>
      <c r="G2394" s="151"/>
      <c r="H2394" s="160"/>
      <c r="I2394" s="157"/>
      <c r="J2394" s="161"/>
      <c r="L2394" s="94"/>
      <c r="M2394" s="159"/>
      <c r="N2394" s="94"/>
    </row>
    <row r="2395">
      <c r="A2395" s="107">
        <v>203471.0</v>
      </c>
      <c r="B2395" s="108" t="s">
        <v>90</v>
      </c>
      <c r="C2395" s="108" t="s">
        <v>660</v>
      </c>
      <c r="D2395" s="100" t="str">
        <f t="shared" si="1"/>
        <v/>
      </c>
      <c r="E2395" s="100" t="str">
        <f t="shared" si="2"/>
        <v/>
      </c>
      <c r="F2395" s="100" t="str">
        <f t="shared" si="3"/>
        <v/>
      </c>
      <c r="G2395" s="151"/>
      <c r="H2395" s="156"/>
      <c r="I2395" s="157"/>
      <c r="J2395" s="158"/>
      <c r="L2395" s="94"/>
      <c r="M2395" s="159"/>
      <c r="N2395" s="94"/>
    </row>
    <row r="2396">
      <c r="A2396" s="107">
        <v>203471.0</v>
      </c>
      <c r="B2396" s="108" t="s">
        <v>92</v>
      </c>
      <c r="C2396" s="108" t="s">
        <v>660</v>
      </c>
      <c r="D2396" s="100" t="str">
        <f t="shared" si="1"/>
        <v/>
      </c>
      <c r="E2396" s="100" t="str">
        <f t="shared" si="2"/>
        <v/>
      </c>
      <c r="F2396" s="100" t="str">
        <f t="shared" si="3"/>
        <v/>
      </c>
      <c r="G2396" s="151"/>
      <c r="H2396" s="160"/>
      <c r="I2396" s="157"/>
      <c r="J2396" s="161"/>
      <c r="L2396" s="94"/>
      <c r="M2396" s="159"/>
      <c r="N2396" s="94"/>
    </row>
    <row r="2397">
      <c r="A2397" s="107">
        <v>203471.0</v>
      </c>
      <c r="B2397" s="108" t="s">
        <v>190</v>
      </c>
      <c r="C2397" s="108" t="s">
        <v>660</v>
      </c>
      <c r="D2397" s="100" t="str">
        <f t="shared" si="1"/>
        <v/>
      </c>
      <c r="E2397" s="100" t="str">
        <f t="shared" si="2"/>
        <v/>
      </c>
      <c r="F2397" s="100" t="str">
        <f t="shared" si="3"/>
        <v/>
      </c>
      <c r="G2397" s="151"/>
      <c r="H2397" s="156"/>
      <c r="I2397" s="157"/>
      <c r="J2397" s="158"/>
      <c r="L2397" s="94"/>
      <c r="M2397" s="159"/>
      <c r="N2397" s="94"/>
    </row>
    <row r="2398">
      <c r="A2398" s="107">
        <v>203471.0</v>
      </c>
      <c r="B2398" s="108" t="s">
        <v>191</v>
      </c>
      <c r="C2398" s="108" t="s">
        <v>660</v>
      </c>
      <c r="D2398" s="100" t="str">
        <f t="shared" si="1"/>
        <v/>
      </c>
      <c r="E2398" s="100" t="str">
        <f t="shared" si="2"/>
        <v/>
      </c>
      <c r="F2398" s="100" t="str">
        <f t="shared" si="3"/>
        <v/>
      </c>
      <c r="G2398" s="151"/>
      <c r="H2398" s="160"/>
      <c r="I2398" s="157"/>
      <c r="J2398" s="161"/>
      <c r="L2398" s="94"/>
      <c r="M2398" s="159"/>
      <c r="N2398" s="94"/>
    </row>
    <row r="2399">
      <c r="A2399" s="107">
        <v>203471.0</v>
      </c>
      <c r="B2399" s="108" t="s">
        <v>192</v>
      </c>
      <c r="C2399" s="108" t="s">
        <v>660</v>
      </c>
      <c r="D2399" s="100" t="str">
        <f t="shared" si="1"/>
        <v/>
      </c>
      <c r="E2399" s="100" t="str">
        <f t="shared" si="2"/>
        <v/>
      </c>
      <c r="F2399" s="100" t="str">
        <f t="shared" si="3"/>
        <v/>
      </c>
      <c r="G2399" s="151"/>
      <c r="H2399" s="156"/>
      <c r="I2399" s="157"/>
      <c r="J2399" s="158"/>
      <c r="L2399" s="94"/>
      <c r="M2399" s="159"/>
      <c r="N2399" s="94"/>
    </row>
    <row r="2400">
      <c r="A2400" s="107">
        <v>203471.0</v>
      </c>
      <c r="B2400" s="108" t="s">
        <v>193</v>
      </c>
      <c r="C2400" s="108" t="s">
        <v>660</v>
      </c>
      <c r="D2400" s="100" t="str">
        <f t="shared" si="1"/>
        <v/>
      </c>
      <c r="E2400" s="100" t="str">
        <f t="shared" si="2"/>
        <v/>
      </c>
      <c r="F2400" s="100" t="str">
        <f t="shared" si="3"/>
        <v/>
      </c>
      <c r="G2400" s="151"/>
      <c r="H2400" s="160"/>
      <c r="I2400" s="157"/>
      <c r="J2400" s="161"/>
      <c r="L2400" s="94"/>
      <c r="M2400" s="159"/>
      <c r="N2400" s="94"/>
    </row>
    <row r="2401">
      <c r="A2401" s="107">
        <v>203471.0</v>
      </c>
      <c r="B2401" s="108" t="s">
        <v>243</v>
      </c>
      <c r="C2401" s="108" t="s">
        <v>660</v>
      </c>
      <c r="D2401" s="100" t="str">
        <f t="shared" si="1"/>
        <v/>
      </c>
      <c r="E2401" s="100" t="str">
        <f t="shared" si="2"/>
        <v/>
      </c>
      <c r="F2401" s="100" t="str">
        <f t="shared" si="3"/>
        <v/>
      </c>
      <c r="G2401" s="151"/>
      <c r="H2401" s="156"/>
      <c r="I2401" s="157"/>
      <c r="J2401" s="158"/>
      <c r="L2401" s="94"/>
      <c r="M2401" s="159"/>
      <c r="N2401" s="94"/>
    </row>
    <row r="2402">
      <c r="A2402" s="107">
        <v>203471.0</v>
      </c>
      <c r="B2402" s="108" t="s">
        <v>215</v>
      </c>
      <c r="C2402" s="108" t="s">
        <v>660</v>
      </c>
      <c r="D2402" s="100" t="str">
        <f t="shared" si="1"/>
        <v/>
      </c>
      <c r="E2402" s="100" t="str">
        <f t="shared" si="2"/>
        <v/>
      </c>
      <c r="F2402" s="100" t="str">
        <f t="shared" si="3"/>
        <v/>
      </c>
      <c r="G2402" s="151"/>
      <c r="H2402" s="160"/>
      <c r="I2402" s="157"/>
      <c r="J2402" s="161"/>
      <c r="L2402" s="94"/>
      <c r="M2402" s="159"/>
      <c r="N2402" s="94"/>
    </row>
    <row r="2403">
      <c r="A2403" s="107">
        <v>203471.0</v>
      </c>
      <c r="B2403" s="108" t="s">
        <v>244</v>
      </c>
      <c r="C2403" s="108" t="s">
        <v>660</v>
      </c>
      <c r="D2403" s="100" t="str">
        <f t="shared" si="1"/>
        <v/>
      </c>
      <c r="E2403" s="100" t="str">
        <f t="shared" si="2"/>
        <v/>
      </c>
      <c r="F2403" s="100" t="str">
        <f t="shared" si="3"/>
        <v/>
      </c>
      <c r="G2403" s="151"/>
      <c r="H2403" s="156"/>
      <c r="I2403" s="157"/>
      <c r="J2403" s="158"/>
      <c r="L2403" s="94"/>
      <c r="M2403" s="159"/>
      <c r="N2403" s="94"/>
    </row>
    <row r="2404">
      <c r="A2404" s="107">
        <v>203471.0</v>
      </c>
      <c r="B2404" s="108" t="s">
        <v>245</v>
      </c>
      <c r="C2404" s="108" t="s">
        <v>660</v>
      </c>
      <c r="D2404" s="100" t="str">
        <f t="shared" si="1"/>
        <v/>
      </c>
      <c r="E2404" s="100" t="str">
        <f t="shared" si="2"/>
        <v/>
      </c>
      <c r="F2404" s="100" t="str">
        <f t="shared" si="3"/>
        <v/>
      </c>
      <c r="G2404" s="151"/>
      <c r="H2404" s="160"/>
      <c r="I2404" s="157"/>
      <c r="J2404" s="161"/>
      <c r="L2404" s="94"/>
      <c r="M2404" s="159"/>
      <c r="N2404" s="94"/>
    </row>
    <row r="2405">
      <c r="A2405" s="107">
        <v>203471.0</v>
      </c>
      <c r="B2405" s="108" t="s">
        <v>246</v>
      </c>
      <c r="C2405" s="108" t="s">
        <v>660</v>
      </c>
      <c r="D2405" s="100" t="str">
        <f t="shared" si="1"/>
        <v/>
      </c>
      <c r="E2405" s="100" t="str">
        <f t="shared" si="2"/>
        <v/>
      </c>
      <c r="F2405" s="100" t="str">
        <f t="shared" si="3"/>
        <v/>
      </c>
      <c r="G2405" s="151"/>
      <c r="H2405" s="156"/>
      <c r="I2405" s="157"/>
      <c r="J2405" s="158"/>
      <c r="L2405" s="94"/>
      <c r="M2405" s="159"/>
      <c r="N2405" s="94"/>
    </row>
    <row r="2406">
      <c r="A2406" s="149">
        <v>203471.0</v>
      </c>
      <c r="B2406" s="115" t="s">
        <v>247</v>
      </c>
      <c r="C2406" s="108" t="s">
        <v>660</v>
      </c>
      <c r="D2406" s="100" t="str">
        <f t="shared" si="1"/>
        <v/>
      </c>
      <c r="E2406" s="100" t="str">
        <f t="shared" si="2"/>
        <v/>
      </c>
      <c r="F2406" s="100" t="str">
        <f t="shared" si="3"/>
        <v/>
      </c>
      <c r="G2406" s="151"/>
      <c r="H2406" s="160"/>
      <c r="I2406" s="157"/>
      <c r="J2406" s="161"/>
      <c r="L2406" s="94"/>
      <c r="M2406" s="159"/>
      <c r="N2406" s="94"/>
    </row>
    <row r="2407">
      <c r="A2407" s="21">
        <v>203473.0</v>
      </c>
      <c r="B2407" s="164" t="s">
        <v>85</v>
      </c>
      <c r="C2407" s="164" t="s">
        <v>661</v>
      </c>
      <c r="D2407" s="100" t="str">
        <f t="shared" si="1"/>
        <v/>
      </c>
      <c r="E2407" s="100" t="str">
        <f t="shared" si="2"/>
        <v/>
      </c>
      <c r="F2407" s="100" t="str">
        <f t="shared" si="3"/>
        <v/>
      </c>
      <c r="G2407" s="151"/>
      <c r="H2407" s="156"/>
      <c r="I2407" s="157"/>
      <c r="J2407" s="158"/>
      <c r="L2407" s="94"/>
      <c r="M2407" s="159"/>
      <c r="N2407" s="94"/>
    </row>
    <row r="2408">
      <c r="A2408" s="107">
        <v>203473.0</v>
      </c>
      <c r="B2408" s="108" t="s">
        <v>90</v>
      </c>
      <c r="C2408" s="108" t="s">
        <v>661</v>
      </c>
      <c r="D2408" s="100" t="str">
        <f t="shared" si="1"/>
        <v/>
      </c>
      <c r="E2408" s="100" t="str">
        <f t="shared" si="2"/>
        <v/>
      </c>
      <c r="F2408" s="100" t="str">
        <f t="shared" si="3"/>
        <v/>
      </c>
      <c r="G2408" s="151"/>
      <c r="H2408" s="160"/>
      <c r="I2408" s="157"/>
      <c r="J2408" s="161"/>
      <c r="L2408" s="94"/>
      <c r="M2408" s="159"/>
      <c r="N2408" s="94"/>
    </row>
    <row r="2409">
      <c r="A2409" s="107">
        <v>203473.0</v>
      </c>
      <c r="B2409" s="108" t="s">
        <v>92</v>
      </c>
      <c r="C2409" s="108" t="s">
        <v>661</v>
      </c>
      <c r="D2409" s="100" t="str">
        <f t="shared" si="1"/>
        <v/>
      </c>
      <c r="E2409" s="100" t="str">
        <f t="shared" si="2"/>
        <v/>
      </c>
      <c r="F2409" s="100" t="str">
        <f t="shared" si="3"/>
        <v/>
      </c>
      <c r="G2409" s="151"/>
      <c r="H2409" s="156"/>
      <c r="I2409" s="157"/>
      <c r="J2409" s="158"/>
      <c r="L2409" s="94"/>
      <c r="M2409" s="159"/>
      <c r="N2409" s="94"/>
    </row>
    <row r="2410">
      <c r="A2410" s="107">
        <v>203473.0</v>
      </c>
      <c r="B2410" s="108" t="s">
        <v>190</v>
      </c>
      <c r="C2410" s="108" t="s">
        <v>661</v>
      </c>
      <c r="D2410" s="100" t="str">
        <f t="shared" si="1"/>
        <v/>
      </c>
      <c r="E2410" s="100" t="str">
        <f t="shared" si="2"/>
        <v/>
      </c>
      <c r="F2410" s="100" t="str">
        <f t="shared" si="3"/>
        <v/>
      </c>
      <c r="G2410" s="151"/>
      <c r="H2410" s="160"/>
      <c r="I2410" s="157"/>
      <c r="J2410" s="161"/>
      <c r="L2410" s="94"/>
      <c r="M2410" s="159"/>
      <c r="N2410" s="94"/>
    </row>
    <row r="2411">
      <c r="A2411" s="107">
        <v>203473.0</v>
      </c>
      <c r="B2411" s="108" t="s">
        <v>191</v>
      </c>
      <c r="C2411" s="108" t="s">
        <v>661</v>
      </c>
      <c r="D2411" s="100" t="str">
        <f t="shared" si="1"/>
        <v/>
      </c>
      <c r="E2411" s="100" t="str">
        <f t="shared" si="2"/>
        <v/>
      </c>
      <c r="F2411" s="100" t="str">
        <f t="shared" si="3"/>
        <v/>
      </c>
      <c r="G2411" s="151"/>
      <c r="H2411" s="156"/>
      <c r="I2411" s="157"/>
      <c r="J2411" s="158"/>
      <c r="L2411" s="94"/>
      <c r="M2411" s="159"/>
      <c r="N2411" s="94"/>
    </row>
    <row r="2412">
      <c r="A2412" s="107">
        <v>203473.0</v>
      </c>
      <c r="B2412" s="108" t="s">
        <v>192</v>
      </c>
      <c r="C2412" s="108" t="s">
        <v>661</v>
      </c>
      <c r="D2412" s="100" t="str">
        <f t="shared" si="1"/>
        <v/>
      </c>
      <c r="E2412" s="100" t="str">
        <f t="shared" si="2"/>
        <v/>
      </c>
      <c r="F2412" s="100" t="str">
        <f t="shared" si="3"/>
        <v/>
      </c>
      <c r="G2412" s="151"/>
      <c r="H2412" s="160"/>
      <c r="I2412" s="157"/>
      <c r="J2412" s="161"/>
      <c r="L2412" s="94"/>
      <c r="M2412" s="159"/>
      <c r="N2412" s="94"/>
    </row>
    <row r="2413">
      <c r="A2413" s="107">
        <v>203473.0</v>
      </c>
      <c r="B2413" s="108" t="s">
        <v>193</v>
      </c>
      <c r="C2413" s="108" t="s">
        <v>661</v>
      </c>
      <c r="D2413" s="100" t="str">
        <f t="shared" si="1"/>
        <v/>
      </c>
      <c r="E2413" s="100" t="str">
        <f t="shared" si="2"/>
        <v/>
      </c>
      <c r="F2413" s="100" t="str">
        <f t="shared" si="3"/>
        <v/>
      </c>
      <c r="G2413" s="151"/>
      <c r="H2413" s="156"/>
      <c r="I2413" s="157"/>
      <c r="J2413" s="158"/>
      <c r="L2413" s="94"/>
      <c r="M2413" s="159"/>
      <c r="N2413" s="94"/>
    </row>
    <row r="2414">
      <c r="A2414" s="107">
        <v>203473.0</v>
      </c>
      <c r="B2414" s="108" t="s">
        <v>243</v>
      </c>
      <c r="C2414" s="108" t="s">
        <v>661</v>
      </c>
      <c r="D2414" s="100" t="str">
        <f t="shared" si="1"/>
        <v/>
      </c>
      <c r="E2414" s="100" t="str">
        <f t="shared" si="2"/>
        <v/>
      </c>
      <c r="F2414" s="100" t="str">
        <f t="shared" si="3"/>
        <v/>
      </c>
      <c r="G2414" s="151"/>
      <c r="H2414" s="160"/>
      <c r="I2414" s="157"/>
      <c r="J2414" s="161"/>
      <c r="L2414" s="94"/>
      <c r="M2414" s="159"/>
      <c r="N2414" s="94"/>
    </row>
    <row r="2415">
      <c r="A2415" s="107">
        <v>203473.0</v>
      </c>
      <c r="B2415" s="108" t="s">
        <v>215</v>
      </c>
      <c r="C2415" s="108" t="s">
        <v>661</v>
      </c>
      <c r="D2415" s="100" t="str">
        <f t="shared" si="1"/>
        <v/>
      </c>
      <c r="E2415" s="100" t="str">
        <f t="shared" si="2"/>
        <v/>
      </c>
      <c r="F2415" s="100" t="str">
        <f t="shared" si="3"/>
        <v/>
      </c>
      <c r="G2415" s="151"/>
      <c r="H2415" s="156"/>
      <c r="I2415" s="157"/>
      <c r="J2415" s="158"/>
      <c r="L2415" s="94"/>
      <c r="M2415" s="159"/>
      <c r="N2415" s="94"/>
    </row>
    <row r="2416">
      <c r="A2416" s="107">
        <v>203473.0</v>
      </c>
      <c r="B2416" s="108" t="s">
        <v>244</v>
      </c>
      <c r="C2416" s="108" t="s">
        <v>661</v>
      </c>
      <c r="D2416" s="100" t="str">
        <f t="shared" si="1"/>
        <v/>
      </c>
      <c r="E2416" s="100" t="str">
        <f t="shared" si="2"/>
        <v/>
      </c>
      <c r="F2416" s="100" t="str">
        <f t="shared" si="3"/>
        <v/>
      </c>
      <c r="G2416" s="151"/>
      <c r="H2416" s="160"/>
      <c r="I2416" s="157"/>
      <c r="J2416" s="161"/>
      <c r="L2416" s="94"/>
      <c r="M2416" s="159"/>
      <c r="N2416" s="94"/>
    </row>
    <row r="2417">
      <c r="A2417" s="107">
        <v>203474.0</v>
      </c>
      <c r="B2417" s="108" t="s">
        <v>85</v>
      </c>
      <c r="C2417" s="108" t="s">
        <v>662</v>
      </c>
      <c r="D2417" s="100" t="str">
        <f t="shared" si="1"/>
        <v/>
      </c>
      <c r="E2417" s="100" t="str">
        <f t="shared" si="2"/>
        <v/>
      </c>
      <c r="F2417" s="100" t="str">
        <f t="shared" si="3"/>
        <v/>
      </c>
      <c r="G2417" s="151"/>
      <c r="H2417" s="156"/>
      <c r="I2417" s="157"/>
      <c r="J2417" s="158"/>
      <c r="L2417" s="94"/>
      <c r="M2417" s="159"/>
      <c r="N2417" s="94"/>
    </row>
    <row r="2418">
      <c r="A2418" s="107">
        <v>203474.0</v>
      </c>
      <c r="B2418" s="108" t="s">
        <v>192</v>
      </c>
      <c r="C2418" s="108" t="s">
        <v>662</v>
      </c>
      <c r="D2418" s="100" t="str">
        <f t="shared" si="1"/>
        <v/>
      </c>
      <c r="E2418" s="100" t="str">
        <f t="shared" si="2"/>
        <v/>
      </c>
      <c r="F2418" s="100" t="str">
        <f t="shared" si="3"/>
        <v/>
      </c>
      <c r="G2418" s="151"/>
      <c r="H2418" s="160"/>
      <c r="I2418" s="157"/>
      <c r="J2418" s="161"/>
      <c r="L2418" s="94"/>
      <c r="M2418" s="159"/>
      <c r="N2418" s="94"/>
    </row>
    <row r="2419">
      <c r="A2419" s="107">
        <v>203475.0</v>
      </c>
      <c r="B2419" s="108" t="s">
        <v>90</v>
      </c>
      <c r="C2419" s="108" t="s">
        <v>663</v>
      </c>
      <c r="D2419" s="100" t="str">
        <f t="shared" si="1"/>
        <v/>
      </c>
      <c r="E2419" s="100" t="str">
        <f t="shared" si="2"/>
        <v/>
      </c>
      <c r="F2419" s="100" t="str">
        <f t="shared" si="3"/>
        <v/>
      </c>
      <c r="G2419" s="151"/>
      <c r="H2419" s="156"/>
      <c r="I2419" s="157"/>
      <c r="J2419" s="158"/>
      <c r="L2419" s="94"/>
      <c r="M2419" s="159"/>
      <c r="N2419" s="94"/>
    </row>
    <row r="2420">
      <c r="A2420" s="107">
        <v>203475.0</v>
      </c>
      <c r="B2420" s="108" t="s">
        <v>92</v>
      </c>
      <c r="C2420" s="108" t="s">
        <v>663</v>
      </c>
      <c r="D2420" s="100" t="str">
        <f t="shared" si="1"/>
        <v/>
      </c>
      <c r="E2420" s="100" t="str">
        <f t="shared" si="2"/>
        <v/>
      </c>
      <c r="F2420" s="100" t="str">
        <f t="shared" si="3"/>
        <v/>
      </c>
      <c r="G2420" s="151"/>
      <c r="H2420" s="160"/>
      <c r="I2420" s="157"/>
      <c r="J2420" s="161"/>
      <c r="L2420" s="94"/>
      <c r="M2420" s="159"/>
      <c r="N2420" s="94"/>
    </row>
    <row r="2421">
      <c r="A2421" s="107">
        <v>203476.0</v>
      </c>
      <c r="B2421" s="108" t="s">
        <v>85</v>
      </c>
      <c r="C2421" s="108" t="s">
        <v>664</v>
      </c>
      <c r="D2421" s="100" t="str">
        <f t="shared" si="1"/>
        <v/>
      </c>
      <c r="E2421" s="100" t="str">
        <f t="shared" si="2"/>
        <v/>
      </c>
      <c r="F2421" s="100" t="str">
        <f t="shared" si="3"/>
        <v/>
      </c>
      <c r="G2421" s="151"/>
      <c r="H2421" s="156"/>
      <c r="I2421" s="157"/>
      <c r="J2421" s="158"/>
      <c r="L2421" s="94"/>
      <c r="M2421" s="159"/>
      <c r="N2421" s="94"/>
    </row>
    <row r="2422">
      <c r="A2422" s="107">
        <v>203476.0</v>
      </c>
      <c r="B2422" s="108" t="s">
        <v>90</v>
      </c>
      <c r="C2422" s="108" t="s">
        <v>664</v>
      </c>
      <c r="D2422" s="100" t="str">
        <f t="shared" si="1"/>
        <v/>
      </c>
      <c r="E2422" s="100" t="str">
        <f t="shared" si="2"/>
        <v/>
      </c>
      <c r="F2422" s="100" t="str">
        <f t="shared" si="3"/>
        <v/>
      </c>
      <c r="G2422" s="151"/>
      <c r="H2422" s="160"/>
      <c r="I2422" s="157"/>
      <c r="J2422" s="161"/>
      <c r="L2422" s="94"/>
      <c r="M2422" s="159"/>
      <c r="N2422" s="94"/>
    </row>
    <row r="2423">
      <c r="A2423" s="107">
        <v>203476.0</v>
      </c>
      <c r="B2423" s="108" t="s">
        <v>92</v>
      </c>
      <c r="C2423" s="108" t="s">
        <v>664</v>
      </c>
      <c r="D2423" s="100" t="str">
        <f t="shared" si="1"/>
        <v/>
      </c>
      <c r="E2423" s="100" t="str">
        <f t="shared" si="2"/>
        <v/>
      </c>
      <c r="F2423" s="100" t="str">
        <f t="shared" si="3"/>
        <v/>
      </c>
      <c r="G2423" s="151"/>
      <c r="H2423" s="156"/>
      <c r="I2423" s="157"/>
      <c r="J2423" s="158"/>
      <c r="L2423" s="94"/>
      <c r="M2423" s="159"/>
      <c r="N2423" s="94"/>
    </row>
    <row r="2424">
      <c r="A2424" s="107">
        <v>203476.0</v>
      </c>
      <c r="B2424" s="108" t="s">
        <v>190</v>
      </c>
      <c r="C2424" s="108" t="s">
        <v>664</v>
      </c>
      <c r="D2424" s="100" t="str">
        <f t="shared" si="1"/>
        <v/>
      </c>
      <c r="E2424" s="100" t="str">
        <f t="shared" si="2"/>
        <v/>
      </c>
      <c r="F2424" s="100" t="str">
        <f t="shared" si="3"/>
        <v/>
      </c>
      <c r="G2424" s="151"/>
      <c r="H2424" s="160"/>
      <c r="I2424" s="157"/>
      <c r="J2424" s="161"/>
      <c r="L2424" s="94"/>
      <c r="M2424" s="159"/>
      <c r="N2424" s="94"/>
    </row>
    <row r="2425">
      <c r="A2425" s="107">
        <v>203476.0</v>
      </c>
      <c r="B2425" s="108" t="s">
        <v>191</v>
      </c>
      <c r="C2425" s="108" t="s">
        <v>664</v>
      </c>
      <c r="D2425" s="100" t="str">
        <f t="shared" si="1"/>
        <v/>
      </c>
      <c r="E2425" s="100" t="str">
        <f t="shared" si="2"/>
        <v/>
      </c>
      <c r="F2425" s="100" t="str">
        <f t="shared" si="3"/>
        <v/>
      </c>
      <c r="G2425" s="151"/>
      <c r="H2425" s="156"/>
      <c r="I2425" s="157"/>
      <c r="J2425" s="158"/>
      <c r="L2425" s="94"/>
      <c r="M2425" s="159"/>
      <c r="N2425" s="94"/>
    </row>
    <row r="2426">
      <c r="A2426" s="107">
        <v>203476.0</v>
      </c>
      <c r="B2426" s="108" t="s">
        <v>192</v>
      </c>
      <c r="C2426" s="108" t="s">
        <v>664</v>
      </c>
      <c r="D2426" s="100" t="str">
        <f t="shared" si="1"/>
        <v/>
      </c>
      <c r="E2426" s="100" t="str">
        <f t="shared" si="2"/>
        <v/>
      </c>
      <c r="F2426" s="100" t="str">
        <f t="shared" si="3"/>
        <v/>
      </c>
      <c r="G2426" s="151"/>
      <c r="H2426" s="160"/>
      <c r="I2426" s="157"/>
      <c r="J2426" s="161"/>
      <c r="L2426" s="94"/>
      <c r="M2426" s="159"/>
      <c r="N2426" s="94"/>
    </row>
    <row r="2427">
      <c r="A2427" s="107">
        <v>203476.0</v>
      </c>
      <c r="B2427" s="108" t="s">
        <v>193</v>
      </c>
      <c r="C2427" s="108" t="s">
        <v>664</v>
      </c>
      <c r="D2427" s="100" t="str">
        <f t="shared" si="1"/>
        <v/>
      </c>
      <c r="E2427" s="100" t="str">
        <f t="shared" si="2"/>
        <v/>
      </c>
      <c r="F2427" s="100" t="str">
        <f t="shared" si="3"/>
        <v/>
      </c>
      <c r="G2427" s="151"/>
      <c r="H2427" s="156"/>
      <c r="I2427" s="157"/>
      <c r="J2427" s="158"/>
      <c r="L2427" s="94"/>
      <c r="M2427" s="159"/>
      <c r="N2427" s="94"/>
    </row>
    <row r="2428">
      <c r="A2428" s="107">
        <v>203476.0</v>
      </c>
      <c r="B2428" s="108" t="s">
        <v>243</v>
      </c>
      <c r="C2428" s="108" t="s">
        <v>664</v>
      </c>
      <c r="D2428" s="100" t="str">
        <f t="shared" si="1"/>
        <v/>
      </c>
      <c r="E2428" s="100" t="str">
        <f t="shared" si="2"/>
        <v/>
      </c>
      <c r="F2428" s="100" t="str">
        <f t="shared" si="3"/>
        <v/>
      </c>
      <c r="G2428" s="151"/>
      <c r="H2428" s="160"/>
      <c r="I2428" s="157"/>
      <c r="J2428" s="161"/>
      <c r="L2428" s="94"/>
      <c r="M2428" s="159"/>
      <c r="N2428" s="94"/>
    </row>
    <row r="2429">
      <c r="A2429" s="107">
        <v>203476.0</v>
      </c>
      <c r="B2429" s="108" t="s">
        <v>215</v>
      </c>
      <c r="C2429" s="108" t="s">
        <v>664</v>
      </c>
      <c r="D2429" s="100" t="str">
        <f t="shared" si="1"/>
        <v/>
      </c>
      <c r="E2429" s="100" t="str">
        <f t="shared" si="2"/>
        <v/>
      </c>
      <c r="F2429" s="100" t="str">
        <f t="shared" si="3"/>
        <v/>
      </c>
      <c r="G2429" s="151"/>
      <c r="H2429" s="156"/>
      <c r="I2429" s="157"/>
      <c r="J2429" s="158"/>
      <c r="L2429" s="94"/>
      <c r="M2429" s="159"/>
      <c r="N2429" s="94"/>
    </row>
    <row r="2430">
      <c r="A2430" s="107">
        <v>203476.0</v>
      </c>
      <c r="B2430" s="108" t="s">
        <v>244</v>
      </c>
      <c r="C2430" s="108" t="s">
        <v>664</v>
      </c>
      <c r="D2430" s="100" t="str">
        <f t="shared" si="1"/>
        <v/>
      </c>
      <c r="E2430" s="100" t="str">
        <f t="shared" si="2"/>
        <v/>
      </c>
      <c r="F2430" s="100" t="str">
        <f t="shared" si="3"/>
        <v/>
      </c>
      <c r="G2430" s="151"/>
      <c r="H2430" s="160"/>
      <c r="I2430" s="157"/>
      <c r="J2430" s="161"/>
      <c r="L2430" s="94"/>
      <c r="M2430" s="159"/>
      <c r="N2430" s="94"/>
    </row>
    <row r="2431">
      <c r="A2431" s="107">
        <v>203477.0</v>
      </c>
      <c r="B2431" s="108" t="s">
        <v>85</v>
      </c>
      <c r="C2431" s="108" t="s">
        <v>665</v>
      </c>
      <c r="D2431" s="100" t="str">
        <f t="shared" si="1"/>
        <v/>
      </c>
      <c r="E2431" s="100" t="str">
        <f t="shared" si="2"/>
        <v/>
      </c>
      <c r="F2431" s="100" t="str">
        <f t="shared" si="3"/>
        <v/>
      </c>
      <c r="G2431" s="151"/>
      <c r="H2431" s="156"/>
      <c r="I2431" s="157"/>
      <c r="J2431" s="158"/>
      <c r="L2431" s="94"/>
      <c r="M2431" s="159"/>
      <c r="N2431" s="94"/>
    </row>
    <row r="2432">
      <c r="A2432" s="107">
        <v>203477.0</v>
      </c>
      <c r="B2432" s="108" t="s">
        <v>90</v>
      </c>
      <c r="C2432" s="108" t="s">
        <v>665</v>
      </c>
      <c r="D2432" s="100" t="str">
        <f t="shared" si="1"/>
        <v/>
      </c>
      <c r="E2432" s="100" t="str">
        <f t="shared" si="2"/>
        <v/>
      </c>
      <c r="F2432" s="100" t="str">
        <f t="shared" si="3"/>
        <v/>
      </c>
      <c r="G2432" s="151"/>
      <c r="H2432" s="160"/>
      <c r="I2432" s="157"/>
      <c r="J2432" s="161"/>
      <c r="L2432" s="94"/>
      <c r="M2432" s="159"/>
      <c r="N2432" s="94"/>
    </row>
    <row r="2433">
      <c r="A2433" s="107">
        <v>203477.0</v>
      </c>
      <c r="B2433" s="108" t="s">
        <v>92</v>
      </c>
      <c r="C2433" s="108" t="s">
        <v>665</v>
      </c>
      <c r="D2433" s="100" t="str">
        <f t="shared" si="1"/>
        <v/>
      </c>
      <c r="E2433" s="100" t="str">
        <f t="shared" si="2"/>
        <v/>
      </c>
      <c r="F2433" s="100" t="str">
        <f t="shared" si="3"/>
        <v/>
      </c>
      <c r="G2433" s="151"/>
      <c r="H2433" s="156"/>
      <c r="I2433" s="157"/>
      <c r="J2433" s="158"/>
      <c r="L2433" s="94"/>
      <c r="M2433" s="159"/>
      <c r="N2433" s="94"/>
    </row>
    <row r="2434">
      <c r="A2434" s="107">
        <v>203477.0</v>
      </c>
      <c r="B2434" s="108" t="s">
        <v>190</v>
      </c>
      <c r="C2434" s="108" t="s">
        <v>665</v>
      </c>
      <c r="D2434" s="100" t="str">
        <f t="shared" si="1"/>
        <v/>
      </c>
      <c r="E2434" s="100" t="str">
        <f t="shared" si="2"/>
        <v/>
      </c>
      <c r="F2434" s="100" t="str">
        <f t="shared" si="3"/>
        <v/>
      </c>
      <c r="G2434" s="151"/>
      <c r="H2434" s="160"/>
      <c r="I2434" s="157"/>
      <c r="J2434" s="161"/>
      <c r="L2434" s="94"/>
      <c r="M2434" s="159"/>
      <c r="N2434" s="94"/>
    </row>
    <row r="2435">
      <c r="A2435" s="107">
        <v>203477.0</v>
      </c>
      <c r="B2435" s="108" t="s">
        <v>191</v>
      </c>
      <c r="C2435" s="108" t="s">
        <v>665</v>
      </c>
      <c r="D2435" s="100" t="str">
        <f t="shared" si="1"/>
        <v/>
      </c>
      <c r="E2435" s="100" t="str">
        <f t="shared" si="2"/>
        <v/>
      </c>
      <c r="F2435" s="100" t="str">
        <f t="shared" si="3"/>
        <v/>
      </c>
      <c r="G2435" s="151"/>
      <c r="H2435" s="156"/>
      <c r="I2435" s="157"/>
      <c r="J2435" s="158"/>
      <c r="L2435" s="94"/>
      <c r="M2435" s="159"/>
      <c r="N2435" s="94"/>
    </row>
    <row r="2436">
      <c r="A2436" s="107">
        <v>203477.0</v>
      </c>
      <c r="B2436" s="108" t="s">
        <v>192</v>
      </c>
      <c r="C2436" s="108" t="s">
        <v>665</v>
      </c>
      <c r="D2436" s="100" t="str">
        <f t="shared" si="1"/>
        <v/>
      </c>
      <c r="E2436" s="100" t="str">
        <f t="shared" si="2"/>
        <v/>
      </c>
      <c r="F2436" s="100" t="str">
        <f t="shared" si="3"/>
        <v/>
      </c>
      <c r="G2436" s="151"/>
      <c r="H2436" s="160"/>
      <c r="I2436" s="157"/>
      <c r="J2436" s="161"/>
      <c r="L2436" s="94"/>
      <c r="M2436" s="159"/>
      <c r="N2436" s="94"/>
    </row>
    <row r="2437">
      <c r="A2437" s="107">
        <v>203479.0</v>
      </c>
      <c r="B2437" s="108" t="s">
        <v>85</v>
      </c>
      <c r="C2437" s="108" t="s">
        <v>666</v>
      </c>
      <c r="D2437" s="100" t="str">
        <f t="shared" si="1"/>
        <v/>
      </c>
      <c r="E2437" s="100" t="str">
        <f t="shared" si="2"/>
        <v/>
      </c>
      <c r="F2437" s="100" t="str">
        <f t="shared" si="3"/>
        <v/>
      </c>
      <c r="G2437" s="151"/>
      <c r="H2437" s="156"/>
      <c r="I2437" s="157"/>
      <c r="J2437" s="158"/>
      <c r="L2437" s="94"/>
      <c r="M2437" s="159"/>
      <c r="N2437" s="94"/>
    </row>
    <row r="2438">
      <c r="A2438" s="107">
        <v>203479.0</v>
      </c>
      <c r="B2438" s="108" t="s">
        <v>90</v>
      </c>
      <c r="C2438" s="108" t="s">
        <v>666</v>
      </c>
      <c r="D2438" s="100" t="str">
        <f t="shared" si="1"/>
        <v/>
      </c>
      <c r="E2438" s="100" t="str">
        <f t="shared" si="2"/>
        <v/>
      </c>
      <c r="F2438" s="100" t="str">
        <f t="shared" si="3"/>
        <v/>
      </c>
      <c r="G2438" s="151"/>
      <c r="H2438" s="160"/>
      <c r="I2438" s="157"/>
      <c r="J2438" s="161"/>
      <c r="L2438" s="94"/>
      <c r="M2438" s="159"/>
      <c r="N2438" s="94"/>
    </row>
    <row r="2439">
      <c r="A2439" s="107">
        <v>203480.0</v>
      </c>
      <c r="B2439" s="108" t="s">
        <v>85</v>
      </c>
      <c r="C2439" s="108" t="s">
        <v>667</v>
      </c>
      <c r="D2439" s="100" t="str">
        <f t="shared" si="1"/>
        <v/>
      </c>
      <c r="E2439" s="100" t="str">
        <f t="shared" si="2"/>
        <v/>
      </c>
      <c r="F2439" s="100" t="str">
        <f t="shared" si="3"/>
        <v/>
      </c>
      <c r="G2439" s="151"/>
      <c r="H2439" s="156"/>
      <c r="I2439" s="157"/>
      <c r="J2439" s="158"/>
      <c r="L2439" s="94"/>
      <c r="M2439" s="159"/>
      <c r="N2439" s="94"/>
    </row>
    <row r="2440">
      <c r="A2440" s="107">
        <v>203481.0</v>
      </c>
      <c r="B2440" s="108" t="s">
        <v>85</v>
      </c>
      <c r="C2440" s="108" t="s">
        <v>668</v>
      </c>
      <c r="D2440" s="100" t="str">
        <f t="shared" si="1"/>
        <v/>
      </c>
      <c r="E2440" s="100" t="str">
        <f t="shared" si="2"/>
        <v/>
      </c>
      <c r="F2440" s="100" t="str">
        <f t="shared" si="3"/>
        <v/>
      </c>
      <c r="G2440" s="151"/>
      <c r="H2440" s="160"/>
      <c r="I2440" s="157"/>
      <c r="J2440" s="161"/>
      <c r="L2440" s="94"/>
      <c r="M2440" s="159"/>
      <c r="N2440" s="94"/>
    </row>
    <row r="2441">
      <c r="A2441" s="107">
        <v>203481.0</v>
      </c>
      <c r="B2441" s="108" t="s">
        <v>90</v>
      </c>
      <c r="C2441" s="108" t="s">
        <v>668</v>
      </c>
      <c r="D2441" s="100" t="str">
        <f t="shared" si="1"/>
        <v/>
      </c>
      <c r="E2441" s="100" t="str">
        <f t="shared" si="2"/>
        <v/>
      </c>
      <c r="F2441" s="100" t="str">
        <f t="shared" si="3"/>
        <v/>
      </c>
      <c r="G2441" s="151"/>
      <c r="H2441" s="156"/>
      <c r="I2441" s="157"/>
      <c r="J2441" s="158"/>
      <c r="L2441" s="94"/>
      <c r="M2441" s="159"/>
      <c r="N2441" s="94"/>
    </row>
    <row r="2442">
      <c r="A2442" s="107">
        <v>203481.0</v>
      </c>
      <c r="B2442" s="108" t="s">
        <v>92</v>
      </c>
      <c r="C2442" s="108" t="s">
        <v>668</v>
      </c>
      <c r="D2442" s="100" t="str">
        <f t="shared" si="1"/>
        <v/>
      </c>
      <c r="E2442" s="100" t="str">
        <f t="shared" si="2"/>
        <v/>
      </c>
      <c r="F2442" s="100" t="str">
        <f t="shared" si="3"/>
        <v/>
      </c>
      <c r="G2442" s="151"/>
      <c r="H2442" s="160"/>
      <c r="I2442" s="157"/>
      <c r="J2442" s="161"/>
      <c r="L2442" s="94"/>
      <c r="M2442" s="159"/>
      <c r="N2442" s="94"/>
    </row>
    <row r="2443">
      <c r="A2443" s="107">
        <v>203481.0</v>
      </c>
      <c r="B2443" s="108" t="s">
        <v>190</v>
      </c>
      <c r="C2443" s="108" t="s">
        <v>668</v>
      </c>
      <c r="D2443" s="100" t="str">
        <f t="shared" si="1"/>
        <v/>
      </c>
      <c r="E2443" s="100" t="str">
        <f t="shared" si="2"/>
        <v/>
      </c>
      <c r="F2443" s="100" t="str">
        <f t="shared" si="3"/>
        <v/>
      </c>
      <c r="G2443" s="151"/>
      <c r="H2443" s="156"/>
      <c r="I2443" s="157"/>
      <c r="J2443" s="158"/>
      <c r="L2443" s="94"/>
      <c r="M2443" s="159"/>
      <c r="N2443" s="94"/>
    </row>
    <row r="2444">
      <c r="A2444" s="107">
        <v>203481.0</v>
      </c>
      <c r="B2444" s="108" t="s">
        <v>191</v>
      </c>
      <c r="C2444" s="108" t="s">
        <v>668</v>
      </c>
      <c r="D2444" s="100" t="str">
        <f t="shared" si="1"/>
        <v/>
      </c>
      <c r="E2444" s="100" t="str">
        <f t="shared" si="2"/>
        <v/>
      </c>
      <c r="F2444" s="100" t="str">
        <f t="shared" si="3"/>
        <v/>
      </c>
      <c r="G2444" s="151"/>
      <c r="H2444" s="160"/>
      <c r="I2444" s="157"/>
      <c r="J2444" s="161"/>
      <c r="L2444" s="94"/>
      <c r="M2444" s="159"/>
      <c r="N2444" s="94"/>
    </row>
    <row r="2445">
      <c r="A2445" s="107">
        <v>203482.0</v>
      </c>
      <c r="B2445" s="108" t="s">
        <v>85</v>
      </c>
      <c r="C2445" s="108" t="s">
        <v>669</v>
      </c>
      <c r="D2445" s="100" t="str">
        <f t="shared" si="1"/>
        <v/>
      </c>
      <c r="E2445" s="100" t="str">
        <f t="shared" si="2"/>
        <v/>
      </c>
      <c r="F2445" s="100" t="str">
        <f t="shared" si="3"/>
        <v/>
      </c>
      <c r="G2445" s="151"/>
      <c r="H2445" s="156"/>
      <c r="I2445" s="157"/>
      <c r="J2445" s="158"/>
      <c r="L2445" s="94"/>
      <c r="M2445" s="159"/>
      <c r="N2445" s="94"/>
    </row>
    <row r="2446">
      <c r="A2446" s="107">
        <v>203482.0</v>
      </c>
      <c r="B2446" s="108" t="s">
        <v>90</v>
      </c>
      <c r="C2446" s="108" t="s">
        <v>669</v>
      </c>
      <c r="D2446" s="100" t="str">
        <f t="shared" si="1"/>
        <v/>
      </c>
      <c r="E2446" s="100" t="str">
        <f t="shared" si="2"/>
        <v/>
      </c>
      <c r="F2446" s="100" t="str">
        <f t="shared" si="3"/>
        <v/>
      </c>
      <c r="G2446" s="151"/>
      <c r="H2446" s="160"/>
      <c r="I2446" s="157"/>
      <c r="J2446" s="161"/>
      <c r="L2446" s="94"/>
      <c r="M2446" s="159"/>
      <c r="N2446" s="94"/>
    </row>
    <row r="2447">
      <c r="A2447" s="107">
        <v>203482.0</v>
      </c>
      <c r="B2447" s="108" t="s">
        <v>92</v>
      </c>
      <c r="C2447" s="108" t="s">
        <v>669</v>
      </c>
      <c r="D2447" s="100" t="str">
        <f t="shared" si="1"/>
        <v/>
      </c>
      <c r="E2447" s="100" t="str">
        <f t="shared" si="2"/>
        <v/>
      </c>
      <c r="F2447" s="100" t="str">
        <f t="shared" si="3"/>
        <v/>
      </c>
      <c r="G2447" s="151"/>
      <c r="H2447" s="156"/>
      <c r="I2447" s="157"/>
      <c r="J2447" s="158"/>
      <c r="L2447" s="94"/>
      <c r="M2447" s="159"/>
      <c r="N2447" s="94"/>
    </row>
    <row r="2448">
      <c r="A2448" s="107">
        <v>203482.0</v>
      </c>
      <c r="B2448" s="108" t="s">
        <v>190</v>
      </c>
      <c r="C2448" s="108" t="s">
        <v>669</v>
      </c>
      <c r="D2448" s="100" t="str">
        <f t="shared" si="1"/>
        <v/>
      </c>
      <c r="E2448" s="100" t="str">
        <f t="shared" si="2"/>
        <v/>
      </c>
      <c r="F2448" s="100" t="str">
        <f t="shared" si="3"/>
        <v/>
      </c>
      <c r="G2448" s="151"/>
      <c r="H2448" s="160"/>
      <c r="I2448" s="157"/>
      <c r="J2448" s="161"/>
      <c r="L2448" s="94"/>
      <c r="M2448" s="159"/>
      <c r="N2448" s="94"/>
    </row>
    <row r="2449">
      <c r="A2449" s="107">
        <v>203482.0</v>
      </c>
      <c r="B2449" s="108" t="s">
        <v>191</v>
      </c>
      <c r="C2449" s="108" t="s">
        <v>669</v>
      </c>
      <c r="D2449" s="100" t="str">
        <f t="shared" si="1"/>
        <v/>
      </c>
      <c r="E2449" s="100" t="str">
        <f t="shared" si="2"/>
        <v/>
      </c>
      <c r="F2449" s="100" t="str">
        <f t="shared" si="3"/>
        <v/>
      </c>
      <c r="G2449" s="151"/>
      <c r="H2449" s="156"/>
      <c r="I2449" s="157"/>
      <c r="J2449" s="158"/>
      <c r="L2449" s="94"/>
      <c r="M2449" s="159"/>
      <c r="N2449" s="94"/>
    </row>
    <row r="2450">
      <c r="A2450" s="107">
        <v>203482.0</v>
      </c>
      <c r="B2450" s="108" t="s">
        <v>192</v>
      </c>
      <c r="C2450" s="108" t="s">
        <v>669</v>
      </c>
      <c r="D2450" s="100" t="str">
        <f t="shared" si="1"/>
        <v/>
      </c>
      <c r="E2450" s="100" t="str">
        <f t="shared" si="2"/>
        <v/>
      </c>
      <c r="F2450" s="100" t="str">
        <f t="shared" si="3"/>
        <v/>
      </c>
      <c r="G2450" s="151"/>
      <c r="H2450" s="160"/>
      <c r="I2450" s="157"/>
      <c r="J2450" s="161"/>
      <c r="L2450" s="94"/>
      <c r="M2450" s="159"/>
      <c r="N2450" s="94"/>
    </row>
    <row r="2451">
      <c r="A2451" s="107">
        <v>203482.0</v>
      </c>
      <c r="B2451" s="108" t="s">
        <v>193</v>
      </c>
      <c r="C2451" s="108" t="s">
        <v>669</v>
      </c>
      <c r="D2451" s="100" t="str">
        <f t="shared" si="1"/>
        <v/>
      </c>
      <c r="E2451" s="100" t="str">
        <f t="shared" si="2"/>
        <v/>
      </c>
      <c r="F2451" s="100" t="str">
        <f t="shared" si="3"/>
        <v/>
      </c>
      <c r="G2451" s="151"/>
      <c r="H2451" s="156"/>
      <c r="I2451" s="157"/>
      <c r="J2451" s="158"/>
      <c r="L2451" s="94"/>
      <c r="M2451" s="159"/>
      <c r="N2451" s="94"/>
    </row>
    <row r="2452">
      <c r="A2452" s="107">
        <v>203482.0</v>
      </c>
      <c r="B2452" s="108" t="s">
        <v>243</v>
      </c>
      <c r="C2452" s="108" t="s">
        <v>669</v>
      </c>
      <c r="D2452" s="100" t="str">
        <f t="shared" si="1"/>
        <v/>
      </c>
      <c r="E2452" s="100" t="str">
        <f t="shared" si="2"/>
        <v/>
      </c>
      <c r="F2452" s="100" t="str">
        <f t="shared" si="3"/>
        <v/>
      </c>
      <c r="G2452" s="151"/>
      <c r="H2452" s="160"/>
      <c r="I2452" s="157"/>
      <c r="J2452" s="161"/>
      <c r="L2452" s="94"/>
      <c r="M2452" s="159"/>
      <c r="N2452" s="94"/>
    </row>
    <row r="2453">
      <c r="A2453" s="107">
        <v>203482.0</v>
      </c>
      <c r="B2453" s="108" t="s">
        <v>215</v>
      </c>
      <c r="C2453" s="108" t="s">
        <v>669</v>
      </c>
      <c r="D2453" s="100" t="str">
        <f t="shared" si="1"/>
        <v/>
      </c>
      <c r="E2453" s="100" t="str">
        <f t="shared" si="2"/>
        <v/>
      </c>
      <c r="F2453" s="100" t="str">
        <f t="shared" si="3"/>
        <v/>
      </c>
      <c r="G2453" s="151"/>
      <c r="H2453" s="156"/>
      <c r="I2453" s="157"/>
      <c r="J2453" s="158"/>
      <c r="L2453" s="94"/>
      <c r="M2453" s="159"/>
      <c r="N2453" s="94"/>
    </row>
    <row r="2454">
      <c r="A2454" s="107">
        <v>203482.0</v>
      </c>
      <c r="B2454" s="108" t="s">
        <v>244</v>
      </c>
      <c r="C2454" s="108" t="s">
        <v>669</v>
      </c>
      <c r="D2454" s="100" t="str">
        <f t="shared" si="1"/>
        <v/>
      </c>
      <c r="E2454" s="100" t="str">
        <f t="shared" si="2"/>
        <v/>
      </c>
      <c r="F2454" s="100" t="str">
        <f t="shared" si="3"/>
        <v/>
      </c>
      <c r="G2454" s="151"/>
      <c r="H2454" s="160"/>
      <c r="I2454" s="157"/>
      <c r="J2454" s="161"/>
      <c r="L2454" s="94"/>
      <c r="M2454" s="159"/>
      <c r="N2454" s="94"/>
    </row>
    <row r="2455">
      <c r="A2455" s="107">
        <v>203482.0</v>
      </c>
      <c r="B2455" s="108" t="s">
        <v>245</v>
      </c>
      <c r="C2455" s="108" t="s">
        <v>669</v>
      </c>
      <c r="D2455" s="100" t="str">
        <f t="shared" si="1"/>
        <v/>
      </c>
      <c r="E2455" s="100" t="str">
        <f t="shared" si="2"/>
        <v/>
      </c>
      <c r="F2455" s="100" t="str">
        <f t="shared" si="3"/>
        <v/>
      </c>
      <c r="G2455" s="151"/>
      <c r="H2455" s="156"/>
      <c r="I2455" s="157"/>
      <c r="J2455" s="158"/>
      <c r="L2455" s="94"/>
      <c r="M2455" s="159"/>
      <c r="N2455" s="94"/>
    </row>
    <row r="2456">
      <c r="A2456" s="107">
        <v>203482.0</v>
      </c>
      <c r="B2456" s="108" t="s">
        <v>246</v>
      </c>
      <c r="C2456" s="108" t="s">
        <v>669</v>
      </c>
      <c r="D2456" s="100" t="str">
        <f t="shared" si="1"/>
        <v/>
      </c>
      <c r="E2456" s="100" t="str">
        <f t="shared" si="2"/>
        <v/>
      </c>
      <c r="F2456" s="100" t="str">
        <f t="shared" si="3"/>
        <v/>
      </c>
      <c r="G2456" s="151"/>
      <c r="H2456" s="160"/>
      <c r="I2456" s="157"/>
      <c r="J2456" s="161"/>
      <c r="L2456" s="94"/>
      <c r="M2456" s="159"/>
      <c r="N2456" s="94"/>
    </row>
    <row r="2457">
      <c r="A2457" s="149">
        <v>203482.0</v>
      </c>
      <c r="B2457" s="115" t="s">
        <v>247</v>
      </c>
      <c r="C2457" s="115" t="s">
        <v>669</v>
      </c>
      <c r="D2457" s="100" t="str">
        <f t="shared" si="1"/>
        <v/>
      </c>
      <c r="E2457" s="100" t="str">
        <f t="shared" si="2"/>
        <v/>
      </c>
      <c r="F2457" s="100" t="str">
        <f t="shared" si="3"/>
        <v/>
      </c>
      <c r="G2457" s="151"/>
      <c r="H2457" s="156"/>
      <c r="I2457" s="157"/>
      <c r="J2457" s="158"/>
      <c r="L2457" s="94"/>
      <c r="M2457" s="159"/>
      <c r="N2457" s="94"/>
    </row>
    <row r="2458">
      <c r="A2458" s="21">
        <v>203484.0</v>
      </c>
      <c r="B2458" s="164" t="s">
        <v>85</v>
      </c>
      <c r="C2458" s="164" t="s">
        <v>670</v>
      </c>
      <c r="D2458" s="100" t="str">
        <f t="shared" si="1"/>
        <v/>
      </c>
      <c r="E2458" s="100" t="str">
        <f t="shared" si="2"/>
        <v/>
      </c>
      <c r="F2458" s="100" t="str">
        <f t="shared" si="3"/>
        <v/>
      </c>
      <c r="G2458" s="151"/>
      <c r="H2458" s="160"/>
      <c r="I2458" s="157"/>
      <c r="J2458" s="161"/>
      <c r="L2458" s="94"/>
      <c r="M2458" s="159"/>
      <c r="N2458" s="94"/>
    </row>
    <row r="2459">
      <c r="A2459" s="107">
        <v>203484.0</v>
      </c>
      <c r="B2459" s="108" t="s">
        <v>90</v>
      </c>
      <c r="C2459" s="108" t="s">
        <v>670</v>
      </c>
      <c r="D2459" s="100" t="str">
        <f t="shared" si="1"/>
        <v/>
      </c>
      <c r="E2459" s="100" t="str">
        <f t="shared" si="2"/>
        <v/>
      </c>
      <c r="F2459" s="100" t="str">
        <f t="shared" si="3"/>
        <v/>
      </c>
      <c r="G2459" s="151"/>
      <c r="H2459" s="156"/>
      <c r="I2459" s="157"/>
      <c r="J2459" s="158"/>
      <c r="L2459" s="94"/>
      <c r="M2459" s="159"/>
      <c r="N2459" s="94"/>
    </row>
    <row r="2460">
      <c r="A2460" s="107">
        <v>203484.0</v>
      </c>
      <c r="B2460" s="108" t="s">
        <v>92</v>
      </c>
      <c r="C2460" s="108" t="s">
        <v>670</v>
      </c>
      <c r="D2460" s="100" t="str">
        <f t="shared" si="1"/>
        <v/>
      </c>
      <c r="E2460" s="100" t="str">
        <f t="shared" si="2"/>
        <v/>
      </c>
      <c r="F2460" s="100" t="str">
        <f t="shared" si="3"/>
        <v/>
      </c>
      <c r="G2460" s="151"/>
      <c r="H2460" s="160"/>
      <c r="I2460" s="157"/>
      <c r="J2460" s="161"/>
      <c r="L2460" s="94"/>
      <c r="M2460" s="159"/>
      <c r="N2460" s="94"/>
    </row>
    <row r="2461">
      <c r="A2461" s="107">
        <v>203484.0</v>
      </c>
      <c r="B2461" s="108" t="s">
        <v>190</v>
      </c>
      <c r="C2461" s="108" t="s">
        <v>670</v>
      </c>
      <c r="D2461" s="100" t="str">
        <f t="shared" si="1"/>
        <v/>
      </c>
      <c r="E2461" s="100" t="str">
        <f t="shared" si="2"/>
        <v/>
      </c>
      <c r="F2461" s="100" t="str">
        <f t="shared" si="3"/>
        <v/>
      </c>
      <c r="G2461" s="151"/>
      <c r="H2461" s="156"/>
      <c r="I2461" s="157"/>
      <c r="J2461" s="158"/>
      <c r="L2461" s="94"/>
      <c r="M2461" s="159"/>
      <c r="N2461" s="94"/>
    </row>
    <row r="2462">
      <c r="A2462" s="107">
        <v>203484.0</v>
      </c>
      <c r="B2462" s="108" t="s">
        <v>191</v>
      </c>
      <c r="C2462" s="108" t="s">
        <v>670</v>
      </c>
      <c r="D2462" s="100" t="str">
        <f t="shared" si="1"/>
        <v/>
      </c>
      <c r="E2462" s="100" t="str">
        <f t="shared" si="2"/>
        <v/>
      </c>
      <c r="F2462" s="100" t="str">
        <f t="shared" si="3"/>
        <v/>
      </c>
      <c r="G2462" s="151"/>
      <c r="H2462" s="160"/>
      <c r="I2462" s="157"/>
      <c r="J2462" s="161"/>
      <c r="L2462" s="94"/>
      <c r="M2462" s="159"/>
      <c r="N2462" s="94"/>
    </row>
    <row r="2463">
      <c r="A2463" s="107">
        <v>203484.0</v>
      </c>
      <c r="B2463" s="108" t="s">
        <v>192</v>
      </c>
      <c r="C2463" s="108" t="s">
        <v>670</v>
      </c>
      <c r="D2463" s="100" t="str">
        <f t="shared" si="1"/>
        <v/>
      </c>
      <c r="E2463" s="100" t="str">
        <f t="shared" si="2"/>
        <v/>
      </c>
      <c r="F2463" s="100" t="str">
        <f t="shared" si="3"/>
        <v/>
      </c>
      <c r="G2463" s="151"/>
      <c r="H2463" s="156"/>
      <c r="I2463" s="157"/>
      <c r="J2463" s="158"/>
      <c r="L2463" s="94"/>
      <c r="M2463" s="159"/>
      <c r="N2463" s="94"/>
    </row>
    <row r="2464">
      <c r="A2464" s="107">
        <v>203484.0</v>
      </c>
      <c r="B2464" s="108" t="s">
        <v>193</v>
      </c>
      <c r="C2464" s="108" t="s">
        <v>670</v>
      </c>
      <c r="D2464" s="100" t="str">
        <f t="shared" si="1"/>
        <v/>
      </c>
      <c r="E2464" s="100" t="str">
        <f t="shared" si="2"/>
        <v/>
      </c>
      <c r="F2464" s="100" t="str">
        <f t="shared" si="3"/>
        <v/>
      </c>
      <c r="G2464" s="151"/>
      <c r="H2464" s="160"/>
      <c r="I2464" s="157"/>
      <c r="J2464" s="161"/>
      <c r="L2464" s="94"/>
      <c r="M2464" s="159"/>
      <c r="N2464" s="94"/>
    </row>
    <row r="2465">
      <c r="A2465" s="107">
        <v>203484.0</v>
      </c>
      <c r="B2465" s="108" t="s">
        <v>243</v>
      </c>
      <c r="C2465" s="108" t="s">
        <v>670</v>
      </c>
      <c r="D2465" s="100" t="str">
        <f t="shared" si="1"/>
        <v/>
      </c>
      <c r="E2465" s="100" t="str">
        <f t="shared" si="2"/>
        <v/>
      </c>
      <c r="F2465" s="100" t="str">
        <f t="shared" si="3"/>
        <v/>
      </c>
      <c r="G2465" s="151"/>
      <c r="H2465" s="156"/>
      <c r="I2465" s="157"/>
      <c r="J2465" s="158"/>
      <c r="L2465" s="94"/>
      <c r="M2465" s="159"/>
      <c r="N2465" s="94"/>
    </row>
    <row r="2466">
      <c r="A2466" s="107">
        <v>203484.0</v>
      </c>
      <c r="B2466" s="108" t="s">
        <v>215</v>
      </c>
      <c r="C2466" s="108" t="s">
        <v>670</v>
      </c>
      <c r="D2466" s="100" t="str">
        <f t="shared" si="1"/>
        <v/>
      </c>
      <c r="E2466" s="100" t="str">
        <f t="shared" si="2"/>
        <v/>
      </c>
      <c r="F2466" s="100" t="str">
        <f t="shared" si="3"/>
        <v/>
      </c>
      <c r="G2466" s="151"/>
      <c r="H2466" s="160"/>
      <c r="I2466" s="157"/>
      <c r="J2466" s="161"/>
      <c r="L2466" s="94"/>
      <c r="M2466" s="159"/>
      <c r="N2466" s="94"/>
    </row>
    <row r="2467">
      <c r="A2467" s="107">
        <v>203484.0</v>
      </c>
      <c r="B2467" s="108" t="s">
        <v>244</v>
      </c>
      <c r="C2467" s="108" t="s">
        <v>670</v>
      </c>
      <c r="D2467" s="100" t="str">
        <f t="shared" si="1"/>
        <v/>
      </c>
      <c r="E2467" s="100" t="str">
        <f t="shared" si="2"/>
        <v/>
      </c>
      <c r="F2467" s="100" t="str">
        <f t="shared" si="3"/>
        <v/>
      </c>
      <c r="G2467" s="151"/>
      <c r="H2467" s="156"/>
      <c r="I2467" s="157"/>
      <c r="J2467" s="158"/>
      <c r="L2467" s="94"/>
      <c r="M2467" s="159"/>
      <c r="N2467" s="94"/>
    </row>
    <row r="2468">
      <c r="A2468" s="107">
        <v>203484.0</v>
      </c>
      <c r="B2468" s="108" t="s">
        <v>245</v>
      </c>
      <c r="C2468" s="108" t="s">
        <v>670</v>
      </c>
      <c r="D2468" s="100" t="str">
        <f t="shared" si="1"/>
        <v/>
      </c>
      <c r="E2468" s="100" t="str">
        <f t="shared" si="2"/>
        <v/>
      </c>
      <c r="F2468" s="100" t="str">
        <f t="shared" si="3"/>
        <v/>
      </c>
      <c r="G2468" s="151"/>
      <c r="H2468" s="160"/>
      <c r="I2468" s="157"/>
      <c r="J2468" s="161"/>
      <c r="L2468" s="94"/>
      <c r="M2468" s="159"/>
      <c r="N2468" s="94"/>
    </row>
    <row r="2469">
      <c r="A2469" s="107">
        <v>203484.0</v>
      </c>
      <c r="B2469" s="108" t="s">
        <v>246</v>
      </c>
      <c r="C2469" s="108" t="s">
        <v>670</v>
      </c>
      <c r="D2469" s="100" t="str">
        <f t="shared" si="1"/>
        <v/>
      </c>
      <c r="E2469" s="100" t="str">
        <f t="shared" si="2"/>
        <v/>
      </c>
      <c r="F2469" s="100" t="str">
        <f t="shared" si="3"/>
        <v/>
      </c>
      <c r="G2469" s="151"/>
      <c r="H2469" s="156"/>
      <c r="I2469" s="157"/>
      <c r="J2469" s="158"/>
      <c r="L2469" s="94"/>
      <c r="M2469" s="159"/>
      <c r="N2469" s="94"/>
    </row>
    <row r="2470">
      <c r="A2470" s="149">
        <v>203484.0</v>
      </c>
      <c r="B2470" s="115" t="s">
        <v>247</v>
      </c>
      <c r="C2470" s="115" t="s">
        <v>670</v>
      </c>
      <c r="D2470" s="100" t="str">
        <f t="shared" si="1"/>
        <v/>
      </c>
      <c r="E2470" s="100" t="str">
        <f t="shared" si="2"/>
        <v/>
      </c>
      <c r="F2470" s="100" t="str">
        <f t="shared" si="3"/>
        <v/>
      </c>
      <c r="G2470" s="151"/>
      <c r="H2470" s="160"/>
      <c r="I2470" s="157"/>
      <c r="J2470" s="161"/>
      <c r="L2470" s="94"/>
      <c r="M2470" s="159"/>
      <c r="N2470" s="94"/>
    </row>
    <row r="2471">
      <c r="A2471" s="21">
        <v>203485.0</v>
      </c>
      <c r="B2471" s="164" t="s">
        <v>85</v>
      </c>
      <c r="C2471" s="164" t="s">
        <v>671</v>
      </c>
      <c r="D2471" s="100" t="str">
        <f t="shared" si="1"/>
        <v/>
      </c>
      <c r="E2471" s="100" t="str">
        <f t="shared" si="2"/>
        <v/>
      </c>
      <c r="F2471" s="100" t="str">
        <f t="shared" si="3"/>
        <v/>
      </c>
      <c r="G2471" s="151"/>
      <c r="H2471" s="156"/>
      <c r="I2471" s="157"/>
      <c r="J2471" s="158"/>
      <c r="L2471" s="94"/>
      <c r="M2471" s="159"/>
      <c r="N2471" s="94"/>
    </row>
    <row r="2472">
      <c r="A2472" s="107">
        <v>203485.0</v>
      </c>
      <c r="B2472" s="108" t="s">
        <v>90</v>
      </c>
      <c r="C2472" s="108" t="s">
        <v>671</v>
      </c>
      <c r="D2472" s="100" t="str">
        <f t="shared" si="1"/>
        <v/>
      </c>
      <c r="E2472" s="100" t="str">
        <f t="shared" si="2"/>
        <v/>
      </c>
      <c r="F2472" s="100" t="str">
        <f t="shared" si="3"/>
        <v/>
      </c>
      <c r="G2472" s="151"/>
      <c r="H2472" s="160"/>
      <c r="I2472" s="157"/>
      <c r="J2472" s="161"/>
      <c r="L2472" s="94"/>
      <c r="M2472" s="159"/>
      <c r="N2472" s="94"/>
    </row>
    <row r="2473">
      <c r="A2473" s="107">
        <v>203485.0</v>
      </c>
      <c r="B2473" s="108" t="s">
        <v>92</v>
      </c>
      <c r="C2473" s="108" t="s">
        <v>671</v>
      </c>
      <c r="D2473" s="100" t="str">
        <f t="shared" si="1"/>
        <v/>
      </c>
      <c r="E2473" s="100" t="str">
        <f t="shared" si="2"/>
        <v/>
      </c>
      <c r="F2473" s="100" t="str">
        <f t="shared" si="3"/>
        <v/>
      </c>
      <c r="G2473" s="151"/>
      <c r="H2473" s="156"/>
      <c r="I2473" s="157"/>
      <c r="J2473" s="158"/>
      <c r="L2473" s="94"/>
      <c r="M2473" s="159"/>
      <c r="N2473" s="94"/>
    </row>
    <row r="2474">
      <c r="A2474" s="107">
        <v>203485.0</v>
      </c>
      <c r="B2474" s="108" t="s">
        <v>191</v>
      </c>
      <c r="C2474" s="108" t="s">
        <v>671</v>
      </c>
      <c r="D2474" s="100" t="str">
        <f t="shared" si="1"/>
        <v/>
      </c>
      <c r="E2474" s="100" t="str">
        <f t="shared" si="2"/>
        <v/>
      </c>
      <c r="F2474" s="100" t="str">
        <f t="shared" si="3"/>
        <v/>
      </c>
      <c r="G2474" s="151"/>
      <c r="H2474" s="160"/>
      <c r="I2474" s="157"/>
      <c r="J2474" s="161"/>
      <c r="L2474" s="94"/>
      <c r="M2474" s="159"/>
      <c r="N2474" s="94"/>
    </row>
    <row r="2475">
      <c r="A2475" s="107">
        <v>203485.0</v>
      </c>
      <c r="B2475" s="108" t="s">
        <v>192</v>
      </c>
      <c r="C2475" s="108" t="s">
        <v>671</v>
      </c>
      <c r="D2475" s="100" t="str">
        <f t="shared" si="1"/>
        <v/>
      </c>
      <c r="E2475" s="100" t="str">
        <f t="shared" si="2"/>
        <v/>
      </c>
      <c r="F2475" s="100" t="str">
        <f t="shared" si="3"/>
        <v/>
      </c>
      <c r="G2475" s="151"/>
      <c r="H2475" s="156"/>
      <c r="I2475" s="157"/>
      <c r="J2475" s="158"/>
      <c r="L2475" s="94"/>
      <c r="M2475" s="159"/>
      <c r="N2475" s="94"/>
    </row>
    <row r="2476">
      <c r="A2476" s="107">
        <v>203486.0</v>
      </c>
      <c r="B2476" s="108" t="s">
        <v>85</v>
      </c>
      <c r="C2476" s="108" t="s">
        <v>672</v>
      </c>
      <c r="D2476" s="100" t="str">
        <f t="shared" si="1"/>
        <v/>
      </c>
      <c r="E2476" s="100" t="str">
        <f t="shared" si="2"/>
        <v/>
      </c>
      <c r="F2476" s="100" t="str">
        <f t="shared" si="3"/>
        <v/>
      </c>
      <c r="G2476" s="151"/>
      <c r="H2476" s="160"/>
      <c r="I2476" s="157"/>
      <c r="J2476" s="161"/>
      <c r="L2476" s="94"/>
      <c r="M2476" s="159"/>
      <c r="N2476" s="94"/>
    </row>
    <row r="2477">
      <c r="A2477" s="107">
        <v>203486.0</v>
      </c>
      <c r="B2477" s="108" t="s">
        <v>90</v>
      </c>
      <c r="C2477" s="108" t="s">
        <v>672</v>
      </c>
      <c r="D2477" s="100" t="str">
        <f t="shared" si="1"/>
        <v/>
      </c>
      <c r="E2477" s="100" t="str">
        <f t="shared" si="2"/>
        <v/>
      </c>
      <c r="F2477" s="100" t="str">
        <f t="shared" si="3"/>
        <v/>
      </c>
      <c r="G2477" s="151"/>
      <c r="H2477" s="156"/>
      <c r="I2477" s="157"/>
      <c r="J2477" s="158"/>
      <c r="L2477" s="94"/>
      <c r="M2477" s="159"/>
      <c r="N2477" s="94"/>
    </row>
    <row r="2478">
      <c r="A2478" s="107">
        <v>203486.0</v>
      </c>
      <c r="B2478" s="108" t="s">
        <v>92</v>
      </c>
      <c r="C2478" s="108" t="s">
        <v>672</v>
      </c>
      <c r="D2478" s="100" t="str">
        <f t="shared" si="1"/>
        <v/>
      </c>
      <c r="E2478" s="100" t="str">
        <f t="shared" si="2"/>
        <v/>
      </c>
      <c r="F2478" s="100" t="str">
        <f t="shared" si="3"/>
        <v/>
      </c>
      <c r="G2478" s="151"/>
      <c r="H2478" s="160"/>
      <c r="I2478" s="157"/>
      <c r="J2478" s="161"/>
      <c r="L2478" s="94"/>
      <c r="M2478" s="159"/>
      <c r="N2478" s="94"/>
    </row>
    <row r="2479">
      <c r="A2479" s="107">
        <v>203486.0</v>
      </c>
      <c r="B2479" s="108" t="s">
        <v>190</v>
      </c>
      <c r="C2479" s="108" t="s">
        <v>672</v>
      </c>
      <c r="D2479" s="100" t="str">
        <f t="shared" si="1"/>
        <v/>
      </c>
      <c r="E2479" s="100" t="str">
        <f t="shared" si="2"/>
        <v/>
      </c>
      <c r="F2479" s="100" t="str">
        <f t="shared" si="3"/>
        <v/>
      </c>
      <c r="G2479" s="151"/>
      <c r="H2479" s="156"/>
      <c r="I2479" s="157"/>
      <c r="J2479" s="158"/>
      <c r="L2479" s="94"/>
      <c r="M2479" s="159"/>
      <c r="N2479" s="94"/>
    </row>
    <row r="2480">
      <c r="A2480" s="107">
        <v>203486.0</v>
      </c>
      <c r="B2480" s="108" t="s">
        <v>191</v>
      </c>
      <c r="C2480" s="108" t="s">
        <v>672</v>
      </c>
      <c r="D2480" s="100" t="str">
        <f t="shared" si="1"/>
        <v/>
      </c>
      <c r="E2480" s="100" t="str">
        <f t="shared" si="2"/>
        <v/>
      </c>
      <c r="F2480" s="100" t="str">
        <f t="shared" si="3"/>
        <v/>
      </c>
      <c r="G2480" s="151"/>
      <c r="H2480" s="160"/>
      <c r="I2480" s="157"/>
      <c r="J2480" s="161"/>
      <c r="L2480" s="94"/>
      <c r="M2480" s="159"/>
      <c r="N2480" s="94"/>
    </row>
    <row r="2481">
      <c r="A2481" s="107">
        <v>203486.0</v>
      </c>
      <c r="B2481" s="108" t="s">
        <v>192</v>
      </c>
      <c r="C2481" s="108" t="s">
        <v>672</v>
      </c>
      <c r="D2481" s="100" t="str">
        <f t="shared" si="1"/>
        <v/>
      </c>
      <c r="E2481" s="100" t="str">
        <f t="shared" si="2"/>
        <v/>
      </c>
      <c r="F2481" s="100" t="str">
        <f t="shared" si="3"/>
        <v/>
      </c>
      <c r="G2481" s="151"/>
      <c r="H2481" s="156"/>
      <c r="I2481" s="157"/>
      <c r="J2481" s="158"/>
      <c r="L2481" s="94"/>
      <c r="M2481" s="159"/>
      <c r="N2481" s="94"/>
    </row>
    <row r="2482">
      <c r="A2482" s="107">
        <v>203486.0</v>
      </c>
      <c r="B2482" s="108" t="s">
        <v>193</v>
      </c>
      <c r="C2482" s="108" t="s">
        <v>672</v>
      </c>
      <c r="D2482" s="100" t="str">
        <f t="shared" si="1"/>
        <v/>
      </c>
      <c r="E2482" s="100" t="str">
        <f t="shared" si="2"/>
        <v/>
      </c>
      <c r="F2482" s="100" t="str">
        <f t="shared" si="3"/>
        <v/>
      </c>
      <c r="G2482" s="151"/>
      <c r="H2482" s="160"/>
      <c r="I2482" s="157"/>
      <c r="J2482" s="161"/>
      <c r="L2482" s="94"/>
      <c r="M2482" s="159"/>
      <c r="N2482" s="94"/>
    </row>
    <row r="2483">
      <c r="A2483" s="107">
        <v>203486.0</v>
      </c>
      <c r="B2483" s="108" t="s">
        <v>243</v>
      </c>
      <c r="C2483" s="108" t="s">
        <v>672</v>
      </c>
      <c r="D2483" s="100" t="str">
        <f t="shared" si="1"/>
        <v/>
      </c>
      <c r="E2483" s="100" t="str">
        <f t="shared" si="2"/>
        <v/>
      </c>
      <c r="F2483" s="100" t="str">
        <f t="shared" si="3"/>
        <v/>
      </c>
      <c r="G2483" s="151"/>
      <c r="H2483" s="156"/>
      <c r="I2483" s="157"/>
      <c r="J2483" s="158"/>
      <c r="L2483" s="94"/>
      <c r="M2483" s="159"/>
      <c r="N2483" s="94"/>
    </row>
    <row r="2484">
      <c r="A2484" s="107">
        <v>203486.0</v>
      </c>
      <c r="B2484" s="108" t="s">
        <v>215</v>
      </c>
      <c r="C2484" s="108" t="s">
        <v>672</v>
      </c>
      <c r="D2484" s="100" t="str">
        <f t="shared" si="1"/>
        <v/>
      </c>
      <c r="E2484" s="100" t="str">
        <f t="shared" si="2"/>
        <v/>
      </c>
      <c r="F2484" s="100" t="str">
        <f t="shared" si="3"/>
        <v/>
      </c>
      <c r="G2484" s="151"/>
      <c r="H2484" s="160"/>
      <c r="I2484" s="157"/>
      <c r="J2484" s="161"/>
      <c r="L2484" s="94"/>
      <c r="M2484" s="159"/>
      <c r="N2484" s="94"/>
    </row>
    <row r="2485">
      <c r="A2485" s="107">
        <v>203486.0</v>
      </c>
      <c r="B2485" s="108" t="s">
        <v>244</v>
      </c>
      <c r="C2485" s="108" t="s">
        <v>672</v>
      </c>
      <c r="D2485" s="100" t="str">
        <f t="shared" si="1"/>
        <v/>
      </c>
      <c r="E2485" s="100" t="str">
        <f t="shared" si="2"/>
        <v/>
      </c>
      <c r="F2485" s="100" t="str">
        <f t="shared" si="3"/>
        <v/>
      </c>
      <c r="G2485" s="151"/>
      <c r="H2485" s="156"/>
      <c r="I2485" s="157"/>
      <c r="J2485" s="158"/>
      <c r="L2485" s="94"/>
      <c r="M2485" s="159"/>
      <c r="N2485" s="94"/>
    </row>
    <row r="2486">
      <c r="A2486" s="107">
        <v>203486.0</v>
      </c>
      <c r="B2486" s="108" t="s">
        <v>245</v>
      </c>
      <c r="C2486" s="108" t="s">
        <v>672</v>
      </c>
      <c r="D2486" s="100" t="str">
        <f t="shared" si="1"/>
        <v/>
      </c>
      <c r="E2486" s="100" t="str">
        <f t="shared" si="2"/>
        <v/>
      </c>
      <c r="F2486" s="100" t="str">
        <f t="shared" si="3"/>
        <v/>
      </c>
      <c r="G2486" s="151"/>
      <c r="H2486" s="160"/>
      <c r="I2486" s="157"/>
      <c r="J2486" s="161"/>
      <c r="L2486" s="94"/>
      <c r="M2486" s="159"/>
      <c r="N2486" s="94"/>
    </row>
    <row r="2487">
      <c r="A2487" s="107">
        <v>203486.0</v>
      </c>
      <c r="B2487" s="108" t="s">
        <v>246</v>
      </c>
      <c r="C2487" s="108" t="s">
        <v>672</v>
      </c>
      <c r="D2487" s="100" t="str">
        <f t="shared" si="1"/>
        <v/>
      </c>
      <c r="E2487" s="100" t="str">
        <f t="shared" si="2"/>
        <v/>
      </c>
      <c r="F2487" s="100" t="str">
        <f t="shared" si="3"/>
        <v/>
      </c>
      <c r="G2487" s="151"/>
      <c r="H2487" s="156"/>
      <c r="I2487" s="157"/>
      <c r="J2487" s="158"/>
      <c r="L2487" s="94"/>
      <c r="M2487" s="159"/>
      <c r="N2487" s="94"/>
    </row>
    <row r="2488">
      <c r="A2488" s="149">
        <v>203486.0</v>
      </c>
      <c r="B2488" s="115" t="s">
        <v>247</v>
      </c>
      <c r="C2488" s="115" t="s">
        <v>672</v>
      </c>
      <c r="D2488" s="100" t="str">
        <f t="shared" si="1"/>
        <v/>
      </c>
      <c r="E2488" s="100" t="str">
        <f t="shared" si="2"/>
        <v/>
      </c>
      <c r="F2488" s="100" t="str">
        <f t="shared" si="3"/>
        <v/>
      </c>
      <c r="G2488" s="151"/>
      <c r="H2488" s="160"/>
      <c r="I2488" s="157"/>
      <c r="J2488" s="161"/>
      <c r="L2488" s="94"/>
      <c r="M2488" s="159"/>
      <c r="N2488" s="94"/>
    </row>
    <row r="2489">
      <c r="A2489" s="21">
        <v>203487.0</v>
      </c>
      <c r="B2489" s="164" t="s">
        <v>85</v>
      </c>
      <c r="C2489" s="164" t="s">
        <v>673</v>
      </c>
      <c r="D2489" s="100" t="str">
        <f t="shared" si="1"/>
        <v/>
      </c>
      <c r="E2489" s="100" t="str">
        <f t="shared" si="2"/>
        <v/>
      </c>
      <c r="F2489" s="100" t="str">
        <f t="shared" si="3"/>
        <v/>
      </c>
      <c r="G2489" s="151"/>
      <c r="H2489" s="156"/>
      <c r="I2489" s="157"/>
      <c r="J2489" s="158"/>
      <c r="L2489" s="94"/>
      <c r="M2489" s="159"/>
      <c r="N2489" s="94"/>
    </row>
    <row r="2490">
      <c r="A2490" s="107">
        <v>203487.0</v>
      </c>
      <c r="B2490" s="108" t="s">
        <v>90</v>
      </c>
      <c r="C2490" s="108" t="s">
        <v>673</v>
      </c>
      <c r="D2490" s="100" t="str">
        <f t="shared" si="1"/>
        <v/>
      </c>
      <c r="E2490" s="100" t="str">
        <f t="shared" si="2"/>
        <v/>
      </c>
      <c r="F2490" s="100" t="str">
        <f t="shared" si="3"/>
        <v/>
      </c>
      <c r="G2490" s="151"/>
      <c r="H2490" s="160"/>
      <c r="I2490" s="157"/>
      <c r="J2490" s="161"/>
      <c r="L2490" s="94"/>
      <c r="M2490" s="159"/>
      <c r="N2490" s="94"/>
    </row>
    <row r="2491">
      <c r="A2491" s="107">
        <v>203487.0</v>
      </c>
      <c r="B2491" s="108" t="s">
        <v>92</v>
      </c>
      <c r="C2491" s="108" t="s">
        <v>673</v>
      </c>
      <c r="D2491" s="100" t="str">
        <f t="shared" si="1"/>
        <v/>
      </c>
      <c r="E2491" s="100" t="str">
        <f t="shared" si="2"/>
        <v/>
      </c>
      <c r="F2491" s="100" t="str">
        <f t="shared" si="3"/>
        <v/>
      </c>
      <c r="G2491" s="151"/>
      <c r="H2491" s="156"/>
      <c r="I2491" s="157"/>
      <c r="J2491" s="158"/>
      <c r="L2491" s="94"/>
      <c r="M2491" s="159"/>
      <c r="N2491" s="94"/>
    </row>
    <row r="2492">
      <c r="A2492" s="107">
        <v>203487.0</v>
      </c>
      <c r="B2492" s="108" t="s">
        <v>190</v>
      </c>
      <c r="C2492" s="108" t="s">
        <v>673</v>
      </c>
      <c r="D2492" s="100" t="str">
        <f t="shared" si="1"/>
        <v/>
      </c>
      <c r="E2492" s="100" t="str">
        <f t="shared" si="2"/>
        <v/>
      </c>
      <c r="F2492" s="100" t="str">
        <f t="shared" si="3"/>
        <v/>
      </c>
      <c r="G2492" s="151"/>
      <c r="H2492" s="160"/>
      <c r="I2492" s="157"/>
      <c r="J2492" s="161"/>
      <c r="L2492" s="94"/>
      <c r="M2492" s="159"/>
      <c r="N2492" s="94"/>
    </row>
    <row r="2493">
      <c r="A2493" s="107">
        <v>203487.0</v>
      </c>
      <c r="B2493" s="108" t="s">
        <v>191</v>
      </c>
      <c r="C2493" s="108" t="s">
        <v>673</v>
      </c>
      <c r="D2493" s="100" t="str">
        <f t="shared" si="1"/>
        <v/>
      </c>
      <c r="E2493" s="100" t="str">
        <f t="shared" si="2"/>
        <v/>
      </c>
      <c r="F2493" s="100" t="str">
        <f t="shared" si="3"/>
        <v/>
      </c>
      <c r="G2493" s="151"/>
      <c r="H2493" s="156"/>
      <c r="I2493" s="157"/>
      <c r="J2493" s="158"/>
      <c r="L2493" s="94"/>
      <c r="M2493" s="159"/>
      <c r="N2493" s="94"/>
    </row>
    <row r="2494">
      <c r="A2494" s="107">
        <v>203487.0</v>
      </c>
      <c r="B2494" s="108" t="s">
        <v>192</v>
      </c>
      <c r="C2494" s="108" t="s">
        <v>673</v>
      </c>
      <c r="D2494" s="100" t="str">
        <f t="shared" si="1"/>
        <v/>
      </c>
      <c r="E2494" s="100" t="str">
        <f t="shared" si="2"/>
        <v/>
      </c>
      <c r="F2494" s="100" t="str">
        <f t="shared" si="3"/>
        <v/>
      </c>
      <c r="G2494" s="151"/>
      <c r="H2494" s="160"/>
      <c r="I2494" s="157"/>
      <c r="J2494" s="161"/>
      <c r="L2494" s="94"/>
      <c r="M2494" s="159"/>
      <c r="N2494" s="94"/>
    </row>
    <row r="2495">
      <c r="A2495" s="107">
        <v>203487.0</v>
      </c>
      <c r="B2495" s="108" t="s">
        <v>193</v>
      </c>
      <c r="C2495" s="108" t="s">
        <v>673</v>
      </c>
      <c r="D2495" s="100" t="str">
        <f t="shared" si="1"/>
        <v/>
      </c>
      <c r="E2495" s="100" t="str">
        <f t="shared" si="2"/>
        <v/>
      </c>
      <c r="F2495" s="100" t="str">
        <f t="shared" si="3"/>
        <v/>
      </c>
      <c r="G2495" s="151"/>
      <c r="H2495" s="156"/>
      <c r="I2495" s="157"/>
      <c r="J2495" s="158"/>
      <c r="L2495" s="94"/>
      <c r="M2495" s="159"/>
      <c r="N2495" s="94"/>
    </row>
    <row r="2496">
      <c r="A2496" s="107">
        <v>203487.0</v>
      </c>
      <c r="B2496" s="108" t="s">
        <v>243</v>
      </c>
      <c r="C2496" s="108" t="s">
        <v>673</v>
      </c>
      <c r="D2496" s="100" t="str">
        <f t="shared" si="1"/>
        <v/>
      </c>
      <c r="E2496" s="100" t="str">
        <f t="shared" si="2"/>
        <v/>
      </c>
      <c r="F2496" s="100" t="str">
        <f t="shared" si="3"/>
        <v/>
      </c>
      <c r="G2496" s="151"/>
      <c r="H2496" s="160"/>
      <c r="I2496" s="157"/>
      <c r="J2496" s="161"/>
      <c r="L2496" s="94"/>
      <c r="M2496" s="159"/>
      <c r="N2496" s="94"/>
    </row>
    <row r="2497">
      <c r="A2497" s="107">
        <v>203487.0</v>
      </c>
      <c r="B2497" s="108" t="s">
        <v>244</v>
      </c>
      <c r="C2497" s="108" t="s">
        <v>673</v>
      </c>
      <c r="D2497" s="100" t="str">
        <f t="shared" si="1"/>
        <v/>
      </c>
      <c r="E2497" s="100" t="str">
        <f t="shared" si="2"/>
        <v/>
      </c>
      <c r="F2497" s="100" t="str">
        <f t="shared" si="3"/>
        <v/>
      </c>
      <c r="G2497" s="151"/>
      <c r="H2497" s="156"/>
      <c r="I2497" s="157"/>
      <c r="J2497" s="158"/>
      <c r="L2497" s="94"/>
      <c r="M2497" s="159"/>
      <c r="N2497" s="94"/>
    </row>
    <row r="2498">
      <c r="A2498" s="107">
        <v>203488.0</v>
      </c>
      <c r="B2498" s="108" t="s">
        <v>85</v>
      </c>
      <c r="C2498" s="108" t="s">
        <v>674</v>
      </c>
      <c r="D2498" s="100" t="str">
        <f t="shared" si="1"/>
        <v/>
      </c>
      <c r="E2498" s="100" t="str">
        <f t="shared" si="2"/>
        <v/>
      </c>
      <c r="F2498" s="100" t="str">
        <f t="shared" si="3"/>
        <v/>
      </c>
      <c r="G2498" s="151"/>
      <c r="H2498" s="160"/>
      <c r="I2498" s="157"/>
      <c r="J2498" s="161"/>
      <c r="L2498" s="94"/>
      <c r="M2498" s="159"/>
      <c r="N2498" s="94"/>
    </row>
    <row r="2499">
      <c r="A2499" s="107">
        <v>203488.0</v>
      </c>
      <c r="B2499" s="108" t="s">
        <v>90</v>
      </c>
      <c r="C2499" s="108" t="s">
        <v>674</v>
      </c>
      <c r="D2499" s="100" t="str">
        <f t="shared" si="1"/>
        <v/>
      </c>
      <c r="E2499" s="100" t="str">
        <f t="shared" si="2"/>
        <v/>
      </c>
      <c r="F2499" s="100" t="str">
        <f t="shared" si="3"/>
        <v/>
      </c>
      <c r="G2499" s="151"/>
      <c r="H2499" s="156"/>
      <c r="I2499" s="157"/>
      <c r="J2499" s="158"/>
      <c r="L2499" s="94"/>
      <c r="M2499" s="159"/>
      <c r="N2499" s="94"/>
    </row>
    <row r="2500">
      <c r="A2500" s="107">
        <v>203488.0</v>
      </c>
      <c r="B2500" s="108" t="s">
        <v>92</v>
      </c>
      <c r="C2500" s="108" t="s">
        <v>674</v>
      </c>
      <c r="D2500" s="100" t="str">
        <f t="shared" si="1"/>
        <v/>
      </c>
      <c r="E2500" s="100" t="str">
        <f t="shared" si="2"/>
        <v/>
      </c>
      <c r="F2500" s="100" t="str">
        <f t="shared" si="3"/>
        <v/>
      </c>
      <c r="G2500" s="151"/>
      <c r="H2500" s="160"/>
      <c r="I2500" s="157"/>
      <c r="J2500" s="161"/>
      <c r="L2500" s="94"/>
      <c r="M2500" s="159"/>
      <c r="N2500" s="94"/>
    </row>
    <row r="2501">
      <c r="A2501" s="107">
        <v>203488.0</v>
      </c>
      <c r="B2501" s="108" t="s">
        <v>190</v>
      </c>
      <c r="C2501" s="108" t="s">
        <v>674</v>
      </c>
      <c r="D2501" s="100" t="str">
        <f t="shared" si="1"/>
        <v/>
      </c>
      <c r="E2501" s="100" t="str">
        <f t="shared" si="2"/>
        <v/>
      </c>
      <c r="F2501" s="100" t="str">
        <f t="shared" si="3"/>
        <v/>
      </c>
      <c r="G2501" s="151"/>
      <c r="H2501" s="156"/>
      <c r="I2501" s="157"/>
      <c r="J2501" s="158"/>
      <c r="L2501" s="94"/>
      <c r="M2501" s="159"/>
      <c r="N2501" s="94"/>
    </row>
    <row r="2502">
      <c r="A2502" s="107">
        <v>203488.0</v>
      </c>
      <c r="B2502" s="108" t="s">
        <v>191</v>
      </c>
      <c r="C2502" s="108" t="s">
        <v>674</v>
      </c>
      <c r="D2502" s="100" t="str">
        <f t="shared" si="1"/>
        <v/>
      </c>
      <c r="E2502" s="100" t="str">
        <f t="shared" si="2"/>
        <v/>
      </c>
      <c r="F2502" s="100" t="str">
        <f t="shared" si="3"/>
        <v/>
      </c>
      <c r="G2502" s="151"/>
      <c r="H2502" s="160"/>
      <c r="I2502" s="157"/>
      <c r="J2502" s="161"/>
      <c r="L2502" s="94"/>
      <c r="M2502" s="159"/>
      <c r="N2502" s="94"/>
    </row>
    <row r="2503">
      <c r="A2503" s="107">
        <v>203488.0</v>
      </c>
      <c r="B2503" s="108" t="s">
        <v>192</v>
      </c>
      <c r="C2503" s="108" t="s">
        <v>674</v>
      </c>
      <c r="D2503" s="100" t="str">
        <f t="shared" si="1"/>
        <v/>
      </c>
      <c r="E2503" s="100" t="str">
        <f t="shared" si="2"/>
        <v/>
      </c>
      <c r="F2503" s="100" t="str">
        <f t="shared" si="3"/>
        <v/>
      </c>
      <c r="G2503" s="151"/>
      <c r="H2503" s="156"/>
      <c r="I2503" s="157"/>
      <c r="J2503" s="158"/>
      <c r="L2503" s="94"/>
      <c r="M2503" s="159"/>
      <c r="N2503" s="94"/>
    </row>
    <row r="2504">
      <c r="A2504" s="107">
        <v>203488.0</v>
      </c>
      <c r="B2504" s="108" t="s">
        <v>193</v>
      </c>
      <c r="C2504" s="108" t="s">
        <v>674</v>
      </c>
      <c r="D2504" s="100" t="str">
        <f t="shared" si="1"/>
        <v/>
      </c>
      <c r="E2504" s="100" t="str">
        <f t="shared" si="2"/>
        <v/>
      </c>
      <c r="F2504" s="100" t="str">
        <f t="shared" si="3"/>
        <v/>
      </c>
      <c r="G2504" s="151"/>
      <c r="H2504" s="160"/>
      <c r="I2504" s="157"/>
      <c r="J2504" s="161"/>
      <c r="L2504" s="94"/>
      <c r="M2504" s="159"/>
      <c r="N2504" s="94"/>
    </row>
    <row r="2505">
      <c r="A2505" s="107">
        <v>203488.0</v>
      </c>
      <c r="B2505" s="108" t="s">
        <v>243</v>
      </c>
      <c r="C2505" s="108" t="s">
        <v>674</v>
      </c>
      <c r="D2505" s="100" t="str">
        <f t="shared" si="1"/>
        <v/>
      </c>
      <c r="E2505" s="100" t="str">
        <f t="shared" si="2"/>
        <v/>
      </c>
      <c r="F2505" s="100" t="str">
        <f t="shared" si="3"/>
        <v/>
      </c>
      <c r="G2505" s="151"/>
      <c r="H2505" s="156"/>
      <c r="I2505" s="157"/>
      <c r="J2505" s="158"/>
      <c r="L2505" s="94"/>
      <c r="M2505" s="159"/>
      <c r="N2505" s="94"/>
    </row>
    <row r="2506">
      <c r="A2506" s="107">
        <v>203488.0</v>
      </c>
      <c r="B2506" s="108" t="s">
        <v>215</v>
      </c>
      <c r="C2506" s="108" t="s">
        <v>674</v>
      </c>
      <c r="D2506" s="100" t="str">
        <f t="shared" si="1"/>
        <v/>
      </c>
      <c r="E2506" s="100" t="str">
        <f t="shared" si="2"/>
        <v/>
      </c>
      <c r="F2506" s="100" t="str">
        <f t="shared" si="3"/>
        <v/>
      </c>
      <c r="G2506" s="151"/>
      <c r="H2506" s="160"/>
      <c r="I2506" s="157"/>
      <c r="J2506" s="161"/>
      <c r="L2506" s="94"/>
      <c r="M2506" s="159"/>
      <c r="N2506" s="94"/>
    </row>
    <row r="2507">
      <c r="A2507" s="107">
        <v>203488.0</v>
      </c>
      <c r="B2507" s="108" t="s">
        <v>244</v>
      </c>
      <c r="C2507" s="108" t="s">
        <v>674</v>
      </c>
      <c r="D2507" s="100" t="str">
        <f t="shared" si="1"/>
        <v/>
      </c>
      <c r="E2507" s="100" t="str">
        <f t="shared" si="2"/>
        <v/>
      </c>
      <c r="F2507" s="100" t="str">
        <f t="shared" si="3"/>
        <v/>
      </c>
      <c r="G2507" s="151"/>
      <c r="H2507" s="156"/>
      <c r="I2507" s="157"/>
      <c r="J2507" s="158"/>
      <c r="L2507" s="94"/>
      <c r="M2507" s="159"/>
      <c r="N2507" s="94"/>
    </row>
    <row r="2508">
      <c r="A2508" s="107">
        <v>203488.0</v>
      </c>
      <c r="B2508" s="108" t="s">
        <v>245</v>
      </c>
      <c r="C2508" s="108" t="s">
        <v>674</v>
      </c>
      <c r="D2508" s="100" t="str">
        <f t="shared" si="1"/>
        <v/>
      </c>
      <c r="E2508" s="100" t="str">
        <f t="shared" si="2"/>
        <v/>
      </c>
      <c r="F2508" s="100" t="str">
        <f t="shared" si="3"/>
        <v/>
      </c>
      <c r="G2508" s="151"/>
      <c r="H2508" s="160"/>
      <c r="I2508" s="157"/>
      <c r="J2508" s="161"/>
      <c r="L2508" s="94"/>
      <c r="M2508" s="159"/>
      <c r="N2508" s="94"/>
    </row>
    <row r="2509">
      <c r="A2509" s="107">
        <v>203489.0</v>
      </c>
      <c r="B2509" s="108" t="s">
        <v>85</v>
      </c>
      <c r="C2509" s="108" t="s">
        <v>675</v>
      </c>
      <c r="D2509" s="100" t="str">
        <f t="shared" si="1"/>
        <v/>
      </c>
      <c r="E2509" s="100" t="str">
        <f t="shared" si="2"/>
        <v/>
      </c>
      <c r="F2509" s="100" t="str">
        <f t="shared" si="3"/>
        <v/>
      </c>
      <c r="G2509" s="151"/>
      <c r="H2509" s="156"/>
      <c r="I2509" s="157"/>
      <c r="J2509" s="158"/>
      <c r="L2509" s="94"/>
      <c r="M2509" s="159"/>
      <c r="N2509" s="94"/>
    </row>
    <row r="2510">
      <c r="A2510" s="107">
        <v>203489.0</v>
      </c>
      <c r="B2510" s="108" t="s">
        <v>90</v>
      </c>
      <c r="C2510" s="108" t="s">
        <v>675</v>
      </c>
      <c r="D2510" s="100" t="str">
        <f t="shared" si="1"/>
        <v/>
      </c>
      <c r="E2510" s="100" t="str">
        <f t="shared" si="2"/>
        <v/>
      </c>
      <c r="F2510" s="100" t="str">
        <f t="shared" si="3"/>
        <v/>
      </c>
      <c r="G2510" s="151"/>
      <c r="H2510" s="160"/>
      <c r="I2510" s="157"/>
      <c r="J2510" s="161"/>
      <c r="L2510" s="94"/>
      <c r="M2510" s="159"/>
      <c r="N2510" s="94"/>
    </row>
    <row r="2511">
      <c r="A2511" s="107">
        <v>203489.0</v>
      </c>
      <c r="B2511" s="108" t="s">
        <v>191</v>
      </c>
      <c r="C2511" s="108" t="s">
        <v>675</v>
      </c>
      <c r="D2511" s="100" t="str">
        <f t="shared" si="1"/>
        <v/>
      </c>
      <c r="E2511" s="100" t="str">
        <f t="shared" si="2"/>
        <v/>
      </c>
      <c r="F2511" s="100" t="str">
        <f t="shared" si="3"/>
        <v/>
      </c>
      <c r="G2511" s="151"/>
      <c r="H2511" s="156"/>
      <c r="I2511" s="157"/>
      <c r="J2511" s="158"/>
      <c r="L2511" s="94"/>
      <c r="M2511" s="159"/>
      <c r="N2511" s="94"/>
    </row>
    <row r="2512">
      <c r="A2512" s="107">
        <v>203490.0</v>
      </c>
      <c r="B2512" s="108" t="s">
        <v>85</v>
      </c>
      <c r="C2512" s="108" t="s">
        <v>676</v>
      </c>
      <c r="D2512" s="100" t="str">
        <f t="shared" si="1"/>
        <v/>
      </c>
      <c r="E2512" s="100" t="str">
        <f t="shared" si="2"/>
        <v/>
      </c>
      <c r="F2512" s="100" t="str">
        <f t="shared" si="3"/>
        <v/>
      </c>
      <c r="G2512" s="151"/>
      <c r="H2512" s="160"/>
      <c r="I2512" s="157"/>
      <c r="J2512" s="161"/>
      <c r="L2512" s="94"/>
      <c r="M2512" s="159"/>
      <c r="N2512" s="94"/>
    </row>
    <row r="2513">
      <c r="A2513" s="107">
        <v>203490.0</v>
      </c>
      <c r="B2513" s="108" t="s">
        <v>90</v>
      </c>
      <c r="C2513" s="108" t="s">
        <v>676</v>
      </c>
      <c r="D2513" s="100" t="str">
        <f t="shared" si="1"/>
        <v/>
      </c>
      <c r="E2513" s="100" t="str">
        <f t="shared" si="2"/>
        <v/>
      </c>
      <c r="F2513" s="100" t="str">
        <f t="shared" si="3"/>
        <v/>
      </c>
      <c r="G2513" s="151"/>
      <c r="H2513" s="156"/>
      <c r="I2513" s="157"/>
      <c r="J2513" s="158"/>
      <c r="L2513" s="94"/>
      <c r="M2513" s="159"/>
      <c r="N2513" s="94"/>
    </row>
    <row r="2514">
      <c r="A2514" s="107">
        <v>203490.0</v>
      </c>
      <c r="B2514" s="108" t="s">
        <v>92</v>
      </c>
      <c r="C2514" s="108" t="s">
        <v>676</v>
      </c>
      <c r="D2514" s="100" t="str">
        <f t="shared" si="1"/>
        <v/>
      </c>
      <c r="E2514" s="100" t="str">
        <f t="shared" si="2"/>
        <v/>
      </c>
      <c r="F2514" s="100" t="str">
        <f t="shared" si="3"/>
        <v/>
      </c>
      <c r="G2514" s="151"/>
      <c r="H2514" s="160"/>
      <c r="I2514" s="157"/>
      <c r="J2514" s="161"/>
      <c r="L2514" s="94"/>
      <c r="M2514" s="159"/>
      <c r="N2514" s="94"/>
    </row>
    <row r="2515">
      <c r="A2515" s="107">
        <v>203490.0</v>
      </c>
      <c r="B2515" s="108" t="s">
        <v>190</v>
      </c>
      <c r="C2515" s="108" t="s">
        <v>676</v>
      </c>
      <c r="D2515" s="100" t="str">
        <f t="shared" si="1"/>
        <v/>
      </c>
      <c r="E2515" s="100" t="str">
        <f t="shared" si="2"/>
        <v/>
      </c>
      <c r="F2515" s="100" t="str">
        <f t="shared" si="3"/>
        <v/>
      </c>
      <c r="G2515" s="151"/>
      <c r="H2515" s="156"/>
      <c r="I2515" s="157"/>
      <c r="J2515" s="158"/>
      <c r="L2515" s="94"/>
      <c r="M2515" s="159"/>
      <c r="N2515" s="94"/>
    </row>
    <row r="2516">
      <c r="A2516" s="107">
        <v>203490.0</v>
      </c>
      <c r="B2516" s="108" t="s">
        <v>191</v>
      </c>
      <c r="C2516" s="108" t="s">
        <v>676</v>
      </c>
      <c r="D2516" s="100" t="str">
        <f t="shared" si="1"/>
        <v/>
      </c>
      <c r="E2516" s="100" t="str">
        <f t="shared" si="2"/>
        <v/>
      </c>
      <c r="F2516" s="100" t="str">
        <f t="shared" si="3"/>
        <v/>
      </c>
      <c r="G2516" s="151"/>
      <c r="H2516" s="160"/>
      <c r="I2516" s="157"/>
      <c r="J2516" s="161"/>
      <c r="L2516" s="94"/>
      <c r="M2516" s="159"/>
      <c r="N2516" s="94"/>
    </row>
    <row r="2517">
      <c r="A2517" s="107">
        <v>203490.0</v>
      </c>
      <c r="B2517" s="108" t="s">
        <v>192</v>
      </c>
      <c r="C2517" s="108" t="s">
        <v>676</v>
      </c>
      <c r="D2517" s="100" t="str">
        <f t="shared" si="1"/>
        <v/>
      </c>
      <c r="E2517" s="100" t="str">
        <f t="shared" si="2"/>
        <v/>
      </c>
      <c r="F2517" s="100" t="str">
        <f t="shared" si="3"/>
        <v/>
      </c>
      <c r="G2517" s="151"/>
      <c r="H2517" s="156"/>
      <c r="I2517" s="157"/>
      <c r="J2517" s="158"/>
      <c r="L2517" s="94"/>
      <c r="M2517" s="159"/>
      <c r="N2517" s="94"/>
    </row>
    <row r="2518">
      <c r="A2518" s="107">
        <v>203490.0</v>
      </c>
      <c r="B2518" s="108" t="s">
        <v>193</v>
      </c>
      <c r="C2518" s="108" t="s">
        <v>676</v>
      </c>
      <c r="D2518" s="100" t="str">
        <f t="shared" si="1"/>
        <v/>
      </c>
      <c r="E2518" s="100" t="str">
        <f t="shared" si="2"/>
        <v/>
      </c>
      <c r="F2518" s="100" t="str">
        <f t="shared" si="3"/>
        <v/>
      </c>
      <c r="G2518" s="151"/>
      <c r="H2518" s="160"/>
      <c r="I2518" s="157"/>
      <c r="J2518" s="161"/>
      <c r="L2518" s="94"/>
      <c r="M2518" s="159"/>
      <c r="N2518" s="94"/>
    </row>
    <row r="2519">
      <c r="A2519" s="107">
        <v>203490.0</v>
      </c>
      <c r="B2519" s="108" t="s">
        <v>243</v>
      </c>
      <c r="C2519" s="108" t="s">
        <v>676</v>
      </c>
      <c r="D2519" s="100" t="str">
        <f t="shared" si="1"/>
        <v/>
      </c>
      <c r="E2519" s="100" t="str">
        <f t="shared" si="2"/>
        <v/>
      </c>
      <c r="F2519" s="100" t="str">
        <f t="shared" si="3"/>
        <v/>
      </c>
      <c r="G2519" s="151"/>
      <c r="H2519" s="156"/>
      <c r="I2519" s="157"/>
      <c r="J2519" s="158"/>
      <c r="L2519" s="94"/>
      <c r="M2519" s="159"/>
      <c r="N2519" s="94"/>
    </row>
    <row r="2520">
      <c r="A2520" s="107">
        <v>203490.0</v>
      </c>
      <c r="B2520" s="108" t="s">
        <v>215</v>
      </c>
      <c r="C2520" s="108" t="s">
        <v>676</v>
      </c>
      <c r="D2520" s="100" t="str">
        <f t="shared" si="1"/>
        <v/>
      </c>
      <c r="E2520" s="100" t="str">
        <f t="shared" si="2"/>
        <v/>
      </c>
      <c r="F2520" s="100" t="str">
        <f t="shared" si="3"/>
        <v/>
      </c>
      <c r="G2520" s="151"/>
      <c r="H2520" s="160"/>
      <c r="I2520" s="157"/>
      <c r="J2520" s="161"/>
      <c r="L2520" s="94"/>
      <c r="M2520" s="159"/>
      <c r="N2520" s="94"/>
    </row>
    <row r="2521">
      <c r="A2521" s="107">
        <v>203490.0</v>
      </c>
      <c r="B2521" s="108" t="s">
        <v>244</v>
      </c>
      <c r="C2521" s="108" t="s">
        <v>676</v>
      </c>
      <c r="D2521" s="100" t="str">
        <f t="shared" si="1"/>
        <v/>
      </c>
      <c r="E2521" s="100" t="str">
        <f t="shared" si="2"/>
        <v/>
      </c>
      <c r="F2521" s="100" t="str">
        <f t="shared" si="3"/>
        <v/>
      </c>
      <c r="G2521" s="151"/>
      <c r="H2521" s="156"/>
      <c r="I2521" s="157"/>
      <c r="J2521" s="158"/>
      <c r="L2521" s="94"/>
      <c r="M2521" s="159"/>
      <c r="N2521" s="94"/>
    </row>
    <row r="2522">
      <c r="A2522" s="107">
        <v>203490.0</v>
      </c>
      <c r="B2522" s="108" t="s">
        <v>245</v>
      </c>
      <c r="C2522" s="108" t="s">
        <v>676</v>
      </c>
      <c r="D2522" s="100" t="str">
        <f t="shared" si="1"/>
        <v/>
      </c>
      <c r="E2522" s="100" t="str">
        <f t="shared" si="2"/>
        <v/>
      </c>
      <c r="F2522" s="100" t="str">
        <f t="shared" si="3"/>
        <v/>
      </c>
      <c r="G2522" s="151"/>
      <c r="H2522" s="160"/>
      <c r="I2522" s="157"/>
      <c r="J2522" s="161"/>
      <c r="L2522" s="94"/>
      <c r="M2522" s="159"/>
      <c r="N2522" s="94"/>
    </row>
    <row r="2523">
      <c r="A2523" s="107">
        <v>203491.0</v>
      </c>
      <c r="B2523" s="108" t="s">
        <v>85</v>
      </c>
      <c r="C2523" s="108" t="s">
        <v>677</v>
      </c>
      <c r="D2523" s="100" t="str">
        <f t="shared" si="1"/>
        <v/>
      </c>
      <c r="E2523" s="100" t="str">
        <f t="shared" si="2"/>
        <v/>
      </c>
      <c r="F2523" s="100" t="str">
        <f t="shared" si="3"/>
        <v/>
      </c>
      <c r="G2523" s="151"/>
      <c r="H2523" s="156"/>
      <c r="I2523" s="157"/>
      <c r="J2523" s="158"/>
      <c r="L2523" s="94"/>
      <c r="M2523" s="159"/>
      <c r="N2523" s="94"/>
    </row>
    <row r="2524">
      <c r="A2524" s="107">
        <v>203492.0</v>
      </c>
      <c r="B2524" s="108" t="s">
        <v>85</v>
      </c>
      <c r="C2524" s="108" t="s">
        <v>678</v>
      </c>
      <c r="D2524" s="100" t="str">
        <f t="shared" si="1"/>
        <v/>
      </c>
      <c r="E2524" s="100" t="str">
        <f t="shared" si="2"/>
        <v/>
      </c>
      <c r="F2524" s="100" t="str">
        <f t="shared" si="3"/>
        <v/>
      </c>
      <c r="G2524" s="151"/>
      <c r="H2524" s="160"/>
      <c r="I2524" s="157"/>
      <c r="J2524" s="161"/>
      <c r="L2524" s="94"/>
      <c r="M2524" s="159"/>
      <c r="N2524" s="94"/>
    </row>
    <row r="2525">
      <c r="A2525" s="107">
        <v>203492.0</v>
      </c>
      <c r="B2525" s="108" t="s">
        <v>90</v>
      </c>
      <c r="C2525" s="108" t="s">
        <v>678</v>
      </c>
      <c r="D2525" s="100" t="str">
        <f t="shared" si="1"/>
        <v/>
      </c>
      <c r="E2525" s="100" t="str">
        <f t="shared" si="2"/>
        <v/>
      </c>
      <c r="F2525" s="100" t="str">
        <f t="shared" si="3"/>
        <v/>
      </c>
      <c r="G2525" s="151"/>
      <c r="H2525" s="156"/>
      <c r="I2525" s="157"/>
      <c r="J2525" s="158"/>
      <c r="L2525" s="94"/>
      <c r="M2525" s="159"/>
      <c r="N2525" s="94"/>
    </row>
    <row r="2526">
      <c r="A2526" s="107">
        <v>203492.0</v>
      </c>
      <c r="B2526" s="108" t="s">
        <v>92</v>
      </c>
      <c r="C2526" s="108" t="s">
        <v>678</v>
      </c>
      <c r="D2526" s="100" t="str">
        <f t="shared" si="1"/>
        <v/>
      </c>
      <c r="E2526" s="100" t="str">
        <f t="shared" si="2"/>
        <v/>
      </c>
      <c r="F2526" s="100" t="str">
        <f t="shared" si="3"/>
        <v/>
      </c>
      <c r="G2526" s="151"/>
      <c r="H2526" s="160"/>
      <c r="I2526" s="157"/>
      <c r="J2526" s="161"/>
      <c r="L2526" s="94"/>
      <c r="M2526" s="159"/>
      <c r="N2526" s="94"/>
    </row>
    <row r="2527">
      <c r="A2527" s="107">
        <v>203493.0</v>
      </c>
      <c r="B2527" s="108" t="s">
        <v>85</v>
      </c>
      <c r="C2527" s="108" t="s">
        <v>679</v>
      </c>
      <c r="D2527" s="100" t="str">
        <f t="shared" si="1"/>
        <v/>
      </c>
      <c r="E2527" s="100" t="str">
        <f t="shared" si="2"/>
        <v/>
      </c>
      <c r="F2527" s="100" t="str">
        <f t="shared" si="3"/>
        <v/>
      </c>
      <c r="G2527" s="151"/>
      <c r="H2527" s="156"/>
      <c r="I2527" s="157"/>
      <c r="J2527" s="158"/>
      <c r="L2527" s="94"/>
      <c r="M2527" s="159"/>
      <c r="N2527" s="94"/>
    </row>
    <row r="2528">
      <c r="A2528" s="107">
        <v>203493.0</v>
      </c>
      <c r="B2528" s="108" t="s">
        <v>90</v>
      </c>
      <c r="C2528" s="108" t="s">
        <v>679</v>
      </c>
      <c r="D2528" s="100" t="str">
        <f t="shared" si="1"/>
        <v/>
      </c>
      <c r="E2528" s="100" t="str">
        <f t="shared" si="2"/>
        <v/>
      </c>
      <c r="F2528" s="100" t="str">
        <f t="shared" si="3"/>
        <v/>
      </c>
      <c r="G2528" s="151"/>
      <c r="H2528" s="160"/>
      <c r="I2528" s="157"/>
      <c r="J2528" s="161"/>
      <c r="L2528" s="94"/>
      <c r="M2528" s="159"/>
      <c r="N2528" s="94"/>
    </row>
    <row r="2529">
      <c r="A2529" s="107">
        <v>203493.0</v>
      </c>
      <c r="B2529" s="108" t="s">
        <v>92</v>
      </c>
      <c r="C2529" s="108" t="s">
        <v>679</v>
      </c>
      <c r="D2529" s="100" t="str">
        <f t="shared" si="1"/>
        <v/>
      </c>
      <c r="E2529" s="100" t="str">
        <f t="shared" si="2"/>
        <v/>
      </c>
      <c r="F2529" s="100" t="str">
        <f t="shared" si="3"/>
        <v/>
      </c>
      <c r="G2529" s="151"/>
      <c r="H2529" s="156"/>
      <c r="I2529" s="157"/>
      <c r="J2529" s="158"/>
      <c r="L2529" s="94"/>
      <c r="M2529" s="159"/>
      <c r="N2529" s="94"/>
    </row>
    <row r="2530">
      <c r="A2530" s="107">
        <v>203493.0</v>
      </c>
      <c r="B2530" s="108" t="s">
        <v>190</v>
      </c>
      <c r="C2530" s="108" t="s">
        <v>679</v>
      </c>
      <c r="D2530" s="100" t="str">
        <f t="shared" si="1"/>
        <v/>
      </c>
      <c r="E2530" s="100" t="str">
        <f t="shared" si="2"/>
        <v/>
      </c>
      <c r="F2530" s="100" t="str">
        <f t="shared" si="3"/>
        <v/>
      </c>
      <c r="G2530" s="151"/>
      <c r="H2530" s="160"/>
      <c r="I2530" s="157"/>
      <c r="J2530" s="161"/>
      <c r="L2530" s="94"/>
      <c r="M2530" s="159"/>
      <c r="N2530" s="94"/>
    </row>
    <row r="2531">
      <c r="A2531" s="107">
        <v>203493.0</v>
      </c>
      <c r="B2531" s="108" t="s">
        <v>191</v>
      </c>
      <c r="C2531" s="108" t="s">
        <v>679</v>
      </c>
      <c r="D2531" s="100" t="str">
        <f t="shared" si="1"/>
        <v/>
      </c>
      <c r="E2531" s="100" t="str">
        <f t="shared" si="2"/>
        <v/>
      </c>
      <c r="F2531" s="100" t="str">
        <f t="shared" si="3"/>
        <v/>
      </c>
      <c r="G2531" s="151"/>
      <c r="H2531" s="156"/>
      <c r="I2531" s="157"/>
      <c r="J2531" s="158"/>
      <c r="L2531" s="94"/>
      <c r="M2531" s="159"/>
      <c r="N2531" s="94"/>
    </row>
    <row r="2532">
      <c r="A2532" s="107">
        <v>203493.0</v>
      </c>
      <c r="B2532" s="108" t="s">
        <v>192</v>
      </c>
      <c r="C2532" s="108" t="s">
        <v>679</v>
      </c>
      <c r="D2532" s="100" t="str">
        <f t="shared" si="1"/>
        <v/>
      </c>
      <c r="E2532" s="100" t="str">
        <f t="shared" si="2"/>
        <v/>
      </c>
      <c r="F2532" s="100" t="str">
        <f t="shared" si="3"/>
        <v/>
      </c>
      <c r="G2532" s="151"/>
      <c r="H2532" s="160"/>
      <c r="I2532" s="157"/>
      <c r="J2532" s="161"/>
      <c r="L2532" s="94"/>
      <c r="M2532" s="159"/>
      <c r="N2532" s="94"/>
    </row>
    <row r="2533">
      <c r="A2533" s="107">
        <v>203493.0</v>
      </c>
      <c r="B2533" s="108" t="s">
        <v>193</v>
      </c>
      <c r="C2533" s="108" t="s">
        <v>679</v>
      </c>
      <c r="D2533" s="100" t="str">
        <f t="shared" si="1"/>
        <v/>
      </c>
      <c r="E2533" s="100" t="str">
        <f t="shared" si="2"/>
        <v/>
      </c>
      <c r="F2533" s="100" t="str">
        <f t="shared" si="3"/>
        <v/>
      </c>
      <c r="G2533" s="151"/>
      <c r="H2533" s="156"/>
      <c r="I2533" s="157"/>
      <c r="J2533" s="158"/>
      <c r="L2533" s="94"/>
      <c r="M2533" s="159"/>
      <c r="N2533" s="94"/>
    </row>
    <row r="2534">
      <c r="A2534" s="107">
        <v>203493.0</v>
      </c>
      <c r="B2534" s="108" t="s">
        <v>243</v>
      </c>
      <c r="C2534" s="108" t="s">
        <v>679</v>
      </c>
      <c r="D2534" s="100" t="str">
        <f t="shared" si="1"/>
        <v/>
      </c>
      <c r="E2534" s="100" t="str">
        <f t="shared" si="2"/>
        <v/>
      </c>
      <c r="F2534" s="100" t="str">
        <f t="shared" si="3"/>
        <v/>
      </c>
      <c r="G2534" s="151"/>
      <c r="H2534" s="160"/>
      <c r="I2534" s="157"/>
      <c r="J2534" s="161"/>
      <c r="L2534" s="94"/>
      <c r="M2534" s="159"/>
      <c r="N2534" s="94"/>
    </row>
    <row r="2535">
      <c r="A2535" s="107">
        <v>203493.0</v>
      </c>
      <c r="B2535" s="108" t="s">
        <v>215</v>
      </c>
      <c r="C2535" s="108" t="s">
        <v>679</v>
      </c>
      <c r="D2535" s="100" t="str">
        <f t="shared" si="1"/>
        <v/>
      </c>
      <c r="E2535" s="100" t="str">
        <f t="shared" si="2"/>
        <v/>
      </c>
      <c r="F2535" s="100" t="str">
        <f t="shared" si="3"/>
        <v/>
      </c>
      <c r="G2535" s="151"/>
      <c r="H2535" s="156"/>
      <c r="I2535" s="157"/>
      <c r="J2535" s="158"/>
      <c r="L2535" s="94"/>
      <c r="M2535" s="159"/>
      <c r="N2535" s="94"/>
    </row>
    <row r="2536">
      <c r="A2536" s="107">
        <v>203493.0</v>
      </c>
      <c r="B2536" s="108" t="s">
        <v>244</v>
      </c>
      <c r="C2536" s="108" t="s">
        <v>679</v>
      </c>
      <c r="D2536" s="100" t="str">
        <f t="shared" si="1"/>
        <v/>
      </c>
      <c r="E2536" s="100" t="str">
        <f t="shared" si="2"/>
        <v/>
      </c>
      <c r="F2536" s="100" t="str">
        <f t="shared" si="3"/>
        <v/>
      </c>
      <c r="G2536" s="151"/>
      <c r="H2536" s="160"/>
      <c r="I2536" s="157"/>
      <c r="J2536" s="161"/>
      <c r="L2536" s="94"/>
      <c r="M2536" s="159"/>
      <c r="N2536" s="94"/>
    </row>
    <row r="2537">
      <c r="A2537" s="107">
        <v>203493.0</v>
      </c>
      <c r="B2537" s="108" t="s">
        <v>245</v>
      </c>
      <c r="C2537" s="108" t="s">
        <v>679</v>
      </c>
      <c r="D2537" s="100" t="str">
        <f t="shared" si="1"/>
        <v/>
      </c>
      <c r="E2537" s="100" t="str">
        <f t="shared" si="2"/>
        <v/>
      </c>
      <c r="F2537" s="100" t="str">
        <f t="shared" si="3"/>
        <v/>
      </c>
      <c r="G2537" s="151"/>
      <c r="H2537" s="156"/>
      <c r="I2537" s="157"/>
      <c r="J2537" s="158"/>
      <c r="L2537" s="94"/>
      <c r="M2537" s="159"/>
      <c r="N2537" s="94"/>
    </row>
    <row r="2538">
      <c r="A2538" s="107">
        <v>203495.0</v>
      </c>
      <c r="B2538" s="108" t="s">
        <v>85</v>
      </c>
      <c r="C2538" s="108" t="s">
        <v>680</v>
      </c>
      <c r="D2538" s="100" t="str">
        <f t="shared" si="1"/>
        <v/>
      </c>
      <c r="E2538" s="100" t="str">
        <f t="shared" si="2"/>
        <v/>
      </c>
      <c r="F2538" s="100" t="str">
        <f t="shared" si="3"/>
        <v/>
      </c>
      <c r="G2538" s="151"/>
      <c r="H2538" s="160"/>
      <c r="I2538" s="157"/>
      <c r="J2538" s="161"/>
      <c r="L2538" s="94"/>
      <c r="M2538" s="159"/>
      <c r="N2538" s="94"/>
    </row>
    <row r="2539">
      <c r="A2539" s="107">
        <v>203495.0</v>
      </c>
      <c r="B2539" s="108" t="s">
        <v>90</v>
      </c>
      <c r="C2539" s="108" t="s">
        <v>680</v>
      </c>
      <c r="D2539" s="100" t="str">
        <f t="shared" si="1"/>
        <v/>
      </c>
      <c r="E2539" s="100" t="str">
        <f t="shared" si="2"/>
        <v/>
      </c>
      <c r="F2539" s="100" t="str">
        <f t="shared" si="3"/>
        <v/>
      </c>
      <c r="G2539" s="151"/>
      <c r="H2539" s="156"/>
      <c r="I2539" s="157"/>
      <c r="J2539" s="158"/>
      <c r="L2539" s="94"/>
      <c r="M2539" s="159"/>
      <c r="N2539" s="94"/>
    </row>
    <row r="2540">
      <c r="A2540" s="107">
        <v>203496.0</v>
      </c>
      <c r="B2540" s="108" t="s">
        <v>85</v>
      </c>
      <c r="C2540" s="108" t="s">
        <v>681</v>
      </c>
      <c r="D2540" s="100" t="str">
        <f t="shared" si="1"/>
        <v/>
      </c>
      <c r="E2540" s="100" t="str">
        <f t="shared" si="2"/>
        <v/>
      </c>
      <c r="F2540" s="100" t="str">
        <f t="shared" si="3"/>
        <v/>
      </c>
      <c r="G2540" s="151"/>
      <c r="H2540" s="160"/>
      <c r="I2540" s="157"/>
      <c r="J2540" s="161"/>
      <c r="L2540" s="94"/>
      <c r="M2540" s="159"/>
      <c r="N2540" s="94"/>
    </row>
    <row r="2541">
      <c r="A2541" s="107">
        <v>203496.0</v>
      </c>
      <c r="B2541" s="108" t="s">
        <v>90</v>
      </c>
      <c r="C2541" s="108" t="s">
        <v>681</v>
      </c>
      <c r="D2541" s="100" t="str">
        <f t="shared" si="1"/>
        <v/>
      </c>
      <c r="E2541" s="100" t="str">
        <f t="shared" si="2"/>
        <v/>
      </c>
      <c r="F2541" s="100" t="str">
        <f t="shared" si="3"/>
        <v/>
      </c>
      <c r="G2541" s="151"/>
      <c r="H2541" s="156"/>
      <c r="I2541" s="157"/>
      <c r="J2541" s="158"/>
      <c r="L2541" s="94"/>
      <c r="M2541" s="159"/>
      <c r="N2541" s="94"/>
    </row>
    <row r="2542">
      <c r="A2542" s="107">
        <v>203496.0</v>
      </c>
      <c r="B2542" s="108" t="s">
        <v>92</v>
      </c>
      <c r="C2542" s="108" t="s">
        <v>681</v>
      </c>
      <c r="D2542" s="100" t="str">
        <f t="shared" si="1"/>
        <v/>
      </c>
      <c r="E2542" s="100" t="str">
        <f t="shared" si="2"/>
        <v/>
      </c>
      <c r="F2542" s="100" t="str">
        <f t="shared" si="3"/>
        <v/>
      </c>
      <c r="G2542" s="151"/>
      <c r="H2542" s="160"/>
      <c r="I2542" s="157"/>
      <c r="J2542" s="161"/>
      <c r="L2542" s="94"/>
      <c r="M2542" s="159"/>
      <c r="N2542" s="94"/>
    </row>
    <row r="2543">
      <c r="A2543" s="107">
        <v>203496.0</v>
      </c>
      <c r="B2543" s="108" t="s">
        <v>190</v>
      </c>
      <c r="C2543" s="108" t="s">
        <v>681</v>
      </c>
      <c r="D2543" s="100" t="str">
        <f t="shared" si="1"/>
        <v/>
      </c>
      <c r="E2543" s="100" t="str">
        <f t="shared" si="2"/>
        <v/>
      </c>
      <c r="F2543" s="100" t="str">
        <f t="shared" si="3"/>
        <v/>
      </c>
      <c r="G2543" s="151"/>
      <c r="H2543" s="156"/>
      <c r="I2543" s="157"/>
      <c r="J2543" s="158"/>
      <c r="L2543" s="94"/>
      <c r="M2543" s="159"/>
      <c r="N2543" s="94"/>
    </row>
    <row r="2544">
      <c r="A2544" s="107">
        <v>203496.0</v>
      </c>
      <c r="B2544" s="108" t="s">
        <v>191</v>
      </c>
      <c r="C2544" s="108" t="s">
        <v>681</v>
      </c>
      <c r="D2544" s="100" t="str">
        <f t="shared" si="1"/>
        <v/>
      </c>
      <c r="E2544" s="100" t="str">
        <f t="shared" si="2"/>
        <v/>
      </c>
      <c r="F2544" s="100" t="str">
        <f t="shared" si="3"/>
        <v/>
      </c>
      <c r="G2544" s="151"/>
      <c r="H2544" s="160"/>
      <c r="I2544" s="157"/>
      <c r="J2544" s="161"/>
      <c r="L2544" s="94"/>
      <c r="M2544" s="159"/>
      <c r="N2544" s="94"/>
    </row>
    <row r="2545">
      <c r="A2545" s="107">
        <v>203496.0</v>
      </c>
      <c r="B2545" s="108" t="s">
        <v>192</v>
      </c>
      <c r="C2545" s="108" t="s">
        <v>681</v>
      </c>
      <c r="D2545" s="100" t="str">
        <f t="shared" si="1"/>
        <v/>
      </c>
      <c r="E2545" s="100" t="str">
        <f t="shared" si="2"/>
        <v/>
      </c>
      <c r="F2545" s="100" t="str">
        <f t="shared" si="3"/>
        <v/>
      </c>
      <c r="G2545" s="151"/>
      <c r="H2545" s="156"/>
      <c r="I2545" s="157"/>
      <c r="J2545" s="158"/>
      <c r="L2545" s="94"/>
      <c r="M2545" s="159"/>
      <c r="N2545" s="94"/>
    </row>
    <row r="2546">
      <c r="A2546" s="107">
        <v>203496.0</v>
      </c>
      <c r="B2546" s="108" t="s">
        <v>193</v>
      </c>
      <c r="C2546" s="108" t="s">
        <v>681</v>
      </c>
      <c r="D2546" s="100" t="str">
        <f t="shared" si="1"/>
        <v/>
      </c>
      <c r="E2546" s="100" t="str">
        <f t="shared" si="2"/>
        <v/>
      </c>
      <c r="F2546" s="100" t="str">
        <f t="shared" si="3"/>
        <v/>
      </c>
      <c r="G2546" s="151"/>
      <c r="H2546" s="160"/>
      <c r="I2546" s="157"/>
      <c r="J2546" s="161"/>
      <c r="L2546" s="94"/>
      <c r="M2546" s="159"/>
      <c r="N2546" s="94"/>
    </row>
    <row r="2547">
      <c r="A2547" s="107">
        <v>203496.0</v>
      </c>
      <c r="B2547" s="108" t="s">
        <v>243</v>
      </c>
      <c r="C2547" s="108" t="s">
        <v>681</v>
      </c>
      <c r="D2547" s="100" t="str">
        <f t="shared" si="1"/>
        <v/>
      </c>
      <c r="E2547" s="100" t="str">
        <f t="shared" si="2"/>
        <v/>
      </c>
      <c r="F2547" s="100" t="str">
        <f t="shared" si="3"/>
        <v/>
      </c>
      <c r="G2547" s="151"/>
      <c r="H2547" s="156"/>
      <c r="I2547" s="157"/>
      <c r="J2547" s="158"/>
      <c r="L2547" s="94"/>
      <c r="M2547" s="159"/>
      <c r="N2547" s="94"/>
    </row>
    <row r="2548">
      <c r="A2548" s="107">
        <v>203496.0</v>
      </c>
      <c r="B2548" s="108" t="s">
        <v>215</v>
      </c>
      <c r="C2548" s="108" t="s">
        <v>681</v>
      </c>
      <c r="D2548" s="100" t="str">
        <f t="shared" si="1"/>
        <v/>
      </c>
      <c r="E2548" s="100" t="str">
        <f t="shared" si="2"/>
        <v/>
      </c>
      <c r="F2548" s="100" t="str">
        <f t="shared" si="3"/>
        <v/>
      </c>
      <c r="G2548" s="151"/>
      <c r="H2548" s="160"/>
      <c r="I2548" s="157"/>
      <c r="J2548" s="161"/>
      <c r="L2548" s="94"/>
      <c r="M2548" s="159"/>
      <c r="N2548" s="94"/>
    </row>
    <row r="2549">
      <c r="A2549" s="107">
        <v>203496.0</v>
      </c>
      <c r="B2549" s="108" t="s">
        <v>244</v>
      </c>
      <c r="C2549" s="108" t="s">
        <v>681</v>
      </c>
      <c r="D2549" s="100" t="str">
        <f t="shared" si="1"/>
        <v/>
      </c>
      <c r="E2549" s="100" t="str">
        <f t="shared" si="2"/>
        <v/>
      </c>
      <c r="F2549" s="100" t="str">
        <f t="shared" si="3"/>
        <v/>
      </c>
      <c r="G2549" s="151"/>
      <c r="H2549" s="156"/>
      <c r="I2549" s="157"/>
      <c r="J2549" s="158"/>
      <c r="L2549" s="94"/>
      <c r="M2549" s="159"/>
      <c r="N2549" s="94"/>
    </row>
    <row r="2550">
      <c r="A2550" s="107">
        <v>203496.0</v>
      </c>
      <c r="B2550" s="108" t="s">
        <v>245</v>
      </c>
      <c r="C2550" s="108" t="s">
        <v>681</v>
      </c>
      <c r="D2550" s="100" t="str">
        <f t="shared" si="1"/>
        <v/>
      </c>
      <c r="E2550" s="100" t="str">
        <f t="shared" si="2"/>
        <v/>
      </c>
      <c r="F2550" s="100" t="str">
        <f t="shared" si="3"/>
        <v/>
      </c>
      <c r="G2550" s="151"/>
      <c r="H2550" s="160"/>
      <c r="I2550" s="157"/>
      <c r="J2550" s="161"/>
      <c r="L2550" s="94"/>
      <c r="M2550" s="159"/>
      <c r="N2550" s="94"/>
    </row>
    <row r="2551">
      <c r="A2551" s="107">
        <v>203497.0</v>
      </c>
      <c r="B2551" s="108" t="s">
        <v>85</v>
      </c>
      <c r="C2551" s="108" t="s">
        <v>682</v>
      </c>
      <c r="D2551" s="100" t="str">
        <f t="shared" si="1"/>
        <v/>
      </c>
      <c r="E2551" s="100" t="str">
        <f t="shared" si="2"/>
        <v/>
      </c>
      <c r="F2551" s="100" t="str">
        <f t="shared" si="3"/>
        <v/>
      </c>
      <c r="G2551" s="151"/>
      <c r="H2551" s="156"/>
      <c r="I2551" s="157"/>
      <c r="J2551" s="158"/>
      <c r="L2551" s="94"/>
      <c r="M2551" s="159"/>
      <c r="N2551" s="94"/>
    </row>
    <row r="2552">
      <c r="A2552" s="107">
        <v>203497.0</v>
      </c>
      <c r="B2552" s="108" t="s">
        <v>90</v>
      </c>
      <c r="C2552" s="108" t="s">
        <v>682</v>
      </c>
      <c r="D2552" s="100" t="str">
        <f t="shared" si="1"/>
        <v/>
      </c>
      <c r="E2552" s="100" t="str">
        <f t="shared" si="2"/>
        <v/>
      </c>
      <c r="F2552" s="100" t="str">
        <f t="shared" si="3"/>
        <v/>
      </c>
      <c r="G2552" s="151"/>
      <c r="H2552" s="160"/>
      <c r="I2552" s="157"/>
      <c r="J2552" s="161"/>
      <c r="L2552" s="94"/>
      <c r="M2552" s="159"/>
      <c r="N2552" s="94"/>
    </row>
    <row r="2553">
      <c r="A2553" s="107">
        <v>203497.0</v>
      </c>
      <c r="B2553" s="108" t="s">
        <v>92</v>
      </c>
      <c r="C2553" s="108" t="s">
        <v>682</v>
      </c>
      <c r="D2553" s="100" t="str">
        <f t="shared" si="1"/>
        <v/>
      </c>
      <c r="E2553" s="100" t="str">
        <f t="shared" si="2"/>
        <v/>
      </c>
      <c r="F2553" s="100" t="str">
        <f t="shared" si="3"/>
        <v/>
      </c>
      <c r="G2553" s="151"/>
      <c r="H2553" s="156"/>
      <c r="I2553" s="157"/>
      <c r="J2553" s="158"/>
      <c r="L2553" s="94"/>
      <c r="M2553" s="159"/>
      <c r="N2553" s="94"/>
    </row>
    <row r="2554">
      <c r="A2554" s="107">
        <v>203497.0</v>
      </c>
      <c r="B2554" s="108" t="s">
        <v>190</v>
      </c>
      <c r="C2554" s="108" t="s">
        <v>682</v>
      </c>
      <c r="D2554" s="100" t="str">
        <f t="shared" si="1"/>
        <v/>
      </c>
      <c r="E2554" s="100" t="str">
        <f t="shared" si="2"/>
        <v/>
      </c>
      <c r="F2554" s="100" t="str">
        <f t="shared" si="3"/>
        <v/>
      </c>
      <c r="G2554" s="151"/>
      <c r="H2554" s="160"/>
      <c r="I2554" s="157"/>
      <c r="J2554" s="161"/>
      <c r="L2554" s="94"/>
      <c r="M2554" s="159"/>
      <c r="N2554" s="94"/>
    </row>
    <row r="2555">
      <c r="A2555" s="107">
        <v>203497.0</v>
      </c>
      <c r="B2555" s="108" t="s">
        <v>191</v>
      </c>
      <c r="C2555" s="108" t="s">
        <v>682</v>
      </c>
      <c r="D2555" s="100" t="str">
        <f t="shared" si="1"/>
        <v/>
      </c>
      <c r="E2555" s="100" t="str">
        <f t="shared" si="2"/>
        <v/>
      </c>
      <c r="F2555" s="100" t="str">
        <f t="shared" si="3"/>
        <v/>
      </c>
      <c r="G2555" s="151"/>
      <c r="H2555" s="156"/>
      <c r="I2555" s="157"/>
      <c r="J2555" s="158"/>
      <c r="L2555" s="94"/>
      <c r="M2555" s="159"/>
      <c r="N2555" s="94"/>
    </row>
    <row r="2556">
      <c r="A2556" s="107">
        <v>203497.0</v>
      </c>
      <c r="B2556" s="108" t="s">
        <v>192</v>
      </c>
      <c r="C2556" s="108" t="s">
        <v>682</v>
      </c>
      <c r="D2556" s="100" t="str">
        <f t="shared" si="1"/>
        <v/>
      </c>
      <c r="E2556" s="100" t="str">
        <f t="shared" si="2"/>
        <v/>
      </c>
      <c r="F2556" s="100" t="str">
        <f t="shared" si="3"/>
        <v/>
      </c>
      <c r="G2556" s="151"/>
      <c r="H2556" s="160"/>
      <c r="I2556" s="157"/>
      <c r="J2556" s="161"/>
      <c r="L2556" s="94"/>
      <c r="M2556" s="159"/>
      <c r="N2556" s="94"/>
    </row>
    <row r="2557">
      <c r="A2557" s="107">
        <v>203497.0</v>
      </c>
      <c r="B2557" s="108" t="s">
        <v>193</v>
      </c>
      <c r="C2557" s="108" t="s">
        <v>682</v>
      </c>
      <c r="D2557" s="100" t="str">
        <f t="shared" si="1"/>
        <v/>
      </c>
      <c r="E2557" s="100" t="str">
        <f t="shared" si="2"/>
        <v/>
      </c>
      <c r="F2557" s="100" t="str">
        <f t="shared" si="3"/>
        <v/>
      </c>
      <c r="G2557" s="151"/>
      <c r="H2557" s="156"/>
      <c r="I2557" s="157"/>
      <c r="J2557" s="158"/>
      <c r="L2557" s="94"/>
      <c r="M2557" s="159"/>
      <c r="N2557" s="94"/>
    </row>
    <row r="2558">
      <c r="A2558" s="107">
        <v>203497.0</v>
      </c>
      <c r="B2558" s="108" t="s">
        <v>243</v>
      </c>
      <c r="C2558" s="108" t="s">
        <v>682</v>
      </c>
      <c r="D2558" s="100" t="str">
        <f t="shared" si="1"/>
        <v/>
      </c>
      <c r="E2558" s="100" t="str">
        <f t="shared" si="2"/>
        <v/>
      </c>
      <c r="F2558" s="100" t="str">
        <f t="shared" si="3"/>
        <v/>
      </c>
      <c r="G2558" s="151"/>
      <c r="H2558" s="160"/>
      <c r="I2558" s="157"/>
      <c r="J2558" s="161"/>
      <c r="L2558" s="94"/>
      <c r="M2558" s="159"/>
      <c r="N2558" s="94"/>
    </row>
    <row r="2559">
      <c r="A2559" s="107">
        <v>203497.0</v>
      </c>
      <c r="B2559" s="108" t="s">
        <v>215</v>
      </c>
      <c r="C2559" s="108" t="s">
        <v>682</v>
      </c>
      <c r="D2559" s="100" t="str">
        <f t="shared" si="1"/>
        <v/>
      </c>
      <c r="E2559" s="100" t="str">
        <f t="shared" si="2"/>
        <v/>
      </c>
      <c r="F2559" s="100" t="str">
        <f t="shared" si="3"/>
        <v/>
      </c>
      <c r="G2559" s="151"/>
      <c r="H2559" s="156"/>
      <c r="I2559" s="157"/>
      <c r="J2559" s="158"/>
      <c r="L2559" s="94"/>
      <c r="M2559" s="159"/>
      <c r="N2559" s="94"/>
    </row>
    <row r="2560">
      <c r="A2560" s="107">
        <v>203497.0</v>
      </c>
      <c r="B2560" s="108" t="s">
        <v>244</v>
      </c>
      <c r="C2560" s="108" t="s">
        <v>682</v>
      </c>
      <c r="D2560" s="100" t="str">
        <f t="shared" si="1"/>
        <v/>
      </c>
      <c r="E2560" s="100" t="str">
        <f t="shared" si="2"/>
        <v/>
      </c>
      <c r="F2560" s="100" t="str">
        <f t="shared" si="3"/>
        <v/>
      </c>
      <c r="G2560" s="151"/>
      <c r="H2560" s="160"/>
      <c r="I2560" s="157"/>
      <c r="J2560" s="161"/>
      <c r="L2560" s="94"/>
      <c r="M2560" s="159"/>
      <c r="N2560" s="94"/>
    </row>
    <row r="2561">
      <c r="A2561" s="107">
        <v>203497.0</v>
      </c>
      <c r="B2561" s="108" t="s">
        <v>245</v>
      </c>
      <c r="C2561" s="108" t="s">
        <v>682</v>
      </c>
      <c r="D2561" s="100" t="str">
        <f t="shared" si="1"/>
        <v/>
      </c>
      <c r="E2561" s="100" t="str">
        <f t="shared" si="2"/>
        <v/>
      </c>
      <c r="F2561" s="100" t="str">
        <f t="shared" si="3"/>
        <v/>
      </c>
      <c r="G2561" s="151"/>
      <c r="H2561" s="156"/>
      <c r="I2561" s="157"/>
      <c r="J2561" s="158"/>
      <c r="L2561" s="94"/>
      <c r="M2561" s="159"/>
      <c r="N2561" s="94"/>
    </row>
    <row r="2562">
      <c r="A2562" s="107">
        <v>203497.0</v>
      </c>
      <c r="B2562" s="108" t="s">
        <v>246</v>
      </c>
      <c r="C2562" s="108" t="s">
        <v>682</v>
      </c>
      <c r="D2562" s="100" t="str">
        <f t="shared" si="1"/>
        <v/>
      </c>
      <c r="E2562" s="100" t="str">
        <f t="shared" si="2"/>
        <v/>
      </c>
      <c r="F2562" s="100" t="str">
        <f t="shared" si="3"/>
        <v/>
      </c>
      <c r="G2562" s="151"/>
      <c r="H2562" s="160"/>
      <c r="I2562" s="157"/>
      <c r="J2562" s="161"/>
      <c r="L2562" s="94"/>
      <c r="M2562" s="159"/>
      <c r="N2562" s="94"/>
    </row>
    <row r="2563">
      <c r="A2563" s="149">
        <v>203497.0</v>
      </c>
      <c r="B2563" s="115" t="s">
        <v>247</v>
      </c>
      <c r="C2563" s="115" t="s">
        <v>682</v>
      </c>
      <c r="D2563" s="100" t="str">
        <f t="shared" si="1"/>
        <v/>
      </c>
      <c r="E2563" s="100" t="str">
        <f t="shared" si="2"/>
        <v/>
      </c>
      <c r="F2563" s="100" t="str">
        <f t="shared" si="3"/>
        <v/>
      </c>
      <c r="G2563" s="151"/>
      <c r="H2563" s="156"/>
      <c r="I2563" s="157"/>
      <c r="J2563" s="158"/>
      <c r="L2563" s="94"/>
      <c r="M2563" s="159"/>
      <c r="N2563" s="94"/>
    </row>
    <row r="2564">
      <c r="A2564" s="21">
        <v>203498.0</v>
      </c>
      <c r="B2564" s="164" t="s">
        <v>85</v>
      </c>
      <c r="C2564" s="164" t="s">
        <v>683</v>
      </c>
      <c r="D2564" s="100" t="str">
        <f t="shared" si="1"/>
        <v/>
      </c>
      <c r="E2564" s="100" t="str">
        <f t="shared" si="2"/>
        <v/>
      </c>
      <c r="F2564" s="100" t="str">
        <f t="shared" si="3"/>
        <v/>
      </c>
      <c r="G2564" s="151"/>
      <c r="H2564" s="160"/>
      <c r="I2564" s="157"/>
      <c r="J2564" s="161"/>
      <c r="L2564" s="94"/>
      <c r="M2564" s="159"/>
      <c r="N2564" s="94"/>
    </row>
    <row r="2565">
      <c r="A2565" s="107">
        <v>203498.0</v>
      </c>
      <c r="B2565" s="108" t="s">
        <v>90</v>
      </c>
      <c r="C2565" s="108" t="s">
        <v>683</v>
      </c>
      <c r="D2565" s="100" t="str">
        <f t="shared" si="1"/>
        <v/>
      </c>
      <c r="E2565" s="100" t="str">
        <f t="shared" si="2"/>
        <v/>
      </c>
      <c r="F2565" s="100" t="str">
        <f t="shared" si="3"/>
        <v/>
      </c>
      <c r="G2565" s="151"/>
      <c r="H2565" s="156"/>
      <c r="I2565" s="157"/>
      <c r="J2565" s="158"/>
      <c r="L2565" s="94"/>
      <c r="M2565" s="159"/>
      <c r="N2565" s="94"/>
    </row>
    <row r="2566">
      <c r="A2566" s="107">
        <v>203498.0</v>
      </c>
      <c r="B2566" s="108" t="s">
        <v>92</v>
      </c>
      <c r="C2566" s="108" t="s">
        <v>683</v>
      </c>
      <c r="D2566" s="100" t="str">
        <f t="shared" si="1"/>
        <v/>
      </c>
      <c r="E2566" s="100" t="str">
        <f t="shared" si="2"/>
        <v/>
      </c>
      <c r="F2566" s="100" t="str">
        <f t="shared" si="3"/>
        <v/>
      </c>
      <c r="G2566" s="151"/>
      <c r="H2566" s="160"/>
      <c r="I2566" s="157"/>
      <c r="J2566" s="161"/>
      <c r="L2566" s="94"/>
      <c r="M2566" s="159"/>
      <c r="N2566" s="94"/>
    </row>
    <row r="2567">
      <c r="A2567" s="107">
        <v>203498.0</v>
      </c>
      <c r="B2567" s="108" t="s">
        <v>190</v>
      </c>
      <c r="C2567" s="108" t="s">
        <v>683</v>
      </c>
      <c r="D2567" s="100" t="str">
        <f t="shared" si="1"/>
        <v/>
      </c>
      <c r="E2567" s="100" t="str">
        <f t="shared" si="2"/>
        <v/>
      </c>
      <c r="F2567" s="100" t="str">
        <f t="shared" si="3"/>
        <v/>
      </c>
      <c r="G2567" s="151"/>
      <c r="H2567" s="156"/>
      <c r="I2567" s="157"/>
      <c r="J2567" s="158"/>
      <c r="L2567" s="94"/>
      <c r="M2567" s="159"/>
      <c r="N2567" s="94"/>
    </row>
    <row r="2568">
      <c r="A2568" s="107">
        <v>203498.0</v>
      </c>
      <c r="B2568" s="108" t="s">
        <v>191</v>
      </c>
      <c r="C2568" s="108" t="s">
        <v>683</v>
      </c>
      <c r="D2568" s="100" t="str">
        <f t="shared" si="1"/>
        <v/>
      </c>
      <c r="E2568" s="100" t="str">
        <f t="shared" si="2"/>
        <v/>
      </c>
      <c r="F2568" s="100" t="str">
        <f t="shared" si="3"/>
        <v/>
      </c>
      <c r="G2568" s="151"/>
      <c r="H2568" s="160"/>
      <c r="I2568" s="157"/>
      <c r="J2568" s="161"/>
      <c r="L2568" s="94"/>
      <c r="M2568" s="159"/>
      <c r="N2568" s="94"/>
    </row>
    <row r="2569">
      <c r="A2569" s="107">
        <v>203499.0</v>
      </c>
      <c r="B2569" s="108" t="s">
        <v>85</v>
      </c>
      <c r="C2569" s="108" t="s">
        <v>684</v>
      </c>
      <c r="D2569" s="100" t="str">
        <f t="shared" si="1"/>
        <v/>
      </c>
      <c r="E2569" s="100" t="str">
        <f t="shared" si="2"/>
        <v/>
      </c>
      <c r="F2569" s="100" t="str">
        <f t="shared" si="3"/>
        <v/>
      </c>
      <c r="G2569" s="151"/>
      <c r="H2569" s="156"/>
      <c r="I2569" s="157"/>
      <c r="J2569" s="158"/>
      <c r="L2569" s="94"/>
      <c r="M2569" s="159"/>
      <c r="N2569" s="94"/>
    </row>
    <row r="2570">
      <c r="A2570" s="107">
        <v>203499.0</v>
      </c>
      <c r="B2570" s="108" t="s">
        <v>90</v>
      </c>
      <c r="C2570" s="108" t="s">
        <v>684</v>
      </c>
      <c r="D2570" s="100" t="str">
        <f t="shared" si="1"/>
        <v/>
      </c>
      <c r="E2570" s="100" t="str">
        <f t="shared" si="2"/>
        <v/>
      </c>
      <c r="F2570" s="100" t="str">
        <f t="shared" si="3"/>
        <v/>
      </c>
      <c r="G2570" s="151"/>
      <c r="H2570" s="160"/>
      <c r="I2570" s="157"/>
      <c r="J2570" s="161"/>
      <c r="L2570" s="94"/>
      <c r="M2570" s="159"/>
      <c r="N2570" s="94"/>
    </row>
    <row r="2571">
      <c r="A2571" s="107">
        <v>203499.0</v>
      </c>
      <c r="B2571" s="108" t="s">
        <v>92</v>
      </c>
      <c r="C2571" s="108" t="s">
        <v>684</v>
      </c>
      <c r="D2571" s="100" t="str">
        <f t="shared" si="1"/>
        <v/>
      </c>
      <c r="E2571" s="100" t="str">
        <f t="shared" si="2"/>
        <v/>
      </c>
      <c r="F2571" s="100" t="str">
        <f t="shared" si="3"/>
        <v/>
      </c>
      <c r="G2571" s="151"/>
      <c r="H2571" s="156"/>
      <c r="I2571" s="157"/>
      <c r="J2571" s="158"/>
      <c r="L2571" s="94"/>
      <c r="M2571" s="159"/>
      <c r="N2571" s="94"/>
    </row>
    <row r="2572">
      <c r="A2572" s="107">
        <v>203499.0</v>
      </c>
      <c r="B2572" s="108" t="s">
        <v>191</v>
      </c>
      <c r="C2572" s="108" t="s">
        <v>684</v>
      </c>
      <c r="D2572" s="100" t="str">
        <f t="shared" si="1"/>
        <v/>
      </c>
      <c r="E2572" s="100" t="str">
        <f t="shared" si="2"/>
        <v/>
      </c>
      <c r="F2572" s="100" t="str">
        <f t="shared" si="3"/>
        <v/>
      </c>
      <c r="G2572" s="151"/>
      <c r="H2572" s="160"/>
      <c r="I2572" s="157"/>
      <c r="J2572" s="161"/>
      <c r="L2572" s="94"/>
      <c r="M2572" s="159"/>
      <c r="N2572" s="94"/>
    </row>
    <row r="2573">
      <c r="A2573" s="107">
        <v>203500.0</v>
      </c>
      <c r="B2573" s="108" t="s">
        <v>85</v>
      </c>
      <c r="C2573" s="108" t="s">
        <v>685</v>
      </c>
      <c r="D2573" s="100" t="str">
        <f t="shared" si="1"/>
        <v/>
      </c>
      <c r="E2573" s="100" t="str">
        <f t="shared" si="2"/>
        <v/>
      </c>
      <c r="F2573" s="100" t="str">
        <f t="shared" si="3"/>
        <v/>
      </c>
      <c r="G2573" s="151"/>
      <c r="H2573" s="156"/>
      <c r="I2573" s="157"/>
      <c r="J2573" s="158"/>
      <c r="L2573" s="94"/>
      <c r="M2573" s="159"/>
      <c r="N2573" s="94"/>
    </row>
    <row r="2574">
      <c r="A2574" s="107">
        <v>203500.0</v>
      </c>
      <c r="B2574" s="108" t="s">
        <v>90</v>
      </c>
      <c r="C2574" s="108" t="s">
        <v>685</v>
      </c>
      <c r="D2574" s="100" t="str">
        <f t="shared" si="1"/>
        <v/>
      </c>
      <c r="E2574" s="100" t="str">
        <f t="shared" si="2"/>
        <v/>
      </c>
      <c r="F2574" s="100" t="str">
        <f t="shared" si="3"/>
        <v/>
      </c>
      <c r="G2574" s="151"/>
      <c r="H2574" s="160"/>
      <c r="I2574" s="157"/>
      <c r="J2574" s="161"/>
      <c r="L2574" s="94"/>
      <c r="M2574" s="159"/>
      <c r="N2574" s="94"/>
    </row>
    <row r="2575">
      <c r="A2575" s="107">
        <v>203500.0</v>
      </c>
      <c r="B2575" s="108" t="s">
        <v>92</v>
      </c>
      <c r="C2575" s="108" t="s">
        <v>685</v>
      </c>
      <c r="D2575" s="100" t="str">
        <f t="shared" si="1"/>
        <v/>
      </c>
      <c r="E2575" s="100" t="str">
        <f t="shared" si="2"/>
        <v/>
      </c>
      <c r="F2575" s="100" t="str">
        <f t="shared" si="3"/>
        <v/>
      </c>
      <c r="G2575" s="151"/>
      <c r="H2575" s="156"/>
      <c r="I2575" s="157"/>
      <c r="J2575" s="158"/>
      <c r="L2575" s="94"/>
      <c r="M2575" s="159"/>
      <c r="N2575" s="94"/>
    </row>
    <row r="2576">
      <c r="A2576" s="107">
        <v>203500.0</v>
      </c>
      <c r="B2576" s="108" t="s">
        <v>190</v>
      </c>
      <c r="C2576" s="108" t="s">
        <v>685</v>
      </c>
      <c r="D2576" s="100" t="str">
        <f t="shared" si="1"/>
        <v/>
      </c>
      <c r="E2576" s="100" t="str">
        <f t="shared" si="2"/>
        <v/>
      </c>
      <c r="F2576" s="100" t="str">
        <f t="shared" si="3"/>
        <v/>
      </c>
      <c r="G2576" s="151"/>
      <c r="H2576" s="160"/>
      <c r="I2576" s="157"/>
      <c r="J2576" s="161"/>
      <c r="L2576" s="94"/>
      <c r="M2576" s="159"/>
      <c r="N2576" s="94"/>
    </row>
    <row r="2577">
      <c r="A2577" s="107">
        <v>203500.0</v>
      </c>
      <c r="B2577" s="108" t="s">
        <v>191</v>
      </c>
      <c r="C2577" s="108" t="s">
        <v>685</v>
      </c>
      <c r="D2577" s="100" t="str">
        <f t="shared" si="1"/>
        <v/>
      </c>
      <c r="E2577" s="100" t="str">
        <f t="shared" si="2"/>
        <v/>
      </c>
      <c r="F2577" s="100" t="str">
        <f t="shared" si="3"/>
        <v/>
      </c>
      <c r="G2577" s="151"/>
      <c r="H2577" s="156"/>
      <c r="I2577" s="157"/>
      <c r="J2577" s="158"/>
      <c r="L2577" s="94"/>
      <c r="M2577" s="159"/>
      <c r="N2577" s="94"/>
    </row>
    <row r="2578">
      <c r="A2578" s="107">
        <v>203500.0</v>
      </c>
      <c r="B2578" s="108" t="s">
        <v>192</v>
      </c>
      <c r="C2578" s="108" t="s">
        <v>685</v>
      </c>
      <c r="D2578" s="100" t="str">
        <f t="shared" si="1"/>
        <v/>
      </c>
      <c r="E2578" s="100" t="str">
        <f t="shared" si="2"/>
        <v/>
      </c>
      <c r="F2578" s="100" t="str">
        <f t="shared" si="3"/>
        <v/>
      </c>
      <c r="G2578" s="151"/>
      <c r="H2578" s="160"/>
      <c r="I2578" s="157"/>
      <c r="J2578" s="161"/>
      <c r="L2578" s="94"/>
      <c r="M2578" s="159"/>
      <c r="N2578" s="94"/>
    </row>
    <row r="2579">
      <c r="A2579" s="107">
        <v>203500.0</v>
      </c>
      <c r="B2579" s="108" t="s">
        <v>193</v>
      </c>
      <c r="C2579" s="108" t="s">
        <v>685</v>
      </c>
      <c r="D2579" s="100" t="str">
        <f t="shared" si="1"/>
        <v/>
      </c>
      <c r="E2579" s="100" t="str">
        <f t="shared" si="2"/>
        <v/>
      </c>
      <c r="F2579" s="100" t="str">
        <f t="shared" si="3"/>
        <v/>
      </c>
      <c r="G2579" s="151"/>
      <c r="H2579" s="156"/>
      <c r="I2579" s="157"/>
      <c r="J2579" s="158"/>
      <c r="L2579" s="94"/>
      <c r="M2579" s="159"/>
      <c r="N2579" s="94"/>
    </row>
    <row r="2580">
      <c r="A2580" s="107">
        <v>203500.0</v>
      </c>
      <c r="B2580" s="108" t="s">
        <v>243</v>
      </c>
      <c r="C2580" s="108" t="s">
        <v>685</v>
      </c>
      <c r="D2580" s="100" t="str">
        <f t="shared" si="1"/>
        <v/>
      </c>
      <c r="E2580" s="100" t="str">
        <f t="shared" si="2"/>
        <v/>
      </c>
      <c r="F2580" s="100" t="str">
        <f t="shared" si="3"/>
        <v/>
      </c>
      <c r="G2580" s="151"/>
      <c r="H2580" s="160"/>
      <c r="I2580" s="157"/>
      <c r="J2580" s="161"/>
      <c r="L2580" s="94"/>
      <c r="M2580" s="159"/>
      <c r="N2580" s="94"/>
    </row>
    <row r="2581">
      <c r="A2581" s="107">
        <v>203500.0</v>
      </c>
      <c r="B2581" s="108" t="s">
        <v>215</v>
      </c>
      <c r="C2581" s="108" t="s">
        <v>685</v>
      </c>
      <c r="D2581" s="100" t="str">
        <f t="shared" si="1"/>
        <v/>
      </c>
      <c r="E2581" s="100" t="str">
        <f t="shared" si="2"/>
        <v/>
      </c>
      <c r="F2581" s="100" t="str">
        <f t="shared" si="3"/>
        <v/>
      </c>
      <c r="G2581" s="151"/>
      <c r="H2581" s="156"/>
      <c r="I2581" s="157"/>
      <c r="J2581" s="158"/>
      <c r="L2581" s="94"/>
      <c r="M2581" s="159"/>
      <c r="N2581" s="94"/>
    </row>
    <row r="2582">
      <c r="A2582" s="107">
        <v>203500.0</v>
      </c>
      <c r="B2582" s="108" t="s">
        <v>244</v>
      </c>
      <c r="C2582" s="108" t="s">
        <v>685</v>
      </c>
      <c r="D2582" s="100" t="str">
        <f t="shared" si="1"/>
        <v/>
      </c>
      <c r="E2582" s="100" t="str">
        <f t="shared" si="2"/>
        <v/>
      </c>
      <c r="F2582" s="100" t="str">
        <f t="shared" si="3"/>
        <v/>
      </c>
      <c r="G2582" s="151"/>
      <c r="H2582" s="160"/>
      <c r="I2582" s="157"/>
      <c r="J2582" s="161"/>
      <c r="L2582" s="94"/>
      <c r="M2582" s="159"/>
      <c r="N2582" s="94"/>
    </row>
    <row r="2583">
      <c r="A2583" s="107">
        <v>203500.0</v>
      </c>
      <c r="B2583" s="108" t="s">
        <v>246</v>
      </c>
      <c r="C2583" s="108" t="s">
        <v>685</v>
      </c>
      <c r="D2583" s="100" t="str">
        <f t="shared" si="1"/>
        <v/>
      </c>
      <c r="E2583" s="100" t="str">
        <f t="shared" si="2"/>
        <v/>
      </c>
      <c r="F2583" s="100" t="str">
        <f t="shared" si="3"/>
        <v/>
      </c>
      <c r="G2583" s="151"/>
      <c r="H2583" s="156"/>
      <c r="I2583" s="157"/>
      <c r="J2583" s="158"/>
      <c r="L2583" s="94"/>
      <c r="M2583" s="159"/>
      <c r="N2583" s="94"/>
    </row>
    <row r="2584">
      <c r="A2584" s="149">
        <v>203500.0</v>
      </c>
      <c r="B2584" s="115" t="s">
        <v>247</v>
      </c>
      <c r="C2584" s="115" t="s">
        <v>685</v>
      </c>
      <c r="D2584" s="100" t="str">
        <f t="shared" si="1"/>
        <v/>
      </c>
      <c r="E2584" s="100" t="str">
        <f t="shared" si="2"/>
        <v/>
      </c>
      <c r="F2584" s="100" t="str">
        <f t="shared" si="3"/>
        <v/>
      </c>
      <c r="G2584" s="151"/>
      <c r="H2584" s="160"/>
      <c r="I2584" s="157"/>
      <c r="J2584" s="161"/>
      <c r="L2584" s="94"/>
      <c r="M2584" s="159"/>
      <c r="N2584" s="94"/>
    </row>
    <row r="2585">
      <c r="A2585" s="21">
        <v>203501.0</v>
      </c>
      <c r="B2585" s="164" t="s">
        <v>85</v>
      </c>
      <c r="C2585" s="164" t="s">
        <v>686</v>
      </c>
      <c r="D2585" s="100" t="str">
        <f t="shared" si="1"/>
        <v/>
      </c>
      <c r="E2585" s="100" t="str">
        <f t="shared" si="2"/>
        <v/>
      </c>
      <c r="F2585" s="100" t="str">
        <f t="shared" si="3"/>
        <v/>
      </c>
      <c r="G2585" s="151"/>
      <c r="H2585" s="156"/>
      <c r="I2585" s="157"/>
      <c r="J2585" s="158"/>
      <c r="L2585" s="94"/>
      <c r="M2585" s="159"/>
      <c r="N2585" s="94"/>
    </row>
    <row r="2586">
      <c r="A2586" s="107">
        <v>203501.0</v>
      </c>
      <c r="B2586" s="108" t="s">
        <v>90</v>
      </c>
      <c r="C2586" s="108" t="s">
        <v>686</v>
      </c>
      <c r="D2586" s="100" t="str">
        <f t="shared" si="1"/>
        <v/>
      </c>
      <c r="E2586" s="100" t="str">
        <f t="shared" si="2"/>
        <v/>
      </c>
      <c r="F2586" s="100" t="str">
        <f t="shared" si="3"/>
        <v/>
      </c>
      <c r="G2586" s="151"/>
      <c r="H2586" s="160"/>
      <c r="I2586" s="157"/>
      <c r="J2586" s="161"/>
      <c r="L2586" s="94"/>
      <c r="M2586" s="159"/>
      <c r="N2586" s="94"/>
    </row>
    <row r="2587">
      <c r="A2587" s="107">
        <v>203501.0</v>
      </c>
      <c r="B2587" s="108" t="s">
        <v>92</v>
      </c>
      <c r="C2587" s="108" t="s">
        <v>686</v>
      </c>
      <c r="D2587" s="100" t="str">
        <f t="shared" si="1"/>
        <v/>
      </c>
      <c r="E2587" s="100" t="str">
        <f t="shared" si="2"/>
        <v/>
      </c>
      <c r="F2587" s="100" t="str">
        <f t="shared" si="3"/>
        <v/>
      </c>
      <c r="G2587" s="151"/>
      <c r="H2587" s="156"/>
      <c r="I2587" s="157"/>
      <c r="J2587" s="158"/>
      <c r="L2587" s="94"/>
      <c r="M2587" s="159"/>
      <c r="N2587" s="94"/>
    </row>
    <row r="2588">
      <c r="A2588" s="107">
        <v>203501.0</v>
      </c>
      <c r="B2588" s="108" t="s">
        <v>190</v>
      </c>
      <c r="C2588" s="108" t="s">
        <v>686</v>
      </c>
      <c r="D2588" s="100" t="str">
        <f t="shared" si="1"/>
        <v/>
      </c>
      <c r="E2588" s="100" t="str">
        <f t="shared" si="2"/>
        <v/>
      </c>
      <c r="F2588" s="100" t="str">
        <f t="shared" si="3"/>
        <v/>
      </c>
      <c r="G2588" s="151"/>
      <c r="H2588" s="160"/>
      <c r="I2588" s="157"/>
      <c r="J2588" s="161"/>
      <c r="L2588" s="94"/>
      <c r="M2588" s="159"/>
      <c r="N2588" s="94"/>
    </row>
    <row r="2589">
      <c r="A2589" s="107">
        <v>203501.0</v>
      </c>
      <c r="B2589" s="108" t="s">
        <v>191</v>
      </c>
      <c r="C2589" s="108" t="s">
        <v>686</v>
      </c>
      <c r="D2589" s="100" t="str">
        <f t="shared" si="1"/>
        <v/>
      </c>
      <c r="E2589" s="100" t="str">
        <f t="shared" si="2"/>
        <v/>
      </c>
      <c r="F2589" s="100" t="str">
        <f t="shared" si="3"/>
        <v/>
      </c>
      <c r="G2589" s="151"/>
      <c r="H2589" s="156"/>
      <c r="I2589" s="157"/>
      <c r="J2589" s="158"/>
      <c r="L2589" s="94"/>
      <c r="M2589" s="159"/>
      <c r="N2589" s="94"/>
    </row>
    <row r="2590">
      <c r="A2590" s="107">
        <v>203501.0</v>
      </c>
      <c r="B2590" s="108" t="s">
        <v>192</v>
      </c>
      <c r="C2590" s="108" t="s">
        <v>686</v>
      </c>
      <c r="D2590" s="100" t="str">
        <f t="shared" si="1"/>
        <v/>
      </c>
      <c r="E2590" s="100" t="str">
        <f t="shared" si="2"/>
        <v/>
      </c>
      <c r="F2590" s="100" t="str">
        <f t="shared" si="3"/>
        <v/>
      </c>
      <c r="G2590" s="151"/>
      <c r="H2590" s="160"/>
      <c r="I2590" s="157"/>
      <c r="J2590" s="161"/>
      <c r="L2590" s="94"/>
      <c r="M2590" s="159"/>
      <c r="N2590" s="94"/>
    </row>
    <row r="2591">
      <c r="A2591" s="107">
        <v>203501.0</v>
      </c>
      <c r="B2591" s="108" t="s">
        <v>193</v>
      </c>
      <c r="C2591" s="108" t="s">
        <v>686</v>
      </c>
      <c r="D2591" s="100" t="str">
        <f t="shared" si="1"/>
        <v/>
      </c>
      <c r="E2591" s="100" t="str">
        <f t="shared" si="2"/>
        <v/>
      </c>
      <c r="F2591" s="100" t="str">
        <f t="shared" si="3"/>
        <v/>
      </c>
      <c r="G2591" s="151"/>
      <c r="H2591" s="156"/>
      <c r="I2591" s="157"/>
      <c r="J2591" s="158"/>
      <c r="L2591" s="94"/>
      <c r="M2591" s="159"/>
      <c r="N2591" s="94"/>
    </row>
    <row r="2592">
      <c r="A2592" s="107">
        <v>203501.0</v>
      </c>
      <c r="B2592" s="108" t="s">
        <v>243</v>
      </c>
      <c r="C2592" s="108" t="s">
        <v>686</v>
      </c>
      <c r="D2592" s="100" t="str">
        <f t="shared" si="1"/>
        <v/>
      </c>
      <c r="E2592" s="100" t="str">
        <f t="shared" si="2"/>
        <v/>
      </c>
      <c r="F2592" s="100" t="str">
        <f t="shared" si="3"/>
        <v/>
      </c>
      <c r="G2592" s="151"/>
      <c r="H2592" s="160"/>
      <c r="I2592" s="157"/>
      <c r="J2592" s="161"/>
      <c r="L2592" s="94"/>
      <c r="M2592" s="159"/>
      <c r="N2592" s="94"/>
    </row>
    <row r="2593">
      <c r="A2593" s="107">
        <v>203501.0</v>
      </c>
      <c r="B2593" s="108" t="s">
        <v>215</v>
      </c>
      <c r="C2593" s="108" t="s">
        <v>686</v>
      </c>
      <c r="D2593" s="100" t="str">
        <f t="shared" si="1"/>
        <v/>
      </c>
      <c r="E2593" s="100" t="str">
        <f t="shared" si="2"/>
        <v/>
      </c>
      <c r="F2593" s="100" t="str">
        <f t="shared" si="3"/>
        <v/>
      </c>
      <c r="G2593" s="151"/>
      <c r="H2593" s="156"/>
      <c r="I2593" s="157"/>
      <c r="J2593" s="158"/>
      <c r="L2593" s="94"/>
      <c r="M2593" s="159"/>
      <c r="N2593" s="94"/>
    </row>
    <row r="2594">
      <c r="A2594" s="107">
        <v>203501.0</v>
      </c>
      <c r="B2594" s="108" t="s">
        <v>244</v>
      </c>
      <c r="C2594" s="108" t="s">
        <v>686</v>
      </c>
      <c r="D2594" s="100" t="str">
        <f t="shared" si="1"/>
        <v/>
      </c>
      <c r="E2594" s="100" t="str">
        <f t="shared" si="2"/>
        <v/>
      </c>
      <c r="F2594" s="100" t="str">
        <f t="shared" si="3"/>
        <v/>
      </c>
      <c r="G2594" s="151"/>
      <c r="H2594" s="160"/>
      <c r="I2594" s="157"/>
      <c r="J2594" s="161"/>
      <c r="L2594" s="94"/>
      <c r="M2594" s="159"/>
      <c r="N2594" s="94"/>
    </row>
    <row r="2595">
      <c r="A2595" s="107">
        <v>203501.0</v>
      </c>
      <c r="B2595" s="108" t="s">
        <v>245</v>
      </c>
      <c r="C2595" s="108" t="s">
        <v>686</v>
      </c>
      <c r="D2595" s="100" t="str">
        <f t="shared" si="1"/>
        <v/>
      </c>
      <c r="E2595" s="100" t="str">
        <f t="shared" si="2"/>
        <v/>
      </c>
      <c r="F2595" s="100" t="str">
        <f t="shared" si="3"/>
        <v/>
      </c>
      <c r="G2595" s="151"/>
      <c r="H2595" s="156"/>
      <c r="I2595" s="157"/>
      <c r="J2595" s="158"/>
      <c r="L2595" s="94"/>
      <c r="M2595" s="159"/>
      <c r="N2595" s="94"/>
    </row>
    <row r="2596">
      <c r="A2596" s="107">
        <v>203501.0</v>
      </c>
      <c r="B2596" s="108" t="s">
        <v>246</v>
      </c>
      <c r="C2596" s="108" t="s">
        <v>686</v>
      </c>
      <c r="D2596" s="100" t="str">
        <f t="shared" si="1"/>
        <v/>
      </c>
      <c r="E2596" s="100" t="str">
        <f t="shared" si="2"/>
        <v/>
      </c>
      <c r="F2596" s="100" t="str">
        <f t="shared" si="3"/>
        <v/>
      </c>
      <c r="G2596" s="151"/>
      <c r="H2596" s="160"/>
      <c r="I2596" s="157"/>
      <c r="J2596" s="161"/>
      <c r="L2596" s="94"/>
      <c r="M2596" s="159"/>
      <c r="N2596" s="94"/>
    </row>
    <row r="2597">
      <c r="A2597" s="149">
        <v>203501.0</v>
      </c>
      <c r="B2597" s="115" t="s">
        <v>247</v>
      </c>
      <c r="C2597" s="108" t="s">
        <v>686</v>
      </c>
      <c r="D2597" s="100" t="str">
        <f t="shared" si="1"/>
        <v/>
      </c>
      <c r="E2597" s="100" t="str">
        <f t="shared" si="2"/>
        <v/>
      </c>
      <c r="F2597" s="100" t="str">
        <f t="shared" si="3"/>
        <v/>
      </c>
      <c r="G2597" s="151"/>
      <c r="H2597" s="156"/>
      <c r="I2597" s="157"/>
      <c r="J2597" s="158"/>
      <c r="L2597" s="94"/>
      <c r="M2597" s="159"/>
      <c r="N2597" s="94"/>
    </row>
    <row r="2598">
      <c r="A2598" s="21">
        <v>203503.0</v>
      </c>
      <c r="B2598" s="164" t="s">
        <v>85</v>
      </c>
      <c r="C2598" s="164" t="s">
        <v>687</v>
      </c>
      <c r="D2598" s="100" t="str">
        <f t="shared" si="1"/>
        <v/>
      </c>
      <c r="E2598" s="100" t="str">
        <f t="shared" si="2"/>
        <v/>
      </c>
      <c r="F2598" s="100" t="str">
        <f t="shared" si="3"/>
        <v/>
      </c>
      <c r="G2598" s="151"/>
      <c r="H2598" s="160"/>
      <c r="I2598" s="157"/>
      <c r="J2598" s="161"/>
      <c r="L2598" s="94"/>
      <c r="M2598" s="159"/>
      <c r="N2598" s="94"/>
    </row>
    <row r="2599">
      <c r="A2599" s="107">
        <v>203503.0</v>
      </c>
      <c r="B2599" s="108" t="s">
        <v>90</v>
      </c>
      <c r="C2599" s="108" t="s">
        <v>687</v>
      </c>
      <c r="D2599" s="100" t="str">
        <f t="shared" si="1"/>
        <v/>
      </c>
      <c r="E2599" s="100" t="str">
        <f t="shared" si="2"/>
        <v/>
      </c>
      <c r="F2599" s="100" t="str">
        <f t="shared" si="3"/>
        <v/>
      </c>
      <c r="G2599" s="151"/>
      <c r="H2599" s="156"/>
      <c r="I2599" s="157"/>
      <c r="J2599" s="158"/>
      <c r="L2599" s="94"/>
      <c r="M2599" s="159"/>
      <c r="N2599" s="94"/>
    </row>
    <row r="2600">
      <c r="A2600" s="107">
        <v>203503.0</v>
      </c>
      <c r="B2600" s="108" t="s">
        <v>92</v>
      </c>
      <c r="C2600" s="108" t="s">
        <v>687</v>
      </c>
      <c r="D2600" s="100" t="str">
        <f t="shared" si="1"/>
        <v/>
      </c>
      <c r="E2600" s="100" t="str">
        <f t="shared" si="2"/>
        <v/>
      </c>
      <c r="F2600" s="100" t="str">
        <f t="shared" si="3"/>
        <v/>
      </c>
      <c r="G2600" s="151"/>
      <c r="H2600" s="160"/>
      <c r="I2600" s="157"/>
      <c r="J2600" s="161"/>
      <c r="L2600" s="94"/>
      <c r="M2600" s="159"/>
      <c r="N2600" s="94"/>
    </row>
    <row r="2601">
      <c r="A2601" s="107">
        <v>203503.0</v>
      </c>
      <c r="B2601" s="108" t="s">
        <v>190</v>
      </c>
      <c r="C2601" s="108" t="s">
        <v>687</v>
      </c>
      <c r="D2601" s="100" t="str">
        <f t="shared" si="1"/>
        <v/>
      </c>
      <c r="E2601" s="100" t="str">
        <f t="shared" si="2"/>
        <v/>
      </c>
      <c r="F2601" s="100" t="str">
        <f t="shared" si="3"/>
        <v/>
      </c>
      <c r="G2601" s="151"/>
      <c r="H2601" s="156"/>
      <c r="I2601" s="157"/>
      <c r="J2601" s="158"/>
      <c r="L2601" s="94"/>
      <c r="M2601" s="159"/>
      <c r="N2601" s="94"/>
    </row>
    <row r="2602">
      <c r="A2602" s="107">
        <v>203503.0</v>
      </c>
      <c r="B2602" s="108" t="s">
        <v>191</v>
      </c>
      <c r="C2602" s="108" t="s">
        <v>687</v>
      </c>
      <c r="D2602" s="100" t="str">
        <f t="shared" si="1"/>
        <v/>
      </c>
      <c r="E2602" s="100" t="str">
        <f t="shared" si="2"/>
        <v/>
      </c>
      <c r="F2602" s="100" t="str">
        <f t="shared" si="3"/>
        <v/>
      </c>
      <c r="G2602" s="151"/>
      <c r="H2602" s="160"/>
      <c r="I2602" s="157"/>
      <c r="J2602" s="161"/>
      <c r="L2602" s="94"/>
      <c r="M2602" s="159"/>
      <c r="N2602" s="94"/>
    </row>
    <row r="2603">
      <c r="A2603" s="107">
        <v>203503.0</v>
      </c>
      <c r="B2603" s="108" t="s">
        <v>192</v>
      </c>
      <c r="C2603" s="108" t="s">
        <v>687</v>
      </c>
      <c r="D2603" s="100" t="str">
        <f t="shared" si="1"/>
        <v/>
      </c>
      <c r="E2603" s="100" t="str">
        <f t="shared" si="2"/>
        <v/>
      </c>
      <c r="F2603" s="100" t="str">
        <f t="shared" si="3"/>
        <v/>
      </c>
      <c r="G2603" s="151"/>
      <c r="H2603" s="156"/>
      <c r="I2603" s="157"/>
      <c r="J2603" s="158"/>
      <c r="L2603" s="94"/>
      <c r="M2603" s="159"/>
      <c r="N2603" s="94"/>
    </row>
    <row r="2604">
      <c r="A2604" s="107">
        <v>203503.0</v>
      </c>
      <c r="B2604" s="108" t="s">
        <v>193</v>
      </c>
      <c r="C2604" s="108" t="s">
        <v>687</v>
      </c>
      <c r="D2604" s="100" t="str">
        <f t="shared" si="1"/>
        <v/>
      </c>
      <c r="E2604" s="100" t="str">
        <f t="shared" si="2"/>
        <v/>
      </c>
      <c r="F2604" s="100" t="str">
        <f t="shared" si="3"/>
        <v/>
      </c>
      <c r="G2604" s="151"/>
      <c r="H2604" s="160"/>
      <c r="I2604" s="157"/>
      <c r="J2604" s="161"/>
      <c r="L2604" s="94"/>
      <c r="M2604" s="159"/>
      <c r="N2604" s="94"/>
    </row>
    <row r="2605">
      <c r="A2605" s="107">
        <v>203503.0</v>
      </c>
      <c r="B2605" s="108" t="s">
        <v>243</v>
      </c>
      <c r="C2605" s="108" t="s">
        <v>687</v>
      </c>
      <c r="D2605" s="100" t="str">
        <f t="shared" si="1"/>
        <v/>
      </c>
      <c r="E2605" s="100" t="str">
        <f t="shared" si="2"/>
        <v/>
      </c>
      <c r="F2605" s="100" t="str">
        <f t="shared" si="3"/>
        <v/>
      </c>
      <c r="G2605" s="151"/>
      <c r="H2605" s="156"/>
      <c r="I2605" s="157"/>
      <c r="J2605" s="158"/>
      <c r="L2605" s="94"/>
      <c r="M2605" s="159"/>
      <c r="N2605" s="94"/>
    </row>
    <row r="2606">
      <c r="A2606" s="107">
        <v>203503.0</v>
      </c>
      <c r="B2606" s="108" t="s">
        <v>215</v>
      </c>
      <c r="C2606" s="108" t="s">
        <v>687</v>
      </c>
      <c r="D2606" s="100" t="str">
        <f t="shared" si="1"/>
        <v/>
      </c>
      <c r="E2606" s="100" t="str">
        <f t="shared" si="2"/>
        <v/>
      </c>
      <c r="F2606" s="100" t="str">
        <f t="shared" si="3"/>
        <v/>
      </c>
      <c r="G2606" s="151"/>
      <c r="H2606" s="160"/>
      <c r="I2606" s="157"/>
      <c r="J2606" s="161"/>
      <c r="L2606" s="94"/>
      <c r="M2606" s="159"/>
      <c r="N2606" s="94"/>
    </row>
    <row r="2607">
      <c r="A2607" s="107">
        <v>203504.0</v>
      </c>
      <c r="B2607" s="108" t="s">
        <v>85</v>
      </c>
      <c r="C2607" s="108" t="s">
        <v>688</v>
      </c>
      <c r="D2607" s="100" t="str">
        <f t="shared" si="1"/>
        <v/>
      </c>
      <c r="E2607" s="100" t="str">
        <f t="shared" si="2"/>
        <v/>
      </c>
      <c r="F2607" s="100" t="str">
        <f t="shared" si="3"/>
        <v/>
      </c>
      <c r="G2607" s="151"/>
      <c r="H2607" s="156"/>
      <c r="I2607" s="157"/>
      <c r="J2607" s="158"/>
      <c r="L2607" s="94"/>
      <c r="M2607" s="159"/>
      <c r="N2607" s="94"/>
    </row>
    <row r="2608">
      <c r="A2608" s="107">
        <v>203504.0</v>
      </c>
      <c r="B2608" s="108" t="s">
        <v>90</v>
      </c>
      <c r="C2608" s="108" t="s">
        <v>688</v>
      </c>
      <c r="D2608" s="100" t="str">
        <f t="shared" si="1"/>
        <v/>
      </c>
      <c r="E2608" s="100" t="str">
        <f t="shared" si="2"/>
        <v/>
      </c>
      <c r="F2608" s="100" t="str">
        <f t="shared" si="3"/>
        <v/>
      </c>
      <c r="G2608" s="151"/>
      <c r="H2608" s="160"/>
      <c r="I2608" s="157"/>
      <c r="J2608" s="161"/>
      <c r="L2608" s="94"/>
      <c r="M2608" s="159"/>
      <c r="N2608" s="94"/>
    </row>
    <row r="2609">
      <c r="A2609" s="107">
        <v>203504.0</v>
      </c>
      <c r="B2609" s="108" t="s">
        <v>92</v>
      </c>
      <c r="C2609" s="108" t="s">
        <v>688</v>
      </c>
      <c r="D2609" s="100" t="str">
        <f t="shared" si="1"/>
        <v/>
      </c>
      <c r="E2609" s="100" t="str">
        <f t="shared" si="2"/>
        <v/>
      </c>
      <c r="F2609" s="100" t="str">
        <f t="shared" si="3"/>
        <v/>
      </c>
      <c r="G2609" s="151"/>
      <c r="H2609" s="156"/>
      <c r="I2609" s="157"/>
      <c r="J2609" s="158"/>
      <c r="L2609" s="94"/>
      <c r="M2609" s="159"/>
      <c r="N2609" s="94"/>
    </row>
    <row r="2610">
      <c r="A2610" s="107">
        <v>203504.0</v>
      </c>
      <c r="B2610" s="108" t="s">
        <v>190</v>
      </c>
      <c r="C2610" s="108" t="s">
        <v>688</v>
      </c>
      <c r="D2610" s="100" t="str">
        <f t="shared" si="1"/>
        <v/>
      </c>
      <c r="E2610" s="100" t="str">
        <f t="shared" si="2"/>
        <v/>
      </c>
      <c r="F2610" s="100" t="str">
        <f t="shared" si="3"/>
        <v/>
      </c>
      <c r="G2610" s="151"/>
      <c r="H2610" s="160"/>
      <c r="I2610" s="157"/>
      <c r="J2610" s="161"/>
      <c r="L2610" s="94"/>
      <c r="M2610" s="159"/>
      <c r="N2610" s="94"/>
    </row>
    <row r="2611">
      <c r="A2611" s="107">
        <v>203504.0</v>
      </c>
      <c r="B2611" s="108" t="s">
        <v>191</v>
      </c>
      <c r="C2611" s="108" t="s">
        <v>688</v>
      </c>
      <c r="D2611" s="100" t="str">
        <f t="shared" si="1"/>
        <v/>
      </c>
      <c r="E2611" s="100" t="str">
        <f t="shared" si="2"/>
        <v/>
      </c>
      <c r="F2611" s="100" t="str">
        <f t="shared" si="3"/>
        <v/>
      </c>
      <c r="G2611" s="151"/>
      <c r="H2611" s="156"/>
      <c r="I2611" s="157"/>
      <c r="J2611" s="158"/>
      <c r="L2611" s="94"/>
      <c r="M2611" s="159"/>
      <c r="N2611" s="94"/>
    </row>
    <row r="2612">
      <c r="A2612" s="107">
        <v>203504.0</v>
      </c>
      <c r="B2612" s="108" t="s">
        <v>192</v>
      </c>
      <c r="C2612" s="108" t="s">
        <v>688</v>
      </c>
      <c r="D2612" s="100" t="str">
        <f t="shared" si="1"/>
        <v/>
      </c>
      <c r="E2612" s="100" t="str">
        <f t="shared" si="2"/>
        <v/>
      </c>
      <c r="F2612" s="100" t="str">
        <f t="shared" si="3"/>
        <v/>
      </c>
      <c r="G2612" s="151"/>
      <c r="H2612" s="160"/>
      <c r="I2612" s="157"/>
      <c r="J2612" s="161"/>
      <c r="L2612" s="94"/>
      <c r="M2612" s="159"/>
      <c r="N2612" s="94"/>
    </row>
    <row r="2613">
      <c r="A2613" s="107">
        <v>203504.0</v>
      </c>
      <c r="B2613" s="108" t="s">
        <v>193</v>
      </c>
      <c r="C2613" s="108" t="s">
        <v>688</v>
      </c>
      <c r="D2613" s="100" t="str">
        <f t="shared" si="1"/>
        <v/>
      </c>
      <c r="E2613" s="100" t="str">
        <f t="shared" si="2"/>
        <v/>
      </c>
      <c r="F2613" s="100" t="str">
        <f t="shared" si="3"/>
        <v/>
      </c>
      <c r="G2613" s="151"/>
      <c r="H2613" s="156"/>
      <c r="I2613" s="157"/>
      <c r="J2613" s="158"/>
      <c r="L2613" s="94"/>
      <c r="M2613" s="159"/>
      <c r="N2613" s="94"/>
    </row>
    <row r="2614">
      <c r="A2614" s="107">
        <v>203504.0</v>
      </c>
      <c r="B2614" s="108" t="s">
        <v>243</v>
      </c>
      <c r="C2614" s="108" t="s">
        <v>688</v>
      </c>
      <c r="D2614" s="100" t="str">
        <f t="shared" si="1"/>
        <v/>
      </c>
      <c r="E2614" s="100" t="str">
        <f t="shared" si="2"/>
        <v/>
      </c>
      <c r="F2614" s="100" t="str">
        <f t="shared" si="3"/>
        <v/>
      </c>
      <c r="G2614" s="151"/>
      <c r="H2614" s="160"/>
      <c r="I2614" s="157"/>
      <c r="J2614" s="161"/>
      <c r="L2614" s="94"/>
      <c r="M2614" s="159"/>
      <c r="N2614" s="94"/>
    </row>
    <row r="2615">
      <c r="A2615" s="107">
        <v>203504.0</v>
      </c>
      <c r="B2615" s="108" t="s">
        <v>215</v>
      </c>
      <c r="C2615" s="108" t="s">
        <v>688</v>
      </c>
      <c r="D2615" s="100" t="str">
        <f t="shared" si="1"/>
        <v/>
      </c>
      <c r="E2615" s="100" t="str">
        <f t="shared" si="2"/>
        <v/>
      </c>
      <c r="F2615" s="100" t="str">
        <f t="shared" si="3"/>
        <v/>
      </c>
      <c r="G2615" s="151"/>
      <c r="H2615" s="156"/>
      <c r="I2615" s="157"/>
      <c r="J2615" s="158"/>
      <c r="L2615" s="94"/>
      <c r="M2615" s="159"/>
      <c r="N2615" s="94"/>
    </row>
    <row r="2616">
      <c r="A2616" s="107">
        <v>203505.0</v>
      </c>
      <c r="B2616" s="108" t="s">
        <v>85</v>
      </c>
      <c r="C2616" s="108" t="s">
        <v>689</v>
      </c>
      <c r="D2616" s="100" t="str">
        <f t="shared" si="1"/>
        <v/>
      </c>
      <c r="E2616" s="100" t="str">
        <f t="shared" si="2"/>
        <v/>
      </c>
      <c r="F2616" s="100" t="str">
        <f t="shared" si="3"/>
        <v/>
      </c>
      <c r="G2616" s="151"/>
      <c r="H2616" s="160"/>
      <c r="I2616" s="157"/>
      <c r="J2616" s="161"/>
      <c r="L2616" s="94"/>
      <c r="M2616" s="159"/>
      <c r="N2616" s="94"/>
    </row>
    <row r="2617">
      <c r="A2617" s="107">
        <v>203505.0</v>
      </c>
      <c r="B2617" s="108" t="s">
        <v>90</v>
      </c>
      <c r="C2617" s="108" t="s">
        <v>689</v>
      </c>
      <c r="D2617" s="100" t="str">
        <f t="shared" si="1"/>
        <v/>
      </c>
      <c r="E2617" s="100" t="str">
        <f t="shared" si="2"/>
        <v/>
      </c>
      <c r="F2617" s="100" t="str">
        <f t="shared" si="3"/>
        <v/>
      </c>
      <c r="G2617" s="151"/>
      <c r="H2617" s="156"/>
      <c r="I2617" s="157"/>
      <c r="J2617" s="158"/>
      <c r="L2617" s="94"/>
      <c r="M2617" s="159"/>
      <c r="N2617" s="94"/>
    </row>
    <row r="2618">
      <c r="A2618" s="107">
        <v>203505.0</v>
      </c>
      <c r="B2618" s="108" t="s">
        <v>191</v>
      </c>
      <c r="C2618" s="108" t="s">
        <v>689</v>
      </c>
      <c r="D2618" s="100" t="str">
        <f t="shared" si="1"/>
        <v/>
      </c>
      <c r="E2618" s="100" t="str">
        <f t="shared" si="2"/>
        <v/>
      </c>
      <c r="F2618" s="100" t="str">
        <f t="shared" si="3"/>
        <v/>
      </c>
      <c r="G2618" s="151"/>
      <c r="H2618" s="160"/>
      <c r="I2618" s="157"/>
      <c r="J2618" s="161"/>
      <c r="L2618" s="94"/>
      <c r="M2618" s="159"/>
      <c r="N2618" s="94"/>
    </row>
    <row r="2619">
      <c r="A2619" s="107">
        <v>203506.0</v>
      </c>
      <c r="B2619" s="108" t="s">
        <v>85</v>
      </c>
      <c r="C2619" s="108" t="s">
        <v>690</v>
      </c>
      <c r="D2619" s="100" t="str">
        <f t="shared" si="1"/>
        <v/>
      </c>
      <c r="E2619" s="100" t="str">
        <f t="shared" si="2"/>
        <v/>
      </c>
      <c r="F2619" s="100" t="str">
        <f t="shared" si="3"/>
        <v/>
      </c>
      <c r="G2619" s="151"/>
      <c r="H2619" s="156"/>
      <c r="I2619" s="157"/>
      <c r="J2619" s="158"/>
      <c r="L2619" s="94"/>
      <c r="M2619" s="159"/>
      <c r="N2619" s="94"/>
    </row>
    <row r="2620">
      <c r="A2620" s="107">
        <v>203506.0</v>
      </c>
      <c r="B2620" s="108" t="s">
        <v>90</v>
      </c>
      <c r="C2620" s="108" t="s">
        <v>690</v>
      </c>
      <c r="D2620" s="100" t="str">
        <f t="shared" si="1"/>
        <v/>
      </c>
      <c r="E2620" s="100" t="str">
        <f t="shared" si="2"/>
        <v/>
      </c>
      <c r="F2620" s="100" t="str">
        <f t="shared" si="3"/>
        <v/>
      </c>
      <c r="G2620" s="151"/>
      <c r="H2620" s="160"/>
      <c r="I2620" s="157"/>
      <c r="J2620" s="161"/>
      <c r="L2620" s="94"/>
      <c r="M2620" s="159"/>
      <c r="N2620" s="94"/>
    </row>
    <row r="2621">
      <c r="A2621" s="107">
        <v>203506.0</v>
      </c>
      <c r="B2621" s="108" t="s">
        <v>92</v>
      </c>
      <c r="C2621" s="108" t="s">
        <v>690</v>
      </c>
      <c r="D2621" s="100" t="str">
        <f t="shared" si="1"/>
        <v/>
      </c>
      <c r="E2621" s="100" t="str">
        <f t="shared" si="2"/>
        <v/>
      </c>
      <c r="F2621" s="100" t="str">
        <f t="shared" si="3"/>
        <v/>
      </c>
      <c r="G2621" s="151"/>
      <c r="H2621" s="156"/>
      <c r="I2621" s="157"/>
      <c r="J2621" s="158"/>
      <c r="L2621" s="94"/>
      <c r="M2621" s="159"/>
      <c r="N2621" s="94"/>
    </row>
    <row r="2622">
      <c r="A2622" s="107">
        <v>203506.0</v>
      </c>
      <c r="B2622" s="108" t="s">
        <v>190</v>
      </c>
      <c r="C2622" s="108" t="s">
        <v>690</v>
      </c>
      <c r="D2622" s="100" t="str">
        <f t="shared" si="1"/>
        <v/>
      </c>
      <c r="E2622" s="100" t="str">
        <f t="shared" si="2"/>
        <v/>
      </c>
      <c r="F2622" s="100" t="str">
        <f t="shared" si="3"/>
        <v/>
      </c>
      <c r="G2622" s="151"/>
      <c r="H2622" s="160"/>
      <c r="I2622" s="157"/>
      <c r="J2622" s="161"/>
      <c r="L2622" s="94"/>
      <c r="M2622" s="159"/>
      <c r="N2622" s="94"/>
    </row>
    <row r="2623">
      <c r="A2623" s="107">
        <v>203506.0</v>
      </c>
      <c r="B2623" s="108" t="s">
        <v>191</v>
      </c>
      <c r="C2623" s="108" t="s">
        <v>690</v>
      </c>
      <c r="D2623" s="100" t="str">
        <f t="shared" si="1"/>
        <v/>
      </c>
      <c r="E2623" s="100" t="str">
        <f t="shared" si="2"/>
        <v/>
      </c>
      <c r="F2623" s="100" t="str">
        <f t="shared" si="3"/>
        <v/>
      </c>
      <c r="G2623" s="151"/>
      <c r="H2623" s="156"/>
      <c r="I2623" s="157"/>
      <c r="J2623" s="158"/>
      <c r="L2623" s="94"/>
      <c r="M2623" s="159"/>
      <c r="N2623" s="94"/>
    </row>
    <row r="2624">
      <c r="A2624" s="107">
        <v>203506.0</v>
      </c>
      <c r="B2624" s="108" t="s">
        <v>192</v>
      </c>
      <c r="C2624" s="108" t="s">
        <v>690</v>
      </c>
      <c r="D2624" s="100" t="str">
        <f t="shared" si="1"/>
        <v/>
      </c>
      <c r="E2624" s="100" t="str">
        <f t="shared" si="2"/>
        <v/>
      </c>
      <c r="F2624" s="100" t="str">
        <f t="shared" si="3"/>
        <v/>
      </c>
      <c r="G2624" s="151"/>
      <c r="H2624" s="160"/>
      <c r="I2624" s="157"/>
      <c r="J2624" s="161"/>
      <c r="L2624" s="94"/>
      <c r="M2624" s="159"/>
      <c r="N2624" s="94"/>
    </row>
    <row r="2625">
      <c r="A2625" s="107">
        <v>203506.0</v>
      </c>
      <c r="B2625" s="108" t="s">
        <v>193</v>
      </c>
      <c r="C2625" s="108" t="s">
        <v>690</v>
      </c>
      <c r="D2625" s="100" t="str">
        <f t="shared" si="1"/>
        <v/>
      </c>
      <c r="E2625" s="100" t="str">
        <f t="shared" si="2"/>
        <v/>
      </c>
      <c r="F2625" s="100" t="str">
        <f t="shared" si="3"/>
        <v/>
      </c>
      <c r="G2625" s="151"/>
      <c r="H2625" s="156"/>
      <c r="I2625" s="157"/>
      <c r="J2625" s="158"/>
      <c r="L2625" s="94"/>
      <c r="M2625" s="159"/>
      <c r="N2625" s="94"/>
    </row>
    <row r="2626">
      <c r="A2626" s="107">
        <v>203506.0</v>
      </c>
      <c r="B2626" s="108" t="s">
        <v>243</v>
      </c>
      <c r="C2626" s="108" t="s">
        <v>690</v>
      </c>
      <c r="D2626" s="100" t="str">
        <f t="shared" si="1"/>
        <v/>
      </c>
      <c r="E2626" s="100" t="str">
        <f t="shared" si="2"/>
        <v/>
      </c>
      <c r="F2626" s="100" t="str">
        <f t="shared" si="3"/>
        <v/>
      </c>
      <c r="G2626" s="151"/>
      <c r="H2626" s="160"/>
      <c r="I2626" s="157"/>
      <c r="J2626" s="161"/>
      <c r="L2626" s="94"/>
      <c r="M2626" s="159"/>
      <c r="N2626" s="94"/>
    </row>
    <row r="2627">
      <c r="A2627" s="107">
        <v>203506.0</v>
      </c>
      <c r="B2627" s="108" t="s">
        <v>215</v>
      </c>
      <c r="C2627" s="108" t="s">
        <v>690</v>
      </c>
      <c r="D2627" s="100" t="str">
        <f t="shared" si="1"/>
        <v/>
      </c>
      <c r="E2627" s="100" t="str">
        <f t="shared" si="2"/>
        <v/>
      </c>
      <c r="F2627" s="100" t="str">
        <f t="shared" si="3"/>
        <v/>
      </c>
      <c r="G2627" s="151"/>
      <c r="H2627" s="156"/>
      <c r="I2627" s="157"/>
      <c r="J2627" s="158"/>
      <c r="L2627" s="94"/>
      <c r="M2627" s="159"/>
      <c r="N2627" s="94"/>
    </row>
    <row r="2628">
      <c r="A2628" s="107">
        <v>203506.0</v>
      </c>
      <c r="B2628" s="108" t="s">
        <v>244</v>
      </c>
      <c r="C2628" s="108" t="s">
        <v>690</v>
      </c>
      <c r="D2628" s="100" t="str">
        <f t="shared" si="1"/>
        <v/>
      </c>
      <c r="E2628" s="100" t="str">
        <f t="shared" si="2"/>
        <v/>
      </c>
      <c r="F2628" s="100" t="str">
        <f t="shared" si="3"/>
        <v/>
      </c>
      <c r="G2628" s="151"/>
      <c r="H2628" s="160"/>
      <c r="I2628" s="157"/>
      <c r="J2628" s="161"/>
      <c r="L2628" s="94"/>
      <c r="M2628" s="159"/>
      <c r="N2628" s="94"/>
    </row>
    <row r="2629">
      <c r="A2629" s="107">
        <v>203507.0</v>
      </c>
      <c r="B2629" s="108" t="s">
        <v>85</v>
      </c>
      <c r="C2629" s="108" t="s">
        <v>691</v>
      </c>
      <c r="D2629" s="100" t="str">
        <f t="shared" si="1"/>
        <v/>
      </c>
      <c r="E2629" s="100" t="str">
        <f t="shared" si="2"/>
        <v/>
      </c>
      <c r="F2629" s="100" t="str">
        <f t="shared" si="3"/>
        <v/>
      </c>
      <c r="G2629" s="151"/>
      <c r="H2629" s="156"/>
      <c r="I2629" s="157"/>
      <c r="J2629" s="158"/>
      <c r="L2629" s="94"/>
      <c r="M2629" s="159"/>
      <c r="N2629" s="94"/>
    </row>
    <row r="2630">
      <c r="A2630" s="107">
        <v>203507.0</v>
      </c>
      <c r="B2630" s="108" t="s">
        <v>90</v>
      </c>
      <c r="C2630" s="108" t="s">
        <v>691</v>
      </c>
      <c r="D2630" s="100" t="str">
        <f t="shared" si="1"/>
        <v/>
      </c>
      <c r="E2630" s="100" t="str">
        <f t="shared" si="2"/>
        <v/>
      </c>
      <c r="F2630" s="100" t="str">
        <f t="shared" si="3"/>
        <v/>
      </c>
      <c r="G2630" s="151"/>
      <c r="H2630" s="160"/>
      <c r="I2630" s="157"/>
      <c r="J2630" s="161"/>
      <c r="L2630" s="94"/>
      <c r="M2630" s="159"/>
      <c r="N2630" s="94"/>
    </row>
    <row r="2631">
      <c r="A2631" s="107">
        <v>203507.0</v>
      </c>
      <c r="B2631" s="108" t="s">
        <v>92</v>
      </c>
      <c r="C2631" s="108" t="s">
        <v>691</v>
      </c>
      <c r="D2631" s="100" t="str">
        <f t="shared" si="1"/>
        <v/>
      </c>
      <c r="E2631" s="100" t="str">
        <f t="shared" si="2"/>
        <v/>
      </c>
      <c r="F2631" s="100" t="str">
        <f t="shared" si="3"/>
        <v/>
      </c>
      <c r="G2631" s="151"/>
      <c r="H2631" s="156"/>
      <c r="I2631" s="157"/>
      <c r="J2631" s="158"/>
      <c r="L2631" s="94"/>
      <c r="M2631" s="159"/>
      <c r="N2631" s="94"/>
    </row>
    <row r="2632">
      <c r="A2632" s="107">
        <v>203507.0</v>
      </c>
      <c r="B2632" s="108" t="s">
        <v>190</v>
      </c>
      <c r="C2632" s="108" t="s">
        <v>691</v>
      </c>
      <c r="D2632" s="100" t="str">
        <f t="shared" si="1"/>
        <v/>
      </c>
      <c r="E2632" s="100" t="str">
        <f t="shared" si="2"/>
        <v/>
      </c>
      <c r="F2632" s="100" t="str">
        <f t="shared" si="3"/>
        <v/>
      </c>
      <c r="G2632" s="151"/>
      <c r="H2632" s="160"/>
      <c r="I2632" s="157"/>
      <c r="J2632" s="161"/>
      <c r="L2632" s="94"/>
      <c r="M2632" s="159"/>
      <c r="N2632" s="94"/>
    </row>
    <row r="2633">
      <c r="A2633" s="107">
        <v>203507.0</v>
      </c>
      <c r="B2633" s="108" t="s">
        <v>191</v>
      </c>
      <c r="C2633" s="108" t="s">
        <v>691</v>
      </c>
      <c r="D2633" s="100" t="str">
        <f t="shared" si="1"/>
        <v/>
      </c>
      <c r="E2633" s="100" t="str">
        <f t="shared" si="2"/>
        <v/>
      </c>
      <c r="F2633" s="100" t="str">
        <f t="shared" si="3"/>
        <v/>
      </c>
      <c r="G2633" s="151"/>
      <c r="H2633" s="156"/>
      <c r="I2633" s="157"/>
      <c r="J2633" s="158"/>
      <c r="L2633" s="94"/>
      <c r="M2633" s="159"/>
      <c r="N2633" s="94"/>
    </row>
    <row r="2634">
      <c r="A2634" s="107">
        <v>203507.0</v>
      </c>
      <c r="B2634" s="108" t="s">
        <v>192</v>
      </c>
      <c r="C2634" s="108" t="s">
        <v>691</v>
      </c>
      <c r="D2634" s="100" t="str">
        <f t="shared" si="1"/>
        <v/>
      </c>
      <c r="E2634" s="100" t="str">
        <f t="shared" si="2"/>
        <v/>
      </c>
      <c r="F2634" s="100" t="str">
        <f t="shared" si="3"/>
        <v/>
      </c>
      <c r="G2634" s="151"/>
      <c r="H2634" s="160"/>
      <c r="I2634" s="157"/>
      <c r="J2634" s="161"/>
      <c r="L2634" s="94"/>
      <c r="M2634" s="159"/>
      <c r="N2634" s="94"/>
    </row>
    <row r="2635">
      <c r="A2635" s="107">
        <v>203507.0</v>
      </c>
      <c r="B2635" s="108" t="s">
        <v>193</v>
      </c>
      <c r="C2635" s="108" t="s">
        <v>691</v>
      </c>
      <c r="D2635" s="100" t="str">
        <f t="shared" si="1"/>
        <v/>
      </c>
      <c r="E2635" s="100" t="str">
        <f t="shared" si="2"/>
        <v/>
      </c>
      <c r="F2635" s="100" t="str">
        <f t="shared" si="3"/>
        <v/>
      </c>
      <c r="G2635" s="151"/>
      <c r="H2635" s="156"/>
      <c r="I2635" s="157"/>
      <c r="J2635" s="158"/>
      <c r="L2635" s="94"/>
      <c r="M2635" s="159"/>
      <c r="N2635" s="94"/>
    </row>
    <row r="2636">
      <c r="A2636" s="107">
        <v>203507.0</v>
      </c>
      <c r="B2636" s="108" t="s">
        <v>243</v>
      </c>
      <c r="C2636" s="108" t="s">
        <v>691</v>
      </c>
      <c r="D2636" s="100" t="str">
        <f t="shared" si="1"/>
        <v/>
      </c>
      <c r="E2636" s="100" t="str">
        <f t="shared" si="2"/>
        <v/>
      </c>
      <c r="F2636" s="100" t="str">
        <f t="shared" si="3"/>
        <v/>
      </c>
      <c r="G2636" s="151"/>
      <c r="H2636" s="160"/>
      <c r="I2636" s="157"/>
      <c r="J2636" s="161"/>
      <c r="L2636" s="94"/>
      <c r="M2636" s="159"/>
      <c r="N2636" s="94"/>
    </row>
    <row r="2637">
      <c r="A2637" s="107">
        <v>203507.0</v>
      </c>
      <c r="B2637" s="108" t="s">
        <v>215</v>
      </c>
      <c r="C2637" s="108" t="s">
        <v>691</v>
      </c>
      <c r="D2637" s="100" t="str">
        <f t="shared" si="1"/>
        <v/>
      </c>
      <c r="E2637" s="100" t="str">
        <f t="shared" si="2"/>
        <v/>
      </c>
      <c r="F2637" s="100" t="str">
        <f t="shared" si="3"/>
        <v/>
      </c>
      <c r="G2637" s="151"/>
      <c r="H2637" s="156"/>
      <c r="I2637" s="157"/>
      <c r="J2637" s="158"/>
      <c r="L2637" s="94"/>
      <c r="M2637" s="159"/>
      <c r="N2637" s="94"/>
    </row>
    <row r="2638">
      <c r="A2638" s="107">
        <v>203507.0</v>
      </c>
      <c r="B2638" s="108" t="s">
        <v>244</v>
      </c>
      <c r="C2638" s="108" t="s">
        <v>691</v>
      </c>
      <c r="D2638" s="100" t="str">
        <f t="shared" si="1"/>
        <v/>
      </c>
      <c r="E2638" s="100" t="str">
        <f t="shared" si="2"/>
        <v/>
      </c>
      <c r="F2638" s="100" t="str">
        <f t="shared" si="3"/>
        <v/>
      </c>
      <c r="G2638" s="151"/>
      <c r="H2638" s="160"/>
      <c r="I2638" s="157"/>
      <c r="J2638" s="161"/>
      <c r="L2638" s="94"/>
      <c r="M2638" s="159"/>
      <c r="N2638" s="94"/>
    </row>
    <row r="2639">
      <c r="A2639" s="107">
        <v>203507.0</v>
      </c>
      <c r="B2639" s="108" t="s">
        <v>245</v>
      </c>
      <c r="C2639" s="108" t="s">
        <v>691</v>
      </c>
      <c r="D2639" s="100" t="str">
        <f t="shared" si="1"/>
        <v/>
      </c>
      <c r="E2639" s="100" t="str">
        <f t="shared" si="2"/>
        <v/>
      </c>
      <c r="F2639" s="100" t="str">
        <f t="shared" si="3"/>
        <v/>
      </c>
      <c r="G2639" s="151"/>
      <c r="H2639" s="156"/>
      <c r="I2639" s="157"/>
      <c r="J2639" s="158"/>
      <c r="L2639" s="94"/>
      <c r="M2639" s="159"/>
      <c r="N2639" s="94"/>
    </row>
    <row r="2640">
      <c r="A2640" s="107">
        <v>203507.0</v>
      </c>
      <c r="B2640" s="108" t="s">
        <v>246</v>
      </c>
      <c r="C2640" s="108" t="s">
        <v>691</v>
      </c>
      <c r="D2640" s="100" t="str">
        <f t="shared" si="1"/>
        <v/>
      </c>
      <c r="E2640" s="100" t="str">
        <f t="shared" si="2"/>
        <v/>
      </c>
      <c r="F2640" s="100" t="str">
        <f t="shared" si="3"/>
        <v/>
      </c>
      <c r="G2640" s="151"/>
      <c r="H2640" s="160"/>
      <c r="I2640" s="157"/>
      <c r="J2640" s="161"/>
      <c r="L2640" s="94"/>
      <c r="M2640" s="159"/>
      <c r="N2640" s="94"/>
    </row>
    <row r="2641">
      <c r="A2641" s="149">
        <v>203507.0</v>
      </c>
      <c r="B2641" s="115" t="s">
        <v>247</v>
      </c>
      <c r="C2641" s="115" t="s">
        <v>691</v>
      </c>
      <c r="D2641" s="100" t="str">
        <f t="shared" si="1"/>
        <v/>
      </c>
      <c r="E2641" s="100" t="str">
        <f t="shared" si="2"/>
        <v/>
      </c>
      <c r="F2641" s="100" t="str">
        <f t="shared" si="3"/>
        <v/>
      </c>
      <c r="G2641" s="151"/>
      <c r="H2641" s="156"/>
      <c r="I2641" s="157"/>
      <c r="J2641" s="158"/>
      <c r="L2641" s="94"/>
      <c r="M2641" s="159"/>
      <c r="N2641" s="94"/>
    </row>
    <row r="2642">
      <c r="A2642" s="21">
        <v>203508.0</v>
      </c>
      <c r="B2642" s="164" t="s">
        <v>85</v>
      </c>
      <c r="C2642" s="164" t="s">
        <v>692</v>
      </c>
      <c r="D2642" s="100" t="str">
        <f t="shared" si="1"/>
        <v/>
      </c>
      <c r="E2642" s="100" t="str">
        <f t="shared" si="2"/>
        <v/>
      </c>
      <c r="F2642" s="100" t="str">
        <f t="shared" si="3"/>
        <v/>
      </c>
      <c r="G2642" s="151"/>
      <c r="H2642" s="160"/>
      <c r="I2642" s="157"/>
      <c r="J2642" s="161"/>
      <c r="L2642" s="94"/>
      <c r="M2642" s="159"/>
      <c r="N2642" s="94"/>
    </row>
    <row r="2643">
      <c r="A2643" s="107">
        <v>203508.0</v>
      </c>
      <c r="B2643" s="108" t="s">
        <v>90</v>
      </c>
      <c r="C2643" s="108" t="s">
        <v>692</v>
      </c>
      <c r="D2643" s="100" t="str">
        <f t="shared" si="1"/>
        <v/>
      </c>
      <c r="E2643" s="100" t="str">
        <f t="shared" si="2"/>
        <v/>
      </c>
      <c r="F2643" s="100" t="str">
        <f t="shared" si="3"/>
        <v/>
      </c>
      <c r="G2643" s="151"/>
      <c r="H2643" s="156"/>
      <c r="I2643" s="157"/>
      <c r="J2643" s="158"/>
      <c r="L2643" s="94"/>
      <c r="M2643" s="159"/>
      <c r="N2643" s="94"/>
    </row>
    <row r="2644">
      <c r="A2644" s="107">
        <v>203508.0</v>
      </c>
      <c r="B2644" s="108" t="s">
        <v>92</v>
      </c>
      <c r="C2644" s="108" t="s">
        <v>692</v>
      </c>
      <c r="D2644" s="100" t="str">
        <f t="shared" si="1"/>
        <v/>
      </c>
      <c r="E2644" s="100" t="str">
        <f t="shared" si="2"/>
        <v/>
      </c>
      <c r="F2644" s="100" t="str">
        <f t="shared" si="3"/>
        <v/>
      </c>
      <c r="G2644" s="151"/>
      <c r="H2644" s="160"/>
      <c r="I2644" s="157"/>
      <c r="J2644" s="161"/>
      <c r="L2644" s="94"/>
      <c r="M2644" s="159"/>
      <c r="N2644" s="94"/>
    </row>
    <row r="2645">
      <c r="A2645" s="107">
        <v>203510.0</v>
      </c>
      <c r="B2645" s="108" t="s">
        <v>190</v>
      </c>
      <c r="C2645" s="108" t="s">
        <v>693</v>
      </c>
      <c r="D2645" s="100" t="str">
        <f t="shared" si="1"/>
        <v/>
      </c>
      <c r="E2645" s="100" t="str">
        <f t="shared" si="2"/>
        <v/>
      </c>
      <c r="F2645" s="100" t="str">
        <f t="shared" si="3"/>
        <v/>
      </c>
      <c r="G2645" s="151"/>
      <c r="H2645" s="156"/>
      <c r="I2645" s="157"/>
      <c r="J2645" s="158"/>
      <c r="L2645" s="94"/>
      <c r="M2645" s="159"/>
      <c r="N2645" s="94"/>
    </row>
    <row r="2646">
      <c r="A2646" s="107">
        <v>203511.0</v>
      </c>
      <c r="B2646" s="108" t="s">
        <v>90</v>
      </c>
      <c r="C2646" s="108" t="s">
        <v>694</v>
      </c>
      <c r="D2646" s="100" t="str">
        <f t="shared" si="1"/>
        <v/>
      </c>
      <c r="E2646" s="100" t="str">
        <f t="shared" si="2"/>
        <v/>
      </c>
      <c r="F2646" s="100" t="str">
        <f t="shared" si="3"/>
        <v/>
      </c>
      <c r="G2646" s="151"/>
      <c r="H2646" s="160"/>
      <c r="I2646" s="157"/>
      <c r="J2646" s="161"/>
      <c r="L2646" s="94"/>
      <c r="M2646" s="159"/>
      <c r="N2646" s="94"/>
    </row>
    <row r="2647">
      <c r="A2647" s="107">
        <v>203512.0</v>
      </c>
      <c r="B2647" s="108" t="s">
        <v>90</v>
      </c>
      <c r="C2647" s="108" t="s">
        <v>695</v>
      </c>
      <c r="D2647" s="100" t="str">
        <f t="shared" si="1"/>
        <v/>
      </c>
      <c r="E2647" s="100" t="str">
        <f t="shared" si="2"/>
        <v/>
      </c>
      <c r="F2647" s="100" t="str">
        <f t="shared" si="3"/>
        <v/>
      </c>
      <c r="G2647" s="151"/>
      <c r="H2647" s="156"/>
      <c r="I2647" s="157"/>
      <c r="J2647" s="158"/>
      <c r="L2647" s="94"/>
      <c r="M2647" s="159"/>
      <c r="N2647" s="94"/>
    </row>
    <row r="2648">
      <c r="A2648" s="107">
        <v>203512.0</v>
      </c>
      <c r="B2648" s="108" t="s">
        <v>92</v>
      </c>
      <c r="C2648" s="108" t="s">
        <v>695</v>
      </c>
      <c r="D2648" s="100" t="str">
        <f t="shared" si="1"/>
        <v/>
      </c>
      <c r="E2648" s="100" t="str">
        <f t="shared" si="2"/>
        <v/>
      </c>
      <c r="F2648" s="100" t="str">
        <f t="shared" si="3"/>
        <v/>
      </c>
      <c r="G2648" s="151"/>
      <c r="H2648" s="160"/>
      <c r="I2648" s="157"/>
      <c r="J2648" s="161"/>
      <c r="L2648" s="94"/>
      <c r="M2648" s="159"/>
      <c r="N2648" s="94"/>
    </row>
    <row r="2649">
      <c r="A2649" s="107">
        <v>203512.0</v>
      </c>
      <c r="B2649" s="108" t="s">
        <v>190</v>
      </c>
      <c r="C2649" s="108" t="s">
        <v>695</v>
      </c>
      <c r="D2649" s="100" t="str">
        <f t="shared" si="1"/>
        <v/>
      </c>
      <c r="E2649" s="100" t="str">
        <f t="shared" si="2"/>
        <v/>
      </c>
      <c r="F2649" s="100" t="str">
        <f t="shared" si="3"/>
        <v/>
      </c>
      <c r="G2649" s="151"/>
      <c r="H2649" s="156"/>
      <c r="I2649" s="157"/>
      <c r="J2649" s="158"/>
      <c r="L2649" s="94"/>
      <c r="M2649" s="159"/>
      <c r="N2649" s="94"/>
    </row>
    <row r="2650">
      <c r="A2650" s="107">
        <v>203512.0</v>
      </c>
      <c r="B2650" s="108" t="s">
        <v>191</v>
      </c>
      <c r="C2650" s="108" t="s">
        <v>695</v>
      </c>
      <c r="D2650" s="100" t="str">
        <f t="shared" si="1"/>
        <v/>
      </c>
      <c r="E2650" s="100" t="str">
        <f t="shared" si="2"/>
        <v/>
      </c>
      <c r="F2650" s="100" t="str">
        <f t="shared" si="3"/>
        <v/>
      </c>
      <c r="G2650" s="151"/>
      <c r="H2650" s="160"/>
      <c r="I2650" s="157"/>
      <c r="J2650" s="161"/>
      <c r="L2650" s="94"/>
      <c r="M2650" s="159"/>
      <c r="N2650" s="94"/>
    </row>
    <row r="2651">
      <c r="A2651" s="107">
        <v>203513.0</v>
      </c>
      <c r="B2651" s="108" t="s">
        <v>85</v>
      </c>
      <c r="C2651" s="108" t="s">
        <v>696</v>
      </c>
      <c r="D2651" s="100" t="str">
        <f t="shared" si="1"/>
        <v/>
      </c>
      <c r="E2651" s="100" t="str">
        <f t="shared" si="2"/>
        <v/>
      </c>
      <c r="F2651" s="100" t="str">
        <f t="shared" si="3"/>
        <v/>
      </c>
      <c r="G2651" s="151"/>
      <c r="H2651" s="156"/>
      <c r="I2651" s="157"/>
      <c r="J2651" s="158"/>
      <c r="L2651" s="94"/>
      <c r="M2651" s="159"/>
      <c r="N2651" s="94"/>
    </row>
    <row r="2652">
      <c r="A2652" s="107">
        <v>203515.0</v>
      </c>
      <c r="B2652" s="108" t="s">
        <v>85</v>
      </c>
      <c r="C2652" s="108" t="s">
        <v>697</v>
      </c>
      <c r="D2652" s="100" t="str">
        <f t="shared" si="1"/>
        <v/>
      </c>
      <c r="E2652" s="100" t="str">
        <f t="shared" si="2"/>
        <v/>
      </c>
      <c r="F2652" s="100" t="str">
        <f t="shared" si="3"/>
        <v/>
      </c>
      <c r="G2652" s="151"/>
      <c r="H2652" s="160"/>
      <c r="I2652" s="157"/>
      <c r="J2652" s="161"/>
      <c r="L2652" s="94"/>
      <c r="M2652" s="159"/>
      <c r="N2652" s="94"/>
    </row>
    <row r="2653">
      <c r="A2653" s="107">
        <v>203515.0</v>
      </c>
      <c r="B2653" s="108" t="s">
        <v>90</v>
      </c>
      <c r="C2653" s="108" t="s">
        <v>697</v>
      </c>
      <c r="D2653" s="100" t="str">
        <f t="shared" si="1"/>
        <v/>
      </c>
      <c r="E2653" s="100" t="str">
        <f t="shared" si="2"/>
        <v/>
      </c>
      <c r="F2653" s="100" t="str">
        <f t="shared" si="3"/>
        <v/>
      </c>
      <c r="G2653" s="151"/>
      <c r="H2653" s="156"/>
      <c r="I2653" s="157"/>
      <c r="J2653" s="158"/>
      <c r="L2653" s="94"/>
      <c r="M2653" s="159"/>
      <c r="N2653" s="94"/>
    </row>
    <row r="2654">
      <c r="A2654" s="107">
        <v>203515.0</v>
      </c>
      <c r="B2654" s="108" t="s">
        <v>92</v>
      </c>
      <c r="C2654" s="108" t="s">
        <v>697</v>
      </c>
      <c r="D2654" s="100" t="str">
        <f t="shared" si="1"/>
        <v/>
      </c>
      <c r="E2654" s="100" t="str">
        <f t="shared" si="2"/>
        <v/>
      </c>
      <c r="F2654" s="100" t="str">
        <f t="shared" si="3"/>
        <v/>
      </c>
      <c r="G2654" s="151"/>
      <c r="H2654" s="160"/>
      <c r="I2654" s="157"/>
      <c r="J2654" s="161"/>
      <c r="L2654" s="94"/>
      <c r="M2654" s="159"/>
      <c r="N2654" s="94"/>
    </row>
    <row r="2655">
      <c r="A2655" s="107">
        <v>203516.0</v>
      </c>
      <c r="B2655" s="108" t="s">
        <v>90</v>
      </c>
      <c r="C2655" s="115" t="s">
        <v>698</v>
      </c>
      <c r="D2655" s="100" t="str">
        <f t="shared" si="1"/>
        <v/>
      </c>
      <c r="E2655" s="100" t="str">
        <f t="shared" si="2"/>
        <v/>
      </c>
      <c r="F2655" s="100" t="str">
        <f t="shared" si="3"/>
        <v/>
      </c>
      <c r="G2655" s="151"/>
      <c r="H2655" s="156"/>
      <c r="I2655" s="157"/>
      <c r="J2655" s="158"/>
      <c r="L2655" s="94"/>
      <c r="M2655" s="159"/>
      <c r="N2655" s="94"/>
    </row>
    <row r="2656">
      <c r="A2656" s="107">
        <v>203516.0</v>
      </c>
      <c r="B2656" s="108" t="s">
        <v>92</v>
      </c>
      <c r="C2656" s="115" t="s">
        <v>698</v>
      </c>
      <c r="D2656" s="100" t="str">
        <f t="shared" si="1"/>
        <v/>
      </c>
      <c r="E2656" s="100" t="str">
        <f t="shared" si="2"/>
        <v/>
      </c>
      <c r="F2656" s="100" t="str">
        <f t="shared" si="3"/>
        <v/>
      </c>
      <c r="G2656" s="151"/>
      <c r="H2656" s="160"/>
      <c r="I2656" s="157"/>
      <c r="J2656" s="161"/>
      <c r="L2656" s="94"/>
      <c r="M2656" s="159"/>
      <c r="N2656" s="94"/>
    </row>
    <row r="2657">
      <c r="A2657" s="107">
        <v>203516.0</v>
      </c>
      <c r="B2657" s="108" t="s">
        <v>190</v>
      </c>
      <c r="C2657" s="115" t="s">
        <v>698</v>
      </c>
      <c r="D2657" s="100" t="str">
        <f t="shared" si="1"/>
        <v/>
      </c>
      <c r="E2657" s="100" t="str">
        <f t="shared" si="2"/>
        <v/>
      </c>
      <c r="F2657" s="100" t="str">
        <f t="shared" si="3"/>
        <v/>
      </c>
      <c r="G2657" s="151"/>
      <c r="H2657" s="156"/>
      <c r="I2657" s="157"/>
      <c r="J2657" s="158"/>
      <c r="L2657" s="94"/>
      <c r="M2657" s="159"/>
      <c r="N2657" s="94"/>
    </row>
    <row r="2658">
      <c r="A2658" s="107">
        <v>203516.0</v>
      </c>
      <c r="B2658" s="108" t="s">
        <v>191</v>
      </c>
      <c r="C2658" s="115" t="s">
        <v>698</v>
      </c>
      <c r="D2658" s="100" t="str">
        <f t="shared" si="1"/>
        <v/>
      </c>
      <c r="E2658" s="100" t="str">
        <f t="shared" si="2"/>
        <v/>
      </c>
      <c r="F2658" s="100" t="str">
        <f t="shared" si="3"/>
        <v/>
      </c>
      <c r="G2658" s="151"/>
      <c r="H2658" s="160"/>
      <c r="I2658" s="157"/>
      <c r="J2658" s="161"/>
      <c r="L2658" s="94"/>
      <c r="M2658" s="159"/>
      <c r="N2658" s="94"/>
    </row>
    <row r="2659">
      <c r="A2659" s="107">
        <v>203516.0</v>
      </c>
      <c r="B2659" s="108" t="s">
        <v>192</v>
      </c>
      <c r="C2659" s="115" t="s">
        <v>698</v>
      </c>
      <c r="D2659" s="100" t="str">
        <f t="shared" si="1"/>
        <v/>
      </c>
      <c r="E2659" s="100" t="str">
        <f t="shared" si="2"/>
        <v/>
      </c>
      <c r="F2659" s="100" t="str">
        <f t="shared" si="3"/>
        <v/>
      </c>
      <c r="G2659" s="151"/>
      <c r="H2659" s="156"/>
      <c r="I2659" s="157"/>
      <c r="J2659" s="158"/>
      <c r="L2659" s="94"/>
      <c r="M2659" s="159"/>
      <c r="N2659" s="94"/>
    </row>
    <row r="2660">
      <c r="A2660" s="107">
        <v>203516.0</v>
      </c>
      <c r="B2660" s="108" t="s">
        <v>193</v>
      </c>
      <c r="C2660" s="115" t="s">
        <v>698</v>
      </c>
      <c r="D2660" s="100" t="str">
        <f t="shared" si="1"/>
        <v/>
      </c>
      <c r="E2660" s="100" t="str">
        <f t="shared" si="2"/>
        <v/>
      </c>
      <c r="F2660" s="100" t="str">
        <f t="shared" si="3"/>
        <v/>
      </c>
      <c r="G2660" s="151"/>
      <c r="H2660" s="160"/>
      <c r="I2660" s="157"/>
      <c r="J2660" s="161"/>
      <c r="L2660" s="94"/>
      <c r="M2660" s="159"/>
      <c r="N2660" s="94"/>
    </row>
    <row r="2661">
      <c r="A2661" s="107">
        <v>203516.0</v>
      </c>
      <c r="B2661" s="108" t="s">
        <v>243</v>
      </c>
      <c r="C2661" s="115" t="s">
        <v>698</v>
      </c>
      <c r="D2661" s="100" t="str">
        <f t="shared" si="1"/>
        <v/>
      </c>
      <c r="E2661" s="100" t="str">
        <f t="shared" si="2"/>
        <v/>
      </c>
      <c r="F2661" s="100" t="str">
        <f t="shared" si="3"/>
        <v/>
      </c>
      <c r="G2661" s="151"/>
      <c r="H2661" s="156"/>
      <c r="I2661" s="157"/>
      <c r="J2661" s="158"/>
      <c r="L2661" s="94"/>
      <c r="M2661" s="159"/>
      <c r="N2661" s="94"/>
    </row>
    <row r="2662">
      <c r="A2662" s="107">
        <v>203516.0</v>
      </c>
      <c r="B2662" s="108" t="s">
        <v>215</v>
      </c>
      <c r="C2662" s="115" t="s">
        <v>698</v>
      </c>
      <c r="D2662" s="100" t="str">
        <f t="shared" si="1"/>
        <v/>
      </c>
      <c r="E2662" s="100" t="str">
        <f t="shared" si="2"/>
        <v/>
      </c>
      <c r="F2662" s="100" t="str">
        <f t="shared" si="3"/>
        <v/>
      </c>
      <c r="G2662" s="151"/>
      <c r="H2662" s="160"/>
      <c r="I2662" s="157"/>
      <c r="J2662" s="161"/>
      <c r="L2662" s="94"/>
      <c r="M2662" s="159"/>
      <c r="N2662" s="94"/>
    </row>
    <row r="2663">
      <c r="A2663" s="107">
        <v>203517.0</v>
      </c>
      <c r="B2663" s="108" t="s">
        <v>85</v>
      </c>
      <c r="C2663" s="108" t="s">
        <v>699</v>
      </c>
      <c r="D2663" s="100" t="str">
        <f t="shared" si="1"/>
        <v/>
      </c>
      <c r="E2663" s="100" t="str">
        <f t="shared" si="2"/>
        <v/>
      </c>
      <c r="F2663" s="100" t="str">
        <f t="shared" si="3"/>
        <v/>
      </c>
      <c r="G2663" s="151"/>
      <c r="H2663" s="156"/>
      <c r="I2663" s="157"/>
      <c r="J2663" s="158"/>
      <c r="L2663" s="94"/>
      <c r="M2663" s="159"/>
      <c r="N2663" s="94"/>
    </row>
    <row r="2664">
      <c r="A2664" s="107">
        <v>203518.0</v>
      </c>
      <c r="B2664" s="108" t="s">
        <v>190</v>
      </c>
      <c r="C2664" s="108" t="s">
        <v>700</v>
      </c>
      <c r="D2664" s="100" t="str">
        <f t="shared" si="1"/>
        <v/>
      </c>
      <c r="E2664" s="100" t="str">
        <f t="shared" si="2"/>
        <v/>
      </c>
      <c r="F2664" s="100" t="str">
        <f t="shared" si="3"/>
        <v/>
      </c>
      <c r="G2664" s="151"/>
      <c r="H2664" s="160"/>
      <c r="I2664" s="157"/>
      <c r="J2664" s="161"/>
      <c r="L2664" s="94"/>
      <c r="M2664" s="159"/>
      <c r="N2664" s="94"/>
    </row>
    <row r="2665">
      <c r="A2665" s="107">
        <v>203518.0</v>
      </c>
      <c r="B2665" s="108" t="s">
        <v>191</v>
      </c>
      <c r="C2665" s="108" t="s">
        <v>700</v>
      </c>
      <c r="D2665" s="100" t="str">
        <f t="shared" si="1"/>
        <v/>
      </c>
      <c r="E2665" s="100" t="str">
        <f t="shared" si="2"/>
        <v/>
      </c>
      <c r="F2665" s="100" t="str">
        <f t="shared" si="3"/>
        <v/>
      </c>
      <c r="G2665" s="151"/>
      <c r="H2665" s="156"/>
      <c r="I2665" s="157"/>
      <c r="J2665" s="158"/>
      <c r="L2665" s="94"/>
      <c r="M2665" s="159"/>
      <c r="N2665" s="94"/>
    </row>
    <row r="2666">
      <c r="A2666" s="107">
        <v>203518.0</v>
      </c>
      <c r="B2666" s="108" t="s">
        <v>192</v>
      </c>
      <c r="C2666" s="108" t="s">
        <v>700</v>
      </c>
      <c r="D2666" s="100" t="str">
        <f t="shared" si="1"/>
        <v/>
      </c>
      <c r="E2666" s="100" t="str">
        <f t="shared" si="2"/>
        <v/>
      </c>
      <c r="F2666" s="100" t="str">
        <f t="shared" si="3"/>
        <v/>
      </c>
      <c r="G2666" s="151"/>
      <c r="H2666" s="160"/>
      <c r="I2666" s="157"/>
      <c r="J2666" s="161"/>
      <c r="L2666" s="94"/>
      <c r="M2666" s="159"/>
      <c r="N2666" s="94"/>
    </row>
    <row r="2667">
      <c r="A2667" s="107">
        <v>203519.0</v>
      </c>
      <c r="B2667" s="108" t="s">
        <v>85</v>
      </c>
      <c r="C2667" s="108" t="s">
        <v>701</v>
      </c>
      <c r="D2667" s="100" t="str">
        <f t="shared" si="1"/>
        <v/>
      </c>
      <c r="E2667" s="100" t="str">
        <f t="shared" si="2"/>
        <v/>
      </c>
      <c r="F2667" s="100" t="str">
        <f t="shared" si="3"/>
        <v/>
      </c>
      <c r="G2667" s="151"/>
      <c r="H2667" s="156"/>
      <c r="I2667" s="157"/>
      <c r="J2667" s="158"/>
      <c r="L2667" s="94"/>
      <c r="M2667" s="159"/>
      <c r="N2667" s="94"/>
    </row>
    <row r="2668">
      <c r="A2668" s="107">
        <v>203521.0</v>
      </c>
      <c r="B2668" s="108" t="s">
        <v>85</v>
      </c>
      <c r="C2668" s="108" t="s">
        <v>702</v>
      </c>
      <c r="D2668" s="100" t="str">
        <f t="shared" si="1"/>
        <v/>
      </c>
      <c r="E2668" s="100" t="str">
        <f t="shared" si="2"/>
        <v/>
      </c>
      <c r="F2668" s="100" t="str">
        <f t="shared" si="3"/>
        <v/>
      </c>
      <c r="G2668" s="151"/>
      <c r="H2668" s="160"/>
      <c r="I2668" s="157"/>
      <c r="J2668" s="161"/>
      <c r="L2668" s="94"/>
      <c r="M2668" s="159"/>
      <c r="N2668" s="94"/>
    </row>
    <row r="2669">
      <c r="A2669" s="107">
        <v>203521.0</v>
      </c>
      <c r="B2669" s="108" t="s">
        <v>90</v>
      </c>
      <c r="C2669" s="108" t="s">
        <v>702</v>
      </c>
      <c r="D2669" s="100" t="str">
        <f t="shared" si="1"/>
        <v/>
      </c>
      <c r="E2669" s="100" t="str">
        <f t="shared" si="2"/>
        <v/>
      </c>
      <c r="F2669" s="100" t="str">
        <f t="shared" si="3"/>
        <v/>
      </c>
      <c r="G2669" s="151"/>
      <c r="H2669" s="156"/>
      <c r="I2669" s="157"/>
      <c r="J2669" s="158"/>
      <c r="L2669" s="94"/>
      <c r="M2669" s="159"/>
      <c r="N2669" s="94"/>
    </row>
    <row r="2670">
      <c r="A2670" s="107">
        <v>203521.0</v>
      </c>
      <c r="B2670" s="108" t="s">
        <v>92</v>
      </c>
      <c r="C2670" s="108" t="s">
        <v>702</v>
      </c>
      <c r="D2670" s="100" t="str">
        <f t="shared" si="1"/>
        <v/>
      </c>
      <c r="E2670" s="100" t="str">
        <f t="shared" si="2"/>
        <v/>
      </c>
      <c r="F2670" s="100" t="str">
        <f t="shared" si="3"/>
        <v/>
      </c>
      <c r="G2670" s="151"/>
      <c r="H2670" s="160"/>
      <c r="I2670" s="157"/>
      <c r="J2670" s="161"/>
      <c r="L2670" s="94"/>
      <c r="M2670" s="159"/>
      <c r="N2670" s="94"/>
    </row>
    <row r="2671">
      <c r="A2671" s="107">
        <v>203521.0</v>
      </c>
      <c r="B2671" s="108" t="s">
        <v>190</v>
      </c>
      <c r="C2671" s="108" t="s">
        <v>702</v>
      </c>
      <c r="D2671" s="100" t="str">
        <f t="shared" si="1"/>
        <v/>
      </c>
      <c r="E2671" s="100" t="str">
        <f t="shared" si="2"/>
        <v/>
      </c>
      <c r="F2671" s="100" t="str">
        <f t="shared" si="3"/>
        <v/>
      </c>
      <c r="G2671" s="151"/>
      <c r="H2671" s="156"/>
      <c r="I2671" s="157"/>
      <c r="J2671" s="158"/>
      <c r="L2671" s="94"/>
      <c r="M2671" s="159"/>
      <c r="N2671" s="94"/>
    </row>
    <row r="2672">
      <c r="A2672" s="107">
        <v>203521.0</v>
      </c>
      <c r="B2672" s="108" t="s">
        <v>191</v>
      </c>
      <c r="C2672" s="108" t="s">
        <v>702</v>
      </c>
      <c r="D2672" s="100" t="str">
        <f t="shared" si="1"/>
        <v/>
      </c>
      <c r="E2672" s="100" t="str">
        <f t="shared" si="2"/>
        <v/>
      </c>
      <c r="F2672" s="100" t="str">
        <f t="shared" si="3"/>
        <v/>
      </c>
      <c r="G2672" s="151"/>
      <c r="H2672" s="160"/>
      <c r="I2672" s="157"/>
      <c r="J2672" s="161"/>
      <c r="L2672" s="94"/>
      <c r="M2672" s="159"/>
      <c r="N2672" s="94"/>
    </row>
    <row r="2673">
      <c r="A2673" s="107">
        <v>203521.0</v>
      </c>
      <c r="B2673" s="108" t="s">
        <v>192</v>
      </c>
      <c r="C2673" s="108" t="s">
        <v>702</v>
      </c>
      <c r="D2673" s="100" t="str">
        <f t="shared" si="1"/>
        <v/>
      </c>
      <c r="E2673" s="100" t="str">
        <f t="shared" si="2"/>
        <v/>
      </c>
      <c r="F2673" s="100" t="str">
        <f t="shared" si="3"/>
        <v/>
      </c>
      <c r="G2673" s="151"/>
      <c r="H2673" s="156"/>
      <c r="I2673" s="157"/>
      <c r="J2673" s="158"/>
      <c r="L2673" s="94"/>
      <c r="M2673" s="159"/>
      <c r="N2673" s="94"/>
    </row>
    <row r="2674">
      <c r="A2674" s="107">
        <v>203521.0</v>
      </c>
      <c r="B2674" s="108" t="s">
        <v>193</v>
      </c>
      <c r="C2674" s="108" t="s">
        <v>702</v>
      </c>
      <c r="D2674" s="100" t="str">
        <f t="shared" si="1"/>
        <v/>
      </c>
      <c r="E2674" s="100" t="str">
        <f t="shared" si="2"/>
        <v/>
      </c>
      <c r="F2674" s="100" t="str">
        <f t="shared" si="3"/>
        <v/>
      </c>
      <c r="G2674" s="151"/>
      <c r="H2674" s="160"/>
      <c r="I2674" s="157"/>
      <c r="J2674" s="161"/>
      <c r="L2674" s="94"/>
      <c r="M2674" s="159"/>
      <c r="N2674" s="94"/>
    </row>
    <row r="2675">
      <c r="A2675" s="107">
        <v>203521.0</v>
      </c>
      <c r="B2675" s="108" t="s">
        <v>243</v>
      </c>
      <c r="C2675" s="108" t="s">
        <v>702</v>
      </c>
      <c r="D2675" s="100" t="str">
        <f t="shared" si="1"/>
        <v/>
      </c>
      <c r="E2675" s="100" t="str">
        <f t="shared" si="2"/>
        <v/>
      </c>
      <c r="F2675" s="100" t="str">
        <f t="shared" si="3"/>
        <v/>
      </c>
      <c r="G2675" s="151"/>
      <c r="H2675" s="156"/>
      <c r="I2675" s="157"/>
      <c r="J2675" s="158"/>
      <c r="L2675" s="94"/>
      <c r="M2675" s="159"/>
      <c r="N2675" s="94"/>
    </row>
    <row r="2676">
      <c r="A2676" s="107">
        <v>203521.0</v>
      </c>
      <c r="B2676" s="108" t="s">
        <v>244</v>
      </c>
      <c r="C2676" s="108" t="s">
        <v>702</v>
      </c>
      <c r="D2676" s="100" t="str">
        <f t="shared" si="1"/>
        <v/>
      </c>
      <c r="E2676" s="100" t="str">
        <f t="shared" si="2"/>
        <v/>
      </c>
      <c r="F2676" s="100" t="str">
        <f t="shared" si="3"/>
        <v/>
      </c>
      <c r="G2676" s="151"/>
      <c r="H2676" s="160"/>
      <c r="I2676" s="157"/>
      <c r="J2676" s="161"/>
      <c r="L2676" s="94"/>
      <c r="M2676" s="159"/>
      <c r="N2676" s="94"/>
    </row>
    <row r="2677">
      <c r="A2677" s="107">
        <v>203524.0</v>
      </c>
      <c r="B2677" s="108" t="s">
        <v>85</v>
      </c>
      <c r="C2677" s="108" t="s">
        <v>703</v>
      </c>
      <c r="D2677" s="100" t="str">
        <f t="shared" si="1"/>
        <v/>
      </c>
      <c r="E2677" s="100" t="str">
        <f t="shared" si="2"/>
        <v/>
      </c>
      <c r="F2677" s="100" t="str">
        <f t="shared" si="3"/>
        <v/>
      </c>
      <c r="G2677" s="151"/>
      <c r="H2677" s="156"/>
      <c r="I2677" s="157"/>
      <c r="J2677" s="158"/>
      <c r="L2677" s="94"/>
      <c r="M2677" s="159"/>
      <c r="N2677" s="94"/>
    </row>
    <row r="2678">
      <c r="A2678" s="107">
        <v>203524.0</v>
      </c>
      <c r="B2678" s="108" t="s">
        <v>90</v>
      </c>
      <c r="C2678" s="108" t="s">
        <v>703</v>
      </c>
      <c r="D2678" s="100" t="str">
        <f t="shared" si="1"/>
        <v/>
      </c>
      <c r="E2678" s="100" t="str">
        <f t="shared" si="2"/>
        <v/>
      </c>
      <c r="F2678" s="100" t="str">
        <f t="shared" si="3"/>
        <v/>
      </c>
      <c r="G2678" s="151"/>
      <c r="H2678" s="160"/>
      <c r="I2678" s="157"/>
      <c r="J2678" s="161"/>
      <c r="L2678" s="94"/>
      <c r="M2678" s="159"/>
      <c r="N2678" s="94"/>
    </row>
    <row r="2679">
      <c r="A2679" s="107">
        <v>203524.0</v>
      </c>
      <c r="B2679" s="108" t="s">
        <v>92</v>
      </c>
      <c r="C2679" s="108" t="s">
        <v>703</v>
      </c>
      <c r="D2679" s="100" t="str">
        <f t="shared" si="1"/>
        <v/>
      </c>
      <c r="E2679" s="100" t="str">
        <f t="shared" si="2"/>
        <v/>
      </c>
      <c r="F2679" s="100" t="str">
        <f t="shared" si="3"/>
        <v/>
      </c>
      <c r="G2679" s="151"/>
      <c r="H2679" s="156"/>
      <c r="I2679" s="157"/>
      <c r="J2679" s="158"/>
      <c r="L2679" s="94"/>
      <c r="M2679" s="159"/>
      <c r="N2679" s="94"/>
    </row>
    <row r="2680">
      <c r="A2680" s="107">
        <v>203524.0</v>
      </c>
      <c r="B2680" s="108" t="s">
        <v>190</v>
      </c>
      <c r="C2680" s="108" t="s">
        <v>703</v>
      </c>
      <c r="D2680" s="100" t="str">
        <f t="shared" si="1"/>
        <v/>
      </c>
      <c r="E2680" s="100" t="str">
        <f t="shared" si="2"/>
        <v/>
      </c>
      <c r="F2680" s="100" t="str">
        <f t="shared" si="3"/>
        <v/>
      </c>
      <c r="G2680" s="151"/>
      <c r="H2680" s="160"/>
      <c r="I2680" s="157"/>
      <c r="J2680" s="161"/>
      <c r="L2680" s="94"/>
      <c r="M2680" s="159"/>
      <c r="N2680" s="94"/>
    </row>
    <row r="2681">
      <c r="A2681" s="107">
        <v>203524.0</v>
      </c>
      <c r="B2681" s="108" t="s">
        <v>191</v>
      </c>
      <c r="C2681" s="108" t="s">
        <v>703</v>
      </c>
      <c r="D2681" s="100" t="str">
        <f t="shared" si="1"/>
        <v/>
      </c>
      <c r="E2681" s="100" t="str">
        <f t="shared" si="2"/>
        <v/>
      </c>
      <c r="F2681" s="100" t="str">
        <f t="shared" si="3"/>
        <v/>
      </c>
      <c r="G2681" s="151"/>
      <c r="H2681" s="156"/>
      <c r="I2681" s="157"/>
      <c r="J2681" s="158"/>
      <c r="L2681" s="94"/>
      <c r="M2681" s="159"/>
      <c r="N2681" s="94"/>
    </row>
    <row r="2682">
      <c r="A2682" s="107">
        <v>203524.0</v>
      </c>
      <c r="B2682" s="108" t="s">
        <v>192</v>
      </c>
      <c r="C2682" s="108" t="s">
        <v>703</v>
      </c>
      <c r="D2682" s="100" t="str">
        <f t="shared" si="1"/>
        <v/>
      </c>
      <c r="E2682" s="100" t="str">
        <f t="shared" si="2"/>
        <v/>
      </c>
      <c r="F2682" s="100" t="str">
        <f t="shared" si="3"/>
        <v/>
      </c>
      <c r="G2682" s="151"/>
      <c r="H2682" s="160"/>
      <c r="I2682" s="157"/>
      <c r="J2682" s="161"/>
      <c r="L2682" s="94"/>
      <c r="M2682" s="159"/>
      <c r="N2682" s="94"/>
    </row>
    <row r="2683">
      <c r="A2683" s="107">
        <v>203524.0</v>
      </c>
      <c r="B2683" s="108" t="s">
        <v>193</v>
      </c>
      <c r="C2683" s="108" t="s">
        <v>703</v>
      </c>
      <c r="D2683" s="100" t="str">
        <f t="shared" si="1"/>
        <v/>
      </c>
      <c r="E2683" s="100" t="str">
        <f t="shared" si="2"/>
        <v/>
      </c>
      <c r="F2683" s="100" t="str">
        <f t="shared" si="3"/>
        <v/>
      </c>
      <c r="G2683" s="151"/>
      <c r="H2683" s="156"/>
      <c r="I2683" s="157"/>
      <c r="J2683" s="158"/>
      <c r="L2683" s="94"/>
      <c r="M2683" s="159"/>
      <c r="N2683" s="94"/>
    </row>
    <row r="2684">
      <c r="A2684" s="107">
        <v>203524.0</v>
      </c>
      <c r="B2684" s="108" t="s">
        <v>243</v>
      </c>
      <c r="C2684" s="108" t="s">
        <v>703</v>
      </c>
      <c r="D2684" s="100" t="str">
        <f t="shared" si="1"/>
        <v/>
      </c>
      <c r="E2684" s="100" t="str">
        <f t="shared" si="2"/>
        <v/>
      </c>
      <c r="F2684" s="100" t="str">
        <f t="shared" si="3"/>
        <v/>
      </c>
      <c r="G2684" s="151"/>
      <c r="H2684" s="160"/>
      <c r="I2684" s="157"/>
      <c r="J2684" s="161"/>
      <c r="L2684" s="94"/>
      <c r="M2684" s="159"/>
      <c r="N2684" s="94"/>
    </row>
    <row r="2685">
      <c r="A2685" s="107">
        <v>203524.0</v>
      </c>
      <c r="B2685" s="108" t="s">
        <v>215</v>
      </c>
      <c r="C2685" s="108" t="s">
        <v>703</v>
      </c>
      <c r="D2685" s="100" t="str">
        <f t="shared" si="1"/>
        <v/>
      </c>
      <c r="E2685" s="100" t="str">
        <f t="shared" si="2"/>
        <v/>
      </c>
      <c r="F2685" s="100" t="str">
        <f t="shared" si="3"/>
        <v/>
      </c>
      <c r="G2685" s="151"/>
      <c r="H2685" s="156"/>
      <c r="I2685" s="157"/>
      <c r="J2685" s="158"/>
      <c r="L2685" s="94"/>
      <c r="M2685" s="159"/>
      <c r="N2685" s="94"/>
    </row>
    <row r="2686">
      <c r="A2686" s="107">
        <v>203526.0</v>
      </c>
      <c r="B2686" s="108" t="s">
        <v>92</v>
      </c>
      <c r="C2686" s="108" t="s">
        <v>704</v>
      </c>
      <c r="D2686" s="100" t="str">
        <f t="shared" si="1"/>
        <v/>
      </c>
      <c r="E2686" s="100" t="str">
        <f t="shared" si="2"/>
        <v/>
      </c>
      <c r="F2686" s="100" t="str">
        <f t="shared" si="3"/>
        <v/>
      </c>
      <c r="G2686" s="151"/>
      <c r="H2686" s="160"/>
      <c r="I2686" s="157"/>
      <c r="J2686" s="161"/>
      <c r="L2686" s="94"/>
      <c r="M2686" s="159"/>
      <c r="N2686" s="94"/>
    </row>
    <row r="2687">
      <c r="A2687" s="107">
        <v>203526.0</v>
      </c>
      <c r="B2687" s="108" t="s">
        <v>190</v>
      </c>
      <c r="C2687" s="108" t="s">
        <v>704</v>
      </c>
      <c r="D2687" s="100" t="str">
        <f t="shared" si="1"/>
        <v/>
      </c>
      <c r="E2687" s="100" t="str">
        <f t="shared" si="2"/>
        <v/>
      </c>
      <c r="F2687" s="100" t="str">
        <f t="shared" si="3"/>
        <v/>
      </c>
      <c r="G2687" s="151"/>
      <c r="H2687" s="156"/>
      <c r="I2687" s="157"/>
      <c r="J2687" s="158"/>
      <c r="L2687" s="94"/>
      <c r="M2687" s="159"/>
      <c r="N2687" s="94"/>
    </row>
    <row r="2688">
      <c r="A2688" s="107">
        <v>203526.0</v>
      </c>
      <c r="B2688" s="108" t="s">
        <v>191</v>
      </c>
      <c r="C2688" s="108" t="s">
        <v>704</v>
      </c>
      <c r="D2688" s="100" t="str">
        <f t="shared" si="1"/>
        <v/>
      </c>
      <c r="E2688" s="100" t="str">
        <f t="shared" si="2"/>
        <v/>
      </c>
      <c r="F2688" s="100" t="str">
        <f t="shared" si="3"/>
        <v/>
      </c>
      <c r="G2688" s="151"/>
      <c r="H2688" s="160"/>
      <c r="I2688" s="157"/>
      <c r="J2688" s="161"/>
      <c r="L2688" s="94"/>
      <c r="M2688" s="159"/>
      <c r="N2688" s="94"/>
    </row>
    <row r="2689">
      <c r="A2689" s="107">
        <v>203526.0</v>
      </c>
      <c r="B2689" s="108" t="s">
        <v>192</v>
      </c>
      <c r="C2689" s="108" t="s">
        <v>704</v>
      </c>
      <c r="D2689" s="100" t="str">
        <f t="shared" si="1"/>
        <v/>
      </c>
      <c r="E2689" s="100" t="str">
        <f t="shared" si="2"/>
        <v/>
      </c>
      <c r="F2689" s="100" t="str">
        <f t="shared" si="3"/>
        <v/>
      </c>
      <c r="G2689" s="151"/>
      <c r="H2689" s="156"/>
      <c r="I2689" s="157"/>
      <c r="J2689" s="158"/>
      <c r="L2689" s="94"/>
      <c r="M2689" s="159"/>
      <c r="N2689" s="94"/>
    </row>
    <row r="2690">
      <c r="A2690" s="107">
        <v>203526.0</v>
      </c>
      <c r="B2690" s="108" t="s">
        <v>193</v>
      </c>
      <c r="C2690" s="108" t="s">
        <v>704</v>
      </c>
      <c r="D2690" s="100" t="str">
        <f t="shared" si="1"/>
        <v/>
      </c>
      <c r="E2690" s="100" t="str">
        <f t="shared" si="2"/>
        <v/>
      </c>
      <c r="F2690" s="100" t="str">
        <f t="shared" si="3"/>
        <v/>
      </c>
      <c r="G2690" s="151"/>
      <c r="H2690" s="160"/>
      <c r="I2690" s="157"/>
      <c r="J2690" s="161"/>
      <c r="L2690" s="94"/>
      <c r="M2690" s="159"/>
      <c r="N2690" s="94"/>
    </row>
    <row r="2691">
      <c r="A2691" s="107">
        <v>203526.0</v>
      </c>
      <c r="B2691" s="108" t="s">
        <v>243</v>
      </c>
      <c r="C2691" s="108" t="s">
        <v>704</v>
      </c>
      <c r="D2691" s="100" t="str">
        <f t="shared" si="1"/>
        <v/>
      </c>
      <c r="E2691" s="100" t="str">
        <f t="shared" si="2"/>
        <v/>
      </c>
      <c r="F2691" s="100" t="str">
        <f t="shared" si="3"/>
        <v/>
      </c>
      <c r="G2691" s="151"/>
      <c r="H2691" s="156"/>
      <c r="I2691" s="157"/>
      <c r="J2691" s="158"/>
      <c r="L2691" s="94"/>
      <c r="M2691" s="159"/>
      <c r="N2691" s="94"/>
    </row>
    <row r="2692">
      <c r="A2692" s="107">
        <v>203526.0</v>
      </c>
      <c r="B2692" s="108" t="s">
        <v>215</v>
      </c>
      <c r="C2692" s="108" t="s">
        <v>704</v>
      </c>
      <c r="D2692" s="100" t="str">
        <f t="shared" si="1"/>
        <v/>
      </c>
      <c r="E2692" s="100" t="str">
        <f t="shared" si="2"/>
        <v/>
      </c>
      <c r="F2692" s="100" t="str">
        <f t="shared" si="3"/>
        <v/>
      </c>
      <c r="G2692" s="151"/>
      <c r="H2692" s="160"/>
      <c r="I2692" s="157"/>
      <c r="J2692" s="161"/>
      <c r="L2692" s="94"/>
      <c r="M2692" s="159"/>
      <c r="N2692" s="94"/>
    </row>
    <row r="2693">
      <c r="A2693" s="107">
        <v>203526.0</v>
      </c>
      <c r="B2693" s="108" t="s">
        <v>244</v>
      </c>
      <c r="C2693" s="108" t="s">
        <v>704</v>
      </c>
      <c r="D2693" s="100" t="str">
        <f t="shared" si="1"/>
        <v/>
      </c>
      <c r="E2693" s="100" t="str">
        <f t="shared" si="2"/>
        <v/>
      </c>
      <c r="F2693" s="100" t="str">
        <f t="shared" si="3"/>
        <v/>
      </c>
      <c r="G2693" s="151"/>
      <c r="H2693" s="156"/>
      <c r="I2693" s="157"/>
      <c r="J2693" s="158"/>
      <c r="L2693" s="94"/>
      <c r="M2693" s="159"/>
      <c r="N2693" s="94"/>
    </row>
    <row r="2694">
      <c r="A2694" s="107">
        <v>203527.0</v>
      </c>
      <c r="B2694" s="108" t="s">
        <v>85</v>
      </c>
      <c r="C2694" s="108" t="s">
        <v>705</v>
      </c>
      <c r="D2694" s="100" t="str">
        <f t="shared" si="1"/>
        <v/>
      </c>
      <c r="E2694" s="100" t="str">
        <f t="shared" si="2"/>
        <v/>
      </c>
      <c r="F2694" s="100" t="str">
        <f t="shared" si="3"/>
        <v/>
      </c>
      <c r="G2694" s="151"/>
      <c r="H2694" s="160"/>
      <c r="I2694" s="157"/>
      <c r="J2694" s="161"/>
      <c r="L2694" s="94"/>
      <c r="M2694" s="159"/>
      <c r="N2694" s="94"/>
    </row>
    <row r="2695">
      <c r="A2695" s="107">
        <v>203527.0</v>
      </c>
      <c r="B2695" s="108" t="s">
        <v>90</v>
      </c>
      <c r="C2695" s="108" t="s">
        <v>705</v>
      </c>
      <c r="D2695" s="100" t="str">
        <f t="shared" si="1"/>
        <v/>
      </c>
      <c r="E2695" s="100" t="str">
        <f t="shared" si="2"/>
        <v/>
      </c>
      <c r="F2695" s="100" t="str">
        <f t="shared" si="3"/>
        <v/>
      </c>
      <c r="G2695" s="151"/>
      <c r="H2695" s="156"/>
      <c r="I2695" s="157"/>
      <c r="J2695" s="158"/>
      <c r="L2695" s="94"/>
      <c r="M2695" s="159"/>
      <c r="N2695" s="94"/>
    </row>
    <row r="2696">
      <c r="A2696" s="107">
        <v>203527.0</v>
      </c>
      <c r="B2696" s="108" t="s">
        <v>92</v>
      </c>
      <c r="C2696" s="108" t="s">
        <v>705</v>
      </c>
      <c r="D2696" s="100" t="str">
        <f t="shared" si="1"/>
        <v/>
      </c>
      <c r="E2696" s="100" t="str">
        <f t="shared" si="2"/>
        <v/>
      </c>
      <c r="F2696" s="100" t="str">
        <f t="shared" si="3"/>
        <v/>
      </c>
      <c r="G2696" s="151"/>
      <c r="H2696" s="160"/>
      <c r="I2696" s="157"/>
      <c r="J2696" s="161"/>
      <c r="L2696" s="94"/>
      <c r="M2696" s="159"/>
      <c r="N2696" s="94"/>
    </row>
    <row r="2697">
      <c r="A2697" s="107">
        <v>203527.0</v>
      </c>
      <c r="B2697" s="108" t="s">
        <v>190</v>
      </c>
      <c r="C2697" s="108" t="s">
        <v>705</v>
      </c>
      <c r="D2697" s="100" t="str">
        <f t="shared" si="1"/>
        <v/>
      </c>
      <c r="E2697" s="100" t="str">
        <f t="shared" si="2"/>
        <v/>
      </c>
      <c r="F2697" s="100" t="str">
        <f t="shared" si="3"/>
        <v/>
      </c>
      <c r="G2697" s="151"/>
      <c r="H2697" s="156"/>
      <c r="I2697" s="157"/>
      <c r="J2697" s="158"/>
      <c r="L2697" s="94"/>
      <c r="M2697" s="159"/>
      <c r="N2697" s="94"/>
    </row>
    <row r="2698">
      <c r="A2698" s="107">
        <v>203530.0</v>
      </c>
      <c r="B2698" s="108" t="s">
        <v>90</v>
      </c>
      <c r="C2698" s="108" t="s">
        <v>706</v>
      </c>
      <c r="D2698" s="100" t="str">
        <f t="shared" si="1"/>
        <v/>
      </c>
      <c r="E2698" s="100" t="str">
        <f t="shared" si="2"/>
        <v/>
      </c>
      <c r="F2698" s="100" t="str">
        <f t="shared" si="3"/>
        <v/>
      </c>
      <c r="G2698" s="151"/>
      <c r="H2698" s="160"/>
      <c r="I2698" s="157"/>
      <c r="J2698" s="161"/>
      <c r="L2698" s="94"/>
      <c r="M2698" s="159"/>
      <c r="N2698" s="94"/>
    </row>
    <row r="2699">
      <c r="A2699" s="107">
        <v>203530.0</v>
      </c>
      <c r="B2699" s="108" t="s">
        <v>92</v>
      </c>
      <c r="C2699" s="108" t="s">
        <v>706</v>
      </c>
      <c r="D2699" s="100" t="str">
        <f t="shared" si="1"/>
        <v/>
      </c>
      <c r="E2699" s="100" t="str">
        <f t="shared" si="2"/>
        <v/>
      </c>
      <c r="F2699" s="100" t="str">
        <f t="shared" si="3"/>
        <v/>
      </c>
      <c r="G2699" s="151"/>
      <c r="H2699" s="156"/>
      <c r="I2699" s="157"/>
      <c r="J2699" s="158"/>
      <c r="L2699" s="94"/>
      <c r="M2699" s="159"/>
      <c r="N2699" s="94"/>
    </row>
    <row r="2700">
      <c r="A2700" s="107">
        <v>203530.0</v>
      </c>
      <c r="B2700" s="108" t="s">
        <v>190</v>
      </c>
      <c r="C2700" s="108" t="s">
        <v>706</v>
      </c>
      <c r="D2700" s="100" t="str">
        <f t="shared" si="1"/>
        <v/>
      </c>
      <c r="E2700" s="100" t="str">
        <f t="shared" si="2"/>
        <v/>
      </c>
      <c r="F2700" s="100" t="str">
        <f t="shared" si="3"/>
        <v/>
      </c>
      <c r="G2700" s="151"/>
      <c r="H2700" s="160"/>
      <c r="I2700" s="157"/>
      <c r="J2700" s="161"/>
      <c r="L2700" s="94"/>
      <c r="M2700" s="159"/>
      <c r="N2700" s="94"/>
    </row>
    <row r="2701">
      <c r="A2701" s="107">
        <v>203530.0</v>
      </c>
      <c r="B2701" s="108" t="s">
        <v>191</v>
      </c>
      <c r="C2701" s="108" t="s">
        <v>706</v>
      </c>
      <c r="D2701" s="100" t="str">
        <f t="shared" si="1"/>
        <v/>
      </c>
      <c r="E2701" s="100" t="str">
        <f t="shared" si="2"/>
        <v/>
      </c>
      <c r="F2701" s="100" t="str">
        <f t="shared" si="3"/>
        <v/>
      </c>
      <c r="G2701" s="151"/>
      <c r="H2701" s="156"/>
      <c r="I2701" s="157"/>
      <c r="J2701" s="158"/>
      <c r="L2701" s="94"/>
      <c r="M2701" s="159"/>
      <c r="N2701" s="94"/>
    </row>
    <row r="2702">
      <c r="A2702" s="107">
        <v>203539.0</v>
      </c>
      <c r="B2702" s="108" t="s">
        <v>85</v>
      </c>
      <c r="C2702" s="108" t="s">
        <v>707</v>
      </c>
      <c r="D2702" s="100" t="str">
        <f t="shared" si="1"/>
        <v/>
      </c>
      <c r="E2702" s="100" t="str">
        <f t="shared" si="2"/>
        <v/>
      </c>
      <c r="F2702" s="100" t="str">
        <f t="shared" si="3"/>
        <v/>
      </c>
      <c r="G2702" s="151"/>
      <c r="H2702" s="160"/>
      <c r="I2702" s="157"/>
      <c r="J2702" s="161"/>
      <c r="L2702" s="94"/>
      <c r="M2702" s="159"/>
      <c r="N2702" s="94"/>
    </row>
    <row r="2703">
      <c r="A2703" s="107">
        <v>203539.0</v>
      </c>
      <c r="B2703" s="108" t="s">
        <v>90</v>
      </c>
      <c r="C2703" s="108" t="s">
        <v>707</v>
      </c>
      <c r="D2703" s="100" t="str">
        <f t="shared" si="1"/>
        <v/>
      </c>
      <c r="E2703" s="100" t="str">
        <f t="shared" si="2"/>
        <v/>
      </c>
      <c r="F2703" s="100" t="str">
        <f t="shared" si="3"/>
        <v/>
      </c>
      <c r="G2703" s="151"/>
      <c r="H2703" s="156"/>
      <c r="I2703" s="157"/>
      <c r="J2703" s="158"/>
      <c r="L2703" s="94"/>
      <c r="M2703" s="159"/>
      <c r="N2703" s="94"/>
    </row>
    <row r="2704">
      <c r="A2704" s="107">
        <v>203540.0</v>
      </c>
      <c r="B2704" s="108" t="s">
        <v>85</v>
      </c>
      <c r="C2704" s="108" t="s">
        <v>708</v>
      </c>
      <c r="D2704" s="100" t="str">
        <f t="shared" si="1"/>
        <v/>
      </c>
      <c r="E2704" s="100" t="str">
        <f t="shared" si="2"/>
        <v/>
      </c>
      <c r="F2704" s="100" t="str">
        <f t="shared" si="3"/>
        <v/>
      </c>
      <c r="G2704" s="151"/>
      <c r="H2704" s="160"/>
      <c r="I2704" s="157"/>
      <c r="J2704" s="161"/>
      <c r="L2704" s="94"/>
      <c r="M2704" s="159"/>
      <c r="N2704" s="94"/>
    </row>
    <row r="2705">
      <c r="A2705" s="107">
        <v>203540.0</v>
      </c>
      <c r="B2705" s="108" t="s">
        <v>90</v>
      </c>
      <c r="C2705" s="108" t="s">
        <v>708</v>
      </c>
      <c r="D2705" s="100" t="str">
        <f t="shared" si="1"/>
        <v/>
      </c>
      <c r="E2705" s="100" t="str">
        <f t="shared" si="2"/>
        <v/>
      </c>
      <c r="F2705" s="100" t="str">
        <f t="shared" si="3"/>
        <v/>
      </c>
      <c r="G2705" s="151"/>
      <c r="H2705" s="156"/>
      <c r="I2705" s="157"/>
      <c r="J2705" s="158"/>
      <c r="L2705" s="94"/>
      <c r="M2705" s="159"/>
      <c r="N2705" s="94"/>
    </row>
    <row r="2706">
      <c r="A2706" s="107">
        <v>203543.0</v>
      </c>
      <c r="B2706" s="108" t="s">
        <v>85</v>
      </c>
      <c r="C2706" s="108" t="s">
        <v>709</v>
      </c>
      <c r="D2706" s="100" t="str">
        <f t="shared" si="1"/>
        <v/>
      </c>
      <c r="E2706" s="100" t="str">
        <f t="shared" si="2"/>
        <v/>
      </c>
      <c r="F2706" s="100" t="str">
        <f t="shared" si="3"/>
        <v/>
      </c>
      <c r="G2706" s="151"/>
      <c r="H2706" s="160"/>
      <c r="I2706" s="157"/>
      <c r="J2706" s="161"/>
      <c r="L2706" s="94"/>
      <c r="M2706" s="159"/>
      <c r="N2706" s="94"/>
    </row>
    <row r="2707">
      <c r="A2707" s="107">
        <v>203544.0</v>
      </c>
      <c r="B2707" s="108" t="s">
        <v>85</v>
      </c>
      <c r="C2707" s="108" t="s">
        <v>710</v>
      </c>
      <c r="D2707" s="100" t="str">
        <f t="shared" si="1"/>
        <v/>
      </c>
      <c r="E2707" s="100" t="str">
        <f t="shared" si="2"/>
        <v/>
      </c>
      <c r="F2707" s="100" t="str">
        <f t="shared" si="3"/>
        <v/>
      </c>
      <c r="G2707" s="151"/>
      <c r="H2707" s="156"/>
      <c r="I2707" s="157"/>
      <c r="J2707" s="158"/>
      <c r="L2707" s="94"/>
      <c r="M2707" s="159"/>
      <c r="N2707" s="94"/>
    </row>
    <row r="2708">
      <c r="A2708" s="107">
        <v>203544.0</v>
      </c>
      <c r="B2708" s="108" t="s">
        <v>90</v>
      </c>
      <c r="C2708" s="108" t="s">
        <v>710</v>
      </c>
      <c r="D2708" s="100" t="str">
        <f t="shared" si="1"/>
        <v/>
      </c>
      <c r="E2708" s="100" t="str">
        <f t="shared" si="2"/>
        <v/>
      </c>
      <c r="F2708" s="100" t="str">
        <f t="shared" si="3"/>
        <v/>
      </c>
      <c r="G2708" s="151"/>
      <c r="H2708" s="160"/>
      <c r="I2708" s="157"/>
      <c r="J2708" s="161"/>
      <c r="L2708" s="94"/>
      <c r="M2708" s="159"/>
      <c r="N2708" s="94"/>
    </row>
    <row r="2709">
      <c r="A2709" s="107">
        <v>203545.0</v>
      </c>
      <c r="B2709" s="108" t="s">
        <v>85</v>
      </c>
      <c r="C2709" s="108" t="s">
        <v>711</v>
      </c>
      <c r="D2709" s="100" t="str">
        <f t="shared" si="1"/>
        <v/>
      </c>
      <c r="E2709" s="100" t="str">
        <f t="shared" si="2"/>
        <v/>
      </c>
      <c r="F2709" s="100" t="str">
        <f t="shared" si="3"/>
        <v/>
      </c>
      <c r="G2709" s="151"/>
      <c r="H2709" s="156"/>
      <c r="I2709" s="157"/>
      <c r="J2709" s="158"/>
      <c r="L2709" s="94"/>
      <c r="M2709" s="159"/>
      <c r="N2709" s="94"/>
    </row>
    <row r="2710">
      <c r="A2710" s="107">
        <v>203545.0</v>
      </c>
      <c r="B2710" s="108" t="s">
        <v>90</v>
      </c>
      <c r="C2710" s="108" t="s">
        <v>711</v>
      </c>
      <c r="D2710" s="100" t="str">
        <f t="shared" si="1"/>
        <v/>
      </c>
      <c r="E2710" s="100" t="str">
        <f t="shared" si="2"/>
        <v/>
      </c>
      <c r="F2710" s="100" t="str">
        <f t="shared" si="3"/>
        <v/>
      </c>
      <c r="G2710" s="151"/>
      <c r="H2710" s="160"/>
      <c r="I2710" s="157"/>
      <c r="J2710" s="161"/>
      <c r="L2710" s="94"/>
      <c r="M2710" s="159"/>
      <c r="N2710" s="94"/>
    </row>
    <row r="2711">
      <c r="A2711" s="107">
        <v>203546.0</v>
      </c>
      <c r="B2711" s="108" t="s">
        <v>85</v>
      </c>
      <c r="C2711" s="108" t="s">
        <v>712</v>
      </c>
      <c r="D2711" s="100" t="str">
        <f t="shared" si="1"/>
        <v/>
      </c>
      <c r="E2711" s="100" t="str">
        <f t="shared" si="2"/>
        <v/>
      </c>
      <c r="F2711" s="100" t="str">
        <f t="shared" si="3"/>
        <v/>
      </c>
      <c r="G2711" s="151"/>
      <c r="H2711" s="156"/>
      <c r="I2711" s="157"/>
      <c r="J2711" s="158"/>
      <c r="L2711" s="94"/>
      <c r="M2711" s="159"/>
      <c r="N2711" s="94"/>
    </row>
    <row r="2712">
      <c r="A2712" s="107">
        <v>203546.0</v>
      </c>
      <c r="B2712" s="108" t="s">
        <v>90</v>
      </c>
      <c r="C2712" s="108" t="s">
        <v>712</v>
      </c>
      <c r="D2712" s="100" t="str">
        <f t="shared" si="1"/>
        <v/>
      </c>
      <c r="E2712" s="100" t="str">
        <f t="shared" si="2"/>
        <v/>
      </c>
      <c r="F2712" s="100" t="str">
        <f t="shared" si="3"/>
        <v/>
      </c>
      <c r="G2712" s="151"/>
      <c r="H2712" s="160"/>
      <c r="I2712" s="157"/>
      <c r="J2712" s="161"/>
      <c r="L2712" s="94"/>
      <c r="M2712" s="159"/>
      <c r="N2712" s="94"/>
    </row>
    <row r="2713">
      <c r="A2713" s="107">
        <v>203546.0</v>
      </c>
      <c r="B2713" s="108" t="s">
        <v>92</v>
      </c>
      <c r="C2713" s="108" t="s">
        <v>712</v>
      </c>
      <c r="D2713" s="100" t="str">
        <f t="shared" si="1"/>
        <v/>
      </c>
      <c r="E2713" s="100" t="str">
        <f t="shared" si="2"/>
        <v/>
      </c>
      <c r="F2713" s="100" t="str">
        <f t="shared" si="3"/>
        <v/>
      </c>
      <c r="G2713" s="151"/>
      <c r="H2713" s="156"/>
      <c r="I2713" s="157"/>
      <c r="J2713" s="158"/>
      <c r="L2713" s="94"/>
      <c r="M2713" s="159"/>
      <c r="N2713" s="94"/>
    </row>
    <row r="2714">
      <c r="A2714" s="107">
        <v>203546.0</v>
      </c>
      <c r="B2714" s="108" t="s">
        <v>190</v>
      </c>
      <c r="C2714" s="108" t="s">
        <v>712</v>
      </c>
      <c r="D2714" s="100" t="str">
        <f t="shared" si="1"/>
        <v/>
      </c>
      <c r="E2714" s="100" t="str">
        <f t="shared" si="2"/>
        <v/>
      </c>
      <c r="F2714" s="100" t="str">
        <f t="shared" si="3"/>
        <v/>
      </c>
      <c r="G2714" s="151"/>
      <c r="H2714" s="160"/>
      <c r="I2714" s="157"/>
      <c r="J2714" s="161"/>
      <c r="L2714" s="94"/>
      <c r="M2714" s="159"/>
      <c r="N2714" s="94"/>
    </row>
    <row r="2715">
      <c r="A2715" s="107">
        <v>203546.0</v>
      </c>
      <c r="B2715" s="108" t="s">
        <v>191</v>
      </c>
      <c r="C2715" s="108" t="s">
        <v>712</v>
      </c>
      <c r="D2715" s="100" t="str">
        <f t="shared" si="1"/>
        <v/>
      </c>
      <c r="E2715" s="100" t="str">
        <f t="shared" si="2"/>
        <v/>
      </c>
      <c r="F2715" s="100" t="str">
        <f t="shared" si="3"/>
        <v/>
      </c>
      <c r="G2715" s="151"/>
      <c r="H2715" s="156"/>
      <c r="I2715" s="157"/>
      <c r="J2715" s="158"/>
      <c r="L2715" s="94"/>
      <c r="M2715" s="159"/>
      <c r="N2715" s="94"/>
    </row>
    <row r="2716">
      <c r="A2716" s="107">
        <v>203546.0</v>
      </c>
      <c r="B2716" s="108" t="s">
        <v>192</v>
      </c>
      <c r="C2716" s="108" t="s">
        <v>712</v>
      </c>
      <c r="D2716" s="100" t="str">
        <f t="shared" si="1"/>
        <v/>
      </c>
      <c r="E2716" s="100" t="str">
        <f t="shared" si="2"/>
        <v/>
      </c>
      <c r="F2716" s="100" t="str">
        <f t="shared" si="3"/>
        <v/>
      </c>
      <c r="G2716" s="151"/>
      <c r="H2716" s="160"/>
      <c r="I2716" s="157"/>
      <c r="J2716" s="161"/>
      <c r="L2716" s="94"/>
      <c r="M2716" s="159"/>
      <c r="N2716" s="94"/>
    </row>
    <row r="2717">
      <c r="A2717" s="107">
        <v>203548.0</v>
      </c>
      <c r="B2717" s="108" t="s">
        <v>85</v>
      </c>
      <c r="C2717" s="108" t="s">
        <v>713</v>
      </c>
      <c r="D2717" s="100" t="str">
        <f t="shared" si="1"/>
        <v/>
      </c>
      <c r="E2717" s="100" t="str">
        <f t="shared" si="2"/>
        <v/>
      </c>
      <c r="F2717" s="100" t="str">
        <f t="shared" si="3"/>
        <v/>
      </c>
      <c r="G2717" s="151"/>
      <c r="H2717" s="156"/>
      <c r="I2717" s="157"/>
      <c r="J2717" s="158"/>
      <c r="L2717" s="94"/>
      <c r="M2717" s="159"/>
      <c r="N2717" s="94"/>
    </row>
    <row r="2718">
      <c r="A2718" s="107">
        <v>203552.0</v>
      </c>
      <c r="B2718" s="108" t="s">
        <v>85</v>
      </c>
      <c r="C2718" s="108" t="s">
        <v>714</v>
      </c>
      <c r="D2718" s="100" t="str">
        <f t="shared" si="1"/>
        <v/>
      </c>
      <c r="E2718" s="100" t="str">
        <f t="shared" si="2"/>
        <v/>
      </c>
      <c r="F2718" s="100" t="str">
        <f t="shared" si="3"/>
        <v/>
      </c>
      <c r="G2718" s="151"/>
      <c r="H2718" s="160"/>
      <c r="I2718" s="157"/>
      <c r="J2718" s="161"/>
      <c r="L2718" s="94"/>
      <c r="M2718" s="159"/>
      <c r="N2718" s="94"/>
    </row>
    <row r="2719">
      <c r="A2719" s="107">
        <v>203552.0</v>
      </c>
      <c r="B2719" s="108" t="s">
        <v>90</v>
      </c>
      <c r="C2719" s="108" t="s">
        <v>714</v>
      </c>
      <c r="D2719" s="100" t="str">
        <f t="shared" si="1"/>
        <v/>
      </c>
      <c r="E2719" s="100" t="str">
        <f t="shared" si="2"/>
        <v/>
      </c>
      <c r="F2719" s="100" t="str">
        <f t="shared" si="3"/>
        <v/>
      </c>
      <c r="G2719" s="151"/>
      <c r="H2719" s="156"/>
      <c r="I2719" s="157"/>
      <c r="J2719" s="158"/>
      <c r="L2719" s="94"/>
      <c r="M2719" s="159"/>
      <c r="N2719" s="94"/>
    </row>
    <row r="2720">
      <c r="A2720" s="107">
        <v>203552.0</v>
      </c>
      <c r="B2720" s="108" t="s">
        <v>92</v>
      </c>
      <c r="C2720" s="108" t="s">
        <v>714</v>
      </c>
      <c r="D2720" s="100" t="str">
        <f t="shared" si="1"/>
        <v/>
      </c>
      <c r="E2720" s="100" t="str">
        <f t="shared" si="2"/>
        <v/>
      </c>
      <c r="F2720" s="100" t="str">
        <f t="shared" si="3"/>
        <v/>
      </c>
      <c r="G2720" s="151"/>
      <c r="H2720" s="160"/>
      <c r="I2720" s="157"/>
      <c r="J2720" s="161"/>
      <c r="L2720" s="94"/>
      <c r="M2720" s="159"/>
      <c r="N2720" s="94"/>
    </row>
    <row r="2721">
      <c r="A2721" s="107">
        <v>203552.0</v>
      </c>
      <c r="B2721" s="108" t="s">
        <v>190</v>
      </c>
      <c r="C2721" s="108" t="s">
        <v>714</v>
      </c>
      <c r="D2721" s="100" t="str">
        <f t="shared" si="1"/>
        <v/>
      </c>
      <c r="E2721" s="100" t="str">
        <f t="shared" si="2"/>
        <v/>
      </c>
      <c r="F2721" s="100" t="str">
        <f t="shared" si="3"/>
        <v/>
      </c>
      <c r="G2721" s="151"/>
      <c r="H2721" s="156"/>
      <c r="I2721" s="157"/>
      <c r="J2721" s="158"/>
      <c r="L2721" s="94"/>
      <c r="M2721" s="159"/>
      <c r="N2721" s="94"/>
    </row>
    <row r="2722">
      <c r="A2722" s="107">
        <v>203552.0</v>
      </c>
      <c r="B2722" s="108" t="s">
        <v>192</v>
      </c>
      <c r="C2722" s="108" t="s">
        <v>714</v>
      </c>
      <c r="D2722" s="100" t="str">
        <f t="shared" si="1"/>
        <v/>
      </c>
      <c r="E2722" s="100" t="str">
        <f t="shared" si="2"/>
        <v/>
      </c>
      <c r="F2722" s="100" t="str">
        <f t="shared" si="3"/>
        <v/>
      </c>
      <c r="G2722" s="151"/>
      <c r="H2722" s="160"/>
      <c r="I2722" s="157"/>
      <c r="J2722" s="161"/>
      <c r="L2722" s="94"/>
      <c r="M2722" s="159"/>
      <c r="N2722" s="94"/>
    </row>
    <row r="2723">
      <c r="A2723" s="107">
        <v>203552.0</v>
      </c>
      <c r="B2723" s="108" t="s">
        <v>193</v>
      </c>
      <c r="C2723" s="108" t="s">
        <v>714</v>
      </c>
      <c r="D2723" s="100" t="str">
        <f t="shared" si="1"/>
        <v/>
      </c>
      <c r="E2723" s="100" t="str">
        <f t="shared" si="2"/>
        <v/>
      </c>
      <c r="F2723" s="100" t="str">
        <f t="shared" si="3"/>
        <v/>
      </c>
      <c r="G2723" s="151"/>
      <c r="H2723" s="156"/>
      <c r="I2723" s="157"/>
      <c r="J2723" s="158"/>
      <c r="L2723" s="94"/>
      <c r="M2723" s="159"/>
      <c r="N2723" s="94"/>
    </row>
    <row r="2724">
      <c r="A2724" s="107">
        <v>203552.0</v>
      </c>
      <c r="B2724" s="108" t="s">
        <v>243</v>
      </c>
      <c r="C2724" s="108" t="s">
        <v>714</v>
      </c>
      <c r="D2724" s="100" t="str">
        <f t="shared" si="1"/>
        <v/>
      </c>
      <c r="E2724" s="100" t="str">
        <f t="shared" si="2"/>
        <v/>
      </c>
      <c r="F2724" s="100" t="str">
        <f t="shared" si="3"/>
        <v/>
      </c>
      <c r="G2724" s="151"/>
      <c r="H2724" s="160"/>
      <c r="I2724" s="157"/>
      <c r="J2724" s="161"/>
      <c r="L2724" s="94"/>
      <c r="M2724" s="159"/>
      <c r="N2724" s="94"/>
    </row>
    <row r="2725">
      <c r="A2725" s="107">
        <v>203552.0</v>
      </c>
      <c r="B2725" s="108" t="s">
        <v>215</v>
      </c>
      <c r="C2725" s="108" t="s">
        <v>714</v>
      </c>
      <c r="D2725" s="100" t="str">
        <f t="shared" si="1"/>
        <v/>
      </c>
      <c r="E2725" s="100" t="str">
        <f t="shared" si="2"/>
        <v/>
      </c>
      <c r="F2725" s="100" t="str">
        <f t="shared" si="3"/>
        <v/>
      </c>
      <c r="G2725" s="151"/>
      <c r="H2725" s="156"/>
      <c r="I2725" s="157"/>
      <c r="J2725" s="158"/>
      <c r="L2725" s="94"/>
      <c r="M2725" s="159"/>
      <c r="N2725" s="94"/>
    </row>
    <row r="2726">
      <c r="A2726" s="107">
        <v>203552.0</v>
      </c>
      <c r="B2726" s="108" t="s">
        <v>244</v>
      </c>
      <c r="C2726" s="108" t="s">
        <v>714</v>
      </c>
      <c r="D2726" s="100" t="str">
        <f t="shared" si="1"/>
        <v/>
      </c>
      <c r="E2726" s="100" t="str">
        <f t="shared" si="2"/>
        <v/>
      </c>
      <c r="F2726" s="100" t="str">
        <f t="shared" si="3"/>
        <v/>
      </c>
      <c r="G2726" s="151"/>
      <c r="H2726" s="160"/>
      <c r="I2726" s="157"/>
      <c r="J2726" s="161"/>
      <c r="L2726" s="94"/>
      <c r="M2726" s="159"/>
      <c r="N2726" s="94"/>
    </row>
    <row r="2727">
      <c r="A2727" s="107">
        <v>203552.0</v>
      </c>
      <c r="B2727" s="108" t="s">
        <v>245</v>
      </c>
      <c r="C2727" s="108" t="s">
        <v>714</v>
      </c>
      <c r="D2727" s="100" t="str">
        <f t="shared" si="1"/>
        <v/>
      </c>
      <c r="E2727" s="100" t="str">
        <f t="shared" si="2"/>
        <v/>
      </c>
      <c r="F2727" s="100" t="str">
        <f t="shared" si="3"/>
        <v/>
      </c>
      <c r="G2727" s="151"/>
      <c r="H2727" s="156"/>
      <c r="I2727" s="157"/>
      <c r="J2727" s="158"/>
      <c r="L2727" s="94"/>
      <c r="M2727" s="159"/>
      <c r="N2727" s="94"/>
    </row>
    <row r="2728">
      <c r="A2728" s="107">
        <v>203552.0</v>
      </c>
      <c r="B2728" s="108" t="s">
        <v>246</v>
      </c>
      <c r="C2728" s="108" t="s">
        <v>714</v>
      </c>
      <c r="D2728" s="100" t="str">
        <f t="shared" si="1"/>
        <v/>
      </c>
      <c r="E2728" s="100" t="str">
        <f t="shared" si="2"/>
        <v/>
      </c>
      <c r="F2728" s="100" t="str">
        <f t="shared" si="3"/>
        <v/>
      </c>
      <c r="G2728" s="151"/>
      <c r="H2728" s="160"/>
      <c r="I2728" s="157"/>
      <c r="J2728" s="161"/>
      <c r="L2728" s="94"/>
      <c r="M2728" s="159"/>
      <c r="N2728" s="94"/>
    </row>
    <row r="2729">
      <c r="A2729" s="149">
        <v>203552.0</v>
      </c>
      <c r="B2729" s="115" t="s">
        <v>247</v>
      </c>
      <c r="C2729" s="115" t="s">
        <v>714</v>
      </c>
      <c r="D2729" s="100" t="str">
        <f t="shared" si="1"/>
        <v/>
      </c>
      <c r="E2729" s="100" t="str">
        <f t="shared" si="2"/>
        <v/>
      </c>
      <c r="F2729" s="100" t="str">
        <f t="shared" si="3"/>
        <v/>
      </c>
      <c r="G2729" s="151"/>
      <c r="H2729" s="156"/>
      <c r="I2729" s="157"/>
      <c r="J2729" s="158"/>
      <c r="L2729" s="94"/>
      <c r="M2729" s="159"/>
      <c r="N2729" s="94"/>
    </row>
    <row r="2730">
      <c r="A2730" s="21">
        <v>203561.0</v>
      </c>
      <c r="B2730" s="164" t="s">
        <v>85</v>
      </c>
      <c r="C2730" s="164" t="s">
        <v>715</v>
      </c>
      <c r="D2730" s="100" t="str">
        <f t="shared" si="1"/>
        <v/>
      </c>
      <c r="E2730" s="100" t="str">
        <f t="shared" si="2"/>
        <v/>
      </c>
      <c r="F2730" s="100" t="str">
        <f t="shared" si="3"/>
        <v/>
      </c>
      <c r="G2730" s="151"/>
      <c r="H2730" s="160"/>
      <c r="I2730" s="157"/>
      <c r="J2730" s="161"/>
      <c r="L2730" s="94"/>
      <c r="M2730" s="159"/>
      <c r="N2730" s="94"/>
    </row>
    <row r="2731">
      <c r="A2731" s="107">
        <v>203561.0</v>
      </c>
      <c r="B2731" s="108" t="s">
        <v>90</v>
      </c>
      <c r="C2731" s="108" t="s">
        <v>715</v>
      </c>
      <c r="D2731" s="100" t="str">
        <f t="shared" si="1"/>
        <v/>
      </c>
      <c r="E2731" s="100" t="str">
        <f t="shared" si="2"/>
        <v/>
      </c>
      <c r="F2731" s="100" t="str">
        <f t="shared" si="3"/>
        <v/>
      </c>
      <c r="G2731" s="151"/>
      <c r="H2731" s="156"/>
      <c r="I2731" s="157"/>
      <c r="J2731" s="158"/>
      <c r="L2731" s="94"/>
      <c r="M2731" s="159"/>
      <c r="N2731" s="94"/>
    </row>
    <row r="2732">
      <c r="A2732" s="107">
        <v>203564.0</v>
      </c>
      <c r="B2732" s="108" t="s">
        <v>90</v>
      </c>
      <c r="C2732" s="108" t="s">
        <v>716</v>
      </c>
      <c r="D2732" s="100" t="str">
        <f t="shared" si="1"/>
        <v/>
      </c>
      <c r="E2732" s="100" t="str">
        <f t="shared" si="2"/>
        <v/>
      </c>
      <c r="F2732" s="100" t="str">
        <f t="shared" si="3"/>
        <v/>
      </c>
      <c r="G2732" s="151"/>
      <c r="H2732" s="160"/>
      <c r="I2732" s="157"/>
      <c r="J2732" s="161"/>
      <c r="L2732" s="94"/>
      <c r="M2732" s="159"/>
      <c r="N2732" s="94"/>
    </row>
    <row r="2733">
      <c r="A2733" s="107">
        <v>203564.0</v>
      </c>
      <c r="B2733" s="108" t="s">
        <v>192</v>
      </c>
      <c r="C2733" s="108" t="s">
        <v>716</v>
      </c>
      <c r="D2733" s="100" t="str">
        <f t="shared" si="1"/>
        <v/>
      </c>
      <c r="E2733" s="100" t="str">
        <f t="shared" si="2"/>
        <v/>
      </c>
      <c r="F2733" s="100" t="str">
        <f t="shared" si="3"/>
        <v/>
      </c>
      <c r="G2733" s="151"/>
      <c r="H2733" s="156"/>
      <c r="I2733" s="157"/>
      <c r="J2733" s="158"/>
      <c r="L2733" s="94"/>
      <c r="M2733" s="159"/>
      <c r="N2733" s="94"/>
    </row>
    <row r="2734">
      <c r="A2734" s="107">
        <v>203565.0</v>
      </c>
      <c r="B2734" s="108" t="s">
        <v>90</v>
      </c>
      <c r="C2734" s="108" t="s">
        <v>717</v>
      </c>
      <c r="D2734" s="100" t="str">
        <f t="shared" si="1"/>
        <v/>
      </c>
      <c r="E2734" s="100" t="str">
        <f t="shared" si="2"/>
        <v/>
      </c>
      <c r="F2734" s="100" t="str">
        <f t="shared" si="3"/>
        <v/>
      </c>
      <c r="G2734" s="151"/>
      <c r="H2734" s="160"/>
      <c r="I2734" s="157"/>
      <c r="J2734" s="161"/>
      <c r="L2734" s="94"/>
      <c r="M2734" s="159"/>
      <c r="N2734" s="94"/>
    </row>
    <row r="2735">
      <c r="A2735" s="107">
        <v>203569.0</v>
      </c>
      <c r="B2735" s="108" t="s">
        <v>85</v>
      </c>
      <c r="C2735" s="108" t="s">
        <v>718</v>
      </c>
      <c r="D2735" s="100" t="str">
        <f t="shared" si="1"/>
        <v/>
      </c>
      <c r="E2735" s="100" t="str">
        <f t="shared" si="2"/>
        <v/>
      </c>
      <c r="F2735" s="100" t="str">
        <f t="shared" si="3"/>
        <v/>
      </c>
      <c r="G2735" s="151"/>
      <c r="H2735" s="156"/>
      <c r="I2735" s="157"/>
      <c r="J2735" s="158"/>
      <c r="L2735" s="94"/>
      <c r="M2735" s="159"/>
      <c r="N2735" s="94"/>
    </row>
    <row r="2736">
      <c r="A2736" s="107">
        <v>203580.0</v>
      </c>
      <c r="B2736" s="108" t="s">
        <v>90</v>
      </c>
      <c r="C2736" s="108" t="s">
        <v>719</v>
      </c>
      <c r="D2736" s="100" t="str">
        <f t="shared" si="1"/>
        <v/>
      </c>
      <c r="E2736" s="100" t="str">
        <f t="shared" si="2"/>
        <v/>
      </c>
      <c r="F2736" s="100" t="str">
        <f t="shared" si="3"/>
        <v/>
      </c>
      <c r="G2736" s="151"/>
      <c r="H2736" s="160"/>
      <c r="I2736" s="157"/>
      <c r="J2736" s="161"/>
      <c r="L2736" s="94"/>
      <c r="M2736" s="159"/>
      <c r="N2736" s="94"/>
    </row>
    <row r="2737">
      <c r="A2737" s="107">
        <v>203580.0</v>
      </c>
      <c r="B2737" s="108" t="s">
        <v>191</v>
      </c>
      <c r="C2737" s="108" t="s">
        <v>719</v>
      </c>
      <c r="D2737" s="100" t="str">
        <f t="shared" si="1"/>
        <v/>
      </c>
      <c r="E2737" s="100" t="str">
        <f t="shared" si="2"/>
        <v/>
      </c>
      <c r="F2737" s="100" t="str">
        <f t="shared" si="3"/>
        <v/>
      </c>
      <c r="G2737" s="151"/>
      <c r="H2737" s="156"/>
      <c r="I2737" s="157"/>
      <c r="J2737" s="158"/>
      <c r="L2737" s="94"/>
      <c r="M2737" s="159"/>
      <c r="N2737" s="94"/>
    </row>
    <row r="2738">
      <c r="A2738" s="107">
        <v>203584.0</v>
      </c>
      <c r="B2738" s="108" t="s">
        <v>85</v>
      </c>
      <c r="C2738" s="108" t="s">
        <v>720</v>
      </c>
      <c r="D2738" s="100" t="str">
        <f t="shared" si="1"/>
        <v/>
      </c>
      <c r="E2738" s="100" t="str">
        <f t="shared" si="2"/>
        <v/>
      </c>
      <c r="F2738" s="100" t="str">
        <f t="shared" si="3"/>
        <v/>
      </c>
      <c r="G2738" s="151"/>
      <c r="H2738" s="160"/>
      <c r="I2738" s="157"/>
      <c r="J2738" s="161"/>
      <c r="L2738" s="94"/>
      <c r="M2738" s="159"/>
      <c r="N2738" s="94"/>
    </row>
    <row r="2739">
      <c r="A2739" s="107">
        <v>203584.0</v>
      </c>
      <c r="B2739" s="108" t="s">
        <v>90</v>
      </c>
      <c r="C2739" s="108" t="s">
        <v>720</v>
      </c>
      <c r="D2739" s="100" t="str">
        <f t="shared" si="1"/>
        <v/>
      </c>
      <c r="E2739" s="100" t="str">
        <f t="shared" si="2"/>
        <v/>
      </c>
      <c r="F2739" s="100" t="str">
        <f t="shared" si="3"/>
        <v/>
      </c>
      <c r="G2739" s="151"/>
      <c r="H2739" s="156"/>
      <c r="I2739" s="157"/>
      <c r="J2739" s="158"/>
      <c r="L2739" s="94"/>
      <c r="M2739" s="159"/>
      <c r="N2739" s="94"/>
    </row>
    <row r="2740">
      <c r="A2740" s="107">
        <v>203584.0</v>
      </c>
      <c r="B2740" s="108" t="s">
        <v>92</v>
      </c>
      <c r="C2740" s="108" t="s">
        <v>720</v>
      </c>
      <c r="D2740" s="100" t="str">
        <f t="shared" si="1"/>
        <v/>
      </c>
      <c r="E2740" s="100" t="str">
        <f t="shared" si="2"/>
        <v/>
      </c>
      <c r="F2740" s="100" t="str">
        <f t="shared" si="3"/>
        <v/>
      </c>
      <c r="G2740" s="151"/>
      <c r="H2740" s="160"/>
      <c r="I2740" s="157"/>
      <c r="J2740" s="161"/>
      <c r="L2740" s="94"/>
      <c r="M2740" s="159"/>
      <c r="N2740" s="94"/>
    </row>
    <row r="2741">
      <c r="A2741" s="107">
        <v>203584.0</v>
      </c>
      <c r="B2741" s="108" t="s">
        <v>190</v>
      </c>
      <c r="C2741" s="108" t="s">
        <v>720</v>
      </c>
      <c r="D2741" s="100" t="str">
        <f t="shared" si="1"/>
        <v/>
      </c>
      <c r="E2741" s="100" t="str">
        <f t="shared" si="2"/>
        <v/>
      </c>
      <c r="F2741" s="100" t="str">
        <f t="shared" si="3"/>
        <v/>
      </c>
      <c r="G2741" s="151"/>
      <c r="H2741" s="156"/>
      <c r="I2741" s="157"/>
      <c r="J2741" s="158"/>
      <c r="L2741" s="94"/>
      <c r="M2741" s="159"/>
      <c r="N2741" s="94"/>
    </row>
    <row r="2742">
      <c r="A2742" s="107">
        <v>203584.0</v>
      </c>
      <c r="B2742" s="108" t="s">
        <v>191</v>
      </c>
      <c r="C2742" s="108" t="s">
        <v>720</v>
      </c>
      <c r="D2742" s="100" t="str">
        <f t="shared" si="1"/>
        <v/>
      </c>
      <c r="E2742" s="100" t="str">
        <f t="shared" si="2"/>
        <v/>
      </c>
      <c r="F2742" s="100" t="str">
        <f t="shared" si="3"/>
        <v/>
      </c>
      <c r="G2742" s="151"/>
      <c r="H2742" s="160"/>
      <c r="I2742" s="157"/>
      <c r="J2742" s="161"/>
      <c r="L2742" s="94"/>
      <c r="M2742" s="159"/>
      <c r="N2742" s="94"/>
    </row>
    <row r="2743">
      <c r="A2743" s="107">
        <v>203584.0</v>
      </c>
      <c r="B2743" s="108" t="s">
        <v>192</v>
      </c>
      <c r="C2743" s="108" t="s">
        <v>720</v>
      </c>
      <c r="D2743" s="100" t="str">
        <f t="shared" si="1"/>
        <v/>
      </c>
      <c r="E2743" s="100" t="str">
        <f t="shared" si="2"/>
        <v/>
      </c>
      <c r="F2743" s="100" t="str">
        <f t="shared" si="3"/>
        <v/>
      </c>
      <c r="G2743" s="151"/>
      <c r="H2743" s="156"/>
      <c r="I2743" s="157"/>
      <c r="J2743" s="158"/>
      <c r="L2743" s="94"/>
      <c r="M2743" s="159"/>
      <c r="N2743" s="94"/>
    </row>
    <row r="2744">
      <c r="A2744" s="107">
        <v>203584.0</v>
      </c>
      <c r="B2744" s="108" t="s">
        <v>193</v>
      </c>
      <c r="C2744" s="108" t="s">
        <v>720</v>
      </c>
      <c r="D2744" s="100" t="str">
        <f t="shared" si="1"/>
        <v/>
      </c>
      <c r="E2744" s="100" t="str">
        <f t="shared" si="2"/>
        <v/>
      </c>
      <c r="F2744" s="100" t="str">
        <f t="shared" si="3"/>
        <v/>
      </c>
      <c r="G2744" s="151"/>
      <c r="H2744" s="160"/>
      <c r="I2744" s="157"/>
      <c r="J2744" s="161"/>
      <c r="L2744" s="94"/>
      <c r="M2744" s="159"/>
      <c r="N2744" s="94"/>
    </row>
    <row r="2745">
      <c r="A2745" s="107">
        <v>203585.0</v>
      </c>
      <c r="B2745" s="108" t="s">
        <v>190</v>
      </c>
      <c r="C2745" s="108" t="s">
        <v>721</v>
      </c>
      <c r="D2745" s="100" t="str">
        <f t="shared" si="1"/>
        <v/>
      </c>
      <c r="E2745" s="100" t="str">
        <f t="shared" si="2"/>
        <v/>
      </c>
      <c r="F2745" s="100" t="str">
        <f t="shared" si="3"/>
        <v/>
      </c>
      <c r="G2745" s="151"/>
      <c r="H2745" s="156"/>
      <c r="I2745" s="157"/>
      <c r="J2745" s="158"/>
      <c r="L2745" s="94"/>
      <c r="M2745" s="159"/>
      <c r="N2745" s="94"/>
    </row>
    <row r="2746">
      <c r="A2746" s="107">
        <v>203585.0</v>
      </c>
      <c r="B2746" s="108" t="s">
        <v>191</v>
      </c>
      <c r="C2746" s="108" t="s">
        <v>721</v>
      </c>
      <c r="D2746" s="100" t="str">
        <f t="shared" si="1"/>
        <v/>
      </c>
      <c r="E2746" s="100" t="str">
        <f t="shared" si="2"/>
        <v/>
      </c>
      <c r="F2746" s="100" t="str">
        <f t="shared" si="3"/>
        <v/>
      </c>
      <c r="G2746" s="151"/>
      <c r="H2746" s="160"/>
      <c r="I2746" s="157"/>
      <c r="J2746" s="161"/>
      <c r="L2746" s="94"/>
      <c r="M2746" s="159"/>
      <c r="N2746" s="94"/>
    </row>
    <row r="2747">
      <c r="A2747" s="107">
        <v>203585.0</v>
      </c>
      <c r="B2747" s="108" t="s">
        <v>192</v>
      </c>
      <c r="C2747" s="108" t="s">
        <v>721</v>
      </c>
      <c r="D2747" s="100" t="str">
        <f t="shared" si="1"/>
        <v/>
      </c>
      <c r="E2747" s="100" t="str">
        <f t="shared" si="2"/>
        <v/>
      </c>
      <c r="F2747" s="100" t="str">
        <f t="shared" si="3"/>
        <v/>
      </c>
      <c r="G2747" s="151"/>
      <c r="H2747" s="156"/>
      <c r="I2747" s="157"/>
      <c r="J2747" s="158"/>
      <c r="L2747" s="94"/>
      <c r="M2747" s="159"/>
      <c r="N2747" s="94"/>
    </row>
    <row r="2748">
      <c r="A2748" s="107">
        <v>203585.0</v>
      </c>
      <c r="B2748" s="108" t="s">
        <v>193</v>
      </c>
      <c r="C2748" s="108" t="s">
        <v>721</v>
      </c>
      <c r="D2748" s="100" t="str">
        <f t="shared" si="1"/>
        <v/>
      </c>
      <c r="E2748" s="100" t="str">
        <f t="shared" si="2"/>
        <v/>
      </c>
      <c r="F2748" s="100" t="str">
        <f t="shared" si="3"/>
        <v/>
      </c>
      <c r="G2748" s="151"/>
      <c r="H2748" s="160"/>
      <c r="I2748" s="157"/>
      <c r="J2748" s="161"/>
      <c r="L2748" s="94"/>
      <c r="M2748" s="159"/>
      <c r="N2748" s="94"/>
    </row>
    <row r="2749">
      <c r="A2749" s="107">
        <v>203585.0</v>
      </c>
      <c r="B2749" s="108" t="s">
        <v>243</v>
      </c>
      <c r="C2749" s="108" t="s">
        <v>721</v>
      </c>
      <c r="D2749" s="100" t="str">
        <f t="shared" si="1"/>
        <v/>
      </c>
      <c r="E2749" s="100" t="str">
        <f t="shared" si="2"/>
        <v/>
      </c>
      <c r="F2749" s="100" t="str">
        <f t="shared" si="3"/>
        <v/>
      </c>
      <c r="G2749" s="151"/>
      <c r="H2749" s="156"/>
      <c r="I2749" s="157"/>
      <c r="J2749" s="158"/>
      <c r="L2749" s="94"/>
      <c r="M2749" s="159"/>
      <c r="N2749" s="94"/>
    </row>
    <row r="2750">
      <c r="A2750" s="107">
        <v>203585.0</v>
      </c>
      <c r="B2750" s="108" t="s">
        <v>215</v>
      </c>
      <c r="C2750" s="108" t="s">
        <v>721</v>
      </c>
      <c r="D2750" s="100" t="str">
        <f t="shared" si="1"/>
        <v/>
      </c>
      <c r="E2750" s="100" t="str">
        <f t="shared" si="2"/>
        <v/>
      </c>
      <c r="F2750" s="100" t="str">
        <f t="shared" si="3"/>
        <v/>
      </c>
      <c r="G2750" s="151"/>
      <c r="H2750" s="160"/>
      <c r="I2750" s="157"/>
      <c r="J2750" s="161"/>
      <c r="L2750" s="94"/>
      <c r="M2750" s="159"/>
      <c r="N2750" s="94"/>
    </row>
    <row r="2751">
      <c r="A2751" s="107">
        <v>203585.0</v>
      </c>
      <c r="B2751" s="108" t="s">
        <v>244</v>
      </c>
      <c r="C2751" s="108" t="s">
        <v>721</v>
      </c>
      <c r="D2751" s="100" t="str">
        <f t="shared" si="1"/>
        <v/>
      </c>
      <c r="E2751" s="100" t="str">
        <f t="shared" si="2"/>
        <v/>
      </c>
      <c r="F2751" s="100" t="str">
        <f t="shared" si="3"/>
        <v/>
      </c>
      <c r="G2751" s="151"/>
      <c r="H2751" s="156"/>
      <c r="I2751" s="157"/>
      <c r="J2751" s="158"/>
      <c r="L2751" s="94"/>
      <c r="M2751" s="159"/>
      <c r="N2751" s="94"/>
    </row>
    <row r="2752">
      <c r="A2752" s="107">
        <v>203590.0</v>
      </c>
      <c r="B2752" s="108" t="s">
        <v>191</v>
      </c>
      <c r="C2752" s="108" t="s">
        <v>722</v>
      </c>
      <c r="D2752" s="100" t="str">
        <f t="shared" si="1"/>
        <v/>
      </c>
      <c r="E2752" s="100" t="str">
        <f t="shared" si="2"/>
        <v/>
      </c>
      <c r="F2752" s="100" t="str">
        <f t="shared" si="3"/>
        <v/>
      </c>
      <c r="G2752" s="151"/>
      <c r="H2752" s="160"/>
      <c r="I2752" s="157"/>
      <c r="J2752" s="161"/>
      <c r="L2752" s="94"/>
      <c r="M2752" s="159"/>
      <c r="N2752" s="94"/>
    </row>
    <row r="2753">
      <c r="A2753" s="107">
        <v>203613.0</v>
      </c>
      <c r="B2753" s="108" t="s">
        <v>92</v>
      </c>
      <c r="C2753" s="108" t="s">
        <v>723</v>
      </c>
      <c r="D2753" s="100" t="str">
        <f t="shared" si="1"/>
        <v/>
      </c>
      <c r="E2753" s="100" t="str">
        <f t="shared" si="2"/>
        <v/>
      </c>
      <c r="F2753" s="100" t="str">
        <f t="shared" si="3"/>
        <v/>
      </c>
      <c r="G2753" s="151"/>
      <c r="H2753" s="156"/>
      <c r="I2753" s="157"/>
      <c r="J2753" s="158"/>
      <c r="L2753" s="94"/>
      <c r="M2753" s="159"/>
      <c r="N2753" s="94"/>
    </row>
    <row r="2754">
      <c r="A2754" s="107">
        <v>203613.0</v>
      </c>
      <c r="B2754" s="108" t="s">
        <v>190</v>
      </c>
      <c r="C2754" s="108" t="s">
        <v>723</v>
      </c>
      <c r="D2754" s="100" t="str">
        <f t="shared" si="1"/>
        <v/>
      </c>
      <c r="E2754" s="100" t="str">
        <f t="shared" si="2"/>
        <v/>
      </c>
      <c r="F2754" s="100" t="str">
        <f t="shared" si="3"/>
        <v/>
      </c>
      <c r="G2754" s="151"/>
      <c r="H2754" s="160"/>
      <c r="I2754" s="157"/>
      <c r="J2754" s="161"/>
      <c r="L2754" s="94"/>
      <c r="M2754" s="159"/>
      <c r="N2754" s="94"/>
    </row>
    <row r="2755">
      <c r="A2755" s="107">
        <v>203613.0</v>
      </c>
      <c r="B2755" s="108" t="s">
        <v>191</v>
      </c>
      <c r="C2755" s="108" t="s">
        <v>723</v>
      </c>
      <c r="D2755" s="100" t="str">
        <f t="shared" si="1"/>
        <v/>
      </c>
      <c r="E2755" s="100" t="str">
        <f t="shared" si="2"/>
        <v/>
      </c>
      <c r="F2755" s="100" t="str">
        <f t="shared" si="3"/>
        <v/>
      </c>
      <c r="G2755" s="151"/>
      <c r="H2755" s="156"/>
      <c r="I2755" s="157"/>
      <c r="J2755" s="158"/>
      <c r="L2755" s="94"/>
      <c r="M2755" s="159"/>
      <c r="N2755" s="94"/>
    </row>
    <row r="2756">
      <c r="A2756" s="107">
        <v>203613.0</v>
      </c>
      <c r="B2756" s="108" t="s">
        <v>192</v>
      </c>
      <c r="C2756" s="108" t="s">
        <v>723</v>
      </c>
      <c r="D2756" s="100" t="str">
        <f t="shared" si="1"/>
        <v/>
      </c>
      <c r="E2756" s="100" t="str">
        <f t="shared" si="2"/>
        <v/>
      </c>
      <c r="F2756" s="100" t="str">
        <f t="shared" si="3"/>
        <v/>
      </c>
      <c r="G2756" s="151"/>
      <c r="H2756" s="160"/>
      <c r="I2756" s="157"/>
      <c r="J2756" s="161"/>
      <c r="L2756" s="94"/>
      <c r="M2756" s="159"/>
      <c r="N2756" s="94"/>
    </row>
    <row r="2757">
      <c r="A2757" s="107">
        <v>203648.0</v>
      </c>
      <c r="B2757" s="108" t="s">
        <v>92</v>
      </c>
      <c r="C2757" s="108" t="s">
        <v>724</v>
      </c>
      <c r="D2757" s="100" t="str">
        <f t="shared" si="1"/>
        <v/>
      </c>
      <c r="E2757" s="100" t="str">
        <f t="shared" si="2"/>
        <v/>
      </c>
      <c r="F2757" s="100" t="str">
        <f t="shared" si="3"/>
        <v/>
      </c>
      <c r="G2757" s="151"/>
      <c r="H2757" s="156"/>
      <c r="I2757" s="157"/>
      <c r="J2757" s="158"/>
      <c r="L2757" s="94"/>
      <c r="M2757" s="159"/>
      <c r="N2757" s="94"/>
    </row>
    <row r="2758">
      <c r="A2758" s="107">
        <v>203648.0</v>
      </c>
      <c r="B2758" s="108" t="s">
        <v>193</v>
      </c>
      <c r="C2758" s="108" t="s">
        <v>724</v>
      </c>
      <c r="D2758" s="100" t="str">
        <f t="shared" si="1"/>
        <v/>
      </c>
      <c r="E2758" s="100" t="str">
        <f t="shared" si="2"/>
        <v/>
      </c>
      <c r="F2758" s="100" t="str">
        <f t="shared" si="3"/>
        <v/>
      </c>
      <c r="G2758" s="151"/>
      <c r="H2758" s="160"/>
      <c r="I2758" s="157"/>
      <c r="J2758" s="161"/>
      <c r="L2758" s="94"/>
      <c r="M2758" s="159"/>
      <c r="N2758" s="94"/>
    </row>
    <row r="2759">
      <c r="A2759" s="107">
        <v>203648.0</v>
      </c>
      <c r="B2759" s="108" t="s">
        <v>243</v>
      </c>
      <c r="C2759" s="108" t="s">
        <v>724</v>
      </c>
      <c r="D2759" s="100" t="str">
        <f t="shared" si="1"/>
        <v/>
      </c>
      <c r="E2759" s="100" t="str">
        <f t="shared" si="2"/>
        <v/>
      </c>
      <c r="F2759" s="100" t="str">
        <f t="shared" si="3"/>
        <v/>
      </c>
      <c r="G2759" s="151"/>
      <c r="H2759" s="156"/>
      <c r="I2759" s="157"/>
      <c r="J2759" s="158"/>
      <c r="L2759" s="94"/>
      <c r="M2759" s="159"/>
      <c r="N2759" s="94"/>
    </row>
    <row r="2760">
      <c r="A2760" s="107">
        <v>203648.0</v>
      </c>
      <c r="B2760" s="108" t="s">
        <v>215</v>
      </c>
      <c r="C2760" s="108" t="s">
        <v>724</v>
      </c>
      <c r="D2760" s="100" t="str">
        <f t="shared" si="1"/>
        <v/>
      </c>
      <c r="E2760" s="100" t="str">
        <f t="shared" si="2"/>
        <v/>
      </c>
      <c r="F2760" s="100" t="str">
        <f t="shared" si="3"/>
        <v/>
      </c>
      <c r="G2760" s="151"/>
      <c r="H2760" s="160"/>
      <c r="I2760" s="157"/>
      <c r="J2760" s="161"/>
      <c r="L2760" s="94"/>
      <c r="M2760" s="159"/>
      <c r="N2760" s="94"/>
    </row>
    <row r="2761">
      <c r="A2761" s="107">
        <v>203648.0</v>
      </c>
      <c r="B2761" s="108" t="s">
        <v>244</v>
      </c>
      <c r="C2761" s="108" t="s">
        <v>724</v>
      </c>
      <c r="D2761" s="100" t="str">
        <f t="shared" si="1"/>
        <v/>
      </c>
      <c r="E2761" s="100" t="str">
        <f t="shared" si="2"/>
        <v/>
      </c>
      <c r="F2761" s="100" t="str">
        <f t="shared" si="3"/>
        <v/>
      </c>
      <c r="G2761" s="151"/>
      <c r="H2761" s="156"/>
      <c r="I2761" s="157"/>
      <c r="J2761" s="158"/>
      <c r="L2761" s="94"/>
      <c r="M2761" s="159"/>
      <c r="N2761" s="94"/>
    </row>
    <row r="2762">
      <c r="A2762" s="107">
        <v>203648.0</v>
      </c>
      <c r="B2762" s="108" t="s">
        <v>245</v>
      </c>
      <c r="C2762" s="108" t="s">
        <v>724</v>
      </c>
      <c r="D2762" s="100" t="str">
        <f t="shared" si="1"/>
        <v/>
      </c>
      <c r="E2762" s="100" t="str">
        <f t="shared" si="2"/>
        <v/>
      </c>
      <c r="F2762" s="100" t="str">
        <f t="shared" si="3"/>
        <v/>
      </c>
      <c r="G2762" s="151"/>
      <c r="H2762" s="160"/>
      <c r="I2762" s="157"/>
      <c r="J2762" s="161"/>
      <c r="L2762" s="94"/>
      <c r="M2762" s="159"/>
      <c r="N2762" s="94"/>
    </row>
    <row r="2763">
      <c r="A2763" s="149">
        <v>203648.0</v>
      </c>
      <c r="B2763" s="115" t="s">
        <v>247</v>
      </c>
      <c r="C2763" s="115" t="s">
        <v>724</v>
      </c>
      <c r="D2763" s="100" t="str">
        <f t="shared" si="1"/>
        <v/>
      </c>
      <c r="E2763" s="100" t="str">
        <f t="shared" si="2"/>
        <v/>
      </c>
      <c r="F2763" s="100" t="str">
        <f t="shared" si="3"/>
        <v/>
      </c>
      <c r="G2763" s="151"/>
      <c r="H2763" s="156"/>
      <c r="I2763" s="157"/>
      <c r="J2763" s="158"/>
      <c r="L2763" s="94"/>
      <c r="M2763" s="159"/>
      <c r="N2763" s="94"/>
    </row>
    <row r="2764">
      <c r="A2764" s="21">
        <v>203658.0</v>
      </c>
      <c r="B2764" s="164" t="s">
        <v>193</v>
      </c>
      <c r="C2764" s="164" t="s">
        <v>725</v>
      </c>
      <c r="D2764" s="100" t="str">
        <f t="shared" si="1"/>
        <v/>
      </c>
      <c r="E2764" s="100" t="str">
        <f t="shared" si="2"/>
        <v/>
      </c>
      <c r="F2764" s="100" t="str">
        <f t="shared" si="3"/>
        <v/>
      </c>
      <c r="G2764" s="151"/>
      <c r="H2764" s="160"/>
      <c r="I2764" s="157"/>
      <c r="J2764" s="161"/>
      <c r="L2764" s="94"/>
      <c r="M2764" s="159"/>
      <c r="N2764" s="94"/>
    </row>
    <row r="2765">
      <c r="A2765" s="107">
        <v>203658.0</v>
      </c>
      <c r="B2765" s="108" t="s">
        <v>243</v>
      </c>
      <c r="C2765" s="108" t="s">
        <v>725</v>
      </c>
      <c r="D2765" s="100" t="str">
        <f t="shared" si="1"/>
        <v/>
      </c>
      <c r="E2765" s="100" t="str">
        <f t="shared" si="2"/>
        <v/>
      </c>
      <c r="F2765" s="100" t="str">
        <f t="shared" si="3"/>
        <v/>
      </c>
      <c r="G2765" s="151"/>
      <c r="H2765" s="156"/>
      <c r="I2765" s="157"/>
      <c r="J2765" s="158"/>
      <c r="L2765" s="94"/>
      <c r="M2765" s="159"/>
      <c r="N2765" s="94"/>
    </row>
    <row r="2766">
      <c r="A2766" s="107">
        <v>203658.0</v>
      </c>
      <c r="B2766" s="108" t="s">
        <v>215</v>
      </c>
      <c r="C2766" s="108" t="s">
        <v>725</v>
      </c>
      <c r="D2766" s="100" t="str">
        <f t="shared" si="1"/>
        <v/>
      </c>
      <c r="E2766" s="100" t="str">
        <f t="shared" si="2"/>
        <v/>
      </c>
      <c r="F2766" s="100" t="str">
        <f t="shared" si="3"/>
        <v/>
      </c>
      <c r="G2766" s="151"/>
      <c r="H2766" s="160"/>
      <c r="I2766" s="157"/>
      <c r="J2766" s="161"/>
      <c r="L2766" s="94"/>
      <c r="M2766" s="159"/>
      <c r="N2766" s="94"/>
    </row>
    <row r="2767">
      <c r="A2767" s="107">
        <v>203687.0</v>
      </c>
      <c r="B2767" s="108" t="s">
        <v>191</v>
      </c>
      <c r="C2767" s="108" t="s">
        <v>726</v>
      </c>
      <c r="D2767" s="100" t="str">
        <f t="shared" si="1"/>
        <v/>
      </c>
      <c r="E2767" s="100" t="str">
        <f t="shared" si="2"/>
        <v/>
      </c>
      <c r="F2767" s="100" t="str">
        <f t="shared" si="3"/>
        <v/>
      </c>
      <c r="G2767" s="151"/>
      <c r="H2767" s="156"/>
      <c r="I2767" s="157"/>
      <c r="J2767" s="158"/>
      <c r="L2767" s="94"/>
      <c r="M2767" s="159"/>
      <c r="N2767" s="94"/>
    </row>
    <row r="2768">
      <c r="A2768" s="107">
        <v>203705.0</v>
      </c>
      <c r="B2768" s="108" t="s">
        <v>191</v>
      </c>
      <c r="C2768" s="108" t="s">
        <v>727</v>
      </c>
      <c r="D2768" s="100" t="str">
        <f t="shared" si="1"/>
        <v/>
      </c>
      <c r="E2768" s="100" t="str">
        <f t="shared" si="2"/>
        <v/>
      </c>
      <c r="F2768" s="100" t="str">
        <f t="shared" si="3"/>
        <v/>
      </c>
      <c r="G2768" s="151"/>
      <c r="H2768" s="160"/>
      <c r="I2768" s="157"/>
      <c r="J2768" s="161"/>
      <c r="L2768" s="94"/>
      <c r="M2768" s="159"/>
      <c r="N2768" s="94"/>
    </row>
    <row r="2769">
      <c r="A2769" s="107">
        <v>203705.0</v>
      </c>
      <c r="B2769" s="108" t="s">
        <v>193</v>
      </c>
      <c r="C2769" s="108" t="s">
        <v>727</v>
      </c>
      <c r="D2769" s="100" t="str">
        <f t="shared" si="1"/>
        <v/>
      </c>
      <c r="E2769" s="100" t="str">
        <f t="shared" si="2"/>
        <v/>
      </c>
      <c r="F2769" s="100" t="str">
        <f t="shared" si="3"/>
        <v/>
      </c>
      <c r="G2769" s="151"/>
      <c r="H2769" s="156"/>
      <c r="I2769" s="157"/>
      <c r="J2769" s="158"/>
      <c r="L2769" s="94"/>
      <c r="M2769" s="159"/>
      <c r="N2769" s="94"/>
    </row>
    <row r="2770">
      <c r="A2770" s="107">
        <v>203710.0</v>
      </c>
      <c r="B2770" s="108" t="s">
        <v>191</v>
      </c>
      <c r="C2770" s="108" t="s">
        <v>728</v>
      </c>
      <c r="D2770" s="100" t="str">
        <f t="shared" si="1"/>
        <v/>
      </c>
      <c r="E2770" s="100" t="str">
        <f t="shared" si="2"/>
        <v/>
      </c>
      <c r="F2770" s="100" t="str">
        <f t="shared" si="3"/>
        <v/>
      </c>
      <c r="G2770" s="151"/>
      <c r="H2770" s="160"/>
      <c r="I2770" s="157"/>
      <c r="J2770" s="161"/>
      <c r="L2770" s="94"/>
      <c r="M2770" s="159"/>
      <c r="N2770" s="94"/>
    </row>
    <row r="2771">
      <c r="A2771" s="107">
        <v>203710.0</v>
      </c>
      <c r="B2771" s="108" t="s">
        <v>192</v>
      </c>
      <c r="C2771" s="108" t="s">
        <v>728</v>
      </c>
      <c r="D2771" s="100" t="str">
        <f t="shared" si="1"/>
        <v/>
      </c>
      <c r="E2771" s="100" t="str">
        <f t="shared" si="2"/>
        <v/>
      </c>
      <c r="F2771" s="100" t="str">
        <f t="shared" si="3"/>
        <v/>
      </c>
      <c r="G2771" s="151"/>
      <c r="H2771" s="156"/>
      <c r="I2771" s="157"/>
      <c r="J2771" s="158"/>
      <c r="L2771" s="94"/>
      <c r="M2771" s="159"/>
      <c r="N2771" s="94"/>
    </row>
    <row r="2772">
      <c r="A2772" s="107">
        <v>203798.0</v>
      </c>
      <c r="B2772" s="108" t="s">
        <v>90</v>
      </c>
      <c r="C2772" s="108" t="s">
        <v>729</v>
      </c>
      <c r="D2772" s="100" t="str">
        <f t="shared" si="1"/>
        <v/>
      </c>
      <c r="E2772" s="100" t="str">
        <f t="shared" si="2"/>
        <v/>
      </c>
      <c r="F2772" s="100" t="str">
        <f t="shared" si="3"/>
        <v/>
      </c>
      <c r="G2772" s="151"/>
      <c r="H2772" s="160"/>
      <c r="I2772" s="157"/>
      <c r="J2772" s="161"/>
      <c r="L2772" s="94"/>
      <c r="M2772" s="159"/>
      <c r="N2772" s="94"/>
    </row>
    <row r="2773">
      <c r="A2773" s="107">
        <v>203798.0</v>
      </c>
      <c r="B2773" s="108" t="s">
        <v>92</v>
      </c>
      <c r="C2773" s="108" t="s">
        <v>729</v>
      </c>
      <c r="D2773" s="100" t="str">
        <f t="shared" si="1"/>
        <v/>
      </c>
      <c r="E2773" s="100" t="str">
        <f t="shared" si="2"/>
        <v/>
      </c>
      <c r="F2773" s="100" t="str">
        <f t="shared" si="3"/>
        <v/>
      </c>
      <c r="G2773" s="151"/>
      <c r="H2773" s="156"/>
      <c r="I2773" s="157"/>
      <c r="J2773" s="158"/>
      <c r="L2773" s="94"/>
      <c r="M2773" s="159"/>
      <c r="N2773" s="94"/>
    </row>
    <row r="2774">
      <c r="A2774" s="107">
        <v>203805.0</v>
      </c>
      <c r="B2774" s="108" t="s">
        <v>90</v>
      </c>
      <c r="C2774" s="108" t="s">
        <v>730</v>
      </c>
      <c r="D2774" s="100" t="str">
        <f t="shared" si="1"/>
        <v/>
      </c>
      <c r="E2774" s="100" t="str">
        <f t="shared" si="2"/>
        <v/>
      </c>
      <c r="F2774" s="100" t="str">
        <f t="shared" si="3"/>
        <v/>
      </c>
      <c r="G2774" s="151"/>
      <c r="H2774" s="160"/>
      <c r="I2774" s="157"/>
      <c r="J2774" s="161"/>
      <c r="L2774" s="94"/>
      <c r="M2774" s="159"/>
      <c r="N2774" s="94"/>
    </row>
    <row r="2775">
      <c r="A2775" s="107">
        <v>203810.0</v>
      </c>
      <c r="B2775" s="108" t="s">
        <v>85</v>
      </c>
      <c r="C2775" s="108" t="s">
        <v>731</v>
      </c>
      <c r="D2775" s="100" t="str">
        <f t="shared" si="1"/>
        <v/>
      </c>
      <c r="E2775" s="100" t="str">
        <f t="shared" si="2"/>
        <v/>
      </c>
      <c r="F2775" s="100" t="str">
        <f t="shared" si="3"/>
        <v/>
      </c>
      <c r="G2775" s="151"/>
      <c r="H2775" s="156"/>
      <c r="I2775" s="157"/>
      <c r="J2775" s="158"/>
      <c r="L2775" s="94"/>
      <c r="M2775" s="159"/>
      <c r="N2775" s="94"/>
    </row>
    <row r="2776">
      <c r="A2776" s="107">
        <v>203816.0</v>
      </c>
      <c r="B2776" s="108" t="s">
        <v>85</v>
      </c>
      <c r="C2776" s="108" t="s">
        <v>732</v>
      </c>
      <c r="D2776" s="100" t="str">
        <f t="shared" si="1"/>
        <v/>
      </c>
      <c r="E2776" s="100" t="str">
        <f t="shared" si="2"/>
        <v/>
      </c>
      <c r="F2776" s="100" t="str">
        <f t="shared" si="3"/>
        <v/>
      </c>
      <c r="G2776" s="151"/>
      <c r="H2776" s="160"/>
      <c r="I2776" s="157"/>
      <c r="J2776" s="161"/>
      <c r="L2776" s="94"/>
      <c r="M2776" s="159"/>
      <c r="N2776" s="94"/>
    </row>
    <row r="2777">
      <c r="A2777" s="107">
        <v>203816.0</v>
      </c>
      <c r="B2777" s="108" t="s">
        <v>191</v>
      </c>
      <c r="C2777" s="108" t="s">
        <v>732</v>
      </c>
      <c r="D2777" s="100" t="str">
        <f t="shared" si="1"/>
        <v/>
      </c>
      <c r="E2777" s="100" t="str">
        <f t="shared" si="2"/>
        <v/>
      </c>
      <c r="F2777" s="100" t="str">
        <f t="shared" si="3"/>
        <v/>
      </c>
      <c r="G2777" s="151"/>
      <c r="H2777" s="156"/>
      <c r="I2777" s="157"/>
      <c r="J2777" s="158"/>
      <c r="L2777" s="94"/>
      <c r="M2777" s="159"/>
      <c r="N2777" s="94"/>
    </row>
    <row r="2778">
      <c r="A2778" s="107">
        <v>203816.0</v>
      </c>
      <c r="B2778" s="108" t="s">
        <v>215</v>
      </c>
      <c r="C2778" s="108" t="s">
        <v>732</v>
      </c>
      <c r="D2778" s="100" t="str">
        <f t="shared" si="1"/>
        <v/>
      </c>
      <c r="E2778" s="100" t="str">
        <f t="shared" si="2"/>
        <v/>
      </c>
      <c r="F2778" s="100" t="str">
        <f t="shared" si="3"/>
        <v/>
      </c>
      <c r="G2778" s="151"/>
      <c r="H2778" s="160"/>
      <c r="I2778" s="157"/>
      <c r="J2778" s="161"/>
      <c r="L2778" s="94"/>
      <c r="M2778" s="159"/>
      <c r="N2778" s="94"/>
    </row>
    <row r="2779">
      <c r="A2779" s="107">
        <v>203893.0</v>
      </c>
      <c r="B2779" s="108" t="s">
        <v>90</v>
      </c>
      <c r="C2779" s="108" t="s">
        <v>733</v>
      </c>
      <c r="D2779" s="100" t="str">
        <f t="shared" si="1"/>
        <v/>
      </c>
      <c r="E2779" s="100" t="str">
        <f t="shared" si="2"/>
        <v/>
      </c>
      <c r="F2779" s="100" t="str">
        <f t="shared" si="3"/>
        <v/>
      </c>
      <c r="G2779" s="151"/>
      <c r="H2779" s="156"/>
      <c r="I2779" s="157"/>
      <c r="J2779" s="158"/>
      <c r="L2779" s="94"/>
      <c r="M2779" s="159"/>
      <c r="N2779" s="94"/>
    </row>
    <row r="2780">
      <c r="A2780" s="107">
        <v>203893.0</v>
      </c>
      <c r="B2780" s="108" t="s">
        <v>92</v>
      </c>
      <c r="C2780" s="108" t="s">
        <v>733</v>
      </c>
      <c r="D2780" s="100" t="str">
        <f t="shared" si="1"/>
        <v/>
      </c>
      <c r="E2780" s="100" t="str">
        <f t="shared" si="2"/>
        <v/>
      </c>
      <c r="F2780" s="100" t="str">
        <f t="shared" si="3"/>
        <v/>
      </c>
      <c r="G2780" s="151"/>
      <c r="H2780" s="160"/>
      <c r="I2780" s="157"/>
      <c r="J2780" s="161"/>
      <c r="L2780" s="94"/>
      <c r="M2780" s="159"/>
      <c r="N2780" s="94"/>
    </row>
    <row r="2781">
      <c r="A2781" s="107">
        <v>203894.0</v>
      </c>
      <c r="B2781" s="108" t="s">
        <v>90</v>
      </c>
      <c r="C2781" s="108" t="s">
        <v>734</v>
      </c>
      <c r="D2781" s="100" t="str">
        <f t="shared" si="1"/>
        <v/>
      </c>
      <c r="E2781" s="100" t="str">
        <f t="shared" si="2"/>
        <v/>
      </c>
      <c r="F2781" s="100" t="str">
        <f t="shared" si="3"/>
        <v/>
      </c>
      <c r="G2781" s="151"/>
      <c r="H2781" s="156"/>
      <c r="I2781" s="157"/>
      <c r="J2781" s="158"/>
      <c r="L2781" s="94"/>
      <c r="M2781" s="159"/>
      <c r="N2781" s="94"/>
    </row>
    <row r="2782">
      <c r="A2782" s="107">
        <v>203894.0</v>
      </c>
      <c r="B2782" s="108" t="s">
        <v>92</v>
      </c>
      <c r="C2782" s="108" t="s">
        <v>734</v>
      </c>
      <c r="D2782" s="100" t="str">
        <f t="shared" si="1"/>
        <v/>
      </c>
      <c r="E2782" s="100" t="str">
        <f t="shared" si="2"/>
        <v/>
      </c>
      <c r="F2782" s="100" t="str">
        <f t="shared" si="3"/>
        <v/>
      </c>
      <c r="G2782" s="151"/>
      <c r="H2782" s="160"/>
      <c r="I2782" s="157"/>
      <c r="J2782" s="161"/>
      <c r="L2782" s="94"/>
      <c r="M2782" s="159"/>
      <c r="N2782" s="94"/>
    </row>
    <row r="2783">
      <c r="A2783" s="107">
        <v>203894.0</v>
      </c>
      <c r="B2783" s="108" t="s">
        <v>190</v>
      </c>
      <c r="C2783" s="108" t="s">
        <v>734</v>
      </c>
      <c r="D2783" s="100" t="str">
        <f t="shared" si="1"/>
        <v/>
      </c>
      <c r="E2783" s="100" t="str">
        <f t="shared" si="2"/>
        <v/>
      </c>
      <c r="F2783" s="100" t="str">
        <f t="shared" si="3"/>
        <v/>
      </c>
      <c r="G2783" s="151"/>
      <c r="H2783" s="156"/>
      <c r="I2783" s="157"/>
      <c r="J2783" s="158"/>
      <c r="L2783" s="94"/>
      <c r="M2783" s="159"/>
      <c r="N2783" s="94"/>
    </row>
    <row r="2784">
      <c r="A2784" s="107">
        <v>203894.0</v>
      </c>
      <c r="B2784" s="108" t="s">
        <v>191</v>
      </c>
      <c r="C2784" s="108" t="s">
        <v>734</v>
      </c>
      <c r="D2784" s="100" t="str">
        <f t="shared" si="1"/>
        <v/>
      </c>
      <c r="E2784" s="100" t="str">
        <f t="shared" si="2"/>
        <v/>
      </c>
      <c r="F2784" s="100" t="str">
        <f t="shared" si="3"/>
        <v/>
      </c>
      <c r="G2784" s="151"/>
      <c r="H2784" s="160"/>
      <c r="I2784" s="157"/>
      <c r="J2784" s="161"/>
      <c r="L2784" s="94"/>
      <c r="M2784" s="159"/>
      <c r="N2784" s="94"/>
    </row>
    <row r="2785">
      <c r="A2785" s="107">
        <v>203894.0</v>
      </c>
      <c r="B2785" s="108" t="s">
        <v>192</v>
      </c>
      <c r="C2785" s="108" t="s">
        <v>734</v>
      </c>
      <c r="D2785" s="100" t="str">
        <f t="shared" si="1"/>
        <v/>
      </c>
      <c r="E2785" s="100" t="str">
        <f t="shared" si="2"/>
        <v/>
      </c>
      <c r="F2785" s="100" t="str">
        <f t="shared" si="3"/>
        <v/>
      </c>
      <c r="G2785" s="151"/>
      <c r="H2785" s="156"/>
      <c r="I2785" s="157"/>
      <c r="J2785" s="158"/>
      <c r="L2785" s="94"/>
      <c r="M2785" s="159"/>
      <c r="N2785" s="94"/>
    </row>
    <row r="2786">
      <c r="A2786" s="107">
        <v>203894.0</v>
      </c>
      <c r="B2786" s="108" t="s">
        <v>193</v>
      </c>
      <c r="C2786" s="108" t="s">
        <v>734</v>
      </c>
      <c r="D2786" s="100" t="str">
        <f t="shared" si="1"/>
        <v/>
      </c>
      <c r="E2786" s="100" t="str">
        <f t="shared" si="2"/>
        <v/>
      </c>
      <c r="F2786" s="100" t="str">
        <f t="shared" si="3"/>
        <v/>
      </c>
      <c r="G2786" s="151"/>
      <c r="H2786" s="160"/>
      <c r="I2786" s="157"/>
      <c r="J2786" s="161"/>
      <c r="L2786" s="94"/>
      <c r="M2786" s="159"/>
      <c r="N2786" s="94"/>
    </row>
    <row r="2787">
      <c r="A2787" s="107">
        <v>203895.0</v>
      </c>
      <c r="B2787" s="108" t="s">
        <v>92</v>
      </c>
      <c r="C2787" s="108" t="s">
        <v>735</v>
      </c>
      <c r="D2787" s="100" t="str">
        <f t="shared" si="1"/>
        <v/>
      </c>
      <c r="E2787" s="100" t="str">
        <f t="shared" si="2"/>
        <v/>
      </c>
      <c r="F2787" s="100" t="str">
        <f t="shared" si="3"/>
        <v/>
      </c>
      <c r="G2787" s="151"/>
      <c r="H2787" s="156"/>
      <c r="I2787" s="157"/>
      <c r="J2787" s="158"/>
      <c r="L2787" s="94"/>
      <c r="M2787" s="159"/>
      <c r="N2787" s="94"/>
    </row>
    <row r="2788">
      <c r="A2788" s="107">
        <v>203895.0</v>
      </c>
      <c r="B2788" s="108" t="s">
        <v>190</v>
      </c>
      <c r="C2788" s="108" t="s">
        <v>735</v>
      </c>
      <c r="D2788" s="100" t="str">
        <f t="shared" si="1"/>
        <v/>
      </c>
      <c r="E2788" s="100" t="str">
        <f t="shared" si="2"/>
        <v/>
      </c>
      <c r="F2788" s="100" t="str">
        <f t="shared" si="3"/>
        <v/>
      </c>
      <c r="G2788" s="151"/>
      <c r="H2788" s="160"/>
      <c r="I2788" s="157"/>
      <c r="J2788" s="161"/>
      <c r="L2788" s="94"/>
      <c r="M2788" s="159"/>
      <c r="N2788" s="94"/>
    </row>
    <row r="2789">
      <c r="A2789" s="107">
        <v>203895.0</v>
      </c>
      <c r="B2789" s="108" t="s">
        <v>192</v>
      </c>
      <c r="C2789" s="108" t="s">
        <v>735</v>
      </c>
      <c r="D2789" s="100" t="str">
        <f t="shared" si="1"/>
        <v/>
      </c>
      <c r="E2789" s="100" t="str">
        <f t="shared" si="2"/>
        <v/>
      </c>
      <c r="F2789" s="100" t="str">
        <f t="shared" si="3"/>
        <v/>
      </c>
      <c r="G2789" s="151"/>
      <c r="H2789" s="156"/>
      <c r="I2789" s="157"/>
      <c r="J2789" s="158"/>
      <c r="L2789" s="94"/>
      <c r="M2789" s="159"/>
      <c r="N2789" s="94"/>
    </row>
    <row r="2790">
      <c r="A2790" s="107">
        <v>203895.0</v>
      </c>
      <c r="B2790" s="108" t="s">
        <v>193</v>
      </c>
      <c r="C2790" s="108" t="s">
        <v>735</v>
      </c>
      <c r="D2790" s="100" t="str">
        <f t="shared" si="1"/>
        <v/>
      </c>
      <c r="E2790" s="100" t="str">
        <f t="shared" si="2"/>
        <v/>
      </c>
      <c r="F2790" s="100" t="str">
        <f t="shared" si="3"/>
        <v/>
      </c>
      <c r="G2790" s="151"/>
      <c r="H2790" s="160"/>
      <c r="I2790" s="157"/>
      <c r="J2790" s="161"/>
      <c r="L2790" s="94"/>
      <c r="M2790" s="159"/>
      <c r="N2790" s="94"/>
    </row>
    <row r="2791">
      <c r="A2791" s="107">
        <v>203897.0</v>
      </c>
      <c r="B2791" s="108" t="s">
        <v>90</v>
      </c>
      <c r="C2791" s="108" t="s">
        <v>736</v>
      </c>
      <c r="D2791" s="100" t="str">
        <f t="shared" si="1"/>
        <v/>
      </c>
      <c r="E2791" s="100" t="str">
        <f t="shared" si="2"/>
        <v/>
      </c>
      <c r="F2791" s="100" t="str">
        <f t="shared" si="3"/>
        <v/>
      </c>
      <c r="G2791" s="151"/>
      <c r="H2791" s="156"/>
      <c r="I2791" s="157"/>
      <c r="J2791" s="158"/>
      <c r="L2791" s="94"/>
      <c r="M2791" s="159"/>
      <c r="N2791" s="94"/>
    </row>
    <row r="2792">
      <c r="A2792" s="107">
        <v>203897.0</v>
      </c>
      <c r="B2792" s="108" t="s">
        <v>92</v>
      </c>
      <c r="C2792" s="108" t="s">
        <v>736</v>
      </c>
      <c r="D2792" s="100" t="str">
        <f t="shared" si="1"/>
        <v/>
      </c>
      <c r="E2792" s="100" t="str">
        <f t="shared" si="2"/>
        <v/>
      </c>
      <c r="F2792" s="100" t="str">
        <f t="shared" si="3"/>
        <v/>
      </c>
      <c r="G2792" s="151"/>
      <c r="H2792" s="160"/>
      <c r="I2792" s="157"/>
      <c r="J2792" s="161"/>
      <c r="L2792" s="94"/>
      <c r="M2792" s="159"/>
      <c r="N2792" s="94"/>
    </row>
    <row r="2793">
      <c r="A2793" s="107">
        <v>203897.0</v>
      </c>
      <c r="B2793" s="108" t="s">
        <v>190</v>
      </c>
      <c r="C2793" s="108" t="s">
        <v>736</v>
      </c>
      <c r="D2793" s="100" t="str">
        <f t="shared" si="1"/>
        <v/>
      </c>
      <c r="E2793" s="100" t="str">
        <f t="shared" si="2"/>
        <v/>
      </c>
      <c r="F2793" s="100" t="str">
        <f t="shared" si="3"/>
        <v/>
      </c>
      <c r="G2793" s="151"/>
      <c r="H2793" s="156"/>
      <c r="I2793" s="157"/>
      <c r="J2793" s="158"/>
      <c r="L2793" s="94"/>
      <c r="M2793" s="159"/>
      <c r="N2793" s="94"/>
    </row>
    <row r="2794">
      <c r="A2794" s="107">
        <v>203897.0</v>
      </c>
      <c r="B2794" s="108" t="s">
        <v>191</v>
      </c>
      <c r="C2794" s="108" t="s">
        <v>736</v>
      </c>
      <c r="D2794" s="100" t="str">
        <f t="shared" si="1"/>
        <v/>
      </c>
      <c r="E2794" s="100" t="str">
        <f t="shared" si="2"/>
        <v/>
      </c>
      <c r="F2794" s="100" t="str">
        <f t="shared" si="3"/>
        <v/>
      </c>
      <c r="G2794" s="151"/>
      <c r="H2794" s="160"/>
      <c r="I2794" s="157"/>
      <c r="J2794" s="161"/>
      <c r="L2794" s="94"/>
      <c r="M2794" s="159"/>
      <c r="N2794" s="94"/>
    </row>
    <row r="2795">
      <c r="A2795" s="107">
        <v>203897.0</v>
      </c>
      <c r="B2795" s="108" t="s">
        <v>192</v>
      </c>
      <c r="C2795" s="108" t="s">
        <v>736</v>
      </c>
      <c r="D2795" s="100" t="str">
        <f t="shared" si="1"/>
        <v/>
      </c>
      <c r="E2795" s="100" t="str">
        <f t="shared" si="2"/>
        <v/>
      </c>
      <c r="F2795" s="100" t="str">
        <f t="shared" si="3"/>
        <v/>
      </c>
      <c r="G2795" s="151"/>
      <c r="H2795" s="156"/>
      <c r="I2795" s="157"/>
      <c r="J2795" s="158"/>
      <c r="L2795" s="94"/>
      <c r="M2795" s="159"/>
      <c r="N2795" s="94"/>
    </row>
    <row r="2796">
      <c r="A2796" s="107">
        <v>203897.0</v>
      </c>
      <c r="B2796" s="108" t="s">
        <v>193</v>
      </c>
      <c r="C2796" s="108" t="s">
        <v>736</v>
      </c>
      <c r="D2796" s="100" t="str">
        <f t="shared" si="1"/>
        <v/>
      </c>
      <c r="E2796" s="100" t="str">
        <f t="shared" si="2"/>
        <v/>
      </c>
      <c r="F2796" s="100" t="str">
        <f t="shared" si="3"/>
        <v/>
      </c>
      <c r="G2796" s="151"/>
      <c r="H2796" s="160"/>
      <c r="I2796" s="157"/>
      <c r="J2796" s="161"/>
      <c r="L2796" s="94"/>
      <c r="M2796" s="159"/>
      <c r="N2796" s="94"/>
    </row>
    <row r="2797">
      <c r="A2797" s="107">
        <v>203897.0</v>
      </c>
      <c r="B2797" s="108" t="s">
        <v>243</v>
      </c>
      <c r="C2797" s="108" t="s">
        <v>736</v>
      </c>
      <c r="D2797" s="100" t="str">
        <f t="shared" si="1"/>
        <v/>
      </c>
      <c r="E2797" s="100" t="str">
        <f t="shared" si="2"/>
        <v/>
      </c>
      <c r="F2797" s="100" t="str">
        <f t="shared" si="3"/>
        <v/>
      </c>
      <c r="G2797" s="151"/>
      <c r="H2797" s="156"/>
      <c r="I2797" s="157"/>
      <c r="J2797" s="158"/>
      <c r="L2797" s="94"/>
      <c r="M2797" s="159"/>
      <c r="N2797" s="94"/>
    </row>
    <row r="2798">
      <c r="A2798" s="107">
        <v>203897.0</v>
      </c>
      <c r="B2798" s="108" t="s">
        <v>215</v>
      </c>
      <c r="C2798" s="108" t="s">
        <v>736</v>
      </c>
      <c r="D2798" s="100" t="str">
        <f t="shared" si="1"/>
        <v/>
      </c>
      <c r="E2798" s="100" t="str">
        <f t="shared" si="2"/>
        <v/>
      </c>
      <c r="F2798" s="100" t="str">
        <f t="shared" si="3"/>
        <v/>
      </c>
      <c r="G2798" s="151"/>
      <c r="H2798" s="160"/>
      <c r="I2798" s="157"/>
      <c r="J2798" s="161"/>
      <c r="L2798" s="94"/>
      <c r="M2798" s="159"/>
      <c r="N2798" s="94"/>
    </row>
    <row r="2799">
      <c r="A2799" s="107">
        <v>203897.0</v>
      </c>
      <c r="B2799" s="108" t="s">
        <v>244</v>
      </c>
      <c r="C2799" s="108" t="s">
        <v>736</v>
      </c>
      <c r="D2799" s="100" t="str">
        <f t="shared" si="1"/>
        <v/>
      </c>
      <c r="E2799" s="100" t="str">
        <f t="shared" si="2"/>
        <v/>
      </c>
      <c r="F2799" s="100" t="str">
        <f t="shared" si="3"/>
        <v/>
      </c>
      <c r="G2799" s="151"/>
      <c r="H2799" s="156"/>
      <c r="I2799" s="157"/>
      <c r="J2799" s="158"/>
      <c r="L2799" s="94"/>
      <c r="M2799" s="159"/>
      <c r="N2799" s="94"/>
    </row>
    <row r="2800">
      <c r="A2800" s="107">
        <v>203897.0</v>
      </c>
      <c r="B2800" s="108" t="s">
        <v>245</v>
      </c>
      <c r="C2800" s="108" t="s">
        <v>736</v>
      </c>
      <c r="D2800" s="100" t="str">
        <f t="shared" si="1"/>
        <v/>
      </c>
      <c r="E2800" s="100" t="str">
        <f t="shared" si="2"/>
        <v/>
      </c>
      <c r="F2800" s="100" t="str">
        <f t="shared" si="3"/>
        <v/>
      </c>
      <c r="G2800" s="151"/>
      <c r="H2800" s="160"/>
      <c r="I2800" s="157"/>
      <c r="J2800" s="161"/>
      <c r="L2800" s="94"/>
      <c r="M2800" s="159"/>
      <c r="N2800" s="94"/>
    </row>
    <row r="2801">
      <c r="A2801" s="107">
        <v>203897.0</v>
      </c>
      <c r="B2801" s="108" t="s">
        <v>246</v>
      </c>
      <c r="C2801" s="108" t="s">
        <v>736</v>
      </c>
      <c r="D2801" s="100" t="str">
        <f t="shared" si="1"/>
        <v/>
      </c>
      <c r="E2801" s="100" t="str">
        <f t="shared" si="2"/>
        <v/>
      </c>
      <c r="F2801" s="100" t="str">
        <f t="shared" si="3"/>
        <v/>
      </c>
      <c r="G2801" s="151"/>
      <c r="H2801" s="156"/>
      <c r="I2801" s="157"/>
      <c r="J2801" s="158"/>
      <c r="L2801" s="94"/>
      <c r="M2801" s="159"/>
      <c r="N2801" s="94"/>
    </row>
    <row r="2802">
      <c r="A2802" s="149">
        <v>203897.0</v>
      </c>
      <c r="B2802" s="115" t="s">
        <v>247</v>
      </c>
      <c r="C2802" s="115" t="s">
        <v>736</v>
      </c>
      <c r="D2802" s="100" t="str">
        <f t="shared" si="1"/>
        <v/>
      </c>
      <c r="E2802" s="100" t="str">
        <f t="shared" si="2"/>
        <v/>
      </c>
      <c r="F2802" s="100" t="str">
        <f t="shared" si="3"/>
        <v/>
      </c>
      <c r="G2802" s="151"/>
      <c r="H2802" s="160"/>
      <c r="I2802" s="157"/>
      <c r="J2802" s="161"/>
      <c r="L2802" s="94"/>
      <c r="M2802" s="159"/>
      <c r="N2802" s="94"/>
    </row>
    <row r="2803">
      <c r="A2803" s="21">
        <v>203898.0</v>
      </c>
      <c r="B2803" s="164" t="s">
        <v>90</v>
      </c>
      <c r="C2803" s="164" t="s">
        <v>737</v>
      </c>
      <c r="D2803" s="100" t="str">
        <f t="shared" si="1"/>
        <v/>
      </c>
      <c r="E2803" s="100" t="str">
        <f t="shared" si="2"/>
        <v/>
      </c>
      <c r="F2803" s="100" t="str">
        <f t="shared" si="3"/>
        <v/>
      </c>
      <c r="G2803" s="151"/>
      <c r="H2803" s="156"/>
      <c r="I2803" s="157"/>
      <c r="J2803" s="158"/>
      <c r="L2803" s="94"/>
      <c r="M2803" s="159"/>
      <c r="N2803" s="94"/>
    </row>
    <row r="2804">
      <c r="A2804" s="107">
        <v>203898.0</v>
      </c>
      <c r="B2804" s="108" t="s">
        <v>92</v>
      </c>
      <c r="C2804" s="108" t="s">
        <v>737</v>
      </c>
      <c r="D2804" s="100" t="str">
        <f t="shared" si="1"/>
        <v/>
      </c>
      <c r="E2804" s="100" t="str">
        <f t="shared" si="2"/>
        <v/>
      </c>
      <c r="F2804" s="100" t="str">
        <f t="shared" si="3"/>
        <v/>
      </c>
      <c r="G2804" s="151"/>
      <c r="H2804" s="160"/>
      <c r="I2804" s="157"/>
      <c r="J2804" s="161"/>
      <c r="L2804" s="94"/>
      <c r="M2804" s="159"/>
      <c r="N2804" s="94"/>
    </row>
    <row r="2805">
      <c r="A2805" s="107">
        <v>203898.0</v>
      </c>
      <c r="B2805" s="108" t="s">
        <v>190</v>
      </c>
      <c r="C2805" s="108" t="s">
        <v>737</v>
      </c>
      <c r="D2805" s="100" t="str">
        <f t="shared" si="1"/>
        <v/>
      </c>
      <c r="E2805" s="100" t="str">
        <f t="shared" si="2"/>
        <v/>
      </c>
      <c r="F2805" s="100" t="str">
        <f t="shared" si="3"/>
        <v/>
      </c>
      <c r="G2805" s="151"/>
      <c r="H2805" s="156"/>
      <c r="I2805" s="157"/>
      <c r="J2805" s="158"/>
      <c r="L2805" s="94"/>
      <c r="M2805" s="159"/>
      <c r="N2805" s="94"/>
    </row>
    <row r="2806">
      <c r="A2806" s="107">
        <v>203898.0</v>
      </c>
      <c r="B2806" s="108" t="s">
        <v>191</v>
      </c>
      <c r="C2806" s="108" t="s">
        <v>737</v>
      </c>
      <c r="D2806" s="100" t="str">
        <f t="shared" si="1"/>
        <v/>
      </c>
      <c r="E2806" s="100" t="str">
        <f t="shared" si="2"/>
        <v/>
      </c>
      <c r="F2806" s="100" t="str">
        <f t="shared" si="3"/>
        <v/>
      </c>
      <c r="G2806" s="151"/>
      <c r="H2806" s="160"/>
      <c r="I2806" s="157"/>
      <c r="J2806" s="161"/>
      <c r="L2806" s="94"/>
      <c r="M2806" s="159"/>
      <c r="N2806" s="94"/>
    </row>
    <row r="2807">
      <c r="A2807" s="107">
        <v>203900.0</v>
      </c>
      <c r="B2807" s="108" t="s">
        <v>90</v>
      </c>
      <c r="C2807" s="108" t="s">
        <v>738</v>
      </c>
      <c r="D2807" s="100" t="str">
        <f t="shared" si="1"/>
        <v/>
      </c>
      <c r="E2807" s="100" t="str">
        <f t="shared" si="2"/>
        <v/>
      </c>
      <c r="F2807" s="100" t="str">
        <f t="shared" si="3"/>
        <v/>
      </c>
      <c r="G2807" s="151"/>
      <c r="H2807" s="156"/>
      <c r="I2807" s="157"/>
      <c r="J2807" s="158"/>
      <c r="L2807" s="94"/>
      <c r="M2807" s="159"/>
      <c r="N2807" s="94"/>
    </row>
    <row r="2808">
      <c r="A2808" s="107">
        <v>203900.0</v>
      </c>
      <c r="B2808" s="108" t="s">
        <v>92</v>
      </c>
      <c r="C2808" s="108" t="s">
        <v>738</v>
      </c>
      <c r="D2808" s="100" t="str">
        <f t="shared" si="1"/>
        <v/>
      </c>
      <c r="E2808" s="100" t="str">
        <f t="shared" si="2"/>
        <v/>
      </c>
      <c r="F2808" s="100" t="str">
        <f t="shared" si="3"/>
        <v/>
      </c>
      <c r="G2808" s="151"/>
      <c r="H2808" s="160"/>
      <c r="I2808" s="157"/>
      <c r="J2808" s="161"/>
      <c r="L2808" s="94"/>
      <c r="M2808" s="159"/>
      <c r="N2808" s="94"/>
    </row>
    <row r="2809">
      <c r="A2809" s="107">
        <v>203900.0</v>
      </c>
      <c r="B2809" s="108" t="s">
        <v>191</v>
      </c>
      <c r="C2809" s="108" t="s">
        <v>738</v>
      </c>
      <c r="D2809" s="100" t="str">
        <f t="shared" si="1"/>
        <v/>
      </c>
      <c r="E2809" s="100" t="str">
        <f t="shared" si="2"/>
        <v/>
      </c>
      <c r="F2809" s="100" t="str">
        <f t="shared" si="3"/>
        <v/>
      </c>
      <c r="G2809" s="151"/>
      <c r="H2809" s="156"/>
      <c r="I2809" s="157"/>
      <c r="J2809" s="158"/>
      <c r="L2809" s="94"/>
      <c r="M2809" s="159"/>
      <c r="N2809" s="94"/>
    </row>
    <row r="2810">
      <c r="A2810" s="107">
        <v>203901.0</v>
      </c>
      <c r="B2810" s="108" t="s">
        <v>90</v>
      </c>
      <c r="C2810" s="108" t="s">
        <v>739</v>
      </c>
      <c r="D2810" s="100" t="str">
        <f t="shared" si="1"/>
        <v/>
      </c>
      <c r="E2810" s="100" t="str">
        <f t="shared" si="2"/>
        <v/>
      </c>
      <c r="F2810" s="100" t="str">
        <f t="shared" si="3"/>
        <v/>
      </c>
      <c r="G2810" s="151"/>
      <c r="H2810" s="160"/>
      <c r="I2810" s="157"/>
      <c r="J2810" s="161"/>
      <c r="L2810" s="94"/>
      <c r="M2810" s="159"/>
      <c r="N2810" s="94"/>
    </row>
    <row r="2811">
      <c r="A2811" s="107">
        <v>203901.0</v>
      </c>
      <c r="B2811" s="108" t="s">
        <v>92</v>
      </c>
      <c r="C2811" s="108" t="s">
        <v>739</v>
      </c>
      <c r="D2811" s="100" t="str">
        <f t="shared" si="1"/>
        <v/>
      </c>
      <c r="E2811" s="100" t="str">
        <f t="shared" si="2"/>
        <v/>
      </c>
      <c r="F2811" s="100" t="str">
        <f t="shared" si="3"/>
        <v/>
      </c>
      <c r="G2811" s="151"/>
      <c r="H2811" s="156"/>
      <c r="I2811" s="157"/>
      <c r="J2811" s="158"/>
      <c r="L2811" s="94"/>
      <c r="M2811" s="159"/>
      <c r="N2811" s="94"/>
    </row>
    <row r="2812">
      <c r="A2812" s="107">
        <v>203901.0</v>
      </c>
      <c r="B2812" s="108" t="s">
        <v>190</v>
      </c>
      <c r="C2812" s="108" t="s">
        <v>739</v>
      </c>
      <c r="D2812" s="100" t="str">
        <f t="shared" si="1"/>
        <v/>
      </c>
      <c r="E2812" s="100" t="str">
        <f t="shared" si="2"/>
        <v/>
      </c>
      <c r="F2812" s="100" t="str">
        <f t="shared" si="3"/>
        <v/>
      </c>
      <c r="G2812" s="151"/>
      <c r="H2812" s="160"/>
      <c r="I2812" s="157"/>
      <c r="J2812" s="161"/>
      <c r="L2812" s="94"/>
      <c r="M2812" s="159"/>
      <c r="N2812" s="94"/>
    </row>
    <row r="2813">
      <c r="A2813" s="107">
        <v>203901.0</v>
      </c>
      <c r="B2813" s="108" t="s">
        <v>191</v>
      </c>
      <c r="C2813" s="108" t="s">
        <v>739</v>
      </c>
      <c r="D2813" s="100" t="str">
        <f t="shared" si="1"/>
        <v/>
      </c>
      <c r="E2813" s="100" t="str">
        <f t="shared" si="2"/>
        <v/>
      </c>
      <c r="F2813" s="100" t="str">
        <f t="shared" si="3"/>
        <v/>
      </c>
      <c r="G2813" s="151"/>
      <c r="H2813" s="156"/>
      <c r="I2813" s="157"/>
      <c r="J2813" s="158"/>
      <c r="L2813" s="94"/>
      <c r="M2813" s="159"/>
      <c r="N2813" s="94"/>
    </row>
    <row r="2814">
      <c r="A2814" s="107">
        <v>203901.0</v>
      </c>
      <c r="B2814" s="108" t="s">
        <v>192</v>
      </c>
      <c r="C2814" s="108" t="s">
        <v>739</v>
      </c>
      <c r="D2814" s="100" t="str">
        <f t="shared" si="1"/>
        <v/>
      </c>
      <c r="E2814" s="100" t="str">
        <f t="shared" si="2"/>
        <v/>
      </c>
      <c r="F2814" s="100" t="str">
        <f t="shared" si="3"/>
        <v/>
      </c>
      <c r="G2814" s="151"/>
      <c r="H2814" s="160"/>
      <c r="I2814" s="157"/>
      <c r="J2814" s="161"/>
      <c r="L2814" s="94"/>
      <c r="M2814" s="159"/>
      <c r="N2814" s="94"/>
    </row>
    <row r="2815">
      <c r="A2815" s="107">
        <v>203901.0</v>
      </c>
      <c r="B2815" s="108" t="s">
        <v>193</v>
      </c>
      <c r="C2815" s="108" t="s">
        <v>739</v>
      </c>
      <c r="D2815" s="100" t="str">
        <f t="shared" si="1"/>
        <v/>
      </c>
      <c r="E2815" s="100" t="str">
        <f t="shared" si="2"/>
        <v/>
      </c>
      <c r="F2815" s="100" t="str">
        <f t="shared" si="3"/>
        <v/>
      </c>
      <c r="G2815" s="151"/>
      <c r="H2815" s="156"/>
      <c r="I2815" s="157"/>
      <c r="J2815" s="158"/>
      <c r="L2815" s="94"/>
      <c r="M2815" s="159"/>
      <c r="N2815" s="94"/>
    </row>
    <row r="2816">
      <c r="A2816" s="107">
        <v>203901.0</v>
      </c>
      <c r="B2816" s="108" t="s">
        <v>243</v>
      </c>
      <c r="C2816" s="108" t="s">
        <v>739</v>
      </c>
      <c r="D2816" s="100" t="str">
        <f t="shared" si="1"/>
        <v/>
      </c>
      <c r="E2816" s="100" t="str">
        <f t="shared" si="2"/>
        <v/>
      </c>
      <c r="F2816" s="100" t="str">
        <f t="shared" si="3"/>
        <v/>
      </c>
      <c r="G2816" s="151"/>
      <c r="H2816" s="160"/>
      <c r="I2816" s="157"/>
      <c r="J2816" s="161"/>
      <c r="L2816" s="94"/>
      <c r="M2816" s="159"/>
      <c r="N2816" s="94"/>
    </row>
    <row r="2817">
      <c r="A2817" s="107">
        <v>203901.0</v>
      </c>
      <c r="B2817" s="108" t="s">
        <v>215</v>
      </c>
      <c r="C2817" s="108" t="s">
        <v>739</v>
      </c>
      <c r="D2817" s="100" t="str">
        <f t="shared" si="1"/>
        <v/>
      </c>
      <c r="E2817" s="100" t="str">
        <f t="shared" si="2"/>
        <v/>
      </c>
      <c r="F2817" s="100" t="str">
        <f t="shared" si="3"/>
        <v/>
      </c>
      <c r="G2817" s="151"/>
      <c r="H2817" s="156"/>
      <c r="I2817" s="157"/>
      <c r="J2817" s="158"/>
      <c r="L2817" s="94"/>
      <c r="M2817" s="159"/>
      <c r="N2817" s="94"/>
    </row>
    <row r="2818">
      <c r="A2818" s="107">
        <v>203901.0</v>
      </c>
      <c r="B2818" s="108" t="s">
        <v>246</v>
      </c>
      <c r="C2818" s="108" t="s">
        <v>739</v>
      </c>
      <c r="D2818" s="100" t="str">
        <f t="shared" si="1"/>
        <v/>
      </c>
      <c r="E2818" s="100" t="str">
        <f t="shared" si="2"/>
        <v/>
      </c>
      <c r="F2818" s="100" t="str">
        <f t="shared" si="3"/>
        <v/>
      </c>
      <c r="G2818" s="151"/>
      <c r="H2818" s="160"/>
      <c r="I2818" s="157"/>
      <c r="J2818" s="161"/>
      <c r="L2818" s="94"/>
      <c r="M2818" s="159"/>
      <c r="N2818" s="94"/>
    </row>
    <row r="2819">
      <c r="A2819" s="120">
        <v>203902.0</v>
      </c>
      <c r="B2819" s="121" t="s">
        <v>190</v>
      </c>
      <c r="C2819" s="121" t="s">
        <v>740</v>
      </c>
      <c r="D2819" s="100" t="str">
        <f t="shared" si="1"/>
        <v/>
      </c>
      <c r="E2819" s="100" t="str">
        <f t="shared" si="2"/>
        <v/>
      </c>
      <c r="F2819" s="100" t="str">
        <f t="shared" si="3"/>
        <v/>
      </c>
      <c r="G2819" s="151"/>
      <c r="H2819" s="156"/>
      <c r="I2819" s="157"/>
      <c r="J2819" s="158"/>
      <c r="L2819" s="94"/>
      <c r="M2819" s="159"/>
      <c r="N2819" s="94"/>
    </row>
    <row r="2820">
      <c r="A2820" s="107">
        <v>203903.0</v>
      </c>
      <c r="B2820" s="108" t="s">
        <v>90</v>
      </c>
      <c r="C2820" s="108" t="s">
        <v>741</v>
      </c>
      <c r="D2820" s="100" t="str">
        <f t="shared" si="1"/>
        <v/>
      </c>
      <c r="E2820" s="100" t="str">
        <f t="shared" si="2"/>
        <v/>
      </c>
      <c r="F2820" s="100" t="str">
        <f t="shared" si="3"/>
        <v/>
      </c>
      <c r="G2820" s="151"/>
      <c r="H2820" s="160"/>
      <c r="I2820" s="157"/>
      <c r="J2820" s="161"/>
      <c r="L2820" s="94"/>
      <c r="M2820" s="159"/>
      <c r="N2820" s="94"/>
    </row>
    <row r="2821">
      <c r="A2821" s="107">
        <v>203903.0</v>
      </c>
      <c r="B2821" s="108" t="s">
        <v>92</v>
      </c>
      <c r="C2821" s="108" t="s">
        <v>741</v>
      </c>
      <c r="D2821" s="100" t="str">
        <f t="shared" si="1"/>
        <v/>
      </c>
      <c r="E2821" s="100" t="str">
        <f t="shared" si="2"/>
        <v/>
      </c>
      <c r="F2821" s="100" t="str">
        <f t="shared" si="3"/>
        <v/>
      </c>
      <c r="G2821" s="151"/>
      <c r="H2821" s="156"/>
      <c r="I2821" s="157"/>
      <c r="J2821" s="158"/>
      <c r="L2821" s="94"/>
      <c r="M2821" s="159"/>
      <c r="N2821" s="94"/>
    </row>
    <row r="2822">
      <c r="A2822" s="107">
        <v>203903.0</v>
      </c>
      <c r="B2822" s="108" t="s">
        <v>190</v>
      </c>
      <c r="C2822" s="108" t="s">
        <v>741</v>
      </c>
      <c r="D2822" s="100" t="str">
        <f t="shared" si="1"/>
        <v/>
      </c>
      <c r="E2822" s="100" t="str">
        <f t="shared" si="2"/>
        <v/>
      </c>
      <c r="F2822" s="100" t="str">
        <f t="shared" si="3"/>
        <v/>
      </c>
      <c r="G2822" s="151"/>
      <c r="H2822" s="160"/>
      <c r="I2822" s="157"/>
      <c r="J2822" s="161"/>
      <c r="L2822" s="94"/>
      <c r="M2822" s="159"/>
      <c r="N2822" s="94"/>
    </row>
    <row r="2823">
      <c r="A2823" s="107">
        <v>203903.0</v>
      </c>
      <c r="B2823" s="108" t="s">
        <v>191</v>
      </c>
      <c r="C2823" s="108" t="s">
        <v>741</v>
      </c>
      <c r="D2823" s="100" t="str">
        <f t="shared" si="1"/>
        <v/>
      </c>
      <c r="E2823" s="100" t="str">
        <f t="shared" si="2"/>
        <v/>
      </c>
      <c r="F2823" s="100" t="str">
        <f t="shared" si="3"/>
        <v/>
      </c>
      <c r="G2823" s="151"/>
      <c r="H2823" s="156"/>
      <c r="I2823" s="157"/>
      <c r="J2823" s="158"/>
      <c r="L2823" s="94"/>
      <c r="M2823" s="159"/>
      <c r="N2823" s="94"/>
    </row>
    <row r="2824">
      <c r="A2824" s="107">
        <v>203903.0</v>
      </c>
      <c r="B2824" s="108" t="s">
        <v>192</v>
      </c>
      <c r="C2824" s="108" t="s">
        <v>741</v>
      </c>
      <c r="D2824" s="100" t="str">
        <f t="shared" si="1"/>
        <v/>
      </c>
      <c r="E2824" s="100" t="str">
        <f t="shared" si="2"/>
        <v/>
      </c>
      <c r="F2824" s="100" t="str">
        <f t="shared" si="3"/>
        <v/>
      </c>
      <c r="G2824" s="151"/>
      <c r="H2824" s="160"/>
      <c r="I2824" s="157"/>
      <c r="J2824" s="161"/>
      <c r="L2824" s="94"/>
      <c r="M2824" s="159"/>
      <c r="N2824" s="94"/>
    </row>
    <row r="2825">
      <c r="A2825" s="107">
        <v>203903.0</v>
      </c>
      <c r="B2825" s="108" t="s">
        <v>193</v>
      </c>
      <c r="C2825" s="108" t="s">
        <v>741</v>
      </c>
      <c r="D2825" s="100" t="str">
        <f t="shared" si="1"/>
        <v/>
      </c>
      <c r="E2825" s="100" t="str">
        <f t="shared" si="2"/>
        <v/>
      </c>
      <c r="F2825" s="100" t="str">
        <f t="shared" si="3"/>
        <v/>
      </c>
      <c r="G2825" s="151"/>
      <c r="H2825" s="156"/>
      <c r="I2825" s="157"/>
      <c r="J2825" s="158"/>
      <c r="L2825" s="94"/>
      <c r="M2825" s="159"/>
      <c r="N2825" s="94"/>
    </row>
    <row r="2826">
      <c r="A2826" s="107">
        <v>203903.0</v>
      </c>
      <c r="B2826" s="108" t="s">
        <v>243</v>
      </c>
      <c r="C2826" s="108" t="s">
        <v>741</v>
      </c>
      <c r="D2826" s="100" t="str">
        <f t="shared" si="1"/>
        <v/>
      </c>
      <c r="E2826" s="100" t="str">
        <f t="shared" si="2"/>
        <v/>
      </c>
      <c r="F2826" s="100" t="str">
        <f t="shared" si="3"/>
        <v/>
      </c>
      <c r="G2826" s="151"/>
      <c r="H2826" s="160"/>
      <c r="I2826" s="157"/>
      <c r="J2826" s="161"/>
      <c r="L2826" s="94"/>
      <c r="M2826" s="159"/>
      <c r="N2826" s="94"/>
    </row>
    <row r="2827">
      <c r="A2827" s="107">
        <v>203903.0</v>
      </c>
      <c r="B2827" s="108" t="s">
        <v>215</v>
      </c>
      <c r="C2827" s="108" t="s">
        <v>741</v>
      </c>
      <c r="D2827" s="100" t="str">
        <f t="shared" si="1"/>
        <v/>
      </c>
      <c r="E2827" s="100" t="str">
        <f t="shared" si="2"/>
        <v/>
      </c>
      <c r="F2827" s="100" t="str">
        <f t="shared" si="3"/>
        <v/>
      </c>
      <c r="G2827" s="151"/>
      <c r="H2827" s="156"/>
      <c r="I2827" s="157"/>
      <c r="J2827" s="158"/>
      <c r="L2827" s="94"/>
      <c r="M2827" s="159"/>
      <c r="N2827" s="94"/>
    </row>
    <row r="2828">
      <c r="A2828" s="107">
        <v>203903.0</v>
      </c>
      <c r="B2828" s="108" t="s">
        <v>244</v>
      </c>
      <c r="C2828" s="108" t="s">
        <v>741</v>
      </c>
      <c r="D2828" s="100" t="str">
        <f t="shared" si="1"/>
        <v/>
      </c>
      <c r="E2828" s="100" t="str">
        <f t="shared" si="2"/>
        <v/>
      </c>
      <c r="F2828" s="100" t="str">
        <f t="shared" si="3"/>
        <v/>
      </c>
      <c r="G2828" s="151"/>
      <c r="H2828" s="160"/>
      <c r="I2828" s="157"/>
      <c r="J2828" s="161"/>
      <c r="L2828" s="94"/>
      <c r="M2828" s="159"/>
      <c r="N2828" s="94"/>
    </row>
    <row r="2829">
      <c r="A2829" s="107">
        <v>203903.0</v>
      </c>
      <c r="B2829" s="108" t="s">
        <v>245</v>
      </c>
      <c r="C2829" s="108" t="s">
        <v>741</v>
      </c>
      <c r="D2829" s="100" t="str">
        <f t="shared" si="1"/>
        <v/>
      </c>
      <c r="E2829" s="100" t="str">
        <f t="shared" si="2"/>
        <v/>
      </c>
      <c r="F2829" s="100" t="str">
        <f t="shared" si="3"/>
        <v/>
      </c>
      <c r="G2829" s="151"/>
      <c r="H2829" s="156"/>
      <c r="I2829" s="157"/>
      <c r="J2829" s="158"/>
      <c r="L2829" s="94"/>
      <c r="M2829" s="159"/>
      <c r="N2829" s="94"/>
    </row>
    <row r="2830">
      <c r="A2830" s="107">
        <v>203903.0</v>
      </c>
      <c r="B2830" s="108" t="s">
        <v>246</v>
      </c>
      <c r="C2830" s="108" t="s">
        <v>741</v>
      </c>
      <c r="D2830" s="100" t="str">
        <f t="shared" si="1"/>
        <v/>
      </c>
      <c r="E2830" s="100" t="str">
        <f t="shared" si="2"/>
        <v/>
      </c>
      <c r="F2830" s="100" t="str">
        <f t="shared" si="3"/>
        <v/>
      </c>
      <c r="G2830" s="151"/>
      <c r="H2830" s="160"/>
      <c r="I2830" s="157"/>
      <c r="J2830" s="161"/>
      <c r="L2830" s="94"/>
      <c r="M2830" s="159"/>
      <c r="N2830" s="94"/>
    </row>
    <row r="2831">
      <c r="A2831" s="149">
        <v>203903.0</v>
      </c>
      <c r="B2831" s="115" t="s">
        <v>247</v>
      </c>
      <c r="C2831" s="115" t="s">
        <v>741</v>
      </c>
      <c r="D2831" s="100" t="str">
        <f t="shared" si="1"/>
        <v/>
      </c>
      <c r="E2831" s="100" t="str">
        <f t="shared" si="2"/>
        <v/>
      </c>
      <c r="F2831" s="100" t="str">
        <f t="shared" si="3"/>
        <v/>
      </c>
      <c r="G2831" s="151"/>
      <c r="H2831" s="156"/>
      <c r="I2831" s="157"/>
      <c r="J2831" s="158"/>
      <c r="L2831" s="94"/>
      <c r="M2831" s="159"/>
      <c r="N2831" s="94"/>
    </row>
    <row r="2832">
      <c r="A2832" s="21">
        <v>203906.0</v>
      </c>
      <c r="B2832" s="164" t="s">
        <v>90</v>
      </c>
      <c r="C2832" s="164" t="s">
        <v>742</v>
      </c>
      <c r="D2832" s="100" t="str">
        <f t="shared" si="1"/>
        <v/>
      </c>
      <c r="E2832" s="100" t="str">
        <f t="shared" si="2"/>
        <v/>
      </c>
      <c r="F2832" s="100" t="str">
        <f t="shared" si="3"/>
        <v/>
      </c>
      <c r="G2832" s="151"/>
      <c r="H2832" s="160"/>
      <c r="I2832" s="157"/>
      <c r="J2832" s="161"/>
      <c r="L2832" s="94"/>
      <c r="M2832" s="159"/>
      <c r="N2832" s="94"/>
    </row>
    <row r="2833">
      <c r="A2833" s="107">
        <v>203906.0</v>
      </c>
      <c r="B2833" s="108" t="s">
        <v>92</v>
      </c>
      <c r="C2833" s="108" t="s">
        <v>742</v>
      </c>
      <c r="D2833" s="100" t="str">
        <f t="shared" si="1"/>
        <v/>
      </c>
      <c r="E2833" s="100" t="str">
        <f t="shared" si="2"/>
        <v/>
      </c>
      <c r="F2833" s="100" t="str">
        <f t="shared" si="3"/>
        <v/>
      </c>
      <c r="G2833" s="151"/>
      <c r="H2833" s="156"/>
      <c r="I2833" s="157"/>
      <c r="J2833" s="158"/>
      <c r="L2833" s="94"/>
      <c r="M2833" s="159"/>
      <c r="N2833" s="94"/>
    </row>
    <row r="2834">
      <c r="A2834" s="107">
        <v>203909.0</v>
      </c>
      <c r="B2834" s="108" t="s">
        <v>90</v>
      </c>
      <c r="C2834" s="108" t="s">
        <v>743</v>
      </c>
      <c r="D2834" s="100" t="str">
        <f t="shared" si="1"/>
        <v/>
      </c>
      <c r="E2834" s="100" t="str">
        <f t="shared" si="2"/>
        <v/>
      </c>
      <c r="F2834" s="100" t="str">
        <f t="shared" si="3"/>
        <v/>
      </c>
      <c r="G2834" s="151"/>
      <c r="H2834" s="160"/>
      <c r="I2834" s="157"/>
      <c r="J2834" s="161"/>
      <c r="L2834" s="94"/>
      <c r="M2834" s="159"/>
      <c r="N2834" s="94"/>
    </row>
    <row r="2835">
      <c r="A2835" s="107">
        <v>203909.0</v>
      </c>
      <c r="B2835" s="108" t="s">
        <v>92</v>
      </c>
      <c r="C2835" s="108" t="s">
        <v>743</v>
      </c>
      <c r="D2835" s="100" t="str">
        <f t="shared" si="1"/>
        <v/>
      </c>
      <c r="E2835" s="100" t="str">
        <f t="shared" si="2"/>
        <v/>
      </c>
      <c r="F2835" s="100" t="str">
        <f t="shared" si="3"/>
        <v/>
      </c>
      <c r="G2835" s="151"/>
      <c r="H2835" s="156"/>
      <c r="I2835" s="157"/>
      <c r="J2835" s="158"/>
      <c r="L2835" s="94"/>
      <c r="M2835" s="159"/>
      <c r="N2835" s="94"/>
    </row>
    <row r="2836">
      <c r="A2836" s="107">
        <v>203909.0</v>
      </c>
      <c r="B2836" s="108" t="s">
        <v>190</v>
      </c>
      <c r="C2836" s="108" t="s">
        <v>743</v>
      </c>
      <c r="D2836" s="100" t="str">
        <f t="shared" si="1"/>
        <v/>
      </c>
      <c r="E2836" s="100" t="str">
        <f t="shared" si="2"/>
        <v/>
      </c>
      <c r="F2836" s="100" t="str">
        <f t="shared" si="3"/>
        <v/>
      </c>
      <c r="G2836" s="151"/>
      <c r="H2836" s="160"/>
      <c r="I2836" s="157"/>
      <c r="J2836" s="161"/>
      <c r="L2836" s="94"/>
      <c r="M2836" s="159"/>
      <c r="N2836" s="94"/>
    </row>
    <row r="2837">
      <c r="A2837" s="107">
        <v>203910.0</v>
      </c>
      <c r="B2837" s="108" t="s">
        <v>90</v>
      </c>
      <c r="C2837" s="108" t="s">
        <v>744</v>
      </c>
      <c r="D2837" s="100" t="str">
        <f t="shared" si="1"/>
        <v/>
      </c>
      <c r="E2837" s="100" t="str">
        <f t="shared" si="2"/>
        <v/>
      </c>
      <c r="F2837" s="100" t="str">
        <f t="shared" si="3"/>
        <v/>
      </c>
      <c r="G2837" s="151"/>
      <c r="H2837" s="156"/>
      <c r="I2837" s="157"/>
      <c r="J2837" s="158"/>
      <c r="L2837" s="94"/>
      <c r="M2837" s="159"/>
      <c r="N2837" s="94"/>
    </row>
    <row r="2838">
      <c r="A2838" s="107">
        <v>203912.0</v>
      </c>
      <c r="B2838" s="108" t="s">
        <v>90</v>
      </c>
      <c r="C2838" s="108" t="s">
        <v>745</v>
      </c>
      <c r="D2838" s="100" t="str">
        <f t="shared" si="1"/>
        <v/>
      </c>
      <c r="E2838" s="100" t="str">
        <f t="shared" si="2"/>
        <v/>
      </c>
      <c r="F2838" s="100" t="str">
        <f t="shared" si="3"/>
        <v/>
      </c>
      <c r="G2838" s="151"/>
      <c r="H2838" s="160"/>
      <c r="I2838" s="157"/>
      <c r="J2838" s="161"/>
      <c r="L2838" s="94"/>
      <c r="M2838" s="159"/>
      <c r="N2838" s="94"/>
    </row>
    <row r="2839">
      <c r="A2839" s="107">
        <v>203912.0</v>
      </c>
      <c r="B2839" s="108" t="s">
        <v>92</v>
      </c>
      <c r="C2839" s="108" t="s">
        <v>745</v>
      </c>
      <c r="D2839" s="100" t="str">
        <f t="shared" si="1"/>
        <v/>
      </c>
      <c r="E2839" s="100" t="str">
        <f t="shared" si="2"/>
        <v/>
      </c>
      <c r="F2839" s="100" t="str">
        <f t="shared" si="3"/>
        <v/>
      </c>
      <c r="G2839" s="151"/>
      <c r="H2839" s="156"/>
      <c r="I2839" s="157"/>
      <c r="J2839" s="158"/>
      <c r="L2839" s="94"/>
      <c r="M2839" s="159"/>
      <c r="N2839" s="94"/>
    </row>
    <row r="2840">
      <c r="A2840" s="107">
        <v>203912.0</v>
      </c>
      <c r="B2840" s="108" t="s">
        <v>190</v>
      </c>
      <c r="C2840" s="108" t="s">
        <v>745</v>
      </c>
      <c r="D2840" s="100" t="str">
        <f t="shared" si="1"/>
        <v/>
      </c>
      <c r="E2840" s="100" t="str">
        <f t="shared" si="2"/>
        <v/>
      </c>
      <c r="F2840" s="100" t="str">
        <f t="shared" si="3"/>
        <v/>
      </c>
      <c r="G2840" s="151"/>
      <c r="H2840" s="160"/>
      <c r="I2840" s="157"/>
      <c r="J2840" s="161"/>
      <c r="L2840" s="94"/>
      <c r="M2840" s="159"/>
      <c r="N2840" s="94"/>
    </row>
    <row r="2841">
      <c r="A2841" s="107">
        <v>203913.0</v>
      </c>
      <c r="B2841" s="108" t="s">
        <v>90</v>
      </c>
      <c r="C2841" s="108" t="s">
        <v>746</v>
      </c>
      <c r="D2841" s="100" t="str">
        <f t="shared" si="1"/>
        <v/>
      </c>
      <c r="E2841" s="100" t="str">
        <f t="shared" si="2"/>
        <v/>
      </c>
      <c r="F2841" s="100" t="str">
        <f t="shared" si="3"/>
        <v/>
      </c>
      <c r="G2841" s="151"/>
      <c r="H2841" s="156"/>
      <c r="I2841" s="157"/>
      <c r="J2841" s="158"/>
      <c r="L2841" s="94"/>
      <c r="M2841" s="159"/>
      <c r="N2841" s="94"/>
    </row>
    <row r="2842">
      <c r="A2842" s="107">
        <v>203914.0</v>
      </c>
      <c r="B2842" s="108" t="s">
        <v>90</v>
      </c>
      <c r="C2842" s="108" t="s">
        <v>747</v>
      </c>
      <c r="D2842" s="100" t="str">
        <f t="shared" si="1"/>
        <v/>
      </c>
      <c r="E2842" s="100" t="str">
        <f t="shared" si="2"/>
        <v/>
      </c>
      <c r="F2842" s="100" t="str">
        <f t="shared" si="3"/>
        <v/>
      </c>
      <c r="G2842" s="151"/>
      <c r="H2842" s="160"/>
      <c r="I2842" s="157"/>
      <c r="J2842" s="161"/>
      <c r="L2842" s="94"/>
      <c r="M2842" s="159"/>
      <c r="N2842" s="94"/>
    </row>
    <row r="2843">
      <c r="A2843" s="107">
        <v>203914.0</v>
      </c>
      <c r="B2843" s="108" t="s">
        <v>92</v>
      </c>
      <c r="C2843" s="108" t="s">
        <v>747</v>
      </c>
      <c r="D2843" s="100" t="str">
        <f t="shared" si="1"/>
        <v/>
      </c>
      <c r="E2843" s="100" t="str">
        <f t="shared" si="2"/>
        <v/>
      </c>
      <c r="F2843" s="100" t="str">
        <f t="shared" si="3"/>
        <v/>
      </c>
      <c r="G2843" s="151"/>
      <c r="H2843" s="156"/>
      <c r="I2843" s="157"/>
      <c r="J2843" s="158"/>
      <c r="L2843" s="94"/>
      <c r="M2843" s="159"/>
      <c r="N2843" s="94"/>
    </row>
    <row r="2844">
      <c r="A2844" s="107">
        <v>203914.0</v>
      </c>
      <c r="B2844" s="108" t="s">
        <v>190</v>
      </c>
      <c r="C2844" s="108" t="s">
        <v>747</v>
      </c>
      <c r="D2844" s="100" t="str">
        <f t="shared" si="1"/>
        <v/>
      </c>
      <c r="E2844" s="100" t="str">
        <f t="shared" si="2"/>
        <v/>
      </c>
      <c r="F2844" s="100" t="str">
        <f t="shared" si="3"/>
        <v/>
      </c>
      <c r="G2844" s="151"/>
      <c r="H2844" s="160"/>
      <c r="I2844" s="157"/>
      <c r="J2844" s="161"/>
      <c r="L2844" s="94"/>
      <c r="M2844" s="159"/>
      <c r="N2844" s="94"/>
    </row>
    <row r="2845">
      <c r="A2845" s="107">
        <v>203914.0</v>
      </c>
      <c r="B2845" s="108" t="s">
        <v>191</v>
      </c>
      <c r="C2845" s="108" t="s">
        <v>747</v>
      </c>
      <c r="D2845" s="100" t="str">
        <f t="shared" si="1"/>
        <v/>
      </c>
      <c r="E2845" s="100" t="str">
        <f t="shared" si="2"/>
        <v/>
      </c>
      <c r="F2845" s="100" t="str">
        <f t="shared" si="3"/>
        <v/>
      </c>
      <c r="G2845" s="151"/>
      <c r="H2845" s="156"/>
      <c r="I2845" s="157"/>
      <c r="J2845" s="158"/>
      <c r="L2845" s="94"/>
      <c r="M2845" s="159"/>
      <c r="N2845" s="94"/>
    </row>
    <row r="2846">
      <c r="A2846" s="107">
        <v>203914.0</v>
      </c>
      <c r="B2846" s="108" t="s">
        <v>192</v>
      </c>
      <c r="C2846" s="108" t="s">
        <v>747</v>
      </c>
      <c r="D2846" s="100" t="str">
        <f t="shared" si="1"/>
        <v/>
      </c>
      <c r="E2846" s="100" t="str">
        <f t="shared" si="2"/>
        <v/>
      </c>
      <c r="F2846" s="100" t="str">
        <f t="shared" si="3"/>
        <v/>
      </c>
      <c r="G2846" s="151"/>
      <c r="H2846" s="160"/>
      <c r="I2846" s="157"/>
      <c r="J2846" s="161"/>
      <c r="L2846" s="94"/>
      <c r="M2846" s="159"/>
      <c r="N2846" s="94"/>
    </row>
    <row r="2847">
      <c r="A2847" s="107">
        <v>203914.0</v>
      </c>
      <c r="B2847" s="108" t="s">
        <v>193</v>
      </c>
      <c r="C2847" s="108" t="s">
        <v>747</v>
      </c>
      <c r="D2847" s="100" t="str">
        <f t="shared" si="1"/>
        <v/>
      </c>
      <c r="E2847" s="100" t="str">
        <f t="shared" si="2"/>
        <v/>
      </c>
      <c r="F2847" s="100" t="str">
        <f t="shared" si="3"/>
        <v/>
      </c>
      <c r="G2847" s="151"/>
      <c r="H2847" s="156"/>
      <c r="I2847" s="157"/>
      <c r="J2847" s="158"/>
      <c r="L2847" s="94"/>
      <c r="M2847" s="159"/>
      <c r="N2847" s="94"/>
    </row>
    <row r="2848">
      <c r="A2848" s="107">
        <v>203914.0</v>
      </c>
      <c r="B2848" s="108" t="s">
        <v>243</v>
      </c>
      <c r="C2848" s="108" t="s">
        <v>747</v>
      </c>
      <c r="D2848" s="100" t="str">
        <f t="shared" si="1"/>
        <v/>
      </c>
      <c r="E2848" s="100" t="str">
        <f t="shared" si="2"/>
        <v/>
      </c>
      <c r="F2848" s="100" t="str">
        <f t="shared" si="3"/>
        <v/>
      </c>
      <c r="G2848" s="151"/>
      <c r="H2848" s="160"/>
      <c r="I2848" s="157"/>
      <c r="J2848" s="161"/>
      <c r="L2848" s="94"/>
      <c r="M2848" s="159"/>
      <c r="N2848" s="94"/>
    </row>
    <row r="2849">
      <c r="A2849" s="107">
        <v>203914.0</v>
      </c>
      <c r="B2849" s="108" t="s">
        <v>215</v>
      </c>
      <c r="C2849" s="108" t="s">
        <v>747</v>
      </c>
      <c r="D2849" s="100" t="str">
        <f t="shared" si="1"/>
        <v/>
      </c>
      <c r="E2849" s="100" t="str">
        <f t="shared" si="2"/>
        <v/>
      </c>
      <c r="F2849" s="100" t="str">
        <f t="shared" si="3"/>
        <v/>
      </c>
      <c r="G2849" s="151"/>
      <c r="H2849" s="156"/>
      <c r="I2849" s="157"/>
      <c r="J2849" s="158"/>
      <c r="L2849" s="94"/>
      <c r="M2849" s="159"/>
      <c r="N2849" s="94"/>
    </row>
    <row r="2850">
      <c r="A2850" s="107">
        <v>203914.0</v>
      </c>
      <c r="B2850" s="108" t="s">
        <v>244</v>
      </c>
      <c r="C2850" s="108" t="s">
        <v>747</v>
      </c>
      <c r="D2850" s="100" t="str">
        <f t="shared" si="1"/>
        <v/>
      </c>
      <c r="E2850" s="100" t="str">
        <f t="shared" si="2"/>
        <v/>
      </c>
      <c r="F2850" s="100" t="str">
        <f t="shared" si="3"/>
        <v/>
      </c>
      <c r="G2850" s="151"/>
      <c r="H2850" s="160"/>
      <c r="I2850" s="157"/>
      <c r="J2850" s="161"/>
      <c r="L2850" s="94"/>
      <c r="M2850" s="159"/>
      <c r="N2850" s="94"/>
    </row>
    <row r="2851">
      <c r="A2851" s="107">
        <v>203914.0</v>
      </c>
      <c r="B2851" s="108" t="s">
        <v>245</v>
      </c>
      <c r="C2851" s="108" t="s">
        <v>747</v>
      </c>
      <c r="D2851" s="100" t="str">
        <f t="shared" si="1"/>
        <v/>
      </c>
      <c r="E2851" s="100" t="str">
        <f t="shared" si="2"/>
        <v/>
      </c>
      <c r="F2851" s="100" t="str">
        <f t="shared" si="3"/>
        <v/>
      </c>
      <c r="G2851" s="151"/>
      <c r="H2851" s="156"/>
      <c r="I2851" s="157"/>
      <c r="J2851" s="158"/>
      <c r="L2851" s="94"/>
      <c r="M2851" s="159"/>
      <c r="N2851" s="94"/>
    </row>
    <row r="2852">
      <c r="A2852" s="107">
        <v>203914.0</v>
      </c>
      <c r="B2852" s="108" t="s">
        <v>246</v>
      </c>
      <c r="C2852" s="108" t="s">
        <v>747</v>
      </c>
      <c r="D2852" s="100" t="str">
        <f t="shared" si="1"/>
        <v/>
      </c>
      <c r="E2852" s="100" t="str">
        <f t="shared" si="2"/>
        <v/>
      </c>
      <c r="F2852" s="100" t="str">
        <f t="shared" si="3"/>
        <v/>
      </c>
      <c r="G2852" s="151"/>
      <c r="H2852" s="160"/>
      <c r="I2852" s="157"/>
      <c r="J2852" s="161"/>
      <c r="L2852" s="94"/>
      <c r="M2852" s="159"/>
      <c r="N2852" s="94"/>
    </row>
    <row r="2853">
      <c r="A2853" s="149">
        <v>203914.0</v>
      </c>
      <c r="B2853" s="115" t="s">
        <v>247</v>
      </c>
      <c r="C2853" s="115" t="s">
        <v>747</v>
      </c>
      <c r="D2853" s="100" t="str">
        <f t="shared" si="1"/>
        <v/>
      </c>
      <c r="E2853" s="100" t="str">
        <f t="shared" si="2"/>
        <v/>
      </c>
      <c r="F2853" s="100" t="str">
        <f t="shared" si="3"/>
        <v/>
      </c>
      <c r="G2853" s="151"/>
      <c r="H2853" s="156"/>
      <c r="I2853" s="157"/>
      <c r="J2853" s="158"/>
      <c r="L2853" s="94"/>
      <c r="M2853" s="159"/>
      <c r="N2853" s="94"/>
    </row>
    <row r="2854">
      <c r="A2854" s="21">
        <v>203915.0</v>
      </c>
      <c r="B2854" s="164" t="s">
        <v>90</v>
      </c>
      <c r="C2854" s="164" t="s">
        <v>748</v>
      </c>
      <c r="D2854" s="100" t="str">
        <f t="shared" si="1"/>
        <v/>
      </c>
      <c r="E2854" s="100" t="str">
        <f t="shared" si="2"/>
        <v/>
      </c>
      <c r="F2854" s="100" t="str">
        <f t="shared" si="3"/>
        <v/>
      </c>
      <c r="G2854" s="151"/>
      <c r="H2854" s="160"/>
      <c r="I2854" s="157"/>
      <c r="J2854" s="161"/>
      <c r="L2854" s="94"/>
      <c r="M2854" s="159"/>
      <c r="N2854" s="94"/>
    </row>
    <row r="2855">
      <c r="A2855" s="107">
        <v>203915.0</v>
      </c>
      <c r="B2855" s="108" t="s">
        <v>92</v>
      </c>
      <c r="C2855" s="108" t="s">
        <v>748</v>
      </c>
      <c r="D2855" s="100" t="str">
        <f t="shared" si="1"/>
        <v/>
      </c>
      <c r="E2855" s="100" t="str">
        <f t="shared" si="2"/>
        <v/>
      </c>
      <c r="F2855" s="100" t="str">
        <f t="shared" si="3"/>
        <v/>
      </c>
      <c r="G2855" s="151"/>
      <c r="H2855" s="156"/>
      <c r="I2855" s="157"/>
      <c r="J2855" s="158"/>
      <c r="L2855" s="94"/>
      <c r="M2855" s="159"/>
      <c r="N2855" s="94"/>
    </row>
    <row r="2856">
      <c r="A2856" s="107">
        <v>203915.0</v>
      </c>
      <c r="B2856" s="108" t="s">
        <v>190</v>
      </c>
      <c r="C2856" s="108" t="s">
        <v>748</v>
      </c>
      <c r="D2856" s="100" t="str">
        <f t="shared" si="1"/>
        <v/>
      </c>
      <c r="E2856" s="100" t="str">
        <f t="shared" si="2"/>
        <v/>
      </c>
      <c r="F2856" s="100" t="str">
        <f t="shared" si="3"/>
        <v/>
      </c>
      <c r="G2856" s="151"/>
      <c r="H2856" s="160"/>
      <c r="I2856" s="157"/>
      <c r="J2856" s="161"/>
      <c r="L2856" s="94"/>
      <c r="M2856" s="159"/>
      <c r="N2856" s="94"/>
    </row>
    <row r="2857">
      <c r="A2857" s="107">
        <v>203915.0</v>
      </c>
      <c r="B2857" s="108" t="s">
        <v>191</v>
      </c>
      <c r="C2857" s="108" t="s">
        <v>748</v>
      </c>
      <c r="D2857" s="100" t="str">
        <f t="shared" si="1"/>
        <v/>
      </c>
      <c r="E2857" s="100" t="str">
        <f t="shared" si="2"/>
        <v/>
      </c>
      <c r="F2857" s="100" t="str">
        <f t="shared" si="3"/>
        <v/>
      </c>
      <c r="G2857" s="151"/>
      <c r="H2857" s="156"/>
      <c r="I2857" s="157"/>
      <c r="J2857" s="158"/>
      <c r="L2857" s="94"/>
      <c r="M2857" s="159"/>
      <c r="N2857" s="94"/>
    </row>
    <row r="2858">
      <c r="A2858" s="107">
        <v>203915.0</v>
      </c>
      <c r="B2858" s="108" t="s">
        <v>192</v>
      </c>
      <c r="C2858" s="108" t="s">
        <v>748</v>
      </c>
      <c r="D2858" s="100" t="str">
        <f t="shared" si="1"/>
        <v/>
      </c>
      <c r="E2858" s="100" t="str">
        <f t="shared" si="2"/>
        <v/>
      </c>
      <c r="F2858" s="100" t="str">
        <f t="shared" si="3"/>
        <v/>
      </c>
      <c r="G2858" s="151"/>
      <c r="H2858" s="160"/>
      <c r="I2858" s="157"/>
      <c r="J2858" s="161"/>
      <c r="L2858" s="94"/>
      <c r="M2858" s="159"/>
      <c r="N2858" s="94"/>
    </row>
    <row r="2859">
      <c r="A2859" s="107">
        <v>203915.0</v>
      </c>
      <c r="B2859" s="108" t="s">
        <v>193</v>
      </c>
      <c r="C2859" s="108" t="s">
        <v>748</v>
      </c>
      <c r="D2859" s="100" t="str">
        <f t="shared" si="1"/>
        <v/>
      </c>
      <c r="E2859" s="100" t="str">
        <f t="shared" si="2"/>
        <v/>
      </c>
      <c r="F2859" s="100" t="str">
        <f t="shared" si="3"/>
        <v/>
      </c>
      <c r="G2859" s="151"/>
      <c r="H2859" s="156"/>
      <c r="I2859" s="157"/>
      <c r="J2859" s="158"/>
      <c r="L2859" s="94"/>
      <c r="M2859" s="159"/>
      <c r="N2859" s="94"/>
    </row>
    <row r="2860">
      <c r="A2860" s="107">
        <v>203915.0</v>
      </c>
      <c r="B2860" s="108" t="s">
        <v>243</v>
      </c>
      <c r="C2860" s="108" t="s">
        <v>748</v>
      </c>
      <c r="D2860" s="100" t="str">
        <f t="shared" si="1"/>
        <v/>
      </c>
      <c r="E2860" s="100" t="str">
        <f t="shared" si="2"/>
        <v/>
      </c>
      <c r="F2860" s="100" t="str">
        <f t="shared" si="3"/>
        <v/>
      </c>
      <c r="G2860" s="151"/>
      <c r="H2860" s="160"/>
      <c r="I2860" s="157"/>
      <c r="J2860" s="161"/>
      <c r="L2860" s="94"/>
      <c r="M2860" s="159"/>
      <c r="N2860" s="94"/>
    </row>
    <row r="2861">
      <c r="A2861" s="107">
        <v>203915.0</v>
      </c>
      <c r="B2861" s="108" t="s">
        <v>215</v>
      </c>
      <c r="C2861" s="108" t="s">
        <v>748</v>
      </c>
      <c r="D2861" s="100" t="str">
        <f t="shared" si="1"/>
        <v/>
      </c>
      <c r="E2861" s="100" t="str">
        <f t="shared" si="2"/>
        <v/>
      </c>
      <c r="F2861" s="100" t="str">
        <f t="shared" si="3"/>
        <v/>
      </c>
      <c r="G2861" s="151"/>
      <c r="H2861" s="156"/>
      <c r="I2861" s="157"/>
      <c r="J2861" s="158"/>
      <c r="L2861" s="94"/>
      <c r="M2861" s="159"/>
      <c r="N2861" s="94"/>
    </row>
    <row r="2862">
      <c r="A2862" s="107">
        <v>203915.0</v>
      </c>
      <c r="B2862" s="108" t="s">
        <v>244</v>
      </c>
      <c r="C2862" s="108" t="s">
        <v>748</v>
      </c>
      <c r="D2862" s="100" t="str">
        <f t="shared" si="1"/>
        <v/>
      </c>
      <c r="E2862" s="100" t="str">
        <f t="shared" si="2"/>
        <v/>
      </c>
      <c r="F2862" s="100" t="str">
        <f t="shared" si="3"/>
        <v/>
      </c>
      <c r="G2862" s="151"/>
      <c r="H2862" s="160"/>
      <c r="I2862" s="157"/>
      <c r="J2862" s="161"/>
      <c r="L2862" s="94"/>
      <c r="M2862" s="159"/>
      <c r="N2862" s="94"/>
    </row>
    <row r="2863">
      <c r="A2863" s="107">
        <v>203915.0</v>
      </c>
      <c r="B2863" s="108" t="s">
        <v>245</v>
      </c>
      <c r="C2863" s="108" t="s">
        <v>748</v>
      </c>
      <c r="D2863" s="100" t="str">
        <f t="shared" si="1"/>
        <v/>
      </c>
      <c r="E2863" s="100" t="str">
        <f t="shared" si="2"/>
        <v/>
      </c>
      <c r="F2863" s="100" t="str">
        <f t="shared" si="3"/>
        <v/>
      </c>
      <c r="G2863" s="151"/>
      <c r="H2863" s="156"/>
      <c r="I2863" s="157"/>
      <c r="J2863" s="158"/>
      <c r="L2863" s="94"/>
      <c r="M2863" s="159"/>
      <c r="N2863" s="94"/>
    </row>
    <row r="2864">
      <c r="A2864" s="107">
        <v>203915.0</v>
      </c>
      <c r="B2864" s="108" t="s">
        <v>246</v>
      </c>
      <c r="C2864" s="108" t="s">
        <v>748</v>
      </c>
      <c r="D2864" s="100" t="str">
        <f t="shared" si="1"/>
        <v/>
      </c>
      <c r="E2864" s="100" t="str">
        <f t="shared" si="2"/>
        <v/>
      </c>
      <c r="F2864" s="100" t="str">
        <f t="shared" si="3"/>
        <v/>
      </c>
      <c r="G2864" s="151"/>
      <c r="H2864" s="160"/>
      <c r="I2864" s="157"/>
      <c r="J2864" s="161"/>
      <c r="L2864" s="94"/>
      <c r="M2864" s="159"/>
      <c r="N2864" s="94"/>
    </row>
    <row r="2865">
      <c r="A2865" s="107">
        <v>203917.0</v>
      </c>
      <c r="B2865" s="108" t="s">
        <v>90</v>
      </c>
      <c r="C2865" s="108" t="s">
        <v>749</v>
      </c>
      <c r="D2865" s="100" t="str">
        <f t="shared" si="1"/>
        <v/>
      </c>
      <c r="E2865" s="100" t="str">
        <f t="shared" si="2"/>
        <v/>
      </c>
      <c r="F2865" s="100" t="str">
        <f t="shared" si="3"/>
        <v/>
      </c>
      <c r="G2865" s="151"/>
      <c r="H2865" s="156"/>
      <c r="I2865" s="157"/>
      <c r="J2865" s="158"/>
      <c r="L2865" s="94"/>
      <c r="M2865" s="159"/>
      <c r="N2865" s="94"/>
    </row>
    <row r="2866">
      <c r="A2866" s="107">
        <v>203917.0</v>
      </c>
      <c r="B2866" s="108" t="s">
        <v>92</v>
      </c>
      <c r="C2866" s="108" t="s">
        <v>749</v>
      </c>
      <c r="D2866" s="100" t="str">
        <f t="shared" si="1"/>
        <v/>
      </c>
      <c r="E2866" s="100" t="str">
        <f t="shared" si="2"/>
        <v/>
      </c>
      <c r="F2866" s="100" t="str">
        <f t="shared" si="3"/>
        <v/>
      </c>
      <c r="G2866" s="151"/>
      <c r="H2866" s="160"/>
      <c r="I2866" s="157"/>
      <c r="J2866" s="161"/>
      <c r="L2866" s="94"/>
      <c r="M2866" s="159"/>
      <c r="N2866" s="94"/>
    </row>
    <row r="2867">
      <c r="A2867" s="107">
        <v>203917.0</v>
      </c>
      <c r="B2867" s="108" t="s">
        <v>190</v>
      </c>
      <c r="C2867" s="108" t="s">
        <v>749</v>
      </c>
      <c r="D2867" s="100" t="str">
        <f t="shared" si="1"/>
        <v/>
      </c>
      <c r="E2867" s="100" t="str">
        <f t="shared" si="2"/>
        <v/>
      </c>
      <c r="F2867" s="100" t="str">
        <f t="shared" si="3"/>
        <v/>
      </c>
      <c r="G2867" s="151"/>
      <c r="H2867" s="156"/>
      <c r="I2867" s="157"/>
      <c r="J2867" s="158"/>
      <c r="L2867" s="94"/>
      <c r="M2867" s="159"/>
      <c r="N2867" s="94"/>
    </row>
    <row r="2868">
      <c r="A2868" s="107">
        <v>203917.0</v>
      </c>
      <c r="B2868" s="108" t="s">
        <v>191</v>
      </c>
      <c r="C2868" s="108" t="s">
        <v>749</v>
      </c>
      <c r="D2868" s="100" t="str">
        <f t="shared" si="1"/>
        <v/>
      </c>
      <c r="E2868" s="100" t="str">
        <f t="shared" si="2"/>
        <v/>
      </c>
      <c r="F2868" s="100" t="str">
        <f t="shared" si="3"/>
        <v/>
      </c>
      <c r="G2868" s="151"/>
      <c r="H2868" s="160"/>
      <c r="I2868" s="157"/>
      <c r="J2868" s="161"/>
      <c r="L2868" s="94"/>
      <c r="M2868" s="159"/>
      <c r="N2868" s="94"/>
    </row>
    <row r="2869">
      <c r="A2869" s="107">
        <v>203917.0</v>
      </c>
      <c r="B2869" s="108" t="s">
        <v>192</v>
      </c>
      <c r="C2869" s="108" t="s">
        <v>749</v>
      </c>
      <c r="D2869" s="100" t="str">
        <f t="shared" si="1"/>
        <v/>
      </c>
      <c r="E2869" s="100" t="str">
        <f t="shared" si="2"/>
        <v/>
      </c>
      <c r="F2869" s="100" t="str">
        <f t="shared" si="3"/>
        <v/>
      </c>
      <c r="G2869" s="151"/>
      <c r="H2869" s="156"/>
      <c r="I2869" s="157"/>
      <c r="J2869" s="158"/>
      <c r="L2869" s="94"/>
      <c r="M2869" s="159"/>
      <c r="N2869" s="94"/>
    </row>
    <row r="2870">
      <c r="A2870" s="107">
        <v>203917.0</v>
      </c>
      <c r="B2870" s="108" t="s">
        <v>215</v>
      </c>
      <c r="C2870" s="108" t="s">
        <v>749</v>
      </c>
      <c r="D2870" s="100" t="str">
        <f t="shared" si="1"/>
        <v/>
      </c>
      <c r="E2870" s="100" t="str">
        <f t="shared" si="2"/>
        <v/>
      </c>
      <c r="F2870" s="100" t="str">
        <f t="shared" si="3"/>
        <v/>
      </c>
      <c r="G2870" s="151"/>
      <c r="H2870" s="160"/>
      <c r="I2870" s="157"/>
      <c r="J2870" s="161"/>
      <c r="L2870" s="94"/>
      <c r="M2870" s="159"/>
      <c r="N2870" s="94"/>
    </row>
    <row r="2871">
      <c r="A2871" s="107">
        <v>203918.0</v>
      </c>
      <c r="B2871" s="108" t="s">
        <v>90</v>
      </c>
      <c r="C2871" s="108" t="s">
        <v>750</v>
      </c>
      <c r="D2871" s="100" t="str">
        <f t="shared" si="1"/>
        <v/>
      </c>
      <c r="E2871" s="100" t="str">
        <f t="shared" si="2"/>
        <v/>
      </c>
      <c r="F2871" s="100" t="str">
        <f t="shared" si="3"/>
        <v/>
      </c>
      <c r="G2871" s="151"/>
      <c r="H2871" s="156"/>
      <c r="I2871" s="157"/>
      <c r="J2871" s="158"/>
      <c r="L2871" s="94"/>
      <c r="M2871" s="159"/>
      <c r="N2871" s="94"/>
    </row>
    <row r="2872">
      <c r="A2872" s="107">
        <v>203918.0</v>
      </c>
      <c r="B2872" s="108" t="s">
        <v>92</v>
      </c>
      <c r="C2872" s="108" t="s">
        <v>750</v>
      </c>
      <c r="D2872" s="100" t="str">
        <f t="shared" si="1"/>
        <v/>
      </c>
      <c r="E2872" s="100" t="str">
        <f t="shared" si="2"/>
        <v/>
      </c>
      <c r="F2872" s="100" t="str">
        <f t="shared" si="3"/>
        <v/>
      </c>
      <c r="G2872" s="151"/>
      <c r="H2872" s="160"/>
      <c r="I2872" s="157"/>
      <c r="J2872" s="161"/>
      <c r="L2872" s="94"/>
      <c r="M2872" s="159"/>
      <c r="N2872" s="94"/>
    </row>
    <row r="2873">
      <c r="A2873" s="107">
        <v>203918.0</v>
      </c>
      <c r="B2873" s="108" t="s">
        <v>190</v>
      </c>
      <c r="C2873" s="108" t="s">
        <v>750</v>
      </c>
      <c r="D2873" s="100" t="str">
        <f t="shared" si="1"/>
        <v/>
      </c>
      <c r="E2873" s="100" t="str">
        <f t="shared" si="2"/>
        <v/>
      </c>
      <c r="F2873" s="100" t="str">
        <f t="shared" si="3"/>
        <v/>
      </c>
      <c r="G2873" s="151"/>
      <c r="H2873" s="156"/>
      <c r="I2873" s="157"/>
      <c r="J2873" s="158"/>
      <c r="L2873" s="94"/>
      <c r="M2873" s="159"/>
      <c r="N2873" s="94"/>
    </row>
    <row r="2874">
      <c r="A2874" s="107">
        <v>203918.0</v>
      </c>
      <c r="B2874" s="108" t="s">
        <v>191</v>
      </c>
      <c r="C2874" s="108" t="s">
        <v>750</v>
      </c>
      <c r="D2874" s="100" t="str">
        <f t="shared" si="1"/>
        <v/>
      </c>
      <c r="E2874" s="100" t="str">
        <f t="shared" si="2"/>
        <v/>
      </c>
      <c r="F2874" s="100" t="str">
        <f t="shared" si="3"/>
        <v/>
      </c>
      <c r="G2874" s="151"/>
      <c r="H2874" s="160"/>
      <c r="I2874" s="157"/>
      <c r="J2874" s="161"/>
      <c r="L2874" s="94"/>
      <c r="M2874" s="159"/>
      <c r="N2874" s="94"/>
    </row>
    <row r="2875">
      <c r="A2875" s="107">
        <v>203918.0</v>
      </c>
      <c r="B2875" s="108" t="s">
        <v>192</v>
      </c>
      <c r="C2875" s="108" t="s">
        <v>750</v>
      </c>
      <c r="D2875" s="100" t="str">
        <f t="shared" si="1"/>
        <v/>
      </c>
      <c r="E2875" s="100" t="str">
        <f t="shared" si="2"/>
        <v/>
      </c>
      <c r="F2875" s="100" t="str">
        <f t="shared" si="3"/>
        <v/>
      </c>
      <c r="G2875" s="151"/>
      <c r="H2875" s="156"/>
      <c r="I2875" s="157"/>
      <c r="J2875" s="158"/>
      <c r="L2875" s="94"/>
      <c r="M2875" s="159"/>
      <c r="N2875" s="94"/>
    </row>
    <row r="2876">
      <c r="A2876" s="107">
        <v>203918.0</v>
      </c>
      <c r="B2876" s="108" t="s">
        <v>193</v>
      </c>
      <c r="C2876" s="108" t="s">
        <v>750</v>
      </c>
      <c r="D2876" s="100" t="str">
        <f t="shared" si="1"/>
        <v/>
      </c>
      <c r="E2876" s="100" t="str">
        <f t="shared" si="2"/>
        <v/>
      </c>
      <c r="F2876" s="100" t="str">
        <f t="shared" si="3"/>
        <v/>
      </c>
      <c r="G2876" s="151"/>
      <c r="H2876" s="160"/>
      <c r="I2876" s="157"/>
      <c r="J2876" s="161"/>
      <c r="L2876" s="94"/>
      <c r="M2876" s="159"/>
      <c r="N2876" s="94"/>
    </row>
    <row r="2877">
      <c r="A2877" s="107">
        <v>203918.0</v>
      </c>
      <c r="B2877" s="108" t="s">
        <v>243</v>
      </c>
      <c r="C2877" s="108" t="s">
        <v>750</v>
      </c>
      <c r="D2877" s="100" t="str">
        <f t="shared" si="1"/>
        <v/>
      </c>
      <c r="E2877" s="100" t="str">
        <f t="shared" si="2"/>
        <v/>
      </c>
      <c r="F2877" s="100" t="str">
        <f t="shared" si="3"/>
        <v/>
      </c>
      <c r="G2877" s="151"/>
      <c r="H2877" s="156"/>
      <c r="I2877" s="157"/>
      <c r="J2877" s="158"/>
      <c r="L2877" s="94"/>
      <c r="M2877" s="159"/>
      <c r="N2877" s="94"/>
    </row>
    <row r="2878">
      <c r="A2878" s="107">
        <v>203918.0</v>
      </c>
      <c r="B2878" s="108" t="s">
        <v>215</v>
      </c>
      <c r="C2878" s="108" t="s">
        <v>750</v>
      </c>
      <c r="D2878" s="100" t="str">
        <f t="shared" si="1"/>
        <v/>
      </c>
      <c r="E2878" s="100" t="str">
        <f t="shared" si="2"/>
        <v/>
      </c>
      <c r="F2878" s="100" t="str">
        <f t="shared" si="3"/>
        <v/>
      </c>
      <c r="G2878" s="151"/>
      <c r="H2878" s="160"/>
      <c r="I2878" s="157"/>
      <c r="J2878" s="161"/>
      <c r="L2878" s="94"/>
      <c r="M2878" s="159"/>
      <c r="N2878" s="94"/>
    </row>
    <row r="2879">
      <c r="A2879" s="107">
        <v>203919.0</v>
      </c>
      <c r="B2879" s="108" t="s">
        <v>90</v>
      </c>
      <c r="C2879" s="108" t="s">
        <v>751</v>
      </c>
      <c r="D2879" s="100" t="str">
        <f t="shared" si="1"/>
        <v/>
      </c>
      <c r="E2879" s="100" t="str">
        <f t="shared" si="2"/>
        <v/>
      </c>
      <c r="F2879" s="100" t="str">
        <f t="shared" si="3"/>
        <v/>
      </c>
      <c r="G2879" s="151"/>
      <c r="H2879" s="156"/>
      <c r="I2879" s="157"/>
      <c r="J2879" s="158"/>
      <c r="L2879" s="94"/>
      <c r="M2879" s="159"/>
      <c r="N2879" s="94"/>
    </row>
    <row r="2880">
      <c r="A2880" s="107">
        <v>203919.0</v>
      </c>
      <c r="B2880" s="108" t="s">
        <v>92</v>
      </c>
      <c r="C2880" s="108" t="s">
        <v>751</v>
      </c>
      <c r="D2880" s="100" t="str">
        <f t="shared" si="1"/>
        <v/>
      </c>
      <c r="E2880" s="100" t="str">
        <f t="shared" si="2"/>
        <v/>
      </c>
      <c r="F2880" s="100" t="str">
        <f t="shared" si="3"/>
        <v/>
      </c>
      <c r="G2880" s="151"/>
      <c r="H2880" s="160"/>
      <c r="I2880" s="157"/>
      <c r="J2880" s="161"/>
      <c r="L2880" s="94"/>
      <c r="M2880" s="159"/>
      <c r="N2880" s="94"/>
    </row>
    <row r="2881">
      <c r="A2881" s="107">
        <v>203920.0</v>
      </c>
      <c r="B2881" s="108" t="s">
        <v>191</v>
      </c>
      <c r="C2881" s="108" t="s">
        <v>752</v>
      </c>
      <c r="D2881" s="100" t="str">
        <f t="shared" si="1"/>
        <v/>
      </c>
      <c r="E2881" s="100" t="str">
        <f t="shared" si="2"/>
        <v/>
      </c>
      <c r="F2881" s="100" t="str">
        <f t="shared" si="3"/>
        <v/>
      </c>
      <c r="G2881" s="151"/>
      <c r="H2881" s="156"/>
      <c r="I2881" s="157"/>
      <c r="J2881" s="158"/>
      <c r="L2881" s="94"/>
      <c r="M2881" s="159"/>
      <c r="N2881" s="94"/>
    </row>
    <row r="2882">
      <c r="A2882" s="107">
        <v>203920.0</v>
      </c>
      <c r="B2882" s="108" t="s">
        <v>192</v>
      </c>
      <c r="C2882" s="108" t="s">
        <v>752</v>
      </c>
      <c r="D2882" s="100" t="str">
        <f t="shared" si="1"/>
        <v/>
      </c>
      <c r="E2882" s="100" t="str">
        <f t="shared" si="2"/>
        <v/>
      </c>
      <c r="F2882" s="100" t="str">
        <f t="shared" si="3"/>
        <v/>
      </c>
      <c r="G2882" s="151"/>
      <c r="H2882" s="160"/>
      <c r="I2882" s="157"/>
      <c r="J2882" s="161"/>
      <c r="L2882" s="94"/>
      <c r="M2882" s="159"/>
      <c r="N2882" s="94"/>
    </row>
    <row r="2883">
      <c r="A2883" s="107">
        <v>203920.0</v>
      </c>
      <c r="B2883" s="108" t="s">
        <v>193</v>
      </c>
      <c r="C2883" s="108" t="s">
        <v>752</v>
      </c>
      <c r="D2883" s="100" t="str">
        <f t="shared" si="1"/>
        <v/>
      </c>
      <c r="E2883" s="100" t="str">
        <f t="shared" si="2"/>
        <v/>
      </c>
      <c r="F2883" s="100" t="str">
        <f t="shared" si="3"/>
        <v/>
      </c>
      <c r="G2883" s="151"/>
      <c r="H2883" s="156"/>
      <c r="I2883" s="157"/>
      <c r="J2883" s="158"/>
      <c r="L2883" s="94"/>
      <c r="M2883" s="159"/>
      <c r="N2883" s="94"/>
    </row>
    <row r="2884">
      <c r="A2884" s="107">
        <v>203920.0</v>
      </c>
      <c r="B2884" s="108" t="s">
        <v>243</v>
      </c>
      <c r="C2884" s="108" t="s">
        <v>752</v>
      </c>
      <c r="D2884" s="100" t="str">
        <f t="shared" si="1"/>
        <v/>
      </c>
      <c r="E2884" s="100" t="str">
        <f t="shared" si="2"/>
        <v/>
      </c>
      <c r="F2884" s="100" t="str">
        <f t="shared" si="3"/>
        <v/>
      </c>
      <c r="G2884" s="151"/>
      <c r="H2884" s="160"/>
      <c r="I2884" s="157"/>
      <c r="J2884" s="161"/>
      <c r="L2884" s="94"/>
      <c r="M2884" s="159"/>
      <c r="N2884" s="94"/>
    </row>
    <row r="2885">
      <c r="A2885" s="107">
        <v>203920.0</v>
      </c>
      <c r="B2885" s="108" t="s">
        <v>215</v>
      </c>
      <c r="C2885" s="108" t="s">
        <v>752</v>
      </c>
      <c r="D2885" s="100" t="str">
        <f t="shared" si="1"/>
        <v/>
      </c>
      <c r="E2885" s="100" t="str">
        <f t="shared" si="2"/>
        <v/>
      </c>
      <c r="F2885" s="100" t="str">
        <f t="shared" si="3"/>
        <v/>
      </c>
      <c r="G2885" s="151"/>
      <c r="H2885" s="156"/>
      <c r="I2885" s="157"/>
      <c r="J2885" s="158"/>
      <c r="L2885" s="94"/>
      <c r="M2885" s="159"/>
      <c r="N2885" s="94"/>
    </row>
    <row r="2886">
      <c r="A2886" s="107">
        <v>203920.0</v>
      </c>
      <c r="B2886" s="108" t="s">
        <v>244</v>
      </c>
      <c r="C2886" s="108" t="s">
        <v>752</v>
      </c>
      <c r="D2886" s="100" t="str">
        <f t="shared" si="1"/>
        <v/>
      </c>
      <c r="E2886" s="100" t="str">
        <f t="shared" si="2"/>
        <v/>
      </c>
      <c r="F2886" s="100" t="str">
        <f t="shared" si="3"/>
        <v/>
      </c>
      <c r="G2886" s="151"/>
      <c r="H2886" s="160"/>
      <c r="I2886" s="157"/>
      <c r="J2886" s="161"/>
      <c r="L2886" s="94"/>
      <c r="M2886" s="159"/>
      <c r="N2886" s="94"/>
    </row>
    <row r="2887">
      <c r="A2887" s="107">
        <v>203921.0</v>
      </c>
      <c r="B2887" s="108" t="s">
        <v>90</v>
      </c>
      <c r="C2887" s="108" t="s">
        <v>753</v>
      </c>
      <c r="D2887" s="100" t="str">
        <f t="shared" si="1"/>
        <v/>
      </c>
      <c r="E2887" s="100" t="str">
        <f t="shared" si="2"/>
        <v/>
      </c>
      <c r="F2887" s="100" t="str">
        <f t="shared" si="3"/>
        <v/>
      </c>
      <c r="G2887" s="151"/>
      <c r="H2887" s="156"/>
      <c r="I2887" s="157"/>
      <c r="J2887" s="158"/>
      <c r="L2887" s="94"/>
      <c r="M2887" s="159"/>
      <c r="N2887" s="94"/>
    </row>
    <row r="2888">
      <c r="A2888" s="107">
        <v>203921.0</v>
      </c>
      <c r="B2888" s="108" t="s">
        <v>92</v>
      </c>
      <c r="C2888" s="108" t="s">
        <v>753</v>
      </c>
      <c r="D2888" s="100" t="str">
        <f t="shared" si="1"/>
        <v/>
      </c>
      <c r="E2888" s="100" t="str">
        <f t="shared" si="2"/>
        <v/>
      </c>
      <c r="F2888" s="100" t="str">
        <f t="shared" si="3"/>
        <v/>
      </c>
      <c r="G2888" s="151"/>
      <c r="H2888" s="160"/>
      <c r="I2888" s="157"/>
      <c r="J2888" s="161"/>
      <c r="L2888" s="94"/>
      <c r="M2888" s="159"/>
      <c r="N2888" s="94"/>
    </row>
    <row r="2889">
      <c r="A2889" s="107">
        <v>203922.0</v>
      </c>
      <c r="B2889" s="108" t="s">
        <v>90</v>
      </c>
      <c r="C2889" s="115" t="s">
        <v>754</v>
      </c>
      <c r="D2889" s="100" t="str">
        <f t="shared" si="1"/>
        <v/>
      </c>
      <c r="E2889" s="100" t="str">
        <f t="shared" si="2"/>
        <v/>
      </c>
      <c r="F2889" s="100" t="str">
        <f t="shared" si="3"/>
        <v/>
      </c>
      <c r="G2889" s="151"/>
      <c r="H2889" s="156"/>
      <c r="I2889" s="157"/>
      <c r="J2889" s="158"/>
      <c r="L2889" s="94"/>
      <c r="M2889" s="159"/>
      <c r="N2889" s="94"/>
    </row>
    <row r="2890">
      <c r="A2890" s="107">
        <v>203922.0</v>
      </c>
      <c r="B2890" s="108" t="s">
        <v>92</v>
      </c>
      <c r="C2890" s="115" t="s">
        <v>754</v>
      </c>
      <c r="D2890" s="100" t="str">
        <f t="shared" si="1"/>
        <v/>
      </c>
      <c r="E2890" s="100" t="str">
        <f t="shared" si="2"/>
        <v/>
      </c>
      <c r="F2890" s="100" t="str">
        <f t="shared" si="3"/>
        <v/>
      </c>
      <c r="G2890" s="151"/>
      <c r="H2890" s="160"/>
      <c r="I2890" s="157"/>
      <c r="J2890" s="161"/>
      <c r="L2890" s="94"/>
      <c r="M2890" s="159"/>
      <c r="N2890" s="94"/>
    </row>
    <row r="2891">
      <c r="A2891" s="107">
        <v>203922.0</v>
      </c>
      <c r="B2891" s="108" t="s">
        <v>190</v>
      </c>
      <c r="C2891" s="115" t="s">
        <v>754</v>
      </c>
      <c r="D2891" s="100" t="str">
        <f t="shared" si="1"/>
        <v/>
      </c>
      <c r="E2891" s="100" t="str">
        <f t="shared" si="2"/>
        <v/>
      </c>
      <c r="F2891" s="100" t="str">
        <f t="shared" si="3"/>
        <v/>
      </c>
      <c r="G2891" s="151"/>
      <c r="H2891" s="156"/>
      <c r="I2891" s="157"/>
      <c r="J2891" s="158"/>
      <c r="L2891" s="94"/>
      <c r="M2891" s="159"/>
      <c r="N2891" s="94"/>
    </row>
    <row r="2892">
      <c r="A2892" s="107">
        <v>203922.0</v>
      </c>
      <c r="B2892" s="108" t="s">
        <v>191</v>
      </c>
      <c r="C2892" s="115" t="s">
        <v>754</v>
      </c>
      <c r="D2892" s="100" t="str">
        <f t="shared" si="1"/>
        <v/>
      </c>
      <c r="E2892" s="100" t="str">
        <f t="shared" si="2"/>
        <v/>
      </c>
      <c r="F2892" s="100" t="str">
        <f t="shared" si="3"/>
        <v/>
      </c>
      <c r="G2892" s="151"/>
      <c r="H2892" s="160"/>
      <c r="I2892" s="157"/>
      <c r="J2892" s="161"/>
      <c r="L2892" s="94"/>
      <c r="M2892" s="159"/>
      <c r="N2892" s="94"/>
    </row>
    <row r="2893">
      <c r="A2893" s="107">
        <v>203922.0</v>
      </c>
      <c r="B2893" s="108" t="s">
        <v>192</v>
      </c>
      <c r="C2893" s="115" t="s">
        <v>754</v>
      </c>
      <c r="D2893" s="100" t="str">
        <f t="shared" si="1"/>
        <v/>
      </c>
      <c r="E2893" s="100" t="str">
        <f t="shared" si="2"/>
        <v/>
      </c>
      <c r="F2893" s="100" t="str">
        <f t="shared" si="3"/>
        <v/>
      </c>
      <c r="G2893" s="151"/>
      <c r="H2893" s="156"/>
      <c r="I2893" s="157"/>
      <c r="J2893" s="158"/>
      <c r="L2893" s="94"/>
      <c r="M2893" s="159"/>
      <c r="N2893" s="94"/>
    </row>
    <row r="2894">
      <c r="A2894" s="107">
        <v>203922.0</v>
      </c>
      <c r="B2894" s="108" t="s">
        <v>193</v>
      </c>
      <c r="C2894" s="115" t="s">
        <v>754</v>
      </c>
      <c r="D2894" s="100" t="str">
        <f t="shared" si="1"/>
        <v/>
      </c>
      <c r="E2894" s="100" t="str">
        <f t="shared" si="2"/>
        <v/>
      </c>
      <c r="F2894" s="100" t="str">
        <f t="shared" si="3"/>
        <v/>
      </c>
      <c r="G2894" s="151"/>
      <c r="H2894" s="160"/>
      <c r="I2894" s="157"/>
      <c r="J2894" s="161"/>
      <c r="L2894" s="94"/>
      <c r="M2894" s="159"/>
      <c r="N2894" s="94"/>
    </row>
    <row r="2895">
      <c r="A2895" s="107">
        <v>203922.0</v>
      </c>
      <c r="B2895" s="108" t="s">
        <v>243</v>
      </c>
      <c r="C2895" s="115" t="s">
        <v>754</v>
      </c>
      <c r="D2895" s="100" t="str">
        <f t="shared" si="1"/>
        <v/>
      </c>
      <c r="E2895" s="100" t="str">
        <f t="shared" si="2"/>
        <v/>
      </c>
      <c r="F2895" s="100" t="str">
        <f t="shared" si="3"/>
        <v/>
      </c>
      <c r="G2895" s="151"/>
      <c r="H2895" s="156"/>
      <c r="I2895" s="157"/>
      <c r="J2895" s="158"/>
      <c r="L2895" s="94"/>
      <c r="M2895" s="159"/>
      <c r="N2895" s="94"/>
    </row>
    <row r="2896">
      <c r="A2896" s="107">
        <v>203923.0</v>
      </c>
      <c r="B2896" s="108" t="s">
        <v>90</v>
      </c>
      <c r="C2896" s="108" t="s">
        <v>755</v>
      </c>
      <c r="D2896" s="100" t="str">
        <f t="shared" si="1"/>
        <v/>
      </c>
      <c r="E2896" s="100" t="str">
        <f t="shared" si="2"/>
        <v/>
      </c>
      <c r="F2896" s="100" t="str">
        <f t="shared" si="3"/>
        <v/>
      </c>
      <c r="G2896" s="151"/>
      <c r="H2896" s="160"/>
      <c r="I2896" s="157"/>
      <c r="J2896" s="161"/>
      <c r="L2896" s="94"/>
      <c r="M2896" s="159"/>
      <c r="N2896" s="94"/>
    </row>
    <row r="2897">
      <c r="A2897" s="107">
        <v>203923.0</v>
      </c>
      <c r="B2897" s="108" t="s">
        <v>92</v>
      </c>
      <c r="C2897" s="108" t="s">
        <v>755</v>
      </c>
      <c r="D2897" s="100" t="str">
        <f t="shared" si="1"/>
        <v/>
      </c>
      <c r="E2897" s="100" t="str">
        <f t="shared" si="2"/>
        <v/>
      </c>
      <c r="F2897" s="100" t="str">
        <f t="shared" si="3"/>
        <v/>
      </c>
      <c r="G2897" s="151"/>
      <c r="H2897" s="156"/>
      <c r="I2897" s="157"/>
      <c r="J2897" s="158"/>
      <c r="L2897" s="94"/>
      <c r="M2897" s="159"/>
      <c r="N2897" s="94"/>
    </row>
    <row r="2898">
      <c r="A2898" s="107">
        <v>203923.0</v>
      </c>
      <c r="B2898" s="108" t="s">
        <v>190</v>
      </c>
      <c r="C2898" s="108" t="s">
        <v>755</v>
      </c>
      <c r="D2898" s="100" t="str">
        <f t="shared" si="1"/>
        <v/>
      </c>
      <c r="E2898" s="100" t="str">
        <f t="shared" si="2"/>
        <v/>
      </c>
      <c r="F2898" s="100" t="str">
        <f t="shared" si="3"/>
        <v/>
      </c>
      <c r="G2898" s="151"/>
      <c r="H2898" s="160"/>
      <c r="I2898" s="157"/>
      <c r="J2898" s="161"/>
      <c r="L2898" s="94"/>
      <c r="M2898" s="159"/>
      <c r="N2898" s="94"/>
    </row>
    <row r="2899">
      <c r="A2899" s="107">
        <v>203923.0</v>
      </c>
      <c r="B2899" s="108" t="s">
        <v>191</v>
      </c>
      <c r="C2899" s="108" t="s">
        <v>755</v>
      </c>
      <c r="D2899" s="100" t="str">
        <f t="shared" si="1"/>
        <v/>
      </c>
      <c r="E2899" s="100" t="str">
        <f t="shared" si="2"/>
        <v/>
      </c>
      <c r="F2899" s="100" t="str">
        <f t="shared" si="3"/>
        <v/>
      </c>
      <c r="G2899" s="151"/>
      <c r="H2899" s="156"/>
      <c r="I2899" s="157"/>
      <c r="J2899" s="158"/>
      <c r="L2899" s="94"/>
      <c r="M2899" s="159"/>
      <c r="N2899" s="94"/>
    </row>
    <row r="2900">
      <c r="A2900" s="107">
        <v>203924.0</v>
      </c>
      <c r="B2900" s="108" t="s">
        <v>90</v>
      </c>
      <c r="C2900" s="108" t="s">
        <v>756</v>
      </c>
      <c r="D2900" s="100" t="str">
        <f t="shared" si="1"/>
        <v/>
      </c>
      <c r="E2900" s="100" t="str">
        <f t="shared" si="2"/>
        <v/>
      </c>
      <c r="F2900" s="100" t="str">
        <f t="shared" si="3"/>
        <v/>
      </c>
      <c r="G2900" s="151"/>
      <c r="H2900" s="160"/>
      <c r="I2900" s="157"/>
      <c r="J2900" s="161"/>
      <c r="L2900" s="94"/>
      <c r="M2900" s="159"/>
      <c r="N2900" s="94"/>
    </row>
    <row r="2901">
      <c r="A2901" s="107">
        <v>203924.0</v>
      </c>
      <c r="B2901" s="108" t="s">
        <v>92</v>
      </c>
      <c r="C2901" s="108" t="s">
        <v>756</v>
      </c>
      <c r="D2901" s="100" t="str">
        <f t="shared" si="1"/>
        <v/>
      </c>
      <c r="E2901" s="100" t="str">
        <f t="shared" si="2"/>
        <v/>
      </c>
      <c r="F2901" s="100" t="str">
        <f t="shared" si="3"/>
        <v/>
      </c>
      <c r="G2901" s="151"/>
      <c r="H2901" s="156"/>
      <c r="I2901" s="157"/>
      <c r="J2901" s="158"/>
      <c r="L2901" s="94"/>
      <c r="M2901" s="159"/>
      <c r="N2901" s="94"/>
    </row>
    <row r="2902">
      <c r="A2902" s="107">
        <v>203924.0</v>
      </c>
      <c r="B2902" s="108" t="s">
        <v>190</v>
      </c>
      <c r="C2902" s="108" t="s">
        <v>756</v>
      </c>
      <c r="D2902" s="100" t="str">
        <f t="shared" si="1"/>
        <v/>
      </c>
      <c r="E2902" s="100" t="str">
        <f t="shared" si="2"/>
        <v/>
      </c>
      <c r="F2902" s="100" t="str">
        <f t="shared" si="3"/>
        <v/>
      </c>
      <c r="G2902" s="151"/>
      <c r="H2902" s="160"/>
      <c r="I2902" s="157"/>
      <c r="J2902" s="161"/>
      <c r="L2902" s="94"/>
      <c r="M2902" s="159"/>
      <c r="N2902" s="94"/>
    </row>
    <row r="2903">
      <c r="A2903" s="107">
        <v>203924.0</v>
      </c>
      <c r="B2903" s="108" t="s">
        <v>191</v>
      </c>
      <c r="C2903" s="108" t="s">
        <v>756</v>
      </c>
      <c r="D2903" s="100" t="str">
        <f t="shared" si="1"/>
        <v/>
      </c>
      <c r="E2903" s="100" t="str">
        <f t="shared" si="2"/>
        <v/>
      </c>
      <c r="F2903" s="100" t="str">
        <f t="shared" si="3"/>
        <v/>
      </c>
      <c r="G2903" s="151"/>
      <c r="H2903" s="156"/>
      <c r="I2903" s="157"/>
      <c r="J2903" s="158"/>
      <c r="L2903" s="94"/>
      <c r="M2903" s="159"/>
      <c r="N2903" s="94"/>
    </row>
    <row r="2904">
      <c r="A2904" s="107">
        <v>203924.0</v>
      </c>
      <c r="B2904" s="108" t="s">
        <v>192</v>
      </c>
      <c r="C2904" s="108" t="s">
        <v>756</v>
      </c>
      <c r="D2904" s="100" t="str">
        <f t="shared" si="1"/>
        <v/>
      </c>
      <c r="E2904" s="100" t="str">
        <f t="shared" si="2"/>
        <v/>
      </c>
      <c r="F2904" s="100" t="str">
        <f t="shared" si="3"/>
        <v/>
      </c>
      <c r="G2904" s="151"/>
      <c r="H2904" s="160"/>
      <c r="I2904" s="157"/>
      <c r="J2904" s="161"/>
      <c r="L2904" s="94"/>
      <c r="M2904" s="159"/>
      <c r="N2904" s="94"/>
    </row>
    <row r="2905">
      <c r="A2905" s="107">
        <v>203924.0</v>
      </c>
      <c r="B2905" s="108" t="s">
        <v>193</v>
      </c>
      <c r="C2905" s="108" t="s">
        <v>756</v>
      </c>
      <c r="D2905" s="100" t="str">
        <f t="shared" si="1"/>
        <v/>
      </c>
      <c r="E2905" s="100" t="str">
        <f t="shared" si="2"/>
        <v/>
      </c>
      <c r="F2905" s="100" t="str">
        <f t="shared" si="3"/>
        <v/>
      </c>
      <c r="G2905" s="151"/>
      <c r="H2905" s="156"/>
      <c r="I2905" s="157"/>
      <c r="J2905" s="158"/>
      <c r="L2905" s="94"/>
      <c r="M2905" s="159"/>
      <c r="N2905" s="94"/>
    </row>
    <row r="2906">
      <c r="A2906" s="107">
        <v>203924.0</v>
      </c>
      <c r="B2906" s="108" t="s">
        <v>243</v>
      </c>
      <c r="C2906" s="108" t="s">
        <v>756</v>
      </c>
      <c r="D2906" s="100" t="str">
        <f t="shared" si="1"/>
        <v/>
      </c>
      <c r="E2906" s="100" t="str">
        <f t="shared" si="2"/>
        <v/>
      </c>
      <c r="F2906" s="100" t="str">
        <f t="shared" si="3"/>
        <v/>
      </c>
      <c r="G2906" s="151"/>
      <c r="H2906" s="160"/>
      <c r="I2906" s="157"/>
      <c r="J2906" s="161"/>
      <c r="L2906" s="94"/>
      <c r="M2906" s="159"/>
      <c r="N2906" s="94"/>
    </row>
    <row r="2907">
      <c r="A2907" s="107">
        <v>203924.0</v>
      </c>
      <c r="B2907" s="108" t="s">
        <v>215</v>
      </c>
      <c r="C2907" s="108" t="s">
        <v>756</v>
      </c>
      <c r="D2907" s="100" t="str">
        <f t="shared" si="1"/>
        <v/>
      </c>
      <c r="E2907" s="100" t="str">
        <f t="shared" si="2"/>
        <v/>
      </c>
      <c r="F2907" s="100" t="str">
        <f t="shared" si="3"/>
        <v/>
      </c>
      <c r="G2907" s="151"/>
      <c r="H2907" s="156"/>
      <c r="I2907" s="157"/>
      <c r="J2907" s="158"/>
      <c r="L2907" s="94"/>
      <c r="M2907" s="159"/>
      <c r="N2907" s="94"/>
    </row>
    <row r="2908">
      <c r="A2908" s="107">
        <v>203924.0</v>
      </c>
      <c r="B2908" s="108" t="s">
        <v>244</v>
      </c>
      <c r="C2908" s="108" t="s">
        <v>756</v>
      </c>
      <c r="D2908" s="100" t="str">
        <f t="shared" si="1"/>
        <v/>
      </c>
      <c r="E2908" s="100" t="str">
        <f t="shared" si="2"/>
        <v/>
      </c>
      <c r="F2908" s="100" t="str">
        <f t="shared" si="3"/>
        <v/>
      </c>
      <c r="G2908" s="151"/>
      <c r="H2908" s="160"/>
      <c r="I2908" s="157"/>
      <c r="J2908" s="161"/>
      <c r="L2908" s="94"/>
      <c r="M2908" s="159"/>
      <c r="N2908" s="94"/>
    </row>
    <row r="2909">
      <c r="A2909" s="107">
        <v>203924.0</v>
      </c>
      <c r="B2909" s="108" t="s">
        <v>245</v>
      </c>
      <c r="C2909" s="108" t="s">
        <v>756</v>
      </c>
      <c r="D2909" s="100" t="str">
        <f t="shared" si="1"/>
        <v/>
      </c>
      <c r="E2909" s="100" t="str">
        <f t="shared" si="2"/>
        <v/>
      </c>
      <c r="F2909" s="100" t="str">
        <f t="shared" si="3"/>
        <v/>
      </c>
      <c r="G2909" s="151"/>
      <c r="H2909" s="156"/>
      <c r="I2909" s="157"/>
      <c r="J2909" s="158"/>
      <c r="L2909" s="94"/>
      <c r="M2909" s="159"/>
      <c r="N2909" s="94"/>
    </row>
    <row r="2910">
      <c r="A2910" s="107">
        <v>203924.0</v>
      </c>
      <c r="B2910" s="108" t="s">
        <v>246</v>
      </c>
      <c r="C2910" s="108" t="s">
        <v>756</v>
      </c>
      <c r="D2910" s="100" t="str">
        <f t="shared" si="1"/>
        <v/>
      </c>
      <c r="E2910" s="100" t="str">
        <f t="shared" si="2"/>
        <v/>
      </c>
      <c r="F2910" s="100" t="str">
        <f t="shared" si="3"/>
        <v/>
      </c>
      <c r="G2910" s="151"/>
      <c r="H2910" s="160"/>
      <c r="I2910" s="157"/>
      <c r="J2910" s="161"/>
      <c r="L2910" s="94"/>
      <c r="M2910" s="159"/>
      <c r="N2910" s="94"/>
    </row>
    <row r="2911">
      <c r="A2911" s="149">
        <v>203924.0</v>
      </c>
      <c r="B2911" s="115" t="s">
        <v>247</v>
      </c>
      <c r="C2911" s="115" t="s">
        <v>756</v>
      </c>
      <c r="D2911" s="100" t="str">
        <f t="shared" si="1"/>
        <v/>
      </c>
      <c r="E2911" s="100" t="str">
        <f t="shared" si="2"/>
        <v/>
      </c>
      <c r="F2911" s="100" t="str">
        <f t="shared" si="3"/>
        <v/>
      </c>
      <c r="G2911" s="151"/>
      <c r="H2911" s="156"/>
      <c r="I2911" s="157"/>
      <c r="J2911" s="158"/>
      <c r="L2911" s="94"/>
      <c r="M2911" s="159"/>
      <c r="N2911" s="94"/>
    </row>
    <row r="2912">
      <c r="A2912" s="21">
        <v>203925.0</v>
      </c>
      <c r="B2912" s="164" t="s">
        <v>90</v>
      </c>
      <c r="C2912" s="164" t="s">
        <v>757</v>
      </c>
      <c r="D2912" s="100" t="str">
        <f t="shared" si="1"/>
        <v/>
      </c>
      <c r="E2912" s="100" t="str">
        <f t="shared" si="2"/>
        <v/>
      </c>
      <c r="F2912" s="100" t="str">
        <f t="shared" si="3"/>
        <v/>
      </c>
      <c r="G2912" s="151"/>
      <c r="H2912" s="160"/>
      <c r="I2912" s="157"/>
      <c r="J2912" s="161"/>
      <c r="L2912" s="94"/>
      <c r="M2912" s="159"/>
      <c r="N2912" s="94"/>
    </row>
    <row r="2913">
      <c r="A2913" s="107">
        <v>203925.0</v>
      </c>
      <c r="B2913" s="108" t="s">
        <v>92</v>
      </c>
      <c r="C2913" s="108" t="s">
        <v>757</v>
      </c>
      <c r="D2913" s="100" t="str">
        <f t="shared" si="1"/>
        <v/>
      </c>
      <c r="E2913" s="100" t="str">
        <f t="shared" si="2"/>
        <v/>
      </c>
      <c r="F2913" s="100" t="str">
        <f t="shared" si="3"/>
        <v/>
      </c>
      <c r="G2913" s="151"/>
      <c r="H2913" s="156"/>
      <c r="I2913" s="157"/>
      <c r="J2913" s="158"/>
      <c r="L2913" s="94"/>
      <c r="M2913" s="159"/>
      <c r="N2913" s="94"/>
    </row>
    <row r="2914">
      <c r="A2914" s="107">
        <v>203925.0</v>
      </c>
      <c r="B2914" s="108" t="s">
        <v>190</v>
      </c>
      <c r="C2914" s="108" t="s">
        <v>757</v>
      </c>
      <c r="D2914" s="100" t="str">
        <f t="shared" si="1"/>
        <v/>
      </c>
      <c r="E2914" s="100" t="str">
        <f t="shared" si="2"/>
        <v/>
      </c>
      <c r="F2914" s="100" t="str">
        <f t="shared" si="3"/>
        <v/>
      </c>
      <c r="G2914" s="151"/>
      <c r="H2914" s="160"/>
      <c r="I2914" s="157"/>
      <c r="J2914" s="161"/>
      <c r="L2914" s="94"/>
      <c r="M2914" s="159"/>
      <c r="N2914" s="94"/>
    </row>
    <row r="2915">
      <c r="A2915" s="107">
        <v>203925.0</v>
      </c>
      <c r="B2915" s="108" t="s">
        <v>191</v>
      </c>
      <c r="C2915" s="108" t="s">
        <v>757</v>
      </c>
      <c r="D2915" s="100" t="str">
        <f t="shared" si="1"/>
        <v/>
      </c>
      <c r="E2915" s="100" t="str">
        <f t="shared" si="2"/>
        <v/>
      </c>
      <c r="F2915" s="100" t="str">
        <f t="shared" si="3"/>
        <v/>
      </c>
      <c r="G2915" s="151"/>
      <c r="H2915" s="156"/>
      <c r="I2915" s="157"/>
      <c r="J2915" s="158"/>
      <c r="L2915" s="94"/>
      <c r="M2915" s="159"/>
      <c r="N2915" s="94"/>
    </row>
    <row r="2916">
      <c r="A2916" s="107">
        <v>203925.0</v>
      </c>
      <c r="B2916" s="108" t="s">
        <v>192</v>
      </c>
      <c r="C2916" s="108" t="s">
        <v>757</v>
      </c>
      <c r="D2916" s="100" t="str">
        <f t="shared" si="1"/>
        <v/>
      </c>
      <c r="E2916" s="100" t="str">
        <f t="shared" si="2"/>
        <v/>
      </c>
      <c r="F2916" s="100" t="str">
        <f t="shared" si="3"/>
        <v/>
      </c>
      <c r="G2916" s="151"/>
      <c r="H2916" s="160"/>
      <c r="I2916" s="157"/>
      <c r="J2916" s="161"/>
      <c r="L2916" s="94"/>
      <c r="M2916" s="159"/>
      <c r="N2916" s="94"/>
    </row>
    <row r="2917">
      <c r="A2917" s="107">
        <v>203925.0</v>
      </c>
      <c r="B2917" s="108" t="s">
        <v>193</v>
      </c>
      <c r="C2917" s="108" t="s">
        <v>757</v>
      </c>
      <c r="D2917" s="100" t="str">
        <f t="shared" si="1"/>
        <v/>
      </c>
      <c r="E2917" s="100" t="str">
        <f t="shared" si="2"/>
        <v/>
      </c>
      <c r="F2917" s="100" t="str">
        <f t="shared" si="3"/>
        <v/>
      </c>
      <c r="G2917" s="151"/>
      <c r="H2917" s="156"/>
      <c r="I2917" s="157"/>
      <c r="J2917" s="158"/>
      <c r="L2917" s="94"/>
      <c r="M2917" s="159"/>
      <c r="N2917" s="94"/>
    </row>
    <row r="2918">
      <c r="A2918" s="107">
        <v>203925.0</v>
      </c>
      <c r="B2918" s="108" t="s">
        <v>243</v>
      </c>
      <c r="C2918" s="108" t="s">
        <v>757</v>
      </c>
      <c r="D2918" s="100" t="str">
        <f t="shared" si="1"/>
        <v/>
      </c>
      <c r="E2918" s="100" t="str">
        <f t="shared" si="2"/>
        <v/>
      </c>
      <c r="F2918" s="100" t="str">
        <f t="shared" si="3"/>
        <v/>
      </c>
      <c r="G2918" s="151"/>
      <c r="H2918" s="160"/>
      <c r="I2918" s="157"/>
      <c r="J2918" s="161"/>
      <c r="L2918" s="94"/>
      <c r="M2918" s="159"/>
      <c r="N2918" s="94"/>
    </row>
    <row r="2919">
      <c r="A2919" s="107">
        <v>203925.0</v>
      </c>
      <c r="B2919" s="108" t="s">
        <v>215</v>
      </c>
      <c r="C2919" s="108" t="s">
        <v>757</v>
      </c>
      <c r="D2919" s="100" t="str">
        <f t="shared" si="1"/>
        <v/>
      </c>
      <c r="E2919" s="100" t="str">
        <f t="shared" si="2"/>
        <v/>
      </c>
      <c r="F2919" s="100" t="str">
        <f t="shared" si="3"/>
        <v/>
      </c>
      <c r="G2919" s="151"/>
      <c r="H2919" s="156"/>
      <c r="I2919" s="157"/>
      <c r="J2919" s="158"/>
      <c r="L2919" s="94"/>
      <c r="M2919" s="159"/>
      <c r="N2919" s="94"/>
    </row>
    <row r="2920">
      <c r="A2920" s="107">
        <v>203925.0</v>
      </c>
      <c r="B2920" s="108" t="s">
        <v>244</v>
      </c>
      <c r="C2920" s="108" t="s">
        <v>757</v>
      </c>
      <c r="D2920" s="100" t="str">
        <f t="shared" si="1"/>
        <v/>
      </c>
      <c r="E2920" s="100" t="str">
        <f t="shared" si="2"/>
        <v/>
      </c>
      <c r="F2920" s="100" t="str">
        <f t="shared" si="3"/>
        <v/>
      </c>
      <c r="G2920" s="151"/>
      <c r="H2920" s="160"/>
      <c r="I2920" s="157"/>
      <c r="J2920" s="161"/>
      <c r="L2920" s="94"/>
      <c r="M2920" s="159"/>
      <c r="N2920" s="94"/>
    </row>
    <row r="2921">
      <c r="A2921" s="107">
        <v>203925.0</v>
      </c>
      <c r="B2921" s="108" t="s">
        <v>245</v>
      </c>
      <c r="C2921" s="108" t="s">
        <v>757</v>
      </c>
      <c r="D2921" s="100" t="str">
        <f t="shared" si="1"/>
        <v/>
      </c>
      <c r="E2921" s="100" t="str">
        <f t="shared" si="2"/>
        <v/>
      </c>
      <c r="F2921" s="100" t="str">
        <f t="shared" si="3"/>
        <v/>
      </c>
      <c r="G2921" s="151"/>
      <c r="H2921" s="156"/>
      <c r="I2921" s="157"/>
      <c r="J2921" s="158"/>
      <c r="L2921" s="94"/>
      <c r="M2921" s="159"/>
      <c r="N2921" s="94"/>
    </row>
    <row r="2922">
      <c r="A2922" s="107">
        <v>203926.0</v>
      </c>
      <c r="B2922" s="108" t="s">
        <v>90</v>
      </c>
      <c r="C2922" s="108" t="s">
        <v>758</v>
      </c>
      <c r="D2922" s="100" t="str">
        <f t="shared" si="1"/>
        <v/>
      </c>
      <c r="E2922" s="100" t="str">
        <f t="shared" si="2"/>
        <v/>
      </c>
      <c r="F2922" s="100" t="str">
        <f t="shared" si="3"/>
        <v/>
      </c>
      <c r="G2922" s="151"/>
      <c r="H2922" s="160"/>
      <c r="I2922" s="157"/>
      <c r="J2922" s="161"/>
      <c r="L2922" s="94"/>
      <c r="M2922" s="159"/>
      <c r="N2922" s="94"/>
    </row>
    <row r="2923">
      <c r="A2923" s="107">
        <v>203926.0</v>
      </c>
      <c r="B2923" s="108" t="s">
        <v>92</v>
      </c>
      <c r="C2923" s="108" t="s">
        <v>758</v>
      </c>
      <c r="D2923" s="100" t="str">
        <f t="shared" si="1"/>
        <v/>
      </c>
      <c r="E2923" s="100" t="str">
        <f t="shared" si="2"/>
        <v/>
      </c>
      <c r="F2923" s="100" t="str">
        <f t="shared" si="3"/>
        <v/>
      </c>
      <c r="G2923" s="151"/>
      <c r="H2923" s="156"/>
      <c r="I2923" s="157"/>
      <c r="J2923" s="158"/>
      <c r="L2923" s="94"/>
      <c r="M2923" s="159"/>
      <c r="N2923" s="94"/>
    </row>
    <row r="2924">
      <c r="A2924" s="107">
        <v>203926.0</v>
      </c>
      <c r="B2924" s="108" t="s">
        <v>190</v>
      </c>
      <c r="C2924" s="108" t="s">
        <v>758</v>
      </c>
      <c r="D2924" s="100" t="str">
        <f t="shared" si="1"/>
        <v/>
      </c>
      <c r="E2924" s="100" t="str">
        <f t="shared" si="2"/>
        <v/>
      </c>
      <c r="F2924" s="100" t="str">
        <f t="shared" si="3"/>
        <v/>
      </c>
      <c r="G2924" s="151"/>
      <c r="H2924" s="160"/>
      <c r="I2924" s="157"/>
      <c r="J2924" s="161"/>
      <c r="L2924" s="94"/>
      <c r="M2924" s="159"/>
      <c r="N2924" s="94"/>
    </row>
    <row r="2925">
      <c r="A2925" s="107">
        <v>203926.0</v>
      </c>
      <c r="B2925" s="108" t="s">
        <v>191</v>
      </c>
      <c r="C2925" s="108" t="s">
        <v>758</v>
      </c>
      <c r="D2925" s="100" t="str">
        <f t="shared" si="1"/>
        <v/>
      </c>
      <c r="E2925" s="100" t="str">
        <f t="shared" si="2"/>
        <v/>
      </c>
      <c r="F2925" s="100" t="str">
        <f t="shared" si="3"/>
        <v/>
      </c>
      <c r="G2925" s="151"/>
      <c r="H2925" s="156"/>
      <c r="I2925" s="157"/>
      <c r="J2925" s="158"/>
      <c r="L2925" s="94"/>
      <c r="M2925" s="159"/>
      <c r="N2925" s="94"/>
    </row>
    <row r="2926">
      <c r="A2926" s="107">
        <v>203926.0</v>
      </c>
      <c r="B2926" s="108" t="s">
        <v>192</v>
      </c>
      <c r="C2926" s="108" t="s">
        <v>758</v>
      </c>
      <c r="D2926" s="100" t="str">
        <f t="shared" si="1"/>
        <v/>
      </c>
      <c r="E2926" s="100" t="str">
        <f t="shared" si="2"/>
        <v/>
      </c>
      <c r="F2926" s="100" t="str">
        <f t="shared" si="3"/>
        <v/>
      </c>
      <c r="G2926" s="151"/>
      <c r="H2926" s="160"/>
      <c r="I2926" s="157"/>
      <c r="J2926" s="161"/>
      <c r="L2926" s="94"/>
      <c r="M2926" s="159"/>
      <c r="N2926" s="94"/>
    </row>
    <row r="2927">
      <c r="A2927" s="107">
        <v>203926.0</v>
      </c>
      <c r="B2927" s="108" t="s">
        <v>193</v>
      </c>
      <c r="C2927" s="108" t="s">
        <v>758</v>
      </c>
      <c r="D2927" s="100" t="str">
        <f t="shared" si="1"/>
        <v/>
      </c>
      <c r="E2927" s="100" t="str">
        <f t="shared" si="2"/>
        <v/>
      </c>
      <c r="F2927" s="100" t="str">
        <f t="shared" si="3"/>
        <v/>
      </c>
      <c r="G2927" s="151"/>
      <c r="H2927" s="156"/>
      <c r="I2927" s="157"/>
      <c r="J2927" s="158"/>
      <c r="L2927" s="94"/>
      <c r="M2927" s="159"/>
      <c r="N2927" s="94"/>
    </row>
    <row r="2928">
      <c r="A2928" s="107">
        <v>203926.0</v>
      </c>
      <c r="B2928" s="108" t="s">
        <v>243</v>
      </c>
      <c r="C2928" s="108" t="s">
        <v>758</v>
      </c>
      <c r="D2928" s="100" t="str">
        <f t="shared" si="1"/>
        <v/>
      </c>
      <c r="E2928" s="100" t="str">
        <f t="shared" si="2"/>
        <v/>
      </c>
      <c r="F2928" s="100" t="str">
        <f t="shared" si="3"/>
        <v/>
      </c>
      <c r="G2928" s="151"/>
      <c r="H2928" s="160"/>
      <c r="I2928" s="157"/>
      <c r="J2928" s="161"/>
      <c r="L2928" s="94"/>
      <c r="M2928" s="159"/>
      <c r="N2928" s="94"/>
    </row>
    <row r="2929">
      <c r="A2929" s="107">
        <v>203926.0</v>
      </c>
      <c r="B2929" s="108" t="s">
        <v>215</v>
      </c>
      <c r="C2929" s="108" t="s">
        <v>758</v>
      </c>
      <c r="D2929" s="100" t="str">
        <f t="shared" si="1"/>
        <v/>
      </c>
      <c r="E2929" s="100" t="str">
        <f t="shared" si="2"/>
        <v/>
      </c>
      <c r="F2929" s="100" t="str">
        <f t="shared" si="3"/>
        <v/>
      </c>
      <c r="G2929" s="151"/>
      <c r="H2929" s="156"/>
      <c r="I2929" s="157"/>
      <c r="J2929" s="158"/>
      <c r="L2929" s="94"/>
      <c r="M2929" s="159"/>
      <c r="N2929" s="94"/>
    </row>
    <row r="2930">
      <c r="A2930" s="107">
        <v>203926.0</v>
      </c>
      <c r="B2930" s="108" t="s">
        <v>244</v>
      </c>
      <c r="C2930" s="108" t="s">
        <v>758</v>
      </c>
      <c r="D2930" s="100" t="str">
        <f t="shared" si="1"/>
        <v/>
      </c>
      <c r="E2930" s="100" t="str">
        <f t="shared" si="2"/>
        <v/>
      </c>
      <c r="F2930" s="100" t="str">
        <f t="shared" si="3"/>
        <v/>
      </c>
      <c r="G2930" s="151"/>
      <c r="H2930" s="160"/>
      <c r="I2930" s="157"/>
      <c r="J2930" s="161"/>
      <c r="L2930" s="94"/>
      <c r="M2930" s="159"/>
      <c r="N2930" s="94"/>
    </row>
    <row r="2931">
      <c r="A2931" s="107">
        <v>203926.0</v>
      </c>
      <c r="B2931" s="108" t="s">
        <v>245</v>
      </c>
      <c r="C2931" s="108" t="s">
        <v>758</v>
      </c>
      <c r="D2931" s="100" t="str">
        <f t="shared" si="1"/>
        <v/>
      </c>
      <c r="E2931" s="100" t="str">
        <f t="shared" si="2"/>
        <v/>
      </c>
      <c r="F2931" s="100" t="str">
        <f t="shared" si="3"/>
        <v/>
      </c>
      <c r="G2931" s="151"/>
      <c r="H2931" s="156"/>
      <c r="I2931" s="157"/>
      <c r="J2931" s="158"/>
      <c r="L2931" s="94"/>
      <c r="M2931" s="159"/>
      <c r="N2931" s="94"/>
    </row>
    <row r="2932">
      <c r="A2932" s="107">
        <v>203926.0</v>
      </c>
      <c r="B2932" s="108" t="s">
        <v>246</v>
      </c>
      <c r="C2932" s="108" t="s">
        <v>758</v>
      </c>
      <c r="D2932" s="100" t="str">
        <f t="shared" si="1"/>
        <v/>
      </c>
      <c r="E2932" s="100" t="str">
        <f t="shared" si="2"/>
        <v/>
      </c>
      <c r="F2932" s="100" t="str">
        <f t="shared" si="3"/>
        <v/>
      </c>
      <c r="G2932" s="151"/>
      <c r="H2932" s="160"/>
      <c r="I2932" s="157"/>
      <c r="J2932" s="161"/>
      <c r="L2932" s="94"/>
      <c r="M2932" s="159"/>
      <c r="N2932" s="94"/>
    </row>
    <row r="2933">
      <c r="A2933" s="140">
        <v>203926.0</v>
      </c>
      <c r="B2933" s="115" t="s">
        <v>247</v>
      </c>
      <c r="C2933" s="115" t="s">
        <v>759</v>
      </c>
      <c r="D2933" s="100" t="str">
        <f t="shared" si="1"/>
        <v/>
      </c>
      <c r="E2933" s="100" t="str">
        <f t="shared" si="2"/>
        <v/>
      </c>
      <c r="F2933" s="100" t="str">
        <f t="shared" si="3"/>
        <v/>
      </c>
      <c r="G2933" s="151"/>
      <c r="H2933" s="156"/>
      <c r="I2933" s="157"/>
      <c r="J2933" s="158"/>
      <c r="L2933" s="94"/>
      <c r="M2933" s="159"/>
      <c r="N2933" s="94"/>
    </row>
    <row r="2934">
      <c r="A2934" s="163">
        <v>203928.0</v>
      </c>
      <c r="B2934" s="164" t="s">
        <v>90</v>
      </c>
      <c r="C2934" s="164" t="s">
        <v>760</v>
      </c>
      <c r="D2934" s="100" t="str">
        <f t="shared" si="1"/>
        <v/>
      </c>
      <c r="E2934" s="100" t="str">
        <f t="shared" si="2"/>
        <v/>
      </c>
      <c r="F2934" s="100" t="str">
        <f t="shared" si="3"/>
        <v/>
      </c>
      <c r="G2934" s="151"/>
      <c r="H2934" s="160"/>
      <c r="I2934" s="157"/>
      <c r="J2934" s="161"/>
      <c r="L2934" s="94"/>
      <c r="M2934" s="159"/>
      <c r="N2934" s="94"/>
    </row>
    <row r="2935">
      <c r="A2935" s="107">
        <v>203928.0</v>
      </c>
      <c r="B2935" s="108" t="s">
        <v>92</v>
      </c>
      <c r="C2935" s="108" t="s">
        <v>760</v>
      </c>
      <c r="D2935" s="100" t="str">
        <f t="shared" si="1"/>
        <v/>
      </c>
      <c r="E2935" s="100" t="str">
        <f t="shared" si="2"/>
        <v/>
      </c>
      <c r="F2935" s="100" t="str">
        <f t="shared" si="3"/>
        <v/>
      </c>
      <c r="G2935" s="151"/>
      <c r="H2935" s="156"/>
      <c r="I2935" s="157"/>
      <c r="J2935" s="158"/>
      <c r="L2935" s="94"/>
      <c r="M2935" s="159"/>
      <c r="N2935" s="94"/>
    </row>
    <row r="2936">
      <c r="A2936" s="107">
        <v>203930.0</v>
      </c>
      <c r="B2936" s="108" t="s">
        <v>90</v>
      </c>
      <c r="C2936" s="108" t="s">
        <v>761</v>
      </c>
      <c r="D2936" s="100" t="str">
        <f t="shared" si="1"/>
        <v/>
      </c>
      <c r="E2936" s="100" t="str">
        <f t="shared" si="2"/>
        <v/>
      </c>
      <c r="F2936" s="100" t="str">
        <f t="shared" si="3"/>
        <v/>
      </c>
      <c r="G2936" s="151"/>
      <c r="H2936" s="160"/>
      <c r="I2936" s="157"/>
      <c r="J2936" s="161"/>
      <c r="L2936" s="94"/>
      <c r="M2936" s="159"/>
      <c r="N2936" s="94"/>
    </row>
    <row r="2937">
      <c r="A2937" s="107">
        <v>203930.0</v>
      </c>
      <c r="B2937" s="108" t="s">
        <v>92</v>
      </c>
      <c r="C2937" s="108" t="s">
        <v>761</v>
      </c>
      <c r="D2937" s="100" t="str">
        <f t="shared" si="1"/>
        <v/>
      </c>
      <c r="E2937" s="100" t="str">
        <f t="shared" si="2"/>
        <v/>
      </c>
      <c r="F2937" s="100" t="str">
        <f t="shared" si="3"/>
        <v/>
      </c>
      <c r="G2937" s="151"/>
      <c r="H2937" s="156"/>
      <c r="I2937" s="157"/>
      <c r="J2937" s="158"/>
      <c r="L2937" s="94"/>
      <c r="M2937" s="159"/>
      <c r="N2937" s="94"/>
    </row>
    <row r="2938">
      <c r="A2938" s="107">
        <v>203930.0</v>
      </c>
      <c r="B2938" s="108" t="s">
        <v>190</v>
      </c>
      <c r="C2938" s="108" t="s">
        <v>761</v>
      </c>
      <c r="D2938" s="100" t="str">
        <f t="shared" si="1"/>
        <v/>
      </c>
      <c r="E2938" s="100" t="str">
        <f t="shared" si="2"/>
        <v/>
      </c>
      <c r="F2938" s="100" t="str">
        <f t="shared" si="3"/>
        <v/>
      </c>
      <c r="G2938" s="151"/>
      <c r="H2938" s="160"/>
      <c r="I2938" s="157"/>
      <c r="J2938" s="161"/>
      <c r="L2938" s="94"/>
      <c r="M2938" s="159"/>
      <c r="N2938" s="94"/>
    </row>
    <row r="2939">
      <c r="A2939" s="107">
        <v>203930.0</v>
      </c>
      <c r="B2939" s="108" t="s">
        <v>191</v>
      </c>
      <c r="C2939" s="108" t="s">
        <v>761</v>
      </c>
      <c r="D2939" s="100" t="str">
        <f t="shared" si="1"/>
        <v/>
      </c>
      <c r="E2939" s="100" t="str">
        <f t="shared" si="2"/>
        <v/>
      </c>
      <c r="F2939" s="100" t="str">
        <f t="shared" si="3"/>
        <v/>
      </c>
      <c r="G2939" s="151"/>
      <c r="H2939" s="156"/>
      <c r="I2939" s="157"/>
      <c r="J2939" s="158"/>
      <c r="L2939" s="94"/>
      <c r="M2939" s="159"/>
      <c r="N2939" s="94"/>
    </row>
    <row r="2940">
      <c r="A2940" s="107">
        <v>203932.0</v>
      </c>
      <c r="B2940" s="108" t="s">
        <v>90</v>
      </c>
      <c r="C2940" s="108" t="s">
        <v>762</v>
      </c>
      <c r="D2940" s="100" t="str">
        <f t="shared" si="1"/>
        <v/>
      </c>
      <c r="E2940" s="100" t="str">
        <f t="shared" si="2"/>
        <v/>
      </c>
      <c r="F2940" s="100" t="str">
        <f t="shared" si="3"/>
        <v/>
      </c>
      <c r="G2940" s="151"/>
      <c r="H2940" s="160"/>
      <c r="I2940" s="157"/>
      <c r="J2940" s="161"/>
      <c r="L2940" s="94"/>
      <c r="M2940" s="159"/>
      <c r="N2940" s="94"/>
    </row>
    <row r="2941">
      <c r="A2941" s="107">
        <v>203932.0</v>
      </c>
      <c r="B2941" s="108" t="s">
        <v>92</v>
      </c>
      <c r="C2941" s="108" t="s">
        <v>762</v>
      </c>
      <c r="D2941" s="100" t="str">
        <f t="shared" si="1"/>
        <v/>
      </c>
      <c r="E2941" s="100" t="str">
        <f t="shared" si="2"/>
        <v/>
      </c>
      <c r="F2941" s="100" t="str">
        <f t="shared" si="3"/>
        <v/>
      </c>
      <c r="G2941" s="151"/>
      <c r="H2941" s="156"/>
      <c r="I2941" s="157"/>
      <c r="J2941" s="158"/>
      <c r="L2941" s="94"/>
      <c r="M2941" s="159"/>
      <c r="N2941" s="94"/>
    </row>
    <row r="2942">
      <c r="A2942" s="107">
        <v>203932.0</v>
      </c>
      <c r="B2942" s="108" t="s">
        <v>190</v>
      </c>
      <c r="C2942" s="108" t="s">
        <v>762</v>
      </c>
      <c r="D2942" s="100" t="str">
        <f t="shared" si="1"/>
        <v/>
      </c>
      <c r="E2942" s="100" t="str">
        <f t="shared" si="2"/>
        <v/>
      </c>
      <c r="F2942" s="100" t="str">
        <f t="shared" si="3"/>
        <v/>
      </c>
      <c r="G2942" s="151"/>
      <c r="H2942" s="160"/>
      <c r="I2942" s="157"/>
      <c r="J2942" s="161"/>
      <c r="L2942" s="94"/>
      <c r="M2942" s="159"/>
      <c r="N2942" s="94"/>
    </row>
    <row r="2943">
      <c r="A2943" s="107">
        <v>203932.0</v>
      </c>
      <c r="B2943" s="108" t="s">
        <v>191</v>
      </c>
      <c r="C2943" s="108" t="s">
        <v>762</v>
      </c>
      <c r="D2943" s="100" t="str">
        <f t="shared" si="1"/>
        <v/>
      </c>
      <c r="E2943" s="100" t="str">
        <f t="shared" si="2"/>
        <v/>
      </c>
      <c r="F2943" s="100" t="str">
        <f t="shared" si="3"/>
        <v/>
      </c>
      <c r="G2943" s="151"/>
      <c r="H2943" s="156"/>
      <c r="I2943" s="157"/>
      <c r="J2943" s="158"/>
      <c r="L2943" s="94"/>
      <c r="M2943" s="159"/>
      <c r="N2943" s="94"/>
    </row>
    <row r="2944">
      <c r="A2944" s="107">
        <v>203932.0</v>
      </c>
      <c r="B2944" s="108" t="s">
        <v>192</v>
      </c>
      <c r="C2944" s="108" t="s">
        <v>762</v>
      </c>
      <c r="D2944" s="100" t="str">
        <f t="shared" si="1"/>
        <v/>
      </c>
      <c r="E2944" s="100" t="str">
        <f t="shared" si="2"/>
        <v/>
      </c>
      <c r="F2944" s="100" t="str">
        <f t="shared" si="3"/>
        <v/>
      </c>
      <c r="G2944" s="151"/>
      <c r="H2944" s="160"/>
      <c r="I2944" s="157"/>
      <c r="J2944" s="161"/>
      <c r="L2944" s="94"/>
      <c r="M2944" s="159"/>
      <c r="N2944" s="94"/>
    </row>
    <row r="2945">
      <c r="A2945" s="107">
        <v>203932.0</v>
      </c>
      <c r="B2945" s="108" t="s">
        <v>193</v>
      </c>
      <c r="C2945" s="108" t="s">
        <v>762</v>
      </c>
      <c r="D2945" s="100" t="str">
        <f t="shared" si="1"/>
        <v/>
      </c>
      <c r="E2945" s="100" t="str">
        <f t="shared" si="2"/>
        <v/>
      </c>
      <c r="F2945" s="100" t="str">
        <f t="shared" si="3"/>
        <v/>
      </c>
      <c r="G2945" s="151"/>
      <c r="H2945" s="156"/>
      <c r="I2945" s="157"/>
      <c r="J2945" s="158"/>
      <c r="L2945" s="94"/>
      <c r="M2945" s="159"/>
      <c r="N2945" s="94"/>
    </row>
    <row r="2946">
      <c r="A2946" s="107">
        <v>203932.0</v>
      </c>
      <c r="B2946" s="108" t="s">
        <v>243</v>
      </c>
      <c r="C2946" s="108" t="s">
        <v>762</v>
      </c>
      <c r="D2946" s="100" t="str">
        <f t="shared" si="1"/>
        <v/>
      </c>
      <c r="E2946" s="100" t="str">
        <f t="shared" si="2"/>
        <v/>
      </c>
      <c r="F2946" s="100" t="str">
        <f t="shared" si="3"/>
        <v/>
      </c>
      <c r="G2946" s="151"/>
      <c r="H2946" s="160"/>
      <c r="I2946" s="157"/>
      <c r="J2946" s="161"/>
      <c r="L2946" s="94"/>
      <c r="M2946" s="159"/>
      <c r="N2946" s="94"/>
    </row>
    <row r="2947">
      <c r="A2947" s="107">
        <v>203932.0</v>
      </c>
      <c r="B2947" s="108" t="s">
        <v>215</v>
      </c>
      <c r="C2947" s="108" t="s">
        <v>762</v>
      </c>
      <c r="D2947" s="100" t="str">
        <f t="shared" si="1"/>
        <v/>
      </c>
      <c r="E2947" s="100" t="str">
        <f t="shared" si="2"/>
        <v/>
      </c>
      <c r="F2947" s="100" t="str">
        <f t="shared" si="3"/>
        <v/>
      </c>
      <c r="G2947" s="151"/>
      <c r="H2947" s="156"/>
      <c r="I2947" s="157"/>
      <c r="J2947" s="158"/>
      <c r="L2947" s="94"/>
      <c r="M2947" s="159"/>
      <c r="N2947" s="94"/>
    </row>
    <row r="2948">
      <c r="A2948" s="107">
        <v>203932.0</v>
      </c>
      <c r="B2948" s="108" t="s">
        <v>244</v>
      </c>
      <c r="C2948" s="108" t="s">
        <v>762</v>
      </c>
      <c r="D2948" s="100" t="str">
        <f t="shared" si="1"/>
        <v/>
      </c>
      <c r="E2948" s="100" t="str">
        <f t="shared" si="2"/>
        <v/>
      </c>
      <c r="F2948" s="100" t="str">
        <f t="shared" si="3"/>
        <v/>
      </c>
      <c r="G2948" s="151"/>
      <c r="H2948" s="160"/>
      <c r="I2948" s="157"/>
      <c r="J2948" s="161"/>
      <c r="L2948" s="94"/>
      <c r="M2948" s="159"/>
      <c r="N2948" s="94"/>
    </row>
    <row r="2949">
      <c r="A2949" s="107">
        <v>203932.0</v>
      </c>
      <c r="B2949" s="108" t="s">
        <v>245</v>
      </c>
      <c r="C2949" s="108" t="s">
        <v>762</v>
      </c>
      <c r="D2949" s="100" t="str">
        <f t="shared" si="1"/>
        <v/>
      </c>
      <c r="E2949" s="100" t="str">
        <f t="shared" si="2"/>
        <v/>
      </c>
      <c r="F2949" s="100" t="str">
        <f t="shared" si="3"/>
        <v/>
      </c>
      <c r="G2949" s="151"/>
      <c r="H2949" s="156"/>
      <c r="I2949" s="157"/>
      <c r="J2949" s="158"/>
      <c r="L2949" s="94"/>
      <c r="M2949" s="159"/>
      <c r="N2949" s="94"/>
    </row>
    <row r="2950">
      <c r="A2950" s="107">
        <v>203932.0</v>
      </c>
      <c r="B2950" s="108" t="s">
        <v>246</v>
      </c>
      <c r="C2950" s="108" t="s">
        <v>762</v>
      </c>
      <c r="D2950" s="100" t="str">
        <f t="shared" si="1"/>
        <v/>
      </c>
      <c r="E2950" s="100" t="str">
        <f t="shared" si="2"/>
        <v/>
      </c>
      <c r="F2950" s="100" t="str">
        <f t="shared" si="3"/>
        <v/>
      </c>
      <c r="G2950" s="151"/>
      <c r="H2950" s="160"/>
      <c r="I2950" s="157"/>
      <c r="J2950" s="161"/>
      <c r="L2950" s="94"/>
      <c r="M2950" s="159"/>
      <c r="N2950" s="94"/>
    </row>
    <row r="2951">
      <c r="A2951" s="149">
        <v>203932.0</v>
      </c>
      <c r="B2951" s="115" t="s">
        <v>247</v>
      </c>
      <c r="C2951" s="115" t="s">
        <v>762</v>
      </c>
      <c r="D2951" s="100" t="str">
        <f t="shared" si="1"/>
        <v/>
      </c>
      <c r="E2951" s="100" t="str">
        <f t="shared" si="2"/>
        <v/>
      </c>
      <c r="F2951" s="100" t="str">
        <f t="shared" si="3"/>
        <v/>
      </c>
      <c r="G2951" s="151"/>
      <c r="H2951" s="156"/>
      <c r="I2951" s="157"/>
      <c r="J2951" s="158"/>
      <c r="L2951" s="94"/>
      <c r="M2951" s="159"/>
      <c r="N2951" s="94"/>
    </row>
    <row r="2952">
      <c r="A2952" s="21">
        <v>203933.0</v>
      </c>
      <c r="B2952" s="164" t="s">
        <v>90</v>
      </c>
      <c r="C2952" s="164" t="s">
        <v>763</v>
      </c>
      <c r="D2952" s="100" t="str">
        <f t="shared" si="1"/>
        <v/>
      </c>
      <c r="E2952" s="100" t="str">
        <f t="shared" si="2"/>
        <v/>
      </c>
      <c r="F2952" s="100" t="str">
        <f t="shared" si="3"/>
        <v/>
      </c>
      <c r="G2952" s="151"/>
      <c r="H2952" s="160"/>
      <c r="I2952" s="157"/>
      <c r="J2952" s="161"/>
      <c r="L2952" s="94"/>
      <c r="M2952" s="159"/>
      <c r="N2952" s="94"/>
    </row>
    <row r="2953">
      <c r="A2953" s="107">
        <v>203933.0</v>
      </c>
      <c r="B2953" s="108" t="s">
        <v>92</v>
      </c>
      <c r="C2953" s="108" t="s">
        <v>763</v>
      </c>
      <c r="D2953" s="100" t="str">
        <f t="shared" si="1"/>
        <v/>
      </c>
      <c r="E2953" s="100" t="str">
        <f t="shared" si="2"/>
        <v/>
      </c>
      <c r="F2953" s="100" t="str">
        <f t="shared" si="3"/>
        <v/>
      </c>
      <c r="G2953" s="151"/>
      <c r="H2953" s="156"/>
      <c r="I2953" s="157"/>
      <c r="J2953" s="158"/>
      <c r="L2953" s="94"/>
      <c r="M2953" s="159"/>
      <c r="N2953" s="94"/>
    </row>
    <row r="2954">
      <c r="A2954" s="107">
        <v>203933.0</v>
      </c>
      <c r="B2954" s="108" t="s">
        <v>190</v>
      </c>
      <c r="C2954" s="108" t="s">
        <v>763</v>
      </c>
      <c r="D2954" s="100" t="str">
        <f t="shared" si="1"/>
        <v/>
      </c>
      <c r="E2954" s="100" t="str">
        <f t="shared" si="2"/>
        <v/>
      </c>
      <c r="F2954" s="100" t="str">
        <f t="shared" si="3"/>
        <v/>
      </c>
      <c r="G2954" s="151"/>
      <c r="H2954" s="160"/>
      <c r="I2954" s="157"/>
      <c r="J2954" s="161"/>
      <c r="L2954" s="94"/>
      <c r="M2954" s="159"/>
      <c r="N2954" s="94"/>
    </row>
    <row r="2955">
      <c r="A2955" s="107">
        <v>203933.0</v>
      </c>
      <c r="B2955" s="108" t="s">
        <v>191</v>
      </c>
      <c r="C2955" s="108" t="s">
        <v>763</v>
      </c>
      <c r="D2955" s="100" t="str">
        <f t="shared" si="1"/>
        <v/>
      </c>
      <c r="E2955" s="100" t="str">
        <f t="shared" si="2"/>
        <v/>
      </c>
      <c r="F2955" s="100" t="str">
        <f t="shared" si="3"/>
        <v/>
      </c>
      <c r="G2955" s="151"/>
      <c r="H2955" s="156"/>
      <c r="I2955" s="157"/>
      <c r="J2955" s="158"/>
      <c r="L2955" s="94"/>
      <c r="M2955" s="159"/>
      <c r="N2955" s="94"/>
    </row>
    <row r="2956">
      <c r="A2956" s="107">
        <v>203933.0</v>
      </c>
      <c r="B2956" s="108" t="s">
        <v>192</v>
      </c>
      <c r="C2956" s="108" t="s">
        <v>763</v>
      </c>
      <c r="D2956" s="100" t="str">
        <f t="shared" si="1"/>
        <v/>
      </c>
      <c r="E2956" s="100" t="str">
        <f t="shared" si="2"/>
        <v/>
      </c>
      <c r="F2956" s="100" t="str">
        <f t="shared" si="3"/>
        <v/>
      </c>
      <c r="G2956" s="151"/>
      <c r="H2956" s="160"/>
      <c r="I2956" s="157"/>
      <c r="J2956" s="161"/>
      <c r="L2956" s="94"/>
      <c r="M2956" s="159"/>
      <c r="N2956" s="94"/>
    </row>
    <row r="2957">
      <c r="A2957" s="107">
        <v>203933.0</v>
      </c>
      <c r="B2957" s="108" t="s">
        <v>193</v>
      </c>
      <c r="C2957" s="108" t="s">
        <v>763</v>
      </c>
      <c r="D2957" s="100" t="str">
        <f t="shared" si="1"/>
        <v/>
      </c>
      <c r="E2957" s="100" t="str">
        <f t="shared" si="2"/>
        <v/>
      </c>
      <c r="F2957" s="100" t="str">
        <f t="shared" si="3"/>
        <v/>
      </c>
      <c r="G2957" s="151"/>
      <c r="H2957" s="156"/>
      <c r="I2957" s="157"/>
      <c r="J2957" s="158"/>
      <c r="L2957" s="94"/>
      <c r="M2957" s="159"/>
      <c r="N2957" s="94"/>
    </row>
    <row r="2958">
      <c r="A2958" s="107">
        <v>203933.0</v>
      </c>
      <c r="B2958" s="108" t="s">
        <v>243</v>
      </c>
      <c r="C2958" s="108" t="s">
        <v>763</v>
      </c>
      <c r="D2958" s="100" t="str">
        <f t="shared" si="1"/>
        <v/>
      </c>
      <c r="E2958" s="100" t="str">
        <f t="shared" si="2"/>
        <v/>
      </c>
      <c r="F2958" s="100" t="str">
        <f t="shared" si="3"/>
        <v/>
      </c>
      <c r="G2958" s="151"/>
      <c r="H2958" s="160"/>
      <c r="I2958" s="157"/>
      <c r="J2958" s="161"/>
      <c r="L2958" s="94"/>
      <c r="M2958" s="159"/>
      <c r="N2958" s="94"/>
    </row>
    <row r="2959">
      <c r="A2959" s="107">
        <v>203933.0</v>
      </c>
      <c r="B2959" s="108" t="s">
        <v>244</v>
      </c>
      <c r="C2959" s="108" t="s">
        <v>763</v>
      </c>
      <c r="D2959" s="100" t="str">
        <f t="shared" si="1"/>
        <v/>
      </c>
      <c r="E2959" s="100" t="str">
        <f t="shared" si="2"/>
        <v/>
      </c>
      <c r="F2959" s="100" t="str">
        <f t="shared" si="3"/>
        <v/>
      </c>
      <c r="G2959" s="151"/>
      <c r="H2959" s="156"/>
      <c r="I2959" s="157"/>
      <c r="J2959" s="158"/>
      <c r="L2959" s="94"/>
      <c r="M2959" s="159"/>
      <c r="N2959" s="94"/>
    </row>
    <row r="2960">
      <c r="A2960" s="107">
        <v>203933.0</v>
      </c>
      <c r="B2960" s="108" t="s">
        <v>245</v>
      </c>
      <c r="C2960" s="108" t="s">
        <v>763</v>
      </c>
      <c r="D2960" s="100" t="str">
        <f t="shared" si="1"/>
        <v/>
      </c>
      <c r="E2960" s="100" t="str">
        <f t="shared" si="2"/>
        <v/>
      </c>
      <c r="F2960" s="100" t="str">
        <f t="shared" si="3"/>
        <v/>
      </c>
      <c r="G2960" s="151"/>
      <c r="H2960" s="160"/>
      <c r="I2960" s="157"/>
      <c r="J2960" s="161"/>
      <c r="L2960" s="94"/>
      <c r="M2960" s="159"/>
      <c r="N2960" s="94"/>
    </row>
    <row r="2961">
      <c r="A2961" s="107">
        <v>203934.0</v>
      </c>
      <c r="B2961" s="108" t="s">
        <v>92</v>
      </c>
      <c r="C2961" s="108" t="s">
        <v>764</v>
      </c>
      <c r="D2961" s="100" t="str">
        <f t="shared" si="1"/>
        <v/>
      </c>
      <c r="E2961" s="100" t="str">
        <f t="shared" si="2"/>
        <v/>
      </c>
      <c r="F2961" s="100" t="str">
        <f t="shared" si="3"/>
        <v/>
      </c>
      <c r="G2961" s="151"/>
      <c r="H2961" s="156"/>
      <c r="I2961" s="157"/>
      <c r="J2961" s="158"/>
      <c r="L2961" s="94"/>
      <c r="M2961" s="159"/>
      <c r="N2961" s="94"/>
    </row>
    <row r="2962">
      <c r="A2962" s="107">
        <v>203934.0</v>
      </c>
      <c r="B2962" s="108" t="s">
        <v>190</v>
      </c>
      <c r="C2962" s="108" t="s">
        <v>764</v>
      </c>
      <c r="D2962" s="100" t="str">
        <f t="shared" si="1"/>
        <v/>
      </c>
      <c r="E2962" s="100" t="str">
        <f t="shared" si="2"/>
        <v/>
      </c>
      <c r="F2962" s="100" t="str">
        <f t="shared" si="3"/>
        <v/>
      </c>
      <c r="G2962" s="151"/>
      <c r="H2962" s="160"/>
      <c r="I2962" s="157"/>
      <c r="J2962" s="161"/>
      <c r="L2962" s="94"/>
      <c r="M2962" s="159"/>
      <c r="N2962" s="94"/>
    </row>
    <row r="2963">
      <c r="A2963" s="107">
        <v>203935.0</v>
      </c>
      <c r="B2963" s="108" t="s">
        <v>90</v>
      </c>
      <c r="C2963" s="108" t="s">
        <v>765</v>
      </c>
      <c r="D2963" s="100" t="str">
        <f t="shared" si="1"/>
        <v/>
      </c>
      <c r="E2963" s="100" t="str">
        <f t="shared" si="2"/>
        <v/>
      </c>
      <c r="F2963" s="100" t="str">
        <f t="shared" si="3"/>
        <v/>
      </c>
      <c r="G2963" s="151"/>
      <c r="H2963" s="156"/>
      <c r="I2963" s="157"/>
      <c r="J2963" s="158"/>
      <c r="L2963" s="94"/>
      <c r="M2963" s="159"/>
      <c r="N2963" s="94"/>
    </row>
    <row r="2964">
      <c r="A2964" s="107">
        <v>203935.0</v>
      </c>
      <c r="B2964" s="108" t="s">
        <v>92</v>
      </c>
      <c r="C2964" s="108" t="s">
        <v>765</v>
      </c>
      <c r="D2964" s="100" t="str">
        <f t="shared" si="1"/>
        <v/>
      </c>
      <c r="E2964" s="100" t="str">
        <f t="shared" si="2"/>
        <v/>
      </c>
      <c r="F2964" s="100" t="str">
        <f t="shared" si="3"/>
        <v/>
      </c>
      <c r="G2964" s="151"/>
      <c r="H2964" s="160"/>
      <c r="I2964" s="157"/>
      <c r="J2964" s="161"/>
      <c r="L2964" s="94"/>
      <c r="M2964" s="159"/>
      <c r="N2964" s="94"/>
    </row>
    <row r="2965">
      <c r="A2965" s="107">
        <v>203935.0</v>
      </c>
      <c r="B2965" s="108" t="s">
        <v>190</v>
      </c>
      <c r="C2965" s="108" t="s">
        <v>765</v>
      </c>
      <c r="D2965" s="100" t="str">
        <f t="shared" si="1"/>
        <v/>
      </c>
      <c r="E2965" s="100" t="str">
        <f t="shared" si="2"/>
        <v/>
      </c>
      <c r="F2965" s="100" t="str">
        <f t="shared" si="3"/>
        <v/>
      </c>
      <c r="G2965" s="151"/>
      <c r="H2965" s="156"/>
      <c r="I2965" s="157"/>
      <c r="J2965" s="158"/>
      <c r="L2965" s="94"/>
      <c r="M2965" s="159"/>
      <c r="N2965" s="94"/>
    </row>
    <row r="2966">
      <c r="A2966" s="107">
        <v>203935.0</v>
      </c>
      <c r="B2966" s="108" t="s">
        <v>191</v>
      </c>
      <c r="C2966" s="108" t="s">
        <v>765</v>
      </c>
      <c r="D2966" s="100" t="str">
        <f t="shared" si="1"/>
        <v/>
      </c>
      <c r="E2966" s="100" t="str">
        <f t="shared" si="2"/>
        <v/>
      </c>
      <c r="F2966" s="100" t="str">
        <f t="shared" si="3"/>
        <v/>
      </c>
      <c r="G2966" s="151"/>
      <c r="H2966" s="160"/>
      <c r="I2966" s="157"/>
      <c r="J2966" s="161"/>
      <c r="L2966" s="94"/>
      <c r="M2966" s="159"/>
      <c r="N2966" s="94"/>
    </row>
    <row r="2967">
      <c r="A2967" s="107">
        <v>203935.0</v>
      </c>
      <c r="B2967" s="108" t="s">
        <v>192</v>
      </c>
      <c r="C2967" s="108" t="s">
        <v>765</v>
      </c>
      <c r="D2967" s="100" t="str">
        <f t="shared" si="1"/>
        <v/>
      </c>
      <c r="E2967" s="100" t="str">
        <f t="shared" si="2"/>
        <v/>
      </c>
      <c r="F2967" s="100" t="str">
        <f t="shared" si="3"/>
        <v/>
      </c>
      <c r="G2967" s="151"/>
      <c r="H2967" s="156"/>
      <c r="I2967" s="157"/>
      <c r="J2967" s="158"/>
      <c r="L2967" s="94"/>
      <c r="M2967" s="159"/>
      <c r="N2967" s="94"/>
    </row>
    <row r="2968">
      <c r="A2968" s="107">
        <v>203935.0</v>
      </c>
      <c r="B2968" s="108" t="s">
        <v>193</v>
      </c>
      <c r="C2968" s="108" t="s">
        <v>765</v>
      </c>
      <c r="D2968" s="100" t="str">
        <f t="shared" si="1"/>
        <v/>
      </c>
      <c r="E2968" s="100" t="str">
        <f t="shared" si="2"/>
        <v/>
      </c>
      <c r="F2968" s="100" t="str">
        <f t="shared" si="3"/>
        <v/>
      </c>
      <c r="G2968" s="151"/>
      <c r="H2968" s="160"/>
      <c r="I2968" s="157"/>
      <c r="J2968" s="161"/>
      <c r="L2968" s="94"/>
      <c r="M2968" s="159"/>
      <c r="N2968" s="94"/>
    </row>
    <row r="2969">
      <c r="A2969" s="107">
        <v>203935.0</v>
      </c>
      <c r="B2969" s="108" t="s">
        <v>243</v>
      </c>
      <c r="C2969" s="108" t="s">
        <v>765</v>
      </c>
      <c r="D2969" s="100" t="str">
        <f t="shared" si="1"/>
        <v/>
      </c>
      <c r="E2969" s="100" t="str">
        <f t="shared" si="2"/>
        <v/>
      </c>
      <c r="F2969" s="100" t="str">
        <f t="shared" si="3"/>
        <v/>
      </c>
      <c r="G2969" s="151"/>
      <c r="H2969" s="156"/>
      <c r="I2969" s="157"/>
      <c r="J2969" s="158"/>
      <c r="L2969" s="94"/>
      <c r="M2969" s="159"/>
      <c r="N2969" s="94"/>
    </row>
    <row r="2970">
      <c r="A2970" s="107">
        <v>203935.0</v>
      </c>
      <c r="B2970" s="108" t="s">
        <v>215</v>
      </c>
      <c r="C2970" s="108" t="s">
        <v>765</v>
      </c>
      <c r="D2970" s="100" t="str">
        <f t="shared" si="1"/>
        <v/>
      </c>
      <c r="E2970" s="100" t="str">
        <f t="shared" si="2"/>
        <v/>
      </c>
      <c r="F2970" s="100" t="str">
        <f t="shared" si="3"/>
        <v/>
      </c>
      <c r="G2970" s="151"/>
      <c r="H2970" s="160"/>
      <c r="I2970" s="157"/>
      <c r="J2970" s="161"/>
      <c r="L2970" s="94"/>
      <c r="M2970" s="159"/>
      <c r="N2970" s="94"/>
    </row>
    <row r="2971">
      <c r="A2971" s="107">
        <v>203935.0</v>
      </c>
      <c r="B2971" s="108" t="s">
        <v>244</v>
      </c>
      <c r="C2971" s="108" t="s">
        <v>765</v>
      </c>
      <c r="D2971" s="100" t="str">
        <f t="shared" si="1"/>
        <v/>
      </c>
      <c r="E2971" s="100" t="str">
        <f t="shared" si="2"/>
        <v/>
      </c>
      <c r="F2971" s="100" t="str">
        <f t="shared" si="3"/>
        <v/>
      </c>
      <c r="G2971" s="151"/>
      <c r="H2971" s="156"/>
      <c r="I2971" s="157"/>
      <c r="J2971" s="158"/>
      <c r="L2971" s="94"/>
      <c r="M2971" s="159"/>
      <c r="N2971" s="94"/>
    </row>
    <row r="2972">
      <c r="A2972" s="107">
        <v>203935.0</v>
      </c>
      <c r="B2972" s="108" t="s">
        <v>245</v>
      </c>
      <c r="C2972" s="108" t="s">
        <v>765</v>
      </c>
      <c r="D2972" s="100" t="str">
        <f t="shared" si="1"/>
        <v/>
      </c>
      <c r="E2972" s="100" t="str">
        <f t="shared" si="2"/>
        <v/>
      </c>
      <c r="F2972" s="100" t="str">
        <f t="shared" si="3"/>
        <v/>
      </c>
      <c r="G2972" s="151"/>
      <c r="H2972" s="160"/>
      <c r="I2972" s="157"/>
      <c r="J2972" s="161"/>
      <c r="L2972" s="94"/>
      <c r="M2972" s="159"/>
      <c r="N2972" s="94"/>
    </row>
    <row r="2973">
      <c r="A2973" s="107">
        <v>203935.0</v>
      </c>
      <c r="B2973" s="108" t="s">
        <v>246</v>
      </c>
      <c r="C2973" s="108" t="s">
        <v>765</v>
      </c>
      <c r="D2973" s="100" t="str">
        <f t="shared" si="1"/>
        <v/>
      </c>
      <c r="E2973" s="100" t="str">
        <f t="shared" si="2"/>
        <v/>
      </c>
      <c r="F2973" s="100" t="str">
        <f t="shared" si="3"/>
        <v/>
      </c>
      <c r="G2973" s="151"/>
      <c r="H2973" s="156"/>
      <c r="I2973" s="157"/>
      <c r="J2973" s="158"/>
      <c r="L2973" s="94"/>
      <c r="M2973" s="159"/>
      <c r="N2973" s="94"/>
    </row>
    <row r="2974">
      <c r="A2974" s="149">
        <v>203935.0</v>
      </c>
      <c r="B2974" s="115" t="s">
        <v>247</v>
      </c>
      <c r="C2974" s="115" t="s">
        <v>765</v>
      </c>
      <c r="D2974" s="100" t="str">
        <f t="shared" si="1"/>
        <v/>
      </c>
      <c r="E2974" s="100" t="str">
        <f t="shared" si="2"/>
        <v/>
      </c>
      <c r="F2974" s="100" t="str">
        <f t="shared" si="3"/>
        <v/>
      </c>
      <c r="G2974" s="151"/>
      <c r="H2974" s="160"/>
      <c r="I2974" s="157"/>
      <c r="J2974" s="161"/>
      <c r="L2974" s="94"/>
      <c r="M2974" s="159"/>
      <c r="N2974" s="94"/>
    </row>
    <row r="2975">
      <c r="A2975" s="21">
        <v>203937.0</v>
      </c>
      <c r="B2975" s="164" t="s">
        <v>90</v>
      </c>
      <c r="C2975" s="164" t="s">
        <v>766</v>
      </c>
      <c r="D2975" s="100" t="str">
        <f t="shared" si="1"/>
        <v/>
      </c>
      <c r="E2975" s="100" t="str">
        <f t="shared" si="2"/>
        <v/>
      </c>
      <c r="F2975" s="100" t="str">
        <f t="shared" si="3"/>
        <v/>
      </c>
      <c r="G2975" s="151"/>
      <c r="H2975" s="156"/>
      <c r="I2975" s="157"/>
      <c r="J2975" s="158"/>
      <c r="L2975" s="94"/>
      <c r="M2975" s="159"/>
      <c r="N2975" s="94"/>
    </row>
    <row r="2976">
      <c r="A2976" s="107">
        <v>203937.0</v>
      </c>
      <c r="B2976" s="108" t="s">
        <v>92</v>
      </c>
      <c r="C2976" s="108" t="s">
        <v>766</v>
      </c>
      <c r="D2976" s="100" t="str">
        <f t="shared" si="1"/>
        <v/>
      </c>
      <c r="E2976" s="100" t="str">
        <f t="shared" si="2"/>
        <v/>
      </c>
      <c r="F2976" s="100" t="str">
        <f t="shared" si="3"/>
        <v/>
      </c>
      <c r="G2976" s="151"/>
      <c r="H2976" s="160"/>
      <c r="I2976" s="157"/>
      <c r="J2976" s="161"/>
      <c r="L2976" s="94"/>
      <c r="M2976" s="159"/>
      <c r="N2976" s="94"/>
    </row>
    <row r="2977">
      <c r="A2977" s="107">
        <v>203937.0</v>
      </c>
      <c r="B2977" s="108" t="s">
        <v>190</v>
      </c>
      <c r="C2977" s="108" t="s">
        <v>766</v>
      </c>
      <c r="D2977" s="100" t="str">
        <f t="shared" si="1"/>
        <v/>
      </c>
      <c r="E2977" s="100" t="str">
        <f t="shared" si="2"/>
        <v/>
      </c>
      <c r="F2977" s="100" t="str">
        <f t="shared" si="3"/>
        <v/>
      </c>
      <c r="G2977" s="151"/>
      <c r="H2977" s="156"/>
      <c r="I2977" s="157"/>
      <c r="J2977" s="158"/>
      <c r="L2977" s="94"/>
      <c r="M2977" s="159"/>
      <c r="N2977" s="94"/>
    </row>
    <row r="2978">
      <c r="A2978" s="107">
        <v>203937.0</v>
      </c>
      <c r="B2978" s="108" t="s">
        <v>191</v>
      </c>
      <c r="C2978" s="108" t="s">
        <v>766</v>
      </c>
      <c r="D2978" s="100" t="str">
        <f t="shared" si="1"/>
        <v/>
      </c>
      <c r="E2978" s="100" t="str">
        <f t="shared" si="2"/>
        <v/>
      </c>
      <c r="F2978" s="100" t="str">
        <f t="shared" si="3"/>
        <v/>
      </c>
      <c r="G2978" s="151"/>
      <c r="H2978" s="160"/>
      <c r="I2978" s="157"/>
      <c r="J2978" s="161"/>
      <c r="L2978" s="94"/>
      <c r="M2978" s="159"/>
      <c r="N2978" s="94"/>
    </row>
    <row r="2979">
      <c r="A2979" s="107">
        <v>203937.0</v>
      </c>
      <c r="B2979" s="108" t="s">
        <v>192</v>
      </c>
      <c r="C2979" s="108" t="s">
        <v>766</v>
      </c>
      <c r="D2979" s="100" t="str">
        <f t="shared" si="1"/>
        <v/>
      </c>
      <c r="E2979" s="100" t="str">
        <f t="shared" si="2"/>
        <v/>
      </c>
      <c r="F2979" s="100" t="str">
        <f t="shared" si="3"/>
        <v/>
      </c>
      <c r="G2979" s="151"/>
      <c r="H2979" s="156"/>
      <c r="I2979" s="157"/>
      <c r="J2979" s="158"/>
      <c r="L2979" s="94"/>
      <c r="M2979" s="159"/>
      <c r="N2979" s="94"/>
    </row>
    <row r="2980">
      <c r="A2980" s="107">
        <v>203937.0</v>
      </c>
      <c r="B2980" s="108" t="s">
        <v>193</v>
      </c>
      <c r="C2980" s="108" t="s">
        <v>766</v>
      </c>
      <c r="D2980" s="100" t="str">
        <f t="shared" si="1"/>
        <v/>
      </c>
      <c r="E2980" s="100" t="str">
        <f t="shared" si="2"/>
        <v/>
      </c>
      <c r="F2980" s="100" t="str">
        <f t="shared" si="3"/>
        <v/>
      </c>
      <c r="G2980" s="151"/>
      <c r="H2980" s="160"/>
      <c r="I2980" s="157"/>
      <c r="J2980" s="161"/>
      <c r="L2980" s="94"/>
      <c r="M2980" s="159"/>
      <c r="N2980" s="94"/>
    </row>
    <row r="2981">
      <c r="A2981" s="107">
        <v>203937.0</v>
      </c>
      <c r="B2981" s="108" t="s">
        <v>243</v>
      </c>
      <c r="C2981" s="108" t="s">
        <v>766</v>
      </c>
      <c r="D2981" s="100" t="str">
        <f t="shared" si="1"/>
        <v/>
      </c>
      <c r="E2981" s="100" t="str">
        <f t="shared" si="2"/>
        <v/>
      </c>
      <c r="F2981" s="100" t="str">
        <f t="shared" si="3"/>
        <v/>
      </c>
      <c r="G2981" s="151"/>
      <c r="H2981" s="156"/>
      <c r="I2981" s="157"/>
      <c r="J2981" s="158"/>
      <c r="L2981" s="94"/>
      <c r="M2981" s="159"/>
      <c r="N2981" s="94"/>
    </row>
    <row r="2982">
      <c r="A2982" s="107">
        <v>203937.0</v>
      </c>
      <c r="B2982" s="108" t="s">
        <v>215</v>
      </c>
      <c r="C2982" s="108" t="s">
        <v>766</v>
      </c>
      <c r="D2982" s="100" t="str">
        <f t="shared" si="1"/>
        <v/>
      </c>
      <c r="E2982" s="100" t="str">
        <f t="shared" si="2"/>
        <v/>
      </c>
      <c r="F2982" s="100" t="str">
        <f t="shared" si="3"/>
        <v/>
      </c>
      <c r="G2982" s="151"/>
      <c r="H2982" s="160"/>
      <c r="I2982" s="157"/>
      <c r="J2982" s="161"/>
      <c r="L2982" s="94"/>
      <c r="M2982" s="159"/>
      <c r="N2982" s="94"/>
    </row>
    <row r="2983">
      <c r="A2983" s="107">
        <v>203937.0</v>
      </c>
      <c r="B2983" s="108" t="s">
        <v>244</v>
      </c>
      <c r="C2983" s="108" t="s">
        <v>766</v>
      </c>
      <c r="D2983" s="100" t="str">
        <f t="shared" si="1"/>
        <v/>
      </c>
      <c r="E2983" s="100" t="str">
        <f t="shared" si="2"/>
        <v/>
      </c>
      <c r="F2983" s="100" t="str">
        <f t="shared" si="3"/>
        <v/>
      </c>
      <c r="G2983" s="151"/>
      <c r="H2983" s="156"/>
      <c r="I2983" s="157"/>
      <c r="J2983" s="158"/>
      <c r="L2983" s="94"/>
      <c r="M2983" s="159"/>
      <c r="N2983" s="94"/>
    </row>
    <row r="2984">
      <c r="A2984" s="107">
        <v>203937.0</v>
      </c>
      <c r="B2984" s="108" t="s">
        <v>245</v>
      </c>
      <c r="C2984" s="108" t="s">
        <v>766</v>
      </c>
      <c r="D2984" s="100" t="str">
        <f t="shared" si="1"/>
        <v/>
      </c>
      <c r="E2984" s="100" t="str">
        <f t="shared" si="2"/>
        <v/>
      </c>
      <c r="F2984" s="100" t="str">
        <f t="shared" si="3"/>
        <v/>
      </c>
      <c r="G2984" s="151"/>
      <c r="H2984" s="160"/>
      <c r="I2984" s="157"/>
      <c r="J2984" s="161"/>
      <c r="L2984" s="94"/>
      <c r="M2984" s="159"/>
      <c r="N2984" s="94"/>
    </row>
    <row r="2985">
      <c r="A2985" s="107">
        <v>203937.0</v>
      </c>
      <c r="B2985" s="108" t="s">
        <v>246</v>
      </c>
      <c r="C2985" s="108" t="s">
        <v>766</v>
      </c>
      <c r="D2985" s="100" t="str">
        <f t="shared" si="1"/>
        <v/>
      </c>
      <c r="E2985" s="100" t="str">
        <f t="shared" si="2"/>
        <v/>
      </c>
      <c r="F2985" s="100" t="str">
        <f t="shared" si="3"/>
        <v/>
      </c>
      <c r="G2985" s="151"/>
      <c r="H2985" s="156"/>
      <c r="I2985" s="157"/>
      <c r="J2985" s="158"/>
      <c r="L2985" s="94"/>
      <c r="M2985" s="159"/>
      <c r="N2985" s="94"/>
    </row>
    <row r="2986">
      <c r="A2986" s="149">
        <v>203937.0</v>
      </c>
      <c r="B2986" s="115" t="s">
        <v>247</v>
      </c>
      <c r="C2986" s="115" t="s">
        <v>766</v>
      </c>
      <c r="D2986" s="100" t="str">
        <f t="shared" si="1"/>
        <v/>
      </c>
      <c r="E2986" s="100" t="str">
        <f t="shared" si="2"/>
        <v/>
      </c>
      <c r="F2986" s="100" t="str">
        <f t="shared" si="3"/>
        <v/>
      </c>
      <c r="G2986" s="151"/>
      <c r="H2986" s="160"/>
      <c r="I2986" s="157"/>
      <c r="J2986" s="161"/>
      <c r="L2986" s="94"/>
      <c r="M2986" s="159"/>
      <c r="N2986" s="94"/>
    </row>
    <row r="2987">
      <c r="A2987" s="21">
        <v>203939.0</v>
      </c>
      <c r="B2987" s="164" t="s">
        <v>90</v>
      </c>
      <c r="C2987" s="164" t="s">
        <v>767</v>
      </c>
      <c r="D2987" s="100" t="str">
        <f t="shared" si="1"/>
        <v/>
      </c>
      <c r="E2987" s="100" t="str">
        <f t="shared" si="2"/>
        <v/>
      </c>
      <c r="F2987" s="100" t="str">
        <f t="shared" si="3"/>
        <v/>
      </c>
      <c r="G2987" s="151"/>
      <c r="H2987" s="156"/>
      <c r="I2987" s="157"/>
      <c r="J2987" s="158"/>
      <c r="L2987" s="94"/>
      <c r="M2987" s="159"/>
      <c r="N2987" s="94"/>
    </row>
    <row r="2988">
      <c r="A2988" s="107">
        <v>203939.0</v>
      </c>
      <c r="B2988" s="108" t="s">
        <v>92</v>
      </c>
      <c r="C2988" s="108" t="s">
        <v>767</v>
      </c>
      <c r="D2988" s="100" t="str">
        <f t="shared" si="1"/>
        <v/>
      </c>
      <c r="E2988" s="100" t="str">
        <f t="shared" si="2"/>
        <v/>
      </c>
      <c r="F2988" s="100" t="str">
        <f t="shared" si="3"/>
        <v/>
      </c>
      <c r="G2988" s="151"/>
      <c r="H2988" s="160"/>
      <c r="I2988" s="157"/>
      <c r="J2988" s="161"/>
      <c r="L2988" s="94"/>
      <c r="M2988" s="159"/>
      <c r="N2988" s="94"/>
    </row>
    <row r="2989">
      <c r="A2989" s="107">
        <v>203939.0</v>
      </c>
      <c r="B2989" s="108" t="s">
        <v>190</v>
      </c>
      <c r="C2989" s="108" t="s">
        <v>767</v>
      </c>
      <c r="D2989" s="100" t="str">
        <f t="shared" si="1"/>
        <v/>
      </c>
      <c r="E2989" s="100" t="str">
        <f t="shared" si="2"/>
        <v/>
      </c>
      <c r="F2989" s="100" t="str">
        <f t="shared" si="3"/>
        <v/>
      </c>
      <c r="G2989" s="151"/>
      <c r="H2989" s="156"/>
      <c r="I2989" s="157"/>
      <c r="J2989" s="158"/>
      <c r="L2989" s="94"/>
      <c r="M2989" s="159"/>
      <c r="N2989" s="94"/>
    </row>
    <row r="2990">
      <c r="A2990" s="107">
        <v>203939.0</v>
      </c>
      <c r="B2990" s="108" t="s">
        <v>191</v>
      </c>
      <c r="C2990" s="108" t="s">
        <v>767</v>
      </c>
      <c r="D2990" s="100" t="str">
        <f t="shared" si="1"/>
        <v/>
      </c>
      <c r="E2990" s="100" t="str">
        <f t="shared" si="2"/>
        <v/>
      </c>
      <c r="F2990" s="100" t="str">
        <f t="shared" si="3"/>
        <v/>
      </c>
      <c r="G2990" s="151"/>
      <c r="H2990" s="160"/>
      <c r="I2990" s="157"/>
      <c r="J2990" s="161"/>
      <c r="L2990" s="94"/>
      <c r="M2990" s="159"/>
      <c r="N2990" s="94"/>
    </row>
    <row r="2991">
      <c r="A2991" s="107">
        <v>203939.0</v>
      </c>
      <c r="B2991" s="108" t="s">
        <v>192</v>
      </c>
      <c r="C2991" s="108" t="s">
        <v>767</v>
      </c>
      <c r="D2991" s="100" t="str">
        <f t="shared" si="1"/>
        <v/>
      </c>
      <c r="E2991" s="100" t="str">
        <f t="shared" si="2"/>
        <v/>
      </c>
      <c r="F2991" s="100" t="str">
        <f t="shared" si="3"/>
        <v/>
      </c>
      <c r="G2991" s="151"/>
      <c r="H2991" s="156"/>
      <c r="I2991" s="157"/>
      <c r="J2991" s="158"/>
      <c r="L2991" s="94"/>
      <c r="M2991" s="159"/>
      <c r="N2991" s="94"/>
    </row>
    <row r="2992">
      <c r="A2992" s="107">
        <v>203939.0</v>
      </c>
      <c r="B2992" s="108" t="s">
        <v>193</v>
      </c>
      <c r="C2992" s="108" t="s">
        <v>767</v>
      </c>
      <c r="D2992" s="100" t="str">
        <f t="shared" si="1"/>
        <v/>
      </c>
      <c r="E2992" s="100" t="str">
        <f t="shared" si="2"/>
        <v/>
      </c>
      <c r="F2992" s="100" t="str">
        <f t="shared" si="3"/>
        <v/>
      </c>
      <c r="G2992" s="151"/>
      <c r="H2992" s="160"/>
      <c r="I2992" s="157"/>
      <c r="J2992" s="161"/>
      <c r="L2992" s="94"/>
      <c r="M2992" s="159"/>
      <c r="N2992" s="94"/>
    </row>
    <row r="2993">
      <c r="A2993" s="107">
        <v>203939.0</v>
      </c>
      <c r="B2993" s="108" t="s">
        <v>243</v>
      </c>
      <c r="C2993" s="108" t="s">
        <v>767</v>
      </c>
      <c r="D2993" s="100" t="str">
        <f t="shared" si="1"/>
        <v/>
      </c>
      <c r="E2993" s="100" t="str">
        <f t="shared" si="2"/>
        <v/>
      </c>
      <c r="F2993" s="100" t="str">
        <f t="shared" si="3"/>
        <v/>
      </c>
      <c r="G2993" s="151"/>
      <c r="H2993" s="156"/>
      <c r="I2993" s="157"/>
      <c r="J2993" s="158"/>
      <c r="L2993" s="94"/>
      <c r="M2993" s="159"/>
      <c r="N2993" s="94"/>
    </row>
    <row r="2994">
      <c r="A2994" s="107">
        <v>203939.0</v>
      </c>
      <c r="B2994" s="108" t="s">
        <v>215</v>
      </c>
      <c r="C2994" s="108" t="s">
        <v>767</v>
      </c>
      <c r="D2994" s="100" t="str">
        <f t="shared" si="1"/>
        <v/>
      </c>
      <c r="E2994" s="100" t="str">
        <f t="shared" si="2"/>
        <v/>
      </c>
      <c r="F2994" s="100" t="str">
        <f t="shared" si="3"/>
        <v/>
      </c>
      <c r="G2994" s="151"/>
      <c r="H2994" s="160"/>
      <c r="I2994" s="157"/>
      <c r="J2994" s="161"/>
      <c r="L2994" s="94"/>
      <c r="M2994" s="159"/>
      <c r="N2994" s="94"/>
    </row>
    <row r="2995">
      <c r="A2995" s="107">
        <v>203939.0</v>
      </c>
      <c r="B2995" s="108" t="s">
        <v>244</v>
      </c>
      <c r="C2995" s="108" t="s">
        <v>767</v>
      </c>
      <c r="D2995" s="100" t="str">
        <f t="shared" si="1"/>
        <v/>
      </c>
      <c r="E2995" s="100" t="str">
        <f t="shared" si="2"/>
        <v/>
      </c>
      <c r="F2995" s="100" t="str">
        <f t="shared" si="3"/>
        <v/>
      </c>
      <c r="G2995" s="151"/>
      <c r="H2995" s="156"/>
      <c r="I2995" s="157"/>
      <c r="J2995" s="158"/>
      <c r="L2995" s="94"/>
      <c r="M2995" s="159"/>
      <c r="N2995" s="94"/>
    </row>
    <row r="2996">
      <c r="A2996" s="107">
        <v>203939.0</v>
      </c>
      <c r="B2996" s="108" t="s">
        <v>245</v>
      </c>
      <c r="C2996" s="108" t="s">
        <v>767</v>
      </c>
      <c r="D2996" s="100" t="str">
        <f t="shared" si="1"/>
        <v/>
      </c>
      <c r="E2996" s="100" t="str">
        <f t="shared" si="2"/>
        <v/>
      </c>
      <c r="F2996" s="100" t="str">
        <f t="shared" si="3"/>
        <v/>
      </c>
      <c r="G2996" s="151"/>
      <c r="H2996" s="160"/>
      <c r="I2996" s="157"/>
      <c r="J2996" s="161"/>
      <c r="L2996" s="94"/>
      <c r="M2996" s="159"/>
      <c r="N2996" s="94"/>
    </row>
    <row r="2997">
      <c r="A2997" s="107">
        <v>203939.0</v>
      </c>
      <c r="B2997" s="108" t="s">
        <v>246</v>
      </c>
      <c r="C2997" s="108" t="s">
        <v>767</v>
      </c>
      <c r="D2997" s="100" t="str">
        <f t="shared" si="1"/>
        <v/>
      </c>
      <c r="E2997" s="100" t="str">
        <f t="shared" si="2"/>
        <v/>
      </c>
      <c r="F2997" s="100" t="str">
        <f t="shared" si="3"/>
        <v/>
      </c>
      <c r="G2997" s="151"/>
      <c r="H2997" s="156"/>
      <c r="I2997" s="157"/>
      <c r="J2997" s="158"/>
      <c r="L2997" s="94"/>
      <c r="M2997" s="159"/>
      <c r="N2997" s="94"/>
    </row>
    <row r="2998">
      <c r="A2998" s="149">
        <v>203939.0</v>
      </c>
      <c r="B2998" s="115" t="s">
        <v>247</v>
      </c>
      <c r="C2998" s="115" t="s">
        <v>767</v>
      </c>
      <c r="D2998" s="100" t="str">
        <f t="shared" si="1"/>
        <v/>
      </c>
      <c r="E2998" s="100" t="str">
        <f t="shared" si="2"/>
        <v/>
      </c>
      <c r="F2998" s="100" t="str">
        <f t="shared" si="3"/>
        <v/>
      </c>
      <c r="G2998" s="151"/>
      <c r="H2998" s="160"/>
      <c r="I2998" s="157"/>
      <c r="J2998" s="161"/>
      <c r="L2998" s="94"/>
      <c r="M2998" s="159"/>
      <c r="N2998" s="94"/>
    </row>
    <row r="2999">
      <c r="A2999" s="21">
        <v>203940.0</v>
      </c>
      <c r="B2999" s="164" t="s">
        <v>90</v>
      </c>
      <c r="C2999" s="164" t="s">
        <v>768</v>
      </c>
      <c r="D2999" s="100" t="str">
        <f t="shared" si="1"/>
        <v/>
      </c>
      <c r="E2999" s="100" t="str">
        <f t="shared" si="2"/>
        <v/>
      </c>
      <c r="F2999" s="100" t="str">
        <f t="shared" si="3"/>
        <v/>
      </c>
      <c r="G2999" s="151"/>
      <c r="H2999" s="156"/>
      <c r="I2999" s="157"/>
      <c r="J2999" s="158"/>
      <c r="L2999" s="94"/>
      <c r="M2999" s="159"/>
      <c r="N2999" s="94"/>
    </row>
    <row r="3000">
      <c r="A3000" s="107">
        <v>203940.0</v>
      </c>
      <c r="B3000" s="108" t="s">
        <v>92</v>
      </c>
      <c r="C3000" s="108" t="s">
        <v>768</v>
      </c>
      <c r="D3000" s="100" t="str">
        <f t="shared" si="1"/>
        <v/>
      </c>
      <c r="E3000" s="100" t="str">
        <f t="shared" si="2"/>
        <v/>
      </c>
      <c r="F3000" s="100" t="str">
        <f t="shared" si="3"/>
        <v/>
      </c>
      <c r="G3000" s="151"/>
      <c r="H3000" s="160"/>
      <c r="I3000" s="157"/>
      <c r="J3000" s="161"/>
      <c r="L3000" s="94"/>
      <c r="M3000" s="159"/>
      <c r="N3000" s="94"/>
    </row>
    <row r="3001">
      <c r="A3001" s="107">
        <v>203940.0</v>
      </c>
      <c r="B3001" s="108" t="s">
        <v>190</v>
      </c>
      <c r="C3001" s="108" t="s">
        <v>768</v>
      </c>
      <c r="D3001" s="100" t="str">
        <f t="shared" si="1"/>
        <v/>
      </c>
      <c r="E3001" s="100" t="str">
        <f t="shared" si="2"/>
        <v/>
      </c>
      <c r="F3001" s="100" t="str">
        <f t="shared" si="3"/>
        <v/>
      </c>
      <c r="G3001" s="151"/>
      <c r="H3001" s="156"/>
      <c r="I3001" s="157"/>
      <c r="J3001" s="158"/>
      <c r="L3001" s="94"/>
      <c r="M3001" s="159"/>
      <c r="N3001" s="94"/>
    </row>
    <row r="3002">
      <c r="A3002" s="107">
        <v>203940.0</v>
      </c>
      <c r="B3002" s="108" t="s">
        <v>191</v>
      </c>
      <c r="C3002" s="108" t="s">
        <v>768</v>
      </c>
      <c r="D3002" s="100" t="str">
        <f t="shared" si="1"/>
        <v/>
      </c>
      <c r="E3002" s="100" t="str">
        <f t="shared" si="2"/>
        <v/>
      </c>
      <c r="F3002" s="100" t="str">
        <f t="shared" si="3"/>
        <v/>
      </c>
      <c r="G3002" s="151"/>
      <c r="H3002" s="160"/>
      <c r="I3002" s="157"/>
      <c r="J3002" s="161"/>
      <c r="L3002" s="94"/>
      <c r="M3002" s="159"/>
      <c r="N3002" s="94"/>
    </row>
    <row r="3003">
      <c r="A3003" s="107">
        <v>203943.0</v>
      </c>
      <c r="B3003" s="108" t="s">
        <v>90</v>
      </c>
      <c r="C3003" s="108" t="s">
        <v>769</v>
      </c>
      <c r="D3003" s="100" t="str">
        <f t="shared" si="1"/>
        <v/>
      </c>
      <c r="E3003" s="100" t="str">
        <f t="shared" si="2"/>
        <v/>
      </c>
      <c r="F3003" s="100" t="str">
        <f t="shared" si="3"/>
        <v/>
      </c>
      <c r="G3003" s="151"/>
      <c r="H3003" s="156"/>
      <c r="I3003" s="157"/>
      <c r="J3003" s="158"/>
      <c r="L3003" s="94"/>
      <c r="M3003" s="159"/>
      <c r="N3003" s="94"/>
    </row>
    <row r="3004">
      <c r="A3004" s="107">
        <v>203943.0</v>
      </c>
      <c r="B3004" s="108" t="s">
        <v>92</v>
      </c>
      <c r="C3004" s="108" t="s">
        <v>769</v>
      </c>
      <c r="D3004" s="100" t="str">
        <f t="shared" si="1"/>
        <v/>
      </c>
      <c r="E3004" s="100" t="str">
        <f t="shared" si="2"/>
        <v/>
      </c>
      <c r="F3004" s="100" t="str">
        <f t="shared" si="3"/>
        <v/>
      </c>
      <c r="G3004" s="151"/>
      <c r="H3004" s="160"/>
      <c r="I3004" s="157"/>
      <c r="J3004" s="161"/>
      <c r="L3004" s="94"/>
      <c r="M3004" s="159"/>
      <c r="N3004" s="94"/>
    </row>
    <row r="3005">
      <c r="A3005" s="107">
        <v>203943.0</v>
      </c>
      <c r="B3005" s="108" t="s">
        <v>190</v>
      </c>
      <c r="C3005" s="108" t="s">
        <v>769</v>
      </c>
      <c r="D3005" s="100" t="str">
        <f t="shared" si="1"/>
        <v/>
      </c>
      <c r="E3005" s="100" t="str">
        <f t="shared" si="2"/>
        <v/>
      </c>
      <c r="F3005" s="100" t="str">
        <f t="shared" si="3"/>
        <v/>
      </c>
      <c r="G3005" s="151"/>
      <c r="H3005" s="156"/>
      <c r="I3005" s="157"/>
      <c r="J3005" s="158"/>
      <c r="L3005" s="94"/>
      <c r="M3005" s="159"/>
      <c r="N3005" s="94"/>
    </row>
    <row r="3006">
      <c r="A3006" s="107">
        <v>203943.0</v>
      </c>
      <c r="B3006" s="108" t="s">
        <v>191</v>
      </c>
      <c r="C3006" s="108" t="s">
        <v>769</v>
      </c>
      <c r="D3006" s="100" t="str">
        <f t="shared" si="1"/>
        <v/>
      </c>
      <c r="E3006" s="100" t="str">
        <f t="shared" si="2"/>
        <v/>
      </c>
      <c r="F3006" s="100" t="str">
        <f t="shared" si="3"/>
        <v/>
      </c>
      <c r="G3006" s="151"/>
      <c r="H3006" s="160"/>
      <c r="I3006" s="157"/>
      <c r="J3006" s="161"/>
      <c r="L3006" s="94"/>
      <c r="M3006" s="159"/>
      <c r="N3006" s="94"/>
    </row>
    <row r="3007">
      <c r="A3007" s="107">
        <v>203943.0</v>
      </c>
      <c r="B3007" s="108" t="s">
        <v>192</v>
      </c>
      <c r="C3007" s="108" t="s">
        <v>769</v>
      </c>
      <c r="D3007" s="100" t="str">
        <f t="shared" si="1"/>
        <v/>
      </c>
      <c r="E3007" s="100" t="str">
        <f t="shared" si="2"/>
        <v/>
      </c>
      <c r="F3007" s="100" t="str">
        <f t="shared" si="3"/>
        <v/>
      </c>
      <c r="G3007" s="151"/>
      <c r="H3007" s="156"/>
      <c r="I3007" s="157"/>
      <c r="J3007" s="158"/>
      <c r="L3007" s="94"/>
      <c r="M3007" s="159"/>
      <c r="N3007" s="94"/>
    </row>
    <row r="3008">
      <c r="A3008" s="107">
        <v>203943.0</v>
      </c>
      <c r="B3008" s="108" t="s">
        <v>193</v>
      </c>
      <c r="C3008" s="108" t="s">
        <v>769</v>
      </c>
      <c r="D3008" s="100" t="str">
        <f t="shared" si="1"/>
        <v/>
      </c>
      <c r="E3008" s="100" t="str">
        <f t="shared" si="2"/>
        <v/>
      </c>
      <c r="F3008" s="100" t="str">
        <f t="shared" si="3"/>
        <v/>
      </c>
      <c r="G3008" s="151"/>
      <c r="H3008" s="160"/>
      <c r="I3008" s="157"/>
      <c r="J3008" s="161"/>
      <c r="L3008" s="94"/>
      <c r="M3008" s="159"/>
      <c r="N3008" s="94"/>
    </row>
    <row r="3009">
      <c r="A3009" s="107">
        <v>203943.0</v>
      </c>
      <c r="B3009" s="108" t="s">
        <v>243</v>
      </c>
      <c r="C3009" s="108" t="s">
        <v>769</v>
      </c>
      <c r="D3009" s="100" t="str">
        <f t="shared" si="1"/>
        <v/>
      </c>
      <c r="E3009" s="100" t="str">
        <f t="shared" si="2"/>
        <v/>
      </c>
      <c r="F3009" s="100" t="str">
        <f t="shared" si="3"/>
        <v/>
      </c>
      <c r="G3009" s="151"/>
      <c r="H3009" s="156"/>
      <c r="I3009" s="157"/>
      <c r="J3009" s="158"/>
      <c r="L3009" s="94"/>
      <c r="M3009" s="159"/>
      <c r="N3009" s="94"/>
    </row>
    <row r="3010">
      <c r="A3010" s="107">
        <v>203943.0</v>
      </c>
      <c r="B3010" s="108" t="s">
        <v>244</v>
      </c>
      <c r="C3010" s="108" t="s">
        <v>769</v>
      </c>
      <c r="D3010" s="100" t="str">
        <f t="shared" si="1"/>
        <v/>
      </c>
      <c r="E3010" s="100" t="str">
        <f t="shared" si="2"/>
        <v/>
      </c>
      <c r="F3010" s="100" t="str">
        <f t="shared" si="3"/>
        <v/>
      </c>
      <c r="G3010" s="151"/>
      <c r="H3010" s="160"/>
      <c r="I3010" s="157"/>
      <c r="J3010" s="161"/>
      <c r="L3010" s="94"/>
      <c r="M3010" s="159"/>
      <c r="N3010" s="94"/>
    </row>
    <row r="3011">
      <c r="A3011" s="107">
        <v>203944.0</v>
      </c>
      <c r="B3011" s="108" t="s">
        <v>90</v>
      </c>
      <c r="C3011" s="108" t="s">
        <v>770</v>
      </c>
      <c r="D3011" s="100" t="str">
        <f t="shared" si="1"/>
        <v/>
      </c>
      <c r="E3011" s="100" t="str">
        <f t="shared" si="2"/>
        <v/>
      </c>
      <c r="F3011" s="100" t="str">
        <f t="shared" si="3"/>
        <v/>
      </c>
      <c r="G3011" s="151"/>
      <c r="H3011" s="156"/>
      <c r="I3011" s="157"/>
      <c r="J3011" s="158"/>
      <c r="L3011" s="94"/>
      <c r="M3011" s="159"/>
      <c r="N3011" s="94"/>
    </row>
    <row r="3012">
      <c r="A3012" s="107">
        <v>203944.0</v>
      </c>
      <c r="B3012" s="108" t="s">
        <v>92</v>
      </c>
      <c r="C3012" s="108" t="s">
        <v>770</v>
      </c>
      <c r="D3012" s="100" t="str">
        <f t="shared" si="1"/>
        <v/>
      </c>
      <c r="E3012" s="100" t="str">
        <f t="shared" si="2"/>
        <v/>
      </c>
      <c r="F3012" s="100" t="str">
        <f t="shared" si="3"/>
        <v/>
      </c>
      <c r="G3012" s="151"/>
      <c r="H3012" s="160"/>
      <c r="I3012" s="157"/>
      <c r="J3012" s="161"/>
      <c r="L3012" s="94"/>
      <c r="M3012" s="159"/>
      <c r="N3012" s="94"/>
    </row>
    <row r="3013">
      <c r="A3013" s="107">
        <v>203944.0</v>
      </c>
      <c r="B3013" s="108" t="s">
        <v>190</v>
      </c>
      <c r="C3013" s="108" t="s">
        <v>770</v>
      </c>
      <c r="D3013" s="100" t="str">
        <f t="shared" si="1"/>
        <v/>
      </c>
      <c r="E3013" s="100" t="str">
        <f t="shared" si="2"/>
        <v/>
      </c>
      <c r="F3013" s="100" t="str">
        <f t="shared" si="3"/>
        <v/>
      </c>
      <c r="G3013" s="151"/>
      <c r="H3013" s="156"/>
      <c r="I3013" s="157"/>
      <c r="J3013" s="158"/>
      <c r="L3013" s="94"/>
      <c r="M3013" s="159"/>
      <c r="N3013" s="94"/>
    </row>
    <row r="3014">
      <c r="A3014" s="107">
        <v>203944.0</v>
      </c>
      <c r="B3014" s="108" t="s">
        <v>191</v>
      </c>
      <c r="C3014" s="108" t="s">
        <v>770</v>
      </c>
      <c r="D3014" s="100" t="str">
        <f t="shared" si="1"/>
        <v/>
      </c>
      <c r="E3014" s="100" t="str">
        <f t="shared" si="2"/>
        <v/>
      </c>
      <c r="F3014" s="100" t="str">
        <f t="shared" si="3"/>
        <v/>
      </c>
      <c r="G3014" s="151"/>
      <c r="H3014" s="160"/>
      <c r="I3014" s="157"/>
      <c r="J3014" s="161"/>
      <c r="L3014" s="94"/>
      <c r="M3014" s="159"/>
      <c r="N3014" s="94"/>
    </row>
    <row r="3015">
      <c r="A3015" s="107">
        <v>203944.0</v>
      </c>
      <c r="B3015" s="108" t="s">
        <v>192</v>
      </c>
      <c r="C3015" s="108" t="s">
        <v>770</v>
      </c>
      <c r="D3015" s="100" t="str">
        <f t="shared" si="1"/>
        <v/>
      </c>
      <c r="E3015" s="100" t="str">
        <f t="shared" si="2"/>
        <v/>
      </c>
      <c r="F3015" s="100" t="str">
        <f t="shared" si="3"/>
        <v/>
      </c>
      <c r="G3015" s="151"/>
      <c r="H3015" s="156"/>
      <c r="I3015" s="157"/>
      <c r="J3015" s="158"/>
      <c r="L3015" s="94"/>
      <c r="M3015" s="159"/>
      <c r="N3015" s="94"/>
    </row>
    <row r="3016">
      <c r="A3016" s="107">
        <v>203944.0</v>
      </c>
      <c r="B3016" s="108" t="s">
        <v>193</v>
      </c>
      <c r="C3016" s="108" t="s">
        <v>770</v>
      </c>
      <c r="D3016" s="100" t="str">
        <f t="shared" si="1"/>
        <v/>
      </c>
      <c r="E3016" s="100" t="str">
        <f t="shared" si="2"/>
        <v/>
      </c>
      <c r="F3016" s="100" t="str">
        <f t="shared" si="3"/>
        <v/>
      </c>
      <c r="G3016" s="151"/>
      <c r="H3016" s="160"/>
      <c r="I3016" s="157"/>
      <c r="J3016" s="161"/>
      <c r="L3016" s="94"/>
      <c r="M3016" s="159"/>
      <c r="N3016" s="94"/>
    </row>
    <row r="3017">
      <c r="A3017" s="107">
        <v>203944.0</v>
      </c>
      <c r="B3017" s="108" t="s">
        <v>243</v>
      </c>
      <c r="C3017" s="108" t="s">
        <v>770</v>
      </c>
      <c r="D3017" s="100" t="str">
        <f t="shared" si="1"/>
        <v/>
      </c>
      <c r="E3017" s="100" t="str">
        <f t="shared" si="2"/>
        <v/>
      </c>
      <c r="F3017" s="100" t="str">
        <f t="shared" si="3"/>
        <v/>
      </c>
      <c r="G3017" s="151"/>
      <c r="H3017" s="156"/>
      <c r="I3017" s="157"/>
      <c r="J3017" s="158"/>
      <c r="L3017" s="94"/>
      <c r="M3017" s="159"/>
      <c r="N3017" s="94"/>
    </row>
    <row r="3018">
      <c r="A3018" s="107">
        <v>203944.0</v>
      </c>
      <c r="B3018" s="108" t="s">
        <v>215</v>
      </c>
      <c r="C3018" s="108" t="s">
        <v>770</v>
      </c>
      <c r="D3018" s="100" t="str">
        <f t="shared" si="1"/>
        <v/>
      </c>
      <c r="E3018" s="100" t="str">
        <f t="shared" si="2"/>
        <v/>
      </c>
      <c r="F3018" s="100" t="str">
        <f t="shared" si="3"/>
        <v/>
      </c>
      <c r="G3018" s="151"/>
      <c r="H3018" s="160"/>
      <c r="I3018" s="157"/>
      <c r="J3018" s="161"/>
      <c r="L3018" s="94"/>
      <c r="M3018" s="159"/>
      <c r="N3018" s="94"/>
    </row>
    <row r="3019">
      <c r="A3019" s="107">
        <v>203944.0</v>
      </c>
      <c r="B3019" s="108" t="s">
        <v>244</v>
      </c>
      <c r="C3019" s="108" t="s">
        <v>770</v>
      </c>
      <c r="D3019" s="100" t="str">
        <f t="shared" si="1"/>
        <v/>
      </c>
      <c r="E3019" s="100" t="str">
        <f t="shared" si="2"/>
        <v/>
      </c>
      <c r="F3019" s="100" t="str">
        <f t="shared" si="3"/>
        <v/>
      </c>
      <c r="G3019" s="151"/>
      <c r="H3019" s="156"/>
      <c r="I3019" s="157"/>
      <c r="J3019" s="158"/>
      <c r="L3019" s="94"/>
      <c r="M3019" s="159"/>
      <c r="N3019" s="94"/>
    </row>
    <row r="3020">
      <c r="A3020" s="107">
        <v>203944.0</v>
      </c>
      <c r="B3020" s="108" t="s">
        <v>245</v>
      </c>
      <c r="C3020" s="108" t="s">
        <v>770</v>
      </c>
      <c r="D3020" s="100" t="str">
        <f t="shared" si="1"/>
        <v/>
      </c>
      <c r="E3020" s="100" t="str">
        <f t="shared" si="2"/>
        <v/>
      </c>
      <c r="F3020" s="100" t="str">
        <f t="shared" si="3"/>
        <v/>
      </c>
      <c r="G3020" s="151"/>
      <c r="H3020" s="160"/>
      <c r="I3020" s="157"/>
      <c r="J3020" s="161"/>
      <c r="L3020" s="94"/>
      <c r="M3020" s="159"/>
      <c r="N3020" s="94"/>
    </row>
    <row r="3021">
      <c r="A3021" s="107">
        <v>203944.0</v>
      </c>
      <c r="B3021" s="108" t="s">
        <v>246</v>
      </c>
      <c r="C3021" s="108" t="s">
        <v>770</v>
      </c>
      <c r="D3021" s="100" t="str">
        <f t="shared" si="1"/>
        <v/>
      </c>
      <c r="E3021" s="100" t="str">
        <f t="shared" si="2"/>
        <v/>
      </c>
      <c r="F3021" s="100" t="str">
        <f t="shared" si="3"/>
        <v/>
      </c>
      <c r="G3021" s="151"/>
      <c r="H3021" s="156"/>
      <c r="I3021" s="157"/>
      <c r="J3021" s="158"/>
      <c r="L3021" s="94"/>
      <c r="M3021" s="159"/>
      <c r="N3021" s="94"/>
    </row>
    <row r="3022">
      <c r="A3022" s="149">
        <v>203944.0</v>
      </c>
      <c r="B3022" s="115" t="s">
        <v>247</v>
      </c>
      <c r="C3022" s="115" t="s">
        <v>770</v>
      </c>
      <c r="D3022" s="100" t="str">
        <f t="shared" si="1"/>
        <v/>
      </c>
      <c r="E3022" s="100" t="str">
        <f t="shared" si="2"/>
        <v/>
      </c>
      <c r="F3022" s="100" t="str">
        <f t="shared" si="3"/>
        <v/>
      </c>
      <c r="G3022" s="151"/>
      <c r="H3022" s="160"/>
      <c r="I3022" s="157"/>
      <c r="J3022" s="161"/>
      <c r="L3022" s="94"/>
      <c r="M3022" s="159"/>
      <c r="N3022" s="94"/>
    </row>
    <row r="3023">
      <c r="A3023" s="21">
        <v>203945.0</v>
      </c>
      <c r="B3023" s="164" t="s">
        <v>90</v>
      </c>
      <c r="C3023" s="164" t="s">
        <v>771</v>
      </c>
      <c r="D3023" s="100" t="str">
        <f t="shared" si="1"/>
        <v/>
      </c>
      <c r="E3023" s="100" t="str">
        <f t="shared" si="2"/>
        <v/>
      </c>
      <c r="F3023" s="100" t="str">
        <f t="shared" si="3"/>
        <v/>
      </c>
      <c r="G3023" s="151"/>
      <c r="H3023" s="156"/>
      <c r="I3023" s="157"/>
      <c r="J3023" s="158"/>
      <c r="L3023" s="94"/>
      <c r="M3023" s="159"/>
      <c r="N3023" s="94"/>
    </row>
    <row r="3024">
      <c r="A3024" s="107">
        <v>203946.0</v>
      </c>
      <c r="B3024" s="108" t="s">
        <v>90</v>
      </c>
      <c r="C3024" s="108" t="s">
        <v>772</v>
      </c>
      <c r="D3024" s="100" t="str">
        <f t="shared" si="1"/>
        <v/>
      </c>
      <c r="E3024" s="100" t="str">
        <f t="shared" si="2"/>
        <v/>
      </c>
      <c r="F3024" s="100" t="str">
        <f t="shared" si="3"/>
        <v/>
      </c>
      <c r="G3024" s="151"/>
      <c r="H3024" s="160"/>
      <c r="I3024" s="157"/>
      <c r="J3024" s="161"/>
      <c r="L3024" s="94"/>
      <c r="M3024" s="159"/>
      <c r="N3024" s="94"/>
    </row>
    <row r="3025">
      <c r="A3025" s="107">
        <v>203946.0</v>
      </c>
      <c r="B3025" s="108" t="s">
        <v>92</v>
      </c>
      <c r="C3025" s="108" t="s">
        <v>772</v>
      </c>
      <c r="D3025" s="100" t="str">
        <f t="shared" si="1"/>
        <v/>
      </c>
      <c r="E3025" s="100" t="str">
        <f t="shared" si="2"/>
        <v/>
      </c>
      <c r="F3025" s="100" t="str">
        <f t="shared" si="3"/>
        <v/>
      </c>
      <c r="G3025" s="151"/>
      <c r="H3025" s="156"/>
      <c r="I3025" s="157"/>
      <c r="J3025" s="158"/>
      <c r="L3025" s="94"/>
      <c r="M3025" s="159"/>
      <c r="N3025" s="94"/>
    </row>
    <row r="3026">
      <c r="A3026" s="107">
        <v>203948.0</v>
      </c>
      <c r="B3026" s="108" t="s">
        <v>90</v>
      </c>
      <c r="C3026" s="115" t="s">
        <v>773</v>
      </c>
      <c r="D3026" s="100" t="str">
        <f t="shared" si="1"/>
        <v/>
      </c>
      <c r="E3026" s="100" t="str">
        <f t="shared" si="2"/>
        <v/>
      </c>
      <c r="F3026" s="100" t="str">
        <f t="shared" si="3"/>
        <v/>
      </c>
      <c r="G3026" s="151"/>
      <c r="H3026" s="160"/>
      <c r="I3026" s="157"/>
      <c r="J3026" s="161"/>
      <c r="L3026" s="94"/>
      <c r="M3026" s="159"/>
      <c r="N3026" s="94"/>
    </row>
    <row r="3027">
      <c r="A3027" s="107">
        <v>203948.0</v>
      </c>
      <c r="B3027" s="108" t="s">
        <v>92</v>
      </c>
      <c r="C3027" s="115" t="s">
        <v>773</v>
      </c>
      <c r="D3027" s="100" t="str">
        <f t="shared" si="1"/>
        <v/>
      </c>
      <c r="E3027" s="100" t="str">
        <f t="shared" si="2"/>
        <v/>
      </c>
      <c r="F3027" s="100" t="str">
        <f t="shared" si="3"/>
        <v/>
      </c>
      <c r="G3027" s="151"/>
      <c r="H3027" s="156"/>
      <c r="I3027" s="157"/>
      <c r="J3027" s="158"/>
      <c r="L3027" s="94"/>
      <c r="M3027" s="159"/>
      <c r="N3027" s="94"/>
    </row>
    <row r="3028">
      <c r="A3028" s="107">
        <v>203948.0</v>
      </c>
      <c r="B3028" s="108" t="s">
        <v>190</v>
      </c>
      <c r="C3028" s="115" t="s">
        <v>773</v>
      </c>
      <c r="D3028" s="100" t="str">
        <f t="shared" si="1"/>
        <v/>
      </c>
      <c r="E3028" s="100" t="str">
        <f t="shared" si="2"/>
        <v/>
      </c>
      <c r="F3028" s="100" t="str">
        <f t="shared" si="3"/>
        <v/>
      </c>
      <c r="G3028" s="151"/>
      <c r="H3028" s="160"/>
      <c r="I3028" s="157"/>
      <c r="J3028" s="161"/>
      <c r="L3028" s="94"/>
      <c r="M3028" s="159"/>
      <c r="N3028" s="94"/>
    </row>
    <row r="3029">
      <c r="A3029" s="107">
        <v>203948.0</v>
      </c>
      <c r="B3029" s="108" t="s">
        <v>191</v>
      </c>
      <c r="C3029" s="115" t="s">
        <v>773</v>
      </c>
      <c r="D3029" s="100" t="str">
        <f t="shared" si="1"/>
        <v/>
      </c>
      <c r="E3029" s="100" t="str">
        <f t="shared" si="2"/>
        <v/>
      </c>
      <c r="F3029" s="100" t="str">
        <f t="shared" si="3"/>
        <v/>
      </c>
      <c r="G3029" s="151"/>
      <c r="H3029" s="156"/>
      <c r="I3029" s="157"/>
      <c r="J3029" s="158"/>
      <c r="L3029" s="94"/>
      <c r="M3029" s="159"/>
      <c r="N3029" s="94"/>
    </row>
    <row r="3030">
      <c r="A3030" s="107">
        <v>203949.0</v>
      </c>
      <c r="B3030" s="108" t="s">
        <v>90</v>
      </c>
      <c r="C3030" s="108" t="s">
        <v>774</v>
      </c>
      <c r="D3030" s="100" t="str">
        <f t="shared" si="1"/>
        <v/>
      </c>
      <c r="E3030" s="100" t="str">
        <f t="shared" si="2"/>
        <v/>
      </c>
      <c r="F3030" s="100" t="str">
        <f t="shared" si="3"/>
        <v/>
      </c>
      <c r="G3030" s="151"/>
      <c r="H3030" s="160"/>
      <c r="I3030" s="157"/>
      <c r="J3030" s="161"/>
      <c r="L3030" s="94"/>
      <c r="M3030" s="159"/>
      <c r="N3030" s="94"/>
    </row>
    <row r="3031">
      <c r="A3031" s="107">
        <v>203949.0</v>
      </c>
      <c r="B3031" s="108" t="s">
        <v>92</v>
      </c>
      <c r="C3031" s="108" t="s">
        <v>774</v>
      </c>
      <c r="D3031" s="100" t="str">
        <f t="shared" si="1"/>
        <v/>
      </c>
      <c r="E3031" s="100" t="str">
        <f t="shared" si="2"/>
        <v/>
      </c>
      <c r="F3031" s="100" t="str">
        <f t="shared" si="3"/>
        <v/>
      </c>
      <c r="G3031" s="151"/>
      <c r="H3031" s="156"/>
      <c r="I3031" s="157"/>
      <c r="J3031" s="158"/>
      <c r="L3031" s="94"/>
      <c r="M3031" s="159"/>
      <c r="N3031" s="94"/>
    </row>
    <row r="3032">
      <c r="A3032" s="107">
        <v>203949.0</v>
      </c>
      <c r="B3032" s="108" t="s">
        <v>190</v>
      </c>
      <c r="C3032" s="108" t="s">
        <v>774</v>
      </c>
      <c r="D3032" s="100" t="str">
        <f t="shared" si="1"/>
        <v/>
      </c>
      <c r="E3032" s="100" t="str">
        <f t="shared" si="2"/>
        <v/>
      </c>
      <c r="F3032" s="100" t="str">
        <f t="shared" si="3"/>
        <v/>
      </c>
      <c r="G3032" s="151"/>
      <c r="H3032" s="160"/>
      <c r="I3032" s="157"/>
      <c r="J3032" s="161"/>
      <c r="L3032" s="94"/>
      <c r="M3032" s="159"/>
      <c r="N3032" s="94"/>
    </row>
    <row r="3033">
      <c r="A3033" s="107">
        <v>203949.0</v>
      </c>
      <c r="B3033" s="108" t="s">
        <v>191</v>
      </c>
      <c r="C3033" s="108" t="s">
        <v>774</v>
      </c>
      <c r="D3033" s="100" t="str">
        <f t="shared" si="1"/>
        <v/>
      </c>
      <c r="E3033" s="100" t="str">
        <f t="shared" si="2"/>
        <v/>
      </c>
      <c r="F3033" s="100" t="str">
        <f t="shared" si="3"/>
        <v/>
      </c>
      <c r="G3033" s="151"/>
      <c r="H3033" s="156"/>
      <c r="I3033" s="157"/>
      <c r="J3033" s="158"/>
      <c r="L3033" s="94"/>
      <c r="M3033" s="159"/>
      <c r="N3033" s="94"/>
    </row>
    <row r="3034">
      <c r="A3034" s="107">
        <v>203950.0</v>
      </c>
      <c r="B3034" s="108" t="s">
        <v>90</v>
      </c>
      <c r="C3034" s="108" t="s">
        <v>775</v>
      </c>
      <c r="D3034" s="100" t="str">
        <f t="shared" si="1"/>
        <v/>
      </c>
      <c r="E3034" s="100" t="str">
        <f t="shared" si="2"/>
        <v/>
      </c>
      <c r="F3034" s="100" t="str">
        <f t="shared" si="3"/>
        <v/>
      </c>
      <c r="G3034" s="151"/>
      <c r="H3034" s="160"/>
      <c r="I3034" s="157"/>
      <c r="J3034" s="161"/>
      <c r="L3034" s="94"/>
      <c r="M3034" s="159"/>
      <c r="N3034" s="94"/>
    </row>
    <row r="3035">
      <c r="A3035" s="107">
        <v>203950.0</v>
      </c>
      <c r="B3035" s="108" t="s">
        <v>92</v>
      </c>
      <c r="C3035" s="108" t="s">
        <v>775</v>
      </c>
      <c r="D3035" s="100" t="str">
        <f t="shared" si="1"/>
        <v/>
      </c>
      <c r="E3035" s="100" t="str">
        <f t="shared" si="2"/>
        <v/>
      </c>
      <c r="F3035" s="100" t="str">
        <f t="shared" si="3"/>
        <v/>
      </c>
      <c r="G3035" s="151"/>
      <c r="H3035" s="156"/>
      <c r="I3035" s="157"/>
      <c r="J3035" s="158"/>
      <c r="L3035" s="94"/>
      <c r="M3035" s="159"/>
      <c r="N3035" s="94"/>
    </row>
    <row r="3036">
      <c r="A3036" s="107">
        <v>203950.0</v>
      </c>
      <c r="B3036" s="108" t="s">
        <v>190</v>
      </c>
      <c r="C3036" s="108" t="s">
        <v>775</v>
      </c>
      <c r="D3036" s="100" t="str">
        <f t="shared" si="1"/>
        <v/>
      </c>
      <c r="E3036" s="100" t="str">
        <f t="shared" si="2"/>
        <v/>
      </c>
      <c r="F3036" s="100" t="str">
        <f t="shared" si="3"/>
        <v/>
      </c>
      <c r="G3036" s="151"/>
      <c r="H3036" s="160"/>
      <c r="I3036" s="157"/>
      <c r="J3036" s="161"/>
      <c r="L3036" s="94"/>
      <c r="M3036" s="159"/>
      <c r="N3036" s="94"/>
    </row>
    <row r="3037">
      <c r="A3037" s="107">
        <v>203951.0</v>
      </c>
      <c r="B3037" s="108" t="s">
        <v>92</v>
      </c>
      <c r="C3037" s="108" t="s">
        <v>776</v>
      </c>
      <c r="D3037" s="100" t="str">
        <f t="shared" si="1"/>
        <v/>
      </c>
      <c r="E3037" s="100" t="str">
        <f t="shared" si="2"/>
        <v/>
      </c>
      <c r="F3037" s="100" t="str">
        <f t="shared" si="3"/>
        <v/>
      </c>
      <c r="G3037" s="151"/>
      <c r="H3037" s="156"/>
      <c r="I3037" s="157"/>
      <c r="J3037" s="158"/>
      <c r="L3037" s="94"/>
      <c r="M3037" s="159"/>
      <c r="N3037" s="94"/>
    </row>
    <row r="3038">
      <c r="A3038" s="107">
        <v>203952.0</v>
      </c>
      <c r="B3038" s="108" t="s">
        <v>90</v>
      </c>
      <c r="C3038" s="108" t="s">
        <v>777</v>
      </c>
      <c r="D3038" s="100" t="str">
        <f t="shared" si="1"/>
        <v/>
      </c>
      <c r="E3038" s="100" t="str">
        <f t="shared" si="2"/>
        <v/>
      </c>
      <c r="F3038" s="100" t="str">
        <f t="shared" si="3"/>
        <v/>
      </c>
      <c r="G3038" s="151"/>
      <c r="H3038" s="160"/>
      <c r="I3038" s="157"/>
      <c r="J3038" s="161"/>
      <c r="L3038" s="94"/>
      <c r="M3038" s="159"/>
      <c r="N3038" s="94"/>
    </row>
    <row r="3039">
      <c r="A3039" s="107">
        <v>203952.0</v>
      </c>
      <c r="B3039" s="108" t="s">
        <v>92</v>
      </c>
      <c r="C3039" s="108" t="s">
        <v>777</v>
      </c>
      <c r="D3039" s="100" t="str">
        <f t="shared" si="1"/>
        <v/>
      </c>
      <c r="E3039" s="100" t="str">
        <f t="shared" si="2"/>
        <v/>
      </c>
      <c r="F3039" s="100" t="str">
        <f t="shared" si="3"/>
        <v/>
      </c>
      <c r="G3039" s="151"/>
      <c r="H3039" s="156"/>
      <c r="I3039" s="157"/>
      <c r="J3039" s="158"/>
      <c r="L3039" s="94"/>
      <c r="M3039" s="159"/>
      <c r="N3039" s="94"/>
    </row>
    <row r="3040">
      <c r="A3040" s="107">
        <v>203952.0</v>
      </c>
      <c r="B3040" s="108" t="s">
        <v>190</v>
      </c>
      <c r="C3040" s="108" t="s">
        <v>777</v>
      </c>
      <c r="D3040" s="100" t="str">
        <f t="shared" si="1"/>
        <v/>
      </c>
      <c r="E3040" s="100" t="str">
        <f t="shared" si="2"/>
        <v/>
      </c>
      <c r="F3040" s="100" t="str">
        <f t="shared" si="3"/>
        <v/>
      </c>
      <c r="G3040" s="151"/>
      <c r="H3040" s="160"/>
      <c r="I3040" s="157"/>
      <c r="J3040" s="161"/>
      <c r="L3040" s="94"/>
      <c r="M3040" s="159"/>
      <c r="N3040" s="94"/>
    </row>
    <row r="3041">
      <c r="A3041" s="107">
        <v>203952.0</v>
      </c>
      <c r="B3041" s="108" t="s">
        <v>191</v>
      </c>
      <c r="C3041" s="108" t="s">
        <v>777</v>
      </c>
      <c r="D3041" s="100" t="str">
        <f t="shared" si="1"/>
        <v/>
      </c>
      <c r="E3041" s="100" t="str">
        <f t="shared" si="2"/>
        <v/>
      </c>
      <c r="F3041" s="100" t="str">
        <f t="shared" si="3"/>
        <v/>
      </c>
      <c r="G3041" s="151"/>
      <c r="H3041" s="156"/>
      <c r="I3041" s="157"/>
      <c r="J3041" s="158"/>
      <c r="L3041" s="94"/>
      <c r="M3041" s="159"/>
      <c r="N3041" s="94"/>
    </row>
    <row r="3042">
      <c r="A3042" s="107">
        <v>203952.0</v>
      </c>
      <c r="B3042" s="108" t="s">
        <v>192</v>
      </c>
      <c r="C3042" s="108" t="s">
        <v>777</v>
      </c>
      <c r="D3042" s="100" t="str">
        <f t="shared" si="1"/>
        <v/>
      </c>
      <c r="E3042" s="100" t="str">
        <f t="shared" si="2"/>
        <v/>
      </c>
      <c r="F3042" s="100" t="str">
        <f t="shared" si="3"/>
        <v/>
      </c>
      <c r="G3042" s="151"/>
      <c r="H3042" s="160"/>
      <c r="I3042" s="157"/>
      <c r="J3042" s="161"/>
      <c r="L3042" s="94"/>
      <c r="M3042" s="159"/>
      <c r="N3042" s="94"/>
    </row>
    <row r="3043">
      <c r="A3043" s="107">
        <v>203952.0</v>
      </c>
      <c r="B3043" s="108" t="s">
        <v>193</v>
      </c>
      <c r="C3043" s="108" t="s">
        <v>777</v>
      </c>
      <c r="D3043" s="100" t="str">
        <f t="shared" si="1"/>
        <v/>
      </c>
      <c r="E3043" s="100" t="str">
        <f t="shared" si="2"/>
        <v/>
      </c>
      <c r="F3043" s="100" t="str">
        <f t="shared" si="3"/>
        <v/>
      </c>
      <c r="G3043" s="151"/>
      <c r="H3043" s="156"/>
      <c r="I3043" s="157"/>
      <c r="J3043" s="158"/>
      <c r="L3043" s="94"/>
      <c r="M3043" s="159"/>
      <c r="N3043" s="94"/>
    </row>
    <row r="3044">
      <c r="A3044" s="107">
        <v>203952.0</v>
      </c>
      <c r="B3044" s="108" t="s">
        <v>243</v>
      </c>
      <c r="C3044" s="108" t="s">
        <v>777</v>
      </c>
      <c r="D3044" s="100" t="str">
        <f t="shared" si="1"/>
        <v/>
      </c>
      <c r="E3044" s="100" t="str">
        <f t="shared" si="2"/>
        <v/>
      </c>
      <c r="F3044" s="100" t="str">
        <f t="shared" si="3"/>
        <v/>
      </c>
      <c r="G3044" s="151"/>
      <c r="H3044" s="160"/>
      <c r="I3044" s="157"/>
      <c r="J3044" s="161"/>
      <c r="L3044" s="94"/>
      <c r="M3044" s="159"/>
      <c r="N3044" s="94"/>
    </row>
    <row r="3045">
      <c r="A3045" s="107">
        <v>203952.0</v>
      </c>
      <c r="B3045" s="108" t="s">
        <v>215</v>
      </c>
      <c r="C3045" s="108" t="s">
        <v>777</v>
      </c>
      <c r="D3045" s="100" t="str">
        <f t="shared" si="1"/>
        <v/>
      </c>
      <c r="E3045" s="100" t="str">
        <f t="shared" si="2"/>
        <v/>
      </c>
      <c r="F3045" s="100" t="str">
        <f t="shared" si="3"/>
        <v/>
      </c>
      <c r="G3045" s="151"/>
      <c r="H3045" s="156"/>
      <c r="I3045" s="157"/>
      <c r="J3045" s="158"/>
      <c r="L3045" s="94"/>
      <c r="M3045" s="159"/>
      <c r="N3045" s="94"/>
    </row>
    <row r="3046">
      <c r="A3046" s="107">
        <v>203952.0</v>
      </c>
      <c r="B3046" s="108" t="s">
        <v>244</v>
      </c>
      <c r="C3046" s="108" t="s">
        <v>777</v>
      </c>
      <c r="D3046" s="100" t="str">
        <f t="shared" si="1"/>
        <v/>
      </c>
      <c r="E3046" s="100" t="str">
        <f t="shared" si="2"/>
        <v/>
      </c>
      <c r="F3046" s="100" t="str">
        <f t="shared" si="3"/>
        <v/>
      </c>
      <c r="G3046" s="151"/>
      <c r="H3046" s="160"/>
      <c r="I3046" s="157"/>
      <c r="J3046" s="161"/>
      <c r="L3046" s="94"/>
      <c r="M3046" s="159"/>
      <c r="N3046" s="94"/>
    </row>
    <row r="3047">
      <c r="A3047" s="107">
        <v>203952.0</v>
      </c>
      <c r="B3047" s="108" t="s">
        <v>245</v>
      </c>
      <c r="C3047" s="108" t="s">
        <v>777</v>
      </c>
      <c r="D3047" s="100" t="str">
        <f t="shared" si="1"/>
        <v/>
      </c>
      <c r="E3047" s="100" t="str">
        <f t="shared" si="2"/>
        <v/>
      </c>
      <c r="F3047" s="100" t="str">
        <f t="shared" si="3"/>
        <v/>
      </c>
      <c r="G3047" s="151"/>
      <c r="H3047" s="156"/>
      <c r="I3047" s="157"/>
      <c r="J3047" s="158"/>
      <c r="L3047" s="94"/>
      <c r="M3047" s="159"/>
      <c r="N3047" s="94"/>
    </row>
    <row r="3048">
      <c r="A3048" s="107">
        <v>203952.0</v>
      </c>
      <c r="B3048" s="108" t="s">
        <v>246</v>
      </c>
      <c r="C3048" s="108" t="s">
        <v>777</v>
      </c>
      <c r="D3048" s="100" t="str">
        <f t="shared" si="1"/>
        <v/>
      </c>
      <c r="E3048" s="100" t="str">
        <f t="shared" si="2"/>
        <v/>
      </c>
      <c r="F3048" s="100" t="str">
        <f t="shared" si="3"/>
        <v/>
      </c>
      <c r="G3048" s="151"/>
      <c r="H3048" s="160"/>
      <c r="I3048" s="157"/>
      <c r="J3048" s="161"/>
      <c r="L3048" s="94"/>
      <c r="M3048" s="159"/>
      <c r="N3048" s="94"/>
    </row>
    <row r="3049">
      <c r="A3049" s="149">
        <v>203952.0</v>
      </c>
      <c r="B3049" s="115" t="s">
        <v>247</v>
      </c>
      <c r="C3049" s="115" t="s">
        <v>777</v>
      </c>
      <c r="D3049" s="100" t="str">
        <f t="shared" si="1"/>
        <v/>
      </c>
      <c r="E3049" s="100" t="str">
        <f t="shared" si="2"/>
        <v/>
      </c>
      <c r="F3049" s="100" t="str">
        <f t="shared" si="3"/>
        <v/>
      </c>
      <c r="G3049" s="151"/>
      <c r="H3049" s="156"/>
      <c r="I3049" s="157"/>
      <c r="J3049" s="158"/>
      <c r="L3049" s="94"/>
      <c r="M3049" s="159"/>
      <c r="N3049" s="94"/>
    </row>
    <row r="3050">
      <c r="A3050" s="21">
        <v>203953.0</v>
      </c>
      <c r="B3050" s="164" t="s">
        <v>90</v>
      </c>
      <c r="C3050" s="164" t="s">
        <v>778</v>
      </c>
      <c r="D3050" s="100" t="str">
        <f t="shared" si="1"/>
        <v/>
      </c>
      <c r="E3050" s="100" t="str">
        <f t="shared" si="2"/>
        <v/>
      </c>
      <c r="F3050" s="100" t="str">
        <f t="shared" si="3"/>
        <v/>
      </c>
      <c r="G3050" s="151"/>
      <c r="H3050" s="160"/>
      <c r="I3050" s="157"/>
      <c r="J3050" s="161"/>
      <c r="L3050" s="94"/>
      <c r="M3050" s="159"/>
      <c r="N3050" s="94"/>
    </row>
    <row r="3051">
      <c r="A3051" s="107">
        <v>203953.0</v>
      </c>
      <c r="B3051" s="108" t="s">
        <v>92</v>
      </c>
      <c r="C3051" s="108" t="s">
        <v>778</v>
      </c>
      <c r="D3051" s="100" t="str">
        <f t="shared" si="1"/>
        <v/>
      </c>
      <c r="E3051" s="100" t="str">
        <f t="shared" si="2"/>
        <v/>
      </c>
      <c r="F3051" s="100" t="str">
        <f t="shared" si="3"/>
        <v/>
      </c>
      <c r="G3051" s="151"/>
      <c r="H3051" s="156"/>
      <c r="I3051" s="157"/>
      <c r="J3051" s="158"/>
      <c r="L3051" s="94"/>
      <c r="M3051" s="159"/>
      <c r="N3051" s="94"/>
    </row>
    <row r="3052">
      <c r="A3052" s="107">
        <v>203953.0</v>
      </c>
      <c r="B3052" s="108" t="s">
        <v>190</v>
      </c>
      <c r="C3052" s="108" t="s">
        <v>778</v>
      </c>
      <c r="D3052" s="100" t="str">
        <f t="shared" si="1"/>
        <v/>
      </c>
      <c r="E3052" s="100" t="str">
        <f t="shared" si="2"/>
        <v/>
      </c>
      <c r="F3052" s="100" t="str">
        <f t="shared" si="3"/>
        <v/>
      </c>
      <c r="G3052" s="151"/>
      <c r="H3052" s="160"/>
      <c r="I3052" s="157"/>
      <c r="J3052" s="161"/>
      <c r="L3052" s="94"/>
      <c r="M3052" s="159"/>
      <c r="N3052" s="94"/>
    </row>
    <row r="3053">
      <c r="A3053" s="107">
        <v>203953.0</v>
      </c>
      <c r="B3053" s="108" t="s">
        <v>191</v>
      </c>
      <c r="C3053" s="108" t="s">
        <v>778</v>
      </c>
      <c r="D3053" s="100" t="str">
        <f t="shared" si="1"/>
        <v/>
      </c>
      <c r="E3053" s="100" t="str">
        <f t="shared" si="2"/>
        <v/>
      </c>
      <c r="F3053" s="100" t="str">
        <f t="shared" si="3"/>
        <v/>
      </c>
      <c r="G3053" s="151"/>
      <c r="H3053" s="156"/>
      <c r="I3053" s="157"/>
      <c r="J3053" s="158"/>
      <c r="L3053" s="94"/>
      <c r="M3053" s="159"/>
      <c r="N3053" s="94"/>
    </row>
    <row r="3054">
      <c r="A3054" s="107">
        <v>203953.0</v>
      </c>
      <c r="B3054" s="108" t="s">
        <v>192</v>
      </c>
      <c r="C3054" s="108" t="s">
        <v>778</v>
      </c>
      <c r="D3054" s="100" t="str">
        <f t="shared" si="1"/>
        <v/>
      </c>
      <c r="E3054" s="100" t="str">
        <f t="shared" si="2"/>
        <v/>
      </c>
      <c r="F3054" s="100" t="str">
        <f t="shared" si="3"/>
        <v/>
      </c>
      <c r="G3054" s="151"/>
      <c r="H3054" s="160"/>
      <c r="I3054" s="157"/>
      <c r="J3054" s="161"/>
      <c r="L3054" s="94"/>
      <c r="M3054" s="159"/>
      <c r="N3054" s="94"/>
    </row>
    <row r="3055">
      <c r="A3055" s="107">
        <v>203953.0</v>
      </c>
      <c r="B3055" s="108" t="s">
        <v>193</v>
      </c>
      <c r="C3055" s="108" t="s">
        <v>778</v>
      </c>
      <c r="D3055" s="100" t="str">
        <f t="shared" si="1"/>
        <v/>
      </c>
      <c r="E3055" s="100" t="str">
        <f t="shared" si="2"/>
        <v/>
      </c>
      <c r="F3055" s="100" t="str">
        <f t="shared" si="3"/>
        <v/>
      </c>
      <c r="G3055" s="151"/>
      <c r="H3055" s="156"/>
      <c r="I3055" s="157"/>
      <c r="J3055" s="158"/>
      <c r="L3055" s="94"/>
      <c r="M3055" s="159"/>
      <c r="N3055" s="94"/>
    </row>
    <row r="3056">
      <c r="A3056" s="107">
        <v>203953.0</v>
      </c>
      <c r="B3056" s="108" t="s">
        <v>243</v>
      </c>
      <c r="C3056" s="108" t="s">
        <v>778</v>
      </c>
      <c r="D3056" s="100" t="str">
        <f t="shared" si="1"/>
        <v/>
      </c>
      <c r="E3056" s="100" t="str">
        <f t="shared" si="2"/>
        <v/>
      </c>
      <c r="F3056" s="100" t="str">
        <f t="shared" si="3"/>
        <v/>
      </c>
      <c r="G3056" s="151"/>
      <c r="H3056" s="160"/>
      <c r="I3056" s="157"/>
      <c r="J3056" s="161"/>
      <c r="L3056" s="94"/>
      <c r="M3056" s="159"/>
      <c r="N3056" s="94"/>
    </row>
    <row r="3057">
      <c r="A3057" s="107">
        <v>203953.0</v>
      </c>
      <c r="B3057" s="108" t="s">
        <v>215</v>
      </c>
      <c r="C3057" s="108" t="s">
        <v>778</v>
      </c>
      <c r="D3057" s="100" t="str">
        <f t="shared" si="1"/>
        <v/>
      </c>
      <c r="E3057" s="100" t="str">
        <f t="shared" si="2"/>
        <v/>
      </c>
      <c r="F3057" s="100" t="str">
        <f t="shared" si="3"/>
        <v/>
      </c>
      <c r="G3057" s="151"/>
      <c r="H3057" s="156"/>
      <c r="I3057" s="157"/>
      <c r="J3057" s="158"/>
      <c r="L3057" s="94"/>
      <c r="M3057" s="159"/>
      <c r="N3057" s="94"/>
    </row>
    <row r="3058">
      <c r="A3058" s="107">
        <v>203954.0</v>
      </c>
      <c r="B3058" s="108" t="s">
        <v>190</v>
      </c>
      <c r="C3058" s="108" t="s">
        <v>779</v>
      </c>
      <c r="D3058" s="100" t="str">
        <f t="shared" si="1"/>
        <v/>
      </c>
      <c r="E3058" s="100" t="str">
        <f t="shared" si="2"/>
        <v/>
      </c>
      <c r="F3058" s="100" t="str">
        <f t="shared" si="3"/>
        <v/>
      </c>
      <c r="G3058" s="151"/>
      <c r="H3058" s="160"/>
      <c r="I3058" s="157"/>
      <c r="J3058" s="161"/>
      <c r="L3058" s="94"/>
      <c r="M3058" s="159"/>
      <c r="N3058" s="94"/>
    </row>
    <row r="3059">
      <c r="A3059" s="107">
        <v>203954.0</v>
      </c>
      <c r="B3059" s="108" t="s">
        <v>191</v>
      </c>
      <c r="C3059" s="108" t="s">
        <v>779</v>
      </c>
      <c r="D3059" s="100" t="str">
        <f t="shared" si="1"/>
        <v/>
      </c>
      <c r="E3059" s="100" t="str">
        <f t="shared" si="2"/>
        <v/>
      </c>
      <c r="F3059" s="100" t="str">
        <f t="shared" si="3"/>
        <v/>
      </c>
      <c r="G3059" s="151"/>
      <c r="H3059" s="156"/>
      <c r="I3059" s="157"/>
      <c r="J3059" s="158"/>
      <c r="L3059" s="94"/>
      <c r="M3059" s="159"/>
      <c r="N3059" s="94"/>
    </row>
    <row r="3060">
      <c r="A3060" s="107">
        <v>203954.0</v>
      </c>
      <c r="B3060" s="108" t="s">
        <v>192</v>
      </c>
      <c r="C3060" s="108" t="s">
        <v>779</v>
      </c>
      <c r="D3060" s="100" t="str">
        <f t="shared" si="1"/>
        <v/>
      </c>
      <c r="E3060" s="100" t="str">
        <f t="shared" si="2"/>
        <v/>
      </c>
      <c r="F3060" s="100" t="str">
        <f t="shared" si="3"/>
        <v/>
      </c>
      <c r="G3060" s="151"/>
      <c r="H3060" s="160"/>
      <c r="I3060" s="157"/>
      <c r="J3060" s="161"/>
      <c r="L3060" s="94"/>
      <c r="M3060" s="159"/>
      <c r="N3060" s="94"/>
    </row>
    <row r="3061">
      <c r="A3061" s="107">
        <v>203954.0</v>
      </c>
      <c r="B3061" s="108" t="s">
        <v>193</v>
      </c>
      <c r="C3061" s="108" t="s">
        <v>779</v>
      </c>
      <c r="D3061" s="100" t="str">
        <f t="shared" si="1"/>
        <v/>
      </c>
      <c r="E3061" s="100" t="str">
        <f t="shared" si="2"/>
        <v/>
      </c>
      <c r="F3061" s="100" t="str">
        <f t="shared" si="3"/>
        <v/>
      </c>
      <c r="G3061" s="151"/>
      <c r="H3061" s="156"/>
      <c r="I3061" s="157"/>
      <c r="J3061" s="158"/>
      <c r="L3061" s="94"/>
      <c r="M3061" s="159"/>
      <c r="N3061" s="94"/>
    </row>
    <row r="3062">
      <c r="A3062" s="107">
        <v>203954.0</v>
      </c>
      <c r="B3062" s="108" t="s">
        <v>243</v>
      </c>
      <c r="C3062" s="108" t="s">
        <v>779</v>
      </c>
      <c r="D3062" s="100" t="str">
        <f t="shared" si="1"/>
        <v/>
      </c>
      <c r="E3062" s="100" t="str">
        <f t="shared" si="2"/>
        <v/>
      </c>
      <c r="F3062" s="100" t="str">
        <f t="shared" si="3"/>
        <v/>
      </c>
      <c r="G3062" s="151"/>
      <c r="H3062" s="160"/>
      <c r="I3062" s="157"/>
      <c r="J3062" s="161"/>
      <c r="L3062" s="94"/>
      <c r="M3062" s="159"/>
      <c r="N3062" s="94"/>
    </row>
    <row r="3063">
      <c r="A3063" s="107">
        <v>203954.0</v>
      </c>
      <c r="B3063" s="108" t="s">
        <v>215</v>
      </c>
      <c r="C3063" s="108" t="s">
        <v>779</v>
      </c>
      <c r="D3063" s="100" t="str">
        <f t="shared" si="1"/>
        <v/>
      </c>
      <c r="E3063" s="100" t="str">
        <f t="shared" si="2"/>
        <v/>
      </c>
      <c r="F3063" s="100" t="str">
        <f t="shared" si="3"/>
        <v/>
      </c>
      <c r="G3063" s="151"/>
      <c r="H3063" s="156"/>
      <c r="I3063" s="157"/>
      <c r="J3063" s="158"/>
      <c r="L3063" s="94"/>
      <c r="M3063" s="159"/>
      <c r="N3063" s="94"/>
    </row>
    <row r="3064">
      <c r="A3064" s="107">
        <v>203954.0</v>
      </c>
      <c r="B3064" s="108" t="s">
        <v>244</v>
      </c>
      <c r="C3064" s="108" t="s">
        <v>779</v>
      </c>
      <c r="D3064" s="100" t="str">
        <f t="shared" si="1"/>
        <v/>
      </c>
      <c r="E3064" s="100" t="str">
        <f t="shared" si="2"/>
        <v/>
      </c>
      <c r="F3064" s="100" t="str">
        <f t="shared" si="3"/>
        <v/>
      </c>
      <c r="G3064" s="151"/>
      <c r="H3064" s="160"/>
      <c r="I3064" s="157"/>
      <c r="J3064" s="161"/>
      <c r="L3064" s="94"/>
      <c r="M3064" s="159"/>
      <c r="N3064" s="94"/>
    </row>
    <row r="3065">
      <c r="A3065" s="107">
        <v>203954.0</v>
      </c>
      <c r="B3065" s="108" t="s">
        <v>245</v>
      </c>
      <c r="C3065" s="108" t="s">
        <v>779</v>
      </c>
      <c r="D3065" s="100" t="str">
        <f t="shared" si="1"/>
        <v/>
      </c>
      <c r="E3065" s="100" t="str">
        <f t="shared" si="2"/>
        <v/>
      </c>
      <c r="F3065" s="100" t="str">
        <f t="shared" si="3"/>
        <v/>
      </c>
      <c r="G3065" s="151"/>
      <c r="H3065" s="156"/>
      <c r="I3065" s="157"/>
      <c r="J3065" s="158"/>
      <c r="L3065" s="94"/>
      <c r="M3065" s="159"/>
      <c r="N3065" s="94"/>
    </row>
    <row r="3066">
      <c r="A3066" s="107">
        <v>203954.0</v>
      </c>
      <c r="B3066" s="108" t="s">
        <v>246</v>
      </c>
      <c r="C3066" s="108" t="s">
        <v>779</v>
      </c>
      <c r="D3066" s="100" t="str">
        <f t="shared" si="1"/>
        <v/>
      </c>
      <c r="E3066" s="100" t="str">
        <f t="shared" si="2"/>
        <v/>
      </c>
      <c r="F3066" s="100" t="str">
        <f t="shared" si="3"/>
        <v/>
      </c>
      <c r="G3066" s="151"/>
      <c r="H3066" s="160"/>
      <c r="I3066" s="157"/>
      <c r="J3066" s="161"/>
      <c r="L3066" s="94"/>
      <c r="M3066" s="159"/>
      <c r="N3066" s="94"/>
    </row>
    <row r="3067">
      <c r="A3067" s="149">
        <v>203954.0</v>
      </c>
      <c r="B3067" s="115" t="s">
        <v>247</v>
      </c>
      <c r="C3067" s="115" t="s">
        <v>779</v>
      </c>
      <c r="D3067" s="100" t="str">
        <f t="shared" si="1"/>
        <v/>
      </c>
      <c r="E3067" s="100" t="str">
        <f t="shared" si="2"/>
        <v/>
      </c>
      <c r="F3067" s="100" t="str">
        <f t="shared" si="3"/>
        <v/>
      </c>
      <c r="G3067" s="151"/>
      <c r="H3067" s="156"/>
      <c r="I3067" s="157"/>
      <c r="J3067" s="158"/>
      <c r="L3067" s="94"/>
      <c r="M3067" s="159"/>
      <c r="N3067" s="94"/>
    </row>
    <row r="3068">
      <c r="A3068" s="21">
        <v>203955.0</v>
      </c>
      <c r="B3068" s="164" t="s">
        <v>90</v>
      </c>
      <c r="C3068" s="164" t="s">
        <v>780</v>
      </c>
      <c r="D3068" s="100" t="str">
        <f t="shared" si="1"/>
        <v/>
      </c>
      <c r="E3068" s="100" t="str">
        <f t="shared" si="2"/>
        <v/>
      </c>
      <c r="F3068" s="100" t="str">
        <f t="shared" si="3"/>
        <v/>
      </c>
      <c r="G3068" s="151"/>
      <c r="H3068" s="160"/>
      <c r="I3068" s="157"/>
      <c r="J3068" s="161"/>
      <c r="L3068" s="94"/>
      <c r="M3068" s="159"/>
      <c r="N3068" s="94"/>
    </row>
    <row r="3069">
      <c r="A3069" s="107">
        <v>203955.0</v>
      </c>
      <c r="B3069" s="108" t="s">
        <v>92</v>
      </c>
      <c r="C3069" s="108" t="s">
        <v>780</v>
      </c>
      <c r="D3069" s="100" t="str">
        <f t="shared" si="1"/>
        <v/>
      </c>
      <c r="E3069" s="100" t="str">
        <f t="shared" si="2"/>
        <v/>
      </c>
      <c r="F3069" s="100" t="str">
        <f t="shared" si="3"/>
        <v/>
      </c>
      <c r="G3069" s="151"/>
      <c r="H3069" s="156"/>
      <c r="I3069" s="157"/>
      <c r="J3069" s="158"/>
      <c r="L3069" s="94"/>
      <c r="M3069" s="159"/>
      <c r="N3069" s="94"/>
    </row>
    <row r="3070">
      <c r="A3070" s="107">
        <v>203956.0</v>
      </c>
      <c r="B3070" s="108" t="s">
        <v>90</v>
      </c>
      <c r="C3070" s="108" t="s">
        <v>781</v>
      </c>
      <c r="D3070" s="100" t="str">
        <f t="shared" si="1"/>
        <v/>
      </c>
      <c r="E3070" s="100" t="str">
        <f t="shared" si="2"/>
        <v/>
      </c>
      <c r="F3070" s="100" t="str">
        <f t="shared" si="3"/>
        <v/>
      </c>
      <c r="G3070" s="151"/>
      <c r="H3070" s="160"/>
      <c r="I3070" s="157"/>
      <c r="J3070" s="161"/>
      <c r="L3070" s="94"/>
      <c r="M3070" s="159"/>
      <c r="N3070" s="94"/>
    </row>
    <row r="3071">
      <c r="A3071" s="107">
        <v>203956.0</v>
      </c>
      <c r="B3071" s="108" t="s">
        <v>92</v>
      </c>
      <c r="C3071" s="108" t="s">
        <v>781</v>
      </c>
      <c r="D3071" s="100" t="str">
        <f t="shared" si="1"/>
        <v/>
      </c>
      <c r="E3071" s="100" t="str">
        <f t="shared" si="2"/>
        <v/>
      </c>
      <c r="F3071" s="100" t="str">
        <f t="shared" si="3"/>
        <v/>
      </c>
      <c r="G3071" s="151"/>
      <c r="H3071" s="156"/>
      <c r="I3071" s="157"/>
      <c r="J3071" s="158"/>
      <c r="L3071" s="94"/>
      <c r="M3071" s="159"/>
      <c r="N3071" s="94"/>
    </row>
    <row r="3072">
      <c r="A3072" s="107">
        <v>203957.0</v>
      </c>
      <c r="B3072" s="108" t="s">
        <v>90</v>
      </c>
      <c r="C3072" s="108" t="s">
        <v>782</v>
      </c>
      <c r="D3072" s="100" t="str">
        <f t="shared" si="1"/>
        <v/>
      </c>
      <c r="E3072" s="100" t="str">
        <f t="shared" si="2"/>
        <v/>
      </c>
      <c r="F3072" s="100" t="str">
        <f t="shared" si="3"/>
        <v/>
      </c>
      <c r="G3072" s="151"/>
      <c r="H3072" s="160"/>
      <c r="I3072" s="157"/>
      <c r="J3072" s="161"/>
      <c r="L3072" s="94"/>
      <c r="M3072" s="159"/>
      <c r="N3072" s="94"/>
    </row>
    <row r="3073">
      <c r="A3073" s="107">
        <v>203957.0</v>
      </c>
      <c r="B3073" s="108" t="s">
        <v>190</v>
      </c>
      <c r="C3073" s="108" t="s">
        <v>782</v>
      </c>
      <c r="D3073" s="100" t="str">
        <f t="shared" si="1"/>
        <v/>
      </c>
      <c r="E3073" s="100" t="str">
        <f t="shared" si="2"/>
        <v/>
      </c>
      <c r="F3073" s="100" t="str">
        <f t="shared" si="3"/>
        <v/>
      </c>
      <c r="G3073" s="151"/>
      <c r="H3073" s="156"/>
      <c r="I3073" s="157"/>
      <c r="J3073" s="158"/>
      <c r="L3073" s="94"/>
      <c r="M3073" s="159"/>
      <c r="N3073" s="94"/>
    </row>
    <row r="3074">
      <c r="A3074" s="107">
        <v>203957.0</v>
      </c>
      <c r="B3074" s="108" t="s">
        <v>191</v>
      </c>
      <c r="C3074" s="108" t="s">
        <v>782</v>
      </c>
      <c r="D3074" s="100" t="str">
        <f t="shared" si="1"/>
        <v/>
      </c>
      <c r="E3074" s="100" t="str">
        <f t="shared" si="2"/>
        <v/>
      </c>
      <c r="F3074" s="100" t="str">
        <f t="shared" si="3"/>
        <v/>
      </c>
      <c r="G3074" s="151"/>
      <c r="H3074" s="160"/>
      <c r="I3074" s="157"/>
      <c r="J3074" s="161"/>
      <c r="L3074" s="94"/>
      <c r="M3074" s="159"/>
      <c r="N3074" s="94"/>
    </row>
    <row r="3075">
      <c r="A3075" s="107">
        <v>203957.0</v>
      </c>
      <c r="B3075" s="108" t="s">
        <v>192</v>
      </c>
      <c r="C3075" s="108" t="s">
        <v>782</v>
      </c>
      <c r="D3075" s="100" t="str">
        <f t="shared" si="1"/>
        <v/>
      </c>
      <c r="E3075" s="100" t="str">
        <f t="shared" si="2"/>
        <v/>
      </c>
      <c r="F3075" s="100" t="str">
        <f t="shared" si="3"/>
        <v/>
      </c>
      <c r="G3075" s="151"/>
      <c r="H3075" s="156"/>
      <c r="I3075" s="157"/>
      <c r="J3075" s="158"/>
      <c r="L3075" s="94"/>
      <c r="M3075" s="159"/>
      <c r="N3075" s="94"/>
    </row>
    <row r="3076">
      <c r="A3076" s="107">
        <v>203957.0</v>
      </c>
      <c r="B3076" s="108" t="s">
        <v>193</v>
      </c>
      <c r="C3076" s="108" t="s">
        <v>782</v>
      </c>
      <c r="D3076" s="100" t="str">
        <f t="shared" si="1"/>
        <v/>
      </c>
      <c r="E3076" s="100" t="str">
        <f t="shared" si="2"/>
        <v/>
      </c>
      <c r="F3076" s="100" t="str">
        <f t="shared" si="3"/>
        <v/>
      </c>
      <c r="G3076" s="151"/>
      <c r="H3076" s="160"/>
      <c r="I3076" s="157"/>
      <c r="J3076" s="161"/>
      <c r="L3076" s="94"/>
      <c r="M3076" s="159"/>
      <c r="N3076" s="94"/>
    </row>
    <row r="3077">
      <c r="A3077" s="107">
        <v>203957.0</v>
      </c>
      <c r="B3077" s="108" t="s">
        <v>243</v>
      </c>
      <c r="C3077" s="108" t="s">
        <v>782</v>
      </c>
      <c r="D3077" s="100" t="str">
        <f t="shared" si="1"/>
        <v/>
      </c>
      <c r="E3077" s="100" t="str">
        <f t="shared" si="2"/>
        <v/>
      </c>
      <c r="F3077" s="100" t="str">
        <f t="shared" si="3"/>
        <v/>
      </c>
      <c r="G3077" s="151"/>
      <c r="H3077" s="156"/>
      <c r="I3077" s="157"/>
      <c r="J3077" s="158"/>
      <c r="L3077" s="94"/>
      <c r="M3077" s="159"/>
      <c r="N3077" s="94"/>
    </row>
    <row r="3078">
      <c r="A3078" s="107">
        <v>203957.0</v>
      </c>
      <c r="B3078" s="108" t="s">
        <v>245</v>
      </c>
      <c r="C3078" s="108" t="s">
        <v>782</v>
      </c>
      <c r="D3078" s="100" t="str">
        <f t="shared" si="1"/>
        <v/>
      </c>
      <c r="E3078" s="100" t="str">
        <f t="shared" si="2"/>
        <v/>
      </c>
      <c r="F3078" s="100" t="str">
        <f t="shared" si="3"/>
        <v/>
      </c>
      <c r="G3078" s="151"/>
      <c r="H3078" s="160"/>
      <c r="I3078" s="157"/>
      <c r="J3078" s="161"/>
      <c r="L3078" s="94"/>
      <c r="M3078" s="159"/>
      <c r="N3078" s="94"/>
    </row>
    <row r="3079">
      <c r="A3079" s="107">
        <v>203957.0</v>
      </c>
      <c r="B3079" s="108" t="s">
        <v>246</v>
      </c>
      <c r="C3079" s="108" t="s">
        <v>782</v>
      </c>
      <c r="D3079" s="100" t="str">
        <f t="shared" si="1"/>
        <v/>
      </c>
      <c r="E3079" s="100" t="str">
        <f t="shared" si="2"/>
        <v/>
      </c>
      <c r="F3079" s="100" t="str">
        <f t="shared" si="3"/>
        <v/>
      </c>
      <c r="G3079" s="151"/>
      <c r="H3079" s="156"/>
      <c r="I3079" s="157"/>
      <c r="J3079" s="158"/>
      <c r="L3079" s="94"/>
      <c r="M3079" s="159"/>
      <c r="N3079" s="94"/>
    </row>
    <row r="3080">
      <c r="A3080" s="107">
        <v>203958.0</v>
      </c>
      <c r="B3080" s="108" t="s">
        <v>90</v>
      </c>
      <c r="C3080" s="108" t="s">
        <v>783</v>
      </c>
      <c r="D3080" s="100" t="str">
        <f t="shared" si="1"/>
        <v/>
      </c>
      <c r="E3080" s="100" t="str">
        <f t="shared" si="2"/>
        <v/>
      </c>
      <c r="F3080" s="100" t="str">
        <f t="shared" si="3"/>
        <v/>
      </c>
      <c r="G3080" s="151"/>
      <c r="H3080" s="160"/>
      <c r="I3080" s="157"/>
      <c r="J3080" s="161"/>
      <c r="L3080" s="94"/>
      <c r="M3080" s="159"/>
      <c r="N3080" s="94"/>
    </row>
    <row r="3081">
      <c r="A3081" s="107">
        <v>203960.0</v>
      </c>
      <c r="B3081" s="108" t="s">
        <v>90</v>
      </c>
      <c r="C3081" s="108" t="s">
        <v>784</v>
      </c>
      <c r="D3081" s="100" t="str">
        <f t="shared" si="1"/>
        <v/>
      </c>
      <c r="E3081" s="100" t="str">
        <f t="shared" si="2"/>
        <v/>
      </c>
      <c r="F3081" s="100" t="str">
        <f t="shared" si="3"/>
        <v/>
      </c>
      <c r="G3081" s="151"/>
      <c r="H3081" s="156"/>
      <c r="I3081" s="157"/>
      <c r="J3081" s="161"/>
      <c r="L3081" s="94"/>
      <c r="M3081" s="159"/>
      <c r="N3081" s="94"/>
    </row>
    <row r="3082">
      <c r="A3082" s="107">
        <v>203960.0</v>
      </c>
      <c r="B3082" s="108" t="s">
        <v>92</v>
      </c>
      <c r="C3082" s="108" t="s">
        <v>784</v>
      </c>
      <c r="D3082" s="100" t="str">
        <f t="shared" si="1"/>
        <v/>
      </c>
      <c r="E3082" s="100" t="str">
        <f t="shared" si="2"/>
        <v/>
      </c>
      <c r="F3082" s="100" t="str">
        <f t="shared" si="3"/>
        <v/>
      </c>
      <c r="G3082" s="151"/>
      <c r="H3082" s="160"/>
      <c r="I3082" s="157"/>
      <c r="J3082" s="158"/>
      <c r="L3082" s="94"/>
      <c r="M3082" s="159"/>
      <c r="N3082" s="94"/>
    </row>
    <row r="3083">
      <c r="A3083" s="107">
        <v>203960.0</v>
      </c>
      <c r="B3083" s="108" t="s">
        <v>191</v>
      </c>
      <c r="C3083" s="108" t="s">
        <v>784</v>
      </c>
      <c r="D3083" s="100" t="str">
        <f t="shared" si="1"/>
        <v/>
      </c>
      <c r="E3083" s="100" t="str">
        <f t="shared" si="2"/>
        <v/>
      </c>
      <c r="F3083" s="100" t="str">
        <f t="shared" si="3"/>
        <v/>
      </c>
      <c r="G3083" s="151"/>
      <c r="H3083" s="156"/>
      <c r="I3083" s="157"/>
      <c r="J3083" s="161"/>
      <c r="L3083" s="94"/>
      <c r="M3083" s="159"/>
      <c r="N3083" s="94"/>
    </row>
    <row r="3084">
      <c r="A3084" s="107">
        <v>203960.0</v>
      </c>
      <c r="B3084" s="108" t="s">
        <v>192</v>
      </c>
      <c r="C3084" s="108" t="s">
        <v>784</v>
      </c>
      <c r="D3084" s="100" t="str">
        <f t="shared" si="1"/>
        <v/>
      </c>
      <c r="E3084" s="100" t="str">
        <f t="shared" si="2"/>
        <v/>
      </c>
      <c r="F3084" s="100" t="str">
        <f t="shared" si="3"/>
        <v/>
      </c>
      <c r="G3084" s="151"/>
      <c r="H3084" s="160"/>
      <c r="I3084" s="157"/>
      <c r="J3084" s="158"/>
      <c r="L3084" s="94"/>
      <c r="M3084" s="159"/>
      <c r="N3084" s="94"/>
    </row>
    <row r="3085">
      <c r="A3085" s="107">
        <v>203960.0</v>
      </c>
      <c r="B3085" s="108" t="s">
        <v>193</v>
      </c>
      <c r="C3085" s="108" t="s">
        <v>784</v>
      </c>
      <c r="D3085" s="100" t="str">
        <f t="shared" si="1"/>
        <v/>
      </c>
      <c r="E3085" s="100" t="str">
        <f t="shared" si="2"/>
        <v/>
      </c>
      <c r="F3085" s="100" t="str">
        <f t="shared" si="3"/>
        <v/>
      </c>
      <c r="G3085" s="151"/>
      <c r="H3085" s="156"/>
      <c r="I3085" s="157"/>
      <c r="J3085" s="161"/>
      <c r="L3085" s="94"/>
      <c r="M3085" s="159"/>
      <c r="N3085" s="94"/>
    </row>
    <row r="3086">
      <c r="A3086" s="107">
        <v>203960.0</v>
      </c>
      <c r="B3086" s="108" t="s">
        <v>243</v>
      </c>
      <c r="C3086" s="108" t="s">
        <v>784</v>
      </c>
      <c r="D3086" s="100" t="str">
        <f t="shared" si="1"/>
        <v/>
      </c>
      <c r="E3086" s="100" t="str">
        <f t="shared" si="2"/>
        <v/>
      </c>
      <c r="F3086" s="100" t="str">
        <f t="shared" si="3"/>
        <v/>
      </c>
      <c r="G3086" s="151"/>
      <c r="H3086" s="160"/>
      <c r="I3086" s="157"/>
      <c r="J3086" s="158"/>
      <c r="L3086" s="94"/>
      <c r="M3086" s="159"/>
      <c r="N3086" s="94"/>
    </row>
    <row r="3087">
      <c r="A3087" s="107">
        <v>203961.0</v>
      </c>
      <c r="B3087" s="108" t="s">
        <v>90</v>
      </c>
      <c r="C3087" s="108" t="s">
        <v>785</v>
      </c>
      <c r="D3087" s="100" t="str">
        <f t="shared" si="1"/>
        <v/>
      </c>
      <c r="E3087" s="100" t="str">
        <f t="shared" si="2"/>
        <v/>
      </c>
      <c r="F3087" s="100" t="str">
        <f t="shared" si="3"/>
        <v/>
      </c>
      <c r="G3087" s="151"/>
      <c r="H3087" s="156"/>
      <c r="I3087" s="157"/>
      <c r="J3087" s="161"/>
      <c r="L3087" s="94"/>
      <c r="M3087" s="159"/>
      <c r="N3087" s="94"/>
    </row>
    <row r="3088">
      <c r="A3088" s="107">
        <v>203961.0</v>
      </c>
      <c r="B3088" s="108" t="s">
        <v>92</v>
      </c>
      <c r="C3088" s="108" t="s">
        <v>785</v>
      </c>
      <c r="D3088" s="100" t="str">
        <f t="shared" si="1"/>
        <v/>
      </c>
      <c r="E3088" s="100" t="str">
        <f t="shared" si="2"/>
        <v/>
      </c>
      <c r="F3088" s="100" t="str">
        <f t="shared" si="3"/>
        <v/>
      </c>
      <c r="G3088" s="151"/>
      <c r="H3088" s="160"/>
      <c r="I3088" s="157"/>
      <c r="J3088" s="158"/>
      <c r="L3088" s="94"/>
      <c r="M3088" s="159"/>
      <c r="N3088" s="94"/>
    </row>
    <row r="3089">
      <c r="A3089" s="107">
        <v>203961.0</v>
      </c>
      <c r="B3089" s="108" t="s">
        <v>191</v>
      </c>
      <c r="C3089" s="108" t="s">
        <v>785</v>
      </c>
      <c r="D3089" s="100" t="str">
        <f t="shared" si="1"/>
        <v/>
      </c>
      <c r="E3089" s="100" t="str">
        <f t="shared" si="2"/>
        <v/>
      </c>
      <c r="F3089" s="100" t="str">
        <f t="shared" si="3"/>
        <v/>
      </c>
      <c r="G3089" s="151"/>
      <c r="H3089" s="156"/>
      <c r="I3089" s="157"/>
      <c r="J3089" s="161"/>
      <c r="L3089" s="94"/>
      <c r="M3089" s="159"/>
      <c r="N3089" s="94"/>
    </row>
    <row r="3090">
      <c r="A3090" s="107">
        <v>203961.0</v>
      </c>
      <c r="B3090" s="108" t="s">
        <v>192</v>
      </c>
      <c r="C3090" s="108" t="s">
        <v>785</v>
      </c>
      <c r="D3090" s="100" t="str">
        <f t="shared" si="1"/>
        <v/>
      </c>
      <c r="E3090" s="100" t="str">
        <f t="shared" si="2"/>
        <v/>
      </c>
      <c r="F3090" s="100" t="str">
        <f t="shared" si="3"/>
        <v/>
      </c>
      <c r="G3090" s="151"/>
      <c r="H3090" s="160"/>
      <c r="I3090" s="157"/>
      <c r="J3090" s="158"/>
      <c r="L3090" s="94"/>
      <c r="M3090" s="159"/>
      <c r="N3090" s="94"/>
    </row>
    <row r="3091">
      <c r="A3091" s="107">
        <v>203962.0</v>
      </c>
      <c r="B3091" s="108" t="s">
        <v>92</v>
      </c>
      <c r="C3091" s="108" t="s">
        <v>786</v>
      </c>
      <c r="D3091" s="100" t="str">
        <f t="shared" si="1"/>
        <v/>
      </c>
      <c r="E3091" s="100" t="str">
        <f t="shared" si="2"/>
        <v/>
      </c>
      <c r="F3091" s="100" t="str">
        <f t="shared" si="3"/>
        <v/>
      </c>
      <c r="G3091" s="151"/>
      <c r="H3091" s="156"/>
      <c r="I3091" s="157"/>
      <c r="J3091" s="161"/>
      <c r="L3091" s="94"/>
      <c r="M3091" s="159"/>
      <c r="N3091" s="94"/>
    </row>
    <row r="3092">
      <c r="A3092" s="107">
        <v>203962.0</v>
      </c>
      <c r="B3092" s="108" t="s">
        <v>190</v>
      </c>
      <c r="C3092" s="108" t="s">
        <v>786</v>
      </c>
      <c r="D3092" s="100" t="str">
        <f t="shared" si="1"/>
        <v/>
      </c>
      <c r="E3092" s="100" t="str">
        <f t="shared" si="2"/>
        <v/>
      </c>
      <c r="F3092" s="100" t="str">
        <f t="shared" si="3"/>
        <v/>
      </c>
      <c r="G3092" s="151"/>
      <c r="H3092" s="160"/>
      <c r="I3092" s="157"/>
      <c r="J3092" s="158"/>
      <c r="L3092" s="94"/>
      <c r="M3092" s="159"/>
      <c r="N3092" s="94"/>
    </row>
    <row r="3093">
      <c r="A3093" s="107">
        <v>203962.0</v>
      </c>
      <c r="B3093" s="108" t="s">
        <v>191</v>
      </c>
      <c r="C3093" s="108" t="s">
        <v>786</v>
      </c>
      <c r="D3093" s="100" t="str">
        <f t="shared" si="1"/>
        <v/>
      </c>
      <c r="E3093" s="100" t="str">
        <f t="shared" si="2"/>
        <v/>
      </c>
      <c r="F3093" s="100" t="str">
        <f t="shared" si="3"/>
        <v/>
      </c>
      <c r="G3093" s="151"/>
      <c r="H3093" s="156"/>
      <c r="I3093" s="157"/>
      <c r="J3093" s="161"/>
      <c r="L3093" s="94"/>
      <c r="M3093" s="159"/>
      <c r="N3093" s="94"/>
    </row>
    <row r="3094">
      <c r="A3094" s="107">
        <v>203963.0</v>
      </c>
      <c r="B3094" s="108" t="s">
        <v>90</v>
      </c>
      <c r="C3094" s="108" t="s">
        <v>787</v>
      </c>
      <c r="D3094" s="100" t="str">
        <f t="shared" si="1"/>
        <v/>
      </c>
      <c r="E3094" s="100" t="str">
        <f t="shared" si="2"/>
        <v/>
      </c>
      <c r="F3094" s="100" t="str">
        <f t="shared" si="3"/>
        <v/>
      </c>
      <c r="G3094" s="151"/>
      <c r="H3094" s="160"/>
      <c r="I3094" s="157"/>
      <c r="J3094" s="158"/>
      <c r="L3094" s="94"/>
      <c r="M3094" s="159"/>
      <c r="N3094" s="94"/>
    </row>
    <row r="3095">
      <c r="A3095" s="107">
        <v>203963.0</v>
      </c>
      <c r="B3095" s="108" t="s">
        <v>92</v>
      </c>
      <c r="C3095" s="108" t="s">
        <v>787</v>
      </c>
      <c r="D3095" s="100" t="str">
        <f t="shared" si="1"/>
        <v/>
      </c>
      <c r="E3095" s="100" t="str">
        <f t="shared" si="2"/>
        <v/>
      </c>
      <c r="F3095" s="100" t="str">
        <f t="shared" si="3"/>
        <v/>
      </c>
      <c r="G3095" s="151"/>
      <c r="H3095" s="156"/>
      <c r="I3095" s="157"/>
      <c r="J3095" s="161"/>
      <c r="L3095" s="94"/>
      <c r="M3095" s="159"/>
      <c r="N3095" s="94"/>
    </row>
    <row r="3096">
      <c r="A3096" s="107">
        <v>203966.0</v>
      </c>
      <c r="B3096" s="108" t="s">
        <v>191</v>
      </c>
      <c r="C3096" s="108" t="s">
        <v>788</v>
      </c>
      <c r="D3096" s="100" t="str">
        <f t="shared" si="1"/>
        <v/>
      </c>
      <c r="E3096" s="100" t="str">
        <f t="shared" si="2"/>
        <v/>
      </c>
      <c r="F3096" s="100" t="str">
        <f t="shared" si="3"/>
        <v/>
      </c>
      <c r="G3096" s="151"/>
      <c r="H3096" s="160"/>
      <c r="I3096" s="157"/>
      <c r="J3096" s="158"/>
      <c r="L3096" s="94"/>
      <c r="M3096" s="159"/>
      <c r="N3096" s="94"/>
    </row>
    <row r="3097">
      <c r="A3097" s="107">
        <v>203967.0</v>
      </c>
      <c r="B3097" s="108" t="s">
        <v>190</v>
      </c>
      <c r="C3097" s="108" t="s">
        <v>789</v>
      </c>
      <c r="D3097" s="100" t="str">
        <f t="shared" si="1"/>
        <v/>
      </c>
      <c r="E3097" s="100" t="str">
        <f t="shared" si="2"/>
        <v/>
      </c>
      <c r="F3097" s="100" t="str">
        <f t="shared" si="3"/>
        <v/>
      </c>
      <c r="G3097" s="151"/>
      <c r="H3097" s="156"/>
      <c r="I3097" s="157"/>
      <c r="J3097" s="161"/>
      <c r="L3097" s="94"/>
      <c r="M3097" s="159"/>
      <c r="N3097" s="94"/>
    </row>
    <row r="3098">
      <c r="A3098" s="107">
        <v>203967.0</v>
      </c>
      <c r="B3098" s="108" t="s">
        <v>191</v>
      </c>
      <c r="C3098" s="108" t="s">
        <v>789</v>
      </c>
      <c r="D3098" s="100" t="str">
        <f t="shared" si="1"/>
        <v/>
      </c>
      <c r="E3098" s="100" t="str">
        <f t="shared" si="2"/>
        <v/>
      </c>
      <c r="F3098" s="100" t="str">
        <f t="shared" si="3"/>
        <v/>
      </c>
      <c r="G3098" s="151"/>
      <c r="H3098" s="160"/>
      <c r="I3098" s="157"/>
      <c r="J3098" s="158"/>
      <c r="L3098" s="94"/>
      <c r="M3098" s="159"/>
      <c r="N3098" s="94"/>
    </row>
    <row r="3099">
      <c r="A3099" s="107">
        <v>203967.0</v>
      </c>
      <c r="B3099" s="108" t="s">
        <v>192</v>
      </c>
      <c r="C3099" s="108" t="s">
        <v>789</v>
      </c>
      <c r="D3099" s="100" t="str">
        <f t="shared" si="1"/>
        <v/>
      </c>
      <c r="E3099" s="100" t="str">
        <f t="shared" si="2"/>
        <v/>
      </c>
      <c r="F3099" s="100" t="str">
        <f t="shared" si="3"/>
        <v/>
      </c>
      <c r="G3099" s="151"/>
      <c r="H3099" s="156"/>
      <c r="I3099" s="157"/>
      <c r="J3099" s="161"/>
      <c r="L3099" s="94"/>
      <c r="M3099" s="159"/>
      <c r="N3099" s="94"/>
    </row>
    <row r="3100">
      <c r="A3100" s="107">
        <v>203967.0</v>
      </c>
      <c r="B3100" s="108" t="s">
        <v>193</v>
      </c>
      <c r="C3100" s="108" t="s">
        <v>789</v>
      </c>
      <c r="D3100" s="100" t="str">
        <f t="shared" si="1"/>
        <v/>
      </c>
      <c r="E3100" s="100" t="str">
        <f t="shared" si="2"/>
        <v/>
      </c>
      <c r="F3100" s="100" t="str">
        <f t="shared" si="3"/>
        <v/>
      </c>
      <c r="G3100" s="151"/>
      <c r="H3100" s="160"/>
      <c r="I3100" s="157"/>
      <c r="J3100" s="158"/>
      <c r="L3100" s="94"/>
      <c r="M3100" s="159"/>
      <c r="N3100" s="94"/>
    </row>
    <row r="3101">
      <c r="A3101" s="107">
        <v>203967.0</v>
      </c>
      <c r="B3101" s="108" t="s">
        <v>243</v>
      </c>
      <c r="C3101" s="108" t="s">
        <v>789</v>
      </c>
      <c r="D3101" s="100" t="str">
        <f t="shared" si="1"/>
        <v/>
      </c>
      <c r="E3101" s="100" t="str">
        <f t="shared" si="2"/>
        <v/>
      </c>
      <c r="F3101" s="100" t="str">
        <f t="shared" si="3"/>
        <v/>
      </c>
      <c r="G3101" s="151"/>
      <c r="H3101" s="156"/>
      <c r="I3101" s="157"/>
      <c r="J3101" s="161"/>
      <c r="L3101" s="94"/>
      <c r="M3101" s="159"/>
      <c r="N3101" s="94"/>
    </row>
    <row r="3102">
      <c r="A3102" s="107">
        <v>203967.0</v>
      </c>
      <c r="B3102" s="108" t="s">
        <v>244</v>
      </c>
      <c r="C3102" s="108" t="s">
        <v>789</v>
      </c>
      <c r="D3102" s="100" t="str">
        <f t="shared" si="1"/>
        <v/>
      </c>
      <c r="E3102" s="100" t="str">
        <f t="shared" si="2"/>
        <v/>
      </c>
      <c r="F3102" s="100" t="str">
        <f t="shared" si="3"/>
        <v/>
      </c>
      <c r="G3102" s="151"/>
      <c r="H3102" s="160"/>
      <c r="I3102" s="157"/>
      <c r="J3102" s="158"/>
      <c r="L3102" s="94"/>
      <c r="M3102" s="159"/>
      <c r="N3102" s="94"/>
    </row>
    <row r="3103">
      <c r="A3103" s="107">
        <v>203967.0</v>
      </c>
      <c r="B3103" s="108" t="s">
        <v>245</v>
      </c>
      <c r="C3103" s="108" t="s">
        <v>789</v>
      </c>
      <c r="D3103" s="100" t="str">
        <f t="shared" si="1"/>
        <v/>
      </c>
      <c r="E3103" s="100" t="str">
        <f t="shared" si="2"/>
        <v/>
      </c>
      <c r="F3103" s="100" t="str">
        <f t="shared" si="3"/>
        <v/>
      </c>
      <c r="G3103" s="151"/>
      <c r="H3103" s="156"/>
      <c r="I3103" s="157"/>
      <c r="J3103" s="161"/>
      <c r="L3103" s="94"/>
      <c r="M3103" s="159"/>
      <c r="N3103" s="94"/>
    </row>
    <row r="3104">
      <c r="A3104" s="107">
        <v>203967.0</v>
      </c>
      <c r="B3104" s="108" t="s">
        <v>246</v>
      </c>
      <c r="C3104" s="108" t="s">
        <v>789</v>
      </c>
      <c r="D3104" s="100" t="str">
        <f t="shared" si="1"/>
        <v/>
      </c>
      <c r="E3104" s="100" t="str">
        <f t="shared" si="2"/>
        <v/>
      </c>
      <c r="F3104" s="100" t="str">
        <f t="shared" si="3"/>
        <v/>
      </c>
      <c r="G3104" s="151"/>
      <c r="H3104" s="160"/>
      <c r="I3104" s="157"/>
      <c r="J3104" s="158"/>
      <c r="L3104" s="94"/>
      <c r="M3104" s="159"/>
      <c r="N3104" s="94"/>
    </row>
    <row r="3105">
      <c r="A3105" s="149">
        <v>203967.0</v>
      </c>
      <c r="B3105" s="115" t="s">
        <v>247</v>
      </c>
      <c r="C3105" s="108" t="s">
        <v>789</v>
      </c>
      <c r="D3105" s="100" t="str">
        <f t="shared" si="1"/>
        <v/>
      </c>
      <c r="E3105" s="100" t="str">
        <f t="shared" si="2"/>
        <v/>
      </c>
      <c r="F3105" s="100" t="str">
        <f t="shared" si="3"/>
        <v/>
      </c>
      <c r="G3105" s="151"/>
      <c r="H3105" s="156"/>
      <c r="I3105" s="157"/>
      <c r="J3105" s="161"/>
      <c r="L3105" s="94"/>
      <c r="M3105" s="159"/>
      <c r="N3105" s="94"/>
    </row>
    <row r="3106">
      <c r="A3106" s="21">
        <v>203968.0</v>
      </c>
      <c r="B3106" s="164" t="s">
        <v>90</v>
      </c>
      <c r="C3106" s="164" t="s">
        <v>790</v>
      </c>
      <c r="D3106" s="100" t="str">
        <f t="shared" si="1"/>
        <v/>
      </c>
      <c r="E3106" s="100" t="str">
        <f t="shared" si="2"/>
        <v/>
      </c>
      <c r="F3106" s="100" t="str">
        <f t="shared" si="3"/>
        <v/>
      </c>
      <c r="G3106" s="151"/>
      <c r="H3106" s="160"/>
      <c r="I3106" s="157"/>
      <c r="J3106" s="158"/>
      <c r="L3106" s="94"/>
      <c r="M3106" s="159"/>
      <c r="N3106" s="94"/>
    </row>
    <row r="3107">
      <c r="A3107" s="107">
        <v>203991.0</v>
      </c>
      <c r="B3107" s="108" t="s">
        <v>90</v>
      </c>
      <c r="C3107" s="108" t="s">
        <v>791</v>
      </c>
      <c r="D3107" s="100" t="str">
        <f t="shared" si="1"/>
        <v/>
      </c>
      <c r="E3107" s="100" t="str">
        <f t="shared" si="2"/>
        <v/>
      </c>
      <c r="F3107" s="100" t="str">
        <f t="shared" si="3"/>
        <v/>
      </c>
      <c r="G3107" s="151"/>
      <c r="H3107" s="156"/>
      <c r="I3107" s="157"/>
      <c r="J3107" s="161"/>
      <c r="L3107" s="94"/>
      <c r="M3107" s="159"/>
      <c r="N3107" s="94"/>
    </row>
    <row r="3108">
      <c r="A3108" s="107">
        <v>203991.0</v>
      </c>
      <c r="B3108" s="108" t="s">
        <v>92</v>
      </c>
      <c r="C3108" s="108" t="s">
        <v>791</v>
      </c>
      <c r="D3108" s="100" t="str">
        <f t="shared" si="1"/>
        <v/>
      </c>
      <c r="E3108" s="100" t="str">
        <f t="shared" si="2"/>
        <v/>
      </c>
      <c r="F3108" s="100" t="str">
        <f t="shared" si="3"/>
        <v/>
      </c>
      <c r="G3108" s="151"/>
      <c r="H3108" s="160"/>
      <c r="I3108" s="157"/>
      <c r="J3108" s="158"/>
      <c r="L3108" s="94"/>
      <c r="M3108" s="159"/>
      <c r="N3108" s="94"/>
    </row>
    <row r="3109">
      <c r="A3109" s="107">
        <v>203991.0</v>
      </c>
      <c r="B3109" s="108" t="s">
        <v>190</v>
      </c>
      <c r="C3109" s="108" t="s">
        <v>791</v>
      </c>
      <c r="D3109" s="100" t="str">
        <f t="shared" si="1"/>
        <v/>
      </c>
      <c r="E3109" s="100" t="str">
        <f t="shared" si="2"/>
        <v/>
      </c>
      <c r="F3109" s="100" t="str">
        <f t="shared" si="3"/>
        <v/>
      </c>
      <c r="G3109" s="151"/>
      <c r="H3109" s="156"/>
      <c r="I3109" s="157"/>
      <c r="J3109" s="161"/>
      <c r="L3109" s="94"/>
      <c r="M3109" s="159"/>
      <c r="N3109" s="94"/>
    </row>
    <row r="3110">
      <c r="A3110" s="107">
        <v>203991.0</v>
      </c>
      <c r="B3110" s="108" t="s">
        <v>191</v>
      </c>
      <c r="C3110" s="108" t="s">
        <v>791</v>
      </c>
      <c r="D3110" s="100" t="str">
        <f t="shared" si="1"/>
        <v/>
      </c>
      <c r="E3110" s="100" t="str">
        <f t="shared" si="2"/>
        <v/>
      </c>
      <c r="F3110" s="100" t="str">
        <f t="shared" si="3"/>
        <v/>
      </c>
      <c r="G3110" s="151"/>
      <c r="H3110" s="160"/>
      <c r="I3110" s="157"/>
      <c r="J3110" s="158"/>
      <c r="L3110" s="94"/>
      <c r="M3110" s="159"/>
      <c r="N3110" s="94"/>
    </row>
    <row r="3111">
      <c r="A3111" s="107">
        <v>203991.0</v>
      </c>
      <c r="B3111" s="108" t="s">
        <v>192</v>
      </c>
      <c r="C3111" s="108" t="s">
        <v>791</v>
      </c>
      <c r="D3111" s="100" t="str">
        <f t="shared" si="1"/>
        <v/>
      </c>
      <c r="E3111" s="100" t="str">
        <f t="shared" si="2"/>
        <v/>
      </c>
      <c r="F3111" s="100" t="str">
        <f t="shared" si="3"/>
        <v/>
      </c>
      <c r="G3111" s="151"/>
      <c r="H3111" s="156"/>
      <c r="I3111" s="157"/>
      <c r="J3111" s="161"/>
      <c r="L3111" s="94"/>
      <c r="M3111" s="159"/>
      <c r="N3111" s="94"/>
    </row>
    <row r="3112">
      <c r="A3112" s="107">
        <v>203991.0</v>
      </c>
      <c r="B3112" s="108" t="s">
        <v>193</v>
      </c>
      <c r="C3112" s="108" t="s">
        <v>791</v>
      </c>
      <c r="D3112" s="100" t="str">
        <f t="shared" si="1"/>
        <v/>
      </c>
      <c r="E3112" s="100" t="str">
        <f t="shared" si="2"/>
        <v/>
      </c>
      <c r="F3112" s="100" t="str">
        <f t="shared" si="3"/>
        <v/>
      </c>
      <c r="G3112" s="151"/>
      <c r="H3112" s="160"/>
      <c r="I3112" s="157"/>
      <c r="J3112" s="158"/>
      <c r="L3112" s="94"/>
      <c r="M3112" s="159"/>
      <c r="N3112" s="94"/>
    </row>
    <row r="3113">
      <c r="A3113" s="107">
        <v>203991.0</v>
      </c>
      <c r="B3113" s="108" t="s">
        <v>243</v>
      </c>
      <c r="C3113" s="108" t="s">
        <v>791</v>
      </c>
      <c r="D3113" s="100" t="str">
        <f t="shared" si="1"/>
        <v/>
      </c>
      <c r="E3113" s="100" t="str">
        <f t="shared" si="2"/>
        <v/>
      </c>
      <c r="F3113" s="100" t="str">
        <f t="shared" si="3"/>
        <v/>
      </c>
      <c r="G3113" s="151"/>
      <c r="H3113" s="156"/>
      <c r="I3113" s="157"/>
      <c r="J3113" s="161"/>
      <c r="L3113" s="94"/>
      <c r="M3113" s="159"/>
      <c r="N3113" s="94"/>
    </row>
    <row r="3114">
      <c r="A3114" s="107">
        <v>203991.0</v>
      </c>
      <c r="B3114" s="108" t="s">
        <v>215</v>
      </c>
      <c r="C3114" s="108" t="s">
        <v>791</v>
      </c>
      <c r="D3114" s="100" t="str">
        <f t="shared" si="1"/>
        <v/>
      </c>
      <c r="E3114" s="100" t="str">
        <f t="shared" si="2"/>
        <v/>
      </c>
      <c r="F3114" s="100" t="str">
        <f t="shared" si="3"/>
        <v/>
      </c>
      <c r="G3114" s="151"/>
      <c r="H3114" s="160"/>
      <c r="I3114" s="157"/>
      <c r="J3114" s="158"/>
      <c r="L3114" s="94"/>
      <c r="M3114" s="159"/>
      <c r="N3114" s="94"/>
    </row>
    <row r="3115">
      <c r="A3115" s="107">
        <v>203991.0</v>
      </c>
      <c r="B3115" s="108" t="s">
        <v>244</v>
      </c>
      <c r="C3115" s="108" t="s">
        <v>791</v>
      </c>
      <c r="D3115" s="100" t="str">
        <f t="shared" si="1"/>
        <v/>
      </c>
      <c r="E3115" s="100" t="str">
        <f t="shared" si="2"/>
        <v/>
      </c>
      <c r="F3115" s="100" t="str">
        <f t="shared" si="3"/>
        <v/>
      </c>
      <c r="G3115" s="151"/>
      <c r="H3115" s="156"/>
      <c r="I3115" s="157"/>
      <c r="J3115" s="161"/>
      <c r="L3115" s="94"/>
      <c r="M3115" s="159"/>
      <c r="N3115" s="94"/>
    </row>
    <row r="3116">
      <c r="A3116" s="107">
        <v>203991.0</v>
      </c>
      <c r="B3116" s="108" t="s">
        <v>245</v>
      </c>
      <c r="C3116" s="108" t="s">
        <v>791</v>
      </c>
      <c r="D3116" s="100" t="str">
        <f t="shared" si="1"/>
        <v/>
      </c>
      <c r="E3116" s="100" t="str">
        <f t="shared" si="2"/>
        <v/>
      </c>
      <c r="F3116" s="100" t="str">
        <f t="shared" si="3"/>
        <v/>
      </c>
      <c r="G3116" s="151"/>
      <c r="H3116" s="160"/>
      <c r="I3116" s="157"/>
      <c r="J3116" s="158"/>
      <c r="L3116" s="94"/>
      <c r="M3116" s="159"/>
      <c r="N3116" s="94"/>
    </row>
    <row r="3117">
      <c r="A3117" s="107">
        <v>203991.0</v>
      </c>
      <c r="B3117" s="108" t="s">
        <v>246</v>
      </c>
      <c r="C3117" s="108" t="s">
        <v>791</v>
      </c>
      <c r="D3117" s="100" t="str">
        <f t="shared" si="1"/>
        <v/>
      </c>
      <c r="E3117" s="100" t="str">
        <f t="shared" si="2"/>
        <v/>
      </c>
      <c r="F3117" s="100" t="str">
        <f t="shared" si="3"/>
        <v/>
      </c>
      <c r="G3117" s="151"/>
      <c r="H3117" s="156"/>
      <c r="I3117" s="157"/>
      <c r="J3117" s="161"/>
      <c r="L3117" s="94"/>
      <c r="M3117" s="159"/>
      <c r="N3117" s="94"/>
    </row>
    <row r="3118">
      <c r="A3118" s="149">
        <v>203991.0</v>
      </c>
      <c r="B3118" s="115" t="s">
        <v>247</v>
      </c>
      <c r="C3118" s="115" t="s">
        <v>791</v>
      </c>
      <c r="D3118" s="100" t="str">
        <f t="shared" si="1"/>
        <v/>
      </c>
      <c r="E3118" s="100" t="str">
        <f t="shared" si="2"/>
        <v/>
      </c>
      <c r="F3118" s="100" t="str">
        <f t="shared" si="3"/>
        <v/>
      </c>
      <c r="G3118" s="151"/>
      <c r="H3118" s="160"/>
      <c r="I3118" s="157"/>
      <c r="J3118" s="158"/>
      <c r="L3118" s="94"/>
      <c r="M3118" s="159"/>
      <c r="N3118" s="94"/>
    </row>
    <row r="3119">
      <c r="A3119" s="21">
        <v>203992.0</v>
      </c>
      <c r="B3119" s="164" t="s">
        <v>191</v>
      </c>
      <c r="C3119" s="164" t="s">
        <v>792</v>
      </c>
      <c r="D3119" s="100" t="str">
        <f t="shared" si="1"/>
        <v/>
      </c>
      <c r="E3119" s="100" t="str">
        <f t="shared" si="2"/>
        <v/>
      </c>
      <c r="F3119" s="100" t="str">
        <f t="shared" si="3"/>
        <v/>
      </c>
      <c r="G3119" s="151"/>
      <c r="H3119" s="156"/>
      <c r="I3119" s="157"/>
      <c r="J3119" s="161"/>
      <c r="L3119" s="94"/>
      <c r="M3119" s="159"/>
      <c r="N3119" s="94"/>
    </row>
    <row r="3120">
      <c r="A3120" s="107">
        <v>203992.0</v>
      </c>
      <c r="B3120" s="108" t="s">
        <v>192</v>
      </c>
      <c r="C3120" s="108" t="s">
        <v>792</v>
      </c>
      <c r="D3120" s="100" t="str">
        <f t="shared" si="1"/>
        <v/>
      </c>
      <c r="E3120" s="100" t="str">
        <f t="shared" si="2"/>
        <v/>
      </c>
      <c r="F3120" s="100" t="str">
        <f t="shared" si="3"/>
        <v/>
      </c>
      <c r="G3120" s="151"/>
      <c r="H3120" s="160"/>
      <c r="I3120" s="157"/>
      <c r="J3120" s="158"/>
      <c r="L3120" s="94"/>
      <c r="M3120" s="159"/>
      <c r="N3120" s="94"/>
    </row>
    <row r="3121">
      <c r="A3121" s="107">
        <v>203992.0</v>
      </c>
      <c r="B3121" s="108" t="s">
        <v>193</v>
      </c>
      <c r="C3121" s="108" t="s">
        <v>792</v>
      </c>
      <c r="D3121" s="100" t="str">
        <f t="shared" si="1"/>
        <v/>
      </c>
      <c r="E3121" s="100" t="str">
        <f t="shared" si="2"/>
        <v/>
      </c>
      <c r="F3121" s="100" t="str">
        <f t="shared" si="3"/>
        <v/>
      </c>
      <c r="G3121" s="151"/>
      <c r="H3121" s="156"/>
      <c r="I3121" s="157"/>
      <c r="J3121" s="161"/>
      <c r="L3121" s="94"/>
      <c r="M3121" s="159"/>
      <c r="N3121" s="94"/>
    </row>
    <row r="3122">
      <c r="A3122" s="107">
        <v>203992.0</v>
      </c>
      <c r="B3122" s="108" t="s">
        <v>243</v>
      </c>
      <c r="C3122" s="108" t="s">
        <v>792</v>
      </c>
      <c r="D3122" s="100" t="str">
        <f t="shared" si="1"/>
        <v/>
      </c>
      <c r="E3122" s="100" t="str">
        <f t="shared" si="2"/>
        <v/>
      </c>
      <c r="F3122" s="100" t="str">
        <f t="shared" si="3"/>
        <v/>
      </c>
      <c r="G3122" s="151"/>
      <c r="H3122" s="160"/>
      <c r="I3122" s="157"/>
      <c r="J3122" s="158"/>
      <c r="L3122" s="94"/>
      <c r="M3122" s="159"/>
      <c r="N3122" s="94"/>
    </row>
    <row r="3123">
      <c r="A3123" s="107">
        <v>203992.0</v>
      </c>
      <c r="B3123" s="108" t="s">
        <v>215</v>
      </c>
      <c r="C3123" s="108" t="s">
        <v>792</v>
      </c>
      <c r="D3123" s="100" t="str">
        <f t="shared" si="1"/>
        <v/>
      </c>
      <c r="E3123" s="100" t="str">
        <f t="shared" si="2"/>
        <v/>
      </c>
      <c r="F3123" s="100" t="str">
        <f t="shared" si="3"/>
        <v/>
      </c>
      <c r="G3123" s="151"/>
      <c r="H3123" s="156"/>
      <c r="I3123" s="157"/>
      <c r="J3123" s="161"/>
      <c r="L3123" s="94"/>
      <c r="M3123" s="159"/>
      <c r="N3123" s="94"/>
    </row>
    <row r="3124">
      <c r="A3124" s="107">
        <v>203992.0</v>
      </c>
      <c r="B3124" s="108" t="s">
        <v>244</v>
      </c>
      <c r="C3124" s="108" t="s">
        <v>792</v>
      </c>
      <c r="D3124" s="100" t="str">
        <f t="shared" si="1"/>
        <v/>
      </c>
      <c r="E3124" s="100" t="str">
        <f t="shared" si="2"/>
        <v/>
      </c>
      <c r="F3124" s="100" t="str">
        <f t="shared" si="3"/>
        <v/>
      </c>
      <c r="G3124" s="151"/>
      <c r="H3124" s="160"/>
      <c r="I3124" s="157"/>
      <c r="J3124" s="158"/>
      <c r="L3124" s="94"/>
      <c r="M3124" s="159"/>
      <c r="N3124" s="94"/>
    </row>
    <row r="3125">
      <c r="A3125" s="107">
        <v>203992.0</v>
      </c>
      <c r="B3125" s="108" t="s">
        <v>245</v>
      </c>
      <c r="C3125" s="108" t="s">
        <v>792</v>
      </c>
      <c r="D3125" s="100" t="str">
        <f t="shared" si="1"/>
        <v/>
      </c>
      <c r="E3125" s="100" t="str">
        <f t="shared" si="2"/>
        <v/>
      </c>
      <c r="F3125" s="100" t="str">
        <f t="shared" si="3"/>
        <v/>
      </c>
      <c r="G3125" s="151"/>
      <c r="H3125" s="156"/>
      <c r="I3125" s="157"/>
      <c r="J3125" s="161"/>
      <c r="L3125" s="94"/>
      <c r="M3125" s="159"/>
      <c r="N3125" s="94"/>
    </row>
    <row r="3126">
      <c r="A3126" s="107">
        <v>203992.0</v>
      </c>
      <c r="B3126" s="108" t="s">
        <v>246</v>
      </c>
      <c r="C3126" s="108" t="s">
        <v>792</v>
      </c>
      <c r="D3126" s="100" t="str">
        <f t="shared" si="1"/>
        <v/>
      </c>
      <c r="E3126" s="100" t="str">
        <f t="shared" si="2"/>
        <v/>
      </c>
      <c r="F3126" s="100" t="str">
        <f t="shared" si="3"/>
        <v/>
      </c>
      <c r="G3126" s="151"/>
      <c r="H3126" s="160"/>
      <c r="I3126" s="157"/>
      <c r="J3126" s="158"/>
      <c r="L3126" s="94"/>
      <c r="M3126" s="159"/>
      <c r="N3126" s="94"/>
    </row>
    <row r="3127">
      <c r="A3127" s="149">
        <v>203992.0</v>
      </c>
      <c r="B3127" s="115" t="s">
        <v>247</v>
      </c>
      <c r="C3127" s="108" t="s">
        <v>792</v>
      </c>
      <c r="D3127" s="100" t="str">
        <f t="shared" si="1"/>
        <v/>
      </c>
      <c r="E3127" s="100" t="str">
        <f t="shared" si="2"/>
        <v/>
      </c>
      <c r="F3127" s="100" t="str">
        <f t="shared" si="3"/>
        <v/>
      </c>
      <c r="G3127" s="151"/>
      <c r="H3127" s="156"/>
      <c r="I3127" s="157"/>
      <c r="J3127" s="161"/>
      <c r="L3127" s="94"/>
      <c r="M3127" s="159"/>
      <c r="N3127" s="94"/>
    </row>
    <row r="3128">
      <c r="A3128" s="21">
        <v>203994.0</v>
      </c>
      <c r="B3128" s="164" t="s">
        <v>90</v>
      </c>
      <c r="C3128" s="164" t="s">
        <v>793</v>
      </c>
      <c r="D3128" s="100" t="str">
        <f t="shared" si="1"/>
        <v/>
      </c>
      <c r="E3128" s="100" t="str">
        <f t="shared" si="2"/>
        <v/>
      </c>
      <c r="F3128" s="100" t="str">
        <f t="shared" si="3"/>
        <v/>
      </c>
      <c r="G3128" s="151"/>
      <c r="H3128" s="160"/>
      <c r="I3128" s="157"/>
      <c r="J3128" s="158"/>
      <c r="L3128" s="94"/>
      <c r="M3128" s="159"/>
      <c r="N3128" s="94"/>
    </row>
    <row r="3129">
      <c r="A3129" s="107">
        <v>203994.0</v>
      </c>
      <c r="B3129" s="108" t="s">
        <v>92</v>
      </c>
      <c r="C3129" s="108" t="s">
        <v>793</v>
      </c>
      <c r="D3129" s="100" t="str">
        <f t="shared" si="1"/>
        <v/>
      </c>
      <c r="E3129" s="100" t="str">
        <f t="shared" si="2"/>
        <v/>
      </c>
      <c r="F3129" s="100" t="str">
        <f t="shared" si="3"/>
        <v/>
      </c>
      <c r="G3129" s="151"/>
      <c r="H3129" s="156"/>
      <c r="I3129" s="157"/>
      <c r="J3129" s="161"/>
      <c r="L3129" s="94"/>
      <c r="M3129" s="159"/>
      <c r="N3129" s="94"/>
    </row>
    <row r="3130">
      <c r="A3130" s="107">
        <v>203994.0</v>
      </c>
      <c r="B3130" s="108" t="s">
        <v>190</v>
      </c>
      <c r="C3130" s="108" t="s">
        <v>793</v>
      </c>
      <c r="D3130" s="100" t="str">
        <f t="shared" si="1"/>
        <v/>
      </c>
      <c r="E3130" s="100" t="str">
        <f t="shared" si="2"/>
        <v/>
      </c>
      <c r="F3130" s="100" t="str">
        <f t="shared" si="3"/>
        <v/>
      </c>
      <c r="G3130" s="151"/>
      <c r="H3130" s="160"/>
      <c r="I3130" s="157"/>
      <c r="J3130" s="158"/>
      <c r="L3130" s="94"/>
      <c r="M3130" s="159"/>
      <c r="N3130" s="94"/>
    </row>
    <row r="3131">
      <c r="A3131" s="107">
        <v>203994.0</v>
      </c>
      <c r="B3131" s="108" t="s">
        <v>191</v>
      </c>
      <c r="C3131" s="108" t="s">
        <v>793</v>
      </c>
      <c r="D3131" s="100" t="str">
        <f t="shared" si="1"/>
        <v/>
      </c>
      <c r="E3131" s="100" t="str">
        <f t="shared" si="2"/>
        <v/>
      </c>
      <c r="F3131" s="100" t="str">
        <f t="shared" si="3"/>
        <v/>
      </c>
      <c r="G3131" s="151"/>
      <c r="H3131" s="156"/>
      <c r="I3131" s="157"/>
      <c r="J3131" s="161"/>
      <c r="L3131" s="94"/>
      <c r="M3131" s="159"/>
      <c r="N3131" s="94"/>
    </row>
    <row r="3132">
      <c r="A3132" s="107">
        <v>203994.0</v>
      </c>
      <c r="B3132" s="108" t="s">
        <v>192</v>
      </c>
      <c r="C3132" s="108" t="s">
        <v>793</v>
      </c>
      <c r="D3132" s="100" t="str">
        <f t="shared" si="1"/>
        <v/>
      </c>
      <c r="E3132" s="100" t="str">
        <f t="shared" si="2"/>
        <v/>
      </c>
      <c r="F3132" s="100" t="str">
        <f t="shared" si="3"/>
        <v/>
      </c>
      <c r="G3132" s="151"/>
      <c r="H3132" s="160"/>
      <c r="I3132" s="157"/>
      <c r="J3132" s="158"/>
      <c r="L3132" s="94"/>
      <c r="M3132" s="159"/>
      <c r="N3132" s="94"/>
    </row>
    <row r="3133">
      <c r="A3133" s="107">
        <v>203994.0</v>
      </c>
      <c r="B3133" s="108" t="s">
        <v>193</v>
      </c>
      <c r="C3133" s="108" t="s">
        <v>793</v>
      </c>
      <c r="D3133" s="100" t="str">
        <f t="shared" si="1"/>
        <v/>
      </c>
      <c r="E3133" s="100" t="str">
        <f t="shared" si="2"/>
        <v/>
      </c>
      <c r="F3133" s="100" t="str">
        <f t="shared" si="3"/>
        <v/>
      </c>
      <c r="G3133" s="151"/>
      <c r="H3133" s="156"/>
      <c r="I3133" s="157"/>
      <c r="J3133" s="161"/>
      <c r="L3133" s="94"/>
      <c r="M3133" s="159"/>
      <c r="N3133" s="94"/>
    </row>
    <row r="3134">
      <c r="A3134" s="107">
        <v>203994.0</v>
      </c>
      <c r="B3134" s="108" t="s">
        <v>243</v>
      </c>
      <c r="C3134" s="108" t="s">
        <v>793</v>
      </c>
      <c r="D3134" s="100" t="str">
        <f t="shared" si="1"/>
        <v/>
      </c>
      <c r="E3134" s="100" t="str">
        <f t="shared" si="2"/>
        <v/>
      </c>
      <c r="F3134" s="100" t="str">
        <f t="shared" si="3"/>
        <v/>
      </c>
      <c r="G3134" s="151"/>
      <c r="H3134" s="160"/>
      <c r="I3134" s="157"/>
      <c r="J3134" s="158"/>
      <c r="L3134" s="94"/>
      <c r="M3134" s="159"/>
      <c r="N3134" s="94"/>
    </row>
    <row r="3135">
      <c r="A3135" s="107">
        <v>203994.0</v>
      </c>
      <c r="B3135" s="108" t="s">
        <v>215</v>
      </c>
      <c r="C3135" s="108" t="s">
        <v>793</v>
      </c>
      <c r="D3135" s="100" t="str">
        <f t="shared" si="1"/>
        <v/>
      </c>
      <c r="E3135" s="100" t="str">
        <f t="shared" si="2"/>
        <v/>
      </c>
      <c r="F3135" s="100" t="str">
        <f t="shared" si="3"/>
        <v/>
      </c>
      <c r="G3135" s="151"/>
      <c r="H3135" s="156"/>
      <c r="I3135" s="157"/>
      <c r="J3135" s="161"/>
      <c r="L3135" s="94"/>
      <c r="M3135" s="159"/>
      <c r="N3135" s="94"/>
    </row>
    <row r="3136">
      <c r="A3136" s="107">
        <v>203994.0</v>
      </c>
      <c r="B3136" s="108" t="s">
        <v>244</v>
      </c>
      <c r="C3136" s="108" t="s">
        <v>793</v>
      </c>
      <c r="D3136" s="100" t="str">
        <f t="shared" si="1"/>
        <v/>
      </c>
      <c r="E3136" s="100" t="str">
        <f t="shared" si="2"/>
        <v/>
      </c>
      <c r="F3136" s="100" t="str">
        <f t="shared" si="3"/>
        <v/>
      </c>
      <c r="G3136" s="151"/>
      <c r="H3136" s="160"/>
      <c r="I3136" s="157"/>
      <c r="J3136" s="158"/>
      <c r="L3136" s="94"/>
      <c r="M3136" s="159"/>
      <c r="N3136" s="94"/>
    </row>
    <row r="3137">
      <c r="A3137" s="107">
        <v>203994.0</v>
      </c>
      <c r="B3137" s="108" t="s">
        <v>245</v>
      </c>
      <c r="C3137" s="108" t="s">
        <v>793</v>
      </c>
      <c r="D3137" s="100" t="str">
        <f t="shared" si="1"/>
        <v/>
      </c>
      <c r="E3137" s="100" t="str">
        <f t="shared" si="2"/>
        <v/>
      </c>
      <c r="F3137" s="100" t="str">
        <f t="shared" si="3"/>
        <v/>
      </c>
      <c r="G3137" s="151"/>
      <c r="H3137" s="156"/>
      <c r="I3137" s="157"/>
      <c r="J3137" s="161"/>
      <c r="L3137" s="94"/>
      <c r="M3137" s="159"/>
      <c r="N3137" s="94"/>
    </row>
    <row r="3138">
      <c r="A3138" s="107">
        <v>203994.0</v>
      </c>
      <c r="B3138" s="108" t="s">
        <v>246</v>
      </c>
      <c r="C3138" s="108" t="s">
        <v>793</v>
      </c>
      <c r="D3138" s="100" t="str">
        <f t="shared" si="1"/>
        <v/>
      </c>
      <c r="E3138" s="100" t="str">
        <f t="shared" si="2"/>
        <v/>
      </c>
      <c r="F3138" s="100" t="str">
        <f t="shared" si="3"/>
        <v/>
      </c>
      <c r="G3138" s="151"/>
      <c r="H3138" s="160"/>
      <c r="I3138" s="157"/>
      <c r="J3138" s="158"/>
      <c r="L3138" s="94"/>
      <c r="M3138" s="159"/>
      <c r="N3138" s="94"/>
    </row>
    <row r="3139">
      <c r="A3139" s="149">
        <v>203994.0</v>
      </c>
      <c r="B3139" s="115" t="s">
        <v>247</v>
      </c>
      <c r="C3139" s="108" t="s">
        <v>793</v>
      </c>
      <c r="D3139" s="100" t="str">
        <f t="shared" si="1"/>
        <v/>
      </c>
      <c r="E3139" s="100" t="str">
        <f t="shared" si="2"/>
        <v/>
      </c>
      <c r="F3139" s="100" t="str">
        <f t="shared" si="3"/>
        <v/>
      </c>
      <c r="G3139" s="151"/>
      <c r="H3139" s="156"/>
      <c r="I3139" s="157"/>
      <c r="J3139" s="161"/>
      <c r="L3139" s="94"/>
      <c r="M3139" s="159"/>
      <c r="N3139" s="94"/>
    </row>
    <row r="3140">
      <c r="A3140" s="21">
        <v>203995.0</v>
      </c>
      <c r="B3140" s="164" t="s">
        <v>245</v>
      </c>
      <c r="C3140" s="164" t="s">
        <v>794</v>
      </c>
      <c r="D3140" s="100" t="str">
        <f t="shared" si="1"/>
        <v/>
      </c>
      <c r="E3140" s="100" t="str">
        <f t="shared" si="2"/>
        <v/>
      </c>
      <c r="F3140" s="100" t="str">
        <f t="shared" si="3"/>
        <v/>
      </c>
      <c r="G3140" s="151"/>
      <c r="H3140" s="160"/>
      <c r="I3140" s="157"/>
      <c r="J3140" s="158"/>
      <c r="L3140" s="94"/>
      <c r="M3140" s="159"/>
      <c r="N3140" s="94"/>
    </row>
    <row r="3141">
      <c r="A3141" s="107">
        <v>203995.0</v>
      </c>
      <c r="B3141" s="108" t="s">
        <v>246</v>
      </c>
      <c r="C3141" s="108" t="s">
        <v>794</v>
      </c>
      <c r="D3141" s="100" t="str">
        <f t="shared" si="1"/>
        <v/>
      </c>
      <c r="E3141" s="100" t="str">
        <f t="shared" si="2"/>
        <v/>
      </c>
      <c r="F3141" s="100" t="str">
        <f t="shared" si="3"/>
        <v/>
      </c>
      <c r="G3141" s="151"/>
      <c r="H3141" s="156"/>
      <c r="I3141" s="157"/>
      <c r="J3141" s="161"/>
      <c r="L3141" s="94"/>
      <c r="M3141" s="159"/>
      <c r="N3141" s="94"/>
    </row>
    <row r="3142">
      <c r="A3142" s="107">
        <v>203996.0</v>
      </c>
      <c r="B3142" s="108" t="s">
        <v>92</v>
      </c>
      <c r="C3142" s="108" t="s">
        <v>795</v>
      </c>
      <c r="D3142" s="100" t="str">
        <f t="shared" si="1"/>
        <v/>
      </c>
      <c r="E3142" s="100" t="str">
        <f t="shared" si="2"/>
        <v/>
      </c>
      <c r="F3142" s="100" t="str">
        <f t="shared" si="3"/>
        <v/>
      </c>
      <c r="G3142" s="151"/>
      <c r="H3142" s="160"/>
      <c r="I3142" s="157"/>
      <c r="J3142" s="158"/>
      <c r="L3142" s="94"/>
      <c r="M3142" s="159"/>
      <c r="N3142" s="94"/>
    </row>
    <row r="3143">
      <c r="A3143" s="107">
        <v>203998.0</v>
      </c>
      <c r="B3143" s="108" t="s">
        <v>90</v>
      </c>
      <c r="C3143" s="108" t="s">
        <v>796</v>
      </c>
      <c r="D3143" s="100" t="str">
        <f t="shared" si="1"/>
        <v/>
      </c>
      <c r="E3143" s="100" t="str">
        <f t="shared" si="2"/>
        <v/>
      </c>
      <c r="F3143" s="100" t="str">
        <f t="shared" si="3"/>
        <v/>
      </c>
      <c r="G3143" s="151"/>
      <c r="H3143" s="156"/>
      <c r="I3143" s="157"/>
      <c r="J3143" s="161"/>
      <c r="L3143" s="94"/>
      <c r="M3143" s="159"/>
      <c r="N3143" s="94"/>
    </row>
    <row r="3144">
      <c r="A3144" s="107">
        <v>203998.0</v>
      </c>
      <c r="B3144" s="108" t="s">
        <v>92</v>
      </c>
      <c r="C3144" s="108" t="s">
        <v>796</v>
      </c>
      <c r="D3144" s="100" t="str">
        <f t="shared" si="1"/>
        <v/>
      </c>
      <c r="E3144" s="100" t="str">
        <f t="shared" si="2"/>
        <v/>
      </c>
      <c r="F3144" s="100" t="str">
        <f t="shared" si="3"/>
        <v/>
      </c>
      <c r="G3144" s="151"/>
      <c r="H3144" s="160"/>
      <c r="I3144" s="157"/>
      <c r="J3144" s="158"/>
      <c r="L3144" s="94"/>
      <c r="M3144" s="159"/>
      <c r="N3144" s="94"/>
    </row>
    <row r="3145">
      <c r="A3145" s="107">
        <v>203998.0</v>
      </c>
      <c r="B3145" s="108" t="s">
        <v>190</v>
      </c>
      <c r="C3145" s="108" t="s">
        <v>796</v>
      </c>
      <c r="D3145" s="100" t="str">
        <f t="shared" si="1"/>
        <v/>
      </c>
      <c r="E3145" s="100" t="str">
        <f t="shared" si="2"/>
        <v/>
      </c>
      <c r="F3145" s="100" t="str">
        <f t="shared" si="3"/>
        <v/>
      </c>
      <c r="G3145" s="151"/>
      <c r="H3145" s="156"/>
      <c r="I3145" s="157"/>
      <c r="J3145" s="161"/>
      <c r="L3145" s="94"/>
      <c r="M3145" s="159"/>
      <c r="N3145" s="94"/>
    </row>
    <row r="3146">
      <c r="A3146" s="107">
        <v>203998.0</v>
      </c>
      <c r="B3146" s="108" t="s">
        <v>191</v>
      </c>
      <c r="C3146" s="108" t="s">
        <v>796</v>
      </c>
      <c r="D3146" s="100" t="str">
        <f t="shared" si="1"/>
        <v/>
      </c>
      <c r="E3146" s="100" t="str">
        <f t="shared" si="2"/>
        <v/>
      </c>
      <c r="F3146" s="100" t="str">
        <f t="shared" si="3"/>
        <v/>
      </c>
      <c r="G3146" s="151"/>
      <c r="H3146" s="160"/>
      <c r="I3146" s="157"/>
      <c r="J3146" s="158"/>
      <c r="L3146" s="94"/>
      <c r="M3146" s="159"/>
      <c r="N3146" s="94"/>
    </row>
    <row r="3147">
      <c r="A3147" s="107">
        <v>203998.0</v>
      </c>
      <c r="B3147" s="108" t="s">
        <v>192</v>
      </c>
      <c r="C3147" s="108" t="s">
        <v>796</v>
      </c>
      <c r="D3147" s="100" t="str">
        <f t="shared" si="1"/>
        <v/>
      </c>
      <c r="E3147" s="100" t="str">
        <f t="shared" si="2"/>
        <v/>
      </c>
      <c r="F3147" s="100" t="str">
        <f t="shared" si="3"/>
        <v/>
      </c>
      <c r="G3147" s="151"/>
      <c r="H3147" s="156"/>
      <c r="I3147" s="157"/>
      <c r="J3147" s="161"/>
      <c r="L3147" s="94"/>
      <c r="M3147" s="159"/>
      <c r="N3147" s="94"/>
    </row>
    <row r="3148">
      <c r="A3148" s="107">
        <v>203998.0</v>
      </c>
      <c r="B3148" s="108" t="s">
        <v>193</v>
      </c>
      <c r="C3148" s="108" t="s">
        <v>796</v>
      </c>
      <c r="D3148" s="100" t="str">
        <f t="shared" si="1"/>
        <v/>
      </c>
      <c r="E3148" s="100" t="str">
        <f t="shared" si="2"/>
        <v/>
      </c>
      <c r="F3148" s="100" t="str">
        <f t="shared" si="3"/>
        <v/>
      </c>
      <c r="G3148" s="151"/>
      <c r="H3148" s="160"/>
      <c r="I3148" s="157"/>
      <c r="J3148" s="158"/>
      <c r="L3148" s="94"/>
      <c r="M3148" s="159"/>
      <c r="N3148" s="94"/>
    </row>
    <row r="3149">
      <c r="A3149" s="107">
        <v>203998.0</v>
      </c>
      <c r="B3149" s="108" t="s">
        <v>243</v>
      </c>
      <c r="C3149" s="108" t="s">
        <v>796</v>
      </c>
      <c r="D3149" s="100" t="str">
        <f t="shared" si="1"/>
        <v/>
      </c>
      <c r="E3149" s="100" t="str">
        <f t="shared" si="2"/>
        <v/>
      </c>
      <c r="F3149" s="100" t="str">
        <f t="shared" si="3"/>
        <v/>
      </c>
      <c r="G3149" s="151"/>
      <c r="H3149" s="156"/>
      <c r="I3149" s="157"/>
      <c r="J3149" s="161"/>
      <c r="L3149" s="94"/>
      <c r="M3149" s="159"/>
      <c r="N3149" s="94"/>
    </row>
    <row r="3150">
      <c r="A3150" s="107">
        <v>203999.0</v>
      </c>
      <c r="B3150" s="108" t="s">
        <v>92</v>
      </c>
      <c r="C3150" s="108" t="s">
        <v>797</v>
      </c>
      <c r="D3150" s="100" t="str">
        <f t="shared" si="1"/>
        <v/>
      </c>
      <c r="E3150" s="100" t="str">
        <f t="shared" si="2"/>
        <v/>
      </c>
      <c r="F3150" s="100" t="str">
        <f t="shared" si="3"/>
        <v/>
      </c>
      <c r="G3150" s="151"/>
      <c r="H3150" s="160"/>
      <c r="I3150" s="157"/>
      <c r="J3150" s="158"/>
      <c r="L3150" s="94"/>
      <c r="M3150" s="159"/>
      <c r="N3150" s="94"/>
    </row>
    <row r="3151">
      <c r="A3151" s="107">
        <v>203999.0</v>
      </c>
      <c r="B3151" s="108" t="s">
        <v>190</v>
      </c>
      <c r="C3151" s="108" t="s">
        <v>797</v>
      </c>
      <c r="D3151" s="100" t="str">
        <f t="shared" si="1"/>
        <v/>
      </c>
      <c r="E3151" s="100" t="str">
        <f t="shared" si="2"/>
        <v/>
      </c>
      <c r="F3151" s="100" t="str">
        <f t="shared" si="3"/>
        <v/>
      </c>
      <c r="G3151" s="151"/>
      <c r="H3151" s="156"/>
      <c r="I3151" s="157"/>
      <c r="J3151" s="161"/>
      <c r="L3151" s="94"/>
      <c r="M3151" s="159"/>
      <c r="N3151" s="94"/>
    </row>
    <row r="3152">
      <c r="A3152" s="107">
        <v>203999.0</v>
      </c>
      <c r="B3152" s="108" t="s">
        <v>191</v>
      </c>
      <c r="C3152" s="108" t="s">
        <v>797</v>
      </c>
      <c r="D3152" s="100" t="str">
        <f t="shared" si="1"/>
        <v/>
      </c>
      <c r="E3152" s="100" t="str">
        <f t="shared" si="2"/>
        <v/>
      </c>
      <c r="F3152" s="100" t="str">
        <f t="shared" si="3"/>
        <v/>
      </c>
      <c r="G3152" s="151"/>
      <c r="H3152" s="160"/>
      <c r="I3152" s="157"/>
      <c r="J3152" s="158"/>
      <c r="L3152" s="94"/>
      <c r="M3152" s="159"/>
      <c r="N3152" s="94"/>
    </row>
    <row r="3153">
      <c r="A3153" s="107">
        <v>203999.0</v>
      </c>
      <c r="B3153" s="108" t="s">
        <v>192</v>
      </c>
      <c r="C3153" s="108" t="s">
        <v>797</v>
      </c>
      <c r="D3153" s="100" t="str">
        <f t="shared" si="1"/>
        <v/>
      </c>
      <c r="E3153" s="100" t="str">
        <f t="shared" si="2"/>
        <v/>
      </c>
      <c r="F3153" s="100" t="str">
        <f t="shared" si="3"/>
        <v/>
      </c>
      <c r="G3153" s="151"/>
      <c r="H3153" s="156"/>
      <c r="I3153" s="157"/>
      <c r="J3153" s="161"/>
      <c r="L3153" s="94"/>
      <c r="M3153" s="159"/>
      <c r="N3153" s="94"/>
    </row>
    <row r="3154">
      <c r="A3154" s="107">
        <v>203999.0</v>
      </c>
      <c r="B3154" s="108" t="s">
        <v>193</v>
      </c>
      <c r="C3154" s="108" t="s">
        <v>797</v>
      </c>
      <c r="D3154" s="100" t="str">
        <f t="shared" si="1"/>
        <v/>
      </c>
      <c r="E3154" s="100" t="str">
        <f t="shared" si="2"/>
        <v/>
      </c>
      <c r="F3154" s="100" t="str">
        <f t="shared" si="3"/>
        <v/>
      </c>
      <c r="G3154" s="151"/>
      <c r="H3154" s="160"/>
      <c r="I3154" s="157"/>
      <c r="J3154" s="158"/>
      <c r="L3154" s="94"/>
      <c r="M3154" s="159"/>
      <c r="N3154" s="94"/>
    </row>
    <row r="3155">
      <c r="A3155" s="107">
        <v>203999.0</v>
      </c>
      <c r="B3155" s="108" t="s">
        <v>243</v>
      </c>
      <c r="C3155" s="108" t="s">
        <v>797</v>
      </c>
      <c r="D3155" s="100" t="str">
        <f t="shared" si="1"/>
        <v/>
      </c>
      <c r="E3155" s="100" t="str">
        <f t="shared" si="2"/>
        <v/>
      </c>
      <c r="F3155" s="100" t="str">
        <f t="shared" si="3"/>
        <v/>
      </c>
      <c r="G3155" s="151"/>
      <c r="H3155" s="156"/>
      <c r="I3155" s="157"/>
      <c r="J3155" s="161"/>
      <c r="L3155" s="94"/>
      <c r="M3155" s="159"/>
      <c r="N3155" s="94"/>
    </row>
    <row r="3156">
      <c r="A3156" s="107">
        <v>203999.0</v>
      </c>
      <c r="B3156" s="108" t="s">
        <v>215</v>
      </c>
      <c r="C3156" s="108" t="s">
        <v>797</v>
      </c>
      <c r="D3156" s="100" t="str">
        <f t="shared" si="1"/>
        <v/>
      </c>
      <c r="E3156" s="100" t="str">
        <f t="shared" si="2"/>
        <v/>
      </c>
      <c r="F3156" s="100" t="str">
        <f t="shared" si="3"/>
        <v/>
      </c>
      <c r="G3156" s="151"/>
      <c r="H3156" s="160"/>
      <c r="I3156" s="157"/>
      <c r="J3156" s="158"/>
      <c r="L3156" s="94"/>
      <c r="M3156" s="159"/>
      <c r="N3156" s="94"/>
    </row>
    <row r="3157">
      <c r="A3157" s="107">
        <v>203999.0</v>
      </c>
      <c r="B3157" s="108" t="s">
        <v>244</v>
      </c>
      <c r="C3157" s="108" t="s">
        <v>797</v>
      </c>
      <c r="D3157" s="100" t="str">
        <f t="shared" si="1"/>
        <v/>
      </c>
      <c r="E3157" s="100" t="str">
        <f t="shared" si="2"/>
        <v/>
      </c>
      <c r="F3157" s="100" t="str">
        <f t="shared" si="3"/>
        <v/>
      </c>
      <c r="G3157" s="151"/>
      <c r="H3157" s="156"/>
      <c r="I3157" s="157"/>
      <c r="J3157" s="161"/>
      <c r="L3157" s="94"/>
      <c r="M3157" s="159"/>
      <c r="N3157" s="94"/>
    </row>
    <row r="3158">
      <c r="A3158" s="107">
        <v>203999.0</v>
      </c>
      <c r="B3158" s="108" t="s">
        <v>245</v>
      </c>
      <c r="C3158" s="108" t="s">
        <v>797</v>
      </c>
      <c r="D3158" s="100" t="str">
        <f t="shared" si="1"/>
        <v/>
      </c>
      <c r="E3158" s="100" t="str">
        <f t="shared" si="2"/>
        <v/>
      </c>
      <c r="F3158" s="100" t="str">
        <f t="shared" si="3"/>
        <v/>
      </c>
      <c r="G3158" s="151"/>
      <c r="H3158" s="160"/>
      <c r="I3158" s="157"/>
      <c r="J3158" s="158"/>
      <c r="L3158" s="94"/>
      <c r="M3158" s="159"/>
      <c r="N3158" s="94"/>
    </row>
    <row r="3159">
      <c r="A3159" s="107">
        <v>203999.0</v>
      </c>
      <c r="B3159" s="108" t="s">
        <v>246</v>
      </c>
      <c r="C3159" s="108" t="s">
        <v>797</v>
      </c>
      <c r="D3159" s="100" t="str">
        <f t="shared" si="1"/>
        <v/>
      </c>
      <c r="E3159" s="100" t="str">
        <f t="shared" si="2"/>
        <v/>
      </c>
      <c r="F3159" s="100" t="str">
        <f t="shared" si="3"/>
        <v/>
      </c>
      <c r="G3159" s="151"/>
      <c r="H3159" s="156"/>
      <c r="I3159" s="157"/>
      <c r="J3159" s="161"/>
      <c r="L3159" s="94"/>
      <c r="M3159" s="159"/>
      <c r="N3159" s="94"/>
    </row>
    <row r="3160">
      <c r="A3160" s="149">
        <v>203999.0</v>
      </c>
      <c r="B3160" s="115" t="s">
        <v>247</v>
      </c>
      <c r="C3160" s="108" t="s">
        <v>797</v>
      </c>
      <c r="D3160" s="100" t="str">
        <f t="shared" si="1"/>
        <v/>
      </c>
      <c r="E3160" s="100" t="str">
        <f t="shared" si="2"/>
        <v/>
      </c>
      <c r="F3160" s="100" t="str">
        <f t="shared" si="3"/>
        <v/>
      </c>
      <c r="G3160" s="151"/>
      <c r="H3160" s="160"/>
      <c r="I3160" s="157"/>
      <c r="J3160" s="158"/>
      <c r="L3160" s="94"/>
      <c r="M3160" s="159"/>
      <c r="N3160" s="94"/>
    </row>
    <row r="3161">
      <c r="A3161" s="21">
        <v>204001.0</v>
      </c>
      <c r="B3161" s="164" t="s">
        <v>92</v>
      </c>
      <c r="C3161" s="164" t="s">
        <v>798</v>
      </c>
      <c r="D3161" s="100" t="str">
        <f t="shared" si="1"/>
        <v/>
      </c>
      <c r="E3161" s="100" t="str">
        <f t="shared" si="2"/>
        <v/>
      </c>
      <c r="F3161" s="100" t="str">
        <f t="shared" si="3"/>
        <v/>
      </c>
      <c r="G3161" s="151"/>
      <c r="H3161" s="156"/>
      <c r="I3161" s="157"/>
      <c r="J3161" s="161"/>
      <c r="L3161" s="94"/>
      <c r="M3161" s="159"/>
      <c r="N3161" s="94"/>
    </row>
    <row r="3162">
      <c r="A3162" s="107">
        <v>204001.0</v>
      </c>
      <c r="B3162" s="108" t="s">
        <v>190</v>
      </c>
      <c r="C3162" s="108" t="s">
        <v>798</v>
      </c>
      <c r="D3162" s="100" t="str">
        <f t="shared" si="1"/>
        <v/>
      </c>
      <c r="E3162" s="100" t="str">
        <f t="shared" si="2"/>
        <v/>
      </c>
      <c r="F3162" s="100" t="str">
        <f t="shared" si="3"/>
        <v/>
      </c>
      <c r="G3162" s="151"/>
      <c r="H3162" s="160"/>
      <c r="I3162" s="157"/>
      <c r="J3162" s="158"/>
      <c r="L3162" s="94"/>
      <c r="M3162" s="159"/>
      <c r="N3162" s="94"/>
    </row>
    <row r="3163">
      <c r="A3163" s="107">
        <v>204001.0</v>
      </c>
      <c r="B3163" s="108" t="s">
        <v>191</v>
      </c>
      <c r="C3163" s="108" t="s">
        <v>798</v>
      </c>
      <c r="D3163" s="100" t="str">
        <f t="shared" si="1"/>
        <v/>
      </c>
      <c r="E3163" s="100" t="str">
        <f t="shared" si="2"/>
        <v/>
      </c>
      <c r="F3163" s="100" t="str">
        <f t="shared" si="3"/>
        <v/>
      </c>
      <c r="G3163" s="151"/>
      <c r="H3163" s="156"/>
      <c r="I3163" s="157"/>
      <c r="J3163" s="161"/>
      <c r="L3163" s="94"/>
      <c r="M3163" s="159"/>
      <c r="N3163" s="94"/>
    </row>
    <row r="3164">
      <c r="A3164" s="107">
        <v>204001.0</v>
      </c>
      <c r="B3164" s="108" t="s">
        <v>193</v>
      </c>
      <c r="C3164" s="108" t="s">
        <v>798</v>
      </c>
      <c r="D3164" s="100" t="str">
        <f t="shared" si="1"/>
        <v/>
      </c>
      <c r="E3164" s="100" t="str">
        <f t="shared" si="2"/>
        <v/>
      </c>
      <c r="F3164" s="100" t="str">
        <f t="shared" si="3"/>
        <v/>
      </c>
      <c r="G3164" s="151"/>
      <c r="H3164" s="160"/>
      <c r="I3164" s="157"/>
      <c r="J3164" s="158"/>
      <c r="L3164" s="94"/>
      <c r="M3164" s="159"/>
      <c r="N3164" s="94"/>
    </row>
    <row r="3165">
      <c r="A3165" s="107">
        <v>204001.0</v>
      </c>
      <c r="B3165" s="108" t="s">
        <v>243</v>
      </c>
      <c r="C3165" s="108" t="s">
        <v>798</v>
      </c>
      <c r="D3165" s="100" t="str">
        <f t="shared" si="1"/>
        <v/>
      </c>
      <c r="E3165" s="100" t="str">
        <f t="shared" si="2"/>
        <v/>
      </c>
      <c r="F3165" s="100" t="str">
        <f t="shared" si="3"/>
        <v/>
      </c>
      <c r="G3165" s="151"/>
      <c r="H3165" s="156"/>
      <c r="I3165" s="157"/>
      <c r="J3165" s="161"/>
      <c r="L3165" s="94"/>
      <c r="M3165" s="159"/>
      <c r="N3165" s="94"/>
    </row>
    <row r="3166">
      <c r="A3166" s="107">
        <v>204001.0</v>
      </c>
      <c r="B3166" s="108" t="s">
        <v>215</v>
      </c>
      <c r="C3166" s="108" t="s">
        <v>798</v>
      </c>
      <c r="D3166" s="100" t="str">
        <f t="shared" si="1"/>
        <v/>
      </c>
      <c r="E3166" s="100" t="str">
        <f t="shared" si="2"/>
        <v/>
      </c>
      <c r="F3166" s="100" t="str">
        <f t="shared" si="3"/>
        <v/>
      </c>
      <c r="G3166" s="151"/>
      <c r="H3166" s="160"/>
      <c r="I3166" s="157"/>
      <c r="J3166" s="158"/>
      <c r="L3166" s="94"/>
      <c r="M3166" s="159"/>
      <c r="N3166" s="94"/>
    </row>
    <row r="3167">
      <c r="A3167" s="107">
        <v>204001.0</v>
      </c>
      <c r="B3167" s="108" t="s">
        <v>244</v>
      </c>
      <c r="C3167" s="108" t="s">
        <v>798</v>
      </c>
      <c r="D3167" s="100" t="str">
        <f t="shared" si="1"/>
        <v/>
      </c>
      <c r="E3167" s="100" t="str">
        <f t="shared" si="2"/>
        <v/>
      </c>
      <c r="F3167" s="100" t="str">
        <f t="shared" si="3"/>
        <v/>
      </c>
      <c r="G3167" s="151"/>
      <c r="H3167" s="156"/>
      <c r="I3167" s="157"/>
      <c r="J3167" s="161"/>
      <c r="L3167" s="94"/>
      <c r="M3167" s="159"/>
      <c r="N3167" s="94"/>
    </row>
    <row r="3168">
      <c r="A3168" s="107">
        <v>204001.0</v>
      </c>
      <c r="B3168" s="108" t="s">
        <v>245</v>
      </c>
      <c r="C3168" s="108" t="s">
        <v>798</v>
      </c>
      <c r="D3168" s="100" t="str">
        <f t="shared" si="1"/>
        <v/>
      </c>
      <c r="E3168" s="100" t="str">
        <f t="shared" si="2"/>
        <v/>
      </c>
      <c r="F3168" s="100" t="str">
        <f t="shared" si="3"/>
        <v/>
      </c>
      <c r="G3168" s="151"/>
      <c r="H3168" s="160"/>
      <c r="I3168" s="157"/>
      <c r="J3168" s="158"/>
      <c r="L3168" s="94"/>
      <c r="M3168" s="159"/>
      <c r="N3168" s="94"/>
    </row>
    <row r="3169">
      <c r="A3169" s="107">
        <v>204001.0</v>
      </c>
      <c r="B3169" s="108" t="s">
        <v>246</v>
      </c>
      <c r="C3169" s="108" t="s">
        <v>798</v>
      </c>
      <c r="D3169" s="100" t="str">
        <f t="shared" si="1"/>
        <v/>
      </c>
      <c r="E3169" s="100" t="str">
        <f t="shared" si="2"/>
        <v/>
      </c>
      <c r="F3169" s="100" t="str">
        <f t="shared" si="3"/>
        <v/>
      </c>
      <c r="G3169" s="151"/>
      <c r="H3169" s="156"/>
      <c r="I3169" s="157"/>
      <c r="J3169" s="161"/>
      <c r="L3169" s="94"/>
      <c r="M3169" s="159"/>
      <c r="N3169" s="94"/>
    </row>
    <row r="3170">
      <c r="A3170" s="149">
        <v>204001.0</v>
      </c>
      <c r="B3170" s="115" t="s">
        <v>247</v>
      </c>
      <c r="C3170" s="108" t="s">
        <v>798</v>
      </c>
      <c r="D3170" s="100" t="str">
        <f t="shared" si="1"/>
        <v/>
      </c>
      <c r="E3170" s="100" t="str">
        <f t="shared" si="2"/>
        <v/>
      </c>
      <c r="F3170" s="100" t="str">
        <f t="shared" si="3"/>
        <v/>
      </c>
      <c r="G3170" s="151"/>
      <c r="H3170" s="160"/>
      <c r="I3170" s="157"/>
      <c r="J3170" s="158"/>
      <c r="L3170" s="94"/>
      <c r="M3170" s="159"/>
      <c r="N3170" s="94"/>
    </row>
    <row r="3171">
      <c r="A3171" s="21">
        <v>204002.0</v>
      </c>
      <c r="B3171" s="164" t="s">
        <v>92</v>
      </c>
      <c r="C3171" s="164" t="s">
        <v>799</v>
      </c>
      <c r="D3171" s="100" t="str">
        <f t="shared" si="1"/>
        <v/>
      </c>
      <c r="E3171" s="100" t="str">
        <f t="shared" si="2"/>
        <v/>
      </c>
      <c r="F3171" s="100" t="str">
        <f t="shared" si="3"/>
        <v/>
      </c>
      <c r="G3171" s="151"/>
      <c r="H3171" s="156"/>
      <c r="I3171" s="157"/>
      <c r="J3171" s="161"/>
      <c r="L3171" s="94"/>
      <c r="M3171" s="159"/>
      <c r="N3171" s="94"/>
    </row>
    <row r="3172">
      <c r="A3172" s="107">
        <v>204002.0</v>
      </c>
      <c r="B3172" s="108" t="s">
        <v>190</v>
      </c>
      <c r="C3172" s="108" t="s">
        <v>799</v>
      </c>
      <c r="D3172" s="100" t="str">
        <f t="shared" si="1"/>
        <v/>
      </c>
      <c r="E3172" s="100" t="str">
        <f t="shared" si="2"/>
        <v/>
      </c>
      <c r="F3172" s="100" t="str">
        <f t="shared" si="3"/>
        <v/>
      </c>
      <c r="G3172" s="151"/>
      <c r="H3172" s="160"/>
      <c r="I3172" s="157"/>
      <c r="J3172" s="158"/>
      <c r="L3172" s="94"/>
      <c r="M3172" s="159"/>
      <c r="N3172" s="94"/>
    </row>
    <row r="3173">
      <c r="A3173" s="107">
        <v>204014.0</v>
      </c>
      <c r="B3173" s="108" t="s">
        <v>90</v>
      </c>
      <c r="C3173" s="108" t="s">
        <v>800</v>
      </c>
      <c r="D3173" s="100" t="str">
        <f t="shared" si="1"/>
        <v/>
      </c>
      <c r="E3173" s="100" t="str">
        <f t="shared" si="2"/>
        <v/>
      </c>
      <c r="F3173" s="100" t="str">
        <f t="shared" si="3"/>
        <v/>
      </c>
      <c r="G3173" s="151"/>
      <c r="H3173" s="156"/>
      <c r="I3173" s="157"/>
      <c r="J3173" s="161"/>
      <c r="L3173" s="94"/>
      <c r="M3173" s="159"/>
      <c r="N3173" s="94"/>
    </row>
    <row r="3174">
      <c r="A3174" s="107">
        <v>204014.0</v>
      </c>
      <c r="B3174" s="108" t="s">
        <v>92</v>
      </c>
      <c r="C3174" s="108" t="s">
        <v>800</v>
      </c>
      <c r="D3174" s="100" t="str">
        <f t="shared" si="1"/>
        <v/>
      </c>
      <c r="E3174" s="100" t="str">
        <f t="shared" si="2"/>
        <v/>
      </c>
      <c r="F3174" s="100" t="str">
        <f t="shared" si="3"/>
        <v/>
      </c>
      <c r="G3174" s="151"/>
      <c r="H3174" s="160"/>
      <c r="I3174" s="157"/>
      <c r="J3174" s="158"/>
      <c r="L3174" s="94"/>
      <c r="M3174" s="159"/>
      <c r="N3174" s="94"/>
    </row>
    <row r="3175">
      <c r="A3175" s="107">
        <v>204014.0</v>
      </c>
      <c r="B3175" s="108" t="s">
        <v>190</v>
      </c>
      <c r="C3175" s="108" t="s">
        <v>800</v>
      </c>
      <c r="D3175" s="100" t="str">
        <f t="shared" si="1"/>
        <v/>
      </c>
      <c r="E3175" s="100" t="str">
        <f t="shared" si="2"/>
        <v/>
      </c>
      <c r="F3175" s="100" t="str">
        <f t="shared" si="3"/>
        <v/>
      </c>
      <c r="G3175" s="151"/>
      <c r="H3175" s="156"/>
      <c r="I3175" s="157"/>
      <c r="J3175" s="161"/>
      <c r="L3175" s="94"/>
      <c r="M3175" s="159"/>
      <c r="N3175" s="94"/>
    </row>
    <row r="3176">
      <c r="A3176" s="107">
        <v>204020.0</v>
      </c>
      <c r="B3176" s="108" t="s">
        <v>90</v>
      </c>
      <c r="C3176" s="108" t="s">
        <v>801</v>
      </c>
      <c r="D3176" s="100" t="str">
        <f t="shared" si="1"/>
        <v/>
      </c>
      <c r="E3176" s="100" t="str">
        <f t="shared" si="2"/>
        <v/>
      </c>
      <c r="F3176" s="100" t="str">
        <f t="shared" si="3"/>
        <v/>
      </c>
      <c r="G3176" s="151"/>
      <c r="H3176" s="160"/>
      <c r="I3176" s="157"/>
      <c r="J3176" s="158"/>
      <c r="L3176" s="94"/>
      <c r="M3176" s="159"/>
      <c r="N3176" s="94"/>
    </row>
    <row r="3177">
      <c r="A3177" s="107">
        <v>204020.0</v>
      </c>
      <c r="B3177" s="108" t="s">
        <v>92</v>
      </c>
      <c r="C3177" s="108" t="s">
        <v>801</v>
      </c>
      <c r="D3177" s="100" t="str">
        <f t="shared" si="1"/>
        <v/>
      </c>
      <c r="E3177" s="100" t="str">
        <f t="shared" si="2"/>
        <v/>
      </c>
      <c r="F3177" s="100" t="str">
        <f t="shared" si="3"/>
        <v/>
      </c>
      <c r="G3177" s="151"/>
      <c r="H3177" s="156"/>
      <c r="I3177" s="157"/>
      <c r="J3177" s="161"/>
      <c r="L3177" s="94"/>
      <c r="M3177" s="159"/>
      <c r="N3177" s="94"/>
    </row>
    <row r="3178">
      <c r="A3178" s="107">
        <v>204020.0</v>
      </c>
      <c r="B3178" s="108" t="s">
        <v>190</v>
      </c>
      <c r="C3178" s="108" t="s">
        <v>801</v>
      </c>
      <c r="D3178" s="100" t="str">
        <f t="shared" si="1"/>
        <v/>
      </c>
      <c r="E3178" s="100" t="str">
        <f t="shared" si="2"/>
        <v/>
      </c>
      <c r="F3178" s="100" t="str">
        <f t="shared" si="3"/>
        <v/>
      </c>
      <c r="G3178" s="151"/>
      <c r="H3178" s="160"/>
      <c r="I3178" s="157"/>
      <c r="J3178" s="158"/>
      <c r="L3178" s="94"/>
      <c r="M3178" s="159"/>
      <c r="N3178" s="94"/>
    </row>
    <row r="3179">
      <c r="A3179" s="107">
        <v>204020.0</v>
      </c>
      <c r="B3179" s="108" t="s">
        <v>191</v>
      </c>
      <c r="C3179" s="108" t="s">
        <v>801</v>
      </c>
      <c r="D3179" s="100" t="str">
        <f t="shared" si="1"/>
        <v/>
      </c>
      <c r="E3179" s="100" t="str">
        <f t="shared" si="2"/>
        <v/>
      </c>
      <c r="F3179" s="100" t="str">
        <f t="shared" si="3"/>
        <v/>
      </c>
      <c r="G3179" s="151"/>
      <c r="H3179" s="156"/>
      <c r="I3179" s="157"/>
      <c r="J3179" s="161"/>
      <c r="L3179" s="94"/>
      <c r="M3179" s="159"/>
      <c r="N3179" s="94"/>
    </row>
    <row r="3180">
      <c r="A3180" s="107">
        <v>204020.0</v>
      </c>
      <c r="B3180" s="108" t="s">
        <v>192</v>
      </c>
      <c r="C3180" s="108" t="s">
        <v>801</v>
      </c>
      <c r="D3180" s="100" t="str">
        <f t="shared" si="1"/>
        <v/>
      </c>
      <c r="E3180" s="100" t="str">
        <f t="shared" si="2"/>
        <v/>
      </c>
      <c r="F3180" s="100" t="str">
        <f t="shared" si="3"/>
        <v/>
      </c>
      <c r="G3180" s="151"/>
      <c r="H3180" s="160"/>
      <c r="I3180" s="157"/>
      <c r="J3180" s="158"/>
      <c r="L3180" s="94"/>
      <c r="M3180" s="159"/>
      <c r="N3180" s="94"/>
    </row>
    <row r="3181">
      <c r="A3181" s="107">
        <v>204020.0</v>
      </c>
      <c r="B3181" s="108" t="s">
        <v>193</v>
      </c>
      <c r="C3181" s="108" t="s">
        <v>801</v>
      </c>
      <c r="D3181" s="100" t="str">
        <f t="shared" si="1"/>
        <v/>
      </c>
      <c r="E3181" s="100" t="str">
        <f t="shared" si="2"/>
        <v/>
      </c>
      <c r="F3181" s="100" t="str">
        <f t="shared" si="3"/>
        <v/>
      </c>
      <c r="G3181" s="151"/>
      <c r="H3181" s="156"/>
      <c r="I3181" s="157"/>
      <c r="J3181" s="161"/>
      <c r="L3181" s="94"/>
      <c r="M3181" s="159"/>
      <c r="N3181" s="94"/>
    </row>
    <row r="3182">
      <c r="A3182" s="107">
        <v>204020.0</v>
      </c>
      <c r="B3182" s="108" t="s">
        <v>243</v>
      </c>
      <c r="C3182" s="108" t="s">
        <v>801</v>
      </c>
      <c r="D3182" s="100" t="str">
        <f t="shared" si="1"/>
        <v/>
      </c>
      <c r="E3182" s="100" t="str">
        <f t="shared" si="2"/>
        <v/>
      </c>
      <c r="F3182" s="100" t="str">
        <f t="shared" si="3"/>
        <v/>
      </c>
      <c r="G3182" s="151"/>
      <c r="H3182" s="160"/>
      <c r="I3182" s="157"/>
      <c r="J3182" s="158"/>
      <c r="L3182" s="94"/>
      <c r="M3182" s="159"/>
      <c r="N3182" s="94"/>
    </row>
    <row r="3183">
      <c r="A3183" s="107">
        <v>204020.0</v>
      </c>
      <c r="B3183" s="108" t="s">
        <v>215</v>
      </c>
      <c r="C3183" s="108" t="s">
        <v>801</v>
      </c>
      <c r="D3183" s="100" t="str">
        <f t="shared" si="1"/>
        <v/>
      </c>
      <c r="E3183" s="100" t="str">
        <f t="shared" si="2"/>
        <v/>
      </c>
      <c r="F3183" s="100" t="str">
        <f t="shared" si="3"/>
        <v/>
      </c>
      <c r="G3183" s="151"/>
      <c r="H3183" s="156"/>
      <c r="I3183" s="157"/>
      <c r="J3183" s="161"/>
      <c r="L3183" s="94"/>
      <c r="M3183" s="159"/>
      <c r="N3183" s="94"/>
    </row>
    <row r="3184">
      <c r="A3184" s="107">
        <v>204021.0</v>
      </c>
      <c r="B3184" s="108" t="s">
        <v>90</v>
      </c>
      <c r="C3184" s="108" t="s">
        <v>802</v>
      </c>
      <c r="D3184" s="100" t="str">
        <f t="shared" si="1"/>
        <v/>
      </c>
      <c r="E3184" s="100" t="str">
        <f t="shared" si="2"/>
        <v/>
      </c>
      <c r="F3184" s="100" t="str">
        <f t="shared" si="3"/>
        <v/>
      </c>
      <c r="G3184" s="151"/>
      <c r="H3184" s="160"/>
      <c r="I3184" s="157"/>
      <c r="J3184" s="158"/>
      <c r="L3184" s="94"/>
      <c r="M3184" s="159"/>
      <c r="N3184" s="94"/>
    </row>
    <row r="3185">
      <c r="A3185" s="107">
        <v>204022.0</v>
      </c>
      <c r="B3185" s="108" t="s">
        <v>90</v>
      </c>
      <c r="C3185" s="108" t="s">
        <v>803</v>
      </c>
      <c r="D3185" s="100" t="str">
        <f t="shared" si="1"/>
        <v/>
      </c>
      <c r="E3185" s="100" t="str">
        <f t="shared" si="2"/>
        <v/>
      </c>
      <c r="F3185" s="100" t="str">
        <f t="shared" si="3"/>
        <v/>
      </c>
      <c r="G3185" s="151"/>
      <c r="H3185" s="156"/>
      <c r="I3185" s="157"/>
      <c r="J3185" s="161"/>
      <c r="L3185" s="94"/>
      <c r="M3185" s="159"/>
      <c r="N3185" s="94"/>
    </row>
    <row r="3186">
      <c r="A3186" s="107">
        <v>204022.0</v>
      </c>
      <c r="B3186" s="108" t="s">
        <v>191</v>
      </c>
      <c r="C3186" s="108" t="s">
        <v>803</v>
      </c>
      <c r="D3186" s="100" t="str">
        <f t="shared" si="1"/>
        <v/>
      </c>
      <c r="E3186" s="100" t="str">
        <f t="shared" si="2"/>
        <v/>
      </c>
      <c r="F3186" s="100" t="str">
        <f t="shared" si="3"/>
        <v/>
      </c>
      <c r="G3186" s="151"/>
      <c r="H3186" s="160"/>
      <c r="I3186" s="157"/>
      <c r="J3186" s="158"/>
      <c r="L3186" s="94"/>
      <c r="M3186" s="159"/>
      <c r="N3186" s="94"/>
    </row>
    <row r="3187">
      <c r="A3187" s="107">
        <v>204025.0</v>
      </c>
      <c r="B3187" s="108" t="s">
        <v>90</v>
      </c>
      <c r="C3187" s="108" t="s">
        <v>804</v>
      </c>
      <c r="D3187" s="100" t="str">
        <f t="shared" si="1"/>
        <v/>
      </c>
      <c r="E3187" s="100" t="str">
        <f t="shared" si="2"/>
        <v/>
      </c>
      <c r="F3187" s="100" t="str">
        <f t="shared" si="3"/>
        <v/>
      </c>
      <c r="G3187" s="151"/>
      <c r="H3187" s="156"/>
      <c r="I3187" s="157"/>
      <c r="J3187" s="161"/>
      <c r="L3187" s="94"/>
      <c r="M3187" s="159"/>
      <c r="N3187" s="94"/>
    </row>
    <row r="3188">
      <c r="A3188" s="107">
        <v>204025.0</v>
      </c>
      <c r="B3188" s="108" t="s">
        <v>92</v>
      </c>
      <c r="C3188" s="108" t="s">
        <v>804</v>
      </c>
      <c r="D3188" s="100" t="str">
        <f t="shared" si="1"/>
        <v/>
      </c>
      <c r="E3188" s="100" t="str">
        <f t="shared" si="2"/>
        <v/>
      </c>
      <c r="F3188" s="100" t="str">
        <f t="shared" si="3"/>
        <v/>
      </c>
      <c r="G3188" s="151"/>
      <c r="H3188" s="160"/>
      <c r="I3188" s="157"/>
      <c r="J3188" s="158"/>
      <c r="L3188" s="94"/>
      <c r="M3188" s="159"/>
      <c r="N3188" s="94"/>
    </row>
    <row r="3189">
      <c r="A3189" s="107">
        <v>204025.0</v>
      </c>
      <c r="B3189" s="108" t="s">
        <v>190</v>
      </c>
      <c r="C3189" s="108" t="s">
        <v>804</v>
      </c>
      <c r="D3189" s="100" t="str">
        <f t="shared" si="1"/>
        <v/>
      </c>
      <c r="E3189" s="100" t="str">
        <f t="shared" si="2"/>
        <v/>
      </c>
      <c r="F3189" s="100" t="str">
        <f t="shared" si="3"/>
        <v/>
      </c>
      <c r="G3189" s="151"/>
      <c r="H3189" s="156"/>
      <c r="I3189" s="157"/>
      <c r="J3189" s="161"/>
      <c r="L3189" s="94"/>
      <c r="M3189" s="159"/>
      <c r="N3189" s="94"/>
    </row>
    <row r="3190">
      <c r="A3190" s="107">
        <v>204025.0</v>
      </c>
      <c r="B3190" s="108" t="s">
        <v>191</v>
      </c>
      <c r="C3190" s="108" t="s">
        <v>804</v>
      </c>
      <c r="D3190" s="100" t="str">
        <f t="shared" si="1"/>
        <v/>
      </c>
      <c r="E3190" s="100" t="str">
        <f t="shared" si="2"/>
        <v/>
      </c>
      <c r="F3190" s="100" t="str">
        <f t="shared" si="3"/>
        <v/>
      </c>
      <c r="G3190" s="151"/>
      <c r="H3190" s="160"/>
      <c r="I3190" s="157"/>
      <c r="J3190" s="158"/>
      <c r="L3190" s="94"/>
      <c r="M3190" s="159"/>
      <c r="N3190" s="94"/>
    </row>
    <row r="3191">
      <c r="A3191" s="107">
        <v>204025.0</v>
      </c>
      <c r="B3191" s="108" t="s">
        <v>192</v>
      </c>
      <c r="C3191" s="108" t="s">
        <v>804</v>
      </c>
      <c r="D3191" s="100" t="str">
        <f t="shared" si="1"/>
        <v/>
      </c>
      <c r="E3191" s="100" t="str">
        <f t="shared" si="2"/>
        <v/>
      </c>
      <c r="F3191" s="100" t="str">
        <f t="shared" si="3"/>
        <v/>
      </c>
      <c r="G3191" s="151"/>
      <c r="H3191" s="156"/>
      <c r="I3191" s="157"/>
      <c r="J3191" s="161"/>
      <c r="L3191" s="94"/>
      <c r="M3191" s="159"/>
      <c r="N3191" s="94"/>
    </row>
    <row r="3192">
      <c r="A3192" s="107">
        <v>204025.0</v>
      </c>
      <c r="B3192" s="108" t="s">
        <v>193</v>
      </c>
      <c r="C3192" s="108" t="s">
        <v>804</v>
      </c>
      <c r="D3192" s="100" t="str">
        <f t="shared" si="1"/>
        <v/>
      </c>
      <c r="E3192" s="100" t="str">
        <f t="shared" si="2"/>
        <v/>
      </c>
      <c r="F3192" s="100" t="str">
        <f t="shared" si="3"/>
        <v/>
      </c>
      <c r="G3192" s="151"/>
      <c r="H3192" s="160"/>
      <c r="I3192" s="157"/>
      <c r="J3192" s="158"/>
      <c r="L3192" s="94"/>
      <c r="M3192" s="159"/>
      <c r="N3192" s="94"/>
    </row>
    <row r="3193">
      <c r="A3193" s="107">
        <v>204025.0</v>
      </c>
      <c r="B3193" s="108" t="s">
        <v>243</v>
      </c>
      <c r="C3193" s="108" t="s">
        <v>804</v>
      </c>
      <c r="D3193" s="100" t="str">
        <f t="shared" si="1"/>
        <v/>
      </c>
      <c r="E3193" s="100" t="str">
        <f t="shared" si="2"/>
        <v/>
      </c>
      <c r="F3193" s="100" t="str">
        <f t="shared" si="3"/>
        <v/>
      </c>
      <c r="G3193" s="151"/>
      <c r="H3193" s="156"/>
      <c r="I3193" s="157"/>
      <c r="J3193" s="161"/>
      <c r="L3193" s="94"/>
      <c r="M3193" s="159"/>
      <c r="N3193" s="94"/>
    </row>
    <row r="3194">
      <c r="A3194" s="107">
        <v>204025.0</v>
      </c>
      <c r="B3194" s="108" t="s">
        <v>215</v>
      </c>
      <c r="C3194" s="108" t="s">
        <v>804</v>
      </c>
      <c r="D3194" s="100" t="str">
        <f t="shared" si="1"/>
        <v/>
      </c>
      <c r="E3194" s="100" t="str">
        <f t="shared" si="2"/>
        <v/>
      </c>
      <c r="F3194" s="100" t="str">
        <f t="shared" si="3"/>
        <v/>
      </c>
      <c r="G3194" s="151"/>
      <c r="H3194" s="160"/>
      <c r="I3194" s="157"/>
      <c r="J3194" s="158"/>
      <c r="L3194" s="94"/>
      <c r="M3194" s="159"/>
      <c r="N3194" s="94"/>
    </row>
    <row r="3195">
      <c r="A3195" s="107">
        <v>204028.0</v>
      </c>
      <c r="B3195" s="108" t="s">
        <v>90</v>
      </c>
      <c r="C3195" s="108" t="s">
        <v>805</v>
      </c>
      <c r="D3195" s="100" t="str">
        <f t="shared" si="1"/>
        <v/>
      </c>
      <c r="E3195" s="100" t="str">
        <f t="shared" si="2"/>
        <v/>
      </c>
      <c r="F3195" s="100" t="str">
        <f t="shared" si="3"/>
        <v/>
      </c>
      <c r="G3195" s="151"/>
      <c r="H3195" s="156"/>
      <c r="I3195" s="157"/>
      <c r="J3195" s="161"/>
      <c r="L3195" s="94"/>
      <c r="M3195" s="159"/>
      <c r="N3195" s="94"/>
    </row>
    <row r="3196">
      <c r="A3196" s="107">
        <v>204028.0</v>
      </c>
      <c r="B3196" s="108" t="s">
        <v>92</v>
      </c>
      <c r="C3196" s="108" t="s">
        <v>805</v>
      </c>
      <c r="D3196" s="100" t="str">
        <f t="shared" si="1"/>
        <v/>
      </c>
      <c r="E3196" s="100" t="str">
        <f t="shared" si="2"/>
        <v/>
      </c>
      <c r="F3196" s="100" t="str">
        <f t="shared" si="3"/>
        <v/>
      </c>
      <c r="G3196" s="151"/>
      <c r="H3196" s="160"/>
      <c r="I3196" s="157"/>
      <c r="J3196" s="158"/>
      <c r="L3196" s="94"/>
      <c r="M3196" s="159"/>
      <c r="N3196" s="94"/>
    </row>
    <row r="3197">
      <c r="A3197" s="107">
        <v>204028.0</v>
      </c>
      <c r="B3197" s="108" t="s">
        <v>190</v>
      </c>
      <c r="C3197" s="108" t="s">
        <v>805</v>
      </c>
      <c r="D3197" s="100" t="str">
        <f t="shared" si="1"/>
        <v/>
      </c>
      <c r="E3197" s="100" t="str">
        <f t="shared" si="2"/>
        <v/>
      </c>
      <c r="F3197" s="100" t="str">
        <f t="shared" si="3"/>
        <v/>
      </c>
      <c r="G3197" s="151"/>
      <c r="H3197" s="156"/>
      <c r="I3197" s="157"/>
      <c r="J3197" s="161"/>
      <c r="L3197" s="94"/>
      <c r="M3197" s="159"/>
      <c r="N3197" s="94"/>
    </row>
    <row r="3198">
      <c r="A3198" s="107">
        <v>204028.0</v>
      </c>
      <c r="B3198" s="108" t="s">
        <v>191</v>
      </c>
      <c r="C3198" s="108" t="s">
        <v>805</v>
      </c>
      <c r="D3198" s="100" t="str">
        <f t="shared" si="1"/>
        <v/>
      </c>
      <c r="E3198" s="100" t="str">
        <f t="shared" si="2"/>
        <v/>
      </c>
      <c r="F3198" s="100" t="str">
        <f t="shared" si="3"/>
        <v/>
      </c>
      <c r="G3198" s="151"/>
      <c r="H3198" s="160"/>
      <c r="I3198" s="157"/>
      <c r="J3198" s="158"/>
      <c r="L3198" s="94"/>
      <c r="M3198" s="159"/>
      <c r="N3198" s="94"/>
    </row>
    <row r="3199">
      <c r="A3199" s="107">
        <v>204033.0</v>
      </c>
      <c r="B3199" s="108" t="s">
        <v>90</v>
      </c>
      <c r="C3199" s="108" t="s">
        <v>806</v>
      </c>
      <c r="D3199" s="100" t="str">
        <f t="shared" si="1"/>
        <v/>
      </c>
      <c r="E3199" s="100" t="str">
        <f t="shared" si="2"/>
        <v/>
      </c>
      <c r="F3199" s="100" t="str">
        <f t="shared" si="3"/>
        <v/>
      </c>
      <c r="G3199" s="151"/>
      <c r="H3199" s="156"/>
      <c r="I3199" s="157"/>
      <c r="J3199" s="161"/>
      <c r="L3199" s="94"/>
      <c r="M3199" s="159"/>
      <c r="N3199" s="94"/>
    </row>
    <row r="3200">
      <c r="A3200" s="107">
        <v>204037.0</v>
      </c>
      <c r="B3200" s="108" t="s">
        <v>90</v>
      </c>
      <c r="C3200" s="108" t="s">
        <v>807</v>
      </c>
      <c r="D3200" s="100" t="str">
        <f t="shared" si="1"/>
        <v/>
      </c>
      <c r="E3200" s="100" t="str">
        <f t="shared" si="2"/>
        <v/>
      </c>
      <c r="F3200" s="100" t="str">
        <f t="shared" si="3"/>
        <v/>
      </c>
      <c r="G3200" s="151"/>
      <c r="H3200" s="160"/>
      <c r="I3200" s="157"/>
      <c r="J3200" s="158"/>
      <c r="L3200" s="94"/>
      <c r="M3200" s="159"/>
      <c r="N3200" s="94"/>
    </row>
    <row r="3201">
      <c r="A3201" s="107">
        <v>204037.0</v>
      </c>
      <c r="B3201" s="108" t="s">
        <v>191</v>
      </c>
      <c r="C3201" s="108" t="s">
        <v>807</v>
      </c>
      <c r="D3201" s="100" t="str">
        <f t="shared" si="1"/>
        <v/>
      </c>
      <c r="E3201" s="100" t="str">
        <f t="shared" si="2"/>
        <v/>
      </c>
      <c r="F3201" s="100" t="str">
        <f t="shared" si="3"/>
        <v/>
      </c>
      <c r="G3201" s="151"/>
      <c r="H3201" s="156"/>
      <c r="I3201" s="157"/>
      <c r="J3201" s="161"/>
      <c r="L3201" s="94"/>
      <c r="M3201" s="159"/>
      <c r="N3201" s="94"/>
    </row>
    <row r="3202">
      <c r="A3202" s="107">
        <v>204038.0</v>
      </c>
      <c r="B3202" s="108" t="s">
        <v>90</v>
      </c>
      <c r="C3202" s="108" t="s">
        <v>808</v>
      </c>
      <c r="D3202" s="100" t="str">
        <f t="shared" si="1"/>
        <v/>
      </c>
      <c r="E3202" s="100" t="str">
        <f t="shared" si="2"/>
        <v/>
      </c>
      <c r="F3202" s="100" t="str">
        <f t="shared" si="3"/>
        <v/>
      </c>
      <c r="G3202" s="151"/>
      <c r="H3202" s="160"/>
      <c r="I3202" s="157"/>
      <c r="J3202" s="158"/>
      <c r="L3202" s="94"/>
      <c r="M3202" s="159"/>
      <c r="N3202" s="94"/>
    </row>
    <row r="3203">
      <c r="A3203" s="107">
        <v>204038.0</v>
      </c>
      <c r="B3203" s="108" t="s">
        <v>92</v>
      </c>
      <c r="C3203" s="108" t="s">
        <v>808</v>
      </c>
      <c r="D3203" s="100" t="str">
        <f t="shared" si="1"/>
        <v/>
      </c>
      <c r="E3203" s="100" t="str">
        <f t="shared" si="2"/>
        <v/>
      </c>
      <c r="F3203" s="100" t="str">
        <f t="shared" si="3"/>
        <v/>
      </c>
      <c r="G3203" s="151"/>
      <c r="H3203" s="156"/>
      <c r="I3203" s="157"/>
      <c r="J3203" s="161"/>
      <c r="L3203" s="94"/>
      <c r="M3203" s="159"/>
      <c r="N3203" s="94"/>
    </row>
    <row r="3204">
      <c r="A3204" s="107">
        <v>204038.0</v>
      </c>
      <c r="B3204" s="108" t="s">
        <v>190</v>
      </c>
      <c r="C3204" s="108" t="s">
        <v>808</v>
      </c>
      <c r="D3204" s="100" t="str">
        <f t="shared" si="1"/>
        <v/>
      </c>
      <c r="E3204" s="100" t="str">
        <f t="shared" si="2"/>
        <v/>
      </c>
      <c r="F3204" s="100" t="str">
        <f t="shared" si="3"/>
        <v/>
      </c>
      <c r="G3204" s="151"/>
      <c r="H3204" s="160"/>
      <c r="I3204" s="157"/>
      <c r="J3204" s="158"/>
      <c r="L3204" s="94"/>
      <c r="M3204" s="159"/>
      <c r="N3204" s="94"/>
    </row>
    <row r="3205">
      <c r="A3205" s="107">
        <v>204038.0</v>
      </c>
      <c r="B3205" s="108" t="s">
        <v>191</v>
      </c>
      <c r="C3205" s="108" t="s">
        <v>808</v>
      </c>
      <c r="D3205" s="100" t="str">
        <f t="shared" si="1"/>
        <v/>
      </c>
      <c r="E3205" s="100" t="str">
        <f t="shared" si="2"/>
        <v/>
      </c>
      <c r="F3205" s="100" t="str">
        <f t="shared" si="3"/>
        <v/>
      </c>
      <c r="G3205" s="151"/>
      <c r="H3205" s="156"/>
      <c r="I3205" s="157"/>
      <c r="J3205" s="161"/>
      <c r="L3205" s="94"/>
      <c r="M3205" s="159"/>
      <c r="N3205" s="94"/>
    </row>
    <row r="3206">
      <c r="A3206" s="107">
        <v>204038.0</v>
      </c>
      <c r="B3206" s="108" t="s">
        <v>192</v>
      </c>
      <c r="C3206" s="108" t="s">
        <v>808</v>
      </c>
      <c r="D3206" s="100" t="str">
        <f t="shared" si="1"/>
        <v/>
      </c>
      <c r="E3206" s="100" t="str">
        <f t="shared" si="2"/>
        <v/>
      </c>
      <c r="F3206" s="100" t="str">
        <f t="shared" si="3"/>
        <v/>
      </c>
      <c r="G3206" s="151"/>
      <c r="H3206" s="160"/>
      <c r="I3206" s="157"/>
      <c r="J3206" s="158"/>
      <c r="L3206" s="94"/>
      <c r="M3206" s="159"/>
      <c r="N3206" s="94"/>
    </row>
    <row r="3207">
      <c r="A3207" s="107">
        <v>204038.0</v>
      </c>
      <c r="B3207" s="108" t="s">
        <v>193</v>
      </c>
      <c r="C3207" s="108" t="s">
        <v>808</v>
      </c>
      <c r="D3207" s="100" t="str">
        <f t="shared" si="1"/>
        <v/>
      </c>
      <c r="E3207" s="100" t="str">
        <f t="shared" si="2"/>
        <v/>
      </c>
      <c r="F3207" s="100" t="str">
        <f t="shared" si="3"/>
        <v/>
      </c>
      <c r="G3207" s="151"/>
      <c r="H3207" s="156"/>
      <c r="I3207" s="157"/>
      <c r="J3207" s="161"/>
      <c r="L3207" s="94"/>
      <c r="M3207" s="159"/>
      <c r="N3207" s="94"/>
    </row>
    <row r="3208">
      <c r="A3208" s="107">
        <v>204038.0</v>
      </c>
      <c r="B3208" s="108" t="s">
        <v>243</v>
      </c>
      <c r="C3208" s="108" t="s">
        <v>808</v>
      </c>
      <c r="D3208" s="100" t="str">
        <f t="shared" si="1"/>
        <v/>
      </c>
      <c r="E3208" s="100" t="str">
        <f t="shared" si="2"/>
        <v/>
      </c>
      <c r="F3208" s="100" t="str">
        <f t="shared" si="3"/>
        <v/>
      </c>
      <c r="G3208" s="151"/>
      <c r="H3208" s="160"/>
      <c r="I3208" s="157"/>
      <c r="J3208" s="158"/>
      <c r="L3208" s="94"/>
      <c r="M3208" s="159"/>
      <c r="N3208" s="94"/>
    </row>
    <row r="3209">
      <c r="A3209" s="107">
        <v>204038.0</v>
      </c>
      <c r="B3209" s="108" t="s">
        <v>215</v>
      </c>
      <c r="C3209" s="108" t="s">
        <v>808</v>
      </c>
      <c r="D3209" s="100" t="str">
        <f t="shared" si="1"/>
        <v/>
      </c>
      <c r="E3209" s="100" t="str">
        <f t="shared" si="2"/>
        <v/>
      </c>
      <c r="F3209" s="100" t="str">
        <f t="shared" si="3"/>
        <v/>
      </c>
      <c r="G3209" s="151"/>
      <c r="H3209" s="156"/>
      <c r="I3209" s="157"/>
      <c r="J3209" s="161"/>
      <c r="L3209" s="94"/>
      <c r="M3209" s="159"/>
      <c r="N3209" s="94"/>
    </row>
    <row r="3210">
      <c r="A3210" s="107">
        <v>204054.0</v>
      </c>
      <c r="B3210" s="108" t="s">
        <v>90</v>
      </c>
      <c r="C3210" s="108" t="s">
        <v>809</v>
      </c>
      <c r="D3210" s="100" t="str">
        <f t="shared" si="1"/>
        <v/>
      </c>
      <c r="E3210" s="100" t="str">
        <f t="shared" si="2"/>
        <v/>
      </c>
      <c r="F3210" s="100" t="str">
        <f t="shared" si="3"/>
        <v/>
      </c>
      <c r="G3210" s="151"/>
      <c r="H3210" s="160"/>
      <c r="I3210" s="157"/>
      <c r="J3210" s="158"/>
      <c r="L3210" s="94"/>
      <c r="M3210" s="159"/>
      <c r="N3210" s="94"/>
    </row>
    <row r="3211">
      <c r="A3211" s="107">
        <v>204060.0</v>
      </c>
      <c r="B3211" s="108" t="s">
        <v>90</v>
      </c>
      <c r="C3211" s="108" t="s">
        <v>810</v>
      </c>
      <c r="D3211" s="100" t="str">
        <f t="shared" si="1"/>
        <v/>
      </c>
      <c r="E3211" s="100" t="str">
        <f t="shared" si="2"/>
        <v/>
      </c>
      <c r="F3211" s="100" t="str">
        <f t="shared" si="3"/>
        <v/>
      </c>
      <c r="G3211" s="151"/>
      <c r="H3211" s="156"/>
      <c r="I3211" s="157"/>
      <c r="J3211" s="161"/>
      <c r="L3211" s="94"/>
      <c r="M3211" s="159"/>
      <c r="N3211" s="94"/>
    </row>
    <row r="3212">
      <c r="A3212" s="107">
        <v>204060.0</v>
      </c>
      <c r="B3212" s="108" t="s">
        <v>92</v>
      </c>
      <c r="C3212" s="108" t="s">
        <v>810</v>
      </c>
      <c r="D3212" s="100" t="str">
        <f t="shared" si="1"/>
        <v/>
      </c>
      <c r="E3212" s="100" t="str">
        <f t="shared" si="2"/>
        <v/>
      </c>
      <c r="F3212" s="100" t="str">
        <f t="shared" si="3"/>
        <v/>
      </c>
      <c r="G3212" s="151"/>
      <c r="H3212" s="160"/>
      <c r="I3212" s="157"/>
      <c r="J3212" s="158"/>
      <c r="L3212" s="94"/>
      <c r="M3212" s="159"/>
      <c r="N3212" s="94"/>
    </row>
    <row r="3213">
      <c r="A3213" s="107">
        <v>204060.0</v>
      </c>
      <c r="B3213" s="108" t="s">
        <v>190</v>
      </c>
      <c r="C3213" s="108" t="s">
        <v>810</v>
      </c>
      <c r="D3213" s="100" t="str">
        <f t="shared" si="1"/>
        <v/>
      </c>
      <c r="E3213" s="100" t="str">
        <f t="shared" si="2"/>
        <v/>
      </c>
      <c r="F3213" s="100" t="str">
        <f t="shared" si="3"/>
        <v/>
      </c>
      <c r="G3213" s="151"/>
      <c r="H3213" s="156"/>
      <c r="I3213" s="157"/>
      <c r="J3213" s="161"/>
      <c r="L3213" s="94"/>
      <c r="M3213" s="159"/>
      <c r="N3213" s="94"/>
    </row>
    <row r="3214">
      <c r="A3214" s="107">
        <v>204060.0</v>
      </c>
      <c r="B3214" s="108" t="s">
        <v>191</v>
      </c>
      <c r="C3214" s="108" t="s">
        <v>810</v>
      </c>
      <c r="D3214" s="100" t="str">
        <f t="shared" si="1"/>
        <v/>
      </c>
      <c r="E3214" s="100" t="str">
        <f t="shared" si="2"/>
        <v/>
      </c>
      <c r="F3214" s="100" t="str">
        <f t="shared" si="3"/>
        <v/>
      </c>
      <c r="G3214" s="151"/>
      <c r="H3214" s="160"/>
      <c r="I3214" s="157"/>
      <c r="J3214" s="158"/>
      <c r="L3214" s="94"/>
      <c r="M3214" s="159"/>
      <c r="N3214" s="94"/>
    </row>
    <row r="3215">
      <c r="A3215" s="107">
        <v>204060.0</v>
      </c>
      <c r="B3215" s="108" t="s">
        <v>192</v>
      </c>
      <c r="C3215" s="108" t="s">
        <v>810</v>
      </c>
      <c r="D3215" s="100" t="str">
        <f t="shared" si="1"/>
        <v/>
      </c>
      <c r="E3215" s="100" t="str">
        <f t="shared" si="2"/>
        <v/>
      </c>
      <c r="F3215" s="100" t="str">
        <f t="shared" si="3"/>
        <v/>
      </c>
      <c r="G3215" s="151"/>
      <c r="H3215" s="156"/>
      <c r="I3215" s="157"/>
      <c r="J3215" s="161"/>
      <c r="L3215" s="94"/>
      <c r="M3215" s="159"/>
      <c r="N3215" s="94"/>
    </row>
    <row r="3216">
      <c r="A3216" s="107">
        <v>204060.0</v>
      </c>
      <c r="B3216" s="108" t="s">
        <v>193</v>
      </c>
      <c r="C3216" s="108" t="s">
        <v>810</v>
      </c>
      <c r="D3216" s="100" t="str">
        <f t="shared" si="1"/>
        <v/>
      </c>
      <c r="E3216" s="100" t="str">
        <f t="shared" si="2"/>
        <v/>
      </c>
      <c r="F3216" s="100" t="str">
        <f t="shared" si="3"/>
        <v/>
      </c>
      <c r="G3216" s="151"/>
      <c r="H3216" s="160"/>
      <c r="I3216" s="157"/>
      <c r="J3216" s="158"/>
      <c r="L3216" s="94"/>
      <c r="M3216" s="159"/>
      <c r="N3216" s="94"/>
    </row>
    <row r="3217">
      <c r="A3217" s="107">
        <v>204060.0</v>
      </c>
      <c r="B3217" s="108" t="s">
        <v>243</v>
      </c>
      <c r="C3217" s="108" t="s">
        <v>810</v>
      </c>
      <c r="D3217" s="100" t="str">
        <f t="shared" si="1"/>
        <v/>
      </c>
      <c r="E3217" s="100" t="str">
        <f t="shared" si="2"/>
        <v/>
      </c>
      <c r="F3217" s="100" t="str">
        <f t="shared" si="3"/>
        <v/>
      </c>
      <c r="G3217" s="151"/>
      <c r="H3217" s="156"/>
      <c r="I3217" s="157"/>
      <c r="J3217" s="161"/>
      <c r="L3217" s="94"/>
      <c r="M3217" s="159"/>
      <c r="N3217" s="94"/>
    </row>
    <row r="3218">
      <c r="A3218" s="107">
        <v>204060.0</v>
      </c>
      <c r="B3218" s="108" t="s">
        <v>215</v>
      </c>
      <c r="C3218" s="108" t="s">
        <v>810</v>
      </c>
      <c r="D3218" s="100" t="str">
        <f t="shared" si="1"/>
        <v/>
      </c>
      <c r="E3218" s="100" t="str">
        <f t="shared" si="2"/>
        <v/>
      </c>
      <c r="F3218" s="100" t="str">
        <f t="shared" si="3"/>
        <v/>
      </c>
      <c r="G3218" s="151"/>
      <c r="H3218" s="160"/>
      <c r="I3218" s="157"/>
      <c r="J3218" s="158"/>
      <c r="L3218" s="94"/>
      <c r="M3218" s="159"/>
      <c r="N3218" s="94"/>
    </row>
    <row r="3219">
      <c r="A3219" s="107">
        <v>204060.0</v>
      </c>
      <c r="B3219" s="108" t="s">
        <v>244</v>
      </c>
      <c r="C3219" s="108" t="s">
        <v>810</v>
      </c>
      <c r="D3219" s="100" t="str">
        <f t="shared" si="1"/>
        <v/>
      </c>
      <c r="E3219" s="100" t="str">
        <f t="shared" si="2"/>
        <v/>
      </c>
      <c r="F3219" s="100" t="str">
        <f t="shared" si="3"/>
        <v/>
      </c>
      <c r="G3219" s="151"/>
      <c r="H3219" s="156"/>
      <c r="I3219" s="157"/>
      <c r="J3219" s="161"/>
      <c r="L3219" s="94"/>
      <c r="M3219" s="159"/>
      <c r="N3219" s="94"/>
    </row>
    <row r="3220">
      <c r="A3220" s="107">
        <v>204060.0</v>
      </c>
      <c r="B3220" s="108" t="s">
        <v>245</v>
      </c>
      <c r="C3220" s="108" t="s">
        <v>810</v>
      </c>
      <c r="D3220" s="100" t="str">
        <f t="shared" si="1"/>
        <v/>
      </c>
      <c r="E3220" s="100" t="str">
        <f t="shared" si="2"/>
        <v/>
      </c>
      <c r="F3220" s="100" t="str">
        <f t="shared" si="3"/>
        <v/>
      </c>
      <c r="G3220" s="151"/>
      <c r="H3220" s="160"/>
      <c r="I3220" s="157"/>
      <c r="J3220" s="158"/>
      <c r="L3220" s="94"/>
      <c r="M3220" s="159"/>
      <c r="N3220" s="94"/>
    </row>
    <row r="3221">
      <c r="A3221" s="107">
        <v>204060.0</v>
      </c>
      <c r="B3221" s="108" t="s">
        <v>246</v>
      </c>
      <c r="C3221" s="108" t="s">
        <v>810</v>
      </c>
      <c r="D3221" s="100" t="str">
        <f t="shared" si="1"/>
        <v/>
      </c>
      <c r="E3221" s="100" t="str">
        <f t="shared" si="2"/>
        <v/>
      </c>
      <c r="F3221" s="100" t="str">
        <f t="shared" si="3"/>
        <v/>
      </c>
      <c r="G3221" s="151"/>
      <c r="H3221" s="156"/>
      <c r="I3221" s="157"/>
      <c r="J3221" s="161"/>
      <c r="L3221" s="94"/>
      <c r="M3221" s="159"/>
      <c r="N3221" s="94"/>
    </row>
    <row r="3222">
      <c r="A3222" s="149">
        <v>204060.0</v>
      </c>
      <c r="B3222" s="115" t="s">
        <v>247</v>
      </c>
      <c r="C3222" s="115" t="s">
        <v>810</v>
      </c>
      <c r="D3222" s="100" t="str">
        <f t="shared" si="1"/>
        <v/>
      </c>
      <c r="E3222" s="100" t="str">
        <f t="shared" si="2"/>
        <v/>
      </c>
      <c r="F3222" s="100" t="str">
        <f t="shared" si="3"/>
        <v/>
      </c>
      <c r="G3222" s="151"/>
      <c r="H3222" s="160"/>
      <c r="I3222" s="157"/>
      <c r="J3222" s="158"/>
      <c r="L3222" s="94"/>
      <c r="M3222" s="159"/>
      <c r="N3222" s="94"/>
    </row>
    <row r="3223">
      <c r="A3223" s="21">
        <v>204065.0</v>
      </c>
      <c r="B3223" s="164" t="s">
        <v>90</v>
      </c>
      <c r="C3223" s="164" t="s">
        <v>811</v>
      </c>
      <c r="D3223" s="100" t="str">
        <f t="shared" si="1"/>
        <v/>
      </c>
      <c r="E3223" s="100" t="str">
        <f t="shared" si="2"/>
        <v/>
      </c>
      <c r="F3223" s="100" t="str">
        <f t="shared" si="3"/>
        <v/>
      </c>
      <c r="G3223" s="151"/>
      <c r="H3223" s="156"/>
      <c r="I3223" s="157"/>
      <c r="J3223" s="161"/>
      <c r="L3223" s="94"/>
      <c r="M3223" s="159"/>
      <c r="N3223" s="94"/>
    </row>
    <row r="3224">
      <c r="A3224" s="107">
        <v>204065.0</v>
      </c>
      <c r="B3224" s="108" t="s">
        <v>191</v>
      </c>
      <c r="C3224" s="108" t="s">
        <v>811</v>
      </c>
      <c r="D3224" s="100" t="str">
        <f t="shared" si="1"/>
        <v/>
      </c>
      <c r="E3224" s="100" t="str">
        <f t="shared" si="2"/>
        <v/>
      </c>
      <c r="F3224" s="100" t="str">
        <f t="shared" si="3"/>
        <v/>
      </c>
      <c r="G3224" s="151"/>
      <c r="H3224" s="160"/>
      <c r="I3224" s="157"/>
      <c r="J3224" s="158"/>
      <c r="L3224" s="94"/>
      <c r="M3224" s="159"/>
      <c r="N3224" s="94"/>
    </row>
    <row r="3225">
      <c r="A3225" s="107">
        <v>204066.0</v>
      </c>
      <c r="B3225" s="108" t="s">
        <v>191</v>
      </c>
      <c r="C3225" s="108" t="s">
        <v>812</v>
      </c>
      <c r="D3225" s="100" t="str">
        <f t="shared" si="1"/>
        <v/>
      </c>
      <c r="E3225" s="100" t="str">
        <f t="shared" si="2"/>
        <v/>
      </c>
      <c r="F3225" s="100" t="str">
        <f t="shared" si="3"/>
        <v/>
      </c>
      <c r="G3225" s="151"/>
      <c r="H3225" s="156"/>
      <c r="I3225" s="157"/>
      <c r="J3225" s="161"/>
      <c r="L3225" s="94"/>
      <c r="M3225" s="159"/>
      <c r="N3225" s="94"/>
    </row>
    <row r="3226">
      <c r="A3226" s="107">
        <v>204067.0</v>
      </c>
      <c r="B3226" s="108" t="s">
        <v>92</v>
      </c>
      <c r="C3226" s="108" t="s">
        <v>813</v>
      </c>
      <c r="D3226" s="100" t="str">
        <f t="shared" si="1"/>
        <v/>
      </c>
      <c r="E3226" s="100" t="str">
        <f t="shared" si="2"/>
        <v/>
      </c>
      <c r="F3226" s="100" t="str">
        <f t="shared" si="3"/>
        <v/>
      </c>
      <c r="G3226" s="151"/>
      <c r="H3226" s="160"/>
      <c r="I3226" s="157"/>
      <c r="J3226" s="158"/>
      <c r="L3226" s="94"/>
      <c r="M3226" s="159"/>
      <c r="N3226" s="94"/>
    </row>
    <row r="3227">
      <c r="A3227" s="107">
        <v>204067.0</v>
      </c>
      <c r="B3227" s="108" t="s">
        <v>190</v>
      </c>
      <c r="C3227" s="108" t="s">
        <v>813</v>
      </c>
      <c r="D3227" s="100" t="str">
        <f t="shared" si="1"/>
        <v/>
      </c>
      <c r="E3227" s="100" t="str">
        <f t="shared" si="2"/>
        <v/>
      </c>
      <c r="F3227" s="100" t="str">
        <f t="shared" si="3"/>
        <v/>
      </c>
      <c r="G3227" s="151"/>
      <c r="H3227" s="156"/>
      <c r="I3227" s="157"/>
      <c r="J3227" s="161"/>
      <c r="L3227" s="94"/>
      <c r="M3227" s="159"/>
      <c r="N3227" s="94"/>
    </row>
    <row r="3228">
      <c r="A3228" s="107">
        <v>204067.0</v>
      </c>
      <c r="B3228" s="108" t="s">
        <v>191</v>
      </c>
      <c r="C3228" s="108" t="s">
        <v>813</v>
      </c>
      <c r="D3228" s="100" t="str">
        <f t="shared" si="1"/>
        <v/>
      </c>
      <c r="E3228" s="100" t="str">
        <f t="shared" si="2"/>
        <v/>
      </c>
      <c r="F3228" s="100" t="str">
        <f t="shared" si="3"/>
        <v/>
      </c>
      <c r="G3228" s="151"/>
      <c r="H3228" s="160"/>
      <c r="I3228" s="157"/>
      <c r="J3228" s="158"/>
      <c r="L3228" s="94"/>
      <c r="M3228" s="159"/>
      <c r="N3228" s="94"/>
    </row>
    <row r="3229">
      <c r="A3229" s="107">
        <v>204079.0</v>
      </c>
      <c r="B3229" s="108" t="s">
        <v>90</v>
      </c>
      <c r="C3229" s="108" t="s">
        <v>814</v>
      </c>
      <c r="D3229" s="100" t="str">
        <f t="shared" si="1"/>
        <v/>
      </c>
      <c r="E3229" s="100" t="str">
        <f t="shared" si="2"/>
        <v/>
      </c>
      <c r="F3229" s="100" t="str">
        <f t="shared" si="3"/>
        <v/>
      </c>
      <c r="G3229" s="151"/>
      <c r="H3229" s="156"/>
      <c r="I3229" s="157"/>
      <c r="J3229" s="161"/>
      <c r="L3229" s="94"/>
      <c r="M3229" s="159"/>
      <c r="N3229" s="94"/>
    </row>
    <row r="3230">
      <c r="A3230" s="107">
        <v>204098.0</v>
      </c>
      <c r="B3230" s="108" t="s">
        <v>92</v>
      </c>
      <c r="C3230" s="108" t="s">
        <v>815</v>
      </c>
      <c r="D3230" s="100" t="str">
        <f t="shared" si="1"/>
        <v/>
      </c>
      <c r="E3230" s="100" t="str">
        <f t="shared" si="2"/>
        <v/>
      </c>
      <c r="F3230" s="100" t="str">
        <f t="shared" si="3"/>
        <v/>
      </c>
      <c r="G3230" s="151"/>
      <c r="H3230" s="160"/>
      <c r="I3230" s="157"/>
      <c r="J3230" s="158"/>
      <c r="L3230" s="94"/>
      <c r="M3230" s="159"/>
      <c r="N3230" s="94"/>
    </row>
    <row r="3231">
      <c r="A3231" s="107">
        <v>204098.0</v>
      </c>
      <c r="B3231" s="108" t="s">
        <v>191</v>
      </c>
      <c r="C3231" s="108" t="s">
        <v>815</v>
      </c>
      <c r="D3231" s="100" t="str">
        <f t="shared" si="1"/>
        <v/>
      </c>
      <c r="E3231" s="100" t="str">
        <f t="shared" si="2"/>
        <v/>
      </c>
      <c r="F3231" s="100" t="str">
        <f t="shared" si="3"/>
        <v/>
      </c>
      <c r="G3231" s="151"/>
      <c r="H3231" s="156"/>
      <c r="I3231" s="157"/>
      <c r="J3231" s="161"/>
      <c r="L3231" s="94"/>
      <c r="M3231" s="159"/>
      <c r="N3231" s="94"/>
    </row>
    <row r="3232">
      <c r="A3232" s="107">
        <v>204179.0</v>
      </c>
      <c r="B3232" s="108" t="s">
        <v>191</v>
      </c>
      <c r="C3232" s="108" t="s">
        <v>816</v>
      </c>
      <c r="D3232" s="100" t="str">
        <f t="shared" si="1"/>
        <v/>
      </c>
      <c r="E3232" s="100" t="str">
        <f t="shared" si="2"/>
        <v/>
      </c>
      <c r="F3232" s="100" t="str">
        <f t="shared" si="3"/>
        <v/>
      </c>
      <c r="G3232" s="151"/>
      <c r="H3232" s="160"/>
      <c r="I3232" s="157"/>
      <c r="J3232" s="158"/>
      <c r="L3232" s="94"/>
      <c r="M3232" s="159"/>
      <c r="N3232" s="94"/>
    </row>
    <row r="3233">
      <c r="A3233" s="107">
        <v>204222.0</v>
      </c>
      <c r="B3233" s="108" t="s">
        <v>243</v>
      </c>
      <c r="C3233" s="108" t="s">
        <v>817</v>
      </c>
      <c r="D3233" s="100" t="str">
        <f t="shared" si="1"/>
        <v/>
      </c>
      <c r="E3233" s="100" t="str">
        <f t="shared" si="2"/>
        <v/>
      </c>
      <c r="F3233" s="100" t="str">
        <f t="shared" si="3"/>
        <v/>
      </c>
      <c r="G3233" s="151"/>
      <c r="H3233" s="156"/>
      <c r="I3233" s="157"/>
      <c r="J3233" s="161"/>
      <c r="L3233" s="94"/>
      <c r="M3233" s="159"/>
      <c r="N3233" s="94"/>
    </row>
    <row r="3234">
      <c r="A3234" s="107">
        <v>204456.0</v>
      </c>
      <c r="B3234" s="108" t="s">
        <v>92</v>
      </c>
      <c r="C3234" s="108" t="s">
        <v>818</v>
      </c>
      <c r="D3234" s="100" t="str">
        <f t="shared" si="1"/>
        <v/>
      </c>
      <c r="E3234" s="100" t="str">
        <f t="shared" si="2"/>
        <v/>
      </c>
      <c r="F3234" s="100" t="str">
        <f t="shared" si="3"/>
        <v/>
      </c>
      <c r="G3234" s="151"/>
      <c r="H3234" s="160"/>
      <c r="I3234" s="157"/>
      <c r="J3234" s="158"/>
      <c r="L3234" s="94"/>
      <c r="M3234" s="159"/>
      <c r="N3234" s="94"/>
    </row>
    <row r="3235">
      <c r="A3235" s="107">
        <v>204456.0</v>
      </c>
      <c r="B3235" s="108" t="s">
        <v>190</v>
      </c>
      <c r="C3235" s="108" t="s">
        <v>818</v>
      </c>
      <c r="D3235" s="100" t="str">
        <f t="shared" si="1"/>
        <v/>
      </c>
      <c r="E3235" s="100" t="str">
        <f t="shared" si="2"/>
        <v/>
      </c>
      <c r="F3235" s="100" t="str">
        <f t="shared" si="3"/>
        <v/>
      </c>
      <c r="G3235" s="151"/>
      <c r="H3235" s="156"/>
      <c r="I3235" s="157"/>
      <c r="J3235" s="161"/>
      <c r="L3235" s="94"/>
      <c r="M3235" s="159"/>
      <c r="N3235" s="94"/>
    </row>
    <row r="3236">
      <c r="A3236" s="107">
        <v>204456.0</v>
      </c>
      <c r="B3236" s="108" t="s">
        <v>191</v>
      </c>
      <c r="C3236" s="108" t="s">
        <v>818</v>
      </c>
      <c r="D3236" s="100" t="str">
        <f t="shared" si="1"/>
        <v/>
      </c>
      <c r="E3236" s="100" t="str">
        <f t="shared" si="2"/>
        <v/>
      </c>
      <c r="F3236" s="100" t="str">
        <f t="shared" si="3"/>
        <v/>
      </c>
      <c r="G3236" s="151"/>
      <c r="H3236" s="160"/>
      <c r="I3236" s="157"/>
      <c r="J3236" s="158"/>
      <c r="L3236" s="94"/>
      <c r="M3236" s="159"/>
      <c r="N3236" s="94"/>
    </row>
    <row r="3237">
      <c r="A3237" s="107">
        <v>204456.0</v>
      </c>
      <c r="B3237" s="108" t="s">
        <v>192</v>
      </c>
      <c r="C3237" s="108" t="s">
        <v>818</v>
      </c>
      <c r="D3237" s="100" t="str">
        <f t="shared" si="1"/>
        <v/>
      </c>
      <c r="E3237" s="100" t="str">
        <f t="shared" si="2"/>
        <v/>
      </c>
      <c r="F3237" s="100" t="str">
        <f t="shared" si="3"/>
        <v/>
      </c>
      <c r="G3237" s="151"/>
      <c r="H3237" s="156"/>
      <c r="I3237" s="157"/>
      <c r="J3237" s="161"/>
      <c r="L3237" s="94"/>
      <c r="M3237" s="159"/>
      <c r="N3237" s="94"/>
    </row>
    <row r="3238">
      <c r="A3238" s="107">
        <v>204456.0</v>
      </c>
      <c r="B3238" s="108" t="s">
        <v>193</v>
      </c>
      <c r="C3238" s="108" t="s">
        <v>818</v>
      </c>
      <c r="D3238" s="100" t="str">
        <f t="shared" si="1"/>
        <v/>
      </c>
      <c r="E3238" s="100" t="str">
        <f t="shared" si="2"/>
        <v/>
      </c>
      <c r="F3238" s="100" t="str">
        <f t="shared" si="3"/>
        <v/>
      </c>
      <c r="G3238" s="151"/>
      <c r="H3238" s="160"/>
      <c r="I3238" s="157"/>
      <c r="J3238" s="158"/>
      <c r="L3238" s="94"/>
      <c r="M3238" s="159"/>
      <c r="N3238" s="94"/>
    </row>
    <row r="3239">
      <c r="A3239" s="107">
        <v>204456.0</v>
      </c>
      <c r="B3239" s="108" t="s">
        <v>243</v>
      </c>
      <c r="C3239" s="108" t="s">
        <v>818</v>
      </c>
      <c r="D3239" s="100" t="str">
        <f t="shared" si="1"/>
        <v/>
      </c>
      <c r="E3239" s="100" t="str">
        <f t="shared" si="2"/>
        <v/>
      </c>
      <c r="F3239" s="100" t="str">
        <f t="shared" si="3"/>
        <v/>
      </c>
      <c r="G3239" s="151"/>
      <c r="H3239" s="156"/>
      <c r="I3239" s="157"/>
      <c r="J3239" s="161"/>
      <c r="L3239" s="94"/>
      <c r="M3239" s="159"/>
      <c r="N3239" s="94"/>
    </row>
    <row r="3240">
      <c r="A3240" s="107">
        <v>204456.0</v>
      </c>
      <c r="B3240" s="108" t="s">
        <v>215</v>
      </c>
      <c r="C3240" s="108" t="s">
        <v>818</v>
      </c>
      <c r="D3240" s="100" t="str">
        <f t="shared" si="1"/>
        <v/>
      </c>
      <c r="E3240" s="100" t="str">
        <f t="shared" si="2"/>
        <v/>
      </c>
      <c r="F3240" s="100" t="str">
        <f t="shared" si="3"/>
        <v/>
      </c>
      <c r="G3240" s="151"/>
      <c r="H3240" s="160"/>
      <c r="I3240" s="157"/>
      <c r="J3240" s="158"/>
      <c r="L3240" s="94"/>
      <c r="M3240" s="159"/>
      <c r="N3240" s="94"/>
    </row>
    <row r="3241">
      <c r="A3241" s="107">
        <v>204456.0</v>
      </c>
      <c r="B3241" s="108" t="s">
        <v>244</v>
      </c>
      <c r="C3241" s="108" t="s">
        <v>818</v>
      </c>
      <c r="D3241" s="100" t="str">
        <f t="shared" si="1"/>
        <v/>
      </c>
      <c r="E3241" s="100" t="str">
        <f t="shared" si="2"/>
        <v/>
      </c>
      <c r="F3241" s="100" t="str">
        <f t="shared" si="3"/>
        <v/>
      </c>
      <c r="G3241" s="151"/>
      <c r="H3241" s="156"/>
      <c r="I3241" s="157"/>
      <c r="J3241" s="161"/>
      <c r="L3241" s="94"/>
      <c r="M3241" s="159"/>
      <c r="N3241" s="94"/>
    </row>
    <row r="3242">
      <c r="A3242" s="107">
        <v>204456.0</v>
      </c>
      <c r="B3242" s="108" t="s">
        <v>245</v>
      </c>
      <c r="C3242" s="108" t="s">
        <v>818</v>
      </c>
      <c r="D3242" s="100" t="str">
        <f t="shared" si="1"/>
        <v/>
      </c>
      <c r="E3242" s="100" t="str">
        <f t="shared" si="2"/>
        <v/>
      </c>
      <c r="F3242" s="100" t="str">
        <f t="shared" si="3"/>
        <v/>
      </c>
      <c r="G3242" s="151"/>
      <c r="H3242" s="160"/>
      <c r="I3242" s="157"/>
      <c r="J3242" s="158"/>
      <c r="L3242" s="94"/>
      <c r="M3242" s="159"/>
      <c r="N3242" s="94"/>
    </row>
    <row r="3243">
      <c r="A3243" s="107">
        <v>204456.0</v>
      </c>
      <c r="B3243" s="108" t="s">
        <v>246</v>
      </c>
      <c r="C3243" s="108" t="s">
        <v>818</v>
      </c>
      <c r="D3243" s="100" t="str">
        <f t="shared" si="1"/>
        <v/>
      </c>
      <c r="E3243" s="100" t="str">
        <f t="shared" si="2"/>
        <v/>
      </c>
      <c r="F3243" s="100" t="str">
        <f t="shared" si="3"/>
        <v/>
      </c>
      <c r="G3243" s="151"/>
      <c r="H3243" s="156"/>
      <c r="I3243" s="157"/>
      <c r="J3243" s="161"/>
      <c r="L3243" s="94"/>
      <c r="M3243" s="159"/>
      <c r="N3243" s="94"/>
    </row>
    <row r="3244">
      <c r="A3244" s="140">
        <v>204456.0</v>
      </c>
      <c r="B3244" s="115" t="s">
        <v>247</v>
      </c>
      <c r="C3244" s="115" t="s">
        <v>819</v>
      </c>
      <c r="D3244" s="100" t="str">
        <f t="shared" si="1"/>
        <v/>
      </c>
      <c r="E3244" s="100" t="str">
        <f t="shared" si="2"/>
        <v/>
      </c>
      <c r="F3244" s="100" t="str">
        <f t="shared" si="3"/>
        <v/>
      </c>
      <c r="G3244" s="151"/>
      <c r="H3244" s="160"/>
      <c r="I3244" s="157"/>
      <c r="J3244" s="158"/>
      <c r="L3244" s="94"/>
      <c r="M3244" s="159"/>
      <c r="N3244" s="94"/>
    </row>
    <row r="3245">
      <c r="A3245" s="163">
        <v>1626143.0</v>
      </c>
      <c r="B3245" s="164" t="s">
        <v>92</v>
      </c>
      <c r="C3245" s="164" t="s">
        <v>820</v>
      </c>
      <c r="D3245" s="100" t="str">
        <f t="shared" si="1"/>
        <v/>
      </c>
      <c r="E3245" s="100" t="str">
        <f t="shared" si="2"/>
        <v/>
      </c>
      <c r="F3245" s="100" t="str">
        <f t="shared" si="3"/>
        <v/>
      </c>
      <c r="G3245" s="151"/>
      <c r="H3245" s="156"/>
      <c r="I3245" s="157"/>
      <c r="J3245" s="161"/>
      <c r="L3245" s="94"/>
      <c r="M3245" s="159"/>
      <c r="N3245" s="94"/>
    </row>
    <row r="3246">
      <c r="A3246" s="107">
        <v>1626143.0</v>
      </c>
      <c r="B3246" s="108" t="s">
        <v>190</v>
      </c>
      <c r="C3246" s="108" t="s">
        <v>820</v>
      </c>
      <c r="D3246" s="100" t="str">
        <f t="shared" si="1"/>
        <v/>
      </c>
      <c r="E3246" s="100" t="str">
        <f t="shared" si="2"/>
        <v/>
      </c>
      <c r="F3246" s="100" t="str">
        <f t="shared" si="3"/>
        <v/>
      </c>
      <c r="G3246" s="151"/>
      <c r="H3246" s="160"/>
      <c r="I3246" s="157"/>
      <c r="J3246" s="158"/>
      <c r="L3246" s="94"/>
      <c r="M3246" s="159"/>
      <c r="N3246" s="94"/>
    </row>
    <row r="3247">
      <c r="A3247" s="107">
        <v>1626143.0</v>
      </c>
      <c r="B3247" s="108" t="s">
        <v>191</v>
      </c>
      <c r="C3247" s="108" t="s">
        <v>820</v>
      </c>
      <c r="D3247" s="100" t="str">
        <f t="shared" si="1"/>
        <v/>
      </c>
      <c r="E3247" s="100" t="str">
        <f t="shared" si="2"/>
        <v/>
      </c>
      <c r="F3247" s="100" t="str">
        <f t="shared" si="3"/>
        <v/>
      </c>
      <c r="G3247" s="151"/>
      <c r="H3247" s="156"/>
      <c r="I3247" s="157"/>
      <c r="J3247" s="161"/>
      <c r="L3247" s="94"/>
      <c r="M3247" s="159"/>
      <c r="N3247" s="94"/>
    </row>
    <row r="3248">
      <c r="A3248" s="107">
        <v>1626143.0</v>
      </c>
      <c r="B3248" s="108" t="s">
        <v>192</v>
      </c>
      <c r="C3248" s="108" t="s">
        <v>820</v>
      </c>
      <c r="D3248" s="100" t="str">
        <f t="shared" si="1"/>
        <v/>
      </c>
      <c r="E3248" s="100" t="str">
        <f t="shared" si="2"/>
        <v/>
      </c>
      <c r="F3248" s="100" t="str">
        <f t="shared" si="3"/>
        <v/>
      </c>
      <c r="G3248" s="151"/>
      <c r="H3248" s="160"/>
      <c r="I3248" s="157"/>
      <c r="J3248" s="158"/>
      <c r="L3248" s="94"/>
      <c r="M3248" s="159"/>
      <c r="N3248" s="94"/>
    </row>
    <row r="3249">
      <c r="A3249" s="107">
        <v>1626143.0</v>
      </c>
      <c r="B3249" s="108" t="s">
        <v>193</v>
      </c>
      <c r="C3249" s="108" t="s">
        <v>820</v>
      </c>
      <c r="D3249" s="100" t="str">
        <f t="shared" si="1"/>
        <v/>
      </c>
      <c r="E3249" s="100" t="str">
        <f t="shared" si="2"/>
        <v/>
      </c>
      <c r="F3249" s="100" t="str">
        <f t="shared" si="3"/>
        <v/>
      </c>
      <c r="G3249" s="151"/>
      <c r="H3249" s="156"/>
      <c r="I3249" s="157"/>
      <c r="J3249" s="161"/>
      <c r="L3249" s="94"/>
      <c r="M3249" s="159"/>
      <c r="N3249" s="94"/>
    </row>
    <row r="3250">
      <c r="A3250" s="107">
        <v>1626143.0</v>
      </c>
      <c r="B3250" s="108" t="s">
        <v>243</v>
      </c>
      <c r="C3250" s="108" t="s">
        <v>820</v>
      </c>
      <c r="D3250" s="100" t="str">
        <f t="shared" si="1"/>
        <v/>
      </c>
      <c r="E3250" s="100" t="str">
        <f t="shared" si="2"/>
        <v/>
      </c>
      <c r="F3250" s="100" t="str">
        <f t="shared" si="3"/>
        <v/>
      </c>
      <c r="G3250" s="151"/>
      <c r="H3250" s="160"/>
      <c r="I3250" s="157"/>
      <c r="J3250" s="158"/>
      <c r="L3250" s="94"/>
      <c r="M3250" s="159"/>
      <c r="N3250" s="94"/>
    </row>
    <row r="3251">
      <c r="A3251" s="149">
        <v>1626143.0</v>
      </c>
      <c r="B3251" s="108" t="s">
        <v>246</v>
      </c>
      <c r="C3251" s="115" t="s">
        <v>820</v>
      </c>
      <c r="D3251" s="100" t="str">
        <f t="shared" si="1"/>
        <v/>
      </c>
      <c r="E3251" s="100" t="str">
        <f t="shared" si="2"/>
        <v/>
      </c>
      <c r="F3251" s="100" t="str">
        <f t="shared" si="3"/>
        <v/>
      </c>
      <c r="G3251" s="151"/>
      <c r="H3251" s="156"/>
      <c r="I3251" s="157"/>
      <c r="J3251" s="161"/>
      <c r="L3251" s="94"/>
      <c r="M3251" s="159"/>
      <c r="N3251" s="94"/>
    </row>
    <row r="3252">
      <c r="A3252" s="165">
        <v>1626144.0</v>
      </c>
      <c r="B3252" s="124" t="s">
        <v>92</v>
      </c>
      <c r="C3252" s="124" t="s">
        <v>821</v>
      </c>
      <c r="D3252" s="100" t="str">
        <f t="shared" si="1"/>
        <v/>
      </c>
      <c r="E3252" s="100" t="str">
        <f t="shared" si="2"/>
        <v/>
      </c>
      <c r="F3252" s="100" t="str">
        <f t="shared" si="3"/>
        <v/>
      </c>
      <c r="G3252" s="151"/>
      <c r="H3252" s="160"/>
      <c r="I3252" s="157"/>
      <c r="J3252" s="158"/>
      <c r="L3252" s="94"/>
      <c r="M3252" s="159"/>
      <c r="N3252" s="94"/>
    </row>
    <row r="3253">
      <c r="A3253" s="107">
        <v>1626144.0</v>
      </c>
      <c r="B3253" s="108" t="s">
        <v>190</v>
      </c>
      <c r="C3253" s="108" t="s">
        <v>821</v>
      </c>
      <c r="D3253" s="100" t="str">
        <f t="shared" si="1"/>
        <v/>
      </c>
      <c r="E3253" s="100" t="str">
        <f t="shared" si="2"/>
        <v/>
      </c>
      <c r="F3253" s="100" t="str">
        <f t="shared" si="3"/>
        <v/>
      </c>
      <c r="G3253" s="151"/>
      <c r="H3253" s="156"/>
      <c r="I3253" s="157"/>
      <c r="J3253" s="161"/>
      <c r="L3253" s="94"/>
      <c r="M3253" s="159"/>
      <c r="N3253" s="94"/>
    </row>
    <row r="3254">
      <c r="A3254" s="107">
        <v>1626144.0</v>
      </c>
      <c r="B3254" s="108" t="s">
        <v>191</v>
      </c>
      <c r="C3254" s="108" t="s">
        <v>821</v>
      </c>
      <c r="D3254" s="100" t="str">
        <f t="shared" si="1"/>
        <v/>
      </c>
      <c r="E3254" s="100" t="str">
        <f t="shared" si="2"/>
        <v/>
      </c>
      <c r="F3254" s="100" t="str">
        <f t="shared" si="3"/>
        <v/>
      </c>
      <c r="G3254" s="151"/>
      <c r="H3254" s="160"/>
      <c r="I3254" s="157"/>
      <c r="J3254" s="158"/>
      <c r="L3254" s="94"/>
      <c r="M3254" s="159"/>
      <c r="N3254" s="94"/>
    </row>
    <row r="3255">
      <c r="A3255" s="107">
        <v>1626144.0</v>
      </c>
      <c r="B3255" s="108" t="s">
        <v>192</v>
      </c>
      <c r="C3255" s="108" t="s">
        <v>821</v>
      </c>
      <c r="D3255" s="100" t="str">
        <f t="shared" si="1"/>
        <v/>
      </c>
      <c r="E3255" s="100" t="str">
        <f t="shared" si="2"/>
        <v/>
      </c>
      <c r="F3255" s="100" t="str">
        <f t="shared" si="3"/>
        <v/>
      </c>
      <c r="G3255" s="151"/>
      <c r="H3255" s="156"/>
      <c r="I3255" s="157"/>
      <c r="J3255" s="161"/>
      <c r="L3255" s="94"/>
      <c r="M3255" s="159"/>
      <c r="N3255" s="94"/>
    </row>
    <row r="3256">
      <c r="A3256" s="107">
        <v>1626144.0</v>
      </c>
      <c r="B3256" s="108" t="s">
        <v>193</v>
      </c>
      <c r="C3256" s="108" t="s">
        <v>821</v>
      </c>
      <c r="D3256" s="100" t="str">
        <f t="shared" si="1"/>
        <v/>
      </c>
      <c r="E3256" s="100" t="str">
        <f t="shared" si="2"/>
        <v/>
      </c>
      <c r="F3256" s="100" t="str">
        <f t="shared" si="3"/>
        <v/>
      </c>
      <c r="G3256" s="151"/>
      <c r="H3256" s="160"/>
      <c r="I3256" s="157"/>
      <c r="J3256" s="158"/>
      <c r="L3256" s="94"/>
      <c r="M3256" s="159"/>
      <c r="N3256" s="94"/>
    </row>
    <row r="3257">
      <c r="A3257" s="107">
        <v>1626144.0</v>
      </c>
      <c r="B3257" s="108" t="s">
        <v>215</v>
      </c>
      <c r="C3257" s="108" t="s">
        <v>821</v>
      </c>
      <c r="D3257" s="100" t="str">
        <f t="shared" si="1"/>
        <v/>
      </c>
      <c r="E3257" s="100" t="str">
        <f t="shared" si="2"/>
        <v/>
      </c>
      <c r="F3257" s="100" t="str">
        <f t="shared" si="3"/>
        <v/>
      </c>
      <c r="G3257" s="151"/>
      <c r="H3257" s="156"/>
      <c r="I3257" s="157"/>
      <c r="J3257" s="161"/>
      <c r="L3257" s="94"/>
      <c r="M3257" s="159"/>
      <c r="N3257" s="94"/>
    </row>
    <row r="3258">
      <c r="A3258" s="107">
        <v>1626145.0</v>
      </c>
      <c r="B3258" s="108" t="s">
        <v>92</v>
      </c>
      <c r="C3258" s="108" t="s">
        <v>822</v>
      </c>
      <c r="D3258" s="100" t="str">
        <f t="shared" si="1"/>
        <v/>
      </c>
      <c r="E3258" s="100" t="str">
        <f t="shared" si="2"/>
        <v/>
      </c>
      <c r="F3258" s="100" t="str">
        <f t="shared" si="3"/>
        <v/>
      </c>
      <c r="G3258" s="151"/>
      <c r="H3258" s="160"/>
      <c r="I3258" s="157"/>
      <c r="J3258" s="158"/>
      <c r="L3258" s="94"/>
      <c r="M3258" s="159"/>
      <c r="N3258" s="94"/>
    </row>
    <row r="3259">
      <c r="A3259" s="107">
        <v>1626145.0</v>
      </c>
      <c r="B3259" s="108" t="s">
        <v>190</v>
      </c>
      <c r="C3259" s="108" t="s">
        <v>822</v>
      </c>
      <c r="D3259" s="100" t="str">
        <f t="shared" si="1"/>
        <v/>
      </c>
      <c r="E3259" s="100" t="str">
        <f t="shared" si="2"/>
        <v/>
      </c>
      <c r="F3259" s="100" t="str">
        <f t="shared" si="3"/>
        <v/>
      </c>
      <c r="G3259" s="151"/>
      <c r="H3259" s="156"/>
      <c r="I3259" s="157"/>
      <c r="J3259" s="161"/>
      <c r="L3259" s="94"/>
      <c r="M3259" s="159"/>
      <c r="N3259" s="94"/>
    </row>
    <row r="3260">
      <c r="A3260" s="107">
        <v>1626145.0</v>
      </c>
      <c r="B3260" s="108" t="s">
        <v>191</v>
      </c>
      <c r="C3260" s="108" t="s">
        <v>822</v>
      </c>
      <c r="D3260" s="100" t="str">
        <f t="shared" si="1"/>
        <v/>
      </c>
      <c r="E3260" s="100" t="str">
        <f t="shared" si="2"/>
        <v/>
      </c>
      <c r="F3260" s="100" t="str">
        <f t="shared" si="3"/>
        <v/>
      </c>
      <c r="G3260" s="151"/>
      <c r="H3260" s="160"/>
      <c r="I3260" s="157"/>
      <c r="J3260" s="158"/>
      <c r="L3260" s="94"/>
      <c r="M3260" s="159"/>
      <c r="N3260" s="94"/>
    </row>
    <row r="3261">
      <c r="A3261" s="107">
        <v>1626145.0</v>
      </c>
      <c r="B3261" s="108" t="s">
        <v>192</v>
      </c>
      <c r="C3261" s="108" t="s">
        <v>822</v>
      </c>
      <c r="D3261" s="100" t="str">
        <f t="shared" si="1"/>
        <v/>
      </c>
      <c r="E3261" s="100" t="str">
        <f t="shared" si="2"/>
        <v/>
      </c>
      <c r="F3261" s="100" t="str">
        <f t="shared" si="3"/>
        <v/>
      </c>
      <c r="G3261" s="151"/>
      <c r="H3261" s="156"/>
      <c r="I3261" s="157"/>
      <c r="J3261" s="161"/>
      <c r="L3261" s="94"/>
      <c r="M3261" s="159"/>
      <c r="N3261" s="94"/>
    </row>
    <row r="3262">
      <c r="A3262" s="107">
        <v>1626145.0</v>
      </c>
      <c r="B3262" s="108" t="s">
        <v>193</v>
      </c>
      <c r="C3262" s="108" t="s">
        <v>822</v>
      </c>
      <c r="D3262" s="100" t="str">
        <f t="shared" si="1"/>
        <v/>
      </c>
      <c r="E3262" s="100" t="str">
        <f t="shared" si="2"/>
        <v/>
      </c>
      <c r="F3262" s="100" t="str">
        <f t="shared" si="3"/>
        <v/>
      </c>
      <c r="G3262" s="151"/>
      <c r="H3262" s="160"/>
      <c r="I3262" s="157"/>
      <c r="J3262" s="158"/>
      <c r="L3262" s="94"/>
      <c r="M3262" s="159"/>
      <c r="N3262" s="94"/>
    </row>
    <row r="3263">
      <c r="A3263" s="107">
        <v>1626145.0</v>
      </c>
      <c r="B3263" s="108" t="s">
        <v>243</v>
      </c>
      <c r="C3263" s="108" t="s">
        <v>822</v>
      </c>
      <c r="D3263" s="100" t="str">
        <f t="shared" si="1"/>
        <v/>
      </c>
      <c r="E3263" s="100" t="str">
        <f t="shared" si="2"/>
        <v/>
      </c>
      <c r="F3263" s="100" t="str">
        <f t="shared" si="3"/>
        <v/>
      </c>
      <c r="G3263" s="151"/>
      <c r="H3263" s="156"/>
      <c r="I3263" s="157"/>
      <c r="J3263" s="161"/>
      <c r="L3263" s="94"/>
      <c r="M3263" s="159"/>
      <c r="N3263" s="94"/>
    </row>
    <row r="3264">
      <c r="A3264" s="107">
        <v>1626145.0</v>
      </c>
      <c r="B3264" s="108" t="s">
        <v>215</v>
      </c>
      <c r="C3264" s="108" t="s">
        <v>822</v>
      </c>
      <c r="D3264" s="100" t="str">
        <f t="shared" si="1"/>
        <v/>
      </c>
      <c r="E3264" s="100" t="str">
        <f t="shared" si="2"/>
        <v/>
      </c>
      <c r="F3264" s="100" t="str">
        <f t="shared" si="3"/>
        <v/>
      </c>
      <c r="G3264" s="151"/>
      <c r="H3264" s="160"/>
      <c r="I3264" s="157"/>
      <c r="J3264" s="158"/>
      <c r="L3264" s="94"/>
      <c r="M3264" s="159"/>
      <c r="N3264" s="94"/>
    </row>
    <row r="3265">
      <c r="A3265" s="107">
        <v>1626145.0</v>
      </c>
      <c r="B3265" s="108" t="s">
        <v>244</v>
      </c>
      <c r="C3265" s="108" t="s">
        <v>822</v>
      </c>
      <c r="D3265" s="100" t="str">
        <f t="shared" si="1"/>
        <v/>
      </c>
      <c r="E3265" s="100" t="str">
        <f t="shared" si="2"/>
        <v/>
      </c>
      <c r="F3265" s="100" t="str">
        <f t="shared" si="3"/>
        <v/>
      </c>
      <c r="G3265" s="151"/>
      <c r="H3265" s="156"/>
      <c r="I3265" s="157"/>
      <c r="J3265" s="161"/>
      <c r="L3265" s="94"/>
      <c r="M3265" s="159"/>
      <c r="N3265" s="94"/>
    </row>
    <row r="3266">
      <c r="A3266" s="107">
        <v>1626145.0</v>
      </c>
      <c r="B3266" s="108" t="s">
        <v>245</v>
      </c>
      <c r="C3266" s="108" t="s">
        <v>822</v>
      </c>
      <c r="D3266" s="100" t="str">
        <f t="shared" si="1"/>
        <v/>
      </c>
      <c r="E3266" s="100" t="str">
        <f t="shared" si="2"/>
        <v/>
      </c>
      <c r="F3266" s="100" t="str">
        <f t="shared" si="3"/>
        <v/>
      </c>
      <c r="G3266" s="151"/>
      <c r="H3266" s="160"/>
      <c r="I3266" s="157"/>
      <c r="J3266" s="158"/>
      <c r="L3266" s="94"/>
      <c r="M3266" s="159"/>
      <c r="N3266" s="94"/>
    </row>
    <row r="3267">
      <c r="A3267" s="107">
        <v>1626145.0</v>
      </c>
      <c r="B3267" s="108" t="s">
        <v>246</v>
      </c>
      <c r="C3267" s="108" t="s">
        <v>822</v>
      </c>
      <c r="D3267" s="100" t="str">
        <f t="shared" si="1"/>
        <v/>
      </c>
      <c r="E3267" s="100" t="str">
        <f t="shared" si="2"/>
        <v/>
      </c>
      <c r="F3267" s="100" t="str">
        <f t="shared" si="3"/>
        <v/>
      </c>
      <c r="G3267" s="151"/>
      <c r="H3267" s="156"/>
      <c r="I3267" s="157"/>
      <c r="J3267" s="161"/>
      <c r="L3267" s="94"/>
      <c r="M3267" s="159"/>
      <c r="N3267" s="94"/>
    </row>
    <row r="3268">
      <c r="A3268" s="149">
        <v>1626145.0</v>
      </c>
      <c r="B3268" s="115" t="s">
        <v>247</v>
      </c>
      <c r="C3268" s="115" t="s">
        <v>822</v>
      </c>
      <c r="D3268" s="100" t="str">
        <f t="shared" si="1"/>
        <v/>
      </c>
      <c r="E3268" s="100" t="str">
        <f t="shared" si="2"/>
        <v/>
      </c>
      <c r="F3268" s="100" t="str">
        <f t="shared" si="3"/>
        <v/>
      </c>
      <c r="G3268" s="151"/>
      <c r="H3268" s="160"/>
      <c r="I3268" s="157"/>
      <c r="J3268" s="158"/>
      <c r="L3268" s="94"/>
      <c r="M3268" s="159"/>
      <c r="N3268" s="94"/>
    </row>
    <row r="3269">
      <c r="A3269" s="21">
        <v>1626146.0</v>
      </c>
      <c r="B3269" s="164" t="s">
        <v>92</v>
      </c>
      <c r="C3269" s="164" t="s">
        <v>823</v>
      </c>
      <c r="D3269" s="100" t="str">
        <f t="shared" si="1"/>
        <v/>
      </c>
      <c r="E3269" s="100" t="str">
        <f t="shared" si="2"/>
        <v/>
      </c>
      <c r="F3269" s="100" t="str">
        <f t="shared" si="3"/>
        <v/>
      </c>
      <c r="G3269" s="151"/>
      <c r="H3269" s="156"/>
      <c r="I3269" s="157"/>
      <c r="J3269" s="161"/>
      <c r="L3269" s="94"/>
      <c r="M3269" s="159"/>
      <c r="N3269" s="94"/>
    </row>
    <row r="3270">
      <c r="A3270" s="107">
        <v>1626147.0</v>
      </c>
      <c r="B3270" s="108" t="s">
        <v>92</v>
      </c>
      <c r="C3270" s="108" t="s">
        <v>824</v>
      </c>
      <c r="D3270" s="100" t="str">
        <f t="shared" si="1"/>
        <v/>
      </c>
      <c r="E3270" s="100" t="str">
        <f t="shared" si="2"/>
        <v/>
      </c>
      <c r="F3270" s="100" t="str">
        <f t="shared" si="3"/>
        <v/>
      </c>
      <c r="G3270" s="151"/>
      <c r="H3270" s="160"/>
      <c r="I3270" s="157"/>
      <c r="J3270" s="158"/>
      <c r="L3270" s="94"/>
      <c r="M3270" s="159"/>
      <c r="N3270" s="94"/>
    </row>
    <row r="3271">
      <c r="A3271" s="107">
        <v>1626147.0</v>
      </c>
      <c r="B3271" s="108" t="s">
        <v>190</v>
      </c>
      <c r="C3271" s="108" t="s">
        <v>824</v>
      </c>
      <c r="D3271" s="100" t="str">
        <f t="shared" si="1"/>
        <v/>
      </c>
      <c r="E3271" s="100" t="str">
        <f t="shared" si="2"/>
        <v/>
      </c>
      <c r="F3271" s="100" t="str">
        <f t="shared" si="3"/>
        <v/>
      </c>
      <c r="G3271" s="151"/>
      <c r="H3271" s="156"/>
      <c r="I3271" s="157"/>
      <c r="J3271" s="161"/>
      <c r="L3271" s="94"/>
      <c r="M3271" s="159"/>
      <c r="N3271" s="94"/>
    </row>
    <row r="3272">
      <c r="A3272" s="107">
        <v>1626147.0</v>
      </c>
      <c r="B3272" s="108" t="s">
        <v>191</v>
      </c>
      <c r="C3272" s="108" t="s">
        <v>824</v>
      </c>
      <c r="D3272" s="100" t="str">
        <f t="shared" si="1"/>
        <v/>
      </c>
      <c r="E3272" s="100" t="str">
        <f t="shared" si="2"/>
        <v/>
      </c>
      <c r="F3272" s="100" t="str">
        <f t="shared" si="3"/>
        <v/>
      </c>
      <c r="G3272" s="151"/>
      <c r="H3272" s="160"/>
      <c r="I3272" s="157"/>
      <c r="J3272" s="158"/>
      <c r="L3272" s="94"/>
      <c r="M3272" s="159"/>
      <c r="N3272" s="94"/>
    </row>
    <row r="3273">
      <c r="A3273" s="107">
        <v>1626147.0</v>
      </c>
      <c r="B3273" s="108" t="s">
        <v>192</v>
      </c>
      <c r="C3273" s="108" t="s">
        <v>824</v>
      </c>
      <c r="D3273" s="100" t="str">
        <f t="shared" si="1"/>
        <v/>
      </c>
      <c r="E3273" s="100" t="str">
        <f t="shared" si="2"/>
        <v/>
      </c>
      <c r="F3273" s="100" t="str">
        <f t="shared" si="3"/>
        <v/>
      </c>
      <c r="G3273" s="151"/>
      <c r="H3273" s="156"/>
      <c r="I3273" s="157"/>
      <c r="J3273" s="161"/>
      <c r="L3273" s="94"/>
      <c r="M3273" s="159"/>
      <c r="N3273" s="94"/>
    </row>
    <row r="3274">
      <c r="A3274" s="107">
        <v>1626147.0</v>
      </c>
      <c r="B3274" s="108" t="s">
        <v>193</v>
      </c>
      <c r="C3274" s="108" t="s">
        <v>824</v>
      </c>
      <c r="D3274" s="100" t="str">
        <f t="shared" si="1"/>
        <v/>
      </c>
      <c r="E3274" s="100" t="str">
        <f t="shared" si="2"/>
        <v/>
      </c>
      <c r="F3274" s="100" t="str">
        <f t="shared" si="3"/>
        <v/>
      </c>
      <c r="G3274" s="151"/>
      <c r="H3274" s="160"/>
      <c r="I3274" s="157"/>
      <c r="J3274" s="158"/>
      <c r="L3274" s="94"/>
      <c r="M3274" s="159"/>
      <c r="N3274" s="94"/>
    </row>
    <row r="3275">
      <c r="A3275" s="107">
        <v>1626147.0</v>
      </c>
      <c r="B3275" s="108" t="s">
        <v>215</v>
      </c>
      <c r="C3275" s="108" t="s">
        <v>824</v>
      </c>
      <c r="D3275" s="100" t="str">
        <f t="shared" si="1"/>
        <v/>
      </c>
      <c r="E3275" s="100" t="str">
        <f t="shared" si="2"/>
        <v/>
      </c>
      <c r="F3275" s="100" t="str">
        <f t="shared" si="3"/>
        <v/>
      </c>
      <c r="G3275" s="151"/>
      <c r="H3275" s="156"/>
      <c r="I3275" s="157"/>
      <c r="J3275" s="161"/>
      <c r="L3275" s="94"/>
      <c r="M3275" s="159"/>
      <c r="N3275" s="94"/>
    </row>
    <row r="3276">
      <c r="A3276" s="107">
        <v>1626148.0</v>
      </c>
      <c r="B3276" s="108" t="s">
        <v>92</v>
      </c>
      <c r="C3276" s="108" t="s">
        <v>825</v>
      </c>
      <c r="D3276" s="100" t="str">
        <f t="shared" si="1"/>
        <v/>
      </c>
      <c r="E3276" s="100" t="str">
        <f t="shared" si="2"/>
        <v/>
      </c>
      <c r="F3276" s="100" t="str">
        <f t="shared" si="3"/>
        <v/>
      </c>
      <c r="G3276" s="151"/>
      <c r="H3276" s="160"/>
      <c r="I3276" s="157"/>
      <c r="J3276" s="158"/>
      <c r="L3276" s="94"/>
      <c r="M3276" s="159"/>
      <c r="N3276" s="94"/>
    </row>
    <row r="3277">
      <c r="A3277" s="107">
        <v>1626148.0</v>
      </c>
      <c r="B3277" s="108" t="s">
        <v>190</v>
      </c>
      <c r="C3277" s="108" t="s">
        <v>825</v>
      </c>
      <c r="D3277" s="100" t="str">
        <f t="shared" si="1"/>
        <v/>
      </c>
      <c r="E3277" s="100" t="str">
        <f t="shared" si="2"/>
        <v/>
      </c>
      <c r="F3277" s="100" t="str">
        <f t="shared" si="3"/>
        <v/>
      </c>
      <c r="G3277" s="151"/>
      <c r="H3277" s="156"/>
      <c r="I3277" s="157"/>
      <c r="J3277" s="161"/>
      <c r="L3277" s="94"/>
      <c r="M3277" s="159"/>
      <c r="N3277" s="94"/>
    </row>
    <row r="3278">
      <c r="A3278" s="107">
        <v>1626148.0</v>
      </c>
      <c r="B3278" s="108" t="s">
        <v>191</v>
      </c>
      <c r="C3278" s="108" t="s">
        <v>825</v>
      </c>
      <c r="D3278" s="100" t="str">
        <f t="shared" si="1"/>
        <v/>
      </c>
      <c r="E3278" s="100" t="str">
        <f t="shared" si="2"/>
        <v/>
      </c>
      <c r="F3278" s="100" t="str">
        <f t="shared" si="3"/>
        <v/>
      </c>
      <c r="G3278" s="151"/>
      <c r="H3278" s="160"/>
      <c r="I3278" s="157"/>
      <c r="J3278" s="158"/>
      <c r="L3278" s="94"/>
      <c r="M3278" s="159"/>
      <c r="N3278" s="94"/>
    </row>
    <row r="3279">
      <c r="A3279" s="107">
        <v>1626149.0</v>
      </c>
      <c r="B3279" s="108" t="s">
        <v>92</v>
      </c>
      <c r="C3279" s="108" t="s">
        <v>826</v>
      </c>
      <c r="D3279" s="100" t="str">
        <f t="shared" si="1"/>
        <v/>
      </c>
      <c r="E3279" s="100" t="str">
        <f t="shared" si="2"/>
        <v/>
      </c>
      <c r="F3279" s="100" t="str">
        <f t="shared" si="3"/>
        <v/>
      </c>
      <c r="G3279" s="151"/>
      <c r="H3279" s="156"/>
      <c r="I3279" s="157"/>
      <c r="J3279" s="161"/>
      <c r="L3279" s="94"/>
      <c r="M3279" s="159"/>
      <c r="N3279" s="94"/>
    </row>
    <row r="3280">
      <c r="A3280" s="107">
        <v>1626149.0</v>
      </c>
      <c r="B3280" s="108" t="s">
        <v>190</v>
      </c>
      <c r="C3280" s="108" t="s">
        <v>826</v>
      </c>
      <c r="D3280" s="100" t="str">
        <f t="shared" si="1"/>
        <v/>
      </c>
      <c r="E3280" s="100" t="str">
        <f t="shared" si="2"/>
        <v/>
      </c>
      <c r="F3280" s="100" t="str">
        <f t="shared" si="3"/>
        <v/>
      </c>
      <c r="G3280" s="151"/>
      <c r="H3280" s="160"/>
      <c r="I3280" s="157"/>
      <c r="J3280" s="158"/>
      <c r="L3280" s="94"/>
      <c r="M3280" s="159"/>
      <c r="N3280" s="94"/>
    </row>
    <row r="3281">
      <c r="A3281" s="107">
        <v>1626149.0</v>
      </c>
      <c r="B3281" s="108" t="s">
        <v>191</v>
      </c>
      <c r="C3281" s="108" t="s">
        <v>826</v>
      </c>
      <c r="D3281" s="100" t="str">
        <f t="shared" si="1"/>
        <v/>
      </c>
      <c r="E3281" s="100" t="str">
        <f t="shared" si="2"/>
        <v/>
      </c>
      <c r="F3281" s="100" t="str">
        <f t="shared" si="3"/>
        <v/>
      </c>
      <c r="G3281" s="151"/>
      <c r="H3281" s="156"/>
      <c r="I3281" s="157"/>
      <c r="J3281" s="161"/>
      <c r="L3281" s="94"/>
      <c r="M3281" s="159"/>
      <c r="N3281" s="94"/>
    </row>
    <row r="3282">
      <c r="A3282" s="107">
        <v>1626149.0</v>
      </c>
      <c r="B3282" s="108" t="s">
        <v>192</v>
      </c>
      <c r="C3282" s="108" t="s">
        <v>826</v>
      </c>
      <c r="D3282" s="100" t="str">
        <f t="shared" si="1"/>
        <v/>
      </c>
      <c r="E3282" s="100" t="str">
        <f t="shared" si="2"/>
        <v/>
      </c>
      <c r="F3282" s="100" t="str">
        <f t="shared" si="3"/>
        <v/>
      </c>
      <c r="G3282" s="151"/>
      <c r="H3282" s="160"/>
      <c r="I3282" s="157"/>
      <c r="J3282" s="158"/>
      <c r="L3282" s="94"/>
      <c r="M3282" s="159"/>
      <c r="N3282" s="94"/>
    </row>
    <row r="3283">
      <c r="A3283" s="107">
        <v>1626149.0</v>
      </c>
      <c r="B3283" s="108" t="s">
        <v>193</v>
      </c>
      <c r="C3283" s="108" t="s">
        <v>826</v>
      </c>
      <c r="D3283" s="100" t="str">
        <f t="shared" si="1"/>
        <v/>
      </c>
      <c r="E3283" s="100" t="str">
        <f t="shared" si="2"/>
        <v/>
      </c>
      <c r="F3283" s="100" t="str">
        <f t="shared" si="3"/>
        <v/>
      </c>
      <c r="G3283" s="151"/>
      <c r="H3283" s="156"/>
      <c r="I3283" s="157"/>
      <c r="J3283" s="161"/>
      <c r="L3283" s="94"/>
      <c r="M3283" s="159"/>
      <c r="N3283" s="94"/>
    </row>
    <row r="3284">
      <c r="A3284" s="107">
        <v>1626149.0</v>
      </c>
      <c r="B3284" s="108" t="s">
        <v>243</v>
      </c>
      <c r="C3284" s="108" t="s">
        <v>826</v>
      </c>
      <c r="D3284" s="100" t="str">
        <f t="shared" si="1"/>
        <v/>
      </c>
      <c r="E3284" s="100" t="str">
        <f t="shared" si="2"/>
        <v/>
      </c>
      <c r="F3284" s="100" t="str">
        <f t="shared" si="3"/>
        <v/>
      </c>
      <c r="G3284" s="151"/>
      <c r="H3284" s="160"/>
      <c r="I3284" s="157"/>
      <c r="J3284" s="158"/>
      <c r="L3284" s="94"/>
      <c r="M3284" s="159"/>
      <c r="N3284" s="94"/>
    </row>
    <row r="3285">
      <c r="A3285" s="107">
        <v>1626149.0</v>
      </c>
      <c r="B3285" s="108" t="s">
        <v>215</v>
      </c>
      <c r="C3285" s="108" t="s">
        <v>826</v>
      </c>
      <c r="D3285" s="100" t="str">
        <f t="shared" si="1"/>
        <v/>
      </c>
      <c r="E3285" s="100" t="str">
        <f t="shared" si="2"/>
        <v/>
      </c>
      <c r="F3285" s="100" t="str">
        <f t="shared" si="3"/>
        <v/>
      </c>
      <c r="G3285" s="151"/>
      <c r="H3285" s="156"/>
      <c r="I3285" s="157"/>
      <c r="J3285" s="161"/>
      <c r="L3285" s="94"/>
      <c r="M3285" s="159"/>
      <c r="N3285" s="94"/>
    </row>
    <row r="3286">
      <c r="A3286" s="107">
        <v>1626149.0</v>
      </c>
      <c r="B3286" s="108" t="s">
        <v>244</v>
      </c>
      <c r="C3286" s="108" t="s">
        <v>826</v>
      </c>
      <c r="D3286" s="100" t="str">
        <f t="shared" si="1"/>
        <v/>
      </c>
      <c r="E3286" s="100" t="str">
        <f t="shared" si="2"/>
        <v/>
      </c>
      <c r="F3286" s="100" t="str">
        <f t="shared" si="3"/>
        <v/>
      </c>
      <c r="G3286" s="151"/>
      <c r="H3286" s="160"/>
      <c r="I3286" s="157"/>
      <c r="J3286" s="158"/>
      <c r="L3286" s="94"/>
      <c r="M3286" s="159"/>
      <c r="N3286" s="94"/>
    </row>
    <row r="3287">
      <c r="A3287" s="107">
        <v>1626150.0</v>
      </c>
      <c r="B3287" s="108" t="s">
        <v>190</v>
      </c>
      <c r="C3287" s="108" t="s">
        <v>827</v>
      </c>
      <c r="D3287" s="100" t="str">
        <f t="shared" si="1"/>
        <v/>
      </c>
      <c r="E3287" s="100" t="str">
        <f t="shared" si="2"/>
        <v/>
      </c>
      <c r="F3287" s="100" t="str">
        <f t="shared" si="3"/>
        <v/>
      </c>
      <c r="G3287" s="151"/>
      <c r="H3287" s="156"/>
      <c r="I3287" s="157"/>
      <c r="J3287" s="161"/>
      <c r="L3287" s="94"/>
      <c r="M3287" s="159"/>
      <c r="N3287" s="94"/>
    </row>
    <row r="3288">
      <c r="A3288" s="107">
        <v>1626150.0</v>
      </c>
      <c r="B3288" s="108" t="s">
        <v>191</v>
      </c>
      <c r="C3288" s="108" t="s">
        <v>827</v>
      </c>
      <c r="D3288" s="100" t="str">
        <f t="shared" si="1"/>
        <v/>
      </c>
      <c r="E3288" s="100" t="str">
        <f t="shared" si="2"/>
        <v/>
      </c>
      <c r="F3288" s="100" t="str">
        <f t="shared" si="3"/>
        <v/>
      </c>
      <c r="G3288" s="151"/>
      <c r="H3288" s="160"/>
      <c r="I3288" s="157"/>
      <c r="J3288" s="158"/>
      <c r="L3288" s="94"/>
      <c r="M3288" s="159"/>
      <c r="N3288" s="94"/>
    </row>
    <row r="3289">
      <c r="A3289" s="107">
        <v>1626150.0</v>
      </c>
      <c r="B3289" s="108" t="s">
        <v>192</v>
      </c>
      <c r="C3289" s="108" t="s">
        <v>827</v>
      </c>
      <c r="D3289" s="100" t="str">
        <f t="shared" si="1"/>
        <v/>
      </c>
      <c r="E3289" s="100" t="str">
        <f t="shared" si="2"/>
        <v/>
      </c>
      <c r="F3289" s="100" t="str">
        <f t="shared" si="3"/>
        <v/>
      </c>
      <c r="G3289" s="151"/>
      <c r="H3289" s="156"/>
      <c r="I3289" s="157"/>
      <c r="J3289" s="161"/>
      <c r="L3289" s="94"/>
      <c r="M3289" s="159"/>
      <c r="N3289" s="94"/>
    </row>
    <row r="3290">
      <c r="A3290" s="107">
        <v>1626151.0</v>
      </c>
      <c r="B3290" s="108" t="s">
        <v>92</v>
      </c>
      <c r="C3290" s="108" t="s">
        <v>828</v>
      </c>
      <c r="D3290" s="100" t="str">
        <f t="shared" si="1"/>
        <v/>
      </c>
      <c r="E3290" s="100" t="str">
        <f t="shared" si="2"/>
        <v/>
      </c>
      <c r="F3290" s="100" t="str">
        <f t="shared" si="3"/>
        <v/>
      </c>
      <c r="G3290" s="151"/>
      <c r="H3290" s="160"/>
      <c r="I3290" s="157"/>
      <c r="J3290" s="158"/>
      <c r="L3290" s="94"/>
      <c r="M3290" s="159"/>
      <c r="N3290" s="94"/>
    </row>
    <row r="3291">
      <c r="A3291" s="107">
        <v>1626151.0</v>
      </c>
      <c r="B3291" s="108" t="s">
        <v>190</v>
      </c>
      <c r="C3291" s="108" t="s">
        <v>828</v>
      </c>
      <c r="D3291" s="100" t="str">
        <f t="shared" si="1"/>
        <v/>
      </c>
      <c r="E3291" s="100" t="str">
        <f t="shared" si="2"/>
        <v/>
      </c>
      <c r="F3291" s="100" t="str">
        <f t="shared" si="3"/>
        <v/>
      </c>
      <c r="G3291" s="151"/>
      <c r="H3291" s="156"/>
      <c r="I3291" s="157"/>
      <c r="J3291" s="161"/>
      <c r="L3291" s="94"/>
      <c r="M3291" s="159"/>
      <c r="N3291" s="94"/>
    </row>
    <row r="3292">
      <c r="A3292" s="107">
        <v>1626151.0</v>
      </c>
      <c r="B3292" s="108" t="s">
        <v>191</v>
      </c>
      <c r="C3292" s="108" t="s">
        <v>828</v>
      </c>
      <c r="D3292" s="100" t="str">
        <f t="shared" si="1"/>
        <v/>
      </c>
      <c r="E3292" s="100" t="str">
        <f t="shared" si="2"/>
        <v/>
      </c>
      <c r="F3292" s="100" t="str">
        <f t="shared" si="3"/>
        <v/>
      </c>
      <c r="G3292" s="151"/>
      <c r="H3292" s="160"/>
      <c r="I3292" s="157"/>
      <c r="J3292" s="158"/>
      <c r="L3292" s="94"/>
      <c r="M3292" s="159"/>
      <c r="N3292" s="94"/>
    </row>
    <row r="3293">
      <c r="A3293" s="107">
        <v>1626153.0</v>
      </c>
      <c r="B3293" s="108" t="s">
        <v>92</v>
      </c>
      <c r="C3293" s="108" t="s">
        <v>829</v>
      </c>
      <c r="D3293" s="100" t="str">
        <f t="shared" si="1"/>
        <v/>
      </c>
      <c r="E3293" s="100" t="str">
        <f t="shared" si="2"/>
        <v/>
      </c>
      <c r="F3293" s="100" t="str">
        <f t="shared" si="3"/>
        <v/>
      </c>
      <c r="G3293" s="151"/>
      <c r="H3293" s="156"/>
      <c r="I3293" s="157"/>
      <c r="J3293" s="161"/>
      <c r="L3293" s="94"/>
      <c r="M3293" s="159"/>
      <c r="N3293" s="94"/>
    </row>
    <row r="3294">
      <c r="A3294" s="107">
        <v>1626153.0</v>
      </c>
      <c r="B3294" s="108" t="s">
        <v>190</v>
      </c>
      <c r="C3294" s="108" t="s">
        <v>829</v>
      </c>
      <c r="D3294" s="100" t="str">
        <f t="shared" si="1"/>
        <v/>
      </c>
      <c r="E3294" s="100" t="str">
        <f t="shared" si="2"/>
        <v/>
      </c>
      <c r="F3294" s="100" t="str">
        <f t="shared" si="3"/>
        <v/>
      </c>
      <c r="G3294" s="151"/>
      <c r="H3294" s="160"/>
      <c r="I3294" s="157"/>
      <c r="J3294" s="158"/>
      <c r="L3294" s="94"/>
      <c r="M3294" s="159"/>
      <c r="N3294" s="94"/>
    </row>
    <row r="3295">
      <c r="A3295" s="107">
        <v>1626153.0</v>
      </c>
      <c r="B3295" s="108" t="s">
        <v>191</v>
      </c>
      <c r="C3295" s="108" t="s">
        <v>829</v>
      </c>
      <c r="D3295" s="100" t="str">
        <f t="shared" si="1"/>
        <v/>
      </c>
      <c r="E3295" s="100" t="str">
        <f t="shared" si="2"/>
        <v/>
      </c>
      <c r="F3295" s="100" t="str">
        <f t="shared" si="3"/>
        <v/>
      </c>
      <c r="G3295" s="151"/>
      <c r="H3295" s="156"/>
      <c r="I3295" s="157"/>
      <c r="J3295" s="161"/>
      <c r="L3295" s="94"/>
      <c r="M3295" s="159"/>
      <c r="N3295" s="94"/>
    </row>
    <row r="3296">
      <c r="A3296" s="107">
        <v>1626153.0</v>
      </c>
      <c r="B3296" s="108" t="s">
        <v>192</v>
      </c>
      <c r="C3296" s="108" t="s">
        <v>829</v>
      </c>
      <c r="D3296" s="100" t="str">
        <f t="shared" si="1"/>
        <v/>
      </c>
      <c r="E3296" s="100" t="str">
        <f t="shared" si="2"/>
        <v/>
      </c>
      <c r="F3296" s="100" t="str">
        <f t="shared" si="3"/>
        <v/>
      </c>
      <c r="G3296" s="151"/>
      <c r="H3296" s="160"/>
      <c r="I3296" s="157"/>
      <c r="J3296" s="158"/>
      <c r="L3296" s="94"/>
      <c r="M3296" s="159"/>
      <c r="N3296" s="94"/>
    </row>
    <row r="3297">
      <c r="A3297" s="107">
        <v>1626153.0</v>
      </c>
      <c r="B3297" s="108" t="s">
        <v>193</v>
      </c>
      <c r="C3297" s="108" t="s">
        <v>829</v>
      </c>
      <c r="D3297" s="100" t="str">
        <f t="shared" si="1"/>
        <v/>
      </c>
      <c r="E3297" s="100" t="str">
        <f t="shared" si="2"/>
        <v/>
      </c>
      <c r="F3297" s="100" t="str">
        <f t="shared" si="3"/>
        <v/>
      </c>
      <c r="G3297" s="151"/>
      <c r="H3297" s="156"/>
      <c r="I3297" s="157"/>
      <c r="J3297" s="161"/>
      <c r="L3297" s="94"/>
      <c r="M3297" s="159"/>
      <c r="N3297" s="94"/>
    </row>
    <row r="3298">
      <c r="A3298" s="107">
        <v>1626153.0</v>
      </c>
      <c r="B3298" s="108" t="s">
        <v>243</v>
      </c>
      <c r="C3298" s="108" t="s">
        <v>829</v>
      </c>
      <c r="D3298" s="100" t="str">
        <f t="shared" si="1"/>
        <v/>
      </c>
      <c r="E3298" s="100" t="str">
        <f t="shared" si="2"/>
        <v/>
      </c>
      <c r="F3298" s="100" t="str">
        <f t="shared" si="3"/>
        <v/>
      </c>
      <c r="G3298" s="151"/>
      <c r="H3298" s="160"/>
      <c r="I3298" s="157"/>
      <c r="J3298" s="158"/>
      <c r="L3298" s="94"/>
      <c r="M3298" s="159"/>
      <c r="N3298" s="94"/>
    </row>
    <row r="3299">
      <c r="A3299" s="107">
        <v>1626153.0</v>
      </c>
      <c r="B3299" s="108" t="s">
        <v>215</v>
      </c>
      <c r="C3299" s="108" t="s">
        <v>829</v>
      </c>
      <c r="D3299" s="100" t="str">
        <f t="shared" si="1"/>
        <v/>
      </c>
      <c r="E3299" s="100" t="str">
        <f t="shared" si="2"/>
        <v/>
      </c>
      <c r="F3299" s="100" t="str">
        <f t="shared" si="3"/>
        <v/>
      </c>
      <c r="G3299" s="151"/>
      <c r="H3299" s="156"/>
      <c r="I3299" s="157"/>
      <c r="J3299" s="161"/>
      <c r="L3299" s="94"/>
      <c r="M3299" s="159"/>
      <c r="N3299" s="94"/>
    </row>
    <row r="3300">
      <c r="A3300" s="107">
        <v>1626153.0</v>
      </c>
      <c r="B3300" s="108" t="s">
        <v>244</v>
      </c>
      <c r="C3300" s="108" t="s">
        <v>829</v>
      </c>
      <c r="D3300" s="100" t="str">
        <f t="shared" si="1"/>
        <v/>
      </c>
      <c r="E3300" s="100" t="str">
        <f t="shared" si="2"/>
        <v/>
      </c>
      <c r="F3300" s="100" t="str">
        <f t="shared" si="3"/>
        <v/>
      </c>
      <c r="G3300" s="151"/>
      <c r="H3300" s="160"/>
      <c r="I3300" s="157"/>
      <c r="J3300" s="158"/>
      <c r="L3300" s="94"/>
      <c r="M3300" s="159"/>
      <c r="N3300" s="94"/>
    </row>
    <row r="3301">
      <c r="A3301" s="107">
        <v>1626153.0</v>
      </c>
      <c r="B3301" s="108" t="s">
        <v>245</v>
      </c>
      <c r="C3301" s="108" t="s">
        <v>829</v>
      </c>
      <c r="D3301" s="100" t="str">
        <f t="shared" si="1"/>
        <v/>
      </c>
      <c r="E3301" s="100" t="str">
        <f t="shared" si="2"/>
        <v/>
      </c>
      <c r="F3301" s="100" t="str">
        <f t="shared" si="3"/>
        <v/>
      </c>
      <c r="G3301" s="151"/>
      <c r="H3301" s="156"/>
      <c r="I3301" s="157"/>
      <c r="J3301" s="161"/>
      <c r="L3301" s="94"/>
      <c r="M3301" s="159"/>
      <c r="N3301" s="94"/>
    </row>
    <row r="3302">
      <c r="A3302" s="107">
        <v>1626153.0</v>
      </c>
      <c r="B3302" s="108" t="s">
        <v>246</v>
      </c>
      <c r="C3302" s="108" t="s">
        <v>829</v>
      </c>
      <c r="D3302" s="100" t="str">
        <f t="shared" si="1"/>
        <v/>
      </c>
      <c r="E3302" s="100" t="str">
        <f t="shared" si="2"/>
        <v/>
      </c>
      <c r="F3302" s="100" t="str">
        <f t="shared" si="3"/>
        <v/>
      </c>
      <c r="G3302" s="151"/>
      <c r="H3302" s="160"/>
      <c r="I3302" s="157"/>
      <c r="J3302" s="158"/>
      <c r="L3302" s="94"/>
      <c r="M3302" s="159"/>
      <c r="N3302" s="94"/>
    </row>
    <row r="3303">
      <c r="A3303" s="107">
        <v>1626154.0</v>
      </c>
      <c r="B3303" s="108" t="s">
        <v>92</v>
      </c>
      <c r="C3303" s="108" t="s">
        <v>830</v>
      </c>
      <c r="D3303" s="100" t="str">
        <f t="shared" si="1"/>
        <v/>
      </c>
      <c r="E3303" s="100" t="str">
        <f t="shared" si="2"/>
        <v/>
      </c>
      <c r="F3303" s="100" t="str">
        <f t="shared" si="3"/>
        <v/>
      </c>
      <c r="G3303" s="151"/>
      <c r="H3303" s="156"/>
      <c r="I3303" s="157"/>
      <c r="J3303" s="161"/>
      <c r="L3303" s="94"/>
      <c r="M3303" s="159"/>
      <c r="N3303" s="94"/>
    </row>
    <row r="3304">
      <c r="A3304" s="107">
        <v>1626154.0</v>
      </c>
      <c r="B3304" s="108" t="s">
        <v>190</v>
      </c>
      <c r="C3304" s="108" t="s">
        <v>830</v>
      </c>
      <c r="D3304" s="100" t="str">
        <f t="shared" si="1"/>
        <v/>
      </c>
      <c r="E3304" s="100" t="str">
        <f t="shared" si="2"/>
        <v/>
      </c>
      <c r="F3304" s="100" t="str">
        <f t="shared" si="3"/>
        <v/>
      </c>
      <c r="G3304" s="151"/>
      <c r="H3304" s="160"/>
      <c r="I3304" s="157"/>
      <c r="J3304" s="158"/>
      <c r="L3304" s="94"/>
      <c r="M3304" s="159"/>
      <c r="N3304" s="94"/>
    </row>
    <row r="3305">
      <c r="A3305" s="107">
        <v>1626154.0</v>
      </c>
      <c r="B3305" s="108" t="s">
        <v>191</v>
      </c>
      <c r="C3305" s="108" t="s">
        <v>830</v>
      </c>
      <c r="D3305" s="100" t="str">
        <f t="shared" si="1"/>
        <v/>
      </c>
      <c r="E3305" s="100" t="str">
        <f t="shared" si="2"/>
        <v/>
      </c>
      <c r="F3305" s="100" t="str">
        <f t="shared" si="3"/>
        <v/>
      </c>
      <c r="G3305" s="151"/>
      <c r="H3305" s="156"/>
      <c r="I3305" s="157"/>
      <c r="J3305" s="161"/>
      <c r="L3305" s="94"/>
      <c r="M3305" s="159"/>
      <c r="N3305" s="94"/>
    </row>
    <row r="3306">
      <c r="A3306" s="107">
        <v>1626154.0</v>
      </c>
      <c r="B3306" s="108" t="s">
        <v>192</v>
      </c>
      <c r="C3306" s="108" t="s">
        <v>830</v>
      </c>
      <c r="D3306" s="100" t="str">
        <f t="shared" si="1"/>
        <v/>
      </c>
      <c r="E3306" s="100" t="str">
        <f t="shared" si="2"/>
        <v/>
      </c>
      <c r="F3306" s="100" t="str">
        <f t="shared" si="3"/>
        <v/>
      </c>
      <c r="G3306" s="151"/>
      <c r="H3306" s="160"/>
      <c r="I3306" s="157"/>
      <c r="J3306" s="158"/>
      <c r="L3306" s="94"/>
      <c r="M3306" s="159"/>
      <c r="N3306" s="94"/>
    </row>
    <row r="3307">
      <c r="A3307" s="107">
        <v>1626155.0</v>
      </c>
      <c r="B3307" s="108" t="s">
        <v>92</v>
      </c>
      <c r="C3307" s="108" t="s">
        <v>831</v>
      </c>
      <c r="D3307" s="100" t="str">
        <f t="shared" si="1"/>
        <v/>
      </c>
      <c r="E3307" s="100" t="str">
        <f t="shared" si="2"/>
        <v/>
      </c>
      <c r="F3307" s="100" t="str">
        <f t="shared" si="3"/>
        <v/>
      </c>
      <c r="G3307" s="151"/>
      <c r="H3307" s="156"/>
      <c r="I3307" s="157"/>
      <c r="J3307" s="161"/>
      <c r="L3307" s="94"/>
      <c r="M3307" s="159"/>
      <c r="N3307" s="94"/>
    </row>
    <row r="3308">
      <c r="A3308" s="107">
        <v>1626155.0</v>
      </c>
      <c r="B3308" s="108" t="s">
        <v>190</v>
      </c>
      <c r="C3308" s="108" t="s">
        <v>831</v>
      </c>
      <c r="D3308" s="100" t="str">
        <f t="shared" si="1"/>
        <v/>
      </c>
      <c r="E3308" s="100" t="str">
        <f t="shared" si="2"/>
        <v/>
      </c>
      <c r="F3308" s="100" t="str">
        <f t="shared" si="3"/>
        <v/>
      </c>
      <c r="G3308" s="151"/>
      <c r="H3308" s="160"/>
      <c r="I3308" s="157"/>
      <c r="J3308" s="158"/>
      <c r="L3308" s="94"/>
      <c r="M3308" s="159"/>
      <c r="N3308" s="94"/>
    </row>
    <row r="3309">
      <c r="A3309" s="107">
        <v>1626155.0</v>
      </c>
      <c r="B3309" s="108" t="s">
        <v>191</v>
      </c>
      <c r="C3309" s="108" t="s">
        <v>831</v>
      </c>
      <c r="D3309" s="100" t="str">
        <f t="shared" si="1"/>
        <v/>
      </c>
      <c r="E3309" s="100" t="str">
        <f t="shared" si="2"/>
        <v/>
      </c>
      <c r="F3309" s="100" t="str">
        <f t="shared" si="3"/>
        <v/>
      </c>
      <c r="G3309" s="151"/>
      <c r="H3309" s="156"/>
      <c r="I3309" s="157"/>
      <c r="J3309" s="161"/>
      <c r="L3309" s="94"/>
      <c r="M3309" s="159"/>
      <c r="N3309" s="94"/>
    </row>
    <row r="3310">
      <c r="A3310" s="107">
        <v>1626155.0</v>
      </c>
      <c r="B3310" s="108" t="s">
        <v>192</v>
      </c>
      <c r="C3310" s="108" t="s">
        <v>831</v>
      </c>
      <c r="D3310" s="100" t="str">
        <f t="shared" si="1"/>
        <v/>
      </c>
      <c r="E3310" s="100" t="str">
        <f t="shared" si="2"/>
        <v/>
      </c>
      <c r="F3310" s="100" t="str">
        <f t="shared" si="3"/>
        <v/>
      </c>
      <c r="G3310" s="151"/>
      <c r="H3310" s="160"/>
      <c r="I3310" s="157"/>
      <c r="J3310" s="158"/>
      <c r="L3310" s="94"/>
      <c r="M3310" s="159"/>
      <c r="N3310" s="94"/>
    </row>
    <row r="3311">
      <c r="A3311" s="107">
        <v>1626155.0</v>
      </c>
      <c r="B3311" s="108" t="s">
        <v>215</v>
      </c>
      <c r="C3311" s="108" t="s">
        <v>831</v>
      </c>
      <c r="D3311" s="100" t="str">
        <f t="shared" si="1"/>
        <v/>
      </c>
      <c r="E3311" s="100" t="str">
        <f t="shared" si="2"/>
        <v/>
      </c>
      <c r="F3311" s="100" t="str">
        <f t="shared" si="3"/>
        <v/>
      </c>
      <c r="G3311" s="151"/>
      <c r="H3311" s="156"/>
      <c r="I3311" s="157"/>
      <c r="J3311" s="161"/>
      <c r="L3311" s="94"/>
      <c r="M3311" s="159"/>
      <c r="N3311" s="94"/>
    </row>
    <row r="3312">
      <c r="A3312" s="107">
        <v>1626156.0</v>
      </c>
      <c r="B3312" s="108" t="s">
        <v>92</v>
      </c>
      <c r="C3312" s="108" t="s">
        <v>832</v>
      </c>
      <c r="D3312" s="100" t="str">
        <f t="shared" si="1"/>
        <v/>
      </c>
      <c r="E3312" s="100" t="str">
        <f t="shared" si="2"/>
        <v/>
      </c>
      <c r="F3312" s="100" t="str">
        <f t="shared" si="3"/>
        <v/>
      </c>
      <c r="G3312" s="151"/>
      <c r="H3312" s="160"/>
      <c r="I3312" s="157"/>
      <c r="J3312" s="158"/>
      <c r="L3312" s="94"/>
      <c r="M3312" s="159"/>
      <c r="N3312" s="94"/>
    </row>
    <row r="3313">
      <c r="A3313" s="107">
        <v>1626156.0</v>
      </c>
      <c r="B3313" s="108" t="s">
        <v>190</v>
      </c>
      <c r="C3313" s="108" t="s">
        <v>832</v>
      </c>
      <c r="D3313" s="100" t="str">
        <f t="shared" si="1"/>
        <v/>
      </c>
      <c r="E3313" s="100" t="str">
        <f t="shared" si="2"/>
        <v/>
      </c>
      <c r="F3313" s="100" t="str">
        <f t="shared" si="3"/>
        <v/>
      </c>
      <c r="G3313" s="151"/>
      <c r="H3313" s="156"/>
      <c r="I3313" s="157"/>
      <c r="J3313" s="161"/>
      <c r="L3313" s="94"/>
      <c r="M3313" s="159"/>
      <c r="N3313" s="94"/>
    </row>
    <row r="3314">
      <c r="A3314" s="107">
        <v>1626156.0</v>
      </c>
      <c r="B3314" s="108" t="s">
        <v>191</v>
      </c>
      <c r="C3314" s="108" t="s">
        <v>832</v>
      </c>
      <c r="D3314" s="100" t="str">
        <f t="shared" si="1"/>
        <v/>
      </c>
      <c r="E3314" s="100" t="str">
        <f t="shared" si="2"/>
        <v/>
      </c>
      <c r="F3314" s="100" t="str">
        <f t="shared" si="3"/>
        <v/>
      </c>
      <c r="G3314" s="151"/>
      <c r="H3314" s="160"/>
      <c r="I3314" s="157"/>
      <c r="J3314" s="158"/>
      <c r="L3314" s="94"/>
      <c r="M3314" s="159"/>
      <c r="N3314" s="94"/>
    </row>
    <row r="3315">
      <c r="A3315" s="107">
        <v>1626156.0</v>
      </c>
      <c r="B3315" s="108" t="s">
        <v>192</v>
      </c>
      <c r="C3315" s="108" t="s">
        <v>832</v>
      </c>
      <c r="D3315" s="100" t="str">
        <f t="shared" si="1"/>
        <v/>
      </c>
      <c r="E3315" s="100" t="str">
        <f t="shared" si="2"/>
        <v/>
      </c>
      <c r="F3315" s="100" t="str">
        <f t="shared" si="3"/>
        <v/>
      </c>
      <c r="G3315" s="151"/>
      <c r="H3315" s="156"/>
      <c r="I3315" s="157"/>
      <c r="J3315" s="161"/>
      <c r="L3315" s="94"/>
      <c r="M3315" s="159"/>
      <c r="N3315" s="94"/>
    </row>
    <row r="3316">
      <c r="A3316" s="107">
        <v>1626156.0</v>
      </c>
      <c r="B3316" s="108" t="s">
        <v>193</v>
      </c>
      <c r="C3316" s="108" t="s">
        <v>832</v>
      </c>
      <c r="D3316" s="100" t="str">
        <f t="shared" si="1"/>
        <v/>
      </c>
      <c r="E3316" s="100" t="str">
        <f t="shared" si="2"/>
        <v/>
      </c>
      <c r="F3316" s="100" t="str">
        <f t="shared" si="3"/>
        <v/>
      </c>
      <c r="G3316" s="151"/>
      <c r="H3316" s="160"/>
      <c r="I3316" s="157"/>
      <c r="J3316" s="158"/>
      <c r="L3316" s="94"/>
      <c r="M3316" s="159"/>
      <c r="N3316" s="94"/>
    </row>
    <row r="3317">
      <c r="A3317" s="107">
        <v>1626156.0</v>
      </c>
      <c r="B3317" s="108" t="s">
        <v>243</v>
      </c>
      <c r="C3317" s="108" t="s">
        <v>832</v>
      </c>
      <c r="D3317" s="100" t="str">
        <f t="shared" si="1"/>
        <v/>
      </c>
      <c r="E3317" s="100" t="str">
        <f t="shared" si="2"/>
        <v/>
      </c>
      <c r="F3317" s="100" t="str">
        <f t="shared" si="3"/>
        <v/>
      </c>
      <c r="G3317" s="151"/>
      <c r="H3317" s="156"/>
      <c r="I3317" s="157"/>
      <c r="J3317" s="161"/>
      <c r="L3317" s="94"/>
      <c r="M3317" s="159"/>
      <c r="N3317" s="94"/>
    </row>
    <row r="3318">
      <c r="A3318" s="107">
        <v>1626156.0</v>
      </c>
      <c r="B3318" s="108" t="s">
        <v>215</v>
      </c>
      <c r="C3318" s="108" t="s">
        <v>832</v>
      </c>
      <c r="D3318" s="100" t="str">
        <f t="shared" si="1"/>
        <v/>
      </c>
      <c r="E3318" s="100" t="str">
        <f t="shared" si="2"/>
        <v/>
      </c>
      <c r="F3318" s="100" t="str">
        <f t="shared" si="3"/>
        <v/>
      </c>
      <c r="G3318" s="151"/>
      <c r="H3318" s="160"/>
      <c r="I3318" s="157"/>
      <c r="J3318" s="158"/>
      <c r="L3318" s="94"/>
      <c r="M3318" s="159"/>
      <c r="N3318" s="94"/>
    </row>
    <row r="3319">
      <c r="A3319" s="107">
        <v>1626156.0</v>
      </c>
      <c r="B3319" s="108" t="s">
        <v>244</v>
      </c>
      <c r="C3319" s="108" t="s">
        <v>832</v>
      </c>
      <c r="D3319" s="100" t="str">
        <f t="shared" si="1"/>
        <v/>
      </c>
      <c r="E3319" s="100" t="str">
        <f t="shared" si="2"/>
        <v/>
      </c>
      <c r="F3319" s="100" t="str">
        <f t="shared" si="3"/>
        <v/>
      </c>
      <c r="G3319" s="151"/>
      <c r="H3319" s="156"/>
      <c r="I3319" s="157"/>
      <c r="J3319" s="161"/>
      <c r="L3319" s="94"/>
      <c r="M3319" s="159"/>
      <c r="N3319" s="94"/>
    </row>
    <row r="3320">
      <c r="A3320" s="107">
        <v>1626156.0</v>
      </c>
      <c r="B3320" s="108" t="s">
        <v>245</v>
      </c>
      <c r="C3320" s="108" t="s">
        <v>832</v>
      </c>
      <c r="D3320" s="100" t="str">
        <f t="shared" si="1"/>
        <v/>
      </c>
      <c r="E3320" s="100" t="str">
        <f t="shared" si="2"/>
        <v/>
      </c>
      <c r="F3320" s="100" t="str">
        <f t="shared" si="3"/>
        <v/>
      </c>
      <c r="G3320" s="151"/>
      <c r="H3320" s="160"/>
      <c r="I3320" s="157"/>
      <c r="J3320" s="158"/>
      <c r="L3320" s="94"/>
      <c r="M3320" s="159"/>
      <c r="N3320" s="94"/>
    </row>
    <row r="3321">
      <c r="A3321" s="107">
        <v>1626156.0</v>
      </c>
      <c r="B3321" s="108" t="s">
        <v>246</v>
      </c>
      <c r="C3321" s="108" t="s">
        <v>832</v>
      </c>
      <c r="D3321" s="100" t="str">
        <f t="shared" si="1"/>
        <v/>
      </c>
      <c r="E3321" s="100" t="str">
        <f t="shared" si="2"/>
        <v/>
      </c>
      <c r="F3321" s="100" t="str">
        <f t="shared" si="3"/>
        <v/>
      </c>
      <c r="G3321" s="151"/>
      <c r="H3321" s="156"/>
      <c r="I3321" s="157"/>
      <c r="J3321" s="161"/>
      <c r="L3321" s="94"/>
      <c r="M3321" s="159"/>
      <c r="N3321" s="94"/>
    </row>
    <row r="3322">
      <c r="A3322" s="149">
        <v>1626156.0</v>
      </c>
      <c r="B3322" s="115" t="s">
        <v>247</v>
      </c>
      <c r="C3322" s="108" t="s">
        <v>832</v>
      </c>
      <c r="D3322" s="100" t="str">
        <f t="shared" si="1"/>
        <v/>
      </c>
      <c r="E3322" s="100" t="str">
        <f t="shared" si="2"/>
        <v/>
      </c>
      <c r="F3322" s="100" t="str">
        <f t="shared" si="3"/>
        <v/>
      </c>
      <c r="G3322" s="151"/>
      <c r="H3322" s="160"/>
      <c r="I3322" s="157"/>
      <c r="J3322" s="158"/>
      <c r="L3322" s="94"/>
      <c r="M3322" s="159"/>
      <c r="N3322" s="94"/>
    </row>
    <row r="3323">
      <c r="A3323" s="21">
        <v>1626157.0</v>
      </c>
      <c r="B3323" s="164" t="s">
        <v>92</v>
      </c>
      <c r="C3323" s="164" t="s">
        <v>833</v>
      </c>
      <c r="D3323" s="100" t="str">
        <f t="shared" si="1"/>
        <v/>
      </c>
      <c r="E3323" s="100" t="str">
        <f t="shared" si="2"/>
        <v/>
      </c>
      <c r="F3323" s="100" t="str">
        <f t="shared" si="3"/>
        <v/>
      </c>
      <c r="G3323" s="151"/>
      <c r="H3323" s="156"/>
      <c r="I3323" s="157"/>
      <c r="J3323" s="161"/>
      <c r="L3323" s="94"/>
      <c r="M3323" s="159"/>
      <c r="N3323" s="94"/>
    </row>
    <row r="3324">
      <c r="A3324" s="107">
        <v>1626157.0</v>
      </c>
      <c r="B3324" s="108" t="s">
        <v>190</v>
      </c>
      <c r="C3324" s="108" t="s">
        <v>833</v>
      </c>
      <c r="D3324" s="100" t="str">
        <f t="shared" si="1"/>
        <v/>
      </c>
      <c r="E3324" s="100" t="str">
        <f t="shared" si="2"/>
        <v/>
      </c>
      <c r="F3324" s="100" t="str">
        <f t="shared" si="3"/>
        <v/>
      </c>
      <c r="G3324" s="151"/>
      <c r="H3324" s="160"/>
      <c r="I3324" s="157"/>
      <c r="J3324" s="158"/>
      <c r="L3324" s="94"/>
      <c r="M3324" s="159"/>
      <c r="N3324" s="94"/>
    </row>
    <row r="3325">
      <c r="A3325" s="107">
        <v>1626157.0</v>
      </c>
      <c r="B3325" s="108" t="s">
        <v>191</v>
      </c>
      <c r="C3325" s="108" t="s">
        <v>833</v>
      </c>
      <c r="D3325" s="100" t="str">
        <f t="shared" si="1"/>
        <v/>
      </c>
      <c r="E3325" s="100" t="str">
        <f t="shared" si="2"/>
        <v/>
      </c>
      <c r="F3325" s="100" t="str">
        <f t="shared" si="3"/>
        <v/>
      </c>
      <c r="G3325" s="151"/>
      <c r="H3325" s="156"/>
      <c r="I3325" s="157"/>
      <c r="J3325" s="161"/>
      <c r="L3325" s="94"/>
      <c r="M3325" s="159"/>
      <c r="N3325" s="94"/>
    </row>
    <row r="3326">
      <c r="A3326" s="107">
        <v>1626157.0</v>
      </c>
      <c r="B3326" s="108" t="s">
        <v>192</v>
      </c>
      <c r="C3326" s="108" t="s">
        <v>833</v>
      </c>
      <c r="D3326" s="100" t="str">
        <f t="shared" si="1"/>
        <v/>
      </c>
      <c r="E3326" s="100" t="str">
        <f t="shared" si="2"/>
        <v/>
      </c>
      <c r="F3326" s="100" t="str">
        <f t="shared" si="3"/>
        <v/>
      </c>
      <c r="G3326" s="151"/>
      <c r="H3326" s="160"/>
      <c r="I3326" s="157"/>
      <c r="J3326" s="158"/>
      <c r="L3326" s="94"/>
      <c r="M3326" s="159"/>
      <c r="N3326" s="94"/>
    </row>
    <row r="3327">
      <c r="A3327" s="107">
        <v>1626157.0</v>
      </c>
      <c r="B3327" s="108" t="s">
        <v>193</v>
      </c>
      <c r="C3327" s="108" t="s">
        <v>833</v>
      </c>
      <c r="D3327" s="100" t="str">
        <f t="shared" si="1"/>
        <v/>
      </c>
      <c r="E3327" s="100" t="str">
        <f t="shared" si="2"/>
        <v/>
      </c>
      <c r="F3327" s="100" t="str">
        <f t="shared" si="3"/>
        <v/>
      </c>
      <c r="G3327" s="151"/>
      <c r="H3327" s="156"/>
      <c r="I3327" s="157"/>
      <c r="J3327" s="161"/>
      <c r="L3327" s="94"/>
      <c r="M3327" s="159"/>
      <c r="N3327" s="94"/>
    </row>
    <row r="3328">
      <c r="A3328" s="107">
        <v>1626157.0</v>
      </c>
      <c r="B3328" s="108" t="s">
        <v>243</v>
      </c>
      <c r="C3328" s="108" t="s">
        <v>833</v>
      </c>
      <c r="D3328" s="100" t="str">
        <f t="shared" si="1"/>
        <v/>
      </c>
      <c r="E3328" s="100" t="str">
        <f t="shared" si="2"/>
        <v/>
      </c>
      <c r="F3328" s="100" t="str">
        <f t="shared" si="3"/>
        <v/>
      </c>
      <c r="G3328" s="151"/>
      <c r="H3328" s="160"/>
      <c r="I3328" s="157"/>
      <c r="J3328" s="158"/>
      <c r="L3328" s="94"/>
      <c r="M3328" s="159"/>
      <c r="N3328" s="94"/>
    </row>
    <row r="3329">
      <c r="A3329" s="107">
        <v>1626157.0</v>
      </c>
      <c r="B3329" s="108" t="s">
        <v>215</v>
      </c>
      <c r="C3329" s="108" t="s">
        <v>833</v>
      </c>
      <c r="D3329" s="100" t="str">
        <f t="shared" si="1"/>
        <v/>
      </c>
      <c r="E3329" s="100" t="str">
        <f t="shared" si="2"/>
        <v/>
      </c>
      <c r="F3329" s="100" t="str">
        <f t="shared" si="3"/>
        <v/>
      </c>
      <c r="G3329" s="151"/>
      <c r="H3329" s="156"/>
      <c r="I3329" s="157"/>
      <c r="J3329" s="161"/>
      <c r="L3329" s="94"/>
      <c r="M3329" s="159"/>
      <c r="N3329" s="94"/>
    </row>
    <row r="3330">
      <c r="A3330" s="107">
        <v>1626157.0</v>
      </c>
      <c r="B3330" s="108" t="s">
        <v>244</v>
      </c>
      <c r="C3330" s="108" t="s">
        <v>833</v>
      </c>
      <c r="D3330" s="100" t="str">
        <f t="shared" si="1"/>
        <v/>
      </c>
      <c r="E3330" s="100" t="str">
        <f t="shared" si="2"/>
        <v/>
      </c>
      <c r="F3330" s="100" t="str">
        <f t="shared" si="3"/>
        <v/>
      </c>
      <c r="G3330" s="151"/>
      <c r="H3330" s="160"/>
      <c r="I3330" s="157"/>
      <c r="J3330" s="158"/>
      <c r="L3330" s="94"/>
      <c r="M3330" s="159"/>
      <c r="N3330" s="94"/>
    </row>
    <row r="3331">
      <c r="A3331" s="107">
        <v>1626157.0</v>
      </c>
      <c r="B3331" s="108" t="s">
        <v>245</v>
      </c>
      <c r="C3331" s="108" t="s">
        <v>833</v>
      </c>
      <c r="D3331" s="100" t="str">
        <f t="shared" si="1"/>
        <v/>
      </c>
      <c r="E3331" s="100" t="str">
        <f t="shared" si="2"/>
        <v/>
      </c>
      <c r="F3331" s="100" t="str">
        <f t="shared" si="3"/>
        <v/>
      </c>
      <c r="G3331" s="151"/>
      <c r="H3331" s="156"/>
      <c r="I3331" s="157"/>
      <c r="J3331" s="161"/>
      <c r="L3331" s="94"/>
      <c r="M3331" s="159"/>
      <c r="N3331" s="94"/>
    </row>
    <row r="3332">
      <c r="A3332" s="107">
        <v>1626157.0</v>
      </c>
      <c r="B3332" s="108" t="s">
        <v>246</v>
      </c>
      <c r="C3332" s="108" t="s">
        <v>833</v>
      </c>
      <c r="D3332" s="100" t="str">
        <f t="shared" si="1"/>
        <v/>
      </c>
      <c r="E3332" s="100" t="str">
        <f t="shared" si="2"/>
        <v/>
      </c>
      <c r="F3332" s="100" t="str">
        <f t="shared" si="3"/>
        <v/>
      </c>
      <c r="G3332" s="151"/>
      <c r="H3332" s="160"/>
      <c r="I3332" s="157"/>
      <c r="J3332" s="158"/>
      <c r="L3332" s="94"/>
      <c r="M3332" s="159"/>
      <c r="N3332" s="94"/>
    </row>
    <row r="3333">
      <c r="A3333" s="149">
        <v>1626157.0</v>
      </c>
      <c r="B3333" s="115" t="s">
        <v>247</v>
      </c>
      <c r="C3333" s="115" t="s">
        <v>833</v>
      </c>
      <c r="D3333" s="100" t="str">
        <f t="shared" si="1"/>
        <v/>
      </c>
      <c r="E3333" s="100" t="str">
        <f t="shared" si="2"/>
        <v/>
      </c>
      <c r="F3333" s="100" t="str">
        <f t="shared" si="3"/>
        <v/>
      </c>
      <c r="G3333" s="151"/>
      <c r="H3333" s="156"/>
      <c r="I3333" s="157"/>
      <c r="J3333" s="161"/>
      <c r="L3333" s="94"/>
      <c r="M3333" s="159"/>
      <c r="N3333" s="94"/>
    </row>
    <row r="3334">
      <c r="A3334" s="21">
        <v>1626158.0</v>
      </c>
      <c r="B3334" s="164" t="s">
        <v>92</v>
      </c>
      <c r="C3334" s="164" t="s">
        <v>834</v>
      </c>
      <c r="D3334" s="100" t="str">
        <f t="shared" si="1"/>
        <v/>
      </c>
      <c r="E3334" s="100" t="str">
        <f t="shared" si="2"/>
        <v/>
      </c>
      <c r="F3334" s="100" t="str">
        <f t="shared" si="3"/>
        <v/>
      </c>
      <c r="G3334" s="151"/>
      <c r="H3334" s="160"/>
      <c r="I3334" s="157"/>
      <c r="J3334" s="158"/>
      <c r="L3334" s="94"/>
      <c r="M3334" s="159"/>
      <c r="N3334" s="94"/>
    </row>
    <row r="3335">
      <c r="A3335" s="107">
        <v>1626158.0</v>
      </c>
      <c r="B3335" s="108" t="s">
        <v>190</v>
      </c>
      <c r="C3335" s="108" t="s">
        <v>834</v>
      </c>
      <c r="D3335" s="100" t="str">
        <f t="shared" si="1"/>
        <v/>
      </c>
      <c r="E3335" s="100" t="str">
        <f t="shared" si="2"/>
        <v/>
      </c>
      <c r="F3335" s="100" t="str">
        <f t="shared" si="3"/>
        <v/>
      </c>
      <c r="G3335" s="151"/>
      <c r="H3335" s="156"/>
      <c r="I3335" s="157"/>
      <c r="J3335" s="161"/>
      <c r="L3335" s="94"/>
      <c r="M3335" s="159"/>
      <c r="N3335" s="94"/>
    </row>
    <row r="3336">
      <c r="A3336" s="107">
        <v>1626158.0</v>
      </c>
      <c r="B3336" s="108" t="s">
        <v>191</v>
      </c>
      <c r="C3336" s="108" t="s">
        <v>834</v>
      </c>
      <c r="D3336" s="100" t="str">
        <f t="shared" si="1"/>
        <v/>
      </c>
      <c r="E3336" s="100" t="str">
        <f t="shared" si="2"/>
        <v/>
      </c>
      <c r="F3336" s="100" t="str">
        <f t="shared" si="3"/>
        <v/>
      </c>
      <c r="G3336" s="151"/>
      <c r="H3336" s="160"/>
      <c r="I3336" s="157"/>
      <c r="J3336" s="158"/>
      <c r="L3336" s="94"/>
      <c r="M3336" s="159"/>
      <c r="N3336" s="94"/>
    </row>
    <row r="3337">
      <c r="A3337" s="107">
        <v>1626158.0</v>
      </c>
      <c r="B3337" s="108" t="s">
        <v>192</v>
      </c>
      <c r="C3337" s="108" t="s">
        <v>834</v>
      </c>
      <c r="D3337" s="100" t="str">
        <f t="shared" si="1"/>
        <v/>
      </c>
      <c r="E3337" s="100" t="str">
        <f t="shared" si="2"/>
        <v/>
      </c>
      <c r="F3337" s="100" t="str">
        <f t="shared" si="3"/>
        <v/>
      </c>
      <c r="G3337" s="151"/>
      <c r="H3337" s="156"/>
      <c r="I3337" s="157"/>
      <c r="J3337" s="161"/>
      <c r="L3337" s="94"/>
      <c r="M3337" s="159"/>
      <c r="N3337" s="94"/>
    </row>
    <row r="3338">
      <c r="A3338" s="107">
        <v>1626158.0</v>
      </c>
      <c r="B3338" s="108" t="s">
        <v>193</v>
      </c>
      <c r="C3338" s="108" t="s">
        <v>834</v>
      </c>
      <c r="D3338" s="100" t="str">
        <f t="shared" si="1"/>
        <v/>
      </c>
      <c r="E3338" s="100" t="str">
        <f t="shared" si="2"/>
        <v/>
      </c>
      <c r="F3338" s="100" t="str">
        <f t="shared" si="3"/>
        <v/>
      </c>
      <c r="G3338" s="151"/>
      <c r="H3338" s="160"/>
      <c r="I3338" s="157"/>
      <c r="J3338" s="158"/>
      <c r="L3338" s="94"/>
      <c r="M3338" s="159"/>
      <c r="N3338" s="94"/>
    </row>
    <row r="3339">
      <c r="A3339" s="107">
        <v>1626158.0</v>
      </c>
      <c r="B3339" s="108" t="s">
        <v>243</v>
      </c>
      <c r="C3339" s="108" t="s">
        <v>834</v>
      </c>
      <c r="D3339" s="100" t="str">
        <f t="shared" si="1"/>
        <v/>
      </c>
      <c r="E3339" s="100" t="str">
        <f t="shared" si="2"/>
        <v/>
      </c>
      <c r="F3339" s="100" t="str">
        <f t="shared" si="3"/>
        <v/>
      </c>
      <c r="G3339" s="151"/>
      <c r="H3339" s="156"/>
      <c r="I3339" s="157"/>
      <c r="J3339" s="161"/>
      <c r="L3339" s="94"/>
      <c r="M3339" s="159"/>
      <c r="N3339" s="94"/>
    </row>
    <row r="3340">
      <c r="A3340" s="107">
        <v>1626158.0</v>
      </c>
      <c r="B3340" s="108" t="s">
        <v>215</v>
      </c>
      <c r="C3340" s="108" t="s">
        <v>834</v>
      </c>
      <c r="D3340" s="100" t="str">
        <f t="shared" si="1"/>
        <v/>
      </c>
      <c r="E3340" s="100" t="str">
        <f t="shared" si="2"/>
        <v/>
      </c>
      <c r="F3340" s="100" t="str">
        <f t="shared" si="3"/>
        <v/>
      </c>
      <c r="G3340" s="151"/>
      <c r="H3340" s="160"/>
      <c r="I3340" s="157"/>
      <c r="J3340" s="158"/>
      <c r="L3340" s="94"/>
      <c r="M3340" s="159"/>
      <c r="N3340" s="94"/>
    </row>
    <row r="3341">
      <c r="A3341" s="107">
        <v>1626158.0</v>
      </c>
      <c r="B3341" s="108" t="s">
        <v>244</v>
      </c>
      <c r="C3341" s="108" t="s">
        <v>834</v>
      </c>
      <c r="D3341" s="100" t="str">
        <f t="shared" si="1"/>
        <v/>
      </c>
      <c r="E3341" s="100" t="str">
        <f t="shared" si="2"/>
        <v/>
      </c>
      <c r="F3341" s="100" t="str">
        <f t="shared" si="3"/>
        <v/>
      </c>
      <c r="G3341" s="151"/>
      <c r="H3341" s="156"/>
      <c r="I3341" s="157"/>
      <c r="J3341" s="161"/>
      <c r="L3341" s="94"/>
      <c r="M3341" s="159"/>
      <c r="N3341" s="94"/>
    </row>
    <row r="3342">
      <c r="A3342" s="107">
        <v>1626158.0</v>
      </c>
      <c r="B3342" s="108" t="s">
        <v>245</v>
      </c>
      <c r="C3342" s="108" t="s">
        <v>834</v>
      </c>
      <c r="D3342" s="100" t="str">
        <f t="shared" si="1"/>
        <v/>
      </c>
      <c r="E3342" s="100" t="str">
        <f t="shared" si="2"/>
        <v/>
      </c>
      <c r="F3342" s="100" t="str">
        <f t="shared" si="3"/>
        <v/>
      </c>
      <c r="G3342" s="151"/>
      <c r="H3342" s="160"/>
      <c r="I3342" s="157"/>
      <c r="J3342" s="158"/>
      <c r="L3342" s="94"/>
      <c r="M3342" s="159"/>
      <c r="N3342" s="94"/>
    </row>
    <row r="3343">
      <c r="A3343" s="107">
        <v>1626158.0</v>
      </c>
      <c r="B3343" s="108" t="s">
        <v>246</v>
      </c>
      <c r="C3343" s="108" t="s">
        <v>834</v>
      </c>
      <c r="D3343" s="100" t="str">
        <f t="shared" si="1"/>
        <v/>
      </c>
      <c r="E3343" s="100" t="str">
        <f t="shared" si="2"/>
        <v/>
      </c>
      <c r="F3343" s="100" t="str">
        <f t="shared" si="3"/>
        <v/>
      </c>
      <c r="G3343" s="151"/>
      <c r="H3343" s="156"/>
      <c r="I3343" s="157"/>
      <c r="J3343" s="161"/>
      <c r="L3343" s="94"/>
      <c r="M3343" s="159"/>
      <c r="N3343" s="94"/>
    </row>
    <row r="3344">
      <c r="A3344" s="107">
        <v>1626159.0</v>
      </c>
      <c r="B3344" s="108" t="s">
        <v>92</v>
      </c>
      <c r="C3344" s="108" t="s">
        <v>835</v>
      </c>
      <c r="D3344" s="100" t="str">
        <f t="shared" si="1"/>
        <v/>
      </c>
      <c r="E3344" s="100" t="str">
        <f t="shared" si="2"/>
        <v/>
      </c>
      <c r="F3344" s="100" t="str">
        <f t="shared" si="3"/>
        <v/>
      </c>
      <c r="G3344" s="151"/>
      <c r="H3344" s="160"/>
      <c r="I3344" s="157"/>
      <c r="J3344" s="158"/>
      <c r="L3344" s="94"/>
      <c r="M3344" s="159"/>
      <c r="N3344" s="94"/>
    </row>
    <row r="3345">
      <c r="A3345" s="107">
        <v>1626159.0</v>
      </c>
      <c r="B3345" s="108" t="s">
        <v>190</v>
      </c>
      <c r="C3345" s="108" t="s">
        <v>835</v>
      </c>
      <c r="D3345" s="100" t="str">
        <f t="shared" si="1"/>
        <v/>
      </c>
      <c r="E3345" s="100" t="str">
        <f t="shared" si="2"/>
        <v/>
      </c>
      <c r="F3345" s="100" t="str">
        <f t="shared" si="3"/>
        <v/>
      </c>
      <c r="G3345" s="151"/>
      <c r="H3345" s="156"/>
      <c r="I3345" s="157"/>
      <c r="J3345" s="161"/>
      <c r="L3345" s="94"/>
      <c r="M3345" s="159"/>
      <c r="N3345" s="94"/>
    </row>
    <row r="3346">
      <c r="A3346" s="107">
        <v>1626159.0</v>
      </c>
      <c r="B3346" s="108" t="s">
        <v>191</v>
      </c>
      <c r="C3346" s="108" t="s">
        <v>835</v>
      </c>
      <c r="D3346" s="100" t="str">
        <f t="shared" si="1"/>
        <v/>
      </c>
      <c r="E3346" s="100" t="str">
        <f t="shared" si="2"/>
        <v/>
      </c>
      <c r="F3346" s="100" t="str">
        <f t="shared" si="3"/>
        <v/>
      </c>
      <c r="G3346" s="151"/>
      <c r="H3346" s="160"/>
      <c r="I3346" s="157"/>
      <c r="J3346" s="158"/>
      <c r="L3346" s="94"/>
      <c r="M3346" s="159"/>
      <c r="N3346" s="94"/>
    </row>
    <row r="3347">
      <c r="A3347" s="107">
        <v>1626159.0</v>
      </c>
      <c r="B3347" s="108" t="s">
        <v>192</v>
      </c>
      <c r="C3347" s="108" t="s">
        <v>835</v>
      </c>
      <c r="D3347" s="100" t="str">
        <f t="shared" si="1"/>
        <v/>
      </c>
      <c r="E3347" s="100" t="str">
        <f t="shared" si="2"/>
        <v/>
      </c>
      <c r="F3347" s="100" t="str">
        <f t="shared" si="3"/>
        <v/>
      </c>
      <c r="G3347" s="151"/>
      <c r="H3347" s="156"/>
      <c r="I3347" s="157"/>
      <c r="J3347" s="161"/>
      <c r="L3347" s="94"/>
      <c r="M3347" s="159"/>
      <c r="N3347" s="94"/>
    </row>
    <row r="3348">
      <c r="A3348" s="107">
        <v>1626159.0</v>
      </c>
      <c r="B3348" s="108" t="s">
        <v>193</v>
      </c>
      <c r="C3348" s="108" t="s">
        <v>835</v>
      </c>
      <c r="D3348" s="100" t="str">
        <f t="shared" si="1"/>
        <v/>
      </c>
      <c r="E3348" s="100" t="str">
        <f t="shared" si="2"/>
        <v/>
      </c>
      <c r="F3348" s="100" t="str">
        <f t="shared" si="3"/>
        <v/>
      </c>
      <c r="G3348" s="151"/>
      <c r="H3348" s="160"/>
      <c r="I3348" s="157"/>
      <c r="J3348" s="158"/>
      <c r="L3348" s="94"/>
      <c r="M3348" s="159"/>
      <c r="N3348" s="94"/>
    </row>
    <row r="3349">
      <c r="A3349" s="107">
        <v>1626159.0</v>
      </c>
      <c r="B3349" s="108" t="s">
        <v>243</v>
      </c>
      <c r="C3349" s="108" t="s">
        <v>835</v>
      </c>
      <c r="D3349" s="100" t="str">
        <f t="shared" si="1"/>
        <v/>
      </c>
      <c r="E3349" s="100" t="str">
        <f t="shared" si="2"/>
        <v/>
      </c>
      <c r="F3349" s="100" t="str">
        <f t="shared" si="3"/>
        <v/>
      </c>
      <c r="G3349" s="151"/>
      <c r="H3349" s="156"/>
      <c r="I3349" s="157"/>
      <c r="J3349" s="161"/>
      <c r="L3349" s="94"/>
      <c r="M3349" s="159"/>
      <c r="N3349" s="94"/>
    </row>
    <row r="3350">
      <c r="A3350" s="107">
        <v>1626159.0</v>
      </c>
      <c r="B3350" s="108" t="s">
        <v>215</v>
      </c>
      <c r="C3350" s="108" t="s">
        <v>835</v>
      </c>
      <c r="D3350" s="100" t="str">
        <f t="shared" si="1"/>
        <v/>
      </c>
      <c r="E3350" s="100" t="str">
        <f t="shared" si="2"/>
        <v/>
      </c>
      <c r="F3350" s="100" t="str">
        <f t="shared" si="3"/>
        <v/>
      </c>
      <c r="G3350" s="151"/>
      <c r="H3350" s="160"/>
      <c r="I3350" s="157"/>
      <c r="J3350" s="158"/>
      <c r="L3350" s="94"/>
      <c r="M3350" s="159"/>
      <c r="N3350" s="94"/>
    </row>
    <row r="3351">
      <c r="A3351" s="107">
        <v>1626159.0</v>
      </c>
      <c r="B3351" s="108" t="s">
        <v>244</v>
      </c>
      <c r="C3351" s="108" t="s">
        <v>835</v>
      </c>
      <c r="D3351" s="100" t="str">
        <f t="shared" si="1"/>
        <v/>
      </c>
      <c r="E3351" s="100" t="str">
        <f t="shared" si="2"/>
        <v/>
      </c>
      <c r="F3351" s="100" t="str">
        <f t="shared" si="3"/>
        <v/>
      </c>
      <c r="G3351" s="151"/>
      <c r="H3351" s="156"/>
      <c r="I3351" s="157"/>
      <c r="J3351" s="161"/>
      <c r="L3351" s="94"/>
      <c r="M3351" s="159"/>
      <c r="N3351" s="94"/>
    </row>
    <row r="3352">
      <c r="A3352" s="107">
        <v>1626161.0</v>
      </c>
      <c r="B3352" s="108" t="s">
        <v>92</v>
      </c>
      <c r="C3352" s="108" t="s">
        <v>836</v>
      </c>
      <c r="D3352" s="100" t="str">
        <f t="shared" si="1"/>
        <v/>
      </c>
      <c r="E3352" s="100" t="str">
        <f t="shared" si="2"/>
        <v/>
      </c>
      <c r="F3352" s="100" t="str">
        <f t="shared" si="3"/>
        <v/>
      </c>
      <c r="G3352" s="151"/>
      <c r="H3352" s="160"/>
      <c r="I3352" s="157"/>
      <c r="J3352" s="158"/>
      <c r="L3352" s="94"/>
      <c r="M3352" s="159"/>
      <c r="N3352" s="94"/>
    </row>
    <row r="3353">
      <c r="A3353" s="107">
        <v>1626161.0</v>
      </c>
      <c r="B3353" s="108" t="s">
        <v>190</v>
      </c>
      <c r="C3353" s="108" t="s">
        <v>836</v>
      </c>
      <c r="D3353" s="100" t="str">
        <f t="shared" si="1"/>
        <v/>
      </c>
      <c r="E3353" s="100" t="str">
        <f t="shared" si="2"/>
        <v/>
      </c>
      <c r="F3353" s="100" t="str">
        <f t="shared" si="3"/>
        <v/>
      </c>
      <c r="G3353" s="151"/>
      <c r="H3353" s="156"/>
      <c r="I3353" s="157"/>
      <c r="J3353" s="161"/>
      <c r="L3353" s="94"/>
      <c r="M3353" s="159"/>
      <c r="N3353" s="94"/>
    </row>
    <row r="3354">
      <c r="A3354" s="107">
        <v>1626161.0</v>
      </c>
      <c r="B3354" s="108" t="s">
        <v>191</v>
      </c>
      <c r="C3354" s="108" t="s">
        <v>836</v>
      </c>
      <c r="D3354" s="100" t="str">
        <f t="shared" si="1"/>
        <v/>
      </c>
      <c r="E3354" s="100" t="str">
        <f t="shared" si="2"/>
        <v/>
      </c>
      <c r="F3354" s="100" t="str">
        <f t="shared" si="3"/>
        <v/>
      </c>
      <c r="G3354" s="151"/>
      <c r="H3354" s="160"/>
      <c r="I3354" s="157"/>
      <c r="J3354" s="158"/>
      <c r="L3354" s="94"/>
      <c r="M3354" s="159"/>
      <c r="N3354" s="94"/>
    </row>
    <row r="3355">
      <c r="A3355" s="107">
        <v>1626161.0</v>
      </c>
      <c r="B3355" s="108" t="s">
        <v>192</v>
      </c>
      <c r="C3355" s="108" t="s">
        <v>836</v>
      </c>
      <c r="D3355" s="100" t="str">
        <f t="shared" si="1"/>
        <v/>
      </c>
      <c r="E3355" s="100" t="str">
        <f t="shared" si="2"/>
        <v/>
      </c>
      <c r="F3355" s="100" t="str">
        <f t="shared" si="3"/>
        <v/>
      </c>
      <c r="G3355" s="151"/>
      <c r="H3355" s="156"/>
      <c r="I3355" s="157"/>
      <c r="J3355" s="161"/>
      <c r="L3355" s="94"/>
      <c r="M3355" s="159"/>
      <c r="N3355" s="94"/>
    </row>
    <row r="3356">
      <c r="A3356" s="107">
        <v>1626161.0</v>
      </c>
      <c r="B3356" s="108" t="s">
        <v>193</v>
      </c>
      <c r="C3356" s="108" t="s">
        <v>836</v>
      </c>
      <c r="D3356" s="100" t="str">
        <f t="shared" si="1"/>
        <v/>
      </c>
      <c r="E3356" s="100" t="str">
        <f t="shared" si="2"/>
        <v/>
      </c>
      <c r="F3356" s="100" t="str">
        <f t="shared" si="3"/>
        <v/>
      </c>
      <c r="G3356" s="151"/>
      <c r="H3356" s="160"/>
      <c r="I3356" s="157"/>
      <c r="J3356" s="158"/>
      <c r="L3356" s="94"/>
      <c r="M3356" s="159"/>
      <c r="N3356" s="94"/>
    </row>
    <row r="3357">
      <c r="A3357" s="107">
        <v>1626161.0</v>
      </c>
      <c r="B3357" s="108" t="s">
        <v>243</v>
      </c>
      <c r="C3357" s="108" t="s">
        <v>836</v>
      </c>
      <c r="D3357" s="100" t="str">
        <f t="shared" si="1"/>
        <v/>
      </c>
      <c r="E3357" s="100" t="str">
        <f t="shared" si="2"/>
        <v/>
      </c>
      <c r="F3357" s="100" t="str">
        <f t="shared" si="3"/>
        <v/>
      </c>
      <c r="G3357" s="151"/>
      <c r="H3357" s="156"/>
      <c r="I3357" s="157"/>
      <c r="J3357" s="161"/>
      <c r="L3357" s="94"/>
      <c r="M3357" s="159"/>
      <c r="N3357" s="94"/>
    </row>
    <row r="3358">
      <c r="A3358" s="107">
        <v>1626161.0</v>
      </c>
      <c r="B3358" s="108" t="s">
        <v>215</v>
      </c>
      <c r="C3358" s="108" t="s">
        <v>836</v>
      </c>
      <c r="D3358" s="100" t="str">
        <f t="shared" si="1"/>
        <v/>
      </c>
      <c r="E3358" s="100" t="str">
        <f t="shared" si="2"/>
        <v/>
      </c>
      <c r="F3358" s="100" t="str">
        <f t="shared" si="3"/>
        <v/>
      </c>
      <c r="G3358" s="151"/>
      <c r="H3358" s="160"/>
      <c r="I3358" s="157"/>
      <c r="J3358" s="158"/>
      <c r="L3358" s="94"/>
      <c r="M3358" s="159"/>
      <c r="N3358" s="94"/>
    </row>
    <row r="3359">
      <c r="A3359" s="107">
        <v>1626162.0</v>
      </c>
      <c r="B3359" s="108" t="s">
        <v>92</v>
      </c>
      <c r="C3359" s="108" t="s">
        <v>837</v>
      </c>
      <c r="D3359" s="100" t="str">
        <f t="shared" si="1"/>
        <v/>
      </c>
      <c r="E3359" s="100" t="str">
        <f t="shared" si="2"/>
        <v/>
      </c>
      <c r="F3359" s="100" t="str">
        <f t="shared" si="3"/>
        <v/>
      </c>
      <c r="G3359" s="151"/>
      <c r="H3359" s="156"/>
      <c r="I3359" s="157"/>
      <c r="J3359" s="161"/>
      <c r="L3359" s="94"/>
      <c r="M3359" s="159"/>
      <c r="N3359" s="94"/>
    </row>
    <row r="3360">
      <c r="A3360" s="107">
        <v>1626162.0</v>
      </c>
      <c r="B3360" s="108" t="s">
        <v>190</v>
      </c>
      <c r="C3360" s="108" t="s">
        <v>837</v>
      </c>
      <c r="D3360" s="100" t="str">
        <f t="shared" si="1"/>
        <v/>
      </c>
      <c r="E3360" s="100" t="str">
        <f t="shared" si="2"/>
        <v/>
      </c>
      <c r="F3360" s="100" t="str">
        <f t="shared" si="3"/>
        <v/>
      </c>
      <c r="G3360" s="151"/>
      <c r="H3360" s="160"/>
      <c r="I3360" s="157"/>
      <c r="J3360" s="158"/>
      <c r="L3360" s="94"/>
      <c r="M3360" s="159"/>
      <c r="N3360" s="94"/>
    </row>
    <row r="3361">
      <c r="A3361" s="107">
        <v>1626162.0</v>
      </c>
      <c r="B3361" s="108" t="s">
        <v>191</v>
      </c>
      <c r="C3361" s="108" t="s">
        <v>837</v>
      </c>
      <c r="D3361" s="100" t="str">
        <f t="shared" si="1"/>
        <v/>
      </c>
      <c r="E3361" s="100" t="str">
        <f t="shared" si="2"/>
        <v/>
      </c>
      <c r="F3361" s="100" t="str">
        <f t="shared" si="3"/>
        <v/>
      </c>
      <c r="G3361" s="151"/>
      <c r="H3361" s="156"/>
      <c r="I3361" s="157"/>
      <c r="J3361" s="161"/>
      <c r="L3361" s="94"/>
      <c r="M3361" s="159"/>
      <c r="N3361" s="94"/>
    </row>
    <row r="3362">
      <c r="A3362" s="107">
        <v>1626162.0</v>
      </c>
      <c r="B3362" s="108" t="s">
        <v>192</v>
      </c>
      <c r="C3362" s="108" t="s">
        <v>837</v>
      </c>
      <c r="D3362" s="100" t="str">
        <f t="shared" si="1"/>
        <v/>
      </c>
      <c r="E3362" s="100" t="str">
        <f t="shared" si="2"/>
        <v/>
      </c>
      <c r="F3362" s="100" t="str">
        <f t="shared" si="3"/>
        <v/>
      </c>
      <c r="G3362" s="151"/>
      <c r="H3362" s="160"/>
      <c r="I3362" s="157"/>
      <c r="J3362" s="158"/>
      <c r="L3362" s="94"/>
      <c r="M3362" s="159"/>
      <c r="N3362" s="94"/>
    </row>
    <row r="3363">
      <c r="A3363" s="107">
        <v>1626162.0</v>
      </c>
      <c r="B3363" s="108" t="s">
        <v>193</v>
      </c>
      <c r="C3363" s="108" t="s">
        <v>837</v>
      </c>
      <c r="D3363" s="100" t="str">
        <f t="shared" si="1"/>
        <v/>
      </c>
      <c r="E3363" s="100" t="str">
        <f t="shared" si="2"/>
        <v/>
      </c>
      <c r="F3363" s="100" t="str">
        <f t="shared" si="3"/>
        <v/>
      </c>
      <c r="G3363" s="151"/>
      <c r="H3363" s="156"/>
      <c r="I3363" s="157"/>
      <c r="J3363" s="161"/>
      <c r="L3363" s="94"/>
      <c r="M3363" s="159"/>
      <c r="N3363" s="94"/>
    </row>
    <row r="3364">
      <c r="A3364" s="107">
        <v>1626162.0</v>
      </c>
      <c r="B3364" s="108" t="s">
        <v>243</v>
      </c>
      <c r="C3364" s="108" t="s">
        <v>837</v>
      </c>
      <c r="D3364" s="100" t="str">
        <f t="shared" si="1"/>
        <v/>
      </c>
      <c r="E3364" s="100" t="str">
        <f t="shared" si="2"/>
        <v/>
      </c>
      <c r="F3364" s="100" t="str">
        <f t="shared" si="3"/>
        <v/>
      </c>
      <c r="G3364" s="151"/>
      <c r="H3364" s="160"/>
      <c r="I3364" s="157"/>
      <c r="J3364" s="158"/>
      <c r="L3364" s="94"/>
      <c r="M3364" s="159"/>
      <c r="N3364" s="94"/>
    </row>
    <row r="3365">
      <c r="A3365" s="107">
        <v>1626162.0</v>
      </c>
      <c r="B3365" s="108" t="s">
        <v>215</v>
      </c>
      <c r="C3365" s="108" t="s">
        <v>837</v>
      </c>
      <c r="D3365" s="100" t="str">
        <f t="shared" si="1"/>
        <v/>
      </c>
      <c r="E3365" s="100" t="str">
        <f t="shared" si="2"/>
        <v/>
      </c>
      <c r="F3365" s="100" t="str">
        <f t="shared" si="3"/>
        <v/>
      </c>
      <c r="G3365" s="151"/>
      <c r="H3365" s="156"/>
      <c r="I3365" s="157"/>
      <c r="J3365" s="161"/>
      <c r="L3365" s="94"/>
      <c r="M3365" s="159"/>
      <c r="N3365" s="94"/>
    </row>
    <row r="3366">
      <c r="A3366" s="107">
        <v>1626162.0</v>
      </c>
      <c r="B3366" s="108" t="s">
        <v>244</v>
      </c>
      <c r="C3366" s="108" t="s">
        <v>837</v>
      </c>
      <c r="D3366" s="100" t="str">
        <f t="shared" si="1"/>
        <v/>
      </c>
      <c r="E3366" s="100" t="str">
        <f t="shared" si="2"/>
        <v/>
      </c>
      <c r="F3366" s="100" t="str">
        <f t="shared" si="3"/>
        <v/>
      </c>
      <c r="G3366" s="151"/>
      <c r="H3366" s="160"/>
      <c r="I3366" s="157"/>
      <c r="J3366" s="158"/>
      <c r="L3366" s="94"/>
      <c r="M3366" s="159"/>
      <c r="N3366" s="94"/>
    </row>
    <row r="3367">
      <c r="A3367" s="107">
        <v>1626162.0</v>
      </c>
      <c r="B3367" s="108" t="s">
        <v>245</v>
      </c>
      <c r="C3367" s="108" t="s">
        <v>837</v>
      </c>
      <c r="D3367" s="100" t="str">
        <f t="shared" si="1"/>
        <v/>
      </c>
      <c r="E3367" s="100" t="str">
        <f t="shared" si="2"/>
        <v/>
      </c>
      <c r="F3367" s="100" t="str">
        <f t="shared" si="3"/>
        <v/>
      </c>
      <c r="G3367" s="151"/>
      <c r="H3367" s="156"/>
      <c r="I3367" s="157"/>
      <c r="J3367" s="161"/>
      <c r="L3367" s="94"/>
      <c r="M3367" s="159"/>
      <c r="N3367" s="94"/>
    </row>
    <row r="3368">
      <c r="A3368" s="107">
        <v>1626162.0</v>
      </c>
      <c r="B3368" s="108" t="s">
        <v>246</v>
      </c>
      <c r="C3368" s="108" t="s">
        <v>837</v>
      </c>
      <c r="D3368" s="100" t="str">
        <f t="shared" si="1"/>
        <v/>
      </c>
      <c r="E3368" s="100" t="str">
        <f t="shared" si="2"/>
        <v/>
      </c>
      <c r="F3368" s="100" t="str">
        <f t="shared" si="3"/>
        <v/>
      </c>
      <c r="G3368" s="151"/>
      <c r="H3368" s="160"/>
      <c r="I3368" s="157"/>
      <c r="J3368" s="158"/>
      <c r="L3368" s="94"/>
      <c r="M3368" s="159"/>
      <c r="N3368" s="94"/>
    </row>
    <row r="3369">
      <c r="A3369" s="149">
        <v>1626162.0</v>
      </c>
      <c r="B3369" s="115" t="s">
        <v>247</v>
      </c>
      <c r="C3369" s="108" t="s">
        <v>837</v>
      </c>
      <c r="D3369" s="100" t="str">
        <f t="shared" si="1"/>
        <v/>
      </c>
      <c r="E3369" s="100" t="str">
        <f t="shared" si="2"/>
        <v/>
      </c>
      <c r="F3369" s="100" t="str">
        <f t="shared" si="3"/>
        <v/>
      </c>
      <c r="G3369" s="151"/>
      <c r="H3369" s="156"/>
      <c r="I3369" s="157"/>
      <c r="J3369" s="161"/>
      <c r="L3369" s="94"/>
      <c r="M3369" s="159"/>
      <c r="N3369" s="94"/>
    </row>
    <row r="3370">
      <c r="A3370" s="21">
        <v>1626163.0</v>
      </c>
      <c r="B3370" s="164" t="s">
        <v>92</v>
      </c>
      <c r="C3370" s="164" t="s">
        <v>838</v>
      </c>
      <c r="D3370" s="100" t="str">
        <f t="shared" si="1"/>
        <v/>
      </c>
      <c r="E3370" s="100" t="str">
        <f t="shared" si="2"/>
        <v/>
      </c>
      <c r="F3370" s="100" t="str">
        <f t="shared" si="3"/>
        <v/>
      </c>
      <c r="G3370" s="151"/>
      <c r="H3370" s="160"/>
      <c r="I3370" s="157"/>
      <c r="J3370" s="158"/>
      <c r="L3370" s="94"/>
      <c r="M3370" s="159"/>
      <c r="N3370" s="94"/>
    </row>
    <row r="3371">
      <c r="A3371" s="107">
        <v>1626163.0</v>
      </c>
      <c r="B3371" s="108" t="s">
        <v>190</v>
      </c>
      <c r="C3371" s="108" t="s">
        <v>838</v>
      </c>
      <c r="D3371" s="100" t="str">
        <f t="shared" si="1"/>
        <v/>
      </c>
      <c r="E3371" s="100" t="str">
        <f t="shared" si="2"/>
        <v/>
      </c>
      <c r="F3371" s="100" t="str">
        <f t="shared" si="3"/>
        <v/>
      </c>
      <c r="G3371" s="151"/>
      <c r="H3371" s="156"/>
      <c r="I3371" s="157"/>
      <c r="J3371" s="161"/>
      <c r="L3371" s="94"/>
      <c r="M3371" s="159"/>
      <c r="N3371" s="94"/>
    </row>
    <row r="3372">
      <c r="A3372" s="107">
        <v>1626163.0</v>
      </c>
      <c r="B3372" s="108" t="s">
        <v>191</v>
      </c>
      <c r="C3372" s="108" t="s">
        <v>838</v>
      </c>
      <c r="D3372" s="100" t="str">
        <f t="shared" si="1"/>
        <v/>
      </c>
      <c r="E3372" s="100" t="str">
        <f t="shared" si="2"/>
        <v/>
      </c>
      <c r="F3372" s="100" t="str">
        <f t="shared" si="3"/>
        <v/>
      </c>
      <c r="G3372" s="151"/>
      <c r="H3372" s="160"/>
      <c r="I3372" s="157"/>
      <c r="J3372" s="158"/>
      <c r="L3372" s="94"/>
      <c r="M3372" s="159"/>
      <c r="N3372" s="94"/>
    </row>
    <row r="3373">
      <c r="A3373" s="107">
        <v>1626163.0</v>
      </c>
      <c r="B3373" s="108" t="s">
        <v>192</v>
      </c>
      <c r="C3373" s="108" t="s">
        <v>838</v>
      </c>
      <c r="D3373" s="100" t="str">
        <f t="shared" si="1"/>
        <v/>
      </c>
      <c r="E3373" s="100" t="str">
        <f t="shared" si="2"/>
        <v/>
      </c>
      <c r="F3373" s="100" t="str">
        <f t="shared" si="3"/>
        <v/>
      </c>
      <c r="G3373" s="151"/>
      <c r="H3373" s="156"/>
      <c r="I3373" s="157"/>
      <c r="J3373" s="161"/>
      <c r="L3373" s="94"/>
      <c r="M3373" s="159"/>
      <c r="N3373" s="94"/>
    </row>
    <row r="3374">
      <c r="A3374" s="107">
        <v>1626163.0</v>
      </c>
      <c r="B3374" s="108" t="s">
        <v>193</v>
      </c>
      <c r="C3374" s="108" t="s">
        <v>838</v>
      </c>
      <c r="D3374" s="100" t="str">
        <f t="shared" si="1"/>
        <v/>
      </c>
      <c r="E3374" s="100" t="str">
        <f t="shared" si="2"/>
        <v/>
      </c>
      <c r="F3374" s="100" t="str">
        <f t="shared" si="3"/>
        <v/>
      </c>
      <c r="G3374" s="151"/>
      <c r="H3374" s="160"/>
      <c r="I3374" s="157"/>
      <c r="J3374" s="158"/>
      <c r="L3374" s="94"/>
      <c r="M3374" s="159"/>
      <c r="N3374" s="94"/>
    </row>
    <row r="3375">
      <c r="A3375" s="107">
        <v>1626163.0</v>
      </c>
      <c r="B3375" s="108" t="s">
        <v>243</v>
      </c>
      <c r="C3375" s="108" t="s">
        <v>838</v>
      </c>
      <c r="D3375" s="100" t="str">
        <f t="shared" si="1"/>
        <v/>
      </c>
      <c r="E3375" s="100" t="str">
        <f t="shared" si="2"/>
        <v/>
      </c>
      <c r="F3375" s="100" t="str">
        <f t="shared" si="3"/>
        <v/>
      </c>
      <c r="G3375" s="151"/>
      <c r="H3375" s="156"/>
      <c r="I3375" s="157"/>
      <c r="J3375" s="161"/>
      <c r="L3375" s="94"/>
      <c r="M3375" s="159"/>
      <c r="N3375" s="94"/>
    </row>
    <row r="3376">
      <c r="A3376" s="107">
        <v>1626163.0</v>
      </c>
      <c r="B3376" s="108" t="s">
        <v>215</v>
      </c>
      <c r="C3376" s="108" t="s">
        <v>838</v>
      </c>
      <c r="D3376" s="100" t="str">
        <f t="shared" si="1"/>
        <v/>
      </c>
      <c r="E3376" s="100" t="str">
        <f t="shared" si="2"/>
        <v/>
      </c>
      <c r="F3376" s="100" t="str">
        <f t="shared" si="3"/>
        <v/>
      </c>
      <c r="G3376" s="151"/>
      <c r="H3376" s="160"/>
      <c r="I3376" s="157"/>
      <c r="J3376" s="158"/>
      <c r="L3376" s="94"/>
      <c r="M3376" s="159"/>
      <c r="N3376" s="94"/>
    </row>
    <row r="3377">
      <c r="A3377" s="107">
        <v>1626163.0</v>
      </c>
      <c r="B3377" s="108" t="s">
        <v>244</v>
      </c>
      <c r="C3377" s="108" t="s">
        <v>838</v>
      </c>
      <c r="D3377" s="100" t="str">
        <f t="shared" si="1"/>
        <v/>
      </c>
      <c r="E3377" s="100" t="str">
        <f t="shared" si="2"/>
        <v/>
      </c>
      <c r="F3377" s="100" t="str">
        <f t="shared" si="3"/>
        <v/>
      </c>
      <c r="G3377" s="151"/>
      <c r="H3377" s="156"/>
      <c r="I3377" s="157"/>
      <c r="J3377" s="161"/>
      <c r="L3377" s="94"/>
      <c r="M3377" s="159"/>
      <c r="N3377" s="94"/>
    </row>
    <row r="3378">
      <c r="A3378" s="107">
        <v>1626164.0</v>
      </c>
      <c r="B3378" s="108" t="s">
        <v>92</v>
      </c>
      <c r="C3378" s="108" t="s">
        <v>839</v>
      </c>
      <c r="D3378" s="100" t="str">
        <f t="shared" si="1"/>
        <v/>
      </c>
      <c r="E3378" s="100" t="str">
        <f t="shared" si="2"/>
        <v/>
      </c>
      <c r="F3378" s="100" t="str">
        <f t="shared" si="3"/>
        <v/>
      </c>
      <c r="G3378" s="151"/>
      <c r="H3378" s="160"/>
      <c r="I3378" s="157"/>
      <c r="J3378" s="158"/>
      <c r="L3378" s="94"/>
      <c r="M3378" s="159"/>
      <c r="N3378" s="94"/>
    </row>
    <row r="3379">
      <c r="A3379" s="107">
        <v>1626164.0</v>
      </c>
      <c r="B3379" s="108" t="s">
        <v>190</v>
      </c>
      <c r="C3379" s="108" t="s">
        <v>839</v>
      </c>
      <c r="D3379" s="100" t="str">
        <f t="shared" si="1"/>
        <v/>
      </c>
      <c r="E3379" s="100" t="str">
        <f t="shared" si="2"/>
        <v/>
      </c>
      <c r="F3379" s="100" t="str">
        <f t="shared" si="3"/>
        <v/>
      </c>
      <c r="G3379" s="151"/>
      <c r="H3379" s="156"/>
      <c r="I3379" s="157"/>
      <c r="J3379" s="161"/>
      <c r="L3379" s="94"/>
      <c r="M3379" s="159"/>
      <c r="N3379" s="94"/>
    </row>
    <row r="3380">
      <c r="A3380" s="107">
        <v>1626164.0</v>
      </c>
      <c r="B3380" s="108" t="s">
        <v>191</v>
      </c>
      <c r="C3380" s="108" t="s">
        <v>839</v>
      </c>
      <c r="D3380" s="100" t="str">
        <f t="shared" si="1"/>
        <v/>
      </c>
      <c r="E3380" s="100" t="str">
        <f t="shared" si="2"/>
        <v/>
      </c>
      <c r="F3380" s="100" t="str">
        <f t="shared" si="3"/>
        <v/>
      </c>
      <c r="G3380" s="151"/>
      <c r="H3380" s="160"/>
      <c r="I3380" s="157"/>
      <c r="J3380" s="158"/>
      <c r="L3380" s="94"/>
      <c r="M3380" s="159"/>
      <c r="N3380" s="94"/>
    </row>
    <row r="3381">
      <c r="A3381" s="107">
        <v>1626164.0</v>
      </c>
      <c r="B3381" s="108" t="s">
        <v>192</v>
      </c>
      <c r="C3381" s="108" t="s">
        <v>839</v>
      </c>
      <c r="D3381" s="100" t="str">
        <f t="shared" si="1"/>
        <v/>
      </c>
      <c r="E3381" s="100" t="str">
        <f t="shared" si="2"/>
        <v/>
      </c>
      <c r="F3381" s="100" t="str">
        <f t="shared" si="3"/>
        <v/>
      </c>
      <c r="G3381" s="151"/>
      <c r="H3381" s="156"/>
      <c r="I3381" s="157"/>
      <c r="J3381" s="161"/>
      <c r="L3381" s="94"/>
      <c r="M3381" s="159"/>
      <c r="N3381" s="94"/>
    </row>
    <row r="3382">
      <c r="A3382" s="107">
        <v>1626164.0</v>
      </c>
      <c r="B3382" s="108" t="s">
        <v>193</v>
      </c>
      <c r="C3382" s="108" t="s">
        <v>839</v>
      </c>
      <c r="D3382" s="100" t="str">
        <f t="shared" si="1"/>
        <v/>
      </c>
      <c r="E3382" s="100" t="str">
        <f t="shared" si="2"/>
        <v/>
      </c>
      <c r="F3382" s="100" t="str">
        <f t="shared" si="3"/>
        <v/>
      </c>
      <c r="G3382" s="151"/>
      <c r="H3382" s="160"/>
      <c r="I3382" s="157"/>
      <c r="J3382" s="158"/>
      <c r="L3382" s="94"/>
      <c r="M3382" s="159"/>
      <c r="N3382" s="94"/>
    </row>
    <row r="3383">
      <c r="A3383" s="107">
        <v>1626164.0</v>
      </c>
      <c r="B3383" s="108" t="s">
        <v>243</v>
      </c>
      <c r="C3383" s="108" t="s">
        <v>839</v>
      </c>
      <c r="D3383" s="100" t="str">
        <f t="shared" si="1"/>
        <v/>
      </c>
      <c r="E3383" s="100" t="str">
        <f t="shared" si="2"/>
        <v/>
      </c>
      <c r="F3383" s="100" t="str">
        <f t="shared" si="3"/>
        <v/>
      </c>
      <c r="G3383" s="151"/>
      <c r="H3383" s="156"/>
      <c r="I3383" s="157"/>
      <c r="J3383" s="161"/>
      <c r="L3383" s="94"/>
      <c r="M3383" s="159"/>
      <c r="N3383" s="94"/>
    </row>
    <row r="3384">
      <c r="A3384" s="107">
        <v>1626164.0</v>
      </c>
      <c r="B3384" s="108" t="s">
        <v>215</v>
      </c>
      <c r="C3384" s="108" t="s">
        <v>839</v>
      </c>
      <c r="D3384" s="100" t="str">
        <f t="shared" si="1"/>
        <v/>
      </c>
      <c r="E3384" s="100" t="str">
        <f t="shared" si="2"/>
        <v/>
      </c>
      <c r="F3384" s="100" t="str">
        <f t="shared" si="3"/>
        <v/>
      </c>
      <c r="G3384" s="151"/>
      <c r="H3384" s="160"/>
      <c r="I3384" s="157"/>
      <c r="J3384" s="158"/>
      <c r="L3384" s="94"/>
      <c r="M3384" s="159"/>
      <c r="N3384" s="94"/>
    </row>
    <row r="3385">
      <c r="A3385" s="107">
        <v>1626164.0</v>
      </c>
      <c r="B3385" s="108" t="s">
        <v>244</v>
      </c>
      <c r="C3385" s="108" t="s">
        <v>839</v>
      </c>
      <c r="D3385" s="100" t="str">
        <f t="shared" si="1"/>
        <v/>
      </c>
      <c r="E3385" s="100" t="str">
        <f t="shared" si="2"/>
        <v/>
      </c>
      <c r="F3385" s="100" t="str">
        <f t="shared" si="3"/>
        <v/>
      </c>
      <c r="G3385" s="151"/>
      <c r="H3385" s="156"/>
      <c r="I3385" s="157"/>
      <c r="J3385" s="161"/>
      <c r="L3385" s="94"/>
      <c r="M3385" s="159"/>
      <c r="N3385" s="94"/>
    </row>
    <row r="3386">
      <c r="A3386" s="107">
        <v>1626164.0</v>
      </c>
      <c r="B3386" s="108" t="s">
        <v>245</v>
      </c>
      <c r="C3386" s="108" t="s">
        <v>839</v>
      </c>
      <c r="D3386" s="100" t="str">
        <f t="shared" si="1"/>
        <v/>
      </c>
      <c r="E3386" s="100" t="str">
        <f t="shared" si="2"/>
        <v/>
      </c>
      <c r="F3386" s="100" t="str">
        <f t="shared" si="3"/>
        <v/>
      </c>
      <c r="G3386" s="151"/>
      <c r="H3386" s="160"/>
      <c r="I3386" s="157"/>
      <c r="J3386" s="158"/>
      <c r="L3386" s="94"/>
      <c r="M3386" s="159"/>
      <c r="N3386" s="94"/>
    </row>
    <row r="3387">
      <c r="A3387" s="107">
        <v>1626164.0</v>
      </c>
      <c r="B3387" s="108" t="s">
        <v>246</v>
      </c>
      <c r="C3387" s="108" t="s">
        <v>839</v>
      </c>
      <c r="D3387" s="100" t="str">
        <f t="shared" si="1"/>
        <v/>
      </c>
      <c r="E3387" s="100" t="str">
        <f t="shared" si="2"/>
        <v/>
      </c>
      <c r="F3387" s="100" t="str">
        <f t="shared" si="3"/>
        <v/>
      </c>
      <c r="G3387" s="151"/>
      <c r="H3387" s="156"/>
      <c r="I3387" s="157"/>
      <c r="J3387" s="161"/>
      <c r="L3387" s="94"/>
      <c r="M3387" s="159"/>
      <c r="N3387" s="94"/>
    </row>
    <row r="3388">
      <c r="A3388" s="149">
        <v>1626164.0</v>
      </c>
      <c r="B3388" s="115" t="s">
        <v>247</v>
      </c>
      <c r="C3388" s="115" t="s">
        <v>839</v>
      </c>
      <c r="D3388" s="100" t="str">
        <f t="shared" si="1"/>
        <v/>
      </c>
      <c r="E3388" s="100" t="str">
        <f t="shared" si="2"/>
        <v/>
      </c>
      <c r="F3388" s="100" t="str">
        <f t="shared" si="3"/>
        <v/>
      </c>
      <c r="G3388" s="151"/>
      <c r="H3388" s="160"/>
      <c r="I3388" s="157"/>
      <c r="J3388" s="158"/>
      <c r="L3388" s="94"/>
      <c r="M3388" s="159"/>
      <c r="N3388" s="94"/>
    </row>
    <row r="3389">
      <c r="A3389" s="21">
        <v>1626166.0</v>
      </c>
      <c r="B3389" s="164" t="s">
        <v>92</v>
      </c>
      <c r="C3389" s="164" t="s">
        <v>840</v>
      </c>
      <c r="D3389" s="100" t="str">
        <f t="shared" si="1"/>
        <v/>
      </c>
      <c r="E3389" s="100" t="str">
        <f t="shared" si="2"/>
        <v/>
      </c>
      <c r="F3389" s="100" t="str">
        <f t="shared" si="3"/>
        <v/>
      </c>
      <c r="G3389" s="151"/>
      <c r="H3389" s="156"/>
      <c r="I3389" s="157"/>
      <c r="J3389" s="161"/>
      <c r="L3389" s="94"/>
      <c r="M3389" s="159"/>
      <c r="N3389" s="94"/>
    </row>
    <row r="3390">
      <c r="A3390" s="107">
        <v>1626166.0</v>
      </c>
      <c r="B3390" s="108" t="s">
        <v>190</v>
      </c>
      <c r="C3390" s="108" t="s">
        <v>840</v>
      </c>
      <c r="D3390" s="100" t="str">
        <f t="shared" si="1"/>
        <v/>
      </c>
      <c r="E3390" s="100" t="str">
        <f t="shared" si="2"/>
        <v/>
      </c>
      <c r="F3390" s="100" t="str">
        <f t="shared" si="3"/>
        <v/>
      </c>
      <c r="G3390" s="151"/>
      <c r="H3390" s="160"/>
      <c r="I3390" s="157"/>
      <c r="J3390" s="158"/>
      <c r="L3390" s="94"/>
      <c r="M3390" s="159"/>
      <c r="N3390" s="94"/>
    </row>
    <row r="3391">
      <c r="A3391" s="107">
        <v>1626166.0</v>
      </c>
      <c r="B3391" s="108" t="s">
        <v>191</v>
      </c>
      <c r="C3391" s="108" t="s">
        <v>840</v>
      </c>
      <c r="D3391" s="100" t="str">
        <f t="shared" si="1"/>
        <v/>
      </c>
      <c r="E3391" s="100" t="str">
        <f t="shared" si="2"/>
        <v/>
      </c>
      <c r="F3391" s="100" t="str">
        <f t="shared" si="3"/>
        <v/>
      </c>
      <c r="G3391" s="151"/>
      <c r="H3391" s="156"/>
      <c r="I3391" s="157"/>
      <c r="J3391" s="161"/>
      <c r="L3391" s="94"/>
      <c r="M3391" s="159"/>
      <c r="N3391" s="94"/>
    </row>
    <row r="3392">
      <c r="A3392" s="107">
        <v>1626166.0</v>
      </c>
      <c r="B3392" s="108" t="s">
        <v>192</v>
      </c>
      <c r="C3392" s="108" t="s">
        <v>840</v>
      </c>
      <c r="D3392" s="100" t="str">
        <f t="shared" si="1"/>
        <v/>
      </c>
      <c r="E3392" s="100" t="str">
        <f t="shared" si="2"/>
        <v/>
      </c>
      <c r="F3392" s="100" t="str">
        <f t="shared" si="3"/>
        <v/>
      </c>
      <c r="G3392" s="151"/>
      <c r="H3392" s="160"/>
      <c r="I3392" s="157"/>
      <c r="J3392" s="158"/>
      <c r="L3392" s="94"/>
      <c r="M3392" s="159"/>
      <c r="N3392" s="94"/>
    </row>
    <row r="3393">
      <c r="A3393" s="107">
        <v>1626166.0</v>
      </c>
      <c r="B3393" s="108" t="s">
        <v>193</v>
      </c>
      <c r="C3393" s="108" t="s">
        <v>840</v>
      </c>
      <c r="D3393" s="100" t="str">
        <f t="shared" si="1"/>
        <v/>
      </c>
      <c r="E3393" s="100" t="str">
        <f t="shared" si="2"/>
        <v/>
      </c>
      <c r="F3393" s="100" t="str">
        <f t="shared" si="3"/>
        <v/>
      </c>
      <c r="G3393" s="151"/>
      <c r="H3393" s="156"/>
      <c r="I3393" s="157"/>
      <c r="J3393" s="161"/>
      <c r="L3393" s="94"/>
      <c r="M3393" s="159"/>
      <c r="N3393" s="94"/>
    </row>
    <row r="3394">
      <c r="A3394" s="107">
        <v>1626166.0</v>
      </c>
      <c r="B3394" s="108" t="s">
        <v>243</v>
      </c>
      <c r="C3394" s="108" t="s">
        <v>840</v>
      </c>
      <c r="D3394" s="100" t="str">
        <f t="shared" si="1"/>
        <v/>
      </c>
      <c r="E3394" s="100" t="str">
        <f t="shared" si="2"/>
        <v/>
      </c>
      <c r="F3394" s="100" t="str">
        <f t="shared" si="3"/>
        <v/>
      </c>
      <c r="G3394" s="151"/>
      <c r="H3394" s="160"/>
      <c r="I3394" s="157"/>
      <c r="J3394" s="158"/>
      <c r="L3394" s="94"/>
      <c r="M3394" s="159"/>
      <c r="N3394" s="94"/>
    </row>
    <row r="3395">
      <c r="A3395" s="107">
        <v>1626166.0</v>
      </c>
      <c r="B3395" s="108" t="s">
        <v>215</v>
      </c>
      <c r="C3395" s="108" t="s">
        <v>840</v>
      </c>
      <c r="D3395" s="100" t="str">
        <f t="shared" si="1"/>
        <v/>
      </c>
      <c r="E3395" s="100" t="str">
        <f t="shared" si="2"/>
        <v/>
      </c>
      <c r="F3395" s="100" t="str">
        <f t="shared" si="3"/>
        <v/>
      </c>
      <c r="G3395" s="151"/>
      <c r="H3395" s="156"/>
      <c r="I3395" s="157"/>
      <c r="J3395" s="161"/>
      <c r="L3395" s="94"/>
      <c r="M3395" s="159"/>
      <c r="N3395" s="94"/>
    </row>
    <row r="3396">
      <c r="A3396" s="107">
        <v>1626166.0</v>
      </c>
      <c r="B3396" s="108" t="s">
        <v>244</v>
      </c>
      <c r="C3396" s="108" t="s">
        <v>840</v>
      </c>
      <c r="D3396" s="100" t="str">
        <f t="shared" si="1"/>
        <v/>
      </c>
      <c r="E3396" s="100" t="str">
        <f t="shared" si="2"/>
        <v/>
      </c>
      <c r="F3396" s="100" t="str">
        <f t="shared" si="3"/>
        <v/>
      </c>
      <c r="G3396" s="151"/>
      <c r="H3396" s="160"/>
      <c r="I3396" s="157"/>
      <c r="J3396" s="158"/>
      <c r="L3396" s="94"/>
      <c r="M3396" s="159"/>
      <c r="N3396" s="94"/>
    </row>
    <row r="3397">
      <c r="A3397" s="107">
        <v>1626166.0</v>
      </c>
      <c r="B3397" s="108" t="s">
        <v>245</v>
      </c>
      <c r="C3397" s="108" t="s">
        <v>840</v>
      </c>
      <c r="D3397" s="100" t="str">
        <f t="shared" si="1"/>
        <v/>
      </c>
      <c r="E3397" s="100" t="str">
        <f t="shared" si="2"/>
        <v/>
      </c>
      <c r="F3397" s="100" t="str">
        <f t="shared" si="3"/>
        <v/>
      </c>
      <c r="G3397" s="151"/>
      <c r="H3397" s="156"/>
      <c r="I3397" s="157"/>
      <c r="J3397" s="161"/>
      <c r="L3397" s="94"/>
      <c r="M3397" s="159"/>
      <c r="N3397" s="94"/>
    </row>
    <row r="3398">
      <c r="A3398" s="107">
        <v>1626166.0</v>
      </c>
      <c r="B3398" s="108" t="s">
        <v>246</v>
      </c>
      <c r="C3398" s="108" t="s">
        <v>840</v>
      </c>
      <c r="D3398" s="100" t="str">
        <f t="shared" si="1"/>
        <v/>
      </c>
      <c r="E3398" s="100" t="str">
        <f t="shared" si="2"/>
        <v/>
      </c>
      <c r="F3398" s="100" t="str">
        <f t="shared" si="3"/>
        <v/>
      </c>
      <c r="G3398" s="151"/>
      <c r="H3398" s="160"/>
      <c r="I3398" s="157"/>
      <c r="J3398" s="158"/>
      <c r="L3398" s="94"/>
      <c r="M3398" s="159"/>
      <c r="N3398" s="94"/>
    </row>
    <row r="3399">
      <c r="A3399" s="107">
        <v>1626167.0</v>
      </c>
      <c r="B3399" s="108" t="s">
        <v>92</v>
      </c>
      <c r="C3399" s="108" t="s">
        <v>841</v>
      </c>
      <c r="D3399" s="100" t="str">
        <f t="shared" si="1"/>
        <v/>
      </c>
      <c r="E3399" s="100" t="str">
        <f t="shared" si="2"/>
        <v/>
      </c>
      <c r="F3399" s="100" t="str">
        <f t="shared" si="3"/>
        <v/>
      </c>
      <c r="G3399" s="151"/>
      <c r="H3399" s="156"/>
      <c r="I3399" s="157"/>
      <c r="J3399" s="161"/>
      <c r="L3399" s="94"/>
      <c r="M3399" s="159"/>
      <c r="N3399" s="94"/>
    </row>
    <row r="3400">
      <c r="A3400" s="107">
        <v>1626167.0</v>
      </c>
      <c r="B3400" s="108" t="s">
        <v>190</v>
      </c>
      <c r="C3400" s="108" t="s">
        <v>841</v>
      </c>
      <c r="D3400" s="100" t="str">
        <f t="shared" si="1"/>
        <v/>
      </c>
      <c r="E3400" s="100" t="str">
        <f t="shared" si="2"/>
        <v/>
      </c>
      <c r="F3400" s="100" t="str">
        <f t="shared" si="3"/>
        <v/>
      </c>
      <c r="G3400" s="151"/>
      <c r="H3400" s="160"/>
      <c r="I3400" s="157"/>
      <c r="J3400" s="158"/>
      <c r="L3400" s="94"/>
      <c r="M3400" s="159"/>
      <c r="N3400" s="94"/>
    </row>
    <row r="3401">
      <c r="A3401" s="107">
        <v>1626167.0</v>
      </c>
      <c r="B3401" s="108" t="s">
        <v>191</v>
      </c>
      <c r="C3401" s="108" t="s">
        <v>841</v>
      </c>
      <c r="D3401" s="100" t="str">
        <f t="shared" si="1"/>
        <v/>
      </c>
      <c r="E3401" s="100" t="str">
        <f t="shared" si="2"/>
        <v/>
      </c>
      <c r="F3401" s="100" t="str">
        <f t="shared" si="3"/>
        <v/>
      </c>
      <c r="G3401" s="151"/>
      <c r="H3401" s="156"/>
      <c r="I3401" s="157"/>
      <c r="J3401" s="161"/>
      <c r="L3401" s="94"/>
      <c r="M3401" s="159"/>
      <c r="N3401" s="94"/>
    </row>
    <row r="3402">
      <c r="A3402" s="107">
        <v>1626167.0</v>
      </c>
      <c r="B3402" s="108" t="s">
        <v>192</v>
      </c>
      <c r="C3402" s="108" t="s">
        <v>841</v>
      </c>
      <c r="D3402" s="100" t="str">
        <f t="shared" si="1"/>
        <v/>
      </c>
      <c r="E3402" s="100" t="str">
        <f t="shared" si="2"/>
        <v/>
      </c>
      <c r="F3402" s="100" t="str">
        <f t="shared" si="3"/>
        <v/>
      </c>
      <c r="G3402" s="151"/>
      <c r="H3402" s="160"/>
      <c r="I3402" s="157"/>
      <c r="J3402" s="158"/>
      <c r="L3402" s="94"/>
      <c r="M3402" s="159"/>
      <c r="N3402" s="94"/>
    </row>
    <row r="3403">
      <c r="A3403" s="107">
        <v>1626167.0</v>
      </c>
      <c r="B3403" s="108" t="s">
        <v>193</v>
      </c>
      <c r="C3403" s="108" t="s">
        <v>841</v>
      </c>
      <c r="D3403" s="100" t="str">
        <f t="shared" si="1"/>
        <v/>
      </c>
      <c r="E3403" s="100" t="str">
        <f t="shared" si="2"/>
        <v/>
      </c>
      <c r="F3403" s="100" t="str">
        <f t="shared" si="3"/>
        <v/>
      </c>
      <c r="G3403" s="151"/>
      <c r="H3403" s="156"/>
      <c r="I3403" s="157"/>
      <c r="J3403" s="161"/>
      <c r="L3403" s="94"/>
      <c r="M3403" s="159"/>
      <c r="N3403" s="94"/>
    </row>
    <row r="3404">
      <c r="A3404" s="107">
        <v>1626167.0</v>
      </c>
      <c r="B3404" s="108" t="s">
        <v>243</v>
      </c>
      <c r="C3404" s="108" t="s">
        <v>841</v>
      </c>
      <c r="D3404" s="100" t="str">
        <f t="shared" si="1"/>
        <v/>
      </c>
      <c r="E3404" s="100" t="str">
        <f t="shared" si="2"/>
        <v/>
      </c>
      <c r="F3404" s="100" t="str">
        <f t="shared" si="3"/>
        <v/>
      </c>
      <c r="G3404" s="151"/>
      <c r="H3404" s="160"/>
      <c r="I3404" s="157"/>
      <c r="J3404" s="158"/>
      <c r="L3404" s="94"/>
      <c r="M3404" s="159"/>
      <c r="N3404" s="94"/>
    </row>
    <row r="3405">
      <c r="A3405" s="107">
        <v>1626167.0</v>
      </c>
      <c r="B3405" s="108" t="s">
        <v>215</v>
      </c>
      <c r="C3405" s="108" t="s">
        <v>841</v>
      </c>
      <c r="D3405" s="100" t="str">
        <f t="shared" si="1"/>
        <v/>
      </c>
      <c r="E3405" s="100" t="str">
        <f t="shared" si="2"/>
        <v/>
      </c>
      <c r="F3405" s="100" t="str">
        <f t="shared" si="3"/>
        <v/>
      </c>
      <c r="G3405" s="151"/>
      <c r="H3405" s="156"/>
      <c r="I3405" s="157"/>
      <c r="J3405" s="161"/>
      <c r="L3405" s="94"/>
      <c r="M3405" s="159"/>
      <c r="N3405" s="94"/>
    </row>
    <row r="3406">
      <c r="A3406" s="107">
        <v>1626167.0</v>
      </c>
      <c r="B3406" s="108" t="s">
        <v>244</v>
      </c>
      <c r="C3406" s="108" t="s">
        <v>841</v>
      </c>
      <c r="D3406" s="100" t="str">
        <f t="shared" si="1"/>
        <v/>
      </c>
      <c r="E3406" s="100" t="str">
        <f t="shared" si="2"/>
        <v/>
      </c>
      <c r="F3406" s="100" t="str">
        <f t="shared" si="3"/>
        <v/>
      </c>
      <c r="G3406" s="151"/>
      <c r="H3406" s="160"/>
      <c r="I3406" s="157"/>
      <c r="J3406" s="158"/>
      <c r="L3406" s="94"/>
      <c r="M3406" s="159"/>
      <c r="N3406" s="94"/>
    </row>
    <row r="3407">
      <c r="A3407" s="107">
        <v>1626167.0</v>
      </c>
      <c r="B3407" s="108" t="s">
        <v>245</v>
      </c>
      <c r="C3407" s="108" t="s">
        <v>841</v>
      </c>
      <c r="D3407" s="100" t="str">
        <f t="shared" si="1"/>
        <v/>
      </c>
      <c r="E3407" s="100" t="str">
        <f t="shared" si="2"/>
        <v/>
      </c>
      <c r="F3407" s="100" t="str">
        <f t="shared" si="3"/>
        <v/>
      </c>
      <c r="G3407" s="151"/>
      <c r="H3407" s="156"/>
      <c r="I3407" s="157"/>
      <c r="J3407" s="161"/>
      <c r="L3407" s="94"/>
      <c r="M3407" s="159"/>
      <c r="N3407" s="94"/>
    </row>
    <row r="3408">
      <c r="A3408" s="107">
        <v>1626167.0</v>
      </c>
      <c r="B3408" s="108" t="s">
        <v>246</v>
      </c>
      <c r="C3408" s="108" t="s">
        <v>841</v>
      </c>
      <c r="D3408" s="100" t="str">
        <f t="shared" si="1"/>
        <v/>
      </c>
      <c r="E3408" s="100" t="str">
        <f t="shared" si="2"/>
        <v/>
      </c>
      <c r="F3408" s="100" t="str">
        <f t="shared" si="3"/>
        <v/>
      </c>
      <c r="G3408" s="151"/>
      <c r="H3408" s="160"/>
      <c r="I3408" s="157"/>
      <c r="J3408" s="158"/>
      <c r="L3408" s="94"/>
      <c r="M3408" s="159"/>
      <c r="N3408" s="94"/>
    </row>
    <row r="3409">
      <c r="A3409" s="149">
        <v>1626167.0</v>
      </c>
      <c r="B3409" s="115" t="s">
        <v>247</v>
      </c>
      <c r="C3409" s="115" t="s">
        <v>841</v>
      </c>
      <c r="D3409" s="100" t="str">
        <f t="shared" si="1"/>
        <v/>
      </c>
      <c r="E3409" s="100" t="str">
        <f t="shared" si="2"/>
        <v/>
      </c>
      <c r="F3409" s="100" t="str">
        <f t="shared" si="3"/>
        <v/>
      </c>
      <c r="G3409" s="151"/>
      <c r="H3409" s="156"/>
      <c r="I3409" s="157"/>
      <c r="J3409" s="161"/>
      <c r="L3409" s="94"/>
      <c r="M3409" s="159"/>
      <c r="N3409" s="94"/>
    </row>
    <row r="3410">
      <c r="A3410" s="21">
        <v>1626168.0</v>
      </c>
      <c r="B3410" s="164" t="s">
        <v>92</v>
      </c>
      <c r="C3410" s="164" t="s">
        <v>842</v>
      </c>
      <c r="D3410" s="100" t="str">
        <f t="shared" si="1"/>
        <v/>
      </c>
      <c r="E3410" s="100" t="str">
        <f t="shared" si="2"/>
        <v/>
      </c>
      <c r="F3410" s="100" t="str">
        <f t="shared" si="3"/>
        <v/>
      </c>
      <c r="G3410" s="151"/>
      <c r="H3410" s="160"/>
      <c r="I3410" s="157"/>
      <c r="J3410" s="158"/>
      <c r="L3410" s="94"/>
      <c r="M3410" s="159"/>
      <c r="N3410" s="94"/>
    </row>
    <row r="3411">
      <c r="A3411" s="107">
        <v>1626168.0</v>
      </c>
      <c r="B3411" s="108" t="s">
        <v>190</v>
      </c>
      <c r="C3411" s="108" t="s">
        <v>842</v>
      </c>
      <c r="D3411" s="100" t="str">
        <f t="shared" si="1"/>
        <v/>
      </c>
      <c r="E3411" s="100" t="str">
        <f t="shared" si="2"/>
        <v/>
      </c>
      <c r="F3411" s="100" t="str">
        <f t="shared" si="3"/>
        <v/>
      </c>
      <c r="G3411" s="151"/>
      <c r="H3411" s="156"/>
      <c r="I3411" s="157"/>
      <c r="J3411" s="161"/>
      <c r="L3411" s="94"/>
      <c r="M3411" s="159"/>
      <c r="N3411" s="94"/>
    </row>
    <row r="3412">
      <c r="A3412" s="107">
        <v>1626168.0</v>
      </c>
      <c r="B3412" s="108" t="s">
        <v>191</v>
      </c>
      <c r="C3412" s="108" t="s">
        <v>842</v>
      </c>
      <c r="D3412" s="100" t="str">
        <f t="shared" si="1"/>
        <v/>
      </c>
      <c r="E3412" s="100" t="str">
        <f t="shared" si="2"/>
        <v/>
      </c>
      <c r="F3412" s="100" t="str">
        <f t="shared" si="3"/>
        <v/>
      </c>
      <c r="G3412" s="151"/>
      <c r="H3412" s="160"/>
      <c r="I3412" s="157"/>
      <c r="J3412" s="158"/>
      <c r="L3412" s="94"/>
      <c r="M3412" s="159"/>
      <c r="N3412" s="94"/>
    </row>
    <row r="3413">
      <c r="A3413" s="107">
        <v>1626168.0</v>
      </c>
      <c r="B3413" s="108" t="s">
        <v>192</v>
      </c>
      <c r="C3413" s="108" t="s">
        <v>842</v>
      </c>
      <c r="D3413" s="100" t="str">
        <f t="shared" si="1"/>
        <v/>
      </c>
      <c r="E3413" s="100" t="str">
        <f t="shared" si="2"/>
        <v/>
      </c>
      <c r="F3413" s="100" t="str">
        <f t="shared" si="3"/>
        <v/>
      </c>
      <c r="G3413" s="151"/>
      <c r="H3413" s="156"/>
      <c r="I3413" s="157"/>
      <c r="J3413" s="161"/>
      <c r="L3413" s="94"/>
      <c r="M3413" s="159"/>
      <c r="N3413" s="94"/>
    </row>
    <row r="3414">
      <c r="A3414" s="107">
        <v>1626168.0</v>
      </c>
      <c r="B3414" s="108" t="s">
        <v>193</v>
      </c>
      <c r="C3414" s="108" t="s">
        <v>842</v>
      </c>
      <c r="D3414" s="100" t="str">
        <f t="shared" si="1"/>
        <v/>
      </c>
      <c r="E3414" s="100" t="str">
        <f t="shared" si="2"/>
        <v/>
      </c>
      <c r="F3414" s="100" t="str">
        <f t="shared" si="3"/>
        <v/>
      </c>
      <c r="G3414" s="151"/>
      <c r="H3414" s="160"/>
      <c r="I3414" s="157"/>
      <c r="J3414" s="158"/>
      <c r="L3414" s="94"/>
      <c r="M3414" s="159"/>
      <c r="N3414" s="94"/>
    </row>
    <row r="3415">
      <c r="A3415" s="107">
        <v>1626168.0</v>
      </c>
      <c r="B3415" s="108" t="s">
        <v>243</v>
      </c>
      <c r="C3415" s="108" t="s">
        <v>842</v>
      </c>
      <c r="D3415" s="100" t="str">
        <f t="shared" si="1"/>
        <v/>
      </c>
      <c r="E3415" s="100" t="str">
        <f t="shared" si="2"/>
        <v/>
      </c>
      <c r="F3415" s="100" t="str">
        <f t="shared" si="3"/>
        <v/>
      </c>
      <c r="G3415" s="151"/>
      <c r="H3415" s="156"/>
      <c r="I3415" s="157"/>
      <c r="J3415" s="161"/>
      <c r="L3415" s="94"/>
      <c r="M3415" s="159"/>
      <c r="N3415" s="94"/>
    </row>
    <row r="3416">
      <c r="A3416" s="107">
        <v>1626168.0</v>
      </c>
      <c r="B3416" s="108" t="s">
        <v>215</v>
      </c>
      <c r="C3416" s="108" t="s">
        <v>842</v>
      </c>
      <c r="D3416" s="100" t="str">
        <f t="shared" si="1"/>
        <v/>
      </c>
      <c r="E3416" s="100" t="str">
        <f t="shared" si="2"/>
        <v/>
      </c>
      <c r="F3416" s="100" t="str">
        <f t="shared" si="3"/>
        <v/>
      </c>
      <c r="G3416" s="151"/>
      <c r="H3416" s="160"/>
      <c r="I3416" s="157"/>
      <c r="J3416" s="158"/>
      <c r="L3416" s="94"/>
      <c r="M3416" s="159"/>
      <c r="N3416" s="94"/>
    </row>
    <row r="3417">
      <c r="A3417" s="107">
        <v>1626168.0</v>
      </c>
      <c r="B3417" s="108" t="s">
        <v>244</v>
      </c>
      <c r="C3417" s="108" t="s">
        <v>842</v>
      </c>
      <c r="D3417" s="100" t="str">
        <f t="shared" si="1"/>
        <v/>
      </c>
      <c r="E3417" s="100" t="str">
        <f t="shared" si="2"/>
        <v/>
      </c>
      <c r="F3417" s="100" t="str">
        <f t="shared" si="3"/>
        <v/>
      </c>
      <c r="G3417" s="151"/>
      <c r="H3417" s="156"/>
      <c r="I3417" s="157"/>
      <c r="J3417" s="161"/>
      <c r="L3417" s="94"/>
      <c r="M3417" s="159"/>
      <c r="N3417" s="94"/>
    </row>
    <row r="3418">
      <c r="A3418" s="107">
        <v>1626168.0</v>
      </c>
      <c r="B3418" s="108" t="s">
        <v>245</v>
      </c>
      <c r="C3418" s="108" t="s">
        <v>842</v>
      </c>
      <c r="D3418" s="100" t="str">
        <f t="shared" si="1"/>
        <v/>
      </c>
      <c r="E3418" s="100" t="str">
        <f t="shared" si="2"/>
        <v/>
      </c>
      <c r="F3418" s="100" t="str">
        <f t="shared" si="3"/>
        <v/>
      </c>
      <c r="G3418" s="151"/>
      <c r="H3418" s="160"/>
      <c r="I3418" s="157"/>
      <c r="J3418" s="158"/>
      <c r="L3418" s="94"/>
      <c r="M3418" s="159"/>
      <c r="N3418" s="94"/>
    </row>
    <row r="3419">
      <c r="A3419" s="107">
        <v>1626168.0</v>
      </c>
      <c r="B3419" s="108" t="s">
        <v>246</v>
      </c>
      <c r="C3419" s="108" t="s">
        <v>842</v>
      </c>
      <c r="D3419" s="100" t="str">
        <f t="shared" si="1"/>
        <v/>
      </c>
      <c r="E3419" s="100" t="str">
        <f t="shared" si="2"/>
        <v/>
      </c>
      <c r="F3419" s="100" t="str">
        <f t="shared" si="3"/>
        <v/>
      </c>
      <c r="G3419" s="151"/>
      <c r="H3419" s="156"/>
      <c r="I3419" s="157"/>
      <c r="J3419" s="161"/>
      <c r="L3419" s="94"/>
      <c r="M3419" s="159"/>
      <c r="N3419" s="94"/>
    </row>
    <row r="3420">
      <c r="A3420" s="107">
        <v>1626169.0</v>
      </c>
      <c r="B3420" s="108" t="s">
        <v>92</v>
      </c>
      <c r="C3420" s="108" t="s">
        <v>843</v>
      </c>
      <c r="D3420" s="100" t="str">
        <f t="shared" si="1"/>
        <v/>
      </c>
      <c r="E3420" s="100" t="str">
        <f t="shared" si="2"/>
        <v/>
      </c>
      <c r="F3420" s="100" t="str">
        <f t="shared" si="3"/>
        <v/>
      </c>
      <c r="G3420" s="151"/>
      <c r="H3420" s="160"/>
      <c r="I3420" s="157"/>
      <c r="J3420" s="158"/>
      <c r="L3420" s="94"/>
      <c r="M3420" s="159"/>
      <c r="N3420" s="94"/>
    </row>
    <row r="3421">
      <c r="A3421" s="107">
        <v>1626169.0</v>
      </c>
      <c r="B3421" s="108" t="s">
        <v>190</v>
      </c>
      <c r="C3421" s="108" t="s">
        <v>843</v>
      </c>
      <c r="D3421" s="100" t="str">
        <f t="shared" si="1"/>
        <v/>
      </c>
      <c r="E3421" s="100" t="str">
        <f t="shared" si="2"/>
        <v/>
      </c>
      <c r="F3421" s="100" t="str">
        <f t="shared" si="3"/>
        <v/>
      </c>
      <c r="G3421" s="151"/>
      <c r="H3421" s="156"/>
      <c r="I3421" s="157"/>
      <c r="J3421" s="161"/>
      <c r="L3421" s="94"/>
      <c r="M3421" s="159"/>
      <c r="N3421" s="94"/>
    </row>
    <row r="3422">
      <c r="A3422" s="107">
        <v>1626169.0</v>
      </c>
      <c r="B3422" s="108" t="s">
        <v>191</v>
      </c>
      <c r="C3422" s="108" t="s">
        <v>843</v>
      </c>
      <c r="D3422" s="100" t="str">
        <f t="shared" si="1"/>
        <v/>
      </c>
      <c r="E3422" s="100" t="str">
        <f t="shared" si="2"/>
        <v/>
      </c>
      <c r="F3422" s="100" t="str">
        <f t="shared" si="3"/>
        <v/>
      </c>
      <c r="G3422" s="151"/>
      <c r="H3422" s="160"/>
      <c r="I3422" s="157"/>
      <c r="J3422" s="158"/>
      <c r="L3422" s="94"/>
      <c r="M3422" s="159"/>
      <c r="N3422" s="94"/>
    </row>
    <row r="3423">
      <c r="A3423" s="107">
        <v>1626169.0</v>
      </c>
      <c r="B3423" s="108" t="s">
        <v>192</v>
      </c>
      <c r="C3423" s="108" t="s">
        <v>843</v>
      </c>
      <c r="D3423" s="100" t="str">
        <f t="shared" si="1"/>
        <v/>
      </c>
      <c r="E3423" s="100" t="str">
        <f t="shared" si="2"/>
        <v/>
      </c>
      <c r="F3423" s="100" t="str">
        <f t="shared" si="3"/>
        <v/>
      </c>
      <c r="G3423" s="151"/>
      <c r="H3423" s="156"/>
      <c r="I3423" s="157"/>
      <c r="J3423" s="161"/>
      <c r="L3423" s="94"/>
      <c r="M3423" s="159"/>
      <c r="N3423" s="94"/>
    </row>
    <row r="3424">
      <c r="A3424" s="107">
        <v>1626169.0</v>
      </c>
      <c r="B3424" s="108" t="s">
        <v>193</v>
      </c>
      <c r="C3424" s="108" t="s">
        <v>843</v>
      </c>
      <c r="D3424" s="100" t="str">
        <f t="shared" si="1"/>
        <v/>
      </c>
      <c r="E3424" s="100" t="str">
        <f t="shared" si="2"/>
        <v/>
      </c>
      <c r="F3424" s="100" t="str">
        <f t="shared" si="3"/>
        <v/>
      </c>
      <c r="G3424" s="151"/>
      <c r="H3424" s="160"/>
      <c r="I3424" s="157"/>
      <c r="J3424" s="158"/>
      <c r="L3424" s="94"/>
      <c r="M3424" s="159"/>
      <c r="N3424" s="94"/>
    </row>
    <row r="3425">
      <c r="A3425" s="107">
        <v>1626169.0</v>
      </c>
      <c r="B3425" s="108" t="s">
        <v>243</v>
      </c>
      <c r="C3425" s="108" t="s">
        <v>843</v>
      </c>
      <c r="D3425" s="100" t="str">
        <f t="shared" si="1"/>
        <v/>
      </c>
      <c r="E3425" s="100" t="str">
        <f t="shared" si="2"/>
        <v/>
      </c>
      <c r="F3425" s="100" t="str">
        <f t="shared" si="3"/>
        <v/>
      </c>
      <c r="G3425" s="151"/>
      <c r="H3425" s="156"/>
      <c r="I3425" s="157"/>
      <c r="J3425" s="161"/>
      <c r="L3425" s="94"/>
      <c r="M3425" s="159"/>
      <c r="N3425" s="94"/>
    </row>
    <row r="3426">
      <c r="A3426" s="107">
        <v>1626169.0</v>
      </c>
      <c r="B3426" s="108" t="s">
        <v>215</v>
      </c>
      <c r="C3426" s="108" t="s">
        <v>843</v>
      </c>
      <c r="D3426" s="100" t="str">
        <f t="shared" si="1"/>
        <v/>
      </c>
      <c r="E3426" s="100" t="str">
        <f t="shared" si="2"/>
        <v/>
      </c>
      <c r="F3426" s="100" t="str">
        <f t="shared" si="3"/>
        <v/>
      </c>
      <c r="G3426" s="151"/>
      <c r="H3426" s="160"/>
      <c r="I3426" s="157"/>
      <c r="J3426" s="158"/>
      <c r="L3426" s="94"/>
      <c r="M3426" s="159"/>
      <c r="N3426" s="94"/>
    </row>
    <row r="3427">
      <c r="A3427" s="107">
        <v>1626169.0</v>
      </c>
      <c r="B3427" s="108" t="s">
        <v>244</v>
      </c>
      <c r="C3427" s="108" t="s">
        <v>843</v>
      </c>
      <c r="D3427" s="100" t="str">
        <f t="shared" si="1"/>
        <v/>
      </c>
      <c r="E3427" s="100" t="str">
        <f t="shared" si="2"/>
        <v/>
      </c>
      <c r="F3427" s="100" t="str">
        <f t="shared" si="3"/>
        <v/>
      </c>
      <c r="G3427" s="151"/>
      <c r="H3427" s="156"/>
      <c r="I3427" s="157"/>
      <c r="J3427" s="161"/>
      <c r="L3427" s="94"/>
      <c r="M3427" s="159"/>
      <c r="N3427" s="94"/>
    </row>
    <row r="3428">
      <c r="A3428" s="107">
        <v>1626170.0</v>
      </c>
      <c r="B3428" s="108" t="s">
        <v>92</v>
      </c>
      <c r="C3428" s="108" t="s">
        <v>844</v>
      </c>
      <c r="D3428" s="100" t="str">
        <f t="shared" si="1"/>
        <v/>
      </c>
      <c r="E3428" s="100" t="str">
        <f t="shared" si="2"/>
        <v/>
      </c>
      <c r="F3428" s="100" t="str">
        <f t="shared" si="3"/>
        <v/>
      </c>
      <c r="G3428" s="151"/>
      <c r="H3428" s="160"/>
      <c r="I3428" s="157"/>
      <c r="J3428" s="158"/>
      <c r="L3428" s="94"/>
      <c r="M3428" s="159"/>
      <c r="N3428" s="94"/>
    </row>
    <row r="3429">
      <c r="A3429" s="107">
        <v>1626170.0</v>
      </c>
      <c r="B3429" s="108" t="s">
        <v>190</v>
      </c>
      <c r="C3429" s="108" t="s">
        <v>844</v>
      </c>
      <c r="D3429" s="100" t="str">
        <f t="shared" si="1"/>
        <v/>
      </c>
      <c r="E3429" s="100" t="str">
        <f t="shared" si="2"/>
        <v/>
      </c>
      <c r="F3429" s="100" t="str">
        <f t="shared" si="3"/>
        <v/>
      </c>
      <c r="G3429" s="151"/>
      <c r="H3429" s="156"/>
      <c r="I3429" s="157"/>
      <c r="J3429" s="161"/>
      <c r="L3429" s="94"/>
      <c r="M3429" s="159"/>
      <c r="N3429" s="94"/>
    </row>
    <row r="3430">
      <c r="A3430" s="107">
        <v>1626170.0</v>
      </c>
      <c r="B3430" s="108" t="s">
        <v>191</v>
      </c>
      <c r="C3430" s="108" t="s">
        <v>844</v>
      </c>
      <c r="D3430" s="100" t="str">
        <f t="shared" si="1"/>
        <v/>
      </c>
      <c r="E3430" s="100" t="str">
        <f t="shared" si="2"/>
        <v/>
      </c>
      <c r="F3430" s="100" t="str">
        <f t="shared" si="3"/>
        <v/>
      </c>
      <c r="G3430" s="151"/>
      <c r="H3430" s="160"/>
      <c r="I3430" s="157"/>
      <c r="J3430" s="158"/>
      <c r="L3430" s="94"/>
      <c r="M3430" s="159"/>
      <c r="N3430" s="94"/>
    </row>
    <row r="3431">
      <c r="A3431" s="107">
        <v>1626170.0</v>
      </c>
      <c r="B3431" s="108" t="s">
        <v>192</v>
      </c>
      <c r="C3431" s="108" t="s">
        <v>844</v>
      </c>
      <c r="D3431" s="100" t="str">
        <f t="shared" si="1"/>
        <v/>
      </c>
      <c r="E3431" s="100" t="str">
        <f t="shared" si="2"/>
        <v/>
      </c>
      <c r="F3431" s="100" t="str">
        <f t="shared" si="3"/>
        <v/>
      </c>
      <c r="G3431" s="151"/>
      <c r="H3431" s="156"/>
      <c r="I3431" s="157"/>
      <c r="J3431" s="161"/>
      <c r="L3431" s="94"/>
      <c r="M3431" s="159"/>
      <c r="N3431" s="94"/>
    </row>
    <row r="3432">
      <c r="A3432" s="107">
        <v>1626170.0</v>
      </c>
      <c r="B3432" s="108" t="s">
        <v>193</v>
      </c>
      <c r="C3432" s="108" t="s">
        <v>844</v>
      </c>
      <c r="D3432" s="100" t="str">
        <f t="shared" si="1"/>
        <v/>
      </c>
      <c r="E3432" s="100" t="str">
        <f t="shared" si="2"/>
        <v/>
      </c>
      <c r="F3432" s="100" t="str">
        <f t="shared" si="3"/>
        <v/>
      </c>
      <c r="G3432" s="151"/>
      <c r="H3432" s="160"/>
      <c r="I3432" s="157"/>
      <c r="J3432" s="158"/>
      <c r="L3432" s="94"/>
      <c r="M3432" s="159"/>
      <c r="N3432" s="94"/>
    </row>
    <row r="3433">
      <c r="A3433" s="107">
        <v>1626171.0</v>
      </c>
      <c r="B3433" s="108" t="s">
        <v>92</v>
      </c>
      <c r="C3433" s="108" t="s">
        <v>845</v>
      </c>
      <c r="D3433" s="100" t="str">
        <f t="shared" si="1"/>
        <v/>
      </c>
      <c r="E3433" s="100" t="str">
        <f t="shared" si="2"/>
        <v/>
      </c>
      <c r="F3433" s="100" t="str">
        <f t="shared" si="3"/>
        <v/>
      </c>
      <c r="G3433" s="151"/>
      <c r="H3433" s="156"/>
      <c r="I3433" s="157"/>
      <c r="J3433" s="161"/>
      <c r="L3433" s="94"/>
      <c r="M3433" s="159"/>
      <c r="N3433" s="94"/>
    </row>
    <row r="3434">
      <c r="A3434" s="107">
        <v>1626171.0</v>
      </c>
      <c r="B3434" s="108" t="s">
        <v>190</v>
      </c>
      <c r="C3434" s="108" t="s">
        <v>845</v>
      </c>
      <c r="D3434" s="100" t="str">
        <f t="shared" si="1"/>
        <v/>
      </c>
      <c r="E3434" s="100" t="str">
        <f t="shared" si="2"/>
        <v/>
      </c>
      <c r="F3434" s="100" t="str">
        <f t="shared" si="3"/>
        <v/>
      </c>
      <c r="G3434" s="151"/>
      <c r="H3434" s="160"/>
      <c r="I3434" s="157"/>
      <c r="J3434" s="158"/>
      <c r="L3434" s="94"/>
      <c r="M3434" s="159"/>
      <c r="N3434" s="94"/>
    </row>
    <row r="3435">
      <c r="A3435" s="107">
        <v>1626171.0</v>
      </c>
      <c r="B3435" s="108" t="s">
        <v>191</v>
      </c>
      <c r="C3435" s="108" t="s">
        <v>845</v>
      </c>
      <c r="D3435" s="100" t="str">
        <f t="shared" si="1"/>
        <v/>
      </c>
      <c r="E3435" s="100" t="str">
        <f t="shared" si="2"/>
        <v/>
      </c>
      <c r="F3435" s="100" t="str">
        <f t="shared" si="3"/>
        <v/>
      </c>
      <c r="G3435" s="151"/>
      <c r="H3435" s="156"/>
      <c r="I3435" s="157"/>
      <c r="J3435" s="161"/>
      <c r="L3435" s="94"/>
      <c r="M3435" s="159"/>
      <c r="N3435" s="94"/>
    </row>
    <row r="3436">
      <c r="A3436" s="107">
        <v>1626171.0</v>
      </c>
      <c r="B3436" s="108" t="s">
        <v>192</v>
      </c>
      <c r="C3436" s="108" t="s">
        <v>845</v>
      </c>
      <c r="D3436" s="100" t="str">
        <f t="shared" si="1"/>
        <v/>
      </c>
      <c r="E3436" s="100" t="str">
        <f t="shared" si="2"/>
        <v/>
      </c>
      <c r="F3436" s="100" t="str">
        <f t="shared" si="3"/>
        <v/>
      </c>
      <c r="G3436" s="151"/>
      <c r="H3436" s="160"/>
      <c r="I3436" s="157"/>
      <c r="J3436" s="158"/>
      <c r="L3436" s="94"/>
      <c r="M3436" s="159"/>
      <c r="N3436" s="94"/>
    </row>
    <row r="3437">
      <c r="A3437" s="107">
        <v>1626171.0</v>
      </c>
      <c r="B3437" s="108" t="s">
        <v>193</v>
      </c>
      <c r="C3437" s="108" t="s">
        <v>845</v>
      </c>
      <c r="D3437" s="100" t="str">
        <f t="shared" si="1"/>
        <v/>
      </c>
      <c r="E3437" s="100" t="str">
        <f t="shared" si="2"/>
        <v/>
      </c>
      <c r="F3437" s="100" t="str">
        <f t="shared" si="3"/>
        <v/>
      </c>
      <c r="G3437" s="151"/>
      <c r="H3437" s="156"/>
      <c r="I3437" s="157"/>
      <c r="J3437" s="161"/>
      <c r="L3437" s="94"/>
      <c r="M3437" s="159"/>
      <c r="N3437" s="94"/>
    </row>
    <row r="3438">
      <c r="A3438" s="107">
        <v>1626171.0</v>
      </c>
      <c r="B3438" s="108" t="s">
        <v>243</v>
      </c>
      <c r="C3438" s="108" t="s">
        <v>845</v>
      </c>
      <c r="D3438" s="100" t="str">
        <f t="shared" si="1"/>
        <v/>
      </c>
      <c r="E3438" s="100" t="str">
        <f t="shared" si="2"/>
        <v/>
      </c>
      <c r="F3438" s="100" t="str">
        <f t="shared" si="3"/>
        <v/>
      </c>
      <c r="G3438" s="151"/>
      <c r="H3438" s="160"/>
      <c r="I3438" s="157"/>
      <c r="J3438" s="158"/>
      <c r="L3438" s="94"/>
      <c r="M3438" s="159"/>
      <c r="N3438" s="94"/>
    </row>
    <row r="3439">
      <c r="A3439" s="107">
        <v>1626171.0</v>
      </c>
      <c r="B3439" s="108" t="s">
        <v>215</v>
      </c>
      <c r="C3439" s="108" t="s">
        <v>845</v>
      </c>
      <c r="D3439" s="100" t="str">
        <f t="shared" si="1"/>
        <v/>
      </c>
      <c r="E3439" s="100" t="str">
        <f t="shared" si="2"/>
        <v/>
      </c>
      <c r="F3439" s="100" t="str">
        <f t="shared" si="3"/>
        <v/>
      </c>
      <c r="G3439" s="151"/>
      <c r="H3439" s="156"/>
      <c r="I3439" s="157"/>
      <c r="J3439" s="161"/>
      <c r="L3439" s="94"/>
      <c r="M3439" s="159"/>
      <c r="N3439" s="94"/>
    </row>
    <row r="3440">
      <c r="A3440" s="107">
        <v>1626171.0</v>
      </c>
      <c r="B3440" s="108" t="s">
        <v>244</v>
      </c>
      <c r="C3440" s="108" t="s">
        <v>845</v>
      </c>
      <c r="D3440" s="100" t="str">
        <f t="shared" si="1"/>
        <v/>
      </c>
      <c r="E3440" s="100" t="str">
        <f t="shared" si="2"/>
        <v/>
      </c>
      <c r="F3440" s="100" t="str">
        <f t="shared" si="3"/>
        <v/>
      </c>
      <c r="G3440" s="151"/>
      <c r="H3440" s="160"/>
      <c r="I3440" s="157"/>
      <c r="J3440" s="158"/>
      <c r="L3440" s="94"/>
      <c r="M3440" s="159"/>
      <c r="N3440" s="94"/>
    </row>
    <row r="3441">
      <c r="A3441" s="107">
        <v>1626171.0</v>
      </c>
      <c r="B3441" s="108" t="s">
        <v>245</v>
      </c>
      <c r="C3441" s="108" t="s">
        <v>845</v>
      </c>
      <c r="D3441" s="100" t="str">
        <f t="shared" si="1"/>
        <v/>
      </c>
      <c r="E3441" s="100" t="str">
        <f t="shared" si="2"/>
        <v/>
      </c>
      <c r="F3441" s="100" t="str">
        <f t="shared" si="3"/>
        <v/>
      </c>
      <c r="G3441" s="151"/>
      <c r="H3441" s="156"/>
      <c r="I3441" s="157"/>
      <c r="J3441" s="161"/>
      <c r="L3441" s="94"/>
      <c r="M3441" s="159"/>
      <c r="N3441" s="94"/>
    </row>
    <row r="3442">
      <c r="A3442" s="107">
        <v>1626171.0</v>
      </c>
      <c r="B3442" s="108" t="s">
        <v>246</v>
      </c>
      <c r="C3442" s="108" t="s">
        <v>845</v>
      </c>
      <c r="D3442" s="100" t="str">
        <f t="shared" si="1"/>
        <v/>
      </c>
      <c r="E3442" s="100" t="str">
        <f t="shared" si="2"/>
        <v/>
      </c>
      <c r="F3442" s="100" t="str">
        <f t="shared" si="3"/>
        <v/>
      </c>
      <c r="G3442" s="151"/>
      <c r="H3442" s="160"/>
      <c r="I3442" s="157"/>
      <c r="J3442" s="158"/>
      <c r="L3442" s="94"/>
      <c r="M3442" s="159"/>
      <c r="N3442" s="94"/>
    </row>
    <row r="3443">
      <c r="A3443" s="149">
        <v>1626171.0</v>
      </c>
      <c r="B3443" s="115" t="s">
        <v>247</v>
      </c>
      <c r="C3443" s="115" t="s">
        <v>845</v>
      </c>
      <c r="D3443" s="100" t="str">
        <f t="shared" si="1"/>
        <v/>
      </c>
      <c r="E3443" s="100" t="str">
        <f t="shared" si="2"/>
        <v/>
      </c>
      <c r="F3443" s="100" t="str">
        <f t="shared" si="3"/>
        <v/>
      </c>
      <c r="G3443" s="151"/>
      <c r="H3443" s="156"/>
      <c r="I3443" s="157"/>
      <c r="J3443" s="161"/>
      <c r="L3443" s="94"/>
      <c r="M3443" s="159"/>
      <c r="N3443" s="94"/>
    </row>
    <row r="3444">
      <c r="A3444" s="21">
        <v>1626172.0</v>
      </c>
      <c r="B3444" s="164" t="s">
        <v>92</v>
      </c>
      <c r="C3444" s="164" t="s">
        <v>846</v>
      </c>
      <c r="D3444" s="100" t="str">
        <f t="shared" si="1"/>
        <v/>
      </c>
      <c r="E3444" s="100" t="str">
        <f t="shared" si="2"/>
        <v/>
      </c>
      <c r="F3444" s="100" t="str">
        <f t="shared" si="3"/>
        <v/>
      </c>
      <c r="G3444" s="151"/>
      <c r="H3444" s="160"/>
      <c r="I3444" s="157"/>
      <c r="J3444" s="158"/>
      <c r="L3444" s="94"/>
      <c r="M3444" s="159"/>
      <c r="N3444" s="94"/>
    </row>
    <row r="3445">
      <c r="A3445" s="107">
        <v>1626172.0</v>
      </c>
      <c r="B3445" s="108" t="s">
        <v>190</v>
      </c>
      <c r="C3445" s="108" t="s">
        <v>846</v>
      </c>
      <c r="D3445" s="100" t="str">
        <f t="shared" si="1"/>
        <v/>
      </c>
      <c r="E3445" s="100" t="str">
        <f t="shared" si="2"/>
        <v/>
      </c>
      <c r="F3445" s="100" t="str">
        <f t="shared" si="3"/>
        <v/>
      </c>
      <c r="G3445" s="151"/>
      <c r="H3445" s="156"/>
      <c r="I3445" s="157"/>
      <c r="J3445" s="161"/>
      <c r="L3445" s="94"/>
      <c r="M3445" s="159"/>
      <c r="N3445" s="94"/>
    </row>
    <row r="3446">
      <c r="A3446" s="107">
        <v>1626172.0</v>
      </c>
      <c r="B3446" s="108" t="s">
        <v>191</v>
      </c>
      <c r="C3446" s="108" t="s">
        <v>846</v>
      </c>
      <c r="D3446" s="100" t="str">
        <f t="shared" si="1"/>
        <v/>
      </c>
      <c r="E3446" s="100" t="str">
        <f t="shared" si="2"/>
        <v/>
      </c>
      <c r="F3446" s="100" t="str">
        <f t="shared" si="3"/>
        <v/>
      </c>
      <c r="G3446" s="151"/>
      <c r="H3446" s="160"/>
      <c r="I3446" s="157"/>
      <c r="J3446" s="158"/>
      <c r="L3446" s="94"/>
      <c r="M3446" s="159"/>
      <c r="N3446" s="94"/>
    </row>
    <row r="3447">
      <c r="A3447" s="107">
        <v>1626172.0</v>
      </c>
      <c r="B3447" s="108" t="s">
        <v>192</v>
      </c>
      <c r="C3447" s="108" t="s">
        <v>846</v>
      </c>
      <c r="D3447" s="100" t="str">
        <f t="shared" si="1"/>
        <v/>
      </c>
      <c r="E3447" s="100" t="str">
        <f t="shared" si="2"/>
        <v/>
      </c>
      <c r="F3447" s="100" t="str">
        <f t="shared" si="3"/>
        <v/>
      </c>
      <c r="G3447" s="151"/>
      <c r="H3447" s="156"/>
      <c r="I3447" s="157"/>
      <c r="J3447" s="161"/>
      <c r="L3447" s="94"/>
      <c r="M3447" s="159"/>
      <c r="N3447" s="94"/>
    </row>
    <row r="3448">
      <c r="A3448" s="107">
        <v>1626172.0</v>
      </c>
      <c r="B3448" s="108" t="s">
        <v>193</v>
      </c>
      <c r="C3448" s="108" t="s">
        <v>846</v>
      </c>
      <c r="D3448" s="100" t="str">
        <f t="shared" si="1"/>
        <v/>
      </c>
      <c r="E3448" s="100" t="str">
        <f t="shared" si="2"/>
        <v/>
      </c>
      <c r="F3448" s="100" t="str">
        <f t="shared" si="3"/>
        <v/>
      </c>
      <c r="G3448" s="151"/>
      <c r="H3448" s="160"/>
      <c r="I3448" s="157"/>
      <c r="J3448" s="158"/>
      <c r="L3448" s="94"/>
      <c r="M3448" s="159"/>
      <c r="N3448" s="94"/>
    </row>
    <row r="3449">
      <c r="A3449" s="107">
        <v>1626172.0</v>
      </c>
      <c r="B3449" s="108" t="s">
        <v>243</v>
      </c>
      <c r="C3449" s="108" t="s">
        <v>846</v>
      </c>
      <c r="D3449" s="100" t="str">
        <f t="shared" si="1"/>
        <v/>
      </c>
      <c r="E3449" s="100" t="str">
        <f t="shared" si="2"/>
        <v/>
      </c>
      <c r="F3449" s="100" t="str">
        <f t="shared" si="3"/>
        <v/>
      </c>
      <c r="G3449" s="151"/>
      <c r="H3449" s="156"/>
      <c r="I3449" s="157"/>
      <c r="J3449" s="161"/>
      <c r="L3449" s="94"/>
      <c r="M3449" s="159"/>
      <c r="N3449" s="94"/>
    </row>
    <row r="3450">
      <c r="A3450" s="107">
        <v>1626172.0</v>
      </c>
      <c r="B3450" s="108" t="s">
        <v>215</v>
      </c>
      <c r="C3450" s="108" t="s">
        <v>846</v>
      </c>
      <c r="D3450" s="100" t="str">
        <f t="shared" si="1"/>
        <v/>
      </c>
      <c r="E3450" s="100" t="str">
        <f t="shared" si="2"/>
        <v/>
      </c>
      <c r="F3450" s="100" t="str">
        <f t="shared" si="3"/>
        <v/>
      </c>
      <c r="G3450" s="151"/>
      <c r="H3450" s="160"/>
      <c r="I3450" s="157"/>
      <c r="J3450" s="158"/>
      <c r="L3450" s="94"/>
      <c r="M3450" s="159"/>
      <c r="N3450" s="94"/>
    </row>
    <row r="3451">
      <c r="A3451" s="107">
        <v>1626172.0</v>
      </c>
      <c r="B3451" s="108" t="s">
        <v>244</v>
      </c>
      <c r="C3451" s="108" t="s">
        <v>846</v>
      </c>
      <c r="D3451" s="100" t="str">
        <f t="shared" si="1"/>
        <v/>
      </c>
      <c r="E3451" s="100" t="str">
        <f t="shared" si="2"/>
        <v/>
      </c>
      <c r="F3451" s="100" t="str">
        <f t="shared" si="3"/>
        <v/>
      </c>
      <c r="G3451" s="151"/>
      <c r="H3451" s="156"/>
      <c r="I3451" s="157"/>
      <c r="J3451" s="161"/>
      <c r="L3451" s="94"/>
      <c r="M3451" s="159"/>
      <c r="N3451" s="94"/>
    </row>
    <row r="3452">
      <c r="A3452" s="107">
        <v>1626172.0</v>
      </c>
      <c r="B3452" s="108" t="s">
        <v>245</v>
      </c>
      <c r="C3452" s="108" t="s">
        <v>846</v>
      </c>
      <c r="D3452" s="100" t="str">
        <f t="shared" si="1"/>
        <v/>
      </c>
      <c r="E3452" s="100" t="str">
        <f t="shared" si="2"/>
        <v/>
      </c>
      <c r="F3452" s="100" t="str">
        <f t="shared" si="3"/>
        <v/>
      </c>
      <c r="G3452" s="151"/>
      <c r="H3452" s="160"/>
      <c r="I3452" s="157"/>
      <c r="J3452" s="158"/>
      <c r="L3452" s="94"/>
      <c r="M3452" s="159"/>
      <c r="N3452" s="94"/>
    </row>
    <row r="3453">
      <c r="A3453" s="107">
        <v>1626172.0</v>
      </c>
      <c r="B3453" s="108" t="s">
        <v>246</v>
      </c>
      <c r="C3453" s="108" t="s">
        <v>846</v>
      </c>
      <c r="D3453" s="100" t="str">
        <f t="shared" si="1"/>
        <v/>
      </c>
      <c r="E3453" s="100" t="str">
        <f t="shared" si="2"/>
        <v/>
      </c>
      <c r="F3453" s="100" t="str">
        <f t="shared" si="3"/>
        <v/>
      </c>
      <c r="G3453" s="151"/>
      <c r="H3453" s="156"/>
      <c r="I3453" s="157"/>
      <c r="J3453" s="161"/>
      <c r="L3453" s="94"/>
      <c r="M3453" s="159"/>
      <c r="N3453" s="94"/>
    </row>
    <row r="3454">
      <c r="A3454" s="149">
        <v>1626172.0</v>
      </c>
      <c r="B3454" s="115" t="s">
        <v>247</v>
      </c>
      <c r="C3454" s="115" t="s">
        <v>846</v>
      </c>
      <c r="D3454" s="100" t="str">
        <f t="shared" si="1"/>
        <v/>
      </c>
      <c r="E3454" s="100" t="str">
        <f t="shared" si="2"/>
        <v/>
      </c>
      <c r="F3454" s="100" t="str">
        <f t="shared" si="3"/>
        <v/>
      </c>
      <c r="G3454" s="151"/>
      <c r="H3454" s="160"/>
      <c r="I3454" s="157"/>
      <c r="J3454" s="158"/>
      <c r="L3454" s="94"/>
      <c r="M3454" s="159"/>
      <c r="N3454" s="94"/>
    </row>
    <row r="3455">
      <c r="A3455" s="21">
        <v>1626173.0</v>
      </c>
      <c r="B3455" s="164" t="s">
        <v>92</v>
      </c>
      <c r="C3455" s="164" t="s">
        <v>847</v>
      </c>
      <c r="D3455" s="100" t="str">
        <f t="shared" si="1"/>
        <v/>
      </c>
      <c r="E3455" s="100" t="str">
        <f t="shared" si="2"/>
        <v/>
      </c>
      <c r="F3455" s="100" t="str">
        <f t="shared" si="3"/>
        <v/>
      </c>
      <c r="G3455" s="151"/>
      <c r="H3455" s="156"/>
      <c r="I3455" s="157"/>
      <c r="J3455" s="161"/>
      <c r="L3455" s="94"/>
      <c r="M3455" s="159"/>
      <c r="N3455" s="94"/>
    </row>
    <row r="3456">
      <c r="A3456" s="107">
        <v>1626173.0</v>
      </c>
      <c r="B3456" s="108" t="s">
        <v>190</v>
      </c>
      <c r="C3456" s="108" t="s">
        <v>847</v>
      </c>
      <c r="D3456" s="100" t="str">
        <f t="shared" si="1"/>
        <v/>
      </c>
      <c r="E3456" s="100" t="str">
        <f t="shared" si="2"/>
        <v/>
      </c>
      <c r="F3456" s="100" t="str">
        <f t="shared" si="3"/>
        <v/>
      </c>
      <c r="G3456" s="151"/>
      <c r="H3456" s="160"/>
      <c r="I3456" s="157"/>
      <c r="J3456" s="158"/>
      <c r="L3456" s="94"/>
      <c r="M3456" s="159"/>
      <c r="N3456" s="94"/>
    </row>
    <row r="3457">
      <c r="A3457" s="107">
        <v>1626173.0</v>
      </c>
      <c r="B3457" s="108" t="s">
        <v>191</v>
      </c>
      <c r="C3457" s="108" t="s">
        <v>847</v>
      </c>
      <c r="D3457" s="100" t="str">
        <f t="shared" si="1"/>
        <v/>
      </c>
      <c r="E3457" s="100" t="str">
        <f t="shared" si="2"/>
        <v/>
      </c>
      <c r="F3457" s="100" t="str">
        <f t="shared" si="3"/>
        <v/>
      </c>
      <c r="G3457" s="151"/>
      <c r="H3457" s="156"/>
      <c r="I3457" s="157"/>
      <c r="J3457" s="161"/>
      <c r="L3457" s="94"/>
      <c r="M3457" s="159"/>
      <c r="N3457" s="94"/>
    </row>
    <row r="3458">
      <c r="A3458" s="107">
        <v>1626174.0</v>
      </c>
      <c r="B3458" s="108" t="s">
        <v>92</v>
      </c>
      <c r="C3458" s="108" t="s">
        <v>848</v>
      </c>
      <c r="D3458" s="100" t="str">
        <f t="shared" si="1"/>
        <v/>
      </c>
      <c r="E3458" s="100" t="str">
        <f t="shared" si="2"/>
        <v/>
      </c>
      <c r="F3458" s="100" t="str">
        <f t="shared" si="3"/>
        <v/>
      </c>
      <c r="G3458" s="151"/>
      <c r="H3458" s="160"/>
      <c r="I3458" s="157"/>
      <c r="J3458" s="158"/>
      <c r="L3458" s="94"/>
      <c r="M3458" s="159"/>
      <c r="N3458" s="94"/>
    </row>
    <row r="3459">
      <c r="A3459" s="107">
        <v>1626174.0</v>
      </c>
      <c r="B3459" s="108" t="s">
        <v>190</v>
      </c>
      <c r="C3459" s="108" t="s">
        <v>848</v>
      </c>
      <c r="D3459" s="100" t="str">
        <f t="shared" si="1"/>
        <v/>
      </c>
      <c r="E3459" s="100" t="str">
        <f t="shared" si="2"/>
        <v/>
      </c>
      <c r="F3459" s="100" t="str">
        <f t="shared" si="3"/>
        <v/>
      </c>
      <c r="G3459" s="151"/>
      <c r="H3459" s="156"/>
      <c r="I3459" s="157"/>
      <c r="J3459" s="161"/>
      <c r="L3459" s="94"/>
      <c r="M3459" s="159"/>
      <c r="N3459" s="94"/>
    </row>
    <row r="3460">
      <c r="A3460" s="107">
        <v>1626174.0</v>
      </c>
      <c r="B3460" s="108" t="s">
        <v>192</v>
      </c>
      <c r="C3460" s="108" t="s">
        <v>848</v>
      </c>
      <c r="D3460" s="100" t="str">
        <f t="shared" si="1"/>
        <v/>
      </c>
      <c r="E3460" s="100" t="str">
        <f t="shared" si="2"/>
        <v/>
      </c>
      <c r="F3460" s="100" t="str">
        <f t="shared" si="3"/>
        <v/>
      </c>
      <c r="G3460" s="151"/>
      <c r="H3460" s="160"/>
      <c r="I3460" s="157"/>
      <c r="J3460" s="158"/>
      <c r="L3460" s="94"/>
      <c r="M3460" s="159"/>
      <c r="N3460" s="94"/>
    </row>
    <row r="3461">
      <c r="A3461" s="107">
        <v>1626174.0</v>
      </c>
      <c r="B3461" s="108" t="s">
        <v>193</v>
      </c>
      <c r="C3461" s="108" t="s">
        <v>848</v>
      </c>
      <c r="D3461" s="100" t="str">
        <f t="shared" si="1"/>
        <v/>
      </c>
      <c r="E3461" s="100" t="str">
        <f t="shared" si="2"/>
        <v/>
      </c>
      <c r="F3461" s="100" t="str">
        <f t="shared" si="3"/>
        <v/>
      </c>
      <c r="G3461" s="151"/>
      <c r="H3461" s="156"/>
      <c r="I3461" s="157"/>
      <c r="J3461" s="161"/>
      <c r="L3461" s="94"/>
      <c r="M3461" s="159"/>
      <c r="N3461" s="94"/>
    </row>
    <row r="3462">
      <c r="A3462" s="107">
        <v>1626174.0</v>
      </c>
      <c r="B3462" s="108" t="s">
        <v>243</v>
      </c>
      <c r="C3462" s="108" t="s">
        <v>848</v>
      </c>
      <c r="D3462" s="100" t="str">
        <f t="shared" si="1"/>
        <v/>
      </c>
      <c r="E3462" s="100" t="str">
        <f t="shared" si="2"/>
        <v/>
      </c>
      <c r="F3462" s="100" t="str">
        <f t="shared" si="3"/>
        <v/>
      </c>
      <c r="G3462" s="151"/>
      <c r="H3462" s="160"/>
      <c r="I3462" s="157"/>
      <c r="J3462" s="158"/>
      <c r="L3462" s="94"/>
      <c r="M3462" s="159"/>
      <c r="N3462" s="94"/>
    </row>
    <row r="3463">
      <c r="A3463" s="107">
        <v>1626174.0</v>
      </c>
      <c r="B3463" s="108" t="s">
        <v>215</v>
      </c>
      <c r="C3463" s="108" t="s">
        <v>848</v>
      </c>
      <c r="D3463" s="100" t="str">
        <f t="shared" si="1"/>
        <v/>
      </c>
      <c r="E3463" s="100" t="str">
        <f t="shared" si="2"/>
        <v/>
      </c>
      <c r="F3463" s="100" t="str">
        <f t="shared" si="3"/>
        <v/>
      </c>
      <c r="G3463" s="151"/>
      <c r="H3463" s="156"/>
      <c r="I3463" s="157"/>
      <c r="J3463" s="161"/>
      <c r="L3463" s="94"/>
      <c r="M3463" s="159"/>
      <c r="N3463" s="94"/>
    </row>
    <row r="3464">
      <c r="A3464" s="107">
        <v>1626174.0</v>
      </c>
      <c r="B3464" s="108" t="s">
        <v>244</v>
      </c>
      <c r="C3464" s="108" t="s">
        <v>848</v>
      </c>
      <c r="D3464" s="100" t="str">
        <f t="shared" si="1"/>
        <v/>
      </c>
      <c r="E3464" s="100" t="str">
        <f t="shared" si="2"/>
        <v/>
      </c>
      <c r="F3464" s="100" t="str">
        <f t="shared" si="3"/>
        <v/>
      </c>
      <c r="G3464" s="151"/>
      <c r="H3464" s="160"/>
      <c r="I3464" s="157"/>
      <c r="J3464" s="158"/>
      <c r="L3464" s="94"/>
      <c r="M3464" s="159"/>
      <c r="N3464" s="94"/>
    </row>
    <row r="3465">
      <c r="A3465" s="107">
        <v>1626174.0</v>
      </c>
      <c r="B3465" s="108" t="s">
        <v>245</v>
      </c>
      <c r="C3465" s="108" t="s">
        <v>848</v>
      </c>
      <c r="D3465" s="100" t="str">
        <f t="shared" si="1"/>
        <v/>
      </c>
      <c r="E3465" s="100" t="str">
        <f t="shared" si="2"/>
        <v/>
      </c>
      <c r="F3465" s="100" t="str">
        <f t="shared" si="3"/>
        <v/>
      </c>
      <c r="G3465" s="151"/>
      <c r="H3465" s="156"/>
      <c r="I3465" s="157"/>
      <c r="J3465" s="161"/>
      <c r="L3465" s="94"/>
      <c r="M3465" s="159"/>
      <c r="N3465" s="94"/>
    </row>
    <row r="3466">
      <c r="A3466" s="107">
        <v>1626175.0</v>
      </c>
      <c r="B3466" s="108" t="s">
        <v>92</v>
      </c>
      <c r="C3466" s="108" t="s">
        <v>849</v>
      </c>
      <c r="D3466" s="100" t="str">
        <f t="shared" si="1"/>
        <v/>
      </c>
      <c r="E3466" s="100" t="str">
        <f t="shared" si="2"/>
        <v/>
      </c>
      <c r="F3466" s="100" t="str">
        <f t="shared" si="3"/>
        <v/>
      </c>
      <c r="G3466" s="151"/>
      <c r="H3466" s="160"/>
      <c r="I3466" s="157"/>
      <c r="J3466" s="158"/>
      <c r="L3466" s="94"/>
      <c r="M3466" s="159"/>
      <c r="N3466" s="94"/>
    </row>
    <row r="3467">
      <c r="A3467" s="107">
        <v>1626175.0</v>
      </c>
      <c r="B3467" s="108" t="s">
        <v>190</v>
      </c>
      <c r="C3467" s="108" t="s">
        <v>849</v>
      </c>
      <c r="D3467" s="100" t="str">
        <f t="shared" si="1"/>
        <v/>
      </c>
      <c r="E3467" s="100" t="str">
        <f t="shared" si="2"/>
        <v/>
      </c>
      <c r="F3467" s="100" t="str">
        <f t="shared" si="3"/>
        <v/>
      </c>
      <c r="G3467" s="151"/>
      <c r="H3467" s="156"/>
      <c r="I3467" s="157"/>
      <c r="J3467" s="161"/>
      <c r="L3467" s="94"/>
      <c r="M3467" s="159"/>
      <c r="N3467" s="94"/>
    </row>
    <row r="3468">
      <c r="A3468" s="107">
        <v>1626175.0</v>
      </c>
      <c r="B3468" s="108" t="s">
        <v>191</v>
      </c>
      <c r="C3468" s="108" t="s">
        <v>849</v>
      </c>
      <c r="D3468" s="100" t="str">
        <f t="shared" si="1"/>
        <v/>
      </c>
      <c r="E3468" s="100" t="str">
        <f t="shared" si="2"/>
        <v/>
      </c>
      <c r="F3468" s="100" t="str">
        <f t="shared" si="3"/>
        <v/>
      </c>
      <c r="G3468" s="151"/>
      <c r="H3468" s="160"/>
      <c r="I3468" s="157"/>
      <c r="J3468" s="158"/>
      <c r="L3468" s="94"/>
      <c r="M3468" s="159"/>
      <c r="N3468" s="94"/>
    </row>
    <row r="3469">
      <c r="A3469" s="107">
        <v>1626176.0</v>
      </c>
      <c r="B3469" s="108" t="s">
        <v>92</v>
      </c>
      <c r="C3469" s="108" t="s">
        <v>850</v>
      </c>
      <c r="D3469" s="100" t="str">
        <f t="shared" si="1"/>
        <v/>
      </c>
      <c r="E3469" s="100" t="str">
        <f t="shared" si="2"/>
        <v/>
      </c>
      <c r="F3469" s="100" t="str">
        <f t="shared" si="3"/>
        <v/>
      </c>
      <c r="G3469" s="151"/>
      <c r="H3469" s="156"/>
      <c r="I3469" s="157"/>
      <c r="J3469" s="161"/>
      <c r="L3469" s="94"/>
      <c r="M3469" s="159"/>
      <c r="N3469" s="94"/>
    </row>
    <row r="3470">
      <c r="A3470" s="107">
        <v>1626176.0</v>
      </c>
      <c r="B3470" s="108" t="s">
        <v>190</v>
      </c>
      <c r="C3470" s="108" t="s">
        <v>850</v>
      </c>
      <c r="D3470" s="100" t="str">
        <f t="shared" si="1"/>
        <v/>
      </c>
      <c r="E3470" s="100" t="str">
        <f t="shared" si="2"/>
        <v/>
      </c>
      <c r="F3470" s="100" t="str">
        <f t="shared" si="3"/>
        <v/>
      </c>
      <c r="G3470" s="151"/>
      <c r="H3470" s="160"/>
      <c r="I3470" s="157"/>
      <c r="J3470" s="158"/>
      <c r="L3470" s="94"/>
      <c r="M3470" s="159"/>
      <c r="N3470" s="94"/>
    </row>
    <row r="3471">
      <c r="A3471" s="107">
        <v>1626177.0</v>
      </c>
      <c r="B3471" s="108" t="s">
        <v>191</v>
      </c>
      <c r="C3471" s="108" t="s">
        <v>851</v>
      </c>
      <c r="D3471" s="100" t="str">
        <f t="shared" si="1"/>
        <v/>
      </c>
      <c r="E3471" s="100" t="str">
        <f t="shared" si="2"/>
        <v/>
      </c>
      <c r="F3471" s="100" t="str">
        <f t="shared" si="3"/>
        <v/>
      </c>
      <c r="G3471" s="151"/>
      <c r="H3471" s="156"/>
      <c r="I3471" s="157"/>
      <c r="J3471" s="161"/>
      <c r="L3471" s="94"/>
      <c r="M3471" s="159"/>
      <c r="N3471" s="94"/>
    </row>
    <row r="3472">
      <c r="A3472" s="107">
        <v>1626178.0</v>
      </c>
      <c r="B3472" s="108" t="s">
        <v>92</v>
      </c>
      <c r="C3472" s="108" t="s">
        <v>852</v>
      </c>
      <c r="D3472" s="100" t="str">
        <f t="shared" si="1"/>
        <v/>
      </c>
      <c r="E3472" s="100" t="str">
        <f t="shared" si="2"/>
        <v/>
      </c>
      <c r="F3472" s="100" t="str">
        <f t="shared" si="3"/>
        <v/>
      </c>
      <c r="G3472" s="151"/>
      <c r="H3472" s="160"/>
      <c r="I3472" s="157"/>
      <c r="J3472" s="158"/>
      <c r="L3472" s="94"/>
      <c r="M3472" s="159"/>
      <c r="N3472" s="94"/>
    </row>
    <row r="3473">
      <c r="A3473" s="107">
        <v>1626178.0</v>
      </c>
      <c r="B3473" s="108" t="s">
        <v>190</v>
      </c>
      <c r="C3473" s="108" t="s">
        <v>852</v>
      </c>
      <c r="D3473" s="100" t="str">
        <f t="shared" si="1"/>
        <v/>
      </c>
      <c r="E3473" s="100" t="str">
        <f t="shared" si="2"/>
        <v/>
      </c>
      <c r="F3473" s="100" t="str">
        <f t="shared" si="3"/>
        <v/>
      </c>
      <c r="G3473" s="151"/>
      <c r="H3473" s="156"/>
      <c r="I3473" s="157"/>
      <c r="J3473" s="161"/>
      <c r="L3473" s="94"/>
      <c r="M3473" s="159"/>
      <c r="N3473" s="94"/>
    </row>
    <row r="3474">
      <c r="A3474" s="107">
        <v>1626178.0</v>
      </c>
      <c r="B3474" s="108" t="s">
        <v>191</v>
      </c>
      <c r="C3474" s="108" t="s">
        <v>852</v>
      </c>
      <c r="D3474" s="100" t="str">
        <f t="shared" si="1"/>
        <v/>
      </c>
      <c r="E3474" s="100" t="str">
        <f t="shared" si="2"/>
        <v/>
      </c>
      <c r="F3474" s="100" t="str">
        <f t="shared" si="3"/>
        <v/>
      </c>
      <c r="G3474" s="151"/>
      <c r="H3474" s="160"/>
      <c r="I3474" s="157"/>
      <c r="J3474" s="158"/>
      <c r="L3474" s="94"/>
      <c r="M3474" s="159"/>
      <c r="N3474" s="94"/>
    </row>
    <row r="3475">
      <c r="A3475" s="107">
        <v>1626178.0</v>
      </c>
      <c r="B3475" s="108" t="s">
        <v>192</v>
      </c>
      <c r="C3475" s="108" t="s">
        <v>852</v>
      </c>
      <c r="D3475" s="100" t="str">
        <f t="shared" si="1"/>
        <v/>
      </c>
      <c r="E3475" s="100" t="str">
        <f t="shared" si="2"/>
        <v/>
      </c>
      <c r="F3475" s="100" t="str">
        <f t="shared" si="3"/>
        <v/>
      </c>
      <c r="G3475" s="151"/>
      <c r="H3475" s="156"/>
      <c r="I3475" s="157"/>
      <c r="J3475" s="161"/>
      <c r="L3475" s="94"/>
      <c r="M3475" s="159"/>
      <c r="N3475" s="94"/>
    </row>
    <row r="3476">
      <c r="A3476" s="107">
        <v>1626178.0</v>
      </c>
      <c r="B3476" s="108" t="s">
        <v>193</v>
      </c>
      <c r="C3476" s="108" t="s">
        <v>852</v>
      </c>
      <c r="D3476" s="100" t="str">
        <f t="shared" si="1"/>
        <v/>
      </c>
      <c r="E3476" s="100" t="str">
        <f t="shared" si="2"/>
        <v/>
      </c>
      <c r="F3476" s="100" t="str">
        <f t="shared" si="3"/>
        <v/>
      </c>
      <c r="G3476" s="151"/>
      <c r="H3476" s="160"/>
      <c r="I3476" s="157"/>
      <c r="J3476" s="158"/>
      <c r="L3476" s="94"/>
      <c r="M3476" s="159"/>
      <c r="N3476" s="94"/>
    </row>
    <row r="3477">
      <c r="A3477" s="107">
        <v>1626178.0</v>
      </c>
      <c r="B3477" s="108" t="s">
        <v>243</v>
      </c>
      <c r="C3477" s="108" t="s">
        <v>852</v>
      </c>
      <c r="D3477" s="100" t="str">
        <f t="shared" si="1"/>
        <v/>
      </c>
      <c r="E3477" s="100" t="str">
        <f t="shared" si="2"/>
        <v/>
      </c>
      <c r="F3477" s="100" t="str">
        <f t="shared" si="3"/>
        <v/>
      </c>
      <c r="G3477" s="151"/>
      <c r="H3477" s="156"/>
      <c r="I3477" s="157"/>
      <c r="J3477" s="161"/>
      <c r="L3477" s="94"/>
      <c r="M3477" s="159"/>
      <c r="N3477" s="94"/>
    </row>
    <row r="3478">
      <c r="A3478" s="107">
        <v>1626179.0</v>
      </c>
      <c r="B3478" s="108" t="s">
        <v>92</v>
      </c>
      <c r="C3478" s="108" t="s">
        <v>853</v>
      </c>
      <c r="D3478" s="100" t="str">
        <f t="shared" si="1"/>
        <v/>
      </c>
      <c r="E3478" s="100" t="str">
        <f t="shared" si="2"/>
        <v/>
      </c>
      <c r="F3478" s="100" t="str">
        <f t="shared" si="3"/>
        <v/>
      </c>
      <c r="G3478" s="151"/>
      <c r="H3478" s="160"/>
      <c r="I3478" s="157"/>
      <c r="J3478" s="158"/>
      <c r="L3478" s="94"/>
      <c r="M3478" s="159"/>
      <c r="N3478" s="94"/>
    </row>
    <row r="3479">
      <c r="A3479" s="107">
        <v>1626179.0</v>
      </c>
      <c r="B3479" s="108" t="s">
        <v>190</v>
      </c>
      <c r="C3479" s="108" t="s">
        <v>853</v>
      </c>
      <c r="D3479" s="100" t="str">
        <f t="shared" si="1"/>
        <v/>
      </c>
      <c r="E3479" s="100" t="str">
        <f t="shared" si="2"/>
        <v/>
      </c>
      <c r="F3479" s="100" t="str">
        <f t="shared" si="3"/>
        <v/>
      </c>
      <c r="G3479" s="151"/>
      <c r="H3479" s="156"/>
      <c r="I3479" s="157"/>
      <c r="J3479" s="161"/>
      <c r="L3479" s="94"/>
      <c r="M3479" s="159"/>
      <c r="N3479" s="94"/>
    </row>
    <row r="3480">
      <c r="A3480" s="107">
        <v>1626179.0</v>
      </c>
      <c r="B3480" s="108" t="s">
        <v>191</v>
      </c>
      <c r="C3480" s="108" t="s">
        <v>853</v>
      </c>
      <c r="D3480" s="100" t="str">
        <f t="shared" si="1"/>
        <v/>
      </c>
      <c r="E3480" s="100" t="str">
        <f t="shared" si="2"/>
        <v/>
      </c>
      <c r="F3480" s="100" t="str">
        <f t="shared" si="3"/>
        <v/>
      </c>
      <c r="G3480" s="151"/>
      <c r="H3480" s="160"/>
      <c r="I3480" s="157"/>
      <c r="J3480" s="158"/>
      <c r="L3480" s="94"/>
      <c r="M3480" s="159"/>
      <c r="N3480" s="94"/>
    </row>
    <row r="3481">
      <c r="A3481" s="107">
        <v>1626179.0</v>
      </c>
      <c r="B3481" s="108" t="s">
        <v>192</v>
      </c>
      <c r="C3481" s="108" t="s">
        <v>853</v>
      </c>
      <c r="D3481" s="100" t="str">
        <f t="shared" si="1"/>
        <v/>
      </c>
      <c r="E3481" s="100" t="str">
        <f t="shared" si="2"/>
        <v/>
      </c>
      <c r="F3481" s="100" t="str">
        <f t="shared" si="3"/>
        <v/>
      </c>
      <c r="G3481" s="151"/>
      <c r="H3481" s="156"/>
      <c r="I3481" s="157"/>
      <c r="J3481" s="161"/>
      <c r="L3481" s="94"/>
      <c r="M3481" s="159"/>
      <c r="N3481" s="94"/>
    </row>
    <row r="3482">
      <c r="A3482" s="107">
        <v>1626179.0</v>
      </c>
      <c r="B3482" s="108" t="s">
        <v>193</v>
      </c>
      <c r="C3482" s="108" t="s">
        <v>853</v>
      </c>
      <c r="D3482" s="100" t="str">
        <f t="shared" si="1"/>
        <v/>
      </c>
      <c r="E3482" s="100" t="str">
        <f t="shared" si="2"/>
        <v/>
      </c>
      <c r="F3482" s="100" t="str">
        <f t="shared" si="3"/>
        <v/>
      </c>
      <c r="G3482" s="151"/>
      <c r="H3482" s="160"/>
      <c r="I3482" s="157"/>
      <c r="J3482" s="158"/>
      <c r="L3482" s="94"/>
      <c r="M3482" s="159"/>
      <c r="N3482" s="94"/>
    </row>
    <row r="3483">
      <c r="A3483" s="107">
        <v>1626179.0</v>
      </c>
      <c r="B3483" s="108" t="s">
        <v>243</v>
      </c>
      <c r="C3483" s="108" t="s">
        <v>853</v>
      </c>
      <c r="D3483" s="100" t="str">
        <f t="shared" si="1"/>
        <v/>
      </c>
      <c r="E3483" s="100" t="str">
        <f t="shared" si="2"/>
        <v/>
      </c>
      <c r="F3483" s="100" t="str">
        <f t="shared" si="3"/>
        <v/>
      </c>
      <c r="G3483" s="151"/>
      <c r="H3483" s="156"/>
      <c r="I3483" s="157"/>
      <c r="J3483" s="161"/>
      <c r="L3483" s="94"/>
      <c r="M3483" s="159"/>
      <c r="N3483" s="94"/>
    </row>
    <row r="3484">
      <c r="A3484" s="107">
        <v>1626179.0</v>
      </c>
      <c r="B3484" s="108" t="s">
        <v>215</v>
      </c>
      <c r="C3484" s="108" t="s">
        <v>853</v>
      </c>
      <c r="D3484" s="100" t="str">
        <f t="shared" si="1"/>
        <v/>
      </c>
      <c r="E3484" s="100" t="str">
        <f t="shared" si="2"/>
        <v/>
      </c>
      <c r="F3484" s="100" t="str">
        <f t="shared" si="3"/>
        <v/>
      </c>
      <c r="G3484" s="151"/>
      <c r="H3484" s="160"/>
      <c r="I3484" s="157"/>
      <c r="J3484" s="158"/>
      <c r="L3484" s="94"/>
      <c r="M3484" s="159"/>
      <c r="N3484" s="94"/>
    </row>
    <row r="3485">
      <c r="A3485" s="107">
        <v>1626179.0</v>
      </c>
      <c r="B3485" s="108" t="s">
        <v>244</v>
      </c>
      <c r="C3485" s="108" t="s">
        <v>853</v>
      </c>
      <c r="D3485" s="100" t="str">
        <f t="shared" si="1"/>
        <v/>
      </c>
      <c r="E3485" s="100" t="str">
        <f t="shared" si="2"/>
        <v/>
      </c>
      <c r="F3485" s="100" t="str">
        <f t="shared" si="3"/>
        <v/>
      </c>
      <c r="G3485" s="151"/>
      <c r="H3485" s="156"/>
      <c r="I3485" s="157"/>
      <c r="J3485" s="161"/>
      <c r="L3485" s="94"/>
      <c r="M3485" s="159"/>
      <c r="N3485" s="94"/>
    </row>
    <row r="3486">
      <c r="A3486" s="107">
        <v>1626179.0</v>
      </c>
      <c r="B3486" s="108" t="s">
        <v>245</v>
      </c>
      <c r="C3486" s="108" t="s">
        <v>853</v>
      </c>
      <c r="D3486" s="100" t="str">
        <f t="shared" si="1"/>
        <v/>
      </c>
      <c r="E3486" s="100" t="str">
        <f t="shared" si="2"/>
        <v/>
      </c>
      <c r="F3486" s="100" t="str">
        <f t="shared" si="3"/>
        <v/>
      </c>
      <c r="G3486" s="151"/>
      <c r="H3486" s="160"/>
      <c r="I3486" s="157"/>
      <c r="J3486" s="158"/>
      <c r="L3486" s="94"/>
      <c r="M3486" s="159"/>
      <c r="N3486" s="94"/>
    </row>
    <row r="3487">
      <c r="A3487" s="107">
        <v>1626179.0</v>
      </c>
      <c r="B3487" s="108" t="s">
        <v>246</v>
      </c>
      <c r="C3487" s="108" t="s">
        <v>853</v>
      </c>
      <c r="D3487" s="100" t="str">
        <f t="shared" si="1"/>
        <v/>
      </c>
      <c r="E3487" s="100" t="str">
        <f t="shared" si="2"/>
        <v/>
      </c>
      <c r="F3487" s="100" t="str">
        <f t="shared" si="3"/>
        <v/>
      </c>
      <c r="G3487" s="151"/>
      <c r="H3487" s="156"/>
      <c r="I3487" s="157"/>
      <c r="J3487" s="161"/>
      <c r="L3487" s="94"/>
      <c r="M3487" s="159"/>
      <c r="N3487" s="94"/>
    </row>
    <row r="3488">
      <c r="A3488" s="149">
        <v>1626179.0</v>
      </c>
      <c r="B3488" s="115" t="s">
        <v>247</v>
      </c>
      <c r="C3488" s="115" t="s">
        <v>853</v>
      </c>
      <c r="D3488" s="100" t="str">
        <f t="shared" si="1"/>
        <v/>
      </c>
      <c r="E3488" s="100" t="str">
        <f t="shared" si="2"/>
        <v/>
      </c>
      <c r="F3488" s="100" t="str">
        <f t="shared" si="3"/>
        <v/>
      </c>
      <c r="G3488" s="151"/>
      <c r="H3488" s="160"/>
      <c r="I3488" s="157"/>
      <c r="J3488" s="158"/>
      <c r="L3488" s="94"/>
      <c r="M3488" s="159"/>
      <c r="N3488" s="94"/>
    </row>
    <row r="3489">
      <c r="A3489" s="21">
        <v>1626181.0</v>
      </c>
      <c r="B3489" s="164" t="s">
        <v>92</v>
      </c>
      <c r="C3489" s="164" t="s">
        <v>854</v>
      </c>
      <c r="D3489" s="100" t="str">
        <f t="shared" si="1"/>
        <v/>
      </c>
      <c r="E3489" s="100" t="str">
        <f t="shared" si="2"/>
        <v/>
      </c>
      <c r="F3489" s="100" t="str">
        <f t="shared" si="3"/>
        <v/>
      </c>
      <c r="G3489" s="151"/>
      <c r="H3489" s="156"/>
      <c r="I3489" s="157"/>
      <c r="J3489" s="161"/>
      <c r="L3489" s="94"/>
      <c r="M3489" s="159"/>
      <c r="N3489" s="94"/>
    </row>
    <row r="3490">
      <c r="A3490" s="107">
        <v>1626181.0</v>
      </c>
      <c r="B3490" s="108" t="s">
        <v>190</v>
      </c>
      <c r="C3490" s="108" t="s">
        <v>854</v>
      </c>
      <c r="D3490" s="100" t="str">
        <f t="shared" si="1"/>
        <v/>
      </c>
      <c r="E3490" s="100" t="str">
        <f t="shared" si="2"/>
        <v/>
      </c>
      <c r="F3490" s="100" t="str">
        <f t="shared" si="3"/>
        <v/>
      </c>
      <c r="G3490" s="151"/>
      <c r="H3490" s="160"/>
      <c r="I3490" s="157"/>
      <c r="J3490" s="158"/>
      <c r="L3490" s="94"/>
      <c r="M3490" s="159"/>
      <c r="N3490" s="94"/>
    </row>
    <row r="3491">
      <c r="A3491" s="107">
        <v>1626181.0</v>
      </c>
      <c r="B3491" s="108" t="s">
        <v>191</v>
      </c>
      <c r="C3491" s="108" t="s">
        <v>854</v>
      </c>
      <c r="D3491" s="100" t="str">
        <f t="shared" si="1"/>
        <v/>
      </c>
      <c r="E3491" s="100" t="str">
        <f t="shared" si="2"/>
        <v/>
      </c>
      <c r="F3491" s="100" t="str">
        <f t="shared" si="3"/>
        <v/>
      </c>
      <c r="G3491" s="151"/>
      <c r="H3491" s="156"/>
      <c r="I3491" s="157"/>
      <c r="J3491" s="161"/>
      <c r="L3491" s="94"/>
      <c r="M3491" s="159"/>
      <c r="N3491" s="94"/>
    </row>
    <row r="3492">
      <c r="A3492" s="107">
        <v>1626181.0</v>
      </c>
      <c r="B3492" s="108" t="s">
        <v>192</v>
      </c>
      <c r="C3492" s="108" t="s">
        <v>854</v>
      </c>
      <c r="D3492" s="100" t="str">
        <f t="shared" si="1"/>
        <v/>
      </c>
      <c r="E3492" s="100" t="str">
        <f t="shared" si="2"/>
        <v/>
      </c>
      <c r="F3492" s="100" t="str">
        <f t="shared" si="3"/>
        <v/>
      </c>
      <c r="G3492" s="151"/>
      <c r="H3492" s="160"/>
      <c r="I3492" s="157"/>
      <c r="J3492" s="158"/>
      <c r="L3492" s="94"/>
      <c r="M3492" s="159"/>
      <c r="N3492" s="94"/>
    </row>
    <row r="3493">
      <c r="A3493" s="107">
        <v>1626181.0</v>
      </c>
      <c r="B3493" s="108" t="s">
        <v>193</v>
      </c>
      <c r="C3493" s="108" t="s">
        <v>854</v>
      </c>
      <c r="D3493" s="100" t="str">
        <f t="shared" si="1"/>
        <v/>
      </c>
      <c r="E3493" s="100" t="str">
        <f t="shared" si="2"/>
        <v/>
      </c>
      <c r="F3493" s="100" t="str">
        <f t="shared" si="3"/>
        <v/>
      </c>
      <c r="G3493" s="151"/>
      <c r="H3493" s="156"/>
      <c r="I3493" s="157"/>
      <c r="J3493" s="161"/>
      <c r="L3493" s="94"/>
      <c r="M3493" s="159"/>
      <c r="N3493" s="94"/>
    </row>
    <row r="3494">
      <c r="A3494" s="107">
        <v>1626181.0</v>
      </c>
      <c r="B3494" s="108" t="s">
        <v>243</v>
      </c>
      <c r="C3494" s="108" t="s">
        <v>854</v>
      </c>
      <c r="D3494" s="100" t="str">
        <f t="shared" si="1"/>
        <v/>
      </c>
      <c r="E3494" s="100" t="str">
        <f t="shared" si="2"/>
        <v/>
      </c>
      <c r="F3494" s="100" t="str">
        <f t="shared" si="3"/>
        <v/>
      </c>
      <c r="G3494" s="151"/>
      <c r="H3494" s="160"/>
      <c r="I3494" s="157"/>
      <c r="J3494" s="158"/>
      <c r="L3494" s="94"/>
      <c r="M3494" s="159"/>
      <c r="N3494" s="94"/>
    </row>
    <row r="3495">
      <c r="A3495" s="107">
        <v>1626181.0</v>
      </c>
      <c r="B3495" s="108" t="s">
        <v>215</v>
      </c>
      <c r="C3495" s="108" t="s">
        <v>854</v>
      </c>
      <c r="D3495" s="100" t="str">
        <f t="shared" si="1"/>
        <v/>
      </c>
      <c r="E3495" s="100" t="str">
        <f t="shared" si="2"/>
        <v/>
      </c>
      <c r="F3495" s="100" t="str">
        <f t="shared" si="3"/>
        <v/>
      </c>
      <c r="G3495" s="151"/>
      <c r="H3495" s="156"/>
      <c r="I3495" s="157"/>
      <c r="J3495" s="161"/>
      <c r="L3495" s="94"/>
      <c r="M3495" s="159"/>
      <c r="N3495" s="94"/>
    </row>
    <row r="3496">
      <c r="A3496" s="107">
        <v>1626181.0</v>
      </c>
      <c r="B3496" s="108" t="s">
        <v>244</v>
      </c>
      <c r="C3496" s="108" t="s">
        <v>854</v>
      </c>
      <c r="D3496" s="100" t="str">
        <f t="shared" si="1"/>
        <v/>
      </c>
      <c r="E3496" s="100" t="str">
        <f t="shared" si="2"/>
        <v/>
      </c>
      <c r="F3496" s="100" t="str">
        <f t="shared" si="3"/>
        <v/>
      </c>
      <c r="G3496" s="151"/>
      <c r="H3496" s="160"/>
      <c r="I3496" s="157"/>
      <c r="J3496" s="158"/>
      <c r="L3496" s="94"/>
      <c r="M3496" s="159"/>
      <c r="N3496" s="94"/>
    </row>
    <row r="3497">
      <c r="A3497" s="107">
        <v>1626181.0</v>
      </c>
      <c r="B3497" s="108" t="s">
        <v>245</v>
      </c>
      <c r="C3497" s="108" t="s">
        <v>854</v>
      </c>
      <c r="D3497" s="100" t="str">
        <f t="shared" si="1"/>
        <v/>
      </c>
      <c r="E3497" s="100" t="str">
        <f t="shared" si="2"/>
        <v/>
      </c>
      <c r="F3497" s="100" t="str">
        <f t="shared" si="3"/>
        <v/>
      </c>
      <c r="G3497" s="151"/>
      <c r="H3497" s="156"/>
      <c r="I3497" s="157"/>
      <c r="J3497" s="161"/>
      <c r="L3497" s="94"/>
      <c r="M3497" s="159"/>
      <c r="N3497" s="94"/>
    </row>
    <row r="3498">
      <c r="A3498" s="107">
        <v>1626181.0</v>
      </c>
      <c r="B3498" s="108" t="s">
        <v>246</v>
      </c>
      <c r="C3498" s="108" t="s">
        <v>854</v>
      </c>
      <c r="D3498" s="100" t="str">
        <f t="shared" si="1"/>
        <v/>
      </c>
      <c r="E3498" s="100" t="str">
        <f t="shared" si="2"/>
        <v/>
      </c>
      <c r="F3498" s="100" t="str">
        <f t="shared" si="3"/>
        <v/>
      </c>
      <c r="G3498" s="151"/>
      <c r="H3498" s="160"/>
      <c r="I3498" s="157"/>
      <c r="J3498" s="158"/>
      <c r="L3498" s="94"/>
      <c r="M3498" s="159"/>
      <c r="N3498" s="94"/>
    </row>
    <row r="3499">
      <c r="A3499" s="149">
        <v>1626181.0</v>
      </c>
      <c r="B3499" s="115" t="s">
        <v>247</v>
      </c>
      <c r="C3499" s="115" t="s">
        <v>854</v>
      </c>
      <c r="D3499" s="100" t="str">
        <f t="shared" si="1"/>
        <v/>
      </c>
      <c r="E3499" s="100" t="str">
        <f t="shared" si="2"/>
        <v/>
      </c>
      <c r="F3499" s="100" t="str">
        <f t="shared" si="3"/>
        <v/>
      </c>
      <c r="G3499" s="151"/>
      <c r="H3499" s="156"/>
      <c r="I3499" s="157"/>
      <c r="J3499" s="161"/>
      <c r="L3499" s="94"/>
      <c r="M3499" s="159"/>
      <c r="N3499" s="94"/>
    </row>
    <row r="3500">
      <c r="A3500" s="21">
        <v>1626183.0</v>
      </c>
      <c r="B3500" s="164" t="s">
        <v>92</v>
      </c>
      <c r="C3500" s="164" t="s">
        <v>855</v>
      </c>
      <c r="D3500" s="100" t="str">
        <f t="shared" si="1"/>
        <v/>
      </c>
      <c r="E3500" s="100" t="str">
        <f t="shared" si="2"/>
        <v/>
      </c>
      <c r="F3500" s="100" t="str">
        <f t="shared" si="3"/>
        <v/>
      </c>
      <c r="G3500" s="151"/>
      <c r="H3500" s="160"/>
      <c r="I3500" s="157"/>
      <c r="J3500" s="158"/>
      <c r="L3500" s="94"/>
      <c r="M3500" s="159"/>
      <c r="N3500" s="94"/>
    </row>
    <row r="3501">
      <c r="A3501" s="107">
        <v>1626184.0</v>
      </c>
      <c r="B3501" s="108" t="s">
        <v>190</v>
      </c>
      <c r="C3501" s="108" t="s">
        <v>856</v>
      </c>
      <c r="D3501" s="100" t="str">
        <f t="shared" si="1"/>
        <v/>
      </c>
      <c r="E3501" s="100" t="str">
        <f t="shared" si="2"/>
        <v/>
      </c>
      <c r="F3501" s="100" t="str">
        <f t="shared" si="3"/>
        <v/>
      </c>
      <c r="G3501" s="151"/>
      <c r="H3501" s="156"/>
      <c r="I3501" s="157"/>
      <c r="J3501" s="161"/>
      <c r="L3501" s="94"/>
      <c r="M3501" s="159"/>
      <c r="N3501" s="94"/>
    </row>
    <row r="3502">
      <c r="A3502" s="107">
        <v>1626184.0</v>
      </c>
      <c r="B3502" s="108" t="s">
        <v>192</v>
      </c>
      <c r="C3502" s="108" t="s">
        <v>856</v>
      </c>
      <c r="D3502" s="100" t="str">
        <f t="shared" si="1"/>
        <v/>
      </c>
      <c r="E3502" s="100" t="str">
        <f t="shared" si="2"/>
        <v/>
      </c>
      <c r="F3502" s="100" t="str">
        <f t="shared" si="3"/>
        <v/>
      </c>
      <c r="G3502" s="151"/>
      <c r="H3502" s="160"/>
      <c r="I3502" s="157"/>
      <c r="J3502" s="158"/>
      <c r="L3502" s="94"/>
      <c r="M3502" s="159"/>
      <c r="N3502" s="94"/>
    </row>
    <row r="3503">
      <c r="A3503" s="107">
        <v>1626184.0</v>
      </c>
      <c r="B3503" s="108" t="s">
        <v>193</v>
      </c>
      <c r="C3503" s="108" t="s">
        <v>856</v>
      </c>
      <c r="D3503" s="100" t="str">
        <f t="shared" si="1"/>
        <v/>
      </c>
      <c r="E3503" s="100" t="str">
        <f t="shared" si="2"/>
        <v/>
      </c>
      <c r="F3503" s="100" t="str">
        <f t="shared" si="3"/>
        <v/>
      </c>
      <c r="G3503" s="151"/>
      <c r="H3503" s="156"/>
      <c r="I3503" s="157"/>
      <c r="J3503" s="161"/>
      <c r="L3503" s="94"/>
      <c r="M3503" s="159"/>
      <c r="N3503" s="94"/>
    </row>
    <row r="3504">
      <c r="A3504" s="107">
        <v>1626184.0</v>
      </c>
      <c r="B3504" s="108" t="s">
        <v>243</v>
      </c>
      <c r="C3504" s="108" t="s">
        <v>856</v>
      </c>
      <c r="D3504" s="100" t="str">
        <f t="shared" si="1"/>
        <v/>
      </c>
      <c r="E3504" s="100" t="str">
        <f t="shared" si="2"/>
        <v/>
      </c>
      <c r="F3504" s="100" t="str">
        <f t="shared" si="3"/>
        <v/>
      </c>
      <c r="G3504" s="151"/>
      <c r="H3504" s="160"/>
      <c r="I3504" s="157"/>
      <c r="J3504" s="158"/>
      <c r="L3504" s="94"/>
      <c r="M3504" s="159"/>
      <c r="N3504" s="94"/>
    </row>
    <row r="3505">
      <c r="A3505" s="107">
        <v>1626185.0</v>
      </c>
      <c r="B3505" s="108" t="s">
        <v>92</v>
      </c>
      <c r="C3505" s="108" t="s">
        <v>857</v>
      </c>
      <c r="D3505" s="100" t="str">
        <f t="shared" si="1"/>
        <v/>
      </c>
      <c r="E3505" s="100" t="str">
        <f t="shared" si="2"/>
        <v/>
      </c>
      <c r="F3505" s="100" t="str">
        <f t="shared" si="3"/>
        <v/>
      </c>
      <c r="G3505" s="151"/>
      <c r="H3505" s="156"/>
      <c r="I3505" s="157"/>
      <c r="J3505" s="161"/>
      <c r="L3505" s="94"/>
      <c r="M3505" s="159"/>
      <c r="N3505" s="94"/>
    </row>
    <row r="3506">
      <c r="A3506" s="107">
        <v>1626185.0</v>
      </c>
      <c r="B3506" s="108" t="s">
        <v>190</v>
      </c>
      <c r="C3506" s="108" t="s">
        <v>857</v>
      </c>
      <c r="D3506" s="100" t="str">
        <f t="shared" si="1"/>
        <v/>
      </c>
      <c r="E3506" s="100" t="str">
        <f t="shared" si="2"/>
        <v/>
      </c>
      <c r="F3506" s="100" t="str">
        <f t="shared" si="3"/>
        <v/>
      </c>
      <c r="G3506" s="151"/>
      <c r="H3506" s="160"/>
      <c r="I3506" s="157"/>
      <c r="J3506" s="158"/>
      <c r="L3506" s="94"/>
      <c r="M3506" s="159"/>
      <c r="N3506" s="94"/>
    </row>
    <row r="3507">
      <c r="A3507" s="107">
        <v>1626185.0</v>
      </c>
      <c r="B3507" s="108" t="s">
        <v>191</v>
      </c>
      <c r="C3507" s="108" t="s">
        <v>857</v>
      </c>
      <c r="D3507" s="100" t="str">
        <f t="shared" si="1"/>
        <v/>
      </c>
      <c r="E3507" s="100" t="str">
        <f t="shared" si="2"/>
        <v/>
      </c>
      <c r="F3507" s="100" t="str">
        <f t="shared" si="3"/>
        <v/>
      </c>
      <c r="G3507" s="151"/>
      <c r="H3507" s="156"/>
      <c r="I3507" s="157"/>
      <c r="J3507" s="161"/>
      <c r="L3507" s="94"/>
      <c r="M3507" s="159"/>
      <c r="N3507" s="94"/>
    </row>
    <row r="3508">
      <c r="A3508" s="107">
        <v>1626185.0</v>
      </c>
      <c r="B3508" s="108" t="s">
        <v>192</v>
      </c>
      <c r="C3508" s="108" t="s">
        <v>857</v>
      </c>
      <c r="D3508" s="100" t="str">
        <f t="shared" si="1"/>
        <v/>
      </c>
      <c r="E3508" s="100" t="str">
        <f t="shared" si="2"/>
        <v/>
      </c>
      <c r="F3508" s="100" t="str">
        <f t="shared" si="3"/>
        <v/>
      </c>
      <c r="G3508" s="151"/>
      <c r="H3508" s="160"/>
      <c r="I3508" s="157"/>
      <c r="J3508" s="158"/>
      <c r="L3508" s="94"/>
      <c r="M3508" s="159"/>
      <c r="N3508" s="94"/>
    </row>
    <row r="3509">
      <c r="A3509" s="107">
        <v>1626187.0</v>
      </c>
      <c r="B3509" s="108" t="s">
        <v>193</v>
      </c>
      <c r="C3509" s="108" t="s">
        <v>858</v>
      </c>
      <c r="D3509" s="100" t="str">
        <f t="shared" si="1"/>
        <v/>
      </c>
      <c r="E3509" s="100" t="str">
        <f t="shared" si="2"/>
        <v/>
      </c>
      <c r="F3509" s="100" t="str">
        <f t="shared" si="3"/>
        <v/>
      </c>
      <c r="G3509" s="151"/>
      <c r="H3509" s="156"/>
      <c r="I3509" s="157"/>
      <c r="J3509" s="161"/>
      <c r="L3509" s="94"/>
      <c r="M3509" s="159"/>
      <c r="N3509" s="94"/>
    </row>
    <row r="3510">
      <c r="A3510" s="107">
        <v>1626188.0</v>
      </c>
      <c r="B3510" s="108" t="s">
        <v>190</v>
      </c>
      <c r="C3510" s="108" t="s">
        <v>859</v>
      </c>
      <c r="D3510" s="100" t="str">
        <f t="shared" si="1"/>
        <v/>
      </c>
      <c r="E3510" s="100" t="str">
        <f t="shared" si="2"/>
        <v/>
      </c>
      <c r="F3510" s="100" t="str">
        <f t="shared" si="3"/>
        <v/>
      </c>
      <c r="G3510" s="151"/>
      <c r="H3510" s="160"/>
      <c r="I3510" s="157"/>
      <c r="J3510" s="158"/>
      <c r="L3510" s="94"/>
      <c r="M3510" s="159"/>
      <c r="N3510" s="94"/>
    </row>
    <row r="3511">
      <c r="A3511" s="107">
        <v>1626188.0</v>
      </c>
      <c r="B3511" s="108" t="s">
        <v>191</v>
      </c>
      <c r="C3511" s="108" t="s">
        <v>859</v>
      </c>
      <c r="D3511" s="100" t="str">
        <f t="shared" si="1"/>
        <v/>
      </c>
      <c r="E3511" s="100" t="str">
        <f t="shared" si="2"/>
        <v/>
      </c>
      <c r="F3511" s="100" t="str">
        <f t="shared" si="3"/>
        <v/>
      </c>
      <c r="G3511" s="151"/>
      <c r="H3511" s="156"/>
      <c r="I3511" s="157"/>
      <c r="J3511" s="161"/>
      <c r="L3511" s="94"/>
      <c r="M3511" s="159"/>
      <c r="N3511" s="94"/>
    </row>
    <row r="3512">
      <c r="A3512" s="107">
        <v>1626188.0</v>
      </c>
      <c r="B3512" s="108" t="s">
        <v>192</v>
      </c>
      <c r="C3512" s="108" t="s">
        <v>859</v>
      </c>
      <c r="D3512" s="100" t="str">
        <f t="shared" si="1"/>
        <v/>
      </c>
      <c r="E3512" s="100" t="str">
        <f t="shared" si="2"/>
        <v/>
      </c>
      <c r="F3512" s="100" t="str">
        <f t="shared" si="3"/>
        <v/>
      </c>
      <c r="G3512" s="151"/>
      <c r="H3512" s="160"/>
      <c r="I3512" s="157"/>
      <c r="J3512" s="158"/>
      <c r="L3512" s="94"/>
      <c r="M3512" s="159"/>
      <c r="N3512" s="94"/>
    </row>
    <row r="3513">
      <c r="A3513" s="107">
        <v>1626188.0</v>
      </c>
      <c r="B3513" s="108" t="s">
        <v>193</v>
      </c>
      <c r="C3513" s="108" t="s">
        <v>859</v>
      </c>
      <c r="D3513" s="100" t="str">
        <f t="shared" si="1"/>
        <v/>
      </c>
      <c r="E3513" s="100" t="str">
        <f t="shared" si="2"/>
        <v/>
      </c>
      <c r="F3513" s="100" t="str">
        <f t="shared" si="3"/>
        <v/>
      </c>
      <c r="G3513" s="151"/>
      <c r="H3513" s="156"/>
      <c r="I3513" s="157"/>
      <c r="J3513" s="161"/>
      <c r="L3513" s="94"/>
      <c r="M3513" s="159"/>
      <c r="N3513" s="94"/>
    </row>
    <row r="3514">
      <c r="A3514" s="107">
        <v>1626188.0</v>
      </c>
      <c r="B3514" s="108" t="s">
        <v>243</v>
      </c>
      <c r="C3514" s="108" t="s">
        <v>859</v>
      </c>
      <c r="D3514" s="100" t="str">
        <f t="shared" si="1"/>
        <v/>
      </c>
      <c r="E3514" s="100" t="str">
        <f t="shared" si="2"/>
        <v/>
      </c>
      <c r="F3514" s="100" t="str">
        <f t="shared" si="3"/>
        <v/>
      </c>
      <c r="G3514" s="151"/>
      <c r="H3514" s="160"/>
      <c r="I3514" s="157"/>
      <c r="J3514" s="158"/>
      <c r="L3514" s="94"/>
      <c r="M3514" s="159"/>
      <c r="N3514" s="94"/>
    </row>
    <row r="3515">
      <c r="A3515" s="107">
        <v>1626191.0</v>
      </c>
      <c r="B3515" s="108" t="s">
        <v>92</v>
      </c>
      <c r="C3515" s="108" t="s">
        <v>860</v>
      </c>
      <c r="D3515" s="100" t="str">
        <f t="shared" si="1"/>
        <v/>
      </c>
      <c r="E3515" s="100" t="str">
        <f t="shared" si="2"/>
        <v/>
      </c>
      <c r="F3515" s="100" t="str">
        <f t="shared" si="3"/>
        <v/>
      </c>
      <c r="G3515" s="151"/>
      <c r="H3515" s="156"/>
      <c r="I3515" s="157"/>
      <c r="J3515" s="161"/>
      <c r="L3515" s="94"/>
      <c r="M3515" s="159"/>
      <c r="N3515" s="94"/>
    </row>
    <row r="3516">
      <c r="A3516" s="107">
        <v>1626191.0</v>
      </c>
      <c r="B3516" s="108" t="s">
        <v>190</v>
      </c>
      <c r="C3516" s="108" t="s">
        <v>860</v>
      </c>
      <c r="D3516" s="100" t="str">
        <f t="shared" si="1"/>
        <v/>
      </c>
      <c r="E3516" s="100" t="str">
        <f t="shared" si="2"/>
        <v/>
      </c>
      <c r="F3516" s="100" t="str">
        <f t="shared" si="3"/>
        <v/>
      </c>
      <c r="G3516" s="151"/>
      <c r="H3516" s="160"/>
      <c r="I3516" s="157"/>
      <c r="J3516" s="158"/>
      <c r="L3516" s="94"/>
      <c r="M3516" s="159"/>
      <c r="N3516" s="94"/>
    </row>
    <row r="3517">
      <c r="A3517" s="107">
        <v>1626191.0</v>
      </c>
      <c r="B3517" s="108" t="s">
        <v>191</v>
      </c>
      <c r="C3517" s="108" t="s">
        <v>860</v>
      </c>
      <c r="D3517" s="100" t="str">
        <f t="shared" si="1"/>
        <v/>
      </c>
      <c r="E3517" s="100" t="str">
        <f t="shared" si="2"/>
        <v/>
      </c>
      <c r="F3517" s="100" t="str">
        <f t="shared" si="3"/>
        <v/>
      </c>
      <c r="G3517" s="151"/>
      <c r="H3517" s="156"/>
      <c r="I3517" s="157"/>
      <c r="J3517" s="161"/>
      <c r="L3517" s="94"/>
      <c r="M3517" s="159"/>
      <c r="N3517" s="94"/>
    </row>
    <row r="3518">
      <c r="A3518" s="107">
        <v>1626192.0</v>
      </c>
      <c r="B3518" s="108" t="s">
        <v>92</v>
      </c>
      <c r="C3518" s="108" t="s">
        <v>861</v>
      </c>
      <c r="D3518" s="100" t="str">
        <f t="shared" si="1"/>
        <v/>
      </c>
      <c r="E3518" s="100" t="str">
        <f t="shared" si="2"/>
        <v/>
      </c>
      <c r="F3518" s="100" t="str">
        <f t="shared" si="3"/>
        <v/>
      </c>
      <c r="G3518" s="151"/>
      <c r="H3518" s="160"/>
      <c r="I3518" s="157"/>
      <c r="J3518" s="158"/>
      <c r="L3518" s="94"/>
      <c r="M3518" s="159"/>
      <c r="N3518" s="94"/>
    </row>
    <row r="3519">
      <c r="A3519" s="107">
        <v>1626192.0</v>
      </c>
      <c r="B3519" s="108" t="s">
        <v>190</v>
      </c>
      <c r="C3519" s="108" t="s">
        <v>861</v>
      </c>
      <c r="D3519" s="100" t="str">
        <f t="shared" si="1"/>
        <v/>
      </c>
      <c r="E3519" s="100" t="str">
        <f t="shared" si="2"/>
        <v/>
      </c>
      <c r="F3519" s="100" t="str">
        <f t="shared" si="3"/>
        <v/>
      </c>
      <c r="G3519" s="151"/>
      <c r="H3519" s="156"/>
      <c r="I3519" s="157"/>
      <c r="J3519" s="161"/>
      <c r="L3519" s="94"/>
      <c r="M3519" s="159"/>
      <c r="N3519" s="94"/>
    </row>
    <row r="3520">
      <c r="A3520" s="107">
        <v>1626192.0</v>
      </c>
      <c r="B3520" s="108" t="s">
        <v>191</v>
      </c>
      <c r="C3520" s="108" t="s">
        <v>861</v>
      </c>
      <c r="D3520" s="100" t="str">
        <f t="shared" si="1"/>
        <v/>
      </c>
      <c r="E3520" s="100" t="str">
        <f t="shared" si="2"/>
        <v/>
      </c>
      <c r="F3520" s="100" t="str">
        <f t="shared" si="3"/>
        <v/>
      </c>
      <c r="G3520" s="151"/>
      <c r="H3520" s="160"/>
      <c r="I3520" s="157"/>
      <c r="J3520" s="158"/>
      <c r="L3520" s="94"/>
      <c r="M3520" s="159"/>
      <c r="N3520" s="94"/>
    </row>
    <row r="3521">
      <c r="A3521" s="107">
        <v>1626192.0</v>
      </c>
      <c r="B3521" s="108" t="s">
        <v>192</v>
      </c>
      <c r="C3521" s="108" t="s">
        <v>861</v>
      </c>
      <c r="D3521" s="100" t="str">
        <f t="shared" si="1"/>
        <v/>
      </c>
      <c r="E3521" s="100" t="str">
        <f t="shared" si="2"/>
        <v/>
      </c>
      <c r="F3521" s="100" t="str">
        <f t="shared" si="3"/>
        <v/>
      </c>
      <c r="G3521" s="151"/>
      <c r="H3521" s="156"/>
      <c r="I3521" s="157"/>
      <c r="J3521" s="161"/>
      <c r="L3521" s="94"/>
      <c r="M3521" s="159"/>
      <c r="N3521" s="94"/>
    </row>
    <row r="3522">
      <c r="A3522" s="107">
        <v>1626192.0</v>
      </c>
      <c r="B3522" s="108" t="s">
        <v>193</v>
      </c>
      <c r="C3522" s="108" t="s">
        <v>861</v>
      </c>
      <c r="D3522" s="100" t="str">
        <f t="shared" si="1"/>
        <v/>
      </c>
      <c r="E3522" s="100" t="str">
        <f t="shared" si="2"/>
        <v/>
      </c>
      <c r="F3522" s="100" t="str">
        <f t="shared" si="3"/>
        <v/>
      </c>
      <c r="G3522" s="151"/>
      <c r="H3522" s="160"/>
      <c r="I3522" s="157"/>
      <c r="J3522" s="158"/>
      <c r="L3522" s="94"/>
      <c r="M3522" s="159"/>
      <c r="N3522" s="94"/>
    </row>
    <row r="3523">
      <c r="A3523" s="107">
        <v>1626192.0</v>
      </c>
      <c r="B3523" s="108" t="s">
        <v>243</v>
      </c>
      <c r="C3523" s="108" t="s">
        <v>861</v>
      </c>
      <c r="D3523" s="100" t="str">
        <f t="shared" si="1"/>
        <v/>
      </c>
      <c r="E3523" s="100" t="str">
        <f t="shared" si="2"/>
        <v/>
      </c>
      <c r="F3523" s="100" t="str">
        <f t="shared" si="3"/>
        <v/>
      </c>
      <c r="G3523" s="151"/>
      <c r="H3523" s="156"/>
      <c r="I3523" s="157"/>
      <c r="J3523" s="161"/>
      <c r="L3523" s="94"/>
      <c r="M3523" s="159"/>
      <c r="N3523" s="94"/>
    </row>
    <row r="3524">
      <c r="A3524" s="107">
        <v>1626192.0</v>
      </c>
      <c r="B3524" s="108" t="s">
        <v>215</v>
      </c>
      <c r="C3524" s="108" t="s">
        <v>861</v>
      </c>
      <c r="D3524" s="100" t="str">
        <f t="shared" si="1"/>
        <v/>
      </c>
      <c r="E3524" s="100" t="str">
        <f t="shared" si="2"/>
        <v/>
      </c>
      <c r="F3524" s="100" t="str">
        <f t="shared" si="3"/>
        <v/>
      </c>
      <c r="G3524" s="151"/>
      <c r="H3524" s="160"/>
      <c r="I3524" s="157"/>
      <c r="J3524" s="158"/>
      <c r="L3524" s="94"/>
      <c r="M3524" s="159"/>
      <c r="N3524" s="94"/>
    </row>
    <row r="3525">
      <c r="A3525" s="107">
        <v>1626192.0</v>
      </c>
      <c r="B3525" s="108" t="s">
        <v>244</v>
      </c>
      <c r="C3525" s="108" t="s">
        <v>861</v>
      </c>
      <c r="D3525" s="100" t="str">
        <f t="shared" si="1"/>
        <v/>
      </c>
      <c r="E3525" s="100" t="str">
        <f t="shared" si="2"/>
        <v/>
      </c>
      <c r="F3525" s="100" t="str">
        <f t="shared" si="3"/>
        <v/>
      </c>
      <c r="G3525" s="151"/>
      <c r="H3525" s="156"/>
      <c r="I3525" s="157"/>
      <c r="J3525" s="161"/>
      <c r="L3525" s="94"/>
      <c r="M3525" s="159"/>
      <c r="N3525" s="94"/>
    </row>
    <row r="3526">
      <c r="A3526" s="107">
        <v>1626192.0</v>
      </c>
      <c r="B3526" s="108" t="s">
        <v>245</v>
      </c>
      <c r="C3526" s="108" t="s">
        <v>861</v>
      </c>
      <c r="D3526" s="100" t="str">
        <f t="shared" si="1"/>
        <v/>
      </c>
      <c r="E3526" s="100" t="str">
        <f t="shared" si="2"/>
        <v/>
      </c>
      <c r="F3526" s="100" t="str">
        <f t="shared" si="3"/>
        <v/>
      </c>
      <c r="G3526" s="151"/>
      <c r="H3526" s="160"/>
      <c r="I3526" s="157"/>
      <c r="J3526" s="158"/>
      <c r="L3526" s="94"/>
      <c r="M3526" s="159"/>
      <c r="N3526" s="94"/>
    </row>
    <row r="3527">
      <c r="A3527" s="107">
        <v>1626192.0</v>
      </c>
      <c r="B3527" s="108" t="s">
        <v>246</v>
      </c>
      <c r="C3527" s="108" t="s">
        <v>861</v>
      </c>
      <c r="D3527" s="100" t="str">
        <f t="shared" si="1"/>
        <v/>
      </c>
      <c r="E3527" s="100" t="str">
        <f t="shared" si="2"/>
        <v/>
      </c>
      <c r="F3527" s="100" t="str">
        <f t="shared" si="3"/>
        <v/>
      </c>
      <c r="G3527" s="151"/>
      <c r="H3527" s="156"/>
      <c r="I3527" s="157"/>
      <c r="J3527" s="161"/>
      <c r="L3527" s="94"/>
      <c r="M3527" s="159"/>
      <c r="N3527" s="94"/>
    </row>
    <row r="3528">
      <c r="A3528" s="149">
        <v>1626192.0</v>
      </c>
      <c r="B3528" s="115" t="s">
        <v>247</v>
      </c>
      <c r="C3528" s="115" t="s">
        <v>861</v>
      </c>
      <c r="D3528" s="100" t="str">
        <f t="shared" si="1"/>
        <v/>
      </c>
      <c r="E3528" s="100" t="str">
        <f t="shared" si="2"/>
        <v/>
      </c>
      <c r="F3528" s="100" t="str">
        <f t="shared" si="3"/>
        <v/>
      </c>
      <c r="G3528" s="151"/>
      <c r="H3528" s="160"/>
      <c r="I3528" s="157"/>
      <c r="J3528" s="158"/>
      <c r="L3528" s="94"/>
      <c r="M3528" s="159"/>
      <c r="N3528" s="94"/>
    </row>
    <row r="3529">
      <c r="A3529" s="21">
        <v>1626195.0</v>
      </c>
      <c r="B3529" s="164" t="s">
        <v>190</v>
      </c>
      <c r="C3529" s="164" t="s">
        <v>862</v>
      </c>
      <c r="D3529" s="100" t="str">
        <f t="shared" si="1"/>
        <v/>
      </c>
      <c r="E3529" s="100" t="str">
        <f t="shared" si="2"/>
        <v/>
      </c>
      <c r="F3529" s="100" t="str">
        <f t="shared" si="3"/>
        <v/>
      </c>
      <c r="G3529" s="151"/>
      <c r="H3529" s="156"/>
      <c r="I3529" s="157"/>
      <c r="J3529" s="161"/>
      <c r="L3529" s="94"/>
      <c r="M3529" s="159"/>
      <c r="N3529" s="94"/>
    </row>
    <row r="3530">
      <c r="A3530" s="107">
        <v>1626195.0</v>
      </c>
      <c r="B3530" s="108" t="s">
        <v>191</v>
      </c>
      <c r="C3530" s="108" t="s">
        <v>862</v>
      </c>
      <c r="D3530" s="100" t="str">
        <f t="shared" si="1"/>
        <v/>
      </c>
      <c r="E3530" s="100" t="str">
        <f t="shared" si="2"/>
        <v/>
      </c>
      <c r="F3530" s="100" t="str">
        <f t="shared" si="3"/>
        <v/>
      </c>
      <c r="G3530" s="151"/>
      <c r="H3530" s="160"/>
      <c r="I3530" s="157"/>
      <c r="J3530" s="158"/>
      <c r="L3530" s="94"/>
      <c r="M3530" s="159"/>
      <c r="N3530" s="94"/>
    </row>
    <row r="3531">
      <c r="A3531" s="107">
        <v>1626195.0</v>
      </c>
      <c r="B3531" s="108" t="s">
        <v>192</v>
      </c>
      <c r="C3531" s="108" t="s">
        <v>862</v>
      </c>
      <c r="D3531" s="100" t="str">
        <f t="shared" si="1"/>
        <v/>
      </c>
      <c r="E3531" s="100" t="str">
        <f t="shared" si="2"/>
        <v/>
      </c>
      <c r="F3531" s="100" t="str">
        <f t="shared" si="3"/>
        <v/>
      </c>
      <c r="G3531" s="151"/>
      <c r="H3531" s="156"/>
      <c r="I3531" s="157"/>
      <c r="J3531" s="161"/>
      <c r="L3531" s="94"/>
      <c r="M3531" s="159"/>
      <c r="N3531" s="94"/>
    </row>
    <row r="3532">
      <c r="A3532" s="107">
        <v>1626195.0</v>
      </c>
      <c r="B3532" s="108" t="s">
        <v>193</v>
      </c>
      <c r="C3532" s="108" t="s">
        <v>862</v>
      </c>
      <c r="D3532" s="100" t="str">
        <f t="shared" si="1"/>
        <v/>
      </c>
      <c r="E3532" s="100" t="str">
        <f t="shared" si="2"/>
        <v/>
      </c>
      <c r="F3532" s="100" t="str">
        <f t="shared" si="3"/>
        <v/>
      </c>
      <c r="G3532" s="151"/>
      <c r="H3532" s="160"/>
      <c r="I3532" s="157"/>
      <c r="J3532" s="158"/>
      <c r="L3532" s="94"/>
      <c r="M3532" s="159"/>
      <c r="N3532" s="94"/>
    </row>
    <row r="3533">
      <c r="A3533" s="107">
        <v>1626195.0</v>
      </c>
      <c r="B3533" s="108" t="s">
        <v>243</v>
      </c>
      <c r="C3533" s="108" t="s">
        <v>862</v>
      </c>
      <c r="D3533" s="100" t="str">
        <f t="shared" si="1"/>
        <v/>
      </c>
      <c r="E3533" s="100" t="str">
        <f t="shared" si="2"/>
        <v/>
      </c>
      <c r="F3533" s="100" t="str">
        <f t="shared" si="3"/>
        <v/>
      </c>
      <c r="G3533" s="151"/>
      <c r="H3533" s="156"/>
      <c r="I3533" s="157"/>
      <c r="J3533" s="161"/>
      <c r="L3533" s="94"/>
      <c r="M3533" s="159"/>
      <c r="N3533" s="94"/>
    </row>
    <row r="3534">
      <c r="A3534" s="107">
        <v>1626195.0</v>
      </c>
      <c r="B3534" s="108" t="s">
        <v>215</v>
      </c>
      <c r="C3534" s="108" t="s">
        <v>862</v>
      </c>
      <c r="D3534" s="100" t="str">
        <f t="shared" si="1"/>
        <v/>
      </c>
      <c r="E3534" s="100" t="str">
        <f t="shared" si="2"/>
        <v/>
      </c>
      <c r="F3534" s="100" t="str">
        <f t="shared" si="3"/>
        <v/>
      </c>
      <c r="G3534" s="151"/>
      <c r="H3534" s="160"/>
      <c r="I3534" s="157"/>
      <c r="J3534" s="158"/>
      <c r="L3534" s="94"/>
      <c r="M3534" s="159"/>
      <c r="N3534" s="94"/>
    </row>
    <row r="3535">
      <c r="A3535" s="107">
        <v>1626195.0</v>
      </c>
      <c r="B3535" s="108" t="s">
        <v>244</v>
      </c>
      <c r="C3535" s="108" t="s">
        <v>862</v>
      </c>
      <c r="D3535" s="100" t="str">
        <f t="shared" si="1"/>
        <v/>
      </c>
      <c r="E3535" s="100" t="str">
        <f t="shared" si="2"/>
        <v/>
      </c>
      <c r="F3535" s="100" t="str">
        <f t="shared" si="3"/>
        <v/>
      </c>
      <c r="G3535" s="151"/>
      <c r="H3535" s="156"/>
      <c r="I3535" s="157"/>
      <c r="J3535" s="161"/>
      <c r="L3535" s="94"/>
      <c r="M3535" s="159"/>
      <c r="N3535" s="94"/>
    </row>
    <row r="3536">
      <c r="A3536" s="107">
        <v>1626196.0</v>
      </c>
      <c r="B3536" s="108" t="s">
        <v>92</v>
      </c>
      <c r="C3536" s="108" t="s">
        <v>863</v>
      </c>
      <c r="D3536" s="100" t="str">
        <f t="shared" si="1"/>
        <v/>
      </c>
      <c r="E3536" s="100" t="str">
        <f t="shared" si="2"/>
        <v/>
      </c>
      <c r="F3536" s="100" t="str">
        <f t="shared" si="3"/>
        <v/>
      </c>
      <c r="G3536" s="151"/>
      <c r="H3536" s="160"/>
      <c r="I3536" s="157"/>
      <c r="J3536" s="158"/>
      <c r="L3536" s="94"/>
      <c r="M3536" s="159"/>
      <c r="N3536" s="94"/>
    </row>
    <row r="3537">
      <c r="A3537" s="107">
        <v>1626196.0</v>
      </c>
      <c r="B3537" s="108" t="s">
        <v>190</v>
      </c>
      <c r="C3537" s="108" t="s">
        <v>863</v>
      </c>
      <c r="D3537" s="100" t="str">
        <f t="shared" si="1"/>
        <v/>
      </c>
      <c r="E3537" s="100" t="str">
        <f t="shared" si="2"/>
        <v/>
      </c>
      <c r="F3537" s="100" t="str">
        <f t="shared" si="3"/>
        <v/>
      </c>
      <c r="G3537" s="151"/>
      <c r="H3537" s="156"/>
      <c r="I3537" s="157"/>
      <c r="J3537" s="161"/>
      <c r="L3537" s="94"/>
      <c r="M3537" s="159"/>
      <c r="N3537" s="94"/>
    </row>
    <row r="3538">
      <c r="A3538" s="107">
        <v>1626196.0</v>
      </c>
      <c r="B3538" s="108" t="s">
        <v>191</v>
      </c>
      <c r="C3538" s="108" t="s">
        <v>863</v>
      </c>
      <c r="D3538" s="100" t="str">
        <f t="shared" si="1"/>
        <v/>
      </c>
      <c r="E3538" s="100" t="str">
        <f t="shared" si="2"/>
        <v/>
      </c>
      <c r="F3538" s="100" t="str">
        <f t="shared" si="3"/>
        <v/>
      </c>
      <c r="G3538" s="151"/>
      <c r="H3538" s="160"/>
      <c r="I3538" s="157"/>
      <c r="J3538" s="158"/>
      <c r="L3538" s="94"/>
      <c r="M3538" s="159"/>
      <c r="N3538" s="94"/>
    </row>
    <row r="3539">
      <c r="A3539" s="107">
        <v>1626196.0</v>
      </c>
      <c r="B3539" s="108" t="s">
        <v>192</v>
      </c>
      <c r="C3539" s="108" t="s">
        <v>863</v>
      </c>
      <c r="D3539" s="100" t="str">
        <f t="shared" si="1"/>
        <v/>
      </c>
      <c r="E3539" s="100" t="str">
        <f t="shared" si="2"/>
        <v/>
      </c>
      <c r="F3539" s="100" t="str">
        <f t="shared" si="3"/>
        <v/>
      </c>
      <c r="G3539" s="151"/>
      <c r="H3539" s="156"/>
      <c r="I3539" s="157"/>
      <c r="J3539" s="161"/>
      <c r="L3539" s="94"/>
      <c r="M3539" s="159"/>
      <c r="N3539" s="94"/>
    </row>
    <row r="3540">
      <c r="A3540" s="107">
        <v>1626196.0</v>
      </c>
      <c r="B3540" s="108" t="s">
        <v>193</v>
      </c>
      <c r="C3540" s="108" t="s">
        <v>863</v>
      </c>
      <c r="D3540" s="100" t="str">
        <f t="shared" si="1"/>
        <v/>
      </c>
      <c r="E3540" s="100" t="str">
        <f t="shared" si="2"/>
        <v/>
      </c>
      <c r="F3540" s="100" t="str">
        <f t="shared" si="3"/>
        <v/>
      </c>
      <c r="G3540" s="151"/>
      <c r="H3540" s="160"/>
      <c r="I3540" s="157"/>
      <c r="J3540" s="158"/>
      <c r="L3540" s="94"/>
      <c r="M3540" s="159"/>
      <c r="N3540" s="94"/>
    </row>
    <row r="3541">
      <c r="A3541" s="107">
        <v>1626196.0</v>
      </c>
      <c r="B3541" s="108" t="s">
        <v>243</v>
      </c>
      <c r="C3541" s="108" t="s">
        <v>863</v>
      </c>
      <c r="D3541" s="100" t="str">
        <f t="shared" si="1"/>
        <v/>
      </c>
      <c r="E3541" s="100" t="str">
        <f t="shared" si="2"/>
        <v/>
      </c>
      <c r="F3541" s="100" t="str">
        <f t="shared" si="3"/>
        <v/>
      </c>
      <c r="G3541" s="151"/>
      <c r="H3541" s="156"/>
      <c r="I3541" s="157"/>
      <c r="J3541" s="161"/>
      <c r="L3541" s="94"/>
      <c r="M3541" s="159"/>
      <c r="N3541" s="94"/>
    </row>
    <row r="3542">
      <c r="A3542" s="107">
        <v>1626196.0</v>
      </c>
      <c r="B3542" s="108" t="s">
        <v>215</v>
      </c>
      <c r="C3542" s="108" t="s">
        <v>863</v>
      </c>
      <c r="D3542" s="100" t="str">
        <f t="shared" si="1"/>
        <v/>
      </c>
      <c r="E3542" s="100" t="str">
        <f t="shared" si="2"/>
        <v/>
      </c>
      <c r="F3542" s="100" t="str">
        <f t="shared" si="3"/>
        <v/>
      </c>
      <c r="G3542" s="151"/>
      <c r="H3542" s="160"/>
      <c r="I3542" s="157"/>
      <c r="J3542" s="158"/>
      <c r="L3542" s="94"/>
      <c r="M3542" s="159"/>
      <c r="N3542" s="94"/>
    </row>
    <row r="3543">
      <c r="A3543" s="107">
        <v>1626196.0</v>
      </c>
      <c r="B3543" s="108" t="s">
        <v>244</v>
      </c>
      <c r="C3543" s="108" t="s">
        <v>863</v>
      </c>
      <c r="D3543" s="100" t="str">
        <f t="shared" si="1"/>
        <v/>
      </c>
      <c r="E3543" s="100" t="str">
        <f t="shared" si="2"/>
        <v/>
      </c>
      <c r="F3543" s="100" t="str">
        <f t="shared" si="3"/>
        <v/>
      </c>
      <c r="G3543" s="151"/>
      <c r="H3543" s="156"/>
      <c r="I3543" s="157"/>
      <c r="J3543" s="161"/>
      <c r="L3543" s="94"/>
      <c r="M3543" s="159"/>
      <c r="N3543" s="94"/>
    </row>
    <row r="3544">
      <c r="A3544" s="107">
        <v>1626196.0</v>
      </c>
      <c r="B3544" s="108" t="s">
        <v>245</v>
      </c>
      <c r="C3544" s="108" t="s">
        <v>863</v>
      </c>
      <c r="D3544" s="100" t="str">
        <f t="shared" si="1"/>
        <v/>
      </c>
      <c r="E3544" s="100" t="str">
        <f t="shared" si="2"/>
        <v/>
      </c>
      <c r="F3544" s="100" t="str">
        <f t="shared" si="3"/>
        <v/>
      </c>
      <c r="G3544" s="151"/>
      <c r="H3544" s="160"/>
      <c r="I3544" s="157"/>
      <c r="J3544" s="158"/>
      <c r="L3544" s="94"/>
      <c r="M3544" s="159"/>
      <c r="N3544" s="94"/>
    </row>
    <row r="3545">
      <c r="A3545" s="107">
        <v>1626196.0</v>
      </c>
      <c r="B3545" s="108" t="s">
        <v>246</v>
      </c>
      <c r="C3545" s="108" t="s">
        <v>863</v>
      </c>
      <c r="D3545" s="100" t="str">
        <f t="shared" si="1"/>
        <v/>
      </c>
      <c r="E3545" s="100" t="str">
        <f t="shared" si="2"/>
        <v/>
      </c>
      <c r="F3545" s="100" t="str">
        <f t="shared" si="3"/>
        <v/>
      </c>
      <c r="G3545" s="151"/>
      <c r="H3545" s="156"/>
      <c r="I3545" s="157"/>
      <c r="J3545" s="161"/>
      <c r="L3545" s="94"/>
      <c r="M3545" s="159"/>
      <c r="N3545" s="94"/>
    </row>
    <row r="3546">
      <c r="A3546" s="107">
        <v>1626199.0</v>
      </c>
      <c r="B3546" s="108" t="s">
        <v>92</v>
      </c>
      <c r="C3546" s="108" t="s">
        <v>864</v>
      </c>
      <c r="D3546" s="100" t="str">
        <f t="shared" si="1"/>
        <v/>
      </c>
      <c r="E3546" s="100" t="str">
        <f t="shared" si="2"/>
        <v/>
      </c>
      <c r="F3546" s="100" t="str">
        <f t="shared" si="3"/>
        <v/>
      </c>
      <c r="G3546" s="151"/>
      <c r="H3546" s="160"/>
      <c r="I3546" s="157"/>
      <c r="J3546" s="158"/>
      <c r="L3546" s="94"/>
      <c r="M3546" s="159"/>
      <c r="N3546" s="94"/>
    </row>
    <row r="3547">
      <c r="A3547" s="107">
        <v>1626199.0</v>
      </c>
      <c r="B3547" s="108" t="s">
        <v>190</v>
      </c>
      <c r="C3547" s="108" t="s">
        <v>864</v>
      </c>
      <c r="D3547" s="100" t="str">
        <f t="shared" si="1"/>
        <v/>
      </c>
      <c r="E3547" s="100" t="str">
        <f t="shared" si="2"/>
        <v/>
      </c>
      <c r="F3547" s="100" t="str">
        <f t="shared" si="3"/>
        <v/>
      </c>
      <c r="G3547" s="151"/>
      <c r="H3547" s="156"/>
      <c r="I3547" s="157"/>
      <c r="J3547" s="161"/>
      <c r="L3547" s="94"/>
      <c r="M3547" s="159"/>
      <c r="N3547" s="94"/>
    </row>
    <row r="3548">
      <c r="A3548" s="107">
        <v>1626199.0</v>
      </c>
      <c r="B3548" s="108" t="s">
        <v>191</v>
      </c>
      <c r="C3548" s="108" t="s">
        <v>864</v>
      </c>
      <c r="D3548" s="100" t="str">
        <f t="shared" si="1"/>
        <v/>
      </c>
      <c r="E3548" s="100" t="str">
        <f t="shared" si="2"/>
        <v/>
      </c>
      <c r="F3548" s="100" t="str">
        <f t="shared" si="3"/>
        <v/>
      </c>
      <c r="G3548" s="151"/>
      <c r="H3548" s="160"/>
      <c r="I3548" s="157"/>
      <c r="J3548" s="158"/>
      <c r="L3548" s="94"/>
      <c r="M3548" s="159"/>
      <c r="N3548" s="94"/>
    </row>
    <row r="3549">
      <c r="A3549" s="107">
        <v>1626202.0</v>
      </c>
      <c r="B3549" s="108" t="s">
        <v>92</v>
      </c>
      <c r="C3549" s="108" t="s">
        <v>865</v>
      </c>
      <c r="D3549" s="100" t="str">
        <f t="shared" si="1"/>
        <v/>
      </c>
      <c r="E3549" s="100" t="str">
        <f t="shared" si="2"/>
        <v/>
      </c>
      <c r="F3549" s="100" t="str">
        <f t="shared" si="3"/>
        <v/>
      </c>
      <c r="G3549" s="151"/>
      <c r="H3549" s="156"/>
      <c r="I3549" s="157"/>
      <c r="J3549" s="161"/>
      <c r="L3549" s="94"/>
      <c r="M3549" s="159"/>
      <c r="N3549" s="94"/>
    </row>
    <row r="3550">
      <c r="A3550" s="107">
        <v>1626202.0</v>
      </c>
      <c r="B3550" s="108" t="s">
        <v>190</v>
      </c>
      <c r="C3550" s="108" t="s">
        <v>865</v>
      </c>
      <c r="D3550" s="100" t="str">
        <f t="shared" si="1"/>
        <v/>
      </c>
      <c r="E3550" s="100" t="str">
        <f t="shared" si="2"/>
        <v/>
      </c>
      <c r="F3550" s="100" t="str">
        <f t="shared" si="3"/>
        <v/>
      </c>
      <c r="G3550" s="151"/>
      <c r="H3550" s="160"/>
      <c r="I3550" s="157"/>
      <c r="J3550" s="158"/>
      <c r="L3550" s="94"/>
      <c r="M3550" s="159"/>
      <c r="N3550" s="94"/>
    </row>
    <row r="3551">
      <c r="A3551" s="107">
        <v>1626202.0</v>
      </c>
      <c r="B3551" s="108" t="s">
        <v>191</v>
      </c>
      <c r="C3551" s="108" t="s">
        <v>865</v>
      </c>
      <c r="D3551" s="100" t="str">
        <f t="shared" si="1"/>
        <v/>
      </c>
      <c r="E3551" s="100" t="str">
        <f t="shared" si="2"/>
        <v/>
      </c>
      <c r="F3551" s="100" t="str">
        <f t="shared" si="3"/>
        <v/>
      </c>
      <c r="G3551" s="151"/>
      <c r="H3551" s="156"/>
      <c r="I3551" s="157"/>
      <c r="J3551" s="161"/>
      <c r="L3551" s="94"/>
      <c r="M3551" s="159"/>
      <c r="N3551" s="94"/>
    </row>
    <row r="3552">
      <c r="A3552" s="107">
        <v>1626203.0</v>
      </c>
      <c r="B3552" s="108" t="s">
        <v>190</v>
      </c>
      <c r="C3552" s="108" t="s">
        <v>866</v>
      </c>
      <c r="D3552" s="100" t="str">
        <f t="shared" si="1"/>
        <v/>
      </c>
      <c r="E3552" s="100" t="str">
        <f t="shared" si="2"/>
        <v/>
      </c>
      <c r="F3552" s="100" t="str">
        <f t="shared" si="3"/>
        <v/>
      </c>
      <c r="G3552" s="151"/>
      <c r="H3552" s="160"/>
      <c r="I3552" s="157"/>
      <c r="J3552" s="158"/>
      <c r="L3552" s="94"/>
      <c r="M3552" s="159"/>
      <c r="N3552" s="94"/>
    </row>
    <row r="3553">
      <c r="A3553" s="107">
        <v>1626203.0</v>
      </c>
      <c r="B3553" s="108" t="s">
        <v>191</v>
      </c>
      <c r="C3553" s="108" t="s">
        <v>866</v>
      </c>
      <c r="D3553" s="100" t="str">
        <f t="shared" si="1"/>
        <v/>
      </c>
      <c r="E3553" s="100" t="str">
        <f t="shared" si="2"/>
        <v/>
      </c>
      <c r="F3553" s="100" t="str">
        <f t="shared" si="3"/>
        <v/>
      </c>
      <c r="G3553" s="151"/>
      <c r="H3553" s="156"/>
      <c r="I3553" s="157"/>
      <c r="J3553" s="161"/>
      <c r="L3553" s="94"/>
      <c r="M3553" s="159"/>
      <c r="N3553" s="94"/>
    </row>
    <row r="3554">
      <c r="A3554" s="107">
        <v>1626203.0</v>
      </c>
      <c r="B3554" s="108" t="s">
        <v>192</v>
      </c>
      <c r="C3554" s="108" t="s">
        <v>866</v>
      </c>
      <c r="D3554" s="100" t="str">
        <f t="shared" si="1"/>
        <v/>
      </c>
      <c r="E3554" s="100" t="str">
        <f t="shared" si="2"/>
        <v/>
      </c>
      <c r="F3554" s="100" t="str">
        <f t="shared" si="3"/>
        <v/>
      </c>
      <c r="G3554" s="151"/>
      <c r="H3554" s="160"/>
      <c r="I3554" s="157"/>
      <c r="J3554" s="158"/>
      <c r="L3554" s="94"/>
      <c r="M3554" s="159"/>
      <c r="N3554" s="94"/>
    </row>
    <row r="3555">
      <c r="A3555" s="107">
        <v>1626203.0</v>
      </c>
      <c r="B3555" s="108" t="s">
        <v>193</v>
      </c>
      <c r="C3555" s="108" t="s">
        <v>866</v>
      </c>
      <c r="D3555" s="100" t="str">
        <f t="shared" si="1"/>
        <v/>
      </c>
      <c r="E3555" s="100" t="str">
        <f t="shared" si="2"/>
        <v/>
      </c>
      <c r="F3555" s="100" t="str">
        <f t="shared" si="3"/>
        <v/>
      </c>
      <c r="G3555" s="151"/>
      <c r="H3555" s="156"/>
      <c r="I3555" s="157"/>
      <c r="J3555" s="161"/>
      <c r="L3555" s="94"/>
      <c r="M3555" s="159"/>
      <c r="N3555" s="94"/>
    </row>
    <row r="3556">
      <c r="A3556" s="107">
        <v>1626204.0</v>
      </c>
      <c r="B3556" s="108" t="s">
        <v>92</v>
      </c>
      <c r="C3556" s="108" t="s">
        <v>867</v>
      </c>
      <c r="D3556" s="100" t="str">
        <f t="shared" si="1"/>
        <v/>
      </c>
      <c r="E3556" s="100" t="str">
        <f t="shared" si="2"/>
        <v/>
      </c>
      <c r="F3556" s="100" t="str">
        <f t="shared" si="3"/>
        <v/>
      </c>
      <c r="G3556" s="151"/>
      <c r="H3556" s="160"/>
      <c r="I3556" s="157"/>
      <c r="J3556" s="158"/>
      <c r="L3556" s="94"/>
      <c r="M3556" s="159"/>
      <c r="N3556" s="94"/>
    </row>
    <row r="3557">
      <c r="A3557" s="107">
        <v>1626204.0</v>
      </c>
      <c r="B3557" s="108" t="s">
        <v>190</v>
      </c>
      <c r="C3557" s="108" t="s">
        <v>867</v>
      </c>
      <c r="D3557" s="100" t="str">
        <f t="shared" si="1"/>
        <v/>
      </c>
      <c r="E3557" s="100" t="str">
        <f t="shared" si="2"/>
        <v/>
      </c>
      <c r="F3557" s="100" t="str">
        <f t="shared" si="3"/>
        <v/>
      </c>
      <c r="G3557" s="151"/>
      <c r="H3557" s="156"/>
      <c r="I3557" s="157"/>
      <c r="J3557" s="161"/>
      <c r="L3557" s="94"/>
      <c r="M3557" s="159"/>
      <c r="N3557" s="94"/>
    </row>
    <row r="3558">
      <c r="A3558" s="107">
        <v>1626204.0</v>
      </c>
      <c r="B3558" s="108" t="s">
        <v>191</v>
      </c>
      <c r="C3558" s="108" t="s">
        <v>867</v>
      </c>
      <c r="D3558" s="100" t="str">
        <f t="shared" si="1"/>
        <v/>
      </c>
      <c r="E3558" s="100" t="str">
        <f t="shared" si="2"/>
        <v/>
      </c>
      <c r="F3558" s="100" t="str">
        <f t="shared" si="3"/>
        <v/>
      </c>
      <c r="G3558" s="151"/>
      <c r="H3558" s="160"/>
      <c r="I3558" s="157"/>
      <c r="J3558" s="158"/>
      <c r="L3558" s="94"/>
      <c r="M3558" s="159"/>
      <c r="N3558" s="94"/>
    </row>
    <row r="3559">
      <c r="A3559" s="107">
        <v>1626204.0</v>
      </c>
      <c r="B3559" s="108" t="s">
        <v>192</v>
      </c>
      <c r="C3559" s="108" t="s">
        <v>867</v>
      </c>
      <c r="D3559" s="100" t="str">
        <f t="shared" si="1"/>
        <v/>
      </c>
      <c r="E3559" s="100" t="str">
        <f t="shared" si="2"/>
        <v/>
      </c>
      <c r="F3559" s="100" t="str">
        <f t="shared" si="3"/>
        <v/>
      </c>
      <c r="G3559" s="151"/>
      <c r="H3559" s="156"/>
      <c r="I3559" s="157"/>
      <c r="J3559" s="161"/>
      <c r="L3559" s="94"/>
      <c r="M3559" s="159"/>
      <c r="N3559" s="94"/>
    </row>
    <row r="3560">
      <c r="A3560" s="107">
        <v>1626204.0</v>
      </c>
      <c r="B3560" s="108" t="s">
        <v>193</v>
      </c>
      <c r="C3560" s="108" t="s">
        <v>867</v>
      </c>
      <c r="D3560" s="100" t="str">
        <f t="shared" si="1"/>
        <v/>
      </c>
      <c r="E3560" s="100" t="str">
        <f t="shared" si="2"/>
        <v/>
      </c>
      <c r="F3560" s="100" t="str">
        <f t="shared" si="3"/>
        <v/>
      </c>
      <c r="G3560" s="151"/>
      <c r="H3560" s="160"/>
      <c r="I3560" s="157"/>
      <c r="J3560" s="158"/>
      <c r="L3560" s="94"/>
      <c r="M3560" s="159"/>
      <c r="N3560" s="94"/>
    </row>
    <row r="3561">
      <c r="A3561" s="107">
        <v>1626204.0</v>
      </c>
      <c r="B3561" s="108" t="s">
        <v>243</v>
      </c>
      <c r="C3561" s="108" t="s">
        <v>867</v>
      </c>
      <c r="D3561" s="100" t="str">
        <f t="shared" si="1"/>
        <v/>
      </c>
      <c r="E3561" s="100" t="str">
        <f t="shared" si="2"/>
        <v/>
      </c>
      <c r="F3561" s="100" t="str">
        <f t="shared" si="3"/>
        <v/>
      </c>
      <c r="G3561" s="151"/>
      <c r="H3561" s="156"/>
      <c r="I3561" s="157"/>
      <c r="J3561" s="161"/>
      <c r="L3561" s="94"/>
      <c r="M3561" s="159"/>
      <c r="N3561" s="94"/>
    </row>
    <row r="3562">
      <c r="A3562" s="107">
        <v>1626204.0</v>
      </c>
      <c r="B3562" s="108" t="s">
        <v>215</v>
      </c>
      <c r="C3562" s="108" t="s">
        <v>867</v>
      </c>
      <c r="D3562" s="100" t="str">
        <f t="shared" si="1"/>
        <v/>
      </c>
      <c r="E3562" s="100" t="str">
        <f t="shared" si="2"/>
        <v/>
      </c>
      <c r="F3562" s="100" t="str">
        <f t="shared" si="3"/>
        <v/>
      </c>
      <c r="G3562" s="151"/>
      <c r="H3562" s="160"/>
      <c r="I3562" s="157"/>
      <c r="J3562" s="158"/>
      <c r="L3562" s="94"/>
      <c r="M3562" s="159"/>
      <c r="N3562" s="94"/>
    </row>
    <row r="3563">
      <c r="A3563" s="107">
        <v>1626204.0</v>
      </c>
      <c r="B3563" s="108" t="s">
        <v>244</v>
      </c>
      <c r="C3563" s="108" t="s">
        <v>867</v>
      </c>
      <c r="D3563" s="100" t="str">
        <f t="shared" si="1"/>
        <v/>
      </c>
      <c r="E3563" s="100" t="str">
        <f t="shared" si="2"/>
        <v/>
      </c>
      <c r="F3563" s="100" t="str">
        <f t="shared" si="3"/>
        <v/>
      </c>
      <c r="G3563" s="151"/>
      <c r="H3563" s="156"/>
      <c r="I3563" s="157"/>
      <c r="J3563" s="161"/>
      <c r="L3563" s="94"/>
      <c r="M3563" s="159"/>
      <c r="N3563" s="94"/>
    </row>
    <row r="3564">
      <c r="A3564" s="107">
        <v>1626204.0</v>
      </c>
      <c r="B3564" s="108" t="s">
        <v>245</v>
      </c>
      <c r="C3564" s="108" t="s">
        <v>867</v>
      </c>
      <c r="D3564" s="100" t="str">
        <f t="shared" si="1"/>
        <v/>
      </c>
      <c r="E3564" s="100" t="str">
        <f t="shared" si="2"/>
        <v/>
      </c>
      <c r="F3564" s="100" t="str">
        <f t="shared" si="3"/>
        <v/>
      </c>
      <c r="G3564" s="151"/>
      <c r="H3564" s="160"/>
      <c r="I3564" s="157"/>
      <c r="J3564" s="158"/>
      <c r="L3564" s="94"/>
      <c r="M3564" s="159"/>
      <c r="N3564" s="94"/>
    </row>
    <row r="3565">
      <c r="A3565" s="107">
        <v>1626204.0</v>
      </c>
      <c r="B3565" s="108" t="s">
        <v>246</v>
      </c>
      <c r="C3565" s="108" t="s">
        <v>867</v>
      </c>
      <c r="D3565" s="100" t="str">
        <f t="shared" si="1"/>
        <v/>
      </c>
      <c r="E3565" s="100" t="str">
        <f t="shared" si="2"/>
        <v/>
      </c>
      <c r="F3565" s="100" t="str">
        <f t="shared" si="3"/>
        <v/>
      </c>
      <c r="G3565" s="151"/>
      <c r="H3565" s="156"/>
      <c r="I3565" s="157"/>
      <c r="J3565" s="161"/>
      <c r="L3565" s="94"/>
      <c r="M3565" s="159"/>
      <c r="N3565" s="94"/>
    </row>
    <row r="3566">
      <c r="A3566" s="149">
        <v>1626204.0</v>
      </c>
      <c r="B3566" s="115" t="s">
        <v>247</v>
      </c>
      <c r="C3566" s="108" t="s">
        <v>867</v>
      </c>
      <c r="D3566" s="100" t="str">
        <f t="shared" si="1"/>
        <v/>
      </c>
      <c r="E3566" s="100" t="str">
        <f t="shared" si="2"/>
        <v/>
      </c>
      <c r="F3566" s="100" t="str">
        <f t="shared" si="3"/>
        <v/>
      </c>
      <c r="G3566" s="151"/>
      <c r="H3566" s="160"/>
      <c r="I3566" s="157"/>
      <c r="J3566" s="158"/>
      <c r="L3566" s="94"/>
      <c r="M3566" s="159"/>
      <c r="N3566" s="94"/>
    </row>
    <row r="3567">
      <c r="A3567" s="21">
        <v>1626205.0</v>
      </c>
      <c r="B3567" s="164" t="s">
        <v>191</v>
      </c>
      <c r="C3567" s="164" t="s">
        <v>868</v>
      </c>
      <c r="D3567" s="100" t="str">
        <f t="shared" si="1"/>
        <v/>
      </c>
      <c r="E3567" s="100" t="str">
        <f t="shared" si="2"/>
        <v/>
      </c>
      <c r="F3567" s="100" t="str">
        <f t="shared" si="3"/>
        <v/>
      </c>
      <c r="G3567" s="151"/>
      <c r="H3567" s="156"/>
      <c r="I3567" s="157"/>
      <c r="J3567" s="161"/>
      <c r="L3567" s="94"/>
      <c r="M3567" s="159"/>
      <c r="N3567" s="94"/>
    </row>
    <row r="3568">
      <c r="A3568" s="107">
        <v>1626208.0</v>
      </c>
      <c r="B3568" s="108" t="s">
        <v>215</v>
      </c>
      <c r="C3568" s="108" t="s">
        <v>869</v>
      </c>
      <c r="D3568" s="100" t="str">
        <f t="shared" si="1"/>
        <v/>
      </c>
      <c r="E3568" s="100" t="str">
        <f t="shared" si="2"/>
        <v/>
      </c>
      <c r="F3568" s="100" t="str">
        <f t="shared" si="3"/>
        <v/>
      </c>
      <c r="G3568" s="151"/>
      <c r="H3568" s="160"/>
      <c r="I3568" s="157"/>
      <c r="J3568" s="158"/>
      <c r="L3568" s="94"/>
      <c r="M3568" s="159"/>
      <c r="N3568" s="94"/>
    </row>
    <row r="3569">
      <c r="A3569" s="107">
        <v>1626209.0</v>
      </c>
      <c r="B3569" s="108" t="s">
        <v>92</v>
      </c>
      <c r="C3569" s="108" t="s">
        <v>870</v>
      </c>
      <c r="D3569" s="100" t="str">
        <f t="shared" si="1"/>
        <v/>
      </c>
      <c r="E3569" s="100" t="str">
        <f t="shared" si="2"/>
        <v/>
      </c>
      <c r="F3569" s="100" t="str">
        <f t="shared" si="3"/>
        <v/>
      </c>
      <c r="G3569" s="151"/>
      <c r="H3569" s="156"/>
      <c r="I3569" s="157"/>
      <c r="J3569" s="161"/>
      <c r="L3569" s="94"/>
      <c r="M3569" s="159"/>
      <c r="N3569" s="94"/>
    </row>
    <row r="3570">
      <c r="A3570" s="107">
        <v>1626209.0</v>
      </c>
      <c r="B3570" s="108" t="s">
        <v>190</v>
      </c>
      <c r="C3570" s="108" t="s">
        <v>870</v>
      </c>
      <c r="D3570" s="100" t="str">
        <f t="shared" si="1"/>
        <v/>
      </c>
      <c r="E3570" s="100" t="str">
        <f t="shared" si="2"/>
        <v/>
      </c>
      <c r="F3570" s="100" t="str">
        <f t="shared" si="3"/>
        <v/>
      </c>
      <c r="G3570" s="151"/>
      <c r="H3570" s="160"/>
      <c r="I3570" s="157"/>
      <c r="J3570" s="158"/>
      <c r="L3570" s="94"/>
      <c r="M3570" s="159"/>
      <c r="N3570" s="94"/>
    </row>
    <row r="3571">
      <c r="A3571" s="107">
        <v>1626209.0</v>
      </c>
      <c r="B3571" s="108" t="s">
        <v>191</v>
      </c>
      <c r="C3571" s="108" t="s">
        <v>870</v>
      </c>
      <c r="D3571" s="100" t="str">
        <f t="shared" si="1"/>
        <v/>
      </c>
      <c r="E3571" s="100" t="str">
        <f t="shared" si="2"/>
        <v/>
      </c>
      <c r="F3571" s="100" t="str">
        <f t="shared" si="3"/>
        <v/>
      </c>
      <c r="G3571" s="151"/>
      <c r="H3571" s="156"/>
      <c r="I3571" s="157"/>
      <c r="J3571" s="161"/>
      <c r="L3571" s="94"/>
      <c r="M3571" s="159"/>
      <c r="N3571" s="94"/>
    </row>
    <row r="3572">
      <c r="A3572" s="107">
        <v>1626209.0</v>
      </c>
      <c r="B3572" s="108" t="s">
        <v>192</v>
      </c>
      <c r="C3572" s="108" t="s">
        <v>870</v>
      </c>
      <c r="D3572" s="100" t="str">
        <f t="shared" si="1"/>
        <v/>
      </c>
      <c r="E3572" s="100" t="str">
        <f t="shared" si="2"/>
        <v/>
      </c>
      <c r="F3572" s="100" t="str">
        <f t="shared" si="3"/>
        <v/>
      </c>
      <c r="G3572" s="151"/>
      <c r="H3572" s="160"/>
      <c r="I3572" s="157"/>
      <c r="J3572" s="158"/>
      <c r="L3572" s="94"/>
      <c r="M3572" s="159"/>
      <c r="N3572" s="94"/>
    </row>
    <row r="3573">
      <c r="A3573" s="107">
        <v>1626209.0</v>
      </c>
      <c r="B3573" s="108" t="s">
        <v>193</v>
      </c>
      <c r="C3573" s="108" t="s">
        <v>870</v>
      </c>
      <c r="D3573" s="100" t="str">
        <f t="shared" si="1"/>
        <v/>
      </c>
      <c r="E3573" s="100" t="str">
        <f t="shared" si="2"/>
        <v/>
      </c>
      <c r="F3573" s="100" t="str">
        <f t="shared" si="3"/>
        <v/>
      </c>
      <c r="G3573" s="151"/>
      <c r="H3573" s="156"/>
      <c r="I3573" s="157"/>
      <c r="J3573" s="161"/>
      <c r="L3573" s="94"/>
      <c r="M3573" s="159"/>
      <c r="N3573" s="94"/>
    </row>
    <row r="3574">
      <c r="A3574" s="107">
        <v>1626210.0</v>
      </c>
      <c r="B3574" s="108" t="s">
        <v>92</v>
      </c>
      <c r="C3574" s="108" t="s">
        <v>871</v>
      </c>
      <c r="D3574" s="100" t="str">
        <f t="shared" si="1"/>
        <v/>
      </c>
      <c r="E3574" s="100" t="str">
        <f t="shared" si="2"/>
        <v/>
      </c>
      <c r="F3574" s="100" t="str">
        <f t="shared" si="3"/>
        <v/>
      </c>
      <c r="G3574" s="151"/>
      <c r="H3574" s="160"/>
      <c r="I3574" s="157"/>
      <c r="J3574" s="158"/>
      <c r="L3574" s="94"/>
      <c r="M3574" s="159"/>
      <c r="N3574" s="94"/>
    </row>
    <row r="3575">
      <c r="A3575" s="107">
        <v>1626210.0</v>
      </c>
      <c r="B3575" s="108" t="s">
        <v>190</v>
      </c>
      <c r="C3575" s="108" t="s">
        <v>871</v>
      </c>
      <c r="D3575" s="100" t="str">
        <f t="shared" si="1"/>
        <v/>
      </c>
      <c r="E3575" s="100" t="str">
        <f t="shared" si="2"/>
        <v/>
      </c>
      <c r="F3575" s="100" t="str">
        <f t="shared" si="3"/>
        <v/>
      </c>
      <c r="G3575" s="151"/>
      <c r="H3575" s="156"/>
      <c r="I3575" s="157"/>
      <c r="J3575" s="161"/>
      <c r="L3575" s="94"/>
      <c r="M3575" s="159"/>
      <c r="N3575" s="94"/>
    </row>
    <row r="3576">
      <c r="A3576" s="107">
        <v>1626210.0</v>
      </c>
      <c r="B3576" s="108" t="s">
        <v>191</v>
      </c>
      <c r="C3576" s="108" t="s">
        <v>871</v>
      </c>
      <c r="D3576" s="100" t="str">
        <f t="shared" si="1"/>
        <v/>
      </c>
      <c r="E3576" s="100" t="str">
        <f t="shared" si="2"/>
        <v/>
      </c>
      <c r="F3576" s="100" t="str">
        <f t="shared" si="3"/>
        <v/>
      </c>
      <c r="G3576" s="151"/>
      <c r="H3576" s="160"/>
      <c r="I3576" s="157"/>
      <c r="J3576" s="158"/>
      <c r="L3576" s="94"/>
      <c r="M3576" s="159"/>
      <c r="N3576" s="94"/>
    </row>
    <row r="3577">
      <c r="A3577" s="107">
        <v>1626210.0</v>
      </c>
      <c r="B3577" s="108" t="s">
        <v>192</v>
      </c>
      <c r="C3577" s="108" t="s">
        <v>871</v>
      </c>
      <c r="D3577" s="100" t="str">
        <f t="shared" si="1"/>
        <v/>
      </c>
      <c r="E3577" s="100" t="str">
        <f t="shared" si="2"/>
        <v/>
      </c>
      <c r="F3577" s="100" t="str">
        <f t="shared" si="3"/>
        <v/>
      </c>
      <c r="G3577" s="151"/>
      <c r="H3577" s="156"/>
      <c r="I3577" s="157"/>
      <c r="J3577" s="161"/>
      <c r="L3577" s="94"/>
      <c r="M3577" s="159"/>
      <c r="N3577" s="94"/>
    </row>
    <row r="3578">
      <c r="A3578" s="107">
        <v>1626214.0</v>
      </c>
      <c r="B3578" s="108" t="s">
        <v>92</v>
      </c>
      <c r="C3578" s="108" t="s">
        <v>872</v>
      </c>
      <c r="D3578" s="100" t="str">
        <f t="shared" si="1"/>
        <v/>
      </c>
      <c r="E3578" s="100" t="str">
        <f t="shared" si="2"/>
        <v/>
      </c>
      <c r="F3578" s="100" t="str">
        <f t="shared" si="3"/>
        <v/>
      </c>
      <c r="G3578" s="151"/>
      <c r="H3578" s="160"/>
      <c r="I3578" s="157"/>
      <c r="J3578" s="158"/>
      <c r="L3578" s="94"/>
      <c r="M3578" s="159"/>
      <c r="N3578" s="94"/>
    </row>
    <row r="3579">
      <c r="A3579" s="107">
        <v>1626220.0</v>
      </c>
      <c r="B3579" s="108" t="s">
        <v>191</v>
      </c>
      <c r="C3579" s="108" t="s">
        <v>873</v>
      </c>
      <c r="D3579" s="100" t="str">
        <f t="shared" si="1"/>
        <v/>
      </c>
      <c r="E3579" s="100" t="str">
        <f t="shared" si="2"/>
        <v/>
      </c>
      <c r="F3579" s="100" t="str">
        <f t="shared" si="3"/>
        <v/>
      </c>
      <c r="G3579" s="151"/>
      <c r="H3579" s="156"/>
      <c r="I3579" s="157"/>
      <c r="J3579" s="161"/>
      <c r="L3579" s="94"/>
      <c r="M3579" s="159"/>
      <c r="N3579" s="94"/>
    </row>
    <row r="3580">
      <c r="A3580" s="107">
        <v>1626220.0</v>
      </c>
      <c r="B3580" s="108" t="s">
        <v>192</v>
      </c>
      <c r="C3580" s="108" t="s">
        <v>873</v>
      </c>
      <c r="D3580" s="100" t="str">
        <f t="shared" si="1"/>
        <v/>
      </c>
      <c r="E3580" s="100" t="str">
        <f t="shared" si="2"/>
        <v/>
      </c>
      <c r="F3580" s="100" t="str">
        <f t="shared" si="3"/>
        <v/>
      </c>
      <c r="G3580" s="151"/>
      <c r="H3580" s="160"/>
      <c r="I3580" s="157"/>
      <c r="J3580" s="158"/>
      <c r="L3580" s="94"/>
      <c r="M3580" s="159"/>
      <c r="N3580" s="94"/>
    </row>
    <row r="3581">
      <c r="A3581" s="107">
        <v>1626220.0</v>
      </c>
      <c r="B3581" s="108" t="s">
        <v>193</v>
      </c>
      <c r="C3581" s="108" t="s">
        <v>873</v>
      </c>
      <c r="D3581" s="100" t="str">
        <f t="shared" si="1"/>
        <v/>
      </c>
      <c r="E3581" s="100" t="str">
        <f t="shared" si="2"/>
        <v/>
      </c>
      <c r="F3581" s="100" t="str">
        <f t="shared" si="3"/>
        <v/>
      </c>
      <c r="G3581" s="151"/>
      <c r="H3581" s="156"/>
      <c r="I3581" s="157"/>
      <c r="J3581" s="161"/>
      <c r="L3581" s="94"/>
      <c r="M3581" s="159"/>
      <c r="N3581" s="94"/>
    </row>
    <row r="3582">
      <c r="A3582" s="107">
        <v>1626220.0</v>
      </c>
      <c r="B3582" s="108" t="s">
        <v>243</v>
      </c>
      <c r="C3582" s="108" t="s">
        <v>873</v>
      </c>
      <c r="D3582" s="100" t="str">
        <f t="shared" si="1"/>
        <v/>
      </c>
      <c r="E3582" s="100" t="str">
        <f t="shared" si="2"/>
        <v/>
      </c>
      <c r="F3582" s="100" t="str">
        <f t="shared" si="3"/>
        <v/>
      </c>
      <c r="G3582" s="151"/>
      <c r="H3582" s="160"/>
      <c r="I3582" s="157"/>
      <c r="J3582" s="158"/>
      <c r="L3582" s="94"/>
      <c r="M3582" s="159"/>
      <c r="N3582" s="94"/>
    </row>
    <row r="3583">
      <c r="A3583" s="107">
        <v>1626220.0</v>
      </c>
      <c r="B3583" s="108" t="s">
        <v>215</v>
      </c>
      <c r="C3583" s="108" t="s">
        <v>873</v>
      </c>
      <c r="D3583" s="100" t="str">
        <f t="shared" si="1"/>
        <v/>
      </c>
      <c r="E3583" s="100" t="str">
        <f t="shared" si="2"/>
        <v/>
      </c>
      <c r="F3583" s="100" t="str">
        <f t="shared" si="3"/>
        <v/>
      </c>
      <c r="G3583" s="151"/>
      <c r="H3583" s="156"/>
      <c r="I3583" s="157"/>
      <c r="J3583" s="161"/>
      <c r="L3583" s="94"/>
      <c r="M3583" s="159"/>
      <c r="N3583" s="94"/>
    </row>
    <row r="3584">
      <c r="A3584" s="107">
        <v>1626220.0</v>
      </c>
      <c r="B3584" s="108" t="s">
        <v>244</v>
      </c>
      <c r="C3584" s="108" t="s">
        <v>873</v>
      </c>
      <c r="D3584" s="100" t="str">
        <f t="shared" si="1"/>
        <v/>
      </c>
      <c r="E3584" s="100" t="str">
        <f t="shared" si="2"/>
        <v/>
      </c>
      <c r="F3584" s="100" t="str">
        <f t="shared" si="3"/>
        <v/>
      </c>
      <c r="G3584" s="151"/>
      <c r="H3584" s="160"/>
      <c r="I3584" s="157"/>
      <c r="J3584" s="158"/>
      <c r="L3584" s="94"/>
      <c r="M3584" s="159"/>
      <c r="N3584" s="94"/>
    </row>
    <row r="3585">
      <c r="A3585" s="107">
        <v>1626220.0</v>
      </c>
      <c r="B3585" s="108" t="s">
        <v>245</v>
      </c>
      <c r="C3585" s="108" t="s">
        <v>873</v>
      </c>
      <c r="D3585" s="100" t="str">
        <f t="shared" si="1"/>
        <v/>
      </c>
      <c r="E3585" s="100" t="str">
        <f t="shared" si="2"/>
        <v/>
      </c>
      <c r="F3585" s="100" t="str">
        <f t="shared" si="3"/>
        <v/>
      </c>
      <c r="G3585" s="151"/>
      <c r="H3585" s="156"/>
      <c r="I3585" s="157"/>
      <c r="J3585" s="161"/>
      <c r="L3585" s="94"/>
      <c r="M3585" s="159"/>
      <c r="N3585" s="94"/>
    </row>
    <row r="3586">
      <c r="A3586" s="107">
        <v>1626220.0</v>
      </c>
      <c r="B3586" s="108" t="s">
        <v>246</v>
      </c>
      <c r="C3586" s="108" t="s">
        <v>873</v>
      </c>
      <c r="D3586" s="100" t="str">
        <f t="shared" si="1"/>
        <v/>
      </c>
      <c r="E3586" s="100" t="str">
        <f t="shared" si="2"/>
        <v/>
      </c>
      <c r="F3586" s="100" t="str">
        <f t="shared" si="3"/>
        <v/>
      </c>
      <c r="G3586" s="151"/>
      <c r="H3586" s="160"/>
      <c r="I3586" s="157"/>
      <c r="J3586" s="158"/>
      <c r="L3586" s="94"/>
      <c r="M3586" s="159"/>
      <c r="N3586" s="94"/>
    </row>
    <row r="3587">
      <c r="A3587" s="149">
        <v>1626220.0</v>
      </c>
      <c r="B3587" s="115" t="s">
        <v>247</v>
      </c>
      <c r="C3587" s="108" t="s">
        <v>873</v>
      </c>
      <c r="D3587" s="100" t="str">
        <f t="shared" si="1"/>
        <v/>
      </c>
      <c r="E3587" s="100" t="str">
        <f t="shared" si="2"/>
        <v/>
      </c>
      <c r="F3587" s="100" t="str">
        <f t="shared" si="3"/>
        <v/>
      </c>
      <c r="G3587" s="151"/>
      <c r="H3587" s="156"/>
      <c r="I3587" s="157"/>
      <c r="J3587" s="161"/>
      <c r="L3587" s="94"/>
      <c r="M3587" s="159"/>
      <c r="N3587" s="94"/>
    </row>
    <row r="3588">
      <c r="A3588" s="21">
        <v>1626224.0</v>
      </c>
      <c r="B3588" s="164" t="s">
        <v>191</v>
      </c>
      <c r="C3588" s="164" t="s">
        <v>874</v>
      </c>
      <c r="D3588" s="100" t="str">
        <f t="shared" si="1"/>
        <v/>
      </c>
      <c r="E3588" s="100" t="str">
        <f t="shared" si="2"/>
        <v/>
      </c>
      <c r="F3588" s="100" t="str">
        <f t="shared" si="3"/>
        <v/>
      </c>
      <c r="G3588" s="151"/>
      <c r="H3588" s="160"/>
      <c r="I3588" s="157"/>
      <c r="J3588" s="158"/>
      <c r="L3588" s="94"/>
      <c r="M3588" s="159"/>
      <c r="N3588" s="94"/>
    </row>
    <row r="3589">
      <c r="A3589" s="107">
        <v>1626224.0</v>
      </c>
      <c r="B3589" s="108" t="s">
        <v>192</v>
      </c>
      <c r="C3589" s="108" t="s">
        <v>874</v>
      </c>
      <c r="D3589" s="100" t="str">
        <f t="shared" si="1"/>
        <v/>
      </c>
      <c r="E3589" s="100" t="str">
        <f t="shared" si="2"/>
        <v/>
      </c>
      <c r="F3589" s="100" t="str">
        <f t="shared" si="3"/>
        <v/>
      </c>
      <c r="G3589" s="151"/>
      <c r="H3589" s="156"/>
      <c r="I3589" s="157"/>
      <c r="J3589" s="161"/>
      <c r="L3589" s="94"/>
      <c r="M3589" s="159"/>
      <c r="N3589" s="94"/>
    </row>
    <row r="3590">
      <c r="A3590" s="107">
        <v>1626224.0</v>
      </c>
      <c r="B3590" s="108" t="s">
        <v>193</v>
      </c>
      <c r="C3590" s="108" t="s">
        <v>874</v>
      </c>
      <c r="D3590" s="100" t="str">
        <f t="shared" si="1"/>
        <v/>
      </c>
      <c r="E3590" s="100" t="str">
        <f t="shared" si="2"/>
        <v/>
      </c>
      <c r="F3590" s="100" t="str">
        <f t="shared" si="3"/>
        <v/>
      </c>
      <c r="G3590" s="151"/>
      <c r="H3590" s="160"/>
      <c r="I3590" s="157"/>
      <c r="J3590" s="158"/>
      <c r="L3590" s="94"/>
      <c r="M3590" s="159"/>
      <c r="N3590" s="94"/>
    </row>
    <row r="3591">
      <c r="A3591" s="107">
        <v>1626224.0</v>
      </c>
      <c r="B3591" s="108" t="s">
        <v>243</v>
      </c>
      <c r="C3591" s="108" t="s">
        <v>874</v>
      </c>
      <c r="D3591" s="100" t="str">
        <f t="shared" si="1"/>
        <v/>
      </c>
      <c r="E3591" s="100" t="str">
        <f t="shared" si="2"/>
        <v/>
      </c>
      <c r="F3591" s="100" t="str">
        <f t="shared" si="3"/>
        <v/>
      </c>
      <c r="G3591" s="151"/>
      <c r="H3591" s="156"/>
      <c r="I3591" s="157"/>
      <c r="J3591" s="161"/>
      <c r="L3591" s="94"/>
      <c r="M3591" s="159"/>
      <c r="N3591" s="94"/>
    </row>
    <row r="3592">
      <c r="A3592" s="107">
        <v>1626224.0</v>
      </c>
      <c r="B3592" s="108" t="s">
        <v>215</v>
      </c>
      <c r="C3592" s="108" t="s">
        <v>874</v>
      </c>
      <c r="D3592" s="100" t="str">
        <f t="shared" si="1"/>
        <v/>
      </c>
      <c r="E3592" s="100" t="str">
        <f t="shared" si="2"/>
        <v/>
      </c>
      <c r="F3592" s="100" t="str">
        <f t="shared" si="3"/>
        <v/>
      </c>
      <c r="G3592" s="151"/>
      <c r="H3592" s="160"/>
      <c r="I3592" s="157"/>
      <c r="J3592" s="158"/>
      <c r="L3592" s="94"/>
      <c r="M3592" s="159"/>
      <c r="N3592" s="94"/>
    </row>
    <row r="3593">
      <c r="A3593" s="107">
        <v>1626224.0</v>
      </c>
      <c r="B3593" s="108" t="s">
        <v>244</v>
      </c>
      <c r="C3593" s="108" t="s">
        <v>874</v>
      </c>
      <c r="D3593" s="100" t="str">
        <f t="shared" si="1"/>
        <v/>
      </c>
      <c r="E3593" s="100" t="str">
        <f t="shared" si="2"/>
        <v/>
      </c>
      <c r="F3593" s="100" t="str">
        <f t="shared" si="3"/>
        <v/>
      </c>
      <c r="G3593" s="151"/>
      <c r="H3593" s="156"/>
      <c r="I3593" s="157"/>
      <c r="J3593" s="161"/>
      <c r="L3593" s="94"/>
      <c r="M3593" s="159"/>
      <c r="N3593" s="94"/>
    </row>
    <row r="3594">
      <c r="A3594" s="107">
        <v>1626224.0</v>
      </c>
      <c r="B3594" s="108" t="s">
        <v>245</v>
      </c>
      <c r="C3594" s="108" t="s">
        <v>874</v>
      </c>
      <c r="D3594" s="100" t="str">
        <f t="shared" si="1"/>
        <v/>
      </c>
      <c r="E3594" s="100" t="str">
        <f t="shared" si="2"/>
        <v/>
      </c>
      <c r="F3594" s="100" t="str">
        <f t="shared" si="3"/>
        <v/>
      </c>
      <c r="G3594" s="151"/>
      <c r="H3594" s="160"/>
      <c r="I3594" s="157"/>
      <c r="J3594" s="158"/>
      <c r="L3594" s="94"/>
      <c r="M3594" s="159"/>
      <c r="N3594" s="94"/>
    </row>
    <row r="3595">
      <c r="A3595" s="107">
        <v>1626242.0</v>
      </c>
      <c r="B3595" s="108" t="s">
        <v>92</v>
      </c>
      <c r="C3595" s="108" t="s">
        <v>875</v>
      </c>
      <c r="D3595" s="100" t="str">
        <f t="shared" si="1"/>
        <v/>
      </c>
      <c r="E3595" s="100" t="str">
        <f t="shared" si="2"/>
        <v/>
      </c>
      <c r="F3595" s="100" t="str">
        <f t="shared" si="3"/>
        <v/>
      </c>
      <c r="G3595" s="151"/>
      <c r="H3595" s="156"/>
      <c r="I3595" s="157"/>
      <c r="J3595" s="161"/>
      <c r="L3595" s="94"/>
      <c r="M3595" s="159"/>
      <c r="N3595" s="94"/>
    </row>
    <row r="3596">
      <c r="A3596" s="107">
        <v>1626242.0</v>
      </c>
      <c r="B3596" s="108" t="s">
        <v>191</v>
      </c>
      <c r="C3596" s="108" t="s">
        <v>875</v>
      </c>
      <c r="D3596" s="100" t="str">
        <f t="shared" si="1"/>
        <v/>
      </c>
      <c r="E3596" s="100" t="str">
        <f t="shared" si="2"/>
        <v/>
      </c>
      <c r="F3596" s="100" t="str">
        <f t="shared" si="3"/>
        <v/>
      </c>
      <c r="G3596" s="151"/>
      <c r="H3596" s="160"/>
      <c r="I3596" s="157"/>
      <c r="J3596" s="158"/>
      <c r="L3596" s="94"/>
      <c r="M3596" s="159"/>
      <c r="N3596" s="94"/>
    </row>
    <row r="3597">
      <c r="A3597" s="107">
        <v>1626245.0</v>
      </c>
      <c r="B3597" s="108" t="s">
        <v>92</v>
      </c>
      <c r="C3597" s="108" t="s">
        <v>876</v>
      </c>
      <c r="D3597" s="100" t="str">
        <f t="shared" si="1"/>
        <v/>
      </c>
      <c r="E3597" s="100" t="str">
        <f t="shared" si="2"/>
        <v/>
      </c>
      <c r="F3597" s="100" t="str">
        <f t="shared" si="3"/>
        <v/>
      </c>
      <c r="G3597" s="151"/>
      <c r="H3597" s="156"/>
      <c r="I3597" s="157"/>
      <c r="J3597" s="161"/>
      <c r="L3597" s="94"/>
      <c r="M3597" s="159"/>
      <c r="N3597" s="94"/>
    </row>
    <row r="3598">
      <c r="A3598" s="107">
        <v>1626245.0</v>
      </c>
      <c r="B3598" s="108" t="s">
        <v>190</v>
      </c>
      <c r="C3598" s="108" t="s">
        <v>876</v>
      </c>
      <c r="D3598" s="100" t="str">
        <f t="shared" si="1"/>
        <v/>
      </c>
      <c r="E3598" s="100" t="str">
        <f t="shared" si="2"/>
        <v/>
      </c>
      <c r="F3598" s="100" t="str">
        <f t="shared" si="3"/>
        <v/>
      </c>
      <c r="G3598" s="151"/>
      <c r="H3598" s="160"/>
      <c r="I3598" s="157"/>
      <c r="J3598" s="158"/>
      <c r="L3598" s="94"/>
      <c r="M3598" s="159"/>
      <c r="N3598" s="94"/>
    </row>
    <row r="3599">
      <c r="A3599" s="107">
        <v>1626245.0</v>
      </c>
      <c r="B3599" s="108" t="s">
        <v>191</v>
      </c>
      <c r="C3599" s="108" t="s">
        <v>876</v>
      </c>
      <c r="D3599" s="100" t="str">
        <f t="shared" si="1"/>
        <v/>
      </c>
      <c r="E3599" s="100" t="str">
        <f t="shared" si="2"/>
        <v/>
      </c>
      <c r="F3599" s="100" t="str">
        <f t="shared" si="3"/>
        <v/>
      </c>
      <c r="G3599" s="151"/>
      <c r="H3599" s="156"/>
      <c r="I3599" s="157"/>
      <c r="J3599" s="161"/>
      <c r="L3599" s="94"/>
      <c r="M3599" s="159"/>
      <c r="N3599" s="94"/>
    </row>
    <row r="3600">
      <c r="A3600" s="107">
        <v>1626245.0</v>
      </c>
      <c r="B3600" s="108" t="s">
        <v>192</v>
      </c>
      <c r="C3600" s="108" t="s">
        <v>876</v>
      </c>
      <c r="D3600" s="100" t="str">
        <f t="shared" si="1"/>
        <v/>
      </c>
      <c r="E3600" s="100" t="str">
        <f t="shared" si="2"/>
        <v/>
      </c>
      <c r="F3600" s="100" t="str">
        <f t="shared" si="3"/>
        <v/>
      </c>
      <c r="G3600" s="151"/>
      <c r="H3600" s="160"/>
      <c r="I3600" s="157"/>
      <c r="J3600" s="158"/>
      <c r="L3600" s="94"/>
      <c r="M3600" s="159"/>
      <c r="N3600" s="94"/>
    </row>
    <row r="3601">
      <c r="A3601" s="107">
        <v>1626245.0</v>
      </c>
      <c r="B3601" s="108" t="s">
        <v>193</v>
      </c>
      <c r="C3601" s="108" t="s">
        <v>876</v>
      </c>
      <c r="D3601" s="100" t="str">
        <f t="shared" si="1"/>
        <v/>
      </c>
      <c r="E3601" s="100" t="str">
        <f t="shared" si="2"/>
        <v/>
      </c>
      <c r="F3601" s="100" t="str">
        <f t="shared" si="3"/>
        <v/>
      </c>
      <c r="G3601" s="151"/>
      <c r="H3601" s="156"/>
      <c r="I3601" s="157"/>
      <c r="J3601" s="161"/>
      <c r="L3601" s="94"/>
      <c r="M3601" s="159"/>
      <c r="N3601" s="94"/>
    </row>
    <row r="3602">
      <c r="A3602" s="107">
        <v>1626245.0</v>
      </c>
      <c r="B3602" s="108" t="s">
        <v>243</v>
      </c>
      <c r="C3602" s="108" t="s">
        <v>876</v>
      </c>
      <c r="D3602" s="100" t="str">
        <f t="shared" si="1"/>
        <v/>
      </c>
      <c r="E3602" s="100" t="str">
        <f t="shared" si="2"/>
        <v/>
      </c>
      <c r="F3602" s="100" t="str">
        <f t="shared" si="3"/>
        <v/>
      </c>
      <c r="G3602" s="151"/>
      <c r="H3602" s="160"/>
      <c r="I3602" s="157"/>
      <c r="J3602" s="158"/>
      <c r="L3602" s="94"/>
      <c r="M3602" s="159"/>
      <c r="N3602" s="94"/>
    </row>
    <row r="3603">
      <c r="A3603" s="107">
        <v>1626246.0</v>
      </c>
      <c r="B3603" s="108" t="s">
        <v>92</v>
      </c>
      <c r="C3603" s="108" t="s">
        <v>877</v>
      </c>
      <c r="D3603" s="100" t="str">
        <f t="shared" si="1"/>
        <v/>
      </c>
      <c r="E3603" s="100" t="str">
        <f t="shared" si="2"/>
        <v/>
      </c>
      <c r="F3603" s="100" t="str">
        <f t="shared" si="3"/>
        <v/>
      </c>
      <c r="G3603" s="151"/>
      <c r="H3603" s="156"/>
      <c r="I3603" s="157"/>
      <c r="J3603" s="161"/>
      <c r="L3603" s="94"/>
      <c r="M3603" s="159"/>
      <c r="N3603" s="94"/>
    </row>
    <row r="3604">
      <c r="A3604" s="107">
        <v>1626246.0</v>
      </c>
      <c r="B3604" s="108" t="s">
        <v>190</v>
      </c>
      <c r="C3604" s="108" t="s">
        <v>877</v>
      </c>
      <c r="D3604" s="100" t="str">
        <f t="shared" si="1"/>
        <v/>
      </c>
      <c r="E3604" s="100" t="str">
        <f t="shared" si="2"/>
        <v/>
      </c>
      <c r="F3604" s="100" t="str">
        <f t="shared" si="3"/>
        <v/>
      </c>
      <c r="G3604" s="151"/>
      <c r="H3604" s="160"/>
      <c r="I3604" s="157"/>
      <c r="J3604" s="158"/>
      <c r="L3604" s="94"/>
      <c r="M3604" s="159"/>
      <c r="N3604" s="94"/>
    </row>
    <row r="3605">
      <c r="A3605" s="107">
        <v>1626246.0</v>
      </c>
      <c r="B3605" s="108" t="s">
        <v>191</v>
      </c>
      <c r="C3605" s="108" t="s">
        <v>877</v>
      </c>
      <c r="D3605" s="100" t="str">
        <f t="shared" si="1"/>
        <v/>
      </c>
      <c r="E3605" s="100" t="str">
        <f t="shared" si="2"/>
        <v/>
      </c>
      <c r="F3605" s="100" t="str">
        <f t="shared" si="3"/>
        <v/>
      </c>
      <c r="G3605" s="151"/>
      <c r="H3605" s="156"/>
      <c r="I3605" s="157"/>
      <c r="J3605" s="161"/>
      <c r="L3605" s="94"/>
      <c r="M3605" s="159"/>
      <c r="N3605" s="94"/>
    </row>
    <row r="3606">
      <c r="A3606" s="107">
        <v>1626246.0</v>
      </c>
      <c r="B3606" s="108" t="s">
        <v>192</v>
      </c>
      <c r="C3606" s="108" t="s">
        <v>877</v>
      </c>
      <c r="D3606" s="100" t="str">
        <f t="shared" si="1"/>
        <v/>
      </c>
      <c r="E3606" s="100" t="str">
        <f t="shared" si="2"/>
        <v/>
      </c>
      <c r="F3606" s="100" t="str">
        <f t="shared" si="3"/>
        <v/>
      </c>
      <c r="G3606" s="151"/>
      <c r="H3606" s="160"/>
      <c r="I3606" s="157"/>
      <c r="J3606" s="158"/>
      <c r="L3606" s="94"/>
      <c r="M3606" s="159"/>
      <c r="N3606" s="94"/>
    </row>
    <row r="3607">
      <c r="A3607" s="107">
        <v>1626246.0</v>
      </c>
      <c r="B3607" s="108" t="s">
        <v>193</v>
      </c>
      <c r="C3607" s="108" t="s">
        <v>877</v>
      </c>
      <c r="D3607" s="100" t="str">
        <f t="shared" si="1"/>
        <v/>
      </c>
      <c r="E3607" s="100" t="str">
        <f t="shared" si="2"/>
        <v/>
      </c>
      <c r="F3607" s="100" t="str">
        <f t="shared" si="3"/>
        <v/>
      </c>
      <c r="G3607" s="151"/>
      <c r="H3607" s="156"/>
      <c r="I3607" s="157"/>
      <c r="J3607" s="161"/>
      <c r="L3607" s="94"/>
      <c r="M3607" s="159"/>
      <c r="N3607" s="94"/>
    </row>
    <row r="3608">
      <c r="A3608" s="107">
        <v>1626246.0</v>
      </c>
      <c r="B3608" s="108" t="s">
        <v>243</v>
      </c>
      <c r="C3608" s="108" t="s">
        <v>877</v>
      </c>
      <c r="D3608" s="100" t="str">
        <f t="shared" si="1"/>
        <v/>
      </c>
      <c r="E3608" s="100" t="str">
        <f t="shared" si="2"/>
        <v/>
      </c>
      <c r="F3608" s="100" t="str">
        <f t="shared" si="3"/>
        <v/>
      </c>
      <c r="G3608" s="151"/>
      <c r="H3608" s="160"/>
      <c r="I3608" s="157"/>
      <c r="J3608" s="158"/>
      <c r="L3608" s="94"/>
      <c r="M3608" s="159"/>
      <c r="N3608" s="94"/>
    </row>
    <row r="3609">
      <c r="A3609" s="107">
        <v>1626246.0</v>
      </c>
      <c r="B3609" s="108" t="s">
        <v>215</v>
      </c>
      <c r="C3609" s="108" t="s">
        <v>877</v>
      </c>
      <c r="D3609" s="100" t="str">
        <f t="shared" si="1"/>
        <v/>
      </c>
      <c r="E3609" s="100" t="str">
        <f t="shared" si="2"/>
        <v/>
      </c>
      <c r="F3609" s="100" t="str">
        <f t="shared" si="3"/>
        <v/>
      </c>
      <c r="G3609" s="151"/>
      <c r="H3609" s="156"/>
      <c r="I3609" s="157"/>
      <c r="J3609" s="161"/>
      <c r="L3609" s="94"/>
      <c r="M3609" s="159"/>
      <c r="N3609" s="94"/>
    </row>
    <row r="3610">
      <c r="A3610" s="107">
        <v>1626246.0</v>
      </c>
      <c r="B3610" s="108" t="s">
        <v>244</v>
      </c>
      <c r="C3610" s="108" t="s">
        <v>877</v>
      </c>
      <c r="D3610" s="100" t="str">
        <f t="shared" si="1"/>
        <v/>
      </c>
      <c r="E3610" s="100" t="str">
        <f t="shared" si="2"/>
        <v/>
      </c>
      <c r="F3610" s="100" t="str">
        <f t="shared" si="3"/>
        <v/>
      </c>
      <c r="G3610" s="151"/>
      <c r="H3610" s="160"/>
      <c r="I3610" s="157"/>
      <c r="J3610" s="158"/>
      <c r="L3610" s="94"/>
      <c r="M3610" s="159"/>
      <c r="N3610" s="94"/>
    </row>
    <row r="3611">
      <c r="A3611" s="107">
        <v>1626246.0</v>
      </c>
      <c r="B3611" s="108" t="s">
        <v>245</v>
      </c>
      <c r="C3611" s="108" t="s">
        <v>877</v>
      </c>
      <c r="D3611" s="100" t="str">
        <f t="shared" si="1"/>
        <v/>
      </c>
      <c r="E3611" s="100" t="str">
        <f t="shared" si="2"/>
        <v/>
      </c>
      <c r="F3611" s="100" t="str">
        <f t="shared" si="3"/>
        <v/>
      </c>
      <c r="G3611" s="151"/>
      <c r="H3611" s="156"/>
      <c r="I3611" s="157"/>
      <c r="J3611" s="161"/>
      <c r="L3611" s="94"/>
      <c r="M3611" s="159"/>
      <c r="N3611" s="94"/>
    </row>
    <row r="3612">
      <c r="A3612" s="107">
        <v>1626251.0</v>
      </c>
      <c r="B3612" s="108" t="s">
        <v>92</v>
      </c>
      <c r="C3612" s="108" t="s">
        <v>878</v>
      </c>
      <c r="D3612" s="100" t="str">
        <f t="shared" si="1"/>
        <v/>
      </c>
      <c r="E3612" s="100" t="str">
        <f t="shared" si="2"/>
        <v/>
      </c>
      <c r="F3612" s="100" t="str">
        <f t="shared" si="3"/>
        <v/>
      </c>
      <c r="G3612" s="151"/>
      <c r="H3612" s="160"/>
      <c r="I3612" s="157"/>
      <c r="J3612" s="158"/>
      <c r="L3612" s="94"/>
      <c r="M3612" s="159"/>
      <c r="N3612" s="94"/>
    </row>
    <row r="3613">
      <c r="A3613" s="107">
        <v>1626253.0</v>
      </c>
      <c r="B3613" s="108" t="s">
        <v>92</v>
      </c>
      <c r="C3613" s="108" t="s">
        <v>879</v>
      </c>
      <c r="D3613" s="100" t="str">
        <f t="shared" si="1"/>
        <v/>
      </c>
      <c r="E3613" s="100" t="str">
        <f t="shared" si="2"/>
        <v/>
      </c>
      <c r="F3613" s="100" t="str">
        <f t="shared" si="3"/>
        <v/>
      </c>
      <c r="G3613" s="151"/>
      <c r="H3613" s="156"/>
      <c r="I3613" s="157"/>
      <c r="J3613" s="161"/>
      <c r="L3613" s="94"/>
      <c r="M3613" s="159"/>
      <c r="N3613" s="94"/>
    </row>
    <row r="3614">
      <c r="A3614" s="107">
        <v>1626253.0</v>
      </c>
      <c r="B3614" s="108" t="s">
        <v>190</v>
      </c>
      <c r="C3614" s="108" t="s">
        <v>879</v>
      </c>
      <c r="D3614" s="100" t="str">
        <f t="shared" si="1"/>
        <v/>
      </c>
      <c r="E3614" s="100" t="str">
        <f t="shared" si="2"/>
        <v/>
      </c>
      <c r="F3614" s="100" t="str">
        <f t="shared" si="3"/>
        <v/>
      </c>
      <c r="G3614" s="151"/>
      <c r="H3614" s="160"/>
      <c r="I3614" s="157"/>
      <c r="J3614" s="158"/>
      <c r="L3614" s="94"/>
      <c r="M3614" s="159"/>
      <c r="N3614" s="94"/>
    </row>
    <row r="3615">
      <c r="A3615" s="107">
        <v>1626253.0</v>
      </c>
      <c r="B3615" s="108" t="s">
        <v>243</v>
      </c>
      <c r="C3615" s="108" t="s">
        <v>879</v>
      </c>
      <c r="D3615" s="100" t="str">
        <f t="shared" si="1"/>
        <v/>
      </c>
      <c r="E3615" s="100" t="str">
        <f t="shared" si="2"/>
        <v/>
      </c>
      <c r="F3615" s="100" t="str">
        <f t="shared" si="3"/>
        <v/>
      </c>
      <c r="G3615" s="151"/>
      <c r="H3615" s="156"/>
      <c r="I3615" s="157"/>
      <c r="J3615" s="161"/>
      <c r="L3615" s="94"/>
      <c r="M3615" s="159"/>
      <c r="N3615" s="94"/>
    </row>
    <row r="3616">
      <c r="A3616" s="107">
        <v>1626254.0</v>
      </c>
      <c r="B3616" s="108" t="s">
        <v>190</v>
      </c>
      <c r="C3616" s="108" t="s">
        <v>880</v>
      </c>
      <c r="D3616" s="100" t="str">
        <f t="shared" si="1"/>
        <v/>
      </c>
      <c r="E3616" s="100" t="str">
        <f t="shared" si="2"/>
        <v/>
      </c>
      <c r="F3616" s="100" t="str">
        <f t="shared" si="3"/>
        <v/>
      </c>
      <c r="G3616" s="151"/>
      <c r="H3616" s="160"/>
      <c r="I3616" s="157"/>
      <c r="J3616" s="158"/>
      <c r="L3616" s="94"/>
      <c r="M3616" s="159"/>
      <c r="N3616" s="94"/>
    </row>
    <row r="3617">
      <c r="A3617" s="107">
        <v>1626257.0</v>
      </c>
      <c r="B3617" s="108" t="s">
        <v>92</v>
      </c>
      <c r="C3617" s="108" t="s">
        <v>881</v>
      </c>
      <c r="D3617" s="100" t="str">
        <f t="shared" si="1"/>
        <v/>
      </c>
      <c r="E3617" s="100" t="str">
        <f t="shared" si="2"/>
        <v/>
      </c>
      <c r="F3617" s="100" t="str">
        <f t="shared" si="3"/>
        <v/>
      </c>
      <c r="G3617" s="151"/>
      <c r="H3617" s="156"/>
      <c r="I3617" s="157"/>
      <c r="J3617" s="161"/>
      <c r="L3617" s="94"/>
      <c r="M3617" s="159"/>
      <c r="N3617" s="94"/>
    </row>
    <row r="3618">
      <c r="A3618" s="107">
        <v>1626257.0</v>
      </c>
      <c r="B3618" s="108" t="s">
        <v>190</v>
      </c>
      <c r="C3618" s="108" t="s">
        <v>881</v>
      </c>
      <c r="D3618" s="100" t="str">
        <f t="shared" si="1"/>
        <v/>
      </c>
      <c r="E3618" s="100" t="str">
        <f t="shared" si="2"/>
        <v/>
      </c>
      <c r="F3618" s="100" t="str">
        <f t="shared" si="3"/>
        <v/>
      </c>
      <c r="G3618" s="151"/>
      <c r="H3618" s="160"/>
      <c r="I3618" s="157"/>
      <c r="J3618" s="158"/>
      <c r="L3618" s="94"/>
      <c r="M3618" s="159"/>
      <c r="N3618" s="94"/>
    </row>
    <row r="3619">
      <c r="A3619" s="107">
        <v>1626257.0</v>
      </c>
      <c r="B3619" s="108" t="s">
        <v>191</v>
      </c>
      <c r="C3619" s="108" t="s">
        <v>881</v>
      </c>
      <c r="D3619" s="100" t="str">
        <f t="shared" si="1"/>
        <v/>
      </c>
      <c r="E3619" s="100" t="str">
        <f t="shared" si="2"/>
        <v/>
      </c>
      <c r="F3619" s="100" t="str">
        <f t="shared" si="3"/>
        <v/>
      </c>
      <c r="G3619" s="151"/>
      <c r="H3619" s="156"/>
      <c r="I3619" s="157"/>
      <c r="J3619" s="161"/>
      <c r="L3619" s="94"/>
      <c r="M3619" s="159"/>
      <c r="N3619" s="94"/>
    </row>
    <row r="3620">
      <c r="A3620" s="107">
        <v>1626257.0</v>
      </c>
      <c r="B3620" s="108" t="s">
        <v>192</v>
      </c>
      <c r="C3620" s="108" t="s">
        <v>881</v>
      </c>
      <c r="D3620" s="100" t="str">
        <f t="shared" si="1"/>
        <v/>
      </c>
      <c r="E3620" s="100" t="str">
        <f t="shared" si="2"/>
        <v/>
      </c>
      <c r="F3620" s="100" t="str">
        <f t="shared" si="3"/>
        <v/>
      </c>
      <c r="G3620" s="151"/>
      <c r="H3620" s="160"/>
      <c r="I3620" s="157"/>
      <c r="J3620" s="158"/>
      <c r="L3620" s="94"/>
      <c r="M3620" s="159"/>
      <c r="N3620" s="94"/>
    </row>
    <row r="3621">
      <c r="A3621" s="107">
        <v>1626259.0</v>
      </c>
      <c r="B3621" s="108" t="s">
        <v>191</v>
      </c>
      <c r="C3621" s="108" t="s">
        <v>882</v>
      </c>
      <c r="D3621" s="100" t="str">
        <f t="shared" si="1"/>
        <v/>
      </c>
      <c r="E3621" s="100" t="str">
        <f t="shared" si="2"/>
        <v/>
      </c>
      <c r="F3621" s="100" t="str">
        <f t="shared" si="3"/>
        <v/>
      </c>
      <c r="G3621" s="151"/>
      <c r="H3621" s="156"/>
      <c r="I3621" s="157"/>
      <c r="J3621" s="161"/>
      <c r="L3621" s="94"/>
      <c r="M3621" s="159"/>
      <c r="N3621" s="94"/>
    </row>
    <row r="3622">
      <c r="A3622" s="107">
        <v>1626259.0</v>
      </c>
      <c r="B3622" s="108" t="s">
        <v>192</v>
      </c>
      <c r="C3622" s="108" t="s">
        <v>882</v>
      </c>
      <c r="D3622" s="100" t="str">
        <f t="shared" si="1"/>
        <v/>
      </c>
      <c r="E3622" s="100" t="str">
        <f t="shared" si="2"/>
        <v/>
      </c>
      <c r="F3622" s="100" t="str">
        <f t="shared" si="3"/>
        <v/>
      </c>
      <c r="G3622" s="151"/>
      <c r="H3622" s="160"/>
      <c r="I3622" s="157"/>
      <c r="J3622" s="158"/>
      <c r="L3622" s="94"/>
      <c r="M3622" s="159"/>
      <c r="N3622" s="94"/>
    </row>
    <row r="3623">
      <c r="A3623" s="107">
        <v>1626259.0</v>
      </c>
      <c r="B3623" s="108" t="s">
        <v>193</v>
      </c>
      <c r="C3623" s="108" t="s">
        <v>882</v>
      </c>
      <c r="D3623" s="100" t="str">
        <f t="shared" si="1"/>
        <v/>
      </c>
      <c r="E3623" s="100" t="str">
        <f t="shared" si="2"/>
        <v/>
      </c>
      <c r="F3623" s="100" t="str">
        <f t="shared" si="3"/>
        <v/>
      </c>
      <c r="G3623" s="151"/>
      <c r="H3623" s="156"/>
      <c r="I3623" s="157"/>
      <c r="J3623" s="161"/>
      <c r="L3623" s="94"/>
      <c r="M3623" s="159"/>
      <c r="N3623" s="94"/>
    </row>
    <row r="3624">
      <c r="A3624" s="107">
        <v>1626262.0</v>
      </c>
      <c r="B3624" s="108" t="s">
        <v>92</v>
      </c>
      <c r="C3624" s="108" t="s">
        <v>883</v>
      </c>
      <c r="D3624" s="100" t="str">
        <f t="shared" si="1"/>
        <v/>
      </c>
      <c r="E3624" s="100" t="str">
        <f t="shared" si="2"/>
        <v/>
      </c>
      <c r="F3624" s="100" t="str">
        <f t="shared" si="3"/>
        <v/>
      </c>
      <c r="G3624" s="151"/>
      <c r="H3624" s="160"/>
      <c r="I3624" s="157"/>
      <c r="J3624" s="158"/>
      <c r="L3624" s="94"/>
      <c r="M3624" s="159"/>
      <c r="N3624" s="94"/>
    </row>
    <row r="3625">
      <c r="A3625" s="107">
        <v>1626266.0</v>
      </c>
      <c r="B3625" s="108" t="s">
        <v>92</v>
      </c>
      <c r="C3625" s="108" t="s">
        <v>884</v>
      </c>
      <c r="D3625" s="100" t="str">
        <f t="shared" si="1"/>
        <v/>
      </c>
      <c r="E3625" s="100" t="str">
        <f t="shared" si="2"/>
        <v/>
      </c>
      <c r="F3625" s="100" t="str">
        <f t="shared" si="3"/>
        <v/>
      </c>
      <c r="G3625" s="151"/>
      <c r="H3625" s="156"/>
      <c r="I3625" s="157"/>
      <c r="J3625" s="161"/>
      <c r="L3625" s="94"/>
      <c r="M3625" s="159"/>
      <c r="N3625" s="94"/>
    </row>
    <row r="3626">
      <c r="A3626" s="107">
        <v>1626273.0</v>
      </c>
      <c r="B3626" s="108" t="s">
        <v>92</v>
      </c>
      <c r="C3626" s="108" t="s">
        <v>885</v>
      </c>
      <c r="D3626" s="100" t="str">
        <f t="shared" si="1"/>
        <v/>
      </c>
      <c r="E3626" s="100" t="str">
        <f t="shared" si="2"/>
        <v/>
      </c>
      <c r="F3626" s="100" t="str">
        <f t="shared" si="3"/>
        <v/>
      </c>
      <c r="G3626" s="151"/>
      <c r="H3626" s="160"/>
      <c r="I3626" s="157"/>
      <c r="J3626" s="158"/>
      <c r="L3626" s="94"/>
      <c r="M3626" s="159"/>
      <c r="N3626" s="94"/>
    </row>
    <row r="3627">
      <c r="A3627" s="107">
        <v>1626273.0</v>
      </c>
      <c r="B3627" s="108" t="s">
        <v>190</v>
      </c>
      <c r="C3627" s="108" t="s">
        <v>885</v>
      </c>
      <c r="D3627" s="100" t="str">
        <f t="shared" si="1"/>
        <v/>
      </c>
      <c r="E3627" s="100" t="str">
        <f t="shared" si="2"/>
        <v/>
      </c>
      <c r="F3627" s="100" t="str">
        <f t="shared" si="3"/>
        <v/>
      </c>
      <c r="G3627" s="151"/>
      <c r="H3627" s="156"/>
      <c r="I3627" s="157"/>
      <c r="J3627" s="161"/>
      <c r="L3627" s="94"/>
      <c r="M3627" s="159"/>
      <c r="N3627" s="94"/>
    </row>
    <row r="3628">
      <c r="A3628" s="107">
        <v>1626296.0</v>
      </c>
      <c r="B3628" s="108" t="s">
        <v>192</v>
      </c>
      <c r="C3628" s="108" t="s">
        <v>886</v>
      </c>
      <c r="D3628" s="100" t="str">
        <f t="shared" si="1"/>
        <v/>
      </c>
      <c r="E3628" s="100" t="str">
        <f t="shared" si="2"/>
        <v/>
      </c>
      <c r="F3628" s="100" t="str">
        <f t="shared" si="3"/>
        <v/>
      </c>
      <c r="G3628" s="151"/>
      <c r="H3628" s="160"/>
      <c r="I3628" s="157"/>
      <c r="J3628" s="158"/>
      <c r="L3628" s="94"/>
      <c r="M3628" s="159"/>
      <c r="N3628" s="94"/>
    </row>
    <row r="3629">
      <c r="A3629" s="107">
        <v>1626643.0</v>
      </c>
      <c r="B3629" s="108" t="s">
        <v>191</v>
      </c>
      <c r="C3629" s="108" t="s">
        <v>887</v>
      </c>
      <c r="D3629" s="100" t="str">
        <f t="shared" si="1"/>
        <v/>
      </c>
      <c r="E3629" s="100" t="str">
        <f t="shared" si="2"/>
        <v/>
      </c>
      <c r="F3629" s="100" t="str">
        <f t="shared" si="3"/>
        <v/>
      </c>
      <c r="G3629" s="151"/>
      <c r="H3629" s="156"/>
      <c r="I3629" s="157"/>
      <c r="J3629" s="161"/>
      <c r="L3629" s="94"/>
      <c r="M3629" s="159"/>
      <c r="N3629" s="94"/>
    </row>
    <row r="3630">
      <c r="A3630" s="107">
        <v>1626780.0</v>
      </c>
      <c r="B3630" s="108" t="s">
        <v>190</v>
      </c>
      <c r="C3630" s="108" t="s">
        <v>888</v>
      </c>
      <c r="D3630" s="100" t="str">
        <f t="shared" si="1"/>
        <v/>
      </c>
      <c r="E3630" s="100" t="str">
        <f t="shared" si="2"/>
        <v/>
      </c>
      <c r="F3630" s="100" t="str">
        <f t="shared" si="3"/>
        <v/>
      </c>
      <c r="G3630" s="151"/>
      <c r="H3630" s="160"/>
      <c r="I3630" s="157"/>
      <c r="J3630" s="158"/>
      <c r="L3630" s="94"/>
      <c r="M3630" s="159"/>
      <c r="N3630" s="94"/>
    </row>
    <row r="3631">
      <c r="A3631" s="107">
        <v>1626780.0</v>
      </c>
      <c r="B3631" s="108" t="s">
        <v>191</v>
      </c>
      <c r="C3631" s="108" t="s">
        <v>888</v>
      </c>
      <c r="D3631" s="100" t="str">
        <f t="shared" si="1"/>
        <v/>
      </c>
      <c r="E3631" s="100" t="str">
        <f t="shared" si="2"/>
        <v/>
      </c>
      <c r="F3631" s="100" t="str">
        <f t="shared" si="3"/>
        <v/>
      </c>
      <c r="G3631" s="151"/>
      <c r="H3631" s="156"/>
      <c r="I3631" s="157"/>
      <c r="J3631" s="161"/>
      <c r="L3631" s="94"/>
      <c r="M3631" s="159"/>
      <c r="N3631" s="94"/>
    </row>
    <row r="3632">
      <c r="A3632" s="107">
        <v>1627098.0</v>
      </c>
      <c r="B3632" s="108" t="s">
        <v>190</v>
      </c>
      <c r="C3632" s="108" t="s">
        <v>889</v>
      </c>
      <c r="D3632" s="100" t="str">
        <f t="shared" si="1"/>
        <v/>
      </c>
      <c r="E3632" s="100" t="str">
        <f t="shared" si="2"/>
        <v/>
      </c>
      <c r="F3632" s="100" t="str">
        <f t="shared" si="3"/>
        <v/>
      </c>
      <c r="G3632" s="151"/>
      <c r="H3632" s="160"/>
      <c r="I3632" s="157"/>
      <c r="J3632" s="158"/>
      <c r="L3632" s="94"/>
      <c r="M3632" s="159"/>
      <c r="N3632" s="94"/>
    </row>
    <row r="3633">
      <c r="A3633" s="107">
        <v>1627098.0</v>
      </c>
      <c r="B3633" s="108" t="s">
        <v>191</v>
      </c>
      <c r="C3633" s="108" t="s">
        <v>889</v>
      </c>
      <c r="D3633" s="100" t="str">
        <f t="shared" si="1"/>
        <v/>
      </c>
      <c r="E3633" s="100" t="str">
        <f t="shared" si="2"/>
        <v/>
      </c>
      <c r="F3633" s="100" t="str">
        <f t="shared" si="3"/>
        <v/>
      </c>
      <c r="G3633" s="151"/>
      <c r="H3633" s="156"/>
      <c r="I3633" s="157"/>
      <c r="J3633" s="161"/>
      <c r="L3633" s="94"/>
      <c r="M3633" s="159"/>
      <c r="N3633" s="94"/>
    </row>
    <row r="3634">
      <c r="A3634" s="107">
        <v>1627215.0</v>
      </c>
      <c r="B3634" s="108" t="s">
        <v>191</v>
      </c>
      <c r="C3634" s="108" t="s">
        <v>890</v>
      </c>
      <c r="D3634" s="100" t="str">
        <f t="shared" si="1"/>
        <v/>
      </c>
      <c r="E3634" s="100" t="str">
        <f t="shared" si="2"/>
        <v/>
      </c>
      <c r="F3634" s="100" t="str">
        <f t="shared" si="3"/>
        <v/>
      </c>
      <c r="G3634" s="151"/>
      <c r="H3634" s="160"/>
      <c r="I3634" s="157"/>
      <c r="J3634" s="158"/>
      <c r="L3634" s="94"/>
      <c r="M3634" s="159"/>
      <c r="N3634" s="94"/>
    </row>
    <row r="3635">
      <c r="A3635" s="107">
        <v>1627215.0</v>
      </c>
      <c r="B3635" s="108" t="s">
        <v>192</v>
      </c>
      <c r="C3635" s="108" t="s">
        <v>890</v>
      </c>
      <c r="D3635" s="100" t="str">
        <f t="shared" si="1"/>
        <v/>
      </c>
      <c r="E3635" s="100" t="str">
        <f t="shared" si="2"/>
        <v/>
      </c>
      <c r="F3635" s="100" t="str">
        <f t="shared" si="3"/>
        <v/>
      </c>
      <c r="G3635" s="151"/>
      <c r="H3635" s="156"/>
      <c r="I3635" s="157"/>
      <c r="J3635" s="161"/>
      <c r="L3635" s="94"/>
      <c r="M3635" s="159"/>
      <c r="N3635" s="94"/>
    </row>
    <row r="3636">
      <c r="A3636" s="107">
        <v>1627293.0</v>
      </c>
      <c r="B3636" s="108" t="s">
        <v>92</v>
      </c>
      <c r="C3636" s="108" t="s">
        <v>891</v>
      </c>
      <c r="D3636" s="100" t="str">
        <f t="shared" si="1"/>
        <v/>
      </c>
      <c r="E3636" s="100" t="str">
        <f t="shared" si="2"/>
        <v/>
      </c>
      <c r="F3636" s="100" t="str">
        <f t="shared" si="3"/>
        <v/>
      </c>
      <c r="G3636" s="151"/>
      <c r="H3636" s="160"/>
      <c r="I3636" s="157"/>
      <c r="J3636" s="158"/>
      <c r="L3636" s="94"/>
      <c r="M3636" s="159"/>
      <c r="N3636" s="94"/>
    </row>
    <row r="3637">
      <c r="A3637" s="107">
        <v>1627362.0</v>
      </c>
      <c r="B3637" s="108" t="s">
        <v>92</v>
      </c>
      <c r="C3637" s="108" t="s">
        <v>892</v>
      </c>
      <c r="D3637" s="100" t="str">
        <f t="shared" si="1"/>
        <v/>
      </c>
      <c r="E3637" s="100" t="str">
        <f t="shared" si="2"/>
        <v/>
      </c>
      <c r="F3637" s="100" t="str">
        <f t="shared" si="3"/>
        <v/>
      </c>
      <c r="G3637" s="151"/>
      <c r="H3637" s="156"/>
      <c r="I3637" s="157"/>
      <c r="J3637" s="161"/>
      <c r="L3637" s="94"/>
      <c r="M3637" s="159"/>
      <c r="N3637" s="94"/>
    </row>
    <row r="3638">
      <c r="A3638" s="107">
        <v>1627362.0</v>
      </c>
      <c r="B3638" s="108" t="s">
        <v>190</v>
      </c>
      <c r="C3638" s="108" t="s">
        <v>892</v>
      </c>
      <c r="D3638" s="100" t="str">
        <f t="shared" si="1"/>
        <v/>
      </c>
      <c r="E3638" s="100" t="str">
        <f t="shared" si="2"/>
        <v/>
      </c>
      <c r="F3638" s="100" t="str">
        <f t="shared" si="3"/>
        <v/>
      </c>
      <c r="G3638" s="151"/>
      <c r="H3638" s="160"/>
      <c r="I3638" s="157"/>
      <c r="J3638" s="158"/>
      <c r="L3638" s="94"/>
      <c r="M3638" s="159"/>
      <c r="N3638" s="94"/>
    </row>
    <row r="3639">
      <c r="A3639" s="107">
        <v>1627362.0</v>
      </c>
      <c r="B3639" s="108" t="s">
        <v>191</v>
      </c>
      <c r="C3639" s="108" t="s">
        <v>892</v>
      </c>
      <c r="D3639" s="100" t="str">
        <f t="shared" si="1"/>
        <v/>
      </c>
      <c r="E3639" s="100" t="str">
        <f t="shared" si="2"/>
        <v/>
      </c>
      <c r="F3639" s="100" t="str">
        <f t="shared" si="3"/>
        <v/>
      </c>
      <c r="G3639" s="151"/>
      <c r="H3639" s="156"/>
      <c r="I3639" s="157"/>
      <c r="J3639" s="161"/>
      <c r="L3639" s="94"/>
      <c r="M3639" s="159"/>
      <c r="N3639" s="94"/>
    </row>
    <row r="3640">
      <c r="A3640" s="107">
        <v>1627395.0</v>
      </c>
      <c r="B3640" s="108" t="s">
        <v>192</v>
      </c>
      <c r="C3640" s="108" t="s">
        <v>893</v>
      </c>
      <c r="D3640" s="100" t="str">
        <f t="shared" si="1"/>
        <v/>
      </c>
      <c r="E3640" s="100" t="str">
        <f t="shared" si="2"/>
        <v/>
      </c>
      <c r="F3640" s="100" t="str">
        <f t="shared" si="3"/>
        <v/>
      </c>
      <c r="G3640" s="151"/>
      <c r="H3640" s="160"/>
      <c r="I3640" s="157"/>
      <c r="J3640" s="158"/>
      <c r="L3640" s="94"/>
      <c r="M3640" s="159"/>
      <c r="N3640" s="94"/>
    </row>
    <row r="3641">
      <c r="A3641" s="107">
        <v>1627732.0</v>
      </c>
      <c r="B3641" s="108" t="s">
        <v>191</v>
      </c>
      <c r="C3641" s="108" t="s">
        <v>894</v>
      </c>
      <c r="D3641" s="100" t="str">
        <f t="shared" si="1"/>
        <v/>
      </c>
      <c r="E3641" s="100" t="str">
        <f t="shared" si="2"/>
        <v/>
      </c>
      <c r="F3641" s="100" t="str">
        <f t="shared" si="3"/>
        <v/>
      </c>
      <c r="G3641" s="151"/>
      <c r="H3641" s="156"/>
      <c r="I3641" s="157"/>
      <c r="J3641" s="161"/>
      <c r="L3641" s="94"/>
      <c r="M3641" s="159"/>
      <c r="N3641" s="94"/>
    </row>
    <row r="3642">
      <c r="A3642" s="107">
        <v>1627732.0</v>
      </c>
      <c r="B3642" s="108" t="s">
        <v>192</v>
      </c>
      <c r="C3642" s="108" t="s">
        <v>894</v>
      </c>
      <c r="D3642" s="100" t="str">
        <f t="shared" si="1"/>
        <v/>
      </c>
      <c r="E3642" s="100" t="str">
        <f t="shared" si="2"/>
        <v/>
      </c>
      <c r="F3642" s="100" t="str">
        <f t="shared" si="3"/>
        <v/>
      </c>
      <c r="G3642" s="151"/>
      <c r="H3642" s="160"/>
      <c r="I3642" s="157"/>
      <c r="J3642" s="158"/>
      <c r="L3642" s="94"/>
      <c r="M3642" s="159"/>
      <c r="N3642" s="94"/>
    </row>
    <row r="3643">
      <c r="A3643" s="107">
        <v>1627732.0</v>
      </c>
      <c r="B3643" s="108" t="s">
        <v>193</v>
      </c>
      <c r="C3643" s="108" t="s">
        <v>894</v>
      </c>
      <c r="D3643" s="100" t="str">
        <f t="shared" si="1"/>
        <v/>
      </c>
      <c r="E3643" s="100" t="str">
        <f t="shared" si="2"/>
        <v/>
      </c>
      <c r="F3643" s="100" t="str">
        <f t="shared" si="3"/>
        <v/>
      </c>
      <c r="G3643" s="151"/>
      <c r="H3643" s="156"/>
      <c r="I3643" s="157"/>
      <c r="J3643" s="161"/>
      <c r="L3643" s="94"/>
      <c r="M3643" s="159"/>
      <c r="N3643" s="94"/>
    </row>
    <row r="3644">
      <c r="A3644" s="107">
        <v>1627732.0</v>
      </c>
      <c r="B3644" s="108" t="s">
        <v>243</v>
      </c>
      <c r="C3644" s="108" t="s">
        <v>894</v>
      </c>
      <c r="D3644" s="100" t="str">
        <f t="shared" si="1"/>
        <v/>
      </c>
      <c r="E3644" s="100" t="str">
        <f t="shared" si="2"/>
        <v/>
      </c>
      <c r="F3644" s="100" t="str">
        <f t="shared" si="3"/>
        <v/>
      </c>
      <c r="G3644" s="151"/>
      <c r="H3644" s="160"/>
      <c r="I3644" s="157"/>
      <c r="J3644" s="158"/>
      <c r="L3644" s="94"/>
      <c r="M3644" s="159"/>
      <c r="N3644" s="94"/>
    </row>
    <row r="3645">
      <c r="A3645" s="107">
        <v>1627732.0</v>
      </c>
      <c r="B3645" s="108" t="s">
        <v>244</v>
      </c>
      <c r="C3645" s="108" t="s">
        <v>894</v>
      </c>
      <c r="D3645" s="100" t="str">
        <f t="shared" si="1"/>
        <v/>
      </c>
      <c r="E3645" s="100" t="str">
        <f t="shared" si="2"/>
        <v/>
      </c>
      <c r="F3645" s="100" t="str">
        <f t="shared" si="3"/>
        <v/>
      </c>
      <c r="G3645" s="151"/>
      <c r="H3645" s="156"/>
      <c r="I3645" s="157"/>
      <c r="J3645" s="161"/>
      <c r="L3645" s="94"/>
      <c r="M3645" s="159"/>
      <c r="N3645" s="94"/>
    </row>
    <row r="3646">
      <c r="A3646" s="107">
        <v>1627732.0</v>
      </c>
      <c r="B3646" s="108" t="s">
        <v>245</v>
      </c>
      <c r="C3646" s="108" t="s">
        <v>894</v>
      </c>
      <c r="D3646" s="100" t="str">
        <f t="shared" si="1"/>
        <v/>
      </c>
      <c r="E3646" s="100" t="str">
        <f t="shared" si="2"/>
        <v/>
      </c>
      <c r="F3646" s="100" t="str">
        <f t="shared" si="3"/>
        <v/>
      </c>
      <c r="G3646" s="151"/>
      <c r="H3646" s="160"/>
      <c r="I3646" s="157"/>
      <c r="J3646" s="158"/>
      <c r="L3646" s="94"/>
      <c r="M3646" s="159"/>
      <c r="N3646" s="94"/>
    </row>
    <row r="3647">
      <c r="A3647" s="107">
        <v>1627732.0</v>
      </c>
      <c r="B3647" s="108" t="s">
        <v>246</v>
      </c>
      <c r="C3647" s="108" t="s">
        <v>894</v>
      </c>
      <c r="D3647" s="100" t="str">
        <f t="shared" si="1"/>
        <v/>
      </c>
      <c r="E3647" s="100" t="str">
        <f t="shared" si="2"/>
        <v/>
      </c>
      <c r="F3647" s="100" t="str">
        <f t="shared" si="3"/>
        <v/>
      </c>
      <c r="G3647" s="151"/>
      <c r="H3647" s="156"/>
      <c r="I3647" s="157"/>
      <c r="J3647" s="161"/>
      <c r="L3647" s="94"/>
      <c r="M3647" s="159"/>
      <c r="N3647" s="94"/>
    </row>
    <row r="3648">
      <c r="A3648" s="107">
        <v>1627733.0</v>
      </c>
      <c r="B3648" s="108" t="s">
        <v>190</v>
      </c>
      <c r="C3648" s="108" t="s">
        <v>895</v>
      </c>
      <c r="D3648" s="100" t="str">
        <f t="shared" si="1"/>
        <v/>
      </c>
      <c r="E3648" s="100" t="str">
        <f t="shared" si="2"/>
        <v/>
      </c>
      <c r="F3648" s="100" t="str">
        <f t="shared" si="3"/>
        <v/>
      </c>
      <c r="G3648" s="151"/>
      <c r="H3648" s="160"/>
      <c r="I3648" s="157"/>
      <c r="J3648" s="158"/>
      <c r="L3648" s="94"/>
      <c r="M3648" s="159"/>
      <c r="N3648" s="94"/>
    </row>
    <row r="3649">
      <c r="A3649" s="107">
        <v>1627733.0</v>
      </c>
      <c r="B3649" s="108" t="s">
        <v>191</v>
      </c>
      <c r="C3649" s="108" t="s">
        <v>895</v>
      </c>
      <c r="D3649" s="100" t="str">
        <f t="shared" si="1"/>
        <v/>
      </c>
      <c r="E3649" s="100" t="str">
        <f t="shared" si="2"/>
        <v/>
      </c>
      <c r="F3649" s="100" t="str">
        <f t="shared" si="3"/>
        <v/>
      </c>
      <c r="G3649" s="151"/>
      <c r="H3649" s="156"/>
      <c r="I3649" s="157"/>
      <c r="J3649" s="161"/>
      <c r="L3649" s="94"/>
      <c r="M3649" s="159"/>
      <c r="N3649" s="94"/>
    </row>
    <row r="3650">
      <c r="A3650" s="107">
        <v>1627733.0</v>
      </c>
      <c r="B3650" s="108" t="s">
        <v>192</v>
      </c>
      <c r="C3650" s="108" t="s">
        <v>895</v>
      </c>
      <c r="D3650" s="100" t="str">
        <f t="shared" si="1"/>
        <v/>
      </c>
      <c r="E3650" s="100" t="str">
        <f t="shared" si="2"/>
        <v/>
      </c>
      <c r="F3650" s="100" t="str">
        <f t="shared" si="3"/>
        <v/>
      </c>
      <c r="G3650" s="151"/>
      <c r="H3650" s="160"/>
      <c r="I3650" s="157"/>
      <c r="J3650" s="158"/>
      <c r="L3650" s="94"/>
      <c r="M3650" s="159"/>
      <c r="N3650" s="94"/>
    </row>
    <row r="3651">
      <c r="A3651" s="107">
        <v>1627733.0</v>
      </c>
      <c r="B3651" s="108" t="s">
        <v>193</v>
      </c>
      <c r="C3651" s="108" t="s">
        <v>895</v>
      </c>
      <c r="D3651" s="100" t="str">
        <f t="shared" si="1"/>
        <v/>
      </c>
      <c r="E3651" s="100" t="str">
        <f t="shared" si="2"/>
        <v/>
      </c>
      <c r="F3651" s="100" t="str">
        <f t="shared" si="3"/>
        <v/>
      </c>
      <c r="G3651" s="151"/>
      <c r="H3651" s="156"/>
      <c r="I3651" s="157"/>
      <c r="J3651" s="161"/>
      <c r="L3651" s="94"/>
      <c r="M3651" s="159"/>
      <c r="N3651" s="94"/>
    </row>
    <row r="3652">
      <c r="A3652" s="107">
        <v>1627734.0</v>
      </c>
      <c r="B3652" s="108" t="s">
        <v>190</v>
      </c>
      <c r="C3652" s="108" t="s">
        <v>896</v>
      </c>
      <c r="D3652" s="100" t="str">
        <f t="shared" si="1"/>
        <v/>
      </c>
      <c r="E3652" s="100" t="str">
        <f t="shared" si="2"/>
        <v/>
      </c>
      <c r="F3652" s="100" t="str">
        <f t="shared" si="3"/>
        <v/>
      </c>
      <c r="G3652" s="151"/>
      <c r="H3652" s="160"/>
      <c r="I3652" s="157"/>
      <c r="J3652" s="158"/>
      <c r="L3652" s="94"/>
      <c r="M3652" s="159"/>
      <c r="N3652" s="94"/>
    </row>
    <row r="3653">
      <c r="A3653" s="107">
        <v>1627734.0</v>
      </c>
      <c r="B3653" s="108" t="s">
        <v>191</v>
      </c>
      <c r="C3653" s="108" t="s">
        <v>896</v>
      </c>
      <c r="D3653" s="100" t="str">
        <f t="shared" si="1"/>
        <v/>
      </c>
      <c r="E3653" s="100" t="str">
        <f t="shared" si="2"/>
        <v/>
      </c>
      <c r="F3653" s="100" t="str">
        <f t="shared" si="3"/>
        <v/>
      </c>
      <c r="G3653" s="151"/>
      <c r="H3653" s="156"/>
      <c r="I3653" s="157"/>
      <c r="J3653" s="161"/>
      <c r="L3653" s="94"/>
      <c r="M3653" s="159"/>
      <c r="N3653" s="94"/>
    </row>
    <row r="3654">
      <c r="A3654" s="107">
        <v>1627734.0</v>
      </c>
      <c r="B3654" s="108" t="s">
        <v>192</v>
      </c>
      <c r="C3654" s="108" t="s">
        <v>896</v>
      </c>
      <c r="D3654" s="100" t="str">
        <f t="shared" si="1"/>
        <v/>
      </c>
      <c r="E3654" s="100" t="str">
        <f t="shared" si="2"/>
        <v/>
      </c>
      <c r="F3654" s="100" t="str">
        <f t="shared" si="3"/>
        <v/>
      </c>
      <c r="G3654" s="151"/>
      <c r="H3654" s="160"/>
      <c r="I3654" s="157"/>
      <c r="J3654" s="158"/>
      <c r="L3654" s="94"/>
      <c r="M3654" s="159"/>
      <c r="N3654" s="94"/>
    </row>
    <row r="3655">
      <c r="A3655" s="107">
        <v>1627734.0</v>
      </c>
      <c r="B3655" s="108" t="s">
        <v>193</v>
      </c>
      <c r="C3655" s="108" t="s">
        <v>896</v>
      </c>
      <c r="D3655" s="100" t="str">
        <f t="shared" si="1"/>
        <v/>
      </c>
      <c r="E3655" s="100" t="str">
        <f t="shared" si="2"/>
        <v/>
      </c>
      <c r="F3655" s="100" t="str">
        <f t="shared" si="3"/>
        <v/>
      </c>
      <c r="G3655" s="151"/>
      <c r="H3655" s="156"/>
      <c r="I3655" s="157"/>
      <c r="J3655" s="161"/>
      <c r="L3655" s="94"/>
      <c r="M3655" s="159"/>
      <c r="N3655" s="94"/>
    </row>
    <row r="3656">
      <c r="A3656" s="107">
        <v>1627734.0</v>
      </c>
      <c r="B3656" s="108" t="s">
        <v>243</v>
      </c>
      <c r="C3656" s="108" t="s">
        <v>896</v>
      </c>
      <c r="D3656" s="100" t="str">
        <f t="shared" si="1"/>
        <v/>
      </c>
      <c r="E3656" s="100" t="str">
        <f t="shared" si="2"/>
        <v/>
      </c>
      <c r="F3656" s="100" t="str">
        <f t="shared" si="3"/>
        <v/>
      </c>
      <c r="G3656" s="151"/>
      <c r="H3656" s="160"/>
      <c r="I3656" s="157"/>
      <c r="J3656" s="158"/>
      <c r="L3656" s="94"/>
      <c r="M3656" s="159"/>
      <c r="N3656" s="94"/>
    </row>
    <row r="3657">
      <c r="A3657" s="107">
        <v>1627734.0</v>
      </c>
      <c r="B3657" s="108" t="s">
        <v>215</v>
      </c>
      <c r="C3657" s="108" t="s">
        <v>896</v>
      </c>
      <c r="D3657" s="100" t="str">
        <f t="shared" si="1"/>
        <v/>
      </c>
      <c r="E3657" s="100" t="str">
        <f t="shared" si="2"/>
        <v/>
      </c>
      <c r="F3657" s="100" t="str">
        <f t="shared" si="3"/>
        <v/>
      </c>
      <c r="G3657" s="151"/>
      <c r="H3657" s="156"/>
      <c r="I3657" s="157"/>
      <c r="J3657" s="161"/>
      <c r="L3657" s="94"/>
      <c r="M3657" s="159"/>
      <c r="N3657" s="94"/>
    </row>
    <row r="3658">
      <c r="A3658" s="107">
        <v>1627734.0</v>
      </c>
      <c r="B3658" s="108" t="s">
        <v>244</v>
      </c>
      <c r="C3658" s="108" t="s">
        <v>896</v>
      </c>
      <c r="D3658" s="100" t="str">
        <f t="shared" si="1"/>
        <v/>
      </c>
      <c r="E3658" s="100" t="str">
        <f t="shared" si="2"/>
        <v/>
      </c>
      <c r="F3658" s="100" t="str">
        <f t="shared" si="3"/>
        <v/>
      </c>
      <c r="G3658" s="151"/>
      <c r="H3658" s="160"/>
      <c r="I3658" s="157"/>
      <c r="J3658" s="158"/>
      <c r="L3658" s="94"/>
      <c r="M3658" s="159"/>
      <c r="N3658" s="94"/>
    </row>
    <row r="3659">
      <c r="A3659" s="107">
        <v>1627734.0</v>
      </c>
      <c r="B3659" s="108" t="s">
        <v>245</v>
      </c>
      <c r="C3659" s="108" t="s">
        <v>896</v>
      </c>
      <c r="D3659" s="100" t="str">
        <f t="shared" si="1"/>
        <v/>
      </c>
      <c r="E3659" s="100" t="str">
        <f t="shared" si="2"/>
        <v/>
      </c>
      <c r="F3659" s="100" t="str">
        <f t="shared" si="3"/>
        <v/>
      </c>
      <c r="G3659" s="151"/>
      <c r="H3659" s="156"/>
      <c r="I3659" s="157"/>
      <c r="J3659" s="161"/>
      <c r="L3659" s="94"/>
      <c r="M3659" s="159"/>
      <c r="N3659" s="94"/>
    </row>
    <row r="3660">
      <c r="A3660" s="107">
        <v>1627734.0</v>
      </c>
      <c r="B3660" s="108" t="s">
        <v>246</v>
      </c>
      <c r="C3660" s="108" t="s">
        <v>896</v>
      </c>
      <c r="D3660" s="100" t="str">
        <f t="shared" si="1"/>
        <v/>
      </c>
      <c r="E3660" s="100" t="str">
        <f t="shared" si="2"/>
        <v/>
      </c>
      <c r="F3660" s="100" t="str">
        <f t="shared" si="3"/>
        <v/>
      </c>
      <c r="G3660" s="151"/>
      <c r="H3660" s="160"/>
      <c r="I3660" s="157"/>
      <c r="J3660" s="158"/>
      <c r="L3660" s="94"/>
      <c r="M3660" s="159"/>
      <c r="N3660" s="94"/>
    </row>
    <row r="3661">
      <c r="A3661" s="149">
        <v>1627734.0</v>
      </c>
      <c r="B3661" s="115" t="s">
        <v>247</v>
      </c>
      <c r="C3661" s="115" t="s">
        <v>896</v>
      </c>
      <c r="D3661" s="100" t="str">
        <f t="shared" si="1"/>
        <v/>
      </c>
      <c r="E3661" s="100" t="str">
        <f t="shared" si="2"/>
        <v/>
      </c>
      <c r="F3661" s="100" t="str">
        <f t="shared" si="3"/>
        <v/>
      </c>
      <c r="G3661" s="151"/>
      <c r="H3661" s="156"/>
      <c r="I3661" s="157"/>
      <c r="J3661" s="161"/>
      <c r="L3661" s="94"/>
      <c r="M3661" s="159"/>
      <c r="N3661" s="94"/>
    </row>
    <row r="3662">
      <c r="A3662" s="21">
        <v>1627735.0</v>
      </c>
      <c r="B3662" s="164" t="s">
        <v>190</v>
      </c>
      <c r="C3662" s="164" t="s">
        <v>897</v>
      </c>
      <c r="D3662" s="100" t="str">
        <f t="shared" si="1"/>
        <v/>
      </c>
      <c r="E3662" s="100" t="str">
        <f t="shared" si="2"/>
        <v/>
      </c>
      <c r="F3662" s="100" t="str">
        <f t="shared" si="3"/>
        <v/>
      </c>
      <c r="G3662" s="151"/>
      <c r="H3662" s="160"/>
      <c r="I3662" s="157"/>
      <c r="J3662" s="158"/>
      <c r="L3662" s="94"/>
      <c r="M3662" s="159"/>
      <c r="N3662" s="94"/>
    </row>
    <row r="3663">
      <c r="A3663" s="107">
        <v>1627735.0</v>
      </c>
      <c r="B3663" s="108" t="s">
        <v>191</v>
      </c>
      <c r="C3663" s="108" t="s">
        <v>897</v>
      </c>
      <c r="D3663" s="100" t="str">
        <f t="shared" si="1"/>
        <v/>
      </c>
      <c r="E3663" s="100" t="str">
        <f t="shared" si="2"/>
        <v/>
      </c>
      <c r="F3663" s="100" t="str">
        <f t="shared" si="3"/>
        <v/>
      </c>
      <c r="G3663" s="151"/>
      <c r="H3663" s="156"/>
      <c r="I3663" s="157"/>
      <c r="J3663" s="161"/>
      <c r="L3663" s="94"/>
      <c r="M3663" s="159"/>
      <c r="N3663" s="94"/>
    </row>
    <row r="3664">
      <c r="A3664" s="107">
        <v>1627735.0</v>
      </c>
      <c r="B3664" s="108" t="s">
        <v>192</v>
      </c>
      <c r="C3664" s="108" t="s">
        <v>897</v>
      </c>
      <c r="D3664" s="100" t="str">
        <f t="shared" si="1"/>
        <v/>
      </c>
      <c r="E3664" s="100" t="str">
        <f t="shared" si="2"/>
        <v/>
      </c>
      <c r="F3664" s="100" t="str">
        <f t="shared" si="3"/>
        <v/>
      </c>
      <c r="G3664" s="151"/>
      <c r="H3664" s="160"/>
      <c r="I3664" s="157"/>
      <c r="J3664" s="158"/>
      <c r="L3664" s="94"/>
      <c r="M3664" s="159"/>
      <c r="N3664" s="94"/>
    </row>
    <row r="3665">
      <c r="A3665" s="107">
        <v>1627736.0</v>
      </c>
      <c r="B3665" s="108" t="s">
        <v>190</v>
      </c>
      <c r="C3665" s="108" t="s">
        <v>898</v>
      </c>
      <c r="D3665" s="100" t="str">
        <f t="shared" si="1"/>
        <v/>
      </c>
      <c r="E3665" s="100" t="str">
        <f t="shared" si="2"/>
        <v/>
      </c>
      <c r="F3665" s="100" t="str">
        <f t="shared" si="3"/>
        <v/>
      </c>
      <c r="G3665" s="151"/>
      <c r="H3665" s="156"/>
      <c r="I3665" s="157"/>
      <c r="J3665" s="161"/>
      <c r="L3665" s="94"/>
      <c r="M3665" s="159"/>
      <c r="N3665" s="94"/>
    </row>
    <row r="3666">
      <c r="A3666" s="107">
        <v>1627736.0</v>
      </c>
      <c r="B3666" s="108" t="s">
        <v>191</v>
      </c>
      <c r="C3666" s="108" t="s">
        <v>898</v>
      </c>
      <c r="D3666" s="100" t="str">
        <f t="shared" si="1"/>
        <v/>
      </c>
      <c r="E3666" s="100" t="str">
        <f t="shared" si="2"/>
        <v/>
      </c>
      <c r="F3666" s="100" t="str">
        <f t="shared" si="3"/>
        <v/>
      </c>
      <c r="G3666" s="151"/>
      <c r="H3666" s="160"/>
      <c r="I3666" s="157"/>
      <c r="J3666" s="158"/>
      <c r="L3666" s="94"/>
      <c r="M3666" s="159"/>
      <c r="N3666" s="94"/>
    </row>
    <row r="3667">
      <c r="A3667" s="107">
        <v>1627736.0</v>
      </c>
      <c r="B3667" s="108" t="s">
        <v>192</v>
      </c>
      <c r="C3667" s="108" t="s">
        <v>898</v>
      </c>
      <c r="D3667" s="100" t="str">
        <f t="shared" si="1"/>
        <v/>
      </c>
      <c r="E3667" s="100" t="str">
        <f t="shared" si="2"/>
        <v/>
      </c>
      <c r="F3667" s="100" t="str">
        <f t="shared" si="3"/>
        <v/>
      </c>
      <c r="G3667" s="151"/>
      <c r="H3667" s="156"/>
      <c r="I3667" s="157"/>
      <c r="J3667" s="161"/>
      <c r="L3667" s="94"/>
      <c r="M3667" s="159"/>
      <c r="N3667" s="94"/>
    </row>
    <row r="3668">
      <c r="A3668" s="107">
        <v>1627736.0</v>
      </c>
      <c r="B3668" s="108" t="s">
        <v>193</v>
      </c>
      <c r="C3668" s="108" t="s">
        <v>898</v>
      </c>
      <c r="D3668" s="100" t="str">
        <f t="shared" si="1"/>
        <v/>
      </c>
      <c r="E3668" s="100" t="str">
        <f t="shared" si="2"/>
        <v/>
      </c>
      <c r="F3668" s="100" t="str">
        <f t="shared" si="3"/>
        <v/>
      </c>
      <c r="G3668" s="151"/>
      <c r="H3668" s="160"/>
      <c r="I3668" s="157"/>
      <c r="J3668" s="158"/>
      <c r="L3668" s="94"/>
      <c r="M3668" s="159"/>
      <c r="N3668" s="94"/>
    </row>
    <row r="3669">
      <c r="A3669" s="107">
        <v>1627736.0</v>
      </c>
      <c r="B3669" s="108" t="s">
        <v>243</v>
      </c>
      <c r="C3669" s="108" t="s">
        <v>898</v>
      </c>
      <c r="D3669" s="100" t="str">
        <f t="shared" si="1"/>
        <v/>
      </c>
      <c r="E3669" s="100" t="str">
        <f t="shared" si="2"/>
        <v/>
      </c>
      <c r="F3669" s="100" t="str">
        <f t="shared" si="3"/>
        <v/>
      </c>
      <c r="G3669" s="151"/>
      <c r="H3669" s="156"/>
      <c r="I3669" s="157"/>
      <c r="J3669" s="161"/>
      <c r="L3669" s="94"/>
      <c r="M3669" s="159"/>
      <c r="N3669" s="94"/>
    </row>
    <row r="3670">
      <c r="A3670" s="107">
        <v>1627736.0</v>
      </c>
      <c r="B3670" s="108" t="s">
        <v>215</v>
      </c>
      <c r="C3670" s="108" t="s">
        <v>898</v>
      </c>
      <c r="D3670" s="100" t="str">
        <f t="shared" si="1"/>
        <v/>
      </c>
      <c r="E3670" s="100" t="str">
        <f t="shared" si="2"/>
        <v/>
      </c>
      <c r="F3670" s="100" t="str">
        <f t="shared" si="3"/>
        <v/>
      </c>
      <c r="G3670" s="151"/>
      <c r="H3670" s="160"/>
      <c r="I3670" s="157"/>
      <c r="J3670" s="158"/>
      <c r="L3670" s="94"/>
      <c r="M3670" s="159"/>
      <c r="N3670" s="94"/>
    </row>
    <row r="3671">
      <c r="A3671" s="107">
        <v>1627736.0</v>
      </c>
      <c r="B3671" s="108" t="s">
        <v>244</v>
      </c>
      <c r="C3671" s="108" t="s">
        <v>898</v>
      </c>
      <c r="D3671" s="100" t="str">
        <f t="shared" si="1"/>
        <v/>
      </c>
      <c r="E3671" s="100" t="str">
        <f t="shared" si="2"/>
        <v/>
      </c>
      <c r="F3671" s="100" t="str">
        <f t="shared" si="3"/>
        <v/>
      </c>
      <c r="G3671" s="151"/>
      <c r="H3671" s="156"/>
      <c r="I3671" s="157"/>
      <c r="J3671" s="161"/>
      <c r="L3671" s="94"/>
      <c r="M3671" s="159"/>
      <c r="N3671" s="94"/>
    </row>
    <row r="3672">
      <c r="A3672" s="107">
        <v>1627736.0</v>
      </c>
      <c r="B3672" s="108" t="s">
        <v>245</v>
      </c>
      <c r="C3672" s="108" t="s">
        <v>898</v>
      </c>
      <c r="D3672" s="100" t="str">
        <f t="shared" si="1"/>
        <v/>
      </c>
      <c r="E3672" s="100" t="str">
        <f t="shared" si="2"/>
        <v/>
      </c>
      <c r="F3672" s="100" t="str">
        <f t="shared" si="3"/>
        <v/>
      </c>
      <c r="G3672" s="151"/>
      <c r="H3672" s="160"/>
      <c r="I3672" s="157"/>
      <c r="J3672" s="158"/>
      <c r="L3672" s="94"/>
      <c r="M3672" s="159"/>
      <c r="N3672" s="94"/>
    </row>
    <row r="3673">
      <c r="A3673" s="107">
        <v>1627736.0</v>
      </c>
      <c r="B3673" s="108" t="s">
        <v>246</v>
      </c>
      <c r="C3673" s="108" t="s">
        <v>898</v>
      </c>
      <c r="D3673" s="100" t="str">
        <f t="shared" si="1"/>
        <v/>
      </c>
      <c r="E3673" s="100" t="str">
        <f t="shared" si="2"/>
        <v/>
      </c>
      <c r="F3673" s="100" t="str">
        <f t="shared" si="3"/>
        <v/>
      </c>
      <c r="G3673" s="151"/>
      <c r="H3673" s="156"/>
      <c r="I3673" s="157"/>
      <c r="J3673" s="161"/>
      <c r="L3673" s="94"/>
      <c r="M3673" s="159"/>
      <c r="N3673" s="94"/>
    </row>
    <row r="3674">
      <c r="A3674" s="107">
        <v>1627737.0</v>
      </c>
      <c r="B3674" s="108" t="s">
        <v>190</v>
      </c>
      <c r="C3674" s="108" t="s">
        <v>899</v>
      </c>
      <c r="D3674" s="100" t="str">
        <f t="shared" si="1"/>
        <v/>
      </c>
      <c r="E3674" s="100" t="str">
        <f t="shared" si="2"/>
        <v/>
      </c>
      <c r="F3674" s="100" t="str">
        <f t="shared" si="3"/>
        <v/>
      </c>
      <c r="G3674" s="151"/>
      <c r="H3674" s="160"/>
      <c r="I3674" s="157"/>
      <c r="J3674" s="158"/>
      <c r="L3674" s="94"/>
      <c r="M3674" s="159"/>
      <c r="N3674" s="94"/>
    </row>
    <row r="3675">
      <c r="A3675" s="107">
        <v>1627737.0</v>
      </c>
      <c r="B3675" s="108" t="s">
        <v>191</v>
      </c>
      <c r="C3675" s="108" t="s">
        <v>899</v>
      </c>
      <c r="D3675" s="100" t="str">
        <f t="shared" si="1"/>
        <v/>
      </c>
      <c r="E3675" s="100" t="str">
        <f t="shared" si="2"/>
        <v/>
      </c>
      <c r="F3675" s="100" t="str">
        <f t="shared" si="3"/>
        <v/>
      </c>
      <c r="G3675" s="151"/>
      <c r="H3675" s="156"/>
      <c r="I3675" s="157"/>
      <c r="J3675" s="161"/>
      <c r="L3675" s="94"/>
      <c r="M3675" s="159"/>
      <c r="N3675" s="94"/>
    </row>
    <row r="3676">
      <c r="A3676" s="107">
        <v>1627737.0</v>
      </c>
      <c r="B3676" s="108" t="s">
        <v>192</v>
      </c>
      <c r="C3676" s="108" t="s">
        <v>899</v>
      </c>
      <c r="D3676" s="100" t="str">
        <f t="shared" si="1"/>
        <v/>
      </c>
      <c r="E3676" s="100" t="str">
        <f t="shared" si="2"/>
        <v/>
      </c>
      <c r="F3676" s="100" t="str">
        <f t="shared" si="3"/>
        <v/>
      </c>
      <c r="G3676" s="151"/>
      <c r="H3676" s="160"/>
      <c r="I3676" s="157"/>
      <c r="J3676" s="158"/>
      <c r="L3676" s="94"/>
      <c r="M3676" s="159"/>
      <c r="N3676" s="94"/>
    </row>
    <row r="3677">
      <c r="A3677" s="107">
        <v>1627737.0</v>
      </c>
      <c r="B3677" s="108" t="s">
        <v>193</v>
      </c>
      <c r="C3677" s="108" t="s">
        <v>899</v>
      </c>
      <c r="D3677" s="100" t="str">
        <f t="shared" si="1"/>
        <v/>
      </c>
      <c r="E3677" s="100" t="str">
        <f t="shared" si="2"/>
        <v/>
      </c>
      <c r="F3677" s="100" t="str">
        <f t="shared" si="3"/>
        <v/>
      </c>
      <c r="G3677" s="151"/>
      <c r="H3677" s="156"/>
      <c r="I3677" s="157"/>
      <c r="J3677" s="161"/>
      <c r="L3677" s="94"/>
      <c r="M3677" s="159"/>
      <c r="N3677" s="94"/>
    </row>
    <row r="3678">
      <c r="A3678" s="107">
        <v>1627737.0</v>
      </c>
      <c r="B3678" s="108" t="s">
        <v>243</v>
      </c>
      <c r="C3678" s="108" t="s">
        <v>899</v>
      </c>
      <c r="D3678" s="100" t="str">
        <f t="shared" si="1"/>
        <v/>
      </c>
      <c r="E3678" s="100" t="str">
        <f t="shared" si="2"/>
        <v/>
      </c>
      <c r="F3678" s="100" t="str">
        <f t="shared" si="3"/>
        <v/>
      </c>
      <c r="G3678" s="151"/>
      <c r="H3678" s="160"/>
      <c r="I3678" s="157"/>
      <c r="J3678" s="158"/>
      <c r="L3678" s="94"/>
      <c r="M3678" s="159"/>
      <c r="N3678" s="94"/>
    </row>
    <row r="3679">
      <c r="A3679" s="107">
        <v>1627737.0</v>
      </c>
      <c r="B3679" s="108" t="s">
        <v>215</v>
      </c>
      <c r="C3679" s="108" t="s">
        <v>899</v>
      </c>
      <c r="D3679" s="100" t="str">
        <f t="shared" si="1"/>
        <v/>
      </c>
      <c r="E3679" s="100" t="str">
        <f t="shared" si="2"/>
        <v/>
      </c>
      <c r="F3679" s="100" t="str">
        <f t="shared" si="3"/>
        <v/>
      </c>
      <c r="G3679" s="151"/>
      <c r="H3679" s="156"/>
      <c r="I3679" s="157"/>
      <c r="J3679" s="161"/>
      <c r="L3679" s="94"/>
      <c r="M3679" s="159"/>
      <c r="N3679" s="94"/>
    </row>
    <row r="3680">
      <c r="A3680" s="107">
        <v>1627738.0</v>
      </c>
      <c r="B3680" s="108" t="s">
        <v>190</v>
      </c>
      <c r="C3680" s="108" t="s">
        <v>900</v>
      </c>
      <c r="D3680" s="100" t="str">
        <f t="shared" si="1"/>
        <v/>
      </c>
      <c r="E3680" s="100" t="str">
        <f t="shared" si="2"/>
        <v/>
      </c>
      <c r="F3680" s="100" t="str">
        <f t="shared" si="3"/>
        <v/>
      </c>
      <c r="G3680" s="151"/>
      <c r="H3680" s="160"/>
      <c r="I3680" s="157"/>
      <c r="J3680" s="158"/>
      <c r="L3680" s="94"/>
      <c r="M3680" s="159"/>
      <c r="N3680" s="94"/>
    </row>
    <row r="3681">
      <c r="A3681" s="107">
        <v>1627738.0</v>
      </c>
      <c r="B3681" s="108" t="s">
        <v>191</v>
      </c>
      <c r="C3681" s="108" t="s">
        <v>900</v>
      </c>
      <c r="D3681" s="100" t="str">
        <f t="shared" si="1"/>
        <v/>
      </c>
      <c r="E3681" s="100" t="str">
        <f t="shared" si="2"/>
        <v/>
      </c>
      <c r="F3681" s="100" t="str">
        <f t="shared" si="3"/>
        <v/>
      </c>
      <c r="G3681" s="151"/>
      <c r="H3681" s="156"/>
      <c r="I3681" s="157"/>
      <c r="J3681" s="161"/>
      <c r="L3681" s="94"/>
      <c r="M3681" s="159"/>
      <c r="N3681" s="94"/>
    </row>
    <row r="3682">
      <c r="A3682" s="107">
        <v>1627738.0</v>
      </c>
      <c r="B3682" s="108" t="s">
        <v>192</v>
      </c>
      <c r="C3682" s="108" t="s">
        <v>900</v>
      </c>
      <c r="D3682" s="100" t="str">
        <f t="shared" si="1"/>
        <v/>
      </c>
      <c r="E3682" s="100" t="str">
        <f t="shared" si="2"/>
        <v/>
      </c>
      <c r="F3682" s="100" t="str">
        <f t="shared" si="3"/>
        <v/>
      </c>
      <c r="G3682" s="151"/>
      <c r="H3682" s="160"/>
      <c r="I3682" s="157"/>
      <c r="J3682" s="158"/>
      <c r="L3682" s="94"/>
      <c r="M3682" s="159"/>
      <c r="N3682" s="94"/>
    </row>
    <row r="3683">
      <c r="A3683" s="107">
        <v>1627739.0</v>
      </c>
      <c r="B3683" s="108" t="s">
        <v>190</v>
      </c>
      <c r="C3683" s="108" t="s">
        <v>901</v>
      </c>
      <c r="D3683" s="100" t="str">
        <f t="shared" si="1"/>
        <v/>
      </c>
      <c r="E3683" s="100" t="str">
        <f t="shared" si="2"/>
        <v/>
      </c>
      <c r="F3683" s="100" t="str">
        <f t="shared" si="3"/>
        <v/>
      </c>
      <c r="G3683" s="151"/>
      <c r="H3683" s="156"/>
      <c r="I3683" s="157"/>
      <c r="J3683" s="161"/>
      <c r="L3683" s="94"/>
      <c r="M3683" s="159"/>
      <c r="N3683" s="94"/>
    </row>
    <row r="3684">
      <c r="A3684" s="107">
        <v>1627739.0</v>
      </c>
      <c r="B3684" s="108" t="s">
        <v>191</v>
      </c>
      <c r="C3684" s="108" t="s">
        <v>901</v>
      </c>
      <c r="D3684" s="100" t="str">
        <f t="shared" si="1"/>
        <v/>
      </c>
      <c r="E3684" s="100" t="str">
        <f t="shared" si="2"/>
        <v/>
      </c>
      <c r="F3684" s="100" t="str">
        <f t="shared" si="3"/>
        <v/>
      </c>
      <c r="G3684" s="151"/>
      <c r="H3684" s="160"/>
      <c r="I3684" s="157"/>
      <c r="J3684" s="158"/>
      <c r="L3684" s="94"/>
      <c r="M3684" s="159"/>
      <c r="N3684" s="94"/>
    </row>
    <row r="3685">
      <c r="A3685" s="107">
        <v>1627739.0</v>
      </c>
      <c r="B3685" s="108" t="s">
        <v>192</v>
      </c>
      <c r="C3685" s="108" t="s">
        <v>901</v>
      </c>
      <c r="D3685" s="100" t="str">
        <f t="shared" si="1"/>
        <v/>
      </c>
      <c r="E3685" s="100" t="str">
        <f t="shared" si="2"/>
        <v/>
      </c>
      <c r="F3685" s="100" t="str">
        <f t="shared" si="3"/>
        <v/>
      </c>
      <c r="G3685" s="151"/>
      <c r="H3685" s="156"/>
      <c r="I3685" s="157"/>
      <c r="J3685" s="161"/>
      <c r="L3685" s="94"/>
      <c r="M3685" s="159"/>
      <c r="N3685" s="94"/>
    </row>
    <row r="3686">
      <c r="A3686" s="107">
        <v>1627739.0</v>
      </c>
      <c r="B3686" s="108" t="s">
        <v>193</v>
      </c>
      <c r="C3686" s="108" t="s">
        <v>901</v>
      </c>
      <c r="D3686" s="100" t="str">
        <f t="shared" si="1"/>
        <v/>
      </c>
      <c r="E3686" s="100" t="str">
        <f t="shared" si="2"/>
        <v/>
      </c>
      <c r="F3686" s="100" t="str">
        <f t="shared" si="3"/>
        <v/>
      </c>
      <c r="G3686" s="151"/>
      <c r="H3686" s="160"/>
      <c r="I3686" s="157"/>
      <c r="J3686" s="158"/>
      <c r="L3686" s="94"/>
      <c r="M3686" s="159"/>
      <c r="N3686" s="94"/>
    </row>
    <row r="3687">
      <c r="A3687" s="107">
        <v>1627739.0</v>
      </c>
      <c r="B3687" s="108" t="s">
        <v>243</v>
      </c>
      <c r="C3687" s="108" t="s">
        <v>901</v>
      </c>
      <c r="D3687" s="100" t="str">
        <f t="shared" si="1"/>
        <v/>
      </c>
      <c r="E3687" s="100" t="str">
        <f t="shared" si="2"/>
        <v/>
      </c>
      <c r="F3687" s="100" t="str">
        <f t="shared" si="3"/>
        <v/>
      </c>
      <c r="G3687" s="151"/>
      <c r="H3687" s="156"/>
      <c r="I3687" s="157"/>
      <c r="J3687" s="161"/>
      <c r="L3687" s="94"/>
      <c r="M3687" s="159"/>
      <c r="N3687" s="94"/>
    </row>
    <row r="3688">
      <c r="A3688" s="107">
        <v>1627739.0</v>
      </c>
      <c r="B3688" s="108" t="s">
        <v>215</v>
      </c>
      <c r="C3688" s="108" t="s">
        <v>901</v>
      </c>
      <c r="D3688" s="100" t="str">
        <f t="shared" si="1"/>
        <v/>
      </c>
      <c r="E3688" s="100" t="str">
        <f t="shared" si="2"/>
        <v/>
      </c>
      <c r="F3688" s="100" t="str">
        <f t="shared" si="3"/>
        <v/>
      </c>
      <c r="G3688" s="151"/>
      <c r="H3688" s="160"/>
      <c r="I3688" s="157"/>
      <c r="J3688" s="158"/>
      <c r="L3688" s="94"/>
      <c r="M3688" s="159"/>
      <c r="N3688" s="94"/>
    </row>
    <row r="3689">
      <c r="A3689" s="107">
        <v>1627739.0</v>
      </c>
      <c r="B3689" s="108" t="s">
        <v>244</v>
      </c>
      <c r="C3689" s="108" t="s">
        <v>901</v>
      </c>
      <c r="D3689" s="100" t="str">
        <f t="shared" si="1"/>
        <v/>
      </c>
      <c r="E3689" s="100" t="str">
        <f t="shared" si="2"/>
        <v/>
      </c>
      <c r="F3689" s="100" t="str">
        <f t="shared" si="3"/>
        <v/>
      </c>
      <c r="G3689" s="151"/>
      <c r="H3689" s="156"/>
      <c r="I3689" s="157"/>
      <c r="J3689" s="161"/>
      <c r="L3689" s="94"/>
      <c r="M3689" s="159"/>
      <c r="N3689" s="94"/>
    </row>
    <row r="3690">
      <c r="A3690" s="107">
        <v>1627739.0</v>
      </c>
      <c r="B3690" s="108" t="s">
        <v>245</v>
      </c>
      <c r="C3690" s="108" t="s">
        <v>901</v>
      </c>
      <c r="D3690" s="100" t="str">
        <f t="shared" si="1"/>
        <v/>
      </c>
      <c r="E3690" s="100" t="str">
        <f t="shared" si="2"/>
        <v/>
      </c>
      <c r="F3690" s="100" t="str">
        <f t="shared" si="3"/>
        <v/>
      </c>
      <c r="G3690" s="151"/>
      <c r="H3690" s="160"/>
      <c r="I3690" s="157"/>
      <c r="J3690" s="158"/>
      <c r="L3690" s="94"/>
      <c r="M3690" s="159"/>
      <c r="N3690" s="94"/>
    </row>
    <row r="3691">
      <c r="A3691" s="107">
        <v>1627739.0</v>
      </c>
      <c r="B3691" s="108" t="s">
        <v>246</v>
      </c>
      <c r="C3691" s="108" t="s">
        <v>901</v>
      </c>
      <c r="D3691" s="100" t="str">
        <f t="shared" si="1"/>
        <v/>
      </c>
      <c r="E3691" s="100" t="str">
        <f t="shared" si="2"/>
        <v/>
      </c>
      <c r="F3691" s="100" t="str">
        <f t="shared" si="3"/>
        <v/>
      </c>
      <c r="G3691" s="151"/>
      <c r="H3691" s="156"/>
      <c r="I3691" s="157"/>
      <c r="J3691" s="161"/>
      <c r="L3691" s="94"/>
      <c r="M3691" s="159"/>
      <c r="N3691" s="94"/>
    </row>
    <row r="3692">
      <c r="A3692" s="149">
        <v>1627739.0</v>
      </c>
      <c r="B3692" s="115" t="s">
        <v>247</v>
      </c>
      <c r="C3692" s="115" t="s">
        <v>901</v>
      </c>
      <c r="D3692" s="100" t="str">
        <f t="shared" si="1"/>
        <v/>
      </c>
      <c r="E3692" s="100" t="str">
        <f t="shared" si="2"/>
        <v/>
      </c>
      <c r="F3692" s="100" t="str">
        <f t="shared" si="3"/>
        <v/>
      </c>
      <c r="G3692" s="151"/>
      <c r="H3692" s="160"/>
      <c r="I3692" s="157"/>
      <c r="J3692" s="158"/>
      <c r="L3692" s="94"/>
      <c r="M3692" s="159"/>
      <c r="N3692" s="94"/>
    </row>
    <row r="3693">
      <c r="A3693" s="21">
        <v>1627740.0</v>
      </c>
      <c r="B3693" s="164" t="s">
        <v>190</v>
      </c>
      <c r="C3693" s="164" t="s">
        <v>902</v>
      </c>
      <c r="D3693" s="100" t="str">
        <f t="shared" si="1"/>
        <v/>
      </c>
      <c r="E3693" s="100" t="str">
        <f t="shared" si="2"/>
        <v/>
      </c>
      <c r="F3693" s="100" t="str">
        <f t="shared" si="3"/>
        <v/>
      </c>
      <c r="G3693" s="151"/>
      <c r="H3693" s="156"/>
      <c r="I3693" s="157"/>
      <c r="J3693" s="161"/>
      <c r="L3693" s="94"/>
      <c r="M3693" s="159"/>
      <c r="N3693" s="94"/>
    </row>
    <row r="3694">
      <c r="A3694" s="107">
        <v>1627740.0</v>
      </c>
      <c r="B3694" s="108" t="s">
        <v>191</v>
      </c>
      <c r="C3694" s="108" t="s">
        <v>902</v>
      </c>
      <c r="D3694" s="100" t="str">
        <f t="shared" si="1"/>
        <v/>
      </c>
      <c r="E3694" s="100" t="str">
        <f t="shared" si="2"/>
        <v/>
      </c>
      <c r="F3694" s="100" t="str">
        <f t="shared" si="3"/>
        <v/>
      </c>
      <c r="G3694" s="151"/>
      <c r="H3694" s="160"/>
      <c r="I3694" s="157"/>
      <c r="J3694" s="158"/>
      <c r="L3694" s="94"/>
      <c r="M3694" s="159"/>
      <c r="N3694" s="94"/>
    </row>
    <row r="3695">
      <c r="A3695" s="107">
        <v>1627740.0</v>
      </c>
      <c r="B3695" s="108" t="s">
        <v>192</v>
      </c>
      <c r="C3695" s="108" t="s">
        <v>902</v>
      </c>
      <c r="D3695" s="100" t="str">
        <f t="shared" si="1"/>
        <v/>
      </c>
      <c r="E3695" s="100" t="str">
        <f t="shared" si="2"/>
        <v/>
      </c>
      <c r="F3695" s="100" t="str">
        <f t="shared" si="3"/>
        <v/>
      </c>
      <c r="G3695" s="151"/>
      <c r="H3695" s="156"/>
      <c r="I3695" s="157"/>
      <c r="J3695" s="161"/>
      <c r="L3695" s="94"/>
      <c r="M3695" s="159"/>
      <c r="N3695" s="94"/>
    </row>
    <row r="3696">
      <c r="A3696" s="107">
        <v>1627740.0</v>
      </c>
      <c r="B3696" s="108" t="s">
        <v>193</v>
      </c>
      <c r="C3696" s="108" t="s">
        <v>902</v>
      </c>
      <c r="D3696" s="100" t="str">
        <f t="shared" si="1"/>
        <v/>
      </c>
      <c r="E3696" s="100" t="str">
        <f t="shared" si="2"/>
        <v/>
      </c>
      <c r="F3696" s="100" t="str">
        <f t="shared" si="3"/>
        <v/>
      </c>
      <c r="G3696" s="151"/>
      <c r="H3696" s="160"/>
      <c r="I3696" s="157"/>
      <c r="J3696" s="158"/>
      <c r="L3696" s="94"/>
      <c r="M3696" s="159"/>
      <c r="N3696" s="94"/>
    </row>
    <row r="3697">
      <c r="A3697" s="107">
        <v>1627740.0</v>
      </c>
      <c r="B3697" s="108" t="s">
        <v>243</v>
      </c>
      <c r="C3697" s="108" t="s">
        <v>902</v>
      </c>
      <c r="D3697" s="100" t="str">
        <f t="shared" si="1"/>
        <v/>
      </c>
      <c r="E3697" s="100" t="str">
        <f t="shared" si="2"/>
        <v/>
      </c>
      <c r="F3697" s="100" t="str">
        <f t="shared" si="3"/>
        <v/>
      </c>
      <c r="G3697" s="151"/>
      <c r="H3697" s="156"/>
      <c r="I3697" s="157"/>
      <c r="J3697" s="161"/>
      <c r="L3697" s="94"/>
      <c r="M3697" s="159"/>
      <c r="N3697" s="94"/>
    </row>
    <row r="3698">
      <c r="A3698" s="107">
        <v>1627741.0</v>
      </c>
      <c r="B3698" s="108" t="s">
        <v>190</v>
      </c>
      <c r="C3698" s="108" t="s">
        <v>903</v>
      </c>
      <c r="D3698" s="100" t="str">
        <f t="shared" si="1"/>
        <v/>
      </c>
      <c r="E3698" s="100" t="str">
        <f t="shared" si="2"/>
        <v/>
      </c>
      <c r="F3698" s="100" t="str">
        <f t="shared" si="3"/>
        <v/>
      </c>
      <c r="G3698" s="151"/>
      <c r="H3698" s="160"/>
      <c r="I3698" s="157"/>
      <c r="J3698" s="158"/>
      <c r="L3698" s="94"/>
      <c r="M3698" s="159"/>
      <c r="N3698" s="94"/>
    </row>
    <row r="3699">
      <c r="A3699" s="107">
        <v>1627741.0</v>
      </c>
      <c r="B3699" s="108" t="s">
        <v>191</v>
      </c>
      <c r="C3699" s="108" t="s">
        <v>903</v>
      </c>
      <c r="D3699" s="100" t="str">
        <f t="shared" si="1"/>
        <v/>
      </c>
      <c r="E3699" s="100" t="str">
        <f t="shared" si="2"/>
        <v/>
      </c>
      <c r="F3699" s="100" t="str">
        <f t="shared" si="3"/>
        <v/>
      </c>
      <c r="G3699" s="151"/>
      <c r="H3699" s="156"/>
      <c r="I3699" s="157"/>
      <c r="J3699" s="161"/>
      <c r="L3699" s="94"/>
      <c r="M3699" s="159"/>
      <c r="N3699" s="94"/>
    </row>
    <row r="3700">
      <c r="A3700" s="107">
        <v>1627741.0</v>
      </c>
      <c r="B3700" s="108" t="s">
        <v>192</v>
      </c>
      <c r="C3700" s="108" t="s">
        <v>903</v>
      </c>
      <c r="D3700" s="100" t="str">
        <f t="shared" si="1"/>
        <v/>
      </c>
      <c r="E3700" s="100" t="str">
        <f t="shared" si="2"/>
        <v/>
      </c>
      <c r="F3700" s="100" t="str">
        <f t="shared" si="3"/>
        <v/>
      </c>
      <c r="G3700" s="151"/>
      <c r="H3700" s="160"/>
      <c r="I3700" s="157"/>
      <c r="J3700" s="158"/>
      <c r="L3700" s="94"/>
      <c r="M3700" s="159"/>
      <c r="N3700" s="94"/>
    </row>
    <row r="3701">
      <c r="A3701" s="107">
        <v>1627741.0</v>
      </c>
      <c r="B3701" s="108" t="s">
        <v>193</v>
      </c>
      <c r="C3701" s="108" t="s">
        <v>903</v>
      </c>
      <c r="D3701" s="100" t="str">
        <f t="shared" si="1"/>
        <v/>
      </c>
      <c r="E3701" s="100" t="str">
        <f t="shared" si="2"/>
        <v/>
      </c>
      <c r="F3701" s="100" t="str">
        <f t="shared" si="3"/>
        <v/>
      </c>
      <c r="G3701" s="151"/>
      <c r="H3701" s="156"/>
      <c r="I3701" s="157"/>
      <c r="J3701" s="161"/>
      <c r="L3701" s="94"/>
      <c r="M3701" s="159"/>
      <c r="N3701" s="94"/>
    </row>
    <row r="3702">
      <c r="A3702" s="107">
        <v>1627741.0</v>
      </c>
      <c r="B3702" s="108" t="s">
        <v>243</v>
      </c>
      <c r="C3702" s="108" t="s">
        <v>903</v>
      </c>
      <c r="D3702" s="100" t="str">
        <f t="shared" si="1"/>
        <v/>
      </c>
      <c r="E3702" s="100" t="str">
        <f t="shared" si="2"/>
        <v/>
      </c>
      <c r="F3702" s="100" t="str">
        <f t="shared" si="3"/>
        <v/>
      </c>
      <c r="G3702" s="151"/>
      <c r="H3702" s="160"/>
      <c r="I3702" s="157"/>
      <c r="J3702" s="158"/>
      <c r="L3702" s="94"/>
      <c r="M3702" s="159"/>
      <c r="N3702" s="94"/>
    </row>
    <row r="3703">
      <c r="A3703" s="107">
        <v>1627741.0</v>
      </c>
      <c r="B3703" s="108" t="s">
        <v>215</v>
      </c>
      <c r="C3703" s="108" t="s">
        <v>903</v>
      </c>
      <c r="D3703" s="100" t="str">
        <f t="shared" si="1"/>
        <v/>
      </c>
      <c r="E3703" s="100" t="str">
        <f t="shared" si="2"/>
        <v/>
      </c>
      <c r="F3703" s="100" t="str">
        <f t="shared" si="3"/>
        <v/>
      </c>
      <c r="G3703" s="151"/>
      <c r="H3703" s="156"/>
      <c r="I3703" s="157"/>
      <c r="J3703" s="161"/>
      <c r="L3703" s="94"/>
      <c r="M3703" s="159"/>
      <c r="N3703" s="94"/>
    </row>
    <row r="3704">
      <c r="A3704" s="107">
        <v>1627741.0</v>
      </c>
      <c r="B3704" s="108" t="s">
        <v>244</v>
      </c>
      <c r="C3704" s="108" t="s">
        <v>903</v>
      </c>
      <c r="D3704" s="100" t="str">
        <f t="shared" si="1"/>
        <v/>
      </c>
      <c r="E3704" s="100" t="str">
        <f t="shared" si="2"/>
        <v/>
      </c>
      <c r="F3704" s="100" t="str">
        <f t="shared" si="3"/>
        <v/>
      </c>
      <c r="G3704" s="151"/>
      <c r="H3704" s="160"/>
      <c r="I3704" s="157"/>
      <c r="J3704" s="158"/>
      <c r="L3704" s="94"/>
      <c r="M3704" s="159"/>
      <c r="N3704" s="94"/>
    </row>
    <row r="3705">
      <c r="A3705" s="107">
        <v>1627741.0</v>
      </c>
      <c r="B3705" s="108" t="s">
        <v>245</v>
      </c>
      <c r="C3705" s="108" t="s">
        <v>903</v>
      </c>
      <c r="D3705" s="100" t="str">
        <f t="shared" si="1"/>
        <v/>
      </c>
      <c r="E3705" s="100" t="str">
        <f t="shared" si="2"/>
        <v/>
      </c>
      <c r="F3705" s="100" t="str">
        <f t="shared" si="3"/>
        <v/>
      </c>
      <c r="G3705" s="151"/>
      <c r="H3705" s="156"/>
      <c r="I3705" s="157"/>
      <c r="J3705" s="161"/>
      <c r="L3705" s="94"/>
      <c r="M3705" s="159"/>
      <c r="N3705" s="94"/>
    </row>
    <row r="3706">
      <c r="A3706" s="107">
        <v>1627741.0</v>
      </c>
      <c r="B3706" s="108" t="s">
        <v>246</v>
      </c>
      <c r="C3706" s="108" t="s">
        <v>903</v>
      </c>
      <c r="D3706" s="100" t="str">
        <f t="shared" si="1"/>
        <v/>
      </c>
      <c r="E3706" s="100" t="str">
        <f t="shared" si="2"/>
        <v/>
      </c>
      <c r="F3706" s="100" t="str">
        <f t="shared" si="3"/>
        <v/>
      </c>
      <c r="G3706" s="151"/>
      <c r="H3706" s="160"/>
      <c r="I3706" s="157"/>
      <c r="J3706" s="158"/>
      <c r="L3706" s="94"/>
      <c r="M3706" s="159"/>
      <c r="N3706" s="94"/>
    </row>
    <row r="3707">
      <c r="A3707" s="149">
        <v>1627741.0</v>
      </c>
      <c r="B3707" s="115" t="s">
        <v>247</v>
      </c>
      <c r="C3707" s="115" t="s">
        <v>903</v>
      </c>
      <c r="D3707" s="100" t="str">
        <f t="shared" si="1"/>
        <v/>
      </c>
      <c r="E3707" s="100" t="str">
        <f t="shared" si="2"/>
        <v/>
      </c>
      <c r="F3707" s="100" t="str">
        <f t="shared" si="3"/>
        <v/>
      </c>
      <c r="G3707" s="151"/>
      <c r="H3707" s="156"/>
      <c r="I3707" s="157"/>
      <c r="J3707" s="161"/>
      <c r="L3707" s="94"/>
      <c r="M3707" s="159"/>
      <c r="N3707" s="94"/>
    </row>
    <row r="3708">
      <c r="A3708" s="21">
        <v>1627742.0</v>
      </c>
      <c r="B3708" s="164" t="s">
        <v>190</v>
      </c>
      <c r="C3708" s="164" t="s">
        <v>904</v>
      </c>
      <c r="D3708" s="100" t="str">
        <f t="shared" si="1"/>
        <v/>
      </c>
      <c r="E3708" s="100" t="str">
        <f t="shared" si="2"/>
        <v/>
      </c>
      <c r="F3708" s="100" t="str">
        <f t="shared" si="3"/>
        <v/>
      </c>
      <c r="G3708" s="151"/>
      <c r="H3708" s="160"/>
      <c r="I3708" s="157"/>
      <c r="J3708" s="158"/>
      <c r="L3708" s="94"/>
      <c r="M3708" s="159"/>
      <c r="N3708" s="94"/>
    </row>
    <row r="3709">
      <c r="A3709" s="107">
        <v>1627742.0</v>
      </c>
      <c r="B3709" s="108" t="s">
        <v>191</v>
      </c>
      <c r="C3709" s="108" t="s">
        <v>904</v>
      </c>
      <c r="D3709" s="100" t="str">
        <f t="shared" si="1"/>
        <v/>
      </c>
      <c r="E3709" s="100" t="str">
        <f t="shared" si="2"/>
        <v/>
      </c>
      <c r="F3709" s="100" t="str">
        <f t="shared" si="3"/>
        <v/>
      </c>
      <c r="G3709" s="151"/>
      <c r="H3709" s="156"/>
      <c r="I3709" s="157"/>
      <c r="J3709" s="161"/>
      <c r="L3709" s="94"/>
      <c r="M3709" s="159"/>
      <c r="N3709" s="94"/>
    </row>
    <row r="3710">
      <c r="A3710" s="107">
        <v>1627742.0</v>
      </c>
      <c r="B3710" s="108" t="s">
        <v>192</v>
      </c>
      <c r="C3710" s="108" t="s">
        <v>904</v>
      </c>
      <c r="D3710" s="100" t="str">
        <f t="shared" si="1"/>
        <v/>
      </c>
      <c r="E3710" s="100" t="str">
        <f t="shared" si="2"/>
        <v/>
      </c>
      <c r="F3710" s="100" t="str">
        <f t="shared" si="3"/>
        <v/>
      </c>
      <c r="G3710" s="151"/>
      <c r="H3710" s="160"/>
      <c r="I3710" s="157"/>
      <c r="J3710" s="158"/>
      <c r="L3710" s="94"/>
      <c r="M3710" s="159"/>
      <c r="N3710" s="94"/>
    </row>
    <row r="3711">
      <c r="A3711" s="107">
        <v>1627742.0</v>
      </c>
      <c r="B3711" s="108" t="s">
        <v>193</v>
      </c>
      <c r="C3711" s="108" t="s">
        <v>904</v>
      </c>
      <c r="D3711" s="100" t="str">
        <f t="shared" si="1"/>
        <v/>
      </c>
      <c r="E3711" s="100" t="str">
        <f t="shared" si="2"/>
        <v/>
      </c>
      <c r="F3711" s="100" t="str">
        <f t="shared" si="3"/>
        <v/>
      </c>
      <c r="G3711" s="151"/>
      <c r="H3711" s="156"/>
      <c r="I3711" s="157"/>
      <c r="J3711" s="161"/>
      <c r="L3711" s="94"/>
      <c r="M3711" s="159"/>
      <c r="N3711" s="94"/>
    </row>
    <row r="3712">
      <c r="A3712" s="107">
        <v>1627742.0</v>
      </c>
      <c r="B3712" s="108" t="s">
        <v>243</v>
      </c>
      <c r="C3712" s="108" t="s">
        <v>904</v>
      </c>
      <c r="D3712" s="100" t="str">
        <f t="shared" si="1"/>
        <v/>
      </c>
      <c r="E3712" s="100" t="str">
        <f t="shared" si="2"/>
        <v/>
      </c>
      <c r="F3712" s="100" t="str">
        <f t="shared" si="3"/>
        <v/>
      </c>
      <c r="G3712" s="151"/>
      <c r="H3712" s="160"/>
      <c r="I3712" s="157"/>
      <c r="J3712" s="158"/>
      <c r="L3712" s="94"/>
      <c r="M3712" s="159"/>
      <c r="N3712" s="94"/>
    </row>
    <row r="3713">
      <c r="A3713" s="107">
        <v>1627742.0</v>
      </c>
      <c r="B3713" s="108" t="s">
        <v>215</v>
      </c>
      <c r="C3713" s="108" t="s">
        <v>904</v>
      </c>
      <c r="D3713" s="100" t="str">
        <f t="shared" si="1"/>
        <v/>
      </c>
      <c r="E3713" s="100" t="str">
        <f t="shared" si="2"/>
        <v/>
      </c>
      <c r="F3713" s="100" t="str">
        <f t="shared" si="3"/>
        <v/>
      </c>
      <c r="G3713" s="151"/>
      <c r="H3713" s="156"/>
      <c r="I3713" s="157"/>
      <c r="J3713" s="161"/>
      <c r="L3713" s="94"/>
      <c r="M3713" s="159"/>
      <c r="N3713" s="94"/>
    </row>
    <row r="3714">
      <c r="A3714" s="107">
        <v>1627742.0</v>
      </c>
      <c r="B3714" s="108" t="s">
        <v>244</v>
      </c>
      <c r="C3714" s="108" t="s">
        <v>904</v>
      </c>
      <c r="D3714" s="100" t="str">
        <f t="shared" si="1"/>
        <v/>
      </c>
      <c r="E3714" s="100" t="str">
        <f t="shared" si="2"/>
        <v/>
      </c>
      <c r="F3714" s="100" t="str">
        <f t="shared" si="3"/>
        <v/>
      </c>
      <c r="G3714" s="151"/>
      <c r="H3714" s="160"/>
      <c r="I3714" s="157"/>
      <c r="J3714" s="158"/>
      <c r="L3714" s="94"/>
      <c r="M3714" s="159"/>
      <c r="N3714" s="94"/>
    </row>
    <row r="3715">
      <c r="A3715" s="107">
        <v>1627742.0</v>
      </c>
      <c r="B3715" s="108" t="s">
        <v>245</v>
      </c>
      <c r="C3715" s="108" t="s">
        <v>904</v>
      </c>
      <c r="D3715" s="100" t="str">
        <f t="shared" si="1"/>
        <v/>
      </c>
      <c r="E3715" s="100" t="str">
        <f t="shared" si="2"/>
        <v/>
      </c>
      <c r="F3715" s="100" t="str">
        <f t="shared" si="3"/>
        <v/>
      </c>
      <c r="G3715" s="151"/>
      <c r="H3715" s="156"/>
      <c r="I3715" s="157"/>
      <c r="J3715" s="161"/>
      <c r="L3715" s="94"/>
      <c r="M3715" s="159"/>
      <c r="N3715" s="94"/>
    </row>
    <row r="3716">
      <c r="A3716" s="107">
        <v>1627742.0</v>
      </c>
      <c r="B3716" s="108" t="s">
        <v>246</v>
      </c>
      <c r="C3716" s="108" t="s">
        <v>904</v>
      </c>
      <c r="D3716" s="100" t="str">
        <f t="shared" si="1"/>
        <v/>
      </c>
      <c r="E3716" s="100" t="str">
        <f t="shared" si="2"/>
        <v/>
      </c>
      <c r="F3716" s="100" t="str">
        <f t="shared" si="3"/>
        <v/>
      </c>
      <c r="G3716" s="151"/>
      <c r="H3716" s="160"/>
      <c r="I3716" s="157"/>
      <c r="J3716" s="158"/>
      <c r="L3716" s="94"/>
      <c r="M3716" s="159"/>
      <c r="N3716" s="94"/>
    </row>
    <row r="3717">
      <c r="A3717" s="149">
        <v>1627742.0</v>
      </c>
      <c r="B3717" s="115" t="s">
        <v>247</v>
      </c>
      <c r="C3717" s="115" t="s">
        <v>904</v>
      </c>
      <c r="D3717" s="100" t="str">
        <f t="shared" si="1"/>
        <v/>
      </c>
      <c r="E3717" s="100" t="str">
        <f t="shared" si="2"/>
        <v/>
      </c>
      <c r="F3717" s="100" t="str">
        <f t="shared" si="3"/>
        <v/>
      </c>
      <c r="G3717" s="151"/>
      <c r="H3717" s="156"/>
      <c r="I3717" s="157"/>
      <c r="J3717" s="161"/>
      <c r="L3717" s="94"/>
      <c r="M3717" s="159"/>
      <c r="N3717" s="94"/>
    </row>
    <row r="3718">
      <c r="A3718" s="21">
        <v>1627743.0</v>
      </c>
      <c r="B3718" s="164" t="s">
        <v>190</v>
      </c>
      <c r="C3718" s="164" t="s">
        <v>905</v>
      </c>
      <c r="D3718" s="100" t="str">
        <f t="shared" si="1"/>
        <v/>
      </c>
      <c r="E3718" s="100" t="str">
        <f t="shared" si="2"/>
        <v/>
      </c>
      <c r="F3718" s="100" t="str">
        <f t="shared" si="3"/>
        <v/>
      </c>
      <c r="G3718" s="151"/>
      <c r="H3718" s="160"/>
      <c r="I3718" s="157"/>
      <c r="J3718" s="158"/>
      <c r="L3718" s="94"/>
      <c r="M3718" s="159"/>
      <c r="N3718" s="94"/>
    </row>
    <row r="3719">
      <c r="A3719" s="107">
        <v>1627743.0</v>
      </c>
      <c r="B3719" s="108" t="s">
        <v>191</v>
      </c>
      <c r="C3719" s="108" t="s">
        <v>905</v>
      </c>
      <c r="D3719" s="100" t="str">
        <f t="shared" si="1"/>
        <v/>
      </c>
      <c r="E3719" s="100" t="str">
        <f t="shared" si="2"/>
        <v/>
      </c>
      <c r="F3719" s="100" t="str">
        <f t="shared" si="3"/>
        <v/>
      </c>
      <c r="G3719" s="151"/>
      <c r="H3719" s="156"/>
      <c r="I3719" s="157"/>
      <c r="J3719" s="161"/>
      <c r="L3719" s="94"/>
      <c r="M3719" s="159"/>
      <c r="N3719" s="94"/>
    </row>
    <row r="3720">
      <c r="A3720" s="107">
        <v>1627743.0</v>
      </c>
      <c r="B3720" s="108" t="s">
        <v>192</v>
      </c>
      <c r="C3720" s="108" t="s">
        <v>905</v>
      </c>
      <c r="D3720" s="100" t="str">
        <f t="shared" si="1"/>
        <v/>
      </c>
      <c r="E3720" s="100" t="str">
        <f t="shared" si="2"/>
        <v/>
      </c>
      <c r="F3720" s="100" t="str">
        <f t="shared" si="3"/>
        <v/>
      </c>
      <c r="G3720" s="151"/>
      <c r="H3720" s="160"/>
      <c r="I3720" s="157"/>
      <c r="J3720" s="158"/>
      <c r="L3720" s="94"/>
      <c r="M3720" s="159"/>
      <c r="N3720" s="94"/>
    </row>
    <row r="3721">
      <c r="A3721" s="107">
        <v>1627744.0</v>
      </c>
      <c r="B3721" s="108" t="s">
        <v>190</v>
      </c>
      <c r="C3721" s="108" t="s">
        <v>906</v>
      </c>
      <c r="D3721" s="100" t="str">
        <f t="shared" si="1"/>
        <v/>
      </c>
      <c r="E3721" s="100" t="str">
        <f t="shared" si="2"/>
        <v/>
      </c>
      <c r="F3721" s="100" t="str">
        <f t="shared" si="3"/>
        <v/>
      </c>
      <c r="G3721" s="151"/>
      <c r="H3721" s="156"/>
      <c r="I3721" s="157"/>
      <c r="J3721" s="161"/>
      <c r="L3721" s="94"/>
      <c r="M3721" s="159"/>
      <c r="N3721" s="94"/>
    </row>
    <row r="3722">
      <c r="A3722" s="107">
        <v>1627744.0</v>
      </c>
      <c r="B3722" s="108" t="s">
        <v>191</v>
      </c>
      <c r="C3722" s="108" t="s">
        <v>906</v>
      </c>
      <c r="D3722" s="100" t="str">
        <f t="shared" si="1"/>
        <v/>
      </c>
      <c r="E3722" s="100" t="str">
        <f t="shared" si="2"/>
        <v/>
      </c>
      <c r="F3722" s="100" t="str">
        <f t="shared" si="3"/>
        <v/>
      </c>
      <c r="G3722" s="151"/>
      <c r="H3722" s="160"/>
      <c r="I3722" s="157"/>
      <c r="J3722" s="158"/>
      <c r="L3722" s="94"/>
      <c r="M3722" s="159"/>
      <c r="N3722" s="94"/>
    </row>
    <row r="3723">
      <c r="A3723" s="107">
        <v>1627745.0</v>
      </c>
      <c r="B3723" s="108" t="s">
        <v>190</v>
      </c>
      <c r="C3723" s="108" t="s">
        <v>907</v>
      </c>
      <c r="D3723" s="100" t="str">
        <f t="shared" si="1"/>
        <v/>
      </c>
      <c r="E3723" s="100" t="str">
        <f t="shared" si="2"/>
        <v/>
      </c>
      <c r="F3723" s="100" t="str">
        <f t="shared" si="3"/>
        <v/>
      </c>
      <c r="G3723" s="151"/>
      <c r="H3723" s="156"/>
      <c r="I3723" s="157"/>
      <c r="J3723" s="161"/>
      <c r="L3723" s="94"/>
      <c r="M3723" s="159"/>
      <c r="N3723" s="94"/>
    </row>
    <row r="3724">
      <c r="A3724" s="107">
        <v>1627745.0</v>
      </c>
      <c r="B3724" s="108" t="s">
        <v>191</v>
      </c>
      <c r="C3724" s="108" t="s">
        <v>907</v>
      </c>
      <c r="D3724" s="100" t="str">
        <f t="shared" si="1"/>
        <v/>
      </c>
      <c r="E3724" s="100" t="str">
        <f t="shared" si="2"/>
        <v/>
      </c>
      <c r="F3724" s="100" t="str">
        <f t="shared" si="3"/>
        <v/>
      </c>
      <c r="G3724" s="151"/>
      <c r="H3724" s="160"/>
      <c r="I3724" s="157"/>
      <c r="J3724" s="158"/>
      <c r="L3724" s="94"/>
      <c r="M3724" s="159"/>
      <c r="N3724" s="94"/>
    </row>
    <row r="3725">
      <c r="A3725" s="107">
        <v>1627745.0</v>
      </c>
      <c r="B3725" s="108" t="s">
        <v>192</v>
      </c>
      <c r="C3725" s="108" t="s">
        <v>907</v>
      </c>
      <c r="D3725" s="100" t="str">
        <f t="shared" si="1"/>
        <v/>
      </c>
      <c r="E3725" s="100" t="str">
        <f t="shared" si="2"/>
        <v/>
      </c>
      <c r="F3725" s="100" t="str">
        <f t="shared" si="3"/>
        <v/>
      </c>
      <c r="G3725" s="151"/>
      <c r="H3725" s="156"/>
      <c r="I3725" s="157"/>
      <c r="J3725" s="161"/>
      <c r="L3725" s="94"/>
      <c r="M3725" s="159"/>
      <c r="N3725" s="94"/>
    </row>
    <row r="3726">
      <c r="A3726" s="107">
        <v>1627745.0</v>
      </c>
      <c r="B3726" s="108" t="s">
        <v>193</v>
      </c>
      <c r="C3726" s="108" t="s">
        <v>907</v>
      </c>
      <c r="D3726" s="100" t="str">
        <f t="shared" si="1"/>
        <v/>
      </c>
      <c r="E3726" s="100" t="str">
        <f t="shared" si="2"/>
        <v/>
      </c>
      <c r="F3726" s="100" t="str">
        <f t="shared" si="3"/>
        <v/>
      </c>
      <c r="G3726" s="151"/>
      <c r="H3726" s="160"/>
      <c r="I3726" s="157"/>
      <c r="J3726" s="158"/>
      <c r="L3726" s="94"/>
      <c r="M3726" s="159"/>
      <c r="N3726" s="94"/>
    </row>
    <row r="3727">
      <c r="A3727" s="107">
        <v>1627745.0</v>
      </c>
      <c r="B3727" s="108" t="s">
        <v>243</v>
      </c>
      <c r="C3727" s="108" t="s">
        <v>907</v>
      </c>
      <c r="D3727" s="100" t="str">
        <f t="shared" si="1"/>
        <v/>
      </c>
      <c r="E3727" s="100" t="str">
        <f t="shared" si="2"/>
        <v/>
      </c>
      <c r="F3727" s="100" t="str">
        <f t="shared" si="3"/>
        <v/>
      </c>
      <c r="G3727" s="151"/>
      <c r="H3727" s="156"/>
      <c r="I3727" s="157"/>
      <c r="J3727" s="161"/>
      <c r="L3727" s="94"/>
      <c r="M3727" s="159"/>
      <c r="N3727" s="94"/>
    </row>
    <row r="3728">
      <c r="A3728" s="107">
        <v>1627745.0</v>
      </c>
      <c r="B3728" s="108" t="s">
        <v>215</v>
      </c>
      <c r="C3728" s="108" t="s">
        <v>907</v>
      </c>
      <c r="D3728" s="100" t="str">
        <f t="shared" si="1"/>
        <v/>
      </c>
      <c r="E3728" s="100" t="str">
        <f t="shared" si="2"/>
        <v/>
      </c>
      <c r="F3728" s="100" t="str">
        <f t="shared" si="3"/>
        <v/>
      </c>
      <c r="G3728" s="151"/>
      <c r="H3728" s="160"/>
      <c r="I3728" s="157"/>
      <c r="J3728" s="158"/>
      <c r="L3728" s="94"/>
      <c r="M3728" s="159"/>
      <c r="N3728" s="94"/>
    </row>
    <row r="3729">
      <c r="A3729" s="107">
        <v>1627745.0</v>
      </c>
      <c r="B3729" s="108" t="s">
        <v>244</v>
      </c>
      <c r="C3729" s="108" t="s">
        <v>907</v>
      </c>
      <c r="D3729" s="100" t="str">
        <f t="shared" si="1"/>
        <v/>
      </c>
      <c r="E3729" s="100" t="str">
        <f t="shared" si="2"/>
        <v/>
      </c>
      <c r="F3729" s="100" t="str">
        <f t="shared" si="3"/>
        <v/>
      </c>
      <c r="G3729" s="151"/>
      <c r="H3729" s="156"/>
      <c r="I3729" s="157"/>
      <c r="J3729" s="161"/>
      <c r="L3729" s="94"/>
      <c r="M3729" s="159"/>
      <c r="N3729" s="94"/>
    </row>
    <row r="3730">
      <c r="A3730" s="107">
        <v>1627745.0</v>
      </c>
      <c r="B3730" s="108" t="s">
        <v>245</v>
      </c>
      <c r="C3730" s="108" t="s">
        <v>907</v>
      </c>
      <c r="D3730" s="100" t="str">
        <f t="shared" si="1"/>
        <v/>
      </c>
      <c r="E3730" s="100" t="str">
        <f t="shared" si="2"/>
        <v/>
      </c>
      <c r="F3730" s="100" t="str">
        <f t="shared" si="3"/>
        <v/>
      </c>
      <c r="G3730" s="151"/>
      <c r="H3730" s="160"/>
      <c r="I3730" s="157"/>
      <c r="J3730" s="158"/>
      <c r="L3730" s="94"/>
      <c r="M3730" s="159"/>
      <c r="N3730" s="94"/>
    </row>
    <row r="3731">
      <c r="A3731" s="107">
        <v>1627746.0</v>
      </c>
      <c r="B3731" s="108" t="s">
        <v>190</v>
      </c>
      <c r="C3731" s="108" t="s">
        <v>908</v>
      </c>
      <c r="D3731" s="100" t="str">
        <f t="shared" si="1"/>
        <v/>
      </c>
      <c r="E3731" s="100" t="str">
        <f t="shared" si="2"/>
        <v/>
      </c>
      <c r="F3731" s="100" t="str">
        <f t="shared" si="3"/>
        <v/>
      </c>
      <c r="G3731" s="151"/>
      <c r="H3731" s="156"/>
      <c r="I3731" s="157"/>
      <c r="J3731" s="161"/>
      <c r="L3731" s="94"/>
      <c r="M3731" s="159"/>
      <c r="N3731" s="94"/>
    </row>
    <row r="3732">
      <c r="A3732" s="107">
        <v>1627746.0</v>
      </c>
      <c r="B3732" s="108" t="s">
        <v>191</v>
      </c>
      <c r="C3732" s="108" t="s">
        <v>908</v>
      </c>
      <c r="D3732" s="100" t="str">
        <f t="shared" si="1"/>
        <v/>
      </c>
      <c r="E3732" s="100" t="str">
        <f t="shared" si="2"/>
        <v/>
      </c>
      <c r="F3732" s="100" t="str">
        <f t="shared" si="3"/>
        <v/>
      </c>
      <c r="G3732" s="151"/>
      <c r="H3732" s="160"/>
      <c r="I3732" s="157"/>
      <c r="J3732" s="158"/>
      <c r="L3732" s="94"/>
      <c r="M3732" s="159"/>
      <c r="N3732" s="94"/>
    </row>
    <row r="3733">
      <c r="A3733" s="107">
        <v>1627746.0</v>
      </c>
      <c r="B3733" s="108" t="s">
        <v>192</v>
      </c>
      <c r="C3733" s="108" t="s">
        <v>908</v>
      </c>
      <c r="D3733" s="100" t="str">
        <f t="shared" si="1"/>
        <v/>
      </c>
      <c r="E3733" s="100" t="str">
        <f t="shared" si="2"/>
        <v/>
      </c>
      <c r="F3733" s="100" t="str">
        <f t="shared" si="3"/>
        <v/>
      </c>
      <c r="G3733" s="151"/>
      <c r="H3733" s="156"/>
      <c r="I3733" s="157"/>
      <c r="J3733" s="161"/>
      <c r="L3733" s="94"/>
      <c r="M3733" s="159"/>
      <c r="N3733" s="94"/>
    </row>
    <row r="3734">
      <c r="A3734" s="107">
        <v>1627746.0</v>
      </c>
      <c r="B3734" s="108" t="s">
        <v>193</v>
      </c>
      <c r="C3734" s="108" t="s">
        <v>908</v>
      </c>
      <c r="D3734" s="100" t="str">
        <f t="shared" si="1"/>
        <v/>
      </c>
      <c r="E3734" s="100" t="str">
        <f t="shared" si="2"/>
        <v/>
      </c>
      <c r="F3734" s="100" t="str">
        <f t="shared" si="3"/>
        <v/>
      </c>
      <c r="G3734" s="151"/>
      <c r="H3734" s="160"/>
      <c r="I3734" s="157"/>
      <c r="J3734" s="158"/>
      <c r="L3734" s="94"/>
      <c r="M3734" s="159"/>
      <c r="N3734" s="94"/>
    </row>
    <row r="3735">
      <c r="A3735" s="149">
        <v>1627746.0</v>
      </c>
      <c r="B3735" s="108" t="s">
        <v>246</v>
      </c>
      <c r="C3735" s="108" t="s">
        <v>908</v>
      </c>
      <c r="D3735" s="100" t="str">
        <f t="shared" si="1"/>
        <v/>
      </c>
      <c r="E3735" s="100" t="str">
        <f t="shared" si="2"/>
        <v/>
      </c>
      <c r="F3735" s="100" t="str">
        <f t="shared" si="3"/>
        <v/>
      </c>
      <c r="G3735" s="151"/>
      <c r="H3735" s="156"/>
      <c r="I3735" s="157"/>
      <c r="J3735" s="161"/>
      <c r="L3735" s="94"/>
      <c r="M3735" s="159"/>
      <c r="N3735" s="94"/>
    </row>
    <row r="3736">
      <c r="A3736" s="165">
        <v>1627747.0</v>
      </c>
      <c r="B3736" s="124" t="s">
        <v>190</v>
      </c>
      <c r="C3736" s="124" t="s">
        <v>909</v>
      </c>
      <c r="D3736" s="100" t="str">
        <f t="shared" si="1"/>
        <v/>
      </c>
      <c r="E3736" s="100" t="str">
        <f t="shared" si="2"/>
        <v/>
      </c>
      <c r="F3736" s="100" t="str">
        <f t="shared" si="3"/>
        <v/>
      </c>
      <c r="G3736" s="151"/>
      <c r="H3736" s="160"/>
      <c r="I3736" s="157"/>
      <c r="J3736" s="158"/>
      <c r="L3736" s="94"/>
      <c r="M3736" s="159"/>
      <c r="N3736" s="94"/>
    </row>
    <row r="3737">
      <c r="A3737" s="107">
        <v>1627747.0</v>
      </c>
      <c r="B3737" s="108" t="s">
        <v>191</v>
      </c>
      <c r="C3737" s="108" t="s">
        <v>909</v>
      </c>
      <c r="D3737" s="100" t="str">
        <f t="shared" si="1"/>
        <v/>
      </c>
      <c r="E3737" s="100" t="str">
        <f t="shared" si="2"/>
        <v/>
      </c>
      <c r="F3737" s="100" t="str">
        <f t="shared" si="3"/>
        <v/>
      </c>
      <c r="G3737" s="151"/>
      <c r="H3737" s="156"/>
      <c r="I3737" s="157"/>
      <c r="J3737" s="161"/>
      <c r="L3737" s="94"/>
      <c r="M3737" s="159"/>
      <c r="N3737" s="94"/>
    </row>
    <row r="3738">
      <c r="A3738" s="107">
        <v>1627747.0</v>
      </c>
      <c r="B3738" s="108" t="s">
        <v>192</v>
      </c>
      <c r="C3738" s="108" t="s">
        <v>909</v>
      </c>
      <c r="D3738" s="100" t="str">
        <f t="shared" si="1"/>
        <v/>
      </c>
      <c r="E3738" s="100" t="str">
        <f t="shared" si="2"/>
        <v/>
      </c>
      <c r="F3738" s="100" t="str">
        <f t="shared" si="3"/>
        <v/>
      </c>
      <c r="G3738" s="151"/>
      <c r="H3738" s="160"/>
      <c r="I3738" s="157"/>
      <c r="J3738" s="158"/>
      <c r="L3738" s="94"/>
      <c r="M3738" s="159"/>
      <c r="N3738" s="94"/>
    </row>
    <row r="3739">
      <c r="A3739" s="107">
        <v>1627747.0</v>
      </c>
      <c r="B3739" s="108" t="s">
        <v>193</v>
      </c>
      <c r="C3739" s="108" t="s">
        <v>909</v>
      </c>
      <c r="D3739" s="100" t="str">
        <f t="shared" si="1"/>
        <v/>
      </c>
      <c r="E3739" s="100" t="str">
        <f t="shared" si="2"/>
        <v/>
      </c>
      <c r="F3739" s="100" t="str">
        <f t="shared" si="3"/>
        <v/>
      </c>
      <c r="G3739" s="151"/>
      <c r="H3739" s="156"/>
      <c r="I3739" s="157"/>
      <c r="J3739" s="161"/>
      <c r="L3739" s="94"/>
      <c r="M3739" s="159"/>
      <c r="N3739" s="94"/>
    </row>
    <row r="3740">
      <c r="A3740" s="107">
        <v>1627747.0</v>
      </c>
      <c r="B3740" s="108" t="s">
        <v>243</v>
      </c>
      <c r="C3740" s="108" t="s">
        <v>909</v>
      </c>
      <c r="D3740" s="100" t="str">
        <f t="shared" si="1"/>
        <v/>
      </c>
      <c r="E3740" s="100" t="str">
        <f t="shared" si="2"/>
        <v/>
      </c>
      <c r="F3740" s="100" t="str">
        <f t="shared" si="3"/>
        <v/>
      </c>
      <c r="G3740" s="151"/>
      <c r="H3740" s="160"/>
      <c r="I3740" s="157"/>
      <c r="J3740" s="158"/>
      <c r="L3740" s="94"/>
      <c r="M3740" s="159"/>
      <c r="N3740" s="94"/>
    </row>
    <row r="3741">
      <c r="A3741" s="107">
        <v>1627747.0</v>
      </c>
      <c r="B3741" s="108" t="s">
        <v>215</v>
      </c>
      <c r="C3741" s="108" t="s">
        <v>909</v>
      </c>
      <c r="D3741" s="100" t="str">
        <f t="shared" si="1"/>
        <v/>
      </c>
      <c r="E3741" s="100" t="str">
        <f t="shared" si="2"/>
        <v/>
      </c>
      <c r="F3741" s="100" t="str">
        <f t="shared" si="3"/>
        <v/>
      </c>
      <c r="G3741" s="151"/>
      <c r="H3741" s="156"/>
      <c r="I3741" s="157"/>
      <c r="J3741" s="161"/>
      <c r="L3741" s="94"/>
      <c r="M3741" s="159"/>
      <c r="N3741" s="94"/>
    </row>
    <row r="3742">
      <c r="A3742" s="107">
        <v>1627747.0</v>
      </c>
      <c r="B3742" s="108" t="s">
        <v>244</v>
      </c>
      <c r="C3742" s="108" t="s">
        <v>909</v>
      </c>
      <c r="D3742" s="100" t="str">
        <f t="shared" si="1"/>
        <v/>
      </c>
      <c r="E3742" s="100" t="str">
        <f t="shared" si="2"/>
        <v/>
      </c>
      <c r="F3742" s="100" t="str">
        <f t="shared" si="3"/>
        <v/>
      </c>
      <c r="G3742" s="151"/>
      <c r="H3742" s="160"/>
      <c r="I3742" s="157"/>
      <c r="J3742" s="158"/>
      <c r="L3742" s="94"/>
      <c r="M3742" s="159"/>
      <c r="N3742" s="94"/>
    </row>
    <row r="3743">
      <c r="A3743" s="107">
        <v>1627747.0</v>
      </c>
      <c r="B3743" s="108" t="s">
        <v>245</v>
      </c>
      <c r="C3743" s="108" t="s">
        <v>909</v>
      </c>
      <c r="D3743" s="100" t="str">
        <f t="shared" si="1"/>
        <v/>
      </c>
      <c r="E3743" s="100" t="str">
        <f t="shared" si="2"/>
        <v/>
      </c>
      <c r="F3743" s="100" t="str">
        <f t="shared" si="3"/>
        <v/>
      </c>
      <c r="G3743" s="151"/>
      <c r="H3743" s="156"/>
      <c r="I3743" s="157"/>
      <c r="J3743" s="161"/>
      <c r="L3743" s="94"/>
      <c r="M3743" s="159"/>
      <c r="N3743" s="94"/>
    </row>
    <row r="3744">
      <c r="A3744" s="107">
        <v>1627747.0</v>
      </c>
      <c r="B3744" s="108" t="s">
        <v>246</v>
      </c>
      <c r="C3744" s="108" t="s">
        <v>909</v>
      </c>
      <c r="D3744" s="100" t="str">
        <f t="shared" si="1"/>
        <v/>
      </c>
      <c r="E3744" s="100" t="str">
        <f t="shared" si="2"/>
        <v/>
      </c>
      <c r="F3744" s="100" t="str">
        <f t="shared" si="3"/>
        <v/>
      </c>
      <c r="G3744" s="151"/>
      <c r="H3744" s="160"/>
      <c r="I3744" s="157"/>
      <c r="J3744" s="158"/>
      <c r="L3744" s="94"/>
      <c r="M3744" s="159"/>
      <c r="N3744" s="94"/>
    </row>
    <row r="3745">
      <c r="A3745" s="149">
        <v>1627747.0</v>
      </c>
      <c r="B3745" s="115" t="s">
        <v>247</v>
      </c>
      <c r="C3745" s="115" t="s">
        <v>909</v>
      </c>
      <c r="D3745" s="100" t="str">
        <f t="shared" si="1"/>
        <v/>
      </c>
      <c r="E3745" s="100" t="str">
        <f t="shared" si="2"/>
        <v/>
      </c>
      <c r="F3745" s="100" t="str">
        <f t="shared" si="3"/>
        <v/>
      </c>
      <c r="G3745" s="151"/>
      <c r="H3745" s="156"/>
      <c r="I3745" s="157"/>
      <c r="J3745" s="161"/>
      <c r="L3745" s="94"/>
      <c r="M3745" s="159"/>
      <c r="N3745" s="94"/>
    </row>
    <row r="3746">
      <c r="A3746" s="21">
        <v>1627748.0</v>
      </c>
      <c r="B3746" s="164" t="s">
        <v>190</v>
      </c>
      <c r="C3746" s="164" t="s">
        <v>910</v>
      </c>
      <c r="D3746" s="100" t="str">
        <f t="shared" si="1"/>
        <v/>
      </c>
      <c r="E3746" s="100" t="str">
        <f t="shared" si="2"/>
        <v/>
      </c>
      <c r="F3746" s="100" t="str">
        <f t="shared" si="3"/>
        <v/>
      </c>
      <c r="G3746" s="151"/>
      <c r="H3746" s="160"/>
      <c r="I3746" s="157"/>
      <c r="J3746" s="158"/>
      <c r="L3746" s="94"/>
      <c r="M3746" s="159"/>
      <c r="N3746" s="94"/>
    </row>
    <row r="3747">
      <c r="A3747" s="107">
        <v>1627748.0</v>
      </c>
      <c r="B3747" s="108" t="s">
        <v>191</v>
      </c>
      <c r="C3747" s="108" t="s">
        <v>910</v>
      </c>
      <c r="D3747" s="100" t="str">
        <f t="shared" si="1"/>
        <v/>
      </c>
      <c r="E3747" s="100" t="str">
        <f t="shared" si="2"/>
        <v/>
      </c>
      <c r="F3747" s="100" t="str">
        <f t="shared" si="3"/>
        <v/>
      </c>
      <c r="G3747" s="151"/>
      <c r="H3747" s="156"/>
      <c r="I3747" s="157"/>
      <c r="J3747" s="161"/>
      <c r="L3747" s="94"/>
      <c r="M3747" s="159"/>
      <c r="N3747" s="94"/>
    </row>
    <row r="3748">
      <c r="A3748" s="107">
        <v>1627748.0</v>
      </c>
      <c r="B3748" s="108" t="s">
        <v>192</v>
      </c>
      <c r="C3748" s="108" t="s">
        <v>910</v>
      </c>
      <c r="D3748" s="100" t="str">
        <f t="shared" si="1"/>
        <v/>
      </c>
      <c r="E3748" s="100" t="str">
        <f t="shared" si="2"/>
        <v/>
      </c>
      <c r="F3748" s="100" t="str">
        <f t="shared" si="3"/>
        <v/>
      </c>
      <c r="G3748" s="151"/>
      <c r="H3748" s="160"/>
      <c r="I3748" s="157"/>
      <c r="J3748" s="158"/>
      <c r="L3748" s="94"/>
      <c r="M3748" s="159"/>
      <c r="N3748" s="94"/>
    </row>
    <row r="3749">
      <c r="A3749" s="107">
        <v>1627748.0</v>
      </c>
      <c r="B3749" s="108" t="s">
        <v>193</v>
      </c>
      <c r="C3749" s="108" t="s">
        <v>910</v>
      </c>
      <c r="D3749" s="100" t="str">
        <f t="shared" si="1"/>
        <v/>
      </c>
      <c r="E3749" s="100" t="str">
        <f t="shared" si="2"/>
        <v/>
      </c>
      <c r="F3749" s="100" t="str">
        <f t="shared" si="3"/>
        <v/>
      </c>
      <c r="G3749" s="151"/>
      <c r="H3749" s="156"/>
      <c r="I3749" s="157"/>
      <c r="J3749" s="161"/>
      <c r="L3749" s="94"/>
      <c r="M3749" s="159"/>
      <c r="N3749" s="94"/>
    </row>
    <row r="3750">
      <c r="A3750" s="107">
        <v>1627748.0</v>
      </c>
      <c r="B3750" s="108" t="s">
        <v>243</v>
      </c>
      <c r="C3750" s="108" t="s">
        <v>910</v>
      </c>
      <c r="D3750" s="100" t="str">
        <f t="shared" si="1"/>
        <v/>
      </c>
      <c r="E3750" s="100" t="str">
        <f t="shared" si="2"/>
        <v/>
      </c>
      <c r="F3750" s="100" t="str">
        <f t="shared" si="3"/>
        <v/>
      </c>
      <c r="G3750" s="151"/>
      <c r="H3750" s="160"/>
      <c r="I3750" s="157"/>
      <c r="J3750" s="158"/>
      <c r="L3750" s="94"/>
      <c r="M3750" s="159"/>
      <c r="N3750" s="94"/>
    </row>
    <row r="3751">
      <c r="A3751" s="107">
        <v>1627749.0</v>
      </c>
      <c r="B3751" s="108" t="s">
        <v>190</v>
      </c>
      <c r="C3751" s="108" t="s">
        <v>911</v>
      </c>
      <c r="D3751" s="100" t="str">
        <f t="shared" si="1"/>
        <v/>
      </c>
      <c r="E3751" s="100" t="str">
        <f t="shared" si="2"/>
        <v/>
      </c>
      <c r="F3751" s="100" t="str">
        <f t="shared" si="3"/>
        <v/>
      </c>
      <c r="G3751" s="151"/>
      <c r="H3751" s="156"/>
      <c r="I3751" s="157"/>
      <c r="J3751" s="161"/>
      <c r="L3751" s="94"/>
      <c r="M3751" s="159"/>
      <c r="N3751" s="94"/>
    </row>
    <row r="3752">
      <c r="A3752" s="107">
        <v>1627749.0</v>
      </c>
      <c r="B3752" s="108" t="s">
        <v>191</v>
      </c>
      <c r="C3752" s="108" t="s">
        <v>911</v>
      </c>
      <c r="D3752" s="100" t="str">
        <f t="shared" si="1"/>
        <v/>
      </c>
      <c r="E3752" s="100" t="str">
        <f t="shared" si="2"/>
        <v/>
      </c>
      <c r="F3752" s="100" t="str">
        <f t="shared" si="3"/>
        <v/>
      </c>
      <c r="G3752" s="151"/>
      <c r="H3752" s="160"/>
      <c r="I3752" s="157"/>
      <c r="J3752" s="158"/>
      <c r="L3752" s="94"/>
      <c r="M3752" s="159"/>
      <c r="N3752" s="94"/>
    </row>
    <row r="3753">
      <c r="A3753" s="107">
        <v>1627749.0</v>
      </c>
      <c r="B3753" s="108" t="s">
        <v>193</v>
      </c>
      <c r="C3753" s="108" t="s">
        <v>911</v>
      </c>
      <c r="D3753" s="100" t="str">
        <f t="shared" si="1"/>
        <v/>
      </c>
      <c r="E3753" s="100" t="str">
        <f t="shared" si="2"/>
        <v/>
      </c>
      <c r="F3753" s="100" t="str">
        <f t="shared" si="3"/>
        <v/>
      </c>
      <c r="G3753" s="151"/>
      <c r="H3753" s="156"/>
      <c r="I3753" s="157"/>
      <c r="J3753" s="161"/>
      <c r="L3753" s="94"/>
      <c r="M3753" s="159"/>
      <c r="N3753" s="94"/>
    </row>
    <row r="3754">
      <c r="A3754" s="107">
        <v>1627749.0</v>
      </c>
      <c r="B3754" s="108" t="s">
        <v>243</v>
      </c>
      <c r="C3754" s="108" t="s">
        <v>911</v>
      </c>
      <c r="D3754" s="100" t="str">
        <f t="shared" si="1"/>
        <v/>
      </c>
      <c r="E3754" s="100" t="str">
        <f t="shared" si="2"/>
        <v/>
      </c>
      <c r="F3754" s="100" t="str">
        <f t="shared" si="3"/>
        <v/>
      </c>
      <c r="G3754" s="151"/>
      <c r="H3754" s="160"/>
      <c r="I3754" s="157"/>
      <c r="J3754" s="158"/>
      <c r="L3754" s="94"/>
      <c r="M3754" s="159"/>
      <c r="N3754" s="94"/>
    </row>
    <row r="3755">
      <c r="A3755" s="107">
        <v>1627749.0</v>
      </c>
      <c r="B3755" s="108" t="s">
        <v>215</v>
      </c>
      <c r="C3755" s="108" t="s">
        <v>911</v>
      </c>
      <c r="D3755" s="100" t="str">
        <f t="shared" si="1"/>
        <v/>
      </c>
      <c r="E3755" s="100" t="str">
        <f t="shared" si="2"/>
        <v/>
      </c>
      <c r="F3755" s="100" t="str">
        <f t="shared" si="3"/>
        <v/>
      </c>
      <c r="G3755" s="151"/>
      <c r="H3755" s="156"/>
      <c r="I3755" s="157"/>
      <c r="J3755" s="161"/>
      <c r="L3755" s="94"/>
      <c r="M3755" s="159"/>
      <c r="N3755" s="94"/>
    </row>
    <row r="3756">
      <c r="A3756" s="107">
        <v>1627749.0</v>
      </c>
      <c r="B3756" s="108" t="s">
        <v>244</v>
      </c>
      <c r="C3756" s="108" t="s">
        <v>911</v>
      </c>
      <c r="D3756" s="100" t="str">
        <f t="shared" si="1"/>
        <v/>
      </c>
      <c r="E3756" s="100" t="str">
        <f t="shared" si="2"/>
        <v/>
      </c>
      <c r="F3756" s="100" t="str">
        <f t="shared" si="3"/>
        <v/>
      </c>
      <c r="G3756" s="151"/>
      <c r="H3756" s="160"/>
      <c r="I3756" s="157"/>
      <c r="J3756" s="158"/>
      <c r="L3756" s="94"/>
      <c r="M3756" s="159"/>
      <c r="N3756" s="94"/>
    </row>
    <row r="3757">
      <c r="A3757" s="107">
        <v>1627749.0</v>
      </c>
      <c r="B3757" s="108" t="s">
        <v>245</v>
      </c>
      <c r="C3757" s="108" t="s">
        <v>911</v>
      </c>
      <c r="D3757" s="100" t="str">
        <f t="shared" si="1"/>
        <v/>
      </c>
      <c r="E3757" s="100" t="str">
        <f t="shared" si="2"/>
        <v/>
      </c>
      <c r="F3757" s="100" t="str">
        <f t="shared" si="3"/>
        <v/>
      </c>
      <c r="G3757" s="151"/>
      <c r="H3757" s="156"/>
      <c r="I3757" s="157"/>
      <c r="J3757" s="161"/>
      <c r="L3757" s="94"/>
      <c r="M3757" s="159"/>
      <c r="N3757" s="94"/>
    </row>
    <row r="3758">
      <c r="A3758" s="107">
        <v>1627749.0</v>
      </c>
      <c r="B3758" s="108" t="s">
        <v>246</v>
      </c>
      <c r="C3758" s="108" t="s">
        <v>911</v>
      </c>
      <c r="D3758" s="100" t="str">
        <f t="shared" si="1"/>
        <v/>
      </c>
      <c r="E3758" s="100" t="str">
        <f t="shared" si="2"/>
        <v/>
      </c>
      <c r="F3758" s="100" t="str">
        <f t="shared" si="3"/>
        <v/>
      </c>
      <c r="G3758" s="151"/>
      <c r="H3758" s="160"/>
      <c r="I3758" s="157"/>
      <c r="J3758" s="158"/>
      <c r="L3758" s="94"/>
      <c r="M3758" s="159"/>
      <c r="N3758" s="94"/>
    </row>
    <row r="3759">
      <c r="A3759" s="140">
        <v>1627749.0</v>
      </c>
      <c r="B3759" s="115" t="s">
        <v>247</v>
      </c>
      <c r="C3759" s="115" t="s">
        <v>911</v>
      </c>
      <c r="D3759" s="100" t="str">
        <f t="shared" si="1"/>
        <v/>
      </c>
      <c r="E3759" s="100" t="str">
        <f t="shared" si="2"/>
        <v/>
      </c>
      <c r="F3759" s="100" t="str">
        <f t="shared" si="3"/>
        <v/>
      </c>
      <c r="G3759" s="151"/>
      <c r="H3759" s="156"/>
      <c r="I3759" s="157"/>
      <c r="J3759" s="161"/>
      <c r="L3759" s="94"/>
      <c r="M3759" s="159"/>
      <c r="N3759" s="94"/>
    </row>
    <row r="3760">
      <c r="A3760" s="163">
        <v>1627750.0</v>
      </c>
      <c r="B3760" s="164" t="s">
        <v>190</v>
      </c>
      <c r="C3760" s="164" t="s">
        <v>912</v>
      </c>
      <c r="D3760" s="100" t="str">
        <f t="shared" si="1"/>
        <v/>
      </c>
      <c r="E3760" s="100" t="str">
        <f t="shared" si="2"/>
        <v/>
      </c>
      <c r="F3760" s="100" t="str">
        <f t="shared" si="3"/>
        <v/>
      </c>
      <c r="G3760" s="151"/>
      <c r="H3760" s="160"/>
      <c r="I3760" s="157"/>
      <c r="J3760" s="158"/>
      <c r="L3760" s="94"/>
      <c r="M3760" s="159"/>
      <c r="N3760" s="94"/>
    </row>
    <row r="3761">
      <c r="A3761" s="107">
        <v>1627750.0</v>
      </c>
      <c r="B3761" s="108" t="s">
        <v>191</v>
      </c>
      <c r="C3761" s="108" t="s">
        <v>912</v>
      </c>
      <c r="D3761" s="100" t="str">
        <f t="shared" si="1"/>
        <v/>
      </c>
      <c r="E3761" s="100" t="str">
        <f t="shared" si="2"/>
        <v/>
      </c>
      <c r="F3761" s="100" t="str">
        <f t="shared" si="3"/>
        <v/>
      </c>
      <c r="G3761" s="151"/>
      <c r="H3761" s="156"/>
      <c r="I3761" s="157"/>
      <c r="J3761" s="161"/>
      <c r="L3761" s="94"/>
      <c r="M3761" s="159"/>
      <c r="N3761" s="94"/>
    </row>
    <row r="3762">
      <c r="A3762" s="107">
        <v>1627750.0</v>
      </c>
      <c r="B3762" s="108" t="s">
        <v>192</v>
      </c>
      <c r="C3762" s="108" t="s">
        <v>912</v>
      </c>
      <c r="D3762" s="100" t="str">
        <f t="shared" si="1"/>
        <v/>
      </c>
      <c r="E3762" s="100" t="str">
        <f t="shared" si="2"/>
        <v/>
      </c>
      <c r="F3762" s="100" t="str">
        <f t="shared" si="3"/>
        <v/>
      </c>
      <c r="G3762" s="151"/>
      <c r="H3762" s="160"/>
      <c r="I3762" s="157"/>
      <c r="J3762" s="158"/>
      <c r="L3762" s="94"/>
      <c r="M3762" s="159"/>
      <c r="N3762" s="94"/>
    </row>
    <row r="3763">
      <c r="A3763" s="107">
        <v>1627750.0</v>
      </c>
      <c r="B3763" s="108" t="s">
        <v>193</v>
      </c>
      <c r="C3763" s="108" t="s">
        <v>912</v>
      </c>
      <c r="D3763" s="100" t="str">
        <f t="shared" si="1"/>
        <v/>
      </c>
      <c r="E3763" s="100" t="str">
        <f t="shared" si="2"/>
        <v/>
      </c>
      <c r="F3763" s="100" t="str">
        <f t="shared" si="3"/>
        <v/>
      </c>
      <c r="G3763" s="151"/>
      <c r="H3763" s="156"/>
      <c r="I3763" s="157"/>
      <c r="J3763" s="161"/>
      <c r="L3763" s="94"/>
      <c r="M3763" s="159"/>
      <c r="N3763" s="94"/>
    </row>
    <row r="3764">
      <c r="A3764" s="107">
        <v>1627750.0</v>
      </c>
      <c r="B3764" s="108" t="s">
        <v>243</v>
      </c>
      <c r="C3764" s="108" t="s">
        <v>912</v>
      </c>
      <c r="D3764" s="100" t="str">
        <f t="shared" si="1"/>
        <v/>
      </c>
      <c r="E3764" s="100" t="str">
        <f t="shared" si="2"/>
        <v/>
      </c>
      <c r="F3764" s="100" t="str">
        <f t="shared" si="3"/>
        <v/>
      </c>
      <c r="G3764" s="151"/>
      <c r="H3764" s="160"/>
      <c r="I3764" s="157"/>
      <c r="J3764" s="158"/>
      <c r="L3764" s="94"/>
      <c r="M3764" s="159"/>
      <c r="N3764" s="94"/>
    </row>
    <row r="3765">
      <c r="A3765" s="107">
        <v>1627750.0</v>
      </c>
      <c r="B3765" s="108" t="s">
        <v>244</v>
      </c>
      <c r="C3765" s="108" t="s">
        <v>912</v>
      </c>
      <c r="D3765" s="100" t="str">
        <f t="shared" si="1"/>
        <v/>
      </c>
      <c r="E3765" s="100" t="str">
        <f t="shared" si="2"/>
        <v/>
      </c>
      <c r="F3765" s="100" t="str">
        <f t="shared" si="3"/>
        <v/>
      </c>
      <c r="G3765" s="151"/>
      <c r="H3765" s="156"/>
      <c r="I3765" s="157"/>
      <c r="J3765" s="161"/>
      <c r="L3765" s="94"/>
      <c r="M3765" s="159"/>
      <c r="N3765" s="94"/>
    </row>
    <row r="3766">
      <c r="A3766" s="107">
        <v>1627750.0</v>
      </c>
      <c r="B3766" s="108" t="s">
        <v>245</v>
      </c>
      <c r="C3766" s="108" t="s">
        <v>912</v>
      </c>
      <c r="D3766" s="100" t="str">
        <f t="shared" si="1"/>
        <v/>
      </c>
      <c r="E3766" s="100" t="str">
        <f t="shared" si="2"/>
        <v/>
      </c>
      <c r="F3766" s="100" t="str">
        <f t="shared" si="3"/>
        <v/>
      </c>
      <c r="G3766" s="151"/>
      <c r="H3766" s="160"/>
      <c r="I3766" s="157"/>
      <c r="J3766" s="158"/>
      <c r="L3766" s="94"/>
      <c r="M3766" s="159"/>
      <c r="N3766" s="94"/>
    </row>
    <row r="3767">
      <c r="A3767" s="107">
        <v>1627750.0</v>
      </c>
      <c r="B3767" s="108" t="s">
        <v>246</v>
      </c>
      <c r="C3767" s="108" t="s">
        <v>912</v>
      </c>
      <c r="D3767" s="100" t="str">
        <f t="shared" si="1"/>
        <v/>
      </c>
      <c r="E3767" s="100" t="str">
        <f t="shared" si="2"/>
        <v/>
      </c>
      <c r="F3767" s="100" t="str">
        <f t="shared" si="3"/>
        <v/>
      </c>
      <c r="G3767" s="151"/>
      <c r="H3767" s="156"/>
      <c r="I3767" s="157"/>
      <c r="J3767" s="161"/>
      <c r="L3767" s="94"/>
      <c r="M3767" s="159"/>
      <c r="N3767" s="94"/>
    </row>
    <row r="3768">
      <c r="A3768" s="149">
        <v>1627750.0</v>
      </c>
      <c r="B3768" s="115" t="s">
        <v>247</v>
      </c>
      <c r="C3768" s="115" t="s">
        <v>912</v>
      </c>
      <c r="D3768" s="100" t="str">
        <f t="shared" si="1"/>
        <v/>
      </c>
      <c r="E3768" s="100" t="str">
        <f t="shared" si="2"/>
        <v/>
      </c>
      <c r="F3768" s="100" t="str">
        <f t="shared" si="3"/>
        <v/>
      </c>
      <c r="G3768" s="151"/>
      <c r="H3768" s="160"/>
      <c r="I3768" s="157"/>
      <c r="J3768" s="158"/>
      <c r="L3768" s="94"/>
      <c r="M3768" s="159"/>
      <c r="N3768" s="94"/>
    </row>
    <row r="3769">
      <c r="A3769" s="21">
        <v>1627751.0</v>
      </c>
      <c r="B3769" s="164" t="s">
        <v>190</v>
      </c>
      <c r="C3769" s="164" t="s">
        <v>913</v>
      </c>
      <c r="D3769" s="100" t="str">
        <f t="shared" si="1"/>
        <v/>
      </c>
      <c r="E3769" s="100" t="str">
        <f t="shared" si="2"/>
        <v/>
      </c>
      <c r="F3769" s="100" t="str">
        <f t="shared" si="3"/>
        <v/>
      </c>
      <c r="G3769" s="151"/>
      <c r="H3769" s="156"/>
      <c r="I3769" s="157"/>
      <c r="J3769" s="161"/>
      <c r="L3769" s="94"/>
      <c r="M3769" s="159"/>
      <c r="N3769" s="94"/>
    </row>
    <row r="3770">
      <c r="A3770" s="107">
        <v>1627751.0</v>
      </c>
      <c r="B3770" s="108" t="s">
        <v>191</v>
      </c>
      <c r="C3770" s="108" t="s">
        <v>913</v>
      </c>
      <c r="D3770" s="100" t="str">
        <f t="shared" si="1"/>
        <v/>
      </c>
      <c r="E3770" s="100" t="str">
        <f t="shared" si="2"/>
        <v/>
      </c>
      <c r="F3770" s="100" t="str">
        <f t="shared" si="3"/>
        <v/>
      </c>
      <c r="G3770" s="151"/>
      <c r="H3770" s="160"/>
      <c r="I3770" s="157"/>
      <c r="J3770" s="158"/>
      <c r="L3770" s="94"/>
      <c r="M3770" s="159"/>
      <c r="N3770" s="94"/>
    </row>
    <row r="3771">
      <c r="A3771" s="107">
        <v>1627751.0</v>
      </c>
      <c r="B3771" s="108" t="s">
        <v>192</v>
      </c>
      <c r="C3771" s="108" t="s">
        <v>913</v>
      </c>
      <c r="D3771" s="100" t="str">
        <f t="shared" si="1"/>
        <v/>
      </c>
      <c r="E3771" s="100" t="str">
        <f t="shared" si="2"/>
        <v/>
      </c>
      <c r="F3771" s="100" t="str">
        <f t="shared" si="3"/>
        <v/>
      </c>
      <c r="G3771" s="151"/>
      <c r="H3771" s="156"/>
      <c r="I3771" s="157"/>
      <c r="J3771" s="161"/>
      <c r="L3771" s="94"/>
      <c r="M3771" s="159"/>
      <c r="N3771" s="94"/>
    </row>
    <row r="3772">
      <c r="A3772" s="107">
        <v>1627751.0</v>
      </c>
      <c r="B3772" s="108" t="s">
        <v>193</v>
      </c>
      <c r="C3772" s="108" t="s">
        <v>913</v>
      </c>
      <c r="D3772" s="100" t="str">
        <f t="shared" si="1"/>
        <v/>
      </c>
      <c r="E3772" s="100" t="str">
        <f t="shared" si="2"/>
        <v/>
      </c>
      <c r="F3772" s="100" t="str">
        <f t="shared" si="3"/>
        <v/>
      </c>
      <c r="G3772" s="151"/>
      <c r="H3772" s="160"/>
      <c r="I3772" s="157"/>
      <c r="J3772" s="158"/>
      <c r="L3772" s="94"/>
      <c r="M3772" s="159"/>
      <c r="N3772" s="94"/>
    </row>
    <row r="3773">
      <c r="A3773" s="107">
        <v>1627751.0</v>
      </c>
      <c r="B3773" s="108" t="s">
        <v>243</v>
      </c>
      <c r="C3773" s="108" t="s">
        <v>913</v>
      </c>
      <c r="D3773" s="100" t="str">
        <f t="shared" si="1"/>
        <v/>
      </c>
      <c r="E3773" s="100" t="str">
        <f t="shared" si="2"/>
        <v/>
      </c>
      <c r="F3773" s="100" t="str">
        <f t="shared" si="3"/>
        <v/>
      </c>
      <c r="G3773" s="151"/>
      <c r="H3773" s="156"/>
      <c r="I3773" s="157"/>
      <c r="J3773" s="161"/>
      <c r="L3773" s="94"/>
      <c r="M3773" s="159"/>
      <c r="N3773" s="94"/>
    </row>
    <row r="3774">
      <c r="A3774" s="107">
        <v>1627751.0</v>
      </c>
      <c r="B3774" s="108" t="s">
        <v>215</v>
      </c>
      <c r="C3774" s="108" t="s">
        <v>913</v>
      </c>
      <c r="D3774" s="100" t="str">
        <f t="shared" si="1"/>
        <v/>
      </c>
      <c r="E3774" s="100" t="str">
        <f t="shared" si="2"/>
        <v/>
      </c>
      <c r="F3774" s="100" t="str">
        <f t="shared" si="3"/>
        <v/>
      </c>
      <c r="G3774" s="151"/>
      <c r="H3774" s="160"/>
      <c r="I3774" s="157"/>
      <c r="J3774" s="158"/>
      <c r="L3774" s="94"/>
      <c r="M3774" s="159"/>
      <c r="N3774" s="94"/>
    </row>
    <row r="3775">
      <c r="A3775" s="107">
        <v>1627751.0</v>
      </c>
      <c r="B3775" s="108" t="s">
        <v>244</v>
      </c>
      <c r="C3775" s="108" t="s">
        <v>913</v>
      </c>
      <c r="D3775" s="100" t="str">
        <f t="shared" si="1"/>
        <v/>
      </c>
      <c r="E3775" s="100" t="str">
        <f t="shared" si="2"/>
        <v/>
      </c>
      <c r="F3775" s="100" t="str">
        <f t="shared" si="3"/>
        <v/>
      </c>
      <c r="G3775" s="151"/>
      <c r="H3775" s="156"/>
      <c r="I3775" s="157"/>
      <c r="J3775" s="161"/>
      <c r="L3775" s="94"/>
      <c r="M3775" s="159"/>
      <c r="N3775" s="94"/>
    </row>
    <row r="3776">
      <c r="A3776" s="107">
        <v>1627751.0</v>
      </c>
      <c r="B3776" s="108" t="s">
        <v>245</v>
      </c>
      <c r="C3776" s="108" t="s">
        <v>913</v>
      </c>
      <c r="D3776" s="100" t="str">
        <f t="shared" si="1"/>
        <v/>
      </c>
      <c r="E3776" s="100" t="str">
        <f t="shared" si="2"/>
        <v/>
      </c>
      <c r="F3776" s="100" t="str">
        <f t="shared" si="3"/>
        <v/>
      </c>
      <c r="G3776" s="151"/>
      <c r="H3776" s="160"/>
      <c r="I3776" s="157"/>
      <c r="J3776" s="158"/>
      <c r="L3776" s="94"/>
      <c r="M3776" s="159"/>
      <c r="N3776" s="94"/>
    </row>
    <row r="3777">
      <c r="A3777" s="107">
        <v>1627751.0</v>
      </c>
      <c r="B3777" s="108" t="s">
        <v>246</v>
      </c>
      <c r="C3777" s="108" t="s">
        <v>913</v>
      </c>
      <c r="D3777" s="100" t="str">
        <f t="shared" si="1"/>
        <v/>
      </c>
      <c r="E3777" s="100" t="str">
        <f t="shared" si="2"/>
        <v/>
      </c>
      <c r="F3777" s="100" t="str">
        <f t="shared" si="3"/>
        <v/>
      </c>
      <c r="G3777" s="151"/>
      <c r="H3777" s="156"/>
      <c r="I3777" s="157"/>
      <c r="J3777" s="161"/>
      <c r="L3777" s="94"/>
      <c r="M3777" s="159"/>
      <c r="N3777" s="94"/>
    </row>
    <row r="3778">
      <c r="A3778" s="149">
        <v>1627751.0</v>
      </c>
      <c r="B3778" s="115" t="s">
        <v>247</v>
      </c>
      <c r="C3778" s="115" t="s">
        <v>913</v>
      </c>
      <c r="D3778" s="100" t="str">
        <f t="shared" si="1"/>
        <v/>
      </c>
      <c r="E3778" s="100" t="str">
        <f t="shared" si="2"/>
        <v/>
      </c>
      <c r="F3778" s="100" t="str">
        <f t="shared" si="3"/>
        <v/>
      </c>
      <c r="G3778" s="151"/>
      <c r="H3778" s="160"/>
      <c r="I3778" s="157"/>
      <c r="J3778" s="158"/>
      <c r="L3778" s="94"/>
      <c r="M3778" s="159"/>
      <c r="N3778" s="94"/>
    </row>
    <row r="3779">
      <c r="A3779" s="21">
        <v>1627752.0</v>
      </c>
      <c r="B3779" s="164" t="s">
        <v>190</v>
      </c>
      <c r="C3779" s="164" t="s">
        <v>914</v>
      </c>
      <c r="D3779" s="100" t="str">
        <f t="shared" si="1"/>
        <v/>
      </c>
      <c r="E3779" s="100" t="str">
        <f t="shared" si="2"/>
        <v/>
      </c>
      <c r="F3779" s="100" t="str">
        <f t="shared" si="3"/>
        <v/>
      </c>
      <c r="G3779" s="151"/>
      <c r="H3779" s="156"/>
      <c r="I3779" s="157"/>
      <c r="J3779" s="161"/>
      <c r="L3779" s="94"/>
      <c r="M3779" s="159"/>
      <c r="N3779" s="94"/>
    </row>
    <row r="3780">
      <c r="A3780" s="107">
        <v>1627752.0</v>
      </c>
      <c r="B3780" s="108" t="s">
        <v>191</v>
      </c>
      <c r="C3780" s="108" t="s">
        <v>914</v>
      </c>
      <c r="D3780" s="100" t="str">
        <f t="shared" si="1"/>
        <v/>
      </c>
      <c r="E3780" s="100" t="str">
        <f t="shared" si="2"/>
        <v/>
      </c>
      <c r="F3780" s="100" t="str">
        <f t="shared" si="3"/>
        <v/>
      </c>
      <c r="G3780" s="151"/>
      <c r="H3780" s="160"/>
      <c r="I3780" s="157"/>
      <c r="J3780" s="158"/>
      <c r="L3780" s="94"/>
      <c r="M3780" s="159"/>
      <c r="N3780" s="94"/>
    </row>
    <row r="3781">
      <c r="A3781" s="107">
        <v>1627752.0</v>
      </c>
      <c r="B3781" s="108" t="s">
        <v>192</v>
      </c>
      <c r="C3781" s="108" t="s">
        <v>914</v>
      </c>
      <c r="D3781" s="100" t="str">
        <f t="shared" si="1"/>
        <v/>
      </c>
      <c r="E3781" s="100" t="str">
        <f t="shared" si="2"/>
        <v/>
      </c>
      <c r="F3781" s="100" t="str">
        <f t="shared" si="3"/>
        <v/>
      </c>
      <c r="G3781" s="151"/>
      <c r="H3781" s="156"/>
      <c r="I3781" s="157"/>
      <c r="J3781" s="161"/>
      <c r="L3781" s="94"/>
      <c r="M3781" s="159"/>
      <c r="N3781" s="94"/>
    </row>
    <row r="3782">
      <c r="A3782" s="107">
        <v>1627752.0</v>
      </c>
      <c r="B3782" s="108" t="s">
        <v>193</v>
      </c>
      <c r="C3782" s="108" t="s">
        <v>914</v>
      </c>
      <c r="D3782" s="100" t="str">
        <f t="shared" si="1"/>
        <v/>
      </c>
      <c r="E3782" s="100" t="str">
        <f t="shared" si="2"/>
        <v/>
      </c>
      <c r="F3782" s="100" t="str">
        <f t="shared" si="3"/>
        <v/>
      </c>
      <c r="G3782" s="151"/>
      <c r="H3782" s="160"/>
      <c r="I3782" s="157"/>
      <c r="J3782" s="158"/>
      <c r="L3782" s="94"/>
      <c r="M3782" s="159"/>
      <c r="N3782" s="94"/>
    </row>
    <row r="3783">
      <c r="A3783" s="107">
        <v>1627752.0</v>
      </c>
      <c r="B3783" s="108" t="s">
        <v>243</v>
      </c>
      <c r="C3783" s="108" t="s">
        <v>914</v>
      </c>
      <c r="D3783" s="100" t="str">
        <f t="shared" si="1"/>
        <v/>
      </c>
      <c r="E3783" s="100" t="str">
        <f t="shared" si="2"/>
        <v/>
      </c>
      <c r="F3783" s="100" t="str">
        <f t="shared" si="3"/>
        <v/>
      </c>
      <c r="G3783" s="151"/>
      <c r="H3783" s="156"/>
      <c r="I3783" s="157"/>
      <c r="J3783" s="161"/>
      <c r="L3783" s="94"/>
      <c r="M3783" s="159"/>
      <c r="N3783" s="94"/>
    </row>
    <row r="3784">
      <c r="A3784" s="107">
        <v>1627752.0</v>
      </c>
      <c r="B3784" s="108" t="s">
        <v>215</v>
      </c>
      <c r="C3784" s="108" t="s">
        <v>914</v>
      </c>
      <c r="D3784" s="100" t="str">
        <f t="shared" si="1"/>
        <v/>
      </c>
      <c r="E3784" s="100" t="str">
        <f t="shared" si="2"/>
        <v/>
      </c>
      <c r="F3784" s="100" t="str">
        <f t="shared" si="3"/>
        <v/>
      </c>
      <c r="G3784" s="151"/>
      <c r="H3784" s="160"/>
      <c r="I3784" s="157"/>
      <c r="J3784" s="158"/>
      <c r="L3784" s="94"/>
      <c r="M3784" s="159"/>
      <c r="N3784" s="94"/>
    </row>
    <row r="3785">
      <c r="A3785" s="107">
        <v>1627752.0</v>
      </c>
      <c r="B3785" s="108" t="s">
        <v>244</v>
      </c>
      <c r="C3785" s="108" t="s">
        <v>914</v>
      </c>
      <c r="D3785" s="100" t="str">
        <f t="shared" si="1"/>
        <v/>
      </c>
      <c r="E3785" s="100" t="str">
        <f t="shared" si="2"/>
        <v/>
      </c>
      <c r="F3785" s="100" t="str">
        <f t="shared" si="3"/>
        <v/>
      </c>
      <c r="G3785" s="151"/>
      <c r="H3785" s="156"/>
      <c r="I3785" s="157"/>
      <c r="J3785" s="161"/>
      <c r="L3785" s="94"/>
      <c r="M3785" s="159"/>
      <c r="N3785" s="94"/>
    </row>
    <row r="3786">
      <c r="A3786" s="107">
        <v>1627752.0</v>
      </c>
      <c r="B3786" s="108" t="s">
        <v>245</v>
      </c>
      <c r="C3786" s="108" t="s">
        <v>914</v>
      </c>
      <c r="D3786" s="100" t="str">
        <f t="shared" si="1"/>
        <v/>
      </c>
      <c r="E3786" s="100" t="str">
        <f t="shared" si="2"/>
        <v/>
      </c>
      <c r="F3786" s="100" t="str">
        <f t="shared" si="3"/>
        <v/>
      </c>
      <c r="G3786" s="151"/>
      <c r="H3786" s="160"/>
      <c r="I3786" s="157"/>
      <c r="J3786" s="158"/>
      <c r="L3786" s="94"/>
      <c r="M3786" s="159"/>
      <c r="N3786" s="94"/>
    </row>
    <row r="3787">
      <c r="A3787" s="107">
        <v>1627752.0</v>
      </c>
      <c r="B3787" s="108" t="s">
        <v>246</v>
      </c>
      <c r="C3787" s="108" t="s">
        <v>914</v>
      </c>
      <c r="D3787" s="100" t="str">
        <f t="shared" si="1"/>
        <v/>
      </c>
      <c r="E3787" s="100" t="str">
        <f t="shared" si="2"/>
        <v/>
      </c>
      <c r="F3787" s="100" t="str">
        <f t="shared" si="3"/>
        <v/>
      </c>
      <c r="G3787" s="151"/>
      <c r="H3787" s="156"/>
      <c r="I3787" s="157"/>
      <c r="J3787" s="161"/>
      <c r="L3787" s="94"/>
      <c r="M3787" s="159"/>
      <c r="N3787" s="94"/>
    </row>
    <row r="3788">
      <c r="A3788" s="149">
        <v>1627752.0</v>
      </c>
      <c r="B3788" s="115" t="s">
        <v>247</v>
      </c>
      <c r="C3788" s="115" t="s">
        <v>914</v>
      </c>
      <c r="D3788" s="100" t="str">
        <f t="shared" si="1"/>
        <v/>
      </c>
      <c r="E3788" s="100" t="str">
        <f t="shared" si="2"/>
        <v/>
      </c>
      <c r="F3788" s="100" t="str">
        <f t="shared" si="3"/>
        <v/>
      </c>
      <c r="G3788" s="151"/>
      <c r="H3788" s="160"/>
      <c r="I3788" s="157"/>
      <c r="J3788" s="158"/>
      <c r="L3788" s="94"/>
      <c r="M3788" s="159"/>
      <c r="N3788" s="94"/>
    </row>
    <row r="3789">
      <c r="A3789" s="21">
        <v>1627753.0</v>
      </c>
      <c r="B3789" s="164" t="s">
        <v>191</v>
      </c>
      <c r="C3789" s="164" t="s">
        <v>915</v>
      </c>
      <c r="D3789" s="100" t="str">
        <f t="shared" si="1"/>
        <v/>
      </c>
      <c r="E3789" s="100" t="str">
        <f t="shared" si="2"/>
        <v/>
      </c>
      <c r="F3789" s="100" t="str">
        <f t="shared" si="3"/>
        <v/>
      </c>
      <c r="G3789" s="151"/>
      <c r="H3789" s="156"/>
      <c r="I3789" s="157"/>
      <c r="J3789" s="161"/>
      <c r="L3789" s="94"/>
      <c r="M3789" s="159"/>
      <c r="N3789" s="94"/>
    </row>
    <row r="3790">
      <c r="A3790" s="107">
        <v>1627753.0</v>
      </c>
      <c r="B3790" s="108" t="s">
        <v>192</v>
      </c>
      <c r="C3790" s="108" t="s">
        <v>915</v>
      </c>
      <c r="D3790" s="100" t="str">
        <f t="shared" si="1"/>
        <v/>
      </c>
      <c r="E3790" s="100" t="str">
        <f t="shared" si="2"/>
        <v/>
      </c>
      <c r="F3790" s="100" t="str">
        <f t="shared" si="3"/>
        <v/>
      </c>
      <c r="G3790" s="151"/>
      <c r="H3790" s="160"/>
      <c r="I3790" s="157"/>
      <c r="J3790" s="158"/>
      <c r="L3790" s="94"/>
      <c r="M3790" s="159"/>
      <c r="N3790" s="94"/>
    </row>
    <row r="3791">
      <c r="A3791" s="107">
        <v>1627754.0</v>
      </c>
      <c r="B3791" s="108" t="s">
        <v>190</v>
      </c>
      <c r="C3791" s="108" t="s">
        <v>916</v>
      </c>
      <c r="D3791" s="100" t="str">
        <f t="shared" si="1"/>
        <v/>
      </c>
      <c r="E3791" s="100" t="str">
        <f t="shared" si="2"/>
        <v/>
      </c>
      <c r="F3791" s="100" t="str">
        <f t="shared" si="3"/>
        <v/>
      </c>
      <c r="G3791" s="151"/>
      <c r="H3791" s="156"/>
      <c r="I3791" s="157"/>
      <c r="J3791" s="161"/>
      <c r="L3791" s="94"/>
      <c r="M3791" s="159"/>
      <c r="N3791" s="94"/>
    </row>
    <row r="3792">
      <c r="A3792" s="107">
        <v>1627755.0</v>
      </c>
      <c r="B3792" s="108" t="s">
        <v>190</v>
      </c>
      <c r="C3792" s="108" t="s">
        <v>917</v>
      </c>
      <c r="D3792" s="100" t="str">
        <f t="shared" si="1"/>
        <v/>
      </c>
      <c r="E3792" s="100" t="str">
        <f t="shared" si="2"/>
        <v/>
      </c>
      <c r="F3792" s="100" t="str">
        <f t="shared" si="3"/>
        <v/>
      </c>
      <c r="G3792" s="151"/>
      <c r="H3792" s="160"/>
      <c r="I3792" s="157"/>
      <c r="J3792" s="158"/>
      <c r="L3792" s="94"/>
      <c r="M3792" s="159"/>
      <c r="N3792" s="94"/>
    </row>
    <row r="3793">
      <c r="A3793" s="107">
        <v>1627755.0</v>
      </c>
      <c r="B3793" s="108" t="s">
        <v>191</v>
      </c>
      <c r="C3793" s="108" t="s">
        <v>917</v>
      </c>
      <c r="D3793" s="100" t="str">
        <f t="shared" si="1"/>
        <v/>
      </c>
      <c r="E3793" s="100" t="str">
        <f t="shared" si="2"/>
        <v/>
      </c>
      <c r="F3793" s="100" t="str">
        <f t="shared" si="3"/>
        <v/>
      </c>
      <c r="G3793" s="151"/>
      <c r="H3793" s="156"/>
      <c r="I3793" s="157"/>
      <c r="J3793" s="161"/>
      <c r="L3793" s="94"/>
      <c r="M3793" s="159"/>
      <c r="N3793" s="94"/>
    </row>
    <row r="3794">
      <c r="A3794" s="107">
        <v>1627755.0</v>
      </c>
      <c r="B3794" s="108" t="s">
        <v>192</v>
      </c>
      <c r="C3794" s="108" t="s">
        <v>917</v>
      </c>
      <c r="D3794" s="100" t="str">
        <f t="shared" si="1"/>
        <v/>
      </c>
      <c r="E3794" s="100" t="str">
        <f t="shared" si="2"/>
        <v/>
      </c>
      <c r="F3794" s="100" t="str">
        <f t="shared" si="3"/>
        <v/>
      </c>
      <c r="G3794" s="151"/>
      <c r="H3794" s="160"/>
      <c r="I3794" s="157"/>
      <c r="J3794" s="158"/>
      <c r="L3794" s="94"/>
      <c r="M3794" s="159"/>
      <c r="N3794" s="94"/>
    </row>
    <row r="3795">
      <c r="A3795" s="107">
        <v>1627756.0</v>
      </c>
      <c r="B3795" s="108" t="s">
        <v>190</v>
      </c>
      <c r="C3795" s="108" t="s">
        <v>918</v>
      </c>
      <c r="D3795" s="100" t="str">
        <f t="shared" si="1"/>
        <v/>
      </c>
      <c r="E3795" s="100" t="str">
        <f t="shared" si="2"/>
        <v/>
      </c>
      <c r="F3795" s="100" t="str">
        <f t="shared" si="3"/>
        <v/>
      </c>
      <c r="G3795" s="151"/>
      <c r="H3795" s="156"/>
      <c r="I3795" s="157"/>
      <c r="J3795" s="161"/>
      <c r="L3795" s="94"/>
      <c r="M3795" s="159"/>
      <c r="N3795" s="94"/>
    </row>
    <row r="3796">
      <c r="A3796" s="107">
        <v>1627756.0</v>
      </c>
      <c r="B3796" s="108" t="s">
        <v>191</v>
      </c>
      <c r="C3796" s="108" t="s">
        <v>918</v>
      </c>
      <c r="D3796" s="100" t="str">
        <f t="shared" si="1"/>
        <v/>
      </c>
      <c r="E3796" s="100" t="str">
        <f t="shared" si="2"/>
        <v/>
      </c>
      <c r="F3796" s="100" t="str">
        <f t="shared" si="3"/>
        <v/>
      </c>
      <c r="G3796" s="151"/>
      <c r="H3796" s="160"/>
      <c r="I3796" s="157"/>
      <c r="J3796" s="158"/>
      <c r="L3796" s="94"/>
      <c r="M3796" s="159"/>
      <c r="N3796" s="94"/>
    </row>
    <row r="3797">
      <c r="A3797" s="107">
        <v>1627756.0</v>
      </c>
      <c r="B3797" s="108" t="s">
        <v>193</v>
      </c>
      <c r="C3797" s="108" t="s">
        <v>918</v>
      </c>
      <c r="D3797" s="100" t="str">
        <f t="shared" si="1"/>
        <v/>
      </c>
      <c r="E3797" s="100" t="str">
        <f t="shared" si="2"/>
        <v/>
      </c>
      <c r="F3797" s="100" t="str">
        <f t="shared" si="3"/>
        <v/>
      </c>
      <c r="G3797" s="151"/>
      <c r="H3797" s="156"/>
      <c r="I3797" s="157"/>
      <c r="J3797" s="161"/>
      <c r="L3797" s="94"/>
      <c r="M3797" s="159"/>
      <c r="N3797" s="94"/>
    </row>
    <row r="3798">
      <c r="A3798" s="107">
        <v>1627756.0</v>
      </c>
      <c r="B3798" s="108" t="s">
        <v>243</v>
      </c>
      <c r="C3798" s="108" t="s">
        <v>918</v>
      </c>
      <c r="D3798" s="100" t="str">
        <f t="shared" si="1"/>
        <v/>
      </c>
      <c r="E3798" s="100" t="str">
        <f t="shared" si="2"/>
        <v/>
      </c>
      <c r="F3798" s="100" t="str">
        <f t="shared" si="3"/>
        <v/>
      </c>
      <c r="G3798" s="151"/>
      <c r="H3798" s="160"/>
      <c r="I3798" s="157"/>
      <c r="J3798" s="158"/>
      <c r="L3798" s="94"/>
      <c r="M3798" s="159"/>
      <c r="N3798" s="94"/>
    </row>
    <row r="3799">
      <c r="A3799" s="107">
        <v>1627756.0</v>
      </c>
      <c r="B3799" s="108" t="s">
        <v>215</v>
      </c>
      <c r="C3799" s="108" t="s">
        <v>918</v>
      </c>
      <c r="D3799" s="100" t="str">
        <f t="shared" si="1"/>
        <v/>
      </c>
      <c r="E3799" s="100" t="str">
        <f t="shared" si="2"/>
        <v/>
      </c>
      <c r="F3799" s="100" t="str">
        <f t="shared" si="3"/>
        <v/>
      </c>
      <c r="G3799" s="151"/>
      <c r="H3799" s="156"/>
      <c r="I3799" s="157"/>
      <c r="J3799" s="161"/>
      <c r="L3799" s="94"/>
      <c r="M3799" s="159"/>
      <c r="N3799" s="94"/>
    </row>
    <row r="3800">
      <c r="A3800" s="107">
        <v>1627757.0</v>
      </c>
      <c r="B3800" s="108" t="s">
        <v>190</v>
      </c>
      <c r="C3800" s="108" t="s">
        <v>919</v>
      </c>
      <c r="D3800" s="100" t="str">
        <f t="shared" si="1"/>
        <v/>
      </c>
      <c r="E3800" s="100" t="str">
        <f t="shared" si="2"/>
        <v/>
      </c>
      <c r="F3800" s="100" t="str">
        <f t="shared" si="3"/>
        <v/>
      </c>
      <c r="G3800" s="151"/>
      <c r="H3800" s="160"/>
      <c r="I3800" s="157"/>
      <c r="J3800" s="158"/>
      <c r="L3800" s="94"/>
      <c r="M3800" s="159"/>
      <c r="N3800" s="94"/>
    </row>
    <row r="3801">
      <c r="A3801" s="107">
        <v>1627758.0</v>
      </c>
      <c r="B3801" s="108" t="s">
        <v>190</v>
      </c>
      <c r="C3801" s="108" t="s">
        <v>920</v>
      </c>
      <c r="D3801" s="100" t="str">
        <f t="shared" si="1"/>
        <v/>
      </c>
      <c r="E3801" s="100" t="str">
        <f t="shared" si="2"/>
        <v/>
      </c>
      <c r="F3801" s="100" t="str">
        <f t="shared" si="3"/>
        <v/>
      </c>
      <c r="G3801" s="151"/>
      <c r="H3801" s="156"/>
      <c r="I3801" s="157"/>
      <c r="J3801" s="161"/>
      <c r="L3801" s="94"/>
      <c r="M3801" s="159"/>
      <c r="N3801" s="94"/>
    </row>
    <row r="3802">
      <c r="A3802" s="107">
        <v>1627758.0</v>
      </c>
      <c r="B3802" s="108" t="s">
        <v>191</v>
      </c>
      <c r="C3802" s="108" t="s">
        <v>920</v>
      </c>
      <c r="D3802" s="100" t="str">
        <f t="shared" si="1"/>
        <v/>
      </c>
      <c r="E3802" s="100" t="str">
        <f t="shared" si="2"/>
        <v/>
      </c>
      <c r="F3802" s="100" t="str">
        <f t="shared" si="3"/>
        <v/>
      </c>
      <c r="G3802" s="151"/>
      <c r="H3802" s="160"/>
      <c r="I3802" s="157"/>
      <c r="J3802" s="158"/>
      <c r="L3802" s="94"/>
      <c r="M3802" s="159"/>
      <c r="N3802" s="94"/>
    </row>
    <row r="3803">
      <c r="A3803" s="107">
        <v>1627758.0</v>
      </c>
      <c r="B3803" s="108" t="s">
        <v>192</v>
      </c>
      <c r="C3803" s="108" t="s">
        <v>920</v>
      </c>
      <c r="D3803" s="100" t="str">
        <f t="shared" si="1"/>
        <v/>
      </c>
      <c r="E3803" s="100" t="str">
        <f t="shared" si="2"/>
        <v/>
      </c>
      <c r="F3803" s="100" t="str">
        <f t="shared" si="3"/>
        <v/>
      </c>
      <c r="G3803" s="151"/>
      <c r="H3803" s="156"/>
      <c r="I3803" s="157"/>
      <c r="J3803" s="161"/>
      <c r="L3803" s="94"/>
      <c r="M3803" s="159"/>
      <c r="N3803" s="94"/>
    </row>
    <row r="3804">
      <c r="A3804" s="107">
        <v>1627759.0</v>
      </c>
      <c r="B3804" s="108" t="s">
        <v>190</v>
      </c>
      <c r="C3804" s="108" t="s">
        <v>921</v>
      </c>
      <c r="D3804" s="100" t="str">
        <f t="shared" si="1"/>
        <v/>
      </c>
      <c r="E3804" s="100" t="str">
        <f t="shared" si="2"/>
        <v/>
      </c>
      <c r="F3804" s="100" t="str">
        <f t="shared" si="3"/>
        <v/>
      </c>
      <c r="G3804" s="151"/>
      <c r="H3804" s="160"/>
      <c r="I3804" s="157"/>
      <c r="J3804" s="158"/>
      <c r="L3804" s="94"/>
      <c r="M3804" s="159"/>
      <c r="N3804" s="94"/>
    </row>
    <row r="3805">
      <c r="A3805" s="107">
        <v>1627759.0</v>
      </c>
      <c r="B3805" s="108" t="s">
        <v>191</v>
      </c>
      <c r="C3805" s="108" t="s">
        <v>921</v>
      </c>
      <c r="D3805" s="100" t="str">
        <f t="shared" si="1"/>
        <v/>
      </c>
      <c r="E3805" s="100" t="str">
        <f t="shared" si="2"/>
        <v/>
      </c>
      <c r="F3805" s="100" t="str">
        <f t="shared" si="3"/>
        <v/>
      </c>
      <c r="G3805" s="151"/>
      <c r="H3805" s="156"/>
      <c r="I3805" s="157"/>
      <c r="J3805" s="161"/>
      <c r="L3805" s="94"/>
      <c r="M3805" s="159"/>
      <c r="N3805" s="94"/>
    </row>
    <row r="3806">
      <c r="A3806" s="107">
        <v>1627759.0</v>
      </c>
      <c r="B3806" s="108" t="s">
        <v>192</v>
      </c>
      <c r="C3806" s="108" t="s">
        <v>921</v>
      </c>
      <c r="D3806" s="100" t="str">
        <f t="shared" si="1"/>
        <v/>
      </c>
      <c r="E3806" s="100" t="str">
        <f t="shared" si="2"/>
        <v/>
      </c>
      <c r="F3806" s="100" t="str">
        <f t="shared" si="3"/>
        <v/>
      </c>
      <c r="G3806" s="151"/>
      <c r="H3806" s="160"/>
      <c r="I3806" s="157"/>
      <c r="J3806" s="158"/>
      <c r="L3806" s="94"/>
      <c r="M3806" s="159"/>
      <c r="N3806" s="94"/>
    </row>
    <row r="3807">
      <c r="A3807" s="107">
        <v>1627759.0</v>
      </c>
      <c r="B3807" s="108" t="s">
        <v>193</v>
      </c>
      <c r="C3807" s="108" t="s">
        <v>921</v>
      </c>
      <c r="D3807" s="100" t="str">
        <f t="shared" si="1"/>
        <v/>
      </c>
      <c r="E3807" s="100" t="str">
        <f t="shared" si="2"/>
        <v/>
      </c>
      <c r="F3807" s="100" t="str">
        <f t="shared" si="3"/>
        <v/>
      </c>
      <c r="G3807" s="151"/>
      <c r="H3807" s="156"/>
      <c r="I3807" s="157"/>
      <c r="J3807" s="161"/>
      <c r="L3807" s="94"/>
      <c r="M3807" s="159"/>
      <c r="N3807" s="94"/>
    </row>
    <row r="3808">
      <c r="A3808" s="107">
        <v>1627759.0</v>
      </c>
      <c r="B3808" s="108" t="s">
        <v>243</v>
      </c>
      <c r="C3808" s="108" t="s">
        <v>921</v>
      </c>
      <c r="D3808" s="100" t="str">
        <f t="shared" si="1"/>
        <v/>
      </c>
      <c r="E3808" s="100" t="str">
        <f t="shared" si="2"/>
        <v/>
      </c>
      <c r="F3808" s="100" t="str">
        <f t="shared" si="3"/>
        <v/>
      </c>
      <c r="G3808" s="151"/>
      <c r="H3808" s="160"/>
      <c r="I3808" s="157"/>
      <c r="J3808" s="158"/>
      <c r="L3808" s="94"/>
      <c r="M3808" s="159"/>
      <c r="N3808" s="94"/>
    </row>
    <row r="3809">
      <c r="A3809" s="107">
        <v>1627759.0</v>
      </c>
      <c r="B3809" s="108" t="s">
        <v>215</v>
      </c>
      <c r="C3809" s="108" t="s">
        <v>921</v>
      </c>
      <c r="D3809" s="100" t="str">
        <f t="shared" si="1"/>
        <v/>
      </c>
      <c r="E3809" s="100" t="str">
        <f t="shared" si="2"/>
        <v/>
      </c>
      <c r="F3809" s="100" t="str">
        <f t="shared" si="3"/>
        <v/>
      </c>
      <c r="G3809" s="151"/>
      <c r="H3809" s="156"/>
      <c r="I3809" s="157"/>
      <c r="J3809" s="161"/>
      <c r="L3809" s="94"/>
      <c r="M3809" s="159"/>
      <c r="N3809" s="94"/>
    </row>
    <row r="3810">
      <c r="A3810" s="107">
        <v>1627759.0</v>
      </c>
      <c r="B3810" s="108" t="s">
        <v>244</v>
      </c>
      <c r="C3810" s="108" t="s">
        <v>921</v>
      </c>
      <c r="D3810" s="100" t="str">
        <f t="shared" si="1"/>
        <v/>
      </c>
      <c r="E3810" s="100" t="str">
        <f t="shared" si="2"/>
        <v/>
      </c>
      <c r="F3810" s="100" t="str">
        <f t="shared" si="3"/>
        <v/>
      </c>
      <c r="G3810" s="151"/>
      <c r="H3810" s="160"/>
      <c r="I3810" s="157"/>
      <c r="J3810" s="158"/>
      <c r="L3810" s="94"/>
      <c r="M3810" s="159"/>
      <c r="N3810" s="94"/>
    </row>
    <row r="3811">
      <c r="A3811" s="107">
        <v>1627759.0</v>
      </c>
      <c r="B3811" s="108" t="s">
        <v>245</v>
      </c>
      <c r="C3811" s="108" t="s">
        <v>921</v>
      </c>
      <c r="D3811" s="100" t="str">
        <f t="shared" si="1"/>
        <v/>
      </c>
      <c r="E3811" s="100" t="str">
        <f t="shared" si="2"/>
        <v/>
      </c>
      <c r="F3811" s="100" t="str">
        <f t="shared" si="3"/>
        <v/>
      </c>
      <c r="G3811" s="151"/>
      <c r="H3811" s="156"/>
      <c r="I3811" s="157"/>
      <c r="J3811" s="161"/>
      <c r="L3811" s="94"/>
      <c r="M3811" s="159"/>
      <c r="N3811" s="94"/>
    </row>
    <row r="3812">
      <c r="A3812" s="107">
        <v>1627759.0</v>
      </c>
      <c r="B3812" s="108" t="s">
        <v>246</v>
      </c>
      <c r="C3812" s="108" t="s">
        <v>921</v>
      </c>
      <c r="D3812" s="100" t="str">
        <f t="shared" si="1"/>
        <v/>
      </c>
      <c r="E3812" s="100" t="str">
        <f t="shared" si="2"/>
        <v/>
      </c>
      <c r="F3812" s="100" t="str">
        <f t="shared" si="3"/>
        <v/>
      </c>
      <c r="G3812" s="151"/>
      <c r="H3812" s="160"/>
      <c r="I3812" s="157"/>
      <c r="J3812" s="158"/>
      <c r="L3812" s="94"/>
      <c r="M3812" s="159"/>
      <c r="N3812" s="94"/>
    </row>
    <row r="3813">
      <c r="A3813" s="149">
        <v>1627759.0</v>
      </c>
      <c r="B3813" s="115" t="s">
        <v>247</v>
      </c>
      <c r="C3813" s="115" t="s">
        <v>921</v>
      </c>
      <c r="D3813" s="100" t="str">
        <f t="shared" si="1"/>
        <v/>
      </c>
      <c r="E3813" s="100" t="str">
        <f t="shared" si="2"/>
        <v/>
      </c>
      <c r="F3813" s="100" t="str">
        <f t="shared" si="3"/>
        <v/>
      </c>
      <c r="G3813" s="151"/>
      <c r="H3813" s="156"/>
      <c r="I3813" s="157"/>
      <c r="J3813" s="161"/>
      <c r="L3813" s="94"/>
      <c r="M3813" s="159"/>
      <c r="N3813" s="94"/>
    </row>
    <row r="3814">
      <c r="A3814" s="21">
        <v>1627760.0</v>
      </c>
      <c r="B3814" s="164" t="s">
        <v>215</v>
      </c>
      <c r="C3814" s="164" t="s">
        <v>922</v>
      </c>
      <c r="D3814" s="100" t="str">
        <f t="shared" si="1"/>
        <v/>
      </c>
      <c r="E3814" s="100" t="str">
        <f t="shared" si="2"/>
        <v/>
      </c>
      <c r="F3814" s="100" t="str">
        <f t="shared" si="3"/>
        <v/>
      </c>
      <c r="G3814" s="151"/>
      <c r="H3814" s="160"/>
      <c r="I3814" s="157"/>
      <c r="J3814" s="158"/>
      <c r="L3814" s="94"/>
      <c r="M3814" s="159"/>
      <c r="N3814" s="94"/>
    </row>
    <row r="3815">
      <c r="A3815" s="107">
        <v>1627761.0</v>
      </c>
      <c r="B3815" s="108" t="s">
        <v>190</v>
      </c>
      <c r="C3815" s="108" t="s">
        <v>923</v>
      </c>
      <c r="D3815" s="100" t="str">
        <f t="shared" si="1"/>
        <v/>
      </c>
      <c r="E3815" s="100" t="str">
        <f t="shared" si="2"/>
        <v/>
      </c>
      <c r="F3815" s="100" t="str">
        <f t="shared" si="3"/>
        <v/>
      </c>
      <c r="G3815" s="151"/>
      <c r="H3815" s="156"/>
      <c r="I3815" s="157"/>
      <c r="J3815" s="161"/>
      <c r="L3815" s="94"/>
      <c r="M3815" s="159"/>
      <c r="N3815" s="94"/>
    </row>
    <row r="3816">
      <c r="A3816" s="107">
        <v>1627761.0</v>
      </c>
      <c r="B3816" s="108" t="s">
        <v>191</v>
      </c>
      <c r="C3816" s="108" t="s">
        <v>923</v>
      </c>
      <c r="D3816" s="100" t="str">
        <f t="shared" si="1"/>
        <v/>
      </c>
      <c r="E3816" s="100" t="str">
        <f t="shared" si="2"/>
        <v/>
      </c>
      <c r="F3816" s="100" t="str">
        <f t="shared" si="3"/>
        <v/>
      </c>
      <c r="G3816" s="151"/>
      <c r="H3816" s="160"/>
      <c r="I3816" s="157"/>
      <c r="J3816" s="158"/>
      <c r="L3816" s="94"/>
      <c r="M3816" s="159"/>
      <c r="N3816" s="94"/>
    </row>
    <row r="3817">
      <c r="A3817" s="107">
        <v>1627761.0</v>
      </c>
      <c r="B3817" s="108" t="s">
        <v>192</v>
      </c>
      <c r="C3817" s="108" t="s">
        <v>923</v>
      </c>
      <c r="D3817" s="100" t="str">
        <f t="shared" si="1"/>
        <v/>
      </c>
      <c r="E3817" s="100" t="str">
        <f t="shared" si="2"/>
        <v/>
      </c>
      <c r="F3817" s="100" t="str">
        <f t="shared" si="3"/>
        <v/>
      </c>
      <c r="G3817" s="151"/>
      <c r="H3817" s="156"/>
      <c r="I3817" s="157"/>
      <c r="J3817" s="161"/>
      <c r="L3817" s="94"/>
      <c r="M3817" s="159"/>
      <c r="N3817" s="94"/>
    </row>
    <row r="3818">
      <c r="A3818" s="107">
        <v>1627761.0</v>
      </c>
      <c r="B3818" s="108" t="s">
        <v>193</v>
      </c>
      <c r="C3818" s="108" t="s">
        <v>923</v>
      </c>
      <c r="D3818" s="100" t="str">
        <f t="shared" si="1"/>
        <v/>
      </c>
      <c r="E3818" s="100" t="str">
        <f t="shared" si="2"/>
        <v/>
      </c>
      <c r="F3818" s="100" t="str">
        <f t="shared" si="3"/>
        <v/>
      </c>
      <c r="G3818" s="151"/>
      <c r="H3818" s="160"/>
      <c r="I3818" s="157"/>
      <c r="J3818" s="158"/>
      <c r="L3818" s="94"/>
      <c r="M3818" s="159"/>
      <c r="N3818" s="94"/>
    </row>
    <row r="3819">
      <c r="A3819" s="107">
        <v>1627761.0</v>
      </c>
      <c r="B3819" s="108" t="s">
        <v>243</v>
      </c>
      <c r="C3819" s="108" t="s">
        <v>923</v>
      </c>
      <c r="D3819" s="100" t="str">
        <f t="shared" si="1"/>
        <v/>
      </c>
      <c r="E3819" s="100" t="str">
        <f t="shared" si="2"/>
        <v/>
      </c>
      <c r="F3819" s="100" t="str">
        <f t="shared" si="3"/>
        <v/>
      </c>
      <c r="G3819" s="151"/>
      <c r="H3819" s="156"/>
      <c r="I3819" s="157"/>
      <c r="J3819" s="161"/>
      <c r="L3819" s="94"/>
      <c r="M3819" s="159"/>
      <c r="N3819" s="94"/>
    </row>
    <row r="3820">
      <c r="A3820" s="107">
        <v>1627761.0</v>
      </c>
      <c r="B3820" s="108" t="s">
        <v>215</v>
      </c>
      <c r="C3820" s="108" t="s">
        <v>923</v>
      </c>
      <c r="D3820" s="100" t="str">
        <f t="shared" si="1"/>
        <v/>
      </c>
      <c r="E3820" s="100" t="str">
        <f t="shared" si="2"/>
        <v/>
      </c>
      <c r="F3820" s="100" t="str">
        <f t="shared" si="3"/>
        <v/>
      </c>
      <c r="G3820" s="151"/>
      <c r="H3820" s="160"/>
      <c r="I3820" s="157"/>
      <c r="J3820" s="158"/>
      <c r="L3820" s="94"/>
      <c r="M3820" s="159"/>
      <c r="N3820" s="94"/>
    </row>
    <row r="3821">
      <c r="A3821" s="107">
        <v>1627762.0</v>
      </c>
      <c r="B3821" s="108" t="s">
        <v>190</v>
      </c>
      <c r="C3821" s="108" t="s">
        <v>924</v>
      </c>
      <c r="D3821" s="100" t="str">
        <f t="shared" si="1"/>
        <v/>
      </c>
      <c r="E3821" s="100" t="str">
        <f t="shared" si="2"/>
        <v/>
      </c>
      <c r="F3821" s="100" t="str">
        <f t="shared" si="3"/>
        <v/>
      </c>
      <c r="G3821" s="151"/>
      <c r="H3821" s="156"/>
      <c r="I3821" s="157"/>
      <c r="J3821" s="161"/>
      <c r="L3821" s="94"/>
      <c r="M3821" s="159"/>
      <c r="N3821" s="94"/>
    </row>
    <row r="3822">
      <c r="A3822" s="107">
        <v>1627762.0</v>
      </c>
      <c r="B3822" s="108" t="s">
        <v>191</v>
      </c>
      <c r="C3822" s="108" t="s">
        <v>924</v>
      </c>
      <c r="D3822" s="100" t="str">
        <f t="shared" si="1"/>
        <v/>
      </c>
      <c r="E3822" s="100" t="str">
        <f t="shared" si="2"/>
        <v/>
      </c>
      <c r="F3822" s="100" t="str">
        <f t="shared" si="3"/>
        <v/>
      </c>
      <c r="G3822" s="151"/>
      <c r="H3822" s="160"/>
      <c r="I3822" s="157"/>
      <c r="J3822" s="158"/>
      <c r="L3822" s="94"/>
      <c r="M3822" s="159"/>
      <c r="N3822" s="94"/>
    </row>
    <row r="3823">
      <c r="A3823" s="107">
        <v>1627763.0</v>
      </c>
      <c r="B3823" s="108" t="s">
        <v>190</v>
      </c>
      <c r="C3823" s="108" t="s">
        <v>925</v>
      </c>
      <c r="D3823" s="100" t="str">
        <f t="shared" si="1"/>
        <v/>
      </c>
      <c r="E3823" s="100" t="str">
        <f t="shared" si="2"/>
        <v/>
      </c>
      <c r="F3823" s="100" t="str">
        <f t="shared" si="3"/>
        <v/>
      </c>
      <c r="G3823" s="151"/>
      <c r="H3823" s="156"/>
      <c r="I3823" s="157"/>
      <c r="J3823" s="161"/>
      <c r="L3823" s="94"/>
      <c r="M3823" s="159"/>
      <c r="N3823" s="94"/>
    </row>
    <row r="3824">
      <c r="A3824" s="107">
        <v>1627763.0</v>
      </c>
      <c r="B3824" s="108" t="s">
        <v>191</v>
      </c>
      <c r="C3824" s="108" t="s">
        <v>925</v>
      </c>
      <c r="D3824" s="100" t="str">
        <f t="shared" si="1"/>
        <v/>
      </c>
      <c r="E3824" s="100" t="str">
        <f t="shared" si="2"/>
        <v/>
      </c>
      <c r="F3824" s="100" t="str">
        <f t="shared" si="3"/>
        <v/>
      </c>
      <c r="G3824" s="151"/>
      <c r="H3824" s="160"/>
      <c r="I3824" s="157"/>
      <c r="J3824" s="158"/>
      <c r="L3824" s="94"/>
      <c r="M3824" s="159"/>
      <c r="N3824" s="94"/>
    </row>
    <row r="3825">
      <c r="A3825" s="107">
        <v>1627763.0</v>
      </c>
      <c r="B3825" s="108" t="s">
        <v>192</v>
      </c>
      <c r="C3825" s="108" t="s">
        <v>925</v>
      </c>
      <c r="D3825" s="100" t="str">
        <f t="shared" si="1"/>
        <v/>
      </c>
      <c r="E3825" s="100" t="str">
        <f t="shared" si="2"/>
        <v/>
      </c>
      <c r="F3825" s="100" t="str">
        <f t="shared" si="3"/>
        <v/>
      </c>
      <c r="G3825" s="151"/>
      <c r="H3825" s="156"/>
      <c r="I3825" s="157"/>
      <c r="J3825" s="161"/>
      <c r="L3825" s="94"/>
      <c r="M3825" s="159"/>
      <c r="N3825" s="94"/>
    </row>
    <row r="3826">
      <c r="A3826" s="107">
        <v>1627763.0</v>
      </c>
      <c r="B3826" s="108" t="s">
        <v>193</v>
      </c>
      <c r="C3826" s="108" t="s">
        <v>925</v>
      </c>
      <c r="D3826" s="100" t="str">
        <f t="shared" si="1"/>
        <v/>
      </c>
      <c r="E3826" s="100" t="str">
        <f t="shared" si="2"/>
        <v/>
      </c>
      <c r="F3826" s="100" t="str">
        <f t="shared" si="3"/>
        <v/>
      </c>
      <c r="G3826" s="151"/>
      <c r="H3826" s="160"/>
      <c r="I3826" s="157"/>
      <c r="J3826" s="158"/>
      <c r="L3826" s="94"/>
      <c r="M3826" s="159"/>
      <c r="N3826" s="94"/>
    </row>
    <row r="3827">
      <c r="A3827" s="107">
        <v>1627763.0</v>
      </c>
      <c r="B3827" s="108" t="s">
        <v>243</v>
      </c>
      <c r="C3827" s="108" t="s">
        <v>925</v>
      </c>
      <c r="D3827" s="100" t="str">
        <f t="shared" si="1"/>
        <v/>
      </c>
      <c r="E3827" s="100" t="str">
        <f t="shared" si="2"/>
        <v/>
      </c>
      <c r="F3827" s="100" t="str">
        <f t="shared" si="3"/>
        <v/>
      </c>
      <c r="G3827" s="151"/>
      <c r="H3827" s="156"/>
      <c r="I3827" s="157"/>
      <c r="J3827" s="161"/>
      <c r="L3827" s="94"/>
      <c r="M3827" s="159"/>
      <c r="N3827" s="94"/>
    </row>
    <row r="3828">
      <c r="A3828" s="107">
        <v>1627763.0</v>
      </c>
      <c r="B3828" s="108" t="s">
        <v>215</v>
      </c>
      <c r="C3828" s="108" t="s">
        <v>925</v>
      </c>
      <c r="D3828" s="100" t="str">
        <f t="shared" si="1"/>
        <v/>
      </c>
      <c r="E3828" s="100" t="str">
        <f t="shared" si="2"/>
        <v/>
      </c>
      <c r="F3828" s="100" t="str">
        <f t="shared" si="3"/>
        <v/>
      </c>
      <c r="G3828" s="151"/>
      <c r="H3828" s="160"/>
      <c r="I3828" s="157"/>
      <c r="J3828" s="158"/>
      <c r="L3828" s="94"/>
      <c r="M3828" s="159"/>
      <c r="N3828" s="94"/>
    </row>
    <row r="3829">
      <c r="A3829" s="107">
        <v>1627763.0</v>
      </c>
      <c r="B3829" s="108" t="s">
        <v>244</v>
      </c>
      <c r="C3829" s="108" t="s">
        <v>925</v>
      </c>
      <c r="D3829" s="100" t="str">
        <f t="shared" si="1"/>
        <v/>
      </c>
      <c r="E3829" s="100" t="str">
        <f t="shared" si="2"/>
        <v/>
      </c>
      <c r="F3829" s="100" t="str">
        <f t="shared" si="3"/>
        <v/>
      </c>
      <c r="G3829" s="151"/>
      <c r="H3829" s="156"/>
      <c r="I3829" s="157"/>
      <c r="J3829" s="161"/>
      <c r="L3829" s="94"/>
      <c r="M3829" s="159"/>
      <c r="N3829" s="94"/>
    </row>
    <row r="3830">
      <c r="A3830" s="107">
        <v>1627763.0</v>
      </c>
      <c r="B3830" s="108" t="s">
        <v>245</v>
      </c>
      <c r="C3830" s="108" t="s">
        <v>925</v>
      </c>
      <c r="D3830" s="100" t="str">
        <f t="shared" si="1"/>
        <v/>
      </c>
      <c r="E3830" s="100" t="str">
        <f t="shared" si="2"/>
        <v/>
      </c>
      <c r="F3830" s="100" t="str">
        <f t="shared" si="3"/>
        <v/>
      </c>
      <c r="G3830" s="151"/>
      <c r="H3830" s="160"/>
      <c r="I3830" s="157"/>
      <c r="J3830" s="158"/>
      <c r="L3830" s="94"/>
      <c r="M3830" s="159"/>
      <c r="N3830" s="94"/>
    </row>
    <row r="3831">
      <c r="A3831" s="107">
        <v>1627763.0</v>
      </c>
      <c r="B3831" s="108" t="s">
        <v>246</v>
      </c>
      <c r="C3831" s="108" t="s">
        <v>925</v>
      </c>
      <c r="D3831" s="100" t="str">
        <f t="shared" si="1"/>
        <v/>
      </c>
      <c r="E3831" s="100" t="str">
        <f t="shared" si="2"/>
        <v/>
      </c>
      <c r="F3831" s="100" t="str">
        <f t="shared" si="3"/>
        <v/>
      </c>
      <c r="G3831" s="151"/>
      <c r="H3831" s="156"/>
      <c r="I3831" s="157"/>
      <c r="J3831" s="161"/>
      <c r="L3831" s="94"/>
      <c r="M3831" s="159"/>
      <c r="N3831" s="94"/>
    </row>
    <row r="3832">
      <c r="A3832" s="107">
        <v>1627767.0</v>
      </c>
      <c r="B3832" s="108" t="s">
        <v>190</v>
      </c>
      <c r="C3832" s="108" t="s">
        <v>926</v>
      </c>
      <c r="D3832" s="100" t="str">
        <f t="shared" si="1"/>
        <v/>
      </c>
      <c r="E3832" s="100" t="str">
        <f t="shared" si="2"/>
        <v/>
      </c>
      <c r="F3832" s="100" t="str">
        <f t="shared" si="3"/>
        <v/>
      </c>
      <c r="G3832" s="151"/>
      <c r="H3832" s="160"/>
      <c r="I3832" s="157"/>
      <c r="J3832" s="158"/>
      <c r="L3832" s="94"/>
      <c r="M3832" s="159"/>
      <c r="N3832" s="94"/>
    </row>
    <row r="3833">
      <c r="A3833" s="107">
        <v>1627767.0</v>
      </c>
      <c r="B3833" s="108" t="s">
        <v>191</v>
      </c>
      <c r="C3833" s="108" t="s">
        <v>926</v>
      </c>
      <c r="D3833" s="100" t="str">
        <f t="shared" si="1"/>
        <v/>
      </c>
      <c r="E3833" s="100" t="str">
        <f t="shared" si="2"/>
        <v/>
      </c>
      <c r="F3833" s="100" t="str">
        <f t="shared" si="3"/>
        <v/>
      </c>
      <c r="G3833" s="151"/>
      <c r="H3833" s="156"/>
      <c r="I3833" s="157"/>
      <c r="J3833" s="161"/>
      <c r="L3833" s="94"/>
      <c r="M3833" s="159"/>
      <c r="N3833" s="94"/>
    </row>
    <row r="3834">
      <c r="A3834" s="107">
        <v>1627767.0</v>
      </c>
      <c r="B3834" s="108" t="s">
        <v>192</v>
      </c>
      <c r="C3834" s="108" t="s">
        <v>926</v>
      </c>
      <c r="D3834" s="100" t="str">
        <f t="shared" si="1"/>
        <v/>
      </c>
      <c r="E3834" s="100" t="str">
        <f t="shared" si="2"/>
        <v/>
      </c>
      <c r="F3834" s="100" t="str">
        <f t="shared" si="3"/>
        <v/>
      </c>
      <c r="G3834" s="151"/>
      <c r="H3834" s="160"/>
      <c r="I3834" s="157"/>
      <c r="J3834" s="158"/>
      <c r="L3834" s="94"/>
      <c r="M3834" s="159"/>
      <c r="N3834" s="94"/>
    </row>
    <row r="3835">
      <c r="A3835" s="107">
        <v>1627767.0</v>
      </c>
      <c r="B3835" s="108" t="s">
        <v>193</v>
      </c>
      <c r="C3835" s="108" t="s">
        <v>926</v>
      </c>
      <c r="D3835" s="100" t="str">
        <f t="shared" si="1"/>
        <v/>
      </c>
      <c r="E3835" s="100" t="str">
        <f t="shared" si="2"/>
        <v/>
      </c>
      <c r="F3835" s="100" t="str">
        <f t="shared" si="3"/>
        <v/>
      </c>
      <c r="G3835" s="151"/>
      <c r="H3835" s="156"/>
      <c r="I3835" s="157"/>
      <c r="J3835" s="161"/>
      <c r="L3835" s="94"/>
      <c r="M3835" s="159"/>
      <c r="N3835" s="94"/>
    </row>
    <row r="3836">
      <c r="A3836" s="107">
        <v>1627767.0</v>
      </c>
      <c r="B3836" s="108" t="s">
        <v>215</v>
      </c>
      <c r="C3836" s="108" t="s">
        <v>926</v>
      </c>
      <c r="D3836" s="100" t="str">
        <f t="shared" si="1"/>
        <v/>
      </c>
      <c r="E3836" s="100" t="str">
        <f t="shared" si="2"/>
        <v/>
      </c>
      <c r="F3836" s="100" t="str">
        <f t="shared" si="3"/>
        <v/>
      </c>
      <c r="G3836" s="151"/>
      <c r="H3836" s="160"/>
      <c r="I3836" s="157"/>
      <c r="J3836" s="158"/>
      <c r="L3836" s="94"/>
      <c r="M3836" s="159"/>
      <c r="N3836" s="94"/>
    </row>
    <row r="3837">
      <c r="A3837" s="107">
        <v>1627770.0</v>
      </c>
      <c r="B3837" s="108" t="s">
        <v>190</v>
      </c>
      <c r="C3837" s="108" t="s">
        <v>927</v>
      </c>
      <c r="D3837" s="100" t="str">
        <f t="shared" si="1"/>
        <v/>
      </c>
      <c r="E3837" s="100" t="str">
        <f t="shared" si="2"/>
        <v/>
      </c>
      <c r="F3837" s="100" t="str">
        <f t="shared" si="3"/>
        <v/>
      </c>
      <c r="G3837" s="151"/>
      <c r="H3837" s="156"/>
      <c r="I3837" s="157"/>
      <c r="J3837" s="161"/>
      <c r="L3837" s="94"/>
      <c r="M3837" s="159"/>
      <c r="N3837" s="94"/>
    </row>
    <row r="3838">
      <c r="A3838" s="107">
        <v>1627770.0</v>
      </c>
      <c r="B3838" s="108" t="s">
        <v>191</v>
      </c>
      <c r="C3838" s="108" t="s">
        <v>927</v>
      </c>
      <c r="D3838" s="100" t="str">
        <f t="shared" si="1"/>
        <v/>
      </c>
      <c r="E3838" s="100" t="str">
        <f t="shared" si="2"/>
        <v/>
      </c>
      <c r="F3838" s="100" t="str">
        <f t="shared" si="3"/>
        <v/>
      </c>
      <c r="G3838" s="151"/>
      <c r="H3838" s="160"/>
      <c r="I3838" s="157"/>
      <c r="J3838" s="158"/>
      <c r="L3838" s="94"/>
      <c r="M3838" s="159"/>
      <c r="N3838" s="94"/>
    </row>
    <row r="3839">
      <c r="A3839" s="107">
        <v>1627771.0</v>
      </c>
      <c r="B3839" s="108" t="s">
        <v>190</v>
      </c>
      <c r="C3839" s="108" t="s">
        <v>928</v>
      </c>
      <c r="D3839" s="100" t="str">
        <f t="shared" si="1"/>
        <v/>
      </c>
      <c r="E3839" s="100" t="str">
        <f t="shared" si="2"/>
        <v/>
      </c>
      <c r="F3839" s="100" t="str">
        <f t="shared" si="3"/>
        <v/>
      </c>
      <c r="G3839" s="151"/>
      <c r="H3839" s="156"/>
      <c r="I3839" s="157"/>
      <c r="J3839" s="161"/>
      <c r="L3839" s="94"/>
      <c r="M3839" s="159"/>
      <c r="N3839" s="94"/>
    </row>
    <row r="3840">
      <c r="A3840" s="107">
        <v>1627772.0</v>
      </c>
      <c r="B3840" s="108" t="s">
        <v>191</v>
      </c>
      <c r="C3840" s="108" t="s">
        <v>929</v>
      </c>
      <c r="D3840" s="100" t="str">
        <f t="shared" si="1"/>
        <v/>
      </c>
      <c r="E3840" s="100" t="str">
        <f t="shared" si="2"/>
        <v/>
      </c>
      <c r="F3840" s="100" t="str">
        <f t="shared" si="3"/>
        <v/>
      </c>
      <c r="G3840" s="151"/>
      <c r="H3840" s="160"/>
      <c r="I3840" s="157"/>
      <c r="J3840" s="158"/>
      <c r="L3840" s="94"/>
      <c r="M3840" s="159"/>
      <c r="N3840" s="94"/>
    </row>
    <row r="3841">
      <c r="A3841" s="107">
        <v>1627772.0</v>
      </c>
      <c r="B3841" s="108" t="s">
        <v>192</v>
      </c>
      <c r="C3841" s="108" t="s">
        <v>929</v>
      </c>
      <c r="D3841" s="100" t="str">
        <f t="shared" si="1"/>
        <v/>
      </c>
      <c r="E3841" s="100" t="str">
        <f t="shared" si="2"/>
        <v/>
      </c>
      <c r="F3841" s="100" t="str">
        <f t="shared" si="3"/>
        <v/>
      </c>
      <c r="G3841" s="151"/>
      <c r="H3841" s="156"/>
      <c r="I3841" s="157"/>
      <c r="J3841" s="161"/>
      <c r="L3841" s="94"/>
      <c r="M3841" s="159"/>
      <c r="N3841" s="94"/>
    </row>
    <row r="3842">
      <c r="A3842" s="107">
        <v>1627773.0</v>
      </c>
      <c r="B3842" s="108" t="s">
        <v>190</v>
      </c>
      <c r="C3842" s="108" t="s">
        <v>930</v>
      </c>
      <c r="D3842" s="100" t="str">
        <f t="shared" si="1"/>
        <v/>
      </c>
      <c r="E3842" s="100" t="str">
        <f t="shared" si="2"/>
        <v/>
      </c>
      <c r="F3842" s="100" t="str">
        <f t="shared" si="3"/>
        <v/>
      </c>
      <c r="G3842" s="151"/>
      <c r="H3842" s="160"/>
      <c r="I3842" s="157"/>
      <c r="J3842" s="158"/>
      <c r="L3842" s="94"/>
      <c r="M3842" s="159"/>
      <c r="N3842" s="94"/>
    </row>
    <row r="3843">
      <c r="A3843" s="107">
        <v>1627774.0</v>
      </c>
      <c r="B3843" s="108" t="s">
        <v>190</v>
      </c>
      <c r="C3843" s="108" t="s">
        <v>931</v>
      </c>
      <c r="D3843" s="100" t="str">
        <f t="shared" si="1"/>
        <v/>
      </c>
      <c r="E3843" s="100" t="str">
        <f t="shared" si="2"/>
        <v/>
      </c>
      <c r="F3843" s="100" t="str">
        <f t="shared" si="3"/>
        <v/>
      </c>
      <c r="G3843" s="151"/>
      <c r="H3843" s="156"/>
      <c r="I3843" s="157"/>
      <c r="J3843" s="161"/>
      <c r="L3843" s="94"/>
      <c r="M3843" s="159"/>
      <c r="N3843" s="94"/>
    </row>
    <row r="3844">
      <c r="A3844" s="107">
        <v>1627774.0</v>
      </c>
      <c r="B3844" s="108" t="s">
        <v>191</v>
      </c>
      <c r="C3844" s="108" t="s">
        <v>931</v>
      </c>
      <c r="D3844" s="100" t="str">
        <f t="shared" si="1"/>
        <v/>
      </c>
      <c r="E3844" s="100" t="str">
        <f t="shared" si="2"/>
        <v/>
      </c>
      <c r="F3844" s="100" t="str">
        <f t="shared" si="3"/>
        <v/>
      </c>
      <c r="G3844" s="151"/>
      <c r="H3844" s="160"/>
      <c r="I3844" s="157"/>
      <c r="J3844" s="158"/>
      <c r="L3844" s="94"/>
      <c r="M3844" s="159"/>
      <c r="N3844" s="94"/>
    </row>
    <row r="3845">
      <c r="A3845" s="107">
        <v>1627774.0</v>
      </c>
      <c r="B3845" s="108" t="s">
        <v>192</v>
      </c>
      <c r="C3845" s="108" t="s">
        <v>931</v>
      </c>
      <c r="D3845" s="100" t="str">
        <f t="shared" si="1"/>
        <v/>
      </c>
      <c r="E3845" s="100" t="str">
        <f t="shared" si="2"/>
        <v/>
      </c>
      <c r="F3845" s="100" t="str">
        <f t="shared" si="3"/>
        <v/>
      </c>
      <c r="G3845" s="151"/>
      <c r="H3845" s="156"/>
      <c r="I3845" s="157"/>
      <c r="J3845" s="161"/>
      <c r="L3845" s="94"/>
      <c r="M3845" s="159"/>
      <c r="N3845" s="94"/>
    </row>
    <row r="3846">
      <c r="A3846" s="107">
        <v>1627774.0</v>
      </c>
      <c r="B3846" s="108" t="s">
        <v>193</v>
      </c>
      <c r="C3846" s="108" t="s">
        <v>931</v>
      </c>
      <c r="D3846" s="100" t="str">
        <f t="shared" si="1"/>
        <v/>
      </c>
      <c r="E3846" s="100" t="str">
        <f t="shared" si="2"/>
        <v/>
      </c>
      <c r="F3846" s="100" t="str">
        <f t="shared" si="3"/>
        <v/>
      </c>
      <c r="G3846" s="151"/>
      <c r="H3846" s="160"/>
      <c r="I3846" s="157"/>
      <c r="J3846" s="158"/>
      <c r="L3846" s="94"/>
      <c r="M3846" s="159"/>
      <c r="N3846" s="94"/>
    </row>
    <row r="3847">
      <c r="A3847" s="107">
        <v>1627774.0</v>
      </c>
      <c r="B3847" s="108" t="s">
        <v>243</v>
      </c>
      <c r="C3847" s="108" t="s">
        <v>931</v>
      </c>
      <c r="D3847" s="100" t="str">
        <f t="shared" si="1"/>
        <v/>
      </c>
      <c r="E3847" s="100" t="str">
        <f t="shared" si="2"/>
        <v/>
      </c>
      <c r="F3847" s="100" t="str">
        <f t="shared" si="3"/>
        <v/>
      </c>
      <c r="G3847" s="151"/>
      <c r="H3847" s="156"/>
      <c r="I3847" s="157"/>
      <c r="J3847" s="161"/>
      <c r="L3847" s="94"/>
      <c r="M3847" s="159"/>
      <c r="N3847" s="94"/>
    </row>
    <row r="3848">
      <c r="A3848" s="107">
        <v>1627774.0</v>
      </c>
      <c r="B3848" s="108" t="s">
        <v>215</v>
      </c>
      <c r="C3848" s="108" t="s">
        <v>931</v>
      </c>
      <c r="D3848" s="100" t="str">
        <f t="shared" si="1"/>
        <v/>
      </c>
      <c r="E3848" s="100" t="str">
        <f t="shared" si="2"/>
        <v/>
      </c>
      <c r="F3848" s="100" t="str">
        <f t="shared" si="3"/>
        <v/>
      </c>
      <c r="G3848" s="151"/>
      <c r="H3848" s="160"/>
      <c r="I3848" s="157"/>
      <c r="J3848" s="158"/>
      <c r="L3848" s="94"/>
      <c r="M3848" s="159"/>
      <c r="N3848" s="94"/>
    </row>
    <row r="3849">
      <c r="A3849" s="107">
        <v>1627775.0</v>
      </c>
      <c r="B3849" s="108" t="s">
        <v>190</v>
      </c>
      <c r="C3849" s="108" t="s">
        <v>932</v>
      </c>
      <c r="D3849" s="100" t="str">
        <f t="shared" si="1"/>
        <v/>
      </c>
      <c r="E3849" s="100" t="str">
        <f t="shared" si="2"/>
        <v/>
      </c>
      <c r="F3849" s="100" t="str">
        <f t="shared" si="3"/>
        <v/>
      </c>
      <c r="G3849" s="151"/>
      <c r="H3849" s="156"/>
      <c r="I3849" s="157"/>
      <c r="J3849" s="161"/>
      <c r="L3849" s="94"/>
      <c r="M3849" s="159"/>
      <c r="N3849" s="94"/>
    </row>
    <row r="3850">
      <c r="A3850" s="107">
        <v>1627775.0</v>
      </c>
      <c r="B3850" s="108" t="s">
        <v>191</v>
      </c>
      <c r="C3850" s="108" t="s">
        <v>932</v>
      </c>
      <c r="D3850" s="100" t="str">
        <f t="shared" si="1"/>
        <v/>
      </c>
      <c r="E3850" s="100" t="str">
        <f t="shared" si="2"/>
        <v/>
      </c>
      <c r="F3850" s="100" t="str">
        <f t="shared" si="3"/>
        <v/>
      </c>
      <c r="G3850" s="151"/>
      <c r="H3850" s="160"/>
      <c r="I3850" s="157"/>
      <c r="J3850" s="158"/>
      <c r="L3850" s="94"/>
      <c r="M3850" s="159"/>
      <c r="N3850" s="94"/>
    </row>
    <row r="3851">
      <c r="A3851" s="107">
        <v>1627775.0</v>
      </c>
      <c r="B3851" s="108" t="s">
        <v>192</v>
      </c>
      <c r="C3851" s="108" t="s">
        <v>932</v>
      </c>
      <c r="D3851" s="100" t="str">
        <f t="shared" si="1"/>
        <v/>
      </c>
      <c r="E3851" s="100" t="str">
        <f t="shared" si="2"/>
        <v/>
      </c>
      <c r="F3851" s="100" t="str">
        <f t="shared" si="3"/>
        <v/>
      </c>
      <c r="G3851" s="151"/>
      <c r="H3851" s="156"/>
      <c r="I3851" s="157"/>
      <c r="J3851" s="161"/>
      <c r="L3851" s="94"/>
      <c r="M3851" s="159"/>
      <c r="N3851" s="94"/>
    </row>
    <row r="3852">
      <c r="A3852" s="107">
        <v>1627775.0</v>
      </c>
      <c r="B3852" s="108" t="s">
        <v>193</v>
      </c>
      <c r="C3852" s="108" t="s">
        <v>932</v>
      </c>
      <c r="D3852" s="100" t="str">
        <f t="shared" si="1"/>
        <v/>
      </c>
      <c r="E3852" s="100" t="str">
        <f t="shared" si="2"/>
        <v/>
      </c>
      <c r="F3852" s="100" t="str">
        <f t="shared" si="3"/>
        <v/>
      </c>
      <c r="G3852" s="151"/>
      <c r="H3852" s="160"/>
      <c r="I3852" s="157"/>
      <c r="J3852" s="158"/>
      <c r="L3852" s="94"/>
      <c r="M3852" s="159"/>
      <c r="N3852" s="94"/>
    </row>
    <row r="3853">
      <c r="A3853" s="107">
        <v>1627775.0</v>
      </c>
      <c r="B3853" s="108" t="s">
        <v>243</v>
      </c>
      <c r="C3853" s="108" t="s">
        <v>932</v>
      </c>
      <c r="D3853" s="100" t="str">
        <f t="shared" si="1"/>
        <v/>
      </c>
      <c r="E3853" s="100" t="str">
        <f t="shared" si="2"/>
        <v/>
      </c>
      <c r="F3853" s="100" t="str">
        <f t="shared" si="3"/>
        <v/>
      </c>
      <c r="G3853" s="151"/>
      <c r="H3853" s="156"/>
      <c r="I3853" s="157"/>
      <c r="J3853" s="161"/>
      <c r="L3853" s="94"/>
      <c r="M3853" s="159"/>
      <c r="N3853" s="94"/>
    </row>
    <row r="3854">
      <c r="A3854" s="107">
        <v>1627777.0</v>
      </c>
      <c r="B3854" s="108" t="s">
        <v>190</v>
      </c>
      <c r="C3854" s="108" t="s">
        <v>933</v>
      </c>
      <c r="D3854" s="100" t="str">
        <f t="shared" si="1"/>
        <v/>
      </c>
      <c r="E3854" s="100" t="str">
        <f t="shared" si="2"/>
        <v/>
      </c>
      <c r="F3854" s="100" t="str">
        <f t="shared" si="3"/>
        <v/>
      </c>
      <c r="G3854" s="151"/>
      <c r="H3854" s="160"/>
      <c r="I3854" s="157"/>
      <c r="J3854" s="158"/>
      <c r="L3854" s="94"/>
      <c r="M3854" s="159"/>
      <c r="N3854" s="94"/>
    </row>
    <row r="3855">
      <c r="A3855" s="107">
        <v>1627777.0</v>
      </c>
      <c r="B3855" s="108" t="s">
        <v>191</v>
      </c>
      <c r="C3855" s="108" t="s">
        <v>933</v>
      </c>
      <c r="D3855" s="100" t="str">
        <f t="shared" si="1"/>
        <v/>
      </c>
      <c r="E3855" s="100" t="str">
        <f t="shared" si="2"/>
        <v/>
      </c>
      <c r="F3855" s="100" t="str">
        <f t="shared" si="3"/>
        <v/>
      </c>
      <c r="G3855" s="151"/>
      <c r="H3855" s="156"/>
      <c r="I3855" s="157"/>
      <c r="J3855" s="161"/>
      <c r="L3855" s="94"/>
      <c r="M3855" s="159"/>
      <c r="N3855" s="94"/>
    </row>
    <row r="3856">
      <c r="A3856" s="107">
        <v>1627777.0</v>
      </c>
      <c r="B3856" s="108" t="s">
        <v>192</v>
      </c>
      <c r="C3856" s="108" t="s">
        <v>933</v>
      </c>
      <c r="D3856" s="100" t="str">
        <f t="shared" si="1"/>
        <v/>
      </c>
      <c r="E3856" s="100" t="str">
        <f t="shared" si="2"/>
        <v/>
      </c>
      <c r="F3856" s="100" t="str">
        <f t="shared" si="3"/>
        <v/>
      </c>
      <c r="G3856" s="151"/>
      <c r="H3856" s="160"/>
      <c r="I3856" s="157"/>
      <c r="J3856" s="158"/>
      <c r="L3856" s="94"/>
      <c r="M3856" s="159"/>
      <c r="N3856" s="94"/>
    </row>
    <row r="3857">
      <c r="A3857" s="107">
        <v>1627777.0</v>
      </c>
      <c r="B3857" s="108" t="s">
        <v>193</v>
      </c>
      <c r="C3857" s="108" t="s">
        <v>933</v>
      </c>
      <c r="D3857" s="100" t="str">
        <f t="shared" si="1"/>
        <v/>
      </c>
      <c r="E3857" s="100" t="str">
        <f t="shared" si="2"/>
        <v/>
      </c>
      <c r="F3857" s="100" t="str">
        <f t="shared" si="3"/>
        <v/>
      </c>
      <c r="G3857" s="151"/>
      <c r="H3857" s="156"/>
      <c r="I3857" s="157"/>
      <c r="J3857" s="161"/>
      <c r="L3857" s="94"/>
      <c r="M3857" s="159"/>
      <c r="N3857" s="94"/>
    </row>
    <row r="3858">
      <c r="A3858" s="107">
        <v>1627777.0</v>
      </c>
      <c r="B3858" s="108" t="s">
        <v>243</v>
      </c>
      <c r="C3858" s="108" t="s">
        <v>933</v>
      </c>
      <c r="D3858" s="100" t="str">
        <f t="shared" si="1"/>
        <v/>
      </c>
      <c r="E3858" s="100" t="str">
        <f t="shared" si="2"/>
        <v/>
      </c>
      <c r="F3858" s="100" t="str">
        <f t="shared" si="3"/>
        <v/>
      </c>
      <c r="G3858" s="151"/>
      <c r="H3858" s="160"/>
      <c r="I3858" s="157"/>
      <c r="J3858" s="158"/>
      <c r="L3858" s="94"/>
      <c r="M3858" s="159"/>
      <c r="N3858" s="94"/>
    </row>
    <row r="3859">
      <c r="A3859" s="107">
        <v>1627777.0</v>
      </c>
      <c r="B3859" s="108" t="s">
        <v>215</v>
      </c>
      <c r="C3859" s="108" t="s">
        <v>933</v>
      </c>
      <c r="D3859" s="100" t="str">
        <f t="shared" si="1"/>
        <v/>
      </c>
      <c r="E3859" s="100" t="str">
        <f t="shared" si="2"/>
        <v/>
      </c>
      <c r="F3859" s="100" t="str">
        <f t="shared" si="3"/>
        <v/>
      </c>
      <c r="G3859" s="151"/>
      <c r="H3859" s="156"/>
      <c r="I3859" s="157"/>
      <c r="J3859" s="161"/>
      <c r="L3859" s="94"/>
      <c r="M3859" s="159"/>
      <c r="N3859" s="94"/>
    </row>
    <row r="3860">
      <c r="A3860" s="107">
        <v>1627777.0</v>
      </c>
      <c r="B3860" s="108" t="s">
        <v>244</v>
      </c>
      <c r="C3860" s="108" t="s">
        <v>933</v>
      </c>
      <c r="D3860" s="100" t="str">
        <f t="shared" si="1"/>
        <v/>
      </c>
      <c r="E3860" s="100" t="str">
        <f t="shared" si="2"/>
        <v/>
      </c>
      <c r="F3860" s="100" t="str">
        <f t="shared" si="3"/>
        <v/>
      </c>
      <c r="G3860" s="151"/>
      <c r="H3860" s="160"/>
      <c r="I3860" s="157"/>
      <c r="J3860" s="158"/>
      <c r="L3860" s="94"/>
      <c r="M3860" s="159"/>
      <c r="N3860" s="94"/>
    </row>
    <row r="3861">
      <c r="A3861" s="107">
        <v>1627777.0</v>
      </c>
      <c r="B3861" s="108" t="s">
        <v>245</v>
      </c>
      <c r="C3861" s="108" t="s">
        <v>933</v>
      </c>
      <c r="D3861" s="100" t="str">
        <f t="shared" si="1"/>
        <v/>
      </c>
      <c r="E3861" s="100" t="str">
        <f t="shared" si="2"/>
        <v/>
      </c>
      <c r="F3861" s="100" t="str">
        <f t="shared" si="3"/>
        <v/>
      </c>
      <c r="G3861" s="151"/>
      <c r="H3861" s="156"/>
      <c r="I3861" s="157"/>
      <c r="J3861" s="161"/>
      <c r="L3861" s="94"/>
      <c r="M3861" s="159"/>
      <c r="N3861" s="94"/>
    </row>
    <row r="3862">
      <c r="A3862" s="107">
        <v>1627777.0</v>
      </c>
      <c r="B3862" s="108" t="s">
        <v>246</v>
      </c>
      <c r="C3862" s="108" t="s">
        <v>933</v>
      </c>
      <c r="D3862" s="100" t="str">
        <f t="shared" si="1"/>
        <v/>
      </c>
      <c r="E3862" s="100" t="str">
        <f t="shared" si="2"/>
        <v/>
      </c>
      <c r="F3862" s="100" t="str">
        <f t="shared" si="3"/>
        <v/>
      </c>
      <c r="G3862" s="151"/>
      <c r="H3862" s="160"/>
      <c r="I3862" s="157"/>
      <c r="J3862" s="158"/>
      <c r="L3862" s="94"/>
      <c r="M3862" s="159"/>
      <c r="N3862" s="94"/>
    </row>
    <row r="3863">
      <c r="A3863" s="140">
        <v>1627777.0</v>
      </c>
      <c r="B3863" s="115" t="s">
        <v>247</v>
      </c>
      <c r="C3863" s="115" t="s">
        <v>933</v>
      </c>
      <c r="D3863" s="100" t="str">
        <f t="shared" si="1"/>
        <v/>
      </c>
      <c r="E3863" s="100" t="str">
        <f t="shared" si="2"/>
        <v/>
      </c>
      <c r="F3863" s="100" t="str">
        <f t="shared" si="3"/>
        <v/>
      </c>
      <c r="G3863" s="151"/>
      <c r="H3863" s="156"/>
      <c r="I3863" s="157"/>
      <c r="J3863" s="161"/>
      <c r="L3863" s="94"/>
      <c r="M3863" s="159"/>
      <c r="N3863" s="94"/>
    </row>
    <row r="3864">
      <c r="A3864" s="163">
        <v>1627778.0</v>
      </c>
      <c r="B3864" s="164" t="s">
        <v>190</v>
      </c>
      <c r="C3864" s="164" t="s">
        <v>934</v>
      </c>
      <c r="D3864" s="100" t="str">
        <f t="shared" si="1"/>
        <v/>
      </c>
      <c r="E3864" s="100" t="str">
        <f t="shared" si="2"/>
        <v/>
      </c>
      <c r="F3864" s="100" t="str">
        <f t="shared" si="3"/>
        <v/>
      </c>
      <c r="G3864" s="151"/>
      <c r="H3864" s="160"/>
      <c r="I3864" s="157"/>
      <c r="J3864" s="158"/>
      <c r="L3864" s="94"/>
      <c r="M3864" s="159"/>
      <c r="N3864" s="94"/>
    </row>
    <row r="3865">
      <c r="A3865" s="107">
        <v>1627778.0</v>
      </c>
      <c r="B3865" s="108" t="s">
        <v>191</v>
      </c>
      <c r="C3865" s="108" t="s">
        <v>934</v>
      </c>
      <c r="D3865" s="100" t="str">
        <f t="shared" si="1"/>
        <v/>
      </c>
      <c r="E3865" s="100" t="str">
        <f t="shared" si="2"/>
        <v/>
      </c>
      <c r="F3865" s="100" t="str">
        <f t="shared" si="3"/>
        <v/>
      </c>
      <c r="G3865" s="151"/>
      <c r="H3865" s="156"/>
      <c r="I3865" s="157"/>
      <c r="J3865" s="161"/>
      <c r="L3865" s="94"/>
      <c r="M3865" s="159"/>
      <c r="N3865" s="94"/>
    </row>
    <row r="3866">
      <c r="A3866" s="107">
        <v>1627779.0</v>
      </c>
      <c r="B3866" s="108" t="s">
        <v>191</v>
      </c>
      <c r="C3866" s="108" t="s">
        <v>935</v>
      </c>
      <c r="D3866" s="100" t="str">
        <f t="shared" si="1"/>
        <v/>
      </c>
      <c r="E3866" s="100" t="str">
        <f t="shared" si="2"/>
        <v/>
      </c>
      <c r="F3866" s="100" t="str">
        <f t="shared" si="3"/>
        <v/>
      </c>
      <c r="G3866" s="151"/>
      <c r="H3866" s="160"/>
      <c r="I3866" s="157"/>
      <c r="J3866" s="158"/>
      <c r="L3866" s="94"/>
      <c r="M3866" s="159"/>
      <c r="N3866" s="94"/>
    </row>
    <row r="3867">
      <c r="A3867" s="107">
        <v>1627780.0</v>
      </c>
      <c r="B3867" s="108" t="s">
        <v>190</v>
      </c>
      <c r="C3867" s="108" t="s">
        <v>936</v>
      </c>
      <c r="D3867" s="100" t="str">
        <f t="shared" si="1"/>
        <v/>
      </c>
      <c r="E3867" s="100" t="str">
        <f t="shared" si="2"/>
        <v/>
      </c>
      <c r="F3867" s="100" t="str">
        <f t="shared" si="3"/>
        <v/>
      </c>
      <c r="G3867" s="151"/>
      <c r="H3867" s="156"/>
      <c r="I3867" s="157"/>
      <c r="J3867" s="161"/>
      <c r="L3867" s="94"/>
      <c r="M3867" s="159"/>
      <c r="N3867" s="94"/>
    </row>
    <row r="3868">
      <c r="A3868" s="107">
        <v>1627780.0</v>
      </c>
      <c r="B3868" s="108" t="s">
        <v>191</v>
      </c>
      <c r="C3868" s="108" t="s">
        <v>936</v>
      </c>
      <c r="D3868" s="100" t="str">
        <f t="shared" si="1"/>
        <v/>
      </c>
      <c r="E3868" s="100" t="str">
        <f t="shared" si="2"/>
        <v/>
      </c>
      <c r="F3868" s="100" t="str">
        <f t="shared" si="3"/>
        <v/>
      </c>
      <c r="G3868" s="151"/>
      <c r="H3868" s="160"/>
      <c r="I3868" s="157"/>
      <c r="J3868" s="158"/>
      <c r="L3868" s="94"/>
      <c r="M3868" s="159"/>
      <c r="N3868" s="94"/>
    </row>
    <row r="3869">
      <c r="A3869" s="107">
        <v>1627780.0</v>
      </c>
      <c r="B3869" s="108" t="s">
        <v>192</v>
      </c>
      <c r="C3869" s="108" t="s">
        <v>936</v>
      </c>
      <c r="D3869" s="100" t="str">
        <f t="shared" si="1"/>
        <v/>
      </c>
      <c r="E3869" s="100" t="str">
        <f t="shared" si="2"/>
        <v/>
      </c>
      <c r="F3869" s="100" t="str">
        <f t="shared" si="3"/>
        <v/>
      </c>
      <c r="G3869" s="151"/>
      <c r="H3869" s="156"/>
      <c r="I3869" s="157"/>
      <c r="J3869" s="161"/>
      <c r="L3869" s="94"/>
      <c r="M3869" s="159"/>
      <c r="N3869" s="94"/>
    </row>
    <row r="3870">
      <c r="A3870" s="107">
        <v>1627780.0</v>
      </c>
      <c r="B3870" s="108" t="s">
        <v>193</v>
      </c>
      <c r="C3870" s="108" t="s">
        <v>936</v>
      </c>
      <c r="D3870" s="100" t="str">
        <f t="shared" si="1"/>
        <v/>
      </c>
      <c r="E3870" s="100" t="str">
        <f t="shared" si="2"/>
        <v/>
      </c>
      <c r="F3870" s="100" t="str">
        <f t="shared" si="3"/>
        <v/>
      </c>
      <c r="G3870" s="151"/>
      <c r="H3870" s="160"/>
      <c r="I3870" s="157"/>
      <c r="J3870" s="158"/>
      <c r="L3870" s="94"/>
      <c r="M3870" s="159"/>
      <c r="N3870" s="94"/>
    </row>
    <row r="3871">
      <c r="A3871" s="107">
        <v>1627780.0</v>
      </c>
      <c r="B3871" s="108" t="s">
        <v>243</v>
      </c>
      <c r="C3871" s="108" t="s">
        <v>936</v>
      </c>
      <c r="D3871" s="100" t="str">
        <f t="shared" si="1"/>
        <v/>
      </c>
      <c r="E3871" s="100" t="str">
        <f t="shared" si="2"/>
        <v/>
      </c>
      <c r="F3871" s="100" t="str">
        <f t="shared" si="3"/>
        <v/>
      </c>
      <c r="G3871" s="151"/>
      <c r="H3871" s="156"/>
      <c r="I3871" s="157"/>
      <c r="J3871" s="161"/>
      <c r="L3871" s="94"/>
      <c r="M3871" s="159"/>
      <c r="N3871" s="94"/>
    </row>
    <row r="3872">
      <c r="A3872" s="107">
        <v>1627780.0</v>
      </c>
      <c r="B3872" s="108" t="s">
        <v>215</v>
      </c>
      <c r="C3872" s="108" t="s">
        <v>936</v>
      </c>
      <c r="D3872" s="100" t="str">
        <f t="shared" si="1"/>
        <v/>
      </c>
      <c r="E3872" s="100" t="str">
        <f t="shared" si="2"/>
        <v/>
      </c>
      <c r="F3872" s="100" t="str">
        <f t="shared" si="3"/>
        <v/>
      </c>
      <c r="G3872" s="151"/>
      <c r="H3872" s="160"/>
      <c r="I3872" s="157"/>
      <c r="J3872" s="158"/>
      <c r="L3872" s="94"/>
      <c r="M3872" s="159"/>
      <c r="N3872" s="94"/>
    </row>
    <row r="3873">
      <c r="A3873" s="107">
        <v>1627780.0</v>
      </c>
      <c r="B3873" s="108" t="s">
        <v>244</v>
      </c>
      <c r="C3873" s="108" t="s">
        <v>936</v>
      </c>
      <c r="D3873" s="100" t="str">
        <f t="shared" si="1"/>
        <v/>
      </c>
      <c r="E3873" s="100" t="str">
        <f t="shared" si="2"/>
        <v/>
      </c>
      <c r="F3873" s="100" t="str">
        <f t="shared" si="3"/>
        <v/>
      </c>
      <c r="G3873" s="151"/>
      <c r="H3873" s="156"/>
      <c r="I3873" s="157"/>
      <c r="J3873" s="161"/>
      <c r="L3873" s="94"/>
      <c r="M3873" s="159"/>
      <c r="N3873" s="94"/>
    </row>
    <row r="3874">
      <c r="A3874" s="107">
        <v>1627780.0</v>
      </c>
      <c r="B3874" s="108" t="s">
        <v>245</v>
      </c>
      <c r="C3874" s="108" t="s">
        <v>936</v>
      </c>
      <c r="D3874" s="100" t="str">
        <f t="shared" si="1"/>
        <v/>
      </c>
      <c r="E3874" s="100" t="str">
        <f t="shared" si="2"/>
        <v/>
      </c>
      <c r="F3874" s="100" t="str">
        <f t="shared" si="3"/>
        <v/>
      </c>
      <c r="G3874" s="151"/>
      <c r="H3874" s="160"/>
      <c r="I3874" s="157"/>
      <c r="J3874" s="158"/>
      <c r="L3874" s="94"/>
      <c r="M3874" s="159"/>
      <c r="N3874" s="94"/>
    </row>
    <row r="3875">
      <c r="A3875" s="107">
        <v>1627780.0</v>
      </c>
      <c r="B3875" s="108" t="s">
        <v>246</v>
      </c>
      <c r="C3875" s="108" t="s">
        <v>936</v>
      </c>
      <c r="D3875" s="100" t="str">
        <f t="shared" si="1"/>
        <v/>
      </c>
      <c r="E3875" s="100" t="str">
        <f t="shared" si="2"/>
        <v/>
      </c>
      <c r="F3875" s="100" t="str">
        <f t="shared" si="3"/>
        <v/>
      </c>
      <c r="G3875" s="151"/>
      <c r="H3875" s="156"/>
      <c r="I3875" s="157"/>
      <c r="J3875" s="161"/>
      <c r="L3875" s="94"/>
      <c r="M3875" s="159"/>
      <c r="N3875" s="94"/>
    </row>
    <row r="3876">
      <c r="A3876" s="149">
        <v>1627780.0</v>
      </c>
      <c r="B3876" s="115" t="s">
        <v>247</v>
      </c>
      <c r="C3876" s="115" t="s">
        <v>936</v>
      </c>
      <c r="D3876" s="100" t="str">
        <f t="shared" si="1"/>
        <v/>
      </c>
      <c r="E3876" s="100" t="str">
        <f t="shared" si="2"/>
        <v/>
      </c>
      <c r="F3876" s="100" t="str">
        <f t="shared" si="3"/>
        <v/>
      </c>
      <c r="G3876" s="151"/>
      <c r="H3876" s="160"/>
      <c r="I3876" s="157"/>
      <c r="J3876" s="158"/>
      <c r="L3876" s="94"/>
      <c r="M3876" s="159"/>
      <c r="N3876" s="94"/>
    </row>
    <row r="3877">
      <c r="A3877" s="21">
        <v>1627781.0</v>
      </c>
      <c r="B3877" s="164" t="s">
        <v>190</v>
      </c>
      <c r="C3877" s="164" t="s">
        <v>937</v>
      </c>
      <c r="D3877" s="100" t="str">
        <f t="shared" si="1"/>
        <v/>
      </c>
      <c r="E3877" s="100" t="str">
        <f t="shared" si="2"/>
        <v/>
      </c>
      <c r="F3877" s="100" t="str">
        <f t="shared" si="3"/>
        <v/>
      </c>
      <c r="G3877" s="151"/>
      <c r="H3877" s="156"/>
      <c r="I3877" s="157"/>
      <c r="J3877" s="161"/>
      <c r="L3877" s="94"/>
      <c r="M3877" s="159"/>
      <c r="N3877" s="94"/>
    </row>
    <row r="3878">
      <c r="A3878" s="107">
        <v>1627781.0</v>
      </c>
      <c r="B3878" s="108" t="s">
        <v>191</v>
      </c>
      <c r="C3878" s="108" t="s">
        <v>937</v>
      </c>
      <c r="D3878" s="100" t="str">
        <f t="shared" si="1"/>
        <v/>
      </c>
      <c r="E3878" s="100" t="str">
        <f t="shared" si="2"/>
        <v/>
      </c>
      <c r="F3878" s="100" t="str">
        <f t="shared" si="3"/>
        <v/>
      </c>
      <c r="G3878" s="151"/>
      <c r="H3878" s="160"/>
      <c r="I3878" s="157"/>
      <c r="J3878" s="158"/>
      <c r="L3878" s="94"/>
      <c r="M3878" s="159"/>
      <c r="N3878" s="94"/>
    </row>
    <row r="3879">
      <c r="A3879" s="107">
        <v>1627781.0</v>
      </c>
      <c r="B3879" s="108" t="s">
        <v>192</v>
      </c>
      <c r="C3879" s="108" t="s">
        <v>937</v>
      </c>
      <c r="D3879" s="100" t="str">
        <f t="shared" si="1"/>
        <v/>
      </c>
      <c r="E3879" s="100" t="str">
        <f t="shared" si="2"/>
        <v/>
      </c>
      <c r="F3879" s="100" t="str">
        <f t="shared" si="3"/>
        <v/>
      </c>
      <c r="G3879" s="151"/>
      <c r="H3879" s="156"/>
      <c r="I3879" s="157"/>
      <c r="J3879" s="161"/>
      <c r="L3879" s="94"/>
      <c r="M3879" s="159"/>
      <c r="N3879" s="94"/>
    </row>
    <row r="3880">
      <c r="A3880" s="107">
        <v>1627782.0</v>
      </c>
      <c r="B3880" s="108" t="s">
        <v>190</v>
      </c>
      <c r="C3880" s="108" t="s">
        <v>938</v>
      </c>
      <c r="D3880" s="100" t="str">
        <f t="shared" si="1"/>
        <v/>
      </c>
      <c r="E3880" s="100" t="str">
        <f t="shared" si="2"/>
        <v/>
      </c>
      <c r="F3880" s="100" t="str">
        <f t="shared" si="3"/>
        <v/>
      </c>
      <c r="G3880" s="151"/>
      <c r="H3880" s="160"/>
      <c r="I3880" s="157"/>
      <c r="J3880" s="158"/>
      <c r="L3880" s="94"/>
      <c r="M3880" s="159"/>
      <c r="N3880" s="94"/>
    </row>
    <row r="3881">
      <c r="A3881" s="107">
        <v>1627782.0</v>
      </c>
      <c r="B3881" s="108" t="s">
        <v>191</v>
      </c>
      <c r="C3881" s="108" t="s">
        <v>938</v>
      </c>
      <c r="D3881" s="100" t="str">
        <f t="shared" si="1"/>
        <v/>
      </c>
      <c r="E3881" s="100" t="str">
        <f t="shared" si="2"/>
        <v/>
      </c>
      <c r="F3881" s="100" t="str">
        <f t="shared" si="3"/>
        <v/>
      </c>
      <c r="G3881" s="151"/>
      <c r="H3881" s="156"/>
      <c r="I3881" s="157"/>
      <c r="J3881" s="161"/>
      <c r="L3881" s="94"/>
      <c r="M3881" s="159"/>
      <c r="N3881" s="94"/>
    </row>
    <row r="3882">
      <c r="A3882" s="107">
        <v>1627782.0</v>
      </c>
      <c r="B3882" s="108" t="s">
        <v>192</v>
      </c>
      <c r="C3882" s="108" t="s">
        <v>938</v>
      </c>
      <c r="D3882" s="100" t="str">
        <f t="shared" si="1"/>
        <v/>
      </c>
      <c r="E3882" s="100" t="str">
        <f t="shared" si="2"/>
        <v/>
      </c>
      <c r="F3882" s="100" t="str">
        <f t="shared" si="3"/>
        <v/>
      </c>
      <c r="G3882" s="151"/>
      <c r="H3882" s="160"/>
      <c r="I3882" s="157"/>
      <c r="J3882" s="158"/>
      <c r="L3882" s="94"/>
      <c r="M3882" s="159"/>
      <c r="N3882" s="94"/>
    </row>
    <row r="3883">
      <c r="A3883" s="107">
        <v>1627782.0</v>
      </c>
      <c r="B3883" s="108" t="s">
        <v>215</v>
      </c>
      <c r="C3883" s="108" t="s">
        <v>938</v>
      </c>
      <c r="D3883" s="100" t="str">
        <f t="shared" si="1"/>
        <v/>
      </c>
      <c r="E3883" s="100" t="str">
        <f t="shared" si="2"/>
        <v/>
      </c>
      <c r="F3883" s="100" t="str">
        <f t="shared" si="3"/>
        <v/>
      </c>
      <c r="G3883" s="151"/>
      <c r="H3883" s="156"/>
      <c r="I3883" s="157"/>
      <c r="J3883" s="161"/>
      <c r="L3883" s="94"/>
      <c r="M3883" s="159"/>
      <c r="N3883" s="94"/>
    </row>
    <row r="3884">
      <c r="A3884" s="107">
        <v>1627783.0</v>
      </c>
      <c r="B3884" s="108" t="s">
        <v>190</v>
      </c>
      <c r="C3884" s="108" t="s">
        <v>939</v>
      </c>
      <c r="D3884" s="100" t="str">
        <f t="shared" si="1"/>
        <v/>
      </c>
      <c r="E3884" s="100" t="str">
        <f t="shared" si="2"/>
        <v/>
      </c>
      <c r="F3884" s="100" t="str">
        <f t="shared" si="3"/>
        <v/>
      </c>
      <c r="G3884" s="151"/>
      <c r="H3884" s="160"/>
      <c r="I3884" s="157"/>
      <c r="J3884" s="158"/>
      <c r="L3884" s="94"/>
      <c r="M3884" s="159"/>
      <c r="N3884" s="94"/>
    </row>
    <row r="3885">
      <c r="A3885" s="107">
        <v>1627783.0</v>
      </c>
      <c r="B3885" s="108" t="s">
        <v>191</v>
      </c>
      <c r="C3885" s="108" t="s">
        <v>939</v>
      </c>
      <c r="D3885" s="100" t="str">
        <f t="shared" si="1"/>
        <v/>
      </c>
      <c r="E3885" s="100" t="str">
        <f t="shared" si="2"/>
        <v/>
      </c>
      <c r="F3885" s="100" t="str">
        <f t="shared" si="3"/>
        <v/>
      </c>
      <c r="G3885" s="151"/>
      <c r="H3885" s="156"/>
      <c r="I3885" s="157"/>
      <c r="J3885" s="161"/>
      <c r="L3885" s="94"/>
      <c r="M3885" s="159"/>
      <c r="N3885" s="94"/>
    </row>
    <row r="3886">
      <c r="A3886" s="107">
        <v>1627783.0</v>
      </c>
      <c r="B3886" s="108" t="s">
        <v>192</v>
      </c>
      <c r="C3886" s="108" t="s">
        <v>939</v>
      </c>
      <c r="D3886" s="100" t="str">
        <f t="shared" si="1"/>
        <v/>
      </c>
      <c r="E3886" s="100" t="str">
        <f t="shared" si="2"/>
        <v/>
      </c>
      <c r="F3886" s="100" t="str">
        <f t="shared" si="3"/>
        <v/>
      </c>
      <c r="G3886" s="151"/>
      <c r="H3886" s="160"/>
      <c r="I3886" s="157"/>
      <c r="J3886" s="158"/>
      <c r="L3886" s="94"/>
      <c r="M3886" s="159"/>
      <c r="N3886" s="94"/>
    </row>
    <row r="3887">
      <c r="A3887" s="107">
        <v>1627783.0</v>
      </c>
      <c r="B3887" s="108" t="s">
        <v>193</v>
      </c>
      <c r="C3887" s="108" t="s">
        <v>939</v>
      </c>
      <c r="D3887" s="100" t="str">
        <f t="shared" si="1"/>
        <v/>
      </c>
      <c r="E3887" s="100" t="str">
        <f t="shared" si="2"/>
        <v/>
      </c>
      <c r="F3887" s="100" t="str">
        <f t="shared" si="3"/>
        <v/>
      </c>
      <c r="G3887" s="151"/>
      <c r="H3887" s="156"/>
      <c r="I3887" s="157"/>
      <c r="J3887" s="161"/>
      <c r="L3887" s="94"/>
      <c r="M3887" s="159"/>
      <c r="N3887" s="94"/>
    </row>
    <row r="3888">
      <c r="A3888" s="107">
        <v>1627783.0</v>
      </c>
      <c r="B3888" s="108" t="s">
        <v>243</v>
      </c>
      <c r="C3888" s="108" t="s">
        <v>939</v>
      </c>
      <c r="D3888" s="100" t="str">
        <f t="shared" si="1"/>
        <v/>
      </c>
      <c r="E3888" s="100" t="str">
        <f t="shared" si="2"/>
        <v/>
      </c>
      <c r="F3888" s="100" t="str">
        <f t="shared" si="3"/>
        <v/>
      </c>
      <c r="G3888" s="151"/>
      <c r="H3888" s="160"/>
      <c r="I3888" s="157"/>
      <c r="J3888" s="158"/>
      <c r="L3888" s="94"/>
      <c r="M3888" s="159"/>
      <c r="N3888" s="94"/>
    </row>
    <row r="3889">
      <c r="A3889" s="107">
        <v>1627783.0</v>
      </c>
      <c r="B3889" s="108" t="s">
        <v>215</v>
      </c>
      <c r="C3889" s="108" t="s">
        <v>939</v>
      </c>
      <c r="D3889" s="100" t="str">
        <f t="shared" si="1"/>
        <v/>
      </c>
      <c r="E3889" s="100" t="str">
        <f t="shared" si="2"/>
        <v/>
      </c>
      <c r="F3889" s="100" t="str">
        <f t="shared" si="3"/>
        <v/>
      </c>
      <c r="G3889" s="151"/>
      <c r="H3889" s="156"/>
      <c r="I3889" s="157"/>
      <c r="J3889" s="161"/>
      <c r="L3889" s="94"/>
      <c r="M3889" s="159"/>
      <c r="N3889" s="94"/>
    </row>
    <row r="3890">
      <c r="A3890" s="107">
        <v>1627783.0</v>
      </c>
      <c r="B3890" s="108" t="s">
        <v>244</v>
      </c>
      <c r="C3890" s="108" t="s">
        <v>939</v>
      </c>
      <c r="D3890" s="100" t="str">
        <f t="shared" si="1"/>
        <v/>
      </c>
      <c r="E3890" s="100" t="str">
        <f t="shared" si="2"/>
        <v/>
      </c>
      <c r="F3890" s="100" t="str">
        <f t="shared" si="3"/>
        <v/>
      </c>
      <c r="G3890" s="151"/>
      <c r="H3890" s="160"/>
      <c r="I3890" s="157"/>
      <c r="J3890" s="158"/>
      <c r="L3890" s="94"/>
      <c r="M3890" s="159"/>
      <c r="N3890" s="94"/>
    </row>
    <row r="3891">
      <c r="A3891" s="107">
        <v>1627783.0</v>
      </c>
      <c r="B3891" s="108" t="s">
        <v>245</v>
      </c>
      <c r="C3891" s="108" t="s">
        <v>939</v>
      </c>
      <c r="D3891" s="100" t="str">
        <f t="shared" si="1"/>
        <v/>
      </c>
      <c r="E3891" s="100" t="str">
        <f t="shared" si="2"/>
        <v/>
      </c>
      <c r="F3891" s="100" t="str">
        <f t="shared" si="3"/>
        <v/>
      </c>
      <c r="G3891" s="151"/>
      <c r="H3891" s="156"/>
      <c r="I3891" s="157"/>
      <c r="J3891" s="161"/>
      <c r="L3891" s="94"/>
      <c r="M3891" s="159"/>
      <c r="N3891" s="94"/>
    </row>
    <row r="3892">
      <c r="A3892" s="107">
        <v>1627783.0</v>
      </c>
      <c r="B3892" s="108" t="s">
        <v>246</v>
      </c>
      <c r="C3892" s="108" t="s">
        <v>939</v>
      </c>
      <c r="D3892" s="100" t="str">
        <f t="shared" si="1"/>
        <v/>
      </c>
      <c r="E3892" s="100" t="str">
        <f t="shared" si="2"/>
        <v/>
      </c>
      <c r="F3892" s="100" t="str">
        <f t="shared" si="3"/>
        <v/>
      </c>
      <c r="G3892" s="151"/>
      <c r="H3892" s="160"/>
      <c r="I3892" s="157"/>
      <c r="J3892" s="158"/>
      <c r="L3892" s="94"/>
      <c r="M3892" s="159"/>
      <c r="N3892" s="94"/>
    </row>
    <row r="3893">
      <c r="A3893" s="149">
        <v>1627783.0</v>
      </c>
      <c r="B3893" s="115" t="s">
        <v>247</v>
      </c>
      <c r="C3893" s="115" t="s">
        <v>939</v>
      </c>
      <c r="D3893" s="100" t="str">
        <f t="shared" si="1"/>
        <v/>
      </c>
      <c r="E3893" s="100" t="str">
        <f t="shared" si="2"/>
        <v/>
      </c>
      <c r="F3893" s="100" t="str">
        <f t="shared" si="3"/>
        <v/>
      </c>
      <c r="G3893" s="151"/>
      <c r="H3893" s="156"/>
      <c r="I3893" s="157"/>
      <c r="J3893" s="161"/>
      <c r="L3893" s="94"/>
      <c r="M3893" s="159"/>
      <c r="N3893" s="94"/>
    </row>
    <row r="3894">
      <c r="A3894" s="21">
        <v>1627784.0</v>
      </c>
      <c r="B3894" s="164" t="s">
        <v>190</v>
      </c>
      <c r="C3894" s="164" t="s">
        <v>940</v>
      </c>
      <c r="D3894" s="100" t="str">
        <f t="shared" si="1"/>
        <v/>
      </c>
      <c r="E3894" s="100" t="str">
        <f t="shared" si="2"/>
        <v/>
      </c>
      <c r="F3894" s="100" t="str">
        <f t="shared" si="3"/>
        <v/>
      </c>
      <c r="G3894" s="151"/>
      <c r="H3894" s="160"/>
      <c r="I3894" s="157"/>
      <c r="J3894" s="158"/>
      <c r="L3894" s="94"/>
      <c r="M3894" s="159"/>
      <c r="N3894" s="94"/>
    </row>
    <row r="3895">
      <c r="A3895" s="107">
        <v>1627784.0</v>
      </c>
      <c r="B3895" s="108" t="s">
        <v>193</v>
      </c>
      <c r="C3895" s="108" t="s">
        <v>940</v>
      </c>
      <c r="D3895" s="100" t="str">
        <f t="shared" si="1"/>
        <v/>
      </c>
      <c r="E3895" s="100" t="str">
        <f t="shared" si="2"/>
        <v/>
      </c>
      <c r="F3895" s="100" t="str">
        <f t="shared" si="3"/>
        <v/>
      </c>
      <c r="G3895" s="151"/>
      <c r="H3895" s="156"/>
      <c r="I3895" s="157"/>
      <c r="J3895" s="161"/>
      <c r="L3895" s="94"/>
      <c r="M3895" s="159"/>
      <c r="N3895" s="94"/>
    </row>
    <row r="3896">
      <c r="A3896" s="107">
        <v>1627785.0</v>
      </c>
      <c r="B3896" s="108" t="s">
        <v>190</v>
      </c>
      <c r="C3896" s="108" t="s">
        <v>941</v>
      </c>
      <c r="D3896" s="100" t="str">
        <f t="shared" si="1"/>
        <v/>
      </c>
      <c r="E3896" s="100" t="str">
        <f t="shared" si="2"/>
        <v/>
      </c>
      <c r="F3896" s="100" t="str">
        <f t="shared" si="3"/>
        <v/>
      </c>
      <c r="G3896" s="151"/>
      <c r="H3896" s="160"/>
      <c r="I3896" s="157"/>
      <c r="J3896" s="158"/>
      <c r="L3896" s="94"/>
      <c r="M3896" s="159"/>
      <c r="N3896" s="94"/>
    </row>
    <row r="3897">
      <c r="A3897" s="107">
        <v>1627785.0</v>
      </c>
      <c r="B3897" s="108" t="s">
        <v>191</v>
      </c>
      <c r="C3897" s="108" t="s">
        <v>941</v>
      </c>
      <c r="D3897" s="100" t="str">
        <f t="shared" si="1"/>
        <v/>
      </c>
      <c r="E3897" s="100" t="str">
        <f t="shared" si="2"/>
        <v/>
      </c>
      <c r="F3897" s="100" t="str">
        <f t="shared" si="3"/>
        <v/>
      </c>
      <c r="G3897" s="151"/>
      <c r="H3897" s="156"/>
      <c r="I3897" s="157"/>
      <c r="J3897" s="161"/>
      <c r="L3897" s="94"/>
      <c r="M3897" s="159"/>
      <c r="N3897" s="94"/>
    </row>
    <row r="3898">
      <c r="A3898" s="107">
        <v>1627786.0</v>
      </c>
      <c r="B3898" s="108" t="s">
        <v>190</v>
      </c>
      <c r="C3898" s="108" t="s">
        <v>942</v>
      </c>
      <c r="D3898" s="100" t="str">
        <f t="shared" si="1"/>
        <v/>
      </c>
      <c r="E3898" s="100" t="str">
        <f t="shared" si="2"/>
        <v/>
      </c>
      <c r="F3898" s="100" t="str">
        <f t="shared" si="3"/>
        <v/>
      </c>
      <c r="G3898" s="151"/>
      <c r="H3898" s="160"/>
      <c r="I3898" s="157"/>
      <c r="J3898" s="158"/>
      <c r="L3898" s="94"/>
      <c r="M3898" s="159"/>
      <c r="N3898" s="94"/>
    </row>
    <row r="3899">
      <c r="A3899" s="107">
        <v>1627786.0</v>
      </c>
      <c r="B3899" s="108" t="s">
        <v>191</v>
      </c>
      <c r="C3899" s="108" t="s">
        <v>942</v>
      </c>
      <c r="D3899" s="100" t="str">
        <f t="shared" si="1"/>
        <v/>
      </c>
      <c r="E3899" s="100" t="str">
        <f t="shared" si="2"/>
        <v/>
      </c>
      <c r="F3899" s="100" t="str">
        <f t="shared" si="3"/>
        <v/>
      </c>
      <c r="G3899" s="151"/>
      <c r="H3899" s="156"/>
      <c r="I3899" s="157"/>
      <c r="J3899" s="161"/>
      <c r="L3899" s="94"/>
      <c r="M3899" s="159"/>
      <c r="N3899" s="94"/>
    </row>
    <row r="3900">
      <c r="A3900" s="107">
        <v>1627786.0</v>
      </c>
      <c r="B3900" s="108" t="s">
        <v>192</v>
      </c>
      <c r="C3900" s="108" t="s">
        <v>942</v>
      </c>
      <c r="D3900" s="100" t="str">
        <f t="shared" si="1"/>
        <v/>
      </c>
      <c r="E3900" s="100" t="str">
        <f t="shared" si="2"/>
        <v/>
      </c>
      <c r="F3900" s="100" t="str">
        <f t="shared" si="3"/>
        <v/>
      </c>
      <c r="G3900" s="151"/>
      <c r="H3900" s="160"/>
      <c r="I3900" s="157"/>
      <c r="J3900" s="158"/>
      <c r="L3900" s="94"/>
      <c r="M3900" s="159"/>
      <c r="N3900" s="94"/>
    </row>
    <row r="3901">
      <c r="A3901" s="107">
        <v>1627787.0</v>
      </c>
      <c r="B3901" s="108" t="s">
        <v>190</v>
      </c>
      <c r="C3901" s="108" t="s">
        <v>943</v>
      </c>
      <c r="D3901" s="100" t="str">
        <f t="shared" si="1"/>
        <v/>
      </c>
      <c r="E3901" s="100" t="str">
        <f t="shared" si="2"/>
        <v/>
      </c>
      <c r="F3901" s="100" t="str">
        <f t="shared" si="3"/>
        <v/>
      </c>
      <c r="G3901" s="151"/>
      <c r="H3901" s="156"/>
      <c r="I3901" s="157"/>
      <c r="J3901" s="161"/>
      <c r="L3901" s="94"/>
      <c r="M3901" s="159"/>
      <c r="N3901" s="94"/>
    </row>
    <row r="3902">
      <c r="A3902" s="107">
        <v>1627788.0</v>
      </c>
      <c r="B3902" s="108" t="s">
        <v>191</v>
      </c>
      <c r="C3902" s="108" t="s">
        <v>944</v>
      </c>
      <c r="D3902" s="100" t="str">
        <f t="shared" si="1"/>
        <v/>
      </c>
      <c r="E3902" s="100" t="str">
        <f t="shared" si="2"/>
        <v/>
      </c>
      <c r="F3902" s="100" t="str">
        <f t="shared" si="3"/>
        <v/>
      </c>
      <c r="G3902" s="151"/>
      <c r="H3902" s="160"/>
      <c r="I3902" s="157"/>
      <c r="J3902" s="158"/>
      <c r="L3902" s="94"/>
      <c r="M3902" s="159"/>
      <c r="N3902" s="94"/>
    </row>
    <row r="3903">
      <c r="A3903" s="107">
        <v>1627788.0</v>
      </c>
      <c r="B3903" s="108" t="s">
        <v>192</v>
      </c>
      <c r="C3903" s="108" t="s">
        <v>944</v>
      </c>
      <c r="D3903" s="100" t="str">
        <f t="shared" si="1"/>
        <v/>
      </c>
      <c r="E3903" s="100" t="str">
        <f t="shared" si="2"/>
        <v/>
      </c>
      <c r="F3903" s="100" t="str">
        <f t="shared" si="3"/>
        <v/>
      </c>
      <c r="G3903" s="151"/>
      <c r="H3903" s="156"/>
      <c r="I3903" s="157"/>
      <c r="J3903" s="161"/>
      <c r="L3903" s="94"/>
      <c r="M3903" s="159"/>
      <c r="N3903" s="94"/>
    </row>
    <row r="3904">
      <c r="A3904" s="107">
        <v>1627788.0</v>
      </c>
      <c r="B3904" s="108" t="s">
        <v>193</v>
      </c>
      <c r="C3904" s="108" t="s">
        <v>944</v>
      </c>
      <c r="D3904" s="100" t="str">
        <f t="shared" si="1"/>
        <v/>
      </c>
      <c r="E3904" s="100" t="str">
        <f t="shared" si="2"/>
        <v/>
      </c>
      <c r="F3904" s="100" t="str">
        <f t="shared" si="3"/>
        <v/>
      </c>
      <c r="G3904" s="151"/>
      <c r="H3904" s="160"/>
      <c r="I3904" s="157"/>
      <c r="J3904" s="158"/>
      <c r="L3904" s="94"/>
      <c r="M3904" s="159"/>
      <c r="N3904" s="94"/>
    </row>
    <row r="3905">
      <c r="A3905" s="107">
        <v>1627788.0</v>
      </c>
      <c r="B3905" s="108" t="s">
        <v>243</v>
      </c>
      <c r="C3905" s="108" t="s">
        <v>944</v>
      </c>
      <c r="D3905" s="100" t="str">
        <f t="shared" si="1"/>
        <v/>
      </c>
      <c r="E3905" s="100" t="str">
        <f t="shared" si="2"/>
        <v/>
      </c>
      <c r="F3905" s="100" t="str">
        <f t="shared" si="3"/>
        <v/>
      </c>
      <c r="G3905" s="151"/>
      <c r="H3905" s="156"/>
      <c r="I3905" s="157"/>
      <c r="J3905" s="161"/>
      <c r="L3905" s="94"/>
      <c r="M3905" s="159"/>
      <c r="N3905" s="94"/>
    </row>
    <row r="3906">
      <c r="A3906" s="107">
        <v>1627788.0</v>
      </c>
      <c r="B3906" s="108" t="s">
        <v>215</v>
      </c>
      <c r="C3906" s="108" t="s">
        <v>944</v>
      </c>
      <c r="D3906" s="100" t="str">
        <f t="shared" si="1"/>
        <v/>
      </c>
      <c r="E3906" s="100" t="str">
        <f t="shared" si="2"/>
        <v/>
      </c>
      <c r="F3906" s="100" t="str">
        <f t="shared" si="3"/>
        <v/>
      </c>
      <c r="G3906" s="151"/>
      <c r="H3906" s="160"/>
      <c r="I3906" s="157"/>
      <c r="J3906" s="158"/>
      <c r="L3906" s="94"/>
      <c r="M3906" s="159"/>
      <c r="N3906" s="94"/>
    </row>
    <row r="3907">
      <c r="A3907" s="107">
        <v>1627788.0</v>
      </c>
      <c r="B3907" s="108" t="s">
        <v>244</v>
      </c>
      <c r="C3907" s="108" t="s">
        <v>944</v>
      </c>
      <c r="D3907" s="100" t="str">
        <f t="shared" si="1"/>
        <v/>
      </c>
      <c r="E3907" s="100" t="str">
        <f t="shared" si="2"/>
        <v/>
      </c>
      <c r="F3907" s="100" t="str">
        <f t="shared" si="3"/>
        <v/>
      </c>
      <c r="G3907" s="151"/>
      <c r="H3907" s="156"/>
      <c r="I3907" s="157"/>
      <c r="J3907" s="161"/>
      <c r="L3907" s="94"/>
      <c r="M3907" s="159"/>
      <c r="N3907" s="94"/>
    </row>
    <row r="3908">
      <c r="A3908" s="107">
        <v>1627788.0</v>
      </c>
      <c r="B3908" s="108" t="s">
        <v>245</v>
      </c>
      <c r="C3908" s="108" t="s">
        <v>944</v>
      </c>
      <c r="D3908" s="100" t="str">
        <f t="shared" si="1"/>
        <v/>
      </c>
      <c r="E3908" s="100" t="str">
        <f t="shared" si="2"/>
        <v/>
      </c>
      <c r="F3908" s="100" t="str">
        <f t="shared" si="3"/>
        <v/>
      </c>
      <c r="G3908" s="151"/>
      <c r="H3908" s="160"/>
      <c r="I3908" s="157"/>
      <c r="J3908" s="158"/>
      <c r="L3908" s="94"/>
      <c r="M3908" s="159"/>
      <c r="N3908" s="94"/>
    </row>
    <row r="3909">
      <c r="A3909" s="107">
        <v>1627789.0</v>
      </c>
      <c r="B3909" s="108" t="s">
        <v>190</v>
      </c>
      <c r="C3909" s="108" t="s">
        <v>945</v>
      </c>
      <c r="D3909" s="100" t="str">
        <f t="shared" si="1"/>
        <v/>
      </c>
      <c r="E3909" s="100" t="str">
        <f t="shared" si="2"/>
        <v/>
      </c>
      <c r="F3909" s="100" t="str">
        <f t="shared" si="3"/>
        <v/>
      </c>
      <c r="G3909" s="151"/>
      <c r="H3909" s="156"/>
      <c r="I3909" s="157"/>
      <c r="J3909" s="161"/>
      <c r="L3909" s="94"/>
      <c r="M3909" s="159"/>
      <c r="N3909" s="94"/>
    </row>
    <row r="3910">
      <c r="A3910" s="107">
        <v>1627789.0</v>
      </c>
      <c r="B3910" s="108" t="s">
        <v>191</v>
      </c>
      <c r="C3910" s="108" t="s">
        <v>945</v>
      </c>
      <c r="D3910" s="100" t="str">
        <f t="shared" si="1"/>
        <v/>
      </c>
      <c r="E3910" s="100" t="str">
        <f t="shared" si="2"/>
        <v/>
      </c>
      <c r="F3910" s="100" t="str">
        <f t="shared" si="3"/>
        <v/>
      </c>
      <c r="G3910" s="151"/>
      <c r="H3910" s="160"/>
      <c r="I3910" s="157"/>
      <c r="J3910" s="158"/>
      <c r="L3910" s="94"/>
      <c r="M3910" s="159"/>
      <c r="N3910" s="94"/>
    </row>
    <row r="3911">
      <c r="A3911" s="107">
        <v>1627789.0</v>
      </c>
      <c r="B3911" s="108" t="s">
        <v>192</v>
      </c>
      <c r="C3911" s="108" t="s">
        <v>945</v>
      </c>
      <c r="D3911" s="100" t="str">
        <f t="shared" si="1"/>
        <v/>
      </c>
      <c r="E3911" s="100" t="str">
        <f t="shared" si="2"/>
        <v/>
      </c>
      <c r="F3911" s="100" t="str">
        <f t="shared" si="3"/>
        <v/>
      </c>
      <c r="G3911" s="151"/>
      <c r="H3911" s="156"/>
      <c r="I3911" s="157"/>
      <c r="J3911" s="161"/>
      <c r="L3911" s="94"/>
      <c r="M3911" s="159"/>
      <c r="N3911" s="94"/>
    </row>
    <row r="3912">
      <c r="A3912" s="107">
        <v>1627789.0</v>
      </c>
      <c r="B3912" s="108" t="s">
        <v>193</v>
      </c>
      <c r="C3912" s="108" t="s">
        <v>945</v>
      </c>
      <c r="D3912" s="100" t="str">
        <f t="shared" si="1"/>
        <v/>
      </c>
      <c r="E3912" s="100" t="str">
        <f t="shared" si="2"/>
        <v/>
      </c>
      <c r="F3912" s="100" t="str">
        <f t="shared" si="3"/>
        <v/>
      </c>
      <c r="G3912" s="151"/>
      <c r="H3912" s="160"/>
      <c r="I3912" s="157"/>
      <c r="J3912" s="158"/>
      <c r="L3912" s="94"/>
      <c r="M3912" s="159"/>
      <c r="N3912" s="94"/>
    </row>
    <row r="3913">
      <c r="A3913" s="107">
        <v>1627789.0</v>
      </c>
      <c r="B3913" s="108" t="s">
        <v>243</v>
      </c>
      <c r="C3913" s="108" t="s">
        <v>945</v>
      </c>
      <c r="D3913" s="100" t="str">
        <f t="shared" si="1"/>
        <v/>
      </c>
      <c r="E3913" s="100" t="str">
        <f t="shared" si="2"/>
        <v/>
      </c>
      <c r="F3913" s="100" t="str">
        <f t="shared" si="3"/>
        <v/>
      </c>
      <c r="G3913" s="151"/>
      <c r="H3913" s="156"/>
      <c r="I3913" s="157"/>
      <c r="J3913" s="161"/>
      <c r="L3913" s="94"/>
      <c r="M3913" s="159"/>
      <c r="N3913" s="94"/>
    </row>
    <row r="3914">
      <c r="A3914" s="107">
        <v>1627789.0</v>
      </c>
      <c r="B3914" s="108" t="s">
        <v>215</v>
      </c>
      <c r="C3914" s="108" t="s">
        <v>945</v>
      </c>
      <c r="D3914" s="100" t="str">
        <f t="shared" si="1"/>
        <v/>
      </c>
      <c r="E3914" s="100" t="str">
        <f t="shared" si="2"/>
        <v/>
      </c>
      <c r="F3914" s="100" t="str">
        <f t="shared" si="3"/>
        <v/>
      </c>
      <c r="G3914" s="151"/>
      <c r="H3914" s="160"/>
      <c r="I3914" s="157"/>
      <c r="J3914" s="158"/>
      <c r="L3914" s="94"/>
      <c r="M3914" s="159"/>
      <c r="N3914" s="94"/>
    </row>
    <row r="3915">
      <c r="A3915" s="107">
        <v>1627790.0</v>
      </c>
      <c r="B3915" s="108" t="s">
        <v>191</v>
      </c>
      <c r="C3915" s="108" t="s">
        <v>946</v>
      </c>
      <c r="D3915" s="100" t="str">
        <f t="shared" si="1"/>
        <v/>
      </c>
      <c r="E3915" s="100" t="str">
        <f t="shared" si="2"/>
        <v/>
      </c>
      <c r="F3915" s="100" t="str">
        <f t="shared" si="3"/>
        <v/>
      </c>
      <c r="G3915" s="151"/>
      <c r="H3915" s="156"/>
      <c r="I3915" s="157"/>
      <c r="J3915" s="161"/>
      <c r="L3915" s="94"/>
      <c r="M3915" s="159"/>
      <c r="N3915" s="94"/>
    </row>
    <row r="3916">
      <c r="A3916" s="107">
        <v>1627790.0</v>
      </c>
      <c r="B3916" s="108" t="s">
        <v>192</v>
      </c>
      <c r="C3916" s="108" t="s">
        <v>946</v>
      </c>
      <c r="D3916" s="100" t="str">
        <f t="shared" si="1"/>
        <v/>
      </c>
      <c r="E3916" s="100" t="str">
        <f t="shared" si="2"/>
        <v/>
      </c>
      <c r="F3916" s="100" t="str">
        <f t="shared" si="3"/>
        <v/>
      </c>
      <c r="G3916" s="151"/>
      <c r="H3916" s="160"/>
      <c r="I3916" s="157"/>
      <c r="J3916" s="158"/>
      <c r="L3916" s="94"/>
      <c r="M3916" s="159"/>
      <c r="N3916" s="94"/>
    </row>
    <row r="3917">
      <c r="A3917" s="107">
        <v>1627790.0</v>
      </c>
      <c r="B3917" s="108" t="s">
        <v>193</v>
      </c>
      <c r="C3917" s="108" t="s">
        <v>946</v>
      </c>
      <c r="D3917" s="100" t="str">
        <f t="shared" si="1"/>
        <v/>
      </c>
      <c r="E3917" s="100" t="str">
        <f t="shared" si="2"/>
        <v/>
      </c>
      <c r="F3917" s="100" t="str">
        <f t="shared" si="3"/>
        <v/>
      </c>
      <c r="G3917" s="151"/>
      <c r="H3917" s="156"/>
      <c r="I3917" s="157"/>
      <c r="J3917" s="161"/>
      <c r="L3917" s="94"/>
      <c r="M3917" s="159"/>
      <c r="N3917" s="94"/>
    </row>
    <row r="3918">
      <c r="A3918" s="107">
        <v>1627791.0</v>
      </c>
      <c r="B3918" s="108" t="s">
        <v>190</v>
      </c>
      <c r="C3918" s="108" t="s">
        <v>947</v>
      </c>
      <c r="D3918" s="100" t="str">
        <f t="shared" si="1"/>
        <v/>
      </c>
      <c r="E3918" s="100" t="str">
        <f t="shared" si="2"/>
        <v/>
      </c>
      <c r="F3918" s="100" t="str">
        <f t="shared" si="3"/>
        <v/>
      </c>
      <c r="G3918" s="151"/>
      <c r="H3918" s="160"/>
      <c r="I3918" s="157"/>
      <c r="J3918" s="158"/>
      <c r="L3918" s="94"/>
      <c r="M3918" s="159"/>
      <c r="N3918" s="94"/>
    </row>
    <row r="3919">
      <c r="A3919" s="107">
        <v>1627812.0</v>
      </c>
      <c r="B3919" s="108" t="s">
        <v>190</v>
      </c>
      <c r="C3919" s="108" t="s">
        <v>948</v>
      </c>
      <c r="D3919" s="100" t="str">
        <f t="shared" si="1"/>
        <v/>
      </c>
      <c r="E3919" s="100" t="str">
        <f t="shared" si="2"/>
        <v/>
      </c>
      <c r="F3919" s="100" t="str">
        <f t="shared" si="3"/>
        <v/>
      </c>
      <c r="G3919" s="151"/>
      <c r="H3919" s="156"/>
      <c r="I3919" s="157"/>
      <c r="J3919" s="161"/>
      <c r="L3919" s="94"/>
      <c r="M3919" s="159"/>
      <c r="N3919" s="94"/>
    </row>
    <row r="3920">
      <c r="A3920" s="107">
        <v>1627812.0</v>
      </c>
      <c r="B3920" s="108" t="s">
        <v>191</v>
      </c>
      <c r="C3920" s="108" t="s">
        <v>948</v>
      </c>
      <c r="D3920" s="100" t="str">
        <f t="shared" si="1"/>
        <v/>
      </c>
      <c r="E3920" s="100" t="str">
        <f t="shared" si="2"/>
        <v/>
      </c>
      <c r="F3920" s="100" t="str">
        <f t="shared" si="3"/>
        <v/>
      </c>
      <c r="G3920" s="151"/>
      <c r="H3920" s="160"/>
      <c r="I3920" s="157"/>
      <c r="J3920" s="158"/>
      <c r="L3920" s="94"/>
      <c r="M3920" s="159"/>
      <c r="N3920" s="94"/>
    </row>
    <row r="3921">
      <c r="A3921" s="107">
        <v>1627812.0</v>
      </c>
      <c r="B3921" s="108" t="s">
        <v>192</v>
      </c>
      <c r="C3921" s="108" t="s">
        <v>948</v>
      </c>
      <c r="D3921" s="100" t="str">
        <f t="shared" si="1"/>
        <v/>
      </c>
      <c r="E3921" s="100" t="str">
        <f t="shared" si="2"/>
        <v/>
      </c>
      <c r="F3921" s="100" t="str">
        <f t="shared" si="3"/>
        <v/>
      </c>
      <c r="G3921" s="151"/>
      <c r="H3921" s="156"/>
      <c r="I3921" s="157"/>
      <c r="J3921" s="161"/>
      <c r="L3921" s="94"/>
      <c r="M3921" s="159"/>
      <c r="N3921" s="94"/>
    </row>
    <row r="3922">
      <c r="A3922" s="107">
        <v>1627812.0</v>
      </c>
      <c r="B3922" s="108" t="s">
        <v>193</v>
      </c>
      <c r="C3922" s="108" t="s">
        <v>948</v>
      </c>
      <c r="D3922" s="100" t="str">
        <f t="shared" si="1"/>
        <v/>
      </c>
      <c r="E3922" s="100" t="str">
        <f t="shared" si="2"/>
        <v/>
      </c>
      <c r="F3922" s="100" t="str">
        <f t="shared" si="3"/>
        <v/>
      </c>
      <c r="G3922" s="151"/>
      <c r="H3922" s="160"/>
      <c r="I3922" s="157"/>
      <c r="J3922" s="158"/>
      <c r="L3922" s="94"/>
      <c r="M3922" s="159"/>
      <c r="N3922" s="94"/>
    </row>
    <row r="3923">
      <c r="A3923" s="107">
        <v>1627812.0</v>
      </c>
      <c r="B3923" s="108" t="s">
        <v>243</v>
      </c>
      <c r="C3923" s="108" t="s">
        <v>948</v>
      </c>
      <c r="D3923" s="100" t="str">
        <f t="shared" si="1"/>
        <v/>
      </c>
      <c r="E3923" s="100" t="str">
        <f t="shared" si="2"/>
        <v/>
      </c>
      <c r="F3923" s="100" t="str">
        <f t="shared" si="3"/>
        <v/>
      </c>
      <c r="G3923" s="151"/>
      <c r="H3923" s="156"/>
      <c r="I3923" s="157"/>
      <c r="J3923" s="161"/>
      <c r="L3923" s="94"/>
      <c r="M3923" s="159"/>
      <c r="N3923" s="94"/>
    </row>
    <row r="3924">
      <c r="A3924" s="107">
        <v>1627814.0</v>
      </c>
      <c r="B3924" s="108" t="s">
        <v>191</v>
      </c>
      <c r="C3924" s="108" t="s">
        <v>949</v>
      </c>
      <c r="D3924" s="100" t="str">
        <f t="shared" si="1"/>
        <v/>
      </c>
      <c r="E3924" s="100" t="str">
        <f t="shared" si="2"/>
        <v/>
      </c>
      <c r="F3924" s="100" t="str">
        <f t="shared" si="3"/>
        <v/>
      </c>
      <c r="G3924" s="151"/>
      <c r="H3924" s="160"/>
      <c r="I3924" s="157"/>
      <c r="J3924" s="158"/>
      <c r="L3924" s="94"/>
      <c r="M3924" s="159"/>
      <c r="N3924" s="94"/>
    </row>
    <row r="3925">
      <c r="A3925" s="107">
        <v>1627814.0</v>
      </c>
      <c r="B3925" s="108" t="s">
        <v>192</v>
      </c>
      <c r="C3925" s="108" t="s">
        <v>949</v>
      </c>
      <c r="D3925" s="100" t="str">
        <f t="shared" si="1"/>
        <v/>
      </c>
      <c r="E3925" s="100" t="str">
        <f t="shared" si="2"/>
        <v/>
      </c>
      <c r="F3925" s="100" t="str">
        <f t="shared" si="3"/>
        <v/>
      </c>
      <c r="G3925" s="151"/>
      <c r="H3925" s="156"/>
      <c r="I3925" s="157"/>
      <c r="J3925" s="161"/>
      <c r="L3925" s="94"/>
      <c r="M3925" s="159"/>
      <c r="N3925" s="94"/>
    </row>
    <row r="3926">
      <c r="A3926" s="107">
        <v>1627814.0</v>
      </c>
      <c r="B3926" s="108" t="s">
        <v>193</v>
      </c>
      <c r="C3926" s="108" t="s">
        <v>949</v>
      </c>
      <c r="D3926" s="100" t="str">
        <f t="shared" si="1"/>
        <v/>
      </c>
      <c r="E3926" s="100" t="str">
        <f t="shared" si="2"/>
        <v/>
      </c>
      <c r="F3926" s="100" t="str">
        <f t="shared" si="3"/>
        <v/>
      </c>
      <c r="G3926" s="151"/>
      <c r="H3926" s="160"/>
      <c r="I3926" s="157"/>
      <c r="J3926" s="158"/>
      <c r="L3926" s="94"/>
      <c r="M3926" s="159"/>
      <c r="N3926" s="94"/>
    </row>
    <row r="3927">
      <c r="A3927" s="107">
        <v>1627814.0</v>
      </c>
      <c r="B3927" s="108" t="s">
        <v>243</v>
      </c>
      <c r="C3927" s="108" t="s">
        <v>949</v>
      </c>
      <c r="D3927" s="100" t="str">
        <f t="shared" si="1"/>
        <v/>
      </c>
      <c r="E3927" s="100" t="str">
        <f t="shared" si="2"/>
        <v/>
      </c>
      <c r="F3927" s="100" t="str">
        <f t="shared" si="3"/>
        <v/>
      </c>
      <c r="G3927" s="151"/>
      <c r="H3927" s="156"/>
      <c r="I3927" s="157"/>
      <c r="J3927" s="161"/>
      <c r="L3927" s="94"/>
      <c r="M3927" s="159"/>
      <c r="N3927" s="94"/>
    </row>
    <row r="3928">
      <c r="A3928" s="107">
        <v>1627814.0</v>
      </c>
      <c r="B3928" s="108" t="s">
        <v>215</v>
      </c>
      <c r="C3928" s="108" t="s">
        <v>949</v>
      </c>
      <c r="D3928" s="100" t="str">
        <f t="shared" si="1"/>
        <v/>
      </c>
      <c r="E3928" s="100" t="str">
        <f t="shared" si="2"/>
        <v/>
      </c>
      <c r="F3928" s="100" t="str">
        <f t="shared" si="3"/>
        <v/>
      </c>
      <c r="G3928" s="151"/>
      <c r="H3928" s="160"/>
      <c r="I3928" s="157"/>
      <c r="J3928" s="158"/>
      <c r="L3928" s="94"/>
      <c r="M3928" s="159"/>
      <c r="N3928" s="94"/>
    </row>
    <row r="3929">
      <c r="A3929" s="107">
        <v>1627814.0</v>
      </c>
      <c r="B3929" s="108" t="s">
        <v>244</v>
      </c>
      <c r="C3929" s="108" t="s">
        <v>949</v>
      </c>
      <c r="D3929" s="100" t="str">
        <f t="shared" si="1"/>
        <v/>
      </c>
      <c r="E3929" s="100" t="str">
        <f t="shared" si="2"/>
        <v/>
      </c>
      <c r="F3929" s="100" t="str">
        <f t="shared" si="3"/>
        <v/>
      </c>
      <c r="G3929" s="151"/>
      <c r="H3929" s="156"/>
      <c r="I3929" s="157"/>
      <c r="J3929" s="161"/>
      <c r="L3929" s="94"/>
      <c r="M3929" s="159"/>
      <c r="N3929" s="94"/>
    </row>
    <row r="3930">
      <c r="A3930" s="107">
        <v>1627814.0</v>
      </c>
      <c r="B3930" s="108" t="s">
        <v>246</v>
      </c>
      <c r="C3930" s="108" t="s">
        <v>949</v>
      </c>
      <c r="D3930" s="100" t="str">
        <f t="shared" si="1"/>
        <v/>
      </c>
      <c r="E3930" s="100" t="str">
        <f t="shared" si="2"/>
        <v/>
      </c>
      <c r="F3930" s="100" t="str">
        <f t="shared" si="3"/>
        <v/>
      </c>
      <c r="G3930" s="151"/>
      <c r="H3930" s="160"/>
      <c r="I3930" s="157"/>
      <c r="J3930" s="158"/>
      <c r="L3930" s="94"/>
      <c r="M3930" s="159"/>
      <c r="N3930" s="94"/>
    </row>
    <row r="3931">
      <c r="A3931" s="107">
        <v>1627815.0</v>
      </c>
      <c r="B3931" s="108" t="s">
        <v>190</v>
      </c>
      <c r="C3931" s="108" t="s">
        <v>950</v>
      </c>
      <c r="D3931" s="100" t="str">
        <f t="shared" si="1"/>
        <v/>
      </c>
      <c r="E3931" s="100" t="str">
        <f t="shared" si="2"/>
        <v/>
      </c>
      <c r="F3931" s="100" t="str">
        <f t="shared" si="3"/>
        <v/>
      </c>
      <c r="G3931" s="151"/>
      <c r="H3931" s="156"/>
      <c r="I3931" s="157"/>
      <c r="J3931" s="161"/>
      <c r="L3931" s="94"/>
      <c r="M3931" s="159"/>
      <c r="N3931" s="94"/>
    </row>
    <row r="3932">
      <c r="A3932" s="107">
        <v>1627816.0</v>
      </c>
      <c r="B3932" s="108" t="s">
        <v>190</v>
      </c>
      <c r="C3932" s="108" t="s">
        <v>951</v>
      </c>
      <c r="D3932" s="100" t="str">
        <f t="shared" si="1"/>
        <v/>
      </c>
      <c r="E3932" s="100" t="str">
        <f t="shared" si="2"/>
        <v/>
      </c>
      <c r="F3932" s="100" t="str">
        <f t="shared" si="3"/>
        <v/>
      </c>
      <c r="G3932" s="151"/>
      <c r="H3932" s="160"/>
      <c r="I3932" s="157"/>
      <c r="J3932" s="158"/>
      <c r="L3932" s="94"/>
      <c r="M3932" s="159"/>
      <c r="N3932" s="94"/>
    </row>
    <row r="3933">
      <c r="A3933" s="107">
        <v>1627816.0</v>
      </c>
      <c r="B3933" s="108" t="s">
        <v>191</v>
      </c>
      <c r="C3933" s="108" t="s">
        <v>951</v>
      </c>
      <c r="D3933" s="100" t="str">
        <f t="shared" si="1"/>
        <v/>
      </c>
      <c r="E3933" s="100" t="str">
        <f t="shared" si="2"/>
        <v/>
      </c>
      <c r="F3933" s="100" t="str">
        <f t="shared" si="3"/>
        <v/>
      </c>
      <c r="G3933" s="151"/>
      <c r="H3933" s="156"/>
      <c r="I3933" s="157"/>
      <c r="J3933" s="161"/>
      <c r="L3933" s="94"/>
      <c r="M3933" s="159"/>
      <c r="N3933" s="94"/>
    </row>
    <row r="3934">
      <c r="A3934" s="107">
        <v>1627816.0</v>
      </c>
      <c r="B3934" s="108" t="s">
        <v>192</v>
      </c>
      <c r="C3934" s="108" t="s">
        <v>951</v>
      </c>
      <c r="D3934" s="100" t="str">
        <f t="shared" si="1"/>
        <v/>
      </c>
      <c r="E3934" s="100" t="str">
        <f t="shared" si="2"/>
        <v/>
      </c>
      <c r="F3934" s="100" t="str">
        <f t="shared" si="3"/>
        <v/>
      </c>
      <c r="G3934" s="151"/>
      <c r="H3934" s="160"/>
      <c r="I3934" s="157"/>
      <c r="J3934" s="158"/>
      <c r="L3934" s="94"/>
      <c r="M3934" s="159"/>
      <c r="N3934" s="94"/>
    </row>
    <row r="3935">
      <c r="A3935" s="107">
        <v>1627817.0</v>
      </c>
      <c r="B3935" s="108" t="s">
        <v>190</v>
      </c>
      <c r="C3935" s="108" t="s">
        <v>952</v>
      </c>
      <c r="D3935" s="100" t="str">
        <f t="shared" si="1"/>
        <v/>
      </c>
      <c r="E3935" s="100" t="str">
        <f t="shared" si="2"/>
        <v/>
      </c>
      <c r="F3935" s="100" t="str">
        <f t="shared" si="3"/>
        <v/>
      </c>
      <c r="G3935" s="151"/>
      <c r="H3935" s="156"/>
      <c r="I3935" s="157"/>
      <c r="J3935" s="161"/>
      <c r="L3935" s="94"/>
      <c r="M3935" s="159"/>
      <c r="N3935" s="94"/>
    </row>
    <row r="3936">
      <c r="A3936" s="107">
        <v>1627817.0</v>
      </c>
      <c r="B3936" s="108" t="s">
        <v>191</v>
      </c>
      <c r="C3936" s="108" t="s">
        <v>952</v>
      </c>
      <c r="D3936" s="100" t="str">
        <f t="shared" si="1"/>
        <v/>
      </c>
      <c r="E3936" s="100" t="str">
        <f t="shared" si="2"/>
        <v/>
      </c>
      <c r="F3936" s="100" t="str">
        <f t="shared" si="3"/>
        <v/>
      </c>
      <c r="G3936" s="151"/>
      <c r="H3936" s="160"/>
      <c r="I3936" s="157"/>
      <c r="J3936" s="158"/>
      <c r="L3936" s="94"/>
      <c r="M3936" s="159"/>
      <c r="N3936" s="94"/>
    </row>
    <row r="3937">
      <c r="A3937" s="107">
        <v>1627819.0</v>
      </c>
      <c r="B3937" s="108" t="s">
        <v>190</v>
      </c>
      <c r="C3937" s="108" t="s">
        <v>953</v>
      </c>
      <c r="D3937" s="100" t="str">
        <f t="shared" si="1"/>
        <v/>
      </c>
      <c r="E3937" s="100" t="str">
        <f t="shared" si="2"/>
        <v/>
      </c>
      <c r="F3937" s="100" t="str">
        <f t="shared" si="3"/>
        <v/>
      </c>
      <c r="G3937" s="151"/>
      <c r="H3937" s="156"/>
      <c r="I3937" s="157"/>
      <c r="J3937" s="161"/>
      <c r="L3937" s="94"/>
      <c r="M3937" s="159"/>
      <c r="N3937" s="94"/>
    </row>
    <row r="3938">
      <c r="A3938" s="107">
        <v>1627819.0</v>
      </c>
      <c r="B3938" s="108" t="s">
        <v>191</v>
      </c>
      <c r="C3938" s="108" t="s">
        <v>953</v>
      </c>
      <c r="D3938" s="100" t="str">
        <f t="shared" si="1"/>
        <v/>
      </c>
      <c r="E3938" s="100" t="str">
        <f t="shared" si="2"/>
        <v/>
      </c>
      <c r="F3938" s="100" t="str">
        <f t="shared" si="3"/>
        <v/>
      </c>
      <c r="G3938" s="151"/>
      <c r="H3938" s="160"/>
      <c r="I3938" s="157"/>
      <c r="J3938" s="158"/>
      <c r="L3938" s="94"/>
      <c r="M3938" s="159"/>
      <c r="N3938" s="94"/>
    </row>
    <row r="3939">
      <c r="A3939" s="107">
        <v>1627820.0</v>
      </c>
      <c r="B3939" s="108" t="s">
        <v>191</v>
      </c>
      <c r="C3939" s="108" t="s">
        <v>954</v>
      </c>
      <c r="D3939" s="100" t="str">
        <f t="shared" si="1"/>
        <v/>
      </c>
      <c r="E3939" s="100" t="str">
        <f t="shared" si="2"/>
        <v/>
      </c>
      <c r="F3939" s="100" t="str">
        <f t="shared" si="3"/>
        <v/>
      </c>
      <c r="G3939" s="151"/>
      <c r="H3939" s="156"/>
      <c r="I3939" s="157"/>
      <c r="J3939" s="161"/>
      <c r="L3939" s="94"/>
      <c r="M3939" s="159"/>
      <c r="N3939" s="94"/>
    </row>
    <row r="3940">
      <c r="A3940" s="107">
        <v>1627820.0</v>
      </c>
      <c r="B3940" s="108" t="s">
        <v>192</v>
      </c>
      <c r="C3940" s="108" t="s">
        <v>954</v>
      </c>
      <c r="D3940" s="100" t="str">
        <f t="shared" si="1"/>
        <v/>
      </c>
      <c r="E3940" s="100" t="str">
        <f t="shared" si="2"/>
        <v/>
      </c>
      <c r="F3940" s="100" t="str">
        <f t="shared" si="3"/>
        <v/>
      </c>
      <c r="G3940" s="151"/>
      <c r="H3940" s="160"/>
      <c r="I3940" s="157"/>
      <c r="J3940" s="158"/>
      <c r="L3940" s="94"/>
      <c r="M3940" s="159"/>
      <c r="N3940" s="94"/>
    </row>
    <row r="3941">
      <c r="A3941" s="107">
        <v>1627820.0</v>
      </c>
      <c r="B3941" s="108" t="s">
        <v>193</v>
      </c>
      <c r="C3941" s="108" t="s">
        <v>954</v>
      </c>
      <c r="D3941" s="100" t="str">
        <f t="shared" si="1"/>
        <v/>
      </c>
      <c r="E3941" s="100" t="str">
        <f t="shared" si="2"/>
        <v/>
      </c>
      <c r="F3941" s="100" t="str">
        <f t="shared" si="3"/>
        <v/>
      </c>
      <c r="G3941" s="151"/>
      <c r="H3941" s="156"/>
      <c r="I3941" s="157"/>
      <c r="J3941" s="161"/>
      <c r="L3941" s="94"/>
      <c r="M3941" s="159"/>
      <c r="N3941" s="94"/>
    </row>
    <row r="3942">
      <c r="A3942" s="107">
        <v>1627820.0</v>
      </c>
      <c r="B3942" s="108" t="s">
        <v>215</v>
      </c>
      <c r="C3942" s="108" t="s">
        <v>954</v>
      </c>
      <c r="D3942" s="100" t="str">
        <f t="shared" si="1"/>
        <v/>
      </c>
      <c r="E3942" s="100" t="str">
        <f t="shared" si="2"/>
        <v/>
      </c>
      <c r="F3942" s="100" t="str">
        <f t="shared" si="3"/>
        <v/>
      </c>
      <c r="G3942" s="151"/>
      <c r="H3942" s="160"/>
      <c r="I3942" s="157"/>
      <c r="J3942" s="158"/>
      <c r="L3942" s="94"/>
      <c r="M3942" s="159"/>
      <c r="N3942" s="94"/>
    </row>
    <row r="3943">
      <c r="A3943" s="107">
        <v>1627821.0</v>
      </c>
      <c r="B3943" s="108" t="s">
        <v>191</v>
      </c>
      <c r="C3943" s="108" t="s">
        <v>955</v>
      </c>
      <c r="D3943" s="100" t="str">
        <f t="shared" si="1"/>
        <v/>
      </c>
      <c r="E3943" s="100" t="str">
        <f t="shared" si="2"/>
        <v/>
      </c>
      <c r="F3943" s="100" t="str">
        <f t="shared" si="3"/>
        <v/>
      </c>
      <c r="G3943" s="151"/>
      <c r="H3943" s="156"/>
      <c r="I3943" s="157"/>
      <c r="J3943" s="161"/>
      <c r="L3943" s="94"/>
      <c r="M3943" s="159"/>
      <c r="N3943" s="94"/>
    </row>
    <row r="3944">
      <c r="A3944" s="107">
        <v>1627822.0</v>
      </c>
      <c r="B3944" s="108" t="s">
        <v>215</v>
      </c>
      <c r="C3944" s="108" t="s">
        <v>956</v>
      </c>
      <c r="D3944" s="100" t="str">
        <f t="shared" si="1"/>
        <v/>
      </c>
      <c r="E3944" s="100" t="str">
        <f t="shared" si="2"/>
        <v/>
      </c>
      <c r="F3944" s="100" t="str">
        <f t="shared" si="3"/>
        <v/>
      </c>
      <c r="G3944" s="151"/>
      <c r="H3944" s="160"/>
      <c r="I3944" s="157"/>
      <c r="J3944" s="158"/>
      <c r="L3944" s="94"/>
      <c r="M3944" s="159"/>
      <c r="N3944" s="94"/>
    </row>
    <row r="3945">
      <c r="A3945" s="107">
        <v>1627823.0</v>
      </c>
      <c r="B3945" s="108" t="s">
        <v>190</v>
      </c>
      <c r="C3945" s="108" t="s">
        <v>957</v>
      </c>
      <c r="D3945" s="100" t="str">
        <f t="shared" si="1"/>
        <v/>
      </c>
      <c r="E3945" s="100" t="str">
        <f t="shared" si="2"/>
        <v/>
      </c>
      <c r="F3945" s="100" t="str">
        <f t="shared" si="3"/>
        <v/>
      </c>
      <c r="G3945" s="151"/>
      <c r="H3945" s="156"/>
      <c r="I3945" s="157"/>
      <c r="J3945" s="161"/>
      <c r="L3945" s="94"/>
      <c r="M3945" s="159"/>
      <c r="N3945" s="94"/>
    </row>
    <row r="3946">
      <c r="A3946" s="107">
        <v>1627823.0</v>
      </c>
      <c r="B3946" s="108" t="s">
        <v>191</v>
      </c>
      <c r="C3946" s="108" t="s">
        <v>957</v>
      </c>
      <c r="D3946" s="100" t="str">
        <f t="shared" si="1"/>
        <v/>
      </c>
      <c r="E3946" s="100" t="str">
        <f t="shared" si="2"/>
        <v/>
      </c>
      <c r="F3946" s="100" t="str">
        <f t="shared" si="3"/>
        <v/>
      </c>
      <c r="G3946" s="151"/>
      <c r="H3946" s="160"/>
      <c r="I3946" s="157"/>
      <c r="J3946" s="158"/>
      <c r="L3946" s="94"/>
      <c r="M3946" s="159"/>
      <c r="N3946" s="94"/>
    </row>
    <row r="3947">
      <c r="A3947" s="107">
        <v>1627823.0</v>
      </c>
      <c r="B3947" s="108" t="s">
        <v>192</v>
      </c>
      <c r="C3947" s="108" t="s">
        <v>957</v>
      </c>
      <c r="D3947" s="100" t="str">
        <f t="shared" si="1"/>
        <v/>
      </c>
      <c r="E3947" s="100" t="str">
        <f t="shared" si="2"/>
        <v/>
      </c>
      <c r="F3947" s="100" t="str">
        <f t="shared" si="3"/>
        <v/>
      </c>
      <c r="G3947" s="151"/>
      <c r="H3947" s="156"/>
      <c r="I3947" s="157"/>
      <c r="J3947" s="161"/>
      <c r="L3947" s="94"/>
      <c r="M3947" s="159"/>
      <c r="N3947" s="94"/>
    </row>
    <row r="3948">
      <c r="A3948" s="107">
        <v>1627823.0</v>
      </c>
      <c r="B3948" s="108" t="s">
        <v>193</v>
      </c>
      <c r="C3948" s="108" t="s">
        <v>957</v>
      </c>
      <c r="D3948" s="100" t="str">
        <f t="shared" si="1"/>
        <v/>
      </c>
      <c r="E3948" s="100" t="str">
        <f t="shared" si="2"/>
        <v/>
      </c>
      <c r="F3948" s="100" t="str">
        <f t="shared" si="3"/>
        <v/>
      </c>
      <c r="G3948" s="151"/>
      <c r="H3948" s="160"/>
      <c r="I3948" s="157"/>
      <c r="J3948" s="158"/>
      <c r="L3948" s="94"/>
      <c r="M3948" s="159"/>
      <c r="N3948" s="94"/>
    </row>
    <row r="3949">
      <c r="A3949" s="107">
        <v>1627823.0</v>
      </c>
      <c r="B3949" s="108" t="s">
        <v>243</v>
      </c>
      <c r="C3949" s="108" t="s">
        <v>957</v>
      </c>
      <c r="D3949" s="100" t="str">
        <f t="shared" si="1"/>
        <v/>
      </c>
      <c r="E3949" s="100" t="str">
        <f t="shared" si="2"/>
        <v/>
      </c>
      <c r="F3949" s="100" t="str">
        <f t="shared" si="3"/>
        <v/>
      </c>
      <c r="G3949" s="151"/>
      <c r="H3949" s="156"/>
      <c r="I3949" s="157"/>
      <c r="J3949" s="161"/>
      <c r="L3949" s="94"/>
      <c r="M3949" s="159"/>
      <c r="N3949" s="94"/>
    </row>
    <row r="3950">
      <c r="A3950" s="107">
        <v>1627823.0</v>
      </c>
      <c r="B3950" s="108" t="s">
        <v>215</v>
      </c>
      <c r="C3950" s="108" t="s">
        <v>957</v>
      </c>
      <c r="D3950" s="100" t="str">
        <f t="shared" si="1"/>
        <v/>
      </c>
      <c r="E3950" s="100" t="str">
        <f t="shared" si="2"/>
        <v/>
      </c>
      <c r="F3950" s="100" t="str">
        <f t="shared" si="3"/>
        <v/>
      </c>
      <c r="G3950" s="151"/>
      <c r="H3950" s="160"/>
      <c r="I3950" s="157"/>
      <c r="J3950" s="158"/>
      <c r="L3950" s="94"/>
      <c r="M3950" s="159"/>
      <c r="N3950" s="94"/>
    </row>
    <row r="3951">
      <c r="A3951" s="107">
        <v>1627823.0</v>
      </c>
      <c r="B3951" s="108" t="s">
        <v>244</v>
      </c>
      <c r="C3951" s="108" t="s">
        <v>957</v>
      </c>
      <c r="D3951" s="100" t="str">
        <f t="shared" si="1"/>
        <v/>
      </c>
      <c r="E3951" s="100" t="str">
        <f t="shared" si="2"/>
        <v/>
      </c>
      <c r="F3951" s="100" t="str">
        <f t="shared" si="3"/>
        <v/>
      </c>
      <c r="G3951" s="151"/>
      <c r="H3951" s="156"/>
      <c r="I3951" s="157"/>
      <c r="J3951" s="161"/>
      <c r="L3951" s="94"/>
      <c r="M3951" s="159"/>
      <c r="N3951" s="94"/>
    </row>
    <row r="3952">
      <c r="A3952" s="107">
        <v>1627824.0</v>
      </c>
      <c r="B3952" s="108" t="s">
        <v>191</v>
      </c>
      <c r="C3952" s="108" t="s">
        <v>958</v>
      </c>
      <c r="D3952" s="100" t="str">
        <f t="shared" si="1"/>
        <v/>
      </c>
      <c r="E3952" s="100" t="str">
        <f t="shared" si="2"/>
        <v/>
      </c>
      <c r="F3952" s="100" t="str">
        <f t="shared" si="3"/>
        <v/>
      </c>
      <c r="G3952" s="151"/>
      <c r="H3952" s="160"/>
      <c r="I3952" s="157"/>
      <c r="J3952" s="158"/>
      <c r="L3952" s="94"/>
      <c r="M3952" s="159"/>
      <c r="N3952" s="94"/>
    </row>
    <row r="3953">
      <c r="A3953" s="107">
        <v>1627824.0</v>
      </c>
      <c r="B3953" s="108" t="s">
        <v>192</v>
      </c>
      <c r="C3953" s="108" t="s">
        <v>958</v>
      </c>
      <c r="D3953" s="100" t="str">
        <f t="shared" si="1"/>
        <v/>
      </c>
      <c r="E3953" s="100" t="str">
        <f t="shared" si="2"/>
        <v/>
      </c>
      <c r="F3953" s="100" t="str">
        <f t="shared" si="3"/>
        <v/>
      </c>
      <c r="G3953" s="151"/>
      <c r="H3953" s="156"/>
      <c r="I3953" s="157"/>
      <c r="J3953" s="161"/>
      <c r="L3953" s="94"/>
      <c r="M3953" s="159"/>
      <c r="N3953" s="94"/>
    </row>
    <row r="3954">
      <c r="A3954" s="107">
        <v>1627824.0</v>
      </c>
      <c r="B3954" s="108" t="s">
        <v>246</v>
      </c>
      <c r="C3954" s="108" t="s">
        <v>958</v>
      </c>
      <c r="D3954" s="100" t="str">
        <f t="shared" si="1"/>
        <v/>
      </c>
      <c r="E3954" s="100" t="str">
        <f t="shared" si="2"/>
        <v/>
      </c>
      <c r="F3954" s="100" t="str">
        <f t="shared" si="3"/>
        <v/>
      </c>
      <c r="G3954" s="151"/>
      <c r="H3954" s="160"/>
      <c r="I3954" s="157"/>
      <c r="J3954" s="158"/>
      <c r="L3954" s="94"/>
      <c r="M3954" s="159"/>
      <c r="N3954" s="94"/>
    </row>
    <row r="3955">
      <c r="A3955" s="149">
        <v>1627824.0</v>
      </c>
      <c r="B3955" s="115" t="s">
        <v>247</v>
      </c>
      <c r="C3955" s="115" t="s">
        <v>958</v>
      </c>
      <c r="D3955" s="100" t="str">
        <f t="shared" si="1"/>
        <v/>
      </c>
      <c r="E3955" s="100" t="str">
        <f t="shared" si="2"/>
        <v/>
      </c>
      <c r="F3955" s="100" t="str">
        <f t="shared" si="3"/>
        <v/>
      </c>
      <c r="G3955" s="151"/>
      <c r="H3955" s="156"/>
      <c r="I3955" s="157"/>
      <c r="J3955" s="161"/>
      <c r="L3955" s="94"/>
      <c r="M3955" s="159"/>
      <c r="N3955" s="94"/>
    </row>
    <row r="3956">
      <c r="A3956" s="21">
        <v>1627826.0</v>
      </c>
      <c r="B3956" s="164" t="s">
        <v>190</v>
      </c>
      <c r="C3956" s="164" t="s">
        <v>959</v>
      </c>
      <c r="D3956" s="100" t="str">
        <f t="shared" si="1"/>
        <v/>
      </c>
      <c r="E3956" s="100" t="str">
        <f t="shared" si="2"/>
        <v/>
      </c>
      <c r="F3956" s="100" t="str">
        <f t="shared" si="3"/>
        <v/>
      </c>
      <c r="G3956" s="151"/>
      <c r="H3956" s="160"/>
      <c r="I3956" s="157"/>
      <c r="J3956" s="158"/>
      <c r="L3956" s="94"/>
      <c r="M3956" s="159"/>
      <c r="N3956" s="94"/>
    </row>
    <row r="3957">
      <c r="A3957" s="107">
        <v>1627826.0</v>
      </c>
      <c r="B3957" s="108" t="s">
        <v>191</v>
      </c>
      <c r="C3957" s="108" t="s">
        <v>959</v>
      </c>
      <c r="D3957" s="100" t="str">
        <f t="shared" si="1"/>
        <v/>
      </c>
      <c r="E3957" s="100" t="str">
        <f t="shared" si="2"/>
        <v/>
      </c>
      <c r="F3957" s="100" t="str">
        <f t="shared" si="3"/>
        <v/>
      </c>
      <c r="G3957" s="151"/>
      <c r="H3957" s="156"/>
      <c r="I3957" s="157"/>
      <c r="J3957" s="161"/>
      <c r="L3957" s="94"/>
      <c r="M3957" s="159"/>
      <c r="N3957" s="94"/>
    </row>
    <row r="3958">
      <c r="A3958" s="107">
        <v>1627826.0</v>
      </c>
      <c r="B3958" s="108" t="s">
        <v>192</v>
      </c>
      <c r="C3958" s="108" t="s">
        <v>959</v>
      </c>
      <c r="D3958" s="100" t="str">
        <f t="shared" si="1"/>
        <v/>
      </c>
      <c r="E3958" s="100" t="str">
        <f t="shared" si="2"/>
        <v/>
      </c>
      <c r="F3958" s="100" t="str">
        <f t="shared" si="3"/>
        <v/>
      </c>
      <c r="G3958" s="151"/>
      <c r="H3958" s="160"/>
      <c r="I3958" s="157"/>
      <c r="J3958" s="158"/>
      <c r="L3958" s="94"/>
      <c r="M3958" s="159"/>
      <c r="N3958" s="94"/>
    </row>
    <row r="3959">
      <c r="A3959" s="107">
        <v>1627826.0</v>
      </c>
      <c r="B3959" s="108" t="s">
        <v>193</v>
      </c>
      <c r="C3959" s="108" t="s">
        <v>959</v>
      </c>
      <c r="D3959" s="100" t="str">
        <f t="shared" si="1"/>
        <v/>
      </c>
      <c r="E3959" s="100" t="str">
        <f t="shared" si="2"/>
        <v/>
      </c>
      <c r="F3959" s="100" t="str">
        <f t="shared" si="3"/>
        <v/>
      </c>
      <c r="G3959" s="151"/>
      <c r="H3959" s="156"/>
      <c r="I3959" s="157"/>
      <c r="J3959" s="161"/>
      <c r="L3959" s="94"/>
      <c r="M3959" s="159"/>
      <c r="N3959" s="94"/>
    </row>
    <row r="3960">
      <c r="A3960" s="107">
        <v>1627826.0</v>
      </c>
      <c r="B3960" s="108" t="s">
        <v>243</v>
      </c>
      <c r="C3960" s="108" t="s">
        <v>959</v>
      </c>
      <c r="D3960" s="100" t="str">
        <f t="shared" si="1"/>
        <v/>
      </c>
      <c r="E3960" s="100" t="str">
        <f t="shared" si="2"/>
        <v/>
      </c>
      <c r="F3960" s="100" t="str">
        <f t="shared" si="3"/>
        <v/>
      </c>
      <c r="G3960" s="151"/>
      <c r="H3960" s="160"/>
      <c r="I3960" s="157"/>
      <c r="J3960" s="158"/>
      <c r="L3960" s="94"/>
      <c r="M3960" s="159"/>
      <c r="N3960" s="94"/>
    </row>
    <row r="3961">
      <c r="A3961" s="107">
        <v>1627826.0</v>
      </c>
      <c r="B3961" s="108" t="s">
        <v>215</v>
      </c>
      <c r="C3961" s="108" t="s">
        <v>959</v>
      </c>
      <c r="D3961" s="100" t="str">
        <f t="shared" si="1"/>
        <v/>
      </c>
      <c r="E3961" s="100" t="str">
        <f t="shared" si="2"/>
        <v/>
      </c>
      <c r="F3961" s="100" t="str">
        <f t="shared" si="3"/>
        <v/>
      </c>
      <c r="G3961" s="151"/>
      <c r="H3961" s="156"/>
      <c r="I3961" s="157"/>
      <c r="J3961" s="161"/>
      <c r="L3961" s="94"/>
      <c r="M3961" s="159"/>
      <c r="N3961" s="94"/>
    </row>
    <row r="3962">
      <c r="A3962" s="107">
        <v>1627826.0</v>
      </c>
      <c r="B3962" s="108" t="s">
        <v>244</v>
      </c>
      <c r="C3962" s="108" t="s">
        <v>959</v>
      </c>
      <c r="D3962" s="100" t="str">
        <f t="shared" si="1"/>
        <v/>
      </c>
      <c r="E3962" s="100" t="str">
        <f t="shared" si="2"/>
        <v/>
      </c>
      <c r="F3962" s="100" t="str">
        <f t="shared" si="3"/>
        <v/>
      </c>
      <c r="G3962" s="151"/>
      <c r="H3962" s="160"/>
      <c r="I3962" s="157"/>
      <c r="J3962" s="158"/>
      <c r="L3962" s="94"/>
      <c r="M3962" s="159"/>
      <c r="N3962" s="94"/>
    </row>
    <row r="3963">
      <c r="A3963" s="107">
        <v>1627826.0</v>
      </c>
      <c r="B3963" s="108" t="s">
        <v>245</v>
      </c>
      <c r="C3963" s="108" t="s">
        <v>959</v>
      </c>
      <c r="D3963" s="100" t="str">
        <f t="shared" si="1"/>
        <v/>
      </c>
      <c r="E3963" s="100" t="str">
        <f t="shared" si="2"/>
        <v/>
      </c>
      <c r="F3963" s="100" t="str">
        <f t="shared" si="3"/>
        <v/>
      </c>
      <c r="G3963" s="151"/>
      <c r="H3963" s="156"/>
      <c r="I3963" s="157"/>
      <c r="J3963" s="161"/>
      <c r="L3963" s="94"/>
      <c r="M3963" s="159"/>
      <c r="N3963" s="94"/>
    </row>
    <row r="3964">
      <c r="A3964" s="107">
        <v>1627826.0</v>
      </c>
      <c r="B3964" s="108" t="s">
        <v>246</v>
      </c>
      <c r="C3964" s="108" t="s">
        <v>959</v>
      </c>
      <c r="D3964" s="100" t="str">
        <f t="shared" si="1"/>
        <v/>
      </c>
      <c r="E3964" s="100" t="str">
        <f t="shared" si="2"/>
        <v/>
      </c>
      <c r="F3964" s="100" t="str">
        <f t="shared" si="3"/>
        <v/>
      </c>
      <c r="G3964" s="151"/>
      <c r="H3964" s="160"/>
      <c r="I3964" s="157"/>
      <c r="J3964" s="158"/>
      <c r="L3964" s="94"/>
      <c r="M3964" s="159"/>
      <c r="N3964" s="94"/>
    </row>
    <row r="3965">
      <c r="A3965" s="149">
        <v>1627826.0</v>
      </c>
      <c r="B3965" s="115" t="s">
        <v>247</v>
      </c>
      <c r="C3965" s="115" t="s">
        <v>959</v>
      </c>
      <c r="D3965" s="100" t="str">
        <f t="shared" si="1"/>
        <v/>
      </c>
      <c r="E3965" s="100" t="str">
        <f t="shared" si="2"/>
        <v/>
      </c>
      <c r="F3965" s="100" t="str">
        <f t="shared" si="3"/>
        <v/>
      </c>
      <c r="G3965" s="151"/>
      <c r="H3965" s="156"/>
      <c r="I3965" s="157"/>
      <c r="J3965" s="161"/>
      <c r="L3965" s="94"/>
      <c r="M3965" s="159"/>
      <c r="N3965" s="94"/>
    </row>
    <row r="3966">
      <c r="A3966" s="21">
        <v>1627827.0</v>
      </c>
      <c r="B3966" s="164" t="s">
        <v>190</v>
      </c>
      <c r="C3966" s="164" t="s">
        <v>960</v>
      </c>
      <c r="D3966" s="100" t="str">
        <f t="shared" si="1"/>
        <v/>
      </c>
      <c r="E3966" s="100" t="str">
        <f t="shared" si="2"/>
        <v/>
      </c>
      <c r="F3966" s="100" t="str">
        <f t="shared" si="3"/>
        <v/>
      </c>
      <c r="G3966" s="151"/>
      <c r="H3966" s="160"/>
      <c r="I3966" s="157"/>
      <c r="J3966" s="158"/>
      <c r="L3966" s="94"/>
      <c r="M3966" s="159"/>
      <c r="N3966" s="94"/>
    </row>
    <row r="3967">
      <c r="A3967" s="107">
        <v>1627827.0</v>
      </c>
      <c r="B3967" s="108" t="s">
        <v>191</v>
      </c>
      <c r="C3967" s="108" t="s">
        <v>960</v>
      </c>
      <c r="D3967" s="100" t="str">
        <f t="shared" si="1"/>
        <v/>
      </c>
      <c r="E3967" s="100" t="str">
        <f t="shared" si="2"/>
        <v/>
      </c>
      <c r="F3967" s="100" t="str">
        <f t="shared" si="3"/>
        <v/>
      </c>
      <c r="G3967" s="151"/>
      <c r="H3967" s="156"/>
      <c r="I3967" s="157"/>
      <c r="J3967" s="161"/>
      <c r="L3967" s="94"/>
      <c r="M3967" s="159"/>
      <c r="N3967" s="94"/>
    </row>
    <row r="3968">
      <c r="A3968" s="107">
        <v>1627827.0</v>
      </c>
      <c r="B3968" s="108" t="s">
        <v>192</v>
      </c>
      <c r="C3968" s="108" t="s">
        <v>960</v>
      </c>
      <c r="D3968" s="100" t="str">
        <f t="shared" si="1"/>
        <v/>
      </c>
      <c r="E3968" s="100" t="str">
        <f t="shared" si="2"/>
        <v/>
      </c>
      <c r="F3968" s="100" t="str">
        <f t="shared" si="3"/>
        <v/>
      </c>
      <c r="G3968" s="151"/>
      <c r="H3968" s="160"/>
      <c r="I3968" s="157"/>
      <c r="J3968" s="158"/>
      <c r="L3968" s="94"/>
      <c r="M3968" s="159"/>
      <c r="N3968" s="94"/>
    </row>
    <row r="3969">
      <c r="A3969" s="107">
        <v>1627827.0</v>
      </c>
      <c r="B3969" s="108" t="s">
        <v>193</v>
      </c>
      <c r="C3969" s="108" t="s">
        <v>960</v>
      </c>
      <c r="D3969" s="100" t="str">
        <f t="shared" si="1"/>
        <v/>
      </c>
      <c r="E3969" s="100" t="str">
        <f t="shared" si="2"/>
        <v/>
      </c>
      <c r="F3969" s="100" t="str">
        <f t="shared" si="3"/>
        <v/>
      </c>
      <c r="G3969" s="151"/>
      <c r="H3969" s="156"/>
      <c r="I3969" s="157"/>
      <c r="J3969" s="161"/>
      <c r="L3969" s="94"/>
      <c r="M3969" s="159"/>
      <c r="N3969" s="94"/>
    </row>
    <row r="3970">
      <c r="A3970" s="107">
        <v>1627827.0</v>
      </c>
      <c r="B3970" s="108" t="s">
        <v>243</v>
      </c>
      <c r="C3970" s="108" t="s">
        <v>960</v>
      </c>
      <c r="D3970" s="100" t="str">
        <f t="shared" si="1"/>
        <v/>
      </c>
      <c r="E3970" s="100" t="str">
        <f t="shared" si="2"/>
        <v/>
      </c>
      <c r="F3970" s="100" t="str">
        <f t="shared" si="3"/>
        <v/>
      </c>
      <c r="G3970" s="151"/>
      <c r="H3970" s="160"/>
      <c r="I3970" s="157"/>
      <c r="J3970" s="158"/>
      <c r="L3970" s="94"/>
      <c r="M3970" s="159"/>
      <c r="N3970" s="94"/>
    </row>
    <row r="3971">
      <c r="A3971" s="107">
        <v>1627827.0</v>
      </c>
      <c r="B3971" s="108" t="s">
        <v>215</v>
      </c>
      <c r="C3971" s="108" t="s">
        <v>960</v>
      </c>
      <c r="D3971" s="100" t="str">
        <f t="shared" si="1"/>
        <v/>
      </c>
      <c r="E3971" s="100" t="str">
        <f t="shared" si="2"/>
        <v/>
      </c>
      <c r="F3971" s="100" t="str">
        <f t="shared" si="3"/>
        <v/>
      </c>
      <c r="G3971" s="151"/>
      <c r="H3971" s="156"/>
      <c r="I3971" s="157"/>
      <c r="J3971" s="161"/>
      <c r="L3971" s="94"/>
      <c r="M3971" s="159"/>
      <c r="N3971" s="94"/>
    </row>
    <row r="3972">
      <c r="A3972" s="107">
        <v>1627827.0</v>
      </c>
      <c r="B3972" s="108" t="s">
        <v>244</v>
      </c>
      <c r="C3972" s="108" t="s">
        <v>960</v>
      </c>
      <c r="D3972" s="100" t="str">
        <f t="shared" si="1"/>
        <v/>
      </c>
      <c r="E3972" s="100" t="str">
        <f t="shared" si="2"/>
        <v/>
      </c>
      <c r="F3972" s="100" t="str">
        <f t="shared" si="3"/>
        <v/>
      </c>
      <c r="G3972" s="151"/>
      <c r="H3972" s="160"/>
      <c r="I3972" s="157"/>
      <c r="J3972" s="158"/>
      <c r="L3972" s="94"/>
      <c r="M3972" s="159"/>
      <c r="N3972" s="94"/>
    </row>
    <row r="3973">
      <c r="A3973" s="107">
        <v>1627827.0</v>
      </c>
      <c r="B3973" s="108" t="s">
        <v>245</v>
      </c>
      <c r="C3973" s="108" t="s">
        <v>960</v>
      </c>
      <c r="D3973" s="100" t="str">
        <f t="shared" si="1"/>
        <v/>
      </c>
      <c r="E3973" s="100" t="str">
        <f t="shared" si="2"/>
        <v/>
      </c>
      <c r="F3973" s="100" t="str">
        <f t="shared" si="3"/>
        <v/>
      </c>
      <c r="G3973" s="151"/>
      <c r="H3973" s="156"/>
      <c r="I3973" s="157"/>
      <c r="J3973" s="161"/>
      <c r="L3973" s="94"/>
      <c r="M3973" s="159"/>
      <c r="N3973" s="94"/>
    </row>
    <row r="3974">
      <c r="A3974" s="107">
        <v>1627827.0</v>
      </c>
      <c r="B3974" s="108" t="s">
        <v>246</v>
      </c>
      <c r="C3974" s="108" t="s">
        <v>960</v>
      </c>
      <c r="D3974" s="100" t="str">
        <f t="shared" si="1"/>
        <v/>
      </c>
      <c r="E3974" s="100" t="str">
        <f t="shared" si="2"/>
        <v/>
      </c>
      <c r="F3974" s="100" t="str">
        <f t="shared" si="3"/>
        <v/>
      </c>
      <c r="G3974" s="151"/>
      <c r="H3974" s="160"/>
      <c r="I3974" s="157"/>
      <c r="J3974" s="158"/>
      <c r="L3974" s="94"/>
      <c r="M3974" s="159"/>
      <c r="N3974" s="94"/>
    </row>
    <row r="3975">
      <c r="A3975" s="140">
        <v>1627827.0</v>
      </c>
      <c r="B3975" s="115" t="s">
        <v>247</v>
      </c>
      <c r="C3975" s="115" t="s">
        <v>960</v>
      </c>
      <c r="D3975" s="100" t="str">
        <f t="shared" si="1"/>
        <v/>
      </c>
      <c r="E3975" s="100" t="str">
        <f t="shared" si="2"/>
        <v/>
      </c>
      <c r="F3975" s="100" t="str">
        <f t="shared" si="3"/>
        <v/>
      </c>
      <c r="G3975" s="151"/>
      <c r="H3975" s="156"/>
      <c r="I3975" s="157"/>
      <c r="J3975" s="161"/>
      <c r="L3975" s="94"/>
      <c r="M3975" s="159"/>
      <c r="N3975" s="94"/>
    </row>
    <row r="3976">
      <c r="A3976" s="163">
        <v>1627832.0</v>
      </c>
      <c r="B3976" s="164" t="s">
        <v>190</v>
      </c>
      <c r="C3976" s="164" t="s">
        <v>961</v>
      </c>
      <c r="D3976" s="100" t="str">
        <f t="shared" si="1"/>
        <v/>
      </c>
      <c r="E3976" s="100" t="str">
        <f t="shared" si="2"/>
        <v/>
      </c>
      <c r="F3976" s="100" t="str">
        <f t="shared" si="3"/>
        <v/>
      </c>
      <c r="G3976" s="151"/>
      <c r="H3976" s="160"/>
      <c r="I3976" s="157"/>
      <c r="J3976" s="158"/>
      <c r="L3976" s="94"/>
      <c r="M3976" s="159"/>
      <c r="N3976" s="94"/>
    </row>
    <row r="3977">
      <c r="A3977" s="107">
        <v>1627832.0</v>
      </c>
      <c r="B3977" s="108" t="s">
        <v>191</v>
      </c>
      <c r="C3977" s="108" t="s">
        <v>961</v>
      </c>
      <c r="D3977" s="100" t="str">
        <f t="shared" si="1"/>
        <v/>
      </c>
      <c r="E3977" s="100" t="str">
        <f t="shared" si="2"/>
        <v/>
      </c>
      <c r="F3977" s="100" t="str">
        <f t="shared" si="3"/>
        <v/>
      </c>
      <c r="G3977" s="151"/>
      <c r="H3977" s="156"/>
      <c r="I3977" s="157"/>
      <c r="J3977" s="161"/>
      <c r="L3977" s="94"/>
      <c r="M3977" s="159"/>
      <c r="N3977" s="94"/>
    </row>
    <row r="3978">
      <c r="A3978" s="107">
        <v>1627832.0</v>
      </c>
      <c r="B3978" s="108" t="s">
        <v>192</v>
      </c>
      <c r="C3978" s="108" t="s">
        <v>961</v>
      </c>
      <c r="D3978" s="100" t="str">
        <f t="shared" si="1"/>
        <v/>
      </c>
      <c r="E3978" s="100" t="str">
        <f t="shared" si="2"/>
        <v/>
      </c>
      <c r="F3978" s="100" t="str">
        <f t="shared" si="3"/>
        <v/>
      </c>
      <c r="G3978" s="151"/>
      <c r="H3978" s="160"/>
      <c r="I3978" s="157"/>
      <c r="J3978" s="158"/>
      <c r="L3978" s="94"/>
      <c r="M3978" s="159"/>
      <c r="N3978" s="94"/>
    </row>
    <row r="3979">
      <c r="A3979" s="107">
        <v>1627832.0</v>
      </c>
      <c r="B3979" s="108" t="s">
        <v>193</v>
      </c>
      <c r="C3979" s="108" t="s">
        <v>961</v>
      </c>
      <c r="D3979" s="100" t="str">
        <f t="shared" si="1"/>
        <v/>
      </c>
      <c r="E3979" s="100" t="str">
        <f t="shared" si="2"/>
        <v/>
      </c>
      <c r="F3979" s="100" t="str">
        <f t="shared" si="3"/>
        <v/>
      </c>
      <c r="G3979" s="151"/>
      <c r="H3979" s="156"/>
      <c r="I3979" s="157"/>
      <c r="J3979" s="161"/>
      <c r="L3979" s="94"/>
      <c r="M3979" s="159"/>
      <c r="N3979" s="94"/>
    </row>
    <row r="3980">
      <c r="A3980" s="107">
        <v>1627832.0</v>
      </c>
      <c r="B3980" s="108" t="s">
        <v>243</v>
      </c>
      <c r="C3980" s="108" t="s">
        <v>961</v>
      </c>
      <c r="D3980" s="100" t="str">
        <f t="shared" si="1"/>
        <v/>
      </c>
      <c r="E3980" s="100" t="str">
        <f t="shared" si="2"/>
        <v/>
      </c>
      <c r="F3980" s="100" t="str">
        <f t="shared" si="3"/>
        <v/>
      </c>
      <c r="G3980" s="151"/>
      <c r="H3980" s="160"/>
      <c r="I3980" s="157"/>
      <c r="J3980" s="158"/>
      <c r="L3980" s="94"/>
      <c r="M3980" s="159"/>
      <c r="N3980" s="94"/>
    </row>
    <row r="3981">
      <c r="A3981" s="107">
        <v>1627832.0</v>
      </c>
      <c r="B3981" s="108" t="s">
        <v>215</v>
      </c>
      <c r="C3981" s="108" t="s">
        <v>961</v>
      </c>
      <c r="D3981" s="100" t="str">
        <f t="shared" si="1"/>
        <v/>
      </c>
      <c r="E3981" s="100" t="str">
        <f t="shared" si="2"/>
        <v/>
      </c>
      <c r="F3981" s="100" t="str">
        <f t="shared" si="3"/>
        <v/>
      </c>
      <c r="G3981" s="151"/>
      <c r="H3981" s="156"/>
      <c r="I3981" s="157"/>
      <c r="J3981" s="161"/>
      <c r="L3981" s="94"/>
      <c r="M3981" s="159"/>
      <c r="N3981" s="94"/>
    </row>
    <row r="3982">
      <c r="A3982" s="107">
        <v>1627832.0</v>
      </c>
      <c r="B3982" s="108" t="s">
        <v>244</v>
      </c>
      <c r="C3982" s="108" t="s">
        <v>961</v>
      </c>
      <c r="D3982" s="100" t="str">
        <f t="shared" si="1"/>
        <v/>
      </c>
      <c r="E3982" s="100" t="str">
        <f t="shared" si="2"/>
        <v/>
      </c>
      <c r="F3982" s="100" t="str">
        <f t="shared" si="3"/>
        <v/>
      </c>
      <c r="G3982" s="151"/>
      <c r="H3982" s="160"/>
      <c r="I3982" s="157"/>
      <c r="J3982" s="158"/>
      <c r="L3982" s="94"/>
      <c r="M3982" s="159"/>
      <c r="N3982" s="94"/>
    </row>
    <row r="3983">
      <c r="A3983" s="107">
        <v>1627832.0</v>
      </c>
      <c r="B3983" s="108" t="s">
        <v>245</v>
      </c>
      <c r="C3983" s="108" t="s">
        <v>961</v>
      </c>
      <c r="D3983" s="100" t="str">
        <f t="shared" si="1"/>
        <v/>
      </c>
      <c r="E3983" s="100" t="str">
        <f t="shared" si="2"/>
        <v/>
      </c>
      <c r="F3983" s="100" t="str">
        <f t="shared" si="3"/>
        <v/>
      </c>
      <c r="G3983" s="151"/>
      <c r="H3983" s="156"/>
      <c r="I3983" s="157"/>
      <c r="J3983" s="161"/>
      <c r="L3983" s="94"/>
      <c r="M3983" s="159"/>
      <c r="N3983" s="94"/>
    </row>
    <row r="3984">
      <c r="A3984" s="107">
        <v>1627832.0</v>
      </c>
      <c r="B3984" s="108" t="s">
        <v>246</v>
      </c>
      <c r="C3984" s="108" t="s">
        <v>961</v>
      </c>
      <c r="D3984" s="100" t="str">
        <f t="shared" si="1"/>
        <v/>
      </c>
      <c r="E3984" s="100" t="str">
        <f t="shared" si="2"/>
        <v/>
      </c>
      <c r="F3984" s="100" t="str">
        <f t="shared" si="3"/>
        <v/>
      </c>
      <c r="G3984" s="151"/>
      <c r="H3984" s="160"/>
      <c r="I3984" s="157"/>
      <c r="J3984" s="158"/>
      <c r="L3984" s="94"/>
      <c r="M3984" s="159"/>
      <c r="N3984" s="94"/>
    </row>
    <row r="3985">
      <c r="A3985" s="107">
        <v>1627832.0</v>
      </c>
      <c r="B3985" s="112" t="s">
        <v>247</v>
      </c>
      <c r="C3985" s="112" t="s">
        <v>961</v>
      </c>
      <c r="D3985" s="100" t="str">
        <f t="shared" si="1"/>
        <v/>
      </c>
      <c r="E3985" s="100" t="str">
        <f t="shared" si="2"/>
        <v/>
      </c>
      <c r="F3985" s="100" t="str">
        <f t="shared" si="3"/>
        <v/>
      </c>
      <c r="G3985" s="151"/>
      <c r="H3985" s="156"/>
      <c r="I3985" s="157"/>
      <c r="J3985" s="161"/>
      <c r="L3985" s="94"/>
      <c r="M3985" s="159"/>
      <c r="N3985" s="94"/>
    </row>
    <row r="3986">
      <c r="A3986" s="126">
        <v>1627834.0</v>
      </c>
      <c r="B3986" s="129" t="s">
        <v>190</v>
      </c>
      <c r="C3986" s="129" t="s">
        <v>962</v>
      </c>
      <c r="D3986" s="100" t="str">
        <f t="shared" si="1"/>
        <v/>
      </c>
      <c r="E3986" s="100" t="str">
        <f t="shared" si="2"/>
        <v/>
      </c>
      <c r="F3986" s="100" t="str">
        <f t="shared" si="3"/>
        <v/>
      </c>
      <c r="G3986" s="151"/>
      <c r="H3986" s="160"/>
      <c r="I3986" s="157"/>
      <c r="J3986" s="158"/>
      <c r="L3986" s="94"/>
      <c r="M3986" s="159"/>
      <c r="N3986" s="94"/>
    </row>
    <row r="3987">
      <c r="A3987" s="107">
        <v>1627834.0</v>
      </c>
      <c r="B3987" s="108" t="s">
        <v>191</v>
      </c>
      <c r="C3987" s="108" t="s">
        <v>962</v>
      </c>
      <c r="D3987" s="100" t="str">
        <f t="shared" si="1"/>
        <v/>
      </c>
      <c r="E3987" s="100" t="str">
        <f t="shared" si="2"/>
        <v/>
      </c>
      <c r="F3987" s="100" t="str">
        <f t="shared" si="3"/>
        <v/>
      </c>
      <c r="G3987" s="151"/>
      <c r="H3987" s="156"/>
      <c r="I3987" s="157"/>
      <c r="J3987" s="161"/>
      <c r="L3987" s="94"/>
      <c r="M3987" s="159"/>
      <c r="N3987" s="94"/>
    </row>
    <row r="3988">
      <c r="A3988" s="107">
        <v>1627835.0</v>
      </c>
      <c r="B3988" s="108" t="s">
        <v>190</v>
      </c>
      <c r="C3988" s="108" t="s">
        <v>963</v>
      </c>
      <c r="D3988" s="100" t="str">
        <f t="shared" si="1"/>
        <v/>
      </c>
      <c r="E3988" s="100" t="str">
        <f t="shared" si="2"/>
        <v/>
      </c>
      <c r="F3988" s="100" t="str">
        <f t="shared" si="3"/>
        <v/>
      </c>
      <c r="G3988" s="151"/>
      <c r="H3988" s="160"/>
      <c r="I3988" s="157"/>
      <c r="J3988" s="158"/>
      <c r="L3988" s="94"/>
      <c r="M3988" s="159"/>
      <c r="N3988" s="94"/>
    </row>
    <row r="3989">
      <c r="A3989" s="107">
        <v>1627835.0</v>
      </c>
      <c r="B3989" s="108" t="s">
        <v>191</v>
      </c>
      <c r="C3989" s="108" t="s">
        <v>963</v>
      </c>
      <c r="D3989" s="100" t="str">
        <f t="shared" si="1"/>
        <v/>
      </c>
      <c r="E3989" s="100" t="str">
        <f t="shared" si="2"/>
        <v/>
      </c>
      <c r="F3989" s="100" t="str">
        <f t="shared" si="3"/>
        <v/>
      </c>
      <c r="G3989" s="151"/>
      <c r="H3989" s="156"/>
      <c r="I3989" s="157"/>
      <c r="J3989" s="161"/>
      <c r="L3989" s="94"/>
      <c r="M3989" s="159"/>
      <c r="N3989" s="94"/>
    </row>
    <row r="3990">
      <c r="A3990" s="107">
        <v>1627846.0</v>
      </c>
      <c r="B3990" s="108" t="s">
        <v>191</v>
      </c>
      <c r="C3990" s="108" t="s">
        <v>964</v>
      </c>
      <c r="D3990" s="100" t="str">
        <f t="shared" si="1"/>
        <v/>
      </c>
      <c r="E3990" s="100" t="str">
        <f t="shared" si="2"/>
        <v/>
      </c>
      <c r="F3990" s="100" t="str">
        <f t="shared" si="3"/>
        <v/>
      </c>
      <c r="G3990" s="151"/>
      <c r="H3990" s="160"/>
      <c r="I3990" s="157"/>
      <c r="J3990" s="158"/>
      <c r="L3990" s="94"/>
      <c r="M3990" s="159"/>
      <c r="N3990" s="94"/>
    </row>
    <row r="3991">
      <c r="A3991" s="107">
        <v>1627846.0</v>
      </c>
      <c r="B3991" s="108" t="s">
        <v>192</v>
      </c>
      <c r="C3991" s="108" t="s">
        <v>964</v>
      </c>
      <c r="D3991" s="100" t="str">
        <f t="shared" si="1"/>
        <v/>
      </c>
      <c r="E3991" s="100" t="str">
        <f t="shared" si="2"/>
        <v/>
      </c>
      <c r="F3991" s="100" t="str">
        <f t="shared" si="3"/>
        <v/>
      </c>
      <c r="G3991" s="151"/>
      <c r="H3991" s="156"/>
      <c r="I3991" s="157"/>
      <c r="J3991" s="161"/>
      <c r="L3991" s="94"/>
      <c r="M3991" s="159"/>
      <c r="N3991" s="94"/>
    </row>
    <row r="3992">
      <c r="A3992" s="107">
        <v>1627846.0</v>
      </c>
      <c r="B3992" s="108" t="s">
        <v>193</v>
      </c>
      <c r="C3992" s="108" t="s">
        <v>964</v>
      </c>
      <c r="D3992" s="100" t="str">
        <f t="shared" si="1"/>
        <v/>
      </c>
      <c r="E3992" s="100" t="str">
        <f t="shared" si="2"/>
        <v/>
      </c>
      <c r="F3992" s="100" t="str">
        <f t="shared" si="3"/>
        <v/>
      </c>
      <c r="G3992" s="151"/>
      <c r="H3992" s="160"/>
      <c r="I3992" s="157"/>
      <c r="J3992" s="158"/>
      <c r="L3992" s="94"/>
      <c r="M3992" s="159"/>
      <c r="N3992" s="94"/>
    </row>
    <row r="3993">
      <c r="A3993" s="107">
        <v>1627846.0</v>
      </c>
      <c r="B3993" s="108" t="s">
        <v>243</v>
      </c>
      <c r="C3993" s="108" t="s">
        <v>964</v>
      </c>
      <c r="D3993" s="100" t="str">
        <f t="shared" si="1"/>
        <v/>
      </c>
      <c r="E3993" s="100" t="str">
        <f t="shared" si="2"/>
        <v/>
      </c>
      <c r="F3993" s="100" t="str">
        <f t="shared" si="3"/>
        <v/>
      </c>
      <c r="G3993" s="151"/>
      <c r="H3993" s="156"/>
      <c r="I3993" s="157"/>
      <c r="J3993" s="161"/>
      <c r="L3993" s="94"/>
      <c r="M3993" s="159"/>
      <c r="N3993" s="94"/>
    </row>
    <row r="3994">
      <c r="A3994" s="107">
        <v>1627846.0</v>
      </c>
      <c r="B3994" s="108" t="s">
        <v>215</v>
      </c>
      <c r="C3994" s="108" t="s">
        <v>964</v>
      </c>
      <c r="D3994" s="100" t="str">
        <f t="shared" si="1"/>
        <v/>
      </c>
      <c r="E3994" s="100" t="str">
        <f t="shared" si="2"/>
        <v/>
      </c>
      <c r="F3994" s="100" t="str">
        <f t="shared" si="3"/>
        <v/>
      </c>
      <c r="G3994" s="151"/>
      <c r="H3994" s="160"/>
      <c r="I3994" s="157"/>
      <c r="J3994" s="158"/>
      <c r="L3994" s="94"/>
      <c r="M3994" s="159"/>
      <c r="N3994" s="94"/>
    </row>
    <row r="3995">
      <c r="A3995" s="107">
        <v>1627848.0</v>
      </c>
      <c r="B3995" s="108" t="s">
        <v>190</v>
      </c>
      <c r="C3995" s="108" t="s">
        <v>965</v>
      </c>
      <c r="D3995" s="100" t="str">
        <f t="shared" si="1"/>
        <v/>
      </c>
      <c r="E3995" s="100" t="str">
        <f t="shared" si="2"/>
        <v/>
      </c>
      <c r="F3995" s="100" t="str">
        <f t="shared" si="3"/>
        <v/>
      </c>
      <c r="G3995" s="151"/>
      <c r="H3995" s="156"/>
      <c r="I3995" s="157"/>
      <c r="J3995" s="161"/>
      <c r="L3995" s="94"/>
      <c r="M3995" s="159"/>
      <c r="N3995" s="94"/>
    </row>
    <row r="3996">
      <c r="A3996" s="107">
        <v>1627849.0</v>
      </c>
      <c r="B3996" s="108" t="s">
        <v>190</v>
      </c>
      <c r="C3996" s="108" t="s">
        <v>966</v>
      </c>
      <c r="D3996" s="100" t="str">
        <f t="shared" si="1"/>
        <v/>
      </c>
      <c r="E3996" s="100" t="str">
        <f t="shared" si="2"/>
        <v/>
      </c>
      <c r="F3996" s="100" t="str">
        <f t="shared" si="3"/>
        <v/>
      </c>
      <c r="G3996" s="151"/>
      <c r="H3996" s="160"/>
      <c r="I3996" s="157"/>
      <c r="J3996" s="158"/>
      <c r="L3996" s="94"/>
      <c r="M3996" s="159"/>
      <c r="N3996" s="94"/>
    </row>
    <row r="3997">
      <c r="A3997" s="107">
        <v>1627850.0</v>
      </c>
      <c r="B3997" s="108" t="s">
        <v>190</v>
      </c>
      <c r="C3997" s="108" t="s">
        <v>967</v>
      </c>
      <c r="D3997" s="100" t="str">
        <f t="shared" si="1"/>
        <v/>
      </c>
      <c r="E3997" s="100" t="str">
        <f t="shared" si="2"/>
        <v/>
      </c>
      <c r="F3997" s="100" t="str">
        <f t="shared" si="3"/>
        <v/>
      </c>
      <c r="G3997" s="151"/>
      <c r="H3997" s="156"/>
      <c r="I3997" s="157"/>
      <c r="J3997" s="161"/>
      <c r="L3997" s="94"/>
      <c r="M3997" s="159"/>
      <c r="N3997" s="94"/>
    </row>
    <row r="3998">
      <c r="A3998" s="107">
        <v>1627850.0</v>
      </c>
      <c r="B3998" s="108" t="s">
        <v>191</v>
      </c>
      <c r="C3998" s="108" t="s">
        <v>967</v>
      </c>
      <c r="D3998" s="100" t="str">
        <f t="shared" si="1"/>
        <v/>
      </c>
      <c r="E3998" s="100" t="str">
        <f t="shared" si="2"/>
        <v/>
      </c>
      <c r="F3998" s="100" t="str">
        <f t="shared" si="3"/>
        <v/>
      </c>
      <c r="G3998" s="151"/>
      <c r="H3998" s="160"/>
      <c r="I3998" s="157"/>
      <c r="J3998" s="158"/>
      <c r="L3998" s="94"/>
      <c r="M3998" s="159"/>
      <c r="N3998" s="94"/>
    </row>
    <row r="3999">
      <c r="A3999" s="107">
        <v>1627851.0</v>
      </c>
      <c r="B3999" s="108" t="s">
        <v>190</v>
      </c>
      <c r="C3999" s="108" t="s">
        <v>968</v>
      </c>
      <c r="D3999" s="100" t="str">
        <f t="shared" si="1"/>
        <v/>
      </c>
      <c r="E3999" s="100" t="str">
        <f t="shared" si="2"/>
        <v/>
      </c>
      <c r="F3999" s="100" t="str">
        <f t="shared" si="3"/>
        <v/>
      </c>
      <c r="G3999" s="151"/>
      <c r="H3999" s="156"/>
      <c r="I3999" s="157"/>
      <c r="J3999" s="161"/>
      <c r="L3999" s="94"/>
      <c r="M3999" s="159"/>
      <c r="N3999" s="94"/>
    </row>
    <row r="4000">
      <c r="A4000" s="107">
        <v>1627851.0</v>
      </c>
      <c r="B4000" s="108" t="s">
        <v>191</v>
      </c>
      <c r="C4000" s="108" t="s">
        <v>968</v>
      </c>
      <c r="D4000" s="100" t="str">
        <f t="shared" si="1"/>
        <v/>
      </c>
      <c r="E4000" s="100" t="str">
        <f t="shared" si="2"/>
        <v/>
      </c>
      <c r="F4000" s="100" t="str">
        <f t="shared" si="3"/>
        <v/>
      </c>
      <c r="G4000" s="151"/>
      <c r="H4000" s="160"/>
      <c r="I4000" s="157"/>
      <c r="J4000" s="158"/>
      <c r="L4000" s="94"/>
      <c r="M4000" s="159"/>
      <c r="N4000" s="94"/>
    </row>
    <row r="4001">
      <c r="A4001" s="107">
        <v>1627852.0</v>
      </c>
      <c r="B4001" s="108" t="s">
        <v>190</v>
      </c>
      <c r="C4001" s="108" t="s">
        <v>969</v>
      </c>
      <c r="D4001" s="100" t="str">
        <f t="shared" si="1"/>
        <v/>
      </c>
      <c r="E4001" s="100" t="str">
        <f t="shared" si="2"/>
        <v/>
      </c>
      <c r="F4001" s="100" t="str">
        <f t="shared" si="3"/>
        <v/>
      </c>
      <c r="G4001" s="151"/>
      <c r="H4001" s="156"/>
      <c r="I4001" s="157"/>
      <c r="J4001" s="161"/>
      <c r="L4001" s="94"/>
      <c r="M4001" s="159"/>
      <c r="N4001" s="94"/>
    </row>
    <row r="4002">
      <c r="A4002" s="107">
        <v>1627852.0</v>
      </c>
      <c r="B4002" s="108" t="s">
        <v>191</v>
      </c>
      <c r="C4002" s="108" t="s">
        <v>969</v>
      </c>
      <c r="D4002" s="100" t="str">
        <f t="shared" si="1"/>
        <v/>
      </c>
      <c r="E4002" s="100" t="str">
        <f t="shared" si="2"/>
        <v/>
      </c>
      <c r="F4002" s="100" t="str">
        <f t="shared" si="3"/>
        <v/>
      </c>
      <c r="G4002" s="151"/>
      <c r="H4002" s="160"/>
      <c r="I4002" s="157"/>
      <c r="J4002" s="158"/>
      <c r="L4002" s="94"/>
      <c r="M4002" s="159"/>
      <c r="N4002" s="94"/>
    </row>
    <row r="4003">
      <c r="A4003" s="107">
        <v>1627853.0</v>
      </c>
      <c r="B4003" s="108" t="s">
        <v>191</v>
      </c>
      <c r="C4003" s="108" t="s">
        <v>970</v>
      </c>
      <c r="D4003" s="100" t="str">
        <f t="shared" si="1"/>
        <v/>
      </c>
      <c r="E4003" s="100" t="str">
        <f t="shared" si="2"/>
        <v/>
      </c>
      <c r="F4003" s="100" t="str">
        <f t="shared" si="3"/>
        <v/>
      </c>
      <c r="G4003" s="151"/>
      <c r="H4003" s="156"/>
      <c r="I4003" s="157"/>
      <c r="J4003" s="161"/>
      <c r="L4003" s="94"/>
      <c r="M4003" s="159"/>
      <c r="N4003" s="94"/>
    </row>
    <row r="4004">
      <c r="A4004" s="107">
        <v>1627853.0</v>
      </c>
      <c r="B4004" s="108" t="s">
        <v>192</v>
      </c>
      <c r="C4004" s="108" t="s">
        <v>970</v>
      </c>
      <c r="D4004" s="100" t="str">
        <f t="shared" si="1"/>
        <v/>
      </c>
      <c r="E4004" s="100" t="str">
        <f t="shared" si="2"/>
        <v/>
      </c>
      <c r="F4004" s="100" t="str">
        <f t="shared" si="3"/>
        <v/>
      </c>
      <c r="G4004" s="151"/>
      <c r="H4004" s="160"/>
      <c r="I4004" s="157"/>
      <c r="J4004" s="158"/>
      <c r="L4004" s="94"/>
      <c r="M4004" s="159"/>
      <c r="N4004" s="94"/>
    </row>
    <row r="4005">
      <c r="A4005" s="107">
        <v>1627853.0</v>
      </c>
      <c r="B4005" s="108" t="s">
        <v>193</v>
      </c>
      <c r="C4005" s="108" t="s">
        <v>970</v>
      </c>
      <c r="D4005" s="100" t="str">
        <f t="shared" si="1"/>
        <v/>
      </c>
      <c r="E4005" s="100" t="str">
        <f t="shared" si="2"/>
        <v/>
      </c>
      <c r="F4005" s="100" t="str">
        <f t="shared" si="3"/>
        <v/>
      </c>
      <c r="G4005" s="151"/>
      <c r="H4005" s="156"/>
      <c r="I4005" s="157"/>
      <c r="J4005" s="161"/>
      <c r="L4005" s="94"/>
      <c r="M4005" s="159"/>
      <c r="N4005" s="94"/>
    </row>
    <row r="4006">
      <c r="A4006" s="107">
        <v>1627853.0</v>
      </c>
      <c r="B4006" s="108" t="s">
        <v>243</v>
      </c>
      <c r="C4006" s="108" t="s">
        <v>970</v>
      </c>
      <c r="D4006" s="100" t="str">
        <f t="shared" si="1"/>
        <v/>
      </c>
      <c r="E4006" s="100" t="str">
        <f t="shared" si="2"/>
        <v/>
      </c>
      <c r="F4006" s="100" t="str">
        <f t="shared" si="3"/>
        <v/>
      </c>
      <c r="G4006" s="151"/>
      <c r="H4006" s="160"/>
      <c r="I4006" s="157"/>
      <c r="J4006" s="158"/>
      <c r="L4006" s="94"/>
      <c r="M4006" s="159"/>
      <c r="N4006" s="94"/>
    </row>
    <row r="4007">
      <c r="A4007" s="107">
        <v>1627853.0</v>
      </c>
      <c r="B4007" s="108" t="s">
        <v>215</v>
      </c>
      <c r="C4007" s="108" t="s">
        <v>970</v>
      </c>
      <c r="D4007" s="100" t="str">
        <f t="shared" si="1"/>
        <v/>
      </c>
      <c r="E4007" s="100" t="str">
        <f t="shared" si="2"/>
        <v/>
      </c>
      <c r="F4007" s="100" t="str">
        <f t="shared" si="3"/>
        <v/>
      </c>
      <c r="G4007" s="151"/>
      <c r="H4007" s="156"/>
      <c r="I4007" s="157"/>
      <c r="J4007" s="161"/>
      <c r="L4007" s="94"/>
      <c r="M4007" s="159"/>
      <c r="N4007" s="94"/>
    </row>
    <row r="4008">
      <c r="A4008" s="107">
        <v>1627853.0</v>
      </c>
      <c r="B4008" s="108" t="s">
        <v>244</v>
      </c>
      <c r="C4008" s="108" t="s">
        <v>970</v>
      </c>
      <c r="D4008" s="100" t="str">
        <f t="shared" si="1"/>
        <v/>
      </c>
      <c r="E4008" s="100" t="str">
        <f t="shared" si="2"/>
        <v/>
      </c>
      <c r="F4008" s="100" t="str">
        <f t="shared" si="3"/>
        <v/>
      </c>
      <c r="G4008" s="151"/>
      <c r="H4008" s="160"/>
      <c r="I4008" s="157"/>
      <c r="J4008" s="158"/>
      <c r="L4008" s="94"/>
      <c r="M4008" s="159"/>
      <c r="N4008" s="94"/>
    </row>
    <row r="4009">
      <c r="A4009" s="107">
        <v>1627853.0</v>
      </c>
      <c r="B4009" s="108" t="s">
        <v>245</v>
      </c>
      <c r="C4009" s="108" t="s">
        <v>970</v>
      </c>
      <c r="D4009" s="100" t="str">
        <f t="shared" si="1"/>
        <v/>
      </c>
      <c r="E4009" s="100" t="str">
        <f t="shared" si="2"/>
        <v/>
      </c>
      <c r="F4009" s="100" t="str">
        <f t="shared" si="3"/>
        <v/>
      </c>
      <c r="G4009" s="151"/>
      <c r="H4009" s="156"/>
      <c r="I4009" s="157"/>
      <c r="J4009" s="161"/>
      <c r="L4009" s="94"/>
      <c r="M4009" s="159"/>
      <c r="N4009" s="94"/>
    </row>
    <row r="4010">
      <c r="A4010" s="107">
        <v>1627854.0</v>
      </c>
      <c r="B4010" s="108" t="s">
        <v>190</v>
      </c>
      <c r="C4010" s="108" t="s">
        <v>971</v>
      </c>
      <c r="D4010" s="100" t="str">
        <f t="shared" si="1"/>
        <v/>
      </c>
      <c r="E4010" s="100" t="str">
        <f t="shared" si="2"/>
        <v/>
      </c>
      <c r="F4010" s="100" t="str">
        <f t="shared" si="3"/>
        <v/>
      </c>
      <c r="G4010" s="151"/>
      <c r="H4010" s="160"/>
      <c r="I4010" s="157"/>
      <c r="J4010" s="158"/>
      <c r="L4010" s="94"/>
      <c r="M4010" s="159"/>
      <c r="N4010" s="94"/>
    </row>
    <row r="4011">
      <c r="A4011" s="107">
        <v>1627854.0</v>
      </c>
      <c r="B4011" s="108" t="s">
        <v>191</v>
      </c>
      <c r="C4011" s="108" t="s">
        <v>971</v>
      </c>
      <c r="D4011" s="100" t="str">
        <f t="shared" si="1"/>
        <v/>
      </c>
      <c r="E4011" s="100" t="str">
        <f t="shared" si="2"/>
        <v/>
      </c>
      <c r="F4011" s="100" t="str">
        <f t="shared" si="3"/>
        <v/>
      </c>
      <c r="G4011" s="151"/>
      <c r="H4011" s="156"/>
      <c r="I4011" s="157"/>
      <c r="J4011" s="161"/>
      <c r="L4011" s="94"/>
      <c r="M4011" s="159"/>
      <c r="N4011" s="94"/>
    </row>
    <row r="4012">
      <c r="A4012" s="107">
        <v>1627854.0</v>
      </c>
      <c r="B4012" s="108" t="s">
        <v>192</v>
      </c>
      <c r="C4012" s="108" t="s">
        <v>971</v>
      </c>
      <c r="D4012" s="100" t="str">
        <f t="shared" si="1"/>
        <v/>
      </c>
      <c r="E4012" s="100" t="str">
        <f t="shared" si="2"/>
        <v/>
      </c>
      <c r="F4012" s="100" t="str">
        <f t="shared" si="3"/>
        <v/>
      </c>
      <c r="G4012" s="151"/>
      <c r="H4012" s="160"/>
      <c r="I4012" s="157"/>
      <c r="J4012" s="158"/>
      <c r="L4012" s="94"/>
      <c r="M4012" s="159"/>
      <c r="N4012" s="94"/>
    </row>
    <row r="4013">
      <c r="A4013" s="107">
        <v>1627854.0</v>
      </c>
      <c r="B4013" s="108" t="s">
        <v>193</v>
      </c>
      <c r="C4013" s="108" t="s">
        <v>971</v>
      </c>
      <c r="D4013" s="100" t="str">
        <f t="shared" si="1"/>
        <v/>
      </c>
      <c r="E4013" s="100" t="str">
        <f t="shared" si="2"/>
        <v/>
      </c>
      <c r="F4013" s="100" t="str">
        <f t="shared" si="3"/>
        <v/>
      </c>
      <c r="G4013" s="151"/>
      <c r="H4013" s="156"/>
      <c r="I4013" s="157"/>
      <c r="J4013" s="161"/>
      <c r="L4013" s="94"/>
      <c r="M4013" s="159"/>
      <c r="N4013" s="94"/>
    </row>
    <row r="4014">
      <c r="A4014" s="107">
        <v>1627854.0</v>
      </c>
      <c r="B4014" s="108" t="s">
        <v>243</v>
      </c>
      <c r="C4014" s="108" t="s">
        <v>971</v>
      </c>
      <c r="D4014" s="100" t="str">
        <f t="shared" si="1"/>
        <v/>
      </c>
      <c r="E4014" s="100" t="str">
        <f t="shared" si="2"/>
        <v/>
      </c>
      <c r="F4014" s="100" t="str">
        <f t="shared" si="3"/>
        <v/>
      </c>
      <c r="G4014" s="151"/>
      <c r="H4014" s="160"/>
      <c r="I4014" s="157"/>
      <c r="J4014" s="158"/>
      <c r="L4014" s="94"/>
      <c r="M4014" s="159"/>
      <c r="N4014" s="94"/>
    </row>
    <row r="4015">
      <c r="A4015" s="107">
        <v>1627854.0</v>
      </c>
      <c r="B4015" s="108" t="s">
        <v>215</v>
      </c>
      <c r="C4015" s="108" t="s">
        <v>971</v>
      </c>
      <c r="D4015" s="100" t="str">
        <f t="shared" si="1"/>
        <v/>
      </c>
      <c r="E4015" s="100" t="str">
        <f t="shared" si="2"/>
        <v/>
      </c>
      <c r="F4015" s="100" t="str">
        <f t="shared" si="3"/>
        <v/>
      </c>
      <c r="G4015" s="151"/>
      <c r="H4015" s="156"/>
      <c r="I4015" s="157"/>
      <c r="J4015" s="161"/>
      <c r="L4015" s="94"/>
      <c r="M4015" s="159"/>
      <c r="N4015" s="94"/>
    </row>
    <row r="4016">
      <c r="A4016" s="107">
        <v>1627854.0</v>
      </c>
      <c r="B4016" s="108" t="s">
        <v>244</v>
      </c>
      <c r="C4016" s="108" t="s">
        <v>971</v>
      </c>
      <c r="D4016" s="100" t="str">
        <f t="shared" si="1"/>
        <v/>
      </c>
      <c r="E4016" s="100" t="str">
        <f t="shared" si="2"/>
        <v/>
      </c>
      <c r="F4016" s="100" t="str">
        <f t="shared" si="3"/>
        <v/>
      </c>
      <c r="G4016" s="151"/>
      <c r="H4016" s="160"/>
      <c r="I4016" s="157"/>
      <c r="J4016" s="158"/>
      <c r="L4016" s="94"/>
      <c r="M4016" s="159"/>
      <c r="N4016" s="94"/>
    </row>
    <row r="4017">
      <c r="A4017" s="107">
        <v>1627855.0</v>
      </c>
      <c r="B4017" s="108" t="s">
        <v>190</v>
      </c>
      <c r="C4017" s="108" t="s">
        <v>972</v>
      </c>
      <c r="D4017" s="100" t="str">
        <f t="shared" si="1"/>
        <v/>
      </c>
      <c r="E4017" s="100" t="str">
        <f t="shared" si="2"/>
        <v/>
      </c>
      <c r="F4017" s="100" t="str">
        <f t="shared" si="3"/>
        <v/>
      </c>
      <c r="G4017" s="151"/>
      <c r="H4017" s="156"/>
      <c r="I4017" s="157"/>
      <c r="J4017" s="161"/>
      <c r="L4017" s="94"/>
      <c r="M4017" s="159"/>
      <c r="N4017" s="94"/>
    </row>
    <row r="4018">
      <c r="A4018" s="107">
        <v>1627855.0</v>
      </c>
      <c r="B4018" s="108" t="s">
        <v>191</v>
      </c>
      <c r="C4018" s="108" t="s">
        <v>972</v>
      </c>
      <c r="D4018" s="100" t="str">
        <f t="shared" si="1"/>
        <v/>
      </c>
      <c r="E4018" s="100" t="str">
        <f t="shared" si="2"/>
        <v/>
      </c>
      <c r="F4018" s="100" t="str">
        <f t="shared" si="3"/>
        <v/>
      </c>
      <c r="G4018" s="151"/>
      <c r="H4018" s="160"/>
      <c r="I4018" s="157"/>
      <c r="J4018" s="158"/>
      <c r="L4018" s="94"/>
      <c r="M4018" s="159"/>
      <c r="N4018" s="94"/>
    </row>
    <row r="4019">
      <c r="A4019" s="107">
        <v>1627855.0</v>
      </c>
      <c r="B4019" s="108" t="s">
        <v>192</v>
      </c>
      <c r="C4019" s="108" t="s">
        <v>972</v>
      </c>
      <c r="D4019" s="100" t="str">
        <f t="shared" si="1"/>
        <v/>
      </c>
      <c r="E4019" s="100" t="str">
        <f t="shared" si="2"/>
        <v/>
      </c>
      <c r="F4019" s="100" t="str">
        <f t="shared" si="3"/>
        <v/>
      </c>
      <c r="G4019" s="151"/>
      <c r="H4019" s="156"/>
      <c r="I4019" s="157"/>
      <c r="J4019" s="161"/>
      <c r="L4019" s="94"/>
      <c r="M4019" s="159"/>
      <c r="N4019" s="94"/>
    </row>
    <row r="4020">
      <c r="A4020" s="107">
        <v>1627856.0</v>
      </c>
      <c r="B4020" s="108" t="s">
        <v>191</v>
      </c>
      <c r="C4020" s="108" t="s">
        <v>973</v>
      </c>
      <c r="D4020" s="100" t="str">
        <f t="shared" si="1"/>
        <v/>
      </c>
      <c r="E4020" s="100" t="str">
        <f t="shared" si="2"/>
        <v/>
      </c>
      <c r="F4020" s="100" t="str">
        <f t="shared" si="3"/>
        <v/>
      </c>
      <c r="G4020" s="151"/>
      <c r="H4020" s="160"/>
      <c r="I4020" s="157"/>
      <c r="J4020" s="158"/>
      <c r="L4020" s="94"/>
      <c r="M4020" s="159"/>
      <c r="N4020" s="94"/>
    </row>
    <row r="4021">
      <c r="A4021" s="107">
        <v>1627858.0</v>
      </c>
      <c r="B4021" s="108" t="s">
        <v>191</v>
      </c>
      <c r="C4021" s="108" t="s">
        <v>974</v>
      </c>
      <c r="D4021" s="100" t="str">
        <f t="shared" si="1"/>
        <v/>
      </c>
      <c r="E4021" s="100" t="str">
        <f t="shared" si="2"/>
        <v/>
      </c>
      <c r="F4021" s="100" t="str">
        <f t="shared" si="3"/>
        <v/>
      </c>
      <c r="G4021" s="151"/>
      <c r="H4021" s="156"/>
      <c r="I4021" s="157"/>
      <c r="J4021" s="161"/>
      <c r="L4021" s="94"/>
      <c r="M4021" s="159"/>
      <c r="N4021" s="94"/>
    </row>
    <row r="4022">
      <c r="A4022" s="107">
        <v>1627861.0</v>
      </c>
      <c r="B4022" s="108" t="s">
        <v>190</v>
      </c>
      <c r="C4022" s="108" t="s">
        <v>975</v>
      </c>
      <c r="D4022" s="100" t="str">
        <f t="shared" si="1"/>
        <v/>
      </c>
      <c r="E4022" s="100" t="str">
        <f t="shared" si="2"/>
        <v/>
      </c>
      <c r="F4022" s="100" t="str">
        <f t="shared" si="3"/>
        <v/>
      </c>
      <c r="G4022" s="151"/>
      <c r="H4022" s="160"/>
      <c r="I4022" s="157"/>
      <c r="J4022" s="158"/>
      <c r="L4022" s="94"/>
      <c r="M4022" s="159"/>
      <c r="N4022" s="94"/>
    </row>
    <row r="4023">
      <c r="A4023" s="107">
        <v>1627863.0</v>
      </c>
      <c r="B4023" s="108" t="s">
        <v>190</v>
      </c>
      <c r="C4023" s="108" t="s">
        <v>976</v>
      </c>
      <c r="D4023" s="100" t="str">
        <f t="shared" si="1"/>
        <v/>
      </c>
      <c r="E4023" s="100" t="str">
        <f t="shared" si="2"/>
        <v/>
      </c>
      <c r="F4023" s="100" t="str">
        <f t="shared" si="3"/>
        <v/>
      </c>
      <c r="G4023" s="151"/>
      <c r="H4023" s="156"/>
      <c r="I4023" s="157"/>
      <c r="J4023" s="161"/>
      <c r="L4023" s="94"/>
      <c r="M4023" s="159"/>
      <c r="N4023" s="94"/>
    </row>
    <row r="4024">
      <c r="A4024" s="107">
        <v>1627863.0</v>
      </c>
      <c r="B4024" s="108" t="s">
        <v>191</v>
      </c>
      <c r="C4024" s="108" t="s">
        <v>976</v>
      </c>
      <c r="D4024" s="100" t="str">
        <f t="shared" si="1"/>
        <v/>
      </c>
      <c r="E4024" s="100" t="str">
        <f t="shared" si="2"/>
        <v/>
      </c>
      <c r="F4024" s="100" t="str">
        <f t="shared" si="3"/>
        <v/>
      </c>
      <c r="G4024" s="151"/>
      <c r="H4024" s="160"/>
      <c r="I4024" s="157"/>
      <c r="J4024" s="158"/>
      <c r="L4024" s="94"/>
      <c r="M4024" s="159"/>
      <c r="N4024" s="94"/>
    </row>
    <row r="4025">
      <c r="A4025" s="107">
        <v>1627863.0</v>
      </c>
      <c r="B4025" s="108" t="s">
        <v>192</v>
      </c>
      <c r="C4025" s="108" t="s">
        <v>976</v>
      </c>
      <c r="D4025" s="100" t="str">
        <f t="shared" si="1"/>
        <v/>
      </c>
      <c r="E4025" s="100" t="str">
        <f t="shared" si="2"/>
        <v/>
      </c>
      <c r="F4025" s="100" t="str">
        <f t="shared" si="3"/>
        <v/>
      </c>
      <c r="G4025" s="151"/>
      <c r="H4025" s="156"/>
      <c r="I4025" s="157"/>
      <c r="J4025" s="161"/>
      <c r="L4025" s="94"/>
      <c r="M4025" s="159"/>
      <c r="N4025" s="94"/>
    </row>
    <row r="4026">
      <c r="A4026" s="107">
        <v>1627863.0</v>
      </c>
      <c r="B4026" s="108" t="s">
        <v>193</v>
      </c>
      <c r="C4026" s="108" t="s">
        <v>976</v>
      </c>
      <c r="D4026" s="100" t="str">
        <f t="shared" si="1"/>
        <v/>
      </c>
      <c r="E4026" s="100" t="str">
        <f t="shared" si="2"/>
        <v/>
      </c>
      <c r="F4026" s="100" t="str">
        <f t="shared" si="3"/>
        <v/>
      </c>
      <c r="G4026" s="151"/>
      <c r="H4026" s="160"/>
      <c r="I4026" s="157"/>
      <c r="J4026" s="158"/>
      <c r="L4026" s="94"/>
      <c r="M4026" s="159"/>
      <c r="N4026" s="94"/>
    </row>
    <row r="4027">
      <c r="A4027" s="107">
        <v>1627863.0</v>
      </c>
      <c r="B4027" s="108" t="s">
        <v>243</v>
      </c>
      <c r="C4027" s="108" t="s">
        <v>976</v>
      </c>
      <c r="D4027" s="100" t="str">
        <f t="shared" si="1"/>
        <v/>
      </c>
      <c r="E4027" s="100" t="str">
        <f t="shared" si="2"/>
        <v/>
      </c>
      <c r="F4027" s="100" t="str">
        <f t="shared" si="3"/>
        <v/>
      </c>
      <c r="G4027" s="151"/>
      <c r="H4027" s="156"/>
      <c r="I4027" s="157"/>
      <c r="J4027" s="161"/>
      <c r="L4027" s="94"/>
      <c r="M4027" s="159"/>
      <c r="N4027" s="94"/>
    </row>
    <row r="4028">
      <c r="A4028" s="107">
        <v>1627863.0</v>
      </c>
      <c r="B4028" s="108" t="s">
        <v>215</v>
      </c>
      <c r="C4028" s="108" t="s">
        <v>976</v>
      </c>
      <c r="D4028" s="100" t="str">
        <f t="shared" si="1"/>
        <v/>
      </c>
      <c r="E4028" s="100" t="str">
        <f t="shared" si="2"/>
        <v/>
      </c>
      <c r="F4028" s="100" t="str">
        <f t="shared" si="3"/>
        <v/>
      </c>
      <c r="G4028" s="151"/>
      <c r="H4028" s="160"/>
      <c r="I4028" s="157"/>
      <c r="J4028" s="158"/>
      <c r="L4028" s="94"/>
      <c r="M4028" s="159"/>
      <c r="N4028" s="94"/>
    </row>
    <row r="4029">
      <c r="A4029" s="107">
        <v>1627863.0</v>
      </c>
      <c r="B4029" s="108" t="s">
        <v>244</v>
      </c>
      <c r="C4029" s="108" t="s">
        <v>976</v>
      </c>
      <c r="D4029" s="100" t="str">
        <f t="shared" si="1"/>
        <v/>
      </c>
      <c r="E4029" s="100" t="str">
        <f t="shared" si="2"/>
        <v/>
      </c>
      <c r="F4029" s="100" t="str">
        <f t="shared" si="3"/>
        <v/>
      </c>
      <c r="G4029" s="151"/>
      <c r="H4029" s="156"/>
      <c r="I4029" s="157"/>
      <c r="J4029" s="161"/>
      <c r="L4029" s="94"/>
      <c r="M4029" s="159"/>
      <c r="N4029" s="94"/>
    </row>
    <row r="4030">
      <c r="A4030" s="107">
        <v>1627863.0</v>
      </c>
      <c r="B4030" s="108" t="s">
        <v>245</v>
      </c>
      <c r="C4030" s="108" t="s">
        <v>976</v>
      </c>
      <c r="D4030" s="100" t="str">
        <f t="shared" si="1"/>
        <v/>
      </c>
      <c r="E4030" s="100" t="str">
        <f t="shared" si="2"/>
        <v/>
      </c>
      <c r="F4030" s="100" t="str">
        <f t="shared" si="3"/>
        <v/>
      </c>
      <c r="G4030" s="151"/>
      <c r="H4030" s="160"/>
      <c r="I4030" s="157"/>
      <c r="J4030" s="158"/>
      <c r="L4030" s="94"/>
      <c r="M4030" s="159"/>
      <c r="N4030" s="94"/>
    </row>
    <row r="4031">
      <c r="A4031" s="107">
        <v>1627866.0</v>
      </c>
      <c r="B4031" s="108" t="s">
        <v>191</v>
      </c>
      <c r="C4031" s="108" t="s">
        <v>977</v>
      </c>
      <c r="D4031" s="100" t="str">
        <f t="shared" si="1"/>
        <v/>
      </c>
      <c r="E4031" s="100" t="str">
        <f t="shared" si="2"/>
        <v/>
      </c>
      <c r="F4031" s="100" t="str">
        <f t="shared" si="3"/>
        <v/>
      </c>
      <c r="G4031" s="151"/>
      <c r="H4031" s="156"/>
      <c r="I4031" s="157"/>
      <c r="J4031" s="161"/>
      <c r="L4031" s="94"/>
      <c r="M4031" s="159"/>
      <c r="N4031" s="94"/>
    </row>
    <row r="4032">
      <c r="A4032" s="107">
        <v>1627868.0</v>
      </c>
      <c r="B4032" s="108" t="s">
        <v>190</v>
      </c>
      <c r="C4032" s="108" t="s">
        <v>978</v>
      </c>
      <c r="D4032" s="100" t="str">
        <f t="shared" si="1"/>
        <v/>
      </c>
      <c r="E4032" s="100" t="str">
        <f t="shared" si="2"/>
        <v/>
      </c>
      <c r="F4032" s="100" t="str">
        <f t="shared" si="3"/>
        <v/>
      </c>
      <c r="G4032" s="151"/>
      <c r="H4032" s="160"/>
      <c r="I4032" s="157"/>
      <c r="J4032" s="158"/>
      <c r="L4032" s="94"/>
      <c r="M4032" s="159"/>
      <c r="N4032" s="94"/>
    </row>
    <row r="4033">
      <c r="A4033" s="107">
        <v>1627875.0</v>
      </c>
      <c r="B4033" s="108" t="s">
        <v>190</v>
      </c>
      <c r="C4033" s="108" t="s">
        <v>979</v>
      </c>
      <c r="D4033" s="100" t="str">
        <f t="shared" si="1"/>
        <v/>
      </c>
      <c r="E4033" s="100" t="str">
        <f t="shared" si="2"/>
        <v/>
      </c>
      <c r="F4033" s="100" t="str">
        <f t="shared" si="3"/>
        <v/>
      </c>
      <c r="G4033" s="151"/>
      <c r="H4033" s="156"/>
      <c r="I4033" s="157"/>
      <c r="J4033" s="161"/>
      <c r="L4033" s="94"/>
      <c r="M4033" s="159"/>
      <c r="N4033" s="94"/>
    </row>
    <row r="4034">
      <c r="A4034" s="107">
        <v>1627875.0</v>
      </c>
      <c r="B4034" s="108" t="s">
        <v>191</v>
      </c>
      <c r="C4034" s="108" t="s">
        <v>979</v>
      </c>
      <c r="D4034" s="100" t="str">
        <f t="shared" si="1"/>
        <v/>
      </c>
      <c r="E4034" s="100" t="str">
        <f t="shared" si="2"/>
        <v/>
      </c>
      <c r="F4034" s="100" t="str">
        <f t="shared" si="3"/>
        <v/>
      </c>
      <c r="G4034" s="151"/>
      <c r="H4034" s="160"/>
      <c r="I4034" s="157"/>
      <c r="J4034" s="158"/>
      <c r="L4034" s="94"/>
      <c r="M4034" s="159"/>
      <c r="N4034" s="94"/>
    </row>
    <row r="4035">
      <c r="A4035" s="107">
        <v>1627879.0</v>
      </c>
      <c r="B4035" s="108" t="s">
        <v>190</v>
      </c>
      <c r="C4035" s="108" t="s">
        <v>980</v>
      </c>
      <c r="D4035" s="100" t="str">
        <f t="shared" si="1"/>
        <v/>
      </c>
      <c r="E4035" s="100" t="str">
        <f t="shared" si="2"/>
        <v/>
      </c>
      <c r="F4035" s="100" t="str">
        <f t="shared" si="3"/>
        <v/>
      </c>
      <c r="G4035" s="151"/>
      <c r="H4035" s="156"/>
      <c r="I4035" s="157"/>
      <c r="J4035" s="161"/>
      <c r="L4035" s="94"/>
      <c r="M4035" s="159"/>
      <c r="N4035" s="94"/>
    </row>
    <row r="4036">
      <c r="A4036" s="107">
        <v>1627883.0</v>
      </c>
      <c r="B4036" s="108" t="s">
        <v>191</v>
      </c>
      <c r="C4036" s="108" t="s">
        <v>981</v>
      </c>
      <c r="D4036" s="100" t="str">
        <f t="shared" si="1"/>
        <v/>
      </c>
      <c r="E4036" s="100" t="str">
        <f t="shared" si="2"/>
        <v/>
      </c>
      <c r="F4036" s="100" t="str">
        <f t="shared" si="3"/>
        <v/>
      </c>
      <c r="G4036" s="151"/>
      <c r="H4036" s="160"/>
      <c r="I4036" s="157"/>
      <c r="J4036" s="158"/>
      <c r="L4036" s="94"/>
      <c r="M4036" s="159"/>
      <c r="N4036" s="94"/>
    </row>
    <row r="4037">
      <c r="A4037" s="107">
        <v>1627883.0</v>
      </c>
      <c r="B4037" s="108" t="s">
        <v>192</v>
      </c>
      <c r="C4037" s="108" t="s">
        <v>981</v>
      </c>
      <c r="D4037" s="100" t="str">
        <f t="shared" si="1"/>
        <v/>
      </c>
      <c r="E4037" s="100" t="str">
        <f t="shared" si="2"/>
        <v/>
      </c>
      <c r="F4037" s="100" t="str">
        <f t="shared" si="3"/>
        <v/>
      </c>
      <c r="G4037" s="151"/>
      <c r="H4037" s="156"/>
      <c r="I4037" s="157"/>
      <c r="J4037" s="161"/>
      <c r="L4037" s="94"/>
      <c r="M4037" s="159"/>
      <c r="N4037" s="94"/>
    </row>
    <row r="4038">
      <c r="A4038" s="107">
        <v>1627884.0</v>
      </c>
      <c r="B4038" s="108" t="s">
        <v>190</v>
      </c>
      <c r="C4038" s="108" t="s">
        <v>982</v>
      </c>
      <c r="D4038" s="100" t="str">
        <f t="shared" si="1"/>
        <v/>
      </c>
      <c r="E4038" s="100" t="str">
        <f t="shared" si="2"/>
        <v/>
      </c>
      <c r="F4038" s="100" t="str">
        <f t="shared" si="3"/>
        <v/>
      </c>
      <c r="G4038" s="151"/>
      <c r="H4038" s="160"/>
      <c r="I4038" s="157"/>
      <c r="J4038" s="158"/>
      <c r="L4038" s="94"/>
      <c r="M4038" s="159"/>
      <c r="N4038" s="94"/>
    </row>
    <row r="4039">
      <c r="A4039" s="107">
        <v>1627884.0</v>
      </c>
      <c r="B4039" s="108" t="s">
        <v>191</v>
      </c>
      <c r="C4039" s="108" t="s">
        <v>982</v>
      </c>
      <c r="D4039" s="100" t="str">
        <f t="shared" si="1"/>
        <v/>
      </c>
      <c r="E4039" s="100" t="str">
        <f t="shared" si="2"/>
        <v/>
      </c>
      <c r="F4039" s="100" t="str">
        <f t="shared" si="3"/>
        <v/>
      </c>
      <c r="G4039" s="151"/>
      <c r="H4039" s="156"/>
      <c r="I4039" s="157"/>
      <c r="J4039" s="161"/>
      <c r="L4039" s="94"/>
      <c r="M4039" s="159"/>
      <c r="N4039" s="94"/>
    </row>
    <row r="4040">
      <c r="A4040" s="107">
        <v>1627884.0</v>
      </c>
      <c r="B4040" s="108" t="s">
        <v>192</v>
      </c>
      <c r="C4040" s="108" t="s">
        <v>982</v>
      </c>
      <c r="D4040" s="100" t="str">
        <f t="shared" si="1"/>
        <v/>
      </c>
      <c r="E4040" s="100" t="str">
        <f t="shared" si="2"/>
        <v/>
      </c>
      <c r="F4040" s="100" t="str">
        <f t="shared" si="3"/>
        <v/>
      </c>
      <c r="G4040" s="151"/>
      <c r="H4040" s="160"/>
      <c r="I4040" s="157"/>
      <c r="J4040" s="158"/>
      <c r="L4040" s="94"/>
      <c r="M4040" s="159"/>
      <c r="N4040" s="94"/>
    </row>
    <row r="4041">
      <c r="A4041" s="107">
        <v>1627884.0</v>
      </c>
      <c r="B4041" s="108" t="s">
        <v>193</v>
      </c>
      <c r="C4041" s="108" t="s">
        <v>982</v>
      </c>
      <c r="D4041" s="100" t="str">
        <f t="shared" si="1"/>
        <v/>
      </c>
      <c r="E4041" s="100" t="str">
        <f t="shared" si="2"/>
        <v/>
      </c>
      <c r="F4041" s="100" t="str">
        <f t="shared" si="3"/>
        <v/>
      </c>
      <c r="G4041" s="151"/>
      <c r="H4041" s="156"/>
      <c r="I4041" s="157"/>
      <c r="J4041" s="161"/>
      <c r="L4041" s="94"/>
      <c r="M4041" s="159"/>
      <c r="N4041" s="94"/>
    </row>
    <row r="4042">
      <c r="A4042" s="107">
        <v>1627884.0</v>
      </c>
      <c r="B4042" s="108" t="s">
        <v>243</v>
      </c>
      <c r="C4042" s="108" t="s">
        <v>982</v>
      </c>
      <c r="D4042" s="100" t="str">
        <f t="shared" si="1"/>
        <v/>
      </c>
      <c r="E4042" s="100" t="str">
        <f t="shared" si="2"/>
        <v/>
      </c>
      <c r="F4042" s="100" t="str">
        <f t="shared" si="3"/>
        <v/>
      </c>
      <c r="G4042" s="151"/>
      <c r="H4042" s="160"/>
      <c r="I4042" s="157"/>
      <c r="J4042" s="158"/>
      <c r="L4042" s="94"/>
      <c r="M4042" s="159"/>
      <c r="N4042" s="94"/>
    </row>
    <row r="4043">
      <c r="A4043" s="107">
        <v>1627884.0</v>
      </c>
      <c r="B4043" s="108" t="s">
        <v>215</v>
      </c>
      <c r="C4043" s="108" t="s">
        <v>982</v>
      </c>
      <c r="D4043" s="100" t="str">
        <f t="shared" si="1"/>
        <v/>
      </c>
      <c r="E4043" s="100" t="str">
        <f t="shared" si="2"/>
        <v/>
      </c>
      <c r="F4043" s="100" t="str">
        <f t="shared" si="3"/>
        <v/>
      </c>
      <c r="G4043" s="151"/>
      <c r="H4043" s="156"/>
      <c r="I4043" s="157"/>
      <c r="J4043" s="161"/>
      <c r="L4043" s="94"/>
      <c r="M4043" s="159"/>
      <c r="N4043" s="94"/>
    </row>
    <row r="4044">
      <c r="A4044" s="107">
        <v>1627884.0</v>
      </c>
      <c r="B4044" s="108" t="s">
        <v>244</v>
      </c>
      <c r="C4044" s="108" t="s">
        <v>982</v>
      </c>
      <c r="D4044" s="100" t="str">
        <f t="shared" si="1"/>
        <v/>
      </c>
      <c r="E4044" s="100" t="str">
        <f t="shared" si="2"/>
        <v/>
      </c>
      <c r="F4044" s="100" t="str">
        <f t="shared" si="3"/>
        <v/>
      </c>
      <c r="G4044" s="151"/>
      <c r="H4044" s="160"/>
      <c r="I4044" s="157"/>
      <c r="J4044" s="158"/>
      <c r="L4044" s="94"/>
      <c r="M4044" s="159"/>
      <c r="N4044" s="94"/>
    </row>
    <row r="4045">
      <c r="A4045" s="107">
        <v>1627884.0</v>
      </c>
      <c r="B4045" s="108" t="s">
        <v>245</v>
      </c>
      <c r="C4045" s="108" t="s">
        <v>982</v>
      </c>
      <c r="D4045" s="100" t="str">
        <f t="shared" si="1"/>
        <v/>
      </c>
      <c r="E4045" s="100" t="str">
        <f t="shared" si="2"/>
        <v/>
      </c>
      <c r="F4045" s="100" t="str">
        <f t="shared" si="3"/>
        <v/>
      </c>
      <c r="G4045" s="151"/>
      <c r="H4045" s="156"/>
      <c r="I4045" s="157"/>
      <c r="J4045" s="161"/>
      <c r="L4045" s="94"/>
      <c r="M4045" s="159"/>
      <c r="N4045" s="94"/>
    </row>
    <row r="4046">
      <c r="A4046" s="107">
        <v>1627884.0</v>
      </c>
      <c r="B4046" s="108" t="s">
        <v>246</v>
      </c>
      <c r="C4046" s="108" t="s">
        <v>982</v>
      </c>
      <c r="D4046" s="100" t="str">
        <f t="shared" si="1"/>
        <v/>
      </c>
      <c r="E4046" s="100" t="str">
        <f t="shared" si="2"/>
        <v/>
      </c>
      <c r="F4046" s="100" t="str">
        <f t="shared" si="3"/>
        <v/>
      </c>
      <c r="G4046" s="151"/>
      <c r="H4046" s="160"/>
      <c r="I4046" s="157"/>
      <c r="J4046" s="158"/>
      <c r="L4046" s="94"/>
      <c r="M4046" s="159"/>
      <c r="N4046" s="94"/>
    </row>
    <row r="4047">
      <c r="A4047" s="149">
        <v>1627884.0</v>
      </c>
      <c r="B4047" s="115" t="s">
        <v>247</v>
      </c>
      <c r="C4047" s="108" t="s">
        <v>982</v>
      </c>
      <c r="D4047" s="100" t="str">
        <f t="shared" si="1"/>
        <v/>
      </c>
      <c r="E4047" s="100" t="str">
        <f t="shared" si="2"/>
        <v/>
      </c>
      <c r="F4047" s="100" t="str">
        <f t="shared" si="3"/>
        <v/>
      </c>
      <c r="G4047" s="151"/>
      <c r="H4047" s="156"/>
      <c r="I4047" s="157"/>
      <c r="J4047" s="161"/>
      <c r="L4047" s="94"/>
      <c r="M4047" s="159"/>
      <c r="N4047" s="94"/>
    </row>
    <row r="4048">
      <c r="A4048" s="21">
        <v>1627885.0</v>
      </c>
      <c r="B4048" s="164" t="s">
        <v>191</v>
      </c>
      <c r="C4048" s="164" t="s">
        <v>983</v>
      </c>
      <c r="D4048" s="100" t="str">
        <f t="shared" si="1"/>
        <v/>
      </c>
      <c r="E4048" s="100" t="str">
        <f t="shared" si="2"/>
        <v/>
      </c>
      <c r="F4048" s="100" t="str">
        <f t="shared" si="3"/>
        <v/>
      </c>
      <c r="G4048" s="151"/>
      <c r="H4048" s="160"/>
      <c r="I4048" s="157"/>
      <c r="J4048" s="158"/>
      <c r="L4048" s="94"/>
      <c r="M4048" s="159"/>
      <c r="N4048" s="94"/>
    </row>
    <row r="4049">
      <c r="A4049" s="107">
        <v>1627885.0</v>
      </c>
      <c r="B4049" s="108" t="s">
        <v>192</v>
      </c>
      <c r="C4049" s="108" t="s">
        <v>983</v>
      </c>
      <c r="D4049" s="100" t="str">
        <f t="shared" si="1"/>
        <v/>
      </c>
      <c r="E4049" s="100" t="str">
        <f t="shared" si="2"/>
        <v/>
      </c>
      <c r="F4049" s="100" t="str">
        <f t="shared" si="3"/>
        <v/>
      </c>
      <c r="G4049" s="151"/>
      <c r="H4049" s="156"/>
      <c r="I4049" s="157"/>
      <c r="J4049" s="161"/>
      <c r="L4049" s="94"/>
      <c r="M4049" s="159"/>
      <c r="N4049" s="94"/>
    </row>
    <row r="4050">
      <c r="A4050" s="107">
        <v>1627885.0</v>
      </c>
      <c r="B4050" s="108" t="s">
        <v>193</v>
      </c>
      <c r="C4050" s="108" t="s">
        <v>983</v>
      </c>
      <c r="D4050" s="100" t="str">
        <f t="shared" si="1"/>
        <v/>
      </c>
      <c r="E4050" s="100" t="str">
        <f t="shared" si="2"/>
        <v/>
      </c>
      <c r="F4050" s="100" t="str">
        <f t="shared" si="3"/>
        <v/>
      </c>
      <c r="G4050" s="151"/>
      <c r="H4050" s="160"/>
      <c r="I4050" s="157"/>
      <c r="J4050" s="158"/>
      <c r="L4050" s="94"/>
      <c r="M4050" s="159"/>
      <c r="N4050" s="94"/>
    </row>
    <row r="4051">
      <c r="A4051" s="107">
        <v>1627885.0</v>
      </c>
      <c r="B4051" s="108" t="s">
        <v>243</v>
      </c>
      <c r="C4051" s="108" t="s">
        <v>983</v>
      </c>
      <c r="D4051" s="100" t="str">
        <f t="shared" si="1"/>
        <v/>
      </c>
      <c r="E4051" s="100" t="str">
        <f t="shared" si="2"/>
        <v/>
      </c>
      <c r="F4051" s="100" t="str">
        <f t="shared" si="3"/>
        <v/>
      </c>
      <c r="G4051" s="151"/>
      <c r="H4051" s="156"/>
      <c r="I4051" s="157"/>
      <c r="J4051" s="161"/>
      <c r="L4051" s="94"/>
      <c r="M4051" s="159"/>
      <c r="N4051" s="94"/>
    </row>
    <row r="4052">
      <c r="A4052" s="107">
        <v>1627885.0</v>
      </c>
      <c r="B4052" s="108" t="s">
        <v>215</v>
      </c>
      <c r="C4052" s="108" t="s">
        <v>983</v>
      </c>
      <c r="D4052" s="100" t="str">
        <f t="shared" si="1"/>
        <v/>
      </c>
      <c r="E4052" s="100" t="str">
        <f t="shared" si="2"/>
        <v/>
      </c>
      <c r="F4052" s="100" t="str">
        <f t="shared" si="3"/>
        <v/>
      </c>
      <c r="G4052" s="151"/>
      <c r="H4052" s="160"/>
      <c r="I4052" s="157"/>
      <c r="J4052" s="158"/>
      <c r="L4052" s="94"/>
      <c r="M4052" s="159"/>
      <c r="N4052" s="94"/>
    </row>
    <row r="4053">
      <c r="A4053" s="107">
        <v>1627885.0</v>
      </c>
      <c r="B4053" s="108" t="s">
        <v>244</v>
      </c>
      <c r="C4053" s="108" t="s">
        <v>983</v>
      </c>
      <c r="D4053" s="100" t="str">
        <f t="shared" si="1"/>
        <v/>
      </c>
      <c r="E4053" s="100" t="str">
        <f t="shared" si="2"/>
        <v/>
      </c>
      <c r="F4053" s="100" t="str">
        <f t="shared" si="3"/>
        <v/>
      </c>
      <c r="G4053" s="151"/>
      <c r="H4053" s="156"/>
      <c r="I4053" s="157"/>
      <c r="J4053" s="161"/>
      <c r="L4053" s="94"/>
      <c r="M4053" s="159"/>
      <c r="N4053" s="94"/>
    </row>
    <row r="4054">
      <c r="A4054" s="107">
        <v>1627885.0</v>
      </c>
      <c r="B4054" s="108" t="s">
        <v>245</v>
      </c>
      <c r="C4054" s="108" t="s">
        <v>983</v>
      </c>
      <c r="D4054" s="100" t="str">
        <f t="shared" si="1"/>
        <v/>
      </c>
      <c r="E4054" s="100" t="str">
        <f t="shared" si="2"/>
        <v/>
      </c>
      <c r="F4054" s="100" t="str">
        <f t="shared" si="3"/>
        <v/>
      </c>
      <c r="G4054" s="151"/>
      <c r="H4054" s="160"/>
      <c r="I4054" s="157"/>
      <c r="J4054" s="158"/>
      <c r="L4054" s="94"/>
      <c r="M4054" s="159"/>
      <c r="N4054" s="94"/>
    </row>
    <row r="4055">
      <c r="A4055" s="107">
        <v>1627936.0</v>
      </c>
      <c r="B4055" s="108" t="s">
        <v>191</v>
      </c>
      <c r="C4055" s="108" t="s">
        <v>984</v>
      </c>
      <c r="D4055" s="100" t="str">
        <f t="shared" si="1"/>
        <v/>
      </c>
      <c r="E4055" s="100" t="str">
        <f t="shared" si="2"/>
        <v/>
      </c>
      <c r="F4055" s="100" t="str">
        <f t="shared" si="3"/>
        <v/>
      </c>
      <c r="G4055" s="151"/>
      <c r="H4055" s="156"/>
      <c r="I4055" s="157"/>
      <c r="J4055" s="161"/>
      <c r="L4055" s="94"/>
      <c r="M4055" s="159"/>
      <c r="N4055" s="94"/>
    </row>
    <row r="4056">
      <c r="A4056" s="107">
        <v>1627936.0</v>
      </c>
      <c r="B4056" s="108" t="s">
        <v>192</v>
      </c>
      <c r="C4056" s="108" t="s">
        <v>984</v>
      </c>
      <c r="D4056" s="100" t="str">
        <f t="shared" si="1"/>
        <v/>
      </c>
      <c r="E4056" s="100" t="str">
        <f t="shared" si="2"/>
        <v/>
      </c>
      <c r="F4056" s="100" t="str">
        <f t="shared" si="3"/>
        <v/>
      </c>
      <c r="G4056" s="151"/>
      <c r="H4056" s="160"/>
      <c r="I4056" s="157"/>
      <c r="J4056" s="158"/>
      <c r="L4056" s="94"/>
      <c r="M4056" s="159"/>
      <c r="N4056" s="94"/>
    </row>
    <row r="4057">
      <c r="A4057" s="107">
        <v>1627936.0</v>
      </c>
      <c r="B4057" s="108" t="s">
        <v>193</v>
      </c>
      <c r="C4057" s="108" t="s">
        <v>984</v>
      </c>
      <c r="D4057" s="100" t="str">
        <f t="shared" si="1"/>
        <v/>
      </c>
      <c r="E4057" s="100" t="str">
        <f t="shared" si="2"/>
        <v/>
      </c>
      <c r="F4057" s="100" t="str">
        <f t="shared" si="3"/>
        <v/>
      </c>
      <c r="G4057" s="151"/>
      <c r="H4057" s="156"/>
      <c r="I4057" s="157"/>
      <c r="J4057" s="161"/>
      <c r="L4057" s="94"/>
      <c r="M4057" s="159"/>
      <c r="N4057" s="94"/>
    </row>
    <row r="4058">
      <c r="A4058" s="107">
        <v>1627936.0</v>
      </c>
      <c r="B4058" s="108" t="s">
        <v>243</v>
      </c>
      <c r="C4058" s="108" t="s">
        <v>984</v>
      </c>
      <c r="D4058" s="100" t="str">
        <f t="shared" si="1"/>
        <v/>
      </c>
      <c r="E4058" s="100" t="str">
        <f t="shared" si="2"/>
        <v/>
      </c>
      <c r="F4058" s="100" t="str">
        <f t="shared" si="3"/>
        <v/>
      </c>
      <c r="G4058" s="151"/>
      <c r="H4058" s="160"/>
      <c r="I4058" s="157"/>
      <c r="J4058" s="158"/>
      <c r="L4058" s="94"/>
      <c r="M4058" s="159"/>
      <c r="N4058" s="94"/>
    </row>
    <row r="4059">
      <c r="A4059" s="107">
        <v>1627936.0</v>
      </c>
      <c r="B4059" s="108" t="s">
        <v>215</v>
      </c>
      <c r="C4059" s="108" t="s">
        <v>984</v>
      </c>
      <c r="D4059" s="100" t="str">
        <f t="shared" si="1"/>
        <v/>
      </c>
      <c r="E4059" s="100" t="str">
        <f t="shared" si="2"/>
        <v/>
      </c>
      <c r="F4059" s="100" t="str">
        <f t="shared" si="3"/>
        <v/>
      </c>
      <c r="G4059" s="151"/>
      <c r="H4059" s="156"/>
      <c r="I4059" s="157"/>
      <c r="J4059" s="161"/>
      <c r="L4059" s="94"/>
      <c r="M4059" s="159"/>
      <c r="N4059" s="94"/>
    </row>
    <row r="4060">
      <c r="A4060" s="107">
        <v>1627936.0</v>
      </c>
      <c r="B4060" s="108" t="s">
        <v>244</v>
      </c>
      <c r="C4060" s="108" t="s">
        <v>984</v>
      </c>
      <c r="D4060" s="100" t="str">
        <f t="shared" si="1"/>
        <v/>
      </c>
      <c r="E4060" s="100" t="str">
        <f t="shared" si="2"/>
        <v/>
      </c>
      <c r="F4060" s="100" t="str">
        <f t="shared" si="3"/>
        <v/>
      </c>
      <c r="G4060" s="151"/>
      <c r="H4060" s="160"/>
      <c r="I4060" s="157"/>
      <c r="J4060" s="158"/>
      <c r="L4060" s="94"/>
      <c r="M4060" s="159"/>
      <c r="N4060" s="94"/>
    </row>
    <row r="4061">
      <c r="A4061" s="107">
        <v>1627936.0</v>
      </c>
      <c r="B4061" s="108" t="s">
        <v>245</v>
      </c>
      <c r="C4061" s="108" t="s">
        <v>984</v>
      </c>
      <c r="D4061" s="100" t="str">
        <f t="shared" si="1"/>
        <v/>
      </c>
      <c r="E4061" s="100" t="str">
        <f t="shared" si="2"/>
        <v/>
      </c>
      <c r="F4061" s="100" t="str">
        <f t="shared" si="3"/>
        <v/>
      </c>
      <c r="G4061" s="151"/>
      <c r="H4061" s="156"/>
      <c r="I4061" s="157"/>
      <c r="J4061" s="161"/>
      <c r="L4061" s="94"/>
      <c r="M4061" s="159"/>
      <c r="N4061" s="94"/>
    </row>
    <row r="4062">
      <c r="A4062" s="107">
        <v>1627936.0</v>
      </c>
      <c r="B4062" s="108" t="s">
        <v>246</v>
      </c>
      <c r="C4062" s="108" t="s">
        <v>984</v>
      </c>
      <c r="D4062" s="100" t="str">
        <f t="shared" si="1"/>
        <v/>
      </c>
      <c r="E4062" s="100" t="str">
        <f t="shared" si="2"/>
        <v/>
      </c>
      <c r="F4062" s="100" t="str">
        <f t="shared" si="3"/>
        <v/>
      </c>
      <c r="G4062" s="151"/>
      <c r="H4062" s="160"/>
      <c r="I4062" s="157"/>
      <c r="J4062" s="158"/>
      <c r="L4062" s="94"/>
      <c r="M4062" s="159"/>
      <c r="N4062" s="94"/>
    </row>
    <row r="4063">
      <c r="A4063" s="149">
        <v>1627936.0</v>
      </c>
      <c r="B4063" s="115" t="s">
        <v>247</v>
      </c>
      <c r="C4063" s="115" t="s">
        <v>984</v>
      </c>
      <c r="D4063" s="100" t="str">
        <f t="shared" si="1"/>
        <v/>
      </c>
      <c r="E4063" s="100" t="str">
        <f t="shared" si="2"/>
        <v/>
      </c>
      <c r="F4063" s="100" t="str">
        <f t="shared" si="3"/>
        <v/>
      </c>
      <c r="G4063" s="151"/>
      <c r="H4063" s="156"/>
      <c r="I4063" s="157"/>
      <c r="J4063" s="161"/>
      <c r="L4063" s="94"/>
      <c r="M4063" s="159"/>
      <c r="N4063" s="94"/>
    </row>
    <row r="4064">
      <c r="A4064" s="21">
        <v>1627982.0</v>
      </c>
      <c r="B4064" s="164" t="s">
        <v>191</v>
      </c>
      <c r="C4064" s="164" t="s">
        <v>985</v>
      </c>
      <c r="D4064" s="100" t="str">
        <f t="shared" si="1"/>
        <v/>
      </c>
      <c r="E4064" s="100" t="str">
        <f t="shared" si="2"/>
        <v/>
      </c>
      <c r="F4064" s="100" t="str">
        <f t="shared" si="3"/>
        <v/>
      </c>
      <c r="G4064" s="151"/>
      <c r="H4064" s="160"/>
      <c r="I4064" s="157"/>
      <c r="J4064" s="158"/>
      <c r="L4064" s="94"/>
      <c r="M4064" s="159"/>
      <c r="N4064" s="94"/>
    </row>
    <row r="4065">
      <c r="A4065" s="107">
        <v>1627982.0</v>
      </c>
      <c r="B4065" s="108" t="s">
        <v>193</v>
      </c>
      <c r="C4065" s="108" t="s">
        <v>985</v>
      </c>
      <c r="D4065" s="100" t="str">
        <f t="shared" si="1"/>
        <v/>
      </c>
      <c r="E4065" s="100" t="str">
        <f t="shared" si="2"/>
        <v/>
      </c>
      <c r="F4065" s="100" t="str">
        <f t="shared" si="3"/>
        <v/>
      </c>
      <c r="G4065" s="151"/>
      <c r="H4065" s="156"/>
      <c r="I4065" s="157"/>
      <c r="J4065" s="161"/>
      <c r="L4065" s="94"/>
      <c r="M4065" s="159"/>
      <c r="N4065" s="94"/>
    </row>
    <row r="4066">
      <c r="A4066" s="107">
        <v>1627988.0</v>
      </c>
      <c r="B4066" s="108" t="s">
        <v>191</v>
      </c>
      <c r="C4066" s="108" t="s">
        <v>986</v>
      </c>
      <c r="D4066" s="100" t="str">
        <f t="shared" si="1"/>
        <v/>
      </c>
      <c r="E4066" s="100" t="str">
        <f t="shared" si="2"/>
        <v/>
      </c>
      <c r="F4066" s="100" t="str">
        <f t="shared" si="3"/>
        <v/>
      </c>
      <c r="G4066" s="151"/>
      <c r="H4066" s="160"/>
      <c r="I4066" s="157"/>
      <c r="J4066" s="158"/>
      <c r="L4066" s="94"/>
      <c r="M4066" s="159"/>
      <c r="N4066" s="94"/>
    </row>
    <row r="4067">
      <c r="A4067" s="107">
        <v>1628021.0</v>
      </c>
      <c r="B4067" s="108" t="s">
        <v>190</v>
      </c>
      <c r="C4067" s="108" t="s">
        <v>987</v>
      </c>
      <c r="D4067" s="100" t="str">
        <f t="shared" si="1"/>
        <v/>
      </c>
      <c r="E4067" s="100" t="str">
        <f t="shared" si="2"/>
        <v/>
      </c>
      <c r="F4067" s="100" t="str">
        <f t="shared" si="3"/>
        <v/>
      </c>
      <c r="G4067" s="151"/>
      <c r="H4067" s="156"/>
      <c r="I4067" s="157"/>
      <c r="J4067" s="161"/>
      <c r="L4067" s="94"/>
      <c r="M4067" s="159"/>
      <c r="N4067" s="94"/>
    </row>
    <row r="4068">
      <c r="A4068" s="107">
        <v>1628021.0</v>
      </c>
      <c r="B4068" s="108" t="s">
        <v>191</v>
      </c>
      <c r="C4068" s="108" t="s">
        <v>987</v>
      </c>
      <c r="D4068" s="100" t="str">
        <f t="shared" si="1"/>
        <v/>
      </c>
      <c r="E4068" s="100" t="str">
        <f t="shared" si="2"/>
        <v/>
      </c>
      <c r="F4068" s="100" t="str">
        <f t="shared" si="3"/>
        <v/>
      </c>
      <c r="G4068" s="151"/>
      <c r="H4068" s="160"/>
      <c r="I4068" s="157"/>
      <c r="J4068" s="158"/>
      <c r="L4068" s="94"/>
      <c r="M4068" s="159"/>
      <c r="N4068" s="94"/>
    </row>
    <row r="4069">
      <c r="A4069" s="107">
        <v>1628021.0</v>
      </c>
      <c r="B4069" s="108" t="s">
        <v>192</v>
      </c>
      <c r="C4069" s="108" t="s">
        <v>987</v>
      </c>
      <c r="D4069" s="100" t="str">
        <f t="shared" si="1"/>
        <v/>
      </c>
      <c r="E4069" s="100" t="str">
        <f t="shared" si="2"/>
        <v/>
      </c>
      <c r="F4069" s="100" t="str">
        <f t="shared" si="3"/>
        <v/>
      </c>
      <c r="G4069" s="151"/>
      <c r="H4069" s="156"/>
      <c r="I4069" s="157"/>
      <c r="J4069" s="161"/>
      <c r="L4069" s="94"/>
      <c r="M4069" s="159"/>
      <c r="N4069" s="94"/>
    </row>
    <row r="4070">
      <c r="A4070" s="107">
        <v>1628021.0</v>
      </c>
      <c r="B4070" s="108" t="s">
        <v>193</v>
      </c>
      <c r="C4070" s="108" t="s">
        <v>987</v>
      </c>
      <c r="D4070" s="100" t="str">
        <f t="shared" si="1"/>
        <v/>
      </c>
      <c r="E4070" s="100" t="str">
        <f t="shared" si="2"/>
        <v/>
      </c>
      <c r="F4070" s="100" t="str">
        <f t="shared" si="3"/>
        <v/>
      </c>
      <c r="G4070" s="151"/>
      <c r="H4070" s="160"/>
      <c r="I4070" s="157"/>
      <c r="J4070" s="158"/>
      <c r="L4070" s="94"/>
      <c r="M4070" s="159"/>
      <c r="N4070" s="94"/>
    </row>
    <row r="4071">
      <c r="A4071" s="107">
        <v>1628021.0</v>
      </c>
      <c r="B4071" s="108" t="s">
        <v>243</v>
      </c>
      <c r="C4071" s="108" t="s">
        <v>987</v>
      </c>
      <c r="D4071" s="100" t="str">
        <f t="shared" si="1"/>
        <v/>
      </c>
      <c r="E4071" s="100" t="str">
        <f t="shared" si="2"/>
        <v/>
      </c>
      <c r="F4071" s="100" t="str">
        <f t="shared" si="3"/>
        <v/>
      </c>
      <c r="G4071" s="151"/>
      <c r="H4071" s="156"/>
      <c r="I4071" s="157"/>
      <c r="J4071" s="161"/>
      <c r="L4071" s="94"/>
      <c r="M4071" s="159"/>
      <c r="N4071" s="94"/>
    </row>
    <row r="4072">
      <c r="A4072" s="107">
        <v>1628021.0</v>
      </c>
      <c r="B4072" s="108" t="s">
        <v>215</v>
      </c>
      <c r="C4072" s="108" t="s">
        <v>987</v>
      </c>
      <c r="D4072" s="100" t="str">
        <f t="shared" si="1"/>
        <v/>
      </c>
      <c r="E4072" s="100" t="str">
        <f t="shared" si="2"/>
        <v/>
      </c>
      <c r="F4072" s="100" t="str">
        <f t="shared" si="3"/>
        <v/>
      </c>
      <c r="G4072" s="151"/>
      <c r="H4072" s="160"/>
      <c r="I4072" s="157"/>
      <c r="J4072" s="158"/>
      <c r="L4072" s="94"/>
      <c r="M4072" s="159"/>
      <c r="N4072" s="94"/>
    </row>
    <row r="4073">
      <c r="A4073" s="107">
        <v>1628035.0</v>
      </c>
      <c r="B4073" s="108" t="s">
        <v>191</v>
      </c>
      <c r="C4073" s="108" t="s">
        <v>988</v>
      </c>
      <c r="D4073" s="100" t="str">
        <f t="shared" si="1"/>
        <v/>
      </c>
      <c r="E4073" s="100" t="str">
        <f t="shared" si="2"/>
        <v/>
      </c>
      <c r="F4073" s="100" t="str">
        <f t="shared" si="3"/>
        <v/>
      </c>
      <c r="G4073" s="151"/>
      <c r="H4073" s="156"/>
      <c r="I4073" s="157"/>
      <c r="J4073" s="161"/>
      <c r="L4073" s="94"/>
      <c r="M4073" s="159"/>
      <c r="N4073" s="94"/>
    </row>
    <row r="4074">
      <c r="A4074" s="107">
        <v>1628035.0</v>
      </c>
      <c r="B4074" s="108" t="s">
        <v>192</v>
      </c>
      <c r="C4074" s="108" t="s">
        <v>988</v>
      </c>
      <c r="D4074" s="100" t="str">
        <f t="shared" si="1"/>
        <v/>
      </c>
      <c r="E4074" s="100" t="str">
        <f t="shared" si="2"/>
        <v/>
      </c>
      <c r="F4074" s="100" t="str">
        <f t="shared" si="3"/>
        <v/>
      </c>
      <c r="G4074" s="151"/>
      <c r="H4074" s="160"/>
      <c r="I4074" s="157"/>
      <c r="J4074" s="158"/>
      <c r="L4074" s="94"/>
      <c r="M4074" s="159"/>
      <c r="N4074" s="94"/>
    </row>
    <row r="4075">
      <c r="A4075" s="107">
        <v>1628035.0</v>
      </c>
      <c r="B4075" s="108" t="s">
        <v>193</v>
      </c>
      <c r="C4075" s="108" t="s">
        <v>988</v>
      </c>
      <c r="D4075" s="100" t="str">
        <f t="shared" si="1"/>
        <v/>
      </c>
      <c r="E4075" s="100" t="str">
        <f t="shared" si="2"/>
        <v/>
      </c>
      <c r="F4075" s="100" t="str">
        <f t="shared" si="3"/>
        <v/>
      </c>
      <c r="G4075" s="151"/>
      <c r="H4075" s="156"/>
      <c r="I4075" s="157"/>
      <c r="J4075" s="161"/>
      <c r="L4075" s="94"/>
      <c r="M4075" s="159"/>
      <c r="N4075" s="94"/>
    </row>
    <row r="4076">
      <c r="A4076" s="107">
        <v>1628035.0</v>
      </c>
      <c r="B4076" s="108" t="s">
        <v>243</v>
      </c>
      <c r="C4076" s="108" t="s">
        <v>988</v>
      </c>
      <c r="D4076" s="100" t="str">
        <f t="shared" si="1"/>
        <v/>
      </c>
      <c r="E4076" s="100" t="str">
        <f t="shared" si="2"/>
        <v/>
      </c>
      <c r="F4076" s="100" t="str">
        <f t="shared" si="3"/>
        <v/>
      </c>
      <c r="G4076" s="151"/>
      <c r="H4076" s="160"/>
      <c r="I4076" s="157"/>
      <c r="J4076" s="158"/>
      <c r="L4076" s="94"/>
      <c r="M4076" s="159"/>
      <c r="N4076" s="94"/>
    </row>
    <row r="4077">
      <c r="A4077" s="107">
        <v>1628035.0</v>
      </c>
      <c r="B4077" s="108" t="s">
        <v>215</v>
      </c>
      <c r="C4077" s="108" t="s">
        <v>988</v>
      </c>
      <c r="D4077" s="100" t="str">
        <f t="shared" si="1"/>
        <v/>
      </c>
      <c r="E4077" s="100" t="str">
        <f t="shared" si="2"/>
        <v/>
      </c>
      <c r="F4077" s="100" t="str">
        <f t="shared" si="3"/>
        <v/>
      </c>
      <c r="G4077" s="151"/>
      <c r="H4077" s="156"/>
      <c r="I4077" s="157"/>
      <c r="J4077" s="161"/>
      <c r="L4077" s="94"/>
      <c r="M4077" s="159"/>
      <c r="N4077" s="94"/>
    </row>
    <row r="4078">
      <c r="A4078" s="107">
        <v>1628070.0</v>
      </c>
      <c r="B4078" s="108" t="s">
        <v>192</v>
      </c>
      <c r="C4078" s="108" t="s">
        <v>989</v>
      </c>
      <c r="D4078" s="100" t="str">
        <f t="shared" si="1"/>
        <v/>
      </c>
      <c r="E4078" s="100" t="str">
        <f t="shared" si="2"/>
        <v/>
      </c>
      <c r="F4078" s="100" t="str">
        <f t="shared" si="3"/>
        <v/>
      </c>
      <c r="G4078" s="151"/>
      <c r="H4078" s="160"/>
      <c r="I4078" s="157"/>
      <c r="J4078" s="158"/>
      <c r="L4078" s="94"/>
      <c r="M4078" s="159"/>
      <c r="N4078" s="94"/>
    </row>
    <row r="4079">
      <c r="A4079" s="107">
        <v>1628221.0</v>
      </c>
      <c r="B4079" s="108" t="s">
        <v>215</v>
      </c>
      <c r="C4079" s="108" t="s">
        <v>990</v>
      </c>
      <c r="D4079" s="100" t="str">
        <f t="shared" si="1"/>
        <v/>
      </c>
      <c r="E4079" s="100" t="str">
        <f t="shared" si="2"/>
        <v/>
      </c>
      <c r="F4079" s="100" t="str">
        <f t="shared" si="3"/>
        <v/>
      </c>
      <c r="G4079" s="151"/>
      <c r="H4079" s="156"/>
      <c r="I4079" s="157"/>
      <c r="J4079" s="161"/>
      <c r="L4079" s="94"/>
      <c r="M4079" s="159"/>
      <c r="N4079" s="94"/>
    </row>
    <row r="4080">
      <c r="A4080" s="107">
        <v>1628221.0</v>
      </c>
      <c r="B4080" s="108" t="s">
        <v>244</v>
      </c>
      <c r="C4080" s="108" t="s">
        <v>990</v>
      </c>
      <c r="D4080" s="100" t="str">
        <f t="shared" si="1"/>
        <v/>
      </c>
      <c r="E4080" s="100" t="str">
        <f t="shared" si="2"/>
        <v/>
      </c>
      <c r="F4080" s="100" t="str">
        <f t="shared" si="3"/>
        <v/>
      </c>
      <c r="G4080" s="151"/>
      <c r="H4080" s="160"/>
      <c r="I4080" s="157"/>
      <c r="J4080" s="158"/>
      <c r="L4080" s="94"/>
      <c r="M4080" s="159"/>
      <c r="N4080" s="94"/>
    </row>
    <row r="4081">
      <c r="A4081" s="107">
        <v>1628238.0</v>
      </c>
      <c r="B4081" s="108" t="s">
        <v>215</v>
      </c>
      <c r="C4081" s="108" t="s">
        <v>991</v>
      </c>
      <c r="D4081" s="100" t="str">
        <f t="shared" si="1"/>
        <v/>
      </c>
      <c r="E4081" s="100" t="str">
        <f t="shared" si="2"/>
        <v/>
      </c>
      <c r="F4081" s="100" t="str">
        <f t="shared" si="3"/>
        <v/>
      </c>
      <c r="G4081" s="151"/>
      <c r="H4081" s="156"/>
      <c r="I4081" s="157"/>
      <c r="J4081" s="161"/>
      <c r="L4081" s="94"/>
      <c r="M4081" s="159"/>
      <c r="N4081" s="94"/>
    </row>
    <row r="4082">
      <c r="A4082" s="107">
        <v>1628249.0</v>
      </c>
      <c r="B4082" s="108" t="s">
        <v>192</v>
      </c>
      <c r="C4082" s="108" t="s">
        <v>992</v>
      </c>
      <c r="D4082" s="100" t="str">
        <f t="shared" si="1"/>
        <v/>
      </c>
      <c r="E4082" s="100" t="str">
        <f t="shared" si="2"/>
        <v/>
      </c>
      <c r="F4082" s="100" t="str">
        <f t="shared" si="3"/>
        <v/>
      </c>
      <c r="G4082" s="151"/>
      <c r="H4082" s="160"/>
      <c r="I4082" s="157"/>
      <c r="J4082" s="158"/>
      <c r="L4082" s="94"/>
      <c r="M4082" s="159"/>
      <c r="N4082" s="94"/>
    </row>
    <row r="4083">
      <c r="A4083" s="107">
        <v>1628365.0</v>
      </c>
      <c r="B4083" s="108" t="s">
        <v>191</v>
      </c>
      <c r="C4083" s="108" t="s">
        <v>993</v>
      </c>
      <c r="D4083" s="100" t="str">
        <f t="shared" si="1"/>
        <v/>
      </c>
      <c r="E4083" s="100" t="str">
        <f t="shared" si="2"/>
        <v/>
      </c>
      <c r="F4083" s="100" t="str">
        <f t="shared" si="3"/>
        <v/>
      </c>
      <c r="G4083" s="151"/>
      <c r="H4083" s="156"/>
      <c r="I4083" s="157"/>
      <c r="J4083" s="161"/>
      <c r="L4083" s="94"/>
      <c r="M4083" s="159"/>
      <c r="N4083" s="94"/>
    </row>
    <row r="4084">
      <c r="A4084" s="107">
        <v>1628365.0</v>
      </c>
      <c r="B4084" s="108" t="s">
        <v>192</v>
      </c>
      <c r="C4084" s="108" t="s">
        <v>993</v>
      </c>
      <c r="D4084" s="100" t="str">
        <f t="shared" si="1"/>
        <v/>
      </c>
      <c r="E4084" s="100" t="str">
        <f t="shared" si="2"/>
        <v/>
      </c>
      <c r="F4084" s="100" t="str">
        <f t="shared" si="3"/>
        <v/>
      </c>
      <c r="G4084" s="151"/>
      <c r="H4084" s="160"/>
      <c r="I4084" s="157"/>
      <c r="J4084" s="158"/>
      <c r="L4084" s="94"/>
      <c r="M4084" s="159"/>
      <c r="N4084" s="94"/>
    </row>
    <row r="4085">
      <c r="A4085" s="107">
        <v>1628365.0</v>
      </c>
      <c r="B4085" s="108" t="s">
        <v>193</v>
      </c>
      <c r="C4085" s="108" t="s">
        <v>993</v>
      </c>
      <c r="D4085" s="100" t="str">
        <f t="shared" si="1"/>
        <v/>
      </c>
      <c r="E4085" s="100" t="str">
        <f t="shared" si="2"/>
        <v/>
      </c>
      <c r="F4085" s="100" t="str">
        <f t="shared" si="3"/>
        <v/>
      </c>
      <c r="G4085" s="151"/>
      <c r="H4085" s="156"/>
      <c r="I4085" s="157"/>
      <c r="J4085" s="161"/>
      <c r="L4085" s="94"/>
      <c r="M4085" s="159"/>
      <c r="N4085" s="94"/>
    </row>
    <row r="4086">
      <c r="A4086" s="107">
        <v>1628365.0</v>
      </c>
      <c r="B4086" s="108" t="s">
        <v>243</v>
      </c>
      <c r="C4086" s="108" t="s">
        <v>993</v>
      </c>
      <c r="D4086" s="100" t="str">
        <f t="shared" si="1"/>
        <v/>
      </c>
      <c r="E4086" s="100" t="str">
        <f t="shared" si="2"/>
        <v/>
      </c>
      <c r="F4086" s="100" t="str">
        <f t="shared" si="3"/>
        <v/>
      </c>
      <c r="G4086" s="151"/>
      <c r="H4086" s="160"/>
      <c r="I4086" s="157"/>
      <c r="J4086" s="158"/>
      <c r="L4086" s="94"/>
      <c r="M4086" s="159"/>
      <c r="N4086" s="94"/>
    </row>
    <row r="4087">
      <c r="A4087" s="107">
        <v>1628365.0</v>
      </c>
      <c r="B4087" s="108" t="s">
        <v>215</v>
      </c>
      <c r="C4087" s="108" t="s">
        <v>993</v>
      </c>
      <c r="D4087" s="100" t="str">
        <f t="shared" si="1"/>
        <v/>
      </c>
      <c r="E4087" s="100" t="str">
        <f t="shared" si="2"/>
        <v/>
      </c>
      <c r="F4087" s="100" t="str">
        <f t="shared" si="3"/>
        <v/>
      </c>
      <c r="G4087" s="151"/>
      <c r="H4087" s="156"/>
      <c r="I4087" s="157"/>
      <c r="J4087" s="161"/>
      <c r="L4087" s="94"/>
      <c r="M4087" s="159"/>
      <c r="N4087" s="94"/>
    </row>
    <row r="4088">
      <c r="A4088" s="107">
        <v>1628365.0</v>
      </c>
      <c r="B4088" s="108" t="s">
        <v>244</v>
      </c>
      <c r="C4088" s="108" t="s">
        <v>993</v>
      </c>
      <c r="D4088" s="100" t="str">
        <f t="shared" si="1"/>
        <v/>
      </c>
      <c r="E4088" s="100" t="str">
        <f t="shared" si="2"/>
        <v/>
      </c>
      <c r="F4088" s="100" t="str">
        <f t="shared" si="3"/>
        <v/>
      </c>
      <c r="G4088" s="151"/>
      <c r="H4088" s="160"/>
      <c r="I4088" s="157"/>
      <c r="J4088" s="158"/>
      <c r="L4088" s="94"/>
      <c r="M4088" s="159"/>
      <c r="N4088" s="94"/>
    </row>
    <row r="4089">
      <c r="A4089" s="107">
        <v>1628365.0</v>
      </c>
      <c r="B4089" s="108" t="s">
        <v>245</v>
      </c>
      <c r="C4089" s="108" t="s">
        <v>993</v>
      </c>
      <c r="D4089" s="100" t="str">
        <f t="shared" si="1"/>
        <v/>
      </c>
      <c r="E4089" s="100" t="str">
        <f t="shared" si="2"/>
        <v/>
      </c>
      <c r="F4089" s="100" t="str">
        <f t="shared" si="3"/>
        <v/>
      </c>
      <c r="G4089" s="151"/>
      <c r="H4089" s="156"/>
      <c r="I4089" s="157"/>
      <c r="J4089" s="161"/>
      <c r="L4089" s="94"/>
      <c r="M4089" s="159"/>
      <c r="N4089" s="94"/>
    </row>
    <row r="4090">
      <c r="A4090" s="149">
        <v>1628365.0</v>
      </c>
      <c r="B4090" s="108" t="s">
        <v>246</v>
      </c>
      <c r="C4090" s="115" t="s">
        <v>993</v>
      </c>
      <c r="D4090" s="100" t="str">
        <f t="shared" si="1"/>
        <v/>
      </c>
      <c r="E4090" s="100" t="str">
        <f t="shared" si="2"/>
        <v/>
      </c>
      <c r="F4090" s="100" t="str">
        <f t="shared" si="3"/>
        <v/>
      </c>
      <c r="G4090" s="151"/>
      <c r="H4090" s="160"/>
      <c r="I4090" s="157"/>
      <c r="J4090" s="158"/>
      <c r="L4090" s="94"/>
      <c r="M4090" s="159"/>
      <c r="N4090" s="94"/>
    </row>
    <row r="4091">
      <c r="A4091" s="165">
        <v>1628366.0</v>
      </c>
      <c r="B4091" s="124" t="s">
        <v>191</v>
      </c>
      <c r="C4091" s="124" t="s">
        <v>994</v>
      </c>
      <c r="D4091" s="100" t="str">
        <f t="shared" si="1"/>
        <v/>
      </c>
      <c r="E4091" s="100" t="str">
        <f t="shared" si="2"/>
        <v/>
      </c>
      <c r="F4091" s="100" t="str">
        <f t="shared" si="3"/>
        <v/>
      </c>
      <c r="G4091" s="151"/>
      <c r="H4091" s="156"/>
      <c r="I4091" s="157"/>
      <c r="J4091" s="161"/>
      <c r="L4091" s="94"/>
      <c r="M4091" s="159"/>
      <c r="N4091" s="94"/>
    </row>
    <row r="4092">
      <c r="A4092" s="107">
        <v>1628366.0</v>
      </c>
      <c r="B4092" s="108" t="s">
        <v>192</v>
      </c>
      <c r="C4092" s="108" t="s">
        <v>994</v>
      </c>
      <c r="D4092" s="100" t="str">
        <f t="shared" si="1"/>
        <v/>
      </c>
      <c r="E4092" s="100" t="str">
        <f t="shared" si="2"/>
        <v/>
      </c>
      <c r="F4092" s="100" t="str">
        <f t="shared" si="3"/>
        <v/>
      </c>
      <c r="G4092" s="151"/>
      <c r="H4092" s="160"/>
      <c r="I4092" s="157"/>
      <c r="J4092" s="158"/>
      <c r="L4092" s="94"/>
      <c r="M4092" s="159"/>
      <c r="N4092" s="94"/>
    </row>
    <row r="4093">
      <c r="A4093" s="107">
        <v>1628366.0</v>
      </c>
      <c r="B4093" s="108" t="s">
        <v>193</v>
      </c>
      <c r="C4093" s="108" t="s">
        <v>994</v>
      </c>
      <c r="D4093" s="100" t="str">
        <f t="shared" si="1"/>
        <v/>
      </c>
      <c r="E4093" s="100" t="str">
        <f t="shared" si="2"/>
        <v/>
      </c>
      <c r="F4093" s="100" t="str">
        <f t="shared" si="3"/>
        <v/>
      </c>
      <c r="G4093" s="151"/>
      <c r="H4093" s="156"/>
      <c r="I4093" s="157"/>
      <c r="J4093" s="161"/>
      <c r="L4093" s="94"/>
      <c r="M4093" s="159"/>
      <c r="N4093" s="94"/>
    </row>
    <row r="4094">
      <c r="A4094" s="107">
        <v>1628366.0</v>
      </c>
      <c r="B4094" s="108" t="s">
        <v>243</v>
      </c>
      <c r="C4094" s="108" t="s">
        <v>994</v>
      </c>
      <c r="D4094" s="100" t="str">
        <f t="shared" si="1"/>
        <v/>
      </c>
      <c r="E4094" s="100" t="str">
        <f t="shared" si="2"/>
        <v/>
      </c>
      <c r="F4094" s="100" t="str">
        <f t="shared" si="3"/>
        <v/>
      </c>
      <c r="G4094" s="151"/>
      <c r="H4094" s="160"/>
      <c r="I4094" s="157"/>
      <c r="J4094" s="158"/>
      <c r="L4094" s="94"/>
      <c r="M4094" s="159"/>
      <c r="N4094" s="94"/>
    </row>
    <row r="4095">
      <c r="A4095" s="107">
        <v>1628366.0</v>
      </c>
      <c r="B4095" s="108" t="s">
        <v>215</v>
      </c>
      <c r="C4095" s="108" t="s">
        <v>994</v>
      </c>
      <c r="D4095" s="100" t="str">
        <f t="shared" si="1"/>
        <v/>
      </c>
      <c r="E4095" s="100" t="str">
        <f t="shared" si="2"/>
        <v/>
      </c>
      <c r="F4095" s="100" t="str">
        <f t="shared" si="3"/>
        <v/>
      </c>
      <c r="G4095" s="151"/>
      <c r="H4095" s="156"/>
      <c r="I4095" s="157"/>
      <c r="J4095" s="161"/>
      <c r="L4095" s="94"/>
      <c r="M4095" s="159"/>
      <c r="N4095" s="94"/>
    </row>
    <row r="4096">
      <c r="A4096" s="107">
        <v>1628366.0</v>
      </c>
      <c r="B4096" s="108" t="s">
        <v>246</v>
      </c>
      <c r="C4096" s="108" t="s">
        <v>994</v>
      </c>
      <c r="D4096" s="100" t="str">
        <f t="shared" si="1"/>
        <v/>
      </c>
      <c r="E4096" s="100" t="str">
        <f t="shared" si="2"/>
        <v/>
      </c>
      <c r="F4096" s="100" t="str">
        <f t="shared" si="3"/>
        <v/>
      </c>
      <c r="G4096" s="151"/>
      <c r="H4096" s="160"/>
      <c r="I4096" s="157"/>
      <c r="J4096" s="158"/>
      <c r="L4096" s="94"/>
      <c r="M4096" s="159"/>
      <c r="N4096" s="94"/>
    </row>
    <row r="4097">
      <c r="A4097" s="149">
        <v>1628366.0</v>
      </c>
      <c r="B4097" s="115" t="s">
        <v>247</v>
      </c>
      <c r="C4097" s="115" t="s">
        <v>994</v>
      </c>
      <c r="D4097" s="100" t="str">
        <f t="shared" si="1"/>
        <v/>
      </c>
      <c r="E4097" s="100" t="str">
        <f t="shared" si="2"/>
        <v/>
      </c>
      <c r="F4097" s="100" t="str">
        <f t="shared" si="3"/>
        <v/>
      </c>
      <c r="G4097" s="151"/>
      <c r="H4097" s="156"/>
      <c r="I4097" s="157"/>
      <c r="J4097" s="161"/>
      <c r="L4097" s="94"/>
      <c r="M4097" s="159"/>
      <c r="N4097" s="94"/>
    </row>
    <row r="4098">
      <c r="A4098" s="21">
        <v>1628367.0</v>
      </c>
      <c r="B4098" s="164" t="s">
        <v>191</v>
      </c>
      <c r="C4098" s="164" t="s">
        <v>995</v>
      </c>
      <c r="D4098" s="100" t="str">
        <f t="shared" si="1"/>
        <v/>
      </c>
      <c r="E4098" s="100" t="str">
        <f t="shared" si="2"/>
        <v/>
      </c>
      <c r="F4098" s="100" t="str">
        <f t="shared" si="3"/>
        <v/>
      </c>
      <c r="G4098" s="151"/>
      <c r="H4098" s="160"/>
      <c r="I4098" s="157"/>
      <c r="J4098" s="158"/>
      <c r="L4098" s="94"/>
      <c r="M4098" s="159"/>
      <c r="N4098" s="94"/>
    </row>
    <row r="4099">
      <c r="A4099" s="107">
        <v>1628367.0</v>
      </c>
      <c r="B4099" s="108" t="s">
        <v>192</v>
      </c>
      <c r="C4099" s="108" t="s">
        <v>995</v>
      </c>
      <c r="D4099" s="100" t="str">
        <f t="shared" si="1"/>
        <v/>
      </c>
      <c r="E4099" s="100" t="str">
        <f t="shared" si="2"/>
        <v/>
      </c>
      <c r="F4099" s="100" t="str">
        <f t="shared" si="3"/>
        <v/>
      </c>
      <c r="G4099" s="151"/>
      <c r="H4099" s="156"/>
      <c r="I4099" s="157"/>
      <c r="J4099" s="161"/>
      <c r="L4099" s="94"/>
      <c r="M4099" s="159"/>
      <c r="N4099" s="94"/>
    </row>
    <row r="4100">
      <c r="A4100" s="107">
        <v>1628367.0</v>
      </c>
      <c r="B4100" s="108" t="s">
        <v>193</v>
      </c>
      <c r="C4100" s="108" t="s">
        <v>995</v>
      </c>
      <c r="D4100" s="100" t="str">
        <f t="shared" si="1"/>
        <v/>
      </c>
      <c r="E4100" s="100" t="str">
        <f t="shared" si="2"/>
        <v/>
      </c>
      <c r="F4100" s="100" t="str">
        <f t="shared" si="3"/>
        <v/>
      </c>
      <c r="G4100" s="151"/>
      <c r="H4100" s="160"/>
      <c r="I4100" s="157"/>
      <c r="J4100" s="158"/>
      <c r="L4100" s="94"/>
      <c r="M4100" s="159"/>
      <c r="N4100" s="94"/>
    </row>
    <row r="4101">
      <c r="A4101" s="107">
        <v>1628367.0</v>
      </c>
      <c r="B4101" s="108" t="s">
        <v>243</v>
      </c>
      <c r="C4101" s="108" t="s">
        <v>995</v>
      </c>
      <c r="D4101" s="100" t="str">
        <f t="shared" si="1"/>
        <v/>
      </c>
      <c r="E4101" s="100" t="str">
        <f t="shared" si="2"/>
        <v/>
      </c>
      <c r="F4101" s="100" t="str">
        <f t="shared" si="3"/>
        <v/>
      </c>
      <c r="G4101" s="151"/>
      <c r="H4101" s="156"/>
      <c r="I4101" s="157"/>
      <c r="J4101" s="161"/>
      <c r="L4101" s="94"/>
      <c r="M4101" s="159"/>
      <c r="N4101" s="94"/>
    </row>
    <row r="4102">
      <c r="A4102" s="107">
        <v>1628367.0</v>
      </c>
      <c r="B4102" s="108" t="s">
        <v>215</v>
      </c>
      <c r="C4102" s="108" t="s">
        <v>995</v>
      </c>
      <c r="D4102" s="100" t="str">
        <f t="shared" si="1"/>
        <v/>
      </c>
      <c r="E4102" s="100" t="str">
        <f t="shared" si="2"/>
        <v/>
      </c>
      <c r="F4102" s="100" t="str">
        <f t="shared" si="3"/>
        <v/>
      </c>
      <c r="G4102" s="151"/>
      <c r="H4102" s="160"/>
      <c r="I4102" s="157"/>
      <c r="J4102" s="158"/>
      <c r="L4102" s="94"/>
      <c r="M4102" s="159"/>
      <c r="N4102" s="94"/>
    </row>
    <row r="4103">
      <c r="A4103" s="107">
        <v>1628368.0</v>
      </c>
      <c r="B4103" s="108" t="s">
        <v>191</v>
      </c>
      <c r="C4103" s="108" t="s">
        <v>996</v>
      </c>
      <c r="D4103" s="100" t="str">
        <f t="shared" si="1"/>
        <v/>
      </c>
      <c r="E4103" s="100" t="str">
        <f t="shared" si="2"/>
        <v/>
      </c>
      <c r="F4103" s="100" t="str">
        <f t="shared" si="3"/>
        <v/>
      </c>
      <c r="G4103" s="151"/>
      <c r="H4103" s="156"/>
      <c r="I4103" s="157"/>
      <c r="J4103" s="161"/>
      <c r="L4103" s="94"/>
      <c r="M4103" s="159"/>
      <c r="N4103" s="94"/>
    </row>
    <row r="4104">
      <c r="A4104" s="107">
        <v>1628368.0</v>
      </c>
      <c r="B4104" s="108" t="s">
        <v>192</v>
      </c>
      <c r="C4104" s="108" t="s">
        <v>996</v>
      </c>
      <c r="D4104" s="100" t="str">
        <f t="shared" si="1"/>
        <v/>
      </c>
      <c r="E4104" s="100" t="str">
        <f t="shared" si="2"/>
        <v/>
      </c>
      <c r="F4104" s="100" t="str">
        <f t="shared" si="3"/>
        <v/>
      </c>
      <c r="G4104" s="151"/>
      <c r="H4104" s="160"/>
      <c r="I4104" s="157"/>
      <c r="J4104" s="158"/>
      <c r="L4104" s="94"/>
      <c r="M4104" s="159"/>
      <c r="N4104" s="94"/>
    </row>
    <row r="4105">
      <c r="A4105" s="107">
        <v>1628368.0</v>
      </c>
      <c r="B4105" s="108" t="s">
        <v>193</v>
      </c>
      <c r="C4105" s="108" t="s">
        <v>996</v>
      </c>
      <c r="D4105" s="100" t="str">
        <f t="shared" si="1"/>
        <v/>
      </c>
      <c r="E4105" s="100" t="str">
        <f t="shared" si="2"/>
        <v/>
      </c>
      <c r="F4105" s="100" t="str">
        <f t="shared" si="3"/>
        <v/>
      </c>
      <c r="G4105" s="151"/>
      <c r="H4105" s="156"/>
      <c r="I4105" s="157"/>
      <c r="J4105" s="161"/>
      <c r="L4105" s="94"/>
      <c r="M4105" s="159"/>
      <c r="N4105" s="94"/>
    </row>
    <row r="4106">
      <c r="A4106" s="107">
        <v>1628368.0</v>
      </c>
      <c r="B4106" s="108" t="s">
        <v>243</v>
      </c>
      <c r="C4106" s="108" t="s">
        <v>996</v>
      </c>
      <c r="D4106" s="100" t="str">
        <f t="shared" si="1"/>
        <v/>
      </c>
      <c r="E4106" s="100" t="str">
        <f t="shared" si="2"/>
        <v/>
      </c>
      <c r="F4106" s="100" t="str">
        <f t="shared" si="3"/>
        <v/>
      </c>
      <c r="G4106" s="151"/>
      <c r="H4106" s="160"/>
      <c r="I4106" s="157"/>
      <c r="J4106" s="158"/>
      <c r="L4106" s="94"/>
      <c r="M4106" s="159"/>
      <c r="N4106" s="94"/>
    </row>
    <row r="4107">
      <c r="A4107" s="107">
        <v>1628368.0</v>
      </c>
      <c r="B4107" s="108" t="s">
        <v>215</v>
      </c>
      <c r="C4107" s="108" t="s">
        <v>996</v>
      </c>
      <c r="D4107" s="100" t="str">
        <f t="shared" si="1"/>
        <v/>
      </c>
      <c r="E4107" s="100" t="str">
        <f t="shared" si="2"/>
        <v/>
      </c>
      <c r="F4107" s="100" t="str">
        <f t="shared" si="3"/>
        <v/>
      </c>
      <c r="G4107" s="151"/>
      <c r="H4107" s="156"/>
      <c r="I4107" s="157"/>
      <c r="J4107" s="161"/>
      <c r="L4107" s="94"/>
      <c r="M4107" s="159"/>
      <c r="N4107" s="94"/>
    </row>
    <row r="4108">
      <c r="A4108" s="107">
        <v>1628368.0</v>
      </c>
      <c r="B4108" s="108" t="s">
        <v>244</v>
      </c>
      <c r="C4108" s="108" t="s">
        <v>996</v>
      </c>
      <c r="D4108" s="100" t="str">
        <f t="shared" si="1"/>
        <v/>
      </c>
      <c r="E4108" s="100" t="str">
        <f t="shared" si="2"/>
        <v/>
      </c>
      <c r="F4108" s="100" t="str">
        <f t="shared" si="3"/>
        <v/>
      </c>
      <c r="G4108" s="151"/>
      <c r="H4108" s="160"/>
      <c r="I4108" s="157"/>
      <c r="J4108" s="158"/>
      <c r="L4108" s="94"/>
      <c r="M4108" s="159"/>
      <c r="N4108" s="94"/>
    </row>
    <row r="4109">
      <c r="A4109" s="107">
        <v>1628368.0</v>
      </c>
      <c r="B4109" s="108" t="s">
        <v>245</v>
      </c>
      <c r="C4109" s="108" t="s">
        <v>996</v>
      </c>
      <c r="D4109" s="100" t="str">
        <f t="shared" si="1"/>
        <v/>
      </c>
      <c r="E4109" s="100" t="str">
        <f t="shared" si="2"/>
        <v/>
      </c>
      <c r="F4109" s="100" t="str">
        <f t="shared" si="3"/>
        <v/>
      </c>
      <c r="G4109" s="151"/>
      <c r="H4109" s="156"/>
      <c r="I4109" s="157"/>
      <c r="J4109" s="161"/>
      <c r="L4109" s="94"/>
      <c r="M4109" s="159"/>
      <c r="N4109" s="94"/>
    </row>
    <row r="4110">
      <c r="A4110" s="107">
        <v>1628368.0</v>
      </c>
      <c r="B4110" s="108" t="s">
        <v>246</v>
      </c>
      <c r="C4110" s="108" t="s">
        <v>996</v>
      </c>
      <c r="D4110" s="100" t="str">
        <f t="shared" si="1"/>
        <v/>
      </c>
      <c r="E4110" s="100" t="str">
        <f t="shared" si="2"/>
        <v/>
      </c>
      <c r="F4110" s="100" t="str">
        <f t="shared" si="3"/>
        <v/>
      </c>
      <c r="G4110" s="151"/>
      <c r="H4110" s="160"/>
      <c r="I4110" s="157"/>
      <c r="J4110" s="158"/>
      <c r="L4110" s="94"/>
      <c r="M4110" s="159"/>
      <c r="N4110" s="94"/>
    </row>
    <row r="4111">
      <c r="A4111" s="140">
        <v>1628368.0</v>
      </c>
      <c r="B4111" s="115" t="s">
        <v>247</v>
      </c>
      <c r="C4111" s="108" t="s">
        <v>996</v>
      </c>
      <c r="D4111" s="100" t="str">
        <f t="shared" si="1"/>
        <v/>
      </c>
      <c r="E4111" s="100" t="str">
        <f t="shared" si="2"/>
        <v/>
      </c>
      <c r="F4111" s="100" t="str">
        <f t="shared" si="3"/>
        <v/>
      </c>
      <c r="G4111" s="151"/>
      <c r="H4111" s="156"/>
      <c r="I4111" s="157"/>
      <c r="J4111" s="161"/>
      <c r="L4111" s="94"/>
      <c r="M4111" s="159"/>
      <c r="N4111" s="94"/>
    </row>
    <row r="4112">
      <c r="A4112" s="163">
        <v>1628369.0</v>
      </c>
      <c r="B4112" s="164" t="s">
        <v>191</v>
      </c>
      <c r="C4112" s="164" t="s">
        <v>997</v>
      </c>
      <c r="D4112" s="100" t="str">
        <f t="shared" si="1"/>
        <v/>
      </c>
      <c r="E4112" s="100" t="str">
        <f t="shared" si="2"/>
        <v/>
      </c>
      <c r="F4112" s="100" t="str">
        <f t="shared" si="3"/>
        <v/>
      </c>
      <c r="G4112" s="151"/>
      <c r="H4112" s="160"/>
      <c r="I4112" s="157"/>
      <c r="J4112" s="158"/>
      <c r="L4112" s="94"/>
      <c r="M4112" s="159"/>
      <c r="N4112" s="94"/>
    </row>
    <row r="4113">
      <c r="A4113" s="107">
        <v>1628369.0</v>
      </c>
      <c r="B4113" s="108" t="s">
        <v>192</v>
      </c>
      <c r="C4113" s="108" t="s">
        <v>997</v>
      </c>
      <c r="D4113" s="100" t="str">
        <f t="shared" si="1"/>
        <v/>
      </c>
      <c r="E4113" s="100" t="str">
        <f t="shared" si="2"/>
        <v/>
      </c>
      <c r="F4113" s="100" t="str">
        <f t="shared" si="3"/>
        <v/>
      </c>
      <c r="G4113" s="151"/>
      <c r="H4113" s="156"/>
      <c r="I4113" s="157"/>
      <c r="J4113" s="161"/>
      <c r="L4113" s="94"/>
      <c r="M4113" s="159"/>
      <c r="N4113" s="94"/>
    </row>
    <row r="4114">
      <c r="A4114" s="107">
        <v>1628369.0</v>
      </c>
      <c r="B4114" s="108" t="s">
        <v>193</v>
      </c>
      <c r="C4114" s="108" t="s">
        <v>997</v>
      </c>
      <c r="D4114" s="100" t="str">
        <f t="shared" si="1"/>
        <v/>
      </c>
      <c r="E4114" s="100" t="str">
        <f t="shared" si="2"/>
        <v/>
      </c>
      <c r="F4114" s="100" t="str">
        <f t="shared" si="3"/>
        <v/>
      </c>
      <c r="G4114" s="151"/>
      <c r="H4114" s="160"/>
      <c r="I4114" s="157"/>
      <c r="J4114" s="158"/>
      <c r="L4114" s="94"/>
      <c r="M4114" s="159"/>
      <c r="N4114" s="94"/>
    </row>
    <row r="4115">
      <c r="A4115" s="107">
        <v>1628369.0</v>
      </c>
      <c r="B4115" s="108" t="s">
        <v>243</v>
      </c>
      <c r="C4115" s="108" t="s">
        <v>997</v>
      </c>
      <c r="D4115" s="100" t="str">
        <f t="shared" si="1"/>
        <v/>
      </c>
      <c r="E4115" s="100" t="str">
        <f t="shared" si="2"/>
        <v/>
      </c>
      <c r="F4115" s="100" t="str">
        <f t="shared" si="3"/>
        <v/>
      </c>
      <c r="G4115" s="151"/>
      <c r="H4115" s="156"/>
      <c r="I4115" s="157"/>
      <c r="J4115" s="161"/>
      <c r="L4115" s="94"/>
      <c r="M4115" s="159"/>
      <c r="N4115" s="94"/>
    </row>
    <row r="4116">
      <c r="A4116" s="107">
        <v>1628369.0</v>
      </c>
      <c r="B4116" s="108" t="s">
        <v>215</v>
      </c>
      <c r="C4116" s="108" t="s">
        <v>997</v>
      </c>
      <c r="D4116" s="100" t="str">
        <f t="shared" si="1"/>
        <v/>
      </c>
      <c r="E4116" s="100" t="str">
        <f t="shared" si="2"/>
        <v/>
      </c>
      <c r="F4116" s="100" t="str">
        <f t="shared" si="3"/>
        <v/>
      </c>
      <c r="G4116" s="151"/>
      <c r="H4116" s="160"/>
      <c r="I4116" s="157"/>
      <c r="J4116" s="158"/>
      <c r="L4116" s="94"/>
      <c r="M4116" s="159"/>
      <c r="N4116" s="94"/>
    </row>
    <row r="4117">
      <c r="A4117" s="107">
        <v>1628369.0</v>
      </c>
      <c r="B4117" s="108" t="s">
        <v>244</v>
      </c>
      <c r="C4117" s="108" t="s">
        <v>997</v>
      </c>
      <c r="D4117" s="100" t="str">
        <f t="shared" si="1"/>
        <v/>
      </c>
      <c r="E4117" s="100" t="str">
        <f t="shared" si="2"/>
        <v/>
      </c>
      <c r="F4117" s="100" t="str">
        <f t="shared" si="3"/>
        <v/>
      </c>
      <c r="G4117" s="151"/>
      <c r="H4117" s="156"/>
      <c r="I4117" s="157"/>
      <c r="J4117" s="161"/>
      <c r="L4117" s="94"/>
      <c r="M4117" s="159"/>
      <c r="N4117" s="94"/>
    </row>
    <row r="4118">
      <c r="A4118" s="107">
        <v>1628369.0</v>
      </c>
      <c r="B4118" s="108" t="s">
        <v>245</v>
      </c>
      <c r="C4118" s="108" t="s">
        <v>997</v>
      </c>
      <c r="D4118" s="100" t="str">
        <f t="shared" si="1"/>
        <v/>
      </c>
      <c r="E4118" s="100" t="str">
        <f t="shared" si="2"/>
        <v/>
      </c>
      <c r="F4118" s="100" t="str">
        <f t="shared" si="3"/>
        <v/>
      </c>
      <c r="G4118" s="151"/>
      <c r="H4118" s="160"/>
      <c r="I4118" s="157"/>
      <c r="J4118" s="158"/>
      <c r="L4118" s="94"/>
      <c r="M4118" s="159"/>
      <c r="N4118" s="94"/>
    </row>
    <row r="4119">
      <c r="A4119" s="107">
        <v>1628369.0</v>
      </c>
      <c r="B4119" s="108" t="s">
        <v>246</v>
      </c>
      <c r="C4119" s="108" t="s">
        <v>997</v>
      </c>
      <c r="D4119" s="100" t="str">
        <f t="shared" si="1"/>
        <v/>
      </c>
      <c r="E4119" s="100" t="str">
        <f t="shared" si="2"/>
        <v/>
      </c>
      <c r="F4119" s="100" t="str">
        <f t="shared" si="3"/>
        <v/>
      </c>
      <c r="G4119" s="151"/>
      <c r="H4119" s="156"/>
      <c r="I4119" s="157"/>
      <c r="J4119" s="161"/>
      <c r="L4119" s="94"/>
      <c r="M4119" s="159"/>
      <c r="N4119" s="94"/>
    </row>
    <row r="4120">
      <c r="A4120" s="107">
        <v>1628370.0</v>
      </c>
      <c r="B4120" s="108" t="s">
        <v>191</v>
      </c>
      <c r="C4120" s="108" t="s">
        <v>998</v>
      </c>
      <c r="D4120" s="100" t="str">
        <f t="shared" si="1"/>
        <v/>
      </c>
      <c r="E4120" s="100" t="str">
        <f t="shared" si="2"/>
        <v/>
      </c>
      <c r="F4120" s="100" t="str">
        <f t="shared" si="3"/>
        <v/>
      </c>
      <c r="G4120" s="151"/>
      <c r="H4120" s="160"/>
      <c r="I4120" s="157"/>
      <c r="J4120" s="158"/>
      <c r="L4120" s="94"/>
      <c r="M4120" s="159"/>
      <c r="N4120" s="94"/>
    </row>
    <row r="4121">
      <c r="A4121" s="107">
        <v>1628370.0</v>
      </c>
      <c r="B4121" s="108" t="s">
        <v>192</v>
      </c>
      <c r="C4121" s="108" t="s">
        <v>998</v>
      </c>
      <c r="D4121" s="100" t="str">
        <f t="shared" si="1"/>
        <v/>
      </c>
      <c r="E4121" s="100" t="str">
        <f t="shared" si="2"/>
        <v/>
      </c>
      <c r="F4121" s="100" t="str">
        <f t="shared" si="3"/>
        <v/>
      </c>
      <c r="G4121" s="151"/>
      <c r="H4121" s="156"/>
      <c r="I4121" s="157"/>
      <c r="J4121" s="161"/>
      <c r="L4121" s="94"/>
      <c r="M4121" s="159"/>
      <c r="N4121" s="94"/>
    </row>
    <row r="4122">
      <c r="A4122" s="107">
        <v>1628370.0</v>
      </c>
      <c r="B4122" s="108" t="s">
        <v>193</v>
      </c>
      <c r="C4122" s="108" t="s">
        <v>998</v>
      </c>
      <c r="D4122" s="100" t="str">
        <f t="shared" si="1"/>
        <v/>
      </c>
      <c r="E4122" s="100" t="str">
        <f t="shared" si="2"/>
        <v/>
      </c>
      <c r="F4122" s="100" t="str">
        <f t="shared" si="3"/>
        <v/>
      </c>
      <c r="G4122" s="151"/>
      <c r="H4122" s="160"/>
      <c r="I4122" s="157"/>
      <c r="J4122" s="158"/>
      <c r="L4122" s="94"/>
      <c r="M4122" s="159"/>
      <c r="N4122" s="94"/>
    </row>
    <row r="4123">
      <c r="A4123" s="107">
        <v>1628370.0</v>
      </c>
      <c r="B4123" s="108" t="s">
        <v>243</v>
      </c>
      <c r="C4123" s="108" t="s">
        <v>998</v>
      </c>
      <c r="D4123" s="100" t="str">
        <f t="shared" si="1"/>
        <v/>
      </c>
      <c r="E4123" s="100" t="str">
        <f t="shared" si="2"/>
        <v/>
      </c>
      <c r="F4123" s="100" t="str">
        <f t="shared" si="3"/>
        <v/>
      </c>
      <c r="G4123" s="151"/>
      <c r="H4123" s="156"/>
      <c r="I4123" s="157"/>
      <c r="J4123" s="161"/>
      <c r="L4123" s="94"/>
      <c r="M4123" s="159"/>
      <c r="N4123" s="94"/>
    </row>
    <row r="4124">
      <c r="A4124" s="107">
        <v>1628370.0</v>
      </c>
      <c r="B4124" s="108" t="s">
        <v>215</v>
      </c>
      <c r="C4124" s="108" t="s">
        <v>998</v>
      </c>
      <c r="D4124" s="100" t="str">
        <f t="shared" si="1"/>
        <v/>
      </c>
      <c r="E4124" s="100" t="str">
        <f t="shared" si="2"/>
        <v/>
      </c>
      <c r="F4124" s="100" t="str">
        <f t="shared" si="3"/>
        <v/>
      </c>
      <c r="G4124" s="151"/>
      <c r="H4124" s="160"/>
      <c r="I4124" s="157"/>
      <c r="J4124" s="158"/>
      <c r="L4124" s="94"/>
      <c r="M4124" s="159"/>
      <c r="N4124" s="94"/>
    </row>
    <row r="4125">
      <c r="A4125" s="107">
        <v>1628370.0</v>
      </c>
      <c r="B4125" s="108" t="s">
        <v>244</v>
      </c>
      <c r="C4125" s="108" t="s">
        <v>998</v>
      </c>
      <c r="D4125" s="100" t="str">
        <f t="shared" si="1"/>
        <v/>
      </c>
      <c r="E4125" s="100" t="str">
        <f t="shared" si="2"/>
        <v/>
      </c>
      <c r="F4125" s="100" t="str">
        <f t="shared" si="3"/>
        <v/>
      </c>
      <c r="G4125" s="151"/>
      <c r="H4125" s="156"/>
      <c r="I4125" s="157"/>
      <c r="J4125" s="161"/>
      <c r="L4125" s="94"/>
      <c r="M4125" s="159"/>
      <c r="N4125" s="94"/>
    </row>
    <row r="4126">
      <c r="A4126" s="107">
        <v>1628370.0</v>
      </c>
      <c r="B4126" s="108" t="s">
        <v>245</v>
      </c>
      <c r="C4126" s="108" t="s">
        <v>998</v>
      </c>
      <c r="D4126" s="100" t="str">
        <f t="shared" si="1"/>
        <v/>
      </c>
      <c r="E4126" s="100" t="str">
        <f t="shared" si="2"/>
        <v/>
      </c>
      <c r="F4126" s="100" t="str">
        <f t="shared" si="3"/>
        <v/>
      </c>
      <c r="G4126" s="151"/>
      <c r="H4126" s="160"/>
      <c r="I4126" s="157"/>
      <c r="J4126" s="158"/>
      <c r="L4126" s="94"/>
      <c r="M4126" s="159"/>
      <c r="N4126" s="94"/>
    </row>
    <row r="4127">
      <c r="A4127" s="107">
        <v>1628370.0</v>
      </c>
      <c r="B4127" s="108" t="s">
        <v>246</v>
      </c>
      <c r="C4127" s="108" t="s">
        <v>998</v>
      </c>
      <c r="D4127" s="100" t="str">
        <f t="shared" si="1"/>
        <v/>
      </c>
      <c r="E4127" s="100" t="str">
        <f t="shared" si="2"/>
        <v/>
      </c>
      <c r="F4127" s="100" t="str">
        <f t="shared" si="3"/>
        <v/>
      </c>
      <c r="G4127" s="151"/>
      <c r="H4127" s="156"/>
      <c r="I4127" s="157"/>
      <c r="J4127" s="161"/>
      <c r="L4127" s="94"/>
      <c r="M4127" s="159"/>
      <c r="N4127" s="94"/>
    </row>
    <row r="4128">
      <c r="A4128" s="149">
        <v>1628370.0</v>
      </c>
      <c r="B4128" s="115" t="s">
        <v>247</v>
      </c>
      <c r="C4128" s="115" t="s">
        <v>998</v>
      </c>
      <c r="D4128" s="100" t="str">
        <f t="shared" si="1"/>
        <v/>
      </c>
      <c r="E4128" s="100" t="str">
        <f t="shared" si="2"/>
        <v/>
      </c>
      <c r="F4128" s="100" t="str">
        <f t="shared" si="3"/>
        <v/>
      </c>
      <c r="G4128" s="151"/>
      <c r="H4128" s="160"/>
      <c r="I4128" s="157"/>
      <c r="J4128" s="158"/>
      <c r="L4128" s="94"/>
      <c r="M4128" s="159"/>
      <c r="N4128" s="94"/>
    </row>
    <row r="4129">
      <c r="A4129" s="21">
        <v>1628371.0</v>
      </c>
      <c r="B4129" s="164" t="s">
        <v>191</v>
      </c>
      <c r="C4129" s="164" t="s">
        <v>999</v>
      </c>
      <c r="D4129" s="100" t="str">
        <f t="shared" si="1"/>
        <v/>
      </c>
      <c r="E4129" s="100" t="str">
        <f t="shared" si="2"/>
        <v/>
      </c>
      <c r="F4129" s="100" t="str">
        <f t="shared" si="3"/>
        <v/>
      </c>
      <c r="G4129" s="151"/>
      <c r="H4129" s="156"/>
      <c r="I4129" s="157"/>
      <c r="J4129" s="161"/>
      <c r="L4129" s="94"/>
      <c r="M4129" s="159"/>
      <c r="N4129" s="94"/>
    </row>
    <row r="4130">
      <c r="A4130" s="107">
        <v>1628371.0</v>
      </c>
      <c r="B4130" s="108" t="s">
        <v>192</v>
      </c>
      <c r="C4130" s="108" t="s">
        <v>999</v>
      </c>
      <c r="D4130" s="100" t="str">
        <f t="shared" si="1"/>
        <v/>
      </c>
      <c r="E4130" s="100" t="str">
        <f t="shared" si="2"/>
        <v/>
      </c>
      <c r="F4130" s="100" t="str">
        <f t="shared" si="3"/>
        <v/>
      </c>
      <c r="G4130" s="151"/>
      <c r="H4130" s="160"/>
      <c r="I4130" s="157"/>
      <c r="J4130" s="158"/>
      <c r="L4130" s="94"/>
      <c r="M4130" s="159"/>
      <c r="N4130" s="94"/>
    </row>
    <row r="4131">
      <c r="A4131" s="107">
        <v>1628371.0</v>
      </c>
      <c r="B4131" s="108" t="s">
        <v>193</v>
      </c>
      <c r="C4131" s="108" t="s">
        <v>999</v>
      </c>
      <c r="D4131" s="100" t="str">
        <f t="shared" si="1"/>
        <v/>
      </c>
      <c r="E4131" s="100" t="str">
        <f t="shared" si="2"/>
        <v/>
      </c>
      <c r="F4131" s="100" t="str">
        <f t="shared" si="3"/>
        <v/>
      </c>
      <c r="G4131" s="151"/>
      <c r="H4131" s="156"/>
      <c r="I4131" s="157"/>
      <c r="J4131" s="161"/>
      <c r="L4131" s="94"/>
      <c r="M4131" s="159"/>
      <c r="N4131" s="94"/>
    </row>
    <row r="4132">
      <c r="A4132" s="107">
        <v>1628371.0</v>
      </c>
      <c r="B4132" s="108" t="s">
        <v>244</v>
      </c>
      <c r="C4132" s="108" t="s">
        <v>999</v>
      </c>
      <c r="D4132" s="100" t="str">
        <f t="shared" si="1"/>
        <v/>
      </c>
      <c r="E4132" s="100" t="str">
        <f t="shared" si="2"/>
        <v/>
      </c>
      <c r="F4132" s="100" t="str">
        <f t="shared" si="3"/>
        <v/>
      </c>
      <c r="G4132" s="151"/>
      <c r="H4132" s="160"/>
      <c r="I4132" s="157"/>
      <c r="J4132" s="158"/>
      <c r="L4132" s="94"/>
      <c r="M4132" s="159"/>
      <c r="N4132" s="94"/>
    </row>
    <row r="4133">
      <c r="A4133" s="107">
        <v>1628371.0</v>
      </c>
      <c r="B4133" s="108" t="s">
        <v>245</v>
      </c>
      <c r="C4133" s="108" t="s">
        <v>999</v>
      </c>
      <c r="D4133" s="100" t="str">
        <f t="shared" si="1"/>
        <v/>
      </c>
      <c r="E4133" s="100" t="str">
        <f t="shared" si="2"/>
        <v/>
      </c>
      <c r="F4133" s="100" t="str">
        <f t="shared" si="3"/>
        <v/>
      </c>
      <c r="G4133" s="151"/>
      <c r="H4133" s="156"/>
      <c r="I4133" s="157"/>
      <c r="J4133" s="161"/>
      <c r="L4133" s="94"/>
      <c r="M4133" s="159"/>
      <c r="N4133" s="94"/>
    </row>
    <row r="4134">
      <c r="A4134" s="107">
        <v>1628371.0</v>
      </c>
      <c r="B4134" s="108" t="s">
        <v>246</v>
      </c>
      <c r="C4134" s="108" t="s">
        <v>999</v>
      </c>
      <c r="D4134" s="100" t="str">
        <f t="shared" si="1"/>
        <v/>
      </c>
      <c r="E4134" s="100" t="str">
        <f t="shared" si="2"/>
        <v/>
      </c>
      <c r="F4134" s="100" t="str">
        <f t="shared" si="3"/>
        <v/>
      </c>
      <c r="G4134" s="151"/>
      <c r="H4134" s="160"/>
      <c r="I4134" s="157"/>
      <c r="J4134" s="158"/>
      <c r="L4134" s="94"/>
      <c r="M4134" s="159"/>
      <c r="N4134" s="94"/>
    </row>
    <row r="4135">
      <c r="A4135" s="149">
        <v>1628371.0</v>
      </c>
      <c r="B4135" s="115" t="s">
        <v>247</v>
      </c>
      <c r="C4135" s="115" t="s">
        <v>999</v>
      </c>
      <c r="D4135" s="100" t="str">
        <f t="shared" si="1"/>
        <v/>
      </c>
      <c r="E4135" s="100" t="str">
        <f t="shared" si="2"/>
        <v/>
      </c>
      <c r="F4135" s="100" t="str">
        <f t="shared" si="3"/>
        <v/>
      </c>
      <c r="G4135" s="151"/>
      <c r="H4135" s="156"/>
      <c r="I4135" s="157"/>
      <c r="J4135" s="161"/>
      <c r="L4135" s="94"/>
      <c r="M4135" s="159"/>
      <c r="N4135" s="94"/>
    </row>
    <row r="4136">
      <c r="A4136" s="21">
        <v>1628372.0</v>
      </c>
      <c r="B4136" s="164" t="s">
        <v>191</v>
      </c>
      <c r="C4136" s="164" t="s">
        <v>1000</v>
      </c>
      <c r="D4136" s="100" t="str">
        <f t="shared" si="1"/>
        <v/>
      </c>
      <c r="E4136" s="100" t="str">
        <f t="shared" si="2"/>
        <v/>
      </c>
      <c r="F4136" s="100" t="str">
        <f t="shared" si="3"/>
        <v/>
      </c>
      <c r="G4136" s="151"/>
      <c r="H4136" s="160"/>
      <c r="I4136" s="157"/>
      <c r="J4136" s="158"/>
      <c r="L4136" s="94"/>
      <c r="M4136" s="159"/>
      <c r="N4136" s="94"/>
    </row>
    <row r="4137">
      <c r="A4137" s="107">
        <v>1628372.0</v>
      </c>
      <c r="B4137" s="108" t="s">
        <v>192</v>
      </c>
      <c r="C4137" s="108" t="s">
        <v>1000</v>
      </c>
      <c r="D4137" s="100" t="str">
        <f t="shared" si="1"/>
        <v/>
      </c>
      <c r="E4137" s="100" t="str">
        <f t="shared" si="2"/>
        <v/>
      </c>
      <c r="F4137" s="100" t="str">
        <f t="shared" si="3"/>
        <v/>
      </c>
      <c r="G4137" s="151"/>
      <c r="H4137" s="156"/>
      <c r="I4137" s="157"/>
      <c r="J4137" s="161"/>
      <c r="L4137" s="94"/>
      <c r="M4137" s="159"/>
      <c r="N4137" s="94"/>
    </row>
    <row r="4138">
      <c r="A4138" s="107">
        <v>1628372.0</v>
      </c>
      <c r="B4138" s="108" t="s">
        <v>193</v>
      </c>
      <c r="C4138" s="108" t="s">
        <v>1000</v>
      </c>
      <c r="D4138" s="100" t="str">
        <f t="shared" si="1"/>
        <v/>
      </c>
      <c r="E4138" s="100" t="str">
        <f t="shared" si="2"/>
        <v/>
      </c>
      <c r="F4138" s="100" t="str">
        <f t="shared" si="3"/>
        <v/>
      </c>
      <c r="G4138" s="151"/>
      <c r="H4138" s="160"/>
      <c r="I4138" s="157"/>
      <c r="J4138" s="158"/>
      <c r="L4138" s="94"/>
      <c r="M4138" s="159"/>
      <c r="N4138" s="94"/>
    </row>
    <row r="4139">
      <c r="A4139" s="107">
        <v>1628372.0</v>
      </c>
      <c r="B4139" s="108" t="s">
        <v>243</v>
      </c>
      <c r="C4139" s="108" t="s">
        <v>1000</v>
      </c>
      <c r="D4139" s="100" t="str">
        <f t="shared" si="1"/>
        <v/>
      </c>
      <c r="E4139" s="100" t="str">
        <f t="shared" si="2"/>
        <v/>
      </c>
      <c r="F4139" s="100" t="str">
        <f t="shared" si="3"/>
        <v/>
      </c>
      <c r="G4139" s="151"/>
      <c r="H4139" s="156"/>
      <c r="I4139" s="157"/>
      <c r="J4139" s="161"/>
      <c r="L4139" s="94"/>
      <c r="M4139" s="159"/>
      <c r="N4139" s="94"/>
    </row>
    <row r="4140">
      <c r="A4140" s="107">
        <v>1628372.0</v>
      </c>
      <c r="B4140" s="108" t="s">
        <v>215</v>
      </c>
      <c r="C4140" s="108" t="s">
        <v>1000</v>
      </c>
      <c r="D4140" s="100" t="str">
        <f t="shared" si="1"/>
        <v/>
      </c>
      <c r="E4140" s="100" t="str">
        <f t="shared" si="2"/>
        <v/>
      </c>
      <c r="F4140" s="100" t="str">
        <f t="shared" si="3"/>
        <v/>
      </c>
      <c r="G4140" s="151"/>
      <c r="H4140" s="160"/>
      <c r="I4140" s="157"/>
      <c r="J4140" s="158"/>
      <c r="L4140" s="94"/>
      <c r="M4140" s="159"/>
      <c r="N4140" s="94"/>
    </row>
    <row r="4141">
      <c r="A4141" s="107">
        <v>1628372.0</v>
      </c>
      <c r="B4141" s="108" t="s">
        <v>244</v>
      </c>
      <c r="C4141" s="108" t="s">
        <v>1000</v>
      </c>
      <c r="D4141" s="100" t="str">
        <f t="shared" si="1"/>
        <v/>
      </c>
      <c r="E4141" s="100" t="str">
        <f t="shared" si="2"/>
        <v/>
      </c>
      <c r="F4141" s="100" t="str">
        <f t="shared" si="3"/>
        <v/>
      </c>
      <c r="G4141" s="151"/>
      <c r="H4141" s="156"/>
      <c r="I4141" s="157"/>
      <c r="J4141" s="161"/>
      <c r="L4141" s="94"/>
      <c r="M4141" s="159"/>
      <c r="N4141" s="94"/>
    </row>
    <row r="4142">
      <c r="A4142" s="107">
        <v>1628372.0</v>
      </c>
      <c r="B4142" s="108" t="s">
        <v>245</v>
      </c>
      <c r="C4142" s="108" t="s">
        <v>1000</v>
      </c>
      <c r="D4142" s="100" t="str">
        <f t="shared" si="1"/>
        <v/>
      </c>
      <c r="E4142" s="100" t="str">
        <f t="shared" si="2"/>
        <v/>
      </c>
      <c r="F4142" s="100" t="str">
        <f t="shared" si="3"/>
        <v/>
      </c>
      <c r="G4142" s="151"/>
      <c r="H4142" s="160"/>
      <c r="I4142" s="157"/>
      <c r="J4142" s="158"/>
      <c r="L4142" s="94"/>
      <c r="M4142" s="159"/>
      <c r="N4142" s="94"/>
    </row>
    <row r="4143">
      <c r="A4143" s="107">
        <v>1628373.0</v>
      </c>
      <c r="B4143" s="108" t="s">
        <v>191</v>
      </c>
      <c r="C4143" s="108" t="s">
        <v>1001</v>
      </c>
      <c r="D4143" s="100" t="str">
        <f t="shared" si="1"/>
        <v/>
      </c>
      <c r="E4143" s="100" t="str">
        <f t="shared" si="2"/>
        <v/>
      </c>
      <c r="F4143" s="100" t="str">
        <f t="shared" si="3"/>
        <v/>
      </c>
      <c r="G4143" s="151"/>
      <c r="H4143" s="156"/>
      <c r="I4143" s="157"/>
      <c r="J4143" s="161"/>
      <c r="L4143" s="94"/>
      <c r="M4143" s="159"/>
      <c r="N4143" s="94"/>
    </row>
    <row r="4144">
      <c r="A4144" s="107">
        <v>1628373.0</v>
      </c>
      <c r="B4144" s="108" t="s">
        <v>192</v>
      </c>
      <c r="C4144" s="108" t="s">
        <v>1001</v>
      </c>
      <c r="D4144" s="100" t="str">
        <f t="shared" si="1"/>
        <v/>
      </c>
      <c r="E4144" s="100" t="str">
        <f t="shared" si="2"/>
        <v/>
      </c>
      <c r="F4144" s="100" t="str">
        <f t="shared" si="3"/>
        <v/>
      </c>
      <c r="G4144" s="151"/>
      <c r="H4144" s="160"/>
      <c r="I4144" s="157"/>
      <c r="J4144" s="158"/>
      <c r="L4144" s="94"/>
      <c r="M4144" s="159"/>
      <c r="N4144" s="94"/>
    </row>
    <row r="4145">
      <c r="A4145" s="107">
        <v>1628373.0</v>
      </c>
      <c r="B4145" s="108" t="s">
        <v>193</v>
      </c>
      <c r="C4145" s="108" t="s">
        <v>1001</v>
      </c>
      <c r="D4145" s="100" t="str">
        <f t="shared" si="1"/>
        <v/>
      </c>
      <c r="E4145" s="100" t="str">
        <f t="shared" si="2"/>
        <v/>
      </c>
      <c r="F4145" s="100" t="str">
        <f t="shared" si="3"/>
        <v/>
      </c>
      <c r="G4145" s="151"/>
      <c r="H4145" s="156"/>
      <c r="I4145" s="157"/>
      <c r="J4145" s="161"/>
      <c r="L4145" s="94"/>
      <c r="M4145" s="159"/>
      <c r="N4145" s="94"/>
    </row>
    <row r="4146">
      <c r="A4146" s="107">
        <v>1628373.0</v>
      </c>
      <c r="B4146" s="108" t="s">
        <v>243</v>
      </c>
      <c r="C4146" s="108" t="s">
        <v>1001</v>
      </c>
      <c r="D4146" s="100" t="str">
        <f t="shared" si="1"/>
        <v/>
      </c>
      <c r="E4146" s="100" t="str">
        <f t="shared" si="2"/>
        <v/>
      </c>
      <c r="F4146" s="100" t="str">
        <f t="shared" si="3"/>
        <v/>
      </c>
      <c r="G4146" s="151"/>
      <c r="H4146" s="160"/>
      <c r="I4146" s="157"/>
      <c r="J4146" s="158"/>
      <c r="L4146" s="94"/>
      <c r="M4146" s="159"/>
      <c r="N4146" s="94"/>
    </row>
    <row r="4147">
      <c r="A4147" s="107">
        <v>1628373.0</v>
      </c>
      <c r="B4147" s="108" t="s">
        <v>215</v>
      </c>
      <c r="C4147" s="108" t="s">
        <v>1001</v>
      </c>
      <c r="D4147" s="100" t="str">
        <f t="shared" si="1"/>
        <v/>
      </c>
      <c r="E4147" s="100" t="str">
        <f t="shared" si="2"/>
        <v/>
      </c>
      <c r="F4147" s="100" t="str">
        <f t="shared" si="3"/>
        <v/>
      </c>
      <c r="G4147" s="151"/>
      <c r="H4147" s="156"/>
      <c r="I4147" s="157"/>
      <c r="J4147" s="161"/>
      <c r="L4147" s="94"/>
      <c r="M4147" s="159"/>
      <c r="N4147" s="94"/>
    </row>
    <row r="4148">
      <c r="A4148" s="107">
        <v>1628373.0</v>
      </c>
      <c r="B4148" s="108" t="s">
        <v>244</v>
      </c>
      <c r="C4148" s="108" t="s">
        <v>1001</v>
      </c>
      <c r="D4148" s="100" t="str">
        <f t="shared" si="1"/>
        <v/>
      </c>
      <c r="E4148" s="100" t="str">
        <f t="shared" si="2"/>
        <v/>
      </c>
      <c r="F4148" s="100" t="str">
        <f t="shared" si="3"/>
        <v/>
      </c>
      <c r="G4148" s="151"/>
      <c r="H4148" s="160"/>
      <c r="I4148" s="157"/>
      <c r="J4148" s="158"/>
      <c r="L4148" s="94"/>
      <c r="M4148" s="159"/>
      <c r="N4148" s="94"/>
    </row>
    <row r="4149">
      <c r="A4149" s="107">
        <v>1628374.0</v>
      </c>
      <c r="B4149" s="108" t="s">
        <v>191</v>
      </c>
      <c r="C4149" s="108" t="s">
        <v>1002</v>
      </c>
      <c r="D4149" s="100" t="str">
        <f t="shared" si="1"/>
        <v/>
      </c>
      <c r="E4149" s="100" t="str">
        <f t="shared" si="2"/>
        <v/>
      </c>
      <c r="F4149" s="100" t="str">
        <f t="shared" si="3"/>
        <v/>
      </c>
      <c r="G4149" s="151"/>
      <c r="H4149" s="156"/>
      <c r="I4149" s="157"/>
      <c r="J4149" s="161"/>
      <c r="L4149" s="94"/>
      <c r="M4149" s="159"/>
      <c r="N4149" s="94"/>
    </row>
    <row r="4150">
      <c r="A4150" s="107">
        <v>1628374.0</v>
      </c>
      <c r="B4150" s="108" t="s">
        <v>192</v>
      </c>
      <c r="C4150" s="108" t="s">
        <v>1002</v>
      </c>
      <c r="D4150" s="100" t="str">
        <f t="shared" si="1"/>
        <v/>
      </c>
      <c r="E4150" s="100" t="str">
        <f t="shared" si="2"/>
        <v/>
      </c>
      <c r="F4150" s="100" t="str">
        <f t="shared" si="3"/>
        <v/>
      </c>
      <c r="G4150" s="151"/>
      <c r="H4150" s="160"/>
      <c r="I4150" s="157"/>
      <c r="J4150" s="158"/>
      <c r="L4150" s="94"/>
      <c r="M4150" s="159"/>
      <c r="N4150" s="94"/>
    </row>
    <row r="4151">
      <c r="A4151" s="107">
        <v>1628374.0</v>
      </c>
      <c r="B4151" s="108" t="s">
        <v>193</v>
      </c>
      <c r="C4151" s="108" t="s">
        <v>1002</v>
      </c>
      <c r="D4151" s="100" t="str">
        <f t="shared" si="1"/>
        <v/>
      </c>
      <c r="E4151" s="100" t="str">
        <f t="shared" si="2"/>
        <v/>
      </c>
      <c r="F4151" s="100" t="str">
        <f t="shared" si="3"/>
        <v/>
      </c>
      <c r="G4151" s="151"/>
      <c r="H4151" s="156"/>
      <c r="I4151" s="157"/>
      <c r="J4151" s="161"/>
      <c r="L4151" s="94"/>
      <c r="M4151" s="159"/>
      <c r="N4151" s="94"/>
    </row>
    <row r="4152">
      <c r="A4152" s="107">
        <v>1628374.0</v>
      </c>
      <c r="B4152" s="108" t="s">
        <v>243</v>
      </c>
      <c r="C4152" s="108" t="s">
        <v>1002</v>
      </c>
      <c r="D4152" s="100" t="str">
        <f t="shared" si="1"/>
        <v/>
      </c>
      <c r="E4152" s="100" t="str">
        <f t="shared" si="2"/>
        <v/>
      </c>
      <c r="F4152" s="100" t="str">
        <f t="shared" si="3"/>
        <v/>
      </c>
      <c r="G4152" s="151"/>
      <c r="H4152" s="160"/>
      <c r="I4152" s="157"/>
      <c r="J4152" s="158"/>
      <c r="L4152" s="94"/>
      <c r="M4152" s="159"/>
      <c r="N4152" s="94"/>
    </row>
    <row r="4153">
      <c r="A4153" s="107">
        <v>1628374.0</v>
      </c>
      <c r="B4153" s="108" t="s">
        <v>215</v>
      </c>
      <c r="C4153" s="108" t="s">
        <v>1002</v>
      </c>
      <c r="D4153" s="100" t="str">
        <f t="shared" si="1"/>
        <v/>
      </c>
      <c r="E4153" s="100" t="str">
        <f t="shared" si="2"/>
        <v/>
      </c>
      <c r="F4153" s="100" t="str">
        <f t="shared" si="3"/>
        <v/>
      </c>
      <c r="G4153" s="151"/>
      <c r="H4153" s="156"/>
      <c r="I4153" s="157"/>
      <c r="J4153" s="161"/>
      <c r="L4153" s="94"/>
      <c r="M4153" s="159"/>
      <c r="N4153" s="94"/>
    </row>
    <row r="4154">
      <c r="A4154" s="107">
        <v>1628374.0</v>
      </c>
      <c r="B4154" s="108" t="s">
        <v>244</v>
      </c>
      <c r="C4154" s="108" t="s">
        <v>1002</v>
      </c>
      <c r="D4154" s="100" t="str">
        <f t="shared" si="1"/>
        <v/>
      </c>
      <c r="E4154" s="100" t="str">
        <f t="shared" si="2"/>
        <v/>
      </c>
      <c r="F4154" s="100" t="str">
        <f t="shared" si="3"/>
        <v/>
      </c>
      <c r="G4154" s="151"/>
      <c r="H4154" s="160"/>
      <c r="I4154" s="157"/>
      <c r="J4154" s="158"/>
      <c r="L4154" s="94"/>
      <c r="M4154" s="159"/>
      <c r="N4154" s="94"/>
    </row>
    <row r="4155">
      <c r="A4155" s="107">
        <v>1628374.0</v>
      </c>
      <c r="B4155" s="108" t="s">
        <v>245</v>
      </c>
      <c r="C4155" s="108" t="s">
        <v>1002</v>
      </c>
      <c r="D4155" s="100" t="str">
        <f t="shared" si="1"/>
        <v/>
      </c>
      <c r="E4155" s="100" t="str">
        <f t="shared" si="2"/>
        <v/>
      </c>
      <c r="F4155" s="100" t="str">
        <f t="shared" si="3"/>
        <v/>
      </c>
      <c r="G4155" s="151"/>
      <c r="H4155" s="156"/>
      <c r="I4155" s="157"/>
      <c r="J4155" s="161"/>
      <c r="L4155" s="94"/>
      <c r="M4155" s="159"/>
      <c r="N4155" s="94"/>
    </row>
    <row r="4156">
      <c r="A4156" s="107">
        <v>1628374.0</v>
      </c>
      <c r="B4156" s="108" t="s">
        <v>246</v>
      </c>
      <c r="C4156" s="108" t="s">
        <v>1002</v>
      </c>
      <c r="D4156" s="100" t="str">
        <f t="shared" si="1"/>
        <v/>
      </c>
      <c r="E4156" s="100" t="str">
        <f t="shared" si="2"/>
        <v/>
      </c>
      <c r="F4156" s="100" t="str">
        <f t="shared" si="3"/>
        <v/>
      </c>
      <c r="G4156" s="151"/>
      <c r="H4156" s="160"/>
      <c r="I4156" s="157"/>
      <c r="J4156" s="158"/>
      <c r="L4156" s="94"/>
      <c r="M4156" s="159"/>
      <c r="N4156" s="94"/>
    </row>
    <row r="4157">
      <c r="A4157" s="149">
        <v>1628374.0</v>
      </c>
      <c r="B4157" s="115" t="s">
        <v>247</v>
      </c>
      <c r="C4157" s="115" t="s">
        <v>1002</v>
      </c>
      <c r="D4157" s="100" t="str">
        <f t="shared" si="1"/>
        <v/>
      </c>
      <c r="E4157" s="100" t="str">
        <f t="shared" si="2"/>
        <v/>
      </c>
      <c r="F4157" s="100" t="str">
        <f t="shared" si="3"/>
        <v/>
      </c>
      <c r="G4157" s="151"/>
      <c r="H4157" s="156"/>
      <c r="I4157" s="157"/>
      <c r="J4157" s="161"/>
      <c r="L4157" s="94"/>
      <c r="M4157" s="159"/>
      <c r="N4157" s="94"/>
    </row>
    <row r="4158">
      <c r="A4158" s="21">
        <v>1628378.0</v>
      </c>
      <c r="B4158" s="164" t="s">
        <v>191</v>
      </c>
      <c r="C4158" s="164" t="s">
        <v>1003</v>
      </c>
      <c r="D4158" s="100" t="str">
        <f t="shared" si="1"/>
        <v/>
      </c>
      <c r="E4158" s="100" t="str">
        <f t="shared" si="2"/>
        <v/>
      </c>
      <c r="F4158" s="100" t="str">
        <f t="shared" si="3"/>
        <v/>
      </c>
      <c r="G4158" s="151"/>
      <c r="H4158" s="160"/>
      <c r="I4158" s="157"/>
      <c r="J4158" s="158"/>
      <c r="L4158" s="94"/>
      <c r="M4158" s="159"/>
      <c r="N4158" s="94"/>
    </row>
    <row r="4159">
      <c r="A4159" s="107">
        <v>1628378.0</v>
      </c>
      <c r="B4159" s="108" t="s">
        <v>192</v>
      </c>
      <c r="C4159" s="108" t="s">
        <v>1003</v>
      </c>
      <c r="D4159" s="100" t="str">
        <f t="shared" si="1"/>
        <v/>
      </c>
      <c r="E4159" s="100" t="str">
        <f t="shared" si="2"/>
        <v/>
      </c>
      <c r="F4159" s="100" t="str">
        <f t="shared" si="3"/>
        <v/>
      </c>
      <c r="G4159" s="151"/>
      <c r="H4159" s="156"/>
      <c r="I4159" s="157"/>
      <c r="J4159" s="161"/>
      <c r="L4159" s="94"/>
      <c r="M4159" s="159"/>
      <c r="N4159" s="94"/>
    </row>
    <row r="4160">
      <c r="A4160" s="107">
        <v>1628378.0</v>
      </c>
      <c r="B4160" s="108" t="s">
        <v>193</v>
      </c>
      <c r="C4160" s="108" t="s">
        <v>1003</v>
      </c>
      <c r="D4160" s="100" t="str">
        <f t="shared" si="1"/>
        <v/>
      </c>
      <c r="E4160" s="100" t="str">
        <f t="shared" si="2"/>
        <v/>
      </c>
      <c r="F4160" s="100" t="str">
        <f t="shared" si="3"/>
        <v/>
      </c>
      <c r="G4160" s="151"/>
      <c r="H4160" s="160"/>
      <c r="I4160" s="157"/>
      <c r="J4160" s="158"/>
      <c r="L4160" s="94"/>
      <c r="M4160" s="159"/>
      <c r="N4160" s="94"/>
    </row>
    <row r="4161">
      <c r="A4161" s="107">
        <v>1628378.0</v>
      </c>
      <c r="B4161" s="108" t="s">
        <v>243</v>
      </c>
      <c r="C4161" s="108" t="s">
        <v>1003</v>
      </c>
      <c r="D4161" s="100" t="str">
        <f t="shared" si="1"/>
        <v/>
      </c>
      <c r="E4161" s="100" t="str">
        <f t="shared" si="2"/>
        <v/>
      </c>
      <c r="F4161" s="100" t="str">
        <f t="shared" si="3"/>
        <v/>
      </c>
      <c r="G4161" s="151"/>
      <c r="H4161" s="156"/>
      <c r="I4161" s="157"/>
      <c r="J4161" s="161"/>
      <c r="L4161" s="94"/>
      <c r="M4161" s="159"/>
      <c r="N4161" s="94"/>
    </row>
    <row r="4162">
      <c r="A4162" s="107">
        <v>1628378.0</v>
      </c>
      <c r="B4162" s="108" t="s">
        <v>215</v>
      </c>
      <c r="C4162" s="108" t="s">
        <v>1003</v>
      </c>
      <c r="D4162" s="100" t="str">
        <f t="shared" si="1"/>
        <v/>
      </c>
      <c r="E4162" s="100" t="str">
        <f t="shared" si="2"/>
        <v/>
      </c>
      <c r="F4162" s="100" t="str">
        <f t="shared" si="3"/>
        <v/>
      </c>
      <c r="G4162" s="151"/>
      <c r="H4162" s="160"/>
      <c r="I4162" s="157"/>
      <c r="J4162" s="158"/>
      <c r="L4162" s="94"/>
      <c r="M4162" s="159"/>
      <c r="N4162" s="94"/>
    </row>
    <row r="4163">
      <c r="A4163" s="107">
        <v>1628378.0</v>
      </c>
      <c r="B4163" s="108" t="s">
        <v>244</v>
      </c>
      <c r="C4163" s="108" t="s">
        <v>1003</v>
      </c>
      <c r="D4163" s="100" t="str">
        <f t="shared" si="1"/>
        <v/>
      </c>
      <c r="E4163" s="100" t="str">
        <f t="shared" si="2"/>
        <v/>
      </c>
      <c r="F4163" s="100" t="str">
        <f t="shared" si="3"/>
        <v/>
      </c>
      <c r="G4163" s="151"/>
      <c r="H4163" s="156"/>
      <c r="I4163" s="157"/>
      <c r="J4163" s="161"/>
      <c r="L4163" s="94"/>
      <c r="M4163" s="159"/>
      <c r="N4163" s="94"/>
    </row>
    <row r="4164">
      <c r="A4164" s="107">
        <v>1628378.0</v>
      </c>
      <c r="B4164" s="108" t="s">
        <v>245</v>
      </c>
      <c r="C4164" s="108" t="s">
        <v>1003</v>
      </c>
      <c r="D4164" s="100" t="str">
        <f t="shared" si="1"/>
        <v/>
      </c>
      <c r="E4164" s="100" t="str">
        <f t="shared" si="2"/>
        <v/>
      </c>
      <c r="F4164" s="100" t="str">
        <f t="shared" si="3"/>
        <v/>
      </c>
      <c r="G4164" s="151"/>
      <c r="H4164" s="160"/>
      <c r="I4164" s="157"/>
      <c r="J4164" s="158"/>
      <c r="L4164" s="94"/>
      <c r="M4164" s="159"/>
      <c r="N4164" s="94"/>
    </row>
    <row r="4165">
      <c r="A4165" s="107">
        <v>1628378.0</v>
      </c>
      <c r="B4165" s="108" t="s">
        <v>246</v>
      </c>
      <c r="C4165" s="108" t="s">
        <v>1003</v>
      </c>
      <c r="D4165" s="100" t="str">
        <f t="shared" si="1"/>
        <v/>
      </c>
      <c r="E4165" s="100" t="str">
        <f t="shared" si="2"/>
        <v/>
      </c>
      <c r="F4165" s="100" t="str">
        <f t="shared" si="3"/>
        <v/>
      </c>
      <c r="G4165" s="151"/>
      <c r="H4165" s="156"/>
      <c r="I4165" s="157"/>
      <c r="J4165" s="161"/>
      <c r="L4165" s="94"/>
      <c r="M4165" s="159"/>
      <c r="N4165" s="94"/>
    </row>
    <row r="4166">
      <c r="A4166" s="149">
        <v>1628378.0</v>
      </c>
      <c r="B4166" s="115" t="s">
        <v>247</v>
      </c>
      <c r="C4166" s="115" t="s">
        <v>1003</v>
      </c>
      <c r="D4166" s="100" t="str">
        <f t="shared" si="1"/>
        <v/>
      </c>
      <c r="E4166" s="100" t="str">
        <f t="shared" si="2"/>
        <v/>
      </c>
      <c r="F4166" s="100" t="str">
        <f t="shared" si="3"/>
        <v/>
      </c>
      <c r="G4166" s="151"/>
      <c r="H4166" s="160"/>
      <c r="I4166" s="157"/>
      <c r="J4166" s="158"/>
      <c r="L4166" s="94"/>
      <c r="M4166" s="159"/>
      <c r="N4166" s="94"/>
    </row>
    <row r="4167">
      <c r="A4167" s="21">
        <v>1628379.0</v>
      </c>
      <c r="B4167" s="164" t="s">
        <v>191</v>
      </c>
      <c r="C4167" s="164" t="s">
        <v>1004</v>
      </c>
      <c r="D4167" s="100" t="str">
        <f t="shared" si="1"/>
        <v/>
      </c>
      <c r="E4167" s="100" t="str">
        <f t="shared" si="2"/>
        <v/>
      </c>
      <c r="F4167" s="100" t="str">
        <f t="shared" si="3"/>
        <v/>
      </c>
      <c r="G4167" s="151"/>
      <c r="H4167" s="156"/>
      <c r="I4167" s="157"/>
      <c r="J4167" s="161"/>
      <c r="L4167" s="94"/>
      <c r="M4167" s="159"/>
      <c r="N4167" s="94"/>
    </row>
    <row r="4168">
      <c r="A4168" s="107">
        <v>1628379.0</v>
      </c>
      <c r="B4168" s="108" t="s">
        <v>192</v>
      </c>
      <c r="C4168" s="108" t="s">
        <v>1004</v>
      </c>
      <c r="D4168" s="100" t="str">
        <f t="shared" si="1"/>
        <v/>
      </c>
      <c r="E4168" s="100" t="str">
        <f t="shared" si="2"/>
        <v/>
      </c>
      <c r="F4168" s="100" t="str">
        <f t="shared" si="3"/>
        <v/>
      </c>
      <c r="G4168" s="151"/>
      <c r="H4168" s="160"/>
      <c r="I4168" s="157"/>
      <c r="J4168" s="158"/>
      <c r="L4168" s="94"/>
      <c r="M4168" s="159"/>
      <c r="N4168" s="94"/>
    </row>
    <row r="4169">
      <c r="A4169" s="107">
        <v>1628379.0</v>
      </c>
      <c r="B4169" s="108" t="s">
        <v>193</v>
      </c>
      <c r="C4169" s="108" t="s">
        <v>1004</v>
      </c>
      <c r="D4169" s="100" t="str">
        <f t="shared" si="1"/>
        <v/>
      </c>
      <c r="E4169" s="100" t="str">
        <f t="shared" si="2"/>
        <v/>
      </c>
      <c r="F4169" s="100" t="str">
        <f t="shared" si="3"/>
        <v/>
      </c>
      <c r="G4169" s="151"/>
      <c r="H4169" s="156"/>
      <c r="I4169" s="157"/>
      <c r="J4169" s="161"/>
      <c r="L4169" s="94"/>
      <c r="M4169" s="159"/>
      <c r="N4169" s="94"/>
    </row>
    <row r="4170">
      <c r="A4170" s="107">
        <v>1628379.0</v>
      </c>
      <c r="B4170" s="108" t="s">
        <v>243</v>
      </c>
      <c r="C4170" s="108" t="s">
        <v>1004</v>
      </c>
      <c r="D4170" s="100" t="str">
        <f t="shared" si="1"/>
        <v/>
      </c>
      <c r="E4170" s="100" t="str">
        <f t="shared" si="2"/>
        <v/>
      </c>
      <c r="F4170" s="100" t="str">
        <f t="shared" si="3"/>
        <v/>
      </c>
      <c r="G4170" s="151"/>
      <c r="H4170" s="160"/>
      <c r="I4170" s="157"/>
      <c r="J4170" s="158"/>
      <c r="L4170" s="94"/>
      <c r="M4170" s="159"/>
      <c r="N4170" s="94"/>
    </row>
    <row r="4171">
      <c r="A4171" s="107">
        <v>1628379.0</v>
      </c>
      <c r="B4171" s="108" t="s">
        <v>215</v>
      </c>
      <c r="C4171" s="108" t="s">
        <v>1004</v>
      </c>
      <c r="D4171" s="100" t="str">
        <f t="shared" si="1"/>
        <v/>
      </c>
      <c r="E4171" s="100" t="str">
        <f t="shared" si="2"/>
        <v/>
      </c>
      <c r="F4171" s="100" t="str">
        <f t="shared" si="3"/>
        <v/>
      </c>
      <c r="G4171" s="151"/>
      <c r="H4171" s="156"/>
      <c r="I4171" s="157"/>
      <c r="J4171" s="161"/>
      <c r="L4171" s="94"/>
      <c r="M4171" s="159"/>
      <c r="N4171" s="94"/>
    </row>
    <row r="4172">
      <c r="A4172" s="107">
        <v>1628379.0</v>
      </c>
      <c r="B4172" s="108" t="s">
        <v>244</v>
      </c>
      <c r="C4172" s="108" t="s">
        <v>1004</v>
      </c>
      <c r="D4172" s="100" t="str">
        <f t="shared" si="1"/>
        <v/>
      </c>
      <c r="E4172" s="100" t="str">
        <f t="shared" si="2"/>
        <v/>
      </c>
      <c r="F4172" s="100" t="str">
        <f t="shared" si="3"/>
        <v/>
      </c>
      <c r="G4172" s="151"/>
      <c r="H4172" s="160"/>
      <c r="I4172" s="157"/>
      <c r="J4172" s="158"/>
      <c r="L4172" s="94"/>
      <c r="M4172" s="159"/>
      <c r="N4172" s="94"/>
    </row>
    <row r="4173">
      <c r="A4173" s="107">
        <v>1628379.0</v>
      </c>
      <c r="B4173" s="108" t="s">
        <v>245</v>
      </c>
      <c r="C4173" s="108" t="s">
        <v>1004</v>
      </c>
      <c r="D4173" s="100" t="str">
        <f t="shared" si="1"/>
        <v/>
      </c>
      <c r="E4173" s="100" t="str">
        <f t="shared" si="2"/>
        <v/>
      </c>
      <c r="F4173" s="100" t="str">
        <f t="shared" si="3"/>
        <v/>
      </c>
      <c r="G4173" s="151"/>
      <c r="H4173" s="156"/>
      <c r="I4173" s="157"/>
      <c r="J4173" s="161"/>
      <c r="L4173" s="94"/>
      <c r="M4173" s="159"/>
      <c r="N4173" s="94"/>
    </row>
    <row r="4174">
      <c r="A4174" s="107">
        <v>1628379.0</v>
      </c>
      <c r="B4174" s="108" t="s">
        <v>246</v>
      </c>
      <c r="C4174" s="108" t="s">
        <v>1004</v>
      </c>
      <c r="D4174" s="100" t="str">
        <f t="shared" si="1"/>
        <v/>
      </c>
      <c r="E4174" s="100" t="str">
        <f t="shared" si="2"/>
        <v/>
      </c>
      <c r="F4174" s="100" t="str">
        <f t="shared" si="3"/>
        <v/>
      </c>
      <c r="G4174" s="151"/>
      <c r="H4174" s="160"/>
      <c r="I4174" s="157"/>
      <c r="J4174" s="158"/>
      <c r="L4174" s="94"/>
      <c r="M4174" s="159"/>
      <c r="N4174" s="94"/>
    </row>
    <row r="4175">
      <c r="A4175" s="149">
        <v>1628379.0</v>
      </c>
      <c r="B4175" s="115" t="s">
        <v>247</v>
      </c>
      <c r="C4175" s="115" t="s">
        <v>1004</v>
      </c>
      <c r="D4175" s="100" t="str">
        <f t="shared" si="1"/>
        <v/>
      </c>
      <c r="E4175" s="100" t="str">
        <f t="shared" si="2"/>
        <v/>
      </c>
      <c r="F4175" s="100" t="str">
        <f t="shared" si="3"/>
        <v/>
      </c>
      <c r="G4175" s="151"/>
      <c r="H4175" s="156"/>
      <c r="I4175" s="157"/>
      <c r="J4175" s="161"/>
      <c r="L4175" s="94"/>
      <c r="M4175" s="159"/>
      <c r="N4175" s="94"/>
    </row>
    <row r="4176">
      <c r="A4176" s="21">
        <v>1628380.0</v>
      </c>
      <c r="B4176" s="164" t="s">
        <v>191</v>
      </c>
      <c r="C4176" s="164" t="s">
        <v>1005</v>
      </c>
      <c r="D4176" s="100" t="str">
        <f t="shared" si="1"/>
        <v/>
      </c>
      <c r="E4176" s="100" t="str">
        <f t="shared" si="2"/>
        <v/>
      </c>
      <c r="F4176" s="100" t="str">
        <f t="shared" si="3"/>
        <v/>
      </c>
      <c r="G4176" s="151"/>
      <c r="H4176" s="160"/>
      <c r="I4176" s="157"/>
      <c r="J4176" s="158"/>
      <c r="L4176" s="94"/>
      <c r="M4176" s="159"/>
      <c r="N4176" s="94"/>
    </row>
    <row r="4177">
      <c r="A4177" s="107">
        <v>1628380.0</v>
      </c>
      <c r="B4177" s="108" t="s">
        <v>192</v>
      </c>
      <c r="C4177" s="108" t="s">
        <v>1005</v>
      </c>
      <c r="D4177" s="100" t="str">
        <f t="shared" si="1"/>
        <v/>
      </c>
      <c r="E4177" s="100" t="str">
        <f t="shared" si="2"/>
        <v/>
      </c>
      <c r="F4177" s="100" t="str">
        <f t="shared" si="3"/>
        <v/>
      </c>
      <c r="G4177" s="151"/>
      <c r="H4177" s="156"/>
      <c r="I4177" s="157"/>
      <c r="J4177" s="161"/>
      <c r="L4177" s="94"/>
      <c r="M4177" s="159"/>
      <c r="N4177" s="94"/>
    </row>
    <row r="4178">
      <c r="A4178" s="107">
        <v>1628380.0</v>
      </c>
      <c r="B4178" s="108" t="s">
        <v>193</v>
      </c>
      <c r="C4178" s="108" t="s">
        <v>1005</v>
      </c>
      <c r="D4178" s="100" t="str">
        <f t="shared" si="1"/>
        <v/>
      </c>
      <c r="E4178" s="100" t="str">
        <f t="shared" si="2"/>
        <v/>
      </c>
      <c r="F4178" s="100" t="str">
        <f t="shared" si="3"/>
        <v/>
      </c>
      <c r="G4178" s="151"/>
      <c r="H4178" s="160"/>
      <c r="I4178" s="157"/>
      <c r="J4178" s="158"/>
      <c r="L4178" s="94"/>
      <c r="M4178" s="159"/>
      <c r="N4178" s="94"/>
    </row>
    <row r="4179">
      <c r="A4179" s="107">
        <v>1628380.0</v>
      </c>
      <c r="B4179" s="108" t="s">
        <v>215</v>
      </c>
      <c r="C4179" s="108" t="s">
        <v>1005</v>
      </c>
      <c r="D4179" s="100" t="str">
        <f t="shared" si="1"/>
        <v/>
      </c>
      <c r="E4179" s="100" t="str">
        <f t="shared" si="2"/>
        <v/>
      </c>
      <c r="F4179" s="100" t="str">
        <f t="shared" si="3"/>
        <v/>
      </c>
      <c r="G4179" s="151"/>
      <c r="H4179" s="156"/>
      <c r="I4179" s="157"/>
      <c r="J4179" s="161"/>
      <c r="L4179" s="94"/>
      <c r="M4179" s="159"/>
      <c r="N4179" s="94"/>
    </row>
    <row r="4180">
      <c r="A4180" s="107">
        <v>1628380.0</v>
      </c>
      <c r="B4180" s="108" t="s">
        <v>244</v>
      </c>
      <c r="C4180" s="108" t="s">
        <v>1005</v>
      </c>
      <c r="D4180" s="100" t="str">
        <f t="shared" si="1"/>
        <v/>
      </c>
      <c r="E4180" s="100" t="str">
        <f t="shared" si="2"/>
        <v/>
      </c>
      <c r="F4180" s="100" t="str">
        <f t="shared" si="3"/>
        <v/>
      </c>
      <c r="G4180" s="151"/>
      <c r="H4180" s="160"/>
      <c r="I4180" s="157"/>
      <c r="J4180" s="158"/>
      <c r="L4180" s="94"/>
      <c r="M4180" s="159"/>
      <c r="N4180" s="94"/>
    </row>
    <row r="4181">
      <c r="A4181" s="107">
        <v>1628380.0</v>
      </c>
      <c r="B4181" s="108" t="s">
        <v>245</v>
      </c>
      <c r="C4181" s="108" t="s">
        <v>1005</v>
      </c>
      <c r="D4181" s="100" t="str">
        <f t="shared" si="1"/>
        <v/>
      </c>
      <c r="E4181" s="100" t="str">
        <f t="shared" si="2"/>
        <v/>
      </c>
      <c r="F4181" s="100" t="str">
        <f t="shared" si="3"/>
        <v/>
      </c>
      <c r="G4181" s="151"/>
      <c r="H4181" s="156"/>
      <c r="I4181" s="157"/>
      <c r="J4181" s="161"/>
      <c r="L4181" s="94"/>
      <c r="M4181" s="159"/>
      <c r="N4181" s="94"/>
    </row>
    <row r="4182">
      <c r="A4182" s="107">
        <v>1628380.0</v>
      </c>
      <c r="B4182" s="108" t="s">
        <v>246</v>
      </c>
      <c r="C4182" s="108" t="s">
        <v>1005</v>
      </c>
      <c r="D4182" s="100" t="str">
        <f t="shared" si="1"/>
        <v/>
      </c>
      <c r="E4182" s="100" t="str">
        <f t="shared" si="2"/>
        <v/>
      </c>
      <c r="F4182" s="100" t="str">
        <f t="shared" si="3"/>
        <v/>
      </c>
      <c r="G4182" s="151"/>
      <c r="H4182" s="160"/>
      <c r="I4182" s="157"/>
      <c r="J4182" s="158"/>
      <c r="L4182" s="94"/>
      <c r="M4182" s="159"/>
      <c r="N4182" s="94"/>
    </row>
    <row r="4183">
      <c r="A4183" s="149">
        <v>1628380.0</v>
      </c>
      <c r="B4183" s="115" t="s">
        <v>247</v>
      </c>
      <c r="C4183" s="115" t="s">
        <v>1005</v>
      </c>
      <c r="D4183" s="100" t="str">
        <f t="shared" si="1"/>
        <v/>
      </c>
      <c r="E4183" s="100" t="str">
        <f t="shared" si="2"/>
        <v/>
      </c>
      <c r="F4183" s="100" t="str">
        <f t="shared" si="3"/>
        <v/>
      </c>
      <c r="G4183" s="151"/>
      <c r="H4183" s="156"/>
      <c r="I4183" s="157"/>
      <c r="J4183" s="161"/>
      <c r="L4183" s="94"/>
      <c r="M4183" s="159"/>
      <c r="N4183" s="94"/>
    </row>
    <row r="4184">
      <c r="A4184" s="21">
        <v>1628381.0</v>
      </c>
      <c r="B4184" s="164" t="s">
        <v>191</v>
      </c>
      <c r="C4184" s="164" t="s">
        <v>1006</v>
      </c>
      <c r="D4184" s="100" t="str">
        <f t="shared" si="1"/>
        <v/>
      </c>
      <c r="E4184" s="100" t="str">
        <f t="shared" si="2"/>
        <v/>
      </c>
      <c r="F4184" s="100" t="str">
        <f t="shared" si="3"/>
        <v/>
      </c>
      <c r="G4184" s="151"/>
      <c r="H4184" s="160"/>
      <c r="I4184" s="157"/>
      <c r="J4184" s="158"/>
      <c r="L4184" s="94"/>
      <c r="M4184" s="159"/>
      <c r="N4184" s="94"/>
    </row>
    <row r="4185">
      <c r="A4185" s="107">
        <v>1628381.0</v>
      </c>
      <c r="B4185" s="108" t="s">
        <v>192</v>
      </c>
      <c r="C4185" s="108" t="s">
        <v>1006</v>
      </c>
      <c r="D4185" s="100" t="str">
        <f t="shared" si="1"/>
        <v/>
      </c>
      <c r="E4185" s="100" t="str">
        <f t="shared" si="2"/>
        <v/>
      </c>
      <c r="F4185" s="100" t="str">
        <f t="shared" si="3"/>
        <v/>
      </c>
      <c r="G4185" s="151"/>
      <c r="H4185" s="156"/>
      <c r="I4185" s="157"/>
      <c r="J4185" s="161"/>
      <c r="L4185" s="94"/>
      <c r="M4185" s="159"/>
      <c r="N4185" s="94"/>
    </row>
    <row r="4186">
      <c r="A4186" s="107">
        <v>1628381.0</v>
      </c>
      <c r="B4186" s="108" t="s">
        <v>193</v>
      </c>
      <c r="C4186" s="108" t="s">
        <v>1006</v>
      </c>
      <c r="D4186" s="100" t="str">
        <f t="shared" si="1"/>
        <v/>
      </c>
      <c r="E4186" s="100" t="str">
        <f t="shared" si="2"/>
        <v/>
      </c>
      <c r="F4186" s="100" t="str">
        <f t="shared" si="3"/>
        <v/>
      </c>
      <c r="G4186" s="151"/>
      <c r="H4186" s="160"/>
      <c r="I4186" s="157"/>
      <c r="J4186" s="158"/>
      <c r="L4186" s="94"/>
      <c r="M4186" s="159"/>
      <c r="N4186" s="94"/>
    </row>
    <row r="4187">
      <c r="A4187" s="107">
        <v>1628381.0</v>
      </c>
      <c r="B4187" s="108" t="s">
        <v>243</v>
      </c>
      <c r="C4187" s="108" t="s">
        <v>1006</v>
      </c>
      <c r="D4187" s="100" t="str">
        <f t="shared" si="1"/>
        <v/>
      </c>
      <c r="E4187" s="100" t="str">
        <f t="shared" si="2"/>
        <v/>
      </c>
      <c r="F4187" s="100" t="str">
        <f t="shared" si="3"/>
        <v/>
      </c>
      <c r="G4187" s="151"/>
      <c r="H4187" s="156"/>
      <c r="I4187" s="157"/>
      <c r="J4187" s="161"/>
      <c r="L4187" s="94"/>
      <c r="M4187" s="159"/>
      <c r="N4187" s="94"/>
    </row>
    <row r="4188">
      <c r="A4188" s="107">
        <v>1628381.0</v>
      </c>
      <c r="B4188" s="108" t="s">
        <v>215</v>
      </c>
      <c r="C4188" s="108" t="s">
        <v>1006</v>
      </c>
      <c r="D4188" s="100" t="str">
        <f t="shared" si="1"/>
        <v/>
      </c>
      <c r="E4188" s="100" t="str">
        <f t="shared" si="2"/>
        <v/>
      </c>
      <c r="F4188" s="100" t="str">
        <f t="shared" si="3"/>
        <v/>
      </c>
      <c r="G4188" s="151"/>
      <c r="H4188" s="160"/>
      <c r="I4188" s="157"/>
      <c r="J4188" s="158"/>
      <c r="L4188" s="94"/>
      <c r="M4188" s="159"/>
      <c r="N4188" s="94"/>
    </row>
    <row r="4189">
      <c r="A4189" s="107">
        <v>1628381.0</v>
      </c>
      <c r="B4189" s="108" t="s">
        <v>244</v>
      </c>
      <c r="C4189" s="108" t="s">
        <v>1006</v>
      </c>
      <c r="D4189" s="100" t="str">
        <f t="shared" si="1"/>
        <v/>
      </c>
      <c r="E4189" s="100" t="str">
        <f t="shared" si="2"/>
        <v/>
      </c>
      <c r="F4189" s="100" t="str">
        <f t="shared" si="3"/>
        <v/>
      </c>
      <c r="G4189" s="151"/>
      <c r="H4189" s="156"/>
      <c r="I4189" s="157"/>
      <c r="J4189" s="161"/>
      <c r="L4189" s="94"/>
      <c r="M4189" s="159"/>
      <c r="N4189" s="94"/>
    </row>
    <row r="4190">
      <c r="A4190" s="107">
        <v>1628381.0</v>
      </c>
      <c r="B4190" s="108" t="s">
        <v>245</v>
      </c>
      <c r="C4190" s="108" t="s">
        <v>1006</v>
      </c>
      <c r="D4190" s="100" t="str">
        <f t="shared" si="1"/>
        <v/>
      </c>
      <c r="E4190" s="100" t="str">
        <f t="shared" si="2"/>
        <v/>
      </c>
      <c r="F4190" s="100" t="str">
        <f t="shared" si="3"/>
        <v/>
      </c>
      <c r="G4190" s="151"/>
      <c r="H4190" s="160"/>
      <c r="I4190" s="157"/>
      <c r="J4190" s="158"/>
      <c r="L4190" s="94"/>
      <c r="M4190" s="159"/>
      <c r="N4190" s="94"/>
    </row>
    <row r="4191">
      <c r="A4191" s="107">
        <v>1628381.0</v>
      </c>
      <c r="B4191" s="108" t="s">
        <v>246</v>
      </c>
      <c r="C4191" s="108" t="s">
        <v>1006</v>
      </c>
      <c r="D4191" s="100" t="str">
        <f t="shared" si="1"/>
        <v/>
      </c>
      <c r="E4191" s="100" t="str">
        <f t="shared" si="2"/>
        <v/>
      </c>
      <c r="F4191" s="100" t="str">
        <f t="shared" si="3"/>
        <v/>
      </c>
      <c r="G4191" s="151"/>
      <c r="H4191" s="156"/>
      <c r="I4191" s="157"/>
      <c r="J4191" s="161"/>
      <c r="L4191" s="94"/>
      <c r="M4191" s="159"/>
      <c r="N4191" s="94"/>
    </row>
    <row r="4192">
      <c r="A4192" s="149">
        <v>1628381.0</v>
      </c>
      <c r="B4192" s="115" t="s">
        <v>247</v>
      </c>
      <c r="C4192" s="115" t="s">
        <v>1006</v>
      </c>
      <c r="D4192" s="100" t="str">
        <f t="shared" si="1"/>
        <v/>
      </c>
      <c r="E4192" s="100" t="str">
        <f t="shared" si="2"/>
        <v/>
      </c>
      <c r="F4192" s="100" t="str">
        <f t="shared" si="3"/>
        <v/>
      </c>
      <c r="G4192" s="151"/>
      <c r="H4192" s="160"/>
      <c r="I4192" s="157"/>
      <c r="J4192" s="158"/>
      <c r="L4192" s="94"/>
      <c r="M4192" s="159"/>
      <c r="N4192" s="94"/>
    </row>
    <row r="4193">
      <c r="A4193" s="21">
        <v>1628382.0</v>
      </c>
      <c r="B4193" s="164" t="s">
        <v>191</v>
      </c>
      <c r="C4193" s="164" t="s">
        <v>1007</v>
      </c>
      <c r="D4193" s="100" t="str">
        <f t="shared" si="1"/>
        <v/>
      </c>
      <c r="E4193" s="100" t="str">
        <f t="shared" si="2"/>
        <v/>
      </c>
      <c r="F4193" s="100" t="str">
        <f t="shared" si="3"/>
        <v/>
      </c>
      <c r="G4193" s="151"/>
      <c r="H4193" s="156"/>
      <c r="I4193" s="157"/>
      <c r="J4193" s="161"/>
      <c r="L4193" s="94"/>
      <c r="M4193" s="159"/>
      <c r="N4193" s="94"/>
    </row>
    <row r="4194">
      <c r="A4194" s="107">
        <v>1628382.0</v>
      </c>
      <c r="B4194" s="108" t="s">
        <v>192</v>
      </c>
      <c r="C4194" s="108" t="s">
        <v>1007</v>
      </c>
      <c r="D4194" s="100" t="str">
        <f t="shared" si="1"/>
        <v/>
      </c>
      <c r="E4194" s="100" t="str">
        <f t="shared" si="2"/>
        <v/>
      </c>
      <c r="F4194" s="100" t="str">
        <f t="shared" si="3"/>
        <v/>
      </c>
      <c r="G4194" s="151"/>
      <c r="H4194" s="160"/>
      <c r="I4194" s="157"/>
      <c r="J4194" s="158"/>
      <c r="L4194" s="94"/>
      <c r="M4194" s="159"/>
      <c r="N4194" s="94"/>
    </row>
    <row r="4195">
      <c r="A4195" s="107">
        <v>1628382.0</v>
      </c>
      <c r="B4195" s="108" t="s">
        <v>193</v>
      </c>
      <c r="C4195" s="108" t="s">
        <v>1007</v>
      </c>
      <c r="D4195" s="100" t="str">
        <f t="shared" si="1"/>
        <v/>
      </c>
      <c r="E4195" s="100" t="str">
        <f t="shared" si="2"/>
        <v/>
      </c>
      <c r="F4195" s="100" t="str">
        <f t="shared" si="3"/>
        <v/>
      </c>
      <c r="G4195" s="151"/>
      <c r="H4195" s="156"/>
      <c r="I4195" s="157"/>
      <c r="J4195" s="161"/>
      <c r="L4195" s="94"/>
      <c r="M4195" s="159"/>
      <c r="N4195" s="94"/>
    </row>
    <row r="4196">
      <c r="A4196" s="107">
        <v>1628382.0</v>
      </c>
      <c r="B4196" s="108" t="s">
        <v>243</v>
      </c>
      <c r="C4196" s="108" t="s">
        <v>1007</v>
      </c>
      <c r="D4196" s="100" t="str">
        <f t="shared" si="1"/>
        <v/>
      </c>
      <c r="E4196" s="100" t="str">
        <f t="shared" si="2"/>
        <v/>
      </c>
      <c r="F4196" s="100" t="str">
        <f t="shared" si="3"/>
        <v/>
      </c>
      <c r="G4196" s="151"/>
      <c r="H4196" s="160"/>
      <c r="I4196" s="157"/>
      <c r="J4196" s="158"/>
      <c r="L4196" s="94"/>
      <c r="M4196" s="159"/>
      <c r="N4196" s="94"/>
    </row>
    <row r="4197">
      <c r="A4197" s="107">
        <v>1628382.0</v>
      </c>
      <c r="B4197" s="108" t="s">
        <v>215</v>
      </c>
      <c r="C4197" s="108" t="s">
        <v>1007</v>
      </c>
      <c r="D4197" s="100" t="str">
        <f t="shared" si="1"/>
        <v/>
      </c>
      <c r="E4197" s="100" t="str">
        <f t="shared" si="2"/>
        <v/>
      </c>
      <c r="F4197" s="100" t="str">
        <f t="shared" si="3"/>
        <v/>
      </c>
      <c r="G4197" s="151"/>
      <c r="H4197" s="156"/>
      <c r="I4197" s="157"/>
      <c r="J4197" s="161"/>
      <c r="L4197" s="94"/>
      <c r="M4197" s="159"/>
      <c r="N4197" s="94"/>
    </row>
    <row r="4198">
      <c r="A4198" s="107">
        <v>1628382.0</v>
      </c>
      <c r="B4198" s="108" t="s">
        <v>244</v>
      </c>
      <c r="C4198" s="108" t="s">
        <v>1007</v>
      </c>
      <c r="D4198" s="100" t="str">
        <f t="shared" si="1"/>
        <v/>
      </c>
      <c r="E4198" s="100" t="str">
        <f t="shared" si="2"/>
        <v/>
      </c>
      <c r="F4198" s="100" t="str">
        <f t="shared" si="3"/>
        <v/>
      </c>
      <c r="G4198" s="151"/>
      <c r="H4198" s="160"/>
      <c r="I4198" s="157"/>
      <c r="J4198" s="158"/>
      <c r="L4198" s="94"/>
      <c r="M4198" s="159"/>
      <c r="N4198" s="94"/>
    </row>
    <row r="4199">
      <c r="A4199" s="107">
        <v>1628383.0</v>
      </c>
      <c r="B4199" s="108" t="s">
        <v>191</v>
      </c>
      <c r="C4199" s="108" t="s">
        <v>1008</v>
      </c>
      <c r="D4199" s="100" t="str">
        <f t="shared" si="1"/>
        <v/>
      </c>
      <c r="E4199" s="100" t="str">
        <f t="shared" si="2"/>
        <v/>
      </c>
      <c r="F4199" s="100" t="str">
        <f t="shared" si="3"/>
        <v/>
      </c>
      <c r="G4199" s="151"/>
      <c r="H4199" s="156"/>
      <c r="I4199" s="157"/>
      <c r="J4199" s="161"/>
      <c r="L4199" s="94"/>
      <c r="M4199" s="159"/>
      <c r="N4199" s="94"/>
    </row>
    <row r="4200">
      <c r="A4200" s="107">
        <v>1628383.0</v>
      </c>
      <c r="B4200" s="108" t="s">
        <v>192</v>
      </c>
      <c r="C4200" s="108" t="s">
        <v>1008</v>
      </c>
      <c r="D4200" s="100" t="str">
        <f t="shared" si="1"/>
        <v/>
      </c>
      <c r="E4200" s="100" t="str">
        <f t="shared" si="2"/>
        <v/>
      </c>
      <c r="F4200" s="100" t="str">
        <f t="shared" si="3"/>
        <v/>
      </c>
      <c r="G4200" s="151"/>
      <c r="H4200" s="160"/>
      <c r="I4200" s="157"/>
      <c r="J4200" s="158"/>
      <c r="L4200" s="94"/>
      <c r="M4200" s="159"/>
      <c r="N4200" s="94"/>
    </row>
    <row r="4201">
      <c r="A4201" s="107">
        <v>1628383.0</v>
      </c>
      <c r="B4201" s="108" t="s">
        <v>193</v>
      </c>
      <c r="C4201" s="108" t="s">
        <v>1008</v>
      </c>
      <c r="D4201" s="100" t="str">
        <f t="shared" si="1"/>
        <v/>
      </c>
      <c r="E4201" s="100" t="str">
        <f t="shared" si="2"/>
        <v/>
      </c>
      <c r="F4201" s="100" t="str">
        <f t="shared" si="3"/>
        <v/>
      </c>
      <c r="G4201" s="151"/>
      <c r="H4201" s="156"/>
      <c r="I4201" s="157"/>
      <c r="J4201" s="161"/>
      <c r="L4201" s="94"/>
      <c r="M4201" s="159"/>
      <c r="N4201" s="94"/>
    </row>
    <row r="4202">
      <c r="A4202" s="107">
        <v>1628383.0</v>
      </c>
      <c r="B4202" s="108" t="s">
        <v>243</v>
      </c>
      <c r="C4202" s="108" t="s">
        <v>1008</v>
      </c>
      <c r="D4202" s="100" t="str">
        <f t="shared" si="1"/>
        <v/>
      </c>
      <c r="E4202" s="100" t="str">
        <f t="shared" si="2"/>
        <v/>
      </c>
      <c r="F4202" s="100" t="str">
        <f t="shared" si="3"/>
        <v/>
      </c>
      <c r="G4202" s="151"/>
      <c r="H4202" s="160"/>
      <c r="I4202" s="157"/>
      <c r="J4202" s="158"/>
      <c r="L4202" s="94"/>
      <c r="M4202" s="159"/>
      <c r="N4202" s="94"/>
    </row>
    <row r="4203">
      <c r="A4203" s="107">
        <v>1628384.0</v>
      </c>
      <c r="B4203" s="108" t="s">
        <v>191</v>
      </c>
      <c r="C4203" s="108" t="s">
        <v>1009</v>
      </c>
      <c r="D4203" s="100" t="str">
        <f t="shared" si="1"/>
        <v/>
      </c>
      <c r="E4203" s="100" t="str">
        <f t="shared" si="2"/>
        <v/>
      </c>
      <c r="F4203" s="100" t="str">
        <f t="shared" si="3"/>
        <v/>
      </c>
      <c r="G4203" s="151"/>
      <c r="H4203" s="156"/>
      <c r="I4203" s="157"/>
      <c r="J4203" s="161"/>
      <c r="L4203" s="94"/>
      <c r="M4203" s="159"/>
      <c r="N4203" s="94"/>
    </row>
    <row r="4204">
      <c r="A4204" s="107">
        <v>1628384.0</v>
      </c>
      <c r="B4204" s="108" t="s">
        <v>192</v>
      </c>
      <c r="C4204" s="108" t="s">
        <v>1009</v>
      </c>
      <c r="D4204" s="100" t="str">
        <f t="shared" si="1"/>
        <v/>
      </c>
      <c r="E4204" s="100" t="str">
        <f t="shared" si="2"/>
        <v/>
      </c>
      <c r="F4204" s="100" t="str">
        <f t="shared" si="3"/>
        <v/>
      </c>
      <c r="G4204" s="151"/>
      <c r="H4204" s="160"/>
      <c r="I4204" s="157"/>
      <c r="J4204" s="158"/>
      <c r="L4204" s="94"/>
      <c r="M4204" s="159"/>
      <c r="N4204" s="94"/>
    </row>
    <row r="4205">
      <c r="A4205" s="107">
        <v>1628384.0</v>
      </c>
      <c r="B4205" s="108" t="s">
        <v>193</v>
      </c>
      <c r="C4205" s="108" t="s">
        <v>1009</v>
      </c>
      <c r="D4205" s="100" t="str">
        <f t="shared" si="1"/>
        <v/>
      </c>
      <c r="E4205" s="100" t="str">
        <f t="shared" si="2"/>
        <v/>
      </c>
      <c r="F4205" s="100" t="str">
        <f t="shared" si="3"/>
        <v/>
      </c>
      <c r="G4205" s="151"/>
      <c r="H4205" s="156"/>
      <c r="I4205" s="157"/>
      <c r="J4205" s="161"/>
      <c r="L4205" s="94"/>
      <c r="M4205" s="159"/>
      <c r="N4205" s="94"/>
    </row>
    <row r="4206">
      <c r="A4206" s="107">
        <v>1628384.0</v>
      </c>
      <c r="B4206" s="108" t="s">
        <v>243</v>
      </c>
      <c r="C4206" s="115" t="s">
        <v>1010</v>
      </c>
      <c r="D4206" s="100" t="str">
        <f t="shared" si="1"/>
        <v/>
      </c>
      <c r="E4206" s="100" t="str">
        <f t="shared" si="2"/>
        <v/>
      </c>
      <c r="F4206" s="100" t="str">
        <f t="shared" si="3"/>
        <v/>
      </c>
      <c r="G4206" s="151"/>
      <c r="H4206" s="160"/>
      <c r="I4206" s="157"/>
      <c r="J4206" s="158"/>
      <c r="L4206" s="94"/>
      <c r="M4206" s="159"/>
      <c r="N4206" s="94"/>
    </row>
    <row r="4207">
      <c r="A4207" s="107">
        <v>1628384.0</v>
      </c>
      <c r="B4207" s="108" t="s">
        <v>215</v>
      </c>
      <c r="C4207" s="108" t="s">
        <v>1009</v>
      </c>
      <c r="D4207" s="100" t="str">
        <f t="shared" si="1"/>
        <v/>
      </c>
      <c r="E4207" s="100" t="str">
        <f t="shared" si="2"/>
        <v/>
      </c>
      <c r="F4207" s="100" t="str">
        <f t="shared" si="3"/>
        <v/>
      </c>
      <c r="G4207" s="151"/>
      <c r="H4207" s="156"/>
      <c r="I4207" s="157"/>
      <c r="J4207" s="161"/>
      <c r="L4207" s="94"/>
      <c r="M4207" s="159"/>
      <c r="N4207" s="94"/>
    </row>
    <row r="4208">
      <c r="A4208" s="107">
        <v>1628384.0</v>
      </c>
      <c r="B4208" s="108" t="s">
        <v>244</v>
      </c>
      <c r="C4208" s="108" t="s">
        <v>1009</v>
      </c>
      <c r="D4208" s="100" t="str">
        <f t="shared" si="1"/>
        <v/>
      </c>
      <c r="E4208" s="100" t="str">
        <f t="shared" si="2"/>
        <v/>
      </c>
      <c r="F4208" s="100" t="str">
        <f t="shared" si="3"/>
        <v/>
      </c>
      <c r="G4208" s="151"/>
      <c r="H4208" s="160"/>
      <c r="I4208" s="157"/>
      <c r="J4208" s="158"/>
      <c r="L4208" s="94"/>
      <c r="M4208" s="159"/>
      <c r="N4208" s="94"/>
    </row>
    <row r="4209">
      <c r="A4209" s="107">
        <v>1628384.0</v>
      </c>
      <c r="B4209" s="108" t="s">
        <v>245</v>
      </c>
      <c r="C4209" s="108" t="s">
        <v>1009</v>
      </c>
      <c r="D4209" s="100" t="str">
        <f t="shared" si="1"/>
        <v/>
      </c>
      <c r="E4209" s="100" t="str">
        <f t="shared" si="2"/>
        <v/>
      </c>
      <c r="F4209" s="100" t="str">
        <f t="shared" si="3"/>
        <v/>
      </c>
      <c r="G4209" s="151"/>
      <c r="H4209" s="156"/>
      <c r="I4209" s="157"/>
      <c r="J4209" s="161"/>
      <c r="L4209" s="94"/>
      <c r="M4209" s="159"/>
      <c r="N4209" s="94"/>
    </row>
    <row r="4210">
      <c r="A4210" s="107">
        <v>1628384.0</v>
      </c>
      <c r="B4210" s="108" t="s">
        <v>246</v>
      </c>
      <c r="C4210" s="108" t="s">
        <v>1009</v>
      </c>
      <c r="D4210" s="100" t="str">
        <f t="shared" si="1"/>
        <v/>
      </c>
      <c r="E4210" s="100" t="str">
        <f t="shared" si="2"/>
        <v/>
      </c>
      <c r="F4210" s="100" t="str">
        <f t="shared" si="3"/>
        <v/>
      </c>
      <c r="G4210" s="151"/>
      <c r="H4210" s="160"/>
      <c r="I4210" s="157"/>
      <c r="J4210" s="158"/>
      <c r="L4210" s="94"/>
      <c r="M4210" s="159"/>
      <c r="N4210" s="94"/>
    </row>
    <row r="4211">
      <c r="A4211" s="149">
        <v>1628384.0</v>
      </c>
      <c r="B4211" s="115" t="s">
        <v>247</v>
      </c>
      <c r="C4211" s="115" t="s">
        <v>1009</v>
      </c>
      <c r="D4211" s="100" t="str">
        <f t="shared" si="1"/>
        <v/>
      </c>
      <c r="E4211" s="100" t="str">
        <f t="shared" si="2"/>
        <v/>
      </c>
      <c r="F4211" s="100" t="str">
        <f t="shared" si="3"/>
        <v/>
      </c>
      <c r="G4211" s="151"/>
      <c r="H4211" s="156"/>
      <c r="I4211" s="157"/>
      <c r="J4211" s="161"/>
      <c r="L4211" s="94"/>
      <c r="M4211" s="159"/>
      <c r="N4211" s="94"/>
    </row>
    <row r="4212">
      <c r="A4212" s="21">
        <v>1628385.0</v>
      </c>
      <c r="B4212" s="164" t="s">
        <v>192</v>
      </c>
      <c r="C4212" s="113" t="s">
        <v>1011</v>
      </c>
      <c r="D4212" s="100" t="str">
        <f t="shared" si="1"/>
        <v/>
      </c>
      <c r="E4212" s="100" t="str">
        <f t="shared" si="2"/>
        <v/>
      </c>
      <c r="F4212" s="100" t="str">
        <f t="shared" si="3"/>
        <v/>
      </c>
      <c r="G4212" s="151"/>
      <c r="H4212" s="160"/>
      <c r="I4212" s="157"/>
      <c r="J4212" s="158"/>
      <c r="L4212" s="94"/>
      <c r="M4212" s="159"/>
      <c r="N4212" s="94"/>
    </row>
    <row r="4213">
      <c r="A4213" s="107">
        <v>1628385.0</v>
      </c>
      <c r="B4213" s="108" t="s">
        <v>193</v>
      </c>
      <c r="C4213" s="115" t="s">
        <v>1011</v>
      </c>
      <c r="D4213" s="100" t="str">
        <f t="shared" si="1"/>
        <v/>
      </c>
      <c r="E4213" s="100" t="str">
        <f t="shared" si="2"/>
        <v/>
      </c>
      <c r="F4213" s="100" t="str">
        <f t="shared" si="3"/>
        <v/>
      </c>
      <c r="G4213" s="151"/>
      <c r="H4213" s="156"/>
      <c r="I4213" s="157"/>
      <c r="J4213" s="161"/>
      <c r="L4213" s="94"/>
      <c r="M4213" s="159"/>
      <c r="N4213" s="94"/>
    </row>
    <row r="4214">
      <c r="A4214" s="107">
        <v>1628385.0</v>
      </c>
      <c r="B4214" s="108" t="s">
        <v>243</v>
      </c>
      <c r="C4214" s="115" t="s">
        <v>1011</v>
      </c>
      <c r="D4214" s="100" t="str">
        <f t="shared" si="1"/>
        <v/>
      </c>
      <c r="E4214" s="100" t="str">
        <f t="shared" si="2"/>
        <v/>
      </c>
      <c r="F4214" s="100" t="str">
        <f t="shared" si="3"/>
        <v/>
      </c>
      <c r="G4214" s="151"/>
      <c r="H4214" s="160"/>
      <c r="I4214" s="157"/>
      <c r="J4214" s="158"/>
      <c r="L4214" s="94"/>
      <c r="M4214" s="159"/>
      <c r="N4214" s="94"/>
    </row>
    <row r="4215">
      <c r="A4215" s="107">
        <v>1628385.0</v>
      </c>
      <c r="B4215" s="108" t="s">
        <v>245</v>
      </c>
      <c r="C4215" s="115" t="s">
        <v>1011</v>
      </c>
      <c r="D4215" s="100" t="str">
        <f t="shared" si="1"/>
        <v/>
      </c>
      <c r="E4215" s="100" t="str">
        <f t="shared" si="2"/>
        <v/>
      </c>
      <c r="F4215" s="100" t="str">
        <f t="shared" si="3"/>
        <v/>
      </c>
      <c r="G4215" s="151"/>
      <c r="H4215" s="156"/>
      <c r="I4215" s="157"/>
      <c r="J4215" s="161"/>
      <c r="L4215" s="94"/>
      <c r="M4215" s="159"/>
      <c r="N4215" s="94"/>
    </row>
    <row r="4216">
      <c r="A4216" s="107">
        <v>1628386.0</v>
      </c>
      <c r="B4216" s="108" t="s">
        <v>191</v>
      </c>
      <c r="C4216" s="108" t="s">
        <v>1012</v>
      </c>
      <c r="D4216" s="100" t="str">
        <f t="shared" si="1"/>
        <v/>
      </c>
      <c r="E4216" s="100" t="str">
        <f t="shared" si="2"/>
        <v/>
      </c>
      <c r="F4216" s="100" t="str">
        <f t="shared" si="3"/>
        <v/>
      </c>
      <c r="G4216" s="151"/>
      <c r="H4216" s="160"/>
      <c r="I4216" s="157"/>
      <c r="J4216" s="158"/>
      <c r="L4216" s="94"/>
      <c r="M4216" s="159"/>
      <c r="N4216" s="94"/>
    </row>
    <row r="4217">
      <c r="A4217" s="107">
        <v>1628386.0</v>
      </c>
      <c r="B4217" s="108" t="s">
        <v>192</v>
      </c>
      <c r="C4217" s="108" t="s">
        <v>1012</v>
      </c>
      <c r="D4217" s="100" t="str">
        <f t="shared" si="1"/>
        <v/>
      </c>
      <c r="E4217" s="100" t="str">
        <f t="shared" si="2"/>
        <v/>
      </c>
      <c r="F4217" s="100" t="str">
        <f t="shared" si="3"/>
        <v/>
      </c>
      <c r="G4217" s="151"/>
      <c r="H4217" s="156"/>
      <c r="I4217" s="157"/>
      <c r="J4217" s="161"/>
      <c r="L4217" s="94"/>
      <c r="M4217" s="159"/>
      <c r="N4217" s="94"/>
    </row>
    <row r="4218">
      <c r="A4218" s="107">
        <v>1628386.0</v>
      </c>
      <c r="B4218" s="108" t="s">
        <v>193</v>
      </c>
      <c r="C4218" s="108" t="s">
        <v>1012</v>
      </c>
      <c r="D4218" s="100" t="str">
        <f t="shared" si="1"/>
        <v/>
      </c>
      <c r="E4218" s="100" t="str">
        <f t="shared" si="2"/>
        <v/>
      </c>
      <c r="F4218" s="100" t="str">
        <f t="shared" si="3"/>
        <v/>
      </c>
      <c r="G4218" s="151"/>
      <c r="H4218" s="160"/>
      <c r="I4218" s="157"/>
      <c r="J4218" s="158"/>
      <c r="L4218" s="94"/>
      <c r="M4218" s="159"/>
      <c r="N4218" s="94"/>
    </row>
    <row r="4219">
      <c r="A4219" s="107">
        <v>1628386.0</v>
      </c>
      <c r="B4219" s="108" t="s">
        <v>243</v>
      </c>
      <c r="C4219" s="108" t="s">
        <v>1012</v>
      </c>
      <c r="D4219" s="100" t="str">
        <f t="shared" si="1"/>
        <v/>
      </c>
      <c r="E4219" s="100" t="str">
        <f t="shared" si="2"/>
        <v/>
      </c>
      <c r="F4219" s="100" t="str">
        <f t="shared" si="3"/>
        <v/>
      </c>
      <c r="G4219" s="151"/>
      <c r="H4219" s="156"/>
      <c r="I4219" s="157"/>
      <c r="J4219" s="161"/>
      <c r="L4219" s="94"/>
      <c r="M4219" s="159"/>
      <c r="N4219" s="94"/>
    </row>
    <row r="4220">
      <c r="A4220" s="107">
        <v>1628386.0</v>
      </c>
      <c r="B4220" s="108" t="s">
        <v>215</v>
      </c>
      <c r="C4220" s="108" t="s">
        <v>1012</v>
      </c>
      <c r="D4220" s="100" t="str">
        <f t="shared" si="1"/>
        <v/>
      </c>
      <c r="E4220" s="100" t="str">
        <f t="shared" si="2"/>
        <v/>
      </c>
      <c r="F4220" s="100" t="str">
        <f t="shared" si="3"/>
        <v/>
      </c>
      <c r="G4220" s="151"/>
      <c r="H4220" s="160"/>
      <c r="I4220" s="157"/>
      <c r="J4220" s="158"/>
      <c r="L4220" s="94"/>
      <c r="M4220" s="159"/>
      <c r="N4220" s="94"/>
    </row>
    <row r="4221">
      <c r="A4221" s="107">
        <v>1628386.0</v>
      </c>
      <c r="B4221" s="108" t="s">
        <v>244</v>
      </c>
      <c r="C4221" s="108" t="s">
        <v>1012</v>
      </c>
      <c r="D4221" s="100" t="str">
        <f t="shared" si="1"/>
        <v/>
      </c>
      <c r="E4221" s="100" t="str">
        <f t="shared" si="2"/>
        <v/>
      </c>
      <c r="F4221" s="100" t="str">
        <f t="shared" si="3"/>
        <v/>
      </c>
      <c r="G4221" s="151"/>
      <c r="H4221" s="156"/>
      <c r="I4221" s="157"/>
      <c r="J4221" s="161"/>
      <c r="L4221" s="94"/>
      <c r="M4221" s="159"/>
      <c r="N4221" s="94"/>
    </row>
    <row r="4222">
      <c r="A4222" s="107">
        <v>1628386.0</v>
      </c>
      <c r="B4222" s="108" t="s">
        <v>245</v>
      </c>
      <c r="C4222" s="108" t="s">
        <v>1012</v>
      </c>
      <c r="D4222" s="100" t="str">
        <f t="shared" si="1"/>
        <v/>
      </c>
      <c r="E4222" s="100" t="str">
        <f t="shared" si="2"/>
        <v/>
      </c>
      <c r="F4222" s="100" t="str">
        <f t="shared" si="3"/>
        <v/>
      </c>
      <c r="G4222" s="151"/>
      <c r="H4222" s="160"/>
      <c r="I4222" s="157"/>
      <c r="J4222" s="158"/>
      <c r="L4222" s="94"/>
      <c r="M4222" s="159"/>
      <c r="N4222" s="94"/>
    </row>
    <row r="4223">
      <c r="A4223" s="107">
        <v>1628386.0</v>
      </c>
      <c r="B4223" s="108" t="s">
        <v>246</v>
      </c>
      <c r="C4223" s="108" t="s">
        <v>1012</v>
      </c>
      <c r="D4223" s="100" t="str">
        <f t="shared" si="1"/>
        <v/>
      </c>
      <c r="E4223" s="100" t="str">
        <f t="shared" si="2"/>
        <v/>
      </c>
      <c r="F4223" s="100" t="str">
        <f t="shared" si="3"/>
        <v/>
      </c>
      <c r="G4223" s="151"/>
      <c r="H4223" s="156"/>
      <c r="I4223" s="157"/>
      <c r="J4223" s="161"/>
      <c r="L4223" s="94"/>
      <c r="M4223" s="159"/>
      <c r="N4223" s="94"/>
    </row>
    <row r="4224">
      <c r="A4224" s="149">
        <v>1628386.0</v>
      </c>
      <c r="B4224" s="115" t="s">
        <v>247</v>
      </c>
      <c r="C4224" s="115" t="s">
        <v>1012</v>
      </c>
      <c r="D4224" s="100" t="str">
        <f t="shared" si="1"/>
        <v/>
      </c>
      <c r="E4224" s="100" t="str">
        <f t="shared" si="2"/>
        <v/>
      </c>
      <c r="F4224" s="100" t="str">
        <f t="shared" si="3"/>
        <v/>
      </c>
      <c r="G4224" s="151"/>
      <c r="H4224" s="160"/>
      <c r="I4224" s="157"/>
      <c r="J4224" s="158"/>
      <c r="L4224" s="94"/>
      <c r="M4224" s="159"/>
      <c r="N4224" s="94"/>
    </row>
    <row r="4225">
      <c r="A4225" s="21">
        <v>1628387.0</v>
      </c>
      <c r="B4225" s="164" t="s">
        <v>191</v>
      </c>
      <c r="C4225" s="164" t="s">
        <v>1013</v>
      </c>
      <c r="D4225" s="100" t="str">
        <f t="shared" si="1"/>
        <v/>
      </c>
      <c r="E4225" s="100" t="str">
        <f t="shared" si="2"/>
        <v/>
      </c>
      <c r="F4225" s="100" t="str">
        <f t="shared" si="3"/>
        <v/>
      </c>
      <c r="G4225" s="151"/>
      <c r="H4225" s="156"/>
      <c r="I4225" s="157"/>
      <c r="J4225" s="161"/>
      <c r="L4225" s="94"/>
      <c r="M4225" s="159"/>
      <c r="N4225" s="94"/>
    </row>
    <row r="4226">
      <c r="A4226" s="107">
        <v>1628387.0</v>
      </c>
      <c r="B4226" s="108" t="s">
        <v>192</v>
      </c>
      <c r="C4226" s="108" t="s">
        <v>1013</v>
      </c>
      <c r="D4226" s="100" t="str">
        <f t="shared" si="1"/>
        <v/>
      </c>
      <c r="E4226" s="100" t="str">
        <f t="shared" si="2"/>
        <v/>
      </c>
      <c r="F4226" s="100" t="str">
        <f t="shared" si="3"/>
        <v/>
      </c>
      <c r="G4226" s="151"/>
      <c r="H4226" s="160"/>
      <c r="I4226" s="157"/>
      <c r="J4226" s="158"/>
      <c r="L4226" s="94"/>
      <c r="M4226" s="159"/>
      <c r="N4226" s="94"/>
    </row>
    <row r="4227">
      <c r="A4227" s="107">
        <v>1628388.0</v>
      </c>
      <c r="B4227" s="108" t="s">
        <v>191</v>
      </c>
      <c r="C4227" s="108" t="s">
        <v>1014</v>
      </c>
      <c r="D4227" s="100" t="str">
        <f t="shared" si="1"/>
        <v/>
      </c>
      <c r="E4227" s="100" t="str">
        <f t="shared" si="2"/>
        <v/>
      </c>
      <c r="F4227" s="100" t="str">
        <f t="shared" si="3"/>
        <v/>
      </c>
      <c r="G4227" s="151"/>
      <c r="H4227" s="156"/>
      <c r="I4227" s="157"/>
      <c r="J4227" s="161"/>
      <c r="L4227" s="94"/>
      <c r="M4227" s="159"/>
      <c r="N4227" s="94"/>
    </row>
    <row r="4228">
      <c r="A4228" s="107">
        <v>1628388.0</v>
      </c>
      <c r="B4228" s="108" t="s">
        <v>192</v>
      </c>
      <c r="C4228" s="108" t="s">
        <v>1014</v>
      </c>
      <c r="D4228" s="100" t="str">
        <f t="shared" si="1"/>
        <v/>
      </c>
      <c r="E4228" s="100" t="str">
        <f t="shared" si="2"/>
        <v/>
      </c>
      <c r="F4228" s="100" t="str">
        <f t="shared" si="3"/>
        <v/>
      </c>
      <c r="G4228" s="151"/>
      <c r="H4228" s="160"/>
      <c r="I4228" s="157"/>
      <c r="J4228" s="158"/>
      <c r="L4228" s="94"/>
      <c r="M4228" s="159"/>
      <c r="N4228" s="94"/>
    </row>
    <row r="4229">
      <c r="A4229" s="107">
        <v>1628388.0</v>
      </c>
      <c r="B4229" s="108" t="s">
        <v>193</v>
      </c>
      <c r="C4229" s="108" t="s">
        <v>1014</v>
      </c>
      <c r="D4229" s="100" t="str">
        <f t="shared" si="1"/>
        <v/>
      </c>
      <c r="E4229" s="100" t="str">
        <f t="shared" si="2"/>
        <v/>
      </c>
      <c r="F4229" s="100" t="str">
        <f t="shared" si="3"/>
        <v/>
      </c>
      <c r="G4229" s="151"/>
      <c r="H4229" s="156"/>
      <c r="I4229" s="157"/>
      <c r="J4229" s="161"/>
      <c r="L4229" s="94"/>
      <c r="M4229" s="159"/>
      <c r="N4229" s="94"/>
    </row>
    <row r="4230">
      <c r="A4230" s="107">
        <v>1628388.0</v>
      </c>
      <c r="B4230" s="108" t="s">
        <v>243</v>
      </c>
      <c r="C4230" s="108" t="s">
        <v>1014</v>
      </c>
      <c r="D4230" s="100" t="str">
        <f t="shared" si="1"/>
        <v/>
      </c>
      <c r="E4230" s="100" t="str">
        <f t="shared" si="2"/>
        <v/>
      </c>
      <c r="F4230" s="100" t="str">
        <f t="shared" si="3"/>
        <v/>
      </c>
      <c r="G4230" s="151"/>
      <c r="H4230" s="160"/>
      <c r="I4230" s="157"/>
      <c r="J4230" s="158"/>
      <c r="L4230" s="94"/>
      <c r="M4230" s="159"/>
      <c r="N4230" s="94"/>
    </row>
    <row r="4231">
      <c r="A4231" s="107">
        <v>1628389.0</v>
      </c>
      <c r="B4231" s="108" t="s">
        <v>191</v>
      </c>
      <c r="C4231" s="108" t="s">
        <v>1015</v>
      </c>
      <c r="D4231" s="100" t="str">
        <f t="shared" si="1"/>
        <v/>
      </c>
      <c r="E4231" s="100" t="str">
        <f t="shared" si="2"/>
        <v/>
      </c>
      <c r="F4231" s="100" t="str">
        <f t="shared" si="3"/>
        <v/>
      </c>
      <c r="G4231" s="151"/>
      <c r="H4231" s="156"/>
      <c r="I4231" s="157"/>
      <c r="J4231" s="161"/>
      <c r="L4231" s="94"/>
      <c r="M4231" s="159"/>
      <c r="N4231" s="94"/>
    </row>
    <row r="4232">
      <c r="A4232" s="107">
        <v>1628389.0</v>
      </c>
      <c r="B4232" s="108" t="s">
        <v>192</v>
      </c>
      <c r="C4232" s="108" t="s">
        <v>1015</v>
      </c>
      <c r="D4232" s="100" t="str">
        <f t="shared" si="1"/>
        <v/>
      </c>
      <c r="E4232" s="100" t="str">
        <f t="shared" si="2"/>
        <v/>
      </c>
      <c r="F4232" s="100" t="str">
        <f t="shared" si="3"/>
        <v/>
      </c>
      <c r="G4232" s="151"/>
      <c r="H4232" s="160"/>
      <c r="I4232" s="157"/>
      <c r="J4232" s="158"/>
      <c r="L4232" s="94"/>
      <c r="M4232" s="159"/>
      <c r="N4232" s="94"/>
    </row>
    <row r="4233">
      <c r="A4233" s="107">
        <v>1628389.0</v>
      </c>
      <c r="B4233" s="108" t="s">
        <v>193</v>
      </c>
      <c r="C4233" s="108" t="s">
        <v>1015</v>
      </c>
      <c r="D4233" s="100" t="str">
        <f t="shared" si="1"/>
        <v/>
      </c>
      <c r="E4233" s="100" t="str">
        <f t="shared" si="2"/>
        <v/>
      </c>
      <c r="F4233" s="100" t="str">
        <f t="shared" si="3"/>
        <v/>
      </c>
      <c r="G4233" s="151"/>
      <c r="H4233" s="156"/>
      <c r="I4233" s="157"/>
      <c r="J4233" s="161"/>
      <c r="L4233" s="94"/>
      <c r="M4233" s="159"/>
      <c r="N4233" s="94"/>
    </row>
    <row r="4234">
      <c r="A4234" s="107">
        <v>1628389.0</v>
      </c>
      <c r="B4234" s="108" t="s">
        <v>243</v>
      </c>
      <c r="C4234" s="108" t="s">
        <v>1015</v>
      </c>
      <c r="D4234" s="100" t="str">
        <f t="shared" si="1"/>
        <v/>
      </c>
      <c r="E4234" s="100" t="str">
        <f t="shared" si="2"/>
        <v/>
      </c>
      <c r="F4234" s="100" t="str">
        <f t="shared" si="3"/>
        <v/>
      </c>
      <c r="G4234" s="151"/>
      <c r="H4234" s="160"/>
      <c r="I4234" s="157"/>
      <c r="J4234" s="158"/>
      <c r="L4234" s="94"/>
      <c r="M4234" s="159"/>
      <c r="N4234" s="94"/>
    </row>
    <row r="4235">
      <c r="A4235" s="107">
        <v>1628389.0</v>
      </c>
      <c r="B4235" s="108" t="s">
        <v>215</v>
      </c>
      <c r="C4235" s="108" t="s">
        <v>1015</v>
      </c>
      <c r="D4235" s="100" t="str">
        <f t="shared" si="1"/>
        <v/>
      </c>
      <c r="E4235" s="100" t="str">
        <f t="shared" si="2"/>
        <v/>
      </c>
      <c r="F4235" s="100" t="str">
        <f t="shared" si="3"/>
        <v/>
      </c>
      <c r="G4235" s="151"/>
      <c r="H4235" s="156"/>
      <c r="I4235" s="157"/>
      <c r="J4235" s="161"/>
      <c r="L4235" s="94"/>
      <c r="M4235" s="159"/>
      <c r="N4235" s="94"/>
    </row>
    <row r="4236">
      <c r="A4236" s="107">
        <v>1628389.0</v>
      </c>
      <c r="B4236" s="108" t="s">
        <v>244</v>
      </c>
      <c r="C4236" s="108" t="s">
        <v>1015</v>
      </c>
      <c r="D4236" s="100" t="str">
        <f t="shared" si="1"/>
        <v/>
      </c>
      <c r="E4236" s="100" t="str">
        <f t="shared" si="2"/>
        <v/>
      </c>
      <c r="F4236" s="100" t="str">
        <f t="shared" si="3"/>
        <v/>
      </c>
      <c r="G4236" s="151"/>
      <c r="H4236" s="160"/>
      <c r="I4236" s="157"/>
      <c r="J4236" s="158"/>
      <c r="L4236" s="94"/>
      <c r="M4236" s="159"/>
      <c r="N4236" s="94"/>
    </row>
    <row r="4237">
      <c r="A4237" s="107">
        <v>1628389.0</v>
      </c>
      <c r="B4237" s="108" t="s">
        <v>245</v>
      </c>
      <c r="C4237" s="108" t="s">
        <v>1015</v>
      </c>
      <c r="D4237" s="100" t="str">
        <f t="shared" si="1"/>
        <v/>
      </c>
      <c r="E4237" s="100" t="str">
        <f t="shared" si="2"/>
        <v/>
      </c>
      <c r="F4237" s="100" t="str">
        <f t="shared" si="3"/>
        <v/>
      </c>
      <c r="G4237" s="151"/>
      <c r="H4237" s="156"/>
      <c r="I4237" s="157"/>
      <c r="J4237" s="161"/>
      <c r="L4237" s="94"/>
      <c r="M4237" s="159"/>
      <c r="N4237" s="94"/>
    </row>
    <row r="4238">
      <c r="A4238" s="107">
        <v>1628389.0</v>
      </c>
      <c r="B4238" s="108" t="s">
        <v>246</v>
      </c>
      <c r="C4238" s="108" t="s">
        <v>1015</v>
      </c>
      <c r="D4238" s="100" t="str">
        <f t="shared" si="1"/>
        <v/>
      </c>
      <c r="E4238" s="100" t="str">
        <f t="shared" si="2"/>
        <v/>
      </c>
      <c r="F4238" s="100" t="str">
        <f t="shared" si="3"/>
        <v/>
      </c>
      <c r="G4238" s="151"/>
      <c r="H4238" s="160"/>
      <c r="I4238" s="157"/>
      <c r="J4238" s="158"/>
      <c r="L4238" s="94"/>
      <c r="M4238" s="159"/>
      <c r="N4238" s="94"/>
    </row>
    <row r="4239">
      <c r="A4239" s="149">
        <v>1628389.0</v>
      </c>
      <c r="B4239" s="115" t="s">
        <v>247</v>
      </c>
      <c r="C4239" s="115" t="s">
        <v>1015</v>
      </c>
      <c r="D4239" s="100" t="str">
        <f t="shared" si="1"/>
        <v/>
      </c>
      <c r="E4239" s="100" t="str">
        <f t="shared" si="2"/>
        <v/>
      </c>
      <c r="F4239" s="100" t="str">
        <f t="shared" si="3"/>
        <v/>
      </c>
      <c r="G4239" s="151"/>
      <c r="H4239" s="156"/>
      <c r="I4239" s="157"/>
      <c r="J4239" s="161"/>
      <c r="L4239" s="94"/>
      <c r="M4239" s="159"/>
      <c r="N4239" s="94"/>
    </row>
    <row r="4240">
      <c r="A4240" s="21">
        <v>1628390.0</v>
      </c>
      <c r="B4240" s="164" t="s">
        <v>191</v>
      </c>
      <c r="C4240" s="164" t="s">
        <v>1016</v>
      </c>
      <c r="D4240" s="100" t="str">
        <f t="shared" si="1"/>
        <v/>
      </c>
      <c r="E4240" s="100" t="str">
        <f t="shared" si="2"/>
        <v/>
      </c>
      <c r="F4240" s="100" t="str">
        <f t="shared" si="3"/>
        <v/>
      </c>
      <c r="G4240" s="151"/>
      <c r="H4240" s="160"/>
      <c r="I4240" s="157"/>
      <c r="J4240" s="158"/>
      <c r="L4240" s="94"/>
      <c r="M4240" s="159"/>
      <c r="N4240" s="94"/>
    </row>
    <row r="4241">
      <c r="A4241" s="107">
        <v>1628390.0</v>
      </c>
      <c r="B4241" s="108" t="s">
        <v>192</v>
      </c>
      <c r="C4241" s="108" t="s">
        <v>1016</v>
      </c>
      <c r="D4241" s="100" t="str">
        <f t="shared" si="1"/>
        <v/>
      </c>
      <c r="E4241" s="100" t="str">
        <f t="shared" si="2"/>
        <v/>
      </c>
      <c r="F4241" s="100" t="str">
        <f t="shared" si="3"/>
        <v/>
      </c>
      <c r="G4241" s="151"/>
      <c r="H4241" s="156"/>
      <c r="I4241" s="157"/>
      <c r="J4241" s="161"/>
      <c r="L4241" s="94"/>
      <c r="M4241" s="159"/>
      <c r="N4241" s="94"/>
    </row>
    <row r="4242">
      <c r="A4242" s="107">
        <v>1628390.0</v>
      </c>
      <c r="B4242" s="108" t="s">
        <v>193</v>
      </c>
      <c r="C4242" s="108" t="s">
        <v>1016</v>
      </c>
      <c r="D4242" s="100" t="str">
        <f t="shared" si="1"/>
        <v/>
      </c>
      <c r="E4242" s="100" t="str">
        <f t="shared" si="2"/>
        <v/>
      </c>
      <c r="F4242" s="100" t="str">
        <f t="shared" si="3"/>
        <v/>
      </c>
      <c r="G4242" s="151"/>
      <c r="H4242" s="160"/>
      <c r="I4242" s="157"/>
      <c r="J4242" s="158"/>
      <c r="L4242" s="94"/>
      <c r="M4242" s="159"/>
      <c r="N4242" s="94"/>
    </row>
    <row r="4243">
      <c r="A4243" s="107">
        <v>1628390.0</v>
      </c>
      <c r="B4243" s="108" t="s">
        <v>243</v>
      </c>
      <c r="C4243" s="108" t="s">
        <v>1016</v>
      </c>
      <c r="D4243" s="100" t="str">
        <f t="shared" si="1"/>
        <v/>
      </c>
      <c r="E4243" s="100" t="str">
        <f t="shared" si="2"/>
        <v/>
      </c>
      <c r="F4243" s="100" t="str">
        <f t="shared" si="3"/>
        <v/>
      </c>
      <c r="G4243" s="151"/>
      <c r="H4243" s="156"/>
      <c r="I4243" s="157"/>
      <c r="J4243" s="161"/>
      <c r="L4243" s="94"/>
      <c r="M4243" s="159"/>
      <c r="N4243" s="94"/>
    </row>
    <row r="4244">
      <c r="A4244" s="107">
        <v>1628391.0</v>
      </c>
      <c r="B4244" s="108" t="s">
        <v>191</v>
      </c>
      <c r="C4244" s="108" t="s">
        <v>1017</v>
      </c>
      <c r="D4244" s="100" t="str">
        <f t="shared" si="1"/>
        <v/>
      </c>
      <c r="E4244" s="100" t="str">
        <f t="shared" si="2"/>
        <v/>
      </c>
      <c r="F4244" s="100" t="str">
        <f t="shared" si="3"/>
        <v/>
      </c>
      <c r="G4244" s="151"/>
      <c r="H4244" s="160"/>
      <c r="I4244" s="157"/>
      <c r="J4244" s="158"/>
      <c r="L4244" s="94"/>
      <c r="M4244" s="159"/>
      <c r="N4244" s="94"/>
    </row>
    <row r="4245">
      <c r="A4245" s="107">
        <v>1628391.0</v>
      </c>
      <c r="B4245" s="108" t="s">
        <v>192</v>
      </c>
      <c r="C4245" s="108" t="s">
        <v>1017</v>
      </c>
      <c r="D4245" s="100" t="str">
        <f t="shared" si="1"/>
        <v/>
      </c>
      <c r="E4245" s="100" t="str">
        <f t="shared" si="2"/>
        <v/>
      </c>
      <c r="F4245" s="100" t="str">
        <f t="shared" si="3"/>
        <v/>
      </c>
      <c r="G4245" s="151"/>
      <c r="H4245" s="156"/>
      <c r="I4245" s="157"/>
      <c r="J4245" s="161"/>
      <c r="L4245" s="94"/>
      <c r="M4245" s="159"/>
      <c r="N4245" s="94"/>
    </row>
    <row r="4246">
      <c r="A4246" s="107">
        <v>1628391.0</v>
      </c>
      <c r="B4246" s="108" t="s">
        <v>193</v>
      </c>
      <c r="C4246" s="108" t="s">
        <v>1017</v>
      </c>
      <c r="D4246" s="100" t="str">
        <f t="shared" si="1"/>
        <v/>
      </c>
      <c r="E4246" s="100" t="str">
        <f t="shared" si="2"/>
        <v/>
      </c>
      <c r="F4246" s="100" t="str">
        <f t="shared" si="3"/>
        <v/>
      </c>
      <c r="G4246" s="151"/>
      <c r="H4246" s="160"/>
      <c r="I4246" s="157"/>
      <c r="J4246" s="158"/>
      <c r="L4246" s="94"/>
      <c r="M4246" s="159"/>
      <c r="N4246" s="94"/>
    </row>
    <row r="4247">
      <c r="A4247" s="107">
        <v>1628391.0</v>
      </c>
      <c r="B4247" s="108" t="s">
        <v>243</v>
      </c>
      <c r="C4247" s="108" t="s">
        <v>1017</v>
      </c>
      <c r="D4247" s="100" t="str">
        <f t="shared" si="1"/>
        <v/>
      </c>
      <c r="E4247" s="100" t="str">
        <f t="shared" si="2"/>
        <v/>
      </c>
      <c r="F4247" s="100" t="str">
        <f t="shared" si="3"/>
        <v/>
      </c>
      <c r="G4247" s="151"/>
      <c r="H4247" s="156"/>
      <c r="I4247" s="157"/>
      <c r="J4247" s="161"/>
      <c r="L4247" s="94"/>
      <c r="M4247" s="159"/>
      <c r="N4247" s="94"/>
    </row>
    <row r="4248">
      <c r="A4248" s="107">
        <v>1628391.0</v>
      </c>
      <c r="B4248" s="108" t="s">
        <v>215</v>
      </c>
      <c r="C4248" s="108" t="s">
        <v>1017</v>
      </c>
      <c r="D4248" s="100" t="str">
        <f t="shared" si="1"/>
        <v/>
      </c>
      <c r="E4248" s="100" t="str">
        <f t="shared" si="2"/>
        <v/>
      </c>
      <c r="F4248" s="100" t="str">
        <f t="shared" si="3"/>
        <v/>
      </c>
      <c r="G4248" s="151"/>
      <c r="H4248" s="160"/>
      <c r="I4248" s="157"/>
      <c r="J4248" s="158"/>
      <c r="L4248" s="94"/>
      <c r="M4248" s="159"/>
      <c r="N4248" s="94"/>
    </row>
    <row r="4249">
      <c r="A4249" s="107">
        <v>1628391.0</v>
      </c>
      <c r="B4249" s="108" t="s">
        <v>245</v>
      </c>
      <c r="C4249" s="108" t="s">
        <v>1017</v>
      </c>
      <c r="D4249" s="100" t="str">
        <f t="shared" si="1"/>
        <v/>
      </c>
      <c r="E4249" s="100" t="str">
        <f t="shared" si="2"/>
        <v/>
      </c>
      <c r="F4249" s="100" t="str">
        <f t="shared" si="3"/>
        <v/>
      </c>
      <c r="G4249" s="151"/>
      <c r="H4249" s="156"/>
      <c r="I4249" s="157"/>
      <c r="J4249" s="161"/>
      <c r="L4249" s="94"/>
      <c r="M4249" s="159"/>
      <c r="N4249" s="94"/>
    </row>
    <row r="4250">
      <c r="A4250" s="107">
        <v>1628392.0</v>
      </c>
      <c r="B4250" s="108" t="s">
        <v>192</v>
      </c>
      <c r="C4250" s="108" t="s">
        <v>1018</v>
      </c>
      <c r="D4250" s="100" t="str">
        <f t="shared" si="1"/>
        <v/>
      </c>
      <c r="E4250" s="100" t="str">
        <f t="shared" si="2"/>
        <v/>
      </c>
      <c r="F4250" s="100" t="str">
        <f t="shared" si="3"/>
        <v/>
      </c>
      <c r="G4250" s="151"/>
      <c r="H4250" s="160"/>
      <c r="I4250" s="157"/>
      <c r="J4250" s="158"/>
      <c r="L4250" s="94"/>
      <c r="M4250" s="159"/>
      <c r="N4250" s="94"/>
    </row>
    <row r="4251">
      <c r="A4251" s="107">
        <v>1628392.0</v>
      </c>
      <c r="B4251" s="108" t="s">
        <v>193</v>
      </c>
      <c r="C4251" s="108" t="s">
        <v>1018</v>
      </c>
      <c r="D4251" s="100" t="str">
        <f t="shared" si="1"/>
        <v/>
      </c>
      <c r="E4251" s="100" t="str">
        <f t="shared" si="2"/>
        <v/>
      </c>
      <c r="F4251" s="100" t="str">
        <f t="shared" si="3"/>
        <v/>
      </c>
      <c r="G4251" s="151"/>
      <c r="H4251" s="156"/>
      <c r="I4251" s="157"/>
      <c r="J4251" s="161"/>
      <c r="L4251" s="94"/>
      <c r="M4251" s="159"/>
      <c r="N4251" s="94"/>
    </row>
    <row r="4252">
      <c r="A4252" s="107">
        <v>1628392.0</v>
      </c>
      <c r="B4252" s="108" t="s">
        <v>243</v>
      </c>
      <c r="C4252" s="108" t="s">
        <v>1018</v>
      </c>
      <c r="D4252" s="100" t="str">
        <f t="shared" si="1"/>
        <v/>
      </c>
      <c r="E4252" s="100" t="str">
        <f t="shared" si="2"/>
        <v/>
      </c>
      <c r="F4252" s="100" t="str">
        <f t="shared" si="3"/>
        <v/>
      </c>
      <c r="G4252" s="151"/>
      <c r="H4252" s="160"/>
      <c r="I4252" s="157"/>
      <c r="J4252" s="158"/>
      <c r="L4252" s="94"/>
      <c r="M4252" s="159"/>
      <c r="N4252" s="94"/>
    </row>
    <row r="4253">
      <c r="A4253" s="107">
        <v>1628392.0</v>
      </c>
      <c r="B4253" s="108" t="s">
        <v>215</v>
      </c>
      <c r="C4253" s="108" t="s">
        <v>1018</v>
      </c>
      <c r="D4253" s="100" t="str">
        <f t="shared" si="1"/>
        <v/>
      </c>
      <c r="E4253" s="100" t="str">
        <f t="shared" si="2"/>
        <v/>
      </c>
      <c r="F4253" s="100" t="str">
        <f t="shared" si="3"/>
        <v/>
      </c>
      <c r="G4253" s="151"/>
      <c r="H4253" s="156"/>
      <c r="I4253" s="157"/>
      <c r="J4253" s="161"/>
      <c r="L4253" s="94"/>
      <c r="M4253" s="159"/>
      <c r="N4253" s="94"/>
    </row>
    <row r="4254">
      <c r="A4254" s="107">
        <v>1628392.0</v>
      </c>
      <c r="B4254" s="108" t="s">
        <v>244</v>
      </c>
      <c r="C4254" s="108" t="s">
        <v>1018</v>
      </c>
      <c r="D4254" s="100" t="str">
        <f t="shared" si="1"/>
        <v/>
      </c>
      <c r="E4254" s="100" t="str">
        <f t="shared" si="2"/>
        <v/>
      </c>
      <c r="F4254" s="100" t="str">
        <f t="shared" si="3"/>
        <v/>
      </c>
      <c r="G4254" s="151"/>
      <c r="H4254" s="160"/>
      <c r="I4254" s="157"/>
      <c r="J4254" s="158"/>
      <c r="L4254" s="94"/>
      <c r="M4254" s="159"/>
      <c r="N4254" s="94"/>
    </row>
    <row r="4255">
      <c r="A4255" s="107">
        <v>1628392.0</v>
      </c>
      <c r="B4255" s="108" t="s">
        <v>245</v>
      </c>
      <c r="C4255" s="108" t="s">
        <v>1018</v>
      </c>
      <c r="D4255" s="100" t="str">
        <f t="shared" si="1"/>
        <v/>
      </c>
      <c r="E4255" s="100" t="str">
        <f t="shared" si="2"/>
        <v/>
      </c>
      <c r="F4255" s="100" t="str">
        <f t="shared" si="3"/>
        <v/>
      </c>
      <c r="G4255" s="151"/>
      <c r="H4255" s="156"/>
      <c r="I4255" s="157"/>
      <c r="J4255" s="161"/>
      <c r="L4255" s="94"/>
      <c r="M4255" s="159"/>
      <c r="N4255" s="94"/>
    </row>
    <row r="4256">
      <c r="A4256" s="107">
        <v>1628392.0</v>
      </c>
      <c r="B4256" s="108" t="s">
        <v>246</v>
      </c>
      <c r="C4256" s="108" t="s">
        <v>1018</v>
      </c>
      <c r="D4256" s="100" t="str">
        <f t="shared" si="1"/>
        <v/>
      </c>
      <c r="E4256" s="100" t="str">
        <f t="shared" si="2"/>
        <v/>
      </c>
      <c r="F4256" s="100" t="str">
        <f t="shared" si="3"/>
        <v/>
      </c>
      <c r="G4256" s="151"/>
      <c r="H4256" s="160"/>
      <c r="I4256" s="157"/>
      <c r="J4256" s="158"/>
      <c r="L4256" s="94"/>
      <c r="M4256" s="159"/>
      <c r="N4256" s="94"/>
    </row>
    <row r="4257">
      <c r="A4257" s="149">
        <v>1628392.0</v>
      </c>
      <c r="B4257" s="115" t="s">
        <v>247</v>
      </c>
      <c r="C4257" s="115" t="s">
        <v>1018</v>
      </c>
      <c r="D4257" s="100" t="str">
        <f t="shared" si="1"/>
        <v/>
      </c>
      <c r="E4257" s="100" t="str">
        <f t="shared" si="2"/>
        <v/>
      </c>
      <c r="F4257" s="100" t="str">
        <f t="shared" si="3"/>
        <v/>
      </c>
      <c r="G4257" s="151"/>
      <c r="H4257" s="156"/>
      <c r="I4257" s="157"/>
      <c r="J4257" s="161"/>
      <c r="L4257" s="94"/>
      <c r="M4257" s="159"/>
      <c r="N4257" s="94"/>
    </row>
    <row r="4258">
      <c r="A4258" s="21">
        <v>1628393.0</v>
      </c>
      <c r="B4258" s="164" t="s">
        <v>191</v>
      </c>
      <c r="C4258" s="164" t="s">
        <v>1019</v>
      </c>
      <c r="D4258" s="100" t="str">
        <f t="shared" si="1"/>
        <v/>
      </c>
      <c r="E4258" s="100" t="str">
        <f t="shared" si="2"/>
        <v/>
      </c>
      <c r="F4258" s="100" t="str">
        <f t="shared" si="3"/>
        <v/>
      </c>
      <c r="G4258" s="151"/>
      <c r="H4258" s="160"/>
      <c r="I4258" s="157"/>
      <c r="J4258" s="158"/>
      <c r="L4258" s="94"/>
      <c r="M4258" s="159"/>
      <c r="N4258" s="94"/>
    </row>
    <row r="4259">
      <c r="A4259" s="107">
        <v>1628393.0</v>
      </c>
      <c r="B4259" s="108" t="s">
        <v>192</v>
      </c>
      <c r="C4259" s="108" t="s">
        <v>1019</v>
      </c>
      <c r="D4259" s="100" t="str">
        <f t="shared" si="1"/>
        <v/>
      </c>
      <c r="E4259" s="100" t="str">
        <f t="shared" si="2"/>
        <v/>
      </c>
      <c r="F4259" s="100" t="str">
        <f t="shared" si="3"/>
        <v/>
      </c>
      <c r="G4259" s="151"/>
      <c r="H4259" s="156"/>
      <c r="I4259" s="157"/>
      <c r="J4259" s="161"/>
      <c r="L4259" s="94"/>
      <c r="M4259" s="159"/>
      <c r="N4259" s="94"/>
    </row>
    <row r="4260">
      <c r="A4260" s="107">
        <v>1628394.0</v>
      </c>
      <c r="B4260" s="108" t="s">
        <v>193</v>
      </c>
      <c r="C4260" s="108" t="s">
        <v>1020</v>
      </c>
      <c r="D4260" s="100" t="str">
        <f t="shared" si="1"/>
        <v/>
      </c>
      <c r="E4260" s="100" t="str">
        <f t="shared" si="2"/>
        <v/>
      </c>
      <c r="F4260" s="100" t="str">
        <f t="shared" si="3"/>
        <v/>
      </c>
      <c r="G4260" s="151"/>
      <c r="H4260" s="160"/>
      <c r="I4260" s="157"/>
      <c r="J4260" s="158"/>
      <c r="L4260" s="94"/>
      <c r="M4260" s="159"/>
      <c r="N4260" s="94"/>
    </row>
    <row r="4261">
      <c r="A4261" s="107">
        <v>1628394.0</v>
      </c>
      <c r="B4261" s="108" t="s">
        <v>243</v>
      </c>
      <c r="C4261" s="108" t="s">
        <v>1020</v>
      </c>
      <c r="D4261" s="100" t="str">
        <f t="shared" si="1"/>
        <v/>
      </c>
      <c r="E4261" s="100" t="str">
        <f t="shared" si="2"/>
        <v/>
      </c>
      <c r="F4261" s="100" t="str">
        <f t="shared" si="3"/>
        <v/>
      </c>
      <c r="G4261" s="151"/>
      <c r="H4261" s="156"/>
      <c r="I4261" s="157"/>
      <c r="J4261" s="161"/>
      <c r="L4261" s="94"/>
      <c r="M4261" s="159"/>
      <c r="N4261" s="94"/>
    </row>
    <row r="4262">
      <c r="A4262" s="107">
        <v>1628395.0</v>
      </c>
      <c r="B4262" s="108" t="s">
        <v>191</v>
      </c>
      <c r="C4262" s="108" t="s">
        <v>1021</v>
      </c>
      <c r="D4262" s="100" t="str">
        <f t="shared" si="1"/>
        <v/>
      </c>
      <c r="E4262" s="100" t="str">
        <f t="shared" si="2"/>
        <v/>
      </c>
      <c r="F4262" s="100" t="str">
        <f t="shared" si="3"/>
        <v/>
      </c>
      <c r="G4262" s="151"/>
      <c r="H4262" s="160"/>
      <c r="I4262" s="157"/>
      <c r="J4262" s="158"/>
      <c r="L4262" s="94"/>
      <c r="M4262" s="159"/>
      <c r="N4262" s="94"/>
    </row>
    <row r="4263">
      <c r="A4263" s="107">
        <v>1628395.0</v>
      </c>
      <c r="B4263" s="108" t="s">
        <v>192</v>
      </c>
      <c r="C4263" s="108" t="s">
        <v>1021</v>
      </c>
      <c r="D4263" s="100" t="str">
        <f t="shared" si="1"/>
        <v/>
      </c>
      <c r="E4263" s="100" t="str">
        <f t="shared" si="2"/>
        <v/>
      </c>
      <c r="F4263" s="100" t="str">
        <f t="shared" si="3"/>
        <v/>
      </c>
      <c r="G4263" s="151"/>
      <c r="H4263" s="156"/>
      <c r="I4263" s="157"/>
      <c r="J4263" s="161"/>
      <c r="L4263" s="94"/>
      <c r="M4263" s="159"/>
      <c r="N4263" s="94"/>
    </row>
    <row r="4264">
      <c r="A4264" s="107">
        <v>1628395.0</v>
      </c>
      <c r="B4264" s="108" t="s">
        <v>193</v>
      </c>
      <c r="C4264" s="108" t="s">
        <v>1021</v>
      </c>
      <c r="D4264" s="100" t="str">
        <f t="shared" si="1"/>
        <v/>
      </c>
      <c r="E4264" s="100" t="str">
        <f t="shared" si="2"/>
        <v/>
      </c>
      <c r="F4264" s="100" t="str">
        <f t="shared" si="3"/>
        <v/>
      </c>
      <c r="G4264" s="151"/>
      <c r="H4264" s="160"/>
      <c r="I4264" s="157"/>
      <c r="J4264" s="158"/>
      <c r="L4264" s="94"/>
      <c r="M4264" s="159"/>
      <c r="N4264" s="94"/>
    </row>
    <row r="4265">
      <c r="A4265" s="107">
        <v>1628395.0</v>
      </c>
      <c r="B4265" s="108" t="s">
        <v>243</v>
      </c>
      <c r="C4265" s="108" t="s">
        <v>1021</v>
      </c>
      <c r="D4265" s="100" t="str">
        <f t="shared" si="1"/>
        <v/>
      </c>
      <c r="E4265" s="100" t="str">
        <f t="shared" si="2"/>
        <v/>
      </c>
      <c r="F4265" s="100" t="str">
        <f t="shared" si="3"/>
        <v/>
      </c>
      <c r="G4265" s="151"/>
      <c r="H4265" s="156"/>
      <c r="I4265" s="157"/>
      <c r="J4265" s="161"/>
      <c r="L4265" s="94"/>
      <c r="M4265" s="159"/>
      <c r="N4265" s="94"/>
    </row>
    <row r="4266">
      <c r="A4266" s="107">
        <v>1628395.0</v>
      </c>
      <c r="B4266" s="108" t="s">
        <v>215</v>
      </c>
      <c r="C4266" s="108" t="s">
        <v>1021</v>
      </c>
      <c r="D4266" s="100" t="str">
        <f t="shared" si="1"/>
        <v/>
      </c>
      <c r="E4266" s="100" t="str">
        <f t="shared" si="2"/>
        <v/>
      </c>
      <c r="F4266" s="100" t="str">
        <f t="shared" si="3"/>
        <v/>
      </c>
      <c r="G4266" s="151"/>
      <c r="H4266" s="160"/>
      <c r="I4266" s="157"/>
      <c r="J4266" s="158"/>
      <c r="L4266" s="94"/>
      <c r="M4266" s="159"/>
      <c r="N4266" s="94"/>
    </row>
    <row r="4267">
      <c r="A4267" s="107">
        <v>1628396.0</v>
      </c>
      <c r="B4267" s="108" t="s">
        <v>191</v>
      </c>
      <c r="C4267" s="108" t="s">
        <v>1022</v>
      </c>
      <c r="D4267" s="100" t="str">
        <f t="shared" si="1"/>
        <v/>
      </c>
      <c r="E4267" s="100" t="str">
        <f t="shared" si="2"/>
        <v/>
      </c>
      <c r="F4267" s="100" t="str">
        <f t="shared" si="3"/>
        <v/>
      </c>
      <c r="G4267" s="151"/>
      <c r="H4267" s="156"/>
      <c r="I4267" s="157"/>
      <c r="J4267" s="161"/>
      <c r="L4267" s="94"/>
      <c r="M4267" s="159"/>
      <c r="N4267" s="94"/>
    </row>
    <row r="4268">
      <c r="A4268" s="107">
        <v>1628396.0</v>
      </c>
      <c r="B4268" s="108" t="s">
        <v>192</v>
      </c>
      <c r="C4268" s="108" t="s">
        <v>1022</v>
      </c>
      <c r="D4268" s="100" t="str">
        <f t="shared" si="1"/>
        <v/>
      </c>
      <c r="E4268" s="100" t="str">
        <f t="shared" si="2"/>
        <v/>
      </c>
      <c r="F4268" s="100" t="str">
        <f t="shared" si="3"/>
        <v/>
      </c>
      <c r="G4268" s="151"/>
      <c r="H4268" s="160"/>
      <c r="I4268" s="157"/>
      <c r="J4268" s="158"/>
      <c r="L4268" s="94"/>
      <c r="M4268" s="159"/>
      <c r="N4268" s="94"/>
    </row>
    <row r="4269">
      <c r="A4269" s="107">
        <v>1628396.0</v>
      </c>
      <c r="B4269" s="108" t="s">
        <v>193</v>
      </c>
      <c r="C4269" s="108" t="s">
        <v>1022</v>
      </c>
      <c r="D4269" s="100" t="str">
        <f t="shared" si="1"/>
        <v/>
      </c>
      <c r="E4269" s="100" t="str">
        <f t="shared" si="2"/>
        <v/>
      </c>
      <c r="F4269" s="100" t="str">
        <f t="shared" si="3"/>
        <v/>
      </c>
      <c r="G4269" s="151"/>
      <c r="H4269" s="156"/>
      <c r="I4269" s="157"/>
      <c r="J4269" s="161"/>
      <c r="L4269" s="94"/>
      <c r="M4269" s="159"/>
      <c r="N4269" s="94"/>
    </row>
    <row r="4270">
      <c r="A4270" s="107">
        <v>1628396.0</v>
      </c>
      <c r="B4270" s="108" t="s">
        <v>243</v>
      </c>
      <c r="C4270" s="108" t="s">
        <v>1022</v>
      </c>
      <c r="D4270" s="100" t="str">
        <f t="shared" si="1"/>
        <v/>
      </c>
      <c r="E4270" s="100" t="str">
        <f t="shared" si="2"/>
        <v/>
      </c>
      <c r="F4270" s="100" t="str">
        <f t="shared" si="3"/>
        <v/>
      </c>
      <c r="G4270" s="151"/>
      <c r="H4270" s="160"/>
      <c r="I4270" s="157"/>
      <c r="J4270" s="158"/>
      <c r="L4270" s="94"/>
      <c r="M4270" s="159"/>
      <c r="N4270" s="94"/>
    </row>
    <row r="4271">
      <c r="A4271" s="107">
        <v>1628396.0</v>
      </c>
      <c r="B4271" s="108" t="s">
        <v>215</v>
      </c>
      <c r="C4271" s="108" t="s">
        <v>1022</v>
      </c>
      <c r="D4271" s="100" t="str">
        <f t="shared" si="1"/>
        <v/>
      </c>
      <c r="E4271" s="100" t="str">
        <f t="shared" si="2"/>
        <v/>
      </c>
      <c r="F4271" s="100" t="str">
        <f t="shared" si="3"/>
        <v/>
      </c>
      <c r="G4271" s="151"/>
      <c r="H4271" s="156"/>
      <c r="I4271" s="157"/>
      <c r="J4271" s="161"/>
      <c r="L4271" s="94"/>
      <c r="M4271" s="159"/>
      <c r="N4271" s="94"/>
    </row>
    <row r="4272">
      <c r="A4272" s="107">
        <v>1628396.0</v>
      </c>
      <c r="B4272" s="108" t="s">
        <v>244</v>
      </c>
      <c r="C4272" s="108" t="s">
        <v>1022</v>
      </c>
      <c r="D4272" s="100" t="str">
        <f t="shared" si="1"/>
        <v/>
      </c>
      <c r="E4272" s="100" t="str">
        <f t="shared" si="2"/>
        <v/>
      </c>
      <c r="F4272" s="100" t="str">
        <f t="shared" si="3"/>
        <v/>
      </c>
      <c r="G4272" s="151"/>
      <c r="H4272" s="160"/>
      <c r="I4272" s="157"/>
      <c r="J4272" s="158"/>
      <c r="L4272" s="94"/>
      <c r="M4272" s="159"/>
      <c r="N4272" s="94"/>
    </row>
    <row r="4273">
      <c r="A4273" s="149">
        <v>1628396.0</v>
      </c>
      <c r="B4273" s="115" t="s">
        <v>247</v>
      </c>
      <c r="C4273" s="115" t="s">
        <v>1022</v>
      </c>
      <c r="D4273" s="100" t="str">
        <f t="shared" si="1"/>
        <v/>
      </c>
      <c r="E4273" s="100" t="str">
        <f t="shared" si="2"/>
        <v/>
      </c>
      <c r="F4273" s="100" t="str">
        <f t="shared" si="3"/>
        <v/>
      </c>
      <c r="G4273" s="151"/>
      <c r="H4273" s="156"/>
      <c r="I4273" s="157"/>
      <c r="J4273" s="161"/>
      <c r="L4273" s="94"/>
      <c r="M4273" s="159"/>
      <c r="N4273" s="94"/>
    </row>
    <row r="4274">
      <c r="A4274" s="21">
        <v>1628397.0</v>
      </c>
      <c r="B4274" s="164" t="s">
        <v>191</v>
      </c>
      <c r="C4274" s="164" t="s">
        <v>1023</v>
      </c>
      <c r="D4274" s="100" t="str">
        <f t="shared" si="1"/>
        <v/>
      </c>
      <c r="E4274" s="100" t="str">
        <f t="shared" si="2"/>
        <v/>
      </c>
      <c r="F4274" s="100" t="str">
        <f t="shared" si="3"/>
        <v/>
      </c>
      <c r="G4274" s="151"/>
      <c r="H4274" s="160"/>
      <c r="I4274" s="157"/>
      <c r="J4274" s="158"/>
      <c r="L4274" s="94"/>
      <c r="M4274" s="159"/>
      <c r="N4274" s="94"/>
    </row>
    <row r="4275">
      <c r="A4275" s="107">
        <v>1628397.0</v>
      </c>
      <c r="B4275" s="108" t="s">
        <v>192</v>
      </c>
      <c r="C4275" s="108" t="s">
        <v>1023</v>
      </c>
      <c r="D4275" s="100" t="str">
        <f t="shared" si="1"/>
        <v/>
      </c>
      <c r="E4275" s="100" t="str">
        <f t="shared" si="2"/>
        <v/>
      </c>
      <c r="F4275" s="100" t="str">
        <f t="shared" si="3"/>
        <v/>
      </c>
      <c r="G4275" s="151"/>
      <c r="H4275" s="156"/>
      <c r="I4275" s="157"/>
      <c r="J4275" s="161"/>
      <c r="L4275" s="94"/>
      <c r="M4275" s="159"/>
      <c r="N4275" s="94"/>
    </row>
    <row r="4276">
      <c r="A4276" s="107">
        <v>1628398.0</v>
      </c>
      <c r="B4276" s="108" t="s">
        <v>191</v>
      </c>
      <c r="C4276" s="108" t="s">
        <v>1024</v>
      </c>
      <c r="D4276" s="100" t="str">
        <f t="shared" si="1"/>
        <v/>
      </c>
      <c r="E4276" s="100" t="str">
        <f t="shared" si="2"/>
        <v/>
      </c>
      <c r="F4276" s="100" t="str">
        <f t="shared" si="3"/>
        <v/>
      </c>
      <c r="G4276" s="151"/>
      <c r="H4276" s="160"/>
      <c r="I4276" s="157"/>
      <c r="J4276" s="158"/>
      <c r="L4276" s="94"/>
      <c r="M4276" s="159"/>
      <c r="N4276" s="94"/>
    </row>
    <row r="4277">
      <c r="A4277" s="107">
        <v>1628398.0</v>
      </c>
      <c r="B4277" s="108" t="s">
        <v>192</v>
      </c>
      <c r="C4277" s="108" t="s">
        <v>1024</v>
      </c>
      <c r="D4277" s="100" t="str">
        <f t="shared" si="1"/>
        <v/>
      </c>
      <c r="E4277" s="100" t="str">
        <f t="shared" si="2"/>
        <v/>
      </c>
      <c r="F4277" s="100" t="str">
        <f t="shared" si="3"/>
        <v/>
      </c>
      <c r="G4277" s="151"/>
      <c r="H4277" s="156"/>
      <c r="I4277" s="157"/>
      <c r="J4277" s="161"/>
      <c r="L4277" s="94"/>
      <c r="M4277" s="159"/>
      <c r="N4277" s="94"/>
    </row>
    <row r="4278">
      <c r="A4278" s="107">
        <v>1628398.0</v>
      </c>
      <c r="B4278" s="108" t="s">
        <v>193</v>
      </c>
      <c r="C4278" s="108" t="s">
        <v>1024</v>
      </c>
      <c r="D4278" s="100" t="str">
        <f t="shared" si="1"/>
        <v/>
      </c>
      <c r="E4278" s="100" t="str">
        <f t="shared" si="2"/>
        <v/>
      </c>
      <c r="F4278" s="100" t="str">
        <f t="shared" si="3"/>
        <v/>
      </c>
      <c r="G4278" s="151"/>
      <c r="H4278" s="160"/>
      <c r="I4278" s="157"/>
      <c r="J4278" s="158"/>
      <c r="L4278" s="94"/>
      <c r="M4278" s="159"/>
      <c r="N4278" s="94"/>
    </row>
    <row r="4279">
      <c r="A4279" s="107">
        <v>1628398.0</v>
      </c>
      <c r="B4279" s="108" t="s">
        <v>243</v>
      </c>
      <c r="C4279" s="108" t="s">
        <v>1024</v>
      </c>
      <c r="D4279" s="100" t="str">
        <f t="shared" si="1"/>
        <v/>
      </c>
      <c r="E4279" s="100" t="str">
        <f t="shared" si="2"/>
        <v/>
      </c>
      <c r="F4279" s="100" t="str">
        <f t="shared" si="3"/>
        <v/>
      </c>
      <c r="G4279" s="151"/>
      <c r="H4279" s="156"/>
      <c r="I4279" s="157"/>
      <c r="J4279" s="161"/>
      <c r="L4279" s="94"/>
      <c r="M4279" s="159"/>
      <c r="N4279" s="94"/>
    </row>
    <row r="4280">
      <c r="A4280" s="107">
        <v>1628398.0</v>
      </c>
      <c r="B4280" s="108" t="s">
        <v>215</v>
      </c>
      <c r="C4280" s="108" t="s">
        <v>1024</v>
      </c>
      <c r="D4280" s="100" t="str">
        <f t="shared" si="1"/>
        <v/>
      </c>
      <c r="E4280" s="100" t="str">
        <f t="shared" si="2"/>
        <v/>
      </c>
      <c r="F4280" s="100" t="str">
        <f t="shared" si="3"/>
        <v/>
      </c>
      <c r="G4280" s="151"/>
      <c r="H4280" s="160"/>
      <c r="I4280" s="157"/>
      <c r="J4280" s="158"/>
      <c r="L4280" s="94"/>
      <c r="M4280" s="159"/>
      <c r="N4280" s="94"/>
    </row>
    <row r="4281">
      <c r="A4281" s="107">
        <v>1628398.0</v>
      </c>
      <c r="B4281" s="108" t="s">
        <v>244</v>
      </c>
      <c r="C4281" s="108" t="s">
        <v>1024</v>
      </c>
      <c r="D4281" s="100" t="str">
        <f t="shared" si="1"/>
        <v/>
      </c>
      <c r="E4281" s="100" t="str">
        <f t="shared" si="2"/>
        <v/>
      </c>
      <c r="F4281" s="100" t="str">
        <f t="shared" si="3"/>
        <v/>
      </c>
      <c r="G4281" s="151"/>
      <c r="H4281" s="156"/>
      <c r="I4281" s="157"/>
      <c r="J4281" s="161"/>
      <c r="L4281" s="94"/>
      <c r="M4281" s="159"/>
      <c r="N4281" s="94"/>
    </row>
    <row r="4282">
      <c r="A4282" s="107">
        <v>1628398.0</v>
      </c>
      <c r="B4282" s="108" t="s">
        <v>245</v>
      </c>
      <c r="C4282" s="108" t="s">
        <v>1024</v>
      </c>
      <c r="D4282" s="100" t="str">
        <f t="shared" si="1"/>
        <v/>
      </c>
      <c r="E4282" s="100" t="str">
        <f t="shared" si="2"/>
        <v/>
      </c>
      <c r="F4282" s="100" t="str">
        <f t="shared" si="3"/>
        <v/>
      </c>
      <c r="G4282" s="151"/>
      <c r="H4282" s="160"/>
      <c r="I4282" s="157"/>
      <c r="J4282" s="158"/>
      <c r="L4282" s="94"/>
      <c r="M4282" s="159"/>
      <c r="N4282" s="94"/>
    </row>
    <row r="4283">
      <c r="A4283" s="107">
        <v>1628398.0</v>
      </c>
      <c r="B4283" s="108" t="s">
        <v>246</v>
      </c>
      <c r="C4283" s="108" t="s">
        <v>1024</v>
      </c>
      <c r="D4283" s="100" t="str">
        <f t="shared" si="1"/>
        <v/>
      </c>
      <c r="E4283" s="100" t="str">
        <f t="shared" si="2"/>
        <v/>
      </c>
      <c r="F4283" s="100" t="str">
        <f t="shared" si="3"/>
        <v/>
      </c>
      <c r="G4283" s="151"/>
      <c r="H4283" s="156"/>
      <c r="I4283" s="157"/>
      <c r="J4283" s="161"/>
      <c r="L4283" s="94"/>
      <c r="M4283" s="159"/>
      <c r="N4283" s="94"/>
    </row>
    <row r="4284">
      <c r="A4284" s="149">
        <v>1628398.0</v>
      </c>
      <c r="B4284" s="115" t="s">
        <v>247</v>
      </c>
      <c r="C4284" s="115" t="s">
        <v>1024</v>
      </c>
      <c r="D4284" s="100" t="str">
        <f t="shared" si="1"/>
        <v/>
      </c>
      <c r="E4284" s="100" t="str">
        <f t="shared" si="2"/>
        <v/>
      </c>
      <c r="F4284" s="100" t="str">
        <f t="shared" si="3"/>
        <v/>
      </c>
      <c r="G4284" s="151"/>
      <c r="H4284" s="160"/>
      <c r="I4284" s="157"/>
      <c r="J4284" s="158"/>
      <c r="L4284" s="94"/>
      <c r="M4284" s="159"/>
      <c r="N4284" s="94"/>
    </row>
    <row r="4285">
      <c r="A4285" s="21">
        <v>1628399.0</v>
      </c>
      <c r="B4285" s="164" t="s">
        <v>191</v>
      </c>
      <c r="C4285" s="164" t="s">
        <v>1025</v>
      </c>
      <c r="D4285" s="100" t="str">
        <f t="shared" si="1"/>
        <v/>
      </c>
      <c r="E4285" s="100" t="str">
        <f t="shared" si="2"/>
        <v/>
      </c>
      <c r="F4285" s="100" t="str">
        <f t="shared" si="3"/>
        <v/>
      </c>
      <c r="G4285" s="151"/>
      <c r="H4285" s="156"/>
      <c r="I4285" s="157"/>
      <c r="J4285" s="161"/>
      <c r="L4285" s="94"/>
      <c r="M4285" s="159"/>
      <c r="N4285" s="94"/>
    </row>
    <row r="4286">
      <c r="A4286" s="107">
        <v>1628399.0</v>
      </c>
      <c r="B4286" s="108" t="s">
        <v>192</v>
      </c>
      <c r="C4286" s="108" t="s">
        <v>1025</v>
      </c>
      <c r="D4286" s="100" t="str">
        <f t="shared" si="1"/>
        <v/>
      </c>
      <c r="E4286" s="100" t="str">
        <f t="shared" si="2"/>
        <v/>
      </c>
      <c r="F4286" s="100" t="str">
        <f t="shared" si="3"/>
        <v/>
      </c>
      <c r="G4286" s="151"/>
      <c r="H4286" s="160"/>
      <c r="I4286" s="157"/>
      <c r="J4286" s="158"/>
      <c r="L4286" s="94"/>
      <c r="M4286" s="159"/>
      <c r="N4286" s="94"/>
    </row>
    <row r="4287">
      <c r="A4287" s="107">
        <v>1628400.0</v>
      </c>
      <c r="B4287" s="108" t="s">
        <v>191</v>
      </c>
      <c r="C4287" s="108" t="s">
        <v>1026</v>
      </c>
      <c r="D4287" s="100" t="str">
        <f t="shared" si="1"/>
        <v/>
      </c>
      <c r="E4287" s="100" t="str">
        <f t="shared" si="2"/>
        <v/>
      </c>
      <c r="F4287" s="100" t="str">
        <f t="shared" si="3"/>
        <v/>
      </c>
      <c r="G4287" s="151"/>
      <c r="H4287" s="156"/>
      <c r="I4287" s="157"/>
      <c r="J4287" s="161"/>
      <c r="L4287" s="94"/>
      <c r="M4287" s="159"/>
      <c r="N4287" s="94"/>
    </row>
    <row r="4288">
      <c r="A4288" s="107">
        <v>1628400.0</v>
      </c>
      <c r="B4288" s="108" t="s">
        <v>192</v>
      </c>
      <c r="C4288" s="108" t="s">
        <v>1026</v>
      </c>
      <c r="D4288" s="100" t="str">
        <f t="shared" si="1"/>
        <v/>
      </c>
      <c r="E4288" s="100" t="str">
        <f t="shared" si="2"/>
        <v/>
      </c>
      <c r="F4288" s="100" t="str">
        <f t="shared" si="3"/>
        <v/>
      </c>
      <c r="G4288" s="151"/>
      <c r="H4288" s="160"/>
      <c r="I4288" s="157"/>
      <c r="J4288" s="158"/>
      <c r="L4288" s="94"/>
      <c r="M4288" s="159"/>
      <c r="N4288" s="94"/>
    </row>
    <row r="4289">
      <c r="A4289" s="107">
        <v>1628400.0</v>
      </c>
      <c r="B4289" s="108" t="s">
        <v>193</v>
      </c>
      <c r="C4289" s="108" t="s">
        <v>1026</v>
      </c>
      <c r="D4289" s="100" t="str">
        <f t="shared" si="1"/>
        <v/>
      </c>
      <c r="E4289" s="100" t="str">
        <f t="shared" si="2"/>
        <v/>
      </c>
      <c r="F4289" s="100" t="str">
        <f t="shared" si="3"/>
        <v/>
      </c>
      <c r="G4289" s="151"/>
      <c r="H4289" s="156"/>
      <c r="I4289" s="157"/>
      <c r="J4289" s="161"/>
      <c r="L4289" s="94"/>
      <c r="M4289" s="159"/>
      <c r="N4289" s="94"/>
    </row>
    <row r="4290">
      <c r="A4290" s="107">
        <v>1628400.0</v>
      </c>
      <c r="B4290" s="108" t="s">
        <v>243</v>
      </c>
      <c r="C4290" s="108" t="s">
        <v>1026</v>
      </c>
      <c r="D4290" s="100" t="str">
        <f t="shared" si="1"/>
        <v/>
      </c>
      <c r="E4290" s="100" t="str">
        <f t="shared" si="2"/>
        <v/>
      </c>
      <c r="F4290" s="100" t="str">
        <f t="shared" si="3"/>
        <v/>
      </c>
      <c r="G4290" s="151"/>
      <c r="H4290" s="160"/>
      <c r="I4290" s="157"/>
      <c r="J4290" s="158"/>
      <c r="L4290" s="94"/>
      <c r="M4290" s="159"/>
      <c r="N4290" s="94"/>
    </row>
    <row r="4291">
      <c r="A4291" s="107">
        <v>1628400.0</v>
      </c>
      <c r="B4291" s="108" t="s">
        <v>215</v>
      </c>
      <c r="C4291" s="108" t="s">
        <v>1026</v>
      </c>
      <c r="D4291" s="100" t="str">
        <f t="shared" si="1"/>
        <v/>
      </c>
      <c r="E4291" s="100" t="str">
        <f t="shared" si="2"/>
        <v/>
      </c>
      <c r="F4291" s="100" t="str">
        <f t="shared" si="3"/>
        <v/>
      </c>
      <c r="G4291" s="151"/>
      <c r="H4291" s="156"/>
      <c r="I4291" s="157"/>
      <c r="J4291" s="161"/>
      <c r="L4291" s="94"/>
      <c r="M4291" s="159"/>
      <c r="N4291" s="94"/>
    </row>
    <row r="4292">
      <c r="A4292" s="107">
        <v>1628401.0</v>
      </c>
      <c r="B4292" s="108" t="s">
        <v>191</v>
      </c>
      <c r="C4292" s="108" t="s">
        <v>1027</v>
      </c>
      <c r="D4292" s="100" t="str">
        <f t="shared" si="1"/>
        <v/>
      </c>
      <c r="E4292" s="100" t="str">
        <f t="shared" si="2"/>
        <v/>
      </c>
      <c r="F4292" s="100" t="str">
        <f t="shared" si="3"/>
        <v/>
      </c>
      <c r="G4292" s="151"/>
      <c r="H4292" s="160"/>
      <c r="I4292" s="157"/>
      <c r="J4292" s="158"/>
      <c r="L4292" s="94"/>
      <c r="M4292" s="159"/>
      <c r="N4292" s="94"/>
    </row>
    <row r="4293">
      <c r="A4293" s="107">
        <v>1628401.0</v>
      </c>
      <c r="B4293" s="108" t="s">
        <v>192</v>
      </c>
      <c r="C4293" s="108" t="s">
        <v>1027</v>
      </c>
      <c r="D4293" s="100" t="str">
        <f t="shared" si="1"/>
        <v/>
      </c>
      <c r="E4293" s="100" t="str">
        <f t="shared" si="2"/>
        <v/>
      </c>
      <c r="F4293" s="100" t="str">
        <f t="shared" si="3"/>
        <v/>
      </c>
      <c r="G4293" s="151"/>
      <c r="H4293" s="156"/>
      <c r="I4293" s="157"/>
      <c r="J4293" s="161"/>
      <c r="L4293" s="94"/>
      <c r="M4293" s="159"/>
      <c r="N4293" s="94"/>
    </row>
    <row r="4294">
      <c r="A4294" s="107">
        <v>1628401.0</v>
      </c>
      <c r="B4294" s="108" t="s">
        <v>193</v>
      </c>
      <c r="C4294" s="108" t="s">
        <v>1027</v>
      </c>
      <c r="D4294" s="100" t="str">
        <f t="shared" si="1"/>
        <v/>
      </c>
      <c r="E4294" s="100" t="str">
        <f t="shared" si="2"/>
        <v/>
      </c>
      <c r="F4294" s="100" t="str">
        <f t="shared" si="3"/>
        <v/>
      </c>
      <c r="G4294" s="151"/>
      <c r="H4294" s="160"/>
      <c r="I4294" s="157"/>
      <c r="J4294" s="158"/>
      <c r="L4294" s="94"/>
      <c r="M4294" s="159"/>
      <c r="N4294" s="94"/>
    </row>
    <row r="4295">
      <c r="A4295" s="107">
        <v>1628401.0</v>
      </c>
      <c r="B4295" s="108" t="s">
        <v>243</v>
      </c>
      <c r="C4295" s="108" t="s">
        <v>1027</v>
      </c>
      <c r="D4295" s="100" t="str">
        <f t="shared" si="1"/>
        <v/>
      </c>
      <c r="E4295" s="100" t="str">
        <f t="shared" si="2"/>
        <v/>
      </c>
      <c r="F4295" s="100" t="str">
        <f t="shared" si="3"/>
        <v/>
      </c>
      <c r="G4295" s="151"/>
      <c r="H4295" s="156"/>
      <c r="I4295" s="157"/>
      <c r="J4295" s="161"/>
      <c r="L4295" s="94"/>
      <c r="M4295" s="159"/>
      <c r="N4295" s="94"/>
    </row>
    <row r="4296">
      <c r="A4296" s="107">
        <v>1628401.0</v>
      </c>
      <c r="B4296" s="108" t="s">
        <v>215</v>
      </c>
      <c r="C4296" s="108" t="s">
        <v>1027</v>
      </c>
      <c r="D4296" s="100" t="str">
        <f t="shared" si="1"/>
        <v/>
      </c>
      <c r="E4296" s="100" t="str">
        <f t="shared" si="2"/>
        <v/>
      </c>
      <c r="F4296" s="100" t="str">
        <f t="shared" si="3"/>
        <v/>
      </c>
      <c r="G4296" s="151"/>
      <c r="H4296" s="160"/>
      <c r="I4296" s="157"/>
      <c r="J4296" s="158"/>
      <c r="L4296" s="94"/>
      <c r="M4296" s="159"/>
      <c r="N4296" s="94"/>
    </row>
    <row r="4297">
      <c r="A4297" s="107">
        <v>1628401.0</v>
      </c>
      <c r="B4297" s="108" t="s">
        <v>244</v>
      </c>
      <c r="C4297" s="108" t="s">
        <v>1027</v>
      </c>
      <c r="D4297" s="100" t="str">
        <f t="shared" si="1"/>
        <v/>
      </c>
      <c r="E4297" s="100" t="str">
        <f t="shared" si="2"/>
        <v/>
      </c>
      <c r="F4297" s="100" t="str">
        <f t="shared" si="3"/>
        <v/>
      </c>
      <c r="G4297" s="151"/>
      <c r="H4297" s="156"/>
      <c r="I4297" s="157"/>
      <c r="J4297" s="161"/>
      <c r="L4297" s="94"/>
      <c r="M4297" s="159"/>
      <c r="N4297" s="94"/>
    </row>
    <row r="4298">
      <c r="A4298" s="107">
        <v>1628401.0</v>
      </c>
      <c r="B4298" s="108" t="s">
        <v>245</v>
      </c>
      <c r="C4298" s="108" t="s">
        <v>1027</v>
      </c>
      <c r="D4298" s="100" t="str">
        <f t="shared" si="1"/>
        <v/>
      </c>
      <c r="E4298" s="100" t="str">
        <f t="shared" si="2"/>
        <v/>
      </c>
      <c r="F4298" s="100" t="str">
        <f t="shared" si="3"/>
        <v/>
      </c>
      <c r="G4298" s="151"/>
      <c r="H4298" s="160"/>
      <c r="I4298" s="157"/>
      <c r="J4298" s="158"/>
      <c r="L4298" s="94"/>
      <c r="M4298" s="159"/>
      <c r="N4298" s="94"/>
    </row>
    <row r="4299">
      <c r="A4299" s="107">
        <v>1628401.0</v>
      </c>
      <c r="B4299" s="108" t="s">
        <v>246</v>
      </c>
      <c r="C4299" s="108" t="s">
        <v>1027</v>
      </c>
      <c r="D4299" s="100" t="str">
        <f t="shared" si="1"/>
        <v/>
      </c>
      <c r="E4299" s="100" t="str">
        <f t="shared" si="2"/>
        <v/>
      </c>
      <c r="F4299" s="100" t="str">
        <f t="shared" si="3"/>
        <v/>
      </c>
      <c r="G4299" s="151"/>
      <c r="H4299" s="156"/>
      <c r="I4299" s="157"/>
      <c r="J4299" s="161"/>
      <c r="L4299" s="94"/>
      <c r="M4299" s="159"/>
      <c r="N4299" s="94"/>
    </row>
    <row r="4300">
      <c r="A4300" s="149">
        <v>1628401.0</v>
      </c>
      <c r="B4300" s="115" t="s">
        <v>247</v>
      </c>
      <c r="C4300" s="115" t="s">
        <v>1027</v>
      </c>
      <c r="D4300" s="100" t="str">
        <f t="shared" si="1"/>
        <v/>
      </c>
      <c r="E4300" s="100" t="str">
        <f t="shared" si="2"/>
        <v/>
      </c>
      <c r="F4300" s="100" t="str">
        <f t="shared" si="3"/>
        <v/>
      </c>
      <c r="G4300" s="151"/>
      <c r="H4300" s="160"/>
      <c r="I4300" s="157"/>
      <c r="J4300" s="158"/>
      <c r="L4300" s="94"/>
      <c r="M4300" s="159"/>
      <c r="N4300" s="94"/>
    </row>
    <row r="4301">
      <c r="A4301" s="21">
        <v>1628402.0</v>
      </c>
      <c r="B4301" s="164" t="s">
        <v>192</v>
      </c>
      <c r="C4301" s="164" t="s">
        <v>1028</v>
      </c>
      <c r="D4301" s="100" t="str">
        <f t="shared" si="1"/>
        <v/>
      </c>
      <c r="E4301" s="100" t="str">
        <f t="shared" si="2"/>
        <v/>
      </c>
      <c r="F4301" s="100" t="str">
        <f t="shared" si="3"/>
        <v/>
      </c>
      <c r="G4301" s="151"/>
      <c r="H4301" s="156"/>
      <c r="I4301" s="157"/>
      <c r="J4301" s="161"/>
      <c r="L4301" s="94"/>
      <c r="M4301" s="159"/>
      <c r="N4301" s="94"/>
    </row>
    <row r="4302">
      <c r="A4302" s="107">
        <v>1628402.0</v>
      </c>
      <c r="B4302" s="108" t="s">
        <v>193</v>
      </c>
      <c r="C4302" s="108" t="s">
        <v>1028</v>
      </c>
      <c r="D4302" s="100" t="str">
        <f t="shared" si="1"/>
        <v/>
      </c>
      <c r="E4302" s="100" t="str">
        <f t="shared" si="2"/>
        <v/>
      </c>
      <c r="F4302" s="100" t="str">
        <f t="shared" si="3"/>
        <v/>
      </c>
      <c r="G4302" s="151"/>
      <c r="H4302" s="160"/>
      <c r="I4302" s="157"/>
      <c r="J4302" s="158"/>
      <c r="L4302" s="94"/>
      <c r="M4302" s="159"/>
      <c r="N4302" s="94"/>
    </row>
    <row r="4303">
      <c r="A4303" s="107">
        <v>1628402.0</v>
      </c>
      <c r="B4303" s="108" t="s">
        <v>243</v>
      </c>
      <c r="C4303" s="108" t="s">
        <v>1028</v>
      </c>
      <c r="D4303" s="100" t="str">
        <f t="shared" si="1"/>
        <v/>
      </c>
      <c r="E4303" s="100" t="str">
        <f t="shared" si="2"/>
        <v/>
      </c>
      <c r="F4303" s="100" t="str">
        <f t="shared" si="3"/>
        <v/>
      </c>
      <c r="G4303" s="151"/>
      <c r="H4303" s="156"/>
      <c r="I4303" s="157"/>
      <c r="J4303" s="161"/>
      <c r="L4303" s="94"/>
      <c r="M4303" s="159"/>
      <c r="N4303" s="94"/>
    </row>
    <row r="4304">
      <c r="A4304" s="107">
        <v>1628402.0</v>
      </c>
      <c r="B4304" s="108" t="s">
        <v>215</v>
      </c>
      <c r="C4304" s="108" t="s">
        <v>1028</v>
      </c>
      <c r="D4304" s="100" t="str">
        <f t="shared" si="1"/>
        <v/>
      </c>
      <c r="E4304" s="100" t="str">
        <f t="shared" si="2"/>
        <v/>
      </c>
      <c r="F4304" s="100" t="str">
        <f t="shared" si="3"/>
        <v/>
      </c>
      <c r="G4304" s="151"/>
      <c r="H4304" s="160"/>
      <c r="I4304" s="157"/>
      <c r="J4304" s="158"/>
      <c r="L4304" s="94"/>
      <c r="M4304" s="159"/>
      <c r="N4304" s="94"/>
    </row>
    <row r="4305">
      <c r="A4305" s="107">
        <v>1628402.0</v>
      </c>
      <c r="B4305" s="108" t="s">
        <v>244</v>
      </c>
      <c r="C4305" s="108" t="s">
        <v>1028</v>
      </c>
      <c r="D4305" s="100" t="str">
        <f t="shared" si="1"/>
        <v/>
      </c>
      <c r="E4305" s="100" t="str">
        <f t="shared" si="2"/>
        <v/>
      </c>
      <c r="F4305" s="100" t="str">
        <f t="shared" si="3"/>
        <v/>
      </c>
      <c r="G4305" s="151"/>
      <c r="H4305" s="156"/>
      <c r="I4305" s="157"/>
      <c r="J4305" s="161"/>
      <c r="L4305" s="94"/>
      <c r="M4305" s="159"/>
      <c r="N4305" s="94"/>
    </row>
    <row r="4306">
      <c r="A4306" s="107">
        <v>1628403.0</v>
      </c>
      <c r="B4306" s="108" t="s">
        <v>191</v>
      </c>
      <c r="C4306" s="108" t="s">
        <v>1029</v>
      </c>
      <c r="D4306" s="100" t="str">
        <f t="shared" si="1"/>
        <v/>
      </c>
      <c r="E4306" s="100" t="str">
        <f t="shared" si="2"/>
        <v/>
      </c>
      <c r="F4306" s="100" t="str">
        <f t="shared" si="3"/>
        <v/>
      </c>
      <c r="G4306" s="151"/>
      <c r="H4306" s="160"/>
      <c r="I4306" s="157"/>
      <c r="J4306" s="158"/>
      <c r="L4306" s="94"/>
      <c r="M4306" s="159"/>
      <c r="N4306" s="94"/>
    </row>
    <row r="4307">
      <c r="A4307" s="107">
        <v>1628403.0</v>
      </c>
      <c r="B4307" s="108" t="s">
        <v>192</v>
      </c>
      <c r="C4307" s="108" t="s">
        <v>1029</v>
      </c>
      <c r="D4307" s="100" t="str">
        <f t="shared" si="1"/>
        <v/>
      </c>
      <c r="E4307" s="100" t="str">
        <f t="shared" si="2"/>
        <v/>
      </c>
      <c r="F4307" s="100" t="str">
        <f t="shared" si="3"/>
        <v/>
      </c>
      <c r="G4307" s="151"/>
      <c r="H4307" s="156"/>
      <c r="I4307" s="157"/>
      <c r="J4307" s="161"/>
      <c r="L4307" s="94"/>
      <c r="M4307" s="159"/>
      <c r="N4307" s="94"/>
    </row>
    <row r="4308">
      <c r="A4308" s="107">
        <v>1628403.0</v>
      </c>
      <c r="B4308" s="108" t="s">
        <v>193</v>
      </c>
      <c r="C4308" s="108" t="s">
        <v>1029</v>
      </c>
      <c r="D4308" s="100" t="str">
        <f t="shared" si="1"/>
        <v/>
      </c>
      <c r="E4308" s="100" t="str">
        <f t="shared" si="2"/>
        <v/>
      </c>
      <c r="F4308" s="100" t="str">
        <f t="shared" si="3"/>
        <v/>
      </c>
      <c r="G4308" s="151"/>
      <c r="H4308" s="160"/>
      <c r="I4308" s="157"/>
      <c r="J4308" s="158"/>
      <c r="L4308" s="94"/>
      <c r="M4308" s="159"/>
      <c r="N4308" s="94"/>
    </row>
    <row r="4309">
      <c r="A4309" s="107">
        <v>1628404.0</v>
      </c>
      <c r="B4309" s="108" t="s">
        <v>191</v>
      </c>
      <c r="C4309" s="108" t="s">
        <v>1030</v>
      </c>
      <c r="D4309" s="100" t="str">
        <f t="shared" si="1"/>
        <v/>
      </c>
      <c r="E4309" s="100" t="str">
        <f t="shared" si="2"/>
        <v/>
      </c>
      <c r="F4309" s="100" t="str">
        <f t="shared" si="3"/>
        <v/>
      </c>
      <c r="G4309" s="151"/>
      <c r="H4309" s="156"/>
      <c r="I4309" s="157"/>
      <c r="J4309" s="161"/>
      <c r="L4309" s="94"/>
      <c r="M4309" s="159"/>
      <c r="N4309" s="94"/>
    </row>
    <row r="4310">
      <c r="A4310" s="107">
        <v>1628404.0</v>
      </c>
      <c r="B4310" s="108" t="s">
        <v>192</v>
      </c>
      <c r="C4310" s="108" t="s">
        <v>1030</v>
      </c>
      <c r="D4310" s="100" t="str">
        <f t="shared" si="1"/>
        <v/>
      </c>
      <c r="E4310" s="100" t="str">
        <f t="shared" si="2"/>
        <v/>
      </c>
      <c r="F4310" s="100" t="str">
        <f t="shared" si="3"/>
        <v/>
      </c>
      <c r="G4310" s="151"/>
      <c r="H4310" s="160"/>
      <c r="I4310" s="157"/>
      <c r="J4310" s="158"/>
      <c r="L4310" s="94"/>
      <c r="M4310" s="159"/>
      <c r="N4310" s="94"/>
    </row>
    <row r="4311">
      <c r="A4311" s="107">
        <v>1628404.0</v>
      </c>
      <c r="B4311" s="108" t="s">
        <v>193</v>
      </c>
      <c r="C4311" s="108" t="s">
        <v>1030</v>
      </c>
      <c r="D4311" s="100" t="str">
        <f t="shared" si="1"/>
        <v/>
      </c>
      <c r="E4311" s="100" t="str">
        <f t="shared" si="2"/>
        <v/>
      </c>
      <c r="F4311" s="100" t="str">
        <f t="shared" si="3"/>
        <v/>
      </c>
      <c r="G4311" s="151"/>
      <c r="H4311" s="156"/>
      <c r="I4311" s="157"/>
      <c r="J4311" s="161"/>
      <c r="L4311" s="94"/>
      <c r="M4311" s="159"/>
      <c r="N4311" s="94"/>
    </row>
    <row r="4312">
      <c r="A4312" s="107">
        <v>1628404.0</v>
      </c>
      <c r="B4312" s="108" t="s">
        <v>243</v>
      </c>
      <c r="C4312" s="108" t="s">
        <v>1030</v>
      </c>
      <c r="D4312" s="100" t="str">
        <f t="shared" si="1"/>
        <v/>
      </c>
      <c r="E4312" s="100" t="str">
        <f t="shared" si="2"/>
        <v/>
      </c>
      <c r="F4312" s="100" t="str">
        <f t="shared" si="3"/>
        <v/>
      </c>
      <c r="G4312" s="151"/>
      <c r="H4312" s="160"/>
      <c r="I4312" s="157"/>
      <c r="J4312" s="158"/>
      <c r="L4312" s="94"/>
      <c r="M4312" s="159"/>
      <c r="N4312" s="94"/>
    </row>
    <row r="4313">
      <c r="A4313" s="107">
        <v>1628404.0</v>
      </c>
      <c r="B4313" s="108" t="s">
        <v>215</v>
      </c>
      <c r="C4313" s="108" t="s">
        <v>1030</v>
      </c>
      <c r="D4313" s="100" t="str">
        <f t="shared" si="1"/>
        <v/>
      </c>
      <c r="E4313" s="100" t="str">
        <f t="shared" si="2"/>
        <v/>
      </c>
      <c r="F4313" s="100" t="str">
        <f t="shared" si="3"/>
        <v/>
      </c>
      <c r="G4313" s="151"/>
      <c r="H4313" s="156"/>
      <c r="I4313" s="157"/>
      <c r="J4313" s="161"/>
      <c r="L4313" s="94"/>
      <c r="M4313" s="159"/>
      <c r="N4313" s="94"/>
    </row>
    <row r="4314">
      <c r="A4314" s="107">
        <v>1628404.0</v>
      </c>
      <c r="B4314" s="108" t="s">
        <v>244</v>
      </c>
      <c r="C4314" s="108" t="s">
        <v>1030</v>
      </c>
      <c r="D4314" s="100" t="str">
        <f t="shared" si="1"/>
        <v/>
      </c>
      <c r="E4314" s="100" t="str">
        <f t="shared" si="2"/>
        <v/>
      </c>
      <c r="F4314" s="100" t="str">
        <f t="shared" si="3"/>
        <v/>
      </c>
      <c r="G4314" s="151"/>
      <c r="H4314" s="160"/>
      <c r="I4314" s="157"/>
      <c r="J4314" s="158"/>
      <c r="L4314" s="94"/>
      <c r="M4314" s="159"/>
      <c r="N4314" s="94"/>
    </row>
    <row r="4315">
      <c r="A4315" s="107">
        <v>1628404.0</v>
      </c>
      <c r="B4315" s="108" t="s">
        <v>245</v>
      </c>
      <c r="C4315" s="108" t="s">
        <v>1030</v>
      </c>
      <c r="D4315" s="100" t="str">
        <f t="shared" si="1"/>
        <v/>
      </c>
      <c r="E4315" s="100" t="str">
        <f t="shared" si="2"/>
        <v/>
      </c>
      <c r="F4315" s="100" t="str">
        <f t="shared" si="3"/>
        <v/>
      </c>
      <c r="G4315" s="151"/>
      <c r="H4315" s="156"/>
      <c r="I4315" s="157"/>
      <c r="J4315" s="161"/>
      <c r="L4315" s="94"/>
      <c r="M4315" s="159"/>
      <c r="N4315" s="94"/>
    </row>
    <row r="4316">
      <c r="A4316" s="107">
        <v>1628404.0</v>
      </c>
      <c r="B4316" s="108" t="s">
        <v>246</v>
      </c>
      <c r="C4316" s="108" t="s">
        <v>1030</v>
      </c>
      <c r="D4316" s="100" t="str">
        <f t="shared" si="1"/>
        <v/>
      </c>
      <c r="E4316" s="100" t="str">
        <f t="shared" si="2"/>
        <v/>
      </c>
      <c r="F4316" s="100" t="str">
        <f t="shared" si="3"/>
        <v/>
      </c>
      <c r="G4316" s="151"/>
      <c r="H4316" s="160"/>
      <c r="I4316" s="157"/>
      <c r="J4316" s="158"/>
      <c r="L4316" s="94"/>
      <c r="M4316" s="159"/>
      <c r="N4316" s="94"/>
    </row>
    <row r="4317">
      <c r="A4317" s="149">
        <v>1628404.0</v>
      </c>
      <c r="B4317" s="115" t="s">
        <v>247</v>
      </c>
      <c r="C4317" s="115" t="s">
        <v>1030</v>
      </c>
      <c r="D4317" s="100" t="str">
        <f t="shared" si="1"/>
        <v/>
      </c>
      <c r="E4317" s="100" t="str">
        <f t="shared" si="2"/>
        <v/>
      </c>
      <c r="F4317" s="100" t="str">
        <f t="shared" si="3"/>
        <v/>
      </c>
      <c r="G4317" s="151"/>
      <c r="H4317" s="156"/>
      <c r="I4317" s="157"/>
      <c r="J4317" s="161"/>
      <c r="L4317" s="94"/>
      <c r="M4317" s="159"/>
      <c r="N4317" s="94"/>
    </row>
    <row r="4318">
      <c r="A4318" s="21">
        <v>1628405.0</v>
      </c>
      <c r="B4318" s="164" t="s">
        <v>191</v>
      </c>
      <c r="C4318" s="164" t="s">
        <v>1031</v>
      </c>
      <c r="D4318" s="100" t="str">
        <f t="shared" si="1"/>
        <v/>
      </c>
      <c r="E4318" s="100" t="str">
        <f t="shared" si="2"/>
        <v/>
      </c>
      <c r="F4318" s="100" t="str">
        <f t="shared" si="3"/>
        <v/>
      </c>
      <c r="G4318" s="151"/>
      <c r="H4318" s="160"/>
      <c r="I4318" s="157"/>
      <c r="J4318" s="158"/>
      <c r="L4318" s="94"/>
      <c r="M4318" s="159"/>
      <c r="N4318" s="94"/>
    </row>
    <row r="4319">
      <c r="A4319" s="107">
        <v>1628405.0</v>
      </c>
      <c r="B4319" s="108" t="s">
        <v>192</v>
      </c>
      <c r="C4319" s="108" t="s">
        <v>1031</v>
      </c>
      <c r="D4319" s="100" t="str">
        <f t="shared" si="1"/>
        <v/>
      </c>
      <c r="E4319" s="100" t="str">
        <f t="shared" si="2"/>
        <v/>
      </c>
      <c r="F4319" s="100" t="str">
        <f t="shared" si="3"/>
        <v/>
      </c>
      <c r="G4319" s="151"/>
      <c r="H4319" s="156"/>
      <c r="I4319" s="157"/>
      <c r="J4319" s="161"/>
      <c r="L4319" s="94"/>
      <c r="M4319" s="159"/>
      <c r="N4319" s="94"/>
    </row>
    <row r="4320">
      <c r="A4320" s="107">
        <v>1628405.0</v>
      </c>
      <c r="B4320" s="108" t="s">
        <v>193</v>
      </c>
      <c r="C4320" s="108" t="s">
        <v>1031</v>
      </c>
      <c r="D4320" s="100" t="str">
        <f t="shared" si="1"/>
        <v/>
      </c>
      <c r="E4320" s="100" t="str">
        <f t="shared" si="2"/>
        <v/>
      </c>
      <c r="F4320" s="100" t="str">
        <f t="shared" si="3"/>
        <v/>
      </c>
      <c r="G4320" s="151"/>
      <c r="H4320" s="160"/>
      <c r="I4320" s="157"/>
      <c r="J4320" s="158"/>
      <c r="L4320" s="94"/>
      <c r="M4320" s="159"/>
      <c r="N4320" s="94"/>
    </row>
    <row r="4321">
      <c r="A4321" s="107">
        <v>1628407.0</v>
      </c>
      <c r="B4321" s="108" t="s">
        <v>191</v>
      </c>
      <c r="C4321" s="108" t="s">
        <v>1032</v>
      </c>
      <c r="D4321" s="100" t="str">
        <f t="shared" si="1"/>
        <v/>
      </c>
      <c r="E4321" s="100" t="str">
        <f t="shared" si="2"/>
        <v/>
      </c>
      <c r="F4321" s="100" t="str">
        <f t="shared" si="3"/>
        <v/>
      </c>
      <c r="G4321" s="151"/>
      <c r="H4321" s="156"/>
      <c r="I4321" s="157"/>
      <c r="J4321" s="161"/>
      <c r="L4321" s="94"/>
      <c r="M4321" s="159"/>
      <c r="N4321" s="94"/>
    </row>
    <row r="4322">
      <c r="A4322" s="107">
        <v>1628407.0</v>
      </c>
      <c r="B4322" s="108" t="s">
        <v>192</v>
      </c>
      <c r="C4322" s="108" t="s">
        <v>1032</v>
      </c>
      <c r="D4322" s="100" t="str">
        <f t="shared" si="1"/>
        <v/>
      </c>
      <c r="E4322" s="100" t="str">
        <f t="shared" si="2"/>
        <v/>
      </c>
      <c r="F4322" s="100" t="str">
        <f t="shared" si="3"/>
        <v/>
      </c>
      <c r="G4322" s="151"/>
      <c r="H4322" s="160"/>
      <c r="I4322" s="157"/>
      <c r="J4322" s="158"/>
      <c r="L4322" s="94"/>
      <c r="M4322" s="159"/>
      <c r="N4322" s="94"/>
    </row>
    <row r="4323">
      <c r="A4323" s="107">
        <v>1628407.0</v>
      </c>
      <c r="B4323" s="108" t="s">
        <v>193</v>
      </c>
      <c r="C4323" s="108" t="s">
        <v>1032</v>
      </c>
      <c r="D4323" s="100" t="str">
        <f t="shared" si="1"/>
        <v/>
      </c>
      <c r="E4323" s="100" t="str">
        <f t="shared" si="2"/>
        <v/>
      </c>
      <c r="F4323" s="100" t="str">
        <f t="shared" si="3"/>
        <v/>
      </c>
      <c r="G4323" s="151"/>
      <c r="H4323" s="156"/>
      <c r="I4323" s="157"/>
      <c r="J4323" s="161"/>
      <c r="L4323" s="94"/>
      <c r="M4323" s="159"/>
      <c r="N4323" s="94"/>
    </row>
    <row r="4324">
      <c r="A4324" s="107">
        <v>1628407.0</v>
      </c>
      <c r="B4324" s="108" t="s">
        <v>243</v>
      </c>
      <c r="C4324" s="108" t="s">
        <v>1032</v>
      </c>
      <c r="D4324" s="100" t="str">
        <f t="shared" si="1"/>
        <v/>
      </c>
      <c r="E4324" s="100" t="str">
        <f t="shared" si="2"/>
        <v/>
      </c>
      <c r="F4324" s="100" t="str">
        <f t="shared" si="3"/>
        <v/>
      </c>
      <c r="G4324" s="151"/>
      <c r="H4324" s="160"/>
      <c r="I4324" s="157"/>
      <c r="J4324" s="158"/>
      <c r="L4324" s="94"/>
      <c r="M4324" s="159"/>
      <c r="N4324" s="94"/>
    </row>
    <row r="4325">
      <c r="A4325" s="107">
        <v>1628408.0</v>
      </c>
      <c r="B4325" s="108" t="s">
        <v>191</v>
      </c>
      <c r="C4325" s="108" t="s">
        <v>1033</v>
      </c>
      <c r="D4325" s="100" t="str">
        <f t="shared" si="1"/>
        <v/>
      </c>
      <c r="E4325" s="100" t="str">
        <f t="shared" si="2"/>
        <v/>
      </c>
      <c r="F4325" s="100" t="str">
        <f t="shared" si="3"/>
        <v/>
      </c>
      <c r="G4325" s="151"/>
      <c r="H4325" s="156"/>
      <c r="I4325" s="157"/>
      <c r="J4325" s="161"/>
      <c r="L4325" s="94"/>
      <c r="M4325" s="159"/>
      <c r="N4325" s="94"/>
    </row>
    <row r="4326">
      <c r="A4326" s="107">
        <v>1628408.0</v>
      </c>
      <c r="B4326" s="108" t="s">
        <v>192</v>
      </c>
      <c r="C4326" s="108" t="s">
        <v>1033</v>
      </c>
      <c r="D4326" s="100" t="str">
        <f t="shared" si="1"/>
        <v/>
      </c>
      <c r="E4326" s="100" t="str">
        <f t="shared" si="2"/>
        <v/>
      </c>
      <c r="F4326" s="100" t="str">
        <f t="shared" si="3"/>
        <v/>
      </c>
      <c r="G4326" s="151"/>
      <c r="H4326" s="160"/>
      <c r="I4326" s="157"/>
      <c r="J4326" s="158"/>
      <c r="L4326" s="94"/>
      <c r="M4326" s="159"/>
      <c r="N4326" s="94"/>
    </row>
    <row r="4327">
      <c r="A4327" s="107">
        <v>1628408.0</v>
      </c>
      <c r="B4327" s="108" t="s">
        <v>193</v>
      </c>
      <c r="C4327" s="108" t="s">
        <v>1033</v>
      </c>
      <c r="D4327" s="100" t="str">
        <f t="shared" si="1"/>
        <v/>
      </c>
      <c r="E4327" s="100" t="str">
        <f t="shared" si="2"/>
        <v/>
      </c>
      <c r="F4327" s="100" t="str">
        <f t="shared" si="3"/>
        <v/>
      </c>
      <c r="G4327" s="151"/>
      <c r="H4327" s="156"/>
      <c r="I4327" s="157"/>
      <c r="J4327" s="161"/>
      <c r="L4327" s="94"/>
      <c r="M4327" s="159"/>
      <c r="N4327" s="94"/>
    </row>
    <row r="4328">
      <c r="A4328" s="107">
        <v>1628408.0</v>
      </c>
      <c r="B4328" s="108" t="s">
        <v>243</v>
      </c>
      <c r="C4328" s="108" t="s">
        <v>1033</v>
      </c>
      <c r="D4328" s="100" t="str">
        <f t="shared" si="1"/>
        <v/>
      </c>
      <c r="E4328" s="100" t="str">
        <f t="shared" si="2"/>
        <v/>
      </c>
      <c r="F4328" s="100" t="str">
        <f t="shared" si="3"/>
        <v/>
      </c>
      <c r="G4328" s="151"/>
      <c r="H4328" s="160"/>
      <c r="I4328" s="157"/>
      <c r="J4328" s="158"/>
      <c r="L4328" s="94"/>
      <c r="M4328" s="159"/>
      <c r="N4328" s="94"/>
    </row>
    <row r="4329">
      <c r="A4329" s="107">
        <v>1628408.0</v>
      </c>
      <c r="B4329" s="108" t="s">
        <v>215</v>
      </c>
      <c r="C4329" s="108" t="s">
        <v>1033</v>
      </c>
      <c r="D4329" s="100" t="str">
        <f t="shared" si="1"/>
        <v/>
      </c>
      <c r="E4329" s="100" t="str">
        <f t="shared" si="2"/>
        <v/>
      </c>
      <c r="F4329" s="100" t="str">
        <f t="shared" si="3"/>
        <v/>
      </c>
      <c r="G4329" s="151"/>
      <c r="H4329" s="156"/>
      <c r="I4329" s="157"/>
      <c r="J4329" s="161"/>
      <c r="L4329" s="94"/>
      <c r="M4329" s="159"/>
      <c r="N4329" s="94"/>
    </row>
    <row r="4330">
      <c r="A4330" s="107">
        <v>1628408.0</v>
      </c>
      <c r="B4330" s="108" t="s">
        <v>244</v>
      </c>
      <c r="C4330" s="108" t="s">
        <v>1033</v>
      </c>
      <c r="D4330" s="100" t="str">
        <f t="shared" si="1"/>
        <v/>
      </c>
      <c r="E4330" s="100" t="str">
        <f t="shared" si="2"/>
        <v/>
      </c>
      <c r="F4330" s="100" t="str">
        <f t="shared" si="3"/>
        <v/>
      </c>
      <c r="G4330" s="151"/>
      <c r="H4330" s="160"/>
      <c r="I4330" s="157"/>
      <c r="J4330" s="158"/>
      <c r="L4330" s="94"/>
      <c r="M4330" s="159"/>
      <c r="N4330" s="94"/>
    </row>
    <row r="4331">
      <c r="A4331" s="107">
        <v>1628408.0</v>
      </c>
      <c r="B4331" s="108" t="s">
        <v>246</v>
      </c>
      <c r="C4331" s="108" t="s">
        <v>1033</v>
      </c>
      <c r="D4331" s="100" t="str">
        <f t="shared" si="1"/>
        <v/>
      </c>
      <c r="E4331" s="100" t="str">
        <f t="shared" si="2"/>
        <v/>
      </c>
      <c r="F4331" s="100" t="str">
        <f t="shared" si="3"/>
        <v/>
      </c>
      <c r="G4331" s="151"/>
      <c r="H4331" s="156"/>
      <c r="I4331" s="157"/>
      <c r="J4331" s="161"/>
      <c r="L4331" s="94"/>
      <c r="M4331" s="159"/>
      <c r="N4331" s="94"/>
    </row>
    <row r="4332">
      <c r="A4332" s="107">
        <v>1628409.0</v>
      </c>
      <c r="B4332" s="108" t="s">
        <v>191</v>
      </c>
      <c r="C4332" s="108" t="s">
        <v>1034</v>
      </c>
      <c r="D4332" s="100" t="str">
        <f t="shared" si="1"/>
        <v/>
      </c>
      <c r="E4332" s="100" t="str">
        <f t="shared" si="2"/>
        <v/>
      </c>
      <c r="F4332" s="100" t="str">
        <f t="shared" si="3"/>
        <v/>
      </c>
      <c r="G4332" s="151"/>
      <c r="H4332" s="160"/>
      <c r="I4332" s="157"/>
      <c r="J4332" s="158"/>
      <c r="L4332" s="94"/>
      <c r="M4332" s="159"/>
      <c r="N4332" s="94"/>
    </row>
    <row r="4333">
      <c r="A4333" s="107">
        <v>1628410.0</v>
      </c>
      <c r="B4333" s="108" t="s">
        <v>191</v>
      </c>
      <c r="C4333" s="108" t="s">
        <v>1035</v>
      </c>
      <c r="D4333" s="100" t="str">
        <f t="shared" si="1"/>
        <v/>
      </c>
      <c r="E4333" s="100" t="str">
        <f t="shared" si="2"/>
        <v/>
      </c>
      <c r="F4333" s="100" t="str">
        <f t="shared" si="3"/>
        <v/>
      </c>
      <c r="G4333" s="151"/>
      <c r="H4333" s="156"/>
      <c r="I4333" s="157"/>
      <c r="J4333" s="161"/>
      <c r="L4333" s="94"/>
      <c r="M4333" s="159"/>
      <c r="N4333" s="94"/>
    </row>
    <row r="4334">
      <c r="A4334" s="107">
        <v>1628410.0</v>
      </c>
      <c r="B4334" s="108" t="s">
        <v>192</v>
      </c>
      <c r="C4334" s="108" t="s">
        <v>1035</v>
      </c>
      <c r="D4334" s="100" t="str">
        <f t="shared" si="1"/>
        <v/>
      </c>
      <c r="E4334" s="100" t="str">
        <f t="shared" si="2"/>
        <v/>
      </c>
      <c r="F4334" s="100" t="str">
        <f t="shared" si="3"/>
        <v/>
      </c>
      <c r="G4334" s="151"/>
      <c r="H4334" s="160"/>
      <c r="I4334" s="157"/>
      <c r="J4334" s="158"/>
      <c r="L4334" s="94"/>
      <c r="M4334" s="159"/>
      <c r="N4334" s="94"/>
    </row>
    <row r="4335">
      <c r="A4335" s="107">
        <v>1628410.0</v>
      </c>
      <c r="B4335" s="108" t="s">
        <v>193</v>
      </c>
      <c r="C4335" s="108" t="s">
        <v>1035</v>
      </c>
      <c r="D4335" s="100" t="str">
        <f t="shared" si="1"/>
        <v/>
      </c>
      <c r="E4335" s="100" t="str">
        <f t="shared" si="2"/>
        <v/>
      </c>
      <c r="F4335" s="100" t="str">
        <f t="shared" si="3"/>
        <v/>
      </c>
      <c r="G4335" s="151"/>
      <c r="H4335" s="156"/>
      <c r="I4335" s="157"/>
      <c r="J4335" s="161"/>
      <c r="L4335" s="94"/>
      <c r="M4335" s="159"/>
      <c r="N4335" s="94"/>
    </row>
    <row r="4336">
      <c r="A4336" s="107">
        <v>1628410.0</v>
      </c>
      <c r="B4336" s="108" t="s">
        <v>243</v>
      </c>
      <c r="C4336" s="108" t="s">
        <v>1035</v>
      </c>
      <c r="D4336" s="100" t="str">
        <f t="shared" si="1"/>
        <v/>
      </c>
      <c r="E4336" s="100" t="str">
        <f t="shared" si="2"/>
        <v/>
      </c>
      <c r="F4336" s="100" t="str">
        <f t="shared" si="3"/>
        <v/>
      </c>
      <c r="G4336" s="151"/>
      <c r="H4336" s="160"/>
      <c r="I4336" s="157"/>
      <c r="J4336" s="158"/>
      <c r="L4336" s="94"/>
      <c r="M4336" s="159"/>
      <c r="N4336" s="94"/>
    </row>
    <row r="4337">
      <c r="A4337" s="107">
        <v>1628410.0</v>
      </c>
      <c r="B4337" s="108" t="s">
        <v>244</v>
      </c>
      <c r="C4337" s="108" t="s">
        <v>1035</v>
      </c>
      <c r="D4337" s="100" t="str">
        <f t="shared" si="1"/>
        <v/>
      </c>
      <c r="E4337" s="100" t="str">
        <f t="shared" si="2"/>
        <v/>
      </c>
      <c r="F4337" s="100" t="str">
        <f t="shared" si="3"/>
        <v/>
      </c>
      <c r="G4337" s="151"/>
      <c r="H4337" s="156"/>
      <c r="I4337" s="157"/>
      <c r="J4337" s="161"/>
      <c r="L4337" s="94"/>
      <c r="M4337" s="159"/>
      <c r="N4337" s="94"/>
    </row>
    <row r="4338">
      <c r="A4338" s="107">
        <v>1628411.0</v>
      </c>
      <c r="B4338" s="108" t="s">
        <v>191</v>
      </c>
      <c r="C4338" s="108" t="s">
        <v>1036</v>
      </c>
      <c r="D4338" s="100" t="str">
        <f t="shared" si="1"/>
        <v/>
      </c>
      <c r="E4338" s="100" t="str">
        <f t="shared" si="2"/>
        <v/>
      </c>
      <c r="F4338" s="100" t="str">
        <f t="shared" si="3"/>
        <v/>
      </c>
      <c r="G4338" s="151"/>
      <c r="H4338" s="160"/>
      <c r="I4338" s="157"/>
      <c r="J4338" s="158"/>
      <c r="L4338" s="94"/>
      <c r="M4338" s="159"/>
      <c r="N4338" s="94"/>
    </row>
    <row r="4339">
      <c r="A4339" s="107">
        <v>1628411.0</v>
      </c>
      <c r="B4339" s="108" t="s">
        <v>192</v>
      </c>
      <c r="C4339" s="108" t="s">
        <v>1036</v>
      </c>
      <c r="D4339" s="100" t="str">
        <f t="shared" si="1"/>
        <v/>
      </c>
      <c r="E4339" s="100" t="str">
        <f t="shared" si="2"/>
        <v/>
      </c>
      <c r="F4339" s="100" t="str">
        <f t="shared" si="3"/>
        <v/>
      </c>
      <c r="G4339" s="151"/>
      <c r="H4339" s="156"/>
      <c r="I4339" s="157"/>
      <c r="J4339" s="161"/>
      <c r="L4339" s="94"/>
      <c r="M4339" s="159"/>
      <c r="N4339" s="94"/>
    </row>
    <row r="4340">
      <c r="A4340" s="107">
        <v>1628411.0</v>
      </c>
      <c r="B4340" s="108" t="s">
        <v>193</v>
      </c>
      <c r="C4340" s="108" t="s">
        <v>1036</v>
      </c>
      <c r="D4340" s="100" t="str">
        <f t="shared" si="1"/>
        <v/>
      </c>
      <c r="E4340" s="100" t="str">
        <f t="shared" si="2"/>
        <v/>
      </c>
      <c r="F4340" s="100" t="str">
        <f t="shared" si="3"/>
        <v/>
      </c>
      <c r="G4340" s="151"/>
      <c r="H4340" s="160"/>
      <c r="I4340" s="157"/>
      <c r="J4340" s="158"/>
      <c r="L4340" s="94"/>
      <c r="M4340" s="159"/>
      <c r="N4340" s="94"/>
    </row>
    <row r="4341">
      <c r="A4341" s="107">
        <v>1628411.0</v>
      </c>
      <c r="B4341" s="108" t="s">
        <v>243</v>
      </c>
      <c r="C4341" s="108" t="s">
        <v>1036</v>
      </c>
      <c r="D4341" s="100" t="str">
        <f t="shared" si="1"/>
        <v/>
      </c>
      <c r="E4341" s="100" t="str">
        <f t="shared" si="2"/>
        <v/>
      </c>
      <c r="F4341" s="100" t="str">
        <f t="shared" si="3"/>
        <v/>
      </c>
      <c r="G4341" s="151"/>
      <c r="H4341" s="156"/>
      <c r="I4341" s="157"/>
      <c r="J4341" s="161"/>
      <c r="L4341" s="94"/>
      <c r="M4341" s="159"/>
      <c r="N4341" s="94"/>
    </row>
    <row r="4342">
      <c r="A4342" s="107">
        <v>1628411.0</v>
      </c>
      <c r="B4342" s="108" t="s">
        <v>215</v>
      </c>
      <c r="C4342" s="108" t="s">
        <v>1036</v>
      </c>
      <c r="D4342" s="100" t="str">
        <f t="shared" si="1"/>
        <v/>
      </c>
      <c r="E4342" s="100" t="str">
        <f t="shared" si="2"/>
        <v/>
      </c>
      <c r="F4342" s="100" t="str">
        <f t="shared" si="3"/>
        <v/>
      </c>
      <c r="G4342" s="151"/>
      <c r="H4342" s="160"/>
      <c r="I4342" s="157"/>
      <c r="J4342" s="158"/>
      <c r="L4342" s="94"/>
      <c r="M4342" s="159"/>
      <c r="N4342" s="94"/>
    </row>
    <row r="4343">
      <c r="A4343" s="107">
        <v>1628412.0</v>
      </c>
      <c r="B4343" s="108" t="s">
        <v>191</v>
      </c>
      <c r="C4343" s="115" t="s">
        <v>1037</v>
      </c>
      <c r="D4343" s="100" t="str">
        <f t="shared" si="1"/>
        <v/>
      </c>
      <c r="E4343" s="100" t="str">
        <f t="shared" si="2"/>
        <v/>
      </c>
      <c r="F4343" s="100" t="str">
        <f t="shared" si="3"/>
        <v/>
      </c>
      <c r="G4343" s="151"/>
      <c r="H4343" s="156"/>
      <c r="I4343" s="157"/>
      <c r="J4343" s="161"/>
      <c r="L4343" s="94"/>
      <c r="M4343" s="159"/>
      <c r="N4343" s="94"/>
    </row>
    <row r="4344">
      <c r="A4344" s="107">
        <v>1628412.0</v>
      </c>
      <c r="B4344" s="108" t="s">
        <v>192</v>
      </c>
      <c r="C4344" s="115" t="s">
        <v>1037</v>
      </c>
      <c r="D4344" s="100" t="str">
        <f t="shared" si="1"/>
        <v/>
      </c>
      <c r="E4344" s="100" t="str">
        <f t="shared" si="2"/>
        <v/>
      </c>
      <c r="F4344" s="100" t="str">
        <f t="shared" si="3"/>
        <v/>
      </c>
      <c r="G4344" s="151"/>
      <c r="H4344" s="160"/>
      <c r="I4344" s="157"/>
      <c r="J4344" s="158"/>
      <c r="L4344" s="94"/>
      <c r="M4344" s="159"/>
      <c r="N4344" s="94"/>
    </row>
    <row r="4345">
      <c r="A4345" s="107">
        <v>1628412.0</v>
      </c>
      <c r="B4345" s="108" t="s">
        <v>193</v>
      </c>
      <c r="C4345" s="115" t="s">
        <v>1037</v>
      </c>
      <c r="D4345" s="100" t="str">
        <f t="shared" si="1"/>
        <v/>
      </c>
      <c r="E4345" s="100" t="str">
        <f t="shared" si="2"/>
        <v/>
      </c>
      <c r="F4345" s="100" t="str">
        <f t="shared" si="3"/>
        <v/>
      </c>
      <c r="G4345" s="151"/>
      <c r="H4345" s="156"/>
      <c r="I4345" s="157"/>
      <c r="J4345" s="161"/>
      <c r="L4345" s="94"/>
      <c r="M4345" s="159"/>
      <c r="N4345" s="94"/>
    </row>
    <row r="4346">
      <c r="A4346" s="107">
        <v>1628412.0</v>
      </c>
      <c r="B4346" s="108" t="s">
        <v>243</v>
      </c>
      <c r="C4346" s="115" t="s">
        <v>1037</v>
      </c>
      <c r="D4346" s="100" t="str">
        <f t="shared" si="1"/>
        <v/>
      </c>
      <c r="E4346" s="100" t="str">
        <f t="shared" si="2"/>
        <v/>
      </c>
      <c r="F4346" s="100" t="str">
        <f t="shared" si="3"/>
        <v/>
      </c>
      <c r="G4346" s="151"/>
      <c r="H4346" s="160"/>
      <c r="I4346" s="157"/>
      <c r="J4346" s="158"/>
      <c r="L4346" s="94"/>
      <c r="M4346" s="159"/>
      <c r="N4346" s="94"/>
    </row>
    <row r="4347">
      <c r="A4347" s="107">
        <v>1628413.0</v>
      </c>
      <c r="B4347" s="108" t="s">
        <v>192</v>
      </c>
      <c r="C4347" s="108" t="s">
        <v>1038</v>
      </c>
      <c r="D4347" s="100" t="str">
        <f t="shared" si="1"/>
        <v/>
      </c>
      <c r="E4347" s="100" t="str">
        <f t="shared" si="2"/>
        <v/>
      </c>
      <c r="F4347" s="100" t="str">
        <f t="shared" si="3"/>
        <v/>
      </c>
      <c r="G4347" s="151"/>
      <c r="H4347" s="156"/>
      <c r="I4347" s="157"/>
      <c r="J4347" s="161"/>
      <c r="L4347" s="94"/>
      <c r="M4347" s="159"/>
      <c r="N4347" s="94"/>
    </row>
    <row r="4348">
      <c r="A4348" s="107">
        <v>1628413.0</v>
      </c>
      <c r="B4348" s="108" t="s">
        <v>193</v>
      </c>
      <c r="C4348" s="108" t="s">
        <v>1038</v>
      </c>
      <c r="D4348" s="100" t="str">
        <f t="shared" si="1"/>
        <v/>
      </c>
      <c r="E4348" s="100" t="str">
        <f t="shared" si="2"/>
        <v/>
      </c>
      <c r="F4348" s="100" t="str">
        <f t="shared" si="3"/>
        <v/>
      </c>
      <c r="G4348" s="151"/>
      <c r="H4348" s="160"/>
      <c r="I4348" s="157"/>
      <c r="J4348" s="158"/>
      <c r="L4348" s="94"/>
      <c r="M4348" s="159"/>
      <c r="N4348" s="94"/>
    </row>
    <row r="4349">
      <c r="A4349" s="107">
        <v>1628414.0</v>
      </c>
      <c r="B4349" s="108" t="s">
        <v>191</v>
      </c>
      <c r="C4349" s="108" t="s">
        <v>1039</v>
      </c>
      <c r="D4349" s="100" t="str">
        <f t="shared" si="1"/>
        <v/>
      </c>
      <c r="E4349" s="100" t="str">
        <f t="shared" si="2"/>
        <v/>
      </c>
      <c r="F4349" s="100" t="str">
        <f t="shared" si="3"/>
        <v/>
      </c>
      <c r="G4349" s="151"/>
      <c r="H4349" s="156"/>
      <c r="I4349" s="157"/>
      <c r="J4349" s="161"/>
      <c r="L4349" s="94"/>
      <c r="M4349" s="159"/>
      <c r="N4349" s="94"/>
    </row>
    <row r="4350">
      <c r="A4350" s="107">
        <v>1628414.0</v>
      </c>
      <c r="B4350" s="108" t="s">
        <v>192</v>
      </c>
      <c r="C4350" s="108" t="s">
        <v>1039</v>
      </c>
      <c r="D4350" s="100" t="str">
        <f t="shared" si="1"/>
        <v/>
      </c>
      <c r="E4350" s="100" t="str">
        <f t="shared" si="2"/>
        <v/>
      </c>
      <c r="F4350" s="100" t="str">
        <f t="shared" si="3"/>
        <v/>
      </c>
      <c r="G4350" s="151"/>
      <c r="H4350" s="160"/>
      <c r="I4350" s="157"/>
      <c r="J4350" s="158"/>
      <c r="L4350" s="94"/>
      <c r="M4350" s="159"/>
      <c r="N4350" s="94"/>
    </row>
    <row r="4351">
      <c r="A4351" s="107">
        <v>1628414.0</v>
      </c>
      <c r="B4351" s="108" t="s">
        <v>193</v>
      </c>
      <c r="C4351" s="108" t="s">
        <v>1039</v>
      </c>
      <c r="D4351" s="100" t="str">
        <f t="shared" si="1"/>
        <v/>
      </c>
      <c r="E4351" s="100" t="str">
        <f t="shared" si="2"/>
        <v/>
      </c>
      <c r="F4351" s="100" t="str">
        <f t="shared" si="3"/>
        <v/>
      </c>
      <c r="G4351" s="151"/>
      <c r="H4351" s="156"/>
      <c r="I4351" s="157"/>
      <c r="J4351" s="161"/>
      <c r="L4351" s="94"/>
      <c r="M4351" s="159"/>
      <c r="N4351" s="94"/>
    </row>
    <row r="4352">
      <c r="A4352" s="107">
        <v>1628414.0</v>
      </c>
      <c r="B4352" s="108" t="s">
        <v>243</v>
      </c>
      <c r="C4352" s="108" t="s">
        <v>1039</v>
      </c>
      <c r="D4352" s="100" t="str">
        <f t="shared" si="1"/>
        <v/>
      </c>
      <c r="E4352" s="100" t="str">
        <f t="shared" si="2"/>
        <v/>
      </c>
      <c r="F4352" s="100" t="str">
        <f t="shared" si="3"/>
        <v/>
      </c>
      <c r="G4352" s="151"/>
      <c r="H4352" s="160"/>
      <c r="I4352" s="157"/>
      <c r="J4352" s="158"/>
      <c r="L4352" s="94"/>
      <c r="M4352" s="159"/>
      <c r="N4352" s="94"/>
    </row>
    <row r="4353">
      <c r="A4353" s="107">
        <v>1628415.0</v>
      </c>
      <c r="B4353" s="108" t="s">
        <v>191</v>
      </c>
      <c r="C4353" s="108" t="s">
        <v>1040</v>
      </c>
      <c r="D4353" s="100" t="str">
        <f t="shared" si="1"/>
        <v/>
      </c>
      <c r="E4353" s="100" t="str">
        <f t="shared" si="2"/>
        <v/>
      </c>
      <c r="F4353" s="100" t="str">
        <f t="shared" si="3"/>
        <v/>
      </c>
      <c r="G4353" s="151"/>
      <c r="H4353" s="156"/>
      <c r="I4353" s="157"/>
      <c r="J4353" s="161"/>
      <c r="L4353" s="94"/>
      <c r="M4353" s="159"/>
      <c r="N4353" s="94"/>
    </row>
    <row r="4354">
      <c r="A4354" s="107">
        <v>1628415.0</v>
      </c>
      <c r="B4354" s="108" t="s">
        <v>192</v>
      </c>
      <c r="C4354" s="108" t="s">
        <v>1040</v>
      </c>
      <c r="D4354" s="100" t="str">
        <f t="shared" si="1"/>
        <v/>
      </c>
      <c r="E4354" s="100" t="str">
        <f t="shared" si="2"/>
        <v/>
      </c>
      <c r="F4354" s="100" t="str">
        <f t="shared" si="3"/>
        <v/>
      </c>
      <c r="G4354" s="151"/>
      <c r="H4354" s="160"/>
      <c r="I4354" s="157"/>
      <c r="J4354" s="158"/>
      <c r="L4354" s="94"/>
      <c r="M4354" s="159"/>
      <c r="N4354" s="94"/>
    </row>
    <row r="4355">
      <c r="A4355" s="107">
        <v>1628415.0</v>
      </c>
      <c r="B4355" s="108" t="s">
        <v>193</v>
      </c>
      <c r="C4355" s="108" t="s">
        <v>1040</v>
      </c>
      <c r="D4355" s="100" t="str">
        <f t="shared" si="1"/>
        <v/>
      </c>
      <c r="E4355" s="100" t="str">
        <f t="shared" si="2"/>
        <v/>
      </c>
      <c r="F4355" s="100" t="str">
        <f t="shared" si="3"/>
        <v/>
      </c>
      <c r="G4355" s="151"/>
      <c r="H4355" s="156"/>
      <c r="I4355" s="157"/>
      <c r="J4355" s="161"/>
      <c r="L4355" s="94"/>
      <c r="M4355" s="159"/>
      <c r="N4355" s="94"/>
    </row>
    <row r="4356">
      <c r="A4356" s="107">
        <v>1628415.0</v>
      </c>
      <c r="B4356" s="108" t="s">
        <v>243</v>
      </c>
      <c r="C4356" s="108" t="s">
        <v>1040</v>
      </c>
      <c r="D4356" s="100" t="str">
        <f t="shared" si="1"/>
        <v/>
      </c>
      <c r="E4356" s="100" t="str">
        <f t="shared" si="2"/>
        <v/>
      </c>
      <c r="F4356" s="100" t="str">
        <f t="shared" si="3"/>
        <v/>
      </c>
      <c r="G4356" s="151"/>
      <c r="H4356" s="160"/>
      <c r="I4356" s="157"/>
      <c r="J4356" s="158"/>
      <c r="L4356" s="94"/>
      <c r="M4356" s="159"/>
      <c r="N4356" s="94"/>
    </row>
    <row r="4357">
      <c r="A4357" s="107">
        <v>1628415.0</v>
      </c>
      <c r="B4357" s="108" t="s">
        <v>215</v>
      </c>
      <c r="C4357" s="108" t="s">
        <v>1040</v>
      </c>
      <c r="D4357" s="100" t="str">
        <f t="shared" si="1"/>
        <v/>
      </c>
      <c r="E4357" s="100" t="str">
        <f t="shared" si="2"/>
        <v/>
      </c>
      <c r="F4357" s="100" t="str">
        <f t="shared" si="3"/>
        <v/>
      </c>
      <c r="G4357" s="151"/>
      <c r="H4357" s="156"/>
      <c r="I4357" s="157"/>
      <c r="J4357" s="161"/>
      <c r="L4357" s="94"/>
      <c r="M4357" s="159"/>
      <c r="N4357" s="94"/>
    </row>
    <row r="4358">
      <c r="A4358" s="107">
        <v>1628415.0</v>
      </c>
      <c r="B4358" s="108" t="s">
        <v>244</v>
      </c>
      <c r="C4358" s="108" t="s">
        <v>1040</v>
      </c>
      <c r="D4358" s="100" t="str">
        <f t="shared" si="1"/>
        <v/>
      </c>
      <c r="E4358" s="100" t="str">
        <f t="shared" si="2"/>
        <v/>
      </c>
      <c r="F4358" s="100" t="str">
        <f t="shared" si="3"/>
        <v/>
      </c>
      <c r="G4358" s="151"/>
      <c r="H4358" s="160"/>
      <c r="I4358" s="157"/>
      <c r="J4358" s="158"/>
      <c r="L4358" s="94"/>
      <c r="M4358" s="159"/>
      <c r="N4358" s="94"/>
    </row>
    <row r="4359">
      <c r="A4359" s="107">
        <v>1628415.0</v>
      </c>
      <c r="B4359" s="108" t="s">
        <v>245</v>
      </c>
      <c r="C4359" s="108" t="s">
        <v>1040</v>
      </c>
      <c r="D4359" s="100" t="str">
        <f t="shared" si="1"/>
        <v/>
      </c>
      <c r="E4359" s="100" t="str">
        <f t="shared" si="2"/>
        <v/>
      </c>
      <c r="F4359" s="100" t="str">
        <f t="shared" si="3"/>
        <v/>
      </c>
      <c r="G4359" s="151"/>
      <c r="H4359" s="156"/>
      <c r="I4359" s="157"/>
      <c r="J4359" s="161"/>
      <c r="L4359" s="94"/>
      <c r="M4359" s="159"/>
      <c r="N4359" s="94"/>
    </row>
    <row r="4360">
      <c r="A4360" s="107">
        <v>1628415.0</v>
      </c>
      <c r="B4360" s="108" t="s">
        <v>246</v>
      </c>
      <c r="C4360" s="108" t="s">
        <v>1040</v>
      </c>
      <c r="D4360" s="100" t="str">
        <f t="shared" si="1"/>
        <v/>
      </c>
      <c r="E4360" s="100" t="str">
        <f t="shared" si="2"/>
        <v/>
      </c>
      <c r="F4360" s="100" t="str">
        <f t="shared" si="3"/>
        <v/>
      </c>
      <c r="G4360" s="151"/>
      <c r="H4360" s="160"/>
      <c r="I4360" s="157"/>
      <c r="J4360" s="158"/>
      <c r="L4360" s="94"/>
      <c r="M4360" s="159"/>
      <c r="N4360" s="94"/>
    </row>
    <row r="4361">
      <c r="A4361" s="149">
        <v>1628415.0</v>
      </c>
      <c r="B4361" s="115" t="s">
        <v>247</v>
      </c>
      <c r="C4361" s="115" t="s">
        <v>1040</v>
      </c>
      <c r="D4361" s="100" t="str">
        <f t="shared" si="1"/>
        <v/>
      </c>
      <c r="E4361" s="100" t="str">
        <f t="shared" si="2"/>
        <v/>
      </c>
      <c r="F4361" s="100" t="str">
        <f t="shared" si="3"/>
        <v/>
      </c>
      <c r="G4361" s="151"/>
      <c r="H4361" s="156"/>
      <c r="I4361" s="157"/>
      <c r="J4361" s="161"/>
      <c r="L4361" s="94"/>
      <c r="M4361" s="159"/>
      <c r="N4361" s="94"/>
    </row>
    <row r="4362">
      <c r="A4362" s="21">
        <v>1628416.0</v>
      </c>
      <c r="B4362" s="164" t="s">
        <v>191</v>
      </c>
      <c r="C4362" s="164" t="s">
        <v>1041</v>
      </c>
      <c r="D4362" s="100" t="str">
        <f t="shared" si="1"/>
        <v/>
      </c>
      <c r="E4362" s="100" t="str">
        <f t="shared" si="2"/>
        <v/>
      </c>
      <c r="F4362" s="100" t="str">
        <f t="shared" si="3"/>
        <v/>
      </c>
      <c r="G4362" s="151"/>
      <c r="H4362" s="160"/>
      <c r="I4362" s="157"/>
      <c r="J4362" s="158"/>
      <c r="L4362" s="94"/>
      <c r="M4362" s="159"/>
      <c r="N4362" s="94"/>
    </row>
    <row r="4363">
      <c r="A4363" s="107">
        <v>1628416.0</v>
      </c>
      <c r="B4363" s="108" t="s">
        <v>192</v>
      </c>
      <c r="C4363" s="108" t="s">
        <v>1041</v>
      </c>
      <c r="D4363" s="100" t="str">
        <f t="shared" si="1"/>
        <v/>
      </c>
      <c r="E4363" s="100" t="str">
        <f t="shared" si="2"/>
        <v/>
      </c>
      <c r="F4363" s="100" t="str">
        <f t="shared" si="3"/>
        <v/>
      </c>
      <c r="G4363" s="151"/>
      <c r="H4363" s="156"/>
      <c r="I4363" s="157"/>
      <c r="J4363" s="161"/>
      <c r="L4363" s="94"/>
      <c r="M4363" s="159"/>
      <c r="N4363" s="94"/>
    </row>
    <row r="4364">
      <c r="A4364" s="107">
        <v>1628416.0</v>
      </c>
      <c r="B4364" s="108" t="s">
        <v>244</v>
      </c>
      <c r="C4364" s="108" t="s">
        <v>1041</v>
      </c>
      <c r="D4364" s="100" t="str">
        <f t="shared" si="1"/>
        <v/>
      </c>
      <c r="E4364" s="100" t="str">
        <f t="shared" si="2"/>
        <v/>
      </c>
      <c r="F4364" s="100" t="str">
        <f t="shared" si="3"/>
        <v/>
      </c>
      <c r="G4364" s="151"/>
      <c r="H4364" s="160"/>
      <c r="I4364" s="157"/>
      <c r="J4364" s="158"/>
      <c r="L4364" s="94"/>
      <c r="M4364" s="159"/>
      <c r="N4364" s="94"/>
    </row>
    <row r="4365">
      <c r="A4365" s="107">
        <v>1628417.0</v>
      </c>
      <c r="B4365" s="108" t="s">
        <v>192</v>
      </c>
      <c r="C4365" s="108" t="s">
        <v>1042</v>
      </c>
      <c r="D4365" s="100" t="str">
        <f t="shared" si="1"/>
        <v/>
      </c>
      <c r="E4365" s="100" t="str">
        <f t="shared" si="2"/>
        <v/>
      </c>
      <c r="F4365" s="100" t="str">
        <f t="shared" si="3"/>
        <v/>
      </c>
      <c r="G4365" s="151"/>
      <c r="H4365" s="156"/>
      <c r="I4365" s="157"/>
      <c r="J4365" s="161"/>
      <c r="L4365" s="94"/>
      <c r="M4365" s="159"/>
      <c r="N4365" s="94"/>
    </row>
    <row r="4366">
      <c r="A4366" s="107">
        <v>1628418.0</v>
      </c>
      <c r="B4366" s="108" t="s">
        <v>191</v>
      </c>
      <c r="C4366" s="108" t="s">
        <v>1043</v>
      </c>
      <c r="D4366" s="100" t="str">
        <f t="shared" si="1"/>
        <v/>
      </c>
      <c r="E4366" s="100" t="str">
        <f t="shared" si="2"/>
        <v/>
      </c>
      <c r="F4366" s="100" t="str">
        <f t="shared" si="3"/>
        <v/>
      </c>
      <c r="G4366" s="151"/>
      <c r="H4366" s="160"/>
      <c r="I4366" s="157"/>
      <c r="J4366" s="158"/>
      <c r="L4366" s="94"/>
      <c r="M4366" s="159"/>
      <c r="N4366" s="94"/>
    </row>
    <row r="4367">
      <c r="A4367" s="107">
        <v>1628418.0</v>
      </c>
      <c r="B4367" s="108" t="s">
        <v>192</v>
      </c>
      <c r="C4367" s="108" t="s">
        <v>1043</v>
      </c>
      <c r="D4367" s="100" t="str">
        <f t="shared" si="1"/>
        <v/>
      </c>
      <c r="E4367" s="100" t="str">
        <f t="shared" si="2"/>
        <v/>
      </c>
      <c r="F4367" s="100" t="str">
        <f t="shared" si="3"/>
        <v/>
      </c>
      <c r="G4367" s="151"/>
      <c r="H4367" s="156"/>
      <c r="I4367" s="157"/>
      <c r="J4367" s="161"/>
      <c r="L4367" s="94"/>
      <c r="M4367" s="159"/>
      <c r="N4367" s="94"/>
    </row>
    <row r="4368">
      <c r="A4368" s="107">
        <v>1628418.0</v>
      </c>
      <c r="B4368" s="108" t="s">
        <v>193</v>
      </c>
      <c r="C4368" s="108" t="s">
        <v>1043</v>
      </c>
      <c r="D4368" s="100" t="str">
        <f t="shared" si="1"/>
        <v/>
      </c>
      <c r="E4368" s="100" t="str">
        <f t="shared" si="2"/>
        <v/>
      </c>
      <c r="F4368" s="100" t="str">
        <f t="shared" si="3"/>
        <v/>
      </c>
      <c r="G4368" s="151"/>
      <c r="H4368" s="160"/>
      <c r="I4368" s="157"/>
      <c r="J4368" s="158"/>
      <c r="L4368" s="94"/>
      <c r="M4368" s="159"/>
      <c r="N4368" s="94"/>
    </row>
    <row r="4369">
      <c r="A4369" s="107">
        <v>1628418.0</v>
      </c>
      <c r="B4369" s="108" t="s">
        <v>243</v>
      </c>
      <c r="C4369" s="108" t="s">
        <v>1043</v>
      </c>
      <c r="D4369" s="100" t="str">
        <f t="shared" si="1"/>
        <v/>
      </c>
      <c r="E4369" s="100" t="str">
        <f t="shared" si="2"/>
        <v/>
      </c>
      <c r="F4369" s="100" t="str">
        <f t="shared" si="3"/>
        <v/>
      </c>
      <c r="G4369" s="151"/>
      <c r="H4369" s="156"/>
      <c r="I4369" s="157"/>
      <c r="J4369" s="161"/>
      <c r="L4369" s="94"/>
      <c r="M4369" s="159"/>
      <c r="N4369" s="94"/>
    </row>
    <row r="4370">
      <c r="A4370" s="107">
        <v>1628418.0</v>
      </c>
      <c r="B4370" s="108" t="s">
        <v>215</v>
      </c>
      <c r="C4370" s="108" t="s">
        <v>1043</v>
      </c>
      <c r="D4370" s="100" t="str">
        <f t="shared" si="1"/>
        <v/>
      </c>
      <c r="E4370" s="100" t="str">
        <f t="shared" si="2"/>
        <v/>
      </c>
      <c r="F4370" s="100" t="str">
        <f t="shared" si="3"/>
        <v/>
      </c>
      <c r="G4370" s="151"/>
      <c r="H4370" s="160"/>
      <c r="I4370" s="157"/>
      <c r="J4370" s="158"/>
      <c r="L4370" s="94"/>
      <c r="M4370" s="159"/>
      <c r="N4370" s="94"/>
    </row>
    <row r="4371">
      <c r="A4371" s="107">
        <v>1628418.0</v>
      </c>
      <c r="B4371" s="108" t="s">
        <v>244</v>
      </c>
      <c r="C4371" s="108" t="s">
        <v>1043</v>
      </c>
      <c r="D4371" s="100" t="str">
        <f t="shared" si="1"/>
        <v/>
      </c>
      <c r="E4371" s="100" t="str">
        <f t="shared" si="2"/>
        <v/>
      </c>
      <c r="F4371" s="100" t="str">
        <f t="shared" si="3"/>
        <v/>
      </c>
      <c r="G4371" s="151"/>
      <c r="H4371" s="156"/>
      <c r="I4371" s="157"/>
      <c r="J4371" s="161"/>
      <c r="L4371" s="94"/>
      <c r="M4371" s="159"/>
      <c r="N4371" s="94"/>
    </row>
    <row r="4372">
      <c r="A4372" s="107">
        <v>1628418.0</v>
      </c>
      <c r="B4372" s="108" t="s">
        <v>245</v>
      </c>
      <c r="C4372" s="108" t="s">
        <v>1043</v>
      </c>
      <c r="D4372" s="100" t="str">
        <f t="shared" si="1"/>
        <v/>
      </c>
      <c r="E4372" s="100" t="str">
        <f t="shared" si="2"/>
        <v/>
      </c>
      <c r="F4372" s="100" t="str">
        <f t="shared" si="3"/>
        <v/>
      </c>
      <c r="G4372" s="151"/>
      <c r="H4372" s="160"/>
      <c r="I4372" s="157"/>
      <c r="J4372" s="158"/>
      <c r="L4372" s="94"/>
      <c r="M4372" s="159"/>
      <c r="N4372" s="94"/>
    </row>
    <row r="4373">
      <c r="A4373" s="107">
        <v>1628418.0</v>
      </c>
      <c r="B4373" s="108" t="s">
        <v>246</v>
      </c>
      <c r="C4373" s="108" t="s">
        <v>1043</v>
      </c>
      <c r="D4373" s="100" t="str">
        <f t="shared" si="1"/>
        <v/>
      </c>
      <c r="E4373" s="100" t="str">
        <f t="shared" si="2"/>
        <v/>
      </c>
      <c r="F4373" s="100" t="str">
        <f t="shared" si="3"/>
        <v/>
      </c>
      <c r="G4373" s="151"/>
      <c r="H4373" s="156"/>
      <c r="I4373" s="157"/>
      <c r="J4373" s="161"/>
      <c r="L4373" s="94"/>
      <c r="M4373" s="159"/>
      <c r="N4373" s="94"/>
    </row>
    <row r="4374">
      <c r="A4374" s="149">
        <v>1628418.0</v>
      </c>
      <c r="B4374" s="115" t="s">
        <v>247</v>
      </c>
      <c r="C4374" s="115" t="s">
        <v>1043</v>
      </c>
      <c r="D4374" s="100" t="str">
        <f t="shared" si="1"/>
        <v/>
      </c>
      <c r="E4374" s="100" t="str">
        <f t="shared" si="2"/>
        <v/>
      </c>
      <c r="F4374" s="100" t="str">
        <f t="shared" si="3"/>
        <v/>
      </c>
      <c r="G4374" s="151"/>
      <c r="H4374" s="160"/>
      <c r="I4374" s="157"/>
      <c r="J4374" s="158"/>
      <c r="L4374" s="94"/>
      <c r="M4374" s="159"/>
      <c r="N4374" s="94"/>
    </row>
    <row r="4375">
      <c r="A4375" s="21">
        <v>1628419.0</v>
      </c>
      <c r="B4375" s="164" t="s">
        <v>243</v>
      </c>
      <c r="C4375" s="164" t="s">
        <v>1044</v>
      </c>
      <c r="D4375" s="100" t="str">
        <f t="shared" si="1"/>
        <v/>
      </c>
      <c r="E4375" s="100" t="str">
        <f t="shared" si="2"/>
        <v/>
      </c>
      <c r="F4375" s="100" t="str">
        <f t="shared" si="3"/>
        <v/>
      </c>
      <c r="G4375" s="151"/>
      <c r="H4375" s="156"/>
      <c r="I4375" s="157"/>
      <c r="J4375" s="161"/>
      <c r="L4375" s="94"/>
      <c r="M4375" s="159"/>
      <c r="N4375" s="94"/>
    </row>
    <row r="4376">
      <c r="A4376" s="107">
        <v>1628419.0</v>
      </c>
      <c r="B4376" s="108" t="s">
        <v>215</v>
      </c>
      <c r="C4376" s="108" t="s">
        <v>1044</v>
      </c>
      <c r="D4376" s="100" t="str">
        <f t="shared" si="1"/>
        <v/>
      </c>
      <c r="E4376" s="100" t="str">
        <f t="shared" si="2"/>
        <v/>
      </c>
      <c r="F4376" s="100" t="str">
        <f t="shared" si="3"/>
        <v/>
      </c>
      <c r="G4376" s="151"/>
      <c r="H4376" s="160"/>
      <c r="I4376" s="157"/>
      <c r="J4376" s="158"/>
      <c r="L4376" s="94"/>
      <c r="M4376" s="159"/>
      <c r="N4376" s="94"/>
    </row>
    <row r="4377">
      <c r="A4377" s="107">
        <v>1628420.0</v>
      </c>
      <c r="B4377" s="108" t="s">
        <v>191</v>
      </c>
      <c r="C4377" s="108" t="s">
        <v>1045</v>
      </c>
      <c r="D4377" s="100" t="str">
        <f t="shared" si="1"/>
        <v/>
      </c>
      <c r="E4377" s="100" t="str">
        <f t="shared" si="2"/>
        <v/>
      </c>
      <c r="F4377" s="100" t="str">
        <f t="shared" si="3"/>
        <v/>
      </c>
      <c r="G4377" s="151"/>
      <c r="H4377" s="156"/>
      <c r="I4377" s="157"/>
      <c r="J4377" s="161"/>
      <c r="L4377" s="94"/>
      <c r="M4377" s="159"/>
      <c r="N4377" s="94"/>
    </row>
    <row r="4378">
      <c r="A4378" s="107">
        <v>1628420.0</v>
      </c>
      <c r="B4378" s="108" t="s">
        <v>192</v>
      </c>
      <c r="C4378" s="108" t="s">
        <v>1045</v>
      </c>
      <c r="D4378" s="100" t="str">
        <f t="shared" si="1"/>
        <v/>
      </c>
      <c r="E4378" s="100" t="str">
        <f t="shared" si="2"/>
        <v/>
      </c>
      <c r="F4378" s="100" t="str">
        <f t="shared" si="3"/>
        <v/>
      </c>
      <c r="G4378" s="151"/>
      <c r="H4378" s="160"/>
      <c r="I4378" s="157"/>
      <c r="J4378" s="158"/>
      <c r="L4378" s="94"/>
      <c r="M4378" s="159"/>
      <c r="N4378" s="94"/>
    </row>
    <row r="4379">
      <c r="A4379" s="107">
        <v>1628420.0</v>
      </c>
      <c r="B4379" s="108" t="s">
        <v>193</v>
      </c>
      <c r="C4379" s="108" t="s">
        <v>1045</v>
      </c>
      <c r="D4379" s="100" t="str">
        <f t="shared" si="1"/>
        <v/>
      </c>
      <c r="E4379" s="100" t="str">
        <f t="shared" si="2"/>
        <v/>
      </c>
      <c r="F4379" s="100" t="str">
        <f t="shared" si="3"/>
        <v/>
      </c>
      <c r="G4379" s="151"/>
      <c r="H4379" s="156"/>
      <c r="I4379" s="157"/>
      <c r="J4379" s="161"/>
      <c r="L4379" s="94"/>
      <c r="M4379" s="159"/>
      <c r="N4379" s="94"/>
    </row>
    <row r="4380">
      <c r="A4380" s="107">
        <v>1628420.0</v>
      </c>
      <c r="B4380" s="108" t="s">
        <v>243</v>
      </c>
      <c r="C4380" s="108" t="s">
        <v>1045</v>
      </c>
      <c r="D4380" s="100" t="str">
        <f t="shared" si="1"/>
        <v/>
      </c>
      <c r="E4380" s="100" t="str">
        <f t="shared" si="2"/>
        <v/>
      </c>
      <c r="F4380" s="100" t="str">
        <f t="shared" si="3"/>
        <v/>
      </c>
      <c r="G4380" s="151"/>
      <c r="H4380" s="160"/>
      <c r="I4380" s="157"/>
      <c r="J4380" s="158"/>
      <c r="L4380" s="94"/>
      <c r="M4380" s="159"/>
      <c r="N4380" s="94"/>
    </row>
    <row r="4381">
      <c r="A4381" s="107">
        <v>1628420.0</v>
      </c>
      <c r="B4381" s="108" t="s">
        <v>215</v>
      </c>
      <c r="C4381" s="108" t="s">
        <v>1045</v>
      </c>
      <c r="D4381" s="100" t="str">
        <f t="shared" si="1"/>
        <v/>
      </c>
      <c r="E4381" s="100" t="str">
        <f t="shared" si="2"/>
        <v/>
      </c>
      <c r="F4381" s="100" t="str">
        <f t="shared" si="3"/>
        <v/>
      </c>
      <c r="G4381" s="151"/>
      <c r="H4381" s="156"/>
      <c r="I4381" s="157"/>
      <c r="J4381" s="161"/>
      <c r="L4381" s="94"/>
      <c r="M4381" s="159"/>
      <c r="N4381" s="94"/>
    </row>
    <row r="4382">
      <c r="A4382" s="107">
        <v>1628420.0</v>
      </c>
      <c r="B4382" s="108" t="s">
        <v>244</v>
      </c>
      <c r="C4382" s="108" t="s">
        <v>1045</v>
      </c>
      <c r="D4382" s="100" t="str">
        <f t="shared" si="1"/>
        <v/>
      </c>
      <c r="E4382" s="100" t="str">
        <f t="shared" si="2"/>
        <v/>
      </c>
      <c r="F4382" s="100" t="str">
        <f t="shared" si="3"/>
        <v/>
      </c>
      <c r="G4382" s="151"/>
      <c r="H4382" s="160"/>
      <c r="I4382" s="157"/>
      <c r="J4382" s="158"/>
      <c r="L4382" s="94"/>
      <c r="M4382" s="159"/>
      <c r="N4382" s="94"/>
    </row>
    <row r="4383">
      <c r="A4383" s="107">
        <v>1628420.0</v>
      </c>
      <c r="B4383" s="108" t="s">
        <v>245</v>
      </c>
      <c r="C4383" s="108" t="s">
        <v>1045</v>
      </c>
      <c r="D4383" s="100" t="str">
        <f t="shared" si="1"/>
        <v/>
      </c>
      <c r="E4383" s="100" t="str">
        <f t="shared" si="2"/>
        <v/>
      </c>
      <c r="F4383" s="100" t="str">
        <f t="shared" si="3"/>
        <v/>
      </c>
      <c r="G4383" s="151"/>
      <c r="H4383" s="156"/>
      <c r="I4383" s="157"/>
      <c r="J4383" s="161"/>
      <c r="L4383" s="94"/>
      <c r="M4383" s="159"/>
      <c r="N4383" s="94"/>
    </row>
    <row r="4384">
      <c r="A4384" s="107">
        <v>1628420.0</v>
      </c>
      <c r="B4384" s="108" t="s">
        <v>246</v>
      </c>
      <c r="C4384" s="108" t="s">
        <v>1045</v>
      </c>
      <c r="D4384" s="100" t="str">
        <f t="shared" si="1"/>
        <v/>
      </c>
      <c r="E4384" s="100" t="str">
        <f t="shared" si="2"/>
        <v/>
      </c>
      <c r="F4384" s="100" t="str">
        <f t="shared" si="3"/>
        <v/>
      </c>
      <c r="G4384" s="151"/>
      <c r="H4384" s="160"/>
      <c r="I4384" s="157"/>
      <c r="J4384" s="158"/>
      <c r="L4384" s="94"/>
      <c r="M4384" s="159"/>
      <c r="N4384" s="94"/>
    </row>
    <row r="4385">
      <c r="A4385" s="140">
        <v>1628420.0</v>
      </c>
      <c r="B4385" s="115" t="s">
        <v>247</v>
      </c>
      <c r="C4385" s="115" t="s">
        <v>1045</v>
      </c>
      <c r="D4385" s="100" t="str">
        <f t="shared" si="1"/>
        <v/>
      </c>
      <c r="E4385" s="100" t="str">
        <f t="shared" si="2"/>
        <v/>
      </c>
      <c r="F4385" s="100" t="str">
        <f t="shared" si="3"/>
        <v/>
      </c>
      <c r="G4385" s="151"/>
      <c r="H4385" s="156"/>
      <c r="I4385" s="157"/>
      <c r="J4385" s="161"/>
      <c r="L4385" s="94"/>
      <c r="M4385" s="159"/>
      <c r="N4385" s="94"/>
    </row>
    <row r="4386">
      <c r="A4386" s="163">
        <v>1628421.0</v>
      </c>
      <c r="B4386" s="164" t="s">
        <v>191</v>
      </c>
      <c r="C4386" s="164" t="s">
        <v>1046</v>
      </c>
      <c r="D4386" s="100" t="str">
        <f t="shared" si="1"/>
        <v/>
      </c>
      <c r="E4386" s="100" t="str">
        <f t="shared" si="2"/>
        <v/>
      </c>
      <c r="F4386" s="100" t="str">
        <f t="shared" si="3"/>
        <v/>
      </c>
      <c r="G4386" s="151"/>
      <c r="H4386" s="160"/>
      <c r="I4386" s="157"/>
      <c r="J4386" s="158"/>
      <c r="L4386" s="94"/>
      <c r="M4386" s="159"/>
      <c r="N4386" s="94"/>
    </row>
    <row r="4387">
      <c r="A4387" s="107">
        <v>1628421.0</v>
      </c>
      <c r="B4387" s="108" t="s">
        <v>192</v>
      </c>
      <c r="C4387" s="108" t="s">
        <v>1046</v>
      </c>
      <c r="D4387" s="100" t="str">
        <f t="shared" si="1"/>
        <v/>
      </c>
      <c r="E4387" s="100" t="str">
        <f t="shared" si="2"/>
        <v/>
      </c>
      <c r="F4387" s="100" t="str">
        <f t="shared" si="3"/>
        <v/>
      </c>
      <c r="G4387" s="151"/>
      <c r="H4387" s="156"/>
      <c r="I4387" s="157"/>
      <c r="J4387" s="161"/>
      <c r="L4387" s="94"/>
      <c r="M4387" s="159"/>
      <c r="N4387" s="94"/>
    </row>
    <row r="4388">
      <c r="A4388" s="107">
        <v>1628422.0</v>
      </c>
      <c r="B4388" s="108" t="s">
        <v>191</v>
      </c>
      <c r="C4388" s="108" t="s">
        <v>1047</v>
      </c>
      <c r="D4388" s="100" t="str">
        <f t="shared" si="1"/>
        <v/>
      </c>
      <c r="E4388" s="100" t="str">
        <f t="shared" si="2"/>
        <v/>
      </c>
      <c r="F4388" s="100" t="str">
        <f t="shared" si="3"/>
        <v/>
      </c>
      <c r="G4388" s="151"/>
      <c r="H4388" s="160"/>
      <c r="I4388" s="157"/>
      <c r="J4388" s="158"/>
      <c r="L4388" s="94"/>
      <c r="M4388" s="159"/>
      <c r="N4388" s="94"/>
    </row>
    <row r="4389">
      <c r="A4389" s="107">
        <v>1628422.0</v>
      </c>
      <c r="B4389" s="108" t="s">
        <v>192</v>
      </c>
      <c r="C4389" s="108" t="s">
        <v>1047</v>
      </c>
      <c r="D4389" s="100" t="str">
        <f t="shared" si="1"/>
        <v/>
      </c>
      <c r="E4389" s="100" t="str">
        <f t="shared" si="2"/>
        <v/>
      </c>
      <c r="F4389" s="100" t="str">
        <f t="shared" si="3"/>
        <v/>
      </c>
      <c r="G4389" s="151"/>
      <c r="H4389" s="156"/>
      <c r="I4389" s="157"/>
      <c r="J4389" s="161"/>
      <c r="L4389" s="94"/>
      <c r="M4389" s="159"/>
      <c r="N4389" s="94"/>
    </row>
    <row r="4390">
      <c r="A4390" s="107">
        <v>1628422.0</v>
      </c>
      <c r="B4390" s="108" t="s">
        <v>193</v>
      </c>
      <c r="C4390" s="108" t="s">
        <v>1047</v>
      </c>
      <c r="D4390" s="100" t="str">
        <f t="shared" si="1"/>
        <v/>
      </c>
      <c r="E4390" s="100" t="str">
        <f t="shared" si="2"/>
        <v/>
      </c>
      <c r="F4390" s="100" t="str">
        <f t="shared" si="3"/>
        <v/>
      </c>
      <c r="G4390" s="151"/>
      <c r="H4390" s="160"/>
      <c r="I4390" s="157"/>
      <c r="J4390" s="158"/>
      <c r="L4390" s="94"/>
      <c r="M4390" s="159"/>
      <c r="N4390" s="94"/>
    </row>
    <row r="4391">
      <c r="A4391" s="107">
        <v>1628422.0</v>
      </c>
      <c r="B4391" s="108" t="s">
        <v>243</v>
      </c>
      <c r="C4391" s="108" t="s">
        <v>1047</v>
      </c>
      <c r="D4391" s="100" t="str">
        <f t="shared" si="1"/>
        <v/>
      </c>
      <c r="E4391" s="100" t="str">
        <f t="shared" si="2"/>
        <v/>
      </c>
      <c r="F4391" s="100" t="str">
        <f t="shared" si="3"/>
        <v/>
      </c>
      <c r="G4391" s="151"/>
      <c r="H4391" s="156"/>
      <c r="I4391" s="157"/>
      <c r="J4391" s="161"/>
      <c r="L4391" s="94"/>
      <c r="M4391" s="159"/>
      <c r="N4391" s="94"/>
    </row>
    <row r="4392">
      <c r="A4392" s="107">
        <v>1628422.0</v>
      </c>
      <c r="B4392" s="108" t="s">
        <v>215</v>
      </c>
      <c r="C4392" s="108" t="s">
        <v>1047</v>
      </c>
      <c r="D4392" s="100" t="str">
        <f t="shared" si="1"/>
        <v/>
      </c>
      <c r="E4392" s="100" t="str">
        <f t="shared" si="2"/>
        <v/>
      </c>
      <c r="F4392" s="100" t="str">
        <f t="shared" si="3"/>
        <v/>
      </c>
      <c r="G4392" s="151"/>
      <c r="H4392" s="160"/>
      <c r="I4392" s="157"/>
      <c r="J4392" s="158"/>
      <c r="L4392" s="94"/>
      <c r="M4392" s="159"/>
      <c r="N4392" s="94"/>
    </row>
    <row r="4393">
      <c r="A4393" s="107">
        <v>1628424.0</v>
      </c>
      <c r="B4393" s="108" t="s">
        <v>191</v>
      </c>
      <c r="C4393" s="108" t="s">
        <v>1048</v>
      </c>
      <c r="D4393" s="100" t="str">
        <f t="shared" si="1"/>
        <v/>
      </c>
      <c r="E4393" s="100" t="str">
        <f t="shared" si="2"/>
        <v/>
      </c>
      <c r="F4393" s="100" t="str">
        <f t="shared" si="3"/>
        <v/>
      </c>
      <c r="G4393" s="151"/>
      <c r="H4393" s="156"/>
      <c r="I4393" s="157"/>
      <c r="J4393" s="161"/>
      <c r="L4393" s="94"/>
      <c r="M4393" s="159"/>
      <c r="N4393" s="94"/>
    </row>
    <row r="4394">
      <c r="A4394" s="107">
        <v>1628424.0</v>
      </c>
      <c r="B4394" s="108" t="s">
        <v>192</v>
      </c>
      <c r="C4394" s="108" t="s">
        <v>1048</v>
      </c>
      <c r="D4394" s="100" t="str">
        <f t="shared" si="1"/>
        <v/>
      </c>
      <c r="E4394" s="100" t="str">
        <f t="shared" si="2"/>
        <v/>
      </c>
      <c r="F4394" s="100" t="str">
        <f t="shared" si="3"/>
        <v/>
      </c>
      <c r="G4394" s="151"/>
      <c r="H4394" s="160"/>
      <c r="I4394" s="157"/>
      <c r="J4394" s="158"/>
      <c r="L4394" s="94"/>
      <c r="M4394" s="159"/>
      <c r="N4394" s="94"/>
    </row>
    <row r="4395">
      <c r="A4395" s="107">
        <v>1628424.0</v>
      </c>
      <c r="B4395" s="108" t="s">
        <v>244</v>
      </c>
      <c r="C4395" s="108" t="s">
        <v>1048</v>
      </c>
      <c r="D4395" s="100" t="str">
        <f t="shared" si="1"/>
        <v/>
      </c>
      <c r="E4395" s="100" t="str">
        <f t="shared" si="2"/>
        <v/>
      </c>
      <c r="F4395" s="100" t="str">
        <f t="shared" si="3"/>
        <v/>
      </c>
      <c r="G4395" s="151"/>
      <c r="H4395" s="156"/>
      <c r="I4395" s="157"/>
      <c r="J4395" s="161"/>
      <c r="L4395" s="94"/>
      <c r="M4395" s="159"/>
      <c r="N4395" s="94"/>
    </row>
    <row r="4396">
      <c r="A4396" s="107">
        <v>1628425.0</v>
      </c>
      <c r="B4396" s="108" t="s">
        <v>191</v>
      </c>
      <c r="C4396" s="108" t="s">
        <v>1049</v>
      </c>
      <c r="D4396" s="100" t="str">
        <f t="shared" si="1"/>
        <v/>
      </c>
      <c r="E4396" s="100" t="str">
        <f t="shared" si="2"/>
        <v/>
      </c>
      <c r="F4396" s="100" t="str">
        <f t="shared" si="3"/>
        <v/>
      </c>
      <c r="G4396" s="151"/>
      <c r="H4396" s="160"/>
      <c r="I4396" s="157"/>
      <c r="J4396" s="158"/>
      <c r="L4396" s="94"/>
      <c r="M4396" s="159"/>
      <c r="N4396" s="94"/>
    </row>
    <row r="4397">
      <c r="A4397" s="107">
        <v>1628425.0</v>
      </c>
      <c r="B4397" s="108" t="s">
        <v>192</v>
      </c>
      <c r="C4397" s="108" t="s">
        <v>1049</v>
      </c>
      <c r="D4397" s="100" t="str">
        <f t="shared" si="1"/>
        <v/>
      </c>
      <c r="E4397" s="100" t="str">
        <f t="shared" si="2"/>
        <v/>
      </c>
      <c r="F4397" s="100" t="str">
        <f t="shared" si="3"/>
        <v/>
      </c>
      <c r="G4397" s="151"/>
      <c r="H4397" s="156"/>
      <c r="I4397" s="157"/>
      <c r="J4397" s="161"/>
      <c r="L4397" s="94"/>
      <c r="M4397" s="159"/>
      <c r="N4397" s="94"/>
    </row>
    <row r="4398">
      <c r="A4398" s="107">
        <v>1628425.0</v>
      </c>
      <c r="B4398" s="108" t="s">
        <v>193</v>
      </c>
      <c r="C4398" s="108" t="s">
        <v>1049</v>
      </c>
      <c r="D4398" s="100" t="str">
        <f t="shared" si="1"/>
        <v/>
      </c>
      <c r="E4398" s="100" t="str">
        <f t="shared" si="2"/>
        <v/>
      </c>
      <c r="F4398" s="100" t="str">
        <f t="shared" si="3"/>
        <v/>
      </c>
      <c r="G4398" s="151"/>
      <c r="H4398" s="160"/>
      <c r="I4398" s="157"/>
      <c r="J4398" s="158"/>
      <c r="L4398" s="94"/>
      <c r="M4398" s="159"/>
      <c r="N4398" s="94"/>
    </row>
    <row r="4399">
      <c r="A4399" s="107">
        <v>1628425.0</v>
      </c>
      <c r="B4399" s="108" t="s">
        <v>243</v>
      </c>
      <c r="C4399" s="108" t="s">
        <v>1049</v>
      </c>
      <c r="D4399" s="100" t="str">
        <f t="shared" si="1"/>
        <v/>
      </c>
      <c r="E4399" s="100" t="str">
        <f t="shared" si="2"/>
        <v/>
      </c>
      <c r="F4399" s="100" t="str">
        <f t="shared" si="3"/>
        <v/>
      </c>
      <c r="G4399" s="151"/>
      <c r="H4399" s="156"/>
      <c r="I4399" s="157"/>
      <c r="J4399" s="161"/>
      <c r="L4399" s="94"/>
      <c r="M4399" s="159"/>
      <c r="N4399" s="94"/>
    </row>
    <row r="4400">
      <c r="A4400" s="107">
        <v>1628425.0</v>
      </c>
      <c r="B4400" s="108" t="s">
        <v>215</v>
      </c>
      <c r="C4400" s="108" t="s">
        <v>1049</v>
      </c>
      <c r="D4400" s="100" t="str">
        <f t="shared" si="1"/>
        <v/>
      </c>
      <c r="E4400" s="100" t="str">
        <f t="shared" si="2"/>
        <v/>
      </c>
      <c r="F4400" s="100" t="str">
        <f t="shared" si="3"/>
        <v/>
      </c>
      <c r="G4400" s="151"/>
      <c r="H4400" s="160"/>
      <c r="I4400" s="157"/>
      <c r="J4400" s="158"/>
      <c r="L4400" s="94"/>
      <c r="M4400" s="159"/>
      <c r="N4400" s="94"/>
    </row>
    <row r="4401">
      <c r="A4401" s="107">
        <v>1628425.0</v>
      </c>
      <c r="B4401" s="108" t="s">
        <v>244</v>
      </c>
      <c r="C4401" s="108" t="s">
        <v>1049</v>
      </c>
      <c r="D4401" s="100" t="str">
        <f t="shared" si="1"/>
        <v/>
      </c>
      <c r="E4401" s="100" t="str">
        <f t="shared" si="2"/>
        <v/>
      </c>
      <c r="F4401" s="100" t="str">
        <f t="shared" si="3"/>
        <v/>
      </c>
      <c r="G4401" s="151"/>
      <c r="H4401" s="156"/>
      <c r="I4401" s="157"/>
      <c r="J4401" s="161"/>
      <c r="L4401" s="94"/>
      <c r="M4401" s="159"/>
      <c r="N4401" s="94"/>
    </row>
    <row r="4402">
      <c r="A4402" s="107">
        <v>1628426.0</v>
      </c>
      <c r="B4402" s="108" t="s">
        <v>245</v>
      </c>
      <c r="C4402" s="108" t="s">
        <v>1050</v>
      </c>
      <c r="D4402" s="100" t="str">
        <f t="shared" si="1"/>
        <v/>
      </c>
      <c r="E4402" s="100" t="str">
        <f t="shared" si="2"/>
        <v/>
      </c>
      <c r="F4402" s="100" t="str">
        <f t="shared" si="3"/>
        <v/>
      </c>
      <c r="G4402" s="151"/>
      <c r="H4402" s="160"/>
      <c r="I4402" s="157"/>
      <c r="J4402" s="158"/>
      <c r="L4402" s="94"/>
      <c r="M4402" s="159"/>
      <c r="N4402" s="94"/>
    </row>
    <row r="4403">
      <c r="A4403" s="107">
        <v>1628427.0</v>
      </c>
      <c r="B4403" s="108" t="s">
        <v>193</v>
      </c>
      <c r="C4403" s="108" t="s">
        <v>1051</v>
      </c>
      <c r="D4403" s="100" t="str">
        <f t="shared" si="1"/>
        <v/>
      </c>
      <c r="E4403" s="100" t="str">
        <f t="shared" si="2"/>
        <v/>
      </c>
      <c r="F4403" s="100" t="str">
        <f t="shared" si="3"/>
        <v/>
      </c>
      <c r="G4403" s="151"/>
      <c r="H4403" s="156"/>
      <c r="I4403" s="157"/>
      <c r="J4403" s="161"/>
      <c r="L4403" s="94"/>
      <c r="M4403" s="159"/>
      <c r="N4403" s="94"/>
    </row>
    <row r="4404">
      <c r="A4404" s="107">
        <v>1628427.0</v>
      </c>
      <c r="B4404" s="108" t="s">
        <v>243</v>
      </c>
      <c r="C4404" s="108" t="s">
        <v>1051</v>
      </c>
      <c r="D4404" s="100" t="str">
        <f t="shared" si="1"/>
        <v/>
      </c>
      <c r="E4404" s="100" t="str">
        <f t="shared" si="2"/>
        <v/>
      </c>
      <c r="F4404" s="100" t="str">
        <f t="shared" si="3"/>
        <v/>
      </c>
      <c r="G4404" s="151"/>
      <c r="H4404" s="160"/>
      <c r="I4404" s="157"/>
      <c r="J4404" s="158"/>
      <c r="L4404" s="94"/>
      <c r="M4404" s="159"/>
      <c r="N4404" s="94"/>
    </row>
    <row r="4405">
      <c r="A4405" s="107">
        <v>1628427.0</v>
      </c>
      <c r="B4405" s="108" t="s">
        <v>215</v>
      </c>
      <c r="C4405" s="108" t="s">
        <v>1051</v>
      </c>
      <c r="D4405" s="100" t="str">
        <f t="shared" si="1"/>
        <v/>
      </c>
      <c r="E4405" s="100" t="str">
        <f t="shared" si="2"/>
        <v/>
      </c>
      <c r="F4405" s="100" t="str">
        <f t="shared" si="3"/>
        <v/>
      </c>
      <c r="G4405" s="151"/>
      <c r="H4405" s="156"/>
      <c r="I4405" s="157"/>
      <c r="J4405" s="161"/>
      <c r="L4405" s="94"/>
      <c r="M4405" s="159"/>
      <c r="N4405" s="94"/>
    </row>
    <row r="4406">
      <c r="A4406" s="107">
        <v>1628427.0</v>
      </c>
      <c r="B4406" s="108" t="s">
        <v>244</v>
      </c>
      <c r="C4406" s="108" t="s">
        <v>1051</v>
      </c>
      <c r="D4406" s="100" t="str">
        <f t="shared" si="1"/>
        <v/>
      </c>
      <c r="E4406" s="100" t="str">
        <f t="shared" si="2"/>
        <v/>
      </c>
      <c r="F4406" s="100" t="str">
        <f t="shared" si="3"/>
        <v/>
      </c>
      <c r="G4406" s="151"/>
      <c r="H4406" s="160"/>
      <c r="I4406" s="157"/>
      <c r="J4406" s="158"/>
      <c r="L4406" s="94"/>
      <c r="M4406" s="159"/>
      <c r="N4406" s="94"/>
    </row>
    <row r="4407">
      <c r="A4407" s="107">
        <v>1628427.0</v>
      </c>
      <c r="B4407" s="108" t="s">
        <v>246</v>
      </c>
      <c r="C4407" s="108" t="s">
        <v>1051</v>
      </c>
      <c r="D4407" s="100" t="str">
        <f t="shared" si="1"/>
        <v/>
      </c>
      <c r="E4407" s="100" t="str">
        <f t="shared" si="2"/>
        <v/>
      </c>
      <c r="F4407" s="100" t="str">
        <f t="shared" si="3"/>
        <v/>
      </c>
      <c r="G4407" s="151"/>
      <c r="H4407" s="156"/>
      <c r="I4407" s="157"/>
      <c r="J4407" s="161"/>
      <c r="L4407" s="94"/>
      <c r="M4407" s="159"/>
      <c r="N4407" s="94"/>
    </row>
    <row r="4408">
      <c r="A4408" s="107">
        <v>1628429.0</v>
      </c>
      <c r="B4408" s="108" t="s">
        <v>191</v>
      </c>
      <c r="C4408" s="108" t="s">
        <v>1052</v>
      </c>
      <c r="D4408" s="100" t="str">
        <f t="shared" si="1"/>
        <v/>
      </c>
      <c r="E4408" s="100" t="str">
        <f t="shared" si="2"/>
        <v/>
      </c>
      <c r="F4408" s="100" t="str">
        <f t="shared" si="3"/>
        <v/>
      </c>
      <c r="G4408" s="151"/>
      <c r="H4408" s="160"/>
      <c r="I4408" s="157"/>
      <c r="J4408" s="158"/>
      <c r="L4408" s="94"/>
      <c r="M4408" s="159"/>
      <c r="N4408" s="94"/>
    </row>
    <row r="4409">
      <c r="A4409" s="107">
        <v>1628430.0</v>
      </c>
      <c r="B4409" s="108" t="s">
        <v>193</v>
      </c>
      <c r="C4409" s="108" t="s">
        <v>1053</v>
      </c>
      <c r="D4409" s="100" t="str">
        <f t="shared" si="1"/>
        <v/>
      </c>
      <c r="E4409" s="100" t="str">
        <f t="shared" si="2"/>
        <v/>
      </c>
      <c r="F4409" s="100" t="str">
        <f t="shared" si="3"/>
        <v/>
      </c>
      <c r="G4409" s="151"/>
      <c r="H4409" s="156"/>
      <c r="I4409" s="157"/>
      <c r="J4409" s="161"/>
      <c r="L4409" s="94"/>
      <c r="M4409" s="159"/>
      <c r="N4409" s="94"/>
    </row>
    <row r="4410">
      <c r="A4410" s="107">
        <v>1628432.0</v>
      </c>
      <c r="B4410" s="108" t="s">
        <v>191</v>
      </c>
      <c r="C4410" s="108" t="s">
        <v>1054</v>
      </c>
      <c r="D4410" s="100" t="str">
        <f t="shared" si="1"/>
        <v/>
      </c>
      <c r="E4410" s="100" t="str">
        <f t="shared" si="2"/>
        <v/>
      </c>
      <c r="F4410" s="100" t="str">
        <f t="shared" si="3"/>
        <v/>
      </c>
      <c r="G4410" s="151"/>
      <c r="H4410" s="160"/>
      <c r="I4410" s="157"/>
      <c r="J4410" s="158"/>
      <c r="L4410" s="94"/>
      <c r="M4410" s="159"/>
      <c r="N4410" s="94"/>
    </row>
    <row r="4411">
      <c r="A4411" s="107">
        <v>1628432.0</v>
      </c>
      <c r="B4411" s="108" t="s">
        <v>192</v>
      </c>
      <c r="C4411" s="108" t="s">
        <v>1054</v>
      </c>
      <c r="D4411" s="100" t="str">
        <f t="shared" si="1"/>
        <v/>
      </c>
      <c r="E4411" s="100" t="str">
        <f t="shared" si="2"/>
        <v/>
      </c>
      <c r="F4411" s="100" t="str">
        <f t="shared" si="3"/>
        <v/>
      </c>
      <c r="G4411" s="151"/>
      <c r="H4411" s="156"/>
      <c r="I4411" s="157"/>
      <c r="J4411" s="161"/>
      <c r="L4411" s="94"/>
      <c r="M4411" s="159"/>
      <c r="N4411" s="94"/>
    </row>
    <row r="4412">
      <c r="A4412" s="107">
        <v>1628432.0</v>
      </c>
      <c r="B4412" s="108" t="s">
        <v>215</v>
      </c>
      <c r="C4412" s="108" t="s">
        <v>1054</v>
      </c>
      <c r="D4412" s="100" t="str">
        <f t="shared" si="1"/>
        <v/>
      </c>
      <c r="E4412" s="100" t="str">
        <f t="shared" si="2"/>
        <v/>
      </c>
      <c r="F4412" s="100" t="str">
        <f t="shared" si="3"/>
        <v/>
      </c>
      <c r="G4412" s="151"/>
      <c r="H4412" s="160"/>
      <c r="I4412" s="157"/>
      <c r="J4412" s="158"/>
      <c r="L4412" s="94"/>
      <c r="M4412" s="159"/>
      <c r="N4412" s="94"/>
    </row>
    <row r="4413">
      <c r="A4413" s="107">
        <v>1628432.0</v>
      </c>
      <c r="B4413" s="108" t="s">
        <v>244</v>
      </c>
      <c r="C4413" s="108" t="s">
        <v>1054</v>
      </c>
      <c r="D4413" s="100" t="str">
        <f t="shared" si="1"/>
        <v/>
      </c>
      <c r="E4413" s="100" t="str">
        <f t="shared" si="2"/>
        <v/>
      </c>
      <c r="F4413" s="100" t="str">
        <f t="shared" si="3"/>
        <v/>
      </c>
      <c r="G4413" s="151"/>
      <c r="H4413" s="156"/>
      <c r="I4413" s="157"/>
      <c r="J4413" s="161"/>
      <c r="L4413" s="94"/>
      <c r="M4413" s="159"/>
      <c r="N4413" s="94"/>
    </row>
    <row r="4414">
      <c r="A4414" s="107">
        <v>1628435.0</v>
      </c>
      <c r="B4414" s="108" t="s">
        <v>244</v>
      </c>
      <c r="C4414" s="108" t="s">
        <v>1055</v>
      </c>
      <c r="D4414" s="100" t="str">
        <f t="shared" si="1"/>
        <v/>
      </c>
      <c r="E4414" s="100" t="str">
        <f t="shared" si="2"/>
        <v/>
      </c>
      <c r="F4414" s="100" t="str">
        <f t="shared" si="3"/>
        <v/>
      </c>
      <c r="G4414" s="151"/>
      <c r="H4414" s="160"/>
      <c r="I4414" s="157"/>
      <c r="J4414" s="158"/>
      <c r="L4414" s="94"/>
      <c r="M4414" s="159"/>
      <c r="N4414" s="94"/>
    </row>
    <row r="4415">
      <c r="A4415" s="107">
        <v>1628436.0</v>
      </c>
      <c r="B4415" s="108" t="s">
        <v>191</v>
      </c>
      <c r="C4415" s="108" t="s">
        <v>1056</v>
      </c>
      <c r="D4415" s="100" t="str">
        <f t="shared" si="1"/>
        <v/>
      </c>
      <c r="E4415" s="100" t="str">
        <f t="shared" si="2"/>
        <v/>
      </c>
      <c r="F4415" s="100" t="str">
        <f t="shared" si="3"/>
        <v/>
      </c>
      <c r="G4415" s="151"/>
      <c r="H4415" s="156"/>
      <c r="I4415" s="157"/>
      <c r="J4415" s="161"/>
      <c r="L4415" s="94"/>
      <c r="M4415" s="159"/>
      <c r="N4415" s="94"/>
    </row>
    <row r="4416">
      <c r="A4416" s="107">
        <v>1628436.0</v>
      </c>
      <c r="B4416" s="108" t="s">
        <v>192</v>
      </c>
      <c r="C4416" s="108" t="s">
        <v>1056</v>
      </c>
      <c r="D4416" s="100" t="str">
        <f t="shared" si="1"/>
        <v/>
      </c>
      <c r="E4416" s="100" t="str">
        <f t="shared" si="2"/>
        <v/>
      </c>
      <c r="F4416" s="100" t="str">
        <f t="shared" si="3"/>
        <v/>
      </c>
      <c r="G4416" s="151"/>
      <c r="H4416" s="160"/>
      <c r="I4416" s="157"/>
      <c r="J4416" s="158"/>
      <c r="L4416" s="94"/>
      <c r="M4416" s="159"/>
      <c r="N4416" s="94"/>
    </row>
    <row r="4417">
      <c r="A4417" s="107">
        <v>1628436.0</v>
      </c>
      <c r="B4417" s="108" t="s">
        <v>193</v>
      </c>
      <c r="C4417" s="108" t="s">
        <v>1056</v>
      </c>
      <c r="D4417" s="100" t="str">
        <f t="shared" si="1"/>
        <v/>
      </c>
      <c r="E4417" s="100" t="str">
        <f t="shared" si="2"/>
        <v/>
      </c>
      <c r="F4417" s="100" t="str">
        <f t="shared" si="3"/>
        <v/>
      </c>
      <c r="G4417" s="151"/>
      <c r="H4417" s="156"/>
      <c r="I4417" s="157"/>
      <c r="J4417" s="161"/>
      <c r="L4417" s="94"/>
      <c r="M4417" s="159"/>
      <c r="N4417" s="94"/>
    </row>
    <row r="4418">
      <c r="A4418" s="107">
        <v>1628436.0</v>
      </c>
      <c r="B4418" s="108" t="s">
        <v>243</v>
      </c>
      <c r="C4418" s="108" t="s">
        <v>1056</v>
      </c>
      <c r="D4418" s="100" t="str">
        <f t="shared" si="1"/>
        <v/>
      </c>
      <c r="E4418" s="100" t="str">
        <f t="shared" si="2"/>
        <v/>
      </c>
      <c r="F4418" s="100" t="str">
        <f t="shared" si="3"/>
        <v/>
      </c>
      <c r="G4418" s="151"/>
      <c r="H4418" s="160"/>
      <c r="I4418" s="157"/>
      <c r="J4418" s="158"/>
      <c r="L4418" s="94"/>
      <c r="M4418" s="159"/>
      <c r="N4418" s="94"/>
    </row>
    <row r="4419">
      <c r="A4419" s="107">
        <v>1628436.0</v>
      </c>
      <c r="B4419" s="108" t="s">
        <v>215</v>
      </c>
      <c r="C4419" s="108" t="s">
        <v>1056</v>
      </c>
      <c r="D4419" s="100" t="str">
        <f t="shared" si="1"/>
        <v/>
      </c>
      <c r="E4419" s="100" t="str">
        <f t="shared" si="2"/>
        <v/>
      </c>
      <c r="F4419" s="100" t="str">
        <f t="shared" si="3"/>
        <v/>
      </c>
      <c r="G4419" s="151"/>
      <c r="H4419" s="156"/>
      <c r="I4419" s="157"/>
      <c r="J4419" s="161"/>
      <c r="L4419" s="94"/>
      <c r="M4419" s="159"/>
      <c r="N4419" s="94"/>
    </row>
    <row r="4420">
      <c r="A4420" s="107">
        <v>1628436.0</v>
      </c>
      <c r="B4420" s="108" t="s">
        <v>244</v>
      </c>
      <c r="C4420" s="108" t="s">
        <v>1056</v>
      </c>
      <c r="D4420" s="100" t="str">
        <f t="shared" si="1"/>
        <v/>
      </c>
      <c r="E4420" s="100" t="str">
        <f t="shared" si="2"/>
        <v/>
      </c>
      <c r="F4420" s="100" t="str">
        <f t="shared" si="3"/>
        <v/>
      </c>
      <c r="G4420" s="151"/>
      <c r="H4420" s="160"/>
      <c r="I4420" s="157"/>
      <c r="J4420" s="158"/>
      <c r="L4420" s="94"/>
      <c r="M4420" s="159"/>
      <c r="N4420" s="94"/>
    </row>
    <row r="4421">
      <c r="A4421" s="107">
        <v>1628436.0</v>
      </c>
      <c r="B4421" s="108" t="s">
        <v>245</v>
      </c>
      <c r="C4421" s="108" t="s">
        <v>1056</v>
      </c>
      <c r="D4421" s="100" t="str">
        <f t="shared" si="1"/>
        <v/>
      </c>
      <c r="E4421" s="100" t="str">
        <f t="shared" si="2"/>
        <v/>
      </c>
      <c r="F4421" s="100" t="str">
        <f t="shared" si="3"/>
        <v/>
      </c>
      <c r="G4421" s="151"/>
      <c r="H4421" s="156"/>
      <c r="I4421" s="157"/>
      <c r="J4421" s="161"/>
      <c r="L4421" s="94"/>
      <c r="M4421" s="159"/>
      <c r="N4421" s="94"/>
    </row>
    <row r="4422">
      <c r="A4422" s="107">
        <v>1628436.0</v>
      </c>
      <c r="B4422" s="108" t="s">
        <v>246</v>
      </c>
      <c r="C4422" s="108" t="s">
        <v>1056</v>
      </c>
      <c r="D4422" s="100" t="str">
        <f t="shared" si="1"/>
        <v/>
      </c>
      <c r="E4422" s="100" t="str">
        <f t="shared" si="2"/>
        <v/>
      </c>
      <c r="F4422" s="100" t="str">
        <f t="shared" si="3"/>
        <v/>
      </c>
      <c r="G4422" s="151"/>
      <c r="H4422" s="160"/>
      <c r="I4422" s="157"/>
      <c r="J4422" s="158"/>
      <c r="L4422" s="94"/>
      <c r="M4422" s="159"/>
      <c r="N4422" s="94"/>
    </row>
    <row r="4423">
      <c r="A4423" s="149">
        <v>1628436.0</v>
      </c>
      <c r="B4423" s="115" t="s">
        <v>247</v>
      </c>
      <c r="C4423" s="115" t="s">
        <v>1056</v>
      </c>
      <c r="D4423" s="100" t="str">
        <f t="shared" si="1"/>
        <v/>
      </c>
      <c r="E4423" s="100" t="str">
        <f t="shared" si="2"/>
        <v/>
      </c>
      <c r="F4423" s="100" t="str">
        <f t="shared" si="3"/>
        <v/>
      </c>
      <c r="G4423" s="151"/>
      <c r="H4423" s="156"/>
      <c r="I4423" s="157"/>
      <c r="J4423" s="161"/>
      <c r="L4423" s="94"/>
      <c r="M4423" s="159"/>
      <c r="N4423" s="94"/>
    </row>
    <row r="4424">
      <c r="A4424" s="21">
        <v>1628439.0</v>
      </c>
      <c r="B4424" s="164" t="s">
        <v>191</v>
      </c>
      <c r="C4424" s="164" t="s">
        <v>1057</v>
      </c>
      <c r="D4424" s="100" t="str">
        <f t="shared" si="1"/>
        <v/>
      </c>
      <c r="E4424" s="100" t="str">
        <f t="shared" si="2"/>
        <v/>
      </c>
      <c r="F4424" s="100" t="str">
        <f t="shared" si="3"/>
        <v/>
      </c>
      <c r="G4424" s="151"/>
      <c r="H4424" s="160"/>
      <c r="I4424" s="157"/>
      <c r="J4424" s="158"/>
      <c r="L4424" s="94"/>
      <c r="M4424" s="159"/>
      <c r="N4424" s="94"/>
    </row>
    <row r="4425">
      <c r="A4425" s="107">
        <v>1628439.0</v>
      </c>
      <c r="B4425" s="108" t="s">
        <v>192</v>
      </c>
      <c r="C4425" s="108" t="s">
        <v>1057</v>
      </c>
      <c r="D4425" s="100" t="str">
        <f t="shared" si="1"/>
        <v/>
      </c>
      <c r="E4425" s="100" t="str">
        <f t="shared" si="2"/>
        <v/>
      </c>
      <c r="F4425" s="100" t="str">
        <f t="shared" si="3"/>
        <v/>
      </c>
      <c r="G4425" s="151"/>
      <c r="H4425" s="156"/>
      <c r="I4425" s="157"/>
      <c r="J4425" s="161"/>
      <c r="L4425" s="94"/>
      <c r="M4425" s="159"/>
      <c r="N4425" s="94"/>
    </row>
    <row r="4426">
      <c r="A4426" s="107">
        <v>1628443.0</v>
      </c>
      <c r="B4426" s="108" t="s">
        <v>191</v>
      </c>
      <c r="C4426" s="108" t="s">
        <v>1058</v>
      </c>
      <c r="D4426" s="100" t="str">
        <f t="shared" si="1"/>
        <v/>
      </c>
      <c r="E4426" s="100" t="str">
        <f t="shared" si="2"/>
        <v/>
      </c>
      <c r="F4426" s="100" t="str">
        <f t="shared" si="3"/>
        <v/>
      </c>
      <c r="G4426" s="151"/>
      <c r="H4426" s="160"/>
      <c r="I4426" s="157"/>
      <c r="J4426" s="158"/>
      <c r="L4426" s="94"/>
      <c r="M4426" s="159"/>
      <c r="N4426" s="94"/>
    </row>
    <row r="4427">
      <c r="A4427" s="107">
        <v>1628443.0</v>
      </c>
      <c r="B4427" s="108" t="s">
        <v>192</v>
      </c>
      <c r="C4427" s="108" t="s">
        <v>1058</v>
      </c>
      <c r="D4427" s="100" t="str">
        <f t="shared" si="1"/>
        <v/>
      </c>
      <c r="E4427" s="100" t="str">
        <f t="shared" si="2"/>
        <v/>
      </c>
      <c r="F4427" s="100" t="str">
        <f t="shared" si="3"/>
        <v/>
      </c>
      <c r="G4427" s="151"/>
      <c r="H4427" s="156"/>
      <c r="I4427" s="157"/>
      <c r="J4427" s="161"/>
      <c r="L4427" s="94"/>
      <c r="M4427" s="159"/>
      <c r="N4427" s="94"/>
    </row>
    <row r="4428">
      <c r="A4428" s="107">
        <v>1628443.0</v>
      </c>
      <c r="B4428" s="108" t="s">
        <v>193</v>
      </c>
      <c r="C4428" s="108" t="s">
        <v>1058</v>
      </c>
      <c r="D4428" s="100" t="str">
        <f t="shared" si="1"/>
        <v/>
      </c>
      <c r="E4428" s="100" t="str">
        <f t="shared" si="2"/>
        <v/>
      </c>
      <c r="F4428" s="100" t="str">
        <f t="shared" si="3"/>
        <v/>
      </c>
      <c r="G4428" s="151"/>
      <c r="H4428" s="160"/>
      <c r="I4428" s="157"/>
      <c r="J4428" s="158"/>
      <c r="L4428" s="94"/>
      <c r="M4428" s="159"/>
      <c r="N4428" s="94"/>
    </row>
    <row r="4429">
      <c r="A4429" s="107">
        <v>1628444.0</v>
      </c>
      <c r="B4429" s="108" t="s">
        <v>191</v>
      </c>
      <c r="C4429" s="108" t="s">
        <v>1059</v>
      </c>
      <c r="D4429" s="100" t="str">
        <f t="shared" si="1"/>
        <v/>
      </c>
      <c r="E4429" s="100" t="str">
        <f t="shared" si="2"/>
        <v/>
      </c>
      <c r="F4429" s="100" t="str">
        <f t="shared" si="3"/>
        <v/>
      </c>
      <c r="G4429" s="151"/>
      <c r="H4429" s="156"/>
      <c r="I4429" s="157"/>
      <c r="J4429" s="161"/>
      <c r="L4429" s="94"/>
      <c r="M4429" s="159"/>
      <c r="N4429" s="94"/>
    </row>
    <row r="4430">
      <c r="A4430" s="107">
        <v>1628449.0</v>
      </c>
      <c r="B4430" s="108" t="s">
        <v>191</v>
      </c>
      <c r="C4430" s="108" t="s">
        <v>1060</v>
      </c>
      <c r="D4430" s="100" t="str">
        <f t="shared" si="1"/>
        <v/>
      </c>
      <c r="E4430" s="100" t="str">
        <f t="shared" si="2"/>
        <v/>
      </c>
      <c r="F4430" s="100" t="str">
        <f t="shared" si="3"/>
        <v/>
      </c>
      <c r="G4430" s="151"/>
      <c r="H4430" s="160"/>
      <c r="I4430" s="157"/>
      <c r="J4430" s="158"/>
      <c r="L4430" s="94"/>
      <c r="M4430" s="159"/>
      <c r="N4430" s="94"/>
    </row>
    <row r="4431">
      <c r="A4431" s="107">
        <v>1628449.0</v>
      </c>
      <c r="B4431" s="108" t="s">
        <v>192</v>
      </c>
      <c r="C4431" s="108" t="s">
        <v>1060</v>
      </c>
      <c r="D4431" s="100" t="str">
        <f t="shared" si="1"/>
        <v/>
      </c>
      <c r="E4431" s="100" t="str">
        <f t="shared" si="2"/>
        <v/>
      </c>
      <c r="F4431" s="100" t="str">
        <f t="shared" si="3"/>
        <v/>
      </c>
      <c r="G4431" s="151"/>
      <c r="H4431" s="156"/>
      <c r="I4431" s="157"/>
      <c r="J4431" s="161"/>
      <c r="L4431" s="94"/>
      <c r="M4431" s="159"/>
      <c r="N4431" s="94"/>
    </row>
    <row r="4432">
      <c r="A4432" s="107">
        <v>1628449.0</v>
      </c>
      <c r="B4432" s="108" t="s">
        <v>193</v>
      </c>
      <c r="C4432" s="108" t="s">
        <v>1060</v>
      </c>
      <c r="D4432" s="100" t="str">
        <f t="shared" si="1"/>
        <v/>
      </c>
      <c r="E4432" s="100" t="str">
        <f t="shared" si="2"/>
        <v/>
      </c>
      <c r="F4432" s="100" t="str">
        <f t="shared" si="3"/>
        <v/>
      </c>
      <c r="G4432" s="151"/>
      <c r="H4432" s="160"/>
      <c r="I4432" s="157"/>
      <c r="J4432" s="158"/>
      <c r="L4432" s="94"/>
      <c r="M4432" s="159"/>
      <c r="N4432" s="94"/>
    </row>
    <row r="4433">
      <c r="A4433" s="107">
        <v>1628449.0</v>
      </c>
      <c r="B4433" s="108" t="s">
        <v>243</v>
      </c>
      <c r="C4433" s="108" t="s">
        <v>1060</v>
      </c>
      <c r="D4433" s="100" t="str">
        <f t="shared" si="1"/>
        <v/>
      </c>
      <c r="E4433" s="100" t="str">
        <f t="shared" si="2"/>
        <v/>
      </c>
      <c r="F4433" s="100" t="str">
        <f t="shared" si="3"/>
        <v/>
      </c>
      <c r="G4433" s="151"/>
      <c r="H4433" s="156"/>
      <c r="I4433" s="157"/>
      <c r="J4433" s="161"/>
      <c r="L4433" s="94"/>
      <c r="M4433" s="159"/>
      <c r="N4433" s="94"/>
    </row>
    <row r="4434">
      <c r="A4434" s="107">
        <v>1628449.0</v>
      </c>
      <c r="B4434" s="108" t="s">
        <v>215</v>
      </c>
      <c r="C4434" s="108" t="s">
        <v>1060</v>
      </c>
      <c r="D4434" s="100" t="str">
        <f t="shared" si="1"/>
        <v/>
      </c>
      <c r="E4434" s="100" t="str">
        <f t="shared" si="2"/>
        <v/>
      </c>
      <c r="F4434" s="100" t="str">
        <f t="shared" si="3"/>
        <v/>
      </c>
      <c r="G4434" s="151"/>
      <c r="H4434" s="160"/>
      <c r="I4434" s="157"/>
      <c r="J4434" s="158"/>
      <c r="L4434" s="94"/>
      <c r="M4434" s="159"/>
      <c r="N4434" s="94"/>
    </row>
    <row r="4435">
      <c r="A4435" s="107">
        <v>1628449.0</v>
      </c>
      <c r="B4435" s="108" t="s">
        <v>244</v>
      </c>
      <c r="C4435" s="108" t="s">
        <v>1060</v>
      </c>
      <c r="D4435" s="100" t="str">
        <f t="shared" si="1"/>
        <v/>
      </c>
      <c r="E4435" s="100" t="str">
        <f t="shared" si="2"/>
        <v/>
      </c>
      <c r="F4435" s="100" t="str">
        <f t="shared" si="3"/>
        <v/>
      </c>
      <c r="G4435" s="151"/>
      <c r="H4435" s="156"/>
      <c r="I4435" s="157"/>
      <c r="J4435" s="161"/>
      <c r="L4435" s="94"/>
      <c r="M4435" s="159"/>
      <c r="N4435" s="94"/>
    </row>
    <row r="4436">
      <c r="A4436" s="107">
        <v>1628449.0</v>
      </c>
      <c r="B4436" s="108" t="s">
        <v>245</v>
      </c>
      <c r="C4436" s="108" t="s">
        <v>1060</v>
      </c>
      <c r="D4436" s="100" t="str">
        <f t="shared" si="1"/>
        <v/>
      </c>
      <c r="E4436" s="100" t="str">
        <f t="shared" si="2"/>
        <v/>
      </c>
      <c r="F4436" s="100" t="str">
        <f t="shared" si="3"/>
        <v/>
      </c>
      <c r="G4436" s="151"/>
      <c r="H4436" s="160"/>
      <c r="I4436" s="157"/>
      <c r="J4436" s="158"/>
      <c r="L4436" s="94"/>
      <c r="M4436" s="159"/>
      <c r="N4436" s="94"/>
    </row>
    <row r="4437">
      <c r="A4437" s="107">
        <v>1628449.0</v>
      </c>
      <c r="B4437" s="108" t="s">
        <v>246</v>
      </c>
      <c r="C4437" s="108" t="s">
        <v>1060</v>
      </c>
      <c r="D4437" s="100" t="str">
        <f t="shared" si="1"/>
        <v/>
      </c>
      <c r="E4437" s="100" t="str">
        <f t="shared" si="2"/>
        <v/>
      </c>
      <c r="F4437" s="100" t="str">
        <f t="shared" si="3"/>
        <v/>
      </c>
      <c r="G4437" s="151"/>
      <c r="H4437" s="156"/>
      <c r="I4437" s="157"/>
      <c r="J4437" s="161"/>
      <c r="L4437" s="94"/>
      <c r="M4437" s="159"/>
      <c r="N4437" s="94"/>
    </row>
    <row r="4438">
      <c r="A4438" s="149">
        <v>1628449.0</v>
      </c>
      <c r="B4438" s="115" t="s">
        <v>247</v>
      </c>
      <c r="C4438" s="115" t="s">
        <v>1060</v>
      </c>
      <c r="D4438" s="100" t="str">
        <f t="shared" si="1"/>
        <v/>
      </c>
      <c r="E4438" s="100" t="str">
        <f t="shared" si="2"/>
        <v/>
      </c>
      <c r="F4438" s="100" t="str">
        <f t="shared" si="3"/>
        <v/>
      </c>
      <c r="G4438" s="151"/>
      <c r="H4438" s="160"/>
      <c r="I4438" s="157"/>
      <c r="J4438" s="158"/>
      <c r="L4438" s="94"/>
      <c r="M4438" s="159"/>
      <c r="N4438" s="94"/>
    </row>
    <row r="4439">
      <c r="A4439" s="21">
        <v>1628450.0</v>
      </c>
      <c r="B4439" s="164" t="s">
        <v>193</v>
      </c>
      <c r="C4439" s="164" t="s">
        <v>1061</v>
      </c>
      <c r="D4439" s="100" t="str">
        <f t="shared" si="1"/>
        <v/>
      </c>
      <c r="E4439" s="100" t="str">
        <f t="shared" si="2"/>
        <v/>
      </c>
      <c r="F4439" s="100" t="str">
        <f t="shared" si="3"/>
        <v/>
      </c>
      <c r="G4439" s="151"/>
      <c r="H4439" s="156"/>
      <c r="I4439" s="157"/>
      <c r="J4439" s="161"/>
      <c r="L4439" s="94"/>
      <c r="M4439" s="159"/>
      <c r="N4439" s="94"/>
    </row>
    <row r="4440">
      <c r="A4440" s="107">
        <v>1628451.0</v>
      </c>
      <c r="B4440" s="108" t="s">
        <v>191</v>
      </c>
      <c r="C4440" s="108" t="s">
        <v>1062</v>
      </c>
      <c r="D4440" s="100" t="str">
        <f t="shared" si="1"/>
        <v/>
      </c>
      <c r="E4440" s="100" t="str">
        <f t="shared" si="2"/>
        <v/>
      </c>
      <c r="F4440" s="100" t="str">
        <f t="shared" si="3"/>
        <v/>
      </c>
      <c r="G4440" s="151"/>
      <c r="H4440" s="160"/>
      <c r="I4440" s="157"/>
      <c r="J4440" s="158"/>
      <c r="L4440" s="94"/>
      <c r="M4440" s="159"/>
      <c r="N4440" s="94"/>
    </row>
    <row r="4441">
      <c r="A4441" s="107">
        <v>1628455.0</v>
      </c>
      <c r="B4441" s="108" t="s">
        <v>243</v>
      </c>
      <c r="C4441" s="108" t="s">
        <v>224</v>
      </c>
      <c r="D4441" s="100" t="str">
        <f t="shared" si="1"/>
        <v/>
      </c>
      <c r="E4441" s="100" t="str">
        <f t="shared" si="2"/>
        <v/>
      </c>
      <c r="F4441" s="100" t="str">
        <f t="shared" si="3"/>
        <v/>
      </c>
      <c r="G4441" s="151"/>
      <c r="H4441" s="156"/>
      <c r="I4441" s="157"/>
      <c r="J4441" s="161"/>
      <c r="L4441" s="94"/>
      <c r="M4441" s="159"/>
      <c r="N4441" s="94"/>
    </row>
    <row r="4442">
      <c r="A4442" s="107">
        <v>1628462.0</v>
      </c>
      <c r="B4442" s="108" t="s">
        <v>191</v>
      </c>
      <c r="C4442" s="108" t="s">
        <v>1063</v>
      </c>
      <c r="D4442" s="100" t="str">
        <f t="shared" si="1"/>
        <v/>
      </c>
      <c r="E4442" s="100" t="str">
        <f t="shared" si="2"/>
        <v/>
      </c>
      <c r="F4442" s="100" t="str">
        <f t="shared" si="3"/>
        <v/>
      </c>
      <c r="G4442" s="151"/>
      <c r="H4442" s="160"/>
      <c r="I4442" s="157"/>
      <c r="J4442" s="158"/>
      <c r="L4442" s="94"/>
      <c r="M4442" s="159"/>
      <c r="N4442" s="94"/>
    </row>
    <row r="4443">
      <c r="A4443" s="107">
        <v>1628462.0</v>
      </c>
      <c r="B4443" s="108" t="s">
        <v>192</v>
      </c>
      <c r="C4443" s="108" t="s">
        <v>1063</v>
      </c>
      <c r="D4443" s="100" t="str">
        <f t="shared" si="1"/>
        <v/>
      </c>
      <c r="E4443" s="100" t="str">
        <f t="shared" si="2"/>
        <v/>
      </c>
      <c r="F4443" s="100" t="str">
        <f t="shared" si="3"/>
        <v/>
      </c>
      <c r="G4443" s="151"/>
      <c r="H4443" s="156"/>
      <c r="I4443" s="157"/>
      <c r="J4443" s="161"/>
      <c r="L4443" s="94"/>
      <c r="M4443" s="159"/>
      <c r="N4443" s="94"/>
    </row>
    <row r="4444">
      <c r="A4444" s="107">
        <v>1628463.0</v>
      </c>
      <c r="B4444" s="108" t="s">
        <v>191</v>
      </c>
      <c r="C4444" s="108" t="s">
        <v>1064</v>
      </c>
      <c r="D4444" s="100" t="str">
        <f t="shared" si="1"/>
        <v/>
      </c>
      <c r="E4444" s="100" t="str">
        <f t="shared" si="2"/>
        <v/>
      </c>
      <c r="F4444" s="100" t="str">
        <f t="shared" si="3"/>
        <v/>
      </c>
      <c r="G4444" s="151"/>
      <c r="H4444" s="160"/>
      <c r="I4444" s="157"/>
      <c r="J4444" s="158"/>
      <c r="L4444" s="94"/>
      <c r="M4444" s="159"/>
      <c r="N4444" s="94"/>
    </row>
    <row r="4445">
      <c r="A4445" s="107">
        <v>1628463.0</v>
      </c>
      <c r="B4445" s="108" t="s">
        <v>192</v>
      </c>
      <c r="C4445" s="108" t="s">
        <v>1064</v>
      </c>
      <c r="D4445" s="100" t="str">
        <f t="shared" si="1"/>
        <v/>
      </c>
      <c r="E4445" s="100" t="str">
        <f t="shared" si="2"/>
        <v/>
      </c>
      <c r="F4445" s="100" t="str">
        <f t="shared" si="3"/>
        <v/>
      </c>
      <c r="G4445" s="151"/>
      <c r="H4445" s="156"/>
      <c r="I4445" s="157"/>
      <c r="J4445" s="161"/>
      <c r="L4445" s="94"/>
      <c r="M4445" s="159"/>
      <c r="N4445" s="94"/>
    </row>
    <row r="4446">
      <c r="A4446" s="107">
        <v>1628464.0</v>
      </c>
      <c r="B4446" s="108" t="s">
        <v>191</v>
      </c>
      <c r="C4446" s="108" t="s">
        <v>1065</v>
      </c>
      <c r="D4446" s="100" t="str">
        <f t="shared" si="1"/>
        <v/>
      </c>
      <c r="E4446" s="100" t="str">
        <f t="shared" si="2"/>
        <v/>
      </c>
      <c r="F4446" s="100" t="str">
        <f t="shared" si="3"/>
        <v/>
      </c>
      <c r="G4446" s="151"/>
      <c r="H4446" s="160"/>
      <c r="I4446" s="157"/>
      <c r="J4446" s="158"/>
      <c r="L4446" s="94"/>
      <c r="M4446" s="159"/>
      <c r="N4446" s="94"/>
    </row>
    <row r="4447">
      <c r="A4447" s="107">
        <v>1628464.0</v>
      </c>
      <c r="B4447" s="108" t="s">
        <v>192</v>
      </c>
      <c r="C4447" s="108" t="s">
        <v>1065</v>
      </c>
      <c r="D4447" s="100" t="str">
        <f t="shared" si="1"/>
        <v/>
      </c>
      <c r="E4447" s="100" t="str">
        <f t="shared" si="2"/>
        <v/>
      </c>
      <c r="F4447" s="100" t="str">
        <f t="shared" si="3"/>
        <v/>
      </c>
      <c r="G4447" s="151"/>
      <c r="H4447" s="156"/>
      <c r="I4447" s="157"/>
      <c r="J4447" s="161"/>
      <c r="L4447" s="94"/>
      <c r="M4447" s="159"/>
      <c r="N4447" s="94"/>
    </row>
    <row r="4448">
      <c r="A4448" s="107">
        <v>1628464.0</v>
      </c>
      <c r="B4448" s="108" t="s">
        <v>193</v>
      </c>
      <c r="C4448" s="108" t="s">
        <v>1065</v>
      </c>
      <c r="D4448" s="100" t="str">
        <f t="shared" si="1"/>
        <v/>
      </c>
      <c r="E4448" s="100" t="str">
        <f t="shared" si="2"/>
        <v/>
      </c>
      <c r="F4448" s="100" t="str">
        <f t="shared" si="3"/>
        <v/>
      </c>
      <c r="G4448" s="151"/>
      <c r="H4448" s="160"/>
      <c r="I4448" s="157"/>
      <c r="J4448" s="158"/>
      <c r="L4448" s="94"/>
      <c r="M4448" s="159"/>
      <c r="N4448" s="94"/>
    </row>
    <row r="4449">
      <c r="A4449" s="107">
        <v>1628464.0</v>
      </c>
      <c r="B4449" s="108" t="s">
        <v>243</v>
      </c>
      <c r="C4449" s="108" t="s">
        <v>1065</v>
      </c>
      <c r="D4449" s="100" t="str">
        <f t="shared" si="1"/>
        <v/>
      </c>
      <c r="E4449" s="100" t="str">
        <f t="shared" si="2"/>
        <v/>
      </c>
      <c r="F4449" s="100" t="str">
        <f t="shared" si="3"/>
        <v/>
      </c>
      <c r="G4449" s="151"/>
      <c r="H4449" s="156"/>
      <c r="I4449" s="157"/>
      <c r="J4449" s="161"/>
      <c r="L4449" s="94"/>
      <c r="M4449" s="159"/>
      <c r="N4449" s="94"/>
    </row>
    <row r="4450">
      <c r="A4450" s="107">
        <v>1628464.0</v>
      </c>
      <c r="B4450" s="108" t="s">
        <v>215</v>
      </c>
      <c r="C4450" s="108" t="s">
        <v>1065</v>
      </c>
      <c r="D4450" s="100" t="str">
        <f t="shared" si="1"/>
        <v/>
      </c>
      <c r="E4450" s="100" t="str">
        <f t="shared" si="2"/>
        <v/>
      </c>
      <c r="F4450" s="100" t="str">
        <f t="shared" si="3"/>
        <v/>
      </c>
      <c r="G4450" s="151"/>
      <c r="H4450" s="160"/>
      <c r="I4450" s="157"/>
      <c r="J4450" s="158"/>
      <c r="L4450" s="94"/>
      <c r="M4450" s="159"/>
      <c r="N4450" s="94"/>
    </row>
    <row r="4451">
      <c r="A4451" s="107">
        <v>1628464.0</v>
      </c>
      <c r="B4451" s="108" t="s">
        <v>244</v>
      </c>
      <c r="C4451" s="108" t="s">
        <v>1065</v>
      </c>
      <c r="D4451" s="100" t="str">
        <f t="shared" si="1"/>
        <v/>
      </c>
      <c r="E4451" s="100" t="str">
        <f t="shared" si="2"/>
        <v/>
      </c>
      <c r="F4451" s="100" t="str">
        <f t="shared" si="3"/>
        <v/>
      </c>
      <c r="G4451" s="151"/>
      <c r="H4451" s="156"/>
      <c r="I4451" s="157"/>
      <c r="J4451" s="161"/>
      <c r="L4451" s="94"/>
      <c r="M4451" s="159"/>
      <c r="N4451" s="94"/>
    </row>
    <row r="4452">
      <c r="A4452" s="107">
        <v>1628464.0</v>
      </c>
      <c r="B4452" s="108" t="s">
        <v>245</v>
      </c>
      <c r="C4452" s="108" t="s">
        <v>1065</v>
      </c>
      <c r="D4452" s="100" t="str">
        <f t="shared" si="1"/>
        <v/>
      </c>
      <c r="E4452" s="100" t="str">
        <f t="shared" si="2"/>
        <v/>
      </c>
      <c r="F4452" s="100" t="str">
        <f t="shared" si="3"/>
        <v/>
      </c>
      <c r="G4452" s="151"/>
      <c r="H4452" s="160"/>
      <c r="I4452" s="157"/>
      <c r="J4452" s="158"/>
      <c r="L4452" s="94"/>
      <c r="M4452" s="159"/>
      <c r="N4452" s="94"/>
    </row>
    <row r="4453">
      <c r="A4453" s="107">
        <v>1628464.0</v>
      </c>
      <c r="B4453" s="108" t="s">
        <v>246</v>
      </c>
      <c r="C4453" s="108" t="s">
        <v>1065</v>
      </c>
      <c r="D4453" s="100" t="str">
        <f t="shared" si="1"/>
        <v/>
      </c>
      <c r="E4453" s="100" t="str">
        <f t="shared" si="2"/>
        <v/>
      </c>
      <c r="F4453" s="100" t="str">
        <f t="shared" si="3"/>
        <v/>
      </c>
      <c r="G4453" s="151"/>
      <c r="H4453" s="156"/>
      <c r="I4453" s="157"/>
      <c r="J4453" s="161"/>
      <c r="L4453" s="94"/>
      <c r="M4453" s="159"/>
      <c r="N4453" s="94"/>
    </row>
    <row r="4454">
      <c r="A4454" s="107">
        <v>1628467.0</v>
      </c>
      <c r="B4454" s="108" t="s">
        <v>191</v>
      </c>
      <c r="C4454" s="108" t="s">
        <v>1066</v>
      </c>
      <c r="D4454" s="100" t="str">
        <f t="shared" si="1"/>
        <v/>
      </c>
      <c r="E4454" s="100" t="str">
        <f t="shared" si="2"/>
        <v/>
      </c>
      <c r="F4454" s="100" t="str">
        <f t="shared" si="3"/>
        <v/>
      </c>
      <c r="G4454" s="151"/>
      <c r="H4454" s="160"/>
      <c r="I4454" s="157"/>
      <c r="J4454" s="158"/>
      <c r="L4454" s="94"/>
      <c r="M4454" s="159"/>
      <c r="N4454" s="94"/>
    </row>
    <row r="4455">
      <c r="A4455" s="107">
        <v>1628467.0</v>
      </c>
      <c r="B4455" s="108" t="s">
        <v>192</v>
      </c>
      <c r="C4455" s="108" t="s">
        <v>1066</v>
      </c>
      <c r="D4455" s="100" t="str">
        <f t="shared" si="1"/>
        <v/>
      </c>
      <c r="E4455" s="100" t="str">
        <f t="shared" si="2"/>
        <v/>
      </c>
      <c r="F4455" s="100" t="str">
        <f t="shared" si="3"/>
        <v/>
      </c>
      <c r="G4455" s="151"/>
      <c r="H4455" s="156"/>
      <c r="I4455" s="157"/>
      <c r="J4455" s="161"/>
      <c r="L4455" s="94"/>
      <c r="M4455" s="159"/>
      <c r="N4455" s="94"/>
    </row>
    <row r="4456">
      <c r="A4456" s="107">
        <v>1628467.0</v>
      </c>
      <c r="B4456" s="108" t="s">
        <v>193</v>
      </c>
      <c r="C4456" s="108" t="s">
        <v>1066</v>
      </c>
      <c r="D4456" s="100" t="str">
        <f t="shared" si="1"/>
        <v/>
      </c>
      <c r="E4456" s="100" t="str">
        <f t="shared" si="2"/>
        <v/>
      </c>
      <c r="F4456" s="100" t="str">
        <f t="shared" si="3"/>
        <v/>
      </c>
      <c r="G4456" s="151"/>
      <c r="H4456" s="160"/>
      <c r="I4456" s="157"/>
      <c r="J4456" s="158"/>
      <c r="L4456" s="94"/>
      <c r="M4456" s="159"/>
      <c r="N4456" s="94"/>
    </row>
    <row r="4457">
      <c r="A4457" s="107">
        <v>1628467.0</v>
      </c>
      <c r="B4457" s="108" t="s">
        <v>243</v>
      </c>
      <c r="C4457" s="108" t="s">
        <v>1066</v>
      </c>
      <c r="D4457" s="100" t="str">
        <f t="shared" si="1"/>
        <v/>
      </c>
      <c r="E4457" s="100" t="str">
        <f t="shared" si="2"/>
        <v/>
      </c>
      <c r="F4457" s="100" t="str">
        <f t="shared" si="3"/>
        <v/>
      </c>
      <c r="G4457" s="151"/>
      <c r="H4457" s="156"/>
      <c r="I4457" s="157"/>
      <c r="J4457" s="161"/>
      <c r="L4457" s="94"/>
      <c r="M4457" s="159"/>
      <c r="N4457" s="94"/>
    </row>
    <row r="4458">
      <c r="A4458" s="107">
        <v>1628467.0</v>
      </c>
      <c r="B4458" s="108" t="s">
        <v>215</v>
      </c>
      <c r="C4458" s="108" t="s">
        <v>1066</v>
      </c>
      <c r="D4458" s="100" t="str">
        <f t="shared" si="1"/>
        <v/>
      </c>
      <c r="E4458" s="100" t="str">
        <f t="shared" si="2"/>
        <v/>
      </c>
      <c r="F4458" s="100" t="str">
        <f t="shared" si="3"/>
        <v/>
      </c>
      <c r="G4458" s="151"/>
      <c r="H4458" s="160"/>
      <c r="I4458" s="157"/>
      <c r="J4458" s="158"/>
      <c r="L4458" s="94"/>
      <c r="M4458" s="159"/>
      <c r="N4458" s="94"/>
    </row>
    <row r="4459">
      <c r="A4459" s="107">
        <v>1628467.0</v>
      </c>
      <c r="B4459" s="108" t="s">
        <v>244</v>
      </c>
      <c r="C4459" s="108" t="s">
        <v>1066</v>
      </c>
      <c r="D4459" s="100" t="str">
        <f t="shared" si="1"/>
        <v/>
      </c>
      <c r="E4459" s="100" t="str">
        <f t="shared" si="2"/>
        <v/>
      </c>
      <c r="F4459" s="100" t="str">
        <f t="shared" si="3"/>
        <v/>
      </c>
      <c r="G4459" s="151"/>
      <c r="H4459" s="156"/>
      <c r="I4459" s="157"/>
      <c r="J4459" s="161"/>
      <c r="L4459" s="94"/>
      <c r="M4459" s="159"/>
      <c r="N4459" s="94"/>
    </row>
    <row r="4460">
      <c r="A4460" s="107">
        <v>1628467.0</v>
      </c>
      <c r="B4460" s="108" t="s">
        <v>245</v>
      </c>
      <c r="C4460" s="108" t="s">
        <v>1066</v>
      </c>
      <c r="D4460" s="100" t="str">
        <f t="shared" si="1"/>
        <v/>
      </c>
      <c r="E4460" s="100" t="str">
        <f t="shared" si="2"/>
        <v/>
      </c>
      <c r="F4460" s="100" t="str">
        <f t="shared" si="3"/>
        <v/>
      </c>
      <c r="G4460" s="151"/>
      <c r="H4460" s="160"/>
      <c r="I4460" s="157"/>
      <c r="J4460" s="158"/>
      <c r="L4460" s="94"/>
      <c r="M4460" s="159"/>
      <c r="N4460" s="94"/>
    </row>
    <row r="4461">
      <c r="A4461" s="107">
        <v>1628467.0</v>
      </c>
      <c r="B4461" s="108" t="s">
        <v>246</v>
      </c>
      <c r="C4461" s="108" t="s">
        <v>1066</v>
      </c>
      <c r="D4461" s="100" t="str">
        <f t="shared" si="1"/>
        <v/>
      </c>
      <c r="E4461" s="100" t="str">
        <f t="shared" si="2"/>
        <v/>
      </c>
      <c r="F4461" s="100" t="str">
        <f t="shared" si="3"/>
        <v/>
      </c>
      <c r="G4461" s="151"/>
      <c r="H4461" s="156"/>
      <c r="I4461" s="157"/>
      <c r="J4461" s="161"/>
      <c r="L4461" s="94"/>
      <c r="M4461" s="159"/>
      <c r="N4461" s="94"/>
    </row>
    <row r="4462">
      <c r="A4462" s="140">
        <v>1628467.0</v>
      </c>
      <c r="B4462" s="115" t="s">
        <v>247</v>
      </c>
      <c r="C4462" s="115" t="s">
        <v>1066</v>
      </c>
      <c r="D4462" s="100" t="str">
        <f t="shared" si="1"/>
        <v/>
      </c>
      <c r="E4462" s="100" t="str">
        <f t="shared" si="2"/>
        <v/>
      </c>
      <c r="F4462" s="100" t="str">
        <f t="shared" si="3"/>
        <v/>
      </c>
      <c r="G4462" s="151"/>
      <c r="H4462" s="160"/>
      <c r="I4462" s="157"/>
      <c r="J4462" s="158"/>
      <c r="L4462" s="94"/>
      <c r="M4462" s="159"/>
      <c r="N4462" s="94"/>
    </row>
    <row r="4463">
      <c r="A4463" s="163">
        <v>1628469.0</v>
      </c>
      <c r="B4463" s="164" t="s">
        <v>191</v>
      </c>
      <c r="C4463" s="164" t="s">
        <v>1067</v>
      </c>
      <c r="D4463" s="100" t="str">
        <f t="shared" si="1"/>
        <v/>
      </c>
      <c r="E4463" s="100" t="str">
        <f t="shared" si="2"/>
        <v/>
      </c>
      <c r="F4463" s="100" t="str">
        <f t="shared" si="3"/>
        <v/>
      </c>
      <c r="G4463" s="151"/>
      <c r="H4463" s="156"/>
      <c r="I4463" s="157"/>
      <c r="J4463" s="161"/>
      <c r="L4463" s="94"/>
      <c r="M4463" s="159"/>
      <c r="N4463" s="94"/>
    </row>
    <row r="4464">
      <c r="A4464" s="107">
        <v>1628469.0</v>
      </c>
      <c r="B4464" s="108" t="s">
        <v>192</v>
      </c>
      <c r="C4464" s="108" t="s">
        <v>1067</v>
      </c>
      <c r="D4464" s="100" t="str">
        <f t="shared" si="1"/>
        <v/>
      </c>
      <c r="E4464" s="100" t="str">
        <f t="shared" si="2"/>
        <v/>
      </c>
      <c r="F4464" s="100" t="str">
        <f t="shared" si="3"/>
        <v/>
      </c>
      <c r="G4464" s="151"/>
      <c r="H4464" s="160"/>
      <c r="I4464" s="157"/>
      <c r="J4464" s="158"/>
      <c r="L4464" s="94"/>
      <c r="M4464" s="159"/>
      <c r="N4464" s="94"/>
    </row>
    <row r="4465">
      <c r="A4465" s="107">
        <v>1628470.0</v>
      </c>
      <c r="B4465" s="108" t="s">
        <v>191</v>
      </c>
      <c r="C4465" s="108" t="s">
        <v>1068</v>
      </c>
      <c r="D4465" s="100" t="str">
        <f t="shared" si="1"/>
        <v/>
      </c>
      <c r="E4465" s="100" t="str">
        <f t="shared" si="2"/>
        <v/>
      </c>
      <c r="F4465" s="100" t="str">
        <f t="shared" si="3"/>
        <v/>
      </c>
      <c r="G4465" s="151"/>
      <c r="H4465" s="156"/>
      <c r="I4465" s="157"/>
      <c r="J4465" s="161"/>
      <c r="L4465" s="94"/>
      <c r="M4465" s="159"/>
      <c r="N4465" s="94"/>
    </row>
    <row r="4466">
      <c r="A4466" s="107">
        <v>1628470.0</v>
      </c>
      <c r="B4466" s="108" t="s">
        <v>192</v>
      </c>
      <c r="C4466" s="108" t="s">
        <v>1068</v>
      </c>
      <c r="D4466" s="100" t="str">
        <f t="shared" si="1"/>
        <v/>
      </c>
      <c r="E4466" s="100" t="str">
        <f t="shared" si="2"/>
        <v/>
      </c>
      <c r="F4466" s="100" t="str">
        <f t="shared" si="3"/>
        <v/>
      </c>
      <c r="G4466" s="151"/>
      <c r="H4466" s="160"/>
      <c r="I4466" s="157"/>
      <c r="J4466" s="158"/>
      <c r="L4466" s="94"/>
      <c r="M4466" s="159"/>
      <c r="N4466" s="94"/>
    </row>
    <row r="4467">
      <c r="A4467" s="107">
        <v>1628470.0</v>
      </c>
      <c r="B4467" s="108" t="s">
        <v>193</v>
      </c>
      <c r="C4467" s="108" t="s">
        <v>1068</v>
      </c>
      <c r="D4467" s="100" t="str">
        <f t="shared" si="1"/>
        <v/>
      </c>
      <c r="E4467" s="100" t="str">
        <f t="shared" si="2"/>
        <v/>
      </c>
      <c r="F4467" s="100" t="str">
        <f t="shared" si="3"/>
        <v/>
      </c>
      <c r="G4467" s="151"/>
      <c r="H4467" s="156"/>
      <c r="I4467" s="157"/>
      <c r="J4467" s="161"/>
      <c r="L4467" s="94"/>
      <c r="M4467" s="159"/>
      <c r="N4467" s="94"/>
    </row>
    <row r="4468">
      <c r="A4468" s="107">
        <v>1628470.0</v>
      </c>
      <c r="B4468" s="108" t="s">
        <v>243</v>
      </c>
      <c r="C4468" s="108" t="s">
        <v>1068</v>
      </c>
      <c r="D4468" s="100" t="str">
        <f t="shared" si="1"/>
        <v/>
      </c>
      <c r="E4468" s="100" t="str">
        <f t="shared" si="2"/>
        <v/>
      </c>
      <c r="F4468" s="100" t="str">
        <f t="shared" si="3"/>
        <v/>
      </c>
      <c r="G4468" s="151"/>
      <c r="H4468" s="160"/>
      <c r="I4468" s="157"/>
      <c r="J4468" s="158"/>
      <c r="L4468" s="94"/>
      <c r="M4468" s="159"/>
      <c r="N4468" s="94"/>
    </row>
    <row r="4469">
      <c r="A4469" s="107">
        <v>1628470.0</v>
      </c>
      <c r="B4469" s="108" t="s">
        <v>215</v>
      </c>
      <c r="C4469" s="108" t="s">
        <v>1068</v>
      </c>
      <c r="D4469" s="100" t="str">
        <f t="shared" si="1"/>
        <v/>
      </c>
      <c r="E4469" s="100" t="str">
        <f t="shared" si="2"/>
        <v/>
      </c>
      <c r="F4469" s="100" t="str">
        <f t="shared" si="3"/>
        <v/>
      </c>
      <c r="G4469" s="151"/>
      <c r="H4469" s="156"/>
      <c r="I4469" s="157"/>
      <c r="J4469" s="161"/>
      <c r="L4469" s="94"/>
      <c r="M4469" s="159"/>
      <c r="N4469" s="94"/>
    </row>
    <row r="4470">
      <c r="A4470" s="107">
        <v>1628470.0</v>
      </c>
      <c r="B4470" s="108" t="s">
        <v>244</v>
      </c>
      <c r="C4470" s="108" t="s">
        <v>1068</v>
      </c>
      <c r="D4470" s="100" t="str">
        <f t="shared" si="1"/>
        <v/>
      </c>
      <c r="E4470" s="100" t="str">
        <f t="shared" si="2"/>
        <v/>
      </c>
      <c r="F4470" s="100" t="str">
        <f t="shared" si="3"/>
        <v/>
      </c>
      <c r="G4470" s="151"/>
      <c r="H4470" s="160"/>
      <c r="I4470" s="157"/>
      <c r="J4470" s="158"/>
      <c r="L4470" s="94"/>
      <c r="M4470" s="159"/>
      <c r="N4470" s="94"/>
    </row>
    <row r="4471">
      <c r="A4471" s="107">
        <v>1628470.0</v>
      </c>
      <c r="B4471" s="108" t="s">
        <v>245</v>
      </c>
      <c r="C4471" s="108" t="s">
        <v>1068</v>
      </c>
      <c r="D4471" s="100" t="str">
        <f t="shared" si="1"/>
        <v/>
      </c>
      <c r="E4471" s="100" t="str">
        <f t="shared" si="2"/>
        <v/>
      </c>
      <c r="F4471" s="100" t="str">
        <f t="shared" si="3"/>
        <v/>
      </c>
      <c r="G4471" s="151"/>
      <c r="H4471" s="156"/>
      <c r="I4471" s="157"/>
      <c r="J4471" s="161"/>
      <c r="L4471" s="94"/>
      <c r="M4471" s="159"/>
      <c r="N4471" s="94"/>
    </row>
    <row r="4472">
      <c r="A4472" s="107">
        <v>1628470.0</v>
      </c>
      <c r="B4472" s="108" t="s">
        <v>246</v>
      </c>
      <c r="C4472" s="108" t="s">
        <v>1068</v>
      </c>
      <c r="D4472" s="100" t="str">
        <f t="shared" si="1"/>
        <v/>
      </c>
      <c r="E4472" s="100" t="str">
        <f t="shared" si="2"/>
        <v/>
      </c>
      <c r="F4472" s="100" t="str">
        <f t="shared" si="3"/>
        <v/>
      </c>
      <c r="G4472" s="151"/>
      <c r="H4472" s="160"/>
      <c r="I4472" s="157"/>
      <c r="J4472" s="158"/>
      <c r="L4472" s="94"/>
      <c r="M4472" s="159"/>
      <c r="N4472" s="94"/>
    </row>
    <row r="4473">
      <c r="A4473" s="107">
        <v>1628475.0</v>
      </c>
      <c r="B4473" s="108" t="s">
        <v>191</v>
      </c>
      <c r="C4473" s="108" t="s">
        <v>1069</v>
      </c>
      <c r="D4473" s="100" t="str">
        <f t="shared" si="1"/>
        <v/>
      </c>
      <c r="E4473" s="100" t="str">
        <f t="shared" si="2"/>
        <v/>
      </c>
      <c r="F4473" s="100" t="str">
        <f t="shared" si="3"/>
        <v/>
      </c>
      <c r="G4473" s="151"/>
      <c r="H4473" s="156"/>
      <c r="I4473" s="157"/>
      <c r="J4473" s="161"/>
      <c r="L4473" s="94"/>
      <c r="M4473" s="159"/>
      <c r="N4473" s="94"/>
    </row>
    <row r="4474">
      <c r="A4474" s="107">
        <v>1628476.0</v>
      </c>
      <c r="B4474" s="108" t="s">
        <v>191</v>
      </c>
      <c r="C4474" s="108" t="s">
        <v>1070</v>
      </c>
      <c r="D4474" s="100" t="str">
        <f t="shared" si="1"/>
        <v/>
      </c>
      <c r="E4474" s="100" t="str">
        <f t="shared" si="2"/>
        <v/>
      </c>
      <c r="F4474" s="100" t="str">
        <f t="shared" si="3"/>
        <v/>
      </c>
      <c r="G4474" s="151"/>
      <c r="H4474" s="160"/>
      <c r="I4474" s="157"/>
      <c r="J4474" s="158"/>
      <c r="L4474" s="94"/>
      <c r="M4474" s="159"/>
      <c r="N4474" s="94"/>
    </row>
    <row r="4475">
      <c r="A4475" s="107">
        <v>1628476.0</v>
      </c>
      <c r="B4475" s="108" t="s">
        <v>193</v>
      </c>
      <c r="C4475" s="108" t="s">
        <v>1070</v>
      </c>
      <c r="D4475" s="100" t="str">
        <f t="shared" si="1"/>
        <v/>
      </c>
      <c r="E4475" s="100" t="str">
        <f t="shared" si="2"/>
        <v/>
      </c>
      <c r="F4475" s="100" t="str">
        <f t="shared" si="3"/>
        <v/>
      </c>
      <c r="G4475" s="151"/>
      <c r="H4475" s="156"/>
      <c r="I4475" s="157"/>
      <c r="J4475" s="161"/>
      <c r="L4475" s="94"/>
      <c r="M4475" s="159"/>
      <c r="N4475" s="94"/>
    </row>
    <row r="4476">
      <c r="A4476" s="107">
        <v>1628476.0</v>
      </c>
      <c r="B4476" s="108" t="s">
        <v>215</v>
      </c>
      <c r="C4476" s="108" t="s">
        <v>1070</v>
      </c>
      <c r="D4476" s="100" t="str">
        <f t="shared" si="1"/>
        <v/>
      </c>
      <c r="E4476" s="100" t="str">
        <f t="shared" si="2"/>
        <v/>
      </c>
      <c r="F4476" s="100" t="str">
        <f t="shared" si="3"/>
        <v/>
      </c>
      <c r="G4476" s="151"/>
      <c r="H4476" s="160"/>
      <c r="I4476" s="157"/>
      <c r="J4476" s="158"/>
      <c r="L4476" s="94"/>
      <c r="M4476" s="159"/>
      <c r="N4476" s="94"/>
    </row>
    <row r="4477">
      <c r="A4477" s="107">
        <v>1628492.0</v>
      </c>
      <c r="B4477" s="108" t="s">
        <v>191</v>
      </c>
      <c r="C4477" s="108" t="s">
        <v>1071</v>
      </c>
      <c r="D4477" s="100" t="str">
        <f t="shared" si="1"/>
        <v/>
      </c>
      <c r="E4477" s="100" t="str">
        <f t="shared" si="2"/>
        <v/>
      </c>
      <c r="F4477" s="100" t="str">
        <f t="shared" si="3"/>
        <v/>
      </c>
      <c r="G4477" s="151"/>
      <c r="H4477" s="156"/>
      <c r="I4477" s="157"/>
      <c r="J4477" s="161"/>
      <c r="L4477" s="94"/>
      <c r="M4477" s="159"/>
      <c r="N4477" s="94"/>
    </row>
    <row r="4478">
      <c r="A4478" s="107">
        <v>1628493.0</v>
      </c>
      <c r="B4478" s="108" t="s">
        <v>191</v>
      </c>
      <c r="C4478" s="108" t="s">
        <v>1072</v>
      </c>
      <c r="D4478" s="100" t="str">
        <f t="shared" si="1"/>
        <v/>
      </c>
      <c r="E4478" s="100" t="str">
        <f t="shared" si="2"/>
        <v/>
      </c>
      <c r="F4478" s="100" t="str">
        <f t="shared" si="3"/>
        <v/>
      </c>
      <c r="G4478" s="151"/>
      <c r="H4478" s="160"/>
      <c r="I4478" s="157"/>
      <c r="J4478" s="158"/>
      <c r="L4478" s="94"/>
      <c r="M4478" s="159"/>
      <c r="N4478" s="94"/>
    </row>
    <row r="4479">
      <c r="A4479" s="107">
        <v>1628495.0</v>
      </c>
      <c r="B4479" s="108" t="s">
        <v>191</v>
      </c>
      <c r="C4479" s="108" t="s">
        <v>1073</v>
      </c>
      <c r="D4479" s="100" t="str">
        <f t="shared" si="1"/>
        <v/>
      </c>
      <c r="E4479" s="100" t="str">
        <f t="shared" si="2"/>
        <v/>
      </c>
      <c r="F4479" s="100" t="str">
        <f t="shared" si="3"/>
        <v/>
      </c>
      <c r="G4479" s="151"/>
      <c r="H4479" s="156"/>
      <c r="I4479" s="157"/>
      <c r="J4479" s="161"/>
      <c r="L4479" s="94"/>
      <c r="M4479" s="159"/>
      <c r="N4479" s="94"/>
    </row>
    <row r="4480">
      <c r="A4480" s="107">
        <v>1628499.0</v>
      </c>
      <c r="B4480" s="108" t="s">
        <v>191</v>
      </c>
      <c r="C4480" s="108" t="s">
        <v>1074</v>
      </c>
      <c r="D4480" s="100" t="str">
        <f t="shared" si="1"/>
        <v/>
      </c>
      <c r="E4480" s="100" t="str">
        <f t="shared" si="2"/>
        <v/>
      </c>
      <c r="F4480" s="100" t="str">
        <f t="shared" si="3"/>
        <v/>
      </c>
      <c r="G4480" s="151"/>
      <c r="H4480" s="160"/>
      <c r="I4480" s="157"/>
      <c r="J4480" s="158"/>
      <c r="L4480" s="94"/>
      <c r="M4480" s="159"/>
      <c r="N4480" s="94"/>
    </row>
    <row r="4481">
      <c r="A4481" s="107">
        <v>1628499.0</v>
      </c>
      <c r="B4481" s="108" t="s">
        <v>193</v>
      </c>
      <c r="C4481" s="108" t="s">
        <v>1074</v>
      </c>
      <c r="D4481" s="100" t="str">
        <f t="shared" si="1"/>
        <v/>
      </c>
      <c r="E4481" s="100" t="str">
        <f t="shared" si="2"/>
        <v/>
      </c>
      <c r="F4481" s="100" t="str">
        <f t="shared" si="3"/>
        <v/>
      </c>
      <c r="G4481" s="151"/>
      <c r="H4481" s="156"/>
      <c r="I4481" s="157"/>
      <c r="J4481" s="161"/>
      <c r="L4481" s="94"/>
      <c r="M4481" s="159"/>
      <c r="N4481" s="94"/>
    </row>
    <row r="4482">
      <c r="A4482" s="107">
        <v>1628500.0</v>
      </c>
      <c r="B4482" s="108" t="s">
        <v>191</v>
      </c>
      <c r="C4482" s="108" t="s">
        <v>1075</v>
      </c>
      <c r="D4482" s="100" t="str">
        <f t="shared" si="1"/>
        <v/>
      </c>
      <c r="E4482" s="100" t="str">
        <f t="shared" si="2"/>
        <v/>
      </c>
      <c r="F4482" s="100" t="str">
        <f t="shared" si="3"/>
        <v/>
      </c>
      <c r="G4482" s="151"/>
      <c r="H4482" s="160"/>
      <c r="I4482" s="157"/>
      <c r="J4482" s="158"/>
      <c r="L4482" s="94"/>
      <c r="M4482" s="159"/>
      <c r="N4482" s="94"/>
    </row>
    <row r="4483">
      <c r="A4483" s="107">
        <v>1628502.0</v>
      </c>
      <c r="B4483" s="108" t="s">
        <v>191</v>
      </c>
      <c r="C4483" s="108" t="s">
        <v>1076</v>
      </c>
      <c r="D4483" s="100" t="str">
        <f t="shared" si="1"/>
        <v/>
      </c>
      <c r="E4483" s="100" t="str">
        <f t="shared" si="2"/>
        <v/>
      </c>
      <c r="F4483" s="100" t="str">
        <f t="shared" si="3"/>
        <v/>
      </c>
      <c r="G4483" s="151"/>
      <c r="H4483" s="156"/>
      <c r="I4483" s="157"/>
      <c r="J4483" s="161"/>
      <c r="L4483" s="94"/>
      <c r="M4483" s="159"/>
      <c r="N4483" s="94"/>
    </row>
    <row r="4484">
      <c r="A4484" s="149">
        <v>1628502.0</v>
      </c>
      <c r="B4484" s="115" t="s">
        <v>247</v>
      </c>
      <c r="C4484" s="115" t="s">
        <v>1077</v>
      </c>
      <c r="D4484" s="100" t="str">
        <f t="shared" si="1"/>
        <v/>
      </c>
      <c r="E4484" s="100" t="str">
        <f t="shared" si="2"/>
        <v/>
      </c>
      <c r="F4484" s="100" t="str">
        <f t="shared" si="3"/>
        <v/>
      </c>
      <c r="G4484" s="151"/>
      <c r="H4484" s="160"/>
      <c r="I4484" s="157"/>
      <c r="J4484" s="158"/>
      <c r="L4484" s="94"/>
      <c r="M4484" s="159"/>
      <c r="N4484" s="94"/>
    </row>
    <row r="4485">
      <c r="A4485" s="21">
        <v>1628503.0</v>
      </c>
      <c r="B4485" s="164" t="s">
        <v>191</v>
      </c>
      <c r="C4485" s="164" t="s">
        <v>1078</v>
      </c>
      <c r="D4485" s="100" t="str">
        <f t="shared" si="1"/>
        <v/>
      </c>
      <c r="E4485" s="100" t="str">
        <f t="shared" si="2"/>
        <v/>
      </c>
      <c r="F4485" s="100" t="str">
        <f t="shared" si="3"/>
        <v/>
      </c>
      <c r="G4485" s="151"/>
      <c r="H4485" s="156"/>
      <c r="I4485" s="157"/>
      <c r="J4485" s="161"/>
      <c r="L4485" s="94"/>
      <c r="M4485" s="159"/>
      <c r="N4485" s="94"/>
    </row>
    <row r="4486">
      <c r="A4486" s="107">
        <v>1628504.0</v>
      </c>
      <c r="B4486" s="108" t="s">
        <v>191</v>
      </c>
      <c r="C4486" s="108" t="s">
        <v>1079</v>
      </c>
      <c r="D4486" s="100" t="str">
        <f t="shared" si="1"/>
        <v/>
      </c>
      <c r="E4486" s="100" t="str">
        <f t="shared" si="2"/>
        <v/>
      </c>
      <c r="F4486" s="100" t="str">
        <f t="shared" si="3"/>
        <v/>
      </c>
      <c r="G4486" s="151"/>
      <c r="H4486" s="160"/>
      <c r="I4486" s="157"/>
      <c r="J4486" s="158"/>
      <c r="L4486" s="94"/>
      <c r="M4486" s="159"/>
      <c r="N4486" s="94"/>
    </row>
    <row r="4487">
      <c r="A4487" s="107">
        <v>1628505.0</v>
      </c>
      <c r="B4487" s="108" t="s">
        <v>192</v>
      </c>
      <c r="C4487" s="108" t="s">
        <v>1080</v>
      </c>
      <c r="D4487" s="100" t="str">
        <f t="shared" si="1"/>
        <v/>
      </c>
      <c r="E4487" s="100" t="str">
        <f t="shared" si="2"/>
        <v/>
      </c>
      <c r="F4487" s="100" t="str">
        <f t="shared" si="3"/>
        <v/>
      </c>
      <c r="G4487" s="151"/>
      <c r="H4487" s="156"/>
      <c r="I4487" s="157"/>
      <c r="J4487" s="161"/>
      <c r="L4487" s="94"/>
      <c r="M4487" s="159"/>
      <c r="N4487" s="94"/>
    </row>
    <row r="4488">
      <c r="A4488" s="107">
        <v>1628506.0</v>
      </c>
      <c r="B4488" s="108" t="s">
        <v>191</v>
      </c>
      <c r="C4488" s="108" t="s">
        <v>1081</v>
      </c>
      <c r="D4488" s="100" t="str">
        <f t="shared" si="1"/>
        <v/>
      </c>
      <c r="E4488" s="100" t="str">
        <f t="shared" si="2"/>
        <v/>
      </c>
      <c r="F4488" s="100" t="str">
        <f t="shared" si="3"/>
        <v/>
      </c>
      <c r="G4488" s="151"/>
      <c r="H4488" s="160"/>
      <c r="I4488" s="157"/>
      <c r="J4488" s="158"/>
      <c r="L4488" s="94"/>
      <c r="M4488" s="159"/>
      <c r="N4488" s="94"/>
    </row>
    <row r="4489">
      <c r="A4489" s="107">
        <v>1628510.0</v>
      </c>
      <c r="B4489" s="108" t="s">
        <v>191</v>
      </c>
      <c r="C4489" s="115" t="s">
        <v>1082</v>
      </c>
      <c r="D4489" s="100" t="str">
        <f t="shared" si="1"/>
        <v/>
      </c>
      <c r="E4489" s="100" t="str">
        <f t="shared" si="2"/>
        <v/>
      </c>
      <c r="F4489" s="100" t="str">
        <f t="shared" si="3"/>
        <v/>
      </c>
      <c r="G4489" s="151"/>
      <c r="H4489" s="156"/>
      <c r="I4489" s="157"/>
      <c r="J4489" s="161"/>
      <c r="L4489" s="94"/>
      <c r="M4489" s="159"/>
      <c r="N4489" s="94"/>
    </row>
    <row r="4490">
      <c r="A4490" s="107">
        <v>1628513.0</v>
      </c>
      <c r="B4490" s="108" t="s">
        <v>191</v>
      </c>
      <c r="C4490" s="108" t="s">
        <v>1083</v>
      </c>
      <c r="D4490" s="100" t="str">
        <f t="shared" si="1"/>
        <v/>
      </c>
      <c r="E4490" s="100" t="str">
        <f t="shared" si="2"/>
        <v/>
      </c>
      <c r="F4490" s="100" t="str">
        <f t="shared" si="3"/>
        <v/>
      </c>
      <c r="G4490" s="151"/>
      <c r="H4490" s="160"/>
      <c r="I4490" s="157"/>
      <c r="J4490" s="158"/>
      <c r="L4490" s="94"/>
      <c r="M4490" s="159"/>
      <c r="N4490" s="94"/>
    </row>
    <row r="4491">
      <c r="A4491" s="107">
        <v>1628513.0</v>
      </c>
      <c r="B4491" s="108" t="s">
        <v>192</v>
      </c>
      <c r="C4491" s="108" t="s">
        <v>1083</v>
      </c>
      <c r="D4491" s="100" t="str">
        <f t="shared" si="1"/>
        <v/>
      </c>
      <c r="E4491" s="100" t="str">
        <f t="shared" si="2"/>
        <v/>
      </c>
      <c r="F4491" s="100" t="str">
        <f t="shared" si="3"/>
        <v/>
      </c>
      <c r="G4491" s="151"/>
      <c r="H4491" s="156"/>
      <c r="I4491" s="157"/>
      <c r="J4491" s="161"/>
      <c r="L4491" s="94"/>
      <c r="M4491" s="159"/>
      <c r="N4491" s="94"/>
    </row>
    <row r="4492">
      <c r="A4492" s="107">
        <v>1628513.0</v>
      </c>
      <c r="B4492" s="108" t="s">
        <v>193</v>
      </c>
      <c r="C4492" s="108" t="s">
        <v>1083</v>
      </c>
      <c r="D4492" s="100" t="str">
        <f t="shared" si="1"/>
        <v/>
      </c>
      <c r="E4492" s="100" t="str">
        <f t="shared" si="2"/>
        <v/>
      </c>
      <c r="F4492" s="100" t="str">
        <f t="shared" si="3"/>
        <v/>
      </c>
      <c r="G4492" s="151"/>
      <c r="H4492" s="160"/>
      <c r="I4492" s="157"/>
      <c r="J4492" s="158"/>
      <c r="L4492" s="94"/>
      <c r="M4492" s="159"/>
      <c r="N4492" s="94"/>
    </row>
    <row r="4493">
      <c r="A4493" s="107">
        <v>1628515.0</v>
      </c>
      <c r="B4493" s="108" t="s">
        <v>192</v>
      </c>
      <c r="C4493" s="108" t="s">
        <v>1084</v>
      </c>
      <c r="D4493" s="100" t="str">
        <f t="shared" si="1"/>
        <v/>
      </c>
      <c r="E4493" s="100" t="str">
        <f t="shared" si="2"/>
        <v/>
      </c>
      <c r="F4493" s="100" t="str">
        <f t="shared" si="3"/>
        <v/>
      </c>
      <c r="G4493" s="151"/>
      <c r="H4493" s="156"/>
      <c r="I4493" s="157"/>
      <c r="J4493" s="161"/>
      <c r="L4493" s="94"/>
      <c r="M4493" s="159"/>
      <c r="N4493" s="94"/>
    </row>
    <row r="4494">
      <c r="A4494" s="107">
        <v>1628518.0</v>
      </c>
      <c r="B4494" s="108" t="s">
        <v>192</v>
      </c>
      <c r="C4494" s="108" t="s">
        <v>1085</v>
      </c>
      <c r="D4494" s="100" t="str">
        <f t="shared" si="1"/>
        <v/>
      </c>
      <c r="E4494" s="100" t="str">
        <f t="shared" si="2"/>
        <v/>
      </c>
      <c r="F4494" s="100" t="str">
        <f t="shared" si="3"/>
        <v/>
      </c>
      <c r="G4494" s="151"/>
      <c r="H4494" s="160"/>
      <c r="I4494" s="157"/>
      <c r="J4494" s="158"/>
      <c r="L4494" s="94"/>
      <c r="M4494" s="159"/>
      <c r="N4494" s="94"/>
    </row>
    <row r="4495">
      <c r="A4495" s="107">
        <v>1628518.0</v>
      </c>
      <c r="B4495" s="108" t="s">
        <v>193</v>
      </c>
      <c r="C4495" s="108" t="s">
        <v>1085</v>
      </c>
      <c r="D4495" s="100" t="str">
        <f t="shared" si="1"/>
        <v/>
      </c>
      <c r="E4495" s="100" t="str">
        <f t="shared" si="2"/>
        <v/>
      </c>
      <c r="F4495" s="100" t="str">
        <f t="shared" si="3"/>
        <v/>
      </c>
      <c r="G4495" s="151"/>
      <c r="H4495" s="156"/>
      <c r="I4495" s="157"/>
      <c r="J4495" s="161"/>
      <c r="L4495" s="94"/>
      <c r="M4495" s="159"/>
      <c r="N4495" s="94"/>
    </row>
    <row r="4496">
      <c r="A4496" s="107">
        <v>1628537.0</v>
      </c>
      <c r="B4496" s="108" t="s">
        <v>191</v>
      </c>
      <c r="C4496" s="108" t="s">
        <v>1086</v>
      </c>
      <c r="D4496" s="100" t="str">
        <f t="shared" si="1"/>
        <v/>
      </c>
      <c r="E4496" s="100" t="str">
        <f t="shared" si="2"/>
        <v/>
      </c>
      <c r="F4496" s="100" t="str">
        <f t="shared" si="3"/>
        <v/>
      </c>
      <c r="G4496" s="151"/>
      <c r="H4496" s="160"/>
      <c r="I4496" s="157"/>
      <c r="J4496" s="158"/>
      <c r="L4496" s="94"/>
      <c r="M4496" s="159"/>
      <c r="N4496" s="94"/>
    </row>
    <row r="4497">
      <c r="A4497" s="107">
        <v>1628537.0</v>
      </c>
      <c r="B4497" s="108" t="s">
        <v>192</v>
      </c>
      <c r="C4497" s="108" t="s">
        <v>1086</v>
      </c>
      <c r="D4497" s="100" t="str">
        <f t="shared" si="1"/>
        <v/>
      </c>
      <c r="E4497" s="100" t="str">
        <f t="shared" si="2"/>
        <v/>
      </c>
      <c r="F4497" s="100" t="str">
        <f t="shared" si="3"/>
        <v/>
      </c>
      <c r="G4497" s="151"/>
      <c r="H4497" s="156"/>
      <c r="I4497" s="157"/>
      <c r="J4497" s="161"/>
      <c r="L4497" s="94"/>
      <c r="M4497" s="159"/>
      <c r="N4497" s="94"/>
    </row>
    <row r="4498">
      <c r="A4498" s="107">
        <v>1628537.0</v>
      </c>
      <c r="B4498" s="108" t="s">
        <v>215</v>
      </c>
      <c r="C4498" s="108" t="s">
        <v>1086</v>
      </c>
      <c r="D4498" s="100" t="str">
        <f t="shared" si="1"/>
        <v/>
      </c>
      <c r="E4498" s="100" t="str">
        <f t="shared" si="2"/>
        <v/>
      </c>
      <c r="F4498" s="100" t="str">
        <f t="shared" si="3"/>
        <v/>
      </c>
      <c r="G4498" s="151"/>
      <c r="H4498" s="160"/>
      <c r="I4498" s="157"/>
      <c r="J4498" s="158"/>
      <c r="L4498" s="94"/>
      <c r="M4498" s="159"/>
      <c r="N4498" s="94"/>
    </row>
    <row r="4499">
      <c r="A4499" s="107">
        <v>1628539.0</v>
      </c>
      <c r="B4499" s="108" t="s">
        <v>193</v>
      </c>
      <c r="C4499" s="108" t="s">
        <v>1087</v>
      </c>
      <c r="D4499" s="100" t="str">
        <f t="shared" si="1"/>
        <v/>
      </c>
      <c r="E4499" s="100" t="str">
        <f t="shared" si="2"/>
        <v/>
      </c>
      <c r="F4499" s="100" t="str">
        <f t="shared" si="3"/>
        <v/>
      </c>
      <c r="G4499" s="151"/>
      <c r="H4499" s="156"/>
      <c r="I4499" s="157"/>
      <c r="J4499" s="161"/>
      <c r="L4499" s="94"/>
      <c r="M4499" s="159"/>
      <c r="N4499" s="94"/>
    </row>
    <row r="4500">
      <c r="A4500" s="107">
        <v>1628539.0</v>
      </c>
      <c r="B4500" s="108" t="s">
        <v>243</v>
      </c>
      <c r="C4500" s="108" t="s">
        <v>1087</v>
      </c>
      <c r="D4500" s="100" t="str">
        <f t="shared" si="1"/>
        <v/>
      </c>
      <c r="E4500" s="100" t="str">
        <f t="shared" si="2"/>
        <v/>
      </c>
      <c r="F4500" s="100" t="str">
        <f t="shared" si="3"/>
        <v/>
      </c>
      <c r="G4500" s="151"/>
      <c r="H4500" s="160"/>
      <c r="I4500" s="157"/>
      <c r="J4500" s="158"/>
      <c r="L4500" s="94"/>
      <c r="M4500" s="159"/>
      <c r="N4500" s="94"/>
    </row>
    <row r="4501">
      <c r="A4501" s="107">
        <v>1628539.0</v>
      </c>
      <c r="B4501" s="108" t="s">
        <v>215</v>
      </c>
      <c r="C4501" s="108" t="s">
        <v>1087</v>
      </c>
      <c r="D4501" s="100" t="str">
        <f t="shared" si="1"/>
        <v/>
      </c>
      <c r="E4501" s="100" t="str">
        <f t="shared" si="2"/>
        <v/>
      </c>
      <c r="F4501" s="100" t="str">
        <f t="shared" si="3"/>
        <v/>
      </c>
      <c r="G4501" s="151"/>
      <c r="H4501" s="156"/>
      <c r="I4501" s="157"/>
      <c r="J4501" s="161"/>
      <c r="L4501" s="94"/>
      <c r="M4501" s="159"/>
      <c r="N4501" s="94"/>
    </row>
    <row r="4502">
      <c r="A4502" s="107">
        <v>1628571.0</v>
      </c>
      <c r="B4502" s="108" t="s">
        <v>191</v>
      </c>
      <c r="C4502" s="108" t="s">
        <v>1088</v>
      </c>
      <c r="D4502" s="100" t="str">
        <f t="shared" si="1"/>
        <v/>
      </c>
      <c r="E4502" s="100" t="str">
        <f t="shared" si="2"/>
        <v/>
      </c>
      <c r="F4502" s="100" t="str">
        <f t="shared" si="3"/>
        <v/>
      </c>
      <c r="G4502" s="151"/>
      <c r="H4502" s="160"/>
      <c r="I4502" s="157"/>
      <c r="J4502" s="158"/>
      <c r="L4502" s="94"/>
      <c r="M4502" s="159"/>
      <c r="N4502" s="94"/>
    </row>
    <row r="4503">
      <c r="A4503" s="107">
        <v>1628578.0</v>
      </c>
      <c r="B4503" s="108" t="s">
        <v>243</v>
      </c>
      <c r="C4503" s="108" t="s">
        <v>1089</v>
      </c>
      <c r="D4503" s="100" t="str">
        <f t="shared" si="1"/>
        <v/>
      </c>
      <c r="E4503" s="100" t="str">
        <f t="shared" si="2"/>
        <v/>
      </c>
      <c r="F4503" s="100" t="str">
        <f t="shared" si="3"/>
        <v/>
      </c>
      <c r="G4503" s="151"/>
      <c r="H4503" s="156"/>
      <c r="I4503" s="157"/>
      <c r="J4503" s="161"/>
      <c r="L4503" s="94"/>
      <c r="M4503" s="159"/>
      <c r="N4503" s="94"/>
    </row>
    <row r="4504">
      <c r="A4504" s="107">
        <v>1628591.0</v>
      </c>
      <c r="B4504" s="108" t="s">
        <v>215</v>
      </c>
      <c r="C4504" s="108" t="s">
        <v>1090</v>
      </c>
      <c r="D4504" s="100" t="str">
        <f t="shared" si="1"/>
        <v/>
      </c>
      <c r="E4504" s="100" t="str">
        <f t="shared" si="2"/>
        <v/>
      </c>
      <c r="F4504" s="100" t="str">
        <f t="shared" si="3"/>
        <v/>
      </c>
      <c r="G4504" s="151"/>
      <c r="H4504" s="160"/>
      <c r="I4504" s="157"/>
      <c r="J4504" s="158"/>
      <c r="L4504" s="94"/>
      <c r="M4504" s="159"/>
      <c r="N4504" s="94"/>
    </row>
    <row r="4505">
      <c r="A4505" s="107">
        <v>1628605.0</v>
      </c>
      <c r="B4505" s="108" t="s">
        <v>192</v>
      </c>
      <c r="C4505" s="108" t="s">
        <v>1091</v>
      </c>
      <c r="D4505" s="100" t="str">
        <f t="shared" si="1"/>
        <v/>
      </c>
      <c r="E4505" s="100" t="str">
        <f t="shared" si="2"/>
        <v/>
      </c>
      <c r="F4505" s="100" t="str">
        <f t="shared" si="3"/>
        <v/>
      </c>
      <c r="G4505" s="151"/>
      <c r="H4505" s="156"/>
      <c r="I4505" s="157"/>
      <c r="J4505" s="161"/>
      <c r="L4505" s="94"/>
      <c r="M4505" s="159"/>
      <c r="N4505" s="94"/>
    </row>
    <row r="4506">
      <c r="A4506" s="107">
        <v>1628605.0</v>
      </c>
      <c r="B4506" s="108" t="s">
        <v>193</v>
      </c>
      <c r="C4506" s="108" t="s">
        <v>1091</v>
      </c>
      <c r="D4506" s="100" t="str">
        <f t="shared" si="1"/>
        <v/>
      </c>
      <c r="E4506" s="100" t="str">
        <f t="shared" si="2"/>
        <v/>
      </c>
      <c r="F4506" s="100" t="str">
        <f t="shared" si="3"/>
        <v/>
      </c>
      <c r="G4506" s="151"/>
      <c r="H4506" s="160"/>
      <c r="I4506" s="157"/>
      <c r="J4506" s="158"/>
      <c r="L4506" s="94"/>
      <c r="M4506" s="159"/>
      <c r="N4506" s="94"/>
    </row>
    <row r="4507">
      <c r="A4507" s="107">
        <v>1628656.0</v>
      </c>
      <c r="B4507" s="108" t="s">
        <v>192</v>
      </c>
      <c r="C4507" s="108" t="s">
        <v>1092</v>
      </c>
      <c r="D4507" s="100" t="str">
        <f t="shared" si="1"/>
        <v/>
      </c>
      <c r="E4507" s="100" t="str">
        <f t="shared" si="2"/>
        <v/>
      </c>
      <c r="F4507" s="100" t="str">
        <f t="shared" si="3"/>
        <v/>
      </c>
      <c r="G4507" s="151"/>
      <c r="H4507" s="156"/>
      <c r="I4507" s="157"/>
      <c r="J4507" s="161"/>
      <c r="L4507" s="94"/>
      <c r="M4507" s="159"/>
      <c r="N4507" s="94"/>
    </row>
    <row r="4508">
      <c r="A4508" s="107">
        <v>1628681.0</v>
      </c>
      <c r="B4508" s="108" t="s">
        <v>191</v>
      </c>
      <c r="C4508" s="108" t="s">
        <v>1093</v>
      </c>
      <c r="D4508" s="100" t="str">
        <f t="shared" si="1"/>
        <v/>
      </c>
      <c r="E4508" s="100" t="str">
        <f t="shared" si="2"/>
        <v/>
      </c>
      <c r="F4508" s="100" t="str">
        <f t="shared" si="3"/>
        <v/>
      </c>
      <c r="G4508" s="151"/>
      <c r="H4508" s="160"/>
      <c r="I4508" s="157"/>
      <c r="J4508" s="158"/>
      <c r="L4508" s="94"/>
      <c r="M4508" s="159"/>
      <c r="N4508" s="94"/>
    </row>
    <row r="4509">
      <c r="A4509" s="107">
        <v>1628769.0</v>
      </c>
      <c r="B4509" s="108" t="s">
        <v>192</v>
      </c>
      <c r="C4509" s="108" t="s">
        <v>1094</v>
      </c>
      <c r="D4509" s="100" t="str">
        <f t="shared" si="1"/>
        <v/>
      </c>
      <c r="E4509" s="100" t="str">
        <f t="shared" si="2"/>
        <v/>
      </c>
      <c r="F4509" s="100" t="str">
        <f t="shared" si="3"/>
        <v/>
      </c>
      <c r="G4509" s="151"/>
      <c r="H4509" s="156"/>
      <c r="I4509" s="157"/>
      <c r="J4509" s="161"/>
      <c r="L4509" s="94"/>
      <c r="M4509" s="159"/>
      <c r="N4509" s="94"/>
    </row>
    <row r="4510">
      <c r="A4510" s="107">
        <v>1628778.0</v>
      </c>
      <c r="B4510" s="108" t="s">
        <v>193</v>
      </c>
      <c r="C4510" s="108" t="s">
        <v>1095</v>
      </c>
      <c r="D4510" s="100" t="str">
        <f t="shared" si="1"/>
        <v/>
      </c>
      <c r="E4510" s="100" t="str">
        <f t="shared" si="2"/>
        <v/>
      </c>
      <c r="F4510" s="100" t="str">
        <f t="shared" si="3"/>
        <v/>
      </c>
      <c r="G4510" s="151"/>
      <c r="H4510" s="160"/>
      <c r="I4510" s="157"/>
      <c r="J4510" s="158"/>
      <c r="L4510" s="94"/>
      <c r="M4510" s="159"/>
      <c r="N4510" s="94"/>
    </row>
    <row r="4511">
      <c r="A4511" s="107">
        <v>1628778.0</v>
      </c>
      <c r="B4511" s="108" t="s">
        <v>243</v>
      </c>
      <c r="C4511" s="108" t="s">
        <v>1095</v>
      </c>
      <c r="D4511" s="100" t="str">
        <f t="shared" si="1"/>
        <v/>
      </c>
      <c r="E4511" s="100" t="str">
        <f t="shared" si="2"/>
        <v/>
      </c>
      <c r="F4511" s="100" t="str">
        <f t="shared" si="3"/>
        <v/>
      </c>
      <c r="G4511" s="151"/>
      <c r="H4511" s="156"/>
      <c r="I4511" s="157"/>
      <c r="J4511" s="161"/>
      <c r="L4511" s="94"/>
      <c r="M4511" s="159"/>
      <c r="N4511" s="94"/>
    </row>
    <row r="4512">
      <c r="A4512" s="107">
        <v>1628778.0</v>
      </c>
      <c r="B4512" s="108" t="s">
        <v>215</v>
      </c>
      <c r="C4512" s="108" t="s">
        <v>1095</v>
      </c>
      <c r="D4512" s="100" t="str">
        <f t="shared" si="1"/>
        <v/>
      </c>
      <c r="E4512" s="100" t="str">
        <f t="shared" si="2"/>
        <v/>
      </c>
      <c r="F4512" s="100" t="str">
        <f t="shared" si="3"/>
        <v/>
      </c>
      <c r="G4512" s="151"/>
      <c r="H4512" s="160"/>
      <c r="I4512" s="157"/>
      <c r="J4512" s="158"/>
      <c r="L4512" s="94"/>
      <c r="M4512" s="159"/>
      <c r="N4512" s="94"/>
    </row>
    <row r="4513">
      <c r="A4513" s="107">
        <v>1628935.0</v>
      </c>
      <c r="B4513" s="108" t="s">
        <v>191</v>
      </c>
      <c r="C4513" s="108" t="s">
        <v>1096</v>
      </c>
      <c r="D4513" s="100" t="str">
        <f t="shared" si="1"/>
        <v/>
      </c>
      <c r="E4513" s="100" t="str">
        <f t="shared" si="2"/>
        <v/>
      </c>
      <c r="F4513" s="100" t="str">
        <f t="shared" si="3"/>
        <v/>
      </c>
      <c r="G4513" s="151"/>
      <c r="H4513" s="156"/>
      <c r="I4513" s="157"/>
      <c r="J4513" s="161"/>
      <c r="L4513" s="94"/>
      <c r="M4513" s="159"/>
      <c r="N4513" s="94"/>
    </row>
    <row r="4514">
      <c r="A4514" s="107">
        <v>1628959.0</v>
      </c>
      <c r="B4514" s="108" t="s">
        <v>192</v>
      </c>
      <c r="C4514" s="108" t="s">
        <v>1097</v>
      </c>
      <c r="D4514" s="100" t="str">
        <f t="shared" si="1"/>
        <v/>
      </c>
      <c r="E4514" s="100" t="str">
        <f t="shared" si="2"/>
        <v/>
      </c>
      <c r="F4514" s="100" t="str">
        <f t="shared" si="3"/>
        <v/>
      </c>
      <c r="G4514" s="151"/>
      <c r="H4514" s="160"/>
      <c r="I4514" s="157"/>
      <c r="J4514" s="158"/>
      <c r="L4514" s="94"/>
      <c r="M4514" s="159"/>
      <c r="N4514" s="94"/>
    </row>
    <row r="4515">
      <c r="A4515" s="107">
        <v>1628960.0</v>
      </c>
      <c r="B4515" s="108" t="s">
        <v>192</v>
      </c>
      <c r="C4515" s="108" t="s">
        <v>1098</v>
      </c>
      <c r="D4515" s="100" t="str">
        <f t="shared" si="1"/>
        <v/>
      </c>
      <c r="E4515" s="100" t="str">
        <f t="shared" si="2"/>
        <v/>
      </c>
      <c r="F4515" s="100" t="str">
        <f t="shared" si="3"/>
        <v/>
      </c>
      <c r="G4515" s="151"/>
      <c r="H4515" s="156"/>
      <c r="I4515" s="157"/>
      <c r="J4515" s="161"/>
      <c r="L4515" s="94"/>
      <c r="M4515" s="159"/>
      <c r="N4515" s="94"/>
    </row>
    <row r="4516">
      <c r="A4516" s="107">
        <v>1628960.0</v>
      </c>
      <c r="B4516" s="108" t="s">
        <v>193</v>
      </c>
      <c r="C4516" s="108" t="s">
        <v>1098</v>
      </c>
      <c r="D4516" s="100" t="str">
        <f t="shared" si="1"/>
        <v/>
      </c>
      <c r="E4516" s="100" t="str">
        <f t="shared" si="2"/>
        <v/>
      </c>
      <c r="F4516" s="100" t="str">
        <f t="shared" si="3"/>
        <v/>
      </c>
      <c r="G4516" s="151"/>
      <c r="H4516" s="160"/>
      <c r="I4516" s="157"/>
      <c r="J4516" s="158"/>
      <c r="L4516" s="94"/>
      <c r="M4516" s="159"/>
      <c r="N4516" s="94"/>
    </row>
    <row r="4517">
      <c r="A4517" s="107">
        <v>1628960.0</v>
      </c>
      <c r="B4517" s="108" t="s">
        <v>243</v>
      </c>
      <c r="C4517" s="108" t="s">
        <v>1098</v>
      </c>
      <c r="D4517" s="100" t="str">
        <f t="shared" si="1"/>
        <v/>
      </c>
      <c r="E4517" s="100" t="str">
        <f t="shared" si="2"/>
        <v/>
      </c>
      <c r="F4517" s="100" t="str">
        <f t="shared" si="3"/>
        <v/>
      </c>
      <c r="G4517" s="151"/>
      <c r="H4517" s="156"/>
      <c r="I4517" s="157"/>
      <c r="J4517" s="161"/>
      <c r="L4517" s="94"/>
      <c r="M4517" s="159"/>
      <c r="N4517" s="94"/>
    </row>
    <row r="4518">
      <c r="A4518" s="107">
        <v>1628960.0</v>
      </c>
      <c r="B4518" s="108" t="s">
        <v>215</v>
      </c>
      <c r="C4518" s="108" t="s">
        <v>1098</v>
      </c>
      <c r="D4518" s="100" t="str">
        <f t="shared" si="1"/>
        <v/>
      </c>
      <c r="E4518" s="100" t="str">
        <f t="shared" si="2"/>
        <v/>
      </c>
      <c r="F4518" s="100" t="str">
        <f t="shared" si="3"/>
        <v/>
      </c>
      <c r="G4518" s="151"/>
      <c r="H4518" s="160"/>
      <c r="I4518" s="157"/>
      <c r="J4518" s="158"/>
      <c r="L4518" s="94"/>
      <c r="M4518" s="159"/>
      <c r="N4518" s="94"/>
    </row>
    <row r="4519">
      <c r="A4519" s="107">
        <v>1628960.0</v>
      </c>
      <c r="B4519" s="108" t="s">
        <v>244</v>
      </c>
      <c r="C4519" s="108" t="s">
        <v>1098</v>
      </c>
      <c r="D4519" s="100" t="str">
        <f t="shared" si="1"/>
        <v/>
      </c>
      <c r="E4519" s="100" t="str">
        <f t="shared" si="2"/>
        <v/>
      </c>
      <c r="F4519" s="100" t="str">
        <f t="shared" si="3"/>
        <v/>
      </c>
      <c r="G4519" s="151"/>
      <c r="H4519" s="156"/>
      <c r="I4519" s="157"/>
      <c r="J4519" s="161"/>
      <c r="L4519" s="94"/>
      <c r="M4519" s="159"/>
      <c r="N4519" s="94"/>
    </row>
    <row r="4520">
      <c r="A4520" s="107">
        <v>1628960.0</v>
      </c>
      <c r="B4520" s="108" t="s">
        <v>245</v>
      </c>
      <c r="C4520" s="108" t="s">
        <v>1098</v>
      </c>
      <c r="D4520" s="100" t="str">
        <f t="shared" si="1"/>
        <v/>
      </c>
      <c r="E4520" s="100" t="str">
        <f t="shared" si="2"/>
        <v/>
      </c>
      <c r="F4520" s="100" t="str">
        <f t="shared" si="3"/>
        <v/>
      </c>
      <c r="G4520" s="151"/>
      <c r="H4520" s="160"/>
      <c r="I4520" s="157"/>
      <c r="J4520" s="158"/>
      <c r="L4520" s="94"/>
      <c r="M4520" s="159"/>
      <c r="N4520" s="94"/>
    </row>
    <row r="4521">
      <c r="A4521" s="107">
        <v>1628960.0</v>
      </c>
      <c r="B4521" s="108" t="s">
        <v>246</v>
      </c>
      <c r="C4521" s="108" t="s">
        <v>1098</v>
      </c>
      <c r="D4521" s="100" t="str">
        <f t="shared" si="1"/>
        <v/>
      </c>
      <c r="E4521" s="100" t="str">
        <f t="shared" si="2"/>
        <v/>
      </c>
      <c r="F4521" s="100" t="str">
        <f t="shared" si="3"/>
        <v/>
      </c>
      <c r="G4521" s="151"/>
      <c r="H4521" s="156"/>
      <c r="I4521" s="157"/>
      <c r="J4521" s="161"/>
      <c r="L4521" s="94"/>
      <c r="M4521" s="159"/>
      <c r="N4521" s="94"/>
    </row>
    <row r="4522">
      <c r="A4522" s="149">
        <v>1628960.0</v>
      </c>
      <c r="B4522" s="115" t="s">
        <v>247</v>
      </c>
      <c r="C4522" s="115" t="s">
        <v>1098</v>
      </c>
      <c r="D4522" s="100" t="str">
        <f t="shared" si="1"/>
        <v/>
      </c>
      <c r="E4522" s="100" t="str">
        <f t="shared" si="2"/>
        <v/>
      </c>
      <c r="F4522" s="100" t="str">
        <f t="shared" si="3"/>
        <v/>
      </c>
      <c r="G4522" s="151"/>
      <c r="H4522" s="160"/>
      <c r="I4522" s="157"/>
      <c r="J4522" s="158"/>
      <c r="L4522" s="94"/>
      <c r="M4522" s="159"/>
      <c r="N4522" s="94"/>
    </row>
    <row r="4523">
      <c r="A4523" s="21">
        <v>1628961.0</v>
      </c>
      <c r="B4523" s="164" t="s">
        <v>192</v>
      </c>
      <c r="C4523" s="164" t="s">
        <v>1099</v>
      </c>
      <c r="D4523" s="100" t="str">
        <f t="shared" si="1"/>
        <v/>
      </c>
      <c r="E4523" s="100" t="str">
        <f t="shared" si="2"/>
        <v/>
      </c>
      <c r="F4523" s="100" t="str">
        <f t="shared" si="3"/>
        <v/>
      </c>
      <c r="G4523" s="151"/>
      <c r="H4523" s="156"/>
      <c r="I4523" s="157"/>
      <c r="J4523" s="161"/>
      <c r="L4523" s="94"/>
      <c r="M4523" s="159"/>
      <c r="N4523" s="94"/>
    </row>
    <row r="4524">
      <c r="A4524" s="107">
        <v>1628961.0</v>
      </c>
      <c r="B4524" s="108" t="s">
        <v>193</v>
      </c>
      <c r="C4524" s="108" t="s">
        <v>1099</v>
      </c>
      <c r="D4524" s="100" t="str">
        <f t="shared" si="1"/>
        <v/>
      </c>
      <c r="E4524" s="100" t="str">
        <f t="shared" si="2"/>
        <v/>
      </c>
      <c r="F4524" s="100" t="str">
        <f t="shared" si="3"/>
        <v/>
      </c>
      <c r="G4524" s="151"/>
      <c r="H4524" s="160"/>
      <c r="I4524" s="157"/>
      <c r="J4524" s="158"/>
      <c r="L4524" s="94"/>
      <c r="M4524" s="159"/>
      <c r="N4524" s="94"/>
    </row>
    <row r="4525">
      <c r="A4525" s="107">
        <v>1628961.0</v>
      </c>
      <c r="B4525" s="108" t="s">
        <v>243</v>
      </c>
      <c r="C4525" s="108" t="s">
        <v>1099</v>
      </c>
      <c r="D4525" s="100" t="str">
        <f t="shared" si="1"/>
        <v/>
      </c>
      <c r="E4525" s="100" t="str">
        <f t="shared" si="2"/>
        <v/>
      </c>
      <c r="F4525" s="100" t="str">
        <f t="shared" si="3"/>
        <v/>
      </c>
      <c r="G4525" s="151"/>
      <c r="H4525" s="156"/>
      <c r="I4525" s="157"/>
      <c r="J4525" s="161"/>
      <c r="L4525" s="94"/>
      <c r="M4525" s="159"/>
      <c r="N4525" s="94"/>
    </row>
    <row r="4526">
      <c r="A4526" s="107">
        <v>1628962.0</v>
      </c>
      <c r="B4526" s="108" t="s">
        <v>243</v>
      </c>
      <c r="C4526" s="108" t="s">
        <v>1100</v>
      </c>
      <c r="D4526" s="100" t="str">
        <f t="shared" si="1"/>
        <v/>
      </c>
      <c r="E4526" s="100" t="str">
        <f t="shared" si="2"/>
        <v/>
      </c>
      <c r="F4526" s="100" t="str">
        <f t="shared" si="3"/>
        <v/>
      </c>
      <c r="G4526" s="151"/>
      <c r="H4526" s="160"/>
      <c r="I4526" s="157"/>
      <c r="J4526" s="158"/>
      <c r="L4526" s="94"/>
      <c r="M4526" s="159"/>
      <c r="N4526" s="94"/>
    </row>
    <row r="4527">
      <c r="A4527" s="107">
        <v>1628962.0</v>
      </c>
      <c r="B4527" s="108" t="s">
        <v>215</v>
      </c>
      <c r="C4527" s="108" t="s">
        <v>1100</v>
      </c>
      <c r="D4527" s="100" t="str">
        <f t="shared" si="1"/>
        <v/>
      </c>
      <c r="E4527" s="100" t="str">
        <f t="shared" si="2"/>
        <v/>
      </c>
      <c r="F4527" s="100" t="str">
        <f t="shared" si="3"/>
        <v/>
      </c>
      <c r="G4527" s="151"/>
      <c r="H4527" s="156"/>
      <c r="I4527" s="157"/>
      <c r="J4527" s="161"/>
      <c r="L4527" s="94"/>
      <c r="M4527" s="159"/>
      <c r="N4527" s="94"/>
    </row>
    <row r="4528">
      <c r="A4528" s="107">
        <v>1628962.0</v>
      </c>
      <c r="B4528" s="108" t="s">
        <v>244</v>
      </c>
      <c r="C4528" s="108" t="s">
        <v>1100</v>
      </c>
      <c r="D4528" s="100" t="str">
        <f t="shared" si="1"/>
        <v/>
      </c>
      <c r="E4528" s="100" t="str">
        <f t="shared" si="2"/>
        <v/>
      </c>
      <c r="F4528" s="100" t="str">
        <f t="shared" si="3"/>
        <v/>
      </c>
      <c r="G4528" s="151"/>
      <c r="H4528" s="160"/>
      <c r="I4528" s="157"/>
      <c r="J4528" s="158"/>
      <c r="L4528" s="94"/>
      <c r="M4528" s="159"/>
      <c r="N4528" s="94"/>
    </row>
    <row r="4529">
      <c r="A4529" s="107">
        <v>1628962.0</v>
      </c>
      <c r="B4529" s="108" t="s">
        <v>245</v>
      </c>
      <c r="C4529" s="108" t="s">
        <v>1100</v>
      </c>
      <c r="D4529" s="100" t="str">
        <f t="shared" si="1"/>
        <v/>
      </c>
      <c r="E4529" s="100" t="str">
        <f t="shared" si="2"/>
        <v/>
      </c>
      <c r="F4529" s="100" t="str">
        <f t="shared" si="3"/>
        <v/>
      </c>
      <c r="G4529" s="151"/>
      <c r="H4529" s="156"/>
      <c r="I4529" s="157"/>
      <c r="J4529" s="161"/>
      <c r="L4529" s="94"/>
      <c r="M4529" s="159"/>
      <c r="N4529" s="94"/>
    </row>
    <row r="4530">
      <c r="A4530" s="107">
        <v>1628963.0</v>
      </c>
      <c r="B4530" s="108" t="s">
        <v>192</v>
      </c>
      <c r="C4530" s="115" t="s">
        <v>1101</v>
      </c>
      <c r="D4530" s="100" t="str">
        <f t="shared" si="1"/>
        <v/>
      </c>
      <c r="E4530" s="100" t="str">
        <f t="shared" si="2"/>
        <v/>
      </c>
      <c r="F4530" s="100" t="str">
        <f t="shared" si="3"/>
        <v/>
      </c>
      <c r="G4530" s="151"/>
      <c r="H4530" s="160"/>
      <c r="I4530" s="157"/>
      <c r="J4530" s="158"/>
      <c r="L4530" s="94"/>
      <c r="M4530" s="159"/>
      <c r="N4530" s="94"/>
    </row>
    <row r="4531">
      <c r="A4531" s="107">
        <v>1628963.0</v>
      </c>
      <c r="B4531" s="108" t="s">
        <v>193</v>
      </c>
      <c r="C4531" s="115" t="s">
        <v>1101</v>
      </c>
      <c r="D4531" s="100" t="str">
        <f t="shared" si="1"/>
        <v/>
      </c>
      <c r="E4531" s="100" t="str">
        <f t="shared" si="2"/>
        <v/>
      </c>
      <c r="F4531" s="100" t="str">
        <f t="shared" si="3"/>
        <v/>
      </c>
      <c r="G4531" s="151"/>
      <c r="H4531" s="156"/>
      <c r="I4531" s="157"/>
      <c r="J4531" s="161"/>
      <c r="L4531" s="94"/>
      <c r="M4531" s="159"/>
      <c r="N4531" s="94"/>
    </row>
    <row r="4532">
      <c r="A4532" s="107">
        <v>1628963.0</v>
      </c>
      <c r="B4532" s="108" t="s">
        <v>243</v>
      </c>
      <c r="C4532" s="115" t="s">
        <v>1101</v>
      </c>
      <c r="D4532" s="100" t="str">
        <f t="shared" si="1"/>
        <v/>
      </c>
      <c r="E4532" s="100" t="str">
        <f t="shared" si="2"/>
        <v/>
      </c>
      <c r="F4532" s="100" t="str">
        <f t="shared" si="3"/>
        <v/>
      </c>
      <c r="G4532" s="151"/>
      <c r="H4532" s="160"/>
      <c r="I4532" s="157"/>
      <c r="J4532" s="158"/>
      <c r="L4532" s="94"/>
      <c r="M4532" s="159"/>
      <c r="N4532" s="94"/>
    </row>
    <row r="4533">
      <c r="A4533" s="107">
        <v>1628963.0</v>
      </c>
      <c r="B4533" s="108" t="s">
        <v>215</v>
      </c>
      <c r="C4533" s="115" t="s">
        <v>1101</v>
      </c>
      <c r="D4533" s="100" t="str">
        <f t="shared" si="1"/>
        <v/>
      </c>
      <c r="E4533" s="100" t="str">
        <f t="shared" si="2"/>
        <v/>
      </c>
      <c r="F4533" s="100" t="str">
        <f t="shared" si="3"/>
        <v/>
      </c>
      <c r="G4533" s="151"/>
      <c r="H4533" s="156"/>
      <c r="I4533" s="157"/>
      <c r="J4533" s="161"/>
      <c r="L4533" s="94"/>
      <c r="M4533" s="159"/>
      <c r="N4533" s="94"/>
    </row>
    <row r="4534">
      <c r="A4534" s="107">
        <v>1628963.0</v>
      </c>
      <c r="B4534" s="108" t="s">
        <v>244</v>
      </c>
      <c r="C4534" s="115" t="s">
        <v>1101</v>
      </c>
      <c r="D4534" s="100" t="str">
        <f t="shared" si="1"/>
        <v/>
      </c>
      <c r="E4534" s="100" t="str">
        <f t="shared" si="2"/>
        <v/>
      </c>
      <c r="F4534" s="100" t="str">
        <f t="shared" si="3"/>
        <v/>
      </c>
      <c r="G4534" s="151"/>
      <c r="H4534" s="160"/>
      <c r="I4534" s="157"/>
      <c r="J4534" s="158"/>
      <c r="L4534" s="94"/>
      <c r="M4534" s="159"/>
      <c r="N4534" s="94"/>
    </row>
    <row r="4535">
      <c r="A4535" s="107">
        <v>1628963.0</v>
      </c>
      <c r="B4535" s="108" t="s">
        <v>245</v>
      </c>
      <c r="C4535" s="115" t="s">
        <v>1101</v>
      </c>
      <c r="D4535" s="100" t="str">
        <f t="shared" si="1"/>
        <v/>
      </c>
      <c r="E4535" s="100" t="str">
        <f t="shared" si="2"/>
        <v/>
      </c>
      <c r="F4535" s="100" t="str">
        <f t="shared" si="3"/>
        <v/>
      </c>
      <c r="G4535" s="151"/>
      <c r="H4535" s="156"/>
      <c r="I4535" s="157"/>
      <c r="J4535" s="161"/>
      <c r="L4535" s="94"/>
      <c r="M4535" s="159"/>
      <c r="N4535" s="94"/>
    </row>
    <row r="4536">
      <c r="A4536" s="107">
        <v>1628963.0</v>
      </c>
      <c r="B4536" s="108" t="s">
        <v>246</v>
      </c>
      <c r="C4536" s="115" t="s">
        <v>1101</v>
      </c>
      <c r="D4536" s="100" t="str">
        <f t="shared" si="1"/>
        <v/>
      </c>
      <c r="E4536" s="100" t="str">
        <f t="shared" si="2"/>
        <v/>
      </c>
      <c r="F4536" s="100" t="str">
        <f t="shared" si="3"/>
        <v/>
      </c>
      <c r="G4536" s="151"/>
      <c r="H4536" s="160"/>
      <c r="I4536" s="157"/>
      <c r="J4536" s="158"/>
      <c r="L4536" s="94"/>
      <c r="M4536" s="159"/>
      <c r="N4536" s="94"/>
    </row>
    <row r="4537">
      <c r="A4537" s="149">
        <v>1628963.0</v>
      </c>
      <c r="B4537" s="115" t="s">
        <v>247</v>
      </c>
      <c r="C4537" s="115" t="s">
        <v>1101</v>
      </c>
      <c r="D4537" s="100" t="str">
        <f t="shared" si="1"/>
        <v/>
      </c>
      <c r="E4537" s="100" t="str">
        <f t="shared" si="2"/>
        <v/>
      </c>
      <c r="F4537" s="100" t="str">
        <f t="shared" si="3"/>
        <v/>
      </c>
      <c r="G4537" s="151"/>
      <c r="H4537" s="156"/>
      <c r="I4537" s="157"/>
      <c r="J4537" s="161"/>
      <c r="L4537" s="94"/>
      <c r="M4537" s="159"/>
      <c r="N4537" s="94"/>
    </row>
    <row r="4538">
      <c r="A4538" s="21">
        <v>1628964.0</v>
      </c>
      <c r="B4538" s="164" t="s">
        <v>192</v>
      </c>
      <c r="C4538" s="164" t="s">
        <v>1102</v>
      </c>
      <c r="D4538" s="100" t="str">
        <f t="shared" si="1"/>
        <v/>
      </c>
      <c r="E4538" s="100" t="str">
        <f t="shared" si="2"/>
        <v/>
      </c>
      <c r="F4538" s="100" t="str">
        <f t="shared" si="3"/>
        <v/>
      </c>
      <c r="G4538" s="151"/>
      <c r="H4538" s="160"/>
      <c r="I4538" s="157"/>
      <c r="J4538" s="158"/>
      <c r="L4538" s="94"/>
      <c r="M4538" s="159"/>
      <c r="N4538" s="94"/>
    </row>
    <row r="4539">
      <c r="A4539" s="107">
        <v>1628964.0</v>
      </c>
      <c r="B4539" s="108" t="s">
        <v>193</v>
      </c>
      <c r="C4539" s="108" t="s">
        <v>1102</v>
      </c>
      <c r="D4539" s="100" t="str">
        <f t="shared" si="1"/>
        <v/>
      </c>
      <c r="E4539" s="100" t="str">
        <f t="shared" si="2"/>
        <v/>
      </c>
      <c r="F4539" s="100" t="str">
        <f t="shared" si="3"/>
        <v/>
      </c>
      <c r="G4539" s="151"/>
      <c r="H4539" s="156"/>
      <c r="I4539" s="157"/>
      <c r="J4539" s="161"/>
      <c r="L4539" s="94"/>
      <c r="M4539" s="159"/>
      <c r="N4539" s="94"/>
    </row>
    <row r="4540">
      <c r="A4540" s="107">
        <v>1628964.0</v>
      </c>
      <c r="B4540" s="108" t="s">
        <v>243</v>
      </c>
      <c r="C4540" s="108" t="s">
        <v>1102</v>
      </c>
      <c r="D4540" s="100" t="str">
        <f t="shared" si="1"/>
        <v/>
      </c>
      <c r="E4540" s="100" t="str">
        <f t="shared" si="2"/>
        <v/>
      </c>
      <c r="F4540" s="100" t="str">
        <f t="shared" si="3"/>
        <v/>
      </c>
      <c r="G4540" s="151"/>
      <c r="H4540" s="160"/>
      <c r="I4540" s="157"/>
      <c r="J4540" s="158"/>
      <c r="L4540" s="94"/>
      <c r="M4540" s="159"/>
      <c r="N4540" s="94"/>
    </row>
    <row r="4541">
      <c r="A4541" s="107">
        <v>1628964.0</v>
      </c>
      <c r="B4541" s="108" t="s">
        <v>215</v>
      </c>
      <c r="C4541" s="108" t="s">
        <v>1102</v>
      </c>
      <c r="D4541" s="100" t="str">
        <f t="shared" si="1"/>
        <v/>
      </c>
      <c r="E4541" s="100" t="str">
        <f t="shared" si="2"/>
        <v/>
      </c>
      <c r="F4541" s="100" t="str">
        <f t="shared" si="3"/>
        <v/>
      </c>
      <c r="G4541" s="151"/>
      <c r="H4541" s="156"/>
      <c r="I4541" s="157"/>
      <c r="J4541" s="161"/>
      <c r="L4541" s="94"/>
      <c r="M4541" s="159"/>
      <c r="N4541" s="94"/>
    </row>
    <row r="4542">
      <c r="A4542" s="107">
        <v>1628964.0</v>
      </c>
      <c r="B4542" s="108" t="s">
        <v>244</v>
      </c>
      <c r="C4542" s="108" t="s">
        <v>1102</v>
      </c>
      <c r="D4542" s="100" t="str">
        <f t="shared" si="1"/>
        <v/>
      </c>
      <c r="E4542" s="100" t="str">
        <f t="shared" si="2"/>
        <v/>
      </c>
      <c r="F4542" s="100" t="str">
        <f t="shared" si="3"/>
        <v/>
      </c>
      <c r="G4542" s="151"/>
      <c r="H4542" s="160"/>
      <c r="I4542" s="157"/>
      <c r="J4542" s="158"/>
      <c r="L4542" s="94"/>
      <c r="M4542" s="159"/>
      <c r="N4542" s="94"/>
    </row>
    <row r="4543">
      <c r="A4543" s="107">
        <v>1628964.0</v>
      </c>
      <c r="B4543" s="108" t="s">
        <v>245</v>
      </c>
      <c r="C4543" s="108" t="s">
        <v>1102</v>
      </c>
      <c r="D4543" s="100" t="str">
        <f t="shared" si="1"/>
        <v/>
      </c>
      <c r="E4543" s="100" t="str">
        <f t="shared" si="2"/>
        <v/>
      </c>
      <c r="F4543" s="100" t="str">
        <f t="shared" si="3"/>
        <v/>
      </c>
      <c r="G4543" s="151"/>
      <c r="H4543" s="156"/>
      <c r="I4543" s="157"/>
      <c r="J4543" s="161"/>
      <c r="L4543" s="94"/>
      <c r="M4543" s="159"/>
      <c r="N4543" s="94"/>
    </row>
    <row r="4544">
      <c r="A4544" s="107">
        <v>1628964.0</v>
      </c>
      <c r="B4544" s="108" t="s">
        <v>246</v>
      </c>
      <c r="C4544" s="108" t="s">
        <v>1102</v>
      </c>
      <c r="D4544" s="100" t="str">
        <f t="shared" si="1"/>
        <v/>
      </c>
      <c r="E4544" s="100" t="str">
        <f t="shared" si="2"/>
        <v/>
      </c>
      <c r="F4544" s="100" t="str">
        <f t="shared" si="3"/>
        <v/>
      </c>
      <c r="G4544" s="151"/>
      <c r="H4544" s="160"/>
      <c r="I4544" s="157"/>
      <c r="J4544" s="158"/>
      <c r="L4544" s="94"/>
      <c r="M4544" s="159"/>
      <c r="N4544" s="94"/>
    </row>
    <row r="4545">
      <c r="A4545" s="107">
        <v>1628966.0</v>
      </c>
      <c r="B4545" s="108" t="s">
        <v>192</v>
      </c>
      <c r="C4545" s="108" t="s">
        <v>1103</v>
      </c>
      <c r="D4545" s="100" t="str">
        <f t="shared" si="1"/>
        <v/>
      </c>
      <c r="E4545" s="100" t="str">
        <f t="shared" si="2"/>
        <v/>
      </c>
      <c r="F4545" s="100" t="str">
        <f t="shared" si="3"/>
        <v/>
      </c>
      <c r="G4545" s="151"/>
      <c r="H4545" s="156"/>
      <c r="I4545" s="157"/>
      <c r="J4545" s="161"/>
      <c r="L4545" s="94"/>
      <c r="M4545" s="159"/>
      <c r="N4545" s="94"/>
    </row>
    <row r="4546">
      <c r="A4546" s="107">
        <v>1628966.0</v>
      </c>
      <c r="B4546" s="108" t="s">
        <v>193</v>
      </c>
      <c r="C4546" s="108" t="s">
        <v>1103</v>
      </c>
      <c r="D4546" s="100" t="str">
        <f t="shared" si="1"/>
        <v/>
      </c>
      <c r="E4546" s="100" t="str">
        <f t="shared" si="2"/>
        <v/>
      </c>
      <c r="F4546" s="100" t="str">
        <f t="shared" si="3"/>
        <v/>
      </c>
      <c r="G4546" s="151"/>
      <c r="H4546" s="160"/>
      <c r="I4546" s="157"/>
      <c r="J4546" s="158"/>
      <c r="L4546" s="94"/>
      <c r="M4546" s="159"/>
      <c r="N4546" s="94"/>
    </row>
    <row r="4547">
      <c r="A4547" s="107">
        <v>1628966.0</v>
      </c>
      <c r="B4547" s="108" t="s">
        <v>243</v>
      </c>
      <c r="C4547" s="108" t="s">
        <v>1103</v>
      </c>
      <c r="D4547" s="100" t="str">
        <f t="shared" si="1"/>
        <v/>
      </c>
      <c r="E4547" s="100" t="str">
        <f t="shared" si="2"/>
        <v/>
      </c>
      <c r="F4547" s="100" t="str">
        <f t="shared" si="3"/>
        <v/>
      </c>
      <c r="G4547" s="151"/>
      <c r="H4547" s="156"/>
      <c r="I4547" s="157"/>
      <c r="J4547" s="161"/>
      <c r="L4547" s="94"/>
      <c r="M4547" s="159"/>
      <c r="N4547" s="94"/>
    </row>
    <row r="4548">
      <c r="A4548" s="107">
        <v>1628966.0</v>
      </c>
      <c r="B4548" s="108" t="s">
        <v>215</v>
      </c>
      <c r="C4548" s="108" t="s">
        <v>1103</v>
      </c>
      <c r="D4548" s="100" t="str">
        <f t="shared" si="1"/>
        <v/>
      </c>
      <c r="E4548" s="100" t="str">
        <f t="shared" si="2"/>
        <v/>
      </c>
      <c r="F4548" s="100" t="str">
        <f t="shared" si="3"/>
        <v/>
      </c>
      <c r="G4548" s="151"/>
      <c r="H4548" s="160"/>
      <c r="I4548" s="157"/>
      <c r="J4548" s="158"/>
      <c r="L4548" s="94"/>
      <c r="M4548" s="159"/>
      <c r="N4548" s="94"/>
    </row>
    <row r="4549">
      <c r="A4549" s="107">
        <v>1628966.0</v>
      </c>
      <c r="B4549" s="108" t="s">
        <v>244</v>
      </c>
      <c r="C4549" s="108" t="s">
        <v>1103</v>
      </c>
      <c r="D4549" s="100" t="str">
        <f t="shared" si="1"/>
        <v/>
      </c>
      <c r="E4549" s="100" t="str">
        <f t="shared" si="2"/>
        <v/>
      </c>
      <c r="F4549" s="100" t="str">
        <f t="shared" si="3"/>
        <v/>
      </c>
      <c r="G4549" s="151"/>
      <c r="H4549" s="156"/>
      <c r="I4549" s="157"/>
      <c r="J4549" s="161"/>
      <c r="L4549" s="94"/>
      <c r="M4549" s="159"/>
      <c r="N4549" s="94"/>
    </row>
    <row r="4550">
      <c r="A4550" s="107">
        <v>1628966.0</v>
      </c>
      <c r="B4550" s="108" t="s">
        <v>245</v>
      </c>
      <c r="C4550" s="108" t="s">
        <v>1103</v>
      </c>
      <c r="D4550" s="100" t="str">
        <f t="shared" si="1"/>
        <v/>
      </c>
      <c r="E4550" s="100" t="str">
        <f t="shared" si="2"/>
        <v/>
      </c>
      <c r="F4550" s="100" t="str">
        <f t="shared" si="3"/>
        <v/>
      </c>
      <c r="G4550" s="151"/>
      <c r="H4550" s="160"/>
      <c r="I4550" s="157"/>
      <c r="J4550" s="158"/>
      <c r="L4550" s="94"/>
      <c r="M4550" s="159"/>
      <c r="N4550" s="94"/>
    </row>
    <row r="4551">
      <c r="A4551" s="107">
        <v>1628968.0</v>
      </c>
      <c r="B4551" s="108" t="s">
        <v>193</v>
      </c>
      <c r="C4551" s="108" t="s">
        <v>1104</v>
      </c>
      <c r="D4551" s="100" t="str">
        <f t="shared" si="1"/>
        <v/>
      </c>
      <c r="E4551" s="100" t="str">
        <f t="shared" si="2"/>
        <v/>
      </c>
      <c r="F4551" s="100" t="str">
        <f t="shared" si="3"/>
        <v/>
      </c>
      <c r="G4551" s="151"/>
      <c r="H4551" s="156"/>
      <c r="I4551" s="157"/>
      <c r="J4551" s="161"/>
      <c r="L4551" s="94"/>
      <c r="M4551" s="159"/>
      <c r="N4551" s="94"/>
    </row>
    <row r="4552">
      <c r="A4552" s="107">
        <v>1628968.0</v>
      </c>
      <c r="B4552" s="108" t="s">
        <v>243</v>
      </c>
      <c r="C4552" s="108" t="s">
        <v>1104</v>
      </c>
      <c r="D4552" s="100" t="str">
        <f t="shared" si="1"/>
        <v/>
      </c>
      <c r="E4552" s="100" t="str">
        <f t="shared" si="2"/>
        <v/>
      </c>
      <c r="F4552" s="100" t="str">
        <f t="shared" si="3"/>
        <v/>
      </c>
      <c r="G4552" s="151"/>
      <c r="H4552" s="160"/>
      <c r="I4552" s="157"/>
      <c r="J4552" s="158"/>
      <c r="L4552" s="94"/>
      <c r="M4552" s="159"/>
      <c r="N4552" s="94"/>
    </row>
    <row r="4553">
      <c r="A4553" s="107">
        <v>1628969.0</v>
      </c>
      <c r="B4553" s="108" t="s">
        <v>192</v>
      </c>
      <c r="C4553" s="108" t="s">
        <v>1105</v>
      </c>
      <c r="D4553" s="100" t="str">
        <f t="shared" si="1"/>
        <v/>
      </c>
      <c r="E4553" s="100" t="str">
        <f t="shared" si="2"/>
        <v/>
      </c>
      <c r="F4553" s="100" t="str">
        <f t="shared" si="3"/>
        <v/>
      </c>
      <c r="G4553" s="151"/>
      <c r="H4553" s="156"/>
      <c r="I4553" s="157"/>
      <c r="J4553" s="161"/>
      <c r="L4553" s="94"/>
      <c r="M4553" s="159"/>
      <c r="N4553" s="94"/>
    </row>
    <row r="4554">
      <c r="A4554" s="107">
        <v>1628969.0</v>
      </c>
      <c r="B4554" s="108" t="s">
        <v>193</v>
      </c>
      <c r="C4554" s="108" t="s">
        <v>1105</v>
      </c>
      <c r="D4554" s="100" t="str">
        <f t="shared" si="1"/>
        <v/>
      </c>
      <c r="E4554" s="100" t="str">
        <f t="shared" si="2"/>
        <v/>
      </c>
      <c r="F4554" s="100" t="str">
        <f t="shared" si="3"/>
        <v/>
      </c>
      <c r="G4554" s="151"/>
      <c r="H4554" s="160"/>
      <c r="I4554" s="157"/>
      <c r="J4554" s="158"/>
      <c r="L4554" s="94"/>
      <c r="M4554" s="159"/>
      <c r="N4554" s="94"/>
    </row>
    <row r="4555">
      <c r="A4555" s="107">
        <v>1628969.0</v>
      </c>
      <c r="B4555" s="108" t="s">
        <v>243</v>
      </c>
      <c r="C4555" s="108" t="s">
        <v>1105</v>
      </c>
      <c r="D4555" s="100" t="str">
        <f t="shared" si="1"/>
        <v/>
      </c>
      <c r="E4555" s="100" t="str">
        <f t="shared" si="2"/>
        <v/>
      </c>
      <c r="F4555" s="100" t="str">
        <f t="shared" si="3"/>
        <v/>
      </c>
      <c r="G4555" s="151"/>
      <c r="H4555" s="156"/>
      <c r="I4555" s="157"/>
      <c r="J4555" s="161"/>
      <c r="L4555" s="94"/>
      <c r="M4555" s="159"/>
      <c r="N4555" s="94"/>
    </row>
    <row r="4556">
      <c r="A4556" s="107">
        <v>1628969.0</v>
      </c>
      <c r="B4556" s="108" t="s">
        <v>215</v>
      </c>
      <c r="C4556" s="108" t="s">
        <v>1105</v>
      </c>
      <c r="D4556" s="100" t="str">
        <f t="shared" si="1"/>
        <v/>
      </c>
      <c r="E4556" s="100" t="str">
        <f t="shared" si="2"/>
        <v/>
      </c>
      <c r="F4556" s="100" t="str">
        <f t="shared" si="3"/>
        <v/>
      </c>
      <c r="G4556" s="151"/>
      <c r="H4556" s="160"/>
      <c r="I4556" s="157"/>
      <c r="J4556" s="158"/>
      <c r="L4556" s="94"/>
      <c r="M4556" s="159"/>
      <c r="N4556" s="94"/>
    </row>
    <row r="4557">
      <c r="A4557" s="107">
        <v>1628969.0</v>
      </c>
      <c r="B4557" s="108" t="s">
        <v>244</v>
      </c>
      <c r="C4557" s="108" t="s">
        <v>1105</v>
      </c>
      <c r="D4557" s="100" t="str">
        <f t="shared" si="1"/>
        <v/>
      </c>
      <c r="E4557" s="100" t="str">
        <f t="shared" si="2"/>
        <v/>
      </c>
      <c r="F4557" s="100" t="str">
        <f t="shared" si="3"/>
        <v/>
      </c>
      <c r="G4557" s="151"/>
      <c r="H4557" s="156"/>
      <c r="I4557" s="157"/>
      <c r="J4557" s="161"/>
      <c r="L4557" s="94"/>
      <c r="M4557" s="159"/>
      <c r="N4557" s="94"/>
    </row>
    <row r="4558">
      <c r="A4558" s="107">
        <v>1628969.0</v>
      </c>
      <c r="B4558" s="108" t="s">
        <v>245</v>
      </c>
      <c r="C4558" s="108" t="s">
        <v>1105</v>
      </c>
      <c r="D4558" s="100" t="str">
        <f t="shared" si="1"/>
        <v/>
      </c>
      <c r="E4558" s="100" t="str">
        <f t="shared" si="2"/>
        <v/>
      </c>
      <c r="F4558" s="100" t="str">
        <f t="shared" si="3"/>
        <v/>
      </c>
      <c r="G4558" s="151"/>
      <c r="H4558" s="160"/>
      <c r="I4558" s="157"/>
      <c r="J4558" s="158"/>
      <c r="L4558" s="94"/>
      <c r="M4558" s="159"/>
      <c r="N4558" s="94"/>
    </row>
    <row r="4559">
      <c r="A4559" s="107">
        <v>1628969.0</v>
      </c>
      <c r="B4559" s="108" t="s">
        <v>246</v>
      </c>
      <c r="C4559" s="108" t="s">
        <v>1105</v>
      </c>
      <c r="D4559" s="100" t="str">
        <f t="shared" si="1"/>
        <v/>
      </c>
      <c r="E4559" s="100" t="str">
        <f t="shared" si="2"/>
        <v/>
      </c>
      <c r="F4559" s="100" t="str">
        <f t="shared" si="3"/>
        <v/>
      </c>
      <c r="G4559" s="151"/>
      <c r="H4559" s="156"/>
      <c r="I4559" s="157"/>
      <c r="J4559" s="161"/>
      <c r="L4559" s="94"/>
      <c r="M4559" s="159"/>
      <c r="N4559" s="94"/>
    </row>
    <row r="4560">
      <c r="A4560" s="149">
        <v>1628969.0</v>
      </c>
      <c r="B4560" s="115" t="s">
        <v>247</v>
      </c>
      <c r="C4560" s="115" t="s">
        <v>1105</v>
      </c>
      <c r="D4560" s="100" t="str">
        <f t="shared" si="1"/>
        <v/>
      </c>
      <c r="E4560" s="100" t="str">
        <f t="shared" si="2"/>
        <v/>
      </c>
      <c r="F4560" s="100" t="str">
        <f t="shared" si="3"/>
        <v/>
      </c>
      <c r="G4560" s="151"/>
      <c r="H4560" s="160"/>
      <c r="I4560" s="157"/>
      <c r="J4560" s="158"/>
      <c r="L4560" s="94"/>
      <c r="M4560" s="159"/>
      <c r="N4560" s="94"/>
    </row>
    <row r="4561">
      <c r="A4561" s="21">
        <v>1628970.0</v>
      </c>
      <c r="B4561" s="164" t="s">
        <v>192</v>
      </c>
      <c r="C4561" s="164" t="s">
        <v>1106</v>
      </c>
      <c r="D4561" s="100" t="str">
        <f t="shared" si="1"/>
        <v/>
      </c>
      <c r="E4561" s="100" t="str">
        <f t="shared" si="2"/>
        <v/>
      </c>
      <c r="F4561" s="100" t="str">
        <f t="shared" si="3"/>
        <v/>
      </c>
      <c r="G4561" s="151"/>
      <c r="H4561" s="156"/>
      <c r="I4561" s="157"/>
      <c r="J4561" s="161"/>
      <c r="L4561" s="94"/>
      <c r="M4561" s="159"/>
      <c r="N4561" s="94"/>
    </row>
    <row r="4562">
      <c r="A4562" s="107">
        <v>1628970.0</v>
      </c>
      <c r="B4562" s="108" t="s">
        <v>193</v>
      </c>
      <c r="C4562" s="108" t="s">
        <v>1106</v>
      </c>
      <c r="D4562" s="100" t="str">
        <f t="shared" si="1"/>
        <v/>
      </c>
      <c r="E4562" s="100" t="str">
        <f t="shared" si="2"/>
        <v/>
      </c>
      <c r="F4562" s="100" t="str">
        <f t="shared" si="3"/>
        <v/>
      </c>
      <c r="G4562" s="151"/>
      <c r="H4562" s="160"/>
      <c r="I4562" s="157"/>
      <c r="J4562" s="158"/>
      <c r="L4562" s="94"/>
      <c r="M4562" s="159"/>
      <c r="N4562" s="94"/>
    </row>
    <row r="4563">
      <c r="A4563" s="107">
        <v>1628970.0</v>
      </c>
      <c r="B4563" s="108" t="s">
        <v>243</v>
      </c>
      <c r="C4563" s="108" t="s">
        <v>1106</v>
      </c>
      <c r="D4563" s="100" t="str">
        <f t="shared" si="1"/>
        <v/>
      </c>
      <c r="E4563" s="100" t="str">
        <f t="shared" si="2"/>
        <v/>
      </c>
      <c r="F4563" s="100" t="str">
        <f t="shared" si="3"/>
        <v/>
      </c>
      <c r="G4563" s="151"/>
      <c r="H4563" s="156"/>
      <c r="I4563" s="157"/>
      <c r="J4563" s="161"/>
      <c r="L4563" s="94"/>
      <c r="M4563" s="159"/>
      <c r="N4563" s="94"/>
    </row>
    <row r="4564">
      <c r="A4564" s="107">
        <v>1628970.0</v>
      </c>
      <c r="B4564" s="108" t="s">
        <v>215</v>
      </c>
      <c r="C4564" s="108" t="s">
        <v>1106</v>
      </c>
      <c r="D4564" s="100" t="str">
        <f t="shared" si="1"/>
        <v/>
      </c>
      <c r="E4564" s="100" t="str">
        <f t="shared" si="2"/>
        <v/>
      </c>
      <c r="F4564" s="100" t="str">
        <f t="shared" si="3"/>
        <v/>
      </c>
      <c r="G4564" s="151"/>
      <c r="H4564" s="160"/>
      <c r="I4564" s="157"/>
      <c r="J4564" s="158"/>
      <c r="L4564" s="94"/>
      <c r="M4564" s="159"/>
      <c r="N4564" s="94"/>
    </row>
    <row r="4565">
      <c r="A4565" s="107">
        <v>1628970.0</v>
      </c>
      <c r="B4565" s="108" t="s">
        <v>245</v>
      </c>
      <c r="C4565" s="108" t="s">
        <v>1106</v>
      </c>
      <c r="D4565" s="100" t="str">
        <f t="shared" si="1"/>
        <v/>
      </c>
      <c r="E4565" s="100" t="str">
        <f t="shared" si="2"/>
        <v/>
      </c>
      <c r="F4565" s="100" t="str">
        <f t="shared" si="3"/>
        <v/>
      </c>
      <c r="G4565" s="151"/>
      <c r="H4565" s="156"/>
      <c r="I4565" s="157"/>
      <c r="J4565" s="161"/>
      <c r="L4565" s="94"/>
      <c r="M4565" s="159"/>
      <c r="N4565" s="94"/>
    </row>
    <row r="4566">
      <c r="A4566" s="107">
        <v>1628970.0</v>
      </c>
      <c r="B4566" s="108" t="s">
        <v>246</v>
      </c>
      <c r="C4566" s="108" t="s">
        <v>1106</v>
      </c>
      <c r="D4566" s="100" t="str">
        <f t="shared" si="1"/>
        <v/>
      </c>
      <c r="E4566" s="100" t="str">
        <f t="shared" si="2"/>
        <v/>
      </c>
      <c r="F4566" s="100" t="str">
        <f t="shared" si="3"/>
        <v/>
      </c>
      <c r="G4566" s="151"/>
      <c r="H4566" s="160"/>
      <c r="I4566" s="157"/>
      <c r="J4566" s="158"/>
      <c r="L4566" s="94"/>
      <c r="M4566" s="159"/>
      <c r="N4566" s="94"/>
    </row>
    <row r="4567">
      <c r="A4567" s="149">
        <v>1628970.0</v>
      </c>
      <c r="B4567" s="115" t="s">
        <v>247</v>
      </c>
      <c r="C4567" s="115" t="s">
        <v>1106</v>
      </c>
      <c r="D4567" s="100" t="str">
        <f t="shared" si="1"/>
        <v/>
      </c>
      <c r="E4567" s="100" t="str">
        <f t="shared" si="2"/>
        <v/>
      </c>
      <c r="F4567" s="100" t="str">
        <f t="shared" si="3"/>
        <v/>
      </c>
      <c r="G4567" s="151"/>
      <c r="H4567" s="156"/>
      <c r="I4567" s="157"/>
      <c r="J4567" s="161"/>
      <c r="L4567" s="94"/>
      <c r="M4567" s="159"/>
      <c r="N4567" s="94"/>
    </row>
    <row r="4568">
      <c r="A4568" s="21">
        <v>1628971.0</v>
      </c>
      <c r="B4568" s="164" t="s">
        <v>192</v>
      </c>
      <c r="C4568" s="164" t="s">
        <v>1107</v>
      </c>
      <c r="D4568" s="100" t="str">
        <f t="shared" si="1"/>
        <v/>
      </c>
      <c r="E4568" s="100" t="str">
        <f t="shared" si="2"/>
        <v/>
      </c>
      <c r="F4568" s="100" t="str">
        <f t="shared" si="3"/>
        <v/>
      </c>
      <c r="G4568" s="151"/>
      <c r="H4568" s="160"/>
      <c r="I4568" s="157"/>
      <c r="J4568" s="158"/>
      <c r="L4568" s="94"/>
      <c r="M4568" s="159"/>
      <c r="N4568" s="94"/>
    </row>
    <row r="4569">
      <c r="A4569" s="107">
        <v>1628971.0</v>
      </c>
      <c r="B4569" s="108" t="s">
        <v>193</v>
      </c>
      <c r="C4569" s="108" t="s">
        <v>1107</v>
      </c>
      <c r="D4569" s="100" t="str">
        <f t="shared" si="1"/>
        <v/>
      </c>
      <c r="E4569" s="100" t="str">
        <f t="shared" si="2"/>
        <v/>
      </c>
      <c r="F4569" s="100" t="str">
        <f t="shared" si="3"/>
        <v/>
      </c>
      <c r="G4569" s="151"/>
      <c r="H4569" s="156"/>
      <c r="I4569" s="157"/>
      <c r="J4569" s="161"/>
      <c r="L4569" s="94"/>
      <c r="M4569" s="159"/>
      <c r="N4569" s="94"/>
    </row>
    <row r="4570">
      <c r="A4570" s="107">
        <v>1628971.0</v>
      </c>
      <c r="B4570" s="108" t="s">
        <v>243</v>
      </c>
      <c r="C4570" s="108" t="s">
        <v>1107</v>
      </c>
      <c r="D4570" s="100" t="str">
        <f t="shared" si="1"/>
        <v/>
      </c>
      <c r="E4570" s="100" t="str">
        <f t="shared" si="2"/>
        <v/>
      </c>
      <c r="F4570" s="100" t="str">
        <f t="shared" si="3"/>
        <v/>
      </c>
      <c r="G4570" s="151"/>
      <c r="H4570" s="160"/>
      <c r="I4570" s="157"/>
      <c r="J4570" s="158"/>
      <c r="L4570" s="94"/>
      <c r="M4570" s="159"/>
      <c r="N4570" s="94"/>
    </row>
    <row r="4571">
      <c r="A4571" s="107">
        <v>1628971.0</v>
      </c>
      <c r="B4571" s="108" t="s">
        <v>215</v>
      </c>
      <c r="C4571" s="108" t="s">
        <v>1107</v>
      </c>
      <c r="D4571" s="100" t="str">
        <f t="shared" si="1"/>
        <v/>
      </c>
      <c r="E4571" s="100" t="str">
        <f t="shared" si="2"/>
        <v/>
      </c>
      <c r="F4571" s="100" t="str">
        <f t="shared" si="3"/>
        <v/>
      </c>
      <c r="G4571" s="151"/>
      <c r="H4571" s="156"/>
      <c r="I4571" s="157"/>
      <c r="J4571" s="161"/>
      <c r="L4571" s="94"/>
      <c r="M4571" s="159"/>
      <c r="N4571" s="94"/>
    </row>
    <row r="4572">
      <c r="A4572" s="107">
        <v>1628971.0</v>
      </c>
      <c r="B4572" s="108" t="s">
        <v>244</v>
      </c>
      <c r="C4572" s="108" t="s">
        <v>1107</v>
      </c>
      <c r="D4572" s="100" t="str">
        <f t="shared" si="1"/>
        <v/>
      </c>
      <c r="E4572" s="100" t="str">
        <f t="shared" si="2"/>
        <v/>
      </c>
      <c r="F4572" s="100" t="str">
        <f t="shared" si="3"/>
        <v/>
      </c>
      <c r="G4572" s="151"/>
      <c r="H4572" s="160"/>
      <c r="I4572" s="157"/>
      <c r="J4572" s="158"/>
      <c r="L4572" s="94"/>
      <c r="M4572" s="159"/>
      <c r="N4572" s="94"/>
    </row>
    <row r="4573">
      <c r="A4573" s="107">
        <v>1628971.0</v>
      </c>
      <c r="B4573" s="108" t="s">
        <v>245</v>
      </c>
      <c r="C4573" s="108" t="s">
        <v>1107</v>
      </c>
      <c r="D4573" s="100" t="str">
        <f t="shared" si="1"/>
        <v/>
      </c>
      <c r="E4573" s="100" t="str">
        <f t="shared" si="2"/>
        <v/>
      </c>
      <c r="F4573" s="100" t="str">
        <f t="shared" si="3"/>
        <v/>
      </c>
      <c r="G4573" s="151"/>
      <c r="H4573" s="156"/>
      <c r="I4573" s="157"/>
      <c r="J4573" s="161"/>
      <c r="L4573" s="94"/>
      <c r="M4573" s="159"/>
      <c r="N4573" s="94"/>
    </row>
    <row r="4574">
      <c r="A4574" s="107">
        <v>1628971.0</v>
      </c>
      <c r="B4574" s="108" t="s">
        <v>246</v>
      </c>
      <c r="C4574" s="108" t="s">
        <v>1107</v>
      </c>
      <c r="D4574" s="100" t="str">
        <f t="shared" si="1"/>
        <v/>
      </c>
      <c r="E4574" s="100" t="str">
        <f t="shared" si="2"/>
        <v/>
      </c>
      <c r="F4574" s="100" t="str">
        <f t="shared" si="3"/>
        <v/>
      </c>
      <c r="G4574" s="151"/>
      <c r="H4574" s="160"/>
      <c r="I4574" s="157"/>
      <c r="J4574" s="158"/>
      <c r="L4574" s="94"/>
      <c r="M4574" s="159"/>
      <c r="N4574" s="94"/>
    </row>
    <row r="4575">
      <c r="A4575" s="149">
        <v>1628971.0</v>
      </c>
      <c r="B4575" s="115" t="s">
        <v>247</v>
      </c>
      <c r="C4575" s="115" t="s">
        <v>1107</v>
      </c>
      <c r="D4575" s="100" t="str">
        <f t="shared" si="1"/>
        <v/>
      </c>
      <c r="E4575" s="100" t="str">
        <f t="shared" si="2"/>
        <v/>
      </c>
      <c r="F4575" s="100" t="str">
        <f t="shared" si="3"/>
        <v/>
      </c>
      <c r="G4575" s="151"/>
      <c r="H4575" s="156"/>
      <c r="I4575" s="157"/>
      <c r="J4575" s="161"/>
      <c r="L4575" s="94"/>
      <c r="M4575" s="159"/>
      <c r="N4575" s="94"/>
    </row>
    <row r="4576">
      <c r="A4576" s="21">
        <v>1628972.0</v>
      </c>
      <c r="B4576" s="164" t="s">
        <v>192</v>
      </c>
      <c r="C4576" s="164" t="s">
        <v>1108</v>
      </c>
      <c r="D4576" s="100" t="str">
        <f t="shared" si="1"/>
        <v/>
      </c>
      <c r="E4576" s="100" t="str">
        <f t="shared" si="2"/>
        <v/>
      </c>
      <c r="F4576" s="100" t="str">
        <f t="shared" si="3"/>
        <v/>
      </c>
      <c r="G4576" s="151"/>
      <c r="H4576" s="160"/>
      <c r="I4576" s="157"/>
      <c r="J4576" s="158"/>
      <c r="L4576" s="94"/>
      <c r="M4576" s="159"/>
      <c r="N4576" s="94"/>
    </row>
    <row r="4577">
      <c r="A4577" s="107">
        <v>1628972.0</v>
      </c>
      <c r="B4577" s="108" t="s">
        <v>193</v>
      </c>
      <c r="C4577" s="108" t="s">
        <v>1108</v>
      </c>
      <c r="D4577" s="100" t="str">
        <f t="shared" si="1"/>
        <v/>
      </c>
      <c r="E4577" s="100" t="str">
        <f t="shared" si="2"/>
        <v/>
      </c>
      <c r="F4577" s="100" t="str">
        <f t="shared" si="3"/>
        <v/>
      </c>
      <c r="G4577" s="151"/>
      <c r="H4577" s="156"/>
      <c r="I4577" s="157"/>
      <c r="J4577" s="161"/>
      <c r="L4577" s="94"/>
      <c r="M4577" s="159"/>
      <c r="N4577" s="94"/>
    </row>
    <row r="4578">
      <c r="A4578" s="107">
        <v>1628972.0</v>
      </c>
      <c r="B4578" s="108" t="s">
        <v>243</v>
      </c>
      <c r="C4578" s="108" t="s">
        <v>1108</v>
      </c>
      <c r="D4578" s="100" t="str">
        <f t="shared" si="1"/>
        <v/>
      </c>
      <c r="E4578" s="100" t="str">
        <f t="shared" si="2"/>
        <v/>
      </c>
      <c r="F4578" s="100" t="str">
        <f t="shared" si="3"/>
        <v/>
      </c>
      <c r="G4578" s="151"/>
      <c r="H4578" s="160"/>
      <c r="I4578" s="157"/>
      <c r="J4578" s="158"/>
      <c r="L4578" s="94"/>
      <c r="M4578" s="159"/>
      <c r="N4578" s="94"/>
    </row>
    <row r="4579">
      <c r="A4579" s="107">
        <v>1628972.0</v>
      </c>
      <c r="B4579" s="108" t="s">
        <v>215</v>
      </c>
      <c r="C4579" s="108" t="s">
        <v>1108</v>
      </c>
      <c r="D4579" s="100" t="str">
        <f t="shared" si="1"/>
        <v/>
      </c>
      <c r="E4579" s="100" t="str">
        <f t="shared" si="2"/>
        <v/>
      </c>
      <c r="F4579" s="100" t="str">
        <f t="shared" si="3"/>
        <v/>
      </c>
      <c r="G4579" s="151"/>
      <c r="H4579" s="156"/>
      <c r="I4579" s="157"/>
      <c r="J4579" s="161"/>
      <c r="L4579" s="94"/>
      <c r="M4579" s="159"/>
      <c r="N4579" s="94"/>
    </row>
    <row r="4580">
      <c r="A4580" s="107">
        <v>1628972.0</v>
      </c>
      <c r="B4580" s="108" t="s">
        <v>244</v>
      </c>
      <c r="C4580" s="108" t="s">
        <v>1108</v>
      </c>
      <c r="D4580" s="100" t="str">
        <f t="shared" si="1"/>
        <v/>
      </c>
      <c r="E4580" s="100" t="str">
        <f t="shared" si="2"/>
        <v/>
      </c>
      <c r="F4580" s="100" t="str">
        <f t="shared" si="3"/>
        <v/>
      </c>
      <c r="G4580" s="151"/>
      <c r="H4580" s="160"/>
      <c r="I4580" s="157"/>
      <c r="J4580" s="158"/>
      <c r="L4580" s="94"/>
      <c r="M4580" s="159"/>
      <c r="N4580" s="94"/>
    </row>
    <row r="4581">
      <c r="A4581" s="107">
        <v>1628972.0</v>
      </c>
      <c r="B4581" s="108" t="s">
        <v>245</v>
      </c>
      <c r="C4581" s="108" t="s">
        <v>1108</v>
      </c>
      <c r="D4581" s="100" t="str">
        <f t="shared" si="1"/>
        <v/>
      </c>
      <c r="E4581" s="100" t="str">
        <f t="shared" si="2"/>
        <v/>
      </c>
      <c r="F4581" s="100" t="str">
        <f t="shared" si="3"/>
        <v/>
      </c>
      <c r="G4581" s="151"/>
      <c r="H4581" s="156"/>
      <c r="I4581" s="157"/>
      <c r="J4581" s="161"/>
      <c r="L4581" s="94"/>
      <c r="M4581" s="159"/>
      <c r="N4581" s="94"/>
    </row>
    <row r="4582">
      <c r="A4582" s="107">
        <v>1628973.0</v>
      </c>
      <c r="B4582" s="108" t="s">
        <v>192</v>
      </c>
      <c r="C4582" s="108" t="s">
        <v>1109</v>
      </c>
      <c r="D4582" s="100" t="str">
        <f t="shared" si="1"/>
        <v/>
      </c>
      <c r="E4582" s="100" t="str">
        <f t="shared" si="2"/>
        <v/>
      </c>
      <c r="F4582" s="100" t="str">
        <f t="shared" si="3"/>
        <v/>
      </c>
      <c r="G4582" s="151"/>
      <c r="H4582" s="160"/>
      <c r="I4582" s="157"/>
      <c r="J4582" s="158"/>
      <c r="L4582" s="94"/>
      <c r="M4582" s="159"/>
      <c r="N4582" s="94"/>
    </row>
    <row r="4583">
      <c r="A4583" s="107">
        <v>1628973.0</v>
      </c>
      <c r="B4583" s="108" t="s">
        <v>193</v>
      </c>
      <c r="C4583" s="108" t="s">
        <v>1109</v>
      </c>
      <c r="D4583" s="100" t="str">
        <f t="shared" si="1"/>
        <v/>
      </c>
      <c r="E4583" s="100" t="str">
        <f t="shared" si="2"/>
        <v/>
      </c>
      <c r="F4583" s="100" t="str">
        <f t="shared" si="3"/>
        <v/>
      </c>
      <c r="G4583" s="151"/>
      <c r="H4583" s="156"/>
      <c r="I4583" s="157"/>
      <c r="J4583" s="161"/>
      <c r="L4583" s="94"/>
      <c r="M4583" s="159"/>
      <c r="N4583" s="94"/>
    </row>
    <row r="4584">
      <c r="A4584" s="107">
        <v>1628973.0</v>
      </c>
      <c r="B4584" s="108" t="s">
        <v>243</v>
      </c>
      <c r="C4584" s="108" t="s">
        <v>1109</v>
      </c>
      <c r="D4584" s="100" t="str">
        <f t="shared" si="1"/>
        <v/>
      </c>
      <c r="E4584" s="100" t="str">
        <f t="shared" si="2"/>
        <v/>
      </c>
      <c r="F4584" s="100" t="str">
        <f t="shared" si="3"/>
        <v/>
      </c>
      <c r="G4584" s="151"/>
      <c r="H4584" s="160"/>
      <c r="I4584" s="157"/>
      <c r="J4584" s="158"/>
      <c r="L4584" s="94"/>
      <c r="M4584" s="159"/>
      <c r="N4584" s="94"/>
    </row>
    <row r="4585">
      <c r="A4585" s="107">
        <v>1628973.0</v>
      </c>
      <c r="B4585" s="108" t="s">
        <v>215</v>
      </c>
      <c r="C4585" s="108" t="s">
        <v>1109</v>
      </c>
      <c r="D4585" s="100" t="str">
        <f t="shared" si="1"/>
        <v/>
      </c>
      <c r="E4585" s="100" t="str">
        <f t="shared" si="2"/>
        <v/>
      </c>
      <c r="F4585" s="100" t="str">
        <f t="shared" si="3"/>
        <v/>
      </c>
      <c r="G4585" s="151"/>
      <c r="H4585" s="156"/>
      <c r="I4585" s="157"/>
      <c r="J4585" s="161"/>
      <c r="L4585" s="94"/>
      <c r="M4585" s="159"/>
      <c r="N4585" s="94"/>
    </row>
    <row r="4586">
      <c r="A4586" s="107">
        <v>1628973.0</v>
      </c>
      <c r="B4586" s="108" t="s">
        <v>244</v>
      </c>
      <c r="C4586" s="108" t="s">
        <v>1109</v>
      </c>
      <c r="D4586" s="100" t="str">
        <f t="shared" si="1"/>
        <v/>
      </c>
      <c r="E4586" s="100" t="str">
        <f t="shared" si="2"/>
        <v/>
      </c>
      <c r="F4586" s="100" t="str">
        <f t="shared" si="3"/>
        <v/>
      </c>
      <c r="G4586" s="151"/>
      <c r="H4586" s="160"/>
      <c r="I4586" s="157"/>
      <c r="J4586" s="158"/>
      <c r="L4586" s="94"/>
      <c r="M4586" s="159"/>
      <c r="N4586" s="94"/>
    </row>
    <row r="4587">
      <c r="A4587" s="107">
        <v>1628973.0</v>
      </c>
      <c r="B4587" s="108" t="s">
        <v>245</v>
      </c>
      <c r="C4587" s="108" t="s">
        <v>1109</v>
      </c>
      <c r="D4587" s="100" t="str">
        <f t="shared" si="1"/>
        <v/>
      </c>
      <c r="E4587" s="100" t="str">
        <f t="shared" si="2"/>
        <v/>
      </c>
      <c r="F4587" s="100" t="str">
        <f t="shared" si="3"/>
        <v/>
      </c>
      <c r="G4587" s="151"/>
      <c r="H4587" s="156"/>
      <c r="I4587" s="157"/>
      <c r="J4587" s="161"/>
      <c r="L4587" s="94"/>
      <c r="M4587" s="159"/>
      <c r="N4587" s="94"/>
    </row>
    <row r="4588">
      <c r="A4588" s="107">
        <v>1628973.0</v>
      </c>
      <c r="B4588" s="108" t="s">
        <v>246</v>
      </c>
      <c r="C4588" s="108" t="s">
        <v>1109</v>
      </c>
      <c r="D4588" s="100" t="str">
        <f t="shared" si="1"/>
        <v/>
      </c>
      <c r="E4588" s="100" t="str">
        <f t="shared" si="2"/>
        <v/>
      </c>
      <c r="F4588" s="100" t="str">
        <f t="shared" si="3"/>
        <v/>
      </c>
      <c r="G4588" s="151"/>
      <c r="H4588" s="160"/>
      <c r="I4588" s="157"/>
      <c r="J4588" s="158"/>
      <c r="L4588" s="94"/>
      <c r="M4588" s="159"/>
      <c r="N4588" s="94"/>
    </row>
    <row r="4589">
      <c r="A4589" s="149">
        <v>1628973.0</v>
      </c>
      <c r="B4589" s="115" t="s">
        <v>247</v>
      </c>
      <c r="C4589" s="115" t="s">
        <v>1109</v>
      </c>
      <c r="D4589" s="100" t="str">
        <f t="shared" si="1"/>
        <v/>
      </c>
      <c r="E4589" s="100" t="str">
        <f t="shared" si="2"/>
        <v/>
      </c>
      <c r="F4589" s="100" t="str">
        <f t="shared" si="3"/>
        <v/>
      </c>
      <c r="G4589" s="151"/>
      <c r="H4589" s="156"/>
      <c r="I4589" s="157"/>
      <c r="J4589" s="161"/>
      <c r="L4589" s="94"/>
      <c r="M4589" s="159"/>
      <c r="N4589" s="94"/>
    </row>
    <row r="4590">
      <c r="A4590" s="21">
        <v>1628975.0</v>
      </c>
      <c r="B4590" s="164" t="s">
        <v>192</v>
      </c>
      <c r="C4590" s="164" t="s">
        <v>1110</v>
      </c>
      <c r="D4590" s="100" t="str">
        <f t="shared" si="1"/>
        <v/>
      </c>
      <c r="E4590" s="100" t="str">
        <f t="shared" si="2"/>
        <v/>
      </c>
      <c r="F4590" s="100" t="str">
        <f t="shared" si="3"/>
        <v/>
      </c>
      <c r="G4590" s="151"/>
      <c r="H4590" s="160"/>
      <c r="I4590" s="157"/>
      <c r="J4590" s="158"/>
      <c r="L4590" s="94"/>
      <c r="M4590" s="159"/>
      <c r="N4590" s="94"/>
    </row>
    <row r="4591">
      <c r="A4591" s="107">
        <v>1628975.0</v>
      </c>
      <c r="B4591" s="108" t="s">
        <v>193</v>
      </c>
      <c r="C4591" s="108" t="s">
        <v>1110</v>
      </c>
      <c r="D4591" s="100" t="str">
        <f t="shared" si="1"/>
        <v/>
      </c>
      <c r="E4591" s="100" t="str">
        <f t="shared" si="2"/>
        <v/>
      </c>
      <c r="F4591" s="100" t="str">
        <f t="shared" si="3"/>
        <v/>
      </c>
      <c r="G4591" s="151"/>
      <c r="H4591" s="156"/>
      <c r="I4591" s="157"/>
      <c r="J4591" s="161"/>
      <c r="L4591" s="94"/>
      <c r="M4591" s="159"/>
      <c r="N4591" s="94"/>
    </row>
    <row r="4592">
      <c r="A4592" s="107">
        <v>1628975.0</v>
      </c>
      <c r="B4592" s="108" t="s">
        <v>243</v>
      </c>
      <c r="C4592" s="108" t="s">
        <v>1110</v>
      </c>
      <c r="D4592" s="100" t="str">
        <f t="shared" si="1"/>
        <v/>
      </c>
      <c r="E4592" s="100" t="str">
        <f t="shared" si="2"/>
        <v/>
      </c>
      <c r="F4592" s="100" t="str">
        <f t="shared" si="3"/>
        <v/>
      </c>
      <c r="G4592" s="151"/>
      <c r="H4592" s="160"/>
      <c r="I4592" s="157"/>
      <c r="J4592" s="158"/>
      <c r="L4592" s="94"/>
      <c r="M4592" s="159"/>
      <c r="N4592" s="94"/>
    </row>
    <row r="4593">
      <c r="A4593" s="107">
        <v>1628975.0</v>
      </c>
      <c r="B4593" s="108" t="s">
        <v>215</v>
      </c>
      <c r="C4593" s="108" t="s">
        <v>1110</v>
      </c>
      <c r="D4593" s="100" t="str">
        <f t="shared" si="1"/>
        <v/>
      </c>
      <c r="E4593" s="100" t="str">
        <f t="shared" si="2"/>
        <v/>
      </c>
      <c r="F4593" s="100" t="str">
        <f t="shared" si="3"/>
        <v/>
      </c>
      <c r="G4593" s="151"/>
      <c r="H4593" s="156"/>
      <c r="I4593" s="157"/>
      <c r="J4593" s="161"/>
      <c r="L4593" s="94"/>
      <c r="M4593" s="159"/>
      <c r="N4593" s="94"/>
    </row>
    <row r="4594">
      <c r="A4594" s="107">
        <v>1628975.0</v>
      </c>
      <c r="B4594" s="108" t="s">
        <v>244</v>
      </c>
      <c r="C4594" s="108" t="s">
        <v>1110</v>
      </c>
      <c r="D4594" s="100" t="str">
        <f t="shared" si="1"/>
        <v/>
      </c>
      <c r="E4594" s="100" t="str">
        <f t="shared" si="2"/>
        <v/>
      </c>
      <c r="F4594" s="100" t="str">
        <f t="shared" si="3"/>
        <v/>
      </c>
      <c r="G4594" s="151"/>
      <c r="H4594" s="160"/>
      <c r="I4594" s="157"/>
      <c r="J4594" s="158"/>
      <c r="L4594" s="94"/>
      <c r="M4594" s="159"/>
      <c r="N4594" s="94"/>
    </row>
    <row r="4595">
      <c r="A4595" s="107">
        <v>1628975.0</v>
      </c>
      <c r="B4595" s="108" t="s">
        <v>245</v>
      </c>
      <c r="C4595" s="108" t="s">
        <v>1110</v>
      </c>
      <c r="D4595" s="100" t="str">
        <f t="shared" si="1"/>
        <v/>
      </c>
      <c r="E4595" s="100" t="str">
        <f t="shared" si="2"/>
        <v/>
      </c>
      <c r="F4595" s="100" t="str">
        <f t="shared" si="3"/>
        <v/>
      </c>
      <c r="G4595" s="151"/>
      <c r="H4595" s="156"/>
      <c r="I4595" s="157"/>
      <c r="J4595" s="161"/>
      <c r="L4595" s="94"/>
      <c r="M4595" s="159"/>
      <c r="N4595" s="94"/>
    </row>
    <row r="4596">
      <c r="A4596" s="107">
        <v>1628975.0</v>
      </c>
      <c r="B4596" s="108" t="s">
        <v>246</v>
      </c>
      <c r="C4596" s="108" t="s">
        <v>1110</v>
      </c>
      <c r="D4596" s="100" t="str">
        <f t="shared" si="1"/>
        <v/>
      </c>
      <c r="E4596" s="100" t="str">
        <f t="shared" si="2"/>
        <v/>
      </c>
      <c r="F4596" s="100" t="str">
        <f t="shared" si="3"/>
        <v/>
      </c>
      <c r="G4596" s="151"/>
      <c r="H4596" s="160"/>
      <c r="I4596" s="157"/>
      <c r="J4596" s="158"/>
      <c r="L4596" s="94"/>
      <c r="M4596" s="159"/>
      <c r="N4596" s="94"/>
    </row>
    <row r="4597">
      <c r="A4597" s="149">
        <v>1628975.0</v>
      </c>
      <c r="B4597" s="115" t="s">
        <v>247</v>
      </c>
      <c r="C4597" s="115" t="s">
        <v>1110</v>
      </c>
      <c r="D4597" s="100" t="str">
        <f t="shared" si="1"/>
        <v/>
      </c>
      <c r="E4597" s="100" t="str">
        <f t="shared" si="2"/>
        <v/>
      </c>
      <c r="F4597" s="100" t="str">
        <f t="shared" si="3"/>
        <v/>
      </c>
      <c r="G4597" s="151"/>
      <c r="H4597" s="156"/>
      <c r="I4597" s="157"/>
      <c r="J4597" s="161"/>
      <c r="L4597" s="94"/>
      <c r="M4597" s="159"/>
      <c r="N4597" s="94"/>
    </row>
    <row r="4598">
      <c r="A4598" s="21">
        <v>1628976.0</v>
      </c>
      <c r="B4598" s="164" t="s">
        <v>192</v>
      </c>
      <c r="C4598" s="164" t="s">
        <v>1111</v>
      </c>
      <c r="D4598" s="100" t="str">
        <f t="shared" si="1"/>
        <v/>
      </c>
      <c r="E4598" s="100" t="str">
        <f t="shared" si="2"/>
        <v/>
      </c>
      <c r="F4598" s="100" t="str">
        <f t="shared" si="3"/>
        <v/>
      </c>
      <c r="G4598" s="151"/>
      <c r="H4598" s="160"/>
      <c r="I4598" s="157"/>
      <c r="J4598" s="158"/>
      <c r="L4598" s="94"/>
      <c r="M4598" s="159"/>
      <c r="N4598" s="94"/>
    </row>
    <row r="4599">
      <c r="A4599" s="107">
        <v>1628976.0</v>
      </c>
      <c r="B4599" s="108" t="s">
        <v>193</v>
      </c>
      <c r="C4599" s="108" t="s">
        <v>1111</v>
      </c>
      <c r="D4599" s="100" t="str">
        <f t="shared" si="1"/>
        <v/>
      </c>
      <c r="E4599" s="100" t="str">
        <f t="shared" si="2"/>
        <v/>
      </c>
      <c r="F4599" s="100" t="str">
        <f t="shared" si="3"/>
        <v/>
      </c>
      <c r="G4599" s="151"/>
      <c r="H4599" s="156"/>
      <c r="I4599" s="157"/>
      <c r="J4599" s="161"/>
      <c r="L4599" s="94"/>
      <c r="M4599" s="159"/>
      <c r="N4599" s="94"/>
    </row>
    <row r="4600">
      <c r="A4600" s="107">
        <v>1628976.0</v>
      </c>
      <c r="B4600" s="108" t="s">
        <v>243</v>
      </c>
      <c r="C4600" s="108" t="s">
        <v>1111</v>
      </c>
      <c r="D4600" s="100" t="str">
        <f t="shared" si="1"/>
        <v/>
      </c>
      <c r="E4600" s="100" t="str">
        <f t="shared" si="2"/>
        <v/>
      </c>
      <c r="F4600" s="100" t="str">
        <f t="shared" si="3"/>
        <v/>
      </c>
      <c r="G4600" s="151"/>
      <c r="H4600" s="160"/>
      <c r="I4600" s="157"/>
      <c r="J4600" s="158"/>
      <c r="L4600" s="94"/>
      <c r="M4600" s="159"/>
      <c r="N4600" s="94"/>
    </row>
    <row r="4601">
      <c r="A4601" s="107">
        <v>1628976.0</v>
      </c>
      <c r="B4601" s="108" t="s">
        <v>215</v>
      </c>
      <c r="C4601" s="108" t="s">
        <v>1111</v>
      </c>
      <c r="D4601" s="100" t="str">
        <f t="shared" si="1"/>
        <v/>
      </c>
      <c r="E4601" s="100" t="str">
        <f t="shared" si="2"/>
        <v/>
      </c>
      <c r="F4601" s="100" t="str">
        <f t="shared" si="3"/>
        <v/>
      </c>
      <c r="G4601" s="151"/>
      <c r="H4601" s="156"/>
      <c r="I4601" s="157"/>
      <c r="J4601" s="161"/>
      <c r="L4601" s="94"/>
      <c r="M4601" s="159"/>
      <c r="N4601" s="94"/>
    </row>
    <row r="4602">
      <c r="A4602" s="107">
        <v>1628976.0</v>
      </c>
      <c r="B4602" s="108" t="s">
        <v>244</v>
      </c>
      <c r="C4602" s="108" t="s">
        <v>1111</v>
      </c>
      <c r="D4602" s="100" t="str">
        <f t="shared" si="1"/>
        <v/>
      </c>
      <c r="E4602" s="100" t="str">
        <f t="shared" si="2"/>
        <v/>
      </c>
      <c r="F4602" s="100" t="str">
        <f t="shared" si="3"/>
        <v/>
      </c>
      <c r="G4602" s="151"/>
      <c r="H4602" s="160"/>
      <c r="I4602" s="157"/>
      <c r="J4602" s="158"/>
      <c r="L4602" s="94"/>
      <c r="M4602" s="159"/>
      <c r="N4602" s="94"/>
    </row>
    <row r="4603">
      <c r="A4603" s="107">
        <v>1628976.0</v>
      </c>
      <c r="B4603" s="108" t="s">
        <v>245</v>
      </c>
      <c r="C4603" s="108" t="s">
        <v>1111</v>
      </c>
      <c r="D4603" s="100" t="str">
        <f t="shared" si="1"/>
        <v/>
      </c>
      <c r="E4603" s="100" t="str">
        <f t="shared" si="2"/>
        <v/>
      </c>
      <c r="F4603" s="100" t="str">
        <f t="shared" si="3"/>
        <v/>
      </c>
      <c r="G4603" s="151"/>
      <c r="H4603" s="156"/>
      <c r="I4603" s="157"/>
      <c r="J4603" s="161"/>
      <c r="L4603" s="94"/>
      <c r="M4603" s="159"/>
      <c r="N4603" s="94"/>
    </row>
    <row r="4604">
      <c r="A4604" s="107">
        <v>1628976.0</v>
      </c>
      <c r="B4604" s="108" t="s">
        <v>246</v>
      </c>
      <c r="C4604" s="108" t="s">
        <v>1111</v>
      </c>
      <c r="D4604" s="100" t="str">
        <f t="shared" si="1"/>
        <v/>
      </c>
      <c r="E4604" s="100" t="str">
        <f t="shared" si="2"/>
        <v/>
      </c>
      <c r="F4604" s="100" t="str">
        <f t="shared" si="3"/>
        <v/>
      </c>
      <c r="G4604" s="151"/>
      <c r="H4604" s="160"/>
      <c r="I4604" s="157"/>
      <c r="J4604" s="158"/>
      <c r="L4604" s="94"/>
      <c r="M4604" s="159"/>
      <c r="N4604" s="94"/>
    </row>
    <row r="4605">
      <c r="A4605" s="149">
        <v>1628976.0</v>
      </c>
      <c r="B4605" s="115" t="s">
        <v>247</v>
      </c>
      <c r="C4605" s="108" t="s">
        <v>1111</v>
      </c>
      <c r="D4605" s="100" t="str">
        <f t="shared" si="1"/>
        <v/>
      </c>
      <c r="E4605" s="100" t="str">
        <f t="shared" si="2"/>
        <v/>
      </c>
      <c r="F4605" s="100" t="str">
        <f t="shared" si="3"/>
        <v/>
      </c>
      <c r="G4605" s="151"/>
      <c r="H4605" s="156"/>
      <c r="I4605" s="157"/>
      <c r="J4605" s="161"/>
      <c r="L4605" s="94"/>
      <c r="M4605" s="159"/>
      <c r="N4605" s="94"/>
    </row>
    <row r="4606">
      <c r="A4606" s="21">
        <v>1628977.0</v>
      </c>
      <c r="B4606" s="164" t="s">
        <v>192</v>
      </c>
      <c r="C4606" s="164" t="s">
        <v>1112</v>
      </c>
      <c r="D4606" s="100" t="str">
        <f t="shared" si="1"/>
        <v/>
      </c>
      <c r="E4606" s="100" t="str">
        <f t="shared" si="2"/>
        <v/>
      </c>
      <c r="F4606" s="100" t="str">
        <f t="shared" si="3"/>
        <v/>
      </c>
      <c r="G4606" s="151"/>
      <c r="H4606" s="160"/>
      <c r="I4606" s="157"/>
      <c r="J4606" s="158"/>
      <c r="L4606" s="94"/>
      <c r="M4606" s="159"/>
      <c r="N4606" s="94"/>
    </row>
    <row r="4607">
      <c r="A4607" s="107">
        <v>1628977.0</v>
      </c>
      <c r="B4607" s="108" t="s">
        <v>193</v>
      </c>
      <c r="C4607" s="108" t="s">
        <v>1112</v>
      </c>
      <c r="D4607" s="100" t="str">
        <f t="shared" si="1"/>
        <v/>
      </c>
      <c r="E4607" s="100" t="str">
        <f t="shared" si="2"/>
        <v/>
      </c>
      <c r="F4607" s="100" t="str">
        <f t="shared" si="3"/>
        <v/>
      </c>
      <c r="G4607" s="151"/>
      <c r="H4607" s="156"/>
      <c r="I4607" s="157"/>
      <c r="J4607" s="161"/>
      <c r="L4607" s="94"/>
      <c r="M4607" s="159"/>
      <c r="N4607" s="94"/>
    </row>
    <row r="4608">
      <c r="A4608" s="107">
        <v>1628977.0</v>
      </c>
      <c r="B4608" s="108" t="s">
        <v>243</v>
      </c>
      <c r="C4608" s="108" t="s">
        <v>1112</v>
      </c>
      <c r="D4608" s="100" t="str">
        <f t="shared" si="1"/>
        <v/>
      </c>
      <c r="E4608" s="100" t="str">
        <f t="shared" si="2"/>
        <v/>
      </c>
      <c r="F4608" s="100" t="str">
        <f t="shared" si="3"/>
        <v/>
      </c>
      <c r="G4608" s="151"/>
      <c r="H4608" s="160"/>
      <c r="I4608" s="157"/>
      <c r="J4608" s="158"/>
      <c r="L4608" s="94"/>
      <c r="M4608" s="159"/>
      <c r="N4608" s="94"/>
    </row>
    <row r="4609">
      <c r="A4609" s="107">
        <v>1628977.0</v>
      </c>
      <c r="B4609" s="108" t="s">
        <v>215</v>
      </c>
      <c r="C4609" s="108" t="s">
        <v>1112</v>
      </c>
      <c r="D4609" s="100" t="str">
        <f t="shared" si="1"/>
        <v/>
      </c>
      <c r="E4609" s="100" t="str">
        <f t="shared" si="2"/>
        <v/>
      </c>
      <c r="F4609" s="100" t="str">
        <f t="shared" si="3"/>
        <v/>
      </c>
      <c r="G4609" s="151"/>
      <c r="H4609" s="156"/>
      <c r="I4609" s="157"/>
      <c r="J4609" s="161"/>
      <c r="L4609" s="94"/>
      <c r="M4609" s="159"/>
      <c r="N4609" s="94"/>
    </row>
    <row r="4610">
      <c r="A4610" s="107">
        <v>1628977.0</v>
      </c>
      <c r="B4610" s="108" t="s">
        <v>244</v>
      </c>
      <c r="C4610" s="108" t="s">
        <v>1112</v>
      </c>
      <c r="D4610" s="100" t="str">
        <f t="shared" si="1"/>
        <v/>
      </c>
      <c r="E4610" s="100" t="str">
        <f t="shared" si="2"/>
        <v/>
      </c>
      <c r="F4610" s="100" t="str">
        <f t="shared" si="3"/>
        <v/>
      </c>
      <c r="G4610" s="151"/>
      <c r="H4610" s="160"/>
      <c r="I4610" s="157"/>
      <c r="J4610" s="158"/>
      <c r="L4610" s="94"/>
      <c r="M4610" s="159"/>
      <c r="N4610" s="94"/>
    </row>
    <row r="4611">
      <c r="A4611" s="107">
        <v>1628977.0</v>
      </c>
      <c r="B4611" s="108" t="s">
        <v>245</v>
      </c>
      <c r="C4611" s="108" t="s">
        <v>1112</v>
      </c>
      <c r="D4611" s="100" t="str">
        <f t="shared" si="1"/>
        <v/>
      </c>
      <c r="E4611" s="100" t="str">
        <f t="shared" si="2"/>
        <v/>
      </c>
      <c r="F4611" s="100" t="str">
        <f t="shared" si="3"/>
        <v/>
      </c>
      <c r="G4611" s="151"/>
      <c r="H4611" s="156"/>
      <c r="I4611" s="157"/>
      <c r="J4611" s="161"/>
      <c r="L4611" s="94"/>
      <c r="M4611" s="159"/>
      <c r="N4611" s="94"/>
    </row>
    <row r="4612">
      <c r="A4612" s="107">
        <v>1628978.0</v>
      </c>
      <c r="B4612" s="108" t="s">
        <v>192</v>
      </c>
      <c r="C4612" s="108" t="s">
        <v>1113</v>
      </c>
      <c r="D4612" s="100" t="str">
        <f t="shared" si="1"/>
        <v/>
      </c>
      <c r="E4612" s="100" t="str">
        <f t="shared" si="2"/>
        <v/>
      </c>
      <c r="F4612" s="100" t="str">
        <f t="shared" si="3"/>
        <v/>
      </c>
      <c r="G4612" s="151"/>
      <c r="H4612" s="160"/>
      <c r="I4612" s="157"/>
      <c r="J4612" s="158"/>
      <c r="L4612" s="94"/>
      <c r="M4612" s="159"/>
      <c r="N4612" s="94"/>
    </row>
    <row r="4613">
      <c r="A4613" s="107">
        <v>1628978.0</v>
      </c>
      <c r="B4613" s="108" t="s">
        <v>193</v>
      </c>
      <c r="C4613" s="108" t="s">
        <v>1113</v>
      </c>
      <c r="D4613" s="100" t="str">
        <f t="shared" si="1"/>
        <v/>
      </c>
      <c r="E4613" s="100" t="str">
        <f t="shared" si="2"/>
        <v/>
      </c>
      <c r="F4613" s="100" t="str">
        <f t="shared" si="3"/>
        <v/>
      </c>
      <c r="G4613" s="151"/>
      <c r="H4613" s="156"/>
      <c r="I4613" s="157"/>
      <c r="J4613" s="161"/>
      <c r="L4613" s="94"/>
      <c r="M4613" s="159"/>
      <c r="N4613" s="94"/>
    </row>
    <row r="4614">
      <c r="A4614" s="107">
        <v>1628978.0</v>
      </c>
      <c r="B4614" s="108" t="s">
        <v>243</v>
      </c>
      <c r="C4614" s="108" t="s">
        <v>1113</v>
      </c>
      <c r="D4614" s="100" t="str">
        <f t="shared" si="1"/>
        <v/>
      </c>
      <c r="E4614" s="100" t="str">
        <f t="shared" si="2"/>
        <v/>
      </c>
      <c r="F4614" s="100" t="str">
        <f t="shared" si="3"/>
        <v/>
      </c>
      <c r="G4614" s="151"/>
      <c r="H4614" s="160"/>
      <c r="I4614" s="157"/>
      <c r="J4614" s="158"/>
      <c r="L4614" s="94"/>
      <c r="M4614" s="159"/>
      <c r="N4614" s="94"/>
    </row>
    <row r="4615">
      <c r="A4615" s="107">
        <v>1628978.0</v>
      </c>
      <c r="B4615" s="108" t="s">
        <v>215</v>
      </c>
      <c r="C4615" s="108" t="s">
        <v>1113</v>
      </c>
      <c r="D4615" s="100" t="str">
        <f t="shared" si="1"/>
        <v/>
      </c>
      <c r="E4615" s="100" t="str">
        <f t="shared" si="2"/>
        <v/>
      </c>
      <c r="F4615" s="100" t="str">
        <f t="shared" si="3"/>
        <v/>
      </c>
      <c r="G4615" s="151"/>
      <c r="H4615" s="156"/>
      <c r="I4615" s="157"/>
      <c r="J4615" s="161"/>
      <c r="L4615" s="94"/>
      <c r="M4615" s="159"/>
      <c r="N4615" s="94"/>
    </row>
    <row r="4616">
      <c r="A4616" s="107">
        <v>1628978.0</v>
      </c>
      <c r="B4616" s="108" t="s">
        <v>244</v>
      </c>
      <c r="C4616" s="108" t="s">
        <v>1113</v>
      </c>
      <c r="D4616" s="100" t="str">
        <f t="shared" si="1"/>
        <v/>
      </c>
      <c r="E4616" s="100" t="str">
        <f t="shared" si="2"/>
        <v/>
      </c>
      <c r="F4616" s="100" t="str">
        <f t="shared" si="3"/>
        <v/>
      </c>
      <c r="G4616" s="151"/>
      <c r="H4616" s="160"/>
      <c r="I4616" s="157"/>
      <c r="J4616" s="158"/>
      <c r="L4616" s="94"/>
      <c r="M4616" s="159"/>
      <c r="N4616" s="94"/>
    </row>
    <row r="4617">
      <c r="A4617" s="107">
        <v>1628978.0</v>
      </c>
      <c r="B4617" s="108" t="s">
        <v>245</v>
      </c>
      <c r="C4617" s="108" t="s">
        <v>1113</v>
      </c>
      <c r="D4617" s="100" t="str">
        <f t="shared" si="1"/>
        <v/>
      </c>
      <c r="E4617" s="100" t="str">
        <f t="shared" si="2"/>
        <v/>
      </c>
      <c r="F4617" s="100" t="str">
        <f t="shared" si="3"/>
        <v/>
      </c>
      <c r="G4617" s="151"/>
      <c r="H4617" s="156"/>
      <c r="I4617" s="157"/>
      <c r="J4617" s="161"/>
      <c r="L4617" s="94"/>
      <c r="M4617" s="159"/>
      <c r="N4617" s="94"/>
    </row>
    <row r="4618">
      <c r="A4618" s="107">
        <v>1628978.0</v>
      </c>
      <c r="B4618" s="108" t="s">
        <v>246</v>
      </c>
      <c r="C4618" s="108" t="s">
        <v>1113</v>
      </c>
      <c r="D4618" s="100" t="str">
        <f t="shared" si="1"/>
        <v/>
      </c>
      <c r="E4618" s="100" t="str">
        <f t="shared" si="2"/>
        <v/>
      </c>
      <c r="F4618" s="100" t="str">
        <f t="shared" si="3"/>
        <v/>
      </c>
      <c r="G4618" s="151"/>
      <c r="H4618" s="160"/>
      <c r="I4618" s="157"/>
      <c r="J4618" s="158"/>
      <c r="L4618" s="94"/>
      <c r="M4618" s="159"/>
      <c r="N4618" s="94"/>
    </row>
    <row r="4619">
      <c r="A4619" s="149">
        <v>1628978.0</v>
      </c>
      <c r="B4619" s="115" t="s">
        <v>247</v>
      </c>
      <c r="C4619" s="115" t="s">
        <v>1113</v>
      </c>
      <c r="D4619" s="100" t="str">
        <f t="shared" si="1"/>
        <v/>
      </c>
      <c r="E4619" s="100" t="str">
        <f t="shared" si="2"/>
        <v/>
      </c>
      <c r="F4619" s="100" t="str">
        <f t="shared" si="3"/>
        <v/>
      </c>
      <c r="G4619" s="151"/>
      <c r="H4619" s="156"/>
      <c r="I4619" s="157"/>
      <c r="J4619" s="161"/>
      <c r="L4619" s="94"/>
      <c r="M4619" s="159"/>
      <c r="N4619" s="94"/>
    </row>
    <row r="4620">
      <c r="A4620" s="21">
        <v>1628979.0</v>
      </c>
      <c r="B4620" s="164" t="s">
        <v>192</v>
      </c>
      <c r="C4620" s="164" t="s">
        <v>1114</v>
      </c>
      <c r="D4620" s="100" t="str">
        <f t="shared" si="1"/>
        <v/>
      </c>
      <c r="E4620" s="100" t="str">
        <f t="shared" si="2"/>
        <v/>
      </c>
      <c r="F4620" s="100" t="str">
        <f t="shared" si="3"/>
        <v/>
      </c>
      <c r="G4620" s="151"/>
      <c r="H4620" s="160"/>
      <c r="I4620" s="157"/>
      <c r="J4620" s="158"/>
      <c r="L4620" s="94"/>
      <c r="M4620" s="159"/>
      <c r="N4620" s="94"/>
    </row>
    <row r="4621">
      <c r="A4621" s="107">
        <v>1628980.0</v>
      </c>
      <c r="B4621" s="108" t="s">
        <v>192</v>
      </c>
      <c r="C4621" s="108" t="s">
        <v>1115</v>
      </c>
      <c r="D4621" s="100" t="str">
        <f t="shared" si="1"/>
        <v/>
      </c>
      <c r="E4621" s="100" t="str">
        <f t="shared" si="2"/>
        <v/>
      </c>
      <c r="F4621" s="100" t="str">
        <f t="shared" si="3"/>
        <v/>
      </c>
      <c r="G4621" s="151"/>
      <c r="H4621" s="156"/>
      <c r="I4621" s="157"/>
      <c r="J4621" s="161"/>
      <c r="L4621" s="94"/>
      <c r="M4621" s="159"/>
      <c r="N4621" s="94"/>
    </row>
    <row r="4622">
      <c r="A4622" s="107">
        <v>1628980.0</v>
      </c>
      <c r="B4622" s="108" t="s">
        <v>193</v>
      </c>
      <c r="C4622" s="108" t="s">
        <v>1115</v>
      </c>
      <c r="D4622" s="100" t="str">
        <f t="shared" si="1"/>
        <v/>
      </c>
      <c r="E4622" s="100" t="str">
        <f t="shared" si="2"/>
        <v/>
      </c>
      <c r="F4622" s="100" t="str">
        <f t="shared" si="3"/>
        <v/>
      </c>
      <c r="G4622" s="151"/>
      <c r="H4622" s="160"/>
      <c r="I4622" s="157"/>
      <c r="J4622" s="158"/>
      <c r="L4622" s="94"/>
      <c r="M4622" s="159"/>
      <c r="N4622" s="94"/>
    </row>
    <row r="4623">
      <c r="A4623" s="107">
        <v>1628981.0</v>
      </c>
      <c r="B4623" s="108" t="s">
        <v>193</v>
      </c>
      <c r="C4623" s="108" t="s">
        <v>1116</v>
      </c>
      <c r="D4623" s="100" t="str">
        <f t="shared" si="1"/>
        <v/>
      </c>
      <c r="E4623" s="100" t="str">
        <f t="shared" si="2"/>
        <v/>
      </c>
      <c r="F4623" s="100" t="str">
        <f t="shared" si="3"/>
        <v/>
      </c>
      <c r="G4623" s="151"/>
      <c r="H4623" s="156"/>
      <c r="I4623" s="157"/>
      <c r="J4623" s="161"/>
      <c r="L4623" s="94"/>
      <c r="M4623" s="159"/>
      <c r="N4623" s="94"/>
    </row>
    <row r="4624">
      <c r="A4624" s="107">
        <v>1628981.0</v>
      </c>
      <c r="B4624" s="108" t="s">
        <v>243</v>
      </c>
      <c r="C4624" s="108" t="s">
        <v>1116</v>
      </c>
      <c r="D4624" s="100" t="str">
        <f t="shared" si="1"/>
        <v/>
      </c>
      <c r="E4624" s="100" t="str">
        <f t="shared" si="2"/>
        <v/>
      </c>
      <c r="F4624" s="100" t="str">
        <f t="shared" si="3"/>
        <v/>
      </c>
      <c r="G4624" s="151"/>
      <c r="H4624" s="160"/>
      <c r="I4624" s="157"/>
      <c r="J4624" s="158"/>
      <c r="L4624" s="94"/>
      <c r="M4624" s="159"/>
      <c r="N4624" s="94"/>
    </row>
    <row r="4625">
      <c r="A4625" s="107">
        <v>1628981.0</v>
      </c>
      <c r="B4625" s="108" t="s">
        <v>215</v>
      </c>
      <c r="C4625" s="108" t="s">
        <v>1116</v>
      </c>
      <c r="D4625" s="100" t="str">
        <f t="shared" si="1"/>
        <v/>
      </c>
      <c r="E4625" s="100" t="str">
        <f t="shared" si="2"/>
        <v/>
      </c>
      <c r="F4625" s="100" t="str">
        <f t="shared" si="3"/>
        <v/>
      </c>
      <c r="G4625" s="151"/>
      <c r="H4625" s="156"/>
      <c r="I4625" s="157"/>
      <c r="J4625" s="161"/>
      <c r="L4625" s="94"/>
      <c r="M4625" s="159"/>
      <c r="N4625" s="94"/>
    </row>
    <row r="4626">
      <c r="A4626" s="107">
        <v>1628981.0</v>
      </c>
      <c r="B4626" s="108" t="s">
        <v>244</v>
      </c>
      <c r="C4626" s="108" t="s">
        <v>1116</v>
      </c>
      <c r="D4626" s="100" t="str">
        <f t="shared" si="1"/>
        <v/>
      </c>
      <c r="E4626" s="100" t="str">
        <f t="shared" si="2"/>
        <v/>
      </c>
      <c r="F4626" s="100" t="str">
        <f t="shared" si="3"/>
        <v/>
      </c>
      <c r="G4626" s="151"/>
      <c r="H4626" s="160"/>
      <c r="I4626" s="157"/>
      <c r="J4626" s="158"/>
      <c r="L4626" s="94"/>
      <c r="M4626" s="159"/>
      <c r="N4626" s="94"/>
    </row>
    <row r="4627">
      <c r="A4627" s="107">
        <v>1628981.0</v>
      </c>
      <c r="B4627" s="108" t="s">
        <v>245</v>
      </c>
      <c r="C4627" s="108" t="s">
        <v>1116</v>
      </c>
      <c r="D4627" s="100" t="str">
        <f t="shared" si="1"/>
        <v/>
      </c>
      <c r="E4627" s="100" t="str">
        <f t="shared" si="2"/>
        <v/>
      </c>
      <c r="F4627" s="100" t="str">
        <f t="shared" si="3"/>
        <v/>
      </c>
      <c r="G4627" s="151"/>
      <c r="H4627" s="156"/>
      <c r="I4627" s="157"/>
      <c r="J4627" s="161"/>
      <c r="L4627" s="94"/>
      <c r="M4627" s="159"/>
      <c r="N4627" s="94"/>
    </row>
    <row r="4628">
      <c r="A4628" s="107">
        <v>1628981.0</v>
      </c>
      <c r="B4628" s="108" t="s">
        <v>246</v>
      </c>
      <c r="C4628" s="108" t="s">
        <v>1116</v>
      </c>
      <c r="D4628" s="100" t="str">
        <f t="shared" si="1"/>
        <v/>
      </c>
      <c r="E4628" s="100" t="str">
        <f t="shared" si="2"/>
        <v/>
      </c>
      <c r="F4628" s="100" t="str">
        <f t="shared" si="3"/>
        <v/>
      </c>
      <c r="G4628" s="151"/>
      <c r="H4628" s="160"/>
      <c r="I4628" s="157"/>
      <c r="J4628" s="158"/>
      <c r="L4628" s="94"/>
      <c r="M4628" s="159"/>
      <c r="N4628" s="94"/>
    </row>
    <row r="4629">
      <c r="A4629" s="107">
        <v>1628982.0</v>
      </c>
      <c r="B4629" s="108" t="s">
        <v>192</v>
      </c>
      <c r="C4629" s="108" t="s">
        <v>1117</v>
      </c>
      <c r="D4629" s="100" t="str">
        <f t="shared" si="1"/>
        <v/>
      </c>
      <c r="E4629" s="100" t="str">
        <f t="shared" si="2"/>
        <v/>
      </c>
      <c r="F4629" s="100" t="str">
        <f t="shared" si="3"/>
        <v/>
      </c>
      <c r="G4629" s="151"/>
      <c r="H4629" s="156"/>
      <c r="I4629" s="157"/>
      <c r="J4629" s="161"/>
      <c r="L4629" s="94"/>
      <c r="M4629" s="159"/>
      <c r="N4629" s="94"/>
    </row>
    <row r="4630">
      <c r="A4630" s="107">
        <v>1628982.0</v>
      </c>
      <c r="B4630" s="108" t="s">
        <v>193</v>
      </c>
      <c r="C4630" s="108" t="s">
        <v>1117</v>
      </c>
      <c r="D4630" s="100" t="str">
        <f t="shared" si="1"/>
        <v/>
      </c>
      <c r="E4630" s="100" t="str">
        <f t="shared" si="2"/>
        <v/>
      </c>
      <c r="F4630" s="100" t="str">
        <f t="shared" si="3"/>
        <v/>
      </c>
      <c r="G4630" s="151"/>
      <c r="H4630" s="160"/>
      <c r="I4630" s="157"/>
      <c r="J4630" s="158"/>
      <c r="L4630" s="94"/>
      <c r="M4630" s="159"/>
      <c r="N4630" s="94"/>
    </row>
    <row r="4631">
      <c r="A4631" s="107">
        <v>1628982.0</v>
      </c>
      <c r="B4631" s="108" t="s">
        <v>215</v>
      </c>
      <c r="C4631" s="108" t="s">
        <v>1117</v>
      </c>
      <c r="D4631" s="100" t="str">
        <f t="shared" si="1"/>
        <v/>
      </c>
      <c r="E4631" s="100" t="str">
        <f t="shared" si="2"/>
        <v/>
      </c>
      <c r="F4631" s="100" t="str">
        <f t="shared" si="3"/>
        <v/>
      </c>
      <c r="G4631" s="151"/>
      <c r="H4631" s="156"/>
      <c r="I4631" s="157"/>
      <c r="J4631" s="161"/>
      <c r="L4631" s="94"/>
      <c r="M4631" s="159"/>
      <c r="N4631" s="94"/>
    </row>
    <row r="4632">
      <c r="A4632" s="107">
        <v>1628983.0</v>
      </c>
      <c r="B4632" s="108" t="s">
        <v>192</v>
      </c>
      <c r="C4632" s="108" t="s">
        <v>1118</v>
      </c>
      <c r="D4632" s="100" t="str">
        <f t="shared" si="1"/>
        <v/>
      </c>
      <c r="E4632" s="100" t="str">
        <f t="shared" si="2"/>
        <v/>
      </c>
      <c r="F4632" s="100" t="str">
        <f t="shared" si="3"/>
        <v/>
      </c>
      <c r="G4632" s="151"/>
      <c r="H4632" s="160"/>
      <c r="I4632" s="157"/>
      <c r="J4632" s="158"/>
      <c r="L4632" s="94"/>
      <c r="M4632" s="159"/>
      <c r="N4632" s="94"/>
    </row>
    <row r="4633">
      <c r="A4633" s="107">
        <v>1628983.0</v>
      </c>
      <c r="B4633" s="108" t="s">
        <v>193</v>
      </c>
      <c r="C4633" s="108" t="s">
        <v>1118</v>
      </c>
      <c r="D4633" s="100" t="str">
        <f t="shared" si="1"/>
        <v/>
      </c>
      <c r="E4633" s="100" t="str">
        <f t="shared" si="2"/>
        <v/>
      </c>
      <c r="F4633" s="100" t="str">
        <f t="shared" si="3"/>
        <v/>
      </c>
      <c r="G4633" s="151"/>
      <c r="H4633" s="156"/>
      <c r="I4633" s="157"/>
      <c r="J4633" s="161"/>
      <c r="L4633" s="94"/>
      <c r="M4633" s="159"/>
      <c r="N4633" s="94"/>
    </row>
    <row r="4634">
      <c r="A4634" s="107">
        <v>1628983.0</v>
      </c>
      <c r="B4634" s="108" t="s">
        <v>243</v>
      </c>
      <c r="C4634" s="108" t="s">
        <v>1118</v>
      </c>
      <c r="D4634" s="100" t="str">
        <f t="shared" si="1"/>
        <v/>
      </c>
      <c r="E4634" s="100" t="str">
        <f t="shared" si="2"/>
        <v/>
      </c>
      <c r="F4634" s="100" t="str">
        <f t="shared" si="3"/>
        <v/>
      </c>
      <c r="G4634" s="151"/>
      <c r="H4634" s="160"/>
      <c r="I4634" s="157"/>
      <c r="J4634" s="158"/>
      <c r="L4634" s="94"/>
      <c r="M4634" s="159"/>
      <c r="N4634" s="94"/>
    </row>
    <row r="4635">
      <c r="A4635" s="107">
        <v>1628983.0</v>
      </c>
      <c r="B4635" s="108" t="s">
        <v>215</v>
      </c>
      <c r="C4635" s="108" t="s">
        <v>1118</v>
      </c>
      <c r="D4635" s="100" t="str">
        <f t="shared" si="1"/>
        <v/>
      </c>
      <c r="E4635" s="100" t="str">
        <f t="shared" si="2"/>
        <v/>
      </c>
      <c r="F4635" s="100" t="str">
        <f t="shared" si="3"/>
        <v/>
      </c>
      <c r="G4635" s="151"/>
      <c r="H4635" s="156"/>
      <c r="I4635" s="157"/>
      <c r="J4635" s="161"/>
      <c r="L4635" s="94"/>
      <c r="M4635" s="159"/>
      <c r="N4635" s="94"/>
    </row>
    <row r="4636">
      <c r="A4636" s="107">
        <v>1628983.0</v>
      </c>
      <c r="B4636" s="108" t="s">
        <v>244</v>
      </c>
      <c r="C4636" s="108" t="s">
        <v>1118</v>
      </c>
      <c r="D4636" s="100" t="str">
        <f t="shared" si="1"/>
        <v/>
      </c>
      <c r="E4636" s="100" t="str">
        <f t="shared" si="2"/>
        <v/>
      </c>
      <c r="F4636" s="100" t="str">
        <f t="shared" si="3"/>
        <v/>
      </c>
      <c r="G4636" s="151"/>
      <c r="H4636" s="160"/>
      <c r="I4636" s="157"/>
      <c r="J4636" s="158"/>
      <c r="L4636" s="94"/>
      <c r="M4636" s="159"/>
      <c r="N4636" s="94"/>
    </row>
    <row r="4637">
      <c r="A4637" s="107">
        <v>1628983.0</v>
      </c>
      <c r="B4637" s="108" t="s">
        <v>245</v>
      </c>
      <c r="C4637" s="108" t="s">
        <v>1118</v>
      </c>
      <c r="D4637" s="100" t="str">
        <f t="shared" si="1"/>
        <v/>
      </c>
      <c r="E4637" s="100" t="str">
        <f t="shared" si="2"/>
        <v/>
      </c>
      <c r="F4637" s="100" t="str">
        <f t="shared" si="3"/>
        <v/>
      </c>
      <c r="G4637" s="151"/>
      <c r="H4637" s="156"/>
      <c r="I4637" s="157"/>
      <c r="J4637" s="161"/>
      <c r="L4637" s="94"/>
      <c r="M4637" s="159"/>
      <c r="N4637" s="94"/>
    </row>
    <row r="4638">
      <c r="A4638" s="107">
        <v>1628983.0</v>
      </c>
      <c r="B4638" s="108" t="s">
        <v>246</v>
      </c>
      <c r="C4638" s="108" t="s">
        <v>1118</v>
      </c>
      <c r="D4638" s="100" t="str">
        <f t="shared" si="1"/>
        <v/>
      </c>
      <c r="E4638" s="100" t="str">
        <f t="shared" si="2"/>
        <v/>
      </c>
      <c r="F4638" s="100" t="str">
        <f t="shared" si="3"/>
        <v/>
      </c>
      <c r="G4638" s="151"/>
      <c r="H4638" s="160"/>
      <c r="I4638" s="157"/>
      <c r="J4638" s="158"/>
      <c r="L4638" s="94"/>
      <c r="M4638" s="159"/>
      <c r="N4638" s="94"/>
    </row>
    <row r="4639">
      <c r="A4639" s="149">
        <v>1628983.0</v>
      </c>
      <c r="B4639" s="115" t="s">
        <v>247</v>
      </c>
      <c r="C4639" s="115" t="s">
        <v>1118</v>
      </c>
      <c r="D4639" s="100" t="str">
        <f t="shared" si="1"/>
        <v/>
      </c>
      <c r="E4639" s="100" t="str">
        <f t="shared" si="2"/>
        <v/>
      </c>
      <c r="F4639" s="100" t="str">
        <f t="shared" si="3"/>
        <v/>
      </c>
      <c r="G4639" s="151"/>
      <c r="H4639" s="156"/>
      <c r="I4639" s="157"/>
      <c r="J4639" s="161"/>
      <c r="L4639" s="94"/>
      <c r="M4639" s="159"/>
      <c r="N4639" s="94"/>
    </row>
    <row r="4640">
      <c r="A4640" s="21">
        <v>1628984.0</v>
      </c>
      <c r="B4640" s="164" t="s">
        <v>192</v>
      </c>
      <c r="C4640" s="164" t="s">
        <v>1119</v>
      </c>
      <c r="D4640" s="100" t="str">
        <f t="shared" si="1"/>
        <v/>
      </c>
      <c r="E4640" s="100" t="str">
        <f t="shared" si="2"/>
        <v/>
      </c>
      <c r="F4640" s="100" t="str">
        <f t="shared" si="3"/>
        <v/>
      </c>
      <c r="G4640" s="151"/>
      <c r="H4640" s="160"/>
      <c r="I4640" s="157"/>
      <c r="J4640" s="158"/>
      <c r="L4640" s="94"/>
      <c r="M4640" s="159"/>
      <c r="N4640" s="94"/>
    </row>
    <row r="4641">
      <c r="A4641" s="107">
        <v>1628984.0</v>
      </c>
      <c r="B4641" s="108" t="s">
        <v>193</v>
      </c>
      <c r="C4641" s="108" t="s">
        <v>1119</v>
      </c>
      <c r="D4641" s="100" t="str">
        <f t="shared" si="1"/>
        <v/>
      </c>
      <c r="E4641" s="100" t="str">
        <f t="shared" si="2"/>
        <v/>
      </c>
      <c r="F4641" s="100" t="str">
        <f t="shared" si="3"/>
        <v/>
      </c>
      <c r="G4641" s="151"/>
      <c r="H4641" s="156"/>
      <c r="I4641" s="157"/>
      <c r="J4641" s="161"/>
      <c r="L4641" s="94"/>
      <c r="M4641" s="159"/>
      <c r="N4641" s="94"/>
    </row>
    <row r="4642">
      <c r="A4642" s="107">
        <v>1628984.0</v>
      </c>
      <c r="B4642" s="108" t="s">
        <v>243</v>
      </c>
      <c r="C4642" s="108" t="s">
        <v>1119</v>
      </c>
      <c r="D4642" s="100" t="str">
        <f t="shared" si="1"/>
        <v/>
      </c>
      <c r="E4642" s="100" t="str">
        <f t="shared" si="2"/>
        <v/>
      </c>
      <c r="F4642" s="100" t="str">
        <f t="shared" si="3"/>
        <v/>
      </c>
      <c r="G4642" s="151"/>
      <c r="H4642" s="160"/>
      <c r="I4642" s="157"/>
      <c r="J4642" s="158"/>
      <c r="L4642" s="94"/>
      <c r="M4642" s="159"/>
      <c r="N4642" s="94"/>
    </row>
    <row r="4643">
      <c r="A4643" s="107">
        <v>1628984.0</v>
      </c>
      <c r="B4643" s="108" t="s">
        <v>215</v>
      </c>
      <c r="C4643" s="108" t="s">
        <v>1119</v>
      </c>
      <c r="D4643" s="100" t="str">
        <f t="shared" si="1"/>
        <v/>
      </c>
      <c r="E4643" s="100" t="str">
        <f t="shared" si="2"/>
        <v/>
      </c>
      <c r="F4643" s="100" t="str">
        <f t="shared" si="3"/>
        <v/>
      </c>
      <c r="G4643" s="151"/>
      <c r="H4643" s="156"/>
      <c r="I4643" s="157"/>
      <c r="J4643" s="161"/>
      <c r="L4643" s="94"/>
      <c r="M4643" s="159"/>
      <c r="N4643" s="94"/>
    </row>
    <row r="4644">
      <c r="A4644" s="107">
        <v>1628984.0</v>
      </c>
      <c r="B4644" s="108" t="s">
        <v>244</v>
      </c>
      <c r="C4644" s="108" t="s">
        <v>1119</v>
      </c>
      <c r="D4644" s="100" t="str">
        <f t="shared" si="1"/>
        <v/>
      </c>
      <c r="E4644" s="100" t="str">
        <f t="shared" si="2"/>
        <v/>
      </c>
      <c r="F4644" s="100" t="str">
        <f t="shared" si="3"/>
        <v/>
      </c>
      <c r="G4644" s="151"/>
      <c r="H4644" s="160"/>
      <c r="I4644" s="157"/>
      <c r="J4644" s="158"/>
      <c r="L4644" s="94"/>
      <c r="M4644" s="159"/>
      <c r="N4644" s="94"/>
    </row>
    <row r="4645">
      <c r="A4645" s="107">
        <v>1628984.0</v>
      </c>
      <c r="B4645" s="108" t="s">
        <v>245</v>
      </c>
      <c r="C4645" s="108" t="s">
        <v>1119</v>
      </c>
      <c r="D4645" s="100" t="str">
        <f t="shared" si="1"/>
        <v/>
      </c>
      <c r="E4645" s="100" t="str">
        <f t="shared" si="2"/>
        <v/>
      </c>
      <c r="F4645" s="100" t="str">
        <f t="shared" si="3"/>
        <v/>
      </c>
      <c r="G4645" s="151"/>
      <c r="H4645" s="156"/>
      <c r="I4645" s="157"/>
      <c r="J4645" s="161"/>
      <c r="L4645" s="94"/>
      <c r="M4645" s="159"/>
      <c r="N4645" s="94"/>
    </row>
    <row r="4646">
      <c r="A4646" s="107">
        <v>1628985.0</v>
      </c>
      <c r="B4646" s="108" t="s">
        <v>193</v>
      </c>
      <c r="C4646" s="108" t="s">
        <v>1120</v>
      </c>
      <c r="D4646" s="100" t="str">
        <f t="shared" si="1"/>
        <v/>
      </c>
      <c r="E4646" s="100" t="str">
        <f t="shared" si="2"/>
        <v/>
      </c>
      <c r="F4646" s="100" t="str">
        <f t="shared" si="3"/>
        <v/>
      </c>
      <c r="G4646" s="151"/>
      <c r="H4646" s="160"/>
      <c r="I4646" s="157"/>
      <c r="J4646" s="158"/>
      <c r="L4646" s="94"/>
      <c r="M4646" s="159"/>
      <c r="N4646" s="94"/>
    </row>
    <row r="4647">
      <c r="A4647" s="107">
        <v>1628987.0</v>
      </c>
      <c r="B4647" s="108" t="s">
        <v>193</v>
      </c>
      <c r="C4647" s="108" t="s">
        <v>1121</v>
      </c>
      <c r="D4647" s="100" t="str">
        <f t="shared" si="1"/>
        <v/>
      </c>
      <c r="E4647" s="100" t="str">
        <f t="shared" si="2"/>
        <v/>
      </c>
      <c r="F4647" s="100" t="str">
        <f t="shared" si="3"/>
        <v/>
      </c>
      <c r="G4647" s="151"/>
      <c r="H4647" s="156"/>
      <c r="I4647" s="157"/>
      <c r="J4647" s="161"/>
      <c r="L4647" s="94"/>
      <c r="M4647" s="159"/>
      <c r="N4647" s="94"/>
    </row>
    <row r="4648">
      <c r="A4648" s="107">
        <v>1628988.0</v>
      </c>
      <c r="B4648" s="108" t="s">
        <v>192</v>
      </c>
      <c r="C4648" s="108" t="s">
        <v>1122</v>
      </c>
      <c r="D4648" s="100" t="str">
        <f t="shared" si="1"/>
        <v/>
      </c>
      <c r="E4648" s="100" t="str">
        <f t="shared" si="2"/>
        <v/>
      </c>
      <c r="F4648" s="100" t="str">
        <f t="shared" si="3"/>
        <v/>
      </c>
      <c r="G4648" s="151"/>
      <c r="H4648" s="160"/>
      <c r="I4648" s="157"/>
      <c r="J4648" s="158"/>
      <c r="L4648" s="94"/>
      <c r="M4648" s="159"/>
      <c r="N4648" s="94"/>
    </row>
    <row r="4649">
      <c r="A4649" s="107">
        <v>1628988.0</v>
      </c>
      <c r="B4649" s="108" t="s">
        <v>193</v>
      </c>
      <c r="C4649" s="108" t="s">
        <v>1122</v>
      </c>
      <c r="D4649" s="100" t="str">
        <f t="shared" si="1"/>
        <v/>
      </c>
      <c r="E4649" s="100" t="str">
        <f t="shared" si="2"/>
        <v/>
      </c>
      <c r="F4649" s="100" t="str">
        <f t="shared" si="3"/>
        <v/>
      </c>
      <c r="G4649" s="151"/>
      <c r="H4649" s="156"/>
      <c r="I4649" s="157"/>
      <c r="J4649" s="161"/>
      <c r="L4649" s="94"/>
      <c r="M4649" s="159"/>
      <c r="N4649" s="94"/>
    </row>
    <row r="4650">
      <c r="A4650" s="107">
        <v>1628988.0</v>
      </c>
      <c r="B4650" s="108" t="s">
        <v>243</v>
      </c>
      <c r="C4650" s="108" t="s">
        <v>1122</v>
      </c>
      <c r="D4650" s="100" t="str">
        <f t="shared" si="1"/>
        <v/>
      </c>
      <c r="E4650" s="100" t="str">
        <f t="shared" si="2"/>
        <v/>
      </c>
      <c r="F4650" s="100" t="str">
        <f t="shared" si="3"/>
        <v/>
      </c>
      <c r="G4650" s="151"/>
      <c r="H4650" s="160"/>
      <c r="I4650" s="157"/>
      <c r="J4650" s="158"/>
      <c r="L4650" s="94"/>
      <c r="M4650" s="159"/>
      <c r="N4650" s="94"/>
    </row>
    <row r="4651">
      <c r="A4651" s="107">
        <v>1628988.0</v>
      </c>
      <c r="B4651" s="108" t="s">
        <v>215</v>
      </c>
      <c r="C4651" s="108" t="s">
        <v>1122</v>
      </c>
      <c r="D4651" s="100" t="str">
        <f t="shared" si="1"/>
        <v/>
      </c>
      <c r="E4651" s="100" t="str">
        <f t="shared" si="2"/>
        <v/>
      </c>
      <c r="F4651" s="100" t="str">
        <f t="shared" si="3"/>
        <v/>
      </c>
      <c r="G4651" s="151"/>
      <c r="H4651" s="156"/>
      <c r="I4651" s="157"/>
      <c r="J4651" s="161"/>
      <c r="L4651" s="94"/>
      <c r="M4651" s="159"/>
      <c r="N4651" s="94"/>
    </row>
    <row r="4652">
      <c r="A4652" s="107">
        <v>1628988.0</v>
      </c>
      <c r="B4652" s="108" t="s">
        <v>244</v>
      </c>
      <c r="C4652" s="108" t="s">
        <v>1122</v>
      </c>
      <c r="D4652" s="100" t="str">
        <f t="shared" si="1"/>
        <v/>
      </c>
      <c r="E4652" s="100" t="str">
        <f t="shared" si="2"/>
        <v/>
      </c>
      <c r="F4652" s="100" t="str">
        <f t="shared" si="3"/>
        <v/>
      </c>
      <c r="G4652" s="151"/>
      <c r="H4652" s="160"/>
      <c r="I4652" s="157"/>
      <c r="J4652" s="158"/>
      <c r="L4652" s="94"/>
      <c r="M4652" s="159"/>
      <c r="N4652" s="94"/>
    </row>
    <row r="4653">
      <c r="A4653" s="107">
        <v>1628988.0</v>
      </c>
      <c r="B4653" s="108" t="s">
        <v>245</v>
      </c>
      <c r="C4653" s="108" t="s">
        <v>1122</v>
      </c>
      <c r="D4653" s="100" t="str">
        <f t="shared" si="1"/>
        <v/>
      </c>
      <c r="E4653" s="100" t="str">
        <f t="shared" si="2"/>
        <v/>
      </c>
      <c r="F4653" s="100" t="str">
        <f t="shared" si="3"/>
        <v/>
      </c>
      <c r="G4653" s="151"/>
      <c r="H4653" s="156"/>
      <c r="I4653" s="157"/>
      <c r="J4653" s="161"/>
      <c r="L4653" s="94"/>
      <c r="M4653" s="159"/>
      <c r="N4653" s="94"/>
    </row>
    <row r="4654">
      <c r="A4654" s="107">
        <v>1628988.0</v>
      </c>
      <c r="B4654" s="108" t="s">
        <v>246</v>
      </c>
      <c r="C4654" s="108" t="s">
        <v>1122</v>
      </c>
      <c r="D4654" s="100" t="str">
        <f t="shared" si="1"/>
        <v/>
      </c>
      <c r="E4654" s="100" t="str">
        <f t="shared" si="2"/>
        <v/>
      </c>
      <c r="F4654" s="100" t="str">
        <f t="shared" si="3"/>
        <v/>
      </c>
      <c r="G4654" s="151"/>
      <c r="H4654" s="160"/>
      <c r="I4654" s="157"/>
      <c r="J4654" s="158"/>
      <c r="L4654" s="94"/>
      <c r="M4654" s="159"/>
      <c r="N4654" s="94"/>
    </row>
    <row r="4655">
      <c r="A4655" s="149">
        <v>1628988.0</v>
      </c>
      <c r="B4655" s="115" t="s">
        <v>247</v>
      </c>
      <c r="C4655" s="115" t="s">
        <v>1122</v>
      </c>
      <c r="D4655" s="100" t="str">
        <f t="shared" si="1"/>
        <v/>
      </c>
      <c r="E4655" s="100" t="str">
        <f t="shared" si="2"/>
        <v/>
      </c>
      <c r="F4655" s="100" t="str">
        <f t="shared" si="3"/>
        <v/>
      </c>
      <c r="G4655" s="151"/>
      <c r="H4655" s="156"/>
      <c r="I4655" s="157"/>
      <c r="J4655" s="161"/>
      <c r="L4655" s="94"/>
      <c r="M4655" s="159"/>
      <c r="N4655" s="94"/>
    </row>
    <row r="4656">
      <c r="A4656" s="21">
        <v>1628989.0</v>
      </c>
      <c r="B4656" s="164" t="s">
        <v>192</v>
      </c>
      <c r="C4656" s="164" t="s">
        <v>1123</v>
      </c>
      <c r="D4656" s="100" t="str">
        <f t="shared" si="1"/>
        <v/>
      </c>
      <c r="E4656" s="100" t="str">
        <f t="shared" si="2"/>
        <v/>
      </c>
      <c r="F4656" s="100" t="str">
        <f t="shared" si="3"/>
        <v/>
      </c>
      <c r="G4656" s="151"/>
      <c r="H4656" s="160"/>
      <c r="I4656" s="157"/>
      <c r="J4656" s="158"/>
      <c r="L4656" s="94"/>
      <c r="M4656" s="159"/>
      <c r="N4656" s="94"/>
    </row>
    <row r="4657">
      <c r="A4657" s="107">
        <v>1628989.0</v>
      </c>
      <c r="B4657" s="108" t="s">
        <v>193</v>
      </c>
      <c r="C4657" s="108" t="s">
        <v>1123</v>
      </c>
      <c r="D4657" s="100" t="str">
        <f t="shared" si="1"/>
        <v/>
      </c>
      <c r="E4657" s="100" t="str">
        <f t="shared" si="2"/>
        <v/>
      </c>
      <c r="F4657" s="100" t="str">
        <f t="shared" si="3"/>
        <v/>
      </c>
      <c r="G4657" s="151"/>
      <c r="H4657" s="156"/>
      <c r="I4657" s="157"/>
      <c r="J4657" s="161"/>
      <c r="L4657" s="94"/>
      <c r="M4657" s="159"/>
      <c r="N4657" s="94"/>
    </row>
    <row r="4658">
      <c r="A4658" s="107">
        <v>1628989.0</v>
      </c>
      <c r="B4658" s="108" t="s">
        <v>243</v>
      </c>
      <c r="C4658" s="108" t="s">
        <v>1123</v>
      </c>
      <c r="D4658" s="100" t="str">
        <f t="shared" si="1"/>
        <v/>
      </c>
      <c r="E4658" s="100" t="str">
        <f t="shared" si="2"/>
        <v/>
      </c>
      <c r="F4658" s="100" t="str">
        <f t="shared" si="3"/>
        <v/>
      </c>
      <c r="G4658" s="151"/>
      <c r="H4658" s="160"/>
      <c r="I4658" s="157"/>
      <c r="J4658" s="158"/>
      <c r="L4658" s="94"/>
      <c r="M4658" s="159"/>
      <c r="N4658" s="94"/>
    </row>
    <row r="4659">
      <c r="A4659" s="107">
        <v>1628989.0</v>
      </c>
      <c r="B4659" s="108" t="s">
        <v>215</v>
      </c>
      <c r="C4659" s="108" t="s">
        <v>1123</v>
      </c>
      <c r="D4659" s="100" t="str">
        <f t="shared" si="1"/>
        <v/>
      </c>
      <c r="E4659" s="100" t="str">
        <f t="shared" si="2"/>
        <v/>
      </c>
      <c r="F4659" s="100" t="str">
        <f t="shared" si="3"/>
        <v/>
      </c>
      <c r="G4659" s="151"/>
      <c r="H4659" s="156"/>
      <c r="I4659" s="157"/>
      <c r="J4659" s="161"/>
      <c r="L4659" s="94"/>
      <c r="M4659" s="159"/>
      <c r="N4659" s="94"/>
    </row>
    <row r="4660">
      <c r="A4660" s="107">
        <v>1628989.0</v>
      </c>
      <c r="B4660" s="108" t="s">
        <v>244</v>
      </c>
      <c r="C4660" s="108" t="s">
        <v>1123</v>
      </c>
      <c r="D4660" s="100" t="str">
        <f t="shared" si="1"/>
        <v/>
      </c>
      <c r="E4660" s="100" t="str">
        <f t="shared" si="2"/>
        <v/>
      </c>
      <c r="F4660" s="100" t="str">
        <f t="shared" si="3"/>
        <v/>
      </c>
      <c r="G4660" s="151"/>
      <c r="H4660" s="160"/>
      <c r="I4660" s="157"/>
      <c r="J4660" s="158"/>
      <c r="L4660" s="94"/>
      <c r="M4660" s="159"/>
      <c r="N4660" s="94"/>
    </row>
    <row r="4661">
      <c r="A4661" s="107">
        <v>1628989.0</v>
      </c>
      <c r="B4661" s="108" t="s">
        <v>245</v>
      </c>
      <c r="C4661" s="108" t="s">
        <v>1123</v>
      </c>
      <c r="D4661" s="100" t="str">
        <f t="shared" si="1"/>
        <v/>
      </c>
      <c r="E4661" s="100" t="str">
        <f t="shared" si="2"/>
        <v/>
      </c>
      <c r="F4661" s="100" t="str">
        <f t="shared" si="3"/>
        <v/>
      </c>
      <c r="G4661" s="151"/>
      <c r="H4661" s="156"/>
      <c r="I4661" s="157"/>
      <c r="J4661" s="161"/>
      <c r="L4661" s="94"/>
      <c r="M4661" s="159"/>
      <c r="N4661" s="94"/>
    </row>
    <row r="4662">
      <c r="A4662" s="107">
        <v>1628989.0</v>
      </c>
      <c r="B4662" s="108" t="s">
        <v>246</v>
      </c>
      <c r="C4662" s="108" t="s">
        <v>1123</v>
      </c>
      <c r="D4662" s="100" t="str">
        <f t="shared" si="1"/>
        <v/>
      </c>
      <c r="E4662" s="100" t="str">
        <f t="shared" si="2"/>
        <v/>
      </c>
      <c r="F4662" s="100" t="str">
        <f t="shared" si="3"/>
        <v/>
      </c>
      <c r="G4662" s="151"/>
      <c r="H4662" s="160"/>
      <c r="I4662" s="157"/>
      <c r="J4662" s="158"/>
      <c r="L4662" s="94"/>
      <c r="M4662" s="159"/>
      <c r="N4662" s="94"/>
    </row>
    <row r="4663">
      <c r="A4663" s="149">
        <v>1628989.0</v>
      </c>
      <c r="B4663" s="115" t="s">
        <v>247</v>
      </c>
      <c r="C4663" s="115" t="s">
        <v>1123</v>
      </c>
      <c r="D4663" s="100" t="str">
        <f t="shared" si="1"/>
        <v/>
      </c>
      <c r="E4663" s="100" t="str">
        <f t="shared" si="2"/>
        <v/>
      </c>
      <c r="F4663" s="100" t="str">
        <f t="shared" si="3"/>
        <v/>
      </c>
      <c r="G4663" s="151"/>
      <c r="H4663" s="156"/>
      <c r="I4663" s="157"/>
      <c r="J4663" s="161"/>
      <c r="L4663" s="94"/>
      <c r="M4663" s="159"/>
      <c r="N4663" s="94"/>
    </row>
    <row r="4664">
      <c r="A4664" s="21">
        <v>1628990.0</v>
      </c>
      <c r="B4664" s="164" t="s">
        <v>192</v>
      </c>
      <c r="C4664" s="164" t="s">
        <v>1124</v>
      </c>
      <c r="D4664" s="100" t="str">
        <f t="shared" si="1"/>
        <v/>
      </c>
      <c r="E4664" s="100" t="str">
        <f t="shared" si="2"/>
        <v/>
      </c>
      <c r="F4664" s="100" t="str">
        <f t="shared" si="3"/>
        <v/>
      </c>
      <c r="G4664" s="151"/>
      <c r="H4664" s="160"/>
      <c r="I4664" s="157"/>
      <c r="J4664" s="158"/>
      <c r="L4664" s="94"/>
      <c r="M4664" s="159"/>
      <c r="N4664" s="94"/>
    </row>
    <row r="4665">
      <c r="A4665" s="107">
        <v>1628990.0</v>
      </c>
      <c r="B4665" s="108" t="s">
        <v>193</v>
      </c>
      <c r="C4665" s="108" t="s">
        <v>1124</v>
      </c>
      <c r="D4665" s="100" t="str">
        <f t="shared" si="1"/>
        <v/>
      </c>
      <c r="E4665" s="100" t="str">
        <f t="shared" si="2"/>
        <v/>
      </c>
      <c r="F4665" s="100" t="str">
        <f t="shared" si="3"/>
        <v/>
      </c>
      <c r="G4665" s="151"/>
      <c r="H4665" s="156"/>
      <c r="I4665" s="157"/>
      <c r="J4665" s="161"/>
      <c r="L4665" s="94"/>
      <c r="M4665" s="159"/>
      <c r="N4665" s="94"/>
    </row>
    <row r="4666">
      <c r="A4666" s="107">
        <v>1628990.0</v>
      </c>
      <c r="B4666" s="108" t="s">
        <v>243</v>
      </c>
      <c r="C4666" s="108" t="s">
        <v>1124</v>
      </c>
      <c r="D4666" s="100" t="str">
        <f t="shared" si="1"/>
        <v/>
      </c>
      <c r="E4666" s="100" t="str">
        <f t="shared" si="2"/>
        <v/>
      </c>
      <c r="F4666" s="100" t="str">
        <f t="shared" si="3"/>
        <v/>
      </c>
      <c r="G4666" s="151"/>
      <c r="H4666" s="160"/>
      <c r="I4666" s="157"/>
      <c r="J4666" s="158"/>
      <c r="L4666" s="94"/>
      <c r="M4666" s="159"/>
      <c r="N4666" s="94"/>
    </row>
    <row r="4667">
      <c r="A4667" s="107">
        <v>1628990.0</v>
      </c>
      <c r="B4667" s="108" t="s">
        <v>215</v>
      </c>
      <c r="C4667" s="108" t="s">
        <v>1124</v>
      </c>
      <c r="D4667" s="100" t="str">
        <f t="shared" si="1"/>
        <v/>
      </c>
      <c r="E4667" s="100" t="str">
        <f t="shared" si="2"/>
        <v/>
      </c>
      <c r="F4667" s="100" t="str">
        <f t="shared" si="3"/>
        <v/>
      </c>
      <c r="G4667" s="151"/>
      <c r="H4667" s="156"/>
      <c r="I4667" s="157"/>
      <c r="J4667" s="161"/>
      <c r="L4667" s="94"/>
      <c r="M4667" s="159"/>
      <c r="N4667" s="94"/>
    </row>
    <row r="4668">
      <c r="A4668" s="107">
        <v>1628991.0</v>
      </c>
      <c r="B4668" s="108" t="s">
        <v>192</v>
      </c>
      <c r="C4668" s="108" t="s">
        <v>1125</v>
      </c>
      <c r="D4668" s="100" t="str">
        <f t="shared" si="1"/>
        <v/>
      </c>
      <c r="E4668" s="100" t="str">
        <f t="shared" si="2"/>
        <v/>
      </c>
      <c r="F4668" s="100" t="str">
        <f t="shared" si="3"/>
        <v/>
      </c>
      <c r="G4668" s="151"/>
      <c r="H4668" s="160"/>
      <c r="I4668" s="157"/>
      <c r="J4668" s="158"/>
      <c r="L4668" s="94"/>
      <c r="M4668" s="159"/>
      <c r="N4668" s="94"/>
    </row>
    <row r="4669">
      <c r="A4669" s="107">
        <v>1628991.0</v>
      </c>
      <c r="B4669" s="108" t="s">
        <v>193</v>
      </c>
      <c r="C4669" s="108" t="s">
        <v>1125</v>
      </c>
      <c r="D4669" s="100" t="str">
        <f t="shared" si="1"/>
        <v/>
      </c>
      <c r="E4669" s="100" t="str">
        <f t="shared" si="2"/>
        <v/>
      </c>
      <c r="F4669" s="100" t="str">
        <f t="shared" si="3"/>
        <v/>
      </c>
      <c r="G4669" s="151"/>
      <c r="H4669" s="156"/>
      <c r="I4669" s="157"/>
      <c r="J4669" s="161"/>
      <c r="L4669" s="94"/>
      <c r="M4669" s="159"/>
      <c r="N4669" s="94"/>
    </row>
    <row r="4670">
      <c r="A4670" s="107">
        <v>1628991.0</v>
      </c>
      <c r="B4670" s="108" t="s">
        <v>243</v>
      </c>
      <c r="C4670" s="108" t="s">
        <v>1125</v>
      </c>
      <c r="D4670" s="100" t="str">
        <f t="shared" si="1"/>
        <v/>
      </c>
      <c r="E4670" s="100" t="str">
        <f t="shared" si="2"/>
        <v/>
      </c>
      <c r="F4670" s="100" t="str">
        <f t="shared" si="3"/>
        <v/>
      </c>
      <c r="G4670" s="151"/>
      <c r="H4670" s="160"/>
      <c r="I4670" s="157"/>
      <c r="J4670" s="158"/>
      <c r="L4670" s="94"/>
      <c r="M4670" s="159"/>
      <c r="N4670" s="94"/>
    </row>
    <row r="4671">
      <c r="A4671" s="107">
        <v>1628991.0</v>
      </c>
      <c r="B4671" s="108" t="s">
        <v>215</v>
      </c>
      <c r="C4671" s="108" t="s">
        <v>1125</v>
      </c>
      <c r="D4671" s="100" t="str">
        <f t="shared" si="1"/>
        <v/>
      </c>
      <c r="E4671" s="100" t="str">
        <f t="shared" si="2"/>
        <v/>
      </c>
      <c r="F4671" s="100" t="str">
        <f t="shared" si="3"/>
        <v/>
      </c>
      <c r="G4671" s="151"/>
      <c r="H4671" s="156"/>
      <c r="I4671" s="157"/>
      <c r="J4671" s="161"/>
      <c r="L4671" s="94"/>
      <c r="M4671" s="159"/>
      <c r="N4671" s="94"/>
    </row>
    <row r="4672">
      <c r="A4672" s="107">
        <v>1628991.0</v>
      </c>
      <c r="B4672" s="108" t="s">
        <v>244</v>
      </c>
      <c r="C4672" s="108" t="s">
        <v>1125</v>
      </c>
      <c r="D4672" s="100" t="str">
        <f t="shared" si="1"/>
        <v/>
      </c>
      <c r="E4672" s="100" t="str">
        <f t="shared" si="2"/>
        <v/>
      </c>
      <c r="F4672" s="100" t="str">
        <f t="shared" si="3"/>
        <v/>
      </c>
      <c r="G4672" s="151"/>
      <c r="H4672" s="160"/>
      <c r="I4672" s="157"/>
      <c r="J4672" s="158"/>
      <c r="L4672" s="94"/>
      <c r="M4672" s="159"/>
      <c r="N4672" s="94"/>
    </row>
    <row r="4673">
      <c r="A4673" s="107">
        <v>1628991.0</v>
      </c>
      <c r="B4673" s="108" t="s">
        <v>245</v>
      </c>
      <c r="C4673" s="108" t="s">
        <v>1125</v>
      </c>
      <c r="D4673" s="100" t="str">
        <f t="shared" si="1"/>
        <v/>
      </c>
      <c r="E4673" s="100" t="str">
        <f t="shared" si="2"/>
        <v/>
      </c>
      <c r="F4673" s="100" t="str">
        <f t="shared" si="3"/>
        <v/>
      </c>
      <c r="G4673" s="151"/>
      <c r="H4673" s="156"/>
      <c r="I4673" s="157"/>
      <c r="J4673" s="161"/>
      <c r="L4673" s="94"/>
      <c r="M4673" s="159"/>
      <c r="N4673" s="94"/>
    </row>
    <row r="4674">
      <c r="A4674" s="107">
        <v>1628991.0</v>
      </c>
      <c r="B4674" s="108" t="s">
        <v>246</v>
      </c>
      <c r="C4674" s="108" t="s">
        <v>1125</v>
      </c>
      <c r="D4674" s="100" t="str">
        <f t="shared" si="1"/>
        <v/>
      </c>
      <c r="E4674" s="100" t="str">
        <f t="shared" si="2"/>
        <v/>
      </c>
      <c r="F4674" s="100" t="str">
        <f t="shared" si="3"/>
        <v/>
      </c>
      <c r="G4674" s="151"/>
      <c r="H4674" s="160"/>
      <c r="I4674" s="157"/>
      <c r="J4674" s="158"/>
      <c r="L4674" s="94"/>
      <c r="M4674" s="159"/>
      <c r="N4674" s="94"/>
    </row>
    <row r="4675">
      <c r="A4675" s="149">
        <v>1628991.0</v>
      </c>
      <c r="B4675" s="115" t="s">
        <v>247</v>
      </c>
      <c r="C4675" s="108" t="s">
        <v>1125</v>
      </c>
      <c r="D4675" s="100" t="str">
        <f t="shared" si="1"/>
        <v/>
      </c>
      <c r="E4675" s="100" t="str">
        <f t="shared" si="2"/>
        <v/>
      </c>
      <c r="F4675" s="100" t="str">
        <f t="shared" si="3"/>
        <v/>
      </c>
      <c r="G4675" s="151"/>
      <c r="H4675" s="156"/>
      <c r="I4675" s="157"/>
      <c r="J4675" s="161"/>
      <c r="L4675" s="94"/>
      <c r="M4675" s="159"/>
      <c r="N4675" s="94"/>
    </row>
    <row r="4676">
      <c r="A4676" s="21">
        <v>1628993.0</v>
      </c>
      <c r="B4676" s="164" t="s">
        <v>192</v>
      </c>
      <c r="C4676" s="164" t="s">
        <v>1126</v>
      </c>
      <c r="D4676" s="100" t="str">
        <f t="shared" si="1"/>
        <v/>
      </c>
      <c r="E4676" s="100" t="str">
        <f t="shared" si="2"/>
        <v/>
      </c>
      <c r="F4676" s="100" t="str">
        <f t="shared" si="3"/>
        <v/>
      </c>
      <c r="G4676" s="151"/>
      <c r="H4676" s="160"/>
      <c r="I4676" s="157"/>
      <c r="J4676" s="158"/>
      <c r="L4676" s="94"/>
      <c r="M4676" s="159"/>
      <c r="N4676" s="94"/>
    </row>
    <row r="4677">
      <c r="A4677" s="107">
        <v>1628993.0</v>
      </c>
      <c r="B4677" s="108" t="s">
        <v>193</v>
      </c>
      <c r="C4677" s="108" t="s">
        <v>1126</v>
      </c>
      <c r="D4677" s="100" t="str">
        <f t="shared" si="1"/>
        <v/>
      </c>
      <c r="E4677" s="100" t="str">
        <f t="shared" si="2"/>
        <v/>
      </c>
      <c r="F4677" s="100" t="str">
        <f t="shared" si="3"/>
        <v/>
      </c>
      <c r="G4677" s="151"/>
      <c r="H4677" s="156"/>
      <c r="I4677" s="157"/>
      <c r="J4677" s="161"/>
      <c r="L4677" s="94"/>
      <c r="M4677" s="159"/>
      <c r="N4677" s="94"/>
    </row>
    <row r="4678">
      <c r="A4678" s="107">
        <v>1628993.0</v>
      </c>
      <c r="B4678" s="108" t="s">
        <v>243</v>
      </c>
      <c r="C4678" s="108" t="s">
        <v>1126</v>
      </c>
      <c r="D4678" s="100" t="str">
        <f t="shared" si="1"/>
        <v/>
      </c>
      <c r="E4678" s="100" t="str">
        <f t="shared" si="2"/>
        <v/>
      </c>
      <c r="F4678" s="100" t="str">
        <f t="shared" si="3"/>
        <v/>
      </c>
      <c r="G4678" s="151"/>
      <c r="H4678" s="160"/>
      <c r="I4678" s="157"/>
      <c r="J4678" s="158"/>
      <c r="L4678" s="94"/>
      <c r="M4678" s="159"/>
      <c r="N4678" s="94"/>
    </row>
    <row r="4679">
      <c r="A4679" s="107">
        <v>1628993.0</v>
      </c>
      <c r="B4679" s="108" t="s">
        <v>215</v>
      </c>
      <c r="C4679" s="108" t="s">
        <v>1126</v>
      </c>
      <c r="D4679" s="100" t="str">
        <f t="shared" si="1"/>
        <v/>
      </c>
      <c r="E4679" s="100" t="str">
        <f t="shared" si="2"/>
        <v/>
      </c>
      <c r="F4679" s="100" t="str">
        <f t="shared" si="3"/>
        <v/>
      </c>
      <c r="G4679" s="151"/>
      <c r="H4679" s="156"/>
      <c r="I4679" s="157"/>
      <c r="J4679" s="161"/>
      <c r="L4679" s="94"/>
      <c r="M4679" s="159"/>
      <c r="N4679" s="94"/>
    </row>
    <row r="4680">
      <c r="A4680" s="107">
        <v>1628993.0</v>
      </c>
      <c r="B4680" s="108" t="s">
        <v>244</v>
      </c>
      <c r="C4680" s="108" t="s">
        <v>1126</v>
      </c>
      <c r="D4680" s="100" t="str">
        <f t="shared" si="1"/>
        <v/>
      </c>
      <c r="E4680" s="100" t="str">
        <f t="shared" si="2"/>
        <v/>
      </c>
      <c r="F4680" s="100" t="str">
        <f t="shared" si="3"/>
        <v/>
      </c>
      <c r="G4680" s="151"/>
      <c r="H4680" s="160"/>
      <c r="I4680" s="157"/>
      <c r="J4680" s="158"/>
      <c r="L4680" s="94"/>
      <c r="M4680" s="159"/>
      <c r="N4680" s="94"/>
    </row>
    <row r="4681">
      <c r="A4681" s="107">
        <v>1628994.0</v>
      </c>
      <c r="B4681" s="108" t="s">
        <v>192</v>
      </c>
      <c r="C4681" s="108" t="s">
        <v>1127</v>
      </c>
      <c r="D4681" s="100" t="str">
        <f t="shared" si="1"/>
        <v/>
      </c>
      <c r="E4681" s="100" t="str">
        <f t="shared" si="2"/>
        <v/>
      </c>
      <c r="F4681" s="100" t="str">
        <f t="shared" si="3"/>
        <v/>
      </c>
      <c r="G4681" s="151"/>
      <c r="H4681" s="156"/>
      <c r="I4681" s="157"/>
      <c r="J4681" s="161"/>
      <c r="L4681" s="94"/>
      <c r="M4681" s="159"/>
      <c r="N4681" s="94"/>
    </row>
    <row r="4682">
      <c r="A4682" s="107">
        <v>1628994.0</v>
      </c>
      <c r="B4682" s="108" t="s">
        <v>215</v>
      </c>
      <c r="C4682" s="108" t="s">
        <v>1127</v>
      </c>
      <c r="D4682" s="100" t="str">
        <f t="shared" si="1"/>
        <v/>
      </c>
      <c r="E4682" s="100" t="str">
        <f t="shared" si="2"/>
        <v/>
      </c>
      <c r="F4682" s="100" t="str">
        <f t="shared" si="3"/>
        <v/>
      </c>
      <c r="G4682" s="151"/>
      <c r="H4682" s="160"/>
      <c r="I4682" s="157"/>
      <c r="J4682" s="158"/>
      <c r="L4682" s="94"/>
      <c r="M4682" s="159"/>
      <c r="N4682" s="94"/>
    </row>
    <row r="4683">
      <c r="A4683" s="107">
        <v>1628995.0</v>
      </c>
      <c r="B4683" s="108" t="s">
        <v>192</v>
      </c>
      <c r="C4683" s="108" t="s">
        <v>1128</v>
      </c>
      <c r="D4683" s="100" t="str">
        <f t="shared" si="1"/>
        <v/>
      </c>
      <c r="E4683" s="100" t="str">
        <f t="shared" si="2"/>
        <v/>
      </c>
      <c r="F4683" s="100" t="str">
        <f t="shared" si="3"/>
        <v/>
      </c>
      <c r="G4683" s="151"/>
      <c r="H4683" s="156"/>
      <c r="I4683" s="157"/>
      <c r="J4683" s="161"/>
      <c r="L4683" s="94"/>
      <c r="M4683" s="159"/>
      <c r="N4683" s="94"/>
    </row>
    <row r="4684">
      <c r="A4684" s="107">
        <v>1628995.0</v>
      </c>
      <c r="B4684" s="108" t="s">
        <v>193</v>
      </c>
      <c r="C4684" s="108" t="s">
        <v>1128</v>
      </c>
      <c r="D4684" s="100" t="str">
        <f t="shared" si="1"/>
        <v/>
      </c>
      <c r="E4684" s="100" t="str">
        <f t="shared" si="2"/>
        <v/>
      </c>
      <c r="F4684" s="100" t="str">
        <f t="shared" si="3"/>
        <v/>
      </c>
      <c r="G4684" s="151"/>
      <c r="H4684" s="160"/>
      <c r="I4684" s="157"/>
      <c r="J4684" s="158"/>
      <c r="L4684" s="94"/>
      <c r="M4684" s="159"/>
      <c r="N4684" s="94"/>
    </row>
    <row r="4685">
      <c r="A4685" s="107">
        <v>1628995.0</v>
      </c>
      <c r="B4685" s="108" t="s">
        <v>243</v>
      </c>
      <c r="C4685" s="108" t="s">
        <v>1128</v>
      </c>
      <c r="D4685" s="100" t="str">
        <f t="shared" si="1"/>
        <v/>
      </c>
      <c r="E4685" s="100" t="str">
        <f t="shared" si="2"/>
        <v/>
      </c>
      <c r="F4685" s="100" t="str">
        <f t="shared" si="3"/>
        <v/>
      </c>
      <c r="G4685" s="151"/>
      <c r="H4685" s="156"/>
      <c r="I4685" s="157"/>
      <c r="J4685" s="161"/>
      <c r="L4685" s="94"/>
      <c r="M4685" s="159"/>
      <c r="N4685" s="94"/>
    </row>
    <row r="4686">
      <c r="A4686" s="107">
        <v>1628995.0</v>
      </c>
      <c r="B4686" s="108" t="s">
        <v>215</v>
      </c>
      <c r="C4686" s="108" t="s">
        <v>1128</v>
      </c>
      <c r="D4686" s="100" t="str">
        <f t="shared" si="1"/>
        <v/>
      </c>
      <c r="E4686" s="100" t="str">
        <f t="shared" si="2"/>
        <v/>
      </c>
      <c r="F4686" s="100" t="str">
        <f t="shared" si="3"/>
        <v/>
      </c>
      <c r="G4686" s="151"/>
      <c r="H4686" s="160"/>
      <c r="I4686" s="157"/>
      <c r="J4686" s="158"/>
      <c r="L4686" s="94"/>
      <c r="M4686" s="159"/>
      <c r="N4686" s="94"/>
    </row>
    <row r="4687">
      <c r="A4687" s="107">
        <v>1628995.0</v>
      </c>
      <c r="B4687" s="108" t="s">
        <v>244</v>
      </c>
      <c r="C4687" s="108" t="s">
        <v>1128</v>
      </c>
      <c r="D4687" s="100" t="str">
        <f t="shared" si="1"/>
        <v/>
      </c>
      <c r="E4687" s="100" t="str">
        <f t="shared" si="2"/>
        <v/>
      </c>
      <c r="F4687" s="100" t="str">
        <f t="shared" si="3"/>
        <v/>
      </c>
      <c r="G4687" s="151"/>
      <c r="H4687" s="156"/>
      <c r="I4687" s="157"/>
      <c r="J4687" s="161"/>
      <c r="L4687" s="94"/>
      <c r="M4687" s="159"/>
      <c r="N4687" s="94"/>
    </row>
    <row r="4688">
      <c r="A4688" s="107">
        <v>1628995.0</v>
      </c>
      <c r="B4688" s="108" t="s">
        <v>245</v>
      </c>
      <c r="C4688" s="108" t="s">
        <v>1128</v>
      </c>
      <c r="D4688" s="100" t="str">
        <f t="shared" si="1"/>
        <v/>
      </c>
      <c r="E4688" s="100" t="str">
        <f t="shared" si="2"/>
        <v/>
      </c>
      <c r="F4688" s="100" t="str">
        <f t="shared" si="3"/>
        <v/>
      </c>
      <c r="G4688" s="151"/>
      <c r="H4688" s="160"/>
      <c r="I4688" s="157"/>
      <c r="J4688" s="158"/>
      <c r="L4688" s="94"/>
      <c r="M4688" s="159"/>
      <c r="N4688" s="94"/>
    </row>
    <row r="4689">
      <c r="A4689" s="149">
        <v>1628995.0</v>
      </c>
      <c r="B4689" s="108" t="s">
        <v>246</v>
      </c>
      <c r="C4689" s="115" t="s">
        <v>1128</v>
      </c>
      <c r="D4689" s="100" t="str">
        <f t="shared" si="1"/>
        <v/>
      </c>
      <c r="E4689" s="100" t="str">
        <f t="shared" si="2"/>
        <v/>
      </c>
      <c r="F4689" s="100" t="str">
        <f t="shared" si="3"/>
        <v/>
      </c>
      <c r="G4689" s="151"/>
      <c r="H4689" s="156"/>
      <c r="I4689" s="157"/>
      <c r="J4689" s="161"/>
      <c r="L4689" s="94"/>
      <c r="M4689" s="159"/>
      <c r="N4689" s="94"/>
    </row>
    <row r="4690">
      <c r="A4690" s="165">
        <v>1628997.0</v>
      </c>
      <c r="B4690" s="124" t="s">
        <v>193</v>
      </c>
      <c r="C4690" s="124" t="s">
        <v>1129</v>
      </c>
      <c r="D4690" s="100" t="str">
        <f t="shared" si="1"/>
        <v/>
      </c>
      <c r="E4690" s="100" t="str">
        <f t="shared" si="2"/>
        <v/>
      </c>
      <c r="F4690" s="100" t="str">
        <f t="shared" si="3"/>
        <v/>
      </c>
      <c r="G4690" s="151"/>
      <c r="H4690" s="160"/>
      <c r="I4690" s="157"/>
      <c r="J4690" s="158"/>
      <c r="L4690" s="94"/>
      <c r="M4690" s="159"/>
      <c r="N4690" s="94"/>
    </row>
    <row r="4691">
      <c r="A4691" s="107">
        <v>1628997.0</v>
      </c>
      <c r="B4691" s="108" t="s">
        <v>243</v>
      </c>
      <c r="C4691" s="108" t="s">
        <v>1129</v>
      </c>
      <c r="D4691" s="100" t="str">
        <f t="shared" si="1"/>
        <v/>
      </c>
      <c r="E4691" s="100" t="str">
        <f t="shared" si="2"/>
        <v/>
      </c>
      <c r="F4691" s="100" t="str">
        <f t="shared" si="3"/>
        <v/>
      </c>
      <c r="G4691" s="151"/>
      <c r="H4691" s="156"/>
      <c r="I4691" s="157"/>
      <c r="J4691" s="161"/>
      <c r="L4691" s="94"/>
      <c r="M4691" s="159"/>
      <c r="N4691" s="94"/>
    </row>
    <row r="4692">
      <c r="A4692" s="107">
        <v>1628997.0</v>
      </c>
      <c r="B4692" s="108" t="s">
        <v>215</v>
      </c>
      <c r="C4692" s="108" t="s">
        <v>1129</v>
      </c>
      <c r="D4692" s="100" t="str">
        <f t="shared" si="1"/>
        <v/>
      </c>
      <c r="E4692" s="100" t="str">
        <f t="shared" si="2"/>
        <v/>
      </c>
      <c r="F4692" s="100" t="str">
        <f t="shared" si="3"/>
        <v/>
      </c>
      <c r="G4692" s="151"/>
      <c r="H4692" s="160"/>
      <c r="I4692" s="157"/>
      <c r="J4692" s="158"/>
      <c r="L4692" s="94"/>
      <c r="M4692" s="159"/>
      <c r="N4692" s="94"/>
    </row>
    <row r="4693">
      <c r="A4693" s="107">
        <v>1628997.0</v>
      </c>
      <c r="B4693" s="108" t="s">
        <v>244</v>
      </c>
      <c r="C4693" s="108" t="s">
        <v>1129</v>
      </c>
      <c r="D4693" s="100" t="str">
        <f t="shared" si="1"/>
        <v/>
      </c>
      <c r="E4693" s="100" t="str">
        <f t="shared" si="2"/>
        <v/>
      </c>
      <c r="F4693" s="100" t="str">
        <f t="shared" si="3"/>
        <v/>
      </c>
      <c r="G4693" s="151"/>
      <c r="H4693" s="156"/>
      <c r="I4693" s="157"/>
      <c r="J4693" s="161"/>
      <c r="L4693" s="94"/>
      <c r="M4693" s="159"/>
      <c r="N4693" s="94"/>
    </row>
    <row r="4694">
      <c r="A4694" s="107">
        <v>1628997.0</v>
      </c>
      <c r="B4694" s="108" t="s">
        <v>245</v>
      </c>
      <c r="C4694" s="108" t="s">
        <v>1129</v>
      </c>
      <c r="D4694" s="100" t="str">
        <f t="shared" si="1"/>
        <v/>
      </c>
      <c r="E4694" s="100" t="str">
        <f t="shared" si="2"/>
        <v/>
      </c>
      <c r="F4694" s="100" t="str">
        <f t="shared" si="3"/>
        <v/>
      </c>
      <c r="G4694" s="151"/>
      <c r="H4694" s="160"/>
      <c r="I4694" s="157"/>
      <c r="J4694" s="158"/>
      <c r="L4694" s="94"/>
      <c r="M4694" s="159"/>
      <c r="N4694" s="94"/>
    </row>
    <row r="4695">
      <c r="A4695" s="107">
        <v>1628997.0</v>
      </c>
      <c r="B4695" s="108" t="s">
        <v>246</v>
      </c>
      <c r="C4695" s="108" t="s">
        <v>1129</v>
      </c>
      <c r="D4695" s="100" t="str">
        <f t="shared" si="1"/>
        <v/>
      </c>
      <c r="E4695" s="100" t="str">
        <f t="shared" si="2"/>
        <v/>
      </c>
      <c r="F4695" s="100" t="str">
        <f t="shared" si="3"/>
        <v/>
      </c>
      <c r="G4695" s="151"/>
      <c r="H4695" s="156"/>
      <c r="I4695" s="157"/>
      <c r="J4695" s="161"/>
      <c r="L4695" s="94"/>
      <c r="M4695" s="159"/>
      <c r="N4695" s="94"/>
    </row>
    <row r="4696">
      <c r="A4696" s="149">
        <v>1628997.0</v>
      </c>
      <c r="B4696" s="166" t="s">
        <v>247</v>
      </c>
      <c r="C4696" s="166" t="s">
        <v>1129</v>
      </c>
      <c r="D4696" s="100" t="str">
        <f t="shared" si="1"/>
        <v/>
      </c>
      <c r="E4696" s="100" t="str">
        <f t="shared" si="2"/>
        <v/>
      </c>
      <c r="F4696" s="100" t="str">
        <f t="shared" si="3"/>
        <v/>
      </c>
      <c r="G4696" s="151"/>
      <c r="H4696" s="160"/>
      <c r="I4696" s="157"/>
      <c r="J4696" s="158"/>
      <c r="L4696" s="94"/>
      <c r="M4696" s="159"/>
      <c r="N4696" s="94"/>
    </row>
    <row r="4697">
      <c r="A4697" s="21">
        <v>1628998.0</v>
      </c>
      <c r="B4697" s="164" t="s">
        <v>193</v>
      </c>
      <c r="C4697" s="164" t="s">
        <v>1130</v>
      </c>
      <c r="D4697" s="100" t="str">
        <f t="shared" si="1"/>
        <v/>
      </c>
      <c r="E4697" s="100" t="str">
        <f t="shared" si="2"/>
        <v/>
      </c>
      <c r="F4697" s="100" t="str">
        <f t="shared" si="3"/>
        <v/>
      </c>
      <c r="G4697" s="151"/>
      <c r="H4697" s="156"/>
      <c r="I4697" s="157"/>
      <c r="J4697" s="161"/>
      <c r="L4697" s="94"/>
      <c r="M4697" s="159"/>
      <c r="N4697" s="94"/>
    </row>
    <row r="4698">
      <c r="A4698" s="107">
        <v>1628998.0</v>
      </c>
      <c r="B4698" s="108" t="s">
        <v>243</v>
      </c>
      <c r="C4698" s="108" t="s">
        <v>1130</v>
      </c>
      <c r="D4698" s="100" t="str">
        <f t="shared" si="1"/>
        <v/>
      </c>
      <c r="E4698" s="100" t="str">
        <f t="shared" si="2"/>
        <v/>
      </c>
      <c r="F4698" s="100" t="str">
        <f t="shared" si="3"/>
        <v/>
      </c>
      <c r="G4698" s="151"/>
      <c r="H4698" s="160"/>
      <c r="I4698" s="157"/>
      <c r="J4698" s="158"/>
      <c r="L4698" s="94"/>
      <c r="M4698" s="159"/>
      <c r="N4698" s="94"/>
    </row>
    <row r="4699">
      <c r="A4699" s="107">
        <v>1628998.0</v>
      </c>
      <c r="B4699" s="108" t="s">
        <v>215</v>
      </c>
      <c r="C4699" s="108" t="s">
        <v>1130</v>
      </c>
      <c r="D4699" s="100" t="str">
        <f t="shared" si="1"/>
        <v/>
      </c>
      <c r="E4699" s="100" t="str">
        <f t="shared" si="2"/>
        <v/>
      </c>
      <c r="F4699" s="100" t="str">
        <f t="shared" si="3"/>
        <v/>
      </c>
      <c r="G4699" s="151"/>
      <c r="H4699" s="156"/>
      <c r="I4699" s="157"/>
      <c r="J4699" s="161"/>
      <c r="L4699" s="94"/>
      <c r="M4699" s="159"/>
      <c r="N4699" s="94"/>
    </row>
    <row r="4700">
      <c r="A4700" s="107">
        <v>1628998.0</v>
      </c>
      <c r="B4700" s="108" t="s">
        <v>244</v>
      </c>
      <c r="C4700" s="108" t="s">
        <v>1130</v>
      </c>
      <c r="D4700" s="100" t="str">
        <f t="shared" si="1"/>
        <v/>
      </c>
      <c r="E4700" s="100" t="str">
        <f t="shared" si="2"/>
        <v/>
      </c>
      <c r="F4700" s="100" t="str">
        <f t="shared" si="3"/>
        <v/>
      </c>
      <c r="G4700" s="151"/>
      <c r="H4700" s="160"/>
      <c r="I4700" s="157"/>
      <c r="J4700" s="158"/>
      <c r="L4700" s="94"/>
      <c r="M4700" s="159"/>
      <c r="N4700" s="94"/>
    </row>
    <row r="4701">
      <c r="A4701" s="107">
        <v>1628998.0</v>
      </c>
      <c r="B4701" s="108" t="s">
        <v>245</v>
      </c>
      <c r="C4701" s="108" t="s">
        <v>1130</v>
      </c>
      <c r="D4701" s="100" t="str">
        <f t="shared" si="1"/>
        <v/>
      </c>
      <c r="E4701" s="100" t="str">
        <f t="shared" si="2"/>
        <v/>
      </c>
      <c r="F4701" s="100" t="str">
        <f t="shared" si="3"/>
        <v/>
      </c>
      <c r="G4701" s="151"/>
      <c r="H4701" s="156"/>
      <c r="I4701" s="157"/>
      <c r="J4701" s="161"/>
      <c r="L4701" s="94"/>
      <c r="M4701" s="159"/>
      <c r="N4701" s="94"/>
    </row>
    <row r="4702">
      <c r="A4702" s="107">
        <v>1628998.0</v>
      </c>
      <c r="B4702" s="108" t="s">
        <v>246</v>
      </c>
      <c r="C4702" s="108" t="s">
        <v>1130</v>
      </c>
      <c r="D4702" s="100" t="str">
        <f t="shared" si="1"/>
        <v/>
      </c>
      <c r="E4702" s="100" t="str">
        <f t="shared" si="2"/>
        <v/>
      </c>
      <c r="F4702" s="100" t="str">
        <f t="shared" si="3"/>
        <v/>
      </c>
      <c r="G4702" s="151"/>
      <c r="H4702" s="160"/>
      <c r="I4702" s="157"/>
      <c r="J4702" s="158"/>
      <c r="L4702" s="94"/>
      <c r="M4702" s="159"/>
      <c r="N4702" s="94"/>
    </row>
    <row r="4703">
      <c r="A4703" s="149">
        <v>1628998.0</v>
      </c>
      <c r="B4703" s="115" t="s">
        <v>247</v>
      </c>
      <c r="C4703" s="115" t="s">
        <v>1130</v>
      </c>
      <c r="D4703" s="100" t="str">
        <f t="shared" si="1"/>
        <v/>
      </c>
      <c r="E4703" s="100" t="str">
        <f t="shared" si="2"/>
        <v/>
      </c>
      <c r="F4703" s="100" t="str">
        <f t="shared" si="3"/>
        <v/>
      </c>
      <c r="G4703" s="151"/>
      <c r="H4703" s="156"/>
      <c r="I4703" s="157"/>
      <c r="J4703" s="161"/>
      <c r="L4703" s="94"/>
      <c r="M4703" s="159"/>
      <c r="N4703" s="94"/>
    </row>
    <row r="4704">
      <c r="A4704" s="21">
        <v>1628999.0</v>
      </c>
      <c r="B4704" s="164" t="s">
        <v>192</v>
      </c>
      <c r="C4704" s="164" t="s">
        <v>1131</v>
      </c>
      <c r="D4704" s="100" t="str">
        <f t="shared" si="1"/>
        <v/>
      </c>
      <c r="E4704" s="100" t="str">
        <f t="shared" si="2"/>
        <v/>
      </c>
      <c r="F4704" s="100" t="str">
        <f t="shared" si="3"/>
        <v/>
      </c>
      <c r="G4704" s="151"/>
      <c r="H4704" s="160"/>
      <c r="I4704" s="157"/>
      <c r="J4704" s="158"/>
      <c r="L4704" s="94"/>
      <c r="M4704" s="159"/>
      <c r="N4704" s="94"/>
    </row>
    <row r="4705">
      <c r="A4705" s="107">
        <v>1629001.0</v>
      </c>
      <c r="B4705" s="108" t="s">
        <v>192</v>
      </c>
      <c r="C4705" s="108" t="s">
        <v>1132</v>
      </c>
      <c r="D4705" s="100" t="str">
        <f t="shared" si="1"/>
        <v/>
      </c>
      <c r="E4705" s="100" t="str">
        <f t="shared" si="2"/>
        <v/>
      </c>
      <c r="F4705" s="100" t="str">
        <f t="shared" si="3"/>
        <v/>
      </c>
      <c r="G4705" s="151"/>
      <c r="H4705" s="156"/>
      <c r="I4705" s="157"/>
      <c r="J4705" s="161"/>
      <c r="L4705" s="94"/>
      <c r="M4705" s="159"/>
      <c r="N4705" s="94"/>
    </row>
    <row r="4706">
      <c r="A4706" s="107">
        <v>1629001.0</v>
      </c>
      <c r="B4706" s="108" t="s">
        <v>193</v>
      </c>
      <c r="C4706" s="108" t="s">
        <v>1132</v>
      </c>
      <c r="D4706" s="100" t="str">
        <f t="shared" si="1"/>
        <v/>
      </c>
      <c r="E4706" s="100" t="str">
        <f t="shared" si="2"/>
        <v/>
      </c>
      <c r="F4706" s="100" t="str">
        <f t="shared" si="3"/>
        <v/>
      </c>
      <c r="G4706" s="151"/>
      <c r="H4706" s="160"/>
      <c r="I4706" s="157"/>
      <c r="J4706" s="158"/>
      <c r="L4706" s="94"/>
      <c r="M4706" s="159"/>
      <c r="N4706" s="94"/>
    </row>
    <row r="4707">
      <c r="A4707" s="107">
        <v>1629001.0</v>
      </c>
      <c r="B4707" s="108" t="s">
        <v>243</v>
      </c>
      <c r="C4707" s="108" t="s">
        <v>1132</v>
      </c>
      <c r="D4707" s="100" t="str">
        <f t="shared" si="1"/>
        <v/>
      </c>
      <c r="E4707" s="100" t="str">
        <f t="shared" si="2"/>
        <v/>
      </c>
      <c r="F4707" s="100" t="str">
        <f t="shared" si="3"/>
        <v/>
      </c>
      <c r="G4707" s="151"/>
      <c r="H4707" s="156"/>
      <c r="I4707" s="157"/>
      <c r="J4707" s="161"/>
      <c r="L4707" s="94"/>
      <c r="M4707" s="159"/>
      <c r="N4707" s="94"/>
    </row>
    <row r="4708">
      <c r="A4708" s="107">
        <v>1629001.0</v>
      </c>
      <c r="B4708" s="108" t="s">
        <v>215</v>
      </c>
      <c r="C4708" s="108" t="s">
        <v>1132</v>
      </c>
      <c r="D4708" s="100" t="str">
        <f t="shared" si="1"/>
        <v/>
      </c>
      <c r="E4708" s="100" t="str">
        <f t="shared" si="2"/>
        <v/>
      </c>
      <c r="F4708" s="100" t="str">
        <f t="shared" si="3"/>
        <v/>
      </c>
      <c r="G4708" s="151"/>
      <c r="H4708" s="160"/>
      <c r="I4708" s="157"/>
      <c r="J4708" s="158"/>
      <c r="L4708" s="94"/>
      <c r="M4708" s="159"/>
      <c r="N4708" s="94"/>
    </row>
    <row r="4709">
      <c r="A4709" s="107">
        <v>1629001.0</v>
      </c>
      <c r="B4709" s="108" t="s">
        <v>244</v>
      </c>
      <c r="C4709" s="108" t="s">
        <v>1132</v>
      </c>
      <c r="D4709" s="100" t="str">
        <f t="shared" si="1"/>
        <v/>
      </c>
      <c r="E4709" s="100" t="str">
        <f t="shared" si="2"/>
        <v/>
      </c>
      <c r="F4709" s="100" t="str">
        <f t="shared" si="3"/>
        <v/>
      </c>
      <c r="G4709" s="151"/>
      <c r="H4709" s="156"/>
      <c r="I4709" s="157"/>
      <c r="J4709" s="161"/>
      <c r="L4709" s="94"/>
      <c r="M4709" s="159"/>
      <c r="N4709" s="94"/>
    </row>
    <row r="4710">
      <c r="A4710" s="107">
        <v>1629001.0</v>
      </c>
      <c r="B4710" s="108" t="s">
        <v>245</v>
      </c>
      <c r="C4710" s="108" t="s">
        <v>1132</v>
      </c>
      <c r="D4710" s="100" t="str">
        <f t="shared" si="1"/>
        <v/>
      </c>
      <c r="E4710" s="100" t="str">
        <f t="shared" si="2"/>
        <v/>
      </c>
      <c r="F4710" s="100" t="str">
        <f t="shared" si="3"/>
        <v/>
      </c>
      <c r="G4710" s="151"/>
      <c r="H4710" s="160"/>
      <c r="I4710" s="157"/>
      <c r="J4710" s="158"/>
      <c r="L4710" s="94"/>
      <c r="M4710" s="159"/>
      <c r="N4710" s="94"/>
    </row>
    <row r="4711">
      <c r="A4711" s="107">
        <v>1629001.0</v>
      </c>
      <c r="B4711" s="108" t="s">
        <v>246</v>
      </c>
      <c r="C4711" s="108" t="s">
        <v>1132</v>
      </c>
      <c r="D4711" s="100" t="str">
        <f t="shared" si="1"/>
        <v/>
      </c>
      <c r="E4711" s="100" t="str">
        <f t="shared" si="2"/>
        <v/>
      </c>
      <c r="F4711" s="100" t="str">
        <f t="shared" si="3"/>
        <v/>
      </c>
      <c r="G4711" s="151"/>
      <c r="H4711" s="156"/>
      <c r="I4711" s="157"/>
      <c r="J4711" s="161"/>
      <c r="L4711" s="94"/>
      <c r="M4711" s="159"/>
      <c r="N4711" s="94"/>
    </row>
    <row r="4712">
      <c r="A4712" s="140">
        <v>1629001.0</v>
      </c>
      <c r="B4712" s="115" t="s">
        <v>247</v>
      </c>
      <c r="C4712" s="115" t="s">
        <v>1132</v>
      </c>
      <c r="D4712" s="100" t="str">
        <f t="shared" si="1"/>
        <v/>
      </c>
      <c r="E4712" s="100" t="str">
        <f t="shared" si="2"/>
        <v/>
      </c>
      <c r="F4712" s="100" t="str">
        <f t="shared" si="3"/>
        <v/>
      </c>
      <c r="G4712" s="151"/>
      <c r="H4712" s="160"/>
      <c r="I4712" s="157"/>
      <c r="J4712" s="158"/>
      <c r="L4712" s="94"/>
      <c r="M4712" s="159"/>
      <c r="N4712" s="94"/>
    </row>
    <row r="4713">
      <c r="A4713" s="163">
        <v>1629002.0</v>
      </c>
      <c r="B4713" s="164" t="s">
        <v>192</v>
      </c>
      <c r="C4713" s="164" t="s">
        <v>1133</v>
      </c>
      <c r="D4713" s="100" t="str">
        <f t="shared" si="1"/>
        <v/>
      </c>
      <c r="E4713" s="100" t="str">
        <f t="shared" si="2"/>
        <v/>
      </c>
      <c r="F4713" s="100" t="str">
        <f t="shared" si="3"/>
        <v/>
      </c>
      <c r="G4713" s="151"/>
      <c r="H4713" s="156"/>
      <c r="I4713" s="157"/>
      <c r="J4713" s="161"/>
      <c r="L4713" s="94"/>
      <c r="M4713" s="159"/>
      <c r="N4713" s="94"/>
    </row>
    <row r="4714">
      <c r="A4714" s="107">
        <v>1629002.0</v>
      </c>
      <c r="B4714" s="108" t="s">
        <v>193</v>
      </c>
      <c r="C4714" s="108" t="s">
        <v>1133</v>
      </c>
      <c r="D4714" s="100" t="str">
        <f t="shared" si="1"/>
        <v/>
      </c>
      <c r="E4714" s="100" t="str">
        <f t="shared" si="2"/>
        <v/>
      </c>
      <c r="F4714" s="100" t="str">
        <f t="shared" si="3"/>
        <v/>
      </c>
      <c r="G4714" s="151"/>
      <c r="H4714" s="160"/>
      <c r="I4714" s="157"/>
      <c r="J4714" s="158"/>
      <c r="L4714" s="94"/>
      <c r="M4714" s="159"/>
      <c r="N4714" s="94"/>
    </row>
    <row r="4715">
      <c r="A4715" s="107">
        <v>1629002.0</v>
      </c>
      <c r="B4715" s="108" t="s">
        <v>243</v>
      </c>
      <c r="C4715" s="108" t="s">
        <v>1133</v>
      </c>
      <c r="D4715" s="100" t="str">
        <f t="shared" si="1"/>
        <v/>
      </c>
      <c r="E4715" s="100" t="str">
        <f t="shared" si="2"/>
        <v/>
      </c>
      <c r="F4715" s="100" t="str">
        <f t="shared" si="3"/>
        <v/>
      </c>
      <c r="G4715" s="151"/>
      <c r="H4715" s="156"/>
      <c r="I4715" s="157"/>
      <c r="J4715" s="161"/>
      <c r="L4715" s="94"/>
      <c r="M4715" s="159"/>
      <c r="N4715" s="94"/>
    </row>
    <row r="4716">
      <c r="A4716" s="107">
        <v>1629002.0</v>
      </c>
      <c r="B4716" s="108" t="s">
        <v>215</v>
      </c>
      <c r="C4716" s="108" t="s">
        <v>1133</v>
      </c>
      <c r="D4716" s="100" t="str">
        <f t="shared" si="1"/>
        <v/>
      </c>
      <c r="E4716" s="100" t="str">
        <f t="shared" si="2"/>
        <v/>
      </c>
      <c r="F4716" s="100" t="str">
        <f t="shared" si="3"/>
        <v/>
      </c>
      <c r="G4716" s="151"/>
      <c r="H4716" s="160"/>
      <c r="I4716" s="157"/>
      <c r="J4716" s="158"/>
      <c r="L4716" s="94"/>
      <c r="M4716" s="159"/>
      <c r="N4716" s="94"/>
    </row>
    <row r="4717">
      <c r="A4717" s="107">
        <v>1629002.0</v>
      </c>
      <c r="B4717" s="108" t="s">
        <v>244</v>
      </c>
      <c r="C4717" s="108" t="s">
        <v>1133</v>
      </c>
      <c r="D4717" s="100" t="str">
        <f t="shared" si="1"/>
        <v/>
      </c>
      <c r="E4717" s="100" t="str">
        <f t="shared" si="2"/>
        <v/>
      </c>
      <c r="F4717" s="100" t="str">
        <f t="shared" si="3"/>
        <v/>
      </c>
      <c r="G4717" s="151"/>
      <c r="H4717" s="156"/>
      <c r="I4717" s="157"/>
      <c r="J4717" s="161"/>
      <c r="L4717" s="94"/>
      <c r="M4717" s="159"/>
      <c r="N4717" s="94"/>
    </row>
    <row r="4718">
      <c r="A4718" s="107">
        <v>1629002.0</v>
      </c>
      <c r="B4718" s="108" t="s">
        <v>245</v>
      </c>
      <c r="C4718" s="108" t="s">
        <v>1133</v>
      </c>
      <c r="D4718" s="100" t="str">
        <f t="shared" si="1"/>
        <v/>
      </c>
      <c r="E4718" s="100" t="str">
        <f t="shared" si="2"/>
        <v/>
      </c>
      <c r="F4718" s="100" t="str">
        <f t="shared" si="3"/>
        <v/>
      </c>
      <c r="G4718" s="151"/>
      <c r="H4718" s="160"/>
      <c r="I4718" s="157"/>
      <c r="J4718" s="158"/>
      <c r="L4718" s="94"/>
      <c r="M4718" s="159"/>
      <c r="N4718" s="94"/>
    </row>
    <row r="4719">
      <c r="A4719" s="107">
        <v>1629003.0</v>
      </c>
      <c r="B4719" s="108" t="s">
        <v>192</v>
      </c>
      <c r="C4719" s="108" t="s">
        <v>1134</v>
      </c>
      <c r="D4719" s="100" t="str">
        <f t="shared" si="1"/>
        <v/>
      </c>
      <c r="E4719" s="100" t="str">
        <f t="shared" si="2"/>
        <v/>
      </c>
      <c r="F4719" s="100" t="str">
        <f t="shared" si="3"/>
        <v/>
      </c>
      <c r="G4719" s="151"/>
      <c r="H4719" s="156"/>
      <c r="I4719" s="157"/>
      <c r="J4719" s="161"/>
      <c r="L4719" s="94"/>
      <c r="M4719" s="159"/>
      <c r="N4719" s="94"/>
    </row>
    <row r="4720">
      <c r="A4720" s="107">
        <v>1629003.0</v>
      </c>
      <c r="B4720" s="108" t="s">
        <v>193</v>
      </c>
      <c r="C4720" s="108" t="s">
        <v>1134</v>
      </c>
      <c r="D4720" s="100" t="str">
        <f t="shared" si="1"/>
        <v/>
      </c>
      <c r="E4720" s="100" t="str">
        <f t="shared" si="2"/>
        <v/>
      </c>
      <c r="F4720" s="100" t="str">
        <f t="shared" si="3"/>
        <v/>
      </c>
      <c r="G4720" s="151"/>
      <c r="H4720" s="160"/>
      <c r="I4720" s="157"/>
      <c r="J4720" s="158"/>
      <c r="L4720" s="94"/>
      <c r="M4720" s="159"/>
      <c r="N4720" s="94"/>
    </row>
    <row r="4721">
      <c r="A4721" s="107">
        <v>1629003.0</v>
      </c>
      <c r="B4721" s="108" t="s">
        <v>243</v>
      </c>
      <c r="C4721" s="108" t="s">
        <v>1134</v>
      </c>
      <c r="D4721" s="100" t="str">
        <f t="shared" si="1"/>
        <v/>
      </c>
      <c r="E4721" s="100" t="str">
        <f t="shared" si="2"/>
        <v/>
      </c>
      <c r="F4721" s="100" t="str">
        <f t="shared" si="3"/>
        <v/>
      </c>
      <c r="G4721" s="151"/>
      <c r="H4721" s="156"/>
      <c r="I4721" s="157"/>
      <c r="J4721" s="161"/>
      <c r="L4721" s="94"/>
      <c r="M4721" s="159"/>
      <c r="N4721" s="94"/>
    </row>
    <row r="4722">
      <c r="A4722" s="107">
        <v>1629003.0</v>
      </c>
      <c r="B4722" s="108" t="s">
        <v>215</v>
      </c>
      <c r="C4722" s="108" t="s">
        <v>1134</v>
      </c>
      <c r="D4722" s="100" t="str">
        <f t="shared" si="1"/>
        <v/>
      </c>
      <c r="E4722" s="100" t="str">
        <f t="shared" si="2"/>
        <v/>
      </c>
      <c r="F4722" s="100" t="str">
        <f t="shared" si="3"/>
        <v/>
      </c>
      <c r="G4722" s="151"/>
      <c r="H4722" s="160"/>
      <c r="I4722" s="157"/>
      <c r="J4722" s="158"/>
      <c r="L4722" s="94"/>
      <c r="M4722" s="159"/>
      <c r="N4722" s="94"/>
    </row>
    <row r="4723">
      <c r="A4723" s="107">
        <v>1629003.0</v>
      </c>
      <c r="B4723" s="108" t="s">
        <v>244</v>
      </c>
      <c r="C4723" s="108" t="s">
        <v>1134</v>
      </c>
      <c r="D4723" s="100" t="str">
        <f t="shared" si="1"/>
        <v/>
      </c>
      <c r="E4723" s="100" t="str">
        <f t="shared" si="2"/>
        <v/>
      </c>
      <c r="F4723" s="100" t="str">
        <f t="shared" si="3"/>
        <v/>
      </c>
      <c r="G4723" s="151"/>
      <c r="H4723" s="156"/>
      <c r="I4723" s="157"/>
      <c r="J4723" s="161"/>
      <c r="L4723" s="94"/>
      <c r="M4723" s="159"/>
      <c r="N4723" s="94"/>
    </row>
    <row r="4724">
      <c r="A4724" s="107">
        <v>1629003.0</v>
      </c>
      <c r="B4724" s="108" t="s">
        <v>245</v>
      </c>
      <c r="C4724" s="108" t="s">
        <v>1134</v>
      </c>
      <c r="D4724" s="100" t="str">
        <f t="shared" si="1"/>
        <v/>
      </c>
      <c r="E4724" s="100" t="str">
        <f t="shared" si="2"/>
        <v/>
      </c>
      <c r="F4724" s="100" t="str">
        <f t="shared" si="3"/>
        <v/>
      </c>
      <c r="G4724" s="151"/>
      <c r="H4724" s="160"/>
      <c r="I4724" s="157"/>
      <c r="J4724" s="158"/>
      <c r="L4724" s="94"/>
      <c r="M4724" s="159"/>
      <c r="N4724" s="94"/>
    </row>
    <row r="4725">
      <c r="A4725" s="107">
        <v>1629003.0</v>
      </c>
      <c r="B4725" s="108" t="s">
        <v>246</v>
      </c>
      <c r="C4725" s="108" t="s">
        <v>1134</v>
      </c>
      <c r="D4725" s="100" t="str">
        <f t="shared" si="1"/>
        <v/>
      </c>
      <c r="E4725" s="100" t="str">
        <f t="shared" si="2"/>
        <v/>
      </c>
      <c r="F4725" s="100" t="str">
        <f t="shared" si="3"/>
        <v/>
      </c>
      <c r="G4725" s="151"/>
      <c r="H4725" s="156"/>
      <c r="I4725" s="157"/>
      <c r="J4725" s="161"/>
      <c r="L4725" s="94"/>
      <c r="M4725" s="159"/>
      <c r="N4725" s="94"/>
    </row>
    <row r="4726">
      <c r="A4726" s="107">
        <v>1629004.0</v>
      </c>
      <c r="B4726" s="108" t="s">
        <v>192</v>
      </c>
      <c r="C4726" s="108" t="s">
        <v>1135</v>
      </c>
      <c r="D4726" s="100" t="str">
        <f t="shared" si="1"/>
        <v/>
      </c>
      <c r="E4726" s="100" t="str">
        <f t="shared" si="2"/>
        <v/>
      </c>
      <c r="F4726" s="100" t="str">
        <f t="shared" si="3"/>
        <v/>
      </c>
      <c r="G4726" s="151"/>
      <c r="H4726" s="160"/>
      <c r="I4726" s="157"/>
      <c r="J4726" s="158"/>
      <c r="L4726" s="94"/>
      <c r="M4726" s="159"/>
      <c r="N4726" s="94"/>
    </row>
    <row r="4727">
      <c r="A4727" s="107">
        <v>1629004.0</v>
      </c>
      <c r="B4727" s="108" t="s">
        <v>193</v>
      </c>
      <c r="C4727" s="108" t="s">
        <v>1135</v>
      </c>
      <c r="D4727" s="100" t="str">
        <f t="shared" si="1"/>
        <v/>
      </c>
      <c r="E4727" s="100" t="str">
        <f t="shared" si="2"/>
        <v/>
      </c>
      <c r="F4727" s="100" t="str">
        <f t="shared" si="3"/>
        <v/>
      </c>
      <c r="G4727" s="151"/>
      <c r="H4727" s="156"/>
      <c r="I4727" s="157"/>
      <c r="J4727" s="161"/>
      <c r="L4727" s="94"/>
      <c r="M4727" s="159"/>
      <c r="N4727" s="94"/>
    </row>
    <row r="4728">
      <c r="A4728" s="107">
        <v>1629004.0</v>
      </c>
      <c r="B4728" s="108" t="s">
        <v>243</v>
      </c>
      <c r="C4728" s="108" t="s">
        <v>1135</v>
      </c>
      <c r="D4728" s="100" t="str">
        <f t="shared" si="1"/>
        <v/>
      </c>
      <c r="E4728" s="100" t="str">
        <f t="shared" si="2"/>
        <v/>
      </c>
      <c r="F4728" s="100" t="str">
        <f t="shared" si="3"/>
        <v/>
      </c>
      <c r="G4728" s="151"/>
      <c r="H4728" s="160"/>
      <c r="I4728" s="157"/>
      <c r="J4728" s="158"/>
      <c r="L4728" s="94"/>
      <c r="M4728" s="159"/>
      <c r="N4728" s="94"/>
    </row>
    <row r="4729">
      <c r="A4729" s="107">
        <v>1629004.0</v>
      </c>
      <c r="B4729" s="108" t="s">
        <v>215</v>
      </c>
      <c r="C4729" s="108" t="s">
        <v>1135</v>
      </c>
      <c r="D4729" s="100" t="str">
        <f t="shared" si="1"/>
        <v/>
      </c>
      <c r="E4729" s="100" t="str">
        <f t="shared" si="2"/>
        <v/>
      </c>
      <c r="F4729" s="100" t="str">
        <f t="shared" si="3"/>
        <v/>
      </c>
      <c r="G4729" s="151"/>
      <c r="H4729" s="156"/>
      <c r="I4729" s="157"/>
      <c r="J4729" s="161"/>
      <c r="L4729" s="94"/>
      <c r="M4729" s="159"/>
      <c r="N4729" s="94"/>
    </row>
    <row r="4730">
      <c r="A4730" s="107">
        <v>1629004.0</v>
      </c>
      <c r="B4730" s="108" t="s">
        <v>244</v>
      </c>
      <c r="C4730" s="108" t="s">
        <v>1135</v>
      </c>
      <c r="D4730" s="100" t="str">
        <f t="shared" si="1"/>
        <v/>
      </c>
      <c r="E4730" s="100" t="str">
        <f t="shared" si="2"/>
        <v/>
      </c>
      <c r="F4730" s="100" t="str">
        <f t="shared" si="3"/>
        <v/>
      </c>
      <c r="G4730" s="151"/>
      <c r="H4730" s="160"/>
      <c r="I4730" s="157"/>
      <c r="J4730" s="158"/>
      <c r="L4730" s="94"/>
      <c r="M4730" s="159"/>
      <c r="N4730" s="94"/>
    </row>
    <row r="4731">
      <c r="A4731" s="107">
        <v>1629004.0</v>
      </c>
      <c r="B4731" s="108" t="s">
        <v>245</v>
      </c>
      <c r="C4731" s="108" t="s">
        <v>1135</v>
      </c>
      <c r="D4731" s="100" t="str">
        <f t="shared" si="1"/>
        <v/>
      </c>
      <c r="E4731" s="100" t="str">
        <f t="shared" si="2"/>
        <v/>
      </c>
      <c r="F4731" s="100" t="str">
        <f t="shared" si="3"/>
        <v/>
      </c>
      <c r="G4731" s="151"/>
      <c r="H4731" s="156"/>
      <c r="I4731" s="157"/>
      <c r="J4731" s="161"/>
      <c r="L4731" s="94"/>
      <c r="M4731" s="159"/>
      <c r="N4731" s="94"/>
    </row>
    <row r="4732">
      <c r="A4732" s="107">
        <v>1629004.0</v>
      </c>
      <c r="B4732" s="108" t="s">
        <v>246</v>
      </c>
      <c r="C4732" s="108" t="s">
        <v>1135</v>
      </c>
      <c r="D4732" s="100" t="str">
        <f t="shared" si="1"/>
        <v/>
      </c>
      <c r="E4732" s="100" t="str">
        <f t="shared" si="2"/>
        <v/>
      </c>
      <c r="F4732" s="100" t="str">
        <f t="shared" si="3"/>
        <v/>
      </c>
      <c r="G4732" s="151"/>
      <c r="H4732" s="160"/>
      <c r="I4732" s="157"/>
      <c r="J4732" s="158"/>
      <c r="L4732" s="94"/>
      <c r="M4732" s="159"/>
      <c r="N4732" s="94"/>
    </row>
    <row r="4733">
      <c r="A4733" s="149">
        <v>1629004.0</v>
      </c>
      <c r="B4733" s="115" t="s">
        <v>247</v>
      </c>
      <c r="C4733" s="115" t="s">
        <v>1135</v>
      </c>
      <c r="D4733" s="100" t="str">
        <f t="shared" si="1"/>
        <v/>
      </c>
      <c r="E4733" s="100" t="str">
        <f t="shared" si="2"/>
        <v/>
      </c>
      <c r="F4733" s="100" t="str">
        <f t="shared" si="3"/>
        <v/>
      </c>
      <c r="G4733" s="151"/>
      <c r="H4733" s="156"/>
      <c r="I4733" s="157"/>
      <c r="J4733" s="161"/>
      <c r="L4733" s="94"/>
      <c r="M4733" s="159"/>
      <c r="N4733" s="94"/>
    </row>
    <row r="4734">
      <c r="A4734" s="21">
        <v>1629005.0</v>
      </c>
      <c r="B4734" s="164" t="s">
        <v>193</v>
      </c>
      <c r="C4734" s="164" t="s">
        <v>1136</v>
      </c>
      <c r="D4734" s="100" t="str">
        <f t="shared" si="1"/>
        <v/>
      </c>
      <c r="E4734" s="100" t="str">
        <f t="shared" si="2"/>
        <v/>
      </c>
      <c r="F4734" s="100" t="str">
        <f t="shared" si="3"/>
        <v/>
      </c>
      <c r="G4734" s="151"/>
      <c r="H4734" s="160"/>
      <c r="I4734" s="157"/>
      <c r="J4734" s="158"/>
      <c r="L4734" s="94"/>
      <c r="M4734" s="159"/>
      <c r="N4734" s="94"/>
    </row>
    <row r="4735">
      <c r="A4735" s="107">
        <v>1629005.0</v>
      </c>
      <c r="B4735" s="108" t="s">
        <v>215</v>
      </c>
      <c r="C4735" s="108" t="s">
        <v>1136</v>
      </c>
      <c r="D4735" s="100" t="str">
        <f t="shared" si="1"/>
        <v/>
      </c>
      <c r="E4735" s="100" t="str">
        <f t="shared" si="2"/>
        <v/>
      </c>
      <c r="F4735" s="100" t="str">
        <f t="shared" si="3"/>
        <v/>
      </c>
      <c r="G4735" s="151"/>
      <c r="H4735" s="156"/>
      <c r="I4735" s="157"/>
      <c r="J4735" s="161"/>
      <c r="L4735" s="94"/>
      <c r="M4735" s="159"/>
      <c r="N4735" s="94"/>
    </row>
    <row r="4736">
      <c r="A4736" s="107">
        <v>1629006.0</v>
      </c>
      <c r="B4736" s="108" t="s">
        <v>192</v>
      </c>
      <c r="C4736" s="108" t="s">
        <v>1137</v>
      </c>
      <c r="D4736" s="100" t="str">
        <f t="shared" si="1"/>
        <v/>
      </c>
      <c r="E4736" s="100" t="str">
        <f t="shared" si="2"/>
        <v/>
      </c>
      <c r="F4736" s="100" t="str">
        <f t="shared" si="3"/>
        <v/>
      </c>
      <c r="G4736" s="151"/>
      <c r="H4736" s="160"/>
      <c r="I4736" s="157"/>
      <c r="J4736" s="158"/>
      <c r="L4736" s="94"/>
      <c r="M4736" s="159"/>
      <c r="N4736" s="94"/>
    </row>
    <row r="4737">
      <c r="A4737" s="107">
        <v>1629006.0</v>
      </c>
      <c r="B4737" s="108" t="s">
        <v>193</v>
      </c>
      <c r="C4737" s="108" t="s">
        <v>1137</v>
      </c>
      <c r="D4737" s="100" t="str">
        <f t="shared" si="1"/>
        <v/>
      </c>
      <c r="E4737" s="100" t="str">
        <f t="shared" si="2"/>
        <v/>
      </c>
      <c r="F4737" s="100" t="str">
        <f t="shared" si="3"/>
        <v/>
      </c>
      <c r="G4737" s="151"/>
      <c r="H4737" s="156"/>
      <c r="I4737" s="157"/>
      <c r="J4737" s="161"/>
      <c r="L4737" s="94"/>
      <c r="M4737" s="159"/>
      <c r="N4737" s="94"/>
    </row>
    <row r="4738">
      <c r="A4738" s="107">
        <v>1629006.0</v>
      </c>
      <c r="B4738" s="108" t="s">
        <v>243</v>
      </c>
      <c r="C4738" s="108" t="s">
        <v>1137</v>
      </c>
      <c r="D4738" s="100" t="str">
        <f t="shared" si="1"/>
        <v/>
      </c>
      <c r="E4738" s="100" t="str">
        <f t="shared" si="2"/>
        <v/>
      </c>
      <c r="F4738" s="100" t="str">
        <f t="shared" si="3"/>
        <v/>
      </c>
      <c r="G4738" s="151"/>
      <c r="H4738" s="160"/>
      <c r="I4738" s="157"/>
      <c r="J4738" s="158"/>
      <c r="L4738" s="94"/>
      <c r="M4738" s="159"/>
      <c r="N4738" s="94"/>
    </row>
    <row r="4739">
      <c r="A4739" s="107">
        <v>1629006.0</v>
      </c>
      <c r="B4739" s="108" t="s">
        <v>215</v>
      </c>
      <c r="C4739" s="108" t="s">
        <v>1137</v>
      </c>
      <c r="D4739" s="100" t="str">
        <f t="shared" si="1"/>
        <v/>
      </c>
      <c r="E4739" s="100" t="str">
        <f t="shared" si="2"/>
        <v/>
      </c>
      <c r="F4739" s="100" t="str">
        <f t="shared" si="3"/>
        <v/>
      </c>
      <c r="G4739" s="151"/>
      <c r="H4739" s="156"/>
      <c r="I4739" s="157"/>
      <c r="J4739" s="161"/>
      <c r="L4739" s="94"/>
      <c r="M4739" s="159"/>
      <c r="N4739" s="94"/>
    </row>
    <row r="4740">
      <c r="A4740" s="107">
        <v>1629006.0</v>
      </c>
      <c r="B4740" s="108" t="s">
        <v>244</v>
      </c>
      <c r="C4740" s="108" t="s">
        <v>1137</v>
      </c>
      <c r="D4740" s="100" t="str">
        <f t="shared" si="1"/>
        <v/>
      </c>
      <c r="E4740" s="100" t="str">
        <f t="shared" si="2"/>
        <v/>
      </c>
      <c r="F4740" s="100" t="str">
        <f t="shared" si="3"/>
        <v/>
      </c>
      <c r="G4740" s="151"/>
      <c r="H4740" s="160"/>
      <c r="I4740" s="157"/>
      <c r="J4740" s="158"/>
      <c r="L4740" s="94"/>
      <c r="M4740" s="159"/>
      <c r="N4740" s="94"/>
    </row>
    <row r="4741">
      <c r="A4741" s="107">
        <v>1629006.0</v>
      </c>
      <c r="B4741" s="108" t="s">
        <v>245</v>
      </c>
      <c r="C4741" s="108" t="s">
        <v>1137</v>
      </c>
      <c r="D4741" s="100" t="str">
        <f t="shared" si="1"/>
        <v/>
      </c>
      <c r="E4741" s="100" t="str">
        <f t="shared" si="2"/>
        <v/>
      </c>
      <c r="F4741" s="100" t="str">
        <f t="shared" si="3"/>
        <v/>
      </c>
      <c r="G4741" s="151"/>
      <c r="H4741" s="156"/>
      <c r="I4741" s="157"/>
      <c r="J4741" s="161"/>
      <c r="L4741" s="94"/>
      <c r="M4741" s="159"/>
      <c r="N4741" s="94"/>
    </row>
    <row r="4742">
      <c r="A4742" s="107">
        <v>1629006.0</v>
      </c>
      <c r="B4742" s="108" t="s">
        <v>246</v>
      </c>
      <c r="C4742" s="108" t="s">
        <v>1137</v>
      </c>
      <c r="D4742" s="100" t="str">
        <f t="shared" si="1"/>
        <v/>
      </c>
      <c r="E4742" s="100" t="str">
        <f t="shared" si="2"/>
        <v/>
      </c>
      <c r="F4742" s="100" t="str">
        <f t="shared" si="3"/>
        <v/>
      </c>
      <c r="G4742" s="151"/>
      <c r="H4742" s="160"/>
      <c r="I4742" s="157"/>
      <c r="J4742" s="158"/>
      <c r="L4742" s="94"/>
      <c r="M4742" s="159"/>
      <c r="N4742" s="94"/>
    </row>
    <row r="4743">
      <c r="A4743" s="149">
        <v>1629006.0</v>
      </c>
      <c r="B4743" s="115" t="s">
        <v>247</v>
      </c>
      <c r="C4743" s="115" t="s">
        <v>1137</v>
      </c>
      <c r="D4743" s="100" t="str">
        <f t="shared" si="1"/>
        <v/>
      </c>
      <c r="E4743" s="100" t="str">
        <f t="shared" si="2"/>
        <v/>
      </c>
      <c r="F4743" s="100" t="str">
        <f t="shared" si="3"/>
        <v/>
      </c>
      <c r="G4743" s="151"/>
      <c r="H4743" s="156"/>
      <c r="I4743" s="157"/>
      <c r="J4743" s="161"/>
      <c r="L4743" s="94"/>
      <c r="M4743" s="159"/>
      <c r="N4743" s="94"/>
    </row>
    <row r="4744">
      <c r="A4744" s="21">
        <v>1629007.0</v>
      </c>
      <c r="B4744" s="164" t="s">
        <v>243</v>
      </c>
      <c r="C4744" s="164" t="s">
        <v>1138</v>
      </c>
      <c r="D4744" s="100" t="str">
        <f t="shared" si="1"/>
        <v/>
      </c>
      <c r="E4744" s="100" t="str">
        <f t="shared" si="2"/>
        <v/>
      </c>
      <c r="F4744" s="100" t="str">
        <f t="shared" si="3"/>
        <v/>
      </c>
      <c r="G4744" s="151"/>
      <c r="H4744" s="160"/>
      <c r="I4744" s="157"/>
      <c r="J4744" s="158"/>
      <c r="L4744" s="94"/>
      <c r="M4744" s="159"/>
      <c r="N4744" s="94"/>
    </row>
    <row r="4745">
      <c r="A4745" s="107">
        <v>1629007.0</v>
      </c>
      <c r="B4745" s="108" t="s">
        <v>245</v>
      </c>
      <c r="C4745" s="108" t="s">
        <v>1138</v>
      </c>
      <c r="D4745" s="100" t="str">
        <f t="shared" si="1"/>
        <v/>
      </c>
      <c r="E4745" s="100" t="str">
        <f t="shared" si="2"/>
        <v/>
      </c>
      <c r="F4745" s="100" t="str">
        <f t="shared" si="3"/>
        <v/>
      </c>
      <c r="G4745" s="151"/>
      <c r="H4745" s="156"/>
      <c r="I4745" s="157"/>
      <c r="J4745" s="161"/>
      <c r="L4745" s="94"/>
      <c r="M4745" s="159"/>
      <c r="N4745" s="94"/>
    </row>
    <row r="4746">
      <c r="A4746" s="107">
        <v>1629008.0</v>
      </c>
      <c r="B4746" s="108" t="s">
        <v>193</v>
      </c>
      <c r="C4746" s="108" t="s">
        <v>1139</v>
      </c>
      <c r="D4746" s="100" t="str">
        <f t="shared" si="1"/>
        <v/>
      </c>
      <c r="E4746" s="100" t="str">
        <f t="shared" si="2"/>
        <v/>
      </c>
      <c r="F4746" s="100" t="str">
        <f t="shared" si="3"/>
        <v/>
      </c>
      <c r="G4746" s="151"/>
      <c r="H4746" s="160"/>
      <c r="I4746" s="157"/>
      <c r="J4746" s="158"/>
      <c r="L4746" s="94"/>
      <c r="M4746" s="159"/>
      <c r="N4746" s="94"/>
    </row>
    <row r="4747">
      <c r="A4747" s="107">
        <v>1629008.0</v>
      </c>
      <c r="B4747" s="108" t="s">
        <v>243</v>
      </c>
      <c r="C4747" s="108" t="s">
        <v>1139</v>
      </c>
      <c r="D4747" s="100" t="str">
        <f t="shared" si="1"/>
        <v/>
      </c>
      <c r="E4747" s="100" t="str">
        <f t="shared" si="2"/>
        <v/>
      </c>
      <c r="F4747" s="100" t="str">
        <f t="shared" si="3"/>
        <v/>
      </c>
      <c r="G4747" s="151"/>
      <c r="H4747" s="156"/>
      <c r="I4747" s="157"/>
      <c r="J4747" s="161"/>
      <c r="L4747" s="94"/>
      <c r="M4747" s="159"/>
      <c r="N4747" s="94"/>
    </row>
    <row r="4748">
      <c r="A4748" s="107">
        <v>1629008.0</v>
      </c>
      <c r="B4748" s="108" t="s">
        <v>215</v>
      </c>
      <c r="C4748" s="108" t="s">
        <v>1139</v>
      </c>
      <c r="D4748" s="100" t="str">
        <f t="shared" si="1"/>
        <v/>
      </c>
      <c r="E4748" s="100" t="str">
        <f t="shared" si="2"/>
        <v/>
      </c>
      <c r="F4748" s="100" t="str">
        <f t="shared" si="3"/>
        <v/>
      </c>
      <c r="G4748" s="151"/>
      <c r="H4748" s="160"/>
      <c r="I4748" s="157"/>
      <c r="J4748" s="158"/>
      <c r="L4748" s="94"/>
      <c r="M4748" s="159"/>
      <c r="N4748" s="94"/>
    </row>
    <row r="4749">
      <c r="A4749" s="107">
        <v>1629008.0</v>
      </c>
      <c r="B4749" s="108" t="s">
        <v>244</v>
      </c>
      <c r="C4749" s="108" t="s">
        <v>1139</v>
      </c>
      <c r="D4749" s="100" t="str">
        <f t="shared" si="1"/>
        <v/>
      </c>
      <c r="E4749" s="100" t="str">
        <f t="shared" si="2"/>
        <v/>
      </c>
      <c r="F4749" s="100" t="str">
        <f t="shared" si="3"/>
        <v/>
      </c>
      <c r="G4749" s="151"/>
      <c r="H4749" s="156"/>
      <c r="I4749" s="157"/>
      <c r="J4749" s="161"/>
      <c r="L4749" s="94"/>
      <c r="M4749" s="159"/>
      <c r="N4749" s="94"/>
    </row>
    <row r="4750">
      <c r="A4750" s="107">
        <v>1629008.0</v>
      </c>
      <c r="B4750" s="108" t="s">
        <v>245</v>
      </c>
      <c r="C4750" s="108" t="s">
        <v>1139</v>
      </c>
      <c r="D4750" s="100" t="str">
        <f t="shared" si="1"/>
        <v/>
      </c>
      <c r="E4750" s="100" t="str">
        <f t="shared" si="2"/>
        <v/>
      </c>
      <c r="F4750" s="100" t="str">
        <f t="shared" si="3"/>
        <v/>
      </c>
      <c r="G4750" s="151"/>
      <c r="H4750" s="160"/>
      <c r="I4750" s="157"/>
      <c r="J4750" s="158"/>
      <c r="L4750" s="94"/>
      <c r="M4750" s="159"/>
      <c r="N4750" s="94"/>
    </row>
    <row r="4751">
      <c r="A4751" s="107">
        <v>1629008.0</v>
      </c>
      <c r="B4751" s="108" t="s">
        <v>246</v>
      </c>
      <c r="C4751" s="108" t="s">
        <v>1139</v>
      </c>
      <c r="D4751" s="100" t="str">
        <f t="shared" si="1"/>
        <v/>
      </c>
      <c r="E4751" s="100" t="str">
        <f t="shared" si="2"/>
        <v/>
      </c>
      <c r="F4751" s="100" t="str">
        <f t="shared" si="3"/>
        <v/>
      </c>
      <c r="G4751" s="151"/>
      <c r="H4751" s="156"/>
      <c r="I4751" s="157"/>
      <c r="J4751" s="161"/>
      <c r="L4751" s="94"/>
      <c r="M4751" s="159"/>
      <c r="N4751" s="94"/>
    </row>
    <row r="4752">
      <c r="A4752" s="149">
        <v>1629008.0</v>
      </c>
      <c r="B4752" s="115" t="s">
        <v>247</v>
      </c>
      <c r="C4752" s="108" t="s">
        <v>1139</v>
      </c>
      <c r="D4752" s="100" t="str">
        <f t="shared" si="1"/>
        <v/>
      </c>
      <c r="E4752" s="100" t="str">
        <f t="shared" si="2"/>
        <v/>
      </c>
      <c r="F4752" s="100" t="str">
        <f t="shared" si="3"/>
        <v/>
      </c>
      <c r="G4752" s="151"/>
      <c r="H4752" s="160"/>
      <c r="I4752" s="157"/>
      <c r="J4752" s="158"/>
      <c r="L4752" s="94"/>
      <c r="M4752" s="159"/>
      <c r="N4752" s="94"/>
    </row>
    <row r="4753">
      <c r="A4753" s="21">
        <v>1629010.0</v>
      </c>
      <c r="B4753" s="164" t="s">
        <v>192</v>
      </c>
      <c r="C4753" s="164" t="s">
        <v>1140</v>
      </c>
      <c r="D4753" s="100" t="str">
        <f t="shared" si="1"/>
        <v/>
      </c>
      <c r="E4753" s="100" t="str">
        <f t="shared" si="2"/>
        <v/>
      </c>
      <c r="F4753" s="100" t="str">
        <f t="shared" si="3"/>
        <v/>
      </c>
      <c r="G4753" s="151"/>
      <c r="H4753" s="156"/>
      <c r="I4753" s="157"/>
      <c r="J4753" s="161"/>
      <c r="L4753" s="94"/>
      <c r="M4753" s="159"/>
      <c r="N4753" s="94"/>
    </row>
    <row r="4754">
      <c r="A4754" s="107">
        <v>1629010.0</v>
      </c>
      <c r="B4754" s="108" t="s">
        <v>193</v>
      </c>
      <c r="C4754" s="108" t="s">
        <v>1140</v>
      </c>
      <c r="D4754" s="100" t="str">
        <f t="shared" si="1"/>
        <v/>
      </c>
      <c r="E4754" s="100" t="str">
        <f t="shared" si="2"/>
        <v/>
      </c>
      <c r="F4754" s="100" t="str">
        <f t="shared" si="3"/>
        <v/>
      </c>
      <c r="G4754" s="151"/>
      <c r="H4754" s="160"/>
      <c r="I4754" s="157"/>
      <c r="J4754" s="158"/>
      <c r="L4754" s="94"/>
      <c r="M4754" s="159"/>
      <c r="N4754" s="94"/>
    </row>
    <row r="4755">
      <c r="A4755" s="107">
        <v>1629010.0</v>
      </c>
      <c r="B4755" s="108" t="s">
        <v>243</v>
      </c>
      <c r="C4755" s="108" t="s">
        <v>1140</v>
      </c>
      <c r="D4755" s="100" t="str">
        <f t="shared" si="1"/>
        <v/>
      </c>
      <c r="E4755" s="100" t="str">
        <f t="shared" si="2"/>
        <v/>
      </c>
      <c r="F4755" s="100" t="str">
        <f t="shared" si="3"/>
        <v/>
      </c>
      <c r="G4755" s="151"/>
      <c r="H4755" s="156"/>
      <c r="I4755" s="157"/>
      <c r="J4755" s="161"/>
      <c r="L4755" s="94"/>
      <c r="M4755" s="159"/>
      <c r="N4755" s="94"/>
    </row>
    <row r="4756">
      <c r="A4756" s="107">
        <v>1629010.0</v>
      </c>
      <c r="B4756" s="108" t="s">
        <v>245</v>
      </c>
      <c r="C4756" s="108" t="s">
        <v>1140</v>
      </c>
      <c r="D4756" s="100" t="str">
        <f t="shared" si="1"/>
        <v/>
      </c>
      <c r="E4756" s="100" t="str">
        <f t="shared" si="2"/>
        <v/>
      </c>
      <c r="F4756" s="100" t="str">
        <f t="shared" si="3"/>
        <v/>
      </c>
      <c r="G4756" s="151"/>
      <c r="H4756" s="160"/>
      <c r="I4756" s="157"/>
      <c r="J4756" s="158"/>
      <c r="L4756" s="94"/>
      <c r="M4756" s="159"/>
      <c r="N4756" s="94"/>
    </row>
    <row r="4757">
      <c r="A4757" s="107">
        <v>1629011.0</v>
      </c>
      <c r="B4757" s="108" t="s">
        <v>192</v>
      </c>
      <c r="C4757" s="108" t="s">
        <v>1141</v>
      </c>
      <c r="D4757" s="100" t="str">
        <f t="shared" si="1"/>
        <v/>
      </c>
      <c r="E4757" s="100" t="str">
        <f t="shared" si="2"/>
        <v/>
      </c>
      <c r="F4757" s="100" t="str">
        <f t="shared" si="3"/>
        <v/>
      </c>
      <c r="G4757" s="151"/>
      <c r="H4757" s="156"/>
      <c r="I4757" s="157"/>
      <c r="J4757" s="161"/>
      <c r="L4757" s="94"/>
      <c r="M4757" s="159"/>
      <c r="N4757" s="94"/>
    </row>
    <row r="4758">
      <c r="A4758" s="107">
        <v>1629011.0</v>
      </c>
      <c r="B4758" s="108" t="s">
        <v>193</v>
      </c>
      <c r="C4758" s="108" t="s">
        <v>1141</v>
      </c>
      <c r="D4758" s="100" t="str">
        <f t="shared" si="1"/>
        <v/>
      </c>
      <c r="E4758" s="100" t="str">
        <f t="shared" si="2"/>
        <v/>
      </c>
      <c r="F4758" s="100" t="str">
        <f t="shared" si="3"/>
        <v/>
      </c>
      <c r="G4758" s="151"/>
      <c r="H4758" s="160"/>
      <c r="I4758" s="157"/>
      <c r="J4758" s="158"/>
      <c r="L4758" s="94"/>
      <c r="M4758" s="159"/>
      <c r="N4758" s="94"/>
    </row>
    <row r="4759">
      <c r="A4759" s="107">
        <v>1629011.0</v>
      </c>
      <c r="B4759" s="108" t="s">
        <v>243</v>
      </c>
      <c r="C4759" s="108" t="s">
        <v>1141</v>
      </c>
      <c r="D4759" s="100" t="str">
        <f t="shared" si="1"/>
        <v/>
      </c>
      <c r="E4759" s="100" t="str">
        <f t="shared" si="2"/>
        <v/>
      </c>
      <c r="F4759" s="100" t="str">
        <f t="shared" si="3"/>
        <v/>
      </c>
      <c r="G4759" s="151"/>
      <c r="H4759" s="156"/>
      <c r="I4759" s="157"/>
      <c r="J4759" s="161"/>
      <c r="L4759" s="94"/>
      <c r="M4759" s="159"/>
      <c r="N4759" s="94"/>
    </row>
    <row r="4760">
      <c r="A4760" s="107">
        <v>1629011.0</v>
      </c>
      <c r="B4760" s="108" t="s">
        <v>215</v>
      </c>
      <c r="C4760" s="108" t="s">
        <v>1141</v>
      </c>
      <c r="D4760" s="100" t="str">
        <f t="shared" si="1"/>
        <v/>
      </c>
      <c r="E4760" s="100" t="str">
        <f t="shared" si="2"/>
        <v/>
      </c>
      <c r="F4760" s="100" t="str">
        <f t="shared" si="3"/>
        <v/>
      </c>
      <c r="G4760" s="151"/>
      <c r="H4760" s="160"/>
      <c r="I4760" s="157"/>
      <c r="J4760" s="158"/>
      <c r="L4760" s="94"/>
      <c r="M4760" s="159"/>
      <c r="N4760" s="94"/>
    </row>
    <row r="4761">
      <c r="A4761" s="107">
        <v>1629011.0</v>
      </c>
      <c r="B4761" s="108" t="s">
        <v>244</v>
      </c>
      <c r="C4761" s="108" t="s">
        <v>1141</v>
      </c>
      <c r="D4761" s="100" t="str">
        <f t="shared" si="1"/>
        <v/>
      </c>
      <c r="E4761" s="100" t="str">
        <f t="shared" si="2"/>
        <v/>
      </c>
      <c r="F4761" s="100" t="str">
        <f t="shared" si="3"/>
        <v/>
      </c>
      <c r="G4761" s="151"/>
      <c r="H4761" s="156"/>
      <c r="I4761" s="157"/>
      <c r="J4761" s="161"/>
      <c r="L4761" s="94"/>
      <c r="M4761" s="159"/>
      <c r="N4761" s="94"/>
    </row>
    <row r="4762">
      <c r="A4762" s="107">
        <v>1629011.0</v>
      </c>
      <c r="B4762" s="108" t="s">
        <v>245</v>
      </c>
      <c r="C4762" s="108" t="s">
        <v>1141</v>
      </c>
      <c r="D4762" s="100" t="str">
        <f t="shared" si="1"/>
        <v/>
      </c>
      <c r="E4762" s="100" t="str">
        <f t="shared" si="2"/>
        <v/>
      </c>
      <c r="F4762" s="100" t="str">
        <f t="shared" si="3"/>
        <v/>
      </c>
      <c r="G4762" s="151"/>
      <c r="H4762" s="160"/>
      <c r="I4762" s="157"/>
      <c r="J4762" s="158"/>
      <c r="L4762" s="94"/>
      <c r="M4762" s="159"/>
      <c r="N4762" s="94"/>
    </row>
    <row r="4763">
      <c r="A4763" s="107">
        <v>1629011.0</v>
      </c>
      <c r="B4763" s="108" t="s">
        <v>246</v>
      </c>
      <c r="C4763" s="108" t="s">
        <v>1141</v>
      </c>
      <c r="D4763" s="100" t="str">
        <f t="shared" si="1"/>
        <v/>
      </c>
      <c r="E4763" s="100" t="str">
        <f t="shared" si="2"/>
        <v/>
      </c>
      <c r="F4763" s="100" t="str">
        <f t="shared" si="3"/>
        <v/>
      </c>
      <c r="G4763" s="151"/>
      <c r="H4763" s="156"/>
      <c r="I4763" s="157"/>
      <c r="J4763" s="161"/>
      <c r="L4763" s="94"/>
      <c r="M4763" s="159"/>
      <c r="N4763" s="94"/>
    </row>
    <row r="4764">
      <c r="A4764" s="149">
        <v>1629011.0</v>
      </c>
      <c r="B4764" s="115" t="s">
        <v>247</v>
      </c>
      <c r="C4764" s="115" t="s">
        <v>1141</v>
      </c>
      <c r="D4764" s="100" t="str">
        <f t="shared" si="1"/>
        <v/>
      </c>
      <c r="E4764" s="100" t="str">
        <f t="shared" si="2"/>
        <v/>
      </c>
      <c r="F4764" s="100" t="str">
        <f t="shared" si="3"/>
        <v/>
      </c>
      <c r="G4764" s="151"/>
      <c r="H4764" s="160"/>
      <c r="I4764" s="157"/>
      <c r="J4764" s="158"/>
      <c r="L4764" s="94"/>
      <c r="M4764" s="159"/>
      <c r="N4764" s="94"/>
    </row>
    <row r="4765">
      <c r="A4765" s="21">
        <v>1629012.0</v>
      </c>
      <c r="B4765" s="164" t="s">
        <v>192</v>
      </c>
      <c r="C4765" s="164" t="s">
        <v>1142</v>
      </c>
      <c r="D4765" s="100" t="str">
        <f t="shared" si="1"/>
        <v/>
      </c>
      <c r="E4765" s="100" t="str">
        <f t="shared" si="2"/>
        <v/>
      </c>
      <c r="F4765" s="100" t="str">
        <f t="shared" si="3"/>
        <v/>
      </c>
      <c r="G4765" s="151"/>
      <c r="H4765" s="156"/>
      <c r="I4765" s="157"/>
      <c r="J4765" s="161"/>
      <c r="L4765" s="94"/>
      <c r="M4765" s="159"/>
      <c r="N4765" s="94"/>
    </row>
    <row r="4766">
      <c r="A4766" s="107">
        <v>1629012.0</v>
      </c>
      <c r="B4766" s="108" t="s">
        <v>193</v>
      </c>
      <c r="C4766" s="108" t="s">
        <v>1142</v>
      </c>
      <c r="D4766" s="100" t="str">
        <f t="shared" si="1"/>
        <v/>
      </c>
      <c r="E4766" s="100" t="str">
        <f t="shared" si="2"/>
        <v/>
      </c>
      <c r="F4766" s="100" t="str">
        <f t="shared" si="3"/>
        <v/>
      </c>
      <c r="G4766" s="151"/>
      <c r="H4766" s="160"/>
      <c r="I4766" s="157"/>
      <c r="J4766" s="158"/>
      <c r="L4766" s="94"/>
      <c r="M4766" s="159"/>
      <c r="N4766" s="94"/>
    </row>
    <row r="4767">
      <c r="A4767" s="107">
        <v>1629012.0</v>
      </c>
      <c r="B4767" s="108" t="s">
        <v>243</v>
      </c>
      <c r="C4767" s="108" t="s">
        <v>1142</v>
      </c>
      <c r="D4767" s="100" t="str">
        <f t="shared" si="1"/>
        <v/>
      </c>
      <c r="E4767" s="100" t="str">
        <f t="shared" si="2"/>
        <v/>
      </c>
      <c r="F4767" s="100" t="str">
        <f t="shared" si="3"/>
        <v/>
      </c>
      <c r="G4767" s="151"/>
      <c r="H4767" s="156"/>
      <c r="I4767" s="157"/>
      <c r="J4767" s="161"/>
      <c r="L4767" s="94"/>
      <c r="M4767" s="159"/>
      <c r="N4767" s="94"/>
    </row>
    <row r="4768">
      <c r="A4768" s="107">
        <v>1629012.0</v>
      </c>
      <c r="B4768" s="108" t="s">
        <v>215</v>
      </c>
      <c r="C4768" s="108" t="s">
        <v>1142</v>
      </c>
      <c r="D4768" s="100" t="str">
        <f t="shared" si="1"/>
        <v/>
      </c>
      <c r="E4768" s="100" t="str">
        <f t="shared" si="2"/>
        <v/>
      </c>
      <c r="F4768" s="100" t="str">
        <f t="shared" si="3"/>
        <v/>
      </c>
      <c r="G4768" s="151"/>
      <c r="H4768" s="160"/>
      <c r="I4768" s="157"/>
      <c r="J4768" s="158"/>
      <c r="L4768" s="94"/>
      <c r="M4768" s="159"/>
      <c r="N4768" s="94"/>
    </row>
    <row r="4769">
      <c r="A4769" s="107">
        <v>1629012.0</v>
      </c>
      <c r="B4769" s="108" t="s">
        <v>244</v>
      </c>
      <c r="C4769" s="108" t="s">
        <v>1142</v>
      </c>
      <c r="D4769" s="100" t="str">
        <f t="shared" si="1"/>
        <v/>
      </c>
      <c r="E4769" s="100" t="str">
        <f t="shared" si="2"/>
        <v/>
      </c>
      <c r="F4769" s="100" t="str">
        <f t="shared" si="3"/>
        <v/>
      </c>
      <c r="G4769" s="151"/>
      <c r="H4769" s="156"/>
      <c r="I4769" s="157"/>
      <c r="J4769" s="161"/>
      <c r="L4769" s="94"/>
      <c r="M4769" s="159"/>
      <c r="N4769" s="94"/>
    </row>
    <row r="4770">
      <c r="A4770" s="107">
        <v>1629012.0</v>
      </c>
      <c r="B4770" s="108" t="s">
        <v>245</v>
      </c>
      <c r="C4770" s="108" t="s">
        <v>1142</v>
      </c>
      <c r="D4770" s="100" t="str">
        <f t="shared" si="1"/>
        <v/>
      </c>
      <c r="E4770" s="100" t="str">
        <f t="shared" si="2"/>
        <v/>
      </c>
      <c r="F4770" s="100" t="str">
        <f t="shared" si="3"/>
        <v/>
      </c>
      <c r="G4770" s="151"/>
      <c r="H4770" s="160"/>
      <c r="I4770" s="157"/>
      <c r="J4770" s="158"/>
      <c r="L4770" s="94"/>
      <c r="M4770" s="159"/>
      <c r="N4770" s="94"/>
    </row>
    <row r="4771">
      <c r="A4771" s="107">
        <v>1629012.0</v>
      </c>
      <c r="B4771" s="108" t="s">
        <v>246</v>
      </c>
      <c r="C4771" s="108" t="s">
        <v>1142</v>
      </c>
      <c r="D4771" s="100" t="str">
        <f t="shared" si="1"/>
        <v/>
      </c>
      <c r="E4771" s="100" t="str">
        <f t="shared" si="2"/>
        <v/>
      </c>
      <c r="F4771" s="100" t="str">
        <f t="shared" si="3"/>
        <v/>
      </c>
      <c r="G4771" s="151"/>
      <c r="H4771" s="156"/>
      <c r="I4771" s="157"/>
      <c r="J4771" s="161"/>
      <c r="L4771" s="94"/>
      <c r="M4771" s="159"/>
      <c r="N4771" s="94"/>
    </row>
    <row r="4772">
      <c r="A4772" s="149">
        <v>1629012.0</v>
      </c>
      <c r="B4772" s="115" t="s">
        <v>247</v>
      </c>
      <c r="C4772" s="115" t="s">
        <v>1142</v>
      </c>
      <c r="D4772" s="100" t="str">
        <f t="shared" si="1"/>
        <v/>
      </c>
      <c r="E4772" s="100" t="str">
        <f t="shared" si="2"/>
        <v/>
      </c>
      <c r="F4772" s="100" t="str">
        <f t="shared" si="3"/>
        <v/>
      </c>
      <c r="G4772" s="151"/>
      <c r="H4772" s="160"/>
      <c r="I4772" s="157"/>
      <c r="J4772" s="158"/>
      <c r="L4772" s="94"/>
      <c r="M4772" s="159"/>
      <c r="N4772" s="94"/>
    </row>
    <row r="4773">
      <c r="A4773" s="21">
        <v>1629013.0</v>
      </c>
      <c r="B4773" s="164" t="s">
        <v>192</v>
      </c>
      <c r="C4773" s="164" t="s">
        <v>1143</v>
      </c>
      <c r="D4773" s="100" t="str">
        <f t="shared" si="1"/>
        <v/>
      </c>
      <c r="E4773" s="100" t="str">
        <f t="shared" si="2"/>
        <v/>
      </c>
      <c r="F4773" s="100" t="str">
        <f t="shared" si="3"/>
        <v/>
      </c>
      <c r="G4773" s="151"/>
      <c r="H4773" s="156"/>
      <c r="I4773" s="157"/>
      <c r="J4773" s="161"/>
      <c r="L4773" s="94"/>
      <c r="M4773" s="159"/>
      <c r="N4773" s="94"/>
    </row>
    <row r="4774">
      <c r="A4774" s="107">
        <v>1629013.0</v>
      </c>
      <c r="B4774" s="108" t="s">
        <v>193</v>
      </c>
      <c r="C4774" s="108" t="s">
        <v>1143</v>
      </c>
      <c r="D4774" s="100" t="str">
        <f t="shared" si="1"/>
        <v/>
      </c>
      <c r="E4774" s="100" t="str">
        <f t="shared" si="2"/>
        <v/>
      </c>
      <c r="F4774" s="100" t="str">
        <f t="shared" si="3"/>
        <v/>
      </c>
      <c r="G4774" s="151"/>
      <c r="H4774" s="160"/>
      <c r="I4774" s="157"/>
      <c r="J4774" s="158"/>
      <c r="L4774" s="94"/>
      <c r="M4774" s="159"/>
      <c r="N4774" s="94"/>
    </row>
    <row r="4775">
      <c r="A4775" s="107">
        <v>1629013.0</v>
      </c>
      <c r="B4775" s="108" t="s">
        <v>243</v>
      </c>
      <c r="C4775" s="108" t="s">
        <v>1143</v>
      </c>
      <c r="D4775" s="100" t="str">
        <f t="shared" si="1"/>
        <v/>
      </c>
      <c r="E4775" s="100" t="str">
        <f t="shared" si="2"/>
        <v/>
      </c>
      <c r="F4775" s="100" t="str">
        <f t="shared" si="3"/>
        <v/>
      </c>
      <c r="G4775" s="151"/>
      <c r="H4775" s="156"/>
      <c r="I4775" s="157"/>
      <c r="J4775" s="161"/>
      <c r="L4775" s="94"/>
      <c r="M4775" s="159"/>
      <c r="N4775" s="94"/>
    </row>
    <row r="4776">
      <c r="A4776" s="107">
        <v>1629013.0</v>
      </c>
      <c r="B4776" s="108" t="s">
        <v>215</v>
      </c>
      <c r="C4776" s="108" t="s">
        <v>1143</v>
      </c>
      <c r="D4776" s="100" t="str">
        <f t="shared" si="1"/>
        <v/>
      </c>
      <c r="E4776" s="100" t="str">
        <f t="shared" si="2"/>
        <v/>
      </c>
      <c r="F4776" s="100" t="str">
        <f t="shared" si="3"/>
        <v/>
      </c>
      <c r="G4776" s="151"/>
      <c r="H4776" s="160"/>
      <c r="I4776" s="157"/>
      <c r="J4776" s="158"/>
      <c r="L4776" s="94"/>
      <c r="M4776" s="159"/>
      <c r="N4776" s="94"/>
    </row>
    <row r="4777">
      <c r="A4777" s="107">
        <v>1629013.0</v>
      </c>
      <c r="B4777" s="108" t="s">
        <v>244</v>
      </c>
      <c r="C4777" s="108" t="s">
        <v>1143</v>
      </c>
      <c r="D4777" s="100" t="str">
        <f t="shared" si="1"/>
        <v/>
      </c>
      <c r="E4777" s="100" t="str">
        <f t="shared" si="2"/>
        <v/>
      </c>
      <c r="F4777" s="100" t="str">
        <f t="shared" si="3"/>
        <v/>
      </c>
      <c r="G4777" s="151"/>
      <c r="H4777" s="156"/>
      <c r="I4777" s="157"/>
      <c r="J4777" s="161"/>
      <c r="L4777" s="94"/>
      <c r="M4777" s="159"/>
      <c r="N4777" s="94"/>
    </row>
    <row r="4778">
      <c r="A4778" s="107">
        <v>1629013.0</v>
      </c>
      <c r="B4778" s="108" t="s">
        <v>245</v>
      </c>
      <c r="C4778" s="108" t="s">
        <v>1143</v>
      </c>
      <c r="D4778" s="100" t="str">
        <f t="shared" si="1"/>
        <v/>
      </c>
      <c r="E4778" s="100" t="str">
        <f t="shared" si="2"/>
        <v/>
      </c>
      <c r="F4778" s="100" t="str">
        <f t="shared" si="3"/>
        <v/>
      </c>
      <c r="G4778" s="151"/>
      <c r="H4778" s="160"/>
      <c r="I4778" s="157"/>
      <c r="J4778" s="158"/>
      <c r="L4778" s="94"/>
      <c r="M4778" s="159"/>
      <c r="N4778" s="94"/>
    </row>
    <row r="4779">
      <c r="A4779" s="107">
        <v>1629013.0</v>
      </c>
      <c r="B4779" s="108" t="s">
        <v>246</v>
      </c>
      <c r="C4779" s="108" t="s">
        <v>1143</v>
      </c>
      <c r="D4779" s="100" t="str">
        <f t="shared" si="1"/>
        <v/>
      </c>
      <c r="E4779" s="100" t="str">
        <f t="shared" si="2"/>
        <v/>
      </c>
      <c r="F4779" s="100" t="str">
        <f t="shared" si="3"/>
        <v/>
      </c>
      <c r="G4779" s="151"/>
      <c r="H4779" s="156"/>
      <c r="I4779" s="157"/>
      <c r="J4779" s="161"/>
      <c r="L4779" s="94"/>
      <c r="M4779" s="159"/>
      <c r="N4779" s="94"/>
    </row>
    <row r="4780">
      <c r="A4780" s="167">
        <v>1629013.0</v>
      </c>
      <c r="B4780" s="168" t="s">
        <v>247</v>
      </c>
      <c r="C4780" s="168" t="s">
        <v>1143</v>
      </c>
      <c r="D4780" s="100" t="str">
        <f t="shared" si="1"/>
        <v/>
      </c>
      <c r="E4780" s="100" t="str">
        <f t="shared" si="2"/>
        <v/>
      </c>
      <c r="F4780" s="100" t="str">
        <f t="shared" si="3"/>
        <v/>
      </c>
      <c r="G4780" s="151"/>
      <c r="H4780" s="160"/>
      <c r="I4780" s="157"/>
      <c r="J4780" s="158"/>
      <c r="L4780" s="94"/>
      <c r="M4780" s="159"/>
      <c r="N4780" s="94"/>
    </row>
    <row r="4781">
      <c r="A4781" s="21">
        <v>1629014.0</v>
      </c>
      <c r="B4781" s="164" t="s">
        <v>192</v>
      </c>
      <c r="C4781" s="164" t="s">
        <v>1144</v>
      </c>
      <c r="D4781" s="100" t="str">
        <f t="shared" si="1"/>
        <v/>
      </c>
      <c r="E4781" s="100" t="str">
        <f t="shared" si="2"/>
        <v/>
      </c>
      <c r="F4781" s="100" t="str">
        <f t="shared" si="3"/>
        <v/>
      </c>
      <c r="G4781" s="151"/>
      <c r="H4781" s="156"/>
      <c r="I4781" s="157"/>
      <c r="J4781" s="161"/>
      <c r="L4781" s="94"/>
      <c r="M4781" s="159"/>
      <c r="N4781" s="94"/>
    </row>
    <row r="4782">
      <c r="A4782" s="107">
        <v>1629014.0</v>
      </c>
      <c r="B4782" s="108" t="s">
        <v>193</v>
      </c>
      <c r="C4782" s="108" t="s">
        <v>1144</v>
      </c>
      <c r="D4782" s="100" t="str">
        <f t="shared" si="1"/>
        <v/>
      </c>
      <c r="E4782" s="100" t="str">
        <f t="shared" si="2"/>
        <v/>
      </c>
      <c r="F4782" s="100" t="str">
        <f t="shared" si="3"/>
        <v/>
      </c>
      <c r="G4782" s="151"/>
      <c r="H4782" s="160"/>
      <c r="I4782" s="157"/>
      <c r="J4782" s="158"/>
      <c r="L4782" s="94"/>
      <c r="M4782" s="159"/>
      <c r="N4782" s="94"/>
    </row>
    <row r="4783">
      <c r="A4783" s="107">
        <v>1629014.0</v>
      </c>
      <c r="B4783" s="108" t="s">
        <v>243</v>
      </c>
      <c r="C4783" s="108" t="s">
        <v>1144</v>
      </c>
      <c r="D4783" s="100" t="str">
        <f t="shared" si="1"/>
        <v/>
      </c>
      <c r="E4783" s="100" t="str">
        <f t="shared" si="2"/>
        <v/>
      </c>
      <c r="F4783" s="100" t="str">
        <f t="shared" si="3"/>
        <v/>
      </c>
      <c r="G4783" s="151"/>
      <c r="H4783" s="156"/>
      <c r="I4783" s="157"/>
      <c r="J4783" s="161"/>
      <c r="L4783" s="94"/>
      <c r="M4783" s="159"/>
      <c r="N4783" s="94"/>
    </row>
    <row r="4784">
      <c r="A4784" s="107">
        <v>1629014.0</v>
      </c>
      <c r="B4784" s="108" t="s">
        <v>215</v>
      </c>
      <c r="C4784" s="108" t="s">
        <v>1144</v>
      </c>
      <c r="D4784" s="100" t="str">
        <f t="shared" si="1"/>
        <v/>
      </c>
      <c r="E4784" s="100" t="str">
        <f t="shared" si="2"/>
        <v/>
      </c>
      <c r="F4784" s="100" t="str">
        <f t="shared" si="3"/>
        <v/>
      </c>
      <c r="G4784" s="151"/>
      <c r="H4784" s="160"/>
      <c r="I4784" s="157"/>
      <c r="J4784" s="158"/>
      <c r="L4784" s="94"/>
      <c r="M4784" s="159"/>
      <c r="N4784" s="94"/>
    </row>
    <row r="4785">
      <c r="A4785" s="107">
        <v>1629014.0</v>
      </c>
      <c r="B4785" s="108" t="s">
        <v>244</v>
      </c>
      <c r="C4785" s="108" t="s">
        <v>1144</v>
      </c>
      <c r="D4785" s="100" t="str">
        <f t="shared" si="1"/>
        <v/>
      </c>
      <c r="E4785" s="100" t="str">
        <f t="shared" si="2"/>
        <v/>
      </c>
      <c r="F4785" s="100" t="str">
        <f t="shared" si="3"/>
        <v/>
      </c>
      <c r="G4785" s="151"/>
      <c r="H4785" s="156"/>
      <c r="I4785" s="157"/>
      <c r="J4785" s="161"/>
      <c r="L4785" s="94"/>
      <c r="M4785" s="159"/>
      <c r="N4785" s="94"/>
    </row>
    <row r="4786">
      <c r="A4786" s="107">
        <v>1629014.0</v>
      </c>
      <c r="B4786" s="108" t="s">
        <v>245</v>
      </c>
      <c r="C4786" s="108" t="s">
        <v>1144</v>
      </c>
      <c r="D4786" s="100" t="str">
        <f t="shared" si="1"/>
        <v/>
      </c>
      <c r="E4786" s="100" t="str">
        <f t="shared" si="2"/>
        <v/>
      </c>
      <c r="F4786" s="100" t="str">
        <f t="shared" si="3"/>
        <v/>
      </c>
      <c r="G4786" s="151"/>
      <c r="H4786" s="160"/>
      <c r="I4786" s="157"/>
      <c r="J4786" s="158"/>
      <c r="L4786" s="94"/>
      <c r="M4786" s="159"/>
      <c r="N4786" s="94"/>
    </row>
    <row r="4787">
      <c r="A4787" s="107">
        <v>1629014.0</v>
      </c>
      <c r="B4787" s="108" t="s">
        <v>246</v>
      </c>
      <c r="C4787" s="108" t="s">
        <v>1144</v>
      </c>
      <c r="D4787" s="100" t="str">
        <f t="shared" si="1"/>
        <v/>
      </c>
      <c r="E4787" s="100" t="str">
        <f t="shared" si="2"/>
        <v/>
      </c>
      <c r="F4787" s="100" t="str">
        <f t="shared" si="3"/>
        <v/>
      </c>
      <c r="G4787" s="151"/>
      <c r="H4787" s="156"/>
      <c r="I4787" s="157"/>
      <c r="J4787" s="161"/>
      <c r="L4787" s="94"/>
      <c r="M4787" s="159"/>
      <c r="N4787" s="94"/>
    </row>
    <row r="4788">
      <c r="A4788" s="149">
        <v>1629014.0</v>
      </c>
      <c r="B4788" s="115" t="s">
        <v>247</v>
      </c>
      <c r="C4788" s="115" t="s">
        <v>1144</v>
      </c>
      <c r="D4788" s="100" t="str">
        <f t="shared" si="1"/>
        <v/>
      </c>
      <c r="E4788" s="100" t="str">
        <f t="shared" si="2"/>
        <v/>
      </c>
      <c r="F4788" s="100" t="str">
        <f t="shared" si="3"/>
        <v/>
      </c>
      <c r="G4788" s="151"/>
      <c r="H4788" s="160"/>
      <c r="I4788" s="157"/>
      <c r="J4788" s="158"/>
      <c r="L4788" s="94"/>
      <c r="M4788" s="159"/>
      <c r="N4788" s="94"/>
    </row>
    <row r="4789">
      <c r="A4789" s="21">
        <v>1629015.0</v>
      </c>
      <c r="B4789" s="164" t="s">
        <v>192</v>
      </c>
      <c r="C4789" s="164" t="s">
        <v>1145</v>
      </c>
      <c r="D4789" s="100" t="str">
        <f t="shared" si="1"/>
        <v/>
      </c>
      <c r="E4789" s="100" t="str">
        <f t="shared" si="2"/>
        <v/>
      </c>
      <c r="F4789" s="100" t="str">
        <f t="shared" si="3"/>
        <v/>
      </c>
      <c r="G4789" s="151"/>
      <c r="H4789" s="156"/>
      <c r="I4789" s="157"/>
      <c r="J4789" s="161"/>
      <c r="L4789" s="94"/>
      <c r="M4789" s="159"/>
      <c r="N4789" s="94"/>
    </row>
    <row r="4790">
      <c r="A4790" s="107">
        <v>1629015.0</v>
      </c>
      <c r="B4790" s="108" t="s">
        <v>193</v>
      </c>
      <c r="C4790" s="108" t="s">
        <v>1145</v>
      </c>
      <c r="D4790" s="100" t="str">
        <f t="shared" si="1"/>
        <v/>
      </c>
      <c r="E4790" s="100" t="str">
        <f t="shared" si="2"/>
        <v/>
      </c>
      <c r="F4790" s="100" t="str">
        <f t="shared" si="3"/>
        <v/>
      </c>
      <c r="G4790" s="151"/>
      <c r="H4790" s="160"/>
      <c r="I4790" s="157"/>
      <c r="J4790" s="158"/>
      <c r="L4790" s="94"/>
      <c r="M4790" s="159"/>
      <c r="N4790" s="94"/>
    </row>
    <row r="4791">
      <c r="A4791" s="107">
        <v>1629016.0</v>
      </c>
      <c r="B4791" s="108" t="s">
        <v>192</v>
      </c>
      <c r="C4791" s="108" t="s">
        <v>1146</v>
      </c>
      <c r="D4791" s="100" t="str">
        <f t="shared" si="1"/>
        <v/>
      </c>
      <c r="E4791" s="100" t="str">
        <f t="shared" si="2"/>
        <v/>
      </c>
      <c r="F4791" s="100" t="str">
        <f t="shared" si="3"/>
        <v/>
      </c>
      <c r="G4791" s="151"/>
      <c r="H4791" s="156"/>
      <c r="I4791" s="157"/>
      <c r="J4791" s="161"/>
      <c r="L4791" s="94"/>
      <c r="M4791" s="159"/>
      <c r="N4791" s="94"/>
    </row>
    <row r="4792">
      <c r="A4792" s="107">
        <v>1629016.0</v>
      </c>
      <c r="B4792" s="108" t="s">
        <v>193</v>
      </c>
      <c r="C4792" s="108" t="s">
        <v>1146</v>
      </c>
      <c r="D4792" s="100" t="str">
        <f t="shared" si="1"/>
        <v/>
      </c>
      <c r="E4792" s="100" t="str">
        <f t="shared" si="2"/>
        <v/>
      </c>
      <c r="F4792" s="100" t="str">
        <f t="shared" si="3"/>
        <v/>
      </c>
      <c r="G4792" s="151"/>
      <c r="H4792" s="160"/>
      <c r="I4792" s="157"/>
      <c r="J4792" s="158"/>
      <c r="L4792" s="94"/>
      <c r="M4792" s="159"/>
      <c r="N4792" s="94"/>
    </row>
    <row r="4793">
      <c r="A4793" s="107">
        <v>1629017.0</v>
      </c>
      <c r="B4793" s="108" t="s">
        <v>192</v>
      </c>
      <c r="C4793" s="108" t="s">
        <v>1147</v>
      </c>
      <c r="D4793" s="100" t="str">
        <f t="shared" si="1"/>
        <v/>
      </c>
      <c r="E4793" s="100" t="str">
        <f t="shared" si="2"/>
        <v/>
      </c>
      <c r="F4793" s="100" t="str">
        <f t="shared" si="3"/>
        <v/>
      </c>
      <c r="G4793" s="151"/>
      <c r="H4793" s="156"/>
      <c r="I4793" s="157"/>
      <c r="J4793" s="161"/>
      <c r="L4793" s="94"/>
      <c r="M4793" s="159"/>
      <c r="N4793" s="94"/>
    </row>
    <row r="4794">
      <c r="A4794" s="107">
        <v>1629017.0</v>
      </c>
      <c r="B4794" s="108" t="s">
        <v>193</v>
      </c>
      <c r="C4794" s="108" t="s">
        <v>1147</v>
      </c>
      <c r="D4794" s="100" t="str">
        <f t="shared" si="1"/>
        <v/>
      </c>
      <c r="E4794" s="100" t="str">
        <f t="shared" si="2"/>
        <v/>
      </c>
      <c r="F4794" s="100" t="str">
        <f t="shared" si="3"/>
        <v/>
      </c>
      <c r="G4794" s="151"/>
      <c r="H4794" s="160"/>
      <c r="I4794" s="157"/>
      <c r="J4794" s="158"/>
      <c r="L4794" s="94"/>
      <c r="M4794" s="159"/>
      <c r="N4794" s="94"/>
    </row>
    <row r="4795">
      <c r="A4795" s="107">
        <v>1629017.0</v>
      </c>
      <c r="B4795" s="108" t="s">
        <v>243</v>
      </c>
      <c r="C4795" s="108" t="s">
        <v>1147</v>
      </c>
      <c r="D4795" s="100" t="str">
        <f t="shared" si="1"/>
        <v/>
      </c>
      <c r="E4795" s="100" t="str">
        <f t="shared" si="2"/>
        <v/>
      </c>
      <c r="F4795" s="100" t="str">
        <f t="shared" si="3"/>
        <v/>
      </c>
      <c r="G4795" s="151"/>
      <c r="H4795" s="156"/>
      <c r="I4795" s="157"/>
      <c r="J4795" s="161"/>
      <c r="L4795" s="94"/>
      <c r="M4795" s="159"/>
      <c r="N4795" s="94"/>
    </row>
    <row r="4796">
      <c r="A4796" s="107">
        <v>1629018.0</v>
      </c>
      <c r="B4796" s="108" t="s">
        <v>192</v>
      </c>
      <c r="C4796" s="108" t="s">
        <v>1148</v>
      </c>
      <c r="D4796" s="100" t="str">
        <f t="shared" si="1"/>
        <v/>
      </c>
      <c r="E4796" s="100" t="str">
        <f t="shared" si="2"/>
        <v/>
      </c>
      <c r="F4796" s="100" t="str">
        <f t="shared" si="3"/>
        <v/>
      </c>
      <c r="G4796" s="151"/>
      <c r="H4796" s="160"/>
      <c r="I4796" s="157"/>
      <c r="J4796" s="158"/>
      <c r="L4796" s="94"/>
      <c r="M4796" s="159"/>
      <c r="N4796" s="94"/>
    </row>
    <row r="4797">
      <c r="A4797" s="107">
        <v>1629018.0</v>
      </c>
      <c r="B4797" s="108" t="s">
        <v>193</v>
      </c>
      <c r="C4797" s="108" t="s">
        <v>1148</v>
      </c>
      <c r="D4797" s="100" t="str">
        <f t="shared" si="1"/>
        <v/>
      </c>
      <c r="E4797" s="100" t="str">
        <f t="shared" si="2"/>
        <v/>
      </c>
      <c r="F4797" s="100" t="str">
        <f t="shared" si="3"/>
        <v/>
      </c>
      <c r="G4797" s="151"/>
      <c r="H4797" s="156"/>
      <c r="I4797" s="157"/>
      <c r="J4797" s="161"/>
      <c r="L4797" s="94"/>
      <c r="M4797" s="159"/>
      <c r="N4797" s="94"/>
    </row>
    <row r="4798">
      <c r="A4798" s="107">
        <v>1629018.0</v>
      </c>
      <c r="B4798" s="108" t="s">
        <v>243</v>
      </c>
      <c r="C4798" s="108" t="s">
        <v>1148</v>
      </c>
      <c r="D4798" s="100" t="str">
        <f t="shared" si="1"/>
        <v/>
      </c>
      <c r="E4798" s="100" t="str">
        <f t="shared" si="2"/>
        <v/>
      </c>
      <c r="F4798" s="100" t="str">
        <f t="shared" si="3"/>
        <v/>
      </c>
      <c r="G4798" s="151"/>
      <c r="H4798" s="160"/>
      <c r="I4798" s="157"/>
      <c r="J4798" s="158"/>
      <c r="L4798" s="94"/>
      <c r="M4798" s="159"/>
      <c r="N4798" s="94"/>
    </row>
    <row r="4799">
      <c r="A4799" s="107">
        <v>1629018.0</v>
      </c>
      <c r="B4799" s="108" t="s">
        <v>215</v>
      </c>
      <c r="C4799" s="108" t="s">
        <v>1148</v>
      </c>
      <c r="D4799" s="100" t="str">
        <f t="shared" si="1"/>
        <v/>
      </c>
      <c r="E4799" s="100" t="str">
        <f t="shared" si="2"/>
        <v/>
      </c>
      <c r="F4799" s="100" t="str">
        <f t="shared" si="3"/>
        <v/>
      </c>
      <c r="G4799" s="151"/>
      <c r="H4799" s="156"/>
      <c r="I4799" s="157"/>
      <c r="J4799" s="161"/>
      <c r="L4799" s="94"/>
      <c r="M4799" s="159"/>
      <c r="N4799" s="94"/>
    </row>
    <row r="4800">
      <c r="A4800" s="107">
        <v>1629018.0</v>
      </c>
      <c r="B4800" s="108" t="s">
        <v>244</v>
      </c>
      <c r="C4800" s="108" t="s">
        <v>1148</v>
      </c>
      <c r="D4800" s="100" t="str">
        <f t="shared" si="1"/>
        <v/>
      </c>
      <c r="E4800" s="100" t="str">
        <f t="shared" si="2"/>
        <v/>
      </c>
      <c r="F4800" s="100" t="str">
        <f t="shared" si="3"/>
        <v/>
      </c>
      <c r="G4800" s="151"/>
      <c r="H4800" s="160"/>
      <c r="I4800" s="157"/>
      <c r="J4800" s="158"/>
      <c r="L4800" s="94"/>
      <c r="M4800" s="159"/>
      <c r="N4800" s="94"/>
    </row>
    <row r="4801">
      <c r="A4801" s="107">
        <v>1629018.0</v>
      </c>
      <c r="B4801" s="108" t="s">
        <v>245</v>
      </c>
      <c r="C4801" s="108" t="s">
        <v>1148</v>
      </c>
      <c r="D4801" s="100" t="str">
        <f t="shared" si="1"/>
        <v/>
      </c>
      <c r="E4801" s="100" t="str">
        <f t="shared" si="2"/>
        <v/>
      </c>
      <c r="F4801" s="100" t="str">
        <f t="shared" si="3"/>
        <v/>
      </c>
      <c r="G4801" s="151"/>
      <c r="H4801" s="156"/>
      <c r="I4801" s="157"/>
      <c r="J4801" s="161"/>
      <c r="L4801" s="94"/>
      <c r="M4801" s="159"/>
      <c r="N4801" s="94"/>
    </row>
    <row r="4802">
      <c r="A4802" s="107">
        <v>1629018.0</v>
      </c>
      <c r="B4802" s="108" t="s">
        <v>246</v>
      </c>
      <c r="C4802" s="108" t="s">
        <v>1148</v>
      </c>
      <c r="D4802" s="100" t="str">
        <f t="shared" si="1"/>
        <v/>
      </c>
      <c r="E4802" s="100" t="str">
        <f t="shared" si="2"/>
        <v/>
      </c>
      <c r="F4802" s="100" t="str">
        <f t="shared" si="3"/>
        <v/>
      </c>
      <c r="G4802" s="151"/>
      <c r="H4802" s="160"/>
      <c r="I4802" s="157"/>
      <c r="J4802" s="158"/>
      <c r="L4802" s="94"/>
      <c r="M4802" s="159"/>
      <c r="N4802" s="94"/>
    </row>
    <row r="4803">
      <c r="A4803" s="149">
        <v>1629018.0</v>
      </c>
      <c r="B4803" s="115" t="s">
        <v>247</v>
      </c>
      <c r="C4803" s="108" t="s">
        <v>1148</v>
      </c>
      <c r="D4803" s="100" t="str">
        <f t="shared" si="1"/>
        <v/>
      </c>
      <c r="E4803" s="100" t="str">
        <f t="shared" si="2"/>
        <v/>
      </c>
      <c r="F4803" s="100" t="str">
        <f t="shared" si="3"/>
        <v/>
      </c>
      <c r="G4803" s="151"/>
      <c r="H4803" s="156"/>
      <c r="I4803" s="157"/>
      <c r="J4803" s="161"/>
      <c r="L4803" s="94"/>
      <c r="M4803" s="159"/>
      <c r="N4803" s="94"/>
    </row>
    <row r="4804">
      <c r="A4804" s="21">
        <v>1629019.0</v>
      </c>
      <c r="B4804" s="164" t="s">
        <v>192</v>
      </c>
      <c r="C4804" s="164" t="s">
        <v>1149</v>
      </c>
      <c r="D4804" s="100" t="str">
        <f t="shared" si="1"/>
        <v/>
      </c>
      <c r="E4804" s="100" t="str">
        <f t="shared" si="2"/>
        <v/>
      </c>
      <c r="F4804" s="100" t="str">
        <f t="shared" si="3"/>
        <v/>
      </c>
      <c r="G4804" s="151"/>
      <c r="H4804" s="160"/>
      <c r="I4804" s="157"/>
      <c r="J4804" s="158"/>
      <c r="L4804" s="94"/>
      <c r="M4804" s="159"/>
      <c r="N4804" s="94"/>
    </row>
    <row r="4805">
      <c r="A4805" s="107">
        <v>1629019.0</v>
      </c>
      <c r="B4805" s="108" t="s">
        <v>193</v>
      </c>
      <c r="C4805" s="108" t="s">
        <v>1149</v>
      </c>
      <c r="D4805" s="100" t="str">
        <f t="shared" si="1"/>
        <v/>
      </c>
      <c r="E4805" s="100" t="str">
        <f t="shared" si="2"/>
        <v/>
      </c>
      <c r="F4805" s="100" t="str">
        <f t="shared" si="3"/>
        <v/>
      </c>
      <c r="G4805" s="151"/>
      <c r="H4805" s="156"/>
      <c r="I4805" s="157"/>
      <c r="J4805" s="161"/>
      <c r="L4805" s="94"/>
      <c r="M4805" s="159"/>
      <c r="N4805" s="94"/>
    </row>
    <row r="4806">
      <c r="A4806" s="107">
        <v>1629020.0</v>
      </c>
      <c r="B4806" s="108" t="s">
        <v>192</v>
      </c>
      <c r="C4806" s="108" t="s">
        <v>1150</v>
      </c>
      <c r="D4806" s="100" t="str">
        <f t="shared" si="1"/>
        <v/>
      </c>
      <c r="E4806" s="100" t="str">
        <f t="shared" si="2"/>
        <v/>
      </c>
      <c r="F4806" s="100" t="str">
        <f t="shared" si="3"/>
        <v/>
      </c>
      <c r="G4806" s="151"/>
      <c r="H4806" s="160"/>
      <c r="I4806" s="157"/>
      <c r="J4806" s="158"/>
      <c r="L4806" s="94"/>
      <c r="M4806" s="159"/>
      <c r="N4806" s="94"/>
    </row>
    <row r="4807">
      <c r="A4807" s="107">
        <v>1629020.0</v>
      </c>
      <c r="B4807" s="108" t="s">
        <v>193</v>
      </c>
      <c r="C4807" s="108" t="s">
        <v>1150</v>
      </c>
      <c r="D4807" s="100" t="str">
        <f t="shared" si="1"/>
        <v/>
      </c>
      <c r="E4807" s="100" t="str">
        <f t="shared" si="2"/>
        <v/>
      </c>
      <c r="F4807" s="100" t="str">
        <f t="shared" si="3"/>
        <v/>
      </c>
      <c r="G4807" s="151"/>
      <c r="H4807" s="156"/>
      <c r="I4807" s="157"/>
      <c r="J4807" s="161"/>
      <c r="L4807" s="94"/>
      <c r="M4807" s="159"/>
      <c r="N4807" s="94"/>
    </row>
    <row r="4808">
      <c r="A4808" s="107">
        <v>1629020.0</v>
      </c>
      <c r="B4808" s="108" t="s">
        <v>243</v>
      </c>
      <c r="C4808" s="108" t="s">
        <v>1150</v>
      </c>
      <c r="D4808" s="100" t="str">
        <f t="shared" si="1"/>
        <v/>
      </c>
      <c r="E4808" s="100" t="str">
        <f t="shared" si="2"/>
        <v/>
      </c>
      <c r="F4808" s="100" t="str">
        <f t="shared" si="3"/>
        <v/>
      </c>
      <c r="G4808" s="151"/>
      <c r="H4808" s="160"/>
      <c r="I4808" s="157"/>
      <c r="J4808" s="158"/>
      <c r="L4808" s="94"/>
      <c r="M4808" s="159"/>
      <c r="N4808" s="94"/>
    </row>
    <row r="4809">
      <c r="A4809" s="107">
        <v>1629020.0</v>
      </c>
      <c r="B4809" s="108" t="s">
        <v>215</v>
      </c>
      <c r="C4809" s="108" t="s">
        <v>1150</v>
      </c>
      <c r="D4809" s="100" t="str">
        <f t="shared" si="1"/>
        <v/>
      </c>
      <c r="E4809" s="100" t="str">
        <f t="shared" si="2"/>
        <v/>
      </c>
      <c r="F4809" s="100" t="str">
        <f t="shared" si="3"/>
        <v/>
      </c>
      <c r="G4809" s="151"/>
      <c r="H4809" s="156"/>
      <c r="I4809" s="157"/>
      <c r="J4809" s="161"/>
      <c r="L4809" s="94"/>
      <c r="M4809" s="159"/>
      <c r="N4809" s="94"/>
    </row>
    <row r="4810">
      <c r="A4810" s="107">
        <v>1629020.0</v>
      </c>
      <c r="B4810" s="108" t="s">
        <v>244</v>
      </c>
      <c r="C4810" s="108" t="s">
        <v>1150</v>
      </c>
      <c r="D4810" s="100" t="str">
        <f t="shared" si="1"/>
        <v/>
      </c>
      <c r="E4810" s="100" t="str">
        <f t="shared" si="2"/>
        <v/>
      </c>
      <c r="F4810" s="100" t="str">
        <f t="shared" si="3"/>
        <v/>
      </c>
      <c r="G4810" s="151"/>
      <c r="H4810" s="160"/>
      <c r="I4810" s="157"/>
      <c r="J4810" s="158"/>
      <c r="L4810" s="94"/>
      <c r="M4810" s="159"/>
      <c r="N4810" s="94"/>
    </row>
    <row r="4811">
      <c r="A4811" s="107">
        <v>1629020.0</v>
      </c>
      <c r="B4811" s="108" t="s">
        <v>245</v>
      </c>
      <c r="C4811" s="108" t="s">
        <v>1150</v>
      </c>
      <c r="D4811" s="100" t="str">
        <f t="shared" si="1"/>
        <v/>
      </c>
      <c r="E4811" s="100" t="str">
        <f t="shared" si="2"/>
        <v/>
      </c>
      <c r="F4811" s="100" t="str">
        <f t="shared" si="3"/>
        <v/>
      </c>
      <c r="G4811" s="151"/>
      <c r="H4811" s="156"/>
      <c r="I4811" s="157"/>
      <c r="J4811" s="161"/>
      <c r="L4811" s="94"/>
      <c r="M4811" s="159"/>
      <c r="N4811" s="94"/>
    </row>
    <row r="4812">
      <c r="A4812" s="107">
        <v>1629020.0</v>
      </c>
      <c r="B4812" s="108" t="s">
        <v>246</v>
      </c>
      <c r="C4812" s="108" t="s">
        <v>1150</v>
      </c>
      <c r="D4812" s="100" t="str">
        <f t="shared" si="1"/>
        <v/>
      </c>
      <c r="E4812" s="100" t="str">
        <f t="shared" si="2"/>
        <v/>
      </c>
      <c r="F4812" s="100" t="str">
        <f t="shared" si="3"/>
        <v/>
      </c>
      <c r="G4812" s="151"/>
      <c r="H4812" s="160"/>
      <c r="I4812" s="157"/>
      <c r="J4812" s="158"/>
      <c r="L4812" s="94"/>
      <c r="M4812" s="159"/>
      <c r="N4812" s="94"/>
    </row>
    <row r="4813">
      <c r="A4813" s="149">
        <v>1629020.0</v>
      </c>
      <c r="B4813" s="115" t="s">
        <v>247</v>
      </c>
      <c r="C4813" s="115" t="s">
        <v>1150</v>
      </c>
      <c r="D4813" s="100" t="str">
        <f t="shared" si="1"/>
        <v/>
      </c>
      <c r="E4813" s="100" t="str">
        <f t="shared" si="2"/>
        <v/>
      </c>
      <c r="F4813" s="100" t="str">
        <f t="shared" si="3"/>
        <v/>
      </c>
      <c r="G4813" s="151"/>
      <c r="H4813" s="156"/>
      <c r="I4813" s="157"/>
      <c r="J4813" s="161"/>
      <c r="L4813" s="94"/>
      <c r="M4813" s="159"/>
      <c r="N4813" s="94"/>
    </row>
    <row r="4814">
      <c r="A4814" s="21">
        <v>1629021.0</v>
      </c>
      <c r="B4814" s="164" t="s">
        <v>192</v>
      </c>
      <c r="C4814" s="164" t="s">
        <v>1151</v>
      </c>
      <c r="D4814" s="100" t="str">
        <f t="shared" si="1"/>
        <v/>
      </c>
      <c r="E4814" s="100" t="str">
        <f t="shared" si="2"/>
        <v/>
      </c>
      <c r="F4814" s="100" t="str">
        <f t="shared" si="3"/>
        <v/>
      </c>
      <c r="G4814" s="151"/>
      <c r="H4814" s="160"/>
      <c r="I4814" s="157"/>
      <c r="J4814" s="158"/>
      <c r="L4814" s="94"/>
      <c r="M4814" s="159"/>
      <c r="N4814" s="94"/>
    </row>
    <row r="4815">
      <c r="A4815" s="107">
        <v>1629021.0</v>
      </c>
      <c r="B4815" s="108" t="s">
        <v>193</v>
      </c>
      <c r="C4815" s="108" t="s">
        <v>1151</v>
      </c>
      <c r="D4815" s="100" t="str">
        <f t="shared" si="1"/>
        <v/>
      </c>
      <c r="E4815" s="100" t="str">
        <f t="shared" si="2"/>
        <v/>
      </c>
      <c r="F4815" s="100" t="str">
        <f t="shared" si="3"/>
        <v/>
      </c>
      <c r="G4815" s="151"/>
      <c r="H4815" s="156"/>
      <c r="I4815" s="157"/>
      <c r="J4815" s="161"/>
      <c r="L4815" s="94"/>
      <c r="M4815" s="159"/>
      <c r="N4815" s="94"/>
    </row>
    <row r="4816">
      <c r="A4816" s="107">
        <v>1629021.0</v>
      </c>
      <c r="B4816" s="108" t="s">
        <v>243</v>
      </c>
      <c r="C4816" s="108" t="s">
        <v>1151</v>
      </c>
      <c r="D4816" s="100" t="str">
        <f t="shared" si="1"/>
        <v/>
      </c>
      <c r="E4816" s="100" t="str">
        <f t="shared" si="2"/>
        <v/>
      </c>
      <c r="F4816" s="100" t="str">
        <f t="shared" si="3"/>
        <v/>
      </c>
      <c r="G4816" s="151"/>
      <c r="H4816" s="160"/>
      <c r="I4816" s="157"/>
      <c r="J4816" s="158"/>
      <c r="L4816" s="94"/>
      <c r="M4816" s="159"/>
      <c r="N4816" s="94"/>
    </row>
    <row r="4817">
      <c r="A4817" s="107">
        <v>1629021.0</v>
      </c>
      <c r="B4817" s="108" t="s">
        <v>215</v>
      </c>
      <c r="C4817" s="108" t="s">
        <v>1151</v>
      </c>
      <c r="D4817" s="100" t="str">
        <f t="shared" si="1"/>
        <v/>
      </c>
      <c r="E4817" s="100" t="str">
        <f t="shared" si="2"/>
        <v/>
      </c>
      <c r="F4817" s="100" t="str">
        <f t="shared" si="3"/>
        <v/>
      </c>
      <c r="G4817" s="151"/>
      <c r="H4817" s="156"/>
      <c r="I4817" s="157"/>
      <c r="J4817" s="161"/>
      <c r="L4817" s="94"/>
      <c r="M4817" s="159"/>
      <c r="N4817" s="94"/>
    </row>
    <row r="4818">
      <c r="A4818" s="107">
        <v>1629021.0</v>
      </c>
      <c r="B4818" s="108" t="s">
        <v>244</v>
      </c>
      <c r="C4818" s="108" t="s">
        <v>1151</v>
      </c>
      <c r="D4818" s="100" t="str">
        <f t="shared" si="1"/>
        <v/>
      </c>
      <c r="E4818" s="100" t="str">
        <f t="shared" si="2"/>
        <v/>
      </c>
      <c r="F4818" s="100" t="str">
        <f t="shared" si="3"/>
        <v/>
      </c>
      <c r="G4818" s="151"/>
      <c r="H4818" s="160"/>
      <c r="I4818" s="157"/>
      <c r="J4818" s="158"/>
      <c r="L4818" s="94"/>
      <c r="M4818" s="159"/>
      <c r="N4818" s="94"/>
    </row>
    <row r="4819">
      <c r="A4819" s="107">
        <v>1629021.0</v>
      </c>
      <c r="B4819" s="108" t="s">
        <v>245</v>
      </c>
      <c r="C4819" s="108" t="s">
        <v>1151</v>
      </c>
      <c r="D4819" s="100" t="str">
        <f t="shared" si="1"/>
        <v/>
      </c>
      <c r="E4819" s="100" t="str">
        <f t="shared" si="2"/>
        <v/>
      </c>
      <c r="F4819" s="100" t="str">
        <f t="shared" si="3"/>
        <v/>
      </c>
      <c r="G4819" s="151"/>
      <c r="H4819" s="156"/>
      <c r="I4819" s="157"/>
      <c r="J4819" s="161"/>
      <c r="L4819" s="94"/>
      <c r="M4819" s="159"/>
      <c r="N4819" s="94"/>
    </row>
    <row r="4820">
      <c r="A4820" s="107">
        <v>1629021.0</v>
      </c>
      <c r="B4820" s="108" t="s">
        <v>246</v>
      </c>
      <c r="C4820" s="108" t="s">
        <v>1151</v>
      </c>
      <c r="D4820" s="100" t="str">
        <f t="shared" si="1"/>
        <v/>
      </c>
      <c r="E4820" s="100" t="str">
        <f t="shared" si="2"/>
        <v/>
      </c>
      <c r="F4820" s="100" t="str">
        <f t="shared" si="3"/>
        <v/>
      </c>
      <c r="G4820" s="151"/>
      <c r="H4820" s="160"/>
      <c r="I4820" s="157"/>
      <c r="J4820" s="158"/>
      <c r="L4820" s="94"/>
      <c r="M4820" s="159"/>
      <c r="N4820" s="94"/>
    </row>
    <row r="4821">
      <c r="A4821" s="140">
        <v>1629021.0</v>
      </c>
      <c r="B4821" s="115" t="s">
        <v>247</v>
      </c>
      <c r="C4821" s="115" t="s">
        <v>1151</v>
      </c>
      <c r="D4821" s="100" t="str">
        <f t="shared" si="1"/>
        <v/>
      </c>
      <c r="E4821" s="100" t="str">
        <f t="shared" si="2"/>
        <v/>
      </c>
      <c r="F4821" s="100" t="str">
        <f t="shared" si="3"/>
        <v/>
      </c>
      <c r="G4821" s="151"/>
      <c r="H4821" s="156"/>
      <c r="I4821" s="157"/>
      <c r="J4821" s="161"/>
      <c r="L4821" s="94"/>
      <c r="M4821" s="159"/>
      <c r="N4821" s="94"/>
    </row>
    <row r="4822">
      <c r="A4822" s="163">
        <v>1629022.0</v>
      </c>
      <c r="B4822" s="164" t="s">
        <v>192</v>
      </c>
      <c r="C4822" s="164" t="s">
        <v>1152</v>
      </c>
      <c r="D4822" s="100" t="str">
        <f t="shared" si="1"/>
        <v/>
      </c>
      <c r="E4822" s="100" t="str">
        <f t="shared" si="2"/>
        <v/>
      </c>
      <c r="F4822" s="100" t="str">
        <f t="shared" si="3"/>
        <v/>
      </c>
      <c r="G4822" s="151"/>
      <c r="H4822" s="160"/>
      <c r="I4822" s="157"/>
      <c r="J4822" s="158"/>
      <c r="L4822" s="94"/>
      <c r="M4822" s="159"/>
      <c r="N4822" s="94"/>
    </row>
    <row r="4823">
      <c r="A4823" s="107">
        <v>1629022.0</v>
      </c>
      <c r="B4823" s="108" t="s">
        <v>193</v>
      </c>
      <c r="C4823" s="108" t="s">
        <v>1152</v>
      </c>
      <c r="D4823" s="100" t="str">
        <f t="shared" si="1"/>
        <v/>
      </c>
      <c r="E4823" s="100" t="str">
        <f t="shared" si="2"/>
        <v/>
      </c>
      <c r="F4823" s="100" t="str">
        <f t="shared" si="3"/>
        <v/>
      </c>
      <c r="G4823" s="151"/>
      <c r="H4823" s="156"/>
      <c r="I4823" s="157"/>
      <c r="J4823" s="161"/>
      <c r="L4823" s="94"/>
      <c r="M4823" s="159"/>
      <c r="N4823" s="94"/>
    </row>
    <row r="4824">
      <c r="A4824" s="107">
        <v>1629022.0</v>
      </c>
      <c r="B4824" s="108" t="s">
        <v>243</v>
      </c>
      <c r="C4824" s="108" t="s">
        <v>1152</v>
      </c>
      <c r="D4824" s="100" t="str">
        <f t="shared" si="1"/>
        <v/>
      </c>
      <c r="E4824" s="100" t="str">
        <f t="shared" si="2"/>
        <v/>
      </c>
      <c r="F4824" s="100" t="str">
        <f t="shared" si="3"/>
        <v/>
      </c>
      <c r="G4824" s="151"/>
      <c r="H4824" s="160"/>
      <c r="I4824" s="157"/>
      <c r="J4824" s="158"/>
      <c r="L4824" s="94"/>
      <c r="M4824" s="159"/>
      <c r="N4824" s="94"/>
    </row>
    <row r="4825">
      <c r="A4825" s="107">
        <v>1629022.0</v>
      </c>
      <c r="B4825" s="108" t="s">
        <v>215</v>
      </c>
      <c r="C4825" s="108" t="s">
        <v>1152</v>
      </c>
      <c r="D4825" s="100" t="str">
        <f t="shared" si="1"/>
        <v/>
      </c>
      <c r="E4825" s="100" t="str">
        <f t="shared" si="2"/>
        <v/>
      </c>
      <c r="F4825" s="100" t="str">
        <f t="shared" si="3"/>
        <v/>
      </c>
      <c r="G4825" s="151"/>
      <c r="H4825" s="156"/>
      <c r="I4825" s="157"/>
      <c r="J4825" s="161"/>
      <c r="L4825" s="94"/>
      <c r="M4825" s="159"/>
      <c r="N4825" s="94"/>
    </row>
    <row r="4826">
      <c r="A4826" s="107">
        <v>1629022.0</v>
      </c>
      <c r="B4826" s="108" t="s">
        <v>244</v>
      </c>
      <c r="C4826" s="108" t="s">
        <v>1152</v>
      </c>
      <c r="D4826" s="100" t="str">
        <f t="shared" si="1"/>
        <v/>
      </c>
      <c r="E4826" s="100" t="str">
        <f t="shared" si="2"/>
        <v/>
      </c>
      <c r="F4826" s="100" t="str">
        <f t="shared" si="3"/>
        <v/>
      </c>
      <c r="G4826" s="151"/>
      <c r="H4826" s="160"/>
      <c r="I4826" s="157"/>
      <c r="J4826" s="158"/>
      <c r="L4826" s="94"/>
      <c r="M4826" s="159"/>
      <c r="N4826" s="94"/>
    </row>
    <row r="4827">
      <c r="A4827" s="107">
        <v>1629022.0</v>
      </c>
      <c r="B4827" s="108" t="s">
        <v>245</v>
      </c>
      <c r="C4827" s="108" t="s">
        <v>1152</v>
      </c>
      <c r="D4827" s="100" t="str">
        <f t="shared" si="1"/>
        <v/>
      </c>
      <c r="E4827" s="100" t="str">
        <f t="shared" si="2"/>
        <v/>
      </c>
      <c r="F4827" s="100" t="str">
        <f t="shared" si="3"/>
        <v/>
      </c>
      <c r="G4827" s="151"/>
      <c r="H4827" s="156"/>
      <c r="I4827" s="157"/>
      <c r="J4827" s="161"/>
      <c r="L4827" s="94"/>
      <c r="M4827" s="159"/>
      <c r="N4827" s="94"/>
    </row>
    <row r="4828">
      <c r="A4828" s="149">
        <v>1629022.0</v>
      </c>
      <c r="B4828" s="108" t="s">
        <v>246</v>
      </c>
      <c r="C4828" s="115" t="s">
        <v>1152</v>
      </c>
      <c r="D4828" s="100" t="str">
        <f t="shared" si="1"/>
        <v/>
      </c>
      <c r="E4828" s="100" t="str">
        <f t="shared" si="2"/>
        <v/>
      </c>
      <c r="F4828" s="100" t="str">
        <f t="shared" si="3"/>
        <v/>
      </c>
      <c r="G4828" s="151"/>
      <c r="H4828" s="160"/>
      <c r="I4828" s="157"/>
      <c r="J4828" s="158"/>
      <c r="L4828" s="94"/>
      <c r="M4828" s="159"/>
      <c r="N4828" s="94"/>
    </row>
    <row r="4829">
      <c r="A4829" s="165">
        <v>1629023.0</v>
      </c>
      <c r="B4829" s="124" t="s">
        <v>193</v>
      </c>
      <c r="C4829" s="124" t="s">
        <v>1153</v>
      </c>
      <c r="D4829" s="100" t="str">
        <f t="shared" si="1"/>
        <v/>
      </c>
      <c r="E4829" s="100" t="str">
        <f t="shared" si="2"/>
        <v/>
      </c>
      <c r="F4829" s="100" t="str">
        <f t="shared" si="3"/>
        <v/>
      </c>
      <c r="G4829" s="151"/>
      <c r="H4829" s="156"/>
      <c r="I4829" s="157"/>
      <c r="J4829" s="161"/>
      <c r="L4829" s="94"/>
      <c r="M4829" s="159"/>
      <c r="N4829" s="94"/>
    </row>
    <row r="4830">
      <c r="A4830" s="107">
        <v>1629023.0</v>
      </c>
      <c r="B4830" s="108" t="s">
        <v>243</v>
      </c>
      <c r="C4830" s="108" t="s">
        <v>1153</v>
      </c>
      <c r="D4830" s="100" t="str">
        <f t="shared" si="1"/>
        <v/>
      </c>
      <c r="E4830" s="100" t="str">
        <f t="shared" si="2"/>
        <v/>
      </c>
      <c r="F4830" s="100" t="str">
        <f t="shared" si="3"/>
        <v/>
      </c>
      <c r="G4830" s="151"/>
      <c r="H4830" s="160"/>
      <c r="I4830" s="157"/>
      <c r="J4830" s="158"/>
      <c r="L4830" s="94"/>
      <c r="M4830" s="159"/>
      <c r="N4830" s="94"/>
    </row>
    <row r="4831">
      <c r="A4831" s="107">
        <v>1629023.0</v>
      </c>
      <c r="B4831" s="108" t="s">
        <v>215</v>
      </c>
      <c r="C4831" s="108" t="s">
        <v>1153</v>
      </c>
      <c r="D4831" s="100" t="str">
        <f t="shared" si="1"/>
        <v/>
      </c>
      <c r="E4831" s="100" t="str">
        <f t="shared" si="2"/>
        <v/>
      </c>
      <c r="F4831" s="100" t="str">
        <f t="shared" si="3"/>
        <v/>
      </c>
      <c r="G4831" s="151"/>
      <c r="H4831" s="156"/>
      <c r="I4831" s="157"/>
      <c r="J4831" s="161"/>
      <c r="L4831" s="94"/>
      <c r="M4831" s="159"/>
      <c r="N4831" s="94"/>
    </row>
    <row r="4832">
      <c r="A4832" s="107">
        <v>1629023.0</v>
      </c>
      <c r="B4832" s="108" t="s">
        <v>244</v>
      </c>
      <c r="C4832" s="108" t="s">
        <v>1153</v>
      </c>
      <c r="D4832" s="100" t="str">
        <f t="shared" si="1"/>
        <v/>
      </c>
      <c r="E4832" s="100" t="str">
        <f t="shared" si="2"/>
        <v/>
      </c>
      <c r="F4832" s="100" t="str">
        <f t="shared" si="3"/>
        <v/>
      </c>
      <c r="G4832" s="151"/>
      <c r="H4832" s="160"/>
      <c r="I4832" s="157"/>
      <c r="J4832" s="158"/>
      <c r="L4832" s="94"/>
      <c r="M4832" s="159"/>
      <c r="N4832" s="94"/>
    </row>
    <row r="4833">
      <c r="A4833" s="107">
        <v>1629023.0</v>
      </c>
      <c r="B4833" s="108" t="s">
        <v>245</v>
      </c>
      <c r="C4833" s="108" t="s">
        <v>1153</v>
      </c>
      <c r="D4833" s="100" t="str">
        <f t="shared" si="1"/>
        <v/>
      </c>
      <c r="E4833" s="100" t="str">
        <f t="shared" si="2"/>
        <v/>
      </c>
      <c r="F4833" s="100" t="str">
        <f t="shared" si="3"/>
        <v/>
      </c>
      <c r="G4833" s="151"/>
      <c r="H4833" s="156"/>
      <c r="I4833" s="157"/>
      <c r="J4833" s="161"/>
      <c r="L4833" s="94"/>
      <c r="M4833" s="159"/>
      <c r="N4833" s="94"/>
    </row>
    <row r="4834">
      <c r="A4834" s="107">
        <v>1629023.0</v>
      </c>
      <c r="B4834" s="108" t="s">
        <v>246</v>
      </c>
      <c r="C4834" s="108" t="s">
        <v>1153</v>
      </c>
      <c r="D4834" s="100" t="str">
        <f t="shared" si="1"/>
        <v/>
      </c>
      <c r="E4834" s="100" t="str">
        <f t="shared" si="2"/>
        <v/>
      </c>
      <c r="F4834" s="100" t="str">
        <f t="shared" si="3"/>
        <v/>
      </c>
      <c r="G4834" s="151"/>
      <c r="H4834" s="160"/>
      <c r="I4834" s="157"/>
      <c r="J4834" s="158"/>
      <c r="L4834" s="94"/>
      <c r="M4834" s="159"/>
      <c r="N4834" s="94"/>
    </row>
    <row r="4835">
      <c r="A4835" s="149">
        <v>1629023.0</v>
      </c>
      <c r="B4835" s="115" t="s">
        <v>247</v>
      </c>
      <c r="C4835" s="108" t="s">
        <v>1153</v>
      </c>
      <c r="D4835" s="100" t="str">
        <f t="shared" si="1"/>
        <v/>
      </c>
      <c r="E4835" s="100" t="str">
        <f t="shared" si="2"/>
        <v/>
      </c>
      <c r="F4835" s="100" t="str">
        <f t="shared" si="3"/>
        <v/>
      </c>
      <c r="G4835" s="151"/>
      <c r="H4835" s="156"/>
      <c r="I4835" s="157"/>
      <c r="J4835" s="161"/>
      <c r="L4835" s="94"/>
      <c r="M4835" s="159"/>
      <c r="N4835" s="94"/>
    </row>
    <row r="4836">
      <c r="A4836" s="21">
        <v>1629026.0</v>
      </c>
      <c r="B4836" s="164" t="s">
        <v>192</v>
      </c>
      <c r="C4836" s="164" t="s">
        <v>1154</v>
      </c>
      <c r="D4836" s="100" t="str">
        <f t="shared" si="1"/>
        <v/>
      </c>
      <c r="E4836" s="100" t="str">
        <f t="shared" si="2"/>
        <v/>
      </c>
      <c r="F4836" s="100" t="str">
        <f t="shared" si="3"/>
        <v/>
      </c>
      <c r="G4836" s="151"/>
      <c r="H4836" s="160"/>
      <c r="I4836" s="157"/>
      <c r="J4836" s="158"/>
      <c r="L4836" s="94"/>
      <c r="M4836" s="159"/>
      <c r="N4836" s="94"/>
    </row>
    <row r="4837">
      <c r="A4837" s="107">
        <v>1629026.0</v>
      </c>
      <c r="B4837" s="108" t="s">
        <v>193</v>
      </c>
      <c r="C4837" s="108" t="s">
        <v>1154</v>
      </c>
      <c r="D4837" s="100" t="str">
        <f t="shared" si="1"/>
        <v/>
      </c>
      <c r="E4837" s="100" t="str">
        <f t="shared" si="2"/>
        <v/>
      </c>
      <c r="F4837" s="100" t="str">
        <f t="shared" si="3"/>
        <v/>
      </c>
      <c r="G4837" s="151"/>
      <c r="H4837" s="156"/>
      <c r="I4837" s="157"/>
      <c r="J4837" s="161"/>
      <c r="L4837" s="94"/>
      <c r="M4837" s="159"/>
      <c r="N4837" s="94"/>
    </row>
    <row r="4838">
      <c r="A4838" s="107">
        <v>1629026.0</v>
      </c>
      <c r="B4838" s="108" t="s">
        <v>243</v>
      </c>
      <c r="C4838" s="108" t="s">
        <v>1154</v>
      </c>
      <c r="D4838" s="100" t="str">
        <f t="shared" si="1"/>
        <v/>
      </c>
      <c r="E4838" s="100" t="str">
        <f t="shared" si="2"/>
        <v/>
      </c>
      <c r="F4838" s="100" t="str">
        <f t="shared" si="3"/>
        <v/>
      </c>
      <c r="G4838" s="151"/>
      <c r="H4838" s="160"/>
      <c r="I4838" s="157"/>
      <c r="J4838" s="158"/>
      <c r="L4838" s="94"/>
      <c r="M4838" s="159"/>
      <c r="N4838" s="94"/>
    </row>
    <row r="4839">
      <c r="A4839" s="107">
        <v>1629026.0</v>
      </c>
      <c r="B4839" s="108" t="s">
        <v>215</v>
      </c>
      <c r="C4839" s="108" t="s">
        <v>1154</v>
      </c>
      <c r="D4839" s="100" t="str">
        <f t="shared" si="1"/>
        <v/>
      </c>
      <c r="E4839" s="100" t="str">
        <f t="shared" si="2"/>
        <v/>
      </c>
      <c r="F4839" s="100" t="str">
        <f t="shared" si="3"/>
        <v/>
      </c>
      <c r="G4839" s="151"/>
      <c r="H4839" s="156"/>
      <c r="I4839" s="157"/>
      <c r="J4839" s="161"/>
      <c r="L4839" s="94"/>
      <c r="M4839" s="159"/>
      <c r="N4839" s="94"/>
    </row>
    <row r="4840">
      <c r="A4840" s="107">
        <v>1629026.0</v>
      </c>
      <c r="B4840" s="108" t="s">
        <v>244</v>
      </c>
      <c r="C4840" s="108" t="s">
        <v>1154</v>
      </c>
      <c r="D4840" s="100" t="str">
        <f t="shared" si="1"/>
        <v/>
      </c>
      <c r="E4840" s="100" t="str">
        <f t="shared" si="2"/>
        <v/>
      </c>
      <c r="F4840" s="100" t="str">
        <f t="shared" si="3"/>
        <v/>
      </c>
      <c r="G4840" s="151"/>
      <c r="H4840" s="160"/>
      <c r="I4840" s="157"/>
      <c r="J4840" s="158"/>
      <c r="L4840" s="94"/>
      <c r="M4840" s="159"/>
      <c r="N4840" s="94"/>
    </row>
    <row r="4841">
      <c r="A4841" s="107">
        <v>1629026.0</v>
      </c>
      <c r="B4841" s="108" t="s">
        <v>245</v>
      </c>
      <c r="C4841" s="108" t="s">
        <v>1154</v>
      </c>
      <c r="D4841" s="100" t="str">
        <f t="shared" si="1"/>
        <v/>
      </c>
      <c r="E4841" s="100" t="str">
        <f t="shared" si="2"/>
        <v/>
      </c>
      <c r="F4841" s="100" t="str">
        <f t="shared" si="3"/>
        <v/>
      </c>
      <c r="G4841" s="151"/>
      <c r="H4841" s="156"/>
      <c r="I4841" s="157"/>
      <c r="J4841" s="161"/>
      <c r="L4841" s="94"/>
      <c r="M4841" s="159"/>
      <c r="N4841" s="94"/>
    </row>
    <row r="4842">
      <c r="A4842" s="107">
        <v>1629026.0</v>
      </c>
      <c r="B4842" s="108" t="s">
        <v>246</v>
      </c>
      <c r="C4842" s="108" t="s">
        <v>1154</v>
      </c>
      <c r="D4842" s="100" t="str">
        <f t="shared" si="1"/>
        <v/>
      </c>
      <c r="E4842" s="100" t="str">
        <f t="shared" si="2"/>
        <v/>
      </c>
      <c r="F4842" s="100" t="str">
        <f t="shared" si="3"/>
        <v/>
      </c>
      <c r="G4842" s="151"/>
      <c r="H4842" s="160"/>
      <c r="I4842" s="157"/>
      <c r="J4842" s="158"/>
      <c r="L4842" s="94"/>
      <c r="M4842" s="159"/>
      <c r="N4842" s="94"/>
    </row>
    <row r="4843">
      <c r="A4843" s="140">
        <v>1629026.0</v>
      </c>
      <c r="B4843" s="115" t="s">
        <v>247</v>
      </c>
      <c r="C4843" s="115" t="s">
        <v>1154</v>
      </c>
      <c r="D4843" s="100" t="str">
        <f t="shared" si="1"/>
        <v/>
      </c>
      <c r="E4843" s="100" t="str">
        <f t="shared" si="2"/>
        <v/>
      </c>
      <c r="F4843" s="100" t="str">
        <f t="shared" si="3"/>
        <v/>
      </c>
      <c r="G4843" s="151"/>
      <c r="H4843" s="156"/>
      <c r="I4843" s="157"/>
      <c r="J4843" s="161"/>
      <c r="L4843" s="94"/>
      <c r="M4843" s="159"/>
      <c r="N4843" s="94"/>
    </row>
    <row r="4844">
      <c r="A4844" s="163">
        <v>1629027.0</v>
      </c>
      <c r="B4844" s="164" t="s">
        <v>192</v>
      </c>
      <c r="C4844" s="164" t="s">
        <v>1155</v>
      </c>
      <c r="D4844" s="100" t="str">
        <f t="shared" si="1"/>
        <v/>
      </c>
      <c r="E4844" s="100" t="str">
        <f t="shared" si="2"/>
        <v/>
      </c>
      <c r="F4844" s="100" t="str">
        <f t="shared" si="3"/>
        <v/>
      </c>
      <c r="G4844" s="151"/>
      <c r="H4844" s="160"/>
      <c r="I4844" s="157"/>
      <c r="J4844" s="158"/>
      <c r="L4844" s="94"/>
      <c r="M4844" s="159"/>
      <c r="N4844" s="94"/>
    </row>
    <row r="4845">
      <c r="A4845" s="107">
        <v>1629027.0</v>
      </c>
      <c r="B4845" s="108" t="s">
        <v>193</v>
      </c>
      <c r="C4845" s="108" t="s">
        <v>1155</v>
      </c>
      <c r="D4845" s="100" t="str">
        <f t="shared" si="1"/>
        <v/>
      </c>
      <c r="E4845" s="100" t="str">
        <f t="shared" si="2"/>
        <v/>
      </c>
      <c r="F4845" s="100" t="str">
        <f t="shared" si="3"/>
        <v/>
      </c>
      <c r="G4845" s="151"/>
      <c r="H4845" s="156"/>
      <c r="I4845" s="157"/>
      <c r="J4845" s="161"/>
      <c r="L4845" s="94"/>
      <c r="M4845" s="159"/>
      <c r="N4845" s="94"/>
    </row>
    <row r="4846">
      <c r="A4846" s="107">
        <v>1629027.0</v>
      </c>
      <c r="B4846" s="108" t="s">
        <v>243</v>
      </c>
      <c r="C4846" s="108" t="s">
        <v>1155</v>
      </c>
      <c r="D4846" s="100" t="str">
        <f t="shared" si="1"/>
        <v/>
      </c>
      <c r="E4846" s="100" t="str">
        <f t="shared" si="2"/>
        <v/>
      </c>
      <c r="F4846" s="100" t="str">
        <f t="shared" si="3"/>
        <v/>
      </c>
      <c r="G4846" s="151"/>
      <c r="H4846" s="160"/>
      <c r="I4846" s="157"/>
      <c r="J4846" s="158"/>
      <c r="L4846" s="94"/>
      <c r="M4846" s="159"/>
      <c r="N4846" s="94"/>
    </row>
    <row r="4847">
      <c r="A4847" s="107">
        <v>1629027.0</v>
      </c>
      <c r="B4847" s="108" t="s">
        <v>215</v>
      </c>
      <c r="C4847" s="108" t="s">
        <v>1155</v>
      </c>
      <c r="D4847" s="100" t="str">
        <f t="shared" si="1"/>
        <v/>
      </c>
      <c r="E4847" s="100" t="str">
        <f t="shared" si="2"/>
        <v/>
      </c>
      <c r="F4847" s="100" t="str">
        <f t="shared" si="3"/>
        <v/>
      </c>
      <c r="G4847" s="151"/>
      <c r="H4847" s="156"/>
      <c r="I4847" s="157"/>
      <c r="J4847" s="161"/>
      <c r="L4847" s="94"/>
      <c r="M4847" s="159"/>
      <c r="N4847" s="94"/>
    </row>
    <row r="4848">
      <c r="A4848" s="107">
        <v>1629027.0</v>
      </c>
      <c r="B4848" s="108" t="s">
        <v>244</v>
      </c>
      <c r="C4848" s="108" t="s">
        <v>1155</v>
      </c>
      <c r="D4848" s="100" t="str">
        <f t="shared" si="1"/>
        <v/>
      </c>
      <c r="E4848" s="100" t="str">
        <f t="shared" si="2"/>
        <v/>
      </c>
      <c r="F4848" s="100" t="str">
        <f t="shared" si="3"/>
        <v/>
      </c>
      <c r="G4848" s="151"/>
      <c r="H4848" s="160"/>
      <c r="I4848" s="157"/>
      <c r="J4848" s="158"/>
      <c r="L4848" s="94"/>
      <c r="M4848" s="159"/>
      <c r="N4848" s="94"/>
    </row>
    <row r="4849">
      <c r="A4849" s="107">
        <v>1629027.0</v>
      </c>
      <c r="B4849" s="108" t="s">
        <v>245</v>
      </c>
      <c r="C4849" s="108" t="s">
        <v>1155</v>
      </c>
      <c r="D4849" s="100" t="str">
        <f t="shared" si="1"/>
        <v/>
      </c>
      <c r="E4849" s="100" t="str">
        <f t="shared" si="2"/>
        <v/>
      </c>
      <c r="F4849" s="100" t="str">
        <f t="shared" si="3"/>
        <v/>
      </c>
      <c r="G4849" s="151"/>
      <c r="H4849" s="156"/>
      <c r="I4849" s="157"/>
      <c r="J4849" s="161"/>
      <c r="L4849" s="94"/>
      <c r="M4849" s="159"/>
      <c r="N4849" s="94"/>
    </row>
    <row r="4850">
      <c r="A4850" s="107">
        <v>1629027.0</v>
      </c>
      <c r="B4850" s="108" t="s">
        <v>246</v>
      </c>
      <c r="C4850" s="108" t="s">
        <v>1155</v>
      </c>
      <c r="D4850" s="100" t="str">
        <f t="shared" si="1"/>
        <v/>
      </c>
      <c r="E4850" s="100" t="str">
        <f t="shared" si="2"/>
        <v/>
      </c>
      <c r="F4850" s="100" t="str">
        <f t="shared" si="3"/>
        <v/>
      </c>
      <c r="G4850" s="151"/>
      <c r="H4850" s="160"/>
      <c r="I4850" s="157"/>
      <c r="J4850" s="158"/>
      <c r="L4850" s="94"/>
      <c r="M4850" s="159"/>
      <c r="N4850" s="94"/>
    </row>
    <row r="4851">
      <c r="A4851" s="149">
        <v>1629027.0</v>
      </c>
      <c r="B4851" s="115" t="s">
        <v>247</v>
      </c>
      <c r="C4851" s="115" t="s">
        <v>1155</v>
      </c>
      <c r="D4851" s="100" t="str">
        <f t="shared" si="1"/>
        <v/>
      </c>
      <c r="E4851" s="100" t="str">
        <f t="shared" si="2"/>
        <v/>
      </c>
      <c r="F4851" s="100" t="str">
        <f t="shared" si="3"/>
        <v/>
      </c>
      <c r="G4851" s="151"/>
      <c r="H4851" s="156"/>
      <c r="I4851" s="157"/>
      <c r="J4851" s="161"/>
      <c r="L4851" s="94"/>
      <c r="M4851" s="159"/>
      <c r="N4851" s="94"/>
    </row>
    <row r="4852">
      <c r="A4852" s="21">
        <v>1629028.0</v>
      </c>
      <c r="B4852" s="164" t="s">
        <v>192</v>
      </c>
      <c r="C4852" s="164" t="s">
        <v>1156</v>
      </c>
      <c r="D4852" s="100" t="str">
        <f t="shared" si="1"/>
        <v/>
      </c>
      <c r="E4852" s="100" t="str">
        <f t="shared" si="2"/>
        <v/>
      </c>
      <c r="F4852" s="100" t="str">
        <f t="shared" si="3"/>
        <v/>
      </c>
      <c r="G4852" s="151"/>
      <c r="H4852" s="160"/>
      <c r="I4852" s="157"/>
      <c r="J4852" s="158"/>
      <c r="L4852" s="94"/>
      <c r="M4852" s="159"/>
      <c r="N4852" s="94"/>
    </row>
    <row r="4853">
      <c r="A4853" s="107">
        <v>1629028.0</v>
      </c>
      <c r="B4853" s="108" t="s">
        <v>193</v>
      </c>
      <c r="C4853" s="108" t="s">
        <v>1156</v>
      </c>
      <c r="D4853" s="100" t="str">
        <f t="shared" si="1"/>
        <v/>
      </c>
      <c r="E4853" s="100" t="str">
        <f t="shared" si="2"/>
        <v/>
      </c>
      <c r="F4853" s="100" t="str">
        <f t="shared" si="3"/>
        <v/>
      </c>
      <c r="G4853" s="151"/>
      <c r="H4853" s="156"/>
      <c r="I4853" s="157"/>
      <c r="J4853" s="161"/>
      <c r="L4853" s="94"/>
      <c r="M4853" s="159"/>
      <c r="N4853" s="94"/>
    </row>
    <row r="4854">
      <c r="A4854" s="107">
        <v>1629028.0</v>
      </c>
      <c r="B4854" s="108" t="s">
        <v>243</v>
      </c>
      <c r="C4854" s="108" t="s">
        <v>1156</v>
      </c>
      <c r="D4854" s="100" t="str">
        <f t="shared" si="1"/>
        <v/>
      </c>
      <c r="E4854" s="100" t="str">
        <f t="shared" si="2"/>
        <v/>
      </c>
      <c r="F4854" s="100" t="str">
        <f t="shared" si="3"/>
        <v/>
      </c>
      <c r="G4854" s="151"/>
      <c r="H4854" s="160"/>
      <c r="I4854" s="157"/>
      <c r="J4854" s="158"/>
      <c r="L4854" s="94"/>
      <c r="M4854" s="159"/>
      <c r="N4854" s="94"/>
    </row>
    <row r="4855">
      <c r="A4855" s="107">
        <v>1629028.0</v>
      </c>
      <c r="B4855" s="108" t="s">
        <v>215</v>
      </c>
      <c r="C4855" s="108" t="s">
        <v>1156</v>
      </c>
      <c r="D4855" s="100" t="str">
        <f t="shared" si="1"/>
        <v/>
      </c>
      <c r="E4855" s="100" t="str">
        <f t="shared" si="2"/>
        <v/>
      </c>
      <c r="F4855" s="100" t="str">
        <f t="shared" si="3"/>
        <v/>
      </c>
      <c r="G4855" s="151"/>
      <c r="H4855" s="156"/>
      <c r="I4855" s="157"/>
      <c r="J4855" s="161"/>
      <c r="L4855" s="94"/>
      <c r="M4855" s="159"/>
      <c r="N4855" s="94"/>
    </row>
    <row r="4856">
      <c r="A4856" s="107">
        <v>1629028.0</v>
      </c>
      <c r="B4856" s="108" t="s">
        <v>244</v>
      </c>
      <c r="C4856" s="108" t="s">
        <v>1156</v>
      </c>
      <c r="D4856" s="100" t="str">
        <f t="shared" si="1"/>
        <v/>
      </c>
      <c r="E4856" s="100" t="str">
        <f t="shared" si="2"/>
        <v/>
      </c>
      <c r="F4856" s="100" t="str">
        <f t="shared" si="3"/>
        <v/>
      </c>
      <c r="G4856" s="151"/>
      <c r="H4856" s="160"/>
      <c r="I4856" s="157"/>
      <c r="J4856" s="158"/>
      <c r="L4856" s="94"/>
      <c r="M4856" s="159"/>
      <c r="N4856" s="94"/>
    </row>
    <row r="4857">
      <c r="A4857" s="107">
        <v>1629028.0</v>
      </c>
      <c r="B4857" s="108" t="s">
        <v>245</v>
      </c>
      <c r="C4857" s="108" t="s">
        <v>1156</v>
      </c>
      <c r="D4857" s="100" t="str">
        <f t="shared" si="1"/>
        <v/>
      </c>
      <c r="E4857" s="100" t="str">
        <f t="shared" si="2"/>
        <v/>
      </c>
      <c r="F4857" s="100" t="str">
        <f t="shared" si="3"/>
        <v/>
      </c>
      <c r="G4857" s="151"/>
      <c r="H4857" s="156"/>
      <c r="I4857" s="157"/>
      <c r="J4857" s="161"/>
      <c r="L4857" s="94"/>
      <c r="M4857" s="159"/>
      <c r="N4857" s="94"/>
    </row>
    <row r="4858">
      <c r="A4858" s="107">
        <v>1629028.0</v>
      </c>
      <c r="B4858" s="108" t="s">
        <v>246</v>
      </c>
      <c r="C4858" s="108" t="s">
        <v>1156</v>
      </c>
      <c r="D4858" s="100" t="str">
        <f t="shared" si="1"/>
        <v/>
      </c>
      <c r="E4858" s="100" t="str">
        <f t="shared" si="2"/>
        <v/>
      </c>
      <c r="F4858" s="100" t="str">
        <f t="shared" si="3"/>
        <v/>
      </c>
      <c r="G4858" s="151"/>
      <c r="H4858" s="160"/>
      <c r="I4858" s="157"/>
      <c r="J4858" s="158"/>
      <c r="L4858" s="94"/>
      <c r="M4858" s="159"/>
      <c r="N4858" s="94"/>
    </row>
    <row r="4859">
      <c r="A4859" s="149">
        <v>1629028.0</v>
      </c>
      <c r="B4859" s="115" t="s">
        <v>247</v>
      </c>
      <c r="C4859" s="115" t="s">
        <v>1156</v>
      </c>
      <c r="D4859" s="100" t="str">
        <f t="shared" si="1"/>
        <v/>
      </c>
      <c r="E4859" s="100" t="str">
        <f t="shared" si="2"/>
        <v/>
      </c>
      <c r="F4859" s="100" t="str">
        <f t="shared" si="3"/>
        <v/>
      </c>
      <c r="G4859" s="151"/>
      <c r="H4859" s="156"/>
      <c r="I4859" s="157"/>
      <c r="J4859" s="161"/>
      <c r="L4859" s="94"/>
      <c r="M4859" s="159"/>
      <c r="N4859" s="94"/>
    </row>
    <row r="4860">
      <c r="A4860" s="21">
        <v>1629029.0</v>
      </c>
      <c r="B4860" s="164" t="s">
        <v>192</v>
      </c>
      <c r="C4860" s="164" t="s">
        <v>1157</v>
      </c>
      <c r="D4860" s="100" t="str">
        <f t="shared" si="1"/>
        <v/>
      </c>
      <c r="E4860" s="100" t="str">
        <f t="shared" si="2"/>
        <v/>
      </c>
      <c r="F4860" s="100" t="str">
        <f t="shared" si="3"/>
        <v/>
      </c>
      <c r="G4860" s="151"/>
      <c r="H4860" s="160"/>
      <c r="I4860" s="157"/>
      <c r="J4860" s="158"/>
      <c r="L4860" s="94"/>
      <c r="M4860" s="159"/>
      <c r="N4860" s="94"/>
    </row>
    <row r="4861">
      <c r="A4861" s="107">
        <v>1629029.0</v>
      </c>
      <c r="B4861" s="108" t="s">
        <v>193</v>
      </c>
      <c r="C4861" s="108" t="s">
        <v>1157</v>
      </c>
      <c r="D4861" s="100" t="str">
        <f t="shared" si="1"/>
        <v/>
      </c>
      <c r="E4861" s="100" t="str">
        <f t="shared" si="2"/>
        <v/>
      </c>
      <c r="F4861" s="100" t="str">
        <f t="shared" si="3"/>
        <v/>
      </c>
      <c r="G4861" s="151"/>
      <c r="H4861" s="156"/>
      <c r="I4861" s="157"/>
      <c r="J4861" s="161"/>
      <c r="L4861" s="94"/>
      <c r="M4861" s="159"/>
      <c r="N4861" s="94"/>
    </row>
    <row r="4862">
      <c r="A4862" s="107">
        <v>1629029.0</v>
      </c>
      <c r="B4862" s="108" t="s">
        <v>243</v>
      </c>
      <c r="C4862" s="108" t="s">
        <v>1157</v>
      </c>
      <c r="D4862" s="100" t="str">
        <f t="shared" si="1"/>
        <v/>
      </c>
      <c r="E4862" s="100" t="str">
        <f t="shared" si="2"/>
        <v/>
      </c>
      <c r="F4862" s="100" t="str">
        <f t="shared" si="3"/>
        <v/>
      </c>
      <c r="G4862" s="151"/>
      <c r="H4862" s="160"/>
      <c r="I4862" s="157"/>
      <c r="J4862" s="158"/>
      <c r="L4862" s="94"/>
      <c r="M4862" s="159"/>
      <c r="N4862" s="94"/>
    </row>
    <row r="4863">
      <c r="A4863" s="107">
        <v>1629029.0</v>
      </c>
      <c r="B4863" s="108" t="s">
        <v>215</v>
      </c>
      <c r="C4863" s="108" t="s">
        <v>1157</v>
      </c>
      <c r="D4863" s="100" t="str">
        <f t="shared" si="1"/>
        <v/>
      </c>
      <c r="E4863" s="100" t="str">
        <f t="shared" si="2"/>
        <v/>
      </c>
      <c r="F4863" s="100" t="str">
        <f t="shared" si="3"/>
        <v/>
      </c>
      <c r="G4863" s="151"/>
      <c r="H4863" s="156"/>
      <c r="I4863" s="157"/>
      <c r="J4863" s="161"/>
      <c r="L4863" s="94"/>
      <c r="M4863" s="159"/>
      <c r="N4863" s="94"/>
    </row>
    <row r="4864">
      <c r="A4864" s="107">
        <v>1629029.0</v>
      </c>
      <c r="B4864" s="108" t="s">
        <v>244</v>
      </c>
      <c r="C4864" s="108" t="s">
        <v>1157</v>
      </c>
      <c r="D4864" s="100" t="str">
        <f t="shared" si="1"/>
        <v/>
      </c>
      <c r="E4864" s="100" t="str">
        <f t="shared" si="2"/>
        <v/>
      </c>
      <c r="F4864" s="100" t="str">
        <f t="shared" si="3"/>
        <v/>
      </c>
      <c r="G4864" s="151"/>
      <c r="H4864" s="160"/>
      <c r="I4864" s="157"/>
      <c r="J4864" s="158"/>
      <c r="L4864" s="94"/>
      <c r="M4864" s="159"/>
      <c r="N4864" s="94"/>
    </row>
    <row r="4865">
      <c r="A4865" s="107">
        <v>1629029.0</v>
      </c>
      <c r="B4865" s="108" t="s">
        <v>245</v>
      </c>
      <c r="C4865" s="108" t="s">
        <v>1157</v>
      </c>
      <c r="D4865" s="100" t="str">
        <f t="shared" si="1"/>
        <v/>
      </c>
      <c r="E4865" s="100" t="str">
        <f t="shared" si="2"/>
        <v/>
      </c>
      <c r="F4865" s="100" t="str">
        <f t="shared" si="3"/>
        <v/>
      </c>
      <c r="G4865" s="151"/>
      <c r="H4865" s="156"/>
      <c r="I4865" s="157"/>
      <c r="J4865" s="161"/>
      <c r="L4865" s="94"/>
      <c r="M4865" s="159"/>
      <c r="N4865" s="94"/>
    </row>
    <row r="4866">
      <c r="A4866" s="107">
        <v>1629029.0</v>
      </c>
      <c r="B4866" s="108" t="s">
        <v>246</v>
      </c>
      <c r="C4866" s="108" t="s">
        <v>1157</v>
      </c>
      <c r="D4866" s="100" t="str">
        <f t="shared" si="1"/>
        <v/>
      </c>
      <c r="E4866" s="100" t="str">
        <f t="shared" si="2"/>
        <v/>
      </c>
      <c r="F4866" s="100" t="str">
        <f t="shared" si="3"/>
        <v/>
      </c>
      <c r="G4866" s="151"/>
      <c r="H4866" s="160"/>
      <c r="I4866" s="157"/>
      <c r="J4866" s="158"/>
      <c r="L4866" s="94"/>
      <c r="M4866" s="159"/>
      <c r="N4866" s="94"/>
    </row>
    <row r="4867">
      <c r="A4867" s="149">
        <v>1629029.0</v>
      </c>
      <c r="B4867" s="115" t="s">
        <v>247</v>
      </c>
      <c r="C4867" s="108" t="s">
        <v>1157</v>
      </c>
      <c r="D4867" s="100" t="str">
        <f t="shared" si="1"/>
        <v/>
      </c>
      <c r="E4867" s="100" t="str">
        <f t="shared" si="2"/>
        <v/>
      </c>
      <c r="F4867" s="100" t="str">
        <f t="shared" si="3"/>
        <v/>
      </c>
      <c r="G4867" s="151"/>
      <c r="H4867" s="156"/>
      <c r="I4867" s="157"/>
      <c r="J4867" s="161"/>
      <c r="L4867" s="94"/>
      <c r="M4867" s="159"/>
      <c r="N4867" s="94"/>
    </row>
    <row r="4868">
      <c r="A4868" s="21">
        <v>1629033.0</v>
      </c>
      <c r="B4868" s="164" t="s">
        <v>192</v>
      </c>
      <c r="C4868" s="164" t="s">
        <v>1158</v>
      </c>
      <c r="D4868" s="100" t="str">
        <f t="shared" si="1"/>
        <v/>
      </c>
      <c r="E4868" s="100" t="str">
        <f t="shared" si="2"/>
        <v/>
      </c>
      <c r="F4868" s="100" t="str">
        <f t="shared" si="3"/>
        <v/>
      </c>
      <c r="G4868" s="151"/>
      <c r="H4868" s="160"/>
      <c r="I4868" s="157"/>
      <c r="J4868" s="158"/>
      <c r="L4868" s="94"/>
      <c r="M4868" s="159"/>
      <c r="N4868" s="94"/>
    </row>
    <row r="4869">
      <c r="A4869" s="107">
        <v>1629033.0</v>
      </c>
      <c r="B4869" s="108" t="s">
        <v>193</v>
      </c>
      <c r="C4869" s="108" t="s">
        <v>1158</v>
      </c>
      <c r="D4869" s="100" t="str">
        <f t="shared" si="1"/>
        <v/>
      </c>
      <c r="E4869" s="100" t="str">
        <f t="shared" si="2"/>
        <v/>
      </c>
      <c r="F4869" s="100" t="str">
        <f t="shared" si="3"/>
        <v/>
      </c>
      <c r="G4869" s="151"/>
      <c r="H4869" s="156"/>
      <c r="I4869" s="157"/>
      <c r="J4869" s="161"/>
      <c r="L4869" s="94"/>
      <c r="M4869" s="159"/>
      <c r="N4869" s="94"/>
    </row>
    <row r="4870">
      <c r="A4870" s="107">
        <v>1629033.0</v>
      </c>
      <c r="B4870" s="108" t="s">
        <v>243</v>
      </c>
      <c r="C4870" s="108" t="s">
        <v>1158</v>
      </c>
      <c r="D4870" s="100" t="str">
        <f t="shared" si="1"/>
        <v/>
      </c>
      <c r="E4870" s="100" t="str">
        <f t="shared" si="2"/>
        <v/>
      </c>
      <c r="F4870" s="100" t="str">
        <f t="shared" si="3"/>
        <v/>
      </c>
      <c r="G4870" s="151"/>
      <c r="H4870" s="160"/>
      <c r="I4870" s="157"/>
      <c r="J4870" s="158"/>
      <c r="L4870" s="94"/>
      <c r="M4870" s="159"/>
      <c r="N4870" s="94"/>
    </row>
    <row r="4871">
      <c r="A4871" s="107">
        <v>1629033.0</v>
      </c>
      <c r="B4871" s="108" t="s">
        <v>215</v>
      </c>
      <c r="C4871" s="108" t="s">
        <v>1158</v>
      </c>
      <c r="D4871" s="100" t="str">
        <f t="shared" si="1"/>
        <v/>
      </c>
      <c r="E4871" s="100" t="str">
        <f t="shared" si="2"/>
        <v/>
      </c>
      <c r="F4871" s="100" t="str">
        <f t="shared" si="3"/>
        <v/>
      </c>
      <c r="G4871" s="151"/>
      <c r="H4871" s="156"/>
      <c r="I4871" s="157"/>
      <c r="J4871" s="161"/>
      <c r="L4871" s="94"/>
      <c r="M4871" s="159"/>
      <c r="N4871" s="94"/>
    </row>
    <row r="4872">
      <c r="A4872" s="107">
        <v>1629033.0</v>
      </c>
      <c r="B4872" s="108" t="s">
        <v>244</v>
      </c>
      <c r="C4872" s="108" t="s">
        <v>1158</v>
      </c>
      <c r="D4872" s="100" t="str">
        <f t="shared" si="1"/>
        <v/>
      </c>
      <c r="E4872" s="100" t="str">
        <f t="shared" si="2"/>
        <v/>
      </c>
      <c r="F4872" s="100" t="str">
        <f t="shared" si="3"/>
        <v/>
      </c>
      <c r="G4872" s="151"/>
      <c r="H4872" s="160"/>
      <c r="I4872" s="157"/>
      <c r="J4872" s="158"/>
      <c r="L4872" s="94"/>
      <c r="M4872" s="159"/>
      <c r="N4872" s="94"/>
    </row>
    <row r="4873">
      <c r="A4873" s="107">
        <v>1629034.0</v>
      </c>
      <c r="B4873" s="108" t="s">
        <v>192</v>
      </c>
      <c r="C4873" s="108" t="s">
        <v>1159</v>
      </c>
      <c r="D4873" s="100" t="str">
        <f t="shared" si="1"/>
        <v/>
      </c>
      <c r="E4873" s="100" t="str">
        <f t="shared" si="2"/>
        <v/>
      </c>
      <c r="F4873" s="100" t="str">
        <f t="shared" si="3"/>
        <v/>
      </c>
      <c r="G4873" s="151"/>
      <c r="H4873" s="156"/>
      <c r="I4873" s="157"/>
      <c r="J4873" s="161"/>
      <c r="L4873" s="94"/>
      <c r="M4873" s="159"/>
      <c r="N4873" s="94"/>
    </row>
    <row r="4874">
      <c r="A4874" s="107">
        <v>1629034.0</v>
      </c>
      <c r="B4874" s="108" t="s">
        <v>243</v>
      </c>
      <c r="C4874" s="108" t="s">
        <v>1159</v>
      </c>
      <c r="D4874" s="100" t="str">
        <f t="shared" si="1"/>
        <v/>
      </c>
      <c r="E4874" s="100" t="str">
        <f t="shared" si="2"/>
        <v/>
      </c>
      <c r="F4874" s="100" t="str">
        <f t="shared" si="3"/>
        <v/>
      </c>
      <c r="G4874" s="151"/>
      <c r="H4874" s="160"/>
      <c r="I4874" s="157"/>
      <c r="J4874" s="158"/>
      <c r="L4874" s="94"/>
      <c r="M4874" s="159"/>
      <c r="N4874" s="94"/>
    </row>
    <row r="4875">
      <c r="A4875" s="107">
        <v>1629035.0</v>
      </c>
      <c r="B4875" s="108" t="s">
        <v>193</v>
      </c>
      <c r="C4875" s="108" t="s">
        <v>1160</v>
      </c>
      <c r="D4875" s="100" t="str">
        <f t="shared" si="1"/>
        <v/>
      </c>
      <c r="E4875" s="100" t="str">
        <f t="shared" si="2"/>
        <v/>
      </c>
      <c r="F4875" s="100" t="str">
        <f t="shared" si="3"/>
        <v/>
      </c>
      <c r="G4875" s="151"/>
      <c r="H4875" s="156"/>
      <c r="I4875" s="157"/>
      <c r="J4875" s="161"/>
      <c r="L4875" s="94"/>
      <c r="M4875" s="159"/>
      <c r="N4875" s="94"/>
    </row>
    <row r="4876">
      <c r="A4876" s="107">
        <v>1629035.0</v>
      </c>
      <c r="B4876" s="108" t="s">
        <v>243</v>
      </c>
      <c r="C4876" s="108" t="s">
        <v>1160</v>
      </c>
      <c r="D4876" s="100" t="str">
        <f t="shared" si="1"/>
        <v/>
      </c>
      <c r="E4876" s="100" t="str">
        <f t="shared" si="2"/>
        <v/>
      </c>
      <c r="F4876" s="100" t="str">
        <f t="shared" si="3"/>
        <v/>
      </c>
      <c r="G4876" s="151"/>
      <c r="H4876" s="160"/>
      <c r="I4876" s="157"/>
      <c r="J4876" s="158"/>
      <c r="L4876" s="94"/>
      <c r="M4876" s="159"/>
      <c r="N4876" s="94"/>
    </row>
    <row r="4877">
      <c r="A4877" s="107">
        <v>1629035.0</v>
      </c>
      <c r="B4877" s="108" t="s">
        <v>215</v>
      </c>
      <c r="C4877" s="108" t="s">
        <v>1160</v>
      </c>
      <c r="D4877" s="100" t="str">
        <f t="shared" si="1"/>
        <v/>
      </c>
      <c r="E4877" s="100" t="str">
        <f t="shared" si="2"/>
        <v/>
      </c>
      <c r="F4877" s="100" t="str">
        <f t="shared" si="3"/>
        <v/>
      </c>
      <c r="G4877" s="151"/>
      <c r="H4877" s="156"/>
      <c r="I4877" s="157"/>
      <c r="J4877" s="161"/>
      <c r="L4877" s="94"/>
      <c r="M4877" s="159"/>
      <c r="N4877" s="94"/>
    </row>
    <row r="4878">
      <c r="A4878" s="107">
        <v>1629044.0</v>
      </c>
      <c r="B4878" s="108" t="s">
        <v>193</v>
      </c>
      <c r="C4878" s="108" t="s">
        <v>1161</v>
      </c>
      <c r="D4878" s="100" t="str">
        <f t="shared" si="1"/>
        <v/>
      </c>
      <c r="E4878" s="100" t="str">
        <f t="shared" si="2"/>
        <v/>
      </c>
      <c r="F4878" s="100" t="str">
        <f t="shared" si="3"/>
        <v/>
      </c>
      <c r="G4878" s="151"/>
      <c r="H4878" s="160"/>
      <c r="I4878" s="157"/>
      <c r="J4878" s="158"/>
      <c r="L4878" s="94"/>
      <c r="M4878" s="159"/>
      <c r="N4878" s="94"/>
    </row>
    <row r="4879">
      <c r="A4879" s="107">
        <v>1629045.0</v>
      </c>
      <c r="B4879" s="108" t="s">
        <v>192</v>
      </c>
      <c r="C4879" s="108" t="s">
        <v>1162</v>
      </c>
      <c r="D4879" s="100" t="str">
        <f t="shared" si="1"/>
        <v/>
      </c>
      <c r="E4879" s="100" t="str">
        <f t="shared" si="2"/>
        <v/>
      </c>
      <c r="F4879" s="100" t="str">
        <f t="shared" si="3"/>
        <v/>
      </c>
      <c r="G4879" s="151"/>
      <c r="H4879" s="156"/>
      <c r="I4879" s="157"/>
      <c r="J4879" s="161"/>
      <c r="L4879" s="94"/>
      <c r="M4879" s="159"/>
      <c r="N4879" s="94"/>
    </row>
    <row r="4880">
      <c r="A4880" s="107">
        <v>1629048.0</v>
      </c>
      <c r="B4880" s="108" t="s">
        <v>193</v>
      </c>
      <c r="C4880" s="108" t="s">
        <v>1163</v>
      </c>
      <c r="D4880" s="100" t="str">
        <f t="shared" si="1"/>
        <v/>
      </c>
      <c r="E4880" s="100" t="str">
        <f t="shared" si="2"/>
        <v/>
      </c>
      <c r="F4880" s="100" t="str">
        <f t="shared" si="3"/>
        <v/>
      </c>
      <c r="G4880" s="151"/>
      <c r="H4880" s="160"/>
      <c r="I4880" s="157"/>
      <c r="J4880" s="158"/>
      <c r="L4880" s="94"/>
      <c r="M4880" s="159"/>
      <c r="N4880" s="94"/>
    </row>
    <row r="4881">
      <c r="A4881" s="107">
        <v>1629048.0</v>
      </c>
      <c r="B4881" s="108" t="s">
        <v>243</v>
      </c>
      <c r="C4881" s="108" t="s">
        <v>1163</v>
      </c>
      <c r="D4881" s="100" t="str">
        <f t="shared" si="1"/>
        <v/>
      </c>
      <c r="E4881" s="100" t="str">
        <f t="shared" si="2"/>
        <v/>
      </c>
      <c r="F4881" s="100" t="str">
        <f t="shared" si="3"/>
        <v/>
      </c>
      <c r="G4881" s="151"/>
      <c r="H4881" s="156"/>
      <c r="I4881" s="157"/>
      <c r="J4881" s="161"/>
      <c r="L4881" s="94"/>
      <c r="M4881" s="159"/>
      <c r="N4881" s="94"/>
    </row>
    <row r="4882">
      <c r="A4882" s="107">
        <v>1629048.0</v>
      </c>
      <c r="B4882" s="108" t="s">
        <v>215</v>
      </c>
      <c r="C4882" s="108" t="s">
        <v>1163</v>
      </c>
      <c r="D4882" s="100" t="str">
        <f t="shared" si="1"/>
        <v/>
      </c>
      <c r="E4882" s="100" t="str">
        <f t="shared" si="2"/>
        <v/>
      </c>
      <c r="F4882" s="100" t="str">
        <f t="shared" si="3"/>
        <v/>
      </c>
      <c r="G4882" s="151"/>
      <c r="H4882" s="160"/>
      <c r="I4882" s="157"/>
      <c r="J4882" s="158"/>
      <c r="L4882" s="94"/>
      <c r="M4882" s="159"/>
      <c r="N4882" s="94"/>
    </row>
    <row r="4883">
      <c r="A4883" s="107">
        <v>1629048.0</v>
      </c>
      <c r="B4883" s="108" t="s">
        <v>244</v>
      </c>
      <c r="C4883" s="108" t="s">
        <v>1163</v>
      </c>
      <c r="D4883" s="100" t="str">
        <f t="shared" si="1"/>
        <v/>
      </c>
      <c r="E4883" s="100" t="str">
        <f t="shared" si="2"/>
        <v/>
      </c>
      <c r="F4883" s="100" t="str">
        <f t="shared" si="3"/>
        <v/>
      </c>
      <c r="G4883" s="151"/>
      <c r="H4883" s="156"/>
      <c r="I4883" s="157"/>
      <c r="J4883" s="161"/>
      <c r="L4883" s="94"/>
      <c r="M4883" s="159"/>
      <c r="N4883" s="94"/>
    </row>
    <row r="4884">
      <c r="A4884" s="107">
        <v>1629048.0</v>
      </c>
      <c r="B4884" s="108" t="s">
        <v>245</v>
      </c>
      <c r="C4884" s="108" t="s">
        <v>1163</v>
      </c>
      <c r="D4884" s="100" t="str">
        <f t="shared" si="1"/>
        <v/>
      </c>
      <c r="E4884" s="100" t="str">
        <f t="shared" si="2"/>
        <v/>
      </c>
      <c r="F4884" s="100" t="str">
        <f t="shared" si="3"/>
        <v/>
      </c>
      <c r="G4884" s="151"/>
      <c r="H4884" s="160"/>
      <c r="I4884" s="157"/>
      <c r="J4884" s="158"/>
      <c r="L4884" s="94"/>
      <c r="M4884" s="159"/>
      <c r="N4884" s="94"/>
    </row>
    <row r="4885">
      <c r="A4885" s="107">
        <v>1629048.0</v>
      </c>
      <c r="B4885" s="108" t="s">
        <v>246</v>
      </c>
      <c r="C4885" s="108" t="s">
        <v>1163</v>
      </c>
      <c r="D4885" s="100" t="str">
        <f t="shared" si="1"/>
        <v/>
      </c>
      <c r="E4885" s="100" t="str">
        <f t="shared" si="2"/>
        <v/>
      </c>
      <c r="F4885" s="100" t="str">
        <f t="shared" si="3"/>
        <v/>
      </c>
      <c r="G4885" s="151"/>
      <c r="H4885" s="156"/>
      <c r="I4885" s="157"/>
      <c r="J4885" s="161"/>
      <c r="L4885" s="94"/>
      <c r="M4885" s="159"/>
      <c r="N4885" s="94"/>
    </row>
    <row r="4886">
      <c r="A4886" s="149">
        <v>1629048.0</v>
      </c>
      <c r="B4886" s="115" t="s">
        <v>247</v>
      </c>
      <c r="C4886" s="115" t="s">
        <v>1163</v>
      </c>
      <c r="D4886" s="100" t="str">
        <f t="shared" si="1"/>
        <v/>
      </c>
      <c r="E4886" s="100" t="str">
        <f t="shared" si="2"/>
        <v/>
      </c>
      <c r="F4886" s="100" t="str">
        <f t="shared" si="3"/>
        <v/>
      </c>
      <c r="G4886" s="151"/>
      <c r="H4886" s="160"/>
      <c r="I4886" s="157"/>
      <c r="J4886" s="158"/>
      <c r="L4886" s="94"/>
      <c r="M4886" s="159"/>
      <c r="N4886" s="94"/>
    </row>
    <row r="4887">
      <c r="A4887" s="21">
        <v>1629052.0</v>
      </c>
      <c r="B4887" s="164" t="s">
        <v>193</v>
      </c>
      <c r="C4887" s="164" t="s">
        <v>1164</v>
      </c>
      <c r="D4887" s="100" t="str">
        <f t="shared" si="1"/>
        <v/>
      </c>
      <c r="E4887" s="100" t="str">
        <f t="shared" si="2"/>
        <v/>
      </c>
      <c r="F4887" s="100" t="str">
        <f t="shared" si="3"/>
        <v/>
      </c>
      <c r="G4887" s="151"/>
      <c r="H4887" s="156"/>
      <c r="I4887" s="157"/>
      <c r="J4887" s="161"/>
      <c r="L4887" s="94"/>
      <c r="M4887" s="159"/>
      <c r="N4887" s="94"/>
    </row>
    <row r="4888">
      <c r="A4888" s="107">
        <v>1629052.0</v>
      </c>
      <c r="B4888" s="108" t="s">
        <v>243</v>
      </c>
      <c r="C4888" s="108" t="s">
        <v>1164</v>
      </c>
      <c r="D4888" s="100" t="str">
        <f t="shared" si="1"/>
        <v/>
      </c>
      <c r="E4888" s="100" t="str">
        <f t="shared" si="2"/>
        <v/>
      </c>
      <c r="F4888" s="100" t="str">
        <f t="shared" si="3"/>
        <v/>
      </c>
      <c r="G4888" s="151"/>
      <c r="H4888" s="160"/>
      <c r="I4888" s="157"/>
      <c r="J4888" s="158"/>
      <c r="L4888" s="94"/>
      <c r="M4888" s="159"/>
      <c r="N4888" s="94"/>
    </row>
    <row r="4889">
      <c r="A4889" s="107">
        <v>1629052.0</v>
      </c>
      <c r="B4889" s="108" t="s">
        <v>215</v>
      </c>
      <c r="C4889" s="108" t="s">
        <v>1164</v>
      </c>
      <c r="D4889" s="100" t="str">
        <f t="shared" si="1"/>
        <v/>
      </c>
      <c r="E4889" s="100" t="str">
        <f t="shared" si="2"/>
        <v/>
      </c>
      <c r="F4889" s="100" t="str">
        <f t="shared" si="3"/>
        <v/>
      </c>
      <c r="G4889" s="151"/>
      <c r="H4889" s="156"/>
      <c r="I4889" s="157"/>
      <c r="J4889" s="161"/>
      <c r="L4889" s="94"/>
      <c r="M4889" s="159"/>
      <c r="N4889" s="94"/>
    </row>
    <row r="4890">
      <c r="A4890" s="107">
        <v>1629052.0</v>
      </c>
      <c r="B4890" s="108" t="s">
        <v>244</v>
      </c>
      <c r="C4890" s="108" t="s">
        <v>1164</v>
      </c>
      <c r="D4890" s="100" t="str">
        <f t="shared" si="1"/>
        <v/>
      </c>
      <c r="E4890" s="100" t="str">
        <f t="shared" si="2"/>
        <v/>
      </c>
      <c r="F4890" s="100" t="str">
        <f t="shared" si="3"/>
        <v/>
      </c>
      <c r="G4890" s="151"/>
      <c r="H4890" s="160"/>
      <c r="I4890" s="157"/>
      <c r="J4890" s="158"/>
      <c r="L4890" s="94"/>
      <c r="M4890" s="159"/>
      <c r="N4890" s="94"/>
    </row>
    <row r="4891">
      <c r="A4891" s="107">
        <v>1629052.0</v>
      </c>
      <c r="B4891" s="108" t="s">
        <v>245</v>
      </c>
      <c r="C4891" s="108" t="s">
        <v>1164</v>
      </c>
      <c r="D4891" s="100" t="str">
        <f t="shared" si="1"/>
        <v/>
      </c>
      <c r="E4891" s="100" t="str">
        <f t="shared" si="2"/>
        <v/>
      </c>
      <c r="F4891" s="100" t="str">
        <f t="shared" si="3"/>
        <v/>
      </c>
      <c r="G4891" s="151"/>
      <c r="H4891" s="156"/>
      <c r="I4891" s="157"/>
      <c r="J4891" s="161"/>
      <c r="L4891" s="94"/>
      <c r="M4891" s="159"/>
      <c r="N4891" s="94"/>
    </row>
    <row r="4892">
      <c r="A4892" s="149">
        <v>1629052.0</v>
      </c>
      <c r="B4892" s="108" t="s">
        <v>246</v>
      </c>
      <c r="C4892" s="115" t="s">
        <v>1164</v>
      </c>
      <c r="D4892" s="100" t="str">
        <f t="shared" si="1"/>
        <v/>
      </c>
      <c r="E4892" s="100" t="str">
        <f t="shared" si="2"/>
        <v/>
      </c>
      <c r="F4892" s="100" t="str">
        <f t="shared" si="3"/>
        <v/>
      </c>
      <c r="G4892" s="151"/>
      <c r="H4892" s="160"/>
      <c r="I4892" s="157"/>
      <c r="J4892" s="158"/>
      <c r="L4892" s="94"/>
      <c r="M4892" s="159"/>
      <c r="N4892" s="94"/>
    </row>
    <row r="4893">
      <c r="A4893" s="165">
        <v>1629053.0</v>
      </c>
      <c r="B4893" s="124" t="s">
        <v>192</v>
      </c>
      <c r="C4893" s="124" t="s">
        <v>1165</v>
      </c>
      <c r="D4893" s="100" t="str">
        <f t="shared" si="1"/>
        <v/>
      </c>
      <c r="E4893" s="100" t="str">
        <f t="shared" si="2"/>
        <v/>
      </c>
      <c r="F4893" s="100" t="str">
        <f t="shared" si="3"/>
        <v/>
      </c>
      <c r="G4893" s="151"/>
      <c r="H4893" s="156"/>
      <c r="I4893" s="157"/>
      <c r="J4893" s="161"/>
      <c r="L4893" s="94"/>
      <c r="M4893" s="159"/>
      <c r="N4893" s="94"/>
    </row>
    <row r="4894">
      <c r="A4894" s="107">
        <v>1629055.0</v>
      </c>
      <c r="B4894" s="108" t="s">
        <v>192</v>
      </c>
      <c r="C4894" s="108" t="s">
        <v>1166</v>
      </c>
      <c r="D4894" s="100" t="str">
        <f t="shared" si="1"/>
        <v/>
      </c>
      <c r="E4894" s="100" t="str">
        <f t="shared" si="2"/>
        <v/>
      </c>
      <c r="F4894" s="100" t="str">
        <f t="shared" si="3"/>
        <v/>
      </c>
      <c r="G4894" s="151"/>
      <c r="H4894" s="160"/>
      <c r="I4894" s="157"/>
      <c r="J4894" s="158"/>
      <c r="L4894" s="94"/>
      <c r="M4894" s="159"/>
      <c r="N4894" s="94"/>
    </row>
    <row r="4895">
      <c r="A4895" s="107">
        <v>1629056.0</v>
      </c>
      <c r="B4895" s="108" t="s">
        <v>193</v>
      </c>
      <c r="C4895" s="108" t="s">
        <v>1167</v>
      </c>
      <c r="D4895" s="100" t="str">
        <f t="shared" si="1"/>
        <v/>
      </c>
      <c r="E4895" s="100" t="str">
        <f t="shared" si="2"/>
        <v/>
      </c>
      <c r="F4895" s="100" t="str">
        <f t="shared" si="3"/>
        <v/>
      </c>
      <c r="G4895" s="151"/>
      <c r="H4895" s="156"/>
      <c r="I4895" s="157"/>
      <c r="J4895" s="161"/>
      <c r="L4895" s="94"/>
      <c r="M4895" s="159"/>
      <c r="N4895" s="94"/>
    </row>
    <row r="4896">
      <c r="A4896" s="107">
        <v>1629056.0</v>
      </c>
      <c r="B4896" s="108" t="s">
        <v>243</v>
      </c>
      <c r="C4896" s="108" t="s">
        <v>1167</v>
      </c>
      <c r="D4896" s="100" t="str">
        <f t="shared" si="1"/>
        <v/>
      </c>
      <c r="E4896" s="100" t="str">
        <f t="shared" si="2"/>
        <v/>
      </c>
      <c r="F4896" s="100" t="str">
        <f t="shared" si="3"/>
        <v/>
      </c>
      <c r="G4896" s="151"/>
      <c r="H4896" s="160"/>
      <c r="I4896" s="157"/>
      <c r="J4896" s="158"/>
      <c r="L4896" s="94"/>
      <c r="M4896" s="159"/>
      <c r="N4896" s="94"/>
    </row>
    <row r="4897">
      <c r="A4897" s="107">
        <v>1629056.0</v>
      </c>
      <c r="B4897" s="108" t="s">
        <v>215</v>
      </c>
      <c r="C4897" s="108" t="s">
        <v>1167</v>
      </c>
      <c r="D4897" s="100" t="str">
        <f t="shared" si="1"/>
        <v/>
      </c>
      <c r="E4897" s="100" t="str">
        <f t="shared" si="2"/>
        <v/>
      </c>
      <c r="F4897" s="100" t="str">
        <f t="shared" si="3"/>
        <v/>
      </c>
      <c r="G4897" s="151"/>
      <c r="H4897" s="156"/>
      <c r="I4897" s="157"/>
      <c r="J4897" s="161"/>
      <c r="L4897" s="94"/>
      <c r="M4897" s="159"/>
      <c r="N4897" s="94"/>
    </row>
    <row r="4898">
      <c r="A4898" s="107">
        <v>1629056.0</v>
      </c>
      <c r="B4898" s="108" t="s">
        <v>244</v>
      </c>
      <c r="C4898" s="108" t="s">
        <v>1167</v>
      </c>
      <c r="D4898" s="100" t="str">
        <f t="shared" si="1"/>
        <v/>
      </c>
      <c r="E4898" s="100" t="str">
        <f t="shared" si="2"/>
        <v/>
      </c>
      <c r="F4898" s="100" t="str">
        <f t="shared" si="3"/>
        <v/>
      </c>
      <c r="G4898" s="151"/>
      <c r="H4898" s="160"/>
      <c r="I4898" s="157"/>
      <c r="J4898" s="158"/>
      <c r="L4898" s="94"/>
      <c r="M4898" s="159"/>
      <c r="N4898" s="94"/>
    </row>
    <row r="4899">
      <c r="A4899" s="107">
        <v>1629057.0</v>
      </c>
      <c r="B4899" s="108" t="s">
        <v>192</v>
      </c>
      <c r="C4899" s="115" t="s">
        <v>1168</v>
      </c>
      <c r="D4899" s="100" t="str">
        <f t="shared" si="1"/>
        <v/>
      </c>
      <c r="E4899" s="100" t="str">
        <f t="shared" si="2"/>
        <v/>
      </c>
      <c r="F4899" s="100" t="str">
        <f t="shared" si="3"/>
        <v/>
      </c>
      <c r="G4899" s="151"/>
      <c r="H4899" s="156"/>
      <c r="I4899" s="157"/>
      <c r="J4899" s="161"/>
      <c r="L4899" s="94"/>
      <c r="M4899" s="159"/>
      <c r="N4899" s="94"/>
    </row>
    <row r="4900">
      <c r="A4900" s="107">
        <v>1629057.0</v>
      </c>
      <c r="B4900" s="108" t="s">
        <v>193</v>
      </c>
      <c r="C4900" s="115" t="s">
        <v>1168</v>
      </c>
      <c r="D4900" s="100" t="str">
        <f t="shared" si="1"/>
        <v/>
      </c>
      <c r="E4900" s="100" t="str">
        <f t="shared" si="2"/>
        <v/>
      </c>
      <c r="F4900" s="100" t="str">
        <f t="shared" si="3"/>
        <v/>
      </c>
      <c r="G4900" s="151"/>
      <c r="H4900" s="160"/>
      <c r="I4900" s="157"/>
      <c r="J4900" s="158"/>
      <c r="L4900" s="94"/>
      <c r="M4900" s="159"/>
      <c r="N4900" s="94"/>
    </row>
    <row r="4901">
      <c r="A4901" s="107">
        <v>1629057.0</v>
      </c>
      <c r="B4901" s="108" t="s">
        <v>243</v>
      </c>
      <c r="C4901" s="115" t="s">
        <v>1168</v>
      </c>
      <c r="D4901" s="100" t="str">
        <f t="shared" si="1"/>
        <v/>
      </c>
      <c r="E4901" s="100" t="str">
        <f t="shared" si="2"/>
        <v/>
      </c>
      <c r="F4901" s="100" t="str">
        <f t="shared" si="3"/>
        <v/>
      </c>
      <c r="G4901" s="151"/>
      <c r="H4901" s="156"/>
      <c r="I4901" s="157"/>
      <c r="J4901" s="161"/>
      <c r="L4901" s="94"/>
      <c r="M4901" s="159"/>
      <c r="N4901" s="94"/>
    </row>
    <row r="4902">
      <c r="A4902" s="107">
        <v>1629057.0</v>
      </c>
      <c r="B4902" s="108" t="s">
        <v>215</v>
      </c>
      <c r="C4902" s="115" t="s">
        <v>1168</v>
      </c>
      <c r="D4902" s="100" t="str">
        <f t="shared" si="1"/>
        <v/>
      </c>
      <c r="E4902" s="100" t="str">
        <f t="shared" si="2"/>
        <v/>
      </c>
      <c r="F4902" s="100" t="str">
        <f t="shared" si="3"/>
        <v/>
      </c>
      <c r="G4902" s="151"/>
      <c r="H4902" s="160"/>
      <c r="I4902" s="157"/>
      <c r="J4902" s="158"/>
      <c r="L4902" s="94"/>
      <c r="M4902" s="159"/>
      <c r="N4902" s="94"/>
    </row>
    <row r="4903">
      <c r="A4903" s="107">
        <v>1629057.0</v>
      </c>
      <c r="B4903" s="108" t="s">
        <v>244</v>
      </c>
      <c r="C4903" s="115" t="s">
        <v>1168</v>
      </c>
      <c r="D4903" s="100" t="str">
        <f t="shared" si="1"/>
        <v/>
      </c>
      <c r="E4903" s="100" t="str">
        <f t="shared" si="2"/>
        <v/>
      </c>
      <c r="F4903" s="100" t="str">
        <f t="shared" si="3"/>
        <v/>
      </c>
      <c r="G4903" s="151"/>
      <c r="H4903" s="156"/>
      <c r="I4903" s="157"/>
      <c r="J4903" s="161"/>
      <c r="L4903" s="94"/>
      <c r="M4903" s="159"/>
      <c r="N4903" s="94"/>
    </row>
    <row r="4904">
      <c r="A4904" s="107">
        <v>1629057.0</v>
      </c>
      <c r="B4904" s="108" t="s">
        <v>245</v>
      </c>
      <c r="C4904" s="115" t="s">
        <v>1168</v>
      </c>
      <c r="D4904" s="100" t="str">
        <f t="shared" si="1"/>
        <v/>
      </c>
      <c r="E4904" s="100" t="str">
        <f t="shared" si="2"/>
        <v/>
      </c>
      <c r="F4904" s="100" t="str">
        <f t="shared" si="3"/>
        <v/>
      </c>
      <c r="G4904" s="151"/>
      <c r="H4904" s="160"/>
      <c r="I4904" s="157"/>
      <c r="J4904" s="158"/>
      <c r="L4904" s="94"/>
      <c r="M4904" s="159"/>
      <c r="N4904" s="94"/>
    </row>
    <row r="4905">
      <c r="A4905" s="107">
        <v>1629057.0</v>
      </c>
      <c r="B4905" s="108" t="s">
        <v>246</v>
      </c>
      <c r="C4905" s="115" t="s">
        <v>1168</v>
      </c>
      <c r="D4905" s="100" t="str">
        <f t="shared" si="1"/>
        <v/>
      </c>
      <c r="E4905" s="100" t="str">
        <f t="shared" si="2"/>
        <v/>
      </c>
      <c r="F4905" s="100" t="str">
        <f t="shared" si="3"/>
        <v/>
      </c>
      <c r="G4905" s="151"/>
      <c r="H4905" s="156"/>
      <c r="I4905" s="157"/>
      <c r="J4905" s="161"/>
      <c r="L4905" s="94"/>
      <c r="M4905" s="159"/>
      <c r="N4905" s="94"/>
    </row>
    <row r="4906">
      <c r="A4906" s="149">
        <v>1629057.0</v>
      </c>
      <c r="B4906" s="115" t="s">
        <v>247</v>
      </c>
      <c r="C4906" s="115" t="s">
        <v>1168</v>
      </c>
      <c r="D4906" s="100" t="str">
        <f t="shared" si="1"/>
        <v/>
      </c>
      <c r="E4906" s="100" t="str">
        <f t="shared" si="2"/>
        <v/>
      </c>
      <c r="F4906" s="100" t="str">
        <f t="shared" si="3"/>
        <v/>
      </c>
      <c r="G4906" s="151"/>
      <c r="H4906" s="160"/>
      <c r="I4906" s="157"/>
      <c r="J4906" s="158"/>
      <c r="L4906" s="94"/>
      <c r="M4906" s="159"/>
      <c r="N4906" s="94"/>
    </row>
    <row r="4907">
      <c r="A4907" s="21">
        <v>1629058.0</v>
      </c>
      <c r="B4907" s="164" t="s">
        <v>192</v>
      </c>
      <c r="C4907" s="164" t="s">
        <v>1169</v>
      </c>
      <c r="D4907" s="100" t="str">
        <f t="shared" si="1"/>
        <v/>
      </c>
      <c r="E4907" s="100" t="str">
        <f t="shared" si="2"/>
        <v/>
      </c>
      <c r="F4907" s="100" t="str">
        <f t="shared" si="3"/>
        <v/>
      </c>
      <c r="G4907" s="151"/>
      <c r="H4907" s="156"/>
      <c r="I4907" s="157"/>
      <c r="J4907" s="161"/>
      <c r="L4907" s="94"/>
      <c r="M4907" s="159"/>
      <c r="N4907" s="94"/>
    </row>
    <row r="4908">
      <c r="A4908" s="107">
        <v>1629058.0</v>
      </c>
      <c r="B4908" s="108" t="s">
        <v>193</v>
      </c>
      <c r="C4908" s="108" t="s">
        <v>1169</v>
      </c>
      <c r="D4908" s="100" t="str">
        <f t="shared" si="1"/>
        <v/>
      </c>
      <c r="E4908" s="100" t="str">
        <f t="shared" si="2"/>
        <v/>
      </c>
      <c r="F4908" s="100" t="str">
        <f t="shared" si="3"/>
        <v/>
      </c>
      <c r="G4908" s="151"/>
      <c r="H4908" s="160"/>
      <c r="I4908" s="157"/>
      <c r="J4908" s="158"/>
      <c r="L4908" s="94"/>
      <c r="M4908" s="159"/>
      <c r="N4908" s="94"/>
    </row>
    <row r="4909">
      <c r="A4909" s="107">
        <v>1629059.0</v>
      </c>
      <c r="B4909" s="108" t="s">
        <v>192</v>
      </c>
      <c r="C4909" s="108" t="s">
        <v>1170</v>
      </c>
      <c r="D4909" s="100" t="str">
        <f t="shared" si="1"/>
        <v/>
      </c>
      <c r="E4909" s="100" t="str">
        <f t="shared" si="2"/>
        <v/>
      </c>
      <c r="F4909" s="100" t="str">
        <f t="shared" si="3"/>
        <v/>
      </c>
      <c r="G4909" s="151"/>
      <c r="H4909" s="156"/>
      <c r="I4909" s="157"/>
      <c r="J4909" s="161"/>
      <c r="L4909" s="94"/>
      <c r="M4909" s="159"/>
      <c r="N4909" s="94"/>
    </row>
    <row r="4910">
      <c r="A4910" s="107">
        <v>1629059.0</v>
      </c>
      <c r="B4910" s="108" t="s">
        <v>193</v>
      </c>
      <c r="C4910" s="108" t="s">
        <v>1170</v>
      </c>
      <c r="D4910" s="100" t="str">
        <f t="shared" si="1"/>
        <v/>
      </c>
      <c r="E4910" s="100" t="str">
        <f t="shared" si="2"/>
        <v/>
      </c>
      <c r="F4910" s="100" t="str">
        <f t="shared" si="3"/>
        <v/>
      </c>
      <c r="G4910" s="151"/>
      <c r="H4910" s="160"/>
      <c r="I4910" s="157"/>
      <c r="J4910" s="158"/>
      <c r="L4910" s="94"/>
      <c r="M4910" s="159"/>
      <c r="N4910" s="94"/>
    </row>
    <row r="4911">
      <c r="A4911" s="107">
        <v>1629060.0</v>
      </c>
      <c r="B4911" s="108" t="s">
        <v>193</v>
      </c>
      <c r="C4911" s="108" t="s">
        <v>1171</v>
      </c>
      <c r="D4911" s="100" t="str">
        <f t="shared" si="1"/>
        <v/>
      </c>
      <c r="E4911" s="100" t="str">
        <f t="shared" si="2"/>
        <v/>
      </c>
      <c r="F4911" s="100" t="str">
        <f t="shared" si="3"/>
        <v/>
      </c>
      <c r="G4911" s="151"/>
      <c r="H4911" s="156"/>
      <c r="I4911" s="157"/>
      <c r="J4911" s="161"/>
      <c r="L4911" s="94"/>
      <c r="M4911" s="159"/>
      <c r="N4911" s="94"/>
    </row>
    <row r="4912">
      <c r="A4912" s="107">
        <v>1629060.0</v>
      </c>
      <c r="B4912" s="108" t="s">
        <v>243</v>
      </c>
      <c r="C4912" s="108" t="s">
        <v>1171</v>
      </c>
      <c r="D4912" s="100" t="str">
        <f t="shared" si="1"/>
        <v/>
      </c>
      <c r="E4912" s="100" t="str">
        <f t="shared" si="2"/>
        <v/>
      </c>
      <c r="F4912" s="100" t="str">
        <f t="shared" si="3"/>
        <v/>
      </c>
      <c r="G4912" s="151"/>
      <c r="H4912" s="160"/>
      <c r="I4912" s="157"/>
      <c r="J4912" s="158"/>
      <c r="L4912" s="94"/>
      <c r="M4912" s="159"/>
      <c r="N4912" s="94"/>
    </row>
    <row r="4913">
      <c r="A4913" s="107">
        <v>1629060.0</v>
      </c>
      <c r="B4913" s="108" t="s">
        <v>215</v>
      </c>
      <c r="C4913" s="108" t="s">
        <v>1171</v>
      </c>
      <c r="D4913" s="100" t="str">
        <f t="shared" si="1"/>
        <v/>
      </c>
      <c r="E4913" s="100" t="str">
        <f t="shared" si="2"/>
        <v/>
      </c>
      <c r="F4913" s="100" t="str">
        <f t="shared" si="3"/>
        <v/>
      </c>
      <c r="G4913" s="151"/>
      <c r="H4913" s="156"/>
      <c r="I4913" s="157"/>
      <c r="J4913" s="161"/>
      <c r="L4913" s="94"/>
      <c r="M4913" s="159"/>
      <c r="N4913" s="94"/>
    </row>
    <row r="4914">
      <c r="A4914" s="107">
        <v>1629060.0</v>
      </c>
      <c r="B4914" s="108" t="s">
        <v>244</v>
      </c>
      <c r="C4914" s="108" t="s">
        <v>1171</v>
      </c>
      <c r="D4914" s="100" t="str">
        <f t="shared" si="1"/>
        <v/>
      </c>
      <c r="E4914" s="100" t="str">
        <f t="shared" si="2"/>
        <v/>
      </c>
      <c r="F4914" s="100" t="str">
        <f t="shared" si="3"/>
        <v/>
      </c>
      <c r="G4914" s="151"/>
      <c r="H4914" s="160"/>
      <c r="I4914" s="157"/>
      <c r="J4914" s="158"/>
      <c r="L4914" s="94"/>
      <c r="M4914" s="159"/>
      <c r="N4914" s="94"/>
    </row>
    <row r="4915">
      <c r="A4915" s="107">
        <v>1629060.0</v>
      </c>
      <c r="B4915" s="108" t="s">
        <v>245</v>
      </c>
      <c r="C4915" s="108" t="s">
        <v>1171</v>
      </c>
      <c r="D4915" s="100" t="str">
        <f t="shared" si="1"/>
        <v/>
      </c>
      <c r="E4915" s="100" t="str">
        <f t="shared" si="2"/>
        <v/>
      </c>
      <c r="F4915" s="100" t="str">
        <f t="shared" si="3"/>
        <v/>
      </c>
      <c r="G4915" s="151"/>
      <c r="H4915" s="156"/>
      <c r="I4915" s="157"/>
      <c r="J4915" s="161"/>
      <c r="L4915" s="94"/>
      <c r="M4915" s="159"/>
      <c r="N4915" s="94"/>
    </row>
    <row r="4916">
      <c r="A4916" s="107">
        <v>1629060.0</v>
      </c>
      <c r="B4916" s="108" t="s">
        <v>246</v>
      </c>
      <c r="C4916" s="108" t="s">
        <v>1171</v>
      </c>
      <c r="D4916" s="100" t="str">
        <f t="shared" si="1"/>
        <v/>
      </c>
      <c r="E4916" s="100" t="str">
        <f t="shared" si="2"/>
        <v/>
      </c>
      <c r="F4916" s="100" t="str">
        <f t="shared" si="3"/>
        <v/>
      </c>
      <c r="G4916" s="151"/>
      <c r="H4916" s="160"/>
      <c r="I4916" s="157"/>
      <c r="J4916" s="158"/>
      <c r="L4916" s="94"/>
      <c r="M4916" s="159"/>
      <c r="N4916" s="94"/>
    </row>
    <row r="4917">
      <c r="A4917" s="149">
        <v>1629060.0</v>
      </c>
      <c r="B4917" s="115" t="s">
        <v>247</v>
      </c>
      <c r="C4917" s="115" t="s">
        <v>1171</v>
      </c>
      <c r="D4917" s="100" t="str">
        <f t="shared" si="1"/>
        <v/>
      </c>
      <c r="E4917" s="100" t="str">
        <f t="shared" si="2"/>
        <v/>
      </c>
      <c r="F4917" s="100" t="str">
        <f t="shared" si="3"/>
        <v/>
      </c>
      <c r="G4917" s="151"/>
      <c r="H4917" s="156"/>
      <c r="I4917" s="157"/>
      <c r="J4917" s="161"/>
      <c r="L4917" s="94"/>
      <c r="M4917" s="159"/>
      <c r="N4917" s="94"/>
    </row>
    <row r="4918">
      <c r="A4918" s="21">
        <v>1629061.0</v>
      </c>
      <c r="B4918" s="164" t="s">
        <v>192</v>
      </c>
      <c r="C4918" s="164" t="s">
        <v>1172</v>
      </c>
      <c r="D4918" s="100" t="str">
        <f t="shared" si="1"/>
        <v/>
      </c>
      <c r="E4918" s="100" t="str">
        <f t="shared" si="2"/>
        <v/>
      </c>
      <c r="F4918" s="100" t="str">
        <f t="shared" si="3"/>
        <v/>
      </c>
      <c r="G4918" s="151"/>
      <c r="H4918" s="160"/>
      <c r="I4918" s="157"/>
      <c r="J4918" s="158"/>
      <c r="L4918" s="94"/>
      <c r="M4918" s="159"/>
      <c r="N4918" s="94"/>
    </row>
    <row r="4919">
      <c r="A4919" s="107">
        <v>1629065.0</v>
      </c>
      <c r="B4919" s="108" t="s">
        <v>193</v>
      </c>
      <c r="C4919" s="108" t="s">
        <v>1173</v>
      </c>
      <c r="D4919" s="100" t="str">
        <f t="shared" si="1"/>
        <v/>
      </c>
      <c r="E4919" s="100" t="str">
        <f t="shared" si="2"/>
        <v/>
      </c>
      <c r="F4919" s="100" t="str">
        <f t="shared" si="3"/>
        <v/>
      </c>
      <c r="G4919" s="151"/>
      <c r="H4919" s="156"/>
      <c r="I4919" s="157"/>
      <c r="J4919" s="161"/>
      <c r="L4919" s="94"/>
      <c r="M4919" s="159"/>
      <c r="N4919" s="94"/>
    </row>
    <row r="4920">
      <c r="A4920" s="107">
        <v>1629066.0</v>
      </c>
      <c r="B4920" s="108" t="s">
        <v>192</v>
      </c>
      <c r="C4920" s="108" t="s">
        <v>1174</v>
      </c>
      <c r="D4920" s="100" t="str">
        <f t="shared" si="1"/>
        <v/>
      </c>
      <c r="E4920" s="100" t="str">
        <f t="shared" si="2"/>
        <v/>
      </c>
      <c r="F4920" s="100" t="str">
        <f t="shared" si="3"/>
        <v/>
      </c>
      <c r="G4920" s="151"/>
      <c r="H4920" s="160"/>
      <c r="I4920" s="157"/>
      <c r="J4920" s="158"/>
      <c r="L4920" s="94"/>
      <c r="M4920" s="159"/>
      <c r="N4920" s="94"/>
    </row>
    <row r="4921">
      <c r="A4921" s="107">
        <v>1629066.0</v>
      </c>
      <c r="B4921" s="108" t="s">
        <v>193</v>
      </c>
      <c r="C4921" s="108" t="s">
        <v>1174</v>
      </c>
      <c r="D4921" s="100" t="str">
        <f t="shared" si="1"/>
        <v/>
      </c>
      <c r="E4921" s="100" t="str">
        <f t="shared" si="2"/>
        <v/>
      </c>
      <c r="F4921" s="100" t="str">
        <f t="shared" si="3"/>
        <v/>
      </c>
      <c r="G4921" s="151"/>
      <c r="H4921" s="156"/>
      <c r="I4921" s="157"/>
      <c r="J4921" s="161"/>
      <c r="L4921" s="94"/>
      <c r="M4921" s="159"/>
      <c r="N4921" s="94"/>
    </row>
    <row r="4922">
      <c r="A4922" s="107">
        <v>1629066.0</v>
      </c>
      <c r="B4922" s="108" t="s">
        <v>243</v>
      </c>
      <c r="C4922" s="108" t="s">
        <v>1174</v>
      </c>
      <c r="D4922" s="100" t="str">
        <f t="shared" si="1"/>
        <v/>
      </c>
      <c r="E4922" s="100" t="str">
        <f t="shared" si="2"/>
        <v/>
      </c>
      <c r="F4922" s="100" t="str">
        <f t="shared" si="3"/>
        <v/>
      </c>
      <c r="G4922" s="151"/>
      <c r="H4922" s="160"/>
      <c r="I4922" s="157"/>
      <c r="J4922" s="158"/>
      <c r="L4922" s="94"/>
      <c r="M4922" s="159"/>
      <c r="N4922" s="94"/>
    </row>
    <row r="4923">
      <c r="A4923" s="107">
        <v>1629067.0</v>
      </c>
      <c r="B4923" s="108" t="s">
        <v>192</v>
      </c>
      <c r="C4923" s="108" t="s">
        <v>1175</v>
      </c>
      <c r="D4923" s="100" t="str">
        <f t="shared" si="1"/>
        <v/>
      </c>
      <c r="E4923" s="100" t="str">
        <f t="shared" si="2"/>
        <v/>
      </c>
      <c r="F4923" s="100" t="str">
        <f t="shared" si="3"/>
        <v/>
      </c>
      <c r="G4923" s="151"/>
      <c r="H4923" s="156"/>
      <c r="I4923" s="157"/>
      <c r="J4923" s="161"/>
      <c r="L4923" s="94"/>
      <c r="M4923" s="159"/>
      <c r="N4923" s="94"/>
    </row>
    <row r="4924">
      <c r="A4924" s="107">
        <v>1629067.0</v>
      </c>
      <c r="B4924" s="108" t="s">
        <v>193</v>
      </c>
      <c r="C4924" s="108" t="s">
        <v>1175</v>
      </c>
      <c r="D4924" s="100" t="str">
        <f t="shared" si="1"/>
        <v/>
      </c>
      <c r="E4924" s="100" t="str">
        <f t="shared" si="2"/>
        <v/>
      </c>
      <c r="F4924" s="100" t="str">
        <f t="shared" si="3"/>
        <v/>
      </c>
      <c r="G4924" s="151"/>
      <c r="H4924" s="160"/>
      <c r="I4924" s="157"/>
      <c r="J4924" s="158"/>
      <c r="L4924" s="94"/>
      <c r="M4924" s="159"/>
      <c r="N4924" s="94"/>
    </row>
    <row r="4925">
      <c r="A4925" s="107">
        <v>1629067.0</v>
      </c>
      <c r="B4925" s="108" t="s">
        <v>243</v>
      </c>
      <c r="C4925" s="108" t="s">
        <v>1175</v>
      </c>
      <c r="D4925" s="100" t="str">
        <f t="shared" si="1"/>
        <v/>
      </c>
      <c r="E4925" s="100" t="str">
        <f t="shared" si="2"/>
        <v/>
      </c>
      <c r="F4925" s="100" t="str">
        <f t="shared" si="3"/>
        <v/>
      </c>
      <c r="G4925" s="151"/>
      <c r="H4925" s="156"/>
      <c r="I4925" s="157"/>
      <c r="J4925" s="161"/>
      <c r="L4925" s="94"/>
      <c r="M4925" s="159"/>
      <c r="N4925" s="94"/>
    </row>
    <row r="4926">
      <c r="A4926" s="107">
        <v>1629067.0</v>
      </c>
      <c r="B4926" s="108" t="s">
        <v>215</v>
      </c>
      <c r="C4926" s="108" t="s">
        <v>1175</v>
      </c>
      <c r="D4926" s="100" t="str">
        <f t="shared" si="1"/>
        <v/>
      </c>
      <c r="E4926" s="100" t="str">
        <f t="shared" si="2"/>
        <v/>
      </c>
      <c r="F4926" s="100" t="str">
        <f t="shared" si="3"/>
        <v/>
      </c>
      <c r="G4926" s="151"/>
      <c r="H4926" s="160"/>
      <c r="I4926" s="157"/>
      <c r="J4926" s="158"/>
      <c r="L4926" s="94"/>
      <c r="M4926" s="159"/>
      <c r="N4926" s="94"/>
    </row>
    <row r="4927">
      <c r="A4927" s="107">
        <v>1629076.0</v>
      </c>
      <c r="B4927" s="108" t="s">
        <v>193</v>
      </c>
      <c r="C4927" s="108" t="s">
        <v>1176</v>
      </c>
      <c r="D4927" s="100" t="str">
        <f t="shared" si="1"/>
        <v/>
      </c>
      <c r="E4927" s="100" t="str">
        <f t="shared" si="2"/>
        <v/>
      </c>
      <c r="F4927" s="100" t="str">
        <f t="shared" si="3"/>
        <v/>
      </c>
      <c r="G4927" s="151"/>
      <c r="H4927" s="156"/>
      <c r="I4927" s="157"/>
      <c r="J4927" s="161"/>
      <c r="L4927" s="94"/>
      <c r="M4927" s="159"/>
      <c r="N4927" s="94"/>
    </row>
    <row r="4928">
      <c r="A4928" s="107">
        <v>1629076.0</v>
      </c>
      <c r="B4928" s="108" t="s">
        <v>243</v>
      </c>
      <c r="C4928" s="108" t="s">
        <v>1176</v>
      </c>
      <c r="D4928" s="100" t="str">
        <f t="shared" si="1"/>
        <v/>
      </c>
      <c r="E4928" s="100" t="str">
        <f t="shared" si="2"/>
        <v/>
      </c>
      <c r="F4928" s="100" t="str">
        <f t="shared" si="3"/>
        <v/>
      </c>
      <c r="G4928" s="151"/>
      <c r="H4928" s="160"/>
      <c r="I4928" s="157"/>
      <c r="J4928" s="158"/>
      <c r="L4928" s="94"/>
      <c r="M4928" s="159"/>
      <c r="N4928" s="94"/>
    </row>
    <row r="4929">
      <c r="A4929" s="107">
        <v>1629076.0</v>
      </c>
      <c r="B4929" s="108" t="s">
        <v>215</v>
      </c>
      <c r="C4929" s="108" t="s">
        <v>1176</v>
      </c>
      <c r="D4929" s="100" t="str">
        <f t="shared" si="1"/>
        <v/>
      </c>
      <c r="E4929" s="100" t="str">
        <f t="shared" si="2"/>
        <v/>
      </c>
      <c r="F4929" s="100" t="str">
        <f t="shared" si="3"/>
        <v/>
      </c>
      <c r="G4929" s="151"/>
      <c r="H4929" s="156"/>
      <c r="I4929" s="157"/>
      <c r="J4929" s="161"/>
      <c r="L4929" s="94"/>
      <c r="M4929" s="159"/>
      <c r="N4929" s="94"/>
    </row>
    <row r="4930">
      <c r="A4930" s="107">
        <v>1629083.0</v>
      </c>
      <c r="B4930" s="108" t="s">
        <v>215</v>
      </c>
      <c r="C4930" s="108" t="s">
        <v>1177</v>
      </c>
      <c r="D4930" s="100" t="str">
        <f t="shared" si="1"/>
        <v/>
      </c>
      <c r="E4930" s="100" t="str">
        <f t="shared" si="2"/>
        <v/>
      </c>
      <c r="F4930" s="100" t="str">
        <f t="shared" si="3"/>
        <v/>
      </c>
      <c r="G4930" s="151"/>
      <c r="H4930" s="160"/>
      <c r="I4930" s="157"/>
      <c r="J4930" s="158"/>
      <c r="L4930" s="94"/>
      <c r="M4930" s="159"/>
      <c r="N4930" s="94"/>
    </row>
    <row r="4931">
      <c r="A4931" s="107">
        <v>1629091.0</v>
      </c>
      <c r="B4931" s="108" t="s">
        <v>243</v>
      </c>
      <c r="C4931" s="108" t="s">
        <v>1178</v>
      </c>
      <c r="D4931" s="100" t="str">
        <f t="shared" si="1"/>
        <v/>
      </c>
      <c r="E4931" s="100" t="str">
        <f t="shared" si="2"/>
        <v/>
      </c>
      <c r="F4931" s="100" t="str">
        <f t="shared" si="3"/>
        <v/>
      </c>
      <c r="G4931" s="151"/>
      <c r="H4931" s="156"/>
      <c r="I4931" s="157"/>
      <c r="J4931" s="161"/>
      <c r="L4931" s="94"/>
      <c r="M4931" s="159"/>
      <c r="N4931" s="94"/>
    </row>
    <row r="4932">
      <c r="A4932" s="107">
        <v>1629093.0</v>
      </c>
      <c r="B4932" s="108" t="s">
        <v>192</v>
      </c>
      <c r="C4932" s="108" t="s">
        <v>1179</v>
      </c>
      <c r="D4932" s="100" t="str">
        <f t="shared" si="1"/>
        <v/>
      </c>
      <c r="E4932" s="100" t="str">
        <f t="shared" si="2"/>
        <v/>
      </c>
      <c r="F4932" s="100" t="str">
        <f t="shared" si="3"/>
        <v/>
      </c>
      <c r="G4932" s="151"/>
      <c r="H4932" s="160"/>
      <c r="I4932" s="157"/>
      <c r="J4932" s="158"/>
      <c r="L4932" s="94"/>
      <c r="M4932" s="159"/>
      <c r="N4932" s="94"/>
    </row>
    <row r="4933">
      <c r="A4933" s="107">
        <v>1629094.0</v>
      </c>
      <c r="B4933" s="108" t="s">
        <v>192</v>
      </c>
      <c r="C4933" s="108" t="s">
        <v>1180</v>
      </c>
      <c r="D4933" s="100" t="str">
        <f t="shared" si="1"/>
        <v/>
      </c>
      <c r="E4933" s="100" t="str">
        <f t="shared" si="2"/>
        <v/>
      </c>
      <c r="F4933" s="100" t="str">
        <f t="shared" si="3"/>
        <v/>
      </c>
      <c r="G4933" s="151"/>
      <c r="H4933" s="156"/>
      <c r="I4933" s="157"/>
      <c r="J4933" s="161"/>
      <c r="L4933" s="94"/>
      <c r="M4933" s="159"/>
      <c r="N4933" s="94"/>
    </row>
    <row r="4934">
      <c r="A4934" s="107">
        <v>1629098.0</v>
      </c>
      <c r="B4934" s="108" t="s">
        <v>246</v>
      </c>
      <c r="C4934" s="108" t="s">
        <v>1181</v>
      </c>
      <c r="D4934" s="100" t="str">
        <f t="shared" si="1"/>
        <v/>
      </c>
      <c r="E4934" s="100" t="str">
        <f t="shared" si="2"/>
        <v/>
      </c>
      <c r="F4934" s="100" t="str">
        <f t="shared" si="3"/>
        <v/>
      </c>
      <c r="G4934" s="151"/>
      <c r="H4934" s="160"/>
      <c r="I4934" s="157"/>
      <c r="J4934" s="158"/>
      <c r="L4934" s="94"/>
      <c r="M4934" s="159"/>
      <c r="N4934" s="94"/>
    </row>
    <row r="4935">
      <c r="A4935" s="107">
        <v>1629102.0</v>
      </c>
      <c r="B4935" s="108" t="s">
        <v>192</v>
      </c>
      <c r="C4935" s="108" t="s">
        <v>1182</v>
      </c>
      <c r="D4935" s="100" t="str">
        <f t="shared" si="1"/>
        <v/>
      </c>
      <c r="E4935" s="100" t="str">
        <f t="shared" si="2"/>
        <v/>
      </c>
      <c r="F4935" s="100" t="str">
        <f t="shared" si="3"/>
        <v/>
      </c>
      <c r="G4935" s="151"/>
      <c r="H4935" s="156"/>
      <c r="I4935" s="157"/>
      <c r="J4935" s="161"/>
      <c r="L4935" s="94"/>
      <c r="M4935" s="159"/>
      <c r="N4935" s="94"/>
    </row>
    <row r="4936">
      <c r="A4936" s="107">
        <v>1629103.0</v>
      </c>
      <c r="B4936" s="108" t="s">
        <v>193</v>
      </c>
      <c r="C4936" s="108" t="s">
        <v>1183</v>
      </c>
      <c r="D4936" s="100" t="str">
        <f t="shared" si="1"/>
        <v/>
      </c>
      <c r="E4936" s="100" t="str">
        <f t="shared" si="2"/>
        <v/>
      </c>
      <c r="F4936" s="100" t="str">
        <f t="shared" si="3"/>
        <v/>
      </c>
      <c r="G4936" s="151"/>
      <c r="H4936" s="160"/>
      <c r="I4936" s="157"/>
      <c r="J4936" s="158"/>
      <c r="L4936" s="94"/>
      <c r="M4936" s="159"/>
      <c r="N4936" s="94"/>
    </row>
    <row r="4937">
      <c r="A4937" s="107">
        <v>1629103.0</v>
      </c>
      <c r="B4937" s="108" t="s">
        <v>243</v>
      </c>
      <c r="C4937" s="108" t="s">
        <v>1183</v>
      </c>
      <c r="D4937" s="100" t="str">
        <f t="shared" si="1"/>
        <v/>
      </c>
      <c r="E4937" s="100" t="str">
        <f t="shared" si="2"/>
        <v/>
      </c>
      <c r="F4937" s="100" t="str">
        <f t="shared" si="3"/>
        <v/>
      </c>
      <c r="G4937" s="151"/>
      <c r="H4937" s="156"/>
      <c r="I4937" s="157"/>
      <c r="J4937" s="161"/>
      <c r="L4937" s="94"/>
      <c r="M4937" s="159"/>
      <c r="N4937" s="94"/>
    </row>
    <row r="4938">
      <c r="A4938" s="107">
        <v>1629103.0</v>
      </c>
      <c r="B4938" s="108" t="s">
        <v>215</v>
      </c>
      <c r="C4938" s="108" t="s">
        <v>1183</v>
      </c>
      <c r="D4938" s="100" t="str">
        <f t="shared" si="1"/>
        <v/>
      </c>
      <c r="E4938" s="100" t="str">
        <f t="shared" si="2"/>
        <v/>
      </c>
      <c r="F4938" s="100" t="str">
        <f t="shared" si="3"/>
        <v/>
      </c>
      <c r="G4938" s="151"/>
      <c r="H4938" s="160"/>
      <c r="I4938" s="157"/>
      <c r="J4938" s="158"/>
      <c r="L4938" s="94"/>
      <c r="M4938" s="159"/>
      <c r="N4938" s="94"/>
    </row>
    <row r="4939">
      <c r="A4939" s="107">
        <v>1629109.0</v>
      </c>
      <c r="B4939" s="108" t="s">
        <v>192</v>
      </c>
      <c r="C4939" s="108" t="s">
        <v>1184</v>
      </c>
      <c r="D4939" s="100" t="str">
        <f t="shared" si="1"/>
        <v/>
      </c>
      <c r="E4939" s="100" t="str">
        <f t="shared" si="2"/>
        <v/>
      </c>
      <c r="F4939" s="100" t="str">
        <f t="shared" si="3"/>
        <v/>
      </c>
      <c r="G4939" s="151"/>
      <c r="H4939" s="156"/>
      <c r="I4939" s="157"/>
      <c r="J4939" s="161"/>
      <c r="L4939" s="94"/>
      <c r="M4939" s="159"/>
      <c r="N4939" s="94"/>
    </row>
    <row r="4940">
      <c r="A4940" s="107">
        <v>1629109.0</v>
      </c>
      <c r="B4940" s="108" t="s">
        <v>193</v>
      </c>
      <c r="C4940" s="108" t="s">
        <v>1184</v>
      </c>
      <c r="D4940" s="100" t="str">
        <f t="shared" si="1"/>
        <v/>
      </c>
      <c r="E4940" s="100" t="str">
        <f t="shared" si="2"/>
        <v/>
      </c>
      <c r="F4940" s="100" t="str">
        <f t="shared" si="3"/>
        <v/>
      </c>
      <c r="G4940" s="151"/>
      <c r="H4940" s="160"/>
      <c r="I4940" s="157"/>
      <c r="J4940" s="158"/>
      <c r="L4940" s="94"/>
      <c r="M4940" s="159"/>
      <c r="N4940" s="94"/>
    </row>
    <row r="4941">
      <c r="A4941" s="107">
        <v>1629109.0</v>
      </c>
      <c r="B4941" s="108" t="s">
        <v>243</v>
      </c>
      <c r="C4941" s="108" t="s">
        <v>1184</v>
      </c>
      <c r="D4941" s="100" t="str">
        <f t="shared" si="1"/>
        <v/>
      </c>
      <c r="E4941" s="100" t="str">
        <f t="shared" si="2"/>
        <v/>
      </c>
      <c r="F4941" s="100" t="str">
        <f t="shared" si="3"/>
        <v/>
      </c>
      <c r="G4941" s="151"/>
      <c r="H4941" s="156"/>
      <c r="I4941" s="157"/>
      <c r="J4941" s="161"/>
      <c r="L4941" s="94"/>
      <c r="M4941" s="159"/>
      <c r="N4941" s="94"/>
    </row>
    <row r="4942">
      <c r="A4942" s="107">
        <v>1629109.0</v>
      </c>
      <c r="B4942" s="108" t="s">
        <v>215</v>
      </c>
      <c r="C4942" s="108" t="s">
        <v>1184</v>
      </c>
      <c r="D4942" s="100" t="str">
        <f t="shared" si="1"/>
        <v/>
      </c>
      <c r="E4942" s="100" t="str">
        <f t="shared" si="2"/>
        <v/>
      </c>
      <c r="F4942" s="100" t="str">
        <f t="shared" si="3"/>
        <v/>
      </c>
      <c r="G4942" s="151"/>
      <c r="H4942" s="160"/>
      <c r="I4942" s="157"/>
      <c r="J4942" s="158"/>
      <c r="L4942" s="94"/>
      <c r="M4942" s="159"/>
      <c r="N4942" s="94"/>
    </row>
    <row r="4943">
      <c r="A4943" s="107">
        <v>1629111.0</v>
      </c>
      <c r="B4943" s="108" t="s">
        <v>215</v>
      </c>
      <c r="C4943" s="108" t="s">
        <v>1185</v>
      </c>
      <c r="D4943" s="100" t="str">
        <f t="shared" si="1"/>
        <v/>
      </c>
      <c r="E4943" s="100" t="str">
        <f t="shared" si="2"/>
        <v/>
      </c>
      <c r="F4943" s="100" t="str">
        <f t="shared" si="3"/>
        <v/>
      </c>
      <c r="G4943" s="151"/>
      <c r="H4943" s="156"/>
      <c r="I4943" s="157"/>
      <c r="J4943" s="161"/>
      <c r="L4943" s="94"/>
      <c r="M4943" s="159"/>
      <c r="N4943" s="94"/>
    </row>
    <row r="4944">
      <c r="A4944" s="107">
        <v>1629111.0</v>
      </c>
      <c r="B4944" s="108" t="s">
        <v>244</v>
      </c>
      <c r="C4944" s="108" t="s">
        <v>1185</v>
      </c>
      <c r="D4944" s="100" t="str">
        <f t="shared" si="1"/>
        <v/>
      </c>
      <c r="E4944" s="100" t="str">
        <f t="shared" si="2"/>
        <v/>
      </c>
      <c r="F4944" s="100" t="str">
        <f t="shared" si="3"/>
        <v/>
      </c>
      <c r="G4944" s="151"/>
      <c r="H4944" s="160"/>
      <c r="I4944" s="157"/>
      <c r="J4944" s="158"/>
      <c r="L4944" s="94"/>
      <c r="M4944" s="159"/>
      <c r="N4944" s="94"/>
    </row>
    <row r="4945">
      <c r="A4945" s="107">
        <v>1629111.0</v>
      </c>
      <c r="B4945" s="108" t="s">
        <v>245</v>
      </c>
      <c r="C4945" s="108" t="s">
        <v>1185</v>
      </c>
      <c r="D4945" s="100" t="str">
        <f t="shared" si="1"/>
        <v/>
      </c>
      <c r="E4945" s="100" t="str">
        <f t="shared" si="2"/>
        <v/>
      </c>
      <c r="F4945" s="100" t="str">
        <f t="shared" si="3"/>
        <v/>
      </c>
      <c r="G4945" s="151"/>
      <c r="H4945" s="156"/>
      <c r="I4945" s="157"/>
      <c r="J4945" s="161"/>
      <c r="L4945" s="94"/>
      <c r="M4945" s="159"/>
      <c r="N4945" s="94"/>
    </row>
    <row r="4946">
      <c r="A4946" s="107">
        <v>1629111.0</v>
      </c>
      <c r="B4946" s="108" t="s">
        <v>246</v>
      </c>
      <c r="C4946" s="108" t="s">
        <v>1185</v>
      </c>
      <c r="D4946" s="100" t="str">
        <f t="shared" si="1"/>
        <v/>
      </c>
      <c r="E4946" s="100" t="str">
        <f t="shared" si="2"/>
        <v/>
      </c>
      <c r="F4946" s="100" t="str">
        <f t="shared" si="3"/>
        <v/>
      </c>
      <c r="G4946" s="151"/>
      <c r="H4946" s="160"/>
      <c r="I4946" s="157"/>
      <c r="J4946" s="158"/>
      <c r="L4946" s="94"/>
      <c r="M4946" s="159"/>
      <c r="N4946" s="94"/>
    </row>
    <row r="4947">
      <c r="A4947" s="149">
        <v>1629111.0</v>
      </c>
      <c r="B4947" s="115" t="s">
        <v>247</v>
      </c>
      <c r="C4947" s="115" t="s">
        <v>1185</v>
      </c>
      <c r="D4947" s="100" t="str">
        <f t="shared" si="1"/>
        <v/>
      </c>
      <c r="E4947" s="100" t="str">
        <f t="shared" si="2"/>
        <v/>
      </c>
      <c r="F4947" s="100" t="str">
        <f t="shared" si="3"/>
        <v/>
      </c>
      <c r="G4947" s="151"/>
      <c r="H4947" s="156"/>
      <c r="I4947" s="157"/>
      <c r="J4947" s="161"/>
      <c r="L4947" s="94"/>
      <c r="M4947" s="159"/>
      <c r="N4947" s="94"/>
    </row>
    <row r="4948">
      <c r="A4948" s="21">
        <v>1629116.0</v>
      </c>
      <c r="B4948" s="164" t="s">
        <v>192</v>
      </c>
      <c r="C4948" s="164" t="s">
        <v>1186</v>
      </c>
      <c r="D4948" s="100" t="str">
        <f t="shared" si="1"/>
        <v/>
      </c>
      <c r="E4948" s="100" t="str">
        <f t="shared" si="2"/>
        <v/>
      </c>
      <c r="F4948" s="100" t="str">
        <f t="shared" si="3"/>
        <v/>
      </c>
      <c r="G4948" s="151"/>
      <c r="H4948" s="160"/>
      <c r="I4948" s="157"/>
      <c r="J4948" s="158"/>
      <c r="L4948" s="94"/>
      <c r="M4948" s="159"/>
      <c r="N4948" s="94"/>
    </row>
    <row r="4949">
      <c r="A4949" s="107">
        <v>1629117.0</v>
      </c>
      <c r="B4949" s="108" t="s">
        <v>193</v>
      </c>
      <c r="C4949" s="108" t="s">
        <v>1187</v>
      </c>
      <c r="D4949" s="100" t="str">
        <f t="shared" si="1"/>
        <v/>
      </c>
      <c r="E4949" s="100" t="str">
        <f t="shared" si="2"/>
        <v/>
      </c>
      <c r="F4949" s="100" t="str">
        <f t="shared" si="3"/>
        <v/>
      </c>
      <c r="G4949" s="151"/>
      <c r="H4949" s="156"/>
      <c r="I4949" s="157"/>
      <c r="J4949" s="161"/>
      <c r="L4949" s="94"/>
      <c r="M4949" s="159"/>
      <c r="N4949" s="94"/>
    </row>
    <row r="4950">
      <c r="A4950" s="107">
        <v>1629117.0</v>
      </c>
      <c r="B4950" s="108" t="s">
        <v>243</v>
      </c>
      <c r="C4950" s="108" t="s">
        <v>1187</v>
      </c>
      <c r="D4950" s="100" t="str">
        <f t="shared" si="1"/>
        <v/>
      </c>
      <c r="E4950" s="100" t="str">
        <f t="shared" si="2"/>
        <v/>
      </c>
      <c r="F4950" s="100" t="str">
        <f t="shared" si="3"/>
        <v/>
      </c>
      <c r="G4950" s="151"/>
      <c r="H4950" s="160"/>
      <c r="I4950" s="157"/>
      <c r="J4950" s="158"/>
      <c r="L4950" s="94"/>
      <c r="M4950" s="159"/>
      <c r="N4950" s="94"/>
    </row>
    <row r="4951">
      <c r="A4951" s="107">
        <v>1629117.0</v>
      </c>
      <c r="B4951" s="108" t="s">
        <v>215</v>
      </c>
      <c r="C4951" s="108" t="s">
        <v>1187</v>
      </c>
      <c r="D4951" s="100" t="str">
        <f t="shared" si="1"/>
        <v/>
      </c>
      <c r="E4951" s="100" t="str">
        <f t="shared" si="2"/>
        <v/>
      </c>
      <c r="F4951" s="100" t="str">
        <f t="shared" si="3"/>
        <v/>
      </c>
      <c r="G4951" s="151"/>
      <c r="H4951" s="156"/>
      <c r="I4951" s="157"/>
      <c r="J4951" s="161"/>
      <c r="L4951" s="94"/>
      <c r="M4951" s="159"/>
      <c r="N4951" s="94"/>
    </row>
    <row r="4952">
      <c r="A4952" s="107">
        <v>1629117.0</v>
      </c>
      <c r="B4952" s="108" t="s">
        <v>244</v>
      </c>
      <c r="C4952" s="108" t="s">
        <v>1187</v>
      </c>
      <c r="D4952" s="100" t="str">
        <f t="shared" si="1"/>
        <v/>
      </c>
      <c r="E4952" s="100" t="str">
        <f t="shared" si="2"/>
        <v/>
      </c>
      <c r="F4952" s="100" t="str">
        <f t="shared" si="3"/>
        <v/>
      </c>
      <c r="G4952" s="151"/>
      <c r="H4952" s="160"/>
      <c r="I4952" s="157"/>
      <c r="J4952" s="158"/>
      <c r="L4952" s="94"/>
      <c r="M4952" s="159"/>
      <c r="N4952" s="94"/>
    </row>
    <row r="4953">
      <c r="A4953" s="107">
        <v>1629118.0</v>
      </c>
      <c r="B4953" s="108" t="s">
        <v>192</v>
      </c>
      <c r="C4953" s="108" t="s">
        <v>1188</v>
      </c>
      <c r="D4953" s="100" t="str">
        <f t="shared" si="1"/>
        <v/>
      </c>
      <c r="E4953" s="100" t="str">
        <f t="shared" si="2"/>
        <v/>
      </c>
      <c r="F4953" s="100" t="str">
        <f t="shared" si="3"/>
        <v/>
      </c>
      <c r="G4953" s="151"/>
      <c r="H4953" s="156"/>
      <c r="I4953" s="157"/>
      <c r="J4953" s="161"/>
      <c r="L4953" s="94"/>
      <c r="M4953" s="159"/>
      <c r="N4953" s="94"/>
    </row>
    <row r="4954">
      <c r="A4954" s="107">
        <v>1629121.0</v>
      </c>
      <c r="B4954" s="108" t="s">
        <v>192</v>
      </c>
      <c r="C4954" s="108" t="s">
        <v>1189</v>
      </c>
      <c r="D4954" s="100" t="str">
        <f t="shared" si="1"/>
        <v/>
      </c>
      <c r="E4954" s="100" t="str">
        <f t="shared" si="2"/>
        <v/>
      </c>
      <c r="F4954" s="100" t="str">
        <f t="shared" si="3"/>
        <v/>
      </c>
      <c r="G4954" s="151"/>
      <c r="H4954" s="160"/>
      <c r="I4954" s="157"/>
      <c r="J4954" s="158"/>
      <c r="L4954" s="94"/>
      <c r="M4954" s="159"/>
      <c r="N4954" s="94"/>
    </row>
    <row r="4955">
      <c r="A4955" s="107">
        <v>1629121.0</v>
      </c>
      <c r="B4955" s="108" t="s">
        <v>243</v>
      </c>
      <c r="C4955" s="108" t="s">
        <v>1189</v>
      </c>
      <c r="D4955" s="100" t="str">
        <f t="shared" si="1"/>
        <v/>
      </c>
      <c r="E4955" s="100" t="str">
        <f t="shared" si="2"/>
        <v/>
      </c>
      <c r="F4955" s="100" t="str">
        <f t="shared" si="3"/>
        <v/>
      </c>
      <c r="G4955" s="151"/>
      <c r="H4955" s="156"/>
      <c r="I4955" s="157"/>
      <c r="J4955" s="161"/>
      <c r="L4955" s="94"/>
      <c r="M4955" s="159"/>
      <c r="N4955" s="94"/>
    </row>
    <row r="4956">
      <c r="A4956" s="107">
        <v>1629122.0</v>
      </c>
      <c r="B4956" s="108" t="s">
        <v>192</v>
      </c>
      <c r="C4956" s="108" t="s">
        <v>1190</v>
      </c>
      <c r="D4956" s="100" t="str">
        <f t="shared" si="1"/>
        <v/>
      </c>
      <c r="E4956" s="100" t="str">
        <f t="shared" si="2"/>
        <v/>
      </c>
      <c r="F4956" s="100" t="str">
        <f t="shared" si="3"/>
        <v/>
      </c>
      <c r="G4956" s="151"/>
      <c r="H4956" s="160"/>
      <c r="I4956" s="157"/>
      <c r="J4956" s="158"/>
      <c r="L4956" s="94"/>
      <c r="M4956" s="159"/>
      <c r="N4956" s="94"/>
    </row>
    <row r="4957">
      <c r="A4957" s="107">
        <v>1629122.0</v>
      </c>
      <c r="B4957" s="108" t="s">
        <v>193</v>
      </c>
      <c r="C4957" s="108" t="s">
        <v>1190</v>
      </c>
      <c r="D4957" s="100" t="str">
        <f t="shared" si="1"/>
        <v/>
      </c>
      <c r="E4957" s="100" t="str">
        <f t="shared" si="2"/>
        <v/>
      </c>
      <c r="F4957" s="100" t="str">
        <f t="shared" si="3"/>
        <v/>
      </c>
      <c r="G4957" s="151"/>
      <c r="H4957" s="156"/>
      <c r="I4957" s="157"/>
      <c r="J4957" s="161"/>
      <c r="L4957" s="94"/>
      <c r="M4957" s="159"/>
      <c r="N4957" s="94"/>
    </row>
    <row r="4958">
      <c r="A4958" s="107">
        <v>1629123.0</v>
      </c>
      <c r="B4958" s="108" t="s">
        <v>192</v>
      </c>
      <c r="C4958" s="108" t="s">
        <v>1191</v>
      </c>
      <c r="D4958" s="100" t="str">
        <f t="shared" si="1"/>
        <v/>
      </c>
      <c r="E4958" s="100" t="str">
        <f t="shared" si="2"/>
        <v/>
      </c>
      <c r="F4958" s="100" t="str">
        <f t="shared" si="3"/>
        <v/>
      </c>
      <c r="G4958" s="151"/>
      <c r="H4958" s="160"/>
      <c r="I4958" s="157"/>
      <c r="J4958" s="158"/>
      <c r="L4958" s="94"/>
      <c r="M4958" s="159"/>
      <c r="N4958" s="94"/>
    </row>
    <row r="4959">
      <c r="A4959" s="107">
        <v>1629126.0</v>
      </c>
      <c r="B4959" s="108" t="s">
        <v>192</v>
      </c>
      <c r="C4959" s="108" t="s">
        <v>1192</v>
      </c>
      <c r="D4959" s="100" t="str">
        <f t="shared" si="1"/>
        <v/>
      </c>
      <c r="E4959" s="100" t="str">
        <f t="shared" si="2"/>
        <v/>
      </c>
      <c r="F4959" s="100" t="str">
        <f t="shared" si="3"/>
        <v/>
      </c>
      <c r="G4959" s="151"/>
      <c r="H4959" s="156"/>
      <c r="I4959" s="157"/>
      <c r="J4959" s="161"/>
      <c r="L4959" s="94"/>
      <c r="M4959" s="159"/>
      <c r="N4959" s="94"/>
    </row>
    <row r="4960">
      <c r="A4960" s="107">
        <v>1629126.0</v>
      </c>
      <c r="B4960" s="108" t="s">
        <v>193</v>
      </c>
      <c r="C4960" s="108" t="s">
        <v>1192</v>
      </c>
      <c r="D4960" s="100" t="str">
        <f t="shared" si="1"/>
        <v/>
      </c>
      <c r="E4960" s="100" t="str">
        <f t="shared" si="2"/>
        <v/>
      </c>
      <c r="F4960" s="100" t="str">
        <f t="shared" si="3"/>
        <v/>
      </c>
      <c r="G4960" s="151"/>
      <c r="H4960" s="160"/>
      <c r="I4960" s="157"/>
      <c r="J4960" s="158"/>
      <c r="L4960" s="94"/>
      <c r="M4960" s="159"/>
      <c r="N4960" s="94"/>
    </row>
    <row r="4961">
      <c r="A4961" s="107">
        <v>1629126.0</v>
      </c>
      <c r="B4961" s="108" t="s">
        <v>244</v>
      </c>
      <c r="C4961" s="108" t="s">
        <v>1192</v>
      </c>
      <c r="D4961" s="100" t="str">
        <f t="shared" si="1"/>
        <v/>
      </c>
      <c r="E4961" s="100" t="str">
        <f t="shared" si="2"/>
        <v/>
      </c>
      <c r="F4961" s="100" t="str">
        <f t="shared" si="3"/>
        <v/>
      </c>
      <c r="G4961" s="151"/>
      <c r="H4961" s="156"/>
      <c r="I4961" s="157"/>
      <c r="J4961" s="161"/>
      <c r="L4961" s="94"/>
      <c r="M4961" s="159"/>
      <c r="N4961" s="94"/>
    </row>
    <row r="4962">
      <c r="A4962" s="107">
        <v>1629130.0</v>
      </c>
      <c r="B4962" s="108" t="s">
        <v>192</v>
      </c>
      <c r="C4962" s="108" t="s">
        <v>1193</v>
      </c>
      <c r="D4962" s="100" t="str">
        <f t="shared" si="1"/>
        <v/>
      </c>
      <c r="E4962" s="100" t="str">
        <f t="shared" si="2"/>
        <v/>
      </c>
      <c r="F4962" s="100" t="str">
        <f t="shared" si="3"/>
        <v/>
      </c>
      <c r="G4962" s="151"/>
      <c r="H4962" s="160"/>
      <c r="I4962" s="157"/>
      <c r="J4962" s="158"/>
      <c r="L4962" s="94"/>
      <c r="M4962" s="159"/>
      <c r="N4962" s="94"/>
    </row>
    <row r="4963">
      <c r="A4963" s="107">
        <v>1629130.0</v>
      </c>
      <c r="B4963" s="108" t="s">
        <v>193</v>
      </c>
      <c r="C4963" s="108" t="s">
        <v>1193</v>
      </c>
      <c r="D4963" s="100" t="str">
        <f t="shared" si="1"/>
        <v/>
      </c>
      <c r="E4963" s="100" t="str">
        <f t="shared" si="2"/>
        <v/>
      </c>
      <c r="F4963" s="100" t="str">
        <f t="shared" si="3"/>
        <v/>
      </c>
      <c r="G4963" s="151"/>
      <c r="H4963" s="156"/>
      <c r="I4963" s="157"/>
      <c r="J4963" s="161"/>
      <c r="L4963" s="94"/>
      <c r="M4963" s="159"/>
      <c r="N4963" s="94"/>
    </row>
    <row r="4964">
      <c r="A4964" s="107">
        <v>1629130.0</v>
      </c>
      <c r="B4964" s="108" t="s">
        <v>243</v>
      </c>
      <c r="C4964" s="108" t="s">
        <v>1193</v>
      </c>
      <c r="D4964" s="100" t="str">
        <f t="shared" si="1"/>
        <v/>
      </c>
      <c r="E4964" s="100" t="str">
        <f t="shared" si="2"/>
        <v/>
      </c>
      <c r="F4964" s="100" t="str">
        <f t="shared" si="3"/>
        <v/>
      </c>
      <c r="G4964" s="151"/>
      <c r="H4964" s="160"/>
      <c r="I4964" s="157"/>
      <c r="J4964" s="158"/>
      <c r="L4964" s="94"/>
      <c r="M4964" s="159"/>
      <c r="N4964" s="94"/>
    </row>
    <row r="4965">
      <c r="A4965" s="107">
        <v>1629130.0</v>
      </c>
      <c r="B4965" s="108" t="s">
        <v>215</v>
      </c>
      <c r="C4965" s="108" t="s">
        <v>1193</v>
      </c>
      <c r="D4965" s="100" t="str">
        <f t="shared" si="1"/>
        <v/>
      </c>
      <c r="E4965" s="100" t="str">
        <f t="shared" si="2"/>
        <v/>
      </c>
      <c r="F4965" s="100" t="str">
        <f t="shared" si="3"/>
        <v/>
      </c>
      <c r="G4965" s="151"/>
      <c r="H4965" s="156"/>
      <c r="I4965" s="157"/>
      <c r="J4965" s="161"/>
      <c r="L4965" s="94"/>
      <c r="M4965" s="159"/>
      <c r="N4965" s="94"/>
    </row>
    <row r="4966">
      <c r="A4966" s="107">
        <v>1629130.0</v>
      </c>
      <c r="B4966" s="108" t="s">
        <v>244</v>
      </c>
      <c r="C4966" s="108" t="s">
        <v>1193</v>
      </c>
      <c r="D4966" s="100" t="str">
        <f t="shared" si="1"/>
        <v/>
      </c>
      <c r="E4966" s="100" t="str">
        <f t="shared" si="2"/>
        <v/>
      </c>
      <c r="F4966" s="100" t="str">
        <f t="shared" si="3"/>
        <v/>
      </c>
      <c r="G4966" s="151"/>
      <c r="H4966" s="160"/>
      <c r="I4966" s="157"/>
      <c r="J4966" s="158"/>
      <c r="L4966" s="94"/>
      <c r="M4966" s="159"/>
      <c r="N4966" s="94"/>
    </row>
    <row r="4967">
      <c r="A4967" s="107">
        <v>1629130.0</v>
      </c>
      <c r="B4967" s="108" t="s">
        <v>245</v>
      </c>
      <c r="C4967" s="108" t="s">
        <v>1193</v>
      </c>
      <c r="D4967" s="100" t="str">
        <f t="shared" si="1"/>
        <v/>
      </c>
      <c r="E4967" s="100" t="str">
        <f t="shared" si="2"/>
        <v/>
      </c>
      <c r="F4967" s="100" t="str">
        <f t="shared" si="3"/>
        <v/>
      </c>
      <c r="G4967" s="151"/>
      <c r="H4967" s="156"/>
      <c r="I4967" s="157"/>
      <c r="J4967" s="161"/>
      <c r="L4967" s="94"/>
      <c r="M4967" s="159"/>
      <c r="N4967" s="94"/>
    </row>
    <row r="4968">
      <c r="A4968" s="107">
        <v>1629130.0</v>
      </c>
      <c r="B4968" s="108" t="s">
        <v>246</v>
      </c>
      <c r="C4968" s="108" t="s">
        <v>1193</v>
      </c>
      <c r="D4968" s="100" t="str">
        <f t="shared" si="1"/>
        <v/>
      </c>
      <c r="E4968" s="100" t="str">
        <f t="shared" si="2"/>
        <v/>
      </c>
      <c r="F4968" s="100" t="str">
        <f t="shared" si="3"/>
        <v/>
      </c>
      <c r="G4968" s="151"/>
      <c r="H4968" s="160"/>
      <c r="I4968" s="157"/>
      <c r="J4968" s="158"/>
      <c r="L4968" s="94"/>
      <c r="M4968" s="159"/>
      <c r="N4968" s="94"/>
    </row>
    <row r="4969">
      <c r="A4969" s="149">
        <v>1629130.0</v>
      </c>
      <c r="B4969" s="115" t="s">
        <v>247</v>
      </c>
      <c r="C4969" s="115" t="s">
        <v>1193</v>
      </c>
      <c r="D4969" s="100" t="str">
        <f t="shared" si="1"/>
        <v/>
      </c>
      <c r="E4969" s="100" t="str">
        <f t="shared" si="2"/>
        <v/>
      </c>
      <c r="F4969" s="100" t="str">
        <f t="shared" si="3"/>
        <v/>
      </c>
      <c r="G4969" s="151"/>
      <c r="H4969" s="156"/>
      <c r="I4969" s="157"/>
      <c r="J4969" s="161"/>
      <c r="L4969" s="94"/>
      <c r="M4969" s="159"/>
      <c r="N4969" s="94"/>
    </row>
    <row r="4970">
      <c r="A4970" s="21">
        <v>1629133.0</v>
      </c>
      <c r="B4970" s="164" t="s">
        <v>192</v>
      </c>
      <c r="C4970" s="164" t="s">
        <v>1194</v>
      </c>
      <c r="D4970" s="100" t="str">
        <f t="shared" si="1"/>
        <v/>
      </c>
      <c r="E4970" s="100" t="str">
        <f t="shared" si="2"/>
        <v/>
      </c>
      <c r="F4970" s="100" t="str">
        <f t="shared" si="3"/>
        <v/>
      </c>
      <c r="G4970" s="151"/>
      <c r="H4970" s="160"/>
      <c r="I4970" s="157"/>
      <c r="J4970" s="158"/>
      <c r="L4970" s="94"/>
      <c r="M4970" s="159"/>
      <c r="N4970" s="94"/>
    </row>
    <row r="4971">
      <c r="A4971" s="107">
        <v>1629133.0</v>
      </c>
      <c r="B4971" s="108" t="s">
        <v>193</v>
      </c>
      <c r="C4971" s="108" t="s">
        <v>1194</v>
      </c>
      <c r="D4971" s="100" t="str">
        <f t="shared" si="1"/>
        <v/>
      </c>
      <c r="E4971" s="100" t="str">
        <f t="shared" si="2"/>
        <v/>
      </c>
      <c r="F4971" s="100" t="str">
        <f t="shared" si="3"/>
        <v/>
      </c>
      <c r="G4971" s="151"/>
      <c r="H4971" s="156"/>
      <c r="I4971" s="157"/>
      <c r="J4971" s="161"/>
      <c r="L4971" s="94"/>
      <c r="M4971" s="159"/>
      <c r="N4971" s="94"/>
    </row>
    <row r="4972">
      <c r="A4972" s="107">
        <v>1629134.0</v>
      </c>
      <c r="B4972" s="108" t="s">
        <v>193</v>
      </c>
      <c r="C4972" s="108" t="s">
        <v>1195</v>
      </c>
      <c r="D4972" s="100" t="str">
        <f t="shared" si="1"/>
        <v/>
      </c>
      <c r="E4972" s="100" t="str">
        <f t="shared" si="2"/>
        <v/>
      </c>
      <c r="F4972" s="100" t="str">
        <f t="shared" si="3"/>
        <v/>
      </c>
      <c r="G4972" s="151"/>
      <c r="H4972" s="160"/>
      <c r="I4972" s="157"/>
      <c r="J4972" s="158"/>
      <c r="L4972" s="94"/>
      <c r="M4972" s="159"/>
      <c r="N4972" s="94"/>
    </row>
    <row r="4973">
      <c r="A4973" s="107">
        <v>1629134.0</v>
      </c>
      <c r="B4973" s="108" t="s">
        <v>243</v>
      </c>
      <c r="C4973" s="108" t="s">
        <v>1195</v>
      </c>
      <c r="D4973" s="100" t="str">
        <f t="shared" si="1"/>
        <v/>
      </c>
      <c r="E4973" s="100" t="str">
        <f t="shared" si="2"/>
        <v/>
      </c>
      <c r="F4973" s="100" t="str">
        <f t="shared" si="3"/>
        <v/>
      </c>
      <c r="G4973" s="151"/>
      <c r="H4973" s="156"/>
      <c r="I4973" s="157"/>
      <c r="J4973" s="161"/>
      <c r="L4973" s="94"/>
      <c r="M4973" s="159"/>
      <c r="N4973" s="94"/>
    </row>
    <row r="4974">
      <c r="A4974" s="107">
        <v>1629134.0</v>
      </c>
      <c r="B4974" s="108" t="s">
        <v>244</v>
      </c>
      <c r="C4974" s="108" t="s">
        <v>1195</v>
      </c>
      <c r="D4974" s="100" t="str">
        <f t="shared" si="1"/>
        <v/>
      </c>
      <c r="E4974" s="100" t="str">
        <f t="shared" si="2"/>
        <v/>
      </c>
      <c r="F4974" s="100" t="str">
        <f t="shared" si="3"/>
        <v/>
      </c>
      <c r="G4974" s="151"/>
      <c r="H4974" s="160"/>
      <c r="I4974" s="157"/>
      <c r="J4974" s="158"/>
      <c r="L4974" s="94"/>
      <c r="M4974" s="159"/>
      <c r="N4974" s="94"/>
    </row>
    <row r="4975">
      <c r="A4975" s="107">
        <v>1629139.0</v>
      </c>
      <c r="B4975" s="108" t="s">
        <v>192</v>
      </c>
      <c r="C4975" s="108" t="s">
        <v>1196</v>
      </c>
      <c r="D4975" s="100" t="str">
        <f t="shared" si="1"/>
        <v/>
      </c>
      <c r="E4975" s="100" t="str">
        <f t="shared" si="2"/>
        <v/>
      </c>
      <c r="F4975" s="100" t="str">
        <f t="shared" si="3"/>
        <v/>
      </c>
      <c r="G4975" s="151"/>
      <c r="H4975" s="156"/>
      <c r="I4975" s="157"/>
      <c r="J4975" s="161"/>
      <c r="L4975" s="94"/>
      <c r="M4975" s="159"/>
      <c r="N4975" s="94"/>
    </row>
    <row r="4976">
      <c r="A4976" s="107">
        <v>1629139.0</v>
      </c>
      <c r="B4976" s="108" t="s">
        <v>193</v>
      </c>
      <c r="C4976" s="108" t="s">
        <v>1196</v>
      </c>
      <c r="D4976" s="100" t="str">
        <f t="shared" si="1"/>
        <v/>
      </c>
      <c r="E4976" s="100" t="str">
        <f t="shared" si="2"/>
        <v/>
      </c>
      <c r="F4976" s="100" t="str">
        <f t="shared" si="3"/>
        <v/>
      </c>
      <c r="G4976" s="151"/>
      <c r="H4976" s="160"/>
      <c r="I4976" s="157"/>
      <c r="J4976" s="158"/>
      <c r="L4976" s="94"/>
      <c r="M4976" s="159"/>
      <c r="N4976" s="94"/>
    </row>
    <row r="4977">
      <c r="A4977" s="107">
        <v>1629139.0</v>
      </c>
      <c r="B4977" s="108" t="s">
        <v>243</v>
      </c>
      <c r="C4977" s="108" t="s">
        <v>1196</v>
      </c>
      <c r="D4977" s="100" t="str">
        <f t="shared" si="1"/>
        <v/>
      </c>
      <c r="E4977" s="100" t="str">
        <f t="shared" si="2"/>
        <v/>
      </c>
      <c r="F4977" s="100" t="str">
        <f t="shared" si="3"/>
        <v/>
      </c>
      <c r="G4977" s="151"/>
      <c r="H4977" s="156"/>
      <c r="I4977" s="157"/>
      <c r="J4977" s="161"/>
      <c r="L4977" s="94"/>
      <c r="M4977" s="159"/>
      <c r="N4977" s="94"/>
    </row>
    <row r="4978">
      <c r="A4978" s="107">
        <v>1629139.0</v>
      </c>
      <c r="B4978" s="108" t="s">
        <v>215</v>
      </c>
      <c r="C4978" s="108" t="s">
        <v>1196</v>
      </c>
      <c r="D4978" s="100" t="str">
        <f t="shared" si="1"/>
        <v/>
      </c>
      <c r="E4978" s="100" t="str">
        <f t="shared" si="2"/>
        <v/>
      </c>
      <c r="F4978" s="100" t="str">
        <f t="shared" si="3"/>
        <v/>
      </c>
      <c r="G4978" s="151"/>
      <c r="H4978" s="160"/>
      <c r="I4978" s="157"/>
      <c r="J4978" s="158"/>
      <c r="L4978" s="94"/>
      <c r="M4978" s="159"/>
      <c r="N4978" s="94"/>
    </row>
    <row r="4979">
      <c r="A4979" s="107">
        <v>1629139.0</v>
      </c>
      <c r="B4979" s="108" t="s">
        <v>244</v>
      </c>
      <c r="C4979" s="108" t="s">
        <v>1196</v>
      </c>
      <c r="D4979" s="100" t="str">
        <f t="shared" si="1"/>
        <v/>
      </c>
      <c r="E4979" s="100" t="str">
        <f t="shared" si="2"/>
        <v/>
      </c>
      <c r="F4979" s="100" t="str">
        <f t="shared" si="3"/>
        <v/>
      </c>
      <c r="G4979" s="151"/>
      <c r="H4979" s="156"/>
      <c r="I4979" s="157"/>
      <c r="J4979" s="161"/>
      <c r="L4979" s="94"/>
      <c r="M4979" s="159"/>
      <c r="N4979" s="94"/>
    </row>
    <row r="4980">
      <c r="A4980" s="107">
        <v>1629139.0</v>
      </c>
      <c r="B4980" s="108" t="s">
        <v>245</v>
      </c>
      <c r="C4980" s="108" t="s">
        <v>1196</v>
      </c>
      <c r="D4980" s="100" t="str">
        <f t="shared" si="1"/>
        <v/>
      </c>
      <c r="E4980" s="100" t="str">
        <f t="shared" si="2"/>
        <v/>
      </c>
      <c r="F4980" s="100" t="str">
        <f t="shared" si="3"/>
        <v/>
      </c>
      <c r="G4980" s="151"/>
      <c r="H4980" s="160"/>
      <c r="I4980" s="157"/>
      <c r="J4980" s="158"/>
      <c r="L4980" s="94"/>
      <c r="M4980" s="159"/>
      <c r="N4980" s="94"/>
    </row>
    <row r="4981">
      <c r="A4981" s="107">
        <v>1629140.0</v>
      </c>
      <c r="B4981" s="108" t="s">
        <v>192</v>
      </c>
      <c r="C4981" s="108" t="s">
        <v>1197</v>
      </c>
      <c r="D4981" s="100" t="str">
        <f t="shared" si="1"/>
        <v/>
      </c>
      <c r="E4981" s="100" t="str">
        <f t="shared" si="2"/>
        <v/>
      </c>
      <c r="F4981" s="100" t="str">
        <f t="shared" si="3"/>
        <v/>
      </c>
      <c r="G4981" s="151"/>
      <c r="H4981" s="156"/>
      <c r="I4981" s="157"/>
      <c r="J4981" s="161"/>
      <c r="L4981" s="94"/>
      <c r="M4981" s="159"/>
      <c r="N4981" s="94"/>
    </row>
    <row r="4982">
      <c r="A4982" s="107">
        <v>1629140.0</v>
      </c>
      <c r="B4982" s="108" t="s">
        <v>193</v>
      </c>
      <c r="C4982" s="108" t="s">
        <v>1197</v>
      </c>
      <c r="D4982" s="100" t="str">
        <f t="shared" si="1"/>
        <v/>
      </c>
      <c r="E4982" s="100" t="str">
        <f t="shared" si="2"/>
        <v/>
      </c>
      <c r="F4982" s="100" t="str">
        <f t="shared" si="3"/>
        <v/>
      </c>
      <c r="G4982" s="151"/>
      <c r="H4982" s="160"/>
      <c r="I4982" s="157"/>
      <c r="J4982" s="158"/>
      <c r="L4982" s="94"/>
      <c r="M4982" s="159"/>
      <c r="N4982" s="94"/>
    </row>
    <row r="4983">
      <c r="A4983" s="107">
        <v>1629147.0</v>
      </c>
      <c r="B4983" s="108" t="s">
        <v>192</v>
      </c>
      <c r="C4983" s="108" t="s">
        <v>1198</v>
      </c>
      <c r="D4983" s="100" t="str">
        <f t="shared" si="1"/>
        <v/>
      </c>
      <c r="E4983" s="100" t="str">
        <f t="shared" si="2"/>
        <v/>
      </c>
      <c r="F4983" s="100" t="str">
        <f t="shared" si="3"/>
        <v/>
      </c>
      <c r="G4983" s="151"/>
      <c r="H4983" s="156"/>
      <c r="I4983" s="157"/>
      <c r="J4983" s="161"/>
      <c r="L4983" s="94"/>
      <c r="M4983" s="159"/>
      <c r="N4983" s="94"/>
    </row>
    <row r="4984">
      <c r="A4984" s="107">
        <v>1629147.0</v>
      </c>
      <c r="B4984" s="108" t="s">
        <v>193</v>
      </c>
      <c r="C4984" s="108" t="s">
        <v>1198</v>
      </c>
      <c r="D4984" s="100" t="str">
        <f t="shared" si="1"/>
        <v/>
      </c>
      <c r="E4984" s="100" t="str">
        <f t="shared" si="2"/>
        <v/>
      </c>
      <c r="F4984" s="100" t="str">
        <f t="shared" si="3"/>
        <v/>
      </c>
      <c r="G4984" s="151"/>
      <c r="H4984" s="160"/>
      <c r="I4984" s="157"/>
      <c r="J4984" s="158"/>
      <c r="L4984" s="94"/>
      <c r="M4984" s="159"/>
      <c r="N4984" s="94"/>
    </row>
    <row r="4985">
      <c r="A4985" s="107">
        <v>1629150.0</v>
      </c>
      <c r="B4985" s="108" t="s">
        <v>192</v>
      </c>
      <c r="C4985" s="108" t="s">
        <v>1199</v>
      </c>
      <c r="D4985" s="100" t="str">
        <f t="shared" si="1"/>
        <v/>
      </c>
      <c r="E4985" s="100" t="str">
        <f t="shared" si="2"/>
        <v/>
      </c>
      <c r="F4985" s="100" t="str">
        <f t="shared" si="3"/>
        <v/>
      </c>
      <c r="G4985" s="151"/>
      <c r="H4985" s="156"/>
      <c r="I4985" s="157"/>
      <c r="J4985" s="161"/>
      <c r="L4985" s="94"/>
      <c r="M4985" s="159"/>
      <c r="N4985" s="94"/>
    </row>
    <row r="4986">
      <c r="A4986" s="107">
        <v>1629150.0</v>
      </c>
      <c r="B4986" s="108" t="s">
        <v>215</v>
      </c>
      <c r="C4986" s="108" t="s">
        <v>1199</v>
      </c>
      <c r="D4986" s="100" t="str">
        <f t="shared" si="1"/>
        <v/>
      </c>
      <c r="E4986" s="100" t="str">
        <f t="shared" si="2"/>
        <v/>
      </c>
      <c r="F4986" s="100" t="str">
        <f t="shared" si="3"/>
        <v/>
      </c>
      <c r="G4986" s="151"/>
      <c r="H4986" s="160"/>
      <c r="I4986" s="157"/>
      <c r="J4986" s="158"/>
      <c r="L4986" s="94"/>
      <c r="M4986" s="159"/>
      <c r="N4986" s="94"/>
    </row>
    <row r="4987">
      <c r="A4987" s="107">
        <v>1629151.0</v>
      </c>
      <c r="B4987" s="108" t="s">
        <v>192</v>
      </c>
      <c r="C4987" s="108" t="s">
        <v>1200</v>
      </c>
      <c r="D4987" s="100" t="str">
        <f t="shared" si="1"/>
        <v/>
      </c>
      <c r="E4987" s="100" t="str">
        <f t="shared" si="2"/>
        <v/>
      </c>
      <c r="F4987" s="100" t="str">
        <f t="shared" si="3"/>
        <v/>
      </c>
      <c r="G4987" s="151"/>
      <c r="H4987" s="156"/>
      <c r="I4987" s="157"/>
      <c r="J4987" s="161"/>
      <c r="L4987" s="94"/>
      <c r="M4987" s="159"/>
      <c r="N4987" s="94"/>
    </row>
    <row r="4988">
      <c r="A4988" s="107">
        <v>1629151.0</v>
      </c>
      <c r="B4988" s="108" t="s">
        <v>193</v>
      </c>
      <c r="C4988" s="108" t="s">
        <v>1200</v>
      </c>
      <c r="D4988" s="100" t="str">
        <f t="shared" si="1"/>
        <v/>
      </c>
      <c r="E4988" s="100" t="str">
        <f t="shared" si="2"/>
        <v/>
      </c>
      <c r="F4988" s="100" t="str">
        <f t="shared" si="3"/>
        <v/>
      </c>
      <c r="G4988" s="151"/>
      <c r="H4988" s="160"/>
      <c r="I4988" s="157"/>
      <c r="J4988" s="158"/>
      <c r="L4988" s="94"/>
      <c r="M4988" s="159"/>
      <c r="N4988" s="94"/>
    </row>
    <row r="4989">
      <c r="A4989" s="107">
        <v>1629152.0</v>
      </c>
      <c r="B4989" s="108" t="s">
        <v>192</v>
      </c>
      <c r="C4989" s="108" t="s">
        <v>1201</v>
      </c>
      <c r="D4989" s="100" t="str">
        <f t="shared" si="1"/>
        <v/>
      </c>
      <c r="E4989" s="100" t="str">
        <f t="shared" si="2"/>
        <v/>
      </c>
      <c r="F4989" s="100" t="str">
        <f t="shared" si="3"/>
        <v/>
      </c>
      <c r="G4989" s="151"/>
      <c r="H4989" s="156"/>
      <c r="I4989" s="157"/>
      <c r="J4989" s="161"/>
      <c r="L4989" s="94"/>
      <c r="M4989" s="159"/>
      <c r="N4989" s="94"/>
    </row>
    <row r="4990">
      <c r="A4990" s="107">
        <v>1629155.0</v>
      </c>
      <c r="B4990" s="108" t="s">
        <v>192</v>
      </c>
      <c r="C4990" s="108" t="s">
        <v>1202</v>
      </c>
      <c r="D4990" s="100" t="str">
        <f t="shared" si="1"/>
        <v/>
      </c>
      <c r="E4990" s="100" t="str">
        <f t="shared" si="2"/>
        <v/>
      </c>
      <c r="F4990" s="100" t="str">
        <f t="shared" si="3"/>
        <v/>
      </c>
      <c r="G4990" s="151"/>
      <c r="H4990" s="160"/>
      <c r="I4990" s="157"/>
      <c r="J4990" s="158"/>
      <c r="L4990" s="94"/>
      <c r="M4990" s="159"/>
      <c r="N4990" s="94"/>
    </row>
    <row r="4991">
      <c r="A4991" s="107">
        <v>1629162.0</v>
      </c>
      <c r="B4991" s="108" t="s">
        <v>193</v>
      </c>
      <c r="C4991" s="108" t="s">
        <v>1203</v>
      </c>
      <c r="D4991" s="100" t="str">
        <f t="shared" si="1"/>
        <v/>
      </c>
      <c r="E4991" s="100" t="str">
        <f t="shared" si="2"/>
        <v/>
      </c>
      <c r="F4991" s="100" t="str">
        <f t="shared" si="3"/>
        <v/>
      </c>
      <c r="G4991" s="151"/>
      <c r="H4991" s="156"/>
      <c r="I4991" s="157"/>
      <c r="J4991" s="161"/>
      <c r="L4991" s="94"/>
      <c r="M4991" s="159"/>
      <c r="N4991" s="94"/>
    </row>
    <row r="4992">
      <c r="A4992" s="107">
        <v>1629162.0</v>
      </c>
      <c r="B4992" s="108" t="s">
        <v>243</v>
      </c>
      <c r="C4992" s="108" t="s">
        <v>1203</v>
      </c>
      <c r="D4992" s="100" t="str">
        <f t="shared" si="1"/>
        <v/>
      </c>
      <c r="E4992" s="100" t="str">
        <f t="shared" si="2"/>
        <v/>
      </c>
      <c r="F4992" s="100" t="str">
        <f t="shared" si="3"/>
        <v/>
      </c>
      <c r="G4992" s="151"/>
      <c r="H4992" s="160"/>
      <c r="I4992" s="157"/>
      <c r="J4992" s="158"/>
      <c r="L4992" s="94"/>
      <c r="M4992" s="159"/>
      <c r="N4992" s="94"/>
    </row>
    <row r="4993">
      <c r="A4993" s="107">
        <v>1629162.0</v>
      </c>
      <c r="B4993" s="108" t="s">
        <v>215</v>
      </c>
      <c r="C4993" s="108" t="s">
        <v>1203</v>
      </c>
      <c r="D4993" s="100" t="str">
        <f t="shared" si="1"/>
        <v/>
      </c>
      <c r="E4993" s="100" t="str">
        <f t="shared" si="2"/>
        <v/>
      </c>
      <c r="F4993" s="100" t="str">
        <f t="shared" si="3"/>
        <v/>
      </c>
      <c r="G4993" s="151"/>
      <c r="H4993" s="156"/>
      <c r="I4993" s="157"/>
      <c r="J4993" s="161"/>
      <c r="L4993" s="94"/>
      <c r="M4993" s="159"/>
      <c r="N4993" s="94"/>
    </row>
    <row r="4994">
      <c r="A4994" s="107">
        <v>1629162.0</v>
      </c>
      <c r="B4994" s="108" t="s">
        <v>244</v>
      </c>
      <c r="C4994" s="108" t="s">
        <v>1203</v>
      </c>
      <c r="D4994" s="100" t="str">
        <f t="shared" si="1"/>
        <v/>
      </c>
      <c r="E4994" s="100" t="str">
        <f t="shared" si="2"/>
        <v/>
      </c>
      <c r="F4994" s="100" t="str">
        <f t="shared" si="3"/>
        <v/>
      </c>
      <c r="G4994" s="151"/>
      <c r="H4994" s="160"/>
      <c r="I4994" s="157"/>
      <c r="J4994" s="158"/>
      <c r="L4994" s="94"/>
      <c r="M4994" s="159"/>
      <c r="N4994" s="94"/>
    </row>
    <row r="4995">
      <c r="A4995" s="107">
        <v>1629162.0</v>
      </c>
      <c r="B4995" s="108" t="s">
        <v>245</v>
      </c>
      <c r="C4995" s="108" t="s">
        <v>1203</v>
      </c>
      <c r="D4995" s="100" t="str">
        <f t="shared" si="1"/>
        <v/>
      </c>
      <c r="E4995" s="100" t="str">
        <f t="shared" si="2"/>
        <v/>
      </c>
      <c r="F4995" s="100" t="str">
        <f t="shared" si="3"/>
        <v/>
      </c>
      <c r="G4995" s="151"/>
      <c r="H4995" s="156"/>
      <c r="I4995" s="157"/>
      <c r="J4995" s="161"/>
      <c r="L4995" s="94"/>
      <c r="M4995" s="159"/>
      <c r="N4995" s="94"/>
    </row>
    <row r="4996">
      <c r="A4996" s="107">
        <v>1629162.0</v>
      </c>
      <c r="B4996" s="108" t="s">
        <v>246</v>
      </c>
      <c r="C4996" s="108" t="s">
        <v>1203</v>
      </c>
      <c r="D4996" s="100" t="str">
        <f t="shared" si="1"/>
        <v/>
      </c>
      <c r="E4996" s="100" t="str">
        <f t="shared" si="2"/>
        <v/>
      </c>
      <c r="F4996" s="100" t="str">
        <f t="shared" si="3"/>
        <v/>
      </c>
      <c r="G4996" s="151"/>
      <c r="H4996" s="160"/>
      <c r="I4996" s="157"/>
      <c r="J4996" s="158"/>
      <c r="L4996" s="94"/>
      <c r="M4996" s="159"/>
      <c r="N4996" s="94"/>
    </row>
    <row r="4997">
      <c r="A4997" s="149">
        <v>1629162.0</v>
      </c>
      <c r="B4997" s="115" t="s">
        <v>247</v>
      </c>
      <c r="C4997" s="115" t="s">
        <v>1203</v>
      </c>
      <c r="D4997" s="100" t="str">
        <f t="shared" si="1"/>
        <v/>
      </c>
      <c r="E4997" s="100" t="str">
        <f t="shared" si="2"/>
        <v/>
      </c>
      <c r="F4997" s="100" t="str">
        <f t="shared" si="3"/>
        <v/>
      </c>
      <c r="G4997" s="151"/>
      <c r="H4997" s="156"/>
      <c r="I4997" s="157"/>
      <c r="J4997" s="161"/>
      <c r="L4997" s="94"/>
      <c r="M4997" s="159"/>
      <c r="N4997" s="94"/>
    </row>
    <row r="4998">
      <c r="A4998" s="21">
        <v>1629164.0</v>
      </c>
      <c r="B4998" s="164" t="s">
        <v>192</v>
      </c>
      <c r="C4998" s="164" t="s">
        <v>1204</v>
      </c>
      <c r="D4998" s="100" t="str">
        <f t="shared" si="1"/>
        <v/>
      </c>
      <c r="E4998" s="100" t="str">
        <f t="shared" si="2"/>
        <v/>
      </c>
      <c r="F4998" s="100" t="str">
        <f t="shared" si="3"/>
        <v/>
      </c>
      <c r="G4998" s="151"/>
      <c r="H4998" s="160"/>
      <c r="I4998" s="157"/>
      <c r="J4998" s="158"/>
      <c r="L4998" s="94"/>
      <c r="M4998" s="159"/>
      <c r="N4998" s="94"/>
    </row>
    <row r="4999">
      <c r="A4999" s="107">
        <v>1629164.0</v>
      </c>
      <c r="B4999" s="108" t="s">
        <v>193</v>
      </c>
      <c r="C4999" s="108" t="s">
        <v>1204</v>
      </c>
      <c r="D4999" s="100" t="str">
        <f t="shared" si="1"/>
        <v/>
      </c>
      <c r="E4999" s="100" t="str">
        <f t="shared" si="2"/>
        <v/>
      </c>
      <c r="F4999" s="100" t="str">
        <f t="shared" si="3"/>
        <v/>
      </c>
      <c r="G4999" s="151"/>
      <c r="H4999" s="156"/>
      <c r="I4999" s="157"/>
      <c r="J4999" s="161"/>
      <c r="L4999" s="94"/>
      <c r="M4999" s="159"/>
      <c r="N4999" s="94"/>
    </row>
    <row r="5000">
      <c r="A5000" s="107">
        <v>1629164.0</v>
      </c>
      <c r="B5000" s="108" t="s">
        <v>243</v>
      </c>
      <c r="C5000" s="108" t="s">
        <v>1204</v>
      </c>
      <c r="D5000" s="100" t="str">
        <f t="shared" si="1"/>
        <v/>
      </c>
      <c r="E5000" s="100" t="str">
        <f t="shared" si="2"/>
        <v/>
      </c>
      <c r="F5000" s="100" t="str">
        <f t="shared" si="3"/>
        <v/>
      </c>
      <c r="G5000" s="151"/>
      <c r="H5000" s="160"/>
      <c r="I5000" s="157"/>
      <c r="J5000" s="158"/>
      <c r="L5000" s="94"/>
      <c r="M5000" s="159"/>
      <c r="N5000" s="94"/>
    </row>
    <row r="5001">
      <c r="A5001" s="107">
        <v>1629164.0</v>
      </c>
      <c r="B5001" s="108" t="s">
        <v>215</v>
      </c>
      <c r="C5001" s="108" t="s">
        <v>1204</v>
      </c>
      <c r="D5001" s="100" t="str">
        <f t="shared" si="1"/>
        <v/>
      </c>
      <c r="E5001" s="100" t="str">
        <f t="shared" si="2"/>
        <v/>
      </c>
      <c r="F5001" s="100" t="str">
        <f t="shared" si="3"/>
        <v/>
      </c>
      <c r="G5001" s="151"/>
      <c r="H5001" s="156"/>
      <c r="I5001" s="157"/>
      <c r="J5001" s="161"/>
      <c r="L5001" s="94"/>
      <c r="M5001" s="159"/>
      <c r="N5001" s="94"/>
    </row>
    <row r="5002">
      <c r="A5002" s="107">
        <v>1629168.0</v>
      </c>
      <c r="B5002" s="108" t="s">
        <v>192</v>
      </c>
      <c r="C5002" s="108" t="s">
        <v>1205</v>
      </c>
      <c r="D5002" s="100" t="str">
        <f t="shared" si="1"/>
        <v/>
      </c>
      <c r="E5002" s="100" t="str">
        <f t="shared" si="2"/>
        <v/>
      </c>
      <c r="F5002" s="100" t="str">
        <f t="shared" si="3"/>
        <v/>
      </c>
      <c r="G5002" s="151"/>
      <c r="H5002" s="160"/>
      <c r="I5002" s="157"/>
      <c r="J5002" s="158"/>
      <c r="L5002" s="94"/>
      <c r="M5002" s="159"/>
      <c r="N5002" s="94"/>
    </row>
    <row r="5003">
      <c r="A5003" s="107">
        <v>1629168.0</v>
      </c>
      <c r="B5003" s="108" t="s">
        <v>193</v>
      </c>
      <c r="C5003" s="108" t="s">
        <v>1205</v>
      </c>
      <c r="D5003" s="100" t="str">
        <f t="shared" si="1"/>
        <v/>
      </c>
      <c r="E5003" s="100" t="str">
        <f t="shared" si="2"/>
        <v/>
      </c>
      <c r="F5003" s="100" t="str">
        <f t="shared" si="3"/>
        <v/>
      </c>
      <c r="G5003" s="151"/>
      <c r="H5003" s="156"/>
      <c r="I5003" s="157"/>
      <c r="J5003" s="161"/>
      <c r="L5003" s="94"/>
      <c r="M5003" s="159"/>
      <c r="N5003" s="94"/>
    </row>
    <row r="5004">
      <c r="A5004" s="107">
        <v>1629168.0</v>
      </c>
      <c r="B5004" s="108" t="s">
        <v>215</v>
      </c>
      <c r="C5004" s="108" t="s">
        <v>1205</v>
      </c>
      <c r="D5004" s="100" t="str">
        <f t="shared" si="1"/>
        <v/>
      </c>
      <c r="E5004" s="100" t="str">
        <f t="shared" si="2"/>
        <v/>
      </c>
      <c r="F5004" s="100" t="str">
        <f t="shared" si="3"/>
        <v/>
      </c>
      <c r="G5004" s="151"/>
      <c r="H5004" s="160"/>
      <c r="I5004" s="157"/>
      <c r="J5004" s="158"/>
      <c r="L5004" s="94"/>
      <c r="M5004" s="159"/>
      <c r="N5004" s="94"/>
    </row>
    <row r="5005">
      <c r="A5005" s="107">
        <v>1629185.0</v>
      </c>
      <c r="B5005" s="108" t="s">
        <v>192</v>
      </c>
      <c r="C5005" s="108" t="s">
        <v>1206</v>
      </c>
      <c r="D5005" s="100" t="str">
        <f t="shared" si="1"/>
        <v/>
      </c>
      <c r="E5005" s="100" t="str">
        <f t="shared" si="2"/>
        <v/>
      </c>
      <c r="F5005" s="100" t="str">
        <f t="shared" si="3"/>
        <v/>
      </c>
      <c r="G5005" s="151"/>
      <c r="H5005" s="156"/>
      <c r="I5005" s="157"/>
      <c r="J5005" s="161"/>
      <c r="L5005" s="94"/>
      <c r="M5005" s="159"/>
      <c r="N5005" s="94"/>
    </row>
    <row r="5006">
      <c r="A5006" s="107">
        <v>1629185.0</v>
      </c>
      <c r="B5006" s="108" t="s">
        <v>193</v>
      </c>
      <c r="C5006" s="108" t="s">
        <v>1206</v>
      </c>
      <c r="D5006" s="100" t="str">
        <f t="shared" si="1"/>
        <v/>
      </c>
      <c r="E5006" s="100" t="str">
        <f t="shared" si="2"/>
        <v/>
      </c>
      <c r="F5006" s="100" t="str">
        <f t="shared" si="3"/>
        <v/>
      </c>
      <c r="G5006" s="151"/>
      <c r="H5006" s="160"/>
      <c r="I5006" s="157"/>
      <c r="J5006" s="158"/>
      <c r="L5006" s="94"/>
      <c r="M5006" s="159"/>
      <c r="N5006" s="94"/>
    </row>
    <row r="5007">
      <c r="A5007" s="107">
        <v>1629185.0</v>
      </c>
      <c r="B5007" s="108" t="s">
        <v>243</v>
      </c>
      <c r="C5007" s="108" t="s">
        <v>1206</v>
      </c>
      <c r="D5007" s="100" t="str">
        <f t="shared" si="1"/>
        <v/>
      </c>
      <c r="E5007" s="100" t="str">
        <f t="shared" si="2"/>
        <v/>
      </c>
      <c r="F5007" s="100" t="str">
        <f t="shared" si="3"/>
        <v/>
      </c>
      <c r="G5007" s="151"/>
      <c r="H5007" s="156"/>
      <c r="I5007" s="157"/>
      <c r="J5007" s="161"/>
      <c r="L5007" s="94"/>
      <c r="M5007" s="159"/>
      <c r="N5007" s="94"/>
    </row>
    <row r="5008">
      <c r="A5008" s="107">
        <v>1629185.0</v>
      </c>
      <c r="B5008" s="108" t="s">
        <v>215</v>
      </c>
      <c r="C5008" s="108" t="s">
        <v>1206</v>
      </c>
      <c r="D5008" s="100" t="str">
        <f t="shared" si="1"/>
        <v/>
      </c>
      <c r="E5008" s="100" t="str">
        <f t="shared" si="2"/>
        <v/>
      </c>
      <c r="F5008" s="100" t="str">
        <f t="shared" si="3"/>
        <v/>
      </c>
      <c r="G5008" s="151"/>
      <c r="H5008" s="160"/>
      <c r="I5008" s="157"/>
      <c r="J5008" s="158"/>
      <c r="L5008" s="94"/>
      <c r="M5008" s="159"/>
      <c r="N5008" s="94"/>
    </row>
    <row r="5009">
      <c r="A5009" s="107">
        <v>1629203.0</v>
      </c>
      <c r="B5009" s="108" t="s">
        <v>192</v>
      </c>
      <c r="C5009" s="108" t="s">
        <v>1207</v>
      </c>
      <c r="D5009" s="100" t="str">
        <f t="shared" si="1"/>
        <v/>
      </c>
      <c r="E5009" s="100" t="str">
        <f t="shared" si="2"/>
        <v/>
      </c>
      <c r="F5009" s="100" t="str">
        <f t="shared" si="3"/>
        <v/>
      </c>
      <c r="G5009" s="151"/>
      <c r="H5009" s="156"/>
      <c r="I5009" s="157"/>
      <c r="J5009" s="161"/>
      <c r="L5009" s="94"/>
      <c r="M5009" s="159"/>
      <c r="N5009" s="94"/>
    </row>
    <row r="5010">
      <c r="A5010" s="107">
        <v>1629203.0</v>
      </c>
      <c r="B5010" s="108" t="s">
        <v>215</v>
      </c>
      <c r="C5010" s="108" t="s">
        <v>1207</v>
      </c>
      <c r="D5010" s="100" t="str">
        <f t="shared" si="1"/>
        <v/>
      </c>
      <c r="E5010" s="100" t="str">
        <f t="shared" si="2"/>
        <v/>
      </c>
      <c r="F5010" s="100" t="str">
        <f t="shared" si="3"/>
        <v/>
      </c>
      <c r="G5010" s="151"/>
      <c r="H5010" s="160"/>
      <c r="I5010" s="157"/>
      <c r="J5010" s="158"/>
      <c r="L5010" s="94"/>
      <c r="M5010" s="159"/>
      <c r="N5010" s="94"/>
    </row>
    <row r="5011">
      <c r="A5011" s="107">
        <v>1629216.0</v>
      </c>
      <c r="B5011" s="108" t="s">
        <v>193</v>
      </c>
      <c r="C5011" s="108" t="s">
        <v>1208</v>
      </c>
      <c r="D5011" s="100" t="str">
        <f t="shared" si="1"/>
        <v/>
      </c>
      <c r="E5011" s="100" t="str">
        <f t="shared" si="2"/>
        <v/>
      </c>
      <c r="F5011" s="100" t="str">
        <f t="shared" si="3"/>
        <v/>
      </c>
      <c r="G5011" s="151"/>
      <c r="H5011" s="156"/>
      <c r="I5011" s="157"/>
      <c r="J5011" s="161"/>
      <c r="L5011" s="94"/>
      <c r="M5011" s="159"/>
      <c r="N5011" s="94"/>
    </row>
    <row r="5012">
      <c r="A5012" s="107">
        <v>1629216.0</v>
      </c>
      <c r="B5012" s="108" t="s">
        <v>243</v>
      </c>
      <c r="C5012" s="108" t="s">
        <v>1208</v>
      </c>
      <c r="D5012" s="100" t="str">
        <f t="shared" si="1"/>
        <v/>
      </c>
      <c r="E5012" s="100" t="str">
        <f t="shared" si="2"/>
        <v/>
      </c>
      <c r="F5012" s="100" t="str">
        <f t="shared" si="3"/>
        <v/>
      </c>
      <c r="G5012" s="151"/>
      <c r="H5012" s="160"/>
      <c r="I5012" s="157"/>
      <c r="J5012" s="158"/>
      <c r="L5012" s="94"/>
      <c r="M5012" s="159"/>
      <c r="N5012" s="94"/>
    </row>
    <row r="5013">
      <c r="A5013" s="107">
        <v>1629216.0</v>
      </c>
      <c r="B5013" s="108" t="s">
        <v>215</v>
      </c>
      <c r="C5013" s="108" t="s">
        <v>1208</v>
      </c>
      <c r="D5013" s="100" t="str">
        <f t="shared" si="1"/>
        <v/>
      </c>
      <c r="E5013" s="100" t="str">
        <f t="shared" si="2"/>
        <v/>
      </c>
      <c r="F5013" s="100" t="str">
        <f t="shared" si="3"/>
        <v/>
      </c>
      <c r="G5013" s="151"/>
      <c r="H5013" s="156"/>
      <c r="I5013" s="157"/>
      <c r="J5013" s="161"/>
      <c r="L5013" s="94"/>
      <c r="M5013" s="159"/>
      <c r="N5013" s="94"/>
    </row>
    <row r="5014">
      <c r="A5014" s="107">
        <v>1629216.0</v>
      </c>
      <c r="B5014" s="108" t="s">
        <v>244</v>
      </c>
      <c r="C5014" s="108" t="s">
        <v>1208</v>
      </c>
      <c r="D5014" s="100" t="str">
        <f t="shared" si="1"/>
        <v/>
      </c>
      <c r="E5014" s="100" t="str">
        <f t="shared" si="2"/>
        <v/>
      </c>
      <c r="F5014" s="100" t="str">
        <f t="shared" si="3"/>
        <v/>
      </c>
      <c r="G5014" s="151"/>
      <c r="H5014" s="160"/>
      <c r="I5014" s="157"/>
      <c r="J5014" s="158"/>
      <c r="L5014" s="94"/>
      <c r="M5014" s="159"/>
      <c r="N5014" s="94"/>
    </row>
    <row r="5015">
      <c r="A5015" s="107">
        <v>1629216.0</v>
      </c>
      <c r="B5015" s="108" t="s">
        <v>245</v>
      </c>
      <c r="C5015" s="108" t="s">
        <v>1208</v>
      </c>
      <c r="D5015" s="100" t="str">
        <f t="shared" si="1"/>
        <v/>
      </c>
      <c r="E5015" s="100" t="str">
        <f t="shared" si="2"/>
        <v/>
      </c>
      <c r="F5015" s="100" t="str">
        <f t="shared" si="3"/>
        <v/>
      </c>
      <c r="G5015" s="151"/>
      <c r="H5015" s="156"/>
      <c r="I5015" s="157"/>
      <c r="J5015" s="161"/>
      <c r="L5015" s="94"/>
      <c r="M5015" s="159"/>
      <c r="N5015" s="94"/>
    </row>
    <row r="5016">
      <c r="A5016" s="107">
        <v>1629216.0</v>
      </c>
      <c r="B5016" s="108" t="s">
        <v>246</v>
      </c>
      <c r="C5016" s="108" t="s">
        <v>1208</v>
      </c>
      <c r="D5016" s="100" t="str">
        <f t="shared" si="1"/>
        <v/>
      </c>
      <c r="E5016" s="100" t="str">
        <f t="shared" si="2"/>
        <v/>
      </c>
      <c r="F5016" s="100" t="str">
        <f t="shared" si="3"/>
        <v/>
      </c>
      <c r="G5016" s="151"/>
      <c r="H5016" s="160"/>
      <c r="I5016" s="157"/>
      <c r="J5016" s="158"/>
      <c r="L5016" s="94"/>
      <c r="M5016" s="159"/>
      <c r="N5016" s="94"/>
    </row>
    <row r="5017">
      <c r="A5017" s="149">
        <v>1629216.0</v>
      </c>
      <c r="B5017" s="115" t="s">
        <v>247</v>
      </c>
      <c r="C5017" s="115" t="s">
        <v>1208</v>
      </c>
      <c r="D5017" s="100" t="str">
        <f t="shared" si="1"/>
        <v/>
      </c>
      <c r="E5017" s="100" t="str">
        <f t="shared" si="2"/>
        <v/>
      </c>
      <c r="F5017" s="100" t="str">
        <f t="shared" si="3"/>
        <v/>
      </c>
      <c r="G5017" s="151"/>
      <c r="H5017" s="156"/>
      <c r="I5017" s="157"/>
      <c r="J5017" s="161"/>
      <c r="L5017" s="94"/>
      <c r="M5017" s="159"/>
      <c r="N5017" s="94"/>
    </row>
    <row r="5018">
      <c r="A5018" s="21">
        <v>1629232.0</v>
      </c>
      <c r="B5018" s="164" t="s">
        <v>245</v>
      </c>
      <c r="C5018" s="164" t="s">
        <v>1209</v>
      </c>
      <c r="D5018" s="100" t="str">
        <f t="shared" si="1"/>
        <v/>
      </c>
      <c r="E5018" s="100" t="str">
        <f t="shared" si="2"/>
        <v/>
      </c>
      <c r="F5018" s="100" t="str">
        <f t="shared" si="3"/>
        <v/>
      </c>
      <c r="G5018" s="151"/>
      <c r="H5018" s="160"/>
      <c r="I5018" s="157"/>
      <c r="J5018" s="158"/>
      <c r="L5018" s="94"/>
      <c r="M5018" s="159"/>
      <c r="N5018" s="94"/>
    </row>
    <row r="5019">
      <c r="A5019" s="107">
        <v>1629234.0</v>
      </c>
      <c r="B5019" s="108" t="s">
        <v>192</v>
      </c>
      <c r="C5019" s="108" t="s">
        <v>1210</v>
      </c>
      <c r="D5019" s="100" t="str">
        <f t="shared" si="1"/>
        <v/>
      </c>
      <c r="E5019" s="100" t="str">
        <f t="shared" si="2"/>
        <v/>
      </c>
      <c r="F5019" s="100" t="str">
        <f t="shared" si="3"/>
        <v/>
      </c>
      <c r="G5019" s="151"/>
      <c r="H5019" s="156"/>
      <c r="I5019" s="157"/>
      <c r="J5019" s="161"/>
      <c r="L5019" s="94"/>
      <c r="M5019" s="159"/>
      <c r="N5019" s="94"/>
    </row>
    <row r="5020">
      <c r="A5020" s="107">
        <v>1629234.0</v>
      </c>
      <c r="B5020" s="108" t="s">
        <v>193</v>
      </c>
      <c r="C5020" s="108" t="s">
        <v>1210</v>
      </c>
      <c r="D5020" s="100" t="str">
        <f t="shared" si="1"/>
        <v/>
      </c>
      <c r="E5020" s="100" t="str">
        <f t="shared" si="2"/>
        <v/>
      </c>
      <c r="F5020" s="100" t="str">
        <f t="shared" si="3"/>
        <v/>
      </c>
      <c r="G5020" s="151"/>
      <c r="H5020" s="160"/>
      <c r="I5020" s="157"/>
      <c r="J5020" s="158"/>
      <c r="L5020" s="94"/>
      <c r="M5020" s="159"/>
      <c r="N5020" s="94"/>
    </row>
    <row r="5021">
      <c r="A5021" s="107">
        <v>1629234.0</v>
      </c>
      <c r="B5021" s="108" t="s">
        <v>243</v>
      </c>
      <c r="C5021" s="108" t="s">
        <v>1210</v>
      </c>
      <c r="D5021" s="100" t="str">
        <f t="shared" si="1"/>
        <v/>
      </c>
      <c r="E5021" s="100" t="str">
        <f t="shared" si="2"/>
        <v/>
      </c>
      <c r="F5021" s="100" t="str">
        <f t="shared" si="3"/>
        <v/>
      </c>
      <c r="G5021" s="151"/>
      <c r="H5021" s="156"/>
      <c r="I5021" s="157"/>
      <c r="J5021" s="161"/>
      <c r="L5021" s="94"/>
      <c r="M5021" s="159"/>
      <c r="N5021" s="94"/>
    </row>
    <row r="5022">
      <c r="A5022" s="107">
        <v>1629234.0</v>
      </c>
      <c r="B5022" s="108" t="s">
        <v>215</v>
      </c>
      <c r="C5022" s="108" t="s">
        <v>1210</v>
      </c>
      <c r="D5022" s="100" t="str">
        <f t="shared" si="1"/>
        <v/>
      </c>
      <c r="E5022" s="100" t="str">
        <f t="shared" si="2"/>
        <v/>
      </c>
      <c r="F5022" s="100" t="str">
        <f t="shared" si="3"/>
        <v/>
      </c>
      <c r="G5022" s="151"/>
      <c r="H5022" s="160"/>
      <c r="I5022" s="157"/>
      <c r="J5022" s="158"/>
      <c r="L5022" s="94"/>
      <c r="M5022" s="159"/>
      <c r="N5022" s="94"/>
    </row>
    <row r="5023">
      <c r="A5023" s="107">
        <v>1629234.0</v>
      </c>
      <c r="B5023" s="108" t="s">
        <v>244</v>
      </c>
      <c r="C5023" s="108" t="s">
        <v>1210</v>
      </c>
      <c r="D5023" s="100" t="str">
        <f t="shared" si="1"/>
        <v/>
      </c>
      <c r="E5023" s="100" t="str">
        <f t="shared" si="2"/>
        <v/>
      </c>
      <c r="F5023" s="100" t="str">
        <f t="shared" si="3"/>
        <v/>
      </c>
      <c r="G5023" s="151"/>
      <c r="H5023" s="156"/>
      <c r="I5023" s="157"/>
      <c r="J5023" s="161"/>
      <c r="L5023" s="94"/>
      <c r="M5023" s="159"/>
      <c r="N5023" s="94"/>
    </row>
    <row r="5024">
      <c r="A5024" s="107">
        <v>1629234.0</v>
      </c>
      <c r="B5024" s="108" t="s">
        <v>245</v>
      </c>
      <c r="C5024" s="108" t="s">
        <v>1210</v>
      </c>
      <c r="D5024" s="100" t="str">
        <f t="shared" si="1"/>
        <v/>
      </c>
      <c r="E5024" s="100" t="str">
        <f t="shared" si="2"/>
        <v/>
      </c>
      <c r="F5024" s="100" t="str">
        <f t="shared" si="3"/>
        <v/>
      </c>
      <c r="G5024" s="151"/>
      <c r="H5024" s="160"/>
      <c r="I5024" s="157"/>
      <c r="J5024" s="158"/>
      <c r="L5024" s="94"/>
      <c r="M5024" s="159"/>
      <c r="N5024" s="94"/>
    </row>
    <row r="5025">
      <c r="A5025" s="107">
        <v>1629234.0</v>
      </c>
      <c r="B5025" s="108" t="s">
        <v>246</v>
      </c>
      <c r="C5025" s="108" t="s">
        <v>1210</v>
      </c>
      <c r="D5025" s="100" t="str">
        <f t="shared" si="1"/>
        <v/>
      </c>
      <c r="E5025" s="100" t="str">
        <f t="shared" si="2"/>
        <v/>
      </c>
      <c r="F5025" s="100" t="str">
        <f t="shared" si="3"/>
        <v/>
      </c>
      <c r="G5025" s="151"/>
      <c r="H5025" s="156"/>
      <c r="I5025" s="157"/>
      <c r="J5025" s="161"/>
      <c r="L5025" s="94"/>
      <c r="M5025" s="159"/>
      <c r="N5025" s="94"/>
    </row>
    <row r="5026">
      <c r="A5026" s="149">
        <v>1629234.0</v>
      </c>
      <c r="B5026" s="115" t="s">
        <v>247</v>
      </c>
      <c r="C5026" s="115" t="s">
        <v>1210</v>
      </c>
      <c r="D5026" s="100" t="str">
        <f t="shared" si="1"/>
        <v/>
      </c>
      <c r="E5026" s="100" t="str">
        <f t="shared" si="2"/>
        <v/>
      </c>
      <c r="F5026" s="100" t="str">
        <f t="shared" si="3"/>
        <v/>
      </c>
      <c r="G5026" s="151"/>
      <c r="H5026" s="160"/>
      <c r="I5026" s="157"/>
      <c r="J5026" s="158"/>
      <c r="L5026" s="94"/>
      <c r="M5026" s="159"/>
      <c r="N5026" s="94"/>
    </row>
    <row r="5027">
      <c r="A5027" s="21">
        <v>1629244.0</v>
      </c>
      <c r="B5027" s="164" t="s">
        <v>192</v>
      </c>
      <c r="C5027" s="164" t="s">
        <v>1211</v>
      </c>
      <c r="D5027" s="100" t="str">
        <f t="shared" si="1"/>
        <v/>
      </c>
      <c r="E5027" s="100" t="str">
        <f t="shared" si="2"/>
        <v/>
      </c>
      <c r="F5027" s="100" t="str">
        <f t="shared" si="3"/>
        <v/>
      </c>
      <c r="G5027" s="151"/>
      <c r="H5027" s="156"/>
      <c r="I5027" s="157"/>
      <c r="J5027" s="161"/>
      <c r="L5027" s="94"/>
      <c r="M5027" s="159"/>
      <c r="N5027" s="94"/>
    </row>
    <row r="5028">
      <c r="A5028" s="107">
        <v>1629244.0</v>
      </c>
      <c r="B5028" s="108" t="s">
        <v>243</v>
      </c>
      <c r="C5028" s="108" t="s">
        <v>1211</v>
      </c>
      <c r="D5028" s="100" t="str">
        <f t="shared" si="1"/>
        <v/>
      </c>
      <c r="E5028" s="100" t="str">
        <f t="shared" si="2"/>
        <v/>
      </c>
      <c r="F5028" s="100" t="str">
        <f t="shared" si="3"/>
        <v/>
      </c>
      <c r="G5028" s="151"/>
      <c r="H5028" s="160"/>
      <c r="I5028" s="157"/>
      <c r="J5028" s="158"/>
      <c r="L5028" s="94"/>
      <c r="M5028" s="159"/>
      <c r="N5028" s="94"/>
    </row>
    <row r="5029">
      <c r="A5029" s="107">
        <v>1629308.0</v>
      </c>
      <c r="B5029" s="108" t="s">
        <v>193</v>
      </c>
      <c r="C5029" s="108" t="s">
        <v>1212</v>
      </c>
      <c r="D5029" s="100" t="str">
        <f t="shared" si="1"/>
        <v/>
      </c>
      <c r="E5029" s="100" t="str">
        <f t="shared" si="2"/>
        <v/>
      </c>
      <c r="F5029" s="100" t="str">
        <f t="shared" si="3"/>
        <v/>
      </c>
      <c r="G5029" s="151"/>
      <c r="H5029" s="156"/>
      <c r="I5029" s="157"/>
      <c r="J5029" s="161"/>
      <c r="L5029" s="94"/>
      <c r="M5029" s="159"/>
      <c r="N5029" s="94"/>
    </row>
    <row r="5030">
      <c r="A5030" s="107">
        <v>1629308.0</v>
      </c>
      <c r="B5030" s="108" t="s">
        <v>243</v>
      </c>
      <c r="C5030" s="108" t="s">
        <v>1212</v>
      </c>
      <c r="D5030" s="100" t="str">
        <f t="shared" si="1"/>
        <v/>
      </c>
      <c r="E5030" s="100" t="str">
        <f t="shared" si="2"/>
        <v/>
      </c>
      <c r="F5030" s="100" t="str">
        <f t="shared" si="3"/>
        <v/>
      </c>
      <c r="G5030" s="151"/>
      <c r="H5030" s="160"/>
      <c r="I5030" s="157"/>
      <c r="J5030" s="158"/>
      <c r="L5030" s="94"/>
      <c r="M5030" s="159"/>
      <c r="N5030" s="94"/>
    </row>
    <row r="5031">
      <c r="A5031" s="107">
        <v>1629308.0</v>
      </c>
      <c r="B5031" s="108" t="s">
        <v>215</v>
      </c>
      <c r="C5031" s="108" t="s">
        <v>1212</v>
      </c>
      <c r="D5031" s="100" t="str">
        <f t="shared" si="1"/>
        <v/>
      </c>
      <c r="E5031" s="100" t="str">
        <f t="shared" si="2"/>
        <v/>
      </c>
      <c r="F5031" s="100" t="str">
        <f t="shared" si="3"/>
        <v/>
      </c>
      <c r="G5031" s="151"/>
      <c r="H5031" s="156"/>
      <c r="I5031" s="157"/>
      <c r="J5031" s="161"/>
      <c r="L5031" s="94"/>
      <c r="M5031" s="159"/>
      <c r="N5031" s="94"/>
    </row>
    <row r="5032">
      <c r="A5032" s="107">
        <v>1629308.0</v>
      </c>
      <c r="B5032" s="108" t="s">
        <v>244</v>
      </c>
      <c r="C5032" s="108" t="s">
        <v>1212</v>
      </c>
      <c r="D5032" s="100" t="str">
        <f t="shared" si="1"/>
        <v/>
      </c>
      <c r="E5032" s="100" t="str">
        <f t="shared" si="2"/>
        <v/>
      </c>
      <c r="F5032" s="100" t="str">
        <f t="shared" si="3"/>
        <v/>
      </c>
      <c r="G5032" s="151"/>
      <c r="H5032" s="160"/>
      <c r="I5032" s="157"/>
      <c r="J5032" s="158"/>
      <c r="L5032" s="94"/>
      <c r="M5032" s="159"/>
      <c r="N5032" s="94"/>
    </row>
    <row r="5033">
      <c r="A5033" s="107">
        <v>1629308.0</v>
      </c>
      <c r="B5033" s="108" t="s">
        <v>245</v>
      </c>
      <c r="C5033" s="108" t="s">
        <v>1212</v>
      </c>
      <c r="D5033" s="100" t="str">
        <f t="shared" si="1"/>
        <v/>
      </c>
      <c r="E5033" s="100" t="str">
        <f t="shared" si="2"/>
        <v/>
      </c>
      <c r="F5033" s="100" t="str">
        <f t="shared" si="3"/>
        <v/>
      </c>
      <c r="G5033" s="151"/>
      <c r="H5033" s="156"/>
      <c r="I5033" s="157"/>
      <c r="J5033" s="161"/>
      <c r="L5033" s="94"/>
      <c r="M5033" s="159"/>
      <c r="N5033" s="94"/>
    </row>
    <row r="5034">
      <c r="A5034" s="107">
        <v>1629309.0</v>
      </c>
      <c r="B5034" s="108" t="s">
        <v>215</v>
      </c>
      <c r="C5034" s="108" t="s">
        <v>1213</v>
      </c>
      <c r="D5034" s="100" t="str">
        <f t="shared" si="1"/>
        <v/>
      </c>
      <c r="E5034" s="100" t="str">
        <f t="shared" si="2"/>
        <v/>
      </c>
      <c r="F5034" s="100" t="str">
        <f t="shared" si="3"/>
        <v/>
      </c>
      <c r="G5034" s="151"/>
      <c r="H5034" s="160"/>
      <c r="I5034" s="157"/>
      <c r="J5034" s="158"/>
      <c r="L5034" s="94"/>
      <c r="M5034" s="159"/>
      <c r="N5034" s="94"/>
    </row>
    <row r="5035">
      <c r="A5035" s="107">
        <v>1629312.0</v>
      </c>
      <c r="B5035" s="108" t="s">
        <v>192</v>
      </c>
      <c r="C5035" s="108" t="s">
        <v>1214</v>
      </c>
      <c r="D5035" s="100" t="str">
        <f t="shared" si="1"/>
        <v/>
      </c>
      <c r="E5035" s="100" t="str">
        <f t="shared" si="2"/>
        <v/>
      </c>
      <c r="F5035" s="100" t="str">
        <f t="shared" si="3"/>
        <v/>
      </c>
      <c r="G5035" s="151"/>
      <c r="H5035" s="156"/>
      <c r="I5035" s="157"/>
      <c r="J5035" s="161"/>
      <c r="L5035" s="94"/>
      <c r="M5035" s="159"/>
      <c r="N5035" s="94"/>
    </row>
    <row r="5036">
      <c r="A5036" s="107">
        <v>1629312.0</v>
      </c>
      <c r="B5036" s="108" t="s">
        <v>215</v>
      </c>
      <c r="C5036" s="108" t="s">
        <v>1214</v>
      </c>
      <c r="D5036" s="100" t="str">
        <f t="shared" si="1"/>
        <v/>
      </c>
      <c r="E5036" s="100" t="str">
        <f t="shared" si="2"/>
        <v/>
      </c>
      <c r="F5036" s="100" t="str">
        <f t="shared" si="3"/>
        <v/>
      </c>
      <c r="G5036" s="151"/>
      <c r="H5036" s="160"/>
      <c r="I5036" s="157"/>
      <c r="J5036" s="158"/>
      <c r="L5036" s="94"/>
      <c r="M5036" s="159"/>
      <c r="N5036" s="94"/>
    </row>
    <row r="5037">
      <c r="A5037" s="107">
        <v>1629312.0</v>
      </c>
      <c r="B5037" s="108" t="s">
        <v>244</v>
      </c>
      <c r="C5037" s="108" t="s">
        <v>1214</v>
      </c>
      <c r="D5037" s="100" t="str">
        <f t="shared" si="1"/>
        <v/>
      </c>
      <c r="E5037" s="100" t="str">
        <f t="shared" si="2"/>
        <v/>
      </c>
      <c r="F5037" s="100" t="str">
        <f t="shared" si="3"/>
        <v/>
      </c>
      <c r="G5037" s="151"/>
      <c r="H5037" s="156"/>
      <c r="I5037" s="157"/>
      <c r="J5037" s="161"/>
      <c r="L5037" s="94"/>
      <c r="M5037" s="159"/>
      <c r="N5037" s="94"/>
    </row>
    <row r="5038">
      <c r="A5038" s="107">
        <v>1629312.0</v>
      </c>
      <c r="B5038" s="108" t="s">
        <v>245</v>
      </c>
      <c r="C5038" s="108" t="s">
        <v>1214</v>
      </c>
      <c r="D5038" s="100" t="str">
        <f t="shared" si="1"/>
        <v/>
      </c>
      <c r="E5038" s="100" t="str">
        <f t="shared" si="2"/>
        <v/>
      </c>
      <c r="F5038" s="100" t="str">
        <f t="shared" si="3"/>
        <v/>
      </c>
      <c r="G5038" s="151"/>
      <c r="H5038" s="160"/>
      <c r="I5038" s="157"/>
      <c r="J5038" s="158"/>
      <c r="L5038" s="94"/>
      <c r="M5038" s="159"/>
      <c r="N5038" s="94"/>
    </row>
    <row r="5039">
      <c r="A5039" s="107">
        <v>1629312.0</v>
      </c>
      <c r="B5039" s="108" t="s">
        <v>246</v>
      </c>
      <c r="C5039" s="108" t="s">
        <v>1214</v>
      </c>
      <c r="D5039" s="100" t="str">
        <f t="shared" si="1"/>
        <v/>
      </c>
      <c r="E5039" s="100" t="str">
        <f t="shared" si="2"/>
        <v/>
      </c>
      <c r="F5039" s="100" t="str">
        <f t="shared" si="3"/>
        <v/>
      </c>
      <c r="G5039" s="151"/>
      <c r="H5039" s="156"/>
      <c r="I5039" s="157"/>
      <c r="J5039" s="161"/>
      <c r="L5039" s="94"/>
      <c r="M5039" s="159"/>
      <c r="N5039" s="94"/>
    </row>
    <row r="5040">
      <c r="A5040" s="140">
        <v>1629312.0</v>
      </c>
      <c r="B5040" s="115" t="s">
        <v>247</v>
      </c>
      <c r="C5040" s="115" t="s">
        <v>1214</v>
      </c>
      <c r="D5040" s="100" t="str">
        <f t="shared" si="1"/>
        <v/>
      </c>
      <c r="E5040" s="100" t="str">
        <f t="shared" si="2"/>
        <v/>
      </c>
      <c r="F5040" s="100" t="str">
        <f t="shared" si="3"/>
        <v/>
      </c>
      <c r="G5040" s="151"/>
      <c r="H5040" s="160"/>
      <c r="I5040" s="157"/>
      <c r="J5040" s="158"/>
      <c r="L5040" s="94"/>
      <c r="M5040" s="159"/>
      <c r="N5040" s="94"/>
    </row>
    <row r="5041">
      <c r="A5041" s="163">
        <v>1629346.0</v>
      </c>
      <c r="B5041" s="164" t="s">
        <v>193</v>
      </c>
      <c r="C5041" s="164" t="s">
        <v>1215</v>
      </c>
      <c r="D5041" s="100" t="str">
        <f t="shared" si="1"/>
        <v/>
      </c>
      <c r="E5041" s="100" t="str">
        <f t="shared" si="2"/>
        <v/>
      </c>
      <c r="F5041" s="100" t="str">
        <f t="shared" si="3"/>
        <v/>
      </c>
      <c r="G5041" s="151"/>
      <c r="H5041" s="156"/>
      <c r="I5041" s="157"/>
      <c r="J5041" s="161"/>
      <c r="L5041" s="94"/>
      <c r="M5041" s="159"/>
      <c r="N5041" s="94"/>
    </row>
    <row r="5042">
      <c r="A5042" s="107">
        <v>1629346.0</v>
      </c>
      <c r="B5042" s="108" t="s">
        <v>243</v>
      </c>
      <c r="C5042" s="108" t="s">
        <v>1215</v>
      </c>
      <c r="D5042" s="100" t="str">
        <f t="shared" si="1"/>
        <v/>
      </c>
      <c r="E5042" s="100" t="str">
        <f t="shared" si="2"/>
        <v/>
      </c>
      <c r="F5042" s="100" t="str">
        <f t="shared" si="3"/>
        <v/>
      </c>
      <c r="G5042" s="151"/>
      <c r="H5042" s="160"/>
      <c r="I5042" s="157"/>
      <c r="J5042" s="158"/>
      <c r="L5042" s="94"/>
      <c r="M5042" s="159"/>
      <c r="N5042" s="94"/>
    </row>
    <row r="5043">
      <c r="A5043" s="107">
        <v>1629353.0</v>
      </c>
      <c r="B5043" s="108" t="s">
        <v>192</v>
      </c>
      <c r="C5043" s="108" t="s">
        <v>1216</v>
      </c>
      <c r="D5043" s="100" t="str">
        <f t="shared" si="1"/>
        <v/>
      </c>
      <c r="E5043" s="100" t="str">
        <f t="shared" si="2"/>
        <v/>
      </c>
      <c r="F5043" s="100" t="str">
        <f t="shared" si="3"/>
        <v/>
      </c>
      <c r="G5043" s="151"/>
      <c r="H5043" s="156"/>
      <c r="I5043" s="157"/>
      <c r="J5043" s="161"/>
      <c r="L5043" s="94"/>
      <c r="M5043" s="159"/>
      <c r="N5043" s="94"/>
    </row>
    <row r="5044">
      <c r="A5044" s="107">
        <v>1629541.0</v>
      </c>
      <c r="B5044" s="108" t="s">
        <v>192</v>
      </c>
      <c r="C5044" s="108" t="s">
        <v>1217</v>
      </c>
      <c r="D5044" s="100" t="str">
        <f t="shared" si="1"/>
        <v/>
      </c>
      <c r="E5044" s="100" t="str">
        <f t="shared" si="2"/>
        <v/>
      </c>
      <c r="F5044" s="100" t="str">
        <f t="shared" si="3"/>
        <v/>
      </c>
      <c r="G5044" s="151"/>
      <c r="H5044" s="160"/>
      <c r="I5044" s="157"/>
      <c r="J5044" s="158"/>
      <c r="L5044" s="94"/>
      <c r="M5044" s="159"/>
      <c r="N5044" s="94"/>
    </row>
    <row r="5045">
      <c r="A5045" s="107">
        <v>1629597.0</v>
      </c>
      <c r="B5045" s="108" t="s">
        <v>193</v>
      </c>
      <c r="C5045" s="108" t="s">
        <v>1218</v>
      </c>
      <c r="D5045" s="100" t="str">
        <f t="shared" si="1"/>
        <v/>
      </c>
      <c r="E5045" s="100" t="str">
        <f t="shared" si="2"/>
        <v/>
      </c>
      <c r="F5045" s="100" t="str">
        <f t="shared" si="3"/>
        <v/>
      </c>
      <c r="G5045" s="151"/>
      <c r="H5045" s="156"/>
      <c r="I5045" s="157"/>
      <c r="J5045" s="161"/>
      <c r="L5045" s="94"/>
      <c r="M5045" s="159"/>
      <c r="N5045" s="94"/>
    </row>
    <row r="5046">
      <c r="A5046" s="107">
        <v>1629597.0</v>
      </c>
      <c r="B5046" s="108" t="s">
        <v>215</v>
      </c>
      <c r="C5046" s="108" t="s">
        <v>1218</v>
      </c>
      <c r="D5046" s="100" t="str">
        <f t="shared" si="1"/>
        <v/>
      </c>
      <c r="E5046" s="100" t="str">
        <f t="shared" si="2"/>
        <v/>
      </c>
      <c r="F5046" s="100" t="str">
        <f t="shared" si="3"/>
        <v/>
      </c>
      <c r="G5046" s="151"/>
      <c r="H5046" s="160"/>
      <c r="I5046" s="157"/>
      <c r="J5046" s="158"/>
      <c r="L5046" s="94"/>
      <c r="M5046" s="159"/>
      <c r="N5046" s="94"/>
    </row>
    <row r="5047">
      <c r="A5047" s="107">
        <v>1629598.0</v>
      </c>
      <c r="B5047" s="108" t="s">
        <v>193</v>
      </c>
      <c r="C5047" s="108" t="s">
        <v>1219</v>
      </c>
      <c r="D5047" s="100" t="str">
        <f t="shared" si="1"/>
        <v/>
      </c>
      <c r="E5047" s="100" t="str">
        <f t="shared" si="2"/>
        <v/>
      </c>
      <c r="F5047" s="100" t="str">
        <f t="shared" si="3"/>
        <v/>
      </c>
      <c r="G5047" s="151"/>
      <c r="H5047" s="156"/>
      <c r="I5047" s="157"/>
      <c r="J5047" s="161"/>
      <c r="L5047" s="94"/>
      <c r="M5047" s="159"/>
      <c r="N5047" s="94"/>
    </row>
    <row r="5048">
      <c r="A5048" s="107">
        <v>1629599.0</v>
      </c>
      <c r="B5048" s="108" t="s">
        <v>193</v>
      </c>
      <c r="C5048" s="108" t="s">
        <v>1220</v>
      </c>
      <c r="D5048" s="100" t="str">
        <f t="shared" si="1"/>
        <v/>
      </c>
      <c r="E5048" s="100" t="str">
        <f t="shared" si="2"/>
        <v/>
      </c>
      <c r="F5048" s="100" t="str">
        <f t="shared" si="3"/>
        <v/>
      </c>
      <c r="G5048" s="151"/>
      <c r="H5048" s="160"/>
      <c r="I5048" s="157"/>
      <c r="J5048" s="158"/>
      <c r="L5048" s="94"/>
      <c r="M5048" s="159"/>
      <c r="N5048" s="94"/>
    </row>
    <row r="5049">
      <c r="A5049" s="107">
        <v>1629599.0</v>
      </c>
      <c r="B5049" s="108" t="s">
        <v>243</v>
      </c>
      <c r="C5049" s="108" t="s">
        <v>1220</v>
      </c>
      <c r="D5049" s="100" t="str">
        <f t="shared" si="1"/>
        <v/>
      </c>
      <c r="E5049" s="100" t="str">
        <f t="shared" si="2"/>
        <v/>
      </c>
      <c r="F5049" s="100" t="str">
        <f t="shared" si="3"/>
        <v/>
      </c>
      <c r="G5049" s="151"/>
      <c r="H5049" s="156"/>
      <c r="I5049" s="157"/>
      <c r="J5049" s="161"/>
      <c r="L5049" s="94"/>
      <c r="M5049" s="159"/>
      <c r="N5049" s="94"/>
    </row>
    <row r="5050">
      <c r="A5050" s="107">
        <v>1629599.0</v>
      </c>
      <c r="B5050" s="108" t="s">
        <v>215</v>
      </c>
      <c r="C5050" s="108" t="s">
        <v>1220</v>
      </c>
      <c r="D5050" s="100" t="str">
        <f t="shared" si="1"/>
        <v/>
      </c>
      <c r="E5050" s="100" t="str">
        <f t="shared" si="2"/>
        <v/>
      </c>
      <c r="F5050" s="100" t="str">
        <f t="shared" si="3"/>
        <v/>
      </c>
      <c r="G5050" s="151"/>
      <c r="H5050" s="160"/>
      <c r="I5050" s="157"/>
      <c r="J5050" s="158"/>
      <c r="L5050" s="94"/>
      <c r="M5050" s="159"/>
      <c r="N5050" s="94"/>
    </row>
    <row r="5051">
      <c r="A5051" s="107">
        <v>1629599.0</v>
      </c>
      <c r="B5051" s="108" t="s">
        <v>244</v>
      </c>
      <c r="C5051" s="108" t="s">
        <v>1220</v>
      </c>
      <c r="D5051" s="100" t="str">
        <f t="shared" si="1"/>
        <v/>
      </c>
      <c r="E5051" s="100" t="str">
        <f t="shared" si="2"/>
        <v/>
      </c>
      <c r="F5051" s="100" t="str">
        <f t="shared" si="3"/>
        <v/>
      </c>
      <c r="G5051" s="151"/>
      <c r="H5051" s="156"/>
      <c r="I5051" s="157"/>
      <c r="J5051" s="161"/>
      <c r="L5051" s="94"/>
      <c r="M5051" s="159"/>
      <c r="N5051" s="94"/>
    </row>
    <row r="5052">
      <c r="A5052" s="107">
        <v>1629599.0</v>
      </c>
      <c r="B5052" s="108" t="s">
        <v>245</v>
      </c>
      <c r="C5052" s="108" t="s">
        <v>1220</v>
      </c>
      <c r="D5052" s="100" t="str">
        <f t="shared" si="1"/>
        <v/>
      </c>
      <c r="E5052" s="100" t="str">
        <f t="shared" si="2"/>
        <v/>
      </c>
      <c r="F5052" s="100" t="str">
        <f t="shared" si="3"/>
        <v/>
      </c>
      <c r="G5052" s="151"/>
      <c r="H5052" s="160"/>
      <c r="I5052" s="157"/>
      <c r="J5052" s="158"/>
      <c r="L5052" s="94"/>
      <c r="M5052" s="159"/>
      <c r="N5052" s="94"/>
    </row>
    <row r="5053">
      <c r="A5053" s="107">
        <v>1629599.0</v>
      </c>
      <c r="B5053" s="108" t="s">
        <v>246</v>
      </c>
      <c r="C5053" s="108" t="s">
        <v>1220</v>
      </c>
      <c r="D5053" s="100" t="str">
        <f t="shared" si="1"/>
        <v/>
      </c>
      <c r="E5053" s="100" t="str">
        <f t="shared" si="2"/>
        <v/>
      </c>
      <c r="F5053" s="100" t="str">
        <f t="shared" si="3"/>
        <v/>
      </c>
      <c r="G5053" s="151"/>
      <c r="H5053" s="156"/>
      <c r="I5053" s="157"/>
      <c r="J5053" s="161"/>
      <c r="L5053" s="94"/>
      <c r="M5053" s="159"/>
      <c r="N5053" s="94"/>
    </row>
    <row r="5054">
      <c r="A5054" s="149">
        <v>1629599.0</v>
      </c>
      <c r="B5054" s="115" t="s">
        <v>247</v>
      </c>
      <c r="C5054" s="115" t="s">
        <v>1220</v>
      </c>
      <c r="D5054" s="100" t="str">
        <f t="shared" si="1"/>
        <v/>
      </c>
      <c r="E5054" s="100" t="str">
        <f t="shared" si="2"/>
        <v/>
      </c>
      <c r="F5054" s="100" t="str">
        <f t="shared" si="3"/>
        <v/>
      </c>
      <c r="G5054" s="151"/>
      <c r="H5054" s="160"/>
      <c r="I5054" s="157"/>
      <c r="J5054" s="158"/>
      <c r="L5054" s="94"/>
      <c r="M5054" s="159"/>
      <c r="N5054" s="94"/>
    </row>
    <row r="5055">
      <c r="A5055" s="21">
        <v>1629600.0</v>
      </c>
      <c r="B5055" s="164" t="s">
        <v>215</v>
      </c>
      <c r="C5055" s="164" t="s">
        <v>1221</v>
      </c>
      <c r="D5055" s="100" t="str">
        <f t="shared" si="1"/>
        <v/>
      </c>
      <c r="E5055" s="100" t="str">
        <f t="shared" si="2"/>
        <v/>
      </c>
      <c r="F5055" s="100" t="str">
        <f t="shared" si="3"/>
        <v/>
      </c>
      <c r="G5055" s="151"/>
      <c r="H5055" s="156"/>
      <c r="I5055" s="157"/>
      <c r="J5055" s="161"/>
      <c r="L5055" s="94"/>
      <c r="M5055" s="159"/>
      <c r="N5055" s="94"/>
    </row>
    <row r="5056">
      <c r="A5056" s="107">
        <v>1629602.0</v>
      </c>
      <c r="B5056" s="108" t="s">
        <v>215</v>
      </c>
      <c r="C5056" s="108" t="s">
        <v>1222</v>
      </c>
      <c r="D5056" s="100" t="str">
        <f t="shared" si="1"/>
        <v/>
      </c>
      <c r="E5056" s="100" t="str">
        <f t="shared" si="2"/>
        <v/>
      </c>
      <c r="F5056" s="100" t="str">
        <f t="shared" si="3"/>
        <v/>
      </c>
      <c r="G5056" s="151"/>
      <c r="H5056" s="160"/>
      <c r="I5056" s="157"/>
      <c r="J5056" s="158"/>
      <c r="L5056" s="94"/>
      <c r="M5056" s="159"/>
      <c r="N5056" s="94"/>
    </row>
    <row r="5057">
      <c r="A5057" s="107">
        <v>1629603.0</v>
      </c>
      <c r="B5057" s="108" t="s">
        <v>243</v>
      </c>
      <c r="C5057" s="108" t="s">
        <v>1223</v>
      </c>
      <c r="D5057" s="100" t="str">
        <f t="shared" si="1"/>
        <v/>
      </c>
      <c r="E5057" s="100" t="str">
        <f t="shared" si="2"/>
        <v/>
      </c>
      <c r="F5057" s="100" t="str">
        <f t="shared" si="3"/>
        <v/>
      </c>
      <c r="G5057" s="151"/>
      <c r="H5057" s="156"/>
      <c r="I5057" s="157"/>
      <c r="J5057" s="161"/>
      <c r="L5057" s="94"/>
      <c r="M5057" s="159"/>
      <c r="N5057" s="94"/>
    </row>
    <row r="5058">
      <c r="A5058" s="107">
        <v>1629603.0</v>
      </c>
      <c r="B5058" s="108" t="s">
        <v>215</v>
      </c>
      <c r="C5058" s="108" t="s">
        <v>1223</v>
      </c>
      <c r="D5058" s="100" t="str">
        <f t="shared" si="1"/>
        <v/>
      </c>
      <c r="E5058" s="100" t="str">
        <f t="shared" si="2"/>
        <v/>
      </c>
      <c r="F5058" s="100" t="str">
        <f t="shared" si="3"/>
        <v/>
      </c>
      <c r="G5058" s="151"/>
      <c r="H5058" s="160"/>
      <c r="I5058" s="157"/>
      <c r="J5058" s="158"/>
      <c r="L5058" s="94"/>
      <c r="M5058" s="159"/>
      <c r="N5058" s="94"/>
    </row>
    <row r="5059">
      <c r="A5059" s="107">
        <v>1629603.0</v>
      </c>
      <c r="B5059" s="108" t="s">
        <v>244</v>
      </c>
      <c r="C5059" s="108" t="s">
        <v>1223</v>
      </c>
      <c r="D5059" s="100" t="str">
        <f t="shared" si="1"/>
        <v/>
      </c>
      <c r="E5059" s="100" t="str">
        <f t="shared" si="2"/>
        <v/>
      </c>
      <c r="F5059" s="100" t="str">
        <f t="shared" si="3"/>
        <v/>
      </c>
      <c r="G5059" s="151"/>
      <c r="H5059" s="156"/>
      <c r="I5059" s="157"/>
      <c r="J5059" s="161"/>
      <c r="L5059" s="94"/>
      <c r="M5059" s="159"/>
      <c r="N5059" s="94"/>
    </row>
    <row r="5060">
      <c r="A5060" s="107">
        <v>1629603.0</v>
      </c>
      <c r="B5060" s="108" t="s">
        <v>245</v>
      </c>
      <c r="C5060" s="108" t="s">
        <v>1223</v>
      </c>
      <c r="D5060" s="100" t="str">
        <f t="shared" si="1"/>
        <v/>
      </c>
      <c r="E5060" s="100" t="str">
        <f t="shared" si="2"/>
        <v/>
      </c>
      <c r="F5060" s="100" t="str">
        <f t="shared" si="3"/>
        <v/>
      </c>
      <c r="G5060" s="151"/>
      <c r="H5060" s="160"/>
      <c r="I5060" s="157"/>
      <c r="J5060" s="158"/>
      <c r="L5060" s="94"/>
      <c r="M5060" s="159"/>
      <c r="N5060" s="94"/>
    </row>
    <row r="5061">
      <c r="A5061" s="107">
        <v>1629604.0</v>
      </c>
      <c r="B5061" s="108" t="s">
        <v>243</v>
      </c>
      <c r="C5061" s="108" t="s">
        <v>1224</v>
      </c>
      <c r="D5061" s="100" t="str">
        <f t="shared" si="1"/>
        <v/>
      </c>
      <c r="E5061" s="100" t="str">
        <f t="shared" si="2"/>
        <v/>
      </c>
      <c r="F5061" s="100" t="str">
        <f t="shared" si="3"/>
        <v/>
      </c>
      <c r="G5061" s="151"/>
      <c r="H5061" s="156"/>
      <c r="I5061" s="157"/>
      <c r="J5061" s="161"/>
      <c r="L5061" s="94"/>
      <c r="M5061" s="159"/>
      <c r="N5061" s="94"/>
    </row>
    <row r="5062">
      <c r="A5062" s="107">
        <v>1629604.0</v>
      </c>
      <c r="B5062" s="108" t="s">
        <v>215</v>
      </c>
      <c r="C5062" s="108" t="s">
        <v>1224</v>
      </c>
      <c r="D5062" s="100" t="str">
        <f t="shared" si="1"/>
        <v/>
      </c>
      <c r="E5062" s="100" t="str">
        <f t="shared" si="2"/>
        <v/>
      </c>
      <c r="F5062" s="100" t="str">
        <f t="shared" si="3"/>
        <v/>
      </c>
      <c r="G5062" s="151"/>
      <c r="H5062" s="160"/>
      <c r="I5062" s="157"/>
      <c r="J5062" s="158"/>
      <c r="L5062" s="94"/>
      <c r="M5062" s="159"/>
      <c r="N5062" s="94"/>
    </row>
    <row r="5063">
      <c r="A5063" s="107">
        <v>1629605.0</v>
      </c>
      <c r="B5063" s="108" t="s">
        <v>193</v>
      </c>
      <c r="C5063" s="108" t="s">
        <v>1225</v>
      </c>
      <c r="D5063" s="100" t="str">
        <f t="shared" si="1"/>
        <v/>
      </c>
      <c r="E5063" s="100" t="str">
        <f t="shared" si="2"/>
        <v/>
      </c>
      <c r="F5063" s="100" t="str">
        <f t="shared" si="3"/>
        <v/>
      </c>
      <c r="G5063" s="151"/>
      <c r="H5063" s="156"/>
      <c r="I5063" s="157"/>
      <c r="J5063" s="161"/>
      <c r="L5063" s="94"/>
      <c r="M5063" s="159"/>
      <c r="N5063" s="94"/>
    </row>
    <row r="5064">
      <c r="A5064" s="107">
        <v>1629605.0</v>
      </c>
      <c r="B5064" s="108" t="s">
        <v>243</v>
      </c>
      <c r="C5064" s="108" t="s">
        <v>1225</v>
      </c>
      <c r="D5064" s="100" t="str">
        <f t="shared" si="1"/>
        <v/>
      </c>
      <c r="E5064" s="100" t="str">
        <f t="shared" si="2"/>
        <v/>
      </c>
      <c r="F5064" s="100" t="str">
        <f t="shared" si="3"/>
        <v/>
      </c>
      <c r="G5064" s="151"/>
      <c r="H5064" s="160"/>
      <c r="I5064" s="157"/>
      <c r="J5064" s="158"/>
      <c r="L5064" s="94"/>
      <c r="M5064" s="159"/>
      <c r="N5064" s="94"/>
    </row>
    <row r="5065">
      <c r="A5065" s="107">
        <v>1629605.0</v>
      </c>
      <c r="B5065" s="108" t="s">
        <v>215</v>
      </c>
      <c r="C5065" s="108" t="s">
        <v>1225</v>
      </c>
      <c r="D5065" s="100" t="str">
        <f t="shared" si="1"/>
        <v/>
      </c>
      <c r="E5065" s="100" t="str">
        <f t="shared" si="2"/>
        <v/>
      </c>
      <c r="F5065" s="100" t="str">
        <f t="shared" si="3"/>
        <v/>
      </c>
      <c r="G5065" s="151"/>
      <c r="H5065" s="156"/>
      <c r="I5065" s="157"/>
      <c r="J5065" s="161"/>
      <c r="L5065" s="94"/>
      <c r="M5065" s="159"/>
      <c r="N5065" s="94"/>
    </row>
    <row r="5066">
      <c r="A5066" s="107">
        <v>1629606.0</v>
      </c>
      <c r="B5066" s="108" t="s">
        <v>243</v>
      </c>
      <c r="C5066" s="108" t="s">
        <v>1226</v>
      </c>
      <c r="D5066" s="100" t="str">
        <f t="shared" si="1"/>
        <v/>
      </c>
      <c r="E5066" s="100" t="str">
        <f t="shared" si="2"/>
        <v/>
      </c>
      <c r="F5066" s="100" t="str">
        <f t="shared" si="3"/>
        <v/>
      </c>
      <c r="G5066" s="151"/>
      <c r="H5066" s="160"/>
      <c r="I5066" s="157"/>
      <c r="J5066" s="158"/>
      <c r="L5066" s="94"/>
      <c r="M5066" s="159"/>
      <c r="N5066" s="94"/>
    </row>
    <row r="5067">
      <c r="A5067" s="107">
        <v>1629607.0</v>
      </c>
      <c r="B5067" s="108" t="s">
        <v>193</v>
      </c>
      <c r="C5067" s="108" t="s">
        <v>1227</v>
      </c>
      <c r="D5067" s="100" t="str">
        <f t="shared" si="1"/>
        <v/>
      </c>
      <c r="E5067" s="100" t="str">
        <f t="shared" si="2"/>
        <v/>
      </c>
      <c r="F5067" s="100" t="str">
        <f t="shared" si="3"/>
        <v/>
      </c>
      <c r="G5067" s="151"/>
      <c r="H5067" s="156"/>
      <c r="I5067" s="157"/>
      <c r="J5067" s="161"/>
      <c r="L5067" s="94"/>
      <c r="M5067" s="159"/>
      <c r="N5067" s="94"/>
    </row>
    <row r="5068">
      <c r="A5068" s="107">
        <v>1629607.0</v>
      </c>
      <c r="B5068" s="108" t="s">
        <v>243</v>
      </c>
      <c r="C5068" s="108" t="s">
        <v>1227</v>
      </c>
      <c r="D5068" s="100" t="str">
        <f t="shared" si="1"/>
        <v/>
      </c>
      <c r="E5068" s="100" t="str">
        <f t="shared" si="2"/>
        <v/>
      </c>
      <c r="F5068" s="100" t="str">
        <f t="shared" si="3"/>
        <v/>
      </c>
      <c r="G5068" s="151"/>
      <c r="H5068" s="160"/>
      <c r="I5068" s="157"/>
      <c r="J5068" s="158"/>
      <c r="L5068" s="94"/>
      <c r="M5068" s="159"/>
      <c r="N5068" s="94"/>
    </row>
    <row r="5069">
      <c r="A5069" s="107">
        <v>1629607.0</v>
      </c>
      <c r="B5069" s="108" t="s">
        <v>215</v>
      </c>
      <c r="C5069" s="108" t="s">
        <v>1227</v>
      </c>
      <c r="D5069" s="100" t="str">
        <f t="shared" si="1"/>
        <v/>
      </c>
      <c r="E5069" s="100" t="str">
        <f t="shared" si="2"/>
        <v/>
      </c>
      <c r="F5069" s="100" t="str">
        <f t="shared" si="3"/>
        <v/>
      </c>
      <c r="G5069" s="151"/>
      <c r="H5069" s="156"/>
      <c r="I5069" s="157"/>
      <c r="J5069" s="161"/>
      <c r="L5069" s="94"/>
      <c r="M5069" s="159"/>
      <c r="N5069" s="94"/>
    </row>
    <row r="5070">
      <c r="A5070" s="107">
        <v>1629608.0</v>
      </c>
      <c r="B5070" s="108" t="s">
        <v>193</v>
      </c>
      <c r="C5070" s="108" t="s">
        <v>1228</v>
      </c>
      <c r="D5070" s="100" t="str">
        <f t="shared" si="1"/>
        <v/>
      </c>
      <c r="E5070" s="100" t="str">
        <f t="shared" si="2"/>
        <v/>
      </c>
      <c r="F5070" s="100" t="str">
        <f t="shared" si="3"/>
        <v/>
      </c>
      <c r="G5070" s="151"/>
      <c r="H5070" s="160"/>
      <c r="I5070" s="157"/>
      <c r="J5070" s="158"/>
      <c r="L5070" s="94"/>
      <c r="M5070" s="159"/>
      <c r="N5070" s="94"/>
    </row>
    <row r="5071">
      <c r="A5071" s="107">
        <v>1629610.0</v>
      </c>
      <c r="B5071" s="108" t="s">
        <v>193</v>
      </c>
      <c r="C5071" s="108" t="s">
        <v>1229</v>
      </c>
      <c r="D5071" s="100" t="str">
        <f t="shared" si="1"/>
        <v/>
      </c>
      <c r="E5071" s="100" t="str">
        <f t="shared" si="2"/>
        <v/>
      </c>
      <c r="F5071" s="100" t="str">
        <f t="shared" si="3"/>
        <v/>
      </c>
      <c r="G5071" s="151"/>
      <c r="H5071" s="156"/>
      <c r="I5071" s="157"/>
      <c r="J5071" s="161"/>
      <c r="L5071" s="94"/>
      <c r="M5071" s="159"/>
      <c r="N5071" s="94"/>
    </row>
    <row r="5072">
      <c r="A5072" s="107">
        <v>1629610.0</v>
      </c>
      <c r="B5072" s="108" t="s">
        <v>243</v>
      </c>
      <c r="C5072" s="108" t="s">
        <v>1229</v>
      </c>
      <c r="D5072" s="100" t="str">
        <f t="shared" si="1"/>
        <v/>
      </c>
      <c r="E5072" s="100" t="str">
        <f t="shared" si="2"/>
        <v/>
      </c>
      <c r="F5072" s="100" t="str">
        <f t="shared" si="3"/>
        <v/>
      </c>
      <c r="G5072" s="151"/>
      <c r="H5072" s="160"/>
      <c r="I5072" s="157"/>
      <c r="J5072" s="158"/>
      <c r="L5072" s="94"/>
      <c r="M5072" s="159"/>
      <c r="N5072" s="94"/>
    </row>
    <row r="5073">
      <c r="A5073" s="107">
        <v>1629610.0</v>
      </c>
      <c r="B5073" s="108" t="s">
        <v>215</v>
      </c>
      <c r="C5073" s="108" t="s">
        <v>1229</v>
      </c>
      <c r="D5073" s="100" t="str">
        <f t="shared" si="1"/>
        <v/>
      </c>
      <c r="E5073" s="100" t="str">
        <f t="shared" si="2"/>
        <v/>
      </c>
      <c r="F5073" s="100" t="str">
        <f t="shared" si="3"/>
        <v/>
      </c>
      <c r="G5073" s="151"/>
      <c r="H5073" s="156"/>
      <c r="I5073" s="157"/>
      <c r="J5073" s="161"/>
      <c r="L5073" s="94"/>
      <c r="M5073" s="159"/>
      <c r="N5073" s="94"/>
    </row>
    <row r="5074">
      <c r="A5074" s="107">
        <v>1629610.0</v>
      </c>
      <c r="B5074" s="108" t="s">
        <v>245</v>
      </c>
      <c r="C5074" s="108" t="s">
        <v>1229</v>
      </c>
      <c r="D5074" s="100" t="str">
        <f t="shared" si="1"/>
        <v/>
      </c>
      <c r="E5074" s="100" t="str">
        <f t="shared" si="2"/>
        <v/>
      </c>
      <c r="F5074" s="100" t="str">
        <f t="shared" si="3"/>
        <v/>
      </c>
      <c r="G5074" s="151"/>
      <c r="H5074" s="160"/>
      <c r="I5074" s="157"/>
      <c r="J5074" s="158"/>
      <c r="L5074" s="94"/>
      <c r="M5074" s="159"/>
      <c r="N5074" s="94"/>
    </row>
    <row r="5075">
      <c r="A5075" s="107">
        <v>1629610.0</v>
      </c>
      <c r="B5075" s="108" t="s">
        <v>246</v>
      </c>
      <c r="C5075" s="108" t="s">
        <v>1229</v>
      </c>
      <c r="D5075" s="100" t="str">
        <f t="shared" si="1"/>
        <v/>
      </c>
      <c r="E5075" s="100" t="str">
        <f t="shared" si="2"/>
        <v/>
      </c>
      <c r="F5075" s="100" t="str">
        <f t="shared" si="3"/>
        <v/>
      </c>
      <c r="G5075" s="151"/>
      <c r="H5075" s="156"/>
      <c r="I5075" s="157"/>
      <c r="J5075" s="161"/>
      <c r="L5075" s="94"/>
      <c r="M5075" s="159"/>
      <c r="N5075" s="94"/>
    </row>
    <row r="5076">
      <c r="A5076" s="107">
        <v>1629611.0</v>
      </c>
      <c r="B5076" s="108" t="s">
        <v>193</v>
      </c>
      <c r="C5076" s="108" t="s">
        <v>1230</v>
      </c>
      <c r="D5076" s="100" t="str">
        <f t="shared" si="1"/>
        <v/>
      </c>
      <c r="E5076" s="100" t="str">
        <f t="shared" si="2"/>
        <v/>
      </c>
      <c r="F5076" s="100" t="str">
        <f t="shared" si="3"/>
        <v/>
      </c>
      <c r="G5076" s="151"/>
      <c r="H5076" s="160"/>
      <c r="I5076" s="157"/>
      <c r="J5076" s="158"/>
      <c r="L5076" s="94"/>
      <c r="M5076" s="159"/>
      <c r="N5076" s="94"/>
    </row>
    <row r="5077">
      <c r="A5077" s="107">
        <v>1629611.0</v>
      </c>
      <c r="B5077" s="108" t="s">
        <v>243</v>
      </c>
      <c r="C5077" s="108" t="s">
        <v>1230</v>
      </c>
      <c r="D5077" s="100" t="str">
        <f t="shared" si="1"/>
        <v/>
      </c>
      <c r="E5077" s="100" t="str">
        <f t="shared" si="2"/>
        <v/>
      </c>
      <c r="F5077" s="100" t="str">
        <f t="shared" si="3"/>
        <v/>
      </c>
      <c r="G5077" s="151"/>
      <c r="H5077" s="156"/>
      <c r="I5077" s="157"/>
      <c r="J5077" s="161"/>
      <c r="L5077" s="94"/>
      <c r="M5077" s="159"/>
      <c r="N5077" s="94"/>
    </row>
    <row r="5078">
      <c r="A5078" s="107">
        <v>1629611.0</v>
      </c>
      <c r="B5078" s="108" t="s">
        <v>215</v>
      </c>
      <c r="C5078" s="108" t="s">
        <v>1230</v>
      </c>
      <c r="D5078" s="100" t="str">
        <f t="shared" si="1"/>
        <v/>
      </c>
      <c r="E5078" s="100" t="str">
        <f t="shared" si="2"/>
        <v/>
      </c>
      <c r="F5078" s="100" t="str">
        <f t="shared" si="3"/>
        <v/>
      </c>
      <c r="G5078" s="151"/>
      <c r="H5078" s="160"/>
      <c r="I5078" s="157"/>
      <c r="J5078" s="158"/>
      <c r="L5078" s="94"/>
      <c r="M5078" s="159"/>
      <c r="N5078" s="94"/>
    </row>
    <row r="5079">
      <c r="A5079" s="107">
        <v>1629611.0</v>
      </c>
      <c r="B5079" s="108" t="s">
        <v>244</v>
      </c>
      <c r="C5079" s="108" t="s">
        <v>1230</v>
      </c>
      <c r="D5079" s="100" t="str">
        <f t="shared" si="1"/>
        <v/>
      </c>
      <c r="E5079" s="100" t="str">
        <f t="shared" si="2"/>
        <v/>
      </c>
      <c r="F5079" s="100" t="str">
        <f t="shared" si="3"/>
        <v/>
      </c>
      <c r="G5079" s="151"/>
      <c r="H5079" s="156"/>
      <c r="I5079" s="157"/>
      <c r="J5079" s="161"/>
      <c r="L5079" s="94"/>
      <c r="M5079" s="159"/>
      <c r="N5079" s="94"/>
    </row>
    <row r="5080">
      <c r="A5080" s="107">
        <v>1629611.0</v>
      </c>
      <c r="B5080" s="108" t="s">
        <v>245</v>
      </c>
      <c r="C5080" s="108" t="s">
        <v>1230</v>
      </c>
      <c r="D5080" s="100" t="str">
        <f t="shared" si="1"/>
        <v/>
      </c>
      <c r="E5080" s="100" t="str">
        <f t="shared" si="2"/>
        <v/>
      </c>
      <c r="F5080" s="100" t="str">
        <f t="shared" si="3"/>
        <v/>
      </c>
      <c r="G5080" s="151"/>
      <c r="H5080" s="160"/>
      <c r="I5080" s="157"/>
      <c r="J5080" s="158"/>
      <c r="L5080" s="94"/>
      <c r="M5080" s="159"/>
      <c r="N5080" s="94"/>
    </row>
    <row r="5081">
      <c r="A5081" s="107">
        <v>1629611.0</v>
      </c>
      <c r="B5081" s="108" t="s">
        <v>246</v>
      </c>
      <c r="C5081" s="108" t="s">
        <v>1230</v>
      </c>
      <c r="D5081" s="100" t="str">
        <f t="shared" si="1"/>
        <v/>
      </c>
      <c r="E5081" s="100" t="str">
        <f t="shared" si="2"/>
        <v/>
      </c>
      <c r="F5081" s="100" t="str">
        <f t="shared" si="3"/>
        <v/>
      </c>
      <c r="G5081" s="151"/>
      <c r="H5081" s="156"/>
      <c r="I5081" s="157"/>
      <c r="J5081" s="161"/>
      <c r="L5081" s="94"/>
      <c r="M5081" s="159"/>
      <c r="N5081" s="94"/>
    </row>
    <row r="5082">
      <c r="A5082" s="149">
        <v>1629611.0</v>
      </c>
      <c r="B5082" s="115" t="s">
        <v>247</v>
      </c>
      <c r="C5082" s="115" t="s">
        <v>1230</v>
      </c>
      <c r="D5082" s="100" t="str">
        <f t="shared" si="1"/>
        <v/>
      </c>
      <c r="E5082" s="100" t="str">
        <f t="shared" si="2"/>
        <v/>
      </c>
      <c r="F5082" s="100" t="str">
        <f t="shared" si="3"/>
        <v/>
      </c>
      <c r="G5082" s="151"/>
      <c r="H5082" s="160"/>
      <c r="I5082" s="157"/>
      <c r="J5082" s="158"/>
      <c r="L5082" s="94"/>
      <c r="M5082" s="159"/>
      <c r="N5082" s="94"/>
    </row>
    <row r="5083">
      <c r="A5083" s="21">
        <v>1629614.0</v>
      </c>
      <c r="B5083" s="164" t="s">
        <v>244</v>
      </c>
      <c r="C5083" s="164" t="s">
        <v>1231</v>
      </c>
      <c r="D5083" s="100" t="str">
        <f t="shared" si="1"/>
        <v/>
      </c>
      <c r="E5083" s="100" t="str">
        <f t="shared" si="2"/>
        <v/>
      </c>
      <c r="F5083" s="100" t="str">
        <f t="shared" si="3"/>
        <v/>
      </c>
      <c r="G5083" s="151"/>
      <c r="H5083" s="156"/>
      <c r="I5083" s="157"/>
      <c r="J5083" s="161"/>
      <c r="L5083" s="94"/>
      <c r="M5083" s="159"/>
      <c r="N5083" s="94"/>
    </row>
    <row r="5084">
      <c r="A5084" s="107">
        <v>1629614.0</v>
      </c>
      <c r="B5084" s="108" t="s">
        <v>245</v>
      </c>
      <c r="C5084" s="108" t="s">
        <v>1231</v>
      </c>
      <c r="D5084" s="100" t="str">
        <f t="shared" si="1"/>
        <v/>
      </c>
      <c r="E5084" s="100" t="str">
        <f t="shared" si="2"/>
        <v/>
      </c>
      <c r="F5084" s="100" t="str">
        <f t="shared" si="3"/>
        <v/>
      </c>
      <c r="G5084" s="151"/>
      <c r="H5084" s="160"/>
      <c r="I5084" s="157"/>
      <c r="J5084" s="158"/>
      <c r="L5084" s="94"/>
      <c r="M5084" s="159"/>
      <c r="N5084" s="94"/>
    </row>
    <row r="5085">
      <c r="A5085" s="107">
        <v>1629614.0</v>
      </c>
      <c r="B5085" s="108" t="s">
        <v>246</v>
      </c>
      <c r="C5085" s="108" t="s">
        <v>1231</v>
      </c>
      <c r="D5085" s="100" t="str">
        <f t="shared" si="1"/>
        <v/>
      </c>
      <c r="E5085" s="100" t="str">
        <f t="shared" si="2"/>
        <v/>
      </c>
      <c r="F5085" s="100" t="str">
        <f t="shared" si="3"/>
        <v/>
      </c>
      <c r="G5085" s="151"/>
      <c r="H5085" s="156"/>
      <c r="I5085" s="157"/>
      <c r="J5085" s="161"/>
      <c r="L5085" s="94"/>
      <c r="M5085" s="159"/>
      <c r="N5085" s="94"/>
    </row>
    <row r="5086">
      <c r="A5086" s="149">
        <v>1629614.0</v>
      </c>
      <c r="B5086" s="115" t="s">
        <v>247</v>
      </c>
      <c r="C5086" s="115" t="s">
        <v>1231</v>
      </c>
      <c r="D5086" s="100" t="str">
        <f t="shared" si="1"/>
        <v/>
      </c>
      <c r="E5086" s="100" t="str">
        <f t="shared" si="2"/>
        <v/>
      </c>
      <c r="F5086" s="100" t="str">
        <f t="shared" si="3"/>
        <v/>
      </c>
      <c r="G5086" s="151"/>
      <c r="H5086" s="160"/>
      <c r="I5086" s="157"/>
      <c r="J5086" s="158"/>
      <c r="L5086" s="94"/>
      <c r="M5086" s="159"/>
      <c r="N5086" s="94"/>
    </row>
    <row r="5087">
      <c r="A5087" s="21">
        <v>1629617.0</v>
      </c>
      <c r="B5087" s="164" t="s">
        <v>243</v>
      </c>
      <c r="C5087" s="164" t="s">
        <v>1232</v>
      </c>
      <c r="D5087" s="100" t="str">
        <f t="shared" si="1"/>
        <v/>
      </c>
      <c r="E5087" s="100" t="str">
        <f t="shared" si="2"/>
        <v/>
      </c>
      <c r="F5087" s="100" t="str">
        <f t="shared" si="3"/>
        <v/>
      </c>
      <c r="G5087" s="151"/>
      <c r="H5087" s="156"/>
      <c r="I5087" s="157"/>
      <c r="J5087" s="161"/>
      <c r="L5087" s="94"/>
      <c r="M5087" s="159"/>
      <c r="N5087" s="94"/>
    </row>
    <row r="5088">
      <c r="A5088" s="107">
        <v>1629617.0</v>
      </c>
      <c r="B5088" s="108" t="s">
        <v>215</v>
      </c>
      <c r="C5088" s="108" t="s">
        <v>1232</v>
      </c>
      <c r="D5088" s="100" t="str">
        <f t="shared" si="1"/>
        <v/>
      </c>
      <c r="E5088" s="100" t="str">
        <f t="shared" si="2"/>
        <v/>
      </c>
      <c r="F5088" s="100" t="str">
        <f t="shared" si="3"/>
        <v/>
      </c>
      <c r="G5088" s="151"/>
      <c r="H5088" s="160"/>
      <c r="I5088" s="157"/>
      <c r="J5088" s="158"/>
      <c r="L5088" s="94"/>
      <c r="M5088" s="159"/>
      <c r="N5088" s="94"/>
    </row>
    <row r="5089">
      <c r="A5089" s="107">
        <v>1629618.0</v>
      </c>
      <c r="B5089" s="108" t="s">
        <v>245</v>
      </c>
      <c r="C5089" s="108" t="s">
        <v>1233</v>
      </c>
      <c r="D5089" s="100" t="str">
        <f t="shared" si="1"/>
        <v/>
      </c>
      <c r="E5089" s="100" t="str">
        <f t="shared" si="2"/>
        <v/>
      </c>
      <c r="F5089" s="100" t="str">
        <f t="shared" si="3"/>
        <v/>
      </c>
      <c r="G5089" s="151"/>
      <c r="H5089" s="156"/>
      <c r="I5089" s="157"/>
      <c r="J5089" s="161"/>
      <c r="L5089" s="94"/>
      <c r="M5089" s="159"/>
      <c r="N5089" s="94"/>
    </row>
    <row r="5090">
      <c r="A5090" s="107">
        <v>1629618.0</v>
      </c>
      <c r="B5090" s="108" t="s">
        <v>246</v>
      </c>
      <c r="C5090" s="108" t="s">
        <v>1233</v>
      </c>
      <c r="D5090" s="100" t="str">
        <f t="shared" si="1"/>
        <v/>
      </c>
      <c r="E5090" s="100" t="str">
        <f t="shared" si="2"/>
        <v/>
      </c>
      <c r="F5090" s="100" t="str">
        <f t="shared" si="3"/>
        <v/>
      </c>
      <c r="G5090" s="151"/>
      <c r="H5090" s="160"/>
      <c r="I5090" s="157"/>
      <c r="J5090" s="158"/>
      <c r="L5090" s="94"/>
      <c r="M5090" s="159"/>
      <c r="N5090" s="94"/>
    </row>
    <row r="5091">
      <c r="A5091" s="149">
        <v>1629618.0</v>
      </c>
      <c r="B5091" s="115" t="s">
        <v>247</v>
      </c>
      <c r="C5091" s="115" t="s">
        <v>1233</v>
      </c>
      <c r="D5091" s="100" t="str">
        <f t="shared" si="1"/>
        <v/>
      </c>
      <c r="E5091" s="100" t="str">
        <f t="shared" si="2"/>
        <v/>
      </c>
      <c r="F5091" s="100" t="str">
        <f t="shared" si="3"/>
        <v/>
      </c>
      <c r="G5091" s="151"/>
      <c r="H5091" s="156"/>
      <c r="I5091" s="157"/>
      <c r="J5091" s="161"/>
      <c r="L5091" s="94"/>
      <c r="M5091" s="159"/>
      <c r="N5091" s="94"/>
    </row>
    <row r="5092">
      <c r="A5092" s="21">
        <v>1629619.0</v>
      </c>
      <c r="B5092" s="164" t="s">
        <v>215</v>
      </c>
      <c r="C5092" s="164" t="s">
        <v>1234</v>
      </c>
      <c r="D5092" s="100" t="str">
        <f t="shared" si="1"/>
        <v/>
      </c>
      <c r="E5092" s="100" t="str">
        <f t="shared" si="2"/>
        <v/>
      </c>
      <c r="F5092" s="100" t="str">
        <f t="shared" si="3"/>
        <v/>
      </c>
      <c r="G5092" s="151"/>
      <c r="H5092" s="160"/>
      <c r="I5092" s="157"/>
      <c r="J5092" s="158"/>
      <c r="L5092" s="94"/>
      <c r="M5092" s="159"/>
      <c r="N5092" s="94"/>
    </row>
    <row r="5093">
      <c r="A5093" s="107">
        <v>1629620.0</v>
      </c>
      <c r="B5093" s="108" t="s">
        <v>193</v>
      </c>
      <c r="C5093" s="108" t="s">
        <v>1235</v>
      </c>
      <c r="D5093" s="100" t="str">
        <f t="shared" si="1"/>
        <v/>
      </c>
      <c r="E5093" s="100" t="str">
        <f t="shared" si="2"/>
        <v/>
      </c>
      <c r="F5093" s="100" t="str">
        <f t="shared" si="3"/>
        <v/>
      </c>
      <c r="G5093" s="151"/>
      <c r="H5093" s="156"/>
      <c r="I5093" s="157"/>
      <c r="J5093" s="161"/>
      <c r="L5093" s="94"/>
      <c r="M5093" s="159"/>
      <c r="N5093" s="94"/>
    </row>
    <row r="5094">
      <c r="A5094" s="107">
        <v>1629620.0</v>
      </c>
      <c r="B5094" s="108" t="s">
        <v>243</v>
      </c>
      <c r="C5094" s="108" t="s">
        <v>1235</v>
      </c>
      <c r="D5094" s="100" t="str">
        <f t="shared" si="1"/>
        <v/>
      </c>
      <c r="E5094" s="100" t="str">
        <f t="shared" si="2"/>
        <v/>
      </c>
      <c r="F5094" s="100" t="str">
        <f t="shared" si="3"/>
        <v/>
      </c>
      <c r="G5094" s="151"/>
      <c r="H5094" s="160"/>
      <c r="I5094" s="157"/>
      <c r="J5094" s="158"/>
      <c r="L5094" s="94"/>
      <c r="M5094" s="159"/>
      <c r="N5094" s="94"/>
    </row>
    <row r="5095">
      <c r="A5095" s="107">
        <v>1629620.0</v>
      </c>
      <c r="B5095" s="108" t="s">
        <v>215</v>
      </c>
      <c r="C5095" s="108" t="s">
        <v>1235</v>
      </c>
      <c r="D5095" s="100" t="str">
        <f t="shared" si="1"/>
        <v/>
      </c>
      <c r="E5095" s="100" t="str">
        <f t="shared" si="2"/>
        <v/>
      </c>
      <c r="F5095" s="100" t="str">
        <f t="shared" si="3"/>
        <v/>
      </c>
      <c r="G5095" s="151"/>
      <c r="H5095" s="156"/>
      <c r="I5095" s="157"/>
      <c r="J5095" s="161"/>
      <c r="L5095" s="94"/>
      <c r="M5095" s="159"/>
      <c r="N5095" s="94"/>
    </row>
    <row r="5096">
      <c r="A5096" s="107">
        <v>1629621.0</v>
      </c>
      <c r="B5096" s="108" t="s">
        <v>193</v>
      </c>
      <c r="C5096" s="108" t="s">
        <v>1236</v>
      </c>
      <c r="D5096" s="100" t="str">
        <f t="shared" si="1"/>
        <v/>
      </c>
      <c r="E5096" s="100" t="str">
        <f t="shared" si="2"/>
        <v/>
      </c>
      <c r="F5096" s="100" t="str">
        <f t="shared" si="3"/>
        <v/>
      </c>
      <c r="G5096" s="151"/>
      <c r="H5096" s="160"/>
      <c r="I5096" s="157"/>
      <c r="J5096" s="158"/>
      <c r="L5096" s="94"/>
      <c r="M5096" s="159"/>
      <c r="N5096" s="94"/>
    </row>
    <row r="5097">
      <c r="A5097" s="107">
        <v>1629622.0</v>
      </c>
      <c r="B5097" s="108" t="s">
        <v>193</v>
      </c>
      <c r="C5097" s="108" t="s">
        <v>1237</v>
      </c>
      <c r="D5097" s="100" t="str">
        <f t="shared" si="1"/>
        <v/>
      </c>
      <c r="E5097" s="100" t="str">
        <f t="shared" si="2"/>
        <v/>
      </c>
      <c r="F5097" s="100" t="str">
        <f t="shared" si="3"/>
        <v/>
      </c>
      <c r="G5097" s="151"/>
      <c r="H5097" s="156"/>
      <c r="I5097" s="157"/>
      <c r="J5097" s="161"/>
      <c r="L5097" s="94"/>
      <c r="M5097" s="159"/>
      <c r="N5097" s="94"/>
    </row>
    <row r="5098">
      <c r="A5098" s="107">
        <v>1629622.0</v>
      </c>
      <c r="B5098" s="108" t="s">
        <v>243</v>
      </c>
      <c r="C5098" s="108" t="s">
        <v>1237</v>
      </c>
      <c r="D5098" s="100" t="str">
        <f t="shared" si="1"/>
        <v/>
      </c>
      <c r="E5098" s="100" t="str">
        <f t="shared" si="2"/>
        <v/>
      </c>
      <c r="F5098" s="100" t="str">
        <f t="shared" si="3"/>
        <v/>
      </c>
      <c r="G5098" s="151"/>
      <c r="H5098" s="160"/>
      <c r="I5098" s="157"/>
      <c r="J5098" s="158"/>
      <c r="L5098" s="94"/>
      <c r="M5098" s="159"/>
      <c r="N5098" s="94"/>
    </row>
    <row r="5099">
      <c r="A5099" s="107">
        <v>1629622.0</v>
      </c>
      <c r="B5099" s="108" t="s">
        <v>215</v>
      </c>
      <c r="C5099" s="108" t="s">
        <v>1237</v>
      </c>
      <c r="D5099" s="100" t="str">
        <f t="shared" si="1"/>
        <v/>
      </c>
      <c r="E5099" s="100" t="str">
        <f t="shared" si="2"/>
        <v/>
      </c>
      <c r="F5099" s="100" t="str">
        <f t="shared" si="3"/>
        <v/>
      </c>
      <c r="G5099" s="151"/>
      <c r="H5099" s="156"/>
      <c r="I5099" s="157"/>
      <c r="J5099" s="161"/>
      <c r="L5099" s="94"/>
      <c r="M5099" s="159"/>
      <c r="N5099" s="94"/>
    </row>
    <row r="5100">
      <c r="A5100" s="107">
        <v>1629622.0</v>
      </c>
      <c r="B5100" s="108" t="s">
        <v>244</v>
      </c>
      <c r="C5100" s="108" t="s">
        <v>1237</v>
      </c>
      <c r="D5100" s="100" t="str">
        <f t="shared" si="1"/>
        <v/>
      </c>
      <c r="E5100" s="100" t="str">
        <f t="shared" si="2"/>
        <v/>
      </c>
      <c r="F5100" s="100" t="str">
        <f t="shared" si="3"/>
        <v/>
      </c>
      <c r="G5100" s="151"/>
      <c r="H5100" s="160"/>
      <c r="I5100" s="157"/>
      <c r="J5100" s="158"/>
      <c r="L5100" s="94"/>
      <c r="M5100" s="159"/>
      <c r="N5100" s="94"/>
    </row>
    <row r="5101">
      <c r="A5101" s="107">
        <v>1629622.0</v>
      </c>
      <c r="B5101" s="108" t="s">
        <v>245</v>
      </c>
      <c r="C5101" s="108" t="s">
        <v>1237</v>
      </c>
      <c r="D5101" s="100" t="str">
        <f t="shared" si="1"/>
        <v/>
      </c>
      <c r="E5101" s="100" t="str">
        <f t="shared" si="2"/>
        <v/>
      </c>
      <c r="F5101" s="100" t="str">
        <f t="shared" si="3"/>
        <v/>
      </c>
      <c r="G5101" s="151"/>
      <c r="H5101" s="156"/>
      <c r="I5101" s="157"/>
      <c r="J5101" s="161"/>
      <c r="L5101" s="94"/>
      <c r="M5101" s="159"/>
      <c r="N5101" s="94"/>
    </row>
    <row r="5102">
      <c r="A5102" s="107">
        <v>1629622.0</v>
      </c>
      <c r="B5102" s="108" t="s">
        <v>246</v>
      </c>
      <c r="C5102" s="108" t="s">
        <v>1237</v>
      </c>
      <c r="D5102" s="100" t="str">
        <f t="shared" si="1"/>
        <v/>
      </c>
      <c r="E5102" s="100" t="str">
        <f t="shared" si="2"/>
        <v/>
      </c>
      <c r="F5102" s="100" t="str">
        <f t="shared" si="3"/>
        <v/>
      </c>
      <c r="G5102" s="151"/>
      <c r="H5102" s="160"/>
      <c r="I5102" s="157"/>
      <c r="J5102" s="158"/>
      <c r="L5102" s="94"/>
      <c r="M5102" s="159"/>
      <c r="N5102" s="94"/>
    </row>
    <row r="5103">
      <c r="A5103" s="140">
        <v>1629622.0</v>
      </c>
      <c r="B5103" s="115" t="s">
        <v>247</v>
      </c>
      <c r="C5103" s="115" t="s">
        <v>1237</v>
      </c>
      <c r="D5103" s="100" t="str">
        <f t="shared" si="1"/>
        <v/>
      </c>
      <c r="E5103" s="100" t="str">
        <f t="shared" si="2"/>
        <v/>
      </c>
      <c r="F5103" s="100" t="str">
        <f t="shared" si="3"/>
        <v/>
      </c>
      <c r="G5103" s="151"/>
      <c r="H5103" s="156"/>
      <c r="I5103" s="157"/>
      <c r="J5103" s="161"/>
      <c r="L5103" s="94"/>
      <c r="M5103" s="159"/>
      <c r="N5103" s="94"/>
    </row>
    <row r="5104">
      <c r="A5104" s="163">
        <v>1629623.0</v>
      </c>
      <c r="B5104" s="164" t="s">
        <v>215</v>
      </c>
      <c r="C5104" s="164" t="s">
        <v>1238</v>
      </c>
      <c r="D5104" s="100" t="str">
        <f t="shared" si="1"/>
        <v/>
      </c>
      <c r="E5104" s="100" t="str">
        <f t="shared" si="2"/>
        <v/>
      </c>
      <c r="F5104" s="100" t="str">
        <f t="shared" si="3"/>
        <v/>
      </c>
      <c r="G5104" s="151"/>
      <c r="H5104" s="160"/>
      <c r="I5104" s="157"/>
      <c r="J5104" s="158"/>
      <c r="L5104" s="94"/>
      <c r="M5104" s="159"/>
      <c r="N5104" s="94"/>
    </row>
    <row r="5105">
      <c r="A5105" s="107">
        <v>1629623.0</v>
      </c>
      <c r="B5105" s="108" t="s">
        <v>244</v>
      </c>
      <c r="C5105" s="108" t="s">
        <v>1238</v>
      </c>
      <c r="D5105" s="100" t="str">
        <f t="shared" si="1"/>
        <v/>
      </c>
      <c r="E5105" s="100" t="str">
        <f t="shared" si="2"/>
        <v/>
      </c>
      <c r="F5105" s="100" t="str">
        <f t="shared" si="3"/>
        <v/>
      </c>
      <c r="G5105" s="151"/>
      <c r="H5105" s="156"/>
      <c r="I5105" s="157"/>
      <c r="J5105" s="161"/>
      <c r="L5105" s="94"/>
      <c r="M5105" s="159"/>
      <c r="N5105" s="94"/>
    </row>
    <row r="5106">
      <c r="A5106" s="107">
        <v>1629623.0</v>
      </c>
      <c r="B5106" s="108" t="s">
        <v>245</v>
      </c>
      <c r="C5106" s="108" t="s">
        <v>1238</v>
      </c>
      <c r="D5106" s="100" t="str">
        <f t="shared" si="1"/>
        <v/>
      </c>
      <c r="E5106" s="100" t="str">
        <f t="shared" si="2"/>
        <v/>
      </c>
      <c r="F5106" s="100" t="str">
        <f t="shared" si="3"/>
        <v/>
      </c>
      <c r="G5106" s="151"/>
      <c r="H5106" s="160"/>
      <c r="I5106" s="157"/>
      <c r="J5106" s="158"/>
      <c r="L5106" s="94"/>
      <c r="M5106" s="159"/>
      <c r="N5106" s="94"/>
    </row>
    <row r="5107">
      <c r="A5107" s="107">
        <v>1629625.0</v>
      </c>
      <c r="B5107" s="108" t="s">
        <v>193</v>
      </c>
      <c r="C5107" s="108" t="s">
        <v>1239</v>
      </c>
      <c r="D5107" s="100" t="str">
        <f t="shared" si="1"/>
        <v/>
      </c>
      <c r="E5107" s="100" t="str">
        <f t="shared" si="2"/>
        <v/>
      </c>
      <c r="F5107" s="100" t="str">
        <f t="shared" si="3"/>
        <v/>
      </c>
      <c r="G5107" s="151"/>
      <c r="H5107" s="156"/>
      <c r="I5107" s="157"/>
      <c r="J5107" s="161"/>
      <c r="L5107" s="94"/>
      <c r="M5107" s="159"/>
      <c r="N5107" s="94"/>
    </row>
    <row r="5108">
      <c r="A5108" s="107">
        <v>1629626.0</v>
      </c>
      <c r="B5108" s="108" t="s">
        <v>193</v>
      </c>
      <c r="C5108" s="108" t="s">
        <v>1240</v>
      </c>
      <c r="D5108" s="100" t="str">
        <f t="shared" si="1"/>
        <v/>
      </c>
      <c r="E5108" s="100" t="str">
        <f t="shared" si="2"/>
        <v/>
      </c>
      <c r="F5108" s="100" t="str">
        <f t="shared" si="3"/>
        <v/>
      </c>
      <c r="G5108" s="151"/>
      <c r="H5108" s="160"/>
      <c r="I5108" s="157"/>
      <c r="J5108" s="158"/>
      <c r="L5108" s="94"/>
      <c r="M5108" s="159"/>
      <c r="N5108" s="94"/>
    </row>
    <row r="5109">
      <c r="A5109" s="107">
        <v>1629626.0</v>
      </c>
      <c r="B5109" s="108" t="s">
        <v>243</v>
      </c>
      <c r="C5109" s="108" t="s">
        <v>1240</v>
      </c>
      <c r="D5109" s="100" t="str">
        <f t="shared" si="1"/>
        <v/>
      </c>
      <c r="E5109" s="100" t="str">
        <f t="shared" si="2"/>
        <v/>
      </c>
      <c r="F5109" s="100" t="str">
        <f t="shared" si="3"/>
        <v/>
      </c>
      <c r="G5109" s="151"/>
      <c r="H5109" s="156"/>
      <c r="I5109" s="157"/>
      <c r="J5109" s="161"/>
      <c r="L5109" s="94"/>
      <c r="M5109" s="159"/>
      <c r="N5109" s="94"/>
    </row>
    <row r="5110">
      <c r="A5110" s="107">
        <v>1629626.0</v>
      </c>
      <c r="B5110" s="108" t="s">
        <v>215</v>
      </c>
      <c r="C5110" s="108" t="s">
        <v>1240</v>
      </c>
      <c r="D5110" s="100" t="str">
        <f t="shared" si="1"/>
        <v/>
      </c>
      <c r="E5110" s="100" t="str">
        <f t="shared" si="2"/>
        <v/>
      </c>
      <c r="F5110" s="100" t="str">
        <f t="shared" si="3"/>
        <v/>
      </c>
      <c r="G5110" s="151"/>
      <c r="H5110" s="160"/>
      <c r="I5110" s="157"/>
      <c r="J5110" s="158"/>
      <c r="L5110" s="94"/>
      <c r="M5110" s="159"/>
      <c r="N5110" s="94"/>
    </row>
    <row r="5111">
      <c r="A5111" s="107">
        <v>1629626.0</v>
      </c>
      <c r="B5111" s="108" t="s">
        <v>244</v>
      </c>
      <c r="C5111" s="108" t="s">
        <v>1240</v>
      </c>
      <c r="D5111" s="100" t="str">
        <f t="shared" si="1"/>
        <v/>
      </c>
      <c r="E5111" s="100" t="str">
        <f t="shared" si="2"/>
        <v/>
      </c>
      <c r="F5111" s="100" t="str">
        <f t="shared" si="3"/>
        <v/>
      </c>
      <c r="G5111" s="151"/>
      <c r="H5111" s="156"/>
      <c r="I5111" s="157"/>
      <c r="J5111" s="161"/>
      <c r="L5111" s="94"/>
      <c r="M5111" s="159"/>
      <c r="N5111" s="94"/>
    </row>
    <row r="5112">
      <c r="A5112" s="107">
        <v>1629626.0</v>
      </c>
      <c r="B5112" s="108" t="s">
        <v>245</v>
      </c>
      <c r="C5112" s="108" t="s">
        <v>1240</v>
      </c>
      <c r="D5112" s="100" t="str">
        <f t="shared" si="1"/>
        <v/>
      </c>
      <c r="E5112" s="100" t="str">
        <f t="shared" si="2"/>
        <v/>
      </c>
      <c r="F5112" s="100" t="str">
        <f t="shared" si="3"/>
        <v/>
      </c>
      <c r="G5112" s="151"/>
      <c r="H5112" s="160"/>
      <c r="I5112" s="157"/>
      <c r="J5112" s="158"/>
      <c r="L5112" s="94"/>
      <c r="M5112" s="159"/>
      <c r="N5112" s="94"/>
    </row>
    <row r="5113">
      <c r="A5113" s="107">
        <v>1629626.0</v>
      </c>
      <c r="B5113" s="108" t="s">
        <v>246</v>
      </c>
      <c r="C5113" s="108" t="s">
        <v>1240</v>
      </c>
      <c r="D5113" s="100" t="str">
        <f t="shared" si="1"/>
        <v/>
      </c>
      <c r="E5113" s="100" t="str">
        <f t="shared" si="2"/>
        <v/>
      </c>
      <c r="F5113" s="100" t="str">
        <f t="shared" si="3"/>
        <v/>
      </c>
      <c r="G5113" s="151"/>
      <c r="H5113" s="156"/>
      <c r="I5113" s="157"/>
      <c r="J5113" s="161"/>
      <c r="L5113" s="94"/>
      <c r="M5113" s="159"/>
      <c r="N5113" s="94"/>
    </row>
    <row r="5114">
      <c r="A5114" s="107">
        <v>1629627.0</v>
      </c>
      <c r="B5114" s="108" t="s">
        <v>193</v>
      </c>
      <c r="C5114" s="108" t="s">
        <v>1241</v>
      </c>
      <c r="D5114" s="100" t="str">
        <f t="shared" si="1"/>
        <v/>
      </c>
      <c r="E5114" s="100" t="str">
        <f t="shared" si="2"/>
        <v/>
      </c>
      <c r="F5114" s="100" t="str">
        <f t="shared" si="3"/>
        <v/>
      </c>
      <c r="G5114" s="151"/>
      <c r="H5114" s="160"/>
      <c r="I5114" s="157"/>
      <c r="J5114" s="158"/>
      <c r="L5114" s="94"/>
      <c r="M5114" s="159"/>
      <c r="N5114" s="94"/>
    </row>
    <row r="5115">
      <c r="A5115" s="107">
        <v>1629627.0</v>
      </c>
      <c r="B5115" s="108" t="s">
        <v>243</v>
      </c>
      <c r="C5115" s="108" t="s">
        <v>1241</v>
      </c>
      <c r="D5115" s="100" t="str">
        <f t="shared" si="1"/>
        <v/>
      </c>
      <c r="E5115" s="100" t="str">
        <f t="shared" si="2"/>
        <v/>
      </c>
      <c r="F5115" s="100" t="str">
        <f t="shared" si="3"/>
        <v/>
      </c>
      <c r="G5115" s="151"/>
      <c r="H5115" s="156"/>
      <c r="I5115" s="157"/>
      <c r="J5115" s="161"/>
      <c r="L5115" s="94"/>
      <c r="M5115" s="159"/>
      <c r="N5115" s="94"/>
    </row>
    <row r="5116">
      <c r="A5116" s="107">
        <v>1629627.0</v>
      </c>
      <c r="B5116" s="108" t="s">
        <v>244</v>
      </c>
      <c r="C5116" s="108" t="s">
        <v>1241</v>
      </c>
      <c r="D5116" s="100" t="str">
        <f t="shared" si="1"/>
        <v/>
      </c>
      <c r="E5116" s="100" t="str">
        <f t="shared" si="2"/>
        <v/>
      </c>
      <c r="F5116" s="100" t="str">
        <f t="shared" si="3"/>
        <v/>
      </c>
      <c r="G5116" s="151"/>
      <c r="H5116" s="160"/>
      <c r="I5116" s="157"/>
      <c r="J5116" s="158"/>
      <c r="L5116" s="94"/>
      <c r="M5116" s="159"/>
      <c r="N5116" s="94"/>
    </row>
    <row r="5117">
      <c r="A5117" s="107">
        <v>1629627.0</v>
      </c>
      <c r="B5117" s="108" t="s">
        <v>245</v>
      </c>
      <c r="C5117" s="108" t="s">
        <v>1241</v>
      </c>
      <c r="D5117" s="100" t="str">
        <f t="shared" si="1"/>
        <v/>
      </c>
      <c r="E5117" s="100" t="str">
        <f t="shared" si="2"/>
        <v/>
      </c>
      <c r="F5117" s="100" t="str">
        <f t="shared" si="3"/>
        <v/>
      </c>
      <c r="G5117" s="151"/>
      <c r="H5117" s="156"/>
      <c r="I5117" s="157"/>
      <c r="J5117" s="161"/>
      <c r="L5117" s="94"/>
      <c r="M5117" s="159"/>
      <c r="N5117" s="94"/>
    </row>
    <row r="5118">
      <c r="A5118" s="107">
        <v>1629627.0</v>
      </c>
      <c r="B5118" s="108" t="s">
        <v>246</v>
      </c>
      <c r="C5118" s="108" t="s">
        <v>1241</v>
      </c>
      <c r="D5118" s="100" t="str">
        <f t="shared" si="1"/>
        <v/>
      </c>
      <c r="E5118" s="100" t="str">
        <f t="shared" si="2"/>
        <v/>
      </c>
      <c r="F5118" s="100" t="str">
        <f t="shared" si="3"/>
        <v/>
      </c>
      <c r="G5118" s="151"/>
      <c r="H5118" s="160"/>
      <c r="I5118" s="157"/>
      <c r="J5118" s="158"/>
      <c r="L5118" s="94"/>
      <c r="M5118" s="159"/>
      <c r="N5118" s="94"/>
    </row>
    <row r="5119">
      <c r="A5119" s="149">
        <v>1629627.0</v>
      </c>
      <c r="B5119" s="115" t="s">
        <v>247</v>
      </c>
      <c r="C5119" s="115" t="s">
        <v>1241</v>
      </c>
      <c r="D5119" s="100" t="str">
        <f t="shared" si="1"/>
        <v/>
      </c>
      <c r="E5119" s="100" t="str">
        <f t="shared" si="2"/>
        <v/>
      </c>
      <c r="F5119" s="100" t="str">
        <f t="shared" si="3"/>
        <v/>
      </c>
      <c r="G5119" s="151"/>
      <c r="H5119" s="156"/>
      <c r="I5119" s="157"/>
      <c r="J5119" s="161"/>
      <c r="L5119" s="94"/>
      <c r="M5119" s="159"/>
      <c r="N5119" s="94"/>
    </row>
    <row r="5120">
      <c r="A5120" s="21">
        <v>1629628.0</v>
      </c>
      <c r="B5120" s="164" t="s">
        <v>193</v>
      </c>
      <c r="C5120" s="164" t="s">
        <v>1242</v>
      </c>
      <c r="D5120" s="100" t="str">
        <f t="shared" si="1"/>
        <v/>
      </c>
      <c r="E5120" s="100" t="str">
        <f t="shared" si="2"/>
        <v/>
      </c>
      <c r="F5120" s="100" t="str">
        <f t="shared" si="3"/>
        <v/>
      </c>
      <c r="G5120" s="151"/>
      <c r="H5120" s="160"/>
      <c r="I5120" s="157"/>
      <c r="J5120" s="158"/>
      <c r="L5120" s="94"/>
      <c r="M5120" s="159"/>
      <c r="N5120" s="94"/>
    </row>
    <row r="5121">
      <c r="A5121" s="107">
        <v>1629628.0</v>
      </c>
      <c r="B5121" s="108" t="s">
        <v>243</v>
      </c>
      <c r="C5121" s="108" t="s">
        <v>1242</v>
      </c>
      <c r="D5121" s="100" t="str">
        <f t="shared" si="1"/>
        <v/>
      </c>
      <c r="E5121" s="100" t="str">
        <f t="shared" si="2"/>
        <v/>
      </c>
      <c r="F5121" s="100" t="str">
        <f t="shared" si="3"/>
        <v/>
      </c>
      <c r="G5121" s="151"/>
      <c r="H5121" s="156"/>
      <c r="I5121" s="157"/>
      <c r="J5121" s="161"/>
      <c r="L5121" s="94"/>
      <c r="M5121" s="159"/>
      <c r="N5121" s="94"/>
    </row>
    <row r="5122">
      <c r="A5122" s="107">
        <v>1629628.0</v>
      </c>
      <c r="B5122" s="108" t="s">
        <v>215</v>
      </c>
      <c r="C5122" s="108" t="s">
        <v>1242</v>
      </c>
      <c r="D5122" s="100" t="str">
        <f t="shared" si="1"/>
        <v/>
      </c>
      <c r="E5122" s="100" t="str">
        <f t="shared" si="2"/>
        <v/>
      </c>
      <c r="F5122" s="100" t="str">
        <f t="shared" si="3"/>
        <v/>
      </c>
      <c r="G5122" s="151"/>
      <c r="H5122" s="160"/>
      <c r="I5122" s="157"/>
      <c r="J5122" s="158"/>
      <c r="L5122" s="94"/>
      <c r="M5122" s="159"/>
      <c r="N5122" s="94"/>
    </row>
    <row r="5123">
      <c r="A5123" s="107">
        <v>1629628.0</v>
      </c>
      <c r="B5123" s="108" t="s">
        <v>244</v>
      </c>
      <c r="C5123" s="108" t="s">
        <v>1242</v>
      </c>
      <c r="D5123" s="100" t="str">
        <f t="shared" si="1"/>
        <v/>
      </c>
      <c r="E5123" s="100" t="str">
        <f t="shared" si="2"/>
        <v/>
      </c>
      <c r="F5123" s="100" t="str">
        <f t="shared" si="3"/>
        <v/>
      </c>
      <c r="G5123" s="151"/>
      <c r="H5123" s="156"/>
      <c r="I5123" s="157"/>
      <c r="J5123" s="161"/>
      <c r="L5123" s="94"/>
      <c r="M5123" s="159"/>
      <c r="N5123" s="94"/>
    </row>
    <row r="5124">
      <c r="A5124" s="107">
        <v>1629628.0</v>
      </c>
      <c r="B5124" s="108" t="s">
        <v>245</v>
      </c>
      <c r="C5124" s="108" t="s">
        <v>1242</v>
      </c>
      <c r="D5124" s="100" t="str">
        <f t="shared" si="1"/>
        <v/>
      </c>
      <c r="E5124" s="100" t="str">
        <f t="shared" si="2"/>
        <v/>
      </c>
      <c r="F5124" s="100" t="str">
        <f t="shared" si="3"/>
        <v/>
      </c>
      <c r="G5124" s="151"/>
      <c r="H5124" s="160"/>
      <c r="I5124" s="157"/>
      <c r="J5124" s="158"/>
      <c r="L5124" s="94"/>
      <c r="M5124" s="159"/>
      <c r="N5124" s="94"/>
    </row>
    <row r="5125">
      <c r="A5125" s="107">
        <v>1629628.0</v>
      </c>
      <c r="B5125" s="108" t="s">
        <v>246</v>
      </c>
      <c r="C5125" s="108" t="s">
        <v>1242</v>
      </c>
      <c r="D5125" s="100" t="str">
        <f t="shared" si="1"/>
        <v/>
      </c>
      <c r="E5125" s="100" t="str">
        <f t="shared" si="2"/>
        <v/>
      </c>
      <c r="F5125" s="100" t="str">
        <f t="shared" si="3"/>
        <v/>
      </c>
      <c r="G5125" s="151"/>
      <c r="H5125" s="156"/>
      <c r="I5125" s="157"/>
      <c r="J5125" s="161"/>
      <c r="L5125" s="94"/>
      <c r="M5125" s="159"/>
      <c r="N5125" s="94"/>
    </row>
    <row r="5126">
      <c r="A5126" s="149">
        <v>1629628.0</v>
      </c>
      <c r="B5126" s="115" t="s">
        <v>247</v>
      </c>
      <c r="C5126" s="115" t="s">
        <v>1242</v>
      </c>
      <c r="D5126" s="100" t="str">
        <f t="shared" si="1"/>
        <v/>
      </c>
      <c r="E5126" s="100" t="str">
        <f t="shared" si="2"/>
        <v/>
      </c>
      <c r="F5126" s="100" t="str">
        <f t="shared" si="3"/>
        <v/>
      </c>
      <c r="G5126" s="151"/>
      <c r="H5126" s="160"/>
      <c r="I5126" s="157"/>
      <c r="J5126" s="158"/>
      <c r="L5126" s="94"/>
      <c r="M5126" s="159"/>
      <c r="N5126" s="94"/>
    </row>
    <row r="5127">
      <c r="A5127" s="21">
        <v>1629629.0</v>
      </c>
      <c r="B5127" s="164" t="s">
        <v>193</v>
      </c>
      <c r="C5127" s="164" t="s">
        <v>1243</v>
      </c>
      <c r="D5127" s="100" t="str">
        <f t="shared" si="1"/>
        <v/>
      </c>
      <c r="E5127" s="100" t="str">
        <f t="shared" si="2"/>
        <v/>
      </c>
      <c r="F5127" s="100" t="str">
        <f t="shared" si="3"/>
        <v/>
      </c>
      <c r="G5127" s="151"/>
      <c r="H5127" s="156"/>
      <c r="I5127" s="157"/>
      <c r="J5127" s="161"/>
      <c r="L5127" s="94"/>
      <c r="M5127" s="159"/>
      <c r="N5127" s="94"/>
    </row>
    <row r="5128">
      <c r="A5128" s="107">
        <v>1629629.0</v>
      </c>
      <c r="B5128" s="108" t="s">
        <v>243</v>
      </c>
      <c r="C5128" s="108" t="s">
        <v>1243</v>
      </c>
      <c r="D5128" s="100" t="str">
        <f t="shared" si="1"/>
        <v/>
      </c>
      <c r="E5128" s="100" t="str">
        <f t="shared" si="2"/>
        <v/>
      </c>
      <c r="F5128" s="100" t="str">
        <f t="shared" si="3"/>
        <v/>
      </c>
      <c r="G5128" s="151"/>
      <c r="H5128" s="160"/>
      <c r="I5128" s="157"/>
      <c r="J5128" s="158"/>
      <c r="L5128" s="94"/>
      <c r="M5128" s="159"/>
      <c r="N5128" s="94"/>
    </row>
    <row r="5129">
      <c r="A5129" s="107">
        <v>1629629.0</v>
      </c>
      <c r="B5129" s="108" t="s">
        <v>215</v>
      </c>
      <c r="C5129" s="108" t="s">
        <v>1243</v>
      </c>
      <c r="D5129" s="100" t="str">
        <f t="shared" si="1"/>
        <v/>
      </c>
      <c r="E5129" s="100" t="str">
        <f t="shared" si="2"/>
        <v/>
      </c>
      <c r="F5129" s="100" t="str">
        <f t="shared" si="3"/>
        <v/>
      </c>
      <c r="G5129" s="151"/>
      <c r="H5129" s="156"/>
      <c r="I5129" s="157"/>
      <c r="J5129" s="161"/>
      <c r="L5129" s="94"/>
      <c r="M5129" s="159"/>
      <c r="N5129" s="94"/>
    </row>
    <row r="5130">
      <c r="A5130" s="107">
        <v>1629629.0</v>
      </c>
      <c r="B5130" s="108" t="s">
        <v>244</v>
      </c>
      <c r="C5130" s="108" t="s">
        <v>1243</v>
      </c>
      <c r="D5130" s="100" t="str">
        <f t="shared" si="1"/>
        <v/>
      </c>
      <c r="E5130" s="100" t="str">
        <f t="shared" si="2"/>
        <v/>
      </c>
      <c r="F5130" s="100" t="str">
        <f t="shared" si="3"/>
        <v/>
      </c>
      <c r="G5130" s="151"/>
      <c r="H5130" s="160"/>
      <c r="I5130" s="157"/>
      <c r="J5130" s="158"/>
      <c r="L5130" s="94"/>
      <c r="M5130" s="159"/>
      <c r="N5130" s="94"/>
    </row>
    <row r="5131">
      <c r="A5131" s="107">
        <v>1629629.0</v>
      </c>
      <c r="B5131" s="108" t="s">
        <v>245</v>
      </c>
      <c r="C5131" s="108" t="s">
        <v>1243</v>
      </c>
      <c r="D5131" s="100" t="str">
        <f t="shared" si="1"/>
        <v/>
      </c>
      <c r="E5131" s="100" t="str">
        <f t="shared" si="2"/>
        <v/>
      </c>
      <c r="F5131" s="100" t="str">
        <f t="shared" si="3"/>
        <v/>
      </c>
      <c r="G5131" s="151"/>
      <c r="H5131" s="156"/>
      <c r="I5131" s="157"/>
      <c r="J5131" s="161"/>
      <c r="L5131" s="94"/>
      <c r="M5131" s="159"/>
      <c r="N5131" s="94"/>
    </row>
    <row r="5132">
      <c r="A5132" s="107">
        <v>1629629.0</v>
      </c>
      <c r="B5132" s="108" t="s">
        <v>246</v>
      </c>
      <c r="C5132" s="108" t="s">
        <v>1243</v>
      </c>
      <c r="D5132" s="100" t="str">
        <f t="shared" si="1"/>
        <v/>
      </c>
      <c r="E5132" s="100" t="str">
        <f t="shared" si="2"/>
        <v/>
      </c>
      <c r="F5132" s="100" t="str">
        <f t="shared" si="3"/>
        <v/>
      </c>
      <c r="G5132" s="151"/>
      <c r="H5132" s="160"/>
      <c r="I5132" s="157"/>
      <c r="J5132" s="158"/>
      <c r="L5132" s="94"/>
      <c r="M5132" s="159"/>
      <c r="N5132" s="94"/>
    </row>
    <row r="5133">
      <c r="A5133" s="107">
        <v>1629630.0</v>
      </c>
      <c r="B5133" s="108" t="s">
        <v>193</v>
      </c>
      <c r="C5133" s="108" t="s">
        <v>1244</v>
      </c>
      <c r="D5133" s="100" t="str">
        <f t="shared" si="1"/>
        <v/>
      </c>
      <c r="E5133" s="100" t="str">
        <f t="shared" si="2"/>
        <v/>
      </c>
      <c r="F5133" s="100" t="str">
        <f t="shared" si="3"/>
        <v/>
      </c>
      <c r="G5133" s="151"/>
      <c r="H5133" s="156"/>
      <c r="I5133" s="157"/>
      <c r="J5133" s="161"/>
      <c r="L5133" s="94"/>
      <c r="M5133" s="159"/>
      <c r="N5133" s="94"/>
    </row>
    <row r="5134">
      <c r="A5134" s="107">
        <v>1629630.0</v>
      </c>
      <c r="B5134" s="108" t="s">
        <v>243</v>
      </c>
      <c r="C5134" s="108" t="s">
        <v>1244</v>
      </c>
      <c r="D5134" s="100" t="str">
        <f t="shared" si="1"/>
        <v/>
      </c>
      <c r="E5134" s="100" t="str">
        <f t="shared" si="2"/>
        <v/>
      </c>
      <c r="F5134" s="100" t="str">
        <f t="shared" si="3"/>
        <v/>
      </c>
      <c r="G5134" s="151"/>
      <c r="H5134" s="160"/>
      <c r="I5134" s="157"/>
      <c r="J5134" s="158"/>
      <c r="L5134" s="94"/>
      <c r="M5134" s="159"/>
      <c r="N5134" s="94"/>
    </row>
    <row r="5135">
      <c r="A5135" s="107">
        <v>1629630.0</v>
      </c>
      <c r="B5135" s="108" t="s">
        <v>215</v>
      </c>
      <c r="C5135" s="108" t="s">
        <v>1244</v>
      </c>
      <c r="D5135" s="100" t="str">
        <f t="shared" si="1"/>
        <v/>
      </c>
      <c r="E5135" s="100" t="str">
        <f t="shared" si="2"/>
        <v/>
      </c>
      <c r="F5135" s="100" t="str">
        <f t="shared" si="3"/>
        <v/>
      </c>
      <c r="G5135" s="151"/>
      <c r="H5135" s="156"/>
      <c r="I5135" s="157"/>
      <c r="J5135" s="161"/>
      <c r="L5135" s="94"/>
      <c r="M5135" s="159"/>
      <c r="N5135" s="94"/>
    </row>
    <row r="5136">
      <c r="A5136" s="107">
        <v>1629630.0</v>
      </c>
      <c r="B5136" s="108" t="s">
        <v>244</v>
      </c>
      <c r="C5136" s="108" t="s">
        <v>1244</v>
      </c>
      <c r="D5136" s="100" t="str">
        <f t="shared" si="1"/>
        <v/>
      </c>
      <c r="E5136" s="100" t="str">
        <f t="shared" si="2"/>
        <v/>
      </c>
      <c r="F5136" s="100" t="str">
        <f t="shared" si="3"/>
        <v/>
      </c>
      <c r="G5136" s="151"/>
      <c r="H5136" s="160"/>
      <c r="I5136" s="157"/>
      <c r="J5136" s="158"/>
      <c r="L5136" s="94"/>
      <c r="M5136" s="159"/>
      <c r="N5136" s="94"/>
    </row>
    <row r="5137">
      <c r="A5137" s="107">
        <v>1629630.0</v>
      </c>
      <c r="B5137" s="108" t="s">
        <v>245</v>
      </c>
      <c r="C5137" s="108" t="s">
        <v>1244</v>
      </c>
      <c r="D5137" s="100" t="str">
        <f t="shared" si="1"/>
        <v/>
      </c>
      <c r="E5137" s="100" t="str">
        <f t="shared" si="2"/>
        <v/>
      </c>
      <c r="F5137" s="100" t="str">
        <f t="shared" si="3"/>
        <v/>
      </c>
      <c r="G5137" s="151"/>
      <c r="H5137" s="156"/>
      <c r="I5137" s="157"/>
      <c r="J5137" s="161"/>
      <c r="L5137" s="94"/>
      <c r="M5137" s="159"/>
      <c r="N5137" s="94"/>
    </row>
    <row r="5138">
      <c r="A5138" s="107">
        <v>1629630.0</v>
      </c>
      <c r="B5138" s="108" t="s">
        <v>246</v>
      </c>
      <c r="C5138" s="108" t="s">
        <v>1244</v>
      </c>
      <c r="D5138" s="100" t="str">
        <f t="shared" si="1"/>
        <v/>
      </c>
      <c r="E5138" s="100" t="str">
        <f t="shared" si="2"/>
        <v/>
      </c>
      <c r="F5138" s="100" t="str">
        <f t="shared" si="3"/>
        <v/>
      </c>
      <c r="G5138" s="151"/>
      <c r="H5138" s="160"/>
      <c r="I5138" s="157"/>
      <c r="J5138" s="158"/>
      <c r="L5138" s="94"/>
      <c r="M5138" s="159"/>
      <c r="N5138" s="94"/>
    </row>
    <row r="5139">
      <c r="A5139" s="149">
        <v>1629630.0</v>
      </c>
      <c r="B5139" s="115" t="s">
        <v>247</v>
      </c>
      <c r="C5139" s="115" t="s">
        <v>1244</v>
      </c>
      <c r="D5139" s="100" t="str">
        <f t="shared" si="1"/>
        <v/>
      </c>
      <c r="E5139" s="100" t="str">
        <f t="shared" si="2"/>
        <v/>
      </c>
      <c r="F5139" s="100" t="str">
        <f t="shared" si="3"/>
        <v/>
      </c>
      <c r="G5139" s="151"/>
      <c r="H5139" s="156"/>
      <c r="I5139" s="157"/>
      <c r="J5139" s="161"/>
      <c r="L5139" s="94"/>
      <c r="M5139" s="159"/>
      <c r="N5139" s="94"/>
    </row>
    <row r="5140">
      <c r="A5140" s="21">
        <v>1629631.0</v>
      </c>
      <c r="B5140" s="164" t="s">
        <v>193</v>
      </c>
      <c r="C5140" s="164" t="s">
        <v>1245</v>
      </c>
      <c r="D5140" s="100" t="str">
        <f t="shared" si="1"/>
        <v/>
      </c>
      <c r="E5140" s="100" t="str">
        <f t="shared" si="2"/>
        <v/>
      </c>
      <c r="F5140" s="100" t="str">
        <f t="shared" si="3"/>
        <v/>
      </c>
      <c r="G5140" s="151"/>
      <c r="H5140" s="160"/>
      <c r="I5140" s="157"/>
      <c r="J5140" s="158"/>
      <c r="L5140" s="94"/>
      <c r="M5140" s="159"/>
      <c r="N5140" s="94"/>
    </row>
    <row r="5141">
      <c r="A5141" s="107">
        <v>1629631.0</v>
      </c>
      <c r="B5141" s="108" t="s">
        <v>243</v>
      </c>
      <c r="C5141" s="108" t="s">
        <v>1245</v>
      </c>
      <c r="D5141" s="100" t="str">
        <f t="shared" si="1"/>
        <v/>
      </c>
      <c r="E5141" s="100" t="str">
        <f t="shared" si="2"/>
        <v/>
      </c>
      <c r="F5141" s="100" t="str">
        <f t="shared" si="3"/>
        <v/>
      </c>
      <c r="G5141" s="151"/>
      <c r="H5141" s="156"/>
      <c r="I5141" s="157"/>
      <c r="J5141" s="161"/>
      <c r="L5141" s="94"/>
      <c r="M5141" s="159"/>
      <c r="N5141" s="94"/>
    </row>
    <row r="5142">
      <c r="A5142" s="107">
        <v>1629631.0</v>
      </c>
      <c r="B5142" s="108" t="s">
        <v>215</v>
      </c>
      <c r="C5142" s="108" t="s">
        <v>1245</v>
      </c>
      <c r="D5142" s="100" t="str">
        <f t="shared" si="1"/>
        <v/>
      </c>
      <c r="E5142" s="100" t="str">
        <f t="shared" si="2"/>
        <v/>
      </c>
      <c r="F5142" s="100" t="str">
        <f t="shared" si="3"/>
        <v/>
      </c>
      <c r="G5142" s="151"/>
      <c r="H5142" s="160"/>
      <c r="I5142" s="157"/>
      <c r="J5142" s="158"/>
      <c r="L5142" s="94"/>
      <c r="M5142" s="159"/>
      <c r="N5142" s="94"/>
    </row>
    <row r="5143">
      <c r="A5143" s="107">
        <v>1629631.0</v>
      </c>
      <c r="B5143" s="108" t="s">
        <v>244</v>
      </c>
      <c r="C5143" s="108" t="s">
        <v>1245</v>
      </c>
      <c r="D5143" s="100" t="str">
        <f t="shared" si="1"/>
        <v/>
      </c>
      <c r="E5143" s="100" t="str">
        <f t="shared" si="2"/>
        <v/>
      </c>
      <c r="F5143" s="100" t="str">
        <f t="shared" si="3"/>
        <v/>
      </c>
      <c r="G5143" s="151"/>
      <c r="H5143" s="156"/>
      <c r="I5143" s="157"/>
      <c r="J5143" s="161"/>
      <c r="L5143" s="94"/>
      <c r="M5143" s="159"/>
      <c r="N5143" s="94"/>
    </row>
    <row r="5144">
      <c r="A5144" s="107">
        <v>1629631.0</v>
      </c>
      <c r="B5144" s="108" t="s">
        <v>245</v>
      </c>
      <c r="C5144" s="108" t="s">
        <v>1245</v>
      </c>
      <c r="D5144" s="100" t="str">
        <f t="shared" si="1"/>
        <v/>
      </c>
      <c r="E5144" s="100" t="str">
        <f t="shared" si="2"/>
        <v/>
      </c>
      <c r="F5144" s="100" t="str">
        <f t="shared" si="3"/>
        <v/>
      </c>
      <c r="G5144" s="151"/>
      <c r="H5144" s="160"/>
      <c r="I5144" s="157"/>
      <c r="J5144" s="158"/>
      <c r="L5144" s="94"/>
      <c r="M5144" s="159"/>
      <c r="N5144" s="94"/>
    </row>
    <row r="5145">
      <c r="A5145" s="107">
        <v>1629631.0</v>
      </c>
      <c r="B5145" s="108" t="s">
        <v>246</v>
      </c>
      <c r="C5145" s="108" t="s">
        <v>1245</v>
      </c>
      <c r="D5145" s="100" t="str">
        <f t="shared" si="1"/>
        <v/>
      </c>
      <c r="E5145" s="100" t="str">
        <f t="shared" si="2"/>
        <v/>
      </c>
      <c r="F5145" s="100" t="str">
        <f t="shared" si="3"/>
        <v/>
      </c>
      <c r="G5145" s="151"/>
      <c r="H5145" s="156"/>
      <c r="I5145" s="157"/>
      <c r="J5145" s="161"/>
      <c r="L5145" s="94"/>
      <c r="M5145" s="159"/>
      <c r="N5145" s="94"/>
    </row>
    <row r="5146">
      <c r="A5146" s="149">
        <v>1629631.0</v>
      </c>
      <c r="B5146" s="115" t="s">
        <v>247</v>
      </c>
      <c r="C5146" s="108" t="s">
        <v>1245</v>
      </c>
      <c r="D5146" s="100" t="str">
        <f t="shared" si="1"/>
        <v/>
      </c>
      <c r="E5146" s="100" t="str">
        <f t="shared" si="2"/>
        <v/>
      </c>
      <c r="F5146" s="100" t="str">
        <f t="shared" si="3"/>
        <v/>
      </c>
      <c r="G5146" s="151"/>
      <c r="H5146" s="160"/>
      <c r="I5146" s="157"/>
      <c r="J5146" s="158"/>
      <c r="L5146" s="94"/>
      <c r="M5146" s="159"/>
      <c r="N5146" s="94"/>
    </row>
    <row r="5147">
      <c r="A5147" s="21">
        <v>1629632.0</v>
      </c>
      <c r="B5147" s="164" t="s">
        <v>193</v>
      </c>
      <c r="C5147" s="164" t="s">
        <v>1246</v>
      </c>
      <c r="D5147" s="100" t="str">
        <f t="shared" si="1"/>
        <v/>
      </c>
      <c r="E5147" s="100" t="str">
        <f t="shared" si="2"/>
        <v/>
      </c>
      <c r="F5147" s="100" t="str">
        <f t="shared" si="3"/>
        <v/>
      </c>
      <c r="G5147" s="151"/>
      <c r="H5147" s="156"/>
      <c r="I5147" s="157"/>
      <c r="J5147" s="161"/>
      <c r="L5147" s="94"/>
      <c r="M5147" s="159"/>
      <c r="N5147" s="94"/>
    </row>
    <row r="5148">
      <c r="A5148" s="107">
        <v>1629632.0</v>
      </c>
      <c r="B5148" s="108" t="s">
        <v>243</v>
      </c>
      <c r="C5148" s="108" t="s">
        <v>1246</v>
      </c>
      <c r="D5148" s="100" t="str">
        <f t="shared" si="1"/>
        <v/>
      </c>
      <c r="E5148" s="100" t="str">
        <f t="shared" si="2"/>
        <v/>
      </c>
      <c r="F5148" s="100" t="str">
        <f t="shared" si="3"/>
        <v/>
      </c>
      <c r="G5148" s="151"/>
      <c r="H5148" s="160"/>
      <c r="I5148" s="157"/>
      <c r="J5148" s="158"/>
      <c r="L5148" s="94"/>
      <c r="M5148" s="159"/>
      <c r="N5148" s="94"/>
    </row>
    <row r="5149">
      <c r="A5149" s="107">
        <v>1629632.0</v>
      </c>
      <c r="B5149" s="108" t="s">
        <v>215</v>
      </c>
      <c r="C5149" s="108" t="s">
        <v>1246</v>
      </c>
      <c r="D5149" s="100" t="str">
        <f t="shared" si="1"/>
        <v/>
      </c>
      <c r="E5149" s="100" t="str">
        <f t="shared" si="2"/>
        <v/>
      </c>
      <c r="F5149" s="100" t="str">
        <f t="shared" si="3"/>
        <v/>
      </c>
      <c r="G5149" s="151"/>
      <c r="H5149" s="156"/>
      <c r="I5149" s="157"/>
      <c r="J5149" s="161"/>
      <c r="L5149" s="94"/>
      <c r="M5149" s="159"/>
      <c r="N5149" s="94"/>
    </row>
    <row r="5150">
      <c r="A5150" s="107">
        <v>1629632.0</v>
      </c>
      <c r="B5150" s="108" t="s">
        <v>244</v>
      </c>
      <c r="C5150" s="108" t="s">
        <v>1246</v>
      </c>
      <c r="D5150" s="100" t="str">
        <f t="shared" si="1"/>
        <v/>
      </c>
      <c r="E5150" s="100" t="str">
        <f t="shared" si="2"/>
        <v/>
      </c>
      <c r="F5150" s="100" t="str">
        <f t="shared" si="3"/>
        <v/>
      </c>
      <c r="G5150" s="151"/>
      <c r="H5150" s="160"/>
      <c r="I5150" s="157"/>
      <c r="J5150" s="158"/>
      <c r="L5150" s="94"/>
      <c r="M5150" s="159"/>
      <c r="N5150" s="94"/>
    </row>
    <row r="5151">
      <c r="A5151" s="107">
        <v>1629632.0</v>
      </c>
      <c r="B5151" s="108" t="s">
        <v>245</v>
      </c>
      <c r="C5151" s="108" t="s">
        <v>1246</v>
      </c>
      <c r="D5151" s="100" t="str">
        <f t="shared" si="1"/>
        <v/>
      </c>
      <c r="E5151" s="100" t="str">
        <f t="shared" si="2"/>
        <v/>
      </c>
      <c r="F5151" s="100" t="str">
        <f t="shared" si="3"/>
        <v/>
      </c>
      <c r="G5151" s="151"/>
      <c r="H5151" s="156"/>
      <c r="I5151" s="157"/>
      <c r="J5151" s="161"/>
      <c r="L5151" s="94"/>
      <c r="M5151" s="159"/>
      <c r="N5151" s="94"/>
    </row>
    <row r="5152">
      <c r="A5152" s="107">
        <v>1629632.0</v>
      </c>
      <c r="B5152" s="108" t="s">
        <v>246</v>
      </c>
      <c r="C5152" s="108" t="s">
        <v>1246</v>
      </c>
      <c r="D5152" s="100" t="str">
        <f t="shared" si="1"/>
        <v/>
      </c>
      <c r="E5152" s="100" t="str">
        <f t="shared" si="2"/>
        <v/>
      </c>
      <c r="F5152" s="100" t="str">
        <f t="shared" si="3"/>
        <v/>
      </c>
      <c r="G5152" s="151"/>
      <c r="H5152" s="160"/>
      <c r="I5152" s="157"/>
      <c r="J5152" s="158"/>
      <c r="L5152" s="94"/>
      <c r="M5152" s="159"/>
      <c r="N5152" s="94"/>
    </row>
    <row r="5153">
      <c r="A5153" s="107">
        <v>1629632.0</v>
      </c>
      <c r="B5153" s="108" t="s">
        <v>246</v>
      </c>
      <c r="C5153" s="108" t="s">
        <v>1246</v>
      </c>
      <c r="D5153" s="100" t="str">
        <f t="shared" si="1"/>
        <v/>
      </c>
      <c r="E5153" s="100" t="str">
        <f t="shared" si="2"/>
        <v/>
      </c>
      <c r="F5153" s="100" t="str">
        <f t="shared" si="3"/>
        <v/>
      </c>
      <c r="G5153" s="151"/>
      <c r="H5153" s="156"/>
      <c r="I5153" s="157"/>
      <c r="J5153" s="161"/>
      <c r="L5153" s="94"/>
      <c r="M5153" s="159"/>
      <c r="N5153" s="94"/>
    </row>
    <row r="5154">
      <c r="A5154" s="126">
        <v>1629633.0</v>
      </c>
      <c r="B5154" s="129" t="s">
        <v>193</v>
      </c>
      <c r="C5154" s="129" t="s">
        <v>1247</v>
      </c>
      <c r="D5154" s="100" t="str">
        <f t="shared" si="1"/>
        <v/>
      </c>
      <c r="E5154" s="100" t="str">
        <f t="shared" si="2"/>
        <v/>
      </c>
      <c r="F5154" s="100" t="str">
        <f t="shared" si="3"/>
        <v/>
      </c>
      <c r="G5154" s="151"/>
      <c r="H5154" s="160"/>
      <c r="I5154" s="157"/>
      <c r="J5154" s="158"/>
      <c r="L5154" s="94"/>
      <c r="M5154" s="159"/>
      <c r="N5154" s="94"/>
    </row>
    <row r="5155">
      <c r="A5155" s="107">
        <v>1629633.0</v>
      </c>
      <c r="B5155" s="108" t="s">
        <v>243</v>
      </c>
      <c r="C5155" s="108" t="s">
        <v>1247</v>
      </c>
      <c r="D5155" s="100" t="str">
        <f t="shared" si="1"/>
        <v/>
      </c>
      <c r="E5155" s="100" t="str">
        <f t="shared" si="2"/>
        <v/>
      </c>
      <c r="F5155" s="100" t="str">
        <f t="shared" si="3"/>
        <v/>
      </c>
      <c r="G5155" s="151"/>
      <c r="H5155" s="156"/>
      <c r="I5155" s="157"/>
      <c r="J5155" s="161"/>
      <c r="L5155" s="94"/>
      <c r="M5155" s="159"/>
      <c r="N5155" s="94"/>
    </row>
    <row r="5156">
      <c r="A5156" s="107">
        <v>1629633.0</v>
      </c>
      <c r="B5156" s="108" t="s">
        <v>215</v>
      </c>
      <c r="C5156" s="108" t="s">
        <v>1247</v>
      </c>
      <c r="D5156" s="100" t="str">
        <f t="shared" si="1"/>
        <v/>
      </c>
      <c r="E5156" s="100" t="str">
        <f t="shared" si="2"/>
        <v/>
      </c>
      <c r="F5156" s="100" t="str">
        <f t="shared" si="3"/>
        <v/>
      </c>
      <c r="G5156" s="151"/>
      <c r="H5156" s="160"/>
      <c r="I5156" s="157"/>
      <c r="J5156" s="158"/>
      <c r="L5156" s="94"/>
      <c r="M5156" s="159"/>
      <c r="N5156" s="94"/>
    </row>
    <row r="5157">
      <c r="A5157" s="107">
        <v>1629633.0</v>
      </c>
      <c r="B5157" s="108" t="s">
        <v>244</v>
      </c>
      <c r="C5157" s="108" t="s">
        <v>1247</v>
      </c>
      <c r="D5157" s="100" t="str">
        <f t="shared" si="1"/>
        <v/>
      </c>
      <c r="E5157" s="100" t="str">
        <f t="shared" si="2"/>
        <v/>
      </c>
      <c r="F5157" s="100" t="str">
        <f t="shared" si="3"/>
        <v/>
      </c>
      <c r="G5157" s="151"/>
      <c r="H5157" s="156"/>
      <c r="I5157" s="157"/>
      <c r="J5157" s="161"/>
      <c r="L5157" s="94"/>
      <c r="M5157" s="159"/>
      <c r="N5157" s="94"/>
    </row>
    <row r="5158">
      <c r="A5158" s="107">
        <v>1629634.0</v>
      </c>
      <c r="B5158" s="108" t="s">
        <v>193</v>
      </c>
      <c r="C5158" s="108" t="s">
        <v>1248</v>
      </c>
      <c r="D5158" s="100" t="str">
        <f t="shared" si="1"/>
        <v/>
      </c>
      <c r="E5158" s="100" t="str">
        <f t="shared" si="2"/>
        <v/>
      </c>
      <c r="F5158" s="100" t="str">
        <f t="shared" si="3"/>
        <v/>
      </c>
      <c r="G5158" s="151"/>
      <c r="H5158" s="160"/>
      <c r="I5158" s="157"/>
      <c r="J5158" s="158"/>
      <c r="L5158" s="94"/>
      <c r="M5158" s="159"/>
      <c r="N5158" s="94"/>
    </row>
    <row r="5159">
      <c r="A5159" s="107">
        <v>1629634.0</v>
      </c>
      <c r="B5159" s="108" t="s">
        <v>243</v>
      </c>
      <c r="C5159" s="108" t="s">
        <v>1248</v>
      </c>
      <c r="D5159" s="100" t="str">
        <f t="shared" si="1"/>
        <v/>
      </c>
      <c r="E5159" s="100" t="str">
        <f t="shared" si="2"/>
        <v/>
      </c>
      <c r="F5159" s="100" t="str">
        <f t="shared" si="3"/>
        <v/>
      </c>
      <c r="G5159" s="151"/>
      <c r="H5159" s="156"/>
      <c r="I5159" s="157"/>
      <c r="J5159" s="161"/>
      <c r="L5159" s="94"/>
      <c r="M5159" s="159"/>
      <c r="N5159" s="94"/>
    </row>
    <row r="5160">
      <c r="A5160" s="107">
        <v>1629634.0</v>
      </c>
      <c r="B5160" s="108" t="s">
        <v>215</v>
      </c>
      <c r="C5160" s="108" t="s">
        <v>1248</v>
      </c>
      <c r="D5160" s="100" t="str">
        <f t="shared" si="1"/>
        <v/>
      </c>
      <c r="E5160" s="100" t="str">
        <f t="shared" si="2"/>
        <v/>
      </c>
      <c r="F5160" s="100" t="str">
        <f t="shared" si="3"/>
        <v/>
      </c>
      <c r="G5160" s="151"/>
      <c r="H5160" s="160"/>
      <c r="I5160" s="157"/>
      <c r="J5160" s="158"/>
      <c r="L5160" s="94"/>
      <c r="M5160" s="159"/>
      <c r="N5160" s="94"/>
    </row>
    <row r="5161">
      <c r="A5161" s="107">
        <v>1629634.0</v>
      </c>
      <c r="B5161" s="108" t="s">
        <v>244</v>
      </c>
      <c r="C5161" s="108" t="s">
        <v>1248</v>
      </c>
      <c r="D5161" s="100" t="str">
        <f t="shared" si="1"/>
        <v/>
      </c>
      <c r="E5161" s="100" t="str">
        <f t="shared" si="2"/>
        <v/>
      </c>
      <c r="F5161" s="100" t="str">
        <f t="shared" si="3"/>
        <v/>
      </c>
      <c r="G5161" s="151"/>
      <c r="H5161" s="156"/>
      <c r="I5161" s="157"/>
      <c r="J5161" s="161"/>
      <c r="L5161" s="94"/>
      <c r="M5161" s="159"/>
      <c r="N5161" s="94"/>
    </row>
    <row r="5162">
      <c r="A5162" s="107">
        <v>1629634.0</v>
      </c>
      <c r="B5162" s="108" t="s">
        <v>245</v>
      </c>
      <c r="C5162" s="108" t="s">
        <v>1248</v>
      </c>
      <c r="D5162" s="100" t="str">
        <f t="shared" si="1"/>
        <v/>
      </c>
      <c r="E5162" s="100" t="str">
        <f t="shared" si="2"/>
        <v/>
      </c>
      <c r="F5162" s="100" t="str">
        <f t="shared" si="3"/>
        <v/>
      </c>
      <c r="G5162" s="151"/>
      <c r="H5162" s="160"/>
      <c r="I5162" s="157"/>
      <c r="J5162" s="158"/>
      <c r="L5162" s="94"/>
      <c r="M5162" s="159"/>
      <c r="N5162" s="94"/>
    </row>
    <row r="5163">
      <c r="A5163" s="107">
        <v>1629634.0</v>
      </c>
      <c r="B5163" s="108" t="s">
        <v>246</v>
      </c>
      <c r="C5163" s="108" t="s">
        <v>1248</v>
      </c>
      <c r="D5163" s="100" t="str">
        <f t="shared" si="1"/>
        <v/>
      </c>
      <c r="E5163" s="100" t="str">
        <f t="shared" si="2"/>
        <v/>
      </c>
      <c r="F5163" s="100" t="str">
        <f t="shared" si="3"/>
        <v/>
      </c>
      <c r="G5163" s="151"/>
      <c r="H5163" s="156"/>
      <c r="I5163" s="157"/>
      <c r="J5163" s="161"/>
      <c r="L5163" s="94"/>
      <c r="M5163" s="159"/>
      <c r="N5163" s="94"/>
    </row>
    <row r="5164">
      <c r="A5164" s="140">
        <v>1629634.0</v>
      </c>
      <c r="B5164" s="115" t="s">
        <v>247</v>
      </c>
      <c r="C5164" s="115" t="s">
        <v>1248</v>
      </c>
      <c r="D5164" s="100" t="str">
        <f t="shared" si="1"/>
        <v/>
      </c>
      <c r="E5164" s="100" t="str">
        <f t="shared" si="2"/>
        <v/>
      </c>
      <c r="F5164" s="100" t="str">
        <f t="shared" si="3"/>
        <v/>
      </c>
      <c r="G5164" s="151"/>
      <c r="H5164" s="160"/>
      <c r="I5164" s="157"/>
      <c r="J5164" s="158"/>
      <c r="L5164" s="94"/>
      <c r="M5164" s="159"/>
      <c r="N5164" s="94"/>
    </row>
    <row r="5165">
      <c r="A5165" s="163">
        <v>1629635.0</v>
      </c>
      <c r="B5165" s="164" t="s">
        <v>193</v>
      </c>
      <c r="C5165" s="164" t="s">
        <v>1249</v>
      </c>
      <c r="D5165" s="100" t="str">
        <f t="shared" si="1"/>
        <v/>
      </c>
      <c r="E5165" s="100" t="str">
        <f t="shared" si="2"/>
        <v/>
      </c>
      <c r="F5165" s="100" t="str">
        <f t="shared" si="3"/>
        <v/>
      </c>
      <c r="G5165" s="151"/>
      <c r="H5165" s="156"/>
      <c r="I5165" s="157"/>
      <c r="J5165" s="161"/>
      <c r="L5165" s="94"/>
      <c r="M5165" s="159"/>
      <c r="N5165" s="94"/>
    </row>
    <row r="5166">
      <c r="A5166" s="107">
        <v>1629635.0</v>
      </c>
      <c r="B5166" s="108" t="s">
        <v>243</v>
      </c>
      <c r="C5166" s="108" t="s">
        <v>1249</v>
      </c>
      <c r="D5166" s="100" t="str">
        <f t="shared" si="1"/>
        <v/>
      </c>
      <c r="E5166" s="100" t="str">
        <f t="shared" si="2"/>
        <v/>
      </c>
      <c r="F5166" s="100" t="str">
        <f t="shared" si="3"/>
        <v/>
      </c>
      <c r="G5166" s="151"/>
      <c r="H5166" s="160"/>
      <c r="I5166" s="157"/>
      <c r="J5166" s="158"/>
      <c r="L5166" s="94"/>
      <c r="M5166" s="159"/>
      <c r="N5166" s="94"/>
    </row>
    <row r="5167">
      <c r="A5167" s="107">
        <v>1629635.0</v>
      </c>
      <c r="B5167" s="108" t="s">
        <v>215</v>
      </c>
      <c r="C5167" s="108" t="s">
        <v>1249</v>
      </c>
      <c r="D5167" s="100" t="str">
        <f t="shared" si="1"/>
        <v/>
      </c>
      <c r="E5167" s="100" t="str">
        <f t="shared" si="2"/>
        <v/>
      </c>
      <c r="F5167" s="100" t="str">
        <f t="shared" si="3"/>
        <v/>
      </c>
      <c r="G5167" s="151"/>
      <c r="H5167" s="156"/>
      <c r="I5167" s="157"/>
      <c r="J5167" s="161"/>
      <c r="L5167" s="94"/>
      <c r="M5167" s="159"/>
      <c r="N5167" s="94"/>
    </row>
    <row r="5168">
      <c r="A5168" s="107">
        <v>1629636.0</v>
      </c>
      <c r="B5168" s="108" t="s">
        <v>193</v>
      </c>
      <c r="C5168" s="108" t="s">
        <v>1250</v>
      </c>
      <c r="D5168" s="100" t="str">
        <f t="shared" si="1"/>
        <v/>
      </c>
      <c r="E5168" s="100" t="str">
        <f t="shared" si="2"/>
        <v/>
      </c>
      <c r="F5168" s="100" t="str">
        <f t="shared" si="3"/>
        <v/>
      </c>
      <c r="G5168" s="151"/>
      <c r="H5168" s="160"/>
      <c r="I5168" s="157"/>
      <c r="J5168" s="158"/>
      <c r="L5168" s="94"/>
      <c r="M5168" s="159"/>
      <c r="N5168" s="94"/>
    </row>
    <row r="5169">
      <c r="A5169" s="107">
        <v>1629636.0</v>
      </c>
      <c r="B5169" s="108" t="s">
        <v>243</v>
      </c>
      <c r="C5169" s="108" t="s">
        <v>1250</v>
      </c>
      <c r="D5169" s="100" t="str">
        <f t="shared" si="1"/>
        <v/>
      </c>
      <c r="E5169" s="100" t="str">
        <f t="shared" si="2"/>
        <v/>
      </c>
      <c r="F5169" s="100" t="str">
        <f t="shared" si="3"/>
        <v/>
      </c>
      <c r="G5169" s="151"/>
      <c r="H5169" s="156"/>
      <c r="I5169" s="157"/>
      <c r="J5169" s="161"/>
      <c r="L5169" s="94"/>
      <c r="M5169" s="159"/>
      <c r="N5169" s="94"/>
    </row>
    <row r="5170">
      <c r="A5170" s="107">
        <v>1629636.0</v>
      </c>
      <c r="B5170" s="108" t="s">
        <v>215</v>
      </c>
      <c r="C5170" s="108" t="s">
        <v>1250</v>
      </c>
      <c r="D5170" s="100" t="str">
        <f t="shared" si="1"/>
        <v/>
      </c>
      <c r="E5170" s="100" t="str">
        <f t="shared" si="2"/>
        <v/>
      </c>
      <c r="F5170" s="100" t="str">
        <f t="shared" si="3"/>
        <v/>
      </c>
      <c r="G5170" s="151"/>
      <c r="H5170" s="160"/>
      <c r="I5170" s="157"/>
      <c r="J5170" s="158"/>
      <c r="L5170" s="94"/>
      <c r="M5170" s="159"/>
      <c r="N5170" s="94"/>
    </row>
    <row r="5171">
      <c r="A5171" s="107">
        <v>1629636.0</v>
      </c>
      <c r="B5171" s="108" t="s">
        <v>244</v>
      </c>
      <c r="C5171" s="108" t="s">
        <v>1250</v>
      </c>
      <c r="D5171" s="100" t="str">
        <f t="shared" si="1"/>
        <v/>
      </c>
      <c r="E5171" s="100" t="str">
        <f t="shared" si="2"/>
        <v/>
      </c>
      <c r="F5171" s="100" t="str">
        <f t="shared" si="3"/>
        <v/>
      </c>
      <c r="G5171" s="151"/>
      <c r="H5171" s="156"/>
      <c r="I5171" s="157"/>
      <c r="J5171" s="161"/>
      <c r="L5171" s="94"/>
      <c r="M5171" s="159"/>
      <c r="N5171" s="94"/>
    </row>
    <row r="5172">
      <c r="A5172" s="107">
        <v>1629636.0</v>
      </c>
      <c r="B5172" s="108" t="s">
        <v>245</v>
      </c>
      <c r="C5172" s="108" t="s">
        <v>1250</v>
      </c>
      <c r="D5172" s="100" t="str">
        <f t="shared" si="1"/>
        <v/>
      </c>
      <c r="E5172" s="100" t="str">
        <f t="shared" si="2"/>
        <v/>
      </c>
      <c r="F5172" s="100" t="str">
        <f t="shared" si="3"/>
        <v/>
      </c>
      <c r="G5172" s="151"/>
      <c r="H5172" s="160"/>
      <c r="I5172" s="157"/>
      <c r="J5172" s="158"/>
      <c r="L5172" s="94"/>
      <c r="M5172" s="159"/>
      <c r="N5172" s="94"/>
    </row>
    <row r="5173">
      <c r="A5173" s="107">
        <v>1629636.0</v>
      </c>
      <c r="B5173" s="108" t="s">
        <v>246</v>
      </c>
      <c r="C5173" s="108" t="s">
        <v>1250</v>
      </c>
      <c r="D5173" s="100" t="str">
        <f t="shared" si="1"/>
        <v/>
      </c>
      <c r="E5173" s="100" t="str">
        <f t="shared" si="2"/>
        <v/>
      </c>
      <c r="F5173" s="100" t="str">
        <f t="shared" si="3"/>
        <v/>
      </c>
      <c r="G5173" s="151"/>
      <c r="H5173" s="156"/>
      <c r="I5173" s="157"/>
      <c r="J5173" s="161"/>
      <c r="L5173" s="94"/>
      <c r="M5173" s="159"/>
      <c r="N5173" s="94"/>
    </row>
    <row r="5174">
      <c r="A5174" s="149">
        <v>1629636.0</v>
      </c>
      <c r="B5174" s="115" t="s">
        <v>247</v>
      </c>
      <c r="C5174" s="115" t="s">
        <v>1250</v>
      </c>
      <c r="D5174" s="100" t="str">
        <f t="shared" si="1"/>
        <v/>
      </c>
      <c r="E5174" s="100" t="str">
        <f t="shared" si="2"/>
        <v/>
      </c>
      <c r="F5174" s="100" t="str">
        <f t="shared" si="3"/>
        <v/>
      </c>
      <c r="G5174" s="151"/>
      <c r="H5174" s="160"/>
      <c r="I5174" s="157"/>
      <c r="J5174" s="158"/>
      <c r="L5174" s="94"/>
      <c r="M5174" s="159"/>
      <c r="N5174" s="94"/>
    </row>
    <row r="5175">
      <c r="A5175" s="21">
        <v>1629637.0</v>
      </c>
      <c r="B5175" s="164" t="s">
        <v>193</v>
      </c>
      <c r="C5175" s="164" t="s">
        <v>1251</v>
      </c>
      <c r="D5175" s="100" t="str">
        <f t="shared" si="1"/>
        <v/>
      </c>
      <c r="E5175" s="100" t="str">
        <f t="shared" si="2"/>
        <v/>
      </c>
      <c r="F5175" s="100" t="str">
        <f t="shared" si="3"/>
        <v/>
      </c>
      <c r="G5175" s="151"/>
      <c r="H5175" s="156"/>
      <c r="I5175" s="157"/>
      <c r="J5175" s="161"/>
      <c r="L5175" s="94"/>
      <c r="M5175" s="159"/>
      <c r="N5175" s="94"/>
    </row>
    <row r="5176">
      <c r="A5176" s="107">
        <v>1629637.0</v>
      </c>
      <c r="B5176" s="108" t="s">
        <v>243</v>
      </c>
      <c r="C5176" s="108" t="s">
        <v>1251</v>
      </c>
      <c r="D5176" s="100" t="str">
        <f t="shared" si="1"/>
        <v/>
      </c>
      <c r="E5176" s="100" t="str">
        <f t="shared" si="2"/>
        <v/>
      </c>
      <c r="F5176" s="100" t="str">
        <f t="shared" si="3"/>
        <v/>
      </c>
      <c r="G5176" s="151"/>
      <c r="H5176" s="160"/>
      <c r="I5176" s="157"/>
      <c r="J5176" s="158"/>
      <c r="L5176" s="94"/>
      <c r="M5176" s="159"/>
      <c r="N5176" s="94"/>
    </row>
    <row r="5177">
      <c r="A5177" s="107">
        <v>1629637.0</v>
      </c>
      <c r="B5177" s="108" t="s">
        <v>215</v>
      </c>
      <c r="C5177" s="108" t="s">
        <v>1251</v>
      </c>
      <c r="D5177" s="100" t="str">
        <f t="shared" si="1"/>
        <v/>
      </c>
      <c r="E5177" s="100" t="str">
        <f t="shared" si="2"/>
        <v/>
      </c>
      <c r="F5177" s="100" t="str">
        <f t="shared" si="3"/>
        <v/>
      </c>
      <c r="G5177" s="151"/>
      <c r="H5177" s="156"/>
      <c r="I5177" s="157"/>
      <c r="J5177" s="161"/>
      <c r="L5177" s="94"/>
      <c r="M5177" s="159"/>
      <c r="N5177" s="94"/>
    </row>
    <row r="5178">
      <c r="A5178" s="107">
        <v>1629637.0</v>
      </c>
      <c r="B5178" s="108" t="s">
        <v>244</v>
      </c>
      <c r="C5178" s="108" t="s">
        <v>1251</v>
      </c>
      <c r="D5178" s="100" t="str">
        <f t="shared" si="1"/>
        <v/>
      </c>
      <c r="E5178" s="100" t="str">
        <f t="shared" si="2"/>
        <v/>
      </c>
      <c r="F5178" s="100" t="str">
        <f t="shared" si="3"/>
        <v/>
      </c>
      <c r="G5178" s="151"/>
      <c r="H5178" s="160"/>
      <c r="I5178" s="157"/>
      <c r="J5178" s="158"/>
      <c r="L5178" s="94"/>
      <c r="M5178" s="159"/>
      <c r="N5178" s="94"/>
    </row>
    <row r="5179">
      <c r="A5179" s="107">
        <v>1629637.0</v>
      </c>
      <c r="B5179" s="108" t="s">
        <v>245</v>
      </c>
      <c r="C5179" s="108" t="s">
        <v>1251</v>
      </c>
      <c r="D5179" s="100" t="str">
        <f t="shared" si="1"/>
        <v/>
      </c>
      <c r="E5179" s="100" t="str">
        <f t="shared" si="2"/>
        <v/>
      </c>
      <c r="F5179" s="100" t="str">
        <f t="shared" si="3"/>
        <v/>
      </c>
      <c r="G5179" s="151"/>
      <c r="H5179" s="156"/>
      <c r="I5179" s="157"/>
      <c r="J5179" s="161"/>
      <c r="L5179" s="94"/>
      <c r="M5179" s="159"/>
      <c r="N5179" s="94"/>
    </row>
    <row r="5180">
      <c r="A5180" s="107">
        <v>1629637.0</v>
      </c>
      <c r="B5180" s="108" t="s">
        <v>246</v>
      </c>
      <c r="C5180" s="108" t="s">
        <v>1251</v>
      </c>
      <c r="D5180" s="100" t="str">
        <f t="shared" si="1"/>
        <v/>
      </c>
      <c r="E5180" s="100" t="str">
        <f t="shared" si="2"/>
        <v/>
      </c>
      <c r="F5180" s="100" t="str">
        <f t="shared" si="3"/>
        <v/>
      </c>
      <c r="G5180" s="151"/>
      <c r="H5180" s="160"/>
      <c r="I5180" s="157"/>
      <c r="J5180" s="158"/>
      <c r="L5180" s="94"/>
      <c r="M5180" s="159"/>
      <c r="N5180" s="94"/>
    </row>
    <row r="5181">
      <c r="A5181" s="149">
        <v>1629637.0</v>
      </c>
      <c r="B5181" s="115" t="s">
        <v>247</v>
      </c>
      <c r="C5181" s="115" t="s">
        <v>1251</v>
      </c>
      <c r="D5181" s="100" t="str">
        <f t="shared" si="1"/>
        <v/>
      </c>
      <c r="E5181" s="100" t="str">
        <f t="shared" si="2"/>
        <v/>
      </c>
      <c r="F5181" s="100" t="str">
        <f t="shared" si="3"/>
        <v/>
      </c>
      <c r="G5181" s="151"/>
      <c r="H5181" s="156"/>
      <c r="I5181" s="157"/>
      <c r="J5181" s="161"/>
      <c r="L5181" s="94"/>
      <c r="M5181" s="159"/>
      <c r="N5181" s="94"/>
    </row>
    <row r="5182">
      <c r="A5182" s="21">
        <v>1629638.0</v>
      </c>
      <c r="B5182" s="164" t="s">
        <v>193</v>
      </c>
      <c r="C5182" s="164" t="s">
        <v>1252</v>
      </c>
      <c r="D5182" s="100" t="str">
        <f t="shared" si="1"/>
        <v/>
      </c>
      <c r="E5182" s="100" t="str">
        <f t="shared" si="2"/>
        <v/>
      </c>
      <c r="F5182" s="100" t="str">
        <f t="shared" si="3"/>
        <v/>
      </c>
      <c r="G5182" s="151"/>
      <c r="H5182" s="160"/>
      <c r="I5182" s="157"/>
      <c r="J5182" s="158"/>
      <c r="L5182" s="94"/>
      <c r="M5182" s="159"/>
      <c r="N5182" s="94"/>
    </row>
    <row r="5183">
      <c r="A5183" s="107">
        <v>1629638.0</v>
      </c>
      <c r="B5183" s="108" t="s">
        <v>243</v>
      </c>
      <c r="C5183" s="108" t="s">
        <v>1252</v>
      </c>
      <c r="D5183" s="100" t="str">
        <f t="shared" si="1"/>
        <v/>
      </c>
      <c r="E5183" s="100" t="str">
        <f t="shared" si="2"/>
        <v/>
      </c>
      <c r="F5183" s="100" t="str">
        <f t="shared" si="3"/>
        <v/>
      </c>
      <c r="G5183" s="151"/>
      <c r="H5183" s="156"/>
      <c r="I5183" s="157"/>
      <c r="J5183" s="161"/>
      <c r="L5183" s="94"/>
      <c r="M5183" s="159"/>
      <c r="N5183" s="94"/>
    </row>
    <row r="5184">
      <c r="A5184" s="107">
        <v>1629638.0</v>
      </c>
      <c r="B5184" s="108" t="s">
        <v>215</v>
      </c>
      <c r="C5184" s="108" t="s">
        <v>1252</v>
      </c>
      <c r="D5184" s="100" t="str">
        <f t="shared" si="1"/>
        <v/>
      </c>
      <c r="E5184" s="100" t="str">
        <f t="shared" si="2"/>
        <v/>
      </c>
      <c r="F5184" s="100" t="str">
        <f t="shared" si="3"/>
        <v/>
      </c>
      <c r="G5184" s="151"/>
      <c r="H5184" s="160"/>
      <c r="I5184" s="157"/>
      <c r="J5184" s="158"/>
      <c r="L5184" s="94"/>
      <c r="M5184" s="159"/>
      <c r="N5184" s="94"/>
    </row>
    <row r="5185">
      <c r="A5185" s="107">
        <v>1629638.0</v>
      </c>
      <c r="B5185" s="108" t="s">
        <v>244</v>
      </c>
      <c r="C5185" s="108" t="s">
        <v>1252</v>
      </c>
      <c r="D5185" s="100" t="str">
        <f t="shared" si="1"/>
        <v/>
      </c>
      <c r="E5185" s="100" t="str">
        <f t="shared" si="2"/>
        <v/>
      </c>
      <c r="F5185" s="100" t="str">
        <f t="shared" si="3"/>
        <v/>
      </c>
      <c r="G5185" s="151"/>
      <c r="H5185" s="156"/>
      <c r="I5185" s="157"/>
      <c r="J5185" s="161"/>
      <c r="L5185" s="94"/>
      <c r="M5185" s="159"/>
      <c r="N5185" s="94"/>
    </row>
    <row r="5186">
      <c r="A5186" s="107">
        <v>1629638.0</v>
      </c>
      <c r="B5186" s="108" t="s">
        <v>245</v>
      </c>
      <c r="C5186" s="108" t="s">
        <v>1252</v>
      </c>
      <c r="D5186" s="100" t="str">
        <f t="shared" si="1"/>
        <v/>
      </c>
      <c r="E5186" s="100" t="str">
        <f t="shared" si="2"/>
        <v/>
      </c>
      <c r="F5186" s="100" t="str">
        <f t="shared" si="3"/>
        <v/>
      </c>
      <c r="G5186" s="151"/>
      <c r="H5186" s="160"/>
      <c r="I5186" s="157"/>
      <c r="J5186" s="158"/>
      <c r="L5186" s="94"/>
      <c r="M5186" s="159"/>
      <c r="N5186" s="94"/>
    </row>
    <row r="5187">
      <c r="A5187" s="107">
        <v>1629638.0</v>
      </c>
      <c r="B5187" s="108" t="s">
        <v>246</v>
      </c>
      <c r="C5187" s="108" t="s">
        <v>1252</v>
      </c>
      <c r="D5187" s="100" t="str">
        <f t="shared" si="1"/>
        <v/>
      </c>
      <c r="E5187" s="100" t="str">
        <f t="shared" si="2"/>
        <v/>
      </c>
      <c r="F5187" s="100" t="str">
        <f t="shared" si="3"/>
        <v/>
      </c>
      <c r="G5187" s="151"/>
      <c r="H5187" s="156"/>
      <c r="I5187" s="157"/>
      <c r="J5187" s="161"/>
      <c r="L5187" s="94"/>
      <c r="M5187" s="159"/>
      <c r="N5187" s="94"/>
    </row>
    <row r="5188">
      <c r="A5188" s="149">
        <v>1629638.0</v>
      </c>
      <c r="B5188" s="115" t="s">
        <v>247</v>
      </c>
      <c r="C5188" s="115" t="s">
        <v>1252</v>
      </c>
      <c r="D5188" s="100" t="str">
        <f t="shared" si="1"/>
        <v/>
      </c>
      <c r="E5188" s="100" t="str">
        <f t="shared" si="2"/>
        <v/>
      </c>
      <c r="F5188" s="100" t="str">
        <f t="shared" si="3"/>
        <v/>
      </c>
      <c r="G5188" s="151"/>
      <c r="H5188" s="160"/>
      <c r="I5188" s="157"/>
      <c r="J5188" s="158"/>
      <c r="L5188" s="94"/>
      <c r="M5188" s="159"/>
      <c r="N5188" s="94"/>
    </row>
    <row r="5189">
      <c r="A5189" s="21">
        <v>1629639.0</v>
      </c>
      <c r="B5189" s="164" t="s">
        <v>193</v>
      </c>
      <c r="C5189" s="164" t="s">
        <v>1253</v>
      </c>
      <c r="D5189" s="100" t="str">
        <f t="shared" si="1"/>
        <v/>
      </c>
      <c r="E5189" s="100" t="str">
        <f t="shared" si="2"/>
        <v/>
      </c>
      <c r="F5189" s="100" t="str">
        <f t="shared" si="3"/>
        <v/>
      </c>
      <c r="G5189" s="151"/>
      <c r="H5189" s="156"/>
      <c r="I5189" s="157"/>
      <c r="J5189" s="161"/>
      <c r="L5189" s="94"/>
      <c r="M5189" s="159"/>
      <c r="N5189" s="94"/>
    </row>
    <row r="5190">
      <c r="A5190" s="107">
        <v>1629639.0</v>
      </c>
      <c r="B5190" s="108" t="s">
        <v>243</v>
      </c>
      <c r="C5190" s="108" t="s">
        <v>1253</v>
      </c>
      <c r="D5190" s="100" t="str">
        <f t="shared" si="1"/>
        <v/>
      </c>
      <c r="E5190" s="100" t="str">
        <f t="shared" si="2"/>
        <v/>
      </c>
      <c r="F5190" s="100" t="str">
        <f t="shared" si="3"/>
        <v/>
      </c>
      <c r="G5190" s="151"/>
      <c r="H5190" s="160"/>
      <c r="I5190" s="157"/>
      <c r="J5190" s="158"/>
      <c r="L5190" s="94"/>
      <c r="M5190" s="159"/>
      <c r="N5190" s="94"/>
    </row>
    <row r="5191">
      <c r="A5191" s="107">
        <v>1629639.0</v>
      </c>
      <c r="B5191" s="108" t="s">
        <v>215</v>
      </c>
      <c r="C5191" s="108" t="s">
        <v>1253</v>
      </c>
      <c r="D5191" s="100" t="str">
        <f t="shared" si="1"/>
        <v/>
      </c>
      <c r="E5191" s="100" t="str">
        <f t="shared" si="2"/>
        <v/>
      </c>
      <c r="F5191" s="100" t="str">
        <f t="shared" si="3"/>
        <v/>
      </c>
      <c r="G5191" s="151"/>
      <c r="H5191" s="156"/>
      <c r="I5191" s="157"/>
      <c r="J5191" s="161"/>
      <c r="L5191" s="94"/>
      <c r="M5191" s="159"/>
      <c r="N5191" s="94"/>
    </row>
    <row r="5192">
      <c r="A5192" s="107">
        <v>1629639.0</v>
      </c>
      <c r="B5192" s="108" t="s">
        <v>244</v>
      </c>
      <c r="C5192" s="108" t="s">
        <v>1253</v>
      </c>
      <c r="D5192" s="100" t="str">
        <f t="shared" si="1"/>
        <v/>
      </c>
      <c r="E5192" s="100" t="str">
        <f t="shared" si="2"/>
        <v/>
      </c>
      <c r="F5192" s="100" t="str">
        <f t="shared" si="3"/>
        <v/>
      </c>
      <c r="G5192" s="151"/>
      <c r="H5192" s="160"/>
      <c r="I5192" s="157"/>
      <c r="J5192" s="158"/>
      <c r="L5192" s="94"/>
      <c r="M5192" s="159"/>
      <c r="N5192" s="94"/>
    </row>
    <row r="5193">
      <c r="A5193" s="107">
        <v>1629639.0</v>
      </c>
      <c r="B5193" s="108" t="s">
        <v>245</v>
      </c>
      <c r="C5193" s="108" t="s">
        <v>1253</v>
      </c>
      <c r="D5193" s="100" t="str">
        <f t="shared" si="1"/>
        <v/>
      </c>
      <c r="E5193" s="100" t="str">
        <f t="shared" si="2"/>
        <v/>
      </c>
      <c r="F5193" s="100" t="str">
        <f t="shared" si="3"/>
        <v/>
      </c>
      <c r="G5193" s="151"/>
      <c r="H5193" s="156"/>
      <c r="I5193" s="157"/>
      <c r="J5193" s="161"/>
      <c r="L5193" s="94"/>
      <c r="M5193" s="159"/>
      <c r="N5193" s="94"/>
    </row>
    <row r="5194">
      <c r="A5194" s="107">
        <v>1629639.0</v>
      </c>
      <c r="B5194" s="108" t="s">
        <v>246</v>
      </c>
      <c r="C5194" s="108" t="s">
        <v>1253</v>
      </c>
      <c r="D5194" s="100" t="str">
        <f t="shared" si="1"/>
        <v/>
      </c>
      <c r="E5194" s="100" t="str">
        <f t="shared" si="2"/>
        <v/>
      </c>
      <c r="F5194" s="100" t="str">
        <f t="shared" si="3"/>
        <v/>
      </c>
      <c r="G5194" s="151"/>
      <c r="H5194" s="160"/>
      <c r="I5194" s="157"/>
      <c r="J5194" s="158"/>
      <c r="L5194" s="94"/>
      <c r="M5194" s="159"/>
      <c r="N5194" s="94"/>
    </row>
    <row r="5195">
      <c r="A5195" s="140">
        <v>1629639.0</v>
      </c>
      <c r="B5195" s="115" t="s">
        <v>247</v>
      </c>
      <c r="C5195" s="115" t="s">
        <v>1253</v>
      </c>
      <c r="D5195" s="100" t="str">
        <f t="shared" si="1"/>
        <v/>
      </c>
      <c r="E5195" s="100" t="str">
        <f t="shared" si="2"/>
        <v/>
      </c>
      <c r="F5195" s="100" t="str">
        <f t="shared" si="3"/>
        <v/>
      </c>
      <c r="G5195" s="151"/>
      <c r="H5195" s="156"/>
      <c r="I5195" s="157"/>
      <c r="J5195" s="161"/>
      <c r="L5195" s="94"/>
      <c r="M5195" s="159"/>
      <c r="N5195" s="94"/>
    </row>
    <row r="5196">
      <c r="A5196" s="163">
        <v>1629640.0</v>
      </c>
      <c r="B5196" s="164" t="s">
        <v>193</v>
      </c>
      <c r="C5196" s="164" t="s">
        <v>1254</v>
      </c>
      <c r="D5196" s="100" t="str">
        <f t="shared" si="1"/>
        <v/>
      </c>
      <c r="E5196" s="100" t="str">
        <f t="shared" si="2"/>
        <v/>
      </c>
      <c r="F5196" s="100" t="str">
        <f t="shared" si="3"/>
        <v/>
      </c>
      <c r="G5196" s="151"/>
      <c r="H5196" s="160"/>
      <c r="I5196" s="157"/>
      <c r="J5196" s="158"/>
      <c r="L5196" s="94"/>
      <c r="M5196" s="159"/>
      <c r="N5196" s="94"/>
    </row>
    <row r="5197">
      <c r="A5197" s="107">
        <v>1629640.0</v>
      </c>
      <c r="B5197" s="108" t="s">
        <v>243</v>
      </c>
      <c r="C5197" s="108" t="s">
        <v>1254</v>
      </c>
      <c r="D5197" s="100" t="str">
        <f t="shared" si="1"/>
        <v/>
      </c>
      <c r="E5197" s="100" t="str">
        <f t="shared" si="2"/>
        <v/>
      </c>
      <c r="F5197" s="100" t="str">
        <f t="shared" si="3"/>
        <v/>
      </c>
      <c r="G5197" s="151"/>
      <c r="H5197" s="156"/>
      <c r="I5197" s="157"/>
      <c r="J5197" s="161"/>
      <c r="L5197" s="94"/>
      <c r="M5197" s="159"/>
      <c r="N5197" s="94"/>
    </row>
    <row r="5198">
      <c r="A5198" s="107">
        <v>1629640.0</v>
      </c>
      <c r="B5198" s="108" t="s">
        <v>215</v>
      </c>
      <c r="C5198" s="108" t="s">
        <v>1254</v>
      </c>
      <c r="D5198" s="100" t="str">
        <f t="shared" si="1"/>
        <v/>
      </c>
      <c r="E5198" s="100" t="str">
        <f t="shared" si="2"/>
        <v/>
      </c>
      <c r="F5198" s="100" t="str">
        <f t="shared" si="3"/>
        <v/>
      </c>
      <c r="G5198" s="151"/>
      <c r="H5198" s="160"/>
      <c r="I5198" s="157"/>
      <c r="J5198" s="158"/>
      <c r="L5198" s="94"/>
      <c r="M5198" s="159"/>
      <c r="N5198" s="94"/>
    </row>
    <row r="5199">
      <c r="A5199" s="107">
        <v>1629640.0</v>
      </c>
      <c r="B5199" s="108" t="s">
        <v>244</v>
      </c>
      <c r="C5199" s="108" t="s">
        <v>1254</v>
      </c>
      <c r="D5199" s="100" t="str">
        <f t="shared" si="1"/>
        <v/>
      </c>
      <c r="E5199" s="100" t="str">
        <f t="shared" si="2"/>
        <v/>
      </c>
      <c r="F5199" s="100" t="str">
        <f t="shared" si="3"/>
        <v/>
      </c>
      <c r="G5199" s="151"/>
      <c r="H5199" s="156"/>
      <c r="I5199" s="157"/>
      <c r="J5199" s="161"/>
      <c r="L5199" s="94"/>
      <c r="M5199" s="159"/>
      <c r="N5199" s="94"/>
    </row>
    <row r="5200">
      <c r="A5200" s="107">
        <v>1629640.0</v>
      </c>
      <c r="B5200" s="108" t="s">
        <v>245</v>
      </c>
      <c r="C5200" s="108" t="s">
        <v>1254</v>
      </c>
      <c r="D5200" s="100" t="str">
        <f t="shared" si="1"/>
        <v/>
      </c>
      <c r="E5200" s="100" t="str">
        <f t="shared" si="2"/>
        <v/>
      </c>
      <c r="F5200" s="100" t="str">
        <f t="shared" si="3"/>
        <v/>
      </c>
      <c r="G5200" s="151"/>
      <c r="H5200" s="160"/>
      <c r="I5200" s="157"/>
      <c r="J5200" s="158"/>
      <c r="L5200" s="94"/>
      <c r="M5200" s="159"/>
      <c r="N5200" s="94"/>
    </row>
    <row r="5201">
      <c r="A5201" s="107">
        <v>1629640.0</v>
      </c>
      <c r="B5201" s="108" t="s">
        <v>246</v>
      </c>
      <c r="C5201" s="108" t="s">
        <v>1254</v>
      </c>
      <c r="D5201" s="100" t="str">
        <f t="shared" si="1"/>
        <v/>
      </c>
      <c r="E5201" s="100" t="str">
        <f t="shared" si="2"/>
        <v/>
      </c>
      <c r="F5201" s="100" t="str">
        <f t="shared" si="3"/>
        <v/>
      </c>
      <c r="G5201" s="151"/>
      <c r="H5201" s="156"/>
      <c r="I5201" s="157"/>
      <c r="J5201" s="161"/>
      <c r="L5201" s="94"/>
      <c r="M5201" s="159"/>
      <c r="N5201" s="94"/>
    </row>
    <row r="5202">
      <c r="A5202" s="149">
        <v>1629640.0</v>
      </c>
      <c r="B5202" s="115" t="s">
        <v>247</v>
      </c>
      <c r="C5202" s="115" t="s">
        <v>1254</v>
      </c>
      <c r="D5202" s="100" t="str">
        <f t="shared" si="1"/>
        <v/>
      </c>
      <c r="E5202" s="100" t="str">
        <f t="shared" si="2"/>
        <v/>
      </c>
      <c r="F5202" s="100" t="str">
        <f t="shared" si="3"/>
        <v/>
      </c>
      <c r="G5202" s="151"/>
      <c r="H5202" s="160"/>
      <c r="I5202" s="157"/>
      <c r="J5202" s="158"/>
      <c r="L5202" s="94"/>
      <c r="M5202" s="159"/>
      <c r="N5202" s="94"/>
    </row>
    <row r="5203">
      <c r="A5203" s="21">
        <v>1629641.0</v>
      </c>
      <c r="B5203" s="164" t="s">
        <v>193</v>
      </c>
      <c r="C5203" s="164" t="s">
        <v>1255</v>
      </c>
      <c r="D5203" s="100" t="str">
        <f t="shared" si="1"/>
        <v/>
      </c>
      <c r="E5203" s="100" t="str">
        <f t="shared" si="2"/>
        <v/>
      </c>
      <c r="F5203" s="100" t="str">
        <f t="shared" si="3"/>
        <v/>
      </c>
      <c r="G5203" s="151"/>
      <c r="H5203" s="156"/>
      <c r="I5203" s="157"/>
      <c r="J5203" s="161"/>
      <c r="L5203" s="94"/>
      <c r="M5203" s="159"/>
      <c r="N5203" s="94"/>
    </row>
    <row r="5204">
      <c r="A5204" s="107">
        <v>1629641.0</v>
      </c>
      <c r="B5204" s="108" t="s">
        <v>243</v>
      </c>
      <c r="C5204" s="108" t="s">
        <v>1255</v>
      </c>
      <c r="D5204" s="100" t="str">
        <f t="shared" si="1"/>
        <v/>
      </c>
      <c r="E5204" s="100" t="str">
        <f t="shared" si="2"/>
        <v/>
      </c>
      <c r="F5204" s="100" t="str">
        <f t="shared" si="3"/>
        <v/>
      </c>
      <c r="G5204" s="151"/>
      <c r="H5204" s="160"/>
      <c r="I5204" s="157"/>
      <c r="J5204" s="158"/>
      <c r="L5204" s="94"/>
      <c r="M5204" s="159"/>
      <c r="N5204" s="94"/>
    </row>
    <row r="5205">
      <c r="A5205" s="107">
        <v>1629641.0</v>
      </c>
      <c r="B5205" s="108" t="s">
        <v>215</v>
      </c>
      <c r="C5205" s="108" t="s">
        <v>1255</v>
      </c>
      <c r="D5205" s="100" t="str">
        <f t="shared" si="1"/>
        <v/>
      </c>
      <c r="E5205" s="100" t="str">
        <f t="shared" si="2"/>
        <v/>
      </c>
      <c r="F5205" s="100" t="str">
        <f t="shared" si="3"/>
        <v/>
      </c>
      <c r="G5205" s="151"/>
      <c r="H5205" s="156"/>
      <c r="I5205" s="157"/>
      <c r="J5205" s="161"/>
      <c r="L5205" s="94"/>
      <c r="M5205" s="159"/>
      <c r="N5205" s="94"/>
    </row>
    <row r="5206">
      <c r="A5206" s="107">
        <v>1629641.0</v>
      </c>
      <c r="B5206" s="108" t="s">
        <v>244</v>
      </c>
      <c r="C5206" s="108" t="s">
        <v>1255</v>
      </c>
      <c r="D5206" s="100" t="str">
        <f t="shared" si="1"/>
        <v/>
      </c>
      <c r="E5206" s="100" t="str">
        <f t="shared" si="2"/>
        <v/>
      </c>
      <c r="F5206" s="100" t="str">
        <f t="shared" si="3"/>
        <v/>
      </c>
      <c r="G5206" s="151"/>
      <c r="H5206" s="160"/>
      <c r="I5206" s="157"/>
      <c r="J5206" s="158"/>
      <c r="L5206" s="94"/>
      <c r="M5206" s="159"/>
      <c r="N5206" s="94"/>
    </row>
    <row r="5207">
      <c r="A5207" s="107">
        <v>1629642.0</v>
      </c>
      <c r="B5207" s="108" t="s">
        <v>193</v>
      </c>
      <c r="C5207" s="108" t="s">
        <v>1256</v>
      </c>
      <c r="D5207" s="100" t="str">
        <f t="shared" si="1"/>
        <v/>
      </c>
      <c r="E5207" s="100" t="str">
        <f t="shared" si="2"/>
        <v/>
      </c>
      <c r="F5207" s="100" t="str">
        <f t="shared" si="3"/>
        <v/>
      </c>
      <c r="G5207" s="151"/>
      <c r="H5207" s="156"/>
      <c r="I5207" s="157"/>
      <c r="J5207" s="161"/>
      <c r="L5207" s="94"/>
      <c r="M5207" s="159"/>
      <c r="N5207" s="94"/>
    </row>
    <row r="5208">
      <c r="A5208" s="107">
        <v>1629642.0</v>
      </c>
      <c r="B5208" s="108" t="s">
        <v>243</v>
      </c>
      <c r="C5208" s="108" t="s">
        <v>1256</v>
      </c>
      <c r="D5208" s="100" t="str">
        <f t="shared" si="1"/>
        <v/>
      </c>
      <c r="E5208" s="100" t="str">
        <f t="shared" si="2"/>
        <v/>
      </c>
      <c r="F5208" s="100" t="str">
        <f t="shared" si="3"/>
        <v/>
      </c>
      <c r="G5208" s="151"/>
      <c r="H5208" s="160"/>
      <c r="I5208" s="157"/>
      <c r="J5208" s="158"/>
      <c r="L5208" s="94"/>
      <c r="M5208" s="159"/>
      <c r="N5208" s="94"/>
    </row>
    <row r="5209">
      <c r="A5209" s="107">
        <v>1629642.0</v>
      </c>
      <c r="B5209" s="108" t="s">
        <v>215</v>
      </c>
      <c r="C5209" s="108" t="s">
        <v>1256</v>
      </c>
      <c r="D5209" s="100" t="str">
        <f t="shared" si="1"/>
        <v/>
      </c>
      <c r="E5209" s="100" t="str">
        <f t="shared" si="2"/>
        <v/>
      </c>
      <c r="F5209" s="100" t="str">
        <f t="shared" si="3"/>
        <v/>
      </c>
      <c r="G5209" s="151"/>
      <c r="H5209" s="156"/>
      <c r="I5209" s="157"/>
      <c r="J5209" s="161"/>
      <c r="L5209" s="94"/>
      <c r="M5209" s="159"/>
      <c r="N5209" s="94"/>
    </row>
    <row r="5210">
      <c r="A5210" s="107">
        <v>1629642.0</v>
      </c>
      <c r="B5210" s="108" t="s">
        <v>244</v>
      </c>
      <c r="C5210" s="108" t="s">
        <v>1256</v>
      </c>
      <c r="D5210" s="100" t="str">
        <f t="shared" si="1"/>
        <v/>
      </c>
      <c r="E5210" s="100" t="str">
        <f t="shared" si="2"/>
        <v/>
      </c>
      <c r="F5210" s="100" t="str">
        <f t="shared" si="3"/>
        <v/>
      </c>
      <c r="G5210" s="151"/>
      <c r="H5210" s="160"/>
      <c r="I5210" s="157"/>
      <c r="J5210" s="158"/>
      <c r="L5210" s="94"/>
      <c r="M5210" s="159"/>
      <c r="N5210" s="94"/>
    </row>
    <row r="5211">
      <c r="A5211" s="107">
        <v>1629642.0</v>
      </c>
      <c r="B5211" s="108" t="s">
        <v>245</v>
      </c>
      <c r="C5211" s="108" t="s">
        <v>1256</v>
      </c>
      <c r="D5211" s="100" t="str">
        <f t="shared" si="1"/>
        <v/>
      </c>
      <c r="E5211" s="100" t="str">
        <f t="shared" si="2"/>
        <v/>
      </c>
      <c r="F5211" s="100" t="str">
        <f t="shared" si="3"/>
        <v/>
      </c>
      <c r="G5211" s="151"/>
      <c r="H5211" s="156"/>
      <c r="I5211" s="157"/>
      <c r="J5211" s="161"/>
      <c r="L5211" s="94"/>
      <c r="M5211" s="159"/>
      <c r="N5211" s="94"/>
    </row>
    <row r="5212">
      <c r="A5212" s="107">
        <v>1629643.0</v>
      </c>
      <c r="B5212" s="108" t="s">
        <v>243</v>
      </c>
      <c r="C5212" s="108" t="s">
        <v>1257</v>
      </c>
      <c r="D5212" s="100" t="str">
        <f t="shared" si="1"/>
        <v/>
      </c>
      <c r="E5212" s="100" t="str">
        <f t="shared" si="2"/>
        <v/>
      </c>
      <c r="F5212" s="100" t="str">
        <f t="shared" si="3"/>
        <v/>
      </c>
      <c r="G5212" s="151"/>
      <c r="H5212" s="160"/>
      <c r="I5212" s="157"/>
      <c r="J5212" s="158"/>
      <c r="L5212" s="94"/>
      <c r="M5212" s="159"/>
      <c r="N5212" s="94"/>
    </row>
    <row r="5213">
      <c r="A5213" s="107">
        <v>1629643.0</v>
      </c>
      <c r="B5213" s="108" t="s">
        <v>215</v>
      </c>
      <c r="C5213" s="108" t="s">
        <v>1257</v>
      </c>
      <c r="D5213" s="100" t="str">
        <f t="shared" si="1"/>
        <v/>
      </c>
      <c r="E5213" s="100" t="str">
        <f t="shared" si="2"/>
        <v/>
      </c>
      <c r="F5213" s="100" t="str">
        <f t="shared" si="3"/>
        <v/>
      </c>
      <c r="G5213" s="151"/>
      <c r="H5213" s="156"/>
      <c r="I5213" s="157"/>
      <c r="J5213" s="161"/>
      <c r="L5213" s="94"/>
      <c r="M5213" s="159"/>
      <c r="N5213" s="94"/>
    </row>
    <row r="5214">
      <c r="A5214" s="107">
        <v>1629643.0</v>
      </c>
      <c r="B5214" s="108" t="s">
        <v>244</v>
      </c>
      <c r="C5214" s="108" t="s">
        <v>1257</v>
      </c>
      <c r="D5214" s="100" t="str">
        <f t="shared" si="1"/>
        <v/>
      </c>
      <c r="E5214" s="100" t="str">
        <f t="shared" si="2"/>
        <v/>
      </c>
      <c r="F5214" s="100" t="str">
        <f t="shared" si="3"/>
        <v/>
      </c>
      <c r="G5214" s="151"/>
      <c r="H5214" s="160"/>
      <c r="I5214" s="157"/>
      <c r="J5214" s="158"/>
      <c r="L5214" s="94"/>
      <c r="M5214" s="159"/>
      <c r="N5214" s="94"/>
    </row>
    <row r="5215">
      <c r="A5215" s="107">
        <v>1629643.0</v>
      </c>
      <c r="B5215" s="108" t="s">
        <v>245</v>
      </c>
      <c r="C5215" s="108" t="s">
        <v>1257</v>
      </c>
      <c r="D5215" s="100" t="str">
        <f t="shared" si="1"/>
        <v/>
      </c>
      <c r="E5215" s="100" t="str">
        <f t="shared" si="2"/>
        <v/>
      </c>
      <c r="F5215" s="100" t="str">
        <f t="shared" si="3"/>
        <v/>
      </c>
      <c r="G5215" s="151"/>
      <c r="H5215" s="156"/>
      <c r="I5215" s="157"/>
      <c r="J5215" s="161"/>
      <c r="L5215" s="94"/>
      <c r="M5215" s="159"/>
      <c r="N5215" s="94"/>
    </row>
    <row r="5216">
      <c r="A5216" s="149">
        <v>1629643.0</v>
      </c>
      <c r="B5216" s="108" t="s">
        <v>246</v>
      </c>
      <c r="C5216" s="115" t="s">
        <v>1257</v>
      </c>
      <c r="D5216" s="100" t="str">
        <f t="shared" si="1"/>
        <v/>
      </c>
      <c r="E5216" s="100" t="str">
        <f t="shared" si="2"/>
        <v/>
      </c>
      <c r="F5216" s="100" t="str">
        <f t="shared" si="3"/>
        <v/>
      </c>
      <c r="G5216" s="151"/>
      <c r="H5216" s="160"/>
      <c r="I5216" s="157"/>
      <c r="J5216" s="158"/>
      <c r="L5216" s="94"/>
      <c r="M5216" s="159"/>
      <c r="N5216" s="94"/>
    </row>
    <row r="5217">
      <c r="A5217" s="165">
        <v>1629644.0</v>
      </c>
      <c r="B5217" s="124" t="s">
        <v>193</v>
      </c>
      <c r="C5217" s="124" t="s">
        <v>1258</v>
      </c>
      <c r="D5217" s="100" t="str">
        <f t="shared" si="1"/>
        <v/>
      </c>
      <c r="E5217" s="100" t="str">
        <f t="shared" si="2"/>
        <v/>
      </c>
      <c r="F5217" s="100" t="str">
        <f t="shared" si="3"/>
        <v/>
      </c>
      <c r="G5217" s="151"/>
      <c r="H5217" s="156"/>
      <c r="I5217" s="157"/>
      <c r="J5217" s="161"/>
      <c r="L5217" s="94"/>
      <c r="M5217" s="159"/>
      <c r="N5217" s="94"/>
    </row>
    <row r="5218">
      <c r="A5218" s="107">
        <v>1629644.0</v>
      </c>
      <c r="B5218" s="108" t="s">
        <v>243</v>
      </c>
      <c r="C5218" s="108" t="s">
        <v>1258</v>
      </c>
      <c r="D5218" s="100" t="str">
        <f t="shared" si="1"/>
        <v/>
      </c>
      <c r="E5218" s="100" t="str">
        <f t="shared" si="2"/>
        <v/>
      </c>
      <c r="F5218" s="100" t="str">
        <f t="shared" si="3"/>
        <v/>
      </c>
      <c r="G5218" s="151"/>
      <c r="H5218" s="160"/>
      <c r="I5218" s="157"/>
      <c r="J5218" s="158"/>
      <c r="L5218" s="94"/>
      <c r="M5218" s="159"/>
      <c r="N5218" s="94"/>
    </row>
    <row r="5219">
      <c r="A5219" s="107">
        <v>1629644.0</v>
      </c>
      <c r="B5219" s="108" t="s">
        <v>215</v>
      </c>
      <c r="C5219" s="108" t="s">
        <v>1258</v>
      </c>
      <c r="D5219" s="100" t="str">
        <f t="shared" si="1"/>
        <v/>
      </c>
      <c r="E5219" s="100" t="str">
        <f t="shared" si="2"/>
        <v/>
      </c>
      <c r="F5219" s="100" t="str">
        <f t="shared" si="3"/>
        <v/>
      </c>
      <c r="G5219" s="151"/>
      <c r="H5219" s="156"/>
      <c r="I5219" s="157"/>
      <c r="J5219" s="161"/>
      <c r="L5219" s="94"/>
      <c r="M5219" s="159"/>
      <c r="N5219" s="94"/>
    </row>
    <row r="5220">
      <c r="A5220" s="107">
        <v>1629644.0</v>
      </c>
      <c r="B5220" s="108" t="s">
        <v>244</v>
      </c>
      <c r="C5220" s="108" t="s">
        <v>1258</v>
      </c>
      <c r="D5220" s="100" t="str">
        <f t="shared" si="1"/>
        <v/>
      </c>
      <c r="E5220" s="100" t="str">
        <f t="shared" si="2"/>
        <v/>
      </c>
      <c r="F5220" s="100" t="str">
        <f t="shared" si="3"/>
        <v/>
      </c>
      <c r="G5220" s="151"/>
      <c r="H5220" s="160"/>
      <c r="I5220" s="157"/>
      <c r="J5220" s="158"/>
      <c r="L5220" s="94"/>
      <c r="M5220" s="159"/>
      <c r="N5220" s="94"/>
    </row>
    <row r="5221">
      <c r="A5221" s="107">
        <v>1629645.0</v>
      </c>
      <c r="B5221" s="108" t="s">
        <v>193</v>
      </c>
      <c r="C5221" s="108" t="s">
        <v>1259</v>
      </c>
      <c r="D5221" s="100" t="str">
        <f t="shared" si="1"/>
        <v/>
      </c>
      <c r="E5221" s="100" t="str">
        <f t="shared" si="2"/>
        <v/>
      </c>
      <c r="F5221" s="100" t="str">
        <f t="shared" si="3"/>
        <v/>
      </c>
      <c r="G5221" s="151"/>
      <c r="H5221" s="156"/>
      <c r="I5221" s="157"/>
      <c r="J5221" s="161"/>
      <c r="L5221" s="94"/>
      <c r="M5221" s="159"/>
      <c r="N5221" s="94"/>
    </row>
    <row r="5222">
      <c r="A5222" s="107">
        <v>1629645.0</v>
      </c>
      <c r="B5222" s="108" t="s">
        <v>243</v>
      </c>
      <c r="C5222" s="108" t="s">
        <v>1259</v>
      </c>
      <c r="D5222" s="100" t="str">
        <f t="shared" si="1"/>
        <v/>
      </c>
      <c r="E5222" s="100" t="str">
        <f t="shared" si="2"/>
        <v/>
      </c>
      <c r="F5222" s="100" t="str">
        <f t="shared" si="3"/>
        <v/>
      </c>
      <c r="G5222" s="151"/>
      <c r="H5222" s="160"/>
      <c r="I5222" s="157"/>
      <c r="J5222" s="158"/>
      <c r="L5222" s="94"/>
      <c r="M5222" s="159"/>
      <c r="N5222" s="94"/>
    </row>
    <row r="5223">
      <c r="A5223" s="107">
        <v>1629645.0</v>
      </c>
      <c r="B5223" s="108" t="s">
        <v>215</v>
      </c>
      <c r="C5223" s="108" t="s">
        <v>1259</v>
      </c>
      <c r="D5223" s="100" t="str">
        <f t="shared" si="1"/>
        <v/>
      </c>
      <c r="E5223" s="100" t="str">
        <f t="shared" si="2"/>
        <v/>
      </c>
      <c r="F5223" s="100" t="str">
        <f t="shared" si="3"/>
        <v/>
      </c>
      <c r="G5223" s="151"/>
      <c r="H5223" s="156"/>
      <c r="I5223" s="157"/>
      <c r="J5223" s="161"/>
      <c r="L5223" s="94"/>
      <c r="M5223" s="159"/>
      <c r="N5223" s="94"/>
    </row>
    <row r="5224">
      <c r="A5224" s="107">
        <v>1629645.0</v>
      </c>
      <c r="B5224" s="108" t="s">
        <v>244</v>
      </c>
      <c r="C5224" s="108" t="s">
        <v>1259</v>
      </c>
      <c r="D5224" s="100" t="str">
        <f t="shared" si="1"/>
        <v/>
      </c>
      <c r="E5224" s="100" t="str">
        <f t="shared" si="2"/>
        <v/>
      </c>
      <c r="F5224" s="100" t="str">
        <f t="shared" si="3"/>
        <v/>
      </c>
      <c r="G5224" s="151"/>
      <c r="H5224" s="160"/>
      <c r="I5224" s="157"/>
      <c r="J5224" s="158"/>
      <c r="L5224" s="94"/>
      <c r="M5224" s="159"/>
      <c r="N5224" s="94"/>
    </row>
    <row r="5225">
      <c r="A5225" s="107">
        <v>1629645.0</v>
      </c>
      <c r="B5225" s="108" t="s">
        <v>246</v>
      </c>
      <c r="C5225" s="108" t="s">
        <v>1259</v>
      </c>
      <c r="D5225" s="100" t="str">
        <f t="shared" si="1"/>
        <v/>
      </c>
      <c r="E5225" s="100" t="str">
        <f t="shared" si="2"/>
        <v/>
      </c>
      <c r="F5225" s="100" t="str">
        <f t="shared" si="3"/>
        <v/>
      </c>
      <c r="G5225" s="151"/>
      <c r="H5225" s="156"/>
      <c r="I5225" s="157"/>
      <c r="J5225" s="161"/>
      <c r="L5225" s="94"/>
      <c r="M5225" s="159"/>
      <c r="N5225" s="94"/>
    </row>
    <row r="5226">
      <c r="A5226" s="149">
        <v>1629645.0</v>
      </c>
      <c r="B5226" s="115" t="s">
        <v>247</v>
      </c>
      <c r="C5226" s="108" t="s">
        <v>1259</v>
      </c>
      <c r="D5226" s="100" t="str">
        <f t="shared" si="1"/>
        <v/>
      </c>
      <c r="E5226" s="100" t="str">
        <f t="shared" si="2"/>
        <v/>
      </c>
      <c r="F5226" s="100" t="str">
        <f t="shared" si="3"/>
        <v/>
      </c>
      <c r="G5226" s="151"/>
      <c r="H5226" s="160"/>
      <c r="I5226" s="157"/>
      <c r="J5226" s="158"/>
      <c r="L5226" s="94"/>
      <c r="M5226" s="159"/>
      <c r="N5226" s="94"/>
    </row>
    <row r="5227">
      <c r="A5227" s="21">
        <v>1629646.0</v>
      </c>
      <c r="B5227" s="164" t="s">
        <v>215</v>
      </c>
      <c r="C5227" s="164" t="s">
        <v>1260</v>
      </c>
      <c r="D5227" s="100" t="str">
        <f t="shared" si="1"/>
        <v/>
      </c>
      <c r="E5227" s="100" t="str">
        <f t="shared" si="2"/>
        <v/>
      </c>
      <c r="F5227" s="100" t="str">
        <f t="shared" si="3"/>
        <v/>
      </c>
      <c r="G5227" s="151"/>
      <c r="H5227" s="156"/>
      <c r="I5227" s="157"/>
      <c r="J5227" s="161"/>
      <c r="L5227" s="94"/>
      <c r="M5227" s="159"/>
      <c r="N5227" s="94"/>
    </row>
    <row r="5228">
      <c r="A5228" s="107">
        <v>1629646.0</v>
      </c>
      <c r="B5228" s="108" t="s">
        <v>244</v>
      </c>
      <c r="C5228" s="108" t="s">
        <v>1260</v>
      </c>
      <c r="D5228" s="100" t="str">
        <f t="shared" si="1"/>
        <v/>
      </c>
      <c r="E5228" s="100" t="str">
        <f t="shared" si="2"/>
        <v/>
      </c>
      <c r="F5228" s="100" t="str">
        <f t="shared" si="3"/>
        <v/>
      </c>
      <c r="G5228" s="151"/>
      <c r="H5228" s="160"/>
      <c r="I5228" s="157"/>
      <c r="J5228" s="158"/>
      <c r="L5228" s="94"/>
      <c r="M5228" s="159"/>
      <c r="N5228" s="94"/>
    </row>
    <row r="5229">
      <c r="A5229" s="107">
        <v>1629646.0</v>
      </c>
      <c r="B5229" s="108" t="s">
        <v>245</v>
      </c>
      <c r="C5229" s="108" t="s">
        <v>1260</v>
      </c>
      <c r="D5229" s="100" t="str">
        <f t="shared" si="1"/>
        <v/>
      </c>
      <c r="E5229" s="100" t="str">
        <f t="shared" si="2"/>
        <v/>
      </c>
      <c r="F5229" s="100" t="str">
        <f t="shared" si="3"/>
        <v/>
      </c>
      <c r="G5229" s="151"/>
      <c r="H5229" s="156"/>
      <c r="I5229" s="157"/>
      <c r="J5229" s="161"/>
      <c r="L5229" s="94"/>
      <c r="M5229" s="159"/>
      <c r="N5229" s="94"/>
    </row>
    <row r="5230">
      <c r="A5230" s="107">
        <v>1629646.0</v>
      </c>
      <c r="B5230" s="108" t="s">
        <v>246</v>
      </c>
      <c r="C5230" s="108" t="s">
        <v>1260</v>
      </c>
      <c r="D5230" s="100" t="str">
        <f t="shared" si="1"/>
        <v/>
      </c>
      <c r="E5230" s="100" t="str">
        <f t="shared" si="2"/>
        <v/>
      </c>
      <c r="F5230" s="100" t="str">
        <f t="shared" si="3"/>
        <v/>
      </c>
      <c r="G5230" s="151"/>
      <c r="H5230" s="160"/>
      <c r="I5230" s="157"/>
      <c r="J5230" s="158"/>
      <c r="L5230" s="94"/>
      <c r="M5230" s="159"/>
      <c r="N5230" s="94"/>
    </row>
    <row r="5231">
      <c r="A5231" s="149">
        <v>1629646.0</v>
      </c>
      <c r="B5231" s="115" t="s">
        <v>247</v>
      </c>
      <c r="C5231" s="115" t="s">
        <v>1260</v>
      </c>
      <c r="D5231" s="100" t="str">
        <f t="shared" si="1"/>
        <v/>
      </c>
      <c r="E5231" s="100" t="str">
        <f t="shared" si="2"/>
        <v/>
      </c>
      <c r="F5231" s="100" t="str">
        <f t="shared" si="3"/>
        <v/>
      </c>
      <c r="G5231" s="151"/>
      <c r="H5231" s="156"/>
      <c r="I5231" s="157"/>
      <c r="J5231" s="161"/>
      <c r="L5231" s="94"/>
      <c r="M5231" s="159"/>
      <c r="N5231" s="94"/>
    </row>
    <row r="5232">
      <c r="A5232" s="21">
        <v>1629647.0</v>
      </c>
      <c r="B5232" s="164" t="s">
        <v>193</v>
      </c>
      <c r="C5232" s="164" t="s">
        <v>1261</v>
      </c>
      <c r="D5232" s="100" t="str">
        <f t="shared" si="1"/>
        <v/>
      </c>
      <c r="E5232" s="100" t="str">
        <f t="shared" si="2"/>
        <v/>
      </c>
      <c r="F5232" s="100" t="str">
        <f t="shared" si="3"/>
        <v/>
      </c>
      <c r="G5232" s="151"/>
      <c r="H5232" s="160"/>
      <c r="I5232" s="157"/>
      <c r="J5232" s="158"/>
      <c r="L5232" s="94"/>
      <c r="M5232" s="159"/>
      <c r="N5232" s="94"/>
    </row>
    <row r="5233">
      <c r="A5233" s="107">
        <v>1629647.0</v>
      </c>
      <c r="B5233" s="108" t="s">
        <v>243</v>
      </c>
      <c r="C5233" s="108" t="s">
        <v>1261</v>
      </c>
      <c r="D5233" s="100" t="str">
        <f t="shared" si="1"/>
        <v/>
      </c>
      <c r="E5233" s="100" t="str">
        <f t="shared" si="2"/>
        <v/>
      </c>
      <c r="F5233" s="100" t="str">
        <f t="shared" si="3"/>
        <v/>
      </c>
      <c r="G5233" s="151"/>
      <c r="H5233" s="156"/>
      <c r="I5233" s="157"/>
      <c r="J5233" s="161"/>
      <c r="L5233" s="94"/>
      <c r="M5233" s="159"/>
      <c r="N5233" s="94"/>
    </row>
    <row r="5234">
      <c r="A5234" s="107">
        <v>1629647.0</v>
      </c>
      <c r="B5234" s="108" t="s">
        <v>215</v>
      </c>
      <c r="C5234" s="108" t="s">
        <v>1261</v>
      </c>
      <c r="D5234" s="100" t="str">
        <f t="shared" si="1"/>
        <v/>
      </c>
      <c r="E5234" s="100" t="str">
        <f t="shared" si="2"/>
        <v/>
      </c>
      <c r="F5234" s="100" t="str">
        <f t="shared" si="3"/>
        <v/>
      </c>
      <c r="G5234" s="151"/>
      <c r="H5234" s="160"/>
      <c r="I5234" s="157"/>
      <c r="J5234" s="158"/>
      <c r="L5234" s="94"/>
      <c r="M5234" s="159"/>
      <c r="N5234" s="94"/>
    </row>
    <row r="5235">
      <c r="A5235" s="107">
        <v>1629647.0</v>
      </c>
      <c r="B5235" s="108" t="s">
        <v>244</v>
      </c>
      <c r="C5235" s="108" t="s">
        <v>1261</v>
      </c>
      <c r="D5235" s="100" t="str">
        <f t="shared" si="1"/>
        <v/>
      </c>
      <c r="E5235" s="100" t="str">
        <f t="shared" si="2"/>
        <v/>
      </c>
      <c r="F5235" s="100" t="str">
        <f t="shared" si="3"/>
        <v/>
      </c>
      <c r="G5235" s="151"/>
      <c r="H5235" s="156"/>
      <c r="I5235" s="157"/>
      <c r="J5235" s="161"/>
      <c r="L5235" s="94"/>
      <c r="M5235" s="159"/>
      <c r="N5235" s="94"/>
    </row>
    <row r="5236">
      <c r="A5236" s="107">
        <v>1629647.0</v>
      </c>
      <c r="B5236" s="108" t="s">
        <v>245</v>
      </c>
      <c r="C5236" s="108" t="s">
        <v>1261</v>
      </c>
      <c r="D5236" s="100" t="str">
        <f t="shared" si="1"/>
        <v/>
      </c>
      <c r="E5236" s="100" t="str">
        <f t="shared" si="2"/>
        <v/>
      </c>
      <c r="F5236" s="100" t="str">
        <f t="shared" si="3"/>
        <v/>
      </c>
      <c r="G5236" s="151"/>
      <c r="H5236" s="160"/>
      <c r="I5236" s="157"/>
      <c r="J5236" s="158"/>
      <c r="L5236" s="94"/>
      <c r="M5236" s="159"/>
      <c r="N5236" s="94"/>
    </row>
    <row r="5237">
      <c r="A5237" s="107">
        <v>1629648.0</v>
      </c>
      <c r="B5237" s="108" t="s">
        <v>193</v>
      </c>
      <c r="C5237" s="108" t="s">
        <v>1262</v>
      </c>
      <c r="D5237" s="100" t="str">
        <f t="shared" si="1"/>
        <v/>
      </c>
      <c r="E5237" s="100" t="str">
        <f t="shared" si="2"/>
        <v/>
      </c>
      <c r="F5237" s="100" t="str">
        <f t="shared" si="3"/>
        <v/>
      </c>
      <c r="G5237" s="151"/>
      <c r="H5237" s="156"/>
      <c r="I5237" s="157"/>
      <c r="J5237" s="161"/>
      <c r="L5237" s="94"/>
      <c r="M5237" s="159"/>
      <c r="N5237" s="94"/>
    </row>
    <row r="5238">
      <c r="A5238" s="107">
        <v>1629648.0</v>
      </c>
      <c r="B5238" s="108" t="s">
        <v>243</v>
      </c>
      <c r="C5238" s="108" t="s">
        <v>1262</v>
      </c>
      <c r="D5238" s="100" t="str">
        <f t="shared" si="1"/>
        <v/>
      </c>
      <c r="E5238" s="100" t="str">
        <f t="shared" si="2"/>
        <v/>
      </c>
      <c r="F5238" s="100" t="str">
        <f t="shared" si="3"/>
        <v/>
      </c>
      <c r="G5238" s="151"/>
      <c r="H5238" s="160"/>
      <c r="I5238" s="157"/>
      <c r="J5238" s="158"/>
      <c r="L5238" s="94"/>
      <c r="M5238" s="159"/>
      <c r="N5238" s="94"/>
    </row>
    <row r="5239">
      <c r="A5239" s="107">
        <v>1629649.0</v>
      </c>
      <c r="B5239" s="108" t="s">
        <v>193</v>
      </c>
      <c r="C5239" s="108" t="s">
        <v>1263</v>
      </c>
      <c r="D5239" s="100" t="str">
        <f t="shared" si="1"/>
        <v/>
      </c>
      <c r="E5239" s="100" t="str">
        <f t="shared" si="2"/>
        <v/>
      </c>
      <c r="F5239" s="100" t="str">
        <f t="shared" si="3"/>
        <v/>
      </c>
      <c r="G5239" s="151"/>
      <c r="H5239" s="156"/>
      <c r="I5239" s="157"/>
      <c r="J5239" s="161"/>
      <c r="L5239" s="94"/>
      <c r="M5239" s="159"/>
      <c r="N5239" s="94"/>
    </row>
    <row r="5240">
      <c r="A5240" s="107">
        <v>1629649.0</v>
      </c>
      <c r="B5240" s="108" t="s">
        <v>243</v>
      </c>
      <c r="C5240" s="108" t="s">
        <v>1263</v>
      </c>
      <c r="D5240" s="100" t="str">
        <f t="shared" si="1"/>
        <v/>
      </c>
      <c r="E5240" s="100" t="str">
        <f t="shared" si="2"/>
        <v/>
      </c>
      <c r="F5240" s="100" t="str">
        <f t="shared" si="3"/>
        <v/>
      </c>
      <c r="G5240" s="151"/>
      <c r="H5240" s="160"/>
      <c r="I5240" s="157"/>
      <c r="J5240" s="158"/>
      <c r="L5240" s="94"/>
      <c r="M5240" s="159"/>
      <c r="N5240" s="94"/>
    </row>
    <row r="5241">
      <c r="A5241" s="107">
        <v>1629649.0</v>
      </c>
      <c r="B5241" s="108" t="s">
        <v>215</v>
      </c>
      <c r="C5241" s="108" t="s">
        <v>1263</v>
      </c>
      <c r="D5241" s="100" t="str">
        <f t="shared" si="1"/>
        <v/>
      </c>
      <c r="E5241" s="100" t="str">
        <f t="shared" si="2"/>
        <v/>
      </c>
      <c r="F5241" s="100" t="str">
        <f t="shared" si="3"/>
        <v/>
      </c>
      <c r="G5241" s="151"/>
      <c r="H5241" s="156"/>
      <c r="I5241" s="157"/>
      <c r="J5241" s="161"/>
      <c r="L5241" s="94"/>
      <c r="M5241" s="159"/>
      <c r="N5241" s="94"/>
    </row>
    <row r="5242">
      <c r="A5242" s="107">
        <v>1629650.0</v>
      </c>
      <c r="B5242" s="108" t="s">
        <v>193</v>
      </c>
      <c r="C5242" s="108" t="s">
        <v>1264</v>
      </c>
      <c r="D5242" s="100" t="str">
        <f t="shared" si="1"/>
        <v/>
      </c>
      <c r="E5242" s="100" t="str">
        <f t="shared" si="2"/>
        <v/>
      </c>
      <c r="F5242" s="100" t="str">
        <f t="shared" si="3"/>
        <v/>
      </c>
      <c r="G5242" s="151"/>
      <c r="H5242" s="160"/>
      <c r="I5242" s="157"/>
      <c r="J5242" s="158"/>
      <c r="L5242" s="94"/>
      <c r="M5242" s="159"/>
      <c r="N5242" s="94"/>
    </row>
    <row r="5243">
      <c r="A5243" s="107">
        <v>1629650.0</v>
      </c>
      <c r="B5243" s="108" t="s">
        <v>243</v>
      </c>
      <c r="C5243" s="108" t="s">
        <v>1264</v>
      </c>
      <c r="D5243" s="100" t="str">
        <f t="shared" si="1"/>
        <v/>
      </c>
      <c r="E5243" s="100" t="str">
        <f t="shared" si="2"/>
        <v/>
      </c>
      <c r="F5243" s="100" t="str">
        <f t="shared" si="3"/>
        <v/>
      </c>
      <c r="G5243" s="151"/>
      <c r="H5243" s="156"/>
      <c r="I5243" s="157"/>
      <c r="J5243" s="161"/>
      <c r="L5243" s="94"/>
      <c r="M5243" s="159"/>
      <c r="N5243" s="94"/>
    </row>
    <row r="5244">
      <c r="A5244" s="107">
        <v>1629650.0</v>
      </c>
      <c r="B5244" s="108" t="s">
        <v>215</v>
      </c>
      <c r="C5244" s="108" t="s">
        <v>1264</v>
      </c>
      <c r="D5244" s="100" t="str">
        <f t="shared" si="1"/>
        <v/>
      </c>
      <c r="E5244" s="100" t="str">
        <f t="shared" si="2"/>
        <v/>
      </c>
      <c r="F5244" s="100" t="str">
        <f t="shared" si="3"/>
        <v/>
      </c>
      <c r="G5244" s="151"/>
      <c r="H5244" s="160"/>
      <c r="I5244" s="157"/>
      <c r="J5244" s="158"/>
      <c r="L5244" s="94"/>
      <c r="M5244" s="159"/>
      <c r="N5244" s="94"/>
    </row>
    <row r="5245">
      <c r="A5245" s="107">
        <v>1629650.0</v>
      </c>
      <c r="B5245" s="108" t="s">
        <v>244</v>
      </c>
      <c r="C5245" s="108" t="s">
        <v>1264</v>
      </c>
      <c r="D5245" s="100" t="str">
        <f t="shared" si="1"/>
        <v/>
      </c>
      <c r="E5245" s="100" t="str">
        <f t="shared" si="2"/>
        <v/>
      </c>
      <c r="F5245" s="100" t="str">
        <f t="shared" si="3"/>
        <v/>
      </c>
      <c r="G5245" s="151"/>
      <c r="H5245" s="156"/>
      <c r="I5245" s="157"/>
      <c r="J5245" s="161"/>
      <c r="L5245" s="94"/>
      <c r="M5245" s="159"/>
      <c r="N5245" s="94"/>
    </row>
    <row r="5246">
      <c r="A5246" s="107">
        <v>1629650.0</v>
      </c>
      <c r="B5246" s="108" t="s">
        <v>245</v>
      </c>
      <c r="C5246" s="108" t="s">
        <v>1264</v>
      </c>
      <c r="D5246" s="100" t="str">
        <f t="shared" si="1"/>
        <v/>
      </c>
      <c r="E5246" s="100" t="str">
        <f t="shared" si="2"/>
        <v/>
      </c>
      <c r="F5246" s="100" t="str">
        <f t="shared" si="3"/>
        <v/>
      </c>
      <c r="G5246" s="151"/>
      <c r="H5246" s="160"/>
      <c r="I5246" s="157"/>
      <c r="J5246" s="158"/>
      <c r="L5246" s="94"/>
      <c r="M5246" s="159"/>
      <c r="N5246" s="94"/>
    </row>
    <row r="5247">
      <c r="A5247" s="149">
        <v>1629650.0</v>
      </c>
      <c r="B5247" s="108" t="s">
        <v>246</v>
      </c>
      <c r="C5247" s="115" t="s">
        <v>1264</v>
      </c>
      <c r="D5247" s="100" t="str">
        <f t="shared" si="1"/>
        <v/>
      </c>
      <c r="E5247" s="100" t="str">
        <f t="shared" si="2"/>
        <v/>
      </c>
      <c r="F5247" s="100" t="str">
        <f t="shared" si="3"/>
        <v/>
      </c>
      <c r="G5247" s="151"/>
      <c r="H5247" s="156"/>
      <c r="I5247" s="157"/>
      <c r="J5247" s="161"/>
      <c r="L5247" s="94"/>
      <c r="M5247" s="159"/>
      <c r="N5247" s="94"/>
    </row>
    <row r="5248">
      <c r="A5248" s="165">
        <v>1629651.0</v>
      </c>
      <c r="B5248" s="124" t="s">
        <v>193</v>
      </c>
      <c r="C5248" s="124" t="s">
        <v>1265</v>
      </c>
      <c r="D5248" s="100" t="str">
        <f t="shared" si="1"/>
        <v/>
      </c>
      <c r="E5248" s="100" t="str">
        <f t="shared" si="2"/>
        <v/>
      </c>
      <c r="F5248" s="100" t="str">
        <f t="shared" si="3"/>
        <v/>
      </c>
      <c r="G5248" s="151"/>
      <c r="H5248" s="160"/>
      <c r="I5248" s="157"/>
      <c r="J5248" s="158"/>
      <c r="L5248" s="94"/>
      <c r="M5248" s="159"/>
      <c r="N5248" s="94"/>
    </row>
    <row r="5249">
      <c r="A5249" s="107">
        <v>1629651.0</v>
      </c>
      <c r="B5249" s="108" t="s">
        <v>243</v>
      </c>
      <c r="C5249" s="108" t="s">
        <v>1265</v>
      </c>
      <c r="D5249" s="100" t="str">
        <f t="shared" si="1"/>
        <v/>
      </c>
      <c r="E5249" s="100" t="str">
        <f t="shared" si="2"/>
        <v/>
      </c>
      <c r="F5249" s="100" t="str">
        <f t="shared" si="3"/>
        <v/>
      </c>
      <c r="G5249" s="151"/>
      <c r="H5249" s="156"/>
      <c r="I5249" s="157"/>
      <c r="J5249" s="161"/>
      <c r="L5249" s="94"/>
      <c r="M5249" s="159"/>
      <c r="N5249" s="94"/>
    </row>
    <row r="5250">
      <c r="A5250" s="107">
        <v>1629651.0</v>
      </c>
      <c r="B5250" s="108" t="s">
        <v>215</v>
      </c>
      <c r="C5250" s="108" t="s">
        <v>1265</v>
      </c>
      <c r="D5250" s="100" t="str">
        <f t="shared" si="1"/>
        <v/>
      </c>
      <c r="E5250" s="100" t="str">
        <f t="shared" si="2"/>
        <v/>
      </c>
      <c r="F5250" s="100" t="str">
        <f t="shared" si="3"/>
        <v/>
      </c>
      <c r="G5250" s="151"/>
      <c r="H5250" s="160"/>
      <c r="I5250" s="157"/>
      <c r="J5250" s="158"/>
      <c r="L5250" s="94"/>
      <c r="M5250" s="159"/>
      <c r="N5250" s="94"/>
    </row>
    <row r="5251">
      <c r="A5251" s="107">
        <v>1629651.0</v>
      </c>
      <c r="B5251" s="108" t="s">
        <v>244</v>
      </c>
      <c r="C5251" s="108" t="s">
        <v>1265</v>
      </c>
      <c r="D5251" s="100" t="str">
        <f t="shared" si="1"/>
        <v/>
      </c>
      <c r="E5251" s="100" t="str">
        <f t="shared" si="2"/>
        <v/>
      </c>
      <c r="F5251" s="100" t="str">
        <f t="shared" si="3"/>
        <v/>
      </c>
      <c r="G5251" s="151"/>
      <c r="H5251" s="156"/>
      <c r="I5251" s="157"/>
      <c r="J5251" s="161"/>
      <c r="L5251" s="94"/>
      <c r="M5251" s="159"/>
      <c r="N5251" s="94"/>
    </row>
    <row r="5252">
      <c r="A5252" s="107">
        <v>1629651.0</v>
      </c>
      <c r="B5252" s="108" t="s">
        <v>245</v>
      </c>
      <c r="C5252" s="108" t="s">
        <v>1265</v>
      </c>
      <c r="D5252" s="100" t="str">
        <f t="shared" si="1"/>
        <v/>
      </c>
      <c r="E5252" s="100" t="str">
        <f t="shared" si="2"/>
        <v/>
      </c>
      <c r="F5252" s="100" t="str">
        <f t="shared" si="3"/>
        <v/>
      </c>
      <c r="G5252" s="151"/>
      <c r="H5252" s="160"/>
      <c r="I5252" s="157"/>
      <c r="J5252" s="158"/>
      <c r="L5252" s="94"/>
      <c r="M5252" s="159"/>
      <c r="N5252" s="94"/>
    </row>
    <row r="5253">
      <c r="A5253" s="107">
        <v>1629651.0</v>
      </c>
      <c r="B5253" s="108" t="s">
        <v>246</v>
      </c>
      <c r="C5253" s="108" t="s">
        <v>1265</v>
      </c>
      <c r="D5253" s="100" t="str">
        <f t="shared" si="1"/>
        <v/>
      </c>
      <c r="E5253" s="100" t="str">
        <f t="shared" si="2"/>
        <v/>
      </c>
      <c r="F5253" s="100" t="str">
        <f t="shared" si="3"/>
        <v/>
      </c>
      <c r="G5253" s="151"/>
      <c r="H5253" s="156"/>
      <c r="I5253" s="157"/>
      <c r="J5253" s="161"/>
      <c r="L5253" s="94"/>
      <c r="M5253" s="159"/>
      <c r="N5253" s="94"/>
    </row>
    <row r="5254">
      <c r="A5254" s="149">
        <v>1629651.0</v>
      </c>
      <c r="B5254" s="115" t="s">
        <v>247</v>
      </c>
      <c r="C5254" s="115" t="s">
        <v>1265</v>
      </c>
      <c r="D5254" s="100" t="str">
        <f t="shared" si="1"/>
        <v/>
      </c>
      <c r="E5254" s="100" t="str">
        <f t="shared" si="2"/>
        <v/>
      </c>
      <c r="F5254" s="100" t="str">
        <f t="shared" si="3"/>
        <v/>
      </c>
      <c r="G5254" s="151"/>
      <c r="H5254" s="160"/>
      <c r="I5254" s="157"/>
      <c r="J5254" s="158"/>
      <c r="L5254" s="94"/>
      <c r="M5254" s="159"/>
      <c r="N5254" s="94"/>
    </row>
    <row r="5255">
      <c r="A5255" s="21">
        <v>1629652.0</v>
      </c>
      <c r="B5255" s="164" t="s">
        <v>193</v>
      </c>
      <c r="C5255" s="164" t="s">
        <v>1266</v>
      </c>
      <c r="D5255" s="100" t="str">
        <f t="shared" si="1"/>
        <v/>
      </c>
      <c r="E5255" s="100" t="str">
        <f t="shared" si="2"/>
        <v/>
      </c>
      <c r="F5255" s="100" t="str">
        <f t="shared" si="3"/>
        <v/>
      </c>
      <c r="G5255" s="151"/>
      <c r="H5255" s="156"/>
      <c r="I5255" s="157"/>
      <c r="J5255" s="161"/>
      <c r="L5255" s="94"/>
      <c r="M5255" s="159"/>
      <c r="N5255" s="94"/>
    </row>
    <row r="5256">
      <c r="A5256" s="107">
        <v>1629652.0</v>
      </c>
      <c r="B5256" s="108" t="s">
        <v>243</v>
      </c>
      <c r="C5256" s="108" t="s">
        <v>1266</v>
      </c>
      <c r="D5256" s="100" t="str">
        <f t="shared" si="1"/>
        <v/>
      </c>
      <c r="E5256" s="100" t="str">
        <f t="shared" si="2"/>
        <v/>
      </c>
      <c r="F5256" s="100" t="str">
        <f t="shared" si="3"/>
        <v/>
      </c>
      <c r="G5256" s="151"/>
      <c r="H5256" s="160"/>
      <c r="I5256" s="157"/>
      <c r="J5256" s="158"/>
      <c r="L5256" s="94"/>
      <c r="M5256" s="159"/>
      <c r="N5256" s="94"/>
    </row>
    <row r="5257">
      <c r="A5257" s="107">
        <v>1629652.0</v>
      </c>
      <c r="B5257" s="108" t="s">
        <v>215</v>
      </c>
      <c r="C5257" s="108" t="s">
        <v>1266</v>
      </c>
      <c r="D5257" s="100" t="str">
        <f t="shared" si="1"/>
        <v/>
      </c>
      <c r="E5257" s="100" t="str">
        <f t="shared" si="2"/>
        <v/>
      </c>
      <c r="F5257" s="100" t="str">
        <f t="shared" si="3"/>
        <v/>
      </c>
      <c r="G5257" s="151"/>
      <c r="H5257" s="156"/>
      <c r="I5257" s="157"/>
      <c r="J5257" s="161"/>
      <c r="L5257" s="94"/>
      <c r="M5257" s="159"/>
      <c r="N5257" s="94"/>
    </row>
    <row r="5258">
      <c r="A5258" s="107">
        <v>1629652.0</v>
      </c>
      <c r="B5258" s="108" t="s">
        <v>244</v>
      </c>
      <c r="C5258" s="108" t="s">
        <v>1266</v>
      </c>
      <c r="D5258" s="100" t="str">
        <f t="shared" si="1"/>
        <v/>
      </c>
      <c r="E5258" s="100" t="str">
        <f t="shared" si="2"/>
        <v/>
      </c>
      <c r="F5258" s="100" t="str">
        <f t="shared" si="3"/>
        <v/>
      </c>
      <c r="G5258" s="151"/>
      <c r="H5258" s="160"/>
      <c r="I5258" s="157"/>
      <c r="J5258" s="158"/>
      <c r="L5258" s="94"/>
      <c r="M5258" s="159"/>
      <c r="N5258" s="94"/>
    </row>
    <row r="5259">
      <c r="A5259" s="107">
        <v>1629652.0</v>
      </c>
      <c r="B5259" s="108" t="s">
        <v>245</v>
      </c>
      <c r="C5259" s="108" t="s">
        <v>1266</v>
      </c>
      <c r="D5259" s="100" t="str">
        <f t="shared" si="1"/>
        <v/>
      </c>
      <c r="E5259" s="100" t="str">
        <f t="shared" si="2"/>
        <v/>
      </c>
      <c r="F5259" s="100" t="str">
        <f t="shared" si="3"/>
        <v/>
      </c>
      <c r="G5259" s="151"/>
      <c r="H5259" s="156"/>
      <c r="I5259" s="157"/>
      <c r="J5259" s="161"/>
      <c r="L5259" s="94"/>
      <c r="M5259" s="159"/>
      <c r="N5259" s="94"/>
    </row>
    <row r="5260">
      <c r="A5260" s="107">
        <v>1629652.0</v>
      </c>
      <c r="B5260" s="108" t="s">
        <v>246</v>
      </c>
      <c r="C5260" s="108" t="s">
        <v>1266</v>
      </c>
      <c r="D5260" s="100" t="str">
        <f t="shared" si="1"/>
        <v/>
      </c>
      <c r="E5260" s="100" t="str">
        <f t="shared" si="2"/>
        <v/>
      </c>
      <c r="F5260" s="100" t="str">
        <f t="shared" si="3"/>
        <v/>
      </c>
      <c r="G5260" s="151"/>
      <c r="H5260" s="160"/>
      <c r="I5260" s="157"/>
      <c r="J5260" s="158"/>
      <c r="L5260" s="94"/>
      <c r="M5260" s="159"/>
      <c r="N5260" s="94"/>
    </row>
    <row r="5261">
      <c r="A5261" s="149">
        <v>1629652.0</v>
      </c>
      <c r="B5261" s="115" t="s">
        <v>247</v>
      </c>
      <c r="C5261" s="115" t="s">
        <v>1266</v>
      </c>
      <c r="D5261" s="100" t="str">
        <f t="shared" si="1"/>
        <v/>
      </c>
      <c r="E5261" s="100" t="str">
        <f t="shared" si="2"/>
        <v/>
      </c>
      <c r="F5261" s="100" t="str">
        <f t="shared" si="3"/>
        <v/>
      </c>
      <c r="G5261" s="151"/>
      <c r="H5261" s="156"/>
      <c r="I5261" s="157"/>
      <c r="J5261" s="161"/>
      <c r="L5261" s="94"/>
      <c r="M5261" s="159"/>
      <c r="N5261" s="94"/>
    </row>
    <row r="5262">
      <c r="A5262" s="21">
        <v>1629653.0</v>
      </c>
      <c r="B5262" s="164" t="s">
        <v>243</v>
      </c>
      <c r="C5262" s="164" t="s">
        <v>1267</v>
      </c>
      <c r="D5262" s="100" t="str">
        <f t="shared" si="1"/>
        <v/>
      </c>
      <c r="E5262" s="100" t="str">
        <f t="shared" si="2"/>
        <v/>
      </c>
      <c r="F5262" s="100" t="str">
        <f t="shared" si="3"/>
        <v/>
      </c>
      <c r="G5262" s="151"/>
      <c r="H5262" s="160"/>
      <c r="I5262" s="157"/>
      <c r="J5262" s="158"/>
      <c r="L5262" s="94"/>
      <c r="M5262" s="159"/>
      <c r="N5262" s="94"/>
    </row>
    <row r="5263">
      <c r="A5263" s="107">
        <v>1629653.0</v>
      </c>
      <c r="B5263" s="108" t="s">
        <v>215</v>
      </c>
      <c r="C5263" s="108" t="s">
        <v>1267</v>
      </c>
      <c r="D5263" s="100" t="str">
        <f t="shared" si="1"/>
        <v/>
      </c>
      <c r="E5263" s="100" t="str">
        <f t="shared" si="2"/>
        <v/>
      </c>
      <c r="F5263" s="100" t="str">
        <f t="shared" si="3"/>
        <v/>
      </c>
      <c r="G5263" s="151"/>
      <c r="H5263" s="156"/>
      <c r="I5263" s="157"/>
      <c r="J5263" s="161"/>
      <c r="L5263" s="94"/>
      <c r="M5263" s="159"/>
      <c r="N5263" s="94"/>
    </row>
    <row r="5264">
      <c r="A5264" s="107">
        <v>1629653.0</v>
      </c>
      <c r="B5264" s="108" t="s">
        <v>244</v>
      </c>
      <c r="C5264" s="108" t="s">
        <v>1267</v>
      </c>
      <c r="D5264" s="100" t="str">
        <f t="shared" si="1"/>
        <v/>
      </c>
      <c r="E5264" s="100" t="str">
        <f t="shared" si="2"/>
        <v/>
      </c>
      <c r="F5264" s="100" t="str">
        <f t="shared" si="3"/>
        <v/>
      </c>
      <c r="G5264" s="151"/>
      <c r="H5264" s="160"/>
      <c r="I5264" s="157"/>
      <c r="J5264" s="158"/>
      <c r="L5264" s="94"/>
      <c r="M5264" s="159"/>
      <c r="N5264" s="94"/>
    </row>
    <row r="5265">
      <c r="A5265" s="107">
        <v>1629655.0</v>
      </c>
      <c r="B5265" s="108" t="s">
        <v>193</v>
      </c>
      <c r="C5265" s="108" t="s">
        <v>1268</v>
      </c>
      <c r="D5265" s="100" t="str">
        <f t="shared" si="1"/>
        <v/>
      </c>
      <c r="E5265" s="100" t="str">
        <f t="shared" si="2"/>
        <v/>
      </c>
      <c r="F5265" s="100" t="str">
        <f t="shared" si="3"/>
        <v/>
      </c>
      <c r="G5265" s="151"/>
      <c r="H5265" s="156"/>
      <c r="I5265" s="157"/>
      <c r="J5265" s="161"/>
      <c r="L5265" s="94"/>
      <c r="M5265" s="159"/>
      <c r="N5265" s="94"/>
    </row>
    <row r="5266">
      <c r="A5266" s="107">
        <v>1629655.0</v>
      </c>
      <c r="B5266" s="108" t="s">
        <v>243</v>
      </c>
      <c r="C5266" s="108" t="s">
        <v>1268</v>
      </c>
      <c r="D5266" s="100" t="str">
        <f t="shared" si="1"/>
        <v/>
      </c>
      <c r="E5266" s="100" t="str">
        <f t="shared" si="2"/>
        <v/>
      </c>
      <c r="F5266" s="100" t="str">
        <f t="shared" si="3"/>
        <v/>
      </c>
      <c r="G5266" s="151"/>
      <c r="H5266" s="160"/>
      <c r="I5266" s="157"/>
      <c r="J5266" s="158"/>
      <c r="L5266" s="94"/>
      <c r="M5266" s="159"/>
      <c r="N5266" s="94"/>
    </row>
    <row r="5267">
      <c r="A5267" s="107">
        <v>1629655.0</v>
      </c>
      <c r="B5267" s="108" t="s">
        <v>215</v>
      </c>
      <c r="C5267" s="108" t="s">
        <v>1268</v>
      </c>
      <c r="D5267" s="100" t="str">
        <f t="shared" si="1"/>
        <v/>
      </c>
      <c r="E5267" s="100" t="str">
        <f t="shared" si="2"/>
        <v/>
      </c>
      <c r="F5267" s="100" t="str">
        <f t="shared" si="3"/>
        <v/>
      </c>
      <c r="G5267" s="151"/>
      <c r="H5267" s="156"/>
      <c r="I5267" s="157"/>
      <c r="J5267" s="161"/>
      <c r="L5267" s="94"/>
      <c r="M5267" s="159"/>
      <c r="N5267" s="94"/>
    </row>
    <row r="5268">
      <c r="A5268" s="107">
        <v>1629655.0</v>
      </c>
      <c r="B5268" s="108" t="s">
        <v>244</v>
      </c>
      <c r="C5268" s="108" t="s">
        <v>1268</v>
      </c>
      <c r="D5268" s="100" t="str">
        <f t="shared" si="1"/>
        <v/>
      </c>
      <c r="E5268" s="100" t="str">
        <f t="shared" si="2"/>
        <v/>
      </c>
      <c r="F5268" s="100" t="str">
        <f t="shared" si="3"/>
        <v/>
      </c>
      <c r="G5268" s="151"/>
      <c r="H5268" s="160"/>
      <c r="I5268" s="157"/>
      <c r="J5268" s="158"/>
      <c r="L5268" s="94"/>
      <c r="M5268" s="159"/>
      <c r="N5268" s="94"/>
    </row>
    <row r="5269">
      <c r="A5269" s="107">
        <v>1629655.0</v>
      </c>
      <c r="B5269" s="108" t="s">
        <v>245</v>
      </c>
      <c r="C5269" s="108" t="s">
        <v>1268</v>
      </c>
      <c r="D5269" s="100" t="str">
        <f t="shared" si="1"/>
        <v/>
      </c>
      <c r="E5269" s="100" t="str">
        <f t="shared" si="2"/>
        <v/>
      </c>
      <c r="F5269" s="100" t="str">
        <f t="shared" si="3"/>
        <v/>
      </c>
      <c r="G5269" s="151"/>
      <c r="H5269" s="156"/>
      <c r="I5269" s="157"/>
      <c r="J5269" s="161"/>
      <c r="L5269" s="94"/>
      <c r="M5269" s="159"/>
      <c r="N5269" s="94"/>
    </row>
    <row r="5270">
      <c r="A5270" s="107">
        <v>1629655.0</v>
      </c>
      <c r="B5270" s="108" t="s">
        <v>246</v>
      </c>
      <c r="C5270" s="108" t="s">
        <v>1268</v>
      </c>
      <c r="D5270" s="100" t="str">
        <f t="shared" si="1"/>
        <v/>
      </c>
      <c r="E5270" s="100" t="str">
        <f t="shared" si="2"/>
        <v/>
      </c>
      <c r="F5270" s="100" t="str">
        <f t="shared" si="3"/>
        <v/>
      </c>
      <c r="G5270" s="151"/>
      <c r="H5270" s="160"/>
      <c r="I5270" s="157"/>
      <c r="J5270" s="158"/>
      <c r="L5270" s="94"/>
      <c r="M5270" s="159"/>
      <c r="N5270" s="94"/>
    </row>
    <row r="5271">
      <c r="A5271" s="149">
        <v>1629655.0</v>
      </c>
      <c r="B5271" s="115" t="s">
        <v>247</v>
      </c>
      <c r="C5271" s="115" t="s">
        <v>1268</v>
      </c>
      <c r="D5271" s="100" t="str">
        <f t="shared" si="1"/>
        <v/>
      </c>
      <c r="E5271" s="100" t="str">
        <f t="shared" si="2"/>
        <v/>
      </c>
      <c r="F5271" s="100" t="str">
        <f t="shared" si="3"/>
        <v/>
      </c>
      <c r="G5271" s="151"/>
      <c r="H5271" s="156"/>
      <c r="I5271" s="157"/>
      <c r="J5271" s="161"/>
      <c r="L5271" s="94"/>
      <c r="M5271" s="159"/>
      <c r="N5271" s="94"/>
    </row>
    <row r="5272">
      <c r="A5272" s="21">
        <v>1629656.0</v>
      </c>
      <c r="B5272" s="164" t="s">
        <v>215</v>
      </c>
      <c r="C5272" s="164" t="s">
        <v>1269</v>
      </c>
      <c r="D5272" s="100" t="str">
        <f t="shared" si="1"/>
        <v/>
      </c>
      <c r="E5272" s="100" t="str">
        <f t="shared" si="2"/>
        <v/>
      </c>
      <c r="F5272" s="100" t="str">
        <f t="shared" si="3"/>
        <v/>
      </c>
      <c r="G5272" s="151"/>
      <c r="H5272" s="160"/>
      <c r="I5272" s="157"/>
      <c r="J5272" s="158"/>
      <c r="L5272" s="94"/>
      <c r="M5272" s="159"/>
      <c r="N5272" s="94"/>
    </row>
    <row r="5273">
      <c r="A5273" s="107">
        <v>1629656.0</v>
      </c>
      <c r="B5273" s="108" t="s">
        <v>244</v>
      </c>
      <c r="C5273" s="108" t="s">
        <v>1269</v>
      </c>
      <c r="D5273" s="100" t="str">
        <f t="shared" si="1"/>
        <v/>
      </c>
      <c r="E5273" s="100" t="str">
        <f t="shared" si="2"/>
        <v/>
      </c>
      <c r="F5273" s="100" t="str">
        <f t="shared" si="3"/>
        <v/>
      </c>
      <c r="G5273" s="151"/>
      <c r="H5273" s="156"/>
      <c r="I5273" s="157"/>
      <c r="J5273" s="161"/>
      <c r="L5273" s="94"/>
      <c r="M5273" s="159"/>
      <c r="N5273" s="94"/>
    </row>
    <row r="5274">
      <c r="A5274" s="107">
        <v>1629656.0</v>
      </c>
      <c r="B5274" s="108" t="s">
        <v>245</v>
      </c>
      <c r="C5274" s="108" t="s">
        <v>1269</v>
      </c>
      <c r="D5274" s="100" t="str">
        <f t="shared" si="1"/>
        <v/>
      </c>
      <c r="E5274" s="100" t="str">
        <f t="shared" si="2"/>
        <v/>
      </c>
      <c r="F5274" s="100" t="str">
        <f t="shared" si="3"/>
        <v/>
      </c>
      <c r="G5274" s="151"/>
      <c r="H5274" s="160"/>
      <c r="I5274" s="157"/>
      <c r="J5274" s="158"/>
      <c r="L5274" s="94"/>
      <c r="M5274" s="159"/>
      <c r="N5274" s="94"/>
    </row>
    <row r="5275">
      <c r="A5275" s="107">
        <v>1629656.0</v>
      </c>
      <c r="B5275" s="108" t="s">
        <v>246</v>
      </c>
      <c r="C5275" s="108" t="s">
        <v>1269</v>
      </c>
      <c r="D5275" s="100" t="str">
        <f t="shared" si="1"/>
        <v/>
      </c>
      <c r="E5275" s="100" t="str">
        <f t="shared" si="2"/>
        <v/>
      </c>
      <c r="F5275" s="100" t="str">
        <f t="shared" si="3"/>
        <v/>
      </c>
      <c r="G5275" s="151"/>
      <c r="H5275" s="156"/>
      <c r="I5275" s="157"/>
      <c r="J5275" s="161"/>
      <c r="L5275" s="94"/>
      <c r="M5275" s="159"/>
      <c r="N5275" s="94"/>
    </row>
    <row r="5276">
      <c r="A5276" s="149">
        <v>1629656.0</v>
      </c>
      <c r="B5276" s="115" t="s">
        <v>247</v>
      </c>
      <c r="C5276" s="115" t="s">
        <v>1269</v>
      </c>
      <c r="D5276" s="100" t="str">
        <f t="shared" si="1"/>
        <v/>
      </c>
      <c r="E5276" s="100" t="str">
        <f t="shared" si="2"/>
        <v/>
      </c>
      <c r="F5276" s="100" t="str">
        <f t="shared" si="3"/>
        <v/>
      </c>
      <c r="G5276" s="151"/>
      <c r="H5276" s="160"/>
      <c r="I5276" s="157"/>
      <c r="J5276" s="158"/>
      <c r="L5276" s="94"/>
      <c r="M5276" s="159"/>
      <c r="N5276" s="94"/>
    </row>
    <row r="5277">
      <c r="A5277" s="21">
        <v>1629657.0</v>
      </c>
      <c r="B5277" s="164" t="s">
        <v>193</v>
      </c>
      <c r="C5277" s="164" t="s">
        <v>1270</v>
      </c>
      <c r="D5277" s="100" t="str">
        <f t="shared" si="1"/>
        <v/>
      </c>
      <c r="E5277" s="100" t="str">
        <f t="shared" si="2"/>
        <v/>
      </c>
      <c r="F5277" s="100" t="str">
        <f t="shared" si="3"/>
        <v/>
      </c>
      <c r="G5277" s="151"/>
      <c r="H5277" s="156"/>
      <c r="I5277" s="157"/>
      <c r="J5277" s="161"/>
      <c r="L5277" s="94"/>
      <c r="M5277" s="159"/>
      <c r="N5277" s="94"/>
    </row>
    <row r="5278">
      <c r="A5278" s="107">
        <v>1629657.0</v>
      </c>
      <c r="B5278" s="108" t="s">
        <v>243</v>
      </c>
      <c r="C5278" s="108" t="s">
        <v>1270</v>
      </c>
      <c r="D5278" s="100" t="str">
        <f t="shared" si="1"/>
        <v/>
      </c>
      <c r="E5278" s="100" t="str">
        <f t="shared" si="2"/>
        <v/>
      </c>
      <c r="F5278" s="100" t="str">
        <f t="shared" si="3"/>
        <v/>
      </c>
      <c r="G5278" s="151"/>
      <c r="H5278" s="160"/>
      <c r="I5278" s="157"/>
      <c r="J5278" s="158"/>
      <c r="L5278" s="94"/>
      <c r="M5278" s="159"/>
      <c r="N5278" s="94"/>
    </row>
    <row r="5279">
      <c r="A5279" s="107">
        <v>1629657.0</v>
      </c>
      <c r="B5279" s="108" t="s">
        <v>215</v>
      </c>
      <c r="C5279" s="108" t="s">
        <v>1270</v>
      </c>
      <c r="D5279" s="100" t="str">
        <f t="shared" si="1"/>
        <v/>
      </c>
      <c r="E5279" s="100" t="str">
        <f t="shared" si="2"/>
        <v/>
      </c>
      <c r="F5279" s="100" t="str">
        <f t="shared" si="3"/>
        <v/>
      </c>
      <c r="G5279" s="151"/>
      <c r="H5279" s="156"/>
      <c r="I5279" s="157"/>
      <c r="J5279" s="161"/>
      <c r="L5279" s="94"/>
      <c r="M5279" s="159"/>
      <c r="N5279" s="94"/>
    </row>
    <row r="5280">
      <c r="A5280" s="107">
        <v>1629658.0</v>
      </c>
      <c r="B5280" s="108" t="s">
        <v>193</v>
      </c>
      <c r="C5280" s="108" t="s">
        <v>1271</v>
      </c>
      <c r="D5280" s="100" t="str">
        <f t="shared" si="1"/>
        <v/>
      </c>
      <c r="E5280" s="100" t="str">
        <f t="shared" si="2"/>
        <v/>
      </c>
      <c r="F5280" s="100" t="str">
        <f t="shared" si="3"/>
        <v/>
      </c>
      <c r="G5280" s="151"/>
      <c r="H5280" s="160"/>
      <c r="I5280" s="157"/>
      <c r="J5280" s="158"/>
      <c r="L5280" s="94"/>
      <c r="M5280" s="159"/>
      <c r="N5280" s="94"/>
    </row>
    <row r="5281">
      <c r="A5281" s="107">
        <v>1629658.0</v>
      </c>
      <c r="B5281" s="108" t="s">
        <v>243</v>
      </c>
      <c r="C5281" s="108" t="s">
        <v>1271</v>
      </c>
      <c r="D5281" s="100" t="str">
        <f t="shared" si="1"/>
        <v/>
      </c>
      <c r="E5281" s="100" t="str">
        <f t="shared" si="2"/>
        <v/>
      </c>
      <c r="F5281" s="100" t="str">
        <f t="shared" si="3"/>
        <v/>
      </c>
      <c r="G5281" s="151"/>
      <c r="H5281" s="156"/>
      <c r="I5281" s="157"/>
      <c r="J5281" s="161"/>
      <c r="L5281" s="94"/>
      <c r="M5281" s="159"/>
      <c r="N5281" s="94"/>
    </row>
    <row r="5282">
      <c r="A5282" s="107">
        <v>1629658.0</v>
      </c>
      <c r="B5282" s="108" t="s">
        <v>215</v>
      </c>
      <c r="C5282" s="108" t="s">
        <v>1271</v>
      </c>
      <c r="D5282" s="100" t="str">
        <f t="shared" si="1"/>
        <v/>
      </c>
      <c r="E5282" s="100" t="str">
        <f t="shared" si="2"/>
        <v/>
      </c>
      <c r="F5282" s="100" t="str">
        <f t="shared" si="3"/>
        <v/>
      </c>
      <c r="G5282" s="151"/>
      <c r="H5282" s="160"/>
      <c r="I5282" s="157"/>
      <c r="J5282" s="158"/>
      <c r="L5282" s="94"/>
      <c r="M5282" s="159"/>
      <c r="N5282" s="94"/>
    </row>
    <row r="5283">
      <c r="A5283" s="107">
        <v>1629659.0</v>
      </c>
      <c r="B5283" s="108" t="s">
        <v>193</v>
      </c>
      <c r="C5283" s="108" t="s">
        <v>1272</v>
      </c>
      <c r="D5283" s="100" t="str">
        <f t="shared" si="1"/>
        <v/>
      </c>
      <c r="E5283" s="100" t="str">
        <f t="shared" si="2"/>
        <v/>
      </c>
      <c r="F5283" s="100" t="str">
        <f t="shared" si="3"/>
        <v/>
      </c>
      <c r="G5283" s="151"/>
      <c r="H5283" s="156"/>
      <c r="I5283" s="157"/>
      <c r="J5283" s="161"/>
      <c r="L5283" s="94"/>
      <c r="M5283" s="159"/>
      <c r="N5283" s="94"/>
    </row>
    <row r="5284">
      <c r="A5284" s="107">
        <v>1629659.0</v>
      </c>
      <c r="B5284" s="108" t="s">
        <v>243</v>
      </c>
      <c r="C5284" s="108" t="s">
        <v>1272</v>
      </c>
      <c r="D5284" s="100" t="str">
        <f t="shared" si="1"/>
        <v/>
      </c>
      <c r="E5284" s="100" t="str">
        <f t="shared" si="2"/>
        <v/>
      </c>
      <c r="F5284" s="100" t="str">
        <f t="shared" si="3"/>
        <v/>
      </c>
      <c r="G5284" s="151"/>
      <c r="H5284" s="160"/>
      <c r="I5284" s="157"/>
      <c r="J5284" s="158"/>
      <c r="L5284" s="94"/>
      <c r="M5284" s="159"/>
      <c r="N5284" s="94"/>
    </row>
    <row r="5285">
      <c r="A5285" s="107">
        <v>1629659.0</v>
      </c>
      <c r="B5285" s="108" t="s">
        <v>215</v>
      </c>
      <c r="C5285" s="108" t="s">
        <v>1272</v>
      </c>
      <c r="D5285" s="100" t="str">
        <f t="shared" si="1"/>
        <v/>
      </c>
      <c r="E5285" s="100" t="str">
        <f t="shared" si="2"/>
        <v/>
      </c>
      <c r="F5285" s="100" t="str">
        <f t="shared" si="3"/>
        <v/>
      </c>
      <c r="G5285" s="151"/>
      <c r="H5285" s="156"/>
      <c r="I5285" s="157"/>
      <c r="J5285" s="161"/>
      <c r="L5285" s="94"/>
      <c r="M5285" s="159"/>
      <c r="N5285" s="94"/>
    </row>
    <row r="5286">
      <c r="A5286" s="107">
        <v>1629659.0</v>
      </c>
      <c r="B5286" s="108" t="s">
        <v>244</v>
      </c>
      <c r="C5286" s="108" t="s">
        <v>1272</v>
      </c>
      <c r="D5286" s="100" t="str">
        <f t="shared" si="1"/>
        <v/>
      </c>
      <c r="E5286" s="100" t="str">
        <f t="shared" si="2"/>
        <v/>
      </c>
      <c r="F5286" s="100" t="str">
        <f t="shared" si="3"/>
        <v/>
      </c>
      <c r="G5286" s="151"/>
      <c r="H5286" s="160"/>
      <c r="I5286" s="157"/>
      <c r="J5286" s="158"/>
      <c r="L5286" s="94"/>
      <c r="M5286" s="159"/>
      <c r="N5286" s="94"/>
    </row>
    <row r="5287">
      <c r="A5287" s="107">
        <v>1629659.0</v>
      </c>
      <c r="B5287" s="108" t="s">
        <v>245</v>
      </c>
      <c r="C5287" s="108" t="s">
        <v>1272</v>
      </c>
      <c r="D5287" s="100" t="str">
        <f t="shared" si="1"/>
        <v/>
      </c>
      <c r="E5287" s="100" t="str">
        <f t="shared" si="2"/>
        <v/>
      </c>
      <c r="F5287" s="100" t="str">
        <f t="shared" si="3"/>
        <v/>
      </c>
      <c r="G5287" s="151"/>
      <c r="H5287" s="156"/>
      <c r="I5287" s="157"/>
      <c r="J5287" s="161"/>
      <c r="L5287" s="94"/>
      <c r="M5287" s="159"/>
      <c r="N5287" s="94"/>
    </row>
    <row r="5288">
      <c r="A5288" s="107">
        <v>1629659.0</v>
      </c>
      <c r="B5288" s="108" t="s">
        <v>246</v>
      </c>
      <c r="C5288" s="108" t="s">
        <v>1272</v>
      </c>
      <c r="D5288" s="100" t="str">
        <f t="shared" si="1"/>
        <v/>
      </c>
      <c r="E5288" s="100" t="str">
        <f t="shared" si="2"/>
        <v/>
      </c>
      <c r="F5288" s="100" t="str">
        <f t="shared" si="3"/>
        <v/>
      </c>
      <c r="G5288" s="151"/>
      <c r="H5288" s="160"/>
      <c r="I5288" s="157"/>
      <c r="J5288" s="158"/>
      <c r="L5288" s="94"/>
      <c r="M5288" s="159"/>
      <c r="N5288" s="94"/>
    </row>
    <row r="5289">
      <c r="A5289" s="107">
        <v>1629660.0</v>
      </c>
      <c r="B5289" s="108" t="s">
        <v>193</v>
      </c>
      <c r="C5289" s="108" t="s">
        <v>1273</v>
      </c>
      <c r="D5289" s="100" t="str">
        <f t="shared" si="1"/>
        <v/>
      </c>
      <c r="E5289" s="100" t="str">
        <f t="shared" si="2"/>
        <v/>
      </c>
      <c r="F5289" s="100" t="str">
        <f t="shared" si="3"/>
        <v/>
      </c>
      <c r="G5289" s="151"/>
      <c r="H5289" s="156"/>
      <c r="I5289" s="157"/>
      <c r="J5289" s="161"/>
      <c r="L5289" s="94"/>
      <c r="M5289" s="159"/>
      <c r="N5289" s="94"/>
    </row>
    <row r="5290">
      <c r="A5290" s="107">
        <v>1629660.0</v>
      </c>
      <c r="B5290" s="108" t="s">
        <v>243</v>
      </c>
      <c r="C5290" s="108" t="s">
        <v>1273</v>
      </c>
      <c r="D5290" s="100" t="str">
        <f t="shared" si="1"/>
        <v/>
      </c>
      <c r="E5290" s="100" t="str">
        <f t="shared" si="2"/>
        <v/>
      </c>
      <c r="F5290" s="100" t="str">
        <f t="shared" si="3"/>
        <v/>
      </c>
      <c r="G5290" s="151"/>
      <c r="H5290" s="160"/>
      <c r="I5290" s="157"/>
      <c r="J5290" s="158"/>
      <c r="L5290" s="94"/>
      <c r="M5290" s="159"/>
      <c r="N5290" s="94"/>
    </row>
    <row r="5291">
      <c r="A5291" s="107">
        <v>1629660.0</v>
      </c>
      <c r="B5291" s="108" t="s">
        <v>215</v>
      </c>
      <c r="C5291" s="108" t="s">
        <v>1273</v>
      </c>
      <c r="D5291" s="100" t="str">
        <f t="shared" si="1"/>
        <v/>
      </c>
      <c r="E5291" s="100" t="str">
        <f t="shared" si="2"/>
        <v/>
      </c>
      <c r="F5291" s="100" t="str">
        <f t="shared" si="3"/>
        <v/>
      </c>
      <c r="G5291" s="151"/>
      <c r="H5291" s="156"/>
      <c r="I5291" s="157"/>
      <c r="J5291" s="161"/>
      <c r="L5291" s="94"/>
      <c r="M5291" s="159"/>
      <c r="N5291" s="94"/>
    </row>
    <row r="5292">
      <c r="A5292" s="107">
        <v>1629660.0</v>
      </c>
      <c r="B5292" s="108" t="s">
        <v>244</v>
      </c>
      <c r="C5292" s="108" t="s">
        <v>1273</v>
      </c>
      <c r="D5292" s="100" t="str">
        <f t="shared" si="1"/>
        <v/>
      </c>
      <c r="E5292" s="100" t="str">
        <f t="shared" si="2"/>
        <v/>
      </c>
      <c r="F5292" s="100" t="str">
        <f t="shared" si="3"/>
        <v/>
      </c>
      <c r="G5292" s="151"/>
      <c r="H5292" s="160"/>
      <c r="I5292" s="157"/>
      <c r="J5292" s="158"/>
      <c r="L5292" s="94"/>
      <c r="M5292" s="159"/>
      <c r="N5292" s="94"/>
    </row>
    <row r="5293">
      <c r="A5293" s="107">
        <v>1629660.0</v>
      </c>
      <c r="B5293" s="108" t="s">
        <v>245</v>
      </c>
      <c r="C5293" s="108" t="s">
        <v>1273</v>
      </c>
      <c r="D5293" s="100" t="str">
        <f t="shared" si="1"/>
        <v/>
      </c>
      <c r="E5293" s="100" t="str">
        <f t="shared" si="2"/>
        <v/>
      </c>
      <c r="F5293" s="100" t="str">
        <f t="shared" si="3"/>
        <v/>
      </c>
      <c r="G5293" s="151"/>
      <c r="H5293" s="156"/>
      <c r="I5293" s="157"/>
      <c r="J5293" s="161"/>
      <c r="L5293" s="94"/>
      <c r="M5293" s="159"/>
      <c r="N5293" s="94"/>
    </row>
    <row r="5294">
      <c r="A5294" s="107">
        <v>1629660.0</v>
      </c>
      <c r="B5294" s="108" t="s">
        <v>246</v>
      </c>
      <c r="C5294" s="108" t="s">
        <v>1273</v>
      </c>
      <c r="D5294" s="100" t="str">
        <f t="shared" si="1"/>
        <v/>
      </c>
      <c r="E5294" s="100" t="str">
        <f t="shared" si="2"/>
        <v/>
      </c>
      <c r="F5294" s="100" t="str">
        <f t="shared" si="3"/>
        <v/>
      </c>
      <c r="G5294" s="151"/>
      <c r="H5294" s="160"/>
      <c r="I5294" s="157"/>
      <c r="J5294" s="158"/>
      <c r="L5294" s="94"/>
      <c r="M5294" s="159"/>
      <c r="N5294" s="94"/>
    </row>
    <row r="5295">
      <c r="A5295" s="140">
        <v>1629660.0</v>
      </c>
      <c r="B5295" s="115" t="s">
        <v>247</v>
      </c>
      <c r="C5295" s="115" t="s">
        <v>1273</v>
      </c>
      <c r="D5295" s="100" t="str">
        <f t="shared" si="1"/>
        <v/>
      </c>
      <c r="E5295" s="100" t="str">
        <f t="shared" si="2"/>
        <v/>
      </c>
      <c r="F5295" s="100" t="str">
        <f t="shared" si="3"/>
        <v/>
      </c>
      <c r="G5295" s="151"/>
      <c r="H5295" s="156"/>
      <c r="I5295" s="157"/>
      <c r="J5295" s="161"/>
      <c r="L5295" s="94"/>
      <c r="M5295" s="159"/>
      <c r="N5295" s="94"/>
    </row>
    <row r="5296">
      <c r="A5296" s="163">
        <v>1629661.0</v>
      </c>
      <c r="B5296" s="164" t="s">
        <v>193</v>
      </c>
      <c r="C5296" s="164" t="s">
        <v>1274</v>
      </c>
      <c r="D5296" s="100" t="str">
        <f t="shared" si="1"/>
        <v/>
      </c>
      <c r="E5296" s="100" t="str">
        <f t="shared" si="2"/>
        <v/>
      </c>
      <c r="F5296" s="100" t="str">
        <f t="shared" si="3"/>
        <v/>
      </c>
      <c r="G5296" s="151"/>
      <c r="H5296" s="160"/>
      <c r="I5296" s="157"/>
      <c r="J5296" s="158"/>
      <c r="L5296" s="94"/>
      <c r="M5296" s="159"/>
      <c r="N5296" s="94"/>
    </row>
    <row r="5297">
      <c r="A5297" s="107">
        <v>1629661.0</v>
      </c>
      <c r="B5297" s="108" t="s">
        <v>243</v>
      </c>
      <c r="C5297" s="108" t="s">
        <v>1274</v>
      </c>
      <c r="D5297" s="100" t="str">
        <f t="shared" si="1"/>
        <v/>
      </c>
      <c r="E5297" s="100" t="str">
        <f t="shared" si="2"/>
        <v/>
      </c>
      <c r="F5297" s="100" t="str">
        <f t="shared" si="3"/>
        <v/>
      </c>
      <c r="G5297" s="151"/>
      <c r="H5297" s="156"/>
      <c r="I5297" s="157"/>
      <c r="J5297" s="161"/>
      <c r="L5297" s="94"/>
      <c r="M5297" s="159"/>
      <c r="N5297" s="94"/>
    </row>
    <row r="5298">
      <c r="A5298" s="107">
        <v>1629661.0</v>
      </c>
      <c r="B5298" s="108" t="s">
        <v>215</v>
      </c>
      <c r="C5298" s="108" t="s">
        <v>1274</v>
      </c>
      <c r="D5298" s="100" t="str">
        <f t="shared" si="1"/>
        <v/>
      </c>
      <c r="E5298" s="100" t="str">
        <f t="shared" si="2"/>
        <v/>
      </c>
      <c r="F5298" s="100" t="str">
        <f t="shared" si="3"/>
        <v/>
      </c>
      <c r="G5298" s="151"/>
      <c r="H5298" s="160"/>
      <c r="I5298" s="157"/>
      <c r="J5298" s="158"/>
      <c r="L5298" s="94"/>
      <c r="M5298" s="159"/>
      <c r="N5298" s="94"/>
    </row>
    <row r="5299">
      <c r="A5299" s="107">
        <v>1629661.0</v>
      </c>
      <c r="B5299" s="108" t="s">
        <v>244</v>
      </c>
      <c r="C5299" s="108" t="s">
        <v>1274</v>
      </c>
      <c r="D5299" s="100" t="str">
        <f t="shared" si="1"/>
        <v/>
      </c>
      <c r="E5299" s="100" t="str">
        <f t="shared" si="2"/>
        <v/>
      </c>
      <c r="F5299" s="100" t="str">
        <f t="shared" si="3"/>
        <v/>
      </c>
      <c r="G5299" s="151"/>
      <c r="H5299" s="156"/>
      <c r="I5299" s="157"/>
      <c r="J5299" s="161"/>
      <c r="L5299" s="94"/>
      <c r="M5299" s="159"/>
      <c r="N5299" s="94"/>
    </row>
    <row r="5300">
      <c r="A5300" s="107">
        <v>1629661.0</v>
      </c>
      <c r="B5300" s="108" t="s">
        <v>245</v>
      </c>
      <c r="C5300" s="108" t="s">
        <v>1274</v>
      </c>
      <c r="D5300" s="100" t="str">
        <f t="shared" si="1"/>
        <v/>
      </c>
      <c r="E5300" s="100" t="str">
        <f t="shared" si="2"/>
        <v/>
      </c>
      <c r="F5300" s="100" t="str">
        <f t="shared" si="3"/>
        <v/>
      </c>
      <c r="G5300" s="151"/>
      <c r="H5300" s="160"/>
      <c r="I5300" s="157"/>
      <c r="J5300" s="158"/>
      <c r="L5300" s="94"/>
      <c r="M5300" s="159"/>
      <c r="N5300" s="94"/>
    </row>
    <row r="5301">
      <c r="A5301" s="107">
        <v>1629661.0</v>
      </c>
      <c r="B5301" s="108" t="s">
        <v>246</v>
      </c>
      <c r="C5301" s="108" t="s">
        <v>1274</v>
      </c>
      <c r="D5301" s="100" t="str">
        <f t="shared" si="1"/>
        <v/>
      </c>
      <c r="E5301" s="100" t="str">
        <f t="shared" si="2"/>
        <v/>
      </c>
      <c r="F5301" s="100" t="str">
        <f t="shared" si="3"/>
        <v/>
      </c>
      <c r="G5301" s="151"/>
      <c r="H5301" s="156"/>
      <c r="I5301" s="157"/>
      <c r="J5301" s="161"/>
      <c r="L5301" s="94"/>
      <c r="M5301" s="159"/>
      <c r="N5301" s="94"/>
    </row>
    <row r="5302">
      <c r="A5302" s="149">
        <v>1629661.0</v>
      </c>
      <c r="B5302" s="115" t="s">
        <v>247</v>
      </c>
      <c r="C5302" s="115" t="s">
        <v>1274</v>
      </c>
      <c r="D5302" s="100" t="str">
        <f t="shared" si="1"/>
        <v/>
      </c>
      <c r="E5302" s="100" t="str">
        <f t="shared" si="2"/>
        <v/>
      </c>
      <c r="F5302" s="100" t="str">
        <f t="shared" si="3"/>
        <v/>
      </c>
      <c r="G5302" s="151"/>
      <c r="H5302" s="160"/>
      <c r="I5302" s="157"/>
      <c r="J5302" s="158"/>
      <c r="L5302" s="94"/>
      <c r="M5302" s="159"/>
      <c r="N5302" s="94"/>
    </row>
    <row r="5303">
      <c r="A5303" s="21">
        <v>1629662.0</v>
      </c>
      <c r="B5303" s="164" t="s">
        <v>193</v>
      </c>
      <c r="C5303" s="164" t="s">
        <v>1275</v>
      </c>
      <c r="D5303" s="100" t="str">
        <f t="shared" si="1"/>
        <v/>
      </c>
      <c r="E5303" s="100" t="str">
        <f t="shared" si="2"/>
        <v/>
      </c>
      <c r="F5303" s="100" t="str">
        <f t="shared" si="3"/>
        <v/>
      </c>
      <c r="G5303" s="151"/>
      <c r="H5303" s="156"/>
      <c r="I5303" s="157"/>
      <c r="J5303" s="161"/>
      <c r="L5303" s="94"/>
      <c r="M5303" s="159"/>
      <c r="N5303" s="94"/>
    </row>
    <row r="5304">
      <c r="A5304" s="107">
        <v>1629662.0</v>
      </c>
      <c r="B5304" s="108" t="s">
        <v>243</v>
      </c>
      <c r="C5304" s="108" t="s">
        <v>1275</v>
      </c>
      <c r="D5304" s="100" t="str">
        <f t="shared" si="1"/>
        <v/>
      </c>
      <c r="E5304" s="100" t="str">
        <f t="shared" si="2"/>
        <v/>
      </c>
      <c r="F5304" s="100" t="str">
        <f t="shared" si="3"/>
        <v/>
      </c>
      <c r="G5304" s="151"/>
      <c r="H5304" s="160"/>
      <c r="I5304" s="157"/>
      <c r="J5304" s="158"/>
      <c r="L5304" s="94"/>
      <c r="M5304" s="159"/>
      <c r="N5304" s="94"/>
    </row>
    <row r="5305">
      <c r="A5305" s="107">
        <v>1629662.0</v>
      </c>
      <c r="B5305" s="108" t="s">
        <v>244</v>
      </c>
      <c r="C5305" s="108" t="s">
        <v>1275</v>
      </c>
      <c r="D5305" s="100" t="str">
        <f t="shared" si="1"/>
        <v/>
      </c>
      <c r="E5305" s="100" t="str">
        <f t="shared" si="2"/>
        <v/>
      </c>
      <c r="F5305" s="100" t="str">
        <f t="shared" si="3"/>
        <v/>
      </c>
      <c r="G5305" s="151"/>
      <c r="H5305" s="156"/>
      <c r="I5305" s="157"/>
      <c r="J5305" s="161"/>
      <c r="L5305" s="94"/>
      <c r="M5305" s="159"/>
      <c r="N5305" s="94"/>
    </row>
    <row r="5306">
      <c r="A5306" s="107">
        <v>1629663.0</v>
      </c>
      <c r="B5306" s="108" t="s">
        <v>193</v>
      </c>
      <c r="C5306" s="108" t="s">
        <v>1276</v>
      </c>
      <c r="D5306" s="100" t="str">
        <f t="shared" si="1"/>
        <v/>
      </c>
      <c r="E5306" s="100" t="str">
        <f t="shared" si="2"/>
        <v/>
      </c>
      <c r="F5306" s="100" t="str">
        <f t="shared" si="3"/>
        <v/>
      </c>
      <c r="G5306" s="151"/>
      <c r="H5306" s="160"/>
      <c r="I5306" s="157"/>
      <c r="J5306" s="158"/>
      <c r="L5306" s="94"/>
      <c r="M5306" s="159"/>
      <c r="N5306" s="94"/>
    </row>
    <row r="5307">
      <c r="A5307" s="107">
        <v>1629663.0</v>
      </c>
      <c r="B5307" s="108" t="s">
        <v>243</v>
      </c>
      <c r="C5307" s="108" t="s">
        <v>1276</v>
      </c>
      <c r="D5307" s="100" t="str">
        <f t="shared" si="1"/>
        <v/>
      </c>
      <c r="E5307" s="100" t="str">
        <f t="shared" si="2"/>
        <v/>
      </c>
      <c r="F5307" s="100" t="str">
        <f t="shared" si="3"/>
        <v/>
      </c>
      <c r="G5307" s="151"/>
      <c r="H5307" s="156"/>
      <c r="I5307" s="157"/>
      <c r="J5307" s="161"/>
      <c r="L5307" s="94"/>
      <c r="M5307" s="159"/>
      <c r="N5307" s="94"/>
    </row>
    <row r="5308">
      <c r="A5308" s="107">
        <v>1629663.0</v>
      </c>
      <c r="B5308" s="108" t="s">
        <v>215</v>
      </c>
      <c r="C5308" s="108" t="s">
        <v>1276</v>
      </c>
      <c r="D5308" s="100" t="str">
        <f t="shared" si="1"/>
        <v/>
      </c>
      <c r="E5308" s="100" t="str">
        <f t="shared" si="2"/>
        <v/>
      </c>
      <c r="F5308" s="100" t="str">
        <f t="shared" si="3"/>
        <v/>
      </c>
      <c r="G5308" s="151"/>
      <c r="H5308" s="160"/>
      <c r="I5308" s="157"/>
      <c r="J5308" s="158"/>
      <c r="L5308" s="94"/>
      <c r="M5308" s="159"/>
      <c r="N5308" s="94"/>
    </row>
    <row r="5309">
      <c r="A5309" s="107">
        <v>1629663.0</v>
      </c>
      <c r="B5309" s="108" t="s">
        <v>244</v>
      </c>
      <c r="C5309" s="108" t="s">
        <v>1276</v>
      </c>
      <c r="D5309" s="100" t="str">
        <f t="shared" si="1"/>
        <v/>
      </c>
      <c r="E5309" s="100" t="str">
        <f t="shared" si="2"/>
        <v/>
      </c>
      <c r="F5309" s="100" t="str">
        <f t="shared" si="3"/>
        <v/>
      </c>
      <c r="G5309" s="151"/>
      <c r="H5309" s="156"/>
      <c r="I5309" s="157"/>
      <c r="J5309" s="161"/>
      <c r="L5309" s="94"/>
      <c r="M5309" s="159"/>
      <c r="N5309" s="94"/>
    </row>
    <row r="5310">
      <c r="A5310" s="107">
        <v>1629665.0</v>
      </c>
      <c r="B5310" s="108" t="s">
        <v>193</v>
      </c>
      <c r="C5310" s="108" t="s">
        <v>1277</v>
      </c>
      <c r="D5310" s="100" t="str">
        <f t="shared" si="1"/>
        <v/>
      </c>
      <c r="E5310" s="100" t="str">
        <f t="shared" si="2"/>
        <v/>
      </c>
      <c r="F5310" s="100" t="str">
        <f t="shared" si="3"/>
        <v/>
      </c>
      <c r="G5310" s="151"/>
      <c r="H5310" s="160"/>
      <c r="I5310" s="157"/>
      <c r="J5310" s="158"/>
      <c r="L5310" s="94"/>
      <c r="M5310" s="159"/>
      <c r="N5310" s="94"/>
    </row>
    <row r="5311">
      <c r="A5311" s="107">
        <v>1629665.0</v>
      </c>
      <c r="B5311" s="108" t="s">
        <v>243</v>
      </c>
      <c r="C5311" s="108" t="s">
        <v>1277</v>
      </c>
      <c r="D5311" s="100" t="str">
        <f t="shared" si="1"/>
        <v/>
      </c>
      <c r="E5311" s="100" t="str">
        <f t="shared" si="2"/>
        <v/>
      </c>
      <c r="F5311" s="100" t="str">
        <f t="shared" si="3"/>
        <v/>
      </c>
      <c r="G5311" s="151"/>
      <c r="H5311" s="156"/>
      <c r="I5311" s="157"/>
      <c r="J5311" s="161"/>
      <c r="L5311" s="94"/>
      <c r="M5311" s="159"/>
      <c r="N5311" s="94"/>
    </row>
    <row r="5312">
      <c r="A5312" s="107">
        <v>1629667.0</v>
      </c>
      <c r="B5312" s="108" t="s">
        <v>193</v>
      </c>
      <c r="C5312" s="108" t="s">
        <v>1278</v>
      </c>
      <c r="D5312" s="100" t="str">
        <f t="shared" si="1"/>
        <v/>
      </c>
      <c r="E5312" s="100" t="str">
        <f t="shared" si="2"/>
        <v/>
      </c>
      <c r="F5312" s="100" t="str">
        <f t="shared" si="3"/>
        <v/>
      </c>
      <c r="G5312" s="151"/>
      <c r="H5312" s="160"/>
      <c r="I5312" s="157"/>
      <c r="J5312" s="158"/>
      <c r="L5312" s="94"/>
      <c r="M5312" s="159"/>
      <c r="N5312" s="94"/>
    </row>
    <row r="5313">
      <c r="A5313" s="107">
        <v>1629667.0</v>
      </c>
      <c r="B5313" s="108" t="s">
        <v>243</v>
      </c>
      <c r="C5313" s="108" t="s">
        <v>1278</v>
      </c>
      <c r="D5313" s="100" t="str">
        <f t="shared" si="1"/>
        <v/>
      </c>
      <c r="E5313" s="100" t="str">
        <f t="shared" si="2"/>
        <v/>
      </c>
      <c r="F5313" s="100" t="str">
        <f t="shared" si="3"/>
        <v/>
      </c>
      <c r="G5313" s="151"/>
      <c r="H5313" s="156"/>
      <c r="I5313" s="157"/>
      <c r="J5313" s="161"/>
      <c r="L5313" s="94"/>
      <c r="M5313" s="159"/>
      <c r="N5313" s="94"/>
    </row>
    <row r="5314">
      <c r="A5314" s="107">
        <v>1629667.0</v>
      </c>
      <c r="B5314" s="108" t="s">
        <v>215</v>
      </c>
      <c r="C5314" s="108" t="s">
        <v>1278</v>
      </c>
      <c r="D5314" s="100" t="str">
        <f t="shared" si="1"/>
        <v/>
      </c>
      <c r="E5314" s="100" t="str">
        <f t="shared" si="2"/>
        <v/>
      </c>
      <c r="F5314" s="100" t="str">
        <f t="shared" si="3"/>
        <v/>
      </c>
      <c r="G5314" s="151"/>
      <c r="H5314" s="160"/>
      <c r="I5314" s="157"/>
      <c r="J5314" s="158"/>
      <c r="L5314" s="94"/>
      <c r="M5314" s="159"/>
      <c r="N5314" s="94"/>
    </row>
    <row r="5315">
      <c r="A5315" s="107">
        <v>1629667.0</v>
      </c>
      <c r="B5315" s="108" t="s">
        <v>244</v>
      </c>
      <c r="C5315" s="108" t="s">
        <v>1278</v>
      </c>
      <c r="D5315" s="100" t="str">
        <f t="shared" si="1"/>
        <v/>
      </c>
      <c r="E5315" s="100" t="str">
        <f t="shared" si="2"/>
        <v/>
      </c>
      <c r="F5315" s="100" t="str">
        <f t="shared" si="3"/>
        <v/>
      </c>
      <c r="G5315" s="151"/>
      <c r="H5315" s="156"/>
      <c r="I5315" s="157"/>
      <c r="J5315" s="161"/>
      <c r="L5315" s="94"/>
      <c r="M5315" s="159"/>
      <c r="N5315" s="94"/>
    </row>
    <row r="5316">
      <c r="A5316" s="107">
        <v>1629667.0</v>
      </c>
      <c r="B5316" s="108" t="s">
        <v>245</v>
      </c>
      <c r="C5316" s="108" t="s">
        <v>1278</v>
      </c>
      <c r="D5316" s="100" t="str">
        <f t="shared" si="1"/>
        <v/>
      </c>
      <c r="E5316" s="100" t="str">
        <f t="shared" si="2"/>
        <v/>
      </c>
      <c r="F5316" s="100" t="str">
        <f t="shared" si="3"/>
        <v/>
      </c>
      <c r="G5316" s="151"/>
      <c r="H5316" s="160"/>
      <c r="I5316" s="157"/>
      <c r="J5316" s="158"/>
      <c r="L5316" s="94"/>
      <c r="M5316" s="159"/>
      <c r="N5316" s="94"/>
    </row>
    <row r="5317">
      <c r="A5317" s="149">
        <v>1629667.0</v>
      </c>
      <c r="B5317" s="108" t="s">
        <v>246</v>
      </c>
      <c r="C5317" s="115" t="s">
        <v>1278</v>
      </c>
      <c r="D5317" s="100" t="str">
        <f t="shared" si="1"/>
        <v/>
      </c>
      <c r="E5317" s="100" t="str">
        <f t="shared" si="2"/>
        <v/>
      </c>
      <c r="F5317" s="100" t="str">
        <f t="shared" si="3"/>
        <v/>
      </c>
      <c r="G5317" s="151"/>
      <c r="H5317" s="156"/>
      <c r="I5317" s="157"/>
      <c r="J5317" s="161"/>
      <c r="L5317" s="94"/>
      <c r="M5317" s="159"/>
      <c r="N5317" s="94"/>
    </row>
    <row r="5318">
      <c r="A5318" s="165">
        <v>1629668.0</v>
      </c>
      <c r="B5318" s="124" t="s">
        <v>193</v>
      </c>
      <c r="C5318" s="124" t="s">
        <v>1279</v>
      </c>
      <c r="D5318" s="100" t="str">
        <f t="shared" si="1"/>
        <v/>
      </c>
      <c r="E5318" s="100" t="str">
        <f t="shared" si="2"/>
        <v/>
      </c>
      <c r="F5318" s="100" t="str">
        <f t="shared" si="3"/>
        <v/>
      </c>
      <c r="G5318" s="151"/>
      <c r="H5318" s="160"/>
      <c r="I5318" s="157"/>
      <c r="J5318" s="158"/>
      <c r="L5318" s="94"/>
      <c r="M5318" s="159"/>
      <c r="N5318" s="94"/>
    </row>
    <row r="5319">
      <c r="A5319" s="107">
        <v>1629669.0</v>
      </c>
      <c r="B5319" s="108" t="s">
        <v>193</v>
      </c>
      <c r="C5319" s="108" t="s">
        <v>1280</v>
      </c>
      <c r="D5319" s="100" t="str">
        <f t="shared" si="1"/>
        <v/>
      </c>
      <c r="E5319" s="100" t="str">
        <f t="shared" si="2"/>
        <v/>
      </c>
      <c r="F5319" s="100" t="str">
        <f t="shared" si="3"/>
        <v/>
      </c>
      <c r="G5319" s="151"/>
      <c r="H5319" s="156"/>
      <c r="I5319" s="157"/>
      <c r="J5319" s="161"/>
      <c r="L5319" s="94"/>
      <c r="M5319" s="159"/>
      <c r="N5319" s="94"/>
    </row>
    <row r="5320">
      <c r="A5320" s="107">
        <v>1629669.0</v>
      </c>
      <c r="B5320" s="108" t="s">
        <v>243</v>
      </c>
      <c r="C5320" s="108" t="s">
        <v>1280</v>
      </c>
      <c r="D5320" s="100" t="str">
        <f t="shared" si="1"/>
        <v/>
      </c>
      <c r="E5320" s="100" t="str">
        <f t="shared" si="2"/>
        <v/>
      </c>
      <c r="F5320" s="100" t="str">
        <f t="shared" si="3"/>
        <v/>
      </c>
      <c r="G5320" s="151"/>
      <c r="H5320" s="160"/>
      <c r="I5320" s="157"/>
      <c r="J5320" s="158"/>
      <c r="L5320" s="94"/>
      <c r="M5320" s="159"/>
      <c r="N5320" s="94"/>
    </row>
    <row r="5321">
      <c r="A5321" s="107">
        <v>1629669.0</v>
      </c>
      <c r="B5321" s="108" t="s">
        <v>215</v>
      </c>
      <c r="C5321" s="108" t="s">
        <v>1280</v>
      </c>
      <c r="D5321" s="100" t="str">
        <f t="shared" si="1"/>
        <v/>
      </c>
      <c r="E5321" s="100" t="str">
        <f t="shared" si="2"/>
        <v/>
      </c>
      <c r="F5321" s="100" t="str">
        <f t="shared" si="3"/>
        <v/>
      </c>
      <c r="G5321" s="151"/>
      <c r="H5321" s="156"/>
      <c r="I5321" s="157"/>
      <c r="J5321" s="161"/>
      <c r="L5321" s="94"/>
      <c r="M5321" s="159"/>
      <c r="N5321" s="94"/>
    </row>
    <row r="5322">
      <c r="A5322" s="107">
        <v>1629669.0</v>
      </c>
      <c r="B5322" s="108" t="s">
        <v>244</v>
      </c>
      <c r="C5322" s="108" t="s">
        <v>1280</v>
      </c>
      <c r="D5322" s="100" t="str">
        <f t="shared" si="1"/>
        <v/>
      </c>
      <c r="E5322" s="100" t="str">
        <f t="shared" si="2"/>
        <v/>
      </c>
      <c r="F5322" s="100" t="str">
        <f t="shared" si="3"/>
        <v/>
      </c>
      <c r="G5322" s="151"/>
      <c r="H5322" s="160"/>
      <c r="I5322" s="157"/>
      <c r="J5322" s="158"/>
      <c r="L5322" s="94"/>
      <c r="M5322" s="159"/>
      <c r="N5322" s="94"/>
    </row>
    <row r="5323">
      <c r="A5323" s="107">
        <v>1629669.0</v>
      </c>
      <c r="B5323" s="108" t="s">
        <v>245</v>
      </c>
      <c r="C5323" s="108" t="s">
        <v>1280</v>
      </c>
      <c r="D5323" s="100" t="str">
        <f t="shared" si="1"/>
        <v/>
      </c>
      <c r="E5323" s="100" t="str">
        <f t="shared" si="2"/>
        <v/>
      </c>
      <c r="F5323" s="100" t="str">
        <f t="shared" si="3"/>
        <v/>
      </c>
      <c r="G5323" s="151"/>
      <c r="H5323" s="156"/>
      <c r="I5323" s="157"/>
      <c r="J5323" s="161"/>
      <c r="L5323" s="94"/>
      <c r="M5323" s="159"/>
      <c r="N5323" s="94"/>
    </row>
    <row r="5324">
      <c r="A5324" s="107">
        <v>1629669.0</v>
      </c>
      <c r="B5324" s="108" t="s">
        <v>246</v>
      </c>
      <c r="C5324" s="108" t="s">
        <v>1280</v>
      </c>
      <c r="D5324" s="100" t="str">
        <f t="shared" si="1"/>
        <v/>
      </c>
      <c r="E5324" s="100" t="str">
        <f t="shared" si="2"/>
        <v/>
      </c>
      <c r="F5324" s="100" t="str">
        <f t="shared" si="3"/>
        <v/>
      </c>
      <c r="G5324" s="151"/>
      <c r="H5324" s="160"/>
      <c r="I5324" s="157"/>
      <c r="J5324" s="158"/>
      <c r="L5324" s="94"/>
      <c r="M5324" s="159"/>
      <c r="N5324" s="94"/>
    </row>
    <row r="5325">
      <c r="A5325" s="107">
        <v>1629670.0</v>
      </c>
      <c r="B5325" s="108" t="s">
        <v>243</v>
      </c>
      <c r="C5325" s="108" t="s">
        <v>1281</v>
      </c>
      <c r="D5325" s="100" t="str">
        <f t="shared" si="1"/>
        <v/>
      </c>
      <c r="E5325" s="100" t="str">
        <f t="shared" si="2"/>
        <v/>
      </c>
      <c r="F5325" s="100" t="str">
        <f t="shared" si="3"/>
        <v/>
      </c>
      <c r="G5325" s="151"/>
      <c r="H5325" s="156"/>
      <c r="I5325" s="157"/>
      <c r="J5325" s="161"/>
      <c r="L5325" s="94"/>
      <c r="M5325" s="159"/>
      <c r="N5325" s="94"/>
    </row>
    <row r="5326">
      <c r="A5326" s="107">
        <v>1629670.0</v>
      </c>
      <c r="B5326" s="108" t="s">
        <v>215</v>
      </c>
      <c r="C5326" s="108" t="s">
        <v>1281</v>
      </c>
      <c r="D5326" s="100" t="str">
        <f t="shared" si="1"/>
        <v/>
      </c>
      <c r="E5326" s="100" t="str">
        <f t="shared" si="2"/>
        <v/>
      </c>
      <c r="F5326" s="100" t="str">
        <f t="shared" si="3"/>
        <v/>
      </c>
      <c r="G5326" s="151"/>
      <c r="H5326" s="160"/>
      <c r="I5326" s="157"/>
      <c r="J5326" s="158"/>
      <c r="L5326" s="94"/>
      <c r="M5326" s="159"/>
      <c r="N5326" s="94"/>
    </row>
    <row r="5327">
      <c r="A5327" s="107">
        <v>1629670.0</v>
      </c>
      <c r="B5327" s="108" t="s">
        <v>244</v>
      </c>
      <c r="C5327" s="108" t="s">
        <v>1281</v>
      </c>
      <c r="D5327" s="100" t="str">
        <f t="shared" si="1"/>
        <v/>
      </c>
      <c r="E5327" s="100" t="str">
        <f t="shared" si="2"/>
        <v/>
      </c>
      <c r="F5327" s="100" t="str">
        <f t="shared" si="3"/>
        <v/>
      </c>
      <c r="G5327" s="151"/>
      <c r="H5327" s="156"/>
      <c r="I5327" s="157"/>
      <c r="J5327" s="161"/>
      <c r="L5327" s="94"/>
      <c r="M5327" s="159"/>
      <c r="N5327" s="94"/>
    </row>
    <row r="5328">
      <c r="A5328" s="107">
        <v>1629670.0</v>
      </c>
      <c r="B5328" s="108" t="s">
        <v>245</v>
      </c>
      <c r="C5328" s="108" t="s">
        <v>1281</v>
      </c>
      <c r="D5328" s="100" t="str">
        <f t="shared" si="1"/>
        <v/>
      </c>
      <c r="E5328" s="100" t="str">
        <f t="shared" si="2"/>
        <v/>
      </c>
      <c r="F5328" s="100" t="str">
        <f t="shared" si="3"/>
        <v/>
      </c>
      <c r="G5328" s="151"/>
      <c r="H5328" s="160"/>
      <c r="I5328" s="157"/>
      <c r="J5328" s="158"/>
      <c r="L5328" s="94"/>
      <c r="M5328" s="159"/>
      <c r="N5328" s="94"/>
    </row>
    <row r="5329">
      <c r="A5329" s="107">
        <v>1629671.0</v>
      </c>
      <c r="B5329" s="108" t="s">
        <v>193</v>
      </c>
      <c r="C5329" s="108" t="s">
        <v>1282</v>
      </c>
      <c r="D5329" s="100" t="str">
        <f t="shared" si="1"/>
        <v/>
      </c>
      <c r="E5329" s="100" t="str">
        <f t="shared" si="2"/>
        <v/>
      </c>
      <c r="F5329" s="100" t="str">
        <f t="shared" si="3"/>
        <v/>
      </c>
      <c r="G5329" s="151"/>
      <c r="H5329" s="156"/>
      <c r="I5329" s="157"/>
      <c r="J5329" s="161"/>
      <c r="L5329" s="94"/>
      <c r="M5329" s="159"/>
      <c r="N5329" s="94"/>
    </row>
    <row r="5330">
      <c r="A5330" s="107">
        <v>1629671.0</v>
      </c>
      <c r="B5330" s="108" t="s">
        <v>243</v>
      </c>
      <c r="C5330" s="108" t="s">
        <v>1282</v>
      </c>
      <c r="D5330" s="100" t="str">
        <f t="shared" si="1"/>
        <v/>
      </c>
      <c r="E5330" s="100" t="str">
        <f t="shared" si="2"/>
        <v/>
      </c>
      <c r="F5330" s="100" t="str">
        <f t="shared" si="3"/>
        <v/>
      </c>
      <c r="G5330" s="151"/>
      <c r="H5330" s="160"/>
      <c r="I5330" s="157"/>
      <c r="J5330" s="158"/>
      <c r="L5330" s="94"/>
      <c r="M5330" s="159"/>
      <c r="N5330" s="94"/>
    </row>
    <row r="5331">
      <c r="A5331" s="107">
        <v>1629671.0</v>
      </c>
      <c r="B5331" s="108" t="s">
        <v>215</v>
      </c>
      <c r="C5331" s="108" t="s">
        <v>1282</v>
      </c>
      <c r="D5331" s="100" t="str">
        <f t="shared" si="1"/>
        <v/>
      </c>
      <c r="E5331" s="100" t="str">
        <f t="shared" si="2"/>
        <v/>
      </c>
      <c r="F5331" s="100" t="str">
        <f t="shared" si="3"/>
        <v/>
      </c>
      <c r="G5331" s="151"/>
      <c r="H5331" s="156"/>
      <c r="I5331" s="157"/>
      <c r="J5331" s="161"/>
      <c r="L5331" s="94"/>
      <c r="M5331" s="159"/>
      <c r="N5331" s="94"/>
    </row>
    <row r="5332">
      <c r="A5332" s="107">
        <v>1629672.0</v>
      </c>
      <c r="B5332" s="108" t="s">
        <v>193</v>
      </c>
      <c r="C5332" s="108" t="s">
        <v>1283</v>
      </c>
      <c r="D5332" s="100" t="str">
        <f t="shared" si="1"/>
        <v/>
      </c>
      <c r="E5332" s="100" t="str">
        <f t="shared" si="2"/>
        <v/>
      </c>
      <c r="F5332" s="100" t="str">
        <f t="shared" si="3"/>
        <v/>
      </c>
      <c r="G5332" s="151"/>
      <c r="H5332" s="160"/>
      <c r="I5332" s="157"/>
      <c r="J5332" s="158"/>
      <c r="L5332" s="94"/>
      <c r="M5332" s="159"/>
      <c r="N5332" s="94"/>
    </row>
    <row r="5333">
      <c r="A5333" s="107">
        <v>1629672.0</v>
      </c>
      <c r="B5333" s="108" t="s">
        <v>243</v>
      </c>
      <c r="C5333" s="108" t="s">
        <v>1283</v>
      </c>
      <c r="D5333" s="100" t="str">
        <f t="shared" si="1"/>
        <v/>
      </c>
      <c r="E5333" s="100" t="str">
        <f t="shared" si="2"/>
        <v/>
      </c>
      <c r="F5333" s="100" t="str">
        <f t="shared" si="3"/>
        <v/>
      </c>
      <c r="G5333" s="151"/>
      <c r="H5333" s="156"/>
      <c r="I5333" s="157"/>
      <c r="J5333" s="161"/>
      <c r="L5333" s="94"/>
      <c r="M5333" s="159"/>
      <c r="N5333" s="94"/>
    </row>
    <row r="5334">
      <c r="A5334" s="107">
        <v>1629672.0</v>
      </c>
      <c r="B5334" s="108" t="s">
        <v>215</v>
      </c>
      <c r="C5334" s="108" t="s">
        <v>1283</v>
      </c>
      <c r="D5334" s="100" t="str">
        <f t="shared" si="1"/>
        <v/>
      </c>
      <c r="E5334" s="100" t="str">
        <f t="shared" si="2"/>
        <v/>
      </c>
      <c r="F5334" s="100" t="str">
        <f t="shared" si="3"/>
        <v/>
      </c>
      <c r="G5334" s="151"/>
      <c r="H5334" s="160"/>
      <c r="I5334" s="157"/>
      <c r="J5334" s="158"/>
      <c r="L5334" s="94"/>
      <c r="M5334" s="159"/>
      <c r="N5334" s="94"/>
    </row>
    <row r="5335">
      <c r="A5335" s="107">
        <v>1629673.0</v>
      </c>
      <c r="B5335" s="108" t="s">
        <v>193</v>
      </c>
      <c r="C5335" s="108" t="s">
        <v>1284</v>
      </c>
      <c r="D5335" s="100" t="str">
        <f t="shared" si="1"/>
        <v/>
      </c>
      <c r="E5335" s="100" t="str">
        <f t="shared" si="2"/>
        <v/>
      </c>
      <c r="F5335" s="100" t="str">
        <f t="shared" si="3"/>
        <v/>
      </c>
      <c r="G5335" s="151"/>
      <c r="H5335" s="156"/>
      <c r="I5335" s="157"/>
      <c r="J5335" s="161"/>
      <c r="L5335" s="94"/>
      <c r="M5335" s="159"/>
      <c r="N5335" s="94"/>
    </row>
    <row r="5336">
      <c r="A5336" s="107">
        <v>1629673.0</v>
      </c>
      <c r="B5336" s="108" t="s">
        <v>243</v>
      </c>
      <c r="C5336" s="108" t="s">
        <v>1284</v>
      </c>
      <c r="D5336" s="100" t="str">
        <f t="shared" si="1"/>
        <v/>
      </c>
      <c r="E5336" s="100" t="str">
        <f t="shared" si="2"/>
        <v/>
      </c>
      <c r="F5336" s="100" t="str">
        <f t="shared" si="3"/>
        <v/>
      </c>
      <c r="G5336" s="151"/>
      <c r="H5336" s="160"/>
      <c r="I5336" s="157"/>
      <c r="J5336" s="158"/>
      <c r="L5336" s="94"/>
      <c r="M5336" s="159"/>
      <c r="N5336" s="94"/>
    </row>
    <row r="5337">
      <c r="A5337" s="107">
        <v>1629673.0</v>
      </c>
      <c r="B5337" s="108" t="s">
        <v>215</v>
      </c>
      <c r="C5337" s="108" t="s">
        <v>1284</v>
      </c>
      <c r="D5337" s="100" t="str">
        <f t="shared" si="1"/>
        <v/>
      </c>
      <c r="E5337" s="100" t="str">
        <f t="shared" si="2"/>
        <v/>
      </c>
      <c r="F5337" s="100" t="str">
        <f t="shared" si="3"/>
        <v/>
      </c>
      <c r="G5337" s="151"/>
      <c r="H5337" s="156"/>
      <c r="I5337" s="157"/>
      <c r="J5337" s="161"/>
      <c r="L5337" s="94"/>
      <c r="M5337" s="159"/>
      <c r="N5337" s="94"/>
    </row>
    <row r="5338">
      <c r="A5338" s="107">
        <v>1629673.0</v>
      </c>
      <c r="B5338" s="108" t="s">
        <v>244</v>
      </c>
      <c r="C5338" s="108" t="s">
        <v>1284</v>
      </c>
      <c r="D5338" s="100" t="str">
        <f t="shared" si="1"/>
        <v/>
      </c>
      <c r="E5338" s="100" t="str">
        <f t="shared" si="2"/>
        <v/>
      </c>
      <c r="F5338" s="100" t="str">
        <f t="shared" si="3"/>
        <v/>
      </c>
      <c r="G5338" s="151"/>
      <c r="H5338" s="160"/>
      <c r="I5338" s="157"/>
      <c r="J5338" s="158"/>
      <c r="L5338" s="94"/>
      <c r="M5338" s="159"/>
      <c r="N5338" s="94"/>
    </row>
    <row r="5339">
      <c r="A5339" s="107">
        <v>1629673.0</v>
      </c>
      <c r="B5339" s="108" t="s">
        <v>245</v>
      </c>
      <c r="C5339" s="108" t="s">
        <v>1284</v>
      </c>
      <c r="D5339" s="100" t="str">
        <f t="shared" si="1"/>
        <v/>
      </c>
      <c r="E5339" s="100" t="str">
        <f t="shared" si="2"/>
        <v/>
      </c>
      <c r="F5339" s="100" t="str">
        <f t="shared" si="3"/>
        <v/>
      </c>
      <c r="G5339" s="151"/>
      <c r="H5339" s="156"/>
      <c r="I5339" s="157"/>
      <c r="J5339" s="161"/>
      <c r="L5339" s="94"/>
      <c r="M5339" s="159"/>
      <c r="N5339" s="94"/>
    </row>
    <row r="5340">
      <c r="A5340" s="107">
        <v>1629673.0</v>
      </c>
      <c r="B5340" s="108" t="s">
        <v>246</v>
      </c>
      <c r="C5340" s="108" t="s">
        <v>1284</v>
      </c>
      <c r="D5340" s="100" t="str">
        <f t="shared" si="1"/>
        <v/>
      </c>
      <c r="E5340" s="100" t="str">
        <f t="shared" si="2"/>
        <v/>
      </c>
      <c r="F5340" s="100" t="str">
        <f t="shared" si="3"/>
        <v/>
      </c>
      <c r="G5340" s="151"/>
      <c r="H5340" s="160"/>
      <c r="I5340" s="157"/>
      <c r="J5340" s="158"/>
      <c r="L5340" s="94"/>
      <c r="M5340" s="159"/>
      <c r="N5340" s="94"/>
    </row>
    <row r="5341">
      <c r="A5341" s="149">
        <v>1629673.0</v>
      </c>
      <c r="B5341" s="115" t="s">
        <v>247</v>
      </c>
      <c r="C5341" s="115" t="s">
        <v>1284</v>
      </c>
      <c r="D5341" s="100" t="str">
        <f t="shared" si="1"/>
        <v/>
      </c>
      <c r="E5341" s="100" t="str">
        <f t="shared" si="2"/>
        <v/>
      </c>
      <c r="F5341" s="100" t="str">
        <f t="shared" si="3"/>
        <v/>
      </c>
      <c r="G5341" s="151"/>
      <c r="H5341" s="156"/>
      <c r="I5341" s="157"/>
      <c r="J5341" s="161"/>
      <c r="L5341" s="94"/>
      <c r="M5341" s="159"/>
      <c r="N5341" s="94"/>
    </row>
    <row r="5342">
      <c r="A5342" s="21">
        <v>1629674.0</v>
      </c>
      <c r="B5342" s="164" t="s">
        <v>215</v>
      </c>
      <c r="C5342" s="164" t="s">
        <v>1285</v>
      </c>
      <c r="D5342" s="100" t="str">
        <f t="shared" si="1"/>
        <v/>
      </c>
      <c r="E5342" s="100" t="str">
        <f t="shared" si="2"/>
        <v/>
      </c>
      <c r="F5342" s="100" t="str">
        <f t="shared" si="3"/>
        <v/>
      </c>
      <c r="G5342" s="151"/>
      <c r="H5342" s="160"/>
      <c r="I5342" s="157"/>
      <c r="J5342" s="158"/>
      <c r="L5342" s="94"/>
      <c r="M5342" s="159"/>
      <c r="N5342" s="94"/>
    </row>
    <row r="5343">
      <c r="A5343" s="107">
        <v>1629674.0</v>
      </c>
      <c r="B5343" s="108" t="s">
        <v>244</v>
      </c>
      <c r="C5343" s="108" t="s">
        <v>1285</v>
      </c>
      <c r="D5343" s="100" t="str">
        <f t="shared" si="1"/>
        <v/>
      </c>
      <c r="E5343" s="100" t="str">
        <f t="shared" si="2"/>
        <v/>
      </c>
      <c r="F5343" s="100" t="str">
        <f t="shared" si="3"/>
        <v/>
      </c>
      <c r="G5343" s="151"/>
      <c r="H5343" s="156"/>
      <c r="I5343" s="157"/>
      <c r="J5343" s="161"/>
      <c r="L5343" s="94"/>
      <c r="M5343" s="159"/>
      <c r="N5343" s="94"/>
    </row>
    <row r="5344">
      <c r="A5344" s="107">
        <v>1629674.0</v>
      </c>
      <c r="B5344" s="108" t="s">
        <v>245</v>
      </c>
      <c r="C5344" s="108" t="s">
        <v>1285</v>
      </c>
      <c r="D5344" s="100" t="str">
        <f t="shared" si="1"/>
        <v/>
      </c>
      <c r="E5344" s="100" t="str">
        <f t="shared" si="2"/>
        <v/>
      </c>
      <c r="F5344" s="100" t="str">
        <f t="shared" si="3"/>
        <v/>
      </c>
      <c r="G5344" s="151"/>
      <c r="H5344" s="160"/>
      <c r="I5344" s="157"/>
      <c r="J5344" s="158"/>
      <c r="L5344" s="94"/>
      <c r="M5344" s="159"/>
      <c r="N5344" s="94"/>
    </row>
    <row r="5345">
      <c r="A5345" s="107">
        <v>1629674.0</v>
      </c>
      <c r="B5345" s="108" t="s">
        <v>246</v>
      </c>
      <c r="C5345" s="108" t="s">
        <v>1285</v>
      </c>
      <c r="D5345" s="100" t="str">
        <f t="shared" si="1"/>
        <v/>
      </c>
      <c r="E5345" s="100" t="str">
        <f t="shared" si="2"/>
        <v/>
      </c>
      <c r="F5345" s="100" t="str">
        <f t="shared" si="3"/>
        <v/>
      </c>
      <c r="G5345" s="151"/>
      <c r="H5345" s="156"/>
      <c r="I5345" s="157"/>
      <c r="J5345" s="161"/>
      <c r="L5345" s="94"/>
      <c r="M5345" s="159"/>
      <c r="N5345" s="94"/>
    </row>
    <row r="5346">
      <c r="A5346" s="149">
        <v>1629674.0</v>
      </c>
      <c r="B5346" s="115" t="s">
        <v>247</v>
      </c>
      <c r="C5346" s="115" t="s">
        <v>1285</v>
      </c>
      <c r="D5346" s="100" t="str">
        <f t="shared" si="1"/>
        <v/>
      </c>
      <c r="E5346" s="100" t="str">
        <f t="shared" si="2"/>
        <v/>
      </c>
      <c r="F5346" s="100" t="str">
        <f t="shared" si="3"/>
        <v/>
      </c>
      <c r="G5346" s="151"/>
      <c r="H5346" s="160"/>
      <c r="I5346" s="157"/>
      <c r="J5346" s="158"/>
      <c r="L5346" s="94"/>
      <c r="M5346" s="159"/>
      <c r="N5346" s="94"/>
    </row>
    <row r="5347">
      <c r="A5347" s="21">
        <v>1629675.0</v>
      </c>
      <c r="B5347" s="164" t="s">
        <v>193</v>
      </c>
      <c r="C5347" s="164" t="s">
        <v>1286</v>
      </c>
      <c r="D5347" s="100" t="str">
        <f t="shared" si="1"/>
        <v/>
      </c>
      <c r="E5347" s="100" t="str">
        <f t="shared" si="2"/>
        <v/>
      </c>
      <c r="F5347" s="100" t="str">
        <f t="shared" si="3"/>
        <v/>
      </c>
      <c r="G5347" s="151"/>
      <c r="H5347" s="156"/>
      <c r="I5347" s="157"/>
      <c r="J5347" s="161"/>
      <c r="L5347" s="94"/>
      <c r="M5347" s="159"/>
      <c r="N5347" s="94"/>
    </row>
    <row r="5348">
      <c r="A5348" s="107">
        <v>1629675.0</v>
      </c>
      <c r="B5348" s="108" t="s">
        <v>243</v>
      </c>
      <c r="C5348" s="108" t="s">
        <v>1286</v>
      </c>
      <c r="D5348" s="100" t="str">
        <f t="shared" si="1"/>
        <v/>
      </c>
      <c r="E5348" s="100" t="str">
        <f t="shared" si="2"/>
        <v/>
      </c>
      <c r="F5348" s="100" t="str">
        <f t="shared" si="3"/>
        <v/>
      </c>
      <c r="G5348" s="151"/>
      <c r="H5348" s="160"/>
      <c r="I5348" s="157"/>
      <c r="J5348" s="158"/>
      <c r="L5348" s="94"/>
      <c r="M5348" s="159"/>
      <c r="N5348" s="94"/>
    </row>
    <row r="5349">
      <c r="A5349" s="107">
        <v>1629675.0</v>
      </c>
      <c r="B5349" s="108" t="s">
        <v>215</v>
      </c>
      <c r="C5349" s="108" t="s">
        <v>1286</v>
      </c>
      <c r="D5349" s="100" t="str">
        <f t="shared" si="1"/>
        <v/>
      </c>
      <c r="E5349" s="100" t="str">
        <f t="shared" si="2"/>
        <v/>
      </c>
      <c r="F5349" s="100" t="str">
        <f t="shared" si="3"/>
        <v/>
      </c>
      <c r="G5349" s="151"/>
      <c r="H5349" s="156"/>
      <c r="I5349" s="157"/>
      <c r="J5349" s="161"/>
      <c r="L5349" s="94"/>
      <c r="M5349" s="159"/>
      <c r="N5349" s="94"/>
    </row>
    <row r="5350">
      <c r="A5350" s="107">
        <v>1629675.0</v>
      </c>
      <c r="B5350" s="108" t="s">
        <v>244</v>
      </c>
      <c r="C5350" s="108" t="s">
        <v>1286</v>
      </c>
      <c r="D5350" s="100" t="str">
        <f t="shared" si="1"/>
        <v/>
      </c>
      <c r="E5350" s="100" t="str">
        <f t="shared" si="2"/>
        <v/>
      </c>
      <c r="F5350" s="100" t="str">
        <f t="shared" si="3"/>
        <v/>
      </c>
      <c r="G5350" s="151"/>
      <c r="H5350" s="160"/>
      <c r="I5350" s="157"/>
      <c r="J5350" s="158"/>
      <c r="L5350" s="94"/>
      <c r="M5350" s="159"/>
      <c r="N5350" s="94"/>
    </row>
    <row r="5351">
      <c r="A5351" s="107">
        <v>1629675.0</v>
      </c>
      <c r="B5351" s="108" t="s">
        <v>245</v>
      </c>
      <c r="C5351" s="108" t="s">
        <v>1286</v>
      </c>
      <c r="D5351" s="100" t="str">
        <f t="shared" si="1"/>
        <v/>
      </c>
      <c r="E5351" s="100" t="str">
        <f t="shared" si="2"/>
        <v/>
      </c>
      <c r="F5351" s="100" t="str">
        <f t="shared" si="3"/>
        <v/>
      </c>
      <c r="G5351" s="151"/>
      <c r="H5351" s="156"/>
      <c r="I5351" s="157"/>
      <c r="J5351" s="161"/>
      <c r="L5351" s="94"/>
      <c r="M5351" s="159"/>
      <c r="N5351" s="94"/>
    </row>
    <row r="5352">
      <c r="A5352" s="107">
        <v>1629675.0</v>
      </c>
      <c r="B5352" s="108" t="s">
        <v>246</v>
      </c>
      <c r="C5352" s="108" t="s">
        <v>1286</v>
      </c>
      <c r="D5352" s="100" t="str">
        <f t="shared" si="1"/>
        <v/>
      </c>
      <c r="E5352" s="100" t="str">
        <f t="shared" si="2"/>
        <v/>
      </c>
      <c r="F5352" s="100" t="str">
        <f t="shared" si="3"/>
        <v/>
      </c>
      <c r="G5352" s="151"/>
      <c r="H5352" s="160"/>
      <c r="I5352" s="157"/>
      <c r="J5352" s="158"/>
      <c r="L5352" s="94"/>
      <c r="M5352" s="159"/>
      <c r="N5352" s="94"/>
    </row>
    <row r="5353">
      <c r="A5353" s="149">
        <v>1629675.0</v>
      </c>
      <c r="B5353" s="115" t="s">
        <v>247</v>
      </c>
      <c r="C5353" s="115" t="s">
        <v>1286</v>
      </c>
      <c r="D5353" s="100" t="str">
        <f t="shared" si="1"/>
        <v/>
      </c>
      <c r="E5353" s="100" t="str">
        <f t="shared" si="2"/>
        <v/>
      </c>
      <c r="F5353" s="100" t="str">
        <f t="shared" si="3"/>
        <v/>
      </c>
      <c r="G5353" s="151"/>
      <c r="H5353" s="156"/>
      <c r="I5353" s="157"/>
      <c r="J5353" s="161"/>
      <c r="L5353" s="94"/>
      <c r="M5353" s="159"/>
      <c r="N5353" s="94"/>
    </row>
    <row r="5354">
      <c r="A5354" s="21">
        <v>1629676.0</v>
      </c>
      <c r="B5354" s="164" t="s">
        <v>193</v>
      </c>
      <c r="C5354" s="164" t="s">
        <v>1287</v>
      </c>
      <c r="D5354" s="100" t="str">
        <f t="shared" si="1"/>
        <v/>
      </c>
      <c r="E5354" s="100" t="str">
        <f t="shared" si="2"/>
        <v/>
      </c>
      <c r="F5354" s="100" t="str">
        <f t="shared" si="3"/>
        <v/>
      </c>
      <c r="G5354" s="151"/>
      <c r="H5354" s="160"/>
      <c r="I5354" s="157"/>
      <c r="J5354" s="158"/>
      <c r="L5354" s="94"/>
      <c r="M5354" s="159"/>
      <c r="N5354" s="94"/>
    </row>
    <row r="5355">
      <c r="A5355" s="107">
        <v>1629676.0</v>
      </c>
      <c r="B5355" s="108" t="s">
        <v>243</v>
      </c>
      <c r="C5355" s="108" t="s">
        <v>1287</v>
      </c>
      <c r="D5355" s="100" t="str">
        <f t="shared" si="1"/>
        <v/>
      </c>
      <c r="E5355" s="100" t="str">
        <f t="shared" si="2"/>
        <v/>
      </c>
      <c r="F5355" s="100" t="str">
        <f t="shared" si="3"/>
        <v/>
      </c>
      <c r="G5355" s="151"/>
      <c r="H5355" s="156"/>
      <c r="I5355" s="157"/>
      <c r="J5355" s="161"/>
      <c r="L5355" s="94"/>
      <c r="M5355" s="159"/>
      <c r="N5355" s="94"/>
    </row>
    <row r="5356">
      <c r="A5356" s="107">
        <v>1629676.0</v>
      </c>
      <c r="B5356" s="108" t="s">
        <v>215</v>
      </c>
      <c r="C5356" s="108" t="s">
        <v>1287</v>
      </c>
      <c r="D5356" s="100" t="str">
        <f t="shared" si="1"/>
        <v/>
      </c>
      <c r="E5356" s="100" t="str">
        <f t="shared" si="2"/>
        <v/>
      </c>
      <c r="F5356" s="100" t="str">
        <f t="shared" si="3"/>
        <v/>
      </c>
      <c r="G5356" s="151"/>
      <c r="H5356" s="160"/>
      <c r="I5356" s="157"/>
      <c r="J5356" s="158"/>
      <c r="L5356" s="94"/>
      <c r="M5356" s="159"/>
      <c r="N5356" s="94"/>
    </row>
    <row r="5357">
      <c r="A5357" s="107">
        <v>1629676.0</v>
      </c>
      <c r="B5357" s="108" t="s">
        <v>244</v>
      </c>
      <c r="C5357" s="108" t="s">
        <v>1287</v>
      </c>
      <c r="D5357" s="100" t="str">
        <f t="shared" si="1"/>
        <v/>
      </c>
      <c r="E5357" s="100" t="str">
        <f t="shared" si="2"/>
        <v/>
      </c>
      <c r="F5357" s="100" t="str">
        <f t="shared" si="3"/>
        <v/>
      </c>
      <c r="G5357" s="151"/>
      <c r="H5357" s="156"/>
      <c r="I5357" s="157"/>
      <c r="J5357" s="161"/>
      <c r="L5357" s="94"/>
      <c r="M5357" s="159"/>
      <c r="N5357" s="94"/>
    </row>
    <row r="5358">
      <c r="A5358" s="107">
        <v>1629677.0</v>
      </c>
      <c r="B5358" s="108" t="s">
        <v>193</v>
      </c>
      <c r="C5358" s="108" t="s">
        <v>1288</v>
      </c>
      <c r="D5358" s="100" t="str">
        <f t="shared" si="1"/>
        <v/>
      </c>
      <c r="E5358" s="100" t="str">
        <f t="shared" si="2"/>
        <v/>
      </c>
      <c r="F5358" s="100" t="str">
        <f t="shared" si="3"/>
        <v/>
      </c>
      <c r="G5358" s="151"/>
      <c r="H5358" s="160"/>
      <c r="I5358" s="157"/>
      <c r="J5358" s="158"/>
      <c r="L5358" s="94"/>
      <c r="M5358" s="159"/>
      <c r="N5358" s="94"/>
    </row>
    <row r="5359">
      <c r="A5359" s="107">
        <v>1629677.0</v>
      </c>
      <c r="B5359" s="108" t="s">
        <v>243</v>
      </c>
      <c r="C5359" s="108" t="s">
        <v>1288</v>
      </c>
      <c r="D5359" s="100" t="str">
        <f t="shared" si="1"/>
        <v/>
      </c>
      <c r="E5359" s="100" t="str">
        <f t="shared" si="2"/>
        <v/>
      </c>
      <c r="F5359" s="100" t="str">
        <f t="shared" si="3"/>
        <v/>
      </c>
      <c r="G5359" s="151"/>
      <c r="H5359" s="156"/>
      <c r="I5359" s="157"/>
      <c r="J5359" s="161"/>
      <c r="L5359" s="94"/>
      <c r="M5359" s="159"/>
      <c r="N5359" s="94"/>
    </row>
    <row r="5360">
      <c r="A5360" s="107">
        <v>1629677.0</v>
      </c>
      <c r="B5360" s="108" t="s">
        <v>244</v>
      </c>
      <c r="C5360" s="108" t="s">
        <v>1288</v>
      </c>
      <c r="D5360" s="100" t="str">
        <f t="shared" si="1"/>
        <v/>
      </c>
      <c r="E5360" s="100" t="str">
        <f t="shared" si="2"/>
        <v/>
      </c>
      <c r="F5360" s="100" t="str">
        <f t="shared" si="3"/>
        <v/>
      </c>
      <c r="G5360" s="151"/>
      <c r="H5360" s="160"/>
      <c r="I5360" s="157"/>
      <c r="J5360" s="158"/>
      <c r="L5360" s="94"/>
      <c r="M5360" s="159"/>
      <c r="N5360" s="94"/>
    </row>
    <row r="5361">
      <c r="A5361" s="107">
        <v>1629677.0</v>
      </c>
      <c r="B5361" s="108" t="s">
        <v>245</v>
      </c>
      <c r="C5361" s="108" t="s">
        <v>1288</v>
      </c>
      <c r="D5361" s="100" t="str">
        <f t="shared" si="1"/>
        <v/>
      </c>
      <c r="E5361" s="100" t="str">
        <f t="shared" si="2"/>
        <v/>
      </c>
      <c r="F5361" s="100" t="str">
        <f t="shared" si="3"/>
        <v/>
      </c>
      <c r="G5361" s="151"/>
      <c r="H5361" s="156"/>
      <c r="I5361" s="157"/>
      <c r="J5361" s="161"/>
      <c r="L5361" s="94"/>
      <c r="M5361" s="159"/>
      <c r="N5361" s="94"/>
    </row>
    <row r="5362">
      <c r="A5362" s="107">
        <v>1629678.0</v>
      </c>
      <c r="B5362" s="108" t="s">
        <v>193</v>
      </c>
      <c r="C5362" s="108" t="s">
        <v>1289</v>
      </c>
      <c r="D5362" s="100" t="str">
        <f t="shared" si="1"/>
        <v/>
      </c>
      <c r="E5362" s="100" t="str">
        <f t="shared" si="2"/>
        <v/>
      </c>
      <c r="F5362" s="100" t="str">
        <f t="shared" si="3"/>
        <v/>
      </c>
      <c r="G5362" s="151"/>
      <c r="H5362" s="160"/>
      <c r="I5362" s="157"/>
      <c r="J5362" s="158"/>
      <c r="L5362" s="94"/>
      <c r="M5362" s="159"/>
      <c r="N5362" s="94"/>
    </row>
    <row r="5363">
      <c r="A5363" s="107">
        <v>1629678.0</v>
      </c>
      <c r="B5363" s="108" t="s">
        <v>215</v>
      </c>
      <c r="C5363" s="108" t="s">
        <v>1289</v>
      </c>
      <c r="D5363" s="100" t="str">
        <f t="shared" si="1"/>
        <v/>
      </c>
      <c r="E5363" s="100" t="str">
        <f t="shared" si="2"/>
        <v/>
      </c>
      <c r="F5363" s="100" t="str">
        <f t="shared" si="3"/>
        <v/>
      </c>
      <c r="G5363" s="151"/>
      <c r="H5363" s="156"/>
      <c r="I5363" s="157"/>
      <c r="J5363" s="161"/>
      <c r="L5363" s="94"/>
      <c r="M5363" s="159"/>
      <c r="N5363" s="94"/>
    </row>
    <row r="5364">
      <c r="A5364" s="107">
        <v>1629678.0</v>
      </c>
      <c r="B5364" s="108" t="s">
        <v>244</v>
      </c>
      <c r="C5364" s="108" t="s">
        <v>1289</v>
      </c>
      <c r="D5364" s="100" t="str">
        <f t="shared" si="1"/>
        <v/>
      </c>
      <c r="E5364" s="100" t="str">
        <f t="shared" si="2"/>
        <v/>
      </c>
      <c r="F5364" s="100" t="str">
        <f t="shared" si="3"/>
        <v/>
      </c>
      <c r="G5364" s="151"/>
      <c r="H5364" s="160"/>
      <c r="I5364" s="157"/>
      <c r="J5364" s="158"/>
      <c r="L5364" s="94"/>
      <c r="M5364" s="159"/>
      <c r="N5364" s="94"/>
    </row>
    <row r="5365">
      <c r="A5365" s="107">
        <v>1629678.0</v>
      </c>
      <c r="B5365" s="108" t="s">
        <v>245</v>
      </c>
      <c r="C5365" s="108" t="s">
        <v>1289</v>
      </c>
      <c r="D5365" s="100" t="str">
        <f t="shared" si="1"/>
        <v/>
      </c>
      <c r="E5365" s="100" t="str">
        <f t="shared" si="2"/>
        <v/>
      </c>
      <c r="F5365" s="100" t="str">
        <f t="shared" si="3"/>
        <v/>
      </c>
      <c r="G5365" s="151"/>
      <c r="H5365" s="156"/>
      <c r="I5365" s="157"/>
      <c r="J5365" s="161"/>
      <c r="L5365" s="94"/>
      <c r="M5365" s="159"/>
      <c r="N5365" s="94"/>
    </row>
    <row r="5366">
      <c r="A5366" s="107">
        <v>1629680.0</v>
      </c>
      <c r="B5366" s="108" t="s">
        <v>193</v>
      </c>
      <c r="C5366" s="108" t="s">
        <v>1290</v>
      </c>
      <c r="D5366" s="100" t="str">
        <f t="shared" si="1"/>
        <v/>
      </c>
      <c r="E5366" s="100" t="str">
        <f t="shared" si="2"/>
        <v/>
      </c>
      <c r="F5366" s="100" t="str">
        <f t="shared" si="3"/>
        <v/>
      </c>
      <c r="G5366" s="151"/>
      <c r="H5366" s="160"/>
      <c r="I5366" s="157"/>
      <c r="J5366" s="158"/>
      <c r="L5366" s="94"/>
      <c r="M5366" s="159"/>
      <c r="N5366" s="94"/>
    </row>
    <row r="5367">
      <c r="A5367" s="107">
        <v>1629680.0</v>
      </c>
      <c r="B5367" s="108" t="s">
        <v>243</v>
      </c>
      <c r="C5367" s="108" t="s">
        <v>1290</v>
      </c>
      <c r="D5367" s="100" t="str">
        <f t="shared" si="1"/>
        <v/>
      </c>
      <c r="E5367" s="100" t="str">
        <f t="shared" si="2"/>
        <v/>
      </c>
      <c r="F5367" s="100" t="str">
        <f t="shared" si="3"/>
        <v/>
      </c>
      <c r="G5367" s="151"/>
      <c r="H5367" s="156"/>
      <c r="I5367" s="157"/>
      <c r="J5367" s="161"/>
      <c r="L5367" s="94"/>
      <c r="M5367" s="159"/>
      <c r="N5367" s="94"/>
    </row>
    <row r="5368">
      <c r="A5368" s="107">
        <v>1629680.0</v>
      </c>
      <c r="B5368" s="108" t="s">
        <v>215</v>
      </c>
      <c r="C5368" s="108" t="s">
        <v>1290</v>
      </c>
      <c r="D5368" s="100" t="str">
        <f t="shared" si="1"/>
        <v/>
      </c>
      <c r="E5368" s="100" t="str">
        <f t="shared" si="2"/>
        <v/>
      </c>
      <c r="F5368" s="100" t="str">
        <f t="shared" si="3"/>
        <v/>
      </c>
      <c r="G5368" s="151"/>
      <c r="H5368" s="160"/>
      <c r="I5368" s="157"/>
      <c r="J5368" s="158"/>
      <c r="L5368" s="94"/>
      <c r="M5368" s="159"/>
      <c r="N5368" s="94"/>
    </row>
    <row r="5369">
      <c r="A5369" s="107">
        <v>1629680.0</v>
      </c>
      <c r="B5369" s="108" t="s">
        <v>244</v>
      </c>
      <c r="C5369" s="108" t="s">
        <v>1290</v>
      </c>
      <c r="D5369" s="100" t="str">
        <f t="shared" si="1"/>
        <v/>
      </c>
      <c r="E5369" s="100" t="str">
        <f t="shared" si="2"/>
        <v/>
      </c>
      <c r="F5369" s="100" t="str">
        <f t="shared" si="3"/>
        <v/>
      </c>
      <c r="G5369" s="151"/>
      <c r="H5369" s="156"/>
      <c r="I5369" s="157"/>
      <c r="J5369" s="161"/>
      <c r="L5369" s="94"/>
      <c r="M5369" s="159"/>
      <c r="N5369" s="94"/>
    </row>
    <row r="5370">
      <c r="A5370" s="107">
        <v>1629680.0</v>
      </c>
      <c r="B5370" s="108" t="s">
        <v>245</v>
      </c>
      <c r="C5370" s="108" t="s">
        <v>1290</v>
      </c>
      <c r="D5370" s="100" t="str">
        <f t="shared" si="1"/>
        <v/>
      </c>
      <c r="E5370" s="100" t="str">
        <f t="shared" si="2"/>
        <v/>
      </c>
      <c r="F5370" s="100" t="str">
        <f t="shared" si="3"/>
        <v/>
      </c>
      <c r="G5370" s="151"/>
      <c r="H5370" s="160"/>
      <c r="I5370" s="157"/>
      <c r="J5370" s="158"/>
      <c r="L5370" s="94"/>
      <c r="M5370" s="159"/>
      <c r="N5370" s="94"/>
    </row>
    <row r="5371">
      <c r="A5371" s="107">
        <v>1629680.0</v>
      </c>
      <c r="B5371" s="108" t="s">
        <v>246</v>
      </c>
      <c r="C5371" s="108" t="s">
        <v>1290</v>
      </c>
      <c r="D5371" s="100" t="str">
        <f t="shared" si="1"/>
        <v/>
      </c>
      <c r="E5371" s="100" t="str">
        <f t="shared" si="2"/>
        <v/>
      </c>
      <c r="F5371" s="100" t="str">
        <f t="shared" si="3"/>
        <v/>
      </c>
      <c r="G5371" s="151"/>
      <c r="H5371" s="156"/>
      <c r="I5371" s="157"/>
      <c r="J5371" s="161"/>
      <c r="L5371" s="94"/>
      <c r="M5371" s="159"/>
      <c r="N5371" s="94"/>
    </row>
    <row r="5372">
      <c r="A5372" s="149">
        <v>1629680.0</v>
      </c>
      <c r="B5372" s="115" t="s">
        <v>247</v>
      </c>
      <c r="C5372" s="115" t="s">
        <v>1290</v>
      </c>
      <c r="D5372" s="100" t="str">
        <f t="shared" si="1"/>
        <v/>
      </c>
      <c r="E5372" s="100" t="str">
        <f t="shared" si="2"/>
        <v/>
      </c>
      <c r="F5372" s="100" t="str">
        <f t="shared" si="3"/>
        <v/>
      </c>
      <c r="G5372" s="151"/>
      <c r="H5372" s="160"/>
      <c r="I5372" s="157"/>
      <c r="J5372" s="158"/>
      <c r="L5372" s="94"/>
      <c r="M5372" s="159"/>
      <c r="N5372" s="94"/>
    </row>
    <row r="5373">
      <c r="A5373" s="21">
        <v>1629681.0</v>
      </c>
      <c r="B5373" s="164" t="s">
        <v>243</v>
      </c>
      <c r="C5373" s="164" t="s">
        <v>1291</v>
      </c>
      <c r="D5373" s="100" t="str">
        <f t="shared" si="1"/>
        <v/>
      </c>
      <c r="E5373" s="100" t="str">
        <f t="shared" si="2"/>
        <v/>
      </c>
      <c r="F5373" s="100" t="str">
        <f t="shared" si="3"/>
        <v/>
      </c>
      <c r="G5373" s="151"/>
      <c r="H5373" s="156"/>
      <c r="I5373" s="157"/>
      <c r="J5373" s="161"/>
      <c r="L5373" s="94"/>
      <c r="M5373" s="159"/>
      <c r="N5373" s="94"/>
    </row>
    <row r="5374">
      <c r="A5374" s="107">
        <v>1629681.0</v>
      </c>
      <c r="B5374" s="108" t="s">
        <v>215</v>
      </c>
      <c r="C5374" s="108" t="s">
        <v>1291</v>
      </c>
      <c r="D5374" s="100" t="str">
        <f t="shared" si="1"/>
        <v/>
      </c>
      <c r="E5374" s="100" t="str">
        <f t="shared" si="2"/>
        <v/>
      </c>
      <c r="F5374" s="100" t="str">
        <f t="shared" si="3"/>
        <v/>
      </c>
      <c r="G5374" s="151"/>
      <c r="H5374" s="160"/>
      <c r="I5374" s="157"/>
      <c r="J5374" s="158"/>
      <c r="L5374" s="94"/>
      <c r="M5374" s="159"/>
      <c r="N5374" s="94"/>
    </row>
    <row r="5375">
      <c r="A5375" s="107">
        <v>1629682.0</v>
      </c>
      <c r="B5375" s="108" t="s">
        <v>193</v>
      </c>
      <c r="C5375" s="108" t="s">
        <v>1292</v>
      </c>
      <c r="D5375" s="100" t="str">
        <f t="shared" si="1"/>
        <v/>
      </c>
      <c r="E5375" s="100" t="str">
        <f t="shared" si="2"/>
        <v/>
      </c>
      <c r="F5375" s="100" t="str">
        <f t="shared" si="3"/>
        <v/>
      </c>
      <c r="G5375" s="151"/>
      <c r="H5375" s="156"/>
      <c r="I5375" s="157"/>
      <c r="J5375" s="161"/>
      <c r="L5375" s="94"/>
      <c r="M5375" s="159"/>
      <c r="N5375" s="94"/>
    </row>
    <row r="5376">
      <c r="A5376" s="107">
        <v>1629682.0</v>
      </c>
      <c r="B5376" s="108" t="s">
        <v>243</v>
      </c>
      <c r="C5376" s="108" t="s">
        <v>1292</v>
      </c>
      <c r="D5376" s="100" t="str">
        <f t="shared" si="1"/>
        <v/>
      </c>
      <c r="E5376" s="100" t="str">
        <f t="shared" si="2"/>
        <v/>
      </c>
      <c r="F5376" s="100" t="str">
        <f t="shared" si="3"/>
        <v/>
      </c>
      <c r="G5376" s="151"/>
      <c r="H5376" s="160"/>
      <c r="I5376" s="157"/>
      <c r="J5376" s="158"/>
      <c r="L5376" s="94"/>
      <c r="M5376" s="159"/>
      <c r="N5376" s="94"/>
    </row>
    <row r="5377">
      <c r="A5377" s="107">
        <v>1629682.0</v>
      </c>
      <c r="B5377" s="108" t="s">
        <v>215</v>
      </c>
      <c r="C5377" s="108" t="s">
        <v>1292</v>
      </c>
      <c r="D5377" s="100" t="str">
        <f t="shared" si="1"/>
        <v/>
      </c>
      <c r="E5377" s="100" t="str">
        <f t="shared" si="2"/>
        <v/>
      </c>
      <c r="F5377" s="100" t="str">
        <f t="shared" si="3"/>
        <v/>
      </c>
      <c r="G5377" s="151"/>
      <c r="H5377" s="156"/>
      <c r="I5377" s="157"/>
      <c r="J5377" s="161"/>
      <c r="L5377" s="94"/>
      <c r="M5377" s="159"/>
      <c r="N5377" s="94"/>
    </row>
    <row r="5378">
      <c r="A5378" s="107">
        <v>1629683.0</v>
      </c>
      <c r="B5378" s="108" t="s">
        <v>193</v>
      </c>
      <c r="C5378" s="108" t="s">
        <v>1293</v>
      </c>
      <c r="D5378" s="100" t="str">
        <f t="shared" si="1"/>
        <v/>
      </c>
      <c r="E5378" s="100" t="str">
        <f t="shared" si="2"/>
        <v/>
      </c>
      <c r="F5378" s="100" t="str">
        <f t="shared" si="3"/>
        <v/>
      </c>
      <c r="G5378" s="151"/>
      <c r="H5378" s="160"/>
      <c r="I5378" s="157"/>
      <c r="J5378" s="158"/>
      <c r="L5378" s="94"/>
      <c r="M5378" s="159"/>
      <c r="N5378" s="94"/>
    </row>
    <row r="5379">
      <c r="A5379" s="107">
        <v>1629683.0</v>
      </c>
      <c r="B5379" s="108" t="s">
        <v>243</v>
      </c>
      <c r="C5379" s="108" t="s">
        <v>1293</v>
      </c>
      <c r="D5379" s="100" t="str">
        <f t="shared" si="1"/>
        <v/>
      </c>
      <c r="E5379" s="100" t="str">
        <f t="shared" si="2"/>
        <v/>
      </c>
      <c r="F5379" s="100" t="str">
        <f t="shared" si="3"/>
        <v/>
      </c>
      <c r="G5379" s="151"/>
      <c r="H5379" s="156"/>
      <c r="I5379" s="157"/>
      <c r="J5379" s="161"/>
      <c r="L5379" s="94"/>
      <c r="M5379" s="159"/>
      <c r="N5379" s="94"/>
    </row>
    <row r="5380">
      <c r="A5380" s="107">
        <v>1629683.0</v>
      </c>
      <c r="B5380" s="108" t="s">
        <v>215</v>
      </c>
      <c r="C5380" s="108" t="s">
        <v>1293</v>
      </c>
      <c r="D5380" s="100" t="str">
        <f t="shared" si="1"/>
        <v/>
      </c>
      <c r="E5380" s="100" t="str">
        <f t="shared" si="2"/>
        <v/>
      </c>
      <c r="F5380" s="100" t="str">
        <f t="shared" si="3"/>
        <v/>
      </c>
      <c r="G5380" s="151"/>
      <c r="H5380" s="160"/>
      <c r="I5380" s="157"/>
      <c r="J5380" s="158"/>
      <c r="L5380" s="94"/>
      <c r="M5380" s="159"/>
      <c r="N5380" s="94"/>
    </row>
    <row r="5381">
      <c r="A5381" s="107">
        <v>1629684.0</v>
      </c>
      <c r="B5381" s="108" t="s">
        <v>193</v>
      </c>
      <c r="C5381" s="108" t="s">
        <v>1294</v>
      </c>
      <c r="D5381" s="100" t="str">
        <f t="shared" si="1"/>
        <v/>
      </c>
      <c r="E5381" s="100" t="str">
        <f t="shared" si="2"/>
        <v/>
      </c>
      <c r="F5381" s="100" t="str">
        <f t="shared" si="3"/>
        <v/>
      </c>
      <c r="G5381" s="151"/>
      <c r="H5381" s="156"/>
      <c r="I5381" s="157"/>
      <c r="J5381" s="161"/>
      <c r="L5381" s="94"/>
      <c r="M5381" s="159"/>
      <c r="N5381" s="94"/>
    </row>
    <row r="5382">
      <c r="A5382" s="107">
        <v>1629684.0</v>
      </c>
      <c r="B5382" s="108" t="s">
        <v>243</v>
      </c>
      <c r="C5382" s="108" t="s">
        <v>1294</v>
      </c>
      <c r="D5382" s="100" t="str">
        <f t="shared" si="1"/>
        <v/>
      </c>
      <c r="E5382" s="100" t="str">
        <f t="shared" si="2"/>
        <v/>
      </c>
      <c r="F5382" s="100" t="str">
        <f t="shared" si="3"/>
        <v/>
      </c>
      <c r="G5382" s="151"/>
      <c r="H5382" s="160"/>
      <c r="I5382" s="157"/>
      <c r="J5382" s="158"/>
      <c r="L5382" s="94"/>
      <c r="M5382" s="159"/>
      <c r="N5382" s="94"/>
    </row>
    <row r="5383">
      <c r="A5383" s="107">
        <v>1629684.0</v>
      </c>
      <c r="B5383" s="108" t="s">
        <v>215</v>
      </c>
      <c r="C5383" s="108" t="s">
        <v>1294</v>
      </c>
      <c r="D5383" s="100" t="str">
        <f t="shared" si="1"/>
        <v/>
      </c>
      <c r="E5383" s="100" t="str">
        <f t="shared" si="2"/>
        <v/>
      </c>
      <c r="F5383" s="100" t="str">
        <f t="shared" si="3"/>
        <v/>
      </c>
      <c r="G5383" s="151"/>
      <c r="H5383" s="156"/>
      <c r="I5383" s="157"/>
      <c r="J5383" s="161"/>
      <c r="L5383" s="94"/>
      <c r="M5383" s="159"/>
      <c r="N5383" s="94"/>
    </row>
    <row r="5384">
      <c r="A5384" s="107">
        <v>1629684.0</v>
      </c>
      <c r="B5384" s="108" t="s">
        <v>244</v>
      </c>
      <c r="C5384" s="108" t="s">
        <v>1294</v>
      </c>
      <c r="D5384" s="100" t="str">
        <f t="shared" si="1"/>
        <v/>
      </c>
      <c r="E5384" s="100" t="str">
        <f t="shared" si="2"/>
        <v/>
      </c>
      <c r="F5384" s="100" t="str">
        <f t="shared" si="3"/>
        <v/>
      </c>
      <c r="G5384" s="151"/>
      <c r="H5384" s="160"/>
      <c r="I5384" s="157"/>
      <c r="J5384" s="158"/>
      <c r="L5384" s="94"/>
      <c r="M5384" s="159"/>
      <c r="N5384" s="94"/>
    </row>
    <row r="5385">
      <c r="A5385" s="107">
        <v>1629684.0</v>
      </c>
      <c r="B5385" s="108" t="s">
        <v>245</v>
      </c>
      <c r="C5385" s="108" t="s">
        <v>1294</v>
      </c>
      <c r="D5385" s="100" t="str">
        <f t="shared" si="1"/>
        <v/>
      </c>
      <c r="E5385" s="100" t="str">
        <f t="shared" si="2"/>
        <v/>
      </c>
      <c r="F5385" s="100" t="str">
        <f t="shared" si="3"/>
        <v/>
      </c>
      <c r="G5385" s="151"/>
      <c r="H5385" s="156"/>
      <c r="I5385" s="157"/>
      <c r="J5385" s="161"/>
      <c r="L5385" s="94"/>
      <c r="M5385" s="159"/>
      <c r="N5385" s="94"/>
    </row>
    <row r="5386">
      <c r="A5386" s="107">
        <v>1629684.0</v>
      </c>
      <c r="B5386" s="108" t="s">
        <v>246</v>
      </c>
      <c r="C5386" s="108" t="s">
        <v>1294</v>
      </c>
      <c r="D5386" s="100" t="str">
        <f t="shared" si="1"/>
        <v/>
      </c>
      <c r="E5386" s="100" t="str">
        <f t="shared" si="2"/>
        <v/>
      </c>
      <c r="F5386" s="100" t="str">
        <f t="shared" si="3"/>
        <v/>
      </c>
      <c r="G5386" s="151"/>
      <c r="H5386" s="160"/>
      <c r="I5386" s="157"/>
      <c r="J5386" s="158"/>
      <c r="L5386" s="94"/>
      <c r="M5386" s="159"/>
      <c r="N5386" s="94"/>
    </row>
    <row r="5387">
      <c r="A5387" s="149">
        <v>1629684.0</v>
      </c>
      <c r="B5387" s="115" t="s">
        <v>247</v>
      </c>
      <c r="C5387" s="115" t="s">
        <v>1294</v>
      </c>
      <c r="D5387" s="100" t="str">
        <f t="shared" si="1"/>
        <v/>
      </c>
      <c r="E5387" s="100" t="str">
        <f t="shared" si="2"/>
        <v/>
      </c>
      <c r="F5387" s="100" t="str">
        <f t="shared" si="3"/>
        <v/>
      </c>
      <c r="G5387" s="151"/>
      <c r="H5387" s="156"/>
      <c r="I5387" s="157"/>
      <c r="J5387" s="161"/>
      <c r="L5387" s="94"/>
      <c r="M5387" s="159"/>
      <c r="N5387" s="94"/>
    </row>
    <row r="5388">
      <c r="A5388" s="21">
        <v>1629685.0</v>
      </c>
      <c r="B5388" s="164" t="s">
        <v>243</v>
      </c>
      <c r="C5388" s="164" t="s">
        <v>1295</v>
      </c>
      <c r="D5388" s="100" t="str">
        <f t="shared" si="1"/>
        <v/>
      </c>
      <c r="E5388" s="100" t="str">
        <f t="shared" si="2"/>
        <v/>
      </c>
      <c r="F5388" s="100" t="str">
        <f t="shared" si="3"/>
        <v/>
      </c>
      <c r="G5388" s="151"/>
      <c r="H5388" s="160"/>
      <c r="I5388" s="157"/>
      <c r="J5388" s="158"/>
      <c r="L5388" s="94"/>
      <c r="M5388" s="159"/>
      <c r="N5388" s="94"/>
    </row>
    <row r="5389">
      <c r="A5389" s="107">
        <v>1629685.0</v>
      </c>
      <c r="B5389" s="108" t="s">
        <v>215</v>
      </c>
      <c r="C5389" s="108" t="s">
        <v>1295</v>
      </c>
      <c r="D5389" s="100" t="str">
        <f t="shared" si="1"/>
        <v/>
      </c>
      <c r="E5389" s="100" t="str">
        <f t="shared" si="2"/>
        <v/>
      </c>
      <c r="F5389" s="100" t="str">
        <f t="shared" si="3"/>
        <v/>
      </c>
      <c r="G5389" s="151"/>
      <c r="H5389" s="156"/>
      <c r="I5389" s="157"/>
      <c r="J5389" s="161"/>
      <c r="L5389" s="94"/>
      <c r="M5389" s="159"/>
      <c r="N5389" s="94"/>
    </row>
    <row r="5390">
      <c r="A5390" s="107">
        <v>1629685.0</v>
      </c>
      <c r="B5390" s="108" t="s">
        <v>244</v>
      </c>
      <c r="C5390" s="108" t="s">
        <v>1295</v>
      </c>
      <c r="D5390" s="100" t="str">
        <f t="shared" si="1"/>
        <v/>
      </c>
      <c r="E5390" s="100" t="str">
        <f t="shared" si="2"/>
        <v/>
      </c>
      <c r="F5390" s="100" t="str">
        <f t="shared" si="3"/>
        <v/>
      </c>
      <c r="G5390" s="151"/>
      <c r="H5390" s="160"/>
      <c r="I5390" s="157"/>
      <c r="J5390" s="158"/>
      <c r="L5390" s="94"/>
      <c r="M5390" s="159"/>
      <c r="N5390" s="94"/>
    </row>
    <row r="5391">
      <c r="A5391" s="107">
        <v>1629685.0</v>
      </c>
      <c r="B5391" s="108" t="s">
        <v>245</v>
      </c>
      <c r="C5391" s="108" t="s">
        <v>1295</v>
      </c>
      <c r="D5391" s="100" t="str">
        <f t="shared" si="1"/>
        <v/>
      </c>
      <c r="E5391" s="100" t="str">
        <f t="shared" si="2"/>
        <v/>
      </c>
      <c r="F5391" s="100" t="str">
        <f t="shared" si="3"/>
        <v/>
      </c>
      <c r="G5391" s="151"/>
      <c r="H5391" s="156"/>
      <c r="I5391" s="157"/>
      <c r="J5391" s="161"/>
      <c r="L5391" s="94"/>
      <c r="M5391" s="159"/>
      <c r="N5391" s="94"/>
    </row>
    <row r="5392">
      <c r="A5392" s="107">
        <v>1629686.0</v>
      </c>
      <c r="B5392" s="108" t="s">
        <v>243</v>
      </c>
      <c r="C5392" s="108" t="s">
        <v>1296</v>
      </c>
      <c r="D5392" s="100" t="str">
        <f t="shared" si="1"/>
        <v/>
      </c>
      <c r="E5392" s="100" t="str">
        <f t="shared" si="2"/>
        <v/>
      </c>
      <c r="F5392" s="100" t="str">
        <f t="shared" si="3"/>
        <v/>
      </c>
      <c r="G5392" s="151"/>
      <c r="H5392" s="160"/>
      <c r="I5392" s="157"/>
      <c r="J5392" s="158"/>
      <c r="L5392" s="94"/>
      <c r="M5392" s="159"/>
      <c r="N5392" s="94"/>
    </row>
    <row r="5393">
      <c r="A5393" s="107">
        <v>1629686.0</v>
      </c>
      <c r="B5393" s="108" t="s">
        <v>215</v>
      </c>
      <c r="C5393" s="108" t="s">
        <v>1296</v>
      </c>
      <c r="D5393" s="100" t="str">
        <f t="shared" si="1"/>
        <v/>
      </c>
      <c r="E5393" s="100" t="str">
        <f t="shared" si="2"/>
        <v/>
      </c>
      <c r="F5393" s="100" t="str">
        <f t="shared" si="3"/>
        <v/>
      </c>
      <c r="G5393" s="151"/>
      <c r="H5393" s="156"/>
      <c r="I5393" s="157"/>
      <c r="J5393" s="161"/>
      <c r="L5393" s="94"/>
      <c r="M5393" s="159"/>
      <c r="N5393" s="94"/>
    </row>
    <row r="5394">
      <c r="A5394" s="107">
        <v>1629690.0</v>
      </c>
      <c r="B5394" s="108" t="s">
        <v>193</v>
      </c>
      <c r="C5394" s="108" t="s">
        <v>1297</v>
      </c>
      <c r="D5394" s="100" t="str">
        <f t="shared" si="1"/>
        <v/>
      </c>
      <c r="E5394" s="100" t="str">
        <f t="shared" si="2"/>
        <v/>
      </c>
      <c r="F5394" s="100" t="str">
        <f t="shared" si="3"/>
        <v/>
      </c>
      <c r="G5394" s="151"/>
      <c r="H5394" s="160"/>
      <c r="I5394" s="157"/>
      <c r="J5394" s="158"/>
      <c r="L5394" s="94"/>
      <c r="M5394" s="159"/>
      <c r="N5394" s="94"/>
    </row>
    <row r="5395">
      <c r="A5395" s="107">
        <v>1629690.0</v>
      </c>
      <c r="B5395" s="108" t="s">
        <v>243</v>
      </c>
      <c r="C5395" s="108" t="s">
        <v>1297</v>
      </c>
      <c r="D5395" s="100" t="str">
        <f t="shared" si="1"/>
        <v/>
      </c>
      <c r="E5395" s="100" t="str">
        <f t="shared" si="2"/>
        <v/>
      </c>
      <c r="F5395" s="100" t="str">
        <f t="shared" si="3"/>
        <v/>
      </c>
      <c r="G5395" s="151"/>
      <c r="H5395" s="156"/>
      <c r="I5395" s="157"/>
      <c r="J5395" s="161"/>
      <c r="L5395" s="94"/>
      <c r="M5395" s="159"/>
      <c r="N5395" s="94"/>
    </row>
    <row r="5396">
      <c r="A5396" s="107">
        <v>1629712.0</v>
      </c>
      <c r="B5396" s="108" t="s">
        <v>243</v>
      </c>
      <c r="C5396" s="108" t="s">
        <v>1298</v>
      </c>
      <c r="D5396" s="100" t="str">
        <f t="shared" si="1"/>
        <v/>
      </c>
      <c r="E5396" s="100" t="str">
        <f t="shared" si="2"/>
        <v/>
      </c>
      <c r="F5396" s="100" t="str">
        <f t="shared" si="3"/>
        <v/>
      </c>
      <c r="G5396" s="151"/>
      <c r="H5396" s="160"/>
      <c r="I5396" s="157"/>
      <c r="J5396" s="158"/>
      <c r="L5396" s="94"/>
      <c r="M5396" s="159"/>
      <c r="N5396" s="94"/>
    </row>
    <row r="5397">
      <c r="A5397" s="107">
        <v>1629712.0</v>
      </c>
      <c r="B5397" s="108" t="s">
        <v>215</v>
      </c>
      <c r="C5397" s="108" t="s">
        <v>1298</v>
      </c>
      <c r="D5397" s="100" t="str">
        <f t="shared" si="1"/>
        <v/>
      </c>
      <c r="E5397" s="100" t="str">
        <f t="shared" si="2"/>
        <v/>
      </c>
      <c r="F5397" s="100" t="str">
        <f t="shared" si="3"/>
        <v/>
      </c>
      <c r="G5397" s="151"/>
      <c r="H5397" s="156"/>
      <c r="I5397" s="157"/>
      <c r="J5397" s="161"/>
      <c r="L5397" s="94"/>
      <c r="M5397" s="159"/>
      <c r="N5397" s="94"/>
    </row>
    <row r="5398">
      <c r="A5398" s="107">
        <v>1629713.0</v>
      </c>
      <c r="B5398" s="108" t="s">
        <v>193</v>
      </c>
      <c r="C5398" s="108" t="s">
        <v>1299</v>
      </c>
      <c r="D5398" s="100" t="str">
        <f t="shared" si="1"/>
        <v/>
      </c>
      <c r="E5398" s="100" t="str">
        <f t="shared" si="2"/>
        <v/>
      </c>
      <c r="F5398" s="100" t="str">
        <f t="shared" si="3"/>
        <v/>
      </c>
      <c r="G5398" s="151"/>
      <c r="H5398" s="160"/>
      <c r="I5398" s="157"/>
      <c r="J5398" s="158"/>
      <c r="L5398" s="94"/>
      <c r="M5398" s="159"/>
      <c r="N5398" s="94"/>
    </row>
    <row r="5399">
      <c r="A5399" s="107">
        <v>1629713.0</v>
      </c>
      <c r="B5399" s="108" t="s">
        <v>243</v>
      </c>
      <c r="C5399" s="116" t="s">
        <v>1299</v>
      </c>
      <c r="D5399" s="100" t="str">
        <f t="shared" si="1"/>
        <v/>
      </c>
      <c r="E5399" s="100" t="str">
        <f t="shared" si="2"/>
        <v/>
      </c>
      <c r="F5399" s="100" t="str">
        <f t="shared" si="3"/>
        <v/>
      </c>
      <c r="G5399" s="151"/>
      <c r="H5399" s="156"/>
      <c r="I5399" s="157"/>
      <c r="J5399" s="161"/>
      <c r="L5399" s="94"/>
      <c r="M5399" s="159"/>
      <c r="N5399" s="94"/>
    </row>
    <row r="5400">
      <c r="A5400" s="107">
        <v>1629714.0</v>
      </c>
      <c r="B5400" s="108" t="s">
        <v>193</v>
      </c>
      <c r="C5400" s="108" t="s">
        <v>1300</v>
      </c>
      <c r="D5400" s="100" t="str">
        <f t="shared" si="1"/>
        <v/>
      </c>
      <c r="E5400" s="100" t="str">
        <f t="shared" si="2"/>
        <v/>
      </c>
      <c r="F5400" s="100" t="str">
        <f t="shared" si="3"/>
        <v/>
      </c>
      <c r="G5400" s="151"/>
      <c r="H5400" s="160"/>
      <c r="I5400" s="157"/>
      <c r="J5400" s="158"/>
      <c r="L5400" s="94"/>
      <c r="M5400" s="159"/>
      <c r="N5400" s="94"/>
    </row>
    <row r="5401">
      <c r="A5401" s="107">
        <v>1629714.0</v>
      </c>
      <c r="B5401" s="108" t="s">
        <v>243</v>
      </c>
      <c r="C5401" s="108" t="s">
        <v>1300</v>
      </c>
      <c r="D5401" s="100" t="str">
        <f t="shared" si="1"/>
        <v/>
      </c>
      <c r="E5401" s="100" t="str">
        <f t="shared" si="2"/>
        <v/>
      </c>
      <c r="F5401" s="100" t="str">
        <f t="shared" si="3"/>
        <v/>
      </c>
      <c r="G5401" s="151"/>
      <c r="H5401" s="156"/>
      <c r="I5401" s="157"/>
      <c r="J5401" s="161"/>
      <c r="L5401" s="94"/>
      <c r="M5401" s="159"/>
      <c r="N5401" s="94"/>
    </row>
    <row r="5402">
      <c r="A5402" s="107">
        <v>1629714.0</v>
      </c>
      <c r="B5402" s="108" t="s">
        <v>244</v>
      </c>
      <c r="C5402" s="108" t="s">
        <v>1300</v>
      </c>
      <c r="D5402" s="100" t="str">
        <f t="shared" si="1"/>
        <v/>
      </c>
      <c r="E5402" s="100" t="str">
        <f t="shared" si="2"/>
        <v/>
      </c>
      <c r="F5402" s="100" t="str">
        <f t="shared" si="3"/>
        <v/>
      </c>
      <c r="G5402" s="151"/>
      <c r="H5402" s="160"/>
      <c r="I5402" s="157"/>
      <c r="J5402" s="158"/>
      <c r="L5402" s="94"/>
      <c r="M5402" s="159"/>
      <c r="N5402" s="94"/>
    </row>
    <row r="5403">
      <c r="A5403" s="107">
        <v>1629716.0</v>
      </c>
      <c r="B5403" s="108" t="s">
        <v>193</v>
      </c>
      <c r="C5403" s="108" t="s">
        <v>1301</v>
      </c>
      <c r="D5403" s="100" t="str">
        <f t="shared" si="1"/>
        <v/>
      </c>
      <c r="E5403" s="100" t="str">
        <f t="shared" si="2"/>
        <v/>
      </c>
      <c r="F5403" s="100" t="str">
        <f t="shared" si="3"/>
        <v/>
      </c>
      <c r="G5403" s="151"/>
      <c r="H5403" s="156"/>
      <c r="I5403" s="157"/>
      <c r="J5403" s="161"/>
      <c r="L5403" s="94"/>
      <c r="M5403" s="159"/>
      <c r="N5403" s="94"/>
    </row>
    <row r="5404">
      <c r="A5404" s="107">
        <v>1629716.0</v>
      </c>
      <c r="B5404" s="108" t="s">
        <v>243</v>
      </c>
      <c r="C5404" s="108" t="s">
        <v>1301</v>
      </c>
      <c r="D5404" s="100" t="str">
        <f t="shared" si="1"/>
        <v/>
      </c>
      <c r="E5404" s="100" t="str">
        <f t="shared" si="2"/>
        <v/>
      </c>
      <c r="F5404" s="100" t="str">
        <f t="shared" si="3"/>
        <v/>
      </c>
      <c r="G5404" s="151"/>
      <c r="H5404" s="160"/>
      <c r="I5404" s="157"/>
      <c r="J5404" s="158"/>
      <c r="L5404" s="94"/>
      <c r="M5404" s="159"/>
      <c r="N5404" s="94"/>
    </row>
    <row r="5405">
      <c r="A5405" s="107">
        <v>1629716.0</v>
      </c>
      <c r="B5405" s="108" t="s">
        <v>245</v>
      </c>
      <c r="C5405" s="108" t="s">
        <v>1301</v>
      </c>
      <c r="D5405" s="100" t="str">
        <f t="shared" si="1"/>
        <v/>
      </c>
      <c r="E5405" s="100" t="str">
        <f t="shared" si="2"/>
        <v/>
      </c>
      <c r="F5405" s="100" t="str">
        <f t="shared" si="3"/>
        <v/>
      </c>
      <c r="G5405" s="151"/>
      <c r="H5405" s="156"/>
      <c r="I5405" s="157"/>
      <c r="J5405" s="161"/>
      <c r="L5405" s="94"/>
      <c r="M5405" s="159"/>
      <c r="N5405" s="94"/>
    </row>
    <row r="5406">
      <c r="A5406" s="107">
        <v>1629717.0</v>
      </c>
      <c r="B5406" s="108" t="s">
        <v>243</v>
      </c>
      <c r="C5406" s="108" t="s">
        <v>1302</v>
      </c>
      <c r="D5406" s="100" t="str">
        <f t="shared" si="1"/>
        <v/>
      </c>
      <c r="E5406" s="100" t="str">
        <f t="shared" si="2"/>
        <v/>
      </c>
      <c r="F5406" s="100" t="str">
        <f t="shared" si="3"/>
        <v/>
      </c>
      <c r="G5406" s="151"/>
      <c r="H5406" s="160"/>
      <c r="I5406" s="157"/>
      <c r="J5406" s="158"/>
      <c r="L5406" s="94"/>
      <c r="M5406" s="159"/>
      <c r="N5406" s="94"/>
    </row>
    <row r="5407">
      <c r="A5407" s="107">
        <v>1629717.0</v>
      </c>
      <c r="B5407" s="108" t="s">
        <v>215</v>
      </c>
      <c r="C5407" s="108" t="s">
        <v>1302</v>
      </c>
      <c r="D5407" s="100" t="str">
        <f t="shared" si="1"/>
        <v/>
      </c>
      <c r="E5407" s="100" t="str">
        <f t="shared" si="2"/>
        <v/>
      </c>
      <c r="F5407" s="100" t="str">
        <f t="shared" si="3"/>
        <v/>
      </c>
      <c r="G5407" s="151"/>
      <c r="H5407" s="156"/>
      <c r="I5407" s="157"/>
      <c r="J5407" s="161"/>
      <c r="L5407" s="94"/>
      <c r="M5407" s="159"/>
      <c r="N5407" s="94"/>
    </row>
    <row r="5408">
      <c r="A5408" s="107">
        <v>1629717.0</v>
      </c>
      <c r="B5408" s="108" t="s">
        <v>245</v>
      </c>
      <c r="C5408" s="108" t="s">
        <v>1302</v>
      </c>
      <c r="D5408" s="100" t="str">
        <f t="shared" si="1"/>
        <v/>
      </c>
      <c r="E5408" s="100" t="str">
        <f t="shared" si="2"/>
        <v/>
      </c>
      <c r="F5408" s="100" t="str">
        <f t="shared" si="3"/>
        <v/>
      </c>
      <c r="G5408" s="151"/>
      <c r="H5408" s="160"/>
      <c r="I5408" s="157"/>
      <c r="J5408" s="158"/>
      <c r="L5408" s="94"/>
      <c r="M5408" s="159"/>
      <c r="N5408" s="94"/>
    </row>
    <row r="5409">
      <c r="A5409" s="107">
        <v>1629718.0</v>
      </c>
      <c r="B5409" s="108" t="s">
        <v>193</v>
      </c>
      <c r="C5409" s="108" t="s">
        <v>1303</v>
      </c>
      <c r="D5409" s="100" t="str">
        <f t="shared" si="1"/>
        <v/>
      </c>
      <c r="E5409" s="100" t="str">
        <f t="shared" si="2"/>
        <v/>
      </c>
      <c r="F5409" s="100" t="str">
        <f t="shared" si="3"/>
        <v/>
      </c>
      <c r="G5409" s="151"/>
      <c r="H5409" s="156"/>
      <c r="I5409" s="157"/>
      <c r="J5409" s="161"/>
      <c r="L5409" s="94"/>
      <c r="M5409" s="159"/>
      <c r="N5409" s="94"/>
    </row>
    <row r="5410">
      <c r="A5410" s="107">
        <v>1629718.0</v>
      </c>
      <c r="B5410" s="108" t="s">
        <v>243</v>
      </c>
      <c r="C5410" s="108" t="s">
        <v>1303</v>
      </c>
      <c r="D5410" s="100" t="str">
        <f t="shared" si="1"/>
        <v/>
      </c>
      <c r="E5410" s="100" t="str">
        <f t="shared" si="2"/>
        <v/>
      </c>
      <c r="F5410" s="100" t="str">
        <f t="shared" si="3"/>
        <v/>
      </c>
      <c r="G5410" s="151"/>
      <c r="H5410" s="160"/>
      <c r="I5410" s="157"/>
      <c r="J5410" s="158"/>
      <c r="L5410" s="94"/>
      <c r="M5410" s="159"/>
      <c r="N5410" s="94"/>
    </row>
    <row r="5411">
      <c r="A5411" s="107">
        <v>1629718.0</v>
      </c>
      <c r="B5411" s="108" t="s">
        <v>215</v>
      </c>
      <c r="C5411" s="108" t="s">
        <v>1303</v>
      </c>
      <c r="D5411" s="100" t="str">
        <f t="shared" si="1"/>
        <v/>
      </c>
      <c r="E5411" s="100" t="str">
        <f t="shared" si="2"/>
        <v/>
      </c>
      <c r="F5411" s="100" t="str">
        <f t="shared" si="3"/>
        <v/>
      </c>
      <c r="G5411" s="151"/>
      <c r="H5411" s="156"/>
      <c r="I5411" s="157"/>
      <c r="J5411" s="161"/>
      <c r="L5411" s="94"/>
      <c r="M5411" s="159"/>
      <c r="N5411" s="94"/>
    </row>
    <row r="5412">
      <c r="A5412" s="107">
        <v>1629718.0</v>
      </c>
      <c r="B5412" s="108" t="s">
        <v>245</v>
      </c>
      <c r="C5412" s="108" t="s">
        <v>1303</v>
      </c>
      <c r="D5412" s="100" t="str">
        <f t="shared" si="1"/>
        <v/>
      </c>
      <c r="E5412" s="100" t="str">
        <f t="shared" si="2"/>
        <v/>
      </c>
      <c r="F5412" s="100" t="str">
        <f t="shared" si="3"/>
        <v/>
      </c>
      <c r="G5412" s="151"/>
      <c r="H5412" s="160"/>
      <c r="I5412" s="157"/>
      <c r="J5412" s="158"/>
      <c r="L5412" s="94"/>
      <c r="M5412" s="159"/>
      <c r="N5412" s="94"/>
    </row>
    <row r="5413">
      <c r="A5413" s="107">
        <v>1629719.0</v>
      </c>
      <c r="B5413" s="108" t="s">
        <v>193</v>
      </c>
      <c r="C5413" s="108" t="s">
        <v>1304</v>
      </c>
      <c r="D5413" s="100" t="str">
        <f t="shared" si="1"/>
        <v/>
      </c>
      <c r="E5413" s="100" t="str">
        <f t="shared" si="2"/>
        <v/>
      </c>
      <c r="F5413" s="100" t="str">
        <f t="shared" si="3"/>
        <v/>
      </c>
      <c r="G5413" s="151"/>
      <c r="H5413" s="156"/>
      <c r="I5413" s="157"/>
      <c r="J5413" s="161"/>
      <c r="L5413" s="94"/>
      <c r="M5413" s="159"/>
      <c r="N5413" s="94"/>
    </row>
    <row r="5414">
      <c r="A5414" s="107">
        <v>1629719.0</v>
      </c>
      <c r="B5414" s="108" t="s">
        <v>243</v>
      </c>
      <c r="C5414" s="108" t="s">
        <v>1304</v>
      </c>
      <c r="D5414" s="100" t="str">
        <f t="shared" si="1"/>
        <v/>
      </c>
      <c r="E5414" s="100" t="str">
        <f t="shared" si="2"/>
        <v/>
      </c>
      <c r="F5414" s="100" t="str">
        <f t="shared" si="3"/>
        <v/>
      </c>
      <c r="G5414" s="151"/>
      <c r="H5414" s="160"/>
      <c r="I5414" s="157"/>
      <c r="J5414" s="158"/>
      <c r="L5414" s="94"/>
      <c r="M5414" s="159"/>
      <c r="N5414" s="94"/>
    </row>
    <row r="5415">
      <c r="A5415" s="107">
        <v>1629719.0</v>
      </c>
      <c r="B5415" s="108" t="s">
        <v>215</v>
      </c>
      <c r="C5415" s="108" t="s">
        <v>1304</v>
      </c>
      <c r="D5415" s="100" t="str">
        <f t="shared" si="1"/>
        <v/>
      </c>
      <c r="E5415" s="100" t="str">
        <f t="shared" si="2"/>
        <v/>
      </c>
      <c r="F5415" s="100" t="str">
        <f t="shared" si="3"/>
        <v/>
      </c>
      <c r="G5415" s="151"/>
      <c r="H5415" s="156"/>
      <c r="I5415" s="157"/>
      <c r="J5415" s="161"/>
      <c r="L5415" s="94"/>
      <c r="M5415" s="159"/>
      <c r="N5415" s="94"/>
    </row>
    <row r="5416">
      <c r="A5416" s="107">
        <v>1629723.0</v>
      </c>
      <c r="B5416" s="108" t="s">
        <v>193</v>
      </c>
      <c r="C5416" s="108" t="s">
        <v>1305</v>
      </c>
      <c r="D5416" s="100" t="str">
        <f t="shared" si="1"/>
        <v/>
      </c>
      <c r="E5416" s="100" t="str">
        <f t="shared" si="2"/>
        <v/>
      </c>
      <c r="F5416" s="100" t="str">
        <f t="shared" si="3"/>
        <v/>
      </c>
      <c r="G5416" s="151"/>
      <c r="H5416" s="160"/>
      <c r="I5416" s="157"/>
      <c r="J5416" s="158"/>
      <c r="L5416" s="94"/>
      <c r="M5416" s="159"/>
      <c r="N5416" s="94"/>
    </row>
    <row r="5417">
      <c r="A5417" s="107">
        <v>1629723.0</v>
      </c>
      <c r="B5417" s="108" t="s">
        <v>243</v>
      </c>
      <c r="C5417" s="108" t="s">
        <v>1305</v>
      </c>
      <c r="D5417" s="100" t="str">
        <f t="shared" si="1"/>
        <v/>
      </c>
      <c r="E5417" s="100" t="str">
        <f t="shared" si="2"/>
        <v/>
      </c>
      <c r="F5417" s="100" t="str">
        <f t="shared" si="3"/>
        <v/>
      </c>
      <c r="G5417" s="151"/>
      <c r="H5417" s="156"/>
      <c r="I5417" s="157"/>
      <c r="J5417" s="161"/>
      <c r="L5417" s="94"/>
      <c r="M5417" s="159"/>
      <c r="N5417" s="94"/>
    </row>
    <row r="5418">
      <c r="A5418" s="107">
        <v>1629723.0</v>
      </c>
      <c r="B5418" s="108" t="s">
        <v>215</v>
      </c>
      <c r="C5418" s="108" t="s">
        <v>1305</v>
      </c>
      <c r="D5418" s="100" t="str">
        <f t="shared" si="1"/>
        <v/>
      </c>
      <c r="E5418" s="100" t="str">
        <f t="shared" si="2"/>
        <v/>
      </c>
      <c r="F5418" s="100" t="str">
        <f t="shared" si="3"/>
        <v/>
      </c>
      <c r="G5418" s="151"/>
      <c r="H5418" s="160"/>
      <c r="I5418" s="157"/>
      <c r="J5418" s="158"/>
      <c r="L5418" s="94"/>
      <c r="M5418" s="159"/>
      <c r="N5418" s="94"/>
    </row>
    <row r="5419">
      <c r="A5419" s="107">
        <v>1629723.0</v>
      </c>
      <c r="B5419" s="108" t="s">
        <v>244</v>
      </c>
      <c r="C5419" s="108" t="s">
        <v>1305</v>
      </c>
      <c r="D5419" s="100" t="str">
        <f t="shared" si="1"/>
        <v/>
      </c>
      <c r="E5419" s="100" t="str">
        <f t="shared" si="2"/>
        <v/>
      </c>
      <c r="F5419" s="100" t="str">
        <f t="shared" si="3"/>
        <v/>
      </c>
      <c r="G5419" s="151"/>
      <c r="H5419" s="156"/>
      <c r="I5419" s="157"/>
      <c r="J5419" s="161"/>
      <c r="L5419" s="94"/>
      <c r="M5419" s="159"/>
      <c r="N5419" s="94"/>
    </row>
    <row r="5420">
      <c r="A5420" s="107">
        <v>1629723.0</v>
      </c>
      <c r="B5420" s="108" t="s">
        <v>245</v>
      </c>
      <c r="C5420" s="108" t="s">
        <v>1305</v>
      </c>
      <c r="D5420" s="100" t="str">
        <f t="shared" si="1"/>
        <v/>
      </c>
      <c r="E5420" s="100" t="str">
        <f t="shared" si="2"/>
        <v/>
      </c>
      <c r="F5420" s="100" t="str">
        <f t="shared" si="3"/>
        <v/>
      </c>
      <c r="G5420" s="151"/>
      <c r="H5420" s="160"/>
      <c r="I5420" s="157"/>
      <c r="J5420" s="158"/>
      <c r="L5420" s="94"/>
      <c r="M5420" s="159"/>
      <c r="N5420" s="94"/>
    </row>
    <row r="5421">
      <c r="A5421" s="107">
        <v>1629723.0</v>
      </c>
      <c r="B5421" s="108" t="s">
        <v>246</v>
      </c>
      <c r="C5421" s="108" t="s">
        <v>1305</v>
      </c>
      <c r="D5421" s="100" t="str">
        <f t="shared" si="1"/>
        <v/>
      </c>
      <c r="E5421" s="100" t="str">
        <f t="shared" si="2"/>
        <v/>
      </c>
      <c r="F5421" s="100" t="str">
        <f t="shared" si="3"/>
        <v/>
      </c>
      <c r="G5421" s="151"/>
      <c r="H5421" s="156"/>
      <c r="I5421" s="157"/>
      <c r="J5421" s="161"/>
      <c r="L5421" s="94"/>
      <c r="M5421" s="159"/>
      <c r="N5421" s="94"/>
    </row>
    <row r="5422">
      <c r="A5422" s="149">
        <v>1629723.0</v>
      </c>
      <c r="B5422" s="115" t="s">
        <v>247</v>
      </c>
      <c r="C5422" s="115" t="s">
        <v>1305</v>
      </c>
      <c r="D5422" s="100" t="str">
        <f t="shared" si="1"/>
        <v/>
      </c>
      <c r="E5422" s="100" t="str">
        <f t="shared" si="2"/>
        <v/>
      </c>
      <c r="F5422" s="100" t="str">
        <f t="shared" si="3"/>
        <v/>
      </c>
      <c r="G5422" s="151"/>
      <c r="H5422" s="160"/>
      <c r="I5422" s="157"/>
      <c r="J5422" s="158"/>
      <c r="L5422" s="94"/>
      <c r="M5422" s="159"/>
      <c r="N5422" s="94"/>
    </row>
    <row r="5423">
      <c r="A5423" s="21">
        <v>1629724.0</v>
      </c>
      <c r="B5423" s="164" t="s">
        <v>193</v>
      </c>
      <c r="C5423" s="164" t="s">
        <v>1306</v>
      </c>
      <c r="D5423" s="100" t="str">
        <f t="shared" si="1"/>
        <v/>
      </c>
      <c r="E5423" s="100" t="str">
        <f t="shared" si="2"/>
        <v/>
      </c>
      <c r="F5423" s="100" t="str">
        <f t="shared" si="3"/>
        <v/>
      </c>
      <c r="G5423" s="151"/>
      <c r="H5423" s="156"/>
      <c r="I5423" s="157"/>
      <c r="J5423" s="161"/>
      <c r="L5423" s="94"/>
      <c r="M5423" s="159"/>
      <c r="N5423" s="94"/>
    </row>
    <row r="5424">
      <c r="A5424" s="107">
        <v>1629725.0</v>
      </c>
      <c r="B5424" s="108" t="s">
        <v>193</v>
      </c>
      <c r="C5424" s="108" t="s">
        <v>1307</v>
      </c>
      <c r="D5424" s="100" t="str">
        <f t="shared" si="1"/>
        <v/>
      </c>
      <c r="E5424" s="100" t="str">
        <f t="shared" si="2"/>
        <v/>
      </c>
      <c r="F5424" s="100" t="str">
        <f t="shared" si="3"/>
        <v/>
      </c>
      <c r="G5424" s="151"/>
      <c r="H5424" s="160"/>
      <c r="I5424" s="157"/>
      <c r="J5424" s="158"/>
      <c r="L5424" s="94"/>
      <c r="M5424" s="159"/>
      <c r="N5424" s="94"/>
    </row>
    <row r="5425">
      <c r="A5425" s="107">
        <v>1629725.0</v>
      </c>
      <c r="B5425" s="108" t="s">
        <v>243</v>
      </c>
      <c r="C5425" s="108" t="s">
        <v>1307</v>
      </c>
      <c r="D5425" s="100" t="str">
        <f t="shared" si="1"/>
        <v/>
      </c>
      <c r="E5425" s="100" t="str">
        <f t="shared" si="2"/>
        <v/>
      </c>
      <c r="F5425" s="100" t="str">
        <f t="shared" si="3"/>
        <v/>
      </c>
      <c r="G5425" s="151"/>
      <c r="H5425" s="156"/>
      <c r="I5425" s="157"/>
      <c r="J5425" s="161"/>
      <c r="L5425" s="94"/>
      <c r="M5425" s="159"/>
      <c r="N5425" s="94"/>
    </row>
    <row r="5426">
      <c r="A5426" s="107">
        <v>1629726.0</v>
      </c>
      <c r="B5426" s="108" t="s">
        <v>193</v>
      </c>
      <c r="C5426" s="108" t="s">
        <v>1308</v>
      </c>
      <c r="D5426" s="100" t="str">
        <f t="shared" si="1"/>
        <v/>
      </c>
      <c r="E5426" s="100" t="str">
        <f t="shared" si="2"/>
        <v/>
      </c>
      <c r="F5426" s="100" t="str">
        <f t="shared" si="3"/>
        <v/>
      </c>
      <c r="G5426" s="151"/>
      <c r="H5426" s="160"/>
      <c r="I5426" s="157"/>
      <c r="J5426" s="158"/>
      <c r="L5426" s="94"/>
      <c r="M5426" s="159"/>
      <c r="N5426" s="94"/>
    </row>
    <row r="5427">
      <c r="A5427" s="107">
        <v>1629726.0</v>
      </c>
      <c r="B5427" s="108" t="s">
        <v>243</v>
      </c>
      <c r="C5427" s="108" t="s">
        <v>1308</v>
      </c>
      <c r="D5427" s="100" t="str">
        <f t="shared" si="1"/>
        <v/>
      </c>
      <c r="E5427" s="100" t="str">
        <f t="shared" si="2"/>
        <v/>
      </c>
      <c r="F5427" s="100" t="str">
        <f t="shared" si="3"/>
        <v/>
      </c>
      <c r="G5427" s="151"/>
      <c r="H5427" s="156"/>
      <c r="I5427" s="157"/>
      <c r="J5427" s="161"/>
      <c r="L5427" s="94"/>
      <c r="M5427" s="159"/>
      <c r="N5427" s="94"/>
    </row>
    <row r="5428">
      <c r="A5428" s="107">
        <v>1629726.0</v>
      </c>
      <c r="B5428" s="108" t="s">
        <v>215</v>
      </c>
      <c r="C5428" s="108" t="s">
        <v>1308</v>
      </c>
      <c r="D5428" s="100" t="str">
        <f t="shared" si="1"/>
        <v/>
      </c>
      <c r="E5428" s="100" t="str">
        <f t="shared" si="2"/>
        <v/>
      </c>
      <c r="F5428" s="100" t="str">
        <f t="shared" si="3"/>
        <v/>
      </c>
      <c r="G5428" s="151"/>
      <c r="H5428" s="160"/>
      <c r="I5428" s="157"/>
      <c r="J5428" s="158"/>
      <c r="L5428" s="94"/>
      <c r="M5428" s="159"/>
      <c r="N5428" s="94"/>
    </row>
    <row r="5429">
      <c r="A5429" s="107">
        <v>1629726.0</v>
      </c>
      <c r="B5429" s="108" t="s">
        <v>244</v>
      </c>
      <c r="C5429" s="108" t="s">
        <v>1308</v>
      </c>
      <c r="D5429" s="100" t="str">
        <f t="shared" si="1"/>
        <v/>
      </c>
      <c r="E5429" s="100" t="str">
        <f t="shared" si="2"/>
        <v/>
      </c>
      <c r="F5429" s="100" t="str">
        <f t="shared" si="3"/>
        <v/>
      </c>
      <c r="G5429" s="151"/>
      <c r="H5429" s="156"/>
      <c r="I5429" s="157"/>
      <c r="J5429" s="161"/>
      <c r="L5429" s="94"/>
      <c r="M5429" s="159"/>
      <c r="N5429" s="94"/>
    </row>
    <row r="5430">
      <c r="A5430" s="107">
        <v>1629726.0</v>
      </c>
      <c r="B5430" s="108" t="s">
        <v>245</v>
      </c>
      <c r="C5430" s="108" t="s">
        <v>1308</v>
      </c>
      <c r="D5430" s="100" t="str">
        <f t="shared" si="1"/>
        <v/>
      </c>
      <c r="E5430" s="100" t="str">
        <f t="shared" si="2"/>
        <v/>
      </c>
      <c r="F5430" s="100" t="str">
        <f t="shared" si="3"/>
        <v/>
      </c>
      <c r="G5430" s="151"/>
      <c r="H5430" s="160"/>
      <c r="I5430" s="157"/>
      <c r="J5430" s="158"/>
      <c r="L5430" s="94"/>
      <c r="M5430" s="159"/>
      <c r="N5430" s="94"/>
    </row>
    <row r="5431">
      <c r="A5431" s="107">
        <v>1629726.0</v>
      </c>
      <c r="B5431" s="108" t="s">
        <v>246</v>
      </c>
      <c r="C5431" s="108" t="s">
        <v>1308</v>
      </c>
      <c r="D5431" s="100" t="str">
        <f t="shared" si="1"/>
        <v/>
      </c>
      <c r="E5431" s="100" t="str">
        <f t="shared" si="2"/>
        <v/>
      </c>
      <c r="F5431" s="100" t="str">
        <f t="shared" si="3"/>
        <v/>
      </c>
      <c r="G5431" s="151"/>
      <c r="H5431" s="156"/>
      <c r="I5431" s="157"/>
      <c r="J5431" s="161"/>
      <c r="L5431" s="94"/>
      <c r="M5431" s="159"/>
      <c r="N5431" s="94"/>
    </row>
    <row r="5432">
      <c r="A5432" s="149">
        <v>1629726.0</v>
      </c>
      <c r="B5432" s="115" t="s">
        <v>247</v>
      </c>
      <c r="C5432" s="115" t="s">
        <v>1308</v>
      </c>
      <c r="D5432" s="100" t="str">
        <f t="shared" si="1"/>
        <v/>
      </c>
      <c r="E5432" s="100" t="str">
        <f t="shared" si="2"/>
        <v/>
      </c>
      <c r="F5432" s="100" t="str">
        <f t="shared" si="3"/>
        <v/>
      </c>
      <c r="G5432" s="151"/>
      <c r="H5432" s="160"/>
      <c r="I5432" s="157"/>
      <c r="J5432" s="158"/>
      <c r="L5432" s="94"/>
      <c r="M5432" s="159"/>
      <c r="N5432" s="94"/>
    </row>
    <row r="5433">
      <c r="A5433" s="21">
        <v>1629729.0</v>
      </c>
      <c r="B5433" s="164" t="s">
        <v>193</v>
      </c>
      <c r="C5433" s="164" t="s">
        <v>1309</v>
      </c>
      <c r="D5433" s="100" t="str">
        <f t="shared" si="1"/>
        <v/>
      </c>
      <c r="E5433" s="100" t="str">
        <f t="shared" si="2"/>
        <v/>
      </c>
      <c r="F5433" s="100" t="str">
        <f t="shared" si="3"/>
        <v/>
      </c>
      <c r="G5433" s="151"/>
      <c r="H5433" s="156"/>
      <c r="I5433" s="157"/>
      <c r="J5433" s="161"/>
      <c r="L5433" s="94"/>
      <c r="M5433" s="159"/>
      <c r="N5433" s="94"/>
    </row>
    <row r="5434">
      <c r="A5434" s="107">
        <v>1629730.0</v>
      </c>
      <c r="B5434" s="108" t="s">
        <v>193</v>
      </c>
      <c r="C5434" s="108" t="s">
        <v>1310</v>
      </c>
      <c r="D5434" s="100" t="str">
        <f t="shared" si="1"/>
        <v/>
      </c>
      <c r="E5434" s="100" t="str">
        <f t="shared" si="2"/>
        <v/>
      </c>
      <c r="F5434" s="100" t="str">
        <f t="shared" si="3"/>
        <v/>
      </c>
      <c r="G5434" s="151"/>
      <c r="H5434" s="160"/>
      <c r="I5434" s="157"/>
      <c r="J5434" s="158"/>
      <c r="L5434" s="94"/>
      <c r="M5434" s="159"/>
      <c r="N5434" s="94"/>
    </row>
    <row r="5435">
      <c r="A5435" s="107">
        <v>1629730.0</v>
      </c>
      <c r="B5435" s="108" t="s">
        <v>243</v>
      </c>
      <c r="C5435" s="108" t="s">
        <v>1310</v>
      </c>
      <c r="D5435" s="100" t="str">
        <f t="shared" si="1"/>
        <v/>
      </c>
      <c r="E5435" s="100" t="str">
        <f t="shared" si="2"/>
        <v/>
      </c>
      <c r="F5435" s="100" t="str">
        <f t="shared" si="3"/>
        <v/>
      </c>
      <c r="G5435" s="151"/>
      <c r="H5435" s="156"/>
      <c r="I5435" s="157"/>
      <c r="J5435" s="161"/>
      <c r="L5435" s="94"/>
      <c r="M5435" s="159"/>
      <c r="N5435" s="94"/>
    </row>
    <row r="5436">
      <c r="A5436" s="107">
        <v>1629730.0</v>
      </c>
      <c r="B5436" s="108" t="s">
        <v>215</v>
      </c>
      <c r="C5436" s="108" t="s">
        <v>1310</v>
      </c>
      <c r="D5436" s="100" t="str">
        <f t="shared" si="1"/>
        <v/>
      </c>
      <c r="E5436" s="100" t="str">
        <f t="shared" si="2"/>
        <v/>
      </c>
      <c r="F5436" s="100" t="str">
        <f t="shared" si="3"/>
        <v/>
      </c>
      <c r="G5436" s="151"/>
      <c r="H5436" s="160"/>
      <c r="I5436" s="157"/>
      <c r="J5436" s="158"/>
      <c r="L5436" s="94"/>
      <c r="M5436" s="159"/>
      <c r="N5436" s="94"/>
    </row>
    <row r="5437">
      <c r="A5437" s="107">
        <v>1629731.0</v>
      </c>
      <c r="B5437" s="108" t="s">
        <v>193</v>
      </c>
      <c r="C5437" s="108" t="s">
        <v>1311</v>
      </c>
      <c r="D5437" s="100" t="str">
        <f t="shared" si="1"/>
        <v/>
      </c>
      <c r="E5437" s="100" t="str">
        <f t="shared" si="2"/>
        <v/>
      </c>
      <c r="F5437" s="100" t="str">
        <f t="shared" si="3"/>
        <v/>
      </c>
      <c r="G5437" s="151"/>
      <c r="H5437" s="156"/>
      <c r="I5437" s="157"/>
      <c r="J5437" s="161"/>
      <c r="L5437" s="94"/>
      <c r="M5437" s="159"/>
      <c r="N5437" s="94"/>
    </row>
    <row r="5438">
      <c r="A5438" s="107">
        <v>1629731.0</v>
      </c>
      <c r="B5438" s="108" t="s">
        <v>243</v>
      </c>
      <c r="C5438" s="108" t="s">
        <v>1311</v>
      </c>
      <c r="D5438" s="100" t="str">
        <f t="shared" si="1"/>
        <v/>
      </c>
      <c r="E5438" s="100" t="str">
        <f t="shared" si="2"/>
        <v/>
      </c>
      <c r="F5438" s="100" t="str">
        <f t="shared" si="3"/>
        <v/>
      </c>
      <c r="G5438" s="151"/>
      <c r="H5438" s="160"/>
      <c r="I5438" s="157"/>
      <c r="J5438" s="158"/>
      <c r="L5438" s="94"/>
      <c r="M5438" s="159"/>
      <c r="N5438" s="94"/>
    </row>
    <row r="5439">
      <c r="A5439" s="107">
        <v>1629731.0</v>
      </c>
      <c r="B5439" s="108" t="s">
        <v>215</v>
      </c>
      <c r="C5439" s="108" t="s">
        <v>1311</v>
      </c>
      <c r="D5439" s="100" t="str">
        <f t="shared" si="1"/>
        <v/>
      </c>
      <c r="E5439" s="100" t="str">
        <f t="shared" si="2"/>
        <v/>
      </c>
      <c r="F5439" s="100" t="str">
        <f t="shared" si="3"/>
        <v/>
      </c>
      <c r="G5439" s="151"/>
      <c r="H5439" s="156"/>
      <c r="I5439" s="157"/>
      <c r="J5439" s="161"/>
      <c r="L5439" s="94"/>
      <c r="M5439" s="159"/>
      <c r="N5439" s="94"/>
    </row>
    <row r="5440">
      <c r="A5440" s="107">
        <v>1629731.0</v>
      </c>
      <c r="B5440" s="108" t="s">
        <v>244</v>
      </c>
      <c r="C5440" s="108" t="s">
        <v>1311</v>
      </c>
      <c r="D5440" s="100" t="str">
        <f t="shared" si="1"/>
        <v/>
      </c>
      <c r="E5440" s="100" t="str">
        <f t="shared" si="2"/>
        <v/>
      </c>
      <c r="F5440" s="100" t="str">
        <f t="shared" si="3"/>
        <v/>
      </c>
      <c r="G5440" s="151"/>
      <c r="H5440" s="160"/>
      <c r="I5440" s="157"/>
      <c r="J5440" s="158"/>
      <c r="L5440" s="94"/>
      <c r="M5440" s="159"/>
      <c r="N5440" s="94"/>
    </row>
    <row r="5441">
      <c r="A5441" s="107">
        <v>1629731.0</v>
      </c>
      <c r="B5441" s="108" t="s">
        <v>245</v>
      </c>
      <c r="C5441" s="108" t="s">
        <v>1311</v>
      </c>
      <c r="D5441" s="100" t="str">
        <f t="shared" si="1"/>
        <v/>
      </c>
      <c r="E5441" s="100" t="str">
        <f t="shared" si="2"/>
        <v/>
      </c>
      <c r="F5441" s="100" t="str">
        <f t="shared" si="3"/>
        <v/>
      </c>
      <c r="G5441" s="151"/>
      <c r="H5441" s="156"/>
      <c r="I5441" s="157"/>
      <c r="J5441" s="161"/>
      <c r="L5441" s="94"/>
      <c r="M5441" s="159"/>
      <c r="N5441" s="94"/>
    </row>
    <row r="5442">
      <c r="A5442" s="107">
        <v>1629731.0</v>
      </c>
      <c r="B5442" s="108" t="s">
        <v>246</v>
      </c>
      <c r="C5442" s="108" t="s">
        <v>1311</v>
      </c>
      <c r="D5442" s="100" t="str">
        <f t="shared" si="1"/>
        <v/>
      </c>
      <c r="E5442" s="100" t="str">
        <f t="shared" si="2"/>
        <v/>
      </c>
      <c r="F5442" s="100" t="str">
        <f t="shared" si="3"/>
        <v/>
      </c>
      <c r="G5442" s="151"/>
      <c r="H5442" s="160"/>
      <c r="I5442" s="157"/>
      <c r="J5442" s="158"/>
      <c r="L5442" s="94"/>
      <c r="M5442" s="159"/>
      <c r="N5442" s="94"/>
    </row>
    <row r="5443">
      <c r="A5443" s="149">
        <v>1629731.0</v>
      </c>
      <c r="B5443" s="115" t="s">
        <v>247</v>
      </c>
      <c r="C5443" s="115" t="s">
        <v>1311</v>
      </c>
      <c r="D5443" s="100" t="str">
        <f t="shared" si="1"/>
        <v/>
      </c>
      <c r="E5443" s="100" t="str">
        <f t="shared" si="2"/>
        <v/>
      </c>
      <c r="F5443" s="100" t="str">
        <f t="shared" si="3"/>
        <v/>
      </c>
      <c r="G5443" s="151"/>
      <c r="H5443" s="156"/>
      <c r="I5443" s="157"/>
      <c r="J5443" s="161"/>
      <c r="L5443" s="94"/>
      <c r="M5443" s="159"/>
      <c r="N5443" s="94"/>
    </row>
    <row r="5444">
      <c r="A5444" s="21">
        <v>1629734.0</v>
      </c>
      <c r="B5444" s="164" t="s">
        <v>193</v>
      </c>
      <c r="C5444" s="164" t="s">
        <v>1312</v>
      </c>
      <c r="D5444" s="100" t="str">
        <f t="shared" si="1"/>
        <v/>
      </c>
      <c r="E5444" s="100" t="str">
        <f t="shared" si="2"/>
        <v/>
      </c>
      <c r="F5444" s="100" t="str">
        <f t="shared" si="3"/>
        <v/>
      </c>
      <c r="G5444" s="151"/>
      <c r="H5444" s="160"/>
      <c r="I5444" s="157"/>
      <c r="J5444" s="158"/>
      <c r="L5444" s="94"/>
      <c r="M5444" s="159"/>
      <c r="N5444" s="94"/>
    </row>
    <row r="5445">
      <c r="A5445" s="107">
        <v>1629735.0</v>
      </c>
      <c r="B5445" s="108" t="s">
        <v>193</v>
      </c>
      <c r="C5445" s="108" t="s">
        <v>1313</v>
      </c>
      <c r="D5445" s="100" t="str">
        <f t="shared" si="1"/>
        <v/>
      </c>
      <c r="E5445" s="100" t="str">
        <f t="shared" si="2"/>
        <v/>
      </c>
      <c r="F5445" s="100" t="str">
        <f t="shared" si="3"/>
        <v/>
      </c>
      <c r="G5445" s="151"/>
      <c r="H5445" s="156"/>
      <c r="I5445" s="157"/>
      <c r="J5445" s="161"/>
      <c r="L5445" s="94"/>
      <c r="M5445" s="159"/>
      <c r="N5445" s="94"/>
    </row>
    <row r="5446">
      <c r="A5446" s="107">
        <v>1629735.0</v>
      </c>
      <c r="B5446" s="108" t="s">
        <v>243</v>
      </c>
      <c r="C5446" s="108" t="s">
        <v>1313</v>
      </c>
      <c r="D5446" s="100" t="str">
        <f t="shared" si="1"/>
        <v/>
      </c>
      <c r="E5446" s="100" t="str">
        <f t="shared" si="2"/>
        <v/>
      </c>
      <c r="F5446" s="100" t="str">
        <f t="shared" si="3"/>
        <v/>
      </c>
      <c r="G5446" s="151"/>
      <c r="H5446" s="160"/>
      <c r="I5446" s="157"/>
      <c r="J5446" s="158"/>
      <c r="L5446" s="94"/>
      <c r="M5446" s="159"/>
      <c r="N5446" s="94"/>
    </row>
    <row r="5447">
      <c r="A5447" s="107">
        <v>1629735.0</v>
      </c>
      <c r="B5447" s="108" t="s">
        <v>215</v>
      </c>
      <c r="C5447" s="108" t="s">
        <v>1313</v>
      </c>
      <c r="D5447" s="100" t="str">
        <f t="shared" si="1"/>
        <v/>
      </c>
      <c r="E5447" s="100" t="str">
        <f t="shared" si="2"/>
        <v/>
      </c>
      <c r="F5447" s="100" t="str">
        <f t="shared" si="3"/>
        <v/>
      </c>
      <c r="G5447" s="151"/>
      <c r="H5447" s="156"/>
      <c r="I5447" s="157"/>
      <c r="J5447" s="161"/>
      <c r="L5447" s="94"/>
      <c r="M5447" s="159"/>
      <c r="N5447" s="94"/>
    </row>
    <row r="5448">
      <c r="A5448" s="107">
        <v>1629735.0</v>
      </c>
      <c r="B5448" s="108" t="s">
        <v>244</v>
      </c>
      <c r="C5448" s="108" t="s">
        <v>1313</v>
      </c>
      <c r="D5448" s="100" t="str">
        <f t="shared" si="1"/>
        <v/>
      </c>
      <c r="E5448" s="100" t="str">
        <f t="shared" si="2"/>
        <v/>
      </c>
      <c r="F5448" s="100" t="str">
        <f t="shared" si="3"/>
        <v/>
      </c>
      <c r="G5448" s="151"/>
      <c r="H5448" s="160"/>
      <c r="I5448" s="157"/>
      <c r="J5448" s="158"/>
      <c r="L5448" s="94"/>
      <c r="M5448" s="159"/>
      <c r="N5448" s="94"/>
    </row>
    <row r="5449">
      <c r="A5449" s="107">
        <v>1629738.0</v>
      </c>
      <c r="B5449" s="108" t="s">
        <v>193</v>
      </c>
      <c r="C5449" s="108" t="s">
        <v>1314</v>
      </c>
      <c r="D5449" s="100" t="str">
        <f t="shared" si="1"/>
        <v/>
      </c>
      <c r="E5449" s="100" t="str">
        <f t="shared" si="2"/>
        <v/>
      </c>
      <c r="F5449" s="100" t="str">
        <f t="shared" si="3"/>
        <v/>
      </c>
      <c r="G5449" s="151"/>
      <c r="H5449" s="156"/>
      <c r="I5449" s="157"/>
      <c r="J5449" s="161"/>
      <c r="L5449" s="94"/>
      <c r="M5449" s="159"/>
      <c r="N5449" s="94"/>
    </row>
    <row r="5450">
      <c r="A5450" s="107">
        <v>1629738.0</v>
      </c>
      <c r="B5450" s="108" t="s">
        <v>243</v>
      </c>
      <c r="C5450" s="108" t="s">
        <v>1314</v>
      </c>
      <c r="D5450" s="100" t="str">
        <f t="shared" si="1"/>
        <v/>
      </c>
      <c r="E5450" s="100" t="str">
        <f t="shared" si="2"/>
        <v/>
      </c>
      <c r="F5450" s="100" t="str">
        <f t="shared" si="3"/>
        <v/>
      </c>
      <c r="G5450" s="151"/>
      <c r="H5450" s="160"/>
      <c r="I5450" s="157"/>
      <c r="J5450" s="158"/>
      <c r="L5450" s="94"/>
      <c r="M5450" s="159"/>
      <c r="N5450" s="94"/>
    </row>
    <row r="5451">
      <c r="A5451" s="107">
        <v>1629739.0</v>
      </c>
      <c r="B5451" s="108" t="s">
        <v>193</v>
      </c>
      <c r="C5451" s="108" t="s">
        <v>1315</v>
      </c>
      <c r="D5451" s="100" t="str">
        <f t="shared" si="1"/>
        <v/>
      </c>
      <c r="E5451" s="100" t="str">
        <f t="shared" si="2"/>
        <v/>
      </c>
      <c r="F5451" s="100" t="str">
        <f t="shared" si="3"/>
        <v/>
      </c>
      <c r="G5451" s="151"/>
      <c r="H5451" s="156"/>
      <c r="I5451" s="157"/>
      <c r="J5451" s="161"/>
      <c r="L5451" s="94"/>
      <c r="M5451" s="159"/>
      <c r="N5451" s="94"/>
    </row>
    <row r="5452">
      <c r="A5452" s="107">
        <v>1629740.0</v>
      </c>
      <c r="B5452" s="108" t="s">
        <v>193</v>
      </c>
      <c r="C5452" s="108" t="s">
        <v>1316</v>
      </c>
      <c r="D5452" s="100" t="str">
        <f t="shared" si="1"/>
        <v/>
      </c>
      <c r="E5452" s="100" t="str">
        <f t="shared" si="2"/>
        <v/>
      </c>
      <c r="F5452" s="100" t="str">
        <f t="shared" si="3"/>
        <v/>
      </c>
      <c r="G5452" s="151"/>
      <c r="H5452" s="160"/>
      <c r="I5452" s="157"/>
      <c r="J5452" s="158"/>
      <c r="L5452" s="94"/>
      <c r="M5452" s="159"/>
      <c r="N5452" s="94"/>
    </row>
    <row r="5453">
      <c r="A5453" s="107">
        <v>1629740.0</v>
      </c>
      <c r="B5453" s="108" t="s">
        <v>243</v>
      </c>
      <c r="C5453" s="108" t="s">
        <v>1316</v>
      </c>
      <c r="D5453" s="100" t="str">
        <f t="shared" si="1"/>
        <v/>
      </c>
      <c r="E5453" s="100" t="str">
        <f t="shared" si="2"/>
        <v/>
      </c>
      <c r="F5453" s="100" t="str">
        <f t="shared" si="3"/>
        <v/>
      </c>
      <c r="G5453" s="151"/>
      <c r="H5453" s="156"/>
      <c r="I5453" s="157"/>
      <c r="J5453" s="161"/>
      <c r="L5453" s="94"/>
      <c r="M5453" s="159"/>
      <c r="N5453" s="94"/>
    </row>
    <row r="5454">
      <c r="A5454" s="107">
        <v>1629741.0</v>
      </c>
      <c r="B5454" s="108" t="s">
        <v>193</v>
      </c>
      <c r="C5454" s="108" t="s">
        <v>1317</v>
      </c>
      <c r="D5454" s="100" t="str">
        <f t="shared" si="1"/>
        <v/>
      </c>
      <c r="E5454" s="100" t="str">
        <f t="shared" si="2"/>
        <v/>
      </c>
      <c r="F5454" s="100" t="str">
        <f t="shared" si="3"/>
        <v/>
      </c>
      <c r="G5454" s="151"/>
      <c r="H5454" s="160"/>
      <c r="I5454" s="157"/>
      <c r="J5454" s="158"/>
      <c r="L5454" s="94"/>
      <c r="M5454" s="159"/>
      <c r="N5454" s="94"/>
    </row>
    <row r="5455">
      <c r="A5455" s="107">
        <v>1629742.0</v>
      </c>
      <c r="B5455" s="108" t="s">
        <v>193</v>
      </c>
      <c r="C5455" s="108" t="s">
        <v>1318</v>
      </c>
      <c r="D5455" s="100" t="str">
        <f t="shared" si="1"/>
        <v/>
      </c>
      <c r="E5455" s="100" t="str">
        <f t="shared" si="2"/>
        <v/>
      </c>
      <c r="F5455" s="100" t="str">
        <f t="shared" si="3"/>
        <v/>
      </c>
      <c r="G5455" s="151"/>
      <c r="H5455" s="156"/>
      <c r="I5455" s="157"/>
      <c r="J5455" s="161"/>
      <c r="L5455" s="94"/>
      <c r="M5455" s="159"/>
      <c r="N5455" s="94"/>
    </row>
    <row r="5456">
      <c r="A5456" s="107">
        <v>1629743.0</v>
      </c>
      <c r="B5456" s="108" t="s">
        <v>193</v>
      </c>
      <c r="C5456" s="108" t="s">
        <v>1319</v>
      </c>
      <c r="D5456" s="100" t="str">
        <f t="shared" si="1"/>
        <v/>
      </c>
      <c r="E5456" s="100" t="str">
        <f t="shared" si="2"/>
        <v/>
      </c>
      <c r="F5456" s="100" t="str">
        <f t="shared" si="3"/>
        <v/>
      </c>
      <c r="G5456" s="151"/>
      <c r="H5456" s="160"/>
      <c r="I5456" s="157"/>
      <c r="J5456" s="158"/>
      <c r="L5456" s="94"/>
      <c r="M5456" s="159"/>
      <c r="N5456" s="94"/>
    </row>
    <row r="5457">
      <c r="A5457" s="107">
        <v>1629743.0</v>
      </c>
      <c r="B5457" s="108" t="s">
        <v>243</v>
      </c>
      <c r="C5457" s="108" t="s">
        <v>1319</v>
      </c>
      <c r="D5457" s="100" t="str">
        <f t="shared" si="1"/>
        <v/>
      </c>
      <c r="E5457" s="100" t="str">
        <f t="shared" si="2"/>
        <v/>
      </c>
      <c r="F5457" s="100" t="str">
        <f t="shared" si="3"/>
        <v/>
      </c>
      <c r="G5457" s="151"/>
      <c r="H5457" s="156"/>
      <c r="I5457" s="157"/>
      <c r="J5457" s="161"/>
      <c r="L5457" s="94"/>
      <c r="M5457" s="159"/>
      <c r="N5457" s="94"/>
    </row>
    <row r="5458">
      <c r="A5458" s="107">
        <v>1629744.0</v>
      </c>
      <c r="B5458" s="108" t="s">
        <v>193</v>
      </c>
      <c r="C5458" s="108" t="s">
        <v>1320</v>
      </c>
      <c r="D5458" s="100" t="str">
        <f t="shared" si="1"/>
        <v/>
      </c>
      <c r="E5458" s="100" t="str">
        <f t="shared" si="2"/>
        <v/>
      </c>
      <c r="F5458" s="100" t="str">
        <f t="shared" si="3"/>
        <v/>
      </c>
      <c r="G5458" s="151"/>
      <c r="H5458" s="160"/>
      <c r="I5458" s="157"/>
      <c r="J5458" s="158"/>
      <c r="L5458" s="94"/>
      <c r="M5458" s="159"/>
      <c r="N5458" s="94"/>
    </row>
    <row r="5459">
      <c r="A5459" s="107">
        <v>1629744.0</v>
      </c>
      <c r="B5459" s="108" t="s">
        <v>243</v>
      </c>
      <c r="C5459" s="108" t="s">
        <v>1320</v>
      </c>
      <c r="D5459" s="100" t="str">
        <f t="shared" si="1"/>
        <v/>
      </c>
      <c r="E5459" s="100" t="str">
        <f t="shared" si="2"/>
        <v/>
      </c>
      <c r="F5459" s="100" t="str">
        <f t="shared" si="3"/>
        <v/>
      </c>
      <c r="G5459" s="151"/>
      <c r="H5459" s="156"/>
      <c r="I5459" s="157"/>
      <c r="J5459" s="161"/>
      <c r="L5459" s="94"/>
      <c r="M5459" s="159"/>
      <c r="N5459" s="94"/>
    </row>
    <row r="5460">
      <c r="A5460" s="107">
        <v>1629744.0</v>
      </c>
      <c r="B5460" s="108" t="s">
        <v>215</v>
      </c>
      <c r="C5460" s="108" t="s">
        <v>1320</v>
      </c>
      <c r="D5460" s="100" t="str">
        <f t="shared" si="1"/>
        <v/>
      </c>
      <c r="E5460" s="100" t="str">
        <f t="shared" si="2"/>
        <v/>
      </c>
      <c r="F5460" s="100" t="str">
        <f t="shared" si="3"/>
        <v/>
      </c>
      <c r="G5460" s="151"/>
      <c r="H5460" s="160"/>
      <c r="I5460" s="157"/>
      <c r="J5460" s="158"/>
      <c r="L5460" s="94"/>
      <c r="M5460" s="159"/>
      <c r="N5460" s="94"/>
    </row>
    <row r="5461">
      <c r="A5461" s="107">
        <v>1629745.0</v>
      </c>
      <c r="B5461" s="108" t="s">
        <v>193</v>
      </c>
      <c r="C5461" s="108" t="s">
        <v>1321</v>
      </c>
      <c r="D5461" s="100" t="str">
        <f t="shared" si="1"/>
        <v/>
      </c>
      <c r="E5461" s="100" t="str">
        <f t="shared" si="2"/>
        <v/>
      </c>
      <c r="F5461" s="100" t="str">
        <f t="shared" si="3"/>
        <v/>
      </c>
      <c r="G5461" s="151"/>
      <c r="H5461" s="156"/>
      <c r="I5461" s="157"/>
      <c r="J5461" s="161"/>
      <c r="L5461" s="94"/>
      <c r="M5461" s="159"/>
      <c r="N5461" s="94"/>
    </row>
    <row r="5462">
      <c r="A5462" s="107">
        <v>1629750.0</v>
      </c>
      <c r="B5462" s="108" t="s">
        <v>193</v>
      </c>
      <c r="C5462" s="108" t="s">
        <v>1322</v>
      </c>
      <c r="D5462" s="100" t="str">
        <f t="shared" si="1"/>
        <v/>
      </c>
      <c r="E5462" s="100" t="str">
        <f t="shared" si="2"/>
        <v/>
      </c>
      <c r="F5462" s="100" t="str">
        <f t="shared" si="3"/>
        <v/>
      </c>
      <c r="G5462" s="151"/>
      <c r="H5462" s="160"/>
      <c r="I5462" s="157"/>
      <c r="J5462" s="158"/>
      <c r="L5462" s="94"/>
      <c r="M5462" s="159"/>
      <c r="N5462" s="94"/>
    </row>
    <row r="5463">
      <c r="A5463" s="107">
        <v>1629750.0</v>
      </c>
      <c r="B5463" s="108" t="s">
        <v>243</v>
      </c>
      <c r="C5463" s="108" t="s">
        <v>1322</v>
      </c>
      <c r="D5463" s="100" t="str">
        <f t="shared" si="1"/>
        <v/>
      </c>
      <c r="E5463" s="100" t="str">
        <f t="shared" si="2"/>
        <v/>
      </c>
      <c r="F5463" s="100" t="str">
        <f t="shared" si="3"/>
        <v/>
      </c>
      <c r="G5463" s="151"/>
      <c r="H5463" s="156"/>
      <c r="I5463" s="157"/>
      <c r="J5463" s="161"/>
      <c r="L5463" s="94"/>
      <c r="M5463" s="159"/>
      <c r="N5463" s="94"/>
    </row>
    <row r="5464">
      <c r="A5464" s="107">
        <v>1629750.0</v>
      </c>
      <c r="B5464" s="108" t="s">
        <v>215</v>
      </c>
      <c r="C5464" s="108" t="s">
        <v>1322</v>
      </c>
      <c r="D5464" s="100" t="str">
        <f t="shared" si="1"/>
        <v/>
      </c>
      <c r="E5464" s="100" t="str">
        <f t="shared" si="2"/>
        <v/>
      </c>
      <c r="F5464" s="100" t="str">
        <f t="shared" si="3"/>
        <v/>
      </c>
      <c r="G5464" s="151"/>
      <c r="H5464" s="160"/>
      <c r="I5464" s="157"/>
      <c r="J5464" s="158"/>
      <c r="L5464" s="94"/>
      <c r="M5464" s="159"/>
      <c r="N5464" s="94"/>
    </row>
    <row r="5465">
      <c r="A5465" s="107">
        <v>1629750.0</v>
      </c>
      <c r="B5465" s="108" t="s">
        <v>244</v>
      </c>
      <c r="C5465" s="108" t="s">
        <v>1322</v>
      </c>
      <c r="D5465" s="100" t="str">
        <f t="shared" si="1"/>
        <v/>
      </c>
      <c r="E5465" s="100" t="str">
        <f t="shared" si="2"/>
        <v/>
      </c>
      <c r="F5465" s="100" t="str">
        <f t="shared" si="3"/>
        <v/>
      </c>
      <c r="G5465" s="151"/>
      <c r="H5465" s="156"/>
      <c r="I5465" s="157"/>
      <c r="J5465" s="161"/>
      <c r="L5465" s="94"/>
      <c r="M5465" s="159"/>
      <c r="N5465" s="94"/>
    </row>
    <row r="5466">
      <c r="A5466" s="107">
        <v>1629750.0</v>
      </c>
      <c r="B5466" s="108" t="s">
        <v>245</v>
      </c>
      <c r="C5466" s="108" t="s">
        <v>1322</v>
      </c>
      <c r="D5466" s="100" t="str">
        <f t="shared" si="1"/>
        <v/>
      </c>
      <c r="E5466" s="100" t="str">
        <f t="shared" si="2"/>
        <v/>
      </c>
      <c r="F5466" s="100" t="str">
        <f t="shared" si="3"/>
        <v/>
      </c>
      <c r="G5466" s="151"/>
      <c r="H5466" s="160"/>
      <c r="I5466" s="157"/>
      <c r="J5466" s="158"/>
      <c r="L5466" s="94"/>
      <c r="M5466" s="159"/>
      <c r="N5466" s="94"/>
    </row>
    <row r="5467">
      <c r="A5467" s="107">
        <v>1629750.0</v>
      </c>
      <c r="B5467" s="108" t="s">
        <v>246</v>
      </c>
      <c r="C5467" s="108" t="s">
        <v>1322</v>
      </c>
      <c r="D5467" s="100" t="str">
        <f t="shared" si="1"/>
        <v/>
      </c>
      <c r="E5467" s="100" t="str">
        <f t="shared" si="2"/>
        <v/>
      </c>
      <c r="F5467" s="100" t="str">
        <f t="shared" si="3"/>
        <v/>
      </c>
      <c r="G5467" s="151"/>
      <c r="H5467" s="156"/>
      <c r="I5467" s="157"/>
      <c r="J5467" s="161"/>
      <c r="L5467" s="94"/>
      <c r="M5467" s="159"/>
      <c r="N5467" s="94"/>
    </row>
    <row r="5468">
      <c r="A5468" s="149">
        <v>1629750.0</v>
      </c>
      <c r="B5468" s="115" t="s">
        <v>247</v>
      </c>
      <c r="C5468" s="115" t="s">
        <v>1322</v>
      </c>
      <c r="D5468" s="100" t="str">
        <f t="shared" si="1"/>
        <v/>
      </c>
      <c r="E5468" s="100" t="str">
        <f t="shared" si="2"/>
        <v/>
      </c>
      <c r="F5468" s="100" t="str">
        <f t="shared" si="3"/>
        <v/>
      </c>
      <c r="G5468" s="151"/>
      <c r="H5468" s="160"/>
      <c r="I5468" s="157"/>
      <c r="J5468" s="158"/>
      <c r="L5468" s="94"/>
      <c r="M5468" s="159"/>
      <c r="N5468" s="94"/>
    </row>
    <row r="5469">
      <c r="A5469" s="21">
        <v>1629751.0</v>
      </c>
      <c r="B5469" s="164" t="s">
        <v>243</v>
      </c>
      <c r="C5469" s="164" t="s">
        <v>1323</v>
      </c>
      <c r="D5469" s="100" t="str">
        <f t="shared" si="1"/>
        <v/>
      </c>
      <c r="E5469" s="100" t="str">
        <f t="shared" si="2"/>
        <v/>
      </c>
      <c r="F5469" s="100" t="str">
        <f t="shared" si="3"/>
        <v/>
      </c>
      <c r="G5469" s="151"/>
      <c r="H5469" s="156"/>
      <c r="I5469" s="157"/>
      <c r="J5469" s="161"/>
      <c r="L5469" s="94"/>
      <c r="M5469" s="159"/>
      <c r="N5469" s="94"/>
    </row>
    <row r="5470">
      <c r="A5470" s="107">
        <v>1629751.0</v>
      </c>
      <c r="B5470" s="108" t="s">
        <v>215</v>
      </c>
      <c r="C5470" s="108" t="s">
        <v>1323</v>
      </c>
      <c r="D5470" s="100" t="str">
        <f t="shared" si="1"/>
        <v/>
      </c>
      <c r="E5470" s="100" t="str">
        <f t="shared" si="2"/>
        <v/>
      </c>
      <c r="F5470" s="100" t="str">
        <f t="shared" si="3"/>
        <v/>
      </c>
      <c r="G5470" s="151"/>
      <c r="H5470" s="160"/>
      <c r="I5470" s="157"/>
      <c r="J5470" s="158"/>
      <c r="L5470" s="94"/>
      <c r="M5470" s="159"/>
      <c r="N5470" s="94"/>
    </row>
    <row r="5471">
      <c r="A5471" s="107">
        <v>1629752.0</v>
      </c>
      <c r="B5471" s="108" t="s">
        <v>193</v>
      </c>
      <c r="C5471" s="108" t="s">
        <v>1324</v>
      </c>
      <c r="D5471" s="100" t="str">
        <f t="shared" si="1"/>
        <v/>
      </c>
      <c r="E5471" s="100" t="str">
        <f t="shared" si="2"/>
        <v/>
      </c>
      <c r="F5471" s="100" t="str">
        <f t="shared" si="3"/>
        <v/>
      </c>
      <c r="G5471" s="151"/>
      <c r="H5471" s="156"/>
      <c r="I5471" s="157"/>
      <c r="J5471" s="161"/>
      <c r="L5471" s="94"/>
      <c r="M5471" s="159"/>
      <c r="N5471" s="94"/>
    </row>
    <row r="5472">
      <c r="A5472" s="107">
        <v>1629752.0</v>
      </c>
      <c r="B5472" s="108" t="s">
        <v>243</v>
      </c>
      <c r="C5472" s="108" t="s">
        <v>1324</v>
      </c>
      <c r="D5472" s="100" t="str">
        <f t="shared" si="1"/>
        <v/>
      </c>
      <c r="E5472" s="100" t="str">
        <f t="shared" si="2"/>
        <v/>
      </c>
      <c r="F5472" s="100" t="str">
        <f t="shared" si="3"/>
        <v/>
      </c>
      <c r="G5472" s="151"/>
      <c r="H5472" s="160"/>
      <c r="I5472" s="157"/>
      <c r="J5472" s="158"/>
      <c r="L5472" s="94"/>
      <c r="M5472" s="159"/>
      <c r="N5472" s="94"/>
    </row>
    <row r="5473">
      <c r="A5473" s="107">
        <v>1629752.0</v>
      </c>
      <c r="B5473" s="108" t="s">
        <v>215</v>
      </c>
      <c r="C5473" s="108" t="s">
        <v>1324</v>
      </c>
      <c r="D5473" s="100" t="str">
        <f t="shared" si="1"/>
        <v/>
      </c>
      <c r="E5473" s="100" t="str">
        <f t="shared" si="2"/>
        <v/>
      </c>
      <c r="F5473" s="100" t="str">
        <f t="shared" si="3"/>
        <v/>
      </c>
      <c r="G5473" s="151"/>
      <c r="H5473" s="156"/>
      <c r="I5473" s="157"/>
      <c r="J5473" s="161"/>
      <c r="L5473" s="94"/>
      <c r="M5473" s="159"/>
      <c r="N5473" s="94"/>
    </row>
    <row r="5474">
      <c r="A5474" s="107">
        <v>1629755.0</v>
      </c>
      <c r="B5474" s="108" t="s">
        <v>215</v>
      </c>
      <c r="C5474" s="108" t="s">
        <v>1325</v>
      </c>
      <c r="D5474" s="100" t="str">
        <f t="shared" si="1"/>
        <v/>
      </c>
      <c r="E5474" s="100" t="str">
        <f t="shared" si="2"/>
        <v/>
      </c>
      <c r="F5474" s="100" t="str">
        <f t="shared" si="3"/>
        <v/>
      </c>
      <c r="G5474" s="151"/>
      <c r="H5474" s="160"/>
      <c r="I5474" s="157"/>
      <c r="J5474" s="158"/>
      <c r="L5474" s="94"/>
      <c r="M5474" s="159"/>
      <c r="N5474" s="94"/>
    </row>
    <row r="5475">
      <c r="A5475" s="107">
        <v>1629760.0</v>
      </c>
      <c r="B5475" s="108" t="s">
        <v>193</v>
      </c>
      <c r="C5475" s="108" t="s">
        <v>1326</v>
      </c>
      <c r="D5475" s="100" t="str">
        <f t="shared" si="1"/>
        <v/>
      </c>
      <c r="E5475" s="100" t="str">
        <f t="shared" si="2"/>
        <v/>
      </c>
      <c r="F5475" s="100" t="str">
        <f t="shared" si="3"/>
        <v/>
      </c>
      <c r="G5475" s="151"/>
      <c r="H5475" s="156"/>
      <c r="I5475" s="157"/>
      <c r="J5475" s="161"/>
      <c r="L5475" s="94"/>
      <c r="M5475" s="159"/>
      <c r="N5475" s="94"/>
    </row>
    <row r="5476">
      <c r="A5476" s="107">
        <v>1629760.0</v>
      </c>
      <c r="B5476" s="108" t="s">
        <v>215</v>
      </c>
      <c r="C5476" s="108" t="s">
        <v>1326</v>
      </c>
      <c r="D5476" s="100" t="str">
        <f t="shared" si="1"/>
        <v/>
      </c>
      <c r="E5476" s="100" t="str">
        <f t="shared" si="2"/>
        <v/>
      </c>
      <c r="F5476" s="100" t="str">
        <f t="shared" si="3"/>
        <v/>
      </c>
      <c r="G5476" s="151"/>
      <c r="H5476" s="160"/>
      <c r="I5476" s="157"/>
      <c r="J5476" s="158"/>
      <c r="L5476" s="94"/>
      <c r="M5476" s="159"/>
      <c r="N5476" s="94"/>
    </row>
    <row r="5477">
      <c r="A5477" s="107">
        <v>1629783.0</v>
      </c>
      <c r="B5477" s="108" t="s">
        <v>215</v>
      </c>
      <c r="C5477" s="108" t="s">
        <v>1327</v>
      </c>
      <c r="D5477" s="100" t="str">
        <f t="shared" si="1"/>
        <v/>
      </c>
      <c r="E5477" s="100" t="str">
        <f t="shared" si="2"/>
        <v/>
      </c>
      <c r="F5477" s="100" t="str">
        <f t="shared" si="3"/>
        <v/>
      </c>
      <c r="G5477" s="151"/>
      <c r="H5477" s="156"/>
      <c r="I5477" s="157"/>
      <c r="J5477" s="161"/>
      <c r="L5477" s="94"/>
      <c r="M5477" s="159"/>
      <c r="N5477" s="94"/>
    </row>
    <row r="5478">
      <c r="A5478" s="107">
        <v>1629788.0</v>
      </c>
      <c r="B5478" s="108" t="s">
        <v>215</v>
      </c>
      <c r="C5478" s="108" t="s">
        <v>1328</v>
      </c>
      <c r="D5478" s="100" t="str">
        <f t="shared" si="1"/>
        <v/>
      </c>
      <c r="E5478" s="100" t="str">
        <f t="shared" si="2"/>
        <v/>
      </c>
      <c r="F5478" s="100" t="str">
        <f t="shared" si="3"/>
        <v/>
      </c>
      <c r="G5478" s="151"/>
      <c r="H5478" s="160"/>
      <c r="I5478" s="157"/>
      <c r="J5478" s="158"/>
      <c r="L5478" s="94"/>
      <c r="M5478" s="159"/>
      <c r="N5478" s="94"/>
    </row>
    <row r="5479">
      <c r="A5479" s="107">
        <v>1629833.0</v>
      </c>
      <c r="B5479" s="108" t="s">
        <v>243</v>
      </c>
      <c r="C5479" s="108" t="s">
        <v>1329</v>
      </c>
      <c r="D5479" s="100" t="str">
        <f t="shared" si="1"/>
        <v/>
      </c>
      <c r="E5479" s="100" t="str">
        <f t="shared" si="2"/>
        <v/>
      </c>
      <c r="F5479" s="100" t="str">
        <f t="shared" si="3"/>
        <v/>
      </c>
      <c r="G5479" s="151"/>
      <c r="H5479" s="156"/>
      <c r="I5479" s="157"/>
      <c r="J5479" s="161"/>
      <c r="L5479" s="94"/>
      <c r="M5479" s="159"/>
      <c r="N5479" s="94"/>
    </row>
    <row r="5480">
      <c r="A5480" s="107">
        <v>1629833.0</v>
      </c>
      <c r="B5480" s="108" t="s">
        <v>215</v>
      </c>
      <c r="C5480" s="108" t="s">
        <v>1329</v>
      </c>
      <c r="D5480" s="100" t="str">
        <f t="shared" si="1"/>
        <v/>
      </c>
      <c r="E5480" s="100" t="str">
        <f t="shared" si="2"/>
        <v/>
      </c>
      <c r="F5480" s="100" t="str">
        <f t="shared" si="3"/>
        <v/>
      </c>
      <c r="G5480" s="151"/>
      <c r="H5480" s="160"/>
      <c r="I5480" s="157"/>
      <c r="J5480" s="158"/>
      <c r="L5480" s="94"/>
      <c r="M5480" s="159"/>
      <c r="N5480" s="94"/>
    </row>
    <row r="5481">
      <c r="A5481" s="107">
        <v>1629873.0</v>
      </c>
      <c r="B5481" s="108" t="s">
        <v>215</v>
      </c>
      <c r="C5481" s="108" t="s">
        <v>1330</v>
      </c>
      <c r="D5481" s="100" t="str">
        <f t="shared" si="1"/>
        <v/>
      </c>
      <c r="E5481" s="100" t="str">
        <f t="shared" si="2"/>
        <v/>
      </c>
      <c r="F5481" s="100" t="str">
        <f t="shared" si="3"/>
        <v/>
      </c>
      <c r="G5481" s="151"/>
      <c r="H5481" s="156"/>
      <c r="I5481" s="157"/>
      <c r="J5481" s="161"/>
      <c r="L5481" s="94"/>
      <c r="M5481" s="159"/>
      <c r="N5481" s="94"/>
    </row>
    <row r="5482">
      <c r="A5482" s="107">
        <v>1629875.0</v>
      </c>
      <c r="B5482" s="108" t="s">
        <v>215</v>
      </c>
      <c r="C5482" s="108" t="s">
        <v>1331</v>
      </c>
      <c r="D5482" s="100" t="str">
        <f t="shared" si="1"/>
        <v/>
      </c>
      <c r="E5482" s="100" t="str">
        <f t="shared" si="2"/>
        <v/>
      </c>
      <c r="F5482" s="100" t="str">
        <f t="shared" si="3"/>
        <v/>
      </c>
      <c r="G5482" s="151"/>
      <c r="H5482" s="160"/>
      <c r="I5482" s="157"/>
      <c r="J5482" s="158"/>
      <c r="L5482" s="94"/>
      <c r="M5482" s="159"/>
      <c r="N5482" s="94"/>
    </row>
    <row r="5483">
      <c r="A5483" s="107">
        <v>1629875.0</v>
      </c>
      <c r="B5483" s="108" t="s">
        <v>244</v>
      </c>
      <c r="C5483" s="108" t="s">
        <v>1331</v>
      </c>
      <c r="D5483" s="100" t="str">
        <f t="shared" si="1"/>
        <v/>
      </c>
      <c r="E5483" s="100" t="str">
        <f t="shared" si="2"/>
        <v/>
      </c>
      <c r="F5483" s="100" t="str">
        <f t="shared" si="3"/>
        <v/>
      </c>
      <c r="G5483" s="151"/>
      <c r="H5483" s="156"/>
      <c r="I5483" s="157"/>
      <c r="J5483" s="161"/>
      <c r="L5483" s="94"/>
      <c r="M5483" s="159"/>
      <c r="N5483" s="94"/>
    </row>
    <row r="5484">
      <c r="A5484" s="107">
        <v>1629875.0</v>
      </c>
      <c r="B5484" s="108" t="s">
        <v>245</v>
      </c>
      <c r="C5484" s="108" t="s">
        <v>1331</v>
      </c>
      <c r="D5484" s="100" t="str">
        <f t="shared" si="1"/>
        <v/>
      </c>
      <c r="E5484" s="100" t="str">
        <f t="shared" si="2"/>
        <v/>
      </c>
      <c r="F5484" s="100" t="str">
        <f t="shared" si="3"/>
        <v/>
      </c>
      <c r="G5484" s="151"/>
      <c r="H5484" s="160"/>
      <c r="I5484" s="157"/>
      <c r="J5484" s="158"/>
      <c r="L5484" s="94"/>
      <c r="M5484" s="159"/>
      <c r="N5484" s="94"/>
    </row>
    <row r="5485">
      <c r="A5485" s="107">
        <v>1629958.0</v>
      </c>
      <c r="B5485" s="108" t="s">
        <v>215</v>
      </c>
      <c r="C5485" s="108" t="s">
        <v>1332</v>
      </c>
      <c r="D5485" s="100" t="str">
        <f t="shared" si="1"/>
        <v/>
      </c>
      <c r="E5485" s="100" t="str">
        <f t="shared" si="2"/>
        <v/>
      </c>
      <c r="F5485" s="100" t="str">
        <f t="shared" si="3"/>
        <v/>
      </c>
      <c r="G5485" s="151"/>
      <c r="H5485" s="156"/>
      <c r="I5485" s="157"/>
      <c r="J5485" s="161"/>
      <c r="L5485" s="94"/>
      <c r="M5485" s="159"/>
      <c r="N5485" s="94"/>
    </row>
    <row r="5486">
      <c r="A5486" s="107">
        <v>1629962.0</v>
      </c>
      <c r="B5486" s="108" t="s">
        <v>243</v>
      </c>
      <c r="C5486" s="108" t="s">
        <v>1333</v>
      </c>
      <c r="D5486" s="100" t="str">
        <f t="shared" si="1"/>
        <v/>
      </c>
      <c r="E5486" s="100" t="str">
        <f t="shared" si="2"/>
        <v/>
      </c>
      <c r="F5486" s="100" t="str">
        <f t="shared" si="3"/>
        <v/>
      </c>
      <c r="G5486" s="151"/>
      <c r="H5486" s="160"/>
      <c r="I5486" s="157"/>
      <c r="J5486" s="158"/>
      <c r="L5486" s="94"/>
      <c r="M5486" s="159"/>
      <c r="N5486" s="94"/>
    </row>
    <row r="5487">
      <c r="A5487" s="107">
        <v>1629962.0</v>
      </c>
      <c r="B5487" s="108" t="s">
        <v>215</v>
      </c>
      <c r="C5487" s="108" t="s">
        <v>1333</v>
      </c>
      <c r="D5487" s="100" t="str">
        <f t="shared" si="1"/>
        <v/>
      </c>
      <c r="E5487" s="100" t="str">
        <f t="shared" si="2"/>
        <v/>
      </c>
      <c r="F5487" s="100" t="str">
        <f t="shared" si="3"/>
        <v/>
      </c>
      <c r="G5487" s="151"/>
      <c r="H5487" s="156"/>
      <c r="I5487" s="157"/>
      <c r="J5487" s="161"/>
      <c r="L5487" s="94"/>
      <c r="M5487" s="159"/>
      <c r="N5487" s="94"/>
    </row>
    <row r="5488">
      <c r="A5488" s="107">
        <v>1630162.0</v>
      </c>
      <c r="B5488" s="108" t="s">
        <v>243</v>
      </c>
      <c r="C5488" s="108" t="s">
        <v>1334</v>
      </c>
      <c r="D5488" s="100" t="str">
        <f t="shared" si="1"/>
        <v/>
      </c>
      <c r="E5488" s="100" t="str">
        <f t="shared" si="2"/>
        <v/>
      </c>
      <c r="F5488" s="100" t="str">
        <f t="shared" si="3"/>
        <v/>
      </c>
      <c r="G5488" s="151"/>
      <c r="H5488" s="160"/>
      <c r="I5488" s="157"/>
      <c r="J5488" s="158"/>
      <c r="L5488" s="94"/>
      <c r="M5488" s="159"/>
      <c r="N5488" s="94"/>
    </row>
    <row r="5489">
      <c r="A5489" s="107">
        <v>1630162.0</v>
      </c>
      <c r="B5489" s="108" t="s">
        <v>215</v>
      </c>
      <c r="C5489" s="108" t="s">
        <v>1334</v>
      </c>
      <c r="D5489" s="100" t="str">
        <f t="shared" si="1"/>
        <v/>
      </c>
      <c r="E5489" s="100" t="str">
        <f t="shared" si="2"/>
        <v/>
      </c>
      <c r="F5489" s="100" t="str">
        <f t="shared" si="3"/>
        <v/>
      </c>
      <c r="G5489" s="151"/>
      <c r="H5489" s="156"/>
      <c r="I5489" s="157"/>
      <c r="J5489" s="161"/>
      <c r="L5489" s="94"/>
      <c r="M5489" s="159"/>
      <c r="N5489" s="94"/>
    </row>
    <row r="5490">
      <c r="A5490" s="107">
        <v>1630162.0</v>
      </c>
      <c r="B5490" s="108" t="s">
        <v>244</v>
      </c>
      <c r="C5490" s="108" t="s">
        <v>1334</v>
      </c>
      <c r="D5490" s="100" t="str">
        <f t="shared" si="1"/>
        <v/>
      </c>
      <c r="E5490" s="100" t="str">
        <f t="shared" si="2"/>
        <v/>
      </c>
      <c r="F5490" s="100" t="str">
        <f t="shared" si="3"/>
        <v/>
      </c>
      <c r="G5490" s="151"/>
      <c r="H5490" s="160"/>
      <c r="I5490" s="157"/>
      <c r="J5490" s="158"/>
      <c r="L5490" s="94"/>
      <c r="M5490" s="159"/>
      <c r="N5490" s="94"/>
    </row>
    <row r="5491">
      <c r="A5491" s="107">
        <v>1630162.0</v>
      </c>
      <c r="B5491" s="108" t="s">
        <v>245</v>
      </c>
      <c r="C5491" s="108" t="s">
        <v>1334</v>
      </c>
      <c r="D5491" s="100" t="str">
        <f t="shared" si="1"/>
        <v/>
      </c>
      <c r="E5491" s="100" t="str">
        <f t="shared" si="2"/>
        <v/>
      </c>
      <c r="F5491" s="100" t="str">
        <f t="shared" si="3"/>
        <v/>
      </c>
      <c r="G5491" s="151"/>
      <c r="H5491" s="156"/>
      <c r="I5491" s="157"/>
      <c r="J5491" s="161"/>
      <c r="L5491" s="94"/>
      <c r="M5491" s="159"/>
      <c r="N5491" s="94"/>
    </row>
    <row r="5492">
      <c r="A5492" s="107">
        <v>1630162.0</v>
      </c>
      <c r="B5492" s="108" t="s">
        <v>246</v>
      </c>
      <c r="C5492" s="108" t="s">
        <v>1334</v>
      </c>
      <c r="D5492" s="100" t="str">
        <f t="shared" si="1"/>
        <v/>
      </c>
      <c r="E5492" s="100" t="str">
        <f t="shared" si="2"/>
        <v/>
      </c>
      <c r="F5492" s="100" t="str">
        <f t="shared" si="3"/>
        <v/>
      </c>
      <c r="G5492" s="151"/>
      <c r="H5492" s="160"/>
      <c r="I5492" s="157"/>
      <c r="J5492" s="158"/>
      <c r="L5492" s="94"/>
      <c r="M5492" s="159"/>
      <c r="N5492" s="94"/>
    </row>
    <row r="5493">
      <c r="A5493" s="149">
        <v>1630162.0</v>
      </c>
      <c r="B5493" s="115" t="s">
        <v>247</v>
      </c>
      <c r="C5493" s="115" t="s">
        <v>1334</v>
      </c>
      <c r="D5493" s="100" t="str">
        <f t="shared" si="1"/>
        <v/>
      </c>
      <c r="E5493" s="100" t="str">
        <f t="shared" si="2"/>
        <v/>
      </c>
      <c r="F5493" s="100" t="str">
        <f t="shared" si="3"/>
        <v/>
      </c>
      <c r="G5493" s="151"/>
      <c r="H5493" s="156"/>
      <c r="I5493" s="157"/>
      <c r="J5493" s="161"/>
      <c r="L5493" s="94"/>
      <c r="M5493" s="159"/>
      <c r="N5493" s="94"/>
    </row>
    <row r="5494">
      <c r="A5494" s="21">
        <v>1630163.0</v>
      </c>
      <c r="B5494" s="164" t="s">
        <v>243</v>
      </c>
      <c r="C5494" s="164" t="s">
        <v>1335</v>
      </c>
      <c r="D5494" s="100" t="str">
        <f t="shared" si="1"/>
        <v/>
      </c>
      <c r="E5494" s="100" t="str">
        <f t="shared" si="2"/>
        <v/>
      </c>
      <c r="F5494" s="100" t="str">
        <f t="shared" si="3"/>
        <v/>
      </c>
      <c r="G5494" s="151"/>
      <c r="H5494" s="160"/>
      <c r="I5494" s="157"/>
      <c r="J5494" s="158"/>
      <c r="L5494" s="94"/>
      <c r="M5494" s="159"/>
      <c r="N5494" s="94"/>
    </row>
    <row r="5495">
      <c r="A5495" s="107">
        <v>1630163.0</v>
      </c>
      <c r="B5495" s="108" t="s">
        <v>215</v>
      </c>
      <c r="C5495" s="108" t="s">
        <v>1335</v>
      </c>
      <c r="D5495" s="100" t="str">
        <f t="shared" si="1"/>
        <v/>
      </c>
      <c r="E5495" s="100" t="str">
        <f t="shared" si="2"/>
        <v/>
      </c>
      <c r="F5495" s="100" t="str">
        <f t="shared" si="3"/>
        <v/>
      </c>
      <c r="G5495" s="151"/>
      <c r="H5495" s="156"/>
      <c r="I5495" s="157"/>
      <c r="J5495" s="161"/>
      <c r="L5495" s="94"/>
      <c r="M5495" s="159"/>
      <c r="N5495" s="94"/>
    </row>
    <row r="5496">
      <c r="A5496" s="107">
        <v>1630163.0</v>
      </c>
      <c r="B5496" s="108" t="s">
        <v>244</v>
      </c>
      <c r="C5496" s="108" t="s">
        <v>1335</v>
      </c>
      <c r="D5496" s="100" t="str">
        <f t="shared" si="1"/>
        <v/>
      </c>
      <c r="E5496" s="100" t="str">
        <f t="shared" si="2"/>
        <v/>
      </c>
      <c r="F5496" s="100" t="str">
        <f t="shared" si="3"/>
        <v/>
      </c>
      <c r="G5496" s="151"/>
      <c r="H5496" s="160"/>
      <c r="I5496" s="157"/>
      <c r="J5496" s="158"/>
      <c r="L5496" s="94"/>
      <c r="M5496" s="159"/>
      <c r="N5496" s="94"/>
    </row>
    <row r="5497">
      <c r="A5497" s="107">
        <v>1630163.0</v>
      </c>
      <c r="B5497" s="108" t="s">
        <v>245</v>
      </c>
      <c r="C5497" s="108" t="s">
        <v>1335</v>
      </c>
      <c r="D5497" s="100" t="str">
        <f t="shared" si="1"/>
        <v/>
      </c>
      <c r="E5497" s="100" t="str">
        <f t="shared" si="2"/>
        <v/>
      </c>
      <c r="F5497" s="100" t="str">
        <f t="shared" si="3"/>
        <v/>
      </c>
      <c r="G5497" s="151"/>
      <c r="H5497" s="156"/>
      <c r="I5497" s="157"/>
      <c r="J5497" s="161"/>
      <c r="L5497" s="94"/>
      <c r="M5497" s="159"/>
      <c r="N5497" s="94"/>
    </row>
    <row r="5498">
      <c r="A5498" s="107">
        <v>1630163.0</v>
      </c>
      <c r="B5498" s="108" t="s">
        <v>246</v>
      </c>
      <c r="C5498" s="108" t="s">
        <v>1335</v>
      </c>
      <c r="D5498" s="100" t="str">
        <f t="shared" si="1"/>
        <v/>
      </c>
      <c r="E5498" s="100" t="str">
        <f t="shared" si="2"/>
        <v/>
      </c>
      <c r="F5498" s="100" t="str">
        <f t="shared" si="3"/>
        <v/>
      </c>
      <c r="G5498" s="151"/>
      <c r="H5498" s="160"/>
      <c r="I5498" s="157"/>
      <c r="J5498" s="158"/>
      <c r="L5498" s="94"/>
      <c r="M5498" s="159"/>
      <c r="N5498" s="94"/>
    </row>
    <row r="5499">
      <c r="A5499" s="149">
        <v>1630163.0</v>
      </c>
      <c r="B5499" s="115" t="s">
        <v>247</v>
      </c>
      <c r="C5499" s="115" t="s">
        <v>1335</v>
      </c>
      <c r="D5499" s="100" t="str">
        <f t="shared" si="1"/>
        <v/>
      </c>
      <c r="E5499" s="100" t="str">
        <f t="shared" si="2"/>
        <v/>
      </c>
      <c r="F5499" s="100" t="str">
        <f t="shared" si="3"/>
        <v/>
      </c>
      <c r="G5499" s="151"/>
      <c r="H5499" s="156"/>
      <c r="I5499" s="157"/>
      <c r="J5499" s="161"/>
      <c r="L5499" s="94"/>
      <c r="M5499" s="159"/>
      <c r="N5499" s="94"/>
    </row>
    <row r="5500">
      <c r="A5500" s="21">
        <v>1630164.0</v>
      </c>
      <c r="B5500" s="164" t="s">
        <v>243</v>
      </c>
      <c r="C5500" s="164" t="s">
        <v>1336</v>
      </c>
      <c r="D5500" s="100" t="str">
        <f t="shared" si="1"/>
        <v/>
      </c>
      <c r="E5500" s="100" t="str">
        <f t="shared" si="2"/>
        <v/>
      </c>
      <c r="F5500" s="100" t="str">
        <f t="shared" si="3"/>
        <v/>
      </c>
      <c r="G5500" s="151"/>
      <c r="H5500" s="160"/>
      <c r="I5500" s="157"/>
      <c r="J5500" s="158"/>
      <c r="L5500" s="94"/>
      <c r="M5500" s="159"/>
      <c r="N5500" s="94"/>
    </row>
    <row r="5501">
      <c r="A5501" s="107">
        <v>1630164.0</v>
      </c>
      <c r="B5501" s="108" t="s">
        <v>244</v>
      </c>
      <c r="C5501" s="108" t="s">
        <v>1336</v>
      </c>
      <c r="D5501" s="100" t="str">
        <f t="shared" si="1"/>
        <v/>
      </c>
      <c r="E5501" s="100" t="str">
        <f t="shared" si="2"/>
        <v/>
      </c>
      <c r="F5501" s="100" t="str">
        <f t="shared" si="3"/>
        <v/>
      </c>
      <c r="G5501" s="151"/>
      <c r="H5501" s="156"/>
      <c r="I5501" s="157"/>
      <c r="J5501" s="161"/>
      <c r="L5501" s="94"/>
      <c r="M5501" s="159"/>
      <c r="N5501" s="94"/>
    </row>
    <row r="5502">
      <c r="A5502" s="107">
        <v>1630164.0</v>
      </c>
      <c r="B5502" s="108" t="s">
        <v>245</v>
      </c>
      <c r="C5502" s="108" t="s">
        <v>1336</v>
      </c>
      <c r="D5502" s="100" t="str">
        <f t="shared" si="1"/>
        <v/>
      </c>
      <c r="E5502" s="100" t="str">
        <f t="shared" si="2"/>
        <v/>
      </c>
      <c r="F5502" s="100" t="str">
        <f t="shared" si="3"/>
        <v/>
      </c>
      <c r="G5502" s="151"/>
      <c r="H5502" s="160"/>
      <c r="I5502" s="157"/>
      <c r="J5502" s="158"/>
      <c r="L5502" s="94"/>
      <c r="M5502" s="159"/>
      <c r="N5502" s="94"/>
    </row>
    <row r="5503">
      <c r="A5503" s="107">
        <v>1630164.0</v>
      </c>
      <c r="B5503" s="108" t="s">
        <v>246</v>
      </c>
      <c r="C5503" s="108" t="s">
        <v>1336</v>
      </c>
      <c r="D5503" s="100" t="str">
        <f t="shared" si="1"/>
        <v/>
      </c>
      <c r="E5503" s="100" t="str">
        <f t="shared" si="2"/>
        <v/>
      </c>
      <c r="F5503" s="100" t="str">
        <f t="shared" si="3"/>
        <v/>
      </c>
      <c r="G5503" s="151"/>
      <c r="H5503" s="156"/>
      <c r="I5503" s="157"/>
      <c r="J5503" s="161"/>
      <c r="L5503" s="94"/>
      <c r="M5503" s="159"/>
      <c r="N5503" s="94"/>
    </row>
    <row r="5504">
      <c r="A5504" s="149">
        <v>1630164.0</v>
      </c>
      <c r="B5504" s="115" t="s">
        <v>247</v>
      </c>
      <c r="C5504" s="115" t="s">
        <v>1336</v>
      </c>
      <c r="D5504" s="100" t="str">
        <f t="shared" si="1"/>
        <v/>
      </c>
      <c r="E5504" s="100" t="str">
        <f t="shared" si="2"/>
        <v/>
      </c>
      <c r="F5504" s="100" t="str">
        <f t="shared" si="3"/>
        <v/>
      </c>
      <c r="G5504" s="151"/>
      <c r="H5504" s="160"/>
      <c r="I5504" s="157"/>
      <c r="J5504" s="158"/>
      <c r="L5504" s="94"/>
      <c r="M5504" s="159"/>
      <c r="N5504" s="94"/>
    </row>
    <row r="5505">
      <c r="A5505" s="21">
        <v>1630165.0</v>
      </c>
      <c r="B5505" s="164" t="s">
        <v>243</v>
      </c>
      <c r="C5505" s="164" t="s">
        <v>1337</v>
      </c>
      <c r="D5505" s="100" t="str">
        <f t="shared" si="1"/>
        <v/>
      </c>
      <c r="E5505" s="100" t="str">
        <f t="shared" si="2"/>
        <v/>
      </c>
      <c r="F5505" s="100" t="str">
        <f t="shared" si="3"/>
        <v/>
      </c>
      <c r="G5505" s="151"/>
      <c r="H5505" s="156"/>
      <c r="I5505" s="157"/>
      <c r="J5505" s="161"/>
      <c r="L5505" s="94"/>
      <c r="M5505" s="159"/>
      <c r="N5505" s="94"/>
    </row>
    <row r="5506">
      <c r="A5506" s="107">
        <v>1630165.0</v>
      </c>
      <c r="B5506" s="108" t="s">
        <v>215</v>
      </c>
      <c r="C5506" s="108" t="s">
        <v>1337</v>
      </c>
      <c r="D5506" s="100" t="str">
        <f t="shared" si="1"/>
        <v/>
      </c>
      <c r="E5506" s="100" t="str">
        <f t="shared" si="2"/>
        <v/>
      </c>
      <c r="F5506" s="100" t="str">
        <f t="shared" si="3"/>
        <v/>
      </c>
      <c r="G5506" s="151"/>
      <c r="H5506" s="160"/>
      <c r="I5506" s="157"/>
      <c r="J5506" s="158"/>
      <c r="L5506" s="94"/>
      <c r="M5506" s="159"/>
      <c r="N5506" s="94"/>
    </row>
    <row r="5507">
      <c r="A5507" s="107">
        <v>1630165.0</v>
      </c>
      <c r="B5507" s="108" t="s">
        <v>244</v>
      </c>
      <c r="C5507" s="108" t="s">
        <v>1337</v>
      </c>
      <c r="D5507" s="100" t="str">
        <f t="shared" si="1"/>
        <v/>
      </c>
      <c r="E5507" s="100" t="str">
        <f t="shared" si="2"/>
        <v/>
      </c>
      <c r="F5507" s="100" t="str">
        <f t="shared" si="3"/>
        <v/>
      </c>
      <c r="G5507" s="151"/>
      <c r="H5507" s="156"/>
      <c r="I5507" s="157"/>
      <c r="J5507" s="161"/>
      <c r="L5507" s="94"/>
      <c r="M5507" s="159"/>
      <c r="N5507" s="94"/>
    </row>
    <row r="5508">
      <c r="A5508" s="107">
        <v>1630165.0</v>
      </c>
      <c r="B5508" s="108" t="s">
        <v>245</v>
      </c>
      <c r="C5508" s="108" t="s">
        <v>1337</v>
      </c>
      <c r="D5508" s="100" t="str">
        <f t="shared" si="1"/>
        <v/>
      </c>
      <c r="E5508" s="100" t="str">
        <f t="shared" si="2"/>
        <v/>
      </c>
      <c r="F5508" s="100" t="str">
        <f t="shared" si="3"/>
        <v/>
      </c>
      <c r="G5508" s="151"/>
      <c r="H5508" s="160"/>
      <c r="I5508" s="157"/>
      <c r="J5508" s="158"/>
      <c r="L5508" s="94"/>
      <c r="M5508" s="159"/>
      <c r="N5508" s="94"/>
    </row>
    <row r="5509">
      <c r="A5509" s="107">
        <v>1630165.0</v>
      </c>
      <c r="B5509" s="108" t="s">
        <v>246</v>
      </c>
      <c r="C5509" s="108" t="s">
        <v>1337</v>
      </c>
      <c r="D5509" s="100" t="str">
        <f t="shared" si="1"/>
        <v/>
      </c>
      <c r="E5509" s="100" t="str">
        <f t="shared" si="2"/>
        <v/>
      </c>
      <c r="F5509" s="100" t="str">
        <f t="shared" si="3"/>
        <v/>
      </c>
      <c r="G5509" s="151"/>
      <c r="H5509" s="156"/>
      <c r="I5509" s="157"/>
      <c r="J5509" s="161"/>
      <c r="L5509" s="94"/>
      <c r="M5509" s="159"/>
      <c r="N5509" s="94"/>
    </row>
    <row r="5510">
      <c r="A5510" s="120">
        <v>1630165.0</v>
      </c>
      <c r="B5510" s="122" t="s">
        <v>247</v>
      </c>
      <c r="C5510" s="122" t="s">
        <v>1337</v>
      </c>
      <c r="D5510" s="100" t="str">
        <f t="shared" si="1"/>
        <v/>
      </c>
      <c r="E5510" s="100" t="str">
        <f t="shared" si="2"/>
        <v/>
      </c>
      <c r="F5510" s="100" t="str">
        <f t="shared" si="3"/>
        <v/>
      </c>
      <c r="G5510" s="151"/>
      <c r="H5510" s="160"/>
      <c r="I5510" s="157"/>
      <c r="J5510" s="158"/>
      <c r="L5510" s="94"/>
      <c r="M5510" s="159"/>
      <c r="N5510" s="94"/>
    </row>
    <row r="5511">
      <c r="A5511" s="107">
        <v>1630166.0</v>
      </c>
      <c r="B5511" s="108" t="s">
        <v>243</v>
      </c>
      <c r="C5511" s="108" t="s">
        <v>1338</v>
      </c>
      <c r="D5511" s="100" t="str">
        <f t="shared" si="1"/>
        <v/>
      </c>
      <c r="E5511" s="100" t="str">
        <f t="shared" si="2"/>
        <v/>
      </c>
      <c r="F5511" s="100" t="str">
        <f t="shared" si="3"/>
        <v/>
      </c>
      <c r="G5511" s="151"/>
      <c r="H5511" s="156"/>
      <c r="I5511" s="157"/>
      <c r="J5511" s="161"/>
      <c r="L5511" s="94"/>
      <c r="M5511" s="159"/>
      <c r="N5511" s="94"/>
    </row>
    <row r="5512">
      <c r="A5512" s="107">
        <v>1630166.0</v>
      </c>
      <c r="B5512" s="108" t="s">
        <v>215</v>
      </c>
      <c r="C5512" s="108" t="s">
        <v>1338</v>
      </c>
      <c r="D5512" s="100" t="str">
        <f t="shared" si="1"/>
        <v/>
      </c>
      <c r="E5512" s="100" t="str">
        <f t="shared" si="2"/>
        <v/>
      </c>
      <c r="F5512" s="100" t="str">
        <f t="shared" si="3"/>
        <v/>
      </c>
      <c r="G5512" s="151"/>
      <c r="H5512" s="160"/>
      <c r="I5512" s="157"/>
      <c r="J5512" s="158"/>
      <c r="L5512" s="94"/>
      <c r="M5512" s="159"/>
      <c r="N5512" s="94"/>
    </row>
    <row r="5513">
      <c r="A5513" s="107">
        <v>1630166.0</v>
      </c>
      <c r="B5513" s="108" t="s">
        <v>244</v>
      </c>
      <c r="C5513" s="108" t="s">
        <v>1338</v>
      </c>
      <c r="D5513" s="100" t="str">
        <f t="shared" si="1"/>
        <v/>
      </c>
      <c r="E5513" s="100" t="str">
        <f t="shared" si="2"/>
        <v/>
      </c>
      <c r="F5513" s="100" t="str">
        <f t="shared" si="3"/>
        <v/>
      </c>
      <c r="G5513" s="151"/>
      <c r="H5513" s="156"/>
      <c r="I5513" s="157"/>
      <c r="J5513" s="161"/>
      <c r="L5513" s="94"/>
      <c r="M5513" s="159"/>
      <c r="N5513" s="94"/>
    </row>
    <row r="5514">
      <c r="A5514" s="107">
        <v>1630166.0</v>
      </c>
      <c r="B5514" s="108" t="s">
        <v>245</v>
      </c>
      <c r="C5514" s="108" t="s">
        <v>1338</v>
      </c>
      <c r="D5514" s="100" t="str">
        <f t="shared" si="1"/>
        <v/>
      </c>
      <c r="E5514" s="100" t="str">
        <f t="shared" si="2"/>
        <v/>
      </c>
      <c r="F5514" s="100" t="str">
        <f t="shared" si="3"/>
        <v/>
      </c>
      <c r="G5514" s="151"/>
      <c r="H5514" s="160"/>
      <c r="I5514" s="157"/>
      <c r="J5514" s="158"/>
      <c r="L5514" s="94"/>
      <c r="M5514" s="159"/>
      <c r="N5514" s="94"/>
    </row>
    <row r="5515">
      <c r="A5515" s="107">
        <v>1630166.0</v>
      </c>
      <c r="B5515" s="108" t="s">
        <v>246</v>
      </c>
      <c r="C5515" s="108" t="s">
        <v>1338</v>
      </c>
      <c r="D5515" s="100" t="str">
        <f t="shared" si="1"/>
        <v/>
      </c>
      <c r="E5515" s="100" t="str">
        <f t="shared" si="2"/>
        <v/>
      </c>
      <c r="F5515" s="100" t="str">
        <f t="shared" si="3"/>
        <v/>
      </c>
      <c r="G5515" s="151"/>
      <c r="H5515" s="156"/>
      <c r="I5515" s="157"/>
      <c r="J5515" s="161"/>
      <c r="L5515" s="94"/>
      <c r="M5515" s="159"/>
      <c r="N5515" s="94"/>
    </row>
    <row r="5516">
      <c r="A5516" s="114">
        <v>1630166.0</v>
      </c>
      <c r="B5516" s="113" t="s">
        <v>247</v>
      </c>
      <c r="C5516" s="113" t="s">
        <v>1338</v>
      </c>
      <c r="D5516" s="100" t="str">
        <f t="shared" si="1"/>
        <v/>
      </c>
      <c r="E5516" s="100" t="str">
        <f t="shared" si="2"/>
        <v/>
      </c>
      <c r="F5516" s="100" t="str">
        <f t="shared" si="3"/>
        <v/>
      </c>
      <c r="G5516" s="151"/>
      <c r="H5516" s="160"/>
      <c r="I5516" s="157"/>
      <c r="J5516" s="158"/>
      <c r="L5516" s="94"/>
      <c r="M5516" s="159"/>
      <c r="N5516" s="94"/>
    </row>
    <row r="5517">
      <c r="A5517" s="107">
        <v>1630167.0</v>
      </c>
      <c r="B5517" s="108" t="s">
        <v>243</v>
      </c>
      <c r="C5517" s="108" t="s">
        <v>1339</v>
      </c>
      <c r="D5517" s="100" t="str">
        <f t="shared" si="1"/>
        <v/>
      </c>
      <c r="E5517" s="100" t="str">
        <f t="shared" si="2"/>
        <v/>
      </c>
      <c r="F5517" s="100" t="str">
        <f t="shared" si="3"/>
        <v/>
      </c>
      <c r="G5517" s="151"/>
      <c r="H5517" s="156"/>
      <c r="I5517" s="157"/>
      <c r="J5517" s="161"/>
      <c r="L5517" s="94"/>
      <c r="M5517" s="159"/>
      <c r="N5517" s="94"/>
    </row>
    <row r="5518">
      <c r="A5518" s="107">
        <v>1630167.0</v>
      </c>
      <c r="B5518" s="108" t="s">
        <v>215</v>
      </c>
      <c r="C5518" s="108" t="s">
        <v>1339</v>
      </c>
      <c r="D5518" s="100" t="str">
        <f t="shared" si="1"/>
        <v/>
      </c>
      <c r="E5518" s="100" t="str">
        <f t="shared" si="2"/>
        <v/>
      </c>
      <c r="F5518" s="100" t="str">
        <f t="shared" si="3"/>
        <v/>
      </c>
      <c r="G5518" s="151"/>
      <c r="H5518" s="160"/>
      <c r="I5518" s="157"/>
      <c r="J5518" s="158"/>
      <c r="L5518" s="94"/>
      <c r="M5518" s="159"/>
      <c r="N5518" s="94"/>
    </row>
    <row r="5519">
      <c r="A5519" s="107">
        <v>1630167.0</v>
      </c>
      <c r="B5519" s="108" t="s">
        <v>244</v>
      </c>
      <c r="C5519" s="108" t="s">
        <v>1339</v>
      </c>
      <c r="D5519" s="100" t="str">
        <f t="shared" si="1"/>
        <v/>
      </c>
      <c r="E5519" s="100" t="str">
        <f t="shared" si="2"/>
        <v/>
      </c>
      <c r="F5519" s="100" t="str">
        <f t="shared" si="3"/>
        <v/>
      </c>
      <c r="G5519" s="151"/>
      <c r="H5519" s="156"/>
      <c r="I5519" s="157"/>
      <c r="J5519" s="161"/>
      <c r="L5519" s="94"/>
      <c r="M5519" s="159"/>
      <c r="N5519" s="94"/>
    </row>
    <row r="5520">
      <c r="A5520" s="107">
        <v>1630167.0</v>
      </c>
      <c r="B5520" s="108" t="s">
        <v>245</v>
      </c>
      <c r="C5520" s="108" t="s">
        <v>1339</v>
      </c>
      <c r="D5520" s="100" t="str">
        <f t="shared" si="1"/>
        <v/>
      </c>
      <c r="E5520" s="100" t="str">
        <f t="shared" si="2"/>
        <v/>
      </c>
      <c r="F5520" s="100" t="str">
        <f t="shared" si="3"/>
        <v/>
      </c>
      <c r="G5520" s="151"/>
      <c r="H5520" s="160"/>
      <c r="I5520" s="157"/>
      <c r="J5520" s="158"/>
      <c r="L5520" s="94"/>
      <c r="M5520" s="159"/>
      <c r="N5520" s="94"/>
    </row>
    <row r="5521">
      <c r="A5521" s="107">
        <v>1630167.0</v>
      </c>
      <c r="B5521" s="108" t="s">
        <v>246</v>
      </c>
      <c r="C5521" s="108" t="s">
        <v>1339</v>
      </c>
      <c r="D5521" s="100" t="str">
        <f t="shared" si="1"/>
        <v/>
      </c>
      <c r="E5521" s="100" t="str">
        <f t="shared" si="2"/>
        <v/>
      </c>
      <c r="F5521" s="100" t="str">
        <f t="shared" si="3"/>
        <v/>
      </c>
      <c r="G5521" s="151"/>
      <c r="H5521" s="156"/>
      <c r="I5521" s="157"/>
      <c r="J5521" s="161"/>
      <c r="L5521" s="94"/>
      <c r="M5521" s="159"/>
      <c r="N5521" s="94"/>
    </row>
    <row r="5522">
      <c r="A5522" s="114">
        <v>1630167.0</v>
      </c>
      <c r="B5522" s="113" t="s">
        <v>247</v>
      </c>
      <c r="C5522" s="113" t="s">
        <v>1339</v>
      </c>
      <c r="D5522" s="100" t="str">
        <f t="shared" si="1"/>
        <v/>
      </c>
      <c r="E5522" s="100" t="str">
        <f t="shared" si="2"/>
        <v/>
      </c>
      <c r="F5522" s="100" t="str">
        <f t="shared" si="3"/>
        <v/>
      </c>
      <c r="G5522" s="151"/>
      <c r="H5522" s="160"/>
      <c r="I5522" s="157"/>
      <c r="J5522" s="158"/>
      <c r="L5522" s="94"/>
      <c r="M5522" s="159"/>
      <c r="N5522" s="94"/>
    </row>
    <row r="5523">
      <c r="A5523" s="107">
        <v>1630168.0</v>
      </c>
      <c r="B5523" s="108" t="s">
        <v>243</v>
      </c>
      <c r="C5523" s="108" t="s">
        <v>1340</v>
      </c>
      <c r="D5523" s="100" t="str">
        <f t="shared" si="1"/>
        <v/>
      </c>
      <c r="E5523" s="100" t="str">
        <f t="shared" si="2"/>
        <v/>
      </c>
      <c r="F5523" s="100" t="str">
        <f t="shared" si="3"/>
        <v/>
      </c>
      <c r="G5523" s="151"/>
      <c r="H5523" s="156"/>
      <c r="I5523" s="157"/>
      <c r="J5523" s="161"/>
      <c r="L5523" s="94"/>
      <c r="M5523" s="159"/>
      <c r="N5523" s="94"/>
    </row>
    <row r="5524">
      <c r="A5524" s="107">
        <v>1630168.0</v>
      </c>
      <c r="B5524" s="108" t="s">
        <v>215</v>
      </c>
      <c r="C5524" s="108" t="s">
        <v>1340</v>
      </c>
      <c r="D5524" s="100" t="str">
        <f t="shared" si="1"/>
        <v/>
      </c>
      <c r="E5524" s="100" t="str">
        <f t="shared" si="2"/>
        <v/>
      </c>
      <c r="F5524" s="100" t="str">
        <f t="shared" si="3"/>
        <v/>
      </c>
      <c r="G5524" s="151"/>
      <c r="H5524" s="160"/>
      <c r="I5524" s="157"/>
      <c r="J5524" s="158"/>
      <c r="L5524" s="94"/>
      <c r="M5524" s="159"/>
      <c r="N5524" s="94"/>
    </row>
    <row r="5525">
      <c r="A5525" s="107">
        <v>1630168.0</v>
      </c>
      <c r="B5525" s="108" t="s">
        <v>244</v>
      </c>
      <c r="C5525" s="108" t="s">
        <v>1340</v>
      </c>
      <c r="D5525" s="100" t="str">
        <f t="shared" si="1"/>
        <v/>
      </c>
      <c r="E5525" s="100" t="str">
        <f t="shared" si="2"/>
        <v/>
      </c>
      <c r="F5525" s="100" t="str">
        <f t="shared" si="3"/>
        <v/>
      </c>
      <c r="G5525" s="151"/>
      <c r="H5525" s="156"/>
      <c r="I5525" s="157"/>
      <c r="J5525" s="161"/>
      <c r="L5525" s="94"/>
      <c r="M5525" s="159"/>
      <c r="N5525" s="94"/>
    </row>
    <row r="5526">
      <c r="A5526" s="107">
        <v>1630168.0</v>
      </c>
      <c r="B5526" s="108" t="s">
        <v>245</v>
      </c>
      <c r="C5526" s="108" t="s">
        <v>1340</v>
      </c>
      <c r="D5526" s="100" t="str">
        <f t="shared" si="1"/>
        <v/>
      </c>
      <c r="E5526" s="100" t="str">
        <f t="shared" si="2"/>
        <v/>
      </c>
      <c r="F5526" s="100" t="str">
        <f t="shared" si="3"/>
        <v/>
      </c>
      <c r="G5526" s="151"/>
      <c r="H5526" s="160"/>
      <c r="I5526" s="157"/>
      <c r="J5526" s="158"/>
      <c r="L5526" s="94"/>
      <c r="M5526" s="159"/>
      <c r="N5526" s="94"/>
    </row>
    <row r="5527">
      <c r="A5527" s="107">
        <v>1630168.0</v>
      </c>
      <c r="B5527" s="108" t="s">
        <v>246</v>
      </c>
      <c r="C5527" s="108" t="s">
        <v>1340</v>
      </c>
      <c r="D5527" s="100" t="str">
        <f t="shared" si="1"/>
        <v/>
      </c>
      <c r="E5527" s="100" t="str">
        <f t="shared" si="2"/>
        <v/>
      </c>
      <c r="F5527" s="100" t="str">
        <f t="shared" si="3"/>
        <v/>
      </c>
      <c r="G5527" s="151"/>
      <c r="H5527" s="156"/>
      <c r="I5527" s="157"/>
      <c r="J5527" s="161"/>
      <c r="L5527" s="94"/>
      <c r="M5527" s="159"/>
      <c r="N5527" s="94"/>
    </row>
    <row r="5528">
      <c r="A5528" s="114">
        <v>1630168.0</v>
      </c>
      <c r="B5528" s="113" t="s">
        <v>247</v>
      </c>
      <c r="C5528" s="113" t="s">
        <v>1340</v>
      </c>
      <c r="D5528" s="100" t="str">
        <f t="shared" si="1"/>
        <v/>
      </c>
      <c r="E5528" s="100" t="str">
        <f t="shared" si="2"/>
        <v/>
      </c>
      <c r="F5528" s="100" t="str">
        <f t="shared" si="3"/>
        <v/>
      </c>
      <c r="G5528" s="151"/>
      <c r="H5528" s="160"/>
      <c r="I5528" s="157"/>
      <c r="J5528" s="158"/>
      <c r="L5528" s="94"/>
      <c r="M5528" s="159"/>
      <c r="N5528" s="94"/>
    </row>
    <row r="5529">
      <c r="A5529" s="107">
        <v>1630169.0</v>
      </c>
      <c r="B5529" s="108" t="s">
        <v>243</v>
      </c>
      <c r="C5529" s="108" t="s">
        <v>1341</v>
      </c>
      <c r="D5529" s="100" t="str">
        <f t="shared" si="1"/>
        <v/>
      </c>
      <c r="E5529" s="100" t="str">
        <f t="shared" si="2"/>
        <v/>
      </c>
      <c r="F5529" s="100" t="str">
        <f t="shared" si="3"/>
        <v/>
      </c>
      <c r="G5529" s="151"/>
      <c r="H5529" s="156"/>
      <c r="I5529" s="157"/>
      <c r="J5529" s="161"/>
      <c r="L5529" s="94"/>
      <c r="M5529" s="159"/>
      <c r="N5529" s="94"/>
    </row>
    <row r="5530">
      <c r="A5530" s="107">
        <v>1630169.0</v>
      </c>
      <c r="B5530" s="108" t="s">
        <v>215</v>
      </c>
      <c r="C5530" s="108" t="s">
        <v>1341</v>
      </c>
      <c r="D5530" s="100" t="str">
        <f t="shared" si="1"/>
        <v/>
      </c>
      <c r="E5530" s="100" t="str">
        <f t="shared" si="2"/>
        <v/>
      </c>
      <c r="F5530" s="100" t="str">
        <f t="shared" si="3"/>
        <v/>
      </c>
      <c r="G5530" s="151"/>
      <c r="H5530" s="160"/>
      <c r="I5530" s="157"/>
      <c r="J5530" s="158"/>
      <c r="L5530" s="94"/>
      <c r="M5530" s="159"/>
      <c r="N5530" s="94"/>
    </row>
    <row r="5531">
      <c r="A5531" s="107">
        <v>1630169.0</v>
      </c>
      <c r="B5531" s="108" t="s">
        <v>244</v>
      </c>
      <c r="C5531" s="108" t="s">
        <v>1341</v>
      </c>
      <c r="D5531" s="100" t="str">
        <f t="shared" si="1"/>
        <v/>
      </c>
      <c r="E5531" s="100" t="str">
        <f t="shared" si="2"/>
        <v/>
      </c>
      <c r="F5531" s="100" t="str">
        <f t="shared" si="3"/>
        <v/>
      </c>
      <c r="G5531" s="151"/>
      <c r="H5531" s="156"/>
      <c r="I5531" s="157"/>
      <c r="J5531" s="161"/>
      <c r="L5531" s="94"/>
      <c r="M5531" s="159"/>
      <c r="N5531" s="94"/>
    </row>
    <row r="5532">
      <c r="A5532" s="107">
        <v>1630169.0</v>
      </c>
      <c r="B5532" s="108" t="s">
        <v>245</v>
      </c>
      <c r="C5532" s="108" t="s">
        <v>1341</v>
      </c>
      <c r="D5532" s="100" t="str">
        <f t="shared" si="1"/>
        <v/>
      </c>
      <c r="E5532" s="100" t="str">
        <f t="shared" si="2"/>
        <v/>
      </c>
      <c r="F5532" s="100" t="str">
        <f t="shared" si="3"/>
        <v/>
      </c>
      <c r="G5532" s="151"/>
      <c r="H5532" s="160"/>
      <c r="I5532" s="157"/>
      <c r="J5532" s="158"/>
      <c r="L5532" s="94"/>
      <c r="M5532" s="159"/>
      <c r="N5532" s="94"/>
    </row>
    <row r="5533">
      <c r="A5533" s="107">
        <v>1630169.0</v>
      </c>
      <c r="B5533" s="108" t="s">
        <v>246</v>
      </c>
      <c r="C5533" s="108" t="s">
        <v>1341</v>
      </c>
      <c r="D5533" s="100" t="str">
        <f t="shared" si="1"/>
        <v/>
      </c>
      <c r="E5533" s="100" t="str">
        <f t="shared" si="2"/>
        <v/>
      </c>
      <c r="F5533" s="100" t="str">
        <f t="shared" si="3"/>
        <v/>
      </c>
      <c r="G5533" s="151"/>
      <c r="H5533" s="156"/>
      <c r="I5533" s="157"/>
      <c r="J5533" s="161"/>
      <c r="L5533" s="94"/>
      <c r="M5533" s="159"/>
      <c r="N5533" s="94"/>
    </row>
    <row r="5534">
      <c r="A5534" s="107">
        <v>1630170.0</v>
      </c>
      <c r="B5534" s="108" t="s">
        <v>243</v>
      </c>
      <c r="C5534" s="108" t="s">
        <v>1342</v>
      </c>
      <c r="D5534" s="100" t="str">
        <f t="shared" si="1"/>
        <v/>
      </c>
      <c r="E5534" s="100" t="str">
        <f t="shared" si="2"/>
        <v/>
      </c>
      <c r="F5534" s="100" t="str">
        <f t="shared" si="3"/>
        <v/>
      </c>
      <c r="G5534" s="151"/>
      <c r="H5534" s="160"/>
      <c r="I5534" s="157"/>
      <c r="J5534" s="158"/>
      <c r="L5534" s="94"/>
      <c r="M5534" s="159"/>
      <c r="N5534" s="94"/>
    </row>
    <row r="5535">
      <c r="A5535" s="107">
        <v>1630170.0</v>
      </c>
      <c r="B5535" s="108" t="s">
        <v>215</v>
      </c>
      <c r="C5535" s="108" t="s">
        <v>1342</v>
      </c>
      <c r="D5535" s="100" t="str">
        <f t="shared" si="1"/>
        <v/>
      </c>
      <c r="E5535" s="100" t="str">
        <f t="shared" si="2"/>
        <v/>
      </c>
      <c r="F5535" s="100" t="str">
        <f t="shared" si="3"/>
        <v/>
      </c>
      <c r="G5535" s="151"/>
      <c r="H5535" s="156"/>
      <c r="I5535" s="157"/>
      <c r="J5535" s="161"/>
      <c r="L5535" s="94"/>
      <c r="M5535" s="159"/>
      <c r="N5535" s="94"/>
    </row>
    <row r="5536">
      <c r="A5536" s="107">
        <v>1630170.0</v>
      </c>
      <c r="B5536" s="108" t="s">
        <v>244</v>
      </c>
      <c r="C5536" s="108" t="s">
        <v>1342</v>
      </c>
      <c r="D5536" s="100" t="str">
        <f t="shared" si="1"/>
        <v/>
      </c>
      <c r="E5536" s="100" t="str">
        <f t="shared" si="2"/>
        <v/>
      </c>
      <c r="F5536" s="100" t="str">
        <f t="shared" si="3"/>
        <v/>
      </c>
      <c r="G5536" s="151"/>
      <c r="H5536" s="160"/>
      <c r="I5536" s="157"/>
      <c r="J5536" s="158"/>
      <c r="L5536" s="94"/>
      <c r="M5536" s="159"/>
      <c r="N5536" s="94"/>
    </row>
    <row r="5537">
      <c r="A5537" s="107">
        <v>1630170.0</v>
      </c>
      <c r="B5537" s="108" t="s">
        <v>245</v>
      </c>
      <c r="C5537" s="108" t="s">
        <v>1342</v>
      </c>
      <c r="D5537" s="100" t="str">
        <f t="shared" si="1"/>
        <v/>
      </c>
      <c r="E5537" s="100" t="str">
        <f t="shared" si="2"/>
        <v/>
      </c>
      <c r="F5537" s="100" t="str">
        <f t="shared" si="3"/>
        <v/>
      </c>
      <c r="G5537" s="151"/>
      <c r="H5537" s="156"/>
      <c r="I5537" s="157"/>
      <c r="J5537" s="161"/>
      <c r="L5537" s="94"/>
      <c r="M5537" s="159"/>
      <c r="N5537" s="94"/>
    </row>
    <row r="5538">
      <c r="A5538" s="107">
        <v>1630170.0</v>
      </c>
      <c r="B5538" s="108" t="s">
        <v>246</v>
      </c>
      <c r="C5538" s="108" t="s">
        <v>1342</v>
      </c>
      <c r="D5538" s="100" t="str">
        <f t="shared" si="1"/>
        <v/>
      </c>
      <c r="E5538" s="100" t="str">
        <f t="shared" si="2"/>
        <v/>
      </c>
      <c r="F5538" s="100" t="str">
        <f t="shared" si="3"/>
        <v/>
      </c>
      <c r="G5538" s="151"/>
      <c r="H5538" s="160"/>
      <c r="I5538" s="157"/>
      <c r="J5538" s="158"/>
      <c r="L5538" s="94"/>
      <c r="M5538" s="159"/>
      <c r="N5538" s="94"/>
    </row>
    <row r="5539">
      <c r="A5539" s="114">
        <v>1630170.0</v>
      </c>
      <c r="B5539" s="113" t="s">
        <v>247</v>
      </c>
      <c r="C5539" s="113" t="s">
        <v>1342</v>
      </c>
      <c r="D5539" s="100" t="str">
        <f t="shared" si="1"/>
        <v/>
      </c>
      <c r="E5539" s="100" t="str">
        <f t="shared" si="2"/>
        <v/>
      </c>
      <c r="F5539" s="100" t="str">
        <f t="shared" si="3"/>
        <v/>
      </c>
      <c r="G5539" s="151"/>
      <c r="H5539" s="156"/>
      <c r="I5539" s="157"/>
      <c r="J5539" s="161"/>
      <c r="L5539" s="94"/>
      <c r="M5539" s="159"/>
      <c r="N5539" s="94"/>
    </row>
    <row r="5540">
      <c r="A5540" s="107">
        <v>1630171.0</v>
      </c>
      <c r="B5540" s="108" t="s">
        <v>243</v>
      </c>
      <c r="C5540" s="108" t="s">
        <v>1343</v>
      </c>
      <c r="D5540" s="100" t="str">
        <f t="shared" si="1"/>
        <v/>
      </c>
      <c r="E5540" s="100" t="str">
        <f t="shared" si="2"/>
        <v/>
      </c>
      <c r="F5540" s="100" t="str">
        <f t="shared" si="3"/>
        <v/>
      </c>
      <c r="G5540" s="151"/>
      <c r="H5540" s="160"/>
      <c r="I5540" s="157"/>
      <c r="J5540" s="158"/>
      <c r="L5540" s="94"/>
      <c r="M5540" s="159"/>
      <c r="N5540" s="94"/>
    </row>
    <row r="5541">
      <c r="A5541" s="107">
        <v>1630171.0</v>
      </c>
      <c r="B5541" s="108" t="s">
        <v>215</v>
      </c>
      <c r="C5541" s="108" t="s">
        <v>1343</v>
      </c>
      <c r="D5541" s="100" t="str">
        <f t="shared" si="1"/>
        <v/>
      </c>
      <c r="E5541" s="100" t="str">
        <f t="shared" si="2"/>
        <v/>
      </c>
      <c r="F5541" s="100" t="str">
        <f t="shared" si="3"/>
        <v/>
      </c>
      <c r="G5541" s="151"/>
      <c r="H5541" s="156"/>
      <c r="I5541" s="157"/>
      <c r="J5541" s="161"/>
      <c r="L5541" s="94"/>
      <c r="M5541" s="159"/>
      <c r="N5541" s="94"/>
    </row>
    <row r="5542">
      <c r="A5542" s="107">
        <v>1630171.0</v>
      </c>
      <c r="B5542" s="108" t="s">
        <v>244</v>
      </c>
      <c r="C5542" s="108" t="s">
        <v>1343</v>
      </c>
      <c r="D5542" s="100" t="str">
        <f t="shared" si="1"/>
        <v/>
      </c>
      <c r="E5542" s="100" t="str">
        <f t="shared" si="2"/>
        <v/>
      </c>
      <c r="F5542" s="100" t="str">
        <f t="shared" si="3"/>
        <v/>
      </c>
      <c r="G5542" s="151"/>
      <c r="H5542" s="160"/>
      <c r="I5542" s="157"/>
      <c r="J5542" s="158"/>
      <c r="L5542" s="94"/>
      <c r="M5542" s="159"/>
      <c r="N5542" s="94"/>
    </row>
    <row r="5543">
      <c r="A5543" s="107">
        <v>1630171.0</v>
      </c>
      <c r="B5543" s="108" t="s">
        <v>245</v>
      </c>
      <c r="C5543" s="108" t="s">
        <v>1343</v>
      </c>
      <c r="D5543" s="100" t="str">
        <f t="shared" si="1"/>
        <v/>
      </c>
      <c r="E5543" s="100" t="str">
        <f t="shared" si="2"/>
        <v/>
      </c>
      <c r="F5543" s="100" t="str">
        <f t="shared" si="3"/>
        <v/>
      </c>
      <c r="G5543" s="151"/>
      <c r="H5543" s="156"/>
      <c r="I5543" s="157"/>
      <c r="J5543" s="161"/>
      <c r="L5543" s="94"/>
      <c r="M5543" s="159"/>
      <c r="N5543" s="94"/>
    </row>
    <row r="5544">
      <c r="A5544" s="107">
        <v>1630171.0</v>
      </c>
      <c r="B5544" s="108" t="s">
        <v>246</v>
      </c>
      <c r="C5544" s="108" t="s">
        <v>1343</v>
      </c>
      <c r="D5544" s="100" t="str">
        <f t="shared" si="1"/>
        <v/>
      </c>
      <c r="E5544" s="100" t="str">
        <f t="shared" si="2"/>
        <v/>
      </c>
      <c r="F5544" s="100" t="str">
        <f t="shared" si="3"/>
        <v/>
      </c>
      <c r="G5544" s="151"/>
      <c r="H5544" s="160"/>
      <c r="I5544" s="157"/>
      <c r="J5544" s="158"/>
      <c r="L5544" s="94"/>
      <c r="M5544" s="159"/>
      <c r="N5544" s="94"/>
    </row>
    <row r="5545">
      <c r="A5545" s="114">
        <v>1630171.0</v>
      </c>
      <c r="B5545" s="113" t="s">
        <v>247</v>
      </c>
      <c r="C5545" s="113" t="s">
        <v>1343</v>
      </c>
      <c r="D5545" s="100" t="str">
        <f t="shared" si="1"/>
        <v/>
      </c>
      <c r="E5545" s="100" t="str">
        <f t="shared" si="2"/>
        <v/>
      </c>
      <c r="F5545" s="100" t="str">
        <f t="shared" si="3"/>
        <v/>
      </c>
      <c r="G5545" s="151"/>
      <c r="H5545" s="156"/>
      <c r="I5545" s="157"/>
      <c r="J5545" s="161"/>
      <c r="L5545" s="94"/>
      <c r="M5545" s="159"/>
      <c r="N5545" s="94"/>
    </row>
    <row r="5546">
      <c r="A5546" s="107">
        <v>1630172.0</v>
      </c>
      <c r="B5546" s="108" t="s">
        <v>243</v>
      </c>
      <c r="C5546" s="108" t="s">
        <v>1344</v>
      </c>
      <c r="D5546" s="100" t="str">
        <f t="shared" si="1"/>
        <v/>
      </c>
      <c r="E5546" s="100" t="str">
        <f t="shared" si="2"/>
        <v/>
      </c>
      <c r="F5546" s="100" t="str">
        <f t="shared" si="3"/>
        <v/>
      </c>
      <c r="G5546" s="151"/>
      <c r="H5546" s="160"/>
      <c r="I5546" s="157"/>
      <c r="J5546" s="158"/>
      <c r="L5546" s="94"/>
      <c r="M5546" s="159"/>
      <c r="N5546" s="94"/>
    </row>
    <row r="5547">
      <c r="A5547" s="107">
        <v>1630172.0</v>
      </c>
      <c r="B5547" s="108" t="s">
        <v>215</v>
      </c>
      <c r="C5547" s="108" t="s">
        <v>1344</v>
      </c>
      <c r="D5547" s="100" t="str">
        <f t="shared" si="1"/>
        <v/>
      </c>
      <c r="E5547" s="100" t="str">
        <f t="shared" si="2"/>
        <v/>
      </c>
      <c r="F5547" s="100" t="str">
        <f t="shared" si="3"/>
        <v/>
      </c>
      <c r="G5547" s="151"/>
      <c r="H5547" s="156"/>
      <c r="I5547" s="157"/>
      <c r="J5547" s="161"/>
      <c r="L5547" s="94"/>
      <c r="M5547" s="159"/>
      <c r="N5547" s="94"/>
    </row>
    <row r="5548">
      <c r="A5548" s="107">
        <v>1630172.0</v>
      </c>
      <c r="B5548" s="108" t="s">
        <v>244</v>
      </c>
      <c r="C5548" s="108" t="s">
        <v>1344</v>
      </c>
      <c r="D5548" s="100" t="str">
        <f t="shared" si="1"/>
        <v/>
      </c>
      <c r="E5548" s="100" t="str">
        <f t="shared" si="2"/>
        <v/>
      </c>
      <c r="F5548" s="100" t="str">
        <f t="shared" si="3"/>
        <v/>
      </c>
      <c r="G5548" s="151"/>
      <c r="H5548" s="160"/>
      <c r="I5548" s="157"/>
      <c r="J5548" s="158"/>
      <c r="L5548" s="94"/>
      <c r="M5548" s="159"/>
      <c r="N5548" s="94"/>
    </row>
    <row r="5549">
      <c r="A5549" s="107">
        <v>1630172.0</v>
      </c>
      <c r="B5549" s="108" t="s">
        <v>245</v>
      </c>
      <c r="C5549" s="108" t="s">
        <v>1344</v>
      </c>
      <c r="D5549" s="100" t="str">
        <f t="shared" si="1"/>
        <v/>
      </c>
      <c r="E5549" s="100" t="str">
        <f t="shared" si="2"/>
        <v/>
      </c>
      <c r="F5549" s="100" t="str">
        <f t="shared" si="3"/>
        <v/>
      </c>
      <c r="G5549" s="151"/>
      <c r="H5549" s="156"/>
      <c r="I5549" s="157"/>
      <c r="J5549" s="161"/>
      <c r="L5549" s="94"/>
      <c r="M5549" s="159"/>
      <c r="N5549" s="94"/>
    </row>
    <row r="5550">
      <c r="A5550" s="107">
        <v>1630172.0</v>
      </c>
      <c r="B5550" s="108" t="s">
        <v>246</v>
      </c>
      <c r="C5550" s="108" t="s">
        <v>1344</v>
      </c>
      <c r="D5550" s="100" t="str">
        <f t="shared" si="1"/>
        <v/>
      </c>
      <c r="E5550" s="100" t="str">
        <f t="shared" si="2"/>
        <v/>
      </c>
      <c r="F5550" s="100" t="str">
        <f t="shared" si="3"/>
        <v/>
      </c>
      <c r="G5550" s="151"/>
      <c r="H5550" s="160"/>
      <c r="I5550" s="157"/>
      <c r="J5550" s="158"/>
      <c r="L5550" s="94"/>
      <c r="M5550" s="159"/>
      <c r="N5550" s="94"/>
    </row>
    <row r="5551">
      <c r="A5551" s="114">
        <v>1630172.0</v>
      </c>
      <c r="B5551" s="113" t="s">
        <v>247</v>
      </c>
      <c r="C5551" s="113" t="s">
        <v>1344</v>
      </c>
      <c r="D5551" s="100" t="str">
        <f t="shared" si="1"/>
        <v/>
      </c>
      <c r="E5551" s="100" t="str">
        <f t="shared" si="2"/>
        <v/>
      </c>
      <c r="F5551" s="100" t="str">
        <f t="shared" si="3"/>
        <v/>
      </c>
      <c r="G5551" s="151"/>
      <c r="H5551" s="156"/>
      <c r="I5551" s="157"/>
      <c r="J5551" s="161"/>
      <c r="L5551" s="94"/>
      <c r="M5551" s="159"/>
      <c r="N5551" s="94"/>
    </row>
    <row r="5552">
      <c r="A5552" s="107">
        <v>1630173.0</v>
      </c>
      <c r="B5552" s="108" t="s">
        <v>243</v>
      </c>
      <c r="C5552" s="116" t="s">
        <v>1345</v>
      </c>
      <c r="D5552" s="100" t="str">
        <f t="shared" si="1"/>
        <v/>
      </c>
      <c r="E5552" s="100" t="str">
        <f t="shared" si="2"/>
        <v/>
      </c>
      <c r="F5552" s="100" t="str">
        <f t="shared" si="3"/>
        <v/>
      </c>
      <c r="G5552" s="151"/>
      <c r="H5552" s="160"/>
      <c r="I5552" s="157"/>
      <c r="J5552" s="158"/>
      <c r="L5552" s="94"/>
      <c r="M5552" s="159"/>
      <c r="N5552" s="94"/>
    </row>
    <row r="5553">
      <c r="A5553" s="107">
        <v>1630173.0</v>
      </c>
      <c r="B5553" s="108" t="s">
        <v>215</v>
      </c>
      <c r="C5553" s="108" t="s">
        <v>1345</v>
      </c>
      <c r="D5553" s="100" t="str">
        <f t="shared" si="1"/>
        <v/>
      </c>
      <c r="E5553" s="100" t="str">
        <f t="shared" si="2"/>
        <v/>
      </c>
      <c r="F5553" s="100" t="str">
        <f t="shared" si="3"/>
        <v/>
      </c>
      <c r="G5553" s="151"/>
      <c r="H5553" s="156"/>
      <c r="I5553" s="157"/>
      <c r="J5553" s="161"/>
      <c r="L5553" s="94"/>
      <c r="M5553" s="159"/>
      <c r="N5553" s="94"/>
    </row>
    <row r="5554">
      <c r="A5554" s="107">
        <v>1630173.0</v>
      </c>
      <c r="B5554" s="108" t="s">
        <v>244</v>
      </c>
      <c r="C5554" s="108" t="s">
        <v>1345</v>
      </c>
      <c r="D5554" s="100" t="str">
        <f t="shared" si="1"/>
        <v/>
      </c>
      <c r="E5554" s="100" t="str">
        <f t="shared" si="2"/>
        <v/>
      </c>
      <c r="F5554" s="100" t="str">
        <f t="shared" si="3"/>
        <v/>
      </c>
      <c r="G5554" s="151"/>
      <c r="H5554" s="160"/>
      <c r="I5554" s="157"/>
      <c r="J5554" s="158"/>
      <c r="L5554" s="94"/>
      <c r="M5554" s="159"/>
      <c r="N5554" s="94"/>
    </row>
    <row r="5555">
      <c r="A5555" s="107">
        <v>1630173.0</v>
      </c>
      <c r="B5555" s="108" t="s">
        <v>245</v>
      </c>
      <c r="C5555" s="108" t="s">
        <v>1345</v>
      </c>
      <c r="D5555" s="100" t="str">
        <f t="shared" si="1"/>
        <v/>
      </c>
      <c r="E5555" s="100" t="str">
        <f t="shared" si="2"/>
        <v/>
      </c>
      <c r="F5555" s="100" t="str">
        <f t="shared" si="3"/>
        <v/>
      </c>
      <c r="G5555" s="151"/>
      <c r="H5555" s="156"/>
      <c r="I5555" s="157"/>
      <c r="J5555" s="161"/>
      <c r="L5555" s="94"/>
      <c r="M5555" s="159"/>
      <c r="N5555" s="94"/>
    </row>
    <row r="5556">
      <c r="A5556" s="107">
        <v>1630173.0</v>
      </c>
      <c r="B5556" s="108" t="s">
        <v>246</v>
      </c>
      <c r="C5556" s="108" t="s">
        <v>1345</v>
      </c>
      <c r="D5556" s="100" t="str">
        <f t="shared" si="1"/>
        <v/>
      </c>
      <c r="E5556" s="100" t="str">
        <f t="shared" si="2"/>
        <v/>
      </c>
      <c r="F5556" s="100" t="str">
        <f t="shared" si="3"/>
        <v/>
      </c>
      <c r="G5556" s="151"/>
      <c r="H5556" s="160"/>
      <c r="I5556" s="157"/>
      <c r="J5556" s="158"/>
      <c r="L5556" s="94"/>
      <c r="M5556" s="159"/>
      <c r="N5556" s="94"/>
    </row>
    <row r="5557">
      <c r="A5557" s="114">
        <v>1630173.0</v>
      </c>
      <c r="B5557" s="113" t="s">
        <v>247</v>
      </c>
      <c r="C5557" s="113" t="s">
        <v>1345</v>
      </c>
      <c r="D5557" s="100" t="str">
        <f t="shared" si="1"/>
        <v/>
      </c>
      <c r="E5557" s="100" t="str">
        <f t="shared" si="2"/>
        <v/>
      </c>
      <c r="F5557" s="100" t="str">
        <f t="shared" si="3"/>
        <v/>
      </c>
      <c r="G5557" s="151"/>
      <c r="H5557" s="156"/>
      <c r="I5557" s="157"/>
      <c r="J5557" s="161"/>
      <c r="L5557" s="94"/>
      <c r="M5557" s="159"/>
      <c r="N5557" s="94"/>
    </row>
    <row r="5558">
      <c r="A5558" s="107">
        <v>1630174.0</v>
      </c>
      <c r="B5558" s="108" t="s">
        <v>243</v>
      </c>
      <c r="C5558" s="108" t="s">
        <v>1346</v>
      </c>
      <c r="D5558" s="100" t="str">
        <f t="shared" si="1"/>
        <v/>
      </c>
      <c r="E5558" s="100" t="str">
        <f t="shared" si="2"/>
        <v/>
      </c>
      <c r="F5558" s="100" t="str">
        <f t="shared" si="3"/>
        <v/>
      </c>
      <c r="G5558" s="151"/>
      <c r="H5558" s="160"/>
      <c r="I5558" s="157"/>
      <c r="J5558" s="158"/>
      <c r="L5558" s="94"/>
      <c r="M5558" s="159"/>
      <c r="N5558" s="94"/>
    </row>
    <row r="5559">
      <c r="A5559" s="107">
        <v>1630174.0</v>
      </c>
      <c r="B5559" s="108" t="s">
        <v>215</v>
      </c>
      <c r="C5559" s="108" t="s">
        <v>1346</v>
      </c>
      <c r="D5559" s="100" t="str">
        <f t="shared" si="1"/>
        <v/>
      </c>
      <c r="E5559" s="100" t="str">
        <f t="shared" si="2"/>
        <v/>
      </c>
      <c r="F5559" s="100" t="str">
        <f t="shared" si="3"/>
        <v/>
      </c>
      <c r="G5559" s="151"/>
      <c r="H5559" s="156"/>
      <c r="I5559" s="157"/>
      <c r="J5559" s="161"/>
      <c r="L5559" s="94"/>
      <c r="M5559" s="159"/>
      <c r="N5559" s="94"/>
    </row>
    <row r="5560">
      <c r="A5560" s="107">
        <v>1630174.0</v>
      </c>
      <c r="B5560" s="108" t="s">
        <v>244</v>
      </c>
      <c r="C5560" s="108" t="s">
        <v>1346</v>
      </c>
      <c r="D5560" s="100" t="str">
        <f t="shared" si="1"/>
        <v/>
      </c>
      <c r="E5560" s="100" t="str">
        <f t="shared" si="2"/>
        <v/>
      </c>
      <c r="F5560" s="100" t="str">
        <f t="shared" si="3"/>
        <v/>
      </c>
      <c r="G5560" s="151"/>
      <c r="H5560" s="160"/>
      <c r="I5560" s="157"/>
      <c r="J5560" s="158"/>
      <c r="L5560" s="94"/>
      <c r="M5560" s="159"/>
      <c r="N5560" s="94"/>
    </row>
    <row r="5561">
      <c r="A5561" s="107">
        <v>1630174.0</v>
      </c>
      <c r="B5561" s="108" t="s">
        <v>245</v>
      </c>
      <c r="C5561" s="108" t="s">
        <v>1346</v>
      </c>
      <c r="D5561" s="100" t="str">
        <f t="shared" si="1"/>
        <v/>
      </c>
      <c r="E5561" s="100" t="str">
        <f t="shared" si="2"/>
        <v/>
      </c>
      <c r="F5561" s="100" t="str">
        <f t="shared" si="3"/>
        <v/>
      </c>
      <c r="G5561" s="151"/>
      <c r="H5561" s="156"/>
      <c r="I5561" s="157"/>
      <c r="J5561" s="161"/>
      <c r="L5561" s="94"/>
      <c r="M5561" s="159"/>
      <c r="N5561" s="94"/>
    </row>
    <row r="5562">
      <c r="A5562" s="107">
        <v>1630174.0</v>
      </c>
      <c r="B5562" s="108" t="s">
        <v>246</v>
      </c>
      <c r="C5562" s="108" t="s">
        <v>1346</v>
      </c>
      <c r="D5562" s="100" t="str">
        <f t="shared" si="1"/>
        <v/>
      </c>
      <c r="E5562" s="100" t="str">
        <f t="shared" si="2"/>
        <v/>
      </c>
      <c r="F5562" s="100" t="str">
        <f t="shared" si="3"/>
        <v/>
      </c>
      <c r="G5562" s="151"/>
      <c r="H5562" s="160"/>
      <c r="I5562" s="157"/>
      <c r="J5562" s="158"/>
      <c r="L5562" s="94"/>
      <c r="M5562" s="159"/>
      <c r="N5562" s="94"/>
    </row>
    <row r="5563">
      <c r="A5563" s="114">
        <v>1630174.0</v>
      </c>
      <c r="B5563" s="113" t="s">
        <v>247</v>
      </c>
      <c r="C5563" s="113" t="s">
        <v>1346</v>
      </c>
      <c r="D5563" s="100" t="str">
        <f t="shared" si="1"/>
        <v/>
      </c>
      <c r="E5563" s="100" t="str">
        <f t="shared" si="2"/>
        <v/>
      </c>
      <c r="F5563" s="100" t="str">
        <f t="shared" si="3"/>
        <v/>
      </c>
      <c r="G5563" s="151"/>
      <c r="H5563" s="156"/>
      <c r="I5563" s="157"/>
      <c r="J5563" s="161"/>
      <c r="L5563" s="94"/>
      <c r="M5563" s="159"/>
      <c r="N5563" s="94"/>
    </row>
    <row r="5564">
      <c r="A5564" s="107">
        <v>1630175.0</v>
      </c>
      <c r="B5564" s="108" t="s">
        <v>243</v>
      </c>
      <c r="C5564" s="108" t="s">
        <v>1347</v>
      </c>
      <c r="D5564" s="100" t="str">
        <f t="shared" si="1"/>
        <v/>
      </c>
      <c r="E5564" s="100" t="str">
        <f t="shared" si="2"/>
        <v/>
      </c>
      <c r="F5564" s="100" t="str">
        <f t="shared" si="3"/>
        <v/>
      </c>
      <c r="G5564" s="151"/>
      <c r="H5564" s="160"/>
      <c r="I5564" s="157"/>
      <c r="J5564" s="158"/>
      <c r="L5564" s="94"/>
      <c r="M5564" s="159"/>
      <c r="N5564" s="94"/>
    </row>
    <row r="5565">
      <c r="A5565" s="107">
        <v>1630175.0</v>
      </c>
      <c r="B5565" s="108" t="s">
        <v>215</v>
      </c>
      <c r="C5565" s="108" t="s">
        <v>1347</v>
      </c>
      <c r="D5565" s="100" t="str">
        <f t="shared" si="1"/>
        <v/>
      </c>
      <c r="E5565" s="100" t="str">
        <f t="shared" si="2"/>
        <v/>
      </c>
      <c r="F5565" s="100" t="str">
        <f t="shared" si="3"/>
        <v/>
      </c>
      <c r="G5565" s="151"/>
      <c r="H5565" s="156"/>
      <c r="I5565" s="157"/>
      <c r="J5565" s="161"/>
      <c r="L5565" s="94"/>
      <c r="M5565" s="159"/>
      <c r="N5565" s="94"/>
    </row>
    <row r="5566">
      <c r="A5566" s="107">
        <v>1630175.0</v>
      </c>
      <c r="B5566" s="108" t="s">
        <v>244</v>
      </c>
      <c r="C5566" s="108" t="s">
        <v>1347</v>
      </c>
      <c r="D5566" s="100" t="str">
        <f t="shared" si="1"/>
        <v/>
      </c>
      <c r="E5566" s="100" t="str">
        <f t="shared" si="2"/>
        <v/>
      </c>
      <c r="F5566" s="100" t="str">
        <f t="shared" si="3"/>
        <v/>
      </c>
      <c r="G5566" s="151"/>
      <c r="H5566" s="160"/>
      <c r="I5566" s="157"/>
      <c r="J5566" s="158"/>
      <c r="L5566" s="94"/>
      <c r="M5566" s="159"/>
      <c r="N5566" s="94"/>
    </row>
    <row r="5567">
      <c r="A5567" s="107">
        <v>1630175.0</v>
      </c>
      <c r="B5567" s="108" t="s">
        <v>245</v>
      </c>
      <c r="C5567" s="108" t="s">
        <v>1347</v>
      </c>
      <c r="D5567" s="100" t="str">
        <f t="shared" si="1"/>
        <v/>
      </c>
      <c r="E5567" s="100" t="str">
        <f t="shared" si="2"/>
        <v/>
      </c>
      <c r="F5567" s="100" t="str">
        <f t="shared" si="3"/>
        <v/>
      </c>
      <c r="G5567" s="151"/>
      <c r="H5567" s="156"/>
      <c r="I5567" s="157"/>
      <c r="J5567" s="161"/>
      <c r="L5567" s="94"/>
      <c r="M5567" s="159"/>
      <c r="N5567" s="94"/>
    </row>
    <row r="5568">
      <c r="A5568" s="107">
        <v>1630175.0</v>
      </c>
      <c r="B5568" s="108" t="s">
        <v>246</v>
      </c>
      <c r="C5568" s="108" t="s">
        <v>1347</v>
      </c>
      <c r="D5568" s="100" t="str">
        <f t="shared" si="1"/>
        <v/>
      </c>
      <c r="E5568" s="100" t="str">
        <f t="shared" si="2"/>
        <v/>
      </c>
      <c r="F5568" s="100" t="str">
        <f t="shared" si="3"/>
        <v/>
      </c>
      <c r="G5568" s="151"/>
      <c r="H5568" s="160"/>
      <c r="I5568" s="157"/>
      <c r="J5568" s="158"/>
      <c r="L5568" s="94"/>
      <c r="M5568" s="159"/>
      <c r="N5568" s="94"/>
    </row>
    <row r="5569">
      <c r="A5569" s="114">
        <v>1630175.0</v>
      </c>
      <c r="B5569" s="113" t="s">
        <v>247</v>
      </c>
      <c r="C5569" s="113" t="s">
        <v>1347</v>
      </c>
      <c r="D5569" s="100" t="str">
        <f t="shared" si="1"/>
        <v/>
      </c>
      <c r="E5569" s="100" t="str">
        <f t="shared" si="2"/>
        <v/>
      </c>
      <c r="F5569" s="100" t="str">
        <f t="shared" si="3"/>
        <v/>
      </c>
      <c r="G5569" s="151"/>
      <c r="H5569" s="156"/>
      <c r="I5569" s="157"/>
      <c r="J5569" s="161"/>
      <c r="L5569" s="94"/>
      <c r="M5569" s="159"/>
      <c r="N5569" s="94"/>
    </row>
    <row r="5570">
      <c r="A5570" s="107">
        <v>1630176.0</v>
      </c>
      <c r="B5570" s="108" t="s">
        <v>243</v>
      </c>
      <c r="C5570" s="108" t="s">
        <v>1348</v>
      </c>
      <c r="D5570" s="100" t="str">
        <f t="shared" si="1"/>
        <v/>
      </c>
      <c r="E5570" s="100" t="str">
        <f t="shared" si="2"/>
        <v/>
      </c>
      <c r="F5570" s="100" t="str">
        <f t="shared" si="3"/>
        <v/>
      </c>
      <c r="G5570" s="151"/>
      <c r="H5570" s="160"/>
      <c r="I5570" s="157"/>
      <c r="J5570" s="158"/>
      <c r="L5570" s="94"/>
      <c r="M5570" s="159"/>
      <c r="N5570" s="94"/>
    </row>
    <row r="5571">
      <c r="A5571" s="107">
        <v>1630176.0</v>
      </c>
      <c r="B5571" s="108" t="s">
        <v>215</v>
      </c>
      <c r="C5571" s="108" t="s">
        <v>1348</v>
      </c>
      <c r="D5571" s="100" t="str">
        <f t="shared" si="1"/>
        <v/>
      </c>
      <c r="E5571" s="100" t="str">
        <f t="shared" si="2"/>
        <v/>
      </c>
      <c r="F5571" s="100" t="str">
        <f t="shared" si="3"/>
        <v/>
      </c>
      <c r="G5571" s="151"/>
      <c r="H5571" s="156"/>
      <c r="I5571" s="157"/>
      <c r="J5571" s="161"/>
      <c r="L5571" s="94"/>
      <c r="M5571" s="159"/>
      <c r="N5571" s="94"/>
    </row>
    <row r="5572">
      <c r="A5572" s="107">
        <v>1630176.0</v>
      </c>
      <c r="B5572" s="108" t="s">
        <v>244</v>
      </c>
      <c r="C5572" s="108" t="s">
        <v>1348</v>
      </c>
      <c r="D5572" s="100" t="str">
        <f t="shared" si="1"/>
        <v/>
      </c>
      <c r="E5572" s="100" t="str">
        <f t="shared" si="2"/>
        <v/>
      </c>
      <c r="F5572" s="100" t="str">
        <f t="shared" si="3"/>
        <v/>
      </c>
      <c r="G5572" s="151"/>
      <c r="H5572" s="160"/>
      <c r="I5572" s="157"/>
      <c r="J5572" s="158"/>
      <c r="L5572" s="94"/>
      <c r="M5572" s="159"/>
      <c r="N5572" s="94"/>
    </row>
    <row r="5573">
      <c r="A5573" s="107">
        <v>1630177.0</v>
      </c>
      <c r="B5573" s="108" t="s">
        <v>243</v>
      </c>
      <c r="C5573" s="108" t="s">
        <v>1349</v>
      </c>
      <c r="D5573" s="100" t="str">
        <f t="shared" si="1"/>
        <v/>
      </c>
      <c r="E5573" s="100" t="str">
        <f t="shared" si="2"/>
        <v/>
      </c>
      <c r="F5573" s="100" t="str">
        <f t="shared" si="3"/>
        <v/>
      </c>
      <c r="G5573" s="151"/>
      <c r="H5573" s="156"/>
      <c r="I5573" s="157"/>
      <c r="J5573" s="161"/>
      <c r="L5573" s="94"/>
      <c r="M5573" s="159"/>
      <c r="N5573" s="94"/>
    </row>
    <row r="5574">
      <c r="A5574" s="107">
        <v>1630177.0</v>
      </c>
      <c r="B5574" s="108" t="s">
        <v>215</v>
      </c>
      <c r="C5574" s="108" t="s">
        <v>1349</v>
      </c>
      <c r="D5574" s="100" t="str">
        <f t="shared" si="1"/>
        <v/>
      </c>
      <c r="E5574" s="100" t="str">
        <f t="shared" si="2"/>
        <v/>
      </c>
      <c r="F5574" s="100" t="str">
        <f t="shared" si="3"/>
        <v/>
      </c>
      <c r="G5574" s="151"/>
      <c r="H5574" s="160"/>
      <c r="I5574" s="157"/>
      <c r="J5574" s="158"/>
      <c r="L5574" s="94"/>
      <c r="M5574" s="159"/>
      <c r="N5574" s="94"/>
    </row>
    <row r="5575">
      <c r="A5575" s="107">
        <v>1630177.0</v>
      </c>
      <c r="B5575" s="108" t="s">
        <v>244</v>
      </c>
      <c r="C5575" s="108" t="s">
        <v>1349</v>
      </c>
      <c r="D5575" s="100" t="str">
        <f t="shared" si="1"/>
        <v/>
      </c>
      <c r="E5575" s="100" t="str">
        <f t="shared" si="2"/>
        <v/>
      </c>
      <c r="F5575" s="100" t="str">
        <f t="shared" si="3"/>
        <v/>
      </c>
      <c r="G5575" s="151"/>
      <c r="H5575" s="156"/>
      <c r="I5575" s="157"/>
      <c r="J5575" s="161"/>
      <c r="L5575" s="94"/>
      <c r="M5575" s="159"/>
      <c r="N5575" s="94"/>
    </row>
    <row r="5576">
      <c r="A5576" s="107">
        <v>1630177.0</v>
      </c>
      <c r="B5576" s="108" t="s">
        <v>245</v>
      </c>
      <c r="C5576" s="108" t="s">
        <v>1349</v>
      </c>
      <c r="D5576" s="100" t="str">
        <f t="shared" si="1"/>
        <v/>
      </c>
      <c r="E5576" s="100" t="str">
        <f t="shared" si="2"/>
        <v/>
      </c>
      <c r="F5576" s="100" t="str">
        <f t="shared" si="3"/>
        <v/>
      </c>
      <c r="G5576" s="151"/>
      <c r="H5576" s="160"/>
      <c r="I5576" s="157"/>
      <c r="J5576" s="158"/>
      <c r="L5576" s="94"/>
      <c r="M5576" s="159"/>
      <c r="N5576" s="94"/>
    </row>
    <row r="5577">
      <c r="A5577" s="107">
        <v>1630178.0</v>
      </c>
      <c r="B5577" s="108" t="s">
        <v>243</v>
      </c>
      <c r="C5577" s="108" t="s">
        <v>1350</v>
      </c>
      <c r="D5577" s="100" t="str">
        <f t="shared" si="1"/>
        <v/>
      </c>
      <c r="E5577" s="100" t="str">
        <f t="shared" si="2"/>
        <v/>
      </c>
      <c r="F5577" s="100" t="str">
        <f t="shared" si="3"/>
        <v/>
      </c>
      <c r="G5577" s="151"/>
      <c r="H5577" s="156"/>
      <c r="I5577" s="157"/>
      <c r="J5577" s="161"/>
      <c r="L5577" s="94"/>
      <c r="M5577" s="159"/>
      <c r="N5577" s="94"/>
    </row>
    <row r="5578">
      <c r="A5578" s="107">
        <v>1630178.0</v>
      </c>
      <c r="B5578" s="108" t="s">
        <v>215</v>
      </c>
      <c r="C5578" s="108" t="s">
        <v>1350</v>
      </c>
      <c r="D5578" s="100" t="str">
        <f t="shared" si="1"/>
        <v/>
      </c>
      <c r="E5578" s="100" t="str">
        <f t="shared" si="2"/>
        <v/>
      </c>
      <c r="F5578" s="100" t="str">
        <f t="shared" si="3"/>
        <v/>
      </c>
      <c r="G5578" s="151"/>
      <c r="H5578" s="160"/>
      <c r="I5578" s="157"/>
      <c r="J5578" s="158"/>
      <c r="L5578" s="94"/>
      <c r="M5578" s="159"/>
      <c r="N5578" s="94"/>
    </row>
    <row r="5579">
      <c r="A5579" s="107">
        <v>1630178.0</v>
      </c>
      <c r="B5579" s="108" t="s">
        <v>244</v>
      </c>
      <c r="C5579" s="108" t="s">
        <v>1350</v>
      </c>
      <c r="D5579" s="100" t="str">
        <f t="shared" si="1"/>
        <v/>
      </c>
      <c r="E5579" s="100" t="str">
        <f t="shared" si="2"/>
        <v/>
      </c>
      <c r="F5579" s="100" t="str">
        <f t="shared" si="3"/>
        <v/>
      </c>
      <c r="G5579" s="151"/>
      <c r="H5579" s="156"/>
      <c r="I5579" s="157"/>
      <c r="J5579" s="161"/>
      <c r="L5579" s="94"/>
      <c r="M5579" s="159"/>
      <c r="N5579" s="94"/>
    </row>
    <row r="5580">
      <c r="A5580" s="107">
        <v>1630178.0</v>
      </c>
      <c r="B5580" s="108" t="s">
        <v>245</v>
      </c>
      <c r="C5580" s="108" t="s">
        <v>1350</v>
      </c>
      <c r="D5580" s="100" t="str">
        <f t="shared" si="1"/>
        <v/>
      </c>
      <c r="E5580" s="100" t="str">
        <f t="shared" si="2"/>
        <v/>
      </c>
      <c r="F5580" s="100" t="str">
        <f t="shared" si="3"/>
        <v/>
      </c>
      <c r="G5580" s="151"/>
      <c r="H5580" s="160"/>
      <c r="I5580" s="157"/>
      <c r="J5580" s="158"/>
      <c r="L5580" s="94"/>
      <c r="M5580" s="159"/>
      <c r="N5580" s="94"/>
    </row>
    <row r="5581">
      <c r="A5581" s="107">
        <v>1630178.0</v>
      </c>
      <c r="B5581" s="108" t="s">
        <v>246</v>
      </c>
      <c r="C5581" s="108" t="s">
        <v>1350</v>
      </c>
      <c r="D5581" s="100" t="str">
        <f t="shared" si="1"/>
        <v/>
      </c>
      <c r="E5581" s="100" t="str">
        <f t="shared" si="2"/>
        <v/>
      </c>
      <c r="F5581" s="100" t="str">
        <f t="shared" si="3"/>
        <v/>
      </c>
      <c r="G5581" s="151"/>
      <c r="H5581" s="156"/>
      <c r="I5581" s="157"/>
      <c r="J5581" s="161"/>
      <c r="L5581" s="94"/>
      <c r="M5581" s="159"/>
      <c r="N5581" s="94"/>
    </row>
    <row r="5582">
      <c r="A5582" s="114">
        <v>1630178.0</v>
      </c>
      <c r="B5582" s="113" t="s">
        <v>247</v>
      </c>
      <c r="C5582" s="113" t="s">
        <v>1350</v>
      </c>
      <c r="D5582" s="100" t="str">
        <f t="shared" si="1"/>
        <v/>
      </c>
      <c r="E5582" s="100" t="str">
        <f t="shared" si="2"/>
        <v/>
      </c>
      <c r="F5582" s="100" t="str">
        <f t="shared" si="3"/>
        <v/>
      </c>
      <c r="G5582" s="151"/>
      <c r="H5582" s="160"/>
      <c r="I5582" s="157"/>
      <c r="J5582" s="158"/>
      <c r="L5582" s="94"/>
      <c r="M5582" s="159"/>
      <c r="N5582" s="94"/>
    </row>
    <row r="5583">
      <c r="A5583" s="107">
        <v>1630179.0</v>
      </c>
      <c r="B5583" s="108" t="s">
        <v>243</v>
      </c>
      <c r="C5583" s="108" t="s">
        <v>1351</v>
      </c>
      <c r="D5583" s="100" t="str">
        <f t="shared" si="1"/>
        <v/>
      </c>
      <c r="E5583" s="100" t="str">
        <f t="shared" si="2"/>
        <v/>
      </c>
      <c r="F5583" s="100" t="str">
        <f t="shared" si="3"/>
        <v/>
      </c>
      <c r="G5583" s="151"/>
      <c r="H5583" s="156"/>
      <c r="I5583" s="157"/>
      <c r="J5583" s="161"/>
      <c r="L5583" s="94"/>
      <c r="M5583" s="159"/>
      <c r="N5583" s="94"/>
    </row>
    <row r="5584">
      <c r="A5584" s="107">
        <v>1630179.0</v>
      </c>
      <c r="B5584" s="108" t="s">
        <v>215</v>
      </c>
      <c r="C5584" s="108" t="s">
        <v>1351</v>
      </c>
      <c r="D5584" s="100" t="str">
        <f t="shared" si="1"/>
        <v/>
      </c>
      <c r="E5584" s="100" t="str">
        <f t="shared" si="2"/>
        <v/>
      </c>
      <c r="F5584" s="100" t="str">
        <f t="shared" si="3"/>
        <v/>
      </c>
      <c r="G5584" s="151"/>
      <c r="H5584" s="160"/>
      <c r="I5584" s="157"/>
      <c r="J5584" s="158"/>
      <c r="L5584" s="94"/>
      <c r="M5584" s="159"/>
      <c r="N5584" s="94"/>
    </row>
    <row r="5585">
      <c r="A5585" s="107">
        <v>1630180.0</v>
      </c>
      <c r="B5585" s="108" t="s">
        <v>243</v>
      </c>
      <c r="C5585" s="108" t="s">
        <v>1352</v>
      </c>
      <c r="D5585" s="100" t="str">
        <f t="shared" si="1"/>
        <v/>
      </c>
      <c r="E5585" s="100" t="str">
        <f t="shared" si="2"/>
        <v/>
      </c>
      <c r="F5585" s="100" t="str">
        <f t="shared" si="3"/>
        <v/>
      </c>
      <c r="G5585" s="151"/>
      <c r="H5585" s="156"/>
      <c r="I5585" s="157"/>
      <c r="J5585" s="161"/>
      <c r="L5585" s="94"/>
      <c r="M5585" s="159"/>
      <c r="N5585" s="94"/>
    </row>
    <row r="5586">
      <c r="A5586" s="107">
        <v>1630180.0</v>
      </c>
      <c r="B5586" s="108" t="s">
        <v>215</v>
      </c>
      <c r="C5586" s="108" t="s">
        <v>1352</v>
      </c>
      <c r="D5586" s="100" t="str">
        <f t="shared" si="1"/>
        <v/>
      </c>
      <c r="E5586" s="100" t="str">
        <f t="shared" si="2"/>
        <v/>
      </c>
      <c r="F5586" s="100" t="str">
        <f t="shared" si="3"/>
        <v/>
      </c>
      <c r="G5586" s="151"/>
      <c r="H5586" s="160"/>
      <c r="I5586" s="157"/>
      <c r="J5586" s="158"/>
      <c r="L5586" s="94"/>
      <c r="M5586" s="159"/>
      <c r="N5586" s="94"/>
    </row>
    <row r="5587">
      <c r="A5587" s="107">
        <v>1630180.0</v>
      </c>
      <c r="B5587" s="108" t="s">
        <v>244</v>
      </c>
      <c r="C5587" s="108" t="s">
        <v>1352</v>
      </c>
      <c r="D5587" s="100" t="str">
        <f t="shared" si="1"/>
        <v/>
      </c>
      <c r="E5587" s="100" t="str">
        <f t="shared" si="2"/>
        <v/>
      </c>
      <c r="F5587" s="100" t="str">
        <f t="shared" si="3"/>
        <v/>
      </c>
      <c r="G5587" s="151"/>
      <c r="H5587" s="156"/>
      <c r="I5587" s="157"/>
      <c r="J5587" s="161"/>
      <c r="L5587" s="94"/>
      <c r="M5587" s="159"/>
      <c r="N5587" s="94"/>
    </row>
    <row r="5588">
      <c r="A5588" s="107">
        <v>1630180.0</v>
      </c>
      <c r="B5588" s="108" t="s">
        <v>245</v>
      </c>
      <c r="C5588" s="108" t="s">
        <v>1352</v>
      </c>
      <c r="D5588" s="100" t="str">
        <f t="shared" si="1"/>
        <v/>
      </c>
      <c r="E5588" s="100" t="str">
        <f t="shared" si="2"/>
        <v/>
      </c>
      <c r="F5588" s="100" t="str">
        <f t="shared" si="3"/>
        <v/>
      </c>
      <c r="G5588" s="151"/>
      <c r="H5588" s="160"/>
      <c r="I5588" s="157"/>
      <c r="J5588" s="158"/>
      <c r="L5588" s="94"/>
      <c r="M5588" s="159"/>
      <c r="N5588" s="94"/>
    </row>
    <row r="5589">
      <c r="A5589" s="114">
        <v>1630180.0</v>
      </c>
      <c r="B5589" s="113" t="s">
        <v>247</v>
      </c>
      <c r="C5589" s="113" t="s">
        <v>1352</v>
      </c>
      <c r="D5589" s="100" t="str">
        <f t="shared" si="1"/>
        <v/>
      </c>
      <c r="E5589" s="100" t="str">
        <f t="shared" si="2"/>
        <v/>
      </c>
      <c r="F5589" s="100" t="str">
        <f t="shared" si="3"/>
        <v/>
      </c>
      <c r="G5589" s="151"/>
      <c r="H5589" s="156"/>
      <c r="I5589" s="157"/>
      <c r="J5589" s="161"/>
      <c r="L5589" s="94"/>
      <c r="M5589" s="159"/>
      <c r="N5589" s="94"/>
    </row>
    <row r="5590">
      <c r="A5590" s="107">
        <v>1630181.0</v>
      </c>
      <c r="B5590" s="108" t="s">
        <v>243</v>
      </c>
      <c r="C5590" s="108" t="s">
        <v>1353</v>
      </c>
      <c r="D5590" s="100" t="str">
        <f t="shared" si="1"/>
        <v/>
      </c>
      <c r="E5590" s="100" t="str">
        <f t="shared" si="2"/>
        <v/>
      </c>
      <c r="F5590" s="100" t="str">
        <f t="shared" si="3"/>
        <v/>
      </c>
      <c r="G5590" s="151"/>
      <c r="H5590" s="160"/>
      <c r="I5590" s="157"/>
      <c r="J5590" s="158"/>
      <c r="L5590" s="94"/>
      <c r="M5590" s="159"/>
      <c r="N5590" s="94"/>
    </row>
    <row r="5591">
      <c r="A5591" s="107">
        <v>1630181.0</v>
      </c>
      <c r="B5591" s="108" t="s">
        <v>215</v>
      </c>
      <c r="C5591" s="108" t="s">
        <v>1353</v>
      </c>
      <c r="D5591" s="100" t="str">
        <f t="shared" si="1"/>
        <v/>
      </c>
      <c r="E5591" s="100" t="str">
        <f t="shared" si="2"/>
        <v/>
      </c>
      <c r="F5591" s="100" t="str">
        <f t="shared" si="3"/>
        <v/>
      </c>
      <c r="G5591" s="151"/>
      <c r="H5591" s="156"/>
      <c r="I5591" s="157"/>
      <c r="J5591" s="161"/>
      <c r="L5591" s="94"/>
      <c r="M5591" s="159"/>
      <c r="N5591" s="94"/>
    </row>
    <row r="5592">
      <c r="A5592" s="107">
        <v>1630181.0</v>
      </c>
      <c r="B5592" s="108" t="s">
        <v>244</v>
      </c>
      <c r="C5592" s="108" t="s">
        <v>1353</v>
      </c>
      <c r="D5592" s="100" t="str">
        <f t="shared" si="1"/>
        <v/>
      </c>
      <c r="E5592" s="100" t="str">
        <f t="shared" si="2"/>
        <v/>
      </c>
      <c r="F5592" s="100" t="str">
        <f t="shared" si="3"/>
        <v/>
      </c>
      <c r="G5592" s="151"/>
      <c r="H5592" s="160"/>
      <c r="I5592" s="157"/>
      <c r="J5592" s="158"/>
      <c r="L5592" s="94"/>
      <c r="M5592" s="159"/>
      <c r="N5592" s="94"/>
    </row>
    <row r="5593">
      <c r="A5593" s="107">
        <v>1630181.0</v>
      </c>
      <c r="B5593" s="108" t="s">
        <v>245</v>
      </c>
      <c r="C5593" s="108" t="s">
        <v>1353</v>
      </c>
      <c r="D5593" s="100" t="str">
        <f t="shared" si="1"/>
        <v/>
      </c>
      <c r="E5593" s="100" t="str">
        <f t="shared" si="2"/>
        <v/>
      </c>
      <c r="F5593" s="100" t="str">
        <f t="shared" si="3"/>
        <v/>
      </c>
      <c r="G5593" s="151"/>
      <c r="H5593" s="156"/>
      <c r="I5593" s="157"/>
      <c r="J5593" s="161"/>
      <c r="L5593" s="94"/>
      <c r="M5593" s="159"/>
      <c r="N5593" s="94"/>
    </row>
    <row r="5594">
      <c r="A5594" s="107">
        <v>1630182.0</v>
      </c>
      <c r="B5594" s="108" t="s">
        <v>243</v>
      </c>
      <c r="C5594" s="108" t="s">
        <v>1354</v>
      </c>
      <c r="D5594" s="100" t="str">
        <f t="shared" si="1"/>
        <v/>
      </c>
      <c r="E5594" s="100" t="str">
        <f t="shared" si="2"/>
        <v/>
      </c>
      <c r="F5594" s="100" t="str">
        <f t="shared" si="3"/>
        <v/>
      </c>
      <c r="G5594" s="151"/>
      <c r="H5594" s="160"/>
      <c r="I5594" s="157"/>
      <c r="J5594" s="158"/>
      <c r="L5594" s="94"/>
      <c r="M5594" s="159"/>
      <c r="N5594" s="94"/>
    </row>
    <row r="5595">
      <c r="A5595" s="107">
        <v>1630182.0</v>
      </c>
      <c r="B5595" s="108" t="s">
        <v>215</v>
      </c>
      <c r="C5595" s="108" t="s">
        <v>1354</v>
      </c>
      <c r="D5595" s="100" t="str">
        <f t="shared" si="1"/>
        <v/>
      </c>
      <c r="E5595" s="100" t="str">
        <f t="shared" si="2"/>
        <v/>
      </c>
      <c r="F5595" s="100" t="str">
        <f t="shared" si="3"/>
        <v/>
      </c>
      <c r="G5595" s="151"/>
      <c r="H5595" s="156"/>
      <c r="I5595" s="157"/>
      <c r="J5595" s="161"/>
      <c r="L5595" s="94"/>
      <c r="M5595" s="159"/>
      <c r="N5595" s="94"/>
    </row>
    <row r="5596">
      <c r="A5596" s="107">
        <v>1630182.0</v>
      </c>
      <c r="B5596" s="108" t="s">
        <v>244</v>
      </c>
      <c r="C5596" s="108" t="s">
        <v>1354</v>
      </c>
      <c r="D5596" s="100" t="str">
        <f t="shared" si="1"/>
        <v/>
      </c>
      <c r="E5596" s="100" t="str">
        <f t="shared" si="2"/>
        <v/>
      </c>
      <c r="F5596" s="100" t="str">
        <f t="shared" si="3"/>
        <v/>
      </c>
      <c r="G5596" s="151"/>
      <c r="H5596" s="160"/>
      <c r="I5596" s="157"/>
      <c r="J5596" s="158"/>
      <c r="L5596" s="94"/>
      <c r="M5596" s="159"/>
      <c r="N5596" s="94"/>
    </row>
    <row r="5597">
      <c r="A5597" s="107">
        <v>1630182.0</v>
      </c>
      <c r="B5597" s="108" t="s">
        <v>245</v>
      </c>
      <c r="C5597" s="108" t="s">
        <v>1354</v>
      </c>
      <c r="D5597" s="100" t="str">
        <f t="shared" si="1"/>
        <v/>
      </c>
      <c r="E5597" s="100" t="str">
        <f t="shared" si="2"/>
        <v/>
      </c>
      <c r="F5597" s="100" t="str">
        <f t="shared" si="3"/>
        <v/>
      </c>
      <c r="G5597" s="151"/>
      <c r="H5597" s="156"/>
      <c r="I5597" s="157"/>
      <c r="J5597" s="161"/>
      <c r="L5597" s="94"/>
      <c r="M5597" s="159"/>
      <c r="N5597" s="94"/>
    </row>
    <row r="5598">
      <c r="A5598" s="107">
        <v>1630182.0</v>
      </c>
      <c r="B5598" s="108" t="s">
        <v>246</v>
      </c>
      <c r="C5598" s="108" t="s">
        <v>1354</v>
      </c>
      <c r="D5598" s="100" t="str">
        <f t="shared" si="1"/>
        <v/>
      </c>
      <c r="E5598" s="100" t="str">
        <f t="shared" si="2"/>
        <v/>
      </c>
      <c r="F5598" s="100" t="str">
        <f t="shared" si="3"/>
        <v/>
      </c>
      <c r="G5598" s="151"/>
      <c r="H5598" s="160"/>
      <c r="I5598" s="157"/>
      <c r="J5598" s="158"/>
      <c r="L5598" s="94"/>
      <c r="M5598" s="159"/>
      <c r="N5598" s="94"/>
    </row>
    <row r="5599">
      <c r="A5599" s="89">
        <v>1630182.0</v>
      </c>
      <c r="B5599" s="113" t="s">
        <v>247</v>
      </c>
      <c r="C5599" s="113" t="s">
        <v>1354</v>
      </c>
      <c r="D5599" s="100" t="str">
        <f t="shared" si="1"/>
        <v/>
      </c>
      <c r="E5599" s="100" t="str">
        <f t="shared" si="2"/>
        <v/>
      </c>
      <c r="F5599" s="100" t="str">
        <f t="shared" si="3"/>
        <v/>
      </c>
      <c r="G5599" s="151"/>
      <c r="H5599" s="156"/>
      <c r="I5599" s="157"/>
      <c r="J5599" s="161"/>
      <c r="L5599" s="94"/>
      <c r="M5599" s="159"/>
      <c r="N5599" s="94"/>
    </row>
    <row r="5600">
      <c r="A5600" s="107">
        <v>1630183.0</v>
      </c>
      <c r="B5600" s="108" t="s">
        <v>243</v>
      </c>
      <c r="C5600" s="108" t="s">
        <v>1355</v>
      </c>
      <c r="D5600" s="100" t="str">
        <f t="shared" si="1"/>
        <v/>
      </c>
      <c r="E5600" s="100" t="str">
        <f t="shared" si="2"/>
        <v/>
      </c>
      <c r="F5600" s="100" t="str">
        <f t="shared" si="3"/>
        <v/>
      </c>
      <c r="G5600" s="151"/>
      <c r="H5600" s="160"/>
      <c r="I5600" s="157"/>
      <c r="J5600" s="158"/>
      <c r="L5600" s="94"/>
      <c r="M5600" s="159"/>
      <c r="N5600" s="94"/>
    </row>
    <row r="5601">
      <c r="A5601" s="107">
        <v>1630183.0</v>
      </c>
      <c r="B5601" s="108" t="s">
        <v>215</v>
      </c>
      <c r="C5601" s="108" t="s">
        <v>1355</v>
      </c>
      <c r="D5601" s="100" t="str">
        <f t="shared" si="1"/>
        <v/>
      </c>
      <c r="E5601" s="100" t="str">
        <f t="shared" si="2"/>
        <v/>
      </c>
      <c r="F5601" s="100" t="str">
        <f t="shared" si="3"/>
        <v/>
      </c>
      <c r="G5601" s="151"/>
      <c r="H5601" s="156"/>
      <c r="I5601" s="157"/>
      <c r="J5601" s="161"/>
      <c r="L5601" s="94"/>
      <c r="M5601" s="159"/>
      <c r="N5601" s="94"/>
    </row>
    <row r="5602">
      <c r="A5602" s="107">
        <v>1630183.0</v>
      </c>
      <c r="B5602" s="108" t="s">
        <v>244</v>
      </c>
      <c r="C5602" s="108" t="s">
        <v>1355</v>
      </c>
      <c r="D5602" s="100" t="str">
        <f t="shared" si="1"/>
        <v/>
      </c>
      <c r="E5602" s="100" t="str">
        <f t="shared" si="2"/>
        <v/>
      </c>
      <c r="F5602" s="100" t="str">
        <f t="shared" si="3"/>
        <v/>
      </c>
      <c r="G5602" s="151"/>
      <c r="H5602" s="160"/>
      <c r="I5602" s="157"/>
      <c r="J5602" s="158"/>
      <c r="L5602" s="94"/>
      <c r="M5602" s="159"/>
      <c r="N5602" s="94"/>
    </row>
    <row r="5603">
      <c r="A5603" s="107">
        <v>1630183.0</v>
      </c>
      <c r="B5603" s="108" t="s">
        <v>245</v>
      </c>
      <c r="C5603" s="108" t="s">
        <v>1355</v>
      </c>
      <c r="D5603" s="100" t="str">
        <f t="shared" si="1"/>
        <v/>
      </c>
      <c r="E5603" s="100" t="str">
        <f t="shared" si="2"/>
        <v/>
      </c>
      <c r="F5603" s="100" t="str">
        <f t="shared" si="3"/>
        <v/>
      </c>
      <c r="G5603" s="151"/>
      <c r="H5603" s="156"/>
      <c r="I5603" s="157"/>
      <c r="J5603" s="161"/>
      <c r="L5603" s="94"/>
      <c r="M5603" s="159"/>
      <c r="N5603" s="94"/>
    </row>
    <row r="5604">
      <c r="A5604" s="107">
        <v>1630183.0</v>
      </c>
      <c r="B5604" s="108" t="s">
        <v>246</v>
      </c>
      <c r="C5604" s="108" t="s">
        <v>1355</v>
      </c>
      <c r="D5604" s="100" t="str">
        <f t="shared" si="1"/>
        <v/>
      </c>
      <c r="E5604" s="100" t="str">
        <f t="shared" si="2"/>
        <v/>
      </c>
      <c r="F5604" s="100" t="str">
        <f t="shared" si="3"/>
        <v/>
      </c>
      <c r="G5604" s="151"/>
      <c r="H5604" s="160"/>
      <c r="I5604" s="157"/>
      <c r="J5604" s="158"/>
      <c r="L5604" s="94"/>
      <c r="M5604" s="159"/>
      <c r="N5604" s="94"/>
    </row>
    <row r="5605">
      <c r="A5605" s="114">
        <v>1630183.0</v>
      </c>
      <c r="B5605" s="113" t="s">
        <v>247</v>
      </c>
      <c r="C5605" s="113" t="s">
        <v>1355</v>
      </c>
      <c r="D5605" s="100" t="str">
        <f t="shared" si="1"/>
        <v/>
      </c>
      <c r="E5605" s="100" t="str">
        <f t="shared" si="2"/>
        <v/>
      </c>
      <c r="F5605" s="100" t="str">
        <f t="shared" si="3"/>
        <v/>
      </c>
      <c r="G5605" s="151"/>
      <c r="H5605" s="156"/>
      <c r="I5605" s="157"/>
      <c r="J5605" s="161"/>
      <c r="L5605" s="94"/>
      <c r="M5605" s="159"/>
      <c r="N5605" s="94"/>
    </row>
    <row r="5606">
      <c r="A5606" s="107">
        <v>1630184.0</v>
      </c>
      <c r="B5606" s="108" t="s">
        <v>243</v>
      </c>
      <c r="C5606" s="108" t="s">
        <v>1356</v>
      </c>
      <c r="D5606" s="100" t="str">
        <f t="shared" si="1"/>
        <v/>
      </c>
      <c r="E5606" s="100" t="str">
        <f t="shared" si="2"/>
        <v/>
      </c>
      <c r="F5606" s="100" t="str">
        <f t="shared" si="3"/>
        <v/>
      </c>
      <c r="G5606" s="151"/>
      <c r="H5606" s="160"/>
      <c r="I5606" s="157"/>
      <c r="J5606" s="158"/>
      <c r="L5606" s="94"/>
      <c r="M5606" s="159"/>
      <c r="N5606" s="94"/>
    </row>
    <row r="5607">
      <c r="A5607" s="107">
        <v>1630184.0</v>
      </c>
      <c r="B5607" s="108" t="s">
        <v>215</v>
      </c>
      <c r="C5607" s="108" t="s">
        <v>1356</v>
      </c>
      <c r="D5607" s="100" t="str">
        <f t="shared" si="1"/>
        <v/>
      </c>
      <c r="E5607" s="100" t="str">
        <f t="shared" si="2"/>
        <v/>
      </c>
      <c r="F5607" s="100" t="str">
        <f t="shared" si="3"/>
        <v/>
      </c>
      <c r="G5607" s="151"/>
      <c r="H5607" s="156"/>
      <c r="I5607" s="157"/>
      <c r="J5607" s="161"/>
      <c r="L5607" s="94"/>
      <c r="M5607" s="159"/>
      <c r="N5607" s="94"/>
    </row>
    <row r="5608">
      <c r="A5608" s="107">
        <v>1630184.0</v>
      </c>
      <c r="B5608" s="108" t="s">
        <v>244</v>
      </c>
      <c r="C5608" s="108" t="s">
        <v>1356</v>
      </c>
      <c r="D5608" s="100" t="str">
        <f t="shared" si="1"/>
        <v/>
      </c>
      <c r="E5608" s="100" t="str">
        <f t="shared" si="2"/>
        <v/>
      </c>
      <c r="F5608" s="100" t="str">
        <f t="shared" si="3"/>
        <v/>
      </c>
      <c r="G5608" s="151"/>
      <c r="H5608" s="160"/>
      <c r="I5608" s="157"/>
      <c r="J5608" s="158"/>
      <c r="L5608" s="94"/>
      <c r="M5608" s="159"/>
      <c r="N5608" s="94"/>
    </row>
    <row r="5609">
      <c r="A5609" s="107">
        <v>1630184.0</v>
      </c>
      <c r="B5609" s="108" t="s">
        <v>245</v>
      </c>
      <c r="C5609" s="108" t="s">
        <v>1356</v>
      </c>
      <c r="D5609" s="100" t="str">
        <f t="shared" si="1"/>
        <v/>
      </c>
      <c r="E5609" s="100" t="str">
        <f t="shared" si="2"/>
        <v/>
      </c>
      <c r="F5609" s="100" t="str">
        <f t="shared" si="3"/>
        <v/>
      </c>
      <c r="G5609" s="151"/>
      <c r="H5609" s="156"/>
      <c r="I5609" s="157"/>
      <c r="J5609" s="161"/>
      <c r="L5609" s="94"/>
      <c r="M5609" s="159"/>
      <c r="N5609" s="94"/>
    </row>
    <row r="5610">
      <c r="A5610" s="107">
        <v>1630185.0</v>
      </c>
      <c r="B5610" s="108" t="s">
        <v>243</v>
      </c>
      <c r="C5610" s="108" t="s">
        <v>1357</v>
      </c>
      <c r="D5610" s="100" t="str">
        <f t="shared" si="1"/>
        <v/>
      </c>
      <c r="E5610" s="100" t="str">
        <f t="shared" si="2"/>
        <v/>
      </c>
      <c r="F5610" s="100" t="str">
        <f t="shared" si="3"/>
        <v/>
      </c>
      <c r="G5610" s="151"/>
      <c r="H5610" s="160"/>
      <c r="I5610" s="157"/>
      <c r="J5610" s="158"/>
      <c r="L5610" s="94"/>
      <c r="M5610" s="159"/>
      <c r="N5610" s="94"/>
    </row>
    <row r="5611">
      <c r="A5611" s="107">
        <v>1630186.0</v>
      </c>
      <c r="B5611" s="108" t="s">
        <v>243</v>
      </c>
      <c r="C5611" s="108" t="s">
        <v>1358</v>
      </c>
      <c r="D5611" s="100" t="str">
        <f t="shared" si="1"/>
        <v/>
      </c>
      <c r="E5611" s="100" t="str">
        <f t="shared" si="2"/>
        <v/>
      </c>
      <c r="F5611" s="100" t="str">
        <f t="shared" si="3"/>
        <v/>
      </c>
      <c r="G5611" s="151"/>
      <c r="H5611" s="156"/>
      <c r="I5611" s="157"/>
      <c r="J5611" s="161"/>
      <c r="L5611" s="94"/>
      <c r="M5611" s="159"/>
      <c r="N5611" s="94"/>
    </row>
    <row r="5612">
      <c r="A5612" s="107">
        <v>1630186.0</v>
      </c>
      <c r="B5612" s="108" t="s">
        <v>215</v>
      </c>
      <c r="C5612" s="108" t="s">
        <v>1358</v>
      </c>
      <c r="D5612" s="100" t="str">
        <f t="shared" si="1"/>
        <v/>
      </c>
      <c r="E5612" s="100" t="str">
        <f t="shared" si="2"/>
        <v/>
      </c>
      <c r="F5612" s="100" t="str">
        <f t="shared" si="3"/>
        <v/>
      </c>
      <c r="G5612" s="151"/>
      <c r="H5612" s="160"/>
      <c r="I5612" s="157"/>
      <c r="J5612" s="158"/>
      <c r="L5612" s="94"/>
      <c r="M5612" s="159"/>
      <c r="N5612" s="94"/>
    </row>
    <row r="5613">
      <c r="A5613" s="107">
        <v>1630187.0</v>
      </c>
      <c r="B5613" s="108" t="s">
        <v>243</v>
      </c>
      <c r="C5613" s="108" t="s">
        <v>1359</v>
      </c>
      <c r="D5613" s="100" t="str">
        <f t="shared" si="1"/>
        <v/>
      </c>
      <c r="E5613" s="100" t="str">
        <f t="shared" si="2"/>
        <v/>
      </c>
      <c r="F5613" s="100" t="str">
        <f t="shared" si="3"/>
        <v/>
      </c>
      <c r="G5613" s="151"/>
      <c r="H5613" s="156"/>
      <c r="I5613" s="157"/>
      <c r="J5613" s="161"/>
      <c r="L5613" s="94"/>
      <c r="M5613" s="159"/>
      <c r="N5613" s="94"/>
    </row>
    <row r="5614">
      <c r="A5614" s="107">
        <v>1630187.0</v>
      </c>
      <c r="B5614" s="108" t="s">
        <v>215</v>
      </c>
      <c r="C5614" s="108" t="s">
        <v>1359</v>
      </c>
      <c r="D5614" s="100" t="str">
        <f t="shared" si="1"/>
        <v/>
      </c>
      <c r="E5614" s="100" t="str">
        <f t="shared" si="2"/>
        <v/>
      </c>
      <c r="F5614" s="100" t="str">
        <f t="shared" si="3"/>
        <v/>
      </c>
      <c r="G5614" s="151"/>
      <c r="H5614" s="160"/>
      <c r="I5614" s="157"/>
      <c r="J5614" s="158"/>
      <c r="L5614" s="94"/>
      <c r="M5614" s="159"/>
      <c r="N5614" s="94"/>
    </row>
    <row r="5615">
      <c r="A5615" s="107">
        <v>1630188.0</v>
      </c>
      <c r="B5615" s="108" t="s">
        <v>243</v>
      </c>
      <c r="C5615" s="108" t="s">
        <v>1360</v>
      </c>
      <c r="D5615" s="100" t="str">
        <f t="shared" si="1"/>
        <v/>
      </c>
      <c r="E5615" s="100" t="str">
        <f t="shared" si="2"/>
        <v/>
      </c>
      <c r="F5615" s="100" t="str">
        <f t="shared" si="3"/>
        <v/>
      </c>
      <c r="G5615" s="151"/>
      <c r="H5615" s="156"/>
      <c r="I5615" s="157"/>
      <c r="J5615" s="161"/>
      <c r="L5615" s="94"/>
      <c r="M5615" s="159"/>
      <c r="N5615" s="94"/>
    </row>
    <row r="5616">
      <c r="A5616" s="107">
        <v>1630188.0</v>
      </c>
      <c r="B5616" s="108" t="s">
        <v>215</v>
      </c>
      <c r="C5616" s="108" t="s">
        <v>1360</v>
      </c>
      <c r="D5616" s="100" t="str">
        <f t="shared" si="1"/>
        <v/>
      </c>
      <c r="E5616" s="100" t="str">
        <f t="shared" si="2"/>
        <v/>
      </c>
      <c r="F5616" s="100" t="str">
        <f t="shared" si="3"/>
        <v/>
      </c>
      <c r="G5616" s="151"/>
      <c r="H5616" s="160"/>
      <c r="I5616" s="157"/>
      <c r="J5616" s="158"/>
      <c r="L5616" s="94"/>
      <c r="M5616" s="159"/>
      <c r="N5616" s="94"/>
    </row>
    <row r="5617">
      <c r="A5617" s="107">
        <v>1630188.0</v>
      </c>
      <c r="B5617" s="108" t="s">
        <v>244</v>
      </c>
      <c r="C5617" s="108" t="s">
        <v>1360</v>
      </c>
      <c r="D5617" s="100" t="str">
        <f t="shared" si="1"/>
        <v/>
      </c>
      <c r="E5617" s="100" t="str">
        <f t="shared" si="2"/>
        <v/>
      </c>
      <c r="F5617" s="100" t="str">
        <f t="shared" si="3"/>
        <v/>
      </c>
      <c r="G5617" s="151"/>
      <c r="H5617" s="156"/>
      <c r="I5617" s="157"/>
      <c r="J5617" s="161"/>
      <c r="L5617" s="94"/>
      <c r="M5617" s="159"/>
      <c r="N5617" s="94"/>
    </row>
    <row r="5618">
      <c r="A5618" s="107">
        <v>1630188.0</v>
      </c>
      <c r="B5618" s="108" t="s">
        <v>245</v>
      </c>
      <c r="C5618" s="108" t="s">
        <v>1360</v>
      </c>
      <c r="D5618" s="100" t="str">
        <f t="shared" si="1"/>
        <v/>
      </c>
      <c r="E5618" s="100" t="str">
        <f t="shared" si="2"/>
        <v/>
      </c>
      <c r="F5618" s="100" t="str">
        <f t="shared" si="3"/>
        <v/>
      </c>
      <c r="G5618" s="151"/>
      <c r="H5618" s="160"/>
      <c r="I5618" s="157"/>
      <c r="J5618" s="158"/>
      <c r="L5618" s="94"/>
      <c r="M5618" s="159"/>
      <c r="N5618" s="94"/>
    </row>
    <row r="5619">
      <c r="A5619" s="107">
        <v>1630188.0</v>
      </c>
      <c r="B5619" s="108" t="s">
        <v>246</v>
      </c>
      <c r="C5619" s="108" t="s">
        <v>1360</v>
      </c>
      <c r="D5619" s="100" t="str">
        <f t="shared" si="1"/>
        <v/>
      </c>
      <c r="E5619" s="100" t="str">
        <f t="shared" si="2"/>
        <v/>
      </c>
      <c r="F5619" s="100" t="str">
        <f t="shared" si="3"/>
        <v/>
      </c>
      <c r="G5619" s="151"/>
      <c r="H5619" s="156"/>
      <c r="I5619" s="157"/>
      <c r="J5619" s="161"/>
      <c r="L5619" s="94"/>
      <c r="M5619" s="159"/>
      <c r="N5619" s="94"/>
    </row>
    <row r="5620">
      <c r="A5620" s="114">
        <v>1630188.0</v>
      </c>
      <c r="B5620" s="113" t="s">
        <v>247</v>
      </c>
      <c r="C5620" s="113" t="s">
        <v>1360</v>
      </c>
      <c r="D5620" s="100" t="str">
        <f t="shared" si="1"/>
        <v/>
      </c>
      <c r="E5620" s="100" t="str">
        <f t="shared" si="2"/>
        <v/>
      </c>
      <c r="F5620" s="100" t="str">
        <f t="shared" si="3"/>
        <v/>
      </c>
      <c r="G5620" s="151"/>
      <c r="H5620" s="160"/>
      <c r="I5620" s="157"/>
      <c r="J5620" s="158"/>
      <c r="L5620" s="94"/>
      <c r="M5620" s="159"/>
      <c r="N5620" s="94"/>
    </row>
    <row r="5621">
      <c r="A5621" s="107">
        <v>1630189.0</v>
      </c>
      <c r="B5621" s="108" t="s">
        <v>243</v>
      </c>
      <c r="C5621" s="108" t="s">
        <v>1361</v>
      </c>
      <c r="D5621" s="100" t="str">
        <f t="shared" si="1"/>
        <v/>
      </c>
      <c r="E5621" s="100" t="str">
        <f t="shared" si="2"/>
        <v/>
      </c>
      <c r="F5621" s="100" t="str">
        <f t="shared" si="3"/>
        <v/>
      </c>
      <c r="G5621" s="151"/>
      <c r="H5621" s="156"/>
      <c r="I5621" s="157"/>
      <c r="J5621" s="161"/>
      <c r="L5621" s="94"/>
      <c r="M5621" s="159"/>
      <c r="N5621" s="94"/>
    </row>
    <row r="5622">
      <c r="A5622" s="107">
        <v>1630190.0</v>
      </c>
      <c r="B5622" s="108" t="s">
        <v>243</v>
      </c>
      <c r="C5622" s="108" t="s">
        <v>1362</v>
      </c>
      <c r="D5622" s="100" t="str">
        <f t="shared" si="1"/>
        <v/>
      </c>
      <c r="E5622" s="100" t="str">
        <f t="shared" si="2"/>
        <v/>
      </c>
      <c r="F5622" s="100" t="str">
        <f t="shared" si="3"/>
        <v/>
      </c>
      <c r="G5622" s="151"/>
      <c r="H5622" s="160"/>
      <c r="I5622" s="157"/>
      <c r="J5622" s="158"/>
      <c r="L5622" s="94"/>
      <c r="M5622" s="159"/>
      <c r="N5622" s="94"/>
    </row>
    <row r="5623">
      <c r="A5623" s="107">
        <v>1630190.0</v>
      </c>
      <c r="B5623" s="108" t="s">
        <v>215</v>
      </c>
      <c r="C5623" s="108" t="s">
        <v>1362</v>
      </c>
      <c r="D5623" s="100" t="str">
        <f t="shared" si="1"/>
        <v/>
      </c>
      <c r="E5623" s="100" t="str">
        <f t="shared" si="2"/>
        <v/>
      </c>
      <c r="F5623" s="100" t="str">
        <f t="shared" si="3"/>
        <v/>
      </c>
      <c r="G5623" s="151"/>
      <c r="H5623" s="156"/>
      <c r="I5623" s="157"/>
      <c r="J5623" s="161"/>
      <c r="L5623" s="94"/>
      <c r="M5623" s="159"/>
      <c r="N5623" s="94"/>
    </row>
    <row r="5624">
      <c r="A5624" s="107">
        <v>1630191.0</v>
      </c>
      <c r="B5624" s="108" t="s">
        <v>243</v>
      </c>
      <c r="C5624" s="108" t="s">
        <v>1363</v>
      </c>
      <c r="D5624" s="100" t="str">
        <f t="shared" si="1"/>
        <v/>
      </c>
      <c r="E5624" s="100" t="str">
        <f t="shared" si="2"/>
        <v/>
      </c>
      <c r="F5624" s="100" t="str">
        <f t="shared" si="3"/>
        <v/>
      </c>
      <c r="G5624" s="151"/>
      <c r="H5624" s="160"/>
      <c r="I5624" s="157"/>
      <c r="J5624" s="158"/>
      <c r="L5624" s="94"/>
      <c r="M5624" s="159"/>
      <c r="N5624" s="94"/>
    </row>
    <row r="5625">
      <c r="A5625" s="107">
        <v>1630191.0</v>
      </c>
      <c r="B5625" s="108" t="s">
        <v>215</v>
      </c>
      <c r="C5625" s="108" t="s">
        <v>1363</v>
      </c>
      <c r="D5625" s="100" t="str">
        <f t="shared" si="1"/>
        <v/>
      </c>
      <c r="E5625" s="100" t="str">
        <f t="shared" si="2"/>
        <v/>
      </c>
      <c r="F5625" s="100" t="str">
        <f t="shared" si="3"/>
        <v/>
      </c>
      <c r="G5625" s="151"/>
      <c r="H5625" s="156"/>
      <c r="I5625" s="157"/>
      <c r="J5625" s="161"/>
      <c r="L5625" s="94"/>
      <c r="M5625" s="159"/>
      <c r="N5625" s="94"/>
    </row>
    <row r="5626">
      <c r="A5626" s="107">
        <v>1630191.0</v>
      </c>
      <c r="B5626" s="108" t="s">
        <v>244</v>
      </c>
      <c r="C5626" s="108" t="s">
        <v>1363</v>
      </c>
      <c r="D5626" s="100" t="str">
        <f t="shared" si="1"/>
        <v/>
      </c>
      <c r="E5626" s="100" t="str">
        <f t="shared" si="2"/>
        <v/>
      </c>
      <c r="F5626" s="100" t="str">
        <f t="shared" si="3"/>
        <v/>
      </c>
      <c r="G5626" s="151"/>
      <c r="H5626" s="160"/>
      <c r="I5626" s="157"/>
      <c r="J5626" s="158"/>
      <c r="L5626" s="94"/>
      <c r="M5626" s="159"/>
      <c r="N5626" s="94"/>
    </row>
    <row r="5627">
      <c r="A5627" s="107">
        <v>1630191.0</v>
      </c>
      <c r="B5627" s="108" t="s">
        <v>245</v>
      </c>
      <c r="C5627" s="108" t="s">
        <v>1363</v>
      </c>
      <c r="D5627" s="100" t="str">
        <f t="shared" si="1"/>
        <v/>
      </c>
      <c r="E5627" s="100" t="str">
        <f t="shared" si="2"/>
        <v/>
      </c>
      <c r="F5627" s="100" t="str">
        <f t="shared" si="3"/>
        <v/>
      </c>
      <c r="G5627" s="151"/>
      <c r="H5627" s="156"/>
      <c r="I5627" s="157"/>
      <c r="J5627" s="161"/>
      <c r="L5627" s="94"/>
      <c r="M5627" s="159"/>
      <c r="N5627" s="94"/>
    </row>
    <row r="5628">
      <c r="A5628" s="107">
        <v>1630191.0</v>
      </c>
      <c r="B5628" s="108" t="s">
        <v>246</v>
      </c>
      <c r="C5628" s="108" t="s">
        <v>1363</v>
      </c>
      <c r="D5628" s="100" t="str">
        <f t="shared" si="1"/>
        <v/>
      </c>
      <c r="E5628" s="100" t="str">
        <f t="shared" si="2"/>
        <v/>
      </c>
      <c r="F5628" s="100" t="str">
        <f t="shared" si="3"/>
        <v/>
      </c>
      <c r="G5628" s="151"/>
      <c r="H5628" s="160"/>
      <c r="I5628" s="157"/>
      <c r="J5628" s="158"/>
      <c r="L5628" s="94"/>
      <c r="M5628" s="159"/>
      <c r="N5628" s="94"/>
    </row>
    <row r="5629">
      <c r="A5629" s="114">
        <v>1630191.0</v>
      </c>
      <c r="B5629" s="113" t="s">
        <v>247</v>
      </c>
      <c r="C5629" s="113" t="s">
        <v>1363</v>
      </c>
      <c r="D5629" s="100" t="str">
        <f t="shared" si="1"/>
        <v/>
      </c>
      <c r="E5629" s="100" t="str">
        <f t="shared" si="2"/>
        <v/>
      </c>
      <c r="F5629" s="100" t="str">
        <f t="shared" si="3"/>
        <v/>
      </c>
      <c r="G5629" s="151"/>
      <c r="H5629" s="156"/>
      <c r="I5629" s="157"/>
      <c r="J5629" s="161"/>
      <c r="L5629" s="94"/>
      <c r="M5629" s="159"/>
      <c r="N5629" s="94"/>
    </row>
    <row r="5630">
      <c r="A5630" s="107">
        <v>1630192.0</v>
      </c>
      <c r="B5630" s="108" t="s">
        <v>243</v>
      </c>
      <c r="C5630" s="108" t="s">
        <v>1364</v>
      </c>
      <c r="D5630" s="100" t="str">
        <f t="shared" si="1"/>
        <v/>
      </c>
      <c r="E5630" s="100" t="str">
        <f t="shared" si="2"/>
        <v/>
      </c>
      <c r="F5630" s="100" t="str">
        <f t="shared" si="3"/>
        <v/>
      </c>
      <c r="G5630" s="151"/>
      <c r="H5630" s="160"/>
      <c r="I5630" s="157"/>
      <c r="J5630" s="158"/>
      <c r="L5630" s="94"/>
      <c r="M5630" s="159"/>
      <c r="N5630" s="94"/>
    </row>
    <row r="5631">
      <c r="A5631" s="107">
        <v>1630192.0</v>
      </c>
      <c r="B5631" s="108" t="s">
        <v>215</v>
      </c>
      <c r="C5631" s="108" t="s">
        <v>1364</v>
      </c>
      <c r="D5631" s="100" t="str">
        <f t="shared" si="1"/>
        <v/>
      </c>
      <c r="E5631" s="100" t="str">
        <f t="shared" si="2"/>
        <v/>
      </c>
      <c r="F5631" s="100" t="str">
        <f t="shared" si="3"/>
        <v/>
      </c>
      <c r="G5631" s="151"/>
      <c r="H5631" s="156"/>
      <c r="I5631" s="157"/>
      <c r="J5631" s="161"/>
      <c r="L5631" s="94"/>
      <c r="M5631" s="159"/>
      <c r="N5631" s="94"/>
    </row>
    <row r="5632">
      <c r="A5632" s="107">
        <v>1630192.0</v>
      </c>
      <c r="B5632" s="108" t="s">
        <v>244</v>
      </c>
      <c r="C5632" s="108" t="s">
        <v>1364</v>
      </c>
      <c r="D5632" s="100" t="str">
        <f t="shared" si="1"/>
        <v/>
      </c>
      <c r="E5632" s="100" t="str">
        <f t="shared" si="2"/>
        <v/>
      </c>
      <c r="F5632" s="100" t="str">
        <f t="shared" si="3"/>
        <v/>
      </c>
      <c r="G5632" s="151"/>
      <c r="H5632" s="160"/>
      <c r="I5632" s="157"/>
      <c r="J5632" s="158"/>
      <c r="L5632" s="94"/>
      <c r="M5632" s="159"/>
      <c r="N5632" s="94"/>
    </row>
    <row r="5633">
      <c r="A5633" s="107">
        <v>1630192.0</v>
      </c>
      <c r="B5633" s="108" t="s">
        <v>245</v>
      </c>
      <c r="C5633" s="108" t="s">
        <v>1364</v>
      </c>
      <c r="D5633" s="100" t="str">
        <f t="shared" si="1"/>
        <v/>
      </c>
      <c r="E5633" s="100" t="str">
        <f t="shared" si="2"/>
        <v/>
      </c>
      <c r="F5633" s="100" t="str">
        <f t="shared" si="3"/>
        <v/>
      </c>
      <c r="G5633" s="151"/>
      <c r="H5633" s="156"/>
      <c r="I5633" s="157"/>
      <c r="J5633" s="161"/>
      <c r="L5633" s="94"/>
      <c r="M5633" s="159"/>
      <c r="N5633" s="94"/>
    </row>
    <row r="5634">
      <c r="A5634" s="107">
        <v>1630192.0</v>
      </c>
      <c r="B5634" s="108" t="s">
        <v>246</v>
      </c>
      <c r="C5634" s="108" t="s">
        <v>1364</v>
      </c>
      <c r="D5634" s="100" t="str">
        <f t="shared" si="1"/>
        <v/>
      </c>
      <c r="E5634" s="100" t="str">
        <f t="shared" si="2"/>
        <v/>
      </c>
      <c r="F5634" s="100" t="str">
        <f t="shared" si="3"/>
        <v/>
      </c>
      <c r="G5634" s="151"/>
      <c r="H5634" s="160"/>
      <c r="I5634" s="157"/>
      <c r="J5634" s="158"/>
      <c r="L5634" s="94"/>
      <c r="M5634" s="159"/>
      <c r="N5634" s="94"/>
    </row>
    <row r="5635">
      <c r="A5635" s="114">
        <v>1630192.0</v>
      </c>
      <c r="B5635" s="113" t="s">
        <v>247</v>
      </c>
      <c r="C5635" s="113" t="s">
        <v>1364</v>
      </c>
      <c r="D5635" s="100" t="str">
        <f t="shared" si="1"/>
        <v/>
      </c>
      <c r="E5635" s="100" t="str">
        <f t="shared" si="2"/>
        <v/>
      </c>
      <c r="F5635" s="100" t="str">
        <f t="shared" si="3"/>
        <v/>
      </c>
      <c r="G5635" s="151"/>
      <c r="H5635" s="156"/>
      <c r="I5635" s="157"/>
      <c r="J5635" s="161"/>
      <c r="L5635" s="94"/>
      <c r="M5635" s="159"/>
      <c r="N5635" s="94"/>
    </row>
    <row r="5636">
      <c r="A5636" s="107">
        <v>1630193.0</v>
      </c>
      <c r="B5636" s="108" t="s">
        <v>243</v>
      </c>
      <c r="C5636" s="108" t="s">
        <v>1365</v>
      </c>
      <c r="D5636" s="100" t="str">
        <f t="shared" si="1"/>
        <v/>
      </c>
      <c r="E5636" s="100" t="str">
        <f t="shared" si="2"/>
        <v/>
      </c>
      <c r="F5636" s="100" t="str">
        <f t="shared" si="3"/>
        <v/>
      </c>
      <c r="G5636" s="151"/>
      <c r="H5636" s="160"/>
      <c r="I5636" s="157"/>
      <c r="J5636" s="158"/>
      <c r="L5636" s="94"/>
      <c r="M5636" s="159"/>
      <c r="N5636" s="94"/>
    </row>
    <row r="5637">
      <c r="A5637" s="107">
        <v>1630193.0</v>
      </c>
      <c r="B5637" s="108" t="s">
        <v>215</v>
      </c>
      <c r="C5637" s="108" t="s">
        <v>1365</v>
      </c>
      <c r="D5637" s="100" t="str">
        <f t="shared" si="1"/>
        <v/>
      </c>
      <c r="E5637" s="100" t="str">
        <f t="shared" si="2"/>
        <v/>
      </c>
      <c r="F5637" s="100" t="str">
        <f t="shared" si="3"/>
        <v/>
      </c>
      <c r="G5637" s="151"/>
      <c r="H5637" s="156"/>
      <c r="I5637" s="157"/>
      <c r="J5637" s="161"/>
      <c r="L5637" s="94"/>
      <c r="M5637" s="159"/>
      <c r="N5637" s="94"/>
    </row>
    <row r="5638">
      <c r="A5638" s="107">
        <v>1630193.0</v>
      </c>
      <c r="B5638" s="108" t="s">
        <v>244</v>
      </c>
      <c r="C5638" s="108" t="s">
        <v>1365</v>
      </c>
      <c r="D5638" s="100" t="str">
        <f t="shared" si="1"/>
        <v/>
      </c>
      <c r="E5638" s="100" t="str">
        <f t="shared" si="2"/>
        <v/>
      </c>
      <c r="F5638" s="100" t="str">
        <f t="shared" si="3"/>
        <v/>
      </c>
      <c r="G5638" s="151"/>
      <c r="H5638" s="160"/>
      <c r="I5638" s="157"/>
      <c r="J5638" s="158"/>
      <c r="L5638" s="94"/>
      <c r="M5638" s="159"/>
      <c r="N5638" s="94"/>
    </row>
    <row r="5639">
      <c r="A5639" s="107">
        <v>1630193.0</v>
      </c>
      <c r="B5639" s="108" t="s">
        <v>245</v>
      </c>
      <c r="C5639" s="108" t="s">
        <v>1365</v>
      </c>
      <c r="D5639" s="100" t="str">
        <f t="shared" si="1"/>
        <v/>
      </c>
      <c r="E5639" s="100" t="str">
        <f t="shared" si="2"/>
        <v/>
      </c>
      <c r="F5639" s="100" t="str">
        <f t="shared" si="3"/>
        <v/>
      </c>
      <c r="G5639" s="151"/>
      <c r="H5639" s="156"/>
      <c r="I5639" s="157"/>
      <c r="J5639" s="161"/>
      <c r="L5639" s="94"/>
      <c r="M5639" s="159"/>
      <c r="N5639" s="94"/>
    </row>
    <row r="5640">
      <c r="A5640" s="107">
        <v>1630193.0</v>
      </c>
      <c r="B5640" s="108" t="s">
        <v>246</v>
      </c>
      <c r="C5640" s="108" t="s">
        <v>1365</v>
      </c>
      <c r="D5640" s="100" t="str">
        <f t="shared" si="1"/>
        <v/>
      </c>
      <c r="E5640" s="100" t="str">
        <f t="shared" si="2"/>
        <v/>
      </c>
      <c r="F5640" s="100" t="str">
        <f t="shared" si="3"/>
        <v/>
      </c>
      <c r="G5640" s="151"/>
      <c r="H5640" s="160"/>
      <c r="I5640" s="157"/>
      <c r="J5640" s="158"/>
      <c r="L5640" s="94"/>
      <c r="M5640" s="159"/>
      <c r="N5640" s="94"/>
    </row>
    <row r="5641">
      <c r="A5641" s="114">
        <v>1630193.0</v>
      </c>
      <c r="B5641" s="113" t="s">
        <v>247</v>
      </c>
      <c r="C5641" s="113" t="s">
        <v>1365</v>
      </c>
      <c r="D5641" s="100" t="str">
        <f t="shared" si="1"/>
        <v/>
      </c>
      <c r="E5641" s="100" t="str">
        <f t="shared" si="2"/>
        <v/>
      </c>
      <c r="F5641" s="100" t="str">
        <f t="shared" si="3"/>
        <v/>
      </c>
      <c r="G5641" s="151"/>
      <c r="H5641" s="156"/>
      <c r="I5641" s="157"/>
      <c r="J5641" s="161"/>
      <c r="L5641" s="94"/>
      <c r="M5641" s="159"/>
      <c r="N5641" s="94"/>
    </row>
    <row r="5642">
      <c r="A5642" s="107">
        <v>1630194.0</v>
      </c>
      <c r="B5642" s="108" t="s">
        <v>243</v>
      </c>
      <c r="C5642" s="108" t="s">
        <v>1366</v>
      </c>
      <c r="D5642" s="100" t="str">
        <f t="shared" si="1"/>
        <v/>
      </c>
      <c r="E5642" s="100" t="str">
        <f t="shared" si="2"/>
        <v/>
      </c>
      <c r="F5642" s="100" t="str">
        <f t="shared" si="3"/>
        <v/>
      </c>
      <c r="G5642" s="151"/>
      <c r="H5642" s="160"/>
      <c r="I5642" s="157"/>
      <c r="J5642" s="158"/>
      <c r="L5642" s="94"/>
      <c r="M5642" s="159"/>
      <c r="N5642" s="94"/>
    </row>
    <row r="5643">
      <c r="A5643" s="107">
        <v>1630194.0</v>
      </c>
      <c r="B5643" s="108" t="s">
        <v>215</v>
      </c>
      <c r="C5643" s="108" t="s">
        <v>1366</v>
      </c>
      <c r="D5643" s="100" t="str">
        <f t="shared" si="1"/>
        <v/>
      </c>
      <c r="E5643" s="100" t="str">
        <f t="shared" si="2"/>
        <v/>
      </c>
      <c r="F5643" s="100" t="str">
        <f t="shared" si="3"/>
        <v/>
      </c>
      <c r="G5643" s="151"/>
      <c r="H5643" s="156"/>
      <c r="I5643" s="157"/>
      <c r="J5643" s="161"/>
      <c r="L5643" s="94"/>
      <c r="M5643" s="159"/>
      <c r="N5643" s="94"/>
    </row>
    <row r="5644">
      <c r="A5644" s="107">
        <v>1630194.0</v>
      </c>
      <c r="B5644" s="108" t="s">
        <v>244</v>
      </c>
      <c r="C5644" s="108" t="s">
        <v>1366</v>
      </c>
      <c r="D5644" s="100" t="str">
        <f t="shared" si="1"/>
        <v/>
      </c>
      <c r="E5644" s="100" t="str">
        <f t="shared" si="2"/>
        <v/>
      </c>
      <c r="F5644" s="100" t="str">
        <f t="shared" si="3"/>
        <v/>
      </c>
      <c r="G5644" s="151"/>
      <c r="H5644" s="160"/>
      <c r="I5644" s="157"/>
      <c r="J5644" s="158"/>
      <c r="L5644" s="94"/>
      <c r="M5644" s="159"/>
      <c r="N5644" s="94"/>
    </row>
    <row r="5645">
      <c r="A5645" s="107">
        <v>1630194.0</v>
      </c>
      <c r="B5645" s="108" t="s">
        <v>245</v>
      </c>
      <c r="C5645" s="108" t="s">
        <v>1366</v>
      </c>
      <c r="D5645" s="100" t="str">
        <f t="shared" si="1"/>
        <v/>
      </c>
      <c r="E5645" s="100" t="str">
        <f t="shared" si="2"/>
        <v/>
      </c>
      <c r="F5645" s="100" t="str">
        <f t="shared" si="3"/>
        <v/>
      </c>
      <c r="G5645" s="151"/>
      <c r="H5645" s="156"/>
      <c r="I5645" s="157"/>
      <c r="J5645" s="161"/>
      <c r="L5645" s="94"/>
      <c r="M5645" s="159"/>
      <c r="N5645" s="94"/>
    </row>
    <row r="5646">
      <c r="A5646" s="107">
        <v>1630194.0</v>
      </c>
      <c r="B5646" s="108" t="s">
        <v>246</v>
      </c>
      <c r="C5646" s="108" t="s">
        <v>1366</v>
      </c>
      <c r="D5646" s="100" t="str">
        <f t="shared" si="1"/>
        <v/>
      </c>
      <c r="E5646" s="100" t="str">
        <f t="shared" si="2"/>
        <v/>
      </c>
      <c r="F5646" s="100" t="str">
        <f t="shared" si="3"/>
        <v/>
      </c>
      <c r="G5646" s="151"/>
      <c r="H5646" s="160"/>
      <c r="I5646" s="157"/>
      <c r="J5646" s="158"/>
      <c r="L5646" s="94"/>
      <c r="M5646" s="159"/>
      <c r="N5646" s="94"/>
    </row>
    <row r="5647">
      <c r="A5647" s="114">
        <v>1630194.0</v>
      </c>
      <c r="B5647" s="113" t="s">
        <v>247</v>
      </c>
      <c r="C5647" s="113" t="s">
        <v>1366</v>
      </c>
      <c r="D5647" s="100" t="str">
        <f t="shared" si="1"/>
        <v/>
      </c>
      <c r="E5647" s="100" t="str">
        <f t="shared" si="2"/>
        <v/>
      </c>
      <c r="F5647" s="100" t="str">
        <f t="shared" si="3"/>
        <v/>
      </c>
      <c r="G5647" s="151"/>
      <c r="H5647" s="156"/>
      <c r="I5647" s="157"/>
      <c r="J5647" s="161"/>
      <c r="L5647" s="94"/>
      <c r="M5647" s="159"/>
      <c r="N5647" s="94"/>
    </row>
    <row r="5648">
      <c r="A5648" s="107">
        <v>1630195.0</v>
      </c>
      <c r="B5648" s="108" t="s">
        <v>215</v>
      </c>
      <c r="C5648" s="108" t="s">
        <v>1367</v>
      </c>
      <c r="D5648" s="100" t="str">
        <f t="shared" si="1"/>
        <v/>
      </c>
      <c r="E5648" s="100" t="str">
        <f t="shared" si="2"/>
        <v/>
      </c>
      <c r="F5648" s="100" t="str">
        <f t="shared" si="3"/>
        <v/>
      </c>
      <c r="G5648" s="151"/>
      <c r="H5648" s="160"/>
      <c r="I5648" s="157"/>
      <c r="J5648" s="158"/>
      <c r="L5648" s="94"/>
      <c r="M5648" s="159"/>
      <c r="N5648" s="94"/>
    </row>
    <row r="5649">
      <c r="A5649" s="107">
        <v>1630195.0</v>
      </c>
      <c r="B5649" s="108" t="s">
        <v>244</v>
      </c>
      <c r="C5649" s="108" t="s">
        <v>1367</v>
      </c>
      <c r="D5649" s="100" t="str">
        <f t="shared" si="1"/>
        <v/>
      </c>
      <c r="E5649" s="100" t="str">
        <f t="shared" si="2"/>
        <v/>
      </c>
      <c r="F5649" s="100" t="str">
        <f t="shared" si="3"/>
        <v/>
      </c>
      <c r="G5649" s="151"/>
      <c r="H5649" s="156"/>
      <c r="I5649" s="157"/>
      <c r="J5649" s="161"/>
      <c r="L5649" s="94"/>
      <c r="M5649" s="159"/>
      <c r="N5649" s="94"/>
    </row>
    <row r="5650">
      <c r="A5650" s="107">
        <v>1630196.0</v>
      </c>
      <c r="B5650" s="108" t="s">
        <v>245</v>
      </c>
      <c r="C5650" s="108" t="s">
        <v>1368</v>
      </c>
      <c r="D5650" s="100" t="str">
        <f t="shared" si="1"/>
        <v/>
      </c>
      <c r="E5650" s="100" t="str">
        <f t="shared" si="2"/>
        <v/>
      </c>
      <c r="F5650" s="100" t="str">
        <f t="shared" si="3"/>
        <v/>
      </c>
      <c r="G5650" s="151"/>
      <c r="H5650" s="160"/>
      <c r="I5650" s="157"/>
      <c r="J5650" s="158"/>
      <c r="L5650" s="94"/>
      <c r="M5650" s="159"/>
      <c r="N5650" s="94"/>
    </row>
    <row r="5651">
      <c r="A5651" s="107">
        <v>1630197.0</v>
      </c>
      <c r="B5651" s="108" t="s">
        <v>243</v>
      </c>
      <c r="C5651" s="115" t="s">
        <v>1369</v>
      </c>
      <c r="D5651" s="100" t="str">
        <f t="shared" si="1"/>
        <v/>
      </c>
      <c r="E5651" s="100" t="str">
        <f t="shared" si="2"/>
        <v/>
      </c>
      <c r="F5651" s="100" t="str">
        <f t="shared" si="3"/>
        <v/>
      </c>
      <c r="G5651" s="151"/>
      <c r="H5651" s="156"/>
      <c r="I5651" s="157"/>
      <c r="J5651" s="161"/>
      <c r="L5651" s="94"/>
      <c r="M5651" s="159"/>
      <c r="N5651" s="94"/>
    </row>
    <row r="5652">
      <c r="A5652" s="107">
        <v>1630197.0</v>
      </c>
      <c r="B5652" s="108" t="s">
        <v>215</v>
      </c>
      <c r="C5652" s="108" t="s">
        <v>1370</v>
      </c>
      <c r="D5652" s="100" t="str">
        <f t="shared" si="1"/>
        <v/>
      </c>
      <c r="E5652" s="100" t="str">
        <f t="shared" si="2"/>
        <v/>
      </c>
      <c r="F5652" s="100" t="str">
        <f t="shared" si="3"/>
        <v/>
      </c>
      <c r="G5652" s="151"/>
      <c r="H5652" s="160"/>
      <c r="I5652" s="157"/>
      <c r="J5652" s="158"/>
      <c r="L5652" s="94"/>
      <c r="M5652" s="159"/>
      <c r="N5652" s="94"/>
    </row>
    <row r="5653">
      <c r="A5653" s="107">
        <v>1630197.0</v>
      </c>
      <c r="B5653" s="108" t="s">
        <v>244</v>
      </c>
      <c r="C5653" s="108" t="s">
        <v>1370</v>
      </c>
      <c r="D5653" s="100" t="str">
        <f t="shared" si="1"/>
        <v/>
      </c>
      <c r="E5653" s="100" t="str">
        <f t="shared" si="2"/>
        <v/>
      </c>
      <c r="F5653" s="100" t="str">
        <f t="shared" si="3"/>
        <v/>
      </c>
      <c r="G5653" s="151"/>
      <c r="H5653" s="156"/>
      <c r="I5653" s="157"/>
      <c r="J5653" s="161"/>
      <c r="L5653" s="94"/>
      <c r="M5653" s="159"/>
      <c r="N5653" s="94"/>
    </row>
    <row r="5654">
      <c r="A5654" s="107">
        <v>1630197.0</v>
      </c>
      <c r="B5654" s="108" t="s">
        <v>245</v>
      </c>
      <c r="C5654" s="108" t="s">
        <v>1370</v>
      </c>
      <c r="D5654" s="100" t="str">
        <f t="shared" si="1"/>
        <v/>
      </c>
      <c r="E5654" s="100" t="str">
        <f t="shared" si="2"/>
        <v/>
      </c>
      <c r="F5654" s="100" t="str">
        <f t="shared" si="3"/>
        <v/>
      </c>
      <c r="G5654" s="151"/>
      <c r="H5654" s="160"/>
      <c r="I5654" s="157"/>
      <c r="J5654" s="158"/>
      <c r="L5654" s="94"/>
      <c r="M5654" s="159"/>
      <c r="N5654" s="94"/>
    </row>
    <row r="5655">
      <c r="A5655" s="107">
        <v>1630198.0</v>
      </c>
      <c r="B5655" s="108" t="s">
        <v>243</v>
      </c>
      <c r="C5655" s="108" t="s">
        <v>1371</v>
      </c>
      <c r="D5655" s="100" t="str">
        <f t="shared" si="1"/>
        <v/>
      </c>
      <c r="E5655" s="100" t="str">
        <f t="shared" si="2"/>
        <v/>
      </c>
      <c r="F5655" s="100" t="str">
        <f t="shared" si="3"/>
        <v/>
      </c>
      <c r="G5655" s="151"/>
      <c r="H5655" s="156"/>
      <c r="I5655" s="157"/>
      <c r="J5655" s="161"/>
      <c r="L5655" s="94"/>
      <c r="M5655" s="159"/>
      <c r="N5655" s="94"/>
    </row>
    <row r="5656">
      <c r="A5656" s="107">
        <v>1630198.0</v>
      </c>
      <c r="B5656" s="108" t="s">
        <v>215</v>
      </c>
      <c r="C5656" s="108" t="s">
        <v>1371</v>
      </c>
      <c r="D5656" s="100" t="str">
        <f t="shared" si="1"/>
        <v/>
      </c>
      <c r="E5656" s="100" t="str">
        <f t="shared" si="2"/>
        <v/>
      </c>
      <c r="F5656" s="100" t="str">
        <f t="shared" si="3"/>
        <v/>
      </c>
      <c r="G5656" s="151"/>
      <c r="H5656" s="160"/>
      <c r="I5656" s="157"/>
      <c r="J5656" s="158"/>
      <c r="L5656" s="94"/>
      <c r="M5656" s="159"/>
      <c r="N5656" s="94"/>
    </row>
    <row r="5657">
      <c r="A5657" s="107">
        <v>1630198.0</v>
      </c>
      <c r="B5657" s="108" t="s">
        <v>244</v>
      </c>
      <c r="C5657" s="108" t="s">
        <v>1371</v>
      </c>
      <c r="D5657" s="100" t="str">
        <f t="shared" si="1"/>
        <v/>
      </c>
      <c r="E5657" s="100" t="str">
        <f t="shared" si="2"/>
        <v/>
      </c>
      <c r="F5657" s="100" t="str">
        <f t="shared" si="3"/>
        <v/>
      </c>
      <c r="G5657" s="151"/>
      <c r="H5657" s="156"/>
      <c r="I5657" s="157"/>
      <c r="J5657" s="161"/>
      <c r="L5657" s="94"/>
      <c r="M5657" s="159"/>
      <c r="N5657" s="94"/>
    </row>
    <row r="5658">
      <c r="A5658" s="107">
        <v>1630198.0</v>
      </c>
      <c r="B5658" s="108" t="s">
        <v>245</v>
      </c>
      <c r="C5658" s="108" t="s">
        <v>1371</v>
      </c>
      <c r="D5658" s="100" t="str">
        <f t="shared" si="1"/>
        <v/>
      </c>
      <c r="E5658" s="100" t="str">
        <f t="shared" si="2"/>
        <v/>
      </c>
      <c r="F5658" s="100" t="str">
        <f t="shared" si="3"/>
        <v/>
      </c>
      <c r="G5658" s="151"/>
      <c r="H5658" s="160"/>
      <c r="I5658" s="157"/>
      <c r="J5658" s="158"/>
      <c r="L5658" s="94"/>
      <c r="M5658" s="159"/>
      <c r="N5658" s="94"/>
    </row>
    <row r="5659">
      <c r="A5659" s="107">
        <v>1630198.0</v>
      </c>
      <c r="B5659" s="108" t="s">
        <v>246</v>
      </c>
      <c r="C5659" s="108" t="s">
        <v>1371</v>
      </c>
      <c r="D5659" s="100" t="str">
        <f t="shared" si="1"/>
        <v/>
      </c>
      <c r="E5659" s="100" t="str">
        <f t="shared" si="2"/>
        <v/>
      </c>
      <c r="F5659" s="100" t="str">
        <f t="shared" si="3"/>
        <v/>
      </c>
      <c r="G5659" s="151"/>
      <c r="H5659" s="156"/>
      <c r="I5659" s="157"/>
      <c r="J5659" s="161"/>
      <c r="L5659" s="94"/>
      <c r="M5659" s="159"/>
      <c r="N5659" s="94"/>
    </row>
    <row r="5660">
      <c r="A5660" s="114">
        <v>1630198.0</v>
      </c>
      <c r="B5660" s="113" t="s">
        <v>247</v>
      </c>
      <c r="C5660" s="113" t="s">
        <v>1371</v>
      </c>
      <c r="D5660" s="100" t="str">
        <f t="shared" si="1"/>
        <v/>
      </c>
      <c r="E5660" s="100" t="str">
        <f t="shared" si="2"/>
        <v/>
      </c>
      <c r="F5660" s="100" t="str">
        <f t="shared" si="3"/>
        <v/>
      </c>
      <c r="G5660" s="151"/>
      <c r="H5660" s="160"/>
      <c r="I5660" s="157"/>
      <c r="J5660" s="158"/>
      <c r="L5660" s="94"/>
      <c r="M5660" s="159"/>
      <c r="N5660" s="94"/>
    </row>
    <row r="5661">
      <c r="A5661" s="107">
        <v>1630199.0</v>
      </c>
      <c r="B5661" s="108" t="s">
        <v>243</v>
      </c>
      <c r="C5661" s="108" t="s">
        <v>1372</v>
      </c>
      <c r="D5661" s="100" t="str">
        <f t="shared" si="1"/>
        <v/>
      </c>
      <c r="E5661" s="100" t="str">
        <f t="shared" si="2"/>
        <v/>
      </c>
      <c r="F5661" s="100" t="str">
        <f t="shared" si="3"/>
        <v/>
      </c>
      <c r="G5661" s="151"/>
      <c r="H5661" s="156"/>
      <c r="I5661" s="157"/>
      <c r="J5661" s="161"/>
      <c r="L5661" s="94"/>
      <c r="M5661" s="159"/>
      <c r="N5661" s="94"/>
    </row>
    <row r="5662">
      <c r="A5662" s="107">
        <v>1630199.0</v>
      </c>
      <c r="B5662" s="108" t="s">
        <v>215</v>
      </c>
      <c r="C5662" s="108" t="s">
        <v>1372</v>
      </c>
      <c r="D5662" s="100" t="str">
        <f t="shared" si="1"/>
        <v/>
      </c>
      <c r="E5662" s="100" t="str">
        <f t="shared" si="2"/>
        <v/>
      </c>
      <c r="F5662" s="100" t="str">
        <f t="shared" si="3"/>
        <v/>
      </c>
      <c r="G5662" s="151"/>
      <c r="H5662" s="160"/>
      <c r="I5662" s="157"/>
      <c r="J5662" s="158"/>
      <c r="L5662" s="94"/>
      <c r="M5662" s="159"/>
      <c r="N5662" s="94"/>
    </row>
    <row r="5663">
      <c r="A5663" s="107">
        <v>1630200.0</v>
      </c>
      <c r="B5663" s="108" t="s">
        <v>243</v>
      </c>
      <c r="C5663" s="108" t="s">
        <v>1373</v>
      </c>
      <c r="D5663" s="100" t="str">
        <f t="shared" si="1"/>
        <v/>
      </c>
      <c r="E5663" s="100" t="str">
        <f t="shared" si="2"/>
        <v/>
      </c>
      <c r="F5663" s="100" t="str">
        <f t="shared" si="3"/>
        <v/>
      </c>
      <c r="G5663" s="151"/>
      <c r="H5663" s="156"/>
      <c r="I5663" s="157"/>
      <c r="J5663" s="161"/>
      <c r="L5663" s="94"/>
      <c r="M5663" s="159"/>
      <c r="N5663" s="94"/>
    </row>
    <row r="5664">
      <c r="A5664" s="107">
        <v>1630200.0</v>
      </c>
      <c r="B5664" s="108" t="s">
        <v>215</v>
      </c>
      <c r="C5664" s="108" t="s">
        <v>1373</v>
      </c>
      <c r="D5664" s="100" t="str">
        <f t="shared" si="1"/>
        <v/>
      </c>
      <c r="E5664" s="100" t="str">
        <f t="shared" si="2"/>
        <v/>
      </c>
      <c r="F5664" s="100" t="str">
        <f t="shared" si="3"/>
        <v/>
      </c>
      <c r="G5664" s="151"/>
      <c r="H5664" s="160"/>
      <c r="I5664" s="157"/>
      <c r="J5664" s="158"/>
      <c r="L5664" s="94"/>
      <c r="M5664" s="159"/>
      <c r="N5664" s="94"/>
    </row>
    <row r="5665">
      <c r="A5665" s="107">
        <v>1630200.0</v>
      </c>
      <c r="B5665" s="108" t="s">
        <v>244</v>
      </c>
      <c r="C5665" s="108" t="s">
        <v>1373</v>
      </c>
      <c r="D5665" s="100" t="str">
        <f t="shared" si="1"/>
        <v/>
      </c>
      <c r="E5665" s="100" t="str">
        <f t="shared" si="2"/>
        <v/>
      </c>
      <c r="F5665" s="100" t="str">
        <f t="shared" si="3"/>
        <v/>
      </c>
      <c r="G5665" s="151"/>
      <c r="H5665" s="156"/>
      <c r="I5665" s="157"/>
      <c r="J5665" s="161"/>
      <c r="L5665" s="94"/>
      <c r="M5665" s="159"/>
      <c r="N5665" s="94"/>
    </row>
    <row r="5666">
      <c r="A5666" s="107">
        <v>1630200.0</v>
      </c>
      <c r="B5666" s="108" t="s">
        <v>245</v>
      </c>
      <c r="C5666" s="108" t="s">
        <v>1373</v>
      </c>
      <c r="D5666" s="100" t="str">
        <f t="shared" si="1"/>
        <v/>
      </c>
      <c r="E5666" s="100" t="str">
        <f t="shared" si="2"/>
        <v/>
      </c>
      <c r="F5666" s="100" t="str">
        <f t="shared" si="3"/>
        <v/>
      </c>
      <c r="G5666" s="151"/>
      <c r="H5666" s="160"/>
      <c r="I5666" s="157"/>
      <c r="J5666" s="158"/>
      <c r="L5666" s="94"/>
      <c r="M5666" s="159"/>
      <c r="N5666" s="94"/>
    </row>
    <row r="5667">
      <c r="A5667" s="107">
        <v>1630200.0</v>
      </c>
      <c r="B5667" s="108" t="s">
        <v>246</v>
      </c>
      <c r="C5667" s="108" t="s">
        <v>1373</v>
      </c>
      <c r="D5667" s="100" t="str">
        <f t="shared" si="1"/>
        <v/>
      </c>
      <c r="E5667" s="100" t="str">
        <f t="shared" si="2"/>
        <v/>
      </c>
      <c r="F5667" s="100" t="str">
        <f t="shared" si="3"/>
        <v/>
      </c>
      <c r="G5667" s="151"/>
      <c r="H5667" s="156"/>
      <c r="I5667" s="157"/>
      <c r="J5667" s="161"/>
      <c r="L5667" s="94"/>
      <c r="M5667" s="159"/>
      <c r="N5667" s="94"/>
    </row>
    <row r="5668">
      <c r="A5668" s="114">
        <v>1630200.0</v>
      </c>
      <c r="B5668" s="131" t="s">
        <v>247</v>
      </c>
      <c r="C5668" s="131" t="s">
        <v>1373</v>
      </c>
      <c r="D5668" s="100" t="str">
        <f t="shared" si="1"/>
        <v/>
      </c>
      <c r="E5668" s="100" t="str">
        <f t="shared" si="2"/>
        <v/>
      </c>
      <c r="F5668" s="100" t="str">
        <f t="shared" si="3"/>
        <v/>
      </c>
      <c r="G5668" s="151"/>
      <c r="H5668" s="160"/>
      <c r="I5668" s="157"/>
      <c r="J5668" s="158"/>
      <c r="L5668" s="94"/>
      <c r="M5668" s="159"/>
      <c r="N5668" s="94"/>
    </row>
    <row r="5669">
      <c r="A5669" s="107">
        <v>1630201.0</v>
      </c>
      <c r="B5669" s="116" t="s">
        <v>243</v>
      </c>
      <c r="C5669" s="116" t="s">
        <v>1374</v>
      </c>
      <c r="D5669" s="100" t="str">
        <f t="shared" si="1"/>
        <v/>
      </c>
      <c r="E5669" s="100" t="str">
        <f t="shared" si="2"/>
        <v/>
      </c>
      <c r="F5669" s="100" t="str">
        <f t="shared" si="3"/>
        <v/>
      </c>
      <c r="G5669" s="151"/>
      <c r="H5669" s="156"/>
      <c r="I5669" s="157"/>
      <c r="J5669" s="161"/>
      <c r="L5669" s="94"/>
      <c r="M5669" s="159"/>
      <c r="N5669" s="94"/>
    </row>
    <row r="5670">
      <c r="A5670" s="107">
        <v>1630201.0</v>
      </c>
      <c r="B5670" s="116" t="s">
        <v>215</v>
      </c>
      <c r="C5670" s="116" t="s">
        <v>1374</v>
      </c>
      <c r="D5670" s="100" t="str">
        <f t="shared" si="1"/>
        <v/>
      </c>
      <c r="E5670" s="100" t="str">
        <f t="shared" si="2"/>
        <v/>
      </c>
      <c r="F5670" s="100" t="str">
        <f t="shared" si="3"/>
        <v/>
      </c>
      <c r="G5670" s="151"/>
      <c r="H5670" s="160"/>
      <c r="I5670" s="157"/>
      <c r="J5670" s="158"/>
      <c r="L5670" s="94"/>
      <c r="M5670" s="159"/>
      <c r="N5670" s="94"/>
    </row>
    <row r="5671">
      <c r="A5671" s="107">
        <v>1630201.0</v>
      </c>
      <c r="B5671" s="116" t="s">
        <v>244</v>
      </c>
      <c r="C5671" s="116" t="s">
        <v>1374</v>
      </c>
      <c r="D5671" s="100" t="str">
        <f t="shared" si="1"/>
        <v/>
      </c>
      <c r="E5671" s="100" t="str">
        <f t="shared" si="2"/>
        <v/>
      </c>
      <c r="F5671" s="100" t="str">
        <f t="shared" si="3"/>
        <v/>
      </c>
      <c r="G5671" s="151"/>
      <c r="H5671" s="156"/>
      <c r="I5671" s="157"/>
      <c r="J5671" s="161"/>
      <c r="L5671" s="94"/>
      <c r="M5671" s="159"/>
      <c r="N5671" s="94"/>
    </row>
    <row r="5672">
      <c r="A5672" s="107">
        <v>1630201.0</v>
      </c>
      <c r="B5672" s="116" t="s">
        <v>245</v>
      </c>
      <c r="C5672" s="116" t="s">
        <v>1374</v>
      </c>
      <c r="D5672" s="100" t="str">
        <f t="shared" si="1"/>
        <v/>
      </c>
      <c r="E5672" s="100" t="str">
        <f t="shared" si="2"/>
        <v/>
      </c>
      <c r="F5672" s="100" t="str">
        <f t="shared" si="3"/>
        <v/>
      </c>
      <c r="G5672" s="151"/>
      <c r="H5672" s="160"/>
      <c r="I5672" s="157"/>
      <c r="J5672" s="158"/>
      <c r="L5672" s="94"/>
      <c r="M5672" s="159"/>
      <c r="N5672" s="94"/>
    </row>
    <row r="5673">
      <c r="A5673" s="123">
        <v>1630201.0</v>
      </c>
      <c r="B5673" s="132" t="s">
        <v>246</v>
      </c>
      <c r="C5673" s="133" t="s">
        <v>1374</v>
      </c>
      <c r="D5673" s="100" t="str">
        <f t="shared" si="1"/>
        <v/>
      </c>
      <c r="E5673" s="100" t="str">
        <f t="shared" si="2"/>
        <v/>
      </c>
      <c r="F5673" s="100" t="str">
        <f t="shared" si="3"/>
        <v/>
      </c>
      <c r="G5673" s="151"/>
      <c r="H5673" s="156"/>
      <c r="I5673" s="157"/>
      <c r="J5673" s="161"/>
      <c r="L5673" s="94"/>
      <c r="M5673" s="159"/>
      <c r="N5673" s="94"/>
    </row>
    <row r="5674">
      <c r="A5674" s="107">
        <v>1630202.0</v>
      </c>
      <c r="B5674" s="116" t="s">
        <v>243</v>
      </c>
      <c r="C5674" s="116" t="s">
        <v>1375</v>
      </c>
      <c r="D5674" s="100" t="str">
        <f t="shared" si="1"/>
        <v/>
      </c>
      <c r="E5674" s="100" t="str">
        <f t="shared" si="2"/>
        <v/>
      </c>
      <c r="F5674" s="100" t="str">
        <f t="shared" si="3"/>
        <v/>
      </c>
      <c r="G5674" s="151"/>
      <c r="H5674" s="160"/>
      <c r="I5674" s="157"/>
      <c r="J5674" s="158"/>
      <c r="L5674" s="94"/>
      <c r="M5674" s="159"/>
      <c r="N5674" s="94"/>
    </row>
    <row r="5675">
      <c r="A5675" s="107">
        <v>1630202.0</v>
      </c>
      <c r="B5675" s="116" t="s">
        <v>215</v>
      </c>
      <c r="C5675" s="116" t="s">
        <v>1375</v>
      </c>
      <c r="D5675" s="100" t="str">
        <f t="shared" si="1"/>
        <v/>
      </c>
      <c r="E5675" s="100" t="str">
        <f t="shared" si="2"/>
        <v/>
      </c>
      <c r="F5675" s="100" t="str">
        <f t="shared" si="3"/>
        <v/>
      </c>
      <c r="G5675" s="151"/>
      <c r="H5675" s="156"/>
      <c r="I5675" s="157"/>
      <c r="J5675" s="161"/>
      <c r="L5675" s="94"/>
      <c r="M5675" s="159"/>
      <c r="N5675" s="94"/>
    </row>
    <row r="5676">
      <c r="A5676" s="107">
        <v>1630202.0</v>
      </c>
      <c r="B5676" s="116" t="s">
        <v>244</v>
      </c>
      <c r="C5676" s="116" t="s">
        <v>1375</v>
      </c>
      <c r="D5676" s="100" t="str">
        <f t="shared" si="1"/>
        <v/>
      </c>
      <c r="E5676" s="100" t="str">
        <f t="shared" si="2"/>
        <v/>
      </c>
      <c r="F5676" s="100" t="str">
        <f t="shared" si="3"/>
        <v/>
      </c>
      <c r="G5676" s="151"/>
      <c r="H5676" s="160"/>
      <c r="I5676" s="157"/>
      <c r="J5676" s="158"/>
      <c r="L5676" s="94"/>
      <c r="M5676" s="159"/>
      <c r="N5676" s="94"/>
    </row>
    <row r="5677">
      <c r="A5677" s="107">
        <v>1630202.0</v>
      </c>
      <c r="B5677" s="116" t="s">
        <v>245</v>
      </c>
      <c r="C5677" s="116" t="s">
        <v>1375</v>
      </c>
      <c r="D5677" s="100" t="str">
        <f t="shared" si="1"/>
        <v/>
      </c>
      <c r="E5677" s="100" t="str">
        <f t="shared" si="2"/>
        <v/>
      </c>
      <c r="F5677" s="100" t="str">
        <f t="shared" si="3"/>
        <v/>
      </c>
      <c r="G5677" s="151"/>
      <c r="H5677" s="156"/>
      <c r="I5677" s="157"/>
      <c r="J5677" s="161"/>
      <c r="L5677" s="94"/>
      <c r="M5677" s="159"/>
      <c r="N5677" s="94"/>
    </row>
    <row r="5678">
      <c r="A5678" s="107">
        <v>1630202.0</v>
      </c>
      <c r="B5678" s="116" t="s">
        <v>246</v>
      </c>
      <c r="C5678" s="116" t="s">
        <v>1375</v>
      </c>
      <c r="D5678" s="100" t="str">
        <f t="shared" si="1"/>
        <v/>
      </c>
      <c r="E5678" s="100" t="str">
        <f t="shared" si="2"/>
        <v/>
      </c>
      <c r="F5678" s="100" t="str">
        <f t="shared" si="3"/>
        <v/>
      </c>
      <c r="G5678" s="151"/>
      <c r="H5678" s="160"/>
      <c r="I5678" s="157"/>
      <c r="J5678" s="158"/>
      <c r="L5678" s="94"/>
      <c r="M5678" s="159"/>
      <c r="N5678" s="94"/>
    </row>
    <row r="5679">
      <c r="A5679" s="114">
        <v>1630202.0</v>
      </c>
      <c r="B5679" s="131" t="s">
        <v>247</v>
      </c>
      <c r="C5679" s="131" t="s">
        <v>1375</v>
      </c>
      <c r="D5679" s="100" t="str">
        <f t="shared" si="1"/>
        <v/>
      </c>
      <c r="E5679" s="100" t="str">
        <f t="shared" si="2"/>
        <v/>
      </c>
      <c r="F5679" s="100" t="str">
        <f t="shared" si="3"/>
        <v/>
      </c>
      <c r="G5679" s="151"/>
      <c r="H5679" s="156"/>
      <c r="I5679" s="157"/>
      <c r="J5679" s="161"/>
      <c r="L5679" s="94"/>
      <c r="M5679" s="159"/>
      <c r="N5679" s="94"/>
    </row>
    <row r="5680">
      <c r="A5680" s="107">
        <v>1630203.0</v>
      </c>
      <c r="B5680" s="116" t="s">
        <v>243</v>
      </c>
      <c r="C5680" s="116" t="s">
        <v>1376</v>
      </c>
      <c r="D5680" s="100" t="str">
        <f t="shared" si="1"/>
        <v/>
      </c>
      <c r="E5680" s="100" t="str">
        <f t="shared" si="2"/>
        <v/>
      </c>
      <c r="F5680" s="100" t="str">
        <f t="shared" si="3"/>
        <v/>
      </c>
      <c r="G5680" s="151"/>
      <c r="H5680" s="160"/>
      <c r="I5680" s="157"/>
      <c r="J5680" s="158"/>
      <c r="L5680" s="94"/>
      <c r="M5680" s="159"/>
      <c r="N5680" s="94"/>
    </row>
    <row r="5681">
      <c r="A5681" s="107">
        <v>1630204.0</v>
      </c>
      <c r="B5681" s="116" t="s">
        <v>243</v>
      </c>
      <c r="C5681" s="116" t="s">
        <v>1377</v>
      </c>
      <c r="D5681" s="100" t="str">
        <f t="shared" si="1"/>
        <v/>
      </c>
      <c r="E5681" s="100" t="str">
        <f t="shared" si="2"/>
        <v/>
      </c>
      <c r="F5681" s="100" t="str">
        <f t="shared" si="3"/>
        <v/>
      </c>
      <c r="G5681" s="151"/>
      <c r="H5681" s="156"/>
      <c r="I5681" s="157"/>
      <c r="J5681" s="161"/>
      <c r="L5681" s="94"/>
      <c r="M5681" s="159"/>
      <c r="N5681" s="94"/>
    </row>
    <row r="5682">
      <c r="A5682" s="107">
        <v>1630204.0</v>
      </c>
      <c r="B5682" s="116" t="s">
        <v>245</v>
      </c>
      <c r="C5682" s="116" t="s">
        <v>1377</v>
      </c>
      <c r="D5682" s="100" t="str">
        <f t="shared" si="1"/>
        <v/>
      </c>
      <c r="E5682" s="100" t="str">
        <f t="shared" si="2"/>
        <v/>
      </c>
      <c r="F5682" s="100" t="str">
        <f t="shared" si="3"/>
        <v/>
      </c>
      <c r="G5682" s="151"/>
      <c r="H5682" s="160"/>
      <c r="I5682" s="157"/>
      <c r="J5682" s="158"/>
      <c r="L5682" s="94"/>
      <c r="M5682" s="159"/>
      <c r="N5682" s="94"/>
    </row>
    <row r="5683">
      <c r="A5683" s="107">
        <v>1630205.0</v>
      </c>
      <c r="B5683" s="116" t="s">
        <v>243</v>
      </c>
      <c r="C5683" s="116" t="s">
        <v>1378</v>
      </c>
      <c r="D5683" s="100" t="str">
        <f t="shared" si="1"/>
        <v/>
      </c>
      <c r="E5683" s="100" t="str">
        <f t="shared" si="2"/>
        <v/>
      </c>
      <c r="F5683" s="100" t="str">
        <f t="shared" si="3"/>
        <v/>
      </c>
      <c r="G5683" s="151"/>
      <c r="H5683" s="156"/>
      <c r="I5683" s="157"/>
      <c r="J5683" s="161"/>
      <c r="L5683" s="94"/>
      <c r="M5683" s="159"/>
      <c r="N5683" s="94"/>
    </row>
    <row r="5684">
      <c r="A5684" s="107">
        <v>1630205.0</v>
      </c>
      <c r="B5684" s="116" t="s">
        <v>215</v>
      </c>
      <c r="C5684" s="116" t="s">
        <v>1378</v>
      </c>
      <c r="D5684" s="100" t="str">
        <f t="shared" si="1"/>
        <v/>
      </c>
      <c r="E5684" s="100" t="str">
        <f t="shared" si="2"/>
        <v/>
      </c>
      <c r="F5684" s="100" t="str">
        <f t="shared" si="3"/>
        <v/>
      </c>
      <c r="G5684" s="151"/>
      <c r="H5684" s="160"/>
      <c r="I5684" s="157"/>
      <c r="J5684" s="158"/>
      <c r="L5684" s="94"/>
      <c r="M5684" s="159"/>
      <c r="N5684" s="94"/>
    </row>
    <row r="5685">
      <c r="A5685" s="107">
        <v>1630205.0</v>
      </c>
      <c r="B5685" s="116" t="s">
        <v>244</v>
      </c>
      <c r="C5685" s="116" t="s">
        <v>1378</v>
      </c>
      <c r="D5685" s="100" t="str">
        <f t="shared" si="1"/>
        <v/>
      </c>
      <c r="E5685" s="100" t="str">
        <f t="shared" si="2"/>
        <v/>
      </c>
      <c r="F5685" s="100" t="str">
        <f t="shared" si="3"/>
        <v/>
      </c>
      <c r="G5685" s="151"/>
      <c r="H5685" s="156"/>
      <c r="I5685" s="157"/>
      <c r="J5685" s="161"/>
      <c r="L5685" s="94"/>
      <c r="M5685" s="159"/>
      <c r="N5685" s="94"/>
    </row>
    <row r="5686">
      <c r="A5686" s="107">
        <v>1630205.0</v>
      </c>
      <c r="B5686" s="116" t="s">
        <v>245</v>
      </c>
      <c r="C5686" s="116" t="s">
        <v>1378</v>
      </c>
      <c r="D5686" s="100" t="str">
        <f t="shared" si="1"/>
        <v/>
      </c>
      <c r="E5686" s="100" t="str">
        <f t="shared" si="2"/>
        <v/>
      </c>
      <c r="F5686" s="100" t="str">
        <f t="shared" si="3"/>
        <v/>
      </c>
      <c r="G5686" s="151"/>
      <c r="H5686" s="160"/>
      <c r="I5686" s="157"/>
      <c r="J5686" s="158"/>
      <c r="L5686" s="94"/>
      <c r="M5686" s="159"/>
      <c r="N5686" s="94"/>
    </row>
    <row r="5687">
      <c r="A5687" s="123">
        <v>1630205.0</v>
      </c>
      <c r="B5687" s="132" t="s">
        <v>246</v>
      </c>
      <c r="C5687" s="133" t="s">
        <v>1378</v>
      </c>
      <c r="D5687" s="100" t="str">
        <f t="shared" si="1"/>
        <v/>
      </c>
      <c r="E5687" s="100" t="str">
        <f t="shared" si="2"/>
        <v/>
      </c>
      <c r="F5687" s="100" t="str">
        <f t="shared" si="3"/>
        <v/>
      </c>
      <c r="G5687" s="151"/>
      <c r="H5687" s="156"/>
      <c r="I5687" s="157"/>
      <c r="J5687" s="161"/>
      <c r="L5687" s="94"/>
      <c r="M5687" s="159"/>
      <c r="N5687" s="94"/>
    </row>
    <row r="5688">
      <c r="A5688" s="107">
        <v>1630206.0</v>
      </c>
      <c r="B5688" s="116" t="s">
        <v>243</v>
      </c>
      <c r="C5688" s="116" t="s">
        <v>1379</v>
      </c>
      <c r="D5688" s="100" t="str">
        <f t="shared" si="1"/>
        <v/>
      </c>
      <c r="E5688" s="100" t="str">
        <f t="shared" si="2"/>
        <v/>
      </c>
      <c r="F5688" s="100" t="str">
        <f t="shared" si="3"/>
        <v/>
      </c>
      <c r="G5688" s="151"/>
      <c r="H5688" s="160"/>
      <c r="I5688" s="157"/>
      <c r="J5688" s="158"/>
      <c r="L5688" s="94"/>
      <c r="M5688" s="159"/>
      <c r="N5688" s="94"/>
    </row>
    <row r="5689">
      <c r="A5689" s="107">
        <v>1630206.0</v>
      </c>
      <c r="B5689" s="116" t="s">
        <v>215</v>
      </c>
      <c r="C5689" s="116" t="s">
        <v>1379</v>
      </c>
      <c r="D5689" s="100" t="str">
        <f t="shared" si="1"/>
        <v/>
      </c>
      <c r="E5689" s="100" t="str">
        <f t="shared" si="2"/>
        <v/>
      </c>
      <c r="F5689" s="100" t="str">
        <f t="shared" si="3"/>
        <v/>
      </c>
      <c r="G5689" s="151"/>
      <c r="H5689" s="156"/>
      <c r="I5689" s="157"/>
      <c r="J5689" s="161"/>
      <c r="L5689" s="94"/>
      <c r="M5689" s="159"/>
      <c r="N5689" s="94"/>
    </row>
    <row r="5690">
      <c r="A5690" s="107">
        <v>1630206.0</v>
      </c>
      <c r="B5690" s="116" t="s">
        <v>244</v>
      </c>
      <c r="C5690" s="116" t="s">
        <v>1379</v>
      </c>
      <c r="D5690" s="100" t="str">
        <f t="shared" si="1"/>
        <v/>
      </c>
      <c r="E5690" s="100" t="str">
        <f t="shared" si="2"/>
        <v/>
      </c>
      <c r="F5690" s="100" t="str">
        <f t="shared" si="3"/>
        <v/>
      </c>
      <c r="G5690" s="151"/>
      <c r="H5690" s="160"/>
      <c r="I5690" s="157"/>
      <c r="J5690" s="158"/>
      <c r="L5690" s="94"/>
      <c r="M5690" s="159"/>
      <c r="N5690" s="94"/>
    </row>
    <row r="5691">
      <c r="A5691" s="107">
        <v>1630207.0</v>
      </c>
      <c r="B5691" s="116" t="s">
        <v>243</v>
      </c>
      <c r="C5691" s="116" t="s">
        <v>1380</v>
      </c>
      <c r="D5691" s="100" t="str">
        <f t="shared" si="1"/>
        <v/>
      </c>
      <c r="E5691" s="100" t="str">
        <f t="shared" si="2"/>
        <v/>
      </c>
      <c r="F5691" s="100" t="str">
        <f t="shared" si="3"/>
        <v/>
      </c>
      <c r="G5691" s="151"/>
      <c r="H5691" s="156"/>
      <c r="I5691" s="157"/>
      <c r="J5691" s="161"/>
      <c r="L5691" s="94"/>
      <c r="M5691" s="159"/>
      <c r="N5691" s="94"/>
    </row>
    <row r="5692">
      <c r="A5692" s="107">
        <v>1630207.0</v>
      </c>
      <c r="B5692" s="116" t="s">
        <v>215</v>
      </c>
      <c r="C5692" s="116" t="s">
        <v>1380</v>
      </c>
      <c r="D5692" s="100" t="str">
        <f t="shared" si="1"/>
        <v/>
      </c>
      <c r="E5692" s="100" t="str">
        <f t="shared" si="2"/>
        <v/>
      </c>
      <c r="F5692" s="100" t="str">
        <f t="shared" si="3"/>
        <v/>
      </c>
      <c r="G5692" s="151"/>
      <c r="H5692" s="160"/>
      <c r="I5692" s="157"/>
      <c r="J5692" s="158"/>
      <c r="L5692" s="94"/>
      <c r="M5692" s="159"/>
      <c r="N5692" s="94"/>
    </row>
    <row r="5693">
      <c r="A5693" s="107">
        <v>1630207.0</v>
      </c>
      <c r="B5693" s="116" t="s">
        <v>245</v>
      </c>
      <c r="C5693" s="116" t="s">
        <v>1380</v>
      </c>
      <c r="D5693" s="100" t="str">
        <f t="shared" si="1"/>
        <v/>
      </c>
      <c r="E5693" s="100" t="str">
        <f t="shared" si="2"/>
        <v/>
      </c>
      <c r="F5693" s="100" t="str">
        <f t="shared" si="3"/>
        <v/>
      </c>
      <c r="G5693" s="151"/>
      <c r="H5693" s="156"/>
      <c r="I5693" s="157"/>
      <c r="J5693" s="161"/>
      <c r="L5693" s="94"/>
      <c r="M5693" s="159"/>
      <c r="N5693" s="94"/>
    </row>
    <row r="5694">
      <c r="A5694" s="107">
        <v>1630208.0</v>
      </c>
      <c r="B5694" s="116" t="s">
        <v>243</v>
      </c>
      <c r="C5694" s="116" t="s">
        <v>1381</v>
      </c>
      <c r="D5694" s="100" t="str">
        <f t="shared" si="1"/>
        <v/>
      </c>
      <c r="E5694" s="100" t="str">
        <f t="shared" si="2"/>
        <v/>
      </c>
      <c r="F5694" s="100" t="str">
        <f t="shared" si="3"/>
        <v/>
      </c>
      <c r="G5694" s="151"/>
      <c r="H5694" s="160"/>
      <c r="I5694" s="157"/>
      <c r="J5694" s="158"/>
      <c r="L5694" s="94"/>
      <c r="M5694" s="159"/>
      <c r="N5694" s="94"/>
    </row>
    <row r="5695">
      <c r="A5695" s="107">
        <v>1630208.0</v>
      </c>
      <c r="B5695" s="116" t="s">
        <v>215</v>
      </c>
      <c r="C5695" s="116" t="s">
        <v>1381</v>
      </c>
      <c r="D5695" s="100" t="str">
        <f t="shared" si="1"/>
        <v/>
      </c>
      <c r="E5695" s="100" t="str">
        <f t="shared" si="2"/>
        <v/>
      </c>
      <c r="F5695" s="100" t="str">
        <f t="shared" si="3"/>
        <v/>
      </c>
      <c r="G5695" s="151"/>
      <c r="H5695" s="156"/>
      <c r="I5695" s="157"/>
      <c r="J5695" s="161"/>
      <c r="L5695" s="94"/>
      <c r="M5695" s="159"/>
      <c r="N5695" s="94"/>
    </row>
    <row r="5696">
      <c r="A5696" s="107">
        <v>1630208.0</v>
      </c>
      <c r="B5696" s="116" t="s">
        <v>244</v>
      </c>
      <c r="C5696" s="116" t="s">
        <v>1381</v>
      </c>
      <c r="D5696" s="100" t="str">
        <f t="shared" si="1"/>
        <v/>
      </c>
      <c r="E5696" s="100" t="str">
        <f t="shared" si="2"/>
        <v/>
      </c>
      <c r="F5696" s="100" t="str">
        <f t="shared" si="3"/>
        <v/>
      </c>
      <c r="G5696" s="151"/>
      <c r="H5696" s="160"/>
      <c r="I5696" s="157"/>
      <c r="J5696" s="158"/>
      <c r="L5696" s="94"/>
      <c r="M5696" s="159"/>
      <c r="N5696" s="94"/>
    </row>
    <row r="5697">
      <c r="A5697" s="107">
        <v>1630208.0</v>
      </c>
      <c r="B5697" s="116" t="s">
        <v>245</v>
      </c>
      <c r="C5697" s="116" t="s">
        <v>1381</v>
      </c>
      <c r="D5697" s="100" t="str">
        <f t="shared" si="1"/>
        <v/>
      </c>
      <c r="E5697" s="100" t="str">
        <f t="shared" si="2"/>
        <v/>
      </c>
      <c r="F5697" s="100" t="str">
        <f t="shared" si="3"/>
        <v/>
      </c>
      <c r="G5697" s="151"/>
      <c r="H5697" s="156"/>
      <c r="I5697" s="157"/>
      <c r="J5697" s="161"/>
      <c r="L5697" s="94"/>
      <c r="M5697" s="159"/>
      <c r="N5697" s="94"/>
    </row>
    <row r="5698">
      <c r="A5698" s="107">
        <v>1630208.0</v>
      </c>
      <c r="B5698" s="116" t="s">
        <v>246</v>
      </c>
      <c r="C5698" s="116" t="s">
        <v>1381</v>
      </c>
      <c r="D5698" s="100" t="str">
        <f t="shared" si="1"/>
        <v/>
      </c>
      <c r="E5698" s="100" t="str">
        <f t="shared" si="2"/>
        <v/>
      </c>
      <c r="F5698" s="100" t="str">
        <f t="shared" si="3"/>
        <v/>
      </c>
      <c r="G5698" s="151"/>
      <c r="H5698" s="160"/>
      <c r="I5698" s="157"/>
      <c r="J5698" s="158"/>
      <c r="L5698" s="94"/>
      <c r="M5698" s="159"/>
      <c r="N5698" s="94"/>
    </row>
    <row r="5699">
      <c r="A5699" s="114">
        <v>1630208.0</v>
      </c>
      <c r="B5699" s="131" t="s">
        <v>247</v>
      </c>
      <c r="C5699" s="131" t="s">
        <v>1381</v>
      </c>
      <c r="D5699" s="100" t="str">
        <f t="shared" si="1"/>
        <v/>
      </c>
      <c r="E5699" s="100" t="str">
        <f t="shared" si="2"/>
        <v/>
      </c>
      <c r="F5699" s="100" t="str">
        <f t="shared" si="3"/>
        <v/>
      </c>
      <c r="G5699" s="151"/>
      <c r="H5699" s="156"/>
      <c r="I5699" s="157"/>
      <c r="J5699" s="161"/>
      <c r="L5699" s="94"/>
      <c r="M5699" s="159"/>
      <c r="N5699" s="94"/>
    </row>
    <row r="5700">
      <c r="A5700" s="107">
        <v>1630209.0</v>
      </c>
      <c r="B5700" s="116" t="s">
        <v>215</v>
      </c>
      <c r="C5700" s="116" t="s">
        <v>1382</v>
      </c>
      <c r="D5700" s="100" t="str">
        <f t="shared" si="1"/>
        <v/>
      </c>
      <c r="E5700" s="100" t="str">
        <f t="shared" si="2"/>
        <v/>
      </c>
      <c r="F5700" s="100" t="str">
        <f t="shared" si="3"/>
        <v/>
      </c>
      <c r="G5700" s="151"/>
      <c r="H5700" s="160"/>
      <c r="I5700" s="157"/>
      <c r="J5700" s="158"/>
      <c r="L5700" s="94"/>
      <c r="M5700" s="159"/>
      <c r="N5700" s="94"/>
    </row>
    <row r="5701">
      <c r="A5701" s="107">
        <v>1630209.0</v>
      </c>
      <c r="B5701" s="116" t="s">
        <v>244</v>
      </c>
      <c r="C5701" s="116" t="s">
        <v>1382</v>
      </c>
      <c r="D5701" s="100" t="str">
        <f t="shared" si="1"/>
        <v/>
      </c>
      <c r="E5701" s="100" t="str">
        <f t="shared" si="2"/>
        <v/>
      </c>
      <c r="F5701" s="100" t="str">
        <f t="shared" si="3"/>
        <v/>
      </c>
      <c r="G5701" s="151"/>
      <c r="H5701" s="156"/>
      <c r="I5701" s="157"/>
      <c r="J5701" s="161"/>
      <c r="L5701" s="94"/>
      <c r="M5701" s="159"/>
      <c r="N5701" s="94"/>
    </row>
    <row r="5702">
      <c r="A5702" s="107">
        <v>1630209.0</v>
      </c>
      <c r="B5702" s="116" t="s">
        <v>245</v>
      </c>
      <c r="C5702" s="116" t="s">
        <v>1382</v>
      </c>
      <c r="D5702" s="100" t="str">
        <f t="shared" si="1"/>
        <v/>
      </c>
      <c r="E5702" s="100" t="str">
        <f t="shared" si="2"/>
        <v/>
      </c>
      <c r="F5702" s="100" t="str">
        <f t="shared" si="3"/>
        <v/>
      </c>
      <c r="G5702" s="151"/>
      <c r="H5702" s="160"/>
      <c r="I5702" s="157"/>
      <c r="J5702" s="158"/>
      <c r="L5702" s="94"/>
      <c r="M5702" s="159"/>
      <c r="N5702" s="94"/>
    </row>
    <row r="5703">
      <c r="A5703" s="107">
        <v>1630210.0</v>
      </c>
      <c r="B5703" s="116" t="s">
        <v>243</v>
      </c>
      <c r="C5703" s="116" t="s">
        <v>1383</v>
      </c>
      <c r="D5703" s="100" t="str">
        <f t="shared" si="1"/>
        <v/>
      </c>
      <c r="E5703" s="100" t="str">
        <f t="shared" si="2"/>
        <v/>
      </c>
      <c r="F5703" s="100" t="str">
        <f t="shared" si="3"/>
        <v/>
      </c>
      <c r="G5703" s="151"/>
      <c r="H5703" s="156"/>
      <c r="I5703" s="157"/>
      <c r="J5703" s="161"/>
      <c r="L5703" s="94"/>
      <c r="M5703" s="159"/>
      <c r="N5703" s="94"/>
    </row>
    <row r="5704">
      <c r="A5704" s="107">
        <v>1630210.0</v>
      </c>
      <c r="B5704" s="116" t="s">
        <v>215</v>
      </c>
      <c r="C5704" s="116" t="s">
        <v>1383</v>
      </c>
      <c r="D5704" s="100" t="str">
        <f t="shared" si="1"/>
        <v/>
      </c>
      <c r="E5704" s="100" t="str">
        <f t="shared" si="2"/>
        <v/>
      </c>
      <c r="F5704" s="100" t="str">
        <f t="shared" si="3"/>
        <v/>
      </c>
      <c r="G5704" s="151"/>
      <c r="H5704" s="160"/>
      <c r="I5704" s="157"/>
      <c r="J5704" s="158"/>
      <c r="L5704" s="94"/>
      <c r="M5704" s="159"/>
      <c r="N5704" s="94"/>
    </row>
    <row r="5705">
      <c r="A5705" s="107">
        <v>1630211.0</v>
      </c>
      <c r="B5705" s="116" t="s">
        <v>243</v>
      </c>
      <c r="C5705" s="116" t="s">
        <v>1384</v>
      </c>
      <c r="D5705" s="100" t="str">
        <f t="shared" si="1"/>
        <v/>
      </c>
      <c r="E5705" s="100" t="str">
        <f t="shared" si="2"/>
        <v/>
      </c>
      <c r="F5705" s="100" t="str">
        <f t="shared" si="3"/>
        <v/>
      </c>
      <c r="G5705" s="151"/>
      <c r="H5705" s="156"/>
      <c r="I5705" s="157"/>
      <c r="J5705" s="161"/>
      <c r="L5705" s="94"/>
      <c r="M5705" s="159"/>
      <c r="N5705" s="94"/>
    </row>
    <row r="5706">
      <c r="A5706" s="107">
        <v>1630214.0</v>
      </c>
      <c r="B5706" s="116" t="s">
        <v>243</v>
      </c>
      <c r="C5706" s="134" t="s">
        <v>1010</v>
      </c>
      <c r="D5706" s="100" t="str">
        <f t="shared" si="1"/>
        <v/>
      </c>
      <c r="E5706" s="100" t="str">
        <f t="shared" si="2"/>
        <v/>
      </c>
      <c r="F5706" s="100" t="str">
        <f t="shared" si="3"/>
        <v/>
      </c>
      <c r="G5706" s="151"/>
      <c r="H5706" s="160"/>
      <c r="I5706" s="157"/>
      <c r="J5706" s="158"/>
      <c r="L5706" s="94"/>
      <c r="M5706" s="159"/>
      <c r="N5706" s="94"/>
    </row>
    <row r="5707">
      <c r="A5707" s="107">
        <v>1630214.0</v>
      </c>
      <c r="B5707" s="116" t="s">
        <v>215</v>
      </c>
      <c r="C5707" s="134" t="s">
        <v>1010</v>
      </c>
      <c r="D5707" s="100" t="str">
        <f t="shared" si="1"/>
        <v/>
      </c>
      <c r="E5707" s="100" t="str">
        <f t="shared" si="2"/>
        <v/>
      </c>
      <c r="F5707" s="100" t="str">
        <f t="shared" si="3"/>
        <v/>
      </c>
      <c r="G5707" s="151"/>
      <c r="H5707" s="156"/>
      <c r="I5707" s="157"/>
      <c r="J5707" s="161"/>
      <c r="L5707" s="94"/>
      <c r="M5707" s="159"/>
      <c r="N5707" s="94"/>
    </row>
    <row r="5708">
      <c r="A5708" s="107">
        <v>1630214.0</v>
      </c>
      <c r="B5708" s="116" t="s">
        <v>244</v>
      </c>
      <c r="C5708" s="134" t="s">
        <v>1010</v>
      </c>
      <c r="D5708" s="100" t="str">
        <f t="shared" si="1"/>
        <v/>
      </c>
      <c r="E5708" s="100" t="str">
        <f t="shared" si="2"/>
        <v/>
      </c>
      <c r="F5708" s="100" t="str">
        <f t="shared" si="3"/>
        <v/>
      </c>
      <c r="G5708" s="151"/>
      <c r="H5708" s="160"/>
      <c r="I5708" s="157"/>
      <c r="J5708" s="158"/>
      <c r="L5708" s="94"/>
      <c r="M5708" s="159"/>
      <c r="N5708" s="94"/>
    </row>
    <row r="5709">
      <c r="A5709" s="107">
        <v>1630214.0</v>
      </c>
      <c r="B5709" s="116" t="s">
        <v>245</v>
      </c>
      <c r="C5709" s="116" t="s">
        <v>1010</v>
      </c>
      <c r="D5709" s="100" t="str">
        <f t="shared" si="1"/>
        <v/>
      </c>
      <c r="E5709" s="100" t="str">
        <f t="shared" si="2"/>
        <v/>
      </c>
      <c r="F5709" s="100" t="str">
        <f t="shared" si="3"/>
        <v/>
      </c>
      <c r="G5709" s="151"/>
      <c r="H5709" s="156"/>
      <c r="I5709" s="157"/>
      <c r="J5709" s="161"/>
      <c r="L5709" s="94"/>
      <c r="M5709" s="159"/>
      <c r="N5709" s="94"/>
    </row>
    <row r="5710">
      <c r="A5710" s="107">
        <v>1630214.0</v>
      </c>
      <c r="B5710" s="116" t="s">
        <v>246</v>
      </c>
      <c r="C5710" s="116" t="s">
        <v>1010</v>
      </c>
      <c r="D5710" s="100" t="str">
        <f t="shared" si="1"/>
        <v/>
      </c>
      <c r="E5710" s="100" t="str">
        <f t="shared" si="2"/>
        <v/>
      </c>
      <c r="F5710" s="100" t="str">
        <f t="shared" si="3"/>
        <v/>
      </c>
      <c r="G5710" s="151"/>
      <c r="H5710" s="160"/>
      <c r="I5710" s="157"/>
      <c r="J5710" s="158"/>
      <c r="L5710" s="94"/>
      <c r="M5710" s="159"/>
      <c r="N5710" s="94"/>
    </row>
    <row r="5711">
      <c r="A5711" s="114">
        <v>1630214.0</v>
      </c>
      <c r="B5711" s="131" t="s">
        <v>247</v>
      </c>
      <c r="C5711" s="131" t="s">
        <v>1010</v>
      </c>
      <c r="D5711" s="100" t="str">
        <f t="shared" si="1"/>
        <v/>
      </c>
      <c r="E5711" s="100" t="str">
        <f t="shared" si="2"/>
        <v/>
      </c>
      <c r="F5711" s="100" t="str">
        <f t="shared" si="3"/>
        <v/>
      </c>
      <c r="G5711" s="151"/>
      <c r="H5711" s="156"/>
      <c r="I5711" s="157"/>
      <c r="J5711" s="161"/>
      <c r="L5711" s="94"/>
      <c r="M5711" s="159"/>
      <c r="N5711" s="94"/>
    </row>
    <row r="5712">
      <c r="A5712" s="107">
        <v>1630215.0</v>
      </c>
      <c r="B5712" s="116" t="s">
        <v>215</v>
      </c>
      <c r="C5712" s="116" t="s">
        <v>1385</v>
      </c>
      <c r="D5712" s="100" t="str">
        <f t="shared" si="1"/>
        <v/>
      </c>
      <c r="E5712" s="100" t="str">
        <f t="shared" si="2"/>
        <v/>
      </c>
      <c r="F5712" s="100" t="str">
        <f t="shared" si="3"/>
        <v/>
      </c>
      <c r="G5712" s="151"/>
      <c r="H5712" s="160"/>
      <c r="I5712" s="157"/>
      <c r="J5712" s="158"/>
      <c r="L5712" s="94"/>
      <c r="M5712" s="159"/>
      <c r="N5712" s="94"/>
    </row>
    <row r="5713">
      <c r="A5713" s="107">
        <v>1630215.0</v>
      </c>
      <c r="B5713" s="116" t="s">
        <v>244</v>
      </c>
      <c r="C5713" s="116" t="s">
        <v>1385</v>
      </c>
      <c r="D5713" s="100" t="str">
        <f t="shared" si="1"/>
        <v/>
      </c>
      <c r="E5713" s="100" t="str">
        <f t="shared" si="2"/>
        <v/>
      </c>
      <c r="F5713" s="100" t="str">
        <f t="shared" si="3"/>
        <v/>
      </c>
      <c r="G5713" s="151"/>
      <c r="H5713" s="156"/>
      <c r="I5713" s="157"/>
      <c r="J5713" s="161"/>
      <c r="L5713" s="94"/>
      <c r="M5713" s="159"/>
      <c r="N5713" s="94"/>
    </row>
    <row r="5714">
      <c r="A5714" s="107">
        <v>1630215.0</v>
      </c>
      <c r="B5714" s="116" t="s">
        <v>245</v>
      </c>
      <c r="C5714" s="116" t="s">
        <v>1385</v>
      </c>
      <c r="D5714" s="100" t="str">
        <f t="shared" si="1"/>
        <v/>
      </c>
      <c r="E5714" s="100" t="str">
        <f t="shared" si="2"/>
        <v/>
      </c>
      <c r="F5714" s="100" t="str">
        <f t="shared" si="3"/>
        <v/>
      </c>
      <c r="G5714" s="151"/>
      <c r="H5714" s="160"/>
      <c r="I5714" s="157"/>
      <c r="J5714" s="158"/>
      <c r="L5714" s="94"/>
      <c r="M5714" s="159"/>
      <c r="N5714" s="94"/>
    </row>
    <row r="5715">
      <c r="A5715" s="107">
        <v>1630215.0</v>
      </c>
      <c r="B5715" s="116" t="s">
        <v>246</v>
      </c>
      <c r="C5715" s="116" t="s">
        <v>1385</v>
      </c>
      <c r="D5715" s="100" t="str">
        <f t="shared" si="1"/>
        <v/>
      </c>
      <c r="E5715" s="100" t="str">
        <f t="shared" si="2"/>
        <v/>
      </c>
      <c r="F5715" s="100" t="str">
        <f t="shared" si="3"/>
        <v/>
      </c>
      <c r="G5715" s="151"/>
      <c r="H5715" s="156"/>
      <c r="I5715" s="157"/>
      <c r="J5715" s="161"/>
      <c r="L5715" s="94"/>
      <c r="M5715" s="159"/>
      <c r="N5715" s="94"/>
    </row>
    <row r="5716">
      <c r="A5716" s="107">
        <v>1630216.0</v>
      </c>
      <c r="B5716" s="116" t="s">
        <v>243</v>
      </c>
      <c r="C5716" s="116" t="s">
        <v>1386</v>
      </c>
      <c r="D5716" s="100" t="str">
        <f t="shared" si="1"/>
        <v/>
      </c>
      <c r="E5716" s="100" t="str">
        <f t="shared" si="2"/>
        <v/>
      </c>
      <c r="F5716" s="100" t="str">
        <f t="shared" si="3"/>
        <v/>
      </c>
      <c r="G5716" s="151"/>
      <c r="H5716" s="160"/>
      <c r="I5716" s="157"/>
      <c r="J5716" s="158"/>
      <c r="L5716" s="94"/>
      <c r="M5716" s="159"/>
      <c r="N5716" s="94"/>
    </row>
    <row r="5717">
      <c r="A5717" s="107">
        <v>1630216.0</v>
      </c>
      <c r="B5717" s="116" t="s">
        <v>215</v>
      </c>
      <c r="C5717" s="116" t="s">
        <v>1386</v>
      </c>
      <c r="D5717" s="100" t="str">
        <f t="shared" si="1"/>
        <v/>
      </c>
      <c r="E5717" s="100" t="str">
        <f t="shared" si="2"/>
        <v/>
      </c>
      <c r="F5717" s="100" t="str">
        <f t="shared" si="3"/>
        <v/>
      </c>
      <c r="G5717" s="151"/>
      <c r="H5717" s="156"/>
      <c r="I5717" s="157"/>
      <c r="J5717" s="161"/>
      <c r="L5717" s="94"/>
      <c r="M5717" s="159"/>
      <c r="N5717" s="94"/>
    </row>
    <row r="5718">
      <c r="A5718" s="107">
        <v>1630217.0</v>
      </c>
      <c r="B5718" s="116" t="s">
        <v>243</v>
      </c>
      <c r="C5718" s="116" t="s">
        <v>1387</v>
      </c>
      <c r="D5718" s="100" t="str">
        <f t="shared" si="1"/>
        <v/>
      </c>
      <c r="E5718" s="100" t="str">
        <f t="shared" si="2"/>
        <v/>
      </c>
      <c r="F5718" s="100" t="str">
        <f t="shared" si="3"/>
        <v/>
      </c>
      <c r="G5718" s="151"/>
      <c r="H5718" s="160"/>
      <c r="I5718" s="157"/>
      <c r="J5718" s="158"/>
      <c r="L5718" s="94"/>
      <c r="M5718" s="159"/>
      <c r="N5718" s="94"/>
    </row>
    <row r="5719">
      <c r="A5719" s="107">
        <v>1630217.0</v>
      </c>
      <c r="B5719" s="116" t="s">
        <v>215</v>
      </c>
      <c r="C5719" s="116" t="s">
        <v>1387</v>
      </c>
      <c r="D5719" s="100" t="str">
        <f t="shared" si="1"/>
        <v/>
      </c>
      <c r="E5719" s="100" t="str">
        <f t="shared" si="2"/>
        <v/>
      </c>
      <c r="F5719" s="100" t="str">
        <f t="shared" si="3"/>
        <v/>
      </c>
      <c r="G5719" s="151"/>
      <c r="H5719" s="156"/>
      <c r="I5719" s="157"/>
      <c r="J5719" s="161"/>
      <c r="L5719" s="94"/>
      <c r="M5719" s="159"/>
      <c r="N5719" s="94"/>
    </row>
    <row r="5720">
      <c r="A5720" s="107">
        <v>1630217.0</v>
      </c>
      <c r="B5720" s="116" t="s">
        <v>244</v>
      </c>
      <c r="C5720" s="116" t="s">
        <v>1387</v>
      </c>
      <c r="D5720" s="100" t="str">
        <f t="shared" si="1"/>
        <v/>
      </c>
      <c r="E5720" s="100" t="str">
        <f t="shared" si="2"/>
        <v/>
      </c>
      <c r="F5720" s="100" t="str">
        <f t="shared" si="3"/>
        <v/>
      </c>
      <c r="G5720" s="151"/>
      <c r="H5720" s="160"/>
      <c r="I5720" s="157"/>
      <c r="J5720" s="158"/>
      <c r="L5720" s="94"/>
      <c r="M5720" s="159"/>
      <c r="N5720" s="94"/>
    </row>
    <row r="5721">
      <c r="A5721" s="107">
        <v>1630217.0</v>
      </c>
      <c r="B5721" s="116" t="s">
        <v>245</v>
      </c>
      <c r="C5721" s="116" t="s">
        <v>1387</v>
      </c>
      <c r="D5721" s="100" t="str">
        <f t="shared" si="1"/>
        <v/>
      </c>
      <c r="E5721" s="100" t="str">
        <f t="shared" si="2"/>
        <v/>
      </c>
      <c r="F5721" s="100" t="str">
        <f t="shared" si="3"/>
        <v/>
      </c>
      <c r="G5721" s="151"/>
      <c r="H5721" s="156"/>
      <c r="I5721" s="157"/>
      <c r="J5721" s="161"/>
      <c r="L5721" s="94"/>
      <c r="M5721" s="159"/>
      <c r="N5721" s="94"/>
    </row>
    <row r="5722">
      <c r="A5722" s="107">
        <v>1630217.0</v>
      </c>
      <c r="B5722" s="116" t="s">
        <v>246</v>
      </c>
      <c r="C5722" s="116" t="s">
        <v>1387</v>
      </c>
      <c r="D5722" s="100" t="str">
        <f t="shared" si="1"/>
        <v/>
      </c>
      <c r="E5722" s="100" t="str">
        <f t="shared" si="2"/>
        <v/>
      </c>
      <c r="F5722" s="100" t="str">
        <f t="shared" si="3"/>
        <v/>
      </c>
      <c r="G5722" s="151"/>
      <c r="H5722" s="160"/>
      <c r="I5722" s="157"/>
      <c r="J5722" s="158"/>
      <c r="L5722" s="94"/>
      <c r="M5722" s="159"/>
      <c r="N5722" s="94"/>
    </row>
    <row r="5723">
      <c r="A5723" s="114">
        <v>1630217.0</v>
      </c>
      <c r="B5723" s="131" t="s">
        <v>247</v>
      </c>
      <c r="C5723" s="131" t="s">
        <v>1387</v>
      </c>
      <c r="D5723" s="100" t="str">
        <f t="shared" si="1"/>
        <v/>
      </c>
      <c r="E5723" s="100" t="str">
        <f t="shared" si="2"/>
        <v/>
      </c>
      <c r="F5723" s="100" t="str">
        <f t="shared" si="3"/>
        <v/>
      </c>
      <c r="G5723" s="151"/>
      <c r="H5723" s="156"/>
      <c r="I5723" s="157"/>
      <c r="J5723" s="161"/>
      <c r="L5723" s="94"/>
      <c r="M5723" s="159"/>
      <c r="N5723" s="94"/>
    </row>
    <row r="5724">
      <c r="A5724" s="107">
        <v>1630218.0</v>
      </c>
      <c r="B5724" s="116" t="s">
        <v>243</v>
      </c>
      <c r="C5724" s="116" t="s">
        <v>1388</v>
      </c>
      <c r="D5724" s="100" t="str">
        <f t="shared" si="1"/>
        <v/>
      </c>
      <c r="E5724" s="100" t="str">
        <f t="shared" si="2"/>
        <v/>
      </c>
      <c r="F5724" s="100" t="str">
        <f t="shared" si="3"/>
        <v/>
      </c>
      <c r="G5724" s="151"/>
      <c r="H5724" s="160"/>
      <c r="I5724" s="157"/>
      <c r="J5724" s="158"/>
      <c r="L5724" s="94"/>
      <c r="M5724" s="159"/>
      <c r="N5724" s="94"/>
    </row>
    <row r="5725">
      <c r="A5725" s="107">
        <v>1630218.0</v>
      </c>
      <c r="B5725" s="116" t="s">
        <v>215</v>
      </c>
      <c r="C5725" s="116" t="s">
        <v>1388</v>
      </c>
      <c r="D5725" s="100" t="str">
        <f t="shared" si="1"/>
        <v/>
      </c>
      <c r="E5725" s="100" t="str">
        <f t="shared" si="2"/>
        <v/>
      </c>
      <c r="F5725" s="100" t="str">
        <f t="shared" si="3"/>
        <v/>
      </c>
      <c r="G5725" s="151"/>
      <c r="H5725" s="156"/>
      <c r="I5725" s="157"/>
      <c r="J5725" s="161"/>
      <c r="L5725" s="94"/>
      <c r="M5725" s="159"/>
      <c r="N5725" s="94"/>
    </row>
    <row r="5726">
      <c r="A5726" s="107">
        <v>1630219.0</v>
      </c>
      <c r="B5726" s="116" t="s">
        <v>243</v>
      </c>
      <c r="C5726" s="116" t="s">
        <v>1389</v>
      </c>
      <c r="D5726" s="100" t="str">
        <f t="shared" si="1"/>
        <v/>
      </c>
      <c r="E5726" s="100" t="str">
        <f t="shared" si="2"/>
        <v/>
      </c>
      <c r="F5726" s="100" t="str">
        <f t="shared" si="3"/>
        <v/>
      </c>
      <c r="G5726" s="151"/>
      <c r="H5726" s="160"/>
      <c r="I5726" s="157"/>
      <c r="J5726" s="158"/>
      <c r="L5726" s="94"/>
      <c r="M5726" s="159"/>
      <c r="N5726" s="94"/>
    </row>
    <row r="5727">
      <c r="A5727" s="107">
        <v>1630219.0</v>
      </c>
      <c r="B5727" s="116" t="s">
        <v>215</v>
      </c>
      <c r="C5727" s="116" t="s">
        <v>1389</v>
      </c>
      <c r="D5727" s="100" t="str">
        <f t="shared" si="1"/>
        <v/>
      </c>
      <c r="E5727" s="100" t="str">
        <f t="shared" si="2"/>
        <v/>
      </c>
      <c r="F5727" s="100" t="str">
        <f t="shared" si="3"/>
        <v/>
      </c>
      <c r="G5727" s="151"/>
      <c r="H5727" s="156"/>
      <c r="I5727" s="157"/>
      <c r="J5727" s="161"/>
      <c r="L5727" s="94"/>
      <c r="M5727" s="159"/>
      <c r="N5727" s="94"/>
    </row>
    <row r="5728">
      <c r="A5728" s="107">
        <v>1630219.0</v>
      </c>
      <c r="B5728" s="116" t="s">
        <v>244</v>
      </c>
      <c r="C5728" s="116" t="s">
        <v>1389</v>
      </c>
      <c r="D5728" s="100" t="str">
        <f t="shared" si="1"/>
        <v/>
      </c>
      <c r="E5728" s="100" t="str">
        <f t="shared" si="2"/>
        <v/>
      </c>
      <c r="F5728" s="100" t="str">
        <f t="shared" si="3"/>
        <v/>
      </c>
      <c r="G5728" s="151"/>
      <c r="H5728" s="160"/>
      <c r="I5728" s="157"/>
      <c r="J5728" s="158"/>
      <c r="L5728" s="94"/>
      <c r="M5728" s="159"/>
      <c r="N5728" s="94"/>
    </row>
    <row r="5729">
      <c r="A5729" s="107">
        <v>1630219.0</v>
      </c>
      <c r="B5729" s="116" t="s">
        <v>245</v>
      </c>
      <c r="C5729" s="116" t="s">
        <v>1389</v>
      </c>
      <c r="D5729" s="100" t="str">
        <f t="shared" si="1"/>
        <v/>
      </c>
      <c r="E5729" s="100" t="str">
        <f t="shared" si="2"/>
        <v/>
      </c>
      <c r="F5729" s="100" t="str">
        <f t="shared" si="3"/>
        <v/>
      </c>
      <c r="G5729" s="151"/>
      <c r="H5729" s="156"/>
      <c r="I5729" s="157"/>
      <c r="J5729" s="161"/>
      <c r="L5729" s="94"/>
      <c r="M5729" s="159"/>
      <c r="N5729" s="94"/>
    </row>
    <row r="5730">
      <c r="A5730" s="107">
        <v>1630221.0</v>
      </c>
      <c r="B5730" s="116" t="s">
        <v>243</v>
      </c>
      <c r="C5730" s="116" t="s">
        <v>1390</v>
      </c>
      <c r="D5730" s="100" t="str">
        <f t="shared" si="1"/>
        <v/>
      </c>
      <c r="E5730" s="100" t="str">
        <f t="shared" si="2"/>
        <v/>
      </c>
      <c r="F5730" s="100" t="str">
        <f t="shared" si="3"/>
        <v/>
      </c>
      <c r="G5730" s="151"/>
      <c r="H5730" s="160"/>
      <c r="I5730" s="157"/>
      <c r="J5730" s="158"/>
      <c r="L5730" s="94"/>
      <c r="M5730" s="159"/>
      <c r="N5730" s="94"/>
    </row>
    <row r="5731">
      <c r="A5731" s="107">
        <v>1630222.0</v>
      </c>
      <c r="B5731" s="116" t="s">
        <v>243</v>
      </c>
      <c r="C5731" s="116" t="s">
        <v>1391</v>
      </c>
      <c r="D5731" s="100" t="str">
        <f t="shared" si="1"/>
        <v/>
      </c>
      <c r="E5731" s="100" t="str">
        <f t="shared" si="2"/>
        <v/>
      </c>
      <c r="F5731" s="100" t="str">
        <f t="shared" si="3"/>
        <v/>
      </c>
      <c r="G5731" s="151"/>
      <c r="H5731" s="156"/>
      <c r="I5731" s="157"/>
      <c r="J5731" s="161"/>
      <c r="L5731" s="94"/>
      <c r="M5731" s="159"/>
      <c r="N5731" s="94"/>
    </row>
    <row r="5732">
      <c r="A5732" s="107">
        <v>1630222.0</v>
      </c>
      <c r="B5732" s="116" t="s">
        <v>215</v>
      </c>
      <c r="C5732" s="116" t="s">
        <v>1391</v>
      </c>
      <c r="D5732" s="100" t="str">
        <f t="shared" si="1"/>
        <v/>
      </c>
      <c r="E5732" s="100" t="str">
        <f t="shared" si="2"/>
        <v/>
      </c>
      <c r="F5732" s="100" t="str">
        <f t="shared" si="3"/>
        <v/>
      </c>
      <c r="G5732" s="151"/>
      <c r="H5732" s="160"/>
      <c r="I5732" s="157"/>
      <c r="J5732" s="158"/>
      <c r="L5732" s="94"/>
      <c r="M5732" s="159"/>
      <c r="N5732" s="94"/>
    </row>
    <row r="5733">
      <c r="A5733" s="107">
        <v>1630222.0</v>
      </c>
      <c r="B5733" s="116" t="s">
        <v>245</v>
      </c>
      <c r="C5733" s="116" t="s">
        <v>1391</v>
      </c>
      <c r="D5733" s="100" t="str">
        <f t="shared" si="1"/>
        <v/>
      </c>
      <c r="E5733" s="100" t="str">
        <f t="shared" si="2"/>
        <v/>
      </c>
      <c r="F5733" s="100" t="str">
        <f t="shared" si="3"/>
        <v/>
      </c>
      <c r="G5733" s="151"/>
      <c r="H5733" s="156"/>
      <c r="I5733" s="157"/>
      <c r="J5733" s="161"/>
      <c r="L5733" s="94"/>
      <c r="M5733" s="159"/>
      <c r="N5733" s="94"/>
    </row>
    <row r="5734">
      <c r="A5734" s="107">
        <v>1630222.0</v>
      </c>
      <c r="B5734" s="116" t="s">
        <v>246</v>
      </c>
      <c r="C5734" s="116" t="s">
        <v>1391</v>
      </c>
      <c r="D5734" s="100" t="str">
        <f t="shared" si="1"/>
        <v/>
      </c>
      <c r="E5734" s="100" t="str">
        <f t="shared" si="2"/>
        <v/>
      </c>
      <c r="F5734" s="100" t="str">
        <f t="shared" si="3"/>
        <v/>
      </c>
      <c r="G5734" s="151"/>
      <c r="H5734" s="160"/>
      <c r="I5734" s="157"/>
      <c r="J5734" s="158"/>
      <c r="L5734" s="94"/>
      <c r="M5734" s="159"/>
      <c r="N5734" s="94"/>
    </row>
    <row r="5735">
      <c r="A5735" s="107">
        <v>1630223.0</v>
      </c>
      <c r="B5735" s="116" t="s">
        <v>243</v>
      </c>
      <c r="C5735" s="116" t="s">
        <v>1392</v>
      </c>
      <c r="D5735" s="100" t="str">
        <f t="shared" si="1"/>
        <v/>
      </c>
      <c r="E5735" s="100" t="str">
        <f t="shared" si="2"/>
        <v/>
      </c>
      <c r="F5735" s="100" t="str">
        <f t="shared" si="3"/>
        <v/>
      </c>
      <c r="G5735" s="151"/>
      <c r="H5735" s="156"/>
      <c r="I5735" s="157"/>
      <c r="J5735" s="161"/>
      <c r="L5735" s="94"/>
      <c r="M5735" s="159"/>
      <c r="N5735" s="94"/>
    </row>
    <row r="5736">
      <c r="A5736" s="107">
        <v>1630224.0</v>
      </c>
      <c r="B5736" s="116" t="s">
        <v>215</v>
      </c>
      <c r="C5736" s="116" t="s">
        <v>1393</v>
      </c>
      <c r="D5736" s="100" t="str">
        <f t="shared" si="1"/>
        <v/>
      </c>
      <c r="E5736" s="100" t="str">
        <f t="shared" si="2"/>
        <v/>
      </c>
      <c r="F5736" s="100" t="str">
        <f t="shared" si="3"/>
        <v/>
      </c>
      <c r="G5736" s="151"/>
      <c r="H5736" s="160"/>
      <c r="I5736" s="157"/>
      <c r="J5736" s="158"/>
      <c r="L5736" s="94"/>
      <c r="M5736" s="159"/>
      <c r="N5736" s="94"/>
    </row>
    <row r="5737">
      <c r="A5737" s="107">
        <v>1630224.0</v>
      </c>
      <c r="B5737" s="108" t="s">
        <v>244</v>
      </c>
      <c r="C5737" s="108" t="s">
        <v>1393</v>
      </c>
      <c r="D5737" s="100" t="str">
        <f t="shared" si="1"/>
        <v/>
      </c>
      <c r="E5737" s="100" t="str">
        <f t="shared" si="2"/>
        <v/>
      </c>
      <c r="F5737" s="100" t="str">
        <f t="shared" si="3"/>
        <v/>
      </c>
      <c r="G5737" s="151"/>
      <c r="H5737" s="156"/>
      <c r="I5737" s="157"/>
      <c r="J5737" s="161"/>
      <c r="L5737" s="94"/>
      <c r="M5737" s="159"/>
      <c r="N5737" s="94"/>
    </row>
    <row r="5738">
      <c r="A5738" s="107">
        <v>1630224.0</v>
      </c>
      <c r="B5738" s="108" t="s">
        <v>245</v>
      </c>
      <c r="C5738" s="108" t="s">
        <v>1393</v>
      </c>
      <c r="D5738" s="100" t="str">
        <f t="shared" si="1"/>
        <v/>
      </c>
      <c r="E5738" s="100" t="str">
        <f t="shared" si="2"/>
        <v/>
      </c>
      <c r="F5738" s="100" t="str">
        <f t="shared" si="3"/>
        <v/>
      </c>
      <c r="G5738" s="151"/>
      <c r="H5738" s="160"/>
      <c r="I5738" s="157"/>
      <c r="J5738" s="158"/>
      <c r="L5738" s="94"/>
      <c r="M5738" s="159"/>
      <c r="N5738" s="94"/>
    </row>
    <row r="5739">
      <c r="A5739" s="135">
        <v>1630224.0</v>
      </c>
      <c r="B5739" s="108" t="s">
        <v>246</v>
      </c>
      <c r="C5739" s="116" t="s">
        <v>1393</v>
      </c>
      <c r="D5739" s="100" t="str">
        <f t="shared" si="1"/>
        <v/>
      </c>
      <c r="E5739" s="100" t="str">
        <f t="shared" si="2"/>
        <v/>
      </c>
      <c r="F5739" s="100" t="str">
        <f t="shared" si="3"/>
        <v/>
      </c>
      <c r="G5739" s="151"/>
      <c r="H5739" s="156"/>
      <c r="I5739" s="157"/>
      <c r="J5739" s="161"/>
      <c r="L5739" s="94"/>
      <c r="M5739" s="159"/>
      <c r="N5739" s="94"/>
    </row>
    <row r="5740">
      <c r="A5740" s="114">
        <v>1630224.0</v>
      </c>
      <c r="B5740" s="113" t="s">
        <v>247</v>
      </c>
      <c r="C5740" s="113" t="s">
        <v>1393</v>
      </c>
      <c r="D5740" s="100" t="str">
        <f t="shared" si="1"/>
        <v/>
      </c>
      <c r="E5740" s="100" t="str">
        <f t="shared" si="2"/>
        <v/>
      </c>
      <c r="F5740" s="100" t="str">
        <f t="shared" si="3"/>
        <v/>
      </c>
      <c r="G5740" s="151"/>
      <c r="H5740" s="160"/>
      <c r="I5740" s="157"/>
      <c r="J5740" s="158"/>
      <c r="L5740" s="94"/>
      <c r="M5740" s="159"/>
      <c r="N5740" s="94"/>
    </row>
    <row r="5741">
      <c r="A5741" s="107">
        <v>1630225.0</v>
      </c>
      <c r="B5741" s="108" t="s">
        <v>215</v>
      </c>
      <c r="C5741" s="116" t="s">
        <v>1394</v>
      </c>
      <c r="D5741" s="100" t="str">
        <f t="shared" si="1"/>
        <v/>
      </c>
      <c r="E5741" s="100" t="str">
        <f t="shared" si="2"/>
        <v/>
      </c>
      <c r="F5741" s="100" t="str">
        <f t="shared" si="3"/>
        <v/>
      </c>
      <c r="G5741" s="151"/>
      <c r="H5741" s="156"/>
      <c r="I5741" s="157"/>
      <c r="J5741" s="161"/>
      <c r="L5741" s="94"/>
      <c r="M5741" s="159"/>
      <c r="N5741" s="94"/>
    </row>
    <row r="5742">
      <c r="A5742" s="107">
        <v>1630225.0</v>
      </c>
      <c r="B5742" s="108" t="s">
        <v>244</v>
      </c>
      <c r="C5742" s="116" t="s">
        <v>1394</v>
      </c>
      <c r="D5742" s="100" t="str">
        <f t="shared" si="1"/>
        <v/>
      </c>
      <c r="E5742" s="100" t="str">
        <f t="shared" si="2"/>
        <v/>
      </c>
      <c r="F5742" s="100" t="str">
        <f t="shared" si="3"/>
        <v/>
      </c>
      <c r="G5742" s="151"/>
      <c r="H5742" s="160"/>
      <c r="I5742" s="157"/>
      <c r="J5742" s="158"/>
      <c r="L5742" s="94"/>
      <c r="M5742" s="159"/>
      <c r="N5742" s="94"/>
    </row>
    <row r="5743">
      <c r="A5743" s="107">
        <v>1630227.0</v>
      </c>
      <c r="B5743" s="108" t="s">
        <v>215</v>
      </c>
      <c r="C5743" s="108" t="s">
        <v>1395</v>
      </c>
      <c r="D5743" s="100" t="str">
        <f t="shared" si="1"/>
        <v/>
      </c>
      <c r="E5743" s="100" t="str">
        <f t="shared" si="2"/>
        <v/>
      </c>
      <c r="F5743" s="100" t="str">
        <f t="shared" si="3"/>
        <v/>
      </c>
      <c r="G5743" s="151"/>
      <c r="H5743" s="156"/>
      <c r="I5743" s="157"/>
      <c r="J5743" s="161"/>
      <c r="L5743" s="94"/>
      <c r="M5743" s="159"/>
      <c r="N5743" s="94"/>
    </row>
    <row r="5744">
      <c r="A5744" s="107">
        <v>1630227.0</v>
      </c>
      <c r="B5744" s="108" t="s">
        <v>244</v>
      </c>
      <c r="C5744" s="108" t="s">
        <v>1395</v>
      </c>
      <c r="D5744" s="100" t="str">
        <f t="shared" si="1"/>
        <v/>
      </c>
      <c r="E5744" s="100" t="str">
        <f t="shared" si="2"/>
        <v/>
      </c>
      <c r="F5744" s="100" t="str">
        <f t="shared" si="3"/>
        <v/>
      </c>
      <c r="G5744" s="151"/>
      <c r="H5744" s="160"/>
      <c r="I5744" s="157"/>
      <c r="J5744" s="158"/>
      <c r="L5744" s="94"/>
      <c r="M5744" s="159"/>
      <c r="N5744" s="94"/>
    </row>
    <row r="5745">
      <c r="A5745" s="107">
        <v>1630227.0</v>
      </c>
      <c r="B5745" s="108" t="s">
        <v>245</v>
      </c>
      <c r="C5745" s="108" t="s">
        <v>1395</v>
      </c>
      <c r="D5745" s="100" t="str">
        <f t="shared" si="1"/>
        <v/>
      </c>
      <c r="E5745" s="100" t="str">
        <f t="shared" si="2"/>
        <v/>
      </c>
      <c r="F5745" s="100" t="str">
        <f t="shared" si="3"/>
        <v/>
      </c>
      <c r="G5745" s="151"/>
      <c r="H5745" s="156"/>
      <c r="I5745" s="157"/>
      <c r="J5745" s="161"/>
      <c r="L5745" s="94"/>
      <c r="M5745" s="159"/>
      <c r="N5745" s="94"/>
    </row>
    <row r="5746">
      <c r="A5746" s="107">
        <v>1630227.0</v>
      </c>
      <c r="B5746" s="108" t="s">
        <v>246</v>
      </c>
      <c r="C5746" s="116" t="s">
        <v>1395</v>
      </c>
      <c r="D5746" s="100" t="str">
        <f t="shared" si="1"/>
        <v/>
      </c>
      <c r="E5746" s="100" t="str">
        <f t="shared" si="2"/>
        <v/>
      </c>
      <c r="F5746" s="100" t="str">
        <f t="shared" si="3"/>
        <v/>
      </c>
      <c r="G5746" s="151"/>
      <c r="H5746" s="160"/>
      <c r="I5746" s="157"/>
      <c r="J5746" s="158"/>
      <c r="L5746" s="94"/>
      <c r="M5746" s="159"/>
      <c r="N5746" s="94"/>
    </row>
    <row r="5747">
      <c r="A5747" s="107">
        <v>1630228.0</v>
      </c>
      <c r="B5747" s="108" t="s">
        <v>215</v>
      </c>
      <c r="C5747" s="116" t="s">
        <v>1396</v>
      </c>
      <c r="D5747" s="100" t="str">
        <f t="shared" si="1"/>
        <v/>
      </c>
      <c r="E5747" s="100" t="str">
        <f t="shared" si="2"/>
        <v/>
      </c>
      <c r="F5747" s="100" t="str">
        <f t="shared" si="3"/>
        <v/>
      </c>
      <c r="G5747" s="151"/>
      <c r="H5747" s="156"/>
      <c r="I5747" s="157"/>
      <c r="J5747" s="161"/>
      <c r="L5747" s="94"/>
      <c r="M5747" s="159"/>
      <c r="N5747" s="94"/>
    </row>
    <row r="5748">
      <c r="A5748" s="107">
        <v>1630228.0</v>
      </c>
      <c r="B5748" s="108" t="s">
        <v>244</v>
      </c>
      <c r="C5748" s="108" t="s">
        <v>1396</v>
      </c>
      <c r="D5748" s="100" t="str">
        <f t="shared" si="1"/>
        <v/>
      </c>
      <c r="E5748" s="100" t="str">
        <f t="shared" si="2"/>
        <v/>
      </c>
      <c r="F5748" s="100" t="str">
        <f t="shared" si="3"/>
        <v/>
      </c>
      <c r="G5748" s="151"/>
      <c r="H5748" s="160"/>
      <c r="I5748" s="157"/>
      <c r="J5748" s="158"/>
      <c r="L5748" s="94"/>
      <c r="M5748" s="159"/>
      <c r="N5748" s="94"/>
    </row>
    <row r="5749">
      <c r="A5749" s="107">
        <v>1630228.0</v>
      </c>
      <c r="B5749" s="108" t="s">
        <v>245</v>
      </c>
      <c r="C5749" s="108" t="s">
        <v>1396</v>
      </c>
      <c r="D5749" s="100" t="str">
        <f t="shared" si="1"/>
        <v/>
      </c>
      <c r="E5749" s="100" t="str">
        <f t="shared" si="2"/>
        <v/>
      </c>
      <c r="F5749" s="100" t="str">
        <f t="shared" si="3"/>
        <v/>
      </c>
      <c r="G5749" s="151"/>
      <c r="H5749" s="156"/>
      <c r="I5749" s="157"/>
      <c r="J5749" s="161"/>
      <c r="L5749" s="94"/>
      <c r="M5749" s="159"/>
      <c r="N5749" s="94"/>
    </row>
    <row r="5750">
      <c r="A5750" s="107">
        <v>1630228.0</v>
      </c>
      <c r="B5750" s="108" t="s">
        <v>246</v>
      </c>
      <c r="C5750" s="108" t="s">
        <v>1396</v>
      </c>
      <c r="D5750" s="100" t="str">
        <f t="shared" si="1"/>
        <v/>
      </c>
      <c r="E5750" s="100" t="str">
        <f t="shared" si="2"/>
        <v/>
      </c>
      <c r="F5750" s="100" t="str">
        <f t="shared" si="3"/>
        <v/>
      </c>
      <c r="G5750" s="151"/>
      <c r="H5750" s="160"/>
      <c r="I5750" s="157"/>
      <c r="J5750" s="158"/>
      <c r="L5750" s="94"/>
      <c r="M5750" s="159"/>
      <c r="N5750" s="94"/>
    </row>
    <row r="5751">
      <c r="A5751" s="114">
        <v>1630228.0</v>
      </c>
      <c r="B5751" s="113" t="s">
        <v>247</v>
      </c>
      <c r="C5751" s="113" t="s">
        <v>1396</v>
      </c>
      <c r="D5751" s="100" t="str">
        <f t="shared" si="1"/>
        <v/>
      </c>
      <c r="E5751" s="100" t="str">
        <f t="shared" si="2"/>
        <v/>
      </c>
      <c r="F5751" s="100" t="str">
        <f t="shared" si="3"/>
        <v/>
      </c>
      <c r="G5751" s="151"/>
      <c r="H5751" s="156"/>
      <c r="I5751" s="157"/>
      <c r="J5751" s="161"/>
      <c r="L5751" s="94"/>
      <c r="M5751" s="159"/>
      <c r="N5751" s="94"/>
    </row>
    <row r="5752">
      <c r="A5752" s="107">
        <v>1630230.0</v>
      </c>
      <c r="B5752" s="108" t="s">
        <v>243</v>
      </c>
      <c r="C5752" s="108" t="s">
        <v>1397</v>
      </c>
      <c r="D5752" s="100" t="str">
        <f t="shared" si="1"/>
        <v/>
      </c>
      <c r="E5752" s="100" t="str">
        <f t="shared" si="2"/>
        <v/>
      </c>
      <c r="F5752" s="100" t="str">
        <f t="shared" si="3"/>
        <v/>
      </c>
      <c r="G5752" s="151"/>
      <c r="H5752" s="160"/>
      <c r="I5752" s="157"/>
      <c r="J5752" s="158"/>
      <c r="L5752" s="94"/>
      <c r="M5752" s="159"/>
      <c r="N5752" s="94"/>
    </row>
    <row r="5753">
      <c r="A5753" s="107">
        <v>1630230.0</v>
      </c>
      <c r="B5753" s="108" t="s">
        <v>215</v>
      </c>
      <c r="C5753" s="116" t="s">
        <v>1397</v>
      </c>
      <c r="D5753" s="100" t="str">
        <f t="shared" si="1"/>
        <v/>
      </c>
      <c r="E5753" s="100" t="str">
        <f t="shared" si="2"/>
        <v/>
      </c>
      <c r="F5753" s="100" t="str">
        <f t="shared" si="3"/>
        <v/>
      </c>
      <c r="G5753" s="151"/>
      <c r="H5753" s="156"/>
      <c r="I5753" s="157"/>
      <c r="J5753" s="161"/>
      <c r="L5753" s="94"/>
      <c r="M5753" s="159"/>
      <c r="N5753" s="94"/>
    </row>
    <row r="5754">
      <c r="A5754" s="107">
        <v>1630230.0</v>
      </c>
      <c r="B5754" s="108" t="s">
        <v>244</v>
      </c>
      <c r="C5754" s="108" t="s">
        <v>1397</v>
      </c>
      <c r="D5754" s="100" t="str">
        <f t="shared" si="1"/>
        <v/>
      </c>
      <c r="E5754" s="100" t="str">
        <f t="shared" si="2"/>
        <v/>
      </c>
      <c r="F5754" s="100" t="str">
        <f t="shared" si="3"/>
        <v/>
      </c>
      <c r="G5754" s="151"/>
      <c r="H5754" s="160"/>
      <c r="I5754" s="157"/>
      <c r="J5754" s="158"/>
      <c r="L5754" s="94"/>
      <c r="M5754" s="159"/>
      <c r="N5754" s="94"/>
    </row>
    <row r="5755">
      <c r="A5755" s="107">
        <v>1630230.0</v>
      </c>
      <c r="B5755" s="108" t="s">
        <v>245</v>
      </c>
      <c r="C5755" s="116" t="s">
        <v>1397</v>
      </c>
      <c r="D5755" s="100" t="str">
        <f t="shared" si="1"/>
        <v/>
      </c>
      <c r="E5755" s="100" t="str">
        <f t="shared" si="2"/>
        <v/>
      </c>
      <c r="F5755" s="100" t="str">
        <f t="shared" si="3"/>
        <v/>
      </c>
      <c r="G5755" s="151"/>
      <c r="H5755" s="156"/>
      <c r="I5755" s="157"/>
      <c r="J5755" s="161"/>
      <c r="L5755" s="94"/>
      <c r="M5755" s="159"/>
      <c r="N5755" s="94"/>
    </row>
    <row r="5756">
      <c r="A5756" s="107">
        <v>1630230.0</v>
      </c>
      <c r="B5756" s="108" t="s">
        <v>246</v>
      </c>
      <c r="C5756" s="116" t="s">
        <v>1397</v>
      </c>
      <c r="D5756" s="100" t="str">
        <f t="shared" si="1"/>
        <v/>
      </c>
      <c r="E5756" s="100" t="str">
        <f t="shared" si="2"/>
        <v/>
      </c>
      <c r="F5756" s="100" t="str">
        <f t="shared" si="3"/>
        <v/>
      </c>
      <c r="G5756" s="151"/>
      <c r="H5756" s="160"/>
      <c r="I5756" s="157"/>
      <c r="J5756" s="158"/>
      <c r="L5756" s="94"/>
      <c r="M5756" s="159"/>
      <c r="N5756" s="94"/>
    </row>
    <row r="5757">
      <c r="A5757" s="114">
        <v>1630230.0</v>
      </c>
      <c r="B5757" s="113" t="s">
        <v>247</v>
      </c>
      <c r="C5757" s="131" t="s">
        <v>1397</v>
      </c>
      <c r="D5757" s="100" t="str">
        <f t="shared" si="1"/>
        <v/>
      </c>
      <c r="E5757" s="100" t="str">
        <f t="shared" si="2"/>
        <v/>
      </c>
      <c r="F5757" s="100" t="str">
        <f t="shared" si="3"/>
        <v/>
      </c>
      <c r="G5757" s="151"/>
      <c r="H5757" s="156"/>
      <c r="I5757" s="157"/>
      <c r="J5757" s="161"/>
      <c r="L5757" s="94"/>
      <c r="M5757" s="159"/>
      <c r="N5757" s="94"/>
    </row>
    <row r="5758">
      <c r="A5758" s="107">
        <v>1630231.0</v>
      </c>
      <c r="B5758" s="108" t="s">
        <v>243</v>
      </c>
      <c r="C5758" s="115" t="s">
        <v>206</v>
      </c>
      <c r="D5758" s="100" t="str">
        <f t="shared" si="1"/>
        <v/>
      </c>
      <c r="E5758" s="100" t="str">
        <f t="shared" si="2"/>
        <v/>
      </c>
      <c r="F5758" s="100" t="str">
        <f t="shared" si="3"/>
        <v/>
      </c>
      <c r="G5758" s="151"/>
      <c r="H5758" s="160"/>
      <c r="I5758" s="157"/>
      <c r="J5758" s="158"/>
      <c r="L5758" s="94"/>
      <c r="M5758" s="159"/>
      <c r="N5758" s="94"/>
    </row>
    <row r="5759">
      <c r="A5759" s="107">
        <v>1630231.0</v>
      </c>
      <c r="B5759" s="108" t="s">
        <v>215</v>
      </c>
      <c r="C5759" s="115" t="s">
        <v>206</v>
      </c>
      <c r="D5759" s="100" t="str">
        <f t="shared" si="1"/>
        <v/>
      </c>
      <c r="E5759" s="100" t="str">
        <f t="shared" si="2"/>
        <v/>
      </c>
      <c r="F5759" s="100" t="str">
        <f t="shared" si="3"/>
        <v/>
      </c>
      <c r="G5759" s="151"/>
      <c r="H5759" s="156"/>
      <c r="I5759" s="157"/>
      <c r="J5759" s="161"/>
      <c r="L5759" s="94"/>
      <c r="M5759" s="159"/>
      <c r="N5759" s="94"/>
    </row>
    <row r="5760">
      <c r="A5760" s="107">
        <v>1630231.0</v>
      </c>
      <c r="B5760" s="108" t="s">
        <v>244</v>
      </c>
      <c r="C5760" s="115" t="s">
        <v>206</v>
      </c>
      <c r="D5760" s="100" t="str">
        <f t="shared" si="1"/>
        <v/>
      </c>
      <c r="E5760" s="100" t="str">
        <f t="shared" si="2"/>
        <v/>
      </c>
      <c r="F5760" s="100" t="str">
        <f t="shared" si="3"/>
        <v/>
      </c>
      <c r="G5760" s="151"/>
      <c r="H5760" s="160"/>
      <c r="I5760" s="157"/>
      <c r="J5760" s="158"/>
      <c r="L5760" s="94"/>
      <c r="M5760" s="159"/>
      <c r="N5760" s="94"/>
    </row>
    <row r="5761">
      <c r="A5761" s="107">
        <v>1630231.0</v>
      </c>
      <c r="B5761" s="108" t="s">
        <v>245</v>
      </c>
      <c r="C5761" s="115" t="s">
        <v>206</v>
      </c>
      <c r="D5761" s="100" t="str">
        <f t="shared" si="1"/>
        <v/>
      </c>
      <c r="E5761" s="100" t="str">
        <f t="shared" si="2"/>
        <v/>
      </c>
      <c r="F5761" s="100" t="str">
        <f t="shared" si="3"/>
        <v/>
      </c>
      <c r="G5761" s="151"/>
      <c r="H5761" s="156"/>
      <c r="I5761" s="157"/>
      <c r="J5761" s="161"/>
      <c r="L5761" s="94"/>
      <c r="M5761" s="159"/>
      <c r="N5761" s="94"/>
    </row>
    <row r="5762">
      <c r="A5762" s="107">
        <v>1630231.0</v>
      </c>
      <c r="B5762" s="108" t="s">
        <v>246</v>
      </c>
      <c r="C5762" s="115" t="s">
        <v>206</v>
      </c>
      <c r="D5762" s="100" t="str">
        <f t="shared" si="1"/>
        <v/>
      </c>
      <c r="E5762" s="100" t="str">
        <f t="shared" si="2"/>
        <v/>
      </c>
      <c r="F5762" s="100" t="str">
        <f t="shared" si="3"/>
        <v/>
      </c>
      <c r="G5762" s="151"/>
      <c r="H5762" s="160"/>
      <c r="I5762" s="157"/>
      <c r="J5762" s="158"/>
      <c r="L5762" s="94"/>
      <c r="M5762" s="159"/>
      <c r="N5762" s="94"/>
    </row>
    <row r="5763">
      <c r="A5763" s="107">
        <v>1630233.0</v>
      </c>
      <c r="B5763" s="108" t="s">
        <v>243</v>
      </c>
      <c r="C5763" s="108" t="s">
        <v>1398</v>
      </c>
      <c r="D5763" s="100" t="str">
        <f t="shared" si="1"/>
        <v/>
      </c>
      <c r="E5763" s="100" t="str">
        <f t="shared" si="2"/>
        <v/>
      </c>
      <c r="F5763" s="100" t="str">
        <f t="shared" si="3"/>
        <v/>
      </c>
      <c r="G5763" s="151"/>
      <c r="H5763" s="156"/>
      <c r="I5763" s="157"/>
      <c r="J5763" s="161"/>
      <c r="L5763" s="94"/>
      <c r="M5763" s="159"/>
      <c r="N5763" s="94"/>
    </row>
    <row r="5764">
      <c r="A5764" s="107">
        <v>1630233.0</v>
      </c>
      <c r="B5764" s="116" t="s">
        <v>215</v>
      </c>
      <c r="C5764" s="108" t="s">
        <v>1398</v>
      </c>
      <c r="D5764" s="100" t="str">
        <f t="shared" si="1"/>
        <v/>
      </c>
      <c r="E5764" s="100" t="str">
        <f t="shared" si="2"/>
        <v/>
      </c>
      <c r="F5764" s="100" t="str">
        <f t="shared" si="3"/>
        <v/>
      </c>
      <c r="G5764" s="151"/>
      <c r="H5764" s="160"/>
      <c r="I5764" s="157"/>
      <c r="J5764" s="158"/>
      <c r="L5764" s="94"/>
      <c r="M5764" s="159"/>
      <c r="N5764" s="94"/>
    </row>
    <row r="5765">
      <c r="A5765" s="107">
        <v>1630233.0</v>
      </c>
      <c r="B5765" s="116" t="s">
        <v>244</v>
      </c>
      <c r="C5765" s="108" t="s">
        <v>1398</v>
      </c>
      <c r="D5765" s="100" t="str">
        <f t="shared" si="1"/>
        <v/>
      </c>
      <c r="E5765" s="100" t="str">
        <f t="shared" si="2"/>
        <v/>
      </c>
      <c r="F5765" s="100" t="str">
        <f t="shared" si="3"/>
        <v/>
      </c>
      <c r="G5765" s="151"/>
      <c r="H5765" s="156"/>
      <c r="I5765" s="157"/>
      <c r="J5765" s="161"/>
      <c r="L5765" s="94"/>
      <c r="M5765" s="159"/>
      <c r="N5765" s="94"/>
    </row>
    <row r="5766">
      <c r="A5766" s="107">
        <v>1630234.0</v>
      </c>
      <c r="B5766" s="108" t="s">
        <v>243</v>
      </c>
      <c r="C5766" s="108" t="s">
        <v>1399</v>
      </c>
      <c r="D5766" s="100" t="str">
        <f t="shared" si="1"/>
        <v/>
      </c>
      <c r="E5766" s="100" t="str">
        <f t="shared" si="2"/>
        <v/>
      </c>
      <c r="F5766" s="100" t="str">
        <f t="shared" si="3"/>
        <v/>
      </c>
      <c r="G5766" s="151"/>
      <c r="H5766" s="160"/>
      <c r="I5766" s="157"/>
      <c r="J5766" s="158"/>
      <c r="L5766" s="94"/>
      <c r="M5766" s="159"/>
      <c r="N5766" s="94"/>
    </row>
    <row r="5767">
      <c r="A5767" s="107">
        <v>1630235.0</v>
      </c>
      <c r="B5767" s="108" t="s">
        <v>243</v>
      </c>
      <c r="C5767" s="116" t="s">
        <v>1400</v>
      </c>
      <c r="D5767" s="100" t="str">
        <f t="shared" si="1"/>
        <v/>
      </c>
      <c r="E5767" s="100" t="str">
        <f t="shared" si="2"/>
        <v/>
      </c>
      <c r="F5767" s="100" t="str">
        <f t="shared" si="3"/>
        <v/>
      </c>
      <c r="G5767" s="151"/>
      <c r="H5767" s="156"/>
      <c r="I5767" s="157"/>
      <c r="J5767" s="161"/>
      <c r="L5767" s="94"/>
      <c r="M5767" s="159"/>
      <c r="N5767" s="94"/>
    </row>
    <row r="5768">
      <c r="A5768" s="107">
        <v>1630235.0</v>
      </c>
      <c r="B5768" s="108" t="s">
        <v>215</v>
      </c>
      <c r="C5768" s="116" t="s">
        <v>1400</v>
      </c>
      <c r="D5768" s="100" t="str">
        <f t="shared" si="1"/>
        <v/>
      </c>
      <c r="E5768" s="100" t="str">
        <f t="shared" si="2"/>
        <v/>
      </c>
      <c r="F5768" s="100" t="str">
        <f t="shared" si="3"/>
        <v/>
      </c>
      <c r="G5768" s="151"/>
      <c r="H5768" s="160"/>
      <c r="I5768" s="157"/>
      <c r="J5768" s="158"/>
      <c r="L5768" s="94"/>
      <c r="M5768" s="159"/>
      <c r="N5768" s="94"/>
    </row>
    <row r="5769">
      <c r="A5769" s="107">
        <v>1630235.0</v>
      </c>
      <c r="B5769" s="108" t="s">
        <v>244</v>
      </c>
      <c r="C5769" s="116" t="s">
        <v>1400</v>
      </c>
      <c r="D5769" s="100" t="str">
        <f t="shared" si="1"/>
        <v/>
      </c>
      <c r="E5769" s="100" t="str">
        <f t="shared" si="2"/>
        <v/>
      </c>
      <c r="F5769" s="100" t="str">
        <f t="shared" si="3"/>
        <v/>
      </c>
      <c r="G5769" s="151"/>
      <c r="H5769" s="156"/>
      <c r="I5769" s="157"/>
      <c r="J5769" s="161"/>
      <c r="L5769" s="94"/>
      <c r="M5769" s="159"/>
      <c r="N5769" s="94"/>
    </row>
    <row r="5770">
      <c r="A5770" s="107">
        <v>1630235.0</v>
      </c>
      <c r="B5770" s="108" t="s">
        <v>245</v>
      </c>
      <c r="C5770" s="116" t="s">
        <v>1400</v>
      </c>
      <c r="D5770" s="100" t="str">
        <f t="shared" si="1"/>
        <v/>
      </c>
      <c r="E5770" s="100" t="str">
        <f t="shared" si="2"/>
        <v/>
      </c>
      <c r="F5770" s="100" t="str">
        <f t="shared" si="3"/>
        <v/>
      </c>
      <c r="G5770" s="151"/>
      <c r="H5770" s="160"/>
      <c r="I5770" s="157"/>
      <c r="J5770" s="158"/>
      <c r="L5770" s="94"/>
      <c r="M5770" s="159"/>
      <c r="N5770" s="94"/>
    </row>
    <row r="5771">
      <c r="A5771" s="107">
        <v>1630237.0</v>
      </c>
      <c r="B5771" s="116" t="s">
        <v>243</v>
      </c>
      <c r="C5771" s="116" t="s">
        <v>1401</v>
      </c>
      <c r="D5771" s="100" t="str">
        <f t="shared" si="1"/>
        <v/>
      </c>
      <c r="E5771" s="100" t="str">
        <f t="shared" si="2"/>
        <v/>
      </c>
      <c r="F5771" s="100" t="str">
        <f t="shared" si="3"/>
        <v/>
      </c>
      <c r="G5771" s="151"/>
      <c r="H5771" s="156"/>
      <c r="I5771" s="157"/>
      <c r="J5771" s="161"/>
      <c r="L5771" s="94"/>
      <c r="M5771" s="159"/>
      <c r="N5771" s="94"/>
    </row>
    <row r="5772">
      <c r="A5772" s="107">
        <v>1630237.0</v>
      </c>
      <c r="B5772" s="116" t="s">
        <v>215</v>
      </c>
      <c r="C5772" s="116" t="s">
        <v>1401</v>
      </c>
      <c r="D5772" s="100" t="str">
        <f t="shared" si="1"/>
        <v/>
      </c>
      <c r="E5772" s="100" t="str">
        <f t="shared" si="2"/>
        <v/>
      </c>
      <c r="F5772" s="100" t="str">
        <f t="shared" si="3"/>
        <v/>
      </c>
      <c r="G5772" s="151"/>
      <c r="H5772" s="160"/>
      <c r="I5772" s="157"/>
      <c r="J5772" s="158"/>
      <c r="L5772" s="94"/>
      <c r="M5772" s="159"/>
      <c r="N5772" s="94"/>
    </row>
    <row r="5773">
      <c r="A5773" s="107">
        <v>1630237.0</v>
      </c>
      <c r="B5773" s="108" t="s">
        <v>244</v>
      </c>
      <c r="C5773" s="116" t="s">
        <v>1401</v>
      </c>
      <c r="D5773" s="100" t="str">
        <f t="shared" si="1"/>
        <v/>
      </c>
      <c r="E5773" s="100" t="str">
        <f t="shared" si="2"/>
        <v/>
      </c>
      <c r="F5773" s="100" t="str">
        <f t="shared" si="3"/>
        <v/>
      </c>
      <c r="G5773" s="151"/>
      <c r="H5773" s="156"/>
      <c r="I5773" s="157"/>
      <c r="J5773" s="161"/>
      <c r="L5773" s="94"/>
      <c r="M5773" s="159"/>
      <c r="N5773" s="94"/>
    </row>
    <row r="5774">
      <c r="A5774" s="107">
        <v>1630238.0</v>
      </c>
      <c r="B5774" s="108" t="s">
        <v>243</v>
      </c>
      <c r="C5774" s="116" t="s">
        <v>1402</v>
      </c>
      <c r="D5774" s="100" t="str">
        <f t="shared" si="1"/>
        <v/>
      </c>
      <c r="E5774" s="100" t="str">
        <f t="shared" si="2"/>
        <v/>
      </c>
      <c r="F5774" s="100" t="str">
        <f t="shared" si="3"/>
        <v/>
      </c>
      <c r="G5774" s="151"/>
      <c r="H5774" s="160"/>
      <c r="I5774" s="157"/>
      <c r="J5774" s="158"/>
      <c r="L5774" s="94"/>
      <c r="M5774" s="159"/>
      <c r="N5774" s="94"/>
    </row>
    <row r="5775">
      <c r="A5775" s="107">
        <v>1630238.0</v>
      </c>
      <c r="B5775" s="108" t="s">
        <v>215</v>
      </c>
      <c r="C5775" s="116" t="s">
        <v>1402</v>
      </c>
      <c r="D5775" s="100" t="str">
        <f t="shared" si="1"/>
        <v/>
      </c>
      <c r="E5775" s="100" t="str">
        <f t="shared" si="2"/>
        <v/>
      </c>
      <c r="F5775" s="100" t="str">
        <f t="shared" si="3"/>
        <v/>
      </c>
      <c r="G5775" s="151"/>
      <c r="H5775" s="156"/>
      <c r="I5775" s="157"/>
      <c r="J5775" s="161"/>
      <c r="L5775" s="94"/>
      <c r="M5775" s="159"/>
      <c r="N5775" s="94"/>
    </row>
    <row r="5776">
      <c r="A5776" s="107">
        <v>1630240.0</v>
      </c>
      <c r="B5776" s="116" t="s">
        <v>243</v>
      </c>
      <c r="C5776" s="116" t="s">
        <v>1403</v>
      </c>
      <c r="D5776" s="100" t="str">
        <f t="shared" si="1"/>
        <v/>
      </c>
      <c r="E5776" s="100" t="str">
        <f t="shared" si="2"/>
        <v/>
      </c>
      <c r="F5776" s="100" t="str">
        <f t="shared" si="3"/>
        <v/>
      </c>
      <c r="G5776" s="151"/>
      <c r="H5776" s="160"/>
      <c r="I5776" s="157"/>
      <c r="J5776" s="158"/>
      <c r="L5776" s="94"/>
      <c r="M5776" s="159"/>
      <c r="N5776" s="94"/>
    </row>
    <row r="5777">
      <c r="A5777" s="107">
        <v>1630240.0</v>
      </c>
      <c r="B5777" s="108" t="s">
        <v>215</v>
      </c>
      <c r="C5777" s="116" t="s">
        <v>1403</v>
      </c>
      <c r="D5777" s="100" t="str">
        <f t="shared" si="1"/>
        <v/>
      </c>
      <c r="E5777" s="100" t="str">
        <f t="shared" si="2"/>
        <v/>
      </c>
      <c r="F5777" s="100" t="str">
        <f t="shared" si="3"/>
        <v/>
      </c>
      <c r="G5777" s="151"/>
      <c r="H5777" s="156"/>
      <c r="I5777" s="157"/>
      <c r="J5777" s="161"/>
      <c r="L5777" s="94"/>
      <c r="M5777" s="159"/>
      <c r="N5777" s="94"/>
    </row>
    <row r="5778">
      <c r="A5778" s="107">
        <v>1630240.0</v>
      </c>
      <c r="B5778" s="116" t="s">
        <v>244</v>
      </c>
      <c r="C5778" s="116" t="s">
        <v>1403</v>
      </c>
      <c r="D5778" s="100" t="str">
        <f t="shared" si="1"/>
        <v/>
      </c>
      <c r="E5778" s="100" t="str">
        <f t="shared" si="2"/>
        <v/>
      </c>
      <c r="F5778" s="100" t="str">
        <f t="shared" si="3"/>
        <v/>
      </c>
      <c r="G5778" s="151"/>
      <c r="H5778" s="160"/>
      <c r="I5778" s="157"/>
      <c r="J5778" s="158"/>
      <c r="L5778" s="94"/>
      <c r="M5778" s="159"/>
      <c r="N5778" s="94"/>
    </row>
    <row r="5779">
      <c r="A5779" s="107">
        <v>1630240.0</v>
      </c>
      <c r="B5779" s="116" t="s">
        <v>245</v>
      </c>
      <c r="C5779" s="116" t="s">
        <v>1403</v>
      </c>
      <c r="D5779" s="100" t="str">
        <f t="shared" si="1"/>
        <v/>
      </c>
      <c r="E5779" s="100" t="str">
        <f t="shared" si="2"/>
        <v/>
      </c>
      <c r="F5779" s="100" t="str">
        <f t="shared" si="3"/>
        <v/>
      </c>
      <c r="G5779" s="151"/>
      <c r="H5779" s="156"/>
      <c r="I5779" s="157"/>
      <c r="J5779" s="161"/>
      <c r="L5779" s="94"/>
      <c r="M5779" s="159"/>
      <c r="N5779" s="94"/>
    </row>
    <row r="5780">
      <c r="A5780" s="107">
        <v>1630241.0</v>
      </c>
      <c r="B5780" s="116" t="s">
        <v>243</v>
      </c>
      <c r="C5780" s="116" t="s">
        <v>1404</v>
      </c>
      <c r="D5780" s="100" t="str">
        <f t="shared" si="1"/>
        <v/>
      </c>
      <c r="E5780" s="100" t="str">
        <f t="shared" si="2"/>
        <v/>
      </c>
      <c r="F5780" s="100" t="str">
        <f t="shared" si="3"/>
        <v/>
      </c>
      <c r="G5780" s="151"/>
      <c r="H5780" s="160"/>
      <c r="I5780" s="157"/>
      <c r="J5780" s="158"/>
      <c r="L5780" s="94"/>
      <c r="M5780" s="159"/>
      <c r="N5780" s="94"/>
    </row>
    <row r="5781">
      <c r="A5781" s="107">
        <v>1630241.0</v>
      </c>
      <c r="B5781" s="116" t="s">
        <v>215</v>
      </c>
      <c r="C5781" s="116" t="s">
        <v>1404</v>
      </c>
      <c r="D5781" s="100" t="str">
        <f t="shared" si="1"/>
        <v/>
      </c>
      <c r="E5781" s="100" t="str">
        <f t="shared" si="2"/>
        <v/>
      </c>
      <c r="F5781" s="100" t="str">
        <f t="shared" si="3"/>
        <v/>
      </c>
      <c r="G5781" s="151"/>
      <c r="H5781" s="156"/>
      <c r="I5781" s="157"/>
      <c r="J5781" s="161"/>
      <c r="L5781" s="94"/>
      <c r="M5781" s="159"/>
      <c r="N5781" s="94"/>
    </row>
    <row r="5782">
      <c r="A5782" s="107">
        <v>1630241.0</v>
      </c>
      <c r="B5782" s="116" t="s">
        <v>244</v>
      </c>
      <c r="C5782" s="116" t="s">
        <v>1404</v>
      </c>
      <c r="D5782" s="100" t="str">
        <f t="shared" si="1"/>
        <v/>
      </c>
      <c r="E5782" s="100" t="str">
        <f t="shared" si="2"/>
        <v/>
      </c>
      <c r="F5782" s="100" t="str">
        <f t="shared" si="3"/>
        <v/>
      </c>
      <c r="G5782" s="151"/>
      <c r="H5782" s="160"/>
      <c r="I5782" s="157"/>
      <c r="J5782" s="158"/>
      <c r="L5782" s="94"/>
      <c r="M5782" s="159"/>
      <c r="N5782" s="94"/>
    </row>
    <row r="5783">
      <c r="A5783" s="107">
        <v>1630241.0</v>
      </c>
      <c r="B5783" s="116" t="s">
        <v>245</v>
      </c>
      <c r="C5783" s="116" t="s">
        <v>1404</v>
      </c>
      <c r="D5783" s="100" t="str">
        <f t="shared" si="1"/>
        <v/>
      </c>
      <c r="E5783" s="100" t="str">
        <f t="shared" si="2"/>
        <v/>
      </c>
      <c r="F5783" s="100" t="str">
        <f t="shared" si="3"/>
        <v/>
      </c>
      <c r="G5783" s="151"/>
      <c r="H5783" s="156"/>
      <c r="I5783" s="157"/>
      <c r="J5783" s="161"/>
      <c r="L5783" s="94"/>
      <c r="M5783" s="159"/>
      <c r="N5783" s="94"/>
    </row>
    <row r="5784">
      <c r="A5784" s="107">
        <v>1630241.0</v>
      </c>
      <c r="B5784" s="116" t="s">
        <v>246</v>
      </c>
      <c r="C5784" s="116" t="s">
        <v>1404</v>
      </c>
      <c r="D5784" s="100" t="str">
        <f t="shared" si="1"/>
        <v/>
      </c>
      <c r="E5784" s="100" t="str">
        <f t="shared" si="2"/>
        <v/>
      </c>
      <c r="F5784" s="100" t="str">
        <f t="shared" si="3"/>
        <v/>
      </c>
      <c r="G5784" s="151"/>
      <c r="H5784" s="160"/>
      <c r="I5784" s="157"/>
      <c r="J5784" s="158"/>
      <c r="L5784" s="94"/>
      <c r="M5784" s="159"/>
      <c r="N5784" s="94"/>
    </row>
    <row r="5785">
      <c r="A5785" s="114">
        <v>1630241.0</v>
      </c>
      <c r="B5785" s="131" t="s">
        <v>247</v>
      </c>
      <c r="C5785" s="131" t="s">
        <v>1404</v>
      </c>
      <c r="D5785" s="100" t="str">
        <f t="shared" si="1"/>
        <v/>
      </c>
      <c r="E5785" s="100" t="str">
        <f t="shared" si="2"/>
        <v/>
      </c>
      <c r="F5785" s="100" t="str">
        <f t="shared" si="3"/>
        <v/>
      </c>
      <c r="G5785" s="151"/>
      <c r="H5785" s="156"/>
      <c r="I5785" s="157"/>
      <c r="J5785" s="161"/>
      <c r="L5785" s="94"/>
      <c r="M5785" s="159"/>
      <c r="N5785" s="94"/>
    </row>
    <row r="5786">
      <c r="A5786" s="107">
        <v>1630243.0</v>
      </c>
      <c r="B5786" s="116" t="s">
        <v>215</v>
      </c>
      <c r="C5786" s="116" t="s">
        <v>1405</v>
      </c>
      <c r="D5786" s="100" t="str">
        <f t="shared" si="1"/>
        <v/>
      </c>
      <c r="E5786" s="100" t="str">
        <f t="shared" si="2"/>
        <v/>
      </c>
      <c r="F5786" s="100" t="str">
        <f t="shared" si="3"/>
        <v/>
      </c>
      <c r="G5786" s="151"/>
      <c r="H5786" s="160"/>
      <c r="I5786" s="157"/>
      <c r="J5786" s="158"/>
      <c r="L5786" s="94"/>
      <c r="M5786" s="159"/>
      <c r="N5786" s="94"/>
    </row>
    <row r="5787">
      <c r="A5787" s="107">
        <v>1630243.0</v>
      </c>
      <c r="B5787" s="116" t="s">
        <v>244</v>
      </c>
      <c r="C5787" s="116" t="s">
        <v>1405</v>
      </c>
      <c r="D5787" s="100" t="str">
        <f t="shared" si="1"/>
        <v/>
      </c>
      <c r="E5787" s="100" t="str">
        <f t="shared" si="2"/>
        <v/>
      </c>
      <c r="F5787" s="100" t="str">
        <f t="shared" si="3"/>
        <v/>
      </c>
      <c r="G5787" s="151"/>
      <c r="H5787" s="156"/>
      <c r="I5787" s="157"/>
      <c r="J5787" s="161"/>
      <c r="L5787" s="94"/>
      <c r="M5787" s="159"/>
      <c r="N5787" s="94"/>
    </row>
    <row r="5788">
      <c r="A5788" s="107">
        <v>1630243.0</v>
      </c>
      <c r="B5788" s="116" t="s">
        <v>245</v>
      </c>
      <c r="C5788" s="116" t="s">
        <v>1405</v>
      </c>
      <c r="D5788" s="100" t="str">
        <f t="shared" si="1"/>
        <v/>
      </c>
      <c r="E5788" s="100" t="str">
        <f t="shared" si="2"/>
        <v/>
      </c>
      <c r="F5788" s="100" t="str">
        <f t="shared" si="3"/>
        <v/>
      </c>
      <c r="G5788" s="151"/>
      <c r="H5788" s="160"/>
      <c r="I5788" s="157"/>
      <c r="J5788" s="158"/>
      <c r="L5788" s="94"/>
      <c r="M5788" s="159"/>
      <c r="N5788" s="94"/>
    </row>
    <row r="5789">
      <c r="A5789" s="107">
        <v>1630243.0</v>
      </c>
      <c r="B5789" s="116" t="s">
        <v>246</v>
      </c>
      <c r="C5789" s="116" t="s">
        <v>1405</v>
      </c>
      <c r="D5789" s="100" t="str">
        <f t="shared" si="1"/>
        <v/>
      </c>
      <c r="E5789" s="100" t="str">
        <f t="shared" si="2"/>
        <v/>
      </c>
      <c r="F5789" s="100" t="str">
        <f t="shared" si="3"/>
        <v/>
      </c>
      <c r="G5789" s="151"/>
      <c r="H5789" s="156"/>
      <c r="I5789" s="157"/>
      <c r="J5789" s="161"/>
      <c r="L5789" s="94"/>
      <c r="M5789" s="159"/>
      <c r="N5789" s="94"/>
    </row>
    <row r="5790">
      <c r="A5790" s="107">
        <v>1630245.0</v>
      </c>
      <c r="B5790" s="116" t="s">
        <v>215</v>
      </c>
      <c r="C5790" s="116" t="s">
        <v>1406</v>
      </c>
      <c r="D5790" s="100" t="str">
        <f t="shared" si="1"/>
        <v/>
      </c>
      <c r="E5790" s="100" t="str">
        <f t="shared" si="2"/>
        <v/>
      </c>
      <c r="F5790" s="100" t="str">
        <f t="shared" si="3"/>
        <v/>
      </c>
      <c r="G5790" s="151"/>
      <c r="H5790" s="160"/>
      <c r="I5790" s="157"/>
      <c r="J5790" s="158"/>
      <c r="L5790" s="94"/>
      <c r="M5790" s="159"/>
      <c r="N5790" s="94"/>
    </row>
    <row r="5791">
      <c r="A5791" s="107">
        <v>1630245.0</v>
      </c>
      <c r="B5791" s="116" t="s">
        <v>244</v>
      </c>
      <c r="C5791" s="116" t="s">
        <v>1406</v>
      </c>
      <c r="D5791" s="100" t="str">
        <f t="shared" si="1"/>
        <v/>
      </c>
      <c r="E5791" s="100" t="str">
        <f t="shared" si="2"/>
        <v/>
      </c>
      <c r="F5791" s="100" t="str">
        <f t="shared" si="3"/>
        <v/>
      </c>
      <c r="G5791" s="151"/>
      <c r="H5791" s="156"/>
      <c r="I5791" s="157"/>
      <c r="J5791" s="161"/>
      <c r="L5791" s="94"/>
      <c r="M5791" s="159"/>
      <c r="N5791" s="94"/>
    </row>
    <row r="5792">
      <c r="A5792" s="107">
        <v>1630245.0</v>
      </c>
      <c r="B5792" s="116" t="s">
        <v>245</v>
      </c>
      <c r="C5792" s="116" t="s">
        <v>1406</v>
      </c>
      <c r="D5792" s="100" t="str">
        <f t="shared" si="1"/>
        <v/>
      </c>
      <c r="E5792" s="100" t="str">
        <f t="shared" si="2"/>
        <v/>
      </c>
      <c r="F5792" s="100" t="str">
        <f t="shared" si="3"/>
        <v/>
      </c>
      <c r="G5792" s="151"/>
      <c r="H5792" s="160"/>
      <c r="I5792" s="157"/>
      <c r="J5792" s="158"/>
      <c r="L5792" s="94"/>
      <c r="M5792" s="159"/>
      <c r="N5792" s="94"/>
    </row>
    <row r="5793">
      <c r="A5793" s="107">
        <v>1630245.0</v>
      </c>
      <c r="B5793" s="116" t="s">
        <v>246</v>
      </c>
      <c r="C5793" s="116" t="s">
        <v>1406</v>
      </c>
      <c r="D5793" s="100" t="str">
        <f t="shared" si="1"/>
        <v/>
      </c>
      <c r="E5793" s="100" t="str">
        <f t="shared" si="2"/>
        <v/>
      </c>
      <c r="F5793" s="100" t="str">
        <f t="shared" si="3"/>
        <v/>
      </c>
      <c r="G5793" s="151"/>
      <c r="H5793" s="156"/>
      <c r="I5793" s="157"/>
      <c r="J5793" s="161"/>
      <c r="L5793" s="94"/>
      <c r="M5793" s="159"/>
      <c r="N5793" s="94"/>
    </row>
    <row r="5794">
      <c r="A5794" s="114">
        <v>1630245.0</v>
      </c>
      <c r="B5794" s="131" t="s">
        <v>247</v>
      </c>
      <c r="C5794" s="131" t="s">
        <v>1406</v>
      </c>
      <c r="D5794" s="100" t="str">
        <f t="shared" si="1"/>
        <v/>
      </c>
      <c r="E5794" s="100" t="str">
        <f t="shared" si="2"/>
        <v/>
      </c>
      <c r="F5794" s="100" t="str">
        <f t="shared" si="3"/>
        <v/>
      </c>
      <c r="G5794" s="151"/>
      <c r="H5794" s="160"/>
      <c r="I5794" s="157"/>
      <c r="J5794" s="158"/>
      <c r="L5794" s="94"/>
      <c r="M5794" s="159"/>
      <c r="N5794" s="94"/>
    </row>
    <row r="5795">
      <c r="A5795" s="107">
        <v>1630249.0</v>
      </c>
      <c r="B5795" s="116" t="s">
        <v>215</v>
      </c>
      <c r="C5795" s="116" t="s">
        <v>1407</v>
      </c>
      <c r="D5795" s="100" t="str">
        <f t="shared" si="1"/>
        <v/>
      </c>
      <c r="E5795" s="100" t="str">
        <f t="shared" si="2"/>
        <v/>
      </c>
      <c r="F5795" s="100" t="str">
        <f t="shared" si="3"/>
        <v/>
      </c>
      <c r="G5795" s="151"/>
      <c r="H5795" s="156"/>
      <c r="I5795" s="157"/>
      <c r="J5795" s="161"/>
      <c r="L5795" s="94"/>
      <c r="M5795" s="159"/>
      <c r="N5795" s="94"/>
    </row>
    <row r="5796">
      <c r="A5796" s="107">
        <v>1630249.0</v>
      </c>
      <c r="B5796" s="116" t="s">
        <v>244</v>
      </c>
      <c r="C5796" s="116" t="s">
        <v>1407</v>
      </c>
      <c r="D5796" s="100" t="str">
        <f t="shared" si="1"/>
        <v/>
      </c>
      <c r="E5796" s="100" t="str">
        <f t="shared" si="2"/>
        <v/>
      </c>
      <c r="F5796" s="100" t="str">
        <f t="shared" si="3"/>
        <v/>
      </c>
      <c r="G5796" s="151"/>
      <c r="H5796" s="160"/>
      <c r="I5796" s="157"/>
      <c r="J5796" s="158"/>
      <c r="L5796" s="94"/>
      <c r="M5796" s="159"/>
      <c r="N5796" s="94"/>
    </row>
    <row r="5797">
      <c r="A5797" s="107">
        <v>1630249.0</v>
      </c>
      <c r="B5797" s="116" t="s">
        <v>245</v>
      </c>
      <c r="C5797" s="116" t="s">
        <v>1407</v>
      </c>
      <c r="D5797" s="100" t="str">
        <f t="shared" si="1"/>
        <v/>
      </c>
      <c r="E5797" s="100" t="str">
        <f t="shared" si="2"/>
        <v/>
      </c>
      <c r="F5797" s="100" t="str">
        <f t="shared" si="3"/>
        <v/>
      </c>
      <c r="G5797" s="151"/>
      <c r="H5797" s="156"/>
      <c r="I5797" s="157"/>
      <c r="J5797" s="161"/>
      <c r="L5797" s="94"/>
      <c r="M5797" s="159"/>
      <c r="N5797" s="94"/>
    </row>
    <row r="5798">
      <c r="A5798" s="107">
        <v>1630249.0</v>
      </c>
      <c r="B5798" s="116" t="s">
        <v>246</v>
      </c>
      <c r="C5798" s="116" t="s">
        <v>1407</v>
      </c>
      <c r="D5798" s="100" t="str">
        <f t="shared" si="1"/>
        <v/>
      </c>
      <c r="E5798" s="100" t="str">
        <f t="shared" si="2"/>
        <v/>
      </c>
      <c r="F5798" s="100" t="str">
        <f t="shared" si="3"/>
        <v/>
      </c>
      <c r="G5798" s="151"/>
      <c r="H5798" s="160"/>
      <c r="I5798" s="157"/>
      <c r="J5798" s="158"/>
      <c r="L5798" s="94"/>
      <c r="M5798" s="159"/>
      <c r="N5798" s="94"/>
    </row>
    <row r="5799">
      <c r="A5799" s="114">
        <v>1630249.0</v>
      </c>
      <c r="B5799" s="131" t="s">
        <v>247</v>
      </c>
      <c r="C5799" s="116" t="s">
        <v>1407</v>
      </c>
      <c r="D5799" s="100" t="str">
        <f t="shared" si="1"/>
        <v/>
      </c>
      <c r="E5799" s="100" t="str">
        <f t="shared" si="2"/>
        <v/>
      </c>
      <c r="F5799" s="100" t="str">
        <f t="shared" si="3"/>
        <v/>
      </c>
      <c r="G5799" s="151"/>
      <c r="H5799" s="156"/>
      <c r="I5799" s="157"/>
      <c r="J5799" s="161"/>
      <c r="L5799" s="94"/>
      <c r="M5799" s="159"/>
      <c r="N5799" s="94"/>
    </row>
    <row r="5800">
      <c r="A5800" s="107">
        <v>1630250.0</v>
      </c>
      <c r="B5800" s="116" t="s">
        <v>215</v>
      </c>
      <c r="C5800" s="116" t="s">
        <v>1408</v>
      </c>
      <c r="D5800" s="100" t="str">
        <f t="shared" si="1"/>
        <v/>
      </c>
      <c r="E5800" s="100" t="str">
        <f t="shared" si="2"/>
        <v/>
      </c>
      <c r="F5800" s="100" t="str">
        <f t="shared" si="3"/>
        <v/>
      </c>
      <c r="G5800" s="151"/>
      <c r="H5800" s="160"/>
      <c r="I5800" s="157"/>
      <c r="J5800" s="158"/>
      <c r="L5800" s="94"/>
      <c r="M5800" s="159"/>
      <c r="N5800" s="94"/>
    </row>
    <row r="5801">
      <c r="A5801" s="107">
        <v>1630250.0</v>
      </c>
      <c r="B5801" s="116" t="s">
        <v>244</v>
      </c>
      <c r="C5801" s="116" t="s">
        <v>1408</v>
      </c>
      <c r="D5801" s="100" t="str">
        <f t="shared" si="1"/>
        <v/>
      </c>
      <c r="E5801" s="100" t="str">
        <f t="shared" si="2"/>
        <v/>
      </c>
      <c r="F5801" s="100" t="str">
        <f t="shared" si="3"/>
        <v/>
      </c>
      <c r="G5801" s="151"/>
      <c r="H5801" s="156"/>
      <c r="I5801" s="157"/>
      <c r="J5801" s="161"/>
      <c r="L5801" s="94"/>
      <c r="M5801" s="159"/>
      <c r="N5801" s="94"/>
    </row>
    <row r="5802">
      <c r="A5802" s="107">
        <v>1630253.0</v>
      </c>
      <c r="B5802" s="116" t="s">
        <v>243</v>
      </c>
      <c r="C5802" s="116" t="s">
        <v>1409</v>
      </c>
      <c r="D5802" s="100" t="str">
        <f t="shared" si="1"/>
        <v/>
      </c>
      <c r="E5802" s="100" t="str">
        <f t="shared" si="2"/>
        <v/>
      </c>
      <c r="F5802" s="100" t="str">
        <f t="shared" si="3"/>
        <v/>
      </c>
      <c r="G5802" s="151"/>
      <c r="H5802" s="160"/>
      <c r="I5802" s="157"/>
      <c r="J5802" s="158"/>
      <c r="L5802" s="94"/>
      <c r="M5802" s="159"/>
      <c r="N5802" s="94"/>
    </row>
    <row r="5803">
      <c r="A5803" s="107">
        <v>1630256.0</v>
      </c>
      <c r="B5803" s="116" t="s">
        <v>243</v>
      </c>
      <c r="C5803" s="116" t="s">
        <v>1410</v>
      </c>
      <c r="D5803" s="100" t="str">
        <f t="shared" si="1"/>
        <v/>
      </c>
      <c r="E5803" s="100" t="str">
        <f t="shared" si="2"/>
        <v/>
      </c>
      <c r="F5803" s="100" t="str">
        <f t="shared" si="3"/>
        <v/>
      </c>
      <c r="G5803" s="151"/>
      <c r="H5803" s="156"/>
      <c r="I5803" s="157"/>
      <c r="J5803" s="161"/>
      <c r="L5803" s="94"/>
      <c r="M5803" s="159"/>
      <c r="N5803" s="94"/>
    </row>
    <row r="5804">
      <c r="A5804" s="107">
        <v>1630256.0</v>
      </c>
      <c r="B5804" s="116" t="s">
        <v>215</v>
      </c>
      <c r="C5804" s="116" t="s">
        <v>1410</v>
      </c>
      <c r="D5804" s="100" t="str">
        <f t="shared" si="1"/>
        <v/>
      </c>
      <c r="E5804" s="100" t="str">
        <f t="shared" si="2"/>
        <v/>
      </c>
      <c r="F5804" s="100" t="str">
        <f t="shared" si="3"/>
        <v/>
      </c>
      <c r="G5804" s="151"/>
      <c r="H5804" s="160"/>
      <c r="I5804" s="157"/>
      <c r="J5804" s="158"/>
      <c r="L5804" s="94"/>
      <c r="M5804" s="159"/>
      <c r="N5804" s="94"/>
    </row>
    <row r="5805">
      <c r="A5805" s="107">
        <v>1630256.0</v>
      </c>
      <c r="B5805" s="116" t="s">
        <v>244</v>
      </c>
      <c r="C5805" s="116" t="s">
        <v>1410</v>
      </c>
      <c r="D5805" s="100" t="str">
        <f t="shared" si="1"/>
        <v/>
      </c>
      <c r="E5805" s="100" t="str">
        <f t="shared" si="2"/>
        <v/>
      </c>
      <c r="F5805" s="100" t="str">
        <f t="shared" si="3"/>
        <v/>
      </c>
      <c r="G5805" s="151"/>
      <c r="H5805" s="156"/>
      <c r="I5805" s="157"/>
      <c r="J5805" s="161"/>
      <c r="L5805" s="94"/>
      <c r="M5805" s="159"/>
      <c r="N5805" s="94"/>
    </row>
    <row r="5806">
      <c r="A5806" s="107">
        <v>1630256.0</v>
      </c>
      <c r="B5806" s="116" t="s">
        <v>245</v>
      </c>
      <c r="C5806" s="116" t="s">
        <v>1410</v>
      </c>
      <c r="D5806" s="100" t="str">
        <f t="shared" si="1"/>
        <v/>
      </c>
      <c r="E5806" s="100" t="str">
        <f t="shared" si="2"/>
        <v/>
      </c>
      <c r="F5806" s="100" t="str">
        <f t="shared" si="3"/>
        <v/>
      </c>
      <c r="G5806" s="151"/>
      <c r="H5806" s="160"/>
      <c r="I5806" s="157"/>
      <c r="J5806" s="158"/>
      <c r="L5806" s="94"/>
      <c r="M5806" s="159"/>
      <c r="N5806" s="94"/>
    </row>
    <row r="5807">
      <c r="A5807" s="107">
        <v>1630256.0</v>
      </c>
      <c r="B5807" s="116" t="s">
        <v>246</v>
      </c>
      <c r="C5807" s="116" t="s">
        <v>1410</v>
      </c>
      <c r="D5807" s="100" t="str">
        <f t="shared" si="1"/>
        <v/>
      </c>
      <c r="E5807" s="100" t="str">
        <f t="shared" si="2"/>
        <v/>
      </c>
      <c r="F5807" s="100" t="str">
        <f t="shared" si="3"/>
        <v/>
      </c>
      <c r="G5807" s="151"/>
      <c r="H5807" s="156"/>
      <c r="I5807" s="157"/>
      <c r="J5807" s="161"/>
      <c r="L5807" s="94"/>
      <c r="M5807" s="159"/>
      <c r="N5807" s="94"/>
    </row>
    <row r="5808">
      <c r="A5808" s="114">
        <v>1630256.0</v>
      </c>
      <c r="B5808" s="131" t="s">
        <v>247</v>
      </c>
      <c r="C5808" s="116" t="s">
        <v>1410</v>
      </c>
      <c r="D5808" s="100" t="str">
        <f t="shared" si="1"/>
        <v/>
      </c>
      <c r="E5808" s="100" t="str">
        <f t="shared" si="2"/>
        <v/>
      </c>
      <c r="F5808" s="100" t="str">
        <f t="shared" si="3"/>
        <v/>
      </c>
      <c r="G5808" s="151"/>
      <c r="H5808" s="160"/>
      <c r="I5808" s="157"/>
      <c r="J5808" s="158"/>
      <c r="L5808" s="94"/>
      <c r="M5808" s="159"/>
      <c r="N5808" s="94"/>
    </row>
    <row r="5809">
      <c r="A5809" s="107">
        <v>1630257.0</v>
      </c>
      <c r="B5809" s="116" t="s">
        <v>215</v>
      </c>
      <c r="C5809" s="116" t="s">
        <v>1411</v>
      </c>
      <c r="D5809" s="100" t="str">
        <f t="shared" si="1"/>
        <v/>
      </c>
      <c r="E5809" s="100" t="str">
        <f t="shared" si="2"/>
        <v/>
      </c>
      <c r="F5809" s="100" t="str">
        <f t="shared" si="3"/>
        <v/>
      </c>
      <c r="G5809" s="151"/>
      <c r="H5809" s="156"/>
      <c r="I5809" s="157"/>
      <c r="J5809" s="161"/>
      <c r="L5809" s="94"/>
      <c r="M5809" s="159"/>
      <c r="N5809" s="94"/>
    </row>
    <row r="5810">
      <c r="A5810" s="107">
        <v>1630259.0</v>
      </c>
      <c r="B5810" s="116" t="s">
        <v>245</v>
      </c>
      <c r="C5810" s="116" t="s">
        <v>1412</v>
      </c>
      <c r="D5810" s="100" t="str">
        <f t="shared" si="1"/>
        <v/>
      </c>
      <c r="E5810" s="100" t="str">
        <f t="shared" si="2"/>
        <v/>
      </c>
      <c r="F5810" s="100" t="str">
        <f t="shared" si="3"/>
        <v/>
      </c>
      <c r="G5810" s="151"/>
      <c r="H5810" s="160"/>
      <c r="I5810" s="157"/>
      <c r="J5810" s="158"/>
      <c r="L5810" s="94"/>
      <c r="M5810" s="159"/>
      <c r="N5810" s="94"/>
    </row>
    <row r="5811">
      <c r="A5811" s="107">
        <v>1630264.0</v>
      </c>
      <c r="B5811" s="116" t="s">
        <v>243</v>
      </c>
      <c r="C5811" s="116" t="s">
        <v>1413</v>
      </c>
      <c r="D5811" s="100" t="str">
        <f t="shared" si="1"/>
        <v/>
      </c>
      <c r="E5811" s="100" t="str">
        <f t="shared" si="2"/>
        <v/>
      </c>
      <c r="F5811" s="100" t="str">
        <f t="shared" si="3"/>
        <v/>
      </c>
      <c r="G5811" s="151"/>
      <c r="H5811" s="156"/>
      <c r="I5811" s="157"/>
      <c r="J5811" s="161"/>
      <c r="L5811" s="94"/>
      <c r="M5811" s="159"/>
      <c r="N5811" s="94"/>
    </row>
    <row r="5812">
      <c r="A5812" s="107">
        <v>1630264.0</v>
      </c>
      <c r="B5812" s="116" t="s">
        <v>215</v>
      </c>
      <c r="C5812" s="116" t="s">
        <v>1413</v>
      </c>
      <c r="D5812" s="100" t="str">
        <f t="shared" si="1"/>
        <v/>
      </c>
      <c r="E5812" s="100" t="str">
        <f t="shared" si="2"/>
        <v/>
      </c>
      <c r="F5812" s="100" t="str">
        <f t="shared" si="3"/>
        <v/>
      </c>
      <c r="G5812" s="151"/>
      <c r="H5812" s="160"/>
      <c r="I5812" s="157"/>
      <c r="J5812" s="158"/>
      <c r="L5812" s="94"/>
      <c r="M5812" s="159"/>
      <c r="N5812" s="94"/>
    </row>
    <row r="5813">
      <c r="A5813" s="107">
        <v>1630264.0</v>
      </c>
      <c r="B5813" s="116" t="s">
        <v>244</v>
      </c>
      <c r="C5813" s="116" t="s">
        <v>1413</v>
      </c>
      <c r="D5813" s="100" t="str">
        <f t="shared" si="1"/>
        <v/>
      </c>
      <c r="E5813" s="100" t="str">
        <f t="shared" si="2"/>
        <v/>
      </c>
      <c r="F5813" s="100" t="str">
        <f t="shared" si="3"/>
        <v/>
      </c>
      <c r="G5813" s="151"/>
      <c r="H5813" s="156"/>
      <c r="I5813" s="157"/>
      <c r="J5813" s="161"/>
      <c r="L5813" s="94"/>
      <c r="M5813" s="159"/>
      <c r="N5813" s="94"/>
    </row>
    <row r="5814">
      <c r="A5814" s="136">
        <v>1630264.0</v>
      </c>
      <c r="B5814" s="116" t="s">
        <v>245</v>
      </c>
      <c r="C5814" s="137" t="s">
        <v>1413</v>
      </c>
      <c r="D5814" s="100" t="str">
        <f t="shared" si="1"/>
        <v/>
      </c>
      <c r="E5814" s="100" t="str">
        <f t="shared" si="2"/>
        <v/>
      </c>
      <c r="F5814" s="100" t="str">
        <f t="shared" si="3"/>
        <v/>
      </c>
      <c r="G5814" s="151"/>
      <c r="H5814" s="160"/>
      <c r="I5814" s="157"/>
      <c r="J5814" s="158"/>
      <c r="L5814" s="94"/>
      <c r="M5814" s="159"/>
      <c r="N5814" s="94"/>
    </row>
    <row r="5815">
      <c r="A5815" s="107">
        <v>1630264.0</v>
      </c>
      <c r="B5815" s="116" t="s">
        <v>246</v>
      </c>
      <c r="C5815" s="116" t="s">
        <v>1413</v>
      </c>
      <c r="D5815" s="100" t="str">
        <f t="shared" si="1"/>
        <v/>
      </c>
      <c r="E5815" s="100" t="str">
        <f t="shared" si="2"/>
        <v/>
      </c>
      <c r="F5815" s="100" t="str">
        <f t="shared" si="3"/>
        <v/>
      </c>
      <c r="G5815" s="151"/>
      <c r="H5815" s="156"/>
      <c r="I5815" s="157"/>
      <c r="J5815" s="161"/>
      <c r="L5815" s="94"/>
      <c r="M5815" s="159"/>
      <c r="N5815" s="94"/>
    </row>
    <row r="5816">
      <c r="A5816" s="114">
        <v>1630264.0</v>
      </c>
      <c r="B5816" s="131" t="s">
        <v>247</v>
      </c>
      <c r="C5816" s="131" t="s">
        <v>1413</v>
      </c>
      <c r="D5816" s="100" t="str">
        <f t="shared" si="1"/>
        <v/>
      </c>
      <c r="E5816" s="100" t="str">
        <f t="shared" si="2"/>
        <v/>
      </c>
      <c r="F5816" s="100" t="str">
        <f t="shared" si="3"/>
        <v/>
      </c>
      <c r="G5816" s="151"/>
      <c r="H5816" s="160"/>
      <c r="I5816" s="157"/>
      <c r="J5816" s="158"/>
      <c r="L5816" s="94"/>
      <c r="M5816" s="159"/>
      <c r="N5816" s="94"/>
    </row>
    <row r="5817">
      <c r="A5817" s="107">
        <v>1630266.0</v>
      </c>
      <c r="B5817" s="116" t="s">
        <v>243</v>
      </c>
      <c r="C5817" s="116" t="s">
        <v>1414</v>
      </c>
      <c r="D5817" s="100" t="str">
        <f t="shared" si="1"/>
        <v/>
      </c>
      <c r="E5817" s="100" t="str">
        <f t="shared" si="2"/>
        <v/>
      </c>
      <c r="F5817" s="100" t="str">
        <f t="shared" si="3"/>
        <v/>
      </c>
      <c r="G5817" s="151"/>
      <c r="H5817" s="156"/>
      <c r="I5817" s="157"/>
      <c r="J5817" s="161"/>
      <c r="L5817" s="94"/>
      <c r="M5817" s="159"/>
      <c r="N5817" s="94"/>
    </row>
    <row r="5818">
      <c r="A5818" s="107">
        <v>1630267.0</v>
      </c>
      <c r="B5818" s="116" t="s">
        <v>243</v>
      </c>
      <c r="C5818" s="116" t="s">
        <v>1415</v>
      </c>
      <c r="D5818" s="100" t="str">
        <f t="shared" si="1"/>
        <v/>
      </c>
      <c r="E5818" s="100" t="str">
        <f t="shared" si="2"/>
        <v/>
      </c>
      <c r="F5818" s="100" t="str">
        <f t="shared" si="3"/>
        <v/>
      </c>
      <c r="G5818" s="151"/>
      <c r="H5818" s="160"/>
      <c r="I5818" s="157"/>
      <c r="J5818" s="158"/>
      <c r="L5818" s="94"/>
      <c r="M5818" s="159"/>
      <c r="N5818" s="94"/>
    </row>
    <row r="5819">
      <c r="A5819" s="107">
        <v>1630267.0</v>
      </c>
      <c r="B5819" s="116" t="s">
        <v>215</v>
      </c>
      <c r="C5819" s="116" t="s">
        <v>1415</v>
      </c>
      <c r="D5819" s="100" t="str">
        <f t="shared" si="1"/>
        <v/>
      </c>
      <c r="E5819" s="100" t="str">
        <f t="shared" si="2"/>
        <v/>
      </c>
      <c r="F5819" s="100" t="str">
        <f t="shared" si="3"/>
        <v/>
      </c>
      <c r="G5819" s="151"/>
      <c r="H5819" s="156"/>
      <c r="I5819" s="157"/>
      <c r="J5819" s="161"/>
      <c r="L5819" s="94"/>
      <c r="M5819" s="159"/>
      <c r="N5819" s="94"/>
    </row>
    <row r="5820">
      <c r="A5820" s="107">
        <v>1630267.0</v>
      </c>
      <c r="B5820" s="116" t="s">
        <v>244</v>
      </c>
      <c r="C5820" s="116" t="s">
        <v>1415</v>
      </c>
      <c r="D5820" s="100" t="str">
        <f t="shared" si="1"/>
        <v/>
      </c>
      <c r="E5820" s="100" t="str">
        <f t="shared" si="2"/>
        <v/>
      </c>
      <c r="F5820" s="100" t="str">
        <f t="shared" si="3"/>
        <v/>
      </c>
      <c r="G5820" s="151"/>
      <c r="H5820" s="160"/>
      <c r="I5820" s="157"/>
      <c r="J5820" s="158"/>
      <c r="L5820" s="94"/>
      <c r="M5820" s="159"/>
      <c r="N5820" s="94"/>
    </row>
    <row r="5821">
      <c r="A5821" s="107">
        <v>1630268.0</v>
      </c>
      <c r="B5821" s="116" t="s">
        <v>243</v>
      </c>
      <c r="C5821" s="116" t="s">
        <v>1416</v>
      </c>
      <c r="D5821" s="100" t="str">
        <f t="shared" si="1"/>
        <v/>
      </c>
      <c r="E5821" s="100" t="str">
        <f t="shared" si="2"/>
        <v/>
      </c>
      <c r="F5821" s="100" t="str">
        <f t="shared" si="3"/>
        <v/>
      </c>
      <c r="G5821" s="151"/>
      <c r="H5821" s="156"/>
      <c r="I5821" s="157"/>
      <c r="J5821" s="161"/>
      <c r="L5821" s="94"/>
      <c r="M5821" s="159"/>
      <c r="N5821" s="94"/>
    </row>
    <row r="5822">
      <c r="A5822" s="107">
        <v>1630270.0</v>
      </c>
      <c r="B5822" s="116" t="s">
        <v>215</v>
      </c>
      <c r="C5822" s="116" t="s">
        <v>1417</v>
      </c>
      <c r="D5822" s="100" t="str">
        <f t="shared" si="1"/>
        <v/>
      </c>
      <c r="E5822" s="100" t="str">
        <f t="shared" si="2"/>
        <v/>
      </c>
      <c r="F5822" s="100" t="str">
        <f t="shared" si="3"/>
        <v/>
      </c>
      <c r="G5822" s="151"/>
      <c r="H5822" s="160"/>
      <c r="I5822" s="157"/>
      <c r="J5822" s="158"/>
      <c r="L5822" s="94"/>
      <c r="M5822" s="159"/>
      <c r="N5822" s="94"/>
    </row>
    <row r="5823">
      <c r="A5823" s="107">
        <v>1630270.0</v>
      </c>
      <c r="B5823" s="116" t="s">
        <v>244</v>
      </c>
      <c r="C5823" s="116" t="s">
        <v>1417</v>
      </c>
      <c r="D5823" s="100" t="str">
        <f t="shared" si="1"/>
        <v/>
      </c>
      <c r="E5823" s="100" t="str">
        <f t="shared" si="2"/>
        <v/>
      </c>
      <c r="F5823" s="100" t="str">
        <f t="shared" si="3"/>
        <v/>
      </c>
      <c r="G5823" s="151"/>
      <c r="H5823" s="156"/>
      <c r="I5823" s="157"/>
      <c r="J5823" s="161"/>
      <c r="L5823" s="94"/>
      <c r="M5823" s="159"/>
      <c r="N5823" s="94"/>
    </row>
    <row r="5824">
      <c r="A5824" s="107">
        <v>1630271.0</v>
      </c>
      <c r="B5824" s="116" t="s">
        <v>243</v>
      </c>
      <c r="C5824" s="116" t="s">
        <v>1418</v>
      </c>
      <c r="D5824" s="100" t="str">
        <f t="shared" si="1"/>
        <v/>
      </c>
      <c r="E5824" s="100" t="str">
        <f t="shared" si="2"/>
        <v/>
      </c>
      <c r="F5824" s="100" t="str">
        <f t="shared" si="3"/>
        <v/>
      </c>
      <c r="G5824" s="151"/>
      <c r="H5824" s="160"/>
      <c r="I5824" s="157"/>
      <c r="J5824" s="158"/>
      <c r="L5824" s="94"/>
      <c r="M5824" s="159"/>
      <c r="N5824" s="94"/>
    </row>
    <row r="5825">
      <c r="A5825" s="107">
        <v>1630271.0</v>
      </c>
      <c r="B5825" s="116" t="s">
        <v>215</v>
      </c>
      <c r="C5825" s="116" t="s">
        <v>1418</v>
      </c>
      <c r="D5825" s="100" t="str">
        <f t="shared" si="1"/>
        <v/>
      </c>
      <c r="E5825" s="100" t="str">
        <f t="shared" si="2"/>
        <v/>
      </c>
      <c r="F5825" s="100" t="str">
        <f t="shared" si="3"/>
        <v/>
      </c>
      <c r="G5825" s="151"/>
      <c r="H5825" s="156"/>
      <c r="I5825" s="157"/>
      <c r="J5825" s="161"/>
      <c r="L5825" s="94"/>
      <c r="M5825" s="159"/>
      <c r="N5825" s="94"/>
    </row>
    <row r="5826">
      <c r="A5826" s="107">
        <v>1630273.0</v>
      </c>
      <c r="B5826" s="116" t="s">
        <v>243</v>
      </c>
      <c r="C5826" s="116" t="s">
        <v>1419</v>
      </c>
      <c r="D5826" s="100" t="str">
        <f t="shared" si="1"/>
        <v/>
      </c>
      <c r="E5826" s="100" t="str">
        <f t="shared" si="2"/>
        <v/>
      </c>
      <c r="F5826" s="100" t="str">
        <f t="shared" si="3"/>
        <v/>
      </c>
      <c r="G5826" s="151"/>
      <c r="H5826" s="160"/>
      <c r="I5826" s="157"/>
      <c r="J5826" s="158"/>
      <c r="L5826" s="94"/>
      <c r="M5826" s="159"/>
      <c r="N5826" s="94"/>
    </row>
    <row r="5827">
      <c r="A5827" s="107">
        <v>1630273.0</v>
      </c>
      <c r="B5827" s="116" t="s">
        <v>215</v>
      </c>
      <c r="C5827" s="116" t="s">
        <v>1419</v>
      </c>
      <c r="D5827" s="100" t="str">
        <f t="shared" si="1"/>
        <v/>
      </c>
      <c r="E5827" s="100" t="str">
        <f t="shared" si="2"/>
        <v/>
      </c>
      <c r="F5827" s="100" t="str">
        <f t="shared" si="3"/>
        <v/>
      </c>
      <c r="G5827" s="151"/>
      <c r="H5827" s="156"/>
      <c r="I5827" s="157"/>
      <c r="J5827" s="161"/>
      <c r="L5827" s="94"/>
      <c r="M5827" s="159"/>
      <c r="N5827" s="94"/>
    </row>
    <row r="5828">
      <c r="A5828" s="107">
        <v>1630278.0</v>
      </c>
      <c r="B5828" s="116" t="s">
        <v>215</v>
      </c>
      <c r="C5828" s="116" t="s">
        <v>1420</v>
      </c>
      <c r="D5828" s="100" t="str">
        <f t="shared" si="1"/>
        <v/>
      </c>
      <c r="E5828" s="100" t="str">
        <f t="shared" si="2"/>
        <v/>
      </c>
      <c r="F5828" s="100" t="str">
        <f t="shared" si="3"/>
        <v/>
      </c>
      <c r="G5828" s="151"/>
      <c r="H5828" s="160"/>
      <c r="I5828" s="157"/>
      <c r="J5828" s="158"/>
      <c r="L5828" s="94"/>
      <c r="M5828" s="159"/>
      <c r="N5828" s="94"/>
    </row>
    <row r="5829">
      <c r="A5829" s="120">
        <v>1630283.0</v>
      </c>
      <c r="B5829" s="138" t="s">
        <v>246</v>
      </c>
      <c r="C5829" s="138" t="s">
        <v>1421</v>
      </c>
      <c r="D5829" s="100" t="str">
        <f t="shared" si="1"/>
        <v/>
      </c>
      <c r="E5829" s="100" t="str">
        <f t="shared" si="2"/>
        <v/>
      </c>
      <c r="F5829" s="100" t="str">
        <f t="shared" si="3"/>
        <v/>
      </c>
      <c r="G5829" s="151"/>
      <c r="H5829" s="156"/>
      <c r="I5829" s="157"/>
      <c r="J5829" s="161"/>
      <c r="L5829" s="94"/>
      <c r="M5829" s="159"/>
      <c r="N5829" s="94"/>
    </row>
    <row r="5830">
      <c r="A5830" s="107">
        <v>1630284.0</v>
      </c>
      <c r="B5830" s="116" t="s">
        <v>244</v>
      </c>
      <c r="C5830" s="116" t="s">
        <v>1422</v>
      </c>
      <c r="D5830" s="100" t="str">
        <f t="shared" si="1"/>
        <v/>
      </c>
      <c r="E5830" s="100" t="str">
        <f t="shared" si="2"/>
        <v/>
      </c>
      <c r="F5830" s="100" t="str">
        <f t="shared" si="3"/>
        <v/>
      </c>
      <c r="G5830" s="151"/>
      <c r="H5830" s="160"/>
      <c r="I5830" s="157"/>
      <c r="J5830" s="158"/>
      <c r="L5830" s="94"/>
      <c r="M5830" s="159"/>
      <c r="N5830" s="94"/>
    </row>
    <row r="5831">
      <c r="A5831" s="107">
        <v>1630284.0</v>
      </c>
      <c r="B5831" s="116" t="s">
        <v>245</v>
      </c>
      <c r="C5831" s="116" t="s">
        <v>1422</v>
      </c>
      <c r="D5831" s="100" t="str">
        <f t="shared" si="1"/>
        <v/>
      </c>
      <c r="E5831" s="100" t="str">
        <f t="shared" si="2"/>
        <v/>
      </c>
      <c r="F5831" s="100" t="str">
        <f t="shared" si="3"/>
        <v/>
      </c>
      <c r="G5831" s="151"/>
      <c r="H5831" s="156"/>
      <c r="I5831" s="157"/>
      <c r="J5831" s="161"/>
      <c r="L5831" s="94"/>
      <c r="M5831" s="159"/>
      <c r="N5831" s="94"/>
    </row>
    <row r="5832">
      <c r="A5832" s="89">
        <v>1630284.0</v>
      </c>
      <c r="B5832" s="131" t="s">
        <v>247</v>
      </c>
      <c r="C5832" s="131" t="s">
        <v>1422</v>
      </c>
      <c r="D5832" s="100" t="str">
        <f t="shared" si="1"/>
        <v/>
      </c>
      <c r="E5832" s="100" t="str">
        <f t="shared" si="2"/>
        <v/>
      </c>
      <c r="F5832" s="100" t="str">
        <f t="shared" si="3"/>
        <v/>
      </c>
      <c r="G5832" s="151"/>
      <c r="H5832" s="160"/>
      <c r="I5832" s="157"/>
      <c r="J5832" s="158"/>
      <c r="L5832" s="94"/>
      <c r="M5832" s="159"/>
      <c r="N5832" s="94"/>
    </row>
    <row r="5833">
      <c r="A5833" s="107">
        <v>1630285.0</v>
      </c>
      <c r="B5833" s="116" t="s">
        <v>215</v>
      </c>
      <c r="C5833" s="116" t="s">
        <v>1423</v>
      </c>
      <c r="D5833" s="100" t="str">
        <f t="shared" si="1"/>
        <v/>
      </c>
      <c r="E5833" s="100" t="str">
        <f t="shared" si="2"/>
        <v/>
      </c>
      <c r="F5833" s="100" t="str">
        <f t="shared" si="3"/>
        <v/>
      </c>
      <c r="G5833" s="151"/>
      <c r="H5833" s="156"/>
      <c r="I5833" s="157"/>
      <c r="J5833" s="161"/>
      <c r="L5833" s="94"/>
      <c r="M5833" s="159"/>
      <c r="N5833" s="94"/>
    </row>
    <row r="5834">
      <c r="A5834" s="107">
        <v>1630285.0</v>
      </c>
      <c r="B5834" s="116" t="s">
        <v>245</v>
      </c>
      <c r="C5834" s="116" t="s">
        <v>1423</v>
      </c>
      <c r="D5834" s="100" t="str">
        <f t="shared" si="1"/>
        <v/>
      </c>
      <c r="E5834" s="100" t="str">
        <f t="shared" si="2"/>
        <v/>
      </c>
      <c r="F5834" s="100" t="str">
        <f t="shared" si="3"/>
        <v/>
      </c>
      <c r="G5834" s="151"/>
      <c r="H5834" s="160"/>
      <c r="I5834" s="157"/>
      <c r="J5834" s="158"/>
      <c r="L5834" s="94"/>
      <c r="M5834" s="159"/>
      <c r="N5834" s="94"/>
    </row>
    <row r="5835">
      <c r="A5835" s="107">
        <v>1630286.0</v>
      </c>
      <c r="B5835" s="116" t="s">
        <v>215</v>
      </c>
      <c r="C5835" s="116" t="s">
        <v>1424</v>
      </c>
      <c r="D5835" s="100" t="str">
        <f t="shared" si="1"/>
        <v/>
      </c>
      <c r="E5835" s="100" t="str">
        <f t="shared" si="2"/>
        <v/>
      </c>
      <c r="F5835" s="100" t="str">
        <f t="shared" si="3"/>
        <v/>
      </c>
      <c r="G5835" s="151"/>
      <c r="H5835" s="156"/>
      <c r="I5835" s="157"/>
      <c r="J5835" s="161"/>
      <c r="L5835" s="94"/>
      <c r="M5835" s="159"/>
      <c r="N5835" s="94"/>
    </row>
    <row r="5836">
      <c r="A5836" s="107">
        <v>1630288.0</v>
      </c>
      <c r="B5836" s="116" t="s">
        <v>215</v>
      </c>
      <c r="C5836" s="116" t="s">
        <v>1425</v>
      </c>
      <c r="D5836" s="100" t="str">
        <f t="shared" si="1"/>
        <v/>
      </c>
      <c r="E5836" s="100" t="str">
        <f t="shared" si="2"/>
        <v/>
      </c>
      <c r="F5836" s="100" t="str">
        <f t="shared" si="3"/>
        <v/>
      </c>
      <c r="G5836" s="151"/>
      <c r="H5836" s="160"/>
      <c r="I5836" s="157"/>
      <c r="J5836" s="158"/>
      <c r="L5836" s="94"/>
      <c r="M5836" s="159"/>
      <c r="N5836" s="94"/>
    </row>
    <row r="5837">
      <c r="A5837" s="107">
        <v>1630288.0</v>
      </c>
      <c r="B5837" s="116" t="s">
        <v>244</v>
      </c>
      <c r="C5837" s="140" t="s">
        <v>1369</v>
      </c>
      <c r="D5837" s="100" t="str">
        <f t="shared" si="1"/>
        <v/>
      </c>
      <c r="E5837" s="100" t="str">
        <f t="shared" si="2"/>
        <v/>
      </c>
      <c r="F5837" s="100" t="str">
        <f t="shared" si="3"/>
        <v/>
      </c>
      <c r="G5837" s="151"/>
      <c r="H5837" s="156"/>
      <c r="I5837" s="157"/>
      <c r="J5837" s="161"/>
      <c r="L5837" s="94"/>
      <c r="M5837" s="159"/>
      <c r="N5837" s="94"/>
    </row>
    <row r="5838">
      <c r="A5838" s="107">
        <v>1630288.0</v>
      </c>
      <c r="B5838" s="116" t="s">
        <v>245</v>
      </c>
      <c r="C5838" s="116" t="s">
        <v>1425</v>
      </c>
      <c r="D5838" s="100" t="str">
        <f t="shared" si="1"/>
        <v/>
      </c>
      <c r="E5838" s="100" t="str">
        <f t="shared" si="2"/>
        <v/>
      </c>
      <c r="F5838" s="100" t="str">
        <f t="shared" si="3"/>
        <v/>
      </c>
      <c r="G5838" s="151"/>
      <c r="H5838" s="160"/>
      <c r="I5838" s="157"/>
      <c r="J5838" s="158"/>
      <c r="L5838" s="94"/>
      <c r="M5838" s="159"/>
      <c r="N5838" s="94"/>
    </row>
    <row r="5839">
      <c r="A5839" s="107">
        <v>1630288.0</v>
      </c>
      <c r="B5839" s="116" t="s">
        <v>246</v>
      </c>
      <c r="C5839" s="116" t="s">
        <v>1425</v>
      </c>
      <c r="D5839" s="100" t="str">
        <f t="shared" si="1"/>
        <v/>
      </c>
      <c r="E5839" s="100" t="str">
        <f t="shared" si="2"/>
        <v/>
      </c>
      <c r="F5839" s="100" t="str">
        <f t="shared" si="3"/>
        <v/>
      </c>
      <c r="G5839" s="151"/>
      <c r="H5839" s="156"/>
      <c r="I5839" s="157"/>
      <c r="J5839" s="161"/>
      <c r="L5839" s="94"/>
      <c r="M5839" s="159"/>
      <c r="N5839" s="94"/>
    </row>
    <row r="5840">
      <c r="A5840" s="107">
        <v>1630296.0</v>
      </c>
      <c r="B5840" s="116" t="s">
        <v>215</v>
      </c>
      <c r="C5840" s="116" t="s">
        <v>1426</v>
      </c>
      <c r="D5840" s="100" t="str">
        <f t="shared" si="1"/>
        <v/>
      </c>
      <c r="E5840" s="100" t="str">
        <f t="shared" si="2"/>
        <v/>
      </c>
      <c r="F5840" s="100" t="str">
        <f t="shared" si="3"/>
        <v/>
      </c>
      <c r="G5840" s="151"/>
      <c r="H5840" s="160"/>
      <c r="I5840" s="157"/>
      <c r="J5840" s="158"/>
      <c r="L5840" s="94"/>
      <c r="M5840" s="159"/>
      <c r="N5840" s="94"/>
    </row>
    <row r="5841">
      <c r="A5841" s="107">
        <v>1630296.0</v>
      </c>
      <c r="B5841" s="116" t="s">
        <v>244</v>
      </c>
      <c r="C5841" s="116" t="s">
        <v>1426</v>
      </c>
      <c r="D5841" s="100" t="str">
        <f t="shared" si="1"/>
        <v/>
      </c>
      <c r="E5841" s="100" t="str">
        <f t="shared" si="2"/>
        <v/>
      </c>
      <c r="F5841" s="100" t="str">
        <f t="shared" si="3"/>
        <v/>
      </c>
      <c r="G5841" s="151"/>
      <c r="H5841" s="156"/>
      <c r="I5841" s="157"/>
      <c r="J5841" s="161"/>
      <c r="L5841" s="94"/>
      <c r="M5841" s="159"/>
      <c r="N5841" s="94"/>
    </row>
    <row r="5842">
      <c r="A5842" s="107">
        <v>1630296.0</v>
      </c>
      <c r="B5842" s="116" t="s">
        <v>245</v>
      </c>
      <c r="C5842" s="116" t="s">
        <v>1426</v>
      </c>
      <c r="D5842" s="100" t="str">
        <f t="shared" si="1"/>
        <v/>
      </c>
      <c r="E5842" s="100" t="str">
        <f t="shared" si="2"/>
        <v/>
      </c>
      <c r="F5842" s="100" t="str">
        <f t="shared" si="3"/>
        <v/>
      </c>
      <c r="G5842" s="151"/>
      <c r="H5842" s="160"/>
      <c r="I5842" s="157"/>
      <c r="J5842" s="158"/>
      <c r="L5842" s="94"/>
      <c r="M5842" s="159"/>
      <c r="N5842" s="94"/>
    </row>
    <row r="5843">
      <c r="A5843" s="123">
        <v>1630296.0</v>
      </c>
      <c r="B5843" s="132" t="s">
        <v>246</v>
      </c>
      <c r="C5843" s="133" t="s">
        <v>1426</v>
      </c>
      <c r="D5843" s="100" t="str">
        <f t="shared" si="1"/>
        <v/>
      </c>
      <c r="E5843" s="100" t="str">
        <f t="shared" si="2"/>
        <v/>
      </c>
      <c r="F5843" s="100" t="str">
        <f t="shared" si="3"/>
        <v/>
      </c>
      <c r="G5843" s="151"/>
      <c r="H5843" s="156"/>
      <c r="I5843" s="157"/>
      <c r="J5843" s="161"/>
      <c r="L5843" s="94"/>
      <c r="M5843" s="159"/>
      <c r="N5843" s="94"/>
    </row>
    <row r="5844">
      <c r="A5844" s="107">
        <v>1630306.0</v>
      </c>
      <c r="B5844" s="116" t="s">
        <v>215</v>
      </c>
      <c r="C5844" s="116" t="s">
        <v>1427</v>
      </c>
      <c r="D5844" s="100" t="str">
        <f t="shared" si="1"/>
        <v/>
      </c>
      <c r="E5844" s="100" t="str">
        <f t="shared" si="2"/>
        <v/>
      </c>
      <c r="F5844" s="100" t="str">
        <f t="shared" si="3"/>
        <v/>
      </c>
      <c r="G5844" s="151"/>
      <c r="H5844" s="160"/>
      <c r="I5844" s="157"/>
      <c r="J5844" s="158"/>
      <c r="L5844" s="94"/>
      <c r="M5844" s="159"/>
      <c r="N5844" s="94"/>
    </row>
    <row r="5845">
      <c r="A5845" s="107">
        <v>1630311.0</v>
      </c>
      <c r="B5845" s="116" t="s">
        <v>245</v>
      </c>
      <c r="C5845" s="116" t="s">
        <v>1428</v>
      </c>
      <c r="D5845" s="100" t="str">
        <f t="shared" si="1"/>
        <v/>
      </c>
      <c r="E5845" s="100" t="str">
        <f t="shared" si="2"/>
        <v/>
      </c>
      <c r="F5845" s="100" t="str">
        <f t="shared" si="3"/>
        <v/>
      </c>
      <c r="G5845" s="151"/>
      <c r="H5845" s="156"/>
      <c r="I5845" s="157"/>
      <c r="J5845" s="161"/>
      <c r="L5845" s="94"/>
      <c r="M5845" s="159"/>
      <c r="N5845" s="94"/>
    </row>
    <row r="5846">
      <c r="A5846" s="107">
        <v>1630311.0</v>
      </c>
      <c r="B5846" s="116" t="s">
        <v>246</v>
      </c>
      <c r="C5846" s="116" t="s">
        <v>1428</v>
      </c>
      <c r="D5846" s="100" t="str">
        <f t="shared" si="1"/>
        <v/>
      </c>
      <c r="E5846" s="100" t="str">
        <f t="shared" si="2"/>
        <v/>
      </c>
      <c r="F5846" s="100" t="str">
        <f t="shared" si="3"/>
        <v/>
      </c>
      <c r="G5846" s="151"/>
      <c r="H5846" s="160"/>
      <c r="I5846" s="157"/>
      <c r="J5846" s="158"/>
      <c r="L5846" s="94"/>
      <c r="M5846" s="159"/>
      <c r="N5846" s="94"/>
    </row>
    <row r="5847">
      <c r="A5847" s="114">
        <v>1630311.0</v>
      </c>
      <c r="B5847" s="131" t="s">
        <v>247</v>
      </c>
      <c r="C5847" s="131" t="s">
        <v>1428</v>
      </c>
      <c r="D5847" s="100" t="str">
        <f t="shared" si="1"/>
        <v/>
      </c>
      <c r="E5847" s="100" t="str">
        <f t="shared" si="2"/>
        <v/>
      </c>
      <c r="F5847" s="100" t="str">
        <f t="shared" si="3"/>
        <v/>
      </c>
      <c r="G5847" s="151"/>
      <c r="H5847" s="156"/>
      <c r="I5847" s="157"/>
      <c r="J5847" s="161"/>
      <c r="L5847" s="94"/>
      <c r="M5847" s="159"/>
      <c r="N5847" s="94"/>
    </row>
    <row r="5848">
      <c r="A5848" s="107">
        <v>1630314.0</v>
      </c>
      <c r="B5848" s="116" t="s">
        <v>215</v>
      </c>
      <c r="C5848" s="116" t="s">
        <v>1429</v>
      </c>
      <c r="D5848" s="100" t="str">
        <f t="shared" si="1"/>
        <v/>
      </c>
      <c r="E5848" s="100" t="str">
        <f t="shared" si="2"/>
        <v/>
      </c>
      <c r="F5848" s="100" t="str">
        <f t="shared" si="3"/>
        <v/>
      </c>
      <c r="G5848" s="151"/>
      <c r="H5848" s="160"/>
      <c r="I5848" s="157"/>
      <c r="J5848" s="158"/>
      <c r="L5848" s="94"/>
      <c r="M5848" s="159"/>
      <c r="N5848" s="94"/>
    </row>
    <row r="5849">
      <c r="A5849" s="107">
        <v>1630314.0</v>
      </c>
      <c r="B5849" s="116" t="s">
        <v>245</v>
      </c>
      <c r="C5849" s="116" t="s">
        <v>1429</v>
      </c>
      <c r="D5849" s="100" t="str">
        <f t="shared" si="1"/>
        <v/>
      </c>
      <c r="E5849" s="100" t="str">
        <f t="shared" si="2"/>
        <v/>
      </c>
      <c r="F5849" s="100" t="str">
        <f t="shared" si="3"/>
        <v/>
      </c>
      <c r="G5849" s="151"/>
      <c r="H5849" s="156"/>
      <c r="I5849" s="157"/>
      <c r="J5849" s="161"/>
      <c r="L5849" s="94"/>
      <c r="M5849" s="159"/>
      <c r="N5849" s="94"/>
    </row>
    <row r="5850">
      <c r="A5850" s="107">
        <v>1630314.0</v>
      </c>
      <c r="B5850" s="116" t="s">
        <v>246</v>
      </c>
      <c r="C5850" s="116" t="s">
        <v>1429</v>
      </c>
      <c r="D5850" s="100" t="str">
        <f t="shared" si="1"/>
        <v/>
      </c>
      <c r="E5850" s="100" t="str">
        <f t="shared" si="2"/>
        <v/>
      </c>
      <c r="F5850" s="100" t="str">
        <f t="shared" si="3"/>
        <v/>
      </c>
      <c r="G5850" s="151"/>
      <c r="H5850" s="160"/>
      <c r="I5850" s="157"/>
      <c r="J5850" s="158"/>
      <c r="L5850" s="94"/>
      <c r="M5850" s="159"/>
      <c r="N5850" s="94"/>
    </row>
    <row r="5851">
      <c r="A5851" s="114">
        <v>1630314.0</v>
      </c>
      <c r="B5851" s="131" t="s">
        <v>247</v>
      </c>
      <c r="C5851" s="131" t="s">
        <v>1429</v>
      </c>
      <c r="D5851" s="100" t="str">
        <f t="shared" si="1"/>
        <v/>
      </c>
      <c r="E5851" s="100" t="str">
        <f t="shared" si="2"/>
        <v/>
      </c>
      <c r="F5851" s="100" t="str">
        <f t="shared" si="3"/>
        <v/>
      </c>
      <c r="G5851" s="151"/>
      <c r="H5851" s="156"/>
      <c r="I5851" s="157"/>
      <c r="J5851" s="161"/>
      <c r="L5851" s="94"/>
      <c r="M5851" s="159"/>
      <c r="N5851" s="94"/>
    </row>
    <row r="5852">
      <c r="A5852" s="107">
        <v>1630322.0</v>
      </c>
      <c r="B5852" s="116" t="s">
        <v>215</v>
      </c>
      <c r="C5852" s="140" t="s">
        <v>1430</v>
      </c>
      <c r="D5852" s="100" t="str">
        <f t="shared" si="1"/>
        <v/>
      </c>
      <c r="E5852" s="100" t="str">
        <f t="shared" si="2"/>
        <v/>
      </c>
      <c r="F5852" s="100" t="str">
        <f t="shared" si="3"/>
        <v/>
      </c>
      <c r="G5852" s="151"/>
      <c r="H5852" s="160"/>
      <c r="I5852" s="157"/>
      <c r="J5852" s="158"/>
      <c r="L5852" s="94"/>
      <c r="M5852" s="159"/>
      <c r="N5852" s="94"/>
    </row>
    <row r="5853">
      <c r="A5853" s="107">
        <v>1630322.0</v>
      </c>
      <c r="B5853" s="116" t="s">
        <v>244</v>
      </c>
      <c r="C5853" s="140" t="s">
        <v>1430</v>
      </c>
      <c r="D5853" s="100" t="str">
        <f t="shared" si="1"/>
        <v/>
      </c>
      <c r="E5853" s="100" t="str">
        <f t="shared" si="2"/>
        <v/>
      </c>
      <c r="F5853" s="100" t="str">
        <f t="shared" si="3"/>
        <v/>
      </c>
      <c r="G5853" s="151"/>
      <c r="H5853" s="156"/>
      <c r="I5853" s="157"/>
      <c r="J5853" s="161"/>
      <c r="L5853" s="94"/>
      <c r="M5853" s="159"/>
      <c r="N5853" s="94"/>
    </row>
    <row r="5854">
      <c r="A5854" s="107">
        <v>1630322.0</v>
      </c>
      <c r="B5854" s="116" t="s">
        <v>245</v>
      </c>
      <c r="C5854" s="140" t="s">
        <v>1430</v>
      </c>
      <c r="D5854" s="100" t="str">
        <f t="shared" si="1"/>
        <v/>
      </c>
      <c r="E5854" s="100" t="str">
        <f t="shared" si="2"/>
        <v/>
      </c>
      <c r="F5854" s="100" t="str">
        <f t="shared" si="3"/>
        <v/>
      </c>
      <c r="G5854" s="151"/>
      <c r="H5854" s="160"/>
      <c r="I5854" s="157"/>
      <c r="J5854" s="158"/>
      <c r="L5854" s="94"/>
      <c r="M5854" s="159"/>
      <c r="N5854" s="94"/>
    </row>
    <row r="5855">
      <c r="A5855" s="107">
        <v>1630322.0</v>
      </c>
      <c r="B5855" s="116" t="s">
        <v>246</v>
      </c>
      <c r="C5855" s="140" t="s">
        <v>1430</v>
      </c>
      <c r="D5855" s="100" t="str">
        <f t="shared" si="1"/>
        <v/>
      </c>
      <c r="E5855" s="100" t="str">
        <f t="shared" si="2"/>
        <v/>
      </c>
      <c r="F5855" s="100" t="str">
        <f t="shared" si="3"/>
        <v/>
      </c>
      <c r="G5855" s="151"/>
      <c r="H5855" s="156"/>
      <c r="I5855" s="157"/>
      <c r="J5855" s="161"/>
      <c r="L5855" s="94"/>
      <c r="M5855" s="159"/>
      <c r="N5855" s="94"/>
    </row>
    <row r="5856">
      <c r="A5856" s="114">
        <v>1630322.0</v>
      </c>
      <c r="B5856" s="131" t="s">
        <v>247</v>
      </c>
      <c r="C5856" s="140" t="s">
        <v>1430</v>
      </c>
      <c r="D5856" s="100" t="str">
        <f t="shared" si="1"/>
        <v/>
      </c>
      <c r="E5856" s="100" t="str">
        <f t="shared" si="2"/>
        <v/>
      </c>
      <c r="F5856" s="100" t="str">
        <f t="shared" si="3"/>
        <v/>
      </c>
      <c r="G5856" s="151"/>
      <c r="H5856" s="160"/>
      <c r="I5856" s="157"/>
      <c r="J5856" s="158"/>
      <c r="L5856" s="94"/>
      <c r="M5856" s="159"/>
      <c r="N5856" s="94"/>
    </row>
    <row r="5857">
      <c r="A5857" s="107">
        <v>1630346.0</v>
      </c>
      <c r="B5857" s="116" t="s">
        <v>215</v>
      </c>
      <c r="C5857" s="116" t="s">
        <v>1431</v>
      </c>
      <c r="D5857" s="100" t="str">
        <f t="shared" si="1"/>
        <v/>
      </c>
      <c r="E5857" s="100" t="str">
        <f t="shared" si="2"/>
        <v/>
      </c>
      <c r="F5857" s="100" t="str">
        <f t="shared" si="3"/>
        <v/>
      </c>
      <c r="G5857" s="151"/>
      <c r="H5857" s="156"/>
      <c r="I5857" s="157"/>
      <c r="J5857" s="161"/>
      <c r="L5857" s="94"/>
      <c r="M5857" s="159"/>
      <c r="N5857" s="94"/>
    </row>
    <row r="5858">
      <c r="A5858" s="107">
        <v>1630346.0</v>
      </c>
      <c r="B5858" s="116" t="s">
        <v>244</v>
      </c>
      <c r="C5858" s="116" t="s">
        <v>1431</v>
      </c>
      <c r="D5858" s="100" t="str">
        <f t="shared" si="1"/>
        <v/>
      </c>
      <c r="E5858" s="100" t="str">
        <f t="shared" si="2"/>
        <v/>
      </c>
      <c r="F5858" s="100" t="str">
        <f t="shared" si="3"/>
        <v/>
      </c>
      <c r="G5858" s="151"/>
      <c r="H5858" s="160"/>
      <c r="I5858" s="157"/>
      <c r="J5858" s="158"/>
      <c r="L5858" s="94"/>
      <c r="M5858" s="159"/>
      <c r="N5858" s="94"/>
    </row>
    <row r="5859">
      <c r="A5859" s="107">
        <v>1630346.0</v>
      </c>
      <c r="B5859" s="116" t="s">
        <v>245</v>
      </c>
      <c r="C5859" s="116" t="s">
        <v>1431</v>
      </c>
      <c r="D5859" s="100" t="str">
        <f t="shared" si="1"/>
        <v/>
      </c>
      <c r="E5859" s="100" t="str">
        <f t="shared" si="2"/>
        <v/>
      </c>
      <c r="F5859" s="100" t="str">
        <f t="shared" si="3"/>
        <v/>
      </c>
      <c r="G5859" s="151"/>
      <c r="H5859" s="156"/>
      <c r="I5859" s="157"/>
      <c r="J5859" s="161"/>
      <c r="L5859" s="94"/>
      <c r="M5859" s="159"/>
      <c r="N5859" s="94"/>
    </row>
    <row r="5860">
      <c r="A5860" s="107">
        <v>1630346.0</v>
      </c>
      <c r="B5860" s="116" t="s">
        <v>246</v>
      </c>
      <c r="C5860" s="116" t="s">
        <v>1431</v>
      </c>
      <c r="D5860" s="100" t="str">
        <f t="shared" si="1"/>
        <v/>
      </c>
      <c r="E5860" s="100" t="str">
        <f t="shared" si="2"/>
        <v/>
      </c>
      <c r="F5860" s="100" t="str">
        <f t="shared" si="3"/>
        <v/>
      </c>
      <c r="G5860" s="151"/>
      <c r="H5860" s="160"/>
      <c r="I5860" s="157"/>
      <c r="J5860" s="158"/>
      <c r="L5860" s="94"/>
      <c r="M5860" s="159"/>
      <c r="N5860" s="94"/>
    </row>
    <row r="5861">
      <c r="A5861" s="107">
        <v>1630466.0</v>
      </c>
      <c r="B5861" s="116" t="s">
        <v>243</v>
      </c>
      <c r="C5861" s="116" t="s">
        <v>1432</v>
      </c>
      <c r="D5861" s="100" t="str">
        <f t="shared" si="1"/>
        <v/>
      </c>
      <c r="E5861" s="100" t="str">
        <f t="shared" si="2"/>
        <v/>
      </c>
      <c r="F5861" s="100" t="str">
        <f t="shared" si="3"/>
        <v/>
      </c>
      <c r="G5861" s="151"/>
      <c r="H5861" s="156"/>
      <c r="I5861" s="157"/>
      <c r="J5861" s="161"/>
      <c r="L5861" s="94"/>
      <c r="M5861" s="159"/>
      <c r="N5861" s="94"/>
    </row>
    <row r="5862">
      <c r="A5862" s="107">
        <v>1630466.0</v>
      </c>
      <c r="B5862" s="116" t="s">
        <v>215</v>
      </c>
      <c r="C5862" s="116" t="s">
        <v>1432</v>
      </c>
      <c r="D5862" s="100" t="str">
        <f t="shared" si="1"/>
        <v/>
      </c>
      <c r="E5862" s="100" t="str">
        <f t="shared" si="2"/>
        <v/>
      </c>
      <c r="F5862" s="100" t="str">
        <f t="shared" si="3"/>
        <v/>
      </c>
      <c r="G5862" s="151"/>
      <c r="H5862" s="160"/>
      <c r="I5862" s="157"/>
      <c r="J5862" s="158"/>
      <c r="L5862" s="94"/>
      <c r="M5862" s="159"/>
      <c r="N5862" s="94"/>
    </row>
    <row r="5863">
      <c r="A5863" s="107">
        <v>1630525.0</v>
      </c>
      <c r="B5863" s="116" t="s">
        <v>215</v>
      </c>
      <c r="C5863" s="116" t="s">
        <v>1433</v>
      </c>
      <c r="D5863" s="100" t="str">
        <f t="shared" si="1"/>
        <v/>
      </c>
      <c r="E5863" s="100" t="str">
        <f t="shared" si="2"/>
        <v/>
      </c>
      <c r="F5863" s="100" t="str">
        <f t="shared" si="3"/>
        <v/>
      </c>
      <c r="G5863" s="151"/>
      <c r="H5863" s="156"/>
      <c r="I5863" s="157"/>
      <c r="J5863" s="161"/>
      <c r="L5863" s="94"/>
      <c r="M5863" s="159"/>
      <c r="N5863" s="94"/>
    </row>
    <row r="5864">
      <c r="A5864" s="107">
        <v>1630526.0</v>
      </c>
      <c r="B5864" s="116" t="s">
        <v>215</v>
      </c>
      <c r="C5864" s="116" t="s">
        <v>1434</v>
      </c>
      <c r="D5864" s="100" t="str">
        <f t="shared" si="1"/>
        <v/>
      </c>
      <c r="E5864" s="100" t="str">
        <f t="shared" si="2"/>
        <v/>
      </c>
      <c r="F5864" s="100" t="str">
        <f t="shared" si="3"/>
        <v/>
      </c>
      <c r="G5864" s="151"/>
      <c r="H5864" s="160"/>
      <c r="I5864" s="157"/>
      <c r="J5864" s="158"/>
      <c r="L5864" s="94"/>
      <c r="M5864" s="159"/>
      <c r="N5864" s="94"/>
    </row>
    <row r="5865">
      <c r="A5865" s="107">
        <v>1630526.0</v>
      </c>
      <c r="B5865" s="116" t="s">
        <v>244</v>
      </c>
      <c r="C5865" s="116" t="s">
        <v>1434</v>
      </c>
      <c r="D5865" s="100" t="str">
        <f t="shared" si="1"/>
        <v/>
      </c>
      <c r="E5865" s="100" t="str">
        <f t="shared" si="2"/>
        <v/>
      </c>
      <c r="F5865" s="100" t="str">
        <f t="shared" si="3"/>
        <v/>
      </c>
      <c r="G5865" s="151"/>
      <c r="H5865" s="156"/>
      <c r="I5865" s="157"/>
      <c r="J5865" s="161"/>
      <c r="L5865" s="94"/>
      <c r="M5865" s="159"/>
      <c r="N5865" s="94"/>
    </row>
    <row r="5866">
      <c r="A5866" s="107">
        <v>1630526.0</v>
      </c>
      <c r="B5866" s="116" t="s">
        <v>245</v>
      </c>
      <c r="C5866" s="116" t="s">
        <v>1434</v>
      </c>
      <c r="D5866" s="100" t="str">
        <f t="shared" si="1"/>
        <v/>
      </c>
      <c r="E5866" s="100" t="str">
        <f t="shared" si="2"/>
        <v/>
      </c>
      <c r="F5866" s="100" t="str">
        <f t="shared" si="3"/>
        <v/>
      </c>
      <c r="G5866" s="151"/>
      <c r="H5866" s="160"/>
      <c r="I5866" s="157"/>
      <c r="J5866" s="158"/>
      <c r="L5866" s="94"/>
      <c r="M5866" s="159"/>
      <c r="N5866" s="94"/>
    </row>
    <row r="5867">
      <c r="A5867" s="107">
        <v>1630526.0</v>
      </c>
      <c r="B5867" s="116" t="s">
        <v>246</v>
      </c>
      <c r="C5867" s="116" t="s">
        <v>1434</v>
      </c>
      <c r="D5867" s="100" t="str">
        <f t="shared" si="1"/>
        <v/>
      </c>
      <c r="E5867" s="100" t="str">
        <f t="shared" si="2"/>
        <v/>
      </c>
      <c r="F5867" s="100" t="str">
        <f t="shared" si="3"/>
        <v/>
      </c>
      <c r="G5867" s="151"/>
      <c r="H5867" s="156"/>
      <c r="I5867" s="157"/>
      <c r="J5867" s="161"/>
      <c r="L5867" s="94"/>
      <c r="M5867" s="159"/>
      <c r="N5867" s="94"/>
    </row>
    <row r="5868">
      <c r="A5868" s="114">
        <v>1630526.0</v>
      </c>
      <c r="B5868" s="131" t="s">
        <v>247</v>
      </c>
      <c r="C5868" s="131" t="s">
        <v>1434</v>
      </c>
      <c r="D5868" s="100" t="str">
        <f t="shared" si="1"/>
        <v/>
      </c>
      <c r="E5868" s="100" t="str">
        <f t="shared" si="2"/>
        <v/>
      </c>
      <c r="F5868" s="100" t="str">
        <f t="shared" si="3"/>
        <v/>
      </c>
      <c r="G5868" s="151"/>
      <c r="H5868" s="160"/>
      <c r="I5868" s="157"/>
      <c r="J5868" s="158"/>
      <c r="L5868" s="94"/>
      <c r="M5868" s="159"/>
      <c r="N5868" s="94"/>
    </row>
    <row r="5869">
      <c r="A5869" s="107">
        <v>1630527.0</v>
      </c>
      <c r="B5869" s="116" t="s">
        <v>215</v>
      </c>
      <c r="C5869" s="140" t="s">
        <v>1369</v>
      </c>
      <c r="D5869" s="100" t="str">
        <f t="shared" si="1"/>
        <v/>
      </c>
      <c r="E5869" s="100" t="str">
        <f t="shared" si="2"/>
        <v/>
      </c>
      <c r="F5869" s="100" t="str">
        <f t="shared" si="3"/>
        <v/>
      </c>
      <c r="G5869" s="151"/>
      <c r="H5869" s="156"/>
      <c r="I5869" s="157"/>
      <c r="J5869" s="161"/>
      <c r="L5869" s="94"/>
      <c r="M5869" s="159"/>
      <c r="N5869" s="94"/>
    </row>
    <row r="5870">
      <c r="A5870" s="107">
        <v>1630527.0</v>
      </c>
      <c r="B5870" s="116" t="s">
        <v>244</v>
      </c>
      <c r="C5870" s="140" t="s">
        <v>1369</v>
      </c>
      <c r="D5870" s="100" t="str">
        <f t="shared" si="1"/>
        <v/>
      </c>
      <c r="E5870" s="100" t="str">
        <f t="shared" si="2"/>
        <v/>
      </c>
      <c r="F5870" s="100" t="str">
        <f t="shared" si="3"/>
        <v/>
      </c>
      <c r="G5870" s="151"/>
      <c r="H5870" s="160"/>
      <c r="I5870" s="157"/>
      <c r="J5870" s="158"/>
      <c r="L5870" s="94"/>
      <c r="M5870" s="159"/>
      <c r="N5870" s="94"/>
    </row>
    <row r="5871">
      <c r="A5871" s="107">
        <v>1630527.0</v>
      </c>
      <c r="B5871" s="116" t="s">
        <v>245</v>
      </c>
      <c r="C5871" s="140" t="s">
        <v>1369</v>
      </c>
      <c r="D5871" s="100" t="str">
        <f t="shared" si="1"/>
        <v/>
      </c>
      <c r="E5871" s="100" t="str">
        <f t="shared" si="2"/>
        <v/>
      </c>
      <c r="F5871" s="100" t="str">
        <f t="shared" si="3"/>
        <v/>
      </c>
      <c r="G5871" s="151"/>
      <c r="H5871" s="156"/>
      <c r="I5871" s="157"/>
      <c r="J5871" s="161"/>
      <c r="L5871" s="94"/>
      <c r="M5871" s="159"/>
      <c r="N5871" s="94"/>
    </row>
    <row r="5872">
      <c r="A5872" s="107">
        <v>1630527.0</v>
      </c>
      <c r="B5872" s="116" t="s">
        <v>246</v>
      </c>
      <c r="C5872" s="140" t="s">
        <v>1369</v>
      </c>
      <c r="D5872" s="100" t="str">
        <f t="shared" si="1"/>
        <v/>
      </c>
      <c r="E5872" s="100" t="str">
        <f t="shared" si="2"/>
        <v/>
      </c>
      <c r="F5872" s="100" t="str">
        <f t="shared" si="3"/>
        <v/>
      </c>
      <c r="G5872" s="151"/>
      <c r="H5872" s="160"/>
      <c r="I5872" s="157"/>
      <c r="J5872" s="158"/>
      <c r="L5872" s="94"/>
      <c r="M5872" s="159"/>
      <c r="N5872" s="94"/>
    </row>
    <row r="5873">
      <c r="A5873" s="107">
        <v>1630528.0</v>
      </c>
      <c r="B5873" s="116" t="s">
        <v>215</v>
      </c>
      <c r="C5873" s="116" t="s">
        <v>1435</v>
      </c>
      <c r="D5873" s="100" t="str">
        <f t="shared" si="1"/>
        <v/>
      </c>
      <c r="E5873" s="100" t="str">
        <f t="shared" si="2"/>
        <v/>
      </c>
      <c r="F5873" s="100" t="str">
        <f t="shared" si="3"/>
        <v/>
      </c>
      <c r="G5873" s="151"/>
      <c r="H5873" s="156"/>
      <c r="I5873" s="157"/>
      <c r="J5873" s="161"/>
      <c r="L5873" s="94"/>
      <c r="M5873" s="159"/>
      <c r="N5873" s="94"/>
    </row>
    <row r="5874">
      <c r="A5874" s="107">
        <v>1630528.0</v>
      </c>
      <c r="B5874" s="116" t="s">
        <v>244</v>
      </c>
      <c r="C5874" s="116" t="s">
        <v>1435</v>
      </c>
      <c r="D5874" s="100" t="str">
        <f t="shared" si="1"/>
        <v/>
      </c>
      <c r="E5874" s="100" t="str">
        <f t="shared" si="2"/>
        <v/>
      </c>
      <c r="F5874" s="100" t="str">
        <f t="shared" si="3"/>
        <v/>
      </c>
      <c r="G5874" s="151"/>
      <c r="H5874" s="160"/>
      <c r="I5874" s="157"/>
      <c r="J5874" s="158"/>
      <c r="L5874" s="94"/>
      <c r="M5874" s="159"/>
      <c r="N5874" s="94"/>
    </row>
    <row r="5875">
      <c r="A5875" s="107">
        <v>1630528.0</v>
      </c>
      <c r="B5875" s="116" t="s">
        <v>246</v>
      </c>
      <c r="C5875" s="116" t="s">
        <v>1435</v>
      </c>
      <c r="D5875" s="100" t="str">
        <f t="shared" si="1"/>
        <v/>
      </c>
      <c r="E5875" s="100" t="str">
        <f t="shared" si="2"/>
        <v/>
      </c>
      <c r="F5875" s="100" t="str">
        <f t="shared" si="3"/>
        <v/>
      </c>
      <c r="G5875" s="151"/>
      <c r="H5875" s="156"/>
      <c r="I5875" s="157"/>
      <c r="J5875" s="161"/>
      <c r="L5875" s="94"/>
      <c r="M5875" s="159"/>
      <c r="N5875" s="94"/>
    </row>
    <row r="5876">
      <c r="A5876" s="107">
        <v>1630529.0</v>
      </c>
      <c r="B5876" s="116" t="s">
        <v>215</v>
      </c>
      <c r="C5876" s="116" t="s">
        <v>1436</v>
      </c>
      <c r="D5876" s="100" t="str">
        <f t="shared" si="1"/>
        <v/>
      </c>
      <c r="E5876" s="100" t="str">
        <f t="shared" si="2"/>
        <v/>
      </c>
      <c r="F5876" s="100" t="str">
        <f t="shared" si="3"/>
        <v/>
      </c>
      <c r="G5876" s="151"/>
      <c r="H5876" s="160"/>
      <c r="I5876" s="157"/>
      <c r="J5876" s="158"/>
      <c r="L5876" s="94"/>
      <c r="M5876" s="159"/>
      <c r="N5876" s="94"/>
    </row>
    <row r="5877">
      <c r="A5877" s="107">
        <v>1630529.0</v>
      </c>
      <c r="B5877" s="116" t="s">
        <v>244</v>
      </c>
      <c r="C5877" s="116" t="s">
        <v>1436</v>
      </c>
      <c r="D5877" s="100" t="str">
        <f t="shared" si="1"/>
        <v/>
      </c>
      <c r="E5877" s="100" t="str">
        <f t="shared" si="2"/>
        <v/>
      </c>
      <c r="F5877" s="100" t="str">
        <f t="shared" si="3"/>
        <v/>
      </c>
      <c r="G5877" s="151"/>
      <c r="H5877" s="156"/>
      <c r="I5877" s="157"/>
      <c r="J5877" s="161"/>
      <c r="L5877" s="94"/>
      <c r="M5877" s="159"/>
      <c r="N5877" s="94"/>
    </row>
    <row r="5878">
      <c r="A5878" s="107">
        <v>1630529.0</v>
      </c>
      <c r="B5878" s="116" t="s">
        <v>245</v>
      </c>
      <c r="C5878" s="116" t="s">
        <v>1436</v>
      </c>
      <c r="D5878" s="100" t="str">
        <f t="shared" si="1"/>
        <v/>
      </c>
      <c r="E5878" s="100" t="str">
        <f t="shared" si="2"/>
        <v/>
      </c>
      <c r="F5878" s="100" t="str">
        <f t="shared" si="3"/>
        <v/>
      </c>
      <c r="G5878" s="151"/>
      <c r="H5878" s="160"/>
      <c r="I5878" s="157"/>
      <c r="J5878" s="158"/>
      <c r="L5878" s="94"/>
      <c r="M5878" s="159"/>
      <c r="N5878" s="94"/>
    </row>
    <row r="5879">
      <c r="A5879" s="107">
        <v>1630529.0</v>
      </c>
      <c r="B5879" s="116" t="s">
        <v>246</v>
      </c>
      <c r="C5879" s="116" t="s">
        <v>1436</v>
      </c>
      <c r="D5879" s="100" t="str">
        <f t="shared" si="1"/>
        <v/>
      </c>
      <c r="E5879" s="100" t="str">
        <f t="shared" si="2"/>
        <v/>
      </c>
      <c r="F5879" s="100" t="str">
        <f t="shared" si="3"/>
        <v/>
      </c>
      <c r="G5879" s="151"/>
      <c r="H5879" s="156"/>
      <c r="I5879" s="157"/>
      <c r="J5879" s="161"/>
      <c r="L5879" s="94"/>
      <c r="M5879" s="159"/>
      <c r="N5879" s="94"/>
    </row>
    <row r="5880">
      <c r="A5880" s="114">
        <v>1630529.0</v>
      </c>
      <c r="B5880" s="131" t="s">
        <v>247</v>
      </c>
      <c r="C5880" s="140" t="s">
        <v>1436</v>
      </c>
      <c r="D5880" s="100" t="str">
        <f t="shared" si="1"/>
        <v/>
      </c>
      <c r="E5880" s="100" t="str">
        <f t="shared" si="2"/>
        <v/>
      </c>
      <c r="F5880" s="100" t="str">
        <f t="shared" si="3"/>
        <v/>
      </c>
      <c r="G5880" s="151"/>
      <c r="H5880" s="160"/>
      <c r="I5880" s="157"/>
      <c r="J5880" s="158"/>
      <c r="L5880" s="94"/>
      <c r="M5880" s="159"/>
      <c r="N5880" s="94"/>
    </row>
    <row r="5881">
      <c r="A5881" s="107">
        <v>1630530.0</v>
      </c>
      <c r="B5881" s="116" t="s">
        <v>215</v>
      </c>
      <c r="C5881" s="140" t="s">
        <v>1437</v>
      </c>
      <c r="D5881" s="100" t="str">
        <f t="shared" si="1"/>
        <v/>
      </c>
      <c r="E5881" s="100" t="str">
        <f t="shared" si="2"/>
        <v/>
      </c>
      <c r="F5881" s="100" t="str">
        <f t="shared" si="3"/>
        <v/>
      </c>
      <c r="G5881" s="151"/>
      <c r="H5881" s="156"/>
      <c r="I5881" s="157"/>
      <c r="J5881" s="161"/>
      <c r="L5881" s="94"/>
      <c r="M5881" s="159"/>
      <c r="N5881" s="94"/>
    </row>
    <row r="5882">
      <c r="A5882" s="107">
        <v>1630530.0</v>
      </c>
      <c r="B5882" s="116" t="s">
        <v>244</v>
      </c>
      <c r="C5882" s="140" t="s">
        <v>1437</v>
      </c>
      <c r="D5882" s="100" t="str">
        <f t="shared" si="1"/>
        <v/>
      </c>
      <c r="E5882" s="100" t="str">
        <f t="shared" si="2"/>
        <v/>
      </c>
      <c r="F5882" s="100" t="str">
        <f t="shared" si="3"/>
        <v/>
      </c>
      <c r="G5882" s="151"/>
      <c r="H5882" s="160"/>
      <c r="I5882" s="157"/>
      <c r="J5882" s="158"/>
      <c r="L5882" s="94"/>
      <c r="M5882" s="159"/>
      <c r="N5882" s="94"/>
    </row>
    <row r="5883">
      <c r="A5883" s="107">
        <v>1630530.0</v>
      </c>
      <c r="B5883" s="116" t="s">
        <v>245</v>
      </c>
      <c r="C5883" s="140" t="s">
        <v>1437</v>
      </c>
      <c r="D5883" s="100" t="str">
        <f t="shared" si="1"/>
        <v/>
      </c>
      <c r="E5883" s="100" t="str">
        <f t="shared" si="2"/>
        <v/>
      </c>
      <c r="F5883" s="100" t="str">
        <f t="shared" si="3"/>
        <v/>
      </c>
      <c r="G5883" s="151"/>
      <c r="H5883" s="156"/>
      <c r="I5883" s="157"/>
      <c r="J5883" s="161"/>
      <c r="L5883" s="94"/>
      <c r="M5883" s="159"/>
      <c r="N5883" s="94"/>
    </row>
    <row r="5884">
      <c r="A5884" s="107">
        <v>1630530.0</v>
      </c>
      <c r="B5884" s="116" t="s">
        <v>246</v>
      </c>
      <c r="C5884" s="140" t="s">
        <v>1437</v>
      </c>
      <c r="D5884" s="100" t="str">
        <f t="shared" si="1"/>
        <v/>
      </c>
      <c r="E5884" s="100" t="str">
        <f t="shared" si="2"/>
        <v/>
      </c>
      <c r="F5884" s="100" t="str">
        <f t="shared" si="3"/>
        <v/>
      </c>
      <c r="G5884" s="151"/>
      <c r="H5884" s="160"/>
      <c r="I5884" s="157"/>
      <c r="J5884" s="158"/>
      <c r="L5884" s="94"/>
      <c r="M5884" s="159"/>
      <c r="N5884" s="94"/>
    </row>
    <row r="5885">
      <c r="A5885" s="114">
        <v>1630530.0</v>
      </c>
      <c r="B5885" s="131" t="s">
        <v>247</v>
      </c>
      <c r="C5885" s="140" t="s">
        <v>1437</v>
      </c>
      <c r="D5885" s="100" t="str">
        <f t="shared" si="1"/>
        <v/>
      </c>
      <c r="E5885" s="100" t="str">
        <f t="shared" si="2"/>
        <v/>
      </c>
      <c r="F5885" s="100" t="str">
        <f t="shared" si="3"/>
        <v/>
      </c>
      <c r="G5885" s="151"/>
      <c r="H5885" s="156"/>
      <c r="I5885" s="157"/>
      <c r="J5885" s="161"/>
      <c r="L5885" s="94"/>
      <c r="M5885" s="159"/>
      <c r="N5885" s="94"/>
    </row>
    <row r="5886">
      <c r="A5886" s="107">
        <v>1630531.0</v>
      </c>
      <c r="B5886" s="116" t="s">
        <v>215</v>
      </c>
      <c r="C5886" s="116" t="s">
        <v>1438</v>
      </c>
      <c r="D5886" s="100" t="str">
        <f t="shared" si="1"/>
        <v/>
      </c>
      <c r="E5886" s="100" t="str">
        <f t="shared" si="2"/>
        <v/>
      </c>
      <c r="F5886" s="100" t="str">
        <f t="shared" si="3"/>
        <v/>
      </c>
      <c r="G5886" s="151"/>
      <c r="H5886" s="160"/>
      <c r="I5886" s="157"/>
      <c r="J5886" s="158"/>
      <c r="L5886" s="94"/>
      <c r="M5886" s="159"/>
      <c r="N5886" s="94"/>
    </row>
    <row r="5887">
      <c r="A5887" s="107">
        <v>1630531.0</v>
      </c>
      <c r="B5887" s="116" t="s">
        <v>244</v>
      </c>
      <c r="C5887" s="116" t="s">
        <v>1438</v>
      </c>
      <c r="D5887" s="100" t="str">
        <f t="shared" si="1"/>
        <v/>
      </c>
      <c r="E5887" s="100" t="str">
        <f t="shared" si="2"/>
        <v/>
      </c>
      <c r="F5887" s="100" t="str">
        <f t="shared" si="3"/>
        <v/>
      </c>
      <c r="G5887" s="151"/>
      <c r="H5887" s="156"/>
      <c r="I5887" s="157"/>
      <c r="J5887" s="161"/>
      <c r="L5887" s="94"/>
      <c r="M5887" s="159"/>
      <c r="N5887" s="94"/>
    </row>
    <row r="5888">
      <c r="A5888" s="107">
        <v>1630531.0</v>
      </c>
      <c r="B5888" s="116" t="s">
        <v>245</v>
      </c>
      <c r="C5888" s="116" t="s">
        <v>1438</v>
      </c>
      <c r="D5888" s="100" t="str">
        <f t="shared" si="1"/>
        <v/>
      </c>
      <c r="E5888" s="100" t="str">
        <f t="shared" si="2"/>
        <v/>
      </c>
      <c r="F5888" s="100" t="str">
        <f t="shared" si="3"/>
        <v/>
      </c>
      <c r="G5888" s="151"/>
      <c r="H5888" s="160"/>
      <c r="I5888" s="157"/>
      <c r="J5888" s="158"/>
      <c r="L5888" s="94"/>
      <c r="M5888" s="159"/>
      <c r="N5888" s="94"/>
    </row>
    <row r="5889">
      <c r="A5889" s="107">
        <v>1630531.0</v>
      </c>
      <c r="B5889" s="116" t="s">
        <v>246</v>
      </c>
      <c r="C5889" s="116" t="s">
        <v>1438</v>
      </c>
      <c r="D5889" s="100" t="str">
        <f t="shared" si="1"/>
        <v/>
      </c>
      <c r="E5889" s="100" t="str">
        <f t="shared" si="2"/>
        <v/>
      </c>
      <c r="F5889" s="100" t="str">
        <f t="shared" si="3"/>
        <v/>
      </c>
      <c r="G5889" s="151"/>
      <c r="H5889" s="156"/>
      <c r="I5889" s="157"/>
      <c r="J5889" s="161"/>
      <c r="L5889" s="94"/>
      <c r="M5889" s="159"/>
      <c r="N5889" s="94"/>
    </row>
    <row r="5890">
      <c r="A5890" s="107">
        <v>1630532.0</v>
      </c>
      <c r="B5890" s="116" t="s">
        <v>215</v>
      </c>
      <c r="C5890" s="116" t="s">
        <v>1439</v>
      </c>
      <c r="D5890" s="100" t="str">
        <f t="shared" si="1"/>
        <v/>
      </c>
      <c r="E5890" s="100" t="str">
        <f t="shared" si="2"/>
        <v/>
      </c>
      <c r="F5890" s="100" t="str">
        <f t="shared" si="3"/>
        <v/>
      </c>
      <c r="G5890" s="151"/>
      <c r="H5890" s="160"/>
      <c r="I5890" s="157"/>
      <c r="J5890" s="158"/>
      <c r="L5890" s="94"/>
      <c r="M5890" s="159"/>
      <c r="N5890" s="94"/>
    </row>
    <row r="5891">
      <c r="A5891" s="107">
        <v>1630532.0</v>
      </c>
      <c r="B5891" s="116" t="s">
        <v>244</v>
      </c>
      <c r="C5891" s="116" t="s">
        <v>1439</v>
      </c>
      <c r="D5891" s="100" t="str">
        <f t="shared" si="1"/>
        <v/>
      </c>
      <c r="E5891" s="100" t="str">
        <f t="shared" si="2"/>
        <v/>
      </c>
      <c r="F5891" s="100" t="str">
        <f t="shared" si="3"/>
        <v/>
      </c>
      <c r="G5891" s="151"/>
      <c r="H5891" s="156"/>
      <c r="I5891" s="157"/>
      <c r="J5891" s="161"/>
      <c r="L5891" s="94"/>
      <c r="M5891" s="159"/>
      <c r="N5891" s="94"/>
    </row>
    <row r="5892">
      <c r="A5892" s="107">
        <v>1630532.0</v>
      </c>
      <c r="B5892" s="116" t="s">
        <v>245</v>
      </c>
      <c r="C5892" s="116" t="s">
        <v>1439</v>
      </c>
      <c r="D5892" s="100" t="str">
        <f t="shared" si="1"/>
        <v/>
      </c>
      <c r="E5892" s="100" t="str">
        <f t="shared" si="2"/>
        <v/>
      </c>
      <c r="F5892" s="100" t="str">
        <f t="shared" si="3"/>
        <v/>
      </c>
      <c r="G5892" s="151"/>
      <c r="H5892" s="160"/>
      <c r="I5892" s="157"/>
      <c r="J5892" s="158"/>
      <c r="L5892" s="94"/>
      <c r="M5892" s="159"/>
      <c r="N5892" s="94"/>
    </row>
    <row r="5893">
      <c r="A5893" s="107">
        <v>1630532.0</v>
      </c>
      <c r="B5893" s="116" t="s">
        <v>246</v>
      </c>
      <c r="C5893" s="116" t="s">
        <v>1439</v>
      </c>
      <c r="D5893" s="100" t="str">
        <f t="shared" si="1"/>
        <v/>
      </c>
      <c r="E5893" s="100" t="str">
        <f t="shared" si="2"/>
        <v/>
      </c>
      <c r="F5893" s="100" t="str">
        <f t="shared" si="3"/>
        <v/>
      </c>
      <c r="G5893" s="151"/>
      <c r="H5893" s="156"/>
      <c r="I5893" s="157"/>
      <c r="J5893" s="161"/>
      <c r="L5893" s="94"/>
      <c r="M5893" s="159"/>
      <c r="N5893" s="94"/>
    </row>
    <row r="5894">
      <c r="A5894" s="114">
        <v>1630532.0</v>
      </c>
      <c r="B5894" s="131" t="s">
        <v>247</v>
      </c>
      <c r="C5894" s="131" t="s">
        <v>1439</v>
      </c>
      <c r="D5894" s="100" t="str">
        <f t="shared" si="1"/>
        <v/>
      </c>
      <c r="E5894" s="100" t="str">
        <f t="shared" si="2"/>
        <v/>
      </c>
      <c r="F5894" s="100" t="str">
        <f t="shared" si="3"/>
        <v/>
      </c>
      <c r="G5894" s="151"/>
      <c r="H5894" s="160"/>
      <c r="I5894" s="157"/>
      <c r="J5894" s="158"/>
      <c r="L5894" s="94"/>
      <c r="M5894" s="159"/>
      <c r="N5894" s="94"/>
    </row>
    <row r="5895">
      <c r="A5895" s="107">
        <v>1630533.0</v>
      </c>
      <c r="B5895" s="116" t="s">
        <v>215</v>
      </c>
      <c r="C5895" s="116" t="s">
        <v>1440</v>
      </c>
      <c r="D5895" s="100" t="str">
        <f t="shared" si="1"/>
        <v/>
      </c>
      <c r="E5895" s="100" t="str">
        <f t="shared" si="2"/>
        <v/>
      </c>
      <c r="F5895" s="100" t="str">
        <f t="shared" si="3"/>
        <v/>
      </c>
      <c r="G5895" s="151"/>
      <c r="H5895" s="156"/>
      <c r="I5895" s="157"/>
      <c r="J5895" s="161"/>
      <c r="L5895" s="94"/>
      <c r="M5895" s="159"/>
      <c r="N5895" s="94"/>
    </row>
    <row r="5896">
      <c r="A5896" s="107">
        <v>1630533.0</v>
      </c>
      <c r="B5896" s="116" t="s">
        <v>244</v>
      </c>
      <c r="C5896" s="116" t="s">
        <v>1440</v>
      </c>
      <c r="D5896" s="100" t="str">
        <f t="shared" si="1"/>
        <v/>
      </c>
      <c r="E5896" s="100" t="str">
        <f t="shared" si="2"/>
        <v/>
      </c>
      <c r="F5896" s="100" t="str">
        <f t="shared" si="3"/>
        <v/>
      </c>
      <c r="G5896" s="151"/>
      <c r="H5896" s="160"/>
      <c r="I5896" s="157"/>
      <c r="J5896" s="158"/>
      <c r="L5896" s="94"/>
      <c r="M5896" s="159"/>
      <c r="N5896" s="94"/>
    </row>
    <row r="5897">
      <c r="A5897" s="107">
        <v>1630533.0</v>
      </c>
      <c r="B5897" s="116" t="s">
        <v>245</v>
      </c>
      <c r="C5897" s="116" t="s">
        <v>1440</v>
      </c>
      <c r="D5897" s="100" t="str">
        <f t="shared" si="1"/>
        <v/>
      </c>
      <c r="E5897" s="100" t="str">
        <f t="shared" si="2"/>
        <v/>
      </c>
      <c r="F5897" s="100" t="str">
        <f t="shared" si="3"/>
        <v/>
      </c>
      <c r="G5897" s="151"/>
      <c r="H5897" s="156"/>
      <c r="I5897" s="157"/>
      <c r="J5897" s="161"/>
      <c r="L5897" s="94"/>
      <c r="M5897" s="159"/>
      <c r="N5897" s="94"/>
    </row>
    <row r="5898">
      <c r="A5898" s="107">
        <v>1630533.0</v>
      </c>
      <c r="B5898" s="116" t="s">
        <v>246</v>
      </c>
      <c r="C5898" s="116" t="s">
        <v>1440</v>
      </c>
      <c r="D5898" s="100" t="str">
        <f t="shared" si="1"/>
        <v/>
      </c>
      <c r="E5898" s="100" t="str">
        <f t="shared" si="2"/>
        <v/>
      </c>
      <c r="F5898" s="100" t="str">
        <f t="shared" si="3"/>
        <v/>
      </c>
      <c r="G5898" s="151"/>
      <c r="H5898" s="160"/>
      <c r="I5898" s="157"/>
      <c r="J5898" s="158"/>
      <c r="L5898" s="94"/>
      <c r="M5898" s="159"/>
      <c r="N5898" s="94"/>
    </row>
    <row r="5899">
      <c r="A5899" s="114">
        <v>1630533.0</v>
      </c>
      <c r="B5899" s="131" t="s">
        <v>247</v>
      </c>
      <c r="C5899" s="131" t="s">
        <v>1440</v>
      </c>
      <c r="D5899" s="100" t="str">
        <f t="shared" si="1"/>
        <v/>
      </c>
      <c r="E5899" s="100" t="str">
        <f t="shared" si="2"/>
        <v/>
      </c>
      <c r="F5899" s="100" t="str">
        <f t="shared" si="3"/>
        <v/>
      </c>
      <c r="G5899" s="151"/>
      <c r="H5899" s="156"/>
      <c r="I5899" s="157"/>
      <c r="J5899" s="161"/>
      <c r="L5899" s="94"/>
      <c r="M5899" s="159"/>
      <c r="N5899" s="94"/>
    </row>
    <row r="5900">
      <c r="A5900" s="107">
        <v>1630534.0</v>
      </c>
      <c r="B5900" s="116" t="s">
        <v>244</v>
      </c>
      <c r="C5900" s="116" t="s">
        <v>1441</v>
      </c>
      <c r="D5900" s="100" t="str">
        <f t="shared" si="1"/>
        <v/>
      </c>
      <c r="E5900" s="100" t="str">
        <f t="shared" si="2"/>
        <v/>
      </c>
      <c r="F5900" s="100" t="str">
        <f t="shared" si="3"/>
        <v/>
      </c>
      <c r="G5900" s="151"/>
      <c r="H5900" s="160"/>
      <c r="I5900" s="157"/>
      <c r="J5900" s="158"/>
      <c r="L5900" s="94"/>
      <c r="M5900" s="159"/>
      <c r="N5900" s="94"/>
    </row>
    <row r="5901">
      <c r="A5901" s="107">
        <v>1630534.0</v>
      </c>
      <c r="B5901" s="116" t="s">
        <v>245</v>
      </c>
      <c r="C5901" s="116" t="s">
        <v>1441</v>
      </c>
      <c r="D5901" s="100" t="str">
        <f t="shared" si="1"/>
        <v/>
      </c>
      <c r="E5901" s="100" t="str">
        <f t="shared" si="2"/>
        <v/>
      </c>
      <c r="F5901" s="100" t="str">
        <f t="shared" si="3"/>
        <v/>
      </c>
      <c r="G5901" s="151"/>
      <c r="H5901" s="156"/>
      <c r="I5901" s="157"/>
      <c r="J5901" s="161"/>
      <c r="L5901" s="94"/>
      <c r="M5901" s="159"/>
      <c r="N5901" s="94"/>
    </row>
    <row r="5902">
      <c r="A5902" s="136">
        <v>1630534.0</v>
      </c>
      <c r="B5902" s="116" t="s">
        <v>246</v>
      </c>
      <c r="C5902" s="137" t="s">
        <v>1441</v>
      </c>
      <c r="D5902" s="100" t="str">
        <f t="shared" si="1"/>
        <v/>
      </c>
      <c r="E5902" s="100" t="str">
        <f t="shared" si="2"/>
        <v/>
      </c>
      <c r="F5902" s="100" t="str">
        <f t="shared" si="3"/>
        <v/>
      </c>
      <c r="G5902" s="151"/>
      <c r="H5902" s="160"/>
      <c r="I5902" s="157"/>
      <c r="J5902" s="158"/>
      <c r="L5902" s="94"/>
      <c r="M5902" s="159"/>
      <c r="N5902" s="94"/>
    </row>
    <row r="5903">
      <c r="A5903" s="114">
        <v>1630534.0</v>
      </c>
      <c r="B5903" s="131" t="s">
        <v>247</v>
      </c>
      <c r="C5903" s="131" t="s">
        <v>1441</v>
      </c>
      <c r="D5903" s="100" t="str">
        <f t="shared" si="1"/>
        <v/>
      </c>
      <c r="E5903" s="100" t="str">
        <f t="shared" si="2"/>
        <v/>
      </c>
      <c r="F5903" s="100" t="str">
        <f t="shared" si="3"/>
        <v/>
      </c>
      <c r="G5903" s="151"/>
      <c r="H5903" s="156"/>
      <c r="I5903" s="157"/>
      <c r="J5903" s="161"/>
      <c r="L5903" s="94"/>
      <c r="M5903" s="159"/>
      <c r="N5903" s="94"/>
    </row>
    <row r="5904">
      <c r="A5904" s="107">
        <v>1630535.0</v>
      </c>
      <c r="B5904" s="116" t="s">
        <v>215</v>
      </c>
      <c r="C5904" s="140" t="s">
        <v>1442</v>
      </c>
      <c r="D5904" s="100" t="str">
        <f t="shared" si="1"/>
        <v/>
      </c>
      <c r="E5904" s="100" t="str">
        <f t="shared" si="2"/>
        <v/>
      </c>
      <c r="F5904" s="100" t="str">
        <f t="shared" si="3"/>
        <v/>
      </c>
      <c r="G5904" s="151"/>
      <c r="H5904" s="160"/>
      <c r="I5904" s="157"/>
      <c r="J5904" s="158"/>
      <c r="L5904" s="94"/>
      <c r="M5904" s="159"/>
      <c r="N5904" s="94"/>
    </row>
    <row r="5905">
      <c r="A5905" s="107">
        <v>1630535.0</v>
      </c>
      <c r="B5905" s="116" t="s">
        <v>244</v>
      </c>
      <c r="C5905" s="140" t="s">
        <v>1442</v>
      </c>
      <c r="D5905" s="100" t="str">
        <f t="shared" si="1"/>
        <v/>
      </c>
      <c r="E5905" s="100" t="str">
        <f t="shared" si="2"/>
        <v/>
      </c>
      <c r="F5905" s="100" t="str">
        <f t="shared" si="3"/>
        <v/>
      </c>
      <c r="G5905" s="151"/>
      <c r="H5905" s="156"/>
      <c r="I5905" s="157"/>
      <c r="J5905" s="161"/>
      <c r="L5905" s="94"/>
      <c r="M5905" s="159"/>
      <c r="N5905" s="94"/>
    </row>
    <row r="5906">
      <c r="A5906" s="107">
        <v>1630535.0</v>
      </c>
      <c r="B5906" s="116" t="s">
        <v>245</v>
      </c>
      <c r="C5906" s="140" t="s">
        <v>1442</v>
      </c>
      <c r="D5906" s="100" t="str">
        <f t="shared" si="1"/>
        <v/>
      </c>
      <c r="E5906" s="100" t="str">
        <f t="shared" si="2"/>
        <v/>
      </c>
      <c r="F5906" s="100" t="str">
        <f t="shared" si="3"/>
        <v/>
      </c>
      <c r="G5906" s="151"/>
      <c r="H5906" s="160"/>
      <c r="I5906" s="157"/>
      <c r="J5906" s="158"/>
      <c r="L5906" s="94"/>
      <c r="M5906" s="159"/>
      <c r="N5906" s="94"/>
    </row>
    <row r="5907">
      <c r="A5907" s="107">
        <v>1630536.0</v>
      </c>
      <c r="B5907" s="116" t="s">
        <v>215</v>
      </c>
      <c r="C5907" s="116" t="s">
        <v>1443</v>
      </c>
      <c r="D5907" s="100" t="str">
        <f t="shared" si="1"/>
        <v/>
      </c>
      <c r="E5907" s="100" t="str">
        <f t="shared" si="2"/>
        <v/>
      </c>
      <c r="F5907" s="100" t="str">
        <f t="shared" si="3"/>
        <v/>
      </c>
      <c r="G5907" s="151"/>
      <c r="H5907" s="156"/>
      <c r="I5907" s="157"/>
      <c r="J5907" s="161"/>
      <c r="L5907" s="94"/>
      <c r="M5907" s="159"/>
      <c r="N5907" s="94"/>
    </row>
    <row r="5908">
      <c r="A5908" s="114">
        <v>1630536.0</v>
      </c>
      <c r="B5908" s="131" t="s">
        <v>247</v>
      </c>
      <c r="C5908" s="131" t="s">
        <v>1443</v>
      </c>
      <c r="D5908" s="100" t="str">
        <f t="shared" si="1"/>
        <v/>
      </c>
      <c r="E5908" s="100" t="str">
        <f t="shared" si="2"/>
        <v/>
      </c>
      <c r="F5908" s="100" t="str">
        <f t="shared" si="3"/>
        <v/>
      </c>
      <c r="G5908" s="151"/>
      <c r="H5908" s="160"/>
      <c r="I5908" s="157"/>
      <c r="J5908" s="158"/>
      <c r="L5908" s="94"/>
      <c r="M5908" s="159"/>
      <c r="N5908" s="94"/>
    </row>
    <row r="5909">
      <c r="A5909" s="107">
        <v>1630537.0</v>
      </c>
      <c r="B5909" s="116" t="s">
        <v>215</v>
      </c>
      <c r="C5909" s="116" t="s">
        <v>1444</v>
      </c>
      <c r="D5909" s="100" t="str">
        <f t="shared" si="1"/>
        <v/>
      </c>
      <c r="E5909" s="100" t="str">
        <f t="shared" si="2"/>
        <v/>
      </c>
      <c r="F5909" s="100" t="str">
        <f t="shared" si="3"/>
        <v/>
      </c>
      <c r="G5909" s="151"/>
      <c r="H5909" s="156"/>
      <c r="I5909" s="157"/>
      <c r="J5909" s="161"/>
      <c r="L5909" s="94"/>
      <c r="M5909" s="159"/>
      <c r="N5909" s="94"/>
    </row>
    <row r="5910">
      <c r="A5910" s="107">
        <v>1630537.0</v>
      </c>
      <c r="B5910" s="116" t="s">
        <v>244</v>
      </c>
      <c r="C5910" s="116" t="s">
        <v>1444</v>
      </c>
      <c r="D5910" s="100" t="str">
        <f t="shared" si="1"/>
        <v/>
      </c>
      <c r="E5910" s="100" t="str">
        <f t="shared" si="2"/>
        <v/>
      </c>
      <c r="F5910" s="100" t="str">
        <f t="shared" si="3"/>
        <v/>
      </c>
      <c r="G5910" s="151"/>
      <c r="H5910" s="160"/>
      <c r="I5910" s="157"/>
      <c r="J5910" s="158"/>
      <c r="L5910" s="94"/>
      <c r="M5910" s="159"/>
      <c r="N5910" s="94"/>
    </row>
    <row r="5911">
      <c r="A5911" s="107">
        <v>1630537.0</v>
      </c>
      <c r="B5911" s="116" t="s">
        <v>245</v>
      </c>
      <c r="C5911" s="116" t="s">
        <v>1444</v>
      </c>
      <c r="D5911" s="100" t="str">
        <f t="shared" si="1"/>
        <v/>
      </c>
      <c r="E5911" s="100" t="str">
        <f t="shared" si="2"/>
        <v/>
      </c>
      <c r="F5911" s="100" t="str">
        <f t="shared" si="3"/>
        <v/>
      </c>
      <c r="G5911" s="151"/>
      <c r="H5911" s="156"/>
      <c r="I5911" s="157"/>
      <c r="J5911" s="161"/>
      <c r="L5911" s="94"/>
      <c r="M5911" s="159"/>
      <c r="N5911" s="94"/>
    </row>
    <row r="5912">
      <c r="A5912" s="107">
        <v>1630537.0</v>
      </c>
      <c r="B5912" s="116" t="s">
        <v>246</v>
      </c>
      <c r="C5912" s="116" t="s">
        <v>1444</v>
      </c>
      <c r="D5912" s="100" t="str">
        <f t="shared" si="1"/>
        <v/>
      </c>
      <c r="E5912" s="100" t="str">
        <f t="shared" si="2"/>
        <v/>
      </c>
      <c r="F5912" s="100" t="str">
        <f t="shared" si="3"/>
        <v/>
      </c>
      <c r="G5912" s="151"/>
      <c r="H5912" s="160"/>
      <c r="I5912" s="157"/>
      <c r="J5912" s="158"/>
      <c r="L5912" s="94"/>
      <c r="M5912" s="159"/>
      <c r="N5912" s="94"/>
    </row>
    <row r="5913">
      <c r="A5913" s="107">
        <v>1630538.0</v>
      </c>
      <c r="B5913" s="116" t="s">
        <v>215</v>
      </c>
      <c r="C5913" s="116" t="s">
        <v>1445</v>
      </c>
      <c r="D5913" s="100" t="str">
        <f t="shared" si="1"/>
        <v/>
      </c>
      <c r="E5913" s="100" t="str">
        <f t="shared" si="2"/>
        <v/>
      </c>
      <c r="F5913" s="100" t="str">
        <f t="shared" si="3"/>
        <v/>
      </c>
      <c r="G5913" s="151"/>
      <c r="H5913" s="156"/>
      <c r="I5913" s="157"/>
      <c r="J5913" s="161"/>
      <c r="L5913" s="94"/>
      <c r="M5913" s="159"/>
      <c r="N5913" s="94"/>
    </row>
    <row r="5914">
      <c r="A5914" s="107">
        <v>1630538.0</v>
      </c>
      <c r="B5914" s="116" t="s">
        <v>244</v>
      </c>
      <c r="C5914" s="116" t="s">
        <v>1445</v>
      </c>
      <c r="D5914" s="100" t="str">
        <f t="shared" si="1"/>
        <v/>
      </c>
      <c r="E5914" s="100" t="str">
        <f t="shared" si="2"/>
        <v/>
      </c>
      <c r="F5914" s="100" t="str">
        <f t="shared" si="3"/>
        <v/>
      </c>
      <c r="G5914" s="151"/>
      <c r="H5914" s="160"/>
      <c r="I5914" s="157"/>
      <c r="J5914" s="158"/>
      <c r="L5914" s="94"/>
      <c r="M5914" s="159"/>
      <c r="N5914" s="94"/>
    </row>
    <row r="5915">
      <c r="A5915" s="107">
        <v>1630538.0</v>
      </c>
      <c r="B5915" s="116" t="s">
        <v>245</v>
      </c>
      <c r="C5915" s="137" t="s">
        <v>1445</v>
      </c>
      <c r="D5915" s="100" t="str">
        <f t="shared" si="1"/>
        <v/>
      </c>
      <c r="E5915" s="100" t="str">
        <f t="shared" si="2"/>
        <v/>
      </c>
      <c r="F5915" s="100" t="str">
        <f t="shared" si="3"/>
        <v/>
      </c>
      <c r="G5915" s="151"/>
      <c r="H5915" s="156"/>
      <c r="I5915" s="157"/>
      <c r="J5915" s="161"/>
      <c r="L5915" s="94"/>
      <c r="M5915" s="159"/>
      <c r="N5915" s="94"/>
    </row>
    <row r="5916">
      <c r="A5916" s="107">
        <v>1630538.0</v>
      </c>
      <c r="B5916" s="116" t="s">
        <v>246</v>
      </c>
      <c r="C5916" s="116" t="s">
        <v>1445</v>
      </c>
      <c r="D5916" s="100" t="str">
        <f t="shared" si="1"/>
        <v/>
      </c>
      <c r="E5916" s="100" t="str">
        <f t="shared" si="2"/>
        <v/>
      </c>
      <c r="F5916" s="100" t="str">
        <f t="shared" si="3"/>
        <v/>
      </c>
      <c r="G5916" s="151"/>
      <c r="H5916" s="160"/>
      <c r="I5916" s="157"/>
      <c r="J5916" s="158"/>
      <c r="L5916" s="94"/>
      <c r="M5916" s="159"/>
      <c r="N5916" s="94"/>
    </row>
    <row r="5917">
      <c r="A5917" s="114">
        <v>1630538.0</v>
      </c>
      <c r="B5917" s="131" t="s">
        <v>247</v>
      </c>
      <c r="C5917" s="131" t="s">
        <v>1445</v>
      </c>
      <c r="D5917" s="100" t="str">
        <f t="shared" si="1"/>
        <v/>
      </c>
      <c r="E5917" s="100" t="str">
        <f t="shared" si="2"/>
        <v/>
      </c>
      <c r="F5917" s="100" t="str">
        <f t="shared" si="3"/>
        <v/>
      </c>
      <c r="G5917" s="151"/>
      <c r="H5917" s="156"/>
      <c r="I5917" s="157"/>
      <c r="J5917" s="161"/>
      <c r="L5917" s="94"/>
      <c r="M5917" s="159"/>
      <c r="N5917" s="94"/>
    </row>
    <row r="5918">
      <c r="A5918" s="107">
        <v>1630539.0</v>
      </c>
      <c r="B5918" s="116" t="s">
        <v>215</v>
      </c>
      <c r="C5918" s="116" t="s">
        <v>1446</v>
      </c>
      <c r="D5918" s="100" t="str">
        <f t="shared" si="1"/>
        <v/>
      </c>
      <c r="E5918" s="100" t="str">
        <f t="shared" si="2"/>
        <v/>
      </c>
      <c r="F5918" s="100" t="str">
        <f t="shared" si="3"/>
        <v/>
      </c>
      <c r="G5918" s="151"/>
      <c r="H5918" s="160"/>
      <c r="I5918" s="157"/>
      <c r="J5918" s="158"/>
      <c r="L5918" s="94"/>
      <c r="M5918" s="159"/>
      <c r="N5918" s="94"/>
    </row>
    <row r="5919">
      <c r="A5919" s="107">
        <v>1630539.0</v>
      </c>
      <c r="B5919" s="116" t="s">
        <v>244</v>
      </c>
      <c r="C5919" s="116" t="s">
        <v>1446</v>
      </c>
      <c r="D5919" s="100" t="str">
        <f t="shared" si="1"/>
        <v/>
      </c>
      <c r="E5919" s="100" t="str">
        <f t="shared" si="2"/>
        <v/>
      </c>
      <c r="F5919" s="100" t="str">
        <f t="shared" si="3"/>
        <v/>
      </c>
      <c r="G5919" s="151"/>
      <c r="H5919" s="156"/>
      <c r="I5919" s="157"/>
      <c r="J5919" s="161"/>
      <c r="L5919" s="94"/>
      <c r="M5919" s="159"/>
      <c r="N5919" s="94"/>
    </row>
    <row r="5920">
      <c r="A5920" s="107">
        <v>1630539.0</v>
      </c>
      <c r="B5920" s="116" t="s">
        <v>246</v>
      </c>
      <c r="C5920" s="116" t="s">
        <v>1446</v>
      </c>
      <c r="D5920" s="100" t="str">
        <f t="shared" si="1"/>
        <v/>
      </c>
      <c r="E5920" s="100" t="str">
        <f t="shared" si="2"/>
        <v/>
      </c>
      <c r="F5920" s="100" t="str">
        <f t="shared" si="3"/>
        <v/>
      </c>
      <c r="G5920" s="151"/>
      <c r="H5920" s="160"/>
      <c r="I5920" s="157"/>
      <c r="J5920" s="158"/>
      <c r="L5920" s="94"/>
      <c r="M5920" s="159"/>
      <c r="N5920" s="94"/>
    </row>
    <row r="5921">
      <c r="A5921" s="107">
        <v>1630540.0</v>
      </c>
      <c r="B5921" s="116" t="s">
        <v>215</v>
      </c>
      <c r="C5921" s="116" t="s">
        <v>1447</v>
      </c>
      <c r="D5921" s="100" t="str">
        <f t="shared" si="1"/>
        <v/>
      </c>
      <c r="E5921" s="100" t="str">
        <f t="shared" si="2"/>
        <v/>
      </c>
      <c r="F5921" s="100" t="str">
        <f t="shared" si="3"/>
        <v/>
      </c>
      <c r="G5921" s="151"/>
      <c r="H5921" s="156"/>
      <c r="I5921" s="157"/>
      <c r="J5921" s="161"/>
      <c r="L5921" s="94"/>
      <c r="M5921" s="159"/>
      <c r="N5921" s="94"/>
    </row>
    <row r="5922">
      <c r="A5922" s="107">
        <v>1630540.0</v>
      </c>
      <c r="B5922" s="116" t="s">
        <v>244</v>
      </c>
      <c r="C5922" s="116" t="s">
        <v>1447</v>
      </c>
      <c r="D5922" s="100" t="str">
        <f t="shared" si="1"/>
        <v/>
      </c>
      <c r="E5922" s="100" t="str">
        <f t="shared" si="2"/>
        <v/>
      </c>
      <c r="F5922" s="100" t="str">
        <f t="shared" si="3"/>
        <v/>
      </c>
      <c r="G5922" s="151"/>
      <c r="H5922" s="160"/>
      <c r="I5922" s="157"/>
      <c r="J5922" s="158"/>
      <c r="L5922" s="94"/>
      <c r="M5922" s="159"/>
      <c r="N5922" s="94"/>
    </row>
    <row r="5923">
      <c r="A5923" s="107">
        <v>1630540.0</v>
      </c>
      <c r="B5923" s="116" t="s">
        <v>245</v>
      </c>
      <c r="C5923" s="116" t="s">
        <v>1447</v>
      </c>
      <c r="D5923" s="100" t="str">
        <f t="shared" si="1"/>
        <v/>
      </c>
      <c r="E5923" s="100" t="str">
        <f t="shared" si="2"/>
        <v/>
      </c>
      <c r="F5923" s="100" t="str">
        <f t="shared" si="3"/>
        <v/>
      </c>
      <c r="G5923" s="151"/>
      <c r="H5923" s="156"/>
      <c r="I5923" s="157"/>
      <c r="J5923" s="161"/>
      <c r="L5923" s="94"/>
      <c r="M5923" s="159"/>
      <c r="N5923" s="94"/>
    </row>
    <row r="5924">
      <c r="A5924" s="107">
        <v>1630540.0</v>
      </c>
      <c r="B5924" s="116" t="s">
        <v>246</v>
      </c>
      <c r="C5924" s="116" t="s">
        <v>1447</v>
      </c>
      <c r="D5924" s="100" t="str">
        <f t="shared" si="1"/>
        <v/>
      </c>
      <c r="E5924" s="100" t="str">
        <f t="shared" si="2"/>
        <v/>
      </c>
      <c r="F5924" s="100" t="str">
        <f t="shared" si="3"/>
        <v/>
      </c>
      <c r="G5924" s="151"/>
      <c r="H5924" s="160"/>
      <c r="I5924" s="157"/>
      <c r="J5924" s="158"/>
      <c r="L5924" s="94"/>
      <c r="M5924" s="159"/>
      <c r="N5924" s="94"/>
    </row>
    <row r="5925">
      <c r="A5925" s="114">
        <v>1630540.0</v>
      </c>
      <c r="B5925" s="131" t="s">
        <v>247</v>
      </c>
      <c r="C5925" s="131" t="s">
        <v>1447</v>
      </c>
      <c r="D5925" s="100" t="str">
        <f t="shared" si="1"/>
        <v/>
      </c>
      <c r="E5925" s="100" t="str">
        <f t="shared" si="2"/>
        <v/>
      </c>
      <c r="F5925" s="100" t="str">
        <f t="shared" si="3"/>
        <v/>
      </c>
      <c r="G5925" s="151"/>
      <c r="H5925" s="156"/>
      <c r="I5925" s="157"/>
      <c r="J5925" s="161"/>
      <c r="L5925" s="94"/>
      <c r="M5925" s="159"/>
      <c r="N5925" s="94"/>
    </row>
    <row r="5926">
      <c r="A5926" s="107">
        <v>1630541.0</v>
      </c>
      <c r="B5926" s="116" t="s">
        <v>215</v>
      </c>
      <c r="C5926" s="116" t="s">
        <v>1448</v>
      </c>
      <c r="D5926" s="100" t="str">
        <f t="shared" si="1"/>
        <v/>
      </c>
      <c r="E5926" s="100" t="str">
        <f t="shared" si="2"/>
        <v/>
      </c>
      <c r="F5926" s="100" t="str">
        <f t="shared" si="3"/>
        <v/>
      </c>
      <c r="G5926" s="151"/>
      <c r="H5926" s="160"/>
      <c r="I5926" s="157"/>
      <c r="J5926" s="158"/>
      <c r="L5926" s="94"/>
      <c r="M5926" s="159"/>
      <c r="N5926" s="94"/>
    </row>
    <row r="5927">
      <c r="A5927" s="107">
        <v>1630541.0</v>
      </c>
      <c r="B5927" s="116" t="s">
        <v>244</v>
      </c>
      <c r="C5927" s="116" t="s">
        <v>1448</v>
      </c>
      <c r="D5927" s="100" t="str">
        <f t="shared" si="1"/>
        <v/>
      </c>
      <c r="E5927" s="100" t="str">
        <f t="shared" si="2"/>
        <v/>
      </c>
      <c r="F5927" s="100" t="str">
        <f t="shared" si="3"/>
        <v/>
      </c>
      <c r="G5927" s="151"/>
      <c r="H5927" s="156"/>
      <c r="I5927" s="157"/>
      <c r="J5927" s="161"/>
      <c r="L5927" s="94"/>
      <c r="M5927" s="159"/>
      <c r="N5927" s="94"/>
    </row>
    <row r="5928">
      <c r="A5928" s="107">
        <v>1630541.0</v>
      </c>
      <c r="B5928" s="116" t="s">
        <v>245</v>
      </c>
      <c r="C5928" s="116" t="s">
        <v>1448</v>
      </c>
      <c r="D5928" s="100" t="str">
        <f t="shared" si="1"/>
        <v/>
      </c>
      <c r="E5928" s="100" t="str">
        <f t="shared" si="2"/>
        <v/>
      </c>
      <c r="F5928" s="100" t="str">
        <f t="shared" si="3"/>
        <v/>
      </c>
      <c r="G5928" s="151"/>
      <c r="H5928" s="160"/>
      <c r="I5928" s="157"/>
      <c r="J5928" s="158"/>
      <c r="L5928" s="94"/>
      <c r="M5928" s="159"/>
      <c r="N5928" s="94"/>
    </row>
    <row r="5929">
      <c r="A5929" s="107">
        <v>1630541.0</v>
      </c>
      <c r="B5929" s="116" t="s">
        <v>246</v>
      </c>
      <c r="C5929" s="116" t="s">
        <v>1448</v>
      </c>
      <c r="D5929" s="100" t="str">
        <f t="shared" si="1"/>
        <v/>
      </c>
      <c r="E5929" s="100" t="str">
        <f t="shared" si="2"/>
        <v/>
      </c>
      <c r="F5929" s="100" t="str">
        <f t="shared" si="3"/>
        <v/>
      </c>
      <c r="G5929" s="151"/>
      <c r="H5929" s="156"/>
      <c r="I5929" s="157"/>
      <c r="J5929" s="161"/>
      <c r="L5929" s="94"/>
      <c r="M5929" s="159"/>
      <c r="N5929" s="94"/>
    </row>
    <row r="5930">
      <c r="A5930" s="114">
        <v>1630541.0</v>
      </c>
      <c r="B5930" s="131" t="s">
        <v>247</v>
      </c>
      <c r="C5930" s="131" t="s">
        <v>1448</v>
      </c>
      <c r="D5930" s="100" t="str">
        <f t="shared" si="1"/>
        <v/>
      </c>
      <c r="E5930" s="100" t="str">
        <f t="shared" si="2"/>
        <v/>
      </c>
      <c r="F5930" s="100" t="str">
        <f t="shared" si="3"/>
        <v/>
      </c>
      <c r="G5930" s="151"/>
      <c r="H5930" s="160"/>
      <c r="I5930" s="157"/>
      <c r="J5930" s="158"/>
      <c r="L5930" s="94"/>
      <c r="M5930" s="159"/>
      <c r="N5930" s="94"/>
    </row>
    <row r="5931">
      <c r="A5931" s="120">
        <v>1630542.0</v>
      </c>
      <c r="B5931" s="138" t="s">
        <v>246</v>
      </c>
      <c r="C5931" s="138" t="s">
        <v>1449</v>
      </c>
      <c r="D5931" s="100" t="str">
        <f t="shared" si="1"/>
        <v/>
      </c>
      <c r="E5931" s="100" t="str">
        <f t="shared" si="2"/>
        <v/>
      </c>
      <c r="F5931" s="100" t="str">
        <f t="shared" si="3"/>
        <v/>
      </c>
      <c r="G5931" s="151"/>
      <c r="H5931" s="156"/>
      <c r="I5931" s="157"/>
      <c r="J5931" s="161"/>
      <c r="L5931" s="94"/>
      <c r="M5931" s="159"/>
      <c r="N5931" s="94"/>
    </row>
    <row r="5932">
      <c r="A5932" s="107">
        <v>1630543.0</v>
      </c>
      <c r="B5932" s="116" t="s">
        <v>215</v>
      </c>
      <c r="C5932" s="116" t="s">
        <v>1450</v>
      </c>
      <c r="D5932" s="100" t="str">
        <f t="shared" si="1"/>
        <v/>
      </c>
      <c r="E5932" s="100" t="str">
        <f t="shared" si="2"/>
        <v/>
      </c>
      <c r="F5932" s="100" t="str">
        <f t="shared" si="3"/>
        <v/>
      </c>
      <c r="G5932" s="151"/>
      <c r="H5932" s="160"/>
      <c r="I5932" s="157"/>
      <c r="J5932" s="158"/>
      <c r="L5932" s="94"/>
      <c r="M5932" s="159"/>
      <c r="N5932" s="94"/>
    </row>
    <row r="5933">
      <c r="A5933" s="107">
        <v>1630543.0</v>
      </c>
      <c r="B5933" s="116" t="s">
        <v>244</v>
      </c>
      <c r="C5933" s="116" t="s">
        <v>1450</v>
      </c>
      <c r="D5933" s="100" t="str">
        <f t="shared" si="1"/>
        <v/>
      </c>
      <c r="E5933" s="100" t="str">
        <f t="shared" si="2"/>
        <v/>
      </c>
      <c r="F5933" s="100" t="str">
        <f t="shared" si="3"/>
        <v/>
      </c>
      <c r="G5933" s="151"/>
      <c r="H5933" s="156"/>
      <c r="I5933" s="157"/>
      <c r="J5933" s="161"/>
      <c r="L5933" s="94"/>
      <c r="M5933" s="159"/>
      <c r="N5933" s="94"/>
    </row>
    <row r="5934">
      <c r="A5934" s="107">
        <v>1630543.0</v>
      </c>
      <c r="B5934" s="116" t="s">
        <v>245</v>
      </c>
      <c r="C5934" s="116" t="s">
        <v>1450</v>
      </c>
      <c r="D5934" s="100" t="str">
        <f t="shared" si="1"/>
        <v/>
      </c>
      <c r="E5934" s="100" t="str">
        <f t="shared" si="2"/>
        <v/>
      </c>
      <c r="F5934" s="100" t="str">
        <f t="shared" si="3"/>
        <v/>
      </c>
      <c r="G5934" s="151"/>
      <c r="H5934" s="160"/>
      <c r="I5934" s="157"/>
      <c r="J5934" s="158"/>
      <c r="L5934" s="94"/>
      <c r="M5934" s="159"/>
      <c r="N5934" s="94"/>
    </row>
    <row r="5935">
      <c r="A5935" s="107">
        <v>1630543.0</v>
      </c>
      <c r="B5935" s="116" t="s">
        <v>246</v>
      </c>
      <c r="C5935" s="116" t="s">
        <v>1450</v>
      </c>
      <c r="D5935" s="100" t="str">
        <f t="shared" si="1"/>
        <v/>
      </c>
      <c r="E5935" s="100" t="str">
        <f t="shared" si="2"/>
        <v/>
      </c>
      <c r="F5935" s="100" t="str">
        <f t="shared" si="3"/>
        <v/>
      </c>
      <c r="G5935" s="151"/>
      <c r="H5935" s="156"/>
      <c r="I5935" s="157"/>
      <c r="J5935" s="161"/>
      <c r="L5935" s="94"/>
      <c r="M5935" s="159"/>
      <c r="N5935" s="94"/>
    </row>
    <row r="5936">
      <c r="A5936" s="114">
        <v>1630543.0</v>
      </c>
      <c r="B5936" s="131" t="s">
        <v>247</v>
      </c>
      <c r="C5936" s="131" t="s">
        <v>1450</v>
      </c>
      <c r="D5936" s="100" t="str">
        <f t="shared" si="1"/>
        <v/>
      </c>
      <c r="E5936" s="100" t="str">
        <f t="shared" si="2"/>
        <v/>
      </c>
      <c r="F5936" s="100" t="str">
        <f t="shared" si="3"/>
        <v/>
      </c>
      <c r="G5936" s="151"/>
      <c r="H5936" s="160"/>
      <c r="I5936" s="157"/>
      <c r="J5936" s="158"/>
      <c r="L5936" s="94"/>
      <c r="M5936" s="159"/>
      <c r="N5936" s="94"/>
    </row>
    <row r="5937">
      <c r="A5937" s="107">
        <v>1630544.0</v>
      </c>
      <c r="B5937" s="116" t="s">
        <v>215</v>
      </c>
      <c r="C5937" s="116" t="s">
        <v>1451</v>
      </c>
      <c r="D5937" s="100" t="str">
        <f t="shared" si="1"/>
        <v/>
      </c>
      <c r="E5937" s="100" t="str">
        <f t="shared" si="2"/>
        <v/>
      </c>
      <c r="F5937" s="100" t="str">
        <f t="shared" si="3"/>
        <v/>
      </c>
      <c r="G5937" s="151"/>
      <c r="H5937" s="156"/>
      <c r="I5937" s="157"/>
      <c r="J5937" s="161"/>
      <c r="L5937" s="94"/>
      <c r="M5937" s="159"/>
      <c r="N5937" s="94"/>
    </row>
    <row r="5938">
      <c r="A5938" s="107">
        <v>1630544.0</v>
      </c>
      <c r="B5938" s="116" t="s">
        <v>244</v>
      </c>
      <c r="C5938" s="116" t="s">
        <v>1451</v>
      </c>
      <c r="D5938" s="100" t="str">
        <f t="shared" si="1"/>
        <v/>
      </c>
      <c r="E5938" s="100" t="str">
        <f t="shared" si="2"/>
        <v/>
      </c>
      <c r="F5938" s="100" t="str">
        <f t="shared" si="3"/>
        <v/>
      </c>
      <c r="G5938" s="151"/>
      <c r="H5938" s="160"/>
      <c r="I5938" s="157"/>
      <c r="J5938" s="158"/>
      <c r="L5938" s="94"/>
      <c r="M5938" s="159"/>
      <c r="N5938" s="94"/>
    </row>
    <row r="5939">
      <c r="A5939" s="107">
        <v>1630544.0</v>
      </c>
      <c r="B5939" s="116" t="s">
        <v>245</v>
      </c>
      <c r="C5939" s="116" t="s">
        <v>1451</v>
      </c>
      <c r="D5939" s="100" t="str">
        <f t="shared" si="1"/>
        <v/>
      </c>
      <c r="E5939" s="100" t="str">
        <f t="shared" si="2"/>
        <v/>
      </c>
      <c r="F5939" s="100" t="str">
        <f t="shared" si="3"/>
        <v/>
      </c>
      <c r="G5939" s="151"/>
      <c r="H5939" s="156"/>
      <c r="I5939" s="157"/>
      <c r="J5939" s="161"/>
      <c r="L5939" s="94"/>
      <c r="M5939" s="159"/>
      <c r="N5939" s="94"/>
    </row>
    <row r="5940">
      <c r="A5940" s="107">
        <v>1630544.0</v>
      </c>
      <c r="B5940" s="116" t="s">
        <v>246</v>
      </c>
      <c r="C5940" s="116" t="s">
        <v>1451</v>
      </c>
      <c r="D5940" s="100" t="str">
        <f t="shared" si="1"/>
        <v/>
      </c>
      <c r="E5940" s="100" t="str">
        <f t="shared" si="2"/>
        <v/>
      </c>
      <c r="F5940" s="100" t="str">
        <f t="shared" si="3"/>
        <v/>
      </c>
      <c r="G5940" s="151"/>
      <c r="H5940" s="160"/>
      <c r="I5940" s="157"/>
      <c r="J5940" s="158"/>
      <c r="L5940" s="94"/>
      <c r="M5940" s="159"/>
      <c r="N5940" s="94"/>
    </row>
    <row r="5941">
      <c r="A5941" s="114">
        <v>1630544.0</v>
      </c>
      <c r="B5941" s="131" t="s">
        <v>247</v>
      </c>
      <c r="C5941" s="131" t="s">
        <v>1451</v>
      </c>
      <c r="D5941" s="100" t="str">
        <f t="shared" si="1"/>
        <v/>
      </c>
      <c r="E5941" s="100" t="str">
        <f t="shared" si="2"/>
        <v/>
      </c>
      <c r="F5941" s="100" t="str">
        <f t="shared" si="3"/>
        <v/>
      </c>
      <c r="G5941" s="151"/>
      <c r="H5941" s="156"/>
      <c r="I5941" s="157"/>
      <c r="J5941" s="161"/>
      <c r="L5941" s="94"/>
      <c r="M5941" s="159"/>
      <c r="N5941" s="94"/>
    </row>
    <row r="5942">
      <c r="A5942" s="107">
        <v>1630545.0</v>
      </c>
      <c r="B5942" s="116" t="s">
        <v>246</v>
      </c>
      <c r="C5942" s="116" t="s">
        <v>1452</v>
      </c>
      <c r="D5942" s="100" t="str">
        <f t="shared" si="1"/>
        <v/>
      </c>
      <c r="E5942" s="100" t="str">
        <f t="shared" si="2"/>
        <v/>
      </c>
      <c r="F5942" s="100" t="str">
        <f t="shared" si="3"/>
        <v/>
      </c>
      <c r="G5942" s="151"/>
      <c r="H5942" s="160"/>
      <c r="I5942" s="157"/>
      <c r="J5942" s="158"/>
      <c r="L5942" s="94"/>
      <c r="M5942" s="159"/>
      <c r="N5942" s="94"/>
    </row>
    <row r="5943">
      <c r="A5943" s="114">
        <v>1630545.0</v>
      </c>
      <c r="B5943" s="131" t="s">
        <v>247</v>
      </c>
      <c r="C5943" s="22" t="s">
        <v>1452</v>
      </c>
      <c r="D5943" s="100" t="str">
        <f t="shared" si="1"/>
        <v/>
      </c>
      <c r="E5943" s="100" t="str">
        <f t="shared" si="2"/>
        <v/>
      </c>
      <c r="F5943" s="100" t="str">
        <f t="shared" si="3"/>
        <v/>
      </c>
      <c r="G5943" s="151"/>
      <c r="H5943" s="156"/>
      <c r="I5943" s="157"/>
      <c r="J5943" s="161"/>
      <c r="L5943" s="94"/>
      <c r="M5943" s="159"/>
      <c r="N5943" s="94"/>
    </row>
    <row r="5944">
      <c r="A5944" s="107">
        <v>1630547.0</v>
      </c>
      <c r="B5944" s="116" t="s">
        <v>215</v>
      </c>
      <c r="C5944" s="116" t="s">
        <v>1453</v>
      </c>
      <c r="D5944" s="100" t="str">
        <f t="shared" si="1"/>
        <v/>
      </c>
      <c r="E5944" s="100" t="str">
        <f t="shared" si="2"/>
        <v/>
      </c>
      <c r="F5944" s="100" t="str">
        <f t="shared" si="3"/>
        <v/>
      </c>
      <c r="G5944" s="151"/>
      <c r="H5944" s="160"/>
      <c r="I5944" s="157"/>
      <c r="J5944" s="158"/>
      <c r="L5944" s="94"/>
      <c r="M5944" s="159"/>
      <c r="N5944" s="94"/>
    </row>
    <row r="5945">
      <c r="A5945" s="107">
        <v>1630547.0</v>
      </c>
      <c r="B5945" s="116" t="s">
        <v>244</v>
      </c>
      <c r="C5945" s="116" t="s">
        <v>1453</v>
      </c>
      <c r="D5945" s="100" t="str">
        <f t="shared" si="1"/>
        <v/>
      </c>
      <c r="E5945" s="100" t="str">
        <f t="shared" si="2"/>
        <v/>
      </c>
      <c r="F5945" s="100" t="str">
        <f t="shared" si="3"/>
        <v/>
      </c>
      <c r="G5945" s="151"/>
      <c r="H5945" s="156"/>
      <c r="I5945" s="157"/>
      <c r="J5945" s="161"/>
      <c r="L5945" s="94"/>
      <c r="M5945" s="159"/>
      <c r="N5945" s="94"/>
    </row>
    <row r="5946">
      <c r="A5946" s="107">
        <v>1630547.0</v>
      </c>
      <c r="B5946" s="116" t="s">
        <v>245</v>
      </c>
      <c r="C5946" s="116" t="s">
        <v>1453</v>
      </c>
      <c r="D5946" s="100" t="str">
        <f t="shared" si="1"/>
        <v/>
      </c>
      <c r="E5946" s="100" t="str">
        <f t="shared" si="2"/>
        <v/>
      </c>
      <c r="F5946" s="100" t="str">
        <f t="shared" si="3"/>
        <v/>
      </c>
      <c r="G5946" s="151"/>
      <c r="H5946" s="160"/>
      <c r="I5946" s="157"/>
      <c r="J5946" s="158"/>
      <c r="L5946" s="94"/>
      <c r="M5946" s="159"/>
      <c r="N5946" s="94"/>
    </row>
    <row r="5947">
      <c r="A5947" s="107">
        <v>1630548.0</v>
      </c>
      <c r="B5947" s="116" t="s">
        <v>244</v>
      </c>
      <c r="C5947" s="116" t="s">
        <v>1454</v>
      </c>
      <c r="D5947" s="100" t="str">
        <f t="shared" si="1"/>
        <v/>
      </c>
      <c r="E5947" s="100" t="str">
        <f t="shared" si="2"/>
        <v/>
      </c>
      <c r="F5947" s="100" t="str">
        <f t="shared" si="3"/>
        <v/>
      </c>
      <c r="G5947" s="151"/>
      <c r="H5947" s="156"/>
      <c r="I5947" s="157"/>
      <c r="J5947" s="161"/>
      <c r="L5947" s="94"/>
      <c r="M5947" s="159"/>
      <c r="N5947" s="94"/>
    </row>
    <row r="5948">
      <c r="A5948" s="107">
        <v>1630548.0</v>
      </c>
      <c r="B5948" s="116" t="s">
        <v>245</v>
      </c>
      <c r="C5948" s="116" t="s">
        <v>1454</v>
      </c>
      <c r="D5948" s="100" t="str">
        <f t="shared" si="1"/>
        <v/>
      </c>
      <c r="E5948" s="100" t="str">
        <f t="shared" si="2"/>
        <v/>
      </c>
      <c r="F5948" s="100" t="str">
        <f t="shared" si="3"/>
        <v/>
      </c>
      <c r="G5948" s="151"/>
      <c r="H5948" s="160"/>
      <c r="I5948" s="157"/>
      <c r="J5948" s="158"/>
      <c r="L5948" s="94"/>
      <c r="M5948" s="159"/>
      <c r="N5948" s="94"/>
    </row>
    <row r="5949">
      <c r="A5949" s="107">
        <v>1630548.0</v>
      </c>
      <c r="B5949" s="116" t="s">
        <v>246</v>
      </c>
      <c r="C5949" s="116" t="s">
        <v>1454</v>
      </c>
      <c r="D5949" s="100" t="str">
        <f t="shared" si="1"/>
        <v/>
      </c>
      <c r="E5949" s="100" t="str">
        <f t="shared" si="2"/>
        <v/>
      </c>
      <c r="F5949" s="100" t="str">
        <f t="shared" si="3"/>
        <v/>
      </c>
      <c r="G5949" s="151"/>
      <c r="H5949" s="156"/>
      <c r="I5949" s="157"/>
      <c r="J5949" s="161"/>
      <c r="L5949" s="94"/>
      <c r="M5949" s="159"/>
      <c r="N5949" s="94"/>
    </row>
    <row r="5950">
      <c r="A5950" s="114">
        <v>1630548.0</v>
      </c>
      <c r="B5950" s="131" t="s">
        <v>247</v>
      </c>
      <c r="C5950" s="131" t="s">
        <v>1454</v>
      </c>
      <c r="D5950" s="100" t="str">
        <f t="shared" si="1"/>
        <v/>
      </c>
      <c r="E5950" s="100" t="str">
        <f t="shared" si="2"/>
        <v/>
      </c>
      <c r="F5950" s="100" t="str">
        <f t="shared" si="3"/>
        <v/>
      </c>
      <c r="G5950" s="151"/>
      <c r="H5950" s="160"/>
      <c r="I5950" s="157"/>
      <c r="J5950" s="158"/>
      <c r="L5950" s="94"/>
      <c r="M5950" s="159"/>
      <c r="N5950" s="94"/>
    </row>
    <row r="5951">
      <c r="A5951" s="107">
        <v>1630549.0</v>
      </c>
      <c r="B5951" s="116" t="s">
        <v>215</v>
      </c>
      <c r="C5951" s="116" t="s">
        <v>1455</v>
      </c>
      <c r="D5951" s="100" t="str">
        <f t="shared" si="1"/>
        <v/>
      </c>
      <c r="E5951" s="100" t="str">
        <f t="shared" si="2"/>
        <v/>
      </c>
      <c r="F5951" s="100" t="str">
        <f t="shared" si="3"/>
        <v/>
      </c>
      <c r="G5951" s="151"/>
      <c r="H5951" s="156"/>
      <c r="I5951" s="157"/>
      <c r="J5951" s="161"/>
      <c r="L5951" s="94"/>
      <c r="M5951" s="159"/>
      <c r="N5951" s="94"/>
    </row>
    <row r="5952">
      <c r="A5952" s="107">
        <v>1630549.0</v>
      </c>
      <c r="B5952" s="116" t="s">
        <v>244</v>
      </c>
      <c r="C5952" s="116" t="s">
        <v>1455</v>
      </c>
      <c r="D5952" s="100" t="str">
        <f t="shared" si="1"/>
        <v/>
      </c>
      <c r="E5952" s="100" t="str">
        <f t="shared" si="2"/>
        <v/>
      </c>
      <c r="F5952" s="100" t="str">
        <f t="shared" si="3"/>
        <v/>
      </c>
      <c r="G5952" s="151"/>
      <c r="H5952" s="160"/>
      <c r="I5952" s="157"/>
      <c r="J5952" s="158"/>
      <c r="L5952" s="94"/>
      <c r="M5952" s="159"/>
      <c r="N5952" s="94"/>
    </row>
    <row r="5953">
      <c r="A5953" s="107">
        <v>1630549.0</v>
      </c>
      <c r="B5953" s="116" t="s">
        <v>245</v>
      </c>
      <c r="C5953" s="116" t="s">
        <v>1455</v>
      </c>
      <c r="D5953" s="100" t="str">
        <f t="shared" si="1"/>
        <v/>
      </c>
      <c r="E5953" s="100" t="str">
        <f t="shared" si="2"/>
        <v/>
      </c>
      <c r="F5953" s="100" t="str">
        <f t="shared" si="3"/>
        <v/>
      </c>
      <c r="G5953" s="151"/>
      <c r="H5953" s="156"/>
      <c r="I5953" s="157"/>
      <c r="J5953" s="161"/>
      <c r="L5953" s="94"/>
      <c r="M5953" s="159"/>
      <c r="N5953" s="94"/>
    </row>
    <row r="5954">
      <c r="A5954" s="107">
        <v>1630549.0</v>
      </c>
      <c r="B5954" s="116" t="s">
        <v>246</v>
      </c>
      <c r="C5954" s="116" t="s">
        <v>1455</v>
      </c>
      <c r="D5954" s="100" t="str">
        <f t="shared" si="1"/>
        <v/>
      </c>
      <c r="E5954" s="100" t="str">
        <f t="shared" si="2"/>
        <v/>
      </c>
      <c r="F5954" s="100" t="str">
        <f t="shared" si="3"/>
        <v/>
      </c>
      <c r="G5954" s="151"/>
      <c r="H5954" s="160"/>
      <c r="I5954" s="157"/>
      <c r="J5954" s="158"/>
      <c r="L5954" s="94"/>
      <c r="M5954" s="159"/>
      <c r="N5954" s="94"/>
    </row>
    <row r="5955">
      <c r="A5955" s="114">
        <v>1630549.0</v>
      </c>
      <c r="B5955" s="131" t="s">
        <v>247</v>
      </c>
      <c r="C5955" s="116" t="s">
        <v>1455</v>
      </c>
      <c r="D5955" s="100" t="str">
        <f t="shared" si="1"/>
        <v/>
      </c>
      <c r="E5955" s="100" t="str">
        <f t="shared" si="2"/>
        <v/>
      </c>
      <c r="F5955" s="100" t="str">
        <f t="shared" si="3"/>
        <v/>
      </c>
      <c r="G5955" s="151"/>
      <c r="H5955" s="156"/>
      <c r="I5955" s="157"/>
      <c r="J5955" s="161"/>
      <c r="L5955" s="94"/>
      <c r="M5955" s="159"/>
      <c r="N5955" s="94"/>
    </row>
    <row r="5956">
      <c r="A5956" s="107">
        <v>1630550.0</v>
      </c>
      <c r="B5956" s="116" t="s">
        <v>215</v>
      </c>
      <c r="C5956" s="116" t="s">
        <v>1456</v>
      </c>
      <c r="D5956" s="100" t="str">
        <f t="shared" si="1"/>
        <v/>
      </c>
      <c r="E5956" s="100" t="str">
        <f t="shared" si="2"/>
        <v/>
      </c>
      <c r="F5956" s="100" t="str">
        <f t="shared" si="3"/>
        <v/>
      </c>
      <c r="G5956" s="151"/>
      <c r="H5956" s="160"/>
      <c r="I5956" s="157"/>
      <c r="J5956" s="158"/>
      <c r="L5956" s="94"/>
      <c r="M5956" s="159"/>
      <c r="N5956" s="94"/>
    </row>
    <row r="5957">
      <c r="A5957" s="107">
        <v>1630550.0</v>
      </c>
      <c r="B5957" s="116" t="s">
        <v>244</v>
      </c>
      <c r="C5957" s="116" t="s">
        <v>1456</v>
      </c>
      <c r="D5957" s="100" t="str">
        <f t="shared" si="1"/>
        <v/>
      </c>
      <c r="E5957" s="100" t="str">
        <f t="shared" si="2"/>
        <v/>
      </c>
      <c r="F5957" s="100" t="str">
        <f t="shared" si="3"/>
        <v/>
      </c>
      <c r="G5957" s="151"/>
      <c r="H5957" s="156"/>
      <c r="I5957" s="157"/>
      <c r="J5957" s="161"/>
      <c r="L5957" s="94"/>
      <c r="M5957" s="159"/>
      <c r="N5957" s="94"/>
    </row>
    <row r="5958">
      <c r="A5958" s="107">
        <v>1630550.0</v>
      </c>
      <c r="B5958" s="116" t="s">
        <v>245</v>
      </c>
      <c r="C5958" s="116" t="s">
        <v>1456</v>
      </c>
      <c r="D5958" s="100" t="str">
        <f t="shared" si="1"/>
        <v/>
      </c>
      <c r="E5958" s="100" t="str">
        <f t="shared" si="2"/>
        <v/>
      </c>
      <c r="F5958" s="100" t="str">
        <f t="shared" si="3"/>
        <v/>
      </c>
      <c r="G5958" s="151"/>
      <c r="H5958" s="160"/>
      <c r="I5958" s="157"/>
      <c r="J5958" s="158"/>
      <c r="L5958" s="94"/>
      <c r="M5958" s="159"/>
      <c r="N5958" s="94"/>
    </row>
    <row r="5959">
      <c r="A5959" s="107">
        <v>1630550.0</v>
      </c>
      <c r="B5959" s="116" t="s">
        <v>246</v>
      </c>
      <c r="C5959" s="116" t="s">
        <v>1456</v>
      </c>
      <c r="D5959" s="100" t="str">
        <f t="shared" si="1"/>
        <v/>
      </c>
      <c r="E5959" s="100" t="str">
        <f t="shared" si="2"/>
        <v/>
      </c>
      <c r="F5959" s="100" t="str">
        <f t="shared" si="3"/>
        <v/>
      </c>
      <c r="G5959" s="151"/>
      <c r="H5959" s="156"/>
      <c r="I5959" s="157"/>
      <c r="J5959" s="161"/>
      <c r="L5959" s="94"/>
      <c r="M5959" s="159"/>
      <c r="N5959" s="94"/>
    </row>
    <row r="5960">
      <c r="A5960" s="107">
        <v>1630551.0</v>
      </c>
      <c r="B5960" s="116" t="s">
        <v>215</v>
      </c>
      <c r="C5960" s="116" t="s">
        <v>1457</v>
      </c>
      <c r="D5960" s="100" t="str">
        <f t="shared" si="1"/>
        <v/>
      </c>
      <c r="E5960" s="100" t="str">
        <f t="shared" si="2"/>
        <v/>
      </c>
      <c r="F5960" s="100" t="str">
        <f t="shared" si="3"/>
        <v/>
      </c>
      <c r="G5960" s="151"/>
      <c r="H5960" s="160"/>
      <c r="I5960" s="157"/>
      <c r="J5960" s="158"/>
      <c r="L5960" s="94"/>
      <c r="M5960" s="159"/>
      <c r="N5960" s="94"/>
    </row>
    <row r="5961">
      <c r="A5961" s="107">
        <v>1630551.0</v>
      </c>
      <c r="B5961" s="116" t="s">
        <v>244</v>
      </c>
      <c r="C5961" s="116" t="s">
        <v>1457</v>
      </c>
      <c r="D5961" s="100" t="str">
        <f t="shared" si="1"/>
        <v/>
      </c>
      <c r="E5961" s="100" t="str">
        <f t="shared" si="2"/>
        <v/>
      </c>
      <c r="F5961" s="100" t="str">
        <f t="shared" si="3"/>
        <v/>
      </c>
      <c r="G5961" s="151"/>
      <c r="H5961" s="156"/>
      <c r="I5961" s="157"/>
      <c r="J5961" s="161"/>
      <c r="L5961" s="94"/>
      <c r="M5961" s="159"/>
      <c r="N5961" s="94"/>
    </row>
    <row r="5962">
      <c r="A5962" s="107">
        <v>1630551.0</v>
      </c>
      <c r="B5962" s="116" t="s">
        <v>245</v>
      </c>
      <c r="C5962" s="116" t="s">
        <v>1457</v>
      </c>
      <c r="D5962" s="100" t="str">
        <f t="shared" si="1"/>
        <v/>
      </c>
      <c r="E5962" s="100" t="str">
        <f t="shared" si="2"/>
        <v/>
      </c>
      <c r="F5962" s="100" t="str">
        <f t="shared" si="3"/>
        <v/>
      </c>
      <c r="G5962" s="151"/>
      <c r="H5962" s="160"/>
      <c r="I5962" s="157"/>
      <c r="J5962" s="158"/>
      <c r="L5962" s="94"/>
      <c r="M5962" s="159"/>
      <c r="N5962" s="94"/>
    </row>
    <row r="5963">
      <c r="A5963" s="107">
        <v>1630551.0</v>
      </c>
      <c r="B5963" s="116" t="s">
        <v>246</v>
      </c>
      <c r="C5963" s="116" t="s">
        <v>1457</v>
      </c>
      <c r="D5963" s="100" t="str">
        <f t="shared" si="1"/>
        <v/>
      </c>
      <c r="E5963" s="100" t="str">
        <f t="shared" si="2"/>
        <v/>
      </c>
      <c r="F5963" s="100" t="str">
        <f t="shared" si="3"/>
        <v/>
      </c>
      <c r="G5963" s="151"/>
      <c r="H5963" s="156"/>
      <c r="I5963" s="157"/>
      <c r="J5963" s="161"/>
      <c r="L5963" s="94"/>
      <c r="M5963" s="159"/>
      <c r="N5963" s="94"/>
    </row>
    <row r="5964">
      <c r="A5964" s="114">
        <v>1630551.0</v>
      </c>
      <c r="B5964" s="131" t="s">
        <v>247</v>
      </c>
      <c r="C5964" s="131" t="s">
        <v>1457</v>
      </c>
      <c r="D5964" s="100" t="str">
        <f t="shared" si="1"/>
        <v/>
      </c>
      <c r="E5964" s="100" t="str">
        <f t="shared" si="2"/>
        <v/>
      </c>
      <c r="F5964" s="100" t="str">
        <f t="shared" si="3"/>
        <v/>
      </c>
      <c r="G5964" s="151"/>
      <c r="H5964" s="160"/>
      <c r="I5964" s="157"/>
      <c r="J5964" s="158"/>
      <c r="L5964" s="94"/>
      <c r="M5964" s="159"/>
      <c r="N5964" s="94"/>
    </row>
    <row r="5965">
      <c r="A5965" s="107">
        <v>1630552.0</v>
      </c>
      <c r="B5965" s="116" t="s">
        <v>215</v>
      </c>
      <c r="C5965" s="116" t="s">
        <v>1458</v>
      </c>
      <c r="D5965" s="100" t="str">
        <f t="shared" si="1"/>
        <v/>
      </c>
      <c r="E5965" s="100" t="str">
        <f t="shared" si="2"/>
        <v/>
      </c>
      <c r="F5965" s="100" t="str">
        <f t="shared" si="3"/>
        <v/>
      </c>
      <c r="G5965" s="151"/>
      <c r="H5965" s="156"/>
      <c r="I5965" s="157"/>
      <c r="J5965" s="161"/>
      <c r="L5965" s="94"/>
      <c r="M5965" s="159"/>
      <c r="N5965" s="94"/>
    </row>
    <row r="5966">
      <c r="A5966" s="107">
        <v>1630552.0</v>
      </c>
      <c r="B5966" s="116" t="s">
        <v>244</v>
      </c>
      <c r="C5966" s="116" t="s">
        <v>1458</v>
      </c>
      <c r="D5966" s="100" t="str">
        <f t="shared" si="1"/>
        <v/>
      </c>
      <c r="E5966" s="100" t="str">
        <f t="shared" si="2"/>
        <v/>
      </c>
      <c r="F5966" s="100" t="str">
        <f t="shared" si="3"/>
        <v/>
      </c>
      <c r="G5966" s="151"/>
      <c r="H5966" s="160"/>
      <c r="I5966" s="157"/>
      <c r="J5966" s="158"/>
      <c r="L5966" s="94"/>
      <c r="M5966" s="159"/>
      <c r="N5966" s="94"/>
    </row>
    <row r="5967">
      <c r="A5967" s="107">
        <v>1630552.0</v>
      </c>
      <c r="B5967" s="116" t="s">
        <v>245</v>
      </c>
      <c r="C5967" s="116" t="s">
        <v>1458</v>
      </c>
      <c r="D5967" s="100" t="str">
        <f t="shared" si="1"/>
        <v/>
      </c>
      <c r="E5967" s="100" t="str">
        <f t="shared" si="2"/>
        <v/>
      </c>
      <c r="F5967" s="100" t="str">
        <f t="shared" si="3"/>
        <v/>
      </c>
      <c r="G5967" s="151"/>
      <c r="H5967" s="156"/>
      <c r="I5967" s="157"/>
      <c r="J5967" s="161"/>
      <c r="L5967" s="94"/>
      <c r="M5967" s="159"/>
      <c r="N5967" s="94"/>
    </row>
    <row r="5968">
      <c r="A5968" s="107">
        <v>1630552.0</v>
      </c>
      <c r="B5968" s="116" t="s">
        <v>246</v>
      </c>
      <c r="C5968" s="116" t="s">
        <v>1458</v>
      </c>
      <c r="D5968" s="100" t="str">
        <f t="shared" si="1"/>
        <v/>
      </c>
      <c r="E5968" s="100" t="str">
        <f t="shared" si="2"/>
        <v/>
      </c>
      <c r="F5968" s="100" t="str">
        <f t="shared" si="3"/>
        <v/>
      </c>
      <c r="G5968" s="151"/>
      <c r="H5968" s="160"/>
      <c r="I5968" s="157"/>
      <c r="J5968" s="158"/>
      <c r="L5968" s="94"/>
      <c r="M5968" s="159"/>
      <c r="N5968" s="94"/>
    </row>
    <row r="5969">
      <c r="A5969" s="114">
        <v>1630552.0</v>
      </c>
      <c r="B5969" s="131" t="s">
        <v>247</v>
      </c>
      <c r="C5969" s="131" t="s">
        <v>1458</v>
      </c>
      <c r="D5969" s="100" t="str">
        <f t="shared" si="1"/>
        <v/>
      </c>
      <c r="E5969" s="100" t="str">
        <f t="shared" si="2"/>
        <v/>
      </c>
      <c r="F5969" s="100" t="str">
        <f t="shared" si="3"/>
        <v/>
      </c>
      <c r="G5969" s="151"/>
      <c r="H5969" s="156"/>
      <c r="I5969" s="157"/>
      <c r="J5969" s="161"/>
      <c r="L5969" s="94"/>
      <c r="M5969" s="159"/>
      <c r="N5969" s="94"/>
    </row>
    <row r="5970">
      <c r="A5970" s="107">
        <v>1630553.0</v>
      </c>
      <c r="B5970" s="116" t="s">
        <v>215</v>
      </c>
      <c r="C5970" s="116" t="s">
        <v>1459</v>
      </c>
      <c r="D5970" s="100" t="str">
        <f t="shared" si="1"/>
        <v/>
      </c>
      <c r="E5970" s="100" t="str">
        <f t="shared" si="2"/>
        <v/>
      </c>
      <c r="F5970" s="100" t="str">
        <f t="shared" si="3"/>
        <v/>
      </c>
      <c r="G5970" s="151"/>
      <c r="H5970" s="160"/>
      <c r="I5970" s="157"/>
      <c r="J5970" s="158"/>
      <c r="L5970" s="94"/>
      <c r="M5970" s="159"/>
      <c r="N5970" s="94"/>
    </row>
    <row r="5971">
      <c r="A5971" s="107">
        <v>1630553.0</v>
      </c>
      <c r="B5971" s="116" t="s">
        <v>244</v>
      </c>
      <c r="C5971" s="116" t="s">
        <v>1459</v>
      </c>
      <c r="D5971" s="100" t="str">
        <f t="shared" si="1"/>
        <v/>
      </c>
      <c r="E5971" s="100" t="str">
        <f t="shared" si="2"/>
        <v/>
      </c>
      <c r="F5971" s="100" t="str">
        <f t="shared" si="3"/>
        <v/>
      </c>
      <c r="G5971" s="151"/>
      <c r="H5971" s="156"/>
      <c r="I5971" s="157"/>
      <c r="J5971" s="161"/>
      <c r="L5971" s="94"/>
      <c r="M5971" s="159"/>
      <c r="N5971" s="94"/>
    </row>
    <row r="5972">
      <c r="A5972" s="107">
        <v>1630553.0</v>
      </c>
      <c r="B5972" s="116" t="s">
        <v>245</v>
      </c>
      <c r="C5972" s="116" t="s">
        <v>1459</v>
      </c>
      <c r="D5972" s="100" t="str">
        <f t="shared" si="1"/>
        <v/>
      </c>
      <c r="E5972" s="100" t="str">
        <f t="shared" si="2"/>
        <v/>
      </c>
      <c r="F5972" s="100" t="str">
        <f t="shared" si="3"/>
        <v/>
      </c>
      <c r="G5972" s="151"/>
      <c r="H5972" s="160"/>
      <c r="I5972" s="157"/>
      <c r="J5972" s="158"/>
      <c r="L5972" s="94"/>
      <c r="M5972" s="159"/>
      <c r="N5972" s="94"/>
    </row>
    <row r="5973">
      <c r="A5973" s="107">
        <v>1630553.0</v>
      </c>
      <c r="B5973" s="116" t="s">
        <v>246</v>
      </c>
      <c r="C5973" s="116" t="s">
        <v>1459</v>
      </c>
      <c r="D5973" s="100" t="str">
        <f t="shared" si="1"/>
        <v/>
      </c>
      <c r="E5973" s="100" t="str">
        <f t="shared" si="2"/>
        <v/>
      </c>
      <c r="F5973" s="100" t="str">
        <f t="shared" si="3"/>
        <v/>
      </c>
      <c r="G5973" s="151"/>
      <c r="H5973" s="156"/>
      <c r="I5973" s="157"/>
      <c r="J5973" s="161"/>
      <c r="L5973" s="94"/>
      <c r="M5973" s="159"/>
      <c r="N5973" s="94"/>
    </row>
    <row r="5974">
      <c r="A5974" s="107">
        <v>1630554.0</v>
      </c>
      <c r="B5974" s="116" t="s">
        <v>244</v>
      </c>
      <c r="C5974" s="116" t="s">
        <v>1460</v>
      </c>
      <c r="D5974" s="100" t="str">
        <f t="shared" si="1"/>
        <v/>
      </c>
      <c r="E5974" s="100" t="str">
        <f t="shared" si="2"/>
        <v/>
      </c>
      <c r="F5974" s="100" t="str">
        <f t="shared" si="3"/>
        <v/>
      </c>
      <c r="G5974" s="151"/>
      <c r="H5974" s="160"/>
      <c r="I5974" s="157"/>
      <c r="J5974" s="158"/>
      <c r="L5974" s="94"/>
      <c r="M5974" s="159"/>
      <c r="N5974" s="94"/>
    </row>
    <row r="5975">
      <c r="A5975" s="107">
        <v>1630554.0</v>
      </c>
      <c r="B5975" s="116" t="s">
        <v>245</v>
      </c>
      <c r="C5975" s="116" t="s">
        <v>1460</v>
      </c>
      <c r="D5975" s="100" t="str">
        <f t="shared" si="1"/>
        <v/>
      </c>
      <c r="E5975" s="100" t="str">
        <f t="shared" si="2"/>
        <v/>
      </c>
      <c r="F5975" s="100" t="str">
        <f t="shared" si="3"/>
        <v/>
      </c>
      <c r="G5975" s="151"/>
      <c r="H5975" s="156"/>
      <c r="I5975" s="157"/>
      <c r="J5975" s="161"/>
      <c r="L5975" s="94"/>
      <c r="M5975" s="159"/>
      <c r="N5975" s="94"/>
    </row>
    <row r="5976">
      <c r="A5976" s="107">
        <v>1630554.0</v>
      </c>
      <c r="B5976" s="116" t="s">
        <v>246</v>
      </c>
      <c r="C5976" s="116" t="s">
        <v>1460</v>
      </c>
      <c r="D5976" s="100" t="str">
        <f t="shared" si="1"/>
        <v/>
      </c>
      <c r="E5976" s="100" t="str">
        <f t="shared" si="2"/>
        <v/>
      </c>
      <c r="F5976" s="100" t="str">
        <f t="shared" si="3"/>
        <v/>
      </c>
      <c r="G5976" s="151"/>
      <c r="H5976" s="160"/>
      <c r="I5976" s="157"/>
      <c r="J5976" s="158"/>
      <c r="L5976" s="94"/>
      <c r="M5976" s="159"/>
      <c r="N5976" s="94"/>
    </row>
    <row r="5977">
      <c r="A5977" s="107">
        <v>1630555.0</v>
      </c>
      <c r="B5977" s="116" t="s">
        <v>215</v>
      </c>
      <c r="C5977" s="116" t="s">
        <v>1461</v>
      </c>
      <c r="D5977" s="100" t="str">
        <f t="shared" si="1"/>
        <v/>
      </c>
      <c r="E5977" s="100" t="str">
        <f t="shared" si="2"/>
        <v/>
      </c>
      <c r="F5977" s="100" t="str">
        <f t="shared" si="3"/>
        <v/>
      </c>
      <c r="G5977" s="151"/>
      <c r="H5977" s="156"/>
      <c r="I5977" s="157"/>
      <c r="J5977" s="161"/>
      <c r="L5977" s="94"/>
      <c r="M5977" s="159"/>
      <c r="N5977" s="94"/>
    </row>
    <row r="5978">
      <c r="A5978" s="107">
        <v>1630556.0</v>
      </c>
      <c r="B5978" s="116" t="s">
        <v>215</v>
      </c>
      <c r="C5978" s="116" t="s">
        <v>1462</v>
      </c>
      <c r="D5978" s="100" t="str">
        <f t="shared" si="1"/>
        <v/>
      </c>
      <c r="E5978" s="100" t="str">
        <f t="shared" si="2"/>
        <v/>
      </c>
      <c r="F5978" s="100" t="str">
        <f t="shared" si="3"/>
        <v/>
      </c>
      <c r="G5978" s="151"/>
      <c r="H5978" s="160"/>
      <c r="I5978" s="157"/>
      <c r="J5978" s="158"/>
      <c r="L5978" s="94"/>
      <c r="M5978" s="159"/>
      <c r="N5978" s="94"/>
    </row>
    <row r="5979">
      <c r="A5979" s="107">
        <v>1630556.0</v>
      </c>
      <c r="B5979" s="116" t="s">
        <v>244</v>
      </c>
      <c r="C5979" s="116" t="s">
        <v>1462</v>
      </c>
      <c r="D5979" s="100" t="str">
        <f t="shared" si="1"/>
        <v/>
      </c>
      <c r="E5979" s="100" t="str">
        <f t="shared" si="2"/>
        <v/>
      </c>
      <c r="F5979" s="100" t="str">
        <f t="shared" si="3"/>
        <v/>
      </c>
      <c r="G5979" s="151"/>
      <c r="H5979" s="156"/>
      <c r="I5979" s="157"/>
      <c r="J5979" s="161"/>
      <c r="L5979" s="94"/>
      <c r="M5979" s="159"/>
      <c r="N5979" s="94"/>
    </row>
    <row r="5980">
      <c r="A5980" s="107">
        <v>1630556.0</v>
      </c>
      <c r="B5980" s="116" t="s">
        <v>245</v>
      </c>
      <c r="C5980" s="116" t="s">
        <v>1462</v>
      </c>
      <c r="D5980" s="100" t="str">
        <f t="shared" si="1"/>
        <v/>
      </c>
      <c r="E5980" s="100" t="str">
        <f t="shared" si="2"/>
        <v/>
      </c>
      <c r="F5980" s="100" t="str">
        <f t="shared" si="3"/>
        <v/>
      </c>
      <c r="G5980" s="151"/>
      <c r="H5980" s="160"/>
      <c r="I5980" s="157"/>
      <c r="J5980" s="158"/>
      <c r="L5980" s="94"/>
      <c r="M5980" s="159"/>
      <c r="N5980" s="94"/>
    </row>
    <row r="5981">
      <c r="A5981" s="107">
        <v>1630556.0</v>
      </c>
      <c r="B5981" s="116" t="s">
        <v>246</v>
      </c>
      <c r="C5981" s="116" t="s">
        <v>1462</v>
      </c>
      <c r="D5981" s="100" t="str">
        <f t="shared" si="1"/>
        <v/>
      </c>
      <c r="E5981" s="100" t="str">
        <f t="shared" si="2"/>
        <v/>
      </c>
      <c r="F5981" s="100" t="str">
        <f t="shared" si="3"/>
        <v/>
      </c>
      <c r="G5981" s="151"/>
      <c r="H5981" s="156"/>
      <c r="I5981" s="157"/>
      <c r="J5981" s="161"/>
      <c r="L5981" s="94"/>
      <c r="M5981" s="159"/>
      <c r="N5981" s="94"/>
    </row>
    <row r="5982">
      <c r="A5982" s="107">
        <v>1630557.0</v>
      </c>
      <c r="B5982" s="116" t="s">
        <v>215</v>
      </c>
      <c r="C5982" s="116" t="s">
        <v>1463</v>
      </c>
      <c r="D5982" s="100" t="str">
        <f t="shared" si="1"/>
        <v/>
      </c>
      <c r="E5982" s="100" t="str">
        <f t="shared" si="2"/>
        <v/>
      </c>
      <c r="F5982" s="100" t="str">
        <f t="shared" si="3"/>
        <v/>
      </c>
      <c r="G5982" s="151"/>
      <c r="H5982" s="160"/>
      <c r="I5982" s="157"/>
      <c r="J5982" s="158"/>
      <c r="L5982" s="94"/>
      <c r="M5982" s="159"/>
      <c r="N5982" s="94"/>
    </row>
    <row r="5983">
      <c r="A5983" s="107">
        <v>1630557.0</v>
      </c>
      <c r="B5983" s="116" t="s">
        <v>244</v>
      </c>
      <c r="C5983" s="116" t="s">
        <v>1463</v>
      </c>
      <c r="D5983" s="100" t="str">
        <f t="shared" si="1"/>
        <v/>
      </c>
      <c r="E5983" s="100" t="str">
        <f t="shared" si="2"/>
        <v/>
      </c>
      <c r="F5983" s="100" t="str">
        <f t="shared" si="3"/>
        <v/>
      </c>
      <c r="G5983" s="151"/>
      <c r="H5983" s="156"/>
      <c r="I5983" s="157"/>
      <c r="J5983" s="161"/>
      <c r="L5983" s="94"/>
      <c r="M5983" s="159"/>
      <c r="N5983" s="94"/>
    </row>
    <row r="5984">
      <c r="A5984" s="107">
        <v>1630557.0</v>
      </c>
      <c r="B5984" s="116" t="s">
        <v>245</v>
      </c>
      <c r="C5984" s="116" t="s">
        <v>1463</v>
      </c>
      <c r="D5984" s="100" t="str">
        <f t="shared" si="1"/>
        <v/>
      </c>
      <c r="E5984" s="100" t="str">
        <f t="shared" si="2"/>
        <v/>
      </c>
      <c r="F5984" s="100" t="str">
        <f t="shared" si="3"/>
        <v/>
      </c>
      <c r="G5984" s="151"/>
      <c r="H5984" s="160"/>
      <c r="I5984" s="157"/>
      <c r="J5984" s="158"/>
      <c r="L5984" s="94"/>
      <c r="M5984" s="159"/>
      <c r="N5984" s="94"/>
    </row>
    <row r="5985">
      <c r="A5985" s="107">
        <v>1630557.0</v>
      </c>
      <c r="B5985" s="116" t="s">
        <v>246</v>
      </c>
      <c r="C5985" s="116" t="s">
        <v>1463</v>
      </c>
      <c r="D5985" s="100" t="str">
        <f t="shared" si="1"/>
        <v/>
      </c>
      <c r="E5985" s="100" t="str">
        <f t="shared" si="2"/>
        <v/>
      </c>
      <c r="F5985" s="100" t="str">
        <f t="shared" si="3"/>
        <v/>
      </c>
      <c r="G5985" s="151"/>
      <c r="H5985" s="156"/>
      <c r="I5985" s="157"/>
      <c r="J5985" s="161"/>
      <c r="L5985" s="94"/>
      <c r="M5985" s="159"/>
      <c r="N5985" s="94"/>
    </row>
    <row r="5986">
      <c r="A5986" s="114">
        <v>1630557.0</v>
      </c>
      <c r="B5986" s="131" t="s">
        <v>247</v>
      </c>
      <c r="C5986" s="131" t="s">
        <v>1463</v>
      </c>
      <c r="D5986" s="100" t="str">
        <f t="shared" si="1"/>
        <v/>
      </c>
      <c r="E5986" s="100" t="str">
        <f t="shared" si="2"/>
        <v/>
      </c>
      <c r="F5986" s="100" t="str">
        <f t="shared" si="3"/>
        <v/>
      </c>
      <c r="G5986" s="151"/>
      <c r="H5986" s="160"/>
      <c r="I5986" s="157"/>
      <c r="J5986" s="158"/>
      <c r="L5986" s="94"/>
      <c r="M5986" s="159"/>
      <c r="N5986" s="94"/>
    </row>
    <row r="5987">
      <c r="A5987" s="107">
        <v>1630558.0</v>
      </c>
      <c r="B5987" s="116" t="s">
        <v>215</v>
      </c>
      <c r="C5987" s="116" t="s">
        <v>1464</v>
      </c>
      <c r="D5987" s="100" t="str">
        <f t="shared" si="1"/>
        <v/>
      </c>
      <c r="E5987" s="100" t="str">
        <f t="shared" si="2"/>
        <v/>
      </c>
      <c r="F5987" s="100" t="str">
        <f t="shared" si="3"/>
        <v/>
      </c>
      <c r="G5987" s="151"/>
      <c r="H5987" s="156"/>
      <c r="I5987" s="157"/>
      <c r="J5987" s="161"/>
      <c r="L5987" s="94"/>
      <c r="M5987" s="159"/>
      <c r="N5987" s="94"/>
    </row>
    <row r="5988">
      <c r="A5988" s="107">
        <v>1630558.0</v>
      </c>
      <c r="B5988" s="116" t="s">
        <v>244</v>
      </c>
      <c r="C5988" s="116" t="s">
        <v>1464</v>
      </c>
      <c r="D5988" s="100" t="str">
        <f t="shared" si="1"/>
        <v/>
      </c>
      <c r="E5988" s="100" t="str">
        <f t="shared" si="2"/>
        <v/>
      </c>
      <c r="F5988" s="100" t="str">
        <f t="shared" si="3"/>
        <v/>
      </c>
      <c r="G5988" s="151"/>
      <c r="H5988" s="160"/>
      <c r="I5988" s="157"/>
      <c r="J5988" s="158"/>
      <c r="L5988" s="94"/>
      <c r="M5988" s="159"/>
      <c r="N5988" s="94"/>
    </row>
    <row r="5989">
      <c r="A5989" s="107">
        <v>1630558.0</v>
      </c>
      <c r="B5989" s="116" t="s">
        <v>245</v>
      </c>
      <c r="C5989" s="116" t="s">
        <v>1464</v>
      </c>
      <c r="D5989" s="100" t="str">
        <f t="shared" si="1"/>
        <v/>
      </c>
      <c r="E5989" s="100" t="str">
        <f t="shared" si="2"/>
        <v/>
      </c>
      <c r="F5989" s="100" t="str">
        <f t="shared" si="3"/>
        <v/>
      </c>
      <c r="G5989" s="151"/>
      <c r="H5989" s="156"/>
      <c r="I5989" s="157"/>
      <c r="J5989" s="161"/>
      <c r="L5989" s="94"/>
      <c r="M5989" s="159"/>
      <c r="N5989" s="94"/>
    </row>
    <row r="5990">
      <c r="A5990" s="107">
        <v>1630558.0</v>
      </c>
      <c r="B5990" s="116" t="s">
        <v>246</v>
      </c>
      <c r="C5990" s="116" t="s">
        <v>1464</v>
      </c>
      <c r="D5990" s="100" t="str">
        <f t="shared" si="1"/>
        <v/>
      </c>
      <c r="E5990" s="100" t="str">
        <f t="shared" si="2"/>
        <v/>
      </c>
      <c r="F5990" s="100" t="str">
        <f t="shared" si="3"/>
        <v/>
      </c>
      <c r="G5990" s="151"/>
      <c r="H5990" s="160"/>
      <c r="I5990" s="157"/>
      <c r="J5990" s="158"/>
      <c r="L5990" s="94"/>
      <c r="M5990" s="159"/>
      <c r="N5990" s="94"/>
    </row>
    <row r="5991">
      <c r="A5991" s="114">
        <v>1630558.0</v>
      </c>
      <c r="B5991" s="131" t="s">
        <v>247</v>
      </c>
      <c r="C5991" s="131" t="s">
        <v>1464</v>
      </c>
      <c r="D5991" s="100" t="str">
        <f t="shared" si="1"/>
        <v/>
      </c>
      <c r="E5991" s="100" t="str">
        <f t="shared" si="2"/>
        <v/>
      </c>
      <c r="F5991" s="100" t="str">
        <f t="shared" si="3"/>
        <v/>
      </c>
      <c r="G5991" s="151"/>
      <c r="H5991" s="156"/>
      <c r="I5991" s="157"/>
      <c r="J5991" s="161"/>
      <c r="L5991" s="94"/>
      <c r="M5991" s="159"/>
      <c r="N5991" s="94"/>
    </row>
    <row r="5992">
      <c r="A5992" s="107">
        <v>1630559.0</v>
      </c>
      <c r="B5992" s="116" t="s">
        <v>215</v>
      </c>
      <c r="C5992" s="116" t="s">
        <v>1465</v>
      </c>
      <c r="D5992" s="100" t="str">
        <f t="shared" si="1"/>
        <v/>
      </c>
      <c r="E5992" s="100" t="str">
        <f t="shared" si="2"/>
        <v/>
      </c>
      <c r="F5992" s="100" t="str">
        <f t="shared" si="3"/>
        <v/>
      </c>
      <c r="G5992" s="151"/>
      <c r="H5992" s="160"/>
      <c r="I5992" s="157"/>
      <c r="J5992" s="158"/>
      <c r="L5992" s="94"/>
      <c r="M5992" s="159"/>
      <c r="N5992" s="94"/>
    </row>
    <row r="5993">
      <c r="A5993" s="107">
        <v>1630559.0</v>
      </c>
      <c r="B5993" s="116" t="s">
        <v>244</v>
      </c>
      <c r="C5993" s="116" t="s">
        <v>1465</v>
      </c>
      <c r="D5993" s="100" t="str">
        <f t="shared" si="1"/>
        <v/>
      </c>
      <c r="E5993" s="100" t="str">
        <f t="shared" si="2"/>
        <v/>
      </c>
      <c r="F5993" s="100" t="str">
        <f t="shared" si="3"/>
        <v/>
      </c>
      <c r="G5993" s="151"/>
      <c r="H5993" s="156"/>
      <c r="I5993" s="157"/>
      <c r="J5993" s="161"/>
      <c r="L5993" s="94"/>
      <c r="M5993" s="159"/>
      <c r="N5993" s="94"/>
    </row>
    <row r="5994">
      <c r="A5994" s="107">
        <v>1630559.0</v>
      </c>
      <c r="B5994" s="116" t="s">
        <v>245</v>
      </c>
      <c r="C5994" s="116" t="s">
        <v>1465</v>
      </c>
      <c r="D5994" s="100" t="str">
        <f t="shared" si="1"/>
        <v/>
      </c>
      <c r="E5994" s="100" t="str">
        <f t="shared" si="2"/>
        <v/>
      </c>
      <c r="F5994" s="100" t="str">
        <f t="shared" si="3"/>
        <v/>
      </c>
      <c r="G5994" s="151"/>
      <c r="H5994" s="160"/>
      <c r="I5994" s="157"/>
      <c r="J5994" s="158"/>
      <c r="L5994" s="94"/>
      <c r="M5994" s="159"/>
      <c r="N5994" s="94"/>
    </row>
    <row r="5995">
      <c r="A5995" s="107">
        <v>1630559.0</v>
      </c>
      <c r="B5995" s="116" t="s">
        <v>246</v>
      </c>
      <c r="C5995" s="116" t="s">
        <v>1465</v>
      </c>
      <c r="D5995" s="100" t="str">
        <f t="shared" si="1"/>
        <v/>
      </c>
      <c r="E5995" s="100" t="str">
        <f t="shared" si="2"/>
        <v/>
      </c>
      <c r="F5995" s="100" t="str">
        <f t="shared" si="3"/>
        <v/>
      </c>
      <c r="G5995" s="151"/>
      <c r="H5995" s="156"/>
      <c r="I5995" s="157"/>
      <c r="J5995" s="161"/>
      <c r="L5995" s="94"/>
      <c r="M5995" s="159"/>
      <c r="N5995" s="94"/>
    </row>
    <row r="5996">
      <c r="A5996" s="114">
        <v>1630559.0</v>
      </c>
      <c r="B5996" s="131" t="s">
        <v>247</v>
      </c>
      <c r="C5996" s="131" t="s">
        <v>1465</v>
      </c>
      <c r="D5996" s="100" t="str">
        <f t="shared" si="1"/>
        <v/>
      </c>
      <c r="E5996" s="100" t="str">
        <f t="shared" si="2"/>
        <v/>
      </c>
      <c r="F5996" s="100" t="str">
        <f t="shared" si="3"/>
        <v/>
      </c>
      <c r="G5996" s="151"/>
      <c r="H5996" s="160"/>
      <c r="I5996" s="157"/>
      <c r="J5996" s="158"/>
      <c r="L5996" s="94"/>
      <c r="M5996" s="159"/>
      <c r="N5996" s="94"/>
    </row>
    <row r="5997">
      <c r="A5997" s="107">
        <v>1630560.0</v>
      </c>
      <c r="B5997" s="116" t="s">
        <v>215</v>
      </c>
      <c r="C5997" s="116" t="s">
        <v>1466</v>
      </c>
      <c r="D5997" s="100" t="str">
        <f t="shared" si="1"/>
        <v/>
      </c>
      <c r="E5997" s="100" t="str">
        <f t="shared" si="2"/>
        <v/>
      </c>
      <c r="F5997" s="100" t="str">
        <f t="shared" si="3"/>
        <v/>
      </c>
      <c r="G5997" s="151"/>
      <c r="H5997" s="156"/>
      <c r="I5997" s="157"/>
      <c r="J5997" s="161"/>
      <c r="L5997" s="94"/>
      <c r="M5997" s="159"/>
      <c r="N5997" s="94"/>
    </row>
    <row r="5998">
      <c r="A5998" s="107">
        <v>1630560.0</v>
      </c>
      <c r="B5998" s="116" t="s">
        <v>244</v>
      </c>
      <c r="C5998" s="116" t="s">
        <v>1466</v>
      </c>
      <c r="D5998" s="100" t="str">
        <f t="shared" si="1"/>
        <v/>
      </c>
      <c r="E5998" s="100" t="str">
        <f t="shared" si="2"/>
        <v/>
      </c>
      <c r="F5998" s="100" t="str">
        <f t="shared" si="3"/>
        <v/>
      </c>
      <c r="G5998" s="151"/>
      <c r="H5998" s="160"/>
      <c r="I5998" s="157"/>
      <c r="J5998" s="158"/>
      <c r="L5998" s="94"/>
      <c r="M5998" s="159"/>
      <c r="N5998" s="94"/>
    </row>
    <row r="5999">
      <c r="A5999" s="107">
        <v>1630560.0</v>
      </c>
      <c r="B5999" s="116" t="s">
        <v>245</v>
      </c>
      <c r="C5999" s="116" t="s">
        <v>1466</v>
      </c>
      <c r="D5999" s="100" t="str">
        <f t="shared" si="1"/>
        <v/>
      </c>
      <c r="E5999" s="100" t="str">
        <f t="shared" si="2"/>
        <v/>
      </c>
      <c r="F5999" s="100" t="str">
        <f t="shared" si="3"/>
        <v/>
      </c>
      <c r="G5999" s="151"/>
      <c r="H5999" s="156"/>
      <c r="I5999" s="157"/>
      <c r="J5999" s="161"/>
      <c r="L5999" s="94"/>
      <c r="M5999" s="159"/>
      <c r="N5999" s="94"/>
    </row>
    <row r="6000">
      <c r="A6000" s="107">
        <v>1630560.0</v>
      </c>
      <c r="B6000" s="116" t="s">
        <v>246</v>
      </c>
      <c r="C6000" s="116" t="s">
        <v>1466</v>
      </c>
      <c r="D6000" s="100" t="str">
        <f t="shared" si="1"/>
        <v/>
      </c>
      <c r="E6000" s="100" t="str">
        <f t="shared" si="2"/>
        <v/>
      </c>
      <c r="F6000" s="100" t="str">
        <f t="shared" si="3"/>
        <v/>
      </c>
      <c r="G6000" s="151"/>
      <c r="H6000" s="160"/>
      <c r="I6000" s="157"/>
      <c r="J6000" s="158"/>
      <c r="L6000" s="94"/>
      <c r="M6000" s="159"/>
      <c r="N6000" s="94"/>
    </row>
    <row r="6001">
      <c r="A6001" s="114">
        <v>1630560.0</v>
      </c>
      <c r="B6001" s="131" t="s">
        <v>247</v>
      </c>
      <c r="C6001" s="131" t="s">
        <v>1466</v>
      </c>
      <c r="D6001" s="100" t="str">
        <f t="shared" si="1"/>
        <v/>
      </c>
      <c r="E6001" s="100" t="str">
        <f t="shared" si="2"/>
        <v/>
      </c>
      <c r="F6001" s="100" t="str">
        <f t="shared" si="3"/>
        <v/>
      </c>
      <c r="G6001" s="151"/>
      <c r="H6001" s="156"/>
      <c r="I6001" s="157"/>
      <c r="J6001" s="161"/>
      <c r="L6001" s="94"/>
      <c r="M6001" s="159"/>
      <c r="N6001" s="94"/>
    </row>
    <row r="6002">
      <c r="A6002" s="107">
        <v>1630561.0</v>
      </c>
      <c r="B6002" s="116" t="s">
        <v>215</v>
      </c>
      <c r="C6002" s="116" t="s">
        <v>1467</v>
      </c>
      <c r="D6002" s="100" t="str">
        <f t="shared" si="1"/>
        <v/>
      </c>
      <c r="E6002" s="100" t="str">
        <f t="shared" si="2"/>
        <v/>
      </c>
      <c r="F6002" s="100" t="str">
        <f t="shared" si="3"/>
        <v/>
      </c>
      <c r="G6002" s="151"/>
      <c r="H6002" s="160"/>
      <c r="I6002" s="157"/>
      <c r="J6002" s="158"/>
      <c r="L6002" s="94"/>
      <c r="M6002" s="159"/>
      <c r="N6002" s="94"/>
    </row>
    <row r="6003">
      <c r="A6003" s="107">
        <v>1630561.0</v>
      </c>
      <c r="B6003" s="116" t="s">
        <v>244</v>
      </c>
      <c r="C6003" s="116" t="s">
        <v>1467</v>
      </c>
      <c r="D6003" s="100" t="str">
        <f t="shared" si="1"/>
        <v/>
      </c>
      <c r="E6003" s="100" t="str">
        <f t="shared" si="2"/>
        <v/>
      </c>
      <c r="F6003" s="100" t="str">
        <f t="shared" si="3"/>
        <v/>
      </c>
      <c r="G6003" s="151"/>
      <c r="H6003" s="156"/>
      <c r="I6003" s="157"/>
      <c r="J6003" s="161"/>
      <c r="L6003" s="94"/>
      <c r="M6003" s="159"/>
      <c r="N6003" s="94"/>
    </row>
    <row r="6004">
      <c r="A6004" s="107">
        <v>1630561.0</v>
      </c>
      <c r="B6004" s="116" t="s">
        <v>245</v>
      </c>
      <c r="C6004" s="116" t="s">
        <v>1467</v>
      </c>
      <c r="D6004" s="100" t="str">
        <f t="shared" si="1"/>
        <v/>
      </c>
      <c r="E6004" s="100" t="str">
        <f t="shared" si="2"/>
        <v/>
      </c>
      <c r="F6004" s="100" t="str">
        <f t="shared" si="3"/>
        <v/>
      </c>
      <c r="G6004" s="151"/>
      <c r="H6004" s="160"/>
      <c r="I6004" s="157"/>
      <c r="J6004" s="158"/>
      <c r="L6004" s="94"/>
      <c r="M6004" s="159"/>
      <c r="N6004" s="94"/>
    </row>
    <row r="6005">
      <c r="A6005" s="107">
        <v>1630561.0</v>
      </c>
      <c r="B6005" s="116" t="s">
        <v>246</v>
      </c>
      <c r="C6005" s="116" t="s">
        <v>1467</v>
      </c>
      <c r="D6005" s="100" t="str">
        <f t="shared" si="1"/>
        <v/>
      </c>
      <c r="E6005" s="100" t="str">
        <f t="shared" si="2"/>
        <v/>
      </c>
      <c r="F6005" s="100" t="str">
        <f t="shared" si="3"/>
        <v/>
      </c>
      <c r="G6005" s="151"/>
      <c r="H6005" s="156"/>
      <c r="I6005" s="157"/>
      <c r="J6005" s="161"/>
      <c r="L6005" s="94"/>
      <c r="M6005" s="159"/>
      <c r="N6005" s="94"/>
    </row>
    <row r="6006">
      <c r="A6006" s="107">
        <v>1630563.0</v>
      </c>
      <c r="B6006" s="116" t="s">
        <v>215</v>
      </c>
      <c r="C6006" s="116" t="s">
        <v>1468</v>
      </c>
      <c r="D6006" s="100" t="str">
        <f t="shared" si="1"/>
        <v/>
      </c>
      <c r="E6006" s="100" t="str">
        <f t="shared" si="2"/>
        <v/>
      </c>
      <c r="F6006" s="100" t="str">
        <f t="shared" si="3"/>
        <v/>
      </c>
      <c r="G6006" s="151"/>
      <c r="H6006" s="160"/>
      <c r="I6006" s="157"/>
      <c r="J6006" s="158"/>
      <c r="L6006" s="94"/>
      <c r="M6006" s="159"/>
      <c r="N6006" s="94"/>
    </row>
    <row r="6007">
      <c r="A6007" s="107">
        <v>1630563.0</v>
      </c>
      <c r="B6007" s="116" t="s">
        <v>244</v>
      </c>
      <c r="C6007" s="116" t="s">
        <v>1468</v>
      </c>
      <c r="D6007" s="100" t="str">
        <f t="shared" si="1"/>
        <v/>
      </c>
      <c r="E6007" s="100" t="str">
        <f t="shared" si="2"/>
        <v/>
      </c>
      <c r="F6007" s="100" t="str">
        <f t="shared" si="3"/>
        <v/>
      </c>
      <c r="G6007" s="151"/>
      <c r="H6007" s="156"/>
      <c r="I6007" s="157"/>
      <c r="J6007" s="161"/>
      <c r="L6007" s="94"/>
      <c r="M6007" s="159"/>
      <c r="N6007" s="94"/>
    </row>
    <row r="6008">
      <c r="A6008" s="107">
        <v>1630563.0</v>
      </c>
      <c r="B6008" s="116" t="s">
        <v>245</v>
      </c>
      <c r="C6008" s="116" t="s">
        <v>1468</v>
      </c>
      <c r="D6008" s="100" t="str">
        <f t="shared" si="1"/>
        <v/>
      </c>
      <c r="E6008" s="100" t="str">
        <f t="shared" si="2"/>
        <v/>
      </c>
      <c r="F6008" s="100" t="str">
        <f t="shared" si="3"/>
        <v/>
      </c>
      <c r="G6008" s="151"/>
      <c r="H6008" s="160"/>
      <c r="I6008" s="157"/>
      <c r="J6008" s="158"/>
      <c r="L6008" s="94"/>
      <c r="M6008" s="159"/>
      <c r="N6008" s="94"/>
    </row>
    <row r="6009">
      <c r="A6009" s="107">
        <v>1630564.0</v>
      </c>
      <c r="B6009" s="116" t="s">
        <v>244</v>
      </c>
      <c r="C6009" s="116" t="s">
        <v>1469</v>
      </c>
      <c r="D6009" s="100" t="str">
        <f t="shared" si="1"/>
        <v/>
      </c>
      <c r="E6009" s="100" t="str">
        <f t="shared" si="2"/>
        <v/>
      </c>
      <c r="F6009" s="100" t="str">
        <f t="shared" si="3"/>
        <v/>
      </c>
      <c r="G6009" s="151"/>
      <c r="H6009" s="156"/>
      <c r="I6009" s="157"/>
      <c r="J6009" s="161"/>
      <c r="L6009" s="94"/>
      <c r="M6009" s="159"/>
      <c r="N6009" s="94"/>
    </row>
    <row r="6010">
      <c r="A6010" s="107">
        <v>1630564.0</v>
      </c>
      <c r="B6010" s="116" t="s">
        <v>245</v>
      </c>
      <c r="C6010" s="116" t="s">
        <v>1469</v>
      </c>
      <c r="D6010" s="100" t="str">
        <f t="shared" si="1"/>
        <v/>
      </c>
      <c r="E6010" s="100" t="str">
        <f t="shared" si="2"/>
        <v/>
      </c>
      <c r="F6010" s="100" t="str">
        <f t="shared" si="3"/>
        <v/>
      </c>
      <c r="G6010" s="151"/>
      <c r="H6010" s="160"/>
      <c r="I6010" s="157"/>
      <c r="J6010" s="158"/>
      <c r="L6010" s="94"/>
      <c r="M6010" s="159"/>
      <c r="N6010" s="94"/>
    </row>
    <row r="6011">
      <c r="A6011" s="107">
        <v>1630565.0</v>
      </c>
      <c r="B6011" s="116" t="s">
        <v>215</v>
      </c>
      <c r="C6011" s="116" t="s">
        <v>1470</v>
      </c>
      <c r="D6011" s="100" t="str">
        <f t="shared" si="1"/>
        <v/>
      </c>
      <c r="E6011" s="100" t="str">
        <f t="shared" si="2"/>
        <v/>
      </c>
      <c r="F6011" s="100" t="str">
        <f t="shared" si="3"/>
        <v/>
      </c>
      <c r="G6011" s="151"/>
      <c r="H6011" s="156"/>
      <c r="I6011" s="157"/>
      <c r="J6011" s="161"/>
      <c r="L6011" s="94"/>
      <c r="M6011" s="159"/>
      <c r="N6011" s="94"/>
    </row>
    <row r="6012">
      <c r="A6012" s="107">
        <v>1630567.0</v>
      </c>
      <c r="B6012" s="116" t="s">
        <v>215</v>
      </c>
      <c r="C6012" s="116" t="s">
        <v>1471</v>
      </c>
      <c r="D6012" s="100" t="str">
        <f t="shared" si="1"/>
        <v/>
      </c>
      <c r="E6012" s="100" t="str">
        <f t="shared" si="2"/>
        <v/>
      </c>
      <c r="F6012" s="100" t="str">
        <f t="shared" si="3"/>
        <v/>
      </c>
      <c r="G6012" s="151"/>
      <c r="H6012" s="160"/>
      <c r="I6012" s="157"/>
      <c r="J6012" s="158"/>
      <c r="L6012" s="94"/>
      <c r="M6012" s="159"/>
      <c r="N6012" s="94"/>
    </row>
    <row r="6013">
      <c r="A6013" s="107">
        <v>1630567.0</v>
      </c>
      <c r="B6013" s="116" t="s">
        <v>244</v>
      </c>
      <c r="C6013" s="116" t="s">
        <v>1471</v>
      </c>
      <c r="D6013" s="100" t="str">
        <f t="shared" si="1"/>
        <v/>
      </c>
      <c r="E6013" s="100" t="str">
        <f t="shared" si="2"/>
        <v/>
      </c>
      <c r="F6013" s="100" t="str">
        <f t="shared" si="3"/>
        <v/>
      </c>
      <c r="G6013" s="151"/>
      <c r="H6013" s="156"/>
      <c r="I6013" s="157"/>
      <c r="J6013" s="161"/>
      <c r="L6013" s="94"/>
      <c r="M6013" s="159"/>
      <c r="N6013" s="94"/>
    </row>
    <row r="6014">
      <c r="A6014" s="107">
        <v>1630567.0</v>
      </c>
      <c r="B6014" s="116" t="s">
        <v>245</v>
      </c>
      <c r="C6014" s="116" t="s">
        <v>1471</v>
      </c>
      <c r="D6014" s="100" t="str">
        <f t="shared" si="1"/>
        <v/>
      </c>
      <c r="E6014" s="100" t="str">
        <f t="shared" si="2"/>
        <v/>
      </c>
      <c r="F6014" s="100" t="str">
        <f t="shared" si="3"/>
        <v/>
      </c>
      <c r="G6014" s="151"/>
      <c r="H6014" s="160"/>
      <c r="I6014" s="157"/>
      <c r="J6014" s="158"/>
      <c r="L6014" s="94"/>
      <c r="M6014" s="159"/>
      <c r="N6014" s="94"/>
    </row>
    <row r="6015">
      <c r="A6015" s="107">
        <v>1630567.0</v>
      </c>
      <c r="B6015" s="116" t="s">
        <v>246</v>
      </c>
      <c r="C6015" s="116" t="s">
        <v>1471</v>
      </c>
      <c r="D6015" s="100" t="str">
        <f t="shared" si="1"/>
        <v/>
      </c>
      <c r="E6015" s="100" t="str">
        <f t="shared" si="2"/>
        <v/>
      </c>
      <c r="F6015" s="100" t="str">
        <f t="shared" si="3"/>
        <v/>
      </c>
      <c r="G6015" s="151"/>
      <c r="H6015" s="156"/>
      <c r="I6015" s="157"/>
      <c r="J6015" s="161"/>
      <c r="L6015" s="94"/>
      <c r="M6015" s="159"/>
      <c r="N6015" s="94"/>
    </row>
    <row r="6016">
      <c r="A6016" s="114">
        <v>1630567.0</v>
      </c>
      <c r="B6016" s="131" t="s">
        <v>247</v>
      </c>
      <c r="C6016" s="131" t="s">
        <v>1471</v>
      </c>
      <c r="D6016" s="100" t="str">
        <f t="shared" si="1"/>
        <v/>
      </c>
      <c r="E6016" s="100" t="str">
        <f t="shared" si="2"/>
        <v/>
      </c>
      <c r="F6016" s="100" t="str">
        <f t="shared" si="3"/>
        <v/>
      </c>
      <c r="G6016" s="151"/>
      <c r="H6016" s="160"/>
      <c r="I6016" s="157"/>
      <c r="J6016" s="158"/>
      <c r="L6016" s="94"/>
      <c r="M6016" s="159"/>
      <c r="N6016" s="94"/>
    </row>
    <row r="6017">
      <c r="A6017" s="107">
        <v>1630568.0</v>
      </c>
      <c r="B6017" s="116" t="s">
        <v>215</v>
      </c>
      <c r="C6017" s="116" t="s">
        <v>1472</v>
      </c>
      <c r="D6017" s="100" t="str">
        <f t="shared" si="1"/>
        <v/>
      </c>
      <c r="E6017" s="100" t="str">
        <f t="shared" si="2"/>
        <v/>
      </c>
      <c r="F6017" s="100" t="str">
        <f t="shared" si="3"/>
        <v/>
      </c>
      <c r="G6017" s="151"/>
      <c r="H6017" s="156"/>
      <c r="I6017" s="157"/>
      <c r="J6017" s="161"/>
      <c r="L6017" s="94"/>
      <c r="M6017" s="159"/>
      <c r="N6017" s="94"/>
    </row>
    <row r="6018">
      <c r="A6018" s="107">
        <v>1630568.0</v>
      </c>
      <c r="B6018" s="116" t="s">
        <v>244</v>
      </c>
      <c r="C6018" s="116" t="s">
        <v>1472</v>
      </c>
      <c r="D6018" s="100" t="str">
        <f t="shared" si="1"/>
        <v/>
      </c>
      <c r="E6018" s="100" t="str">
        <f t="shared" si="2"/>
        <v/>
      </c>
      <c r="F6018" s="100" t="str">
        <f t="shared" si="3"/>
        <v/>
      </c>
      <c r="G6018" s="151"/>
      <c r="H6018" s="160"/>
      <c r="I6018" s="157"/>
      <c r="J6018" s="158"/>
      <c r="L6018" s="94"/>
      <c r="M6018" s="159"/>
      <c r="N6018" s="94"/>
    </row>
    <row r="6019">
      <c r="A6019" s="107">
        <v>1630568.0</v>
      </c>
      <c r="B6019" s="116" t="s">
        <v>245</v>
      </c>
      <c r="C6019" s="116" t="s">
        <v>1472</v>
      </c>
      <c r="D6019" s="100" t="str">
        <f t="shared" si="1"/>
        <v/>
      </c>
      <c r="E6019" s="100" t="str">
        <f t="shared" si="2"/>
        <v/>
      </c>
      <c r="F6019" s="100" t="str">
        <f t="shared" si="3"/>
        <v/>
      </c>
      <c r="G6019" s="151"/>
      <c r="H6019" s="156"/>
      <c r="I6019" s="157"/>
      <c r="J6019" s="161"/>
      <c r="L6019" s="94"/>
      <c r="M6019" s="159"/>
      <c r="N6019" s="94"/>
    </row>
    <row r="6020">
      <c r="A6020" s="107">
        <v>1630568.0</v>
      </c>
      <c r="B6020" s="116" t="s">
        <v>246</v>
      </c>
      <c r="C6020" s="116" t="s">
        <v>1472</v>
      </c>
      <c r="D6020" s="100" t="str">
        <f t="shared" si="1"/>
        <v/>
      </c>
      <c r="E6020" s="100" t="str">
        <f t="shared" si="2"/>
        <v/>
      </c>
      <c r="F6020" s="100" t="str">
        <f t="shared" si="3"/>
        <v/>
      </c>
      <c r="G6020" s="151"/>
      <c r="H6020" s="160"/>
      <c r="I6020" s="157"/>
      <c r="J6020" s="158"/>
      <c r="L6020" s="94"/>
      <c r="M6020" s="159"/>
      <c r="N6020" s="94"/>
    </row>
    <row r="6021">
      <c r="A6021" s="114">
        <v>1630568.0</v>
      </c>
      <c r="B6021" s="131" t="s">
        <v>247</v>
      </c>
      <c r="C6021" s="131" t="s">
        <v>1472</v>
      </c>
      <c r="D6021" s="100" t="str">
        <f t="shared" si="1"/>
        <v/>
      </c>
      <c r="E6021" s="100" t="str">
        <f t="shared" si="2"/>
        <v/>
      </c>
      <c r="F6021" s="100" t="str">
        <f t="shared" si="3"/>
        <v/>
      </c>
      <c r="G6021" s="151"/>
      <c r="H6021" s="156"/>
      <c r="I6021" s="157"/>
      <c r="J6021" s="161"/>
      <c r="L6021" s="94"/>
      <c r="M6021" s="159"/>
      <c r="N6021" s="94"/>
    </row>
    <row r="6022">
      <c r="A6022" s="107">
        <v>1630569.0</v>
      </c>
      <c r="B6022" s="116" t="s">
        <v>246</v>
      </c>
      <c r="C6022" s="116" t="s">
        <v>1473</v>
      </c>
      <c r="D6022" s="100" t="str">
        <f t="shared" si="1"/>
        <v/>
      </c>
      <c r="E6022" s="100" t="str">
        <f t="shared" si="2"/>
        <v/>
      </c>
      <c r="F6022" s="100" t="str">
        <f t="shared" si="3"/>
        <v/>
      </c>
      <c r="G6022" s="151"/>
      <c r="H6022" s="160"/>
      <c r="I6022" s="157"/>
      <c r="J6022" s="158"/>
      <c r="L6022" s="94"/>
      <c r="M6022" s="159"/>
      <c r="N6022" s="94"/>
    </row>
    <row r="6023">
      <c r="A6023" s="107">
        <v>1630570.0</v>
      </c>
      <c r="B6023" s="116" t="s">
        <v>215</v>
      </c>
      <c r="C6023" s="116" t="s">
        <v>1474</v>
      </c>
      <c r="D6023" s="100" t="str">
        <f t="shared" si="1"/>
        <v/>
      </c>
      <c r="E6023" s="100" t="str">
        <f t="shared" si="2"/>
        <v/>
      </c>
      <c r="F6023" s="100" t="str">
        <f t="shared" si="3"/>
        <v/>
      </c>
      <c r="G6023" s="151"/>
      <c r="H6023" s="156"/>
      <c r="I6023" s="157"/>
      <c r="J6023" s="161"/>
      <c r="L6023" s="94"/>
      <c r="M6023" s="159"/>
      <c r="N6023" s="94"/>
    </row>
    <row r="6024">
      <c r="A6024" s="107">
        <v>1630570.0</v>
      </c>
      <c r="B6024" s="116" t="s">
        <v>244</v>
      </c>
      <c r="C6024" s="116" t="s">
        <v>1474</v>
      </c>
      <c r="D6024" s="100" t="str">
        <f t="shared" si="1"/>
        <v/>
      </c>
      <c r="E6024" s="100" t="str">
        <f t="shared" si="2"/>
        <v/>
      </c>
      <c r="F6024" s="100" t="str">
        <f t="shared" si="3"/>
        <v/>
      </c>
      <c r="G6024" s="151"/>
      <c r="H6024" s="160"/>
      <c r="I6024" s="157"/>
      <c r="J6024" s="158"/>
      <c r="L6024" s="94"/>
      <c r="M6024" s="159"/>
      <c r="N6024" s="94"/>
    </row>
    <row r="6025">
      <c r="A6025" s="107">
        <v>1630570.0</v>
      </c>
      <c r="B6025" s="116" t="s">
        <v>245</v>
      </c>
      <c r="C6025" s="116" t="s">
        <v>1474</v>
      </c>
      <c r="D6025" s="100" t="str">
        <f t="shared" si="1"/>
        <v/>
      </c>
      <c r="E6025" s="100" t="str">
        <f t="shared" si="2"/>
        <v/>
      </c>
      <c r="F6025" s="100" t="str">
        <f t="shared" si="3"/>
        <v/>
      </c>
      <c r="G6025" s="151"/>
      <c r="H6025" s="156"/>
      <c r="I6025" s="157"/>
      <c r="J6025" s="161"/>
      <c r="L6025" s="94"/>
      <c r="M6025" s="159"/>
      <c r="N6025" s="94"/>
    </row>
    <row r="6026">
      <c r="A6026" s="107">
        <v>1630570.0</v>
      </c>
      <c r="B6026" s="116" t="s">
        <v>246</v>
      </c>
      <c r="C6026" s="116" t="s">
        <v>1474</v>
      </c>
      <c r="D6026" s="100" t="str">
        <f t="shared" si="1"/>
        <v/>
      </c>
      <c r="E6026" s="100" t="str">
        <f t="shared" si="2"/>
        <v/>
      </c>
      <c r="F6026" s="100" t="str">
        <f t="shared" si="3"/>
        <v/>
      </c>
      <c r="G6026" s="151"/>
      <c r="H6026" s="160"/>
      <c r="I6026" s="157"/>
      <c r="J6026" s="158"/>
      <c r="L6026" s="94"/>
      <c r="M6026" s="159"/>
      <c r="N6026" s="94"/>
    </row>
    <row r="6027">
      <c r="A6027" s="114">
        <v>1630570.0</v>
      </c>
      <c r="B6027" s="131" t="s">
        <v>247</v>
      </c>
      <c r="C6027" s="131" t="s">
        <v>1474</v>
      </c>
      <c r="D6027" s="100" t="str">
        <f t="shared" si="1"/>
        <v/>
      </c>
      <c r="E6027" s="100" t="str">
        <f t="shared" si="2"/>
        <v/>
      </c>
      <c r="F6027" s="100" t="str">
        <f t="shared" si="3"/>
        <v/>
      </c>
      <c r="G6027" s="151"/>
      <c r="H6027" s="156"/>
      <c r="I6027" s="157"/>
      <c r="J6027" s="161"/>
      <c r="L6027" s="94"/>
      <c r="M6027" s="159"/>
      <c r="N6027" s="94"/>
    </row>
    <row r="6028">
      <c r="A6028" s="107">
        <v>1630572.0</v>
      </c>
      <c r="B6028" s="116" t="s">
        <v>215</v>
      </c>
      <c r="C6028" s="116" t="s">
        <v>1475</v>
      </c>
      <c r="D6028" s="100" t="str">
        <f t="shared" si="1"/>
        <v/>
      </c>
      <c r="E6028" s="100" t="str">
        <f t="shared" si="2"/>
        <v/>
      </c>
      <c r="F6028" s="100" t="str">
        <f t="shared" si="3"/>
        <v/>
      </c>
      <c r="G6028" s="151"/>
      <c r="H6028" s="160"/>
      <c r="I6028" s="157"/>
      <c r="J6028" s="158"/>
      <c r="L6028" s="94"/>
      <c r="M6028" s="159"/>
      <c r="N6028" s="94"/>
    </row>
    <row r="6029">
      <c r="A6029" s="107">
        <v>1630572.0</v>
      </c>
      <c r="B6029" s="116" t="s">
        <v>244</v>
      </c>
      <c r="C6029" s="116" t="s">
        <v>1475</v>
      </c>
      <c r="D6029" s="100" t="str">
        <f t="shared" si="1"/>
        <v/>
      </c>
      <c r="E6029" s="100" t="str">
        <f t="shared" si="2"/>
        <v/>
      </c>
      <c r="F6029" s="100" t="str">
        <f t="shared" si="3"/>
        <v/>
      </c>
      <c r="G6029" s="151"/>
      <c r="H6029" s="156"/>
      <c r="I6029" s="157"/>
      <c r="J6029" s="161"/>
      <c r="L6029" s="94"/>
      <c r="M6029" s="159"/>
      <c r="N6029" s="94"/>
    </row>
    <row r="6030">
      <c r="A6030" s="107">
        <v>1630572.0</v>
      </c>
      <c r="B6030" s="116" t="s">
        <v>245</v>
      </c>
      <c r="C6030" s="116" t="s">
        <v>1475</v>
      </c>
      <c r="D6030" s="100" t="str">
        <f t="shared" si="1"/>
        <v/>
      </c>
      <c r="E6030" s="100" t="str">
        <f t="shared" si="2"/>
        <v/>
      </c>
      <c r="F6030" s="100" t="str">
        <f t="shared" si="3"/>
        <v/>
      </c>
      <c r="G6030" s="151"/>
      <c r="H6030" s="160"/>
      <c r="I6030" s="157"/>
      <c r="J6030" s="158"/>
      <c r="L6030" s="94"/>
      <c r="M6030" s="159"/>
      <c r="N6030" s="94"/>
    </row>
    <row r="6031">
      <c r="A6031" s="107">
        <v>1630572.0</v>
      </c>
      <c r="B6031" s="116" t="s">
        <v>246</v>
      </c>
      <c r="C6031" s="116" t="s">
        <v>1475</v>
      </c>
      <c r="D6031" s="100" t="str">
        <f t="shared" si="1"/>
        <v/>
      </c>
      <c r="E6031" s="100" t="str">
        <f t="shared" si="2"/>
        <v/>
      </c>
      <c r="F6031" s="100" t="str">
        <f t="shared" si="3"/>
        <v/>
      </c>
      <c r="G6031" s="151"/>
      <c r="H6031" s="156"/>
      <c r="I6031" s="157"/>
      <c r="J6031" s="161"/>
      <c r="L6031" s="94"/>
      <c r="M6031" s="159"/>
      <c r="N6031" s="94"/>
    </row>
    <row r="6032">
      <c r="A6032" s="114">
        <v>1630572.0</v>
      </c>
      <c r="B6032" s="131" t="s">
        <v>247</v>
      </c>
      <c r="C6032" s="131" t="s">
        <v>1475</v>
      </c>
      <c r="D6032" s="100" t="str">
        <f t="shared" si="1"/>
        <v/>
      </c>
      <c r="E6032" s="100" t="str">
        <f t="shared" si="2"/>
        <v/>
      </c>
      <c r="F6032" s="100" t="str">
        <f t="shared" si="3"/>
        <v/>
      </c>
      <c r="G6032" s="151"/>
      <c r="H6032" s="160"/>
      <c r="I6032" s="157"/>
      <c r="J6032" s="158"/>
      <c r="L6032" s="94"/>
      <c r="M6032" s="159"/>
      <c r="N6032" s="94"/>
    </row>
    <row r="6033">
      <c r="A6033" s="107">
        <v>1630573.0</v>
      </c>
      <c r="B6033" s="116" t="s">
        <v>215</v>
      </c>
      <c r="C6033" s="116" t="s">
        <v>1476</v>
      </c>
      <c r="D6033" s="100" t="str">
        <f t="shared" si="1"/>
        <v/>
      </c>
      <c r="E6033" s="100" t="str">
        <f t="shared" si="2"/>
        <v/>
      </c>
      <c r="F6033" s="100" t="str">
        <f t="shared" si="3"/>
        <v/>
      </c>
      <c r="G6033" s="151"/>
      <c r="H6033" s="156"/>
      <c r="I6033" s="157"/>
      <c r="J6033" s="161"/>
      <c r="L6033" s="94"/>
      <c r="M6033" s="159"/>
      <c r="N6033" s="94"/>
    </row>
    <row r="6034">
      <c r="A6034" s="107">
        <v>1630573.0</v>
      </c>
      <c r="B6034" s="116" t="s">
        <v>244</v>
      </c>
      <c r="C6034" s="116" t="s">
        <v>1476</v>
      </c>
      <c r="D6034" s="100" t="str">
        <f t="shared" si="1"/>
        <v/>
      </c>
      <c r="E6034" s="100" t="str">
        <f t="shared" si="2"/>
        <v/>
      </c>
      <c r="F6034" s="100" t="str">
        <f t="shared" si="3"/>
        <v/>
      </c>
      <c r="G6034" s="151"/>
      <c r="H6034" s="160"/>
      <c r="I6034" s="157"/>
      <c r="J6034" s="158"/>
      <c r="L6034" s="94"/>
      <c r="M6034" s="159"/>
      <c r="N6034" s="94"/>
    </row>
    <row r="6035">
      <c r="A6035" s="107">
        <v>1630573.0</v>
      </c>
      <c r="B6035" s="116" t="s">
        <v>245</v>
      </c>
      <c r="C6035" s="116" t="s">
        <v>1476</v>
      </c>
      <c r="D6035" s="100" t="str">
        <f t="shared" si="1"/>
        <v/>
      </c>
      <c r="E6035" s="100" t="str">
        <f t="shared" si="2"/>
        <v/>
      </c>
      <c r="F6035" s="100" t="str">
        <f t="shared" si="3"/>
        <v/>
      </c>
      <c r="G6035" s="151"/>
      <c r="H6035" s="156"/>
      <c r="I6035" s="157"/>
      <c r="J6035" s="161"/>
      <c r="L6035" s="94"/>
      <c r="M6035" s="159"/>
      <c r="N6035" s="94"/>
    </row>
    <row r="6036">
      <c r="A6036" s="107">
        <v>1630573.0</v>
      </c>
      <c r="B6036" s="116" t="s">
        <v>246</v>
      </c>
      <c r="C6036" s="116" t="s">
        <v>1476</v>
      </c>
      <c r="D6036" s="100" t="str">
        <f t="shared" si="1"/>
        <v/>
      </c>
      <c r="E6036" s="100" t="str">
        <f t="shared" si="2"/>
        <v/>
      </c>
      <c r="F6036" s="100" t="str">
        <f t="shared" si="3"/>
        <v/>
      </c>
      <c r="G6036" s="151"/>
      <c r="H6036" s="160"/>
      <c r="I6036" s="157"/>
      <c r="J6036" s="158"/>
      <c r="L6036" s="94"/>
      <c r="M6036" s="159"/>
      <c r="N6036" s="94"/>
    </row>
    <row r="6037">
      <c r="A6037" s="114">
        <v>1630573.0</v>
      </c>
      <c r="B6037" s="131" t="s">
        <v>247</v>
      </c>
      <c r="C6037" s="131" t="s">
        <v>1476</v>
      </c>
      <c r="D6037" s="100" t="str">
        <f t="shared" si="1"/>
        <v/>
      </c>
      <c r="E6037" s="100" t="str">
        <f t="shared" si="2"/>
        <v/>
      </c>
      <c r="F6037" s="100" t="str">
        <f t="shared" si="3"/>
        <v/>
      </c>
      <c r="G6037" s="151"/>
      <c r="H6037" s="156"/>
      <c r="I6037" s="157"/>
      <c r="J6037" s="161"/>
      <c r="L6037" s="94"/>
      <c r="M6037" s="159"/>
      <c r="N6037" s="94"/>
    </row>
    <row r="6038">
      <c r="A6038" s="107">
        <v>1630574.0</v>
      </c>
      <c r="B6038" s="116" t="s">
        <v>246</v>
      </c>
      <c r="C6038" s="116" t="s">
        <v>1477</v>
      </c>
      <c r="D6038" s="100" t="str">
        <f t="shared" si="1"/>
        <v/>
      </c>
      <c r="E6038" s="100" t="str">
        <f t="shared" si="2"/>
        <v/>
      </c>
      <c r="F6038" s="100" t="str">
        <f t="shared" si="3"/>
        <v/>
      </c>
      <c r="G6038" s="151"/>
      <c r="H6038" s="160"/>
      <c r="I6038" s="157"/>
      <c r="J6038" s="158"/>
      <c r="L6038" s="94"/>
      <c r="M6038" s="159"/>
      <c r="N6038" s="94"/>
    </row>
    <row r="6039">
      <c r="A6039" s="114">
        <v>1630574.0</v>
      </c>
      <c r="B6039" s="131" t="s">
        <v>247</v>
      </c>
      <c r="C6039" s="131" t="s">
        <v>1477</v>
      </c>
      <c r="D6039" s="100" t="str">
        <f t="shared" si="1"/>
        <v/>
      </c>
      <c r="E6039" s="100" t="str">
        <f t="shared" si="2"/>
        <v/>
      </c>
      <c r="F6039" s="100" t="str">
        <f t="shared" si="3"/>
        <v/>
      </c>
      <c r="G6039" s="151"/>
      <c r="H6039" s="156"/>
      <c r="I6039" s="157"/>
      <c r="J6039" s="161"/>
      <c r="L6039" s="94"/>
      <c r="M6039" s="159"/>
      <c r="N6039" s="94"/>
    </row>
    <row r="6040">
      <c r="A6040" s="107">
        <v>1630575.0</v>
      </c>
      <c r="B6040" s="116" t="s">
        <v>215</v>
      </c>
      <c r="C6040" s="116" t="s">
        <v>1478</v>
      </c>
      <c r="D6040" s="100" t="str">
        <f t="shared" si="1"/>
        <v/>
      </c>
      <c r="E6040" s="100" t="str">
        <f t="shared" si="2"/>
        <v/>
      </c>
      <c r="F6040" s="100" t="str">
        <f t="shared" si="3"/>
        <v/>
      </c>
      <c r="G6040" s="151"/>
      <c r="H6040" s="160"/>
      <c r="I6040" s="157"/>
      <c r="J6040" s="158"/>
      <c r="L6040" s="94"/>
      <c r="M6040" s="159"/>
      <c r="N6040" s="94"/>
    </row>
    <row r="6041">
      <c r="A6041" s="107">
        <v>1630577.0</v>
      </c>
      <c r="B6041" s="116" t="s">
        <v>244</v>
      </c>
      <c r="C6041" s="116" t="s">
        <v>1479</v>
      </c>
      <c r="D6041" s="100" t="str">
        <f t="shared" si="1"/>
        <v/>
      </c>
      <c r="E6041" s="100" t="str">
        <f t="shared" si="2"/>
        <v/>
      </c>
      <c r="F6041" s="100" t="str">
        <f t="shared" si="3"/>
        <v/>
      </c>
      <c r="G6041" s="151"/>
      <c r="H6041" s="156"/>
      <c r="I6041" s="157"/>
      <c r="J6041" s="161"/>
      <c r="L6041" s="94"/>
      <c r="M6041" s="159"/>
      <c r="N6041" s="94"/>
    </row>
    <row r="6042">
      <c r="A6042" s="107">
        <v>1630577.0</v>
      </c>
      <c r="B6042" s="116" t="s">
        <v>245</v>
      </c>
      <c r="C6042" s="116" t="s">
        <v>1479</v>
      </c>
      <c r="D6042" s="100" t="str">
        <f t="shared" si="1"/>
        <v/>
      </c>
      <c r="E6042" s="100" t="str">
        <f t="shared" si="2"/>
        <v/>
      </c>
      <c r="F6042" s="100" t="str">
        <f t="shared" si="3"/>
        <v/>
      </c>
      <c r="G6042" s="151"/>
      <c r="H6042" s="160"/>
      <c r="I6042" s="157"/>
      <c r="J6042" s="158"/>
      <c r="L6042" s="94"/>
      <c r="M6042" s="159"/>
      <c r="N6042" s="94"/>
    </row>
    <row r="6043">
      <c r="A6043" s="107">
        <v>1630577.0</v>
      </c>
      <c r="B6043" s="116" t="s">
        <v>246</v>
      </c>
      <c r="C6043" s="116" t="s">
        <v>1479</v>
      </c>
      <c r="D6043" s="100" t="str">
        <f t="shared" si="1"/>
        <v/>
      </c>
      <c r="E6043" s="100" t="str">
        <f t="shared" si="2"/>
        <v/>
      </c>
      <c r="F6043" s="100" t="str">
        <f t="shared" si="3"/>
        <v/>
      </c>
      <c r="G6043" s="151"/>
      <c r="H6043" s="156"/>
      <c r="I6043" s="157"/>
      <c r="J6043" s="161"/>
      <c r="L6043" s="94"/>
      <c r="M6043" s="159"/>
      <c r="N6043" s="94"/>
    </row>
    <row r="6044">
      <c r="A6044" s="114">
        <v>1630577.0</v>
      </c>
      <c r="B6044" s="131" t="s">
        <v>247</v>
      </c>
      <c r="C6044" s="131" t="s">
        <v>1479</v>
      </c>
      <c r="D6044" s="100" t="str">
        <f t="shared" si="1"/>
        <v/>
      </c>
      <c r="E6044" s="100" t="str">
        <f t="shared" si="2"/>
        <v/>
      </c>
      <c r="F6044" s="100" t="str">
        <f t="shared" si="3"/>
        <v/>
      </c>
      <c r="G6044" s="151"/>
      <c r="H6044" s="160"/>
      <c r="I6044" s="157"/>
      <c r="J6044" s="158"/>
      <c r="L6044" s="94"/>
      <c r="M6044" s="159"/>
      <c r="N6044" s="94"/>
    </row>
    <row r="6045">
      <c r="A6045" s="107">
        <v>1630578.0</v>
      </c>
      <c r="B6045" s="116" t="s">
        <v>215</v>
      </c>
      <c r="C6045" s="116" t="s">
        <v>1480</v>
      </c>
      <c r="D6045" s="100" t="str">
        <f t="shared" si="1"/>
        <v/>
      </c>
      <c r="E6045" s="100" t="str">
        <f t="shared" si="2"/>
        <v/>
      </c>
      <c r="F6045" s="100" t="str">
        <f t="shared" si="3"/>
        <v/>
      </c>
      <c r="G6045" s="151"/>
      <c r="H6045" s="156"/>
      <c r="I6045" s="157"/>
      <c r="J6045" s="161"/>
      <c r="L6045" s="94"/>
      <c r="M6045" s="159"/>
      <c r="N6045" s="94"/>
    </row>
    <row r="6046">
      <c r="A6046" s="107">
        <v>1630578.0</v>
      </c>
      <c r="B6046" s="116" t="s">
        <v>244</v>
      </c>
      <c r="C6046" s="116" t="s">
        <v>1480</v>
      </c>
      <c r="D6046" s="100" t="str">
        <f t="shared" si="1"/>
        <v/>
      </c>
      <c r="E6046" s="100" t="str">
        <f t="shared" si="2"/>
        <v/>
      </c>
      <c r="F6046" s="100" t="str">
        <f t="shared" si="3"/>
        <v/>
      </c>
      <c r="G6046" s="151"/>
      <c r="H6046" s="160"/>
      <c r="I6046" s="157"/>
      <c r="J6046" s="158"/>
      <c r="L6046" s="94"/>
      <c r="M6046" s="159"/>
      <c r="N6046" s="94"/>
    </row>
    <row r="6047">
      <c r="A6047" s="107">
        <v>1630578.0</v>
      </c>
      <c r="B6047" s="116" t="s">
        <v>245</v>
      </c>
      <c r="C6047" s="116" t="s">
        <v>1480</v>
      </c>
      <c r="D6047" s="100" t="str">
        <f t="shared" si="1"/>
        <v/>
      </c>
      <c r="E6047" s="100" t="str">
        <f t="shared" si="2"/>
        <v/>
      </c>
      <c r="F6047" s="100" t="str">
        <f t="shared" si="3"/>
        <v/>
      </c>
      <c r="G6047" s="151"/>
      <c r="H6047" s="156"/>
      <c r="I6047" s="157"/>
      <c r="J6047" s="161"/>
      <c r="L6047" s="94"/>
      <c r="M6047" s="159"/>
      <c r="N6047" s="94"/>
    </row>
    <row r="6048">
      <c r="A6048" s="136">
        <v>1630578.0</v>
      </c>
      <c r="B6048" s="116" t="s">
        <v>246</v>
      </c>
      <c r="C6048" s="116" t="s">
        <v>1480</v>
      </c>
      <c r="D6048" s="100" t="str">
        <f t="shared" si="1"/>
        <v/>
      </c>
      <c r="E6048" s="100" t="str">
        <f t="shared" si="2"/>
        <v/>
      </c>
      <c r="F6048" s="100" t="str">
        <f t="shared" si="3"/>
        <v/>
      </c>
      <c r="G6048" s="151"/>
      <c r="H6048" s="160"/>
      <c r="I6048" s="157"/>
      <c r="J6048" s="158"/>
      <c r="L6048" s="94"/>
      <c r="M6048" s="159"/>
      <c r="N6048" s="94"/>
    </row>
    <row r="6049">
      <c r="A6049" s="114">
        <v>1630578.0</v>
      </c>
      <c r="B6049" s="131" t="s">
        <v>247</v>
      </c>
      <c r="C6049" s="131" t="s">
        <v>1480</v>
      </c>
      <c r="D6049" s="100" t="str">
        <f t="shared" si="1"/>
        <v/>
      </c>
      <c r="E6049" s="100" t="str">
        <f t="shared" si="2"/>
        <v/>
      </c>
      <c r="F6049" s="100" t="str">
        <f t="shared" si="3"/>
        <v/>
      </c>
      <c r="G6049" s="151"/>
      <c r="H6049" s="156"/>
      <c r="I6049" s="157"/>
      <c r="J6049" s="161"/>
      <c r="L6049" s="94"/>
      <c r="M6049" s="159"/>
      <c r="N6049" s="94"/>
    </row>
    <row r="6050">
      <c r="A6050" s="107">
        <v>1630579.0</v>
      </c>
      <c r="B6050" s="116" t="s">
        <v>215</v>
      </c>
      <c r="C6050" s="116" t="s">
        <v>1481</v>
      </c>
      <c r="D6050" s="100" t="str">
        <f t="shared" si="1"/>
        <v/>
      </c>
      <c r="E6050" s="100" t="str">
        <f t="shared" si="2"/>
        <v/>
      </c>
      <c r="F6050" s="100" t="str">
        <f t="shared" si="3"/>
        <v/>
      </c>
      <c r="G6050" s="151"/>
      <c r="H6050" s="160"/>
      <c r="I6050" s="157"/>
      <c r="J6050" s="158"/>
      <c r="L6050" s="94"/>
      <c r="M6050" s="159"/>
      <c r="N6050" s="94"/>
    </row>
    <row r="6051">
      <c r="A6051" s="107">
        <v>1630579.0</v>
      </c>
      <c r="B6051" s="116" t="s">
        <v>244</v>
      </c>
      <c r="C6051" s="116" t="s">
        <v>1481</v>
      </c>
      <c r="D6051" s="100" t="str">
        <f t="shared" si="1"/>
        <v/>
      </c>
      <c r="E6051" s="100" t="str">
        <f t="shared" si="2"/>
        <v/>
      </c>
      <c r="F6051" s="100" t="str">
        <f t="shared" si="3"/>
        <v/>
      </c>
      <c r="G6051" s="151"/>
      <c r="H6051" s="156"/>
      <c r="I6051" s="157"/>
      <c r="J6051" s="161"/>
      <c r="L6051" s="94"/>
      <c r="M6051" s="159"/>
      <c r="N6051" s="94"/>
    </row>
    <row r="6052">
      <c r="A6052" s="107">
        <v>1630579.0</v>
      </c>
      <c r="B6052" s="116" t="s">
        <v>245</v>
      </c>
      <c r="C6052" s="116" t="s">
        <v>1481</v>
      </c>
      <c r="D6052" s="100" t="str">
        <f t="shared" si="1"/>
        <v/>
      </c>
      <c r="E6052" s="100" t="str">
        <f t="shared" si="2"/>
        <v/>
      </c>
      <c r="F6052" s="100" t="str">
        <f t="shared" si="3"/>
        <v/>
      </c>
      <c r="G6052" s="151"/>
      <c r="H6052" s="160"/>
      <c r="I6052" s="157"/>
      <c r="J6052" s="158"/>
      <c r="L6052" s="94"/>
      <c r="M6052" s="159"/>
      <c r="N6052" s="94"/>
    </row>
    <row r="6053">
      <c r="A6053" s="107">
        <v>1630579.0</v>
      </c>
      <c r="B6053" s="116" t="s">
        <v>246</v>
      </c>
      <c r="C6053" s="116" t="s">
        <v>1481</v>
      </c>
      <c r="D6053" s="100" t="str">
        <f t="shared" si="1"/>
        <v/>
      </c>
      <c r="E6053" s="100" t="str">
        <f t="shared" si="2"/>
        <v/>
      </c>
      <c r="F6053" s="100" t="str">
        <f t="shared" si="3"/>
        <v/>
      </c>
      <c r="G6053" s="151"/>
      <c r="H6053" s="156"/>
      <c r="I6053" s="157"/>
      <c r="J6053" s="161"/>
      <c r="L6053" s="94"/>
      <c r="M6053" s="159"/>
      <c r="N6053" s="94"/>
    </row>
    <row r="6054">
      <c r="A6054" s="114">
        <v>1630579.0</v>
      </c>
      <c r="B6054" s="131" t="s">
        <v>247</v>
      </c>
      <c r="C6054" s="131" t="s">
        <v>1481</v>
      </c>
      <c r="D6054" s="100" t="str">
        <f t="shared" si="1"/>
        <v/>
      </c>
      <c r="E6054" s="100" t="str">
        <f t="shared" si="2"/>
        <v/>
      </c>
      <c r="F6054" s="100" t="str">
        <f t="shared" si="3"/>
        <v/>
      </c>
      <c r="G6054" s="151"/>
      <c r="H6054" s="160"/>
      <c r="I6054" s="157"/>
      <c r="J6054" s="158"/>
      <c r="L6054" s="94"/>
      <c r="M6054" s="159"/>
      <c r="N6054" s="94"/>
    </row>
    <row r="6055">
      <c r="A6055" s="107">
        <v>1630580.0</v>
      </c>
      <c r="B6055" s="116" t="s">
        <v>215</v>
      </c>
      <c r="C6055" s="116" t="s">
        <v>1482</v>
      </c>
      <c r="D6055" s="100" t="str">
        <f t="shared" si="1"/>
        <v/>
      </c>
      <c r="E6055" s="100" t="str">
        <f t="shared" si="2"/>
        <v/>
      </c>
      <c r="F6055" s="100" t="str">
        <f t="shared" si="3"/>
        <v/>
      </c>
      <c r="G6055" s="151"/>
      <c r="H6055" s="156"/>
      <c r="I6055" s="157"/>
      <c r="J6055" s="161"/>
      <c r="L6055" s="94"/>
      <c r="M6055" s="159"/>
      <c r="N6055" s="94"/>
    </row>
    <row r="6056">
      <c r="A6056" s="107">
        <v>1630580.0</v>
      </c>
      <c r="B6056" s="116" t="s">
        <v>244</v>
      </c>
      <c r="C6056" s="116" t="s">
        <v>1482</v>
      </c>
      <c r="D6056" s="100" t="str">
        <f t="shared" si="1"/>
        <v/>
      </c>
      <c r="E6056" s="100" t="str">
        <f t="shared" si="2"/>
        <v/>
      </c>
      <c r="F6056" s="100" t="str">
        <f t="shared" si="3"/>
        <v/>
      </c>
      <c r="G6056" s="151"/>
      <c r="H6056" s="160"/>
      <c r="I6056" s="157"/>
      <c r="J6056" s="158"/>
      <c r="L6056" s="94"/>
      <c r="M6056" s="159"/>
      <c r="N6056" s="94"/>
    </row>
    <row r="6057">
      <c r="A6057" s="107">
        <v>1630581.0</v>
      </c>
      <c r="B6057" s="116" t="s">
        <v>215</v>
      </c>
      <c r="C6057" s="116" t="s">
        <v>1483</v>
      </c>
      <c r="D6057" s="100" t="str">
        <f t="shared" si="1"/>
        <v/>
      </c>
      <c r="E6057" s="100" t="str">
        <f t="shared" si="2"/>
        <v/>
      </c>
      <c r="F6057" s="100" t="str">
        <f t="shared" si="3"/>
        <v/>
      </c>
      <c r="G6057" s="151"/>
      <c r="H6057" s="156"/>
      <c r="I6057" s="157"/>
      <c r="J6057" s="161"/>
      <c r="L6057" s="94"/>
      <c r="M6057" s="159"/>
      <c r="N6057" s="94"/>
    </row>
    <row r="6058">
      <c r="A6058" s="107">
        <v>1630581.0</v>
      </c>
      <c r="B6058" s="116" t="s">
        <v>244</v>
      </c>
      <c r="C6058" s="116" t="s">
        <v>1483</v>
      </c>
      <c r="D6058" s="100" t="str">
        <f t="shared" si="1"/>
        <v/>
      </c>
      <c r="E6058" s="100" t="str">
        <f t="shared" si="2"/>
        <v/>
      </c>
      <c r="F6058" s="100" t="str">
        <f t="shared" si="3"/>
        <v/>
      </c>
      <c r="G6058" s="151"/>
      <c r="H6058" s="160"/>
      <c r="I6058" s="157"/>
      <c r="J6058" s="158"/>
      <c r="L6058" s="94"/>
      <c r="M6058" s="159"/>
      <c r="N6058" s="94"/>
    </row>
    <row r="6059">
      <c r="A6059" s="107">
        <v>1630581.0</v>
      </c>
      <c r="B6059" s="116" t="s">
        <v>245</v>
      </c>
      <c r="C6059" s="116" t="s">
        <v>1483</v>
      </c>
      <c r="D6059" s="100" t="str">
        <f t="shared" si="1"/>
        <v/>
      </c>
      <c r="E6059" s="100" t="str">
        <f t="shared" si="2"/>
        <v/>
      </c>
      <c r="F6059" s="100" t="str">
        <f t="shared" si="3"/>
        <v/>
      </c>
      <c r="G6059" s="151"/>
      <c r="H6059" s="156"/>
      <c r="I6059" s="157"/>
      <c r="J6059" s="161"/>
      <c r="L6059" s="94"/>
      <c r="M6059" s="159"/>
      <c r="N6059" s="94"/>
    </row>
    <row r="6060">
      <c r="A6060" s="107">
        <v>1630581.0</v>
      </c>
      <c r="B6060" s="116" t="s">
        <v>246</v>
      </c>
      <c r="C6060" s="116" t="s">
        <v>1483</v>
      </c>
      <c r="D6060" s="100" t="str">
        <f t="shared" si="1"/>
        <v/>
      </c>
      <c r="E6060" s="100" t="str">
        <f t="shared" si="2"/>
        <v/>
      </c>
      <c r="F6060" s="100" t="str">
        <f t="shared" si="3"/>
        <v/>
      </c>
      <c r="G6060" s="151"/>
      <c r="H6060" s="160"/>
      <c r="I6060" s="157"/>
      <c r="J6060" s="158"/>
      <c r="L6060" s="94"/>
      <c r="M6060" s="159"/>
      <c r="N6060" s="94"/>
    </row>
    <row r="6061">
      <c r="A6061" s="114">
        <v>1630581.0</v>
      </c>
      <c r="B6061" s="131" t="s">
        <v>247</v>
      </c>
      <c r="C6061" s="131" t="s">
        <v>1483</v>
      </c>
      <c r="D6061" s="100" t="str">
        <f t="shared" si="1"/>
        <v/>
      </c>
      <c r="E6061" s="100" t="str">
        <f t="shared" si="2"/>
        <v/>
      </c>
      <c r="F6061" s="100" t="str">
        <f t="shared" si="3"/>
        <v/>
      </c>
      <c r="G6061" s="151"/>
      <c r="H6061" s="156"/>
      <c r="I6061" s="157"/>
      <c r="J6061" s="161"/>
      <c r="L6061" s="94"/>
      <c r="M6061" s="159"/>
      <c r="N6061" s="94"/>
    </row>
    <row r="6062">
      <c r="A6062" s="107">
        <v>1630582.0</v>
      </c>
      <c r="B6062" s="116" t="s">
        <v>215</v>
      </c>
      <c r="C6062" s="116" t="s">
        <v>1484</v>
      </c>
      <c r="D6062" s="100" t="str">
        <f t="shared" si="1"/>
        <v/>
      </c>
      <c r="E6062" s="100" t="str">
        <f t="shared" si="2"/>
        <v/>
      </c>
      <c r="F6062" s="100" t="str">
        <f t="shared" si="3"/>
        <v/>
      </c>
      <c r="G6062" s="151"/>
      <c r="H6062" s="160"/>
      <c r="I6062" s="157"/>
      <c r="J6062" s="158"/>
      <c r="L6062" s="94"/>
      <c r="M6062" s="159"/>
      <c r="N6062" s="94"/>
    </row>
    <row r="6063">
      <c r="A6063" s="107">
        <v>1630583.0</v>
      </c>
      <c r="B6063" s="116" t="s">
        <v>215</v>
      </c>
      <c r="C6063" s="116" t="s">
        <v>1485</v>
      </c>
      <c r="D6063" s="100" t="str">
        <f t="shared" si="1"/>
        <v/>
      </c>
      <c r="E6063" s="100" t="str">
        <f t="shared" si="2"/>
        <v/>
      </c>
      <c r="F6063" s="100" t="str">
        <f t="shared" si="3"/>
        <v/>
      </c>
      <c r="G6063" s="151"/>
      <c r="H6063" s="156"/>
      <c r="I6063" s="157"/>
      <c r="J6063" s="161"/>
      <c r="L6063" s="94"/>
      <c r="M6063" s="159"/>
      <c r="N6063" s="94"/>
    </row>
    <row r="6064">
      <c r="A6064" s="107">
        <v>1630583.0</v>
      </c>
      <c r="B6064" s="116" t="s">
        <v>244</v>
      </c>
      <c r="C6064" s="116" t="s">
        <v>1485</v>
      </c>
      <c r="D6064" s="100" t="str">
        <f t="shared" si="1"/>
        <v/>
      </c>
      <c r="E6064" s="100" t="str">
        <f t="shared" si="2"/>
        <v/>
      </c>
      <c r="F6064" s="100" t="str">
        <f t="shared" si="3"/>
        <v/>
      </c>
      <c r="G6064" s="151"/>
      <c r="H6064" s="160"/>
      <c r="I6064" s="157"/>
      <c r="J6064" s="158"/>
      <c r="L6064" s="94"/>
      <c r="M6064" s="159"/>
      <c r="N6064" s="94"/>
    </row>
    <row r="6065">
      <c r="A6065" s="107">
        <v>1630583.0</v>
      </c>
      <c r="B6065" s="116" t="s">
        <v>245</v>
      </c>
      <c r="C6065" s="116" t="s">
        <v>1485</v>
      </c>
      <c r="D6065" s="100" t="str">
        <f t="shared" si="1"/>
        <v/>
      </c>
      <c r="E6065" s="100" t="str">
        <f t="shared" si="2"/>
        <v/>
      </c>
      <c r="F6065" s="100" t="str">
        <f t="shared" si="3"/>
        <v/>
      </c>
      <c r="G6065" s="151"/>
      <c r="H6065" s="156"/>
      <c r="I6065" s="157"/>
      <c r="J6065" s="161"/>
      <c r="L6065" s="94"/>
      <c r="M6065" s="159"/>
      <c r="N6065" s="94"/>
    </row>
    <row r="6066">
      <c r="A6066" s="107">
        <v>1630583.0</v>
      </c>
      <c r="B6066" s="116" t="s">
        <v>246</v>
      </c>
      <c r="C6066" s="116" t="s">
        <v>1485</v>
      </c>
      <c r="D6066" s="100" t="str">
        <f t="shared" si="1"/>
        <v/>
      </c>
      <c r="E6066" s="100" t="str">
        <f t="shared" si="2"/>
        <v/>
      </c>
      <c r="F6066" s="100" t="str">
        <f t="shared" si="3"/>
        <v/>
      </c>
      <c r="G6066" s="151"/>
      <c r="H6066" s="160"/>
      <c r="I6066" s="157"/>
      <c r="J6066" s="158"/>
      <c r="L6066" s="94"/>
      <c r="M6066" s="159"/>
      <c r="N6066" s="94"/>
    </row>
    <row r="6067">
      <c r="A6067" s="114">
        <v>1630583.0</v>
      </c>
      <c r="B6067" s="131" t="s">
        <v>247</v>
      </c>
      <c r="C6067" s="131" t="s">
        <v>1485</v>
      </c>
      <c r="D6067" s="100" t="str">
        <f t="shared" si="1"/>
        <v/>
      </c>
      <c r="E6067" s="100" t="str">
        <f t="shared" si="2"/>
        <v/>
      </c>
      <c r="F6067" s="100" t="str">
        <f t="shared" si="3"/>
        <v/>
      </c>
      <c r="G6067" s="151"/>
      <c r="H6067" s="156"/>
      <c r="I6067" s="157"/>
      <c r="J6067" s="161"/>
      <c r="L6067" s="94"/>
      <c r="M6067" s="159"/>
      <c r="N6067" s="94"/>
    </row>
    <row r="6068">
      <c r="A6068" s="107">
        <v>1630585.0</v>
      </c>
      <c r="B6068" s="116" t="s">
        <v>215</v>
      </c>
      <c r="C6068" s="116" t="s">
        <v>1486</v>
      </c>
      <c r="D6068" s="100" t="str">
        <f t="shared" si="1"/>
        <v/>
      </c>
      <c r="E6068" s="100" t="str">
        <f t="shared" si="2"/>
        <v/>
      </c>
      <c r="F6068" s="100" t="str">
        <f t="shared" si="3"/>
        <v/>
      </c>
      <c r="G6068" s="151"/>
      <c r="H6068" s="160"/>
      <c r="I6068" s="157"/>
      <c r="J6068" s="158"/>
      <c r="L6068" s="94"/>
      <c r="M6068" s="159"/>
      <c r="N6068" s="94"/>
    </row>
    <row r="6069">
      <c r="A6069" s="123">
        <v>1630585.0</v>
      </c>
      <c r="B6069" s="132" t="s">
        <v>246</v>
      </c>
      <c r="C6069" s="133" t="s">
        <v>1486</v>
      </c>
      <c r="D6069" s="100" t="str">
        <f t="shared" si="1"/>
        <v/>
      </c>
      <c r="E6069" s="100" t="str">
        <f t="shared" si="2"/>
        <v/>
      </c>
      <c r="F6069" s="100" t="str">
        <f t="shared" si="3"/>
        <v/>
      </c>
      <c r="G6069" s="151"/>
      <c r="H6069" s="156"/>
      <c r="I6069" s="157"/>
      <c r="J6069" s="161"/>
      <c r="L6069" s="94"/>
      <c r="M6069" s="159"/>
      <c r="N6069" s="94"/>
    </row>
    <row r="6070">
      <c r="A6070" s="107">
        <v>1630586.0</v>
      </c>
      <c r="B6070" s="116" t="s">
        <v>215</v>
      </c>
      <c r="C6070" s="116" t="s">
        <v>1487</v>
      </c>
      <c r="D6070" s="100" t="str">
        <f t="shared" si="1"/>
        <v/>
      </c>
      <c r="E6070" s="100" t="str">
        <f t="shared" si="2"/>
        <v/>
      </c>
      <c r="F6070" s="100" t="str">
        <f t="shared" si="3"/>
        <v/>
      </c>
      <c r="G6070" s="151"/>
      <c r="H6070" s="160"/>
      <c r="I6070" s="157"/>
      <c r="J6070" s="158"/>
      <c r="L6070" s="94"/>
      <c r="M6070" s="159"/>
      <c r="N6070" s="94"/>
    </row>
    <row r="6071">
      <c r="A6071" s="107">
        <v>1630586.0</v>
      </c>
      <c r="B6071" s="116" t="s">
        <v>244</v>
      </c>
      <c r="C6071" s="116" t="s">
        <v>1487</v>
      </c>
      <c r="D6071" s="100" t="str">
        <f t="shared" si="1"/>
        <v/>
      </c>
      <c r="E6071" s="100" t="str">
        <f t="shared" si="2"/>
        <v/>
      </c>
      <c r="F6071" s="100" t="str">
        <f t="shared" si="3"/>
        <v/>
      </c>
      <c r="G6071" s="151"/>
      <c r="H6071" s="156"/>
      <c r="I6071" s="157"/>
      <c r="J6071" s="161"/>
      <c r="L6071" s="94"/>
      <c r="M6071" s="159"/>
      <c r="N6071" s="94"/>
    </row>
    <row r="6072">
      <c r="A6072" s="107">
        <v>1630586.0</v>
      </c>
      <c r="B6072" s="116" t="s">
        <v>245</v>
      </c>
      <c r="C6072" s="116" t="s">
        <v>1487</v>
      </c>
      <c r="D6072" s="100" t="str">
        <f t="shared" si="1"/>
        <v/>
      </c>
      <c r="E6072" s="100" t="str">
        <f t="shared" si="2"/>
        <v/>
      </c>
      <c r="F6072" s="100" t="str">
        <f t="shared" si="3"/>
        <v/>
      </c>
      <c r="G6072" s="151"/>
      <c r="H6072" s="160"/>
      <c r="I6072" s="157"/>
      <c r="J6072" s="158"/>
      <c r="L6072" s="94"/>
      <c r="M6072" s="159"/>
      <c r="N6072" s="94"/>
    </row>
    <row r="6073">
      <c r="A6073" s="107">
        <v>1630587.0</v>
      </c>
      <c r="B6073" s="116" t="s">
        <v>215</v>
      </c>
      <c r="C6073" s="116" t="s">
        <v>1488</v>
      </c>
      <c r="D6073" s="100" t="str">
        <f t="shared" si="1"/>
        <v/>
      </c>
      <c r="E6073" s="100" t="str">
        <f t="shared" si="2"/>
        <v/>
      </c>
      <c r="F6073" s="100" t="str">
        <f t="shared" si="3"/>
        <v/>
      </c>
      <c r="G6073" s="151"/>
      <c r="H6073" s="156"/>
      <c r="I6073" s="157"/>
      <c r="J6073" s="161"/>
      <c r="L6073" s="94"/>
      <c r="M6073" s="159"/>
      <c r="N6073" s="94"/>
    </row>
    <row r="6074">
      <c r="A6074" s="107">
        <v>1630587.0</v>
      </c>
      <c r="B6074" s="116" t="s">
        <v>244</v>
      </c>
      <c r="C6074" s="116" t="s">
        <v>1488</v>
      </c>
      <c r="D6074" s="100" t="str">
        <f t="shared" si="1"/>
        <v/>
      </c>
      <c r="E6074" s="100" t="str">
        <f t="shared" si="2"/>
        <v/>
      </c>
      <c r="F6074" s="100" t="str">
        <f t="shared" si="3"/>
        <v/>
      </c>
      <c r="G6074" s="151"/>
      <c r="H6074" s="160"/>
      <c r="I6074" s="157"/>
      <c r="J6074" s="158"/>
      <c r="L6074" s="94"/>
      <c r="M6074" s="159"/>
      <c r="N6074" s="94"/>
    </row>
    <row r="6075">
      <c r="A6075" s="107">
        <v>1630587.0</v>
      </c>
      <c r="B6075" s="116" t="s">
        <v>245</v>
      </c>
      <c r="C6075" s="116" t="s">
        <v>1488</v>
      </c>
      <c r="D6075" s="100" t="str">
        <f t="shared" si="1"/>
        <v/>
      </c>
      <c r="E6075" s="100" t="str">
        <f t="shared" si="2"/>
        <v/>
      </c>
      <c r="F6075" s="100" t="str">
        <f t="shared" si="3"/>
        <v/>
      </c>
      <c r="G6075" s="151"/>
      <c r="H6075" s="156"/>
      <c r="I6075" s="157"/>
      <c r="J6075" s="161"/>
      <c r="L6075" s="94"/>
      <c r="M6075" s="159"/>
      <c r="N6075" s="94"/>
    </row>
    <row r="6076">
      <c r="A6076" s="114">
        <v>1630587.0</v>
      </c>
      <c r="B6076" s="131" t="s">
        <v>247</v>
      </c>
      <c r="C6076" s="131" t="s">
        <v>1488</v>
      </c>
      <c r="D6076" s="100" t="str">
        <f t="shared" si="1"/>
        <v/>
      </c>
      <c r="E6076" s="100" t="str">
        <f t="shared" si="2"/>
        <v/>
      </c>
      <c r="F6076" s="100" t="str">
        <f t="shared" si="3"/>
        <v/>
      </c>
      <c r="G6076" s="151"/>
      <c r="H6076" s="160"/>
      <c r="I6076" s="157"/>
      <c r="J6076" s="158"/>
      <c r="L6076" s="94"/>
      <c r="M6076" s="159"/>
      <c r="N6076" s="94"/>
    </row>
    <row r="6077">
      <c r="A6077" s="107">
        <v>1630589.0</v>
      </c>
      <c r="B6077" s="116" t="s">
        <v>215</v>
      </c>
      <c r="C6077" s="116" t="s">
        <v>1489</v>
      </c>
      <c r="D6077" s="100" t="str">
        <f t="shared" si="1"/>
        <v/>
      </c>
      <c r="E6077" s="100" t="str">
        <f t="shared" si="2"/>
        <v/>
      </c>
      <c r="F6077" s="100" t="str">
        <f t="shared" si="3"/>
        <v/>
      </c>
      <c r="G6077" s="151"/>
      <c r="H6077" s="156"/>
      <c r="I6077" s="157"/>
      <c r="J6077" s="161"/>
      <c r="L6077" s="94"/>
      <c r="M6077" s="159"/>
      <c r="N6077" s="94"/>
    </row>
    <row r="6078">
      <c r="A6078" s="107">
        <v>1630590.0</v>
      </c>
      <c r="B6078" s="116" t="s">
        <v>244</v>
      </c>
      <c r="C6078" s="116" t="s">
        <v>1490</v>
      </c>
      <c r="D6078" s="100" t="str">
        <f t="shared" si="1"/>
        <v/>
      </c>
      <c r="E6078" s="100" t="str">
        <f t="shared" si="2"/>
        <v/>
      </c>
      <c r="F6078" s="100" t="str">
        <f t="shared" si="3"/>
        <v/>
      </c>
      <c r="G6078" s="151"/>
      <c r="H6078" s="160"/>
      <c r="I6078" s="157"/>
      <c r="J6078" s="158"/>
      <c r="L6078" s="94"/>
      <c r="M6078" s="159"/>
      <c r="N6078" s="94"/>
    </row>
    <row r="6079">
      <c r="A6079" s="107">
        <v>1630590.0</v>
      </c>
      <c r="B6079" s="116" t="s">
        <v>245</v>
      </c>
      <c r="C6079" s="116" t="s">
        <v>1490</v>
      </c>
      <c r="D6079" s="100" t="str">
        <f t="shared" si="1"/>
        <v/>
      </c>
      <c r="E6079" s="100" t="str">
        <f t="shared" si="2"/>
        <v/>
      </c>
      <c r="F6079" s="100" t="str">
        <f t="shared" si="3"/>
        <v/>
      </c>
      <c r="G6079" s="151"/>
      <c r="H6079" s="156"/>
      <c r="I6079" s="157"/>
      <c r="J6079" s="161"/>
      <c r="L6079" s="94"/>
      <c r="M6079" s="159"/>
      <c r="N6079" s="94"/>
    </row>
    <row r="6080">
      <c r="A6080" s="107">
        <v>1630590.0</v>
      </c>
      <c r="B6080" s="116" t="s">
        <v>246</v>
      </c>
      <c r="C6080" s="116" t="s">
        <v>1490</v>
      </c>
      <c r="D6080" s="100" t="str">
        <f t="shared" si="1"/>
        <v/>
      </c>
      <c r="E6080" s="100" t="str">
        <f t="shared" si="2"/>
        <v/>
      </c>
      <c r="F6080" s="100" t="str">
        <f t="shared" si="3"/>
        <v/>
      </c>
      <c r="G6080" s="151"/>
      <c r="H6080" s="160"/>
      <c r="I6080" s="157"/>
      <c r="J6080" s="158"/>
      <c r="L6080" s="94"/>
      <c r="M6080" s="159"/>
      <c r="N6080" s="94"/>
    </row>
    <row r="6081">
      <c r="A6081" s="89">
        <v>1630590.0</v>
      </c>
      <c r="B6081" s="131" t="s">
        <v>247</v>
      </c>
      <c r="C6081" s="131" t="s">
        <v>1490</v>
      </c>
      <c r="D6081" s="100" t="str">
        <f t="shared" si="1"/>
        <v/>
      </c>
      <c r="E6081" s="100" t="str">
        <f t="shared" si="2"/>
        <v/>
      </c>
      <c r="F6081" s="100" t="str">
        <f t="shared" si="3"/>
        <v/>
      </c>
      <c r="G6081" s="151"/>
      <c r="H6081" s="156"/>
      <c r="I6081" s="157"/>
      <c r="J6081" s="161"/>
      <c r="L6081" s="94"/>
      <c r="M6081" s="159"/>
      <c r="N6081" s="94"/>
    </row>
    <row r="6082">
      <c r="A6082" s="107">
        <v>1630591.0</v>
      </c>
      <c r="B6082" s="116" t="s">
        <v>215</v>
      </c>
      <c r="C6082" s="116" t="s">
        <v>1491</v>
      </c>
      <c r="D6082" s="100" t="str">
        <f t="shared" si="1"/>
        <v/>
      </c>
      <c r="E6082" s="100" t="str">
        <f t="shared" si="2"/>
        <v/>
      </c>
      <c r="F6082" s="100" t="str">
        <f t="shared" si="3"/>
        <v/>
      </c>
      <c r="G6082" s="151"/>
      <c r="H6082" s="160"/>
      <c r="I6082" s="157"/>
      <c r="J6082" s="158"/>
      <c r="L6082" s="94"/>
      <c r="M6082" s="159"/>
      <c r="N6082" s="94"/>
    </row>
    <row r="6083">
      <c r="A6083" s="107">
        <v>1630591.0</v>
      </c>
      <c r="B6083" s="116" t="s">
        <v>244</v>
      </c>
      <c r="C6083" s="116" t="s">
        <v>1491</v>
      </c>
      <c r="D6083" s="100" t="str">
        <f t="shared" si="1"/>
        <v/>
      </c>
      <c r="E6083" s="100" t="str">
        <f t="shared" si="2"/>
        <v/>
      </c>
      <c r="F6083" s="100" t="str">
        <f t="shared" si="3"/>
        <v/>
      </c>
      <c r="G6083" s="151"/>
      <c r="H6083" s="156"/>
      <c r="I6083" s="157"/>
      <c r="J6083" s="161"/>
      <c r="L6083" s="94"/>
      <c r="M6083" s="159"/>
      <c r="N6083" s="94"/>
    </row>
    <row r="6084">
      <c r="A6084" s="107">
        <v>1630591.0</v>
      </c>
      <c r="B6084" s="116" t="s">
        <v>245</v>
      </c>
      <c r="C6084" s="116" t="s">
        <v>1491</v>
      </c>
      <c r="D6084" s="100" t="str">
        <f t="shared" si="1"/>
        <v/>
      </c>
      <c r="E6084" s="100" t="str">
        <f t="shared" si="2"/>
        <v/>
      </c>
      <c r="F6084" s="100" t="str">
        <f t="shared" si="3"/>
        <v/>
      </c>
      <c r="G6084" s="151"/>
      <c r="H6084" s="160"/>
      <c r="I6084" s="157"/>
      <c r="J6084" s="158"/>
      <c r="L6084" s="94"/>
      <c r="M6084" s="159"/>
      <c r="N6084" s="94"/>
    </row>
    <row r="6085">
      <c r="A6085" s="107">
        <v>1630591.0</v>
      </c>
      <c r="B6085" s="116" t="s">
        <v>246</v>
      </c>
      <c r="C6085" s="116" t="s">
        <v>1491</v>
      </c>
      <c r="D6085" s="100" t="str">
        <f t="shared" si="1"/>
        <v/>
      </c>
      <c r="E6085" s="100" t="str">
        <f t="shared" si="2"/>
        <v/>
      </c>
      <c r="F6085" s="100" t="str">
        <f t="shared" si="3"/>
        <v/>
      </c>
      <c r="G6085" s="151"/>
      <c r="H6085" s="156"/>
      <c r="I6085" s="157"/>
      <c r="J6085" s="161"/>
      <c r="L6085" s="94"/>
      <c r="M6085" s="159"/>
      <c r="N6085" s="94"/>
    </row>
    <row r="6086">
      <c r="A6086" s="114">
        <v>1630591.0</v>
      </c>
      <c r="B6086" s="131" t="s">
        <v>247</v>
      </c>
      <c r="C6086" s="131" t="s">
        <v>1491</v>
      </c>
      <c r="D6086" s="100" t="str">
        <f t="shared" si="1"/>
        <v/>
      </c>
      <c r="E6086" s="100" t="str">
        <f t="shared" si="2"/>
        <v/>
      </c>
      <c r="F6086" s="100" t="str">
        <f t="shared" si="3"/>
        <v/>
      </c>
      <c r="G6086" s="151"/>
      <c r="H6086" s="160"/>
      <c r="I6086" s="157"/>
      <c r="J6086" s="158"/>
      <c r="L6086" s="94"/>
      <c r="M6086" s="159"/>
      <c r="N6086" s="94"/>
    </row>
    <row r="6087">
      <c r="A6087" s="107">
        <v>1630592.0</v>
      </c>
      <c r="B6087" s="116" t="s">
        <v>245</v>
      </c>
      <c r="C6087" s="116" t="s">
        <v>1492</v>
      </c>
      <c r="D6087" s="100" t="str">
        <f t="shared" si="1"/>
        <v/>
      </c>
      <c r="E6087" s="100" t="str">
        <f t="shared" si="2"/>
        <v/>
      </c>
      <c r="F6087" s="100" t="str">
        <f t="shared" si="3"/>
        <v/>
      </c>
      <c r="G6087" s="151"/>
      <c r="H6087" s="156"/>
      <c r="I6087" s="157"/>
      <c r="J6087" s="161"/>
      <c r="L6087" s="94"/>
      <c r="M6087" s="159"/>
      <c r="N6087" s="94"/>
    </row>
    <row r="6088">
      <c r="A6088" s="107">
        <v>1630592.0</v>
      </c>
      <c r="B6088" s="116" t="s">
        <v>246</v>
      </c>
      <c r="C6088" s="116" t="s">
        <v>1492</v>
      </c>
      <c r="D6088" s="100" t="str">
        <f t="shared" si="1"/>
        <v/>
      </c>
      <c r="E6088" s="100" t="str">
        <f t="shared" si="2"/>
        <v/>
      </c>
      <c r="F6088" s="100" t="str">
        <f t="shared" si="3"/>
        <v/>
      </c>
      <c r="G6088" s="151"/>
      <c r="H6088" s="160"/>
      <c r="I6088" s="157"/>
      <c r="J6088" s="158"/>
      <c r="L6088" s="94"/>
      <c r="M6088" s="159"/>
      <c r="N6088" s="94"/>
    </row>
    <row r="6089">
      <c r="A6089" s="114">
        <v>1630592.0</v>
      </c>
      <c r="B6089" s="131" t="s">
        <v>247</v>
      </c>
      <c r="C6089" s="131" t="s">
        <v>1492</v>
      </c>
      <c r="D6089" s="100" t="str">
        <f t="shared" si="1"/>
        <v/>
      </c>
      <c r="E6089" s="100" t="str">
        <f t="shared" si="2"/>
        <v/>
      </c>
      <c r="F6089" s="100" t="str">
        <f t="shared" si="3"/>
        <v/>
      </c>
      <c r="G6089" s="151"/>
      <c r="H6089" s="156"/>
      <c r="I6089" s="157"/>
      <c r="J6089" s="161"/>
      <c r="L6089" s="94"/>
      <c r="M6089" s="159"/>
      <c r="N6089" s="94"/>
    </row>
    <row r="6090">
      <c r="A6090" s="107">
        <v>1630593.0</v>
      </c>
      <c r="B6090" s="116" t="s">
        <v>215</v>
      </c>
      <c r="C6090" s="116" t="s">
        <v>1493</v>
      </c>
      <c r="D6090" s="100" t="str">
        <f t="shared" si="1"/>
        <v/>
      </c>
      <c r="E6090" s="100" t="str">
        <f t="shared" si="2"/>
        <v/>
      </c>
      <c r="F6090" s="100" t="str">
        <f t="shared" si="3"/>
        <v/>
      </c>
      <c r="G6090" s="151"/>
      <c r="H6090" s="160"/>
      <c r="I6090" s="157"/>
      <c r="J6090" s="158"/>
      <c r="L6090" s="94"/>
      <c r="M6090" s="159"/>
      <c r="N6090" s="94"/>
    </row>
    <row r="6091">
      <c r="A6091" s="107">
        <v>1630593.0</v>
      </c>
      <c r="B6091" s="116" t="s">
        <v>244</v>
      </c>
      <c r="C6091" s="116" t="s">
        <v>1493</v>
      </c>
      <c r="D6091" s="100" t="str">
        <f t="shared" si="1"/>
        <v/>
      </c>
      <c r="E6091" s="100" t="str">
        <f t="shared" si="2"/>
        <v/>
      </c>
      <c r="F6091" s="100" t="str">
        <f t="shared" si="3"/>
        <v/>
      </c>
      <c r="G6091" s="151"/>
      <c r="H6091" s="156"/>
      <c r="I6091" s="157"/>
      <c r="J6091" s="161"/>
      <c r="L6091" s="94"/>
      <c r="M6091" s="159"/>
      <c r="N6091" s="94"/>
    </row>
    <row r="6092">
      <c r="A6092" s="107">
        <v>1630595.0</v>
      </c>
      <c r="B6092" s="116" t="s">
        <v>215</v>
      </c>
      <c r="C6092" s="116" t="s">
        <v>1494</v>
      </c>
      <c r="D6092" s="100" t="str">
        <f t="shared" si="1"/>
        <v/>
      </c>
      <c r="E6092" s="100" t="str">
        <f t="shared" si="2"/>
        <v/>
      </c>
      <c r="F6092" s="100" t="str">
        <f t="shared" si="3"/>
        <v/>
      </c>
      <c r="G6092" s="151"/>
      <c r="H6092" s="160"/>
      <c r="I6092" s="157"/>
      <c r="J6092" s="158"/>
      <c r="L6092" s="94"/>
      <c r="M6092" s="159"/>
      <c r="N6092" s="94"/>
    </row>
    <row r="6093">
      <c r="A6093" s="107">
        <v>1630595.0</v>
      </c>
      <c r="B6093" s="116" t="s">
        <v>244</v>
      </c>
      <c r="C6093" s="116" t="s">
        <v>1494</v>
      </c>
      <c r="D6093" s="100" t="str">
        <f t="shared" si="1"/>
        <v/>
      </c>
      <c r="E6093" s="100" t="str">
        <f t="shared" si="2"/>
        <v/>
      </c>
      <c r="F6093" s="100" t="str">
        <f t="shared" si="3"/>
        <v/>
      </c>
      <c r="G6093" s="151"/>
      <c r="H6093" s="156"/>
      <c r="I6093" s="157"/>
      <c r="J6093" s="161"/>
      <c r="L6093" s="94"/>
      <c r="M6093" s="159"/>
      <c r="N6093" s="94"/>
    </row>
    <row r="6094">
      <c r="A6094" s="107">
        <v>1630595.0</v>
      </c>
      <c r="B6094" s="116" t="s">
        <v>245</v>
      </c>
      <c r="C6094" s="116" t="s">
        <v>1494</v>
      </c>
      <c r="D6094" s="100" t="str">
        <f t="shared" si="1"/>
        <v/>
      </c>
      <c r="E6094" s="100" t="str">
        <f t="shared" si="2"/>
        <v/>
      </c>
      <c r="F6094" s="100" t="str">
        <f t="shared" si="3"/>
        <v/>
      </c>
      <c r="G6094" s="151"/>
      <c r="H6094" s="160"/>
      <c r="I6094" s="157"/>
      <c r="J6094" s="158"/>
      <c r="L6094" s="94"/>
      <c r="M6094" s="159"/>
      <c r="N6094" s="94"/>
    </row>
    <row r="6095">
      <c r="A6095" s="107">
        <v>1630595.0</v>
      </c>
      <c r="B6095" s="116" t="s">
        <v>246</v>
      </c>
      <c r="C6095" s="116" t="s">
        <v>1494</v>
      </c>
      <c r="D6095" s="100" t="str">
        <f t="shared" si="1"/>
        <v/>
      </c>
      <c r="E6095" s="100" t="str">
        <f t="shared" si="2"/>
        <v/>
      </c>
      <c r="F6095" s="100" t="str">
        <f t="shared" si="3"/>
        <v/>
      </c>
      <c r="G6095" s="151"/>
      <c r="H6095" s="156"/>
      <c r="I6095" s="157"/>
      <c r="J6095" s="161"/>
      <c r="L6095" s="94"/>
      <c r="M6095" s="159"/>
      <c r="N6095" s="94"/>
    </row>
    <row r="6096">
      <c r="A6096" s="114">
        <v>1630595.0</v>
      </c>
      <c r="B6096" s="131" t="s">
        <v>247</v>
      </c>
      <c r="C6096" s="131" t="s">
        <v>1494</v>
      </c>
      <c r="D6096" s="100" t="str">
        <f t="shared" si="1"/>
        <v/>
      </c>
      <c r="E6096" s="100" t="str">
        <f t="shared" si="2"/>
        <v/>
      </c>
      <c r="F6096" s="100" t="str">
        <f t="shared" si="3"/>
        <v/>
      </c>
      <c r="G6096" s="151"/>
      <c r="H6096" s="160"/>
      <c r="I6096" s="157"/>
      <c r="J6096" s="158"/>
      <c r="L6096" s="94"/>
      <c r="M6096" s="159"/>
      <c r="N6096" s="94"/>
    </row>
    <row r="6097">
      <c r="A6097" s="107">
        <v>1630596.0</v>
      </c>
      <c r="B6097" s="116" t="s">
        <v>215</v>
      </c>
      <c r="C6097" s="116" t="s">
        <v>1495</v>
      </c>
      <c r="D6097" s="100" t="str">
        <f t="shared" si="1"/>
        <v/>
      </c>
      <c r="E6097" s="100" t="str">
        <f t="shared" si="2"/>
        <v/>
      </c>
      <c r="F6097" s="100" t="str">
        <f t="shared" si="3"/>
        <v/>
      </c>
      <c r="G6097" s="151"/>
      <c r="H6097" s="156"/>
      <c r="I6097" s="157"/>
      <c r="J6097" s="161"/>
      <c r="L6097" s="94"/>
      <c r="M6097" s="159"/>
      <c r="N6097" s="94"/>
    </row>
    <row r="6098">
      <c r="A6098" s="107">
        <v>1630596.0</v>
      </c>
      <c r="B6098" s="116" t="s">
        <v>244</v>
      </c>
      <c r="C6098" s="116" t="s">
        <v>1495</v>
      </c>
      <c r="D6098" s="100" t="str">
        <f t="shared" si="1"/>
        <v/>
      </c>
      <c r="E6098" s="100" t="str">
        <f t="shared" si="2"/>
        <v/>
      </c>
      <c r="F6098" s="100" t="str">
        <f t="shared" si="3"/>
        <v/>
      </c>
      <c r="G6098" s="151"/>
      <c r="H6098" s="160"/>
      <c r="I6098" s="157"/>
      <c r="J6098" s="158"/>
      <c r="L6098" s="94"/>
      <c r="M6098" s="159"/>
      <c r="N6098" s="94"/>
    </row>
    <row r="6099">
      <c r="A6099" s="107">
        <v>1630596.0</v>
      </c>
      <c r="B6099" s="116" t="s">
        <v>245</v>
      </c>
      <c r="C6099" s="116" t="s">
        <v>1495</v>
      </c>
      <c r="D6099" s="100" t="str">
        <f t="shared" si="1"/>
        <v/>
      </c>
      <c r="E6099" s="100" t="str">
        <f t="shared" si="2"/>
        <v/>
      </c>
      <c r="F6099" s="100" t="str">
        <f t="shared" si="3"/>
        <v/>
      </c>
      <c r="G6099" s="151"/>
      <c r="H6099" s="156"/>
      <c r="I6099" s="157"/>
      <c r="J6099" s="161"/>
      <c r="L6099" s="94"/>
      <c r="M6099" s="159"/>
      <c r="N6099" s="94"/>
    </row>
    <row r="6100">
      <c r="A6100" s="107">
        <v>1630596.0</v>
      </c>
      <c r="B6100" s="116" t="s">
        <v>246</v>
      </c>
      <c r="C6100" s="116" t="s">
        <v>1495</v>
      </c>
      <c r="D6100" s="100" t="str">
        <f t="shared" si="1"/>
        <v/>
      </c>
      <c r="E6100" s="100" t="str">
        <f t="shared" si="2"/>
        <v/>
      </c>
      <c r="F6100" s="100" t="str">
        <f t="shared" si="3"/>
        <v/>
      </c>
      <c r="G6100" s="151"/>
      <c r="H6100" s="160"/>
      <c r="I6100" s="157"/>
      <c r="J6100" s="158"/>
      <c r="L6100" s="94"/>
      <c r="M6100" s="159"/>
      <c r="N6100" s="94"/>
    </row>
    <row r="6101">
      <c r="A6101" s="114">
        <v>1630596.0</v>
      </c>
      <c r="B6101" s="131" t="s">
        <v>247</v>
      </c>
      <c r="C6101" s="131" t="s">
        <v>1495</v>
      </c>
      <c r="D6101" s="100" t="str">
        <f t="shared" si="1"/>
        <v/>
      </c>
      <c r="E6101" s="100" t="str">
        <f t="shared" si="2"/>
        <v/>
      </c>
      <c r="F6101" s="100" t="str">
        <f t="shared" si="3"/>
        <v/>
      </c>
      <c r="G6101" s="151"/>
      <c r="H6101" s="156"/>
      <c r="I6101" s="157"/>
      <c r="J6101" s="161"/>
      <c r="L6101" s="94"/>
      <c r="M6101" s="159"/>
      <c r="N6101" s="94"/>
    </row>
    <row r="6102">
      <c r="A6102" s="107">
        <v>1630598.0</v>
      </c>
      <c r="B6102" s="116" t="s">
        <v>215</v>
      </c>
      <c r="C6102" s="116" t="s">
        <v>1496</v>
      </c>
      <c r="D6102" s="100" t="str">
        <f t="shared" si="1"/>
        <v/>
      </c>
      <c r="E6102" s="100" t="str">
        <f t="shared" si="2"/>
        <v/>
      </c>
      <c r="F6102" s="100" t="str">
        <f t="shared" si="3"/>
        <v/>
      </c>
      <c r="G6102" s="151"/>
      <c r="H6102" s="160"/>
      <c r="I6102" s="157"/>
      <c r="J6102" s="158"/>
      <c r="L6102" s="94"/>
      <c r="M6102" s="159"/>
      <c r="N6102" s="94"/>
    </row>
    <row r="6103">
      <c r="A6103" s="107">
        <v>1630598.0</v>
      </c>
      <c r="B6103" s="116" t="s">
        <v>244</v>
      </c>
      <c r="C6103" s="116" t="s">
        <v>1496</v>
      </c>
      <c r="D6103" s="100" t="str">
        <f t="shared" si="1"/>
        <v/>
      </c>
      <c r="E6103" s="100" t="str">
        <f t="shared" si="2"/>
        <v/>
      </c>
      <c r="F6103" s="100" t="str">
        <f t="shared" si="3"/>
        <v/>
      </c>
      <c r="G6103" s="151"/>
      <c r="H6103" s="156"/>
      <c r="I6103" s="157"/>
      <c r="J6103" s="161"/>
      <c r="L6103" s="94"/>
      <c r="M6103" s="159"/>
      <c r="N6103" s="94"/>
    </row>
    <row r="6104">
      <c r="A6104" s="107">
        <v>1630598.0</v>
      </c>
      <c r="B6104" s="116" t="s">
        <v>245</v>
      </c>
      <c r="C6104" s="116" t="s">
        <v>1496</v>
      </c>
      <c r="D6104" s="100" t="str">
        <f t="shared" si="1"/>
        <v/>
      </c>
      <c r="E6104" s="100" t="str">
        <f t="shared" si="2"/>
        <v/>
      </c>
      <c r="F6104" s="100" t="str">
        <f t="shared" si="3"/>
        <v/>
      </c>
      <c r="G6104" s="151"/>
      <c r="H6104" s="160"/>
      <c r="I6104" s="157"/>
      <c r="J6104" s="158"/>
      <c r="L6104" s="94"/>
      <c r="M6104" s="159"/>
      <c r="N6104" s="94"/>
    </row>
    <row r="6105">
      <c r="A6105" s="107">
        <v>1630598.0</v>
      </c>
      <c r="B6105" s="116" t="s">
        <v>246</v>
      </c>
      <c r="C6105" s="116" t="s">
        <v>1496</v>
      </c>
      <c r="D6105" s="100" t="str">
        <f t="shared" si="1"/>
        <v/>
      </c>
      <c r="E6105" s="100" t="str">
        <f t="shared" si="2"/>
        <v/>
      </c>
      <c r="F6105" s="100" t="str">
        <f t="shared" si="3"/>
        <v/>
      </c>
      <c r="G6105" s="151"/>
      <c r="H6105" s="156"/>
      <c r="I6105" s="157"/>
      <c r="J6105" s="161"/>
      <c r="L6105" s="94"/>
      <c r="M6105" s="159"/>
      <c r="N6105" s="94"/>
    </row>
    <row r="6106">
      <c r="A6106" s="114">
        <v>1630598.0</v>
      </c>
      <c r="B6106" s="131" t="s">
        <v>247</v>
      </c>
      <c r="C6106" s="131" t="s">
        <v>1496</v>
      </c>
      <c r="D6106" s="100" t="str">
        <f t="shared" si="1"/>
        <v/>
      </c>
      <c r="E6106" s="100" t="str">
        <f t="shared" si="2"/>
        <v/>
      </c>
      <c r="F6106" s="100" t="str">
        <f t="shared" si="3"/>
        <v/>
      </c>
      <c r="G6106" s="151"/>
      <c r="H6106" s="160"/>
      <c r="I6106" s="157"/>
      <c r="J6106" s="158"/>
      <c r="L6106" s="94"/>
      <c r="M6106" s="159"/>
      <c r="N6106" s="94"/>
    </row>
    <row r="6107">
      <c r="A6107" s="107">
        <v>1630600.0</v>
      </c>
      <c r="B6107" s="116" t="s">
        <v>244</v>
      </c>
      <c r="C6107" s="116" t="s">
        <v>1497</v>
      </c>
      <c r="D6107" s="100" t="str">
        <f t="shared" si="1"/>
        <v/>
      </c>
      <c r="E6107" s="100" t="str">
        <f t="shared" si="2"/>
        <v/>
      </c>
      <c r="F6107" s="100" t="str">
        <f t="shared" si="3"/>
        <v/>
      </c>
      <c r="G6107" s="151"/>
      <c r="H6107" s="156"/>
      <c r="I6107" s="157"/>
      <c r="J6107" s="161"/>
      <c r="L6107" s="94"/>
      <c r="M6107" s="159"/>
      <c r="N6107" s="94"/>
    </row>
    <row r="6108">
      <c r="A6108" s="107">
        <v>1630600.0</v>
      </c>
      <c r="B6108" s="116" t="s">
        <v>245</v>
      </c>
      <c r="C6108" s="116" t="s">
        <v>1497</v>
      </c>
      <c r="D6108" s="100" t="str">
        <f t="shared" si="1"/>
        <v/>
      </c>
      <c r="E6108" s="100" t="str">
        <f t="shared" si="2"/>
        <v/>
      </c>
      <c r="F6108" s="100" t="str">
        <f t="shared" si="3"/>
        <v/>
      </c>
      <c r="G6108" s="151"/>
      <c r="H6108" s="160"/>
      <c r="I6108" s="157"/>
      <c r="J6108" s="158"/>
      <c r="L6108" s="94"/>
      <c r="M6108" s="159"/>
      <c r="N6108" s="94"/>
    </row>
    <row r="6109">
      <c r="A6109" s="107">
        <v>1630602.0</v>
      </c>
      <c r="B6109" s="116" t="s">
        <v>215</v>
      </c>
      <c r="C6109" s="116" t="s">
        <v>1498</v>
      </c>
      <c r="D6109" s="100" t="str">
        <f t="shared" si="1"/>
        <v/>
      </c>
      <c r="E6109" s="100" t="str">
        <f t="shared" si="2"/>
        <v/>
      </c>
      <c r="F6109" s="100" t="str">
        <f t="shared" si="3"/>
        <v/>
      </c>
      <c r="G6109" s="151"/>
      <c r="H6109" s="156"/>
      <c r="I6109" s="157"/>
      <c r="J6109" s="161"/>
      <c r="L6109" s="94"/>
      <c r="M6109" s="159"/>
      <c r="N6109" s="94"/>
    </row>
    <row r="6110">
      <c r="A6110" s="107">
        <v>1630604.0</v>
      </c>
      <c r="B6110" s="116" t="s">
        <v>245</v>
      </c>
      <c r="C6110" s="116" t="s">
        <v>1499</v>
      </c>
      <c r="D6110" s="100" t="str">
        <f t="shared" si="1"/>
        <v/>
      </c>
      <c r="E6110" s="100" t="str">
        <f t="shared" si="2"/>
        <v/>
      </c>
      <c r="F6110" s="100" t="str">
        <f t="shared" si="3"/>
        <v/>
      </c>
      <c r="G6110" s="151"/>
      <c r="H6110" s="160"/>
      <c r="I6110" s="157"/>
      <c r="J6110" s="158"/>
      <c r="L6110" s="94"/>
      <c r="M6110" s="159"/>
      <c r="N6110" s="94"/>
    </row>
    <row r="6111">
      <c r="A6111" s="107">
        <v>1630604.0</v>
      </c>
      <c r="B6111" s="116" t="s">
        <v>246</v>
      </c>
      <c r="C6111" s="116" t="s">
        <v>1499</v>
      </c>
      <c r="D6111" s="100" t="str">
        <f t="shared" si="1"/>
        <v/>
      </c>
      <c r="E6111" s="100" t="str">
        <f t="shared" si="2"/>
        <v/>
      </c>
      <c r="F6111" s="100" t="str">
        <f t="shared" si="3"/>
        <v/>
      </c>
      <c r="G6111" s="151"/>
      <c r="H6111" s="156"/>
      <c r="I6111" s="157"/>
      <c r="J6111" s="161"/>
      <c r="L6111" s="94"/>
      <c r="M6111" s="159"/>
      <c r="N6111" s="94"/>
    </row>
    <row r="6112">
      <c r="A6112" s="114">
        <v>1630604.0</v>
      </c>
      <c r="B6112" s="131" t="s">
        <v>247</v>
      </c>
      <c r="C6112" s="116" t="s">
        <v>1499</v>
      </c>
      <c r="D6112" s="100" t="str">
        <f t="shared" si="1"/>
        <v/>
      </c>
      <c r="E6112" s="100" t="str">
        <f t="shared" si="2"/>
        <v/>
      </c>
      <c r="F6112" s="100" t="str">
        <f t="shared" si="3"/>
        <v/>
      </c>
      <c r="G6112" s="151"/>
      <c r="H6112" s="160"/>
      <c r="I6112" s="157"/>
      <c r="J6112" s="158"/>
      <c r="L6112" s="94"/>
      <c r="M6112" s="159"/>
      <c r="N6112" s="94"/>
    </row>
    <row r="6113">
      <c r="A6113" s="107">
        <v>1630605.0</v>
      </c>
      <c r="B6113" s="116" t="s">
        <v>215</v>
      </c>
      <c r="C6113" s="116" t="s">
        <v>1500</v>
      </c>
      <c r="D6113" s="100" t="str">
        <f t="shared" si="1"/>
        <v/>
      </c>
      <c r="E6113" s="100" t="str">
        <f t="shared" si="2"/>
        <v/>
      </c>
      <c r="F6113" s="100" t="str">
        <f t="shared" si="3"/>
        <v/>
      </c>
      <c r="G6113" s="151"/>
      <c r="H6113" s="156"/>
      <c r="I6113" s="157"/>
      <c r="J6113" s="161"/>
      <c r="L6113" s="94"/>
      <c r="M6113" s="159"/>
      <c r="N6113" s="94"/>
    </row>
    <row r="6114">
      <c r="A6114" s="107">
        <v>1630606.0</v>
      </c>
      <c r="B6114" s="116" t="s">
        <v>215</v>
      </c>
      <c r="C6114" s="116" t="s">
        <v>1501</v>
      </c>
      <c r="D6114" s="100" t="str">
        <f t="shared" si="1"/>
        <v/>
      </c>
      <c r="E6114" s="100" t="str">
        <f t="shared" si="2"/>
        <v/>
      </c>
      <c r="F6114" s="100" t="str">
        <f t="shared" si="3"/>
        <v/>
      </c>
      <c r="G6114" s="151"/>
      <c r="H6114" s="160"/>
      <c r="I6114" s="157"/>
      <c r="J6114" s="158"/>
      <c r="L6114" s="94"/>
      <c r="M6114" s="159"/>
      <c r="N6114" s="94"/>
    </row>
    <row r="6115">
      <c r="A6115" s="107">
        <v>1630606.0</v>
      </c>
      <c r="B6115" s="116" t="s">
        <v>245</v>
      </c>
      <c r="C6115" s="116" t="s">
        <v>1501</v>
      </c>
      <c r="D6115" s="100" t="str">
        <f t="shared" si="1"/>
        <v/>
      </c>
      <c r="E6115" s="100" t="str">
        <f t="shared" si="2"/>
        <v/>
      </c>
      <c r="F6115" s="100" t="str">
        <f t="shared" si="3"/>
        <v/>
      </c>
      <c r="G6115" s="151"/>
      <c r="H6115" s="156"/>
      <c r="I6115" s="157"/>
      <c r="J6115" s="161"/>
      <c r="L6115" s="94"/>
      <c r="M6115" s="159"/>
      <c r="N6115" s="94"/>
    </row>
    <row r="6116">
      <c r="A6116" s="107">
        <v>1630608.0</v>
      </c>
      <c r="B6116" s="116" t="s">
        <v>245</v>
      </c>
      <c r="C6116" s="116" t="s">
        <v>1502</v>
      </c>
      <c r="D6116" s="100" t="str">
        <f t="shared" si="1"/>
        <v/>
      </c>
      <c r="E6116" s="100" t="str">
        <f t="shared" si="2"/>
        <v/>
      </c>
      <c r="F6116" s="100" t="str">
        <f t="shared" si="3"/>
        <v/>
      </c>
      <c r="G6116" s="151"/>
      <c r="H6116" s="160"/>
      <c r="I6116" s="157"/>
      <c r="J6116" s="158"/>
      <c r="L6116" s="94"/>
      <c r="M6116" s="159"/>
      <c r="N6116" s="94"/>
    </row>
    <row r="6117">
      <c r="A6117" s="107">
        <v>1630610.0</v>
      </c>
      <c r="B6117" s="116" t="s">
        <v>215</v>
      </c>
      <c r="C6117" s="116" t="s">
        <v>1503</v>
      </c>
      <c r="D6117" s="100" t="str">
        <f t="shared" si="1"/>
        <v/>
      </c>
      <c r="E6117" s="100" t="str">
        <f t="shared" si="2"/>
        <v/>
      </c>
      <c r="F6117" s="100" t="str">
        <f t="shared" si="3"/>
        <v/>
      </c>
      <c r="G6117" s="151"/>
      <c r="H6117" s="156"/>
      <c r="I6117" s="157"/>
      <c r="J6117" s="161"/>
      <c r="L6117" s="94"/>
      <c r="M6117" s="159"/>
      <c r="N6117" s="94"/>
    </row>
    <row r="6118">
      <c r="A6118" s="107">
        <v>1630610.0</v>
      </c>
      <c r="B6118" s="116" t="s">
        <v>245</v>
      </c>
      <c r="C6118" s="116" t="s">
        <v>1503</v>
      </c>
      <c r="D6118" s="100" t="str">
        <f t="shared" si="1"/>
        <v/>
      </c>
      <c r="E6118" s="100" t="str">
        <f t="shared" si="2"/>
        <v/>
      </c>
      <c r="F6118" s="100" t="str">
        <f t="shared" si="3"/>
        <v/>
      </c>
      <c r="G6118" s="151"/>
      <c r="H6118" s="160"/>
      <c r="I6118" s="157"/>
      <c r="J6118" s="158"/>
      <c r="L6118" s="94"/>
      <c r="M6118" s="159"/>
      <c r="N6118" s="94"/>
    </row>
    <row r="6119">
      <c r="A6119" s="107">
        <v>1630611.0</v>
      </c>
      <c r="B6119" s="116" t="s">
        <v>245</v>
      </c>
      <c r="C6119" s="116" t="s">
        <v>1504</v>
      </c>
      <c r="D6119" s="100" t="str">
        <f t="shared" si="1"/>
        <v/>
      </c>
      <c r="E6119" s="100" t="str">
        <f t="shared" si="2"/>
        <v/>
      </c>
      <c r="F6119" s="100" t="str">
        <f t="shared" si="3"/>
        <v/>
      </c>
      <c r="G6119" s="151"/>
      <c r="H6119" s="156"/>
      <c r="I6119" s="157"/>
      <c r="J6119" s="161"/>
      <c r="L6119" s="94"/>
      <c r="M6119" s="159"/>
      <c r="N6119" s="94"/>
    </row>
    <row r="6120">
      <c r="A6120" s="107">
        <v>1630611.0</v>
      </c>
      <c r="B6120" s="116" t="s">
        <v>246</v>
      </c>
      <c r="C6120" s="116" t="s">
        <v>1504</v>
      </c>
      <c r="D6120" s="100" t="str">
        <f t="shared" si="1"/>
        <v/>
      </c>
      <c r="E6120" s="100" t="str">
        <f t="shared" si="2"/>
        <v/>
      </c>
      <c r="F6120" s="100" t="str">
        <f t="shared" si="3"/>
        <v/>
      </c>
      <c r="G6120" s="151"/>
      <c r="H6120" s="160"/>
      <c r="I6120" s="157"/>
      <c r="J6120" s="158"/>
      <c r="L6120" s="94"/>
      <c r="M6120" s="159"/>
      <c r="N6120" s="94"/>
    </row>
    <row r="6121">
      <c r="A6121" s="114">
        <v>1630611.0</v>
      </c>
      <c r="B6121" s="131" t="s">
        <v>247</v>
      </c>
      <c r="C6121" s="131" t="s">
        <v>1504</v>
      </c>
      <c r="D6121" s="100" t="str">
        <f t="shared" si="1"/>
        <v/>
      </c>
      <c r="E6121" s="100" t="str">
        <f t="shared" si="2"/>
        <v/>
      </c>
      <c r="F6121" s="100" t="str">
        <f t="shared" si="3"/>
        <v/>
      </c>
      <c r="G6121" s="151"/>
      <c r="H6121" s="156"/>
      <c r="I6121" s="157"/>
      <c r="J6121" s="161"/>
      <c r="L6121" s="94"/>
      <c r="M6121" s="159"/>
      <c r="N6121" s="94"/>
    </row>
    <row r="6122">
      <c r="A6122" s="107">
        <v>1630612.0</v>
      </c>
      <c r="B6122" s="116" t="s">
        <v>215</v>
      </c>
      <c r="C6122" s="116" t="s">
        <v>1505</v>
      </c>
      <c r="D6122" s="100" t="str">
        <f t="shared" si="1"/>
        <v/>
      </c>
      <c r="E6122" s="100" t="str">
        <f t="shared" si="2"/>
        <v/>
      </c>
      <c r="F6122" s="100" t="str">
        <f t="shared" si="3"/>
        <v/>
      </c>
      <c r="G6122" s="151"/>
      <c r="H6122" s="160"/>
      <c r="I6122" s="157"/>
      <c r="J6122" s="158"/>
      <c r="L6122" s="94"/>
      <c r="M6122" s="159"/>
      <c r="N6122" s="94"/>
    </row>
    <row r="6123">
      <c r="A6123" s="107">
        <v>1630613.0</v>
      </c>
      <c r="B6123" s="116" t="s">
        <v>215</v>
      </c>
      <c r="C6123" s="116" t="s">
        <v>1506</v>
      </c>
      <c r="D6123" s="100" t="str">
        <f t="shared" si="1"/>
        <v/>
      </c>
      <c r="E6123" s="100" t="str">
        <f t="shared" si="2"/>
        <v/>
      </c>
      <c r="F6123" s="100" t="str">
        <f t="shared" si="3"/>
        <v/>
      </c>
      <c r="G6123" s="151"/>
      <c r="H6123" s="156"/>
      <c r="I6123" s="157"/>
      <c r="J6123" s="161"/>
      <c r="L6123" s="94"/>
      <c r="M6123" s="159"/>
      <c r="N6123" s="94"/>
    </row>
    <row r="6124">
      <c r="A6124" s="107">
        <v>1630613.0</v>
      </c>
      <c r="B6124" s="116" t="s">
        <v>244</v>
      </c>
      <c r="C6124" s="116" t="s">
        <v>1506</v>
      </c>
      <c r="D6124" s="100" t="str">
        <f t="shared" si="1"/>
        <v/>
      </c>
      <c r="E6124" s="100" t="str">
        <f t="shared" si="2"/>
        <v/>
      </c>
      <c r="F6124" s="100" t="str">
        <f t="shared" si="3"/>
        <v/>
      </c>
      <c r="G6124" s="151"/>
      <c r="H6124" s="160"/>
      <c r="I6124" s="157"/>
      <c r="J6124" s="158"/>
      <c r="L6124" s="94"/>
      <c r="M6124" s="159"/>
      <c r="N6124" s="94"/>
    </row>
    <row r="6125">
      <c r="A6125" s="107">
        <v>1630613.0</v>
      </c>
      <c r="B6125" s="116" t="s">
        <v>245</v>
      </c>
      <c r="C6125" s="116" t="s">
        <v>1506</v>
      </c>
      <c r="D6125" s="100" t="str">
        <f t="shared" si="1"/>
        <v/>
      </c>
      <c r="E6125" s="100" t="str">
        <f t="shared" si="2"/>
        <v/>
      </c>
      <c r="F6125" s="100" t="str">
        <f t="shared" si="3"/>
        <v/>
      </c>
      <c r="G6125" s="151"/>
      <c r="H6125" s="156"/>
      <c r="I6125" s="157"/>
      <c r="J6125" s="161"/>
      <c r="L6125" s="94"/>
      <c r="M6125" s="159"/>
      <c r="N6125" s="94"/>
    </row>
    <row r="6126">
      <c r="A6126" s="107">
        <v>1630618.0</v>
      </c>
      <c r="B6126" s="116" t="s">
        <v>245</v>
      </c>
      <c r="C6126" s="116" t="s">
        <v>1507</v>
      </c>
      <c r="D6126" s="100" t="str">
        <f t="shared" si="1"/>
        <v/>
      </c>
      <c r="E6126" s="100" t="str">
        <f t="shared" si="2"/>
        <v/>
      </c>
      <c r="F6126" s="100" t="str">
        <f t="shared" si="3"/>
        <v/>
      </c>
      <c r="G6126" s="151"/>
      <c r="H6126" s="160"/>
      <c r="I6126" s="157"/>
      <c r="J6126" s="158"/>
      <c r="L6126" s="94"/>
      <c r="M6126" s="159"/>
      <c r="N6126" s="94"/>
    </row>
    <row r="6127">
      <c r="A6127" s="107">
        <v>1630618.0</v>
      </c>
      <c r="B6127" s="116" t="s">
        <v>246</v>
      </c>
      <c r="C6127" s="116" t="s">
        <v>1507</v>
      </c>
      <c r="D6127" s="100" t="str">
        <f t="shared" si="1"/>
        <v/>
      </c>
      <c r="E6127" s="100" t="str">
        <f t="shared" si="2"/>
        <v/>
      </c>
      <c r="F6127" s="100" t="str">
        <f t="shared" si="3"/>
        <v/>
      </c>
      <c r="G6127" s="151"/>
      <c r="H6127" s="156"/>
      <c r="I6127" s="157"/>
      <c r="J6127" s="161"/>
      <c r="L6127" s="94"/>
      <c r="M6127" s="159"/>
      <c r="N6127" s="94"/>
    </row>
    <row r="6128">
      <c r="A6128" s="114">
        <v>1630619.0</v>
      </c>
      <c r="B6128" s="131" t="s">
        <v>247</v>
      </c>
      <c r="C6128" s="131" t="s">
        <v>1508</v>
      </c>
      <c r="D6128" s="100" t="str">
        <f t="shared" si="1"/>
        <v/>
      </c>
      <c r="E6128" s="100" t="str">
        <f t="shared" si="2"/>
        <v/>
      </c>
      <c r="F6128" s="100" t="str">
        <f t="shared" si="3"/>
        <v/>
      </c>
      <c r="G6128" s="151"/>
      <c r="H6128" s="160"/>
      <c r="I6128" s="157"/>
      <c r="J6128" s="158"/>
      <c r="L6128" s="94"/>
      <c r="M6128" s="159"/>
      <c r="N6128" s="94"/>
    </row>
    <row r="6129">
      <c r="A6129" s="107">
        <v>1630620.0</v>
      </c>
      <c r="B6129" s="116" t="s">
        <v>244</v>
      </c>
      <c r="C6129" s="116" t="s">
        <v>1509</v>
      </c>
      <c r="D6129" s="100" t="str">
        <f t="shared" si="1"/>
        <v/>
      </c>
      <c r="E6129" s="100" t="str">
        <f t="shared" si="2"/>
        <v/>
      </c>
      <c r="F6129" s="100" t="str">
        <f t="shared" si="3"/>
        <v/>
      </c>
      <c r="G6129" s="151"/>
      <c r="H6129" s="156"/>
      <c r="I6129" s="157"/>
      <c r="J6129" s="161"/>
      <c r="L6129" s="94"/>
      <c r="M6129" s="159"/>
      <c r="N6129" s="94"/>
    </row>
    <row r="6130">
      <c r="A6130" s="114">
        <v>1630621.0</v>
      </c>
      <c r="B6130" s="131" t="s">
        <v>247</v>
      </c>
      <c r="C6130" s="131" t="s">
        <v>1510</v>
      </c>
      <c r="D6130" s="100" t="str">
        <f t="shared" si="1"/>
        <v/>
      </c>
      <c r="E6130" s="100" t="str">
        <f t="shared" si="2"/>
        <v/>
      </c>
      <c r="F6130" s="100" t="str">
        <f t="shared" si="3"/>
        <v/>
      </c>
      <c r="G6130" s="151"/>
      <c r="H6130" s="160"/>
      <c r="I6130" s="157"/>
      <c r="J6130" s="158"/>
      <c r="L6130" s="94"/>
      <c r="M6130" s="159"/>
      <c r="N6130" s="94"/>
    </row>
    <row r="6131">
      <c r="A6131" s="123">
        <v>1630623.0</v>
      </c>
      <c r="B6131" s="132" t="s">
        <v>246</v>
      </c>
      <c r="C6131" s="133" t="s">
        <v>1511</v>
      </c>
      <c r="D6131" s="100" t="str">
        <f t="shared" si="1"/>
        <v/>
      </c>
      <c r="E6131" s="100" t="str">
        <f t="shared" si="2"/>
        <v/>
      </c>
      <c r="F6131" s="100" t="str">
        <f t="shared" si="3"/>
        <v/>
      </c>
      <c r="G6131" s="151"/>
      <c r="H6131" s="156"/>
      <c r="I6131" s="157"/>
      <c r="J6131" s="161"/>
      <c r="L6131" s="94"/>
      <c r="M6131" s="159"/>
      <c r="N6131" s="94"/>
    </row>
    <row r="6132">
      <c r="A6132" s="114">
        <v>1630623.0</v>
      </c>
      <c r="B6132" s="131" t="s">
        <v>247</v>
      </c>
      <c r="C6132" s="131" t="s">
        <v>1511</v>
      </c>
      <c r="D6132" s="100" t="str">
        <f t="shared" si="1"/>
        <v/>
      </c>
      <c r="E6132" s="100" t="str">
        <f t="shared" si="2"/>
        <v/>
      </c>
      <c r="F6132" s="100" t="str">
        <f t="shared" si="3"/>
        <v/>
      </c>
      <c r="G6132" s="151"/>
      <c r="H6132" s="160"/>
      <c r="I6132" s="157"/>
      <c r="J6132" s="158"/>
      <c r="L6132" s="94"/>
      <c r="M6132" s="159"/>
      <c r="N6132" s="94"/>
    </row>
    <row r="6133">
      <c r="A6133" s="107">
        <v>1630624.0</v>
      </c>
      <c r="B6133" s="116" t="s">
        <v>215</v>
      </c>
      <c r="C6133" s="116" t="s">
        <v>1512</v>
      </c>
      <c r="D6133" s="100" t="str">
        <f t="shared" si="1"/>
        <v/>
      </c>
      <c r="E6133" s="100" t="str">
        <f t="shared" si="2"/>
        <v/>
      </c>
      <c r="F6133" s="100" t="str">
        <f t="shared" si="3"/>
        <v/>
      </c>
      <c r="G6133" s="151"/>
      <c r="H6133" s="156"/>
      <c r="I6133" s="157"/>
      <c r="J6133" s="161"/>
      <c r="L6133" s="94"/>
      <c r="M6133" s="159"/>
      <c r="N6133" s="94"/>
    </row>
    <row r="6134">
      <c r="A6134" s="107">
        <v>1630625.0</v>
      </c>
      <c r="B6134" s="116" t="s">
        <v>215</v>
      </c>
      <c r="C6134" s="116" t="s">
        <v>1513</v>
      </c>
      <c r="D6134" s="100" t="str">
        <f t="shared" si="1"/>
        <v/>
      </c>
      <c r="E6134" s="100" t="str">
        <f t="shared" si="2"/>
        <v/>
      </c>
      <c r="F6134" s="100" t="str">
        <f t="shared" si="3"/>
        <v/>
      </c>
      <c r="G6134" s="151"/>
      <c r="H6134" s="160"/>
      <c r="I6134" s="157"/>
      <c r="J6134" s="158"/>
      <c r="L6134" s="94"/>
      <c r="M6134" s="159"/>
      <c r="N6134" s="94"/>
    </row>
    <row r="6135">
      <c r="A6135" s="107">
        <v>1630625.0</v>
      </c>
      <c r="B6135" s="116" t="s">
        <v>244</v>
      </c>
      <c r="C6135" s="116" t="s">
        <v>1513</v>
      </c>
      <c r="D6135" s="100" t="str">
        <f t="shared" si="1"/>
        <v/>
      </c>
      <c r="E6135" s="100" t="str">
        <f t="shared" si="2"/>
        <v/>
      </c>
      <c r="F6135" s="100" t="str">
        <f t="shared" si="3"/>
        <v/>
      </c>
      <c r="G6135" s="151"/>
      <c r="H6135" s="156"/>
      <c r="I6135" s="157"/>
      <c r="J6135" s="161"/>
      <c r="L6135" s="94"/>
      <c r="M6135" s="159"/>
      <c r="N6135" s="94"/>
    </row>
    <row r="6136">
      <c r="A6136" s="107">
        <v>1630625.0</v>
      </c>
      <c r="B6136" s="116" t="s">
        <v>245</v>
      </c>
      <c r="C6136" s="116" t="s">
        <v>1513</v>
      </c>
      <c r="D6136" s="100" t="str">
        <f t="shared" si="1"/>
        <v/>
      </c>
      <c r="E6136" s="100" t="str">
        <f t="shared" si="2"/>
        <v/>
      </c>
      <c r="F6136" s="100" t="str">
        <f t="shared" si="3"/>
        <v/>
      </c>
      <c r="G6136" s="151"/>
      <c r="H6136" s="160"/>
      <c r="I6136" s="157"/>
      <c r="J6136" s="158"/>
      <c r="L6136" s="94"/>
      <c r="M6136" s="159"/>
      <c r="N6136" s="94"/>
    </row>
    <row r="6137">
      <c r="A6137" s="107">
        <v>1630625.0</v>
      </c>
      <c r="B6137" s="116" t="s">
        <v>246</v>
      </c>
      <c r="C6137" s="116" t="s">
        <v>1513</v>
      </c>
      <c r="D6137" s="100" t="str">
        <f t="shared" si="1"/>
        <v/>
      </c>
      <c r="E6137" s="100" t="str">
        <f t="shared" si="2"/>
        <v/>
      </c>
      <c r="F6137" s="100" t="str">
        <f t="shared" si="3"/>
        <v/>
      </c>
      <c r="G6137" s="151"/>
      <c r="H6137" s="156"/>
      <c r="I6137" s="157"/>
      <c r="J6137" s="161"/>
      <c r="L6137" s="94"/>
      <c r="M6137" s="159"/>
      <c r="N6137" s="94"/>
    </row>
    <row r="6138">
      <c r="A6138" s="126">
        <v>1630625.0</v>
      </c>
      <c r="B6138" s="141" t="s">
        <v>247</v>
      </c>
      <c r="C6138" s="141" t="s">
        <v>1513</v>
      </c>
      <c r="D6138" s="100" t="str">
        <f t="shared" si="1"/>
        <v/>
      </c>
      <c r="E6138" s="100" t="str">
        <f t="shared" si="2"/>
        <v/>
      </c>
      <c r="F6138" s="100" t="str">
        <f t="shared" si="3"/>
        <v/>
      </c>
      <c r="G6138" s="151"/>
      <c r="H6138" s="160"/>
      <c r="I6138" s="157"/>
      <c r="J6138" s="158"/>
      <c r="L6138" s="94"/>
      <c r="M6138" s="159"/>
      <c r="N6138" s="94"/>
    </row>
    <row r="6139">
      <c r="A6139" s="107">
        <v>1630631.0</v>
      </c>
      <c r="B6139" s="116" t="s">
        <v>215</v>
      </c>
      <c r="C6139" s="116" t="s">
        <v>1514</v>
      </c>
      <c r="D6139" s="100" t="str">
        <f t="shared" si="1"/>
        <v/>
      </c>
      <c r="E6139" s="100" t="str">
        <f t="shared" si="2"/>
        <v/>
      </c>
      <c r="F6139" s="100" t="str">
        <f t="shared" si="3"/>
        <v/>
      </c>
      <c r="G6139" s="151"/>
      <c r="H6139" s="156"/>
      <c r="I6139" s="157"/>
      <c r="J6139" s="161"/>
      <c r="L6139" s="94"/>
      <c r="M6139" s="159"/>
      <c r="N6139" s="94"/>
    </row>
    <row r="6140">
      <c r="A6140" s="107">
        <v>1630631.0</v>
      </c>
      <c r="B6140" s="116" t="s">
        <v>244</v>
      </c>
      <c r="C6140" s="116" t="s">
        <v>1514</v>
      </c>
      <c r="D6140" s="100" t="str">
        <f t="shared" si="1"/>
        <v/>
      </c>
      <c r="E6140" s="100" t="str">
        <f t="shared" si="2"/>
        <v/>
      </c>
      <c r="F6140" s="100" t="str">
        <f t="shared" si="3"/>
        <v/>
      </c>
      <c r="G6140" s="151"/>
      <c r="H6140" s="160"/>
      <c r="I6140" s="157"/>
      <c r="J6140" s="158"/>
      <c r="L6140" s="94"/>
      <c r="M6140" s="159"/>
      <c r="N6140" s="94"/>
    </row>
    <row r="6141">
      <c r="A6141" s="107">
        <v>1630631.0</v>
      </c>
      <c r="B6141" s="116" t="s">
        <v>245</v>
      </c>
      <c r="C6141" s="116" t="s">
        <v>1514</v>
      </c>
      <c r="D6141" s="100" t="str">
        <f t="shared" si="1"/>
        <v/>
      </c>
      <c r="E6141" s="100" t="str">
        <f t="shared" si="2"/>
        <v/>
      </c>
      <c r="F6141" s="100" t="str">
        <f t="shared" si="3"/>
        <v/>
      </c>
      <c r="G6141" s="151"/>
      <c r="H6141" s="156"/>
      <c r="I6141" s="157"/>
      <c r="J6141" s="161"/>
      <c r="L6141" s="94"/>
      <c r="M6141" s="159"/>
      <c r="N6141" s="94"/>
    </row>
    <row r="6142">
      <c r="A6142" s="107">
        <v>1630631.0</v>
      </c>
      <c r="B6142" s="116" t="s">
        <v>246</v>
      </c>
      <c r="C6142" s="116" t="s">
        <v>1514</v>
      </c>
      <c r="D6142" s="100" t="str">
        <f t="shared" si="1"/>
        <v/>
      </c>
      <c r="E6142" s="100" t="str">
        <f t="shared" si="2"/>
        <v/>
      </c>
      <c r="F6142" s="100" t="str">
        <f t="shared" si="3"/>
        <v/>
      </c>
      <c r="G6142" s="151"/>
      <c r="H6142" s="160"/>
      <c r="I6142" s="157"/>
      <c r="J6142" s="158"/>
      <c r="L6142" s="94"/>
      <c r="M6142" s="159"/>
      <c r="N6142" s="94"/>
    </row>
    <row r="6143">
      <c r="A6143" s="114">
        <v>1630631.0</v>
      </c>
      <c r="B6143" s="131" t="s">
        <v>247</v>
      </c>
      <c r="C6143" s="131" t="s">
        <v>1514</v>
      </c>
      <c r="D6143" s="100" t="str">
        <f t="shared" si="1"/>
        <v/>
      </c>
      <c r="E6143" s="100" t="str">
        <f t="shared" si="2"/>
        <v/>
      </c>
      <c r="F6143" s="100" t="str">
        <f t="shared" si="3"/>
        <v/>
      </c>
      <c r="G6143" s="151"/>
      <c r="H6143" s="156"/>
      <c r="I6143" s="157"/>
      <c r="J6143" s="161"/>
      <c r="L6143" s="94"/>
      <c r="M6143" s="159"/>
      <c r="N6143" s="94"/>
    </row>
    <row r="6144">
      <c r="A6144" s="107">
        <v>1630637.0</v>
      </c>
      <c r="B6144" s="116" t="s">
        <v>215</v>
      </c>
      <c r="C6144" s="116" t="s">
        <v>1515</v>
      </c>
      <c r="D6144" s="100" t="str">
        <f t="shared" si="1"/>
        <v/>
      </c>
      <c r="E6144" s="100" t="str">
        <f t="shared" si="2"/>
        <v/>
      </c>
      <c r="F6144" s="100" t="str">
        <f t="shared" si="3"/>
        <v/>
      </c>
      <c r="G6144" s="151"/>
      <c r="H6144" s="160"/>
      <c r="I6144" s="157"/>
      <c r="J6144" s="158"/>
      <c r="L6144" s="94"/>
      <c r="M6144" s="159"/>
      <c r="N6144" s="94"/>
    </row>
    <row r="6145">
      <c r="A6145" s="107">
        <v>1630637.0</v>
      </c>
      <c r="B6145" s="116" t="s">
        <v>244</v>
      </c>
      <c r="C6145" s="116" t="s">
        <v>1515</v>
      </c>
      <c r="D6145" s="100" t="str">
        <f t="shared" si="1"/>
        <v/>
      </c>
      <c r="E6145" s="100" t="str">
        <f t="shared" si="2"/>
        <v/>
      </c>
      <c r="F6145" s="100" t="str">
        <f t="shared" si="3"/>
        <v/>
      </c>
      <c r="G6145" s="151"/>
      <c r="H6145" s="156"/>
      <c r="I6145" s="157"/>
      <c r="J6145" s="161"/>
      <c r="L6145" s="94"/>
      <c r="M6145" s="159"/>
      <c r="N6145" s="94"/>
    </row>
    <row r="6146">
      <c r="A6146" s="107">
        <v>1630639.0</v>
      </c>
      <c r="B6146" s="116" t="s">
        <v>244</v>
      </c>
      <c r="C6146" s="116" t="s">
        <v>1516</v>
      </c>
      <c r="D6146" s="100" t="str">
        <f t="shared" si="1"/>
        <v/>
      </c>
      <c r="E6146" s="100" t="str">
        <f t="shared" si="2"/>
        <v/>
      </c>
      <c r="F6146" s="100" t="str">
        <f t="shared" si="3"/>
        <v/>
      </c>
      <c r="G6146" s="151"/>
      <c r="H6146" s="160"/>
      <c r="I6146" s="157"/>
      <c r="J6146" s="158"/>
      <c r="L6146" s="94"/>
      <c r="M6146" s="159"/>
      <c r="N6146" s="94"/>
    </row>
    <row r="6147">
      <c r="A6147" s="107">
        <v>1630639.0</v>
      </c>
      <c r="B6147" s="116" t="s">
        <v>245</v>
      </c>
      <c r="C6147" s="116" t="s">
        <v>1516</v>
      </c>
      <c r="D6147" s="100" t="str">
        <f t="shared" si="1"/>
        <v/>
      </c>
      <c r="E6147" s="100" t="str">
        <f t="shared" si="2"/>
        <v/>
      </c>
      <c r="F6147" s="100" t="str">
        <f t="shared" si="3"/>
        <v/>
      </c>
      <c r="G6147" s="151"/>
      <c r="H6147" s="156"/>
      <c r="I6147" s="157"/>
      <c r="J6147" s="161"/>
      <c r="L6147" s="94"/>
      <c r="M6147" s="159"/>
      <c r="N6147" s="94"/>
    </row>
    <row r="6148">
      <c r="A6148" s="120">
        <v>1630639.0</v>
      </c>
      <c r="B6148" s="138" t="s">
        <v>246</v>
      </c>
      <c r="C6148" s="138" t="s">
        <v>1516</v>
      </c>
      <c r="D6148" s="100" t="str">
        <f t="shared" si="1"/>
        <v/>
      </c>
      <c r="E6148" s="100" t="str">
        <f t="shared" si="2"/>
        <v/>
      </c>
      <c r="F6148" s="100" t="str">
        <f t="shared" si="3"/>
        <v/>
      </c>
      <c r="G6148" s="151"/>
      <c r="H6148" s="160"/>
      <c r="I6148" s="157"/>
      <c r="J6148" s="158"/>
      <c r="L6148" s="94"/>
      <c r="M6148" s="159"/>
      <c r="N6148" s="94"/>
    </row>
    <row r="6149">
      <c r="A6149" s="89">
        <v>1630639.0</v>
      </c>
      <c r="B6149" s="131" t="s">
        <v>247</v>
      </c>
      <c r="C6149" s="131" t="s">
        <v>1516</v>
      </c>
      <c r="D6149" s="100" t="str">
        <f t="shared" si="1"/>
        <v/>
      </c>
      <c r="E6149" s="100" t="str">
        <f t="shared" si="2"/>
        <v/>
      </c>
      <c r="F6149" s="100" t="str">
        <f t="shared" si="3"/>
        <v/>
      </c>
      <c r="G6149" s="151"/>
      <c r="H6149" s="156"/>
      <c r="I6149" s="157"/>
      <c r="J6149" s="161"/>
      <c r="L6149" s="94"/>
      <c r="M6149" s="159"/>
      <c r="N6149" s="94"/>
    </row>
    <row r="6150">
      <c r="A6150" s="107">
        <v>1630640.0</v>
      </c>
      <c r="B6150" s="116" t="s">
        <v>215</v>
      </c>
      <c r="C6150" s="116" t="s">
        <v>1517</v>
      </c>
      <c r="D6150" s="100" t="str">
        <f t="shared" si="1"/>
        <v/>
      </c>
      <c r="E6150" s="100" t="str">
        <f t="shared" si="2"/>
        <v/>
      </c>
      <c r="F6150" s="100" t="str">
        <f t="shared" si="3"/>
        <v/>
      </c>
      <c r="G6150" s="151"/>
      <c r="H6150" s="160"/>
      <c r="I6150" s="157"/>
      <c r="J6150" s="158"/>
      <c r="L6150" s="94"/>
      <c r="M6150" s="159"/>
      <c r="N6150" s="94"/>
    </row>
    <row r="6151">
      <c r="A6151" s="107">
        <v>1630641.0</v>
      </c>
      <c r="B6151" s="116" t="s">
        <v>245</v>
      </c>
      <c r="C6151" s="116" t="s">
        <v>1518</v>
      </c>
      <c r="D6151" s="100" t="str">
        <f t="shared" si="1"/>
        <v/>
      </c>
      <c r="E6151" s="100" t="str">
        <f t="shared" si="2"/>
        <v/>
      </c>
      <c r="F6151" s="100" t="str">
        <f t="shared" si="3"/>
        <v/>
      </c>
      <c r="G6151" s="151"/>
      <c r="H6151" s="156"/>
      <c r="I6151" s="157"/>
      <c r="J6151" s="161"/>
      <c r="L6151" s="94"/>
      <c r="M6151" s="159"/>
      <c r="N6151" s="94"/>
    </row>
    <row r="6152">
      <c r="A6152" s="107">
        <v>1630643.0</v>
      </c>
      <c r="B6152" s="116" t="s">
        <v>215</v>
      </c>
      <c r="C6152" s="116" t="s">
        <v>1519</v>
      </c>
      <c r="D6152" s="100" t="str">
        <f t="shared" si="1"/>
        <v/>
      </c>
      <c r="E6152" s="100" t="str">
        <f t="shared" si="2"/>
        <v/>
      </c>
      <c r="F6152" s="100" t="str">
        <f t="shared" si="3"/>
        <v/>
      </c>
      <c r="G6152" s="151"/>
      <c r="H6152" s="160"/>
      <c r="I6152" s="157"/>
      <c r="J6152" s="158"/>
      <c r="L6152" s="94"/>
      <c r="M6152" s="159"/>
      <c r="N6152" s="94"/>
    </row>
    <row r="6153">
      <c r="A6153" s="107">
        <v>1630643.0</v>
      </c>
      <c r="B6153" s="116" t="s">
        <v>244</v>
      </c>
      <c r="C6153" s="116" t="s">
        <v>1519</v>
      </c>
      <c r="D6153" s="100" t="str">
        <f t="shared" si="1"/>
        <v/>
      </c>
      <c r="E6153" s="100" t="str">
        <f t="shared" si="2"/>
        <v/>
      </c>
      <c r="F6153" s="100" t="str">
        <f t="shared" si="3"/>
        <v/>
      </c>
      <c r="G6153" s="151"/>
      <c r="H6153" s="156"/>
      <c r="I6153" s="157"/>
      <c r="J6153" s="161"/>
      <c r="L6153" s="94"/>
      <c r="M6153" s="159"/>
      <c r="N6153" s="94"/>
    </row>
    <row r="6154">
      <c r="A6154" s="107">
        <v>1630643.0</v>
      </c>
      <c r="B6154" s="116" t="s">
        <v>245</v>
      </c>
      <c r="C6154" s="116" t="s">
        <v>1519</v>
      </c>
      <c r="D6154" s="100" t="str">
        <f t="shared" si="1"/>
        <v/>
      </c>
      <c r="E6154" s="100" t="str">
        <f t="shared" si="2"/>
        <v/>
      </c>
      <c r="F6154" s="100" t="str">
        <f t="shared" si="3"/>
        <v/>
      </c>
      <c r="G6154" s="151"/>
      <c r="H6154" s="160"/>
      <c r="I6154" s="157"/>
      <c r="J6154" s="158"/>
      <c r="L6154" s="94"/>
      <c r="M6154" s="159"/>
      <c r="N6154" s="94"/>
    </row>
    <row r="6155">
      <c r="A6155" s="107">
        <v>1630643.0</v>
      </c>
      <c r="B6155" s="116" t="s">
        <v>246</v>
      </c>
      <c r="C6155" s="116" t="s">
        <v>1519</v>
      </c>
      <c r="D6155" s="100" t="str">
        <f t="shared" si="1"/>
        <v/>
      </c>
      <c r="E6155" s="100" t="str">
        <f t="shared" si="2"/>
        <v/>
      </c>
      <c r="F6155" s="100" t="str">
        <f t="shared" si="3"/>
        <v/>
      </c>
      <c r="G6155" s="151"/>
      <c r="H6155" s="156"/>
      <c r="I6155" s="157"/>
      <c r="J6155" s="161"/>
      <c r="L6155" s="94"/>
      <c r="M6155" s="159"/>
      <c r="N6155" s="94"/>
    </row>
    <row r="6156">
      <c r="A6156" s="114">
        <v>1630643.0</v>
      </c>
      <c r="B6156" s="131" t="s">
        <v>247</v>
      </c>
      <c r="C6156" s="131" t="s">
        <v>1519</v>
      </c>
      <c r="D6156" s="100" t="str">
        <f t="shared" si="1"/>
        <v/>
      </c>
      <c r="E6156" s="100" t="str">
        <f t="shared" si="2"/>
        <v/>
      </c>
      <c r="F6156" s="100" t="str">
        <f t="shared" si="3"/>
        <v/>
      </c>
      <c r="G6156" s="151"/>
      <c r="H6156" s="160"/>
      <c r="I6156" s="157"/>
      <c r="J6156" s="158"/>
      <c r="L6156" s="94"/>
      <c r="M6156" s="159"/>
      <c r="N6156" s="94"/>
    </row>
    <row r="6157">
      <c r="A6157" s="107">
        <v>1630644.0</v>
      </c>
      <c r="B6157" s="116" t="s">
        <v>215</v>
      </c>
      <c r="C6157" s="116" t="s">
        <v>1520</v>
      </c>
      <c r="D6157" s="100" t="str">
        <f t="shared" si="1"/>
        <v/>
      </c>
      <c r="E6157" s="100" t="str">
        <f t="shared" si="2"/>
        <v/>
      </c>
      <c r="F6157" s="100" t="str">
        <f t="shared" si="3"/>
        <v/>
      </c>
      <c r="G6157" s="151"/>
      <c r="H6157" s="156"/>
      <c r="I6157" s="157"/>
      <c r="J6157" s="161"/>
      <c r="L6157" s="94"/>
      <c r="M6157" s="159"/>
      <c r="N6157" s="94"/>
    </row>
    <row r="6158">
      <c r="A6158" s="107">
        <v>1630644.0</v>
      </c>
      <c r="B6158" s="116" t="s">
        <v>244</v>
      </c>
      <c r="C6158" s="116" t="s">
        <v>1520</v>
      </c>
      <c r="D6158" s="100" t="str">
        <f t="shared" si="1"/>
        <v/>
      </c>
      <c r="E6158" s="100" t="str">
        <f t="shared" si="2"/>
        <v/>
      </c>
      <c r="F6158" s="100" t="str">
        <f t="shared" si="3"/>
        <v/>
      </c>
      <c r="G6158" s="151"/>
      <c r="H6158" s="160"/>
      <c r="I6158" s="157"/>
      <c r="J6158" s="158"/>
      <c r="L6158" s="94"/>
      <c r="M6158" s="159"/>
      <c r="N6158" s="94"/>
    </row>
    <row r="6159">
      <c r="A6159" s="107">
        <v>1630644.0</v>
      </c>
      <c r="B6159" s="116" t="s">
        <v>246</v>
      </c>
      <c r="C6159" s="116" t="s">
        <v>1520</v>
      </c>
      <c r="D6159" s="100" t="str">
        <f t="shared" si="1"/>
        <v/>
      </c>
      <c r="E6159" s="100" t="str">
        <f t="shared" si="2"/>
        <v/>
      </c>
      <c r="F6159" s="100" t="str">
        <f t="shared" si="3"/>
        <v/>
      </c>
      <c r="G6159" s="151"/>
      <c r="H6159" s="156"/>
      <c r="I6159" s="157"/>
      <c r="J6159" s="161"/>
      <c r="L6159" s="94"/>
      <c r="M6159" s="159"/>
      <c r="N6159" s="94"/>
    </row>
    <row r="6160">
      <c r="A6160" s="114">
        <v>1630644.0</v>
      </c>
      <c r="B6160" s="131" t="s">
        <v>247</v>
      </c>
      <c r="C6160" s="131" t="s">
        <v>1520</v>
      </c>
      <c r="D6160" s="100" t="str">
        <f t="shared" si="1"/>
        <v/>
      </c>
      <c r="E6160" s="100" t="str">
        <f t="shared" si="2"/>
        <v/>
      </c>
      <c r="F6160" s="100" t="str">
        <f t="shared" si="3"/>
        <v/>
      </c>
      <c r="G6160" s="151"/>
      <c r="H6160" s="160"/>
      <c r="I6160" s="157"/>
      <c r="J6160" s="158"/>
      <c r="L6160" s="94"/>
      <c r="M6160" s="159"/>
      <c r="N6160" s="94"/>
    </row>
    <row r="6161">
      <c r="A6161" s="107">
        <v>1630647.0</v>
      </c>
      <c r="B6161" s="116" t="s">
        <v>215</v>
      </c>
      <c r="C6161" s="116" t="s">
        <v>1521</v>
      </c>
      <c r="D6161" s="100" t="str">
        <f t="shared" si="1"/>
        <v/>
      </c>
      <c r="E6161" s="100" t="str">
        <f t="shared" si="2"/>
        <v/>
      </c>
      <c r="F6161" s="100" t="str">
        <f t="shared" si="3"/>
        <v/>
      </c>
      <c r="G6161" s="151"/>
      <c r="H6161" s="156"/>
      <c r="I6161" s="157"/>
      <c r="J6161" s="161"/>
      <c r="L6161" s="94"/>
      <c r="M6161" s="159"/>
      <c r="N6161" s="94"/>
    </row>
    <row r="6162">
      <c r="A6162" s="107">
        <v>1630647.0</v>
      </c>
      <c r="B6162" s="116" t="s">
        <v>244</v>
      </c>
      <c r="C6162" s="116" t="s">
        <v>1521</v>
      </c>
      <c r="D6162" s="100" t="str">
        <f t="shared" si="1"/>
        <v/>
      </c>
      <c r="E6162" s="100" t="str">
        <f t="shared" si="2"/>
        <v/>
      </c>
      <c r="F6162" s="100" t="str">
        <f t="shared" si="3"/>
        <v/>
      </c>
      <c r="G6162" s="151"/>
      <c r="H6162" s="160"/>
      <c r="I6162" s="157"/>
      <c r="J6162" s="158"/>
      <c r="L6162" s="94"/>
      <c r="M6162" s="159"/>
      <c r="N6162" s="94"/>
    </row>
    <row r="6163">
      <c r="A6163" s="107">
        <v>1630647.0</v>
      </c>
      <c r="B6163" s="116" t="s">
        <v>245</v>
      </c>
      <c r="C6163" s="116" t="s">
        <v>1521</v>
      </c>
      <c r="D6163" s="100" t="str">
        <f t="shared" si="1"/>
        <v/>
      </c>
      <c r="E6163" s="100" t="str">
        <f t="shared" si="2"/>
        <v/>
      </c>
      <c r="F6163" s="100" t="str">
        <f t="shared" si="3"/>
        <v/>
      </c>
      <c r="G6163" s="151"/>
      <c r="H6163" s="156"/>
      <c r="I6163" s="157"/>
      <c r="J6163" s="161"/>
      <c r="L6163" s="94"/>
      <c r="M6163" s="159"/>
      <c r="N6163" s="94"/>
    </row>
    <row r="6164">
      <c r="A6164" s="107">
        <v>1630648.0</v>
      </c>
      <c r="B6164" s="116" t="s">
        <v>215</v>
      </c>
      <c r="C6164" s="116" t="s">
        <v>1522</v>
      </c>
      <c r="D6164" s="100" t="str">
        <f t="shared" si="1"/>
        <v/>
      </c>
      <c r="E6164" s="100" t="str">
        <f t="shared" si="2"/>
        <v/>
      </c>
      <c r="F6164" s="100" t="str">
        <f t="shared" si="3"/>
        <v/>
      </c>
      <c r="G6164" s="151"/>
      <c r="H6164" s="160"/>
      <c r="I6164" s="157"/>
      <c r="J6164" s="158"/>
      <c r="L6164" s="94"/>
      <c r="M6164" s="159"/>
      <c r="N6164" s="94"/>
    </row>
    <row r="6165">
      <c r="A6165" s="107">
        <v>1630648.0</v>
      </c>
      <c r="B6165" s="116" t="s">
        <v>244</v>
      </c>
      <c r="C6165" s="116" t="s">
        <v>1522</v>
      </c>
      <c r="D6165" s="100" t="str">
        <f t="shared" si="1"/>
        <v/>
      </c>
      <c r="E6165" s="100" t="str">
        <f t="shared" si="2"/>
        <v/>
      </c>
      <c r="F6165" s="100" t="str">
        <f t="shared" si="3"/>
        <v/>
      </c>
      <c r="G6165" s="151"/>
      <c r="H6165" s="156"/>
      <c r="I6165" s="157"/>
      <c r="J6165" s="161"/>
      <c r="L6165" s="94"/>
      <c r="M6165" s="159"/>
      <c r="N6165" s="94"/>
    </row>
    <row r="6166">
      <c r="A6166" s="107">
        <v>1630649.0</v>
      </c>
      <c r="B6166" s="116" t="s">
        <v>244</v>
      </c>
      <c r="C6166" s="116" t="s">
        <v>1523</v>
      </c>
      <c r="D6166" s="100" t="str">
        <f t="shared" si="1"/>
        <v/>
      </c>
      <c r="E6166" s="100" t="str">
        <f t="shared" si="2"/>
        <v/>
      </c>
      <c r="F6166" s="100" t="str">
        <f t="shared" si="3"/>
        <v/>
      </c>
      <c r="G6166" s="151"/>
      <c r="H6166" s="160"/>
      <c r="I6166" s="157"/>
      <c r="J6166" s="158"/>
      <c r="L6166" s="94"/>
      <c r="M6166" s="159"/>
      <c r="N6166" s="94"/>
    </row>
    <row r="6167">
      <c r="A6167" s="107">
        <v>1630649.0</v>
      </c>
      <c r="B6167" s="116" t="s">
        <v>245</v>
      </c>
      <c r="C6167" s="116" t="s">
        <v>1523</v>
      </c>
      <c r="D6167" s="100" t="str">
        <f t="shared" si="1"/>
        <v/>
      </c>
      <c r="E6167" s="100" t="str">
        <f t="shared" si="2"/>
        <v/>
      </c>
      <c r="F6167" s="100" t="str">
        <f t="shared" si="3"/>
        <v/>
      </c>
      <c r="G6167" s="151"/>
      <c r="H6167" s="156"/>
      <c r="I6167" s="157"/>
      <c r="J6167" s="161"/>
      <c r="L6167" s="94"/>
      <c r="M6167" s="159"/>
      <c r="N6167" s="94"/>
    </row>
    <row r="6168">
      <c r="A6168" s="107">
        <v>1630649.0</v>
      </c>
      <c r="B6168" s="116" t="s">
        <v>246</v>
      </c>
      <c r="C6168" s="116" t="s">
        <v>1523</v>
      </c>
      <c r="D6168" s="100" t="str">
        <f t="shared" si="1"/>
        <v/>
      </c>
      <c r="E6168" s="100" t="str">
        <f t="shared" si="2"/>
        <v/>
      </c>
      <c r="F6168" s="100" t="str">
        <f t="shared" si="3"/>
        <v/>
      </c>
      <c r="G6168" s="151"/>
      <c r="H6168" s="160"/>
      <c r="I6168" s="157"/>
      <c r="J6168" s="158"/>
      <c r="L6168" s="94"/>
      <c r="M6168" s="159"/>
      <c r="N6168" s="94"/>
    </row>
    <row r="6169">
      <c r="A6169" s="126">
        <v>1630649.0</v>
      </c>
      <c r="B6169" s="141" t="s">
        <v>247</v>
      </c>
      <c r="C6169" s="141" t="s">
        <v>1523</v>
      </c>
      <c r="D6169" s="100" t="str">
        <f t="shared" si="1"/>
        <v/>
      </c>
      <c r="E6169" s="100" t="str">
        <f t="shared" si="2"/>
        <v/>
      </c>
      <c r="F6169" s="100" t="str">
        <f t="shared" si="3"/>
        <v/>
      </c>
      <c r="G6169" s="151"/>
      <c r="H6169" s="156"/>
      <c r="I6169" s="157"/>
      <c r="J6169" s="161"/>
      <c r="L6169" s="94"/>
      <c r="M6169" s="159"/>
      <c r="N6169" s="94"/>
    </row>
    <row r="6170">
      <c r="A6170" s="107">
        <v>1630658.0</v>
      </c>
      <c r="B6170" s="116" t="s">
        <v>245</v>
      </c>
      <c r="C6170" s="116" t="s">
        <v>1524</v>
      </c>
      <c r="D6170" s="100" t="str">
        <f t="shared" si="1"/>
        <v/>
      </c>
      <c r="E6170" s="100" t="str">
        <f t="shared" si="2"/>
        <v/>
      </c>
      <c r="F6170" s="100" t="str">
        <f t="shared" si="3"/>
        <v/>
      </c>
      <c r="G6170" s="151"/>
      <c r="H6170" s="160"/>
      <c r="I6170" s="157"/>
      <c r="J6170" s="158"/>
      <c r="L6170" s="94"/>
      <c r="M6170" s="159"/>
      <c r="N6170" s="94"/>
    </row>
    <row r="6171">
      <c r="A6171" s="107">
        <v>1630658.0</v>
      </c>
      <c r="B6171" s="116" t="s">
        <v>246</v>
      </c>
      <c r="C6171" s="116" t="s">
        <v>1524</v>
      </c>
      <c r="D6171" s="100" t="str">
        <f t="shared" si="1"/>
        <v/>
      </c>
      <c r="E6171" s="100" t="str">
        <f t="shared" si="2"/>
        <v/>
      </c>
      <c r="F6171" s="100" t="str">
        <f t="shared" si="3"/>
        <v/>
      </c>
      <c r="G6171" s="151"/>
      <c r="H6171" s="156"/>
      <c r="I6171" s="157"/>
      <c r="J6171" s="161"/>
      <c r="L6171" s="94"/>
      <c r="M6171" s="159"/>
      <c r="N6171" s="94"/>
    </row>
    <row r="6172">
      <c r="A6172" s="107">
        <v>1630658.0</v>
      </c>
      <c r="B6172" s="24" t="s">
        <v>247</v>
      </c>
      <c r="C6172" s="24" t="s">
        <v>1524</v>
      </c>
      <c r="D6172" s="100" t="str">
        <f t="shared" si="1"/>
        <v/>
      </c>
      <c r="E6172" s="100" t="str">
        <f t="shared" si="2"/>
        <v/>
      </c>
      <c r="F6172" s="100" t="str">
        <f t="shared" si="3"/>
        <v/>
      </c>
      <c r="G6172" s="151"/>
      <c r="H6172" s="160"/>
      <c r="I6172" s="157"/>
      <c r="J6172" s="158"/>
      <c r="L6172" s="94"/>
      <c r="M6172" s="159"/>
      <c r="N6172" s="94"/>
    </row>
    <row r="6173">
      <c r="A6173" s="107">
        <v>1630678.0</v>
      </c>
      <c r="B6173" s="116" t="s">
        <v>215</v>
      </c>
      <c r="C6173" s="116" t="s">
        <v>1525</v>
      </c>
      <c r="D6173" s="100" t="str">
        <f t="shared" si="1"/>
        <v/>
      </c>
      <c r="E6173" s="100" t="str">
        <f t="shared" si="2"/>
        <v/>
      </c>
      <c r="F6173" s="100" t="str">
        <f t="shared" si="3"/>
        <v/>
      </c>
      <c r="G6173" s="151"/>
      <c r="H6173" s="156"/>
      <c r="I6173" s="157"/>
      <c r="J6173" s="161"/>
      <c r="L6173" s="94"/>
      <c r="M6173" s="159"/>
      <c r="N6173" s="94"/>
    </row>
    <row r="6174">
      <c r="A6174" s="107">
        <v>1630678.0</v>
      </c>
      <c r="B6174" s="116" t="s">
        <v>244</v>
      </c>
      <c r="C6174" s="116" t="s">
        <v>1525</v>
      </c>
      <c r="D6174" s="100" t="str">
        <f t="shared" si="1"/>
        <v/>
      </c>
      <c r="E6174" s="100" t="str">
        <f t="shared" si="2"/>
        <v/>
      </c>
      <c r="F6174" s="100" t="str">
        <f t="shared" si="3"/>
        <v/>
      </c>
      <c r="G6174" s="151"/>
      <c r="H6174" s="160"/>
      <c r="I6174" s="157"/>
      <c r="J6174" s="158"/>
      <c r="L6174" s="94"/>
      <c r="M6174" s="159"/>
      <c r="N6174" s="94"/>
    </row>
    <row r="6175">
      <c r="A6175" s="165">
        <v>1630678.0</v>
      </c>
      <c r="B6175" s="132" t="s">
        <v>245</v>
      </c>
      <c r="C6175" s="132" t="s">
        <v>1525</v>
      </c>
      <c r="D6175" s="100" t="str">
        <f t="shared" si="1"/>
        <v/>
      </c>
      <c r="E6175" s="100" t="str">
        <f t="shared" si="2"/>
        <v/>
      </c>
      <c r="F6175" s="100" t="str">
        <f t="shared" si="3"/>
        <v/>
      </c>
      <c r="G6175" s="151"/>
      <c r="H6175" s="156"/>
      <c r="I6175" s="157"/>
      <c r="J6175" s="161"/>
      <c r="L6175" s="94"/>
      <c r="M6175" s="159"/>
      <c r="N6175" s="94"/>
    </row>
    <row r="6176">
      <c r="A6176" s="123">
        <v>1630678.0</v>
      </c>
      <c r="B6176" s="132" t="s">
        <v>246</v>
      </c>
      <c r="C6176" s="133" t="s">
        <v>1525</v>
      </c>
      <c r="D6176" s="100" t="str">
        <f t="shared" si="1"/>
        <v/>
      </c>
      <c r="E6176" s="100" t="str">
        <f t="shared" si="2"/>
        <v/>
      </c>
      <c r="F6176" s="100" t="str">
        <f t="shared" si="3"/>
        <v/>
      </c>
      <c r="G6176" s="151"/>
      <c r="H6176" s="160"/>
      <c r="I6176" s="157"/>
      <c r="J6176" s="158"/>
      <c r="L6176" s="94"/>
      <c r="M6176" s="159"/>
      <c r="N6176" s="94"/>
    </row>
    <row r="6177">
      <c r="A6177" s="114">
        <v>1630679.0</v>
      </c>
      <c r="B6177" s="22" t="s">
        <v>246</v>
      </c>
      <c r="C6177" s="131" t="s">
        <v>1526</v>
      </c>
      <c r="D6177" s="100" t="str">
        <f t="shared" si="1"/>
        <v/>
      </c>
      <c r="E6177" s="100" t="str">
        <f t="shared" si="2"/>
        <v/>
      </c>
      <c r="F6177" s="100" t="str">
        <f t="shared" si="3"/>
        <v/>
      </c>
      <c r="G6177" s="151"/>
      <c r="H6177" s="156"/>
      <c r="I6177" s="157"/>
      <c r="J6177" s="161"/>
      <c r="L6177" s="94"/>
      <c r="M6177" s="159"/>
      <c r="N6177" s="94"/>
    </row>
    <row r="6178">
      <c r="A6178" s="149">
        <v>1630679.0</v>
      </c>
      <c r="B6178" s="140" t="s">
        <v>247</v>
      </c>
      <c r="C6178" s="140" t="s">
        <v>1526</v>
      </c>
      <c r="D6178" s="100" t="str">
        <f t="shared" si="1"/>
        <v/>
      </c>
      <c r="E6178" s="100" t="str">
        <f t="shared" si="2"/>
        <v/>
      </c>
      <c r="F6178" s="100" t="str">
        <f t="shared" si="3"/>
        <v/>
      </c>
      <c r="G6178" s="151"/>
      <c r="H6178" s="160"/>
      <c r="I6178" s="157"/>
      <c r="J6178" s="158"/>
      <c r="L6178" s="94"/>
      <c r="M6178" s="159"/>
      <c r="N6178" s="94"/>
    </row>
    <row r="6179">
      <c r="A6179" s="107">
        <v>1630686.0</v>
      </c>
      <c r="B6179" s="116" t="s">
        <v>215</v>
      </c>
      <c r="C6179" s="116" t="s">
        <v>1527</v>
      </c>
      <c r="D6179" s="100" t="str">
        <f t="shared" si="1"/>
        <v/>
      </c>
      <c r="E6179" s="100" t="str">
        <f t="shared" si="2"/>
        <v/>
      </c>
      <c r="F6179" s="100" t="str">
        <f t="shared" si="3"/>
        <v/>
      </c>
      <c r="G6179" s="151"/>
      <c r="H6179" s="156"/>
      <c r="I6179" s="157"/>
      <c r="J6179" s="161"/>
      <c r="L6179" s="94"/>
      <c r="M6179" s="159"/>
      <c r="N6179" s="94"/>
    </row>
    <row r="6180">
      <c r="A6180" s="107">
        <v>1630688.0</v>
      </c>
      <c r="B6180" s="116" t="s">
        <v>215</v>
      </c>
      <c r="C6180" s="116" t="s">
        <v>1528</v>
      </c>
      <c r="D6180" s="100" t="str">
        <f t="shared" si="1"/>
        <v/>
      </c>
      <c r="E6180" s="100" t="str">
        <f t="shared" si="2"/>
        <v/>
      </c>
      <c r="F6180" s="100" t="str">
        <f t="shared" si="3"/>
        <v/>
      </c>
      <c r="G6180" s="151"/>
      <c r="H6180" s="160"/>
      <c r="I6180" s="157"/>
      <c r="J6180" s="158"/>
      <c r="L6180" s="94"/>
      <c r="M6180" s="159"/>
      <c r="N6180" s="94"/>
    </row>
    <row r="6181">
      <c r="A6181" s="107">
        <v>1630688.0</v>
      </c>
      <c r="B6181" s="116" t="s">
        <v>244</v>
      </c>
      <c r="C6181" s="116" t="s">
        <v>1528</v>
      </c>
      <c r="D6181" s="100" t="str">
        <f t="shared" si="1"/>
        <v/>
      </c>
      <c r="E6181" s="100" t="str">
        <f t="shared" si="2"/>
        <v/>
      </c>
      <c r="F6181" s="100" t="str">
        <f t="shared" si="3"/>
        <v/>
      </c>
      <c r="G6181" s="151"/>
      <c r="H6181" s="156"/>
      <c r="I6181" s="157"/>
      <c r="J6181" s="161"/>
      <c r="L6181" s="94"/>
      <c r="M6181" s="159"/>
      <c r="N6181" s="94"/>
    </row>
    <row r="6182">
      <c r="A6182" s="107">
        <v>1630688.0</v>
      </c>
      <c r="B6182" s="116" t="s">
        <v>245</v>
      </c>
      <c r="C6182" s="116" t="s">
        <v>1528</v>
      </c>
      <c r="D6182" s="100" t="str">
        <f t="shared" si="1"/>
        <v/>
      </c>
      <c r="E6182" s="100" t="str">
        <f t="shared" si="2"/>
        <v/>
      </c>
      <c r="F6182" s="100" t="str">
        <f t="shared" si="3"/>
        <v/>
      </c>
      <c r="G6182" s="151"/>
      <c r="H6182" s="160"/>
      <c r="I6182" s="157"/>
      <c r="J6182" s="158"/>
      <c r="L6182" s="94"/>
      <c r="M6182" s="159"/>
      <c r="N6182" s="94"/>
    </row>
    <row r="6183">
      <c r="A6183" s="107">
        <v>1630691.0</v>
      </c>
      <c r="B6183" s="116" t="s">
        <v>215</v>
      </c>
      <c r="C6183" s="116" t="s">
        <v>1529</v>
      </c>
      <c r="D6183" s="100" t="str">
        <f t="shared" si="1"/>
        <v/>
      </c>
      <c r="E6183" s="100" t="str">
        <f t="shared" si="2"/>
        <v/>
      </c>
      <c r="F6183" s="100" t="str">
        <f t="shared" si="3"/>
        <v/>
      </c>
      <c r="G6183" s="151"/>
      <c r="H6183" s="156"/>
      <c r="I6183" s="157"/>
      <c r="J6183" s="161"/>
      <c r="L6183" s="94"/>
      <c r="M6183" s="159"/>
      <c r="N6183" s="94"/>
    </row>
    <row r="6184">
      <c r="A6184" s="107">
        <v>1630692.0</v>
      </c>
      <c r="B6184" s="116" t="s">
        <v>215</v>
      </c>
      <c r="C6184" s="116" t="s">
        <v>1530</v>
      </c>
      <c r="D6184" s="100" t="str">
        <f t="shared" si="1"/>
        <v/>
      </c>
      <c r="E6184" s="100" t="str">
        <f t="shared" si="2"/>
        <v/>
      </c>
      <c r="F6184" s="100" t="str">
        <f t="shared" si="3"/>
        <v/>
      </c>
      <c r="G6184" s="151"/>
      <c r="H6184" s="160"/>
      <c r="I6184" s="157"/>
      <c r="J6184" s="158"/>
      <c r="L6184" s="94"/>
      <c r="M6184" s="159"/>
      <c r="N6184" s="94"/>
    </row>
    <row r="6185">
      <c r="A6185" s="107">
        <v>1630692.0</v>
      </c>
      <c r="B6185" s="116" t="s">
        <v>244</v>
      </c>
      <c r="C6185" s="116" t="s">
        <v>1530</v>
      </c>
      <c r="D6185" s="100" t="str">
        <f t="shared" si="1"/>
        <v/>
      </c>
      <c r="E6185" s="100" t="str">
        <f t="shared" si="2"/>
        <v/>
      </c>
      <c r="F6185" s="100" t="str">
        <f t="shared" si="3"/>
        <v/>
      </c>
      <c r="G6185" s="151"/>
      <c r="H6185" s="156"/>
      <c r="I6185" s="157"/>
      <c r="J6185" s="161"/>
      <c r="L6185" s="94"/>
      <c r="M6185" s="159"/>
      <c r="N6185" s="94"/>
    </row>
    <row r="6186">
      <c r="A6186" s="165">
        <v>1630692.0</v>
      </c>
      <c r="B6186" s="132" t="s">
        <v>245</v>
      </c>
      <c r="C6186" s="132" t="s">
        <v>1530</v>
      </c>
      <c r="D6186" s="100" t="str">
        <f t="shared" si="1"/>
        <v/>
      </c>
      <c r="E6186" s="100" t="str">
        <f t="shared" si="2"/>
        <v/>
      </c>
      <c r="F6186" s="100" t="str">
        <f t="shared" si="3"/>
        <v/>
      </c>
      <c r="G6186" s="151"/>
      <c r="H6186" s="160"/>
      <c r="I6186" s="157"/>
      <c r="J6186" s="158"/>
      <c r="L6186" s="94"/>
      <c r="M6186" s="159"/>
      <c r="N6186" s="94"/>
    </row>
    <row r="6187">
      <c r="A6187" s="114">
        <v>1630692.0</v>
      </c>
      <c r="B6187" s="22" t="s">
        <v>246</v>
      </c>
      <c r="C6187" s="131" t="s">
        <v>1530</v>
      </c>
      <c r="D6187" s="100" t="str">
        <f t="shared" si="1"/>
        <v/>
      </c>
      <c r="E6187" s="100" t="str">
        <f t="shared" si="2"/>
        <v/>
      </c>
      <c r="F6187" s="100" t="str">
        <f t="shared" si="3"/>
        <v/>
      </c>
      <c r="G6187" s="151"/>
      <c r="H6187" s="156"/>
      <c r="I6187" s="157"/>
      <c r="J6187" s="161"/>
      <c r="L6187" s="94"/>
      <c r="M6187" s="159"/>
      <c r="N6187" s="94"/>
    </row>
    <row r="6188">
      <c r="A6188" s="149">
        <v>1630692.0</v>
      </c>
      <c r="B6188" s="140" t="s">
        <v>247</v>
      </c>
      <c r="C6188" s="140" t="s">
        <v>1530</v>
      </c>
      <c r="D6188" s="100" t="str">
        <f t="shared" si="1"/>
        <v/>
      </c>
      <c r="E6188" s="100" t="str">
        <f t="shared" si="2"/>
        <v/>
      </c>
      <c r="F6188" s="100" t="str">
        <f t="shared" si="3"/>
        <v/>
      </c>
      <c r="G6188" s="151"/>
      <c r="H6188" s="160"/>
      <c r="I6188" s="157"/>
      <c r="J6188" s="158"/>
      <c r="L6188" s="94"/>
      <c r="M6188" s="159"/>
      <c r="N6188" s="94"/>
    </row>
    <row r="6189">
      <c r="A6189" s="107">
        <v>1630693.0</v>
      </c>
      <c r="B6189" s="116" t="s">
        <v>215</v>
      </c>
      <c r="C6189" s="116" t="s">
        <v>1531</v>
      </c>
      <c r="D6189" s="100" t="str">
        <f t="shared" si="1"/>
        <v/>
      </c>
      <c r="E6189" s="100" t="str">
        <f t="shared" si="2"/>
        <v/>
      </c>
      <c r="F6189" s="100" t="str">
        <f t="shared" si="3"/>
        <v/>
      </c>
      <c r="G6189" s="151"/>
      <c r="H6189" s="156"/>
      <c r="I6189" s="157"/>
      <c r="J6189" s="161"/>
      <c r="L6189" s="94"/>
      <c r="M6189" s="159"/>
      <c r="N6189" s="94"/>
    </row>
    <row r="6190">
      <c r="A6190" s="107">
        <v>1630695.0</v>
      </c>
      <c r="B6190" s="116" t="s">
        <v>215</v>
      </c>
      <c r="C6190" s="116" t="s">
        <v>1532</v>
      </c>
      <c r="D6190" s="100" t="str">
        <f t="shared" si="1"/>
        <v/>
      </c>
      <c r="E6190" s="100" t="str">
        <f t="shared" si="2"/>
        <v/>
      </c>
      <c r="F6190" s="100" t="str">
        <f t="shared" si="3"/>
        <v/>
      </c>
      <c r="G6190" s="151"/>
      <c r="H6190" s="160"/>
      <c r="I6190" s="157"/>
      <c r="J6190" s="158"/>
      <c r="L6190" s="94"/>
      <c r="M6190" s="159"/>
      <c r="N6190" s="94"/>
    </row>
    <row r="6191">
      <c r="A6191" s="107">
        <v>1630695.0</v>
      </c>
      <c r="B6191" s="116" t="s">
        <v>244</v>
      </c>
      <c r="C6191" s="116" t="s">
        <v>1532</v>
      </c>
      <c r="D6191" s="100" t="str">
        <f t="shared" si="1"/>
        <v/>
      </c>
      <c r="E6191" s="100" t="str">
        <f t="shared" si="2"/>
        <v/>
      </c>
      <c r="F6191" s="100" t="str">
        <f t="shared" si="3"/>
        <v/>
      </c>
      <c r="G6191" s="151"/>
      <c r="H6191" s="156"/>
      <c r="I6191" s="157"/>
      <c r="J6191" s="161"/>
      <c r="L6191" s="94"/>
      <c r="M6191" s="159"/>
      <c r="N6191" s="94"/>
    </row>
    <row r="6192">
      <c r="A6192" s="107">
        <v>1630695.0</v>
      </c>
      <c r="B6192" s="116" t="s">
        <v>245</v>
      </c>
      <c r="C6192" s="116" t="s">
        <v>1532</v>
      </c>
      <c r="D6192" s="100" t="str">
        <f t="shared" si="1"/>
        <v/>
      </c>
      <c r="E6192" s="100" t="str">
        <f t="shared" si="2"/>
        <v/>
      </c>
      <c r="F6192" s="100" t="str">
        <f t="shared" si="3"/>
        <v/>
      </c>
      <c r="G6192" s="151"/>
      <c r="H6192" s="160"/>
      <c r="I6192" s="157"/>
      <c r="J6192" s="158"/>
      <c r="L6192" s="94"/>
      <c r="M6192" s="159"/>
      <c r="N6192" s="94"/>
    </row>
    <row r="6193">
      <c r="A6193" s="126">
        <v>1630695.0</v>
      </c>
      <c r="B6193" s="145" t="s">
        <v>246</v>
      </c>
      <c r="C6193" s="145" t="s">
        <v>1532</v>
      </c>
      <c r="D6193" s="100" t="str">
        <f t="shared" si="1"/>
        <v/>
      </c>
      <c r="E6193" s="100" t="str">
        <f t="shared" si="2"/>
        <v/>
      </c>
      <c r="F6193" s="100" t="str">
        <f t="shared" si="3"/>
        <v/>
      </c>
      <c r="G6193" s="151"/>
      <c r="H6193" s="156"/>
      <c r="I6193" s="157"/>
      <c r="J6193" s="161"/>
      <c r="L6193" s="94"/>
      <c r="M6193" s="159"/>
      <c r="N6193" s="94"/>
    </row>
    <row r="6194">
      <c r="A6194" s="107">
        <v>1630695.0</v>
      </c>
      <c r="B6194" s="24" t="s">
        <v>247</v>
      </c>
      <c r="C6194" s="24" t="s">
        <v>1532</v>
      </c>
      <c r="D6194" s="100" t="str">
        <f t="shared" si="1"/>
        <v/>
      </c>
      <c r="E6194" s="100" t="str">
        <f t="shared" si="2"/>
        <v/>
      </c>
      <c r="F6194" s="100" t="str">
        <f t="shared" si="3"/>
        <v/>
      </c>
      <c r="G6194" s="151"/>
      <c r="H6194" s="160"/>
      <c r="I6194" s="157"/>
      <c r="J6194" s="158"/>
      <c r="L6194" s="94"/>
      <c r="M6194" s="159"/>
      <c r="N6194" s="94"/>
    </row>
    <row r="6195">
      <c r="A6195" s="107">
        <v>1630696.0</v>
      </c>
      <c r="B6195" s="116" t="s">
        <v>244</v>
      </c>
      <c r="C6195" s="116" t="s">
        <v>1533</v>
      </c>
      <c r="D6195" s="100" t="str">
        <f t="shared" si="1"/>
        <v/>
      </c>
      <c r="E6195" s="100" t="str">
        <f t="shared" si="2"/>
        <v/>
      </c>
      <c r="F6195" s="100" t="str">
        <f t="shared" si="3"/>
        <v/>
      </c>
      <c r="G6195" s="151"/>
      <c r="H6195" s="156"/>
      <c r="I6195" s="157"/>
      <c r="J6195" s="161"/>
      <c r="L6195" s="94"/>
      <c r="M6195" s="159"/>
      <c r="N6195" s="94"/>
    </row>
    <row r="6196">
      <c r="A6196" s="107">
        <v>1630696.0</v>
      </c>
      <c r="B6196" s="116" t="s">
        <v>245</v>
      </c>
      <c r="C6196" s="116" t="s">
        <v>1533</v>
      </c>
      <c r="D6196" s="100" t="str">
        <f t="shared" si="1"/>
        <v/>
      </c>
      <c r="E6196" s="100" t="str">
        <f t="shared" si="2"/>
        <v/>
      </c>
      <c r="F6196" s="100" t="str">
        <f t="shared" si="3"/>
        <v/>
      </c>
      <c r="G6196" s="151"/>
      <c r="H6196" s="160"/>
      <c r="I6196" s="157"/>
      <c r="J6196" s="158"/>
      <c r="L6196" s="94"/>
      <c r="M6196" s="159"/>
      <c r="N6196" s="94"/>
    </row>
    <row r="6197">
      <c r="A6197" s="21">
        <v>1630696.0</v>
      </c>
      <c r="B6197" s="22" t="s">
        <v>246</v>
      </c>
      <c r="C6197" s="22" t="s">
        <v>1533</v>
      </c>
      <c r="D6197" s="100" t="str">
        <f t="shared" si="1"/>
        <v/>
      </c>
      <c r="E6197" s="100" t="str">
        <f t="shared" si="2"/>
        <v/>
      </c>
      <c r="F6197" s="100" t="str">
        <f t="shared" si="3"/>
        <v/>
      </c>
      <c r="G6197" s="151"/>
      <c r="H6197" s="156"/>
      <c r="I6197" s="157"/>
      <c r="J6197" s="161"/>
      <c r="L6197" s="94"/>
      <c r="M6197" s="159"/>
      <c r="N6197" s="94"/>
    </row>
    <row r="6198">
      <c r="A6198" s="149">
        <v>1630696.0</v>
      </c>
      <c r="B6198" s="140" t="s">
        <v>247</v>
      </c>
      <c r="C6198" s="140" t="s">
        <v>1533</v>
      </c>
      <c r="D6198" s="100" t="str">
        <f t="shared" si="1"/>
        <v/>
      </c>
      <c r="E6198" s="100" t="str">
        <f t="shared" si="2"/>
        <v/>
      </c>
      <c r="F6198" s="100" t="str">
        <f t="shared" si="3"/>
        <v/>
      </c>
      <c r="G6198" s="151"/>
      <c r="H6198" s="160"/>
      <c r="I6198" s="157"/>
      <c r="J6198" s="158"/>
      <c r="L6198" s="94"/>
      <c r="M6198" s="159"/>
      <c r="N6198" s="94"/>
    </row>
    <row r="6199">
      <c r="A6199" s="107">
        <v>1630698.0</v>
      </c>
      <c r="B6199" s="116" t="s">
        <v>215</v>
      </c>
      <c r="C6199" s="116" t="s">
        <v>1534</v>
      </c>
      <c r="D6199" s="100" t="str">
        <f t="shared" si="1"/>
        <v/>
      </c>
      <c r="E6199" s="100" t="str">
        <f t="shared" si="2"/>
        <v/>
      </c>
      <c r="F6199" s="100" t="str">
        <f t="shared" si="3"/>
        <v/>
      </c>
      <c r="G6199" s="151"/>
      <c r="H6199" s="156"/>
      <c r="I6199" s="157"/>
      <c r="J6199" s="161"/>
      <c r="L6199" s="94"/>
      <c r="M6199" s="159"/>
      <c r="N6199" s="94"/>
    </row>
    <row r="6200">
      <c r="A6200" s="107">
        <v>1630699.0</v>
      </c>
      <c r="B6200" s="116" t="s">
        <v>244</v>
      </c>
      <c r="C6200" s="116" t="s">
        <v>1535</v>
      </c>
      <c r="D6200" s="100" t="str">
        <f t="shared" si="1"/>
        <v/>
      </c>
      <c r="E6200" s="100" t="str">
        <f t="shared" si="2"/>
        <v/>
      </c>
      <c r="F6200" s="100" t="str">
        <f t="shared" si="3"/>
        <v/>
      </c>
      <c r="G6200" s="151"/>
      <c r="H6200" s="160"/>
      <c r="I6200" s="157"/>
      <c r="J6200" s="158"/>
      <c r="L6200" s="94"/>
      <c r="M6200" s="159"/>
      <c r="N6200" s="94"/>
    </row>
    <row r="6201">
      <c r="A6201" s="107">
        <v>1630699.0</v>
      </c>
      <c r="B6201" s="116" t="s">
        <v>245</v>
      </c>
      <c r="C6201" s="116" t="s">
        <v>1535</v>
      </c>
      <c r="D6201" s="100" t="str">
        <f t="shared" si="1"/>
        <v/>
      </c>
      <c r="E6201" s="100" t="str">
        <f t="shared" si="2"/>
        <v/>
      </c>
      <c r="F6201" s="100" t="str">
        <f t="shared" si="3"/>
        <v/>
      </c>
      <c r="G6201" s="151"/>
      <c r="H6201" s="156"/>
      <c r="I6201" s="157"/>
      <c r="J6201" s="161"/>
      <c r="L6201" s="94"/>
      <c r="M6201" s="159"/>
      <c r="N6201" s="94"/>
    </row>
    <row r="6202">
      <c r="A6202" s="126">
        <v>1630699.0</v>
      </c>
      <c r="B6202" s="145" t="s">
        <v>246</v>
      </c>
      <c r="C6202" s="145" t="s">
        <v>1535</v>
      </c>
      <c r="D6202" s="100" t="str">
        <f t="shared" si="1"/>
        <v/>
      </c>
      <c r="E6202" s="100" t="str">
        <f t="shared" si="2"/>
        <v/>
      </c>
      <c r="F6202" s="100" t="str">
        <f t="shared" si="3"/>
        <v/>
      </c>
      <c r="G6202" s="151"/>
      <c r="H6202" s="160"/>
      <c r="I6202" s="157"/>
      <c r="J6202" s="158"/>
      <c r="L6202" s="94"/>
      <c r="M6202" s="159"/>
      <c r="N6202" s="94"/>
    </row>
    <row r="6203">
      <c r="A6203" s="107">
        <v>1630699.0</v>
      </c>
      <c r="B6203" s="24" t="s">
        <v>247</v>
      </c>
      <c r="C6203" s="24" t="s">
        <v>1535</v>
      </c>
      <c r="D6203" s="100" t="str">
        <f t="shared" si="1"/>
        <v/>
      </c>
      <c r="E6203" s="100" t="str">
        <f t="shared" si="2"/>
        <v/>
      </c>
      <c r="F6203" s="100" t="str">
        <f t="shared" si="3"/>
        <v/>
      </c>
      <c r="G6203" s="151"/>
      <c r="H6203" s="156"/>
      <c r="I6203" s="157"/>
      <c r="J6203" s="161"/>
      <c r="L6203" s="94"/>
      <c r="M6203" s="159"/>
      <c r="N6203" s="94"/>
    </row>
    <row r="6204">
      <c r="A6204" s="107">
        <v>1630700.0</v>
      </c>
      <c r="B6204" s="116" t="s">
        <v>244</v>
      </c>
      <c r="C6204" s="116" t="s">
        <v>1536</v>
      </c>
      <c r="D6204" s="100" t="str">
        <f t="shared" si="1"/>
        <v/>
      </c>
      <c r="E6204" s="100" t="str">
        <f t="shared" si="2"/>
        <v/>
      </c>
      <c r="F6204" s="100" t="str">
        <f t="shared" si="3"/>
        <v/>
      </c>
      <c r="G6204" s="151"/>
      <c r="H6204" s="160"/>
      <c r="I6204" s="157"/>
      <c r="J6204" s="158"/>
      <c r="L6204" s="94"/>
      <c r="M6204" s="159"/>
      <c r="N6204" s="94"/>
    </row>
    <row r="6205">
      <c r="A6205" s="107">
        <v>1630700.0</v>
      </c>
      <c r="B6205" s="116" t="s">
        <v>245</v>
      </c>
      <c r="C6205" s="116" t="s">
        <v>1536</v>
      </c>
      <c r="D6205" s="100" t="str">
        <f t="shared" si="1"/>
        <v/>
      </c>
      <c r="E6205" s="100" t="str">
        <f t="shared" si="2"/>
        <v/>
      </c>
      <c r="F6205" s="100" t="str">
        <f t="shared" si="3"/>
        <v/>
      </c>
      <c r="G6205" s="151"/>
      <c r="H6205" s="156"/>
      <c r="I6205" s="157"/>
      <c r="J6205" s="161"/>
      <c r="L6205" s="94"/>
      <c r="M6205" s="159"/>
      <c r="N6205" s="94"/>
    </row>
    <row r="6206">
      <c r="A6206" s="21">
        <v>1630700.0</v>
      </c>
      <c r="B6206" s="22" t="s">
        <v>246</v>
      </c>
      <c r="C6206" s="22" t="s">
        <v>1536</v>
      </c>
      <c r="D6206" s="100" t="str">
        <f t="shared" si="1"/>
        <v/>
      </c>
      <c r="E6206" s="100" t="str">
        <f t="shared" si="2"/>
        <v/>
      </c>
      <c r="F6206" s="100" t="str">
        <f t="shared" si="3"/>
        <v/>
      </c>
      <c r="G6206" s="151"/>
      <c r="H6206" s="160"/>
      <c r="I6206" s="157"/>
      <c r="J6206" s="158"/>
      <c r="L6206" s="94"/>
      <c r="M6206" s="159"/>
      <c r="N6206" s="94"/>
    </row>
    <row r="6207">
      <c r="A6207" s="149">
        <v>1630700.0</v>
      </c>
      <c r="B6207" s="140" t="s">
        <v>247</v>
      </c>
      <c r="C6207" s="140" t="s">
        <v>1536</v>
      </c>
      <c r="D6207" s="100" t="str">
        <f t="shared" si="1"/>
        <v/>
      </c>
      <c r="E6207" s="100" t="str">
        <f t="shared" si="2"/>
        <v/>
      </c>
      <c r="F6207" s="100" t="str">
        <f t="shared" si="3"/>
        <v/>
      </c>
      <c r="G6207" s="151"/>
      <c r="H6207" s="156"/>
      <c r="I6207" s="157"/>
      <c r="J6207" s="161"/>
      <c r="L6207" s="94"/>
      <c r="M6207" s="159"/>
      <c r="N6207" s="94"/>
    </row>
    <row r="6208">
      <c r="A6208" s="107">
        <v>1630701.0</v>
      </c>
      <c r="B6208" s="116" t="s">
        <v>244</v>
      </c>
      <c r="C6208" s="116" t="s">
        <v>1537</v>
      </c>
      <c r="D6208" s="100" t="str">
        <f t="shared" si="1"/>
        <v/>
      </c>
      <c r="E6208" s="100" t="str">
        <f t="shared" si="2"/>
        <v/>
      </c>
      <c r="F6208" s="100" t="str">
        <f t="shared" si="3"/>
        <v/>
      </c>
      <c r="G6208" s="151"/>
      <c r="H6208" s="160"/>
      <c r="I6208" s="157"/>
      <c r="J6208" s="158"/>
      <c r="L6208" s="94"/>
      <c r="M6208" s="159"/>
      <c r="N6208" s="94"/>
    </row>
    <row r="6209">
      <c r="A6209" s="107">
        <v>1630702.0</v>
      </c>
      <c r="B6209" s="116" t="s">
        <v>244</v>
      </c>
      <c r="C6209" s="116" t="s">
        <v>1538</v>
      </c>
      <c r="D6209" s="100" t="str">
        <f t="shared" si="1"/>
        <v/>
      </c>
      <c r="E6209" s="100" t="str">
        <f t="shared" si="2"/>
        <v/>
      </c>
      <c r="F6209" s="100" t="str">
        <f t="shared" si="3"/>
        <v/>
      </c>
      <c r="G6209" s="151"/>
      <c r="H6209" s="156"/>
      <c r="I6209" s="157"/>
      <c r="J6209" s="161"/>
      <c r="L6209" s="94"/>
      <c r="M6209" s="159"/>
      <c r="N6209" s="94"/>
    </row>
    <row r="6210">
      <c r="A6210" s="107">
        <v>1630702.0</v>
      </c>
      <c r="B6210" s="116" t="s">
        <v>245</v>
      </c>
      <c r="C6210" s="116" t="s">
        <v>1538</v>
      </c>
      <c r="D6210" s="100" t="str">
        <f t="shared" si="1"/>
        <v/>
      </c>
      <c r="E6210" s="100" t="str">
        <f t="shared" si="2"/>
        <v/>
      </c>
      <c r="F6210" s="100" t="str">
        <f t="shared" si="3"/>
        <v/>
      </c>
      <c r="G6210" s="151"/>
      <c r="H6210" s="160"/>
      <c r="I6210" s="157"/>
      <c r="J6210" s="158"/>
      <c r="L6210" s="94"/>
      <c r="M6210" s="159"/>
      <c r="N6210" s="94"/>
    </row>
    <row r="6211">
      <c r="A6211" s="21">
        <v>1630702.0</v>
      </c>
      <c r="B6211" s="22" t="s">
        <v>246</v>
      </c>
      <c r="C6211" s="22" t="s">
        <v>1538</v>
      </c>
      <c r="D6211" s="100" t="str">
        <f t="shared" si="1"/>
        <v/>
      </c>
      <c r="E6211" s="100" t="str">
        <f t="shared" si="2"/>
        <v/>
      </c>
      <c r="F6211" s="100" t="str">
        <f t="shared" si="3"/>
        <v/>
      </c>
      <c r="G6211" s="151"/>
      <c r="H6211" s="156"/>
      <c r="I6211" s="157"/>
      <c r="J6211" s="161"/>
      <c r="L6211" s="94"/>
      <c r="M6211" s="159"/>
      <c r="N6211" s="94"/>
    </row>
    <row r="6212">
      <c r="A6212" s="149">
        <v>1630702.0</v>
      </c>
      <c r="B6212" s="140" t="s">
        <v>247</v>
      </c>
      <c r="C6212" s="140" t="s">
        <v>1538</v>
      </c>
      <c r="D6212" s="100" t="str">
        <f t="shared" si="1"/>
        <v/>
      </c>
      <c r="E6212" s="100" t="str">
        <f t="shared" si="2"/>
        <v/>
      </c>
      <c r="F6212" s="100" t="str">
        <f t="shared" si="3"/>
        <v/>
      </c>
      <c r="G6212" s="151"/>
      <c r="H6212" s="160"/>
      <c r="I6212" s="157"/>
      <c r="J6212" s="158"/>
      <c r="L6212" s="94"/>
      <c r="M6212" s="159"/>
      <c r="N6212" s="94"/>
    </row>
    <row r="6213">
      <c r="A6213" s="107">
        <v>1630703.0</v>
      </c>
      <c r="B6213" s="116" t="s">
        <v>245</v>
      </c>
      <c r="C6213" s="116" t="s">
        <v>1539</v>
      </c>
      <c r="D6213" s="100" t="str">
        <f t="shared" si="1"/>
        <v/>
      </c>
      <c r="E6213" s="100" t="str">
        <f t="shared" si="2"/>
        <v/>
      </c>
      <c r="F6213" s="100" t="str">
        <f t="shared" si="3"/>
        <v/>
      </c>
      <c r="G6213" s="151"/>
      <c r="H6213" s="156"/>
      <c r="I6213" s="157"/>
      <c r="J6213" s="161"/>
      <c r="L6213" s="94"/>
      <c r="M6213" s="159"/>
      <c r="N6213" s="94"/>
    </row>
    <row r="6214">
      <c r="A6214" s="163">
        <v>1630703.0</v>
      </c>
      <c r="B6214" s="22" t="s">
        <v>246</v>
      </c>
      <c r="C6214" s="22" t="s">
        <v>1539</v>
      </c>
      <c r="D6214" s="100" t="str">
        <f t="shared" si="1"/>
        <v/>
      </c>
      <c r="E6214" s="100" t="str">
        <f t="shared" si="2"/>
        <v/>
      </c>
      <c r="F6214" s="100" t="str">
        <f t="shared" si="3"/>
        <v/>
      </c>
      <c r="G6214" s="151"/>
      <c r="H6214" s="160"/>
      <c r="I6214" s="157"/>
      <c r="J6214" s="158"/>
      <c r="L6214" s="94"/>
      <c r="M6214" s="159"/>
      <c r="N6214" s="94"/>
    </row>
    <row r="6215">
      <c r="A6215" s="140">
        <v>1630703.0</v>
      </c>
      <c r="B6215" s="140" t="s">
        <v>247</v>
      </c>
      <c r="C6215" s="140" t="s">
        <v>1539</v>
      </c>
      <c r="D6215" s="100" t="str">
        <f t="shared" si="1"/>
        <v/>
      </c>
      <c r="E6215" s="100" t="str">
        <f t="shared" si="2"/>
        <v/>
      </c>
      <c r="F6215" s="100" t="str">
        <f t="shared" si="3"/>
        <v/>
      </c>
      <c r="G6215" s="151"/>
      <c r="H6215" s="156"/>
      <c r="I6215" s="157"/>
      <c r="J6215" s="161"/>
      <c r="L6215" s="94"/>
      <c r="M6215" s="159"/>
      <c r="N6215" s="94"/>
    </row>
    <row r="6216">
      <c r="A6216" s="165">
        <v>1630758.0</v>
      </c>
      <c r="B6216" s="132" t="s">
        <v>215</v>
      </c>
      <c r="C6216" s="132" t="s">
        <v>1540</v>
      </c>
      <c r="D6216" s="100" t="str">
        <f t="shared" si="1"/>
        <v/>
      </c>
      <c r="E6216" s="100" t="str">
        <f t="shared" si="2"/>
        <v/>
      </c>
      <c r="F6216" s="100" t="str">
        <f t="shared" si="3"/>
        <v/>
      </c>
      <c r="G6216" s="151"/>
      <c r="H6216" s="160"/>
      <c r="I6216" s="157"/>
      <c r="J6216" s="158"/>
      <c r="L6216" s="94"/>
      <c r="M6216" s="159"/>
      <c r="N6216" s="94"/>
    </row>
    <row r="6217">
      <c r="A6217" s="149">
        <v>1630762.0</v>
      </c>
      <c r="B6217" s="116" t="s">
        <v>246</v>
      </c>
      <c r="C6217" s="140" t="s">
        <v>1541</v>
      </c>
      <c r="D6217" s="100" t="str">
        <f t="shared" si="1"/>
        <v/>
      </c>
      <c r="E6217" s="100" t="str">
        <f t="shared" si="2"/>
        <v/>
      </c>
      <c r="F6217" s="100" t="str">
        <f t="shared" si="3"/>
        <v/>
      </c>
      <c r="G6217" s="151"/>
      <c r="H6217" s="156"/>
      <c r="I6217" s="157"/>
      <c r="J6217" s="161"/>
      <c r="L6217" s="94"/>
      <c r="M6217" s="159"/>
      <c r="N6217" s="94"/>
    </row>
    <row r="6218">
      <c r="A6218" s="107">
        <v>1630787.0</v>
      </c>
      <c r="B6218" s="116" t="s">
        <v>215</v>
      </c>
      <c r="C6218" s="116" t="s">
        <v>1542</v>
      </c>
      <c r="D6218" s="100" t="str">
        <f t="shared" si="1"/>
        <v/>
      </c>
      <c r="E6218" s="100" t="str">
        <f t="shared" si="2"/>
        <v/>
      </c>
      <c r="F6218" s="100" t="str">
        <f t="shared" si="3"/>
        <v/>
      </c>
      <c r="G6218" s="151"/>
      <c r="H6218" s="160"/>
      <c r="I6218" s="157"/>
      <c r="J6218" s="158"/>
      <c r="L6218" s="94"/>
      <c r="M6218" s="159"/>
      <c r="N6218" s="94"/>
    </row>
    <row r="6219">
      <c r="A6219" s="107">
        <v>1630792.0</v>
      </c>
      <c r="B6219" s="116" t="s">
        <v>215</v>
      </c>
      <c r="C6219" s="116" t="s">
        <v>1543</v>
      </c>
      <c r="D6219" s="100" t="str">
        <f t="shared" si="1"/>
        <v/>
      </c>
      <c r="E6219" s="100" t="str">
        <f t="shared" si="2"/>
        <v/>
      </c>
      <c r="F6219" s="100" t="str">
        <f t="shared" si="3"/>
        <v/>
      </c>
      <c r="G6219" s="151"/>
      <c r="H6219" s="156"/>
      <c r="I6219" s="157"/>
      <c r="J6219" s="161"/>
      <c r="L6219" s="94"/>
      <c r="M6219" s="159"/>
      <c r="N6219" s="94"/>
    </row>
    <row r="6220">
      <c r="A6220" s="107">
        <v>1630792.0</v>
      </c>
      <c r="B6220" s="116" t="s">
        <v>244</v>
      </c>
      <c r="C6220" s="116" t="s">
        <v>1543</v>
      </c>
      <c r="D6220" s="100" t="str">
        <f t="shared" si="1"/>
        <v/>
      </c>
      <c r="E6220" s="100" t="str">
        <f t="shared" si="2"/>
        <v/>
      </c>
      <c r="F6220" s="100" t="str">
        <f t="shared" si="3"/>
        <v/>
      </c>
      <c r="G6220" s="151"/>
      <c r="H6220" s="160"/>
      <c r="I6220" s="157"/>
      <c r="J6220" s="158"/>
      <c r="L6220" s="94"/>
      <c r="M6220" s="159"/>
      <c r="N6220" s="94"/>
    </row>
    <row r="6221">
      <c r="A6221" s="107">
        <v>1630792.0</v>
      </c>
      <c r="B6221" s="116" t="s">
        <v>245</v>
      </c>
      <c r="C6221" s="116" t="s">
        <v>1543</v>
      </c>
      <c r="D6221" s="100" t="str">
        <f t="shared" si="1"/>
        <v/>
      </c>
      <c r="E6221" s="100" t="str">
        <f t="shared" si="2"/>
        <v/>
      </c>
      <c r="F6221" s="100" t="str">
        <f t="shared" si="3"/>
        <v/>
      </c>
      <c r="G6221" s="151"/>
      <c r="H6221" s="156"/>
      <c r="I6221" s="157"/>
      <c r="J6221" s="161"/>
      <c r="L6221" s="94"/>
      <c r="M6221" s="159"/>
      <c r="N6221" s="94"/>
    </row>
    <row r="6222">
      <c r="A6222" s="21">
        <v>1630811.0</v>
      </c>
      <c r="B6222" s="22" t="s">
        <v>246</v>
      </c>
      <c r="C6222" s="22" t="s">
        <v>1544</v>
      </c>
      <c r="D6222" s="100" t="str">
        <f t="shared" si="1"/>
        <v/>
      </c>
      <c r="E6222" s="100" t="str">
        <f t="shared" si="2"/>
        <v/>
      </c>
      <c r="F6222" s="100" t="str">
        <f t="shared" si="3"/>
        <v/>
      </c>
      <c r="G6222" s="151"/>
      <c r="H6222" s="160"/>
      <c r="I6222" s="157"/>
      <c r="J6222" s="158"/>
      <c r="L6222" s="94"/>
      <c r="M6222" s="159"/>
      <c r="N6222" s="94"/>
    </row>
    <row r="6223">
      <c r="A6223" s="169">
        <v>1630811.0</v>
      </c>
      <c r="B6223" s="131" t="s">
        <v>247</v>
      </c>
      <c r="C6223" s="131" t="s">
        <v>1544</v>
      </c>
      <c r="D6223" s="100" t="str">
        <f t="shared" si="1"/>
        <v/>
      </c>
      <c r="E6223" s="100" t="str">
        <f t="shared" si="2"/>
        <v/>
      </c>
      <c r="F6223" s="100" t="str">
        <f t="shared" si="3"/>
        <v/>
      </c>
      <c r="G6223" s="151"/>
      <c r="H6223" s="156"/>
      <c r="I6223" s="157"/>
      <c r="J6223" s="161"/>
      <c r="L6223" s="94"/>
      <c r="M6223" s="159"/>
      <c r="N6223" s="94"/>
    </row>
    <row r="6224">
      <c r="A6224" s="140">
        <v>1630828.0</v>
      </c>
      <c r="B6224" s="140" t="s">
        <v>247</v>
      </c>
      <c r="C6224" s="140" t="s">
        <v>1545</v>
      </c>
      <c r="D6224" s="100" t="str">
        <f t="shared" si="1"/>
        <v/>
      </c>
      <c r="E6224" s="100" t="str">
        <f t="shared" si="2"/>
        <v/>
      </c>
      <c r="F6224" s="100" t="str">
        <f t="shared" si="3"/>
        <v/>
      </c>
      <c r="G6224" s="151"/>
      <c r="H6224" s="160"/>
      <c r="I6224" s="157"/>
      <c r="J6224" s="158"/>
      <c r="L6224" s="94"/>
      <c r="M6224" s="159"/>
      <c r="N6224" s="94"/>
    </row>
    <row r="6225">
      <c r="A6225" s="107">
        <v>1630846.0</v>
      </c>
      <c r="B6225" s="116" t="s">
        <v>215</v>
      </c>
      <c r="C6225" s="116" t="s">
        <v>1546</v>
      </c>
      <c r="D6225" s="100" t="str">
        <f t="shared" si="1"/>
        <v/>
      </c>
      <c r="E6225" s="100" t="str">
        <f t="shared" si="2"/>
        <v/>
      </c>
      <c r="F6225" s="100" t="str">
        <f t="shared" si="3"/>
        <v/>
      </c>
      <c r="G6225" s="151"/>
      <c r="H6225" s="156"/>
      <c r="I6225" s="157"/>
      <c r="J6225" s="161"/>
      <c r="L6225" s="94"/>
      <c r="M6225" s="159"/>
      <c r="N6225" s="94"/>
    </row>
    <row r="6226">
      <c r="A6226" s="107">
        <v>1630846.0</v>
      </c>
      <c r="B6226" s="116" t="s">
        <v>244</v>
      </c>
      <c r="C6226" s="116" t="s">
        <v>1546</v>
      </c>
      <c r="D6226" s="100" t="str">
        <f t="shared" si="1"/>
        <v/>
      </c>
      <c r="E6226" s="100" t="str">
        <f t="shared" si="2"/>
        <v/>
      </c>
      <c r="F6226" s="100" t="str">
        <f t="shared" si="3"/>
        <v/>
      </c>
      <c r="G6226" s="151"/>
      <c r="H6226" s="160"/>
      <c r="I6226" s="157"/>
      <c r="J6226" s="158"/>
      <c r="L6226" s="94"/>
      <c r="M6226" s="159"/>
      <c r="N6226" s="94"/>
    </row>
    <row r="6227">
      <c r="A6227" s="107">
        <v>1630846.0</v>
      </c>
      <c r="B6227" s="116" t="s">
        <v>245</v>
      </c>
      <c r="C6227" s="116" t="s">
        <v>1546</v>
      </c>
      <c r="D6227" s="100" t="str">
        <f t="shared" si="1"/>
        <v/>
      </c>
      <c r="E6227" s="100" t="str">
        <f t="shared" si="2"/>
        <v/>
      </c>
      <c r="F6227" s="100" t="str">
        <f t="shared" si="3"/>
        <v/>
      </c>
      <c r="G6227" s="151"/>
      <c r="H6227" s="156"/>
      <c r="I6227" s="157"/>
      <c r="J6227" s="161"/>
      <c r="L6227" s="94"/>
      <c r="M6227" s="159"/>
      <c r="N6227" s="94"/>
    </row>
    <row r="6228">
      <c r="A6228" s="107">
        <v>1630929.0</v>
      </c>
      <c r="B6228" s="116" t="s">
        <v>245</v>
      </c>
      <c r="C6228" s="116" t="s">
        <v>1547</v>
      </c>
      <c r="D6228" s="100" t="str">
        <f t="shared" si="1"/>
        <v/>
      </c>
      <c r="E6228" s="100" t="str">
        <f t="shared" si="2"/>
        <v/>
      </c>
      <c r="F6228" s="100" t="str">
        <f t="shared" si="3"/>
        <v/>
      </c>
      <c r="G6228" s="151"/>
      <c r="H6228" s="160"/>
      <c r="I6228" s="157"/>
      <c r="J6228" s="158"/>
      <c r="L6228" s="94"/>
      <c r="M6228" s="159"/>
      <c r="N6228" s="94"/>
    </row>
    <row r="6229">
      <c r="A6229" s="107">
        <v>1630994.0</v>
      </c>
      <c r="B6229" s="116" t="s">
        <v>215</v>
      </c>
      <c r="C6229" s="116" t="s">
        <v>1548</v>
      </c>
      <c r="D6229" s="100" t="str">
        <f t="shared" si="1"/>
        <v/>
      </c>
      <c r="E6229" s="100" t="str">
        <f t="shared" si="2"/>
        <v/>
      </c>
      <c r="F6229" s="100" t="str">
        <f t="shared" si="3"/>
        <v/>
      </c>
      <c r="G6229" s="151"/>
      <c r="H6229" s="156"/>
      <c r="I6229" s="157"/>
      <c r="J6229" s="161"/>
      <c r="L6229" s="94"/>
      <c r="M6229" s="159"/>
      <c r="N6229" s="94"/>
    </row>
    <row r="6230">
      <c r="A6230" s="107">
        <v>1631093.0</v>
      </c>
      <c r="B6230" s="116" t="s">
        <v>244</v>
      </c>
      <c r="C6230" s="116" t="s">
        <v>1549</v>
      </c>
      <c r="D6230" s="100" t="str">
        <f t="shared" si="1"/>
        <v/>
      </c>
      <c r="E6230" s="100" t="str">
        <f t="shared" si="2"/>
        <v/>
      </c>
      <c r="F6230" s="100" t="str">
        <f t="shared" si="3"/>
        <v/>
      </c>
      <c r="G6230" s="151"/>
      <c r="H6230" s="160"/>
      <c r="I6230" s="157"/>
      <c r="J6230" s="158"/>
      <c r="L6230" s="94"/>
      <c r="M6230" s="159"/>
      <c r="N6230" s="94"/>
    </row>
    <row r="6231">
      <c r="A6231" s="107">
        <v>1631093.0</v>
      </c>
      <c r="B6231" s="116" t="s">
        <v>245</v>
      </c>
      <c r="C6231" s="116" t="s">
        <v>1549</v>
      </c>
      <c r="D6231" s="100" t="str">
        <f t="shared" si="1"/>
        <v/>
      </c>
      <c r="E6231" s="100" t="str">
        <f t="shared" si="2"/>
        <v/>
      </c>
      <c r="F6231" s="100" t="str">
        <f t="shared" si="3"/>
        <v/>
      </c>
      <c r="G6231" s="151"/>
      <c r="H6231" s="156"/>
      <c r="I6231" s="157"/>
      <c r="J6231" s="161"/>
      <c r="L6231" s="94"/>
      <c r="M6231" s="159"/>
      <c r="N6231" s="94"/>
    </row>
    <row r="6232">
      <c r="A6232" s="163">
        <v>1631093.0</v>
      </c>
      <c r="B6232" s="22" t="s">
        <v>246</v>
      </c>
      <c r="C6232" s="22" t="s">
        <v>1549</v>
      </c>
      <c r="D6232" s="100" t="str">
        <f t="shared" si="1"/>
        <v/>
      </c>
      <c r="E6232" s="100" t="str">
        <f t="shared" si="2"/>
        <v/>
      </c>
      <c r="F6232" s="100" t="str">
        <f t="shared" si="3"/>
        <v/>
      </c>
      <c r="G6232" s="151"/>
      <c r="H6232" s="160"/>
      <c r="I6232" s="157"/>
      <c r="J6232" s="158"/>
      <c r="L6232" s="94"/>
      <c r="M6232" s="159"/>
      <c r="N6232" s="94"/>
    </row>
    <row r="6233">
      <c r="A6233" s="140">
        <v>1631093.0</v>
      </c>
      <c r="B6233" s="140" t="s">
        <v>247</v>
      </c>
      <c r="C6233" s="140" t="s">
        <v>1549</v>
      </c>
      <c r="D6233" s="100" t="str">
        <f t="shared" si="1"/>
        <v/>
      </c>
      <c r="E6233" s="100" t="str">
        <f t="shared" si="2"/>
        <v/>
      </c>
      <c r="F6233" s="100" t="str">
        <f t="shared" si="3"/>
        <v/>
      </c>
      <c r="G6233" s="151"/>
      <c r="H6233" s="156"/>
      <c r="I6233" s="157"/>
      <c r="J6233" s="161"/>
      <c r="L6233" s="94"/>
      <c r="M6233" s="159"/>
      <c r="N6233" s="94"/>
    </row>
    <row r="6234">
      <c r="A6234" s="107">
        <v>1631094.0</v>
      </c>
      <c r="B6234" s="116" t="s">
        <v>244</v>
      </c>
      <c r="C6234" s="116" t="s">
        <v>1550</v>
      </c>
      <c r="D6234" s="100" t="str">
        <f t="shared" si="1"/>
        <v/>
      </c>
      <c r="E6234" s="100" t="str">
        <f t="shared" si="2"/>
        <v/>
      </c>
      <c r="F6234" s="100" t="str">
        <f t="shared" si="3"/>
        <v/>
      </c>
      <c r="G6234" s="151"/>
      <c r="H6234" s="160"/>
      <c r="I6234" s="157"/>
      <c r="J6234" s="158"/>
      <c r="L6234" s="94"/>
      <c r="M6234" s="159"/>
      <c r="N6234" s="94"/>
    </row>
    <row r="6235">
      <c r="A6235" s="107">
        <v>1631094.0</v>
      </c>
      <c r="B6235" s="116" t="s">
        <v>245</v>
      </c>
      <c r="C6235" s="116" t="s">
        <v>1550</v>
      </c>
      <c r="D6235" s="100" t="str">
        <f t="shared" si="1"/>
        <v/>
      </c>
      <c r="E6235" s="100" t="str">
        <f t="shared" si="2"/>
        <v/>
      </c>
      <c r="F6235" s="100" t="str">
        <f t="shared" si="3"/>
        <v/>
      </c>
      <c r="G6235" s="151"/>
      <c r="H6235" s="156"/>
      <c r="I6235" s="157"/>
      <c r="J6235" s="161"/>
      <c r="L6235" s="94"/>
      <c r="M6235" s="159"/>
      <c r="N6235" s="94"/>
    </row>
    <row r="6236">
      <c r="A6236" s="21">
        <v>1631094.0</v>
      </c>
      <c r="B6236" s="22" t="s">
        <v>246</v>
      </c>
      <c r="C6236" s="22" t="s">
        <v>1550</v>
      </c>
      <c r="D6236" s="100" t="str">
        <f t="shared" si="1"/>
        <v/>
      </c>
      <c r="E6236" s="100" t="str">
        <f t="shared" si="2"/>
        <v/>
      </c>
      <c r="F6236" s="100" t="str">
        <f t="shared" si="3"/>
        <v/>
      </c>
      <c r="G6236" s="151"/>
      <c r="H6236" s="160"/>
      <c r="I6236" s="157"/>
      <c r="J6236" s="158"/>
      <c r="L6236" s="94"/>
      <c r="M6236" s="159"/>
      <c r="N6236" s="94"/>
    </row>
    <row r="6237">
      <c r="A6237" s="149">
        <v>1631094.0</v>
      </c>
      <c r="B6237" s="140" t="s">
        <v>247</v>
      </c>
      <c r="C6237" s="140" t="s">
        <v>1550</v>
      </c>
      <c r="D6237" s="100" t="str">
        <f t="shared" si="1"/>
        <v/>
      </c>
      <c r="E6237" s="100" t="str">
        <f t="shared" si="2"/>
        <v/>
      </c>
      <c r="F6237" s="100" t="str">
        <f t="shared" si="3"/>
        <v/>
      </c>
      <c r="G6237" s="151"/>
      <c r="H6237" s="156"/>
      <c r="I6237" s="157"/>
      <c r="J6237" s="161"/>
      <c r="L6237" s="94"/>
      <c r="M6237" s="159"/>
      <c r="N6237" s="94"/>
    </row>
    <row r="6238">
      <c r="A6238" s="107">
        <v>1631095.0</v>
      </c>
      <c r="B6238" s="116" t="s">
        <v>244</v>
      </c>
      <c r="C6238" s="116" t="s">
        <v>1551</v>
      </c>
      <c r="D6238" s="100" t="str">
        <f t="shared" si="1"/>
        <v/>
      </c>
      <c r="E6238" s="100" t="str">
        <f t="shared" si="2"/>
        <v/>
      </c>
      <c r="F6238" s="100" t="str">
        <f t="shared" si="3"/>
        <v/>
      </c>
      <c r="G6238" s="151"/>
      <c r="H6238" s="160"/>
      <c r="I6238" s="157"/>
      <c r="J6238" s="158"/>
      <c r="L6238" s="94"/>
      <c r="M6238" s="159"/>
      <c r="N6238" s="94"/>
    </row>
    <row r="6239">
      <c r="A6239" s="107">
        <v>1631095.0</v>
      </c>
      <c r="B6239" s="116" t="s">
        <v>245</v>
      </c>
      <c r="C6239" s="116" t="s">
        <v>1551</v>
      </c>
      <c r="D6239" s="100" t="str">
        <f t="shared" si="1"/>
        <v/>
      </c>
      <c r="E6239" s="100" t="str">
        <f t="shared" si="2"/>
        <v/>
      </c>
      <c r="F6239" s="100" t="str">
        <f t="shared" si="3"/>
        <v/>
      </c>
      <c r="G6239" s="151"/>
      <c r="H6239" s="156"/>
      <c r="I6239" s="157"/>
      <c r="J6239" s="161"/>
      <c r="L6239" s="94"/>
      <c r="M6239" s="159"/>
      <c r="N6239" s="94"/>
    </row>
    <row r="6240">
      <c r="A6240" s="21">
        <v>1631095.0</v>
      </c>
      <c r="B6240" s="22" t="s">
        <v>246</v>
      </c>
      <c r="C6240" s="116" t="s">
        <v>1551</v>
      </c>
      <c r="D6240" s="100" t="str">
        <f t="shared" si="1"/>
        <v/>
      </c>
      <c r="E6240" s="100" t="str">
        <f t="shared" si="2"/>
        <v/>
      </c>
      <c r="F6240" s="100" t="str">
        <f t="shared" si="3"/>
        <v/>
      </c>
      <c r="G6240" s="151"/>
      <c r="H6240" s="160"/>
      <c r="I6240" s="157"/>
      <c r="J6240" s="158"/>
      <c r="L6240" s="94"/>
      <c r="M6240" s="159"/>
      <c r="N6240" s="94"/>
    </row>
    <row r="6241">
      <c r="A6241" s="149">
        <v>1631095.0</v>
      </c>
      <c r="B6241" s="140" t="s">
        <v>247</v>
      </c>
      <c r="C6241" s="116" t="s">
        <v>1551</v>
      </c>
      <c r="D6241" s="100" t="str">
        <f t="shared" si="1"/>
        <v/>
      </c>
      <c r="E6241" s="100" t="str">
        <f t="shared" si="2"/>
        <v/>
      </c>
      <c r="F6241" s="100" t="str">
        <f t="shared" si="3"/>
        <v/>
      </c>
      <c r="G6241" s="151"/>
      <c r="H6241" s="156"/>
      <c r="I6241" s="157"/>
      <c r="J6241" s="161"/>
      <c r="L6241" s="94"/>
      <c r="M6241" s="159"/>
      <c r="N6241" s="94"/>
    </row>
    <row r="6242">
      <c r="A6242" s="107">
        <v>1631096.0</v>
      </c>
      <c r="B6242" s="116" t="s">
        <v>245</v>
      </c>
      <c r="C6242" s="116" t="s">
        <v>1552</v>
      </c>
      <c r="D6242" s="100" t="str">
        <f t="shared" si="1"/>
        <v/>
      </c>
      <c r="E6242" s="100" t="str">
        <f t="shared" si="2"/>
        <v/>
      </c>
      <c r="F6242" s="100" t="str">
        <f t="shared" si="3"/>
        <v/>
      </c>
      <c r="G6242" s="151"/>
      <c r="H6242" s="160"/>
      <c r="I6242" s="157"/>
      <c r="J6242" s="158"/>
      <c r="L6242" s="94"/>
      <c r="M6242" s="159"/>
      <c r="N6242" s="94"/>
    </row>
    <row r="6243">
      <c r="A6243" s="21">
        <v>1631096.0</v>
      </c>
      <c r="B6243" s="22" t="s">
        <v>246</v>
      </c>
      <c r="C6243" s="22" t="s">
        <v>1552</v>
      </c>
      <c r="D6243" s="100" t="str">
        <f t="shared" si="1"/>
        <v/>
      </c>
      <c r="E6243" s="100" t="str">
        <f t="shared" si="2"/>
        <v/>
      </c>
      <c r="F6243" s="100" t="str">
        <f t="shared" si="3"/>
        <v/>
      </c>
      <c r="G6243" s="151"/>
      <c r="H6243" s="156"/>
      <c r="I6243" s="157"/>
      <c r="J6243" s="161"/>
      <c r="L6243" s="94"/>
      <c r="M6243" s="159"/>
      <c r="N6243" s="94"/>
    </row>
    <row r="6244">
      <c r="A6244" s="149">
        <v>1631096.0</v>
      </c>
      <c r="B6244" s="140" t="s">
        <v>247</v>
      </c>
      <c r="C6244" s="140" t="s">
        <v>1552</v>
      </c>
      <c r="D6244" s="100" t="str">
        <f t="shared" si="1"/>
        <v/>
      </c>
      <c r="E6244" s="100" t="str">
        <f t="shared" si="2"/>
        <v/>
      </c>
      <c r="F6244" s="100" t="str">
        <f t="shared" si="3"/>
        <v/>
      </c>
      <c r="G6244" s="151"/>
      <c r="H6244" s="160"/>
      <c r="I6244" s="157"/>
      <c r="J6244" s="158"/>
      <c r="L6244" s="94"/>
      <c r="M6244" s="159"/>
      <c r="N6244" s="94"/>
    </row>
    <row r="6245">
      <c r="A6245" s="107">
        <v>1631097.0</v>
      </c>
      <c r="B6245" s="116" t="s">
        <v>244</v>
      </c>
      <c r="C6245" s="116" t="s">
        <v>1553</v>
      </c>
      <c r="D6245" s="100" t="str">
        <f t="shared" si="1"/>
        <v/>
      </c>
      <c r="E6245" s="100" t="str">
        <f t="shared" si="2"/>
        <v/>
      </c>
      <c r="F6245" s="100" t="str">
        <f t="shared" si="3"/>
        <v/>
      </c>
      <c r="G6245" s="151"/>
      <c r="H6245" s="156"/>
      <c r="I6245" s="157"/>
      <c r="J6245" s="161"/>
      <c r="L6245" s="94"/>
      <c r="M6245" s="159"/>
      <c r="N6245" s="94"/>
    </row>
    <row r="6246">
      <c r="A6246" s="107">
        <v>1631097.0</v>
      </c>
      <c r="B6246" s="116" t="s">
        <v>245</v>
      </c>
      <c r="C6246" s="116" t="s">
        <v>1553</v>
      </c>
      <c r="D6246" s="100" t="str">
        <f t="shared" si="1"/>
        <v/>
      </c>
      <c r="E6246" s="100" t="str">
        <f t="shared" si="2"/>
        <v/>
      </c>
      <c r="F6246" s="100" t="str">
        <f t="shared" si="3"/>
        <v/>
      </c>
      <c r="G6246" s="151"/>
      <c r="H6246" s="160"/>
      <c r="I6246" s="157"/>
      <c r="J6246" s="158"/>
      <c r="L6246" s="94"/>
      <c r="M6246" s="159"/>
      <c r="N6246" s="94"/>
    </row>
    <row r="6247">
      <c r="A6247" s="21">
        <v>1631097.0</v>
      </c>
      <c r="B6247" s="22" t="s">
        <v>246</v>
      </c>
      <c r="C6247" s="22" t="s">
        <v>1553</v>
      </c>
      <c r="D6247" s="100" t="str">
        <f t="shared" si="1"/>
        <v/>
      </c>
      <c r="E6247" s="100" t="str">
        <f t="shared" si="2"/>
        <v/>
      </c>
      <c r="F6247" s="100" t="str">
        <f t="shared" si="3"/>
        <v/>
      </c>
      <c r="G6247" s="151"/>
      <c r="H6247" s="156"/>
      <c r="I6247" s="157"/>
      <c r="J6247" s="161"/>
      <c r="L6247" s="94"/>
      <c r="M6247" s="159"/>
      <c r="N6247" s="94"/>
    </row>
    <row r="6248">
      <c r="A6248" s="149">
        <v>1631097.0</v>
      </c>
      <c r="B6248" s="140" t="s">
        <v>247</v>
      </c>
      <c r="C6248" s="140" t="s">
        <v>1553</v>
      </c>
      <c r="D6248" s="100" t="str">
        <f t="shared" si="1"/>
        <v/>
      </c>
      <c r="E6248" s="100" t="str">
        <f t="shared" si="2"/>
        <v/>
      </c>
      <c r="F6248" s="100" t="str">
        <f t="shared" si="3"/>
        <v/>
      </c>
      <c r="G6248" s="151"/>
      <c r="H6248" s="160"/>
      <c r="I6248" s="157"/>
      <c r="J6248" s="158"/>
      <c r="L6248" s="94"/>
      <c r="M6248" s="159"/>
      <c r="N6248" s="94"/>
    </row>
    <row r="6249">
      <c r="A6249" s="107">
        <v>1631098.0</v>
      </c>
      <c r="B6249" s="116" t="s">
        <v>244</v>
      </c>
      <c r="C6249" s="116" t="s">
        <v>1554</v>
      </c>
      <c r="D6249" s="100" t="str">
        <f t="shared" si="1"/>
        <v/>
      </c>
      <c r="E6249" s="100" t="str">
        <f t="shared" si="2"/>
        <v/>
      </c>
      <c r="F6249" s="100" t="str">
        <f t="shared" si="3"/>
        <v/>
      </c>
      <c r="G6249" s="151"/>
      <c r="H6249" s="156"/>
      <c r="I6249" s="157"/>
      <c r="J6249" s="161"/>
      <c r="L6249" s="94"/>
      <c r="M6249" s="159"/>
      <c r="N6249" s="94"/>
    </row>
    <row r="6250">
      <c r="A6250" s="107">
        <v>1631098.0</v>
      </c>
      <c r="B6250" s="116" t="s">
        <v>245</v>
      </c>
      <c r="C6250" s="116" t="s">
        <v>1554</v>
      </c>
      <c r="D6250" s="100" t="str">
        <f t="shared" si="1"/>
        <v/>
      </c>
      <c r="E6250" s="100" t="str">
        <f t="shared" si="2"/>
        <v/>
      </c>
      <c r="F6250" s="100" t="str">
        <f t="shared" si="3"/>
        <v/>
      </c>
      <c r="G6250" s="151"/>
      <c r="H6250" s="160"/>
      <c r="I6250" s="157"/>
      <c r="J6250" s="158"/>
      <c r="L6250" s="94"/>
      <c r="M6250" s="159"/>
      <c r="N6250" s="94"/>
    </row>
    <row r="6251">
      <c r="A6251" s="107">
        <v>1631098.0</v>
      </c>
      <c r="B6251" s="116" t="s">
        <v>246</v>
      </c>
      <c r="C6251" s="116" t="s">
        <v>1554</v>
      </c>
      <c r="D6251" s="100" t="str">
        <f t="shared" si="1"/>
        <v/>
      </c>
      <c r="E6251" s="100" t="str">
        <f t="shared" si="2"/>
        <v/>
      </c>
      <c r="F6251" s="100" t="str">
        <f t="shared" si="3"/>
        <v/>
      </c>
      <c r="G6251" s="151"/>
      <c r="H6251" s="156"/>
      <c r="I6251" s="157"/>
      <c r="J6251" s="161"/>
      <c r="L6251" s="94"/>
      <c r="M6251" s="159"/>
      <c r="N6251" s="94"/>
    </row>
    <row r="6252">
      <c r="A6252" s="107">
        <v>1631099.0</v>
      </c>
      <c r="B6252" s="116" t="s">
        <v>244</v>
      </c>
      <c r="C6252" s="116" t="s">
        <v>1555</v>
      </c>
      <c r="D6252" s="100" t="str">
        <f t="shared" si="1"/>
        <v/>
      </c>
      <c r="E6252" s="100" t="str">
        <f t="shared" si="2"/>
        <v/>
      </c>
      <c r="F6252" s="100" t="str">
        <f t="shared" si="3"/>
        <v/>
      </c>
      <c r="G6252" s="151"/>
      <c r="H6252" s="160"/>
      <c r="I6252" s="157"/>
      <c r="J6252" s="158"/>
      <c r="L6252" s="94"/>
      <c r="M6252" s="159"/>
      <c r="N6252" s="94"/>
    </row>
    <row r="6253">
      <c r="A6253" s="107">
        <v>1631099.0</v>
      </c>
      <c r="B6253" s="116" t="s">
        <v>245</v>
      </c>
      <c r="C6253" s="116" t="s">
        <v>1555</v>
      </c>
      <c r="D6253" s="100" t="str">
        <f t="shared" si="1"/>
        <v/>
      </c>
      <c r="E6253" s="100" t="str">
        <f t="shared" si="2"/>
        <v/>
      </c>
      <c r="F6253" s="100" t="str">
        <f t="shared" si="3"/>
        <v/>
      </c>
      <c r="G6253" s="151"/>
      <c r="H6253" s="156"/>
      <c r="I6253" s="157"/>
      <c r="J6253" s="161"/>
      <c r="L6253" s="94"/>
      <c r="M6253" s="159"/>
      <c r="N6253" s="94"/>
    </row>
    <row r="6254">
      <c r="A6254" s="163">
        <v>1631099.0</v>
      </c>
      <c r="B6254" s="22" t="s">
        <v>246</v>
      </c>
      <c r="C6254" s="22" t="s">
        <v>1555</v>
      </c>
      <c r="D6254" s="100" t="str">
        <f t="shared" si="1"/>
        <v/>
      </c>
      <c r="E6254" s="100" t="str">
        <f t="shared" si="2"/>
        <v/>
      </c>
      <c r="F6254" s="100" t="str">
        <f t="shared" si="3"/>
        <v/>
      </c>
      <c r="G6254" s="151"/>
      <c r="H6254" s="160"/>
      <c r="I6254" s="157"/>
      <c r="J6254" s="158"/>
      <c r="L6254" s="94"/>
      <c r="M6254" s="159"/>
      <c r="N6254" s="94"/>
    </row>
    <row r="6255">
      <c r="A6255" s="140">
        <v>1631099.0</v>
      </c>
      <c r="B6255" s="140" t="s">
        <v>247</v>
      </c>
      <c r="C6255" s="140" t="s">
        <v>1555</v>
      </c>
      <c r="D6255" s="100" t="str">
        <f t="shared" si="1"/>
        <v/>
      </c>
      <c r="E6255" s="100" t="str">
        <f t="shared" si="2"/>
        <v/>
      </c>
      <c r="F6255" s="100" t="str">
        <f t="shared" si="3"/>
        <v/>
      </c>
      <c r="G6255" s="151"/>
      <c r="H6255" s="156"/>
      <c r="I6255" s="157"/>
      <c r="J6255" s="161"/>
      <c r="L6255" s="94"/>
      <c r="M6255" s="159"/>
      <c r="N6255" s="94"/>
    </row>
    <row r="6256">
      <c r="A6256" s="107">
        <v>1631100.0</v>
      </c>
      <c r="B6256" s="116" t="s">
        <v>244</v>
      </c>
      <c r="C6256" s="116" t="s">
        <v>1556</v>
      </c>
      <c r="D6256" s="100" t="str">
        <f t="shared" si="1"/>
        <v/>
      </c>
      <c r="E6256" s="100" t="str">
        <f t="shared" si="2"/>
        <v/>
      </c>
      <c r="F6256" s="100" t="str">
        <f t="shared" si="3"/>
        <v/>
      </c>
      <c r="G6256" s="151"/>
      <c r="H6256" s="160"/>
      <c r="I6256" s="157"/>
      <c r="J6256" s="158"/>
      <c r="L6256" s="94"/>
      <c r="M6256" s="159"/>
      <c r="N6256" s="94"/>
    </row>
    <row r="6257">
      <c r="A6257" s="107">
        <v>1631100.0</v>
      </c>
      <c r="B6257" s="116" t="s">
        <v>245</v>
      </c>
      <c r="C6257" s="116" t="s">
        <v>1556</v>
      </c>
      <c r="D6257" s="100" t="str">
        <f t="shared" si="1"/>
        <v/>
      </c>
      <c r="E6257" s="100" t="str">
        <f t="shared" si="2"/>
        <v/>
      </c>
      <c r="F6257" s="100" t="str">
        <f t="shared" si="3"/>
        <v/>
      </c>
      <c r="G6257" s="151"/>
      <c r="H6257" s="156"/>
      <c r="I6257" s="157"/>
      <c r="J6257" s="161"/>
      <c r="L6257" s="94"/>
      <c r="M6257" s="159"/>
      <c r="N6257" s="94"/>
    </row>
    <row r="6258">
      <c r="A6258" s="107">
        <v>1631101.0</v>
      </c>
      <c r="B6258" s="116" t="s">
        <v>244</v>
      </c>
      <c r="C6258" s="116" t="s">
        <v>1557</v>
      </c>
      <c r="D6258" s="100" t="str">
        <f t="shared" si="1"/>
        <v/>
      </c>
      <c r="E6258" s="100" t="str">
        <f t="shared" si="2"/>
        <v/>
      </c>
      <c r="F6258" s="100" t="str">
        <f t="shared" si="3"/>
        <v/>
      </c>
      <c r="G6258" s="151"/>
      <c r="H6258" s="160"/>
      <c r="I6258" s="157"/>
      <c r="J6258" s="158"/>
      <c r="L6258" s="94"/>
      <c r="M6258" s="159"/>
      <c r="N6258" s="94"/>
    </row>
    <row r="6259">
      <c r="A6259" s="107">
        <v>1631101.0</v>
      </c>
      <c r="B6259" s="116" t="s">
        <v>245</v>
      </c>
      <c r="C6259" s="116" t="s">
        <v>1557</v>
      </c>
      <c r="D6259" s="100" t="str">
        <f t="shared" si="1"/>
        <v/>
      </c>
      <c r="E6259" s="100" t="str">
        <f t="shared" si="2"/>
        <v/>
      </c>
      <c r="F6259" s="100" t="str">
        <f t="shared" si="3"/>
        <v/>
      </c>
      <c r="G6259" s="151"/>
      <c r="H6259" s="156"/>
      <c r="I6259" s="157"/>
      <c r="J6259" s="161"/>
      <c r="L6259" s="94"/>
      <c r="M6259" s="159"/>
      <c r="N6259" s="94"/>
    </row>
    <row r="6260">
      <c r="A6260" s="21">
        <v>1631101.0</v>
      </c>
      <c r="B6260" s="22" t="s">
        <v>246</v>
      </c>
      <c r="C6260" s="22" t="s">
        <v>1557</v>
      </c>
      <c r="D6260" s="100" t="str">
        <f t="shared" si="1"/>
        <v/>
      </c>
      <c r="E6260" s="100" t="str">
        <f t="shared" si="2"/>
        <v/>
      </c>
      <c r="F6260" s="100" t="str">
        <f t="shared" si="3"/>
        <v/>
      </c>
      <c r="G6260" s="151"/>
      <c r="H6260" s="160"/>
      <c r="I6260" s="157"/>
      <c r="J6260" s="158"/>
      <c r="L6260" s="94"/>
      <c r="M6260" s="159"/>
      <c r="N6260" s="94"/>
    </row>
    <row r="6261">
      <c r="A6261" s="149">
        <v>1631101.0</v>
      </c>
      <c r="B6261" s="140" t="s">
        <v>247</v>
      </c>
      <c r="C6261" s="140" t="s">
        <v>1557</v>
      </c>
      <c r="D6261" s="100" t="str">
        <f t="shared" si="1"/>
        <v/>
      </c>
      <c r="E6261" s="100" t="str">
        <f t="shared" si="2"/>
        <v/>
      </c>
      <c r="F6261" s="100" t="str">
        <f t="shared" si="3"/>
        <v/>
      </c>
      <c r="G6261" s="151"/>
      <c r="H6261" s="156"/>
      <c r="I6261" s="157"/>
      <c r="J6261" s="161"/>
      <c r="L6261" s="94"/>
      <c r="M6261" s="159"/>
      <c r="N6261" s="94"/>
    </row>
    <row r="6262">
      <c r="A6262" s="107">
        <v>1631102.0</v>
      </c>
      <c r="B6262" s="116" t="s">
        <v>244</v>
      </c>
      <c r="C6262" s="116" t="s">
        <v>1558</v>
      </c>
      <c r="D6262" s="100" t="str">
        <f t="shared" si="1"/>
        <v/>
      </c>
      <c r="E6262" s="100" t="str">
        <f t="shared" si="2"/>
        <v/>
      </c>
      <c r="F6262" s="100" t="str">
        <f t="shared" si="3"/>
        <v/>
      </c>
      <c r="G6262" s="151"/>
      <c r="H6262" s="160"/>
      <c r="I6262" s="157"/>
      <c r="J6262" s="158"/>
      <c r="L6262" s="94"/>
      <c r="M6262" s="159"/>
      <c r="N6262" s="94"/>
    </row>
    <row r="6263">
      <c r="A6263" s="107">
        <v>1631102.0</v>
      </c>
      <c r="B6263" s="116" t="s">
        <v>245</v>
      </c>
      <c r="C6263" s="116" t="s">
        <v>1558</v>
      </c>
      <c r="D6263" s="100" t="str">
        <f t="shared" si="1"/>
        <v/>
      </c>
      <c r="E6263" s="100" t="str">
        <f t="shared" si="2"/>
        <v/>
      </c>
      <c r="F6263" s="100" t="str">
        <f t="shared" si="3"/>
        <v/>
      </c>
      <c r="G6263" s="151"/>
      <c r="H6263" s="156"/>
      <c r="I6263" s="157"/>
      <c r="J6263" s="161"/>
      <c r="L6263" s="94"/>
      <c r="M6263" s="159"/>
      <c r="N6263" s="94"/>
    </row>
    <row r="6264">
      <c r="A6264" s="126">
        <v>1631102.0</v>
      </c>
      <c r="B6264" s="145" t="s">
        <v>246</v>
      </c>
      <c r="C6264" s="145" t="s">
        <v>1558</v>
      </c>
      <c r="D6264" s="100" t="str">
        <f t="shared" si="1"/>
        <v/>
      </c>
      <c r="E6264" s="100" t="str">
        <f t="shared" si="2"/>
        <v/>
      </c>
      <c r="F6264" s="100" t="str">
        <f t="shared" si="3"/>
        <v/>
      </c>
      <c r="G6264" s="151"/>
      <c r="H6264" s="160"/>
      <c r="I6264" s="157"/>
      <c r="J6264" s="158"/>
      <c r="L6264" s="94"/>
      <c r="M6264" s="159"/>
      <c r="N6264" s="94"/>
    </row>
    <row r="6265">
      <c r="A6265" s="107">
        <v>1631102.0</v>
      </c>
      <c r="B6265" s="24" t="s">
        <v>247</v>
      </c>
      <c r="C6265" s="24" t="s">
        <v>1558</v>
      </c>
      <c r="D6265" s="100" t="str">
        <f t="shared" si="1"/>
        <v/>
      </c>
      <c r="E6265" s="100" t="str">
        <f t="shared" si="2"/>
        <v/>
      </c>
      <c r="F6265" s="100" t="str">
        <f t="shared" si="3"/>
        <v/>
      </c>
      <c r="G6265" s="151"/>
      <c r="H6265" s="156"/>
      <c r="I6265" s="157"/>
      <c r="J6265" s="161"/>
      <c r="L6265" s="94"/>
      <c r="M6265" s="159"/>
      <c r="N6265" s="94"/>
    </row>
    <row r="6266">
      <c r="A6266" s="107">
        <v>1631103.0</v>
      </c>
      <c r="B6266" s="116" t="s">
        <v>244</v>
      </c>
      <c r="C6266" s="116" t="s">
        <v>1559</v>
      </c>
      <c r="D6266" s="100" t="str">
        <f t="shared" si="1"/>
        <v/>
      </c>
      <c r="E6266" s="100" t="str">
        <f t="shared" si="2"/>
        <v/>
      </c>
      <c r="F6266" s="100" t="str">
        <f t="shared" si="3"/>
        <v/>
      </c>
      <c r="G6266" s="151"/>
      <c r="H6266" s="160"/>
      <c r="I6266" s="157"/>
      <c r="J6266" s="158"/>
      <c r="L6266" s="94"/>
      <c r="M6266" s="159"/>
      <c r="N6266" s="94"/>
    </row>
    <row r="6267">
      <c r="A6267" s="107">
        <v>1631103.0</v>
      </c>
      <c r="B6267" s="116" t="s">
        <v>245</v>
      </c>
      <c r="C6267" s="116" t="s">
        <v>1559</v>
      </c>
      <c r="D6267" s="100" t="str">
        <f t="shared" si="1"/>
        <v/>
      </c>
      <c r="E6267" s="100" t="str">
        <f t="shared" si="2"/>
        <v/>
      </c>
      <c r="F6267" s="100" t="str">
        <f t="shared" si="3"/>
        <v/>
      </c>
      <c r="G6267" s="151"/>
      <c r="H6267" s="156"/>
      <c r="I6267" s="157"/>
      <c r="J6267" s="161"/>
      <c r="L6267" s="94"/>
      <c r="M6267" s="159"/>
      <c r="N6267" s="94"/>
    </row>
    <row r="6268">
      <c r="A6268" s="21">
        <v>1631103.0</v>
      </c>
      <c r="B6268" s="22" t="s">
        <v>246</v>
      </c>
      <c r="C6268" s="22" t="s">
        <v>1559</v>
      </c>
      <c r="D6268" s="100" t="str">
        <f t="shared" si="1"/>
        <v/>
      </c>
      <c r="E6268" s="100" t="str">
        <f t="shared" si="2"/>
        <v/>
      </c>
      <c r="F6268" s="100" t="str">
        <f t="shared" si="3"/>
        <v/>
      </c>
      <c r="G6268" s="151"/>
      <c r="H6268" s="160"/>
      <c r="I6268" s="157"/>
      <c r="J6268" s="158"/>
      <c r="L6268" s="94"/>
      <c r="M6268" s="159"/>
      <c r="N6268" s="94"/>
    </row>
    <row r="6269">
      <c r="A6269" s="149">
        <v>1631103.0</v>
      </c>
      <c r="B6269" s="140" t="s">
        <v>247</v>
      </c>
      <c r="C6269" s="140" t="s">
        <v>1559</v>
      </c>
      <c r="D6269" s="100" t="str">
        <f t="shared" si="1"/>
        <v/>
      </c>
      <c r="E6269" s="100" t="str">
        <f t="shared" si="2"/>
        <v/>
      </c>
      <c r="F6269" s="100" t="str">
        <f t="shared" si="3"/>
        <v/>
      </c>
      <c r="G6269" s="151"/>
      <c r="H6269" s="156"/>
      <c r="I6269" s="157"/>
      <c r="J6269" s="161"/>
      <c r="L6269" s="94"/>
      <c r="M6269" s="159"/>
      <c r="N6269" s="94"/>
    </row>
    <row r="6270">
      <c r="A6270" s="107">
        <v>1631104.0</v>
      </c>
      <c r="B6270" s="116" t="s">
        <v>244</v>
      </c>
      <c r="C6270" s="116" t="s">
        <v>1560</v>
      </c>
      <c r="D6270" s="100" t="str">
        <f t="shared" si="1"/>
        <v/>
      </c>
      <c r="E6270" s="100" t="str">
        <f t="shared" si="2"/>
        <v/>
      </c>
      <c r="F6270" s="100" t="str">
        <f t="shared" si="3"/>
        <v/>
      </c>
      <c r="G6270" s="151"/>
      <c r="H6270" s="160"/>
      <c r="I6270" s="157"/>
      <c r="J6270" s="158"/>
      <c r="L6270" s="94"/>
      <c r="M6270" s="159"/>
      <c r="N6270" s="94"/>
    </row>
    <row r="6271">
      <c r="A6271" s="107">
        <v>1631104.0</v>
      </c>
      <c r="B6271" s="116" t="s">
        <v>245</v>
      </c>
      <c r="C6271" s="116" t="s">
        <v>1560</v>
      </c>
      <c r="D6271" s="100" t="str">
        <f t="shared" si="1"/>
        <v/>
      </c>
      <c r="E6271" s="100" t="str">
        <f t="shared" si="2"/>
        <v/>
      </c>
      <c r="F6271" s="100" t="str">
        <f t="shared" si="3"/>
        <v/>
      </c>
      <c r="G6271" s="151"/>
      <c r="H6271" s="156"/>
      <c r="I6271" s="157"/>
      <c r="J6271" s="161"/>
      <c r="L6271" s="94"/>
      <c r="M6271" s="159"/>
      <c r="N6271" s="94"/>
    </row>
    <row r="6272">
      <c r="A6272" s="21">
        <v>1631104.0</v>
      </c>
      <c r="B6272" s="22" t="s">
        <v>246</v>
      </c>
      <c r="C6272" s="22" t="s">
        <v>1560</v>
      </c>
      <c r="D6272" s="100" t="str">
        <f t="shared" si="1"/>
        <v/>
      </c>
      <c r="E6272" s="100" t="str">
        <f t="shared" si="2"/>
        <v/>
      </c>
      <c r="F6272" s="100" t="str">
        <f t="shared" si="3"/>
        <v/>
      </c>
      <c r="G6272" s="151"/>
      <c r="H6272" s="160"/>
      <c r="I6272" s="157"/>
      <c r="J6272" s="158"/>
      <c r="L6272" s="94"/>
      <c r="M6272" s="159"/>
      <c r="N6272" s="94"/>
    </row>
    <row r="6273">
      <c r="A6273" s="149">
        <v>1631104.0</v>
      </c>
      <c r="B6273" s="140" t="s">
        <v>247</v>
      </c>
      <c r="C6273" s="140" t="s">
        <v>1560</v>
      </c>
      <c r="D6273" s="100" t="str">
        <f t="shared" si="1"/>
        <v/>
      </c>
      <c r="E6273" s="100" t="str">
        <f t="shared" si="2"/>
        <v/>
      </c>
      <c r="F6273" s="100" t="str">
        <f t="shared" si="3"/>
        <v/>
      </c>
      <c r="G6273" s="151"/>
      <c r="H6273" s="156"/>
      <c r="I6273" s="157"/>
      <c r="J6273" s="161"/>
      <c r="L6273" s="94"/>
      <c r="M6273" s="159"/>
      <c r="N6273" s="94"/>
    </row>
    <row r="6274">
      <c r="A6274" s="107">
        <v>1631105.0</v>
      </c>
      <c r="B6274" s="116" t="s">
        <v>244</v>
      </c>
      <c r="C6274" s="116" t="s">
        <v>1561</v>
      </c>
      <c r="D6274" s="100" t="str">
        <f t="shared" si="1"/>
        <v/>
      </c>
      <c r="E6274" s="100" t="str">
        <f t="shared" si="2"/>
        <v/>
      </c>
      <c r="F6274" s="100" t="str">
        <f t="shared" si="3"/>
        <v/>
      </c>
      <c r="G6274" s="151"/>
      <c r="H6274" s="160"/>
      <c r="I6274" s="157"/>
      <c r="J6274" s="158"/>
      <c r="L6274" s="94"/>
      <c r="M6274" s="159"/>
      <c r="N6274" s="94"/>
    </row>
    <row r="6275">
      <c r="A6275" s="107">
        <v>1631105.0</v>
      </c>
      <c r="B6275" s="116" t="s">
        <v>245</v>
      </c>
      <c r="C6275" s="116" t="s">
        <v>1561</v>
      </c>
      <c r="D6275" s="100" t="str">
        <f t="shared" si="1"/>
        <v/>
      </c>
      <c r="E6275" s="100" t="str">
        <f t="shared" si="2"/>
        <v/>
      </c>
      <c r="F6275" s="100" t="str">
        <f t="shared" si="3"/>
        <v/>
      </c>
      <c r="G6275" s="151"/>
      <c r="H6275" s="156"/>
      <c r="I6275" s="157"/>
      <c r="J6275" s="161"/>
      <c r="L6275" s="94"/>
      <c r="M6275" s="159"/>
      <c r="N6275" s="94"/>
    </row>
    <row r="6276">
      <c r="A6276" s="21">
        <v>1631105.0</v>
      </c>
      <c r="B6276" s="22" t="s">
        <v>246</v>
      </c>
      <c r="C6276" s="22" t="s">
        <v>1561</v>
      </c>
      <c r="D6276" s="100" t="str">
        <f t="shared" si="1"/>
        <v/>
      </c>
      <c r="E6276" s="100" t="str">
        <f t="shared" si="2"/>
        <v/>
      </c>
      <c r="F6276" s="100" t="str">
        <f t="shared" si="3"/>
        <v/>
      </c>
      <c r="G6276" s="151"/>
      <c r="H6276" s="160"/>
      <c r="I6276" s="157"/>
      <c r="J6276" s="158"/>
      <c r="L6276" s="94"/>
      <c r="M6276" s="159"/>
      <c r="N6276" s="94"/>
    </row>
    <row r="6277">
      <c r="A6277" s="149">
        <v>1631105.0</v>
      </c>
      <c r="B6277" s="140" t="s">
        <v>247</v>
      </c>
      <c r="C6277" s="140" t="s">
        <v>1561</v>
      </c>
      <c r="D6277" s="100" t="str">
        <f t="shared" si="1"/>
        <v/>
      </c>
      <c r="E6277" s="100" t="str">
        <f t="shared" si="2"/>
        <v/>
      </c>
      <c r="F6277" s="100" t="str">
        <f t="shared" si="3"/>
        <v/>
      </c>
      <c r="G6277" s="151"/>
      <c r="H6277" s="156"/>
      <c r="I6277" s="157"/>
      <c r="J6277" s="161"/>
      <c r="L6277" s="94"/>
      <c r="M6277" s="159"/>
      <c r="N6277" s="94"/>
    </row>
    <row r="6278">
      <c r="A6278" s="107">
        <v>1631106.0</v>
      </c>
      <c r="B6278" s="116" t="s">
        <v>244</v>
      </c>
      <c r="C6278" s="116" t="s">
        <v>1562</v>
      </c>
      <c r="D6278" s="100" t="str">
        <f t="shared" si="1"/>
        <v/>
      </c>
      <c r="E6278" s="100" t="str">
        <f t="shared" si="2"/>
        <v/>
      </c>
      <c r="F6278" s="100" t="str">
        <f t="shared" si="3"/>
        <v/>
      </c>
      <c r="G6278" s="151"/>
      <c r="H6278" s="160"/>
      <c r="I6278" s="157"/>
      <c r="J6278" s="158"/>
      <c r="L6278" s="94"/>
      <c r="M6278" s="159"/>
      <c r="N6278" s="94"/>
    </row>
    <row r="6279">
      <c r="A6279" s="107">
        <v>1631106.0</v>
      </c>
      <c r="B6279" s="116" t="s">
        <v>245</v>
      </c>
      <c r="C6279" s="116" t="s">
        <v>1562</v>
      </c>
      <c r="D6279" s="100" t="str">
        <f t="shared" si="1"/>
        <v/>
      </c>
      <c r="E6279" s="100" t="str">
        <f t="shared" si="2"/>
        <v/>
      </c>
      <c r="F6279" s="100" t="str">
        <f t="shared" si="3"/>
        <v/>
      </c>
      <c r="G6279" s="151"/>
      <c r="H6279" s="156"/>
      <c r="I6279" s="157"/>
      <c r="J6279" s="161"/>
      <c r="L6279" s="94"/>
      <c r="M6279" s="159"/>
      <c r="N6279" s="94"/>
    </row>
    <row r="6280">
      <c r="A6280" s="21">
        <v>1631106.0</v>
      </c>
      <c r="B6280" s="22" t="s">
        <v>246</v>
      </c>
      <c r="C6280" s="22" t="s">
        <v>1562</v>
      </c>
      <c r="D6280" s="100" t="str">
        <f t="shared" si="1"/>
        <v/>
      </c>
      <c r="E6280" s="100" t="str">
        <f t="shared" si="2"/>
        <v/>
      </c>
      <c r="F6280" s="100" t="str">
        <f t="shared" si="3"/>
        <v/>
      </c>
      <c r="G6280" s="151"/>
      <c r="H6280" s="160"/>
      <c r="I6280" s="157"/>
      <c r="J6280" s="158"/>
      <c r="L6280" s="94"/>
      <c r="M6280" s="159"/>
      <c r="N6280" s="94"/>
    </row>
    <row r="6281">
      <c r="A6281" s="149">
        <v>1631106.0</v>
      </c>
      <c r="B6281" s="140" t="s">
        <v>247</v>
      </c>
      <c r="C6281" s="140" t="s">
        <v>1562</v>
      </c>
      <c r="D6281" s="100" t="str">
        <f t="shared" si="1"/>
        <v/>
      </c>
      <c r="E6281" s="100" t="str">
        <f t="shared" si="2"/>
        <v/>
      </c>
      <c r="F6281" s="100" t="str">
        <f t="shared" si="3"/>
        <v/>
      </c>
      <c r="G6281" s="151"/>
      <c r="H6281" s="156"/>
      <c r="I6281" s="157"/>
      <c r="J6281" s="161"/>
      <c r="L6281" s="94"/>
      <c r="M6281" s="159"/>
      <c r="N6281" s="94"/>
    </row>
    <row r="6282">
      <c r="A6282" s="107">
        <v>1631107.0</v>
      </c>
      <c r="B6282" s="116" t="s">
        <v>244</v>
      </c>
      <c r="C6282" s="116" t="s">
        <v>1563</v>
      </c>
      <c r="D6282" s="100" t="str">
        <f t="shared" si="1"/>
        <v/>
      </c>
      <c r="E6282" s="100" t="str">
        <f t="shared" si="2"/>
        <v/>
      </c>
      <c r="F6282" s="100" t="str">
        <f t="shared" si="3"/>
        <v/>
      </c>
      <c r="G6282" s="151"/>
      <c r="H6282" s="160"/>
      <c r="I6282" s="157"/>
      <c r="J6282" s="158"/>
      <c r="L6282" s="94"/>
      <c r="M6282" s="159"/>
      <c r="N6282" s="94"/>
    </row>
    <row r="6283">
      <c r="A6283" s="107">
        <v>1631107.0</v>
      </c>
      <c r="B6283" s="116" t="s">
        <v>245</v>
      </c>
      <c r="C6283" s="116" t="s">
        <v>1563</v>
      </c>
      <c r="D6283" s="100" t="str">
        <f t="shared" si="1"/>
        <v/>
      </c>
      <c r="E6283" s="100" t="str">
        <f t="shared" si="2"/>
        <v/>
      </c>
      <c r="F6283" s="100" t="str">
        <f t="shared" si="3"/>
        <v/>
      </c>
      <c r="G6283" s="151"/>
      <c r="H6283" s="156"/>
      <c r="I6283" s="157"/>
      <c r="J6283" s="161"/>
      <c r="L6283" s="94"/>
      <c r="M6283" s="159"/>
      <c r="N6283" s="94"/>
    </row>
    <row r="6284">
      <c r="A6284" s="21">
        <v>1631107.0</v>
      </c>
      <c r="B6284" s="22" t="s">
        <v>246</v>
      </c>
      <c r="C6284" s="116" t="s">
        <v>1563</v>
      </c>
      <c r="D6284" s="100" t="str">
        <f t="shared" si="1"/>
        <v/>
      </c>
      <c r="E6284" s="100" t="str">
        <f t="shared" si="2"/>
        <v/>
      </c>
      <c r="F6284" s="100" t="str">
        <f t="shared" si="3"/>
        <v/>
      </c>
      <c r="G6284" s="151"/>
      <c r="H6284" s="160"/>
      <c r="I6284" s="157"/>
      <c r="J6284" s="158"/>
      <c r="L6284" s="94"/>
      <c r="M6284" s="159"/>
      <c r="N6284" s="94"/>
    </row>
    <row r="6285">
      <c r="A6285" s="149">
        <v>1631107.0</v>
      </c>
      <c r="B6285" s="140" t="s">
        <v>247</v>
      </c>
      <c r="C6285" s="116" t="s">
        <v>1563</v>
      </c>
      <c r="D6285" s="100" t="str">
        <f t="shared" si="1"/>
        <v/>
      </c>
      <c r="E6285" s="100" t="str">
        <f t="shared" si="2"/>
        <v/>
      </c>
      <c r="F6285" s="100" t="str">
        <f t="shared" si="3"/>
        <v/>
      </c>
      <c r="G6285" s="151"/>
      <c r="H6285" s="156"/>
      <c r="I6285" s="157"/>
      <c r="J6285" s="161"/>
      <c r="L6285" s="94"/>
      <c r="M6285" s="159"/>
      <c r="N6285" s="94"/>
    </row>
    <row r="6286">
      <c r="A6286" s="107">
        <v>1631108.0</v>
      </c>
      <c r="B6286" s="116" t="s">
        <v>244</v>
      </c>
      <c r="C6286" s="116" t="s">
        <v>1564</v>
      </c>
      <c r="D6286" s="100" t="str">
        <f t="shared" si="1"/>
        <v/>
      </c>
      <c r="E6286" s="100" t="str">
        <f t="shared" si="2"/>
        <v/>
      </c>
      <c r="F6286" s="100" t="str">
        <f t="shared" si="3"/>
        <v/>
      </c>
      <c r="G6286" s="151"/>
      <c r="H6286" s="160"/>
      <c r="I6286" s="157"/>
      <c r="J6286" s="158"/>
      <c r="L6286" s="94"/>
      <c r="M6286" s="159"/>
      <c r="N6286" s="94"/>
    </row>
    <row r="6287">
      <c r="A6287" s="107">
        <v>1631108.0</v>
      </c>
      <c r="B6287" s="116" t="s">
        <v>245</v>
      </c>
      <c r="C6287" s="116" t="s">
        <v>1564</v>
      </c>
      <c r="D6287" s="100" t="str">
        <f t="shared" si="1"/>
        <v/>
      </c>
      <c r="E6287" s="100" t="str">
        <f t="shared" si="2"/>
        <v/>
      </c>
      <c r="F6287" s="100" t="str">
        <f t="shared" si="3"/>
        <v/>
      </c>
      <c r="G6287" s="151"/>
      <c r="H6287" s="156"/>
      <c r="I6287" s="157"/>
      <c r="J6287" s="161"/>
      <c r="L6287" s="94"/>
      <c r="M6287" s="159"/>
      <c r="N6287" s="94"/>
    </row>
    <row r="6288">
      <c r="A6288" s="21">
        <v>1631108.0</v>
      </c>
      <c r="B6288" s="22" t="s">
        <v>246</v>
      </c>
      <c r="C6288" s="22" t="s">
        <v>1564</v>
      </c>
      <c r="D6288" s="100" t="str">
        <f t="shared" si="1"/>
        <v/>
      </c>
      <c r="E6288" s="100" t="str">
        <f t="shared" si="2"/>
        <v/>
      </c>
      <c r="F6288" s="100" t="str">
        <f t="shared" si="3"/>
        <v/>
      </c>
      <c r="G6288" s="151"/>
      <c r="H6288" s="160"/>
      <c r="I6288" s="157"/>
      <c r="J6288" s="158"/>
      <c r="L6288" s="94"/>
      <c r="M6288" s="159"/>
      <c r="N6288" s="94"/>
    </row>
    <row r="6289">
      <c r="A6289" s="149">
        <v>1631108.0</v>
      </c>
      <c r="B6289" s="140" t="s">
        <v>247</v>
      </c>
      <c r="C6289" s="140" t="s">
        <v>1564</v>
      </c>
      <c r="D6289" s="100" t="str">
        <f t="shared" si="1"/>
        <v/>
      </c>
      <c r="E6289" s="100" t="str">
        <f t="shared" si="2"/>
        <v/>
      </c>
      <c r="F6289" s="100" t="str">
        <f t="shared" si="3"/>
        <v/>
      </c>
      <c r="G6289" s="151"/>
      <c r="H6289" s="156"/>
      <c r="I6289" s="157"/>
      <c r="J6289" s="161"/>
      <c r="M6289" s="159"/>
      <c r="N6289" s="94"/>
    </row>
    <row r="6290">
      <c r="A6290" s="107">
        <v>1631109.0</v>
      </c>
      <c r="B6290" s="116" t="s">
        <v>244</v>
      </c>
      <c r="C6290" s="116" t="s">
        <v>1565</v>
      </c>
      <c r="D6290" s="100" t="str">
        <f t="shared" si="1"/>
        <v/>
      </c>
      <c r="E6290" s="100" t="str">
        <f t="shared" si="2"/>
        <v/>
      </c>
      <c r="F6290" s="100" t="str">
        <f t="shared" si="3"/>
        <v/>
      </c>
      <c r="G6290" s="151"/>
      <c r="H6290" s="160"/>
      <c r="I6290" s="157"/>
      <c r="J6290" s="158"/>
      <c r="M6290" s="159"/>
      <c r="N6290" s="94"/>
    </row>
    <row r="6291">
      <c r="A6291" s="107">
        <v>1631109.0</v>
      </c>
      <c r="B6291" s="116" t="s">
        <v>245</v>
      </c>
      <c r="C6291" s="116" t="s">
        <v>1565</v>
      </c>
      <c r="D6291" s="100" t="str">
        <f t="shared" si="1"/>
        <v/>
      </c>
      <c r="E6291" s="100" t="str">
        <f t="shared" si="2"/>
        <v/>
      </c>
      <c r="F6291" s="100" t="str">
        <f t="shared" si="3"/>
        <v/>
      </c>
      <c r="G6291" s="151"/>
      <c r="H6291" s="156"/>
      <c r="I6291" s="157"/>
      <c r="J6291" s="161"/>
      <c r="M6291" s="159"/>
      <c r="N6291" s="94"/>
    </row>
    <row r="6292">
      <c r="A6292" s="21">
        <v>1631109.0</v>
      </c>
      <c r="B6292" s="22" t="s">
        <v>246</v>
      </c>
      <c r="C6292" s="22" t="s">
        <v>1565</v>
      </c>
      <c r="D6292" s="100" t="str">
        <f t="shared" si="1"/>
        <v/>
      </c>
      <c r="E6292" s="100" t="str">
        <f t="shared" si="2"/>
        <v/>
      </c>
      <c r="F6292" s="100" t="str">
        <f t="shared" si="3"/>
        <v/>
      </c>
      <c r="G6292" s="151"/>
      <c r="H6292" s="160"/>
      <c r="I6292" s="157"/>
      <c r="J6292" s="158"/>
      <c r="M6292" s="159"/>
      <c r="N6292" s="94"/>
    </row>
    <row r="6293">
      <c r="A6293" s="149">
        <v>1631109.0</v>
      </c>
      <c r="B6293" s="140" t="s">
        <v>247</v>
      </c>
      <c r="C6293" s="140" t="s">
        <v>1565</v>
      </c>
      <c r="D6293" s="100" t="str">
        <f t="shared" si="1"/>
        <v/>
      </c>
      <c r="E6293" s="100" t="str">
        <f t="shared" si="2"/>
        <v/>
      </c>
      <c r="F6293" s="100" t="str">
        <f t="shared" si="3"/>
        <v/>
      </c>
      <c r="G6293" s="151"/>
      <c r="H6293" s="156"/>
      <c r="I6293" s="157"/>
      <c r="J6293" s="161"/>
      <c r="M6293" s="159"/>
      <c r="N6293" s="94"/>
    </row>
    <row r="6294">
      <c r="A6294" s="107">
        <v>1631110.0</v>
      </c>
      <c r="B6294" s="116" t="s">
        <v>244</v>
      </c>
      <c r="C6294" s="116" t="s">
        <v>1566</v>
      </c>
      <c r="D6294" s="100" t="str">
        <f t="shared" si="1"/>
        <v/>
      </c>
      <c r="E6294" s="100" t="str">
        <f t="shared" si="2"/>
        <v/>
      </c>
      <c r="F6294" s="100" t="str">
        <f t="shared" si="3"/>
        <v/>
      </c>
      <c r="G6294" s="151"/>
      <c r="H6294" s="160"/>
      <c r="I6294" s="157"/>
      <c r="J6294" s="158"/>
      <c r="M6294" s="159"/>
      <c r="N6294" s="94"/>
    </row>
    <row r="6295">
      <c r="A6295" s="107">
        <v>1631110.0</v>
      </c>
      <c r="B6295" s="116" t="s">
        <v>245</v>
      </c>
      <c r="C6295" s="116" t="s">
        <v>1566</v>
      </c>
      <c r="D6295" s="100" t="str">
        <f t="shared" si="1"/>
        <v/>
      </c>
      <c r="E6295" s="100" t="str">
        <f t="shared" si="2"/>
        <v/>
      </c>
      <c r="F6295" s="100" t="str">
        <f t="shared" si="3"/>
        <v/>
      </c>
      <c r="G6295" s="151"/>
      <c r="H6295" s="156"/>
      <c r="I6295" s="157"/>
      <c r="J6295" s="161"/>
      <c r="M6295" s="159"/>
      <c r="N6295" s="94"/>
    </row>
    <row r="6296">
      <c r="A6296" s="21">
        <v>1631110.0</v>
      </c>
      <c r="B6296" s="22" t="s">
        <v>246</v>
      </c>
      <c r="C6296" s="22" t="s">
        <v>1566</v>
      </c>
      <c r="D6296" s="100" t="str">
        <f t="shared" si="1"/>
        <v/>
      </c>
      <c r="E6296" s="100" t="str">
        <f t="shared" si="2"/>
        <v/>
      </c>
      <c r="F6296" s="100" t="str">
        <f t="shared" si="3"/>
        <v/>
      </c>
      <c r="G6296" s="151"/>
      <c r="H6296" s="160"/>
      <c r="I6296" s="157"/>
      <c r="J6296" s="158"/>
      <c r="M6296" s="159"/>
      <c r="N6296" s="94"/>
    </row>
    <row r="6297">
      <c r="A6297" s="149">
        <v>1631110.0</v>
      </c>
      <c r="B6297" s="140" t="s">
        <v>247</v>
      </c>
      <c r="C6297" s="140" t="s">
        <v>1566</v>
      </c>
      <c r="D6297" s="100" t="str">
        <f t="shared" si="1"/>
        <v/>
      </c>
      <c r="E6297" s="100" t="str">
        <f t="shared" si="2"/>
        <v/>
      </c>
      <c r="F6297" s="100" t="str">
        <f t="shared" si="3"/>
        <v/>
      </c>
      <c r="G6297" s="151"/>
      <c r="H6297" s="156"/>
      <c r="I6297" s="157"/>
      <c r="J6297" s="161"/>
      <c r="M6297" s="159"/>
      <c r="N6297" s="94"/>
    </row>
    <row r="6298">
      <c r="A6298" s="107">
        <v>1631111.0</v>
      </c>
      <c r="B6298" s="116" t="s">
        <v>244</v>
      </c>
      <c r="C6298" s="116" t="s">
        <v>1567</v>
      </c>
      <c r="D6298" s="100" t="str">
        <f t="shared" si="1"/>
        <v/>
      </c>
      <c r="E6298" s="100" t="str">
        <f t="shared" si="2"/>
        <v/>
      </c>
      <c r="F6298" s="100" t="str">
        <f t="shared" si="3"/>
        <v/>
      </c>
      <c r="G6298" s="151"/>
      <c r="H6298" s="160"/>
      <c r="I6298" s="157"/>
      <c r="J6298" s="158"/>
      <c r="M6298" s="159"/>
      <c r="N6298" s="94"/>
    </row>
    <row r="6299">
      <c r="A6299" s="107">
        <v>1631111.0</v>
      </c>
      <c r="B6299" s="116" t="s">
        <v>245</v>
      </c>
      <c r="C6299" s="116" t="s">
        <v>1567</v>
      </c>
      <c r="D6299" s="100" t="str">
        <f t="shared" si="1"/>
        <v/>
      </c>
      <c r="E6299" s="100" t="str">
        <f t="shared" si="2"/>
        <v/>
      </c>
      <c r="F6299" s="100" t="str">
        <f t="shared" si="3"/>
        <v/>
      </c>
      <c r="G6299" s="151"/>
      <c r="H6299" s="156"/>
      <c r="I6299" s="157"/>
      <c r="J6299" s="161"/>
      <c r="M6299" s="159"/>
      <c r="N6299" s="94"/>
    </row>
    <row r="6300">
      <c r="A6300" s="163">
        <v>1631111.0</v>
      </c>
      <c r="B6300" s="22" t="s">
        <v>246</v>
      </c>
      <c r="C6300" s="22" t="s">
        <v>1567</v>
      </c>
      <c r="D6300" s="100" t="str">
        <f t="shared" si="1"/>
        <v/>
      </c>
      <c r="E6300" s="100" t="str">
        <f t="shared" si="2"/>
        <v/>
      </c>
      <c r="F6300" s="100" t="str">
        <f t="shared" si="3"/>
        <v/>
      </c>
      <c r="G6300" s="151"/>
      <c r="H6300" s="160"/>
      <c r="I6300" s="157"/>
      <c r="J6300" s="158"/>
      <c r="M6300" s="159"/>
      <c r="N6300" s="94"/>
    </row>
    <row r="6301">
      <c r="A6301" s="140">
        <v>1631111.0</v>
      </c>
      <c r="B6301" s="140" t="s">
        <v>247</v>
      </c>
      <c r="C6301" s="140" t="s">
        <v>1567</v>
      </c>
      <c r="D6301" s="100" t="str">
        <f t="shared" si="1"/>
        <v/>
      </c>
      <c r="E6301" s="100" t="str">
        <f t="shared" si="2"/>
        <v/>
      </c>
      <c r="F6301" s="100" t="str">
        <f t="shared" si="3"/>
        <v/>
      </c>
      <c r="G6301" s="151"/>
      <c r="H6301" s="156"/>
      <c r="I6301" s="157"/>
      <c r="J6301" s="161"/>
      <c r="M6301" s="159"/>
      <c r="N6301" s="94"/>
    </row>
    <row r="6302">
      <c r="A6302" s="107">
        <v>1631112.0</v>
      </c>
      <c r="B6302" s="116" t="s">
        <v>244</v>
      </c>
      <c r="C6302" s="116" t="s">
        <v>1568</v>
      </c>
      <c r="D6302" s="100" t="str">
        <f t="shared" si="1"/>
        <v/>
      </c>
      <c r="E6302" s="100" t="str">
        <f t="shared" si="2"/>
        <v/>
      </c>
      <c r="F6302" s="100" t="str">
        <f t="shared" si="3"/>
        <v/>
      </c>
      <c r="G6302" s="151"/>
      <c r="H6302" s="160"/>
      <c r="I6302" s="157"/>
      <c r="J6302" s="158"/>
      <c r="M6302" s="159"/>
      <c r="N6302" s="94"/>
    </row>
    <row r="6303">
      <c r="A6303" s="107">
        <v>1631112.0</v>
      </c>
      <c r="B6303" s="108" t="s">
        <v>245</v>
      </c>
      <c r="C6303" s="116" t="s">
        <v>1568</v>
      </c>
      <c r="D6303" s="100" t="str">
        <f t="shared" si="1"/>
        <v/>
      </c>
      <c r="E6303" s="100" t="str">
        <f t="shared" si="2"/>
        <v/>
      </c>
      <c r="F6303" s="100" t="str">
        <f t="shared" si="3"/>
        <v/>
      </c>
      <c r="G6303" s="151"/>
      <c r="H6303" s="156"/>
      <c r="I6303" s="157"/>
      <c r="J6303" s="161"/>
      <c r="M6303" s="159"/>
      <c r="N6303" s="94"/>
    </row>
    <row r="6304">
      <c r="A6304" s="107">
        <v>1631113.0</v>
      </c>
      <c r="B6304" s="108" t="s">
        <v>244</v>
      </c>
      <c r="C6304" s="116" t="s">
        <v>1569</v>
      </c>
      <c r="D6304" s="100" t="str">
        <f t="shared" si="1"/>
        <v/>
      </c>
      <c r="E6304" s="100" t="str">
        <f t="shared" si="2"/>
        <v/>
      </c>
      <c r="F6304" s="100" t="str">
        <f t="shared" si="3"/>
        <v/>
      </c>
      <c r="G6304" s="151"/>
      <c r="H6304" s="160"/>
      <c r="I6304" s="157"/>
      <c r="J6304" s="158"/>
      <c r="M6304" s="159"/>
      <c r="N6304" s="94"/>
    </row>
    <row r="6305">
      <c r="A6305" s="107">
        <v>1631114.0</v>
      </c>
      <c r="B6305" s="108" t="s">
        <v>244</v>
      </c>
      <c r="C6305" s="116" t="s">
        <v>1570</v>
      </c>
      <c r="D6305" s="100" t="str">
        <f t="shared" si="1"/>
        <v/>
      </c>
      <c r="E6305" s="100" t="str">
        <f t="shared" si="2"/>
        <v/>
      </c>
      <c r="F6305" s="100" t="str">
        <f t="shared" si="3"/>
        <v/>
      </c>
      <c r="G6305" s="151"/>
      <c r="H6305" s="156"/>
      <c r="I6305" s="157"/>
      <c r="J6305" s="161"/>
      <c r="M6305" s="159"/>
      <c r="N6305" s="94"/>
    </row>
    <row r="6306">
      <c r="A6306" s="107">
        <v>1631114.0</v>
      </c>
      <c r="B6306" s="116" t="s">
        <v>245</v>
      </c>
      <c r="C6306" s="116" t="s">
        <v>1570</v>
      </c>
      <c r="D6306" s="100" t="str">
        <f t="shared" si="1"/>
        <v/>
      </c>
      <c r="E6306" s="100" t="str">
        <f t="shared" si="2"/>
        <v/>
      </c>
      <c r="F6306" s="100" t="str">
        <f t="shared" si="3"/>
        <v/>
      </c>
      <c r="G6306" s="151"/>
      <c r="H6306" s="160"/>
      <c r="I6306" s="157"/>
      <c r="J6306" s="158"/>
      <c r="M6306" s="159"/>
      <c r="N6306" s="94"/>
    </row>
    <row r="6307">
      <c r="A6307" s="163">
        <v>1631114.0</v>
      </c>
      <c r="B6307" s="22" t="s">
        <v>246</v>
      </c>
      <c r="C6307" s="22" t="s">
        <v>1570</v>
      </c>
      <c r="D6307" s="100" t="str">
        <f t="shared" si="1"/>
        <v/>
      </c>
      <c r="E6307" s="100" t="str">
        <f t="shared" si="2"/>
        <v/>
      </c>
      <c r="F6307" s="100" t="str">
        <f t="shared" si="3"/>
        <v/>
      </c>
      <c r="G6307" s="151"/>
      <c r="H6307" s="156"/>
      <c r="I6307" s="157"/>
      <c r="J6307" s="161"/>
      <c r="M6307" s="159"/>
      <c r="N6307" s="94"/>
    </row>
    <row r="6308">
      <c r="A6308" s="140">
        <v>1631114.0</v>
      </c>
      <c r="B6308" s="140" t="s">
        <v>247</v>
      </c>
      <c r="C6308" s="140" t="s">
        <v>1570</v>
      </c>
      <c r="D6308" s="100" t="str">
        <f t="shared" si="1"/>
        <v/>
      </c>
      <c r="E6308" s="100" t="str">
        <f t="shared" si="2"/>
        <v/>
      </c>
      <c r="F6308" s="100" t="str">
        <f t="shared" si="3"/>
        <v/>
      </c>
      <c r="G6308" s="151"/>
      <c r="H6308" s="160"/>
      <c r="I6308" s="157"/>
      <c r="J6308" s="158"/>
      <c r="M6308" s="159"/>
      <c r="N6308" s="94"/>
    </row>
    <row r="6309">
      <c r="A6309" s="107">
        <v>1631115.0</v>
      </c>
      <c r="B6309" s="116" t="s">
        <v>244</v>
      </c>
      <c r="C6309" s="116" t="s">
        <v>1571</v>
      </c>
      <c r="D6309" s="100" t="str">
        <f t="shared" si="1"/>
        <v/>
      </c>
      <c r="E6309" s="100" t="str">
        <f t="shared" si="2"/>
        <v/>
      </c>
      <c r="F6309" s="100" t="str">
        <f t="shared" si="3"/>
        <v/>
      </c>
      <c r="G6309" s="151"/>
      <c r="H6309" s="156"/>
      <c r="I6309" s="157"/>
      <c r="J6309" s="161"/>
      <c r="M6309" s="159"/>
      <c r="N6309" s="94"/>
    </row>
    <row r="6310">
      <c r="A6310" s="107">
        <v>1631115.0</v>
      </c>
      <c r="B6310" s="116" t="s">
        <v>245</v>
      </c>
      <c r="C6310" s="116" t="s">
        <v>1571</v>
      </c>
      <c r="D6310" s="100" t="str">
        <f t="shared" si="1"/>
        <v/>
      </c>
      <c r="E6310" s="100" t="str">
        <f t="shared" si="2"/>
        <v/>
      </c>
      <c r="F6310" s="100" t="str">
        <f t="shared" si="3"/>
        <v/>
      </c>
      <c r="G6310" s="151"/>
      <c r="H6310" s="160"/>
      <c r="I6310" s="157"/>
      <c r="J6310" s="158"/>
      <c r="M6310" s="159"/>
      <c r="N6310" s="94"/>
    </row>
    <row r="6311">
      <c r="A6311" s="21">
        <v>1631115.0</v>
      </c>
      <c r="B6311" s="22" t="s">
        <v>246</v>
      </c>
      <c r="C6311" s="22" t="s">
        <v>1571</v>
      </c>
      <c r="D6311" s="100" t="str">
        <f t="shared" si="1"/>
        <v/>
      </c>
      <c r="E6311" s="100" t="str">
        <f t="shared" si="2"/>
        <v/>
      </c>
      <c r="F6311" s="100" t="str">
        <f t="shared" si="3"/>
        <v/>
      </c>
      <c r="G6311" s="151"/>
      <c r="H6311" s="156"/>
      <c r="I6311" s="157"/>
      <c r="J6311" s="161"/>
      <c r="M6311" s="159"/>
      <c r="N6311" s="94"/>
    </row>
    <row r="6312">
      <c r="A6312" s="149">
        <v>1631115.0</v>
      </c>
      <c r="B6312" s="140" t="s">
        <v>247</v>
      </c>
      <c r="C6312" s="140" t="s">
        <v>1571</v>
      </c>
      <c r="D6312" s="100" t="str">
        <f t="shared" si="1"/>
        <v/>
      </c>
      <c r="E6312" s="100" t="str">
        <f t="shared" si="2"/>
        <v/>
      </c>
      <c r="F6312" s="100" t="str">
        <f t="shared" si="3"/>
        <v/>
      </c>
      <c r="G6312" s="151"/>
      <c r="H6312" s="160"/>
      <c r="I6312" s="157"/>
      <c r="J6312" s="158"/>
      <c r="M6312" s="159"/>
      <c r="N6312" s="94"/>
    </row>
    <row r="6313">
      <c r="A6313" s="107">
        <v>1631116.0</v>
      </c>
      <c r="B6313" s="116" t="s">
        <v>244</v>
      </c>
      <c r="C6313" s="116" t="s">
        <v>1572</v>
      </c>
      <c r="D6313" s="100" t="str">
        <f t="shared" si="1"/>
        <v/>
      </c>
      <c r="E6313" s="100" t="str">
        <f t="shared" si="2"/>
        <v/>
      </c>
      <c r="F6313" s="100" t="str">
        <f t="shared" si="3"/>
        <v/>
      </c>
      <c r="G6313" s="151"/>
      <c r="H6313" s="156"/>
      <c r="I6313" s="157"/>
      <c r="J6313" s="161"/>
      <c r="M6313" s="159"/>
      <c r="N6313" s="94"/>
    </row>
    <row r="6314">
      <c r="A6314" s="107">
        <v>1631116.0</v>
      </c>
      <c r="B6314" s="116" t="s">
        <v>245</v>
      </c>
      <c r="C6314" s="116" t="s">
        <v>1572</v>
      </c>
      <c r="D6314" s="100" t="str">
        <f t="shared" si="1"/>
        <v/>
      </c>
      <c r="E6314" s="100" t="str">
        <f t="shared" si="2"/>
        <v/>
      </c>
      <c r="F6314" s="100" t="str">
        <f t="shared" si="3"/>
        <v/>
      </c>
      <c r="G6314" s="151"/>
      <c r="H6314" s="160"/>
      <c r="I6314" s="157"/>
      <c r="J6314" s="158"/>
      <c r="M6314" s="159"/>
      <c r="N6314" s="94"/>
    </row>
    <row r="6315">
      <c r="A6315" s="126">
        <v>1631116.0</v>
      </c>
      <c r="B6315" s="145" t="s">
        <v>246</v>
      </c>
      <c r="C6315" s="145" t="s">
        <v>1572</v>
      </c>
      <c r="D6315" s="100" t="str">
        <f t="shared" si="1"/>
        <v/>
      </c>
      <c r="E6315" s="100" t="str">
        <f t="shared" si="2"/>
        <v/>
      </c>
      <c r="F6315" s="100" t="str">
        <f t="shared" si="3"/>
        <v/>
      </c>
      <c r="G6315" s="151"/>
      <c r="H6315" s="156"/>
      <c r="I6315" s="157"/>
      <c r="J6315" s="161"/>
      <c r="M6315" s="159"/>
      <c r="N6315" s="94"/>
    </row>
    <row r="6316">
      <c r="A6316" s="107">
        <v>1631116.0</v>
      </c>
      <c r="B6316" s="24" t="s">
        <v>247</v>
      </c>
      <c r="C6316" s="24" t="s">
        <v>1572</v>
      </c>
      <c r="D6316" s="100" t="str">
        <f t="shared" si="1"/>
        <v/>
      </c>
      <c r="E6316" s="100" t="str">
        <f t="shared" si="2"/>
        <v/>
      </c>
      <c r="F6316" s="100" t="str">
        <f t="shared" si="3"/>
        <v/>
      </c>
      <c r="G6316" s="151"/>
      <c r="H6316" s="160"/>
      <c r="I6316" s="157"/>
      <c r="J6316" s="158"/>
      <c r="M6316" s="159"/>
      <c r="N6316" s="94"/>
    </row>
    <row r="6317">
      <c r="A6317" s="107">
        <v>1631117.0</v>
      </c>
      <c r="B6317" s="116" t="s">
        <v>244</v>
      </c>
      <c r="C6317" s="116" t="s">
        <v>1573</v>
      </c>
      <c r="D6317" s="100" t="str">
        <f t="shared" si="1"/>
        <v/>
      </c>
      <c r="E6317" s="100" t="str">
        <f t="shared" si="2"/>
        <v/>
      </c>
      <c r="F6317" s="100" t="str">
        <f t="shared" si="3"/>
        <v/>
      </c>
      <c r="G6317" s="151"/>
      <c r="H6317" s="156"/>
      <c r="I6317" s="157"/>
      <c r="J6317" s="161"/>
      <c r="M6317" s="159"/>
      <c r="N6317" s="94"/>
    </row>
    <row r="6318">
      <c r="A6318" s="107">
        <v>1631117.0</v>
      </c>
      <c r="B6318" s="116" t="s">
        <v>245</v>
      </c>
      <c r="C6318" s="116" t="s">
        <v>1573</v>
      </c>
      <c r="D6318" s="100" t="str">
        <f t="shared" si="1"/>
        <v/>
      </c>
      <c r="E6318" s="100" t="str">
        <f t="shared" si="2"/>
        <v/>
      </c>
      <c r="F6318" s="100" t="str">
        <f t="shared" si="3"/>
        <v/>
      </c>
      <c r="G6318" s="151"/>
      <c r="H6318" s="160"/>
      <c r="I6318" s="157"/>
      <c r="J6318" s="158"/>
      <c r="M6318" s="159"/>
      <c r="N6318" s="94"/>
    </row>
    <row r="6319">
      <c r="A6319" s="21">
        <v>1631117.0</v>
      </c>
      <c r="B6319" s="22" t="s">
        <v>246</v>
      </c>
      <c r="C6319" s="22" t="s">
        <v>1573</v>
      </c>
      <c r="D6319" s="100" t="str">
        <f t="shared" si="1"/>
        <v/>
      </c>
      <c r="E6319" s="100" t="str">
        <f t="shared" si="2"/>
        <v/>
      </c>
      <c r="F6319" s="100" t="str">
        <f t="shared" si="3"/>
        <v/>
      </c>
      <c r="G6319" s="151"/>
      <c r="H6319" s="156"/>
      <c r="I6319" s="157"/>
      <c r="J6319" s="161"/>
      <c r="M6319" s="159"/>
      <c r="N6319" s="94"/>
    </row>
    <row r="6320">
      <c r="A6320" s="149">
        <v>1631117.0</v>
      </c>
      <c r="B6320" s="140" t="s">
        <v>247</v>
      </c>
      <c r="C6320" s="140" t="s">
        <v>1573</v>
      </c>
      <c r="D6320" s="100" t="str">
        <f t="shared" si="1"/>
        <v/>
      </c>
      <c r="E6320" s="100" t="str">
        <f t="shared" si="2"/>
        <v/>
      </c>
      <c r="F6320" s="100" t="str">
        <f t="shared" si="3"/>
        <v/>
      </c>
      <c r="G6320" s="151"/>
      <c r="H6320" s="160"/>
      <c r="I6320" s="157"/>
      <c r="J6320" s="158"/>
      <c r="M6320" s="159"/>
      <c r="N6320" s="94"/>
    </row>
    <row r="6321">
      <c r="A6321" s="107">
        <v>1631119.0</v>
      </c>
      <c r="B6321" s="116" t="s">
        <v>244</v>
      </c>
      <c r="C6321" s="116" t="s">
        <v>1574</v>
      </c>
      <c r="D6321" s="100" t="str">
        <f t="shared" si="1"/>
        <v/>
      </c>
      <c r="E6321" s="100" t="str">
        <f t="shared" si="2"/>
        <v/>
      </c>
      <c r="F6321" s="100" t="str">
        <f t="shared" si="3"/>
        <v/>
      </c>
      <c r="G6321" s="151"/>
      <c r="H6321" s="156"/>
      <c r="I6321" s="157"/>
      <c r="J6321" s="161"/>
      <c r="M6321" s="159"/>
      <c r="N6321" s="94"/>
    </row>
    <row r="6322">
      <c r="A6322" s="107">
        <v>1631119.0</v>
      </c>
      <c r="B6322" s="116" t="s">
        <v>245</v>
      </c>
      <c r="C6322" s="116" t="s">
        <v>1574</v>
      </c>
      <c r="D6322" s="100" t="str">
        <f t="shared" si="1"/>
        <v/>
      </c>
      <c r="E6322" s="100" t="str">
        <f t="shared" si="2"/>
        <v/>
      </c>
      <c r="F6322" s="100" t="str">
        <f t="shared" si="3"/>
        <v/>
      </c>
      <c r="G6322" s="151"/>
      <c r="H6322" s="160"/>
      <c r="I6322" s="157"/>
      <c r="J6322" s="158"/>
      <c r="M6322" s="159"/>
      <c r="N6322" s="94"/>
    </row>
    <row r="6323">
      <c r="A6323" s="21">
        <v>1631119.0</v>
      </c>
      <c r="B6323" s="22" t="s">
        <v>246</v>
      </c>
      <c r="C6323" s="22" t="s">
        <v>1574</v>
      </c>
      <c r="D6323" s="100" t="str">
        <f t="shared" si="1"/>
        <v/>
      </c>
      <c r="E6323" s="100" t="str">
        <f t="shared" si="2"/>
        <v/>
      </c>
      <c r="F6323" s="100" t="str">
        <f t="shared" si="3"/>
        <v/>
      </c>
      <c r="G6323" s="151"/>
      <c r="H6323" s="156"/>
      <c r="I6323" s="157"/>
      <c r="J6323" s="161"/>
      <c r="M6323" s="159"/>
      <c r="N6323" s="94"/>
    </row>
    <row r="6324">
      <c r="A6324" s="149">
        <v>1631119.0</v>
      </c>
      <c r="B6324" s="140" t="s">
        <v>247</v>
      </c>
      <c r="C6324" s="140" t="s">
        <v>1574</v>
      </c>
      <c r="D6324" s="100" t="str">
        <f t="shared" si="1"/>
        <v/>
      </c>
      <c r="E6324" s="100" t="str">
        <f t="shared" si="2"/>
        <v/>
      </c>
      <c r="F6324" s="100" t="str">
        <f t="shared" si="3"/>
        <v/>
      </c>
      <c r="G6324" s="151"/>
      <c r="H6324" s="160"/>
      <c r="I6324" s="157"/>
      <c r="J6324" s="158"/>
      <c r="M6324" s="159"/>
      <c r="N6324" s="94"/>
    </row>
    <row r="6325">
      <c r="A6325" s="107">
        <v>1631120.0</v>
      </c>
      <c r="B6325" s="116" t="s">
        <v>244</v>
      </c>
      <c r="C6325" s="116" t="s">
        <v>1575</v>
      </c>
      <c r="D6325" s="100" t="str">
        <f t="shared" si="1"/>
        <v/>
      </c>
      <c r="E6325" s="100" t="str">
        <f t="shared" si="2"/>
        <v/>
      </c>
      <c r="F6325" s="100" t="str">
        <f t="shared" si="3"/>
        <v/>
      </c>
      <c r="G6325" s="151"/>
      <c r="H6325" s="156"/>
      <c r="I6325" s="157"/>
      <c r="J6325" s="161"/>
      <c r="M6325" s="159"/>
      <c r="N6325" s="94"/>
    </row>
    <row r="6326">
      <c r="A6326" s="107">
        <v>1631120.0</v>
      </c>
      <c r="B6326" s="116" t="s">
        <v>245</v>
      </c>
      <c r="C6326" s="116" t="s">
        <v>1575</v>
      </c>
      <c r="D6326" s="100" t="str">
        <f t="shared" si="1"/>
        <v/>
      </c>
      <c r="E6326" s="100" t="str">
        <f t="shared" si="2"/>
        <v/>
      </c>
      <c r="F6326" s="100" t="str">
        <f t="shared" si="3"/>
        <v/>
      </c>
      <c r="G6326" s="151"/>
      <c r="H6326" s="160"/>
      <c r="I6326" s="157"/>
      <c r="J6326" s="158"/>
      <c r="M6326" s="159"/>
      <c r="N6326" s="94"/>
    </row>
    <row r="6327">
      <c r="A6327" s="21">
        <v>1631120.0</v>
      </c>
      <c r="B6327" s="22" t="s">
        <v>246</v>
      </c>
      <c r="C6327" s="22" t="s">
        <v>1575</v>
      </c>
      <c r="D6327" s="100" t="str">
        <f t="shared" si="1"/>
        <v/>
      </c>
      <c r="E6327" s="100" t="str">
        <f t="shared" si="2"/>
        <v/>
      </c>
      <c r="F6327" s="100" t="str">
        <f t="shared" si="3"/>
        <v/>
      </c>
      <c r="G6327" s="151"/>
      <c r="H6327" s="156"/>
      <c r="I6327" s="157"/>
      <c r="J6327" s="161"/>
      <c r="M6327" s="159"/>
      <c r="N6327" s="94"/>
    </row>
    <row r="6328">
      <c r="A6328" s="149">
        <v>1631120.0</v>
      </c>
      <c r="B6328" s="140" t="s">
        <v>247</v>
      </c>
      <c r="C6328" s="140" t="s">
        <v>1575</v>
      </c>
      <c r="D6328" s="100" t="str">
        <f t="shared" si="1"/>
        <v/>
      </c>
      <c r="E6328" s="100" t="str">
        <f t="shared" si="2"/>
        <v/>
      </c>
      <c r="F6328" s="100" t="str">
        <f t="shared" si="3"/>
        <v/>
      </c>
      <c r="G6328" s="151"/>
      <c r="H6328" s="160"/>
      <c r="I6328" s="157"/>
      <c r="J6328" s="158"/>
      <c r="M6328" s="159"/>
      <c r="N6328" s="94"/>
    </row>
    <row r="6329">
      <c r="A6329" s="107">
        <v>1631121.0</v>
      </c>
      <c r="B6329" s="116" t="s">
        <v>244</v>
      </c>
      <c r="C6329" s="116" t="s">
        <v>1576</v>
      </c>
      <c r="D6329" s="100" t="str">
        <f t="shared" si="1"/>
        <v/>
      </c>
      <c r="E6329" s="100" t="str">
        <f t="shared" si="2"/>
        <v/>
      </c>
      <c r="F6329" s="100" t="str">
        <f t="shared" si="3"/>
        <v/>
      </c>
      <c r="G6329" s="151"/>
      <c r="H6329" s="156"/>
      <c r="I6329" s="157"/>
      <c r="J6329" s="161"/>
      <c r="M6329" s="159"/>
      <c r="N6329" s="94"/>
    </row>
    <row r="6330">
      <c r="A6330" s="107">
        <v>1631121.0</v>
      </c>
      <c r="B6330" s="116" t="s">
        <v>245</v>
      </c>
      <c r="C6330" s="116" t="s">
        <v>1576</v>
      </c>
      <c r="D6330" s="100" t="str">
        <f t="shared" si="1"/>
        <v/>
      </c>
      <c r="E6330" s="100" t="str">
        <f t="shared" si="2"/>
        <v/>
      </c>
      <c r="F6330" s="100" t="str">
        <f t="shared" si="3"/>
        <v/>
      </c>
      <c r="G6330" s="151"/>
      <c r="H6330" s="160"/>
      <c r="I6330" s="157"/>
      <c r="J6330" s="158"/>
      <c r="M6330" s="159"/>
      <c r="N6330" s="94"/>
    </row>
    <row r="6331">
      <c r="A6331" s="21">
        <v>1631121.0</v>
      </c>
      <c r="B6331" s="22" t="s">
        <v>246</v>
      </c>
      <c r="C6331" s="22" t="s">
        <v>1576</v>
      </c>
      <c r="D6331" s="100" t="str">
        <f t="shared" si="1"/>
        <v/>
      </c>
      <c r="E6331" s="100" t="str">
        <f t="shared" si="2"/>
        <v/>
      </c>
      <c r="F6331" s="100" t="str">
        <f t="shared" si="3"/>
        <v/>
      </c>
      <c r="G6331" s="151"/>
      <c r="H6331" s="156"/>
      <c r="I6331" s="157"/>
      <c r="J6331" s="161"/>
      <c r="M6331" s="159"/>
      <c r="N6331" s="94"/>
    </row>
    <row r="6332">
      <c r="A6332" s="149">
        <v>1631121.0</v>
      </c>
      <c r="B6332" s="140" t="s">
        <v>247</v>
      </c>
      <c r="C6332" s="140" t="s">
        <v>1576</v>
      </c>
      <c r="D6332" s="100" t="str">
        <f t="shared" si="1"/>
        <v/>
      </c>
      <c r="E6332" s="100" t="str">
        <f t="shared" si="2"/>
        <v/>
      </c>
      <c r="F6332" s="100" t="str">
        <f t="shared" si="3"/>
        <v/>
      </c>
      <c r="G6332" s="151"/>
      <c r="H6332" s="160"/>
      <c r="I6332" s="157"/>
      <c r="J6332" s="158"/>
      <c r="M6332" s="159"/>
      <c r="N6332" s="94"/>
    </row>
    <row r="6333">
      <c r="A6333" s="107">
        <v>1631123.0</v>
      </c>
      <c r="B6333" s="116" t="s">
        <v>244</v>
      </c>
      <c r="C6333" s="116" t="s">
        <v>1577</v>
      </c>
      <c r="D6333" s="100" t="str">
        <f t="shared" si="1"/>
        <v/>
      </c>
      <c r="E6333" s="100" t="str">
        <f t="shared" si="2"/>
        <v/>
      </c>
      <c r="F6333" s="100" t="str">
        <f t="shared" si="3"/>
        <v/>
      </c>
      <c r="G6333" s="151"/>
      <c r="H6333" s="156"/>
      <c r="I6333" s="157"/>
      <c r="J6333" s="161"/>
      <c r="M6333" s="159"/>
      <c r="N6333" s="94"/>
    </row>
    <row r="6334">
      <c r="A6334" s="165">
        <v>1631123.0</v>
      </c>
      <c r="B6334" s="132" t="s">
        <v>245</v>
      </c>
      <c r="C6334" s="132" t="s">
        <v>1577</v>
      </c>
      <c r="D6334" s="100" t="str">
        <f t="shared" si="1"/>
        <v/>
      </c>
      <c r="E6334" s="100" t="str">
        <f t="shared" si="2"/>
        <v/>
      </c>
      <c r="F6334" s="100" t="str">
        <f t="shared" si="3"/>
        <v/>
      </c>
      <c r="G6334" s="151"/>
      <c r="H6334" s="160"/>
      <c r="I6334" s="157"/>
      <c r="J6334" s="158"/>
      <c r="M6334" s="159"/>
      <c r="N6334" s="94"/>
    </row>
    <row r="6335">
      <c r="A6335" s="114">
        <v>1631123.0</v>
      </c>
      <c r="B6335" s="22" t="s">
        <v>246</v>
      </c>
      <c r="C6335" s="131" t="s">
        <v>1577</v>
      </c>
      <c r="D6335" s="100" t="str">
        <f t="shared" si="1"/>
        <v/>
      </c>
      <c r="E6335" s="100" t="str">
        <f t="shared" si="2"/>
        <v/>
      </c>
      <c r="F6335" s="100" t="str">
        <f t="shared" si="3"/>
        <v/>
      </c>
      <c r="G6335" s="151"/>
      <c r="H6335" s="156"/>
      <c r="I6335" s="157"/>
      <c r="J6335" s="161"/>
      <c r="M6335" s="159"/>
      <c r="N6335" s="94"/>
    </row>
    <row r="6336">
      <c r="A6336" s="149">
        <v>1631123.0</v>
      </c>
      <c r="B6336" s="140" t="s">
        <v>247</v>
      </c>
      <c r="C6336" s="140" t="s">
        <v>1577</v>
      </c>
      <c r="D6336" s="100" t="str">
        <f t="shared" si="1"/>
        <v/>
      </c>
      <c r="E6336" s="100" t="str">
        <f t="shared" si="2"/>
        <v/>
      </c>
      <c r="F6336" s="100" t="str">
        <f t="shared" si="3"/>
        <v/>
      </c>
      <c r="G6336" s="151"/>
      <c r="H6336" s="160"/>
      <c r="I6336" s="157"/>
      <c r="J6336" s="158"/>
      <c r="M6336" s="159"/>
      <c r="N6336" s="94"/>
    </row>
    <row r="6337">
      <c r="A6337" s="107">
        <v>1631124.0</v>
      </c>
      <c r="B6337" s="116" t="s">
        <v>245</v>
      </c>
      <c r="C6337" s="116" t="s">
        <v>1578</v>
      </c>
      <c r="D6337" s="100" t="str">
        <f t="shared" si="1"/>
        <v/>
      </c>
      <c r="E6337" s="100" t="str">
        <f t="shared" si="2"/>
        <v/>
      </c>
      <c r="F6337" s="100" t="str">
        <f t="shared" si="3"/>
        <v/>
      </c>
      <c r="G6337" s="151"/>
      <c r="H6337" s="156"/>
      <c r="I6337" s="157"/>
      <c r="J6337" s="161"/>
      <c r="M6337" s="159"/>
      <c r="N6337" s="94"/>
    </row>
    <row r="6338">
      <c r="A6338" s="21">
        <v>1631124.0</v>
      </c>
      <c r="B6338" s="22" t="s">
        <v>246</v>
      </c>
      <c r="C6338" s="22" t="s">
        <v>1578</v>
      </c>
      <c r="D6338" s="100" t="str">
        <f t="shared" si="1"/>
        <v/>
      </c>
      <c r="E6338" s="100" t="str">
        <f t="shared" si="2"/>
        <v/>
      </c>
      <c r="F6338" s="100" t="str">
        <f t="shared" si="3"/>
        <v/>
      </c>
      <c r="G6338" s="151"/>
      <c r="H6338" s="160"/>
      <c r="I6338" s="157"/>
      <c r="J6338" s="158"/>
      <c r="M6338" s="159"/>
      <c r="N6338" s="94"/>
    </row>
    <row r="6339">
      <c r="A6339" s="114">
        <v>1631124.0</v>
      </c>
      <c r="B6339" s="131" t="s">
        <v>247</v>
      </c>
      <c r="C6339" s="131" t="s">
        <v>1578</v>
      </c>
      <c r="D6339" s="100" t="str">
        <f t="shared" si="1"/>
        <v/>
      </c>
      <c r="E6339" s="100" t="str">
        <f t="shared" si="2"/>
        <v/>
      </c>
      <c r="F6339" s="100" t="str">
        <f t="shared" si="3"/>
        <v/>
      </c>
      <c r="G6339" s="151"/>
      <c r="H6339" s="156"/>
      <c r="I6339" s="157"/>
      <c r="J6339" s="161"/>
      <c r="M6339" s="159"/>
      <c r="N6339" s="94"/>
    </row>
    <row r="6340">
      <c r="A6340" s="149">
        <v>1631126.0</v>
      </c>
      <c r="B6340" s="140" t="s">
        <v>247</v>
      </c>
      <c r="C6340" s="140" t="s">
        <v>1579</v>
      </c>
      <c r="D6340" s="100" t="str">
        <f t="shared" si="1"/>
        <v/>
      </c>
      <c r="E6340" s="100" t="str">
        <f t="shared" si="2"/>
        <v/>
      </c>
      <c r="F6340" s="100" t="str">
        <f t="shared" si="3"/>
        <v/>
      </c>
      <c r="G6340" s="151"/>
      <c r="H6340" s="160"/>
      <c r="I6340" s="157"/>
      <c r="J6340" s="158"/>
      <c r="M6340" s="159"/>
      <c r="N6340" s="94"/>
    </row>
    <row r="6341">
      <c r="A6341" s="21">
        <v>1631127.0</v>
      </c>
      <c r="B6341" s="22" t="s">
        <v>246</v>
      </c>
      <c r="C6341" s="22" t="s">
        <v>1580</v>
      </c>
      <c r="D6341" s="100" t="str">
        <f t="shared" si="1"/>
        <v/>
      </c>
      <c r="E6341" s="100" t="str">
        <f t="shared" si="2"/>
        <v/>
      </c>
      <c r="F6341" s="100" t="str">
        <f t="shared" si="3"/>
        <v/>
      </c>
      <c r="G6341" s="151"/>
      <c r="H6341" s="156"/>
      <c r="I6341" s="157"/>
      <c r="J6341" s="161"/>
      <c r="M6341" s="159"/>
      <c r="N6341" s="94"/>
    </row>
    <row r="6342">
      <c r="A6342" s="149">
        <v>1631127.0</v>
      </c>
      <c r="B6342" s="140" t="s">
        <v>247</v>
      </c>
      <c r="C6342" s="140" t="s">
        <v>1580</v>
      </c>
      <c r="D6342" s="100" t="str">
        <f t="shared" si="1"/>
        <v/>
      </c>
      <c r="E6342" s="100" t="str">
        <f t="shared" si="2"/>
        <v/>
      </c>
      <c r="F6342" s="100" t="str">
        <f t="shared" si="3"/>
        <v/>
      </c>
      <c r="G6342" s="151"/>
      <c r="H6342" s="160"/>
      <c r="I6342" s="157"/>
      <c r="J6342" s="158"/>
      <c r="M6342" s="159"/>
      <c r="N6342" s="94"/>
    </row>
    <row r="6343">
      <c r="A6343" s="107">
        <v>1631128.0</v>
      </c>
      <c r="B6343" s="116" t="s">
        <v>244</v>
      </c>
      <c r="C6343" s="116" t="s">
        <v>1581</v>
      </c>
      <c r="D6343" s="100" t="str">
        <f t="shared" si="1"/>
        <v/>
      </c>
      <c r="E6343" s="100" t="str">
        <f t="shared" si="2"/>
        <v/>
      </c>
      <c r="F6343" s="100" t="str">
        <f t="shared" si="3"/>
        <v/>
      </c>
      <c r="G6343" s="151"/>
      <c r="H6343" s="156"/>
      <c r="I6343" s="157"/>
      <c r="J6343" s="161"/>
      <c r="M6343" s="159"/>
      <c r="N6343" s="94"/>
    </row>
    <row r="6344">
      <c r="A6344" s="107">
        <v>1631128.0</v>
      </c>
      <c r="B6344" s="116" t="s">
        <v>245</v>
      </c>
      <c r="C6344" s="116" t="s">
        <v>1581</v>
      </c>
      <c r="D6344" s="100" t="str">
        <f t="shared" si="1"/>
        <v/>
      </c>
      <c r="E6344" s="100" t="str">
        <f t="shared" si="2"/>
        <v/>
      </c>
      <c r="F6344" s="100" t="str">
        <f t="shared" si="3"/>
        <v/>
      </c>
      <c r="G6344" s="151"/>
      <c r="H6344" s="160"/>
      <c r="I6344" s="157"/>
      <c r="J6344" s="158"/>
      <c r="M6344" s="159"/>
      <c r="N6344" s="94"/>
    </row>
    <row r="6345">
      <c r="A6345" s="21">
        <v>1631128.0</v>
      </c>
      <c r="B6345" s="22" t="s">
        <v>246</v>
      </c>
      <c r="C6345" s="22" t="s">
        <v>1581</v>
      </c>
      <c r="D6345" s="100" t="str">
        <f t="shared" si="1"/>
        <v/>
      </c>
      <c r="E6345" s="100" t="str">
        <f t="shared" si="2"/>
        <v/>
      </c>
      <c r="F6345" s="100" t="str">
        <f t="shared" si="3"/>
        <v/>
      </c>
      <c r="G6345" s="151"/>
      <c r="H6345" s="156"/>
      <c r="I6345" s="157"/>
      <c r="J6345" s="161"/>
      <c r="M6345" s="159"/>
      <c r="N6345" s="94"/>
    </row>
    <row r="6346">
      <c r="A6346" s="149">
        <v>1631128.0</v>
      </c>
      <c r="B6346" s="140" t="s">
        <v>247</v>
      </c>
      <c r="C6346" s="140" t="s">
        <v>1581</v>
      </c>
      <c r="D6346" s="100" t="str">
        <f t="shared" si="1"/>
        <v/>
      </c>
      <c r="E6346" s="100" t="str">
        <f t="shared" si="2"/>
        <v/>
      </c>
      <c r="F6346" s="100" t="str">
        <f t="shared" si="3"/>
        <v/>
      </c>
      <c r="G6346" s="151"/>
      <c r="H6346" s="160"/>
      <c r="I6346" s="157"/>
      <c r="J6346" s="158"/>
      <c r="M6346" s="159"/>
      <c r="N6346" s="94"/>
    </row>
    <row r="6347">
      <c r="A6347" s="107">
        <v>1631131.0</v>
      </c>
      <c r="B6347" s="116" t="s">
        <v>245</v>
      </c>
      <c r="C6347" s="116" t="s">
        <v>1582</v>
      </c>
      <c r="D6347" s="100" t="str">
        <f t="shared" si="1"/>
        <v/>
      </c>
      <c r="E6347" s="100" t="str">
        <f t="shared" si="2"/>
        <v/>
      </c>
      <c r="F6347" s="100" t="str">
        <f t="shared" si="3"/>
        <v/>
      </c>
      <c r="G6347" s="151"/>
      <c r="H6347" s="156"/>
      <c r="I6347" s="157"/>
      <c r="J6347" s="161"/>
      <c r="M6347" s="159"/>
      <c r="N6347" s="94"/>
    </row>
    <row r="6348">
      <c r="A6348" s="163">
        <v>1631131.0</v>
      </c>
      <c r="B6348" s="22" t="s">
        <v>246</v>
      </c>
      <c r="C6348" s="22" t="s">
        <v>1582</v>
      </c>
      <c r="D6348" s="100" t="str">
        <f t="shared" si="1"/>
        <v/>
      </c>
      <c r="E6348" s="100" t="str">
        <f t="shared" si="2"/>
        <v/>
      </c>
      <c r="F6348" s="100" t="str">
        <f t="shared" si="3"/>
        <v/>
      </c>
      <c r="G6348" s="151"/>
      <c r="H6348" s="160"/>
      <c r="I6348" s="157"/>
      <c r="J6348" s="161"/>
      <c r="M6348" s="159"/>
      <c r="N6348" s="94"/>
    </row>
    <row r="6349">
      <c r="A6349" s="140">
        <v>1631131.0</v>
      </c>
      <c r="B6349" s="140" t="s">
        <v>247</v>
      </c>
      <c r="C6349" s="140" t="s">
        <v>1582</v>
      </c>
      <c r="D6349" s="100" t="str">
        <f t="shared" si="1"/>
        <v/>
      </c>
      <c r="E6349" s="100" t="str">
        <f t="shared" si="2"/>
        <v/>
      </c>
      <c r="F6349" s="100" t="str">
        <f t="shared" si="3"/>
        <v/>
      </c>
      <c r="G6349" s="151"/>
      <c r="H6349" s="156"/>
      <c r="I6349" s="157"/>
      <c r="J6349" s="158"/>
      <c r="M6349" s="159"/>
      <c r="N6349" s="94"/>
    </row>
    <row r="6350">
      <c r="A6350" s="107">
        <v>1631132.0</v>
      </c>
      <c r="B6350" s="116" t="s">
        <v>244</v>
      </c>
      <c r="C6350" s="116" t="s">
        <v>1583</v>
      </c>
      <c r="D6350" s="100" t="str">
        <f t="shared" si="1"/>
        <v/>
      </c>
      <c r="E6350" s="100" t="str">
        <f t="shared" si="2"/>
        <v/>
      </c>
      <c r="F6350" s="100" t="str">
        <f t="shared" si="3"/>
        <v/>
      </c>
      <c r="G6350" s="151"/>
      <c r="H6350" s="160"/>
      <c r="I6350" s="157"/>
      <c r="J6350" s="161"/>
      <c r="M6350" s="159"/>
      <c r="N6350" s="94"/>
    </row>
    <row r="6351">
      <c r="A6351" s="21">
        <v>1631132.0</v>
      </c>
      <c r="B6351" s="22" t="s">
        <v>246</v>
      </c>
      <c r="C6351" s="22" t="s">
        <v>1583</v>
      </c>
      <c r="D6351" s="100" t="str">
        <f t="shared" si="1"/>
        <v/>
      </c>
      <c r="E6351" s="100" t="str">
        <f t="shared" si="2"/>
        <v/>
      </c>
      <c r="F6351" s="100" t="str">
        <f t="shared" si="3"/>
        <v/>
      </c>
      <c r="G6351" s="151"/>
      <c r="H6351" s="156"/>
      <c r="I6351" s="157"/>
      <c r="J6351" s="158"/>
      <c r="M6351" s="159"/>
      <c r="N6351" s="94"/>
    </row>
    <row r="6352">
      <c r="A6352" s="149">
        <v>1631132.0</v>
      </c>
      <c r="B6352" s="140" t="s">
        <v>247</v>
      </c>
      <c r="C6352" s="140" t="s">
        <v>1583</v>
      </c>
      <c r="D6352" s="100" t="str">
        <f t="shared" si="1"/>
        <v/>
      </c>
      <c r="E6352" s="100" t="str">
        <f t="shared" si="2"/>
        <v/>
      </c>
      <c r="F6352" s="100" t="str">
        <f t="shared" si="3"/>
        <v/>
      </c>
      <c r="G6352" s="151"/>
      <c r="H6352" s="160"/>
      <c r="I6352" s="157"/>
      <c r="J6352" s="161"/>
      <c r="M6352" s="159"/>
      <c r="N6352" s="94"/>
    </row>
    <row r="6353">
      <c r="A6353" s="107">
        <v>1631133.0</v>
      </c>
      <c r="B6353" s="116" t="s">
        <v>244</v>
      </c>
      <c r="C6353" s="116" t="s">
        <v>1584</v>
      </c>
      <c r="D6353" s="100" t="str">
        <f t="shared" si="1"/>
        <v/>
      </c>
      <c r="E6353" s="100" t="str">
        <f t="shared" si="2"/>
        <v/>
      </c>
      <c r="F6353" s="100" t="str">
        <f t="shared" si="3"/>
        <v/>
      </c>
      <c r="G6353" s="151"/>
      <c r="H6353" s="156"/>
      <c r="I6353" s="157"/>
      <c r="J6353" s="158"/>
      <c r="M6353" s="159"/>
      <c r="N6353" s="94"/>
    </row>
    <row r="6354">
      <c r="A6354" s="107">
        <v>1631133.0</v>
      </c>
      <c r="B6354" s="116" t="s">
        <v>245</v>
      </c>
      <c r="C6354" s="116" t="s">
        <v>1584</v>
      </c>
      <c r="D6354" s="100" t="str">
        <f t="shared" si="1"/>
        <v/>
      </c>
      <c r="E6354" s="100" t="str">
        <f t="shared" si="2"/>
        <v/>
      </c>
      <c r="F6354" s="100" t="str">
        <f t="shared" si="3"/>
        <v/>
      </c>
      <c r="G6354" s="151"/>
      <c r="H6354" s="160"/>
      <c r="I6354" s="157"/>
      <c r="J6354" s="161"/>
      <c r="M6354" s="159"/>
      <c r="N6354" s="94"/>
    </row>
    <row r="6355">
      <c r="A6355" s="21">
        <v>1631133.0</v>
      </c>
      <c r="B6355" s="22" t="s">
        <v>246</v>
      </c>
      <c r="C6355" s="22" t="s">
        <v>1584</v>
      </c>
      <c r="D6355" s="100" t="str">
        <f t="shared" si="1"/>
        <v/>
      </c>
      <c r="E6355" s="100" t="str">
        <f t="shared" si="2"/>
        <v/>
      </c>
      <c r="F6355" s="100" t="str">
        <f t="shared" si="3"/>
        <v/>
      </c>
      <c r="G6355" s="151"/>
      <c r="H6355" s="156"/>
      <c r="I6355" s="157"/>
      <c r="J6355" s="158"/>
      <c r="M6355" s="159"/>
      <c r="N6355" s="94"/>
    </row>
    <row r="6356">
      <c r="A6356" s="149">
        <v>1631133.0</v>
      </c>
      <c r="B6356" s="140" t="s">
        <v>247</v>
      </c>
      <c r="C6356" s="140" t="s">
        <v>1584</v>
      </c>
      <c r="D6356" s="100" t="str">
        <f t="shared" si="1"/>
        <v/>
      </c>
      <c r="E6356" s="100" t="str">
        <f t="shared" si="2"/>
        <v/>
      </c>
      <c r="F6356" s="100" t="str">
        <f t="shared" si="3"/>
        <v/>
      </c>
      <c r="G6356" s="151"/>
      <c r="H6356" s="160"/>
      <c r="I6356" s="157"/>
      <c r="J6356" s="161"/>
      <c r="M6356" s="159"/>
      <c r="N6356" s="94"/>
    </row>
    <row r="6357">
      <c r="A6357" s="107">
        <v>1631157.0</v>
      </c>
      <c r="B6357" s="116" t="s">
        <v>244</v>
      </c>
      <c r="C6357" s="116" t="s">
        <v>1585</v>
      </c>
      <c r="D6357" s="100" t="str">
        <f t="shared" si="1"/>
        <v/>
      </c>
      <c r="E6357" s="100" t="str">
        <f t="shared" si="2"/>
        <v/>
      </c>
      <c r="F6357" s="100" t="str">
        <f t="shared" si="3"/>
        <v/>
      </c>
      <c r="G6357" s="151"/>
      <c r="H6357" s="156"/>
      <c r="I6357" s="157"/>
      <c r="J6357" s="158"/>
      <c r="M6357" s="159"/>
      <c r="N6357" s="94"/>
    </row>
    <row r="6358">
      <c r="A6358" s="107">
        <v>1631157.0</v>
      </c>
      <c r="B6358" s="116" t="s">
        <v>245</v>
      </c>
      <c r="C6358" s="116" t="s">
        <v>1585</v>
      </c>
      <c r="D6358" s="100" t="str">
        <f t="shared" si="1"/>
        <v/>
      </c>
      <c r="E6358" s="100" t="str">
        <f t="shared" si="2"/>
        <v/>
      </c>
      <c r="F6358" s="100" t="str">
        <f t="shared" si="3"/>
        <v/>
      </c>
      <c r="G6358" s="151"/>
      <c r="H6358" s="160"/>
      <c r="I6358" s="157"/>
      <c r="J6358" s="161"/>
      <c r="M6358" s="159"/>
      <c r="N6358" s="94"/>
    </row>
    <row r="6359">
      <c r="A6359" s="21">
        <v>1631157.0</v>
      </c>
      <c r="B6359" s="22" t="s">
        <v>246</v>
      </c>
      <c r="C6359" s="22" t="s">
        <v>1585</v>
      </c>
      <c r="D6359" s="100" t="str">
        <f t="shared" si="1"/>
        <v/>
      </c>
      <c r="E6359" s="100" t="str">
        <f t="shared" si="2"/>
        <v/>
      </c>
      <c r="F6359" s="100" t="str">
        <f t="shared" si="3"/>
        <v/>
      </c>
      <c r="G6359" s="151"/>
      <c r="H6359" s="156"/>
      <c r="I6359" s="157"/>
      <c r="J6359" s="158"/>
      <c r="M6359" s="159"/>
      <c r="N6359" s="94"/>
    </row>
    <row r="6360">
      <c r="A6360" s="149">
        <v>1631157.0</v>
      </c>
      <c r="B6360" s="140" t="s">
        <v>247</v>
      </c>
      <c r="C6360" s="140" t="s">
        <v>1585</v>
      </c>
      <c r="D6360" s="100" t="str">
        <f t="shared" si="1"/>
        <v/>
      </c>
      <c r="E6360" s="100" t="str">
        <f t="shared" si="2"/>
        <v/>
      </c>
      <c r="F6360" s="100" t="str">
        <f t="shared" si="3"/>
        <v/>
      </c>
      <c r="G6360" s="151"/>
      <c r="H6360" s="160"/>
      <c r="I6360" s="157"/>
      <c r="J6360" s="161"/>
      <c r="M6360" s="159"/>
      <c r="N6360" s="94"/>
    </row>
    <row r="6361">
      <c r="A6361" s="107">
        <v>1631159.0</v>
      </c>
      <c r="B6361" s="116" t="s">
        <v>245</v>
      </c>
      <c r="C6361" s="116" t="s">
        <v>1586</v>
      </c>
      <c r="D6361" s="100" t="str">
        <f t="shared" si="1"/>
        <v/>
      </c>
      <c r="E6361" s="100" t="str">
        <f t="shared" si="2"/>
        <v/>
      </c>
      <c r="F6361" s="100" t="str">
        <f t="shared" si="3"/>
        <v/>
      </c>
      <c r="G6361" s="151"/>
      <c r="H6361" s="156"/>
      <c r="I6361" s="157"/>
      <c r="J6361" s="158"/>
      <c r="M6361" s="159"/>
      <c r="N6361" s="94"/>
    </row>
    <row r="6362">
      <c r="A6362" s="21">
        <v>1631159.0</v>
      </c>
      <c r="B6362" s="22" t="s">
        <v>246</v>
      </c>
      <c r="C6362" s="22" t="s">
        <v>1586</v>
      </c>
      <c r="D6362" s="100" t="str">
        <f t="shared" si="1"/>
        <v/>
      </c>
      <c r="E6362" s="100" t="str">
        <f t="shared" si="2"/>
        <v/>
      </c>
      <c r="F6362" s="100" t="str">
        <f t="shared" si="3"/>
        <v/>
      </c>
      <c r="G6362" s="151"/>
      <c r="H6362" s="160"/>
      <c r="I6362" s="157"/>
      <c r="J6362" s="161"/>
      <c r="M6362" s="159"/>
      <c r="N6362" s="94"/>
    </row>
    <row r="6363">
      <c r="A6363" s="149">
        <v>1631159.0</v>
      </c>
      <c r="B6363" s="140" t="s">
        <v>247</v>
      </c>
      <c r="C6363" s="140" t="s">
        <v>1586</v>
      </c>
      <c r="D6363" s="100" t="str">
        <f t="shared" si="1"/>
        <v/>
      </c>
      <c r="E6363" s="100" t="str">
        <f t="shared" si="2"/>
        <v/>
      </c>
      <c r="F6363" s="100" t="str">
        <f t="shared" si="3"/>
        <v/>
      </c>
      <c r="G6363" s="151"/>
      <c r="H6363" s="156"/>
      <c r="I6363" s="157"/>
      <c r="J6363" s="158"/>
      <c r="M6363" s="159"/>
      <c r="N6363" s="94"/>
    </row>
    <row r="6364">
      <c r="A6364" s="107">
        <v>1631160.0</v>
      </c>
      <c r="B6364" s="116" t="s">
        <v>244</v>
      </c>
      <c r="C6364" s="116" t="s">
        <v>1587</v>
      </c>
      <c r="D6364" s="100" t="str">
        <f t="shared" si="1"/>
        <v/>
      </c>
      <c r="E6364" s="100" t="str">
        <f t="shared" si="2"/>
        <v/>
      </c>
      <c r="F6364" s="100" t="str">
        <f t="shared" si="3"/>
        <v/>
      </c>
      <c r="G6364" s="151"/>
      <c r="H6364" s="160"/>
      <c r="I6364" s="157"/>
      <c r="J6364" s="161"/>
      <c r="M6364" s="159"/>
      <c r="N6364" s="94"/>
    </row>
    <row r="6365">
      <c r="A6365" s="107">
        <v>1631165.0</v>
      </c>
      <c r="B6365" s="116" t="s">
        <v>244</v>
      </c>
      <c r="C6365" s="116" t="s">
        <v>1588</v>
      </c>
      <c r="D6365" s="100" t="str">
        <f t="shared" si="1"/>
        <v/>
      </c>
      <c r="E6365" s="100" t="str">
        <f t="shared" si="2"/>
        <v/>
      </c>
      <c r="F6365" s="100" t="str">
        <f t="shared" si="3"/>
        <v/>
      </c>
      <c r="G6365" s="151"/>
      <c r="H6365" s="156"/>
      <c r="I6365" s="157"/>
      <c r="J6365" s="158"/>
      <c r="M6365" s="159"/>
      <c r="N6365" s="94"/>
    </row>
    <row r="6366">
      <c r="A6366" s="107">
        <v>1631165.0</v>
      </c>
      <c r="B6366" s="116" t="s">
        <v>245</v>
      </c>
      <c r="C6366" s="116" t="s">
        <v>1588</v>
      </c>
      <c r="D6366" s="100" t="str">
        <f t="shared" si="1"/>
        <v/>
      </c>
      <c r="E6366" s="100" t="str">
        <f t="shared" si="2"/>
        <v/>
      </c>
      <c r="F6366" s="100" t="str">
        <f t="shared" si="3"/>
        <v/>
      </c>
      <c r="G6366" s="151"/>
      <c r="H6366" s="160"/>
      <c r="I6366" s="157"/>
      <c r="J6366" s="161"/>
      <c r="M6366" s="159"/>
      <c r="N6366" s="94"/>
    </row>
    <row r="6367">
      <c r="A6367" s="21">
        <v>1631165.0</v>
      </c>
      <c r="B6367" s="22" t="s">
        <v>246</v>
      </c>
      <c r="C6367" s="22" t="s">
        <v>1588</v>
      </c>
      <c r="D6367" s="100" t="str">
        <f t="shared" si="1"/>
        <v/>
      </c>
      <c r="E6367" s="100" t="str">
        <f t="shared" si="2"/>
        <v/>
      </c>
      <c r="F6367" s="100" t="str">
        <f t="shared" si="3"/>
        <v/>
      </c>
      <c r="G6367" s="151"/>
      <c r="H6367" s="156"/>
      <c r="I6367" s="157"/>
      <c r="J6367" s="158"/>
      <c r="M6367" s="159"/>
      <c r="N6367" s="94"/>
    </row>
    <row r="6368">
      <c r="A6368" s="167">
        <v>1631165.0</v>
      </c>
      <c r="B6368" s="170" t="s">
        <v>247</v>
      </c>
      <c r="C6368" s="170" t="s">
        <v>1588</v>
      </c>
      <c r="D6368" s="100" t="str">
        <f t="shared" si="1"/>
        <v/>
      </c>
      <c r="E6368" s="100" t="str">
        <f t="shared" si="2"/>
        <v/>
      </c>
      <c r="F6368" s="100" t="str">
        <f t="shared" si="3"/>
        <v/>
      </c>
      <c r="G6368" s="151"/>
      <c r="H6368" s="160"/>
      <c r="I6368" s="157"/>
      <c r="J6368" s="161"/>
      <c r="M6368" s="159"/>
      <c r="N6368" s="94"/>
    </row>
    <row r="6369">
      <c r="A6369" s="21">
        <v>1631166.0</v>
      </c>
      <c r="B6369" s="22" t="s">
        <v>246</v>
      </c>
      <c r="C6369" s="22" t="s">
        <v>1589</v>
      </c>
      <c r="D6369" s="100" t="str">
        <f t="shared" si="1"/>
        <v/>
      </c>
      <c r="E6369" s="100" t="str">
        <f t="shared" si="2"/>
        <v/>
      </c>
      <c r="F6369" s="100" t="str">
        <f t="shared" si="3"/>
        <v/>
      </c>
      <c r="G6369" s="151"/>
      <c r="H6369" s="156"/>
      <c r="I6369" s="157"/>
      <c r="J6369" s="158"/>
      <c r="M6369" s="159"/>
      <c r="N6369" s="94"/>
    </row>
    <row r="6370">
      <c r="A6370" s="149">
        <v>1631166.0</v>
      </c>
      <c r="B6370" s="140" t="s">
        <v>247</v>
      </c>
      <c r="C6370" s="140" t="s">
        <v>1589</v>
      </c>
      <c r="D6370" s="100" t="str">
        <f t="shared" si="1"/>
        <v/>
      </c>
      <c r="E6370" s="100" t="str">
        <f t="shared" si="2"/>
        <v/>
      </c>
      <c r="F6370" s="100" t="str">
        <f t="shared" si="3"/>
        <v/>
      </c>
      <c r="G6370" s="151"/>
      <c r="H6370" s="160"/>
      <c r="I6370" s="157"/>
      <c r="J6370" s="161"/>
      <c r="M6370" s="159"/>
      <c r="N6370" s="94"/>
    </row>
    <row r="6371">
      <c r="A6371" s="107">
        <v>1631169.0</v>
      </c>
      <c r="B6371" s="116" t="s">
        <v>244</v>
      </c>
      <c r="C6371" s="116" t="s">
        <v>1590</v>
      </c>
      <c r="D6371" s="100" t="str">
        <f t="shared" si="1"/>
        <v/>
      </c>
      <c r="E6371" s="100" t="str">
        <f t="shared" si="2"/>
        <v/>
      </c>
      <c r="F6371" s="100" t="str">
        <f t="shared" si="3"/>
        <v/>
      </c>
      <c r="G6371" s="151"/>
      <c r="H6371" s="156"/>
      <c r="I6371" s="157"/>
      <c r="J6371" s="158"/>
      <c r="M6371" s="159"/>
      <c r="N6371" s="94"/>
    </row>
    <row r="6372">
      <c r="A6372" s="107">
        <v>1631169.0</v>
      </c>
      <c r="B6372" s="116" t="s">
        <v>245</v>
      </c>
      <c r="C6372" s="116" t="s">
        <v>1590</v>
      </c>
      <c r="D6372" s="100" t="str">
        <f t="shared" si="1"/>
        <v/>
      </c>
      <c r="E6372" s="100" t="str">
        <f t="shared" si="2"/>
        <v/>
      </c>
      <c r="F6372" s="100" t="str">
        <f t="shared" si="3"/>
        <v/>
      </c>
      <c r="G6372" s="151"/>
      <c r="H6372" s="160"/>
      <c r="I6372" s="157"/>
      <c r="J6372" s="161"/>
      <c r="M6372" s="159"/>
      <c r="N6372" s="94"/>
    </row>
    <row r="6373">
      <c r="A6373" s="21">
        <v>1631169.0</v>
      </c>
      <c r="B6373" s="22" t="s">
        <v>246</v>
      </c>
      <c r="C6373" s="22" t="s">
        <v>1590</v>
      </c>
      <c r="D6373" s="100" t="str">
        <f t="shared" si="1"/>
        <v/>
      </c>
      <c r="E6373" s="100" t="str">
        <f t="shared" si="2"/>
        <v/>
      </c>
      <c r="F6373" s="100" t="str">
        <f t="shared" si="3"/>
        <v/>
      </c>
      <c r="G6373" s="151"/>
      <c r="H6373" s="156"/>
      <c r="I6373" s="157"/>
      <c r="J6373" s="158"/>
      <c r="M6373" s="159"/>
      <c r="N6373" s="94"/>
    </row>
    <row r="6374">
      <c r="A6374" s="149">
        <v>1631169.0</v>
      </c>
      <c r="B6374" s="140" t="s">
        <v>247</v>
      </c>
      <c r="C6374" s="140" t="s">
        <v>1590</v>
      </c>
      <c r="D6374" s="100" t="str">
        <f t="shared" si="1"/>
        <v/>
      </c>
      <c r="E6374" s="100" t="str">
        <f t="shared" si="2"/>
        <v/>
      </c>
      <c r="F6374" s="100" t="str">
        <f t="shared" si="3"/>
        <v/>
      </c>
      <c r="G6374" s="151"/>
      <c r="H6374" s="160"/>
      <c r="I6374" s="157"/>
      <c r="J6374" s="161"/>
      <c r="M6374" s="159"/>
      <c r="N6374" s="94"/>
    </row>
    <row r="6375">
      <c r="A6375" s="107">
        <v>1631170.0</v>
      </c>
      <c r="B6375" s="116" t="s">
        <v>245</v>
      </c>
      <c r="C6375" s="116" t="s">
        <v>1591</v>
      </c>
      <c r="D6375" s="100" t="str">
        <f t="shared" si="1"/>
        <v/>
      </c>
      <c r="E6375" s="100" t="str">
        <f t="shared" si="2"/>
        <v/>
      </c>
      <c r="F6375" s="100" t="str">
        <f t="shared" si="3"/>
        <v/>
      </c>
      <c r="G6375" s="151"/>
      <c r="H6375" s="156"/>
      <c r="I6375" s="157"/>
      <c r="J6375" s="158"/>
      <c r="M6375" s="159"/>
      <c r="N6375" s="94"/>
    </row>
    <row r="6376">
      <c r="A6376" s="21">
        <v>1631170.0</v>
      </c>
      <c r="B6376" s="22" t="s">
        <v>246</v>
      </c>
      <c r="C6376" s="116" t="s">
        <v>1591</v>
      </c>
      <c r="D6376" s="100" t="str">
        <f t="shared" si="1"/>
        <v/>
      </c>
      <c r="E6376" s="100" t="str">
        <f t="shared" si="2"/>
        <v/>
      </c>
      <c r="F6376" s="100" t="str">
        <f t="shared" si="3"/>
        <v/>
      </c>
      <c r="G6376" s="151"/>
      <c r="H6376" s="160"/>
      <c r="I6376" s="157"/>
      <c r="J6376" s="161"/>
      <c r="M6376" s="159"/>
      <c r="N6376" s="94"/>
    </row>
    <row r="6377">
      <c r="A6377" s="149">
        <v>1631170.0</v>
      </c>
      <c r="B6377" s="140" t="s">
        <v>247</v>
      </c>
      <c r="C6377" s="116" t="s">
        <v>1591</v>
      </c>
      <c r="D6377" s="100" t="str">
        <f t="shared" si="1"/>
        <v/>
      </c>
      <c r="E6377" s="100" t="str">
        <f t="shared" si="2"/>
        <v/>
      </c>
      <c r="F6377" s="100" t="str">
        <f t="shared" si="3"/>
        <v/>
      </c>
      <c r="G6377" s="151"/>
      <c r="H6377" s="156"/>
      <c r="I6377" s="157"/>
      <c r="J6377" s="158"/>
      <c r="M6377" s="159"/>
      <c r="N6377" s="94"/>
    </row>
    <row r="6378">
      <c r="A6378" s="107">
        <v>1631172.0</v>
      </c>
      <c r="B6378" s="116" t="s">
        <v>244</v>
      </c>
      <c r="C6378" s="116" t="s">
        <v>1592</v>
      </c>
      <c r="D6378" s="100" t="str">
        <f t="shared" si="1"/>
        <v/>
      </c>
      <c r="E6378" s="100" t="str">
        <f t="shared" si="2"/>
        <v/>
      </c>
      <c r="F6378" s="100" t="str">
        <f t="shared" si="3"/>
        <v/>
      </c>
      <c r="G6378" s="151"/>
      <c r="H6378" s="160"/>
      <c r="I6378" s="157"/>
      <c r="J6378" s="161"/>
      <c r="M6378" s="159"/>
      <c r="N6378" s="94"/>
    </row>
    <row r="6379">
      <c r="A6379" s="107">
        <v>1631172.0</v>
      </c>
      <c r="B6379" s="116" t="s">
        <v>245</v>
      </c>
      <c r="C6379" s="116" t="s">
        <v>1592</v>
      </c>
      <c r="D6379" s="100" t="str">
        <f t="shared" si="1"/>
        <v/>
      </c>
      <c r="E6379" s="100" t="str">
        <f t="shared" si="2"/>
        <v/>
      </c>
      <c r="F6379" s="100" t="str">
        <f t="shared" si="3"/>
        <v/>
      </c>
      <c r="G6379" s="151"/>
      <c r="H6379" s="156"/>
      <c r="I6379" s="157"/>
      <c r="J6379" s="158"/>
      <c r="M6379" s="159"/>
      <c r="N6379" s="94"/>
    </row>
    <row r="6380">
      <c r="A6380" s="21">
        <v>1631172.0</v>
      </c>
      <c r="B6380" s="22" t="s">
        <v>246</v>
      </c>
      <c r="C6380" s="22" t="s">
        <v>1592</v>
      </c>
      <c r="D6380" s="100" t="str">
        <f t="shared" si="1"/>
        <v/>
      </c>
      <c r="E6380" s="100" t="str">
        <f t="shared" si="2"/>
        <v/>
      </c>
      <c r="F6380" s="100" t="str">
        <f t="shared" si="3"/>
        <v/>
      </c>
      <c r="G6380" s="151"/>
      <c r="H6380" s="160"/>
      <c r="I6380" s="157"/>
      <c r="J6380" s="161"/>
      <c r="M6380" s="159"/>
      <c r="N6380" s="94"/>
    </row>
    <row r="6381">
      <c r="A6381" s="149">
        <v>1631172.0</v>
      </c>
      <c r="B6381" s="140" t="s">
        <v>247</v>
      </c>
      <c r="C6381" s="140" t="s">
        <v>1592</v>
      </c>
      <c r="D6381" s="100" t="str">
        <f t="shared" si="1"/>
        <v/>
      </c>
      <c r="E6381" s="100" t="str">
        <f t="shared" si="2"/>
        <v/>
      </c>
      <c r="F6381" s="100" t="str">
        <f t="shared" si="3"/>
        <v/>
      </c>
      <c r="G6381" s="151"/>
      <c r="H6381" s="156"/>
      <c r="I6381" s="157"/>
      <c r="J6381" s="158"/>
      <c r="M6381" s="159"/>
      <c r="N6381" s="94"/>
    </row>
    <row r="6382">
      <c r="A6382" s="107">
        <v>1631173.0</v>
      </c>
      <c r="B6382" s="116" t="s">
        <v>245</v>
      </c>
      <c r="C6382" s="116" t="s">
        <v>1593</v>
      </c>
      <c r="D6382" s="100" t="str">
        <f t="shared" si="1"/>
        <v/>
      </c>
      <c r="E6382" s="100" t="str">
        <f t="shared" si="2"/>
        <v/>
      </c>
      <c r="F6382" s="100" t="str">
        <f t="shared" si="3"/>
        <v/>
      </c>
      <c r="G6382" s="151"/>
      <c r="H6382" s="160"/>
      <c r="I6382" s="157"/>
      <c r="J6382" s="161"/>
      <c r="M6382" s="159"/>
      <c r="N6382" s="94"/>
    </row>
    <row r="6383">
      <c r="A6383" s="107">
        <v>1631197.0</v>
      </c>
      <c r="B6383" s="116" t="s">
        <v>244</v>
      </c>
      <c r="C6383" s="116" t="s">
        <v>1594</v>
      </c>
      <c r="D6383" s="100" t="str">
        <f t="shared" si="1"/>
        <v/>
      </c>
      <c r="E6383" s="100" t="str">
        <f t="shared" si="2"/>
        <v/>
      </c>
      <c r="F6383" s="100" t="str">
        <f t="shared" si="3"/>
        <v/>
      </c>
      <c r="G6383" s="151"/>
      <c r="H6383" s="156"/>
      <c r="I6383" s="157"/>
      <c r="J6383" s="158"/>
      <c r="M6383" s="159"/>
      <c r="N6383" s="94"/>
    </row>
    <row r="6384">
      <c r="A6384" s="107">
        <v>1631197.0</v>
      </c>
      <c r="B6384" s="116" t="s">
        <v>245</v>
      </c>
      <c r="C6384" s="116" t="s">
        <v>1594</v>
      </c>
      <c r="D6384" s="100" t="str">
        <f t="shared" si="1"/>
        <v/>
      </c>
      <c r="E6384" s="100" t="str">
        <f t="shared" si="2"/>
        <v/>
      </c>
      <c r="F6384" s="100" t="str">
        <f t="shared" si="3"/>
        <v/>
      </c>
      <c r="G6384" s="151"/>
      <c r="H6384" s="160"/>
      <c r="I6384" s="157"/>
      <c r="J6384" s="161"/>
      <c r="M6384" s="159"/>
      <c r="N6384" s="94"/>
    </row>
    <row r="6385">
      <c r="A6385" s="107">
        <v>1631197.0</v>
      </c>
      <c r="B6385" s="116" t="s">
        <v>246</v>
      </c>
      <c r="C6385" s="116" t="s">
        <v>1594</v>
      </c>
      <c r="D6385" s="100" t="str">
        <f t="shared" si="1"/>
        <v/>
      </c>
      <c r="E6385" s="100" t="str">
        <f t="shared" si="2"/>
        <v/>
      </c>
      <c r="F6385" s="100" t="str">
        <f t="shared" si="3"/>
        <v/>
      </c>
      <c r="G6385" s="151"/>
      <c r="H6385" s="156"/>
      <c r="I6385" s="157"/>
      <c r="J6385" s="158"/>
      <c r="M6385" s="159"/>
      <c r="N6385" s="94"/>
    </row>
    <row r="6386">
      <c r="A6386" s="107">
        <v>1631199.0</v>
      </c>
      <c r="B6386" s="116" t="s">
        <v>244</v>
      </c>
      <c r="C6386" s="116" t="s">
        <v>1595</v>
      </c>
      <c r="D6386" s="100" t="str">
        <f t="shared" si="1"/>
        <v/>
      </c>
      <c r="E6386" s="100" t="str">
        <f t="shared" si="2"/>
        <v/>
      </c>
      <c r="F6386" s="100" t="str">
        <f t="shared" si="3"/>
        <v/>
      </c>
      <c r="G6386" s="151"/>
      <c r="H6386" s="160"/>
      <c r="I6386" s="157"/>
      <c r="J6386" s="161"/>
      <c r="M6386" s="159"/>
      <c r="N6386" s="94"/>
    </row>
    <row r="6387">
      <c r="A6387" s="165">
        <v>1631199.0</v>
      </c>
      <c r="B6387" s="132" t="s">
        <v>245</v>
      </c>
      <c r="C6387" s="132" t="s">
        <v>1595</v>
      </c>
      <c r="D6387" s="100" t="str">
        <f t="shared" si="1"/>
        <v/>
      </c>
      <c r="E6387" s="100" t="str">
        <f t="shared" si="2"/>
        <v/>
      </c>
      <c r="F6387" s="100" t="str">
        <f t="shared" si="3"/>
        <v/>
      </c>
      <c r="G6387" s="151"/>
      <c r="H6387" s="156"/>
      <c r="I6387" s="157"/>
      <c r="J6387" s="158"/>
      <c r="M6387" s="159"/>
      <c r="N6387" s="94"/>
    </row>
    <row r="6388">
      <c r="A6388" s="114">
        <v>1631199.0</v>
      </c>
      <c r="B6388" s="22" t="s">
        <v>246</v>
      </c>
      <c r="C6388" s="140" t="s">
        <v>1595</v>
      </c>
      <c r="D6388" s="100" t="str">
        <f t="shared" si="1"/>
        <v/>
      </c>
      <c r="E6388" s="100" t="str">
        <f t="shared" si="2"/>
        <v/>
      </c>
      <c r="F6388" s="100" t="str">
        <f t="shared" si="3"/>
        <v/>
      </c>
      <c r="G6388" s="151"/>
      <c r="H6388" s="160"/>
      <c r="I6388" s="157"/>
      <c r="J6388" s="161"/>
      <c r="M6388" s="159"/>
      <c r="N6388" s="94"/>
    </row>
    <row r="6389">
      <c r="A6389" s="149">
        <v>1631199.0</v>
      </c>
      <c r="B6389" s="140" t="s">
        <v>247</v>
      </c>
      <c r="C6389" s="140" t="s">
        <v>1595</v>
      </c>
      <c r="D6389" s="100" t="str">
        <f t="shared" si="1"/>
        <v/>
      </c>
      <c r="E6389" s="100" t="str">
        <f t="shared" si="2"/>
        <v/>
      </c>
      <c r="F6389" s="100" t="str">
        <f t="shared" si="3"/>
        <v/>
      </c>
      <c r="G6389" s="151"/>
      <c r="H6389" s="156"/>
      <c r="I6389" s="157"/>
      <c r="J6389" s="158"/>
      <c r="M6389" s="159"/>
      <c r="N6389" s="94"/>
    </row>
    <row r="6390">
      <c r="A6390" s="107">
        <v>1631200.0</v>
      </c>
      <c r="B6390" s="116" t="s">
        <v>245</v>
      </c>
      <c r="C6390" s="116" t="s">
        <v>1596</v>
      </c>
      <c r="D6390" s="100" t="str">
        <f t="shared" si="1"/>
        <v/>
      </c>
      <c r="E6390" s="100" t="str">
        <f t="shared" si="2"/>
        <v/>
      </c>
      <c r="F6390" s="100" t="str">
        <f t="shared" si="3"/>
        <v/>
      </c>
      <c r="G6390" s="151"/>
      <c r="H6390" s="160"/>
      <c r="I6390" s="157"/>
      <c r="J6390" s="161"/>
      <c r="M6390" s="159"/>
      <c r="N6390" s="94"/>
    </row>
    <row r="6391">
      <c r="A6391" s="21">
        <v>1631200.0</v>
      </c>
      <c r="B6391" s="22" t="s">
        <v>246</v>
      </c>
      <c r="C6391" s="22" t="s">
        <v>1596</v>
      </c>
      <c r="D6391" s="100" t="str">
        <f t="shared" si="1"/>
        <v/>
      </c>
      <c r="E6391" s="100" t="str">
        <f t="shared" si="2"/>
        <v/>
      </c>
      <c r="F6391" s="100" t="str">
        <f t="shared" si="3"/>
        <v/>
      </c>
      <c r="G6391" s="151"/>
      <c r="H6391" s="156"/>
      <c r="I6391" s="157"/>
      <c r="J6391" s="158"/>
      <c r="M6391" s="159"/>
      <c r="N6391" s="94"/>
    </row>
    <row r="6392">
      <c r="A6392" s="149">
        <v>1631200.0</v>
      </c>
      <c r="B6392" s="140" t="s">
        <v>247</v>
      </c>
      <c r="C6392" s="140" t="s">
        <v>1596</v>
      </c>
      <c r="D6392" s="100" t="str">
        <f t="shared" si="1"/>
        <v/>
      </c>
      <c r="E6392" s="100" t="str">
        <f t="shared" si="2"/>
        <v/>
      </c>
      <c r="F6392" s="100" t="str">
        <f t="shared" si="3"/>
        <v/>
      </c>
      <c r="G6392" s="151"/>
      <c r="H6392" s="160"/>
      <c r="I6392" s="157"/>
      <c r="J6392" s="161"/>
      <c r="M6392" s="159"/>
      <c r="N6392" s="94"/>
    </row>
    <row r="6393">
      <c r="A6393" s="107">
        <v>1631204.0</v>
      </c>
      <c r="B6393" s="116" t="s">
        <v>245</v>
      </c>
      <c r="C6393" s="116" t="s">
        <v>1597</v>
      </c>
      <c r="D6393" s="100" t="str">
        <f t="shared" si="1"/>
        <v/>
      </c>
      <c r="E6393" s="100" t="str">
        <f t="shared" si="2"/>
        <v/>
      </c>
      <c r="F6393" s="100" t="str">
        <f t="shared" si="3"/>
        <v/>
      </c>
      <c r="G6393" s="151"/>
      <c r="H6393" s="156"/>
      <c r="I6393" s="157"/>
      <c r="J6393" s="158"/>
      <c r="M6393" s="159"/>
      <c r="N6393" s="94"/>
    </row>
    <row r="6394">
      <c r="A6394" s="163">
        <v>1631204.0</v>
      </c>
      <c r="B6394" s="22" t="s">
        <v>246</v>
      </c>
      <c r="C6394" s="22" t="s">
        <v>1597</v>
      </c>
      <c r="D6394" s="100" t="str">
        <f t="shared" si="1"/>
        <v/>
      </c>
      <c r="E6394" s="100" t="str">
        <f t="shared" si="2"/>
        <v/>
      </c>
      <c r="F6394" s="100" t="str">
        <f t="shared" si="3"/>
        <v/>
      </c>
      <c r="G6394" s="151"/>
      <c r="H6394" s="160"/>
      <c r="I6394" s="157"/>
      <c r="J6394" s="161"/>
      <c r="M6394" s="159"/>
      <c r="N6394" s="94"/>
    </row>
    <row r="6395">
      <c r="A6395" s="140">
        <v>1631204.0</v>
      </c>
      <c r="B6395" s="140" t="s">
        <v>247</v>
      </c>
      <c r="C6395" s="140" t="s">
        <v>1597</v>
      </c>
      <c r="D6395" s="100" t="str">
        <f t="shared" si="1"/>
        <v/>
      </c>
      <c r="E6395" s="100" t="str">
        <f t="shared" si="2"/>
        <v/>
      </c>
      <c r="F6395" s="100" t="str">
        <f t="shared" si="3"/>
        <v/>
      </c>
      <c r="G6395" s="151"/>
      <c r="H6395" s="156"/>
      <c r="I6395" s="157"/>
      <c r="J6395" s="158"/>
      <c r="M6395" s="159"/>
      <c r="N6395" s="94"/>
    </row>
    <row r="6396">
      <c r="A6396" s="107">
        <v>1631205.0</v>
      </c>
      <c r="B6396" s="116" t="s">
        <v>244</v>
      </c>
      <c r="C6396" s="116" t="s">
        <v>1598</v>
      </c>
      <c r="D6396" s="100" t="str">
        <f t="shared" si="1"/>
        <v/>
      </c>
      <c r="E6396" s="100" t="str">
        <f t="shared" si="2"/>
        <v/>
      </c>
      <c r="F6396" s="100" t="str">
        <f t="shared" si="3"/>
        <v/>
      </c>
      <c r="G6396" s="151"/>
      <c r="H6396" s="160"/>
      <c r="I6396" s="157"/>
      <c r="J6396" s="161"/>
      <c r="M6396" s="159"/>
      <c r="N6396" s="94"/>
    </row>
    <row r="6397">
      <c r="A6397" s="126">
        <v>1631205.0</v>
      </c>
      <c r="B6397" s="145" t="s">
        <v>245</v>
      </c>
      <c r="C6397" s="145" t="s">
        <v>1598</v>
      </c>
      <c r="D6397" s="100" t="str">
        <f t="shared" si="1"/>
        <v/>
      </c>
      <c r="E6397" s="100" t="str">
        <f t="shared" si="2"/>
        <v/>
      </c>
      <c r="F6397" s="100" t="str">
        <f t="shared" si="3"/>
        <v/>
      </c>
      <c r="G6397" s="151"/>
      <c r="H6397" s="156"/>
      <c r="I6397" s="157"/>
      <c r="J6397" s="158"/>
      <c r="M6397" s="159"/>
      <c r="N6397" s="94"/>
    </row>
    <row r="6398">
      <c r="A6398" s="107">
        <v>1631205.0</v>
      </c>
      <c r="B6398" s="24" t="s">
        <v>247</v>
      </c>
      <c r="C6398" s="24" t="s">
        <v>1598</v>
      </c>
      <c r="D6398" s="100" t="str">
        <f t="shared" si="1"/>
        <v/>
      </c>
      <c r="E6398" s="100" t="str">
        <f t="shared" si="2"/>
        <v/>
      </c>
      <c r="F6398" s="100" t="str">
        <f t="shared" si="3"/>
        <v/>
      </c>
      <c r="G6398" s="151"/>
      <c r="H6398" s="160"/>
      <c r="I6398" s="157"/>
      <c r="J6398" s="161"/>
      <c r="M6398" s="159"/>
      <c r="N6398" s="94"/>
    </row>
    <row r="6399">
      <c r="A6399" s="107">
        <v>1631207.0</v>
      </c>
      <c r="B6399" s="116" t="s">
        <v>244</v>
      </c>
      <c r="C6399" s="116" t="s">
        <v>1599</v>
      </c>
      <c r="D6399" s="100" t="str">
        <f t="shared" si="1"/>
        <v/>
      </c>
      <c r="E6399" s="100" t="str">
        <f t="shared" si="2"/>
        <v/>
      </c>
      <c r="F6399" s="100" t="str">
        <f t="shared" si="3"/>
        <v/>
      </c>
      <c r="G6399" s="151"/>
      <c r="H6399" s="156"/>
      <c r="I6399" s="157"/>
      <c r="J6399" s="158"/>
      <c r="M6399" s="159"/>
      <c r="N6399" s="94"/>
    </row>
    <row r="6400">
      <c r="A6400" s="107">
        <v>1631207.0</v>
      </c>
      <c r="B6400" s="116" t="s">
        <v>245</v>
      </c>
      <c r="C6400" s="116" t="s">
        <v>1599</v>
      </c>
      <c r="D6400" s="100" t="str">
        <f t="shared" si="1"/>
        <v/>
      </c>
      <c r="E6400" s="100" t="str">
        <f t="shared" si="2"/>
        <v/>
      </c>
      <c r="F6400" s="100" t="str">
        <f t="shared" si="3"/>
        <v/>
      </c>
      <c r="G6400" s="151"/>
      <c r="H6400" s="160"/>
      <c r="I6400" s="157"/>
      <c r="J6400" s="161"/>
      <c r="M6400" s="159"/>
      <c r="N6400" s="94"/>
    </row>
    <row r="6401">
      <c r="A6401" s="21">
        <v>1631207.0</v>
      </c>
      <c r="B6401" s="22" t="s">
        <v>246</v>
      </c>
      <c r="C6401" s="22" t="s">
        <v>1599</v>
      </c>
      <c r="D6401" s="100" t="str">
        <f t="shared" si="1"/>
        <v/>
      </c>
      <c r="E6401" s="100" t="str">
        <f t="shared" si="2"/>
        <v/>
      </c>
      <c r="F6401" s="100" t="str">
        <f t="shared" si="3"/>
        <v/>
      </c>
      <c r="G6401" s="151"/>
      <c r="H6401" s="156"/>
      <c r="I6401" s="157"/>
      <c r="J6401" s="158"/>
      <c r="M6401" s="159"/>
      <c r="N6401" s="94"/>
    </row>
    <row r="6402">
      <c r="A6402" s="149">
        <v>1631207.0</v>
      </c>
      <c r="B6402" s="140" t="s">
        <v>247</v>
      </c>
      <c r="C6402" s="140" t="s">
        <v>1599</v>
      </c>
      <c r="D6402" s="100" t="str">
        <f t="shared" si="1"/>
        <v/>
      </c>
      <c r="E6402" s="100" t="str">
        <f t="shared" si="2"/>
        <v/>
      </c>
      <c r="F6402" s="100" t="str">
        <f t="shared" si="3"/>
        <v/>
      </c>
      <c r="G6402" s="151"/>
      <c r="H6402" s="160"/>
      <c r="I6402" s="157"/>
      <c r="J6402" s="161"/>
      <c r="M6402" s="159"/>
      <c r="N6402" s="94"/>
    </row>
    <row r="6403">
      <c r="A6403" s="117">
        <v>1631209.0</v>
      </c>
      <c r="B6403" s="143" t="s">
        <v>245</v>
      </c>
      <c r="C6403" s="143" t="s">
        <v>1600</v>
      </c>
      <c r="D6403" s="100" t="str">
        <f t="shared" si="1"/>
        <v/>
      </c>
      <c r="E6403" s="100" t="str">
        <f t="shared" si="2"/>
        <v/>
      </c>
      <c r="F6403" s="100" t="str">
        <f t="shared" si="3"/>
        <v/>
      </c>
      <c r="G6403" s="151"/>
      <c r="H6403" s="156"/>
      <c r="I6403" s="157"/>
      <c r="J6403" s="158"/>
      <c r="M6403" s="159"/>
      <c r="N6403" s="94"/>
    </row>
    <row r="6404">
      <c r="A6404" s="107">
        <v>1631209.0</v>
      </c>
      <c r="B6404" s="116" t="s">
        <v>246</v>
      </c>
      <c r="C6404" s="24" t="s">
        <v>1600</v>
      </c>
      <c r="D6404" s="100" t="str">
        <f t="shared" si="1"/>
        <v/>
      </c>
      <c r="E6404" s="100" t="str">
        <f t="shared" si="2"/>
        <v/>
      </c>
      <c r="F6404" s="100" t="str">
        <f t="shared" si="3"/>
        <v/>
      </c>
      <c r="G6404" s="151"/>
      <c r="H6404" s="160"/>
      <c r="I6404" s="157"/>
      <c r="J6404" s="161"/>
      <c r="M6404" s="159"/>
      <c r="N6404" s="94"/>
    </row>
    <row r="6405">
      <c r="A6405" s="107">
        <v>1631210.0</v>
      </c>
      <c r="B6405" s="116" t="s">
        <v>245</v>
      </c>
      <c r="C6405" s="116" t="s">
        <v>1601</v>
      </c>
      <c r="D6405" s="100" t="str">
        <f t="shared" si="1"/>
        <v/>
      </c>
      <c r="E6405" s="100" t="str">
        <f t="shared" si="2"/>
        <v/>
      </c>
      <c r="F6405" s="100" t="str">
        <f t="shared" si="3"/>
        <v/>
      </c>
      <c r="G6405" s="151"/>
      <c r="H6405" s="156"/>
      <c r="I6405" s="157"/>
      <c r="J6405" s="158"/>
      <c r="M6405" s="159"/>
      <c r="N6405" s="94"/>
    </row>
    <row r="6406">
      <c r="A6406" s="21">
        <v>1631210.0</v>
      </c>
      <c r="B6406" s="22" t="s">
        <v>246</v>
      </c>
      <c r="C6406" s="22" t="s">
        <v>1601</v>
      </c>
      <c r="D6406" s="100" t="str">
        <f t="shared" si="1"/>
        <v/>
      </c>
      <c r="E6406" s="100" t="str">
        <f t="shared" si="2"/>
        <v/>
      </c>
      <c r="F6406" s="100" t="str">
        <f t="shared" si="3"/>
        <v/>
      </c>
      <c r="G6406" s="151"/>
      <c r="H6406" s="160"/>
      <c r="I6406" s="157"/>
      <c r="J6406" s="161"/>
      <c r="M6406" s="159"/>
      <c r="N6406" s="94"/>
    </row>
    <row r="6407">
      <c r="A6407" s="149">
        <v>1631210.0</v>
      </c>
      <c r="B6407" s="140" t="s">
        <v>247</v>
      </c>
      <c r="C6407" s="140" t="s">
        <v>1601</v>
      </c>
      <c r="D6407" s="100" t="str">
        <f t="shared" si="1"/>
        <v/>
      </c>
      <c r="E6407" s="100" t="str">
        <f t="shared" si="2"/>
        <v/>
      </c>
      <c r="F6407" s="100" t="str">
        <f t="shared" si="3"/>
        <v/>
      </c>
      <c r="G6407" s="151"/>
      <c r="H6407" s="156"/>
      <c r="I6407" s="157"/>
      <c r="J6407" s="158"/>
      <c r="M6407" s="159"/>
      <c r="N6407" s="94"/>
    </row>
    <row r="6408">
      <c r="A6408" s="107">
        <v>1631211.0</v>
      </c>
      <c r="B6408" s="116" t="s">
        <v>244</v>
      </c>
      <c r="C6408" s="116" t="s">
        <v>1602</v>
      </c>
      <c r="D6408" s="100" t="str">
        <f t="shared" si="1"/>
        <v/>
      </c>
      <c r="E6408" s="100" t="str">
        <f t="shared" si="2"/>
        <v/>
      </c>
      <c r="F6408" s="100" t="str">
        <f t="shared" si="3"/>
        <v/>
      </c>
      <c r="G6408" s="151"/>
      <c r="H6408" s="160"/>
      <c r="I6408" s="157"/>
      <c r="J6408" s="161"/>
      <c r="M6408" s="159"/>
      <c r="N6408" s="94"/>
    </row>
    <row r="6409">
      <c r="A6409" s="107">
        <v>1631211.0</v>
      </c>
      <c r="B6409" s="24" t="s">
        <v>247</v>
      </c>
      <c r="C6409" s="24" t="s">
        <v>1602</v>
      </c>
      <c r="D6409" s="100" t="str">
        <f t="shared" si="1"/>
        <v/>
      </c>
      <c r="E6409" s="100" t="str">
        <f t="shared" si="2"/>
        <v/>
      </c>
      <c r="F6409" s="100" t="str">
        <f t="shared" si="3"/>
        <v/>
      </c>
      <c r="G6409" s="151"/>
      <c r="H6409" s="156"/>
      <c r="I6409" s="157"/>
      <c r="J6409" s="158"/>
      <c r="M6409" s="159"/>
      <c r="N6409" s="94"/>
    </row>
    <row r="6410">
      <c r="A6410" s="107">
        <v>1631212.0</v>
      </c>
      <c r="B6410" s="116" t="s">
        <v>244</v>
      </c>
      <c r="C6410" s="116" t="s">
        <v>1603</v>
      </c>
      <c r="D6410" s="100" t="str">
        <f t="shared" si="1"/>
        <v/>
      </c>
      <c r="E6410" s="100" t="str">
        <f t="shared" si="2"/>
        <v/>
      </c>
      <c r="F6410" s="100" t="str">
        <f t="shared" si="3"/>
        <v/>
      </c>
      <c r="G6410" s="151"/>
      <c r="H6410" s="160"/>
      <c r="I6410" s="157"/>
      <c r="J6410" s="161"/>
      <c r="M6410" s="159"/>
      <c r="N6410" s="94"/>
    </row>
    <row r="6411">
      <c r="A6411" s="21">
        <v>1631212.0</v>
      </c>
      <c r="B6411" s="22" t="s">
        <v>245</v>
      </c>
      <c r="C6411" s="22" t="s">
        <v>1603</v>
      </c>
      <c r="D6411" s="100" t="str">
        <f t="shared" si="1"/>
        <v/>
      </c>
      <c r="E6411" s="100" t="str">
        <f t="shared" si="2"/>
        <v/>
      </c>
      <c r="F6411" s="100" t="str">
        <f t="shared" si="3"/>
        <v/>
      </c>
      <c r="G6411" s="151"/>
      <c r="H6411" s="156"/>
      <c r="I6411" s="157"/>
      <c r="J6411" s="158"/>
      <c r="M6411" s="159"/>
      <c r="N6411" s="94"/>
    </row>
    <row r="6412">
      <c r="A6412" s="107">
        <v>1631212.0</v>
      </c>
      <c r="B6412" s="116" t="s">
        <v>246</v>
      </c>
      <c r="C6412" s="116" t="s">
        <v>1603</v>
      </c>
      <c r="D6412" s="100" t="str">
        <f t="shared" si="1"/>
        <v/>
      </c>
      <c r="E6412" s="100" t="str">
        <f t="shared" si="2"/>
        <v/>
      </c>
      <c r="F6412" s="100" t="str">
        <f t="shared" si="3"/>
        <v/>
      </c>
      <c r="G6412" s="151"/>
      <c r="H6412" s="160"/>
      <c r="I6412" s="157"/>
      <c r="J6412" s="161"/>
      <c r="M6412" s="159"/>
      <c r="N6412" s="94"/>
    </row>
    <row r="6413">
      <c r="A6413" s="149">
        <v>1631212.0</v>
      </c>
      <c r="B6413" s="140" t="s">
        <v>247</v>
      </c>
      <c r="C6413" s="140" t="s">
        <v>1603</v>
      </c>
      <c r="D6413" s="100" t="str">
        <f t="shared" si="1"/>
        <v/>
      </c>
      <c r="E6413" s="100" t="str">
        <f t="shared" si="2"/>
        <v/>
      </c>
      <c r="F6413" s="100" t="str">
        <f t="shared" si="3"/>
        <v/>
      </c>
      <c r="G6413" s="151"/>
      <c r="H6413" s="156"/>
      <c r="I6413" s="157"/>
      <c r="J6413" s="158"/>
      <c r="M6413" s="159"/>
      <c r="N6413" s="94"/>
    </row>
    <row r="6414">
      <c r="A6414" s="21">
        <v>1631213.0</v>
      </c>
      <c r="B6414" s="22" t="s">
        <v>244</v>
      </c>
      <c r="C6414" s="22" t="s">
        <v>1604</v>
      </c>
      <c r="D6414" s="100" t="str">
        <f t="shared" si="1"/>
        <v/>
      </c>
      <c r="E6414" s="100" t="str">
        <f t="shared" si="2"/>
        <v/>
      </c>
      <c r="F6414" s="100" t="str">
        <f t="shared" si="3"/>
        <v/>
      </c>
      <c r="G6414" s="151"/>
      <c r="H6414" s="160"/>
      <c r="I6414" s="157"/>
      <c r="J6414" s="161"/>
      <c r="M6414" s="159"/>
      <c r="N6414" s="94"/>
    </row>
    <row r="6415">
      <c r="A6415" s="107">
        <v>1631213.0</v>
      </c>
      <c r="B6415" s="116" t="s">
        <v>246</v>
      </c>
      <c r="C6415" s="116" t="s">
        <v>1604</v>
      </c>
      <c r="D6415" s="100" t="str">
        <f t="shared" si="1"/>
        <v/>
      </c>
      <c r="E6415" s="100" t="str">
        <f t="shared" si="2"/>
        <v/>
      </c>
      <c r="F6415" s="100" t="str">
        <f t="shared" si="3"/>
        <v/>
      </c>
      <c r="G6415" s="151"/>
      <c r="H6415" s="156"/>
      <c r="I6415" s="157"/>
      <c r="J6415" s="158"/>
      <c r="M6415" s="159"/>
      <c r="N6415" s="94"/>
    </row>
    <row r="6416">
      <c r="A6416" s="149">
        <v>1631213.0</v>
      </c>
      <c r="B6416" s="140" t="s">
        <v>247</v>
      </c>
      <c r="C6416" s="140" t="s">
        <v>1604</v>
      </c>
      <c r="D6416" s="100" t="str">
        <f t="shared" si="1"/>
        <v/>
      </c>
      <c r="E6416" s="100" t="str">
        <f t="shared" si="2"/>
        <v/>
      </c>
      <c r="F6416" s="100" t="str">
        <f t="shared" si="3"/>
        <v/>
      </c>
      <c r="G6416" s="151"/>
      <c r="H6416" s="160"/>
      <c r="I6416" s="157"/>
      <c r="J6416" s="161"/>
      <c r="M6416" s="159"/>
      <c r="N6416" s="94"/>
    </row>
    <row r="6417">
      <c r="A6417" s="107">
        <v>1631214.0</v>
      </c>
      <c r="B6417" s="116" t="s">
        <v>244</v>
      </c>
      <c r="C6417" s="116" t="s">
        <v>1605</v>
      </c>
      <c r="D6417" s="100" t="str">
        <f t="shared" si="1"/>
        <v/>
      </c>
      <c r="E6417" s="100" t="str">
        <f t="shared" si="2"/>
        <v/>
      </c>
      <c r="F6417" s="100" t="str">
        <f t="shared" si="3"/>
        <v/>
      </c>
      <c r="G6417" s="151"/>
      <c r="H6417" s="156"/>
      <c r="I6417" s="157"/>
      <c r="J6417" s="158"/>
      <c r="M6417" s="159"/>
      <c r="N6417" s="94"/>
    </row>
    <row r="6418">
      <c r="A6418" s="107">
        <v>1631214.0</v>
      </c>
      <c r="B6418" s="116" t="s">
        <v>245</v>
      </c>
      <c r="C6418" s="116" t="s">
        <v>1605</v>
      </c>
      <c r="D6418" s="100" t="str">
        <f t="shared" si="1"/>
        <v/>
      </c>
      <c r="E6418" s="100" t="str">
        <f t="shared" si="2"/>
        <v/>
      </c>
      <c r="F6418" s="100" t="str">
        <f t="shared" si="3"/>
        <v/>
      </c>
      <c r="G6418" s="151"/>
      <c r="H6418" s="160"/>
      <c r="I6418" s="157"/>
      <c r="J6418" s="161"/>
      <c r="M6418" s="159"/>
      <c r="N6418" s="94"/>
    </row>
    <row r="6419">
      <c r="A6419" s="107">
        <v>1631214.0</v>
      </c>
      <c r="B6419" s="116" t="s">
        <v>246</v>
      </c>
      <c r="C6419" s="116" t="s">
        <v>1605</v>
      </c>
      <c r="D6419" s="100" t="str">
        <f t="shared" si="1"/>
        <v/>
      </c>
      <c r="E6419" s="100" t="str">
        <f t="shared" si="2"/>
        <v/>
      </c>
      <c r="F6419" s="100" t="str">
        <f t="shared" si="3"/>
        <v/>
      </c>
      <c r="G6419" s="151"/>
      <c r="H6419" s="156"/>
      <c r="I6419" s="157"/>
      <c r="J6419" s="158"/>
      <c r="M6419" s="159"/>
      <c r="N6419" s="94"/>
    </row>
    <row r="6420">
      <c r="A6420" s="107">
        <v>1631216.0</v>
      </c>
      <c r="B6420" s="116" t="s">
        <v>244</v>
      </c>
      <c r="C6420" s="116" t="s">
        <v>1606</v>
      </c>
      <c r="D6420" s="100" t="str">
        <f t="shared" si="1"/>
        <v/>
      </c>
      <c r="E6420" s="100" t="str">
        <f t="shared" si="2"/>
        <v/>
      </c>
      <c r="F6420" s="100" t="str">
        <f t="shared" si="3"/>
        <v/>
      </c>
      <c r="G6420" s="151"/>
      <c r="H6420" s="160"/>
      <c r="I6420" s="157"/>
      <c r="J6420" s="161"/>
      <c r="M6420" s="159"/>
      <c r="N6420" s="94"/>
    </row>
    <row r="6421">
      <c r="A6421" s="21">
        <v>1631216.0</v>
      </c>
      <c r="B6421" s="22" t="s">
        <v>245</v>
      </c>
      <c r="C6421" s="22" t="s">
        <v>1606</v>
      </c>
      <c r="D6421" s="100" t="str">
        <f t="shared" si="1"/>
        <v/>
      </c>
      <c r="E6421" s="100" t="str">
        <f t="shared" si="2"/>
        <v/>
      </c>
      <c r="F6421" s="100" t="str">
        <f t="shared" si="3"/>
        <v/>
      </c>
      <c r="G6421" s="151"/>
      <c r="H6421" s="156"/>
      <c r="I6421" s="157"/>
      <c r="J6421" s="158"/>
      <c r="M6421" s="159"/>
      <c r="N6421" s="94"/>
    </row>
    <row r="6422">
      <c r="A6422" s="107">
        <v>1631216.0</v>
      </c>
      <c r="B6422" s="116" t="s">
        <v>246</v>
      </c>
      <c r="C6422" s="116" t="s">
        <v>1606</v>
      </c>
      <c r="D6422" s="100" t="str">
        <f t="shared" si="1"/>
        <v/>
      </c>
      <c r="E6422" s="100" t="str">
        <f t="shared" si="2"/>
        <v/>
      </c>
      <c r="F6422" s="100" t="str">
        <f t="shared" si="3"/>
        <v/>
      </c>
      <c r="G6422" s="151"/>
      <c r="H6422" s="160"/>
      <c r="I6422" s="157"/>
      <c r="J6422" s="161"/>
      <c r="M6422" s="159"/>
      <c r="N6422" s="94"/>
    </row>
    <row r="6423">
      <c r="A6423" s="149">
        <v>1631216.0</v>
      </c>
      <c r="B6423" s="140" t="s">
        <v>247</v>
      </c>
      <c r="C6423" s="140" t="s">
        <v>1606</v>
      </c>
      <c r="D6423" s="100" t="str">
        <f t="shared" si="1"/>
        <v/>
      </c>
      <c r="E6423" s="100" t="str">
        <f t="shared" si="2"/>
        <v/>
      </c>
      <c r="F6423" s="100" t="str">
        <f t="shared" si="3"/>
        <v/>
      </c>
      <c r="G6423" s="151"/>
      <c r="H6423" s="156"/>
      <c r="I6423" s="157"/>
      <c r="J6423" s="158"/>
      <c r="M6423" s="159"/>
      <c r="N6423" s="94"/>
    </row>
    <row r="6424">
      <c r="A6424" s="107">
        <v>1631217.0</v>
      </c>
      <c r="B6424" s="116" t="s">
        <v>244</v>
      </c>
      <c r="C6424" s="116" t="s">
        <v>1607</v>
      </c>
      <c r="D6424" s="100" t="str">
        <f t="shared" si="1"/>
        <v/>
      </c>
      <c r="E6424" s="100" t="str">
        <f t="shared" si="2"/>
        <v/>
      </c>
      <c r="F6424" s="100" t="str">
        <f t="shared" si="3"/>
        <v/>
      </c>
      <c r="G6424" s="151"/>
      <c r="H6424" s="160"/>
      <c r="I6424" s="157"/>
      <c r="J6424" s="161"/>
      <c r="M6424" s="159"/>
      <c r="N6424" s="94"/>
    </row>
    <row r="6425">
      <c r="A6425" s="21">
        <v>1631217.0</v>
      </c>
      <c r="B6425" s="22" t="s">
        <v>245</v>
      </c>
      <c r="C6425" s="116" t="s">
        <v>1607</v>
      </c>
      <c r="D6425" s="100" t="str">
        <f t="shared" si="1"/>
        <v/>
      </c>
      <c r="E6425" s="100" t="str">
        <f t="shared" si="2"/>
        <v/>
      </c>
      <c r="F6425" s="100" t="str">
        <f t="shared" si="3"/>
        <v/>
      </c>
      <c r="G6425" s="151"/>
      <c r="H6425" s="156"/>
      <c r="I6425" s="157"/>
      <c r="J6425" s="158"/>
      <c r="M6425" s="159"/>
      <c r="N6425" s="94"/>
    </row>
    <row r="6426">
      <c r="A6426" s="107">
        <v>1631217.0</v>
      </c>
      <c r="B6426" s="116" t="s">
        <v>246</v>
      </c>
      <c r="C6426" s="116" t="s">
        <v>1607</v>
      </c>
      <c r="D6426" s="100" t="str">
        <f t="shared" si="1"/>
        <v/>
      </c>
      <c r="E6426" s="100" t="str">
        <f t="shared" si="2"/>
        <v/>
      </c>
      <c r="F6426" s="100" t="str">
        <f t="shared" si="3"/>
        <v/>
      </c>
      <c r="G6426" s="151"/>
      <c r="H6426" s="160"/>
      <c r="I6426" s="157"/>
      <c r="J6426" s="161"/>
      <c r="M6426" s="159"/>
      <c r="N6426" s="94"/>
    </row>
    <row r="6427">
      <c r="A6427" s="149">
        <v>1631217.0</v>
      </c>
      <c r="B6427" s="140" t="s">
        <v>247</v>
      </c>
      <c r="C6427" s="116" t="s">
        <v>1607</v>
      </c>
      <c r="D6427" s="100" t="str">
        <f t="shared" si="1"/>
        <v/>
      </c>
      <c r="E6427" s="100" t="str">
        <f t="shared" si="2"/>
        <v/>
      </c>
      <c r="F6427" s="100" t="str">
        <f t="shared" si="3"/>
        <v/>
      </c>
      <c r="G6427" s="151"/>
      <c r="H6427" s="156"/>
      <c r="I6427" s="157"/>
      <c r="J6427" s="158"/>
      <c r="M6427" s="159"/>
      <c r="N6427" s="94"/>
    </row>
    <row r="6428">
      <c r="A6428" s="21">
        <v>1631218.0</v>
      </c>
      <c r="B6428" s="22" t="s">
        <v>245</v>
      </c>
      <c r="C6428" s="22" t="s">
        <v>1608</v>
      </c>
      <c r="D6428" s="100" t="str">
        <f t="shared" si="1"/>
        <v/>
      </c>
      <c r="E6428" s="100" t="str">
        <f t="shared" si="2"/>
        <v/>
      </c>
      <c r="F6428" s="100" t="str">
        <f t="shared" si="3"/>
        <v/>
      </c>
      <c r="G6428" s="151"/>
      <c r="H6428" s="160"/>
      <c r="I6428" s="157"/>
      <c r="J6428" s="161"/>
      <c r="M6428" s="159"/>
      <c r="N6428" s="94"/>
    </row>
    <row r="6429">
      <c r="A6429" s="107">
        <v>1631218.0</v>
      </c>
      <c r="B6429" s="116" t="s">
        <v>246</v>
      </c>
      <c r="C6429" s="116" t="s">
        <v>1608</v>
      </c>
      <c r="D6429" s="100" t="str">
        <f t="shared" si="1"/>
        <v/>
      </c>
      <c r="E6429" s="100" t="str">
        <f t="shared" si="2"/>
        <v/>
      </c>
      <c r="F6429" s="100" t="str">
        <f t="shared" si="3"/>
        <v/>
      </c>
      <c r="G6429" s="151"/>
      <c r="H6429" s="156"/>
      <c r="I6429" s="157"/>
      <c r="J6429" s="158"/>
      <c r="M6429" s="159"/>
      <c r="N6429" s="94"/>
    </row>
    <row r="6430">
      <c r="A6430" s="149">
        <v>1631218.0</v>
      </c>
      <c r="B6430" s="140" t="s">
        <v>247</v>
      </c>
      <c r="C6430" s="140" t="s">
        <v>1608</v>
      </c>
      <c r="D6430" s="100" t="str">
        <f t="shared" si="1"/>
        <v/>
      </c>
      <c r="E6430" s="100" t="str">
        <f t="shared" si="2"/>
        <v/>
      </c>
      <c r="F6430" s="100" t="str">
        <f t="shared" si="3"/>
        <v/>
      </c>
      <c r="G6430" s="151"/>
      <c r="H6430" s="160"/>
      <c r="I6430" s="157"/>
      <c r="J6430" s="161"/>
      <c r="M6430" s="159"/>
      <c r="N6430" s="94"/>
    </row>
    <row r="6431">
      <c r="A6431" s="107">
        <v>1631219.0</v>
      </c>
      <c r="B6431" s="116" t="s">
        <v>244</v>
      </c>
      <c r="C6431" s="116" t="s">
        <v>1609</v>
      </c>
      <c r="D6431" s="100" t="str">
        <f t="shared" si="1"/>
        <v/>
      </c>
      <c r="E6431" s="100" t="str">
        <f t="shared" si="2"/>
        <v/>
      </c>
      <c r="F6431" s="100" t="str">
        <f t="shared" si="3"/>
        <v/>
      </c>
      <c r="G6431" s="151"/>
      <c r="H6431" s="156"/>
      <c r="I6431" s="157"/>
      <c r="J6431" s="158"/>
      <c r="M6431" s="159"/>
      <c r="N6431" s="94"/>
    </row>
    <row r="6432">
      <c r="A6432" s="107">
        <v>1631220.0</v>
      </c>
      <c r="B6432" s="116" t="s">
        <v>244</v>
      </c>
      <c r="C6432" s="116" t="s">
        <v>1610</v>
      </c>
      <c r="D6432" s="100" t="str">
        <f t="shared" si="1"/>
        <v/>
      </c>
      <c r="E6432" s="100" t="str">
        <f t="shared" si="2"/>
        <v/>
      </c>
      <c r="F6432" s="100" t="str">
        <f t="shared" si="3"/>
        <v/>
      </c>
      <c r="G6432" s="151"/>
      <c r="H6432" s="160"/>
      <c r="I6432" s="157"/>
      <c r="J6432" s="161"/>
      <c r="M6432" s="159"/>
      <c r="N6432" s="94"/>
    </row>
    <row r="6433">
      <c r="A6433" s="107">
        <v>1631220.0</v>
      </c>
      <c r="B6433" s="116" t="s">
        <v>245</v>
      </c>
      <c r="C6433" s="116" t="s">
        <v>1610</v>
      </c>
      <c r="D6433" s="100" t="str">
        <f t="shared" si="1"/>
        <v/>
      </c>
      <c r="E6433" s="100" t="str">
        <f t="shared" si="2"/>
        <v/>
      </c>
      <c r="F6433" s="100" t="str">
        <f t="shared" si="3"/>
        <v/>
      </c>
      <c r="G6433" s="151"/>
      <c r="H6433" s="156"/>
      <c r="I6433" s="157"/>
      <c r="J6433" s="158"/>
      <c r="M6433" s="159"/>
      <c r="N6433" s="94"/>
    </row>
    <row r="6434">
      <c r="A6434" s="21">
        <v>1631221.0</v>
      </c>
      <c r="B6434" s="22" t="s">
        <v>245</v>
      </c>
      <c r="C6434" s="22" t="s">
        <v>1611</v>
      </c>
      <c r="D6434" s="100" t="str">
        <f t="shared" si="1"/>
        <v/>
      </c>
      <c r="E6434" s="100" t="str">
        <f t="shared" si="2"/>
        <v/>
      </c>
      <c r="F6434" s="100" t="str">
        <f t="shared" si="3"/>
        <v/>
      </c>
      <c r="G6434" s="151"/>
      <c r="H6434" s="160"/>
      <c r="I6434" s="157"/>
      <c r="J6434" s="161"/>
      <c r="M6434" s="159"/>
      <c r="N6434" s="94"/>
    </row>
    <row r="6435">
      <c r="A6435" s="107">
        <v>1631221.0</v>
      </c>
      <c r="B6435" s="116" t="s">
        <v>246</v>
      </c>
      <c r="C6435" s="116" t="s">
        <v>1611</v>
      </c>
      <c r="D6435" s="100" t="str">
        <f t="shared" si="1"/>
        <v/>
      </c>
      <c r="E6435" s="100" t="str">
        <f t="shared" si="2"/>
        <v/>
      </c>
      <c r="F6435" s="100" t="str">
        <f t="shared" si="3"/>
        <v/>
      </c>
      <c r="G6435" s="151"/>
      <c r="H6435" s="156"/>
      <c r="I6435" s="157"/>
      <c r="J6435" s="158"/>
      <c r="M6435" s="159"/>
      <c r="N6435" s="94"/>
    </row>
    <row r="6436">
      <c r="A6436" s="149">
        <v>1631221.0</v>
      </c>
      <c r="B6436" s="140" t="s">
        <v>247</v>
      </c>
      <c r="C6436" s="140" t="s">
        <v>1611</v>
      </c>
      <c r="D6436" s="100" t="str">
        <f t="shared" si="1"/>
        <v/>
      </c>
      <c r="E6436" s="100" t="str">
        <f t="shared" si="2"/>
        <v/>
      </c>
      <c r="F6436" s="100" t="str">
        <f t="shared" si="3"/>
        <v/>
      </c>
      <c r="G6436" s="151"/>
      <c r="H6436" s="160"/>
      <c r="I6436" s="157"/>
      <c r="J6436" s="161"/>
      <c r="M6436" s="159"/>
      <c r="N6436" s="94"/>
    </row>
    <row r="6437">
      <c r="A6437" s="107">
        <v>1631222.0</v>
      </c>
      <c r="B6437" s="116" t="s">
        <v>244</v>
      </c>
      <c r="C6437" s="116" t="s">
        <v>1612</v>
      </c>
      <c r="D6437" s="100" t="str">
        <f t="shared" si="1"/>
        <v/>
      </c>
      <c r="E6437" s="100" t="str">
        <f t="shared" si="2"/>
        <v/>
      </c>
      <c r="F6437" s="100" t="str">
        <f t="shared" si="3"/>
        <v/>
      </c>
      <c r="G6437" s="151"/>
      <c r="H6437" s="156"/>
      <c r="I6437" s="157"/>
      <c r="J6437" s="158"/>
      <c r="M6437" s="159"/>
      <c r="N6437" s="94"/>
    </row>
    <row r="6438">
      <c r="A6438" s="21">
        <v>1631222.0</v>
      </c>
      <c r="B6438" s="22" t="s">
        <v>245</v>
      </c>
      <c r="C6438" s="22" t="s">
        <v>1612</v>
      </c>
      <c r="D6438" s="100" t="str">
        <f t="shared" si="1"/>
        <v/>
      </c>
      <c r="E6438" s="100" t="str">
        <f t="shared" si="2"/>
        <v/>
      </c>
      <c r="F6438" s="100" t="str">
        <f t="shared" si="3"/>
        <v/>
      </c>
      <c r="G6438" s="151"/>
      <c r="H6438" s="160"/>
      <c r="I6438" s="157"/>
      <c r="J6438" s="161"/>
      <c r="M6438" s="159"/>
      <c r="N6438" s="94"/>
    </row>
    <row r="6439">
      <c r="A6439" s="107">
        <v>1631222.0</v>
      </c>
      <c r="B6439" s="116" t="s">
        <v>246</v>
      </c>
      <c r="C6439" s="116" t="s">
        <v>1612</v>
      </c>
      <c r="D6439" s="100" t="str">
        <f t="shared" si="1"/>
        <v/>
      </c>
      <c r="E6439" s="100" t="str">
        <f t="shared" si="2"/>
        <v/>
      </c>
      <c r="F6439" s="100" t="str">
        <f t="shared" si="3"/>
        <v/>
      </c>
      <c r="G6439" s="151"/>
      <c r="H6439" s="156"/>
      <c r="I6439" s="157"/>
      <c r="J6439" s="158"/>
      <c r="M6439" s="159"/>
      <c r="N6439" s="94"/>
    </row>
    <row r="6440">
      <c r="A6440" s="149">
        <v>1631222.0</v>
      </c>
      <c r="B6440" s="140" t="s">
        <v>247</v>
      </c>
      <c r="C6440" s="140" t="s">
        <v>1612</v>
      </c>
      <c r="D6440" s="100" t="str">
        <f t="shared" si="1"/>
        <v/>
      </c>
      <c r="E6440" s="100" t="str">
        <f t="shared" si="2"/>
        <v/>
      </c>
      <c r="F6440" s="100" t="str">
        <f t="shared" si="3"/>
        <v/>
      </c>
      <c r="G6440" s="151"/>
      <c r="H6440" s="160"/>
      <c r="I6440" s="157"/>
      <c r="J6440" s="161"/>
      <c r="M6440" s="159"/>
      <c r="N6440" s="94"/>
    </row>
    <row r="6441">
      <c r="A6441" s="107">
        <v>1631223.0</v>
      </c>
      <c r="B6441" s="116" t="s">
        <v>244</v>
      </c>
      <c r="C6441" s="116" t="s">
        <v>1613</v>
      </c>
      <c r="D6441" s="100" t="str">
        <f t="shared" si="1"/>
        <v/>
      </c>
      <c r="E6441" s="100" t="str">
        <f t="shared" si="2"/>
        <v/>
      </c>
      <c r="F6441" s="100" t="str">
        <f t="shared" si="3"/>
        <v/>
      </c>
      <c r="G6441" s="151"/>
      <c r="H6441" s="156"/>
      <c r="I6441" s="157"/>
      <c r="J6441" s="158"/>
      <c r="M6441" s="159"/>
      <c r="N6441" s="94"/>
    </row>
    <row r="6442">
      <c r="A6442" s="107">
        <v>1631223.0</v>
      </c>
      <c r="B6442" s="116" t="s">
        <v>245</v>
      </c>
      <c r="C6442" s="116" t="s">
        <v>1613</v>
      </c>
      <c r="D6442" s="100" t="str">
        <f t="shared" si="1"/>
        <v/>
      </c>
      <c r="E6442" s="100" t="str">
        <f t="shared" si="2"/>
        <v/>
      </c>
      <c r="F6442" s="100" t="str">
        <f t="shared" si="3"/>
        <v/>
      </c>
      <c r="G6442" s="151"/>
      <c r="H6442" s="160"/>
      <c r="I6442" s="157"/>
      <c r="J6442" s="161"/>
      <c r="M6442" s="159"/>
      <c r="N6442" s="94"/>
    </row>
    <row r="6443">
      <c r="A6443" s="107">
        <v>1631223.0</v>
      </c>
      <c r="B6443" s="116" t="s">
        <v>246</v>
      </c>
      <c r="C6443" s="116" t="s">
        <v>1613</v>
      </c>
      <c r="D6443" s="100" t="str">
        <f t="shared" si="1"/>
        <v/>
      </c>
      <c r="E6443" s="100" t="str">
        <f t="shared" si="2"/>
        <v/>
      </c>
      <c r="F6443" s="100" t="str">
        <f t="shared" si="3"/>
        <v/>
      </c>
      <c r="G6443" s="151"/>
      <c r="H6443" s="156"/>
      <c r="I6443" s="157"/>
      <c r="J6443" s="158"/>
      <c r="M6443" s="159"/>
      <c r="N6443" s="94"/>
    </row>
    <row r="6444">
      <c r="A6444" s="107">
        <v>1631223.0</v>
      </c>
      <c r="B6444" s="24" t="s">
        <v>247</v>
      </c>
      <c r="C6444" s="24" t="s">
        <v>1613</v>
      </c>
      <c r="D6444" s="100" t="str">
        <f t="shared" si="1"/>
        <v/>
      </c>
      <c r="E6444" s="100" t="str">
        <f t="shared" si="2"/>
        <v/>
      </c>
      <c r="F6444" s="100" t="str">
        <f t="shared" si="3"/>
        <v/>
      </c>
      <c r="G6444" s="151"/>
      <c r="H6444" s="160"/>
      <c r="I6444" s="157"/>
      <c r="J6444" s="161"/>
      <c r="M6444" s="159"/>
      <c r="N6444" s="94"/>
    </row>
    <row r="6445">
      <c r="A6445" s="21">
        <v>1631230.0</v>
      </c>
      <c r="B6445" s="22" t="s">
        <v>244</v>
      </c>
      <c r="C6445" s="22" t="s">
        <v>1614</v>
      </c>
      <c r="D6445" s="100" t="str">
        <f t="shared" si="1"/>
        <v/>
      </c>
      <c r="E6445" s="100" t="str">
        <f t="shared" si="2"/>
        <v/>
      </c>
      <c r="F6445" s="100" t="str">
        <f t="shared" si="3"/>
        <v/>
      </c>
      <c r="G6445" s="151"/>
      <c r="H6445" s="156"/>
      <c r="I6445" s="157"/>
      <c r="J6445" s="158"/>
      <c r="M6445" s="159"/>
      <c r="N6445" s="94"/>
    </row>
    <row r="6446">
      <c r="A6446" s="165">
        <v>1631230.0</v>
      </c>
      <c r="B6446" s="132" t="s">
        <v>245</v>
      </c>
      <c r="C6446" s="132" t="s">
        <v>1614</v>
      </c>
      <c r="D6446" s="100" t="str">
        <f t="shared" si="1"/>
        <v/>
      </c>
      <c r="E6446" s="100" t="str">
        <f t="shared" si="2"/>
        <v/>
      </c>
      <c r="F6446" s="100" t="str">
        <f t="shared" si="3"/>
        <v/>
      </c>
      <c r="G6446" s="151"/>
      <c r="H6446" s="160"/>
      <c r="I6446" s="157"/>
      <c r="J6446" s="161"/>
      <c r="M6446" s="159"/>
      <c r="N6446" s="94"/>
    </row>
    <row r="6447">
      <c r="A6447" s="107">
        <v>1631230.0</v>
      </c>
      <c r="B6447" s="116" t="s">
        <v>246</v>
      </c>
      <c r="C6447" s="116" t="s">
        <v>1614</v>
      </c>
      <c r="D6447" s="100" t="str">
        <f t="shared" si="1"/>
        <v/>
      </c>
      <c r="E6447" s="100" t="str">
        <f t="shared" si="2"/>
        <v/>
      </c>
      <c r="F6447" s="100" t="str">
        <f t="shared" si="3"/>
        <v/>
      </c>
      <c r="G6447" s="151"/>
      <c r="H6447" s="156"/>
      <c r="I6447" s="157"/>
      <c r="J6447" s="158"/>
      <c r="M6447" s="159"/>
      <c r="N6447" s="94"/>
    </row>
    <row r="6448">
      <c r="A6448" s="149">
        <v>1631230.0</v>
      </c>
      <c r="B6448" s="140" t="s">
        <v>247</v>
      </c>
      <c r="C6448" s="140" t="s">
        <v>1614</v>
      </c>
      <c r="D6448" s="100" t="str">
        <f t="shared" si="1"/>
        <v/>
      </c>
      <c r="E6448" s="100" t="str">
        <f t="shared" si="2"/>
        <v/>
      </c>
      <c r="F6448" s="100" t="str">
        <f t="shared" si="3"/>
        <v/>
      </c>
      <c r="G6448" s="151"/>
      <c r="H6448" s="160"/>
      <c r="I6448" s="157"/>
      <c r="J6448" s="161"/>
      <c r="M6448" s="159"/>
      <c r="N6448" s="94"/>
    </row>
    <row r="6449">
      <c r="A6449" s="149">
        <v>1631232.0</v>
      </c>
      <c r="B6449" s="116" t="s">
        <v>246</v>
      </c>
      <c r="C6449" s="140" t="s">
        <v>1615</v>
      </c>
      <c r="D6449" s="100" t="str">
        <f t="shared" si="1"/>
        <v/>
      </c>
      <c r="E6449" s="100" t="str">
        <f t="shared" si="2"/>
        <v/>
      </c>
      <c r="F6449" s="100" t="str">
        <f t="shared" si="3"/>
        <v/>
      </c>
      <c r="G6449" s="151"/>
      <c r="H6449" s="156"/>
      <c r="I6449" s="157"/>
      <c r="J6449" s="158"/>
      <c r="M6449" s="159"/>
      <c r="N6449" s="94"/>
    </row>
    <row r="6450">
      <c r="A6450" s="21">
        <v>1631241.0</v>
      </c>
      <c r="B6450" s="22" t="s">
        <v>245</v>
      </c>
      <c r="C6450" s="22" t="s">
        <v>1616</v>
      </c>
      <c r="D6450" s="100" t="str">
        <f t="shared" si="1"/>
        <v/>
      </c>
      <c r="E6450" s="100" t="str">
        <f t="shared" si="2"/>
        <v/>
      </c>
      <c r="F6450" s="100" t="str">
        <f t="shared" si="3"/>
        <v/>
      </c>
      <c r="G6450" s="151"/>
      <c r="H6450" s="160"/>
      <c r="I6450" s="157"/>
      <c r="J6450" s="161"/>
      <c r="M6450" s="159"/>
      <c r="N6450" s="94"/>
    </row>
    <row r="6451">
      <c r="A6451" s="107">
        <v>1631243.0</v>
      </c>
      <c r="B6451" s="116" t="s">
        <v>245</v>
      </c>
      <c r="C6451" s="116" t="s">
        <v>1617</v>
      </c>
      <c r="D6451" s="100" t="str">
        <f t="shared" si="1"/>
        <v/>
      </c>
      <c r="E6451" s="100" t="str">
        <f t="shared" si="2"/>
        <v/>
      </c>
      <c r="F6451" s="100" t="str">
        <f t="shared" si="3"/>
        <v/>
      </c>
      <c r="G6451" s="151"/>
      <c r="H6451" s="156"/>
      <c r="I6451" s="157"/>
      <c r="J6451" s="158"/>
      <c r="M6451" s="159"/>
      <c r="N6451" s="94"/>
    </row>
    <row r="6452">
      <c r="A6452" s="107">
        <v>1631243.0</v>
      </c>
      <c r="B6452" s="116" t="s">
        <v>246</v>
      </c>
      <c r="C6452" s="116" t="s">
        <v>1617</v>
      </c>
      <c r="D6452" s="100" t="str">
        <f t="shared" si="1"/>
        <v/>
      </c>
      <c r="E6452" s="100" t="str">
        <f t="shared" si="2"/>
        <v/>
      </c>
      <c r="F6452" s="100" t="str">
        <f t="shared" si="3"/>
        <v/>
      </c>
      <c r="G6452" s="151"/>
      <c r="H6452" s="160"/>
      <c r="I6452" s="157"/>
      <c r="J6452" s="161"/>
      <c r="M6452" s="159"/>
      <c r="N6452" s="94"/>
    </row>
    <row r="6453">
      <c r="A6453" s="149">
        <v>1631243.0</v>
      </c>
      <c r="B6453" s="140" t="s">
        <v>247</v>
      </c>
      <c r="C6453" s="140" t="s">
        <v>1617</v>
      </c>
      <c r="D6453" s="100" t="str">
        <f t="shared" si="1"/>
        <v/>
      </c>
      <c r="E6453" s="100" t="str">
        <f t="shared" si="2"/>
        <v/>
      </c>
      <c r="F6453" s="100" t="str">
        <f t="shared" si="3"/>
        <v/>
      </c>
      <c r="G6453" s="151"/>
      <c r="H6453" s="156"/>
      <c r="I6453" s="157"/>
      <c r="J6453" s="158"/>
      <c r="M6453" s="159"/>
      <c r="N6453" s="94"/>
    </row>
    <row r="6454">
      <c r="A6454" s="21">
        <v>1631245.0</v>
      </c>
      <c r="B6454" s="22" t="s">
        <v>244</v>
      </c>
      <c r="C6454" s="22" t="s">
        <v>1618</v>
      </c>
      <c r="D6454" s="100" t="str">
        <f t="shared" si="1"/>
        <v/>
      </c>
      <c r="E6454" s="100" t="str">
        <f t="shared" si="2"/>
        <v/>
      </c>
      <c r="F6454" s="100" t="str">
        <f t="shared" si="3"/>
        <v/>
      </c>
      <c r="G6454" s="151"/>
      <c r="H6454" s="160"/>
      <c r="I6454" s="157"/>
      <c r="J6454" s="161"/>
      <c r="M6454" s="159"/>
      <c r="N6454" s="94"/>
    </row>
    <row r="6455">
      <c r="A6455" s="107">
        <v>1631245.0</v>
      </c>
      <c r="B6455" s="116" t="s">
        <v>245</v>
      </c>
      <c r="C6455" s="116" t="s">
        <v>1618</v>
      </c>
      <c r="D6455" s="100" t="str">
        <f t="shared" si="1"/>
        <v/>
      </c>
      <c r="E6455" s="100" t="str">
        <f t="shared" si="2"/>
        <v/>
      </c>
      <c r="F6455" s="100" t="str">
        <f t="shared" si="3"/>
        <v/>
      </c>
      <c r="G6455" s="151"/>
      <c r="H6455" s="156"/>
      <c r="I6455" s="157"/>
      <c r="J6455" s="158"/>
      <c r="M6455" s="159"/>
      <c r="N6455" s="94"/>
    </row>
    <row r="6456">
      <c r="A6456" s="107">
        <v>1631245.0</v>
      </c>
      <c r="B6456" s="116" t="s">
        <v>246</v>
      </c>
      <c r="C6456" s="116" t="s">
        <v>1618</v>
      </c>
      <c r="D6456" s="100" t="str">
        <f t="shared" si="1"/>
        <v/>
      </c>
      <c r="E6456" s="100" t="str">
        <f t="shared" si="2"/>
        <v/>
      </c>
      <c r="F6456" s="100" t="str">
        <f t="shared" si="3"/>
        <v/>
      </c>
      <c r="G6456" s="151"/>
      <c r="H6456" s="160"/>
      <c r="I6456" s="157"/>
      <c r="J6456" s="161"/>
      <c r="M6456" s="159"/>
      <c r="N6456" s="94"/>
    </row>
    <row r="6457">
      <c r="A6457" s="149">
        <v>1631245.0</v>
      </c>
      <c r="B6457" s="140" t="s">
        <v>247</v>
      </c>
      <c r="C6457" s="140" t="s">
        <v>1618</v>
      </c>
      <c r="D6457" s="100" t="str">
        <f t="shared" si="1"/>
        <v/>
      </c>
      <c r="E6457" s="100" t="str">
        <f t="shared" si="2"/>
        <v/>
      </c>
      <c r="F6457" s="100" t="str">
        <f t="shared" si="3"/>
        <v/>
      </c>
      <c r="G6457" s="151"/>
      <c r="H6457" s="156"/>
      <c r="I6457" s="157"/>
      <c r="J6457" s="158"/>
      <c r="M6457" s="159"/>
      <c r="N6457" s="94"/>
    </row>
    <row r="6458">
      <c r="A6458" s="21">
        <v>1631246.0</v>
      </c>
      <c r="B6458" s="22" t="s">
        <v>244</v>
      </c>
      <c r="C6458" s="116" t="s">
        <v>1619</v>
      </c>
      <c r="D6458" s="100" t="str">
        <f t="shared" si="1"/>
        <v/>
      </c>
      <c r="E6458" s="100" t="str">
        <f t="shared" si="2"/>
        <v/>
      </c>
      <c r="F6458" s="100" t="str">
        <f t="shared" si="3"/>
        <v/>
      </c>
      <c r="G6458" s="151"/>
      <c r="H6458" s="160"/>
      <c r="I6458" s="157"/>
      <c r="J6458" s="161"/>
      <c r="M6458" s="159"/>
      <c r="N6458" s="94"/>
    </row>
    <row r="6459">
      <c r="A6459" s="107">
        <v>1631246.0</v>
      </c>
      <c r="B6459" s="116" t="s">
        <v>245</v>
      </c>
      <c r="C6459" s="116" t="s">
        <v>1619</v>
      </c>
      <c r="D6459" s="100" t="str">
        <f t="shared" si="1"/>
        <v/>
      </c>
      <c r="E6459" s="100" t="str">
        <f t="shared" si="2"/>
        <v/>
      </c>
      <c r="F6459" s="100" t="str">
        <f t="shared" si="3"/>
        <v/>
      </c>
      <c r="G6459" s="151"/>
      <c r="H6459" s="156"/>
      <c r="I6459" s="157"/>
      <c r="J6459" s="158"/>
      <c r="M6459" s="159"/>
      <c r="N6459" s="94"/>
    </row>
    <row r="6460">
      <c r="A6460" s="21">
        <v>1631246.0</v>
      </c>
      <c r="B6460" s="22" t="s">
        <v>246</v>
      </c>
      <c r="C6460" s="22" t="s">
        <v>1619</v>
      </c>
      <c r="D6460" s="100" t="str">
        <f t="shared" si="1"/>
        <v/>
      </c>
      <c r="E6460" s="100" t="str">
        <f t="shared" si="2"/>
        <v/>
      </c>
      <c r="F6460" s="100" t="str">
        <f t="shared" si="3"/>
        <v/>
      </c>
      <c r="G6460" s="151"/>
      <c r="H6460" s="160"/>
      <c r="I6460" s="157"/>
      <c r="J6460" s="161"/>
      <c r="M6460" s="159"/>
      <c r="N6460" s="94"/>
    </row>
    <row r="6461">
      <c r="A6461" s="149">
        <v>1631246.0</v>
      </c>
      <c r="B6461" s="140" t="s">
        <v>247</v>
      </c>
      <c r="C6461" s="116" t="s">
        <v>1619</v>
      </c>
      <c r="D6461" s="100" t="str">
        <f t="shared" si="1"/>
        <v/>
      </c>
      <c r="E6461" s="100" t="str">
        <f t="shared" si="2"/>
        <v/>
      </c>
      <c r="F6461" s="100" t="str">
        <f t="shared" si="3"/>
        <v/>
      </c>
      <c r="G6461" s="151"/>
      <c r="H6461" s="156"/>
      <c r="I6461" s="157"/>
      <c r="J6461" s="158"/>
      <c r="M6461" s="159"/>
      <c r="N6461" s="94"/>
    </row>
    <row r="6462">
      <c r="A6462" s="21">
        <v>1631247.0</v>
      </c>
      <c r="B6462" s="22" t="s">
        <v>246</v>
      </c>
      <c r="C6462" s="22" t="s">
        <v>1620</v>
      </c>
      <c r="D6462" s="100" t="str">
        <f t="shared" si="1"/>
        <v/>
      </c>
      <c r="E6462" s="100" t="str">
        <f t="shared" si="2"/>
        <v/>
      </c>
      <c r="F6462" s="100" t="str">
        <f t="shared" si="3"/>
        <v/>
      </c>
      <c r="G6462" s="151"/>
      <c r="H6462" s="160"/>
      <c r="I6462" s="157"/>
      <c r="J6462" s="161"/>
      <c r="M6462" s="159"/>
      <c r="N6462" s="94"/>
    </row>
    <row r="6463">
      <c r="A6463" s="149">
        <v>1631247.0</v>
      </c>
      <c r="B6463" s="140" t="s">
        <v>247</v>
      </c>
      <c r="C6463" s="140" t="s">
        <v>1620</v>
      </c>
      <c r="D6463" s="100" t="str">
        <f t="shared" si="1"/>
        <v/>
      </c>
      <c r="E6463" s="100" t="str">
        <f t="shared" si="2"/>
        <v/>
      </c>
      <c r="F6463" s="100" t="str">
        <f t="shared" si="3"/>
        <v/>
      </c>
      <c r="G6463" s="151"/>
      <c r="H6463" s="156"/>
      <c r="I6463" s="157"/>
      <c r="J6463" s="158"/>
      <c r="M6463" s="159"/>
      <c r="N6463" s="94"/>
    </row>
    <row r="6464">
      <c r="A6464" s="165">
        <v>1631248.0</v>
      </c>
      <c r="B6464" s="132" t="s">
        <v>246</v>
      </c>
      <c r="C6464" s="132" t="s">
        <v>1621</v>
      </c>
      <c r="D6464" s="100" t="str">
        <f t="shared" si="1"/>
        <v/>
      </c>
      <c r="E6464" s="100" t="str">
        <f t="shared" si="2"/>
        <v/>
      </c>
      <c r="F6464" s="100" t="str">
        <f t="shared" si="3"/>
        <v/>
      </c>
      <c r="G6464" s="151"/>
      <c r="H6464" s="160"/>
      <c r="I6464" s="157"/>
      <c r="J6464" s="161"/>
      <c r="M6464" s="159"/>
      <c r="N6464" s="94"/>
    </row>
    <row r="6465">
      <c r="A6465" s="169">
        <v>1631248.0</v>
      </c>
      <c r="B6465" s="131" t="s">
        <v>247</v>
      </c>
      <c r="C6465" s="131" t="s">
        <v>1621</v>
      </c>
      <c r="D6465" s="100" t="str">
        <f t="shared" si="1"/>
        <v/>
      </c>
      <c r="E6465" s="100" t="str">
        <f t="shared" si="2"/>
        <v/>
      </c>
      <c r="F6465" s="100" t="str">
        <f t="shared" si="3"/>
        <v/>
      </c>
      <c r="G6465" s="151"/>
      <c r="H6465" s="156"/>
      <c r="I6465" s="157"/>
      <c r="J6465" s="158"/>
      <c r="M6465" s="159"/>
      <c r="N6465" s="94"/>
    </row>
    <row r="6466">
      <c r="A6466" s="107">
        <v>1631250.0</v>
      </c>
      <c r="B6466" s="116" t="s">
        <v>245</v>
      </c>
      <c r="C6466" s="116" t="s">
        <v>1622</v>
      </c>
      <c r="D6466" s="100" t="str">
        <f t="shared" si="1"/>
        <v/>
      </c>
      <c r="E6466" s="100" t="str">
        <f t="shared" si="2"/>
        <v/>
      </c>
      <c r="F6466" s="100" t="str">
        <f t="shared" si="3"/>
        <v/>
      </c>
      <c r="G6466" s="151"/>
      <c r="H6466" s="160"/>
      <c r="I6466" s="157"/>
      <c r="J6466" s="161"/>
      <c r="M6466" s="159"/>
      <c r="N6466" s="94"/>
    </row>
    <row r="6467">
      <c r="A6467" s="149">
        <v>1631250.0</v>
      </c>
      <c r="B6467" s="116" t="s">
        <v>246</v>
      </c>
      <c r="C6467" s="140" t="s">
        <v>1622</v>
      </c>
      <c r="D6467" s="100" t="str">
        <f t="shared" si="1"/>
        <v/>
      </c>
      <c r="E6467" s="100" t="str">
        <f t="shared" si="2"/>
        <v/>
      </c>
      <c r="F6467" s="100" t="str">
        <f t="shared" si="3"/>
        <v/>
      </c>
      <c r="G6467" s="151"/>
      <c r="H6467" s="156"/>
      <c r="I6467" s="157"/>
      <c r="J6467" s="158"/>
      <c r="M6467" s="159"/>
      <c r="N6467" s="94"/>
    </row>
    <row r="6468">
      <c r="A6468" s="140">
        <v>1631250.0</v>
      </c>
      <c r="B6468" s="140" t="s">
        <v>247</v>
      </c>
      <c r="C6468" s="140" t="s">
        <v>1622</v>
      </c>
      <c r="D6468" s="100" t="str">
        <f t="shared" si="1"/>
        <v/>
      </c>
      <c r="E6468" s="100" t="str">
        <f t="shared" si="2"/>
        <v/>
      </c>
      <c r="F6468" s="100" t="str">
        <f t="shared" si="3"/>
        <v/>
      </c>
      <c r="G6468" s="151"/>
      <c r="H6468" s="160"/>
      <c r="I6468" s="157"/>
      <c r="J6468" s="161"/>
      <c r="M6468" s="159"/>
      <c r="N6468" s="94"/>
    </row>
    <row r="6469">
      <c r="A6469" s="21">
        <v>1631254.0</v>
      </c>
      <c r="B6469" s="22" t="s">
        <v>244</v>
      </c>
      <c r="C6469" s="116" t="s">
        <v>1623</v>
      </c>
      <c r="D6469" s="100" t="str">
        <f t="shared" si="1"/>
        <v/>
      </c>
      <c r="E6469" s="100" t="str">
        <f t="shared" si="2"/>
        <v/>
      </c>
      <c r="F6469" s="100" t="str">
        <f t="shared" si="3"/>
        <v/>
      </c>
      <c r="G6469" s="151"/>
      <c r="H6469" s="156"/>
      <c r="I6469" s="157"/>
      <c r="J6469" s="158"/>
      <c r="M6469" s="159"/>
      <c r="N6469" s="94"/>
    </row>
    <row r="6470">
      <c r="A6470" s="107">
        <v>1631254.0</v>
      </c>
      <c r="B6470" s="116" t="s">
        <v>245</v>
      </c>
      <c r="C6470" s="116" t="s">
        <v>1623</v>
      </c>
      <c r="D6470" s="100" t="str">
        <f t="shared" si="1"/>
        <v/>
      </c>
      <c r="E6470" s="100" t="str">
        <f t="shared" si="2"/>
        <v/>
      </c>
      <c r="F6470" s="100" t="str">
        <f t="shared" si="3"/>
        <v/>
      </c>
      <c r="G6470" s="151"/>
      <c r="H6470" s="160"/>
      <c r="I6470" s="157"/>
      <c r="J6470" s="161"/>
      <c r="M6470" s="159"/>
      <c r="N6470" s="94"/>
    </row>
    <row r="6471">
      <c r="A6471" s="107">
        <v>1631255.0</v>
      </c>
      <c r="B6471" s="116" t="s">
        <v>246</v>
      </c>
      <c r="C6471" s="116" t="s">
        <v>1624</v>
      </c>
      <c r="D6471" s="100" t="str">
        <f t="shared" si="1"/>
        <v/>
      </c>
      <c r="E6471" s="100" t="str">
        <f t="shared" si="2"/>
        <v/>
      </c>
      <c r="F6471" s="100" t="str">
        <f t="shared" si="3"/>
        <v/>
      </c>
      <c r="G6471" s="151"/>
      <c r="H6471" s="156"/>
      <c r="I6471" s="157"/>
      <c r="J6471" s="158"/>
      <c r="M6471" s="159"/>
      <c r="N6471" s="94"/>
    </row>
    <row r="6472">
      <c r="A6472" s="149">
        <v>1631255.0</v>
      </c>
      <c r="B6472" s="140" t="s">
        <v>247</v>
      </c>
      <c r="C6472" s="116" t="s">
        <v>1624</v>
      </c>
      <c r="D6472" s="100" t="str">
        <f t="shared" si="1"/>
        <v/>
      </c>
      <c r="E6472" s="100" t="str">
        <f t="shared" si="2"/>
        <v/>
      </c>
      <c r="F6472" s="100" t="str">
        <f t="shared" si="3"/>
        <v/>
      </c>
      <c r="G6472" s="151"/>
      <c r="H6472" s="160"/>
      <c r="I6472" s="157"/>
      <c r="J6472" s="161"/>
      <c r="M6472" s="159"/>
      <c r="N6472" s="94"/>
    </row>
    <row r="6473">
      <c r="A6473" s="107">
        <v>1631257.0</v>
      </c>
      <c r="B6473" s="116" t="s">
        <v>245</v>
      </c>
      <c r="C6473" s="116" t="s">
        <v>1625</v>
      </c>
      <c r="D6473" s="100" t="str">
        <f t="shared" si="1"/>
        <v/>
      </c>
      <c r="E6473" s="100" t="str">
        <f t="shared" si="2"/>
        <v/>
      </c>
      <c r="F6473" s="100" t="str">
        <f t="shared" si="3"/>
        <v/>
      </c>
      <c r="G6473" s="151"/>
      <c r="H6473" s="156"/>
      <c r="I6473" s="157"/>
      <c r="J6473" s="158"/>
      <c r="M6473" s="159"/>
      <c r="N6473" s="94"/>
    </row>
    <row r="6474">
      <c r="A6474" s="21">
        <v>1631260.0</v>
      </c>
      <c r="B6474" s="22" t="s">
        <v>244</v>
      </c>
      <c r="C6474" s="22" t="s">
        <v>1626</v>
      </c>
      <c r="D6474" s="100" t="str">
        <f t="shared" si="1"/>
        <v/>
      </c>
      <c r="E6474" s="100" t="str">
        <f t="shared" si="2"/>
        <v/>
      </c>
      <c r="F6474" s="100" t="str">
        <f t="shared" si="3"/>
        <v/>
      </c>
      <c r="G6474" s="151"/>
      <c r="H6474" s="160"/>
      <c r="I6474" s="157"/>
      <c r="J6474" s="161"/>
      <c r="M6474" s="159"/>
      <c r="N6474" s="94"/>
    </row>
    <row r="6475">
      <c r="A6475" s="107">
        <v>1631260.0</v>
      </c>
      <c r="B6475" s="116" t="s">
        <v>245</v>
      </c>
      <c r="C6475" s="116" t="s">
        <v>1626</v>
      </c>
      <c r="D6475" s="100" t="str">
        <f t="shared" si="1"/>
        <v/>
      </c>
      <c r="E6475" s="100" t="str">
        <f t="shared" si="2"/>
        <v/>
      </c>
      <c r="F6475" s="100" t="str">
        <f t="shared" si="3"/>
        <v/>
      </c>
      <c r="G6475" s="151"/>
      <c r="H6475" s="156"/>
      <c r="I6475" s="157"/>
      <c r="J6475" s="158"/>
      <c r="M6475" s="159"/>
      <c r="N6475" s="94"/>
    </row>
    <row r="6476">
      <c r="A6476" s="107">
        <v>1631260.0</v>
      </c>
      <c r="B6476" s="116" t="s">
        <v>246</v>
      </c>
      <c r="C6476" s="116" t="s">
        <v>1626</v>
      </c>
      <c r="D6476" s="100" t="str">
        <f t="shared" si="1"/>
        <v/>
      </c>
      <c r="E6476" s="100" t="str">
        <f t="shared" si="2"/>
        <v/>
      </c>
      <c r="F6476" s="100" t="str">
        <f t="shared" si="3"/>
        <v/>
      </c>
      <c r="G6476" s="151"/>
      <c r="H6476" s="160"/>
      <c r="I6476" s="157"/>
      <c r="J6476" s="161"/>
      <c r="M6476" s="159"/>
      <c r="N6476" s="94"/>
    </row>
    <row r="6477">
      <c r="A6477" s="149">
        <v>1631260.0</v>
      </c>
      <c r="B6477" s="140" t="s">
        <v>247</v>
      </c>
      <c r="C6477" s="140" t="s">
        <v>1626</v>
      </c>
      <c r="D6477" s="100" t="str">
        <f t="shared" si="1"/>
        <v/>
      </c>
      <c r="E6477" s="100" t="str">
        <f t="shared" si="2"/>
        <v/>
      </c>
      <c r="F6477" s="100" t="str">
        <f t="shared" si="3"/>
        <v/>
      </c>
      <c r="G6477" s="151"/>
      <c r="H6477" s="156"/>
      <c r="I6477" s="157"/>
      <c r="J6477" s="158"/>
      <c r="M6477" s="159"/>
      <c r="N6477" s="94"/>
    </row>
    <row r="6478">
      <c r="A6478" s="107">
        <v>1631262.0</v>
      </c>
      <c r="B6478" s="116" t="s">
        <v>245</v>
      </c>
      <c r="C6478" s="116" t="s">
        <v>1627</v>
      </c>
      <c r="D6478" s="100" t="str">
        <f t="shared" si="1"/>
        <v/>
      </c>
      <c r="E6478" s="100" t="str">
        <f t="shared" si="2"/>
        <v/>
      </c>
      <c r="F6478" s="100" t="str">
        <f t="shared" si="3"/>
        <v/>
      </c>
      <c r="G6478" s="151"/>
      <c r="H6478" s="160"/>
      <c r="I6478" s="171"/>
      <c r="J6478" s="161"/>
      <c r="M6478" s="159"/>
      <c r="N6478" s="94"/>
    </row>
    <row r="6479">
      <c r="A6479" s="126">
        <v>1631288.0</v>
      </c>
      <c r="B6479" s="145" t="s">
        <v>244</v>
      </c>
      <c r="C6479" s="145" t="s">
        <v>1628</v>
      </c>
      <c r="D6479" s="100" t="str">
        <f t="shared" si="1"/>
        <v/>
      </c>
      <c r="E6479" s="100" t="str">
        <f t="shared" si="2"/>
        <v/>
      </c>
      <c r="F6479" s="100" t="str">
        <f t="shared" si="3"/>
        <v/>
      </c>
      <c r="G6479" s="151"/>
      <c r="H6479" s="156"/>
      <c r="I6479" s="171"/>
      <c r="J6479" s="158"/>
      <c r="M6479" s="159"/>
      <c r="N6479" s="94"/>
    </row>
    <row r="6480">
      <c r="A6480" s="107">
        <v>1631288.0</v>
      </c>
      <c r="B6480" s="116" t="s">
        <v>245</v>
      </c>
      <c r="C6480" s="116" t="s">
        <v>1628</v>
      </c>
      <c r="D6480" s="100" t="str">
        <f t="shared" si="1"/>
        <v/>
      </c>
      <c r="E6480" s="100" t="str">
        <f t="shared" si="2"/>
        <v/>
      </c>
      <c r="F6480" s="100" t="str">
        <f t="shared" si="3"/>
        <v/>
      </c>
      <c r="G6480" s="151"/>
      <c r="H6480" s="160"/>
      <c r="I6480" s="172"/>
      <c r="J6480" s="161"/>
      <c r="M6480" s="159"/>
      <c r="N6480" s="94"/>
    </row>
    <row r="6481">
      <c r="A6481" s="107">
        <v>1631288.0</v>
      </c>
      <c r="B6481" s="116" t="s">
        <v>246</v>
      </c>
      <c r="C6481" s="116" t="s">
        <v>1628</v>
      </c>
      <c r="D6481" s="100" t="str">
        <f t="shared" si="1"/>
        <v/>
      </c>
      <c r="E6481" s="100" t="str">
        <f t="shared" si="2"/>
        <v/>
      </c>
      <c r="F6481" s="100" t="str">
        <f t="shared" si="3"/>
        <v/>
      </c>
      <c r="G6481" s="151"/>
      <c r="H6481" s="156"/>
      <c r="I6481" s="171"/>
      <c r="J6481" s="158"/>
      <c r="M6481" s="159"/>
      <c r="N6481" s="94"/>
    </row>
    <row r="6482">
      <c r="A6482" s="120">
        <v>1631288.0</v>
      </c>
      <c r="B6482" s="139" t="s">
        <v>247</v>
      </c>
      <c r="C6482" s="139" t="s">
        <v>1628</v>
      </c>
      <c r="D6482" s="100" t="str">
        <f t="shared" si="1"/>
        <v/>
      </c>
      <c r="E6482" s="100" t="str">
        <f t="shared" si="2"/>
        <v/>
      </c>
      <c r="F6482" s="100" t="str">
        <f t="shared" si="3"/>
        <v/>
      </c>
      <c r="G6482" s="151"/>
      <c r="H6482" s="160"/>
      <c r="I6482" s="171"/>
      <c r="J6482" s="161"/>
      <c r="M6482" s="159"/>
      <c r="N6482" s="94"/>
    </row>
    <row r="6483">
      <c r="A6483" s="107">
        <v>1631298.0</v>
      </c>
      <c r="B6483" s="116" t="s">
        <v>244</v>
      </c>
      <c r="C6483" s="116" t="s">
        <v>1629</v>
      </c>
      <c r="D6483" s="100" t="str">
        <f t="shared" si="1"/>
        <v/>
      </c>
      <c r="E6483" s="100" t="str">
        <f t="shared" si="2"/>
        <v/>
      </c>
      <c r="F6483" s="100" t="str">
        <f t="shared" si="3"/>
        <v/>
      </c>
      <c r="G6483" s="151"/>
      <c r="H6483" s="156"/>
      <c r="I6483" s="171"/>
      <c r="J6483" s="158"/>
      <c r="M6483" s="159"/>
      <c r="N6483" s="94"/>
    </row>
    <row r="6484">
      <c r="A6484" s="107">
        <v>1631298.0</v>
      </c>
      <c r="B6484" s="116" t="s">
        <v>245</v>
      </c>
      <c r="C6484" s="116" t="s">
        <v>1629</v>
      </c>
      <c r="D6484" s="100" t="str">
        <f t="shared" si="1"/>
        <v/>
      </c>
      <c r="E6484" s="100" t="str">
        <f t="shared" si="2"/>
        <v/>
      </c>
      <c r="F6484" s="100" t="str">
        <f t="shared" si="3"/>
        <v/>
      </c>
      <c r="G6484" s="151"/>
      <c r="H6484" s="160"/>
      <c r="I6484" s="171"/>
      <c r="J6484" s="161"/>
      <c r="M6484" s="159"/>
      <c r="N6484" s="94"/>
    </row>
    <row r="6485">
      <c r="A6485" s="107">
        <v>1631301.0</v>
      </c>
      <c r="B6485" s="116" t="s">
        <v>246</v>
      </c>
      <c r="C6485" s="116" t="s">
        <v>1630</v>
      </c>
      <c r="D6485" s="100" t="str">
        <f t="shared" si="1"/>
        <v/>
      </c>
      <c r="E6485" s="100" t="str">
        <f t="shared" si="2"/>
        <v/>
      </c>
      <c r="F6485" s="100" t="str">
        <f t="shared" si="3"/>
        <v/>
      </c>
      <c r="G6485" s="151"/>
      <c r="H6485" s="156"/>
      <c r="I6485" s="171"/>
      <c r="J6485" s="158"/>
      <c r="M6485" s="159"/>
      <c r="N6485" s="94"/>
    </row>
    <row r="6486">
      <c r="A6486" s="107">
        <v>1631303.0</v>
      </c>
      <c r="B6486" s="116" t="s">
        <v>244</v>
      </c>
      <c r="C6486" s="116" t="s">
        <v>1631</v>
      </c>
      <c r="D6486" s="100" t="str">
        <f t="shared" si="1"/>
        <v/>
      </c>
      <c r="E6486" s="100" t="str">
        <f t="shared" si="2"/>
        <v/>
      </c>
      <c r="F6486" s="100" t="str">
        <f t="shared" si="3"/>
        <v/>
      </c>
      <c r="G6486" s="151"/>
      <c r="H6486" s="160"/>
      <c r="I6486" s="171"/>
      <c r="J6486" s="161"/>
      <c r="M6486" s="159"/>
      <c r="N6486" s="94"/>
    </row>
    <row r="6487">
      <c r="A6487" s="107">
        <v>1631303.0</v>
      </c>
      <c r="B6487" s="116" t="s">
        <v>245</v>
      </c>
      <c r="C6487" s="116" t="s">
        <v>1631</v>
      </c>
      <c r="D6487" s="100" t="str">
        <f t="shared" si="1"/>
        <v/>
      </c>
      <c r="E6487" s="100" t="str">
        <f t="shared" si="2"/>
        <v/>
      </c>
      <c r="F6487" s="100" t="str">
        <f t="shared" si="3"/>
        <v/>
      </c>
      <c r="G6487" s="151"/>
      <c r="H6487" s="156"/>
      <c r="I6487" s="171"/>
      <c r="J6487" s="158"/>
      <c r="M6487" s="159"/>
      <c r="N6487" s="94"/>
    </row>
    <row r="6488">
      <c r="A6488" s="107">
        <v>1631303.0</v>
      </c>
      <c r="B6488" s="116" t="s">
        <v>246</v>
      </c>
      <c r="C6488" s="116" t="s">
        <v>1631</v>
      </c>
      <c r="D6488" s="100" t="str">
        <f t="shared" si="1"/>
        <v/>
      </c>
      <c r="E6488" s="100" t="str">
        <f t="shared" si="2"/>
        <v/>
      </c>
      <c r="F6488" s="100" t="str">
        <f t="shared" si="3"/>
        <v/>
      </c>
      <c r="G6488" s="151"/>
      <c r="H6488" s="160"/>
      <c r="I6488" s="171"/>
      <c r="J6488" s="161"/>
      <c r="M6488" s="159"/>
      <c r="N6488" s="94"/>
    </row>
    <row r="6489">
      <c r="A6489" s="107">
        <v>1631306.0</v>
      </c>
      <c r="B6489" s="116" t="s">
        <v>244</v>
      </c>
      <c r="C6489" s="116" t="s">
        <v>1632</v>
      </c>
      <c r="D6489" s="100" t="str">
        <f t="shared" si="1"/>
        <v/>
      </c>
      <c r="E6489" s="100" t="str">
        <f t="shared" si="2"/>
        <v/>
      </c>
      <c r="F6489" s="100" t="str">
        <f t="shared" si="3"/>
        <v/>
      </c>
      <c r="G6489" s="151"/>
      <c r="H6489" s="156"/>
      <c r="I6489" s="171"/>
      <c r="J6489" s="158"/>
      <c r="M6489" s="159"/>
      <c r="N6489" s="94"/>
    </row>
    <row r="6490">
      <c r="A6490" s="107">
        <v>1631306.0</v>
      </c>
      <c r="B6490" s="116" t="s">
        <v>245</v>
      </c>
      <c r="C6490" s="116" t="s">
        <v>1632</v>
      </c>
      <c r="D6490" s="100" t="str">
        <f t="shared" si="1"/>
        <v/>
      </c>
      <c r="E6490" s="100" t="str">
        <f t="shared" si="2"/>
        <v/>
      </c>
      <c r="F6490" s="100" t="str">
        <f t="shared" si="3"/>
        <v/>
      </c>
      <c r="G6490" s="151"/>
      <c r="H6490" s="160"/>
      <c r="I6490" s="171"/>
      <c r="J6490" s="161"/>
      <c r="M6490" s="159"/>
      <c r="N6490" s="94"/>
    </row>
    <row r="6491">
      <c r="A6491" s="107">
        <v>1631306.0</v>
      </c>
      <c r="B6491" s="116" t="s">
        <v>246</v>
      </c>
      <c r="C6491" s="116" t="s">
        <v>1632</v>
      </c>
      <c r="D6491" s="100" t="str">
        <f t="shared" si="1"/>
        <v/>
      </c>
      <c r="E6491" s="100" t="str">
        <f t="shared" si="2"/>
        <v/>
      </c>
      <c r="F6491" s="100" t="str">
        <f t="shared" si="3"/>
        <v/>
      </c>
      <c r="G6491" s="151"/>
      <c r="H6491" s="156"/>
      <c r="I6491" s="171"/>
      <c r="J6491" s="158"/>
      <c r="M6491" s="159"/>
      <c r="N6491" s="94"/>
    </row>
    <row r="6492">
      <c r="A6492" s="107">
        <v>1631309.0</v>
      </c>
      <c r="B6492" s="116" t="s">
        <v>244</v>
      </c>
      <c r="C6492" s="116" t="s">
        <v>1633</v>
      </c>
      <c r="D6492" s="100" t="str">
        <f t="shared" si="1"/>
        <v/>
      </c>
      <c r="E6492" s="100" t="str">
        <f t="shared" si="2"/>
        <v/>
      </c>
      <c r="F6492" s="100" t="str">
        <f t="shared" si="3"/>
        <v/>
      </c>
      <c r="G6492" s="151"/>
      <c r="H6492" s="160"/>
      <c r="I6492" s="171"/>
      <c r="J6492" s="161"/>
      <c r="M6492" s="159"/>
      <c r="N6492" s="94"/>
    </row>
    <row r="6493">
      <c r="A6493" s="107">
        <v>1631311.0</v>
      </c>
      <c r="B6493" s="116" t="s">
        <v>244</v>
      </c>
      <c r="C6493" s="116" t="s">
        <v>1634</v>
      </c>
      <c r="D6493" s="100" t="str">
        <f t="shared" si="1"/>
        <v/>
      </c>
      <c r="E6493" s="100" t="str">
        <f t="shared" si="2"/>
        <v/>
      </c>
      <c r="F6493" s="100" t="str">
        <f t="shared" si="3"/>
        <v/>
      </c>
      <c r="G6493" s="151"/>
      <c r="H6493" s="156"/>
      <c r="I6493" s="171"/>
      <c r="J6493" s="158"/>
      <c r="M6493" s="159"/>
      <c r="N6493" s="94"/>
    </row>
    <row r="6494">
      <c r="A6494" s="107">
        <v>1631311.0</v>
      </c>
      <c r="B6494" s="116" t="s">
        <v>245</v>
      </c>
      <c r="C6494" s="116" t="s">
        <v>1634</v>
      </c>
      <c r="D6494" s="100" t="str">
        <f t="shared" si="1"/>
        <v/>
      </c>
      <c r="E6494" s="100" t="str">
        <f t="shared" si="2"/>
        <v/>
      </c>
      <c r="F6494" s="100" t="str">
        <f t="shared" si="3"/>
        <v/>
      </c>
      <c r="G6494" s="151"/>
      <c r="H6494" s="160"/>
      <c r="I6494" s="171"/>
      <c r="J6494" s="161"/>
      <c r="M6494" s="159"/>
      <c r="N6494" s="94"/>
    </row>
    <row r="6495">
      <c r="A6495" s="107">
        <v>1631311.0</v>
      </c>
      <c r="B6495" s="116" t="s">
        <v>246</v>
      </c>
      <c r="C6495" s="116" t="s">
        <v>1634</v>
      </c>
      <c r="D6495" s="100" t="str">
        <f t="shared" si="1"/>
        <v/>
      </c>
      <c r="E6495" s="100" t="str">
        <f t="shared" si="2"/>
        <v/>
      </c>
      <c r="F6495" s="100" t="str">
        <f t="shared" si="3"/>
        <v/>
      </c>
      <c r="G6495" s="151"/>
      <c r="H6495" s="156"/>
      <c r="I6495" s="171"/>
      <c r="J6495" s="158"/>
      <c r="M6495" s="159"/>
      <c r="N6495" s="94"/>
    </row>
    <row r="6496">
      <c r="A6496" s="21">
        <v>1631320.0</v>
      </c>
      <c r="B6496" s="22" t="s">
        <v>244</v>
      </c>
      <c r="C6496" s="22" t="s">
        <v>1635</v>
      </c>
      <c r="D6496" s="100" t="str">
        <f t="shared" si="1"/>
        <v/>
      </c>
      <c r="E6496" s="100" t="str">
        <f t="shared" si="2"/>
        <v/>
      </c>
      <c r="F6496" s="100" t="str">
        <f t="shared" si="3"/>
        <v/>
      </c>
      <c r="G6496" s="151"/>
      <c r="H6496" s="160"/>
      <c r="I6496" s="171"/>
      <c r="J6496" s="161"/>
      <c r="M6496" s="159"/>
      <c r="N6496" s="94"/>
    </row>
    <row r="6497">
      <c r="A6497" s="107">
        <v>1631321.0</v>
      </c>
      <c r="B6497" s="116" t="s">
        <v>245</v>
      </c>
      <c r="C6497" s="116" t="s">
        <v>1636</v>
      </c>
      <c r="D6497" s="100" t="str">
        <f t="shared" si="1"/>
        <v/>
      </c>
      <c r="E6497" s="100" t="str">
        <f t="shared" si="2"/>
        <v/>
      </c>
      <c r="F6497" s="100" t="str">
        <f t="shared" si="3"/>
        <v/>
      </c>
      <c r="G6497" s="151"/>
      <c r="H6497" s="156"/>
      <c r="I6497" s="171"/>
      <c r="J6497" s="158"/>
      <c r="M6497" s="159"/>
      <c r="N6497" s="94"/>
    </row>
    <row r="6498">
      <c r="A6498" s="107">
        <v>1631321.0</v>
      </c>
      <c r="B6498" s="116" t="s">
        <v>246</v>
      </c>
      <c r="C6498" s="116" t="s">
        <v>1636</v>
      </c>
      <c r="D6498" s="100" t="str">
        <f t="shared" si="1"/>
        <v/>
      </c>
      <c r="E6498" s="100" t="str">
        <f t="shared" si="2"/>
        <v/>
      </c>
      <c r="F6498" s="100" t="str">
        <f t="shared" si="3"/>
        <v/>
      </c>
      <c r="G6498" s="151"/>
      <c r="H6498" s="160"/>
      <c r="I6498" s="171"/>
      <c r="J6498" s="161"/>
      <c r="M6498" s="159"/>
      <c r="N6498" s="94"/>
    </row>
    <row r="6499">
      <c r="A6499" s="149">
        <v>1631321.0</v>
      </c>
      <c r="B6499" s="140" t="s">
        <v>247</v>
      </c>
      <c r="C6499" s="140" t="s">
        <v>1636</v>
      </c>
      <c r="D6499" s="100" t="str">
        <f t="shared" si="1"/>
        <v/>
      </c>
      <c r="E6499" s="100" t="str">
        <f t="shared" si="2"/>
        <v/>
      </c>
      <c r="F6499" s="100" t="str">
        <f t="shared" si="3"/>
        <v/>
      </c>
      <c r="G6499" s="151"/>
      <c r="H6499" s="156"/>
      <c r="I6499" s="171"/>
      <c r="J6499" s="158"/>
      <c r="M6499" s="159"/>
      <c r="N6499" s="94"/>
    </row>
    <row r="6500">
      <c r="A6500" s="21">
        <v>1631323.0</v>
      </c>
      <c r="B6500" s="22" t="s">
        <v>244</v>
      </c>
      <c r="C6500" s="22" t="s">
        <v>1637</v>
      </c>
      <c r="D6500" s="100" t="str">
        <f t="shared" si="1"/>
        <v/>
      </c>
      <c r="E6500" s="100" t="str">
        <f t="shared" si="2"/>
        <v/>
      </c>
      <c r="F6500" s="100" t="str">
        <f t="shared" si="3"/>
        <v/>
      </c>
      <c r="G6500" s="151"/>
      <c r="H6500" s="160"/>
      <c r="I6500" s="171"/>
      <c r="J6500" s="161"/>
      <c r="M6500" s="159"/>
      <c r="N6500" s="94"/>
    </row>
    <row r="6501">
      <c r="A6501" s="120">
        <v>1631323.0</v>
      </c>
      <c r="B6501" s="138" t="s">
        <v>245</v>
      </c>
      <c r="C6501" s="138" t="s">
        <v>1637</v>
      </c>
      <c r="D6501" s="100" t="str">
        <f t="shared" si="1"/>
        <v/>
      </c>
      <c r="E6501" s="100" t="str">
        <f t="shared" si="2"/>
        <v/>
      </c>
      <c r="F6501" s="100" t="str">
        <f t="shared" si="3"/>
        <v/>
      </c>
      <c r="G6501" s="151"/>
      <c r="H6501" s="156"/>
      <c r="I6501" s="171"/>
      <c r="J6501" s="158"/>
      <c r="M6501" s="159"/>
      <c r="N6501" s="94"/>
    </row>
    <row r="6502">
      <c r="A6502" s="163">
        <v>1631323.0</v>
      </c>
      <c r="B6502" s="22" t="s">
        <v>246</v>
      </c>
      <c r="C6502" s="22" t="s">
        <v>1637</v>
      </c>
      <c r="D6502" s="100" t="str">
        <f t="shared" si="1"/>
        <v/>
      </c>
      <c r="E6502" s="100" t="str">
        <f t="shared" si="2"/>
        <v/>
      </c>
      <c r="F6502" s="100" t="str">
        <f t="shared" si="3"/>
        <v/>
      </c>
      <c r="G6502" s="151"/>
      <c r="H6502" s="160"/>
      <c r="I6502" s="171"/>
      <c r="J6502" s="161"/>
      <c r="M6502" s="159"/>
      <c r="N6502" s="94"/>
    </row>
    <row r="6503">
      <c r="A6503" s="149">
        <v>1631323.0</v>
      </c>
      <c r="B6503" s="140" t="s">
        <v>247</v>
      </c>
      <c r="C6503" s="140" t="s">
        <v>1637</v>
      </c>
      <c r="D6503" s="100" t="str">
        <f t="shared" si="1"/>
        <v/>
      </c>
      <c r="E6503" s="100" t="str">
        <f t="shared" si="2"/>
        <v/>
      </c>
      <c r="F6503" s="100" t="str">
        <f t="shared" si="3"/>
        <v/>
      </c>
      <c r="G6503" s="151"/>
      <c r="H6503" s="156"/>
      <c r="I6503" s="171"/>
      <c r="J6503" s="158"/>
      <c r="M6503" s="159"/>
      <c r="N6503" s="94"/>
    </row>
    <row r="6504">
      <c r="A6504" s="107">
        <v>1631338.0</v>
      </c>
      <c r="B6504" s="24" t="s">
        <v>247</v>
      </c>
      <c r="C6504" s="24" t="s">
        <v>1638</v>
      </c>
      <c r="D6504" s="100" t="str">
        <f t="shared" si="1"/>
        <v/>
      </c>
      <c r="E6504" s="100" t="str">
        <f t="shared" si="2"/>
        <v/>
      </c>
      <c r="F6504" s="100" t="str">
        <f t="shared" si="3"/>
        <v/>
      </c>
      <c r="G6504" s="151"/>
      <c r="H6504" s="160"/>
      <c r="I6504" s="171"/>
      <c r="J6504" s="161"/>
      <c r="M6504" s="159"/>
      <c r="N6504" s="94"/>
    </row>
    <row r="6505">
      <c r="A6505" s="107">
        <v>1631342.0</v>
      </c>
      <c r="B6505" s="116" t="s">
        <v>246</v>
      </c>
      <c r="C6505" s="116" t="s">
        <v>1639</v>
      </c>
      <c r="D6505" s="100" t="str">
        <f t="shared" si="1"/>
        <v/>
      </c>
      <c r="E6505" s="100" t="str">
        <f t="shared" si="2"/>
        <v/>
      </c>
      <c r="F6505" s="100" t="str">
        <f t="shared" si="3"/>
        <v/>
      </c>
      <c r="G6505" s="151"/>
      <c r="H6505" s="156"/>
      <c r="I6505" s="171"/>
      <c r="J6505" s="158"/>
      <c r="M6505" s="159"/>
      <c r="N6505" s="94"/>
    </row>
    <row r="6506">
      <c r="A6506" s="140">
        <v>1631342.0</v>
      </c>
      <c r="B6506" s="140" t="s">
        <v>247</v>
      </c>
      <c r="C6506" s="140" t="s">
        <v>1639</v>
      </c>
      <c r="D6506" s="100" t="str">
        <f t="shared" si="1"/>
        <v/>
      </c>
      <c r="E6506" s="100" t="str">
        <f t="shared" si="2"/>
        <v/>
      </c>
      <c r="F6506" s="100" t="str">
        <f t="shared" si="3"/>
        <v/>
      </c>
      <c r="G6506" s="151"/>
      <c r="H6506" s="160"/>
      <c r="I6506" s="171"/>
      <c r="J6506" s="161"/>
      <c r="M6506" s="159"/>
      <c r="N6506" s="94"/>
    </row>
    <row r="6507">
      <c r="A6507" s="107">
        <v>1631367.0</v>
      </c>
      <c r="B6507" s="116" t="s">
        <v>244</v>
      </c>
      <c r="C6507" s="116" t="s">
        <v>1640</v>
      </c>
      <c r="D6507" s="100" t="str">
        <f t="shared" si="1"/>
        <v/>
      </c>
      <c r="E6507" s="100" t="str">
        <f t="shared" si="2"/>
        <v/>
      </c>
      <c r="F6507" s="100" t="str">
        <f t="shared" si="3"/>
        <v/>
      </c>
      <c r="G6507" s="151"/>
      <c r="H6507" s="156"/>
      <c r="I6507" s="171"/>
      <c r="J6507" s="158"/>
      <c r="M6507" s="159"/>
      <c r="N6507" s="94"/>
    </row>
    <row r="6508">
      <c r="A6508" s="21">
        <v>1631367.0</v>
      </c>
      <c r="B6508" s="22" t="s">
        <v>245</v>
      </c>
      <c r="C6508" s="22" t="s">
        <v>1640</v>
      </c>
      <c r="D6508" s="100" t="str">
        <f t="shared" si="1"/>
        <v/>
      </c>
      <c r="E6508" s="100" t="str">
        <f t="shared" si="2"/>
        <v/>
      </c>
      <c r="F6508" s="100" t="str">
        <f t="shared" si="3"/>
        <v/>
      </c>
      <c r="G6508" s="151"/>
      <c r="H6508" s="160"/>
      <c r="I6508" s="171"/>
      <c r="J6508" s="161"/>
      <c r="M6508" s="159"/>
      <c r="N6508" s="94"/>
    </row>
    <row r="6509">
      <c r="A6509" s="107">
        <v>1631376.0</v>
      </c>
      <c r="B6509" s="116" t="s">
        <v>245</v>
      </c>
      <c r="C6509" s="116" t="s">
        <v>1641</v>
      </c>
      <c r="D6509" s="100" t="str">
        <f t="shared" si="1"/>
        <v/>
      </c>
      <c r="E6509" s="100" t="str">
        <f t="shared" si="2"/>
        <v/>
      </c>
      <c r="F6509" s="100" t="str">
        <f t="shared" si="3"/>
        <v/>
      </c>
      <c r="G6509" s="151"/>
      <c r="H6509" s="156"/>
      <c r="I6509" s="171"/>
      <c r="J6509" s="158"/>
      <c r="M6509" s="159"/>
      <c r="N6509" s="94"/>
    </row>
    <row r="6510">
      <c r="A6510" s="107">
        <v>1631386.0</v>
      </c>
      <c r="B6510" s="116" t="s">
        <v>245</v>
      </c>
      <c r="C6510" s="116" t="s">
        <v>1642</v>
      </c>
      <c r="D6510" s="100" t="str">
        <f t="shared" si="1"/>
        <v/>
      </c>
      <c r="E6510" s="100" t="str">
        <f t="shared" si="2"/>
        <v/>
      </c>
      <c r="F6510" s="100" t="str">
        <f t="shared" si="3"/>
        <v/>
      </c>
      <c r="G6510" s="151"/>
      <c r="H6510" s="160"/>
      <c r="I6510" s="171"/>
      <c r="J6510" s="161"/>
      <c r="M6510" s="159"/>
      <c r="N6510" s="94"/>
    </row>
    <row r="6511">
      <c r="A6511" s="107">
        <v>1631386.0</v>
      </c>
      <c r="B6511" s="116" t="s">
        <v>246</v>
      </c>
      <c r="C6511" s="116" t="s">
        <v>1642</v>
      </c>
      <c r="D6511" s="100" t="str">
        <f t="shared" si="1"/>
        <v/>
      </c>
      <c r="E6511" s="100" t="str">
        <f t="shared" si="2"/>
        <v/>
      </c>
      <c r="F6511" s="100" t="str">
        <f t="shared" si="3"/>
        <v/>
      </c>
      <c r="G6511" s="151"/>
      <c r="H6511" s="156"/>
      <c r="I6511" s="171"/>
      <c r="J6511" s="158"/>
      <c r="M6511" s="159"/>
      <c r="N6511" s="94"/>
    </row>
    <row r="6512">
      <c r="A6512" s="149">
        <v>1631451.0</v>
      </c>
      <c r="B6512" s="140" t="s">
        <v>247</v>
      </c>
      <c r="C6512" s="140" t="s">
        <v>1643</v>
      </c>
      <c r="D6512" s="100" t="str">
        <f t="shared" si="1"/>
        <v/>
      </c>
      <c r="E6512" s="100" t="str">
        <f t="shared" si="2"/>
        <v/>
      </c>
      <c r="F6512" s="100" t="str">
        <f t="shared" si="3"/>
        <v/>
      </c>
      <c r="G6512" s="151"/>
      <c r="H6512" s="160"/>
      <c r="I6512" s="171"/>
      <c r="J6512" s="161"/>
      <c r="M6512" s="159"/>
      <c r="N6512" s="94"/>
    </row>
    <row r="6513">
      <c r="A6513" s="107">
        <v>1631457.0</v>
      </c>
      <c r="B6513" s="24" t="s">
        <v>247</v>
      </c>
      <c r="C6513" s="24" t="s">
        <v>1644</v>
      </c>
      <c r="D6513" s="100" t="str">
        <f t="shared" si="1"/>
        <v/>
      </c>
      <c r="E6513" s="100" t="str">
        <f t="shared" si="2"/>
        <v/>
      </c>
      <c r="F6513" s="100" t="str">
        <f t="shared" si="3"/>
        <v/>
      </c>
      <c r="G6513" s="151"/>
      <c r="H6513" s="156"/>
      <c r="I6513" s="171"/>
      <c r="J6513" s="158"/>
      <c r="M6513" s="159"/>
      <c r="N6513" s="94"/>
    </row>
    <row r="6514">
      <c r="A6514" s="107">
        <v>1631466.0</v>
      </c>
      <c r="B6514" s="116" t="s">
        <v>244</v>
      </c>
      <c r="C6514" s="116" t="s">
        <v>1645</v>
      </c>
      <c r="D6514" s="100" t="str">
        <f t="shared" si="1"/>
        <v/>
      </c>
      <c r="E6514" s="100" t="str">
        <f t="shared" si="2"/>
        <v/>
      </c>
      <c r="F6514" s="100" t="str">
        <f t="shared" si="3"/>
        <v/>
      </c>
      <c r="G6514" s="151"/>
      <c r="H6514" s="160"/>
      <c r="I6514" s="171"/>
      <c r="J6514" s="161"/>
      <c r="M6514" s="159"/>
      <c r="N6514" s="94"/>
    </row>
    <row r="6515">
      <c r="A6515" s="107">
        <v>1631466.0</v>
      </c>
      <c r="B6515" s="116" t="s">
        <v>245</v>
      </c>
      <c r="C6515" s="116" t="s">
        <v>1646</v>
      </c>
      <c r="D6515" s="100" t="str">
        <f t="shared" si="1"/>
        <v/>
      </c>
      <c r="E6515" s="100" t="str">
        <f t="shared" si="2"/>
        <v/>
      </c>
      <c r="F6515" s="100" t="str">
        <f t="shared" si="3"/>
        <v/>
      </c>
      <c r="G6515" s="151"/>
      <c r="H6515" s="156"/>
      <c r="I6515" s="171"/>
      <c r="J6515" s="158"/>
      <c r="M6515" s="159"/>
      <c r="N6515" s="94"/>
    </row>
    <row r="6516">
      <c r="A6516" s="21">
        <v>1631466.0</v>
      </c>
      <c r="B6516" s="22" t="s">
        <v>246</v>
      </c>
      <c r="C6516" s="22" t="s">
        <v>1646</v>
      </c>
      <c r="D6516" s="100" t="str">
        <f t="shared" si="1"/>
        <v/>
      </c>
      <c r="E6516" s="100" t="str">
        <f t="shared" si="2"/>
        <v/>
      </c>
      <c r="F6516" s="100" t="str">
        <f t="shared" si="3"/>
        <v/>
      </c>
      <c r="G6516" s="151"/>
      <c r="H6516" s="160"/>
      <c r="I6516" s="171"/>
      <c r="J6516" s="161"/>
      <c r="M6516" s="159"/>
      <c r="N6516" s="94"/>
    </row>
    <row r="6517">
      <c r="A6517" s="107">
        <v>1631466.0</v>
      </c>
      <c r="B6517" s="24" t="s">
        <v>247</v>
      </c>
      <c r="C6517" s="24" t="s">
        <v>1646</v>
      </c>
      <c r="D6517" s="100" t="str">
        <f t="shared" si="1"/>
        <v/>
      </c>
      <c r="E6517" s="100" t="str">
        <f t="shared" si="2"/>
        <v/>
      </c>
      <c r="F6517" s="100" t="str">
        <f t="shared" si="3"/>
        <v/>
      </c>
      <c r="G6517" s="151"/>
      <c r="H6517" s="156"/>
      <c r="I6517" s="171"/>
      <c r="J6517" s="158"/>
      <c r="M6517" s="159"/>
      <c r="N6517" s="94"/>
    </row>
    <row r="6518">
      <c r="A6518" s="107">
        <v>1631495.0</v>
      </c>
      <c r="B6518" s="116" t="s">
        <v>244</v>
      </c>
      <c r="C6518" s="116" t="s">
        <v>1647</v>
      </c>
      <c r="D6518" s="100" t="str">
        <f t="shared" si="1"/>
        <v/>
      </c>
      <c r="E6518" s="100" t="str">
        <f t="shared" si="2"/>
        <v/>
      </c>
      <c r="F6518" s="100" t="str">
        <f t="shared" si="3"/>
        <v/>
      </c>
      <c r="G6518" s="151"/>
      <c r="H6518" s="160"/>
      <c r="I6518" s="171"/>
      <c r="J6518" s="161"/>
      <c r="M6518" s="159"/>
      <c r="N6518" s="94"/>
    </row>
    <row r="6519">
      <c r="A6519" s="21">
        <v>1641645.0</v>
      </c>
      <c r="B6519" s="22" t="s">
        <v>244</v>
      </c>
      <c r="C6519" s="22" t="s">
        <v>1648</v>
      </c>
      <c r="D6519" s="100" t="str">
        <f t="shared" si="1"/>
        <v/>
      </c>
      <c r="E6519" s="100" t="str">
        <f t="shared" si="2"/>
        <v/>
      </c>
      <c r="F6519" s="100" t="str">
        <f t="shared" si="3"/>
        <v/>
      </c>
      <c r="G6519" s="151"/>
      <c r="H6519" s="156"/>
      <c r="I6519" s="171"/>
      <c r="J6519" s="158"/>
      <c r="M6519" s="159"/>
      <c r="N6519" s="94"/>
    </row>
    <row r="6520">
      <c r="A6520" s="107">
        <v>1641705.0</v>
      </c>
      <c r="B6520" s="116" t="s">
        <v>245</v>
      </c>
      <c r="C6520" s="116" t="s">
        <v>1649</v>
      </c>
      <c r="D6520" s="100" t="str">
        <f t="shared" si="1"/>
        <v/>
      </c>
      <c r="E6520" s="100" t="str">
        <f t="shared" si="2"/>
        <v/>
      </c>
      <c r="F6520" s="100" t="str">
        <f t="shared" si="3"/>
        <v/>
      </c>
      <c r="G6520" s="151"/>
      <c r="H6520" s="160"/>
      <c r="I6520" s="171"/>
      <c r="J6520" s="161"/>
      <c r="M6520" s="159"/>
      <c r="N6520" s="94"/>
    </row>
    <row r="6521">
      <c r="A6521" s="107">
        <v>1641705.0</v>
      </c>
      <c r="B6521" s="116" t="s">
        <v>246</v>
      </c>
      <c r="C6521" s="116" t="s">
        <v>1649</v>
      </c>
      <c r="D6521" s="100" t="str">
        <f t="shared" si="1"/>
        <v/>
      </c>
      <c r="E6521" s="100" t="str">
        <f t="shared" si="2"/>
        <v/>
      </c>
      <c r="F6521" s="100" t="str">
        <f t="shared" si="3"/>
        <v/>
      </c>
      <c r="G6521" s="151"/>
      <c r="H6521" s="156"/>
      <c r="I6521" s="171"/>
      <c r="J6521" s="158"/>
      <c r="M6521" s="159"/>
      <c r="N6521" s="94"/>
    </row>
    <row r="6522">
      <c r="A6522" s="114">
        <v>1641705.0</v>
      </c>
      <c r="B6522" s="131" t="s">
        <v>247</v>
      </c>
      <c r="C6522" s="131" t="s">
        <v>1649</v>
      </c>
      <c r="D6522" s="100" t="str">
        <f t="shared" si="1"/>
        <v/>
      </c>
      <c r="E6522" s="100" t="str">
        <f t="shared" si="2"/>
        <v/>
      </c>
      <c r="F6522" s="100" t="str">
        <f t="shared" si="3"/>
        <v/>
      </c>
      <c r="G6522" s="151"/>
      <c r="H6522" s="160"/>
      <c r="I6522" s="172"/>
      <c r="J6522" s="161"/>
      <c r="M6522" s="159"/>
      <c r="N6522" s="94"/>
    </row>
    <row r="6523">
      <c r="A6523" s="107">
        <v>1641706.0</v>
      </c>
      <c r="B6523" s="116" t="s">
        <v>245</v>
      </c>
      <c r="C6523" s="116" t="s">
        <v>1650</v>
      </c>
      <c r="D6523" s="100" t="str">
        <f t="shared" si="1"/>
        <v/>
      </c>
      <c r="E6523" s="100" t="str">
        <f t="shared" si="2"/>
        <v/>
      </c>
      <c r="F6523" s="100" t="str">
        <f t="shared" si="3"/>
        <v/>
      </c>
      <c r="G6523" s="151"/>
      <c r="H6523" s="156"/>
      <c r="I6523" s="171"/>
      <c r="J6523" s="158"/>
      <c r="M6523" s="159"/>
      <c r="N6523" s="94"/>
    </row>
    <row r="6524">
      <c r="A6524" s="107">
        <v>1641706.0</v>
      </c>
      <c r="B6524" s="116" t="s">
        <v>246</v>
      </c>
      <c r="C6524" s="116" t="s">
        <v>1650</v>
      </c>
      <c r="D6524" s="100" t="str">
        <f t="shared" si="1"/>
        <v/>
      </c>
      <c r="E6524" s="100" t="str">
        <f t="shared" si="2"/>
        <v/>
      </c>
      <c r="F6524" s="100" t="str">
        <f t="shared" si="3"/>
        <v/>
      </c>
      <c r="G6524" s="151"/>
      <c r="H6524" s="160"/>
      <c r="I6524" s="171"/>
      <c r="J6524" s="161"/>
      <c r="M6524" s="159"/>
      <c r="N6524" s="94"/>
    </row>
    <row r="6525">
      <c r="A6525" s="114">
        <v>1641706.0</v>
      </c>
      <c r="B6525" s="131" t="s">
        <v>247</v>
      </c>
      <c r="C6525" s="131" t="s">
        <v>1650</v>
      </c>
      <c r="D6525" s="100" t="str">
        <f t="shared" si="1"/>
        <v/>
      </c>
      <c r="E6525" s="100" t="str">
        <f t="shared" si="2"/>
        <v/>
      </c>
      <c r="F6525" s="100" t="str">
        <f t="shared" si="3"/>
        <v/>
      </c>
      <c r="G6525" s="151"/>
      <c r="H6525" s="156"/>
      <c r="I6525" s="171"/>
      <c r="J6525" s="158"/>
      <c r="M6525" s="159"/>
      <c r="N6525" s="94"/>
    </row>
    <row r="6526">
      <c r="A6526" s="107">
        <v>1641707.0</v>
      </c>
      <c r="B6526" s="116" t="s">
        <v>245</v>
      </c>
      <c r="C6526" s="116" t="s">
        <v>1651</v>
      </c>
      <c r="D6526" s="100" t="str">
        <f t="shared" si="1"/>
        <v/>
      </c>
      <c r="E6526" s="100" t="str">
        <f t="shared" si="2"/>
        <v/>
      </c>
      <c r="F6526" s="100" t="str">
        <f t="shared" si="3"/>
        <v/>
      </c>
      <c r="G6526" s="151"/>
      <c r="H6526" s="160"/>
      <c r="I6526" s="171"/>
      <c r="J6526" s="161"/>
      <c r="M6526" s="159"/>
      <c r="N6526" s="94"/>
    </row>
    <row r="6527">
      <c r="A6527" s="107">
        <v>1641707.0</v>
      </c>
      <c r="B6527" s="116" t="s">
        <v>246</v>
      </c>
      <c r="C6527" s="116" t="s">
        <v>1651</v>
      </c>
      <c r="D6527" s="100" t="str">
        <f t="shared" si="1"/>
        <v/>
      </c>
      <c r="E6527" s="100" t="str">
        <f t="shared" si="2"/>
        <v/>
      </c>
      <c r="F6527" s="100" t="str">
        <f t="shared" si="3"/>
        <v/>
      </c>
      <c r="G6527" s="151"/>
      <c r="H6527" s="156"/>
      <c r="I6527" s="171"/>
      <c r="J6527" s="158"/>
      <c r="M6527" s="159"/>
      <c r="N6527" s="94"/>
    </row>
    <row r="6528">
      <c r="A6528" s="114">
        <v>1641707.0</v>
      </c>
      <c r="B6528" s="131" t="s">
        <v>247</v>
      </c>
      <c r="C6528" s="131" t="s">
        <v>1651</v>
      </c>
      <c r="D6528" s="100" t="str">
        <f t="shared" si="1"/>
        <v/>
      </c>
      <c r="E6528" s="100" t="str">
        <f t="shared" si="2"/>
        <v/>
      </c>
      <c r="F6528" s="100" t="str">
        <f t="shared" si="3"/>
        <v/>
      </c>
      <c r="G6528" s="151"/>
      <c r="H6528" s="160"/>
      <c r="I6528" s="171"/>
      <c r="J6528" s="161"/>
      <c r="M6528" s="159"/>
      <c r="N6528" s="94"/>
    </row>
    <row r="6529">
      <c r="A6529" s="107">
        <v>1641708.0</v>
      </c>
      <c r="B6529" s="116" t="s">
        <v>245</v>
      </c>
      <c r="C6529" s="116" t="s">
        <v>1652</v>
      </c>
      <c r="D6529" s="100" t="str">
        <f t="shared" si="1"/>
        <v/>
      </c>
      <c r="E6529" s="100" t="str">
        <f t="shared" si="2"/>
        <v/>
      </c>
      <c r="F6529" s="100" t="str">
        <f t="shared" si="3"/>
        <v/>
      </c>
      <c r="G6529" s="151"/>
      <c r="H6529" s="156"/>
      <c r="I6529" s="172"/>
      <c r="J6529" s="158"/>
      <c r="M6529" s="159"/>
      <c r="N6529" s="94"/>
    </row>
    <row r="6530">
      <c r="A6530" s="107">
        <v>1641708.0</v>
      </c>
      <c r="B6530" s="116" t="s">
        <v>246</v>
      </c>
      <c r="C6530" s="116" t="s">
        <v>1652</v>
      </c>
      <c r="D6530" s="100" t="str">
        <f t="shared" si="1"/>
        <v/>
      </c>
      <c r="E6530" s="100" t="str">
        <f t="shared" si="2"/>
        <v/>
      </c>
      <c r="F6530" s="100" t="str">
        <f t="shared" si="3"/>
        <v/>
      </c>
      <c r="G6530" s="151"/>
      <c r="H6530" s="160"/>
      <c r="I6530" s="171"/>
      <c r="J6530" s="161"/>
      <c r="M6530" s="159"/>
      <c r="N6530" s="94"/>
    </row>
    <row r="6531">
      <c r="A6531" s="114">
        <v>1641708.0</v>
      </c>
      <c r="B6531" s="131" t="s">
        <v>247</v>
      </c>
      <c r="C6531" s="131" t="s">
        <v>1652</v>
      </c>
      <c r="D6531" s="100" t="str">
        <f t="shared" si="1"/>
        <v/>
      </c>
      <c r="E6531" s="100" t="str">
        <f t="shared" si="2"/>
        <v/>
      </c>
      <c r="F6531" s="100" t="str">
        <f t="shared" si="3"/>
        <v/>
      </c>
      <c r="G6531" s="151"/>
      <c r="H6531" s="156"/>
      <c r="I6531" s="171"/>
      <c r="J6531" s="158"/>
      <c r="M6531" s="159"/>
      <c r="N6531" s="94"/>
    </row>
    <row r="6532">
      <c r="A6532" s="107">
        <v>1641709.0</v>
      </c>
      <c r="B6532" s="116" t="s">
        <v>245</v>
      </c>
      <c r="C6532" s="116" t="s">
        <v>1653</v>
      </c>
      <c r="D6532" s="100" t="str">
        <f t="shared" si="1"/>
        <v/>
      </c>
      <c r="E6532" s="100" t="str">
        <f t="shared" si="2"/>
        <v/>
      </c>
      <c r="F6532" s="100" t="str">
        <f t="shared" si="3"/>
        <v/>
      </c>
      <c r="G6532" s="151"/>
      <c r="H6532" s="160"/>
      <c r="I6532" s="171"/>
      <c r="J6532" s="161"/>
      <c r="M6532" s="159"/>
      <c r="N6532" s="94"/>
    </row>
    <row r="6533">
      <c r="A6533" s="107">
        <v>1641709.0</v>
      </c>
      <c r="B6533" s="116" t="s">
        <v>246</v>
      </c>
      <c r="C6533" s="116" t="s">
        <v>1653</v>
      </c>
      <c r="D6533" s="100" t="str">
        <f t="shared" si="1"/>
        <v/>
      </c>
      <c r="E6533" s="100" t="str">
        <f t="shared" si="2"/>
        <v/>
      </c>
      <c r="F6533" s="100" t="str">
        <f t="shared" si="3"/>
        <v/>
      </c>
      <c r="G6533" s="151"/>
      <c r="H6533" s="156"/>
      <c r="I6533" s="172"/>
      <c r="J6533" s="158"/>
      <c r="M6533" s="159"/>
      <c r="N6533" s="94"/>
    </row>
    <row r="6534">
      <c r="A6534" s="114">
        <v>1641709.0</v>
      </c>
      <c r="B6534" s="131" t="s">
        <v>247</v>
      </c>
      <c r="C6534" s="131" t="s">
        <v>1653</v>
      </c>
      <c r="D6534" s="100" t="str">
        <f t="shared" si="1"/>
        <v/>
      </c>
      <c r="E6534" s="100" t="str">
        <f t="shared" si="2"/>
        <v/>
      </c>
      <c r="F6534" s="100" t="str">
        <f t="shared" si="3"/>
        <v/>
      </c>
      <c r="G6534" s="151"/>
      <c r="H6534" s="160"/>
      <c r="I6534" s="171"/>
      <c r="J6534" s="161"/>
      <c r="M6534" s="159"/>
      <c r="N6534" s="94"/>
    </row>
    <row r="6535">
      <c r="A6535" s="107">
        <v>1641710.0</v>
      </c>
      <c r="B6535" s="116" t="s">
        <v>245</v>
      </c>
      <c r="C6535" s="116" t="s">
        <v>1654</v>
      </c>
      <c r="D6535" s="100" t="str">
        <f t="shared" si="1"/>
        <v/>
      </c>
      <c r="E6535" s="100" t="str">
        <f t="shared" si="2"/>
        <v/>
      </c>
      <c r="F6535" s="100" t="str">
        <f t="shared" si="3"/>
        <v/>
      </c>
      <c r="G6535" s="151"/>
      <c r="H6535" s="156"/>
      <c r="I6535" s="171"/>
      <c r="J6535" s="158"/>
      <c r="M6535" s="159"/>
      <c r="N6535" s="94"/>
    </row>
    <row r="6536">
      <c r="A6536" s="107">
        <v>1641710.0</v>
      </c>
      <c r="B6536" s="116" t="s">
        <v>246</v>
      </c>
      <c r="C6536" s="116" t="s">
        <v>1654</v>
      </c>
      <c r="D6536" s="100" t="str">
        <f t="shared" si="1"/>
        <v/>
      </c>
      <c r="E6536" s="100" t="str">
        <f t="shared" si="2"/>
        <v/>
      </c>
      <c r="F6536" s="100" t="str">
        <f t="shared" si="3"/>
        <v/>
      </c>
      <c r="G6536" s="151"/>
      <c r="H6536" s="160"/>
      <c r="I6536" s="171"/>
      <c r="J6536" s="161"/>
      <c r="M6536" s="159"/>
      <c r="N6536" s="94"/>
    </row>
    <row r="6537">
      <c r="A6537" s="114">
        <v>1641710.0</v>
      </c>
      <c r="B6537" s="131" t="s">
        <v>247</v>
      </c>
      <c r="C6537" s="131" t="s">
        <v>1654</v>
      </c>
      <c r="D6537" s="100" t="str">
        <f t="shared" si="1"/>
        <v/>
      </c>
      <c r="E6537" s="100" t="str">
        <f t="shared" si="2"/>
        <v/>
      </c>
      <c r="F6537" s="100" t="str">
        <f t="shared" si="3"/>
        <v/>
      </c>
      <c r="G6537" s="151"/>
      <c r="H6537" s="156"/>
      <c r="I6537" s="171"/>
      <c r="J6537" s="158"/>
      <c r="M6537" s="159"/>
      <c r="N6537" s="94"/>
    </row>
    <row r="6538">
      <c r="A6538" s="107">
        <v>1641711.0</v>
      </c>
      <c r="B6538" s="116" t="s">
        <v>245</v>
      </c>
      <c r="C6538" s="116" t="s">
        <v>1655</v>
      </c>
      <c r="D6538" s="100" t="str">
        <f t="shared" si="1"/>
        <v/>
      </c>
      <c r="E6538" s="100" t="str">
        <f t="shared" si="2"/>
        <v/>
      </c>
      <c r="F6538" s="100" t="str">
        <f t="shared" si="3"/>
        <v/>
      </c>
      <c r="G6538" s="151"/>
      <c r="H6538" s="160"/>
      <c r="I6538" s="171"/>
      <c r="J6538" s="161"/>
      <c r="M6538" s="159"/>
      <c r="N6538" s="94"/>
    </row>
    <row r="6539">
      <c r="A6539" s="107">
        <v>1641711.0</v>
      </c>
      <c r="B6539" s="116" t="s">
        <v>246</v>
      </c>
      <c r="C6539" s="116" t="s">
        <v>1655</v>
      </c>
      <c r="D6539" s="100" t="str">
        <f t="shared" si="1"/>
        <v/>
      </c>
      <c r="E6539" s="100" t="str">
        <f t="shared" si="2"/>
        <v/>
      </c>
      <c r="F6539" s="100" t="str">
        <f t="shared" si="3"/>
        <v/>
      </c>
      <c r="G6539" s="151"/>
      <c r="H6539" s="156"/>
      <c r="I6539" s="171"/>
      <c r="J6539" s="158"/>
      <c r="M6539" s="159"/>
      <c r="N6539" s="94"/>
    </row>
    <row r="6540">
      <c r="A6540" s="114">
        <v>1641711.0</v>
      </c>
      <c r="B6540" s="131" t="s">
        <v>247</v>
      </c>
      <c r="C6540" s="131" t="s">
        <v>1655</v>
      </c>
      <c r="D6540" s="100" t="str">
        <f t="shared" si="1"/>
        <v/>
      </c>
      <c r="E6540" s="100" t="str">
        <f t="shared" si="2"/>
        <v/>
      </c>
      <c r="F6540" s="100" t="str">
        <f t="shared" si="3"/>
        <v/>
      </c>
      <c r="G6540" s="151"/>
      <c r="H6540" s="160"/>
      <c r="I6540" s="171"/>
      <c r="J6540" s="161"/>
      <c r="M6540" s="159"/>
      <c r="N6540" s="94"/>
    </row>
    <row r="6541">
      <c r="A6541" s="107">
        <v>1641712.0</v>
      </c>
      <c r="B6541" s="116" t="s">
        <v>245</v>
      </c>
      <c r="C6541" s="116" t="s">
        <v>1656</v>
      </c>
      <c r="D6541" s="100" t="str">
        <f t="shared" si="1"/>
        <v/>
      </c>
      <c r="E6541" s="100" t="str">
        <f t="shared" si="2"/>
        <v/>
      </c>
      <c r="F6541" s="100" t="str">
        <f t="shared" si="3"/>
        <v/>
      </c>
      <c r="G6541" s="151"/>
      <c r="H6541" s="156"/>
      <c r="I6541" s="171"/>
      <c r="J6541" s="158"/>
      <c r="M6541" s="159"/>
      <c r="N6541" s="94"/>
    </row>
    <row r="6542">
      <c r="A6542" s="107">
        <v>1641712.0</v>
      </c>
      <c r="B6542" s="116" t="s">
        <v>246</v>
      </c>
      <c r="C6542" s="116" t="s">
        <v>1656</v>
      </c>
      <c r="D6542" s="100" t="str">
        <f t="shared" si="1"/>
        <v/>
      </c>
      <c r="E6542" s="100" t="str">
        <f t="shared" si="2"/>
        <v/>
      </c>
      <c r="F6542" s="100" t="str">
        <f t="shared" si="3"/>
        <v/>
      </c>
      <c r="G6542" s="151"/>
      <c r="H6542" s="160"/>
      <c r="I6542" s="171"/>
      <c r="J6542" s="161"/>
      <c r="M6542" s="159"/>
      <c r="N6542" s="94"/>
    </row>
    <row r="6543">
      <c r="A6543" s="114">
        <v>1641712.0</v>
      </c>
      <c r="B6543" s="131" t="s">
        <v>247</v>
      </c>
      <c r="C6543" s="131" t="s">
        <v>1656</v>
      </c>
      <c r="D6543" s="100" t="str">
        <f t="shared" si="1"/>
        <v/>
      </c>
      <c r="E6543" s="100" t="str">
        <f t="shared" si="2"/>
        <v/>
      </c>
      <c r="F6543" s="100" t="str">
        <f t="shared" si="3"/>
        <v/>
      </c>
      <c r="G6543" s="151"/>
      <c r="H6543" s="156"/>
      <c r="I6543" s="171"/>
      <c r="J6543" s="158"/>
      <c r="M6543" s="159"/>
      <c r="N6543" s="94"/>
    </row>
    <row r="6544">
      <c r="A6544" s="107">
        <v>1641713.0</v>
      </c>
      <c r="B6544" s="116" t="s">
        <v>245</v>
      </c>
      <c r="C6544" s="116" t="s">
        <v>1657</v>
      </c>
      <c r="D6544" s="100" t="str">
        <f t="shared" si="1"/>
        <v/>
      </c>
      <c r="E6544" s="100" t="str">
        <f t="shared" si="2"/>
        <v/>
      </c>
      <c r="F6544" s="100" t="str">
        <f t="shared" si="3"/>
        <v/>
      </c>
      <c r="G6544" s="151"/>
      <c r="H6544" s="160"/>
      <c r="I6544" s="171"/>
      <c r="J6544" s="161"/>
      <c r="M6544" s="159"/>
      <c r="N6544" s="94"/>
    </row>
    <row r="6545">
      <c r="A6545" s="107">
        <v>1641713.0</v>
      </c>
      <c r="B6545" s="116" t="s">
        <v>246</v>
      </c>
      <c r="C6545" s="116" t="s">
        <v>1657</v>
      </c>
      <c r="D6545" s="100" t="str">
        <f t="shared" si="1"/>
        <v/>
      </c>
      <c r="E6545" s="100" t="str">
        <f t="shared" si="2"/>
        <v/>
      </c>
      <c r="F6545" s="100" t="str">
        <f t="shared" si="3"/>
        <v/>
      </c>
      <c r="G6545" s="151"/>
      <c r="H6545" s="156"/>
      <c r="I6545" s="171"/>
      <c r="J6545" s="158"/>
      <c r="M6545" s="159"/>
      <c r="N6545" s="94"/>
    </row>
    <row r="6546">
      <c r="A6546" s="114">
        <v>1641713.0</v>
      </c>
      <c r="B6546" s="131" t="s">
        <v>247</v>
      </c>
      <c r="C6546" s="131" t="s">
        <v>1657</v>
      </c>
      <c r="D6546" s="100" t="str">
        <f t="shared" si="1"/>
        <v/>
      </c>
      <c r="E6546" s="100" t="str">
        <f t="shared" si="2"/>
        <v/>
      </c>
      <c r="F6546" s="100" t="str">
        <f t="shared" si="3"/>
        <v/>
      </c>
      <c r="G6546" s="151"/>
      <c r="H6546" s="160"/>
      <c r="I6546" s="171"/>
      <c r="J6546" s="161"/>
      <c r="M6546" s="159"/>
      <c r="N6546" s="94"/>
    </row>
    <row r="6547">
      <c r="A6547" s="107">
        <v>1641715.0</v>
      </c>
      <c r="B6547" s="116" t="s">
        <v>245</v>
      </c>
      <c r="C6547" s="116" t="s">
        <v>1658</v>
      </c>
      <c r="D6547" s="100" t="str">
        <f t="shared" si="1"/>
        <v/>
      </c>
      <c r="E6547" s="100" t="str">
        <f t="shared" si="2"/>
        <v/>
      </c>
      <c r="F6547" s="100" t="str">
        <f t="shared" si="3"/>
        <v/>
      </c>
      <c r="G6547" s="151"/>
      <c r="H6547" s="156"/>
      <c r="I6547" s="171"/>
      <c r="J6547" s="158"/>
      <c r="M6547" s="159"/>
      <c r="N6547" s="94"/>
    </row>
    <row r="6548">
      <c r="A6548" s="107">
        <v>1641715.0</v>
      </c>
      <c r="B6548" s="116" t="s">
        <v>246</v>
      </c>
      <c r="C6548" s="116" t="s">
        <v>1658</v>
      </c>
      <c r="D6548" s="100" t="str">
        <f t="shared" si="1"/>
        <v/>
      </c>
      <c r="E6548" s="100" t="str">
        <f t="shared" si="2"/>
        <v/>
      </c>
      <c r="F6548" s="100" t="str">
        <f t="shared" si="3"/>
        <v/>
      </c>
      <c r="G6548" s="151"/>
      <c r="H6548" s="160"/>
      <c r="I6548" s="171"/>
      <c r="J6548" s="161"/>
      <c r="M6548" s="159"/>
      <c r="N6548" s="94"/>
    </row>
    <row r="6549">
      <c r="A6549" s="114">
        <v>1641715.0</v>
      </c>
      <c r="B6549" s="131" t="s">
        <v>247</v>
      </c>
      <c r="C6549" s="131" t="s">
        <v>1658</v>
      </c>
      <c r="D6549" s="100" t="str">
        <f t="shared" si="1"/>
        <v/>
      </c>
      <c r="E6549" s="100" t="str">
        <f t="shared" si="2"/>
        <v/>
      </c>
      <c r="F6549" s="100" t="str">
        <f t="shared" si="3"/>
        <v/>
      </c>
      <c r="G6549" s="151"/>
      <c r="H6549" s="156"/>
      <c r="I6549" s="171"/>
      <c r="J6549" s="158"/>
      <c r="M6549" s="159"/>
      <c r="N6549" s="94"/>
    </row>
    <row r="6550">
      <c r="A6550" s="107">
        <v>1641716.0</v>
      </c>
      <c r="B6550" s="116" t="s">
        <v>245</v>
      </c>
      <c r="C6550" s="116" t="s">
        <v>1659</v>
      </c>
      <c r="D6550" s="100" t="str">
        <f t="shared" si="1"/>
        <v/>
      </c>
      <c r="E6550" s="100" t="str">
        <f t="shared" si="2"/>
        <v/>
      </c>
      <c r="F6550" s="100" t="str">
        <f t="shared" si="3"/>
        <v/>
      </c>
      <c r="G6550" s="151"/>
      <c r="H6550" s="160"/>
      <c r="I6550" s="171"/>
      <c r="J6550" s="161"/>
      <c r="M6550" s="159"/>
      <c r="N6550" s="94"/>
    </row>
    <row r="6551">
      <c r="A6551" s="107">
        <v>1641716.0</v>
      </c>
      <c r="B6551" s="116" t="s">
        <v>246</v>
      </c>
      <c r="C6551" s="116" t="s">
        <v>1659</v>
      </c>
      <c r="D6551" s="100" t="str">
        <f t="shared" si="1"/>
        <v/>
      </c>
      <c r="E6551" s="100" t="str">
        <f t="shared" si="2"/>
        <v/>
      </c>
      <c r="F6551" s="100" t="str">
        <f t="shared" si="3"/>
        <v/>
      </c>
      <c r="G6551" s="151"/>
      <c r="H6551" s="156"/>
      <c r="I6551" s="171"/>
      <c r="J6551" s="158"/>
      <c r="M6551" s="159"/>
      <c r="N6551" s="94"/>
    </row>
    <row r="6552">
      <c r="A6552" s="114">
        <v>1641716.0</v>
      </c>
      <c r="B6552" s="131" t="s">
        <v>247</v>
      </c>
      <c r="C6552" s="131" t="s">
        <v>1659</v>
      </c>
      <c r="D6552" s="100" t="str">
        <f t="shared" si="1"/>
        <v/>
      </c>
      <c r="E6552" s="100" t="str">
        <f t="shared" si="2"/>
        <v/>
      </c>
      <c r="F6552" s="100" t="str">
        <f t="shared" si="3"/>
        <v/>
      </c>
      <c r="G6552" s="151"/>
      <c r="H6552" s="160"/>
      <c r="I6552" s="171"/>
      <c r="J6552" s="161"/>
      <c r="M6552" s="159"/>
      <c r="N6552" s="94"/>
    </row>
    <row r="6553">
      <c r="A6553" s="107">
        <v>1641717.0</v>
      </c>
      <c r="B6553" s="116" t="s">
        <v>245</v>
      </c>
      <c r="C6553" s="116" t="s">
        <v>1660</v>
      </c>
      <c r="D6553" s="100" t="str">
        <f t="shared" si="1"/>
        <v/>
      </c>
      <c r="E6553" s="100" t="str">
        <f t="shared" si="2"/>
        <v/>
      </c>
      <c r="F6553" s="100" t="str">
        <f t="shared" si="3"/>
        <v/>
      </c>
      <c r="G6553" s="151"/>
      <c r="H6553" s="156"/>
      <c r="I6553" s="171"/>
      <c r="J6553" s="158"/>
      <c r="M6553" s="159"/>
      <c r="N6553" s="94"/>
    </row>
    <row r="6554">
      <c r="A6554" s="107">
        <v>1641717.0</v>
      </c>
      <c r="B6554" s="116" t="s">
        <v>246</v>
      </c>
      <c r="C6554" s="116" t="s">
        <v>1660</v>
      </c>
      <c r="D6554" s="100" t="str">
        <f t="shared" si="1"/>
        <v/>
      </c>
      <c r="E6554" s="100" t="str">
        <f t="shared" si="2"/>
        <v/>
      </c>
      <c r="F6554" s="100" t="str">
        <f t="shared" si="3"/>
        <v/>
      </c>
      <c r="G6554" s="151"/>
      <c r="H6554" s="160"/>
      <c r="I6554" s="171"/>
      <c r="J6554" s="161"/>
      <c r="M6554" s="159"/>
      <c r="N6554" s="94"/>
    </row>
    <row r="6555">
      <c r="A6555" s="149">
        <v>1641717.0</v>
      </c>
      <c r="B6555" s="140" t="s">
        <v>247</v>
      </c>
      <c r="C6555" s="140" t="s">
        <v>1660</v>
      </c>
      <c r="D6555" s="100" t="str">
        <f t="shared" si="1"/>
        <v/>
      </c>
      <c r="E6555" s="100" t="str">
        <f t="shared" si="2"/>
        <v/>
      </c>
      <c r="F6555" s="100" t="str">
        <f t="shared" si="3"/>
        <v/>
      </c>
      <c r="G6555" s="151"/>
      <c r="H6555" s="156"/>
      <c r="I6555" s="171"/>
      <c r="J6555" s="158"/>
      <c r="M6555" s="159"/>
      <c r="N6555" s="94"/>
    </row>
    <row r="6556">
      <c r="A6556" s="107">
        <v>1641718.0</v>
      </c>
      <c r="B6556" s="116" t="s">
        <v>245</v>
      </c>
      <c r="C6556" s="116" t="s">
        <v>1661</v>
      </c>
      <c r="D6556" s="100" t="str">
        <f t="shared" si="1"/>
        <v/>
      </c>
      <c r="E6556" s="100" t="str">
        <f t="shared" si="2"/>
        <v/>
      </c>
      <c r="F6556" s="100" t="str">
        <f t="shared" si="3"/>
        <v/>
      </c>
      <c r="G6556" s="151"/>
      <c r="H6556" s="160"/>
      <c r="I6556" s="171"/>
      <c r="J6556" s="161"/>
      <c r="M6556" s="159"/>
      <c r="N6556" s="94"/>
    </row>
    <row r="6557">
      <c r="A6557" s="107">
        <v>1641718.0</v>
      </c>
      <c r="B6557" s="116" t="s">
        <v>246</v>
      </c>
      <c r="C6557" s="116" t="s">
        <v>1661</v>
      </c>
      <c r="D6557" s="100" t="str">
        <f t="shared" si="1"/>
        <v/>
      </c>
      <c r="E6557" s="100" t="str">
        <f t="shared" si="2"/>
        <v/>
      </c>
      <c r="F6557" s="100" t="str">
        <f t="shared" si="3"/>
        <v/>
      </c>
      <c r="G6557" s="151"/>
      <c r="H6557" s="156"/>
      <c r="I6557" s="171"/>
      <c r="J6557" s="158"/>
      <c r="M6557" s="159"/>
      <c r="N6557" s="94"/>
    </row>
    <row r="6558">
      <c r="A6558" s="149">
        <v>1641718.0</v>
      </c>
      <c r="B6558" s="140" t="s">
        <v>247</v>
      </c>
      <c r="C6558" s="140" t="s">
        <v>1661</v>
      </c>
      <c r="D6558" s="100" t="str">
        <f t="shared" si="1"/>
        <v/>
      </c>
      <c r="E6558" s="100" t="str">
        <f t="shared" si="2"/>
        <v/>
      </c>
      <c r="F6558" s="100" t="str">
        <f t="shared" si="3"/>
        <v/>
      </c>
      <c r="G6558" s="151"/>
      <c r="H6558" s="160"/>
      <c r="I6558" s="171"/>
      <c r="J6558" s="161"/>
      <c r="M6558" s="159"/>
      <c r="N6558" s="94"/>
    </row>
    <row r="6559">
      <c r="A6559" s="21">
        <v>1641720.0</v>
      </c>
      <c r="B6559" s="22" t="s">
        <v>245</v>
      </c>
      <c r="C6559" s="22" t="s">
        <v>1662</v>
      </c>
      <c r="D6559" s="100" t="str">
        <f t="shared" si="1"/>
        <v/>
      </c>
      <c r="E6559" s="100" t="str">
        <f t="shared" si="2"/>
        <v/>
      </c>
      <c r="F6559" s="100" t="str">
        <f t="shared" si="3"/>
        <v/>
      </c>
      <c r="G6559" s="151"/>
      <c r="H6559" s="156"/>
      <c r="I6559" s="171"/>
      <c r="J6559" s="158"/>
      <c r="M6559" s="159"/>
      <c r="N6559" s="94"/>
    </row>
    <row r="6560">
      <c r="A6560" s="107">
        <v>1641720.0</v>
      </c>
      <c r="B6560" s="116" t="s">
        <v>246</v>
      </c>
      <c r="C6560" s="116" t="s">
        <v>1662</v>
      </c>
      <c r="D6560" s="100" t="str">
        <f t="shared" si="1"/>
        <v/>
      </c>
      <c r="E6560" s="100" t="str">
        <f t="shared" si="2"/>
        <v/>
      </c>
      <c r="F6560" s="100" t="str">
        <f t="shared" si="3"/>
        <v/>
      </c>
      <c r="G6560" s="151"/>
      <c r="H6560" s="160"/>
      <c r="I6560" s="171"/>
      <c r="J6560" s="161"/>
      <c r="M6560" s="159"/>
      <c r="N6560" s="94"/>
    </row>
    <row r="6561">
      <c r="A6561" s="107">
        <v>1641721.0</v>
      </c>
      <c r="B6561" s="116" t="s">
        <v>245</v>
      </c>
      <c r="C6561" s="116" t="s">
        <v>1663</v>
      </c>
      <c r="D6561" s="100" t="str">
        <f t="shared" si="1"/>
        <v/>
      </c>
      <c r="E6561" s="100" t="str">
        <f t="shared" si="2"/>
        <v/>
      </c>
      <c r="F6561" s="100" t="str">
        <f t="shared" si="3"/>
        <v/>
      </c>
      <c r="G6561" s="151"/>
      <c r="H6561" s="156"/>
      <c r="I6561" s="171"/>
      <c r="J6561" s="158"/>
      <c r="M6561" s="159"/>
      <c r="N6561" s="94"/>
    </row>
    <row r="6562">
      <c r="A6562" s="126">
        <v>1641721.0</v>
      </c>
      <c r="B6562" s="145" t="s">
        <v>246</v>
      </c>
      <c r="C6562" s="145" t="s">
        <v>1663</v>
      </c>
      <c r="D6562" s="100" t="str">
        <f t="shared" si="1"/>
        <v/>
      </c>
      <c r="E6562" s="100" t="str">
        <f t="shared" si="2"/>
        <v/>
      </c>
      <c r="F6562" s="100" t="str">
        <f t="shared" si="3"/>
        <v/>
      </c>
      <c r="G6562" s="151"/>
      <c r="H6562" s="160"/>
      <c r="I6562" s="171"/>
      <c r="J6562" s="161"/>
      <c r="M6562" s="159"/>
      <c r="N6562" s="94"/>
    </row>
    <row r="6563">
      <c r="A6563" s="107">
        <v>1641722.0</v>
      </c>
      <c r="B6563" s="116" t="s">
        <v>245</v>
      </c>
      <c r="C6563" s="116" t="s">
        <v>1664</v>
      </c>
      <c r="D6563" s="100" t="str">
        <f t="shared" si="1"/>
        <v/>
      </c>
      <c r="E6563" s="100" t="str">
        <f t="shared" si="2"/>
        <v/>
      </c>
      <c r="F6563" s="100" t="str">
        <f t="shared" si="3"/>
        <v/>
      </c>
      <c r="G6563" s="151"/>
      <c r="H6563" s="156"/>
      <c r="I6563" s="171"/>
      <c r="J6563" s="158"/>
      <c r="M6563" s="159"/>
      <c r="N6563" s="94"/>
    </row>
    <row r="6564">
      <c r="A6564" s="107">
        <v>1641722.0</v>
      </c>
      <c r="B6564" s="116" t="s">
        <v>246</v>
      </c>
      <c r="C6564" s="116" t="s">
        <v>1664</v>
      </c>
      <c r="D6564" s="100" t="str">
        <f t="shared" si="1"/>
        <v/>
      </c>
      <c r="E6564" s="100" t="str">
        <f t="shared" si="2"/>
        <v/>
      </c>
      <c r="F6564" s="100" t="str">
        <f t="shared" si="3"/>
        <v/>
      </c>
      <c r="G6564" s="151"/>
      <c r="H6564" s="160"/>
      <c r="I6564" s="171"/>
      <c r="J6564" s="161"/>
      <c r="M6564" s="159"/>
      <c r="N6564" s="94"/>
    </row>
    <row r="6565">
      <c r="A6565" s="114">
        <v>1641722.0</v>
      </c>
      <c r="B6565" s="131" t="s">
        <v>247</v>
      </c>
      <c r="C6565" s="131" t="s">
        <v>1664</v>
      </c>
      <c r="D6565" s="100" t="str">
        <f t="shared" si="1"/>
        <v/>
      </c>
      <c r="E6565" s="100" t="str">
        <f t="shared" si="2"/>
        <v/>
      </c>
      <c r="F6565" s="100" t="str">
        <f t="shared" si="3"/>
        <v/>
      </c>
      <c r="G6565" s="151"/>
      <c r="H6565" s="156"/>
      <c r="I6565" s="171"/>
      <c r="J6565" s="158"/>
      <c r="M6565" s="159"/>
      <c r="N6565" s="94"/>
    </row>
    <row r="6566">
      <c r="A6566" s="107">
        <v>1641723.0</v>
      </c>
      <c r="B6566" s="116" t="s">
        <v>245</v>
      </c>
      <c r="C6566" s="116" t="s">
        <v>1665</v>
      </c>
      <c r="D6566" s="100" t="str">
        <f t="shared" si="1"/>
        <v/>
      </c>
      <c r="E6566" s="100" t="str">
        <f t="shared" si="2"/>
        <v/>
      </c>
      <c r="F6566" s="100" t="str">
        <f t="shared" si="3"/>
        <v/>
      </c>
      <c r="G6566" s="151"/>
      <c r="H6566" s="160"/>
      <c r="I6566" s="171"/>
      <c r="J6566" s="161"/>
      <c r="M6566" s="159"/>
      <c r="N6566" s="94"/>
    </row>
    <row r="6567">
      <c r="A6567" s="163">
        <v>1641723.0</v>
      </c>
      <c r="B6567" s="22" t="s">
        <v>246</v>
      </c>
      <c r="C6567" s="22" t="s">
        <v>1665</v>
      </c>
      <c r="D6567" s="100" t="str">
        <f t="shared" si="1"/>
        <v/>
      </c>
      <c r="E6567" s="100" t="str">
        <f t="shared" si="2"/>
        <v/>
      </c>
      <c r="F6567" s="100" t="str">
        <f t="shared" si="3"/>
        <v/>
      </c>
      <c r="G6567" s="151"/>
      <c r="H6567" s="156"/>
      <c r="I6567" s="171"/>
      <c r="J6567" s="158"/>
      <c r="M6567" s="159"/>
      <c r="N6567" s="94"/>
    </row>
    <row r="6568">
      <c r="A6568" s="107">
        <v>1641723.0</v>
      </c>
      <c r="B6568" s="24" t="s">
        <v>247</v>
      </c>
      <c r="C6568" s="24" t="s">
        <v>1665</v>
      </c>
      <c r="D6568" s="100" t="str">
        <f t="shared" si="1"/>
        <v/>
      </c>
      <c r="E6568" s="100" t="str">
        <f t="shared" si="2"/>
        <v/>
      </c>
      <c r="F6568" s="100" t="str">
        <f t="shared" si="3"/>
        <v/>
      </c>
      <c r="G6568" s="151"/>
      <c r="H6568" s="160"/>
      <c r="I6568" s="172"/>
      <c r="J6568" s="161"/>
      <c r="M6568" s="159"/>
      <c r="N6568" s="94"/>
    </row>
    <row r="6569">
      <c r="A6569" s="107">
        <v>1641724.0</v>
      </c>
      <c r="B6569" s="116" t="s">
        <v>245</v>
      </c>
      <c r="C6569" s="116" t="s">
        <v>1666</v>
      </c>
      <c r="D6569" s="100" t="str">
        <f t="shared" si="1"/>
        <v/>
      </c>
      <c r="E6569" s="100" t="str">
        <f t="shared" si="2"/>
        <v/>
      </c>
      <c r="F6569" s="100" t="str">
        <f t="shared" si="3"/>
        <v/>
      </c>
      <c r="G6569" s="151"/>
      <c r="H6569" s="156"/>
      <c r="I6569" s="171"/>
      <c r="J6569" s="158"/>
      <c r="M6569" s="159"/>
      <c r="N6569" s="94"/>
    </row>
    <row r="6570">
      <c r="A6570" s="21">
        <v>1641724.0</v>
      </c>
      <c r="B6570" s="22" t="s">
        <v>246</v>
      </c>
      <c r="C6570" s="22" t="s">
        <v>1666</v>
      </c>
      <c r="D6570" s="100" t="str">
        <f t="shared" si="1"/>
        <v/>
      </c>
      <c r="E6570" s="100" t="str">
        <f t="shared" si="2"/>
        <v/>
      </c>
      <c r="F6570" s="100" t="str">
        <f t="shared" si="3"/>
        <v/>
      </c>
      <c r="G6570" s="151"/>
      <c r="H6570" s="160"/>
      <c r="I6570" s="172"/>
      <c r="J6570" s="161"/>
      <c r="M6570" s="159"/>
      <c r="N6570" s="94"/>
    </row>
    <row r="6571">
      <c r="A6571" s="149">
        <v>1641724.0</v>
      </c>
      <c r="B6571" s="140" t="s">
        <v>247</v>
      </c>
      <c r="C6571" s="140" t="s">
        <v>1666</v>
      </c>
      <c r="D6571" s="100" t="str">
        <f t="shared" si="1"/>
        <v/>
      </c>
      <c r="E6571" s="100" t="str">
        <f t="shared" si="2"/>
        <v/>
      </c>
      <c r="F6571" s="100" t="str">
        <f t="shared" si="3"/>
        <v/>
      </c>
      <c r="G6571" s="151"/>
      <c r="H6571" s="156"/>
      <c r="I6571" s="172"/>
      <c r="J6571" s="158"/>
      <c r="M6571" s="159"/>
      <c r="N6571" s="94"/>
    </row>
    <row r="6572">
      <c r="A6572" s="107">
        <v>1641725.0</v>
      </c>
      <c r="B6572" s="116" t="s">
        <v>246</v>
      </c>
      <c r="C6572" s="116" t="s">
        <v>1667</v>
      </c>
      <c r="D6572" s="100" t="str">
        <f t="shared" si="1"/>
        <v/>
      </c>
      <c r="E6572" s="100" t="str">
        <f t="shared" si="2"/>
        <v/>
      </c>
      <c r="F6572" s="100" t="str">
        <f t="shared" si="3"/>
        <v/>
      </c>
      <c r="G6572" s="151"/>
      <c r="H6572" s="160"/>
      <c r="I6572" s="171"/>
      <c r="J6572" s="161"/>
      <c r="M6572" s="159"/>
      <c r="N6572" s="94"/>
    </row>
    <row r="6573">
      <c r="A6573" s="140">
        <v>1641725.0</v>
      </c>
      <c r="B6573" s="140" t="s">
        <v>247</v>
      </c>
      <c r="C6573" s="140" t="s">
        <v>1667</v>
      </c>
      <c r="D6573" s="100" t="str">
        <f t="shared" si="1"/>
        <v/>
      </c>
      <c r="E6573" s="100" t="str">
        <f t="shared" si="2"/>
        <v/>
      </c>
      <c r="F6573" s="100" t="str">
        <f t="shared" si="3"/>
        <v/>
      </c>
      <c r="G6573" s="151"/>
      <c r="H6573" s="156"/>
      <c r="I6573" s="171"/>
      <c r="J6573" s="158"/>
      <c r="M6573" s="159"/>
      <c r="N6573" s="94"/>
    </row>
    <row r="6574">
      <c r="A6574" s="107">
        <v>1641726.0</v>
      </c>
      <c r="B6574" s="116" t="s">
        <v>245</v>
      </c>
      <c r="C6574" s="116" t="s">
        <v>1668</v>
      </c>
      <c r="D6574" s="100" t="str">
        <f t="shared" si="1"/>
        <v/>
      </c>
      <c r="E6574" s="100" t="str">
        <f t="shared" si="2"/>
        <v/>
      </c>
      <c r="F6574" s="100" t="str">
        <f t="shared" si="3"/>
        <v/>
      </c>
      <c r="G6574" s="151"/>
      <c r="H6574" s="160"/>
      <c r="I6574" s="171"/>
      <c r="J6574" s="161"/>
      <c r="M6574" s="159"/>
      <c r="N6574" s="94"/>
    </row>
    <row r="6575">
      <c r="A6575" s="21">
        <v>1641726.0</v>
      </c>
      <c r="B6575" s="22" t="s">
        <v>246</v>
      </c>
      <c r="C6575" s="22" t="s">
        <v>1668</v>
      </c>
      <c r="D6575" s="100" t="str">
        <f t="shared" si="1"/>
        <v/>
      </c>
      <c r="E6575" s="100" t="str">
        <f t="shared" si="2"/>
        <v/>
      </c>
      <c r="F6575" s="100" t="str">
        <f t="shared" si="3"/>
        <v/>
      </c>
      <c r="G6575" s="151"/>
      <c r="H6575" s="156"/>
      <c r="I6575" s="171"/>
      <c r="J6575" s="158"/>
      <c r="M6575" s="159"/>
      <c r="N6575" s="94"/>
    </row>
    <row r="6576">
      <c r="A6576" s="149">
        <v>1641726.0</v>
      </c>
      <c r="B6576" s="140" t="s">
        <v>247</v>
      </c>
      <c r="C6576" s="140" t="s">
        <v>1668</v>
      </c>
      <c r="D6576" s="100" t="str">
        <f t="shared" si="1"/>
        <v/>
      </c>
      <c r="E6576" s="100" t="str">
        <f t="shared" si="2"/>
        <v/>
      </c>
      <c r="F6576" s="100" t="str">
        <f t="shared" si="3"/>
        <v/>
      </c>
      <c r="G6576" s="151"/>
      <c r="H6576" s="160"/>
      <c r="I6576" s="171"/>
      <c r="J6576" s="161"/>
      <c r="M6576" s="159"/>
      <c r="N6576" s="94"/>
    </row>
    <row r="6577">
      <c r="A6577" s="107">
        <v>1641727.0</v>
      </c>
      <c r="B6577" s="116" t="s">
        <v>245</v>
      </c>
      <c r="C6577" s="116" t="s">
        <v>1669</v>
      </c>
      <c r="D6577" s="100" t="str">
        <f t="shared" si="1"/>
        <v/>
      </c>
      <c r="E6577" s="100" t="str">
        <f t="shared" si="2"/>
        <v/>
      </c>
      <c r="F6577" s="100" t="str">
        <f t="shared" si="3"/>
        <v/>
      </c>
      <c r="G6577" s="151"/>
      <c r="H6577" s="156"/>
      <c r="I6577" s="171"/>
      <c r="J6577" s="158"/>
      <c r="M6577" s="159"/>
      <c r="N6577" s="94"/>
    </row>
    <row r="6578">
      <c r="A6578" s="21">
        <v>1641727.0</v>
      </c>
      <c r="B6578" s="22" t="s">
        <v>246</v>
      </c>
      <c r="C6578" s="22" t="s">
        <v>1669</v>
      </c>
      <c r="D6578" s="100" t="str">
        <f t="shared" si="1"/>
        <v/>
      </c>
      <c r="E6578" s="100" t="str">
        <f t="shared" si="2"/>
        <v/>
      </c>
      <c r="F6578" s="100" t="str">
        <f t="shared" si="3"/>
        <v/>
      </c>
      <c r="G6578" s="151"/>
      <c r="H6578" s="160"/>
      <c r="I6578" s="171"/>
      <c r="J6578" s="161"/>
      <c r="M6578" s="159"/>
      <c r="N6578" s="94"/>
    </row>
    <row r="6579">
      <c r="A6579" s="107">
        <v>1641729.0</v>
      </c>
      <c r="B6579" s="116" t="s">
        <v>245</v>
      </c>
      <c r="C6579" s="116" t="s">
        <v>1670</v>
      </c>
      <c r="D6579" s="100" t="str">
        <f t="shared" si="1"/>
        <v/>
      </c>
      <c r="E6579" s="100" t="str">
        <f t="shared" si="2"/>
        <v/>
      </c>
      <c r="F6579" s="100" t="str">
        <f t="shared" si="3"/>
        <v/>
      </c>
      <c r="G6579" s="151"/>
      <c r="H6579" s="156"/>
      <c r="I6579" s="171"/>
      <c r="J6579" s="158"/>
      <c r="M6579" s="159"/>
      <c r="N6579" s="94"/>
    </row>
    <row r="6580">
      <c r="A6580" s="107">
        <v>1641729.0</v>
      </c>
      <c r="B6580" s="116" t="s">
        <v>246</v>
      </c>
      <c r="C6580" s="116" t="s">
        <v>1670</v>
      </c>
      <c r="D6580" s="100" t="str">
        <f t="shared" si="1"/>
        <v/>
      </c>
      <c r="E6580" s="100" t="str">
        <f t="shared" si="2"/>
        <v/>
      </c>
      <c r="F6580" s="100" t="str">
        <f t="shared" si="3"/>
        <v/>
      </c>
      <c r="G6580" s="151"/>
      <c r="H6580" s="160"/>
      <c r="I6580" s="171"/>
      <c r="J6580" s="161"/>
      <c r="M6580" s="159"/>
      <c r="N6580" s="94"/>
    </row>
    <row r="6581">
      <c r="A6581" s="114">
        <v>1641729.0</v>
      </c>
      <c r="B6581" s="131" t="s">
        <v>247</v>
      </c>
      <c r="C6581" s="131" t="s">
        <v>1670</v>
      </c>
      <c r="D6581" s="100" t="str">
        <f t="shared" si="1"/>
        <v/>
      </c>
      <c r="E6581" s="100" t="str">
        <f t="shared" si="2"/>
        <v/>
      </c>
      <c r="F6581" s="100" t="str">
        <f t="shared" si="3"/>
        <v/>
      </c>
      <c r="G6581" s="151"/>
      <c r="H6581" s="156"/>
      <c r="I6581" s="171"/>
      <c r="J6581" s="158"/>
      <c r="M6581" s="159"/>
      <c r="N6581" s="94"/>
    </row>
    <row r="6582">
      <c r="A6582" s="107">
        <v>1641730.0</v>
      </c>
      <c r="B6582" s="116" t="s">
        <v>245</v>
      </c>
      <c r="C6582" s="116" t="s">
        <v>1671</v>
      </c>
      <c r="D6582" s="100" t="str">
        <f t="shared" si="1"/>
        <v/>
      </c>
      <c r="E6582" s="100" t="str">
        <f t="shared" si="2"/>
        <v/>
      </c>
      <c r="F6582" s="100" t="str">
        <f t="shared" si="3"/>
        <v/>
      </c>
      <c r="G6582" s="151"/>
      <c r="H6582" s="160"/>
      <c r="I6582" s="171"/>
      <c r="J6582" s="161"/>
      <c r="M6582" s="159"/>
      <c r="N6582" s="94"/>
    </row>
    <row r="6583">
      <c r="A6583" s="107">
        <v>1641730.0</v>
      </c>
      <c r="B6583" s="116" t="s">
        <v>246</v>
      </c>
      <c r="C6583" s="116" t="s">
        <v>1671</v>
      </c>
      <c r="D6583" s="100" t="str">
        <f t="shared" si="1"/>
        <v/>
      </c>
      <c r="E6583" s="100" t="str">
        <f t="shared" si="2"/>
        <v/>
      </c>
      <c r="F6583" s="100" t="str">
        <f t="shared" si="3"/>
        <v/>
      </c>
      <c r="G6583" s="151"/>
      <c r="H6583" s="156"/>
      <c r="I6583" s="171"/>
      <c r="J6583" s="158"/>
      <c r="M6583" s="159"/>
      <c r="N6583" s="94"/>
    </row>
    <row r="6584">
      <c r="A6584" s="114">
        <v>1641730.0</v>
      </c>
      <c r="B6584" s="131" t="s">
        <v>247</v>
      </c>
      <c r="C6584" s="131" t="s">
        <v>1671</v>
      </c>
      <c r="D6584" s="100" t="str">
        <f t="shared" si="1"/>
        <v/>
      </c>
      <c r="E6584" s="100" t="str">
        <f t="shared" si="2"/>
        <v/>
      </c>
      <c r="F6584" s="100" t="str">
        <f t="shared" si="3"/>
        <v/>
      </c>
      <c r="G6584" s="151"/>
      <c r="H6584" s="160"/>
      <c r="I6584" s="171"/>
      <c r="J6584" s="161"/>
      <c r="M6584" s="159"/>
      <c r="N6584" s="94"/>
    </row>
    <row r="6585">
      <c r="A6585" s="107">
        <v>1641731.0</v>
      </c>
      <c r="B6585" s="116" t="s">
        <v>245</v>
      </c>
      <c r="C6585" s="116" t="s">
        <v>1672</v>
      </c>
      <c r="D6585" s="100" t="str">
        <f t="shared" si="1"/>
        <v/>
      </c>
      <c r="E6585" s="100" t="str">
        <f t="shared" si="2"/>
        <v/>
      </c>
      <c r="F6585" s="100" t="str">
        <f t="shared" si="3"/>
        <v/>
      </c>
      <c r="G6585" s="151"/>
      <c r="H6585" s="156"/>
      <c r="I6585" s="171"/>
      <c r="J6585" s="158"/>
      <c r="M6585" s="159"/>
      <c r="N6585" s="94"/>
    </row>
    <row r="6586">
      <c r="A6586" s="107">
        <v>1641731.0</v>
      </c>
      <c r="B6586" s="116" t="s">
        <v>246</v>
      </c>
      <c r="C6586" s="116" t="s">
        <v>1672</v>
      </c>
      <c r="D6586" s="100" t="str">
        <f t="shared" si="1"/>
        <v/>
      </c>
      <c r="E6586" s="100" t="str">
        <f t="shared" si="2"/>
        <v/>
      </c>
      <c r="F6586" s="100" t="str">
        <f t="shared" si="3"/>
        <v/>
      </c>
      <c r="G6586" s="151"/>
      <c r="H6586" s="160"/>
      <c r="I6586" s="171"/>
      <c r="J6586" s="161"/>
      <c r="M6586" s="159"/>
      <c r="N6586" s="94"/>
    </row>
    <row r="6587">
      <c r="A6587" s="114">
        <v>1641731.0</v>
      </c>
      <c r="B6587" s="131" t="s">
        <v>247</v>
      </c>
      <c r="C6587" s="140" t="s">
        <v>1672</v>
      </c>
      <c r="D6587" s="100" t="str">
        <f t="shared" si="1"/>
        <v/>
      </c>
      <c r="E6587" s="100" t="str">
        <f t="shared" si="2"/>
        <v/>
      </c>
      <c r="F6587" s="100" t="str">
        <f t="shared" si="3"/>
        <v/>
      </c>
      <c r="G6587" s="151"/>
      <c r="H6587" s="156"/>
      <c r="I6587" s="172"/>
      <c r="J6587" s="158"/>
      <c r="M6587" s="159"/>
      <c r="N6587" s="94"/>
    </row>
    <row r="6588">
      <c r="A6588" s="107">
        <v>1641732.0</v>
      </c>
      <c r="B6588" s="116" t="s">
        <v>245</v>
      </c>
      <c r="C6588" s="116" t="s">
        <v>1673</v>
      </c>
      <c r="D6588" s="100" t="str">
        <f t="shared" si="1"/>
        <v/>
      </c>
      <c r="E6588" s="100" t="str">
        <f t="shared" si="2"/>
        <v/>
      </c>
      <c r="F6588" s="100" t="str">
        <f t="shared" si="3"/>
        <v/>
      </c>
      <c r="G6588" s="151"/>
      <c r="H6588" s="160"/>
      <c r="I6588" s="171"/>
      <c r="J6588" s="161"/>
      <c r="M6588" s="159"/>
      <c r="N6588" s="94"/>
    </row>
    <row r="6589">
      <c r="A6589" s="107">
        <v>1641732.0</v>
      </c>
      <c r="B6589" s="116" t="s">
        <v>246</v>
      </c>
      <c r="C6589" s="116" t="s">
        <v>1673</v>
      </c>
      <c r="D6589" s="100" t="str">
        <f t="shared" si="1"/>
        <v/>
      </c>
      <c r="E6589" s="100" t="str">
        <f t="shared" si="2"/>
        <v/>
      </c>
      <c r="F6589" s="100" t="str">
        <f t="shared" si="3"/>
        <v/>
      </c>
      <c r="G6589" s="151"/>
      <c r="H6589" s="156"/>
      <c r="I6589" s="171"/>
      <c r="J6589" s="158"/>
      <c r="M6589" s="159"/>
      <c r="N6589" s="94"/>
    </row>
    <row r="6590">
      <c r="A6590" s="149">
        <v>1641732.0</v>
      </c>
      <c r="B6590" s="140" t="s">
        <v>247</v>
      </c>
      <c r="C6590" s="140" t="s">
        <v>1673</v>
      </c>
      <c r="D6590" s="100" t="str">
        <f t="shared" si="1"/>
        <v/>
      </c>
      <c r="E6590" s="100" t="str">
        <f t="shared" si="2"/>
        <v/>
      </c>
      <c r="F6590" s="100" t="str">
        <f t="shared" si="3"/>
        <v/>
      </c>
      <c r="G6590" s="151"/>
      <c r="H6590" s="160"/>
      <c r="I6590" s="171"/>
      <c r="J6590" s="161"/>
      <c r="M6590" s="159"/>
      <c r="N6590" s="94"/>
    </row>
    <row r="6591">
      <c r="A6591" s="107">
        <v>1641733.0</v>
      </c>
      <c r="B6591" s="116" t="s">
        <v>245</v>
      </c>
      <c r="C6591" s="116" t="s">
        <v>1674</v>
      </c>
      <c r="D6591" s="100" t="str">
        <f t="shared" si="1"/>
        <v/>
      </c>
      <c r="E6591" s="100" t="str">
        <f t="shared" si="2"/>
        <v/>
      </c>
      <c r="F6591" s="100" t="str">
        <f t="shared" si="3"/>
        <v/>
      </c>
      <c r="G6591" s="151"/>
      <c r="H6591" s="156"/>
      <c r="I6591" s="171"/>
      <c r="J6591" s="158"/>
      <c r="M6591" s="159"/>
      <c r="N6591" s="94"/>
    </row>
    <row r="6592">
      <c r="A6592" s="107">
        <v>1641733.0</v>
      </c>
      <c r="B6592" s="116" t="s">
        <v>246</v>
      </c>
      <c r="C6592" s="116" t="s">
        <v>1674</v>
      </c>
      <c r="D6592" s="100" t="str">
        <f t="shared" si="1"/>
        <v/>
      </c>
      <c r="E6592" s="100" t="str">
        <f t="shared" si="2"/>
        <v/>
      </c>
      <c r="F6592" s="100" t="str">
        <f t="shared" si="3"/>
        <v/>
      </c>
      <c r="G6592" s="151"/>
      <c r="H6592" s="160"/>
      <c r="I6592" s="171"/>
      <c r="J6592" s="161"/>
      <c r="M6592" s="159"/>
      <c r="N6592" s="94"/>
    </row>
    <row r="6593">
      <c r="A6593" s="114">
        <v>1641733.0</v>
      </c>
      <c r="B6593" s="131" t="s">
        <v>247</v>
      </c>
      <c r="C6593" s="22" t="s">
        <v>1674</v>
      </c>
      <c r="D6593" s="100" t="str">
        <f t="shared" si="1"/>
        <v/>
      </c>
      <c r="E6593" s="100" t="str">
        <f t="shared" si="2"/>
        <v/>
      </c>
      <c r="F6593" s="100" t="str">
        <f t="shared" si="3"/>
        <v/>
      </c>
      <c r="G6593" s="151"/>
      <c r="H6593" s="156"/>
      <c r="I6593" s="171"/>
      <c r="J6593" s="158"/>
      <c r="M6593" s="159"/>
      <c r="N6593" s="94"/>
    </row>
    <row r="6594">
      <c r="A6594" s="107">
        <v>1641734.0</v>
      </c>
      <c r="B6594" s="116" t="s">
        <v>245</v>
      </c>
      <c r="C6594" s="116" t="s">
        <v>1675</v>
      </c>
      <c r="D6594" s="100" t="str">
        <f t="shared" si="1"/>
        <v/>
      </c>
      <c r="E6594" s="100" t="str">
        <f t="shared" si="2"/>
        <v/>
      </c>
      <c r="F6594" s="100" t="str">
        <f t="shared" si="3"/>
        <v/>
      </c>
      <c r="G6594" s="151"/>
      <c r="H6594" s="160"/>
      <c r="I6594" s="171"/>
      <c r="J6594" s="161"/>
      <c r="M6594" s="159"/>
      <c r="N6594" s="94"/>
    </row>
    <row r="6595">
      <c r="A6595" s="107">
        <v>1641734.0</v>
      </c>
      <c r="B6595" s="116" t="s">
        <v>246</v>
      </c>
      <c r="C6595" s="116" t="s">
        <v>1675</v>
      </c>
      <c r="D6595" s="100" t="str">
        <f t="shared" si="1"/>
        <v/>
      </c>
      <c r="E6595" s="100" t="str">
        <f t="shared" si="2"/>
        <v/>
      </c>
      <c r="F6595" s="100" t="str">
        <f t="shared" si="3"/>
        <v/>
      </c>
      <c r="G6595" s="151"/>
      <c r="H6595" s="156"/>
      <c r="I6595" s="171"/>
      <c r="J6595" s="158"/>
      <c r="M6595" s="159"/>
      <c r="N6595" s="94"/>
    </row>
    <row r="6596">
      <c r="A6596" s="21">
        <v>1641735.0</v>
      </c>
      <c r="B6596" s="22" t="s">
        <v>245</v>
      </c>
      <c r="C6596" s="22" t="s">
        <v>1676</v>
      </c>
      <c r="D6596" s="100" t="str">
        <f t="shared" si="1"/>
        <v/>
      </c>
      <c r="E6596" s="100" t="str">
        <f t="shared" si="2"/>
        <v/>
      </c>
      <c r="F6596" s="100" t="str">
        <f t="shared" si="3"/>
        <v/>
      </c>
      <c r="G6596" s="151"/>
      <c r="H6596" s="160"/>
      <c r="I6596" s="171"/>
      <c r="J6596" s="161"/>
      <c r="M6596" s="159"/>
      <c r="N6596" s="94"/>
    </row>
    <row r="6597">
      <c r="A6597" s="107">
        <v>1641736.0</v>
      </c>
      <c r="B6597" s="116" t="s">
        <v>246</v>
      </c>
      <c r="C6597" s="116" t="s">
        <v>1677</v>
      </c>
      <c r="D6597" s="100" t="str">
        <f t="shared" si="1"/>
        <v/>
      </c>
      <c r="E6597" s="100" t="str">
        <f t="shared" si="2"/>
        <v/>
      </c>
      <c r="F6597" s="100" t="str">
        <f t="shared" si="3"/>
        <v/>
      </c>
      <c r="G6597" s="151"/>
      <c r="H6597" s="156"/>
      <c r="I6597" s="171"/>
      <c r="J6597" s="158"/>
      <c r="M6597" s="159"/>
      <c r="N6597" s="94"/>
    </row>
    <row r="6598">
      <c r="A6598" s="107">
        <v>1641737.0</v>
      </c>
      <c r="B6598" s="116" t="s">
        <v>246</v>
      </c>
      <c r="C6598" s="116" t="s">
        <v>1678</v>
      </c>
      <c r="D6598" s="100" t="str">
        <f t="shared" si="1"/>
        <v/>
      </c>
      <c r="E6598" s="100" t="str">
        <f t="shared" si="2"/>
        <v/>
      </c>
      <c r="F6598" s="100" t="str">
        <f t="shared" si="3"/>
        <v/>
      </c>
      <c r="G6598" s="151"/>
      <c r="H6598" s="160"/>
      <c r="I6598" s="171"/>
      <c r="J6598" s="161"/>
      <c r="M6598" s="159"/>
      <c r="N6598" s="94"/>
    </row>
    <row r="6599">
      <c r="A6599" s="114">
        <v>1641737.0</v>
      </c>
      <c r="B6599" s="131" t="s">
        <v>247</v>
      </c>
      <c r="C6599" s="131" t="s">
        <v>1678</v>
      </c>
      <c r="D6599" s="100" t="str">
        <f t="shared" si="1"/>
        <v/>
      </c>
      <c r="E6599" s="100" t="str">
        <f t="shared" si="2"/>
        <v/>
      </c>
      <c r="F6599" s="100" t="str">
        <f t="shared" si="3"/>
        <v/>
      </c>
      <c r="G6599" s="151"/>
      <c r="H6599" s="156"/>
      <c r="I6599" s="171"/>
      <c r="J6599" s="158"/>
      <c r="M6599" s="159"/>
      <c r="N6599" s="94"/>
    </row>
    <row r="6600">
      <c r="A6600" s="107">
        <v>1641738.0</v>
      </c>
      <c r="B6600" s="116" t="s">
        <v>245</v>
      </c>
      <c r="C6600" s="116" t="s">
        <v>1679</v>
      </c>
      <c r="D6600" s="100" t="str">
        <f t="shared" si="1"/>
        <v/>
      </c>
      <c r="E6600" s="100" t="str">
        <f t="shared" si="2"/>
        <v/>
      </c>
      <c r="F6600" s="100" t="str">
        <f t="shared" si="3"/>
        <v/>
      </c>
      <c r="G6600" s="151"/>
      <c r="H6600" s="160"/>
      <c r="I6600" s="171"/>
      <c r="J6600" s="161"/>
      <c r="M6600" s="159"/>
      <c r="N6600" s="94"/>
    </row>
    <row r="6601">
      <c r="A6601" s="21">
        <v>1641738.0</v>
      </c>
      <c r="B6601" s="22" t="s">
        <v>246</v>
      </c>
      <c r="C6601" s="22" t="s">
        <v>1679</v>
      </c>
      <c r="D6601" s="100" t="str">
        <f t="shared" si="1"/>
        <v/>
      </c>
      <c r="E6601" s="100" t="str">
        <f t="shared" si="2"/>
        <v/>
      </c>
      <c r="F6601" s="100" t="str">
        <f t="shared" si="3"/>
        <v/>
      </c>
      <c r="G6601" s="151"/>
      <c r="H6601" s="156"/>
      <c r="I6601" s="171"/>
      <c r="J6601" s="158"/>
      <c r="M6601" s="159"/>
      <c r="N6601" s="94"/>
    </row>
    <row r="6602">
      <c r="A6602" s="149">
        <v>1641738.0</v>
      </c>
      <c r="B6602" s="140" t="s">
        <v>247</v>
      </c>
      <c r="C6602" s="140" t="s">
        <v>1679</v>
      </c>
      <c r="D6602" s="100" t="str">
        <f t="shared" si="1"/>
        <v/>
      </c>
      <c r="E6602" s="100" t="str">
        <f t="shared" si="2"/>
        <v/>
      </c>
      <c r="F6602" s="100" t="str">
        <f t="shared" si="3"/>
        <v/>
      </c>
      <c r="G6602" s="151"/>
      <c r="H6602" s="160"/>
      <c r="I6602" s="171"/>
      <c r="J6602" s="161"/>
      <c r="M6602" s="159"/>
      <c r="N6602" s="94"/>
    </row>
    <row r="6603">
      <c r="A6603" s="107">
        <v>1641739.0</v>
      </c>
      <c r="B6603" s="116" t="s">
        <v>245</v>
      </c>
      <c r="C6603" s="116" t="s">
        <v>1680</v>
      </c>
      <c r="D6603" s="100" t="str">
        <f t="shared" si="1"/>
        <v/>
      </c>
      <c r="E6603" s="100" t="str">
        <f t="shared" si="2"/>
        <v/>
      </c>
      <c r="F6603" s="100" t="str">
        <f t="shared" si="3"/>
        <v/>
      </c>
      <c r="G6603" s="151"/>
      <c r="H6603" s="156"/>
      <c r="I6603" s="171"/>
      <c r="J6603" s="158"/>
      <c r="M6603" s="159"/>
      <c r="N6603" s="94"/>
    </row>
    <row r="6604">
      <c r="A6604" s="107">
        <v>1641739.0</v>
      </c>
      <c r="B6604" s="116" t="s">
        <v>246</v>
      </c>
      <c r="C6604" s="116" t="s">
        <v>1680</v>
      </c>
      <c r="D6604" s="100" t="str">
        <f t="shared" si="1"/>
        <v/>
      </c>
      <c r="E6604" s="100" t="str">
        <f t="shared" si="2"/>
        <v/>
      </c>
      <c r="F6604" s="100" t="str">
        <f t="shared" si="3"/>
        <v/>
      </c>
      <c r="G6604" s="151"/>
      <c r="H6604" s="160"/>
      <c r="I6604" s="171"/>
      <c r="J6604" s="161"/>
      <c r="M6604" s="159"/>
      <c r="N6604" s="94"/>
    </row>
    <row r="6605">
      <c r="A6605" s="169">
        <v>1641739.0</v>
      </c>
      <c r="B6605" s="131" t="s">
        <v>247</v>
      </c>
      <c r="C6605" s="131" t="s">
        <v>1680</v>
      </c>
      <c r="D6605" s="100" t="str">
        <f t="shared" si="1"/>
        <v/>
      </c>
      <c r="E6605" s="100" t="str">
        <f t="shared" si="2"/>
        <v/>
      </c>
      <c r="F6605" s="100" t="str">
        <f t="shared" si="3"/>
        <v/>
      </c>
      <c r="G6605" s="151"/>
      <c r="H6605" s="156"/>
      <c r="I6605" s="171"/>
      <c r="J6605" s="158"/>
      <c r="M6605" s="159"/>
      <c r="N6605" s="94"/>
    </row>
    <row r="6606">
      <c r="A6606" s="107">
        <v>1641740.0</v>
      </c>
      <c r="B6606" s="116" t="s">
        <v>246</v>
      </c>
      <c r="C6606" s="116" t="s">
        <v>1681</v>
      </c>
      <c r="D6606" s="100" t="str">
        <f t="shared" si="1"/>
        <v/>
      </c>
      <c r="E6606" s="100" t="str">
        <f t="shared" si="2"/>
        <v/>
      </c>
      <c r="F6606" s="100" t="str">
        <f t="shared" si="3"/>
        <v/>
      </c>
      <c r="G6606" s="151"/>
      <c r="H6606" s="160"/>
      <c r="I6606" s="171"/>
      <c r="J6606" s="161"/>
      <c r="M6606" s="159"/>
      <c r="N6606" s="94"/>
    </row>
    <row r="6607">
      <c r="A6607" s="149">
        <v>1641740.0</v>
      </c>
      <c r="B6607" s="140" t="s">
        <v>247</v>
      </c>
      <c r="C6607" s="140" t="s">
        <v>1681</v>
      </c>
      <c r="D6607" s="100" t="str">
        <f t="shared" si="1"/>
        <v/>
      </c>
      <c r="E6607" s="100" t="str">
        <f t="shared" si="2"/>
        <v/>
      </c>
      <c r="F6607" s="100" t="str">
        <f t="shared" si="3"/>
        <v/>
      </c>
      <c r="G6607" s="151"/>
      <c r="H6607" s="156"/>
      <c r="I6607" s="171"/>
      <c r="J6607" s="158"/>
      <c r="M6607" s="159"/>
      <c r="N6607" s="94"/>
    </row>
    <row r="6608">
      <c r="A6608" s="21">
        <v>1641741.0</v>
      </c>
      <c r="B6608" s="22" t="s">
        <v>245</v>
      </c>
      <c r="C6608" s="22" t="s">
        <v>1682</v>
      </c>
      <c r="D6608" s="100" t="str">
        <f t="shared" si="1"/>
        <v/>
      </c>
      <c r="E6608" s="100" t="str">
        <f t="shared" si="2"/>
        <v/>
      </c>
      <c r="F6608" s="100" t="str">
        <f t="shared" si="3"/>
        <v/>
      </c>
      <c r="G6608" s="151"/>
      <c r="H6608" s="160"/>
      <c r="I6608" s="172"/>
      <c r="J6608" s="161"/>
      <c r="M6608" s="159"/>
      <c r="N6608" s="94"/>
    </row>
    <row r="6609">
      <c r="A6609" s="107">
        <v>1641741.0</v>
      </c>
      <c r="B6609" s="116" t="s">
        <v>246</v>
      </c>
      <c r="C6609" s="116" t="s">
        <v>1682</v>
      </c>
      <c r="D6609" s="100" t="str">
        <f t="shared" si="1"/>
        <v/>
      </c>
      <c r="E6609" s="100" t="str">
        <f t="shared" si="2"/>
        <v/>
      </c>
      <c r="F6609" s="100" t="str">
        <f t="shared" si="3"/>
        <v/>
      </c>
      <c r="G6609" s="151"/>
      <c r="H6609" s="156"/>
      <c r="I6609" s="172"/>
      <c r="J6609" s="158"/>
      <c r="M6609" s="159"/>
      <c r="N6609" s="94"/>
    </row>
    <row r="6610">
      <c r="A6610" s="107">
        <v>1641744.0</v>
      </c>
      <c r="B6610" s="116" t="s">
        <v>246</v>
      </c>
      <c r="C6610" s="116" t="s">
        <v>1683</v>
      </c>
      <c r="D6610" s="100" t="str">
        <f t="shared" si="1"/>
        <v/>
      </c>
      <c r="E6610" s="100" t="str">
        <f t="shared" si="2"/>
        <v/>
      </c>
      <c r="F6610" s="100" t="str">
        <f t="shared" si="3"/>
        <v/>
      </c>
      <c r="G6610" s="151"/>
      <c r="H6610" s="160"/>
      <c r="I6610" s="171"/>
      <c r="J6610" s="161"/>
      <c r="M6610" s="159"/>
      <c r="N6610" s="94"/>
    </row>
    <row r="6611">
      <c r="A6611" s="131">
        <v>1641744.0</v>
      </c>
      <c r="B6611" s="131" t="s">
        <v>247</v>
      </c>
      <c r="C6611" s="140" t="s">
        <v>1683</v>
      </c>
      <c r="D6611" s="100" t="str">
        <f t="shared" si="1"/>
        <v/>
      </c>
      <c r="E6611" s="100" t="str">
        <f t="shared" si="2"/>
        <v/>
      </c>
      <c r="F6611" s="100" t="str">
        <f t="shared" si="3"/>
        <v/>
      </c>
      <c r="G6611" s="151"/>
      <c r="H6611" s="156"/>
      <c r="I6611" s="171"/>
      <c r="J6611" s="158"/>
      <c r="M6611" s="159"/>
      <c r="N6611" s="94"/>
    </row>
    <row r="6612">
      <c r="A6612" s="107">
        <v>1641745.0</v>
      </c>
      <c r="B6612" s="116" t="s">
        <v>245</v>
      </c>
      <c r="C6612" s="116" t="s">
        <v>1684</v>
      </c>
      <c r="D6612" s="100" t="str">
        <f t="shared" si="1"/>
        <v/>
      </c>
      <c r="E6612" s="100" t="str">
        <f t="shared" si="2"/>
        <v/>
      </c>
      <c r="F6612" s="100" t="str">
        <f t="shared" si="3"/>
        <v/>
      </c>
      <c r="G6612" s="151"/>
      <c r="H6612" s="160"/>
      <c r="I6612" s="171"/>
      <c r="J6612" s="161"/>
      <c r="M6612" s="159"/>
      <c r="N6612" s="94"/>
    </row>
    <row r="6613">
      <c r="A6613" s="21">
        <v>1641745.0</v>
      </c>
      <c r="B6613" s="22" t="s">
        <v>246</v>
      </c>
      <c r="C6613" s="22" t="s">
        <v>1684</v>
      </c>
      <c r="D6613" s="100" t="str">
        <f t="shared" si="1"/>
        <v/>
      </c>
      <c r="E6613" s="100" t="str">
        <f t="shared" si="2"/>
        <v/>
      </c>
      <c r="F6613" s="100" t="str">
        <f t="shared" si="3"/>
        <v/>
      </c>
      <c r="G6613" s="151"/>
      <c r="H6613" s="156"/>
      <c r="I6613" s="171"/>
      <c r="J6613" s="158"/>
      <c r="M6613" s="159"/>
      <c r="N6613" s="94"/>
    </row>
    <row r="6614">
      <c r="A6614" s="149">
        <v>1641747.0</v>
      </c>
      <c r="B6614" s="140" t="s">
        <v>247</v>
      </c>
      <c r="C6614" s="140" t="s">
        <v>1685</v>
      </c>
      <c r="D6614" s="100" t="str">
        <f t="shared" si="1"/>
        <v/>
      </c>
      <c r="E6614" s="100" t="str">
        <f t="shared" si="2"/>
        <v/>
      </c>
      <c r="F6614" s="100" t="str">
        <f t="shared" si="3"/>
        <v/>
      </c>
      <c r="G6614" s="151"/>
      <c r="H6614" s="160"/>
      <c r="I6614" s="171"/>
      <c r="J6614" s="161"/>
      <c r="M6614" s="159"/>
      <c r="N6614" s="94"/>
    </row>
    <row r="6615">
      <c r="A6615" s="21">
        <v>1641748.0</v>
      </c>
      <c r="B6615" s="22" t="s">
        <v>245</v>
      </c>
      <c r="C6615" s="22" t="s">
        <v>1686</v>
      </c>
      <c r="D6615" s="100" t="str">
        <f t="shared" si="1"/>
        <v/>
      </c>
      <c r="E6615" s="100" t="str">
        <f t="shared" si="2"/>
        <v/>
      </c>
      <c r="F6615" s="100" t="str">
        <f t="shared" si="3"/>
        <v/>
      </c>
      <c r="G6615" s="151"/>
      <c r="H6615" s="156"/>
      <c r="I6615" s="171"/>
      <c r="J6615" s="158"/>
      <c r="M6615" s="159"/>
      <c r="N6615" s="94"/>
    </row>
    <row r="6616">
      <c r="A6616" s="107">
        <v>1641748.0</v>
      </c>
      <c r="B6616" s="116" t="s">
        <v>246</v>
      </c>
      <c r="C6616" s="116" t="s">
        <v>1686</v>
      </c>
      <c r="D6616" s="100" t="str">
        <f t="shared" si="1"/>
        <v/>
      </c>
      <c r="E6616" s="100" t="str">
        <f t="shared" si="2"/>
        <v/>
      </c>
      <c r="F6616" s="100" t="str">
        <f t="shared" si="3"/>
        <v/>
      </c>
      <c r="G6616" s="151"/>
      <c r="H6616" s="160"/>
      <c r="I6616" s="171"/>
      <c r="J6616" s="161"/>
      <c r="M6616" s="159"/>
      <c r="N6616" s="94"/>
    </row>
    <row r="6617">
      <c r="A6617" s="149">
        <v>1641748.0</v>
      </c>
      <c r="B6617" s="140" t="s">
        <v>247</v>
      </c>
      <c r="C6617" s="116" t="s">
        <v>1686</v>
      </c>
      <c r="D6617" s="100" t="str">
        <f t="shared" si="1"/>
        <v/>
      </c>
      <c r="E6617" s="100" t="str">
        <f t="shared" si="2"/>
        <v/>
      </c>
      <c r="F6617" s="100" t="str">
        <f t="shared" si="3"/>
        <v/>
      </c>
      <c r="G6617" s="151"/>
      <c r="H6617" s="156"/>
      <c r="I6617" s="171"/>
      <c r="J6617" s="158"/>
      <c r="M6617" s="159"/>
      <c r="N6617" s="94"/>
    </row>
    <row r="6618">
      <c r="A6618" s="21">
        <v>1641749.0</v>
      </c>
      <c r="B6618" s="22" t="s">
        <v>245</v>
      </c>
      <c r="C6618" s="22" t="s">
        <v>1687</v>
      </c>
      <c r="D6618" s="100" t="str">
        <f t="shared" si="1"/>
        <v/>
      </c>
      <c r="E6618" s="100" t="str">
        <f t="shared" si="2"/>
        <v/>
      </c>
      <c r="F6618" s="100" t="str">
        <f t="shared" si="3"/>
        <v/>
      </c>
      <c r="G6618" s="151"/>
      <c r="H6618" s="160"/>
      <c r="I6618" s="171"/>
      <c r="J6618" s="161"/>
      <c r="M6618" s="159"/>
      <c r="N6618" s="94"/>
    </row>
    <row r="6619">
      <c r="A6619" s="149">
        <v>1641750.0</v>
      </c>
      <c r="B6619" s="140" t="s">
        <v>247</v>
      </c>
      <c r="C6619" s="140" t="s">
        <v>1688</v>
      </c>
      <c r="D6619" s="100" t="str">
        <f t="shared" si="1"/>
        <v/>
      </c>
      <c r="E6619" s="100" t="str">
        <f t="shared" si="2"/>
        <v/>
      </c>
      <c r="F6619" s="100" t="str">
        <f t="shared" si="3"/>
        <v/>
      </c>
      <c r="G6619" s="151"/>
      <c r="H6619" s="156"/>
      <c r="I6619" s="171"/>
      <c r="J6619" s="158"/>
      <c r="M6619" s="159"/>
      <c r="N6619" s="94"/>
    </row>
    <row r="6620">
      <c r="A6620" s="107">
        <v>1641752.0</v>
      </c>
      <c r="B6620" s="116" t="s">
        <v>246</v>
      </c>
      <c r="C6620" s="116" t="s">
        <v>1689</v>
      </c>
      <c r="D6620" s="100" t="str">
        <f t="shared" si="1"/>
        <v/>
      </c>
      <c r="E6620" s="100" t="str">
        <f t="shared" si="2"/>
        <v/>
      </c>
      <c r="F6620" s="100" t="str">
        <f t="shared" si="3"/>
        <v/>
      </c>
      <c r="G6620" s="151"/>
      <c r="H6620" s="160"/>
      <c r="I6620" s="171"/>
      <c r="J6620" s="161"/>
      <c r="M6620" s="159"/>
      <c r="N6620" s="94"/>
    </row>
    <row r="6621">
      <c r="A6621" s="149">
        <v>1641752.0</v>
      </c>
      <c r="B6621" s="140" t="s">
        <v>247</v>
      </c>
      <c r="C6621" s="140" t="s">
        <v>1689</v>
      </c>
      <c r="D6621" s="100" t="str">
        <f t="shared" si="1"/>
        <v/>
      </c>
      <c r="E6621" s="100" t="str">
        <f t="shared" si="2"/>
        <v/>
      </c>
      <c r="F6621" s="100" t="str">
        <f t="shared" si="3"/>
        <v/>
      </c>
      <c r="G6621" s="151"/>
      <c r="H6621" s="156"/>
      <c r="I6621" s="171"/>
      <c r="J6621" s="158"/>
      <c r="M6621" s="159"/>
      <c r="N6621" s="94"/>
    </row>
    <row r="6622">
      <c r="A6622" s="163">
        <v>1641753.0</v>
      </c>
      <c r="B6622" s="22" t="s">
        <v>245</v>
      </c>
      <c r="C6622" s="22" t="s">
        <v>1690</v>
      </c>
      <c r="D6622" s="100" t="str">
        <f t="shared" si="1"/>
        <v/>
      </c>
      <c r="E6622" s="100" t="str">
        <f t="shared" si="2"/>
        <v/>
      </c>
      <c r="F6622" s="100" t="str">
        <f t="shared" si="3"/>
        <v/>
      </c>
      <c r="G6622" s="151"/>
      <c r="H6622" s="160"/>
      <c r="I6622" s="171"/>
      <c r="J6622" s="161"/>
      <c r="M6622" s="159"/>
      <c r="N6622" s="94"/>
    </row>
    <row r="6623">
      <c r="A6623" s="107">
        <v>1641753.0</v>
      </c>
      <c r="B6623" s="116" t="s">
        <v>246</v>
      </c>
      <c r="C6623" s="116" t="s">
        <v>1690</v>
      </c>
      <c r="D6623" s="100" t="str">
        <f t="shared" si="1"/>
        <v/>
      </c>
      <c r="E6623" s="100" t="str">
        <f t="shared" si="2"/>
        <v/>
      </c>
      <c r="F6623" s="100" t="str">
        <f t="shared" si="3"/>
        <v/>
      </c>
      <c r="G6623" s="151"/>
      <c r="H6623" s="156"/>
      <c r="I6623" s="171"/>
      <c r="J6623" s="158"/>
      <c r="M6623" s="159"/>
      <c r="N6623" s="94"/>
    </row>
    <row r="6624">
      <c r="A6624" s="149">
        <v>1641753.0</v>
      </c>
      <c r="B6624" s="140" t="s">
        <v>247</v>
      </c>
      <c r="C6624" s="140" t="s">
        <v>1690</v>
      </c>
      <c r="D6624" s="100" t="str">
        <f t="shared" si="1"/>
        <v/>
      </c>
      <c r="E6624" s="100" t="str">
        <f t="shared" si="2"/>
        <v/>
      </c>
      <c r="F6624" s="100" t="str">
        <f t="shared" si="3"/>
        <v/>
      </c>
      <c r="G6624" s="151"/>
      <c r="H6624" s="160"/>
      <c r="I6624" s="171"/>
      <c r="J6624" s="161"/>
      <c r="M6624" s="159"/>
      <c r="N6624" s="94"/>
    </row>
    <row r="6625">
      <c r="A6625" s="126">
        <v>1641754.0</v>
      </c>
      <c r="B6625" s="145" t="s">
        <v>245</v>
      </c>
      <c r="C6625" s="145" t="s">
        <v>1691</v>
      </c>
      <c r="D6625" s="100" t="str">
        <f t="shared" si="1"/>
        <v/>
      </c>
      <c r="E6625" s="100" t="str">
        <f t="shared" si="2"/>
        <v/>
      </c>
      <c r="F6625" s="100" t="str">
        <f t="shared" si="3"/>
        <v/>
      </c>
      <c r="G6625" s="151"/>
      <c r="H6625" s="156"/>
      <c r="I6625" s="172"/>
      <c r="J6625" s="158"/>
      <c r="M6625" s="159"/>
      <c r="N6625" s="94"/>
    </row>
    <row r="6626">
      <c r="A6626" s="107">
        <v>1641754.0</v>
      </c>
      <c r="B6626" s="116" t="s">
        <v>246</v>
      </c>
      <c r="C6626" s="116" t="s">
        <v>1691</v>
      </c>
      <c r="D6626" s="100" t="str">
        <f t="shared" si="1"/>
        <v/>
      </c>
      <c r="E6626" s="100" t="str">
        <f t="shared" si="2"/>
        <v/>
      </c>
      <c r="F6626" s="100" t="str">
        <f t="shared" si="3"/>
        <v/>
      </c>
      <c r="G6626" s="151"/>
      <c r="H6626" s="160"/>
      <c r="I6626" s="171"/>
      <c r="J6626" s="161"/>
      <c r="M6626" s="159"/>
      <c r="N6626" s="94"/>
    </row>
    <row r="6627">
      <c r="A6627" s="107">
        <v>1641755.0</v>
      </c>
      <c r="B6627" s="116" t="s">
        <v>246</v>
      </c>
      <c r="C6627" s="116" t="s">
        <v>1692</v>
      </c>
      <c r="D6627" s="100" t="str">
        <f t="shared" si="1"/>
        <v/>
      </c>
      <c r="E6627" s="100" t="str">
        <f t="shared" si="2"/>
        <v/>
      </c>
      <c r="F6627" s="100" t="str">
        <f t="shared" si="3"/>
        <v/>
      </c>
      <c r="G6627" s="151"/>
      <c r="H6627" s="156"/>
      <c r="I6627" s="171"/>
      <c r="J6627" s="158"/>
      <c r="M6627" s="159"/>
      <c r="N6627" s="94"/>
    </row>
    <row r="6628">
      <c r="A6628" s="131">
        <v>1641755.0</v>
      </c>
      <c r="B6628" s="131" t="s">
        <v>247</v>
      </c>
      <c r="C6628" s="131" t="s">
        <v>1693</v>
      </c>
      <c r="D6628" s="100" t="str">
        <f t="shared" si="1"/>
        <v/>
      </c>
      <c r="E6628" s="100" t="str">
        <f t="shared" si="2"/>
        <v/>
      </c>
      <c r="F6628" s="100" t="str">
        <f t="shared" si="3"/>
        <v/>
      </c>
      <c r="G6628" s="151"/>
      <c r="H6628" s="160"/>
      <c r="I6628" s="171"/>
      <c r="J6628" s="161"/>
      <c r="M6628" s="159"/>
      <c r="N6628" s="94"/>
    </row>
    <row r="6629">
      <c r="A6629" s="107">
        <v>1641757.0</v>
      </c>
      <c r="B6629" s="116" t="s">
        <v>245</v>
      </c>
      <c r="C6629" s="116" t="s">
        <v>1694</v>
      </c>
      <c r="D6629" s="100" t="str">
        <f t="shared" si="1"/>
        <v/>
      </c>
      <c r="E6629" s="100" t="str">
        <f t="shared" si="2"/>
        <v/>
      </c>
      <c r="F6629" s="100" t="str">
        <f t="shared" si="3"/>
        <v/>
      </c>
      <c r="G6629" s="151"/>
      <c r="H6629" s="156"/>
      <c r="I6629" s="171"/>
      <c r="J6629" s="158"/>
      <c r="M6629" s="159"/>
      <c r="N6629" s="94"/>
    </row>
    <row r="6630">
      <c r="A6630" s="107">
        <v>1641757.0</v>
      </c>
      <c r="B6630" s="116" t="s">
        <v>246</v>
      </c>
      <c r="C6630" s="116" t="s">
        <v>1694</v>
      </c>
      <c r="D6630" s="100" t="str">
        <f t="shared" si="1"/>
        <v/>
      </c>
      <c r="E6630" s="100" t="str">
        <f t="shared" si="2"/>
        <v/>
      </c>
      <c r="F6630" s="100" t="str">
        <f t="shared" si="3"/>
        <v/>
      </c>
      <c r="G6630" s="151"/>
      <c r="H6630" s="160"/>
      <c r="I6630" s="171"/>
      <c r="J6630" s="161"/>
      <c r="M6630" s="159"/>
      <c r="N6630" s="94"/>
    </row>
    <row r="6631">
      <c r="A6631" s="21">
        <v>1641757.0</v>
      </c>
      <c r="B6631" s="22" t="s">
        <v>246</v>
      </c>
      <c r="C6631" s="22" t="s">
        <v>1694</v>
      </c>
      <c r="D6631" s="100" t="str">
        <f t="shared" si="1"/>
        <v/>
      </c>
      <c r="E6631" s="100" t="str">
        <f t="shared" si="2"/>
        <v/>
      </c>
      <c r="F6631" s="100" t="str">
        <f t="shared" si="3"/>
        <v/>
      </c>
      <c r="G6631" s="151"/>
      <c r="H6631" s="156"/>
      <c r="I6631" s="171"/>
      <c r="J6631" s="158"/>
      <c r="M6631" s="159"/>
      <c r="N6631" s="94"/>
    </row>
    <row r="6632">
      <c r="A6632" s="107">
        <v>1641763.0</v>
      </c>
      <c r="B6632" s="116" t="s">
        <v>245</v>
      </c>
      <c r="C6632" s="116" t="s">
        <v>1695</v>
      </c>
      <c r="D6632" s="100" t="str">
        <f t="shared" si="1"/>
        <v/>
      </c>
      <c r="E6632" s="100" t="str">
        <f t="shared" si="2"/>
        <v/>
      </c>
      <c r="F6632" s="100" t="str">
        <f t="shared" si="3"/>
        <v/>
      </c>
      <c r="G6632" s="151"/>
      <c r="H6632" s="160"/>
      <c r="I6632" s="171"/>
      <c r="J6632" s="161"/>
      <c r="M6632" s="159"/>
      <c r="N6632" s="94"/>
    </row>
    <row r="6633">
      <c r="A6633" s="107">
        <v>1641763.0</v>
      </c>
      <c r="B6633" s="116" t="s">
        <v>246</v>
      </c>
      <c r="C6633" s="116" t="s">
        <v>1695</v>
      </c>
      <c r="D6633" s="100" t="str">
        <f t="shared" si="1"/>
        <v/>
      </c>
      <c r="E6633" s="100" t="str">
        <f t="shared" si="2"/>
        <v/>
      </c>
      <c r="F6633" s="100" t="str">
        <f t="shared" si="3"/>
        <v/>
      </c>
      <c r="G6633" s="151"/>
      <c r="H6633" s="156"/>
      <c r="I6633" s="171"/>
      <c r="J6633" s="158"/>
      <c r="M6633" s="159"/>
      <c r="N6633" s="94"/>
    </row>
    <row r="6634">
      <c r="A6634" s="114">
        <v>1641763.0</v>
      </c>
      <c r="B6634" s="131" t="s">
        <v>247</v>
      </c>
      <c r="C6634" s="131" t="s">
        <v>1695</v>
      </c>
      <c r="D6634" s="100" t="str">
        <f t="shared" si="1"/>
        <v/>
      </c>
      <c r="E6634" s="100" t="str">
        <f t="shared" si="2"/>
        <v/>
      </c>
      <c r="F6634" s="100" t="str">
        <f t="shared" si="3"/>
        <v/>
      </c>
      <c r="G6634" s="151"/>
      <c r="H6634" s="160"/>
      <c r="I6634" s="171"/>
      <c r="J6634" s="161"/>
      <c r="M6634" s="159"/>
      <c r="N6634" s="94"/>
    </row>
    <row r="6635">
      <c r="A6635" s="107">
        <v>1641764.0</v>
      </c>
      <c r="B6635" s="116" t="s">
        <v>245</v>
      </c>
      <c r="C6635" s="116" t="s">
        <v>1696</v>
      </c>
      <c r="D6635" s="100" t="str">
        <f t="shared" si="1"/>
        <v/>
      </c>
      <c r="E6635" s="100" t="str">
        <f t="shared" si="2"/>
        <v/>
      </c>
      <c r="F6635" s="100" t="str">
        <f t="shared" si="3"/>
        <v/>
      </c>
      <c r="G6635" s="151"/>
      <c r="H6635" s="156"/>
      <c r="I6635" s="171"/>
      <c r="J6635" s="158"/>
      <c r="M6635" s="159"/>
      <c r="N6635" s="94"/>
    </row>
    <row r="6636">
      <c r="A6636" s="107">
        <v>1641764.0</v>
      </c>
      <c r="B6636" s="116" t="s">
        <v>246</v>
      </c>
      <c r="C6636" s="116" t="s">
        <v>1696</v>
      </c>
      <c r="D6636" s="100" t="str">
        <f t="shared" si="1"/>
        <v/>
      </c>
      <c r="E6636" s="100" t="str">
        <f t="shared" si="2"/>
        <v/>
      </c>
      <c r="F6636" s="100" t="str">
        <f t="shared" si="3"/>
        <v/>
      </c>
      <c r="G6636" s="151"/>
      <c r="H6636" s="160"/>
      <c r="I6636" s="171"/>
      <c r="J6636" s="161"/>
      <c r="M6636" s="159"/>
      <c r="N6636" s="94"/>
    </row>
    <row r="6637">
      <c r="A6637" s="149">
        <v>1641764.0</v>
      </c>
      <c r="B6637" s="140" t="s">
        <v>247</v>
      </c>
      <c r="C6637" s="140" t="s">
        <v>1696</v>
      </c>
      <c r="D6637" s="100" t="str">
        <f t="shared" si="1"/>
        <v/>
      </c>
      <c r="E6637" s="100" t="str">
        <f t="shared" si="2"/>
        <v/>
      </c>
      <c r="F6637" s="100" t="str">
        <f t="shared" si="3"/>
        <v/>
      </c>
      <c r="G6637" s="151"/>
      <c r="H6637" s="156"/>
      <c r="I6637" s="172"/>
      <c r="J6637" s="158"/>
      <c r="M6637" s="159"/>
      <c r="N6637" s="94"/>
    </row>
    <row r="6638">
      <c r="A6638" s="107">
        <v>1641765.0</v>
      </c>
      <c r="B6638" s="116" t="s">
        <v>245</v>
      </c>
      <c r="C6638" s="116" t="s">
        <v>1697</v>
      </c>
      <c r="D6638" s="100" t="str">
        <f t="shared" si="1"/>
        <v/>
      </c>
      <c r="E6638" s="100" t="str">
        <f t="shared" si="2"/>
        <v/>
      </c>
      <c r="F6638" s="100" t="str">
        <f t="shared" si="3"/>
        <v/>
      </c>
      <c r="G6638" s="151"/>
      <c r="H6638" s="160"/>
      <c r="I6638" s="172"/>
      <c r="J6638" s="161"/>
      <c r="M6638" s="159"/>
      <c r="N6638" s="94"/>
    </row>
    <row r="6639">
      <c r="A6639" s="21">
        <v>1641765.0</v>
      </c>
      <c r="B6639" s="22" t="s">
        <v>246</v>
      </c>
      <c r="C6639" s="22" t="s">
        <v>1697</v>
      </c>
      <c r="D6639" s="100" t="str">
        <f t="shared" si="1"/>
        <v/>
      </c>
      <c r="E6639" s="100" t="str">
        <f t="shared" si="2"/>
        <v/>
      </c>
      <c r="F6639" s="100" t="str">
        <f t="shared" si="3"/>
        <v/>
      </c>
      <c r="G6639" s="151"/>
      <c r="H6639" s="156"/>
      <c r="I6639" s="171"/>
      <c r="J6639" s="158"/>
      <c r="M6639" s="159"/>
      <c r="N6639" s="94"/>
    </row>
    <row r="6640">
      <c r="A6640" s="149">
        <v>1641765.0</v>
      </c>
      <c r="B6640" s="140" t="s">
        <v>247</v>
      </c>
      <c r="C6640" s="140" t="s">
        <v>1697</v>
      </c>
      <c r="D6640" s="100" t="str">
        <f t="shared" si="1"/>
        <v/>
      </c>
      <c r="E6640" s="100" t="str">
        <f t="shared" si="2"/>
        <v/>
      </c>
      <c r="F6640" s="100" t="str">
        <f t="shared" si="3"/>
        <v/>
      </c>
      <c r="G6640" s="151"/>
      <c r="H6640" s="160"/>
      <c r="I6640" s="171"/>
      <c r="J6640" s="161"/>
      <c r="M6640" s="159"/>
      <c r="N6640" s="94"/>
    </row>
    <row r="6641">
      <c r="A6641" s="21">
        <v>1641766.0</v>
      </c>
      <c r="B6641" s="22" t="s">
        <v>245</v>
      </c>
      <c r="C6641" s="22" t="s">
        <v>1698</v>
      </c>
      <c r="D6641" s="100" t="str">
        <f t="shared" si="1"/>
        <v/>
      </c>
      <c r="E6641" s="100" t="str">
        <f t="shared" si="2"/>
        <v/>
      </c>
      <c r="F6641" s="100" t="str">
        <f t="shared" si="3"/>
        <v/>
      </c>
      <c r="G6641" s="151"/>
      <c r="H6641" s="156"/>
      <c r="I6641" s="171"/>
      <c r="J6641" s="158"/>
      <c r="M6641" s="159"/>
      <c r="N6641" s="94"/>
    </row>
    <row r="6642">
      <c r="A6642" s="107">
        <v>1641766.0</v>
      </c>
      <c r="B6642" s="116" t="s">
        <v>246</v>
      </c>
      <c r="C6642" s="116" t="s">
        <v>1698</v>
      </c>
      <c r="D6642" s="100" t="str">
        <f t="shared" si="1"/>
        <v/>
      </c>
      <c r="E6642" s="100" t="str">
        <f t="shared" si="2"/>
        <v/>
      </c>
      <c r="F6642" s="100" t="str">
        <f t="shared" si="3"/>
        <v/>
      </c>
      <c r="G6642" s="151"/>
      <c r="H6642" s="160"/>
      <c r="I6642" s="171"/>
      <c r="J6642" s="161"/>
      <c r="M6642" s="159"/>
      <c r="N6642" s="94"/>
    </row>
    <row r="6643">
      <c r="A6643" s="107">
        <v>1641767.0</v>
      </c>
      <c r="B6643" s="116" t="s">
        <v>245</v>
      </c>
      <c r="C6643" s="116" t="s">
        <v>1699</v>
      </c>
      <c r="D6643" s="100" t="str">
        <f t="shared" si="1"/>
        <v/>
      </c>
      <c r="E6643" s="100" t="str">
        <f t="shared" si="2"/>
        <v/>
      </c>
      <c r="F6643" s="100" t="str">
        <f t="shared" si="3"/>
        <v/>
      </c>
      <c r="G6643" s="151"/>
      <c r="H6643" s="156"/>
      <c r="I6643" s="171"/>
      <c r="J6643" s="158"/>
      <c r="M6643" s="159"/>
      <c r="N6643" s="94"/>
    </row>
    <row r="6644">
      <c r="A6644" s="21">
        <v>1641767.0</v>
      </c>
      <c r="B6644" s="22" t="s">
        <v>246</v>
      </c>
      <c r="C6644" s="22" t="s">
        <v>1699</v>
      </c>
      <c r="D6644" s="100" t="str">
        <f t="shared" si="1"/>
        <v/>
      </c>
      <c r="E6644" s="100" t="str">
        <f t="shared" si="2"/>
        <v/>
      </c>
      <c r="F6644" s="100" t="str">
        <f t="shared" si="3"/>
        <v/>
      </c>
      <c r="G6644" s="151"/>
      <c r="H6644" s="160"/>
      <c r="I6644" s="171"/>
      <c r="J6644" s="161"/>
      <c r="M6644" s="159"/>
      <c r="N6644" s="94"/>
    </row>
    <row r="6645">
      <c r="A6645" s="149">
        <v>1641767.0</v>
      </c>
      <c r="B6645" s="140" t="s">
        <v>247</v>
      </c>
      <c r="C6645" s="140" t="s">
        <v>1699</v>
      </c>
      <c r="D6645" s="100" t="str">
        <f t="shared" si="1"/>
        <v/>
      </c>
      <c r="E6645" s="100" t="str">
        <f t="shared" si="2"/>
        <v/>
      </c>
      <c r="F6645" s="100" t="str">
        <f t="shared" si="3"/>
        <v/>
      </c>
      <c r="G6645" s="151"/>
      <c r="H6645" s="156"/>
      <c r="I6645" s="171"/>
      <c r="J6645" s="158"/>
      <c r="M6645" s="159"/>
      <c r="N6645" s="94"/>
    </row>
    <row r="6646">
      <c r="A6646" s="107">
        <v>1641771.0</v>
      </c>
      <c r="B6646" s="116" t="s">
        <v>245</v>
      </c>
      <c r="C6646" s="116" t="s">
        <v>1700</v>
      </c>
      <c r="D6646" s="100" t="str">
        <f t="shared" si="1"/>
        <v/>
      </c>
      <c r="E6646" s="100" t="str">
        <f t="shared" si="2"/>
        <v/>
      </c>
      <c r="F6646" s="100" t="str">
        <f t="shared" si="3"/>
        <v/>
      </c>
      <c r="G6646" s="151"/>
      <c r="H6646" s="160"/>
      <c r="I6646" s="171"/>
      <c r="J6646" s="161"/>
      <c r="M6646" s="159"/>
      <c r="N6646" s="94"/>
    </row>
    <row r="6647">
      <c r="A6647" s="114">
        <v>1641772.0</v>
      </c>
      <c r="B6647" s="131" t="s">
        <v>247</v>
      </c>
      <c r="C6647" s="131" t="s">
        <v>1701</v>
      </c>
      <c r="D6647" s="100" t="str">
        <f t="shared" si="1"/>
        <v/>
      </c>
      <c r="E6647" s="100" t="str">
        <f t="shared" si="2"/>
        <v/>
      </c>
      <c r="F6647" s="100" t="str">
        <f t="shared" si="3"/>
        <v/>
      </c>
      <c r="G6647" s="151"/>
      <c r="H6647" s="156"/>
      <c r="I6647" s="172"/>
      <c r="J6647" s="158"/>
      <c r="M6647" s="159"/>
      <c r="N6647" s="94"/>
    </row>
    <row r="6648">
      <c r="A6648" s="107">
        <v>1641774.0</v>
      </c>
      <c r="B6648" s="116" t="s">
        <v>245</v>
      </c>
      <c r="C6648" s="116" t="s">
        <v>1702</v>
      </c>
      <c r="D6648" s="100" t="str">
        <f t="shared" si="1"/>
        <v/>
      </c>
      <c r="E6648" s="100" t="str">
        <f t="shared" si="2"/>
        <v/>
      </c>
      <c r="F6648" s="100" t="str">
        <f t="shared" si="3"/>
        <v/>
      </c>
      <c r="G6648" s="151"/>
      <c r="H6648" s="160"/>
      <c r="I6648" s="172"/>
      <c r="J6648" s="161"/>
      <c r="M6648" s="159"/>
      <c r="N6648" s="94"/>
    </row>
    <row r="6649">
      <c r="A6649" s="107">
        <v>1641774.0</v>
      </c>
      <c r="B6649" s="116" t="s">
        <v>246</v>
      </c>
      <c r="C6649" s="116" t="s">
        <v>1702</v>
      </c>
      <c r="D6649" s="100" t="str">
        <f t="shared" si="1"/>
        <v/>
      </c>
      <c r="E6649" s="100" t="str">
        <f t="shared" si="2"/>
        <v/>
      </c>
      <c r="F6649" s="100" t="str">
        <f t="shared" si="3"/>
        <v/>
      </c>
      <c r="G6649" s="151"/>
      <c r="H6649" s="156"/>
      <c r="I6649" s="171"/>
      <c r="J6649" s="158"/>
      <c r="M6649" s="159"/>
      <c r="N6649" s="94"/>
    </row>
    <row r="6650">
      <c r="A6650" s="114">
        <v>1641774.0</v>
      </c>
      <c r="B6650" s="131" t="s">
        <v>247</v>
      </c>
      <c r="C6650" s="131" t="s">
        <v>1702</v>
      </c>
      <c r="D6650" s="100" t="str">
        <f t="shared" si="1"/>
        <v/>
      </c>
      <c r="E6650" s="100" t="str">
        <f t="shared" si="2"/>
        <v/>
      </c>
      <c r="F6650" s="100" t="str">
        <f t="shared" si="3"/>
        <v/>
      </c>
      <c r="G6650" s="151"/>
      <c r="H6650" s="160"/>
      <c r="I6650" s="171"/>
      <c r="J6650" s="161"/>
      <c r="M6650" s="159"/>
      <c r="N6650" s="94"/>
    </row>
    <row r="6651">
      <c r="A6651" s="21">
        <v>1641775.0</v>
      </c>
      <c r="B6651" s="22" t="s">
        <v>245</v>
      </c>
      <c r="C6651" s="22" t="s">
        <v>1703</v>
      </c>
      <c r="D6651" s="100" t="str">
        <f t="shared" si="1"/>
        <v/>
      </c>
      <c r="E6651" s="100" t="str">
        <f t="shared" si="2"/>
        <v/>
      </c>
      <c r="F6651" s="100" t="str">
        <f t="shared" si="3"/>
        <v/>
      </c>
      <c r="G6651" s="151"/>
      <c r="H6651" s="156"/>
      <c r="I6651" s="171"/>
      <c r="J6651" s="158"/>
      <c r="M6651" s="159"/>
      <c r="N6651" s="94"/>
    </row>
    <row r="6652">
      <c r="A6652" s="107">
        <v>1641775.0</v>
      </c>
      <c r="B6652" s="116" t="s">
        <v>246</v>
      </c>
      <c r="C6652" s="116" t="s">
        <v>1703</v>
      </c>
      <c r="D6652" s="100" t="str">
        <f t="shared" si="1"/>
        <v/>
      </c>
      <c r="E6652" s="100" t="str">
        <f t="shared" si="2"/>
        <v/>
      </c>
      <c r="F6652" s="100" t="str">
        <f t="shared" si="3"/>
        <v/>
      </c>
      <c r="G6652" s="151"/>
      <c r="H6652" s="160"/>
      <c r="I6652" s="171"/>
      <c r="J6652" s="161"/>
      <c r="M6652" s="159"/>
      <c r="N6652" s="94"/>
    </row>
    <row r="6653">
      <c r="A6653" s="114">
        <v>1641775.0</v>
      </c>
      <c r="B6653" s="131" t="s">
        <v>247</v>
      </c>
      <c r="C6653" s="131" t="s">
        <v>1703</v>
      </c>
      <c r="D6653" s="100" t="str">
        <f t="shared" si="1"/>
        <v/>
      </c>
      <c r="E6653" s="100" t="str">
        <f t="shared" si="2"/>
        <v/>
      </c>
      <c r="F6653" s="100" t="str">
        <f t="shared" si="3"/>
        <v/>
      </c>
      <c r="G6653" s="151"/>
      <c r="H6653" s="156"/>
      <c r="I6653" s="171"/>
      <c r="J6653" s="158"/>
      <c r="M6653" s="159"/>
      <c r="N6653" s="94"/>
    </row>
    <row r="6654">
      <c r="A6654" s="107">
        <v>1641778.0</v>
      </c>
      <c r="B6654" s="116" t="s">
        <v>245</v>
      </c>
      <c r="C6654" s="116" t="s">
        <v>1704</v>
      </c>
      <c r="D6654" s="100" t="str">
        <f t="shared" si="1"/>
        <v/>
      </c>
      <c r="E6654" s="100" t="str">
        <f t="shared" si="2"/>
        <v/>
      </c>
      <c r="F6654" s="100" t="str">
        <f t="shared" si="3"/>
        <v/>
      </c>
      <c r="G6654" s="151"/>
      <c r="H6654" s="160"/>
      <c r="I6654" s="171"/>
      <c r="J6654" s="161"/>
      <c r="M6654" s="159"/>
      <c r="N6654" s="94"/>
    </row>
    <row r="6655">
      <c r="A6655" s="120">
        <v>1641778.0</v>
      </c>
      <c r="B6655" s="139" t="s">
        <v>247</v>
      </c>
      <c r="C6655" s="139" t="s">
        <v>1704</v>
      </c>
      <c r="D6655" s="100" t="str">
        <f t="shared" si="1"/>
        <v/>
      </c>
      <c r="E6655" s="100" t="str">
        <f t="shared" si="2"/>
        <v/>
      </c>
      <c r="F6655" s="100" t="str">
        <f t="shared" si="3"/>
        <v/>
      </c>
      <c r="G6655" s="151"/>
      <c r="H6655" s="156"/>
      <c r="I6655" s="171"/>
      <c r="J6655" s="158"/>
      <c r="M6655" s="159"/>
      <c r="N6655" s="94"/>
    </row>
    <row r="6656">
      <c r="A6656" s="163">
        <v>1641779.0</v>
      </c>
      <c r="B6656" s="22" t="s">
        <v>246</v>
      </c>
      <c r="C6656" s="22" t="s">
        <v>1705</v>
      </c>
      <c r="D6656" s="100" t="str">
        <f t="shared" si="1"/>
        <v/>
      </c>
      <c r="E6656" s="100" t="str">
        <f t="shared" si="2"/>
        <v/>
      </c>
      <c r="F6656" s="100" t="str">
        <f t="shared" si="3"/>
        <v/>
      </c>
      <c r="G6656" s="151"/>
      <c r="H6656" s="160"/>
      <c r="I6656" s="171"/>
      <c r="J6656" s="161"/>
      <c r="M6656" s="159"/>
      <c r="N6656" s="94"/>
    </row>
    <row r="6657">
      <c r="A6657" s="149">
        <v>1641780.0</v>
      </c>
      <c r="B6657" s="140" t="s">
        <v>247</v>
      </c>
      <c r="C6657" s="140" t="s">
        <v>1706</v>
      </c>
      <c r="D6657" s="100" t="str">
        <f t="shared" si="1"/>
        <v/>
      </c>
      <c r="E6657" s="100" t="str">
        <f t="shared" si="2"/>
        <v/>
      </c>
      <c r="F6657" s="100" t="str">
        <f t="shared" si="3"/>
        <v/>
      </c>
      <c r="G6657" s="151"/>
      <c r="H6657" s="156"/>
      <c r="I6657" s="171"/>
      <c r="J6657" s="158"/>
      <c r="M6657" s="159"/>
      <c r="N6657" s="94"/>
    </row>
    <row r="6658">
      <c r="A6658" s="107">
        <v>1641783.0</v>
      </c>
      <c r="B6658" s="116" t="s">
        <v>246</v>
      </c>
      <c r="C6658" s="116" t="s">
        <v>1707</v>
      </c>
      <c r="D6658" s="100" t="str">
        <f t="shared" si="1"/>
        <v/>
      </c>
      <c r="E6658" s="100" t="str">
        <f t="shared" si="2"/>
        <v/>
      </c>
      <c r="F6658" s="100" t="str">
        <f t="shared" si="3"/>
        <v/>
      </c>
      <c r="G6658" s="151"/>
      <c r="H6658" s="160"/>
      <c r="I6658" s="171"/>
      <c r="J6658" s="161"/>
      <c r="M6658" s="159"/>
      <c r="N6658" s="94"/>
    </row>
    <row r="6659">
      <c r="A6659" s="149">
        <v>1641783.0</v>
      </c>
      <c r="B6659" s="140" t="s">
        <v>247</v>
      </c>
      <c r="C6659" s="140" t="s">
        <v>1707</v>
      </c>
      <c r="D6659" s="100" t="str">
        <f t="shared" si="1"/>
        <v/>
      </c>
      <c r="E6659" s="100" t="str">
        <f t="shared" si="2"/>
        <v/>
      </c>
      <c r="F6659" s="100" t="str">
        <f t="shared" si="3"/>
        <v/>
      </c>
      <c r="G6659" s="151"/>
      <c r="H6659" s="156"/>
      <c r="I6659" s="171"/>
      <c r="J6659" s="158"/>
      <c r="M6659" s="159"/>
      <c r="N6659" s="94"/>
    </row>
    <row r="6660">
      <c r="A6660" s="21">
        <v>1641787.0</v>
      </c>
      <c r="B6660" s="22" t="s">
        <v>245</v>
      </c>
      <c r="C6660" s="22" t="s">
        <v>1708</v>
      </c>
      <c r="D6660" s="100" t="str">
        <f t="shared" si="1"/>
        <v/>
      </c>
      <c r="E6660" s="100" t="str">
        <f t="shared" si="2"/>
        <v/>
      </c>
      <c r="F6660" s="100" t="str">
        <f t="shared" si="3"/>
        <v/>
      </c>
      <c r="G6660" s="151"/>
      <c r="H6660" s="160"/>
      <c r="I6660" s="171"/>
      <c r="J6660" s="161"/>
      <c r="M6660" s="159"/>
      <c r="N6660" s="94"/>
    </row>
    <row r="6661">
      <c r="A6661" s="107">
        <v>1641787.0</v>
      </c>
      <c r="B6661" s="116" t="s">
        <v>246</v>
      </c>
      <c r="C6661" s="116" t="s">
        <v>1708</v>
      </c>
      <c r="D6661" s="100" t="str">
        <f t="shared" si="1"/>
        <v/>
      </c>
      <c r="E6661" s="100" t="str">
        <f t="shared" si="2"/>
        <v/>
      </c>
      <c r="F6661" s="100" t="str">
        <f t="shared" si="3"/>
        <v/>
      </c>
      <c r="G6661" s="151"/>
      <c r="H6661" s="156"/>
      <c r="I6661" s="171"/>
      <c r="J6661" s="158"/>
      <c r="M6661" s="159"/>
      <c r="N6661" s="94"/>
    </row>
    <row r="6662">
      <c r="A6662" s="140">
        <v>1641787.0</v>
      </c>
      <c r="B6662" s="140" t="s">
        <v>247</v>
      </c>
      <c r="C6662" s="140" t="s">
        <v>1708</v>
      </c>
      <c r="D6662" s="100" t="str">
        <f t="shared" si="1"/>
        <v/>
      </c>
      <c r="E6662" s="100" t="str">
        <f t="shared" si="2"/>
        <v/>
      </c>
      <c r="F6662" s="100" t="str">
        <f t="shared" si="3"/>
        <v/>
      </c>
      <c r="G6662" s="151"/>
      <c r="H6662" s="160"/>
      <c r="I6662" s="171"/>
      <c r="J6662" s="161"/>
      <c r="M6662" s="159"/>
      <c r="N6662" s="94"/>
    </row>
    <row r="6663">
      <c r="A6663" s="126">
        <v>1641788.0</v>
      </c>
      <c r="B6663" s="145" t="s">
        <v>245</v>
      </c>
      <c r="C6663" s="145" t="s">
        <v>1709</v>
      </c>
      <c r="D6663" s="100" t="str">
        <f t="shared" si="1"/>
        <v/>
      </c>
      <c r="E6663" s="100" t="str">
        <f t="shared" si="2"/>
        <v/>
      </c>
      <c r="F6663" s="100" t="str">
        <f t="shared" si="3"/>
        <v/>
      </c>
      <c r="G6663" s="151"/>
      <c r="H6663" s="156"/>
      <c r="I6663" s="171"/>
      <c r="J6663" s="158"/>
      <c r="M6663" s="159"/>
      <c r="N6663" s="94"/>
    </row>
    <row r="6664">
      <c r="A6664" s="107">
        <v>1641789.0</v>
      </c>
      <c r="B6664" s="116" t="s">
        <v>246</v>
      </c>
      <c r="C6664" s="116" t="s">
        <v>1710</v>
      </c>
      <c r="D6664" s="100" t="str">
        <f t="shared" si="1"/>
        <v/>
      </c>
      <c r="E6664" s="100" t="str">
        <f t="shared" si="2"/>
        <v/>
      </c>
      <c r="F6664" s="100" t="str">
        <f t="shared" si="3"/>
        <v/>
      </c>
      <c r="G6664" s="151"/>
      <c r="H6664" s="160"/>
      <c r="I6664" s="171"/>
      <c r="J6664" s="161"/>
      <c r="M6664" s="159"/>
      <c r="N6664" s="94"/>
    </row>
    <row r="6665">
      <c r="A6665" s="21">
        <v>1641790.0</v>
      </c>
      <c r="B6665" s="22" t="s">
        <v>246</v>
      </c>
      <c r="C6665" s="22" t="s">
        <v>1711</v>
      </c>
      <c r="D6665" s="100" t="str">
        <f t="shared" si="1"/>
        <v/>
      </c>
      <c r="E6665" s="100" t="str">
        <f t="shared" si="2"/>
        <v/>
      </c>
      <c r="F6665" s="100" t="str">
        <f t="shared" si="3"/>
        <v/>
      </c>
      <c r="G6665" s="151"/>
      <c r="H6665" s="156"/>
      <c r="I6665" s="171"/>
      <c r="J6665" s="158"/>
      <c r="M6665" s="159"/>
      <c r="N6665" s="94"/>
    </row>
    <row r="6666">
      <c r="A6666" s="149">
        <v>1641790.0</v>
      </c>
      <c r="B6666" s="140" t="s">
        <v>247</v>
      </c>
      <c r="C6666" s="140" t="s">
        <v>1711</v>
      </c>
      <c r="D6666" s="100" t="str">
        <f t="shared" si="1"/>
        <v/>
      </c>
      <c r="E6666" s="100" t="str">
        <f t="shared" si="2"/>
        <v/>
      </c>
      <c r="F6666" s="100" t="str">
        <f t="shared" si="3"/>
        <v/>
      </c>
      <c r="G6666" s="151"/>
      <c r="H6666" s="160"/>
      <c r="I6666" s="171"/>
      <c r="J6666" s="161"/>
      <c r="M6666" s="159"/>
      <c r="N6666" s="94"/>
    </row>
    <row r="6667">
      <c r="A6667" s="107">
        <v>1641793.0</v>
      </c>
      <c r="B6667" s="116" t="s">
        <v>245</v>
      </c>
      <c r="C6667" s="116" t="s">
        <v>1712</v>
      </c>
      <c r="D6667" s="100" t="str">
        <f t="shared" si="1"/>
        <v/>
      </c>
      <c r="E6667" s="100" t="str">
        <f t="shared" si="2"/>
        <v/>
      </c>
      <c r="F6667" s="100" t="str">
        <f t="shared" si="3"/>
        <v/>
      </c>
      <c r="G6667" s="151"/>
      <c r="H6667" s="156"/>
      <c r="I6667" s="171"/>
      <c r="J6667" s="158"/>
      <c r="M6667" s="159"/>
      <c r="N6667" s="94"/>
    </row>
    <row r="6668">
      <c r="A6668" s="120">
        <v>1641794.0</v>
      </c>
      <c r="B6668" s="138" t="s">
        <v>246</v>
      </c>
      <c r="C6668" s="138" t="s">
        <v>1713</v>
      </c>
      <c r="D6668" s="100" t="str">
        <f t="shared" si="1"/>
        <v/>
      </c>
      <c r="E6668" s="100" t="str">
        <f t="shared" si="2"/>
        <v/>
      </c>
      <c r="F6668" s="100" t="str">
        <f t="shared" si="3"/>
        <v/>
      </c>
      <c r="G6668" s="151"/>
      <c r="H6668" s="160"/>
      <c r="I6668" s="171"/>
      <c r="J6668" s="161"/>
      <c r="M6668" s="159"/>
      <c r="N6668" s="94"/>
    </row>
    <row r="6669">
      <c r="A6669" s="163">
        <v>1641794.0</v>
      </c>
      <c r="B6669" s="173" t="s">
        <v>247</v>
      </c>
      <c r="C6669" s="173" t="s">
        <v>1713</v>
      </c>
      <c r="D6669" s="100" t="str">
        <f t="shared" si="1"/>
        <v/>
      </c>
      <c r="E6669" s="100" t="str">
        <f t="shared" si="2"/>
        <v/>
      </c>
      <c r="F6669" s="100" t="str">
        <f t="shared" si="3"/>
        <v/>
      </c>
      <c r="G6669" s="151"/>
      <c r="H6669" s="156"/>
      <c r="I6669" s="171"/>
      <c r="J6669" s="158"/>
      <c r="M6669" s="159"/>
      <c r="N6669" s="94"/>
    </row>
    <row r="6670">
      <c r="A6670" s="107">
        <v>1641796.0</v>
      </c>
      <c r="B6670" s="116" t="s">
        <v>246</v>
      </c>
      <c r="C6670" s="116" t="s">
        <v>1714</v>
      </c>
      <c r="D6670" s="100" t="str">
        <f t="shared" si="1"/>
        <v/>
      </c>
      <c r="E6670" s="100" t="str">
        <f t="shared" si="2"/>
        <v/>
      </c>
      <c r="F6670" s="100" t="str">
        <f t="shared" si="3"/>
        <v/>
      </c>
      <c r="G6670" s="151"/>
      <c r="H6670" s="160"/>
      <c r="I6670" s="171"/>
      <c r="J6670" s="161"/>
      <c r="M6670" s="159"/>
      <c r="N6670" s="94"/>
    </row>
    <row r="6671">
      <c r="A6671" s="174">
        <v>1641796.0</v>
      </c>
      <c r="B6671" s="175" t="s">
        <v>247</v>
      </c>
      <c r="C6671" s="175" t="s">
        <v>1714</v>
      </c>
      <c r="D6671" s="100" t="str">
        <f t="shared" si="1"/>
        <v/>
      </c>
      <c r="E6671" s="100" t="str">
        <f t="shared" si="2"/>
        <v/>
      </c>
      <c r="F6671" s="100" t="str">
        <f t="shared" si="3"/>
        <v/>
      </c>
      <c r="G6671" s="151"/>
      <c r="H6671" s="156"/>
      <c r="I6671" s="171"/>
      <c r="J6671" s="158"/>
      <c r="M6671" s="159"/>
      <c r="N6671" s="94"/>
    </row>
    <row r="6672">
      <c r="A6672" s="107">
        <v>1641798.0</v>
      </c>
      <c r="B6672" s="116" t="s">
        <v>245</v>
      </c>
      <c r="C6672" s="116" t="s">
        <v>1715</v>
      </c>
      <c r="D6672" s="100" t="str">
        <f t="shared" si="1"/>
        <v/>
      </c>
      <c r="E6672" s="100" t="str">
        <f t="shared" si="2"/>
        <v/>
      </c>
      <c r="F6672" s="100" t="str">
        <f t="shared" si="3"/>
        <v/>
      </c>
      <c r="G6672" s="151"/>
      <c r="H6672" s="160"/>
      <c r="I6672" s="171"/>
      <c r="J6672" s="161"/>
      <c r="M6672" s="159"/>
      <c r="N6672" s="94"/>
    </row>
    <row r="6673">
      <c r="A6673" s="107">
        <v>1641798.0</v>
      </c>
      <c r="B6673" s="116" t="s">
        <v>246</v>
      </c>
      <c r="C6673" s="116" t="s">
        <v>1715</v>
      </c>
      <c r="D6673" s="100" t="str">
        <f t="shared" si="1"/>
        <v/>
      </c>
      <c r="E6673" s="100" t="str">
        <f t="shared" si="2"/>
        <v/>
      </c>
      <c r="F6673" s="100" t="str">
        <f t="shared" si="3"/>
        <v/>
      </c>
      <c r="G6673" s="151"/>
      <c r="H6673" s="156"/>
      <c r="I6673" s="172"/>
      <c r="J6673" s="158"/>
      <c r="M6673" s="159"/>
      <c r="N6673" s="94"/>
    </row>
    <row r="6674">
      <c r="A6674" s="107">
        <v>1641801.0</v>
      </c>
      <c r="B6674" s="116" t="s">
        <v>246</v>
      </c>
      <c r="C6674" s="116" t="s">
        <v>1716</v>
      </c>
      <c r="D6674" s="100" t="str">
        <f t="shared" si="1"/>
        <v/>
      </c>
      <c r="E6674" s="100" t="str">
        <f t="shared" si="2"/>
        <v/>
      </c>
      <c r="F6674" s="100" t="str">
        <f t="shared" si="3"/>
        <v/>
      </c>
      <c r="G6674" s="151"/>
      <c r="H6674" s="160"/>
      <c r="I6674" s="171"/>
      <c r="J6674" s="161"/>
      <c r="M6674" s="159"/>
      <c r="N6674" s="94"/>
    </row>
    <row r="6675">
      <c r="A6675" s="89">
        <v>1641801.0</v>
      </c>
      <c r="B6675" s="131" t="s">
        <v>247</v>
      </c>
      <c r="C6675" s="131" t="s">
        <v>1716</v>
      </c>
      <c r="D6675" s="100" t="str">
        <f t="shared" si="1"/>
        <v/>
      </c>
      <c r="E6675" s="100" t="str">
        <f t="shared" si="2"/>
        <v/>
      </c>
      <c r="F6675" s="100" t="str">
        <f t="shared" si="3"/>
        <v/>
      </c>
      <c r="G6675" s="151"/>
      <c r="H6675" s="156"/>
      <c r="I6675" s="171"/>
      <c r="J6675" s="158"/>
      <c r="M6675" s="159"/>
      <c r="N6675" s="94"/>
    </row>
    <row r="6676">
      <c r="A6676" s="107">
        <v>1641803.0</v>
      </c>
      <c r="B6676" s="116" t="s">
        <v>246</v>
      </c>
      <c r="C6676" s="116" t="s">
        <v>1717</v>
      </c>
      <c r="D6676" s="100" t="str">
        <f t="shared" si="1"/>
        <v/>
      </c>
      <c r="E6676" s="100" t="str">
        <f t="shared" si="2"/>
        <v/>
      </c>
      <c r="F6676" s="100" t="str">
        <f t="shared" si="3"/>
        <v/>
      </c>
      <c r="G6676" s="151"/>
      <c r="H6676" s="160"/>
      <c r="I6676" s="171"/>
      <c r="J6676" s="161"/>
      <c r="M6676" s="159"/>
      <c r="N6676" s="94"/>
    </row>
    <row r="6677">
      <c r="A6677" s="163">
        <v>1641803.0</v>
      </c>
      <c r="B6677" s="173" t="s">
        <v>247</v>
      </c>
      <c r="C6677" s="173" t="s">
        <v>1717</v>
      </c>
      <c r="D6677" s="100" t="str">
        <f t="shared" si="1"/>
        <v/>
      </c>
      <c r="E6677" s="100" t="str">
        <f t="shared" si="2"/>
        <v/>
      </c>
      <c r="F6677" s="100" t="str">
        <f t="shared" si="3"/>
        <v/>
      </c>
      <c r="G6677" s="151"/>
      <c r="H6677" s="156"/>
      <c r="I6677" s="171"/>
      <c r="J6677" s="158"/>
      <c r="M6677" s="159"/>
      <c r="N6677" s="94"/>
    </row>
    <row r="6678">
      <c r="A6678" s="21">
        <v>1641806.0</v>
      </c>
      <c r="B6678" s="22" t="s">
        <v>245</v>
      </c>
      <c r="C6678" s="22" t="s">
        <v>1718</v>
      </c>
      <c r="D6678" s="100" t="str">
        <f t="shared" si="1"/>
        <v/>
      </c>
      <c r="E6678" s="100" t="str">
        <f t="shared" si="2"/>
        <v/>
      </c>
      <c r="F6678" s="100" t="str">
        <f t="shared" si="3"/>
        <v/>
      </c>
      <c r="G6678" s="151"/>
      <c r="H6678" s="160"/>
      <c r="I6678" s="171"/>
      <c r="J6678" s="161"/>
      <c r="M6678" s="159"/>
      <c r="N6678" s="94"/>
    </row>
    <row r="6679">
      <c r="A6679" s="163">
        <v>1641807.0</v>
      </c>
      <c r="B6679" s="173" t="s">
        <v>247</v>
      </c>
      <c r="C6679" s="173" t="s">
        <v>1719</v>
      </c>
      <c r="D6679" s="100" t="str">
        <f t="shared" si="1"/>
        <v/>
      </c>
      <c r="E6679" s="100" t="str">
        <f t="shared" si="2"/>
        <v/>
      </c>
      <c r="F6679" s="100" t="str">
        <f t="shared" si="3"/>
        <v/>
      </c>
      <c r="G6679" s="151"/>
      <c r="H6679" s="156"/>
      <c r="I6679" s="171"/>
      <c r="J6679" s="158"/>
      <c r="M6679" s="159"/>
      <c r="N6679" s="94"/>
    </row>
    <row r="6680">
      <c r="A6680" s="165">
        <v>1641809.0</v>
      </c>
      <c r="B6680" s="132" t="s">
        <v>245</v>
      </c>
      <c r="C6680" s="132" t="s">
        <v>1720</v>
      </c>
      <c r="D6680" s="100" t="str">
        <f t="shared" si="1"/>
        <v/>
      </c>
      <c r="E6680" s="100" t="str">
        <f t="shared" si="2"/>
        <v/>
      </c>
      <c r="F6680" s="100" t="str">
        <f t="shared" si="3"/>
        <v/>
      </c>
      <c r="G6680" s="151"/>
      <c r="H6680" s="160"/>
      <c r="I6680" s="172"/>
      <c r="J6680" s="161"/>
      <c r="M6680" s="159"/>
      <c r="N6680" s="94"/>
    </row>
    <row r="6681">
      <c r="A6681" s="163">
        <v>1641809.0</v>
      </c>
      <c r="B6681" s="22" t="s">
        <v>246</v>
      </c>
      <c r="C6681" s="22" t="s">
        <v>1720</v>
      </c>
      <c r="D6681" s="100" t="str">
        <f t="shared" si="1"/>
        <v/>
      </c>
      <c r="E6681" s="100" t="str">
        <f t="shared" si="2"/>
        <v/>
      </c>
      <c r="F6681" s="100" t="str">
        <f t="shared" si="3"/>
        <v/>
      </c>
      <c r="G6681" s="151"/>
      <c r="H6681" s="156"/>
      <c r="I6681" s="172"/>
      <c r="J6681" s="158"/>
      <c r="M6681" s="159"/>
      <c r="N6681" s="94"/>
    </row>
    <row r="6682">
      <c r="A6682" s="140">
        <v>1641809.0</v>
      </c>
      <c r="B6682" s="140" t="s">
        <v>247</v>
      </c>
      <c r="C6682" s="140" t="s">
        <v>1720</v>
      </c>
      <c r="D6682" s="100" t="str">
        <f t="shared" si="1"/>
        <v/>
      </c>
      <c r="E6682" s="100" t="str">
        <f t="shared" si="2"/>
        <v/>
      </c>
      <c r="F6682" s="100" t="str">
        <f t="shared" si="3"/>
        <v/>
      </c>
      <c r="G6682" s="151"/>
      <c r="H6682" s="160"/>
      <c r="I6682" s="171"/>
      <c r="J6682" s="161"/>
      <c r="M6682" s="159"/>
      <c r="N6682" s="94"/>
    </row>
    <row r="6683">
      <c r="A6683" s="107">
        <v>1641810.0</v>
      </c>
      <c r="B6683" s="116" t="s">
        <v>246</v>
      </c>
      <c r="C6683" s="116" t="s">
        <v>1721</v>
      </c>
      <c r="D6683" s="100" t="str">
        <f t="shared" si="1"/>
        <v/>
      </c>
      <c r="E6683" s="100" t="str">
        <f t="shared" si="2"/>
        <v/>
      </c>
      <c r="F6683" s="100" t="str">
        <f t="shared" si="3"/>
        <v/>
      </c>
      <c r="G6683" s="151"/>
      <c r="H6683" s="156"/>
      <c r="I6683" s="171"/>
      <c r="J6683" s="158"/>
      <c r="M6683" s="159"/>
      <c r="N6683" s="94"/>
    </row>
    <row r="6684">
      <c r="A6684" s="131">
        <v>1641810.0</v>
      </c>
      <c r="B6684" s="131" t="s">
        <v>247</v>
      </c>
      <c r="C6684" s="131" t="s">
        <v>1721</v>
      </c>
      <c r="D6684" s="100" t="str">
        <f t="shared" si="1"/>
        <v/>
      </c>
      <c r="E6684" s="100" t="str">
        <f t="shared" si="2"/>
        <v/>
      </c>
      <c r="F6684" s="100" t="str">
        <f t="shared" si="3"/>
        <v/>
      </c>
      <c r="G6684" s="151"/>
      <c r="H6684" s="160"/>
      <c r="I6684" s="171"/>
      <c r="J6684" s="161"/>
      <c r="M6684" s="159"/>
      <c r="N6684" s="94"/>
    </row>
    <row r="6685">
      <c r="A6685" s="149">
        <v>1641813.0</v>
      </c>
      <c r="B6685" s="140" t="s">
        <v>247</v>
      </c>
      <c r="C6685" s="140" t="s">
        <v>1722</v>
      </c>
      <c r="D6685" s="100" t="str">
        <f t="shared" si="1"/>
        <v/>
      </c>
      <c r="E6685" s="100" t="str">
        <f t="shared" si="2"/>
        <v/>
      </c>
      <c r="F6685" s="100" t="str">
        <f t="shared" si="3"/>
        <v/>
      </c>
      <c r="G6685" s="151"/>
      <c r="H6685" s="156"/>
      <c r="I6685" s="171"/>
      <c r="J6685" s="158"/>
      <c r="M6685" s="159"/>
      <c r="N6685" s="94"/>
    </row>
    <row r="6686">
      <c r="A6686" s="149">
        <v>1641815.0</v>
      </c>
      <c r="B6686" s="116" t="s">
        <v>246</v>
      </c>
      <c r="C6686" s="140" t="s">
        <v>1723</v>
      </c>
      <c r="D6686" s="100" t="str">
        <f t="shared" si="1"/>
        <v/>
      </c>
      <c r="E6686" s="100" t="str">
        <f t="shared" si="2"/>
        <v/>
      </c>
      <c r="F6686" s="100" t="str">
        <f t="shared" si="3"/>
        <v/>
      </c>
      <c r="G6686" s="151"/>
      <c r="H6686" s="160"/>
      <c r="I6686" s="172"/>
      <c r="J6686" s="161"/>
      <c r="M6686" s="159"/>
      <c r="N6686" s="94"/>
    </row>
    <row r="6687">
      <c r="A6687" s="131">
        <v>1641815.0</v>
      </c>
      <c r="B6687" s="131" t="s">
        <v>247</v>
      </c>
      <c r="C6687" s="131" t="s">
        <v>1723</v>
      </c>
      <c r="D6687" s="100" t="str">
        <f t="shared" si="1"/>
        <v/>
      </c>
      <c r="E6687" s="100" t="str">
        <f t="shared" si="2"/>
        <v/>
      </c>
      <c r="F6687" s="100" t="str">
        <f t="shared" si="3"/>
        <v/>
      </c>
      <c r="G6687" s="151"/>
      <c r="H6687" s="156"/>
      <c r="I6687" s="172"/>
      <c r="J6687" s="158"/>
      <c r="M6687" s="159"/>
      <c r="N6687" s="94"/>
    </row>
    <row r="6688">
      <c r="A6688" s="107">
        <v>1641816.0</v>
      </c>
      <c r="B6688" s="116" t="s">
        <v>245</v>
      </c>
      <c r="C6688" s="116" t="s">
        <v>1724</v>
      </c>
      <c r="D6688" s="100" t="str">
        <f t="shared" si="1"/>
        <v/>
      </c>
      <c r="E6688" s="100" t="str">
        <f t="shared" si="2"/>
        <v/>
      </c>
      <c r="F6688" s="100" t="str">
        <f t="shared" si="3"/>
        <v/>
      </c>
      <c r="G6688" s="151"/>
      <c r="H6688" s="160"/>
      <c r="I6688" s="172"/>
      <c r="J6688" s="161"/>
      <c r="M6688" s="159"/>
      <c r="N6688" s="94"/>
    </row>
    <row r="6689">
      <c r="A6689" s="21">
        <v>1641816.0</v>
      </c>
      <c r="B6689" s="22" t="s">
        <v>246</v>
      </c>
      <c r="C6689" s="22" t="s">
        <v>1724</v>
      </c>
      <c r="D6689" s="100" t="str">
        <f t="shared" si="1"/>
        <v/>
      </c>
      <c r="E6689" s="100" t="str">
        <f t="shared" si="2"/>
        <v/>
      </c>
      <c r="F6689" s="100" t="str">
        <f t="shared" si="3"/>
        <v/>
      </c>
      <c r="G6689" s="151"/>
      <c r="H6689" s="156"/>
      <c r="I6689" s="171"/>
      <c r="J6689" s="158"/>
      <c r="M6689" s="159"/>
      <c r="N6689" s="94"/>
    </row>
    <row r="6690">
      <c r="A6690" s="149">
        <v>1641816.0</v>
      </c>
      <c r="B6690" s="140" t="s">
        <v>247</v>
      </c>
      <c r="C6690" s="140" t="s">
        <v>1724</v>
      </c>
      <c r="D6690" s="100" t="str">
        <f t="shared" si="1"/>
        <v/>
      </c>
      <c r="E6690" s="100" t="str">
        <f t="shared" si="2"/>
        <v/>
      </c>
      <c r="F6690" s="100" t="str">
        <f t="shared" si="3"/>
        <v/>
      </c>
      <c r="G6690" s="151"/>
      <c r="H6690" s="160"/>
      <c r="I6690" s="171"/>
      <c r="J6690" s="161"/>
      <c r="M6690" s="159"/>
      <c r="N6690" s="94"/>
    </row>
    <row r="6691">
      <c r="A6691" s="107">
        <v>1641817.0</v>
      </c>
      <c r="B6691" s="116" t="s">
        <v>246</v>
      </c>
      <c r="C6691" s="116" t="s">
        <v>1725</v>
      </c>
      <c r="D6691" s="100" t="str">
        <f t="shared" si="1"/>
        <v/>
      </c>
      <c r="E6691" s="100" t="str">
        <f t="shared" si="2"/>
        <v/>
      </c>
      <c r="F6691" s="100" t="str">
        <f t="shared" si="3"/>
        <v/>
      </c>
      <c r="G6691" s="151"/>
      <c r="H6691" s="156"/>
      <c r="I6691" s="171"/>
      <c r="J6691" s="158"/>
      <c r="M6691" s="159"/>
      <c r="N6691" s="94"/>
    </row>
    <row r="6692">
      <c r="A6692" s="107">
        <v>1641824.0</v>
      </c>
      <c r="B6692" s="116" t="s">
        <v>246</v>
      </c>
      <c r="C6692" s="116" t="s">
        <v>1726</v>
      </c>
      <c r="D6692" s="100" t="str">
        <f t="shared" si="1"/>
        <v/>
      </c>
      <c r="E6692" s="100" t="str">
        <f t="shared" si="2"/>
        <v/>
      </c>
      <c r="F6692" s="100" t="str">
        <f t="shared" si="3"/>
        <v/>
      </c>
      <c r="G6692" s="151"/>
      <c r="H6692" s="160"/>
      <c r="I6692" s="171"/>
      <c r="J6692" s="161"/>
      <c r="M6692" s="159"/>
      <c r="N6692" s="94"/>
    </row>
    <row r="6693">
      <c r="A6693" s="149">
        <v>1641824.0</v>
      </c>
      <c r="B6693" s="140" t="s">
        <v>247</v>
      </c>
      <c r="C6693" s="140" t="s">
        <v>1726</v>
      </c>
      <c r="D6693" s="100" t="str">
        <f t="shared" si="1"/>
        <v/>
      </c>
      <c r="E6693" s="100" t="str">
        <f t="shared" si="2"/>
        <v/>
      </c>
      <c r="F6693" s="100" t="str">
        <f t="shared" si="3"/>
        <v/>
      </c>
      <c r="G6693" s="151"/>
      <c r="H6693" s="156"/>
      <c r="I6693" s="172"/>
      <c r="J6693" s="158"/>
      <c r="M6693" s="159"/>
      <c r="N6693" s="94"/>
    </row>
    <row r="6694">
      <c r="A6694" s="21">
        <v>1641842.0</v>
      </c>
      <c r="B6694" s="22" t="s">
        <v>246</v>
      </c>
      <c r="C6694" s="116" t="s">
        <v>1727</v>
      </c>
      <c r="D6694" s="100" t="str">
        <f t="shared" si="1"/>
        <v/>
      </c>
      <c r="E6694" s="100" t="str">
        <f t="shared" si="2"/>
        <v/>
      </c>
      <c r="F6694" s="100" t="str">
        <f t="shared" si="3"/>
        <v/>
      </c>
      <c r="G6694" s="151"/>
      <c r="H6694" s="160"/>
      <c r="I6694" s="172"/>
      <c r="J6694" s="161"/>
      <c r="M6694" s="159"/>
      <c r="N6694" s="94"/>
    </row>
    <row r="6695">
      <c r="A6695" s="149">
        <v>1641842.0</v>
      </c>
      <c r="B6695" s="140" t="s">
        <v>247</v>
      </c>
      <c r="C6695" s="140" t="s">
        <v>1727</v>
      </c>
      <c r="D6695" s="100" t="str">
        <f t="shared" si="1"/>
        <v/>
      </c>
      <c r="E6695" s="100" t="str">
        <f t="shared" si="2"/>
        <v/>
      </c>
      <c r="F6695" s="100" t="str">
        <f t="shared" si="3"/>
        <v/>
      </c>
      <c r="G6695" s="151"/>
      <c r="H6695" s="156"/>
      <c r="I6695" s="171"/>
      <c r="J6695" s="158"/>
      <c r="M6695" s="159"/>
      <c r="N6695" s="94"/>
    </row>
    <row r="6696">
      <c r="A6696" s="107">
        <v>1641847.0</v>
      </c>
      <c r="B6696" s="116" t="s">
        <v>245</v>
      </c>
      <c r="C6696" s="116" t="s">
        <v>1728</v>
      </c>
      <c r="D6696" s="100" t="str">
        <f t="shared" si="1"/>
        <v/>
      </c>
      <c r="E6696" s="100" t="str">
        <f t="shared" si="2"/>
        <v/>
      </c>
      <c r="F6696" s="100" t="str">
        <f t="shared" si="3"/>
        <v/>
      </c>
      <c r="G6696" s="151"/>
      <c r="H6696" s="160"/>
      <c r="I6696" s="171"/>
      <c r="J6696" s="161"/>
      <c r="M6696" s="159"/>
      <c r="N6696" s="94"/>
    </row>
    <row r="6697">
      <c r="A6697" s="107">
        <v>1641851.0</v>
      </c>
      <c r="B6697" s="116" t="s">
        <v>245</v>
      </c>
      <c r="C6697" s="116" t="s">
        <v>1729</v>
      </c>
      <c r="D6697" s="100" t="str">
        <f t="shared" si="1"/>
        <v/>
      </c>
      <c r="E6697" s="100" t="str">
        <f t="shared" si="2"/>
        <v/>
      </c>
      <c r="F6697" s="100" t="str">
        <f t="shared" si="3"/>
        <v/>
      </c>
      <c r="G6697" s="151"/>
      <c r="H6697" s="156"/>
      <c r="I6697" s="171"/>
      <c r="J6697" s="158"/>
      <c r="M6697" s="159"/>
      <c r="N6697" s="94"/>
    </row>
    <row r="6698">
      <c r="A6698" s="21">
        <v>1641854.0</v>
      </c>
      <c r="B6698" s="22" t="s">
        <v>245</v>
      </c>
      <c r="C6698" s="22" t="s">
        <v>1730</v>
      </c>
      <c r="D6698" s="100" t="str">
        <f t="shared" si="1"/>
        <v/>
      </c>
      <c r="E6698" s="100" t="str">
        <f t="shared" si="2"/>
        <v/>
      </c>
      <c r="F6698" s="100" t="str">
        <f t="shared" si="3"/>
        <v/>
      </c>
      <c r="G6698" s="151"/>
      <c r="H6698" s="160"/>
      <c r="I6698" s="171"/>
      <c r="J6698" s="161"/>
      <c r="M6698" s="159"/>
      <c r="N6698" s="94"/>
    </row>
    <row r="6699">
      <c r="A6699" s="107">
        <v>1641854.0</v>
      </c>
      <c r="B6699" s="116" t="s">
        <v>246</v>
      </c>
      <c r="C6699" s="116" t="s">
        <v>1730</v>
      </c>
      <c r="D6699" s="100" t="str">
        <f t="shared" si="1"/>
        <v/>
      </c>
      <c r="E6699" s="100" t="str">
        <f t="shared" si="2"/>
        <v/>
      </c>
      <c r="F6699" s="100" t="str">
        <f t="shared" si="3"/>
        <v/>
      </c>
      <c r="G6699" s="151"/>
      <c r="H6699" s="156"/>
      <c r="I6699" s="171"/>
      <c r="J6699" s="158"/>
      <c r="M6699" s="159"/>
      <c r="N6699" s="94"/>
    </row>
    <row r="6700">
      <c r="A6700" s="123">
        <v>1641854.0</v>
      </c>
      <c r="B6700" s="133" t="s">
        <v>247</v>
      </c>
      <c r="C6700" s="132" t="s">
        <v>1730</v>
      </c>
      <c r="D6700" s="100" t="str">
        <f t="shared" si="1"/>
        <v/>
      </c>
      <c r="E6700" s="100" t="str">
        <f t="shared" si="2"/>
        <v/>
      </c>
      <c r="F6700" s="100" t="str">
        <f t="shared" si="3"/>
        <v/>
      </c>
      <c r="G6700" s="151"/>
      <c r="H6700" s="160"/>
      <c r="I6700" s="171"/>
      <c r="J6700" s="161"/>
      <c r="M6700" s="159"/>
      <c r="N6700" s="94"/>
    </row>
    <row r="6701">
      <c r="A6701" s="165">
        <v>1641857.0</v>
      </c>
      <c r="B6701" s="132" t="s">
        <v>246</v>
      </c>
      <c r="C6701" s="132" t="s">
        <v>1731</v>
      </c>
      <c r="D6701" s="100" t="str">
        <f t="shared" si="1"/>
        <v/>
      </c>
      <c r="E6701" s="100" t="str">
        <f t="shared" si="2"/>
        <v/>
      </c>
      <c r="F6701" s="100" t="str">
        <f t="shared" si="3"/>
        <v/>
      </c>
      <c r="G6701" s="151"/>
      <c r="H6701" s="156"/>
      <c r="I6701" s="171"/>
      <c r="J6701" s="158"/>
      <c r="M6701" s="159"/>
      <c r="N6701" s="94"/>
    </row>
    <row r="6702">
      <c r="A6702" s="107">
        <v>1641869.0</v>
      </c>
      <c r="B6702" s="24" t="s">
        <v>247</v>
      </c>
      <c r="C6702" s="24" t="s">
        <v>1732</v>
      </c>
      <c r="D6702" s="100" t="str">
        <f t="shared" si="1"/>
        <v/>
      </c>
      <c r="E6702" s="100" t="str">
        <f t="shared" si="2"/>
        <v/>
      </c>
      <c r="F6702" s="100" t="str">
        <f t="shared" si="3"/>
        <v/>
      </c>
      <c r="G6702" s="151"/>
      <c r="H6702" s="160"/>
      <c r="I6702" s="171"/>
      <c r="J6702" s="161"/>
      <c r="M6702" s="159"/>
      <c r="N6702" s="94"/>
    </row>
    <row r="6703">
      <c r="A6703" s="21">
        <v>1641871.0</v>
      </c>
      <c r="B6703" s="22" t="s">
        <v>245</v>
      </c>
      <c r="C6703" s="22" t="s">
        <v>1733</v>
      </c>
      <c r="D6703" s="100" t="str">
        <f t="shared" si="1"/>
        <v/>
      </c>
      <c r="E6703" s="100" t="str">
        <f t="shared" si="2"/>
        <v/>
      </c>
      <c r="F6703" s="100" t="str">
        <f t="shared" si="3"/>
        <v/>
      </c>
      <c r="G6703" s="151"/>
      <c r="H6703" s="156"/>
      <c r="I6703" s="171"/>
      <c r="J6703" s="158"/>
      <c r="M6703" s="159"/>
      <c r="N6703" s="94"/>
    </row>
    <row r="6704">
      <c r="A6704" s="107">
        <v>1641871.0</v>
      </c>
      <c r="B6704" s="116" t="s">
        <v>246</v>
      </c>
      <c r="C6704" s="116" t="s">
        <v>1733</v>
      </c>
      <c r="D6704" s="100" t="str">
        <f t="shared" si="1"/>
        <v/>
      </c>
      <c r="E6704" s="100" t="str">
        <f t="shared" si="2"/>
        <v/>
      </c>
      <c r="F6704" s="100" t="str">
        <f t="shared" si="3"/>
        <v/>
      </c>
      <c r="G6704" s="151"/>
      <c r="H6704" s="160"/>
      <c r="I6704" s="172"/>
      <c r="J6704" s="161"/>
      <c r="M6704" s="159"/>
      <c r="N6704" s="94"/>
    </row>
    <row r="6705">
      <c r="A6705" s="149">
        <v>1641871.0</v>
      </c>
      <c r="B6705" s="140" t="s">
        <v>247</v>
      </c>
      <c r="C6705" s="140" t="s">
        <v>1733</v>
      </c>
      <c r="D6705" s="100" t="str">
        <f t="shared" si="1"/>
        <v/>
      </c>
      <c r="E6705" s="100" t="str">
        <f t="shared" si="2"/>
        <v/>
      </c>
      <c r="F6705" s="100" t="str">
        <f t="shared" si="3"/>
        <v/>
      </c>
      <c r="G6705" s="151"/>
      <c r="H6705" s="156"/>
      <c r="I6705" s="171"/>
      <c r="J6705" s="158"/>
      <c r="M6705" s="159"/>
      <c r="N6705" s="94"/>
    </row>
    <row r="6706">
      <c r="A6706" s="165">
        <v>1641877.0</v>
      </c>
      <c r="B6706" s="132" t="s">
        <v>245</v>
      </c>
      <c r="C6706" s="132" t="s">
        <v>1734</v>
      </c>
      <c r="D6706" s="100" t="str">
        <f t="shared" si="1"/>
        <v/>
      </c>
      <c r="E6706" s="100" t="str">
        <f t="shared" si="2"/>
        <v/>
      </c>
      <c r="F6706" s="100" t="str">
        <f t="shared" si="3"/>
        <v/>
      </c>
      <c r="G6706" s="151"/>
      <c r="H6706" s="160"/>
      <c r="I6706" s="171"/>
      <c r="J6706" s="161"/>
      <c r="M6706" s="159"/>
      <c r="N6706" s="94"/>
    </row>
    <row r="6707">
      <c r="A6707" s="167">
        <v>1641878.0</v>
      </c>
      <c r="B6707" s="138" t="s">
        <v>246</v>
      </c>
      <c r="C6707" s="170" t="s">
        <v>1735</v>
      </c>
      <c r="D6707" s="100" t="str">
        <f t="shared" si="1"/>
        <v/>
      </c>
      <c r="E6707" s="100" t="str">
        <f t="shared" si="2"/>
        <v/>
      </c>
      <c r="F6707" s="100" t="str">
        <f t="shared" si="3"/>
        <v/>
      </c>
      <c r="G6707" s="151"/>
      <c r="H6707" s="156"/>
      <c r="I6707" s="171"/>
      <c r="J6707" s="158"/>
      <c r="M6707" s="159"/>
      <c r="N6707" s="94"/>
    </row>
    <row r="6708">
      <c r="A6708" s="114">
        <v>1641879.0</v>
      </c>
      <c r="B6708" s="22" t="s">
        <v>246</v>
      </c>
      <c r="C6708" s="131" t="s">
        <v>1736</v>
      </c>
      <c r="D6708" s="100" t="str">
        <f t="shared" si="1"/>
        <v/>
      </c>
      <c r="E6708" s="100" t="str">
        <f t="shared" si="2"/>
        <v/>
      </c>
      <c r="F6708" s="100" t="str">
        <f t="shared" si="3"/>
        <v/>
      </c>
      <c r="G6708" s="151"/>
      <c r="H6708" s="160"/>
      <c r="I6708" s="171"/>
      <c r="J6708" s="161"/>
      <c r="M6708" s="159"/>
      <c r="N6708" s="94"/>
    </row>
    <row r="6709">
      <c r="A6709" s="107">
        <v>1641890.0</v>
      </c>
      <c r="B6709" s="116" t="s">
        <v>246</v>
      </c>
      <c r="C6709" s="116" t="s">
        <v>1737</v>
      </c>
      <c r="D6709" s="100" t="str">
        <f t="shared" si="1"/>
        <v/>
      </c>
      <c r="E6709" s="100" t="str">
        <f t="shared" si="2"/>
        <v/>
      </c>
      <c r="F6709" s="100" t="str">
        <f t="shared" si="3"/>
        <v/>
      </c>
      <c r="G6709" s="151"/>
      <c r="H6709" s="156"/>
      <c r="I6709" s="171"/>
      <c r="J6709" s="158"/>
      <c r="M6709" s="159"/>
      <c r="N6709" s="94"/>
    </row>
    <row r="6710">
      <c r="A6710" s="149">
        <v>1641890.0</v>
      </c>
      <c r="B6710" s="140" t="s">
        <v>247</v>
      </c>
      <c r="C6710" s="140" t="s">
        <v>1737</v>
      </c>
      <c r="D6710" s="100" t="str">
        <f t="shared" si="1"/>
        <v/>
      </c>
      <c r="E6710" s="100" t="str">
        <f t="shared" si="2"/>
        <v/>
      </c>
      <c r="F6710" s="100" t="str">
        <f t="shared" si="3"/>
        <v/>
      </c>
      <c r="G6710" s="151"/>
      <c r="H6710" s="160"/>
      <c r="I6710" s="171"/>
      <c r="J6710" s="161"/>
      <c r="M6710" s="159"/>
      <c r="N6710" s="94"/>
    </row>
    <row r="6711">
      <c r="A6711" s="21">
        <v>1641926.0</v>
      </c>
      <c r="B6711" s="22" t="s">
        <v>245</v>
      </c>
      <c r="C6711" s="116" t="s">
        <v>1738</v>
      </c>
      <c r="D6711" s="100" t="str">
        <f t="shared" si="1"/>
        <v/>
      </c>
      <c r="E6711" s="100" t="str">
        <f t="shared" si="2"/>
        <v/>
      </c>
      <c r="F6711" s="100" t="str">
        <f t="shared" si="3"/>
        <v/>
      </c>
      <c r="G6711" s="151"/>
      <c r="H6711" s="156"/>
      <c r="I6711" s="171"/>
      <c r="J6711" s="158"/>
      <c r="M6711" s="159"/>
      <c r="N6711" s="94"/>
    </row>
    <row r="6712">
      <c r="A6712" s="107">
        <v>1641931.0</v>
      </c>
      <c r="B6712" s="116" t="s">
        <v>245</v>
      </c>
      <c r="C6712" s="116" t="s">
        <v>1739</v>
      </c>
      <c r="D6712" s="100" t="str">
        <f t="shared" si="1"/>
        <v/>
      </c>
      <c r="E6712" s="100" t="str">
        <f t="shared" si="2"/>
        <v/>
      </c>
      <c r="F6712" s="100" t="str">
        <f t="shared" si="3"/>
        <v/>
      </c>
      <c r="G6712" s="151"/>
      <c r="H6712" s="160"/>
      <c r="I6712" s="171"/>
      <c r="J6712" s="161"/>
      <c r="M6712" s="159"/>
      <c r="N6712" s="94"/>
    </row>
    <row r="6713">
      <c r="A6713" s="167">
        <v>1641936.0</v>
      </c>
      <c r="B6713" s="138" t="s">
        <v>246</v>
      </c>
      <c r="C6713" s="170" t="s">
        <v>1740</v>
      </c>
      <c r="D6713" s="100" t="str">
        <f t="shared" si="1"/>
        <v/>
      </c>
      <c r="E6713" s="100" t="str">
        <f t="shared" si="2"/>
        <v/>
      </c>
      <c r="F6713" s="100" t="str">
        <f t="shared" si="3"/>
        <v/>
      </c>
      <c r="G6713" s="151"/>
      <c r="H6713" s="156"/>
      <c r="I6713" s="172"/>
      <c r="J6713" s="158"/>
      <c r="M6713" s="159"/>
      <c r="N6713" s="94"/>
    </row>
    <row r="6714">
      <c r="A6714" s="165">
        <v>1641989.0</v>
      </c>
      <c r="B6714" s="132" t="s">
        <v>246</v>
      </c>
      <c r="C6714" s="132" t="s">
        <v>1741</v>
      </c>
      <c r="D6714" s="100" t="str">
        <f t="shared" si="1"/>
        <v/>
      </c>
      <c r="E6714" s="100" t="str">
        <f t="shared" si="2"/>
        <v/>
      </c>
      <c r="F6714" s="100" t="str">
        <f t="shared" si="3"/>
        <v/>
      </c>
      <c r="G6714" s="151"/>
      <c r="H6714" s="160"/>
      <c r="I6714" s="171"/>
      <c r="J6714" s="161"/>
      <c r="M6714" s="159"/>
      <c r="N6714" s="94"/>
    </row>
    <row r="6715">
      <c r="A6715" s="169">
        <v>1641989.0</v>
      </c>
      <c r="B6715" s="131" t="s">
        <v>247</v>
      </c>
      <c r="C6715" s="131" t="s">
        <v>1741</v>
      </c>
      <c r="D6715" s="100" t="str">
        <f t="shared" si="1"/>
        <v/>
      </c>
      <c r="E6715" s="100" t="str">
        <f t="shared" si="2"/>
        <v/>
      </c>
      <c r="F6715" s="100" t="str">
        <f t="shared" si="3"/>
        <v/>
      </c>
      <c r="G6715" s="151"/>
      <c r="H6715" s="156"/>
      <c r="I6715" s="171"/>
      <c r="J6715" s="158"/>
      <c r="M6715" s="159"/>
      <c r="N6715" s="94"/>
    </row>
    <row r="6716">
      <c r="A6716" s="21">
        <v>1641998.0</v>
      </c>
      <c r="B6716" s="22" t="s">
        <v>245</v>
      </c>
      <c r="C6716" s="22" t="s">
        <v>1742</v>
      </c>
      <c r="D6716" s="100" t="str">
        <f t="shared" si="1"/>
        <v/>
      </c>
      <c r="E6716" s="100" t="str">
        <f t="shared" si="2"/>
        <v/>
      </c>
      <c r="F6716" s="100" t="str">
        <f t="shared" si="3"/>
        <v/>
      </c>
      <c r="G6716" s="151"/>
      <c r="H6716" s="160"/>
      <c r="I6716" s="171"/>
      <c r="J6716" s="161"/>
      <c r="M6716" s="159"/>
      <c r="N6716" s="94"/>
    </row>
    <row r="6717">
      <c r="A6717" s="107">
        <v>1641998.0</v>
      </c>
      <c r="B6717" s="116" t="s">
        <v>246</v>
      </c>
      <c r="C6717" s="116" t="s">
        <v>1742</v>
      </c>
      <c r="D6717" s="100" t="str">
        <f t="shared" si="1"/>
        <v/>
      </c>
      <c r="E6717" s="100" t="str">
        <f t="shared" si="2"/>
        <v/>
      </c>
      <c r="F6717" s="100" t="str">
        <f t="shared" si="3"/>
        <v/>
      </c>
      <c r="G6717" s="151"/>
      <c r="H6717" s="156"/>
      <c r="I6717" s="171"/>
      <c r="J6717" s="158"/>
      <c r="M6717" s="159"/>
      <c r="N6717" s="94"/>
    </row>
    <row r="6718">
      <c r="A6718" s="114">
        <v>1641998.0</v>
      </c>
      <c r="B6718" s="131" t="s">
        <v>247</v>
      </c>
      <c r="C6718" s="22" t="s">
        <v>1742</v>
      </c>
      <c r="D6718" s="100" t="str">
        <f t="shared" si="1"/>
        <v/>
      </c>
      <c r="E6718" s="100" t="str">
        <f t="shared" si="2"/>
        <v/>
      </c>
      <c r="F6718" s="100" t="str">
        <f t="shared" si="3"/>
        <v/>
      </c>
      <c r="G6718" s="151"/>
      <c r="H6718" s="160"/>
      <c r="I6718" s="171"/>
      <c r="J6718" s="161"/>
      <c r="M6718" s="159"/>
      <c r="N6718" s="94"/>
    </row>
    <row r="6719">
      <c r="A6719" s="107">
        <v>1642013.0</v>
      </c>
      <c r="B6719" s="116" t="s">
        <v>245</v>
      </c>
      <c r="C6719" s="116" t="s">
        <v>1743</v>
      </c>
      <c r="D6719" s="100" t="str">
        <f t="shared" si="1"/>
        <v/>
      </c>
      <c r="E6719" s="100" t="str">
        <f t="shared" si="2"/>
        <v/>
      </c>
      <c r="F6719" s="100" t="str">
        <f t="shared" si="3"/>
        <v/>
      </c>
      <c r="G6719" s="151"/>
      <c r="H6719" s="156"/>
      <c r="I6719" s="171"/>
      <c r="J6719" s="158"/>
      <c r="M6719" s="159"/>
      <c r="N6719" s="94"/>
    </row>
    <row r="6720">
      <c r="A6720" s="21">
        <v>1642024.0</v>
      </c>
      <c r="B6720" s="22" t="s">
        <v>246</v>
      </c>
      <c r="C6720" s="22" t="s">
        <v>1744</v>
      </c>
      <c r="D6720" s="100" t="str">
        <f t="shared" si="1"/>
        <v/>
      </c>
      <c r="E6720" s="100" t="str">
        <f t="shared" si="2"/>
        <v/>
      </c>
      <c r="F6720" s="100" t="str">
        <f t="shared" si="3"/>
        <v/>
      </c>
      <c r="G6720" s="151"/>
      <c r="H6720" s="160"/>
      <c r="I6720" s="171"/>
      <c r="J6720" s="161"/>
      <c r="M6720" s="159"/>
      <c r="N6720" s="94"/>
    </row>
    <row r="6721">
      <c r="A6721" s="169">
        <v>1642050.0</v>
      </c>
      <c r="B6721" s="22" t="s">
        <v>246</v>
      </c>
      <c r="C6721" s="131" t="s">
        <v>1745</v>
      </c>
      <c r="D6721" s="100" t="str">
        <f t="shared" si="1"/>
        <v/>
      </c>
      <c r="E6721" s="100" t="str">
        <f t="shared" si="2"/>
        <v/>
      </c>
      <c r="F6721" s="100" t="str">
        <f t="shared" si="3"/>
        <v/>
      </c>
      <c r="G6721" s="151"/>
      <c r="H6721" s="156"/>
      <c r="I6721" s="171"/>
      <c r="J6721" s="158"/>
      <c r="M6721" s="159"/>
      <c r="N6721" s="94"/>
    </row>
    <row r="6722">
      <c r="A6722" s="140">
        <v>1642050.0</v>
      </c>
      <c r="B6722" s="140" t="s">
        <v>247</v>
      </c>
      <c r="C6722" s="140" t="s">
        <v>1745</v>
      </c>
      <c r="D6722" s="100" t="str">
        <f t="shared" si="1"/>
        <v/>
      </c>
      <c r="E6722" s="100" t="str">
        <f t="shared" si="2"/>
        <v/>
      </c>
      <c r="F6722" s="100" t="str">
        <f t="shared" si="3"/>
        <v/>
      </c>
      <c r="G6722" s="151"/>
      <c r="H6722" s="160"/>
      <c r="I6722" s="171"/>
      <c r="J6722" s="161"/>
      <c r="M6722" s="159"/>
      <c r="N6722" s="94"/>
    </row>
    <row r="6723">
      <c r="A6723" s="114">
        <v>1642066.0</v>
      </c>
      <c r="B6723" s="131" t="s">
        <v>247</v>
      </c>
      <c r="C6723" s="131" t="s">
        <v>1746</v>
      </c>
      <c r="D6723" s="100" t="str">
        <f t="shared" si="1"/>
        <v/>
      </c>
      <c r="E6723" s="100" t="str">
        <f t="shared" si="2"/>
        <v/>
      </c>
      <c r="F6723" s="100" t="str">
        <f t="shared" si="3"/>
        <v/>
      </c>
      <c r="G6723" s="151"/>
      <c r="H6723" s="156"/>
      <c r="I6723" s="171"/>
      <c r="J6723" s="158"/>
      <c r="M6723" s="159"/>
      <c r="N6723" s="94"/>
    </row>
    <row r="6724">
      <c r="A6724" s="107">
        <v>1642258.0</v>
      </c>
      <c r="B6724" s="116" t="s">
        <v>246</v>
      </c>
      <c r="C6724" s="116" t="s">
        <v>1747</v>
      </c>
      <c r="D6724" s="100" t="str">
        <f t="shared" si="1"/>
        <v/>
      </c>
      <c r="E6724" s="100" t="str">
        <f t="shared" si="2"/>
        <v/>
      </c>
      <c r="F6724" s="100" t="str">
        <f t="shared" si="3"/>
        <v/>
      </c>
      <c r="G6724" s="151"/>
      <c r="H6724" s="160"/>
      <c r="I6724" s="171"/>
      <c r="J6724" s="161"/>
      <c r="M6724" s="159"/>
      <c r="N6724" s="94"/>
    </row>
    <row r="6725">
      <c r="A6725" s="114">
        <v>1642258.0</v>
      </c>
      <c r="B6725" s="131" t="s">
        <v>247</v>
      </c>
      <c r="C6725" s="131" t="s">
        <v>1747</v>
      </c>
      <c r="D6725" s="100" t="str">
        <f t="shared" si="1"/>
        <v/>
      </c>
      <c r="E6725" s="100" t="str">
        <f t="shared" si="2"/>
        <v/>
      </c>
      <c r="F6725" s="100" t="str">
        <f t="shared" si="3"/>
        <v/>
      </c>
      <c r="G6725" s="151"/>
      <c r="H6725" s="156"/>
      <c r="I6725" s="171"/>
      <c r="J6725" s="158"/>
      <c r="M6725" s="159"/>
      <c r="N6725" s="94"/>
    </row>
    <row r="6726">
      <c r="A6726" s="107">
        <v>1642259.0</v>
      </c>
      <c r="B6726" s="116" t="s">
        <v>246</v>
      </c>
      <c r="C6726" s="140" t="s">
        <v>1748</v>
      </c>
      <c r="D6726" s="100" t="str">
        <f t="shared" si="1"/>
        <v/>
      </c>
      <c r="E6726" s="100" t="str">
        <f t="shared" si="2"/>
        <v/>
      </c>
      <c r="F6726" s="100" t="str">
        <f t="shared" si="3"/>
        <v/>
      </c>
      <c r="G6726" s="151"/>
      <c r="H6726" s="160"/>
      <c r="I6726" s="171"/>
      <c r="J6726" s="161"/>
      <c r="M6726" s="159"/>
      <c r="N6726" s="94"/>
    </row>
    <row r="6727">
      <c r="A6727" s="114">
        <v>1642259.0</v>
      </c>
      <c r="B6727" s="131" t="s">
        <v>247</v>
      </c>
      <c r="C6727" s="131" t="s">
        <v>1748</v>
      </c>
      <c r="D6727" s="100" t="str">
        <f t="shared" si="1"/>
        <v/>
      </c>
      <c r="E6727" s="100" t="str">
        <f t="shared" si="2"/>
        <v/>
      </c>
      <c r="F6727" s="100" t="str">
        <f t="shared" si="3"/>
        <v/>
      </c>
      <c r="G6727" s="151"/>
      <c r="H6727" s="156"/>
      <c r="I6727" s="171"/>
      <c r="J6727" s="158"/>
      <c r="M6727" s="159"/>
      <c r="N6727" s="94"/>
    </row>
    <row r="6728">
      <c r="A6728" s="140">
        <v>1642260.0</v>
      </c>
      <c r="B6728" s="140" t="s">
        <v>247</v>
      </c>
      <c r="C6728" s="140" t="s">
        <v>1749</v>
      </c>
      <c r="D6728" s="100" t="str">
        <f t="shared" si="1"/>
        <v/>
      </c>
      <c r="E6728" s="100" t="str">
        <f t="shared" si="2"/>
        <v/>
      </c>
      <c r="F6728" s="100" t="str">
        <f t="shared" si="3"/>
        <v/>
      </c>
      <c r="G6728" s="151"/>
      <c r="H6728" s="160"/>
      <c r="I6728" s="171"/>
      <c r="J6728" s="161"/>
      <c r="M6728" s="159"/>
      <c r="N6728" s="94"/>
    </row>
    <row r="6729">
      <c r="A6729" s="21">
        <v>1642261.0</v>
      </c>
      <c r="B6729" s="22" t="s">
        <v>246</v>
      </c>
      <c r="C6729" s="22" t="s">
        <v>1750</v>
      </c>
      <c r="D6729" s="100" t="str">
        <f t="shared" si="1"/>
        <v/>
      </c>
      <c r="E6729" s="100" t="str">
        <f t="shared" si="2"/>
        <v/>
      </c>
      <c r="F6729" s="100" t="str">
        <f t="shared" si="3"/>
        <v/>
      </c>
      <c r="G6729" s="151"/>
      <c r="H6729" s="156"/>
      <c r="I6729" s="171"/>
      <c r="J6729" s="158"/>
      <c r="M6729" s="159"/>
      <c r="N6729" s="94"/>
    </row>
    <row r="6730">
      <c r="A6730" s="149">
        <v>1642261.0</v>
      </c>
      <c r="B6730" s="140" t="s">
        <v>247</v>
      </c>
      <c r="C6730" s="140" t="s">
        <v>1750</v>
      </c>
      <c r="D6730" s="100" t="str">
        <f t="shared" si="1"/>
        <v/>
      </c>
      <c r="E6730" s="100" t="str">
        <f t="shared" si="2"/>
        <v/>
      </c>
      <c r="F6730" s="100" t="str">
        <f t="shared" si="3"/>
        <v/>
      </c>
      <c r="G6730" s="151"/>
      <c r="H6730" s="160"/>
      <c r="I6730" s="171"/>
      <c r="J6730" s="161"/>
      <c r="M6730" s="159"/>
      <c r="N6730" s="94"/>
    </row>
    <row r="6731">
      <c r="A6731" s="21">
        <v>1642262.0</v>
      </c>
      <c r="B6731" s="22" t="s">
        <v>246</v>
      </c>
      <c r="C6731" s="22" t="s">
        <v>1751</v>
      </c>
      <c r="D6731" s="100" t="str">
        <f t="shared" si="1"/>
        <v/>
      </c>
      <c r="E6731" s="100" t="str">
        <f t="shared" si="2"/>
        <v/>
      </c>
      <c r="F6731" s="100" t="str">
        <f t="shared" si="3"/>
        <v/>
      </c>
      <c r="G6731" s="151"/>
      <c r="H6731" s="156"/>
      <c r="I6731" s="171"/>
      <c r="J6731" s="158"/>
      <c r="M6731" s="159"/>
      <c r="N6731" s="94"/>
    </row>
    <row r="6732">
      <c r="A6732" s="149">
        <v>1642262.0</v>
      </c>
      <c r="B6732" s="140" t="s">
        <v>247</v>
      </c>
      <c r="C6732" s="140" t="s">
        <v>1751</v>
      </c>
      <c r="D6732" s="100" t="str">
        <f t="shared" si="1"/>
        <v/>
      </c>
      <c r="E6732" s="100" t="str">
        <f t="shared" si="2"/>
        <v/>
      </c>
      <c r="F6732" s="100" t="str">
        <f t="shared" si="3"/>
        <v/>
      </c>
      <c r="G6732" s="151"/>
      <c r="H6732" s="160"/>
      <c r="I6732" s="171"/>
      <c r="J6732" s="161"/>
      <c r="M6732" s="159"/>
      <c r="N6732" s="94"/>
    </row>
    <row r="6733">
      <c r="A6733" s="21">
        <v>1642263.0</v>
      </c>
      <c r="B6733" s="22" t="s">
        <v>246</v>
      </c>
      <c r="C6733" s="116" t="s">
        <v>1752</v>
      </c>
      <c r="D6733" s="100" t="str">
        <f t="shared" si="1"/>
        <v/>
      </c>
      <c r="E6733" s="100" t="str">
        <f t="shared" si="2"/>
        <v/>
      </c>
      <c r="F6733" s="100" t="str">
        <f t="shared" si="3"/>
        <v/>
      </c>
      <c r="G6733" s="151"/>
      <c r="H6733" s="156"/>
      <c r="I6733" s="171"/>
      <c r="J6733" s="158"/>
      <c r="M6733" s="159"/>
      <c r="N6733" s="94"/>
    </row>
    <row r="6734">
      <c r="A6734" s="149">
        <v>1642263.0</v>
      </c>
      <c r="B6734" s="140" t="s">
        <v>247</v>
      </c>
      <c r="C6734" s="140" t="s">
        <v>1752</v>
      </c>
      <c r="D6734" s="100" t="str">
        <f t="shared" si="1"/>
        <v/>
      </c>
      <c r="E6734" s="100" t="str">
        <f t="shared" si="2"/>
        <v/>
      </c>
      <c r="F6734" s="100" t="str">
        <f t="shared" si="3"/>
        <v/>
      </c>
      <c r="G6734" s="151"/>
      <c r="H6734" s="160"/>
      <c r="I6734" s="171"/>
      <c r="J6734" s="161"/>
      <c r="M6734" s="159"/>
      <c r="N6734" s="94"/>
    </row>
    <row r="6735">
      <c r="A6735" s="21">
        <v>1642264.0</v>
      </c>
      <c r="B6735" s="22" t="s">
        <v>246</v>
      </c>
      <c r="C6735" s="22" t="s">
        <v>1753</v>
      </c>
      <c r="D6735" s="100" t="str">
        <f t="shared" si="1"/>
        <v/>
      </c>
      <c r="E6735" s="100" t="str">
        <f t="shared" si="2"/>
        <v/>
      </c>
      <c r="F6735" s="100" t="str">
        <f t="shared" si="3"/>
        <v/>
      </c>
      <c r="G6735" s="151"/>
      <c r="H6735" s="156"/>
      <c r="I6735" s="171"/>
      <c r="J6735" s="158"/>
      <c r="M6735" s="159"/>
      <c r="N6735" s="94"/>
    </row>
    <row r="6736">
      <c r="A6736" s="149">
        <v>1642264.0</v>
      </c>
      <c r="B6736" s="140" t="s">
        <v>247</v>
      </c>
      <c r="C6736" s="140" t="s">
        <v>1753</v>
      </c>
      <c r="D6736" s="100" t="str">
        <f t="shared" si="1"/>
        <v/>
      </c>
      <c r="E6736" s="100" t="str">
        <f t="shared" si="2"/>
        <v/>
      </c>
      <c r="F6736" s="100" t="str">
        <f t="shared" si="3"/>
        <v/>
      </c>
      <c r="G6736" s="151"/>
      <c r="H6736" s="160"/>
      <c r="I6736" s="171"/>
      <c r="J6736" s="161"/>
      <c r="M6736" s="159"/>
      <c r="N6736" s="94"/>
    </row>
    <row r="6737">
      <c r="A6737" s="163">
        <v>1642265.0</v>
      </c>
      <c r="B6737" s="22" t="s">
        <v>246</v>
      </c>
      <c r="C6737" s="22" t="s">
        <v>1754</v>
      </c>
      <c r="D6737" s="100" t="str">
        <f t="shared" si="1"/>
        <v/>
      </c>
      <c r="E6737" s="100" t="str">
        <f t="shared" si="2"/>
        <v/>
      </c>
      <c r="F6737" s="100" t="str">
        <f t="shared" si="3"/>
        <v/>
      </c>
      <c r="G6737" s="151"/>
      <c r="H6737" s="156"/>
      <c r="I6737" s="171"/>
      <c r="J6737" s="158"/>
      <c r="M6737" s="159"/>
      <c r="N6737" s="94"/>
    </row>
    <row r="6738">
      <c r="A6738" s="149">
        <v>1642265.0</v>
      </c>
      <c r="B6738" s="140" t="s">
        <v>247</v>
      </c>
      <c r="C6738" s="140" t="s">
        <v>1754</v>
      </c>
      <c r="D6738" s="100" t="str">
        <f t="shared" si="1"/>
        <v/>
      </c>
      <c r="E6738" s="100" t="str">
        <f t="shared" si="2"/>
        <v/>
      </c>
      <c r="F6738" s="100" t="str">
        <f t="shared" si="3"/>
        <v/>
      </c>
      <c r="G6738" s="151"/>
      <c r="H6738" s="160"/>
      <c r="I6738" s="171"/>
      <c r="J6738" s="161"/>
      <c r="M6738" s="159"/>
      <c r="N6738" s="94"/>
    </row>
    <row r="6739">
      <c r="A6739" s="21">
        <v>1642266.0</v>
      </c>
      <c r="B6739" s="22" t="s">
        <v>246</v>
      </c>
      <c r="C6739" s="22" t="s">
        <v>1755</v>
      </c>
      <c r="D6739" s="100" t="str">
        <f t="shared" si="1"/>
        <v/>
      </c>
      <c r="E6739" s="100" t="str">
        <f t="shared" si="2"/>
        <v/>
      </c>
      <c r="F6739" s="100" t="str">
        <f t="shared" si="3"/>
        <v/>
      </c>
      <c r="G6739" s="151"/>
      <c r="H6739" s="156"/>
      <c r="I6739" s="172"/>
      <c r="J6739" s="158"/>
      <c r="M6739" s="159"/>
      <c r="N6739" s="94"/>
    </row>
    <row r="6740">
      <c r="A6740" s="149">
        <v>1642266.0</v>
      </c>
      <c r="B6740" s="140" t="s">
        <v>247</v>
      </c>
      <c r="C6740" s="116" t="s">
        <v>1755</v>
      </c>
      <c r="D6740" s="100" t="str">
        <f t="shared" si="1"/>
        <v/>
      </c>
      <c r="E6740" s="100" t="str">
        <f t="shared" si="2"/>
        <v/>
      </c>
      <c r="F6740" s="100" t="str">
        <f t="shared" si="3"/>
        <v/>
      </c>
      <c r="G6740" s="151"/>
      <c r="H6740" s="160"/>
      <c r="I6740" s="172"/>
      <c r="J6740" s="161"/>
      <c r="M6740" s="159"/>
      <c r="N6740" s="94"/>
    </row>
    <row r="6741">
      <c r="A6741" s="21">
        <v>1642267.0</v>
      </c>
      <c r="B6741" s="22" t="s">
        <v>246</v>
      </c>
      <c r="C6741" s="131" t="s">
        <v>1756</v>
      </c>
      <c r="D6741" s="100" t="str">
        <f t="shared" si="1"/>
        <v/>
      </c>
      <c r="E6741" s="100" t="str">
        <f t="shared" si="2"/>
        <v/>
      </c>
      <c r="F6741" s="100" t="str">
        <f t="shared" si="3"/>
        <v/>
      </c>
      <c r="G6741" s="151"/>
      <c r="H6741" s="156"/>
      <c r="I6741" s="172"/>
      <c r="J6741" s="158"/>
      <c r="M6741" s="159"/>
      <c r="N6741" s="94"/>
    </row>
    <row r="6742">
      <c r="A6742" s="149">
        <v>1642267.0</v>
      </c>
      <c r="B6742" s="140" t="s">
        <v>247</v>
      </c>
      <c r="C6742" s="140" t="s">
        <v>1756</v>
      </c>
      <c r="D6742" s="100" t="str">
        <f t="shared" si="1"/>
        <v/>
      </c>
      <c r="E6742" s="100" t="str">
        <f t="shared" si="2"/>
        <v/>
      </c>
      <c r="F6742" s="100" t="str">
        <f t="shared" si="3"/>
        <v/>
      </c>
      <c r="G6742" s="151"/>
      <c r="H6742" s="160"/>
      <c r="I6742" s="171"/>
      <c r="J6742" s="161"/>
      <c r="M6742" s="159"/>
      <c r="N6742" s="94"/>
    </row>
    <row r="6743">
      <c r="A6743" s="21">
        <v>1642268.0</v>
      </c>
      <c r="B6743" s="22" t="s">
        <v>246</v>
      </c>
      <c r="C6743" s="22" t="s">
        <v>1757</v>
      </c>
      <c r="D6743" s="100" t="str">
        <f t="shared" si="1"/>
        <v/>
      </c>
      <c r="E6743" s="100" t="str">
        <f t="shared" si="2"/>
        <v/>
      </c>
      <c r="F6743" s="100" t="str">
        <f t="shared" si="3"/>
        <v/>
      </c>
      <c r="G6743" s="151"/>
      <c r="H6743" s="156"/>
      <c r="I6743" s="171"/>
      <c r="J6743" s="158"/>
      <c r="M6743" s="159"/>
      <c r="N6743" s="94"/>
    </row>
    <row r="6744">
      <c r="A6744" s="140">
        <v>1642268.0</v>
      </c>
      <c r="B6744" s="140" t="s">
        <v>247</v>
      </c>
      <c r="C6744" s="140" t="s">
        <v>1757</v>
      </c>
      <c r="D6744" s="100" t="str">
        <f t="shared" si="1"/>
        <v/>
      </c>
      <c r="E6744" s="100" t="str">
        <f t="shared" si="2"/>
        <v/>
      </c>
      <c r="F6744" s="100" t="str">
        <f t="shared" si="3"/>
        <v/>
      </c>
      <c r="G6744" s="151"/>
      <c r="H6744" s="160"/>
      <c r="I6744" s="171"/>
      <c r="J6744" s="161"/>
      <c r="M6744" s="159"/>
      <c r="N6744" s="94"/>
    </row>
    <row r="6745">
      <c r="A6745" s="21">
        <v>1642269.0</v>
      </c>
      <c r="B6745" s="22" t="s">
        <v>246</v>
      </c>
      <c r="C6745" s="22" t="s">
        <v>1758</v>
      </c>
      <c r="D6745" s="100" t="str">
        <f t="shared" si="1"/>
        <v/>
      </c>
      <c r="E6745" s="100" t="str">
        <f t="shared" si="2"/>
        <v/>
      </c>
      <c r="F6745" s="100" t="str">
        <f t="shared" si="3"/>
        <v/>
      </c>
      <c r="G6745" s="151"/>
      <c r="H6745" s="156"/>
      <c r="I6745" s="171"/>
      <c r="J6745" s="158"/>
      <c r="M6745" s="159"/>
      <c r="N6745" s="94"/>
    </row>
    <row r="6746">
      <c r="A6746" s="149">
        <v>1642269.0</v>
      </c>
      <c r="B6746" s="140" t="s">
        <v>247</v>
      </c>
      <c r="C6746" s="140" t="s">
        <v>1758</v>
      </c>
      <c r="D6746" s="100" t="str">
        <f t="shared" si="1"/>
        <v/>
      </c>
      <c r="E6746" s="100" t="str">
        <f t="shared" si="2"/>
        <v/>
      </c>
      <c r="F6746" s="100" t="str">
        <f t="shared" si="3"/>
        <v/>
      </c>
      <c r="G6746" s="151"/>
      <c r="H6746" s="160"/>
      <c r="I6746" s="171"/>
      <c r="J6746" s="161"/>
      <c r="M6746" s="159"/>
      <c r="N6746" s="94"/>
    </row>
    <row r="6747">
      <c r="A6747" s="21">
        <v>1642270.0</v>
      </c>
      <c r="B6747" s="22" t="s">
        <v>246</v>
      </c>
      <c r="C6747" s="22" t="s">
        <v>1759</v>
      </c>
      <c r="D6747" s="100" t="str">
        <f t="shared" si="1"/>
        <v/>
      </c>
      <c r="E6747" s="100" t="str">
        <f t="shared" si="2"/>
        <v/>
      </c>
      <c r="F6747" s="100" t="str">
        <f t="shared" si="3"/>
        <v/>
      </c>
      <c r="G6747" s="151"/>
      <c r="H6747" s="156"/>
      <c r="I6747" s="171"/>
      <c r="J6747" s="158"/>
      <c r="M6747" s="159"/>
      <c r="N6747" s="94"/>
    </row>
    <row r="6748">
      <c r="A6748" s="149">
        <v>1642270.0</v>
      </c>
      <c r="B6748" s="140" t="s">
        <v>247</v>
      </c>
      <c r="C6748" s="140" t="s">
        <v>1759</v>
      </c>
      <c r="D6748" s="100" t="str">
        <f t="shared" si="1"/>
        <v/>
      </c>
      <c r="E6748" s="100" t="str">
        <f t="shared" si="2"/>
        <v/>
      </c>
      <c r="F6748" s="100" t="str">
        <f t="shared" si="3"/>
        <v/>
      </c>
      <c r="G6748" s="151"/>
      <c r="H6748" s="160"/>
      <c r="I6748" s="171"/>
      <c r="J6748" s="161"/>
      <c r="M6748" s="159"/>
      <c r="N6748" s="94"/>
    </row>
    <row r="6749">
      <c r="A6749" s="21">
        <v>1642271.0</v>
      </c>
      <c r="B6749" s="22" t="s">
        <v>246</v>
      </c>
      <c r="C6749" s="22" t="s">
        <v>1760</v>
      </c>
      <c r="D6749" s="100" t="str">
        <f t="shared" si="1"/>
        <v/>
      </c>
      <c r="E6749" s="100" t="str">
        <f t="shared" si="2"/>
        <v/>
      </c>
      <c r="F6749" s="100" t="str">
        <f t="shared" si="3"/>
        <v/>
      </c>
      <c r="G6749" s="151"/>
      <c r="H6749" s="156"/>
      <c r="I6749" s="171"/>
      <c r="J6749" s="158"/>
      <c r="M6749" s="159"/>
      <c r="N6749" s="94"/>
    </row>
    <row r="6750">
      <c r="A6750" s="149">
        <v>1642271.0</v>
      </c>
      <c r="B6750" s="140" t="s">
        <v>247</v>
      </c>
      <c r="C6750" s="140" t="s">
        <v>1760</v>
      </c>
      <c r="D6750" s="100" t="str">
        <f t="shared" si="1"/>
        <v/>
      </c>
      <c r="E6750" s="100" t="str">
        <f t="shared" si="2"/>
        <v/>
      </c>
      <c r="F6750" s="100" t="str">
        <f t="shared" si="3"/>
        <v/>
      </c>
      <c r="G6750" s="151"/>
      <c r="H6750" s="160"/>
      <c r="I6750" s="171"/>
      <c r="J6750" s="161"/>
      <c r="M6750" s="159"/>
      <c r="N6750" s="94"/>
    </row>
    <row r="6751">
      <c r="A6751" s="21">
        <v>1642272.0</v>
      </c>
      <c r="B6751" s="22" t="s">
        <v>246</v>
      </c>
      <c r="C6751" s="116" t="s">
        <v>1761</v>
      </c>
      <c r="D6751" s="100" t="str">
        <f t="shared" si="1"/>
        <v/>
      </c>
      <c r="E6751" s="100" t="str">
        <f t="shared" si="2"/>
        <v/>
      </c>
      <c r="F6751" s="100" t="str">
        <f t="shared" si="3"/>
        <v/>
      </c>
      <c r="G6751" s="151"/>
      <c r="H6751" s="156"/>
      <c r="I6751" s="171"/>
      <c r="J6751" s="158"/>
      <c r="M6751" s="159"/>
      <c r="N6751" s="94"/>
    </row>
    <row r="6752">
      <c r="A6752" s="149">
        <v>1642272.0</v>
      </c>
      <c r="B6752" s="140" t="s">
        <v>247</v>
      </c>
      <c r="C6752" s="140" t="s">
        <v>1761</v>
      </c>
      <c r="D6752" s="100" t="str">
        <f t="shared" si="1"/>
        <v/>
      </c>
      <c r="E6752" s="100" t="str">
        <f t="shared" si="2"/>
        <v/>
      </c>
      <c r="F6752" s="100" t="str">
        <f t="shared" si="3"/>
        <v/>
      </c>
      <c r="G6752" s="151"/>
      <c r="H6752" s="160"/>
      <c r="I6752" s="171"/>
      <c r="J6752" s="161"/>
      <c r="M6752" s="159"/>
      <c r="N6752" s="94"/>
    </row>
    <row r="6753">
      <c r="A6753" s="21">
        <v>1642273.0</v>
      </c>
      <c r="B6753" s="22" t="s">
        <v>246</v>
      </c>
      <c r="C6753" s="116" t="s">
        <v>1762</v>
      </c>
      <c r="D6753" s="100" t="str">
        <f t="shared" si="1"/>
        <v/>
      </c>
      <c r="E6753" s="100" t="str">
        <f t="shared" si="2"/>
        <v/>
      </c>
      <c r="F6753" s="100" t="str">
        <f t="shared" si="3"/>
        <v/>
      </c>
      <c r="G6753" s="151"/>
      <c r="H6753" s="156"/>
      <c r="I6753" s="171"/>
      <c r="J6753" s="158"/>
      <c r="M6753" s="159"/>
      <c r="N6753" s="94"/>
    </row>
    <row r="6754">
      <c r="A6754" s="149">
        <v>1642273.0</v>
      </c>
      <c r="B6754" s="140" t="s">
        <v>247</v>
      </c>
      <c r="C6754" s="140" t="s">
        <v>1762</v>
      </c>
      <c r="D6754" s="100" t="str">
        <f t="shared" si="1"/>
        <v/>
      </c>
      <c r="E6754" s="100" t="str">
        <f t="shared" si="2"/>
        <v/>
      </c>
      <c r="F6754" s="100" t="str">
        <f t="shared" si="3"/>
        <v/>
      </c>
      <c r="G6754" s="151"/>
      <c r="H6754" s="160"/>
      <c r="I6754" s="171"/>
      <c r="J6754" s="161"/>
      <c r="M6754" s="159"/>
      <c r="N6754" s="94"/>
    </row>
    <row r="6755">
      <c r="A6755" s="21">
        <v>1642274.0</v>
      </c>
      <c r="B6755" s="22" t="s">
        <v>246</v>
      </c>
      <c r="C6755" s="22" t="s">
        <v>1763</v>
      </c>
      <c r="D6755" s="100" t="str">
        <f t="shared" si="1"/>
        <v/>
      </c>
      <c r="E6755" s="100" t="str">
        <f t="shared" si="2"/>
        <v/>
      </c>
      <c r="F6755" s="100" t="str">
        <f t="shared" si="3"/>
        <v/>
      </c>
      <c r="G6755" s="151"/>
      <c r="H6755" s="156"/>
      <c r="I6755" s="171"/>
      <c r="J6755" s="158"/>
      <c r="M6755" s="159"/>
      <c r="N6755" s="94"/>
    </row>
    <row r="6756">
      <c r="A6756" s="149">
        <v>1642274.0</v>
      </c>
      <c r="B6756" s="140" t="s">
        <v>247</v>
      </c>
      <c r="C6756" s="140" t="s">
        <v>1763</v>
      </c>
      <c r="D6756" s="100" t="str">
        <f t="shared" si="1"/>
        <v/>
      </c>
      <c r="E6756" s="100" t="str">
        <f t="shared" si="2"/>
        <v/>
      </c>
      <c r="F6756" s="100" t="str">
        <f t="shared" si="3"/>
        <v/>
      </c>
      <c r="G6756" s="151"/>
      <c r="H6756" s="160"/>
      <c r="I6756" s="172"/>
      <c r="J6756" s="161"/>
      <c r="M6756" s="159"/>
      <c r="N6756" s="94"/>
    </row>
    <row r="6757">
      <c r="A6757" s="21">
        <v>1642275.0</v>
      </c>
      <c r="B6757" s="22" t="s">
        <v>246</v>
      </c>
      <c r="C6757" s="22" t="s">
        <v>1764</v>
      </c>
      <c r="D6757" s="100" t="str">
        <f t="shared" si="1"/>
        <v/>
      </c>
      <c r="E6757" s="100" t="str">
        <f t="shared" si="2"/>
        <v/>
      </c>
      <c r="F6757" s="100" t="str">
        <f t="shared" si="3"/>
        <v/>
      </c>
      <c r="G6757" s="151"/>
      <c r="H6757" s="156"/>
      <c r="I6757" s="172"/>
      <c r="J6757" s="158"/>
      <c r="M6757" s="159"/>
      <c r="N6757" s="94"/>
    </row>
    <row r="6758">
      <c r="A6758" s="149">
        <v>1642275.0</v>
      </c>
      <c r="B6758" s="140" t="s">
        <v>247</v>
      </c>
      <c r="C6758" s="116" t="s">
        <v>1764</v>
      </c>
      <c r="D6758" s="100" t="str">
        <f t="shared" si="1"/>
        <v/>
      </c>
      <c r="E6758" s="100" t="str">
        <f t="shared" si="2"/>
        <v/>
      </c>
      <c r="F6758" s="100" t="str">
        <f t="shared" si="3"/>
        <v/>
      </c>
      <c r="G6758" s="151"/>
      <c r="H6758" s="160"/>
      <c r="I6758" s="171"/>
      <c r="J6758" s="161"/>
      <c r="M6758" s="159"/>
      <c r="N6758" s="94"/>
    </row>
    <row r="6759">
      <c r="A6759" s="107">
        <v>1642276.0</v>
      </c>
      <c r="B6759" s="116" t="s">
        <v>246</v>
      </c>
      <c r="C6759" s="116" t="s">
        <v>1765</v>
      </c>
      <c r="D6759" s="100" t="str">
        <f t="shared" si="1"/>
        <v/>
      </c>
      <c r="E6759" s="100" t="str">
        <f t="shared" si="2"/>
        <v/>
      </c>
      <c r="F6759" s="100" t="str">
        <f t="shared" si="3"/>
        <v/>
      </c>
      <c r="G6759" s="151"/>
      <c r="H6759" s="156"/>
      <c r="I6759" s="171"/>
      <c r="J6759" s="158"/>
      <c r="M6759" s="159"/>
      <c r="N6759" s="94"/>
    </row>
    <row r="6760">
      <c r="A6760" s="169">
        <v>1642276.0</v>
      </c>
      <c r="B6760" s="131" t="s">
        <v>247</v>
      </c>
      <c r="C6760" s="22" t="s">
        <v>1765</v>
      </c>
      <c r="D6760" s="100" t="str">
        <f t="shared" si="1"/>
        <v/>
      </c>
      <c r="E6760" s="100" t="str">
        <f t="shared" si="2"/>
        <v/>
      </c>
      <c r="F6760" s="100" t="str">
        <f t="shared" si="3"/>
        <v/>
      </c>
      <c r="G6760" s="151"/>
      <c r="H6760" s="160"/>
      <c r="I6760" s="171"/>
      <c r="J6760" s="161"/>
      <c r="M6760" s="159"/>
      <c r="N6760" s="94"/>
    </row>
    <row r="6761">
      <c r="A6761" s="107">
        <v>1642277.0</v>
      </c>
      <c r="B6761" s="116" t="s">
        <v>246</v>
      </c>
      <c r="C6761" s="116" t="s">
        <v>1766</v>
      </c>
      <c r="D6761" s="100" t="str">
        <f t="shared" si="1"/>
        <v/>
      </c>
      <c r="E6761" s="100" t="str">
        <f t="shared" si="2"/>
        <v/>
      </c>
      <c r="F6761" s="100" t="str">
        <f t="shared" si="3"/>
        <v/>
      </c>
      <c r="G6761" s="151"/>
      <c r="H6761" s="156"/>
      <c r="I6761" s="171"/>
      <c r="J6761" s="158"/>
      <c r="M6761" s="159"/>
      <c r="N6761" s="94"/>
    </row>
    <row r="6762">
      <c r="A6762" s="114">
        <v>1642277.0</v>
      </c>
      <c r="B6762" s="131" t="s">
        <v>247</v>
      </c>
      <c r="C6762" s="131" t="s">
        <v>1766</v>
      </c>
      <c r="D6762" s="100" t="str">
        <f t="shared" si="1"/>
        <v/>
      </c>
      <c r="E6762" s="100" t="str">
        <f t="shared" si="2"/>
        <v/>
      </c>
      <c r="F6762" s="100" t="str">
        <f t="shared" si="3"/>
        <v/>
      </c>
      <c r="G6762" s="151"/>
      <c r="H6762" s="160"/>
      <c r="I6762" s="171"/>
      <c r="J6762" s="161"/>
      <c r="M6762" s="159"/>
      <c r="N6762" s="94"/>
    </row>
    <row r="6763">
      <c r="A6763" s="21">
        <v>1642278.0</v>
      </c>
      <c r="B6763" s="22" t="s">
        <v>246</v>
      </c>
      <c r="C6763" s="22" t="s">
        <v>1767</v>
      </c>
      <c r="D6763" s="100" t="str">
        <f t="shared" si="1"/>
        <v/>
      </c>
      <c r="E6763" s="100" t="str">
        <f t="shared" si="2"/>
        <v/>
      </c>
      <c r="F6763" s="100" t="str">
        <f t="shared" si="3"/>
        <v/>
      </c>
      <c r="G6763" s="151"/>
      <c r="H6763" s="156"/>
      <c r="I6763" s="171"/>
      <c r="J6763" s="158"/>
      <c r="M6763" s="159"/>
      <c r="N6763" s="94"/>
    </row>
    <row r="6764">
      <c r="A6764" s="149">
        <v>1642278.0</v>
      </c>
      <c r="B6764" s="140" t="s">
        <v>247</v>
      </c>
      <c r="C6764" s="140" t="s">
        <v>1767</v>
      </c>
      <c r="D6764" s="100" t="str">
        <f t="shared" si="1"/>
        <v/>
      </c>
      <c r="E6764" s="100" t="str">
        <f t="shared" si="2"/>
        <v/>
      </c>
      <c r="F6764" s="100" t="str">
        <f t="shared" si="3"/>
        <v/>
      </c>
      <c r="G6764" s="151"/>
      <c r="H6764" s="160"/>
      <c r="I6764" s="171"/>
      <c r="J6764" s="161"/>
      <c r="M6764" s="159"/>
      <c r="N6764" s="94"/>
    </row>
    <row r="6765">
      <c r="A6765" s="21">
        <v>1642279.0</v>
      </c>
      <c r="B6765" s="22" t="s">
        <v>246</v>
      </c>
      <c r="C6765" s="22" t="s">
        <v>1768</v>
      </c>
      <c r="D6765" s="100" t="str">
        <f t="shared" si="1"/>
        <v/>
      </c>
      <c r="E6765" s="100" t="str">
        <f t="shared" si="2"/>
        <v/>
      </c>
      <c r="F6765" s="100" t="str">
        <f t="shared" si="3"/>
        <v/>
      </c>
      <c r="G6765" s="151"/>
      <c r="H6765" s="156"/>
      <c r="I6765" s="171"/>
      <c r="J6765" s="158"/>
      <c r="M6765" s="159"/>
      <c r="N6765" s="94"/>
    </row>
    <row r="6766">
      <c r="A6766" s="107">
        <v>1642280.0</v>
      </c>
      <c r="B6766" s="116" t="s">
        <v>246</v>
      </c>
      <c r="C6766" s="116" t="s">
        <v>1769</v>
      </c>
      <c r="D6766" s="100" t="str">
        <f t="shared" si="1"/>
        <v/>
      </c>
      <c r="E6766" s="100" t="str">
        <f t="shared" si="2"/>
        <v/>
      </c>
      <c r="F6766" s="100" t="str">
        <f t="shared" si="3"/>
        <v/>
      </c>
      <c r="G6766" s="151"/>
      <c r="H6766" s="160"/>
      <c r="I6766" s="171"/>
      <c r="J6766" s="161"/>
      <c r="M6766" s="159"/>
      <c r="N6766" s="94"/>
    </row>
    <row r="6767">
      <c r="A6767" s="131">
        <v>1642280.0</v>
      </c>
      <c r="B6767" s="131" t="s">
        <v>247</v>
      </c>
      <c r="C6767" s="131" t="s">
        <v>1769</v>
      </c>
      <c r="D6767" s="100" t="str">
        <f t="shared" si="1"/>
        <v/>
      </c>
      <c r="E6767" s="100" t="str">
        <f t="shared" si="2"/>
        <v/>
      </c>
      <c r="F6767" s="100" t="str">
        <f t="shared" si="3"/>
        <v/>
      </c>
      <c r="G6767" s="151"/>
      <c r="H6767" s="156"/>
      <c r="I6767" s="171"/>
      <c r="J6767" s="158"/>
      <c r="M6767" s="159"/>
      <c r="N6767" s="94"/>
    </row>
    <row r="6768">
      <c r="A6768" s="107">
        <v>1642281.0</v>
      </c>
      <c r="B6768" s="116" t="s">
        <v>246</v>
      </c>
      <c r="C6768" s="116" t="s">
        <v>1770</v>
      </c>
      <c r="D6768" s="100" t="str">
        <f t="shared" si="1"/>
        <v/>
      </c>
      <c r="E6768" s="100" t="str">
        <f t="shared" si="2"/>
        <v/>
      </c>
      <c r="F6768" s="100" t="str">
        <f t="shared" si="3"/>
        <v/>
      </c>
      <c r="G6768" s="151"/>
      <c r="H6768" s="160"/>
      <c r="I6768" s="171"/>
      <c r="J6768" s="161"/>
      <c r="M6768" s="159"/>
      <c r="N6768" s="94"/>
    </row>
    <row r="6769">
      <c r="A6769" s="114">
        <v>1642281.0</v>
      </c>
      <c r="B6769" s="131" t="s">
        <v>247</v>
      </c>
      <c r="C6769" s="131" t="s">
        <v>1770</v>
      </c>
      <c r="D6769" s="100" t="str">
        <f t="shared" si="1"/>
        <v/>
      </c>
      <c r="E6769" s="100" t="str">
        <f t="shared" si="2"/>
        <v/>
      </c>
      <c r="F6769" s="100" t="str">
        <f t="shared" si="3"/>
        <v/>
      </c>
      <c r="G6769" s="151"/>
      <c r="H6769" s="156"/>
      <c r="I6769" s="171"/>
      <c r="J6769" s="158"/>
      <c r="M6769" s="159"/>
      <c r="N6769" s="94"/>
    </row>
    <row r="6770">
      <c r="A6770" s="149">
        <v>1642282.0</v>
      </c>
      <c r="B6770" s="140" t="s">
        <v>247</v>
      </c>
      <c r="C6770" s="140" t="s">
        <v>1771</v>
      </c>
      <c r="D6770" s="100" t="str">
        <f t="shared" si="1"/>
        <v/>
      </c>
      <c r="E6770" s="100" t="str">
        <f t="shared" si="2"/>
        <v/>
      </c>
      <c r="F6770" s="100" t="str">
        <f t="shared" si="3"/>
        <v/>
      </c>
      <c r="G6770" s="151"/>
      <c r="H6770" s="160"/>
      <c r="I6770" s="171"/>
      <c r="J6770" s="161"/>
      <c r="M6770" s="159"/>
      <c r="N6770" s="94"/>
    </row>
    <row r="6771">
      <c r="A6771" s="21">
        <v>1642285.0</v>
      </c>
      <c r="B6771" s="22" t="s">
        <v>246</v>
      </c>
      <c r="C6771" s="22" t="s">
        <v>1772</v>
      </c>
      <c r="D6771" s="100" t="str">
        <f t="shared" si="1"/>
        <v/>
      </c>
      <c r="E6771" s="100" t="str">
        <f t="shared" si="2"/>
        <v/>
      </c>
      <c r="F6771" s="100" t="str">
        <f t="shared" si="3"/>
        <v/>
      </c>
      <c r="G6771" s="151"/>
      <c r="H6771" s="156"/>
      <c r="I6771" s="171"/>
      <c r="J6771" s="158"/>
      <c r="M6771" s="159"/>
      <c r="N6771" s="94"/>
    </row>
    <row r="6772">
      <c r="A6772" s="149">
        <v>1642285.0</v>
      </c>
      <c r="B6772" s="140" t="s">
        <v>247</v>
      </c>
      <c r="C6772" s="140" t="s">
        <v>1772</v>
      </c>
      <c r="D6772" s="100" t="str">
        <f t="shared" si="1"/>
        <v/>
      </c>
      <c r="E6772" s="100" t="str">
        <f t="shared" si="2"/>
        <v/>
      </c>
      <c r="F6772" s="100" t="str">
        <f t="shared" si="3"/>
        <v/>
      </c>
      <c r="G6772" s="151"/>
      <c r="H6772" s="160"/>
      <c r="I6772" s="171"/>
      <c r="J6772" s="161"/>
      <c r="M6772" s="159"/>
      <c r="N6772" s="94"/>
    </row>
    <row r="6773">
      <c r="A6773" s="21">
        <v>1642345.0</v>
      </c>
      <c r="B6773" s="22" t="s">
        <v>246</v>
      </c>
      <c r="C6773" s="22" t="s">
        <v>1773</v>
      </c>
      <c r="D6773" s="100" t="str">
        <f t="shared" si="1"/>
        <v/>
      </c>
      <c r="E6773" s="100" t="str">
        <f t="shared" si="2"/>
        <v/>
      </c>
      <c r="F6773" s="100" t="str">
        <f t="shared" si="3"/>
        <v/>
      </c>
      <c r="G6773" s="151"/>
      <c r="H6773" s="156"/>
      <c r="I6773" s="171"/>
      <c r="J6773" s="158"/>
      <c r="M6773" s="159"/>
      <c r="N6773" s="94"/>
    </row>
    <row r="6774">
      <c r="A6774" s="149">
        <v>1642345.0</v>
      </c>
      <c r="B6774" s="140" t="s">
        <v>247</v>
      </c>
      <c r="C6774" s="140" t="s">
        <v>1773</v>
      </c>
      <c r="D6774" s="100" t="str">
        <f t="shared" si="1"/>
        <v/>
      </c>
      <c r="E6774" s="100" t="str">
        <f t="shared" si="2"/>
        <v/>
      </c>
      <c r="F6774" s="100" t="str">
        <f t="shared" si="3"/>
        <v/>
      </c>
      <c r="G6774" s="151"/>
      <c r="H6774" s="160"/>
      <c r="I6774" s="171"/>
      <c r="J6774" s="161"/>
      <c r="M6774" s="159"/>
      <c r="N6774" s="94"/>
    </row>
    <row r="6775">
      <c r="A6775" s="21">
        <v>1642346.0</v>
      </c>
      <c r="B6775" s="22" t="s">
        <v>246</v>
      </c>
      <c r="C6775" s="22" t="s">
        <v>1774</v>
      </c>
      <c r="D6775" s="100" t="str">
        <f t="shared" si="1"/>
        <v/>
      </c>
      <c r="E6775" s="100" t="str">
        <f t="shared" si="2"/>
        <v/>
      </c>
      <c r="F6775" s="100" t="str">
        <f t="shared" si="3"/>
        <v/>
      </c>
      <c r="G6775" s="151"/>
      <c r="H6775" s="156"/>
      <c r="I6775" s="171"/>
      <c r="J6775" s="158"/>
      <c r="M6775" s="159"/>
      <c r="N6775" s="94"/>
    </row>
    <row r="6776">
      <c r="A6776" s="149">
        <v>1642346.0</v>
      </c>
      <c r="B6776" s="140" t="s">
        <v>247</v>
      </c>
      <c r="C6776" s="140" t="s">
        <v>1774</v>
      </c>
      <c r="D6776" s="100" t="str">
        <f t="shared" si="1"/>
        <v/>
      </c>
      <c r="E6776" s="100" t="str">
        <f t="shared" si="2"/>
        <v/>
      </c>
      <c r="F6776" s="100" t="str">
        <f t="shared" si="3"/>
        <v/>
      </c>
      <c r="G6776" s="151"/>
      <c r="H6776" s="160"/>
      <c r="I6776" s="172"/>
      <c r="J6776" s="161"/>
      <c r="M6776" s="159"/>
      <c r="N6776" s="94"/>
    </row>
    <row r="6777">
      <c r="A6777" s="21">
        <v>1642347.0</v>
      </c>
      <c r="B6777" s="22" t="s">
        <v>246</v>
      </c>
      <c r="C6777" s="22" t="s">
        <v>1775</v>
      </c>
      <c r="D6777" s="100" t="str">
        <f t="shared" si="1"/>
        <v/>
      </c>
      <c r="E6777" s="100" t="str">
        <f t="shared" si="2"/>
        <v/>
      </c>
      <c r="F6777" s="100" t="str">
        <f t="shared" si="3"/>
        <v/>
      </c>
      <c r="G6777" s="151"/>
      <c r="H6777" s="156"/>
      <c r="I6777" s="171"/>
      <c r="J6777" s="158"/>
      <c r="M6777" s="159"/>
      <c r="N6777" s="94"/>
    </row>
    <row r="6778">
      <c r="A6778" s="149">
        <v>1642347.0</v>
      </c>
      <c r="B6778" s="140" t="s">
        <v>247</v>
      </c>
      <c r="C6778" s="140" t="s">
        <v>1775</v>
      </c>
      <c r="D6778" s="100" t="str">
        <f t="shared" si="1"/>
        <v/>
      </c>
      <c r="E6778" s="100" t="str">
        <f t="shared" si="2"/>
        <v/>
      </c>
      <c r="F6778" s="100" t="str">
        <f t="shared" si="3"/>
        <v/>
      </c>
      <c r="G6778" s="151"/>
      <c r="H6778" s="160"/>
      <c r="I6778" s="171"/>
      <c r="J6778" s="161"/>
      <c r="M6778" s="159"/>
      <c r="N6778" s="94"/>
    </row>
    <row r="6779">
      <c r="A6779" s="21">
        <v>1642348.0</v>
      </c>
      <c r="B6779" s="22" t="s">
        <v>246</v>
      </c>
      <c r="C6779" s="22" t="s">
        <v>1776</v>
      </c>
      <c r="D6779" s="100" t="str">
        <f t="shared" si="1"/>
        <v/>
      </c>
      <c r="E6779" s="100" t="str">
        <f t="shared" si="2"/>
        <v/>
      </c>
      <c r="F6779" s="100" t="str">
        <f t="shared" si="3"/>
        <v/>
      </c>
      <c r="G6779" s="151"/>
      <c r="H6779" s="156"/>
      <c r="I6779" s="171"/>
      <c r="J6779" s="158"/>
      <c r="M6779" s="159"/>
      <c r="N6779" s="94"/>
    </row>
    <row r="6780">
      <c r="A6780" s="149">
        <v>1642348.0</v>
      </c>
      <c r="B6780" s="140" t="s">
        <v>247</v>
      </c>
      <c r="C6780" s="140" t="s">
        <v>1776</v>
      </c>
      <c r="D6780" s="100" t="str">
        <f t="shared" si="1"/>
        <v/>
      </c>
      <c r="E6780" s="100" t="str">
        <f t="shared" si="2"/>
        <v/>
      </c>
      <c r="F6780" s="100" t="str">
        <f t="shared" si="3"/>
        <v/>
      </c>
      <c r="G6780" s="151"/>
      <c r="H6780" s="160"/>
      <c r="I6780" s="171"/>
      <c r="J6780" s="161"/>
      <c r="M6780" s="159"/>
      <c r="N6780" s="94"/>
    </row>
    <row r="6781">
      <c r="A6781" s="21">
        <v>1642349.0</v>
      </c>
      <c r="B6781" s="22" t="s">
        <v>246</v>
      </c>
      <c r="C6781" s="22" t="s">
        <v>1777</v>
      </c>
      <c r="D6781" s="100" t="str">
        <f t="shared" si="1"/>
        <v/>
      </c>
      <c r="E6781" s="100" t="str">
        <f t="shared" si="2"/>
        <v/>
      </c>
      <c r="F6781" s="100" t="str">
        <f t="shared" si="3"/>
        <v/>
      </c>
      <c r="G6781" s="151"/>
      <c r="H6781" s="156"/>
      <c r="I6781" s="171"/>
      <c r="J6781" s="158"/>
      <c r="M6781" s="159"/>
      <c r="N6781" s="94"/>
    </row>
    <row r="6782">
      <c r="A6782" s="149">
        <v>1642349.0</v>
      </c>
      <c r="B6782" s="140" t="s">
        <v>247</v>
      </c>
      <c r="C6782" s="140" t="s">
        <v>1777</v>
      </c>
      <c r="D6782" s="100" t="str">
        <f t="shared" si="1"/>
        <v/>
      </c>
      <c r="E6782" s="100" t="str">
        <f t="shared" si="2"/>
        <v/>
      </c>
      <c r="F6782" s="100" t="str">
        <f t="shared" si="3"/>
        <v/>
      </c>
      <c r="G6782" s="151"/>
      <c r="H6782" s="160"/>
      <c r="I6782" s="171"/>
      <c r="J6782" s="161"/>
      <c r="M6782" s="159"/>
      <c r="N6782" s="94"/>
    </row>
    <row r="6783">
      <c r="A6783" s="21">
        <v>1642352.0</v>
      </c>
      <c r="B6783" s="22" t="s">
        <v>246</v>
      </c>
      <c r="C6783" s="22" t="s">
        <v>1778</v>
      </c>
      <c r="D6783" s="100" t="str">
        <f t="shared" si="1"/>
        <v/>
      </c>
      <c r="E6783" s="100" t="str">
        <f t="shared" si="2"/>
        <v/>
      </c>
      <c r="F6783" s="100" t="str">
        <f t="shared" si="3"/>
        <v/>
      </c>
      <c r="G6783" s="151"/>
      <c r="H6783" s="156"/>
      <c r="I6783" s="171"/>
      <c r="J6783" s="158"/>
      <c r="M6783" s="159"/>
      <c r="N6783" s="94"/>
    </row>
    <row r="6784">
      <c r="A6784" s="147">
        <v>1642352.0</v>
      </c>
      <c r="B6784" s="148" t="s">
        <v>247</v>
      </c>
      <c r="C6784" s="148" t="s">
        <v>1778</v>
      </c>
      <c r="D6784" s="100" t="str">
        <f t="shared" si="1"/>
        <v/>
      </c>
      <c r="E6784" s="100" t="str">
        <f t="shared" si="2"/>
        <v/>
      </c>
      <c r="F6784" s="100" t="str">
        <f t="shared" si="3"/>
        <v/>
      </c>
      <c r="G6784" s="151"/>
      <c r="H6784" s="160"/>
      <c r="I6784" s="171"/>
      <c r="J6784" s="161"/>
      <c r="M6784" s="159"/>
      <c r="N6784" s="94"/>
    </row>
    <row r="6785">
      <c r="A6785" s="21">
        <v>1642353.0</v>
      </c>
      <c r="B6785" s="22" t="s">
        <v>246</v>
      </c>
      <c r="C6785" s="22" t="s">
        <v>1779</v>
      </c>
      <c r="D6785" s="100" t="str">
        <f t="shared" si="1"/>
        <v/>
      </c>
      <c r="E6785" s="100" t="str">
        <f t="shared" si="2"/>
        <v/>
      </c>
      <c r="F6785" s="100" t="str">
        <f t="shared" si="3"/>
        <v/>
      </c>
      <c r="G6785" s="151"/>
      <c r="H6785" s="156"/>
      <c r="I6785" s="172"/>
      <c r="J6785" s="158"/>
      <c r="M6785" s="159"/>
      <c r="N6785" s="94"/>
    </row>
    <row r="6786">
      <c r="A6786" s="149">
        <v>1642353.0</v>
      </c>
      <c r="B6786" s="140" t="s">
        <v>247</v>
      </c>
      <c r="C6786" s="140" t="s">
        <v>1779</v>
      </c>
      <c r="D6786" s="100" t="str">
        <f t="shared" si="1"/>
        <v/>
      </c>
      <c r="E6786" s="100" t="str">
        <f t="shared" si="2"/>
        <v/>
      </c>
      <c r="F6786" s="100" t="str">
        <f t="shared" si="3"/>
        <v/>
      </c>
      <c r="G6786" s="151"/>
      <c r="H6786" s="160"/>
      <c r="I6786" s="171"/>
      <c r="J6786" s="161"/>
      <c r="M6786" s="159"/>
      <c r="N6786" s="94"/>
    </row>
    <row r="6787">
      <c r="A6787" s="21">
        <v>1642354.0</v>
      </c>
      <c r="B6787" s="22" t="s">
        <v>246</v>
      </c>
      <c r="C6787" s="22" t="s">
        <v>1780</v>
      </c>
      <c r="D6787" s="100" t="str">
        <f t="shared" si="1"/>
        <v/>
      </c>
      <c r="E6787" s="100" t="str">
        <f t="shared" si="2"/>
        <v/>
      </c>
      <c r="F6787" s="100" t="str">
        <f t="shared" si="3"/>
        <v/>
      </c>
      <c r="G6787" s="151"/>
      <c r="H6787" s="156"/>
      <c r="I6787" s="171"/>
      <c r="J6787" s="158"/>
      <c r="M6787" s="159"/>
      <c r="N6787" s="94"/>
    </row>
    <row r="6788">
      <c r="A6788" s="149">
        <v>1642354.0</v>
      </c>
      <c r="B6788" s="140" t="s">
        <v>247</v>
      </c>
      <c r="C6788" s="140" t="s">
        <v>1780</v>
      </c>
      <c r="D6788" s="100" t="str">
        <f t="shared" si="1"/>
        <v/>
      </c>
      <c r="E6788" s="100" t="str">
        <f t="shared" si="2"/>
        <v/>
      </c>
      <c r="F6788" s="100" t="str">
        <f t="shared" si="3"/>
        <v/>
      </c>
      <c r="G6788" s="151"/>
      <c r="H6788" s="160"/>
      <c r="I6788" s="171"/>
      <c r="J6788" s="161"/>
      <c r="M6788" s="159"/>
      <c r="N6788" s="94"/>
    </row>
    <row r="6789">
      <c r="A6789" s="21">
        <v>1642355.0</v>
      </c>
      <c r="B6789" s="22" t="s">
        <v>246</v>
      </c>
      <c r="C6789" s="116" t="s">
        <v>1781</v>
      </c>
      <c r="D6789" s="100" t="str">
        <f t="shared" si="1"/>
        <v/>
      </c>
      <c r="E6789" s="100" t="str">
        <f t="shared" si="2"/>
        <v/>
      </c>
      <c r="F6789" s="100" t="str">
        <f t="shared" si="3"/>
        <v/>
      </c>
      <c r="G6789" s="151"/>
      <c r="H6789" s="156"/>
      <c r="I6789" s="171"/>
      <c r="J6789" s="158"/>
      <c r="M6789" s="159"/>
      <c r="N6789" s="94"/>
    </row>
    <row r="6790">
      <c r="A6790" s="114">
        <v>1642355.0</v>
      </c>
      <c r="B6790" s="131" t="s">
        <v>247</v>
      </c>
      <c r="C6790" s="131" t="s">
        <v>1781</v>
      </c>
      <c r="D6790" s="100" t="str">
        <f t="shared" si="1"/>
        <v/>
      </c>
      <c r="E6790" s="100" t="str">
        <f t="shared" si="2"/>
        <v/>
      </c>
      <c r="F6790" s="100" t="str">
        <f t="shared" si="3"/>
        <v/>
      </c>
      <c r="G6790" s="151"/>
      <c r="H6790" s="160"/>
      <c r="I6790" s="171"/>
      <c r="J6790" s="161"/>
      <c r="M6790" s="159"/>
      <c r="N6790" s="94"/>
    </row>
    <row r="6791">
      <c r="A6791" s="21">
        <v>1642357.0</v>
      </c>
      <c r="B6791" s="22" t="s">
        <v>246</v>
      </c>
      <c r="C6791" s="131" t="s">
        <v>1782</v>
      </c>
      <c r="D6791" s="100" t="str">
        <f t="shared" si="1"/>
        <v/>
      </c>
      <c r="E6791" s="100" t="str">
        <f t="shared" si="2"/>
        <v/>
      </c>
      <c r="F6791" s="100" t="str">
        <f t="shared" si="3"/>
        <v/>
      </c>
      <c r="G6791" s="151"/>
      <c r="H6791" s="156"/>
      <c r="I6791" s="171"/>
      <c r="J6791" s="158"/>
      <c r="M6791" s="159"/>
      <c r="N6791" s="94"/>
    </row>
    <row r="6792">
      <c r="A6792" s="169">
        <v>1642357.0</v>
      </c>
      <c r="B6792" s="131" t="s">
        <v>247</v>
      </c>
      <c r="C6792" s="131" t="s">
        <v>1782</v>
      </c>
      <c r="D6792" s="100" t="str">
        <f t="shared" si="1"/>
        <v/>
      </c>
      <c r="E6792" s="100" t="str">
        <f t="shared" si="2"/>
        <v/>
      </c>
      <c r="F6792" s="100" t="str">
        <f t="shared" si="3"/>
        <v/>
      </c>
      <c r="G6792" s="151"/>
      <c r="H6792" s="160"/>
      <c r="I6792" s="171"/>
      <c r="J6792" s="161"/>
      <c r="M6792" s="159"/>
      <c r="N6792" s="94"/>
    </row>
    <row r="6793">
      <c r="A6793" s="107">
        <v>1642358.0</v>
      </c>
      <c r="B6793" s="116" t="s">
        <v>246</v>
      </c>
      <c r="C6793" s="116" t="s">
        <v>1783</v>
      </c>
      <c r="D6793" s="100" t="str">
        <f t="shared" si="1"/>
        <v/>
      </c>
      <c r="E6793" s="100" t="str">
        <f t="shared" si="2"/>
        <v/>
      </c>
      <c r="F6793" s="100" t="str">
        <f t="shared" si="3"/>
        <v/>
      </c>
      <c r="G6793" s="151"/>
      <c r="H6793" s="156"/>
      <c r="I6793" s="171"/>
      <c r="J6793" s="158"/>
      <c r="M6793" s="159"/>
      <c r="N6793" s="94"/>
    </row>
    <row r="6794">
      <c r="A6794" s="114">
        <v>1642358.0</v>
      </c>
      <c r="B6794" s="131" t="s">
        <v>247</v>
      </c>
      <c r="C6794" s="131" t="s">
        <v>1783</v>
      </c>
      <c r="D6794" s="100" t="str">
        <f t="shared" si="1"/>
        <v/>
      </c>
      <c r="E6794" s="100" t="str">
        <f t="shared" si="2"/>
        <v/>
      </c>
      <c r="F6794" s="100" t="str">
        <f t="shared" si="3"/>
        <v/>
      </c>
      <c r="G6794" s="151"/>
      <c r="H6794" s="160"/>
      <c r="I6794" s="171"/>
      <c r="J6794" s="161"/>
      <c r="M6794" s="159"/>
      <c r="N6794" s="94"/>
    </row>
    <row r="6795">
      <c r="A6795" s="107">
        <v>1642359.0</v>
      </c>
      <c r="B6795" s="116" t="s">
        <v>246</v>
      </c>
      <c r="C6795" s="116" t="s">
        <v>1784</v>
      </c>
      <c r="D6795" s="100" t="str">
        <f t="shared" si="1"/>
        <v/>
      </c>
      <c r="E6795" s="100" t="str">
        <f t="shared" si="2"/>
        <v/>
      </c>
      <c r="F6795" s="100" t="str">
        <f t="shared" si="3"/>
        <v/>
      </c>
      <c r="G6795" s="151"/>
      <c r="H6795" s="156"/>
      <c r="I6795" s="172"/>
      <c r="J6795" s="158"/>
      <c r="M6795" s="159"/>
      <c r="N6795" s="94"/>
    </row>
    <row r="6796">
      <c r="A6796" s="114">
        <v>1642359.0</v>
      </c>
      <c r="B6796" s="131" t="s">
        <v>247</v>
      </c>
      <c r="C6796" s="22" t="s">
        <v>1784</v>
      </c>
      <c r="D6796" s="100" t="str">
        <f t="shared" si="1"/>
        <v/>
      </c>
      <c r="E6796" s="100" t="str">
        <f t="shared" si="2"/>
        <v/>
      </c>
      <c r="F6796" s="100" t="str">
        <f t="shared" si="3"/>
        <v/>
      </c>
      <c r="G6796" s="151"/>
      <c r="H6796" s="160"/>
      <c r="I6796" s="171"/>
      <c r="J6796" s="161"/>
      <c r="M6796" s="159"/>
      <c r="N6796" s="94"/>
    </row>
    <row r="6797">
      <c r="A6797" s="107">
        <v>1642362.0</v>
      </c>
      <c r="B6797" s="24" t="s">
        <v>247</v>
      </c>
      <c r="C6797" s="24" t="s">
        <v>1785</v>
      </c>
      <c r="D6797" s="100" t="str">
        <f t="shared" si="1"/>
        <v/>
      </c>
      <c r="E6797" s="100" t="str">
        <f t="shared" si="2"/>
        <v/>
      </c>
      <c r="F6797" s="100" t="str">
        <f t="shared" si="3"/>
        <v/>
      </c>
      <c r="G6797" s="151"/>
      <c r="H6797" s="156"/>
      <c r="I6797" s="171"/>
      <c r="J6797" s="158"/>
      <c r="M6797" s="159"/>
      <c r="N6797" s="94"/>
    </row>
    <row r="6798">
      <c r="A6798" s="114">
        <v>1642363.0</v>
      </c>
      <c r="B6798" s="131" t="s">
        <v>247</v>
      </c>
      <c r="C6798" s="140" t="s">
        <v>1786</v>
      </c>
      <c r="D6798" s="100" t="str">
        <f t="shared" si="1"/>
        <v/>
      </c>
      <c r="E6798" s="100" t="str">
        <f t="shared" si="2"/>
        <v/>
      </c>
      <c r="F6798" s="100" t="str">
        <f t="shared" si="3"/>
        <v/>
      </c>
      <c r="G6798" s="151"/>
      <c r="H6798" s="160"/>
      <c r="I6798" s="171"/>
      <c r="J6798" s="161"/>
      <c r="M6798" s="159"/>
      <c r="N6798" s="94"/>
    </row>
    <row r="6799">
      <c r="A6799" s="149">
        <v>1642364.0</v>
      </c>
      <c r="B6799" s="140" t="s">
        <v>247</v>
      </c>
      <c r="C6799" s="140" t="s">
        <v>1787</v>
      </c>
      <c r="D6799" s="100" t="str">
        <f t="shared" si="1"/>
        <v/>
      </c>
      <c r="E6799" s="100" t="str">
        <f t="shared" si="2"/>
        <v/>
      </c>
      <c r="F6799" s="100" t="str">
        <f t="shared" si="3"/>
        <v/>
      </c>
      <c r="G6799" s="151"/>
      <c r="H6799" s="156"/>
      <c r="I6799" s="171"/>
      <c r="J6799" s="158"/>
      <c r="M6799" s="159"/>
      <c r="N6799" s="94"/>
    </row>
    <row r="6800">
      <c r="A6800" s="131">
        <v>1642365.0</v>
      </c>
      <c r="B6800" s="131" t="s">
        <v>247</v>
      </c>
      <c r="C6800" s="131" t="s">
        <v>1788</v>
      </c>
      <c r="D6800" s="100" t="str">
        <f t="shared" si="1"/>
        <v/>
      </c>
      <c r="E6800" s="100" t="str">
        <f t="shared" si="2"/>
        <v/>
      </c>
      <c r="F6800" s="100" t="str">
        <f t="shared" si="3"/>
        <v/>
      </c>
      <c r="G6800" s="151"/>
      <c r="H6800" s="160"/>
      <c r="I6800" s="171"/>
      <c r="J6800" s="161"/>
      <c r="M6800" s="159"/>
      <c r="N6800" s="94"/>
    </row>
    <row r="6801">
      <c r="A6801" s="117">
        <v>1642366.0</v>
      </c>
      <c r="B6801" s="143" t="s">
        <v>246</v>
      </c>
      <c r="C6801" s="143" t="s">
        <v>1789</v>
      </c>
      <c r="D6801" s="100" t="str">
        <f t="shared" si="1"/>
        <v/>
      </c>
      <c r="E6801" s="100" t="str">
        <f t="shared" si="2"/>
        <v/>
      </c>
      <c r="F6801" s="100" t="str">
        <f t="shared" si="3"/>
        <v/>
      </c>
      <c r="G6801" s="151"/>
      <c r="H6801" s="156"/>
      <c r="I6801" s="171"/>
      <c r="J6801" s="158"/>
      <c r="M6801" s="159"/>
      <c r="N6801" s="94"/>
    </row>
    <row r="6802">
      <c r="A6802" s="114">
        <v>1642366.0</v>
      </c>
      <c r="B6802" s="131" t="s">
        <v>247</v>
      </c>
      <c r="C6802" s="131" t="s">
        <v>1789</v>
      </c>
      <c r="D6802" s="100" t="str">
        <f t="shared" si="1"/>
        <v/>
      </c>
      <c r="E6802" s="100" t="str">
        <f t="shared" si="2"/>
        <v/>
      </c>
      <c r="F6802" s="100" t="str">
        <f t="shared" si="3"/>
        <v/>
      </c>
      <c r="G6802" s="151"/>
      <c r="H6802" s="160"/>
      <c r="I6802" s="171"/>
      <c r="J6802" s="161"/>
      <c r="M6802" s="159"/>
      <c r="N6802" s="94"/>
    </row>
    <row r="6803">
      <c r="A6803" s="21">
        <v>1642367.0</v>
      </c>
      <c r="B6803" s="22" t="s">
        <v>246</v>
      </c>
      <c r="C6803" s="22" t="s">
        <v>1790</v>
      </c>
      <c r="D6803" s="100" t="str">
        <f t="shared" si="1"/>
        <v/>
      </c>
      <c r="E6803" s="100" t="str">
        <f t="shared" si="2"/>
        <v/>
      </c>
      <c r="F6803" s="100" t="str">
        <f t="shared" si="3"/>
        <v/>
      </c>
      <c r="G6803" s="151"/>
      <c r="H6803" s="156"/>
      <c r="I6803" s="171"/>
      <c r="J6803" s="158"/>
      <c r="M6803" s="159"/>
      <c r="N6803" s="94"/>
    </row>
    <row r="6804">
      <c r="A6804" s="149">
        <v>1642367.0</v>
      </c>
      <c r="B6804" s="140" t="s">
        <v>247</v>
      </c>
      <c r="C6804" s="140" t="s">
        <v>1790</v>
      </c>
      <c r="D6804" s="100" t="str">
        <f t="shared" si="1"/>
        <v/>
      </c>
      <c r="E6804" s="100" t="str">
        <f t="shared" si="2"/>
        <v/>
      </c>
      <c r="F6804" s="100" t="str">
        <f t="shared" si="3"/>
        <v/>
      </c>
      <c r="G6804" s="151"/>
      <c r="H6804" s="160"/>
      <c r="I6804" s="171"/>
      <c r="J6804" s="161"/>
      <c r="M6804" s="159"/>
      <c r="N6804" s="94"/>
    </row>
    <row r="6805">
      <c r="A6805" s="163">
        <v>1642368.0</v>
      </c>
      <c r="B6805" s="22" t="s">
        <v>246</v>
      </c>
      <c r="C6805" s="22" t="s">
        <v>1791</v>
      </c>
      <c r="D6805" s="100" t="str">
        <f t="shared" si="1"/>
        <v/>
      </c>
      <c r="E6805" s="100" t="str">
        <f t="shared" si="2"/>
        <v/>
      </c>
      <c r="F6805" s="100" t="str">
        <f t="shared" si="3"/>
        <v/>
      </c>
      <c r="G6805" s="151"/>
      <c r="H6805" s="156"/>
      <c r="I6805" s="171"/>
      <c r="J6805" s="158"/>
      <c r="M6805" s="159"/>
      <c r="N6805" s="94"/>
    </row>
    <row r="6806">
      <c r="A6806" s="149">
        <v>1642368.0</v>
      </c>
      <c r="B6806" s="140" t="s">
        <v>247</v>
      </c>
      <c r="C6806" s="116" t="s">
        <v>1791</v>
      </c>
      <c r="D6806" s="100" t="str">
        <f t="shared" si="1"/>
        <v/>
      </c>
      <c r="E6806" s="100" t="str">
        <f t="shared" si="2"/>
        <v/>
      </c>
      <c r="F6806" s="100" t="str">
        <f t="shared" si="3"/>
        <v/>
      </c>
      <c r="G6806" s="151"/>
      <c r="H6806" s="160"/>
      <c r="I6806" s="171"/>
      <c r="J6806" s="161"/>
      <c r="M6806" s="159"/>
      <c r="N6806" s="94"/>
    </row>
    <row r="6807">
      <c r="A6807" s="120">
        <v>1642377.0</v>
      </c>
      <c r="B6807" s="138" t="s">
        <v>246</v>
      </c>
      <c r="C6807" s="138" t="s">
        <v>1792</v>
      </c>
      <c r="D6807" s="100" t="str">
        <f t="shared" si="1"/>
        <v/>
      </c>
      <c r="E6807" s="100" t="str">
        <f t="shared" si="2"/>
        <v/>
      </c>
      <c r="F6807" s="100" t="str">
        <f t="shared" si="3"/>
        <v/>
      </c>
      <c r="G6807" s="151"/>
      <c r="H6807" s="156"/>
      <c r="I6807" s="171"/>
      <c r="J6807" s="158"/>
      <c r="M6807" s="159"/>
      <c r="N6807" s="94"/>
    </row>
    <row r="6808">
      <c r="A6808" s="174">
        <v>1642377.0</v>
      </c>
      <c r="B6808" s="175" t="s">
        <v>247</v>
      </c>
      <c r="C6808" s="175" t="s">
        <v>1792</v>
      </c>
      <c r="D6808" s="100" t="str">
        <f t="shared" si="1"/>
        <v/>
      </c>
      <c r="E6808" s="100" t="str">
        <f t="shared" si="2"/>
        <v/>
      </c>
      <c r="F6808" s="100" t="str">
        <f t="shared" si="3"/>
        <v/>
      </c>
      <c r="G6808" s="151"/>
      <c r="H6808" s="160"/>
      <c r="I6808" s="171"/>
      <c r="J6808" s="161"/>
      <c r="M6808" s="159"/>
      <c r="N6808" s="94"/>
    </row>
    <row r="6809">
      <c r="A6809" s="149">
        <v>1642382.0</v>
      </c>
      <c r="B6809" s="116" t="s">
        <v>246</v>
      </c>
      <c r="C6809" s="140" t="s">
        <v>1793</v>
      </c>
      <c r="D6809" s="100" t="str">
        <f t="shared" si="1"/>
        <v/>
      </c>
      <c r="E6809" s="100" t="str">
        <f t="shared" si="2"/>
        <v/>
      </c>
      <c r="F6809" s="100" t="str">
        <f t="shared" si="3"/>
        <v/>
      </c>
      <c r="G6809" s="151"/>
      <c r="H6809" s="156"/>
      <c r="I6809" s="172"/>
      <c r="J6809" s="158"/>
      <c r="M6809" s="159"/>
      <c r="N6809" s="94"/>
    </row>
    <row r="6810">
      <c r="A6810" s="174">
        <v>1642382.0</v>
      </c>
      <c r="B6810" s="175" t="s">
        <v>247</v>
      </c>
      <c r="C6810" s="175" t="s">
        <v>1793</v>
      </c>
      <c r="D6810" s="100" t="str">
        <f t="shared" si="1"/>
        <v/>
      </c>
      <c r="E6810" s="100" t="str">
        <f t="shared" si="2"/>
        <v/>
      </c>
      <c r="F6810" s="100" t="str">
        <f t="shared" si="3"/>
        <v/>
      </c>
      <c r="G6810" s="151"/>
      <c r="H6810" s="160"/>
      <c r="I6810" s="171"/>
      <c r="J6810" s="161"/>
      <c r="M6810" s="159"/>
      <c r="N6810" s="94"/>
    </row>
    <row r="6811">
      <c r="A6811" s="149">
        <v>1642383.0</v>
      </c>
      <c r="B6811" s="140" t="s">
        <v>247</v>
      </c>
      <c r="C6811" s="140" t="s">
        <v>1794</v>
      </c>
      <c r="D6811" s="100" t="str">
        <f t="shared" si="1"/>
        <v/>
      </c>
      <c r="E6811" s="100" t="str">
        <f t="shared" si="2"/>
        <v/>
      </c>
      <c r="F6811" s="100" t="str">
        <f t="shared" si="3"/>
        <v/>
      </c>
      <c r="G6811" s="151"/>
      <c r="H6811" s="156"/>
      <c r="I6811" s="171"/>
      <c r="J6811" s="158"/>
      <c r="M6811" s="159"/>
      <c r="N6811" s="94"/>
    </row>
    <row r="6812">
      <c r="A6812" s="163">
        <v>1642384.0</v>
      </c>
      <c r="B6812" s="22" t="s">
        <v>246</v>
      </c>
      <c r="C6812" s="22" t="s">
        <v>1795</v>
      </c>
      <c r="D6812" s="100" t="str">
        <f t="shared" si="1"/>
        <v/>
      </c>
      <c r="E6812" s="100" t="str">
        <f t="shared" si="2"/>
        <v/>
      </c>
      <c r="F6812" s="100" t="str">
        <f t="shared" si="3"/>
        <v/>
      </c>
      <c r="G6812" s="151"/>
      <c r="H6812" s="160"/>
      <c r="I6812" s="171"/>
      <c r="J6812" s="161"/>
      <c r="M6812" s="159"/>
      <c r="N6812" s="94"/>
    </row>
    <row r="6813">
      <c r="A6813" s="140">
        <v>1642384.0</v>
      </c>
      <c r="B6813" s="140" t="s">
        <v>247</v>
      </c>
      <c r="C6813" s="140" t="s">
        <v>1795</v>
      </c>
      <c r="D6813" s="100" t="str">
        <f t="shared" si="1"/>
        <v/>
      </c>
      <c r="E6813" s="100" t="str">
        <f t="shared" si="2"/>
        <v/>
      </c>
      <c r="F6813" s="100" t="str">
        <f t="shared" si="3"/>
        <v/>
      </c>
      <c r="G6813" s="151"/>
      <c r="H6813" s="156"/>
      <c r="I6813" s="171"/>
      <c r="J6813" s="158"/>
      <c r="M6813" s="159"/>
      <c r="N6813" s="94"/>
    </row>
    <row r="6814">
      <c r="A6814" s="21">
        <v>1642385.0</v>
      </c>
      <c r="B6814" s="22" t="s">
        <v>246</v>
      </c>
      <c r="C6814" s="22" t="s">
        <v>1796</v>
      </c>
      <c r="D6814" s="100" t="str">
        <f t="shared" si="1"/>
        <v/>
      </c>
      <c r="E6814" s="100" t="str">
        <f t="shared" si="2"/>
        <v/>
      </c>
      <c r="F6814" s="100" t="str">
        <f t="shared" si="3"/>
        <v/>
      </c>
      <c r="G6814" s="151"/>
      <c r="H6814" s="160"/>
      <c r="I6814" s="171"/>
      <c r="J6814" s="161"/>
      <c r="M6814" s="159"/>
      <c r="N6814" s="94"/>
    </row>
    <row r="6815">
      <c r="A6815" s="21">
        <v>1642389.0</v>
      </c>
      <c r="B6815" s="22" t="s">
        <v>246</v>
      </c>
      <c r="C6815" s="22" t="s">
        <v>1797</v>
      </c>
      <c r="D6815" s="100" t="str">
        <f t="shared" si="1"/>
        <v/>
      </c>
      <c r="E6815" s="100" t="str">
        <f t="shared" si="2"/>
        <v/>
      </c>
      <c r="F6815" s="100" t="str">
        <f t="shared" si="3"/>
        <v/>
      </c>
      <c r="G6815" s="151"/>
      <c r="H6815" s="156"/>
      <c r="I6815" s="172"/>
      <c r="J6815" s="176"/>
      <c r="M6815" s="159"/>
      <c r="N6815" s="94"/>
    </row>
    <row r="6816">
      <c r="A6816" s="107">
        <v>1642389.0</v>
      </c>
      <c r="B6816" s="24" t="s">
        <v>247</v>
      </c>
      <c r="C6816" s="24" t="s">
        <v>1797</v>
      </c>
      <c r="D6816" s="100" t="str">
        <f t="shared" si="1"/>
        <v/>
      </c>
      <c r="E6816" s="100" t="str">
        <f t="shared" si="2"/>
        <v/>
      </c>
      <c r="F6816" s="100" t="str">
        <f t="shared" si="3"/>
        <v/>
      </c>
      <c r="G6816" s="151"/>
      <c r="H6816" s="160"/>
      <c r="I6816" s="171"/>
      <c r="J6816" s="177"/>
      <c r="M6816" s="159"/>
      <c r="N6816" s="94"/>
    </row>
    <row r="6817">
      <c r="A6817" s="21">
        <v>1642396.0</v>
      </c>
      <c r="B6817" s="173" t="s">
        <v>247</v>
      </c>
      <c r="C6817" s="173" t="s">
        <v>1798</v>
      </c>
      <c r="D6817" s="100" t="str">
        <f t="shared" si="1"/>
        <v/>
      </c>
      <c r="E6817" s="100" t="str">
        <f t="shared" si="2"/>
        <v/>
      </c>
      <c r="F6817" s="100" t="str">
        <f t="shared" si="3"/>
        <v/>
      </c>
      <c r="G6817" s="151"/>
      <c r="H6817" s="156"/>
      <c r="I6817" s="171"/>
      <c r="J6817" s="176"/>
      <c r="M6817" s="159"/>
      <c r="N6817" s="94"/>
    </row>
    <row r="6818">
      <c r="A6818" s="107">
        <v>1642399.0</v>
      </c>
      <c r="B6818" s="116" t="s">
        <v>246</v>
      </c>
      <c r="C6818" s="116" t="s">
        <v>1799</v>
      </c>
      <c r="D6818" s="100" t="str">
        <f t="shared" si="1"/>
        <v/>
      </c>
      <c r="E6818" s="100" t="str">
        <f t="shared" si="2"/>
        <v/>
      </c>
      <c r="F6818" s="100" t="str">
        <f t="shared" si="3"/>
        <v/>
      </c>
      <c r="G6818" s="151"/>
      <c r="H6818" s="160"/>
      <c r="I6818" s="171"/>
      <c r="J6818" s="177"/>
      <c r="M6818" s="159"/>
      <c r="N6818" s="94"/>
    </row>
    <row r="6819">
      <c r="A6819" s="107">
        <v>1642400.0</v>
      </c>
      <c r="B6819" s="24" t="s">
        <v>247</v>
      </c>
      <c r="C6819" s="24" t="s">
        <v>1800</v>
      </c>
      <c r="D6819" s="100" t="str">
        <f t="shared" si="1"/>
        <v/>
      </c>
      <c r="E6819" s="100" t="str">
        <f t="shared" si="2"/>
        <v/>
      </c>
      <c r="F6819" s="100" t="str">
        <f t="shared" si="3"/>
        <v/>
      </c>
      <c r="G6819" s="151"/>
      <c r="H6819" s="156"/>
      <c r="I6819" s="171"/>
      <c r="J6819" s="176"/>
      <c r="M6819" s="159"/>
      <c r="N6819" s="94"/>
    </row>
    <row r="6820">
      <c r="A6820" s="21">
        <v>1642402.0</v>
      </c>
      <c r="B6820" s="22" t="s">
        <v>246</v>
      </c>
      <c r="C6820" s="22" t="s">
        <v>1801</v>
      </c>
      <c r="D6820" s="100" t="str">
        <f t="shared" si="1"/>
        <v/>
      </c>
      <c r="E6820" s="100" t="str">
        <f t="shared" si="2"/>
        <v/>
      </c>
      <c r="F6820" s="100" t="str">
        <f t="shared" si="3"/>
        <v/>
      </c>
      <c r="G6820" s="151"/>
      <c r="H6820" s="160"/>
      <c r="I6820" s="171"/>
      <c r="J6820" s="177"/>
      <c r="M6820" s="159"/>
      <c r="N6820" s="94"/>
    </row>
    <row r="6821">
      <c r="A6821" s="140">
        <v>1642402.0</v>
      </c>
      <c r="B6821" s="140" t="s">
        <v>247</v>
      </c>
      <c r="C6821" s="140" t="s">
        <v>1801</v>
      </c>
      <c r="D6821" s="100" t="str">
        <f t="shared" si="1"/>
        <v/>
      </c>
      <c r="E6821" s="100" t="str">
        <f t="shared" si="2"/>
        <v/>
      </c>
      <c r="F6821" s="100" t="str">
        <f t="shared" si="3"/>
        <v/>
      </c>
      <c r="G6821" s="151"/>
      <c r="H6821" s="156"/>
      <c r="I6821" s="171"/>
      <c r="J6821" s="176"/>
      <c r="M6821" s="159"/>
      <c r="N6821" s="94"/>
    </row>
    <row r="6822">
      <c r="A6822" s="165">
        <v>1642403.0</v>
      </c>
      <c r="B6822" s="132" t="s">
        <v>246</v>
      </c>
      <c r="C6822" s="132" t="s">
        <v>1802</v>
      </c>
      <c r="D6822" s="100" t="str">
        <f t="shared" si="1"/>
        <v/>
      </c>
      <c r="E6822" s="100" t="str">
        <f t="shared" si="2"/>
        <v/>
      </c>
      <c r="F6822" s="100" t="str">
        <f t="shared" si="3"/>
        <v/>
      </c>
      <c r="G6822" s="151"/>
      <c r="H6822" s="160"/>
      <c r="I6822" s="171"/>
      <c r="J6822" s="177"/>
      <c r="M6822" s="159"/>
      <c r="N6822" s="94"/>
    </row>
    <row r="6823">
      <c r="A6823" s="114">
        <v>1642403.0</v>
      </c>
      <c r="B6823" s="131" t="s">
        <v>247</v>
      </c>
      <c r="C6823" s="131" t="s">
        <v>1802</v>
      </c>
      <c r="D6823" s="100" t="str">
        <f t="shared" si="1"/>
        <v/>
      </c>
      <c r="E6823" s="100" t="str">
        <f t="shared" si="2"/>
        <v/>
      </c>
      <c r="F6823" s="100" t="str">
        <f t="shared" si="3"/>
        <v/>
      </c>
      <c r="G6823" s="151"/>
      <c r="H6823" s="156"/>
      <c r="I6823" s="171"/>
      <c r="J6823" s="176"/>
      <c r="M6823" s="159"/>
      <c r="N6823" s="94"/>
    </row>
    <row r="6824">
      <c r="A6824" s="123">
        <v>1642404.0</v>
      </c>
      <c r="B6824" s="133" t="s">
        <v>247</v>
      </c>
      <c r="C6824" s="133" t="s">
        <v>1803</v>
      </c>
      <c r="D6824" s="100" t="str">
        <f t="shared" si="1"/>
        <v/>
      </c>
      <c r="E6824" s="100" t="str">
        <f t="shared" si="2"/>
        <v/>
      </c>
      <c r="F6824" s="100" t="str">
        <f t="shared" si="3"/>
        <v/>
      </c>
      <c r="G6824" s="151"/>
      <c r="H6824" s="160"/>
      <c r="I6824" s="171"/>
      <c r="J6824" s="177"/>
      <c r="M6824" s="159"/>
      <c r="N6824" s="94"/>
    </row>
    <row r="6825">
      <c r="A6825" s="21">
        <v>1642419.0</v>
      </c>
      <c r="B6825" s="22" t="s">
        <v>246</v>
      </c>
      <c r="C6825" s="22" t="s">
        <v>1804</v>
      </c>
      <c r="D6825" s="100" t="str">
        <f t="shared" si="1"/>
        <v/>
      </c>
      <c r="E6825" s="100" t="str">
        <f t="shared" si="2"/>
        <v/>
      </c>
      <c r="F6825" s="100" t="str">
        <f t="shared" si="3"/>
        <v/>
      </c>
      <c r="G6825" s="151"/>
      <c r="H6825" s="156"/>
      <c r="I6825" s="171"/>
      <c r="J6825" s="178"/>
      <c r="M6825" s="159"/>
      <c r="N6825" s="94"/>
    </row>
    <row r="6826">
      <c r="A6826" s="149">
        <v>1642419.0</v>
      </c>
      <c r="B6826" s="140" t="s">
        <v>247</v>
      </c>
      <c r="C6826" s="140" t="s">
        <v>1804</v>
      </c>
      <c r="D6826" s="100" t="str">
        <f t="shared" si="1"/>
        <v/>
      </c>
      <c r="E6826" s="100" t="str">
        <f t="shared" si="2"/>
        <v/>
      </c>
      <c r="F6826" s="100" t="str">
        <f t="shared" si="3"/>
        <v/>
      </c>
      <c r="G6826" s="151"/>
      <c r="H6826" s="160"/>
      <c r="I6826" s="171"/>
      <c r="J6826" s="177"/>
      <c r="M6826" s="159"/>
      <c r="N6826" s="94"/>
    </row>
    <row r="6827">
      <c r="A6827" s="21">
        <v>1642422.0</v>
      </c>
      <c r="B6827" s="22" t="s">
        <v>246</v>
      </c>
      <c r="C6827" s="22" t="s">
        <v>1805</v>
      </c>
      <c r="D6827" s="100" t="str">
        <f t="shared" si="1"/>
        <v/>
      </c>
      <c r="E6827" s="100" t="str">
        <f t="shared" si="2"/>
        <v/>
      </c>
      <c r="F6827" s="100" t="str">
        <f t="shared" si="3"/>
        <v/>
      </c>
      <c r="G6827" s="151"/>
      <c r="H6827" s="156"/>
      <c r="I6827" s="171"/>
      <c r="J6827" s="176"/>
      <c r="M6827" s="159"/>
      <c r="N6827" s="94"/>
    </row>
    <row r="6828">
      <c r="A6828" s="107">
        <v>1642434.0</v>
      </c>
      <c r="B6828" s="116" t="s">
        <v>246</v>
      </c>
      <c r="C6828" s="116" t="s">
        <v>1806</v>
      </c>
      <c r="D6828" s="100" t="str">
        <f t="shared" si="1"/>
        <v/>
      </c>
      <c r="E6828" s="100" t="str">
        <f t="shared" si="2"/>
        <v/>
      </c>
      <c r="F6828" s="100" t="str">
        <f t="shared" si="3"/>
        <v/>
      </c>
      <c r="G6828" s="151"/>
      <c r="H6828" s="160"/>
      <c r="I6828" s="171"/>
      <c r="J6828" s="177"/>
      <c r="M6828" s="159"/>
      <c r="N6828" s="94"/>
    </row>
    <row r="6829">
      <c r="A6829" s="114">
        <v>1642434.0</v>
      </c>
      <c r="B6829" s="131" t="s">
        <v>247</v>
      </c>
      <c r="C6829" s="131" t="s">
        <v>1806</v>
      </c>
      <c r="D6829" s="100" t="str">
        <f t="shared" si="1"/>
        <v/>
      </c>
      <c r="E6829" s="100" t="str">
        <f t="shared" si="2"/>
        <v/>
      </c>
      <c r="F6829" s="100" t="str">
        <f t="shared" si="3"/>
        <v/>
      </c>
      <c r="G6829" s="151"/>
      <c r="H6829" s="156"/>
      <c r="I6829" s="171"/>
      <c r="J6829" s="176"/>
      <c r="M6829" s="159"/>
      <c r="N6829" s="94"/>
    </row>
    <row r="6830">
      <c r="A6830" s="165">
        <v>1642439.0</v>
      </c>
      <c r="B6830" s="132" t="s">
        <v>246</v>
      </c>
      <c r="C6830" s="132" t="s">
        <v>1807</v>
      </c>
      <c r="D6830" s="100" t="str">
        <f t="shared" si="1"/>
        <v/>
      </c>
      <c r="E6830" s="100" t="str">
        <f t="shared" si="2"/>
        <v/>
      </c>
      <c r="F6830" s="100" t="str">
        <f t="shared" si="3"/>
        <v/>
      </c>
      <c r="G6830" s="151"/>
      <c r="H6830" s="160"/>
      <c r="I6830" s="171"/>
      <c r="J6830" s="177"/>
      <c r="M6830" s="159"/>
      <c r="N6830" s="94"/>
    </row>
    <row r="6831">
      <c r="A6831" s="114">
        <v>1642443.0</v>
      </c>
      <c r="B6831" s="22" t="s">
        <v>246</v>
      </c>
      <c r="C6831" s="131" t="s">
        <v>1808</v>
      </c>
      <c r="D6831" s="100" t="str">
        <f t="shared" si="1"/>
        <v/>
      </c>
      <c r="E6831" s="100" t="str">
        <f t="shared" si="2"/>
        <v/>
      </c>
      <c r="F6831" s="100" t="str">
        <f t="shared" si="3"/>
        <v/>
      </c>
      <c r="G6831" s="151"/>
      <c r="H6831" s="156"/>
      <c r="I6831" s="171"/>
      <c r="J6831" s="176"/>
      <c r="M6831" s="159"/>
      <c r="N6831" s="94"/>
    </row>
    <row r="6832">
      <c r="A6832" s="149">
        <v>1642443.0</v>
      </c>
      <c r="B6832" s="140" t="s">
        <v>247</v>
      </c>
      <c r="C6832" s="140" t="s">
        <v>1808</v>
      </c>
      <c r="D6832" s="100" t="str">
        <f t="shared" si="1"/>
        <v/>
      </c>
      <c r="E6832" s="100" t="str">
        <f t="shared" si="2"/>
        <v/>
      </c>
      <c r="F6832" s="100" t="str">
        <f t="shared" si="3"/>
        <v/>
      </c>
      <c r="G6832" s="151"/>
      <c r="H6832" s="160"/>
      <c r="I6832" s="171"/>
      <c r="J6832" s="177"/>
      <c r="M6832" s="159"/>
      <c r="N6832" s="94"/>
    </row>
    <row r="6833">
      <c r="A6833" s="149">
        <v>1642449.0</v>
      </c>
      <c r="B6833" s="116" t="s">
        <v>246</v>
      </c>
      <c r="C6833" s="140" t="s">
        <v>1809</v>
      </c>
      <c r="D6833" s="100" t="str">
        <f t="shared" si="1"/>
        <v/>
      </c>
      <c r="E6833" s="100" t="str">
        <f t="shared" si="2"/>
        <v/>
      </c>
      <c r="F6833" s="100" t="str">
        <f t="shared" si="3"/>
        <v/>
      </c>
      <c r="G6833" s="151"/>
      <c r="H6833" s="156"/>
      <c r="I6833" s="171"/>
      <c r="J6833" s="176"/>
      <c r="M6833" s="159"/>
      <c r="N6833" s="94"/>
    </row>
    <row r="6834">
      <c r="A6834" s="174">
        <v>1642449.0</v>
      </c>
      <c r="B6834" s="175" t="s">
        <v>247</v>
      </c>
      <c r="C6834" s="175" t="s">
        <v>1809</v>
      </c>
      <c r="D6834" s="100" t="str">
        <f t="shared" si="1"/>
        <v/>
      </c>
      <c r="E6834" s="100" t="str">
        <f t="shared" si="2"/>
        <v/>
      </c>
      <c r="F6834" s="100" t="str">
        <f t="shared" si="3"/>
        <v/>
      </c>
      <c r="G6834" s="151"/>
      <c r="H6834" s="160"/>
      <c r="I6834" s="171"/>
      <c r="J6834" s="177"/>
      <c r="M6834" s="159"/>
      <c r="N6834" s="94"/>
    </row>
    <row r="6835">
      <c r="A6835" s="107">
        <v>1642450.0</v>
      </c>
      <c r="B6835" s="116" t="s">
        <v>246</v>
      </c>
      <c r="C6835" s="116" t="s">
        <v>1810</v>
      </c>
      <c r="D6835" s="100" t="str">
        <f t="shared" si="1"/>
        <v/>
      </c>
      <c r="E6835" s="100" t="str">
        <f t="shared" si="2"/>
        <v/>
      </c>
      <c r="F6835" s="100" t="str">
        <f t="shared" si="3"/>
        <v/>
      </c>
      <c r="G6835" s="151"/>
      <c r="H6835" s="156"/>
      <c r="I6835" s="171"/>
      <c r="J6835" s="176"/>
      <c r="M6835" s="159"/>
      <c r="N6835" s="94"/>
    </row>
    <row r="6836">
      <c r="A6836" s="149">
        <v>1642450.0</v>
      </c>
      <c r="B6836" s="140" t="s">
        <v>247</v>
      </c>
      <c r="C6836" s="140" t="s">
        <v>1810</v>
      </c>
      <c r="D6836" s="100" t="str">
        <f t="shared" si="1"/>
        <v/>
      </c>
      <c r="E6836" s="100" t="str">
        <f t="shared" si="2"/>
        <v/>
      </c>
      <c r="F6836" s="100" t="str">
        <f t="shared" si="3"/>
        <v/>
      </c>
      <c r="G6836" s="151"/>
      <c r="H6836" s="160"/>
      <c r="I6836" s="171"/>
      <c r="J6836" s="177"/>
      <c r="M6836" s="159"/>
      <c r="N6836" s="94"/>
    </row>
    <row r="6837">
      <c r="A6837" s="126">
        <v>1642461.0</v>
      </c>
      <c r="B6837" s="145" t="s">
        <v>246</v>
      </c>
      <c r="C6837" s="145" t="s">
        <v>1811</v>
      </c>
      <c r="D6837" s="100" t="str">
        <f t="shared" si="1"/>
        <v/>
      </c>
      <c r="E6837" s="100" t="str">
        <f t="shared" si="2"/>
        <v/>
      </c>
      <c r="F6837" s="100" t="str">
        <f t="shared" si="3"/>
        <v/>
      </c>
      <c r="G6837" s="151"/>
      <c r="H6837" s="156"/>
      <c r="I6837" s="171"/>
      <c r="J6837" s="176"/>
      <c r="M6837" s="159"/>
      <c r="N6837" s="94"/>
    </row>
    <row r="6838">
      <c r="A6838" s="114">
        <v>1642461.0</v>
      </c>
      <c r="B6838" s="131" t="s">
        <v>247</v>
      </c>
      <c r="C6838" s="131" t="s">
        <v>1811</v>
      </c>
      <c r="D6838" s="100" t="str">
        <f t="shared" si="1"/>
        <v/>
      </c>
      <c r="E6838" s="100" t="str">
        <f t="shared" si="2"/>
        <v/>
      </c>
      <c r="F6838" s="100" t="str">
        <f t="shared" si="3"/>
        <v/>
      </c>
      <c r="G6838" s="151"/>
      <c r="H6838" s="160"/>
      <c r="I6838" s="171"/>
      <c r="J6838" s="177"/>
      <c r="M6838" s="159"/>
      <c r="N6838" s="94"/>
    </row>
    <row r="6839">
      <c r="A6839" s="114">
        <v>1642484.0</v>
      </c>
      <c r="B6839" s="22" t="s">
        <v>246</v>
      </c>
      <c r="C6839" s="131" t="s">
        <v>1812</v>
      </c>
      <c r="D6839" s="100" t="str">
        <f t="shared" si="1"/>
        <v/>
      </c>
      <c r="E6839" s="100" t="str">
        <f t="shared" si="2"/>
        <v/>
      </c>
      <c r="F6839" s="100" t="str">
        <f t="shared" si="3"/>
        <v/>
      </c>
      <c r="G6839" s="151"/>
      <c r="H6839" s="156"/>
      <c r="I6839" s="171"/>
      <c r="J6839" s="176"/>
      <c r="M6839" s="159"/>
      <c r="N6839" s="94"/>
    </row>
    <row r="6840">
      <c r="A6840" s="114">
        <v>1642484.0</v>
      </c>
      <c r="B6840" s="131" t="s">
        <v>247</v>
      </c>
      <c r="C6840" s="131" t="s">
        <v>1812</v>
      </c>
      <c r="D6840" s="100" t="str">
        <f t="shared" si="1"/>
        <v/>
      </c>
      <c r="E6840" s="100" t="str">
        <f t="shared" si="2"/>
        <v/>
      </c>
      <c r="F6840" s="100" t="str">
        <f t="shared" si="3"/>
        <v/>
      </c>
      <c r="G6840" s="151"/>
      <c r="H6840" s="160"/>
      <c r="I6840" s="171"/>
      <c r="J6840" s="177"/>
      <c r="M6840" s="159"/>
      <c r="N6840" s="94"/>
    </row>
    <row r="6841">
      <c r="A6841" s="114">
        <v>1642486.0</v>
      </c>
      <c r="B6841" s="22" t="s">
        <v>246</v>
      </c>
      <c r="C6841" s="131" t="s">
        <v>1813</v>
      </c>
      <c r="D6841" s="100" t="str">
        <f t="shared" si="1"/>
        <v/>
      </c>
      <c r="E6841" s="100" t="str">
        <f t="shared" si="2"/>
        <v/>
      </c>
      <c r="F6841" s="100" t="str">
        <f t="shared" si="3"/>
        <v/>
      </c>
      <c r="G6841" s="151"/>
      <c r="H6841" s="156"/>
      <c r="I6841" s="172"/>
      <c r="J6841" s="176"/>
      <c r="M6841" s="159"/>
      <c r="N6841" s="94"/>
    </row>
    <row r="6842">
      <c r="A6842" s="21">
        <v>1642490.0</v>
      </c>
      <c r="B6842" s="173" t="s">
        <v>247</v>
      </c>
      <c r="C6842" s="173" t="s">
        <v>1814</v>
      </c>
      <c r="D6842" s="100" t="str">
        <f t="shared" si="1"/>
        <v/>
      </c>
      <c r="E6842" s="100" t="str">
        <f t="shared" si="2"/>
        <v/>
      </c>
      <c r="F6842" s="100" t="str">
        <f t="shared" si="3"/>
        <v/>
      </c>
      <c r="G6842" s="151"/>
      <c r="H6842" s="160"/>
      <c r="I6842" s="171"/>
      <c r="J6842" s="177"/>
      <c r="M6842" s="159"/>
      <c r="N6842" s="94"/>
    </row>
    <row r="6843">
      <c r="A6843" s="21">
        <v>1642502.0</v>
      </c>
      <c r="B6843" s="22" t="s">
        <v>246</v>
      </c>
      <c r="C6843" s="22" t="s">
        <v>1815</v>
      </c>
      <c r="D6843" s="100" t="str">
        <f t="shared" si="1"/>
        <v/>
      </c>
      <c r="E6843" s="100" t="str">
        <f t="shared" si="2"/>
        <v/>
      </c>
      <c r="F6843" s="100" t="str">
        <f t="shared" si="3"/>
        <v/>
      </c>
      <c r="G6843" s="151"/>
      <c r="H6843" s="156"/>
      <c r="I6843" s="171"/>
      <c r="J6843" s="178"/>
      <c r="M6843" s="159"/>
      <c r="N6843" s="94"/>
    </row>
    <row r="6844">
      <c r="A6844" s="21">
        <v>1642502.0</v>
      </c>
      <c r="B6844" s="173" t="s">
        <v>247</v>
      </c>
      <c r="C6844" s="173" t="s">
        <v>1815</v>
      </c>
      <c r="D6844" s="100" t="str">
        <f t="shared" si="1"/>
        <v/>
      </c>
      <c r="E6844" s="100" t="str">
        <f t="shared" si="2"/>
        <v/>
      </c>
      <c r="F6844" s="100" t="str">
        <f t="shared" si="3"/>
        <v/>
      </c>
      <c r="G6844" s="151"/>
      <c r="H6844" s="160"/>
      <c r="I6844" s="171"/>
      <c r="J6844" s="177"/>
      <c r="M6844" s="159"/>
      <c r="N6844" s="94"/>
    </row>
    <row r="6845">
      <c r="A6845" s="21">
        <v>1642504.0</v>
      </c>
      <c r="B6845" s="173" t="s">
        <v>247</v>
      </c>
      <c r="C6845" s="173" t="s">
        <v>1816</v>
      </c>
      <c r="D6845" s="100" t="str">
        <f t="shared" si="1"/>
        <v/>
      </c>
      <c r="E6845" s="100" t="str">
        <f t="shared" si="2"/>
        <v/>
      </c>
      <c r="F6845" s="100" t="str">
        <f t="shared" si="3"/>
        <v/>
      </c>
      <c r="G6845" s="151"/>
      <c r="H6845" s="156"/>
      <c r="I6845" s="171"/>
      <c r="J6845" s="176"/>
      <c r="M6845" s="159"/>
      <c r="N6845" s="94"/>
    </row>
    <row r="6846">
      <c r="A6846" s="21">
        <v>1642505.0</v>
      </c>
      <c r="B6846" s="22" t="s">
        <v>246</v>
      </c>
      <c r="C6846" s="22" t="s">
        <v>1817</v>
      </c>
      <c r="D6846" s="100" t="str">
        <f t="shared" si="1"/>
        <v/>
      </c>
      <c r="E6846" s="100" t="str">
        <f t="shared" si="2"/>
        <v/>
      </c>
      <c r="F6846" s="100" t="str">
        <f t="shared" si="3"/>
        <v/>
      </c>
      <c r="G6846" s="151"/>
      <c r="H6846" s="160"/>
      <c r="I6846" s="171"/>
      <c r="J6846" s="177"/>
      <c r="M6846" s="159"/>
      <c r="N6846" s="94"/>
    </row>
    <row r="6847">
      <c r="A6847" s="21">
        <v>1642530.0</v>
      </c>
      <c r="B6847" s="22" t="s">
        <v>246</v>
      </c>
      <c r="C6847" s="22" t="s">
        <v>1818</v>
      </c>
      <c r="D6847" s="100" t="str">
        <f t="shared" si="1"/>
        <v/>
      </c>
      <c r="E6847" s="100" t="str">
        <f t="shared" si="2"/>
        <v/>
      </c>
      <c r="F6847" s="100" t="str">
        <f t="shared" si="3"/>
        <v/>
      </c>
      <c r="G6847" s="151"/>
      <c r="H6847" s="156"/>
      <c r="I6847" s="171"/>
      <c r="J6847" s="176"/>
      <c r="M6847" s="159"/>
      <c r="N6847" s="94"/>
    </row>
    <row r="6848">
      <c r="A6848" s="21">
        <v>1642530.0</v>
      </c>
      <c r="B6848" s="173" t="s">
        <v>247</v>
      </c>
      <c r="C6848" s="173" t="s">
        <v>1818</v>
      </c>
      <c r="D6848" s="100" t="str">
        <f t="shared" si="1"/>
        <v/>
      </c>
      <c r="E6848" s="100" t="str">
        <f t="shared" si="2"/>
        <v/>
      </c>
      <c r="F6848" s="100" t="str">
        <f t="shared" si="3"/>
        <v/>
      </c>
      <c r="G6848" s="151"/>
      <c r="H6848" s="160"/>
      <c r="I6848" s="171"/>
      <c r="J6848" s="177"/>
      <c r="M6848" s="159"/>
      <c r="N6848" s="94"/>
    </row>
    <row r="6849">
      <c r="A6849" s="169">
        <v>1642843.0</v>
      </c>
      <c r="B6849" s="131" t="s">
        <v>247</v>
      </c>
      <c r="C6849" s="131" t="s">
        <v>1819</v>
      </c>
      <c r="D6849" s="100" t="str">
        <f t="shared" si="1"/>
        <v/>
      </c>
      <c r="E6849" s="100" t="str">
        <f t="shared" si="2"/>
        <v/>
      </c>
      <c r="F6849" s="100" t="str">
        <f t="shared" si="3"/>
        <v/>
      </c>
      <c r="G6849" s="151"/>
      <c r="H6849" s="156"/>
      <c r="I6849" s="171"/>
      <c r="J6849" s="176"/>
      <c r="M6849" s="159"/>
      <c r="N6849" s="94"/>
    </row>
    <row r="6850">
      <c r="A6850" s="114">
        <v>1642844.0</v>
      </c>
      <c r="B6850" s="131" t="s">
        <v>247</v>
      </c>
      <c r="C6850" s="131" t="s">
        <v>1820</v>
      </c>
      <c r="D6850" s="100" t="str">
        <f t="shared" si="1"/>
        <v/>
      </c>
      <c r="E6850" s="100" t="str">
        <f t="shared" si="2"/>
        <v/>
      </c>
      <c r="F6850" s="100" t="str">
        <f t="shared" si="3"/>
        <v/>
      </c>
      <c r="G6850" s="151"/>
      <c r="H6850" s="160"/>
      <c r="I6850" s="172"/>
      <c r="J6850" s="177"/>
      <c r="M6850" s="159"/>
      <c r="N6850" s="94"/>
    </row>
    <row r="6851">
      <c r="A6851" s="169">
        <v>1642845.0</v>
      </c>
      <c r="B6851" s="131" t="s">
        <v>247</v>
      </c>
      <c r="C6851" s="131" t="s">
        <v>1821</v>
      </c>
      <c r="D6851" s="100" t="str">
        <f t="shared" si="1"/>
        <v/>
      </c>
      <c r="E6851" s="100" t="str">
        <f t="shared" si="2"/>
        <v/>
      </c>
      <c r="F6851" s="100" t="str">
        <f t="shared" si="3"/>
        <v/>
      </c>
      <c r="G6851" s="151"/>
      <c r="H6851" s="156"/>
      <c r="I6851" s="171"/>
      <c r="J6851" s="176"/>
      <c r="M6851" s="159"/>
      <c r="N6851" s="94"/>
    </row>
    <row r="6852">
      <c r="A6852" s="114">
        <v>1642846.0</v>
      </c>
      <c r="B6852" s="131" t="s">
        <v>247</v>
      </c>
      <c r="C6852" s="131" t="s">
        <v>1822</v>
      </c>
      <c r="D6852" s="100" t="str">
        <f t="shared" si="1"/>
        <v/>
      </c>
      <c r="E6852" s="100" t="str">
        <f t="shared" si="2"/>
        <v/>
      </c>
      <c r="F6852" s="100" t="str">
        <f t="shared" si="3"/>
        <v/>
      </c>
      <c r="G6852" s="151"/>
      <c r="H6852" s="160"/>
      <c r="I6852" s="171"/>
      <c r="J6852" s="177"/>
      <c r="M6852" s="159"/>
      <c r="N6852" s="94"/>
    </row>
    <row r="6853">
      <c r="A6853" s="114">
        <v>1642847.0</v>
      </c>
      <c r="B6853" s="131" t="s">
        <v>247</v>
      </c>
      <c r="C6853" s="131" t="s">
        <v>1823</v>
      </c>
      <c r="D6853" s="100" t="str">
        <f t="shared" si="1"/>
        <v/>
      </c>
      <c r="E6853" s="100" t="str">
        <f t="shared" si="2"/>
        <v/>
      </c>
      <c r="F6853" s="100" t="str">
        <f t="shared" si="3"/>
        <v/>
      </c>
      <c r="G6853" s="151"/>
      <c r="H6853" s="156"/>
      <c r="I6853" s="171"/>
      <c r="J6853" s="176"/>
      <c r="M6853" s="159"/>
      <c r="N6853" s="94"/>
    </row>
    <row r="6854">
      <c r="A6854" s="114">
        <v>1642848.0</v>
      </c>
      <c r="B6854" s="131" t="s">
        <v>247</v>
      </c>
      <c r="C6854" s="131" t="s">
        <v>1824</v>
      </c>
      <c r="D6854" s="100" t="str">
        <f t="shared" si="1"/>
        <v/>
      </c>
      <c r="E6854" s="100" t="str">
        <f t="shared" si="2"/>
        <v/>
      </c>
      <c r="F6854" s="100" t="str">
        <f t="shared" si="3"/>
        <v/>
      </c>
      <c r="G6854" s="151"/>
      <c r="H6854" s="160"/>
      <c r="I6854" s="171"/>
      <c r="J6854" s="177"/>
      <c r="M6854" s="159"/>
      <c r="N6854" s="94"/>
    </row>
    <row r="6855">
      <c r="A6855" s="114">
        <v>1642849.0</v>
      </c>
      <c r="B6855" s="131" t="s">
        <v>247</v>
      </c>
      <c r="C6855" s="131" t="s">
        <v>1825</v>
      </c>
      <c r="D6855" s="100" t="str">
        <f t="shared" si="1"/>
        <v/>
      </c>
      <c r="E6855" s="100" t="str">
        <f t="shared" si="2"/>
        <v/>
      </c>
      <c r="F6855" s="100" t="str">
        <f t="shared" si="3"/>
        <v/>
      </c>
      <c r="G6855" s="151"/>
      <c r="H6855" s="156"/>
      <c r="I6855" s="171"/>
      <c r="J6855" s="176"/>
      <c r="M6855" s="159"/>
      <c r="N6855" s="94"/>
    </row>
    <row r="6856">
      <c r="A6856" s="114">
        <v>1642851.0</v>
      </c>
      <c r="B6856" s="131" t="s">
        <v>247</v>
      </c>
      <c r="C6856" s="131" t="s">
        <v>1826</v>
      </c>
      <c r="D6856" s="100" t="str">
        <f t="shared" si="1"/>
        <v/>
      </c>
      <c r="E6856" s="100" t="str">
        <f t="shared" si="2"/>
        <v/>
      </c>
      <c r="F6856" s="100" t="str">
        <f t="shared" si="3"/>
        <v/>
      </c>
      <c r="G6856" s="151"/>
      <c r="H6856" s="160"/>
      <c r="I6856" s="171"/>
      <c r="J6856" s="177"/>
      <c r="M6856" s="159"/>
      <c r="N6856" s="94"/>
    </row>
    <row r="6857">
      <c r="A6857" s="114">
        <v>1642852.0</v>
      </c>
      <c r="B6857" s="131" t="s">
        <v>247</v>
      </c>
      <c r="C6857" s="131" t="s">
        <v>1827</v>
      </c>
      <c r="D6857" s="100" t="str">
        <f t="shared" si="1"/>
        <v/>
      </c>
      <c r="E6857" s="100" t="str">
        <f t="shared" si="2"/>
        <v/>
      </c>
      <c r="F6857" s="100" t="str">
        <f t="shared" si="3"/>
        <v/>
      </c>
      <c r="G6857" s="151"/>
      <c r="H6857" s="156"/>
      <c r="I6857" s="171"/>
      <c r="J6857" s="176"/>
      <c r="M6857" s="159"/>
      <c r="N6857" s="94"/>
    </row>
    <row r="6858">
      <c r="A6858" s="114">
        <v>1642853.0</v>
      </c>
      <c r="B6858" s="131" t="s">
        <v>247</v>
      </c>
      <c r="C6858" s="131" t="s">
        <v>1828</v>
      </c>
      <c r="D6858" s="100" t="str">
        <f t="shared" si="1"/>
        <v/>
      </c>
      <c r="E6858" s="100" t="str">
        <f t="shared" si="2"/>
        <v/>
      </c>
      <c r="F6858" s="100" t="str">
        <f t="shared" si="3"/>
        <v/>
      </c>
      <c r="G6858" s="151"/>
      <c r="H6858" s="160"/>
      <c r="I6858" s="171"/>
      <c r="J6858" s="177"/>
      <c r="M6858" s="159"/>
      <c r="N6858" s="94"/>
    </row>
    <row r="6859">
      <c r="A6859" s="114">
        <v>1642854.0</v>
      </c>
      <c r="B6859" s="131" t="s">
        <v>247</v>
      </c>
      <c r="C6859" s="131" t="s">
        <v>1829</v>
      </c>
      <c r="D6859" s="100" t="str">
        <f t="shared" si="1"/>
        <v/>
      </c>
      <c r="E6859" s="100" t="str">
        <f t="shared" si="2"/>
        <v/>
      </c>
      <c r="F6859" s="100" t="str">
        <f t="shared" si="3"/>
        <v/>
      </c>
      <c r="G6859" s="151"/>
      <c r="H6859" s="156"/>
      <c r="I6859" s="171"/>
      <c r="J6859" s="176"/>
      <c r="M6859" s="159"/>
      <c r="N6859" s="94"/>
    </row>
    <row r="6860">
      <c r="A6860" s="131">
        <v>1642855.0</v>
      </c>
      <c r="B6860" s="131" t="s">
        <v>247</v>
      </c>
      <c r="C6860" s="131" t="s">
        <v>1830</v>
      </c>
      <c r="D6860" s="100" t="str">
        <f t="shared" si="1"/>
        <v/>
      </c>
      <c r="E6860" s="100" t="str">
        <f t="shared" si="2"/>
        <v/>
      </c>
      <c r="F6860" s="100" t="str">
        <f t="shared" si="3"/>
        <v/>
      </c>
      <c r="G6860" s="151"/>
      <c r="H6860" s="160"/>
      <c r="I6860" s="171"/>
      <c r="J6860" s="177"/>
      <c r="M6860" s="159"/>
      <c r="N6860" s="94"/>
    </row>
    <row r="6861">
      <c r="A6861" s="114">
        <v>1642856.0</v>
      </c>
      <c r="B6861" s="131" t="s">
        <v>247</v>
      </c>
      <c r="C6861" s="131" t="s">
        <v>1831</v>
      </c>
      <c r="D6861" s="100" t="str">
        <f t="shared" si="1"/>
        <v/>
      </c>
      <c r="E6861" s="100" t="str">
        <f t="shared" si="2"/>
        <v/>
      </c>
      <c r="F6861" s="100" t="str">
        <f t="shared" si="3"/>
        <v/>
      </c>
      <c r="G6861" s="151"/>
      <c r="H6861" s="156"/>
      <c r="I6861" s="171"/>
      <c r="J6861" s="176"/>
      <c r="M6861" s="159"/>
      <c r="N6861" s="94"/>
    </row>
    <row r="6862">
      <c r="A6862" s="131">
        <v>1642857.0</v>
      </c>
      <c r="B6862" s="131" t="s">
        <v>247</v>
      </c>
      <c r="C6862" s="131" t="s">
        <v>1832</v>
      </c>
      <c r="D6862" s="100" t="str">
        <f t="shared" si="1"/>
        <v/>
      </c>
      <c r="E6862" s="100" t="str">
        <f t="shared" si="2"/>
        <v/>
      </c>
      <c r="F6862" s="100" t="str">
        <f t="shared" si="3"/>
        <v/>
      </c>
      <c r="G6862" s="151"/>
      <c r="H6862" s="160"/>
      <c r="I6862" s="172"/>
      <c r="J6862" s="177"/>
      <c r="M6862" s="159"/>
      <c r="N6862" s="94"/>
    </row>
    <row r="6863">
      <c r="A6863" s="114">
        <v>1642859.0</v>
      </c>
      <c r="B6863" s="131" t="s">
        <v>247</v>
      </c>
      <c r="C6863" s="131" t="s">
        <v>1833</v>
      </c>
      <c r="D6863" s="100" t="str">
        <f t="shared" si="1"/>
        <v/>
      </c>
      <c r="E6863" s="100" t="str">
        <f t="shared" si="2"/>
        <v/>
      </c>
      <c r="F6863" s="100" t="str">
        <f t="shared" si="3"/>
        <v/>
      </c>
      <c r="G6863" s="151"/>
      <c r="H6863" s="156"/>
      <c r="I6863" s="171"/>
      <c r="J6863" s="176"/>
      <c r="M6863" s="159"/>
      <c r="N6863" s="94"/>
    </row>
    <row r="6864">
      <c r="A6864" s="169">
        <v>1642860.0</v>
      </c>
      <c r="B6864" s="131" t="s">
        <v>247</v>
      </c>
      <c r="C6864" s="131" t="s">
        <v>1834</v>
      </c>
      <c r="D6864" s="100" t="str">
        <f t="shared" si="1"/>
        <v/>
      </c>
      <c r="E6864" s="100" t="str">
        <f t="shared" si="2"/>
        <v/>
      </c>
      <c r="F6864" s="100" t="str">
        <f t="shared" si="3"/>
        <v/>
      </c>
      <c r="G6864" s="151"/>
      <c r="H6864" s="160"/>
      <c r="I6864" s="171"/>
      <c r="J6864" s="177"/>
      <c r="M6864" s="159"/>
      <c r="N6864" s="94"/>
    </row>
    <row r="6865">
      <c r="A6865" s="114">
        <v>1642862.0</v>
      </c>
      <c r="B6865" s="131" t="s">
        <v>247</v>
      </c>
      <c r="C6865" s="131" t="s">
        <v>1835</v>
      </c>
      <c r="D6865" s="100" t="str">
        <f t="shared" si="1"/>
        <v/>
      </c>
      <c r="E6865" s="100" t="str">
        <f t="shared" si="2"/>
        <v/>
      </c>
      <c r="F6865" s="100" t="str">
        <f t="shared" si="3"/>
        <v/>
      </c>
      <c r="G6865" s="151"/>
      <c r="H6865" s="156"/>
      <c r="I6865" s="171"/>
      <c r="J6865" s="176"/>
      <c r="M6865" s="159"/>
      <c r="N6865" s="94"/>
    </row>
    <row r="6866">
      <c r="A6866" s="114">
        <v>1642863.0</v>
      </c>
      <c r="B6866" s="131" t="s">
        <v>247</v>
      </c>
      <c r="C6866" s="131" t="s">
        <v>1836</v>
      </c>
      <c r="D6866" s="100" t="str">
        <f t="shared" si="1"/>
        <v/>
      </c>
      <c r="E6866" s="100" t="str">
        <f t="shared" si="2"/>
        <v/>
      </c>
      <c r="F6866" s="100" t="str">
        <f t="shared" si="3"/>
        <v/>
      </c>
      <c r="G6866" s="151"/>
      <c r="H6866" s="160"/>
      <c r="I6866" s="171"/>
      <c r="J6866" s="177"/>
      <c r="M6866" s="159"/>
      <c r="N6866" s="94"/>
    </row>
    <row r="6867">
      <c r="A6867" s="114">
        <v>1642864.0</v>
      </c>
      <c r="B6867" s="131" t="s">
        <v>247</v>
      </c>
      <c r="C6867" s="131" t="s">
        <v>1837</v>
      </c>
      <c r="D6867" s="100" t="str">
        <f t="shared" si="1"/>
        <v/>
      </c>
      <c r="E6867" s="100" t="str">
        <f t="shared" si="2"/>
        <v/>
      </c>
      <c r="F6867" s="100" t="str">
        <f t="shared" si="3"/>
        <v/>
      </c>
      <c r="G6867" s="151"/>
      <c r="H6867" s="156"/>
      <c r="I6867" s="171"/>
      <c r="J6867" s="176"/>
      <c r="M6867" s="159"/>
      <c r="N6867" s="94"/>
    </row>
    <row r="6868">
      <c r="A6868" s="169">
        <v>1642866.0</v>
      </c>
      <c r="B6868" s="131" t="s">
        <v>247</v>
      </c>
      <c r="C6868" s="131" t="s">
        <v>1838</v>
      </c>
      <c r="D6868" s="100" t="str">
        <f t="shared" si="1"/>
        <v/>
      </c>
      <c r="E6868" s="100" t="str">
        <f t="shared" si="2"/>
        <v/>
      </c>
      <c r="F6868" s="100" t="str">
        <f t="shared" si="3"/>
        <v/>
      </c>
      <c r="G6868" s="151"/>
      <c r="H6868" s="160"/>
      <c r="I6868" s="171"/>
      <c r="J6868" s="177"/>
      <c r="M6868" s="159"/>
      <c r="N6868" s="94"/>
    </row>
    <row r="6869">
      <c r="A6869" s="114">
        <v>1642867.0</v>
      </c>
      <c r="B6869" s="131" t="s">
        <v>247</v>
      </c>
      <c r="C6869" s="131" t="s">
        <v>1839</v>
      </c>
      <c r="D6869" s="100" t="str">
        <f t="shared" si="1"/>
        <v/>
      </c>
      <c r="E6869" s="100" t="str">
        <f t="shared" si="2"/>
        <v/>
      </c>
      <c r="F6869" s="100" t="str">
        <f t="shared" si="3"/>
        <v/>
      </c>
      <c r="G6869" s="151"/>
      <c r="H6869" s="156"/>
      <c r="I6869" s="171"/>
      <c r="J6869" s="176"/>
      <c r="M6869" s="159"/>
      <c r="N6869" s="94"/>
    </row>
    <row r="6870">
      <c r="A6870" s="169">
        <v>1642868.0</v>
      </c>
      <c r="B6870" s="131" t="s">
        <v>247</v>
      </c>
      <c r="C6870" s="131" t="s">
        <v>1840</v>
      </c>
      <c r="D6870" s="100" t="str">
        <f t="shared" si="1"/>
        <v/>
      </c>
      <c r="E6870" s="100" t="str">
        <f t="shared" si="2"/>
        <v/>
      </c>
      <c r="F6870" s="100" t="str">
        <f t="shared" si="3"/>
        <v/>
      </c>
      <c r="G6870" s="151"/>
      <c r="H6870" s="160"/>
      <c r="I6870" s="171"/>
      <c r="J6870" s="177"/>
      <c r="M6870" s="159"/>
      <c r="N6870" s="94"/>
    </row>
    <row r="6871">
      <c r="A6871" s="114">
        <v>1642869.0</v>
      </c>
      <c r="B6871" s="131" t="s">
        <v>247</v>
      </c>
      <c r="C6871" s="131" t="s">
        <v>1841</v>
      </c>
      <c r="D6871" s="100" t="str">
        <f t="shared" si="1"/>
        <v/>
      </c>
      <c r="E6871" s="100" t="str">
        <f t="shared" si="2"/>
        <v/>
      </c>
      <c r="F6871" s="100" t="str">
        <f t="shared" si="3"/>
        <v/>
      </c>
      <c r="G6871" s="151"/>
      <c r="H6871" s="156"/>
      <c r="I6871" s="171"/>
      <c r="J6871" s="176"/>
      <c r="M6871" s="159"/>
      <c r="N6871" s="94"/>
    </row>
    <row r="6872">
      <c r="A6872" s="114">
        <v>1642873.0</v>
      </c>
      <c r="B6872" s="131" t="s">
        <v>247</v>
      </c>
      <c r="C6872" s="131" t="s">
        <v>1842</v>
      </c>
      <c r="D6872" s="100" t="str">
        <f t="shared" si="1"/>
        <v/>
      </c>
      <c r="E6872" s="100" t="str">
        <f t="shared" si="2"/>
        <v/>
      </c>
      <c r="F6872" s="100" t="str">
        <f t="shared" si="3"/>
        <v/>
      </c>
      <c r="G6872" s="151"/>
      <c r="H6872" s="160"/>
      <c r="I6872" s="171"/>
      <c r="J6872" s="177"/>
      <c r="M6872" s="159"/>
      <c r="N6872" s="94"/>
    </row>
    <row r="6873">
      <c r="A6873" s="169">
        <v>1642874.0</v>
      </c>
      <c r="B6873" s="131" t="s">
        <v>247</v>
      </c>
      <c r="C6873" s="131" t="s">
        <v>1843</v>
      </c>
      <c r="D6873" s="100" t="str">
        <f t="shared" si="1"/>
        <v/>
      </c>
      <c r="E6873" s="100" t="str">
        <f t="shared" si="2"/>
        <v/>
      </c>
      <c r="F6873" s="100" t="str">
        <f t="shared" si="3"/>
        <v/>
      </c>
      <c r="G6873" s="151"/>
      <c r="H6873" s="156"/>
      <c r="I6873" s="171"/>
      <c r="J6873" s="176"/>
      <c r="M6873" s="159"/>
      <c r="N6873" s="94"/>
    </row>
    <row r="6874">
      <c r="A6874" s="114">
        <v>1642875.0</v>
      </c>
      <c r="B6874" s="131" t="s">
        <v>247</v>
      </c>
      <c r="C6874" s="131" t="s">
        <v>1844</v>
      </c>
      <c r="D6874" s="100" t="str">
        <f t="shared" si="1"/>
        <v/>
      </c>
      <c r="E6874" s="100" t="str">
        <f t="shared" si="2"/>
        <v/>
      </c>
      <c r="F6874" s="100" t="str">
        <f t="shared" si="3"/>
        <v/>
      </c>
      <c r="G6874" s="151"/>
      <c r="H6874" s="160"/>
      <c r="I6874" s="171"/>
      <c r="J6874" s="177"/>
      <c r="M6874" s="159"/>
      <c r="N6874" s="94"/>
    </row>
    <row r="6875">
      <c r="A6875" s="131">
        <v>1642876.0</v>
      </c>
      <c r="B6875" s="131" t="s">
        <v>247</v>
      </c>
      <c r="C6875" s="131" t="s">
        <v>1845</v>
      </c>
      <c r="D6875" s="100" t="str">
        <f t="shared" si="1"/>
        <v/>
      </c>
      <c r="E6875" s="100" t="str">
        <f t="shared" si="2"/>
        <v/>
      </c>
      <c r="F6875" s="100" t="str">
        <f t="shared" si="3"/>
        <v/>
      </c>
      <c r="G6875" s="151"/>
      <c r="H6875" s="156"/>
      <c r="I6875" s="171"/>
      <c r="J6875" s="176"/>
      <c r="M6875" s="159"/>
      <c r="N6875" s="94"/>
    </row>
    <row r="6876">
      <c r="A6876" s="169">
        <v>1642877.0</v>
      </c>
      <c r="B6876" s="131" t="s">
        <v>247</v>
      </c>
      <c r="C6876" s="131" t="s">
        <v>1846</v>
      </c>
      <c r="D6876" s="100" t="str">
        <f t="shared" si="1"/>
        <v/>
      </c>
      <c r="E6876" s="100" t="str">
        <f t="shared" si="2"/>
        <v/>
      </c>
      <c r="F6876" s="100" t="str">
        <f t="shared" si="3"/>
        <v/>
      </c>
      <c r="G6876" s="151"/>
      <c r="H6876" s="160"/>
      <c r="I6876" s="171"/>
      <c r="J6876" s="177"/>
      <c r="M6876" s="159"/>
      <c r="N6876" s="94"/>
    </row>
    <row r="6877">
      <c r="A6877" s="169">
        <v>1642878.0</v>
      </c>
      <c r="B6877" s="131" t="s">
        <v>247</v>
      </c>
      <c r="C6877" s="131" t="s">
        <v>1847</v>
      </c>
      <c r="D6877" s="100" t="str">
        <f t="shared" si="1"/>
        <v/>
      </c>
      <c r="E6877" s="100" t="str">
        <f t="shared" si="2"/>
        <v/>
      </c>
      <c r="F6877" s="100" t="str">
        <f t="shared" si="3"/>
        <v/>
      </c>
      <c r="G6877" s="151"/>
      <c r="H6877" s="156"/>
      <c r="I6877" s="171"/>
      <c r="J6877" s="176"/>
      <c r="M6877" s="159"/>
      <c r="N6877" s="94"/>
    </row>
    <row r="6878">
      <c r="A6878" s="114">
        <v>1642879.0</v>
      </c>
      <c r="B6878" s="131" t="s">
        <v>247</v>
      </c>
      <c r="C6878" s="131" t="s">
        <v>1848</v>
      </c>
      <c r="D6878" s="100" t="str">
        <f t="shared" si="1"/>
        <v/>
      </c>
      <c r="E6878" s="100" t="str">
        <f t="shared" si="2"/>
        <v/>
      </c>
      <c r="F6878" s="100" t="str">
        <f t="shared" si="3"/>
        <v/>
      </c>
      <c r="G6878" s="151"/>
      <c r="H6878" s="160"/>
      <c r="I6878" s="171"/>
      <c r="J6878" s="177"/>
      <c r="M6878" s="159"/>
      <c r="N6878" s="94"/>
    </row>
    <row r="6879">
      <c r="A6879" s="89">
        <v>1642880.0</v>
      </c>
      <c r="B6879" s="131" t="s">
        <v>247</v>
      </c>
      <c r="C6879" s="131" t="s">
        <v>1849</v>
      </c>
      <c r="D6879" s="100" t="str">
        <f t="shared" si="1"/>
        <v/>
      </c>
      <c r="E6879" s="100" t="str">
        <f t="shared" si="2"/>
        <v/>
      </c>
      <c r="F6879" s="100" t="str">
        <f t="shared" si="3"/>
        <v/>
      </c>
      <c r="G6879" s="151"/>
      <c r="H6879" s="156"/>
      <c r="I6879" s="171"/>
      <c r="J6879" s="176"/>
      <c r="M6879" s="159"/>
      <c r="N6879" s="94"/>
    </row>
    <row r="6880">
      <c r="A6880" s="163">
        <v>1642882.0</v>
      </c>
      <c r="B6880" s="173" t="s">
        <v>247</v>
      </c>
      <c r="C6880" s="173" t="s">
        <v>1850</v>
      </c>
      <c r="D6880" s="100" t="str">
        <f t="shared" si="1"/>
        <v/>
      </c>
      <c r="E6880" s="100" t="str">
        <f t="shared" si="2"/>
        <v/>
      </c>
      <c r="F6880" s="100" t="str">
        <f t="shared" si="3"/>
        <v/>
      </c>
      <c r="G6880" s="151"/>
      <c r="H6880" s="160"/>
      <c r="I6880" s="171"/>
      <c r="J6880" s="177"/>
      <c r="M6880" s="159"/>
      <c r="N6880" s="94"/>
    </row>
    <row r="6881">
      <c r="A6881" s="114">
        <v>1642883.0</v>
      </c>
      <c r="B6881" s="131" t="s">
        <v>247</v>
      </c>
      <c r="C6881" s="131" t="s">
        <v>1851</v>
      </c>
      <c r="D6881" s="100" t="str">
        <f t="shared" si="1"/>
        <v/>
      </c>
      <c r="E6881" s="100" t="str">
        <f t="shared" si="2"/>
        <v/>
      </c>
      <c r="F6881" s="100" t="str">
        <f t="shared" si="3"/>
        <v/>
      </c>
      <c r="G6881" s="151"/>
      <c r="H6881" s="156"/>
      <c r="I6881" s="171"/>
      <c r="J6881" s="176"/>
      <c r="M6881" s="159"/>
      <c r="N6881" s="94"/>
    </row>
    <row r="6882">
      <c r="A6882" s="89">
        <v>1642884.0</v>
      </c>
      <c r="B6882" s="131" t="s">
        <v>247</v>
      </c>
      <c r="C6882" s="131" t="s">
        <v>1852</v>
      </c>
      <c r="D6882" s="100" t="str">
        <f t="shared" si="1"/>
        <v/>
      </c>
      <c r="E6882" s="100" t="str">
        <f t="shared" si="2"/>
        <v/>
      </c>
      <c r="F6882" s="100" t="str">
        <f t="shared" si="3"/>
        <v/>
      </c>
      <c r="G6882" s="151"/>
      <c r="H6882" s="160"/>
      <c r="I6882" s="171"/>
      <c r="J6882" s="177"/>
      <c r="M6882" s="159"/>
      <c r="N6882" s="94"/>
    </row>
    <row r="6883">
      <c r="A6883" s="114">
        <v>1642885.0</v>
      </c>
      <c r="B6883" s="131" t="s">
        <v>247</v>
      </c>
      <c r="C6883" s="131" t="s">
        <v>1853</v>
      </c>
      <c r="D6883" s="100" t="str">
        <f t="shared" si="1"/>
        <v/>
      </c>
      <c r="E6883" s="100" t="str">
        <f t="shared" si="2"/>
        <v/>
      </c>
      <c r="F6883" s="100" t="str">
        <f t="shared" si="3"/>
        <v/>
      </c>
      <c r="G6883" s="151"/>
      <c r="H6883" s="156"/>
      <c r="I6883" s="172"/>
      <c r="J6883" s="176"/>
      <c r="M6883" s="159"/>
      <c r="N6883" s="94"/>
    </row>
    <row r="6884">
      <c r="A6884" s="174">
        <v>1642886.0</v>
      </c>
      <c r="B6884" s="175" t="s">
        <v>247</v>
      </c>
      <c r="C6884" s="175" t="s">
        <v>1854</v>
      </c>
      <c r="D6884" s="100" t="str">
        <f t="shared" si="1"/>
        <v/>
      </c>
      <c r="E6884" s="100" t="str">
        <f t="shared" si="2"/>
        <v/>
      </c>
      <c r="F6884" s="100" t="str">
        <f t="shared" si="3"/>
        <v/>
      </c>
      <c r="G6884" s="151"/>
      <c r="H6884" s="160"/>
      <c r="I6884" s="171"/>
      <c r="J6884" s="177"/>
      <c r="M6884" s="159"/>
      <c r="N6884" s="94"/>
    </row>
    <row r="6885">
      <c r="A6885" s="131">
        <v>1642893.0</v>
      </c>
      <c r="B6885" s="131" t="s">
        <v>247</v>
      </c>
      <c r="C6885" s="131" t="s">
        <v>1855</v>
      </c>
      <c r="D6885" s="100" t="str">
        <f t="shared" si="1"/>
        <v/>
      </c>
      <c r="E6885" s="100" t="str">
        <f t="shared" si="2"/>
        <v/>
      </c>
      <c r="F6885" s="100" t="str">
        <f t="shared" si="3"/>
        <v/>
      </c>
      <c r="G6885" s="151"/>
      <c r="H6885" s="156"/>
      <c r="I6885" s="171"/>
      <c r="J6885" s="176"/>
      <c r="M6885" s="159"/>
      <c r="N6885" s="94"/>
    </row>
    <row r="6886">
      <c r="A6886" s="169">
        <v>1642905.0</v>
      </c>
      <c r="B6886" s="131" t="s">
        <v>247</v>
      </c>
      <c r="C6886" s="131" t="s">
        <v>1856</v>
      </c>
      <c r="D6886" s="100" t="str">
        <f t="shared" si="1"/>
        <v/>
      </c>
      <c r="E6886" s="100" t="str">
        <f t="shared" si="2"/>
        <v/>
      </c>
      <c r="F6886" s="100" t="str">
        <f t="shared" si="3"/>
        <v/>
      </c>
      <c r="G6886" s="151"/>
      <c r="H6886" s="160"/>
      <c r="I6886" s="171"/>
      <c r="J6886" s="177"/>
      <c r="M6886" s="159"/>
      <c r="N6886" s="94"/>
    </row>
    <row r="6887">
      <c r="A6887" s="114">
        <v>1642907.0</v>
      </c>
      <c r="B6887" s="131" t="s">
        <v>247</v>
      </c>
      <c r="C6887" s="131" t="s">
        <v>1857</v>
      </c>
      <c r="D6887" s="100" t="str">
        <f t="shared" si="1"/>
        <v/>
      </c>
      <c r="E6887" s="100" t="str">
        <f t="shared" si="2"/>
        <v/>
      </c>
      <c r="F6887" s="100" t="str">
        <f t="shared" si="3"/>
        <v/>
      </c>
      <c r="G6887" s="151"/>
      <c r="H6887" s="156"/>
      <c r="I6887" s="171"/>
      <c r="J6887" s="176"/>
      <c r="M6887" s="159"/>
      <c r="N6887" s="94"/>
    </row>
    <row r="6888">
      <c r="A6888" s="89">
        <v>1642910.0</v>
      </c>
      <c r="B6888" s="131" t="s">
        <v>247</v>
      </c>
      <c r="C6888" s="131" t="s">
        <v>1858</v>
      </c>
      <c r="D6888" s="100" t="str">
        <f t="shared" si="1"/>
        <v/>
      </c>
      <c r="E6888" s="100" t="str">
        <f t="shared" si="2"/>
        <v/>
      </c>
      <c r="F6888" s="100" t="str">
        <f t="shared" si="3"/>
        <v/>
      </c>
      <c r="G6888" s="151"/>
      <c r="H6888" s="160"/>
      <c r="I6888" s="171"/>
      <c r="J6888" s="177"/>
      <c r="M6888" s="159"/>
      <c r="N6888" s="94"/>
    </row>
    <row r="6889">
      <c r="A6889" s="89">
        <v>1642911.0</v>
      </c>
      <c r="B6889" s="131" t="s">
        <v>247</v>
      </c>
      <c r="C6889" s="131" t="s">
        <v>1859</v>
      </c>
      <c r="D6889" s="100" t="str">
        <f t="shared" si="1"/>
        <v/>
      </c>
      <c r="E6889" s="100" t="str">
        <f t="shared" si="2"/>
        <v/>
      </c>
      <c r="F6889" s="100" t="str">
        <f t="shared" si="3"/>
        <v/>
      </c>
      <c r="G6889" s="151"/>
      <c r="H6889" s="156"/>
      <c r="I6889" s="171"/>
      <c r="J6889" s="176"/>
      <c r="M6889" s="159"/>
      <c r="N6889" s="94"/>
    </row>
    <row r="6890">
      <c r="A6890" s="114">
        <v>1642914.0</v>
      </c>
      <c r="B6890" s="131" t="s">
        <v>247</v>
      </c>
      <c r="C6890" s="131" t="s">
        <v>1860</v>
      </c>
      <c r="D6890" s="100" t="str">
        <f t="shared" si="1"/>
        <v/>
      </c>
      <c r="E6890" s="100" t="str">
        <f t="shared" si="2"/>
        <v/>
      </c>
      <c r="F6890" s="100" t="str">
        <f t="shared" si="3"/>
        <v/>
      </c>
      <c r="G6890" s="151"/>
      <c r="H6890" s="160"/>
      <c r="I6890" s="172"/>
      <c r="J6890" s="177"/>
      <c r="M6890" s="159"/>
      <c r="N6890" s="94"/>
    </row>
    <row r="6891">
      <c r="A6891" s="131">
        <v>1642917.0</v>
      </c>
      <c r="B6891" s="131" t="s">
        <v>247</v>
      </c>
      <c r="C6891" s="131" t="s">
        <v>1861</v>
      </c>
      <c r="D6891" s="100" t="str">
        <f t="shared" si="1"/>
        <v/>
      </c>
      <c r="E6891" s="100" t="str">
        <f t="shared" si="2"/>
        <v/>
      </c>
      <c r="F6891" s="100" t="str">
        <f t="shared" si="3"/>
        <v/>
      </c>
      <c r="G6891" s="151"/>
      <c r="H6891" s="156"/>
      <c r="I6891" s="171"/>
      <c r="J6891" s="176"/>
      <c r="M6891" s="159"/>
      <c r="N6891" s="94"/>
    </row>
    <row r="6892">
      <c r="A6892" s="89">
        <v>1642918.0</v>
      </c>
      <c r="B6892" s="131" t="s">
        <v>247</v>
      </c>
      <c r="C6892" s="131" t="s">
        <v>1862</v>
      </c>
      <c r="D6892" s="100" t="str">
        <f t="shared" si="1"/>
        <v/>
      </c>
      <c r="E6892" s="100" t="str">
        <f t="shared" si="2"/>
        <v/>
      </c>
      <c r="F6892" s="100" t="str">
        <f t="shared" si="3"/>
        <v/>
      </c>
      <c r="G6892" s="151"/>
      <c r="H6892" s="160"/>
      <c r="I6892" s="171"/>
      <c r="J6892" s="177"/>
      <c r="M6892" s="159"/>
      <c r="N6892" s="94"/>
    </row>
    <row r="6893">
      <c r="A6893" s="114">
        <v>1642920.0</v>
      </c>
      <c r="B6893" s="131" t="s">
        <v>247</v>
      </c>
      <c r="C6893" s="131" t="s">
        <v>1863</v>
      </c>
      <c r="D6893" s="100" t="str">
        <f t="shared" si="1"/>
        <v/>
      </c>
      <c r="E6893" s="100" t="str">
        <f t="shared" si="2"/>
        <v/>
      </c>
      <c r="F6893" s="100" t="str">
        <f t="shared" si="3"/>
        <v/>
      </c>
      <c r="G6893" s="151"/>
      <c r="H6893" s="156"/>
      <c r="I6893" s="171"/>
      <c r="J6893" s="176"/>
      <c r="M6893" s="159"/>
      <c r="N6893" s="94"/>
    </row>
    <row r="6894">
      <c r="A6894" s="131">
        <v>1642926.0</v>
      </c>
      <c r="B6894" s="131" t="s">
        <v>247</v>
      </c>
      <c r="C6894" s="131" t="s">
        <v>1864</v>
      </c>
      <c r="D6894" s="100" t="str">
        <f t="shared" si="1"/>
        <v/>
      </c>
      <c r="E6894" s="100" t="str">
        <f t="shared" si="2"/>
        <v/>
      </c>
      <c r="F6894" s="100" t="str">
        <f t="shared" si="3"/>
        <v/>
      </c>
      <c r="G6894" s="151"/>
      <c r="H6894" s="160"/>
      <c r="I6894" s="171"/>
      <c r="J6894" s="177"/>
      <c r="M6894" s="159"/>
      <c r="N6894" s="94"/>
    </row>
    <row r="6895">
      <c r="A6895" s="114">
        <v>1642928.0</v>
      </c>
      <c r="B6895" s="131" t="s">
        <v>247</v>
      </c>
      <c r="C6895" s="131" t="s">
        <v>1865</v>
      </c>
      <c r="D6895" s="100" t="str">
        <f t="shared" si="1"/>
        <v/>
      </c>
      <c r="E6895" s="100" t="str">
        <f t="shared" si="2"/>
        <v/>
      </c>
      <c r="F6895" s="100" t="str">
        <f t="shared" si="3"/>
        <v/>
      </c>
      <c r="G6895" s="151"/>
      <c r="H6895" s="156"/>
      <c r="I6895" s="171"/>
      <c r="J6895" s="176"/>
      <c r="M6895" s="159"/>
      <c r="N6895" s="94"/>
    </row>
    <row r="6896">
      <c r="A6896" s="21">
        <v>1642933.0</v>
      </c>
      <c r="B6896" s="173" t="s">
        <v>247</v>
      </c>
      <c r="C6896" s="173" t="s">
        <v>1866</v>
      </c>
      <c r="D6896" s="100" t="str">
        <f t="shared" si="1"/>
        <v/>
      </c>
      <c r="E6896" s="100" t="str">
        <f t="shared" si="2"/>
        <v/>
      </c>
      <c r="F6896" s="100" t="str">
        <f t="shared" si="3"/>
        <v/>
      </c>
      <c r="G6896" s="151"/>
      <c r="H6896" s="160"/>
      <c r="I6896" s="171"/>
      <c r="J6896" s="179"/>
      <c r="M6896" s="159"/>
      <c r="N6896" s="94"/>
    </row>
    <row r="6897">
      <c r="A6897" s="114">
        <v>1642935.0</v>
      </c>
      <c r="B6897" s="131" t="s">
        <v>247</v>
      </c>
      <c r="C6897" s="131" t="s">
        <v>1867</v>
      </c>
      <c r="D6897" s="100" t="str">
        <f t="shared" si="1"/>
        <v/>
      </c>
      <c r="E6897" s="100" t="str">
        <f t="shared" si="2"/>
        <v/>
      </c>
      <c r="F6897" s="100" t="str">
        <f t="shared" si="3"/>
        <v/>
      </c>
      <c r="G6897" s="151"/>
      <c r="H6897" s="156"/>
      <c r="I6897" s="171"/>
      <c r="J6897" s="176"/>
      <c r="M6897" s="159"/>
      <c r="N6897" s="94"/>
    </row>
    <row r="6898">
      <c r="A6898" s="131">
        <v>1642938.0</v>
      </c>
      <c r="B6898" s="131" t="s">
        <v>247</v>
      </c>
      <c r="C6898" s="131" t="s">
        <v>1868</v>
      </c>
      <c r="D6898" s="100" t="str">
        <f t="shared" si="1"/>
        <v/>
      </c>
      <c r="E6898" s="100" t="str">
        <f t="shared" si="2"/>
        <v/>
      </c>
      <c r="F6898" s="100" t="str">
        <f t="shared" si="3"/>
        <v/>
      </c>
      <c r="G6898" s="151"/>
      <c r="H6898" s="160"/>
      <c r="I6898" s="171"/>
      <c r="J6898" s="177"/>
      <c r="M6898" s="159"/>
      <c r="N6898" s="94"/>
    </row>
    <row r="6899">
      <c r="A6899" s="114">
        <v>1642939.0</v>
      </c>
      <c r="B6899" s="131" t="s">
        <v>247</v>
      </c>
      <c r="C6899" s="131" t="s">
        <v>1869</v>
      </c>
      <c r="D6899" s="100" t="str">
        <f t="shared" si="1"/>
        <v/>
      </c>
      <c r="E6899" s="100" t="str">
        <f t="shared" si="2"/>
        <v/>
      </c>
      <c r="F6899" s="100" t="str">
        <f t="shared" si="3"/>
        <v/>
      </c>
      <c r="G6899" s="151"/>
      <c r="H6899" s="156"/>
      <c r="I6899" s="171"/>
      <c r="J6899" s="176"/>
      <c r="M6899" s="159"/>
      <c r="N6899" s="94"/>
    </row>
    <row r="6900">
      <c r="A6900" s="175">
        <v>1642942.0</v>
      </c>
      <c r="B6900" s="175" t="s">
        <v>247</v>
      </c>
      <c r="C6900" s="175" t="s">
        <v>1870</v>
      </c>
      <c r="D6900" s="100" t="str">
        <f t="shared" si="1"/>
        <v/>
      </c>
      <c r="E6900" s="100" t="str">
        <f t="shared" si="2"/>
        <v/>
      </c>
      <c r="F6900" s="100" t="str">
        <f t="shared" si="3"/>
        <v/>
      </c>
      <c r="G6900" s="151"/>
      <c r="H6900" s="160"/>
      <c r="I6900" s="171"/>
      <c r="J6900" s="177"/>
      <c r="M6900" s="159"/>
      <c r="N6900" s="94"/>
    </row>
    <row r="6901">
      <c r="A6901" s="175">
        <v>1642947.0</v>
      </c>
      <c r="B6901" s="175" t="s">
        <v>247</v>
      </c>
      <c r="C6901" s="175" t="s">
        <v>1871</v>
      </c>
      <c r="D6901" s="100" t="str">
        <f t="shared" si="1"/>
        <v/>
      </c>
      <c r="E6901" s="100" t="str">
        <f t="shared" si="2"/>
        <v/>
      </c>
      <c r="F6901" s="100" t="str">
        <f t="shared" si="3"/>
        <v/>
      </c>
      <c r="G6901" s="151"/>
      <c r="H6901" s="156"/>
      <c r="I6901" s="172"/>
      <c r="J6901" s="176"/>
      <c r="M6901" s="159"/>
      <c r="N6901" s="94"/>
    </row>
    <row r="6902">
      <c r="A6902" s="114">
        <v>1642948.0</v>
      </c>
      <c r="B6902" s="131" t="s">
        <v>247</v>
      </c>
      <c r="C6902" s="131" t="s">
        <v>1872</v>
      </c>
      <c r="D6902" s="100" t="str">
        <f t="shared" si="1"/>
        <v/>
      </c>
      <c r="E6902" s="100" t="str">
        <f t="shared" si="2"/>
        <v/>
      </c>
      <c r="F6902" s="100" t="str">
        <f t="shared" si="3"/>
        <v/>
      </c>
      <c r="G6902" s="151"/>
      <c r="H6902" s="160"/>
      <c r="I6902" s="171"/>
      <c r="J6902" s="177"/>
      <c r="M6902" s="159"/>
      <c r="N6902" s="94"/>
    </row>
    <row r="6903">
      <c r="A6903" s="114">
        <v>1642949.0</v>
      </c>
      <c r="B6903" s="131" t="s">
        <v>247</v>
      </c>
      <c r="C6903" s="131" t="s">
        <v>1873</v>
      </c>
      <c r="D6903" s="100" t="str">
        <f t="shared" si="1"/>
        <v/>
      </c>
      <c r="E6903" s="100" t="str">
        <f t="shared" si="2"/>
        <v/>
      </c>
      <c r="F6903" s="100" t="str">
        <f t="shared" si="3"/>
        <v/>
      </c>
      <c r="G6903" s="151"/>
      <c r="H6903" s="156"/>
      <c r="I6903" s="171"/>
      <c r="J6903" s="176"/>
      <c r="M6903" s="159"/>
      <c r="N6903" s="94"/>
    </row>
    <row r="6904">
      <c r="A6904" s="131">
        <v>1642950.0</v>
      </c>
      <c r="B6904" s="131" t="s">
        <v>247</v>
      </c>
      <c r="C6904" s="131" t="s">
        <v>1874</v>
      </c>
      <c r="D6904" s="100" t="str">
        <f t="shared" si="1"/>
        <v/>
      </c>
      <c r="E6904" s="100" t="str">
        <f t="shared" si="2"/>
        <v/>
      </c>
      <c r="F6904" s="100" t="str">
        <f t="shared" si="3"/>
        <v/>
      </c>
      <c r="G6904" s="151"/>
      <c r="H6904" s="160"/>
      <c r="I6904" s="171"/>
      <c r="J6904" s="177"/>
      <c r="M6904" s="159"/>
      <c r="N6904" s="94"/>
    </row>
    <row r="6905">
      <c r="A6905" s="21">
        <v>1642951.0</v>
      </c>
      <c r="B6905" s="173" t="s">
        <v>247</v>
      </c>
      <c r="C6905" s="173" t="s">
        <v>1875</v>
      </c>
      <c r="D6905" s="100" t="str">
        <f t="shared" si="1"/>
        <v/>
      </c>
      <c r="E6905" s="100" t="str">
        <f t="shared" si="2"/>
        <v/>
      </c>
      <c r="F6905" s="100" t="str">
        <f t="shared" si="3"/>
        <v/>
      </c>
      <c r="G6905" s="151"/>
      <c r="H6905" s="156"/>
      <c r="I6905" s="171"/>
      <c r="J6905" s="176"/>
      <c r="M6905" s="159"/>
      <c r="N6905" s="94"/>
    </row>
    <row r="6906">
      <c r="A6906" s="114">
        <v>1642954.0</v>
      </c>
      <c r="B6906" s="131" t="s">
        <v>247</v>
      </c>
      <c r="C6906" s="131" t="s">
        <v>1876</v>
      </c>
      <c r="D6906" s="100" t="str">
        <f t="shared" si="1"/>
        <v/>
      </c>
      <c r="E6906" s="100" t="str">
        <f t="shared" si="2"/>
        <v/>
      </c>
      <c r="F6906" s="100" t="str">
        <f t="shared" si="3"/>
        <v/>
      </c>
      <c r="G6906" s="151"/>
      <c r="H6906" s="160"/>
      <c r="I6906" s="171"/>
      <c r="J6906" s="177"/>
      <c r="M6906" s="159"/>
      <c r="N6906" s="94"/>
    </row>
    <row r="6907">
      <c r="A6907" s="114">
        <v>1642959.0</v>
      </c>
      <c r="B6907" s="131" t="s">
        <v>247</v>
      </c>
      <c r="C6907" s="131" t="s">
        <v>1877</v>
      </c>
      <c r="D6907" s="100" t="str">
        <f t="shared" si="1"/>
        <v/>
      </c>
      <c r="E6907" s="100" t="str">
        <f t="shared" si="2"/>
        <v/>
      </c>
      <c r="F6907" s="100" t="str">
        <f t="shared" si="3"/>
        <v/>
      </c>
      <c r="G6907" s="151"/>
      <c r="H6907" s="156"/>
      <c r="I6907" s="171"/>
      <c r="J6907" s="176"/>
      <c r="M6907" s="159"/>
      <c r="N6907" s="94"/>
    </row>
    <row r="6908">
      <c r="A6908" s="114">
        <v>1642962.0</v>
      </c>
      <c r="B6908" s="131" t="s">
        <v>247</v>
      </c>
      <c r="C6908" s="131" t="s">
        <v>1878</v>
      </c>
      <c r="D6908" s="100" t="str">
        <f t="shared" si="1"/>
        <v/>
      </c>
      <c r="E6908" s="100" t="str">
        <f t="shared" si="2"/>
        <v/>
      </c>
      <c r="F6908" s="100" t="str">
        <f t="shared" si="3"/>
        <v/>
      </c>
      <c r="G6908" s="151"/>
      <c r="H6908" s="160"/>
      <c r="I6908" s="171"/>
      <c r="J6908" s="177"/>
      <c r="M6908" s="159"/>
      <c r="N6908" s="94"/>
    </row>
    <row r="6909">
      <c r="A6909" s="114">
        <v>1642964.0</v>
      </c>
      <c r="B6909" s="131" t="s">
        <v>247</v>
      </c>
      <c r="C6909" s="131" t="s">
        <v>1879</v>
      </c>
      <c r="D6909" s="100" t="str">
        <f t="shared" si="1"/>
        <v/>
      </c>
      <c r="E6909" s="100" t="str">
        <f t="shared" si="2"/>
        <v/>
      </c>
      <c r="F6909" s="100" t="str">
        <f t="shared" si="3"/>
        <v/>
      </c>
      <c r="G6909" s="151"/>
      <c r="H6909" s="156"/>
      <c r="I6909" s="171"/>
      <c r="J6909" s="176"/>
      <c r="M6909" s="159"/>
      <c r="N6909" s="94"/>
    </row>
    <row r="6910">
      <c r="A6910" s="21">
        <v>1642967.0</v>
      </c>
      <c r="B6910" s="173" t="s">
        <v>247</v>
      </c>
      <c r="C6910" s="173" t="s">
        <v>1880</v>
      </c>
      <c r="D6910" s="100" t="str">
        <f t="shared" si="1"/>
        <v/>
      </c>
      <c r="E6910" s="100" t="str">
        <f t="shared" si="2"/>
        <v/>
      </c>
      <c r="F6910" s="100" t="str">
        <f t="shared" si="3"/>
        <v/>
      </c>
      <c r="G6910" s="151"/>
      <c r="H6910" s="160"/>
      <c r="I6910" s="171"/>
      <c r="J6910" s="177"/>
      <c r="M6910" s="159"/>
      <c r="N6910" s="94"/>
    </row>
    <row r="6911">
      <c r="A6911" s="114">
        <v>1643007.0</v>
      </c>
      <c r="B6911" s="131" t="s">
        <v>247</v>
      </c>
      <c r="C6911" s="131" t="s">
        <v>1881</v>
      </c>
      <c r="D6911" s="100" t="str">
        <f t="shared" si="1"/>
        <v/>
      </c>
      <c r="E6911" s="100" t="str">
        <f t="shared" si="2"/>
        <v/>
      </c>
      <c r="F6911" s="100" t="str">
        <f t="shared" si="3"/>
        <v/>
      </c>
      <c r="G6911" s="151"/>
      <c r="H6911" s="156"/>
      <c r="I6911" s="171"/>
      <c r="J6911" s="176"/>
      <c r="M6911" s="159"/>
      <c r="N6911" s="94"/>
    </row>
    <row r="6912">
      <c r="A6912" s="21">
        <v>1643016.0</v>
      </c>
      <c r="B6912" s="173" t="s">
        <v>247</v>
      </c>
      <c r="C6912" s="173" t="s">
        <v>1882</v>
      </c>
      <c r="D6912" s="100" t="str">
        <f t="shared" si="1"/>
        <v/>
      </c>
      <c r="E6912" s="100" t="str">
        <f t="shared" si="2"/>
        <v/>
      </c>
      <c r="F6912" s="100" t="str">
        <f t="shared" si="3"/>
        <v/>
      </c>
      <c r="G6912" s="151"/>
      <c r="H6912" s="160"/>
      <c r="I6912" s="171"/>
      <c r="J6912" s="177"/>
      <c r="M6912" s="159"/>
      <c r="N6912" s="94"/>
    </row>
    <row r="6913">
      <c r="A6913" s="114">
        <v>1643018.0</v>
      </c>
      <c r="B6913" s="131" t="s">
        <v>247</v>
      </c>
      <c r="C6913" s="131" t="s">
        <v>1883</v>
      </c>
      <c r="D6913" s="100" t="str">
        <f t="shared" si="1"/>
        <v/>
      </c>
      <c r="E6913" s="100" t="str">
        <f t="shared" si="2"/>
        <v/>
      </c>
      <c r="F6913" s="100" t="str">
        <f t="shared" si="3"/>
        <v/>
      </c>
      <c r="G6913" s="151"/>
      <c r="H6913" s="156"/>
      <c r="I6913" s="171"/>
      <c r="J6913" s="176"/>
      <c r="M6913" s="159"/>
      <c r="N6913" s="94"/>
    </row>
    <row r="6914">
      <c r="A6914" s="114">
        <v>1643024.0</v>
      </c>
      <c r="B6914" s="131" t="s">
        <v>247</v>
      </c>
      <c r="C6914" s="131" t="s">
        <v>1884</v>
      </c>
      <c r="D6914" s="100" t="str">
        <f t="shared" si="1"/>
        <v/>
      </c>
      <c r="E6914" s="100" t="str">
        <f t="shared" si="2"/>
        <v/>
      </c>
      <c r="F6914" s="100" t="str">
        <f t="shared" si="3"/>
        <v/>
      </c>
      <c r="G6914" s="151"/>
      <c r="H6914" s="160"/>
      <c r="I6914" s="171"/>
      <c r="J6914" s="177"/>
      <c r="M6914" s="159"/>
      <c r="N6914" s="94"/>
    </row>
    <row r="6915">
      <c r="A6915" s="21">
        <v>1643047.0</v>
      </c>
      <c r="B6915" s="173" t="s">
        <v>247</v>
      </c>
      <c r="C6915" s="173" t="s">
        <v>1885</v>
      </c>
      <c r="D6915" s="100" t="str">
        <f t="shared" si="1"/>
        <v/>
      </c>
      <c r="E6915" s="100" t="str">
        <f t="shared" si="2"/>
        <v/>
      </c>
      <c r="F6915" s="100" t="str">
        <f t="shared" si="3"/>
        <v/>
      </c>
      <c r="G6915" s="151"/>
      <c r="H6915" s="156"/>
      <c r="I6915" s="171"/>
      <c r="J6915" s="176"/>
      <c r="M6915" s="159"/>
      <c r="N6915" s="94"/>
    </row>
    <row r="6916">
      <c r="A6916" s="21">
        <v>1643052.0</v>
      </c>
      <c r="B6916" s="173" t="s">
        <v>247</v>
      </c>
      <c r="C6916" s="173" t="s">
        <v>1886</v>
      </c>
      <c r="D6916" s="100" t="str">
        <f t="shared" si="1"/>
        <v/>
      </c>
      <c r="E6916" s="100" t="str">
        <f t="shared" si="2"/>
        <v/>
      </c>
      <c r="F6916" s="100" t="str">
        <f t="shared" si="3"/>
        <v/>
      </c>
      <c r="G6916" s="151"/>
      <c r="H6916" s="160"/>
      <c r="I6916" s="171"/>
      <c r="J6916" s="177"/>
      <c r="M6916" s="159"/>
      <c r="N6916" s="94"/>
    </row>
    <row r="6917">
      <c r="A6917" s="21">
        <v>1643060.0</v>
      </c>
      <c r="B6917" s="173" t="s">
        <v>247</v>
      </c>
      <c r="C6917" s="173" t="s">
        <v>1887</v>
      </c>
      <c r="D6917" s="100" t="str">
        <f t="shared" si="1"/>
        <v/>
      </c>
      <c r="E6917" s="100" t="str">
        <f t="shared" si="2"/>
        <v/>
      </c>
      <c r="F6917" s="100" t="str">
        <f t="shared" si="3"/>
        <v/>
      </c>
      <c r="G6917" s="151"/>
      <c r="H6917" s="156"/>
      <c r="I6917" s="171"/>
      <c r="J6917" s="176"/>
      <c r="M6917" s="159"/>
      <c r="N6917" s="94"/>
    </row>
    <row r="6918">
      <c r="A6918" s="21">
        <v>1643133.0</v>
      </c>
      <c r="B6918" s="173" t="s">
        <v>247</v>
      </c>
      <c r="C6918" s="173" t="s">
        <v>1888</v>
      </c>
      <c r="D6918" s="100" t="str">
        <f t="shared" si="1"/>
        <v/>
      </c>
      <c r="E6918" s="100" t="str">
        <f t="shared" si="2"/>
        <v/>
      </c>
      <c r="F6918" s="100" t="str">
        <f t="shared" si="3"/>
        <v/>
      </c>
      <c r="G6918" s="151"/>
      <c r="H6918" s="160"/>
      <c r="I6918" s="171"/>
      <c r="J6918" s="177"/>
      <c r="M6918" s="159"/>
      <c r="N6918" s="94"/>
    </row>
    <row r="6919">
      <c r="A6919" s="114">
        <v>1643141.0</v>
      </c>
      <c r="B6919" s="131" t="s">
        <v>247</v>
      </c>
      <c r="C6919" s="131" t="s">
        <v>1889</v>
      </c>
      <c r="D6919" s="100" t="str">
        <f t="shared" si="1"/>
        <v/>
      </c>
      <c r="E6919" s="100" t="str">
        <f t="shared" si="2"/>
        <v/>
      </c>
      <c r="F6919" s="100" t="str">
        <f t="shared" si="3"/>
        <v/>
      </c>
      <c r="G6919" s="151"/>
      <c r="H6919" s="156"/>
      <c r="I6919" s="171"/>
      <c r="J6919" s="178"/>
      <c r="M6919" s="159"/>
      <c r="N6919" s="94"/>
    </row>
    <row r="6920">
      <c r="A6920" s="21">
        <v>1643257.0</v>
      </c>
      <c r="B6920" s="173" t="s">
        <v>247</v>
      </c>
      <c r="C6920" s="173" t="s">
        <v>1890</v>
      </c>
      <c r="D6920" s="100" t="str">
        <f t="shared" si="1"/>
        <v/>
      </c>
      <c r="E6920" s="100" t="str">
        <f t="shared" si="2"/>
        <v/>
      </c>
      <c r="F6920" s="100" t="str">
        <f t="shared" si="3"/>
        <v/>
      </c>
      <c r="G6920" s="151"/>
      <c r="H6920" s="160"/>
      <c r="I6920" s="171"/>
      <c r="J6920" s="177"/>
      <c r="M6920" s="159"/>
      <c r="N6920" s="94"/>
    </row>
    <row r="6921">
      <c r="A6921" s="114"/>
      <c r="B6921" s="131"/>
      <c r="C6921" s="131"/>
      <c r="D6921" s="100" t="str">
        <f t="shared" si="1"/>
        <v/>
      </c>
      <c r="E6921" s="100" t="str">
        <f t="shared" si="2"/>
        <v/>
      </c>
      <c r="F6921" s="100" t="str">
        <f t="shared" si="3"/>
        <v/>
      </c>
      <c r="G6921" s="151"/>
      <c r="H6921" s="156"/>
      <c r="I6921" s="171"/>
      <c r="J6921" s="176"/>
      <c r="M6921" s="159"/>
      <c r="N6921" s="94"/>
    </row>
    <row r="6922">
      <c r="A6922" s="114"/>
      <c r="B6922" s="131"/>
      <c r="C6922" s="131"/>
      <c r="D6922" s="100" t="str">
        <f t="shared" si="1"/>
        <v/>
      </c>
      <c r="E6922" s="100" t="str">
        <f t="shared" si="2"/>
        <v/>
      </c>
      <c r="F6922" s="100" t="str">
        <f t="shared" si="3"/>
        <v/>
      </c>
      <c r="G6922" s="151"/>
      <c r="H6922" s="160"/>
      <c r="I6922" s="171"/>
      <c r="J6922" s="177"/>
      <c r="M6922" s="159"/>
      <c r="N6922" s="94"/>
    </row>
    <row r="6923">
      <c r="A6923" s="114"/>
      <c r="B6923" s="131"/>
      <c r="C6923" s="131"/>
      <c r="D6923" s="100" t="str">
        <f t="shared" si="1"/>
        <v/>
      </c>
      <c r="E6923" s="100" t="str">
        <f t="shared" si="2"/>
        <v/>
      </c>
      <c r="F6923" s="100" t="str">
        <f t="shared" si="3"/>
        <v/>
      </c>
      <c r="G6923" s="151"/>
      <c r="H6923" s="156"/>
      <c r="I6923" s="172"/>
      <c r="M6923" s="159"/>
      <c r="N6923" s="94"/>
    </row>
    <row r="6924">
      <c r="A6924" s="114"/>
      <c r="B6924" s="131"/>
      <c r="C6924" s="131"/>
      <c r="D6924" s="100" t="str">
        <f t="shared" si="1"/>
        <v/>
      </c>
      <c r="E6924" s="100" t="str">
        <f t="shared" si="2"/>
        <v/>
      </c>
      <c r="F6924" s="100" t="str">
        <f t="shared" si="3"/>
        <v/>
      </c>
      <c r="G6924" s="151"/>
      <c r="H6924" s="160"/>
      <c r="I6924" s="171"/>
      <c r="M6924" s="159"/>
      <c r="N6924" s="94"/>
    </row>
    <row r="6925">
      <c r="A6925" s="114"/>
      <c r="B6925" s="131"/>
      <c r="C6925" s="131"/>
      <c r="D6925" s="100" t="str">
        <f t="shared" si="1"/>
        <v/>
      </c>
      <c r="E6925" s="100" t="str">
        <f t="shared" si="2"/>
        <v/>
      </c>
      <c r="F6925" s="100" t="str">
        <f t="shared" si="3"/>
        <v/>
      </c>
      <c r="G6925" s="151"/>
      <c r="H6925" s="156"/>
      <c r="I6925" s="171"/>
      <c r="M6925" s="159"/>
      <c r="N6925" s="94"/>
    </row>
    <row r="6926">
      <c r="A6926" s="114"/>
      <c r="B6926" s="131"/>
      <c r="C6926" s="131"/>
      <c r="D6926" s="100" t="str">
        <f t="shared" si="1"/>
        <v/>
      </c>
      <c r="E6926" s="100" t="str">
        <f t="shared" si="2"/>
        <v/>
      </c>
      <c r="F6926" s="100" t="str">
        <f t="shared" si="3"/>
        <v/>
      </c>
      <c r="G6926" s="151"/>
      <c r="H6926" s="160"/>
      <c r="I6926" s="171"/>
      <c r="M6926" s="159"/>
      <c r="N6926" s="94"/>
    </row>
    <row r="6927">
      <c r="A6927" s="114"/>
      <c r="B6927" s="131"/>
      <c r="C6927" s="131"/>
      <c r="D6927" s="100" t="str">
        <f t="shared" si="1"/>
        <v/>
      </c>
      <c r="E6927" s="100" t="str">
        <f t="shared" si="2"/>
        <v/>
      </c>
      <c r="F6927" s="100" t="str">
        <f t="shared" si="3"/>
        <v/>
      </c>
      <c r="G6927" s="151"/>
      <c r="H6927" s="156"/>
      <c r="I6927" s="171"/>
      <c r="M6927" s="159"/>
      <c r="N6927" s="94"/>
    </row>
    <row r="6928">
      <c r="A6928" s="114"/>
      <c r="B6928" s="131"/>
      <c r="C6928" s="131"/>
      <c r="D6928" s="100" t="str">
        <f t="shared" si="1"/>
        <v/>
      </c>
      <c r="E6928" s="100" t="str">
        <f t="shared" si="2"/>
        <v/>
      </c>
      <c r="F6928" s="100" t="str">
        <f t="shared" si="3"/>
        <v/>
      </c>
      <c r="G6928" s="151"/>
      <c r="H6928" s="160"/>
      <c r="I6928" s="171"/>
      <c r="M6928" s="159"/>
      <c r="N6928" s="94"/>
    </row>
    <row r="6929">
      <c r="A6929" s="114"/>
      <c r="B6929" s="131"/>
      <c r="C6929" s="131"/>
      <c r="D6929" s="100" t="str">
        <f t="shared" si="1"/>
        <v/>
      </c>
      <c r="E6929" s="100" t="str">
        <f t="shared" si="2"/>
        <v/>
      </c>
      <c r="F6929" s="100" t="str">
        <f t="shared" si="3"/>
        <v/>
      </c>
      <c r="G6929" s="151"/>
      <c r="H6929" s="156"/>
      <c r="I6929" s="171"/>
      <c r="M6929" s="159"/>
      <c r="N6929" s="94"/>
    </row>
    <row r="6930">
      <c r="A6930" s="114"/>
      <c r="B6930" s="131"/>
      <c r="C6930" s="131"/>
      <c r="D6930" s="100" t="str">
        <f t="shared" si="1"/>
        <v/>
      </c>
      <c r="E6930" s="100" t="str">
        <f t="shared" si="2"/>
        <v/>
      </c>
      <c r="F6930" s="100" t="str">
        <f t="shared" si="3"/>
        <v/>
      </c>
      <c r="G6930" s="151"/>
      <c r="H6930" s="160"/>
      <c r="I6930" s="171"/>
      <c r="M6930" s="159"/>
      <c r="N6930" s="94"/>
    </row>
    <row r="6931">
      <c r="A6931" s="114"/>
      <c r="B6931" s="131"/>
      <c r="C6931" s="131"/>
      <c r="D6931" s="100" t="str">
        <f t="shared" si="1"/>
        <v/>
      </c>
      <c r="E6931" s="100" t="str">
        <f t="shared" si="2"/>
        <v/>
      </c>
      <c r="F6931" s="100" t="str">
        <f t="shared" si="3"/>
        <v/>
      </c>
      <c r="G6931" s="151"/>
      <c r="H6931" s="156"/>
      <c r="I6931" s="171"/>
      <c r="M6931" s="159"/>
      <c r="N6931" s="94"/>
    </row>
    <row r="6932">
      <c r="A6932" s="114"/>
      <c r="B6932" s="131"/>
      <c r="C6932" s="131"/>
      <c r="D6932" s="100" t="str">
        <f t="shared" si="1"/>
        <v/>
      </c>
      <c r="E6932" s="100" t="str">
        <f t="shared" si="2"/>
        <v/>
      </c>
      <c r="F6932" s="100" t="str">
        <f t="shared" si="3"/>
        <v/>
      </c>
      <c r="G6932" s="151"/>
      <c r="H6932" s="160"/>
      <c r="I6932" s="172"/>
      <c r="M6932" s="159"/>
      <c r="N6932" s="94"/>
    </row>
    <row r="6933">
      <c r="A6933" s="114"/>
      <c r="B6933" s="131"/>
      <c r="C6933" s="131"/>
      <c r="D6933" s="100" t="str">
        <f t="shared" si="1"/>
        <v/>
      </c>
      <c r="E6933" s="100" t="str">
        <f t="shared" si="2"/>
        <v/>
      </c>
      <c r="F6933" s="100" t="str">
        <f t="shared" si="3"/>
        <v/>
      </c>
      <c r="G6933" s="151"/>
      <c r="H6933" s="156"/>
      <c r="I6933" s="172"/>
      <c r="M6933" s="159"/>
      <c r="N6933" s="94"/>
    </row>
    <row r="6934">
      <c r="A6934" s="114"/>
      <c r="B6934" s="131"/>
      <c r="C6934" s="131"/>
      <c r="D6934" s="100" t="str">
        <f t="shared" si="1"/>
        <v/>
      </c>
      <c r="E6934" s="100" t="str">
        <f t="shared" si="2"/>
        <v/>
      </c>
      <c r="F6934" s="100" t="str">
        <f t="shared" si="3"/>
        <v/>
      </c>
      <c r="G6934" s="151"/>
      <c r="H6934" s="160"/>
      <c r="I6934" s="171"/>
      <c r="M6934" s="159"/>
      <c r="N6934" s="94"/>
    </row>
    <row r="6935">
      <c r="A6935" s="114"/>
      <c r="B6935" s="131"/>
      <c r="C6935" s="131"/>
      <c r="D6935" s="100" t="str">
        <f t="shared" si="1"/>
        <v/>
      </c>
      <c r="E6935" s="100" t="str">
        <f t="shared" si="2"/>
        <v/>
      </c>
      <c r="F6935" s="100" t="str">
        <f t="shared" si="3"/>
        <v/>
      </c>
      <c r="G6935" s="151"/>
      <c r="H6935" s="156"/>
      <c r="I6935" s="171"/>
      <c r="M6935" s="159"/>
      <c r="N6935" s="94"/>
    </row>
    <row r="6936">
      <c r="A6936" s="114"/>
      <c r="B6936" s="131"/>
      <c r="C6936" s="131"/>
      <c r="D6936" s="100" t="str">
        <f t="shared" si="1"/>
        <v/>
      </c>
      <c r="E6936" s="100" t="str">
        <f t="shared" si="2"/>
        <v/>
      </c>
      <c r="F6936" s="100" t="str">
        <f t="shared" si="3"/>
        <v/>
      </c>
      <c r="G6936" s="151"/>
      <c r="H6936" s="160"/>
      <c r="I6936" s="171"/>
      <c r="M6936" s="159"/>
      <c r="N6936" s="94"/>
    </row>
    <row r="6937">
      <c r="A6937" s="114"/>
      <c r="B6937" s="131"/>
      <c r="C6937" s="131"/>
      <c r="D6937" s="100" t="str">
        <f t="shared" si="1"/>
        <v/>
      </c>
      <c r="E6937" s="100" t="str">
        <f t="shared" si="2"/>
        <v/>
      </c>
      <c r="F6937" s="100" t="str">
        <f t="shared" si="3"/>
        <v/>
      </c>
      <c r="G6937" s="151"/>
      <c r="H6937" s="156"/>
      <c r="I6937" s="171"/>
      <c r="M6937" s="159"/>
      <c r="N6937" s="94"/>
    </row>
    <row r="6938">
      <c r="A6938" s="114"/>
      <c r="B6938" s="131"/>
      <c r="C6938" s="131"/>
      <c r="D6938" s="100" t="str">
        <f t="shared" si="1"/>
        <v/>
      </c>
      <c r="E6938" s="100" t="str">
        <f t="shared" si="2"/>
        <v/>
      </c>
      <c r="F6938" s="100" t="str">
        <f t="shared" si="3"/>
        <v/>
      </c>
      <c r="G6938" s="151"/>
      <c r="H6938" s="160"/>
      <c r="I6938" s="171"/>
      <c r="M6938" s="159"/>
      <c r="N6938" s="94"/>
    </row>
    <row r="6939">
      <c r="A6939" s="114"/>
      <c r="B6939" s="131"/>
      <c r="C6939" s="131"/>
      <c r="D6939" s="100" t="str">
        <f t="shared" si="1"/>
        <v/>
      </c>
      <c r="E6939" s="100" t="str">
        <f t="shared" si="2"/>
        <v/>
      </c>
      <c r="F6939" s="100" t="str">
        <f t="shared" si="3"/>
        <v/>
      </c>
      <c r="G6939" s="151"/>
      <c r="H6939" s="156"/>
      <c r="I6939" s="171"/>
      <c r="M6939" s="159"/>
      <c r="N6939" s="94"/>
    </row>
    <row r="6940">
      <c r="A6940" s="114"/>
      <c r="B6940" s="131"/>
      <c r="C6940" s="131"/>
      <c r="D6940" s="100" t="str">
        <f t="shared" si="1"/>
        <v/>
      </c>
      <c r="E6940" s="100" t="str">
        <f t="shared" si="2"/>
        <v/>
      </c>
      <c r="F6940" s="100" t="str">
        <f t="shared" si="3"/>
        <v/>
      </c>
      <c r="G6940" s="151"/>
      <c r="H6940" s="160"/>
      <c r="I6940" s="171"/>
      <c r="M6940" s="159"/>
      <c r="N6940" s="94"/>
    </row>
    <row r="6941">
      <c r="A6941" s="114"/>
      <c r="B6941" s="131"/>
      <c r="C6941" s="131"/>
      <c r="D6941" s="100" t="str">
        <f t="shared" si="1"/>
        <v/>
      </c>
      <c r="E6941" s="100" t="str">
        <f t="shared" si="2"/>
        <v/>
      </c>
      <c r="F6941" s="100" t="str">
        <f t="shared" si="3"/>
        <v/>
      </c>
      <c r="G6941" s="151"/>
      <c r="H6941" s="156"/>
      <c r="I6941" s="171"/>
      <c r="M6941" s="159"/>
      <c r="N6941" s="94"/>
    </row>
    <row r="6942">
      <c r="A6942" s="114"/>
      <c r="B6942" s="131"/>
      <c r="C6942" s="131"/>
      <c r="D6942" s="100" t="str">
        <f t="shared" si="1"/>
        <v/>
      </c>
      <c r="E6942" s="100" t="str">
        <f t="shared" si="2"/>
        <v/>
      </c>
      <c r="F6942" s="100" t="str">
        <f t="shared" si="3"/>
        <v/>
      </c>
      <c r="G6942" s="151"/>
      <c r="H6942" s="160"/>
      <c r="I6942" s="171"/>
      <c r="M6942" s="159"/>
      <c r="N6942" s="94"/>
    </row>
    <row r="6943">
      <c r="A6943" s="114"/>
      <c r="B6943" s="131"/>
      <c r="C6943" s="131"/>
      <c r="D6943" s="100" t="str">
        <f t="shared" si="1"/>
        <v/>
      </c>
      <c r="E6943" s="100" t="str">
        <f t="shared" si="2"/>
        <v/>
      </c>
      <c r="F6943" s="100" t="str">
        <f t="shared" si="3"/>
        <v/>
      </c>
      <c r="G6943" s="151"/>
      <c r="H6943" s="156"/>
      <c r="I6943" s="171"/>
      <c r="M6943" s="159"/>
      <c r="N6943" s="94"/>
    </row>
    <row r="6944">
      <c r="A6944" s="114"/>
      <c r="B6944" s="131"/>
      <c r="C6944" s="131"/>
      <c r="D6944" s="100" t="str">
        <f t="shared" si="1"/>
        <v/>
      </c>
      <c r="E6944" s="100" t="str">
        <f t="shared" si="2"/>
        <v/>
      </c>
      <c r="F6944" s="100" t="str">
        <f t="shared" si="3"/>
        <v/>
      </c>
      <c r="G6944" s="151"/>
      <c r="H6944" s="160"/>
      <c r="I6944" s="171"/>
      <c r="M6944" s="159"/>
      <c r="N6944" s="94"/>
    </row>
    <row r="6945">
      <c r="A6945" s="114"/>
      <c r="B6945" s="131"/>
      <c r="C6945" s="131"/>
      <c r="D6945" s="100" t="str">
        <f t="shared" si="1"/>
        <v/>
      </c>
      <c r="E6945" s="100" t="str">
        <f t="shared" si="2"/>
        <v/>
      </c>
      <c r="F6945" s="100" t="str">
        <f t="shared" si="3"/>
        <v/>
      </c>
      <c r="G6945" s="180"/>
      <c r="H6945" s="171"/>
      <c r="I6945" s="171"/>
      <c r="M6945" s="159"/>
      <c r="N6945" s="94"/>
    </row>
    <row r="6946">
      <c r="A6946" s="114"/>
      <c r="B6946" s="131"/>
      <c r="C6946" s="131"/>
      <c r="D6946" s="100" t="str">
        <f t="shared" si="1"/>
        <v/>
      </c>
      <c r="E6946" s="100" t="str">
        <f t="shared" si="2"/>
        <v/>
      </c>
      <c r="F6946" s="100" t="str">
        <f t="shared" si="3"/>
        <v/>
      </c>
      <c r="G6946" s="180"/>
      <c r="H6946" s="171"/>
      <c r="I6946" s="171"/>
      <c r="M6946" s="159"/>
      <c r="N6946" s="94"/>
    </row>
    <row r="6947">
      <c r="A6947" s="114"/>
      <c r="B6947" s="131"/>
      <c r="C6947" s="131"/>
      <c r="D6947" s="100" t="str">
        <f t="shared" si="1"/>
        <v/>
      </c>
      <c r="E6947" s="100" t="str">
        <f t="shared" si="2"/>
        <v/>
      </c>
      <c r="F6947" s="100" t="str">
        <f t="shared" si="3"/>
        <v/>
      </c>
      <c r="G6947" s="180"/>
      <c r="H6947" s="171"/>
      <c r="I6947" s="171"/>
      <c r="M6947" s="159"/>
      <c r="N6947" s="94"/>
    </row>
    <row r="6948">
      <c r="A6948" s="114"/>
      <c r="B6948" s="131"/>
      <c r="C6948" s="131"/>
      <c r="D6948" s="100" t="str">
        <f t="shared" si="1"/>
        <v/>
      </c>
      <c r="E6948" s="100" t="str">
        <f t="shared" si="2"/>
        <v/>
      </c>
      <c r="F6948" s="100" t="str">
        <f t="shared" si="3"/>
        <v/>
      </c>
      <c r="G6948" s="180"/>
      <c r="H6948" s="171"/>
      <c r="I6948" s="171"/>
      <c r="M6948" s="159"/>
      <c r="N6948" s="94"/>
    </row>
    <row r="6949">
      <c r="A6949" s="114"/>
      <c r="B6949" s="131"/>
      <c r="C6949" s="131"/>
      <c r="D6949" s="100" t="str">
        <f t="shared" si="1"/>
        <v/>
      </c>
      <c r="E6949" s="100" t="str">
        <f t="shared" si="2"/>
        <v/>
      </c>
      <c r="F6949" s="100" t="str">
        <f t="shared" si="3"/>
        <v/>
      </c>
      <c r="G6949" s="180"/>
      <c r="H6949" s="171"/>
      <c r="I6949" s="171"/>
      <c r="M6949" s="159"/>
      <c r="N6949" s="94"/>
    </row>
    <row r="6950">
      <c r="A6950" s="114"/>
      <c r="B6950" s="131"/>
      <c r="C6950" s="131"/>
      <c r="D6950" s="100" t="str">
        <f t="shared" si="1"/>
        <v/>
      </c>
      <c r="E6950" s="100" t="str">
        <f t="shared" si="2"/>
        <v/>
      </c>
      <c r="F6950" s="100" t="str">
        <f t="shared" si="3"/>
        <v/>
      </c>
      <c r="G6950" s="180"/>
      <c r="H6950" s="171"/>
      <c r="I6950" s="171"/>
      <c r="M6950" s="159"/>
      <c r="N6950" s="94"/>
    </row>
    <row r="6951">
      <c r="A6951" s="114"/>
      <c r="B6951" s="131"/>
      <c r="C6951" s="131"/>
      <c r="D6951" s="100" t="str">
        <f t="shared" si="1"/>
        <v/>
      </c>
      <c r="E6951" s="100" t="str">
        <f t="shared" si="2"/>
        <v/>
      </c>
      <c r="F6951" s="100" t="str">
        <f t="shared" si="3"/>
        <v/>
      </c>
      <c r="G6951" s="180"/>
      <c r="H6951" s="171"/>
      <c r="I6951" s="171"/>
      <c r="M6951" s="159"/>
      <c r="N6951" s="94"/>
    </row>
    <row r="6952">
      <c r="A6952" s="114"/>
      <c r="B6952" s="131"/>
      <c r="C6952" s="131"/>
      <c r="D6952" s="100" t="str">
        <f t="shared" si="1"/>
        <v/>
      </c>
      <c r="E6952" s="100" t="str">
        <f t="shared" si="2"/>
        <v/>
      </c>
      <c r="F6952" s="100" t="str">
        <f t="shared" si="3"/>
        <v/>
      </c>
      <c r="G6952" s="180"/>
      <c r="H6952" s="171"/>
      <c r="I6952" s="171"/>
      <c r="M6952" s="159"/>
      <c r="N6952" s="94"/>
    </row>
    <row r="6953">
      <c r="A6953" s="114"/>
      <c r="B6953" s="131"/>
      <c r="C6953" s="131"/>
      <c r="D6953" s="100" t="str">
        <f t="shared" si="1"/>
        <v/>
      </c>
      <c r="E6953" s="100" t="str">
        <f t="shared" si="2"/>
        <v/>
      </c>
      <c r="F6953" s="100" t="str">
        <f t="shared" si="3"/>
        <v/>
      </c>
      <c r="G6953" s="180"/>
      <c r="H6953" s="171"/>
      <c r="I6953" s="171"/>
      <c r="M6953" s="159"/>
      <c r="N6953" s="94"/>
    </row>
    <row r="6954">
      <c r="A6954" s="114"/>
      <c r="B6954" s="131"/>
      <c r="C6954" s="131"/>
      <c r="D6954" s="100" t="str">
        <f t="shared" si="1"/>
        <v/>
      </c>
      <c r="E6954" s="100" t="str">
        <f t="shared" si="2"/>
        <v/>
      </c>
      <c r="F6954" s="100" t="str">
        <f t="shared" si="3"/>
        <v/>
      </c>
      <c r="G6954" s="180"/>
      <c r="H6954" s="171"/>
      <c r="I6954" s="171"/>
      <c r="M6954" s="159"/>
      <c r="N6954" s="94"/>
    </row>
    <row r="6955">
      <c r="A6955" s="114"/>
      <c r="B6955" s="131"/>
      <c r="C6955" s="131"/>
      <c r="D6955" s="100" t="str">
        <f t="shared" si="1"/>
        <v/>
      </c>
      <c r="E6955" s="100" t="str">
        <f t="shared" si="2"/>
        <v/>
      </c>
      <c r="F6955" s="100" t="str">
        <f t="shared" si="3"/>
        <v/>
      </c>
      <c r="G6955" s="180"/>
      <c r="H6955" s="171"/>
      <c r="I6955" s="171"/>
      <c r="M6955" s="159"/>
      <c r="N6955" s="94"/>
    </row>
    <row r="6956">
      <c r="A6956" s="114"/>
      <c r="B6956" s="131"/>
      <c r="C6956" s="131"/>
      <c r="D6956" s="100" t="str">
        <f t="shared" si="1"/>
        <v/>
      </c>
      <c r="E6956" s="100" t="str">
        <f t="shared" si="2"/>
        <v/>
      </c>
      <c r="F6956" s="100" t="str">
        <f t="shared" si="3"/>
        <v/>
      </c>
      <c r="G6956" s="180"/>
      <c r="H6956" s="171"/>
      <c r="I6956" s="171"/>
      <c r="M6956" s="159"/>
      <c r="N6956" s="94"/>
    </row>
    <row r="6957">
      <c r="A6957" s="114"/>
      <c r="B6957" s="131"/>
      <c r="C6957" s="131"/>
      <c r="D6957" s="100" t="str">
        <f t="shared" si="1"/>
        <v/>
      </c>
      <c r="E6957" s="100" t="str">
        <f t="shared" si="2"/>
        <v/>
      </c>
      <c r="F6957" s="100" t="str">
        <f t="shared" si="3"/>
        <v/>
      </c>
      <c r="G6957" s="180"/>
      <c r="H6957" s="171"/>
      <c r="I6957" s="171"/>
      <c r="M6957" s="159"/>
      <c r="N6957" s="94"/>
    </row>
    <row r="6958">
      <c r="A6958" s="114"/>
      <c r="B6958" s="131"/>
      <c r="C6958" s="131"/>
      <c r="D6958" s="100" t="str">
        <f t="shared" si="1"/>
        <v/>
      </c>
      <c r="E6958" s="100" t="str">
        <f t="shared" si="2"/>
        <v/>
      </c>
      <c r="F6958" s="100" t="str">
        <f t="shared" si="3"/>
        <v/>
      </c>
      <c r="G6958" s="180"/>
      <c r="H6958" s="171"/>
      <c r="I6958" s="171"/>
      <c r="M6958" s="159"/>
      <c r="N6958" s="94"/>
    </row>
    <row r="6959">
      <c r="A6959" s="114"/>
      <c r="B6959" s="131"/>
      <c r="C6959" s="131"/>
      <c r="D6959" s="100" t="str">
        <f t="shared" si="1"/>
        <v/>
      </c>
      <c r="E6959" s="100" t="str">
        <f t="shared" si="2"/>
        <v/>
      </c>
      <c r="F6959" s="100" t="str">
        <f t="shared" si="3"/>
        <v/>
      </c>
      <c r="G6959" s="180"/>
      <c r="H6959" s="171"/>
      <c r="I6959" s="171"/>
      <c r="M6959" s="159"/>
      <c r="N6959" s="94"/>
    </row>
    <row r="6960">
      <c r="A6960" s="114"/>
      <c r="B6960" s="131"/>
      <c r="C6960" s="131"/>
      <c r="D6960" s="100" t="str">
        <f t="shared" si="1"/>
        <v/>
      </c>
      <c r="E6960" s="100" t="str">
        <f t="shared" si="2"/>
        <v/>
      </c>
      <c r="F6960" s="100" t="str">
        <f t="shared" si="3"/>
        <v/>
      </c>
      <c r="G6960" s="180"/>
      <c r="H6960" s="171"/>
      <c r="I6960" s="171"/>
      <c r="M6960" s="159"/>
      <c r="N6960" s="94"/>
    </row>
    <row r="6961">
      <c r="A6961" s="114"/>
      <c r="B6961" s="131"/>
      <c r="C6961" s="131"/>
      <c r="D6961" s="100" t="str">
        <f t="shared" si="1"/>
        <v/>
      </c>
      <c r="E6961" s="100" t="str">
        <f t="shared" si="2"/>
        <v/>
      </c>
      <c r="F6961" s="100" t="str">
        <f t="shared" si="3"/>
        <v/>
      </c>
      <c r="G6961" s="180"/>
      <c r="H6961" s="171"/>
      <c r="I6961" s="172"/>
      <c r="M6961" s="159"/>
      <c r="N6961" s="94"/>
    </row>
    <row r="6962">
      <c r="A6962" s="114"/>
      <c r="B6962" s="131"/>
      <c r="C6962" s="131"/>
      <c r="D6962" s="100" t="str">
        <f t="shared" si="1"/>
        <v/>
      </c>
      <c r="E6962" s="100" t="str">
        <f t="shared" si="2"/>
        <v/>
      </c>
      <c r="F6962" s="100" t="str">
        <f t="shared" si="3"/>
        <v/>
      </c>
      <c r="G6962" s="180"/>
      <c r="H6962" s="171"/>
      <c r="I6962" s="171"/>
      <c r="M6962" s="159"/>
      <c r="N6962" s="94"/>
    </row>
    <row r="6963">
      <c r="A6963" s="114"/>
      <c r="B6963" s="131"/>
      <c r="C6963" s="131"/>
      <c r="D6963" s="100" t="str">
        <f t="shared" si="1"/>
        <v/>
      </c>
      <c r="E6963" s="100" t="str">
        <f t="shared" si="2"/>
        <v/>
      </c>
      <c r="F6963" s="100" t="str">
        <f t="shared" si="3"/>
        <v/>
      </c>
      <c r="G6963" s="180"/>
      <c r="H6963" s="171"/>
      <c r="I6963" s="171"/>
      <c r="M6963" s="159"/>
      <c r="N6963" s="94"/>
    </row>
    <row r="6964">
      <c r="A6964" s="114"/>
      <c r="B6964" s="131"/>
      <c r="C6964" s="131"/>
      <c r="D6964" s="100" t="str">
        <f t="shared" si="1"/>
        <v/>
      </c>
      <c r="E6964" s="100" t="str">
        <f t="shared" si="2"/>
        <v/>
      </c>
      <c r="F6964" s="100" t="str">
        <f t="shared" si="3"/>
        <v/>
      </c>
      <c r="G6964" s="180"/>
      <c r="H6964" s="171"/>
      <c r="I6964" s="171"/>
      <c r="M6964" s="159"/>
      <c r="N6964" s="94"/>
    </row>
    <row r="6965">
      <c r="A6965" s="114"/>
      <c r="B6965" s="131"/>
      <c r="C6965" s="131"/>
      <c r="D6965" s="100" t="str">
        <f t="shared" si="1"/>
        <v/>
      </c>
      <c r="E6965" s="100" t="str">
        <f t="shared" si="2"/>
        <v/>
      </c>
      <c r="F6965" s="100" t="str">
        <f t="shared" si="3"/>
        <v/>
      </c>
      <c r="G6965" s="180"/>
      <c r="H6965" s="171"/>
      <c r="I6965" s="171"/>
      <c r="M6965" s="159"/>
      <c r="N6965" s="94"/>
    </row>
    <row r="6966">
      <c r="A6966" s="114"/>
      <c r="B6966" s="131"/>
      <c r="C6966" s="131"/>
      <c r="D6966" s="100" t="str">
        <f t="shared" si="1"/>
        <v/>
      </c>
      <c r="E6966" s="100" t="str">
        <f t="shared" si="2"/>
        <v/>
      </c>
      <c r="F6966" s="100" t="str">
        <f t="shared" si="3"/>
        <v/>
      </c>
      <c r="G6966" s="180"/>
      <c r="H6966" s="171"/>
      <c r="I6966" s="171"/>
      <c r="M6966" s="159"/>
      <c r="N6966" s="94"/>
    </row>
    <row r="6967">
      <c r="A6967" s="114"/>
      <c r="B6967" s="131"/>
      <c r="C6967" s="131"/>
      <c r="D6967" s="100" t="str">
        <f t="shared" si="1"/>
        <v/>
      </c>
      <c r="E6967" s="100" t="str">
        <f t="shared" si="2"/>
        <v/>
      </c>
      <c r="F6967" s="100" t="str">
        <f t="shared" si="3"/>
        <v/>
      </c>
      <c r="G6967" s="180"/>
      <c r="H6967" s="171"/>
      <c r="I6967" s="171"/>
      <c r="M6967" s="159"/>
      <c r="N6967" s="94"/>
    </row>
    <row r="6968">
      <c r="A6968" s="114"/>
      <c r="B6968" s="131"/>
      <c r="C6968" s="131"/>
      <c r="D6968" s="100" t="str">
        <f t="shared" si="1"/>
        <v/>
      </c>
      <c r="E6968" s="100" t="str">
        <f t="shared" si="2"/>
        <v/>
      </c>
      <c r="F6968" s="100" t="str">
        <f t="shared" si="3"/>
        <v/>
      </c>
      <c r="G6968" s="180"/>
      <c r="H6968" s="171"/>
      <c r="I6968" s="171"/>
      <c r="M6968" s="159"/>
      <c r="N6968" s="94"/>
    </row>
    <row r="6969">
      <c r="A6969" s="114"/>
      <c r="B6969" s="131"/>
      <c r="C6969" s="131"/>
      <c r="D6969" s="100" t="str">
        <f t="shared" si="1"/>
        <v/>
      </c>
      <c r="E6969" s="100" t="str">
        <f t="shared" si="2"/>
        <v/>
      </c>
      <c r="F6969" s="100" t="str">
        <f t="shared" si="3"/>
        <v/>
      </c>
      <c r="G6969" s="180"/>
      <c r="H6969" s="171"/>
      <c r="I6969" s="172"/>
      <c r="M6969" s="159"/>
      <c r="N6969" s="94"/>
    </row>
    <row r="6970">
      <c r="A6970" s="114"/>
      <c r="B6970" s="131"/>
      <c r="C6970" s="131"/>
      <c r="D6970" s="100" t="str">
        <f t="shared" si="1"/>
        <v/>
      </c>
      <c r="E6970" s="100" t="str">
        <f t="shared" si="2"/>
        <v/>
      </c>
      <c r="F6970" s="100" t="str">
        <f t="shared" si="3"/>
        <v/>
      </c>
      <c r="G6970" s="180"/>
      <c r="H6970" s="171"/>
      <c r="I6970" s="171"/>
      <c r="M6970" s="159"/>
      <c r="N6970" s="94"/>
    </row>
    <row r="6971">
      <c r="A6971" s="114"/>
      <c r="B6971" s="131"/>
      <c r="C6971" s="131"/>
      <c r="D6971" s="100" t="str">
        <f t="shared" si="1"/>
        <v/>
      </c>
      <c r="E6971" s="100" t="str">
        <f t="shared" si="2"/>
        <v/>
      </c>
      <c r="F6971" s="100" t="str">
        <f t="shared" si="3"/>
        <v/>
      </c>
      <c r="G6971" s="180"/>
      <c r="H6971" s="171"/>
      <c r="I6971" s="171"/>
      <c r="M6971" s="159"/>
      <c r="N6971" s="94"/>
    </row>
    <row r="6972">
      <c r="A6972" s="114"/>
      <c r="B6972" s="131"/>
      <c r="C6972" s="131"/>
      <c r="D6972" s="100" t="str">
        <f t="shared" si="1"/>
        <v/>
      </c>
      <c r="E6972" s="100" t="str">
        <f t="shared" si="2"/>
        <v/>
      </c>
      <c r="F6972" s="100" t="str">
        <f t="shared" si="3"/>
        <v/>
      </c>
      <c r="G6972" s="180"/>
      <c r="H6972" s="171"/>
      <c r="I6972" s="171"/>
      <c r="M6972" s="159"/>
      <c r="N6972" s="94"/>
    </row>
    <row r="6973">
      <c r="A6973" s="114"/>
      <c r="B6973" s="131"/>
      <c r="C6973" s="131"/>
      <c r="D6973" s="100" t="str">
        <f t="shared" si="1"/>
        <v/>
      </c>
      <c r="E6973" s="100" t="str">
        <f t="shared" si="2"/>
        <v/>
      </c>
      <c r="F6973" s="100" t="str">
        <f t="shared" si="3"/>
        <v/>
      </c>
      <c r="G6973" s="180"/>
      <c r="H6973" s="171"/>
      <c r="I6973" s="171"/>
      <c r="M6973" s="159"/>
      <c r="N6973" s="94"/>
    </row>
    <row r="6974">
      <c r="A6974" s="114"/>
      <c r="B6974" s="131"/>
      <c r="C6974" s="131"/>
      <c r="D6974" s="100" t="str">
        <f t="shared" si="1"/>
        <v/>
      </c>
      <c r="E6974" s="100" t="str">
        <f t="shared" si="2"/>
        <v/>
      </c>
      <c r="F6974" s="100" t="str">
        <f t="shared" si="3"/>
        <v/>
      </c>
      <c r="G6974" s="180"/>
      <c r="H6974" s="171"/>
      <c r="I6974" s="171"/>
      <c r="M6974" s="159"/>
      <c r="N6974" s="94"/>
    </row>
    <row r="6975">
      <c r="A6975" s="114"/>
      <c r="B6975" s="131"/>
      <c r="C6975" s="131"/>
      <c r="D6975" s="100" t="str">
        <f t="shared" si="1"/>
        <v/>
      </c>
      <c r="E6975" s="100" t="str">
        <f t="shared" si="2"/>
        <v/>
      </c>
      <c r="F6975" s="100" t="str">
        <f t="shared" si="3"/>
        <v/>
      </c>
      <c r="G6975" s="180"/>
      <c r="H6975" s="171"/>
      <c r="I6975" s="171"/>
      <c r="M6975" s="159"/>
      <c r="N6975" s="94"/>
    </row>
    <row r="6976">
      <c r="A6976" s="114"/>
      <c r="B6976" s="131"/>
      <c r="C6976" s="131"/>
      <c r="D6976" s="100" t="str">
        <f t="shared" si="1"/>
        <v/>
      </c>
      <c r="E6976" s="100" t="str">
        <f t="shared" si="2"/>
        <v/>
      </c>
      <c r="F6976" s="100" t="str">
        <f t="shared" si="3"/>
        <v/>
      </c>
      <c r="G6976" s="180"/>
      <c r="H6976" s="171"/>
      <c r="I6976" s="171"/>
      <c r="M6976" s="159"/>
      <c r="N6976" s="94"/>
    </row>
    <row r="6977">
      <c r="A6977" s="114"/>
      <c r="B6977" s="131"/>
      <c r="C6977" s="131"/>
      <c r="D6977" s="100" t="str">
        <f t="shared" si="1"/>
        <v/>
      </c>
      <c r="E6977" s="100" t="str">
        <f t="shared" si="2"/>
        <v/>
      </c>
      <c r="F6977" s="100" t="str">
        <f t="shared" si="3"/>
        <v/>
      </c>
      <c r="G6977" s="180"/>
      <c r="H6977" s="171"/>
      <c r="I6977" s="172"/>
      <c r="M6977" s="159"/>
      <c r="N6977" s="94"/>
    </row>
    <row r="6978">
      <c r="A6978" s="114"/>
      <c r="B6978" s="131"/>
      <c r="C6978" s="131"/>
      <c r="D6978" s="100" t="str">
        <f t="shared" si="1"/>
        <v/>
      </c>
      <c r="E6978" s="100" t="str">
        <f t="shared" si="2"/>
        <v/>
      </c>
      <c r="F6978" s="100" t="str">
        <f t="shared" si="3"/>
        <v/>
      </c>
      <c r="G6978" s="180"/>
      <c r="H6978" s="171"/>
      <c r="I6978" s="172"/>
      <c r="M6978" s="159"/>
      <c r="N6978" s="94"/>
    </row>
    <row r="6979">
      <c r="A6979" s="114"/>
      <c r="B6979" s="131"/>
      <c r="C6979" s="131"/>
      <c r="D6979" s="100" t="str">
        <f t="shared" si="1"/>
        <v/>
      </c>
      <c r="E6979" s="100" t="str">
        <f t="shared" si="2"/>
        <v/>
      </c>
      <c r="F6979" s="100" t="str">
        <f t="shared" si="3"/>
        <v/>
      </c>
      <c r="G6979" s="180"/>
      <c r="H6979" s="171"/>
      <c r="I6979" s="171"/>
      <c r="M6979" s="159"/>
      <c r="N6979" s="94"/>
    </row>
    <row r="6980">
      <c r="A6980" s="114"/>
      <c r="B6980" s="131"/>
      <c r="C6980" s="131"/>
      <c r="D6980" s="100" t="str">
        <f t="shared" si="1"/>
        <v/>
      </c>
      <c r="E6980" s="100" t="str">
        <f t="shared" si="2"/>
        <v/>
      </c>
      <c r="F6980" s="100" t="str">
        <f t="shared" si="3"/>
        <v/>
      </c>
      <c r="G6980" s="180"/>
      <c r="H6980" s="171"/>
      <c r="I6980" s="171"/>
      <c r="M6980" s="159"/>
      <c r="N6980" s="94"/>
    </row>
    <row r="6981">
      <c r="A6981" s="114"/>
      <c r="B6981" s="131"/>
      <c r="C6981" s="131"/>
      <c r="D6981" s="100" t="str">
        <f t="shared" si="1"/>
        <v/>
      </c>
      <c r="E6981" s="100" t="str">
        <f t="shared" si="2"/>
        <v/>
      </c>
      <c r="F6981" s="100" t="str">
        <f t="shared" si="3"/>
        <v/>
      </c>
      <c r="G6981" s="180"/>
      <c r="H6981" s="171"/>
      <c r="I6981" s="171"/>
      <c r="M6981" s="159"/>
      <c r="N6981" s="94"/>
    </row>
    <row r="6982">
      <c r="A6982" s="114"/>
      <c r="B6982" s="131"/>
      <c r="C6982" s="131"/>
      <c r="D6982" s="100" t="str">
        <f t="shared" si="1"/>
        <v/>
      </c>
      <c r="E6982" s="100" t="str">
        <f t="shared" si="2"/>
        <v/>
      </c>
      <c r="F6982" s="100" t="str">
        <f t="shared" si="3"/>
        <v/>
      </c>
      <c r="G6982" s="180"/>
      <c r="H6982" s="171"/>
      <c r="I6982" s="171"/>
      <c r="M6982" s="159"/>
      <c r="N6982" s="94"/>
    </row>
    <row r="6983">
      <c r="A6983" s="114"/>
      <c r="B6983" s="131"/>
      <c r="C6983" s="131"/>
      <c r="D6983" s="100" t="str">
        <f t="shared" si="1"/>
        <v/>
      </c>
      <c r="E6983" s="100" t="str">
        <f t="shared" si="2"/>
        <v/>
      </c>
      <c r="F6983" s="100" t="str">
        <f t="shared" si="3"/>
        <v/>
      </c>
      <c r="G6983" s="180"/>
      <c r="H6983" s="171"/>
      <c r="I6983" s="171"/>
      <c r="M6983" s="159"/>
      <c r="N6983" s="94"/>
    </row>
    <row r="6984">
      <c r="A6984" s="114"/>
      <c r="B6984" s="131"/>
      <c r="C6984" s="131"/>
      <c r="D6984" s="100" t="str">
        <f t="shared" si="1"/>
        <v/>
      </c>
      <c r="E6984" s="100" t="str">
        <f t="shared" si="2"/>
        <v/>
      </c>
      <c r="F6984" s="100" t="str">
        <f t="shared" si="3"/>
        <v/>
      </c>
      <c r="G6984" s="180"/>
      <c r="H6984" s="171"/>
      <c r="I6984" s="171"/>
      <c r="M6984" s="159"/>
      <c r="N6984" s="94"/>
    </row>
    <row r="6985">
      <c r="A6985" s="114"/>
      <c r="B6985" s="131"/>
      <c r="C6985" s="131"/>
      <c r="D6985" s="100" t="str">
        <f t="shared" si="1"/>
        <v/>
      </c>
      <c r="E6985" s="100" t="str">
        <f t="shared" si="2"/>
        <v/>
      </c>
      <c r="F6985" s="100" t="str">
        <f t="shared" si="3"/>
        <v/>
      </c>
      <c r="G6985" s="180"/>
      <c r="H6985" s="171"/>
      <c r="I6985" s="171"/>
      <c r="M6985" s="159"/>
      <c r="N6985" s="94"/>
    </row>
    <row r="6986">
      <c r="A6986" s="114"/>
      <c r="B6986" s="131"/>
      <c r="C6986" s="131"/>
      <c r="D6986" s="100" t="str">
        <f t="shared" si="1"/>
        <v/>
      </c>
      <c r="E6986" s="100" t="str">
        <f t="shared" si="2"/>
        <v/>
      </c>
      <c r="F6986" s="100" t="str">
        <f t="shared" si="3"/>
        <v/>
      </c>
      <c r="G6986" s="180"/>
      <c r="H6986" s="171"/>
      <c r="I6986" s="172"/>
      <c r="M6986" s="159"/>
      <c r="N6986" s="94"/>
    </row>
    <row r="6987">
      <c r="A6987" s="114"/>
      <c r="B6987" s="131"/>
      <c r="C6987" s="131"/>
      <c r="D6987" s="100" t="str">
        <f t="shared" si="1"/>
        <v/>
      </c>
      <c r="E6987" s="100" t="str">
        <f t="shared" si="2"/>
        <v/>
      </c>
      <c r="F6987" s="100" t="str">
        <f t="shared" si="3"/>
        <v/>
      </c>
      <c r="G6987" s="180"/>
      <c r="H6987" s="171"/>
      <c r="I6987" s="171"/>
      <c r="M6987" s="159"/>
      <c r="N6987" s="94"/>
    </row>
    <row r="6988">
      <c r="A6988" s="114"/>
      <c r="B6988" s="131"/>
      <c r="C6988" s="131"/>
      <c r="D6988" s="100" t="str">
        <f t="shared" si="1"/>
        <v/>
      </c>
      <c r="E6988" s="100" t="str">
        <f t="shared" si="2"/>
        <v/>
      </c>
      <c r="F6988" s="100" t="str">
        <f t="shared" si="3"/>
        <v/>
      </c>
      <c r="G6988" s="180"/>
      <c r="H6988" s="171"/>
      <c r="I6988" s="171"/>
      <c r="M6988" s="159"/>
      <c r="N6988" s="94"/>
    </row>
    <row r="6989">
      <c r="A6989" s="114"/>
      <c r="B6989" s="131"/>
      <c r="C6989" s="131"/>
      <c r="D6989" s="100" t="str">
        <f t="shared" si="1"/>
        <v/>
      </c>
      <c r="E6989" s="100" t="str">
        <f t="shared" si="2"/>
        <v/>
      </c>
      <c r="F6989" s="100" t="str">
        <f t="shared" si="3"/>
        <v/>
      </c>
      <c r="G6989" s="180"/>
      <c r="H6989" s="171"/>
      <c r="I6989" s="171"/>
      <c r="M6989" s="159"/>
      <c r="N6989" s="94"/>
    </row>
    <row r="6990">
      <c r="A6990" s="114"/>
      <c r="B6990" s="131"/>
      <c r="C6990" s="131"/>
      <c r="D6990" s="100" t="str">
        <f t="shared" si="1"/>
        <v/>
      </c>
      <c r="E6990" s="100" t="str">
        <f t="shared" si="2"/>
        <v/>
      </c>
      <c r="F6990" s="100" t="str">
        <f t="shared" si="3"/>
        <v/>
      </c>
      <c r="G6990" s="180"/>
      <c r="H6990" s="171"/>
      <c r="I6990" s="171"/>
      <c r="M6990" s="159"/>
      <c r="N6990" s="94"/>
    </row>
    <row r="6991">
      <c r="A6991" s="114"/>
      <c r="B6991" s="131"/>
      <c r="C6991" s="131"/>
      <c r="D6991" s="100" t="str">
        <f t="shared" si="1"/>
        <v/>
      </c>
      <c r="E6991" s="100" t="str">
        <f t="shared" si="2"/>
        <v/>
      </c>
      <c r="F6991" s="100" t="str">
        <f t="shared" si="3"/>
        <v/>
      </c>
      <c r="G6991" s="180"/>
      <c r="H6991" s="171"/>
      <c r="I6991" s="171"/>
      <c r="M6991" s="159"/>
      <c r="N6991" s="94"/>
    </row>
    <row r="6992">
      <c r="A6992" s="114"/>
      <c r="B6992" s="131"/>
      <c r="C6992" s="131"/>
      <c r="D6992" s="100" t="str">
        <f t="shared" si="1"/>
        <v/>
      </c>
      <c r="E6992" s="100" t="str">
        <f t="shared" si="2"/>
        <v/>
      </c>
      <c r="F6992" s="100" t="str">
        <f t="shared" si="3"/>
        <v/>
      </c>
      <c r="G6992" s="180"/>
      <c r="H6992" s="171"/>
      <c r="I6992" s="171"/>
      <c r="M6992" s="159"/>
      <c r="N6992" s="94"/>
    </row>
    <row r="6993">
      <c r="A6993" s="114"/>
      <c r="B6993" s="131"/>
      <c r="C6993" s="131"/>
      <c r="D6993" s="100" t="str">
        <f t="shared" si="1"/>
        <v/>
      </c>
      <c r="E6993" s="100" t="str">
        <f t="shared" si="2"/>
        <v/>
      </c>
      <c r="F6993" s="100" t="str">
        <f t="shared" si="3"/>
        <v/>
      </c>
      <c r="G6993" s="180"/>
      <c r="H6993" s="171"/>
      <c r="I6993" s="171"/>
      <c r="M6993" s="159"/>
      <c r="N6993" s="94"/>
    </row>
    <row r="6994">
      <c r="A6994" s="114"/>
      <c r="B6994" s="131"/>
      <c r="C6994" s="131"/>
      <c r="D6994" s="100" t="str">
        <f t="shared" si="1"/>
        <v/>
      </c>
      <c r="E6994" s="100" t="str">
        <f t="shared" si="2"/>
        <v/>
      </c>
      <c r="F6994" s="100" t="str">
        <f t="shared" si="3"/>
        <v/>
      </c>
      <c r="G6994" s="180"/>
      <c r="H6994" s="171"/>
      <c r="I6994" s="171"/>
      <c r="M6994" s="159"/>
      <c r="N6994" s="94"/>
    </row>
    <row r="6995">
      <c r="A6995" s="114"/>
      <c r="B6995" s="131"/>
      <c r="C6995" s="131"/>
      <c r="D6995" s="100" t="str">
        <f t="shared" si="1"/>
        <v/>
      </c>
      <c r="E6995" s="100" t="str">
        <f t="shared" si="2"/>
        <v/>
      </c>
      <c r="F6995" s="100" t="str">
        <f t="shared" si="3"/>
        <v/>
      </c>
      <c r="G6995" s="180"/>
      <c r="H6995" s="171"/>
      <c r="I6995" s="171"/>
      <c r="M6995" s="159"/>
      <c r="N6995" s="94"/>
    </row>
    <row r="6996">
      <c r="A6996" s="114"/>
      <c r="B6996" s="131"/>
      <c r="C6996" s="131"/>
      <c r="D6996" s="100" t="str">
        <f t="shared" si="1"/>
        <v/>
      </c>
      <c r="E6996" s="100" t="str">
        <f t="shared" si="2"/>
        <v/>
      </c>
      <c r="F6996" s="100" t="str">
        <f t="shared" si="3"/>
        <v/>
      </c>
      <c r="G6996" s="180"/>
      <c r="H6996" s="171"/>
      <c r="I6996" s="171"/>
      <c r="M6996" s="159"/>
      <c r="N6996" s="94"/>
    </row>
    <row r="6997">
      <c r="A6997" s="114"/>
      <c r="B6997" s="131"/>
      <c r="C6997" s="131"/>
      <c r="D6997" s="100" t="str">
        <f t="shared" si="1"/>
        <v/>
      </c>
      <c r="E6997" s="100" t="str">
        <f t="shared" si="2"/>
        <v/>
      </c>
      <c r="F6997" s="100" t="str">
        <f t="shared" si="3"/>
        <v/>
      </c>
      <c r="G6997" s="180"/>
      <c r="H6997" s="171"/>
      <c r="I6997" s="171"/>
      <c r="M6997" s="159"/>
      <c r="N6997" s="94"/>
    </row>
    <row r="6998">
      <c r="A6998" s="114"/>
      <c r="B6998" s="131"/>
      <c r="C6998" s="131"/>
      <c r="D6998" s="100" t="str">
        <f t="shared" si="1"/>
        <v/>
      </c>
      <c r="E6998" s="100" t="str">
        <f t="shared" si="2"/>
        <v/>
      </c>
      <c r="F6998" s="100" t="str">
        <f t="shared" si="3"/>
        <v/>
      </c>
      <c r="G6998" s="180"/>
      <c r="H6998" s="171"/>
      <c r="I6998" s="171"/>
      <c r="M6998" s="159"/>
      <c r="N6998" s="94"/>
    </row>
    <row r="6999">
      <c r="A6999" s="114"/>
      <c r="B6999" s="131"/>
      <c r="C6999" s="131"/>
      <c r="D6999" s="100" t="str">
        <f t="shared" si="1"/>
        <v/>
      </c>
      <c r="E6999" s="100" t="str">
        <f t="shared" si="2"/>
        <v/>
      </c>
      <c r="F6999" s="100" t="str">
        <f t="shared" si="3"/>
        <v/>
      </c>
      <c r="G6999" s="180"/>
      <c r="H6999" s="171"/>
      <c r="I6999" s="171"/>
      <c r="M6999" s="159"/>
      <c r="N6999" s="94"/>
    </row>
    <row r="7000">
      <c r="A7000" s="114"/>
      <c r="B7000" s="131"/>
      <c r="C7000" s="131"/>
      <c r="D7000" s="100" t="str">
        <f t="shared" si="1"/>
        <v/>
      </c>
      <c r="E7000" s="100" t="str">
        <f t="shared" si="2"/>
        <v/>
      </c>
      <c r="F7000" s="100" t="str">
        <f t="shared" si="3"/>
        <v/>
      </c>
      <c r="G7000" s="180"/>
      <c r="H7000" s="171"/>
      <c r="I7000" s="171"/>
      <c r="M7000" s="159"/>
      <c r="N7000" s="94"/>
    </row>
    <row r="7001">
      <c r="A7001" s="114"/>
      <c r="B7001" s="131"/>
      <c r="C7001" s="131"/>
      <c r="D7001" s="100" t="str">
        <f t="shared" si="1"/>
        <v/>
      </c>
      <c r="E7001" s="100" t="str">
        <f t="shared" si="2"/>
        <v/>
      </c>
      <c r="F7001" s="100" t="str">
        <f t="shared" si="3"/>
        <v/>
      </c>
      <c r="G7001" s="180"/>
      <c r="H7001" s="171"/>
      <c r="I7001" s="171"/>
      <c r="M7001" s="159"/>
      <c r="N7001" s="94"/>
    </row>
    <row r="7002">
      <c r="A7002" s="114"/>
      <c r="B7002" s="131"/>
      <c r="C7002" s="131"/>
      <c r="D7002" s="100" t="str">
        <f t="shared" si="1"/>
        <v/>
      </c>
      <c r="E7002" s="100" t="str">
        <f t="shared" si="2"/>
        <v/>
      </c>
      <c r="F7002" s="100" t="str">
        <f t="shared" si="3"/>
        <v/>
      </c>
      <c r="G7002" s="180"/>
      <c r="H7002" s="171"/>
      <c r="I7002" s="171"/>
      <c r="M7002" s="159"/>
      <c r="N7002" s="94"/>
    </row>
    <row r="7003">
      <c r="A7003" s="114"/>
      <c r="B7003" s="131"/>
      <c r="C7003" s="131"/>
      <c r="D7003" s="100" t="str">
        <f t="shared" si="1"/>
        <v/>
      </c>
      <c r="E7003" s="100" t="str">
        <f t="shared" si="2"/>
        <v/>
      </c>
      <c r="F7003" s="100" t="str">
        <f t="shared" si="3"/>
        <v/>
      </c>
      <c r="G7003" s="180"/>
      <c r="H7003" s="171"/>
      <c r="I7003" s="171"/>
      <c r="M7003" s="159"/>
      <c r="N7003" s="94"/>
    </row>
    <row r="7004">
      <c r="A7004" s="114"/>
      <c r="B7004" s="131"/>
      <c r="C7004" s="131"/>
      <c r="D7004" s="100" t="str">
        <f t="shared" si="1"/>
        <v/>
      </c>
      <c r="E7004" s="100" t="str">
        <f t="shared" si="2"/>
        <v/>
      </c>
      <c r="F7004" s="100" t="str">
        <f t="shared" si="3"/>
        <v/>
      </c>
      <c r="G7004" s="180"/>
      <c r="H7004" s="171"/>
      <c r="I7004" s="171"/>
      <c r="M7004" s="159"/>
      <c r="N7004" s="94"/>
    </row>
    <row r="7005">
      <c r="A7005" s="114"/>
      <c r="B7005" s="131"/>
      <c r="C7005" s="131"/>
      <c r="D7005" s="100" t="str">
        <f t="shared" si="1"/>
        <v/>
      </c>
      <c r="E7005" s="100" t="str">
        <f t="shared" si="2"/>
        <v/>
      </c>
      <c r="F7005" s="100" t="str">
        <f t="shared" si="3"/>
        <v/>
      </c>
      <c r="G7005" s="180"/>
      <c r="H7005" s="171"/>
      <c r="I7005" s="171"/>
      <c r="M7005" s="159"/>
      <c r="N7005" s="94"/>
    </row>
    <row r="7006">
      <c r="A7006" s="114"/>
      <c r="B7006" s="131"/>
      <c r="C7006" s="131"/>
      <c r="D7006" s="100" t="str">
        <f t="shared" si="1"/>
        <v/>
      </c>
      <c r="E7006" s="100" t="str">
        <f t="shared" si="2"/>
        <v/>
      </c>
      <c r="F7006" s="100" t="str">
        <f t="shared" si="3"/>
        <v/>
      </c>
      <c r="G7006" s="180"/>
      <c r="H7006" s="171"/>
      <c r="I7006" s="171"/>
      <c r="M7006" s="159"/>
      <c r="N7006" s="94"/>
    </row>
    <row r="7007">
      <c r="A7007" s="114"/>
      <c r="B7007" s="131"/>
      <c r="C7007" s="131"/>
      <c r="D7007" s="100" t="str">
        <f t="shared" si="1"/>
        <v/>
      </c>
      <c r="E7007" s="100" t="str">
        <f t="shared" si="2"/>
        <v/>
      </c>
      <c r="F7007" s="100" t="str">
        <f t="shared" si="3"/>
        <v/>
      </c>
      <c r="G7007" s="180"/>
      <c r="H7007" s="171"/>
      <c r="I7007" s="172"/>
      <c r="M7007" s="159"/>
      <c r="N7007" s="94"/>
    </row>
    <row r="7008">
      <c r="A7008" s="114"/>
      <c r="B7008" s="131"/>
      <c r="C7008" s="131"/>
      <c r="D7008" s="100" t="str">
        <f t="shared" si="1"/>
        <v/>
      </c>
      <c r="E7008" s="100" t="str">
        <f t="shared" si="2"/>
        <v/>
      </c>
      <c r="F7008" s="100" t="str">
        <f t="shared" si="3"/>
        <v/>
      </c>
      <c r="G7008" s="180"/>
      <c r="H7008" s="171"/>
      <c r="I7008" s="171"/>
      <c r="M7008" s="159"/>
      <c r="N7008" s="94"/>
    </row>
    <row r="7009">
      <c r="A7009" s="114"/>
      <c r="B7009" s="131"/>
      <c r="C7009" s="131"/>
      <c r="D7009" s="100" t="str">
        <f t="shared" si="1"/>
        <v/>
      </c>
      <c r="E7009" s="100" t="str">
        <f t="shared" si="2"/>
        <v/>
      </c>
      <c r="F7009" s="100" t="str">
        <f t="shared" si="3"/>
        <v/>
      </c>
      <c r="G7009" s="180"/>
      <c r="H7009" s="171"/>
      <c r="I7009" s="171"/>
      <c r="M7009" s="159"/>
      <c r="N7009" s="94"/>
    </row>
    <row r="7010">
      <c r="A7010" s="114"/>
      <c r="B7010" s="131"/>
      <c r="C7010" s="131"/>
      <c r="D7010" s="100" t="str">
        <f t="shared" si="1"/>
        <v/>
      </c>
      <c r="E7010" s="100" t="str">
        <f t="shared" si="2"/>
        <v/>
      </c>
      <c r="F7010" s="100" t="str">
        <f t="shared" si="3"/>
        <v/>
      </c>
      <c r="G7010" s="180"/>
      <c r="H7010" s="171"/>
      <c r="I7010" s="171"/>
      <c r="M7010" s="159"/>
      <c r="N7010" s="94"/>
    </row>
    <row r="7011">
      <c r="A7011" s="114"/>
      <c r="B7011" s="131"/>
      <c r="C7011" s="131"/>
      <c r="D7011" s="100" t="str">
        <f t="shared" si="1"/>
        <v/>
      </c>
      <c r="E7011" s="100" t="str">
        <f t="shared" si="2"/>
        <v/>
      </c>
      <c r="F7011" s="100" t="str">
        <f t="shared" si="3"/>
        <v/>
      </c>
      <c r="G7011" s="180"/>
      <c r="H7011" s="171"/>
      <c r="I7011" s="171"/>
      <c r="M7011" s="159"/>
      <c r="N7011" s="94"/>
    </row>
    <row r="7012">
      <c r="A7012" s="114"/>
      <c r="B7012" s="131"/>
      <c r="C7012" s="131"/>
      <c r="D7012" s="100" t="str">
        <f t="shared" si="1"/>
        <v/>
      </c>
      <c r="E7012" s="100" t="str">
        <f t="shared" si="2"/>
        <v/>
      </c>
      <c r="F7012" s="100" t="str">
        <f t="shared" si="3"/>
        <v/>
      </c>
      <c r="G7012" s="180"/>
      <c r="H7012" s="171"/>
      <c r="I7012" s="171"/>
      <c r="M7012" s="159"/>
      <c r="N7012" s="94"/>
    </row>
    <row r="7013">
      <c r="A7013" s="114"/>
      <c r="B7013" s="131"/>
      <c r="C7013" s="131"/>
      <c r="D7013" s="100" t="str">
        <f t="shared" si="1"/>
        <v/>
      </c>
      <c r="E7013" s="100" t="str">
        <f t="shared" si="2"/>
        <v/>
      </c>
      <c r="F7013" s="100" t="str">
        <f t="shared" si="3"/>
        <v/>
      </c>
      <c r="G7013" s="180"/>
      <c r="H7013" s="171"/>
      <c r="I7013" s="172"/>
      <c r="M7013" s="159"/>
      <c r="N7013" s="94"/>
    </row>
    <row r="7014">
      <c r="A7014" s="114"/>
      <c r="B7014" s="131"/>
      <c r="C7014" s="131"/>
      <c r="D7014" s="100" t="str">
        <f t="shared" si="1"/>
        <v/>
      </c>
      <c r="E7014" s="100" t="str">
        <f t="shared" si="2"/>
        <v/>
      </c>
      <c r="F7014" s="100" t="str">
        <f t="shared" si="3"/>
        <v/>
      </c>
      <c r="G7014" s="180"/>
      <c r="H7014" s="171"/>
      <c r="I7014" s="171"/>
      <c r="M7014" s="159"/>
      <c r="N7014" s="94"/>
    </row>
    <row r="7015">
      <c r="A7015" s="114"/>
      <c r="B7015" s="131"/>
      <c r="C7015" s="131"/>
      <c r="D7015" s="100" t="str">
        <f t="shared" si="1"/>
        <v/>
      </c>
      <c r="E7015" s="100" t="str">
        <f t="shared" si="2"/>
        <v/>
      </c>
      <c r="F7015" s="100" t="str">
        <f t="shared" si="3"/>
        <v/>
      </c>
      <c r="G7015" s="180"/>
      <c r="H7015" s="171"/>
      <c r="I7015" s="171"/>
      <c r="M7015" s="159"/>
      <c r="N7015" s="94"/>
    </row>
    <row r="7016">
      <c r="A7016" s="114"/>
      <c r="B7016" s="131"/>
      <c r="C7016" s="131"/>
      <c r="D7016" s="100" t="str">
        <f t="shared" si="1"/>
        <v/>
      </c>
      <c r="E7016" s="100" t="str">
        <f t="shared" si="2"/>
        <v/>
      </c>
      <c r="F7016" s="100" t="str">
        <f t="shared" si="3"/>
        <v/>
      </c>
      <c r="G7016" s="180"/>
      <c r="H7016" s="171"/>
      <c r="I7016" s="171"/>
      <c r="M7016" s="159"/>
      <c r="N7016" s="94"/>
    </row>
    <row r="7017">
      <c r="A7017" s="114"/>
      <c r="B7017" s="131"/>
      <c r="C7017" s="131"/>
      <c r="D7017" s="100" t="str">
        <f t="shared" si="1"/>
        <v/>
      </c>
      <c r="E7017" s="100" t="str">
        <f t="shared" si="2"/>
        <v/>
      </c>
      <c r="F7017" s="100" t="str">
        <f t="shared" si="3"/>
        <v/>
      </c>
      <c r="G7017" s="180"/>
      <c r="H7017" s="171"/>
      <c r="I7017" s="171"/>
      <c r="M7017" s="159"/>
      <c r="N7017" s="94"/>
    </row>
    <row r="7018">
      <c r="A7018" s="114"/>
      <c r="B7018" s="131"/>
      <c r="C7018" s="131"/>
      <c r="D7018" s="100" t="str">
        <f t="shared" si="1"/>
        <v/>
      </c>
      <c r="E7018" s="100" t="str">
        <f t="shared" si="2"/>
        <v/>
      </c>
      <c r="F7018" s="100" t="str">
        <f t="shared" si="3"/>
        <v/>
      </c>
      <c r="G7018" s="180"/>
      <c r="H7018" s="171"/>
      <c r="I7018" s="171"/>
      <c r="M7018" s="159"/>
      <c r="N7018" s="94"/>
    </row>
    <row r="7019">
      <c r="A7019" s="114"/>
      <c r="B7019" s="131"/>
      <c r="C7019" s="131"/>
      <c r="D7019" s="100" t="str">
        <f t="shared" si="1"/>
        <v/>
      </c>
      <c r="E7019" s="100" t="str">
        <f t="shared" si="2"/>
        <v/>
      </c>
      <c r="F7019" s="100" t="str">
        <f t="shared" si="3"/>
        <v/>
      </c>
      <c r="G7019" s="180"/>
      <c r="H7019" s="171"/>
      <c r="I7019" s="171"/>
      <c r="M7019" s="159"/>
      <c r="N7019" s="94"/>
    </row>
    <row r="7020">
      <c r="A7020" s="114"/>
      <c r="B7020" s="131"/>
      <c r="C7020" s="131"/>
      <c r="D7020" s="100" t="str">
        <f t="shared" si="1"/>
        <v/>
      </c>
      <c r="E7020" s="100" t="str">
        <f t="shared" si="2"/>
        <v/>
      </c>
      <c r="F7020" s="100" t="str">
        <f t="shared" si="3"/>
        <v/>
      </c>
      <c r="G7020" s="180"/>
      <c r="H7020" s="171"/>
      <c r="I7020" s="171"/>
      <c r="M7020" s="159"/>
      <c r="N7020" s="94"/>
    </row>
    <row r="7021">
      <c r="A7021" s="114"/>
      <c r="B7021" s="131"/>
      <c r="C7021" s="131"/>
      <c r="D7021" s="100" t="str">
        <f t="shared" si="1"/>
        <v/>
      </c>
      <c r="E7021" s="100" t="str">
        <f t="shared" si="2"/>
        <v/>
      </c>
      <c r="F7021" s="100" t="str">
        <f t="shared" si="3"/>
        <v/>
      </c>
      <c r="G7021" s="180"/>
      <c r="H7021" s="171"/>
      <c r="I7021" s="171"/>
      <c r="M7021" s="159"/>
      <c r="N7021" s="94"/>
    </row>
    <row r="7022">
      <c r="A7022" s="114"/>
      <c r="B7022" s="131"/>
      <c r="C7022" s="131"/>
      <c r="D7022" s="100" t="str">
        <f t="shared" si="1"/>
        <v/>
      </c>
      <c r="E7022" s="100" t="str">
        <f t="shared" si="2"/>
        <v/>
      </c>
      <c r="F7022" s="100" t="str">
        <f t="shared" si="3"/>
        <v/>
      </c>
      <c r="G7022" s="180"/>
      <c r="H7022" s="171"/>
      <c r="I7022" s="171"/>
      <c r="M7022" s="159"/>
      <c r="N7022" s="94"/>
    </row>
    <row r="7023">
      <c r="A7023" s="114"/>
      <c r="B7023" s="131"/>
      <c r="C7023" s="131"/>
      <c r="D7023" s="100" t="str">
        <f t="shared" si="1"/>
        <v/>
      </c>
      <c r="E7023" s="100" t="str">
        <f t="shared" si="2"/>
        <v/>
      </c>
      <c r="F7023" s="100" t="str">
        <f t="shared" si="3"/>
        <v/>
      </c>
      <c r="G7023" s="180"/>
      <c r="H7023" s="171"/>
      <c r="I7023" s="172"/>
      <c r="M7023" s="159"/>
      <c r="N7023" s="94"/>
    </row>
    <row r="7024">
      <c r="A7024" s="114"/>
      <c r="B7024" s="131"/>
      <c r="C7024" s="131"/>
      <c r="D7024" s="100" t="str">
        <f t="shared" si="1"/>
        <v/>
      </c>
      <c r="E7024" s="100" t="str">
        <f t="shared" si="2"/>
        <v/>
      </c>
      <c r="F7024" s="100" t="str">
        <f t="shared" si="3"/>
        <v/>
      </c>
      <c r="G7024" s="180"/>
      <c r="H7024" s="171"/>
      <c r="I7024" s="171"/>
      <c r="M7024" s="159"/>
      <c r="N7024" s="94"/>
    </row>
    <row r="7025">
      <c r="A7025" s="114"/>
      <c r="B7025" s="131"/>
      <c r="C7025" s="131"/>
      <c r="D7025" s="100" t="str">
        <f t="shared" si="1"/>
        <v/>
      </c>
      <c r="E7025" s="100" t="str">
        <f t="shared" si="2"/>
        <v/>
      </c>
      <c r="F7025" s="100" t="str">
        <f t="shared" si="3"/>
        <v/>
      </c>
      <c r="G7025" s="180"/>
      <c r="H7025" s="171"/>
      <c r="I7025" s="171"/>
      <c r="M7025" s="159"/>
      <c r="N7025" s="94"/>
    </row>
    <row r="7026">
      <c r="A7026" s="114"/>
      <c r="B7026" s="131"/>
      <c r="C7026" s="131"/>
      <c r="D7026" s="100" t="str">
        <f t="shared" si="1"/>
        <v/>
      </c>
      <c r="E7026" s="100" t="str">
        <f t="shared" si="2"/>
        <v/>
      </c>
      <c r="F7026" s="100" t="str">
        <f t="shared" si="3"/>
        <v/>
      </c>
      <c r="G7026" s="180"/>
      <c r="H7026" s="171"/>
      <c r="I7026" s="171"/>
      <c r="M7026" s="159"/>
      <c r="N7026" s="94"/>
    </row>
    <row r="7027">
      <c r="A7027" s="114"/>
      <c r="B7027" s="131"/>
      <c r="C7027" s="131"/>
      <c r="D7027" s="100" t="str">
        <f t="shared" si="1"/>
        <v/>
      </c>
      <c r="E7027" s="100" t="str">
        <f t="shared" si="2"/>
        <v/>
      </c>
      <c r="F7027" s="100" t="str">
        <f t="shared" si="3"/>
        <v/>
      </c>
      <c r="G7027" s="180"/>
      <c r="H7027" s="171"/>
      <c r="I7027" s="171"/>
      <c r="M7027" s="159"/>
      <c r="N7027" s="94"/>
    </row>
    <row r="7028">
      <c r="A7028" s="114"/>
      <c r="B7028" s="131"/>
      <c r="C7028" s="131"/>
      <c r="D7028" s="100" t="str">
        <f t="shared" si="1"/>
        <v/>
      </c>
      <c r="E7028" s="100" t="str">
        <f t="shared" si="2"/>
        <v/>
      </c>
      <c r="F7028" s="100" t="str">
        <f t="shared" si="3"/>
        <v/>
      </c>
      <c r="G7028" s="180"/>
      <c r="H7028" s="171"/>
      <c r="I7028" s="171"/>
      <c r="M7028" s="159"/>
      <c r="N7028" s="94"/>
    </row>
    <row r="7029">
      <c r="A7029" s="114"/>
      <c r="B7029" s="131"/>
      <c r="C7029" s="131"/>
      <c r="D7029" s="100" t="str">
        <f t="shared" si="1"/>
        <v/>
      </c>
      <c r="E7029" s="100" t="str">
        <f t="shared" si="2"/>
        <v/>
      </c>
      <c r="F7029" s="100" t="str">
        <f t="shared" si="3"/>
        <v/>
      </c>
      <c r="G7029" s="180"/>
      <c r="H7029" s="171"/>
      <c r="I7029" s="171"/>
      <c r="M7029" s="159"/>
      <c r="N7029" s="94"/>
    </row>
    <row r="7030">
      <c r="A7030" s="114"/>
      <c r="B7030" s="131"/>
      <c r="C7030" s="131"/>
      <c r="D7030" s="100" t="str">
        <f t="shared" si="1"/>
        <v/>
      </c>
      <c r="E7030" s="100" t="str">
        <f t="shared" si="2"/>
        <v/>
      </c>
      <c r="F7030" s="100" t="str">
        <f t="shared" si="3"/>
        <v/>
      </c>
      <c r="G7030" s="180"/>
      <c r="H7030" s="171"/>
      <c r="I7030" s="171"/>
      <c r="M7030" s="159"/>
      <c r="N7030" s="94"/>
    </row>
    <row r="7031">
      <c r="A7031" s="114"/>
      <c r="B7031" s="131"/>
      <c r="C7031" s="131"/>
      <c r="D7031" s="100" t="str">
        <f t="shared" si="1"/>
        <v/>
      </c>
      <c r="E7031" s="100" t="str">
        <f t="shared" si="2"/>
        <v/>
      </c>
      <c r="F7031" s="100" t="str">
        <f t="shared" si="3"/>
        <v/>
      </c>
      <c r="G7031" s="180"/>
      <c r="H7031" s="171"/>
      <c r="I7031" s="171"/>
      <c r="M7031" s="159"/>
      <c r="N7031" s="94"/>
    </row>
    <row r="7032">
      <c r="A7032" s="114"/>
      <c r="B7032" s="131"/>
      <c r="C7032" s="131"/>
      <c r="D7032" s="100" t="str">
        <f t="shared" si="1"/>
        <v/>
      </c>
      <c r="E7032" s="100" t="str">
        <f t="shared" si="2"/>
        <v/>
      </c>
      <c r="F7032" s="100" t="str">
        <f t="shared" si="3"/>
        <v/>
      </c>
      <c r="G7032" s="180"/>
      <c r="H7032" s="171"/>
      <c r="I7032" s="171"/>
      <c r="M7032" s="159"/>
      <c r="N7032" s="94"/>
    </row>
    <row r="7033">
      <c r="A7033" s="114"/>
      <c r="B7033" s="131"/>
      <c r="C7033" s="131"/>
      <c r="D7033" s="100" t="str">
        <f t="shared" si="1"/>
        <v/>
      </c>
      <c r="E7033" s="100" t="str">
        <f t="shared" si="2"/>
        <v/>
      </c>
      <c r="F7033" s="100" t="str">
        <f t="shared" si="3"/>
        <v/>
      </c>
      <c r="G7033" s="180"/>
      <c r="H7033" s="171"/>
      <c r="I7033" s="171"/>
      <c r="M7033" s="159"/>
      <c r="N7033" s="94"/>
    </row>
    <row r="7034">
      <c r="A7034" s="114"/>
      <c r="B7034" s="131"/>
      <c r="C7034" s="131"/>
      <c r="D7034" s="100" t="str">
        <f t="shared" si="1"/>
        <v/>
      </c>
      <c r="E7034" s="100" t="str">
        <f t="shared" si="2"/>
        <v/>
      </c>
      <c r="F7034" s="100" t="str">
        <f t="shared" si="3"/>
        <v/>
      </c>
      <c r="G7034" s="180"/>
      <c r="H7034" s="171"/>
      <c r="I7034" s="171"/>
      <c r="M7034" s="159"/>
      <c r="N7034" s="94"/>
    </row>
    <row r="7035">
      <c r="A7035" s="114"/>
      <c r="B7035" s="131"/>
      <c r="C7035" s="131"/>
      <c r="D7035" s="100" t="str">
        <f t="shared" si="1"/>
        <v/>
      </c>
      <c r="E7035" s="100" t="str">
        <f t="shared" si="2"/>
        <v/>
      </c>
      <c r="F7035" s="100" t="str">
        <f t="shared" si="3"/>
        <v/>
      </c>
      <c r="G7035" s="180"/>
      <c r="H7035" s="171"/>
      <c r="I7035" s="171"/>
      <c r="M7035" s="159"/>
      <c r="N7035" s="94"/>
    </row>
    <row r="7036">
      <c r="A7036" s="114"/>
      <c r="B7036" s="131"/>
      <c r="C7036" s="131"/>
      <c r="D7036" s="100" t="str">
        <f t="shared" si="1"/>
        <v/>
      </c>
      <c r="E7036" s="100" t="str">
        <f t="shared" si="2"/>
        <v/>
      </c>
      <c r="F7036" s="100" t="str">
        <f t="shared" si="3"/>
        <v/>
      </c>
      <c r="G7036" s="180"/>
      <c r="H7036" s="171"/>
      <c r="I7036" s="171"/>
      <c r="M7036" s="159"/>
      <c r="N7036" s="94"/>
    </row>
    <row r="7037">
      <c r="A7037" s="114"/>
      <c r="B7037" s="131"/>
      <c r="C7037" s="131"/>
      <c r="D7037" s="100" t="str">
        <f t="shared" si="1"/>
        <v/>
      </c>
      <c r="E7037" s="100" t="str">
        <f t="shared" si="2"/>
        <v/>
      </c>
      <c r="F7037" s="100" t="str">
        <f t="shared" si="3"/>
        <v/>
      </c>
      <c r="G7037" s="180"/>
      <c r="H7037" s="171"/>
      <c r="I7037" s="171"/>
      <c r="M7037" s="159"/>
      <c r="N7037" s="94"/>
    </row>
    <row r="7038">
      <c r="A7038" s="114"/>
      <c r="B7038" s="131"/>
      <c r="C7038" s="131"/>
      <c r="D7038" s="100" t="str">
        <f t="shared" si="1"/>
        <v/>
      </c>
      <c r="E7038" s="100" t="str">
        <f t="shared" si="2"/>
        <v/>
      </c>
      <c r="F7038" s="100" t="str">
        <f t="shared" si="3"/>
        <v/>
      </c>
      <c r="G7038" s="180"/>
      <c r="H7038" s="171"/>
      <c r="I7038" s="171"/>
      <c r="M7038" s="159"/>
      <c r="N7038" s="94"/>
    </row>
    <row r="7039">
      <c r="A7039" s="114"/>
      <c r="B7039" s="131"/>
      <c r="C7039" s="131"/>
      <c r="D7039" s="100" t="str">
        <f t="shared" si="1"/>
        <v/>
      </c>
      <c r="E7039" s="100" t="str">
        <f t="shared" si="2"/>
        <v/>
      </c>
      <c r="F7039" s="100" t="str">
        <f t="shared" si="3"/>
        <v/>
      </c>
      <c r="G7039" s="180"/>
      <c r="H7039" s="171"/>
      <c r="I7039" s="171"/>
      <c r="M7039" s="159"/>
      <c r="N7039" s="94"/>
    </row>
    <row r="7040">
      <c r="A7040" s="114"/>
      <c r="B7040" s="131"/>
      <c r="C7040" s="131"/>
      <c r="D7040" s="100" t="str">
        <f t="shared" si="1"/>
        <v/>
      </c>
      <c r="E7040" s="100" t="str">
        <f t="shared" si="2"/>
        <v/>
      </c>
      <c r="F7040" s="100" t="str">
        <f t="shared" si="3"/>
        <v/>
      </c>
      <c r="G7040" s="180"/>
      <c r="H7040" s="171"/>
      <c r="I7040" s="171"/>
      <c r="M7040" s="159"/>
      <c r="N7040" s="94"/>
    </row>
    <row r="7041">
      <c r="A7041" s="114"/>
      <c r="B7041" s="131"/>
      <c r="C7041" s="131"/>
      <c r="D7041" s="100" t="str">
        <f t="shared" si="1"/>
        <v/>
      </c>
      <c r="E7041" s="100" t="str">
        <f t="shared" si="2"/>
        <v/>
      </c>
      <c r="F7041" s="100" t="str">
        <f t="shared" si="3"/>
        <v/>
      </c>
      <c r="G7041" s="180"/>
      <c r="H7041" s="171"/>
      <c r="I7041" s="171"/>
      <c r="M7041" s="159"/>
      <c r="N7041" s="94"/>
    </row>
    <row r="7042">
      <c r="A7042" s="114"/>
      <c r="B7042" s="131"/>
      <c r="C7042" s="131"/>
      <c r="D7042" s="100" t="str">
        <f t="shared" si="1"/>
        <v/>
      </c>
      <c r="E7042" s="100" t="str">
        <f t="shared" si="2"/>
        <v/>
      </c>
      <c r="F7042" s="100" t="str">
        <f t="shared" si="3"/>
        <v/>
      </c>
      <c r="G7042" s="180"/>
      <c r="H7042" s="171"/>
      <c r="I7042" s="171"/>
      <c r="M7042" s="159"/>
      <c r="N7042" s="94"/>
    </row>
    <row r="7043">
      <c r="A7043" s="114"/>
      <c r="B7043" s="131"/>
      <c r="C7043" s="131"/>
      <c r="D7043" s="100" t="str">
        <f t="shared" si="1"/>
        <v/>
      </c>
      <c r="E7043" s="100" t="str">
        <f t="shared" si="2"/>
        <v/>
      </c>
      <c r="F7043" s="100" t="str">
        <f t="shared" si="3"/>
        <v/>
      </c>
      <c r="G7043" s="180"/>
      <c r="H7043" s="171"/>
      <c r="I7043" s="171"/>
      <c r="M7043" s="159"/>
      <c r="N7043" s="94"/>
    </row>
    <row r="7044">
      <c r="A7044" s="114"/>
      <c r="B7044" s="131"/>
      <c r="C7044" s="131"/>
      <c r="D7044" s="100" t="str">
        <f t="shared" si="1"/>
        <v/>
      </c>
      <c r="E7044" s="100" t="str">
        <f t="shared" si="2"/>
        <v/>
      </c>
      <c r="F7044" s="100" t="str">
        <f t="shared" si="3"/>
        <v/>
      </c>
      <c r="G7044" s="180"/>
      <c r="H7044" s="180"/>
      <c r="I7044" s="180"/>
      <c r="M7044" s="159"/>
      <c r="N7044" s="94"/>
    </row>
    <row r="7045">
      <c r="A7045" s="114"/>
      <c r="B7045" s="131"/>
      <c r="C7045" s="131"/>
      <c r="D7045" s="100" t="str">
        <f t="shared" si="1"/>
        <v/>
      </c>
      <c r="E7045" s="100" t="str">
        <f t="shared" si="2"/>
        <v/>
      </c>
      <c r="F7045" s="100" t="str">
        <f t="shared" si="3"/>
        <v/>
      </c>
      <c r="G7045" s="180"/>
      <c r="H7045" s="180"/>
      <c r="I7045" s="180"/>
      <c r="M7045" s="159"/>
      <c r="N7045" s="94"/>
    </row>
    <row r="7046">
      <c r="A7046" s="114"/>
      <c r="B7046" s="131"/>
      <c r="C7046" s="131"/>
      <c r="D7046" s="100" t="str">
        <f t="shared" si="1"/>
        <v/>
      </c>
      <c r="E7046" s="100" t="str">
        <f t="shared" si="2"/>
        <v/>
      </c>
      <c r="F7046" s="100" t="str">
        <f t="shared" si="3"/>
        <v/>
      </c>
      <c r="G7046" s="180"/>
      <c r="H7046" s="180"/>
      <c r="I7046" s="180"/>
      <c r="M7046" s="159"/>
      <c r="N7046" s="94"/>
    </row>
    <row r="7047">
      <c r="A7047" s="114"/>
      <c r="B7047" s="131"/>
      <c r="C7047" s="131"/>
      <c r="D7047" s="100" t="str">
        <f t="shared" si="1"/>
        <v/>
      </c>
      <c r="E7047" s="100" t="str">
        <f t="shared" si="2"/>
        <v/>
      </c>
      <c r="F7047" s="100" t="str">
        <f t="shared" si="3"/>
        <v/>
      </c>
      <c r="G7047" s="180"/>
      <c r="H7047" s="180"/>
      <c r="I7047" s="180"/>
      <c r="M7047" s="159"/>
      <c r="N7047" s="94"/>
    </row>
  </sheetData>
  <autoFilter ref="$A$1:$E$7047">
    <sortState ref="A1:E7047">
      <sortCondition ref="A1:A7047"/>
      <sortCondition ref="B1:B7047"/>
      <sortCondition ref="C1:C7047"/>
    </sortState>
  </autoFilter>
  <conditionalFormatting sqref="C558">
    <cfRule type="cellIs" dxfId="13" priority="1" operator="lessThanOrEqual">
      <formula>0</formula>
    </cfRule>
  </conditionalFormatting>
  <conditionalFormatting sqref="C558">
    <cfRule type="cellIs" dxfId="14" priority="2" operator="between">
      <formula>0.985</formula>
      <formula>1.001</formula>
    </cfRule>
  </conditionalFormatting>
  <conditionalFormatting sqref="C558">
    <cfRule type="cellIs" dxfId="2" priority="3" operator="between">
      <formula>0.965</formula>
      <formula>0.985</formula>
    </cfRule>
  </conditionalFormatting>
  <conditionalFormatting sqref="C558">
    <cfRule type="cellIs" dxfId="3" priority="4" operator="between">
      <formula>0.945</formula>
      <formula>0.965</formula>
    </cfRule>
  </conditionalFormatting>
  <conditionalFormatting sqref="C558">
    <cfRule type="cellIs" dxfId="4" priority="5" operator="between">
      <formula>0.915</formula>
      <formula>0.945</formula>
    </cfRule>
  </conditionalFormatting>
  <conditionalFormatting sqref="C558">
    <cfRule type="cellIs" dxfId="5" priority="6" operator="between">
      <formula>0.895</formula>
      <formula>0.915</formula>
    </cfRule>
  </conditionalFormatting>
  <conditionalFormatting sqref="C558">
    <cfRule type="cellIs" dxfId="6" priority="7" operator="between">
      <formula>0.865</formula>
      <formula>0.895</formula>
    </cfRule>
  </conditionalFormatting>
  <conditionalFormatting sqref="C558">
    <cfRule type="cellIs" dxfId="7" priority="8" operator="between">
      <formula>0.795</formula>
      <formula>0.835</formula>
    </cfRule>
  </conditionalFormatting>
  <conditionalFormatting sqref="C558">
    <cfRule type="cellIs" dxfId="8" priority="9" operator="between">
      <formula>0.835</formula>
      <formula>0.865</formula>
    </cfRule>
  </conditionalFormatting>
  <conditionalFormatting sqref="C558">
    <cfRule type="cellIs" dxfId="9" priority="10" operator="between">
      <formula>0.695</formula>
      <formula>0.745</formula>
    </cfRule>
  </conditionalFormatting>
  <conditionalFormatting sqref="C558">
    <cfRule type="cellIs" dxfId="10" priority="11" operator="between">
      <formula>0.795</formula>
      <formula>0.745</formula>
    </cfRule>
  </conditionalFormatting>
  <conditionalFormatting sqref="C558">
    <cfRule type="colorScale" priority="12">
      <colorScale>
        <cfvo type="percent" val="0.005"/>
        <cfvo type="percent" val="0.5"/>
        <cfvo type="percent" val="0.695"/>
        <color rgb="FF000000"/>
        <color rgb="FF180C00"/>
        <color rgb="FF60482E"/>
      </colorScale>
    </cfRule>
  </conditionalFormatting>
  <drawing r:id="rId1"/>
  <tableParts count="1">
    <tablePart r:id="rId3"/>
  </tableParts>
</worksheet>
</file>